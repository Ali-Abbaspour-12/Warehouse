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.abbaspour\Desktop\"/>
    </mc:Choice>
  </mc:AlternateContent>
  <xr:revisionPtr revIDLastSave="0" documentId="13_ncr:1_{C865D832-4A24-44E0-ABDD-44FDA30F4B41}" xr6:coauthVersionLast="47" xr6:coauthVersionMax="47" xr10:uidLastSave="{00000000-0000-0000-0000-000000000000}"/>
  <bookViews>
    <workbookView xWindow="1890" yWindow="3705" windowWidth="21600" windowHeight="11295" tabRatio="560" xr2:uid="{00000000-000D-0000-FFFF-FFFF00000000}"/>
  </bookViews>
  <sheets>
    <sheet name="لیست پرسنل" sheetId="50" r:id="rId1"/>
    <sheet name="دوربین های فاقدکد" sheetId="52" r:id="rId2"/>
    <sheet name="ثبت نشده در سیما" sheetId="53" r:id="rId3"/>
    <sheet name="لیست تعمیرات" sheetId="21" r:id="rId4"/>
    <sheet name="اموال قبلا چک شده بنام نیک اختر" sheetId="46" r:id="rId5"/>
    <sheet name="مختوم شده" sheetId="54" r:id="rId6"/>
    <sheet name="خوابگاه " sheetId="10" state="hidden" r:id="rId7"/>
  </sheets>
  <definedNames>
    <definedName name="_xlnm._FilterDatabase" localSheetId="4" hidden="1">'اموال قبلا چک شده بنام نیک اختر'!$A$1:$I$6</definedName>
    <definedName name="_xlnm._FilterDatabase" localSheetId="0" hidden="1">'لیست پرسنل'!$A$1:$F$843</definedName>
    <definedName name="_xlnm._FilterDatabase" localSheetId="3" hidden="1">'لیست تعمیرات'!$A$2:$F$111</definedName>
    <definedName name="_xlnm._FilterDatabase" localSheetId="5" hidden="1">'مختوم شده'!$A$2:$S$2</definedName>
    <definedName name="_xlnm.Print_Area" localSheetId="5">'مختوم شده'!$A$1:$S$36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54" l="1"/>
  <c r="F36" i="54"/>
  <c r="E36" i="54"/>
  <c r="G35" i="54"/>
  <c r="F35" i="54"/>
  <c r="E35" i="54"/>
  <c r="G34" i="54"/>
  <c r="F34" i="54"/>
  <c r="E34" i="54"/>
  <c r="G33" i="54"/>
  <c r="F33" i="54"/>
  <c r="E33" i="54"/>
  <c r="G32" i="54"/>
  <c r="F32" i="54"/>
  <c r="E32" i="54"/>
  <c r="G31" i="54"/>
  <c r="F31" i="54"/>
  <c r="E31" i="54"/>
  <c r="G30" i="54"/>
  <c r="F30" i="54"/>
  <c r="E30" i="54"/>
  <c r="G29" i="54"/>
  <c r="F29" i="54"/>
  <c r="E29" i="54"/>
  <c r="G28" i="54"/>
  <c r="F28" i="54"/>
  <c r="E28" i="54"/>
  <c r="G27" i="54"/>
  <c r="F27" i="54"/>
  <c r="E27" i="54"/>
  <c r="G26" i="54"/>
  <c r="F26" i="54"/>
  <c r="E26" i="54"/>
  <c r="G25" i="54"/>
  <c r="F25" i="54"/>
  <c r="E25" i="54"/>
  <c r="G24" i="54"/>
  <c r="F24" i="54"/>
  <c r="E24" i="54"/>
  <c r="G23" i="54"/>
  <c r="F23" i="54"/>
  <c r="E23" i="54"/>
  <c r="G22" i="54"/>
  <c r="F22" i="54"/>
  <c r="E22" i="54"/>
  <c r="G21" i="54"/>
  <c r="F21" i="54"/>
  <c r="E21" i="54"/>
  <c r="G20" i="54"/>
  <c r="F20" i="54"/>
  <c r="E20" i="54"/>
  <c r="G19" i="54"/>
  <c r="F19" i="54"/>
  <c r="E19" i="54"/>
  <c r="G18" i="54"/>
  <c r="F18" i="54"/>
  <c r="E18" i="54"/>
  <c r="G17" i="54"/>
  <c r="F17" i="54"/>
  <c r="E17" i="54"/>
  <c r="G16" i="54"/>
  <c r="F16" i="54"/>
  <c r="E16" i="54"/>
  <c r="G15" i="54"/>
  <c r="F15" i="54"/>
  <c r="E15" i="54"/>
  <c r="G14" i="54"/>
  <c r="F14" i="54"/>
  <c r="E14" i="54"/>
  <c r="G13" i="54"/>
  <c r="F13" i="54"/>
  <c r="E13" i="54"/>
  <c r="G12" i="54"/>
  <c r="F12" i="54"/>
  <c r="E12" i="54"/>
  <c r="G11" i="54"/>
  <c r="F11" i="54"/>
  <c r="E11" i="54"/>
  <c r="G10" i="54"/>
  <c r="F10" i="54"/>
  <c r="E10" i="54"/>
  <c r="G9" i="54"/>
  <c r="F9" i="54"/>
  <c r="E9" i="54"/>
  <c r="G8" i="54"/>
  <c r="F8" i="54"/>
  <c r="E8" i="54"/>
  <c r="G7" i="54"/>
  <c r="F7" i="54"/>
  <c r="E7" i="54"/>
  <c r="G6" i="54"/>
  <c r="F6" i="54"/>
  <c r="E6" i="54"/>
  <c r="G5" i="54"/>
  <c r="F5" i="54"/>
  <c r="E5" i="54"/>
  <c r="G4" i="54"/>
  <c r="F4" i="54"/>
  <c r="E4" i="54"/>
  <c r="G3" i="54"/>
  <c r="F3" i="54"/>
  <c r="E3" i="54"/>
  <c r="E4" i="53" l="1"/>
  <c r="D4" i="53"/>
  <c r="C4" i="53"/>
  <c r="E3" i="53"/>
  <c r="D3" i="53"/>
  <c r="C3" i="53"/>
  <c r="E2" i="53"/>
  <c r="D2" i="53"/>
  <c r="C2" i="53"/>
  <c r="D160" i="52" l="1"/>
  <c r="E160" i="52"/>
  <c r="F160" i="52"/>
  <c r="D161" i="52"/>
  <c r="E161" i="52"/>
  <c r="F161" i="52"/>
  <c r="F186" i="52" l="1"/>
  <c r="E186" i="52"/>
  <c r="D186" i="52"/>
  <c r="F185" i="52"/>
  <c r="E185" i="52"/>
  <c r="D185" i="52"/>
  <c r="F184" i="52"/>
  <c r="E184" i="52"/>
  <c r="D184" i="52"/>
  <c r="F183" i="52"/>
  <c r="E183" i="52"/>
  <c r="D183" i="52"/>
  <c r="F182" i="52"/>
  <c r="E182" i="52"/>
  <c r="D182" i="52"/>
  <c r="F181" i="52"/>
  <c r="E181" i="52"/>
  <c r="D181" i="52"/>
  <c r="F180" i="52"/>
  <c r="E180" i="52"/>
  <c r="D180" i="52"/>
  <c r="F179" i="52"/>
  <c r="E179" i="52"/>
  <c r="D179" i="52"/>
  <c r="F178" i="52"/>
  <c r="E178" i="52"/>
  <c r="D178" i="52"/>
  <c r="F177" i="52"/>
  <c r="E177" i="52"/>
  <c r="D177" i="52"/>
  <c r="F176" i="52"/>
  <c r="E176" i="52"/>
  <c r="D176" i="52"/>
  <c r="F175" i="52"/>
  <c r="E175" i="52"/>
  <c r="D175" i="52"/>
  <c r="F174" i="52"/>
  <c r="E174" i="52"/>
  <c r="D174" i="52"/>
  <c r="F173" i="52"/>
  <c r="E173" i="52"/>
  <c r="D173" i="52"/>
  <c r="F172" i="52"/>
  <c r="E172" i="52"/>
  <c r="D172" i="52"/>
  <c r="F171" i="52"/>
  <c r="E171" i="52"/>
  <c r="D171" i="52"/>
  <c r="F170" i="52"/>
  <c r="E170" i="52"/>
  <c r="D170" i="52"/>
  <c r="F169" i="52" l="1"/>
  <c r="E169" i="52"/>
  <c r="D169" i="52"/>
  <c r="F168" i="52"/>
  <c r="E168" i="52"/>
  <c r="D168" i="52"/>
  <c r="F167" i="52"/>
  <c r="E167" i="52"/>
  <c r="D167" i="52"/>
  <c r="F166" i="52"/>
  <c r="E166" i="52"/>
  <c r="D166" i="52"/>
  <c r="F165" i="52"/>
  <c r="E165" i="52"/>
  <c r="D165" i="52"/>
  <c r="F164" i="52"/>
  <c r="E164" i="52"/>
  <c r="D164" i="52"/>
  <c r="F163" i="52"/>
  <c r="E163" i="52"/>
  <c r="D163" i="52"/>
  <c r="F162" i="52"/>
  <c r="E162" i="52"/>
  <c r="D162" i="52"/>
  <c r="D85" i="52" l="1"/>
  <c r="E85" i="52"/>
  <c r="F85" i="52"/>
  <c r="D83" i="52"/>
  <c r="E83" i="52"/>
  <c r="F83" i="52"/>
  <c r="F159" i="52" l="1"/>
  <c r="E159" i="52"/>
  <c r="D159" i="52"/>
  <c r="F158" i="52"/>
  <c r="E158" i="52"/>
  <c r="D158" i="52"/>
  <c r="F157" i="52"/>
  <c r="E157" i="52"/>
  <c r="D157" i="52"/>
  <c r="F156" i="52"/>
  <c r="E156" i="52"/>
  <c r="D156" i="52"/>
  <c r="F155" i="52"/>
  <c r="E155" i="52"/>
  <c r="D155" i="52"/>
  <c r="F154" i="52"/>
  <c r="E154" i="52"/>
  <c r="D154" i="52"/>
  <c r="F153" i="52"/>
  <c r="E153" i="52"/>
  <c r="D153" i="52"/>
  <c r="F152" i="52"/>
  <c r="E152" i="52"/>
  <c r="D152" i="52"/>
  <c r="F151" i="52"/>
  <c r="E151" i="52"/>
  <c r="D151" i="52"/>
  <c r="F150" i="52"/>
  <c r="E150" i="52"/>
  <c r="D150" i="52"/>
  <c r="F149" i="52"/>
  <c r="E149" i="52"/>
  <c r="D149" i="52"/>
  <c r="F148" i="52"/>
  <c r="E148" i="52"/>
  <c r="D148" i="52"/>
  <c r="F147" i="52"/>
  <c r="E147" i="52"/>
  <c r="D147" i="52"/>
  <c r="F146" i="52"/>
  <c r="E146" i="52"/>
  <c r="D146" i="52"/>
  <c r="F145" i="52"/>
  <c r="E145" i="52"/>
  <c r="D145" i="52"/>
  <c r="F144" i="52"/>
  <c r="E144" i="52"/>
  <c r="D144" i="52"/>
  <c r="F143" i="52"/>
  <c r="E143" i="52"/>
  <c r="D143" i="52"/>
  <c r="F142" i="52"/>
  <c r="E142" i="52"/>
  <c r="D142" i="52"/>
  <c r="F141" i="52"/>
  <c r="E141" i="52"/>
  <c r="D141" i="52"/>
  <c r="F140" i="52"/>
  <c r="E140" i="52"/>
  <c r="D140" i="52"/>
  <c r="F139" i="52"/>
  <c r="E139" i="52"/>
  <c r="D139" i="52"/>
  <c r="F138" i="52"/>
  <c r="E138" i="52"/>
  <c r="D138" i="52"/>
  <c r="F137" i="52"/>
  <c r="E137" i="52"/>
  <c r="D137" i="52"/>
  <c r="F136" i="52"/>
  <c r="E136" i="52"/>
  <c r="D136" i="52"/>
  <c r="F135" i="52"/>
  <c r="E135" i="52"/>
  <c r="D135" i="52"/>
  <c r="F134" i="52"/>
  <c r="E134" i="52"/>
  <c r="D134" i="52"/>
  <c r="F133" i="52"/>
  <c r="E133" i="52"/>
  <c r="D133" i="52"/>
  <c r="F132" i="52"/>
  <c r="E132" i="52"/>
  <c r="D132" i="52"/>
  <c r="F131" i="52"/>
  <c r="E131" i="52"/>
  <c r="D131" i="52"/>
  <c r="F130" i="52"/>
  <c r="E130" i="52"/>
  <c r="D130" i="52"/>
  <c r="F129" i="52"/>
  <c r="E129" i="52"/>
  <c r="D129" i="52"/>
  <c r="F128" i="52"/>
  <c r="E128" i="52"/>
  <c r="D128" i="52"/>
  <c r="F127" i="52"/>
  <c r="E127" i="52"/>
  <c r="D127" i="52"/>
  <c r="F126" i="52"/>
  <c r="E126" i="52"/>
  <c r="D126" i="52"/>
  <c r="F125" i="52"/>
  <c r="E125" i="52"/>
  <c r="D125" i="52"/>
  <c r="F124" i="52"/>
  <c r="E124" i="52"/>
  <c r="D124" i="52"/>
  <c r="F123" i="52"/>
  <c r="E123" i="52"/>
  <c r="D123" i="52"/>
  <c r="F122" i="52"/>
  <c r="E122" i="52"/>
  <c r="D122" i="52"/>
  <c r="F121" i="52"/>
  <c r="E121" i="52"/>
  <c r="D121" i="52"/>
  <c r="F120" i="52"/>
  <c r="E120" i="52"/>
  <c r="D120" i="52"/>
  <c r="F119" i="52"/>
  <c r="E119" i="52"/>
  <c r="D119" i="52"/>
  <c r="F118" i="52"/>
  <c r="E118" i="52"/>
  <c r="D118" i="52"/>
  <c r="F117" i="52"/>
  <c r="E117" i="52"/>
  <c r="D117" i="52"/>
  <c r="F116" i="52"/>
  <c r="E116" i="52"/>
  <c r="D116" i="52"/>
  <c r="F115" i="52"/>
  <c r="E115" i="52"/>
  <c r="D115" i="52"/>
  <c r="F114" i="52"/>
  <c r="E114" i="52"/>
  <c r="D114" i="52"/>
  <c r="F113" i="52"/>
  <c r="E113" i="52"/>
  <c r="D113" i="52"/>
  <c r="F112" i="52"/>
  <c r="E112" i="52"/>
  <c r="D112" i="52"/>
  <c r="F111" i="52"/>
  <c r="E111" i="52"/>
  <c r="D111" i="52"/>
  <c r="F110" i="52"/>
  <c r="E110" i="52"/>
  <c r="D110" i="52"/>
  <c r="F109" i="52"/>
  <c r="E109" i="52"/>
  <c r="D109" i="52"/>
  <c r="F108" i="52"/>
  <c r="E108" i="52"/>
  <c r="D108" i="52"/>
  <c r="F107" i="52"/>
  <c r="E107" i="52"/>
  <c r="D107" i="52"/>
  <c r="F106" i="52"/>
  <c r="E106" i="52"/>
  <c r="D106" i="52"/>
  <c r="F105" i="52"/>
  <c r="E105" i="52"/>
  <c r="D105" i="52"/>
  <c r="F104" i="52"/>
  <c r="E104" i="52"/>
  <c r="D104" i="52"/>
  <c r="F103" i="52"/>
  <c r="E103" i="52"/>
  <c r="D103" i="52"/>
  <c r="F102" i="52"/>
  <c r="E102" i="52"/>
  <c r="D102" i="52"/>
  <c r="F101" i="52"/>
  <c r="E101" i="52"/>
  <c r="D101" i="52"/>
  <c r="F100" i="52"/>
  <c r="E100" i="52"/>
  <c r="D100" i="52"/>
  <c r="F99" i="52"/>
  <c r="E99" i="52"/>
  <c r="D99" i="52"/>
  <c r="F98" i="52"/>
  <c r="E98" i="52"/>
  <c r="D98" i="52"/>
  <c r="F97" i="52"/>
  <c r="E97" i="52"/>
  <c r="D97" i="52"/>
  <c r="F96" i="52"/>
  <c r="E96" i="52"/>
  <c r="D96" i="52"/>
  <c r="F95" i="52"/>
  <c r="E95" i="52"/>
  <c r="D95" i="52"/>
  <c r="F94" i="52"/>
  <c r="E94" i="52"/>
  <c r="D94" i="52"/>
  <c r="F93" i="52"/>
  <c r="E93" i="52"/>
  <c r="D93" i="52"/>
  <c r="F92" i="52"/>
  <c r="E92" i="52"/>
  <c r="D92" i="52"/>
  <c r="F91" i="52"/>
  <c r="E91" i="52"/>
  <c r="D91" i="52"/>
  <c r="F90" i="52"/>
  <c r="E90" i="52"/>
  <c r="D90" i="52"/>
  <c r="F89" i="52"/>
  <c r="E89" i="52"/>
  <c r="D89" i="52"/>
  <c r="F88" i="52"/>
  <c r="E88" i="52"/>
  <c r="D88" i="52"/>
  <c r="F87" i="52"/>
  <c r="E87" i="52"/>
  <c r="D87" i="52"/>
  <c r="F86" i="52"/>
  <c r="E86" i="52"/>
  <c r="D86" i="52"/>
  <c r="F84" i="52"/>
  <c r="E84" i="52"/>
  <c r="D84" i="52"/>
  <c r="F82" i="52"/>
  <c r="E82" i="52"/>
  <c r="D82" i="52"/>
  <c r="F81" i="52"/>
  <c r="E81" i="52"/>
  <c r="D81" i="52"/>
  <c r="F80" i="52"/>
  <c r="E80" i="52"/>
  <c r="D80" i="52"/>
  <c r="F79" i="52"/>
  <c r="E79" i="52"/>
  <c r="D79" i="52"/>
  <c r="F78" i="52"/>
  <c r="E78" i="52"/>
  <c r="D78" i="52"/>
  <c r="F77" i="52"/>
  <c r="E77" i="52"/>
  <c r="D77" i="52"/>
  <c r="F76" i="52"/>
  <c r="E76" i="52"/>
  <c r="D76" i="52"/>
  <c r="F75" i="52"/>
  <c r="E75" i="52"/>
  <c r="D75" i="52"/>
  <c r="F74" i="52"/>
  <c r="E74" i="52"/>
  <c r="D74" i="52"/>
  <c r="F73" i="52"/>
  <c r="E73" i="52"/>
  <c r="D73" i="52"/>
  <c r="F72" i="52"/>
  <c r="E72" i="52"/>
  <c r="D72" i="52"/>
  <c r="F71" i="52"/>
  <c r="E71" i="52"/>
  <c r="D71" i="52"/>
  <c r="F70" i="52"/>
  <c r="E70" i="52"/>
  <c r="D70" i="52"/>
  <c r="F69" i="52"/>
  <c r="E69" i="52"/>
  <c r="D69" i="52"/>
  <c r="F68" i="52"/>
  <c r="E68" i="52"/>
  <c r="D68" i="52"/>
  <c r="F67" i="52"/>
  <c r="E67" i="52"/>
  <c r="D67" i="52"/>
  <c r="F66" i="52"/>
  <c r="E66" i="52"/>
  <c r="D66" i="52"/>
  <c r="F65" i="52"/>
  <c r="E65" i="52"/>
  <c r="D65" i="52"/>
  <c r="F64" i="52"/>
  <c r="E64" i="52"/>
  <c r="D64" i="52"/>
  <c r="F63" i="52"/>
  <c r="E63" i="52"/>
  <c r="D63" i="52"/>
  <c r="F62" i="52"/>
  <c r="E62" i="52"/>
  <c r="D62" i="52"/>
  <c r="F61" i="52"/>
  <c r="E61" i="52"/>
  <c r="D61" i="52"/>
  <c r="F60" i="52"/>
  <c r="E60" i="52"/>
  <c r="D60" i="52"/>
  <c r="F59" i="52"/>
  <c r="E59" i="52"/>
  <c r="D59" i="52"/>
  <c r="F58" i="52"/>
  <c r="E58" i="52"/>
  <c r="D58" i="52"/>
  <c r="F57" i="52"/>
  <c r="E57" i="52"/>
  <c r="D57" i="52"/>
  <c r="F56" i="52"/>
  <c r="E56" i="52"/>
  <c r="D56" i="52"/>
  <c r="F55" i="52"/>
  <c r="E55" i="52"/>
  <c r="D55" i="52"/>
  <c r="F54" i="52"/>
  <c r="E54" i="52"/>
  <c r="D54" i="52"/>
  <c r="F53" i="52"/>
  <c r="E53" i="52"/>
  <c r="D53" i="52"/>
  <c r="F52" i="52"/>
  <c r="E52" i="52"/>
  <c r="D52" i="52"/>
  <c r="F51" i="52"/>
  <c r="E51" i="52"/>
  <c r="D51" i="52"/>
  <c r="F50" i="52"/>
  <c r="E50" i="52"/>
  <c r="D50" i="52"/>
  <c r="F49" i="52"/>
  <c r="E49" i="52"/>
  <c r="D49" i="52"/>
  <c r="F48" i="52"/>
  <c r="E48" i="52"/>
  <c r="D48" i="52"/>
  <c r="F47" i="52"/>
  <c r="E47" i="52"/>
  <c r="D47" i="52"/>
  <c r="F46" i="52"/>
  <c r="E46" i="52"/>
  <c r="D46" i="52"/>
  <c r="F45" i="52"/>
  <c r="E45" i="52"/>
  <c r="D45" i="52"/>
  <c r="F44" i="52"/>
  <c r="E44" i="52"/>
  <c r="D44" i="52"/>
  <c r="F43" i="52"/>
  <c r="E43" i="52"/>
  <c r="D43" i="52"/>
  <c r="F42" i="52"/>
  <c r="E42" i="52"/>
  <c r="D42" i="52"/>
  <c r="F41" i="52"/>
  <c r="E41" i="52"/>
  <c r="D41" i="52"/>
  <c r="F40" i="52"/>
  <c r="E40" i="52"/>
  <c r="D40" i="52"/>
  <c r="F39" i="52"/>
  <c r="E39" i="52"/>
  <c r="D39" i="52"/>
  <c r="F38" i="52"/>
  <c r="E38" i="52"/>
  <c r="D38" i="52"/>
  <c r="F37" i="52"/>
  <c r="E37" i="52"/>
  <c r="D37" i="52"/>
  <c r="F36" i="52"/>
  <c r="E36" i="52"/>
  <c r="D36" i="52"/>
  <c r="F35" i="52"/>
  <c r="E35" i="52"/>
  <c r="D35" i="52"/>
  <c r="F34" i="52"/>
  <c r="E34" i="52"/>
  <c r="D34" i="52"/>
  <c r="F33" i="52"/>
  <c r="E33" i="52"/>
  <c r="D33" i="52"/>
  <c r="F32" i="52"/>
  <c r="E32" i="52"/>
  <c r="D32" i="52"/>
  <c r="F31" i="52"/>
  <c r="E31" i="52"/>
  <c r="D31" i="52"/>
  <c r="F30" i="52"/>
  <c r="E30" i="52"/>
  <c r="D30" i="52"/>
  <c r="F29" i="52"/>
  <c r="E29" i="52"/>
  <c r="D29" i="52"/>
  <c r="F28" i="52"/>
  <c r="E28" i="52"/>
  <c r="D28" i="52"/>
  <c r="F27" i="52"/>
  <c r="E27" i="52"/>
  <c r="D27" i="52"/>
  <c r="F26" i="52"/>
  <c r="E26" i="52"/>
  <c r="D26" i="52"/>
  <c r="F25" i="52"/>
  <c r="E25" i="52"/>
  <c r="D25" i="52"/>
  <c r="F24" i="52"/>
  <c r="E24" i="52"/>
  <c r="D24" i="52"/>
  <c r="F23" i="52"/>
  <c r="E23" i="52"/>
  <c r="D23" i="52"/>
  <c r="F22" i="52"/>
  <c r="E22" i="52"/>
  <c r="D22" i="52"/>
  <c r="F21" i="52"/>
  <c r="E21" i="52"/>
  <c r="D21" i="52"/>
  <c r="F20" i="52"/>
  <c r="E20" i="52"/>
  <c r="D20" i="52"/>
  <c r="F19" i="52"/>
  <c r="E19" i="52"/>
  <c r="D19" i="52"/>
  <c r="F18" i="52"/>
  <c r="E18" i="52"/>
  <c r="D18" i="52"/>
  <c r="F17" i="52"/>
  <c r="E17" i="52"/>
  <c r="D17" i="52"/>
  <c r="F16" i="52"/>
  <c r="E16" i="52"/>
  <c r="D16" i="52"/>
  <c r="F15" i="52"/>
  <c r="E15" i="52"/>
  <c r="D15" i="52"/>
  <c r="F14" i="52"/>
  <c r="E14" i="52"/>
  <c r="D14" i="52"/>
  <c r="F13" i="52"/>
  <c r="E13" i="52"/>
  <c r="D13" i="52"/>
  <c r="F12" i="52"/>
  <c r="E12" i="52"/>
  <c r="D12" i="52"/>
  <c r="F11" i="52"/>
  <c r="E11" i="52"/>
  <c r="D11" i="52"/>
  <c r="F10" i="52"/>
  <c r="E10" i="52"/>
  <c r="D10" i="52"/>
  <c r="F9" i="52"/>
  <c r="E9" i="52"/>
  <c r="D9" i="52"/>
  <c r="F8" i="52"/>
  <c r="E8" i="52"/>
  <c r="D8" i="52"/>
  <c r="F7" i="52"/>
  <c r="E7" i="52"/>
  <c r="D7" i="52"/>
  <c r="F6" i="52"/>
  <c r="E6" i="52"/>
  <c r="D6" i="52"/>
  <c r="F5" i="52"/>
  <c r="E5" i="52"/>
  <c r="D5" i="52"/>
  <c r="F4" i="52"/>
  <c r="E4" i="52"/>
  <c r="D4" i="52"/>
  <c r="F3" i="52"/>
  <c r="E3" i="52"/>
  <c r="D3" i="52"/>
  <c r="F2" i="52"/>
  <c r="E2" i="52"/>
  <c r="D2" i="5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 Asghar. Parvaneh</author>
  </authors>
  <commentList>
    <comment ref="A40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Ali Asghar. Parvaneh: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کیس قبلی با کد اموال 600624 به دلیل مشکل مادربرد داغی اعلام گردید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 Asghar. Parvaneh</author>
  </authors>
  <commentList>
    <comment ref="B13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Ali Asghar. Parvaneh: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مانیتور به تهران ارسال شد جهت تعمیر</t>
        </r>
      </text>
    </comment>
  </commentList>
</comments>
</file>

<file path=xl/sharedStrings.xml><?xml version="1.0" encoding="utf-8"?>
<sst xmlns="http://schemas.openxmlformats.org/spreadsheetml/2006/main" count="5960" uniqueCount="2067">
  <si>
    <t>ردیف</t>
  </si>
  <si>
    <t xml:space="preserve">شماره سیستم </t>
  </si>
  <si>
    <t>اپراتور</t>
  </si>
  <si>
    <t xml:space="preserve">شماره سریال مانیتور </t>
  </si>
  <si>
    <t>کد اموال مانیتور</t>
  </si>
  <si>
    <t xml:space="preserve">کد اموال متعلقات </t>
  </si>
  <si>
    <t xml:space="preserve">کد اموال کیس </t>
  </si>
  <si>
    <t xml:space="preserve">مدل مانیتور </t>
  </si>
  <si>
    <t>محمدرضا کیوان</t>
  </si>
  <si>
    <t>مسعود صداقت</t>
  </si>
  <si>
    <t>هومن حسین پور</t>
  </si>
  <si>
    <t>مجید محجوبی</t>
  </si>
  <si>
    <t>حبیب یکان پور</t>
  </si>
  <si>
    <t>حمزه مسلمی</t>
  </si>
  <si>
    <t xml:space="preserve">واحد آی تی </t>
  </si>
  <si>
    <t>AOC 19" 197VA-LCD</t>
  </si>
  <si>
    <t>وحید سعیدی</t>
  </si>
  <si>
    <t>مسعود دهنوی</t>
  </si>
  <si>
    <t>آذر نیک اختر</t>
  </si>
  <si>
    <t>علی اسفندیار پور</t>
  </si>
  <si>
    <t>مهبد شاهکوهی</t>
  </si>
  <si>
    <t>محمد سلیم نیا</t>
  </si>
  <si>
    <t>ابوالفضل مصطفوی</t>
  </si>
  <si>
    <t xml:space="preserve">محمد علی قویدل </t>
  </si>
  <si>
    <t>HP Laser Jet P2035</t>
  </si>
  <si>
    <t xml:space="preserve"> VNC3565042 </t>
  </si>
  <si>
    <t>متعلقات 2</t>
  </si>
  <si>
    <t xml:space="preserve">فاقد اموال </t>
  </si>
  <si>
    <t>متعلقات 1</t>
  </si>
  <si>
    <t xml:space="preserve">علیرضا اخوت </t>
  </si>
  <si>
    <t xml:space="preserve">حجت عزت نیا </t>
  </si>
  <si>
    <t xml:space="preserve">پیمان جعفری </t>
  </si>
  <si>
    <t xml:space="preserve">سالن کنفرانس </t>
  </si>
  <si>
    <t>محمد عبدالهی</t>
  </si>
  <si>
    <t xml:space="preserve">کافی نت </t>
  </si>
  <si>
    <t xml:space="preserve">محمد خواجوئی نژاد </t>
  </si>
  <si>
    <t>LG 22" LCD W2262TQ</t>
  </si>
  <si>
    <t xml:space="preserve">0686003 - 011060033    </t>
  </si>
  <si>
    <t>شمس الدین بهرامی</t>
  </si>
  <si>
    <t>محمد جواد حق گویی</t>
  </si>
  <si>
    <t xml:space="preserve">کاظم برزمند </t>
  </si>
  <si>
    <t xml:space="preserve">مجتبی غفوری فر </t>
  </si>
  <si>
    <t xml:space="preserve">مجتبی بلوردی </t>
  </si>
  <si>
    <t>حسین جمشيدي</t>
  </si>
  <si>
    <t>فرزانه بادیه نشین</t>
  </si>
  <si>
    <t>اردشیر عسگری</t>
  </si>
  <si>
    <t>کد آزاد</t>
  </si>
  <si>
    <t>وحید شعبانی</t>
  </si>
  <si>
    <t>سید محمد خادمی</t>
  </si>
  <si>
    <t>مرتضی درخشی</t>
  </si>
  <si>
    <t xml:space="preserve">محمد هادی کشاورزی </t>
  </si>
  <si>
    <t>فرشید زارع</t>
  </si>
  <si>
    <t>رضا احمد پور</t>
  </si>
  <si>
    <t xml:space="preserve">محمد امین میر احسنی </t>
  </si>
  <si>
    <t xml:space="preserve">سریال متعلقات </t>
  </si>
  <si>
    <t xml:space="preserve">تیمور همتی </t>
  </si>
  <si>
    <t>حامد کرمی</t>
  </si>
  <si>
    <t>حسین کشاورز</t>
  </si>
  <si>
    <t xml:space="preserve">بردیا افضلی </t>
  </si>
  <si>
    <t xml:space="preserve">مهدیه صالحی پور </t>
  </si>
  <si>
    <t xml:space="preserve">رضا کاظمی </t>
  </si>
  <si>
    <t>HP Laser M1132 MFP</t>
  </si>
  <si>
    <t xml:space="preserve">CNC9B7XJDY </t>
  </si>
  <si>
    <t xml:space="preserve">مشخصات سیستم های موجود درخوابگاه ها </t>
  </si>
  <si>
    <r>
      <t>LG20" LED W2053S</t>
    </r>
    <r>
      <rPr>
        <sz val="14"/>
        <color theme="1"/>
        <rFont val="Calibri"/>
        <family val="2"/>
        <scheme val="minor"/>
      </rPr>
      <t xml:space="preserve"> </t>
    </r>
  </si>
  <si>
    <t xml:space="preserve">       0678027-204041103</t>
  </si>
  <si>
    <t xml:space="preserve">Canon Laserjet LBP 6000B </t>
  </si>
  <si>
    <t>MXBA348017</t>
  </si>
  <si>
    <t xml:space="preserve">امیر علی سالار نیا 15 خرداد </t>
  </si>
  <si>
    <t>AOCWHMAD84800089</t>
  </si>
  <si>
    <t xml:space="preserve"> LG Flatron 20EN33SS-B </t>
  </si>
  <si>
    <t xml:space="preserve">  310NDNUAD535</t>
  </si>
  <si>
    <t>خوابگاه صنایی</t>
  </si>
  <si>
    <t>GG13C10</t>
  </si>
  <si>
    <t xml:space="preserve">امیر علی سالار نیا نارسیس </t>
  </si>
  <si>
    <t xml:space="preserve">HP LaserJet 1320 </t>
  </si>
  <si>
    <t>فاقد کد اموال</t>
  </si>
  <si>
    <t>Optima Projector EX 540i</t>
  </si>
  <si>
    <t xml:space="preserve">Q8FR111AAAAAC0015 </t>
  </si>
  <si>
    <t xml:space="preserve">0698016 - 205025191 </t>
  </si>
  <si>
    <t>43NDNUJL815</t>
  </si>
  <si>
    <t>HP M130FN</t>
  </si>
  <si>
    <t>مهدی خدا دوستان</t>
  </si>
  <si>
    <t>LG 22" W2262TQ</t>
  </si>
  <si>
    <t>مجید شکیبایی</t>
  </si>
  <si>
    <t>سامان باقریان</t>
  </si>
  <si>
    <t>بهزاد پرگر</t>
  </si>
  <si>
    <t>مسعود شعبانعلی لواسانی</t>
  </si>
  <si>
    <t>عبدالحمید اکبری</t>
  </si>
  <si>
    <t>LG 22" 22MP55</t>
  </si>
  <si>
    <t>فرشاد سلیمانی</t>
  </si>
  <si>
    <t>LG 22" W2261VP</t>
  </si>
  <si>
    <t>CN995A113J</t>
  </si>
  <si>
    <t>علی رشیدی مقدم</t>
  </si>
  <si>
    <t>حمزه مزارعی</t>
  </si>
  <si>
    <t>فرزاد نیکخواه</t>
  </si>
  <si>
    <t>LG 19" W1953SE</t>
  </si>
  <si>
    <t>مجتبی جدیدالاسلام</t>
  </si>
  <si>
    <t>مجید بلوردی</t>
  </si>
  <si>
    <t>علی صدری</t>
  </si>
  <si>
    <t>پارسا محمودی پور</t>
  </si>
  <si>
    <t>فرهاد بنی اسد آزادی</t>
  </si>
  <si>
    <t>تلفن سیسکو</t>
  </si>
  <si>
    <t>رامین قلی خانی</t>
  </si>
  <si>
    <t>LG 22" 22M38H</t>
  </si>
  <si>
    <t>محمد باقر مزارعی</t>
  </si>
  <si>
    <t>حامد بخشنده</t>
  </si>
  <si>
    <t>سیاوش بیرانوند</t>
  </si>
  <si>
    <t>محمد رضا ابراهیمی</t>
  </si>
  <si>
    <t>حسن انصاری</t>
  </si>
  <si>
    <t>علی تسلیمی</t>
  </si>
  <si>
    <t>محمد امین فتحی</t>
  </si>
  <si>
    <t>حمید رضایی</t>
  </si>
  <si>
    <t>محمد عوض پور</t>
  </si>
  <si>
    <t>مریم مهدویان</t>
  </si>
  <si>
    <t>محمد نعمت پور</t>
  </si>
  <si>
    <t>HP M130fW</t>
  </si>
  <si>
    <t>VNFNF08535</t>
  </si>
  <si>
    <t>سید مصطفی دلشاد</t>
  </si>
  <si>
    <t>محل استقرار</t>
  </si>
  <si>
    <t>کد اموال</t>
  </si>
  <si>
    <t>شماره سریال</t>
  </si>
  <si>
    <t>LG W2261VP</t>
  </si>
  <si>
    <t>HP P2035</t>
  </si>
  <si>
    <t>VNC3863913</t>
  </si>
  <si>
    <t>امیر رضا ایرانمنش</t>
  </si>
  <si>
    <t>سالن جلسات فکور</t>
  </si>
  <si>
    <t>یاسر امیری</t>
  </si>
  <si>
    <t>اصغر اسفندیار پور</t>
  </si>
  <si>
    <t>محسن منتظری</t>
  </si>
  <si>
    <t>LG22" LED 22MP55HQ</t>
  </si>
  <si>
    <t>402NDCRFR059</t>
  </si>
  <si>
    <t xml:space="preserve">رضا پور خسروانی </t>
  </si>
  <si>
    <t>کافی نت</t>
  </si>
  <si>
    <t>HP Laserjet Pro MFP M130fw</t>
  </si>
  <si>
    <t>VNFVF00293</t>
  </si>
  <si>
    <t>محمد طاهری</t>
  </si>
  <si>
    <t>402NDBPKP157</t>
  </si>
  <si>
    <t>Printer laserjet 5200L</t>
  </si>
  <si>
    <t>فاقد سریال</t>
  </si>
  <si>
    <t>حیدر شیبانی</t>
  </si>
  <si>
    <t>احسان حق شناس</t>
  </si>
  <si>
    <t>علیرضا فرشید</t>
  </si>
  <si>
    <t>فاقد اموال</t>
  </si>
  <si>
    <t>722002-008012004</t>
  </si>
  <si>
    <t>V8ARH9NB502386T</t>
  </si>
  <si>
    <t>حمیدرضا قدرتی</t>
  </si>
  <si>
    <t>0722006-012072824</t>
  </si>
  <si>
    <t>HCT08847</t>
  </si>
  <si>
    <t>رامین فرجی</t>
  </si>
  <si>
    <t xml:space="preserve">محمد مهدی فتحی </t>
  </si>
  <si>
    <t>LG 19" E1940</t>
  </si>
  <si>
    <t>LG 20" W2053S</t>
  </si>
  <si>
    <t>کیس</t>
  </si>
  <si>
    <t>نوع قطعه</t>
  </si>
  <si>
    <t>مدل</t>
  </si>
  <si>
    <t>توضیحات</t>
  </si>
  <si>
    <t>قطعات ارسال شده به تهران جهت تعمیر</t>
  </si>
  <si>
    <t>Monitor</t>
  </si>
  <si>
    <t>علیرضا روزی طلب</t>
  </si>
  <si>
    <t>ارسالی از سه چاهون</t>
  </si>
  <si>
    <t>607715-2800156</t>
  </si>
  <si>
    <t xml:space="preserve">بابک حسین زاده  </t>
  </si>
  <si>
    <t>TV 32" lg</t>
  </si>
  <si>
    <t>دستگاه کارت ساعت زنی iFace 202</t>
  </si>
  <si>
    <t>مهدی محمدی</t>
  </si>
  <si>
    <t>VNF3C67704</t>
  </si>
  <si>
    <t>HP LaserJet P1102</t>
  </si>
  <si>
    <t>آرش رفعتی</t>
  </si>
  <si>
    <t xml:space="preserve">محمد رضا فیروزی </t>
  </si>
  <si>
    <t xml:space="preserve">سعید دارابی </t>
  </si>
  <si>
    <t>722003-009032981</t>
  </si>
  <si>
    <t>محسن زارع نژاد</t>
  </si>
  <si>
    <t>محمود محمدرضایی</t>
  </si>
  <si>
    <t>LG 22" E2260v</t>
  </si>
  <si>
    <t>پرینتر</t>
  </si>
  <si>
    <t>LG 22” FLAT W2262TQ</t>
  </si>
  <si>
    <t>686004-012063470</t>
  </si>
  <si>
    <t>تعمیر تهران - ارسال جهت تعمیر - مربوط به ایزدی کارفرما خرامه</t>
  </si>
  <si>
    <t>حامد رضا زاده</t>
  </si>
  <si>
    <t>LG 22” W2261VP</t>
  </si>
  <si>
    <r>
      <t>تعمیر تهران - -</t>
    </r>
    <r>
      <rPr>
        <b/>
        <sz val="14"/>
        <color rgb="FFFF0000"/>
        <rFont val="Calibri"/>
        <family val="2"/>
        <scheme val="minor"/>
      </rPr>
      <t xml:space="preserve"> از تعمیر برگشت</t>
    </r>
  </si>
  <si>
    <t>جوکار حراست فکور</t>
  </si>
  <si>
    <t>سریال</t>
  </si>
  <si>
    <t>کامران کریم نژاد</t>
  </si>
  <si>
    <t>برق</t>
  </si>
  <si>
    <t>سیویل</t>
  </si>
  <si>
    <t>سید محسن زارع</t>
  </si>
  <si>
    <t>کنترل پروژه</t>
  </si>
  <si>
    <t>انبار</t>
  </si>
  <si>
    <t>حراست فکور</t>
  </si>
  <si>
    <t>آبدارخانه</t>
  </si>
  <si>
    <t>مدیر پروژه کارفرما</t>
  </si>
  <si>
    <t>امیر رضا ایزدی</t>
  </si>
  <si>
    <t>مسئول دفتر</t>
  </si>
  <si>
    <t>فاطمه عمرانی</t>
  </si>
  <si>
    <t xml:space="preserve">عبدالعلی تقی زاده </t>
  </si>
  <si>
    <t>سوییچ 24پورت Cisco 3750</t>
  </si>
  <si>
    <t>سالن کنفرانس بزرگ</t>
  </si>
  <si>
    <t>سالن کنفرانس کوچک فکور</t>
  </si>
  <si>
    <t>WebCam LOGITECH</t>
  </si>
  <si>
    <t>Q8FR111AAAAAC0015</t>
  </si>
  <si>
    <t>مجتبی روح الامینی</t>
  </si>
  <si>
    <t>مانیتور رضا کاظمی ارسال جهت تعمیر به تهران</t>
  </si>
  <si>
    <t>CAT0932N45H</t>
  </si>
  <si>
    <t xml:space="preserve">یک دستگاه سوییچ 48 پورت CISCO مدلPOE  3750 </t>
  </si>
  <si>
    <t>دستگاه کارت ساعت پلیکام</t>
  </si>
  <si>
    <t>فرخ غریبی</t>
  </si>
  <si>
    <r>
      <t>مانیتور مخلصی ارسال جهت تعمیر به تهران-</t>
    </r>
    <r>
      <rPr>
        <b/>
        <sz val="16"/>
        <color rgb="FFFF0000"/>
        <rFont val="B Nazanin"/>
        <charset val="178"/>
      </rPr>
      <t>از تعمیر برگشت</t>
    </r>
  </si>
  <si>
    <t>مانیتور جدیدالاسلام ارسال جهت تعمیر به تهران-از تعمیر برگشت</t>
  </si>
  <si>
    <t>Clock card</t>
  </si>
  <si>
    <t>Switch</t>
  </si>
  <si>
    <r>
      <t xml:space="preserve">تعمیر تهران - ارسال جهت تعمیر - </t>
    </r>
    <r>
      <rPr>
        <b/>
        <sz val="14"/>
        <color rgb="FFFF0000"/>
        <rFont val="Calibri"/>
        <family val="2"/>
        <scheme val="minor"/>
      </rPr>
      <t>برگشت از تعمیر</t>
    </r>
  </si>
  <si>
    <t>Video Projector</t>
  </si>
  <si>
    <r>
      <t>دستگاه کارت ساعت زنی توسعه ارسال جهت تعمیر-</t>
    </r>
    <r>
      <rPr>
        <b/>
        <sz val="14"/>
        <color rgb="FFFF0000"/>
        <rFont val="B Nazanin"/>
        <charset val="178"/>
      </rPr>
      <t>برگشت از تعمیرات</t>
    </r>
  </si>
  <si>
    <t>دوربین برند TOPICA</t>
  </si>
  <si>
    <t>مانیتورینگ توسعه فولاد</t>
  </si>
  <si>
    <t>LG 22" E2260V</t>
  </si>
  <si>
    <r>
      <t>خرابی چشم دستگاه و نشناختن چهره -</t>
    </r>
    <r>
      <rPr>
        <b/>
        <sz val="14"/>
        <color rgb="FFFF0000"/>
        <rFont val="B Nazanin"/>
        <charset val="178"/>
      </rPr>
      <t xml:space="preserve"> برگشت از تعمیر</t>
    </r>
  </si>
  <si>
    <t>Canon MF3010</t>
  </si>
  <si>
    <t>نظارت کارفرما</t>
  </si>
  <si>
    <t>0714005302018560</t>
  </si>
  <si>
    <r>
      <t>ارسال جهت تعمیر -</t>
    </r>
    <r>
      <rPr>
        <b/>
        <sz val="14"/>
        <color rgb="FFFF0000"/>
        <rFont val="B Nazanin"/>
        <charset val="178"/>
      </rPr>
      <t xml:space="preserve"> از تعمیر برگشت</t>
    </r>
  </si>
  <si>
    <t>0722010109000299</t>
  </si>
  <si>
    <t>0686003011060029</t>
  </si>
  <si>
    <t>0686001011042068</t>
  </si>
  <si>
    <t>Cisco CP-6941</t>
  </si>
  <si>
    <t>SW Cisco 2960 24PORT</t>
  </si>
  <si>
    <t>722003009033183</t>
  </si>
  <si>
    <t>میلاد  صفی جهانشاهی</t>
  </si>
  <si>
    <t>0722009105031153</t>
  </si>
  <si>
    <t>سعید دارابی خرامه - ازتعمیر برگشت</t>
  </si>
  <si>
    <t>دوربین  مدار بسته</t>
  </si>
  <si>
    <t>CNJ8F4D4ZC</t>
  </si>
  <si>
    <t>WEP55093</t>
  </si>
  <si>
    <t xml:space="preserve">حمید رضا رافعی دهکردی </t>
  </si>
  <si>
    <t>محمد رضا طباطبایی پروژه فولاد</t>
  </si>
  <si>
    <t>Printer HP M706N</t>
  </si>
  <si>
    <t>CNBRP6Q10H</t>
  </si>
  <si>
    <t>CH9C17</t>
  </si>
  <si>
    <t>SAMSUNG 19” E1920NX</t>
  </si>
  <si>
    <t xml:space="preserve">مهرداد زیدآبادی نژاد </t>
  </si>
  <si>
    <t>0686002011058231</t>
  </si>
  <si>
    <t>0722004112322065</t>
  </si>
  <si>
    <t>ابوالفضل غلامی  - ارسال جهت تعمیر-از تعمیر برگشت</t>
  </si>
  <si>
    <t>مانیتور سرور نظارت کارفرما - دهنوی-از تعمیر برگشت</t>
  </si>
  <si>
    <t>مصطفی رازمند</t>
  </si>
  <si>
    <t>سیستم آزاد</t>
  </si>
  <si>
    <t>0722014110022356</t>
  </si>
  <si>
    <t>هاشم مطلبی زاده</t>
  </si>
  <si>
    <t>ایمان فتحی</t>
  </si>
  <si>
    <t>0686003011060033</t>
  </si>
  <si>
    <t>072200107046186</t>
  </si>
  <si>
    <t xml:space="preserve">احسان توحیدی </t>
  </si>
  <si>
    <t>0722009202322048</t>
  </si>
  <si>
    <t>VNF6G12287</t>
  </si>
  <si>
    <t>HP P1006</t>
  </si>
  <si>
    <t xml:space="preserve">پیروز وحیدی </t>
  </si>
  <si>
    <t>فرشاد سلیمانی (واحد مکانیک ) -ارسال به تعمیر-از تعمیر برگشت</t>
  </si>
  <si>
    <t xml:space="preserve"> ایمان پاسواری - روشن نشدن - از تعمیر برگشت</t>
  </si>
  <si>
    <t>رضا بهزاد نگارنده</t>
  </si>
  <si>
    <t>خیریه</t>
  </si>
  <si>
    <t>0722015205013059</t>
  </si>
  <si>
    <t>0722015203039586</t>
  </si>
  <si>
    <t xml:space="preserve">محمد تسلیمی </t>
  </si>
  <si>
    <t>DS-2CD1023GOE</t>
  </si>
  <si>
    <t>کارفرما</t>
  </si>
  <si>
    <t>علیرضا زبیدی</t>
  </si>
  <si>
    <t>666003011059242</t>
  </si>
  <si>
    <t>ارسال جهت تعمیر - امین خراسانی ( سیویل ) پروژه سایت مرکز تحقیقات</t>
  </si>
  <si>
    <t>SHARP Copy AR1118</t>
  </si>
  <si>
    <t>سپیده شهسواری</t>
  </si>
  <si>
    <t>0706022310001509</t>
  </si>
  <si>
    <t>0686004012063391</t>
  </si>
  <si>
    <t>0722009201322048</t>
  </si>
  <si>
    <t>احسان امیری</t>
  </si>
  <si>
    <t>HP M428</t>
  </si>
  <si>
    <t>LG 22" 22MP55HQ</t>
  </si>
  <si>
    <t>0688003011059547</t>
  </si>
  <si>
    <t>0722001007047601</t>
  </si>
  <si>
    <t>0722014205322058</t>
  </si>
  <si>
    <t>0722007101006042</t>
  </si>
  <si>
    <t xml:space="preserve">جواد رضا خوشبختیان </t>
  </si>
  <si>
    <t>سیامک احمد پور</t>
  </si>
  <si>
    <t>حمید رضا مجاور</t>
  </si>
  <si>
    <t>0722005011065809</t>
  </si>
  <si>
    <t>0978030212012428</t>
  </si>
  <si>
    <t>آی تی</t>
  </si>
  <si>
    <t xml:space="preserve">جواد خسروی </t>
  </si>
  <si>
    <t>0714004212011140</t>
  </si>
  <si>
    <t>محمد جواد یگانه</t>
  </si>
  <si>
    <t xml:space="preserve">سید باقر حسینی </t>
  </si>
  <si>
    <t>HP P2055</t>
  </si>
  <si>
    <t>0722014110022433</t>
  </si>
  <si>
    <t>CANON MF4430</t>
  </si>
  <si>
    <t>بهزاد فزوني</t>
  </si>
  <si>
    <t xml:space="preserve">RS-IP4500DA220160620BBWR613565271 </t>
  </si>
  <si>
    <t>CH10C17</t>
  </si>
  <si>
    <t>CNDRP4WB5P</t>
  </si>
  <si>
    <t>402NDHBFR009</t>
  </si>
  <si>
    <t>402NDTCFR017</t>
  </si>
  <si>
    <t>0686002011057476</t>
  </si>
  <si>
    <t>403NDMTJM211</t>
  </si>
  <si>
    <t>0686003011059253</t>
  </si>
  <si>
    <t>0722003009031108</t>
  </si>
  <si>
    <t>111RKVQ0L263</t>
  </si>
  <si>
    <t>LG 22" 2281</t>
  </si>
  <si>
    <t>LG 22" MP55HQ</t>
  </si>
  <si>
    <t>کوروش نوروزی</t>
  </si>
  <si>
    <t xml:space="preserve"> CISCO 6941</t>
  </si>
  <si>
    <t>ICAPS2</t>
  </si>
  <si>
    <t>ICAPS1</t>
  </si>
  <si>
    <t>HP PRO 2500 F1</t>
  </si>
  <si>
    <t xml:space="preserve">دستگاه ثبت ساعت IFACE 202 </t>
  </si>
  <si>
    <t>کیانوش جاوید</t>
  </si>
  <si>
    <t>احمد محمد نظری زاده</t>
  </si>
  <si>
    <t>محمد یوسف شعشعانی</t>
  </si>
  <si>
    <r>
      <t xml:space="preserve">دوربین برند </t>
    </r>
    <r>
      <rPr>
        <b/>
        <sz val="14"/>
        <color rgb="FFC00000"/>
        <rFont val="Calibri"/>
        <family val="2"/>
        <scheme val="minor"/>
      </rPr>
      <t>HIK VISION</t>
    </r>
  </si>
  <si>
    <t>کد پرسنلی</t>
  </si>
  <si>
    <t>محمد رضا ایرانمنش</t>
  </si>
  <si>
    <t>946</t>
  </si>
  <si>
    <t>1512</t>
  </si>
  <si>
    <t>1774</t>
  </si>
  <si>
    <t>0722007101006229</t>
  </si>
  <si>
    <t>0686004012062441</t>
  </si>
  <si>
    <t>0722009105031127</t>
  </si>
  <si>
    <t>4000706</t>
  </si>
  <si>
    <t>1103</t>
  </si>
  <si>
    <t>حمزه ایرانمنش</t>
  </si>
  <si>
    <t>0698016205025871</t>
  </si>
  <si>
    <t>405STKL58249</t>
  </si>
  <si>
    <t>سیستم دوربین انبار</t>
  </si>
  <si>
    <t>310024801874898000000</t>
  </si>
  <si>
    <t>ICAPS3</t>
  </si>
  <si>
    <t>4001206</t>
  </si>
  <si>
    <t>سعید نیازخانی</t>
  </si>
  <si>
    <t>مدیر سایت کارفرما</t>
  </si>
  <si>
    <t>سعید خاور</t>
  </si>
  <si>
    <t>0714002208012514</t>
  </si>
  <si>
    <t>1766</t>
  </si>
  <si>
    <t>580</t>
  </si>
  <si>
    <t>4001112</t>
  </si>
  <si>
    <t>1947</t>
  </si>
  <si>
    <t>98131</t>
  </si>
  <si>
    <t>990504</t>
  </si>
  <si>
    <t>2238</t>
  </si>
  <si>
    <t>775</t>
  </si>
  <si>
    <t>6305</t>
  </si>
  <si>
    <t>6307</t>
  </si>
  <si>
    <t>98120</t>
  </si>
  <si>
    <t>3717</t>
  </si>
  <si>
    <t>6301</t>
  </si>
  <si>
    <t>784</t>
  </si>
  <si>
    <t>323</t>
  </si>
  <si>
    <t>590</t>
  </si>
  <si>
    <t>0175002910009954</t>
  </si>
  <si>
    <t xml:space="preserve">موسی مقدم </t>
  </si>
  <si>
    <t>پیام مرادی</t>
  </si>
  <si>
    <t>i7</t>
  </si>
  <si>
    <t>بیژن طبیب نژاد عزیزی</t>
  </si>
  <si>
    <t>402NDPHFR824</t>
  </si>
  <si>
    <t>404NDJXEA980</t>
  </si>
  <si>
    <t>CAP RBCAP2ND</t>
  </si>
  <si>
    <t>HIKVISION DS-2CD2047G2-L</t>
  </si>
  <si>
    <t>J13188570</t>
  </si>
  <si>
    <t>HCM087D1YTE/220/R2</t>
  </si>
  <si>
    <t>472</t>
  </si>
  <si>
    <t>Scanner Canon M160</t>
  </si>
  <si>
    <t>20377</t>
  </si>
  <si>
    <t>بهرام غیاثوند</t>
  </si>
  <si>
    <t>100525</t>
  </si>
  <si>
    <t>سجاد عبدالهی</t>
  </si>
  <si>
    <t>4010802</t>
  </si>
  <si>
    <t>4001207</t>
  </si>
  <si>
    <t>4001111</t>
  </si>
  <si>
    <t>1263</t>
  </si>
  <si>
    <t>Hp Laserjet 700M712</t>
  </si>
  <si>
    <t>0722010105062927</t>
  </si>
  <si>
    <t>0722003009032995</t>
  </si>
  <si>
    <t>4010605</t>
  </si>
  <si>
    <t>اسماعیل کرم پور</t>
  </si>
  <si>
    <t>0722006012073172</t>
  </si>
  <si>
    <t>CNERPDQ4RH</t>
  </si>
  <si>
    <t>FBA20FC48E61</t>
  </si>
  <si>
    <t>Mikrotik cAP</t>
  </si>
  <si>
    <t>PUC173811LN</t>
  </si>
  <si>
    <t>PUC17430HJA</t>
  </si>
  <si>
    <t>PXN1527V5U0</t>
  </si>
  <si>
    <t>PUC16470PEE</t>
  </si>
  <si>
    <t>98122</t>
  </si>
  <si>
    <t>VNFPD07998</t>
  </si>
  <si>
    <t>خوابگاه كارشناسان سيرجان (سنايي)</t>
  </si>
  <si>
    <t>شماره پلاك</t>
  </si>
  <si>
    <t>شرح پلاك</t>
  </si>
  <si>
    <t>مهندس طینتی</t>
  </si>
  <si>
    <t>مهندس نصری</t>
  </si>
  <si>
    <t>مهندس بابک</t>
  </si>
  <si>
    <t>مهندس خاتم سازان</t>
  </si>
  <si>
    <t>مهندس عبدشاهی</t>
  </si>
  <si>
    <t>مهمانسرا</t>
  </si>
  <si>
    <t>مهندس رامشگر</t>
  </si>
  <si>
    <t>مالی</t>
  </si>
  <si>
    <t>DCC</t>
  </si>
  <si>
    <t>هوشمند میثاقی</t>
  </si>
  <si>
    <t>حسین طلائی رودی</t>
  </si>
  <si>
    <t>محمدرضا سلطانی</t>
  </si>
  <si>
    <t>مهندس عنایتی فر (روناک)</t>
  </si>
  <si>
    <t>مهندس رجبی (روناک)</t>
  </si>
  <si>
    <t>مهندس عباسلو (روناک)</t>
  </si>
  <si>
    <t>مهندس بهروز به نژاد (روناک)</t>
  </si>
  <si>
    <t>خوابگاه کارشناسی روناک</t>
  </si>
  <si>
    <t xml:space="preserve">اداری روناک </t>
  </si>
  <si>
    <t>امیدزینلی (روناک)</t>
  </si>
  <si>
    <t>مهندس صالحی راد (روناک)</t>
  </si>
  <si>
    <t>دفاتر اداری عصرنوین</t>
  </si>
  <si>
    <t>خوابگاه مهندس اشرفی(عصرنوین)</t>
  </si>
  <si>
    <t>خوابگاه مهندس به نیا (پامیدکو)</t>
  </si>
  <si>
    <t>خوابگاه مهندس زاهدی(عصرنوین)</t>
  </si>
  <si>
    <t>خوابگاه مهندس موسوی (عصرنوین)</t>
  </si>
  <si>
    <t>سعيد مينايي</t>
  </si>
  <si>
    <t>Printer 3 كاره CANON</t>
  </si>
  <si>
    <t>TV Daewoo DLE</t>
  </si>
  <si>
    <t>Monitor GPLUS GDM</t>
  </si>
  <si>
    <t>Monitor Gplus 245 JN</t>
  </si>
  <si>
    <t>Printer Canon 3010</t>
  </si>
  <si>
    <t xml:space="preserve"> HP LaserJet MFP M436dn</t>
  </si>
  <si>
    <t>TV 65" LED Snowa SSD-65SA6 20U</t>
  </si>
  <si>
    <t>TV Daewoo LED 43"</t>
  </si>
  <si>
    <t>(110) پروژه گوهر زمين</t>
  </si>
  <si>
    <t>سجاد کوچک زاده</t>
  </si>
  <si>
    <t>Samsung 19" 1931</t>
  </si>
  <si>
    <t>20566</t>
  </si>
  <si>
    <t>گروه بندی</t>
  </si>
  <si>
    <t>مشخصات فنی</t>
  </si>
  <si>
    <t>تحویل گیرنده 1</t>
  </si>
  <si>
    <t>تاريخ خريد</t>
  </si>
  <si>
    <t/>
  </si>
  <si>
    <t>آذر نيك اختر</t>
  </si>
  <si>
    <t>(362) پروژه احداث كارخانه فولاد گل گهر</t>
  </si>
  <si>
    <t>مانيتور</t>
  </si>
  <si>
    <t>مانيتور جي پلاس 24</t>
  </si>
  <si>
    <t>رضا ایرانپور</t>
  </si>
  <si>
    <t>رضا خیاط زاده ماهانی</t>
  </si>
  <si>
    <t>649</t>
  </si>
  <si>
    <t>20553</t>
  </si>
  <si>
    <t>0686004012063472</t>
  </si>
  <si>
    <t>مجید طاهری</t>
  </si>
  <si>
    <t>زهره آقا ملائی</t>
  </si>
  <si>
    <t>GXJ58993</t>
  </si>
  <si>
    <t>آبدارخانه فکور</t>
  </si>
  <si>
    <t>4011005</t>
  </si>
  <si>
    <t xml:space="preserve">F0C1422W7DS </t>
  </si>
  <si>
    <t xml:space="preserve">FCQ1624Y3WS </t>
  </si>
  <si>
    <t>علیرضا نوشادی</t>
  </si>
  <si>
    <t>علیرضا قناعتیان</t>
  </si>
  <si>
    <t>ایمان ادریسی</t>
  </si>
  <si>
    <t>حمید شیاسی</t>
  </si>
  <si>
    <t>اکبر نجفی</t>
  </si>
  <si>
    <t>فاطمه رضائیان</t>
  </si>
  <si>
    <t>علی اکرامیان</t>
  </si>
  <si>
    <t>بنفشه صادقی</t>
  </si>
  <si>
    <t>علی اشرف چراغیان</t>
  </si>
  <si>
    <t>ابوالفضل غلامی</t>
  </si>
  <si>
    <t>مهدی یگانه</t>
  </si>
  <si>
    <t>عبدالغنی مشایخی</t>
  </si>
  <si>
    <t>مهدی جعفر رمجی</t>
  </si>
  <si>
    <t>رضا ملک پور</t>
  </si>
  <si>
    <t>علی افرازه</t>
  </si>
  <si>
    <t>رضا طیاری</t>
  </si>
  <si>
    <t>سبحان سلجوقی</t>
  </si>
  <si>
    <t>میثم مددی زاده</t>
  </si>
  <si>
    <t>میثم جواهری</t>
  </si>
  <si>
    <t>امین محسن زاده</t>
  </si>
  <si>
    <t>جاسم راهنما</t>
  </si>
  <si>
    <t>کیوان ترابیان</t>
  </si>
  <si>
    <t>صمد دهقانی</t>
  </si>
  <si>
    <t>مصطفی لطفیانی</t>
  </si>
  <si>
    <t>میلاد ساردوئی</t>
  </si>
  <si>
    <t>CISCO CP-6941</t>
  </si>
  <si>
    <t>محمود بهاری</t>
  </si>
  <si>
    <t>بهداری</t>
  </si>
  <si>
    <t xml:space="preserve">مجتبی مرادی </t>
  </si>
  <si>
    <t xml:space="preserve">علی حیدری </t>
  </si>
  <si>
    <t>محسن مرادی</t>
  </si>
  <si>
    <t>LG 22" 22M38A</t>
  </si>
  <si>
    <t>601NTEPBV940</t>
  </si>
  <si>
    <t xml:space="preserve">محمد مهدی عدالتی </t>
  </si>
  <si>
    <t xml:space="preserve">9566 </t>
  </si>
  <si>
    <t>4011010</t>
  </si>
  <si>
    <t>Lenovo 22" L22i-30</t>
  </si>
  <si>
    <t>U3606L7W</t>
  </si>
  <si>
    <t>U563BKK1</t>
  </si>
  <si>
    <t>SAMSUNG -SL-M2070F</t>
  </si>
  <si>
    <t>073EB8KH9D00T2R</t>
  </si>
  <si>
    <t>100562</t>
  </si>
  <si>
    <t xml:space="preserve">ابراهیم خلیل فیروزی </t>
  </si>
  <si>
    <t>محسن ترابی راد</t>
  </si>
  <si>
    <t>جدید</t>
  </si>
  <si>
    <t>0686002011056970</t>
  </si>
  <si>
    <t>20255</t>
  </si>
  <si>
    <t>UPS</t>
  </si>
  <si>
    <t>ظهیر حسینی</t>
  </si>
  <si>
    <t>شاه محمدی</t>
  </si>
  <si>
    <t>20564</t>
  </si>
  <si>
    <t>Iface 202</t>
  </si>
  <si>
    <t>iface 202</t>
  </si>
  <si>
    <t>20574</t>
  </si>
  <si>
    <t>HIK VISION IP CAMERA</t>
  </si>
  <si>
    <t>100551</t>
  </si>
  <si>
    <t>تاریخ اختتام</t>
  </si>
  <si>
    <t>علت اختتام</t>
  </si>
  <si>
    <t>كانكس 12 متري مان</t>
  </si>
  <si>
    <t>دو اتاقه - IT</t>
  </si>
  <si>
    <t>كانكس 6 متري ماهان</t>
  </si>
  <si>
    <t>تك اتاقه - IT</t>
  </si>
  <si>
    <t>صندلي نيلپر K 600</t>
  </si>
  <si>
    <t>كولر گازي پنجره اي  18000 O GENERAL</t>
  </si>
  <si>
    <t>كولر اسپيلت سردو گرمSAMSUNG 18000</t>
  </si>
  <si>
    <t>اسلام دانائی مفرد</t>
  </si>
  <si>
    <t>ارسال به تعمیر به علت مات بودن تصویر -  مانیتور قبلی آرمان فرخ</t>
  </si>
  <si>
    <t xml:space="preserve">مانیتور  محمد باجلان کارفرما سایت توسعه فولاد به علت روشن نشدن </t>
  </si>
  <si>
    <t xml:space="preserve">موجودی انبار سایت توسعه فولاد به علت خط داشتن تصویر  </t>
  </si>
  <si>
    <t>در تاریخ 18/11/1401 از تعمیر برگشت</t>
  </si>
  <si>
    <t>100567</t>
  </si>
  <si>
    <t xml:space="preserve">مانیتور جابر زیدآبادی نژاد-مرکز تحقیقات-علت روشن نشدن </t>
  </si>
  <si>
    <t>842</t>
  </si>
  <si>
    <t>100536</t>
  </si>
  <si>
    <t>660</t>
  </si>
  <si>
    <t>Camera FujiFilm XP130</t>
  </si>
  <si>
    <t>8SQ01510</t>
  </si>
  <si>
    <t>پیمانکار ساخت خوابگاه</t>
  </si>
  <si>
    <t>3754</t>
  </si>
  <si>
    <t>0722016205013947</t>
  </si>
  <si>
    <t>خوابگاه</t>
  </si>
  <si>
    <t>NVR</t>
  </si>
  <si>
    <t>IP Camera   _HIK VISION - DS _ 2CD2023G0-l</t>
  </si>
  <si>
    <t>در تاریخ 06/12/1401 از تعمیر برگشت</t>
  </si>
  <si>
    <t>IP Camera HIKVISION DS2CD1143G0L</t>
  </si>
  <si>
    <t>واحد</t>
  </si>
  <si>
    <t>ایمنی</t>
  </si>
  <si>
    <t>دفتر فنی سیویل</t>
  </si>
  <si>
    <t>کنترل کیفیت</t>
  </si>
  <si>
    <t>مدیر سایت</t>
  </si>
  <si>
    <t>مالی - اداری</t>
  </si>
  <si>
    <t>علی دادگستر</t>
  </si>
  <si>
    <t>سرپرست اجرا</t>
  </si>
  <si>
    <t>محمد مشمولی</t>
  </si>
  <si>
    <t>نظارت سیویل</t>
  </si>
  <si>
    <t>محمد سرابی</t>
  </si>
  <si>
    <t>حبیب برازجانی</t>
  </si>
  <si>
    <t>سلمان یگانه</t>
  </si>
  <si>
    <t>قدرت الله جوان</t>
  </si>
  <si>
    <t>حمیدرضا شاهمرادی</t>
  </si>
  <si>
    <t>غلامحسین شمسی شهربابکی</t>
  </si>
  <si>
    <t>تحویل گیرنده اول</t>
  </si>
  <si>
    <t>شرکت</t>
  </si>
  <si>
    <t>کد شناسایی سیستم</t>
  </si>
  <si>
    <t>تحویل گیرنده دوم</t>
  </si>
  <si>
    <t>تحویل گیرنده -1</t>
  </si>
  <si>
    <t>تحویل گیرنده -2</t>
  </si>
  <si>
    <t>مسلم میدانی</t>
  </si>
  <si>
    <t>توسعه فولاد (362)</t>
  </si>
  <si>
    <t>اسکنر</t>
  </si>
  <si>
    <t>ساسان انصاری</t>
  </si>
  <si>
    <t>سید جواد موسوی</t>
  </si>
  <si>
    <t>محسن صالحی</t>
  </si>
  <si>
    <t>صفدر رحیمی</t>
  </si>
  <si>
    <t>سالن کنفرانس نظارت</t>
  </si>
  <si>
    <t>خسرو بقایی</t>
  </si>
  <si>
    <t>مجتبی علی پور زارعی</t>
  </si>
  <si>
    <t>کامیار صدیقی</t>
  </si>
  <si>
    <t>محسن مومنی</t>
  </si>
  <si>
    <t>محسن رضوانی</t>
  </si>
  <si>
    <t>کاظم زلفی</t>
  </si>
  <si>
    <t>شهرام فروزان فر</t>
  </si>
  <si>
    <t>احمد قربانی</t>
  </si>
  <si>
    <t>علیرضا کبیری</t>
  </si>
  <si>
    <t>مراد عباسی زاده آوند</t>
  </si>
  <si>
    <t>علیرضا ستوده</t>
  </si>
  <si>
    <t>محسن اسدی</t>
  </si>
  <si>
    <t>حسن پروند</t>
  </si>
  <si>
    <t>علی کاظمی</t>
  </si>
  <si>
    <t>محمد سیاهکوهی</t>
  </si>
  <si>
    <t>صادق ذاکری</t>
  </si>
  <si>
    <t>محمد قلی حافظی</t>
  </si>
  <si>
    <t>امیرحسین مهاجرانی</t>
  </si>
  <si>
    <t>علی پروانه</t>
  </si>
  <si>
    <t>جواد نژاد بیگلری</t>
  </si>
  <si>
    <t>علی بلوردی</t>
  </si>
  <si>
    <t>عباس چوبینه</t>
  </si>
  <si>
    <t>بهنام عباس پور</t>
  </si>
  <si>
    <t xml:space="preserve">علی خسرونیا </t>
  </si>
  <si>
    <t>نرگس محمود آبادی</t>
  </si>
  <si>
    <t>محمد نقدی</t>
  </si>
  <si>
    <t>اسماعیل امیدی نرگس</t>
  </si>
  <si>
    <t>نبی الله میرزایی</t>
  </si>
  <si>
    <t xml:space="preserve"> غلامرضا دیندارلو</t>
  </si>
  <si>
    <t>محمد مهدی میرزایی</t>
  </si>
  <si>
    <t>محمد هادی صفاری</t>
  </si>
  <si>
    <t>عقیل کی منش</t>
  </si>
  <si>
    <t>محمدرضا حاجی زاده</t>
  </si>
  <si>
    <t>مینا تبریزی</t>
  </si>
  <si>
    <t>محسن علی آبادی پور</t>
  </si>
  <si>
    <t>علیرضا علیپور</t>
  </si>
  <si>
    <t>سامان سپهوار</t>
  </si>
  <si>
    <t>داود بویری</t>
  </si>
  <si>
    <t>ایمان قراچورلو</t>
  </si>
  <si>
    <t>فرشاد نوروزی نژاد</t>
  </si>
  <si>
    <t>فرزاد عباسی</t>
  </si>
  <si>
    <t>نیما خسروپور</t>
  </si>
  <si>
    <t>محمد هادی طاهرخانی</t>
  </si>
  <si>
    <t>حمید افرادی</t>
  </si>
  <si>
    <t>سهیل عبداللهی</t>
  </si>
  <si>
    <t>اسماعیل ملکی</t>
  </si>
  <si>
    <t>سعید زندی</t>
  </si>
  <si>
    <t>سنا متین زاده</t>
  </si>
  <si>
    <t>میثم فتحی زاده</t>
  </si>
  <si>
    <t>آرمان فرخ</t>
  </si>
  <si>
    <t>مهدی تارازی</t>
  </si>
  <si>
    <t>مجتبی حسام پور</t>
  </si>
  <si>
    <t>هومن یوسفی</t>
  </si>
  <si>
    <t>الهام گنجی</t>
  </si>
  <si>
    <t>مسلم آذرافزا</t>
  </si>
  <si>
    <t>زهرا شهسواری پور</t>
  </si>
  <si>
    <t>مهدی حسینی فر</t>
  </si>
  <si>
    <t>کریم اسکندری</t>
  </si>
  <si>
    <t>نظارت توسعه فولاد (362)</t>
  </si>
  <si>
    <t>محمد باجلان</t>
  </si>
  <si>
    <t>منصور فرهادی</t>
  </si>
  <si>
    <t>مصطفی بهاری</t>
  </si>
  <si>
    <t>اسماعیل امینی زاده</t>
  </si>
  <si>
    <t>کیوان پژوتن</t>
  </si>
  <si>
    <t>فرهنگ عباسی</t>
  </si>
  <si>
    <t xml:space="preserve">محمد رضا عبادی </t>
  </si>
  <si>
    <t>امیرحسین قاسمی کرم</t>
  </si>
  <si>
    <t>اصغر بهرامی سامانی</t>
  </si>
  <si>
    <t>محمد رضا اردهی</t>
  </si>
  <si>
    <t>اشکان خلیلی مقدم</t>
  </si>
  <si>
    <t>بهنام رحيمي</t>
  </si>
  <si>
    <t>سيد حسين احسايي</t>
  </si>
  <si>
    <t>افشین دهقان</t>
  </si>
  <si>
    <t>رضا رئیسی</t>
  </si>
  <si>
    <t>کوروش صادقیان</t>
  </si>
  <si>
    <t>علیرضا جاوید</t>
  </si>
  <si>
    <t>حمید افشاری</t>
  </si>
  <si>
    <t>رسول مردانی</t>
  </si>
  <si>
    <t>خراسانی</t>
  </si>
  <si>
    <t>سوییچ</t>
  </si>
  <si>
    <t>حسن قشم پور</t>
  </si>
  <si>
    <t>آشپزخانه توسعه فولاد (362)</t>
  </si>
  <si>
    <t>دوربین</t>
  </si>
  <si>
    <t>رادیو</t>
  </si>
  <si>
    <t>حسن دلاوری</t>
  </si>
  <si>
    <t>محمدجوادخواجویی نژاد</t>
  </si>
  <si>
    <t>کارفرما توسعه فولاد (362)</t>
  </si>
  <si>
    <t>پیام رضایی</t>
  </si>
  <si>
    <t>رضا عوض پور</t>
  </si>
  <si>
    <t>هادی رضاخانی</t>
  </si>
  <si>
    <t>گهرزمین (290)</t>
  </si>
  <si>
    <t>محمد علی قویدل</t>
  </si>
  <si>
    <t>سودابه روح الامینی</t>
  </si>
  <si>
    <t>اسکندر رحمانیان</t>
  </si>
  <si>
    <t>علیرضا باریکانی</t>
  </si>
  <si>
    <t>پلیکام (394)</t>
  </si>
  <si>
    <t>یعقوب دکمائی</t>
  </si>
  <si>
    <t>سهراب تیموری</t>
  </si>
  <si>
    <t>محمد طاهری ایمنی</t>
  </si>
  <si>
    <t>محسن ایوب زاده</t>
  </si>
  <si>
    <t>حجت عظیمی  قایکانی</t>
  </si>
  <si>
    <t>محمد یغمایی</t>
  </si>
  <si>
    <t>یاسر خشنود</t>
  </si>
  <si>
    <t>مهدی اتش برگ</t>
  </si>
  <si>
    <t>عرفان میدانی</t>
  </si>
  <si>
    <t>مجتبی زینعلی</t>
  </si>
  <si>
    <t>قاسم دلفانی</t>
  </si>
  <si>
    <t>مهران سینایی پور</t>
  </si>
  <si>
    <t>علی عباسی</t>
  </si>
  <si>
    <t>فرهاد سوخک</t>
  </si>
  <si>
    <t>بهمن بیات</t>
  </si>
  <si>
    <t>مهدی دهیادگاری</t>
  </si>
  <si>
    <t xml:space="preserve">Camera Raster RS-IP4500DA2 </t>
  </si>
  <si>
    <t>نصب شده بالای سر دستگاه ساعت زنی</t>
  </si>
  <si>
    <t>میثم فراهانی</t>
  </si>
  <si>
    <t>کوروش افشین</t>
  </si>
  <si>
    <t>رضا بیرق دار</t>
  </si>
  <si>
    <t>حامد قدوسی</t>
  </si>
  <si>
    <t>کرامت حاج محمدی</t>
  </si>
  <si>
    <t>اصغر شهبا</t>
  </si>
  <si>
    <t>ثامر یوسفیان</t>
  </si>
  <si>
    <t>علی عزیزی</t>
  </si>
  <si>
    <t>رضا بیرق دار - دفتر معقولی</t>
  </si>
  <si>
    <t>امیر پسندی پور</t>
  </si>
  <si>
    <t>محمود حسینی امیر کنده</t>
  </si>
  <si>
    <t>مهبد تاتاری</t>
  </si>
  <si>
    <t>مهدی شهبا</t>
  </si>
  <si>
    <t>حمید کسایی</t>
  </si>
  <si>
    <t>احسان اذرنگ</t>
  </si>
  <si>
    <t>دکتر رضا پورشهسواری</t>
  </si>
  <si>
    <t>فرهاد سالاری</t>
  </si>
  <si>
    <t>علی استادیان</t>
  </si>
  <si>
    <t>بهنام معقولی</t>
  </si>
  <si>
    <t>اصغر راد نژاد</t>
  </si>
  <si>
    <t>علی جوانمرد</t>
  </si>
  <si>
    <t>پورنگ خرم آبادی زاد</t>
  </si>
  <si>
    <t>علیرضا کاویان پور</t>
  </si>
  <si>
    <t>ابراهیم خواجویی</t>
  </si>
  <si>
    <t>هادی مقصودی مقدم</t>
  </si>
  <si>
    <t>فکورصنعت</t>
  </si>
  <si>
    <t>سرپرست واحد اکسیژن</t>
  </si>
  <si>
    <t>نقشه برداری</t>
  </si>
  <si>
    <t>اداری</t>
  </si>
  <si>
    <t>کارمند اداری آهک</t>
  </si>
  <si>
    <t>ابزار دقیق</t>
  </si>
  <si>
    <t>سرپرست آی تی</t>
  </si>
  <si>
    <t>ماشین آلات سنگین</t>
  </si>
  <si>
    <t>مهرفام</t>
  </si>
  <si>
    <t>اجرا</t>
  </si>
  <si>
    <t>دفتر فنی</t>
  </si>
  <si>
    <t>سرپرست واحد آهک</t>
  </si>
  <si>
    <t>حراست توسعه</t>
  </si>
  <si>
    <t>آزمایشگاه</t>
  </si>
  <si>
    <t>تردد اداری</t>
  </si>
  <si>
    <t>مکانیک</t>
  </si>
  <si>
    <t>812</t>
  </si>
  <si>
    <t>سرپرست امور قراردادها</t>
  </si>
  <si>
    <t>نظارت سیویل و سازه</t>
  </si>
  <si>
    <t>رئیس دفتر فنی</t>
  </si>
  <si>
    <t>سرپرست واحد تصفیه آب</t>
  </si>
  <si>
    <t>100550</t>
  </si>
  <si>
    <t>پایپینگ</t>
  </si>
  <si>
    <t>100552</t>
  </si>
  <si>
    <t>کاربین طرح</t>
  </si>
  <si>
    <t>100524</t>
  </si>
  <si>
    <t>سرپرست دفتر فنی سازه</t>
  </si>
  <si>
    <t>مدیر سایت توسعه</t>
  </si>
  <si>
    <t>توسعه فولاد (362)-گهرزمین (290)</t>
  </si>
  <si>
    <t>جاسم شهابی</t>
  </si>
  <si>
    <t>243</t>
  </si>
  <si>
    <t>معاون پروژه ها</t>
  </si>
  <si>
    <t>استراکچر</t>
  </si>
  <si>
    <t>هماهنگ کننده پروژه</t>
  </si>
  <si>
    <t>نظارت مکانیک</t>
  </si>
  <si>
    <t>معاون اجرایی مدیر سایت</t>
  </si>
  <si>
    <t>علی خسرونیا</t>
  </si>
  <si>
    <t>رئیس ناحیه انرژی و تاسیسات جانبی</t>
  </si>
  <si>
    <t>100521</t>
  </si>
  <si>
    <t>دفتر فنی پایپینگ</t>
  </si>
  <si>
    <t>سرمایه های انسانی</t>
  </si>
  <si>
    <t>امورقراردادها</t>
  </si>
  <si>
    <t>100519</t>
  </si>
  <si>
    <t>4011101</t>
  </si>
  <si>
    <t>سرپرست واحد کوره ها و گاززدا</t>
  </si>
  <si>
    <t>مسئول خوابگاه کمپ کارگری</t>
  </si>
  <si>
    <t>مسئول خرید</t>
  </si>
  <si>
    <t>نظارت مکانیک و پایپینگ</t>
  </si>
  <si>
    <t>100530</t>
  </si>
  <si>
    <t>100528</t>
  </si>
  <si>
    <t>100547</t>
  </si>
  <si>
    <t>مکانیک پایپینگ</t>
  </si>
  <si>
    <t>100553</t>
  </si>
  <si>
    <t>سرپرست پشتیبانی</t>
  </si>
  <si>
    <t>رئیس امور قراردادها</t>
  </si>
  <si>
    <t>100555</t>
  </si>
  <si>
    <t>100548</t>
  </si>
  <si>
    <t>دفتر فنی مکانیک</t>
  </si>
  <si>
    <t>100556</t>
  </si>
  <si>
    <t>100549</t>
  </si>
  <si>
    <t>20399</t>
  </si>
  <si>
    <t>100557</t>
  </si>
  <si>
    <t>685</t>
  </si>
  <si>
    <t>دفتر فنی سازه</t>
  </si>
  <si>
    <t>100541</t>
  </si>
  <si>
    <t>ایمنی - آهک</t>
  </si>
  <si>
    <t>4010903</t>
  </si>
  <si>
    <t>20575</t>
  </si>
  <si>
    <t>سرپرست تاسیسات</t>
  </si>
  <si>
    <t xml:space="preserve">کارشناس اداره کار </t>
  </si>
  <si>
    <t>100558</t>
  </si>
  <si>
    <t>مشاور کارفرما</t>
  </si>
  <si>
    <t>راه اندازی</t>
  </si>
  <si>
    <t>مدیر نظارت</t>
  </si>
  <si>
    <t>مدیر ایمنی کارفرما</t>
  </si>
  <si>
    <t>خدمات آبدارخانه</t>
  </si>
  <si>
    <t>خدمات آبدارخانه فکور</t>
  </si>
  <si>
    <t>آتش نشانی</t>
  </si>
  <si>
    <t>رئیس تامین تجهیزات برق</t>
  </si>
  <si>
    <t>نگهبان آهک</t>
  </si>
  <si>
    <t>سرپرست کنترل پروژه</t>
  </si>
  <si>
    <t>مدیر سایت گهرزمین</t>
  </si>
  <si>
    <t>فولاد گسترش</t>
  </si>
  <si>
    <t>سرپرست کارگاه</t>
  </si>
  <si>
    <t>مدیر پروژه گهرزمین</t>
  </si>
  <si>
    <t>0</t>
  </si>
  <si>
    <t>پشتیبانی</t>
  </si>
  <si>
    <t>کارشناس فرآیند دفتر تهران</t>
  </si>
  <si>
    <t>772</t>
  </si>
  <si>
    <t>نظارت برق</t>
  </si>
  <si>
    <t>نظارت سازه</t>
  </si>
  <si>
    <t>آشیان آرا</t>
  </si>
  <si>
    <t xml:space="preserve">سرپرست مهندسی پروژه </t>
  </si>
  <si>
    <t>سرپرست  کنترل پروژه</t>
  </si>
  <si>
    <t>مدیر پروژه</t>
  </si>
  <si>
    <t>سرپرست فنی پروژه</t>
  </si>
  <si>
    <t>گلفا (390)</t>
  </si>
  <si>
    <t>مدیرپروژه</t>
  </si>
  <si>
    <t>مسئول دفتر نظارت-بیرق دار</t>
  </si>
  <si>
    <t xml:space="preserve">سرپرست کارگاه کارفرما </t>
  </si>
  <si>
    <t>مدیر سایت گلفا</t>
  </si>
  <si>
    <t xml:space="preserve"> نظارت سازه</t>
  </si>
  <si>
    <t>سرپرست نظارت و اجرای سایت</t>
  </si>
  <si>
    <t>مسئول کنترل مدارک</t>
  </si>
  <si>
    <t xml:space="preserve">لیلا علائی </t>
  </si>
  <si>
    <t>20548</t>
  </si>
  <si>
    <t>در تاریخ 1401/12/10 از تعمیر برگشت</t>
  </si>
  <si>
    <t>4000808</t>
  </si>
  <si>
    <t>جهت تعمیر تحویل سروش کریمی شده</t>
  </si>
  <si>
    <t>مانیتور قبلی کاظم زلفی - روشن نمیشود</t>
  </si>
  <si>
    <t>100563</t>
  </si>
  <si>
    <t xml:space="preserve">دفتر فنی مکانیک </t>
  </si>
  <si>
    <t>حمید رضا مصلحی</t>
  </si>
  <si>
    <t>ایمان شرقانی</t>
  </si>
  <si>
    <t>در تاریخ 1401/12/20 از تعمیر برگشت</t>
  </si>
  <si>
    <t>1258</t>
  </si>
  <si>
    <t>انبار روباز گلفا (390)</t>
  </si>
  <si>
    <t>نصب شده در انبار رو باز گلفا 390</t>
  </si>
  <si>
    <t>اداری - پشتیبانی</t>
  </si>
  <si>
    <t>هادی دهقانی</t>
  </si>
  <si>
    <t>فولاد اسرار</t>
  </si>
  <si>
    <t>نماینده شرکت فولاد اسرار</t>
  </si>
  <si>
    <t>امیر ژاله نادری</t>
  </si>
  <si>
    <t>امیر علی انتظاری</t>
  </si>
  <si>
    <t>امیرحسین پورزمان</t>
  </si>
  <si>
    <t>آرش آذرپور</t>
  </si>
  <si>
    <t>علی بدیعیان</t>
  </si>
  <si>
    <t>حسین مرادی</t>
  </si>
  <si>
    <t>ابوالفضل بخش آبادی</t>
  </si>
  <si>
    <t>محمد رضا خراشادیزاده</t>
  </si>
  <si>
    <t>حمید معظمی افشار</t>
  </si>
  <si>
    <t>علی روانفر</t>
  </si>
  <si>
    <t>علی راستگو</t>
  </si>
  <si>
    <t>محسن پورعیدی</t>
  </si>
  <si>
    <t>دلاور کسرایی</t>
  </si>
  <si>
    <t>حسن رضا آهمند</t>
  </si>
  <si>
    <t>علیرضا جلالی</t>
  </si>
  <si>
    <t>محمود پسندیده</t>
  </si>
  <si>
    <t>قادر عبدشاهی</t>
  </si>
  <si>
    <t>تربت حیدریه (439)</t>
  </si>
  <si>
    <t>مسعود حسین زاده</t>
  </si>
  <si>
    <t>HP M1214</t>
  </si>
  <si>
    <t>پیشگام نیرو</t>
  </si>
  <si>
    <t>ابراهیم امیری</t>
  </si>
  <si>
    <t>مسئول دفتر مدیر سایت</t>
  </si>
  <si>
    <t>مدیریت پروژه</t>
  </si>
  <si>
    <t>مسئول امور مالی</t>
  </si>
  <si>
    <t>حراست</t>
  </si>
  <si>
    <t>سرپرست مهندسی پروژه</t>
  </si>
  <si>
    <t>سرپرست برنامه ریزی و کنترل پروژه</t>
  </si>
  <si>
    <t>خوشنام نیرو</t>
  </si>
  <si>
    <t>شاهین میکائیلی</t>
  </si>
  <si>
    <t>محمد علی عباسی</t>
  </si>
  <si>
    <t>نادر بیدگلی</t>
  </si>
  <si>
    <t>رامین امیر خانی</t>
  </si>
  <si>
    <t>سارایه</t>
  </si>
  <si>
    <t>احمد اوصیا</t>
  </si>
  <si>
    <t>جواد فیروز آبادی</t>
  </si>
  <si>
    <t>قربانی</t>
  </si>
  <si>
    <t>مدیر پروژه راه اندازی  فرزان</t>
  </si>
  <si>
    <t>0722014203039252</t>
  </si>
  <si>
    <t>0698014204006918</t>
  </si>
  <si>
    <t>خرامه (392)</t>
  </si>
  <si>
    <t>سرپرست انبار</t>
  </si>
  <si>
    <t>حسن عبدی</t>
  </si>
  <si>
    <t>عباس علی نیک سرشت</t>
  </si>
  <si>
    <t>محمد مهدی امیری</t>
  </si>
  <si>
    <t>فرهنگ فرنیا</t>
  </si>
  <si>
    <t>علی رضایی</t>
  </si>
  <si>
    <t>علی مداحی</t>
  </si>
  <si>
    <t>مصطفی پورباقری</t>
  </si>
  <si>
    <t>رضا ایزدی</t>
  </si>
  <si>
    <t>عباس ایرانی</t>
  </si>
  <si>
    <t>ابوذر همتی</t>
  </si>
  <si>
    <t>انبار روباز خرامه (392)</t>
  </si>
  <si>
    <t>نصب در انبار</t>
  </si>
  <si>
    <t>مختوم شده</t>
  </si>
  <si>
    <t>انبار - داغی</t>
  </si>
  <si>
    <t>ساسان شجاعت</t>
  </si>
  <si>
    <t>اصغر صیاد</t>
  </si>
  <si>
    <t>انبار آی تی خرامه (392)</t>
  </si>
  <si>
    <t>حسام رصاف</t>
  </si>
  <si>
    <t>مشاور و کارفرما</t>
  </si>
  <si>
    <t>مسئول دفتر مدیرعامل</t>
  </si>
  <si>
    <t>حامد روستا</t>
  </si>
  <si>
    <t>احمد علی دهقان</t>
  </si>
  <si>
    <t>محمد آزادگان</t>
  </si>
  <si>
    <t>سالن کنفرانس نظارت کارفرما</t>
  </si>
  <si>
    <t>کیان ایزدی</t>
  </si>
  <si>
    <t>امور مالی کارفرما</t>
  </si>
  <si>
    <t xml:space="preserve">هیئت مدیره کارفرما </t>
  </si>
  <si>
    <t>سجاد اسماعیلی</t>
  </si>
  <si>
    <t>آبدارخانه مشاور کارفرما</t>
  </si>
  <si>
    <t>مجتبی جعفری</t>
  </si>
  <si>
    <t>امین ایزدی</t>
  </si>
  <si>
    <t>0686004012062743</t>
  </si>
  <si>
    <t>0722010109000463</t>
  </si>
  <si>
    <t>کارفرما خرامه (392)</t>
  </si>
  <si>
    <t>محسن سپاهان فرد</t>
  </si>
  <si>
    <t>انبار منطقه ای سیرجان</t>
  </si>
  <si>
    <t>شرکت ماندرو</t>
  </si>
  <si>
    <t>خسرو خسروی</t>
  </si>
  <si>
    <t>نگهبانی</t>
  </si>
  <si>
    <t>زهرا نصرت آبادی</t>
  </si>
  <si>
    <t>امین خراسانی(نگهبانی)</t>
  </si>
  <si>
    <t>امین خراسانی</t>
  </si>
  <si>
    <t>امیر علی محمدی</t>
  </si>
  <si>
    <t>پیمانکار</t>
  </si>
  <si>
    <t>مدیر سایت مرکز تحقیقات</t>
  </si>
  <si>
    <t>مدیر پروژه مرکز تحقیقات</t>
  </si>
  <si>
    <t>مینا سالاری</t>
  </si>
  <si>
    <t>اسماعیل زید آبادی نژاد</t>
  </si>
  <si>
    <t>عبدالحمید بقائی</t>
  </si>
  <si>
    <t>محمود سلطانی زاده</t>
  </si>
  <si>
    <t>جابر زیدآبادی نژاد</t>
  </si>
  <si>
    <t>اصغر قنبری</t>
  </si>
  <si>
    <t>سایت مرکز تحقیقات (438)</t>
  </si>
  <si>
    <t>مهدی قاسمی افشار</t>
  </si>
  <si>
    <t>مهدی فیضی قوغان</t>
  </si>
  <si>
    <t>رئیس اجرائی پروژه</t>
  </si>
  <si>
    <t>0722009112322105</t>
  </si>
  <si>
    <t>روح الله جمالی</t>
  </si>
  <si>
    <t>IP : 172.16.27.202 + نصب شده در پروژه</t>
  </si>
  <si>
    <t>سعید اسماعیلی</t>
  </si>
  <si>
    <t>محسن علی آبادی</t>
  </si>
  <si>
    <t>خدمات رفاهی مهمانسراهای سیرجان</t>
  </si>
  <si>
    <t>مسئول انبار مهمانسراهای سیرجان</t>
  </si>
  <si>
    <t>سرپرست مهمانسراهای سیرجان</t>
  </si>
  <si>
    <t>رئیس پشتیبانی سایت ها</t>
  </si>
  <si>
    <t>مسئول خوابگاه ها سایت فولاد (362)</t>
  </si>
  <si>
    <t>مهمانسراهای سیرجان</t>
  </si>
  <si>
    <t>دفتر مرکزی تهران</t>
  </si>
  <si>
    <t>مجید شیخ الوشاقی</t>
  </si>
  <si>
    <t>آهن اسفنجی بردسیر (461)</t>
  </si>
  <si>
    <t>کارشناس نظارت سازه</t>
  </si>
  <si>
    <t>4010801</t>
  </si>
  <si>
    <t>مدیر سایت بردسیر (461)</t>
  </si>
  <si>
    <t>20257</t>
  </si>
  <si>
    <t>حسین زیدآبادی</t>
  </si>
  <si>
    <t>میلاد زندی</t>
  </si>
  <si>
    <t>935</t>
  </si>
  <si>
    <t>سرپرست عملیات ایمنی</t>
  </si>
  <si>
    <t>4000505</t>
  </si>
  <si>
    <t xml:space="preserve"> ایمنی</t>
  </si>
  <si>
    <t>4001005</t>
  </si>
  <si>
    <t>سرپرست نقشه برداری</t>
  </si>
  <si>
    <t>مهدی خان میرزایی</t>
  </si>
  <si>
    <t>کاظم برزگری</t>
  </si>
  <si>
    <t>حسام الدین مخلصی</t>
  </si>
  <si>
    <t>منوچهر شاهکوهی</t>
  </si>
  <si>
    <t>محمود نیکنام</t>
  </si>
  <si>
    <t>معین زارع</t>
  </si>
  <si>
    <t>غلامحسین مکی آبادی</t>
  </si>
  <si>
    <t>حامد صانعی</t>
  </si>
  <si>
    <t xml:space="preserve">علی اصغر میرزایی </t>
  </si>
  <si>
    <t>آهن مهام</t>
  </si>
  <si>
    <t>گلبن</t>
  </si>
  <si>
    <t xml:space="preserve">شرکت برسو </t>
  </si>
  <si>
    <t>ودود نریمان</t>
  </si>
  <si>
    <t>کارفرما آهن اسفنجی بردسیر (461)</t>
  </si>
  <si>
    <t>BF.H9MN6.011449</t>
  </si>
  <si>
    <t>داشتن خط هنگام روشن شدن صفحه نمایش</t>
  </si>
  <si>
    <t>Optoma Projector EX 540i</t>
  </si>
  <si>
    <t>به علت روشن نشدن -مانتیور قبلی مسلمی</t>
  </si>
  <si>
    <t>علت خاموش روشن شدن تصویر -تحویلی از آی کپس</t>
  </si>
  <si>
    <t>روشن نشدن مانیتور -آبدارخانه بردسیر</t>
  </si>
  <si>
    <t>به علت داخلی نگرفتن -تلفن قبلی اکبری</t>
  </si>
  <si>
    <t>به علت روشن نشدن لامپ تصویر -کانکس آموزش ایمنی</t>
  </si>
  <si>
    <t>محمد حسین پیکانی</t>
  </si>
  <si>
    <t>0053581962</t>
  </si>
  <si>
    <t>علی سالاروند رستمی</t>
  </si>
  <si>
    <t>سازه</t>
  </si>
  <si>
    <t>4219752994</t>
  </si>
  <si>
    <t>بازیافت باطله چادرملو (159)</t>
  </si>
  <si>
    <t>كنسانتره سنگ آهن بهاباد يزد</t>
  </si>
  <si>
    <t>آرش طینتی</t>
  </si>
  <si>
    <t>احسان نصری</t>
  </si>
  <si>
    <t>طراحی</t>
  </si>
  <si>
    <t>جانشین مدیر سایت</t>
  </si>
  <si>
    <t>کارپرداز</t>
  </si>
  <si>
    <t>تحقیق و توسعه فکور</t>
  </si>
  <si>
    <t>چادرملو</t>
  </si>
  <si>
    <t>روناک</t>
  </si>
  <si>
    <r>
      <t>احسان موسوی</t>
    </r>
    <r>
      <rPr>
        <b/>
        <sz val="12"/>
        <color rgb="FFFF0000"/>
        <rFont val="Calibri"/>
        <family val="2"/>
        <scheme val="minor"/>
      </rPr>
      <t/>
    </r>
  </si>
  <si>
    <t>سجاد اشرفی</t>
  </si>
  <si>
    <t>حمید رضا خاتم سازان</t>
  </si>
  <si>
    <t>مهران فقیهی</t>
  </si>
  <si>
    <t>حسین عبدشاهی</t>
  </si>
  <si>
    <t>علی فرامرز پور</t>
  </si>
  <si>
    <t>مهدی زواره</t>
  </si>
  <si>
    <t>مهدی بابک</t>
  </si>
  <si>
    <t>پیام پیر مرادی</t>
  </si>
  <si>
    <r>
      <t>احسان موسوی</t>
    </r>
    <r>
      <rPr>
        <sz val="16"/>
        <color rgb="FFFF0000"/>
        <rFont val="Calibri"/>
        <family val="2"/>
        <scheme val="minor"/>
      </rPr>
      <t/>
    </r>
  </si>
  <si>
    <t>كنسانتره آهن سنگان (301)</t>
  </si>
  <si>
    <t>انباردار</t>
  </si>
  <si>
    <t>الکتریکال</t>
  </si>
  <si>
    <t>معاونت عمرانی</t>
  </si>
  <si>
    <t>نظارت</t>
  </si>
  <si>
    <t>مسئول دفتر گلبن</t>
  </si>
  <si>
    <t>مسئول دفتر نظارت(اسد)</t>
  </si>
  <si>
    <t>مهدی تهامی</t>
  </si>
  <si>
    <t xml:space="preserve">مدیر ارشد کارفرما </t>
  </si>
  <si>
    <t>وفا اردلان</t>
  </si>
  <si>
    <t>محمد گلبن</t>
  </si>
  <si>
    <t>جوانبخش اسد</t>
  </si>
  <si>
    <t>محمد جواد سلیمانی</t>
  </si>
  <si>
    <t>حمید یادگاری</t>
  </si>
  <si>
    <t>وحید حدیدی</t>
  </si>
  <si>
    <t>یاسر سازمند</t>
  </si>
  <si>
    <t>نیما سلاجقه</t>
  </si>
  <si>
    <t>محمد علی رحیمی</t>
  </si>
  <si>
    <t>فولاد بردسیر (461)</t>
  </si>
  <si>
    <t>مرتضی پور محمدی</t>
  </si>
  <si>
    <t>شرکت شهاب راه کویر</t>
  </si>
  <si>
    <t>حمل و نقل</t>
  </si>
  <si>
    <t>پروژه ساغند</t>
  </si>
  <si>
    <t xml:space="preserve">ه علت روشن نشدن تحویلی از آقای میلاد صفی جهانشاهی کارفرما سایت توسعه فولاد </t>
  </si>
  <si>
    <t xml:space="preserve">به علت روشن نشدن موجودی انبار سایت توسعه فولاد </t>
  </si>
  <si>
    <t>حسن جمالی</t>
  </si>
  <si>
    <t xml:space="preserve">نقشه برداری </t>
  </si>
  <si>
    <t>مصطفوی طالبی</t>
  </si>
  <si>
    <t>ناصر علیپور</t>
  </si>
  <si>
    <t>260</t>
  </si>
  <si>
    <t>رئیس مهندسی(پرسنل تهران)</t>
  </si>
  <si>
    <t>شرکت  آویسا(آلمیلا)</t>
  </si>
  <si>
    <t>برنامه نویس کنترل کیفیت</t>
  </si>
  <si>
    <t>اشکان هاشم پور</t>
  </si>
  <si>
    <t>نظم آوران</t>
  </si>
  <si>
    <t>سعید رضایی نسب</t>
  </si>
  <si>
    <t>فرزاد دانشی</t>
  </si>
  <si>
    <t>امیر احسان تیموری</t>
  </si>
  <si>
    <t>رضا خراز</t>
  </si>
  <si>
    <t>مهرزاد پاسیده</t>
  </si>
  <si>
    <t>هادی عصمتی</t>
  </si>
  <si>
    <t>در تاریخ 1402/01/29 از تعمیر برگشت</t>
  </si>
  <si>
    <t>در تاریخ 1402/01/20 از تعمیر برگشت</t>
  </si>
  <si>
    <t>یوسف خیری</t>
  </si>
  <si>
    <t>نظارت معماری</t>
  </si>
  <si>
    <t>مشکل در پرینت . پرینتر آقای شعشعانی</t>
  </si>
  <si>
    <t>در تاریخ 1402/01/27 از تعمیر برگشت</t>
  </si>
  <si>
    <t>به علت شکستگی پایین تصویر -مانتیور پیام مرادی بردسیر</t>
  </si>
  <si>
    <t xml:space="preserve"> به علت خرابی فیوزینگ -پرینتر سوپروایزر - تحویل سروش کریمی شد</t>
  </si>
  <si>
    <t xml:space="preserve"> به علت روشن نشدن  مانیتور جدیدالاسلام-برای بار دوم به تعمیر ارسال شد</t>
  </si>
  <si>
    <t>RYN21654</t>
  </si>
  <si>
    <t>CANON MF4410</t>
  </si>
  <si>
    <t>VNC4B30476</t>
  </si>
  <si>
    <t>شهرام زورمند</t>
  </si>
  <si>
    <t>پرینتر کیوان - تحویل کریمی شد بابت تعمیر</t>
  </si>
  <si>
    <t>در تاریخ 1402/02/05 از تعمیر برگشت</t>
  </si>
  <si>
    <t>CAT1029RJGC</t>
  </si>
  <si>
    <t>6077150100314</t>
  </si>
  <si>
    <t>در تاریخ 1402/02/06 از تعمیر برگشت</t>
  </si>
  <si>
    <t>حمیدرضا اصلانی</t>
  </si>
  <si>
    <t>در تاریخ 1402/02/07 از تعمیر برگشت</t>
  </si>
  <si>
    <t>264</t>
  </si>
  <si>
    <t>احسان اقتصادی</t>
  </si>
  <si>
    <t>سرپرست مکانیک سیالات (پرسنل تهران)</t>
  </si>
  <si>
    <t>در تاریخ 1402/02/11 از تعمیر برگشت</t>
  </si>
  <si>
    <t>علیرضا آقاجان</t>
  </si>
  <si>
    <t>0686002011058216</t>
  </si>
  <si>
    <t>فردین تقی نیا</t>
  </si>
  <si>
    <t>6G03083PAG20F07</t>
  </si>
  <si>
    <t>DH-HFW4231TP</t>
  </si>
  <si>
    <t>DH-HFW1230T1</t>
  </si>
  <si>
    <t>6K0913EPAG89595</t>
  </si>
  <si>
    <t>6G03083PAG4D137</t>
  </si>
  <si>
    <t>6K0913EPAG98B6E</t>
  </si>
  <si>
    <t>6K0246ERAG03484</t>
  </si>
  <si>
    <t>6K0913EPAG3CFCB</t>
  </si>
  <si>
    <t>6G03083PAGB800A</t>
  </si>
  <si>
    <t>DH-HFW1200DP</t>
  </si>
  <si>
    <t>6H04906PAA33CDA</t>
  </si>
  <si>
    <t>6F03464PARFB166</t>
  </si>
  <si>
    <t>6H04000PAAC7004</t>
  </si>
  <si>
    <t>6G03083PAGF47E0</t>
  </si>
  <si>
    <t>5K03E9EPAA0FCDF</t>
  </si>
  <si>
    <t>6K0913EPAG53579</t>
  </si>
  <si>
    <t>6K0913EPAG0E0B</t>
  </si>
  <si>
    <t>6H04906PAAA1EDA</t>
  </si>
  <si>
    <t>Dome Camera XF2-18</t>
  </si>
  <si>
    <t>No Serial</t>
  </si>
  <si>
    <t>6F03464PAR1135F</t>
  </si>
  <si>
    <t>6H04906PAAC0000</t>
  </si>
  <si>
    <t>6H04906PAA66752</t>
  </si>
  <si>
    <t>6F03464PAR472FA</t>
  </si>
  <si>
    <t>6H04906PAACCE25</t>
  </si>
  <si>
    <t>EZ-IP IPC-B2B20P-ZS</t>
  </si>
  <si>
    <t>6H0316BPAGED85F</t>
  </si>
  <si>
    <t>5F03454PAR1135F</t>
  </si>
  <si>
    <t>5F03454PAR7498E</t>
  </si>
  <si>
    <t>6K0913EPAG76F90</t>
  </si>
  <si>
    <t>انبار آی تی توسعه فولاد (362)</t>
  </si>
  <si>
    <t>ساختمان ایمنی توسعه فولاد (362)</t>
  </si>
  <si>
    <t>تحویل به خیریه</t>
  </si>
  <si>
    <t>محسن برناه</t>
  </si>
  <si>
    <t>کد سایت</t>
  </si>
  <si>
    <t>C3</t>
  </si>
  <si>
    <t>C2</t>
  </si>
  <si>
    <t>خوابگاه فولاد بردسیر (461)</t>
  </si>
  <si>
    <t>داغی</t>
  </si>
  <si>
    <t>ارسال به تهران</t>
  </si>
  <si>
    <r>
      <t>LG 22" W2262TQ</t>
    </r>
    <r>
      <rPr>
        <b/>
        <u/>
        <sz val="14"/>
        <color rgb="FFFF0000"/>
        <rFont val="B Nazanin"/>
        <charset val="178"/>
      </rPr>
      <t xml:space="preserve"> </t>
    </r>
  </si>
  <si>
    <t>AN362</t>
  </si>
  <si>
    <t>AN392</t>
  </si>
  <si>
    <t>C19</t>
  </si>
  <si>
    <t>C29</t>
  </si>
  <si>
    <t>C74</t>
  </si>
  <si>
    <t>AN390</t>
  </si>
  <si>
    <t>AN_SiR</t>
  </si>
  <si>
    <t>فاقد کداموال</t>
  </si>
  <si>
    <t>C17</t>
  </si>
  <si>
    <t>C27</t>
  </si>
  <si>
    <t>C5</t>
  </si>
  <si>
    <t>C10</t>
  </si>
  <si>
    <t>پلیکام (394)+سایت مرکز تحقیقات (438)</t>
  </si>
  <si>
    <t>(394) پلیکام</t>
  </si>
  <si>
    <t>جمع آوری شده از سایت-موجود در انبار برزمند</t>
  </si>
  <si>
    <t>سعید میرزایی</t>
  </si>
  <si>
    <t>477</t>
  </si>
  <si>
    <t xml:space="preserve">علت تعمییر خاموش شدن ناگهانی </t>
  </si>
  <si>
    <t xml:space="preserve">علت تعمییرتصویر پرش دارد </t>
  </si>
  <si>
    <t>نیما دادگر</t>
  </si>
  <si>
    <t>100518</t>
  </si>
  <si>
    <t>حمزه فراهانی</t>
  </si>
  <si>
    <t>سعید بویری</t>
  </si>
  <si>
    <t>سوپروایزر</t>
  </si>
  <si>
    <t xml:space="preserve">دوربین از انبار 4 هکتاری جهت تعمیر به آقای صادقی </t>
  </si>
  <si>
    <t>دستگاه گلفا - به دلیل مشکل در ثبت چهره به تعمیر ارسال شد</t>
  </si>
  <si>
    <t>پیمان بهزادی</t>
  </si>
  <si>
    <t>نصب در (اداری عصر نوین)</t>
  </si>
  <si>
    <t>محمد ابراهیم زیرک رودی</t>
  </si>
  <si>
    <t>7001</t>
  </si>
  <si>
    <t>متصدی خدمات عمومی</t>
  </si>
  <si>
    <t>سهیل امیدیان</t>
  </si>
  <si>
    <t>رامتین جمالی</t>
  </si>
  <si>
    <t>0722008103006588</t>
  </si>
  <si>
    <t>4020701</t>
  </si>
  <si>
    <t>سید کاظم قریشی</t>
  </si>
  <si>
    <t>4020303</t>
  </si>
  <si>
    <t>اصغر قدر بلند</t>
  </si>
  <si>
    <t>ماشین سازی</t>
  </si>
  <si>
    <t>نرم افزار آلمیلا</t>
  </si>
  <si>
    <t>امین قربانی</t>
  </si>
  <si>
    <t>تات</t>
  </si>
  <si>
    <t>مهدی گودررزی</t>
  </si>
  <si>
    <t>پارس میامی</t>
  </si>
  <si>
    <t>دانش صفری</t>
  </si>
  <si>
    <t>سپیدانه</t>
  </si>
  <si>
    <t xml:space="preserve">صمد دهقانی-نظارت کارفرما توسعه-علت تعمییر خاموش شدن ناگهانی </t>
  </si>
  <si>
    <t>در تاریخ 1402/03/10 از تعمیر برگشت</t>
  </si>
  <si>
    <t>0722006012072875</t>
  </si>
  <si>
    <t>در تاریخ 1402/03/02 از تعمیر برگشت</t>
  </si>
  <si>
    <t>به علت روشن نشدن لامپ تصویر -کانکس آموزش ایمنی-ارسال مجدد</t>
  </si>
  <si>
    <t>خدامراد شیوافرد</t>
  </si>
  <si>
    <t>20635</t>
  </si>
  <si>
    <t>مسئول کمپ کارگری</t>
  </si>
  <si>
    <t>امین بابائی</t>
  </si>
  <si>
    <t>مهرداد شهبازی</t>
  </si>
  <si>
    <t>آویسا</t>
  </si>
  <si>
    <t>فرهاد معصومی</t>
  </si>
  <si>
    <t>691</t>
  </si>
  <si>
    <t>ریاست کنترل پروژه</t>
  </si>
  <si>
    <t>مهدی دولت آبادی</t>
  </si>
  <si>
    <t>محمود نقوی</t>
  </si>
  <si>
    <t>حامد سلیمیان</t>
  </si>
  <si>
    <t xml:space="preserve">پرسنل دفتر تهران </t>
  </si>
  <si>
    <t>98124</t>
  </si>
  <si>
    <t>558</t>
  </si>
  <si>
    <t>محمد شهرستانی</t>
  </si>
  <si>
    <t>0872948978</t>
  </si>
  <si>
    <t>اسماعیل انجام</t>
  </si>
  <si>
    <t>فرهاد آزادی - خرابی مادربرد</t>
  </si>
  <si>
    <t>تلفن رضا عوض پور جهت تعمیر به تهران ارسال شد</t>
  </si>
  <si>
    <t xml:space="preserve">سوییچ سیسکو 2960 </t>
  </si>
  <si>
    <t>جهت تعمیر ارسال به تهران</t>
  </si>
  <si>
    <t>فرهاد شهبا</t>
  </si>
  <si>
    <t>در تاریخ 1402/03/22 از تعمیر برگشت</t>
  </si>
  <si>
    <t>خانم زاهدی</t>
  </si>
  <si>
    <t>مخابرات بردسیر</t>
  </si>
  <si>
    <t>محسن رخشانی</t>
  </si>
  <si>
    <t>4020308</t>
  </si>
  <si>
    <t>آهن اسفنجی تربت حیدریه (439)</t>
  </si>
  <si>
    <t>مخابرات آهن اسفنجی بردسیر (461)</t>
  </si>
  <si>
    <t>فرزاد دبستانی</t>
  </si>
  <si>
    <t>علی حسنی</t>
  </si>
  <si>
    <t>نقشه بردار</t>
  </si>
  <si>
    <t>رضا کاظمی</t>
  </si>
  <si>
    <t>محمد صدری</t>
  </si>
  <si>
    <t>سالن کنفرانس فولاد بردسیر (461)</t>
  </si>
  <si>
    <t>محمد غلامرضائی نژاد</t>
  </si>
  <si>
    <t>غلامرضا محمدی</t>
  </si>
  <si>
    <t>حراست کارفرما</t>
  </si>
  <si>
    <t>محمد محمود آبادی</t>
  </si>
  <si>
    <t>مدیر پشتیبانی</t>
  </si>
  <si>
    <t>حمید شریعت پناه</t>
  </si>
  <si>
    <t>سرپرست برق</t>
  </si>
  <si>
    <t>علی بحرینی</t>
  </si>
  <si>
    <t>مدیر حراست</t>
  </si>
  <si>
    <t>حسین بیدخونی</t>
  </si>
  <si>
    <t>محمد اشکن</t>
  </si>
  <si>
    <t>مدیریت</t>
  </si>
  <si>
    <t>داود غنچه پور</t>
  </si>
  <si>
    <t>مجتبی خاک پور</t>
  </si>
  <si>
    <t>حامد نجفی حاجیور</t>
  </si>
  <si>
    <t>HSE</t>
  </si>
  <si>
    <t>محمد یار ابسالان</t>
  </si>
  <si>
    <t>QC</t>
  </si>
  <si>
    <t>کارشناسان اجرا</t>
  </si>
  <si>
    <t>داود احمدی</t>
  </si>
  <si>
    <t>سرپرست دفتر فنی</t>
  </si>
  <si>
    <t>محمد پاپی</t>
  </si>
  <si>
    <t>کارشناسان دفتر فنی</t>
  </si>
  <si>
    <t>ناصر شاه محمدی</t>
  </si>
  <si>
    <t xml:space="preserve">سالن جلسات بزرگ </t>
  </si>
  <si>
    <t>MC</t>
  </si>
  <si>
    <t>عل اصغر رادوش</t>
  </si>
  <si>
    <t>احمد رهنما</t>
  </si>
  <si>
    <t>جابر رضایی</t>
  </si>
  <si>
    <t>جهرمی</t>
  </si>
  <si>
    <t>حامد شهرابیان</t>
  </si>
  <si>
    <t>مصطفی افتخاری</t>
  </si>
  <si>
    <t>سید جلال طباطبایی</t>
  </si>
  <si>
    <t>محمد آقاملایی</t>
  </si>
  <si>
    <t>مسلم علی خانی</t>
  </si>
  <si>
    <t>مقداد کردستانی</t>
  </si>
  <si>
    <t>کنترل پروژه کارفرما</t>
  </si>
  <si>
    <t>پشتیبانی کارفرما</t>
  </si>
  <si>
    <t>آی تی کارفرما</t>
  </si>
  <si>
    <t>مسئول دفتر کارفرما</t>
  </si>
  <si>
    <t>ابوالفضل پورزیدآبادی</t>
  </si>
  <si>
    <t>محمد حسینی گلیانی</t>
  </si>
  <si>
    <t>794</t>
  </si>
  <si>
    <t>مانیتور حسن رضا آهمند - روشن نمیشود</t>
  </si>
  <si>
    <t>در تهران اعلام داغی شد</t>
  </si>
  <si>
    <t>لپ تاپ ACER PT315-73G5</t>
  </si>
  <si>
    <t>برق وتاسیسات</t>
  </si>
  <si>
    <t>حمید رضا خراسانی</t>
  </si>
  <si>
    <t>FOC1716V1ML</t>
  </si>
  <si>
    <t>CISCO 3560 POE 8 PORT</t>
  </si>
  <si>
    <t>RBCAPGI-5ACD2ND-XL</t>
  </si>
  <si>
    <t>علی محمدی</t>
  </si>
  <si>
    <t>آبدارخانه کارفرما</t>
  </si>
  <si>
    <t>سالن فکور</t>
  </si>
  <si>
    <t>آتشنشانی</t>
  </si>
  <si>
    <t>Hikvision DS2CD1043G0-I</t>
  </si>
  <si>
    <t>PUC17430JQM</t>
  </si>
  <si>
    <t>عامر قاسمی</t>
  </si>
  <si>
    <t>عبدالله آزادی</t>
  </si>
  <si>
    <t>سالن جلسات کارفرما</t>
  </si>
  <si>
    <t>حمیدرضا صالح</t>
  </si>
  <si>
    <t>پالایشگاه فرزانگان(430)</t>
  </si>
  <si>
    <t>کارفرما پالایشگاه فرزانگان(430)</t>
  </si>
  <si>
    <t>هیرگان</t>
  </si>
  <si>
    <t>گهرفرزانگان</t>
  </si>
  <si>
    <t>0722012109030094</t>
  </si>
  <si>
    <t>علیرضا بهنام فرد</t>
  </si>
  <si>
    <t>QC  استراکچر</t>
  </si>
  <si>
    <t>0062332716</t>
  </si>
  <si>
    <t>DAHUA HDW2439TPAS LED</t>
  </si>
  <si>
    <t>نصب شده در طبقات خوابگاه</t>
  </si>
  <si>
    <t>مهرناز کازرونی</t>
  </si>
  <si>
    <t>رضا قربانی</t>
  </si>
  <si>
    <t>فرزان فن اندیش</t>
  </si>
  <si>
    <t>دفتر مدیر پروژه</t>
  </si>
  <si>
    <t>هومان نادری</t>
  </si>
  <si>
    <t>جوش آزما جی</t>
  </si>
  <si>
    <t xml:space="preserve">نگهبانی انبار منطقه ای سیرجان-علت روشن نشدن </t>
  </si>
  <si>
    <t xml:space="preserve">موجودی انبار  آی تی مرکز تحقیقات (438)-علت روشن نشدن </t>
  </si>
  <si>
    <t xml:space="preserve">یوسف خیری-علت روشن نشدن -سایت مرکز تحقیقات </t>
  </si>
  <si>
    <t>آقای فردین تقی نیا - عسلویه</t>
  </si>
  <si>
    <t>خوابگاه دماوند سیرجان جمع اوری شد</t>
  </si>
  <si>
    <t>DAHUA DH-IPC-HDW2439</t>
  </si>
  <si>
    <t>7E05100PAGA7EAB</t>
  </si>
  <si>
    <t>7H06CFBPAGB0463</t>
  </si>
  <si>
    <t>7E05100PAG372F6</t>
  </si>
  <si>
    <t>7E05100PAG61AC8</t>
  </si>
  <si>
    <t>7E05100PAG5F3E9</t>
  </si>
  <si>
    <t>7E05100PAGE2350</t>
  </si>
  <si>
    <t>7E05100PAGA62F1</t>
  </si>
  <si>
    <t>تحویل آقای صادقی جهت تعمیر به علت خرابی سوکت شبکه</t>
  </si>
  <si>
    <t>مربوط به کانکس ESP   - به عت خرابی جهت تعمیر ارسال شد</t>
  </si>
  <si>
    <t>خوابگاه 12 واحدی مولوی</t>
  </si>
  <si>
    <t>ملیحه خوارزمی</t>
  </si>
  <si>
    <t>مسئول ترانسپورت</t>
  </si>
  <si>
    <t>در تاریخ 1402/05/03 از تعمیر برگشت</t>
  </si>
  <si>
    <t>احمدرضا امیری</t>
  </si>
  <si>
    <t>مطلق</t>
  </si>
  <si>
    <t>شرکت فرزان</t>
  </si>
  <si>
    <t>مجتبی خداوردی</t>
  </si>
  <si>
    <t>شرکت آویسا</t>
  </si>
  <si>
    <t>میکائیل آقچه لی</t>
  </si>
  <si>
    <t>نیروی انتظامی خرامه</t>
  </si>
  <si>
    <t>4020305</t>
  </si>
  <si>
    <t>از تعمیر برگشت</t>
  </si>
  <si>
    <t>در تاریخ 1402/05/08 از تعمیر برگشت</t>
  </si>
  <si>
    <t>وحید جمالی</t>
  </si>
  <si>
    <t>وحید حسینی</t>
  </si>
  <si>
    <t>ارسال به تهران جهت خیریه</t>
  </si>
  <si>
    <t>دفتر تهران</t>
  </si>
  <si>
    <t>محمد بهمنی</t>
  </si>
  <si>
    <t>علی حسینی دهنوی</t>
  </si>
  <si>
    <t>Cisco 3560 poe</t>
  </si>
  <si>
    <t>به دلیل مشکل از خوابگاه 12 واحدی مولوی جمع آوری و به تعمیر ارسال شد</t>
  </si>
  <si>
    <t>به دلیل روشن نشدن به تعمیر ارسال شد</t>
  </si>
  <si>
    <t>امیر مومنی</t>
  </si>
  <si>
    <t>کارشناس اجرا</t>
  </si>
  <si>
    <t>100604</t>
  </si>
  <si>
    <t>محمد زری</t>
  </si>
  <si>
    <t>مکانیک کارفرما</t>
  </si>
  <si>
    <t>پرینتر انبار شهر - تحویل کریمی شد بابت تعمیر</t>
  </si>
  <si>
    <t>رباط میلی</t>
  </si>
  <si>
    <t>شرکت پیمانکاری موسوی</t>
  </si>
  <si>
    <t>حیدر چتانی</t>
  </si>
  <si>
    <t>عباس آبکار</t>
  </si>
  <si>
    <t>در تاریخ 1402/05/28 از تعمیر برگشت</t>
  </si>
  <si>
    <t>پژمان درویش زاده</t>
  </si>
  <si>
    <t>کپی آزمایشگاه - تحویل کریمی شد بابت تعمیر</t>
  </si>
  <si>
    <t>پایش سلامت</t>
  </si>
  <si>
    <t>محمد محمدنیا</t>
  </si>
  <si>
    <t>متالوژی ومواد</t>
  </si>
  <si>
    <t>در تاریخ 1402/06/06 از تعمیر برگشت</t>
  </si>
  <si>
    <t>مهران ایرانمنش</t>
  </si>
  <si>
    <t>محسن سپاهیان فرد</t>
  </si>
  <si>
    <t>مجید سلیمانی</t>
  </si>
  <si>
    <t>100608</t>
  </si>
  <si>
    <t xml:space="preserve">ایشان به علت روشن نشدن جهت تعمیر به تهران </t>
  </si>
  <si>
    <t>100574</t>
  </si>
  <si>
    <t>Rr0063994879</t>
  </si>
  <si>
    <t>علی صالحی</t>
  </si>
  <si>
    <t>100612</t>
  </si>
  <si>
    <t>0722015205013045</t>
  </si>
  <si>
    <t>پیمان بهزادی پرسنل واحد نظارت کارفرما  -به علت روشن نشدن به تعمیر ارسال شد</t>
  </si>
  <si>
    <t>نصب در درب ورودی انبار</t>
  </si>
  <si>
    <t>داریوش تاجداری</t>
  </si>
  <si>
    <t>برسو</t>
  </si>
  <si>
    <t>غلامرضا سپیانی</t>
  </si>
  <si>
    <t>عرفان باجلانی</t>
  </si>
  <si>
    <t>4020606</t>
  </si>
  <si>
    <t>هادی محمد نژاد</t>
  </si>
  <si>
    <t>100566</t>
  </si>
  <si>
    <t>100599</t>
  </si>
  <si>
    <t>4020601</t>
  </si>
  <si>
    <t>205STDD24184</t>
  </si>
  <si>
    <t>G-PLUS GTV-50MH512N</t>
  </si>
  <si>
    <t>مانیتور کریم اسکندری به علت مات شدن تصویر جهت تعمیر ارسال شد</t>
  </si>
  <si>
    <t>محمد جواد مرادی</t>
  </si>
  <si>
    <t>تلفن قبلی شهسواری پور - داخلی نمیگرفت به تهران ارسال شد</t>
  </si>
  <si>
    <t>در تاریخ 1402/06/21 از تعمیر برگشت</t>
  </si>
  <si>
    <t>مهران کیانی</t>
  </si>
  <si>
    <t>فرزاد غریبی</t>
  </si>
  <si>
    <t>به علت روشن نشدن ( مانیتور تحویلی به آقای حبیب برازجانی)</t>
  </si>
  <si>
    <t xml:space="preserve">به علت شکستگی صفحه </t>
  </si>
  <si>
    <t xml:space="preserve">( به علت ریست شدن مداوم موجودی سایت توسعه فولاد </t>
  </si>
  <si>
    <t>دستگاه خوابگاه مولوی - خاموش شدن ناگهانی</t>
  </si>
  <si>
    <t>معین ایزدی</t>
  </si>
  <si>
    <t>سید فرید طاهری</t>
  </si>
  <si>
    <t>حیدر ناصری</t>
  </si>
  <si>
    <t>مهدی مددی</t>
  </si>
  <si>
    <t>2301321401</t>
  </si>
  <si>
    <t xml:space="preserve">شرکت فرزان </t>
  </si>
  <si>
    <t>گیرنده دیجیتال</t>
  </si>
  <si>
    <t>Pars Evo i5 11400</t>
  </si>
  <si>
    <t>در تاریخ 1402/07/04 از تعمیر برگشت</t>
  </si>
  <si>
    <t>سیاوش دالوند</t>
  </si>
  <si>
    <t>محمدعلی زندی</t>
  </si>
  <si>
    <t>علی رمضانی نژاد</t>
  </si>
  <si>
    <t>100614</t>
  </si>
  <si>
    <t>GXJ58999</t>
  </si>
  <si>
    <t>CANON M160II</t>
  </si>
  <si>
    <t>محمد حاتمی</t>
  </si>
  <si>
    <t>4020705</t>
  </si>
  <si>
    <t>مهدی اسمعیلی</t>
  </si>
  <si>
    <t>هماهنگ کننده</t>
  </si>
  <si>
    <t>میثم عالی پور</t>
  </si>
  <si>
    <t xml:space="preserve"> کاربین طرح</t>
  </si>
  <si>
    <t>تلويزيون</t>
  </si>
  <si>
    <t>اکبر کریمی عقدا</t>
  </si>
  <si>
    <t>در تاریخ 1402/07/23 از تعمیر برگشت</t>
  </si>
  <si>
    <t>مانیتور قبلی دانش صفری-آلمیلا-مشکل خاموش روشن شدن</t>
  </si>
  <si>
    <t>GREEN PARS EVO</t>
  </si>
  <si>
    <t xml:space="preserve">به علت مشکل داشتن مادربرد موجودی انبار سایت توسعه فولاد </t>
  </si>
  <si>
    <t>به علت گرد و غبار گرفتن جهت سرویس تحویل آقای مجتبی علیپور پرسنل سایت توسعه فولاد )</t>
  </si>
  <si>
    <t>عبدالرضا جعفری</t>
  </si>
  <si>
    <t>مظاهر میرزایی</t>
  </si>
  <si>
    <t>Ss3071189621</t>
  </si>
  <si>
    <t>انبار نسوز توسعه فولاد (362)</t>
  </si>
  <si>
    <t>Hik DS-2CD2T43G2-4I</t>
  </si>
  <si>
    <t>Hik DS-2DE4425IW-DE</t>
  </si>
  <si>
    <t>جهت دوربین های انبار نسوز</t>
  </si>
  <si>
    <t>خاموش شدن ناگهانی</t>
  </si>
  <si>
    <t>در تاریخ 1402/08/01 از تعمیر برگشت</t>
  </si>
  <si>
    <t>در تاریخ 1402/07/24 از تعمیر برگشت</t>
  </si>
  <si>
    <t xml:space="preserve">علت نقص فنی </t>
  </si>
  <si>
    <t>چابهار</t>
  </si>
  <si>
    <t>اکبر هاشمی نژاد</t>
  </si>
  <si>
    <t>DCC HSE</t>
  </si>
  <si>
    <t>غلامرضا صباغی</t>
  </si>
  <si>
    <t>4020404</t>
  </si>
  <si>
    <t>0064120041</t>
  </si>
  <si>
    <t xml:space="preserve">HIKVISION
DS-2CD1153GO-I
</t>
  </si>
  <si>
    <t>J65872047</t>
  </si>
  <si>
    <t>J73332057</t>
  </si>
  <si>
    <t>J73332050</t>
  </si>
  <si>
    <t>J73332453</t>
  </si>
  <si>
    <t>J73332416</t>
  </si>
  <si>
    <t>J73332074</t>
  </si>
  <si>
    <t>J73332065</t>
  </si>
  <si>
    <t>J65872041</t>
  </si>
  <si>
    <t>محمد امینی</t>
  </si>
  <si>
    <t>امیر محمدی پناه</t>
  </si>
  <si>
    <t>یوسف رخش سوار</t>
  </si>
  <si>
    <t>معاونت نفت و گاز</t>
  </si>
  <si>
    <t>واحد پشتیبانی</t>
  </si>
  <si>
    <t>در تاریخ 1402/08/07 از تعمیر برگشت</t>
  </si>
  <si>
    <t>ایمان زرکلامی</t>
  </si>
  <si>
    <t xml:space="preserve"> به علت کاغذ نکشیدن فیدر تحویل آقای سید باقر حسینی </t>
  </si>
  <si>
    <t>مهدی محمدی درویشوند</t>
  </si>
  <si>
    <t>دستگاه خراب می باشد به سرویس کامل نیاز دارد-ارسال از تربت</t>
  </si>
  <si>
    <t>فیدر دستگاه خراب می باشدوبه سرویس نیاز دارد</t>
  </si>
  <si>
    <t>سوییچ لود نمی شود وهنگ می کند</t>
  </si>
  <si>
    <t>جواد پور جمعه</t>
  </si>
  <si>
    <t>ایوب ابراهیمی</t>
  </si>
  <si>
    <t>100610</t>
  </si>
  <si>
    <t>داوود جوادی نیا</t>
  </si>
  <si>
    <t>در تاریخ 1402/08/14 از تعمیر برگشت</t>
  </si>
  <si>
    <t>هادی محمد نژاد-به علت خاموش شدن ناگهانی تصویر جهت تعمیر به تهران</t>
  </si>
  <si>
    <t>آزمایشگاه سایت بردسیر به علت سر و صدای زیاد و کاغذ نکشیدن تحویل سروس کریمی شد</t>
  </si>
  <si>
    <t>کرمان آهن مهام</t>
  </si>
  <si>
    <t>علی امیر سبتکی</t>
  </si>
  <si>
    <t>مجتبی سلیمانی</t>
  </si>
  <si>
    <t>آرانوما</t>
  </si>
  <si>
    <t>پرسنل آرانوما</t>
  </si>
  <si>
    <t>دفتر مرکزی</t>
  </si>
  <si>
    <t xml:space="preserve">داوود بویری به علت خاموش شدن ناگهانی جهت تعمییر به تهران </t>
  </si>
  <si>
    <t>F0C1443W7CG</t>
  </si>
  <si>
    <t>CISCO 3750 24 PORT POE</t>
  </si>
  <si>
    <t>در تاریخ 1402/08/23 از تعمیر برگشت</t>
  </si>
  <si>
    <t xml:space="preserve">به علت ارور باز بودن در پشتی پرینتر به تهران </t>
  </si>
  <si>
    <t>HE808MWCTPQ/308/R4</t>
  </si>
  <si>
    <t>یوسف اژدری</t>
  </si>
  <si>
    <t>0860001504</t>
  </si>
  <si>
    <t>مکانیک-جوش</t>
  </si>
  <si>
    <t>امیررضا اسحاقی</t>
  </si>
  <si>
    <t>20361</t>
  </si>
  <si>
    <t>انبار-آهک</t>
  </si>
  <si>
    <t>DAHUA DH-IPC-HFW3449EP-AS-LED</t>
  </si>
  <si>
    <t>8A0424FPAG2C361</t>
  </si>
  <si>
    <t>9F0104BPAG8CAB6</t>
  </si>
  <si>
    <t>9F0104BPAGF0822</t>
  </si>
  <si>
    <t>8A0424FPAGAC3EA</t>
  </si>
  <si>
    <t>9F0104BPAG30D6F</t>
  </si>
  <si>
    <t>9F0104BPAG301CF</t>
  </si>
  <si>
    <t>9F0104BPAG29168</t>
  </si>
  <si>
    <t>9F0104BPAG35224</t>
  </si>
  <si>
    <t>9F0104BPAGFCE6C</t>
  </si>
  <si>
    <t>9F0104BPAGAED75</t>
  </si>
  <si>
    <t>جهت درخواست واحد پشتیبانی</t>
  </si>
  <si>
    <t>4020710</t>
  </si>
  <si>
    <t>4020304</t>
  </si>
  <si>
    <t>4020714</t>
  </si>
  <si>
    <t>در تاریخ 1402/09/06 از تعمیر برگشت</t>
  </si>
  <si>
    <t>در تاریخ 1402/09/04 از تعمیر برگشت</t>
  </si>
  <si>
    <t>جهت خیریه به تهران ارسال شد</t>
  </si>
  <si>
    <t>در تاریخ 1402/09/01 از تعمیر برگشت</t>
  </si>
  <si>
    <t>هماتیت مگنتیک فولاد سنگان ( 456 )</t>
  </si>
  <si>
    <t>مهدی افضلی</t>
  </si>
  <si>
    <t>رضا شاهی</t>
  </si>
  <si>
    <t>محمد رفیق حق پناه</t>
  </si>
  <si>
    <t>محمود شاقاسی رودی</t>
  </si>
  <si>
    <t>هماتیت مگنتیک فولاد سنگان ( 456 )+كنسانتره آهن سنگان (301)</t>
  </si>
  <si>
    <t xml:space="preserve">مانیتور LG W2261VP </t>
  </si>
  <si>
    <t>0722014110022455</t>
  </si>
  <si>
    <t>مجدد به تعمیر ارسال شد</t>
  </si>
  <si>
    <t>7F02122PAG6F134</t>
  </si>
  <si>
    <t>7F02122PAG8763C</t>
  </si>
  <si>
    <t>9C0B450PAGF276C</t>
  </si>
  <si>
    <t>9C0B450PAG7F53E</t>
  </si>
  <si>
    <t>9C0B450PAG3CF73</t>
  </si>
  <si>
    <t>9C0B450PAG0419B</t>
  </si>
  <si>
    <t>9C0B450PAG33651</t>
  </si>
  <si>
    <t>9C0B450PAG7DC41</t>
  </si>
  <si>
    <t>9C0B450PAG2D260</t>
  </si>
  <si>
    <t>9C0B450PAG97A29</t>
  </si>
  <si>
    <t>DAHUA DH-IPC-HFW2831TP-AS-S2</t>
  </si>
  <si>
    <t>DAHUA DH-IPC-HFW2831TP-AS-S3</t>
  </si>
  <si>
    <t>DAHUA DH-IPC-HFW2831TP-AS-S4</t>
  </si>
  <si>
    <t>DAHUA DH-IPC-HFW2831TP-AS-S5</t>
  </si>
  <si>
    <t>DAHUA DH-IPC-HFW2831TP-AS-S6</t>
  </si>
  <si>
    <t>DAHUA DH-IPC-HFW2831TP-AS-S7</t>
  </si>
  <si>
    <t>DAHUA DH-IPC-HFW2831TP-AS-S8</t>
  </si>
  <si>
    <t>DAHUA DH-IPC-HFW2831TP-AS-S9</t>
  </si>
  <si>
    <t>DAHUA DH-IPC-HFW2831TP-AS-S10</t>
  </si>
  <si>
    <t>DAHUA DH-IPC-HFW2831TP-AS-S11</t>
  </si>
  <si>
    <t>HIK VISION DS-2CD1023G0E-I</t>
  </si>
  <si>
    <t>HIK VISION DS-2DE4425IW-DE</t>
  </si>
  <si>
    <t>تحویل گرفته شده از شرکت ماشین سازی ویژه - متعلق به پروژه خرامه</t>
  </si>
  <si>
    <t>امیر حسین دهقانی</t>
  </si>
  <si>
    <t>فرشاد صفر زاده</t>
  </si>
  <si>
    <t>فرزان رستاک</t>
  </si>
  <si>
    <t>2281104281</t>
  </si>
  <si>
    <t xml:space="preserve">مانیتور سید جواد موسوی - علت روشن نشدن جهت تعمیر به تهران </t>
  </si>
  <si>
    <t>مهدی شهبازی</t>
  </si>
  <si>
    <t>امیر حسین شیبانی</t>
  </si>
  <si>
    <t>3060431035</t>
  </si>
  <si>
    <t>3060373469</t>
  </si>
  <si>
    <t>محمد صادق امین پور</t>
  </si>
  <si>
    <t>فاضل سلیمانی</t>
  </si>
  <si>
    <t>رضا مردوئی</t>
  </si>
  <si>
    <t>حسین ارمش</t>
  </si>
  <si>
    <t>کارفرما بردسیر</t>
  </si>
  <si>
    <t>در تاریخ 1402/09/25 از تعمیر برگشت</t>
  </si>
  <si>
    <t>619082</t>
  </si>
  <si>
    <t>مانیتور آقای سیاوش دالوند -  به علت روشن نشدن</t>
  </si>
  <si>
    <t>منصور نورمندی پور</t>
  </si>
  <si>
    <t>در تاریخ 1402/10/09 از تعمیر برگشت</t>
  </si>
  <si>
    <t>مسرور خسروی</t>
  </si>
  <si>
    <t>100635</t>
  </si>
  <si>
    <t>میلاد همت پور</t>
  </si>
  <si>
    <t>20558</t>
  </si>
  <si>
    <t>شاهین خدایاری</t>
  </si>
  <si>
    <t>4021003</t>
  </si>
  <si>
    <t>معماری</t>
  </si>
  <si>
    <t>مهدی شاهسونی</t>
  </si>
  <si>
    <t>GG207C3</t>
  </si>
  <si>
    <t>هماتیت فولاد سنگان(456)</t>
  </si>
  <si>
    <t>جاسم راهنما پرسنل کارفرما سایت توسعه فولاد</t>
  </si>
  <si>
    <t xml:space="preserve">اصغر اسفندیارپور پرسنل سایت مرکز تحقیقات </t>
  </si>
  <si>
    <t>موجودی انبار تحقیقات</t>
  </si>
  <si>
    <t>در تاریخ 1402/10/30 از تعمیر برگشت</t>
  </si>
  <si>
    <t>از خرامه ارسال به تعمیر شده</t>
  </si>
  <si>
    <t>مانيتور 24 اينچ ال جي</t>
  </si>
  <si>
    <t>انبار آی تی پیشران صنعت فکور چابهار</t>
  </si>
  <si>
    <t>مانیتور قبلی روح المینی - مشکل خاموش روشن شدن</t>
  </si>
  <si>
    <t>نیما اسبقیان</t>
  </si>
  <si>
    <t>حمید شهانی</t>
  </si>
  <si>
    <t>آفتاب کویر</t>
  </si>
  <si>
    <t>ابراهیم زیدآبادی نژاد</t>
  </si>
  <si>
    <t>20764</t>
  </si>
  <si>
    <t>نگهبان شهرک صنعتی2</t>
  </si>
  <si>
    <t>نسیم سلیمانی</t>
  </si>
  <si>
    <t>HP 1320</t>
  </si>
  <si>
    <t>CNCJL26338</t>
  </si>
  <si>
    <t>STABILIZER FARATEL STB2000M</t>
  </si>
  <si>
    <t xml:space="preserve">مربوط به دوربین های انبار نسوز سایت توسعه فولاد </t>
  </si>
  <si>
    <t>تحویل آقای علی اسفندیارپور پرسنل انبار سایت توسعه فولاد -تحویل کریمی</t>
  </si>
  <si>
    <t>تحویل آقای محمد رضا کیوان سایت توسعه فولاد -تحویل کریمی</t>
  </si>
  <si>
    <t>سید محمود سبحانی</t>
  </si>
  <si>
    <t>بهاباد يزد</t>
  </si>
  <si>
    <t>در تاریخ 1402/11/09 از تعمیر برگشت</t>
  </si>
  <si>
    <t>AG7241550</t>
  </si>
  <si>
    <t>AG7241534</t>
  </si>
  <si>
    <t>AG7241524</t>
  </si>
  <si>
    <t>AG7241536</t>
  </si>
  <si>
    <t>AG7241548</t>
  </si>
  <si>
    <t>AG7241546</t>
  </si>
  <si>
    <t>AG7241545</t>
  </si>
  <si>
    <t>AG7241549</t>
  </si>
  <si>
    <t>HIK VISION DS-2CD1067G2-L</t>
  </si>
  <si>
    <t>دوربین مداربسته</t>
  </si>
  <si>
    <t>عباس صابری منش</t>
  </si>
  <si>
    <t>محمد رضا خواجویی</t>
  </si>
  <si>
    <t>رسول نعمتیان</t>
  </si>
  <si>
    <t>4021104 </t>
  </si>
  <si>
    <t>محمد اسماعیل ایلخانی</t>
  </si>
  <si>
    <t>618718</t>
  </si>
  <si>
    <t xml:space="preserve"> واحد تردد ( علی بلوردی ) </t>
  </si>
  <si>
    <t>در تاریخ 1402/11/24 از تعمیر برگشت</t>
  </si>
  <si>
    <t>نصب در انبار شهر</t>
  </si>
  <si>
    <t>پرینتر 3 کاره canon مدل 3010</t>
  </si>
  <si>
    <t>پرینتر چندکاره لیزری کانن مدل SENSYS MF3010</t>
  </si>
  <si>
    <t>گوشی تلفن تحت شبکه گرند استریم</t>
  </si>
  <si>
    <t>رسیور</t>
  </si>
  <si>
    <t>مانیتور جی پلاس 24</t>
  </si>
  <si>
    <t>مانیتور جی پلاس 24-5JN</t>
  </si>
  <si>
    <t>تلفن Voip</t>
  </si>
  <si>
    <t>621012</t>
  </si>
  <si>
    <t xml:space="preserve">علیرضا ستوده-به علت کار نکردن فیدر </t>
  </si>
  <si>
    <t>603562</t>
  </si>
  <si>
    <t xml:space="preserve">به علت روشن نشدن تحویل آقای نیما اسبقیان </t>
  </si>
  <si>
    <t>605841</t>
  </si>
  <si>
    <t>کوروش نوروزی-ارسال به تعمیر</t>
  </si>
  <si>
    <t>محمدحسین خباز سرابی</t>
  </si>
  <si>
    <t>100644</t>
  </si>
  <si>
    <t>0944884156</t>
  </si>
  <si>
    <t>در تاریخ 1402/11/28 از تعمیر برگشت</t>
  </si>
  <si>
    <t>جهت تعمییر به تهران ارسال شده(علت تعمییر شکستگی صفحه مانیتور )قریشی</t>
  </si>
  <si>
    <t>امیر سامان نژاد مقدم</t>
  </si>
  <si>
    <t>9H038DBPAG9BB1D</t>
  </si>
  <si>
    <t>نصب شده در انبار سایت مرکز تحقیقات</t>
  </si>
  <si>
    <t>در تاریخ 1402/12/08 از تعمیر برگشت</t>
  </si>
  <si>
    <t>طب کار توسعه فولاد (362)</t>
  </si>
  <si>
    <t>AG7241516</t>
  </si>
  <si>
    <t>دوربین هایک ویژن</t>
  </si>
  <si>
    <t>مرتضی صالحوند</t>
  </si>
  <si>
    <t>100646</t>
  </si>
  <si>
    <t>محمد نبی میرشکاری</t>
  </si>
  <si>
    <t>مسعود کورکی‌نژاد</t>
  </si>
  <si>
    <t>20788</t>
  </si>
  <si>
    <t>4021110</t>
  </si>
  <si>
    <t>20583</t>
  </si>
  <si>
    <t>فرهاد پاشایی</t>
  </si>
  <si>
    <t>پتروشیمی پیشران صنعت فکور</t>
  </si>
  <si>
    <t>محسن براتی</t>
  </si>
  <si>
    <t>4021201</t>
  </si>
  <si>
    <t>مسعود حسینی پورمرادی</t>
  </si>
  <si>
    <t>20773</t>
  </si>
  <si>
    <t>606361</t>
  </si>
  <si>
    <t>مانیتور حمیدرضا اصلانی  ارسال جهت تعمیر به علت روشن نشدن</t>
  </si>
  <si>
    <t>611439</t>
  </si>
  <si>
    <t xml:space="preserve">به علت روشن نشدن تحویل آقای مجتبی خداوردی پرسنل سایت توسعه فولاد </t>
  </si>
  <si>
    <t>حمیدرضا خراسانی</t>
  </si>
  <si>
    <t>تاسیسات</t>
  </si>
  <si>
    <t>مهرداد منصوری</t>
  </si>
  <si>
    <t>2371184330</t>
  </si>
  <si>
    <t>پرسنل فرزان MC</t>
  </si>
  <si>
    <t>در تهران داغی شد</t>
  </si>
  <si>
    <t>یوسف ناجی</t>
  </si>
  <si>
    <t>بردسیر (461)</t>
  </si>
  <si>
    <t>4020105</t>
  </si>
  <si>
    <t>تلویزیون اکبری جهت نظارت دوربین های انبار-مشکل روشن نشدن-ارسال به سیرجان</t>
  </si>
  <si>
    <t>محمدعلی ابرهام</t>
  </si>
  <si>
    <t>ONLINE UPS Genesis 3KVA</t>
  </si>
  <si>
    <t>4010130220700285</t>
  </si>
  <si>
    <t>شمس الدین کریمی لاسکی</t>
  </si>
  <si>
    <t>پتروشیمی پیشران صنعت</t>
  </si>
  <si>
    <t>سیامک زارعی</t>
  </si>
  <si>
    <t>علی سیستانی</t>
  </si>
  <si>
    <t>وحید شاقاسی</t>
  </si>
  <si>
    <t>ارکان تدبیر</t>
  </si>
  <si>
    <t>مشاور</t>
  </si>
  <si>
    <t>رامین بیگ نژاد</t>
  </si>
  <si>
    <t>مدیر سایت پیشران</t>
  </si>
  <si>
    <t>در تاریخ 1403/01/29 از تعمیر برگشت</t>
  </si>
  <si>
    <t>احسان محیاپور</t>
  </si>
  <si>
    <t>رحیم کریمی</t>
  </si>
  <si>
    <t>فرزان</t>
  </si>
  <si>
    <t>پرهام خورشیدی</t>
  </si>
  <si>
    <t>علی ضیغمی</t>
  </si>
  <si>
    <t>مهدی عرب</t>
  </si>
  <si>
    <t>هومن وطن دوست</t>
  </si>
  <si>
    <t>اجرا-برق</t>
  </si>
  <si>
    <t>اجرا-مکانیک</t>
  </si>
  <si>
    <t>رضا اسدی</t>
  </si>
  <si>
    <t>بیتا گستر</t>
  </si>
  <si>
    <t>انتقال از عسلویه به تهران</t>
  </si>
  <si>
    <t>حسین هاشمی</t>
  </si>
  <si>
    <t>مانیتور رشیدی خوابگاه 10 واحدی مشعل گاز</t>
  </si>
  <si>
    <t>در تاریخ 1403/02/15 از تعمیر برگشت</t>
  </si>
  <si>
    <t>0774963460019</t>
  </si>
  <si>
    <t xml:space="preserve">دستگاه حضور غیاب iFace   واحد ایمنی </t>
  </si>
  <si>
    <t>در تاریخ 1403/02/25 از تعمیر برگشت</t>
  </si>
  <si>
    <t>عباس نوربخش</t>
  </si>
  <si>
    <t>سامان راکی سلیمی</t>
  </si>
  <si>
    <t>علت تعمییر سرویس کامل دستگاه</t>
  </si>
  <si>
    <t>کد قبلی مختوم شده 43001342</t>
  </si>
  <si>
    <t>کد قبلی مختوم شده 43001343</t>
  </si>
  <si>
    <t>کد قبلی مختوم شده 43001315</t>
  </si>
  <si>
    <t>کد قبلی مختوم شده 43001316</t>
  </si>
  <si>
    <t>کد قبلی مختوم شده 43001317</t>
  </si>
  <si>
    <t>کد قبلی مختوم شده 43001318</t>
  </si>
  <si>
    <t>کد قبلی مختوم شده 43001319</t>
  </si>
  <si>
    <t>کد قبلی مختوم شده 43001321</t>
  </si>
  <si>
    <t>کد قبلی مختوم شده 43001322</t>
  </si>
  <si>
    <t>کد قبلی مختوم شده 43001340</t>
  </si>
  <si>
    <t xml:space="preserve">جهت تعمیر به تهران </t>
  </si>
  <si>
    <t xml:space="preserve">آقای کیوان -جهت تعمیر به تهران </t>
  </si>
  <si>
    <t>محمد الهی زاده</t>
  </si>
  <si>
    <t xml:space="preserve">جهت سرویس به تهران </t>
  </si>
  <si>
    <t>علی اسدی پور</t>
  </si>
  <si>
    <t>علی بخشیان</t>
  </si>
  <si>
    <t>نظارت برسو</t>
  </si>
  <si>
    <t>مدیر برسو</t>
  </si>
  <si>
    <t>4030304</t>
  </si>
  <si>
    <t>پیسیکو</t>
  </si>
  <si>
    <t>بخشی</t>
  </si>
  <si>
    <t>امین نصراله‌زاده</t>
  </si>
  <si>
    <t xml:space="preserve">فرزان فن اندیش فردا </t>
  </si>
  <si>
    <t>واحد نصب</t>
  </si>
  <si>
    <t>وحید حافظ آبادی</t>
  </si>
  <si>
    <t>Laser jet pro M428dw</t>
  </si>
  <si>
    <t>fuji film x130</t>
  </si>
  <si>
    <t>رسول مجیدی</t>
  </si>
  <si>
    <t>توسعه</t>
  </si>
  <si>
    <t>CNDRQ6N0XF</t>
  </si>
  <si>
    <t>8UP04345</t>
  </si>
  <si>
    <t>مهران ایران منش</t>
  </si>
  <si>
    <t>100605</t>
  </si>
  <si>
    <t>در تاریخ 1403/03/17 از تعمیر برگشت</t>
  </si>
  <si>
    <t>نصب در سایت</t>
  </si>
  <si>
    <t>نوید ولی زاده</t>
  </si>
  <si>
    <t>4010302</t>
  </si>
  <si>
    <t>پرسنل دفتر تهران</t>
  </si>
  <si>
    <t>علی بارانی</t>
  </si>
  <si>
    <t>علی کورکی نژاد</t>
  </si>
  <si>
    <t>20732</t>
  </si>
  <si>
    <t>حسین دولت خواه</t>
  </si>
  <si>
    <t>ابوالفضل پور زیدآبادی</t>
  </si>
  <si>
    <t>20628</t>
  </si>
  <si>
    <t>جمشید پردل</t>
  </si>
  <si>
    <t>ترانسپورت</t>
  </si>
  <si>
    <t>نگین تیان پارس</t>
  </si>
  <si>
    <t>حسین احمد مشروط</t>
  </si>
  <si>
    <t>مدیر سایت جانجا</t>
  </si>
  <si>
    <t>مس جانجا (483)</t>
  </si>
  <si>
    <t>منصور جعفری</t>
  </si>
  <si>
    <t>1843</t>
  </si>
  <si>
    <t>امید سرابندی</t>
  </si>
  <si>
    <t>1731</t>
  </si>
  <si>
    <t>علی زارع</t>
  </si>
  <si>
    <t>مهرداد فرامرزی</t>
  </si>
  <si>
    <t>4021203</t>
  </si>
  <si>
    <t>20811</t>
  </si>
  <si>
    <t>4020904</t>
  </si>
  <si>
    <t>علی باقری</t>
  </si>
  <si>
    <t>سجاد میرمحمدی</t>
  </si>
  <si>
    <t>در تاریخ 1403/05/14 از تعمیر برگشت</t>
  </si>
  <si>
    <t>حمزه احمدی</t>
  </si>
  <si>
    <t xml:space="preserve"> از تعمیر برگشت</t>
  </si>
  <si>
    <t>برگشت از تعمیر</t>
  </si>
  <si>
    <t>؟</t>
  </si>
  <si>
    <t>وضعیت</t>
  </si>
  <si>
    <t>علی اکبر کردی</t>
  </si>
  <si>
    <t>محمد صادقی‌پور</t>
  </si>
  <si>
    <t>سید علی مهدیان</t>
  </si>
  <si>
    <t>سعید قاسمی</t>
  </si>
  <si>
    <t>سید جواد کشفی</t>
  </si>
  <si>
    <t>ابوذر خواجه</t>
  </si>
  <si>
    <t>نرم افزار آلمیلا-سپیددانه</t>
  </si>
  <si>
    <t>در تاریخ 1403/05/24 از تعمیر برگشت</t>
  </si>
  <si>
    <t>محمدرضا ملاشاهی</t>
  </si>
  <si>
    <t>تدارکات</t>
  </si>
  <si>
    <t>حبیب طالبی</t>
  </si>
  <si>
    <t>امید پوررنجبر</t>
  </si>
  <si>
    <t>پولاد نصب جهانبین</t>
  </si>
  <si>
    <t>مهدی گودرزی</t>
  </si>
  <si>
    <t>احیا فولاد</t>
  </si>
  <si>
    <t>پیمان خدابخشی فر</t>
  </si>
  <si>
    <t>ICAPS</t>
  </si>
  <si>
    <t>ESP</t>
  </si>
  <si>
    <t>فرهاد کاظمی</t>
  </si>
  <si>
    <t>محمد بنی اسد</t>
  </si>
  <si>
    <t>رییس ابزار دقیق</t>
  </si>
  <si>
    <t xml:space="preserve">تحویل آقای منصور نورمندی پور </t>
  </si>
  <si>
    <t>جواد نظری</t>
  </si>
  <si>
    <t>انبار رو باز تربت حیدریه (439)</t>
  </si>
  <si>
    <t>HIKVISION DS-2CD2086G2-L</t>
  </si>
  <si>
    <t>SQ LITE</t>
  </si>
  <si>
    <t xml:space="preserve">DISC LITE5 </t>
  </si>
  <si>
    <t>ساختمان فکور تربت حیدریه (439)</t>
  </si>
  <si>
    <t>سوییچ 8 پورت POE</t>
  </si>
  <si>
    <t>مهدی شیر مردی</t>
  </si>
  <si>
    <t>پارتاک</t>
  </si>
  <si>
    <t>فرزان-MC</t>
  </si>
  <si>
    <t>پیمان فضلی</t>
  </si>
  <si>
    <t xml:space="preserve">مجتبی کریمی </t>
  </si>
  <si>
    <t>در تاریخ 1403/06/27 از تعمیر برگشت</t>
  </si>
  <si>
    <t>امیر عباسی</t>
  </si>
  <si>
    <t>نیرو پژوه سهند</t>
  </si>
  <si>
    <t>4000508</t>
  </si>
  <si>
    <t>به علت خرابی پورت LAN</t>
  </si>
  <si>
    <t>حسام رضایی</t>
  </si>
  <si>
    <t xml:space="preserve">نسوز </t>
  </si>
  <si>
    <t>علی زمانی</t>
  </si>
  <si>
    <t>سیروس سجادی</t>
  </si>
  <si>
    <t>20882</t>
  </si>
  <si>
    <t>محمد حسین جامی</t>
  </si>
  <si>
    <t>فرشید پاکرأی</t>
  </si>
  <si>
    <t>شهروز حسینی</t>
  </si>
  <si>
    <t>کیوان ستوده</t>
  </si>
  <si>
    <t>ابوذر ناصری</t>
  </si>
  <si>
    <t>داغی شده در دفتر تهران</t>
  </si>
  <si>
    <t>کد پروژه</t>
  </si>
  <si>
    <t>محل</t>
  </si>
  <si>
    <t xml:space="preserve">امیر مجتبی شیخ زاده </t>
  </si>
  <si>
    <t>شهرام رحیمی</t>
  </si>
  <si>
    <t>LG 22"  22MP55HQ</t>
  </si>
  <si>
    <t xml:space="preserve">تحویل آقای ساسان انصاری پرسنل سایت توسعه فولاد به علت خاموش روشن شدن </t>
  </si>
  <si>
    <t>به علت روشن نشدن ( تحویل عبدالرضا جعفری سایت توسعه فولاد )</t>
  </si>
  <si>
    <t>UPS BEHIN SANAT  UA150</t>
  </si>
  <si>
    <t>به علت خرابی باطری ها ( تحویل مسعود صداقت سایت توسعه فولاد )</t>
  </si>
  <si>
    <t>علی راسخی</t>
  </si>
  <si>
    <t>ایرج ناروئی</t>
  </si>
  <si>
    <t>کمک انباردار</t>
  </si>
  <si>
    <t>مانیتور شاقاسی - ارسالی از سنگان به تهران</t>
  </si>
  <si>
    <t>در تاریخ 1403/08/15 از تعمیر برگشت</t>
  </si>
  <si>
    <t xml:space="preserve">جهت تعمییر به تهران ارسال شد علت تعمییر روشن می شودولی سوییچ لود نمی شود و بالا نمیاد </t>
  </si>
  <si>
    <t>کیس گرین B660</t>
  </si>
  <si>
    <t>در تاریخ 1403/08/08 از تعمیر برگشت</t>
  </si>
  <si>
    <t>مهدی چوب تراش</t>
  </si>
  <si>
    <t>کارمند اداری و پشتیبانی</t>
  </si>
  <si>
    <t>مهدی شیرمردی</t>
  </si>
  <si>
    <t>کنترل کیفیت پارتاک</t>
  </si>
  <si>
    <t>به علت روشن نشدن تحویل آقای محسن زارع نژاد سایت توسعه فولاد</t>
  </si>
  <si>
    <t>جهت تعمییر به تهران ارسال شد</t>
  </si>
  <si>
    <t>مجید اسلام پناه</t>
  </si>
  <si>
    <t>پرینتر HP 5200</t>
  </si>
  <si>
    <t>پرینتر HP M130</t>
  </si>
  <si>
    <t>پرینتر CANON 4410</t>
  </si>
  <si>
    <t>تعمیرکار آقای محسنی تحویل آقای جاسم راهنما واحد کارفرما سایت توسعه فولاد</t>
  </si>
  <si>
    <t>تعمیرکار آقای محسنی تحویل آقای علی بلوردی واحد تردد سایت توسعه فولاد</t>
  </si>
  <si>
    <t>تعمیرکار آقای رضائیان تحویل آقای مهدی شهبازی کانکس درب شمال سایت توسعه فولاد</t>
  </si>
  <si>
    <t>در تاریخ 1403/09/11 از تعمیر برگشت</t>
  </si>
  <si>
    <t>محمد رضا نادری</t>
  </si>
  <si>
    <t>قاسم تقوایی</t>
  </si>
  <si>
    <t>سرپرست حراست</t>
  </si>
  <si>
    <t>محمد حسین یوسف اللهی</t>
  </si>
  <si>
    <t>آزمایشگاه بتن</t>
  </si>
  <si>
    <t>دریا پی نقشه آزما</t>
  </si>
  <si>
    <t>در تاریخ 1403/09/07 از تعمیر برگشت</t>
  </si>
  <si>
    <t>مانیتور قبلی ایرج نارویی جهت تعمیر به تهران ارسال شد</t>
  </si>
  <si>
    <t>جهت تعمیر به تهران ارسال شد-موجودی انبار جانجا</t>
  </si>
  <si>
    <t>جلال حبیبی کیا</t>
  </si>
  <si>
    <t>محمدرضا کرمی</t>
  </si>
  <si>
    <t>سجاد خیری</t>
  </si>
  <si>
    <t>محمد فصیحی</t>
  </si>
  <si>
    <t>میلاد رمضانی تقی آباد</t>
  </si>
  <si>
    <t>کیس i5</t>
  </si>
  <si>
    <t>در تاریخ 1403/10/11 از تعمیر برگشت</t>
  </si>
  <si>
    <t>تحویل آقای امین قربانی پرسنل آلمیلا سپید دانه سایت توسعه فولاد جهت تعمیر به تهران</t>
  </si>
  <si>
    <t>سعید مصطفوی</t>
  </si>
  <si>
    <t>محمد کریمی</t>
  </si>
  <si>
    <t>محمد غیاثی</t>
  </si>
  <si>
    <t>ابراهیم منصوری</t>
  </si>
  <si>
    <t>محمود ابدرم</t>
  </si>
  <si>
    <t>حمید رضا کلایی</t>
  </si>
  <si>
    <t>ایوب عباسی</t>
  </si>
  <si>
    <t>حسین پناه پور</t>
  </si>
  <si>
    <t>ارسال به تعمیر</t>
  </si>
  <si>
    <t>مانیتور قبلی شرکت آفتاب کویر سایت مرکز تحقیقات (438)</t>
  </si>
  <si>
    <t>اسکنر میثم فتحی زاده- تعمیرگاه ماشین های اداری MR COPY ارسال شد</t>
  </si>
  <si>
    <t>مسلم حیدری</t>
  </si>
  <si>
    <t>نگین تیان</t>
  </si>
  <si>
    <t>برنامه آلمیلا</t>
  </si>
  <si>
    <t>معین عباسی نژاد</t>
  </si>
  <si>
    <t>سلیمان فرخی</t>
  </si>
  <si>
    <t>مکانیک-آهک</t>
  </si>
  <si>
    <t>پژمان محمدی</t>
  </si>
  <si>
    <t>جهت تعمیر به تهران ارسال شد-موجودی انبار 362</t>
  </si>
  <si>
    <t>در تاریخ 1403/11/17 از تعمیر برگشت</t>
  </si>
  <si>
    <t>یوسف محمود آبادی</t>
  </si>
  <si>
    <t>در تاریخ 1403/11/24 از تعمیر برگشت</t>
  </si>
  <si>
    <t>در تاریخ 1403/11/25 از تعمیر برگشت</t>
  </si>
  <si>
    <t>محمد گل افشان</t>
  </si>
  <si>
    <t>جغتایی</t>
  </si>
  <si>
    <t>جواد کاظم پور</t>
  </si>
  <si>
    <t>محمد طهماسی</t>
  </si>
  <si>
    <t>وحید یاوری</t>
  </si>
  <si>
    <t>فردین غریبوند</t>
  </si>
  <si>
    <t>علت تعمییر مانیتور روشن نمی شود-ارسال به تهران</t>
  </si>
  <si>
    <t>سعید مومنه</t>
  </si>
  <si>
    <t>امیر برزگر</t>
  </si>
  <si>
    <t>آرمين نويد آپادانا</t>
  </si>
  <si>
    <t>الهام عطائی</t>
  </si>
  <si>
    <t>دفتردار</t>
  </si>
  <si>
    <t>امید فلاح</t>
  </si>
  <si>
    <t>حسین دهقانیان</t>
  </si>
  <si>
    <t>مریم یادگاری</t>
  </si>
  <si>
    <t xml:space="preserve">انبار آی تی توسعه فولاد (362) - تعمیرگاه ماشین های اداری MR COPY </t>
  </si>
  <si>
    <t xml:space="preserve">میثم مددی زاده - تعمیرگاه ماشین های اداری MR COPY </t>
  </si>
  <si>
    <t>علی چوپان</t>
  </si>
  <si>
    <t>0015348563</t>
  </si>
  <si>
    <t>محمدصالح برزنونی</t>
  </si>
  <si>
    <t>پرینتر سلمان یگانه - جانجا - اارسال به تهران جهت تعمیر</t>
  </si>
  <si>
    <t>در تاریخ 1403/12/20 از تعمیر برگشت</t>
  </si>
  <si>
    <t>محسن ساریخانی</t>
  </si>
  <si>
    <t>یاسین سالاری</t>
  </si>
  <si>
    <t>عباس وثوقی</t>
  </si>
  <si>
    <t>منصور نوروزی راد</t>
  </si>
  <si>
    <t>پاپینگ</t>
  </si>
  <si>
    <t>جلیل عسگری فرسنگی</t>
  </si>
  <si>
    <t>جواد نبوی</t>
  </si>
  <si>
    <t>علت عدم نمایش صفحه در سایت پیشران-جهت تعمیر به دفتر مرکزی ارسال شده</t>
  </si>
  <si>
    <t>احسان به نیا</t>
  </si>
  <si>
    <t>رئیس نظارت</t>
  </si>
  <si>
    <t>مجید قدیانلو</t>
  </si>
  <si>
    <t>سجاد هندیزی پور</t>
  </si>
  <si>
    <t>احسان رهبری</t>
  </si>
  <si>
    <t>محمد نبی پارسایی فر</t>
  </si>
  <si>
    <t>حامد محصل</t>
  </si>
  <si>
    <t>0769657745</t>
  </si>
  <si>
    <t>0760001596</t>
  </si>
  <si>
    <t>0760310424</t>
  </si>
  <si>
    <t>0769582613</t>
  </si>
  <si>
    <t>عطا بیژندنیا</t>
  </si>
  <si>
    <t>نظارت و اجرای سایت</t>
  </si>
  <si>
    <t>0941653196</t>
  </si>
  <si>
    <t>2093510057</t>
  </si>
  <si>
    <t>داوود اصغری</t>
  </si>
  <si>
    <t>2751051065</t>
  </si>
  <si>
    <t>سعید تالاری</t>
  </si>
  <si>
    <t>BS53C74</t>
  </si>
  <si>
    <t>خاموش شدن ناگهانی-ارسال به تهران</t>
  </si>
  <si>
    <t>حامد لطفی</t>
  </si>
  <si>
    <t>سید مهدی علیپور یزدی</t>
  </si>
  <si>
    <t>بهاباد یزد</t>
  </si>
  <si>
    <t>میلاد ترابی راد</t>
  </si>
  <si>
    <t>0310416922</t>
  </si>
  <si>
    <t xml:space="preserve">نظارت مکانیک </t>
  </si>
  <si>
    <t>هادی نام آور</t>
  </si>
  <si>
    <t>Hh0703834703</t>
  </si>
  <si>
    <t>مصطفی نوشادی</t>
  </si>
  <si>
    <t>رسول اورک</t>
  </si>
  <si>
    <t>بهمن زرگری</t>
  </si>
  <si>
    <t>رضا پور امینایی</t>
  </si>
  <si>
    <t>امیرمحمد پورچنگیز</t>
  </si>
  <si>
    <t>دانیال چاوشی</t>
  </si>
  <si>
    <t>کانکس اجرا</t>
  </si>
  <si>
    <t>علی علوی</t>
  </si>
  <si>
    <t>گهر نشاط</t>
  </si>
  <si>
    <t>اتاق مهمانان توسعه فولاد (362)</t>
  </si>
  <si>
    <t>پوریا پور طالبی</t>
  </si>
  <si>
    <t>در تاریخ 1404-03-21 از تعمیر برگشت</t>
  </si>
  <si>
    <t xml:space="preserve">برای تعمیر توسط آقای مهندس یزدانی جهت تحویل به آقای حمیدی در مورخ 21/03/1404 ارسال شد </t>
  </si>
  <si>
    <t>محمد خواجوئی نژاد</t>
  </si>
  <si>
    <t xml:space="preserve">مکانیک </t>
  </si>
  <si>
    <t>مهدی رضوانیان</t>
  </si>
  <si>
    <t>کیانوش موسوی</t>
  </si>
  <si>
    <t>داود شیروانی</t>
  </si>
  <si>
    <t>مهران حافظی</t>
  </si>
  <si>
    <t>گهر نشاط سمنگان</t>
  </si>
  <si>
    <t>طب کار توسعه فولاد(362)</t>
  </si>
  <si>
    <t>علی عباسی منجزی</t>
  </si>
  <si>
    <t>کارخانه گندله سازی شرکت صنعتی معدنی گیورد(527)</t>
  </si>
  <si>
    <t>طب کار</t>
  </si>
  <si>
    <t>الهه امین زاده</t>
  </si>
  <si>
    <t>سرپرست فرآیند فولادسازی</t>
  </si>
  <si>
    <t>هومن اثمری</t>
  </si>
  <si>
    <t>ابراهیم زلقی</t>
  </si>
  <si>
    <t>کارشناس دفر فنی نورد</t>
  </si>
  <si>
    <t>کانکس مکانیک ناحیه ESP توسعه فولاد(362)</t>
  </si>
  <si>
    <t xml:space="preserve">علی علوی </t>
  </si>
  <si>
    <t xml:space="preserve">گهرنشاط </t>
  </si>
  <si>
    <t>رئیس سایت</t>
  </si>
  <si>
    <t>کارشناس دفتر فنی سیویل</t>
  </si>
  <si>
    <t>میلاد قبادی</t>
  </si>
  <si>
    <t>مصطفی غیاثوند</t>
  </si>
  <si>
    <t>عمران جلیلیان</t>
  </si>
  <si>
    <t>دفتر فنی مکانیک توسعه فولاد(362)</t>
  </si>
  <si>
    <t>سایت پروژه کارخانه تغلیظ مس جانجا(483)</t>
  </si>
  <si>
    <t xml:space="preserve"> کارشناس ایمنی، بهداشت و محیط زیست سایت</t>
  </si>
  <si>
    <t>ابوالفضل غلامی (جانجا)</t>
  </si>
  <si>
    <t>علی اسدی زیدآبادی</t>
  </si>
  <si>
    <t>کانکس کنترل پروژه سایت مرکز تحقیقات (438)</t>
  </si>
  <si>
    <t>فکور صنعت</t>
  </si>
  <si>
    <t xml:space="preserve">اُنبرتو خوشابیان </t>
  </si>
  <si>
    <t xml:space="preserve">فرزان فن اندیش </t>
  </si>
  <si>
    <t>سوله انبار ماشین سازی فولاد بردسیر(461)</t>
  </si>
  <si>
    <t>اتاق برق و ابزار دقیق سایت فولاد (362)</t>
  </si>
  <si>
    <t>رامین شکری</t>
  </si>
  <si>
    <t xml:space="preserve">رستاک </t>
  </si>
  <si>
    <t xml:space="preserve"> برق و ابزار دقیق </t>
  </si>
  <si>
    <t>FD6297426</t>
  </si>
  <si>
    <t xml:space="preserve"> HIKVISION DS-7732NXI-K4</t>
  </si>
  <si>
    <t>در تاریخ 01-05-1404 از تعمیر برگشت</t>
  </si>
  <si>
    <t>جهت تعمیر به تهران ارسال شد-موجودی انبار 362 - تعویض مادربورد</t>
  </si>
  <si>
    <t>نظارت برسو بردسیر - ارسال به تهران جهت تعمیر - تعویض مادربورد</t>
  </si>
  <si>
    <t>آناهیتا کریمی</t>
  </si>
  <si>
    <t>محمد حسین طباطبایی</t>
  </si>
  <si>
    <t>Z1C018090080</t>
  </si>
  <si>
    <t>1404/05/08</t>
  </si>
  <si>
    <t>کانکس زیر منبع کمپ کارگری</t>
  </si>
  <si>
    <t>ساسان شجاعت خرامه</t>
  </si>
  <si>
    <t>UPS GTEC
ZP120N-3K</t>
  </si>
  <si>
    <t>722002008012008</t>
  </si>
  <si>
    <t>مانیتور LG 
W2261VP</t>
  </si>
  <si>
    <t>محل اسقرار</t>
  </si>
  <si>
    <t>رضا محمد زاده</t>
  </si>
  <si>
    <t>ارسال جهت تعمیر1404/05/012</t>
  </si>
  <si>
    <t>ups قبلی اتاق سرور</t>
  </si>
  <si>
    <t>ابوذر اکبری</t>
  </si>
  <si>
    <t>مهرفام سپاهان</t>
  </si>
  <si>
    <t>ارسال جهت تعمیر1404/05/20</t>
  </si>
  <si>
    <t>امین کیانی</t>
  </si>
  <si>
    <t>فرخ داوری</t>
  </si>
  <si>
    <t>حجت الله رئیسی</t>
  </si>
  <si>
    <t>کارشناس دفتر فنی پایپینگ</t>
  </si>
  <si>
    <t>سرپرست دفتر فنی مکانیک</t>
  </si>
  <si>
    <t>کارشناس دفتر فنی ابزار دقیق</t>
  </si>
  <si>
    <t>انبار کویل</t>
  </si>
  <si>
    <t>ارسال به تهران جهت تعمیر - 1404/05/25</t>
  </si>
  <si>
    <t>ارسال به تهران جهت تعمیر - 1404/05/27</t>
  </si>
  <si>
    <t>حسین جامی</t>
  </si>
  <si>
    <t>ارکان تدبیر صنایع</t>
  </si>
  <si>
    <t>نظارت هماتیت مگنتیک فولاد سنگان ( 456 )</t>
  </si>
  <si>
    <t>ارسال به تهران جهت تعمیر - 1404/06/05</t>
  </si>
  <si>
    <t>فولاد بردسیر</t>
  </si>
  <si>
    <t>علی مظفری</t>
  </si>
  <si>
    <t xml:space="preserve">سجاد علیائی </t>
  </si>
  <si>
    <t>یاسر غضنفری</t>
  </si>
  <si>
    <t>حمید نادری</t>
  </si>
  <si>
    <t>حمید اسدی</t>
  </si>
  <si>
    <t>جاوید زارع</t>
  </si>
  <si>
    <t>گهر فرزانگان خرامه</t>
  </si>
  <si>
    <t>نظارت سایت خرامه( 392 )</t>
  </si>
  <si>
    <t>محمد رحیم ایزدی</t>
  </si>
  <si>
    <t>فرزاد محبی فر</t>
  </si>
  <si>
    <t>گهر کوشان سپهر</t>
  </si>
  <si>
    <t>نجمه کارگر</t>
  </si>
  <si>
    <t>حراست آهن اسفنجی بردسیر (461)</t>
  </si>
  <si>
    <t>مهدی رئیسی</t>
  </si>
  <si>
    <t>فراتحقیق سپاهان   </t>
  </si>
  <si>
    <t>نظارت کارخانه گندله سازی شرکت صنعتی معدنی گیورد(527)</t>
  </si>
  <si>
    <t>1404/06/29</t>
  </si>
  <si>
    <t>انبار آی تی خرامه</t>
  </si>
  <si>
    <t>حمید یوسفی سیاهرودی</t>
  </si>
  <si>
    <t>ارسال به سیرجان جهت تعمیر(مستر کپی) - 1404/06/29</t>
  </si>
  <si>
    <t>امید زینلی</t>
  </si>
  <si>
    <t>صادق قاسمی روشن</t>
  </si>
  <si>
    <t xml:space="preserve">کیهان اسکندری </t>
  </si>
  <si>
    <t>1404/06/11</t>
  </si>
  <si>
    <t>به کارفرما فروخته شد</t>
  </si>
  <si>
    <t>علی مکیان زاده</t>
  </si>
  <si>
    <t>مسعود باب الحوائجی</t>
  </si>
  <si>
    <t>حامد ناصر</t>
  </si>
  <si>
    <t>مهدی مقدری</t>
  </si>
  <si>
    <t>ارسال به سیرجان جهت تعمیر(مستر کپی) - 1404/07/22</t>
  </si>
  <si>
    <t>سعید اسلامی</t>
  </si>
  <si>
    <t>توسعه فولاد</t>
  </si>
  <si>
    <t>شرکت نگین تیان پارس توسعه فولاد (362)</t>
  </si>
  <si>
    <t>وحید فرجی</t>
  </si>
  <si>
    <t>احسان یارمحمدی</t>
  </si>
  <si>
    <t>ایمنی کارفرما</t>
  </si>
  <si>
    <t>کارفرما گندله سازی شرکت صنعتی معدنی گیورد(527)</t>
  </si>
  <si>
    <t>احسان زیبایی</t>
  </si>
  <si>
    <t>0682392911</t>
  </si>
  <si>
    <t>شاهین طاهری</t>
  </si>
  <si>
    <t>5279697206</t>
  </si>
  <si>
    <t>کیس قبلی باسکول</t>
  </si>
  <si>
    <t>اسماعیل زیدآبادی نژاد</t>
  </si>
  <si>
    <t>سرپرست پشتیبانی سایت,مسئول انتظامات</t>
  </si>
  <si>
    <t>محمود سلطانی</t>
  </si>
  <si>
    <t>مدیریت سایت</t>
  </si>
  <si>
    <t>کنسانتره تربت حیدریه(476)</t>
  </si>
  <si>
    <t>مهدی صلابتی</t>
  </si>
  <si>
    <t>گهر كوشان سپهر</t>
  </si>
  <si>
    <t>کارشناس برنامه ریزی و کنترل پروژه</t>
  </si>
  <si>
    <t>0690574010</t>
  </si>
  <si>
    <t>فضل اله پیش باره</t>
  </si>
  <si>
    <t>0740168878</t>
  </si>
  <si>
    <t>مهدی طحان</t>
  </si>
  <si>
    <t>برگشت از تعمیر 1404/08/12</t>
  </si>
  <si>
    <t>کارشناس نظارت سیویل و معماری</t>
  </si>
  <si>
    <t>علیرضا علیائی</t>
  </si>
  <si>
    <t>2520076755</t>
  </si>
  <si>
    <t>حسین جمالپور</t>
  </si>
  <si>
    <t>پیمانکاری جمالپور</t>
  </si>
  <si>
    <t>قادر وزیری</t>
  </si>
  <si>
    <t>2452175129</t>
  </si>
  <si>
    <t>1379208513</t>
  </si>
  <si>
    <t>اتاق سرپرست نظارت و اجرا پروژ جاجنجا (483)</t>
  </si>
  <si>
    <t>منصور عبدالهی</t>
  </si>
  <si>
    <t>1970889632</t>
  </si>
  <si>
    <t>غلامرضا دیندارلو</t>
  </si>
  <si>
    <t>2529369054</t>
  </si>
  <si>
    <t>username</t>
  </si>
  <si>
    <t>personnel_code</t>
  </si>
  <si>
    <t>company</t>
  </si>
  <si>
    <t>unit</t>
  </si>
  <si>
    <t>national_code</t>
  </si>
  <si>
    <t>current_location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</si>
</sst>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7" x14ac:knownFonts="1">
    <font>
      <sz val="11"/>
      <color theme="1"/>
      <name val="Calibri"/>
      <family val="2"/>
      <scheme val="minor"/>
    </font>
    <font>
      <sz val="14"/>
      <color theme="1"/>
      <name val="B Nazanin"/>
      <charset val="178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name val="B Nazanin"/>
      <charset val="178"/>
    </font>
    <font>
      <sz val="14"/>
      <color rgb="FFFF0000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16"/>
      <name val="Calibri"/>
      <family val="2"/>
      <scheme val="minor"/>
    </font>
    <font>
      <sz val="14"/>
      <color theme="1"/>
      <name val="Times New Roman"/>
      <family val="1"/>
    </font>
    <font>
      <u/>
      <sz val="14"/>
      <color rgb="FFFF0000"/>
      <name val="Calibri"/>
      <family val="2"/>
      <scheme val="minor"/>
    </font>
    <font>
      <b/>
      <sz val="14"/>
      <color rgb="FFFF0000"/>
      <name val="B Nazanin"/>
      <charset val="178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rgb="FFFF0000"/>
      <name val="B Nazanin"/>
      <charset val="178"/>
    </font>
    <font>
      <b/>
      <sz val="14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indexed="81"/>
      <name val="Tahoma"/>
      <family val="2"/>
    </font>
    <font>
      <b/>
      <sz val="14"/>
      <color theme="1"/>
      <name val="B Nazanin"/>
      <charset val="178"/>
    </font>
    <font>
      <b/>
      <sz val="12"/>
      <color theme="1"/>
      <name val="B Nazanin"/>
      <charset val="178"/>
    </font>
    <font>
      <b/>
      <sz val="14"/>
      <color theme="0"/>
      <name val="Calibri"/>
      <family val="2"/>
      <scheme val="minor"/>
    </font>
    <font>
      <b/>
      <sz val="14"/>
      <color theme="0"/>
      <name val="B Nazanin"/>
      <charset val="178"/>
    </font>
    <font>
      <b/>
      <sz val="14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FFFFFF"/>
      <name val="B Nazanin"/>
      <charset val="178"/>
    </font>
    <font>
      <sz val="10"/>
      <name val="Arial"/>
      <family val="2"/>
    </font>
    <font>
      <b/>
      <sz val="12"/>
      <color rgb="FFFF0000"/>
      <name val="Calibri"/>
      <family val="2"/>
      <scheme val="minor"/>
    </font>
    <font>
      <b/>
      <sz val="12"/>
      <color rgb="FF000000"/>
      <name val="B Nazanin"/>
      <charset val="178"/>
    </font>
    <font>
      <b/>
      <u/>
      <sz val="14"/>
      <color rgb="FFFF0000"/>
      <name val="B Nazanin"/>
      <charset val="178"/>
    </font>
    <font>
      <b/>
      <sz val="16"/>
      <color rgb="FFFFFFFF"/>
      <name val="B Titr"/>
      <charset val="178"/>
    </font>
    <font>
      <sz val="8"/>
      <name val="Calibri"/>
      <family val="2"/>
      <scheme val="minor"/>
    </font>
    <font>
      <b/>
      <sz val="12"/>
      <name val="Times New Roman"/>
      <family val="1"/>
    </font>
    <font>
      <b/>
      <sz val="12"/>
      <name val="B Nazanin"/>
      <charset val="178"/>
    </font>
    <font>
      <sz val="11"/>
      <color theme="1"/>
      <name val="B Nazanin"/>
      <charset val="178"/>
    </font>
    <font>
      <b/>
      <sz val="16"/>
      <color theme="1"/>
      <name val="B Nazanin"/>
      <charset val="178"/>
    </font>
    <font>
      <b/>
      <sz val="16"/>
      <name val="B Nazanin"/>
      <charset val="178"/>
    </font>
    <font>
      <sz val="16"/>
      <color theme="1"/>
      <name val="B Nazanin"/>
      <charset val="178"/>
    </font>
    <font>
      <b/>
      <sz val="14"/>
      <name val="Calibri Light"/>
      <family val="1"/>
      <scheme val="major"/>
    </font>
    <font>
      <b/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76E87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CB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7" fillId="0" borderId="0"/>
    <xf numFmtId="0" fontId="29" fillId="0" borderId="0"/>
    <xf numFmtId="0" fontId="32" fillId="0" borderId="0"/>
  </cellStyleXfs>
  <cellXfs count="110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/>
    </xf>
    <xf numFmtId="0" fontId="1" fillId="0" borderId="0" xfId="0" applyFont="1"/>
    <xf numFmtId="0" fontId="11" fillId="0" borderId="0" xfId="0" applyFont="1"/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0" fontId="15" fillId="3" borderId="1" xfId="1" applyFont="1" applyFill="1" applyBorder="1" applyAlignment="1">
      <alignment horizontal="center" vertical="center"/>
    </xf>
    <xf numFmtId="0" fontId="24" fillId="0" borderId="1" xfId="0" applyFont="1" applyBorder="1"/>
    <xf numFmtId="1" fontId="15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readingOrder="2"/>
    </xf>
    <xf numFmtId="49" fontId="17" fillId="0" borderId="1" xfId="0" applyNumberFormat="1" applyFont="1" applyBorder="1" applyAlignment="1">
      <alignment horizontal="center" vertical="center" readingOrder="2"/>
    </xf>
    <xf numFmtId="0" fontId="17" fillId="0" borderId="1" xfId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49" fontId="17" fillId="0" borderId="1" xfId="1" applyNumberFormat="1" applyFont="1" applyBorder="1" applyAlignment="1">
      <alignment horizontal="center" vertical="center"/>
    </xf>
    <xf numFmtId="0" fontId="26" fillId="0" borderId="1" xfId="0" applyFont="1" applyBorder="1" applyAlignment="1">
      <alignment vertical="center"/>
    </xf>
    <xf numFmtId="0" fontId="31" fillId="8" borderId="0" xfId="0" applyFont="1" applyFill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right" shrinkToFit="1"/>
    </xf>
    <xf numFmtId="0" fontId="5" fillId="0" borderId="0" xfId="0" applyFont="1" applyAlignment="1">
      <alignment horizontal="center" shrinkToFit="1"/>
    </xf>
    <xf numFmtId="49" fontId="16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readingOrder="1"/>
    </xf>
    <xf numFmtId="0" fontId="16" fillId="0" borderId="1" xfId="0" applyFont="1" applyBorder="1" applyAlignment="1">
      <alignment horizontal="center" vertical="center" readingOrder="2"/>
    </xf>
    <xf numFmtId="49" fontId="16" fillId="0" borderId="1" xfId="0" applyNumberFormat="1" applyFont="1" applyBorder="1" applyAlignment="1">
      <alignment horizontal="center" vertical="center" readingOrder="2"/>
    </xf>
    <xf numFmtId="1" fontId="14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/>
    </xf>
    <xf numFmtId="0" fontId="36" fillId="8" borderId="1" xfId="0" applyFont="1" applyFill="1" applyBorder="1" applyAlignment="1">
      <alignment horizontal="center" vertical="center"/>
    </xf>
    <xf numFmtId="1" fontId="36" fillId="8" borderId="1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49" fontId="15" fillId="0" borderId="1" xfId="1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readingOrder="2"/>
    </xf>
    <xf numFmtId="0" fontId="36" fillId="11" borderId="1" xfId="0" applyFont="1" applyFill="1" applyBorder="1" applyAlignment="1">
      <alignment horizontal="center" vertical="center"/>
    </xf>
    <xf numFmtId="1" fontId="36" fillId="11" borderId="1" xfId="0" applyNumberFormat="1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0" fillId="0" borderId="0" xfId="0" applyFill="1"/>
    <xf numFmtId="2" fontId="17" fillId="0" borderId="1" xfId="0" applyNumberFormat="1" applyFont="1" applyFill="1" applyBorder="1" applyAlignment="1">
      <alignment horizontal="center" vertical="center"/>
    </xf>
    <xf numFmtId="0" fontId="15" fillId="0" borderId="1" xfId="1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/>
    </xf>
    <xf numFmtId="0" fontId="38" fillId="12" borderId="1" xfId="0" applyFont="1" applyFill="1" applyBorder="1" applyAlignment="1">
      <alignment horizontal="center" vertical="center"/>
    </xf>
    <xf numFmtId="0" fontId="39" fillId="2" borderId="1" xfId="0" applyFont="1" applyFill="1" applyBorder="1" applyAlignment="1">
      <alignment horizontal="center" vertical="center"/>
    </xf>
    <xf numFmtId="0" fontId="39" fillId="12" borderId="1" xfId="0" applyFont="1" applyFill="1" applyBorder="1" applyAlignment="1">
      <alignment horizontal="center" vertical="center"/>
    </xf>
    <xf numFmtId="0" fontId="40" fillId="0" borderId="0" xfId="0" applyFont="1"/>
    <xf numFmtId="0" fontId="41" fillId="0" borderId="1" xfId="0" applyFont="1" applyFill="1" applyBorder="1" applyAlignment="1">
      <alignment horizontal="center" vertical="center"/>
    </xf>
    <xf numFmtId="0" fontId="42" fillId="0" borderId="1" xfId="0" applyFont="1" applyFill="1" applyBorder="1" applyAlignment="1">
      <alignment horizontal="center" vertical="center"/>
    </xf>
    <xf numFmtId="2" fontId="41" fillId="0" borderId="1" xfId="0" applyNumberFormat="1" applyFont="1" applyFill="1" applyBorder="1" applyAlignment="1">
      <alignment horizontal="center" vertical="center"/>
    </xf>
    <xf numFmtId="0" fontId="43" fillId="0" borderId="0" xfId="0" applyFont="1"/>
    <xf numFmtId="0" fontId="44" fillId="0" borderId="1" xfId="1" applyFont="1" applyFill="1" applyBorder="1" applyAlignment="1">
      <alignment horizontal="center" vertical="center"/>
    </xf>
    <xf numFmtId="0" fontId="44" fillId="0" borderId="1" xfId="0" applyFont="1" applyFill="1" applyBorder="1" applyAlignment="1">
      <alignment horizontal="center" vertical="center"/>
    </xf>
    <xf numFmtId="0" fontId="45" fillId="0" borderId="1" xfId="0" applyFont="1" applyFill="1" applyBorder="1" applyAlignment="1">
      <alignment horizontal="center" vertical="center"/>
    </xf>
    <xf numFmtId="0" fontId="46" fillId="0" borderId="0" xfId="0" applyFont="1"/>
    <xf numFmtId="49" fontId="44" fillId="0" borderId="1" xfId="1" applyNumberFormat="1" applyFont="1" applyFill="1" applyBorder="1" applyAlignment="1">
      <alignment horizontal="center" vertical="center"/>
    </xf>
    <xf numFmtId="0" fontId="0" fillId="13" borderId="0" xfId="0" applyFill="1"/>
    <xf numFmtId="0" fontId="0" fillId="9" borderId="0" xfId="0" applyFill="1"/>
    <xf numFmtId="0" fontId="46" fillId="9" borderId="0" xfId="0" applyFont="1" applyFill="1"/>
    <xf numFmtId="0" fontId="43" fillId="13" borderId="0" xfId="0" applyFont="1" applyFill="1"/>
    <xf numFmtId="49" fontId="25" fillId="0" borderId="1" xfId="0" applyNumberFormat="1" applyFont="1" applyBorder="1" applyAlignment="1">
      <alignment horizontal="center" vertical="center"/>
    </xf>
    <xf numFmtId="49" fontId="38" fillId="2" borderId="1" xfId="0" applyNumberFormat="1" applyFont="1" applyFill="1" applyBorder="1" applyAlignment="1">
      <alignment horizontal="center" vertical="center"/>
    </xf>
    <xf numFmtId="49" fontId="38" fillId="1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26" fillId="6" borderId="3" xfId="0" applyFont="1" applyFill="1" applyBorder="1" applyAlignment="1">
      <alignment horizontal="center" vertical="center"/>
    </xf>
    <xf numFmtId="0" fontId="26" fillId="6" borderId="4" xfId="0" applyFont="1" applyFill="1" applyBorder="1" applyAlignment="1">
      <alignment horizontal="center" vertical="center"/>
    </xf>
    <xf numFmtId="0" fontId="26" fillId="6" borderId="5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">
    <cellStyle name="Normal" xfId="0" builtinId="0"/>
    <cellStyle name="Normal 2" xfId="1" xr:uid="{00000000-0005-0000-0000-000002000000}"/>
    <cellStyle name="Normal 3" xfId="2" xr:uid="{00000000-0005-0000-0000-000003000000}"/>
    <cellStyle name="Normal 4" xfId="3" xr:uid="{00000000-0005-0000-0000-000004000000}"/>
  </cellStyles>
  <dxfs count="689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CC3300"/>
      <color rgb="FFFFCCCC"/>
      <color rgb="FF76E8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Menu!B2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2222500</xdr:colOff>
      <xdr:row>0</xdr:row>
      <xdr:rowOff>21167</xdr:rowOff>
    </xdr:from>
    <xdr:to>
      <xdr:col>4</xdr:col>
      <xdr:colOff>3769632</xdr:colOff>
      <xdr:row>0</xdr:row>
      <xdr:rowOff>755953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0057519618" y="21167"/>
          <a:ext cx="1547132" cy="734786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 rtl="1"/>
          <a:r>
            <a:rPr lang="fa-IR" sz="1800">
              <a:latin typeface="+mn-lt"/>
              <a:cs typeface="B Titr" panose="00000700000000000000" pitchFamily="2" charset="-78"/>
            </a:rPr>
            <a:t>منوی</a:t>
          </a:r>
          <a:r>
            <a:rPr lang="fa-IR" sz="1800" baseline="0">
              <a:latin typeface="+mn-lt"/>
              <a:cs typeface="B Titr" panose="00000700000000000000" pitchFamily="2" charset="-78"/>
            </a:rPr>
            <a:t> اصلی</a:t>
          </a:r>
          <a:endParaRPr lang="en-US" sz="1800">
            <a:latin typeface="+mn-lt"/>
            <a:cs typeface="B Titr" panose="00000700000000000000" pitchFamily="2" charset="-7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2722</xdr:colOff>
      <xdr:row>0</xdr:row>
      <xdr:rowOff>54428</xdr:rowOff>
    </xdr:from>
    <xdr:to>
      <xdr:col>3</xdr:col>
      <xdr:colOff>190501</xdr:colOff>
      <xdr:row>0</xdr:row>
      <xdr:rowOff>511629</xdr:rowOff>
    </xdr:to>
    <xdr:sp macro="[0]!Click_EndRows" textlink="">
      <xdr:nvSpPr>
        <xdr:cNvPr id="2" name="Rounded Rectangle 1">
          <a:extLst>
            <a:ext uri="{FF2B5EF4-FFF2-40B4-BE49-F238E27FC236}">
              <a16:creationId xmlns:a16="http://schemas.microsoft.com/office/drawing/2014/main" id="{059EABF0-EF2B-4A23-AC40-CB975CE53C50}"/>
            </a:ext>
          </a:extLst>
        </xdr:cNvPr>
        <xdr:cNvSpPr/>
      </xdr:nvSpPr>
      <xdr:spPr>
        <a:xfrm>
          <a:off x="11259054824" y="54428"/>
          <a:ext cx="1702254" cy="457201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400" b="1">
              <a:cs typeface="B Titr" panose="00000700000000000000" pitchFamily="2" charset="-78"/>
            </a:rPr>
            <a:t>برو به آخرین سطر</a:t>
          </a:r>
        </a:p>
      </xdr:txBody>
    </xdr:sp>
    <xdr:clientData/>
  </xdr:twoCellAnchor>
  <xdr:twoCellAnchor>
    <xdr:from>
      <xdr:col>3</xdr:col>
      <xdr:colOff>271448</xdr:colOff>
      <xdr:row>0</xdr:row>
      <xdr:rowOff>54426</xdr:rowOff>
    </xdr:from>
    <xdr:to>
      <xdr:col>3</xdr:col>
      <xdr:colOff>1789352</xdr:colOff>
      <xdr:row>0</xdr:row>
      <xdr:rowOff>511627</xdr:rowOff>
    </xdr:to>
    <xdr:sp macro="[0]!Click_FirstRows" textlink="">
      <xdr:nvSpPr>
        <xdr:cNvPr id="3" name="Rounded Rectangle 2">
          <a:extLst>
            <a:ext uri="{FF2B5EF4-FFF2-40B4-BE49-F238E27FC236}">
              <a16:creationId xmlns:a16="http://schemas.microsoft.com/office/drawing/2014/main" id="{F82E45BF-205E-40DC-8B64-77073CE6A45A}"/>
            </a:ext>
          </a:extLst>
        </xdr:cNvPr>
        <xdr:cNvSpPr/>
      </xdr:nvSpPr>
      <xdr:spPr>
        <a:xfrm>
          <a:off x="11257455973" y="54426"/>
          <a:ext cx="1517904" cy="457201"/>
        </a:xfrm>
        <a:prstGeom prst="roundRect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400" b="1">
              <a:cs typeface="B Titr" panose="00000700000000000000" pitchFamily="2" charset="-78"/>
            </a:rPr>
            <a:t>برو به اولین سطر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_ListPerson">
    <pageSetUpPr fitToPage="1"/>
  </sheetPr>
  <dimension ref="A1:F845"/>
  <sheetViews>
    <sheetView rightToLeft="1" tabSelected="1" view="pageBreakPreview" zoomScaleNormal="89" zoomScaleSheetLayoutView="100" workbookViewId="0">
      <pane ySplit="1" topLeftCell="A430" activePane="bottomLeft" state="frozen"/>
      <selection pane="bottomLeft" sqref="A1:F1"/>
    </sheetView>
  </sheetViews>
  <sheetFormatPr defaultRowHeight="18" x14ac:dyDescent="0.45"/>
  <cols>
    <col min="1" max="1" width="27" bestFit="1" customWidth="1"/>
    <col min="2" max="2" width="14.28515625" bestFit="1" customWidth="1"/>
    <col min="3" max="3" width="24.85546875" style="85" bestFit="1" customWidth="1"/>
    <col min="4" max="4" width="33.5703125" style="85" bestFit="1" customWidth="1"/>
    <col min="5" max="5" width="14.7109375" style="102" bestFit="1" customWidth="1"/>
    <col min="6" max="6" width="55.42578125" style="85" customWidth="1"/>
  </cols>
  <sheetData>
    <row r="1" spans="1:6" ht="31.5" customHeight="1" x14ac:dyDescent="0.25">
      <c r="A1" s="59" t="s">
        <v>2061</v>
      </c>
      <c r="B1" s="59" t="s">
        <v>2062</v>
      </c>
      <c r="C1" s="59" t="s">
        <v>2063</v>
      </c>
      <c r="D1" s="59" t="s">
        <v>2064</v>
      </c>
      <c r="E1" s="99" t="s">
        <v>2065</v>
      </c>
      <c r="F1" s="59" t="s">
        <v>2066</v>
      </c>
    </row>
    <row r="2" spans="1:6" ht="24.95" customHeight="1" x14ac:dyDescent="0.25">
      <c r="A2" s="83" t="s">
        <v>560</v>
      </c>
      <c r="B2" s="81">
        <v>1946</v>
      </c>
      <c r="C2" s="83" t="s">
        <v>707</v>
      </c>
      <c r="D2" s="83" t="s">
        <v>189</v>
      </c>
      <c r="E2" s="100"/>
      <c r="F2" s="83" t="s">
        <v>561</v>
      </c>
    </row>
    <row r="3" spans="1:6" ht="24.95" customHeight="1" x14ac:dyDescent="0.25">
      <c r="A3" s="84" t="s">
        <v>8</v>
      </c>
      <c r="B3" s="82">
        <v>1309</v>
      </c>
      <c r="C3" s="84" t="s">
        <v>707</v>
      </c>
      <c r="D3" s="84" t="s">
        <v>543</v>
      </c>
      <c r="E3" s="101"/>
      <c r="F3" s="84" t="s">
        <v>561</v>
      </c>
    </row>
    <row r="4" spans="1:6" ht="24.95" customHeight="1" x14ac:dyDescent="0.25">
      <c r="A4" s="83" t="s">
        <v>21</v>
      </c>
      <c r="B4" s="81">
        <v>2224</v>
      </c>
      <c r="C4" s="83" t="s">
        <v>707</v>
      </c>
      <c r="D4" s="83" t="s">
        <v>708</v>
      </c>
      <c r="E4" s="100"/>
      <c r="F4" s="83" t="s">
        <v>561</v>
      </c>
    </row>
    <row r="5" spans="1:6" ht="24.95" customHeight="1" x14ac:dyDescent="0.25">
      <c r="A5" s="84" t="s">
        <v>563</v>
      </c>
      <c r="B5" s="82">
        <v>4001002</v>
      </c>
      <c r="C5" s="84" t="s">
        <v>707</v>
      </c>
      <c r="D5" s="84" t="s">
        <v>539</v>
      </c>
      <c r="E5" s="101"/>
      <c r="F5" s="84" t="s">
        <v>561</v>
      </c>
    </row>
    <row r="6" spans="1:6" ht="24.95" customHeight="1" x14ac:dyDescent="0.25">
      <c r="A6" s="83" t="s">
        <v>564</v>
      </c>
      <c r="B6" s="81" t="s">
        <v>792</v>
      </c>
      <c r="C6" s="83" t="s">
        <v>709</v>
      </c>
      <c r="D6" s="83" t="s">
        <v>709</v>
      </c>
      <c r="E6" s="100"/>
      <c r="F6" s="83" t="s">
        <v>561</v>
      </c>
    </row>
    <row r="7" spans="1:6" ht="24.95" customHeight="1" x14ac:dyDescent="0.25">
      <c r="A7" s="84" t="s">
        <v>216</v>
      </c>
      <c r="B7" s="82" t="s">
        <v>792</v>
      </c>
      <c r="C7" s="84"/>
      <c r="D7" s="84"/>
      <c r="E7" s="101"/>
      <c r="F7" s="84" t="s">
        <v>561</v>
      </c>
    </row>
    <row r="8" spans="1:6" ht="24.95" customHeight="1" x14ac:dyDescent="0.25">
      <c r="A8" s="83" t="s">
        <v>469</v>
      </c>
      <c r="B8" s="81">
        <v>20519</v>
      </c>
      <c r="C8" s="83" t="s">
        <v>2003</v>
      </c>
      <c r="D8" s="83" t="s">
        <v>710</v>
      </c>
      <c r="E8" s="100">
        <v>3060349347</v>
      </c>
      <c r="F8" s="83" t="s">
        <v>561</v>
      </c>
    </row>
    <row r="9" spans="1:6" ht="24.95" customHeight="1" x14ac:dyDescent="0.25">
      <c r="A9" s="84" t="s">
        <v>84</v>
      </c>
      <c r="B9" s="82">
        <v>1535</v>
      </c>
      <c r="C9" s="84" t="s">
        <v>707</v>
      </c>
      <c r="D9" s="84" t="s">
        <v>188</v>
      </c>
      <c r="E9" s="101"/>
      <c r="F9" s="84" t="s">
        <v>561</v>
      </c>
    </row>
    <row r="10" spans="1:6" ht="24.95" customHeight="1" x14ac:dyDescent="0.25">
      <c r="A10" s="83" t="s">
        <v>10</v>
      </c>
      <c r="B10" s="81">
        <v>683</v>
      </c>
      <c r="C10" s="83" t="s">
        <v>707</v>
      </c>
      <c r="D10" s="83" t="s">
        <v>547</v>
      </c>
      <c r="E10" s="100"/>
      <c r="F10" s="83" t="s">
        <v>561</v>
      </c>
    </row>
    <row r="11" spans="1:6" ht="24.95" customHeight="1" x14ac:dyDescent="0.25">
      <c r="A11" s="84" t="s">
        <v>565</v>
      </c>
      <c r="B11" s="82" t="s">
        <v>503</v>
      </c>
      <c r="C11" s="84" t="s">
        <v>2003</v>
      </c>
      <c r="D11" s="84" t="s">
        <v>711</v>
      </c>
      <c r="E11" s="101"/>
      <c r="F11" s="84" t="s">
        <v>561</v>
      </c>
    </row>
    <row r="12" spans="1:6" ht="24.95" customHeight="1" x14ac:dyDescent="0.25">
      <c r="A12" s="83" t="s">
        <v>319</v>
      </c>
      <c r="B12" s="81">
        <v>5031</v>
      </c>
      <c r="C12" s="83" t="s">
        <v>707</v>
      </c>
      <c r="D12" s="83" t="s">
        <v>541</v>
      </c>
      <c r="E12" s="100"/>
      <c r="F12" s="83" t="s">
        <v>561</v>
      </c>
    </row>
    <row r="13" spans="1:6" ht="24.95" customHeight="1" x14ac:dyDescent="0.25">
      <c r="A13" s="84" t="s">
        <v>1343</v>
      </c>
      <c r="B13" s="82" t="s">
        <v>1344</v>
      </c>
      <c r="C13" s="84" t="s">
        <v>707</v>
      </c>
      <c r="D13" s="84" t="s">
        <v>710</v>
      </c>
      <c r="E13" s="101">
        <v>3341380140</v>
      </c>
      <c r="F13" s="84" t="s">
        <v>561</v>
      </c>
    </row>
    <row r="14" spans="1:6" ht="24.95" customHeight="1" x14ac:dyDescent="0.25">
      <c r="A14" s="83" t="s">
        <v>1345</v>
      </c>
      <c r="B14" s="81" t="s">
        <v>1346</v>
      </c>
      <c r="C14" s="83" t="s">
        <v>715</v>
      </c>
      <c r="D14" s="83" t="s">
        <v>541</v>
      </c>
      <c r="E14" s="100">
        <v>3071218354</v>
      </c>
      <c r="F14" s="83" t="s">
        <v>561</v>
      </c>
    </row>
    <row r="15" spans="1:6" ht="24.95" customHeight="1" x14ac:dyDescent="0.25">
      <c r="A15" s="84" t="s">
        <v>1303</v>
      </c>
      <c r="B15" s="82" t="s">
        <v>1347</v>
      </c>
      <c r="C15" s="84" t="s">
        <v>715</v>
      </c>
      <c r="D15" s="84" t="s">
        <v>540</v>
      </c>
      <c r="E15" s="101">
        <v>2391721341</v>
      </c>
      <c r="F15" s="84" t="s">
        <v>561</v>
      </c>
    </row>
    <row r="16" spans="1:6" ht="24.95" customHeight="1" x14ac:dyDescent="0.25">
      <c r="A16" s="83" t="s">
        <v>1342</v>
      </c>
      <c r="B16" s="81" t="s">
        <v>792</v>
      </c>
      <c r="C16" s="83" t="s">
        <v>715</v>
      </c>
      <c r="D16" s="83" t="s">
        <v>186</v>
      </c>
      <c r="E16" s="100">
        <v>1129608591</v>
      </c>
      <c r="F16" s="83" t="s">
        <v>561</v>
      </c>
    </row>
    <row r="17" spans="1:6" ht="24.95" customHeight="1" x14ac:dyDescent="0.25">
      <c r="A17" s="84" t="s">
        <v>13</v>
      </c>
      <c r="B17" s="82">
        <v>4500</v>
      </c>
      <c r="C17" s="84" t="s">
        <v>707</v>
      </c>
      <c r="D17" s="84" t="s">
        <v>712</v>
      </c>
      <c r="E17" s="101"/>
      <c r="F17" s="84" t="s">
        <v>561</v>
      </c>
    </row>
    <row r="18" spans="1:6" ht="24.95" customHeight="1" x14ac:dyDescent="0.25">
      <c r="A18" s="83" t="s">
        <v>250</v>
      </c>
      <c r="B18" s="81">
        <v>20473</v>
      </c>
      <c r="C18" s="83" t="s">
        <v>2003</v>
      </c>
      <c r="D18" s="83" t="s">
        <v>539</v>
      </c>
      <c r="E18" s="100"/>
      <c r="F18" s="83" t="s">
        <v>561</v>
      </c>
    </row>
    <row r="19" spans="1:6" ht="24.95" customHeight="1" x14ac:dyDescent="0.25">
      <c r="A19" s="84" t="s">
        <v>98</v>
      </c>
      <c r="B19" s="82">
        <v>5022</v>
      </c>
      <c r="C19" s="84" t="s">
        <v>707</v>
      </c>
      <c r="D19" s="84" t="s">
        <v>189</v>
      </c>
      <c r="E19" s="101"/>
      <c r="F19" s="84" t="s">
        <v>561</v>
      </c>
    </row>
    <row r="20" spans="1:6" ht="24.95" customHeight="1" x14ac:dyDescent="0.25">
      <c r="A20" s="83" t="s">
        <v>18</v>
      </c>
      <c r="B20" s="81">
        <v>2210</v>
      </c>
      <c r="C20" s="83" t="s">
        <v>707</v>
      </c>
      <c r="D20" s="83" t="s">
        <v>713</v>
      </c>
      <c r="E20" s="100"/>
      <c r="F20" s="83" t="s">
        <v>561</v>
      </c>
    </row>
    <row r="21" spans="1:6" ht="24.95" customHeight="1" x14ac:dyDescent="0.25">
      <c r="A21" s="84" t="s">
        <v>14</v>
      </c>
      <c r="B21" s="82"/>
      <c r="C21" s="84"/>
      <c r="D21" s="84"/>
      <c r="E21" s="101"/>
      <c r="F21" s="84" t="s">
        <v>561</v>
      </c>
    </row>
    <row r="22" spans="1:6" ht="24.95" customHeight="1" x14ac:dyDescent="0.25">
      <c r="A22" s="83" t="s">
        <v>1703</v>
      </c>
      <c r="B22" s="81" t="s">
        <v>1704</v>
      </c>
      <c r="C22" s="83" t="s">
        <v>2003</v>
      </c>
      <c r="D22" s="83" t="s">
        <v>189</v>
      </c>
      <c r="E22" s="100"/>
      <c r="F22" s="83" t="s">
        <v>561</v>
      </c>
    </row>
    <row r="23" spans="1:6" ht="24.95" customHeight="1" x14ac:dyDescent="0.25">
      <c r="A23" s="84" t="s">
        <v>30</v>
      </c>
      <c r="B23" s="82"/>
      <c r="C23" s="84" t="s">
        <v>707</v>
      </c>
      <c r="D23" s="84" t="s">
        <v>714</v>
      </c>
      <c r="E23" s="101"/>
      <c r="F23" s="84" t="s">
        <v>561</v>
      </c>
    </row>
    <row r="24" spans="1:6" ht="24.95" customHeight="1" x14ac:dyDescent="0.25">
      <c r="A24" s="83" t="s">
        <v>35</v>
      </c>
      <c r="B24" s="81">
        <v>2237</v>
      </c>
      <c r="C24" s="83" t="s">
        <v>707</v>
      </c>
      <c r="D24" s="83" t="s">
        <v>287</v>
      </c>
      <c r="E24" s="100"/>
      <c r="F24" s="83" t="s">
        <v>561</v>
      </c>
    </row>
    <row r="25" spans="1:6" ht="24.95" customHeight="1" x14ac:dyDescent="0.25">
      <c r="A25" s="84" t="s">
        <v>1920</v>
      </c>
      <c r="B25" s="82">
        <v>0</v>
      </c>
      <c r="C25" s="84" t="s">
        <v>715</v>
      </c>
      <c r="D25" s="84" t="s">
        <v>1921</v>
      </c>
      <c r="E25" s="101"/>
      <c r="F25" s="84" t="s">
        <v>561</v>
      </c>
    </row>
    <row r="26" spans="1:6" ht="24.95" customHeight="1" x14ac:dyDescent="0.25">
      <c r="A26" s="83" t="s">
        <v>567</v>
      </c>
      <c r="B26" s="81"/>
      <c r="C26" s="83"/>
      <c r="D26" s="83"/>
      <c r="E26" s="100"/>
      <c r="F26" s="83" t="s">
        <v>561</v>
      </c>
    </row>
    <row r="27" spans="1:6" ht="24.95" customHeight="1" x14ac:dyDescent="0.25">
      <c r="A27" s="84" t="s">
        <v>568</v>
      </c>
      <c r="B27" s="82">
        <v>99123</v>
      </c>
      <c r="C27" s="84" t="s">
        <v>707</v>
      </c>
      <c r="D27" s="84" t="s">
        <v>541</v>
      </c>
      <c r="E27" s="101"/>
      <c r="F27" s="84" t="s">
        <v>561</v>
      </c>
    </row>
    <row r="28" spans="1:6" ht="24.95" customHeight="1" x14ac:dyDescent="0.25">
      <c r="A28" s="83" t="s">
        <v>569</v>
      </c>
      <c r="B28" s="81" t="s">
        <v>499</v>
      </c>
      <c r="C28" s="83" t="s">
        <v>2003</v>
      </c>
      <c r="D28" s="83" t="s">
        <v>541</v>
      </c>
      <c r="E28" s="100"/>
      <c r="F28" s="83" t="s">
        <v>561</v>
      </c>
    </row>
    <row r="29" spans="1:6" ht="24.95" customHeight="1" x14ac:dyDescent="0.25">
      <c r="A29" s="84" t="s">
        <v>570</v>
      </c>
      <c r="B29" s="82">
        <v>100513</v>
      </c>
      <c r="C29" s="84" t="s">
        <v>715</v>
      </c>
      <c r="D29" s="84" t="s">
        <v>716</v>
      </c>
      <c r="E29" s="101"/>
      <c r="F29" s="84" t="s">
        <v>561</v>
      </c>
    </row>
    <row r="30" spans="1:6" ht="24.95" customHeight="1" x14ac:dyDescent="0.25">
      <c r="A30" s="83" t="s">
        <v>31</v>
      </c>
      <c r="B30" s="81">
        <v>5027</v>
      </c>
      <c r="C30" s="83" t="s">
        <v>707</v>
      </c>
      <c r="D30" s="83"/>
      <c r="E30" s="100"/>
      <c r="F30" s="83" t="s">
        <v>561</v>
      </c>
    </row>
    <row r="31" spans="1:6" ht="24.95" customHeight="1" x14ac:dyDescent="0.25">
      <c r="A31" s="84" t="s">
        <v>1449</v>
      </c>
      <c r="B31" s="82" t="s">
        <v>1450</v>
      </c>
      <c r="C31" s="84" t="s">
        <v>2003</v>
      </c>
      <c r="D31" s="84" t="s">
        <v>1451</v>
      </c>
      <c r="E31" s="101"/>
      <c r="F31" s="84" t="s">
        <v>561</v>
      </c>
    </row>
    <row r="32" spans="1:6" ht="24.95" customHeight="1" x14ac:dyDescent="0.25">
      <c r="A32" s="83" t="s">
        <v>1370</v>
      </c>
      <c r="B32" s="81" t="s">
        <v>792</v>
      </c>
      <c r="C32" s="83" t="s">
        <v>715</v>
      </c>
      <c r="D32" s="83" t="s">
        <v>541</v>
      </c>
      <c r="E32" s="100"/>
      <c r="F32" s="83" t="s">
        <v>561</v>
      </c>
    </row>
    <row r="33" spans="1:6" ht="24.95" customHeight="1" x14ac:dyDescent="0.25">
      <c r="A33" s="84" t="s">
        <v>460</v>
      </c>
      <c r="B33" s="82">
        <v>5023</v>
      </c>
      <c r="C33" s="84" t="s">
        <v>707</v>
      </c>
      <c r="D33" s="84"/>
      <c r="E33" s="101"/>
      <c r="F33" s="84" t="s">
        <v>561</v>
      </c>
    </row>
    <row r="34" spans="1:6" ht="24.95" customHeight="1" x14ac:dyDescent="0.25">
      <c r="A34" s="83" t="s">
        <v>571</v>
      </c>
      <c r="B34" s="81">
        <v>990701</v>
      </c>
      <c r="C34" s="83" t="s">
        <v>707</v>
      </c>
      <c r="D34" s="83" t="s">
        <v>717</v>
      </c>
      <c r="E34" s="100"/>
      <c r="F34" s="83" t="s">
        <v>561</v>
      </c>
    </row>
    <row r="35" spans="1:6" ht="24.95" customHeight="1" x14ac:dyDescent="0.25">
      <c r="A35" s="84" t="s">
        <v>32</v>
      </c>
      <c r="B35" s="82"/>
      <c r="C35" s="84"/>
      <c r="D35" s="84"/>
      <c r="E35" s="101"/>
      <c r="F35" s="84" t="s">
        <v>561</v>
      </c>
    </row>
    <row r="36" spans="1:6" ht="24.95" customHeight="1" x14ac:dyDescent="0.25">
      <c r="A36" s="83" t="s">
        <v>146</v>
      </c>
      <c r="B36" s="81">
        <v>993</v>
      </c>
      <c r="C36" s="83" t="s">
        <v>707</v>
      </c>
      <c r="D36" s="83" t="s">
        <v>718</v>
      </c>
      <c r="E36" s="100"/>
      <c r="F36" s="83" t="s">
        <v>561</v>
      </c>
    </row>
    <row r="37" spans="1:6" ht="24.95" customHeight="1" x14ac:dyDescent="0.25">
      <c r="A37" s="84" t="s">
        <v>1763</v>
      </c>
      <c r="B37" s="82" t="s">
        <v>792</v>
      </c>
      <c r="C37" s="84" t="s">
        <v>1764</v>
      </c>
      <c r="D37" s="84"/>
      <c r="E37" s="101">
        <v>1960407937</v>
      </c>
      <c r="F37" s="84" t="s">
        <v>561</v>
      </c>
    </row>
    <row r="38" spans="1:6" ht="24.95" customHeight="1" x14ac:dyDescent="0.25">
      <c r="A38" s="83" t="s">
        <v>572</v>
      </c>
      <c r="B38" s="81"/>
      <c r="C38" s="83"/>
      <c r="D38" s="83" t="s">
        <v>719</v>
      </c>
      <c r="E38" s="100"/>
      <c r="F38" s="83" t="s">
        <v>561</v>
      </c>
    </row>
    <row r="39" spans="1:6" ht="24.95" customHeight="1" x14ac:dyDescent="0.25">
      <c r="A39" s="84" t="s">
        <v>100</v>
      </c>
      <c r="B39" s="82" t="s">
        <v>792</v>
      </c>
      <c r="C39" s="84" t="s">
        <v>1759</v>
      </c>
      <c r="D39" s="84" t="s">
        <v>547</v>
      </c>
      <c r="E39" s="101"/>
      <c r="F39" s="84" t="s">
        <v>561</v>
      </c>
    </row>
    <row r="40" spans="1:6" ht="24.95" customHeight="1" x14ac:dyDescent="0.25">
      <c r="A40" s="83" t="s">
        <v>198</v>
      </c>
      <c r="B40" s="81"/>
      <c r="C40" s="83"/>
      <c r="D40" s="83"/>
      <c r="E40" s="100"/>
      <c r="F40" s="83" t="s">
        <v>561</v>
      </c>
    </row>
    <row r="41" spans="1:6" ht="24.95" customHeight="1" x14ac:dyDescent="0.25">
      <c r="A41" s="84" t="s">
        <v>199</v>
      </c>
      <c r="B41" s="82"/>
      <c r="C41" s="84"/>
      <c r="D41" s="84"/>
      <c r="E41" s="101"/>
      <c r="F41" s="84" t="s">
        <v>561</v>
      </c>
    </row>
    <row r="42" spans="1:6" ht="24.95" customHeight="1" x14ac:dyDescent="0.25">
      <c r="A42" s="83" t="s">
        <v>1146</v>
      </c>
      <c r="B42" s="81" t="s">
        <v>792</v>
      </c>
      <c r="C42" s="83" t="s">
        <v>1147</v>
      </c>
      <c r="D42" s="83" t="s">
        <v>1148</v>
      </c>
      <c r="E42" s="100"/>
      <c r="F42" s="83" t="s">
        <v>561</v>
      </c>
    </row>
    <row r="43" spans="1:6" ht="24.95" customHeight="1" x14ac:dyDescent="0.25">
      <c r="A43" s="84" t="s">
        <v>1729</v>
      </c>
      <c r="B43" s="82" t="s">
        <v>792</v>
      </c>
      <c r="C43" s="84" t="s">
        <v>1707</v>
      </c>
      <c r="D43" s="84" t="s">
        <v>1148</v>
      </c>
      <c r="E43" s="101"/>
      <c r="F43" s="84" t="s">
        <v>561</v>
      </c>
    </row>
    <row r="44" spans="1:6" ht="24.95" customHeight="1" x14ac:dyDescent="0.25">
      <c r="A44" s="83" t="s">
        <v>1149</v>
      </c>
      <c r="B44" s="81" t="s">
        <v>792</v>
      </c>
      <c r="C44" s="83" t="s">
        <v>1150</v>
      </c>
      <c r="D44" s="83" t="s">
        <v>1148</v>
      </c>
      <c r="E44" s="100"/>
      <c r="F44" s="83" t="s">
        <v>561</v>
      </c>
    </row>
    <row r="45" spans="1:6" ht="24.95" customHeight="1" x14ac:dyDescent="0.25">
      <c r="A45" s="84" t="s">
        <v>1295</v>
      </c>
      <c r="B45" s="82" t="s">
        <v>792</v>
      </c>
      <c r="C45" s="84" t="s">
        <v>1296</v>
      </c>
      <c r="D45" s="84" t="s">
        <v>1734</v>
      </c>
      <c r="E45" s="101">
        <v>6630071344</v>
      </c>
      <c r="F45" s="84" t="s">
        <v>561</v>
      </c>
    </row>
    <row r="46" spans="1:6" ht="24.95" customHeight="1" x14ac:dyDescent="0.25">
      <c r="A46" s="83" t="s">
        <v>1151</v>
      </c>
      <c r="B46" s="81" t="s">
        <v>792</v>
      </c>
      <c r="C46" s="83" t="s">
        <v>1152</v>
      </c>
      <c r="D46" s="83" t="s">
        <v>1148</v>
      </c>
      <c r="E46" s="100"/>
      <c r="F46" s="83" t="s">
        <v>561</v>
      </c>
    </row>
    <row r="47" spans="1:6" ht="24.95" customHeight="1" x14ac:dyDescent="0.25">
      <c r="A47" s="84" t="s">
        <v>1153</v>
      </c>
      <c r="B47" s="82" t="s">
        <v>792</v>
      </c>
      <c r="C47" s="84" t="s">
        <v>1154</v>
      </c>
      <c r="D47" s="84" t="s">
        <v>1148</v>
      </c>
      <c r="E47" s="101"/>
      <c r="F47" s="84" t="s">
        <v>561</v>
      </c>
    </row>
    <row r="48" spans="1:6" ht="24.95" customHeight="1" x14ac:dyDescent="0.25">
      <c r="A48" s="83" t="s">
        <v>1522</v>
      </c>
      <c r="B48" s="81" t="s">
        <v>792</v>
      </c>
      <c r="C48" s="83" t="s">
        <v>715</v>
      </c>
      <c r="D48" s="83" t="s">
        <v>722</v>
      </c>
      <c r="E48" s="100">
        <v>4269829656</v>
      </c>
      <c r="F48" s="83" t="s">
        <v>561</v>
      </c>
    </row>
    <row r="49" spans="1:6" ht="24.95" customHeight="1" x14ac:dyDescent="0.25">
      <c r="A49" s="84" t="s">
        <v>1685</v>
      </c>
      <c r="B49" s="82" t="s">
        <v>792</v>
      </c>
      <c r="C49" s="84" t="s">
        <v>1269</v>
      </c>
      <c r="D49" s="84" t="s">
        <v>650</v>
      </c>
      <c r="E49" s="101"/>
      <c r="F49" s="84" t="s">
        <v>561</v>
      </c>
    </row>
    <row r="50" spans="1:6" ht="24.95" customHeight="1" x14ac:dyDescent="0.25">
      <c r="A50" s="83" t="s">
        <v>1696</v>
      </c>
      <c r="B50" s="81" t="s">
        <v>1697</v>
      </c>
      <c r="C50" s="83" t="s">
        <v>707</v>
      </c>
      <c r="D50" s="83" t="s">
        <v>1698</v>
      </c>
      <c r="E50" s="100"/>
      <c r="F50" s="83" t="s">
        <v>561</v>
      </c>
    </row>
    <row r="51" spans="1:6" ht="24.95" customHeight="1" x14ac:dyDescent="0.25">
      <c r="A51" s="84" t="s">
        <v>1160</v>
      </c>
      <c r="B51" s="82" t="s">
        <v>1161</v>
      </c>
      <c r="C51" s="84" t="s">
        <v>2003</v>
      </c>
      <c r="D51" s="84" t="s">
        <v>1162</v>
      </c>
      <c r="E51" s="101">
        <v>4250918149</v>
      </c>
      <c r="F51" s="84" t="s">
        <v>561</v>
      </c>
    </row>
    <row r="52" spans="1:6" ht="24.95" customHeight="1" x14ac:dyDescent="0.25">
      <c r="A52" s="83" t="s">
        <v>1163</v>
      </c>
      <c r="B52" s="81" t="s">
        <v>792</v>
      </c>
      <c r="C52" s="83" t="s">
        <v>715</v>
      </c>
      <c r="D52" s="83" t="s">
        <v>541</v>
      </c>
      <c r="E52" s="100">
        <v>4623313069</v>
      </c>
      <c r="F52" s="83" t="s">
        <v>561</v>
      </c>
    </row>
    <row r="53" spans="1:6" ht="24.95" customHeight="1" x14ac:dyDescent="0.25">
      <c r="A53" s="84" t="s">
        <v>1524</v>
      </c>
      <c r="B53" s="82" t="s">
        <v>1525</v>
      </c>
      <c r="C53" s="84" t="s">
        <v>2003</v>
      </c>
      <c r="D53" s="84" t="s">
        <v>793</v>
      </c>
      <c r="E53" s="101">
        <v>3120296333</v>
      </c>
      <c r="F53" s="84" t="s">
        <v>561</v>
      </c>
    </row>
    <row r="54" spans="1:6" ht="24.95" customHeight="1" x14ac:dyDescent="0.25">
      <c r="A54" s="83" t="s">
        <v>2014</v>
      </c>
      <c r="B54" s="81" t="s">
        <v>1523</v>
      </c>
      <c r="C54" s="83" t="s">
        <v>715</v>
      </c>
      <c r="D54" s="83" t="s">
        <v>186</v>
      </c>
      <c r="E54" s="100">
        <v>2691626687</v>
      </c>
      <c r="F54" s="83" t="s">
        <v>561</v>
      </c>
    </row>
    <row r="55" spans="1:6" ht="24.95" customHeight="1" x14ac:dyDescent="0.25">
      <c r="A55" s="84" t="s">
        <v>2015</v>
      </c>
      <c r="B55" s="82">
        <v>21075</v>
      </c>
      <c r="C55" s="84" t="s">
        <v>2003</v>
      </c>
      <c r="D55" s="84" t="s">
        <v>709</v>
      </c>
      <c r="E55" s="101">
        <v>4675274619</v>
      </c>
      <c r="F55" s="84" t="s">
        <v>1929</v>
      </c>
    </row>
    <row r="56" spans="1:6" ht="24.95" customHeight="1" x14ac:dyDescent="0.25">
      <c r="A56" s="83" t="s">
        <v>1319</v>
      </c>
      <c r="B56" s="81" t="s">
        <v>792</v>
      </c>
      <c r="C56" s="83" t="s">
        <v>1318</v>
      </c>
      <c r="D56" s="83" t="s">
        <v>709</v>
      </c>
      <c r="E56" s="100">
        <v>3733233786</v>
      </c>
      <c r="F56" s="83" t="s">
        <v>561</v>
      </c>
    </row>
    <row r="57" spans="1:6" ht="24.95" customHeight="1" x14ac:dyDescent="0.25">
      <c r="A57" s="84" t="s">
        <v>1317</v>
      </c>
      <c r="B57" s="82" t="s">
        <v>792</v>
      </c>
      <c r="C57" s="84"/>
      <c r="D57" s="84" t="s">
        <v>720</v>
      </c>
      <c r="E57" s="101"/>
      <c r="F57" s="84" t="s">
        <v>561</v>
      </c>
    </row>
    <row r="58" spans="1:6" ht="24.95" customHeight="1" x14ac:dyDescent="0.25">
      <c r="A58" s="83" t="s">
        <v>573</v>
      </c>
      <c r="B58" s="81">
        <v>20381</v>
      </c>
      <c r="C58" s="83" t="s">
        <v>2003</v>
      </c>
      <c r="D58" s="83" t="s">
        <v>721</v>
      </c>
      <c r="E58" s="100"/>
      <c r="F58" s="83" t="s">
        <v>561</v>
      </c>
    </row>
    <row r="59" spans="1:6" ht="24.95" customHeight="1" x14ac:dyDescent="0.25">
      <c r="A59" s="84" t="s">
        <v>97</v>
      </c>
      <c r="B59" s="82">
        <v>991009</v>
      </c>
      <c r="C59" s="84" t="s">
        <v>707</v>
      </c>
      <c r="D59" s="84" t="s">
        <v>722</v>
      </c>
      <c r="E59" s="101"/>
      <c r="F59" s="84" t="s">
        <v>561</v>
      </c>
    </row>
    <row r="60" spans="1:6" ht="24.95" customHeight="1" x14ac:dyDescent="0.25">
      <c r="A60" s="83" t="s">
        <v>458</v>
      </c>
      <c r="B60" s="81">
        <v>20421</v>
      </c>
      <c r="C60" s="83" t="s">
        <v>2003</v>
      </c>
      <c r="D60" s="83" t="s">
        <v>185</v>
      </c>
      <c r="E60" s="100"/>
      <c r="F60" s="83" t="s">
        <v>561</v>
      </c>
    </row>
    <row r="61" spans="1:6" ht="24.95" customHeight="1" x14ac:dyDescent="0.25">
      <c r="A61" s="84" t="s">
        <v>2018</v>
      </c>
      <c r="B61" s="82">
        <v>0</v>
      </c>
      <c r="C61" s="84" t="s">
        <v>962</v>
      </c>
      <c r="D61" s="84" t="s">
        <v>854</v>
      </c>
      <c r="E61" s="101">
        <v>2994102234</v>
      </c>
      <c r="F61" s="84" t="s">
        <v>2005</v>
      </c>
    </row>
    <row r="62" spans="1:6" ht="24.95" customHeight="1" x14ac:dyDescent="0.25">
      <c r="A62" s="83" t="s">
        <v>1164</v>
      </c>
      <c r="B62" s="81" t="s">
        <v>792</v>
      </c>
      <c r="C62" s="83" t="s">
        <v>1165</v>
      </c>
      <c r="D62" s="83" t="s">
        <v>1148</v>
      </c>
      <c r="E62" s="100">
        <v>1830075357</v>
      </c>
      <c r="F62" s="83" t="s">
        <v>561</v>
      </c>
    </row>
    <row r="63" spans="1:6" ht="24.95" customHeight="1" x14ac:dyDescent="0.25">
      <c r="A63" s="84" t="s">
        <v>34</v>
      </c>
      <c r="B63" s="82"/>
      <c r="C63" s="84"/>
      <c r="D63" s="84"/>
      <c r="E63" s="101"/>
      <c r="F63" s="84" t="s">
        <v>561</v>
      </c>
    </row>
    <row r="64" spans="1:6" ht="24.95" customHeight="1" x14ac:dyDescent="0.25">
      <c r="A64" s="83" t="s">
        <v>2019</v>
      </c>
      <c r="B64" s="81">
        <v>21081</v>
      </c>
      <c r="C64" s="83" t="s">
        <v>2003</v>
      </c>
      <c r="D64" s="83" t="s">
        <v>1940</v>
      </c>
      <c r="E64" s="100">
        <v>2298634221</v>
      </c>
      <c r="F64" s="83" t="s">
        <v>1531</v>
      </c>
    </row>
    <row r="65" spans="1:6" ht="24.95" customHeight="1" x14ac:dyDescent="0.25">
      <c r="A65" s="84" t="s">
        <v>470</v>
      </c>
      <c r="B65" s="82" t="s">
        <v>1465</v>
      </c>
      <c r="C65" s="84" t="s">
        <v>707</v>
      </c>
      <c r="D65" s="84" t="s">
        <v>194</v>
      </c>
      <c r="E65" s="101"/>
      <c r="F65" s="84" t="s">
        <v>561</v>
      </c>
    </row>
    <row r="66" spans="1:6" ht="24.95" customHeight="1" x14ac:dyDescent="0.25">
      <c r="A66" s="83" t="s">
        <v>574</v>
      </c>
      <c r="B66" s="81">
        <v>879</v>
      </c>
      <c r="C66" s="83" t="s">
        <v>707</v>
      </c>
      <c r="D66" s="83" t="s">
        <v>717</v>
      </c>
      <c r="E66" s="100"/>
      <c r="F66" s="83" t="s">
        <v>561</v>
      </c>
    </row>
    <row r="67" spans="1:6" ht="24.95" customHeight="1" x14ac:dyDescent="0.25">
      <c r="A67" s="84" t="s">
        <v>2026</v>
      </c>
      <c r="B67" s="82"/>
      <c r="C67" s="84" t="s">
        <v>1707</v>
      </c>
      <c r="D67" s="84" t="s">
        <v>1148</v>
      </c>
      <c r="E67" s="101">
        <v>6330033803</v>
      </c>
      <c r="F67" s="84" t="s">
        <v>2025</v>
      </c>
    </row>
    <row r="68" spans="1:6" ht="24.95" customHeight="1" x14ac:dyDescent="0.25">
      <c r="A68" s="83" t="s">
        <v>575</v>
      </c>
      <c r="B68" s="81" t="s">
        <v>723</v>
      </c>
      <c r="C68" s="83" t="s">
        <v>707</v>
      </c>
      <c r="D68" s="83" t="s">
        <v>541</v>
      </c>
      <c r="E68" s="100"/>
      <c r="F68" s="83" t="s">
        <v>561</v>
      </c>
    </row>
    <row r="69" spans="1:6" ht="24.95" customHeight="1" x14ac:dyDescent="0.25">
      <c r="A69" s="84" t="s">
        <v>1760</v>
      </c>
      <c r="B69" s="82" t="s">
        <v>792</v>
      </c>
      <c r="C69" s="84" t="s">
        <v>731</v>
      </c>
      <c r="D69" s="84" t="s">
        <v>772</v>
      </c>
      <c r="E69" s="101"/>
      <c r="F69" s="84" t="s">
        <v>561</v>
      </c>
    </row>
    <row r="70" spans="1:6" ht="24.95" customHeight="1" x14ac:dyDescent="0.25">
      <c r="A70" s="83" t="s">
        <v>9</v>
      </c>
      <c r="B70" s="81">
        <v>5020</v>
      </c>
      <c r="C70" s="83" t="s">
        <v>707</v>
      </c>
      <c r="D70" s="83" t="s">
        <v>188</v>
      </c>
      <c r="E70" s="100"/>
      <c r="F70" s="83" t="s">
        <v>561</v>
      </c>
    </row>
    <row r="71" spans="1:6" ht="24.95" customHeight="1" x14ac:dyDescent="0.25">
      <c r="A71" s="84" t="s">
        <v>29</v>
      </c>
      <c r="B71" s="82" t="s">
        <v>527</v>
      </c>
      <c r="C71" s="84" t="s">
        <v>707</v>
      </c>
      <c r="D71" s="84" t="s">
        <v>540</v>
      </c>
      <c r="E71" s="101"/>
      <c r="F71" s="84" t="s">
        <v>561</v>
      </c>
    </row>
    <row r="72" spans="1:6" ht="24.95" customHeight="1" x14ac:dyDescent="0.25">
      <c r="A72" s="84" t="s">
        <v>2049</v>
      </c>
      <c r="B72" s="82">
        <v>21093</v>
      </c>
      <c r="C72" s="84" t="s">
        <v>2003</v>
      </c>
      <c r="D72" s="84" t="s">
        <v>2048</v>
      </c>
      <c r="E72" s="101" t="s">
        <v>2050</v>
      </c>
      <c r="F72" s="84"/>
    </row>
    <row r="73" spans="1:6" ht="24.95" customHeight="1" x14ac:dyDescent="0.25">
      <c r="A73" s="83" t="s">
        <v>11</v>
      </c>
      <c r="B73" s="81">
        <v>370</v>
      </c>
      <c r="C73" s="83" t="s">
        <v>707</v>
      </c>
      <c r="D73" s="83" t="s">
        <v>724</v>
      </c>
      <c r="E73" s="100"/>
      <c r="F73" s="83" t="s">
        <v>561</v>
      </c>
    </row>
    <row r="74" spans="1:6" ht="24.95" customHeight="1" x14ac:dyDescent="0.25">
      <c r="A74" s="84" t="s">
        <v>576</v>
      </c>
      <c r="B74" s="82">
        <v>99122</v>
      </c>
      <c r="C74" s="84" t="s">
        <v>707</v>
      </c>
      <c r="D74" s="84"/>
      <c r="E74" s="101"/>
      <c r="F74" s="84" t="s">
        <v>561</v>
      </c>
    </row>
    <row r="75" spans="1:6" ht="24.95" customHeight="1" x14ac:dyDescent="0.25">
      <c r="A75" s="84" t="s">
        <v>2051</v>
      </c>
      <c r="B75" s="82"/>
      <c r="C75" s="84" t="s">
        <v>2052</v>
      </c>
      <c r="D75" s="84"/>
      <c r="E75" s="101"/>
      <c r="F75" s="84" t="s">
        <v>1531</v>
      </c>
    </row>
    <row r="76" spans="1:6" ht="24.95" customHeight="1" x14ac:dyDescent="0.25">
      <c r="A76" s="83" t="s">
        <v>82</v>
      </c>
      <c r="B76" s="81"/>
      <c r="C76" s="83"/>
      <c r="D76" s="83"/>
      <c r="E76" s="100"/>
      <c r="F76" s="83" t="s">
        <v>561</v>
      </c>
    </row>
    <row r="77" spans="1:6" ht="24.95" customHeight="1" x14ac:dyDescent="0.25">
      <c r="A77" s="84" t="s">
        <v>149</v>
      </c>
      <c r="B77" s="82">
        <v>991204</v>
      </c>
      <c r="C77" s="84" t="s">
        <v>707</v>
      </c>
      <c r="D77" s="84" t="s">
        <v>725</v>
      </c>
      <c r="E77" s="101"/>
      <c r="F77" s="84" t="s">
        <v>561</v>
      </c>
    </row>
    <row r="78" spans="1:6" ht="24.95" customHeight="1" x14ac:dyDescent="0.25">
      <c r="A78" s="83" t="s">
        <v>551</v>
      </c>
      <c r="B78" s="81">
        <v>716</v>
      </c>
      <c r="C78" s="83" t="s">
        <v>707</v>
      </c>
      <c r="D78" s="83" t="s">
        <v>1709</v>
      </c>
      <c r="E78" s="100"/>
      <c r="F78" s="83" t="s">
        <v>1710</v>
      </c>
    </row>
    <row r="79" spans="1:6" ht="24.95" customHeight="1" x14ac:dyDescent="0.25">
      <c r="A79" s="84" t="s">
        <v>1788</v>
      </c>
      <c r="B79" s="82">
        <v>20902</v>
      </c>
      <c r="C79" s="84" t="s">
        <v>962</v>
      </c>
      <c r="D79" s="84" t="s">
        <v>1789</v>
      </c>
      <c r="E79" s="101">
        <v>359059041</v>
      </c>
      <c r="F79" s="84" t="s">
        <v>1710</v>
      </c>
    </row>
    <row r="80" spans="1:6" ht="24.95" customHeight="1" x14ac:dyDescent="0.25">
      <c r="A80" s="83" t="s">
        <v>2011</v>
      </c>
      <c r="B80" s="81">
        <v>4031007</v>
      </c>
      <c r="C80" s="83" t="s">
        <v>707</v>
      </c>
      <c r="D80" s="83" t="s">
        <v>542</v>
      </c>
      <c r="E80" s="100"/>
      <c r="F80" s="83" t="s">
        <v>1710</v>
      </c>
    </row>
    <row r="81" spans="1:6" ht="24.95" customHeight="1" x14ac:dyDescent="0.25">
      <c r="A81" s="84" t="s">
        <v>2013</v>
      </c>
      <c r="B81" s="82">
        <v>4040606</v>
      </c>
      <c r="C81" s="84" t="s">
        <v>707</v>
      </c>
      <c r="D81" s="84" t="s">
        <v>189</v>
      </c>
      <c r="E81" s="101">
        <v>4420373611</v>
      </c>
      <c r="F81" s="84" t="s">
        <v>1929</v>
      </c>
    </row>
    <row r="82" spans="1:6" ht="24.95" customHeight="1" x14ac:dyDescent="0.25">
      <c r="A82" s="83" t="s">
        <v>1781</v>
      </c>
      <c r="B82" s="81">
        <v>20915</v>
      </c>
      <c r="C82" s="83" t="s">
        <v>962</v>
      </c>
      <c r="D82" s="83" t="s">
        <v>709</v>
      </c>
      <c r="E82" s="100"/>
      <c r="F82" s="83" t="s">
        <v>1710</v>
      </c>
    </row>
    <row r="83" spans="1:6" ht="24.95" customHeight="1" x14ac:dyDescent="0.25">
      <c r="A83" s="84" t="s">
        <v>1711</v>
      </c>
      <c r="B83" s="82" t="s">
        <v>1712</v>
      </c>
      <c r="C83" s="84" t="s">
        <v>707</v>
      </c>
      <c r="D83" s="84" t="s">
        <v>401</v>
      </c>
      <c r="E83" s="101"/>
      <c r="F83" s="84" t="s">
        <v>1710</v>
      </c>
    </row>
    <row r="84" spans="1:6" ht="24.95" customHeight="1" x14ac:dyDescent="0.25">
      <c r="A84" s="83" t="s">
        <v>1859</v>
      </c>
      <c r="B84" s="81">
        <v>21006</v>
      </c>
      <c r="C84" s="83" t="s">
        <v>962</v>
      </c>
      <c r="D84" s="83" t="s">
        <v>1860</v>
      </c>
      <c r="E84" s="100">
        <v>5639938341</v>
      </c>
      <c r="F84" s="83" t="s">
        <v>1710</v>
      </c>
    </row>
    <row r="85" spans="1:6" ht="24.95" customHeight="1" x14ac:dyDescent="0.25">
      <c r="A85" s="84" t="s">
        <v>1876</v>
      </c>
      <c r="B85" s="82">
        <v>4040110</v>
      </c>
      <c r="C85" s="84" t="s">
        <v>707</v>
      </c>
      <c r="D85" s="84" t="s">
        <v>1891</v>
      </c>
      <c r="E85" s="101" t="s">
        <v>1892</v>
      </c>
      <c r="F85" s="84" t="s">
        <v>1710</v>
      </c>
    </row>
    <row r="86" spans="1:6" ht="24.95" customHeight="1" x14ac:dyDescent="0.25">
      <c r="A86" s="83" t="s">
        <v>1877</v>
      </c>
      <c r="B86" s="81">
        <v>4040109</v>
      </c>
      <c r="C86" s="83" t="s">
        <v>707</v>
      </c>
      <c r="D86" s="83" t="s">
        <v>1891</v>
      </c>
      <c r="E86" s="100" t="s">
        <v>1893</v>
      </c>
      <c r="F86" s="83" t="s">
        <v>1710</v>
      </c>
    </row>
    <row r="87" spans="1:6" ht="24.95" customHeight="1" x14ac:dyDescent="0.25">
      <c r="A87" s="84" t="s">
        <v>1894</v>
      </c>
      <c r="B87" s="82">
        <v>4040203</v>
      </c>
      <c r="C87" s="84" t="s">
        <v>707</v>
      </c>
      <c r="D87" s="84" t="s">
        <v>1891</v>
      </c>
      <c r="E87" s="101" t="s">
        <v>1895</v>
      </c>
      <c r="F87" s="84" t="s">
        <v>1710</v>
      </c>
    </row>
    <row r="88" spans="1:6" ht="24.95" customHeight="1" x14ac:dyDescent="0.25">
      <c r="A88" s="83" t="s">
        <v>1856</v>
      </c>
      <c r="B88" s="81">
        <v>4031202</v>
      </c>
      <c r="C88" s="83" t="s">
        <v>707</v>
      </c>
      <c r="D88" s="83" t="s">
        <v>540</v>
      </c>
      <c r="E88" s="100">
        <v>3257550227</v>
      </c>
      <c r="F88" s="83" t="s">
        <v>1710</v>
      </c>
    </row>
    <row r="89" spans="1:6" ht="24.95" customHeight="1" x14ac:dyDescent="0.25">
      <c r="A89" s="84" t="s">
        <v>1873</v>
      </c>
      <c r="B89" s="82">
        <v>4031208</v>
      </c>
      <c r="C89" s="84" t="s">
        <v>707</v>
      </c>
      <c r="D89" s="84" t="s">
        <v>1211</v>
      </c>
      <c r="E89" s="101">
        <v>2659570345</v>
      </c>
      <c r="F89" s="84" t="s">
        <v>1710</v>
      </c>
    </row>
    <row r="90" spans="1:6" ht="24.95" customHeight="1" x14ac:dyDescent="0.25">
      <c r="A90" s="83" t="s">
        <v>1857</v>
      </c>
      <c r="B90" s="81">
        <v>20985</v>
      </c>
      <c r="C90" s="83" t="s">
        <v>962</v>
      </c>
      <c r="D90" s="83" t="s">
        <v>709</v>
      </c>
      <c r="E90" s="100">
        <v>2298234191</v>
      </c>
      <c r="F90" s="83" t="s">
        <v>1710</v>
      </c>
    </row>
    <row r="91" spans="1:6" ht="24.95" customHeight="1" x14ac:dyDescent="0.25">
      <c r="A91" s="84" t="s">
        <v>1713</v>
      </c>
      <c r="B91" s="82" t="s">
        <v>1714</v>
      </c>
      <c r="C91" s="84" t="s">
        <v>707</v>
      </c>
      <c r="D91" s="84" t="s">
        <v>710</v>
      </c>
      <c r="E91" s="101"/>
      <c r="F91" s="84" t="s">
        <v>1710</v>
      </c>
    </row>
    <row r="92" spans="1:6" ht="24.95" customHeight="1" x14ac:dyDescent="0.25">
      <c r="A92" s="83" t="s">
        <v>85</v>
      </c>
      <c r="B92" s="81">
        <v>990601</v>
      </c>
      <c r="C92" s="83" t="s">
        <v>707</v>
      </c>
      <c r="D92" s="83" t="s">
        <v>726</v>
      </c>
      <c r="E92" s="100"/>
      <c r="F92" s="83" t="s">
        <v>561</v>
      </c>
    </row>
    <row r="93" spans="1:6" ht="24.95" customHeight="1" x14ac:dyDescent="0.25">
      <c r="A93" s="84" t="s">
        <v>459</v>
      </c>
      <c r="B93" s="82">
        <v>100506</v>
      </c>
      <c r="C93" s="84" t="s">
        <v>715</v>
      </c>
      <c r="D93" s="84" t="s">
        <v>722</v>
      </c>
      <c r="E93" s="101"/>
      <c r="F93" s="84" t="s">
        <v>561</v>
      </c>
    </row>
    <row r="94" spans="1:6" ht="24.95" customHeight="1" x14ac:dyDescent="0.25">
      <c r="A94" s="83" t="s">
        <v>308</v>
      </c>
      <c r="B94" s="81">
        <v>100532</v>
      </c>
      <c r="C94" s="83" t="s">
        <v>715</v>
      </c>
      <c r="D94" s="83" t="s">
        <v>541</v>
      </c>
      <c r="E94" s="100"/>
      <c r="F94" s="83" t="s">
        <v>561</v>
      </c>
    </row>
    <row r="95" spans="1:6" ht="24.95" customHeight="1" x14ac:dyDescent="0.25">
      <c r="A95" s="84" t="s">
        <v>86</v>
      </c>
      <c r="B95" s="82">
        <v>990607</v>
      </c>
      <c r="C95" s="84" t="s">
        <v>707</v>
      </c>
      <c r="D95" s="84" t="s">
        <v>539</v>
      </c>
      <c r="E95" s="101"/>
      <c r="F95" s="84" t="s">
        <v>561</v>
      </c>
    </row>
    <row r="96" spans="1:6" ht="24.95" customHeight="1" x14ac:dyDescent="0.25">
      <c r="A96" s="83" t="s">
        <v>1819</v>
      </c>
      <c r="B96" s="81">
        <v>0</v>
      </c>
      <c r="C96" s="83" t="s">
        <v>731</v>
      </c>
      <c r="D96" s="83" t="s">
        <v>539</v>
      </c>
      <c r="E96" s="100">
        <v>2451061881</v>
      </c>
      <c r="F96" s="83" t="s">
        <v>561</v>
      </c>
    </row>
    <row r="97" spans="1:6" ht="24.95" customHeight="1" x14ac:dyDescent="0.25">
      <c r="A97" s="84" t="s">
        <v>87</v>
      </c>
      <c r="B97" s="82">
        <v>98132</v>
      </c>
      <c r="C97" s="84" t="s">
        <v>707</v>
      </c>
      <c r="D97" s="84" t="s">
        <v>539</v>
      </c>
      <c r="E97" s="101"/>
      <c r="F97" s="84" t="s">
        <v>561</v>
      </c>
    </row>
    <row r="98" spans="1:6" ht="24.95" customHeight="1" x14ac:dyDescent="0.25">
      <c r="A98" s="83" t="s">
        <v>1728</v>
      </c>
      <c r="B98" s="81" t="s">
        <v>1765</v>
      </c>
      <c r="C98" s="83" t="s">
        <v>787</v>
      </c>
      <c r="D98" s="83" t="s">
        <v>188</v>
      </c>
      <c r="E98" s="100"/>
      <c r="F98" s="83" t="s">
        <v>561</v>
      </c>
    </row>
    <row r="99" spans="1:6" ht="24.95" customHeight="1" x14ac:dyDescent="0.25">
      <c r="A99" s="84" t="s">
        <v>88</v>
      </c>
      <c r="B99" s="82">
        <v>98141</v>
      </c>
      <c r="C99" s="84" t="s">
        <v>707</v>
      </c>
      <c r="D99" s="84" t="s">
        <v>189</v>
      </c>
      <c r="E99" s="101"/>
      <c r="F99" s="84" t="s">
        <v>561</v>
      </c>
    </row>
    <row r="100" spans="1:6" ht="24.95" customHeight="1" x14ac:dyDescent="0.25">
      <c r="A100" s="83" t="s">
        <v>90</v>
      </c>
      <c r="B100" s="81">
        <v>990704</v>
      </c>
      <c r="C100" s="83" t="s">
        <v>707</v>
      </c>
      <c r="D100" s="83" t="s">
        <v>727</v>
      </c>
      <c r="E100" s="100"/>
      <c r="F100" s="83" t="s">
        <v>561</v>
      </c>
    </row>
    <row r="101" spans="1:6" ht="24.95" customHeight="1" x14ac:dyDescent="0.25">
      <c r="A101" s="84" t="s">
        <v>1324</v>
      </c>
      <c r="B101" s="82" t="s">
        <v>792</v>
      </c>
      <c r="C101" s="84" t="s">
        <v>707</v>
      </c>
      <c r="D101" s="84" t="s">
        <v>747</v>
      </c>
      <c r="E101" s="101"/>
      <c r="F101" s="84" t="s">
        <v>561</v>
      </c>
    </row>
    <row r="102" spans="1:6" ht="24.95" customHeight="1" x14ac:dyDescent="0.25">
      <c r="A102" s="83" t="s">
        <v>481</v>
      </c>
      <c r="B102" s="81" t="s">
        <v>728</v>
      </c>
      <c r="C102" s="83" t="s">
        <v>715</v>
      </c>
      <c r="D102" s="83" t="s">
        <v>541</v>
      </c>
      <c r="E102" s="100"/>
      <c r="F102" s="83" t="s">
        <v>561</v>
      </c>
    </row>
    <row r="103" spans="1:6" ht="24.95" customHeight="1" x14ac:dyDescent="0.25">
      <c r="A103" s="84" t="s">
        <v>577</v>
      </c>
      <c r="B103" s="82">
        <v>100511</v>
      </c>
      <c r="C103" s="84" t="s">
        <v>715</v>
      </c>
      <c r="D103" s="84" t="s">
        <v>729</v>
      </c>
      <c r="E103" s="101">
        <v>1830216627</v>
      </c>
      <c r="F103" s="84" t="s">
        <v>561</v>
      </c>
    </row>
    <row r="104" spans="1:6" ht="24.95" customHeight="1" x14ac:dyDescent="0.25">
      <c r="A104" s="83" t="s">
        <v>578</v>
      </c>
      <c r="B104" s="81" t="s">
        <v>730</v>
      </c>
      <c r="C104" s="83" t="s">
        <v>731</v>
      </c>
      <c r="D104" s="83" t="s">
        <v>539</v>
      </c>
      <c r="E104" s="100"/>
      <c r="F104" s="83" t="s">
        <v>561</v>
      </c>
    </row>
    <row r="105" spans="1:6" ht="24.95" customHeight="1" x14ac:dyDescent="0.25">
      <c r="A105" s="84" t="s">
        <v>196</v>
      </c>
      <c r="B105" s="82" t="s">
        <v>326</v>
      </c>
      <c r="C105" s="84" t="s">
        <v>707</v>
      </c>
      <c r="D105" s="84" t="s">
        <v>188</v>
      </c>
      <c r="E105" s="101"/>
      <c r="F105" s="84" t="s">
        <v>561</v>
      </c>
    </row>
    <row r="106" spans="1:6" ht="24.95" customHeight="1" x14ac:dyDescent="0.25">
      <c r="A106" s="83" t="s">
        <v>579</v>
      </c>
      <c r="B106" s="81" t="s">
        <v>732</v>
      </c>
      <c r="C106" s="83" t="s">
        <v>715</v>
      </c>
      <c r="D106" s="83" t="s">
        <v>540</v>
      </c>
      <c r="E106" s="100"/>
      <c r="F106" s="83" t="s">
        <v>561</v>
      </c>
    </row>
    <row r="107" spans="1:6" ht="24.95" customHeight="1" x14ac:dyDescent="0.25">
      <c r="A107" s="84" t="s">
        <v>94</v>
      </c>
      <c r="B107" s="82">
        <v>991010</v>
      </c>
      <c r="C107" s="84" t="s">
        <v>707</v>
      </c>
      <c r="D107" s="84" t="s">
        <v>733</v>
      </c>
      <c r="E107" s="101"/>
      <c r="F107" s="84" t="s">
        <v>561</v>
      </c>
    </row>
    <row r="108" spans="1:6" ht="24.95" customHeight="1" x14ac:dyDescent="0.25">
      <c r="A108" s="83" t="s">
        <v>580</v>
      </c>
      <c r="B108" s="81" t="s">
        <v>792</v>
      </c>
      <c r="C108" s="83" t="s">
        <v>709</v>
      </c>
      <c r="D108" s="83" t="s">
        <v>709</v>
      </c>
      <c r="E108" s="100"/>
      <c r="F108" s="83" t="s">
        <v>561</v>
      </c>
    </row>
    <row r="109" spans="1:6" ht="24.95" customHeight="1" x14ac:dyDescent="0.25">
      <c r="A109" s="84" t="s">
        <v>1335</v>
      </c>
      <c r="B109" s="82" t="s">
        <v>1336</v>
      </c>
      <c r="C109" s="84" t="s">
        <v>715</v>
      </c>
      <c r="D109" s="84" t="s">
        <v>729</v>
      </c>
      <c r="E109" s="101">
        <v>5759419447</v>
      </c>
      <c r="F109" s="84" t="s">
        <v>561</v>
      </c>
    </row>
    <row r="110" spans="1:6" ht="24.95" customHeight="1" x14ac:dyDescent="0.25">
      <c r="A110" s="83" t="s">
        <v>95</v>
      </c>
      <c r="B110" s="81">
        <v>991101</v>
      </c>
      <c r="C110" s="83" t="s">
        <v>707</v>
      </c>
      <c r="D110" s="83" t="s">
        <v>734</v>
      </c>
      <c r="E110" s="100"/>
      <c r="F110" s="83" t="s">
        <v>561</v>
      </c>
    </row>
    <row r="111" spans="1:6" ht="24.95" customHeight="1" x14ac:dyDescent="0.25">
      <c r="A111" s="84" t="s">
        <v>581</v>
      </c>
      <c r="B111" s="82" t="s">
        <v>1464</v>
      </c>
      <c r="C111" s="84" t="s">
        <v>707</v>
      </c>
      <c r="D111" s="84" t="s">
        <v>189</v>
      </c>
      <c r="E111" s="101"/>
      <c r="F111" s="84" t="s">
        <v>561</v>
      </c>
    </row>
    <row r="112" spans="1:6" ht="24.95" customHeight="1" x14ac:dyDescent="0.25">
      <c r="A112" s="83" t="s">
        <v>582</v>
      </c>
      <c r="B112" s="81">
        <v>20523</v>
      </c>
      <c r="C112" s="83" t="s">
        <v>2003</v>
      </c>
      <c r="D112" s="83" t="s">
        <v>710</v>
      </c>
      <c r="E112" s="100"/>
      <c r="F112" s="83" t="s">
        <v>561</v>
      </c>
    </row>
    <row r="113" spans="1:6" ht="24.95" customHeight="1" x14ac:dyDescent="0.25">
      <c r="A113" s="84" t="s">
        <v>19</v>
      </c>
      <c r="B113" s="82">
        <v>1528</v>
      </c>
      <c r="C113" s="84" t="s">
        <v>707</v>
      </c>
      <c r="D113" s="84" t="s">
        <v>189</v>
      </c>
      <c r="E113" s="101"/>
      <c r="F113" s="84" t="s">
        <v>561</v>
      </c>
    </row>
    <row r="114" spans="1:6" ht="24.95" customHeight="1" x14ac:dyDescent="0.25">
      <c r="A114" s="83" t="s">
        <v>441</v>
      </c>
      <c r="B114" s="81" t="s">
        <v>322</v>
      </c>
      <c r="C114" s="83" t="s">
        <v>707</v>
      </c>
      <c r="D114" s="83" t="s">
        <v>189</v>
      </c>
      <c r="E114" s="100"/>
      <c r="F114" s="83" t="s">
        <v>735</v>
      </c>
    </row>
    <row r="115" spans="1:6" ht="24.95" customHeight="1" x14ac:dyDescent="0.25">
      <c r="A115" s="84" t="s">
        <v>736</v>
      </c>
      <c r="B115" s="82">
        <v>4000103</v>
      </c>
      <c r="C115" s="84" t="s">
        <v>707</v>
      </c>
      <c r="D115" s="84"/>
      <c r="E115" s="101"/>
      <c r="F115" s="84" t="s">
        <v>561</v>
      </c>
    </row>
    <row r="116" spans="1:6" ht="24.95" customHeight="1" x14ac:dyDescent="0.25">
      <c r="A116" s="83" t="s">
        <v>271</v>
      </c>
      <c r="B116" s="81">
        <v>1346</v>
      </c>
      <c r="C116" s="83" t="s">
        <v>707</v>
      </c>
      <c r="D116" s="83" t="s">
        <v>189</v>
      </c>
      <c r="E116" s="100" t="s">
        <v>1391</v>
      </c>
      <c r="F116" s="83" t="s">
        <v>561</v>
      </c>
    </row>
    <row r="117" spans="1:6" ht="24.95" customHeight="1" x14ac:dyDescent="0.25">
      <c r="A117" s="84" t="s">
        <v>159</v>
      </c>
      <c r="B117" s="82">
        <v>2201</v>
      </c>
      <c r="C117" s="84" t="s">
        <v>707</v>
      </c>
      <c r="D117" s="84" t="s">
        <v>712</v>
      </c>
      <c r="E117" s="101"/>
      <c r="F117" s="84" t="s">
        <v>561</v>
      </c>
    </row>
    <row r="118" spans="1:6" ht="24.95" customHeight="1" x14ac:dyDescent="0.25">
      <c r="A118" s="83" t="s">
        <v>479</v>
      </c>
      <c r="B118" s="81" t="s">
        <v>737</v>
      </c>
      <c r="C118" s="83" t="s">
        <v>707</v>
      </c>
      <c r="D118" s="83" t="s">
        <v>738</v>
      </c>
      <c r="E118" s="100"/>
      <c r="F118" s="83" t="s">
        <v>561</v>
      </c>
    </row>
    <row r="119" spans="1:6" ht="24.95" customHeight="1" x14ac:dyDescent="0.25">
      <c r="A119" s="84" t="s">
        <v>583</v>
      </c>
      <c r="B119" s="82">
        <v>20372</v>
      </c>
      <c r="C119" s="84" t="s">
        <v>2003</v>
      </c>
      <c r="D119" s="84" t="s">
        <v>402</v>
      </c>
      <c r="E119" s="101"/>
      <c r="F119" s="84" t="s">
        <v>561</v>
      </c>
    </row>
    <row r="120" spans="1:6" ht="24.95" customHeight="1" x14ac:dyDescent="0.25">
      <c r="A120" s="83" t="s">
        <v>462</v>
      </c>
      <c r="B120" s="81">
        <v>4000303</v>
      </c>
      <c r="C120" s="83" t="s">
        <v>707</v>
      </c>
      <c r="D120" s="83" t="s">
        <v>722</v>
      </c>
      <c r="E120" s="100"/>
      <c r="F120" s="83" t="s">
        <v>561</v>
      </c>
    </row>
    <row r="121" spans="1:6" ht="24.95" customHeight="1" x14ac:dyDescent="0.25">
      <c r="A121" s="84" t="s">
        <v>247</v>
      </c>
      <c r="B121" s="82"/>
      <c r="C121" s="84"/>
      <c r="D121" s="84"/>
      <c r="E121" s="101"/>
      <c r="F121" s="84" t="s">
        <v>561</v>
      </c>
    </row>
    <row r="122" spans="1:6" ht="24.95" customHeight="1" x14ac:dyDescent="0.25">
      <c r="A122" s="83" t="s">
        <v>584</v>
      </c>
      <c r="B122" s="81">
        <v>4000405</v>
      </c>
      <c r="C122" s="83" t="s">
        <v>707</v>
      </c>
      <c r="D122" s="83" t="s">
        <v>712</v>
      </c>
      <c r="E122" s="100"/>
      <c r="F122" s="83" t="s">
        <v>561</v>
      </c>
    </row>
    <row r="123" spans="1:6" ht="24.95" customHeight="1" x14ac:dyDescent="0.25">
      <c r="A123" s="84" t="s">
        <v>168</v>
      </c>
      <c r="B123" s="82">
        <v>20404</v>
      </c>
      <c r="C123" s="84" t="s">
        <v>2003</v>
      </c>
      <c r="D123" s="84" t="s">
        <v>287</v>
      </c>
      <c r="E123" s="101"/>
      <c r="F123" s="84" t="s">
        <v>561</v>
      </c>
    </row>
    <row r="124" spans="1:6" ht="24.95" customHeight="1" x14ac:dyDescent="0.25">
      <c r="A124" s="83" t="s">
        <v>468</v>
      </c>
      <c r="B124" s="81">
        <v>20247</v>
      </c>
      <c r="C124" s="83" t="s">
        <v>2003</v>
      </c>
      <c r="D124" s="83" t="s">
        <v>402</v>
      </c>
      <c r="E124" s="100"/>
      <c r="F124" s="83" t="s">
        <v>561</v>
      </c>
    </row>
    <row r="125" spans="1:6" ht="24.95" customHeight="1" x14ac:dyDescent="0.25">
      <c r="A125" s="84" t="s">
        <v>585</v>
      </c>
      <c r="B125" s="82">
        <v>100512</v>
      </c>
      <c r="C125" s="84" t="s">
        <v>715</v>
      </c>
      <c r="D125" s="84" t="s">
        <v>739</v>
      </c>
      <c r="E125" s="101"/>
      <c r="F125" s="84" t="s">
        <v>561</v>
      </c>
    </row>
    <row r="126" spans="1:6" ht="24.95" customHeight="1" x14ac:dyDescent="0.25">
      <c r="A126" s="83" t="s">
        <v>477</v>
      </c>
      <c r="B126" s="81">
        <v>20413</v>
      </c>
      <c r="C126" s="83" t="s">
        <v>707</v>
      </c>
      <c r="D126" s="83" t="s">
        <v>541</v>
      </c>
      <c r="E126" s="100"/>
      <c r="F126" s="83" t="s">
        <v>561</v>
      </c>
    </row>
    <row r="127" spans="1:6" ht="24.95" customHeight="1" x14ac:dyDescent="0.25">
      <c r="A127" s="84" t="s">
        <v>586</v>
      </c>
      <c r="B127" s="82">
        <v>991102</v>
      </c>
      <c r="C127" s="84" t="s">
        <v>707</v>
      </c>
      <c r="D127" s="84" t="s">
        <v>287</v>
      </c>
      <c r="E127" s="101"/>
      <c r="F127" s="84" t="s">
        <v>561</v>
      </c>
    </row>
    <row r="128" spans="1:6" ht="24.95" customHeight="1" x14ac:dyDescent="0.25">
      <c r="A128" s="83" t="s">
        <v>1738</v>
      </c>
      <c r="B128" s="81" t="s">
        <v>792</v>
      </c>
      <c r="C128" s="83" t="s">
        <v>1740</v>
      </c>
      <c r="D128" s="83"/>
      <c r="E128" s="100"/>
      <c r="F128" s="83" t="s">
        <v>561</v>
      </c>
    </row>
    <row r="129" spans="1:6" ht="24.95" customHeight="1" x14ac:dyDescent="0.25">
      <c r="A129" s="84" t="s">
        <v>1739</v>
      </c>
      <c r="B129" s="82" t="s">
        <v>792</v>
      </c>
      <c r="C129" s="84" t="s">
        <v>789</v>
      </c>
      <c r="D129" s="84"/>
      <c r="E129" s="101"/>
      <c r="F129" s="84" t="s">
        <v>561</v>
      </c>
    </row>
    <row r="130" spans="1:6" ht="24.95" customHeight="1" x14ac:dyDescent="0.25">
      <c r="A130" s="83" t="s">
        <v>172</v>
      </c>
      <c r="B130" s="81">
        <v>4000601</v>
      </c>
      <c r="C130" s="83" t="s">
        <v>707</v>
      </c>
      <c r="D130" s="83" t="s">
        <v>541</v>
      </c>
      <c r="E130" s="100"/>
      <c r="F130" s="83" t="s">
        <v>561</v>
      </c>
    </row>
    <row r="131" spans="1:6" ht="24.95" customHeight="1" x14ac:dyDescent="0.25">
      <c r="A131" s="84" t="s">
        <v>1882</v>
      </c>
      <c r="B131" s="82">
        <v>0</v>
      </c>
      <c r="C131" s="84" t="s">
        <v>1034</v>
      </c>
      <c r="D131" s="84" t="s">
        <v>712</v>
      </c>
      <c r="E131" s="101"/>
      <c r="F131" s="84" t="s">
        <v>561</v>
      </c>
    </row>
    <row r="132" spans="1:6" ht="24.95" customHeight="1" x14ac:dyDescent="0.25">
      <c r="A132" s="83" t="s">
        <v>173</v>
      </c>
      <c r="B132" s="81">
        <v>4000604</v>
      </c>
      <c r="C132" s="83" t="s">
        <v>707</v>
      </c>
      <c r="D132" s="83" t="s">
        <v>540</v>
      </c>
      <c r="E132" s="100"/>
      <c r="F132" s="83" t="s">
        <v>561</v>
      </c>
    </row>
    <row r="133" spans="1:6" ht="24.95" customHeight="1" x14ac:dyDescent="0.25">
      <c r="A133" s="84" t="s">
        <v>453</v>
      </c>
      <c r="B133" s="82">
        <v>880</v>
      </c>
      <c r="C133" s="84" t="s">
        <v>707</v>
      </c>
      <c r="D133" s="84" t="s">
        <v>740</v>
      </c>
      <c r="E133" s="101"/>
      <c r="F133" s="84" t="s">
        <v>561</v>
      </c>
    </row>
    <row r="134" spans="1:6" ht="24.95" customHeight="1" x14ac:dyDescent="0.25">
      <c r="A134" s="83" t="s">
        <v>179</v>
      </c>
      <c r="B134" s="81">
        <v>4000703</v>
      </c>
      <c r="C134" s="83" t="s">
        <v>707</v>
      </c>
      <c r="D134" s="83" t="s">
        <v>741</v>
      </c>
      <c r="E134" s="100"/>
      <c r="F134" s="83" t="s">
        <v>561</v>
      </c>
    </row>
    <row r="135" spans="1:6" ht="24.95" customHeight="1" x14ac:dyDescent="0.25">
      <c r="A135" s="84" t="s">
        <v>101</v>
      </c>
      <c r="B135" s="82">
        <v>2235</v>
      </c>
      <c r="C135" s="84" t="s">
        <v>707</v>
      </c>
      <c r="D135" s="84" t="s">
        <v>287</v>
      </c>
      <c r="E135" s="101"/>
      <c r="F135" s="84" t="s">
        <v>561</v>
      </c>
    </row>
    <row r="136" spans="1:6" ht="24.95" customHeight="1" x14ac:dyDescent="0.25">
      <c r="A136" s="83" t="s">
        <v>1741</v>
      </c>
      <c r="B136" s="81" t="s">
        <v>792</v>
      </c>
      <c r="C136" s="83" t="s">
        <v>1742</v>
      </c>
      <c r="D136" s="83" t="s">
        <v>1148</v>
      </c>
      <c r="E136" s="100"/>
      <c r="F136" s="83" t="s">
        <v>561</v>
      </c>
    </row>
    <row r="137" spans="1:6" ht="24.95" customHeight="1" x14ac:dyDescent="0.25">
      <c r="A137" s="84" t="s">
        <v>587</v>
      </c>
      <c r="B137" s="82">
        <v>100504</v>
      </c>
      <c r="C137" s="84" t="s">
        <v>962</v>
      </c>
      <c r="D137" s="84" t="s">
        <v>186</v>
      </c>
      <c r="E137" s="101"/>
      <c r="F137" s="84" t="s">
        <v>1710</v>
      </c>
    </row>
    <row r="138" spans="1:6" ht="24.95" customHeight="1" x14ac:dyDescent="0.25">
      <c r="A138" s="83" t="s">
        <v>202</v>
      </c>
      <c r="B138" s="81">
        <v>20434</v>
      </c>
      <c r="C138" s="83" t="s">
        <v>2003</v>
      </c>
      <c r="D138" s="83" t="s">
        <v>547</v>
      </c>
      <c r="E138" s="100"/>
      <c r="F138" s="83" t="s">
        <v>561</v>
      </c>
    </row>
    <row r="139" spans="1:6" ht="24.95" customHeight="1" x14ac:dyDescent="0.25">
      <c r="A139" s="84" t="s">
        <v>588</v>
      </c>
      <c r="B139" s="82">
        <v>20471</v>
      </c>
      <c r="C139" s="84" t="s">
        <v>1034</v>
      </c>
      <c r="D139" s="84" t="s">
        <v>1985</v>
      </c>
      <c r="E139" s="101"/>
      <c r="F139" s="84" t="s">
        <v>561</v>
      </c>
    </row>
    <row r="140" spans="1:6" ht="24.95" customHeight="1" x14ac:dyDescent="0.25">
      <c r="A140" s="83" t="s">
        <v>1884</v>
      </c>
      <c r="B140" s="81">
        <v>21004</v>
      </c>
      <c r="C140" s="83" t="s">
        <v>2003</v>
      </c>
      <c r="D140" s="83" t="s">
        <v>710</v>
      </c>
      <c r="E140" s="100"/>
      <c r="F140" s="83" t="s">
        <v>561</v>
      </c>
    </row>
    <row r="141" spans="1:6" ht="24.95" customHeight="1" x14ac:dyDescent="0.25">
      <c r="A141" s="84" t="s">
        <v>235</v>
      </c>
      <c r="B141" s="82">
        <v>896</v>
      </c>
      <c r="C141" s="84" t="s">
        <v>707</v>
      </c>
      <c r="D141" s="84" t="s">
        <v>742</v>
      </c>
      <c r="E141" s="101"/>
      <c r="F141" s="84" t="s">
        <v>561</v>
      </c>
    </row>
    <row r="142" spans="1:6" ht="24.95" customHeight="1" x14ac:dyDescent="0.25">
      <c r="A142" s="83" t="s">
        <v>1743</v>
      </c>
      <c r="B142" s="81" t="s">
        <v>792</v>
      </c>
      <c r="C142" s="83" t="s">
        <v>1744</v>
      </c>
      <c r="D142" s="83" t="s">
        <v>1745</v>
      </c>
      <c r="E142" s="100"/>
      <c r="F142" s="83" t="s">
        <v>561</v>
      </c>
    </row>
    <row r="143" spans="1:6" ht="24.95" customHeight="1" x14ac:dyDescent="0.25">
      <c r="A143" s="84" t="s">
        <v>1428</v>
      </c>
      <c r="B143" s="82" t="s">
        <v>1429</v>
      </c>
      <c r="C143" s="84" t="s">
        <v>715</v>
      </c>
      <c r="D143" s="84" t="s">
        <v>541</v>
      </c>
      <c r="E143" s="101">
        <v>6570030248</v>
      </c>
      <c r="F143" s="84" t="s">
        <v>561</v>
      </c>
    </row>
    <row r="144" spans="1:6" ht="24.95" customHeight="1" x14ac:dyDescent="0.25">
      <c r="A144" s="83" t="s">
        <v>1430</v>
      </c>
      <c r="B144" s="81" t="s">
        <v>792</v>
      </c>
      <c r="C144" s="83" t="s">
        <v>1269</v>
      </c>
      <c r="D144" s="83" t="s">
        <v>722</v>
      </c>
      <c r="E144" s="100"/>
      <c r="F144" s="83" t="s">
        <v>561</v>
      </c>
    </row>
    <row r="145" spans="1:6" ht="24.95" customHeight="1" x14ac:dyDescent="0.25">
      <c r="A145" s="84" t="s">
        <v>241</v>
      </c>
      <c r="B145" s="82">
        <v>20458</v>
      </c>
      <c r="C145" s="84" t="s">
        <v>2003</v>
      </c>
      <c r="D145" s="84" t="s">
        <v>287</v>
      </c>
      <c r="E145" s="101"/>
      <c r="F145" s="84" t="s">
        <v>561</v>
      </c>
    </row>
    <row r="146" spans="1:6" ht="24.95" customHeight="1" x14ac:dyDescent="0.25">
      <c r="A146" s="83" t="s">
        <v>457</v>
      </c>
      <c r="B146" s="81">
        <v>100500</v>
      </c>
      <c r="C146" s="83" t="s">
        <v>715</v>
      </c>
      <c r="D146" s="83" t="s">
        <v>185</v>
      </c>
      <c r="E146" s="100"/>
      <c r="F146" s="83" t="s">
        <v>561</v>
      </c>
    </row>
    <row r="147" spans="1:6" ht="24.95" customHeight="1" x14ac:dyDescent="0.25">
      <c r="A147" s="84" t="s">
        <v>589</v>
      </c>
      <c r="B147" s="82">
        <v>100505</v>
      </c>
      <c r="C147" s="84" t="s">
        <v>715</v>
      </c>
      <c r="D147" s="84" t="s">
        <v>185</v>
      </c>
      <c r="E147" s="101"/>
      <c r="F147" s="84" t="s">
        <v>561</v>
      </c>
    </row>
    <row r="148" spans="1:6" ht="24.95" customHeight="1" x14ac:dyDescent="0.25">
      <c r="A148" s="83" t="s">
        <v>455</v>
      </c>
      <c r="B148" s="81">
        <v>100510</v>
      </c>
      <c r="C148" s="83" t="s">
        <v>715</v>
      </c>
      <c r="D148" s="83" t="s">
        <v>185</v>
      </c>
      <c r="E148" s="100"/>
      <c r="F148" s="83" t="s">
        <v>561</v>
      </c>
    </row>
    <row r="149" spans="1:6" ht="24.95" customHeight="1" x14ac:dyDescent="0.25">
      <c r="A149" s="84" t="s">
        <v>590</v>
      </c>
      <c r="B149" s="82">
        <v>100508</v>
      </c>
      <c r="C149" s="84" t="s">
        <v>715</v>
      </c>
      <c r="D149" s="84" t="s">
        <v>725</v>
      </c>
      <c r="E149" s="101"/>
      <c r="F149" s="84" t="s">
        <v>561</v>
      </c>
    </row>
    <row r="150" spans="1:6" ht="24.95" customHeight="1" x14ac:dyDescent="0.25">
      <c r="A150" s="83" t="s">
        <v>456</v>
      </c>
      <c r="B150" s="81">
        <v>4001108</v>
      </c>
      <c r="C150" s="83" t="s">
        <v>707</v>
      </c>
      <c r="D150" s="83" t="s">
        <v>712</v>
      </c>
      <c r="E150" s="100"/>
      <c r="F150" s="83" t="s">
        <v>561</v>
      </c>
    </row>
    <row r="151" spans="1:6" ht="24.95" customHeight="1" x14ac:dyDescent="0.25">
      <c r="A151" s="84" t="s">
        <v>1306</v>
      </c>
      <c r="B151" s="82" t="s">
        <v>792</v>
      </c>
      <c r="C151" s="84" t="s">
        <v>715</v>
      </c>
      <c r="D151" s="84" t="s">
        <v>186</v>
      </c>
      <c r="E151" s="101">
        <v>2420023781</v>
      </c>
      <c r="F151" s="84" t="s">
        <v>561</v>
      </c>
    </row>
    <row r="152" spans="1:6" ht="24.95" customHeight="1" x14ac:dyDescent="0.25">
      <c r="A152" s="83" t="s">
        <v>743</v>
      </c>
      <c r="B152" s="81">
        <v>100507</v>
      </c>
      <c r="C152" s="83" t="s">
        <v>715</v>
      </c>
      <c r="D152" s="83" t="s">
        <v>186</v>
      </c>
      <c r="E152" s="100"/>
      <c r="F152" s="83" t="s">
        <v>561</v>
      </c>
    </row>
    <row r="153" spans="1:6" ht="24.95" customHeight="1" x14ac:dyDescent="0.25">
      <c r="A153" s="84" t="s">
        <v>464</v>
      </c>
      <c r="B153" s="82">
        <v>100503</v>
      </c>
      <c r="C153" s="84" t="s">
        <v>715</v>
      </c>
      <c r="D153" s="84" t="s">
        <v>402</v>
      </c>
      <c r="E153" s="101"/>
      <c r="F153" s="84" t="s">
        <v>561</v>
      </c>
    </row>
    <row r="154" spans="1:6" ht="24.95" customHeight="1" x14ac:dyDescent="0.25">
      <c r="A154" s="83" t="s">
        <v>463</v>
      </c>
      <c r="B154" s="81">
        <v>100536</v>
      </c>
      <c r="C154" s="83" t="s">
        <v>715</v>
      </c>
      <c r="D154" s="83" t="s">
        <v>402</v>
      </c>
      <c r="E154" s="100"/>
      <c r="F154" s="83" t="s">
        <v>561</v>
      </c>
    </row>
    <row r="155" spans="1:6" ht="24.95" customHeight="1" x14ac:dyDescent="0.25">
      <c r="A155" s="84" t="s">
        <v>592</v>
      </c>
      <c r="B155" s="82" t="s">
        <v>1299</v>
      </c>
      <c r="C155" s="84" t="s">
        <v>707</v>
      </c>
      <c r="D155" s="84" t="s">
        <v>188</v>
      </c>
      <c r="E155" s="101"/>
      <c r="F155" s="84" t="s">
        <v>561</v>
      </c>
    </row>
    <row r="156" spans="1:6" ht="24.95" customHeight="1" x14ac:dyDescent="0.25">
      <c r="A156" s="83" t="s">
        <v>282</v>
      </c>
      <c r="B156" s="81">
        <v>526</v>
      </c>
      <c r="C156" s="83" t="s">
        <v>707</v>
      </c>
      <c r="D156" s="83" t="s">
        <v>744</v>
      </c>
      <c r="E156" s="100"/>
      <c r="F156" s="83" t="s">
        <v>561</v>
      </c>
    </row>
    <row r="157" spans="1:6" ht="24.95" customHeight="1" x14ac:dyDescent="0.25">
      <c r="A157" s="84" t="s">
        <v>593</v>
      </c>
      <c r="B157" s="82">
        <v>100516</v>
      </c>
      <c r="C157" s="84" t="s">
        <v>715</v>
      </c>
      <c r="D157" s="84" t="s">
        <v>722</v>
      </c>
      <c r="E157" s="101"/>
      <c r="F157" s="84" t="s">
        <v>561</v>
      </c>
    </row>
    <row r="158" spans="1:6" ht="24.95" customHeight="1" x14ac:dyDescent="0.25">
      <c r="A158" s="83" t="s">
        <v>461</v>
      </c>
      <c r="B158" s="81">
        <v>100518</v>
      </c>
      <c r="C158" s="83" t="s">
        <v>715</v>
      </c>
      <c r="D158" s="83"/>
      <c r="E158" s="100"/>
      <c r="F158" s="83" t="s">
        <v>561</v>
      </c>
    </row>
    <row r="159" spans="1:6" ht="24.95" customHeight="1" x14ac:dyDescent="0.25">
      <c r="A159" s="84" t="s">
        <v>594</v>
      </c>
      <c r="B159" s="82" t="s">
        <v>745</v>
      </c>
      <c r="C159" s="84" t="s">
        <v>715</v>
      </c>
      <c r="D159" s="84" t="s">
        <v>746</v>
      </c>
      <c r="E159" s="101"/>
      <c r="F159" s="84" t="s">
        <v>561</v>
      </c>
    </row>
    <row r="160" spans="1:6" ht="24.95" customHeight="1" x14ac:dyDescent="0.25">
      <c r="A160" s="83" t="s">
        <v>595</v>
      </c>
      <c r="B160" s="81" t="s">
        <v>370</v>
      </c>
      <c r="C160" s="83" t="s">
        <v>715</v>
      </c>
      <c r="D160" s="83" t="s">
        <v>402</v>
      </c>
      <c r="E160" s="100"/>
      <c r="F160" s="83" t="s">
        <v>561</v>
      </c>
    </row>
    <row r="161" spans="1:6" ht="24.95" customHeight="1" x14ac:dyDescent="0.25">
      <c r="A161" s="84" t="s">
        <v>184</v>
      </c>
      <c r="B161" s="82">
        <v>224</v>
      </c>
      <c r="C161" s="84" t="s">
        <v>707</v>
      </c>
      <c r="D161" s="84" t="s">
        <v>740</v>
      </c>
      <c r="E161" s="101"/>
      <c r="F161" s="84" t="s">
        <v>561</v>
      </c>
    </row>
    <row r="162" spans="1:6" ht="24.95" customHeight="1" x14ac:dyDescent="0.25">
      <c r="A162" s="83" t="s">
        <v>1124</v>
      </c>
      <c r="B162" s="81" t="s">
        <v>1125</v>
      </c>
      <c r="C162" s="83" t="s">
        <v>707</v>
      </c>
      <c r="D162" s="83" t="s">
        <v>740</v>
      </c>
      <c r="E162" s="100"/>
      <c r="F162" s="83" t="s">
        <v>561</v>
      </c>
    </row>
    <row r="163" spans="1:6" ht="24.95" customHeight="1" x14ac:dyDescent="0.25">
      <c r="A163" s="84" t="s">
        <v>195</v>
      </c>
      <c r="B163" s="82">
        <v>4000406</v>
      </c>
      <c r="C163" s="84" t="s">
        <v>707</v>
      </c>
      <c r="D163" s="84" t="s">
        <v>747</v>
      </c>
      <c r="E163" s="101"/>
      <c r="F163" s="84" t="s">
        <v>561</v>
      </c>
    </row>
    <row r="164" spans="1:6" ht="24.95" customHeight="1" x14ac:dyDescent="0.25">
      <c r="A164" s="83" t="s">
        <v>465</v>
      </c>
      <c r="B164" s="81">
        <v>990903</v>
      </c>
      <c r="C164" s="83" t="s">
        <v>707</v>
      </c>
      <c r="D164" s="83" t="s">
        <v>748</v>
      </c>
      <c r="E164" s="100"/>
      <c r="F164" s="83" t="s">
        <v>561</v>
      </c>
    </row>
    <row r="165" spans="1:6" ht="24.95" customHeight="1" x14ac:dyDescent="0.25">
      <c r="A165" s="84" t="s">
        <v>596</v>
      </c>
      <c r="B165" s="82" t="s">
        <v>749</v>
      </c>
      <c r="C165" s="84" t="s">
        <v>715</v>
      </c>
      <c r="D165" s="84" t="s">
        <v>185</v>
      </c>
      <c r="E165" s="101"/>
      <c r="F165" s="84" t="s">
        <v>561</v>
      </c>
    </row>
    <row r="166" spans="1:6" ht="24.95" customHeight="1" x14ac:dyDescent="0.25">
      <c r="A166" s="83" t="s">
        <v>597</v>
      </c>
      <c r="B166" s="81">
        <v>100527</v>
      </c>
      <c r="C166" s="83" t="s">
        <v>715</v>
      </c>
      <c r="D166" s="83" t="s">
        <v>185</v>
      </c>
      <c r="E166" s="100"/>
      <c r="F166" s="83" t="s">
        <v>561</v>
      </c>
    </row>
    <row r="167" spans="1:6" ht="24.95" customHeight="1" x14ac:dyDescent="0.25">
      <c r="A167" s="84" t="s">
        <v>1330</v>
      </c>
      <c r="B167" s="82" t="s">
        <v>1331</v>
      </c>
      <c r="C167" s="84" t="s">
        <v>715</v>
      </c>
      <c r="D167" s="84" t="s">
        <v>541</v>
      </c>
      <c r="E167" s="101">
        <v>5470002111</v>
      </c>
      <c r="F167" s="84" t="s">
        <v>561</v>
      </c>
    </row>
    <row r="168" spans="1:6" ht="24.95" customHeight="1" x14ac:dyDescent="0.25">
      <c r="A168" s="83" t="s">
        <v>454</v>
      </c>
      <c r="B168" s="81">
        <v>100534</v>
      </c>
      <c r="C168" s="83" t="s">
        <v>715</v>
      </c>
      <c r="D168" s="83" t="s">
        <v>188</v>
      </c>
      <c r="E168" s="100"/>
      <c r="F168" s="83" t="s">
        <v>561</v>
      </c>
    </row>
    <row r="169" spans="1:6" ht="24.95" customHeight="1" x14ac:dyDescent="0.25">
      <c r="A169" s="84" t="s">
        <v>598</v>
      </c>
      <c r="B169" s="82">
        <v>100529</v>
      </c>
      <c r="C169" s="84" t="s">
        <v>715</v>
      </c>
      <c r="D169" s="84" t="s">
        <v>541</v>
      </c>
      <c r="E169" s="101"/>
      <c r="F169" s="84" t="s">
        <v>561</v>
      </c>
    </row>
    <row r="170" spans="1:6" ht="24.95" customHeight="1" x14ac:dyDescent="0.25">
      <c r="A170" s="83" t="s">
        <v>501</v>
      </c>
      <c r="B170" s="81" t="s">
        <v>750</v>
      </c>
      <c r="C170" s="83" t="s">
        <v>707</v>
      </c>
      <c r="D170" s="83" t="s">
        <v>751</v>
      </c>
      <c r="E170" s="100"/>
      <c r="F170" s="83" t="s">
        <v>561</v>
      </c>
    </row>
    <row r="171" spans="1:6" ht="24.95" customHeight="1" x14ac:dyDescent="0.25">
      <c r="A171" s="84" t="s">
        <v>599</v>
      </c>
      <c r="B171" s="82" t="s">
        <v>526</v>
      </c>
      <c r="C171" s="84" t="s">
        <v>715</v>
      </c>
      <c r="D171" s="84" t="s">
        <v>722</v>
      </c>
      <c r="E171" s="101">
        <v>4670130749</v>
      </c>
      <c r="F171" s="84" t="s">
        <v>561</v>
      </c>
    </row>
    <row r="172" spans="1:6" ht="24.95" customHeight="1" x14ac:dyDescent="0.25">
      <c r="A172" s="83" t="s">
        <v>600</v>
      </c>
      <c r="B172" s="81">
        <v>4010410</v>
      </c>
      <c r="C172" s="83" t="s">
        <v>707</v>
      </c>
      <c r="D172" s="83" t="s">
        <v>722</v>
      </c>
      <c r="E172" s="100"/>
      <c r="F172" s="83" t="s">
        <v>561</v>
      </c>
    </row>
    <row r="173" spans="1:6" ht="24.95" customHeight="1" x14ac:dyDescent="0.25">
      <c r="A173" s="84" t="s">
        <v>601</v>
      </c>
      <c r="B173" s="82">
        <v>100535</v>
      </c>
      <c r="C173" s="84" t="s">
        <v>715</v>
      </c>
      <c r="D173" s="84" t="s">
        <v>541</v>
      </c>
      <c r="E173" s="101">
        <v>3071788673</v>
      </c>
      <c r="F173" s="84" t="s">
        <v>561</v>
      </c>
    </row>
    <row r="174" spans="1:6" ht="24.95" customHeight="1" x14ac:dyDescent="0.25">
      <c r="A174" s="83" t="s">
        <v>602</v>
      </c>
      <c r="B174" s="81">
        <v>1916</v>
      </c>
      <c r="C174" s="83" t="s">
        <v>707</v>
      </c>
      <c r="D174" s="83" t="s">
        <v>752</v>
      </c>
      <c r="E174" s="100"/>
      <c r="F174" s="83" t="s">
        <v>561</v>
      </c>
    </row>
    <row r="175" spans="1:6" ht="24.95" customHeight="1" x14ac:dyDescent="0.25">
      <c r="A175" s="84" t="s">
        <v>466</v>
      </c>
      <c r="B175" s="82">
        <v>20348</v>
      </c>
      <c r="C175" s="84" t="s">
        <v>2003</v>
      </c>
      <c r="D175" s="84" t="s">
        <v>753</v>
      </c>
      <c r="E175" s="101"/>
      <c r="F175" s="84" t="s">
        <v>561</v>
      </c>
    </row>
    <row r="176" spans="1:6" ht="24.95" customHeight="1" x14ac:dyDescent="0.25">
      <c r="A176" s="83" t="s">
        <v>603</v>
      </c>
      <c r="B176" s="81">
        <v>100531</v>
      </c>
      <c r="C176" s="83" t="s">
        <v>715</v>
      </c>
      <c r="D176" s="83" t="s">
        <v>541</v>
      </c>
      <c r="E176" s="100"/>
      <c r="F176" s="83" t="s">
        <v>561</v>
      </c>
    </row>
    <row r="177" spans="1:6" ht="24.95" customHeight="1" x14ac:dyDescent="0.25">
      <c r="A177" s="84" t="s">
        <v>314</v>
      </c>
      <c r="B177" s="82">
        <v>100515</v>
      </c>
      <c r="C177" s="84" t="s">
        <v>715</v>
      </c>
      <c r="D177" s="84" t="s">
        <v>754</v>
      </c>
      <c r="E177" s="101"/>
      <c r="F177" s="84" t="s">
        <v>561</v>
      </c>
    </row>
    <row r="178" spans="1:6" ht="24.95" customHeight="1" x14ac:dyDescent="0.25">
      <c r="A178" s="83" t="s">
        <v>604</v>
      </c>
      <c r="B178" s="81" t="s">
        <v>755</v>
      </c>
      <c r="C178" s="83" t="s">
        <v>715</v>
      </c>
      <c r="D178" s="83" t="s">
        <v>188</v>
      </c>
      <c r="E178" s="100"/>
      <c r="F178" s="83" t="s">
        <v>561</v>
      </c>
    </row>
    <row r="179" spans="1:6" ht="24.95" customHeight="1" x14ac:dyDescent="0.25">
      <c r="A179" s="84" t="s">
        <v>315</v>
      </c>
      <c r="B179" s="82" t="s">
        <v>756</v>
      </c>
      <c r="C179" s="84" t="s">
        <v>715</v>
      </c>
      <c r="D179" s="84" t="s">
        <v>540</v>
      </c>
      <c r="E179" s="101"/>
      <c r="F179" s="84" t="s">
        <v>561</v>
      </c>
    </row>
    <row r="180" spans="1:6" ht="24.95" customHeight="1" x14ac:dyDescent="0.25">
      <c r="A180" s="83" t="s">
        <v>1376</v>
      </c>
      <c r="B180" s="81" t="s">
        <v>1377</v>
      </c>
      <c r="C180" s="83" t="s">
        <v>707</v>
      </c>
      <c r="D180" s="83" t="s">
        <v>185</v>
      </c>
      <c r="E180" s="100">
        <v>69340765</v>
      </c>
      <c r="F180" s="83" t="s">
        <v>561</v>
      </c>
    </row>
    <row r="181" spans="1:6" ht="24.95" customHeight="1" x14ac:dyDescent="0.25">
      <c r="A181" s="84" t="s">
        <v>605</v>
      </c>
      <c r="B181" s="82" t="s">
        <v>757</v>
      </c>
      <c r="C181" s="84" t="s">
        <v>715</v>
      </c>
      <c r="D181" s="84" t="s">
        <v>758</v>
      </c>
      <c r="E181" s="101"/>
      <c r="F181" s="84" t="s">
        <v>561</v>
      </c>
    </row>
    <row r="182" spans="1:6" ht="24.95" customHeight="1" x14ac:dyDescent="0.25">
      <c r="A182" s="83" t="s">
        <v>606</v>
      </c>
      <c r="B182" s="81" t="s">
        <v>508</v>
      </c>
      <c r="C182" s="83" t="s">
        <v>715</v>
      </c>
      <c r="D182" s="83" t="s">
        <v>186</v>
      </c>
      <c r="E182" s="100"/>
      <c r="F182" s="83" t="s">
        <v>561</v>
      </c>
    </row>
    <row r="183" spans="1:6" ht="24.95" customHeight="1" x14ac:dyDescent="0.25">
      <c r="A183" s="84" t="s">
        <v>607</v>
      </c>
      <c r="B183" s="82" t="s">
        <v>759</v>
      </c>
      <c r="C183" s="84" t="s">
        <v>715</v>
      </c>
      <c r="D183" s="84" t="s">
        <v>186</v>
      </c>
      <c r="E183" s="101"/>
      <c r="F183" s="84" t="s">
        <v>561</v>
      </c>
    </row>
    <row r="184" spans="1:6" ht="24.95" customHeight="1" x14ac:dyDescent="0.25">
      <c r="A184" s="83" t="s">
        <v>316</v>
      </c>
      <c r="B184" s="81" t="s">
        <v>379</v>
      </c>
      <c r="C184" s="83" t="s">
        <v>707</v>
      </c>
      <c r="D184" s="83" t="s">
        <v>760</v>
      </c>
      <c r="E184" s="100"/>
      <c r="F184" s="83" t="s">
        <v>561</v>
      </c>
    </row>
    <row r="185" spans="1:6" ht="24.95" customHeight="1" x14ac:dyDescent="0.25">
      <c r="A185" s="84" t="s">
        <v>608</v>
      </c>
      <c r="B185" s="82" t="s">
        <v>327</v>
      </c>
      <c r="C185" s="84" t="s">
        <v>707</v>
      </c>
      <c r="D185" s="84" t="s">
        <v>539</v>
      </c>
      <c r="E185" s="101"/>
      <c r="F185" s="84" t="s">
        <v>561</v>
      </c>
    </row>
    <row r="186" spans="1:6" ht="24.95" customHeight="1" x14ac:dyDescent="0.25">
      <c r="A186" s="83" t="s">
        <v>1841</v>
      </c>
      <c r="B186" s="81">
        <v>0</v>
      </c>
      <c r="C186" s="83" t="s">
        <v>715</v>
      </c>
      <c r="D186" s="83" t="s">
        <v>1842</v>
      </c>
      <c r="E186" s="100">
        <v>871443775</v>
      </c>
      <c r="F186" s="83" t="s">
        <v>561</v>
      </c>
    </row>
    <row r="187" spans="1:6" ht="24.95" customHeight="1" x14ac:dyDescent="0.25">
      <c r="A187" s="84" t="s">
        <v>1840</v>
      </c>
      <c r="B187" s="82">
        <v>0</v>
      </c>
      <c r="C187" s="84" t="s">
        <v>715</v>
      </c>
      <c r="D187" s="84" t="s">
        <v>1842</v>
      </c>
      <c r="E187" s="101">
        <v>3120041130</v>
      </c>
      <c r="F187" s="84" t="s">
        <v>561</v>
      </c>
    </row>
    <row r="188" spans="1:6" ht="24.95" customHeight="1" x14ac:dyDescent="0.25">
      <c r="A188" s="83" t="s">
        <v>609</v>
      </c>
      <c r="B188" s="81" t="s">
        <v>334</v>
      </c>
      <c r="C188" s="83" t="s">
        <v>707</v>
      </c>
      <c r="D188" s="83" t="s">
        <v>539</v>
      </c>
      <c r="E188" s="100"/>
      <c r="F188" s="83" t="s">
        <v>561</v>
      </c>
    </row>
    <row r="189" spans="1:6" ht="24.95" customHeight="1" x14ac:dyDescent="0.25">
      <c r="A189" s="84" t="s">
        <v>331</v>
      </c>
      <c r="B189" s="82"/>
      <c r="C189" s="84"/>
      <c r="D189" s="84"/>
      <c r="E189" s="101"/>
      <c r="F189" s="84" t="s">
        <v>561</v>
      </c>
    </row>
    <row r="190" spans="1:6" ht="24.95" customHeight="1" x14ac:dyDescent="0.25">
      <c r="A190" s="83" t="s">
        <v>1837</v>
      </c>
      <c r="B190" s="81">
        <v>0</v>
      </c>
      <c r="C190" s="83" t="s">
        <v>1838</v>
      </c>
      <c r="D190" s="83" t="s">
        <v>1839</v>
      </c>
      <c r="E190" s="100"/>
      <c r="F190" s="83" t="s">
        <v>561</v>
      </c>
    </row>
    <row r="191" spans="1:6" ht="24.95" customHeight="1" x14ac:dyDescent="0.25">
      <c r="A191" s="84" t="s">
        <v>610</v>
      </c>
      <c r="B191" s="82" t="s">
        <v>525</v>
      </c>
      <c r="C191" s="84" t="s">
        <v>707</v>
      </c>
      <c r="D191" s="84" t="s">
        <v>761</v>
      </c>
      <c r="E191" s="101"/>
      <c r="F191" s="84" t="s">
        <v>561</v>
      </c>
    </row>
    <row r="192" spans="1:6" ht="24.95" customHeight="1" x14ac:dyDescent="0.25">
      <c r="A192" s="83" t="s">
        <v>611</v>
      </c>
      <c r="B192" s="81" t="s">
        <v>762</v>
      </c>
      <c r="C192" s="83" t="s">
        <v>715</v>
      </c>
      <c r="D192" s="83" t="s">
        <v>722</v>
      </c>
      <c r="E192" s="100"/>
      <c r="F192" s="83" t="s">
        <v>561</v>
      </c>
    </row>
    <row r="193" spans="1:6" ht="24.95" customHeight="1" x14ac:dyDescent="0.25">
      <c r="A193" s="84" t="s">
        <v>612</v>
      </c>
      <c r="B193" s="82" t="s">
        <v>763</v>
      </c>
      <c r="C193" s="84" t="s">
        <v>715</v>
      </c>
      <c r="D193" s="84" t="s">
        <v>764</v>
      </c>
      <c r="E193" s="101"/>
      <c r="F193" s="84" t="s">
        <v>561</v>
      </c>
    </row>
    <row r="194" spans="1:6" ht="24.95" customHeight="1" x14ac:dyDescent="0.25">
      <c r="A194" s="83" t="s">
        <v>613</v>
      </c>
      <c r="B194" s="81" t="s">
        <v>765</v>
      </c>
      <c r="C194" s="83" t="s">
        <v>715</v>
      </c>
      <c r="D194" s="83" t="s">
        <v>186</v>
      </c>
      <c r="E194" s="100"/>
      <c r="F194" s="83" t="s">
        <v>561</v>
      </c>
    </row>
    <row r="195" spans="1:6" ht="24.95" customHeight="1" x14ac:dyDescent="0.25">
      <c r="A195" s="84" t="s">
        <v>614</v>
      </c>
      <c r="B195" s="82" t="s">
        <v>766</v>
      </c>
      <c r="C195" s="84" t="s">
        <v>715</v>
      </c>
      <c r="D195" s="84" t="s">
        <v>186</v>
      </c>
      <c r="E195" s="101"/>
      <c r="F195" s="84" t="s">
        <v>561</v>
      </c>
    </row>
    <row r="196" spans="1:6" ht="24.95" customHeight="1" x14ac:dyDescent="0.25">
      <c r="A196" s="83" t="s">
        <v>615</v>
      </c>
      <c r="B196" s="81"/>
      <c r="C196" s="83"/>
      <c r="D196" s="83"/>
      <c r="E196" s="100"/>
      <c r="F196" s="83" t="s">
        <v>561</v>
      </c>
    </row>
    <row r="197" spans="1:6" ht="24.95" customHeight="1" x14ac:dyDescent="0.25">
      <c r="A197" s="84" t="s">
        <v>1380</v>
      </c>
      <c r="B197" s="82" t="s">
        <v>792</v>
      </c>
      <c r="C197" s="84" t="s">
        <v>1381</v>
      </c>
      <c r="D197" s="84" t="s">
        <v>539</v>
      </c>
      <c r="E197" s="101">
        <v>4060075108</v>
      </c>
      <c r="F197" s="84" t="s">
        <v>561</v>
      </c>
    </row>
    <row r="198" spans="1:6" ht="24.95" customHeight="1" x14ac:dyDescent="0.25">
      <c r="A198" s="83" t="s">
        <v>1390</v>
      </c>
      <c r="B198" s="81" t="s">
        <v>792</v>
      </c>
      <c r="C198" s="83" t="s">
        <v>1381</v>
      </c>
      <c r="D198" s="83" t="s">
        <v>539</v>
      </c>
      <c r="E198" s="100">
        <v>3320021451</v>
      </c>
      <c r="F198" s="83" t="s">
        <v>561</v>
      </c>
    </row>
    <row r="199" spans="1:6" ht="24.95" customHeight="1" x14ac:dyDescent="0.25">
      <c r="A199" s="84" t="s">
        <v>1389</v>
      </c>
      <c r="B199" s="82" t="s">
        <v>792</v>
      </c>
      <c r="C199" s="84" t="s">
        <v>715</v>
      </c>
      <c r="D199" s="84" t="s">
        <v>541</v>
      </c>
      <c r="E199" s="101"/>
      <c r="F199" s="84" t="s">
        <v>561</v>
      </c>
    </row>
    <row r="200" spans="1:6" ht="24.95" customHeight="1" x14ac:dyDescent="0.25">
      <c r="A200" s="83" t="s">
        <v>1917</v>
      </c>
      <c r="B200" s="81">
        <v>0</v>
      </c>
      <c r="C200" s="83" t="s">
        <v>1034</v>
      </c>
      <c r="D200" s="83" t="s">
        <v>541</v>
      </c>
      <c r="E200" s="100"/>
      <c r="F200" s="83" t="s">
        <v>561</v>
      </c>
    </row>
    <row r="201" spans="1:6" ht="24.95" customHeight="1" x14ac:dyDescent="0.25">
      <c r="A201" s="84" t="s">
        <v>616</v>
      </c>
      <c r="B201" s="82" t="s">
        <v>767</v>
      </c>
      <c r="C201" s="84" t="s">
        <v>2003</v>
      </c>
      <c r="D201" s="84" t="s">
        <v>189</v>
      </c>
      <c r="E201" s="101">
        <v>3120155039</v>
      </c>
      <c r="F201" s="84" t="s">
        <v>561</v>
      </c>
    </row>
    <row r="202" spans="1:6" ht="24.95" customHeight="1" x14ac:dyDescent="0.25">
      <c r="A202" s="83" t="s">
        <v>1912</v>
      </c>
      <c r="B202" s="81">
        <v>0</v>
      </c>
      <c r="C202" s="83" t="s">
        <v>1269</v>
      </c>
      <c r="D202" s="83" t="s">
        <v>1913</v>
      </c>
      <c r="E202" s="100"/>
      <c r="F202" s="83" t="s">
        <v>561</v>
      </c>
    </row>
    <row r="203" spans="1:6" ht="24.95" customHeight="1" x14ac:dyDescent="0.25">
      <c r="A203" s="84" t="s">
        <v>1378</v>
      </c>
      <c r="B203" s="82" t="s">
        <v>792</v>
      </c>
      <c r="C203" s="84" t="s">
        <v>1269</v>
      </c>
      <c r="D203" s="84" t="s">
        <v>1379</v>
      </c>
      <c r="E203" s="101">
        <v>6169882182</v>
      </c>
      <c r="F203" s="84" t="s">
        <v>561</v>
      </c>
    </row>
    <row r="204" spans="1:6" ht="24.95" customHeight="1" x14ac:dyDescent="0.25">
      <c r="A204" s="83" t="s">
        <v>1364</v>
      </c>
      <c r="B204" s="81" t="s">
        <v>792</v>
      </c>
      <c r="C204" s="83" t="s">
        <v>1269</v>
      </c>
      <c r="D204" s="83" t="s">
        <v>1379</v>
      </c>
      <c r="E204" s="100">
        <v>2301321401</v>
      </c>
      <c r="F204" s="83" t="s">
        <v>561</v>
      </c>
    </row>
    <row r="205" spans="1:6" ht="24.95" customHeight="1" x14ac:dyDescent="0.25">
      <c r="A205" s="84" t="s">
        <v>1909</v>
      </c>
      <c r="B205" s="82">
        <v>0</v>
      </c>
      <c r="C205" s="84" t="s">
        <v>1269</v>
      </c>
      <c r="D205" s="84" t="s">
        <v>1759</v>
      </c>
      <c r="E205" s="101"/>
      <c r="F205" s="84" t="s">
        <v>561</v>
      </c>
    </row>
    <row r="206" spans="1:6" ht="24.95" customHeight="1" x14ac:dyDescent="0.25">
      <c r="A206" s="83" t="s">
        <v>617</v>
      </c>
      <c r="B206" s="81" t="s">
        <v>444</v>
      </c>
      <c r="C206" s="83" t="s">
        <v>2003</v>
      </c>
      <c r="D206" s="83" t="s">
        <v>710</v>
      </c>
      <c r="E206" s="100"/>
      <c r="F206" s="83" t="s">
        <v>561</v>
      </c>
    </row>
    <row r="207" spans="1:6" ht="24.95" customHeight="1" x14ac:dyDescent="0.25">
      <c r="A207" s="84" t="s">
        <v>618</v>
      </c>
      <c r="B207" s="82" t="s">
        <v>768</v>
      </c>
      <c r="C207" s="84" t="s">
        <v>715</v>
      </c>
      <c r="D207" s="84" t="s">
        <v>758</v>
      </c>
      <c r="E207" s="101"/>
      <c r="F207" s="84" t="s">
        <v>561</v>
      </c>
    </row>
    <row r="208" spans="1:6" ht="24.95" customHeight="1" x14ac:dyDescent="0.25">
      <c r="A208" s="83" t="s">
        <v>1914</v>
      </c>
      <c r="B208" s="81">
        <v>0</v>
      </c>
      <c r="C208" s="83" t="s">
        <v>1915</v>
      </c>
      <c r="D208" s="83" t="s">
        <v>480</v>
      </c>
      <c r="E208" s="100"/>
      <c r="F208" s="83" t="s">
        <v>561</v>
      </c>
    </row>
    <row r="209" spans="1:6" ht="24.95" customHeight="1" x14ac:dyDescent="0.25">
      <c r="A209" s="84" t="s">
        <v>1908</v>
      </c>
      <c r="B209" s="82">
        <v>100664</v>
      </c>
      <c r="C209" s="84" t="s">
        <v>715</v>
      </c>
      <c r="D209" s="84" t="s">
        <v>758</v>
      </c>
      <c r="E209" s="101">
        <v>1841659851</v>
      </c>
      <c r="F209" s="84" t="s">
        <v>561</v>
      </c>
    </row>
    <row r="210" spans="1:6" ht="24.95" customHeight="1" x14ac:dyDescent="0.25">
      <c r="A210" s="83" t="s">
        <v>369</v>
      </c>
      <c r="B210" s="81" t="s">
        <v>769</v>
      </c>
      <c r="C210" s="83" t="s">
        <v>715</v>
      </c>
      <c r="D210" s="83" t="s">
        <v>770</v>
      </c>
      <c r="E210" s="100"/>
      <c r="F210" s="83" t="s">
        <v>561</v>
      </c>
    </row>
    <row r="211" spans="1:6" ht="24.95" customHeight="1" x14ac:dyDescent="0.25">
      <c r="A211" s="84" t="s">
        <v>619</v>
      </c>
      <c r="B211" s="82" t="s">
        <v>771</v>
      </c>
      <c r="C211" s="84" t="s">
        <v>731</v>
      </c>
      <c r="D211" s="84" t="s">
        <v>772</v>
      </c>
      <c r="E211" s="101"/>
      <c r="F211" s="84" t="s">
        <v>561</v>
      </c>
    </row>
    <row r="212" spans="1:6" ht="24.95" customHeight="1" x14ac:dyDescent="0.25">
      <c r="A212" s="83" t="s">
        <v>467</v>
      </c>
      <c r="B212" s="81" t="s">
        <v>773</v>
      </c>
      <c r="C212" s="83" t="s">
        <v>707</v>
      </c>
      <c r="D212" s="83" t="s">
        <v>541</v>
      </c>
      <c r="E212" s="100"/>
      <c r="F212" s="83" t="s">
        <v>561</v>
      </c>
    </row>
    <row r="213" spans="1:6" ht="24.95" customHeight="1" x14ac:dyDescent="0.25">
      <c r="A213" s="84" t="s">
        <v>429</v>
      </c>
      <c r="B213" s="82" t="s">
        <v>431</v>
      </c>
      <c r="C213" s="84" t="s">
        <v>2003</v>
      </c>
      <c r="D213" s="84" t="s">
        <v>710</v>
      </c>
      <c r="E213" s="101"/>
      <c r="F213" s="84" t="s">
        <v>561</v>
      </c>
    </row>
    <row r="214" spans="1:6" ht="24.95" customHeight="1" x14ac:dyDescent="0.25">
      <c r="A214" s="83" t="s">
        <v>620</v>
      </c>
      <c r="B214" s="81" t="s">
        <v>494</v>
      </c>
      <c r="C214" s="83" t="s">
        <v>715</v>
      </c>
      <c r="D214" s="83" t="s">
        <v>541</v>
      </c>
      <c r="E214" s="100"/>
      <c r="F214" s="83" t="s">
        <v>561</v>
      </c>
    </row>
    <row r="215" spans="1:6" ht="24.95" customHeight="1" x14ac:dyDescent="0.25">
      <c r="A215" s="84" t="s">
        <v>621</v>
      </c>
      <c r="B215" s="82" t="s">
        <v>774</v>
      </c>
      <c r="C215" s="84" t="s">
        <v>2003</v>
      </c>
      <c r="D215" s="84" t="s">
        <v>185</v>
      </c>
      <c r="E215" s="101"/>
      <c r="F215" s="84" t="s">
        <v>561</v>
      </c>
    </row>
    <row r="216" spans="1:6" ht="24.95" customHeight="1" x14ac:dyDescent="0.25">
      <c r="A216" s="83" t="s">
        <v>622</v>
      </c>
      <c r="B216" s="81" t="s">
        <v>506</v>
      </c>
      <c r="C216" s="83" t="s">
        <v>2003</v>
      </c>
      <c r="D216" s="83" t="s">
        <v>775</v>
      </c>
      <c r="E216" s="100"/>
      <c r="F216" s="83" t="s">
        <v>561</v>
      </c>
    </row>
    <row r="217" spans="1:6" ht="24.95" customHeight="1" x14ac:dyDescent="0.25">
      <c r="A217" s="84" t="s">
        <v>623</v>
      </c>
      <c r="B217" s="82"/>
      <c r="C217" s="84"/>
      <c r="D217" s="84" t="s">
        <v>776</v>
      </c>
      <c r="E217" s="101"/>
      <c r="F217" s="84" t="s">
        <v>561</v>
      </c>
    </row>
    <row r="218" spans="1:6" ht="24.95" customHeight="1" x14ac:dyDescent="0.25">
      <c r="A218" s="83" t="s">
        <v>1372</v>
      </c>
      <c r="B218" s="81" t="s">
        <v>1373</v>
      </c>
      <c r="C218" s="83" t="s">
        <v>715</v>
      </c>
      <c r="D218" s="83" t="s">
        <v>541</v>
      </c>
      <c r="E218" s="100">
        <v>468013979</v>
      </c>
      <c r="F218" s="83" t="s">
        <v>561</v>
      </c>
    </row>
    <row r="219" spans="1:6" ht="24.95" customHeight="1" x14ac:dyDescent="0.25">
      <c r="A219" s="84" t="s">
        <v>624</v>
      </c>
      <c r="B219" s="82" t="s">
        <v>523</v>
      </c>
      <c r="C219" s="84" t="s">
        <v>715</v>
      </c>
      <c r="D219" s="84" t="s">
        <v>541</v>
      </c>
      <c r="E219" s="101"/>
      <c r="F219" s="84" t="s">
        <v>561</v>
      </c>
    </row>
    <row r="220" spans="1:6" ht="24.95" customHeight="1" x14ac:dyDescent="0.25">
      <c r="A220" s="83" t="s">
        <v>625</v>
      </c>
      <c r="B220" s="81" t="s">
        <v>777</v>
      </c>
      <c r="C220" s="83" t="s">
        <v>731</v>
      </c>
      <c r="D220" s="83" t="s">
        <v>539</v>
      </c>
      <c r="E220" s="100"/>
      <c r="F220" s="83" t="s">
        <v>561</v>
      </c>
    </row>
    <row r="221" spans="1:6" ht="24.95" customHeight="1" x14ac:dyDescent="0.25">
      <c r="A221" s="84" t="s">
        <v>1942</v>
      </c>
      <c r="B221" s="82" t="s">
        <v>1029</v>
      </c>
      <c r="C221" s="84" t="s">
        <v>707</v>
      </c>
      <c r="D221" s="84" t="s">
        <v>1030</v>
      </c>
      <c r="E221" s="101"/>
      <c r="F221" s="84" t="s">
        <v>561</v>
      </c>
    </row>
    <row r="222" spans="1:6" ht="24.95" customHeight="1" x14ac:dyDescent="0.25">
      <c r="A222" s="83" t="s">
        <v>1141</v>
      </c>
      <c r="B222" s="81" t="s">
        <v>1143</v>
      </c>
      <c r="C222" s="83" t="s">
        <v>707</v>
      </c>
      <c r="D222" s="83" t="s">
        <v>740</v>
      </c>
      <c r="E222" s="100"/>
      <c r="F222" s="83" t="s">
        <v>561</v>
      </c>
    </row>
    <row r="223" spans="1:6" ht="24.95" customHeight="1" x14ac:dyDescent="0.25">
      <c r="A223" s="84" t="s">
        <v>46</v>
      </c>
      <c r="B223" s="82"/>
      <c r="C223" s="84"/>
      <c r="D223" s="84"/>
      <c r="E223" s="101"/>
      <c r="F223" s="84" t="s">
        <v>561</v>
      </c>
    </row>
    <row r="224" spans="1:6" ht="24.95" customHeight="1" x14ac:dyDescent="0.25">
      <c r="A224" s="83" t="s">
        <v>591</v>
      </c>
      <c r="B224" s="81" t="s">
        <v>792</v>
      </c>
      <c r="C224" s="83" t="s">
        <v>715</v>
      </c>
      <c r="D224" s="83" t="s">
        <v>186</v>
      </c>
      <c r="E224" s="100"/>
      <c r="F224" s="83" t="s">
        <v>561</v>
      </c>
    </row>
    <row r="225" spans="1:6" ht="24.95" customHeight="1" x14ac:dyDescent="0.25">
      <c r="A225" s="84" t="s">
        <v>860</v>
      </c>
      <c r="B225" s="82" t="s">
        <v>792</v>
      </c>
      <c r="C225" s="84" t="s">
        <v>715</v>
      </c>
      <c r="D225" s="84" t="s">
        <v>402</v>
      </c>
      <c r="E225" s="101">
        <v>3329948353</v>
      </c>
      <c r="F225" s="84" t="s">
        <v>561</v>
      </c>
    </row>
    <row r="226" spans="1:6" ht="24.95" customHeight="1" x14ac:dyDescent="0.25">
      <c r="A226" s="83" t="s">
        <v>861</v>
      </c>
      <c r="B226" s="81" t="s">
        <v>792</v>
      </c>
      <c r="C226" s="83" t="s">
        <v>715</v>
      </c>
      <c r="D226" s="83" t="s">
        <v>541</v>
      </c>
      <c r="E226" s="100"/>
      <c r="F226" s="83" t="s">
        <v>561</v>
      </c>
    </row>
    <row r="227" spans="1:6" ht="24.95" customHeight="1" x14ac:dyDescent="0.25">
      <c r="A227" s="84" t="s">
        <v>1588</v>
      </c>
      <c r="B227" s="82" t="s">
        <v>1589</v>
      </c>
      <c r="C227" s="84" t="s">
        <v>715</v>
      </c>
      <c r="D227" s="84" t="s">
        <v>1312</v>
      </c>
      <c r="E227" s="101" t="s">
        <v>1590</v>
      </c>
      <c r="F227" s="84" t="s">
        <v>561</v>
      </c>
    </row>
    <row r="228" spans="1:6" ht="24.95" customHeight="1" x14ac:dyDescent="0.25">
      <c r="A228" s="83" t="s">
        <v>1801</v>
      </c>
      <c r="B228" s="81">
        <v>0</v>
      </c>
      <c r="C228" s="83" t="s">
        <v>1642</v>
      </c>
      <c r="D228" s="83" t="s">
        <v>710</v>
      </c>
      <c r="E228" s="100">
        <v>3179702680</v>
      </c>
      <c r="F228" s="83" t="s">
        <v>561</v>
      </c>
    </row>
    <row r="229" spans="1:6" ht="24.95" customHeight="1" x14ac:dyDescent="0.25">
      <c r="A229" s="84" t="s">
        <v>1692</v>
      </c>
      <c r="B229" s="82" t="s">
        <v>1693</v>
      </c>
      <c r="C229" s="84" t="s">
        <v>715</v>
      </c>
      <c r="D229" s="84" t="s">
        <v>541</v>
      </c>
      <c r="E229" s="101"/>
      <c r="F229" s="84" t="s">
        <v>561</v>
      </c>
    </row>
    <row r="230" spans="1:6" ht="24.95" customHeight="1" x14ac:dyDescent="0.25">
      <c r="A230" s="83" t="s">
        <v>1797</v>
      </c>
      <c r="B230" s="81">
        <v>0</v>
      </c>
      <c r="C230" s="83" t="s">
        <v>1742</v>
      </c>
      <c r="D230" s="83" t="s">
        <v>1798</v>
      </c>
      <c r="E230" s="100"/>
      <c r="F230" s="83" t="s">
        <v>561</v>
      </c>
    </row>
    <row r="231" spans="1:6" ht="24.95" customHeight="1" x14ac:dyDescent="0.25">
      <c r="A231" s="84" t="s">
        <v>1593</v>
      </c>
      <c r="B231" s="82" t="s">
        <v>792</v>
      </c>
      <c r="C231" s="84" t="s">
        <v>715</v>
      </c>
      <c r="D231" s="84" t="s">
        <v>722</v>
      </c>
      <c r="E231" s="101"/>
      <c r="F231" s="84" t="s">
        <v>561</v>
      </c>
    </row>
    <row r="232" spans="1:6" ht="24.95" customHeight="1" x14ac:dyDescent="0.25">
      <c r="A232" s="83" t="s">
        <v>859</v>
      </c>
      <c r="B232" s="81" t="s">
        <v>1333</v>
      </c>
      <c r="C232" s="83" t="s">
        <v>715</v>
      </c>
      <c r="D232" s="83" t="s">
        <v>541</v>
      </c>
      <c r="E232" s="100"/>
      <c r="F232" s="83" t="s">
        <v>561</v>
      </c>
    </row>
    <row r="233" spans="1:6" ht="24.95" customHeight="1" x14ac:dyDescent="0.25">
      <c r="A233" s="84" t="s">
        <v>858</v>
      </c>
      <c r="B233" s="82" t="s">
        <v>792</v>
      </c>
      <c r="C233" s="84" t="s">
        <v>862</v>
      </c>
      <c r="D233" s="84" t="s">
        <v>862</v>
      </c>
      <c r="E233" s="101">
        <v>3258563934</v>
      </c>
      <c r="F233" s="84" t="s">
        <v>561</v>
      </c>
    </row>
    <row r="234" spans="1:6" ht="24.95" customHeight="1" x14ac:dyDescent="0.25">
      <c r="A234" s="83" t="s">
        <v>1600</v>
      </c>
      <c r="B234" s="81" t="s">
        <v>1601</v>
      </c>
      <c r="C234" s="83" t="s">
        <v>715</v>
      </c>
      <c r="D234" s="83" t="s">
        <v>185</v>
      </c>
      <c r="E234" s="100">
        <v>1741094240</v>
      </c>
      <c r="F234" s="83" t="s">
        <v>561</v>
      </c>
    </row>
    <row r="235" spans="1:6" ht="24.95" customHeight="1" x14ac:dyDescent="0.25">
      <c r="A235" s="84" t="s">
        <v>1062</v>
      </c>
      <c r="B235" s="82" t="s">
        <v>1061</v>
      </c>
      <c r="C235" s="84" t="s">
        <v>707</v>
      </c>
      <c r="D235" s="84" t="s">
        <v>1063</v>
      </c>
      <c r="E235" s="101"/>
      <c r="F235" s="84" t="s">
        <v>561</v>
      </c>
    </row>
    <row r="236" spans="1:6" ht="24.95" customHeight="1" x14ac:dyDescent="0.25">
      <c r="A236" s="83" t="s">
        <v>1979</v>
      </c>
      <c r="B236" s="81">
        <v>100670</v>
      </c>
      <c r="C236" s="83" t="s">
        <v>715</v>
      </c>
      <c r="D236" s="83" t="s">
        <v>1982</v>
      </c>
      <c r="E236" s="100">
        <v>4680001542</v>
      </c>
      <c r="F236" s="83"/>
    </row>
    <row r="237" spans="1:6" ht="24.95" customHeight="1" x14ac:dyDescent="0.25">
      <c r="A237" s="84" t="s">
        <v>1980</v>
      </c>
      <c r="B237" s="82">
        <v>100671</v>
      </c>
      <c r="C237" s="84" t="s">
        <v>715</v>
      </c>
      <c r="D237" s="84" t="s">
        <v>1983</v>
      </c>
      <c r="E237" s="101">
        <v>1381774164</v>
      </c>
      <c r="F237" s="84"/>
    </row>
    <row r="238" spans="1:6" ht="24.95" customHeight="1" x14ac:dyDescent="0.25">
      <c r="A238" s="83" t="s">
        <v>1981</v>
      </c>
      <c r="B238" s="81">
        <v>100667</v>
      </c>
      <c r="C238" s="83" t="s">
        <v>715</v>
      </c>
      <c r="D238" s="83" t="s">
        <v>1984</v>
      </c>
      <c r="E238" s="100">
        <v>4679638427</v>
      </c>
      <c r="F238" s="83"/>
    </row>
    <row r="239" spans="1:6" ht="24.95" customHeight="1" x14ac:dyDescent="0.25">
      <c r="A239" s="84" t="s">
        <v>1603</v>
      </c>
      <c r="B239" s="82" t="s">
        <v>1604</v>
      </c>
      <c r="C239" s="84" t="s">
        <v>2003</v>
      </c>
      <c r="D239" s="84" t="s">
        <v>710</v>
      </c>
      <c r="E239" s="101">
        <v>3060154104</v>
      </c>
      <c r="F239" s="84" t="s">
        <v>561</v>
      </c>
    </row>
    <row r="240" spans="1:6" ht="24.95" customHeight="1" x14ac:dyDescent="0.25">
      <c r="A240" s="83" t="s">
        <v>1602</v>
      </c>
      <c r="B240" s="81" t="s">
        <v>1718</v>
      </c>
      <c r="C240" s="83" t="s">
        <v>962</v>
      </c>
      <c r="D240" s="83" t="s">
        <v>186</v>
      </c>
      <c r="E240" s="100">
        <v>2980390070</v>
      </c>
      <c r="F240" s="83" t="s">
        <v>1018</v>
      </c>
    </row>
    <row r="241" spans="1:6" ht="24.95" customHeight="1" x14ac:dyDescent="0.25">
      <c r="A241" s="84" t="s">
        <v>1027</v>
      </c>
      <c r="B241" s="82" t="s">
        <v>792</v>
      </c>
      <c r="C241" s="84" t="s">
        <v>1031</v>
      </c>
      <c r="D241" s="84" t="s">
        <v>1032</v>
      </c>
      <c r="E241" s="101">
        <v>2572580551</v>
      </c>
      <c r="F241" s="84" t="s">
        <v>561</v>
      </c>
    </row>
    <row r="242" spans="1:6" ht="24.95" customHeight="1" x14ac:dyDescent="0.25">
      <c r="A242" s="83" t="s">
        <v>2027</v>
      </c>
      <c r="B242" s="81">
        <v>4040705</v>
      </c>
      <c r="C242" s="83" t="s">
        <v>1950</v>
      </c>
      <c r="D242" s="83" t="s">
        <v>2028</v>
      </c>
      <c r="E242" s="100">
        <v>2032165112</v>
      </c>
      <c r="F242" s="83" t="s">
        <v>2029</v>
      </c>
    </row>
    <row r="243" spans="1:6" ht="24.95" customHeight="1" x14ac:dyDescent="0.25">
      <c r="A243" s="84" t="s">
        <v>1033</v>
      </c>
      <c r="B243" s="82" t="s">
        <v>792</v>
      </c>
      <c r="C243" s="84" t="s">
        <v>715</v>
      </c>
      <c r="D243" s="84" t="s">
        <v>541</v>
      </c>
      <c r="E243" s="101">
        <v>3521353648</v>
      </c>
      <c r="F243" s="84" t="s">
        <v>561</v>
      </c>
    </row>
    <row r="244" spans="1:6" ht="24.95" customHeight="1" x14ac:dyDescent="0.25">
      <c r="A244" s="83" t="s">
        <v>1170</v>
      </c>
      <c r="B244" s="81" t="s">
        <v>1173</v>
      </c>
      <c r="C244" s="83" t="s">
        <v>707</v>
      </c>
      <c r="D244" s="83" t="s">
        <v>1172</v>
      </c>
      <c r="E244" s="100"/>
      <c r="F244" s="83" t="s">
        <v>561</v>
      </c>
    </row>
    <row r="245" spans="1:6" ht="24.95" customHeight="1" x14ac:dyDescent="0.25">
      <c r="A245" s="84" t="s">
        <v>1171</v>
      </c>
      <c r="B245" s="82" t="s">
        <v>1174</v>
      </c>
      <c r="C245" s="84" t="s">
        <v>707</v>
      </c>
      <c r="D245" s="84" t="s">
        <v>1172</v>
      </c>
      <c r="E245" s="101"/>
      <c r="F245" s="84" t="s">
        <v>561</v>
      </c>
    </row>
    <row r="246" spans="1:6" ht="24.95" customHeight="1" x14ac:dyDescent="0.25">
      <c r="A246" s="83" t="s">
        <v>1175</v>
      </c>
      <c r="B246" s="81" t="s">
        <v>792</v>
      </c>
      <c r="C246" s="83" t="s">
        <v>715</v>
      </c>
      <c r="D246" s="83" t="s">
        <v>722</v>
      </c>
      <c r="E246" s="100" t="s">
        <v>1176</v>
      </c>
      <c r="F246" s="83" t="s">
        <v>561</v>
      </c>
    </row>
    <row r="247" spans="1:6" ht="24.95" customHeight="1" x14ac:dyDescent="0.25">
      <c r="A247" s="84" t="s">
        <v>1169</v>
      </c>
      <c r="B247" s="82" t="s">
        <v>792</v>
      </c>
      <c r="C247" s="84" t="s">
        <v>715</v>
      </c>
      <c r="D247" s="84" t="s">
        <v>722</v>
      </c>
      <c r="E247" s="101">
        <v>946784825</v>
      </c>
      <c r="F247" s="84" t="s">
        <v>561</v>
      </c>
    </row>
    <row r="248" spans="1:6" ht="24.95" customHeight="1" x14ac:dyDescent="0.25">
      <c r="A248" s="83" t="s">
        <v>1166</v>
      </c>
      <c r="B248" s="81" t="s">
        <v>1167</v>
      </c>
      <c r="C248" s="83" t="s">
        <v>707</v>
      </c>
      <c r="D248" s="83" t="s">
        <v>1168</v>
      </c>
      <c r="E248" s="100">
        <v>3961922594</v>
      </c>
      <c r="F248" s="83" t="s">
        <v>561</v>
      </c>
    </row>
    <row r="249" spans="1:6" ht="24.95" customHeight="1" x14ac:dyDescent="0.25">
      <c r="A249" s="84" t="s">
        <v>1028</v>
      </c>
      <c r="B249" s="82" t="s">
        <v>792</v>
      </c>
      <c r="C249" s="84" t="s">
        <v>1031</v>
      </c>
      <c r="D249" s="84" t="s">
        <v>1032</v>
      </c>
      <c r="E249" s="101">
        <v>1159557784</v>
      </c>
      <c r="F249" s="84" t="s">
        <v>561</v>
      </c>
    </row>
    <row r="250" spans="1:6" ht="24.95" customHeight="1" x14ac:dyDescent="0.25">
      <c r="A250" s="83" t="s">
        <v>1065</v>
      </c>
      <c r="B250" s="81" t="s">
        <v>792</v>
      </c>
      <c r="C250" s="83" t="s">
        <v>715</v>
      </c>
      <c r="D250" s="83" t="s">
        <v>722</v>
      </c>
      <c r="E250" s="100">
        <v>1288865732</v>
      </c>
      <c r="F250" s="83" t="s">
        <v>561</v>
      </c>
    </row>
    <row r="251" spans="1:6" ht="24.95" customHeight="1" x14ac:dyDescent="0.25">
      <c r="A251" s="84" t="s">
        <v>1128</v>
      </c>
      <c r="B251" s="82" t="s">
        <v>1129</v>
      </c>
      <c r="C251" s="84" t="s">
        <v>715</v>
      </c>
      <c r="D251" s="84" t="s">
        <v>186</v>
      </c>
      <c r="E251" s="101">
        <v>2360294466</v>
      </c>
      <c r="F251" s="84" t="s">
        <v>561</v>
      </c>
    </row>
    <row r="252" spans="1:6" ht="24.95" customHeight="1" x14ac:dyDescent="0.25">
      <c r="A252" s="83" t="s">
        <v>1226</v>
      </c>
      <c r="B252" s="81" t="s">
        <v>1313</v>
      </c>
      <c r="C252" s="83" t="s">
        <v>715</v>
      </c>
      <c r="D252" s="83" t="s">
        <v>186</v>
      </c>
      <c r="E252" s="100">
        <v>1292926279</v>
      </c>
      <c r="F252" s="83" t="s">
        <v>561</v>
      </c>
    </row>
    <row r="253" spans="1:6" ht="24.95" customHeight="1" x14ac:dyDescent="0.25">
      <c r="A253" s="84" t="s">
        <v>1130</v>
      </c>
      <c r="B253" s="82" t="s">
        <v>792</v>
      </c>
      <c r="C253" s="84" t="s">
        <v>731</v>
      </c>
      <c r="D253" s="84" t="s">
        <v>539</v>
      </c>
      <c r="E253" s="101">
        <v>4250993191</v>
      </c>
      <c r="F253" s="84" t="s">
        <v>561</v>
      </c>
    </row>
    <row r="254" spans="1:6" ht="24.95" customHeight="1" x14ac:dyDescent="0.25">
      <c r="A254" s="83" t="s">
        <v>1311</v>
      </c>
      <c r="B254" s="81">
        <v>21094</v>
      </c>
      <c r="C254" s="83" t="s">
        <v>2003</v>
      </c>
      <c r="D254" s="83" t="s">
        <v>2048</v>
      </c>
      <c r="E254" s="100">
        <v>2650177446</v>
      </c>
      <c r="F254" s="83" t="s">
        <v>1929</v>
      </c>
    </row>
    <row r="255" spans="1:6" ht="24.95" customHeight="1" x14ac:dyDescent="0.25">
      <c r="A255" s="84" t="s">
        <v>1131</v>
      </c>
      <c r="B255" s="82" t="s">
        <v>792</v>
      </c>
      <c r="C255" s="84" t="s">
        <v>862</v>
      </c>
      <c r="D255" s="84" t="s">
        <v>1132</v>
      </c>
      <c r="E255" s="101"/>
      <c r="F255" s="84" t="s">
        <v>561</v>
      </c>
    </row>
    <row r="256" spans="1:6" ht="24.95" customHeight="1" x14ac:dyDescent="0.25">
      <c r="A256" s="83" t="s">
        <v>474</v>
      </c>
      <c r="B256" s="81">
        <v>0</v>
      </c>
      <c r="C256" s="83" t="s">
        <v>220</v>
      </c>
      <c r="D256" s="83"/>
      <c r="E256" s="100"/>
      <c r="F256" s="83" t="s">
        <v>561</v>
      </c>
    </row>
    <row r="257" spans="1:6" ht="24.95" customHeight="1" x14ac:dyDescent="0.25">
      <c r="A257" s="84" t="s">
        <v>16</v>
      </c>
      <c r="B257" s="82">
        <v>0</v>
      </c>
      <c r="C257" s="84" t="s">
        <v>220</v>
      </c>
      <c r="D257" s="84"/>
      <c r="E257" s="101"/>
      <c r="F257" s="84" t="s">
        <v>561</v>
      </c>
    </row>
    <row r="258" spans="1:6" ht="24.95" customHeight="1" x14ac:dyDescent="0.25">
      <c r="A258" s="83" t="s">
        <v>283</v>
      </c>
      <c r="B258" s="81">
        <v>0</v>
      </c>
      <c r="C258" s="83" t="s">
        <v>220</v>
      </c>
      <c r="D258" s="83" t="s">
        <v>194</v>
      </c>
      <c r="E258" s="100"/>
      <c r="F258" s="83" t="s">
        <v>561</v>
      </c>
    </row>
    <row r="259" spans="1:6" ht="24.95" customHeight="1" x14ac:dyDescent="0.25">
      <c r="A259" s="84" t="s">
        <v>17</v>
      </c>
      <c r="B259" s="82">
        <v>0</v>
      </c>
      <c r="C259" s="84" t="s">
        <v>220</v>
      </c>
      <c r="D259" s="84"/>
      <c r="E259" s="101"/>
      <c r="F259" s="84" t="s">
        <v>561</v>
      </c>
    </row>
    <row r="260" spans="1:6" ht="24.95" customHeight="1" x14ac:dyDescent="0.25">
      <c r="A260" s="83" t="s">
        <v>472</v>
      </c>
      <c r="B260" s="81">
        <v>0</v>
      </c>
      <c r="C260" s="83" t="s">
        <v>220</v>
      </c>
      <c r="D260" s="83" t="s">
        <v>188</v>
      </c>
      <c r="E260" s="100"/>
      <c r="F260" s="83" t="s">
        <v>561</v>
      </c>
    </row>
    <row r="261" spans="1:6" ht="24.95" customHeight="1" x14ac:dyDescent="0.25">
      <c r="A261" s="84" t="s">
        <v>17</v>
      </c>
      <c r="B261" s="82">
        <v>0</v>
      </c>
      <c r="C261" s="84" t="s">
        <v>220</v>
      </c>
      <c r="D261" s="84"/>
      <c r="E261" s="101"/>
      <c r="F261" s="84" t="s">
        <v>561</v>
      </c>
    </row>
    <row r="262" spans="1:6" ht="24.95" customHeight="1" x14ac:dyDescent="0.25">
      <c r="A262" s="83" t="s">
        <v>99</v>
      </c>
      <c r="B262" s="81">
        <v>0</v>
      </c>
      <c r="C262" s="83" t="s">
        <v>220</v>
      </c>
      <c r="D262" s="83"/>
      <c r="E262" s="100"/>
      <c r="F262" s="83" t="s">
        <v>561</v>
      </c>
    </row>
    <row r="263" spans="1:6" ht="24.95" customHeight="1" x14ac:dyDescent="0.25">
      <c r="A263" s="84" t="s">
        <v>229</v>
      </c>
      <c r="B263" s="82">
        <v>0</v>
      </c>
      <c r="C263" s="84" t="s">
        <v>220</v>
      </c>
      <c r="D263" s="84"/>
      <c r="E263" s="101"/>
      <c r="F263" s="84" t="s">
        <v>561</v>
      </c>
    </row>
    <row r="264" spans="1:6" ht="24.95" customHeight="1" x14ac:dyDescent="0.25">
      <c r="A264" s="83" t="s">
        <v>1320</v>
      </c>
      <c r="B264" s="81">
        <v>0</v>
      </c>
      <c r="C264" s="83" t="s">
        <v>220</v>
      </c>
      <c r="D264" s="83" t="s">
        <v>186</v>
      </c>
      <c r="E264" s="100">
        <v>1262056403</v>
      </c>
      <c r="F264" s="83" t="s">
        <v>561</v>
      </c>
    </row>
    <row r="265" spans="1:6" ht="24.95" customHeight="1" x14ac:dyDescent="0.25">
      <c r="A265" s="84" t="s">
        <v>627</v>
      </c>
      <c r="B265" s="82">
        <v>0</v>
      </c>
      <c r="C265" s="84" t="s">
        <v>220</v>
      </c>
      <c r="D265" s="84" t="s">
        <v>186</v>
      </c>
      <c r="E265" s="101"/>
      <c r="F265" s="84" t="s">
        <v>561</v>
      </c>
    </row>
    <row r="266" spans="1:6" ht="24.95" customHeight="1" x14ac:dyDescent="0.25">
      <c r="A266" s="83" t="s">
        <v>295</v>
      </c>
      <c r="B266" s="81">
        <v>0</v>
      </c>
      <c r="C266" s="83" t="s">
        <v>220</v>
      </c>
      <c r="D266" s="83"/>
      <c r="E266" s="100"/>
      <c r="F266" s="83" t="s">
        <v>561</v>
      </c>
    </row>
    <row r="267" spans="1:6" ht="24.95" customHeight="1" x14ac:dyDescent="0.25">
      <c r="A267" s="84" t="s">
        <v>473</v>
      </c>
      <c r="B267" s="82">
        <v>0</v>
      </c>
      <c r="C267" s="84" t="s">
        <v>220</v>
      </c>
      <c r="D267" s="84" t="s">
        <v>402</v>
      </c>
      <c r="E267" s="101"/>
      <c r="F267" s="84" t="s">
        <v>561</v>
      </c>
    </row>
    <row r="268" spans="1:6" ht="24.95" customHeight="1" x14ac:dyDescent="0.25">
      <c r="A268" s="83" t="s">
        <v>628</v>
      </c>
      <c r="B268" s="81">
        <v>0</v>
      </c>
      <c r="C268" s="83" t="s">
        <v>220</v>
      </c>
      <c r="D268" s="83" t="s">
        <v>729</v>
      </c>
      <c r="E268" s="100"/>
      <c r="F268" s="83" t="s">
        <v>561</v>
      </c>
    </row>
    <row r="269" spans="1:6" ht="24.95" customHeight="1" x14ac:dyDescent="0.25">
      <c r="A269" s="84" t="s">
        <v>629</v>
      </c>
      <c r="B269" s="82">
        <v>0</v>
      </c>
      <c r="C269" s="84" t="s">
        <v>220</v>
      </c>
      <c r="D269" s="84" t="s">
        <v>778</v>
      </c>
      <c r="E269" s="101"/>
      <c r="F269" s="84" t="s">
        <v>561</v>
      </c>
    </row>
    <row r="270" spans="1:6" ht="24.95" customHeight="1" x14ac:dyDescent="0.25">
      <c r="A270" s="83" t="s">
        <v>1699</v>
      </c>
      <c r="B270" s="81">
        <v>0</v>
      </c>
      <c r="C270" s="83" t="s">
        <v>266</v>
      </c>
      <c r="D270" s="83" t="s">
        <v>266</v>
      </c>
      <c r="E270" s="100"/>
      <c r="F270" s="83" t="s">
        <v>561</v>
      </c>
    </row>
    <row r="271" spans="1:6" ht="24.95" customHeight="1" x14ac:dyDescent="0.25">
      <c r="A271" s="84" t="s">
        <v>475</v>
      </c>
      <c r="B271" s="82">
        <v>0</v>
      </c>
      <c r="C271" s="84" t="s">
        <v>220</v>
      </c>
      <c r="D271" s="84" t="s">
        <v>539</v>
      </c>
      <c r="E271" s="101"/>
      <c r="F271" s="84" t="s">
        <v>561</v>
      </c>
    </row>
    <row r="272" spans="1:6" ht="24.95" customHeight="1" x14ac:dyDescent="0.25">
      <c r="A272" s="83" t="s">
        <v>630</v>
      </c>
      <c r="B272" s="81">
        <v>0</v>
      </c>
      <c r="C272" s="83" t="s">
        <v>220</v>
      </c>
      <c r="D272" s="83" t="s">
        <v>188</v>
      </c>
      <c r="E272" s="100"/>
      <c r="F272" s="83" t="s">
        <v>561</v>
      </c>
    </row>
    <row r="273" spans="1:6" ht="24.95" customHeight="1" x14ac:dyDescent="0.25">
      <c r="A273" s="84" t="s">
        <v>631</v>
      </c>
      <c r="B273" s="82">
        <v>0</v>
      </c>
      <c r="C273" s="84" t="s">
        <v>220</v>
      </c>
      <c r="D273" s="84" t="s">
        <v>722</v>
      </c>
      <c r="E273" s="101"/>
      <c r="F273" s="84" t="s">
        <v>561</v>
      </c>
    </row>
    <row r="274" spans="1:6" ht="24.95" customHeight="1" x14ac:dyDescent="0.25">
      <c r="A274" s="83" t="s">
        <v>632</v>
      </c>
      <c r="B274" s="81">
        <v>0</v>
      </c>
      <c r="C274" s="83" t="s">
        <v>220</v>
      </c>
      <c r="D274" s="83" t="s">
        <v>722</v>
      </c>
      <c r="E274" s="100"/>
      <c r="F274" s="83" t="s">
        <v>561</v>
      </c>
    </row>
    <row r="275" spans="1:6" ht="24.95" customHeight="1" x14ac:dyDescent="0.25">
      <c r="A275" s="84" t="s">
        <v>633</v>
      </c>
      <c r="B275" s="82">
        <v>0</v>
      </c>
      <c r="C275" s="84" t="s">
        <v>220</v>
      </c>
      <c r="D275" s="84" t="s">
        <v>185</v>
      </c>
      <c r="E275" s="101"/>
      <c r="F275" s="84" t="s">
        <v>561</v>
      </c>
    </row>
    <row r="276" spans="1:6" ht="24.95" customHeight="1" x14ac:dyDescent="0.25">
      <c r="A276" s="83" t="s">
        <v>634</v>
      </c>
      <c r="B276" s="81">
        <v>0</v>
      </c>
      <c r="C276" s="83" t="s">
        <v>220</v>
      </c>
      <c r="D276" s="83" t="s">
        <v>722</v>
      </c>
      <c r="E276" s="100"/>
      <c r="F276" s="83" t="s">
        <v>561</v>
      </c>
    </row>
    <row r="277" spans="1:6" ht="24.95" customHeight="1" x14ac:dyDescent="0.25">
      <c r="A277" s="84" t="s">
        <v>635</v>
      </c>
      <c r="B277" s="82">
        <v>0</v>
      </c>
      <c r="C277" s="84" t="s">
        <v>220</v>
      </c>
      <c r="D277" s="84" t="s">
        <v>779</v>
      </c>
      <c r="E277" s="101"/>
      <c r="F277" s="84" t="s">
        <v>561</v>
      </c>
    </row>
    <row r="278" spans="1:6" ht="24.95" customHeight="1" x14ac:dyDescent="0.25">
      <c r="A278" s="83" t="s">
        <v>288</v>
      </c>
      <c r="B278" s="81">
        <v>0</v>
      </c>
      <c r="C278" s="83" t="s">
        <v>220</v>
      </c>
      <c r="D278" s="83"/>
      <c r="E278" s="100"/>
      <c r="F278" s="83" t="s">
        <v>561</v>
      </c>
    </row>
    <row r="279" spans="1:6" ht="24.95" customHeight="1" x14ac:dyDescent="0.25">
      <c r="A279" s="84" t="s">
        <v>636</v>
      </c>
      <c r="B279" s="82">
        <v>0</v>
      </c>
      <c r="C279" s="84" t="s">
        <v>220</v>
      </c>
      <c r="D279" s="84" t="s">
        <v>779</v>
      </c>
      <c r="E279" s="101"/>
      <c r="F279" s="84" t="s">
        <v>561</v>
      </c>
    </row>
    <row r="280" spans="1:6" ht="24.95" customHeight="1" x14ac:dyDescent="0.25">
      <c r="A280" s="83" t="s">
        <v>637</v>
      </c>
      <c r="B280" s="81">
        <v>0</v>
      </c>
      <c r="C280" s="83" t="s">
        <v>220</v>
      </c>
      <c r="D280" s="83" t="s">
        <v>779</v>
      </c>
      <c r="E280" s="100"/>
      <c r="F280" s="83" t="s">
        <v>561</v>
      </c>
    </row>
    <row r="281" spans="1:6" ht="24.95" customHeight="1" x14ac:dyDescent="0.25">
      <c r="A281" s="84" t="s">
        <v>1293</v>
      </c>
      <c r="B281" s="82">
        <v>0</v>
      </c>
      <c r="C281" s="84" t="s">
        <v>1294</v>
      </c>
      <c r="D281" s="84" t="s">
        <v>779</v>
      </c>
      <c r="E281" s="101"/>
      <c r="F281" s="84" t="s">
        <v>561</v>
      </c>
    </row>
    <row r="282" spans="1:6" ht="24.95" customHeight="1" x14ac:dyDescent="0.25">
      <c r="A282" s="83" t="s">
        <v>1292</v>
      </c>
      <c r="B282" s="81">
        <v>0</v>
      </c>
      <c r="C282" s="83" t="s">
        <v>220</v>
      </c>
      <c r="D282" s="83" t="s">
        <v>779</v>
      </c>
      <c r="E282" s="100">
        <v>1288915012</v>
      </c>
      <c r="F282" s="83" t="s">
        <v>561</v>
      </c>
    </row>
    <row r="283" spans="1:6" ht="24.95" customHeight="1" x14ac:dyDescent="0.25">
      <c r="A283" s="84" t="s">
        <v>638</v>
      </c>
      <c r="B283" s="82">
        <v>0</v>
      </c>
      <c r="C283" s="84" t="s">
        <v>220</v>
      </c>
      <c r="D283" s="84" t="s">
        <v>779</v>
      </c>
      <c r="E283" s="101"/>
      <c r="F283" s="84" t="s">
        <v>561</v>
      </c>
    </row>
    <row r="284" spans="1:6" ht="24.95" customHeight="1" x14ac:dyDescent="0.25">
      <c r="A284" s="83" t="s">
        <v>639</v>
      </c>
      <c r="B284" s="81">
        <v>0</v>
      </c>
      <c r="C284" s="83" t="s">
        <v>220</v>
      </c>
      <c r="D284" s="83" t="s">
        <v>402</v>
      </c>
      <c r="E284" s="100"/>
      <c r="F284" s="83" t="s">
        <v>561</v>
      </c>
    </row>
    <row r="285" spans="1:6" ht="24.95" customHeight="1" x14ac:dyDescent="0.25">
      <c r="A285" s="84" t="s">
        <v>640</v>
      </c>
      <c r="B285" s="82">
        <v>0</v>
      </c>
      <c r="C285" s="84" t="s">
        <v>220</v>
      </c>
      <c r="D285" s="84" t="s">
        <v>709</v>
      </c>
      <c r="E285" s="101"/>
      <c r="F285" s="84" t="s">
        <v>561</v>
      </c>
    </row>
    <row r="286" spans="1:6" ht="24.95" customHeight="1" x14ac:dyDescent="0.25">
      <c r="A286" s="83" t="s">
        <v>311</v>
      </c>
      <c r="B286" s="81">
        <v>0</v>
      </c>
      <c r="C286" s="83" t="s">
        <v>220</v>
      </c>
      <c r="D286" s="83" t="s">
        <v>779</v>
      </c>
      <c r="E286" s="100"/>
      <c r="F286" s="83" t="s">
        <v>561</v>
      </c>
    </row>
    <row r="287" spans="1:6" ht="24.95" customHeight="1" x14ac:dyDescent="0.25">
      <c r="A287" s="84" t="s">
        <v>310</v>
      </c>
      <c r="B287" s="82">
        <v>0</v>
      </c>
      <c r="C287" s="84" t="s">
        <v>220</v>
      </c>
      <c r="D287" s="84" t="s">
        <v>779</v>
      </c>
      <c r="E287" s="101"/>
      <c r="F287" s="84" t="s">
        <v>561</v>
      </c>
    </row>
    <row r="288" spans="1:6" ht="24.95" customHeight="1" x14ac:dyDescent="0.25">
      <c r="A288" s="83" t="s">
        <v>641</v>
      </c>
      <c r="B288" s="81">
        <v>4020302</v>
      </c>
      <c r="C288" s="83" t="s">
        <v>707</v>
      </c>
      <c r="D288" s="83" t="s">
        <v>779</v>
      </c>
      <c r="E288" s="100" t="s">
        <v>1334</v>
      </c>
      <c r="F288" s="83" t="s">
        <v>561</v>
      </c>
    </row>
    <row r="289" spans="1:6" ht="24.95" customHeight="1" x14ac:dyDescent="0.25">
      <c r="A289" s="84" t="s">
        <v>865</v>
      </c>
      <c r="B289" s="82">
        <v>0</v>
      </c>
      <c r="C289" s="84" t="s">
        <v>220</v>
      </c>
      <c r="D289" s="84" t="s">
        <v>866</v>
      </c>
      <c r="E289" s="101"/>
      <c r="F289" s="84" t="s">
        <v>561</v>
      </c>
    </row>
    <row r="290" spans="1:6" ht="24.95" customHeight="1" x14ac:dyDescent="0.25">
      <c r="A290" s="83" t="s">
        <v>1421</v>
      </c>
      <c r="B290" s="81">
        <v>100623</v>
      </c>
      <c r="C290" s="83" t="s">
        <v>715</v>
      </c>
      <c r="D290" s="83" t="s">
        <v>729</v>
      </c>
      <c r="E290" s="100">
        <v>3060255911</v>
      </c>
      <c r="F290" s="83" t="s">
        <v>561</v>
      </c>
    </row>
    <row r="291" spans="1:6" ht="24.95" customHeight="1" x14ac:dyDescent="0.25">
      <c r="A291" s="84" t="s">
        <v>642</v>
      </c>
      <c r="B291" s="82">
        <v>0</v>
      </c>
      <c r="C291" s="84" t="s">
        <v>220</v>
      </c>
      <c r="D291" s="84" t="s">
        <v>722</v>
      </c>
      <c r="E291" s="101"/>
      <c r="F291" s="84" t="s">
        <v>561</v>
      </c>
    </row>
    <row r="292" spans="1:6" ht="24.95" customHeight="1" x14ac:dyDescent="0.25">
      <c r="A292" s="83" t="s">
        <v>1659</v>
      </c>
      <c r="B292" s="81">
        <v>0</v>
      </c>
      <c r="C292" s="83" t="s">
        <v>220</v>
      </c>
      <c r="D292" s="83" t="s">
        <v>185</v>
      </c>
      <c r="E292" s="100">
        <v>1830210351</v>
      </c>
      <c r="F292" s="83" t="s">
        <v>561</v>
      </c>
    </row>
    <row r="293" spans="1:6" ht="24.95" customHeight="1" x14ac:dyDescent="0.25">
      <c r="A293" s="84" t="s">
        <v>643</v>
      </c>
      <c r="B293" s="82">
        <v>0</v>
      </c>
      <c r="C293" s="84" t="s">
        <v>220</v>
      </c>
      <c r="D293" s="84" t="s">
        <v>539</v>
      </c>
      <c r="E293" s="101"/>
      <c r="F293" s="84" t="s">
        <v>561</v>
      </c>
    </row>
    <row r="294" spans="1:6" ht="24.95" customHeight="1" x14ac:dyDescent="0.25">
      <c r="A294" s="83" t="s">
        <v>1673</v>
      </c>
      <c r="B294" s="81">
        <v>0</v>
      </c>
      <c r="C294" s="83" t="s">
        <v>1198</v>
      </c>
      <c r="D294" s="83" t="s">
        <v>1198</v>
      </c>
      <c r="E294" s="100">
        <v>3060058717</v>
      </c>
      <c r="F294" s="83" t="s">
        <v>561</v>
      </c>
    </row>
    <row r="295" spans="1:6" ht="24.95" customHeight="1" x14ac:dyDescent="0.25">
      <c r="A295" s="84" t="s">
        <v>1371</v>
      </c>
      <c r="B295" s="82">
        <v>0</v>
      </c>
      <c r="C295" s="84" t="s">
        <v>220</v>
      </c>
      <c r="D295" s="84"/>
      <c r="E295" s="101"/>
      <c r="F295" s="84" t="s">
        <v>561</v>
      </c>
    </row>
    <row r="296" spans="1:6" ht="24.95" customHeight="1" x14ac:dyDescent="0.25">
      <c r="A296" s="83" t="s">
        <v>333</v>
      </c>
      <c r="B296" s="81">
        <v>0</v>
      </c>
      <c r="C296" s="83" t="s">
        <v>220</v>
      </c>
      <c r="D296" s="83" t="s">
        <v>779</v>
      </c>
      <c r="E296" s="100"/>
      <c r="F296" s="83" t="s">
        <v>561</v>
      </c>
    </row>
    <row r="297" spans="1:6" ht="24.95" customHeight="1" x14ac:dyDescent="0.25">
      <c r="A297" s="84" t="s">
        <v>359</v>
      </c>
      <c r="B297" s="82">
        <v>0</v>
      </c>
      <c r="C297" s="84" t="s">
        <v>220</v>
      </c>
      <c r="D297" s="84"/>
      <c r="E297" s="101"/>
      <c r="F297" s="84" t="s">
        <v>561</v>
      </c>
    </row>
    <row r="298" spans="1:6" ht="24.95" customHeight="1" x14ac:dyDescent="0.25">
      <c r="A298" s="83" t="s">
        <v>482</v>
      </c>
      <c r="B298" s="81">
        <v>0</v>
      </c>
      <c r="C298" s="83" t="s">
        <v>220</v>
      </c>
      <c r="D298" s="83"/>
      <c r="E298" s="100"/>
      <c r="F298" s="83" t="s">
        <v>561</v>
      </c>
    </row>
    <row r="299" spans="1:6" ht="24.95" customHeight="1" x14ac:dyDescent="0.25">
      <c r="A299" s="84" t="s">
        <v>1329</v>
      </c>
      <c r="B299" s="82">
        <v>0</v>
      </c>
      <c r="C299" s="84" t="s">
        <v>220</v>
      </c>
      <c r="D299" s="84"/>
      <c r="E299" s="101"/>
      <c r="F299" s="84" t="s">
        <v>561</v>
      </c>
    </row>
    <row r="300" spans="1:6" ht="24.95" customHeight="1" x14ac:dyDescent="0.25">
      <c r="A300" s="83" t="s">
        <v>1423</v>
      </c>
      <c r="B300" s="81">
        <v>0</v>
      </c>
      <c r="C300" s="83" t="s">
        <v>220</v>
      </c>
      <c r="D300" s="83"/>
      <c r="E300" s="100"/>
      <c r="F300" s="83" t="s">
        <v>561</v>
      </c>
    </row>
    <row r="301" spans="1:6" ht="24.95" customHeight="1" x14ac:dyDescent="0.25">
      <c r="A301" s="84" t="s">
        <v>644</v>
      </c>
      <c r="B301" s="82">
        <v>0</v>
      </c>
      <c r="C301" s="84" t="s">
        <v>220</v>
      </c>
      <c r="D301" s="84"/>
      <c r="E301" s="101"/>
      <c r="F301" s="84" t="s">
        <v>561</v>
      </c>
    </row>
    <row r="302" spans="1:6" ht="24.95" customHeight="1" x14ac:dyDescent="0.25">
      <c r="A302" s="83" t="s">
        <v>1567</v>
      </c>
      <c r="B302" s="81">
        <v>100642</v>
      </c>
      <c r="C302" s="83" t="s">
        <v>715</v>
      </c>
      <c r="D302" s="83" t="s">
        <v>185</v>
      </c>
      <c r="E302" s="100">
        <v>2992116394</v>
      </c>
      <c r="F302" s="83" t="s">
        <v>561</v>
      </c>
    </row>
    <row r="303" spans="1:6" ht="24.95" customHeight="1" x14ac:dyDescent="0.25">
      <c r="A303" s="84" t="s">
        <v>1568</v>
      </c>
      <c r="B303" s="82" t="s">
        <v>1569</v>
      </c>
      <c r="C303" s="84" t="s">
        <v>707</v>
      </c>
      <c r="D303" s="84" t="s">
        <v>287</v>
      </c>
      <c r="E303" s="101"/>
      <c r="F303" s="84" t="s">
        <v>561</v>
      </c>
    </row>
    <row r="304" spans="1:6" ht="24.95" customHeight="1" x14ac:dyDescent="0.25">
      <c r="A304" s="83" t="s">
        <v>471</v>
      </c>
      <c r="B304" s="81">
        <v>0</v>
      </c>
      <c r="C304" s="83" t="s">
        <v>220</v>
      </c>
      <c r="D304" s="83" t="s">
        <v>780</v>
      </c>
      <c r="E304" s="100"/>
      <c r="F304" s="83" t="s">
        <v>561</v>
      </c>
    </row>
    <row r="305" spans="1:6" ht="24.95" customHeight="1" x14ac:dyDescent="0.25">
      <c r="A305" s="84" t="s">
        <v>1135</v>
      </c>
      <c r="B305" s="82">
        <v>0</v>
      </c>
      <c r="C305" s="84" t="s">
        <v>220</v>
      </c>
      <c r="D305" s="84"/>
      <c r="E305" s="101">
        <v>3179617225</v>
      </c>
      <c r="F305" s="84" t="s">
        <v>561</v>
      </c>
    </row>
    <row r="306" spans="1:6" ht="24.95" customHeight="1" x14ac:dyDescent="0.25">
      <c r="A306" s="83" t="s">
        <v>1314</v>
      </c>
      <c r="B306" s="81">
        <v>0</v>
      </c>
      <c r="C306" s="83" t="s">
        <v>266</v>
      </c>
      <c r="D306" s="83" t="s">
        <v>1315</v>
      </c>
      <c r="E306" s="100"/>
      <c r="F306" s="83" t="s">
        <v>561</v>
      </c>
    </row>
    <row r="307" spans="1:6" ht="24.95" customHeight="1" x14ac:dyDescent="0.25">
      <c r="A307" s="84" t="s">
        <v>476</v>
      </c>
      <c r="B307" s="82">
        <v>0</v>
      </c>
      <c r="C307" s="84" t="s">
        <v>266</v>
      </c>
      <c r="D307" s="84" t="s">
        <v>192</v>
      </c>
      <c r="E307" s="101"/>
      <c r="F307" s="84" t="s">
        <v>561</v>
      </c>
    </row>
    <row r="308" spans="1:6" ht="24.95" customHeight="1" x14ac:dyDescent="0.25">
      <c r="A308" s="83" t="s">
        <v>645</v>
      </c>
      <c r="B308" s="81">
        <v>0</v>
      </c>
      <c r="C308" s="83" t="s">
        <v>266</v>
      </c>
      <c r="D308" s="83" t="s">
        <v>781</v>
      </c>
      <c r="E308" s="100"/>
      <c r="F308" s="83" t="s">
        <v>561</v>
      </c>
    </row>
    <row r="309" spans="1:6" ht="24.95" customHeight="1" x14ac:dyDescent="0.25">
      <c r="A309" s="84" t="s">
        <v>880</v>
      </c>
      <c r="B309" s="82">
        <v>0</v>
      </c>
      <c r="C309" s="84" t="s">
        <v>220</v>
      </c>
      <c r="D309" s="84" t="s">
        <v>709</v>
      </c>
      <c r="E309" s="101"/>
      <c r="F309" s="84" t="s">
        <v>561</v>
      </c>
    </row>
    <row r="310" spans="1:6" ht="24.95" customHeight="1" x14ac:dyDescent="0.25">
      <c r="A310" s="83" t="s">
        <v>1035</v>
      </c>
      <c r="B310" s="81">
        <v>0</v>
      </c>
      <c r="C310" s="83" t="s">
        <v>1034</v>
      </c>
      <c r="D310" s="83" t="s">
        <v>266</v>
      </c>
      <c r="E310" s="100"/>
      <c r="F310" s="83" t="s">
        <v>561</v>
      </c>
    </row>
    <row r="311" spans="1:6" ht="24.95" customHeight="1" x14ac:dyDescent="0.25">
      <c r="A311" s="84" t="s">
        <v>1723</v>
      </c>
      <c r="B311" s="82">
        <v>4030502</v>
      </c>
      <c r="C311" s="84" t="s">
        <v>707</v>
      </c>
      <c r="D311" s="84" t="s">
        <v>539</v>
      </c>
      <c r="E311" s="101">
        <v>2370606525</v>
      </c>
      <c r="F311" s="84" t="s">
        <v>561</v>
      </c>
    </row>
    <row r="312" spans="1:6" ht="24.95" customHeight="1" x14ac:dyDescent="0.25">
      <c r="A312" s="83" t="s">
        <v>1262</v>
      </c>
      <c r="B312" s="81">
        <v>0</v>
      </c>
      <c r="C312" s="83" t="s">
        <v>715</v>
      </c>
      <c r="D312" s="83" t="s">
        <v>1263</v>
      </c>
      <c r="E312" s="100" t="s">
        <v>1264</v>
      </c>
      <c r="F312" s="83" t="s">
        <v>561</v>
      </c>
    </row>
    <row r="313" spans="1:6" ht="24.95" customHeight="1" x14ac:dyDescent="0.25">
      <c r="A313" s="84" t="s">
        <v>1619</v>
      </c>
      <c r="B313" s="82">
        <v>0</v>
      </c>
      <c r="C313" s="84" t="s">
        <v>1269</v>
      </c>
      <c r="D313" s="84" t="s">
        <v>1621</v>
      </c>
      <c r="E313" s="101" t="s">
        <v>1620</v>
      </c>
      <c r="F313" s="84" t="s">
        <v>561</v>
      </c>
    </row>
    <row r="314" spans="1:6" ht="24.95" customHeight="1" x14ac:dyDescent="0.25">
      <c r="A314" s="83" t="s">
        <v>1617</v>
      </c>
      <c r="B314" s="81">
        <v>20524</v>
      </c>
      <c r="C314" s="83" t="s">
        <v>2003</v>
      </c>
      <c r="D314" s="83" t="s">
        <v>1618</v>
      </c>
      <c r="E314" s="100"/>
      <c r="F314" s="83" t="s">
        <v>561</v>
      </c>
    </row>
    <row r="315" spans="1:6" ht="24.95" customHeight="1" x14ac:dyDescent="0.25">
      <c r="A315" s="84" t="s">
        <v>646</v>
      </c>
      <c r="B315" s="82">
        <v>0</v>
      </c>
      <c r="C315" s="84"/>
      <c r="D315" s="84" t="s">
        <v>190</v>
      </c>
      <c r="E315" s="101"/>
      <c r="F315" s="84" t="s">
        <v>561</v>
      </c>
    </row>
    <row r="316" spans="1:6" ht="24.95" customHeight="1" x14ac:dyDescent="0.25">
      <c r="A316" s="83" t="s">
        <v>1787</v>
      </c>
      <c r="B316" s="81">
        <v>20701</v>
      </c>
      <c r="C316" s="83" t="s">
        <v>2003</v>
      </c>
      <c r="D316" s="83" t="s">
        <v>1706</v>
      </c>
      <c r="E316" s="100"/>
      <c r="F316" s="83" t="s">
        <v>561</v>
      </c>
    </row>
    <row r="317" spans="1:6" ht="24.95" customHeight="1" x14ac:dyDescent="0.25">
      <c r="A317" s="84" t="s">
        <v>648</v>
      </c>
      <c r="B317" s="82">
        <v>20521</v>
      </c>
      <c r="C317" s="84" t="s">
        <v>2003</v>
      </c>
      <c r="D317" s="84" t="s">
        <v>782</v>
      </c>
      <c r="E317" s="101"/>
      <c r="F317" s="84" t="s">
        <v>561</v>
      </c>
    </row>
    <row r="318" spans="1:6" ht="24.95" customHeight="1" x14ac:dyDescent="0.25">
      <c r="A318" s="83" t="s">
        <v>1267</v>
      </c>
      <c r="B318" s="81">
        <v>4010604</v>
      </c>
      <c r="C318" s="83" t="s">
        <v>707</v>
      </c>
      <c r="D318" s="83" t="s">
        <v>186</v>
      </c>
      <c r="E318" s="100"/>
      <c r="F318" s="83" t="s">
        <v>561</v>
      </c>
    </row>
    <row r="319" spans="1:6" ht="24.95" customHeight="1" x14ac:dyDescent="0.25">
      <c r="A319" s="84" t="s">
        <v>652</v>
      </c>
      <c r="B319" s="82">
        <v>20210</v>
      </c>
      <c r="C319" s="84" t="s">
        <v>2003</v>
      </c>
      <c r="D319" s="84" t="s">
        <v>783</v>
      </c>
      <c r="E319" s="101"/>
      <c r="F319" s="84" t="s">
        <v>561</v>
      </c>
    </row>
    <row r="320" spans="1:6" ht="24.95" customHeight="1" x14ac:dyDescent="0.25">
      <c r="A320" s="83" t="s">
        <v>1401</v>
      </c>
      <c r="B320" s="81">
        <v>20705</v>
      </c>
      <c r="C320" s="83" t="s">
        <v>2003</v>
      </c>
      <c r="D320" s="83" t="s">
        <v>1402</v>
      </c>
      <c r="E320" s="100"/>
      <c r="F320" s="83" t="s">
        <v>561</v>
      </c>
    </row>
    <row r="321" spans="1:6" ht="24.95" customHeight="1" x14ac:dyDescent="0.25">
      <c r="A321" s="84" t="s">
        <v>1682</v>
      </c>
      <c r="B321" s="82">
        <v>0</v>
      </c>
      <c r="C321" s="84" t="s">
        <v>1683</v>
      </c>
      <c r="D321" s="84" t="s">
        <v>1684</v>
      </c>
      <c r="E321" s="101">
        <v>1861204949</v>
      </c>
      <c r="F321" s="84" t="s">
        <v>561</v>
      </c>
    </row>
    <row r="322" spans="1:6" ht="24.95" customHeight="1" x14ac:dyDescent="0.25">
      <c r="A322" s="83" t="s">
        <v>653</v>
      </c>
      <c r="B322" s="81">
        <v>0</v>
      </c>
      <c r="C322" s="83" t="s">
        <v>266</v>
      </c>
      <c r="D322" s="83" t="s">
        <v>784</v>
      </c>
      <c r="E322" s="100"/>
      <c r="F322" s="83" t="s">
        <v>561</v>
      </c>
    </row>
    <row r="323" spans="1:6" ht="24.95" customHeight="1" x14ac:dyDescent="0.25">
      <c r="A323" s="84" t="s">
        <v>1529</v>
      </c>
      <c r="B323" s="82">
        <v>0</v>
      </c>
      <c r="C323" s="84" t="s">
        <v>715</v>
      </c>
      <c r="D323" s="84" t="s">
        <v>722</v>
      </c>
      <c r="E323" s="101">
        <v>2301154610</v>
      </c>
      <c r="F323" s="84" t="s">
        <v>561</v>
      </c>
    </row>
    <row r="324" spans="1:6" ht="24.95" customHeight="1" x14ac:dyDescent="0.25">
      <c r="A324" s="83" t="s">
        <v>655</v>
      </c>
      <c r="B324" s="81">
        <v>9603</v>
      </c>
      <c r="C324" s="83" t="s">
        <v>707</v>
      </c>
      <c r="D324" s="83" t="s">
        <v>785</v>
      </c>
      <c r="E324" s="100"/>
      <c r="F324" s="83" t="s">
        <v>561</v>
      </c>
    </row>
    <row r="325" spans="1:6" ht="24.95" customHeight="1" x14ac:dyDescent="0.25">
      <c r="A325" s="84" t="s">
        <v>656</v>
      </c>
      <c r="B325" s="82">
        <v>1520</v>
      </c>
      <c r="C325" s="84" t="s">
        <v>707</v>
      </c>
      <c r="D325" s="84" t="s">
        <v>189</v>
      </c>
      <c r="E325" s="101"/>
      <c r="F325" s="84" t="s">
        <v>561</v>
      </c>
    </row>
    <row r="326" spans="1:6" ht="24.95" customHeight="1" x14ac:dyDescent="0.25">
      <c r="A326" s="83" t="s">
        <v>657</v>
      </c>
      <c r="B326" s="81">
        <v>20435</v>
      </c>
      <c r="C326" s="83" t="s">
        <v>2003</v>
      </c>
      <c r="D326" s="83" t="s">
        <v>786</v>
      </c>
      <c r="E326" s="100"/>
      <c r="F326" s="83" t="s">
        <v>561</v>
      </c>
    </row>
    <row r="327" spans="1:6" ht="24.95" customHeight="1" x14ac:dyDescent="0.25">
      <c r="A327" s="84" t="s">
        <v>1750</v>
      </c>
      <c r="B327" s="82">
        <v>100632</v>
      </c>
      <c r="C327" s="84" t="s">
        <v>731</v>
      </c>
      <c r="D327" s="84" t="s">
        <v>539</v>
      </c>
      <c r="E327" s="101"/>
      <c r="F327" s="84" t="s">
        <v>561</v>
      </c>
    </row>
    <row r="328" spans="1:6" ht="24.95" customHeight="1" x14ac:dyDescent="0.25">
      <c r="A328" s="84" t="s">
        <v>2057</v>
      </c>
      <c r="B328" s="82">
        <v>100676</v>
      </c>
      <c r="C328" s="84" t="s">
        <v>715</v>
      </c>
      <c r="D328" s="84" t="s">
        <v>716</v>
      </c>
      <c r="E328" s="101" t="s">
        <v>2058</v>
      </c>
      <c r="F328" s="84" t="s">
        <v>561</v>
      </c>
    </row>
    <row r="329" spans="1:6" ht="24.95" customHeight="1" x14ac:dyDescent="0.25">
      <c r="A329" s="83" t="s">
        <v>1328</v>
      </c>
      <c r="B329" s="81">
        <v>100605</v>
      </c>
      <c r="C329" s="83" t="s">
        <v>715</v>
      </c>
      <c r="D329" s="83" t="s">
        <v>541</v>
      </c>
      <c r="E329" s="100"/>
      <c r="F329" s="83" t="s">
        <v>561</v>
      </c>
    </row>
    <row r="330" spans="1:6" ht="24.95" customHeight="1" x14ac:dyDescent="0.25">
      <c r="A330" s="84" t="s">
        <v>552</v>
      </c>
      <c r="B330" s="82">
        <v>0</v>
      </c>
      <c r="C330" s="84" t="s">
        <v>715</v>
      </c>
      <c r="D330" s="84" t="s">
        <v>541</v>
      </c>
      <c r="E330" s="101"/>
      <c r="F330" s="84" t="s">
        <v>561</v>
      </c>
    </row>
    <row r="331" spans="1:6" ht="24.95" customHeight="1" x14ac:dyDescent="0.25">
      <c r="A331" s="83" t="s">
        <v>1182</v>
      </c>
      <c r="B331" s="81">
        <v>4020306</v>
      </c>
      <c r="C331" s="83" t="s">
        <v>707</v>
      </c>
      <c r="D331" s="83" t="s">
        <v>722</v>
      </c>
      <c r="E331" s="100"/>
      <c r="F331" s="83" t="s">
        <v>561</v>
      </c>
    </row>
    <row r="332" spans="1:6" ht="24.95" customHeight="1" x14ac:dyDescent="0.25">
      <c r="A332" s="84" t="s">
        <v>1355</v>
      </c>
      <c r="B332" s="82">
        <v>100614</v>
      </c>
      <c r="C332" s="84" t="s">
        <v>715</v>
      </c>
      <c r="D332" s="84" t="s">
        <v>722</v>
      </c>
      <c r="E332" s="101">
        <v>468013979</v>
      </c>
      <c r="F332" s="84" t="s">
        <v>561</v>
      </c>
    </row>
    <row r="333" spans="1:6" ht="24.95" customHeight="1" x14ac:dyDescent="0.25">
      <c r="A333" s="83" t="s">
        <v>1268</v>
      </c>
      <c r="B333" s="81">
        <v>0</v>
      </c>
      <c r="C333" s="83" t="s">
        <v>1269</v>
      </c>
      <c r="D333" s="83" t="s">
        <v>1270</v>
      </c>
      <c r="E333" s="100"/>
      <c r="F333" s="83" t="s">
        <v>561</v>
      </c>
    </row>
    <row r="334" spans="1:6" ht="24.95" customHeight="1" x14ac:dyDescent="0.25">
      <c r="A334" s="84" t="s">
        <v>1271</v>
      </c>
      <c r="B334" s="82">
        <v>0</v>
      </c>
      <c r="C334" s="84" t="s">
        <v>1272</v>
      </c>
      <c r="D334" s="84"/>
      <c r="E334" s="101"/>
      <c r="F334" s="84" t="s">
        <v>561</v>
      </c>
    </row>
    <row r="335" spans="1:6" ht="24.95" customHeight="1" x14ac:dyDescent="0.25">
      <c r="A335" s="83" t="s">
        <v>1059</v>
      </c>
      <c r="B335" s="81">
        <v>100578</v>
      </c>
      <c r="C335" s="83" t="s">
        <v>715</v>
      </c>
      <c r="D335" s="83" t="s">
        <v>541</v>
      </c>
      <c r="E335" s="100">
        <v>1129783944</v>
      </c>
      <c r="F335" s="83" t="s">
        <v>561</v>
      </c>
    </row>
    <row r="336" spans="1:6" ht="24.95" customHeight="1" x14ac:dyDescent="0.25">
      <c r="A336" s="84" t="s">
        <v>553</v>
      </c>
      <c r="B336" s="82" t="s">
        <v>817</v>
      </c>
      <c r="C336" s="84" t="s">
        <v>715</v>
      </c>
      <c r="D336" s="84" t="s">
        <v>818</v>
      </c>
      <c r="E336" s="101">
        <v>1287382630</v>
      </c>
      <c r="F336" s="84" t="s">
        <v>561</v>
      </c>
    </row>
    <row r="337" spans="1:6" ht="24.95" customHeight="1" x14ac:dyDescent="0.25">
      <c r="A337" s="83" t="s">
        <v>820</v>
      </c>
      <c r="B337" s="81">
        <v>0</v>
      </c>
      <c r="C337" s="83" t="s">
        <v>715</v>
      </c>
      <c r="D337" s="83" t="s">
        <v>541</v>
      </c>
      <c r="E337" s="100">
        <v>2580048006</v>
      </c>
      <c r="F337" s="83" t="s">
        <v>561</v>
      </c>
    </row>
    <row r="338" spans="1:6" ht="24.95" customHeight="1" x14ac:dyDescent="0.25">
      <c r="A338" s="84" t="s">
        <v>1658</v>
      </c>
      <c r="B338" s="82">
        <v>20215</v>
      </c>
      <c r="C338" s="84" t="s">
        <v>2003</v>
      </c>
      <c r="D338" s="84" t="s">
        <v>793</v>
      </c>
      <c r="E338" s="101">
        <v>3071778740</v>
      </c>
      <c r="F338" s="84" t="s">
        <v>561</v>
      </c>
    </row>
    <row r="339" spans="1:6" ht="24.95" customHeight="1" x14ac:dyDescent="0.25">
      <c r="A339" s="83" t="s">
        <v>863</v>
      </c>
      <c r="B339" s="81">
        <v>100573</v>
      </c>
      <c r="C339" s="83" t="s">
        <v>715</v>
      </c>
      <c r="D339" s="83" t="s">
        <v>540</v>
      </c>
      <c r="E339" s="100">
        <v>2050454856</v>
      </c>
      <c r="F339" s="83" t="s">
        <v>561</v>
      </c>
    </row>
    <row r="340" spans="1:6" ht="24.95" customHeight="1" x14ac:dyDescent="0.25">
      <c r="A340" s="84" t="s">
        <v>864</v>
      </c>
      <c r="B340" s="82"/>
      <c r="C340" s="84" t="s">
        <v>715</v>
      </c>
      <c r="D340" s="84" t="s">
        <v>722</v>
      </c>
      <c r="E340" s="101">
        <v>3060255911</v>
      </c>
      <c r="F340" s="84" t="s">
        <v>561</v>
      </c>
    </row>
    <row r="341" spans="1:6" ht="24.95" customHeight="1" x14ac:dyDescent="0.25">
      <c r="A341" s="83" t="s">
        <v>1757</v>
      </c>
      <c r="B341" s="81">
        <v>0</v>
      </c>
      <c r="C341" s="83" t="s">
        <v>1758</v>
      </c>
      <c r="D341" s="83"/>
      <c r="E341" s="100"/>
      <c r="F341" s="83" t="s">
        <v>561</v>
      </c>
    </row>
    <row r="342" spans="1:6" ht="24.95" customHeight="1" x14ac:dyDescent="0.25">
      <c r="A342" s="84" t="s">
        <v>1520</v>
      </c>
      <c r="B342" s="82">
        <v>20489</v>
      </c>
      <c r="C342" s="84" t="s">
        <v>2003</v>
      </c>
      <c r="D342" s="84" t="s">
        <v>189</v>
      </c>
      <c r="E342" s="101">
        <v>30600065233</v>
      </c>
      <c r="F342" s="84" t="s">
        <v>561</v>
      </c>
    </row>
    <row r="343" spans="1:6" ht="24.95" customHeight="1" x14ac:dyDescent="0.25">
      <c r="A343" s="83" t="s">
        <v>905</v>
      </c>
      <c r="B343" s="81">
        <v>0</v>
      </c>
      <c r="C343" s="83" t="s">
        <v>220</v>
      </c>
      <c r="D343" s="83" t="s">
        <v>722</v>
      </c>
      <c r="E343" s="100"/>
      <c r="F343" s="83" t="s">
        <v>561</v>
      </c>
    </row>
    <row r="344" spans="1:6" ht="24.95" customHeight="1" x14ac:dyDescent="0.25">
      <c r="A344" s="84" t="s">
        <v>1302</v>
      </c>
      <c r="B344" s="82" t="s">
        <v>792</v>
      </c>
      <c r="C344" s="84" t="s">
        <v>220</v>
      </c>
      <c r="D344" s="84" t="s">
        <v>220</v>
      </c>
      <c r="E344" s="101"/>
      <c r="F344" s="84" t="s">
        <v>561</v>
      </c>
    </row>
    <row r="345" spans="1:6" ht="24.95" customHeight="1" x14ac:dyDescent="0.25">
      <c r="A345" s="83" t="s">
        <v>1437</v>
      </c>
      <c r="B345" s="81" t="s">
        <v>792</v>
      </c>
      <c r="C345" s="83" t="s">
        <v>1438</v>
      </c>
      <c r="D345" s="83" t="s">
        <v>1439</v>
      </c>
      <c r="E345" s="100"/>
      <c r="F345" s="83" t="s">
        <v>561</v>
      </c>
    </row>
    <row r="346" spans="1:6" ht="24.95" customHeight="1" x14ac:dyDescent="0.25">
      <c r="A346" s="84" t="s">
        <v>1436</v>
      </c>
      <c r="B346" s="82" t="s">
        <v>792</v>
      </c>
      <c r="C346" s="84" t="s">
        <v>1366</v>
      </c>
      <c r="D346" s="84" t="s">
        <v>185</v>
      </c>
      <c r="E346" s="101"/>
      <c r="F346" s="84" t="s">
        <v>561</v>
      </c>
    </row>
    <row r="347" spans="1:6" ht="24.95" customHeight="1" x14ac:dyDescent="0.25">
      <c r="A347" s="83" t="s">
        <v>1928</v>
      </c>
      <c r="B347" s="81">
        <v>637</v>
      </c>
      <c r="C347" s="83" t="s">
        <v>707</v>
      </c>
      <c r="D347" s="83" t="s">
        <v>856</v>
      </c>
      <c r="E347" s="100"/>
      <c r="F347" s="83" t="s">
        <v>1929</v>
      </c>
    </row>
    <row r="348" spans="1:6" ht="24.95" customHeight="1" x14ac:dyDescent="0.25">
      <c r="A348" s="84" t="s">
        <v>1925</v>
      </c>
      <c r="B348" s="82">
        <v>0</v>
      </c>
      <c r="C348" s="84" t="s">
        <v>1926</v>
      </c>
      <c r="D348" s="84" t="s">
        <v>539</v>
      </c>
      <c r="E348" s="101">
        <v>3060341248</v>
      </c>
      <c r="F348" s="84" t="s">
        <v>1927</v>
      </c>
    </row>
    <row r="349" spans="1:6" ht="24.95" customHeight="1" x14ac:dyDescent="0.25">
      <c r="A349" s="83" t="s">
        <v>1924</v>
      </c>
      <c r="B349" s="81">
        <v>10666</v>
      </c>
      <c r="C349" s="83" t="s">
        <v>715</v>
      </c>
      <c r="D349" s="83" t="s">
        <v>746</v>
      </c>
      <c r="E349" s="100">
        <v>2420495578</v>
      </c>
      <c r="F349" s="83" t="s">
        <v>561</v>
      </c>
    </row>
    <row r="350" spans="1:6" ht="24.95" customHeight="1" x14ac:dyDescent="0.25">
      <c r="A350" s="84" t="s">
        <v>975</v>
      </c>
      <c r="B350" s="82">
        <v>0</v>
      </c>
      <c r="C350" s="84" t="s">
        <v>715</v>
      </c>
      <c r="D350" s="84" t="s">
        <v>541</v>
      </c>
      <c r="E350" s="101" t="s">
        <v>976</v>
      </c>
      <c r="F350" s="84" t="s">
        <v>561</v>
      </c>
    </row>
    <row r="351" spans="1:6" ht="24.95" customHeight="1" x14ac:dyDescent="0.25">
      <c r="A351" s="83" t="s">
        <v>1304</v>
      </c>
      <c r="B351" s="81">
        <v>0</v>
      </c>
      <c r="C351" s="83" t="s">
        <v>261</v>
      </c>
      <c r="D351" s="83" t="s">
        <v>261</v>
      </c>
      <c r="E351" s="100"/>
      <c r="F351" s="83" t="s">
        <v>1305</v>
      </c>
    </row>
    <row r="352" spans="1:6" ht="24.95" customHeight="1" x14ac:dyDescent="0.25">
      <c r="A352" s="84" t="s">
        <v>977</v>
      </c>
      <c r="B352" s="82">
        <v>0</v>
      </c>
      <c r="C352" s="84" t="s">
        <v>715</v>
      </c>
      <c r="D352" s="84" t="s">
        <v>978</v>
      </c>
      <c r="E352" s="101" t="s">
        <v>979</v>
      </c>
      <c r="F352" s="84" t="s">
        <v>561</v>
      </c>
    </row>
    <row r="353" spans="1:6" ht="24.95" customHeight="1" x14ac:dyDescent="0.25">
      <c r="A353" s="83" t="s">
        <v>1303</v>
      </c>
      <c r="B353" s="81">
        <v>0</v>
      </c>
      <c r="C353" s="83" t="s">
        <v>715</v>
      </c>
      <c r="D353" s="83" t="s">
        <v>186</v>
      </c>
      <c r="E353" s="100"/>
      <c r="F353" s="83" t="s">
        <v>561</v>
      </c>
    </row>
    <row r="354" spans="1:6" ht="24.95" customHeight="1" x14ac:dyDescent="0.25">
      <c r="A354" s="84" t="s">
        <v>1364</v>
      </c>
      <c r="B354" s="82">
        <v>0</v>
      </c>
      <c r="C354" s="84" t="s">
        <v>1366</v>
      </c>
      <c r="D354" s="84" t="s">
        <v>985</v>
      </c>
      <c r="E354" s="101" t="s">
        <v>1365</v>
      </c>
      <c r="F354" s="84" t="s">
        <v>561</v>
      </c>
    </row>
    <row r="355" spans="1:6" ht="24.95" customHeight="1" x14ac:dyDescent="0.25">
      <c r="A355" s="83" t="s">
        <v>1140</v>
      </c>
      <c r="B355" s="81">
        <v>4010504</v>
      </c>
      <c r="C355" s="83" t="s">
        <v>707</v>
      </c>
      <c r="D355" s="83" t="s">
        <v>740</v>
      </c>
      <c r="E355" s="100"/>
      <c r="F355" s="83" t="s">
        <v>561</v>
      </c>
    </row>
    <row r="356" spans="1:6" ht="24.95" customHeight="1" x14ac:dyDescent="0.25">
      <c r="A356" s="84" t="s">
        <v>1688</v>
      </c>
      <c r="B356" s="82">
        <v>0</v>
      </c>
      <c r="C356" s="84" t="s">
        <v>266</v>
      </c>
      <c r="D356" s="84" t="s">
        <v>1689</v>
      </c>
      <c r="E356" s="101"/>
      <c r="F356" s="84" t="s">
        <v>561</v>
      </c>
    </row>
    <row r="357" spans="1:6" ht="24.95" customHeight="1" x14ac:dyDescent="0.25">
      <c r="A357" s="83" t="s">
        <v>1141</v>
      </c>
      <c r="B357" s="81"/>
      <c r="C357" s="83" t="s">
        <v>707</v>
      </c>
      <c r="D357" s="83" t="s">
        <v>740</v>
      </c>
      <c r="E357" s="100"/>
      <c r="F357" s="83" t="s">
        <v>561</v>
      </c>
    </row>
    <row r="358" spans="1:6" ht="24.95" customHeight="1" x14ac:dyDescent="0.25">
      <c r="A358" s="84" t="s">
        <v>1881</v>
      </c>
      <c r="B358" s="82">
        <v>0</v>
      </c>
      <c r="C358" s="84" t="s">
        <v>1759</v>
      </c>
      <c r="D358" s="84" t="s">
        <v>1759</v>
      </c>
      <c r="E358" s="101"/>
      <c r="F358" s="84" t="s">
        <v>561</v>
      </c>
    </row>
    <row r="359" spans="1:6" ht="24.95" customHeight="1" x14ac:dyDescent="0.25">
      <c r="A359" s="83" t="s">
        <v>1540</v>
      </c>
      <c r="B359" s="81">
        <v>0</v>
      </c>
      <c r="C359" s="83" t="s">
        <v>731</v>
      </c>
      <c r="D359" s="83" t="s">
        <v>539</v>
      </c>
      <c r="E359" s="100"/>
      <c r="F359" s="83" t="s">
        <v>561</v>
      </c>
    </row>
    <row r="360" spans="1:6" ht="24.95" customHeight="1" x14ac:dyDescent="0.25">
      <c r="A360" s="84" t="s">
        <v>1236</v>
      </c>
      <c r="B360" s="82">
        <v>20628</v>
      </c>
      <c r="C360" s="84" t="s">
        <v>2003</v>
      </c>
      <c r="D360" s="84" t="s">
        <v>189</v>
      </c>
      <c r="E360" s="101"/>
      <c r="F360" s="84" t="s">
        <v>561</v>
      </c>
    </row>
    <row r="361" spans="1:6" ht="24.95" customHeight="1" x14ac:dyDescent="0.25">
      <c r="A361" s="83" t="s">
        <v>1509</v>
      </c>
      <c r="B361" s="81">
        <v>20760</v>
      </c>
      <c r="C361" s="83" t="s">
        <v>2003</v>
      </c>
      <c r="D361" s="83" t="s">
        <v>541</v>
      </c>
      <c r="E361" s="100" t="s">
        <v>1511</v>
      </c>
      <c r="F361" s="83" t="s">
        <v>561</v>
      </c>
    </row>
    <row r="362" spans="1:6" ht="24.95" customHeight="1" x14ac:dyDescent="0.25">
      <c r="A362" s="84" t="s">
        <v>1508</v>
      </c>
      <c r="B362" s="82">
        <v>20761</v>
      </c>
      <c r="C362" s="84" t="s">
        <v>2003</v>
      </c>
      <c r="D362" s="84" t="s">
        <v>541</v>
      </c>
      <c r="E362" s="101" t="s">
        <v>1510</v>
      </c>
      <c r="F362" s="84" t="s">
        <v>561</v>
      </c>
    </row>
    <row r="363" spans="1:6" ht="24.95" customHeight="1" x14ac:dyDescent="0.25">
      <c r="A363" s="83" t="s">
        <v>1504</v>
      </c>
      <c r="B363" s="81">
        <v>0</v>
      </c>
      <c r="C363" s="83" t="s">
        <v>1505</v>
      </c>
      <c r="D363" s="83"/>
      <c r="E363" s="100" t="s">
        <v>1506</v>
      </c>
      <c r="F363" s="83" t="s">
        <v>561</v>
      </c>
    </row>
    <row r="364" spans="1:6" ht="24.95" customHeight="1" x14ac:dyDescent="0.25">
      <c r="A364" s="84" t="s">
        <v>1503</v>
      </c>
      <c r="B364" s="82">
        <v>20641</v>
      </c>
      <c r="C364" s="84" t="s">
        <v>2003</v>
      </c>
      <c r="D364" s="84" t="s">
        <v>189</v>
      </c>
      <c r="E364" s="101"/>
      <c r="F364" s="84" t="s">
        <v>561</v>
      </c>
    </row>
    <row r="365" spans="1:6" ht="24.95" customHeight="1" x14ac:dyDescent="0.25">
      <c r="A365" s="83" t="s">
        <v>1923</v>
      </c>
      <c r="B365" s="81">
        <v>100656</v>
      </c>
      <c r="C365" s="83" t="s">
        <v>731</v>
      </c>
      <c r="D365" s="83" t="s">
        <v>539</v>
      </c>
      <c r="E365" s="100">
        <v>4660217991</v>
      </c>
      <c r="F365" s="83" t="s">
        <v>561</v>
      </c>
    </row>
    <row r="366" spans="1:6" ht="24.95" customHeight="1" x14ac:dyDescent="0.25">
      <c r="A366" s="84" t="s">
        <v>114</v>
      </c>
      <c r="B366" s="82" t="s">
        <v>321</v>
      </c>
      <c r="C366" s="84" t="s">
        <v>707</v>
      </c>
      <c r="D366" s="84" t="s">
        <v>710</v>
      </c>
      <c r="E366" s="101"/>
      <c r="F366" s="84" t="s">
        <v>658</v>
      </c>
    </row>
    <row r="367" spans="1:6" ht="24.95" customHeight="1" x14ac:dyDescent="0.25">
      <c r="A367" s="83" t="s">
        <v>115</v>
      </c>
      <c r="B367" s="81">
        <v>935</v>
      </c>
      <c r="C367" s="83" t="s">
        <v>707</v>
      </c>
      <c r="D367" s="83" t="s">
        <v>539</v>
      </c>
      <c r="E367" s="100"/>
      <c r="F367" s="83" t="s">
        <v>1624</v>
      </c>
    </row>
    <row r="368" spans="1:6" ht="24.95" customHeight="1" x14ac:dyDescent="0.25">
      <c r="A368" s="84" t="s">
        <v>20</v>
      </c>
      <c r="B368" s="82">
        <v>758</v>
      </c>
      <c r="C368" s="84" t="s">
        <v>707</v>
      </c>
      <c r="D368" s="84" t="s">
        <v>787</v>
      </c>
      <c r="E368" s="101"/>
      <c r="F368" s="84" t="s">
        <v>658</v>
      </c>
    </row>
    <row r="369" spans="1:6" ht="24.95" customHeight="1" x14ac:dyDescent="0.25">
      <c r="A369" s="83" t="s">
        <v>1403</v>
      </c>
      <c r="B369" s="81" t="s">
        <v>1404</v>
      </c>
      <c r="C369" s="83" t="s">
        <v>707</v>
      </c>
      <c r="D369" s="83"/>
      <c r="E369" s="100" t="s">
        <v>1405</v>
      </c>
      <c r="F369" s="83" t="s">
        <v>1400</v>
      </c>
    </row>
    <row r="370" spans="1:6" ht="24.95" customHeight="1" x14ac:dyDescent="0.25">
      <c r="A370" s="84" t="s">
        <v>660</v>
      </c>
      <c r="B370" s="82" t="s">
        <v>1719</v>
      </c>
      <c r="C370" s="84" t="s">
        <v>707</v>
      </c>
      <c r="D370" s="84" t="s">
        <v>717</v>
      </c>
      <c r="E370" s="101"/>
      <c r="F370" s="84" t="s">
        <v>1624</v>
      </c>
    </row>
    <row r="371" spans="1:6" ht="24.95" customHeight="1" x14ac:dyDescent="0.25">
      <c r="A371" s="83" t="s">
        <v>659</v>
      </c>
      <c r="B371" s="81">
        <v>577</v>
      </c>
      <c r="C371" s="83" t="s">
        <v>707</v>
      </c>
      <c r="D371" s="83" t="s">
        <v>788</v>
      </c>
      <c r="E371" s="100"/>
      <c r="F371" s="83" t="s">
        <v>1624</v>
      </c>
    </row>
    <row r="372" spans="1:6" ht="24.95" customHeight="1" x14ac:dyDescent="0.25">
      <c r="A372" s="84" t="s">
        <v>661</v>
      </c>
      <c r="B372" s="82"/>
      <c r="C372" s="84" t="s">
        <v>789</v>
      </c>
      <c r="D372" s="84" t="s">
        <v>790</v>
      </c>
      <c r="E372" s="101"/>
      <c r="F372" s="84" t="s">
        <v>658</v>
      </c>
    </row>
    <row r="373" spans="1:6" ht="24.95" customHeight="1" x14ac:dyDescent="0.25">
      <c r="A373" s="83" t="s">
        <v>419</v>
      </c>
      <c r="B373" s="81"/>
      <c r="C373" s="83" t="s">
        <v>707</v>
      </c>
      <c r="D373" s="83" t="s">
        <v>791</v>
      </c>
      <c r="E373" s="100"/>
      <c r="F373" s="83" t="s">
        <v>658</v>
      </c>
    </row>
    <row r="374" spans="1:6" ht="24.95" customHeight="1" x14ac:dyDescent="0.25">
      <c r="A374" s="84" t="s">
        <v>662</v>
      </c>
      <c r="B374" s="82">
        <v>513</v>
      </c>
      <c r="C374" s="84" t="s">
        <v>707</v>
      </c>
      <c r="D374" s="84" t="s">
        <v>915</v>
      </c>
      <c r="E374" s="101"/>
      <c r="F374" s="84" t="s">
        <v>923</v>
      </c>
    </row>
    <row r="375" spans="1:6" ht="24.95" customHeight="1" x14ac:dyDescent="0.25">
      <c r="A375" s="83" t="s">
        <v>38</v>
      </c>
      <c r="B375" s="81">
        <v>932</v>
      </c>
      <c r="C375" s="83" t="s">
        <v>707</v>
      </c>
      <c r="D375" s="83" t="s">
        <v>188</v>
      </c>
      <c r="E375" s="100"/>
      <c r="F375" s="83" t="s">
        <v>663</v>
      </c>
    </row>
    <row r="376" spans="1:6" ht="24.95" customHeight="1" x14ac:dyDescent="0.25">
      <c r="A376" s="84" t="s">
        <v>664</v>
      </c>
      <c r="B376" s="82" t="s">
        <v>792</v>
      </c>
      <c r="C376" s="84" t="s">
        <v>220</v>
      </c>
      <c r="D376" s="84" t="s">
        <v>220</v>
      </c>
      <c r="E376" s="101"/>
      <c r="F376" s="84" t="s">
        <v>663</v>
      </c>
    </row>
    <row r="377" spans="1:6" ht="24.95" customHeight="1" x14ac:dyDescent="0.25">
      <c r="A377" s="83" t="s">
        <v>665</v>
      </c>
      <c r="B377" s="81" t="s">
        <v>792</v>
      </c>
      <c r="C377" s="83" t="s">
        <v>220</v>
      </c>
      <c r="D377" s="83" t="s">
        <v>220</v>
      </c>
      <c r="E377" s="100"/>
      <c r="F377" s="83" t="s">
        <v>663</v>
      </c>
    </row>
    <row r="378" spans="1:6" ht="24.95" customHeight="1" x14ac:dyDescent="0.25">
      <c r="A378" s="84" t="s">
        <v>666</v>
      </c>
      <c r="B378" s="82">
        <v>5024</v>
      </c>
      <c r="C378" s="84" t="s">
        <v>707</v>
      </c>
      <c r="D378" s="84" t="s">
        <v>539</v>
      </c>
      <c r="E378" s="101"/>
      <c r="F378" s="84" t="s">
        <v>663</v>
      </c>
    </row>
    <row r="379" spans="1:6" ht="24.95" customHeight="1" x14ac:dyDescent="0.25">
      <c r="A379" s="83" t="s">
        <v>39</v>
      </c>
      <c r="B379" s="81">
        <v>1301</v>
      </c>
      <c r="C379" s="83" t="s">
        <v>707</v>
      </c>
      <c r="D379" s="83" t="s">
        <v>793</v>
      </c>
      <c r="E379" s="100"/>
      <c r="F379" s="83" t="s">
        <v>663</v>
      </c>
    </row>
    <row r="380" spans="1:6" ht="24.95" customHeight="1" x14ac:dyDescent="0.25">
      <c r="A380" s="84" t="s">
        <v>40</v>
      </c>
      <c r="B380" s="82">
        <v>1348</v>
      </c>
      <c r="C380" s="84" t="s">
        <v>707</v>
      </c>
      <c r="D380" s="84" t="s">
        <v>189</v>
      </c>
      <c r="E380" s="101"/>
      <c r="F380" s="84" t="s">
        <v>663</v>
      </c>
    </row>
    <row r="381" spans="1:6" ht="24.95" customHeight="1" x14ac:dyDescent="0.25">
      <c r="A381" s="83" t="s">
        <v>41</v>
      </c>
      <c r="B381" s="81">
        <v>1573</v>
      </c>
      <c r="C381" s="83" t="s">
        <v>707</v>
      </c>
      <c r="D381" s="83" t="s">
        <v>543</v>
      </c>
      <c r="E381" s="100"/>
      <c r="F381" s="83" t="s">
        <v>663</v>
      </c>
    </row>
    <row r="382" spans="1:6" ht="24.95" customHeight="1" x14ac:dyDescent="0.25">
      <c r="A382" s="84" t="s">
        <v>667</v>
      </c>
      <c r="B382" s="82" t="s">
        <v>443</v>
      </c>
      <c r="C382" s="84" t="s">
        <v>707</v>
      </c>
      <c r="D382" s="84" t="s">
        <v>794</v>
      </c>
      <c r="E382" s="101"/>
      <c r="F382" s="84" t="s">
        <v>663</v>
      </c>
    </row>
    <row r="383" spans="1:6" ht="24.95" customHeight="1" x14ac:dyDescent="0.25">
      <c r="A383" s="83" t="s">
        <v>668</v>
      </c>
      <c r="B383" s="81" t="s">
        <v>792</v>
      </c>
      <c r="C383" s="83" t="s">
        <v>220</v>
      </c>
      <c r="D383" s="83" t="s">
        <v>220</v>
      </c>
      <c r="E383" s="100"/>
      <c r="F383" s="83" t="s">
        <v>663</v>
      </c>
    </row>
    <row r="384" spans="1:6" ht="24.95" customHeight="1" x14ac:dyDescent="0.25">
      <c r="A384" s="84" t="s">
        <v>165</v>
      </c>
      <c r="B384" s="82">
        <v>4030504</v>
      </c>
      <c r="C384" s="84" t="s">
        <v>707</v>
      </c>
      <c r="D384" s="84" t="s">
        <v>543</v>
      </c>
      <c r="E384" s="101"/>
      <c r="F384" s="84" t="s">
        <v>663</v>
      </c>
    </row>
    <row r="385" spans="1:6" ht="24.95" customHeight="1" x14ac:dyDescent="0.25">
      <c r="A385" s="83" t="s">
        <v>42</v>
      </c>
      <c r="B385" s="81">
        <v>20201</v>
      </c>
      <c r="C385" s="83" t="s">
        <v>2003</v>
      </c>
      <c r="D385" s="83" t="s">
        <v>540</v>
      </c>
      <c r="E385" s="100"/>
      <c r="F385" s="83" t="s">
        <v>663</v>
      </c>
    </row>
    <row r="386" spans="1:6" ht="24.95" customHeight="1" x14ac:dyDescent="0.25">
      <c r="A386" s="84" t="s">
        <v>669</v>
      </c>
      <c r="B386" s="82" t="s">
        <v>792</v>
      </c>
      <c r="C386" s="84" t="s">
        <v>220</v>
      </c>
      <c r="D386" s="84" t="s">
        <v>220</v>
      </c>
      <c r="E386" s="101"/>
      <c r="F386" s="84" t="s">
        <v>663</v>
      </c>
    </row>
    <row r="387" spans="1:6" ht="24.95" customHeight="1" x14ac:dyDescent="0.25">
      <c r="A387" s="83" t="s">
        <v>670</v>
      </c>
      <c r="B387" s="81" t="s">
        <v>795</v>
      </c>
      <c r="C387" s="83" t="s">
        <v>707</v>
      </c>
      <c r="D387" s="83" t="s">
        <v>796</v>
      </c>
      <c r="E387" s="100"/>
      <c r="F387" s="83" t="s">
        <v>663</v>
      </c>
    </row>
    <row r="388" spans="1:6" ht="24.95" customHeight="1" x14ac:dyDescent="0.25">
      <c r="A388" s="84" t="s">
        <v>671</v>
      </c>
      <c r="B388" s="82" t="s">
        <v>792</v>
      </c>
      <c r="C388" s="84" t="s">
        <v>220</v>
      </c>
      <c r="D388" s="84" t="s">
        <v>220</v>
      </c>
      <c r="E388" s="101"/>
      <c r="F388" s="84" t="s">
        <v>663</v>
      </c>
    </row>
    <row r="389" spans="1:6" ht="24.95" customHeight="1" x14ac:dyDescent="0.25">
      <c r="A389" s="83" t="s">
        <v>128</v>
      </c>
      <c r="B389" s="81">
        <v>2219</v>
      </c>
      <c r="C389" s="83" t="s">
        <v>707</v>
      </c>
      <c r="D389" s="83" t="s">
        <v>797</v>
      </c>
      <c r="E389" s="100"/>
      <c r="F389" s="83" t="s">
        <v>1121</v>
      </c>
    </row>
    <row r="390" spans="1:6" ht="24.95" customHeight="1" x14ac:dyDescent="0.25">
      <c r="A390" s="84" t="s">
        <v>1652</v>
      </c>
      <c r="B390" s="82">
        <v>20987</v>
      </c>
      <c r="C390" s="84" t="s">
        <v>2003</v>
      </c>
      <c r="D390" s="84" t="s">
        <v>710</v>
      </c>
      <c r="E390" s="101"/>
      <c r="F390" s="84" t="s">
        <v>663</v>
      </c>
    </row>
    <row r="391" spans="1:6" ht="24.95" customHeight="1" x14ac:dyDescent="0.25">
      <c r="A391" s="83" t="s">
        <v>672</v>
      </c>
      <c r="B391" s="81">
        <v>20204</v>
      </c>
      <c r="C391" s="83" t="s">
        <v>798</v>
      </c>
      <c r="D391" s="83" t="s">
        <v>189</v>
      </c>
      <c r="E391" s="100"/>
      <c r="F391" s="83" t="s">
        <v>663</v>
      </c>
    </row>
    <row r="392" spans="1:6" ht="24.95" customHeight="1" x14ac:dyDescent="0.25">
      <c r="A392" s="84" t="s">
        <v>673</v>
      </c>
      <c r="B392" s="82" t="s">
        <v>792</v>
      </c>
      <c r="C392" s="84" t="s">
        <v>220</v>
      </c>
      <c r="D392" s="84" t="s">
        <v>220</v>
      </c>
      <c r="E392" s="101"/>
      <c r="F392" s="84" t="s">
        <v>663</v>
      </c>
    </row>
    <row r="393" spans="1:6" ht="24.95" customHeight="1" x14ac:dyDescent="0.25">
      <c r="A393" s="83" t="s">
        <v>674</v>
      </c>
      <c r="B393" s="81">
        <v>4000515</v>
      </c>
      <c r="C393" s="83" t="s">
        <v>707</v>
      </c>
      <c r="D393" s="83" t="s">
        <v>722</v>
      </c>
      <c r="E393" s="100"/>
      <c r="F393" s="83" t="s">
        <v>663</v>
      </c>
    </row>
    <row r="394" spans="1:6" ht="24.95" customHeight="1" x14ac:dyDescent="0.25">
      <c r="A394" s="84" t="s">
        <v>675</v>
      </c>
      <c r="B394" s="82" t="s">
        <v>792</v>
      </c>
      <c r="C394" s="84" t="s">
        <v>220</v>
      </c>
      <c r="D394" s="84" t="s">
        <v>220</v>
      </c>
      <c r="E394" s="101"/>
      <c r="F394" s="84" t="s">
        <v>663</v>
      </c>
    </row>
    <row r="395" spans="1:6" ht="24.95" customHeight="1" x14ac:dyDescent="0.25">
      <c r="A395" s="83" t="s">
        <v>136</v>
      </c>
      <c r="B395" s="81">
        <v>528</v>
      </c>
      <c r="C395" s="83" t="s">
        <v>707</v>
      </c>
      <c r="D395" s="83" t="s">
        <v>799</v>
      </c>
      <c r="E395" s="100"/>
      <c r="F395" s="83" t="s">
        <v>663</v>
      </c>
    </row>
    <row r="396" spans="1:6" ht="24.95" customHeight="1" x14ac:dyDescent="0.25">
      <c r="A396" s="84" t="s">
        <v>676</v>
      </c>
      <c r="B396" s="82">
        <v>637</v>
      </c>
      <c r="C396" s="84" t="s">
        <v>707</v>
      </c>
      <c r="D396" s="84" t="s">
        <v>800</v>
      </c>
      <c r="E396" s="101"/>
      <c r="F396" s="84" t="s">
        <v>663</v>
      </c>
    </row>
    <row r="397" spans="1:6" ht="24.95" customHeight="1" x14ac:dyDescent="0.25">
      <c r="A397" s="83" t="s">
        <v>677</v>
      </c>
      <c r="B397" s="81">
        <v>4010606</v>
      </c>
      <c r="C397" s="83" t="s">
        <v>707</v>
      </c>
      <c r="D397" s="83" t="s">
        <v>539</v>
      </c>
      <c r="E397" s="100"/>
      <c r="F397" s="83" t="s">
        <v>663</v>
      </c>
    </row>
    <row r="398" spans="1:6" ht="24.95" customHeight="1" x14ac:dyDescent="0.25">
      <c r="A398" s="84" t="s">
        <v>678</v>
      </c>
      <c r="B398" s="82" t="s">
        <v>366</v>
      </c>
      <c r="C398" s="84" t="s">
        <v>707</v>
      </c>
      <c r="D398" s="84" t="s">
        <v>801</v>
      </c>
      <c r="E398" s="101"/>
      <c r="F398" s="84" t="s">
        <v>663</v>
      </c>
    </row>
    <row r="399" spans="1:6" ht="24.95" customHeight="1" x14ac:dyDescent="0.25">
      <c r="A399" s="83" t="s">
        <v>129</v>
      </c>
      <c r="B399" s="81">
        <v>991002</v>
      </c>
      <c r="C399" s="83" t="s">
        <v>707</v>
      </c>
      <c r="D399" s="83" t="s">
        <v>741</v>
      </c>
      <c r="E399" s="100"/>
      <c r="F399" s="83" t="s">
        <v>663</v>
      </c>
    </row>
    <row r="400" spans="1:6" ht="24.95" customHeight="1" x14ac:dyDescent="0.25">
      <c r="A400" s="84" t="s">
        <v>679</v>
      </c>
      <c r="B400" s="82">
        <v>1507</v>
      </c>
      <c r="C400" s="84" t="s">
        <v>707</v>
      </c>
      <c r="D400" s="84" t="s">
        <v>449</v>
      </c>
      <c r="E400" s="101"/>
      <c r="F400" s="84" t="s">
        <v>663</v>
      </c>
    </row>
    <row r="401" spans="1:6" ht="24.95" customHeight="1" x14ac:dyDescent="0.25">
      <c r="A401" s="83" t="s">
        <v>682</v>
      </c>
      <c r="B401" s="81">
        <v>835</v>
      </c>
      <c r="C401" s="83" t="s">
        <v>707</v>
      </c>
      <c r="D401" s="83" t="s">
        <v>802</v>
      </c>
      <c r="E401" s="100"/>
      <c r="F401" s="83" t="s">
        <v>663</v>
      </c>
    </row>
    <row r="402" spans="1:6" ht="24.95" customHeight="1" x14ac:dyDescent="0.25">
      <c r="A402" s="84" t="s">
        <v>683</v>
      </c>
      <c r="B402" s="82">
        <v>1536</v>
      </c>
      <c r="C402" s="84" t="s">
        <v>707</v>
      </c>
      <c r="D402" s="84" t="s">
        <v>189</v>
      </c>
      <c r="E402" s="101"/>
      <c r="F402" s="84" t="s">
        <v>803</v>
      </c>
    </row>
    <row r="403" spans="1:6" ht="24.95" customHeight="1" x14ac:dyDescent="0.25">
      <c r="A403" s="83" t="s">
        <v>684</v>
      </c>
      <c r="B403" s="81" t="s">
        <v>792</v>
      </c>
      <c r="C403" s="83" t="s">
        <v>220</v>
      </c>
      <c r="D403" s="83" t="s">
        <v>220</v>
      </c>
      <c r="E403" s="100"/>
      <c r="F403" s="83" t="s">
        <v>803</v>
      </c>
    </row>
    <row r="404" spans="1:6" ht="24.95" customHeight="1" x14ac:dyDescent="0.25">
      <c r="A404" s="84" t="s">
        <v>685</v>
      </c>
      <c r="B404" s="82" t="s">
        <v>345</v>
      </c>
      <c r="C404" s="84" t="s">
        <v>707</v>
      </c>
      <c r="D404" s="84" t="s">
        <v>722</v>
      </c>
      <c r="E404" s="101"/>
      <c r="F404" s="84" t="s">
        <v>803</v>
      </c>
    </row>
    <row r="405" spans="1:6" ht="24.95" customHeight="1" x14ac:dyDescent="0.25">
      <c r="A405" s="83" t="s">
        <v>686</v>
      </c>
      <c r="B405" s="81">
        <v>1901</v>
      </c>
      <c r="C405" s="83" t="s">
        <v>707</v>
      </c>
      <c r="D405" s="83" t="s">
        <v>543</v>
      </c>
      <c r="E405" s="100"/>
      <c r="F405" s="83" t="s">
        <v>803</v>
      </c>
    </row>
    <row r="406" spans="1:6" ht="24.95" customHeight="1" x14ac:dyDescent="0.25">
      <c r="A406" s="84" t="s">
        <v>687</v>
      </c>
      <c r="B406" s="82">
        <v>1902</v>
      </c>
      <c r="C406" s="84" t="s">
        <v>707</v>
      </c>
      <c r="D406" s="84" t="s">
        <v>189</v>
      </c>
      <c r="E406" s="101"/>
      <c r="F406" s="84" t="s">
        <v>803</v>
      </c>
    </row>
    <row r="407" spans="1:6" ht="24.95" customHeight="1" x14ac:dyDescent="0.25">
      <c r="A407" s="83" t="s">
        <v>688</v>
      </c>
      <c r="B407" s="81">
        <v>165</v>
      </c>
      <c r="C407" s="83" t="s">
        <v>707</v>
      </c>
      <c r="D407" s="83" t="s">
        <v>804</v>
      </c>
      <c r="E407" s="100"/>
      <c r="F407" s="83" t="s">
        <v>803</v>
      </c>
    </row>
    <row r="408" spans="1:6" ht="24.95" customHeight="1" x14ac:dyDescent="0.25">
      <c r="A408" s="84" t="s">
        <v>689</v>
      </c>
      <c r="B408" s="82" t="s">
        <v>343</v>
      </c>
      <c r="C408" s="84" t="s">
        <v>707</v>
      </c>
      <c r="D408" s="84" t="s">
        <v>539</v>
      </c>
      <c r="E408" s="101"/>
      <c r="F408" s="84" t="s">
        <v>803</v>
      </c>
    </row>
    <row r="409" spans="1:6" ht="24.95" customHeight="1" x14ac:dyDescent="0.25">
      <c r="A409" s="83" t="s">
        <v>43</v>
      </c>
      <c r="B409" s="81" t="s">
        <v>792</v>
      </c>
      <c r="C409" s="83" t="s">
        <v>220</v>
      </c>
      <c r="D409" s="83" t="s">
        <v>220</v>
      </c>
      <c r="E409" s="100"/>
      <c r="F409" s="83" t="s">
        <v>803</v>
      </c>
    </row>
    <row r="410" spans="1:6" ht="24.95" customHeight="1" x14ac:dyDescent="0.25">
      <c r="A410" s="84" t="s">
        <v>690</v>
      </c>
      <c r="B410" s="82" t="s">
        <v>792</v>
      </c>
      <c r="C410" s="84" t="s">
        <v>220</v>
      </c>
      <c r="D410" s="84" t="s">
        <v>220</v>
      </c>
      <c r="E410" s="101"/>
      <c r="F410" s="84" t="s">
        <v>803</v>
      </c>
    </row>
    <row r="411" spans="1:6" ht="24.95" customHeight="1" x14ac:dyDescent="0.25">
      <c r="A411" s="83" t="s">
        <v>44</v>
      </c>
      <c r="B411" s="81" t="s">
        <v>792</v>
      </c>
      <c r="C411" s="83" t="s">
        <v>220</v>
      </c>
      <c r="D411" s="83" t="s">
        <v>220</v>
      </c>
      <c r="E411" s="100"/>
      <c r="F411" s="83" t="s">
        <v>803</v>
      </c>
    </row>
    <row r="412" spans="1:6" ht="24.95" customHeight="1" x14ac:dyDescent="0.25">
      <c r="A412" s="84" t="s">
        <v>684</v>
      </c>
      <c r="B412" s="82" t="s">
        <v>792</v>
      </c>
      <c r="C412" s="84" t="s">
        <v>220</v>
      </c>
      <c r="D412" s="84" t="s">
        <v>220</v>
      </c>
      <c r="E412" s="101"/>
      <c r="F412" s="84" t="s">
        <v>803</v>
      </c>
    </row>
    <row r="413" spans="1:6" ht="24.95" customHeight="1" x14ac:dyDescent="0.25">
      <c r="A413" s="83" t="s">
        <v>45</v>
      </c>
      <c r="B413" s="81" t="s">
        <v>792</v>
      </c>
      <c r="C413" s="83" t="s">
        <v>220</v>
      </c>
      <c r="D413" s="83" t="s">
        <v>220</v>
      </c>
      <c r="E413" s="100"/>
      <c r="F413" s="83" t="s">
        <v>803</v>
      </c>
    </row>
    <row r="414" spans="1:6" ht="24.95" customHeight="1" x14ac:dyDescent="0.25">
      <c r="A414" s="84" t="s">
        <v>691</v>
      </c>
      <c r="B414" s="82" t="s">
        <v>792</v>
      </c>
      <c r="C414" s="84" t="s">
        <v>220</v>
      </c>
      <c r="D414" s="84" t="s">
        <v>805</v>
      </c>
      <c r="E414" s="101"/>
      <c r="F414" s="84" t="s">
        <v>803</v>
      </c>
    </row>
    <row r="415" spans="1:6" ht="24.95" customHeight="1" x14ac:dyDescent="0.25">
      <c r="A415" s="83" t="s">
        <v>684</v>
      </c>
      <c r="B415" s="81" t="s">
        <v>792</v>
      </c>
      <c r="C415" s="83" t="s">
        <v>220</v>
      </c>
      <c r="D415" s="83" t="s">
        <v>806</v>
      </c>
      <c r="E415" s="100"/>
      <c r="F415" s="83" t="s">
        <v>803</v>
      </c>
    </row>
    <row r="416" spans="1:6" ht="24.95" customHeight="1" x14ac:dyDescent="0.25">
      <c r="A416" s="84" t="s">
        <v>692</v>
      </c>
      <c r="B416" s="82" t="s">
        <v>340</v>
      </c>
      <c r="C416" s="84" t="s">
        <v>707</v>
      </c>
      <c r="D416" s="84" t="s">
        <v>186</v>
      </c>
      <c r="E416" s="101"/>
      <c r="F416" s="84" t="s">
        <v>803</v>
      </c>
    </row>
    <row r="417" spans="1:6" ht="24.95" customHeight="1" x14ac:dyDescent="0.25">
      <c r="A417" s="83" t="s">
        <v>693</v>
      </c>
      <c r="B417" s="81">
        <v>98137</v>
      </c>
      <c r="C417" s="83" t="s">
        <v>707</v>
      </c>
      <c r="D417" s="83" t="s">
        <v>807</v>
      </c>
      <c r="E417" s="100"/>
      <c r="F417" s="83" t="s">
        <v>803</v>
      </c>
    </row>
    <row r="418" spans="1:6" ht="24.95" customHeight="1" x14ac:dyDescent="0.25">
      <c r="A418" s="84" t="s">
        <v>47</v>
      </c>
      <c r="B418" s="82" t="s">
        <v>792</v>
      </c>
      <c r="C418" s="84" t="s">
        <v>220</v>
      </c>
      <c r="D418" s="84" t="s">
        <v>220</v>
      </c>
      <c r="E418" s="101"/>
      <c r="F418" s="84" t="s">
        <v>803</v>
      </c>
    </row>
    <row r="419" spans="1:6" ht="24.95" customHeight="1" x14ac:dyDescent="0.25">
      <c r="A419" s="83" t="s">
        <v>48</v>
      </c>
      <c r="B419" s="81" t="s">
        <v>792</v>
      </c>
      <c r="C419" s="83" t="s">
        <v>220</v>
      </c>
      <c r="D419" s="83" t="s">
        <v>220</v>
      </c>
      <c r="E419" s="100"/>
      <c r="F419" s="83" t="s">
        <v>803</v>
      </c>
    </row>
    <row r="420" spans="1:6" ht="24.95" customHeight="1" x14ac:dyDescent="0.25">
      <c r="A420" s="84" t="s">
        <v>49</v>
      </c>
      <c r="B420" s="82" t="s">
        <v>792</v>
      </c>
      <c r="C420" s="84" t="s">
        <v>220</v>
      </c>
      <c r="D420" s="84" t="s">
        <v>220</v>
      </c>
      <c r="E420" s="101"/>
      <c r="F420" s="84" t="s">
        <v>803</v>
      </c>
    </row>
    <row r="421" spans="1:6" ht="24.95" customHeight="1" x14ac:dyDescent="0.25">
      <c r="A421" s="83" t="s">
        <v>694</v>
      </c>
      <c r="B421" s="81">
        <v>1919</v>
      </c>
      <c r="C421" s="83" t="s">
        <v>707</v>
      </c>
      <c r="D421" s="83" t="s">
        <v>808</v>
      </c>
      <c r="E421" s="100"/>
      <c r="F421" s="83" t="s">
        <v>803</v>
      </c>
    </row>
    <row r="422" spans="1:6" ht="24.95" customHeight="1" x14ac:dyDescent="0.25">
      <c r="A422" s="84" t="s">
        <v>257</v>
      </c>
      <c r="B422" s="82" t="s">
        <v>822</v>
      </c>
      <c r="C422" s="84" t="s">
        <v>707</v>
      </c>
      <c r="D422" s="84" t="s">
        <v>185</v>
      </c>
      <c r="E422" s="101"/>
      <c r="F422" s="84" t="s">
        <v>803</v>
      </c>
    </row>
    <row r="423" spans="1:6" ht="24.95" customHeight="1" x14ac:dyDescent="0.25">
      <c r="A423" s="83" t="s">
        <v>695</v>
      </c>
      <c r="B423" s="81">
        <v>20186</v>
      </c>
      <c r="C423" s="83" t="s">
        <v>2003</v>
      </c>
      <c r="D423" s="83" t="s">
        <v>194</v>
      </c>
      <c r="E423" s="100"/>
      <c r="F423" s="83" t="s">
        <v>803</v>
      </c>
    </row>
    <row r="424" spans="1:6" ht="24.95" customHeight="1" x14ac:dyDescent="0.25">
      <c r="A424" s="84" t="s">
        <v>696</v>
      </c>
      <c r="B424" s="82">
        <v>1770</v>
      </c>
      <c r="C424" s="84" t="s">
        <v>707</v>
      </c>
      <c r="D424" s="84" t="s">
        <v>186</v>
      </c>
      <c r="E424" s="101"/>
      <c r="F424" s="84" t="s">
        <v>803</v>
      </c>
    </row>
    <row r="425" spans="1:6" ht="24.95" customHeight="1" x14ac:dyDescent="0.25">
      <c r="A425" s="83" t="s">
        <v>133</v>
      </c>
      <c r="B425" s="81"/>
      <c r="C425" s="83"/>
      <c r="D425" s="83"/>
      <c r="E425" s="100"/>
      <c r="F425" s="83" t="s">
        <v>803</v>
      </c>
    </row>
    <row r="426" spans="1:6" ht="24.95" customHeight="1" x14ac:dyDescent="0.25">
      <c r="A426" s="84" t="s">
        <v>132</v>
      </c>
      <c r="B426" s="82">
        <v>20192</v>
      </c>
      <c r="C426" s="84" t="s">
        <v>2003</v>
      </c>
      <c r="D426" s="84" t="s">
        <v>793</v>
      </c>
      <c r="E426" s="101"/>
      <c r="F426" s="84" t="s">
        <v>803</v>
      </c>
    </row>
    <row r="427" spans="1:6" ht="24.95" customHeight="1" x14ac:dyDescent="0.25">
      <c r="A427" s="83" t="s">
        <v>697</v>
      </c>
      <c r="B427" s="81" t="s">
        <v>792</v>
      </c>
      <c r="C427" s="83" t="s">
        <v>220</v>
      </c>
      <c r="D427" s="83" t="s">
        <v>220</v>
      </c>
      <c r="E427" s="100"/>
      <c r="F427" s="83" t="s">
        <v>803</v>
      </c>
    </row>
    <row r="428" spans="1:6" ht="24.95" customHeight="1" x14ac:dyDescent="0.25">
      <c r="A428" s="84" t="s">
        <v>698</v>
      </c>
      <c r="B428" s="82">
        <v>1940</v>
      </c>
      <c r="C428" s="84" t="s">
        <v>707</v>
      </c>
      <c r="D428" s="84" t="s">
        <v>185</v>
      </c>
      <c r="E428" s="101"/>
      <c r="F428" s="84" t="s">
        <v>803</v>
      </c>
    </row>
    <row r="429" spans="1:6" ht="24.95" customHeight="1" x14ac:dyDescent="0.25">
      <c r="A429" s="83" t="s">
        <v>1994</v>
      </c>
      <c r="B429" s="81" t="s">
        <v>342</v>
      </c>
      <c r="C429" s="83" t="s">
        <v>707</v>
      </c>
      <c r="D429" s="83" t="s">
        <v>539</v>
      </c>
      <c r="E429" s="100"/>
      <c r="F429" s="83" t="s">
        <v>803</v>
      </c>
    </row>
    <row r="430" spans="1:6" ht="24.95" customHeight="1" x14ac:dyDescent="0.25">
      <c r="A430" s="84" t="s">
        <v>246</v>
      </c>
      <c r="B430" s="82">
        <v>20441</v>
      </c>
      <c r="C430" s="84" t="s">
        <v>2003</v>
      </c>
      <c r="D430" s="84" t="s">
        <v>547</v>
      </c>
      <c r="E430" s="101"/>
      <c r="F430" s="84" t="s">
        <v>803</v>
      </c>
    </row>
    <row r="431" spans="1:6" ht="24.95" customHeight="1" x14ac:dyDescent="0.25">
      <c r="A431" s="83" t="s">
        <v>699</v>
      </c>
      <c r="B431" s="81" t="s">
        <v>792</v>
      </c>
      <c r="C431" s="83" t="s">
        <v>220</v>
      </c>
      <c r="D431" s="83" t="s">
        <v>220</v>
      </c>
      <c r="E431" s="100"/>
      <c r="F431" s="83" t="s">
        <v>803</v>
      </c>
    </row>
    <row r="432" spans="1:6" ht="24.95" customHeight="1" x14ac:dyDescent="0.25">
      <c r="A432" s="84" t="s">
        <v>700</v>
      </c>
      <c r="B432" s="82" t="s">
        <v>792</v>
      </c>
      <c r="C432" s="84" t="s">
        <v>220</v>
      </c>
      <c r="D432" s="84" t="s">
        <v>220</v>
      </c>
      <c r="E432" s="101"/>
      <c r="F432" s="84" t="s">
        <v>803</v>
      </c>
    </row>
    <row r="433" spans="1:6" ht="24.95" customHeight="1" x14ac:dyDescent="0.25">
      <c r="A433" s="83" t="s">
        <v>701</v>
      </c>
      <c r="B433" s="81" t="s">
        <v>792</v>
      </c>
      <c r="C433" s="83" t="s">
        <v>220</v>
      </c>
      <c r="D433" s="83" t="s">
        <v>220</v>
      </c>
      <c r="E433" s="100"/>
      <c r="F433" s="83" t="s">
        <v>803</v>
      </c>
    </row>
    <row r="434" spans="1:6" ht="24.95" customHeight="1" x14ac:dyDescent="0.25">
      <c r="A434" s="84" t="s">
        <v>702</v>
      </c>
      <c r="B434" s="82" t="s">
        <v>792</v>
      </c>
      <c r="C434" s="84" t="s">
        <v>220</v>
      </c>
      <c r="D434" s="84" t="s">
        <v>220</v>
      </c>
      <c r="E434" s="101"/>
      <c r="F434" s="84" t="s">
        <v>803</v>
      </c>
    </row>
    <row r="435" spans="1:6" ht="24.95" customHeight="1" x14ac:dyDescent="0.25">
      <c r="A435" s="83" t="s">
        <v>703</v>
      </c>
      <c r="B435" s="81">
        <v>4001004</v>
      </c>
      <c r="C435" s="83" t="s">
        <v>707</v>
      </c>
      <c r="D435" s="83" t="s">
        <v>188</v>
      </c>
      <c r="E435" s="100"/>
      <c r="F435" s="83" t="s">
        <v>803</v>
      </c>
    </row>
    <row r="436" spans="1:6" ht="24.95" customHeight="1" x14ac:dyDescent="0.25">
      <c r="A436" s="84" t="s">
        <v>328</v>
      </c>
      <c r="B436" s="82">
        <v>1505</v>
      </c>
      <c r="C436" s="84" t="s">
        <v>707</v>
      </c>
      <c r="D436" s="84" t="s">
        <v>793</v>
      </c>
      <c r="E436" s="101"/>
      <c r="F436" s="84" t="s">
        <v>803</v>
      </c>
    </row>
    <row r="437" spans="1:6" ht="24.95" customHeight="1" x14ac:dyDescent="0.25">
      <c r="A437" s="83" t="s">
        <v>249</v>
      </c>
      <c r="B437" s="81" t="s">
        <v>341</v>
      </c>
      <c r="C437" s="83" t="s">
        <v>707</v>
      </c>
      <c r="D437" s="83" t="s">
        <v>809</v>
      </c>
      <c r="E437" s="100"/>
      <c r="F437" s="83" t="s">
        <v>803</v>
      </c>
    </row>
    <row r="438" spans="1:6" ht="24.95" customHeight="1" x14ac:dyDescent="0.25">
      <c r="A438" s="83" t="s">
        <v>2059</v>
      </c>
      <c r="B438" s="81">
        <v>100518</v>
      </c>
      <c r="C438" s="83" t="s">
        <v>715</v>
      </c>
      <c r="D438" s="83" t="s">
        <v>1002</v>
      </c>
      <c r="E438" s="100" t="s">
        <v>2060</v>
      </c>
      <c r="F438" s="83" t="s">
        <v>561</v>
      </c>
    </row>
    <row r="439" spans="1:6" ht="24.95" customHeight="1" x14ac:dyDescent="0.25">
      <c r="A439" s="84" t="s">
        <v>118</v>
      </c>
      <c r="B439" s="82" t="s">
        <v>344</v>
      </c>
      <c r="C439" s="84" t="s">
        <v>707</v>
      </c>
      <c r="D439" s="84" t="s">
        <v>729</v>
      </c>
      <c r="E439" s="101"/>
      <c r="F439" s="84" t="s">
        <v>803</v>
      </c>
    </row>
    <row r="440" spans="1:6" ht="24.95" customHeight="1" x14ac:dyDescent="0.25">
      <c r="A440" s="83" t="s">
        <v>22</v>
      </c>
      <c r="B440" s="81" t="s">
        <v>339</v>
      </c>
      <c r="C440" s="83" t="s">
        <v>707</v>
      </c>
      <c r="D440" s="83" t="s">
        <v>810</v>
      </c>
      <c r="E440" s="100"/>
      <c r="F440" s="83" t="s">
        <v>803</v>
      </c>
    </row>
    <row r="441" spans="1:6" ht="24.95" customHeight="1" x14ac:dyDescent="0.25">
      <c r="A441" s="84" t="s">
        <v>704</v>
      </c>
      <c r="B441" s="82" t="s">
        <v>792</v>
      </c>
      <c r="C441" s="84" t="s">
        <v>220</v>
      </c>
      <c r="D441" s="84" t="s">
        <v>220</v>
      </c>
      <c r="E441" s="101"/>
      <c r="F441" s="84" t="s">
        <v>803</v>
      </c>
    </row>
    <row r="442" spans="1:6" ht="24.95" customHeight="1" x14ac:dyDescent="0.25">
      <c r="A442" s="83" t="s">
        <v>705</v>
      </c>
      <c r="B442" s="81">
        <v>1538</v>
      </c>
      <c r="C442" s="83" t="s">
        <v>707</v>
      </c>
      <c r="D442" s="83" t="s">
        <v>449</v>
      </c>
      <c r="E442" s="100"/>
      <c r="F442" s="83" t="s">
        <v>803</v>
      </c>
    </row>
    <row r="443" spans="1:6" ht="24.95" customHeight="1" x14ac:dyDescent="0.25">
      <c r="A443" s="84" t="s">
        <v>706</v>
      </c>
      <c r="B443" s="82" t="s">
        <v>792</v>
      </c>
      <c r="C443" s="84" t="s">
        <v>220</v>
      </c>
      <c r="D443" s="84" t="s">
        <v>220</v>
      </c>
      <c r="E443" s="101"/>
      <c r="F443" s="84" t="s">
        <v>803</v>
      </c>
    </row>
    <row r="444" spans="1:6" ht="24.95" customHeight="1" x14ac:dyDescent="0.25">
      <c r="A444" s="83" t="s">
        <v>829</v>
      </c>
      <c r="B444" s="81">
        <v>483</v>
      </c>
      <c r="C444" s="83" t="s">
        <v>707</v>
      </c>
      <c r="D444" s="83" t="s">
        <v>542</v>
      </c>
      <c r="E444" s="100"/>
      <c r="F444" s="83" t="s">
        <v>846</v>
      </c>
    </row>
    <row r="445" spans="1:6" ht="24.95" customHeight="1" x14ac:dyDescent="0.25">
      <c r="A445" s="84" t="s">
        <v>830</v>
      </c>
      <c r="B445" s="82">
        <v>787</v>
      </c>
      <c r="C445" s="84" t="s">
        <v>707</v>
      </c>
      <c r="D445" s="84" t="s">
        <v>185</v>
      </c>
      <c r="E445" s="101"/>
      <c r="F445" s="84" t="s">
        <v>846</v>
      </c>
    </row>
    <row r="446" spans="1:6" ht="24.95" customHeight="1" x14ac:dyDescent="0.25">
      <c r="A446" s="83" t="s">
        <v>1922</v>
      </c>
      <c r="B446" s="81">
        <v>21035</v>
      </c>
      <c r="C446" s="83" t="s">
        <v>2003</v>
      </c>
      <c r="D446" s="83" t="s">
        <v>539</v>
      </c>
      <c r="E446" s="100"/>
      <c r="F446" s="83" t="s">
        <v>846</v>
      </c>
    </row>
    <row r="447" spans="1:6" ht="24.95" customHeight="1" x14ac:dyDescent="0.25">
      <c r="A447" s="84" t="s">
        <v>831</v>
      </c>
      <c r="B447" s="82">
        <v>770</v>
      </c>
      <c r="C447" s="84" t="s">
        <v>707</v>
      </c>
      <c r="D447" s="84" t="s">
        <v>186</v>
      </c>
      <c r="E447" s="101"/>
      <c r="F447" s="84" t="s">
        <v>846</v>
      </c>
    </row>
    <row r="448" spans="1:6" ht="24.95" customHeight="1" x14ac:dyDescent="0.25">
      <c r="A448" s="83" t="s">
        <v>832</v>
      </c>
      <c r="B448" s="81">
        <v>4000807</v>
      </c>
      <c r="C448" s="83" t="s">
        <v>707</v>
      </c>
      <c r="D448" s="83" t="s">
        <v>188</v>
      </c>
      <c r="E448" s="100"/>
      <c r="F448" s="83" t="s">
        <v>846</v>
      </c>
    </row>
    <row r="449" spans="1:6" ht="24.95" customHeight="1" x14ac:dyDescent="0.25">
      <c r="A449" s="84" t="s">
        <v>2030</v>
      </c>
      <c r="B449" s="82">
        <v>4040707</v>
      </c>
      <c r="C449" s="84" t="s">
        <v>707</v>
      </c>
      <c r="D449" s="84" t="s">
        <v>539</v>
      </c>
      <c r="E449" s="101" t="s">
        <v>2031</v>
      </c>
      <c r="F449" s="84" t="s">
        <v>1929</v>
      </c>
    </row>
    <row r="450" spans="1:6" ht="24.95" customHeight="1" x14ac:dyDescent="0.25">
      <c r="A450" s="83" t="s">
        <v>833</v>
      </c>
      <c r="B450" s="81" t="s">
        <v>814</v>
      </c>
      <c r="C450" s="83" t="s">
        <v>707</v>
      </c>
      <c r="D450" s="83" t="s">
        <v>186</v>
      </c>
      <c r="E450" s="100"/>
      <c r="F450" s="83" t="s">
        <v>846</v>
      </c>
    </row>
    <row r="451" spans="1:6" ht="24.95" customHeight="1" x14ac:dyDescent="0.25">
      <c r="A451" s="84" t="s">
        <v>834</v>
      </c>
      <c r="B451" s="82">
        <v>4000809</v>
      </c>
      <c r="C451" s="84" t="s">
        <v>707</v>
      </c>
      <c r="D451" s="84" t="s">
        <v>825</v>
      </c>
      <c r="E451" s="101"/>
      <c r="F451" s="84" t="s">
        <v>846</v>
      </c>
    </row>
    <row r="452" spans="1:6" ht="24.95" customHeight="1" x14ac:dyDescent="0.25">
      <c r="A452" s="83" t="s">
        <v>835</v>
      </c>
      <c r="B452" s="81">
        <v>991104</v>
      </c>
      <c r="C452" s="83" t="s">
        <v>707</v>
      </c>
      <c r="D452" s="83" t="s">
        <v>539</v>
      </c>
      <c r="E452" s="100"/>
      <c r="F452" s="83" t="s">
        <v>846</v>
      </c>
    </row>
    <row r="453" spans="1:6" ht="24.95" customHeight="1" x14ac:dyDescent="0.25">
      <c r="A453" s="84" t="s">
        <v>836</v>
      </c>
      <c r="B453" s="82">
        <v>4000811</v>
      </c>
      <c r="C453" s="84" t="s">
        <v>707</v>
      </c>
      <c r="D453" s="84" t="s">
        <v>722</v>
      </c>
      <c r="E453" s="101"/>
      <c r="F453" s="84" t="s">
        <v>846</v>
      </c>
    </row>
    <row r="454" spans="1:6" ht="24.95" customHeight="1" x14ac:dyDescent="0.25">
      <c r="A454" s="83" t="s">
        <v>837</v>
      </c>
      <c r="B454" s="81">
        <v>769</v>
      </c>
      <c r="C454" s="83" t="s">
        <v>707</v>
      </c>
      <c r="D454" s="83" t="s">
        <v>189</v>
      </c>
      <c r="E454" s="100"/>
      <c r="F454" s="83" t="s">
        <v>846</v>
      </c>
    </row>
    <row r="455" spans="1:6" ht="24.95" customHeight="1" x14ac:dyDescent="0.25">
      <c r="A455" s="84" t="s">
        <v>838</v>
      </c>
      <c r="B455" s="82" t="s">
        <v>1605</v>
      </c>
      <c r="C455" s="84" t="s">
        <v>707</v>
      </c>
      <c r="D455" s="84" t="s">
        <v>189</v>
      </c>
      <c r="E455" s="101"/>
      <c r="F455" s="84" t="s">
        <v>846</v>
      </c>
    </row>
    <row r="456" spans="1:6" ht="24.95" customHeight="1" x14ac:dyDescent="0.25">
      <c r="A456" s="83" t="s">
        <v>839</v>
      </c>
      <c r="B456" s="81" t="s">
        <v>1625</v>
      </c>
      <c r="C456" s="83" t="s">
        <v>707</v>
      </c>
      <c r="D456" s="83" t="s">
        <v>194</v>
      </c>
      <c r="E456" s="100"/>
      <c r="F456" s="83" t="s">
        <v>846</v>
      </c>
    </row>
    <row r="457" spans="1:6" ht="24.95" customHeight="1" x14ac:dyDescent="0.25">
      <c r="A457" s="84" t="s">
        <v>1905</v>
      </c>
      <c r="B457" s="82">
        <v>21034</v>
      </c>
      <c r="C457" s="84" t="s">
        <v>2003</v>
      </c>
      <c r="D457" s="84" t="s">
        <v>194</v>
      </c>
      <c r="E457" s="101" t="s">
        <v>1906</v>
      </c>
      <c r="F457" s="84" t="s">
        <v>846</v>
      </c>
    </row>
    <row r="458" spans="1:6" ht="24.95" customHeight="1" x14ac:dyDescent="0.25">
      <c r="A458" s="83" t="s">
        <v>110</v>
      </c>
      <c r="B458" s="81">
        <v>4001101</v>
      </c>
      <c r="C458" s="83" t="s">
        <v>707</v>
      </c>
      <c r="D458" s="83" t="s">
        <v>186</v>
      </c>
      <c r="E458" s="100"/>
      <c r="F458" s="83" t="s">
        <v>846</v>
      </c>
    </row>
    <row r="459" spans="1:6" ht="24.95" customHeight="1" x14ac:dyDescent="0.25">
      <c r="A459" s="84" t="s">
        <v>496</v>
      </c>
      <c r="B459" s="82">
        <v>4000502</v>
      </c>
      <c r="C459" s="84" t="s">
        <v>707</v>
      </c>
      <c r="D459" s="84" t="s">
        <v>186</v>
      </c>
      <c r="E459" s="101"/>
      <c r="F459" s="84" t="s">
        <v>940</v>
      </c>
    </row>
    <row r="460" spans="1:6" ht="24.95" customHeight="1" x14ac:dyDescent="0.25">
      <c r="A460" s="83" t="s">
        <v>840</v>
      </c>
      <c r="B460" s="81">
        <v>579</v>
      </c>
      <c r="C460" s="83" t="s">
        <v>707</v>
      </c>
      <c r="D460" s="83" t="s">
        <v>801</v>
      </c>
      <c r="E460" s="100"/>
      <c r="F460" s="83" t="s">
        <v>846</v>
      </c>
    </row>
    <row r="461" spans="1:6" ht="24.95" customHeight="1" x14ac:dyDescent="0.25">
      <c r="A461" s="84" t="s">
        <v>841</v>
      </c>
      <c r="B461" s="82">
        <v>4000507</v>
      </c>
      <c r="C461" s="84" t="s">
        <v>707</v>
      </c>
      <c r="D461" s="84" t="s">
        <v>741</v>
      </c>
      <c r="E461" s="101"/>
      <c r="F461" s="84" t="s">
        <v>846</v>
      </c>
    </row>
    <row r="462" spans="1:6" ht="24.95" customHeight="1" x14ac:dyDescent="0.25">
      <c r="A462" s="83" t="s">
        <v>1821</v>
      </c>
      <c r="B462" s="81">
        <v>4020405</v>
      </c>
      <c r="C462" s="83" t="s">
        <v>707</v>
      </c>
      <c r="D462" s="83" t="s">
        <v>541</v>
      </c>
      <c r="E462" s="100"/>
      <c r="F462" s="83" t="s">
        <v>846</v>
      </c>
    </row>
    <row r="463" spans="1:6" ht="24.95" customHeight="1" x14ac:dyDescent="0.25">
      <c r="A463" s="84" t="s">
        <v>842</v>
      </c>
      <c r="B463" s="82">
        <v>7007</v>
      </c>
      <c r="C463" s="84" t="s">
        <v>707</v>
      </c>
      <c r="D463" s="84" t="s">
        <v>189</v>
      </c>
      <c r="E463" s="101"/>
      <c r="F463" s="84" t="s">
        <v>846</v>
      </c>
    </row>
    <row r="464" spans="1:6" ht="24.95" customHeight="1" x14ac:dyDescent="0.25">
      <c r="A464" s="83" t="s">
        <v>1822</v>
      </c>
      <c r="B464" s="81">
        <v>0</v>
      </c>
      <c r="C464" s="83" t="s">
        <v>2003</v>
      </c>
      <c r="D464" s="83" t="s">
        <v>480</v>
      </c>
      <c r="E464" s="100">
        <v>17485363</v>
      </c>
      <c r="F464" s="83" t="s">
        <v>846</v>
      </c>
    </row>
    <row r="465" spans="1:6" ht="24.95" customHeight="1" x14ac:dyDescent="0.25">
      <c r="A465" s="84" t="s">
        <v>843</v>
      </c>
      <c r="B465" s="82">
        <v>808</v>
      </c>
      <c r="C465" s="84" t="s">
        <v>707</v>
      </c>
      <c r="D465" s="84" t="s">
        <v>185</v>
      </c>
      <c r="E465" s="101"/>
      <c r="F465" s="84" t="s">
        <v>846</v>
      </c>
    </row>
    <row r="466" spans="1:6" ht="24.95" customHeight="1" x14ac:dyDescent="0.25">
      <c r="A466" s="83" t="s">
        <v>844</v>
      </c>
      <c r="B466" s="81">
        <v>866</v>
      </c>
      <c r="C466" s="83" t="s">
        <v>707</v>
      </c>
      <c r="D466" s="83" t="s">
        <v>722</v>
      </c>
      <c r="E466" s="100"/>
      <c r="F466" s="83" t="s">
        <v>846</v>
      </c>
    </row>
    <row r="467" spans="1:6" ht="24.95" customHeight="1" x14ac:dyDescent="0.25">
      <c r="A467" s="84" t="s">
        <v>1866</v>
      </c>
      <c r="B467" s="82">
        <v>20990</v>
      </c>
      <c r="C467" s="84" t="s">
        <v>2003</v>
      </c>
      <c r="D467" s="84" t="s">
        <v>709</v>
      </c>
      <c r="E467" s="101" t="s">
        <v>1867</v>
      </c>
      <c r="F467" s="84" t="s">
        <v>846</v>
      </c>
    </row>
    <row r="468" spans="1:6" ht="24.95" customHeight="1" x14ac:dyDescent="0.25">
      <c r="A468" s="83" t="s">
        <v>845</v>
      </c>
      <c r="B468" s="81">
        <v>990804</v>
      </c>
      <c r="C468" s="83" t="s">
        <v>707</v>
      </c>
      <c r="D468" s="83" t="s">
        <v>539</v>
      </c>
      <c r="E468" s="100"/>
      <c r="F468" s="83" t="s">
        <v>846</v>
      </c>
    </row>
    <row r="469" spans="1:6" ht="24.95" customHeight="1" x14ac:dyDescent="0.25">
      <c r="A469" s="84" t="s">
        <v>284</v>
      </c>
      <c r="B469" s="82">
        <v>788</v>
      </c>
      <c r="C469" s="84" t="s">
        <v>707</v>
      </c>
      <c r="D469" s="84" t="s">
        <v>809</v>
      </c>
      <c r="E469" s="101"/>
      <c r="F469" s="84" t="s">
        <v>846</v>
      </c>
    </row>
    <row r="470" spans="1:6" ht="24.95" customHeight="1" x14ac:dyDescent="0.25">
      <c r="A470" s="83" t="s">
        <v>826</v>
      </c>
      <c r="B470" s="81" t="s">
        <v>792</v>
      </c>
      <c r="C470" s="83" t="s">
        <v>827</v>
      </c>
      <c r="D470" s="83" t="s">
        <v>828</v>
      </c>
      <c r="E470" s="100"/>
      <c r="F470" s="83" t="s">
        <v>846</v>
      </c>
    </row>
    <row r="471" spans="1:6" ht="24.95" customHeight="1" x14ac:dyDescent="0.25">
      <c r="A471" s="84" t="s">
        <v>847</v>
      </c>
      <c r="B471" s="82" t="s">
        <v>1606</v>
      </c>
      <c r="C471" s="84" t="s">
        <v>2003</v>
      </c>
      <c r="D471" s="84" t="s">
        <v>710</v>
      </c>
      <c r="E471" s="101">
        <v>690587678</v>
      </c>
      <c r="F471" s="84" t="s">
        <v>846</v>
      </c>
    </row>
    <row r="472" spans="1:6" ht="24.95" customHeight="1" x14ac:dyDescent="0.25">
      <c r="A472" s="83" t="s">
        <v>1137</v>
      </c>
      <c r="B472" s="81" t="s">
        <v>1138</v>
      </c>
      <c r="C472" s="83" t="s">
        <v>707</v>
      </c>
      <c r="D472" s="83" t="s">
        <v>1139</v>
      </c>
      <c r="E472" s="100"/>
      <c r="F472" s="83" t="s">
        <v>846</v>
      </c>
    </row>
    <row r="473" spans="1:6" ht="24.95" customHeight="1" x14ac:dyDescent="0.25">
      <c r="A473" s="84" t="s">
        <v>51</v>
      </c>
      <c r="B473" s="82" t="s">
        <v>351</v>
      </c>
      <c r="C473" s="84" t="s">
        <v>707</v>
      </c>
      <c r="D473" s="84" t="s">
        <v>539</v>
      </c>
      <c r="E473" s="101"/>
      <c r="F473" s="84" t="s">
        <v>869</v>
      </c>
    </row>
    <row r="474" spans="1:6" ht="24.95" customHeight="1" x14ac:dyDescent="0.25">
      <c r="A474" s="83" t="s">
        <v>1890</v>
      </c>
      <c r="B474" s="81">
        <v>4040202</v>
      </c>
      <c r="C474" s="83" t="s">
        <v>707</v>
      </c>
      <c r="D474" s="83" t="s">
        <v>186</v>
      </c>
      <c r="E474" s="100"/>
      <c r="F474" s="83" t="s">
        <v>869</v>
      </c>
    </row>
    <row r="475" spans="1:6" ht="24.95" customHeight="1" x14ac:dyDescent="0.25">
      <c r="A475" s="84" t="s">
        <v>850</v>
      </c>
      <c r="B475" s="82">
        <v>4010803</v>
      </c>
      <c r="C475" s="84" t="s">
        <v>707</v>
      </c>
      <c r="D475" s="84" t="s">
        <v>851</v>
      </c>
      <c r="E475" s="101"/>
      <c r="F475" s="84" t="s">
        <v>869</v>
      </c>
    </row>
    <row r="476" spans="1:6" ht="24.95" customHeight="1" x14ac:dyDescent="0.25">
      <c r="A476" s="83" t="s">
        <v>52</v>
      </c>
      <c r="B476" s="81" t="s">
        <v>349</v>
      </c>
      <c r="C476" s="83" t="s">
        <v>707</v>
      </c>
      <c r="D476" s="83" t="s">
        <v>809</v>
      </c>
      <c r="E476" s="100"/>
      <c r="F476" s="83" t="s">
        <v>869</v>
      </c>
    </row>
    <row r="477" spans="1:6" ht="24.95" customHeight="1" x14ac:dyDescent="0.25">
      <c r="A477" s="84" t="s">
        <v>260</v>
      </c>
      <c r="B477" s="82" t="s">
        <v>354</v>
      </c>
      <c r="C477" s="84" t="s">
        <v>707</v>
      </c>
      <c r="D477" s="84" t="s">
        <v>852</v>
      </c>
      <c r="E477" s="101"/>
      <c r="F477" s="84" t="s">
        <v>869</v>
      </c>
    </row>
    <row r="478" spans="1:6" ht="24.95" customHeight="1" x14ac:dyDescent="0.25">
      <c r="A478" s="83" t="s">
        <v>53</v>
      </c>
      <c r="B478" s="81">
        <v>349</v>
      </c>
      <c r="C478" s="83" t="s">
        <v>707</v>
      </c>
      <c r="D478" s="83" t="s">
        <v>802</v>
      </c>
      <c r="E478" s="100"/>
      <c r="F478" s="83" t="s">
        <v>869</v>
      </c>
    </row>
    <row r="479" spans="1:6" ht="24.95" customHeight="1" x14ac:dyDescent="0.25">
      <c r="A479" s="84" t="s">
        <v>1883</v>
      </c>
      <c r="B479" s="82">
        <v>4040112</v>
      </c>
      <c r="C479" s="84" t="s">
        <v>707</v>
      </c>
      <c r="D479" s="84" t="s">
        <v>717</v>
      </c>
      <c r="E479" s="101"/>
      <c r="F479" s="84" t="s">
        <v>869</v>
      </c>
    </row>
    <row r="480" spans="1:6" ht="24.95" customHeight="1" x14ac:dyDescent="0.25">
      <c r="A480" s="83" t="s">
        <v>267</v>
      </c>
      <c r="B480" s="81">
        <v>6308</v>
      </c>
      <c r="C480" s="83" t="s">
        <v>707</v>
      </c>
      <c r="D480" s="83" t="s">
        <v>853</v>
      </c>
      <c r="E480" s="100"/>
      <c r="F480" s="83" t="s">
        <v>869</v>
      </c>
    </row>
    <row r="481" spans="1:6" ht="24.95" customHeight="1" x14ac:dyDescent="0.25">
      <c r="A481" s="84" t="s">
        <v>142</v>
      </c>
      <c r="B481" s="82">
        <v>988</v>
      </c>
      <c r="C481" s="84" t="s">
        <v>707</v>
      </c>
      <c r="D481" s="84" t="s">
        <v>797</v>
      </c>
      <c r="E481" s="101"/>
      <c r="F481" s="84" t="s">
        <v>869</v>
      </c>
    </row>
    <row r="482" spans="1:6" ht="24.95" customHeight="1" x14ac:dyDescent="0.25">
      <c r="A482" s="83" t="s">
        <v>127</v>
      </c>
      <c r="B482" s="81" t="s">
        <v>348</v>
      </c>
      <c r="C482" s="83" t="s">
        <v>707</v>
      </c>
      <c r="D482" s="83" t="s">
        <v>797</v>
      </c>
      <c r="E482" s="100"/>
      <c r="F482" s="83" t="s">
        <v>869</v>
      </c>
    </row>
    <row r="483" spans="1:6" ht="24.95" customHeight="1" x14ac:dyDescent="0.25">
      <c r="A483" s="84" t="s">
        <v>885</v>
      </c>
      <c r="B483" s="82" t="s">
        <v>352</v>
      </c>
      <c r="C483" s="84" t="s">
        <v>707</v>
      </c>
      <c r="D483" s="84" t="s">
        <v>189</v>
      </c>
      <c r="E483" s="101"/>
      <c r="F483" s="84" t="s">
        <v>869</v>
      </c>
    </row>
    <row r="484" spans="1:6" ht="24.95" customHeight="1" x14ac:dyDescent="0.25">
      <c r="A484" s="83" t="s">
        <v>886</v>
      </c>
      <c r="B484" s="81" t="s">
        <v>792</v>
      </c>
      <c r="C484" s="83" t="s">
        <v>530</v>
      </c>
      <c r="D484" s="83" t="s">
        <v>533</v>
      </c>
      <c r="E484" s="100"/>
      <c r="F484" s="83" t="s">
        <v>869</v>
      </c>
    </row>
    <row r="485" spans="1:6" ht="24.95" customHeight="1" x14ac:dyDescent="0.25">
      <c r="A485" s="84" t="s">
        <v>884</v>
      </c>
      <c r="B485" s="82" t="s">
        <v>792</v>
      </c>
      <c r="C485" s="84">
        <v>0</v>
      </c>
      <c r="D485" s="84" t="s">
        <v>287</v>
      </c>
      <c r="E485" s="101"/>
      <c r="F485" s="84"/>
    </row>
    <row r="486" spans="1:6" ht="24.95" customHeight="1" x14ac:dyDescent="0.25">
      <c r="A486" s="83" t="s">
        <v>207</v>
      </c>
      <c r="B486" s="81" t="s">
        <v>346</v>
      </c>
      <c r="C486" s="83" t="s">
        <v>707</v>
      </c>
      <c r="D486" s="83" t="s">
        <v>542</v>
      </c>
      <c r="E486" s="100"/>
      <c r="F486" s="83" t="s">
        <v>869</v>
      </c>
    </row>
    <row r="487" spans="1:6" ht="24.95" customHeight="1" x14ac:dyDescent="0.25">
      <c r="A487" s="84" t="s">
        <v>871</v>
      </c>
      <c r="B487" s="82" t="s">
        <v>531</v>
      </c>
      <c r="C487" s="84" t="s">
        <v>707</v>
      </c>
      <c r="D487" s="84" t="s">
        <v>870</v>
      </c>
      <c r="E487" s="101"/>
      <c r="F487" s="84" t="s">
        <v>869</v>
      </c>
    </row>
    <row r="488" spans="1:6" ht="24.95" customHeight="1" x14ac:dyDescent="0.25">
      <c r="A488" s="83" t="s">
        <v>872</v>
      </c>
      <c r="B488" s="81">
        <v>800</v>
      </c>
      <c r="C488" s="83" t="s">
        <v>707</v>
      </c>
      <c r="D488" s="83" t="s">
        <v>539</v>
      </c>
      <c r="E488" s="100"/>
      <c r="F488" s="83" t="s">
        <v>869</v>
      </c>
    </row>
    <row r="489" spans="1:6" ht="24.95" customHeight="1" x14ac:dyDescent="0.25">
      <c r="A489" s="84" t="s">
        <v>873</v>
      </c>
      <c r="B489" s="82" t="s">
        <v>792</v>
      </c>
      <c r="C489" s="84">
        <v>0</v>
      </c>
      <c r="D489" s="84" t="s">
        <v>480</v>
      </c>
      <c r="E489" s="101"/>
      <c r="F489" s="84" t="s">
        <v>869</v>
      </c>
    </row>
    <row r="490" spans="1:6" ht="24.95" customHeight="1" x14ac:dyDescent="0.25">
      <c r="A490" s="83" t="s">
        <v>874</v>
      </c>
      <c r="B490" s="81" t="s">
        <v>353</v>
      </c>
      <c r="C490" s="83" t="s">
        <v>707</v>
      </c>
      <c r="D490" s="83" t="s">
        <v>855</v>
      </c>
      <c r="E490" s="100"/>
      <c r="F490" s="83" t="s">
        <v>869</v>
      </c>
    </row>
    <row r="491" spans="1:6" ht="24.95" customHeight="1" x14ac:dyDescent="0.25">
      <c r="A491" s="84" t="s">
        <v>1512</v>
      </c>
      <c r="B491" s="82" t="s">
        <v>1466</v>
      </c>
      <c r="C491" s="84" t="s">
        <v>707</v>
      </c>
      <c r="D491" s="84" t="s">
        <v>543</v>
      </c>
      <c r="E491" s="101">
        <v>2550069201</v>
      </c>
      <c r="F491" s="84" t="s">
        <v>869</v>
      </c>
    </row>
    <row r="492" spans="1:6" ht="24.95" customHeight="1" x14ac:dyDescent="0.25">
      <c r="A492" s="83" t="s">
        <v>162</v>
      </c>
      <c r="B492" s="81">
        <v>741</v>
      </c>
      <c r="C492" s="83" t="s">
        <v>707</v>
      </c>
      <c r="D492" s="83" t="s">
        <v>856</v>
      </c>
      <c r="E492" s="100"/>
      <c r="F492" s="83" t="s">
        <v>869</v>
      </c>
    </row>
    <row r="493" spans="1:6" ht="24.95" customHeight="1" x14ac:dyDescent="0.25">
      <c r="A493" s="84" t="s">
        <v>187</v>
      </c>
      <c r="B493" s="82" t="s">
        <v>347</v>
      </c>
      <c r="C493" s="84" t="s">
        <v>707</v>
      </c>
      <c r="D493" s="84" t="s">
        <v>188</v>
      </c>
      <c r="E493" s="101"/>
      <c r="F493" s="84" t="s">
        <v>869</v>
      </c>
    </row>
    <row r="494" spans="1:6" ht="24.95" customHeight="1" x14ac:dyDescent="0.25">
      <c r="A494" s="83" t="s">
        <v>875</v>
      </c>
      <c r="B494" s="81" t="s">
        <v>350</v>
      </c>
      <c r="C494" s="83" t="s">
        <v>707</v>
      </c>
      <c r="D494" s="83" t="s">
        <v>186</v>
      </c>
      <c r="E494" s="100"/>
      <c r="F494" s="83" t="s">
        <v>869</v>
      </c>
    </row>
    <row r="495" spans="1:6" ht="24.95" customHeight="1" x14ac:dyDescent="0.25">
      <c r="A495" s="84" t="s">
        <v>876</v>
      </c>
      <c r="B495" s="82" t="s">
        <v>792</v>
      </c>
      <c r="C495" s="84" t="s">
        <v>857</v>
      </c>
      <c r="D495" s="84" t="s">
        <v>189</v>
      </c>
      <c r="E495" s="101"/>
      <c r="F495" s="84" t="s">
        <v>869</v>
      </c>
    </row>
    <row r="496" spans="1:6" ht="24.95" customHeight="1" x14ac:dyDescent="0.25">
      <c r="A496" s="83" t="s">
        <v>877</v>
      </c>
      <c r="B496" s="81" t="s">
        <v>389</v>
      </c>
      <c r="C496" s="83" t="s">
        <v>707</v>
      </c>
      <c r="D496" s="83" t="s">
        <v>188</v>
      </c>
      <c r="E496" s="100"/>
      <c r="F496" s="83" t="s">
        <v>869</v>
      </c>
    </row>
    <row r="497" spans="1:6" ht="24.95" customHeight="1" x14ac:dyDescent="0.25">
      <c r="A497" s="84" t="s">
        <v>264</v>
      </c>
      <c r="B497" s="82">
        <v>98142</v>
      </c>
      <c r="C497" s="84" t="s">
        <v>707</v>
      </c>
      <c r="D497" s="84" t="s">
        <v>741</v>
      </c>
      <c r="E497" s="101"/>
      <c r="F497" s="84" t="s">
        <v>869</v>
      </c>
    </row>
    <row r="498" spans="1:6" ht="24.95" customHeight="1" x14ac:dyDescent="0.25">
      <c r="A498" s="84" t="s">
        <v>2046</v>
      </c>
      <c r="B498" s="82">
        <v>20872</v>
      </c>
      <c r="C498" s="84" t="s">
        <v>2003</v>
      </c>
      <c r="D498" s="84" t="s">
        <v>854</v>
      </c>
      <c r="E498" s="101"/>
      <c r="F498" s="84" t="s">
        <v>846</v>
      </c>
    </row>
    <row r="499" spans="1:6" ht="24.95" customHeight="1" x14ac:dyDescent="0.25">
      <c r="A499" s="83" t="s">
        <v>878</v>
      </c>
      <c r="B499" s="81" t="s">
        <v>792</v>
      </c>
      <c r="C499" s="83" t="s">
        <v>849</v>
      </c>
      <c r="D499" s="83" t="s">
        <v>854</v>
      </c>
      <c r="E499" s="100"/>
      <c r="F499" s="83" t="s">
        <v>869</v>
      </c>
    </row>
    <row r="500" spans="1:6" ht="24.95" customHeight="1" x14ac:dyDescent="0.25">
      <c r="A500" s="84" t="s">
        <v>1715</v>
      </c>
      <c r="B500" s="82">
        <v>100162</v>
      </c>
      <c r="C500" s="84" t="s">
        <v>1858</v>
      </c>
      <c r="D500" s="84" t="s">
        <v>1811</v>
      </c>
      <c r="E500" s="101"/>
      <c r="F500" s="84" t="s">
        <v>869</v>
      </c>
    </row>
    <row r="501" spans="1:6" ht="24.95" customHeight="1" x14ac:dyDescent="0.25">
      <c r="A501" s="83" t="s">
        <v>888</v>
      </c>
      <c r="B501" s="81">
        <v>736</v>
      </c>
      <c r="C501" s="83" t="s">
        <v>707</v>
      </c>
      <c r="D501" s="83" t="s">
        <v>741</v>
      </c>
      <c r="E501" s="100"/>
      <c r="F501" s="83" t="s">
        <v>869</v>
      </c>
    </row>
    <row r="502" spans="1:6" ht="24.95" customHeight="1" x14ac:dyDescent="0.25">
      <c r="A502" s="84" t="s">
        <v>125</v>
      </c>
      <c r="B502" s="82">
        <v>6302</v>
      </c>
      <c r="C502" s="84" t="s">
        <v>707</v>
      </c>
      <c r="D502" s="84" t="s">
        <v>793</v>
      </c>
      <c r="E502" s="101"/>
      <c r="F502" s="84" t="s">
        <v>869</v>
      </c>
    </row>
    <row r="503" spans="1:6" ht="24.95" customHeight="1" x14ac:dyDescent="0.25">
      <c r="A503" s="83" t="s">
        <v>50</v>
      </c>
      <c r="B503" s="81">
        <v>6303</v>
      </c>
      <c r="C503" s="83" t="s">
        <v>707</v>
      </c>
      <c r="D503" s="83" t="s">
        <v>185</v>
      </c>
      <c r="E503" s="100"/>
      <c r="F503" s="83" t="s">
        <v>869</v>
      </c>
    </row>
    <row r="504" spans="1:6" ht="24.95" customHeight="1" x14ac:dyDescent="0.25">
      <c r="A504" s="84" t="s">
        <v>1795</v>
      </c>
      <c r="B504" s="82">
        <v>4020715</v>
      </c>
      <c r="C504" s="84" t="s">
        <v>707</v>
      </c>
      <c r="D504" s="84" t="s">
        <v>1796</v>
      </c>
      <c r="E504" s="101"/>
      <c r="F504" s="84" t="s">
        <v>869</v>
      </c>
    </row>
    <row r="505" spans="1:6" ht="24.95" customHeight="1" x14ac:dyDescent="0.25">
      <c r="A505" s="83" t="s">
        <v>879</v>
      </c>
      <c r="B505" s="81" t="s">
        <v>372</v>
      </c>
      <c r="C505" s="83" t="s">
        <v>707</v>
      </c>
      <c r="D505" s="83" t="s">
        <v>797</v>
      </c>
      <c r="E505" s="100"/>
      <c r="F505" s="83" t="s">
        <v>869</v>
      </c>
    </row>
    <row r="506" spans="1:6" ht="24.95" customHeight="1" x14ac:dyDescent="0.25">
      <c r="A506" s="84" t="s">
        <v>182</v>
      </c>
      <c r="B506" s="82">
        <v>0</v>
      </c>
      <c r="C506" s="84">
        <v>0</v>
      </c>
      <c r="D506" s="84" t="s">
        <v>854</v>
      </c>
      <c r="E506" s="101"/>
      <c r="F506" s="84" t="s">
        <v>869</v>
      </c>
    </row>
    <row r="507" spans="1:6" ht="24.95" customHeight="1" x14ac:dyDescent="0.25">
      <c r="A507" s="83" t="s">
        <v>193</v>
      </c>
      <c r="B507" s="81">
        <v>0</v>
      </c>
      <c r="C507" s="83" t="s">
        <v>889</v>
      </c>
      <c r="D507" s="83" t="s">
        <v>266</v>
      </c>
      <c r="E507" s="100"/>
      <c r="F507" s="83" t="s">
        <v>869</v>
      </c>
    </row>
    <row r="508" spans="1:6" ht="24.95" customHeight="1" x14ac:dyDescent="0.25">
      <c r="A508" s="84" t="s">
        <v>103</v>
      </c>
      <c r="B508" s="82">
        <v>0</v>
      </c>
      <c r="C508" s="84" t="s">
        <v>889</v>
      </c>
      <c r="D508" s="84" t="s">
        <v>266</v>
      </c>
      <c r="E508" s="101"/>
      <c r="F508" s="84" t="s">
        <v>869</v>
      </c>
    </row>
    <row r="509" spans="1:6" ht="24.95" customHeight="1" x14ac:dyDescent="0.25">
      <c r="A509" s="83" t="s">
        <v>2044</v>
      </c>
      <c r="B509" s="81">
        <v>21086</v>
      </c>
      <c r="C509" s="83" t="s">
        <v>2003</v>
      </c>
      <c r="D509" s="83" t="s">
        <v>709</v>
      </c>
      <c r="E509" s="100" t="s">
        <v>2045</v>
      </c>
      <c r="F509" s="83" t="s">
        <v>1471</v>
      </c>
    </row>
    <row r="510" spans="1:6" ht="24.95" customHeight="1" x14ac:dyDescent="0.25">
      <c r="A510" s="84" t="s">
        <v>893</v>
      </c>
      <c r="B510" s="82">
        <v>0</v>
      </c>
      <c r="C510" s="84" t="s">
        <v>889</v>
      </c>
      <c r="D510" s="84" t="s">
        <v>192</v>
      </c>
      <c r="E510" s="101"/>
      <c r="F510" s="84" t="s">
        <v>869</v>
      </c>
    </row>
    <row r="511" spans="1:6" ht="24.95" customHeight="1" x14ac:dyDescent="0.25">
      <c r="A511" s="83" t="s">
        <v>105</v>
      </c>
      <c r="B511" s="81">
        <v>0</v>
      </c>
      <c r="C511" s="83" t="s">
        <v>889</v>
      </c>
      <c r="D511" s="83" t="s">
        <v>266</v>
      </c>
      <c r="E511" s="100"/>
      <c r="F511" s="83" t="s">
        <v>869</v>
      </c>
    </row>
    <row r="512" spans="1:6" ht="24.95" customHeight="1" x14ac:dyDescent="0.25">
      <c r="A512" s="84" t="s">
        <v>55</v>
      </c>
      <c r="B512" s="82">
        <v>0</v>
      </c>
      <c r="C512" s="84" t="s">
        <v>889</v>
      </c>
      <c r="D512" s="84" t="s">
        <v>266</v>
      </c>
      <c r="E512" s="101"/>
      <c r="F512" s="84" t="s">
        <v>869</v>
      </c>
    </row>
    <row r="513" spans="1:6" ht="24.95" customHeight="1" x14ac:dyDescent="0.25">
      <c r="A513" s="83" t="s">
        <v>56</v>
      </c>
      <c r="B513" s="81">
        <v>0</v>
      </c>
      <c r="C513" s="83" t="s">
        <v>889</v>
      </c>
      <c r="D513" s="83" t="s">
        <v>266</v>
      </c>
      <c r="E513" s="100"/>
      <c r="F513" s="83" t="s">
        <v>869</v>
      </c>
    </row>
    <row r="514" spans="1:6" ht="24.95" customHeight="1" x14ac:dyDescent="0.25">
      <c r="A514" s="84" t="s">
        <v>891</v>
      </c>
      <c r="B514" s="82">
        <v>0</v>
      </c>
      <c r="C514" s="84" t="s">
        <v>889</v>
      </c>
      <c r="D514" s="84" t="s">
        <v>890</v>
      </c>
      <c r="E514" s="101"/>
      <c r="F514" s="84" t="s">
        <v>869</v>
      </c>
    </row>
    <row r="515" spans="1:6" ht="24.95" customHeight="1" x14ac:dyDescent="0.25">
      <c r="A515" s="83" t="s">
        <v>892</v>
      </c>
      <c r="B515" s="81">
        <v>0</v>
      </c>
      <c r="C515" s="83" t="s">
        <v>889</v>
      </c>
      <c r="D515" s="83" t="s">
        <v>854</v>
      </c>
      <c r="E515" s="100"/>
      <c r="F515" s="83" t="s">
        <v>869</v>
      </c>
    </row>
    <row r="516" spans="1:6" ht="24.95" customHeight="1" x14ac:dyDescent="0.25">
      <c r="A516" s="84" t="s">
        <v>1879</v>
      </c>
      <c r="B516" s="82">
        <v>0</v>
      </c>
      <c r="C516" s="84" t="s">
        <v>889</v>
      </c>
      <c r="D516" s="84" t="s">
        <v>1880</v>
      </c>
      <c r="E516" s="101"/>
      <c r="F516" s="84" t="s">
        <v>869</v>
      </c>
    </row>
    <row r="517" spans="1:6" ht="24.95" customHeight="1" x14ac:dyDescent="0.25">
      <c r="A517" s="83" t="s">
        <v>58</v>
      </c>
      <c r="B517" s="81">
        <v>0</v>
      </c>
      <c r="C517" s="83" t="s">
        <v>889</v>
      </c>
      <c r="D517" s="83" t="s">
        <v>266</v>
      </c>
      <c r="E517" s="100"/>
      <c r="F517" s="83" t="s">
        <v>869</v>
      </c>
    </row>
    <row r="518" spans="1:6" ht="24.95" customHeight="1" x14ac:dyDescent="0.25">
      <c r="A518" s="84" t="s">
        <v>106</v>
      </c>
      <c r="B518" s="82">
        <v>0</v>
      </c>
      <c r="C518" s="84" t="s">
        <v>889</v>
      </c>
      <c r="D518" s="84" t="s">
        <v>266</v>
      </c>
      <c r="E518" s="101"/>
      <c r="F518" s="84" t="s">
        <v>869</v>
      </c>
    </row>
    <row r="519" spans="1:6" ht="24.95" customHeight="1" x14ac:dyDescent="0.25">
      <c r="A519" s="83" t="s">
        <v>107</v>
      </c>
      <c r="B519" s="81">
        <v>0</v>
      </c>
      <c r="C519" s="83" t="s">
        <v>889</v>
      </c>
      <c r="D519" s="83" t="s">
        <v>266</v>
      </c>
      <c r="E519" s="100"/>
      <c r="F519" s="83" t="s">
        <v>869</v>
      </c>
    </row>
    <row r="520" spans="1:6" ht="24.95" customHeight="1" x14ac:dyDescent="0.25">
      <c r="A520" s="84" t="s">
        <v>108</v>
      </c>
      <c r="B520" s="82">
        <v>0</v>
      </c>
      <c r="C520" s="84" t="s">
        <v>889</v>
      </c>
      <c r="D520" s="84" t="s">
        <v>266</v>
      </c>
      <c r="E520" s="101"/>
      <c r="F520" s="84" t="s">
        <v>869</v>
      </c>
    </row>
    <row r="521" spans="1:6" ht="24.95" customHeight="1" x14ac:dyDescent="0.25">
      <c r="A521" s="83" t="s">
        <v>109</v>
      </c>
      <c r="B521" s="81">
        <v>0</v>
      </c>
      <c r="C521" s="83" t="s">
        <v>889</v>
      </c>
      <c r="D521" s="83" t="s">
        <v>266</v>
      </c>
      <c r="E521" s="100"/>
      <c r="F521" s="83" t="s">
        <v>869</v>
      </c>
    </row>
    <row r="522" spans="1:6" ht="24.95" customHeight="1" x14ac:dyDescent="0.25">
      <c r="A522" s="84" t="s">
        <v>110</v>
      </c>
      <c r="B522" s="82">
        <v>0</v>
      </c>
      <c r="C522" s="84" t="s">
        <v>889</v>
      </c>
      <c r="D522" s="84" t="s">
        <v>266</v>
      </c>
      <c r="E522" s="101"/>
      <c r="F522" s="84" t="s">
        <v>869</v>
      </c>
    </row>
    <row r="523" spans="1:6" ht="24.95" customHeight="1" x14ac:dyDescent="0.25">
      <c r="A523" s="83" t="s">
        <v>140</v>
      </c>
      <c r="B523" s="81">
        <v>0</v>
      </c>
      <c r="C523" s="83" t="s">
        <v>889</v>
      </c>
      <c r="D523" s="83" t="s">
        <v>266</v>
      </c>
      <c r="E523" s="100"/>
      <c r="F523" s="83" t="s">
        <v>869</v>
      </c>
    </row>
    <row r="524" spans="1:6" ht="24.95" customHeight="1" x14ac:dyDescent="0.25">
      <c r="A524" s="84" t="s">
        <v>111</v>
      </c>
      <c r="B524" s="82">
        <v>0</v>
      </c>
      <c r="C524" s="84" t="s">
        <v>889</v>
      </c>
      <c r="D524" s="84" t="s">
        <v>266</v>
      </c>
      <c r="E524" s="101"/>
      <c r="F524" s="84" t="s">
        <v>869</v>
      </c>
    </row>
    <row r="525" spans="1:6" ht="24.95" customHeight="1" x14ac:dyDescent="0.25">
      <c r="A525" s="83" t="s">
        <v>150</v>
      </c>
      <c r="B525" s="81">
        <v>0</v>
      </c>
      <c r="C525" s="83" t="s">
        <v>889</v>
      </c>
      <c r="D525" s="83" t="s">
        <v>266</v>
      </c>
      <c r="E525" s="100"/>
      <c r="F525" s="83" t="s">
        <v>869</v>
      </c>
    </row>
    <row r="526" spans="1:6" ht="24.95" customHeight="1" x14ac:dyDescent="0.25">
      <c r="A526" s="84" t="s">
        <v>169</v>
      </c>
      <c r="B526" s="82">
        <v>0</v>
      </c>
      <c r="C526" s="84" t="s">
        <v>889</v>
      </c>
      <c r="D526" s="84" t="s">
        <v>266</v>
      </c>
      <c r="E526" s="101"/>
      <c r="F526" s="84" t="s">
        <v>869</v>
      </c>
    </row>
    <row r="527" spans="1:6" ht="24.95" customHeight="1" x14ac:dyDescent="0.25">
      <c r="A527" s="83" t="s">
        <v>170</v>
      </c>
      <c r="B527" s="81">
        <v>0</v>
      </c>
      <c r="C527" s="83" t="s">
        <v>889</v>
      </c>
      <c r="D527" s="83" t="s">
        <v>266</v>
      </c>
      <c r="E527" s="100"/>
      <c r="F527" s="83" t="s">
        <v>869</v>
      </c>
    </row>
    <row r="528" spans="1:6" ht="24.95" customHeight="1" x14ac:dyDescent="0.25">
      <c r="A528" s="84" t="s">
        <v>895</v>
      </c>
      <c r="B528" s="82">
        <v>0</v>
      </c>
      <c r="C528" s="84" t="s">
        <v>889</v>
      </c>
      <c r="D528" s="84" t="s">
        <v>894</v>
      </c>
      <c r="E528" s="101"/>
      <c r="F528" s="84" t="s">
        <v>869</v>
      </c>
    </row>
    <row r="529" spans="1:6" ht="24.95" customHeight="1" x14ac:dyDescent="0.25">
      <c r="A529" s="83" t="s">
        <v>57</v>
      </c>
      <c r="B529" s="81">
        <v>0</v>
      </c>
      <c r="C529" s="83" t="s">
        <v>889</v>
      </c>
      <c r="D529" s="83" t="s">
        <v>266</v>
      </c>
      <c r="E529" s="100"/>
      <c r="F529" s="83" t="s">
        <v>869</v>
      </c>
    </row>
    <row r="530" spans="1:6" ht="24.95" customHeight="1" x14ac:dyDescent="0.25">
      <c r="A530" s="84" t="s">
        <v>112</v>
      </c>
      <c r="B530" s="82">
        <v>0</v>
      </c>
      <c r="C530" s="84" t="s">
        <v>889</v>
      </c>
      <c r="D530" s="84" t="s">
        <v>266</v>
      </c>
      <c r="E530" s="101"/>
      <c r="F530" s="84" t="s">
        <v>869</v>
      </c>
    </row>
    <row r="531" spans="1:6" ht="24.95" customHeight="1" x14ac:dyDescent="0.25">
      <c r="A531" s="83" t="s">
        <v>113</v>
      </c>
      <c r="B531" s="81">
        <v>0</v>
      </c>
      <c r="C531" s="83" t="s">
        <v>889</v>
      </c>
      <c r="D531" s="83" t="s">
        <v>266</v>
      </c>
      <c r="E531" s="100"/>
      <c r="F531" s="83" t="s">
        <v>869</v>
      </c>
    </row>
    <row r="532" spans="1:6" ht="24.95" customHeight="1" x14ac:dyDescent="0.25">
      <c r="A532" s="84" t="s">
        <v>901</v>
      </c>
      <c r="B532" s="82">
        <v>0</v>
      </c>
      <c r="C532" s="84" t="s">
        <v>889</v>
      </c>
      <c r="D532" s="84" t="s">
        <v>896</v>
      </c>
      <c r="E532" s="101"/>
      <c r="F532" s="84" t="s">
        <v>869</v>
      </c>
    </row>
    <row r="533" spans="1:6" ht="24.95" customHeight="1" x14ac:dyDescent="0.25">
      <c r="A533" s="83" t="s">
        <v>898</v>
      </c>
      <c r="B533" s="81">
        <v>0</v>
      </c>
      <c r="C533" s="83" t="s">
        <v>889</v>
      </c>
      <c r="D533" s="83" t="s">
        <v>897</v>
      </c>
      <c r="E533" s="100"/>
      <c r="F533" s="83" t="s">
        <v>869</v>
      </c>
    </row>
    <row r="534" spans="1:6" ht="24.95" customHeight="1" x14ac:dyDescent="0.25">
      <c r="A534" s="84" t="s">
        <v>900</v>
      </c>
      <c r="B534" s="82">
        <v>0</v>
      </c>
      <c r="C534" s="84" t="s">
        <v>889</v>
      </c>
      <c r="D534" s="84" t="s">
        <v>899</v>
      </c>
      <c r="E534" s="101"/>
      <c r="F534" s="84" t="s">
        <v>869</v>
      </c>
    </row>
    <row r="535" spans="1:6" ht="24.95" customHeight="1" x14ac:dyDescent="0.25">
      <c r="A535" s="83" t="s">
        <v>1298</v>
      </c>
      <c r="B535" s="81">
        <v>0</v>
      </c>
      <c r="C535" s="83"/>
      <c r="D535" s="83" t="s">
        <v>1298</v>
      </c>
      <c r="E535" s="100"/>
      <c r="F535" s="83" t="s">
        <v>869</v>
      </c>
    </row>
    <row r="536" spans="1:6" ht="24.95" customHeight="1" x14ac:dyDescent="0.25">
      <c r="A536" s="84" t="s">
        <v>1197</v>
      </c>
      <c r="B536" s="82">
        <v>0</v>
      </c>
      <c r="C536" s="84" t="s">
        <v>889</v>
      </c>
      <c r="D536" s="84" t="s">
        <v>1198</v>
      </c>
      <c r="E536" s="101"/>
      <c r="F536" s="84" t="s">
        <v>904</v>
      </c>
    </row>
    <row r="537" spans="1:6" ht="24.95" customHeight="1" x14ac:dyDescent="0.25">
      <c r="A537" s="83" t="s">
        <v>1193</v>
      </c>
      <c r="B537" s="81">
        <v>1251</v>
      </c>
      <c r="C537" s="83" t="s">
        <v>707</v>
      </c>
      <c r="D537" s="83" t="s">
        <v>189</v>
      </c>
      <c r="E537" s="100"/>
      <c r="F537" s="83" t="s">
        <v>906</v>
      </c>
    </row>
    <row r="538" spans="1:6" ht="24.95" customHeight="1" x14ac:dyDescent="0.25">
      <c r="A538" s="84" t="s">
        <v>811</v>
      </c>
      <c r="B538" s="82" t="s">
        <v>812</v>
      </c>
      <c r="C538" s="84" t="s">
        <v>2003</v>
      </c>
      <c r="D538" s="84" t="s">
        <v>189</v>
      </c>
      <c r="E538" s="101"/>
      <c r="F538" s="84" t="s">
        <v>906</v>
      </c>
    </row>
    <row r="539" spans="1:6" ht="24.95" customHeight="1" x14ac:dyDescent="0.25">
      <c r="A539" s="83" t="s">
        <v>59</v>
      </c>
      <c r="B539" s="81">
        <v>1571</v>
      </c>
      <c r="C539" s="83" t="s">
        <v>707</v>
      </c>
      <c r="D539" s="83" t="s">
        <v>189</v>
      </c>
      <c r="E539" s="100"/>
      <c r="F539" s="83" t="s">
        <v>906</v>
      </c>
    </row>
    <row r="540" spans="1:6" ht="24.95" customHeight="1" x14ac:dyDescent="0.25">
      <c r="A540" s="84" t="s">
        <v>275</v>
      </c>
      <c r="B540" s="82" t="s">
        <v>375</v>
      </c>
      <c r="C540" s="84" t="s">
        <v>707</v>
      </c>
      <c r="D540" s="84" t="s">
        <v>189</v>
      </c>
      <c r="E540" s="101"/>
      <c r="F540" s="84" t="s">
        <v>906</v>
      </c>
    </row>
    <row r="541" spans="1:6" ht="24.95" customHeight="1" x14ac:dyDescent="0.25">
      <c r="A541" s="83" t="s">
        <v>33</v>
      </c>
      <c r="B541" s="81">
        <v>991</v>
      </c>
      <c r="C541" s="83" t="s">
        <v>707</v>
      </c>
      <c r="D541" s="83" t="s">
        <v>539</v>
      </c>
      <c r="E541" s="100"/>
      <c r="F541" s="83" t="s">
        <v>923</v>
      </c>
    </row>
    <row r="542" spans="1:6" ht="24.95" customHeight="1" x14ac:dyDescent="0.25">
      <c r="A542" s="84" t="s">
        <v>1818</v>
      </c>
      <c r="B542" s="82">
        <v>586</v>
      </c>
      <c r="C542" s="84" t="s">
        <v>707</v>
      </c>
      <c r="D542" s="84" t="s">
        <v>542</v>
      </c>
      <c r="E542" s="101"/>
      <c r="F542" s="84" t="s">
        <v>923</v>
      </c>
    </row>
    <row r="543" spans="1:6" ht="24.95" customHeight="1" x14ac:dyDescent="0.25">
      <c r="A543" s="83" t="s">
        <v>924</v>
      </c>
      <c r="B543" s="81">
        <v>1526</v>
      </c>
      <c r="C543" s="83" t="s">
        <v>707</v>
      </c>
      <c r="D543" s="83" t="s">
        <v>543</v>
      </c>
      <c r="E543" s="100"/>
      <c r="F543" s="83" t="s">
        <v>923</v>
      </c>
    </row>
    <row r="544" spans="1:6" ht="24.95" customHeight="1" x14ac:dyDescent="0.25">
      <c r="A544" s="84" t="s">
        <v>911</v>
      </c>
      <c r="B544" s="82">
        <v>20446</v>
      </c>
      <c r="C544" s="84" t="s">
        <v>2003</v>
      </c>
      <c r="D544" s="84" t="s">
        <v>909</v>
      </c>
      <c r="E544" s="101"/>
      <c r="F544" s="84" t="s">
        <v>923</v>
      </c>
    </row>
    <row r="545" spans="1:6" ht="24.95" customHeight="1" x14ac:dyDescent="0.25">
      <c r="A545" s="83" t="s">
        <v>912</v>
      </c>
      <c r="B545" s="81">
        <v>20408</v>
      </c>
      <c r="C545" s="83" t="s">
        <v>2003</v>
      </c>
      <c r="D545" s="83" t="s">
        <v>186</v>
      </c>
      <c r="E545" s="100"/>
      <c r="F545" s="83" t="s">
        <v>923</v>
      </c>
    </row>
    <row r="546" spans="1:6" ht="24.95" customHeight="1" x14ac:dyDescent="0.25">
      <c r="A546" s="84" t="s">
        <v>1832</v>
      </c>
      <c r="B546" s="82">
        <v>20986</v>
      </c>
      <c r="C546" s="84" t="s">
        <v>2003</v>
      </c>
      <c r="D546" s="84" t="s">
        <v>1044</v>
      </c>
      <c r="E546" s="101"/>
      <c r="F546" s="84" t="s">
        <v>923</v>
      </c>
    </row>
    <row r="547" spans="1:6" ht="24.95" customHeight="1" x14ac:dyDescent="0.25">
      <c r="A547" s="83" t="s">
        <v>12</v>
      </c>
      <c r="B547" s="81">
        <v>482</v>
      </c>
      <c r="C547" s="83" t="s">
        <v>707</v>
      </c>
      <c r="D547" s="83"/>
      <c r="E547" s="100"/>
      <c r="F547" s="83" t="s">
        <v>923</v>
      </c>
    </row>
    <row r="548" spans="1:6" ht="24.95" customHeight="1" x14ac:dyDescent="0.25">
      <c r="A548" s="84" t="s">
        <v>913</v>
      </c>
      <c r="B548" s="82" t="s">
        <v>792</v>
      </c>
      <c r="C548" s="84" t="s">
        <v>914</v>
      </c>
      <c r="D548" s="84" t="s">
        <v>709</v>
      </c>
      <c r="E548" s="101"/>
      <c r="F548" s="84" t="s">
        <v>923</v>
      </c>
    </row>
    <row r="549" spans="1:6" ht="24.95" customHeight="1" x14ac:dyDescent="0.25">
      <c r="A549" s="83" t="s">
        <v>1910</v>
      </c>
      <c r="B549" s="81">
        <v>20928</v>
      </c>
      <c r="C549" s="83" t="s">
        <v>2003</v>
      </c>
      <c r="D549" s="83" t="s">
        <v>793</v>
      </c>
      <c r="E549" s="100"/>
      <c r="F549" s="83" t="s">
        <v>923</v>
      </c>
    </row>
    <row r="550" spans="1:6" ht="24.95" customHeight="1" x14ac:dyDescent="0.25">
      <c r="A550" s="84" t="s">
        <v>917</v>
      </c>
      <c r="B550" s="82" t="s">
        <v>374</v>
      </c>
      <c r="C550" s="84" t="s">
        <v>707</v>
      </c>
      <c r="D550" s="84" t="s">
        <v>188</v>
      </c>
      <c r="E550" s="101"/>
      <c r="F550" s="84" t="s">
        <v>923</v>
      </c>
    </row>
    <row r="551" spans="1:6" ht="24.95" customHeight="1" x14ac:dyDescent="0.25">
      <c r="A551" s="83" t="s">
        <v>1526</v>
      </c>
      <c r="B551" s="81" t="s">
        <v>1527</v>
      </c>
      <c r="C551" s="83" t="s">
        <v>707</v>
      </c>
      <c r="D551" s="83" t="s">
        <v>1528</v>
      </c>
      <c r="E551" s="100">
        <v>3874527662</v>
      </c>
      <c r="F551" s="83" t="s">
        <v>923</v>
      </c>
    </row>
    <row r="552" spans="1:6" ht="24.95" customHeight="1" x14ac:dyDescent="0.25">
      <c r="A552" s="84" t="s">
        <v>253</v>
      </c>
      <c r="B552" s="82">
        <v>774</v>
      </c>
      <c r="C552" s="84" t="s">
        <v>707</v>
      </c>
      <c r="D552" s="84" t="s">
        <v>916</v>
      </c>
      <c r="E552" s="101"/>
      <c r="F552" s="84" t="s">
        <v>923</v>
      </c>
    </row>
    <row r="553" spans="1:6" ht="24.95" customHeight="1" x14ac:dyDescent="0.25">
      <c r="A553" s="83" t="s">
        <v>1780</v>
      </c>
      <c r="B553" s="81">
        <v>113</v>
      </c>
      <c r="C553" s="83" t="s">
        <v>707</v>
      </c>
      <c r="D553" s="83" t="s">
        <v>916</v>
      </c>
      <c r="E553" s="100"/>
      <c r="F553" s="83" t="s">
        <v>923</v>
      </c>
    </row>
    <row r="554" spans="1:6" ht="24.95" customHeight="1" x14ac:dyDescent="0.25">
      <c r="A554" s="84" t="s">
        <v>910</v>
      </c>
      <c r="B554" s="82">
        <v>20405</v>
      </c>
      <c r="C554" s="84" t="s">
        <v>707</v>
      </c>
      <c r="D554" s="84" t="s">
        <v>194</v>
      </c>
      <c r="E554" s="101">
        <v>3071797338</v>
      </c>
      <c r="F554" s="84" t="s">
        <v>923</v>
      </c>
    </row>
    <row r="555" spans="1:6" ht="24.95" customHeight="1" x14ac:dyDescent="0.25">
      <c r="A555" s="83" t="s">
        <v>1846</v>
      </c>
      <c r="B555" s="81">
        <v>20455</v>
      </c>
      <c r="C555" s="83" t="s">
        <v>2003</v>
      </c>
      <c r="D555" s="83" t="s">
        <v>189</v>
      </c>
      <c r="E555" s="100"/>
      <c r="F555" s="83" t="s">
        <v>923</v>
      </c>
    </row>
    <row r="556" spans="1:6" ht="24.95" customHeight="1" x14ac:dyDescent="0.25">
      <c r="A556" s="84" t="s">
        <v>2035</v>
      </c>
      <c r="B556" s="82" t="s">
        <v>373</v>
      </c>
      <c r="C556" s="84" t="s">
        <v>707</v>
      </c>
      <c r="D556" s="84" t="s">
        <v>2036</v>
      </c>
      <c r="E556" s="101"/>
      <c r="F556" s="84" t="s">
        <v>923</v>
      </c>
    </row>
    <row r="557" spans="1:6" ht="24.95" customHeight="1" x14ac:dyDescent="0.25">
      <c r="A557" s="83" t="s">
        <v>919</v>
      </c>
      <c r="B557" s="81">
        <v>740</v>
      </c>
      <c r="C557" s="83" t="s">
        <v>707</v>
      </c>
      <c r="D557" s="83" t="s">
        <v>188</v>
      </c>
      <c r="E557" s="100"/>
      <c r="F557" s="83" t="s">
        <v>923</v>
      </c>
    </row>
    <row r="558" spans="1:6" ht="24.95" customHeight="1" x14ac:dyDescent="0.25">
      <c r="A558" s="84" t="s">
        <v>1144</v>
      </c>
      <c r="B558" s="82" t="s">
        <v>1145</v>
      </c>
      <c r="C558" s="84" t="s">
        <v>707</v>
      </c>
      <c r="D558" s="84" t="s">
        <v>722</v>
      </c>
      <c r="E558" s="101"/>
      <c r="F558" s="84" t="s">
        <v>923</v>
      </c>
    </row>
    <row r="559" spans="1:6" ht="24.95" customHeight="1" x14ac:dyDescent="0.25">
      <c r="A559" s="83" t="s">
        <v>1543</v>
      </c>
      <c r="B559" s="81" t="s">
        <v>1544</v>
      </c>
      <c r="C559" s="83" t="s">
        <v>2003</v>
      </c>
      <c r="D559" s="83" t="s">
        <v>1545</v>
      </c>
      <c r="E559" s="100"/>
      <c r="F559" s="83" t="s">
        <v>923</v>
      </c>
    </row>
    <row r="560" spans="1:6" ht="24.95" customHeight="1" x14ac:dyDescent="0.25">
      <c r="A560" s="84" t="s">
        <v>1862</v>
      </c>
      <c r="B560" s="82">
        <v>20992</v>
      </c>
      <c r="C560" s="84" t="s">
        <v>2003</v>
      </c>
      <c r="D560" s="84" t="s">
        <v>741</v>
      </c>
      <c r="E560" s="101"/>
      <c r="F560" s="84" t="s">
        <v>923</v>
      </c>
    </row>
    <row r="561" spans="1:6" ht="24.95" customHeight="1" x14ac:dyDescent="0.25">
      <c r="A561" s="83" t="s">
        <v>1863</v>
      </c>
      <c r="B561" s="81">
        <v>20991</v>
      </c>
      <c r="C561" s="83" t="s">
        <v>2003</v>
      </c>
      <c r="D561" s="83" t="s">
        <v>1528</v>
      </c>
      <c r="E561" s="100"/>
      <c r="F561" s="83" t="s">
        <v>923</v>
      </c>
    </row>
    <row r="562" spans="1:6" ht="24.95" customHeight="1" x14ac:dyDescent="0.25">
      <c r="A562" s="84" t="s">
        <v>1541</v>
      </c>
      <c r="B562" s="82" t="s">
        <v>792</v>
      </c>
      <c r="C562" s="84" t="s">
        <v>1542</v>
      </c>
      <c r="D562" s="84" t="s">
        <v>914</v>
      </c>
      <c r="E562" s="101"/>
      <c r="F562" s="84" t="s">
        <v>923</v>
      </c>
    </row>
    <row r="563" spans="1:6" ht="24.95" customHeight="1" x14ac:dyDescent="0.25">
      <c r="A563" s="83" t="s">
        <v>908</v>
      </c>
      <c r="B563" s="81" t="s">
        <v>792</v>
      </c>
      <c r="C563" s="83" t="s">
        <v>907</v>
      </c>
      <c r="D563" s="83" t="s">
        <v>720</v>
      </c>
      <c r="E563" s="100"/>
      <c r="F563" s="83" t="s">
        <v>923</v>
      </c>
    </row>
    <row r="564" spans="1:6" ht="24.95" customHeight="1" x14ac:dyDescent="0.25">
      <c r="A564" s="84" t="s">
        <v>920</v>
      </c>
      <c r="B564" s="82">
        <v>991205</v>
      </c>
      <c r="C564" s="84" t="s">
        <v>707</v>
      </c>
      <c r="D564" s="84" t="s">
        <v>916</v>
      </c>
      <c r="E564" s="101"/>
      <c r="F564" s="84" t="s">
        <v>923</v>
      </c>
    </row>
    <row r="565" spans="1:6" ht="24.95" customHeight="1" x14ac:dyDescent="0.25">
      <c r="A565" s="83" t="s">
        <v>921</v>
      </c>
      <c r="B565" s="81">
        <v>4010205</v>
      </c>
      <c r="C565" s="83" t="s">
        <v>707</v>
      </c>
      <c r="D565" s="83" t="s">
        <v>186</v>
      </c>
      <c r="E565" s="100"/>
      <c r="F565" s="83" t="s">
        <v>923</v>
      </c>
    </row>
    <row r="566" spans="1:6" ht="24.95" customHeight="1" x14ac:dyDescent="0.25">
      <c r="A566" s="84" t="s">
        <v>928</v>
      </c>
      <c r="B566" s="82">
        <v>4020106</v>
      </c>
      <c r="C566" s="84" t="s">
        <v>707</v>
      </c>
      <c r="D566" s="84" t="s">
        <v>189</v>
      </c>
      <c r="E566" s="101"/>
      <c r="F566" s="84" t="s">
        <v>923</v>
      </c>
    </row>
    <row r="567" spans="1:6" ht="24.95" customHeight="1" x14ac:dyDescent="0.25">
      <c r="A567" s="83" t="s">
        <v>1383</v>
      </c>
      <c r="B567" s="81">
        <v>2708</v>
      </c>
      <c r="C567" s="83" t="s">
        <v>707</v>
      </c>
      <c r="D567" s="83" t="s">
        <v>185</v>
      </c>
      <c r="E567" s="100">
        <v>4449899075</v>
      </c>
      <c r="F567" s="83" t="s">
        <v>923</v>
      </c>
    </row>
    <row r="568" spans="1:6" ht="24.95" customHeight="1" x14ac:dyDescent="0.25">
      <c r="A568" s="84" t="s">
        <v>1427</v>
      </c>
      <c r="B568" s="82">
        <v>20718</v>
      </c>
      <c r="C568" s="84" t="s">
        <v>2003</v>
      </c>
      <c r="D568" s="84" t="s">
        <v>189</v>
      </c>
      <c r="E568" s="101">
        <v>3060274010</v>
      </c>
      <c r="F568" s="84" t="s">
        <v>923</v>
      </c>
    </row>
    <row r="569" spans="1:6" ht="24.95" customHeight="1" x14ac:dyDescent="0.25">
      <c r="A569" s="83" t="s">
        <v>922</v>
      </c>
      <c r="B569" s="81">
        <v>567</v>
      </c>
      <c r="C569" s="83" t="s">
        <v>707</v>
      </c>
      <c r="D569" s="83" t="s">
        <v>186</v>
      </c>
      <c r="E569" s="100"/>
      <c r="F569" s="83" t="s">
        <v>923</v>
      </c>
    </row>
    <row r="570" spans="1:6" ht="24.95" customHeight="1" x14ac:dyDescent="0.25">
      <c r="A570" s="84" t="s">
        <v>925</v>
      </c>
      <c r="B570" s="82">
        <v>416</v>
      </c>
      <c r="C570" s="84" t="s">
        <v>707</v>
      </c>
      <c r="D570" s="84" t="s">
        <v>926</v>
      </c>
      <c r="E570" s="101"/>
      <c r="F570" s="84" t="s">
        <v>923</v>
      </c>
    </row>
    <row r="571" spans="1:6" ht="24.95" customHeight="1" x14ac:dyDescent="0.25">
      <c r="A571" s="83" t="s">
        <v>1322</v>
      </c>
      <c r="B571" s="81">
        <v>4001210</v>
      </c>
      <c r="C571" s="83" t="s">
        <v>707</v>
      </c>
      <c r="D571" s="83" t="s">
        <v>722</v>
      </c>
      <c r="E571" s="100"/>
      <c r="F571" s="83" t="s">
        <v>923</v>
      </c>
    </row>
    <row r="572" spans="1:6" ht="24.95" customHeight="1" x14ac:dyDescent="0.25">
      <c r="A572" s="84" t="s">
        <v>1716</v>
      </c>
      <c r="B572" s="82" t="s">
        <v>792</v>
      </c>
      <c r="C572" s="84" t="s">
        <v>709</v>
      </c>
      <c r="D572" s="84" t="s">
        <v>709</v>
      </c>
      <c r="E572" s="101"/>
      <c r="F572" s="84" t="s">
        <v>923</v>
      </c>
    </row>
    <row r="573" spans="1:6" ht="24.95" customHeight="1" x14ac:dyDescent="0.25">
      <c r="A573" s="83" t="s">
        <v>290</v>
      </c>
      <c r="B573" s="81">
        <v>20509</v>
      </c>
      <c r="C573" s="83" t="s">
        <v>2003</v>
      </c>
      <c r="D573" s="83" t="s">
        <v>932</v>
      </c>
      <c r="E573" s="100"/>
      <c r="F573" s="83" t="s">
        <v>937</v>
      </c>
    </row>
    <row r="574" spans="1:6" ht="24.95" customHeight="1" x14ac:dyDescent="0.25">
      <c r="A574" s="84" t="s">
        <v>291</v>
      </c>
      <c r="B574" s="82">
        <v>20258</v>
      </c>
      <c r="C574" s="84" t="s">
        <v>2003</v>
      </c>
      <c r="D574" s="84" t="s">
        <v>933</v>
      </c>
      <c r="E574" s="101"/>
      <c r="F574" s="84" t="s">
        <v>937</v>
      </c>
    </row>
    <row r="575" spans="1:6" ht="24.95" customHeight="1" x14ac:dyDescent="0.25">
      <c r="A575" s="83" t="s">
        <v>1627</v>
      </c>
      <c r="B575" s="81">
        <v>20472</v>
      </c>
      <c r="C575" s="83" t="s">
        <v>2003</v>
      </c>
      <c r="D575" s="83" t="s">
        <v>932</v>
      </c>
      <c r="E575" s="100"/>
      <c r="F575" s="83" t="s">
        <v>937</v>
      </c>
    </row>
    <row r="576" spans="1:6" ht="24.95" customHeight="1" x14ac:dyDescent="0.25">
      <c r="A576" s="84" t="s">
        <v>1566</v>
      </c>
      <c r="B576" s="82">
        <v>20770</v>
      </c>
      <c r="C576" s="84" t="s">
        <v>2003</v>
      </c>
      <c r="D576" s="84" t="s">
        <v>401</v>
      </c>
      <c r="E576" s="101"/>
      <c r="F576" s="84" t="s">
        <v>937</v>
      </c>
    </row>
    <row r="577" spans="1:6" ht="24.95" customHeight="1" x14ac:dyDescent="0.25">
      <c r="A577" s="83" t="s">
        <v>93</v>
      </c>
      <c r="B577" s="81">
        <v>990904</v>
      </c>
      <c r="C577" s="83" t="s">
        <v>707</v>
      </c>
      <c r="D577" s="83" t="s">
        <v>934</v>
      </c>
      <c r="E577" s="100"/>
      <c r="F577" s="83" t="s">
        <v>937</v>
      </c>
    </row>
    <row r="578" spans="1:6" ht="24.95" customHeight="1" x14ac:dyDescent="0.25">
      <c r="A578" s="84" t="s">
        <v>1289</v>
      </c>
      <c r="B578" s="82">
        <v>20632</v>
      </c>
      <c r="C578" s="84" t="s">
        <v>2003</v>
      </c>
      <c r="D578" s="84" t="s">
        <v>1290</v>
      </c>
      <c r="E578" s="101"/>
      <c r="F578" s="84" t="s">
        <v>937</v>
      </c>
    </row>
    <row r="579" spans="1:6" ht="24.95" customHeight="1" x14ac:dyDescent="0.25">
      <c r="A579" s="83" t="s">
        <v>930</v>
      </c>
      <c r="B579" s="81">
        <v>115</v>
      </c>
      <c r="C579" s="83" t="s">
        <v>707</v>
      </c>
      <c r="D579" s="83" t="s">
        <v>935</v>
      </c>
      <c r="E579" s="100"/>
      <c r="F579" s="83" t="s">
        <v>938</v>
      </c>
    </row>
    <row r="580" spans="1:6" ht="24.95" customHeight="1" x14ac:dyDescent="0.25">
      <c r="A580" s="84" t="s">
        <v>931</v>
      </c>
      <c r="B580" s="82">
        <v>1916</v>
      </c>
      <c r="C580" s="84" t="s">
        <v>707</v>
      </c>
      <c r="D580" s="84" t="s">
        <v>936</v>
      </c>
      <c r="E580" s="101"/>
      <c r="F580" s="84" t="s">
        <v>561</v>
      </c>
    </row>
    <row r="581" spans="1:6" ht="24.95" customHeight="1" x14ac:dyDescent="0.25">
      <c r="A581" s="83" t="s">
        <v>939</v>
      </c>
      <c r="B581" s="81">
        <v>20439</v>
      </c>
      <c r="C581" s="83" t="s">
        <v>2003</v>
      </c>
      <c r="D581" s="83" t="s">
        <v>854</v>
      </c>
      <c r="E581" s="100"/>
      <c r="F581" s="83" t="s">
        <v>940</v>
      </c>
    </row>
    <row r="582" spans="1:6" ht="24.95" customHeight="1" x14ac:dyDescent="0.25">
      <c r="A582" s="84" t="s">
        <v>1356</v>
      </c>
      <c r="B582" s="82"/>
      <c r="C582" s="84" t="s">
        <v>707</v>
      </c>
      <c r="D582" s="84" t="s">
        <v>801</v>
      </c>
      <c r="E582" s="101"/>
      <c r="F582" s="84" t="s">
        <v>940</v>
      </c>
    </row>
    <row r="583" spans="1:6" ht="24.95" customHeight="1" x14ac:dyDescent="0.25">
      <c r="A583" s="83" t="s">
        <v>953</v>
      </c>
      <c r="B583" s="81" t="s">
        <v>368</v>
      </c>
      <c r="C583" s="83" t="s">
        <v>2003</v>
      </c>
      <c r="D583" s="83" t="s">
        <v>189</v>
      </c>
      <c r="E583" s="100"/>
      <c r="F583" s="83" t="s">
        <v>940</v>
      </c>
    </row>
    <row r="584" spans="1:6" ht="24.95" customHeight="1" x14ac:dyDescent="0.25">
      <c r="A584" s="84" t="s">
        <v>1767</v>
      </c>
      <c r="B584" s="82">
        <v>0</v>
      </c>
      <c r="C584" s="84" t="s">
        <v>962</v>
      </c>
      <c r="D584" s="84" t="s">
        <v>1768</v>
      </c>
      <c r="E584" s="101">
        <v>3060428085</v>
      </c>
      <c r="F584" s="84" t="s">
        <v>940</v>
      </c>
    </row>
    <row r="585" spans="1:6" ht="24.95" customHeight="1" x14ac:dyDescent="0.25">
      <c r="A585" s="83" t="s">
        <v>356</v>
      </c>
      <c r="B585" s="81">
        <v>498</v>
      </c>
      <c r="C585" s="83" t="s">
        <v>707</v>
      </c>
      <c r="D585" s="83" t="s">
        <v>941</v>
      </c>
      <c r="E585" s="100"/>
      <c r="F585" s="83" t="s">
        <v>940</v>
      </c>
    </row>
    <row r="586" spans="1:6" ht="24.95" customHeight="1" x14ac:dyDescent="0.25">
      <c r="A586" s="84" t="s">
        <v>23</v>
      </c>
      <c r="B586" s="82">
        <v>577</v>
      </c>
      <c r="C586" s="84" t="s">
        <v>707</v>
      </c>
      <c r="D586" s="84" t="s">
        <v>809</v>
      </c>
      <c r="E586" s="101"/>
      <c r="F586" s="84" t="s">
        <v>940</v>
      </c>
    </row>
    <row r="587" spans="1:6" ht="24.95" customHeight="1" x14ac:dyDescent="0.25">
      <c r="A587" s="83" t="s">
        <v>1896</v>
      </c>
      <c r="B587" s="81">
        <v>0</v>
      </c>
      <c r="C587" s="83" t="s">
        <v>707</v>
      </c>
      <c r="D587" s="83" t="s">
        <v>722</v>
      </c>
      <c r="E587" s="100"/>
      <c r="F587" s="83" t="s">
        <v>940</v>
      </c>
    </row>
    <row r="588" spans="1:6" ht="24.95" customHeight="1" x14ac:dyDescent="0.25">
      <c r="A588" s="84" t="s">
        <v>954</v>
      </c>
      <c r="B588" s="82">
        <v>2701</v>
      </c>
      <c r="C588" s="84" t="s">
        <v>707</v>
      </c>
      <c r="D588" s="84" t="s">
        <v>542</v>
      </c>
      <c r="E588" s="101"/>
      <c r="F588" s="84" t="s">
        <v>940</v>
      </c>
    </row>
    <row r="589" spans="1:6" ht="24.95" customHeight="1" x14ac:dyDescent="0.25">
      <c r="A589" s="83" t="s">
        <v>1902</v>
      </c>
      <c r="B589" s="81">
        <v>21032</v>
      </c>
      <c r="C589" s="83" t="s">
        <v>962</v>
      </c>
      <c r="D589" s="83" t="s">
        <v>1904</v>
      </c>
      <c r="E589" s="100" t="s">
        <v>1903</v>
      </c>
      <c r="F589" s="83" t="s">
        <v>940</v>
      </c>
    </row>
    <row r="590" spans="1:6" ht="24.95" customHeight="1" x14ac:dyDescent="0.25">
      <c r="A590" s="84" t="s">
        <v>1761</v>
      </c>
      <c r="B590" s="82">
        <v>0</v>
      </c>
      <c r="C590" s="84" t="s">
        <v>962</v>
      </c>
      <c r="D590" s="84" t="s">
        <v>790</v>
      </c>
      <c r="E590" s="101">
        <v>2991530693</v>
      </c>
      <c r="F590" s="84" t="s">
        <v>940</v>
      </c>
    </row>
    <row r="591" spans="1:6" ht="24.95" customHeight="1" x14ac:dyDescent="0.25">
      <c r="A591" s="83" t="s">
        <v>442</v>
      </c>
      <c r="B591" s="81" t="s">
        <v>942</v>
      </c>
      <c r="C591" s="83" t="s">
        <v>707</v>
      </c>
      <c r="D591" s="83" t="s">
        <v>943</v>
      </c>
      <c r="E591" s="100"/>
      <c r="F591" s="83" t="s">
        <v>940</v>
      </c>
    </row>
    <row r="592" spans="1:6" ht="24.95" customHeight="1" x14ac:dyDescent="0.25">
      <c r="A592" s="84" t="s">
        <v>955</v>
      </c>
      <c r="B592" s="82" t="s">
        <v>320</v>
      </c>
      <c r="C592" s="84" t="s">
        <v>707</v>
      </c>
      <c r="D592" s="84" t="s">
        <v>188</v>
      </c>
      <c r="E592" s="101"/>
      <c r="F592" s="84" t="s">
        <v>940</v>
      </c>
    </row>
    <row r="593" spans="1:6" ht="24.95" customHeight="1" x14ac:dyDescent="0.25">
      <c r="A593" s="83" t="s">
        <v>945</v>
      </c>
      <c r="B593" s="81" t="s">
        <v>944</v>
      </c>
      <c r="C593" s="83" t="s">
        <v>707</v>
      </c>
      <c r="D593" s="83" t="s">
        <v>543</v>
      </c>
      <c r="E593" s="100"/>
      <c r="F593" s="83" t="s">
        <v>940</v>
      </c>
    </row>
    <row r="594" spans="1:6" ht="24.95" customHeight="1" x14ac:dyDescent="0.25">
      <c r="A594" s="84" t="s">
        <v>1854</v>
      </c>
      <c r="B594" s="82">
        <v>20883</v>
      </c>
      <c r="C594" s="84" t="s">
        <v>962</v>
      </c>
      <c r="D594" s="84" t="s">
        <v>741</v>
      </c>
      <c r="E594" s="101"/>
      <c r="F594" s="84" t="s">
        <v>940</v>
      </c>
    </row>
    <row r="595" spans="1:6" ht="24.95" customHeight="1" x14ac:dyDescent="0.25">
      <c r="A595" s="83" t="s">
        <v>2021</v>
      </c>
      <c r="B595" s="81">
        <v>20957</v>
      </c>
      <c r="C595" s="83" t="s">
        <v>962</v>
      </c>
      <c r="D595" s="83" t="s">
        <v>1811</v>
      </c>
      <c r="E595" s="100"/>
      <c r="F595" s="83" t="s">
        <v>940</v>
      </c>
    </row>
    <row r="596" spans="1:6" ht="24.95" customHeight="1" x14ac:dyDescent="0.25">
      <c r="A596" s="84" t="s">
        <v>1861</v>
      </c>
      <c r="B596" s="82">
        <v>20540</v>
      </c>
      <c r="C596" s="84" t="s">
        <v>962</v>
      </c>
      <c r="D596" s="84" t="s">
        <v>189</v>
      </c>
      <c r="E596" s="101"/>
      <c r="F596" s="84" t="s">
        <v>940</v>
      </c>
    </row>
    <row r="597" spans="1:6" ht="24.95" customHeight="1" x14ac:dyDescent="0.25">
      <c r="A597" s="83" t="s">
        <v>1769</v>
      </c>
      <c r="B597" s="81" t="s">
        <v>792</v>
      </c>
      <c r="C597" s="83" t="s">
        <v>962</v>
      </c>
      <c r="D597" s="83" t="s">
        <v>194</v>
      </c>
      <c r="E597" s="100"/>
      <c r="F597" s="83" t="s">
        <v>940</v>
      </c>
    </row>
    <row r="598" spans="1:6" ht="24.95" customHeight="1" x14ac:dyDescent="0.25">
      <c r="A598" s="84" t="s">
        <v>1770</v>
      </c>
      <c r="B598" s="82" t="s">
        <v>1771</v>
      </c>
      <c r="C598" s="84" t="s">
        <v>962</v>
      </c>
      <c r="D598" s="84" t="s">
        <v>741</v>
      </c>
      <c r="E598" s="101"/>
      <c r="F598" s="84" t="s">
        <v>940</v>
      </c>
    </row>
    <row r="599" spans="1:6" ht="24.95" customHeight="1" x14ac:dyDescent="0.25">
      <c r="A599" s="83" t="s">
        <v>1911</v>
      </c>
      <c r="B599" s="81">
        <v>20996</v>
      </c>
      <c r="C599" s="83" t="s">
        <v>962</v>
      </c>
      <c r="D599" s="83" t="s">
        <v>722</v>
      </c>
      <c r="E599" s="100"/>
      <c r="F599" s="83" t="s">
        <v>940</v>
      </c>
    </row>
    <row r="600" spans="1:6" ht="24.95" customHeight="1" x14ac:dyDescent="0.25">
      <c r="A600" s="84" t="s">
        <v>357</v>
      </c>
      <c r="B600" s="82">
        <v>3771</v>
      </c>
      <c r="C600" s="84" t="s">
        <v>707</v>
      </c>
      <c r="D600" s="84" t="s">
        <v>189</v>
      </c>
      <c r="E600" s="101"/>
      <c r="F600" s="84" t="s">
        <v>940</v>
      </c>
    </row>
    <row r="601" spans="1:6" ht="24.95" customHeight="1" x14ac:dyDescent="0.25">
      <c r="A601" s="83" t="s">
        <v>1874</v>
      </c>
      <c r="B601" s="81">
        <v>4031210</v>
      </c>
      <c r="C601" s="83" t="s">
        <v>707</v>
      </c>
      <c r="D601" s="83" t="s">
        <v>1875</v>
      </c>
      <c r="E601" s="100">
        <v>1840328029</v>
      </c>
      <c r="F601" s="83" t="s">
        <v>940</v>
      </c>
    </row>
    <row r="602" spans="1:6" ht="24.95" customHeight="1" x14ac:dyDescent="0.25">
      <c r="A602" s="84" t="s">
        <v>946</v>
      </c>
      <c r="B602" s="82">
        <v>3801</v>
      </c>
      <c r="C602" s="84" t="s">
        <v>707</v>
      </c>
      <c r="D602" s="84" t="s">
        <v>543</v>
      </c>
      <c r="E602" s="101"/>
      <c r="F602" s="84" t="s">
        <v>940</v>
      </c>
    </row>
    <row r="603" spans="1:6" ht="24.95" customHeight="1" x14ac:dyDescent="0.25">
      <c r="A603" s="83" t="s">
        <v>1611</v>
      </c>
      <c r="B603" s="81" t="s">
        <v>1612</v>
      </c>
      <c r="C603" s="83" t="s">
        <v>962</v>
      </c>
      <c r="D603" s="83" t="s">
        <v>543</v>
      </c>
      <c r="E603" s="100"/>
      <c r="F603" s="83" t="s">
        <v>940</v>
      </c>
    </row>
    <row r="604" spans="1:6" ht="24.95" customHeight="1" x14ac:dyDescent="0.25">
      <c r="A604" s="84" t="s">
        <v>115</v>
      </c>
      <c r="B604" s="82" t="s">
        <v>947</v>
      </c>
      <c r="C604" s="84" t="s">
        <v>707</v>
      </c>
      <c r="D604" s="84" t="s">
        <v>948</v>
      </c>
      <c r="E604" s="101"/>
      <c r="F604" s="84" t="s">
        <v>940</v>
      </c>
    </row>
    <row r="605" spans="1:6" ht="24.95" customHeight="1" x14ac:dyDescent="0.25">
      <c r="A605" s="83" t="s">
        <v>956</v>
      </c>
      <c r="B605" s="81"/>
      <c r="C605" s="83" t="s">
        <v>707</v>
      </c>
      <c r="D605" s="83" t="s">
        <v>542</v>
      </c>
      <c r="E605" s="100"/>
      <c r="F605" s="83" t="s">
        <v>940</v>
      </c>
    </row>
    <row r="606" spans="1:6" ht="24.95" customHeight="1" x14ac:dyDescent="0.25">
      <c r="A606" s="84" t="s">
        <v>660</v>
      </c>
      <c r="B606" s="82">
        <v>20401</v>
      </c>
      <c r="C606" s="84" t="s">
        <v>2003</v>
      </c>
      <c r="D606" s="84" t="s">
        <v>810</v>
      </c>
      <c r="E606" s="101"/>
      <c r="F606" s="84" t="s">
        <v>940</v>
      </c>
    </row>
    <row r="607" spans="1:6" ht="24.95" customHeight="1" x14ac:dyDescent="0.25">
      <c r="A607" s="83" t="s">
        <v>1609</v>
      </c>
      <c r="B607" s="81" t="s">
        <v>1610</v>
      </c>
      <c r="C607" s="83" t="s">
        <v>707</v>
      </c>
      <c r="D607" s="83" t="s">
        <v>545</v>
      </c>
      <c r="E607" s="100"/>
      <c r="F607" s="83" t="s">
        <v>940</v>
      </c>
    </row>
    <row r="608" spans="1:6" ht="24.95" customHeight="1" x14ac:dyDescent="0.25">
      <c r="A608" s="84" t="s">
        <v>446</v>
      </c>
      <c r="B608" s="82" t="s">
        <v>949</v>
      </c>
      <c r="C608" s="84" t="s">
        <v>707</v>
      </c>
      <c r="D608" s="84" t="s">
        <v>188</v>
      </c>
      <c r="E608" s="101"/>
      <c r="F608" s="84" t="s">
        <v>940</v>
      </c>
    </row>
    <row r="609" spans="1:6" ht="24.95" customHeight="1" x14ac:dyDescent="0.25">
      <c r="A609" s="83" t="s">
        <v>447</v>
      </c>
      <c r="B609" s="81" t="s">
        <v>450</v>
      </c>
      <c r="C609" s="83" t="s">
        <v>707</v>
      </c>
      <c r="D609" s="83" t="s">
        <v>540</v>
      </c>
      <c r="E609" s="100"/>
      <c r="F609" s="83" t="s">
        <v>940</v>
      </c>
    </row>
    <row r="610" spans="1:6" ht="24.95" customHeight="1" x14ac:dyDescent="0.25">
      <c r="A610" s="84" t="s">
        <v>1700</v>
      </c>
      <c r="B610" s="82" t="s">
        <v>1701</v>
      </c>
      <c r="C610" s="84" t="s">
        <v>1434</v>
      </c>
      <c r="D610" s="84" t="s">
        <v>194</v>
      </c>
      <c r="E610" s="101"/>
      <c r="F610" s="84" t="s">
        <v>940</v>
      </c>
    </row>
    <row r="611" spans="1:6" ht="24.95" customHeight="1" x14ac:dyDescent="0.25">
      <c r="A611" s="83" t="s">
        <v>1907</v>
      </c>
      <c r="B611" s="81">
        <v>4031209</v>
      </c>
      <c r="C611" s="83" t="s">
        <v>707</v>
      </c>
      <c r="D611" s="83" t="s">
        <v>741</v>
      </c>
      <c r="E611" s="100"/>
      <c r="F611" s="83" t="s">
        <v>940</v>
      </c>
    </row>
    <row r="612" spans="1:6" ht="24.95" customHeight="1" x14ac:dyDescent="0.25">
      <c r="A612" s="84" t="s">
        <v>486</v>
      </c>
      <c r="B612" s="82" t="s">
        <v>487</v>
      </c>
      <c r="C612" s="84" t="s">
        <v>707</v>
      </c>
      <c r="D612" s="84" t="s">
        <v>540</v>
      </c>
      <c r="E612" s="101"/>
      <c r="F612" s="84" t="s">
        <v>940</v>
      </c>
    </row>
    <row r="613" spans="1:6" ht="24.95" customHeight="1" x14ac:dyDescent="0.25">
      <c r="A613" s="83" t="s">
        <v>1833</v>
      </c>
      <c r="B613" s="81">
        <v>4031009</v>
      </c>
      <c r="C613" s="83" t="s">
        <v>707</v>
      </c>
      <c r="D613" s="83" t="s">
        <v>722</v>
      </c>
      <c r="E613" s="100"/>
      <c r="F613" s="83" t="s">
        <v>940</v>
      </c>
    </row>
    <row r="614" spans="1:6" ht="24.95" customHeight="1" x14ac:dyDescent="0.25">
      <c r="A614" s="84" t="s">
        <v>957</v>
      </c>
      <c r="B614" s="82" t="s">
        <v>488</v>
      </c>
      <c r="C614" s="84" t="s">
        <v>707</v>
      </c>
      <c r="D614" s="84" t="s">
        <v>950</v>
      </c>
      <c r="E614" s="101"/>
      <c r="F614" s="84" t="s">
        <v>940</v>
      </c>
    </row>
    <row r="615" spans="1:6" ht="24.95" customHeight="1" x14ac:dyDescent="0.25">
      <c r="A615" s="83" t="s">
        <v>1676</v>
      </c>
      <c r="B615" s="81" t="s">
        <v>1679</v>
      </c>
      <c r="C615" s="83" t="s">
        <v>707</v>
      </c>
      <c r="D615" s="83" t="s">
        <v>722</v>
      </c>
      <c r="E615" s="100">
        <v>1289136971</v>
      </c>
      <c r="F615" s="83" t="s">
        <v>940</v>
      </c>
    </row>
    <row r="616" spans="1:6" ht="24.95" customHeight="1" x14ac:dyDescent="0.25">
      <c r="A616" s="84" t="s">
        <v>1325</v>
      </c>
      <c r="B616" s="82" t="s">
        <v>1348</v>
      </c>
      <c r="C616" s="84" t="s">
        <v>707</v>
      </c>
      <c r="D616" s="84" t="s">
        <v>1326</v>
      </c>
      <c r="E616" s="101">
        <v>5249942296</v>
      </c>
      <c r="F616" s="84" t="s">
        <v>940</v>
      </c>
    </row>
    <row r="617" spans="1:6" ht="24.95" customHeight="1" x14ac:dyDescent="0.25">
      <c r="A617" s="83" t="s">
        <v>1229</v>
      </c>
      <c r="B617" s="81" t="s">
        <v>792</v>
      </c>
      <c r="C617" s="83" t="s">
        <v>266</v>
      </c>
      <c r="D617" s="83" t="s">
        <v>1235</v>
      </c>
      <c r="E617" s="100">
        <v>5830002760</v>
      </c>
      <c r="F617" s="83" t="s">
        <v>940</v>
      </c>
    </row>
    <row r="618" spans="1:6" ht="24.95" customHeight="1" x14ac:dyDescent="0.25">
      <c r="A618" s="84" t="s">
        <v>1546</v>
      </c>
      <c r="B618" s="82" t="s">
        <v>792</v>
      </c>
      <c r="C618" s="84" t="s">
        <v>1677</v>
      </c>
      <c r="D618" s="84" t="s">
        <v>1004</v>
      </c>
      <c r="E618" s="101">
        <v>3150102643</v>
      </c>
      <c r="F618" s="84" t="s">
        <v>940</v>
      </c>
    </row>
    <row r="619" spans="1:6" ht="24.95" customHeight="1" x14ac:dyDescent="0.25">
      <c r="A619" s="83" t="s">
        <v>1746</v>
      </c>
      <c r="B619" s="81" t="s">
        <v>792</v>
      </c>
      <c r="C619" s="83" t="s">
        <v>1677</v>
      </c>
      <c r="D619" s="83" t="s">
        <v>1004</v>
      </c>
      <c r="E619" s="100"/>
      <c r="F619" s="83" t="s">
        <v>940</v>
      </c>
    </row>
    <row r="620" spans="1:6" ht="24.95" customHeight="1" x14ac:dyDescent="0.25">
      <c r="A620" s="84" t="s">
        <v>1230</v>
      </c>
      <c r="B620" s="82" t="s">
        <v>792</v>
      </c>
      <c r="C620" s="84" t="s">
        <v>266</v>
      </c>
      <c r="D620" s="84" t="s">
        <v>1232</v>
      </c>
      <c r="E620" s="101">
        <v>3071204851</v>
      </c>
      <c r="F620" s="84" t="s">
        <v>940</v>
      </c>
    </row>
    <row r="621" spans="1:6" ht="24.95" customHeight="1" x14ac:dyDescent="0.25">
      <c r="A621" s="83" t="s">
        <v>1747</v>
      </c>
      <c r="B621" s="81" t="s">
        <v>792</v>
      </c>
      <c r="C621" s="83" t="s">
        <v>266</v>
      </c>
      <c r="D621" s="83" t="s">
        <v>1748</v>
      </c>
      <c r="E621" s="100"/>
      <c r="F621" s="83" t="s">
        <v>940</v>
      </c>
    </row>
    <row r="622" spans="1:6" ht="24.95" customHeight="1" x14ac:dyDescent="0.25">
      <c r="A622" s="84" t="s">
        <v>1231</v>
      </c>
      <c r="B622" s="82" t="s">
        <v>792</v>
      </c>
      <c r="C622" s="84" t="s">
        <v>266</v>
      </c>
      <c r="D622" s="84" t="s">
        <v>192</v>
      </c>
      <c r="E622" s="101"/>
      <c r="F622" s="84" t="s">
        <v>940</v>
      </c>
    </row>
    <row r="623" spans="1:6" ht="24.95" customHeight="1" x14ac:dyDescent="0.25">
      <c r="A623" s="83" t="s">
        <v>1812</v>
      </c>
      <c r="B623" s="81" t="s">
        <v>792</v>
      </c>
      <c r="C623" s="83" t="s">
        <v>1814</v>
      </c>
      <c r="D623" s="83" t="s">
        <v>1813</v>
      </c>
      <c r="E623" s="100"/>
      <c r="F623" s="83" t="s">
        <v>940</v>
      </c>
    </row>
    <row r="624" spans="1:6" ht="24.95" customHeight="1" x14ac:dyDescent="0.25">
      <c r="A624" s="84" t="s">
        <v>958</v>
      </c>
      <c r="B624" s="82" t="s">
        <v>951</v>
      </c>
      <c r="C624" s="84" t="s">
        <v>707</v>
      </c>
      <c r="D624" s="84" t="s">
        <v>186</v>
      </c>
      <c r="E624" s="101"/>
      <c r="F624" s="84" t="s">
        <v>940</v>
      </c>
    </row>
    <row r="625" spans="1:6" ht="24.95" customHeight="1" x14ac:dyDescent="0.25">
      <c r="A625" s="83" t="s">
        <v>1721</v>
      </c>
      <c r="B625" s="81" t="s">
        <v>792</v>
      </c>
      <c r="C625" s="83" t="s">
        <v>962</v>
      </c>
      <c r="D625" s="83" t="s">
        <v>186</v>
      </c>
      <c r="E625" s="100"/>
      <c r="F625" s="83" t="s">
        <v>940</v>
      </c>
    </row>
    <row r="626" spans="1:6" ht="24.95" customHeight="1" x14ac:dyDescent="0.25">
      <c r="A626" s="84" t="s">
        <v>959</v>
      </c>
      <c r="B626" s="82" t="s">
        <v>1717</v>
      </c>
      <c r="C626" s="84" t="s">
        <v>707</v>
      </c>
      <c r="D626" s="84" t="s">
        <v>952</v>
      </c>
      <c r="E626" s="101"/>
      <c r="F626" s="84" t="s">
        <v>940</v>
      </c>
    </row>
    <row r="627" spans="1:6" ht="24.95" customHeight="1" x14ac:dyDescent="0.25">
      <c r="A627" s="83" t="s">
        <v>2023</v>
      </c>
      <c r="B627" s="81">
        <v>113</v>
      </c>
      <c r="C627" s="83" t="s">
        <v>2024</v>
      </c>
      <c r="D627" s="83" t="s">
        <v>719</v>
      </c>
      <c r="E627" s="100">
        <v>3060208808</v>
      </c>
      <c r="F627" s="83" t="s">
        <v>561</v>
      </c>
    </row>
    <row r="628" spans="1:6" ht="24.95" customHeight="1" x14ac:dyDescent="0.25">
      <c r="A628" s="84" t="s">
        <v>1553</v>
      </c>
      <c r="B628" s="82" t="s">
        <v>792</v>
      </c>
      <c r="C628" s="84" t="s">
        <v>220</v>
      </c>
      <c r="D628" s="84" t="s">
        <v>539</v>
      </c>
      <c r="E628" s="101"/>
      <c r="F628" s="84" t="s">
        <v>940</v>
      </c>
    </row>
    <row r="629" spans="1:6" ht="24.95" customHeight="1" x14ac:dyDescent="0.25">
      <c r="A629" s="83" t="s">
        <v>60</v>
      </c>
      <c r="B629" s="81" t="s">
        <v>792</v>
      </c>
      <c r="C629" s="83" t="s">
        <v>1677</v>
      </c>
      <c r="D629" s="83" t="s">
        <v>1678</v>
      </c>
      <c r="E629" s="100"/>
      <c r="F629" s="83" t="s">
        <v>940</v>
      </c>
    </row>
    <row r="630" spans="1:6" ht="24.95" customHeight="1" x14ac:dyDescent="0.25">
      <c r="A630" s="84" t="s">
        <v>1733</v>
      </c>
      <c r="B630" s="82" t="s">
        <v>792</v>
      </c>
      <c r="C630" s="84" t="s">
        <v>962</v>
      </c>
      <c r="D630" s="84" t="s">
        <v>186</v>
      </c>
      <c r="E630" s="101">
        <v>3091546535</v>
      </c>
      <c r="F630" s="84" t="s">
        <v>940</v>
      </c>
    </row>
    <row r="631" spans="1:6" ht="24.95" customHeight="1" x14ac:dyDescent="0.25">
      <c r="A631" s="83" t="s">
        <v>1730</v>
      </c>
      <c r="B631" s="81" t="s">
        <v>792</v>
      </c>
      <c r="C631" s="83" t="s">
        <v>962</v>
      </c>
      <c r="D631" s="83" t="s">
        <v>186</v>
      </c>
      <c r="E631" s="100"/>
      <c r="F631" s="83" t="s">
        <v>940</v>
      </c>
    </row>
    <row r="632" spans="1:6" ht="24.95" customHeight="1" x14ac:dyDescent="0.25">
      <c r="A632" s="84" t="s">
        <v>1731</v>
      </c>
      <c r="B632" s="82" t="s">
        <v>792</v>
      </c>
      <c r="C632" s="84" t="s">
        <v>1677</v>
      </c>
      <c r="D632" s="84" t="s">
        <v>1677</v>
      </c>
      <c r="E632" s="101"/>
      <c r="F632" s="84" t="s">
        <v>940</v>
      </c>
    </row>
    <row r="633" spans="1:6" ht="24.95" customHeight="1" x14ac:dyDescent="0.25">
      <c r="A633" s="83" t="s">
        <v>1843</v>
      </c>
      <c r="B633" s="81">
        <v>0</v>
      </c>
      <c r="C633" s="83" t="s">
        <v>1677</v>
      </c>
      <c r="D633" s="83" t="s">
        <v>1677</v>
      </c>
      <c r="E633" s="100"/>
      <c r="F633" s="83" t="s">
        <v>940</v>
      </c>
    </row>
    <row r="634" spans="1:6" ht="24.95" customHeight="1" x14ac:dyDescent="0.25">
      <c r="A634" s="84" t="s">
        <v>1732</v>
      </c>
      <c r="B634" s="82" t="s">
        <v>792</v>
      </c>
      <c r="C634" s="84" t="s">
        <v>1677</v>
      </c>
      <c r="D634" s="84" t="s">
        <v>1677</v>
      </c>
      <c r="E634" s="101"/>
      <c r="F634" s="84" t="s">
        <v>940</v>
      </c>
    </row>
    <row r="635" spans="1:6" ht="24.95" customHeight="1" x14ac:dyDescent="0.25">
      <c r="A635" s="83" t="s">
        <v>1675</v>
      </c>
      <c r="B635" s="81" t="s">
        <v>792</v>
      </c>
      <c r="C635" s="83" t="s">
        <v>1677</v>
      </c>
      <c r="D635" s="83" t="s">
        <v>1677</v>
      </c>
      <c r="E635" s="100"/>
      <c r="F635" s="83" t="s">
        <v>940</v>
      </c>
    </row>
    <row r="636" spans="1:6" ht="24.95" customHeight="1" x14ac:dyDescent="0.25">
      <c r="A636" s="84" t="s">
        <v>1352</v>
      </c>
      <c r="B636" s="82" t="s">
        <v>792</v>
      </c>
      <c r="C636" s="84" t="s">
        <v>220</v>
      </c>
      <c r="D636" s="84" t="s">
        <v>220</v>
      </c>
      <c r="E636" s="101">
        <v>2200710445</v>
      </c>
      <c r="F636" s="84" t="s">
        <v>940</v>
      </c>
    </row>
    <row r="637" spans="1:6" ht="24.95" customHeight="1" x14ac:dyDescent="0.25">
      <c r="A637" s="83" t="s">
        <v>1196</v>
      </c>
      <c r="B637" s="81" t="s">
        <v>792</v>
      </c>
      <c r="C637" s="83" t="s">
        <v>266</v>
      </c>
      <c r="D637" s="83" t="s">
        <v>1234</v>
      </c>
      <c r="E637" s="100"/>
      <c r="F637" s="83" t="s">
        <v>940</v>
      </c>
    </row>
    <row r="638" spans="1:6" ht="24.95" customHeight="1" x14ac:dyDescent="0.25">
      <c r="A638" s="84" t="s">
        <v>1623</v>
      </c>
      <c r="B638" s="82" t="s">
        <v>792</v>
      </c>
      <c r="C638" s="84" t="s">
        <v>266</v>
      </c>
      <c r="D638" s="84" t="s">
        <v>266</v>
      </c>
      <c r="E638" s="101"/>
      <c r="F638" s="84" t="s">
        <v>940</v>
      </c>
    </row>
    <row r="639" spans="1:6" ht="24.95" customHeight="1" x14ac:dyDescent="0.25">
      <c r="A639" s="83" t="s">
        <v>963</v>
      </c>
      <c r="B639" s="81" t="s">
        <v>792</v>
      </c>
      <c r="C639" s="83" t="s">
        <v>266</v>
      </c>
      <c r="D639" s="83" t="s">
        <v>966</v>
      </c>
      <c r="E639" s="100"/>
      <c r="F639" s="83" t="s">
        <v>940</v>
      </c>
    </row>
    <row r="640" spans="1:6" ht="24.95" customHeight="1" x14ac:dyDescent="0.25">
      <c r="A640" s="84" t="s">
        <v>965</v>
      </c>
      <c r="B640" s="82">
        <v>0</v>
      </c>
      <c r="C640" s="84" t="s">
        <v>964</v>
      </c>
      <c r="D640" s="84" t="s">
        <v>220</v>
      </c>
      <c r="E640" s="101"/>
      <c r="F640" s="84" t="s">
        <v>1188</v>
      </c>
    </row>
    <row r="641" spans="1:6" ht="24.95" customHeight="1" x14ac:dyDescent="0.25">
      <c r="A641" s="83" t="s">
        <v>1643</v>
      </c>
      <c r="B641" s="81">
        <v>0</v>
      </c>
      <c r="C641" s="83" t="s">
        <v>964</v>
      </c>
      <c r="D641" s="83" t="s">
        <v>220</v>
      </c>
      <c r="E641" s="100">
        <v>1755009011</v>
      </c>
      <c r="F641" s="83" t="s">
        <v>940</v>
      </c>
    </row>
    <row r="642" spans="1:6" ht="24.95" customHeight="1" x14ac:dyDescent="0.25">
      <c r="A642" s="84" t="s">
        <v>2020</v>
      </c>
      <c r="B642" s="82"/>
      <c r="C642" s="84" t="s">
        <v>715</v>
      </c>
      <c r="D642" s="84" t="s">
        <v>818</v>
      </c>
      <c r="E642" s="101">
        <v>5260076982</v>
      </c>
      <c r="F642" s="84" t="s">
        <v>561</v>
      </c>
    </row>
    <row r="643" spans="1:6" ht="24.95" customHeight="1" x14ac:dyDescent="0.25">
      <c r="A643" s="83" t="s">
        <v>1363</v>
      </c>
      <c r="B643" s="81">
        <v>0</v>
      </c>
      <c r="C643" s="83" t="s">
        <v>964</v>
      </c>
      <c r="D643" s="83" t="s">
        <v>220</v>
      </c>
      <c r="E643" s="100"/>
      <c r="F643" s="83" t="s">
        <v>940</v>
      </c>
    </row>
    <row r="644" spans="1:6" ht="24.95" customHeight="1" x14ac:dyDescent="0.25">
      <c r="A644" s="84" t="s">
        <v>1191</v>
      </c>
      <c r="B644" s="82">
        <v>0</v>
      </c>
      <c r="C644" s="84" t="s">
        <v>964</v>
      </c>
      <c r="D644" s="84" t="s">
        <v>220</v>
      </c>
      <c r="E644" s="101"/>
      <c r="F644" s="84" t="s">
        <v>940</v>
      </c>
    </row>
    <row r="645" spans="1:6" ht="24.95" customHeight="1" x14ac:dyDescent="0.25">
      <c r="A645" s="83" t="s">
        <v>1809</v>
      </c>
      <c r="B645" s="81">
        <v>0</v>
      </c>
      <c r="C645" s="83" t="s">
        <v>964</v>
      </c>
      <c r="D645" s="83" t="s">
        <v>220</v>
      </c>
      <c r="E645" s="100"/>
      <c r="F645" s="83" t="s">
        <v>940</v>
      </c>
    </row>
    <row r="646" spans="1:6" ht="24.95" customHeight="1" x14ac:dyDescent="0.25">
      <c r="A646" s="84" t="s">
        <v>1810</v>
      </c>
      <c r="B646" s="82">
        <v>0</v>
      </c>
      <c r="C646" s="84" t="s">
        <v>964</v>
      </c>
      <c r="D646" s="84" t="s">
        <v>220</v>
      </c>
      <c r="E646" s="101"/>
      <c r="F646" s="84" t="s">
        <v>940</v>
      </c>
    </row>
    <row r="647" spans="1:6" ht="24.95" customHeight="1" x14ac:dyDescent="0.25">
      <c r="A647" s="83" t="s">
        <v>1186</v>
      </c>
      <c r="B647" s="81" t="s">
        <v>1187</v>
      </c>
      <c r="C647" s="83" t="s">
        <v>707</v>
      </c>
      <c r="D647" s="83" t="s">
        <v>541</v>
      </c>
      <c r="E647" s="100"/>
      <c r="F647" s="83" t="s">
        <v>940</v>
      </c>
    </row>
    <row r="648" spans="1:6" ht="24.95" customHeight="1" x14ac:dyDescent="0.25">
      <c r="A648" s="84" t="s">
        <v>961</v>
      </c>
      <c r="B648" s="82">
        <v>20567</v>
      </c>
      <c r="C648" s="84" t="s">
        <v>962</v>
      </c>
      <c r="D648" s="84" t="s">
        <v>191</v>
      </c>
      <c r="E648" s="101"/>
      <c r="F648" s="84" t="s">
        <v>940</v>
      </c>
    </row>
    <row r="649" spans="1:6" ht="24.95" customHeight="1" x14ac:dyDescent="0.25">
      <c r="A649" s="83" t="s">
        <v>1307</v>
      </c>
      <c r="B649" s="81">
        <v>20695</v>
      </c>
      <c r="C649" s="83" t="s">
        <v>962</v>
      </c>
      <c r="D649" s="83" t="s">
        <v>186</v>
      </c>
      <c r="E649" s="100">
        <v>3170125729</v>
      </c>
      <c r="F649" s="83" t="s">
        <v>940</v>
      </c>
    </row>
    <row r="650" spans="1:6" ht="24.95" customHeight="1" x14ac:dyDescent="0.25">
      <c r="A650" s="84" t="s">
        <v>960</v>
      </c>
      <c r="B650" s="82">
        <v>20538</v>
      </c>
      <c r="C650" s="84" t="s">
        <v>2003</v>
      </c>
      <c r="D650" s="84" t="s">
        <v>854</v>
      </c>
      <c r="E650" s="101">
        <v>3170046039</v>
      </c>
      <c r="F650" s="84" t="s">
        <v>2005</v>
      </c>
    </row>
    <row r="651" spans="1:6" ht="24.95" customHeight="1" x14ac:dyDescent="0.25">
      <c r="A651" s="83" t="s">
        <v>1228</v>
      </c>
      <c r="B651" s="81">
        <v>0</v>
      </c>
      <c r="C651" s="83" t="s">
        <v>266</v>
      </c>
      <c r="D651" s="83" t="s">
        <v>1233</v>
      </c>
      <c r="E651" s="100">
        <v>384318444</v>
      </c>
      <c r="F651" s="83" t="s">
        <v>940</v>
      </c>
    </row>
    <row r="652" spans="1:6" ht="24.95" customHeight="1" x14ac:dyDescent="0.25">
      <c r="A652" s="84" t="s">
        <v>982</v>
      </c>
      <c r="B652" s="82">
        <v>0</v>
      </c>
      <c r="C652" s="84" t="s">
        <v>980</v>
      </c>
      <c r="D652" s="84" t="s">
        <v>790</v>
      </c>
      <c r="E652" s="101"/>
      <c r="F652" s="84" t="s">
        <v>980</v>
      </c>
    </row>
    <row r="653" spans="1:6" ht="24.95" customHeight="1" x14ac:dyDescent="0.25">
      <c r="A653" s="83" t="s">
        <v>983</v>
      </c>
      <c r="B653" s="81">
        <v>0</v>
      </c>
      <c r="C653" s="83" t="s">
        <v>980</v>
      </c>
      <c r="D653" s="83" t="s">
        <v>186</v>
      </c>
      <c r="E653" s="100"/>
      <c r="F653" s="83" t="s">
        <v>980</v>
      </c>
    </row>
    <row r="654" spans="1:6" ht="24.95" customHeight="1" x14ac:dyDescent="0.25">
      <c r="A654" s="84" t="s">
        <v>998</v>
      </c>
      <c r="B654" s="82">
        <v>0</v>
      </c>
      <c r="C654" s="84" t="s">
        <v>980</v>
      </c>
      <c r="D654" s="84" t="s">
        <v>984</v>
      </c>
      <c r="E654" s="101"/>
      <c r="F654" s="84" t="s">
        <v>980</v>
      </c>
    </row>
    <row r="655" spans="1:6" ht="24.95" customHeight="1" x14ac:dyDescent="0.25">
      <c r="A655" s="83" t="s">
        <v>997</v>
      </c>
      <c r="B655" s="81">
        <v>0</v>
      </c>
      <c r="C655" s="83" t="s">
        <v>980</v>
      </c>
      <c r="D655" s="83" t="s">
        <v>188</v>
      </c>
      <c r="E655" s="100"/>
      <c r="F655" s="83" t="s">
        <v>980</v>
      </c>
    </row>
    <row r="656" spans="1:6" ht="24.95" customHeight="1" x14ac:dyDescent="0.25">
      <c r="A656" s="84" t="s">
        <v>996</v>
      </c>
      <c r="B656" s="82">
        <v>0</v>
      </c>
      <c r="C656" s="84" t="s">
        <v>980</v>
      </c>
      <c r="D656" s="84" t="s">
        <v>985</v>
      </c>
      <c r="E656" s="101"/>
      <c r="F656" s="84" t="s">
        <v>980</v>
      </c>
    </row>
    <row r="657" spans="1:6" ht="24.95" customHeight="1" x14ac:dyDescent="0.25">
      <c r="A657" s="83" t="s">
        <v>995</v>
      </c>
      <c r="B657" s="81">
        <v>0</v>
      </c>
      <c r="C657" s="83" t="s">
        <v>980</v>
      </c>
      <c r="D657" s="83" t="s">
        <v>986</v>
      </c>
      <c r="E657" s="100"/>
      <c r="F657" s="83" t="s">
        <v>980</v>
      </c>
    </row>
    <row r="658" spans="1:6" ht="24.95" customHeight="1" x14ac:dyDescent="0.25">
      <c r="A658" s="84" t="s">
        <v>982</v>
      </c>
      <c r="B658" s="82">
        <v>0</v>
      </c>
      <c r="C658" s="84" t="s">
        <v>980</v>
      </c>
      <c r="D658" s="84" t="s">
        <v>790</v>
      </c>
      <c r="E658" s="101"/>
      <c r="F658" s="84" t="s">
        <v>980</v>
      </c>
    </row>
    <row r="659" spans="1:6" ht="24.95" customHeight="1" x14ac:dyDescent="0.25">
      <c r="A659" s="83" t="s">
        <v>994</v>
      </c>
      <c r="B659" s="81">
        <v>0</v>
      </c>
      <c r="C659" s="83" t="s">
        <v>707</v>
      </c>
      <c r="D659" s="83" t="s">
        <v>987</v>
      </c>
      <c r="E659" s="100"/>
      <c r="F659" s="83" t="s">
        <v>980</v>
      </c>
    </row>
    <row r="660" spans="1:6" ht="24.95" customHeight="1" x14ac:dyDescent="0.25">
      <c r="A660" s="84" t="s">
        <v>991</v>
      </c>
      <c r="B660" s="82">
        <v>0</v>
      </c>
      <c r="C660" s="84" t="s">
        <v>981</v>
      </c>
      <c r="D660" s="84"/>
      <c r="E660" s="101"/>
      <c r="F660" s="84" t="s">
        <v>981</v>
      </c>
    </row>
    <row r="661" spans="1:6" ht="24.95" customHeight="1" x14ac:dyDescent="0.25">
      <c r="A661" s="83" t="s">
        <v>990</v>
      </c>
      <c r="B661" s="81">
        <v>0</v>
      </c>
      <c r="C661" s="83" t="s">
        <v>981</v>
      </c>
      <c r="D661" s="83" t="s">
        <v>542</v>
      </c>
      <c r="E661" s="100"/>
      <c r="F661" s="83" t="s">
        <v>981</v>
      </c>
    </row>
    <row r="662" spans="1:6" ht="24.95" customHeight="1" x14ac:dyDescent="0.25">
      <c r="A662" s="84" t="s">
        <v>992</v>
      </c>
      <c r="B662" s="82">
        <v>0</v>
      </c>
      <c r="C662" s="84" t="s">
        <v>980</v>
      </c>
      <c r="D662" s="84" t="s">
        <v>988</v>
      </c>
      <c r="E662" s="101"/>
      <c r="F662" s="84" t="s">
        <v>980</v>
      </c>
    </row>
    <row r="663" spans="1:6" ht="24.95" customHeight="1" x14ac:dyDescent="0.25">
      <c r="A663" s="83" t="s">
        <v>993</v>
      </c>
      <c r="B663" s="81">
        <v>0</v>
      </c>
      <c r="C663" s="83" t="s">
        <v>980</v>
      </c>
      <c r="D663" s="83" t="s">
        <v>989</v>
      </c>
      <c r="E663" s="100"/>
      <c r="F663" s="83" t="s">
        <v>980</v>
      </c>
    </row>
    <row r="664" spans="1:6" ht="24.95" customHeight="1" x14ac:dyDescent="0.25">
      <c r="A664" s="84" t="s">
        <v>394</v>
      </c>
      <c r="B664" s="82">
        <v>0</v>
      </c>
      <c r="C664" s="84" t="s">
        <v>980</v>
      </c>
      <c r="D664" s="84"/>
      <c r="E664" s="101"/>
      <c r="F664" s="84" t="s">
        <v>980</v>
      </c>
    </row>
    <row r="665" spans="1:6" ht="24.95" customHeight="1" x14ac:dyDescent="0.25">
      <c r="A665" s="83" t="s">
        <v>394</v>
      </c>
      <c r="B665" s="81">
        <v>0</v>
      </c>
      <c r="C665" s="83" t="s">
        <v>980</v>
      </c>
      <c r="D665" s="83"/>
      <c r="E665" s="100"/>
      <c r="F665" s="83" t="s">
        <v>980</v>
      </c>
    </row>
    <row r="666" spans="1:6" ht="24.95" customHeight="1" x14ac:dyDescent="0.25">
      <c r="A666" s="84" t="s">
        <v>395</v>
      </c>
      <c r="B666" s="82">
        <v>0</v>
      </c>
      <c r="C666" s="84" t="s">
        <v>980</v>
      </c>
      <c r="D666" s="84"/>
      <c r="E666" s="101"/>
      <c r="F666" s="84" t="s">
        <v>980</v>
      </c>
    </row>
    <row r="667" spans="1:6" ht="24.95" customHeight="1" x14ac:dyDescent="0.25">
      <c r="A667" s="83" t="s">
        <v>395</v>
      </c>
      <c r="B667" s="81">
        <v>0</v>
      </c>
      <c r="C667" s="83" t="s">
        <v>980</v>
      </c>
      <c r="D667" s="83"/>
      <c r="E667" s="100"/>
      <c r="F667" s="83" t="s">
        <v>980</v>
      </c>
    </row>
    <row r="668" spans="1:6" ht="24.95" customHeight="1" x14ac:dyDescent="0.25">
      <c r="A668" s="84" t="s">
        <v>396</v>
      </c>
      <c r="B668" s="82">
        <v>0</v>
      </c>
      <c r="C668" s="84" t="s">
        <v>980</v>
      </c>
      <c r="D668" s="84"/>
      <c r="E668" s="101"/>
      <c r="F668" s="84" t="s">
        <v>980</v>
      </c>
    </row>
    <row r="669" spans="1:6" ht="24.95" customHeight="1" x14ac:dyDescent="0.25">
      <c r="A669" s="83" t="s">
        <v>394</v>
      </c>
      <c r="B669" s="81">
        <v>0</v>
      </c>
      <c r="C669" s="83" t="s">
        <v>980</v>
      </c>
      <c r="D669" s="83"/>
      <c r="E669" s="100"/>
      <c r="F669" s="83" t="s">
        <v>980</v>
      </c>
    </row>
    <row r="670" spans="1:6" ht="24.95" customHeight="1" x14ac:dyDescent="0.25">
      <c r="A670" s="84" t="s">
        <v>394</v>
      </c>
      <c r="B670" s="82">
        <v>0</v>
      </c>
      <c r="C670" s="84" t="s">
        <v>980</v>
      </c>
      <c r="D670" s="84"/>
      <c r="E670" s="101"/>
      <c r="F670" s="84" t="s">
        <v>980</v>
      </c>
    </row>
    <row r="671" spans="1:6" ht="24.95" customHeight="1" x14ac:dyDescent="0.25">
      <c r="A671" s="83" t="s">
        <v>397</v>
      </c>
      <c r="B671" s="81">
        <v>0</v>
      </c>
      <c r="C671" s="83" t="s">
        <v>980</v>
      </c>
      <c r="D671" s="83"/>
      <c r="E671" s="100"/>
      <c r="F671" s="83" t="s">
        <v>980</v>
      </c>
    </row>
    <row r="672" spans="1:6" ht="24.95" customHeight="1" x14ac:dyDescent="0.25">
      <c r="A672" s="84" t="s">
        <v>398</v>
      </c>
      <c r="B672" s="82">
        <v>0</v>
      </c>
      <c r="C672" s="84" t="s">
        <v>980</v>
      </c>
      <c r="D672" s="84"/>
      <c r="E672" s="101"/>
      <c r="F672" s="84" t="s">
        <v>980</v>
      </c>
    </row>
    <row r="673" spans="1:6" ht="24.95" customHeight="1" x14ac:dyDescent="0.25">
      <c r="A673" s="83" t="s">
        <v>398</v>
      </c>
      <c r="B673" s="81">
        <v>0</v>
      </c>
      <c r="C673" s="83" t="s">
        <v>980</v>
      </c>
      <c r="D673" s="83"/>
      <c r="E673" s="100"/>
      <c r="F673" s="83" t="s">
        <v>980</v>
      </c>
    </row>
    <row r="674" spans="1:6" ht="24.95" customHeight="1" x14ac:dyDescent="0.25">
      <c r="A674" s="84" t="s">
        <v>399</v>
      </c>
      <c r="B674" s="82">
        <v>0</v>
      </c>
      <c r="C674" s="84" t="s">
        <v>980</v>
      </c>
      <c r="D674" s="84"/>
      <c r="E674" s="101"/>
      <c r="F674" s="84" t="s">
        <v>980</v>
      </c>
    </row>
    <row r="675" spans="1:6" ht="24.95" customHeight="1" x14ac:dyDescent="0.25">
      <c r="A675" s="83" t="s">
        <v>400</v>
      </c>
      <c r="B675" s="81">
        <v>0</v>
      </c>
      <c r="C675" s="83" t="s">
        <v>980</v>
      </c>
      <c r="D675" s="83"/>
      <c r="E675" s="100"/>
      <c r="F675" s="83" t="s">
        <v>980</v>
      </c>
    </row>
    <row r="676" spans="1:6" ht="24.95" customHeight="1" x14ac:dyDescent="0.25">
      <c r="A676" s="84" t="s">
        <v>1237</v>
      </c>
      <c r="B676" s="82" t="s">
        <v>1238</v>
      </c>
      <c r="C676" s="84" t="s">
        <v>707</v>
      </c>
      <c r="D676" s="84" t="s">
        <v>729</v>
      </c>
      <c r="E676" s="101">
        <v>451436466</v>
      </c>
      <c r="F676" s="84" t="s">
        <v>981</v>
      </c>
    </row>
    <row r="677" spans="1:6" ht="24.95" customHeight="1" x14ac:dyDescent="0.25">
      <c r="A677" s="83" t="s">
        <v>1899</v>
      </c>
      <c r="B677" s="81">
        <v>21025</v>
      </c>
      <c r="C677" s="83" t="s">
        <v>2003</v>
      </c>
      <c r="D677" s="83" t="s">
        <v>793</v>
      </c>
      <c r="E677" s="100"/>
      <c r="F677" s="83" t="s">
        <v>981</v>
      </c>
    </row>
    <row r="678" spans="1:6" ht="24.95" customHeight="1" x14ac:dyDescent="0.25">
      <c r="A678" s="84" t="s">
        <v>1900</v>
      </c>
      <c r="B678" s="82">
        <v>881</v>
      </c>
      <c r="C678" s="84" t="s">
        <v>707</v>
      </c>
      <c r="D678" s="84" t="s">
        <v>801</v>
      </c>
      <c r="E678" s="101"/>
      <c r="F678" s="84" t="s">
        <v>981</v>
      </c>
    </row>
    <row r="679" spans="1:6" ht="24.95" customHeight="1" x14ac:dyDescent="0.25">
      <c r="A679" s="83" t="s">
        <v>405</v>
      </c>
      <c r="B679" s="81">
        <v>0</v>
      </c>
      <c r="C679" s="83" t="s">
        <v>1000</v>
      </c>
      <c r="D679" s="83" t="s">
        <v>189</v>
      </c>
      <c r="E679" s="100"/>
      <c r="F679" s="83" t="s">
        <v>1000</v>
      </c>
    </row>
    <row r="680" spans="1:6" ht="24.95" customHeight="1" x14ac:dyDescent="0.25">
      <c r="A680" s="84" t="s">
        <v>403</v>
      </c>
      <c r="B680" s="82">
        <v>0</v>
      </c>
      <c r="C680" s="84" t="s">
        <v>1000</v>
      </c>
      <c r="D680" s="84" t="s">
        <v>1002</v>
      </c>
      <c r="E680" s="101"/>
      <c r="F680" s="84" t="s">
        <v>1000</v>
      </c>
    </row>
    <row r="681" spans="1:6" ht="24.95" customHeight="1" x14ac:dyDescent="0.25">
      <c r="A681" s="83" t="s">
        <v>1012</v>
      </c>
      <c r="B681" s="81">
        <v>0</v>
      </c>
      <c r="C681" s="83" t="s">
        <v>266</v>
      </c>
      <c r="D681" s="83" t="s">
        <v>722</v>
      </c>
      <c r="E681" s="100"/>
      <c r="F681" s="83" t="s">
        <v>940</v>
      </c>
    </row>
    <row r="682" spans="1:6" ht="24.95" customHeight="1" x14ac:dyDescent="0.25">
      <c r="A682" s="84" t="s">
        <v>1013</v>
      </c>
      <c r="B682" s="82">
        <v>0</v>
      </c>
      <c r="C682" s="84" t="s">
        <v>266</v>
      </c>
      <c r="D682" s="84" t="s">
        <v>185</v>
      </c>
      <c r="E682" s="101"/>
      <c r="F682" s="84" t="s">
        <v>940</v>
      </c>
    </row>
    <row r="683" spans="1:6" ht="24.95" customHeight="1" x14ac:dyDescent="0.25">
      <c r="A683" s="83" t="s">
        <v>1720</v>
      </c>
      <c r="B683" s="81">
        <v>0</v>
      </c>
      <c r="C683" s="83" t="s">
        <v>266</v>
      </c>
      <c r="D683" s="83" t="s">
        <v>1003</v>
      </c>
      <c r="E683" s="100"/>
      <c r="F683" s="83" t="s">
        <v>940</v>
      </c>
    </row>
    <row r="684" spans="1:6" ht="24.95" customHeight="1" x14ac:dyDescent="0.25">
      <c r="A684" s="84" t="s">
        <v>1014</v>
      </c>
      <c r="B684" s="82">
        <v>0</v>
      </c>
      <c r="C684" s="84" t="s">
        <v>266</v>
      </c>
      <c r="D684" s="84" t="s">
        <v>793</v>
      </c>
      <c r="E684" s="101"/>
      <c r="F684" s="84" t="s">
        <v>940</v>
      </c>
    </row>
    <row r="685" spans="1:6" ht="24.95" customHeight="1" x14ac:dyDescent="0.25">
      <c r="A685" s="83" t="s">
        <v>1015</v>
      </c>
      <c r="B685" s="81">
        <v>0</v>
      </c>
      <c r="C685" s="83" t="s">
        <v>266</v>
      </c>
      <c r="D685" s="83" t="s">
        <v>1004</v>
      </c>
      <c r="E685" s="100"/>
      <c r="F685" s="83" t="s">
        <v>940</v>
      </c>
    </row>
    <row r="686" spans="1:6" ht="24.95" customHeight="1" x14ac:dyDescent="0.25">
      <c r="A686" s="84" t="s">
        <v>1016</v>
      </c>
      <c r="B686" s="82">
        <v>0</v>
      </c>
      <c r="C686" s="84" t="s">
        <v>266</v>
      </c>
      <c r="D686" s="84" t="s">
        <v>542</v>
      </c>
      <c r="E686" s="101"/>
      <c r="F686" s="84" t="s">
        <v>940</v>
      </c>
    </row>
    <row r="687" spans="1:6" ht="24.95" customHeight="1" x14ac:dyDescent="0.25">
      <c r="A687" s="83" t="s">
        <v>1513</v>
      </c>
      <c r="B687" s="81">
        <v>0</v>
      </c>
      <c r="C687" s="83" t="s">
        <v>266</v>
      </c>
      <c r="D687" s="83" t="s">
        <v>1516</v>
      </c>
      <c r="E687" s="100"/>
      <c r="F687" s="83" t="s">
        <v>940</v>
      </c>
    </row>
    <row r="688" spans="1:6" ht="24.95" customHeight="1" x14ac:dyDescent="0.25">
      <c r="A688" s="84" t="s">
        <v>1514</v>
      </c>
      <c r="B688" s="82">
        <v>0</v>
      </c>
      <c r="C688" s="84" t="s">
        <v>266</v>
      </c>
      <c r="D688" s="84" t="s">
        <v>1516</v>
      </c>
      <c r="E688" s="101"/>
      <c r="F688" s="84" t="s">
        <v>940</v>
      </c>
    </row>
    <row r="689" spans="1:6" ht="24.95" customHeight="1" x14ac:dyDescent="0.25">
      <c r="A689" s="83" t="s">
        <v>1515</v>
      </c>
      <c r="B689" s="81">
        <v>0</v>
      </c>
      <c r="C689" s="83" t="s">
        <v>266</v>
      </c>
      <c r="D689" s="83" t="s">
        <v>1516</v>
      </c>
      <c r="E689" s="100"/>
      <c r="F689" s="83" t="s">
        <v>940</v>
      </c>
    </row>
    <row r="690" spans="1:6" ht="24.95" customHeight="1" x14ac:dyDescent="0.25">
      <c r="A690" s="84" t="s">
        <v>1017</v>
      </c>
      <c r="B690" s="82">
        <v>0</v>
      </c>
      <c r="C690" s="84" t="s">
        <v>266</v>
      </c>
      <c r="D690" s="84" t="s">
        <v>1005</v>
      </c>
      <c r="E690" s="101"/>
      <c r="F690" s="84" t="s">
        <v>940</v>
      </c>
    </row>
    <row r="691" spans="1:6" ht="24.95" customHeight="1" x14ac:dyDescent="0.25">
      <c r="A691" s="83" t="s">
        <v>1446</v>
      </c>
      <c r="B691" s="81">
        <v>0</v>
      </c>
      <c r="C691" s="83" t="s">
        <v>220</v>
      </c>
      <c r="D691" s="83" t="s">
        <v>1448</v>
      </c>
      <c r="E691" s="100" t="s">
        <v>1447</v>
      </c>
      <c r="F691" s="83" t="s">
        <v>940</v>
      </c>
    </row>
    <row r="692" spans="1:6" ht="24.95" customHeight="1" x14ac:dyDescent="0.25">
      <c r="A692" s="84" t="s">
        <v>1011</v>
      </c>
      <c r="B692" s="82">
        <v>0</v>
      </c>
      <c r="C692" s="84" t="s">
        <v>266</v>
      </c>
      <c r="D692" s="84"/>
      <c r="E692" s="101"/>
      <c r="F692" s="84" t="s">
        <v>940</v>
      </c>
    </row>
    <row r="693" spans="1:6" ht="24.95" customHeight="1" x14ac:dyDescent="0.25">
      <c r="A693" s="83" t="s">
        <v>1435</v>
      </c>
      <c r="B693" s="81">
        <v>0</v>
      </c>
      <c r="C693" s="83" t="s">
        <v>1198</v>
      </c>
      <c r="D693" s="83" t="s">
        <v>1198</v>
      </c>
      <c r="E693" s="100"/>
      <c r="F693" s="83" t="s">
        <v>940</v>
      </c>
    </row>
    <row r="694" spans="1:6" ht="24.95" customHeight="1" x14ac:dyDescent="0.25">
      <c r="A694" s="84" t="s">
        <v>495</v>
      </c>
      <c r="B694" s="82">
        <v>0</v>
      </c>
      <c r="C694" s="84" t="s">
        <v>266</v>
      </c>
      <c r="D694" s="84"/>
      <c r="E694" s="101"/>
      <c r="F694" s="84" t="s">
        <v>940</v>
      </c>
    </row>
    <row r="695" spans="1:6" ht="24.95" customHeight="1" x14ac:dyDescent="0.25">
      <c r="A695" s="83" t="s">
        <v>502</v>
      </c>
      <c r="B695" s="81">
        <v>0</v>
      </c>
      <c r="C695" s="83" t="s">
        <v>266</v>
      </c>
      <c r="D695" s="83"/>
      <c r="E695" s="100"/>
      <c r="F695" s="83" t="s">
        <v>940</v>
      </c>
    </row>
    <row r="696" spans="1:6" ht="24.95" customHeight="1" x14ac:dyDescent="0.25">
      <c r="A696" s="84" t="s">
        <v>1190</v>
      </c>
      <c r="B696" s="82">
        <v>0</v>
      </c>
      <c r="C696" s="84" t="s">
        <v>266</v>
      </c>
      <c r="D696" s="84" t="s">
        <v>188</v>
      </c>
      <c r="E696" s="101"/>
      <c r="F696" s="84" t="s">
        <v>940</v>
      </c>
    </row>
    <row r="697" spans="1:6" ht="24.95" customHeight="1" x14ac:dyDescent="0.25">
      <c r="A697" s="83" t="s">
        <v>1191</v>
      </c>
      <c r="B697" s="81">
        <v>0</v>
      </c>
      <c r="C697" s="83" t="s">
        <v>266</v>
      </c>
      <c r="D697" s="83" t="s">
        <v>739</v>
      </c>
      <c r="E697" s="100"/>
      <c r="F697" s="83" t="s">
        <v>940</v>
      </c>
    </row>
    <row r="698" spans="1:6" ht="24.95" customHeight="1" x14ac:dyDescent="0.25">
      <c r="A698" s="84" t="s">
        <v>1025</v>
      </c>
      <c r="B698" s="82">
        <v>0</v>
      </c>
      <c r="C698" s="84" t="s">
        <v>266</v>
      </c>
      <c r="D698" s="84" t="s">
        <v>1192</v>
      </c>
      <c r="E698" s="101"/>
      <c r="F698" s="84" t="s">
        <v>940</v>
      </c>
    </row>
    <row r="699" spans="1:6" ht="24.95" customHeight="1" x14ac:dyDescent="0.25">
      <c r="A699" s="83" t="s">
        <v>1007</v>
      </c>
      <c r="B699" s="81">
        <v>0</v>
      </c>
      <c r="C699" s="83" t="s">
        <v>266</v>
      </c>
      <c r="D699" s="83" t="s">
        <v>1006</v>
      </c>
      <c r="E699" s="100"/>
      <c r="F699" s="83" t="s">
        <v>940</v>
      </c>
    </row>
    <row r="700" spans="1:6" ht="24.95" customHeight="1" x14ac:dyDescent="0.25">
      <c r="A700" s="84" t="s">
        <v>1010</v>
      </c>
      <c r="B700" s="82">
        <v>0</v>
      </c>
      <c r="C700" s="84" t="s">
        <v>266</v>
      </c>
      <c r="D700" s="84" t="s">
        <v>1008</v>
      </c>
      <c r="E700" s="101"/>
      <c r="F700" s="84" t="s">
        <v>940</v>
      </c>
    </row>
    <row r="701" spans="1:6" ht="24.95" customHeight="1" x14ac:dyDescent="0.25">
      <c r="A701" s="83" t="s">
        <v>1340</v>
      </c>
      <c r="B701" s="81">
        <v>0</v>
      </c>
      <c r="C701" s="83" t="s">
        <v>266</v>
      </c>
      <c r="D701" s="83" t="s">
        <v>1341</v>
      </c>
      <c r="E701" s="100">
        <v>1091313776</v>
      </c>
      <c r="F701" s="83" t="s">
        <v>940</v>
      </c>
    </row>
    <row r="702" spans="1:6" ht="24.95" customHeight="1" x14ac:dyDescent="0.25">
      <c r="A702" s="84" t="s">
        <v>1009</v>
      </c>
      <c r="B702" s="82">
        <v>0</v>
      </c>
      <c r="C702" s="84" t="s">
        <v>266</v>
      </c>
      <c r="D702" s="84" t="s">
        <v>801</v>
      </c>
      <c r="E702" s="101"/>
      <c r="F702" s="84" t="s">
        <v>940</v>
      </c>
    </row>
    <row r="703" spans="1:6" ht="24.95" customHeight="1" x14ac:dyDescent="0.25">
      <c r="A703" s="83" t="s">
        <v>1199</v>
      </c>
      <c r="B703" s="81">
        <v>0</v>
      </c>
      <c r="C703" s="83" t="s">
        <v>266</v>
      </c>
      <c r="D703" s="83" t="s">
        <v>1200</v>
      </c>
      <c r="E703" s="100"/>
      <c r="F703" s="83" t="s">
        <v>940</v>
      </c>
    </row>
    <row r="704" spans="1:6" ht="24.95" customHeight="1" x14ac:dyDescent="0.25">
      <c r="A704" s="84" t="s">
        <v>1201</v>
      </c>
      <c r="B704" s="82">
        <v>0</v>
      </c>
      <c r="C704" s="84" t="s">
        <v>266</v>
      </c>
      <c r="D704" s="84" t="s">
        <v>1202</v>
      </c>
      <c r="E704" s="101">
        <v>3071887817</v>
      </c>
      <c r="F704" s="84" t="s">
        <v>940</v>
      </c>
    </row>
    <row r="705" spans="1:6" ht="24.95" customHeight="1" x14ac:dyDescent="0.25">
      <c r="A705" s="83" t="s">
        <v>1019</v>
      </c>
      <c r="B705" s="81">
        <v>0</v>
      </c>
      <c r="C705" s="83" t="s">
        <v>1020</v>
      </c>
      <c r="D705" s="83" t="s">
        <v>1021</v>
      </c>
      <c r="E705" s="100"/>
      <c r="F705" s="83" t="s">
        <v>1022</v>
      </c>
    </row>
    <row r="706" spans="1:6" ht="24.95" customHeight="1" x14ac:dyDescent="0.25">
      <c r="A706" s="84" t="s">
        <v>1025</v>
      </c>
      <c r="B706" s="82">
        <v>0</v>
      </c>
      <c r="C706" s="84" t="s">
        <v>266</v>
      </c>
      <c r="D706" s="84" t="s">
        <v>1026</v>
      </c>
      <c r="E706" s="101"/>
      <c r="F706" s="84" t="s">
        <v>940</v>
      </c>
    </row>
    <row r="707" spans="1:6" ht="24.95" customHeight="1" x14ac:dyDescent="0.25">
      <c r="A707" s="83" t="s">
        <v>1043</v>
      </c>
      <c r="B707" s="81">
        <v>4020101</v>
      </c>
      <c r="C707" s="83" t="s">
        <v>707</v>
      </c>
      <c r="D707" s="83" t="s">
        <v>1044</v>
      </c>
      <c r="E707" s="100">
        <v>1550670581</v>
      </c>
      <c r="F707" s="83" t="s">
        <v>923</v>
      </c>
    </row>
    <row r="708" spans="1:6" ht="24.95" customHeight="1" x14ac:dyDescent="0.25">
      <c r="A708" s="84" t="s">
        <v>1184</v>
      </c>
      <c r="B708" s="82"/>
      <c r="C708" s="84" t="s">
        <v>1185</v>
      </c>
      <c r="D708" s="84" t="s">
        <v>1185</v>
      </c>
      <c r="E708" s="101"/>
      <c r="F708" s="84" t="s">
        <v>1189</v>
      </c>
    </row>
    <row r="709" spans="1:6" ht="24.95" customHeight="1" x14ac:dyDescent="0.25">
      <c r="A709" s="83" t="s">
        <v>1053</v>
      </c>
      <c r="B709" s="81">
        <v>0</v>
      </c>
      <c r="C709" s="83" t="s">
        <v>715</v>
      </c>
      <c r="D709" s="83" t="s">
        <v>541</v>
      </c>
      <c r="E709" s="100">
        <v>2549786051</v>
      </c>
      <c r="F709" s="83" t="s">
        <v>561</v>
      </c>
    </row>
    <row r="710" spans="1:6" ht="24.95" customHeight="1" x14ac:dyDescent="0.25">
      <c r="A710" s="84" t="s">
        <v>261</v>
      </c>
      <c r="B710" s="82">
        <v>0</v>
      </c>
      <c r="C710" s="84" t="s">
        <v>261</v>
      </c>
      <c r="D710" s="84" t="s">
        <v>261</v>
      </c>
      <c r="E710" s="101"/>
      <c r="F710" s="84" t="s">
        <v>1100</v>
      </c>
    </row>
    <row r="711" spans="1:6" ht="24.95" customHeight="1" x14ac:dyDescent="0.25">
      <c r="A711" s="83" t="s">
        <v>1101</v>
      </c>
      <c r="B711" s="81">
        <v>100580</v>
      </c>
      <c r="C711" s="83" t="s">
        <v>715</v>
      </c>
      <c r="D711" s="83" t="s">
        <v>793</v>
      </c>
      <c r="E711" s="100">
        <v>2992574015</v>
      </c>
      <c r="F711" s="83" t="s">
        <v>561</v>
      </c>
    </row>
    <row r="712" spans="1:6" ht="24.95" customHeight="1" x14ac:dyDescent="0.25">
      <c r="A712" s="84" t="s">
        <v>1226</v>
      </c>
      <c r="B712" s="82">
        <v>0</v>
      </c>
      <c r="C712" s="84" t="s">
        <v>715</v>
      </c>
      <c r="D712" s="84" t="s">
        <v>540</v>
      </c>
      <c r="E712" s="101">
        <v>1292926279</v>
      </c>
      <c r="F712" s="84" t="s">
        <v>561</v>
      </c>
    </row>
    <row r="713" spans="1:6" ht="24.95" customHeight="1" x14ac:dyDescent="0.25">
      <c r="A713" s="83" t="s">
        <v>1106</v>
      </c>
      <c r="B713" s="81">
        <v>0</v>
      </c>
      <c r="C713" s="83">
        <v>0</v>
      </c>
      <c r="D713" s="83">
        <v>0</v>
      </c>
      <c r="E713" s="100">
        <v>0</v>
      </c>
      <c r="F713" s="83" t="s">
        <v>1106</v>
      </c>
    </row>
    <row r="714" spans="1:6" ht="24.95" customHeight="1" x14ac:dyDescent="0.25">
      <c r="A714" s="84" t="s">
        <v>1107</v>
      </c>
      <c r="B714" s="82">
        <v>0</v>
      </c>
      <c r="C714" s="84">
        <v>0</v>
      </c>
      <c r="D714" s="84">
        <v>0</v>
      </c>
      <c r="E714" s="101">
        <v>0</v>
      </c>
      <c r="F714" s="84" t="s">
        <v>1107</v>
      </c>
    </row>
    <row r="715" spans="1:6" ht="24.95" customHeight="1" x14ac:dyDescent="0.25">
      <c r="A715" s="83" t="s">
        <v>1820</v>
      </c>
      <c r="B715" s="81">
        <v>0</v>
      </c>
      <c r="C715" s="83" t="s">
        <v>731</v>
      </c>
      <c r="D715" s="83" t="s">
        <v>539</v>
      </c>
      <c r="E715" s="100"/>
      <c r="F715" s="83" t="s">
        <v>561</v>
      </c>
    </row>
    <row r="716" spans="1:6" ht="24.95" customHeight="1" x14ac:dyDescent="0.25">
      <c r="A716" s="84" t="s">
        <v>1871</v>
      </c>
      <c r="B716" s="82">
        <v>0</v>
      </c>
      <c r="C716" s="84" t="s">
        <v>654</v>
      </c>
      <c r="D716" s="84" t="s">
        <v>854</v>
      </c>
      <c r="E716" s="101"/>
      <c r="F716" s="84" t="s">
        <v>561</v>
      </c>
    </row>
    <row r="717" spans="1:6" ht="24.95" customHeight="1" x14ac:dyDescent="0.25">
      <c r="A717" s="83" t="s">
        <v>1227</v>
      </c>
      <c r="B717" s="81">
        <v>0</v>
      </c>
      <c r="C717" s="83" t="s">
        <v>654</v>
      </c>
      <c r="D717" s="83">
        <v>0</v>
      </c>
      <c r="E717" s="100">
        <v>0</v>
      </c>
      <c r="F717" s="83" t="s">
        <v>561</v>
      </c>
    </row>
    <row r="718" spans="1:6" ht="24.95" customHeight="1" x14ac:dyDescent="0.25">
      <c r="A718" s="84" t="s">
        <v>1243</v>
      </c>
      <c r="B718" s="82">
        <v>20524</v>
      </c>
      <c r="C718" s="84" t="s">
        <v>2003</v>
      </c>
      <c r="D718" s="84" t="s">
        <v>1242</v>
      </c>
      <c r="E718" s="101">
        <v>3060536619</v>
      </c>
      <c r="F718" s="84" t="s">
        <v>561</v>
      </c>
    </row>
    <row r="719" spans="1:6" ht="24.95" customHeight="1" x14ac:dyDescent="0.25">
      <c r="A719" s="83" t="s">
        <v>1219</v>
      </c>
      <c r="B719" s="81">
        <v>0</v>
      </c>
      <c r="C719" s="83" t="s">
        <v>1259</v>
      </c>
      <c r="D719" s="83" t="s">
        <v>1218</v>
      </c>
      <c r="E719" s="100"/>
      <c r="F719" s="83" t="s">
        <v>1257</v>
      </c>
    </row>
    <row r="720" spans="1:6" ht="24.95" customHeight="1" x14ac:dyDescent="0.25">
      <c r="A720" s="84" t="s">
        <v>546</v>
      </c>
      <c r="B720" s="82">
        <v>4001212</v>
      </c>
      <c r="C720" s="84" t="s">
        <v>707</v>
      </c>
      <c r="D720" s="84" t="s">
        <v>545</v>
      </c>
      <c r="E720" s="101"/>
      <c r="F720" s="84" t="s">
        <v>1257</v>
      </c>
    </row>
    <row r="721" spans="1:6" ht="24.95" customHeight="1" x14ac:dyDescent="0.25">
      <c r="A721" s="83" t="s">
        <v>544</v>
      </c>
      <c r="B721" s="81">
        <v>4000102</v>
      </c>
      <c r="C721" s="83" t="s">
        <v>707</v>
      </c>
      <c r="D721" s="83" t="s">
        <v>189</v>
      </c>
      <c r="E721" s="100"/>
      <c r="F721" s="83" t="s">
        <v>1257</v>
      </c>
    </row>
    <row r="722" spans="1:6" ht="24.95" customHeight="1" x14ac:dyDescent="0.25">
      <c r="A722" s="84" t="s">
        <v>1215</v>
      </c>
      <c r="B722" s="82">
        <v>4010105</v>
      </c>
      <c r="C722" s="84" t="s">
        <v>707</v>
      </c>
      <c r="D722" s="84" t="s">
        <v>1216</v>
      </c>
      <c r="E722" s="101"/>
      <c r="F722" s="84" t="s">
        <v>1257</v>
      </c>
    </row>
    <row r="723" spans="1:6" ht="24.95" customHeight="1" x14ac:dyDescent="0.25">
      <c r="A723" s="83" t="s">
        <v>1208</v>
      </c>
      <c r="B723" s="81">
        <v>4010303</v>
      </c>
      <c r="C723" s="83" t="s">
        <v>707</v>
      </c>
      <c r="D723" s="83" t="s">
        <v>1207</v>
      </c>
      <c r="E723" s="100"/>
      <c r="F723" s="83" t="s">
        <v>1257</v>
      </c>
    </row>
    <row r="724" spans="1:6" ht="24.95" customHeight="1" x14ac:dyDescent="0.25">
      <c r="A724" s="84" t="s">
        <v>141</v>
      </c>
      <c r="B724" s="82">
        <v>6300</v>
      </c>
      <c r="C724" s="84" t="s">
        <v>707</v>
      </c>
      <c r="D724" s="84" t="s">
        <v>1214</v>
      </c>
      <c r="E724" s="101"/>
      <c r="F724" s="84" t="s">
        <v>1631</v>
      </c>
    </row>
    <row r="725" spans="1:6" ht="24.95" customHeight="1" x14ac:dyDescent="0.25">
      <c r="A725" s="83" t="s">
        <v>548</v>
      </c>
      <c r="B725" s="81">
        <v>4010702</v>
      </c>
      <c r="C725" s="83" t="s">
        <v>707</v>
      </c>
      <c r="D725" s="83" t="s">
        <v>1213</v>
      </c>
      <c r="E725" s="100"/>
      <c r="F725" s="83" t="s">
        <v>1257</v>
      </c>
    </row>
    <row r="726" spans="1:6" ht="24.95" customHeight="1" x14ac:dyDescent="0.25">
      <c r="A726" s="84" t="s">
        <v>1361</v>
      </c>
      <c r="B726" s="82">
        <v>20225</v>
      </c>
      <c r="C726" s="84" t="s">
        <v>2003</v>
      </c>
      <c r="D726" s="84" t="s">
        <v>710</v>
      </c>
      <c r="E726" s="101"/>
      <c r="F726" s="84" t="s">
        <v>1257</v>
      </c>
    </row>
    <row r="727" spans="1:6" ht="24.95" customHeight="1" x14ac:dyDescent="0.25">
      <c r="A727" s="83" t="s">
        <v>1362</v>
      </c>
      <c r="B727" s="81">
        <v>20608</v>
      </c>
      <c r="C727" s="83" t="s">
        <v>2003</v>
      </c>
      <c r="D727" s="83" t="s">
        <v>710</v>
      </c>
      <c r="E727" s="100"/>
      <c r="F727" s="83" t="s">
        <v>1257</v>
      </c>
    </row>
    <row r="728" spans="1:6" ht="24.95" customHeight="1" x14ac:dyDescent="0.25">
      <c r="A728" s="84" t="s">
        <v>549</v>
      </c>
      <c r="B728" s="82">
        <v>4010310</v>
      </c>
      <c r="C728" s="84" t="s">
        <v>707</v>
      </c>
      <c r="D728" s="84" t="s">
        <v>401</v>
      </c>
      <c r="E728" s="101"/>
      <c r="F728" s="84" t="s">
        <v>1257</v>
      </c>
    </row>
    <row r="729" spans="1:6" ht="24.95" customHeight="1" x14ac:dyDescent="0.25">
      <c r="A729" s="83" t="s">
        <v>518</v>
      </c>
      <c r="B729" s="81">
        <v>4011103</v>
      </c>
      <c r="C729" s="83" t="s">
        <v>707</v>
      </c>
      <c r="D729" s="83" t="s">
        <v>402</v>
      </c>
      <c r="E729" s="100"/>
      <c r="F729" s="83" t="s">
        <v>1257</v>
      </c>
    </row>
    <row r="730" spans="1:6" ht="24.95" customHeight="1" x14ac:dyDescent="0.25">
      <c r="A730" s="84" t="s">
        <v>126</v>
      </c>
      <c r="B730" s="82">
        <v>0</v>
      </c>
      <c r="C730" s="84"/>
      <c r="D730" s="84" t="s">
        <v>1207</v>
      </c>
      <c r="E730" s="101"/>
      <c r="F730" s="84" t="s">
        <v>1257</v>
      </c>
    </row>
    <row r="731" spans="1:6" ht="24.95" customHeight="1" x14ac:dyDescent="0.25">
      <c r="A731" s="83" t="s">
        <v>819</v>
      </c>
      <c r="B731" s="81">
        <v>4011004</v>
      </c>
      <c r="C731" s="83" t="s">
        <v>707</v>
      </c>
      <c r="D731" s="83" t="s">
        <v>740</v>
      </c>
      <c r="E731" s="100"/>
      <c r="F731" s="83" t="s">
        <v>1257</v>
      </c>
    </row>
    <row r="732" spans="1:6" ht="24.95" customHeight="1" x14ac:dyDescent="0.25">
      <c r="A732" s="84" t="s">
        <v>550</v>
      </c>
      <c r="B732" s="82">
        <v>4010703</v>
      </c>
      <c r="C732" s="84" t="s">
        <v>707</v>
      </c>
      <c r="D732" s="84" t="s">
        <v>188</v>
      </c>
      <c r="E732" s="101"/>
      <c r="F732" s="84" t="s">
        <v>1257</v>
      </c>
    </row>
    <row r="733" spans="1:6" ht="24.95" customHeight="1" x14ac:dyDescent="0.25">
      <c r="A733" s="83" t="s">
        <v>1210</v>
      </c>
      <c r="B733" s="81">
        <v>4010313</v>
      </c>
      <c r="C733" s="83" t="s">
        <v>707</v>
      </c>
      <c r="D733" s="83" t="s">
        <v>1211</v>
      </c>
      <c r="E733" s="100"/>
      <c r="F733" s="83" t="s">
        <v>1257</v>
      </c>
    </row>
    <row r="734" spans="1:6" ht="24.95" customHeight="1" x14ac:dyDescent="0.25">
      <c r="A734" s="84" t="s">
        <v>1630</v>
      </c>
      <c r="B734" s="82">
        <v>4010404</v>
      </c>
      <c r="C734" s="84" t="s">
        <v>707</v>
      </c>
      <c r="D734" s="84" t="s">
        <v>188</v>
      </c>
      <c r="E734" s="101"/>
      <c r="F734" s="84" t="s">
        <v>1631</v>
      </c>
    </row>
    <row r="735" spans="1:6" ht="24.95" customHeight="1" x14ac:dyDescent="0.25">
      <c r="A735" s="83" t="s">
        <v>371</v>
      </c>
      <c r="B735" s="81">
        <v>1826</v>
      </c>
      <c r="C735" s="83" t="s">
        <v>707</v>
      </c>
      <c r="D735" s="83" t="s">
        <v>760</v>
      </c>
      <c r="E735" s="100"/>
      <c r="F735" s="83" t="s">
        <v>1257</v>
      </c>
    </row>
    <row r="736" spans="1:6" ht="24.95" customHeight="1" x14ac:dyDescent="0.25">
      <c r="A736" s="84" t="s">
        <v>1217</v>
      </c>
      <c r="B736" s="82">
        <v>0</v>
      </c>
      <c r="C736" s="84" t="s">
        <v>1259</v>
      </c>
      <c r="D736" s="84" t="s">
        <v>1214</v>
      </c>
      <c r="E736" s="101"/>
      <c r="F736" s="84" t="s">
        <v>1257</v>
      </c>
    </row>
    <row r="737" spans="1:6" ht="24.95" customHeight="1" x14ac:dyDescent="0.25">
      <c r="A737" s="83" t="s">
        <v>380</v>
      </c>
      <c r="B737" s="81">
        <v>4010902</v>
      </c>
      <c r="C737" s="83" t="s">
        <v>707</v>
      </c>
      <c r="D737" s="83" t="s">
        <v>1218</v>
      </c>
      <c r="E737" s="100"/>
      <c r="F737" s="83" t="s">
        <v>1257</v>
      </c>
    </row>
    <row r="738" spans="1:6" ht="24.95" customHeight="1" x14ac:dyDescent="0.25">
      <c r="A738" s="84" t="s">
        <v>483</v>
      </c>
      <c r="B738" s="82">
        <v>4011009</v>
      </c>
      <c r="C738" s="84" t="s">
        <v>707</v>
      </c>
      <c r="D738" s="84" t="s">
        <v>1213</v>
      </c>
      <c r="E738" s="101"/>
      <c r="F738" s="84" t="s">
        <v>1257</v>
      </c>
    </row>
    <row r="739" spans="1:6" ht="24.95" customHeight="1" x14ac:dyDescent="0.25">
      <c r="A739" s="83" t="s">
        <v>1212</v>
      </c>
      <c r="B739" s="81">
        <v>4011008</v>
      </c>
      <c r="C739" s="83" t="s">
        <v>707</v>
      </c>
      <c r="D739" s="83" t="s">
        <v>1211</v>
      </c>
      <c r="E739" s="100"/>
      <c r="F739" s="83" t="s">
        <v>1608</v>
      </c>
    </row>
    <row r="740" spans="1:6" ht="24.95" customHeight="1" x14ac:dyDescent="0.25">
      <c r="A740" s="84" t="s">
        <v>1209</v>
      </c>
      <c r="B740" s="82">
        <v>20592</v>
      </c>
      <c r="C740" s="84" t="s">
        <v>2003</v>
      </c>
      <c r="D740" s="84" t="s">
        <v>1207</v>
      </c>
      <c r="E740" s="101"/>
      <c r="F740" s="84" t="s">
        <v>1257</v>
      </c>
    </row>
    <row r="741" spans="1:6" ht="24.95" customHeight="1" x14ac:dyDescent="0.25">
      <c r="A741" s="83" t="s">
        <v>1177</v>
      </c>
      <c r="B741" s="81">
        <v>20590</v>
      </c>
      <c r="C741" s="83" t="s">
        <v>2003</v>
      </c>
      <c r="D741" s="83" t="s">
        <v>543</v>
      </c>
      <c r="E741" s="100"/>
      <c r="F741" s="83" t="s">
        <v>1257</v>
      </c>
    </row>
    <row r="742" spans="1:6" ht="24.95" customHeight="1" x14ac:dyDescent="0.25">
      <c r="A742" s="84" t="s">
        <v>1067</v>
      </c>
      <c r="B742" s="82">
        <v>20601</v>
      </c>
      <c r="C742" s="84" t="s">
        <v>2003</v>
      </c>
      <c r="D742" s="84" t="s">
        <v>189</v>
      </c>
      <c r="E742" s="101"/>
      <c r="F742" s="84" t="s">
        <v>1257</v>
      </c>
    </row>
    <row r="743" spans="1:6" ht="24.95" customHeight="1" x14ac:dyDescent="0.25">
      <c r="A743" s="83" t="s">
        <v>1203</v>
      </c>
      <c r="B743" s="81">
        <v>20664</v>
      </c>
      <c r="C743" s="83" t="s">
        <v>2003</v>
      </c>
      <c r="D743" s="83" t="s">
        <v>1204</v>
      </c>
      <c r="E743" s="100"/>
      <c r="F743" s="83" t="s">
        <v>1257</v>
      </c>
    </row>
    <row r="744" spans="1:6" ht="24.95" customHeight="1" x14ac:dyDescent="0.25">
      <c r="A744" s="84" t="s">
        <v>1205</v>
      </c>
      <c r="B744" s="82">
        <v>20669</v>
      </c>
      <c r="C744" s="84" t="s">
        <v>2003</v>
      </c>
      <c r="D744" s="84" t="s">
        <v>854</v>
      </c>
      <c r="E744" s="101"/>
      <c r="F744" s="84" t="s">
        <v>1257</v>
      </c>
    </row>
    <row r="745" spans="1:6" ht="24.95" customHeight="1" x14ac:dyDescent="0.25">
      <c r="A745" s="83" t="s">
        <v>1206</v>
      </c>
      <c r="B745" s="81">
        <v>20655</v>
      </c>
      <c r="C745" s="83" t="s">
        <v>2003</v>
      </c>
      <c r="D745" s="83" t="s">
        <v>854</v>
      </c>
      <c r="E745" s="100"/>
      <c r="F745" s="83" t="s">
        <v>1257</v>
      </c>
    </row>
    <row r="746" spans="1:6" ht="24.95" customHeight="1" x14ac:dyDescent="0.25">
      <c r="A746" s="84" t="s">
        <v>1220</v>
      </c>
      <c r="B746" s="82"/>
      <c r="C746" s="84"/>
      <c r="D746" s="84" t="s">
        <v>1207</v>
      </c>
      <c r="E746" s="101"/>
      <c r="F746" s="84" t="s">
        <v>1257</v>
      </c>
    </row>
    <row r="747" spans="1:6" ht="24.95" customHeight="1" x14ac:dyDescent="0.25">
      <c r="A747" s="83" t="s">
        <v>549</v>
      </c>
      <c r="B747" s="81">
        <v>4010310</v>
      </c>
      <c r="C747" s="83" t="s">
        <v>2003</v>
      </c>
      <c r="D747" s="83" t="s">
        <v>1249</v>
      </c>
      <c r="E747" s="100"/>
      <c r="F747" s="83" t="s">
        <v>1257</v>
      </c>
    </row>
    <row r="748" spans="1:6" ht="24.95" customHeight="1" x14ac:dyDescent="0.25">
      <c r="A748" s="84" t="s">
        <v>1253</v>
      </c>
      <c r="B748" s="82">
        <v>20647</v>
      </c>
      <c r="C748" s="84" t="s">
        <v>2003</v>
      </c>
      <c r="D748" s="84" t="s">
        <v>191</v>
      </c>
      <c r="E748" s="101"/>
      <c r="F748" s="84" t="s">
        <v>1257</v>
      </c>
    </row>
    <row r="749" spans="1:6" ht="24.95" customHeight="1" x14ac:dyDescent="0.25">
      <c r="A749" s="83" t="s">
        <v>1254</v>
      </c>
      <c r="B749" s="81"/>
      <c r="C749" s="83"/>
      <c r="D749" s="83" t="s">
        <v>1250</v>
      </c>
      <c r="E749" s="100"/>
      <c r="F749" s="83" t="s">
        <v>1257</v>
      </c>
    </row>
    <row r="750" spans="1:6" ht="24.95" customHeight="1" x14ac:dyDescent="0.25">
      <c r="A750" s="84" t="s">
        <v>1415</v>
      </c>
      <c r="B750" s="82">
        <v>20591</v>
      </c>
      <c r="C750" s="84" t="s">
        <v>2003</v>
      </c>
      <c r="D750" s="84" t="s">
        <v>716</v>
      </c>
      <c r="E750" s="101"/>
      <c r="F750" s="84" t="s">
        <v>1257</v>
      </c>
    </row>
    <row r="751" spans="1:6" ht="24.95" customHeight="1" x14ac:dyDescent="0.25">
      <c r="A751" s="83" t="s">
        <v>1416</v>
      </c>
      <c r="B751" s="81">
        <v>4020708</v>
      </c>
      <c r="C751" s="83" t="s">
        <v>707</v>
      </c>
      <c r="D751" s="83" t="s">
        <v>1418</v>
      </c>
      <c r="E751" s="100"/>
      <c r="F751" s="83" t="s">
        <v>1257</v>
      </c>
    </row>
    <row r="752" spans="1:6" ht="24.95" customHeight="1" x14ac:dyDescent="0.25">
      <c r="A752" s="84" t="s">
        <v>1417</v>
      </c>
      <c r="B752" s="82">
        <v>20600</v>
      </c>
      <c r="C752" s="84" t="s">
        <v>2003</v>
      </c>
      <c r="D752" s="84" t="s">
        <v>1419</v>
      </c>
      <c r="E752" s="101"/>
      <c r="F752" s="84" t="s">
        <v>1257</v>
      </c>
    </row>
    <row r="753" spans="1:6" ht="24.95" customHeight="1" x14ac:dyDescent="0.25">
      <c r="A753" s="83" t="s">
        <v>1297</v>
      </c>
      <c r="B753" s="81">
        <v>20595</v>
      </c>
      <c r="C753" s="83" t="s">
        <v>2003</v>
      </c>
      <c r="D753" s="83" t="s">
        <v>480</v>
      </c>
      <c r="E753" s="100">
        <v>2020442566</v>
      </c>
      <c r="F753" s="83" t="s">
        <v>1257</v>
      </c>
    </row>
    <row r="754" spans="1:6" ht="24.95" customHeight="1" x14ac:dyDescent="0.25">
      <c r="A754" s="84" t="s">
        <v>335</v>
      </c>
      <c r="B754" s="82">
        <v>0</v>
      </c>
      <c r="C754" s="84" t="s">
        <v>1260</v>
      </c>
      <c r="D754" s="84" t="s">
        <v>336</v>
      </c>
      <c r="E754" s="101"/>
      <c r="F754" s="84" t="s">
        <v>1258</v>
      </c>
    </row>
    <row r="755" spans="1:6" ht="24.95" customHeight="1" x14ac:dyDescent="0.25">
      <c r="A755" s="83" t="s">
        <v>1036</v>
      </c>
      <c r="B755" s="81">
        <v>0</v>
      </c>
      <c r="C755" s="83" t="s">
        <v>1260</v>
      </c>
      <c r="D755" s="83" t="s">
        <v>1221</v>
      </c>
      <c r="E755" s="100"/>
      <c r="F755" s="83" t="s">
        <v>1258</v>
      </c>
    </row>
    <row r="756" spans="1:6" ht="24.95" customHeight="1" x14ac:dyDescent="0.25">
      <c r="A756" s="84" t="s">
        <v>1037</v>
      </c>
      <c r="B756" s="82">
        <v>0</v>
      </c>
      <c r="C756" s="84" t="s">
        <v>1260</v>
      </c>
      <c r="D756" s="84" t="s">
        <v>1221</v>
      </c>
      <c r="E756" s="101"/>
      <c r="F756" s="84" t="s">
        <v>1258</v>
      </c>
    </row>
    <row r="757" spans="1:6" ht="24.95" customHeight="1" x14ac:dyDescent="0.25">
      <c r="A757" s="83" t="s">
        <v>1222</v>
      </c>
      <c r="B757" s="81">
        <v>0</v>
      </c>
      <c r="C757" s="83" t="s">
        <v>1260</v>
      </c>
      <c r="D757" s="83" t="s">
        <v>1221</v>
      </c>
      <c r="E757" s="100"/>
      <c r="F757" s="83" t="s">
        <v>1258</v>
      </c>
    </row>
    <row r="758" spans="1:6" ht="24.95" customHeight="1" x14ac:dyDescent="0.25">
      <c r="A758" s="84" t="s">
        <v>1255</v>
      </c>
      <c r="B758" s="82">
        <v>0</v>
      </c>
      <c r="C758" s="84" t="s">
        <v>1260</v>
      </c>
      <c r="D758" s="84" t="s">
        <v>1255</v>
      </c>
      <c r="E758" s="101"/>
      <c r="F758" s="84" t="s">
        <v>1258</v>
      </c>
    </row>
    <row r="759" spans="1:6" ht="24.95" customHeight="1" x14ac:dyDescent="0.25">
      <c r="A759" s="83" t="s">
        <v>337</v>
      </c>
      <c r="B759" s="81">
        <v>0</v>
      </c>
      <c r="C759" s="83" t="s">
        <v>1260</v>
      </c>
      <c r="D759" s="83" t="s">
        <v>1221</v>
      </c>
      <c r="E759" s="100"/>
      <c r="F759" s="83" t="s">
        <v>1258</v>
      </c>
    </row>
    <row r="760" spans="1:6" ht="24.95" customHeight="1" x14ac:dyDescent="0.25">
      <c r="A760" s="84" t="s">
        <v>1040</v>
      </c>
      <c r="B760" s="82">
        <v>0</v>
      </c>
      <c r="C760" s="84" t="s">
        <v>1260</v>
      </c>
      <c r="D760" s="84" t="s">
        <v>1221</v>
      </c>
      <c r="E760" s="101"/>
      <c r="F760" s="84" t="s">
        <v>1258</v>
      </c>
    </row>
    <row r="761" spans="1:6" ht="24.95" customHeight="1" x14ac:dyDescent="0.25">
      <c r="A761" s="83" t="s">
        <v>1223</v>
      </c>
      <c r="B761" s="81">
        <v>0</v>
      </c>
      <c r="C761" s="83" t="s">
        <v>1260</v>
      </c>
      <c r="D761" s="83" t="s">
        <v>1221</v>
      </c>
      <c r="E761" s="100"/>
      <c r="F761" s="83" t="s">
        <v>1258</v>
      </c>
    </row>
    <row r="762" spans="1:6" ht="24.95" customHeight="1" x14ac:dyDescent="0.25">
      <c r="A762" s="84" t="s">
        <v>1256</v>
      </c>
      <c r="B762" s="82">
        <v>0</v>
      </c>
      <c r="C762" s="84" t="s">
        <v>1260</v>
      </c>
      <c r="D762" s="84" t="s">
        <v>1221</v>
      </c>
      <c r="E762" s="101"/>
      <c r="F762" s="84" t="s">
        <v>1258</v>
      </c>
    </row>
    <row r="763" spans="1:6" ht="24.95" customHeight="1" x14ac:dyDescent="0.25">
      <c r="A763" s="83" t="s">
        <v>1224</v>
      </c>
      <c r="B763" s="81">
        <v>0</v>
      </c>
      <c r="C763" s="83" t="s">
        <v>1260</v>
      </c>
      <c r="D763" s="83" t="s">
        <v>1221</v>
      </c>
      <c r="E763" s="100"/>
      <c r="F763" s="83" t="s">
        <v>1258</v>
      </c>
    </row>
    <row r="764" spans="1:6" ht="24.95" customHeight="1" x14ac:dyDescent="0.25">
      <c r="A764" s="84" t="s">
        <v>1038</v>
      </c>
      <c r="B764" s="82">
        <v>0</v>
      </c>
      <c r="C764" s="84" t="s">
        <v>1260</v>
      </c>
      <c r="D764" s="84" t="s">
        <v>1221</v>
      </c>
      <c r="E764" s="101"/>
      <c r="F764" s="84" t="s">
        <v>1258</v>
      </c>
    </row>
    <row r="765" spans="1:6" ht="24.95" customHeight="1" x14ac:dyDescent="0.25">
      <c r="A765" s="83" t="s">
        <v>1039</v>
      </c>
      <c r="B765" s="81">
        <v>0</v>
      </c>
      <c r="C765" s="83" t="s">
        <v>1260</v>
      </c>
      <c r="D765" s="83" t="s">
        <v>1221</v>
      </c>
      <c r="E765" s="100"/>
      <c r="F765" s="83" t="s">
        <v>1258</v>
      </c>
    </row>
    <row r="766" spans="1:6" ht="24.95" customHeight="1" x14ac:dyDescent="0.25">
      <c r="A766" s="84" t="s">
        <v>1037</v>
      </c>
      <c r="B766" s="82">
        <v>0</v>
      </c>
      <c r="C766" s="84" t="s">
        <v>1260</v>
      </c>
      <c r="D766" s="84" t="s">
        <v>1221</v>
      </c>
      <c r="E766" s="101"/>
      <c r="F766" s="84" t="s">
        <v>1258</v>
      </c>
    </row>
    <row r="767" spans="1:6" ht="24.95" customHeight="1" x14ac:dyDescent="0.25">
      <c r="A767" s="83" t="s">
        <v>1225</v>
      </c>
      <c r="B767" s="81">
        <v>0</v>
      </c>
      <c r="C767" s="83" t="s">
        <v>1260</v>
      </c>
      <c r="D767" s="83" t="s">
        <v>1001</v>
      </c>
      <c r="E767" s="100"/>
      <c r="F767" s="83" t="s">
        <v>1258</v>
      </c>
    </row>
    <row r="768" spans="1:6" ht="24.95" customHeight="1" x14ac:dyDescent="0.25">
      <c r="A768" s="84" t="s">
        <v>1198</v>
      </c>
      <c r="B768" s="82">
        <v>0</v>
      </c>
      <c r="C768" s="84" t="s">
        <v>1260</v>
      </c>
      <c r="D768" s="84" t="s">
        <v>1198</v>
      </c>
      <c r="E768" s="101"/>
      <c r="F768" s="84" t="s">
        <v>1258</v>
      </c>
    </row>
    <row r="769" spans="1:6" ht="24.95" customHeight="1" x14ac:dyDescent="0.25">
      <c r="A769" s="83" t="s">
        <v>1247</v>
      </c>
      <c r="B769" s="81">
        <v>20636</v>
      </c>
      <c r="C769" s="83" t="s">
        <v>2003</v>
      </c>
      <c r="D769" s="83" t="s">
        <v>1248</v>
      </c>
      <c r="E769" s="100"/>
      <c r="F769" s="83" t="s">
        <v>1258</v>
      </c>
    </row>
    <row r="770" spans="1:6" ht="24.95" customHeight="1" x14ac:dyDescent="0.25">
      <c r="A770" s="84" t="s">
        <v>1570</v>
      </c>
      <c r="B770" s="82">
        <v>4021106</v>
      </c>
      <c r="C770" s="84" t="s">
        <v>707</v>
      </c>
      <c r="D770" s="84" t="s">
        <v>854</v>
      </c>
      <c r="E770" s="101" t="s">
        <v>1889</v>
      </c>
      <c r="F770" s="84" t="s">
        <v>1471</v>
      </c>
    </row>
    <row r="771" spans="1:6" ht="24.95" customHeight="1" x14ac:dyDescent="0.25">
      <c r="A771" s="83" t="s">
        <v>1472</v>
      </c>
      <c r="B771" s="81">
        <v>98117</v>
      </c>
      <c r="C771" s="83" t="s">
        <v>707</v>
      </c>
      <c r="D771" s="83" t="s">
        <v>542</v>
      </c>
      <c r="E771" s="100"/>
      <c r="F771" s="83" t="s">
        <v>1471</v>
      </c>
    </row>
    <row r="772" spans="1:6" ht="24.95" customHeight="1" x14ac:dyDescent="0.25">
      <c r="A772" s="84" t="s">
        <v>1570</v>
      </c>
      <c r="B772" s="82">
        <v>4021106</v>
      </c>
      <c r="C772" s="84" t="s">
        <v>707</v>
      </c>
      <c r="D772" s="84" t="s">
        <v>1204</v>
      </c>
      <c r="E772" s="101" t="s">
        <v>1889</v>
      </c>
      <c r="F772" s="84" t="s">
        <v>1471</v>
      </c>
    </row>
    <row r="773" spans="1:6" ht="24.95" customHeight="1" x14ac:dyDescent="0.25">
      <c r="A773" s="83" t="s">
        <v>1634</v>
      </c>
      <c r="B773" s="81">
        <v>0</v>
      </c>
      <c r="C773" s="83" t="s">
        <v>1635</v>
      </c>
      <c r="D773" s="83" t="s">
        <v>1636</v>
      </c>
      <c r="E773" s="100"/>
      <c r="F773" s="83" t="s">
        <v>1471</v>
      </c>
    </row>
    <row r="774" spans="1:6" ht="24.95" customHeight="1" x14ac:dyDescent="0.25">
      <c r="A774" s="84" t="s">
        <v>1644</v>
      </c>
      <c r="B774" s="82">
        <v>1938</v>
      </c>
      <c r="C774" s="84" t="s">
        <v>707</v>
      </c>
      <c r="D774" s="84" t="s">
        <v>188</v>
      </c>
      <c r="E774" s="101">
        <v>3071166184</v>
      </c>
      <c r="F774" s="84" t="s">
        <v>1471</v>
      </c>
    </row>
    <row r="775" spans="1:6" ht="24.95" customHeight="1" x14ac:dyDescent="0.25">
      <c r="A775" s="83" t="s">
        <v>1645</v>
      </c>
      <c r="B775" s="81">
        <v>20790</v>
      </c>
      <c r="C775" s="83" t="s">
        <v>2003</v>
      </c>
      <c r="D775" s="83" t="s">
        <v>1647</v>
      </c>
      <c r="E775" s="100" t="s">
        <v>1888</v>
      </c>
      <c r="F775" s="83" t="s">
        <v>1471</v>
      </c>
    </row>
    <row r="776" spans="1:6" ht="24.95" customHeight="1" x14ac:dyDescent="0.25">
      <c r="A776" s="84" t="s">
        <v>1885</v>
      </c>
      <c r="B776" s="82">
        <v>20966</v>
      </c>
      <c r="C776" s="84" t="s">
        <v>2003</v>
      </c>
      <c r="D776" s="84" t="s">
        <v>480</v>
      </c>
      <c r="E776" s="101" t="s">
        <v>1887</v>
      </c>
      <c r="F776" s="84" t="s">
        <v>1471</v>
      </c>
    </row>
    <row r="777" spans="1:6" ht="24.95" customHeight="1" x14ac:dyDescent="0.25">
      <c r="A777" s="83" t="s">
        <v>1708</v>
      </c>
      <c r="B777" s="81">
        <v>20775</v>
      </c>
      <c r="C777" s="83" t="s">
        <v>2003</v>
      </c>
      <c r="D777" s="83" t="s">
        <v>793</v>
      </c>
      <c r="E777" s="100" t="s">
        <v>1886</v>
      </c>
      <c r="F777" s="83" t="s">
        <v>1471</v>
      </c>
    </row>
    <row r="778" spans="1:6" ht="24.95" customHeight="1" x14ac:dyDescent="0.25">
      <c r="A778" s="84" t="s">
        <v>1705</v>
      </c>
      <c r="B778" s="82">
        <v>20767</v>
      </c>
      <c r="C778" s="84" t="s">
        <v>2003</v>
      </c>
      <c r="D778" s="84" t="s">
        <v>1706</v>
      </c>
      <c r="E778" s="101"/>
      <c r="F778" s="84" t="s">
        <v>1471</v>
      </c>
    </row>
    <row r="779" spans="1:6" ht="24.95" customHeight="1" x14ac:dyDescent="0.25">
      <c r="A779" s="83" t="s">
        <v>1646</v>
      </c>
      <c r="B779" s="81">
        <v>20789</v>
      </c>
      <c r="C779" s="83" t="s">
        <v>2003</v>
      </c>
      <c r="D779" s="83" t="s">
        <v>1648</v>
      </c>
      <c r="E779" s="100">
        <v>1271712148</v>
      </c>
      <c r="F779" s="83" t="s">
        <v>1471</v>
      </c>
    </row>
    <row r="780" spans="1:6" ht="24.95" customHeight="1" x14ac:dyDescent="0.25">
      <c r="A780" s="84" t="s">
        <v>1473</v>
      </c>
      <c r="B780" s="82">
        <v>4020802</v>
      </c>
      <c r="C780" s="84" t="s">
        <v>707</v>
      </c>
      <c r="D780" s="84" t="s">
        <v>1939</v>
      </c>
      <c r="E780" s="101"/>
      <c r="F780" s="84" t="s">
        <v>1471</v>
      </c>
    </row>
    <row r="781" spans="1:6" ht="24.95" customHeight="1" x14ac:dyDescent="0.25">
      <c r="A781" s="83" t="s">
        <v>1474</v>
      </c>
      <c r="B781" s="81">
        <v>4020807</v>
      </c>
      <c r="C781" s="83" t="s">
        <v>707</v>
      </c>
      <c r="D781" s="83" t="s">
        <v>709</v>
      </c>
      <c r="E781" s="100"/>
      <c r="F781" s="83" t="s">
        <v>1471</v>
      </c>
    </row>
    <row r="782" spans="1:6" ht="24.95" customHeight="1" x14ac:dyDescent="0.25">
      <c r="A782" s="84" t="s">
        <v>1872</v>
      </c>
      <c r="B782" s="82">
        <v>4031203</v>
      </c>
      <c r="C782" s="84" t="s">
        <v>707</v>
      </c>
      <c r="D782" s="84" t="s">
        <v>186</v>
      </c>
      <c r="E782" s="101">
        <v>3150000602</v>
      </c>
      <c r="F782" s="84" t="s">
        <v>1471</v>
      </c>
    </row>
    <row r="783" spans="1:6" ht="24.95" customHeight="1" x14ac:dyDescent="0.25">
      <c r="A783" s="83" t="s">
        <v>1868</v>
      </c>
      <c r="B783" s="81">
        <v>4031206</v>
      </c>
      <c r="C783" s="83" t="s">
        <v>707</v>
      </c>
      <c r="D783" s="83" t="s">
        <v>188</v>
      </c>
      <c r="E783" s="100"/>
      <c r="F783" s="83" t="s">
        <v>1471</v>
      </c>
    </row>
    <row r="784" spans="1:6" ht="24.95" customHeight="1" x14ac:dyDescent="0.25">
      <c r="A784" s="84" t="s">
        <v>1702</v>
      </c>
      <c r="B784" s="82">
        <v>4000603</v>
      </c>
      <c r="C784" s="84" t="s">
        <v>707</v>
      </c>
      <c r="D784" s="84" t="s">
        <v>186</v>
      </c>
      <c r="E784" s="101"/>
      <c r="F784" s="84" t="s">
        <v>1471</v>
      </c>
    </row>
    <row r="785" spans="1:6" ht="24.95" customHeight="1" x14ac:dyDescent="0.25">
      <c r="A785" s="83" t="s">
        <v>566</v>
      </c>
      <c r="B785" s="81">
        <v>4000512</v>
      </c>
      <c r="C785" s="83" t="s">
        <v>707</v>
      </c>
      <c r="D785" s="83" t="s">
        <v>539</v>
      </c>
      <c r="E785" s="100"/>
      <c r="F785" s="83" t="s">
        <v>1471</v>
      </c>
    </row>
    <row r="786" spans="1:6" ht="24.95" customHeight="1" x14ac:dyDescent="0.25">
      <c r="A786" s="84" t="s">
        <v>1772</v>
      </c>
      <c r="B786" s="82">
        <v>1470035</v>
      </c>
      <c r="C786" s="84" t="s">
        <v>1635</v>
      </c>
      <c r="D786" s="84" t="s">
        <v>1004</v>
      </c>
      <c r="E786" s="101"/>
      <c r="F786" s="84" t="s">
        <v>1990</v>
      </c>
    </row>
    <row r="787" spans="1:6" ht="24.95" customHeight="1" x14ac:dyDescent="0.25">
      <c r="A787" s="83" t="s">
        <v>1776</v>
      </c>
      <c r="B787" s="81">
        <v>0</v>
      </c>
      <c r="C787" s="83" t="s">
        <v>1635</v>
      </c>
      <c r="D787" s="83" t="s">
        <v>1004</v>
      </c>
      <c r="E787" s="100"/>
      <c r="F787" s="83" t="s">
        <v>1471</v>
      </c>
    </row>
    <row r="788" spans="1:6" ht="24.95" customHeight="1" x14ac:dyDescent="0.25">
      <c r="A788" s="84" t="s">
        <v>1773</v>
      </c>
      <c r="B788" s="82">
        <v>0</v>
      </c>
      <c r="C788" s="84" t="s">
        <v>1680</v>
      </c>
      <c r="D788" s="84" t="s">
        <v>1221</v>
      </c>
      <c r="E788" s="101"/>
      <c r="F788" s="84" t="s">
        <v>1471</v>
      </c>
    </row>
    <row r="789" spans="1:6" ht="24.95" customHeight="1" x14ac:dyDescent="0.25">
      <c r="A789" s="83" t="s">
        <v>1774</v>
      </c>
      <c r="B789" s="81">
        <v>0</v>
      </c>
      <c r="C789" s="83" t="s">
        <v>1680</v>
      </c>
      <c r="D789" s="83" t="s">
        <v>1221</v>
      </c>
      <c r="E789" s="100"/>
      <c r="F789" s="83" t="s">
        <v>1471</v>
      </c>
    </row>
    <row r="790" spans="1:6" ht="24.95" customHeight="1" x14ac:dyDescent="0.25">
      <c r="A790" s="84" t="s">
        <v>1826</v>
      </c>
      <c r="B790" s="82">
        <v>0</v>
      </c>
      <c r="C790" s="84" t="s">
        <v>266</v>
      </c>
      <c r="D790" s="84" t="s">
        <v>266</v>
      </c>
      <c r="E790" s="101"/>
      <c r="F790" s="84" t="s">
        <v>1471</v>
      </c>
    </row>
    <row r="791" spans="1:6" ht="24.95" customHeight="1" x14ac:dyDescent="0.25">
      <c r="A791" s="83" t="s">
        <v>1828</v>
      </c>
      <c r="B791" s="81">
        <v>0</v>
      </c>
      <c r="C791" s="83" t="s">
        <v>1680</v>
      </c>
      <c r="D791" s="83" t="s">
        <v>1221</v>
      </c>
      <c r="E791" s="100"/>
      <c r="F791" s="83" t="s">
        <v>1471</v>
      </c>
    </row>
    <row r="792" spans="1:6" ht="24.95" customHeight="1" x14ac:dyDescent="0.25">
      <c r="A792" s="84" t="s">
        <v>1830</v>
      </c>
      <c r="B792" s="82">
        <v>0</v>
      </c>
      <c r="C792" s="84" t="s">
        <v>1680</v>
      </c>
      <c r="D792" s="84" t="s">
        <v>1221</v>
      </c>
      <c r="E792" s="101"/>
      <c r="F792" s="84" t="s">
        <v>1471</v>
      </c>
    </row>
    <row r="793" spans="1:6" ht="24.95" customHeight="1" x14ac:dyDescent="0.25">
      <c r="A793" s="83" t="s">
        <v>1829</v>
      </c>
      <c r="B793" s="81">
        <v>0</v>
      </c>
      <c r="C793" s="83" t="s">
        <v>1680</v>
      </c>
      <c r="D793" s="83" t="s">
        <v>1221</v>
      </c>
      <c r="E793" s="100"/>
      <c r="F793" s="83" t="s">
        <v>1471</v>
      </c>
    </row>
    <row r="794" spans="1:6" ht="24.95" customHeight="1" x14ac:dyDescent="0.25">
      <c r="A794" s="84" t="s">
        <v>1831</v>
      </c>
      <c r="B794" s="82">
        <v>0</v>
      </c>
      <c r="C794" s="84" t="s">
        <v>1680</v>
      </c>
      <c r="D794" s="84" t="s">
        <v>1221</v>
      </c>
      <c r="E794" s="101"/>
      <c r="F794" s="84" t="s">
        <v>1471</v>
      </c>
    </row>
    <row r="795" spans="1:6" ht="24.95" customHeight="1" x14ac:dyDescent="0.25">
      <c r="A795" s="83" t="s">
        <v>1827</v>
      </c>
      <c r="B795" s="81">
        <v>0</v>
      </c>
      <c r="C795" s="83" t="s">
        <v>1680</v>
      </c>
      <c r="D795" s="83" t="s">
        <v>1221</v>
      </c>
      <c r="E795" s="100"/>
      <c r="F795" s="83" t="s">
        <v>1471</v>
      </c>
    </row>
    <row r="796" spans="1:6" ht="24.95" customHeight="1" x14ac:dyDescent="0.25">
      <c r="A796" s="84" t="s">
        <v>1849</v>
      </c>
      <c r="B796" s="82">
        <v>0</v>
      </c>
      <c r="C796" s="84" t="s">
        <v>266</v>
      </c>
      <c r="D796" s="84" t="s">
        <v>266</v>
      </c>
      <c r="E796" s="101"/>
      <c r="F796" s="84" t="s">
        <v>1471</v>
      </c>
    </row>
    <row r="797" spans="1:6" ht="24.95" customHeight="1" x14ac:dyDescent="0.25">
      <c r="A797" s="83" t="s">
        <v>1681</v>
      </c>
      <c r="B797" s="81">
        <v>0</v>
      </c>
      <c r="C797" s="83" t="s">
        <v>266</v>
      </c>
      <c r="D797" s="83" t="s">
        <v>266</v>
      </c>
      <c r="E797" s="100"/>
      <c r="F797" s="83" t="s">
        <v>1471</v>
      </c>
    </row>
    <row r="798" spans="1:6" ht="24.95" customHeight="1" x14ac:dyDescent="0.25">
      <c r="A798" s="84" t="s">
        <v>1775</v>
      </c>
      <c r="B798" s="82">
        <v>0</v>
      </c>
      <c r="C798" s="84" t="s">
        <v>266</v>
      </c>
      <c r="D798" s="84" t="s">
        <v>266</v>
      </c>
      <c r="E798" s="101"/>
      <c r="F798" s="84" t="s">
        <v>1471</v>
      </c>
    </row>
    <row r="799" spans="1:6" ht="24.95" customHeight="1" x14ac:dyDescent="0.25">
      <c r="A799" s="83" t="s">
        <v>1850</v>
      </c>
      <c r="B799" s="81">
        <v>0</v>
      </c>
      <c r="C799" s="83" t="s">
        <v>1635</v>
      </c>
      <c r="D799" s="83" t="s">
        <v>1004</v>
      </c>
      <c r="E799" s="100"/>
      <c r="F799" s="83" t="s">
        <v>1471</v>
      </c>
    </row>
    <row r="800" spans="1:6" ht="24.95" customHeight="1" x14ac:dyDescent="0.25">
      <c r="A800" s="84" t="s">
        <v>1851</v>
      </c>
      <c r="B800" s="82">
        <v>0</v>
      </c>
      <c r="C800" s="84" t="s">
        <v>1635</v>
      </c>
      <c r="D800" s="84" t="s">
        <v>1004</v>
      </c>
      <c r="E800" s="101"/>
      <c r="F800" s="84" t="s">
        <v>1471</v>
      </c>
    </row>
    <row r="801" spans="1:6" ht="24.95" customHeight="1" x14ac:dyDescent="0.25">
      <c r="A801" s="83" t="s">
        <v>1852</v>
      </c>
      <c r="B801" s="81">
        <v>0</v>
      </c>
      <c r="C801" s="83" t="s">
        <v>1635</v>
      </c>
      <c r="D801" s="83" t="s">
        <v>1004</v>
      </c>
      <c r="E801" s="100"/>
      <c r="F801" s="83" t="s">
        <v>1471</v>
      </c>
    </row>
    <row r="802" spans="1:6" ht="24.95" customHeight="1" x14ac:dyDescent="0.25">
      <c r="A802" s="84" t="s">
        <v>1853</v>
      </c>
      <c r="B802" s="82">
        <v>0</v>
      </c>
      <c r="C802" s="84" t="s">
        <v>1635</v>
      </c>
      <c r="D802" s="84" t="s">
        <v>1004</v>
      </c>
      <c r="E802" s="101"/>
      <c r="F802" s="84" t="s">
        <v>1471</v>
      </c>
    </row>
    <row r="803" spans="1:6" ht="24.95" customHeight="1" x14ac:dyDescent="0.25">
      <c r="A803" s="83" t="s">
        <v>1475</v>
      </c>
      <c r="B803" s="81">
        <v>7009</v>
      </c>
      <c r="C803" s="83" t="s">
        <v>707</v>
      </c>
      <c r="D803" s="83" t="s">
        <v>194</v>
      </c>
      <c r="E803" s="100"/>
      <c r="F803" s="83" t="s">
        <v>1476</v>
      </c>
    </row>
    <row r="804" spans="1:6" ht="24.95" customHeight="1" x14ac:dyDescent="0.25">
      <c r="A804" s="84" t="s">
        <v>1634</v>
      </c>
      <c r="B804" s="82">
        <v>0</v>
      </c>
      <c r="C804" s="84" t="s">
        <v>1635</v>
      </c>
      <c r="D804" s="84" t="s">
        <v>1636</v>
      </c>
      <c r="E804" s="101"/>
      <c r="F804" s="84" t="s">
        <v>1471</v>
      </c>
    </row>
    <row r="805" spans="1:6" ht="24.95" customHeight="1" x14ac:dyDescent="0.25">
      <c r="A805" s="83" t="s">
        <v>404</v>
      </c>
      <c r="B805" s="81">
        <v>7005</v>
      </c>
      <c r="C805" s="83" t="s">
        <v>707</v>
      </c>
      <c r="D805" s="83" t="s">
        <v>401</v>
      </c>
      <c r="E805" s="100"/>
      <c r="F805" s="83" t="s">
        <v>1476</v>
      </c>
    </row>
    <row r="806" spans="1:6" ht="24.95" customHeight="1" x14ac:dyDescent="0.25">
      <c r="A806" s="84" t="s">
        <v>1607</v>
      </c>
      <c r="B806" s="82">
        <v>4021108</v>
      </c>
      <c r="C806" s="84" t="s">
        <v>707</v>
      </c>
      <c r="D806" s="84" t="s">
        <v>1200</v>
      </c>
      <c r="E806" s="101"/>
      <c r="F806" s="84" t="s">
        <v>1608</v>
      </c>
    </row>
    <row r="807" spans="1:6" ht="24.95" customHeight="1" x14ac:dyDescent="0.25">
      <c r="A807" s="83" t="s">
        <v>1736</v>
      </c>
      <c r="B807" s="81">
        <v>20841</v>
      </c>
      <c r="C807" s="83" t="s">
        <v>2003</v>
      </c>
      <c r="D807" s="83" t="s">
        <v>1737</v>
      </c>
      <c r="E807" s="100">
        <v>3621159517</v>
      </c>
      <c r="F807" s="83" t="s">
        <v>1608</v>
      </c>
    </row>
    <row r="808" spans="1:6" ht="24.95" customHeight="1" x14ac:dyDescent="0.25">
      <c r="A808" s="84" t="s">
        <v>1637</v>
      </c>
      <c r="B808" s="82">
        <v>4020707</v>
      </c>
      <c r="C808" s="84" t="s">
        <v>707</v>
      </c>
      <c r="D808" s="84" t="s">
        <v>1638</v>
      </c>
      <c r="E808" s="101"/>
      <c r="F808" s="84" t="s">
        <v>1608</v>
      </c>
    </row>
    <row r="809" spans="1:6" ht="24.95" customHeight="1" x14ac:dyDescent="0.25">
      <c r="A809" s="83" t="s">
        <v>1632</v>
      </c>
      <c r="B809" s="81">
        <v>4030101</v>
      </c>
      <c r="C809" s="83" t="s">
        <v>707</v>
      </c>
      <c r="D809" s="83" t="s">
        <v>542</v>
      </c>
      <c r="E809" s="100"/>
      <c r="F809" s="83" t="s">
        <v>1608</v>
      </c>
    </row>
    <row r="810" spans="1:6" ht="24.95" customHeight="1" x14ac:dyDescent="0.25">
      <c r="A810" s="84" t="s">
        <v>1633</v>
      </c>
      <c r="B810" s="82">
        <v>0</v>
      </c>
      <c r="C810" s="84" t="s">
        <v>707</v>
      </c>
      <c r="D810" s="84"/>
      <c r="E810" s="101"/>
      <c r="F810" s="84" t="s">
        <v>1608</v>
      </c>
    </row>
    <row r="811" spans="1:6" ht="24.95" customHeight="1" x14ac:dyDescent="0.25">
      <c r="A811" s="83" t="s">
        <v>1640</v>
      </c>
      <c r="B811" s="81">
        <v>0</v>
      </c>
      <c r="C811" s="83" t="s">
        <v>1198</v>
      </c>
      <c r="D811" s="83" t="s">
        <v>1198</v>
      </c>
      <c r="E811" s="100"/>
      <c r="F811" s="83" t="s">
        <v>561</v>
      </c>
    </row>
    <row r="812" spans="1:6" ht="24.95" customHeight="1" x14ac:dyDescent="0.25">
      <c r="A812" s="84" t="s">
        <v>1641</v>
      </c>
      <c r="B812" s="82">
        <v>0</v>
      </c>
      <c r="C812" s="84" t="s">
        <v>1642</v>
      </c>
      <c r="D812" s="84" t="s">
        <v>729</v>
      </c>
      <c r="E812" s="101">
        <v>5550257191</v>
      </c>
      <c r="F812" s="84" t="s">
        <v>561</v>
      </c>
    </row>
    <row r="813" spans="1:6" ht="24.95" customHeight="1" x14ac:dyDescent="0.25">
      <c r="A813" s="83" t="s">
        <v>1649</v>
      </c>
      <c r="B813" s="81">
        <v>0</v>
      </c>
      <c r="C813" s="83" t="s">
        <v>1650</v>
      </c>
      <c r="D813" s="83"/>
      <c r="E813" s="100"/>
      <c r="F813" s="83"/>
    </row>
    <row r="814" spans="1:6" ht="24.95" customHeight="1" x14ac:dyDescent="0.25">
      <c r="A814" s="84" t="s">
        <v>1931</v>
      </c>
      <c r="B814" s="82">
        <v>0</v>
      </c>
      <c r="C814" s="84" t="s">
        <v>1926</v>
      </c>
      <c r="D814" s="84" t="s">
        <v>1930</v>
      </c>
      <c r="E814" s="101">
        <v>3120307378</v>
      </c>
      <c r="F814" s="84" t="s">
        <v>1927</v>
      </c>
    </row>
    <row r="815" spans="1:6" ht="24.95" customHeight="1" x14ac:dyDescent="0.25">
      <c r="A815" s="83" t="s">
        <v>1933</v>
      </c>
      <c r="B815" s="81">
        <v>4010405</v>
      </c>
      <c r="C815" s="83" t="s">
        <v>707</v>
      </c>
      <c r="D815" s="83" t="s">
        <v>1932</v>
      </c>
      <c r="E815" s="100">
        <v>0</v>
      </c>
      <c r="F815" s="83" t="s">
        <v>1916</v>
      </c>
    </row>
    <row r="816" spans="1:6" ht="24.95" customHeight="1" x14ac:dyDescent="0.25">
      <c r="A816" s="84" t="s">
        <v>1934</v>
      </c>
      <c r="B816" s="82">
        <v>100663</v>
      </c>
      <c r="C816" s="84" t="s">
        <v>715</v>
      </c>
      <c r="D816" s="84" t="s">
        <v>1935</v>
      </c>
      <c r="E816" s="101">
        <v>1990141651</v>
      </c>
      <c r="F816" s="84" t="s">
        <v>1936</v>
      </c>
    </row>
    <row r="817" spans="1:6" ht="24.95" customHeight="1" x14ac:dyDescent="0.25">
      <c r="A817" s="83" t="s">
        <v>1951</v>
      </c>
      <c r="B817" s="81">
        <v>0</v>
      </c>
      <c r="C817" s="83" t="s">
        <v>1952</v>
      </c>
      <c r="D817" s="83" t="s">
        <v>189</v>
      </c>
      <c r="E817" s="100">
        <v>1754614688</v>
      </c>
      <c r="F817" s="83" t="s">
        <v>1953</v>
      </c>
    </row>
    <row r="818" spans="1:6" ht="24.95" customHeight="1" x14ac:dyDescent="0.25">
      <c r="A818" s="84" t="s">
        <v>1948</v>
      </c>
      <c r="B818" s="82">
        <v>4031105</v>
      </c>
      <c r="C818" s="84" t="s">
        <v>1950</v>
      </c>
      <c r="D818" s="84" t="s">
        <v>188</v>
      </c>
      <c r="E818" s="101">
        <v>3060189226</v>
      </c>
      <c r="F818" s="84" t="s">
        <v>1949</v>
      </c>
    </row>
    <row r="819" spans="1:6" ht="24.95" customHeight="1" x14ac:dyDescent="0.25">
      <c r="A819" s="83" t="s">
        <v>1955</v>
      </c>
      <c r="B819" s="81">
        <v>100668</v>
      </c>
      <c r="C819" s="83" t="s">
        <v>1956</v>
      </c>
      <c r="D819" s="83" t="s">
        <v>1957</v>
      </c>
      <c r="E819" s="100"/>
      <c r="F819" s="83" t="s">
        <v>1954</v>
      </c>
    </row>
    <row r="820" spans="1:6" ht="24.95" customHeight="1" x14ac:dyDescent="0.25">
      <c r="A820" s="83" t="s">
        <v>1194</v>
      </c>
      <c r="B820" s="81">
        <v>4040807</v>
      </c>
      <c r="C820" s="83" t="s">
        <v>1950</v>
      </c>
      <c r="D820" s="83" t="s">
        <v>809</v>
      </c>
      <c r="E820" s="100" t="s">
        <v>2055</v>
      </c>
      <c r="F820" s="83" t="s">
        <v>2056</v>
      </c>
    </row>
    <row r="821" spans="1:6" ht="24.95" customHeight="1" x14ac:dyDescent="0.25">
      <c r="A821" s="84" t="s">
        <v>1937</v>
      </c>
      <c r="B821" s="82">
        <v>0</v>
      </c>
      <c r="C821" s="84" t="s">
        <v>1938</v>
      </c>
      <c r="D821" s="84" t="s">
        <v>480</v>
      </c>
      <c r="E821" s="101">
        <v>2981070037</v>
      </c>
      <c r="F821" s="84" t="s">
        <v>1597</v>
      </c>
    </row>
    <row r="822" spans="1:6" ht="24.95" customHeight="1" x14ac:dyDescent="0.25">
      <c r="A822" s="83" t="s">
        <v>1941</v>
      </c>
      <c r="B822" s="81">
        <v>4040401</v>
      </c>
      <c r="C822" s="83" t="s">
        <v>707</v>
      </c>
      <c r="D822" s="83" t="s">
        <v>1940</v>
      </c>
      <c r="E822" s="100"/>
      <c r="F822" s="83" t="s">
        <v>1531</v>
      </c>
    </row>
    <row r="823" spans="1:6" ht="24.95" customHeight="1" x14ac:dyDescent="0.25">
      <c r="A823" s="83" t="s">
        <v>2053</v>
      </c>
      <c r="B823" s="81"/>
      <c r="C823" s="83" t="s">
        <v>731</v>
      </c>
      <c r="D823" s="83" t="s">
        <v>539</v>
      </c>
      <c r="E823" s="100" t="s">
        <v>2054</v>
      </c>
      <c r="F823" s="83" t="s">
        <v>1531</v>
      </c>
    </row>
    <row r="824" spans="1:6" ht="24.95" customHeight="1" x14ac:dyDescent="0.25">
      <c r="A824" s="84" t="s">
        <v>1973</v>
      </c>
      <c r="B824" s="82"/>
      <c r="C824" s="84" t="s">
        <v>731</v>
      </c>
      <c r="D824" s="84" t="s">
        <v>539</v>
      </c>
      <c r="E824" s="101">
        <v>3521361871</v>
      </c>
      <c r="F824" s="84" t="s">
        <v>1099</v>
      </c>
    </row>
    <row r="825" spans="1:6" ht="24.95" customHeight="1" x14ac:dyDescent="0.25">
      <c r="A825" s="83" t="s">
        <v>1976</v>
      </c>
      <c r="B825" s="81">
        <v>100669</v>
      </c>
      <c r="C825" s="83" t="s">
        <v>1977</v>
      </c>
      <c r="D825" s="83" t="s">
        <v>722</v>
      </c>
      <c r="E825" s="100">
        <v>1160052506</v>
      </c>
      <c r="F825" s="83" t="s">
        <v>1936</v>
      </c>
    </row>
    <row r="826" spans="1:6" ht="24.95" customHeight="1" x14ac:dyDescent="0.25">
      <c r="A826" s="84" t="s">
        <v>1964</v>
      </c>
      <c r="B826" s="82"/>
      <c r="C826" s="84" t="s">
        <v>1677</v>
      </c>
      <c r="D826" s="84" t="s">
        <v>1004</v>
      </c>
      <c r="E826" s="101">
        <v>3040237446</v>
      </c>
      <c r="F826" s="84" t="s">
        <v>940</v>
      </c>
    </row>
    <row r="827" spans="1:6" ht="24.95" customHeight="1" x14ac:dyDescent="0.25">
      <c r="A827" s="83" t="s">
        <v>2032</v>
      </c>
      <c r="B827" s="81">
        <v>0</v>
      </c>
      <c r="C827" s="83" t="s">
        <v>1977</v>
      </c>
      <c r="D827" s="83" t="s">
        <v>722</v>
      </c>
      <c r="E827" s="100" t="s">
        <v>2033</v>
      </c>
      <c r="F827" s="83" t="s">
        <v>1936</v>
      </c>
    </row>
    <row r="828" spans="1:6" ht="24.95" customHeight="1" x14ac:dyDescent="0.25">
      <c r="A828" s="84" t="s">
        <v>1963</v>
      </c>
      <c r="B828" s="82">
        <v>21060</v>
      </c>
      <c r="C828" s="84" t="s">
        <v>962</v>
      </c>
      <c r="D828" s="84" t="s">
        <v>851</v>
      </c>
      <c r="E828" s="101">
        <v>2981219162</v>
      </c>
      <c r="F828" s="84" t="s">
        <v>940</v>
      </c>
    </row>
    <row r="829" spans="1:6" ht="24.95" customHeight="1" x14ac:dyDescent="0.25">
      <c r="A829" s="83" t="s">
        <v>1947</v>
      </c>
      <c r="B829" s="81">
        <v>4040303</v>
      </c>
      <c r="C829" s="83" t="s">
        <v>707</v>
      </c>
      <c r="D829" s="83" t="s">
        <v>1946</v>
      </c>
      <c r="E829" s="100"/>
      <c r="F829" s="83" t="s">
        <v>1945</v>
      </c>
    </row>
    <row r="830" spans="1:6" ht="24.95" customHeight="1" x14ac:dyDescent="0.25">
      <c r="A830" s="84" t="s">
        <v>1988</v>
      </c>
      <c r="B830" s="82">
        <v>0</v>
      </c>
      <c r="C830" s="84" t="s">
        <v>1989</v>
      </c>
      <c r="D830" s="84" t="s">
        <v>1004</v>
      </c>
      <c r="E830" s="101">
        <v>0</v>
      </c>
      <c r="F830" s="84" t="s">
        <v>1990</v>
      </c>
    </row>
    <row r="831" spans="1:6" ht="24.95" customHeight="1" x14ac:dyDescent="0.25">
      <c r="A831" s="83" t="s">
        <v>1993</v>
      </c>
      <c r="B831" s="81">
        <v>4040306</v>
      </c>
      <c r="C831" s="83" t="s">
        <v>707</v>
      </c>
      <c r="D831" s="83" t="s">
        <v>1939</v>
      </c>
      <c r="E831" s="100"/>
      <c r="F831" s="83" t="s">
        <v>1929</v>
      </c>
    </row>
    <row r="832" spans="1:6" ht="24.95" customHeight="1" x14ac:dyDescent="0.25">
      <c r="A832" s="84" t="s">
        <v>1995</v>
      </c>
      <c r="B832" s="82">
        <v>100673</v>
      </c>
      <c r="C832" s="84" t="s">
        <v>962</v>
      </c>
      <c r="D832" s="84" t="s">
        <v>722</v>
      </c>
      <c r="E832" s="101">
        <v>4540027107</v>
      </c>
      <c r="F832" s="84" t="s">
        <v>1936</v>
      </c>
    </row>
    <row r="833" spans="1:6" ht="24.95" customHeight="1" x14ac:dyDescent="0.25">
      <c r="A833" s="83" t="s">
        <v>1996</v>
      </c>
      <c r="B833" s="81">
        <v>0</v>
      </c>
      <c r="C833" s="83" t="s">
        <v>1999</v>
      </c>
      <c r="D833" s="83" t="s">
        <v>1004</v>
      </c>
      <c r="E833" s="100">
        <v>0</v>
      </c>
      <c r="F833" s="83" t="s">
        <v>2000</v>
      </c>
    </row>
    <row r="834" spans="1:6" ht="24.95" customHeight="1" x14ac:dyDescent="0.25">
      <c r="A834" s="84" t="s">
        <v>1197</v>
      </c>
      <c r="B834" s="82">
        <v>0</v>
      </c>
      <c r="C834" s="84" t="s">
        <v>1999</v>
      </c>
      <c r="D834" s="84" t="s">
        <v>1004</v>
      </c>
      <c r="E834" s="101">
        <v>0</v>
      </c>
      <c r="F834" s="84" t="s">
        <v>2000</v>
      </c>
    </row>
    <row r="835" spans="1:6" ht="24.95" customHeight="1" x14ac:dyDescent="0.25">
      <c r="A835" s="83" t="s">
        <v>1997</v>
      </c>
      <c r="B835" s="81">
        <v>0</v>
      </c>
      <c r="C835" s="83" t="s">
        <v>1999</v>
      </c>
      <c r="D835" s="83" t="s">
        <v>1004</v>
      </c>
      <c r="E835" s="100">
        <v>0</v>
      </c>
      <c r="F835" s="83" t="s">
        <v>2000</v>
      </c>
    </row>
    <row r="836" spans="1:6" ht="24.95" customHeight="1" x14ac:dyDescent="0.25">
      <c r="A836" s="84" t="s">
        <v>1998</v>
      </c>
      <c r="B836" s="82">
        <v>0</v>
      </c>
      <c r="C836" s="84" t="s">
        <v>1999</v>
      </c>
      <c r="D836" s="84" t="s">
        <v>1004</v>
      </c>
      <c r="E836" s="101">
        <v>0</v>
      </c>
      <c r="F836" s="84" t="s">
        <v>2000</v>
      </c>
    </row>
    <row r="837" spans="1:6" ht="24.95" customHeight="1" x14ac:dyDescent="0.25">
      <c r="A837" s="83" t="s">
        <v>2040</v>
      </c>
      <c r="B837" s="81">
        <v>21084</v>
      </c>
      <c r="C837" s="83" t="s">
        <v>2041</v>
      </c>
      <c r="D837" s="83" t="s">
        <v>2042</v>
      </c>
      <c r="E837" s="100" t="s">
        <v>2043</v>
      </c>
      <c r="F837" s="83" t="s">
        <v>2039</v>
      </c>
    </row>
    <row r="838" spans="1:6" ht="24.95" customHeight="1" x14ac:dyDescent="0.25">
      <c r="A838" s="84" t="s">
        <v>2037</v>
      </c>
      <c r="B838" s="82">
        <v>4040804</v>
      </c>
      <c r="C838" s="84" t="s">
        <v>1950</v>
      </c>
      <c r="D838" s="84" t="s">
        <v>2038</v>
      </c>
      <c r="E838" s="101"/>
      <c r="F838" s="84" t="s">
        <v>2039</v>
      </c>
    </row>
    <row r="839" spans="1:6" ht="24.95" customHeight="1" x14ac:dyDescent="0.25">
      <c r="A839" s="83" t="s">
        <v>2006</v>
      </c>
      <c r="B839" s="81">
        <v>996038</v>
      </c>
      <c r="C839" s="83" t="s">
        <v>2007</v>
      </c>
      <c r="D839" s="83" t="s">
        <v>1004</v>
      </c>
      <c r="E839" s="100">
        <v>1285060989</v>
      </c>
      <c r="F839" s="83" t="s">
        <v>2008</v>
      </c>
    </row>
    <row r="840" spans="1:6" ht="24.95" customHeight="1" x14ac:dyDescent="0.25">
      <c r="A840" s="84" t="s">
        <v>2002</v>
      </c>
      <c r="B840" s="82">
        <v>21067</v>
      </c>
      <c r="C840" s="84" t="s">
        <v>2003</v>
      </c>
      <c r="D840" s="84" t="s">
        <v>188</v>
      </c>
      <c r="E840" s="101">
        <v>4200125129</v>
      </c>
      <c r="F840" s="84" t="s">
        <v>1929</v>
      </c>
    </row>
    <row r="841" spans="1:6" ht="24.95" customHeight="1" x14ac:dyDescent="0.25">
      <c r="A841" s="83" t="s">
        <v>2004</v>
      </c>
      <c r="B841" s="81">
        <v>21071</v>
      </c>
      <c r="C841" s="83" t="s">
        <v>2003</v>
      </c>
      <c r="D841" s="83" t="s">
        <v>851</v>
      </c>
      <c r="E841" s="100">
        <v>3080308131</v>
      </c>
      <c r="F841" s="83" t="s">
        <v>1929</v>
      </c>
    </row>
    <row r="842" spans="1:6" ht="24.95" customHeight="1" x14ac:dyDescent="0.25">
      <c r="A842" s="84" t="s">
        <v>2001</v>
      </c>
      <c r="B842" s="82">
        <v>0</v>
      </c>
      <c r="C842" s="84" t="s">
        <v>1999</v>
      </c>
      <c r="D842" s="84" t="s">
        <v>1004</v>
      </c>
      <c r="E842" s="101">
        <v>0</v>
      </c>
      <c r="F842" s="84" t="s">
        <v>2000</v>
      </c>
    </row>
    <row r="843" spans="1:6" ht="24.95" customHeight="1" x14ac:dyDescent="0.25">
      <c r="A843" s="83" t="s">
        <v>1943</v>
      </c>
      <c r="B843" s="81">
        <v>0</v>
      </c>
      <c r="C843" s="83" t="s">
        <v>1642</v>
      </c>
      <c r="D843" s="83" t="s">
        <v>1221</v>
      </c>
      <c r="E843" s="100">
        <v>6419856256</v>
      </c>
      <c r="F843" s="83" t="s">
        <v>1944</v>
      </c>
    </row>
    <row r="844" spans="1:6" ht="24.95" customHeight="1" x14ac:dyDescent="0.25">
      <c r="A844" s="84"/>
      <c r="B844" s="82"/>
      <c r="C844" s="84"/>
      <c r="D844" s="84"/>
      <c r="E844" s="101"/>
      <c r="F844" s="84"/>
    </row>
    <row r="845" spans="1:6" ht="24.95" customHeight="1" x14ac:dyDescent="0.25">
      <c r="A845" s="83"/>
      <c r="B845" s="81"/>
      <c r="C845" s="83"/>
      <c r="D845" s="83"/>
      <c r="E845" s="100"/>
      <c r="F845" s="83"/>
    </row>
  </sheetData>
  <autoFilter ref="A1:F843" xr:uid="{00000000-0009-0000-0000-000001000000}"/>
  <pageMargins left="0.7" right="0.7" top="0.75" bottom="0.75" header="0.3" footer="0.3"/>
  <pageSetup paperSize="9" scale="51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/>
  <dimension ref="A1:R329"/>
  <sheetViews>
    <sheetView rightToLeft="1" workbookViewId="0">
      <selection activeCell="P167" sqref="P167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25" bestFit="1" customWidth="1"/>
    <col min="4" max="4" width="12.28515625" bestFit="1" customWidth="1"/>
    <col min="5" max="5" width="26.5703125" customWidth="1"/>
    <col min="6" max="6" width="12.85546875" bestFit="1" customWidth="1"/>
    <col min="7" max="7" width="36.42578125" customWidth="1"/>
    <col min="8" max="8" width="21.42578125" bestFit="1" customWidth="1"/>
    <col min="9" max="9" width="19.85546875" bestFit="1" customWidth="1"/>
    <col min="10" max="10" width="44.28515625" bestFit="1" customWidth="1"/>
    <col min="11" max="11" width="34.140625" customWidth="1"/>
    <col min="12" max="12" width="14" bestFit="1" customWidth="1"/>
    <col min="13" max="13" width="29" bestFit="1" customWidth="1"/>
    <col min="14" max="14" width="50.140625" bestFit="1" customWidth="1"/>
    <col min="15" max="15" width="30.85546875" bestFit="1" customWidth="1"/>
    <col min="16" max="16" width="68.85546875" bestFit="1" customWidth="1"/>
    <col min="17" max="17" width="13.7109375" bestFit="1" customWidth="1"/>
    <col min="18" max="18" width="14.5703125" bestFit="1" customWidth="1"/>
  </cols>
  <sheetData>
    <row r="1" spans="1:18" ht="32.25" x14ac:dyDescent="0.25">
      <c r="A1" s="63" t="s">
        <v>1102</v>
      </c>
      <c r="B1" s="63" t="s">
        <v>0</v>
      </c>
      <c r="C1" s="63" t="s">
        <v>554</v>
      </c>
      <c r="D1" s="63" t="s">
        <v>555</v>
      </c>
      <c r="E1" s="63" t="s">
        <v>538</v>
      </c>
      <c r="F1" s="63" t="s">
        <v>318</v>
      </c>
      <c r="G1" s="63" t="s">
        <v>119</v>
      </c>
      <c r="H1" s="63" t="s">
        <v>556</v>
      </c>
      <c r="I1" s="63" t="s">
        <v>432</v>
      </c>
      <c r="J1" s="63" t="s">
        <v>155</v>
      </c>
      <c r="K1" s="63" t="s">
        <v>183</v>
      </c>
      <c r="L1" s="64" t="s">
        <v>120</v>
      </c>
      <c r="M1" s="64" t="s">
        <v>557</v>
      </c>
      <c r="N1" s="63" t="s">
        <v>558</v>
      </c>
      <c r="O1" s="63" t="s">
        <v>559</v>
      </c>
      <c r="P1" s="63" t="s">
        <v>156</v>
      </c>
      <c r="Q1" s="63" t="s">
        <v>883</v>
      </c>
      <c r="R1" s="63" t="s">
        <v>509</v>
      </c>
    </row>
    <row r="2" spans="1:18" ht="24.95" customHeight="1" x14ac:dyDescent="0.25">
      <c r="A2" s="20" t="s">
        <v>1115</v>
      </c>
      <c r="B2" s="20"/>
      <c r="C2" s="20" t="s">
        <v>18</v>
      </c>
      <c r="D2" s="20" t="str">
        <f>VLOOKUP(C2,'لیست پرسنل'!$A$1:$E$1004,3,FALSE)</f>
        <v>فکورصنعت</v>
      </c>
      <c r="E2" s="20" t="str">
        <f>VLOOKUP(C2,'لیست پرسنل'!$A$1:$E$1004,4,FALSE)</f>
        <v>سرپرست آی تی</v>
      </c>
      <c r="F2" s="20">
        <f>VLOOKUP(C2,'لیست پرسنل'!$A$1:$E$1004,2,FALSE)</f>
        <v>2210</v>
      </c>
      <c r="G2" s="20" t="s">
        <v>906</v>
      </c>
      <c r="H2" s="20"/>
      <c r="I2" s="20" t="s">
        <v>1565</v>
      </c>
      <c r="J2" s="20" t="s">
        <v>1278</v>
      </c>
      <c r="K2" s="20" t="s">
        <v>1279</v>
      </c>
      <c r="L2" s="61" t="s">
        <v>143</v>
      </c>
      <c r="M2" s="20"/>
      <c r="N2" s="20" t="s">
        <v>1277</v>
      </c>
      <c r="O2" s="20"/>
      <c r="P2" s="20" t="s">
        <v>1286</v>
      </c>
      <c r="Q2" s="20"/>
      <c r="R2" s="20"/>
    </row>
    <row r="3" spans="1:18" ht="24.95" customHeight="1" x14ac:dyDescent="0.25">
      <c r="A3" s="20" t="s">
        <v>1115</v>
      </c>
      <c r="B3" s="20"/>
      <c r="C3" s="20" t="s">
        <v>60</v>
      </c>
      <c r="D3" s="20" t="str">
        <f>VLOOKUP(C3,'لیست پرسنل'!$A$1:$E$1004,3,FALSE)</f>
        <v>نظارت برسو</v>
      </c>
      <c r="E3" s="20" t="str">
        <f>VLOOKUP(C3,'لیست پرسنل'!$A$1:$E$1004,4,FALSE)</f>
        <v>مدیر برسو</v>
      </c>
      <c r="F3" s="20" t="str">
        <f>VLOOKUP(C3,'لیست پرسنل'!$A$1:$E$1004,2,FALSE)</f>
        <v>0</v>
      </c>
      <c r="G3" s="20" t="s">
        <v>906</v>
      </c>
      <c r="H3" s="20"/>
      <c r="I3" s="20" t="s">
        <v>1565</v>
      </c>
      <c r="J3" s="20" t="s">
        <v>1564</v>
      </c>
      <c r="K3" s="20" t="s">
        <v>1556</v>
      </c>
      <c r="L3" s="55" t="s">
        <v>143</v>
      </c>
      <c r="M3" s="28"/>
      <c r="N3" s="19"/>
      <c r="O3" s="19"/>
      <c r="P3" s="19" t="s">
        <v>1574</v>
      </c>
      <c r="Q3" s="20"/>
      <c r="R3" s="20"/>
    </row>
    <row r="4" spans="1:18" ht="24.95" customHeight="1" x14ac:dyDescent="0.25">
      <c r="A4" s="20" t="s">
        <v>1115</v>
      </c>
      <c r="B4" s="20"/>
      <c r="C4" s="20" t="s">
        <v>60</v>
      </c>
      <c r="D4" s="20" t="str">
        <f>VLOOKUP(C4,'لیست پرسنل'!$A$1:$E$1004,3,FALSE)</f>
        <v>نظارت برسو</v>
      </c>
      <c r="E4" s="20" t="str">
        <f>VLOOKUP(C4,'لیست پرسنل'!$A$1:$E$1004,4,FALSE)</f>
        <v>مدیر برسو</v>
      </c>
      <c r="F4" s="20" t="str">
        <f>VLOOKUP(C4,'لیست پرسنل'!$A$1:$E$1004,2,FALSE)</f>
        <v>0</v>
      </c>
      <c r="G4" s="20" t="s">
        <v>906</v>
      </c>
      <c r="H4" s="20"/>
      <c r="I4" s="20" t="s">
        <v>1565</v>
      </c>
      <c r="J4" s="20" t="s">
        <v>1564</v>
      </c>
      <c r="K4" s="20" t="s">
        <v>1557</v>
      </c>
      <c r="L4" s="55" t="s">
        <v>143</v>
      </c>
      <c r="M4" s="28"/>
      <c r="N4" s="19"/>
      <c r="O4" s="19"/>
      <c r="P4" s="19" t="s">
        <v>1574</v>
      </c>
      <c r="Q4" s="20"/>
      <c r="R4" s="20"/>
    </row>
    <row r="5" spans="1:18" ht="24.95" customHeight="1" x14ac:dyDescent="0.25">
      <c r="A5" s="20" t="s">
        <v>1115</v>
      </c>
      <c r="B5" s="20"/>
      <c r="C5" s="20" t="s">
        <v>60</v>
      </c>
      <c r="D5" s="20" t="str">
        <f>VLOOKUP(C5,'لیست پرسنل'!$A$1:$E$1004,3,FALSE)</f>
        <v>نظارت برسو</v>
      </c>
      <c r="E5" s="20" t="str">
        <f>VLOOKUP(C5,'لیست پرسنل'!$A$1:$E$1004,4,FALSE)</f>
        <v>مدیر برسو</v>
      </c>
      <c r="F5" s="20" t="str">
        <f>VLOOKUP(C5,'لیست پرسنل'!$A$1:$E$1004,2,FALSE)</f>
        <v>0</v>
      </c>
      <c r="G5" s="20" t="s">
        <v>906</v>
      </c>
      <c r="H5" s="20"/>
      <c r="I5" s="20" t="s">
        <v>1565</v>
      </c>
      <c r="J5" s="20" t="s">
        <v>1564</v>
      </c>
      <c r="K5" s="20" t="s">
        <v>1558</v>
      </c>
      <c r="L5" s="55" t="s">
        <v>143</v>
      </c>
      <c r="M5" s="28"/>
      <c r="N5" s="19"/>
      <c r="O5" s="19"/>
      <c r="P5" s="19" t="s">
        <v>1574</v>
      </c>
      <c r="Q5" s="20"/>
      <c r="R5" s="20"/>
    </row>
    <row r="6" spans="1:18" ht="24.95" customHeight="1" x14ac:dyDescent="0.25">
      <c r="A6" s="20" t="s">
        <v>1115</v>
      </c>
      <c r="B6" s="20"/>
      <c r="C6" s="20" t="s">
        <v>60</v>
      </c>
      <c r="D6" s="20" t="str">
        <f>VLOOKUP(C6,'لیست پرسنل'!$A$1:$E$1004,3,FALSE)</f>
        <v>نظارت برسو</v>
      </c>
      <c r="E6" s="20" t="str">
        <f>VLOOKUP(C6,'لیست پرسنل'!$A$1:$E$1004,4,FALSE)</f>
        <v>مدیر برسو</v>
      </c>
      <c r="F6" s="20" t="str">
        <f>VLOOKUP(C6,'لیست پرسنل'!$A$1:$E$1004,2,FALSE)</f>
        <v>0</v>
      </c>
      <c r="G6" s="20" t="s">
        <v>906</v>
      </c>
      <c r="H6" s="20"/>
      <c r="I6" s="20" t="s">
        <v>1565</v>
      </c>
      <c r="J6" s="20" t="s">
        <v>1564</v>
      </c>
      <c r="K6" s="20" t="s">
        <v>1559</v>
      </c>
      <c r="L6" s="55" t="s">
        <v>143</v>
      </c>
      <c r="M6" s="28"/>
      <c r="N6" s="19"/>
      <c r="O6" s="19"/>
      <c r="P6" s="19" t="s">
        <v>1574</v>
      </c>
      <c r="Q6" s="20"/>
      <c r="R6" s="20"/>
    </row>
    <row r="7" spans="1:18" ht="24.95" customHeight="1" x14ac:dyDescent="0.25">
      <c r="A7" s="20" t="s">
        <v>1115</v>
      </c>
      <c r="B7" s="20"/>
      <c r="C7" s="20" t="s">
        <v>60</v>
      </c>
      <c r="D7" s="20" t="str">
        <f>VLOOKUP(C7,'لیست پرسنل'!$A$1:$E$1004,3,FALSE)</f>
        <v>نظارت برسو</v>
      </c>
      <c r="E7" s="20" t="str">
        <f>VLOOKUP(C7,'لیست پرسنل'!$A$1:$E$1004,4,FALSE)</f>
        <v>مدیر برسو</v>
      </c>
      <c r="F7" s="20" t="str">
        <f>VLOOKUP(C7,'لیست پرسنل'!$A$1:$E$1004,2,FALSE)</f>
        <v>0</v>
      </c>
      <c r="G7" s="20" t="s">
        <v>906</v>
      </c>
      <c r="H7" s="20"/>
      <c r="I7" s="20" t="s">
        <v>1565</v>
      </c>
      <c r="J7" s="20" t="s">
        <v>1564</v>
      </c>
      <c r="K7" s="20" t="s">
        <v>1560</v>
      </c>
      <c r="L7" s="55" t="s">
        <v>143</v>
      </c>
      <c r="M7" s="28"/>
      <c r="N7" s="19"/>
      <c r="O7" s="19"/>
      <c r="P7" s="19" t="s">
        <v>1574</v>
      </c>
      <c r="Q7" s="20"/>
      <c r="R7" s="20"/>
    </row>
    <row r="8" spans="1:18" ht="24.95" customHeight="1" x14ac:dyDescent="0.25">
      <c r="A8" s="20" t="s">
        <v>1115</v>
      </c>
      <c r="B8" s="20"/>
      <c r="C8" s="20" t="s">
        <v>60</v>
      </c>
      <c r="D8" s="20" t="str">
        <f>VLOOKUP(C8,'لیست پرسنل'!$A$1:$E$1004,3,FALSE)</f>
        <v>نظارت برسو</v>
      </c>
      <c r="E8" s="20" t="str">
        <f>VLOOKUP(C8,'لیست پرسنل'!$A$1:$E$1004,4,FALSE)</f>
        <v>مدیر برسو</v>
      </c>
      <c r="F8" s="20" t="str">
        <f>VLOOKUP(C8,'لیست پرسنل'!$A$1:$E$1004,2,FALSE)</f>
        <v>0</v>
      </c>
      <c r="G8" s="20" t="s">
        <v>906</v>
      </c>
      <c r="H8" s="20"/>
      <c r="I8" s="20" t="s">
        <v>1565</v>
      </c>
      <c r="J8" s="20" t="s">
        <v>1564</v>
      </c>
      <c r="K8" s="20" t="s">
        <v>1561</v>
      </c>
      <c r="L8" s="55" t="s">
        <v>143</v>
      </c>
      <c r="M8" s="28"/>
      <c r="N8" s="19"/>
      <c r="O8" s="19"/>
      <c r="P8" s="19" t="s">
        <v>1574</v>
      </c>
      <c r="Q8" s="20"/>
      <c r="R8" s="20"/>
    </row>
    <row r="9" spans="1:18" ht="24.95" customHeight="1" x14ac:dyDescent="0.25">
      <c r="A9" s="20" t="s">
        <v>1115</v>
      </c>
      <c r="B9" s="20"/>
      <c r="C9" s="20" t="s">
        <v>60</v>
      </c>
      <c r="D9" s="20" t="str">
        <f>VLOOKUP(C9,'لیست پرسنل'!$A$1:$E$1004,3,FALSE)</f>
        <v>نظارت برسو</v>
      </c>
      <c r="E9" s="20" t="str">
        <f>VLOOKUP(C9,'لیست پرسنل'!$A$1:$E$1004,4,FALSE)</f>
        <v>مدیر برسو</v>
      </c>
      <c r="F9" s="20" t="str">
        <f>VLOOKUP(C9,'لیست پرسنل'!$A$1:$E$1004,2,FALSE)</f>
        <v>0</v>
      </c>
      <c r="G9" s="20" t="s">
        <v>906</v>
      </c>
      <c r="H9" s="20"/>
      <c r="I9" s="20" t="s">
        <v>1565</v>
      </c>
      <c r="J9" s="20" t="s">
        <v>1564</v>
      </c>
      <c r="K9" s="20" t="s">
        <v>1562</v>
      </c>
      <c r="L9" s="55" t="s">
        <v>143</v>
      </c>
      <c r="M9" s="28"/>
      <c r="N9" s="19"/>
      <c r="O9" s="19"/>
      <c r="P9" s="19" t="s">
        <v>1574</v>
      </c>
      <c r="Q9" s="20"/>
      <c r="R9" s="20"/>
    </row>
    <row r="10" spans="1:18" ht="24.95" customHeight="1" x14ac:dyDescent="0.25">
      <c r="A10" s="20" t="s">
        <v>1115</v>
      </c>
      <c r="B10" s="20"/>
      <c r="C10" s="20" t="s">
        <v>60</v>
      </c>
      <c r="D10" s="20" t="str">
        <f>VLOOKUP(C10,'لیست پرسنل'!$A$1:$E$1004,3,FALSE)</f>
        <v>نظارت برسو</v>
      </c>
      <c r="E10" s="20" t="str">
        <f>VLOOKUP(C10,'لیست پرسنل'!$A$1:$E$1004,4,FALSE)</f>
        <v>مدیر برسو</v>
      </c>
      <c r="F10" s="20" t="str">
        <f>VLOOKUP(C10,'لیست پرسنل'!$A$1:$E$1004,2,FALSE)</f>
        <v>0</v>
      </c>
      <c r="G10" s="20" t="s">
        <v>906</v>
      </c>
      <c r="H10" s="20"/>
      <c r="I10" s="20" t="s">
        <v>1565</v>
      </c>
      <c r="J10" s="20" t="s">
        <v>1564</v>
      </c>
      <c r="K10" s="20" t="s">
        <v>1563</v>
      </c>
      <c r="L10" s="55" t="s">
        <v>143</v>
      </c>
      <c r="M10" s="28"/>
      <c r="N10" s="19"/>
      <c r="O10" s="19"/>
      <c r="P10" s="19" t="s">
        <v>1574</v>
      </c>
      <c r="Q10" s="20"/>
      <c r="R10" s="20"/>
    </row>
    <row r="11" spans="1:18" ht="24.95" customHeight="1" x14ac:dyDescent="0.25">
      <c r="A11" s="20" t="s">
        <v>1109</v>
      </c>
      <c r="B11" s="20"/>
      <c r="C11" s="20" t="s">
        <v>18</v>
      </c>
      <c r="D11" s="20" t="str">
        <f>VLOOKUP(C11,'لیست پرسنل'!$A$1:$E$1004,3,FALSE)</f>
        <v>فکورصنعت</v>
      </c>
      <c r="E11" s="20" t="str">
        <f>VLOOKUP(C11,'لیست پرسنل'!$A$1:$E$1004,4,FALSE)</f>
        <v>سرپرست آی تی</v>
      </c>
      <c r="F11" s="20">
        <f>VLOOKUP(C11,'لیست پرسنل'!$A$1:$E$1004,2,FALSE)</f>
        <v>2210</v>
      </c>
      <c r="G11" s="20" t="s">
        <v>561</v>
      </c>
      <c r="H11" s="20"/>
      <c r="I11" s="20" t="s">
        <v>1565</v>
      </c>
      <c r="J11" s="20" t="s">
        <v>1498</v>
      </c>
      <c r="K11" s="20" t="s">
        <v>1488</v>
      </c>
      <c r="L11" s="61" t="s">
        <v>76</v>
      </c>
      <c r="M11" s="28"/>
      <c r="N11" s="28"/>
      <c r="O11" s="28"/>
      <c r="P11" s="28"/>
      <c r="Q11" s="28"/>
      <c r="R11" s="28"/>
    </row>
    <row r="12" spans="1:18" ht="24.95" customHeight="1" x14ac:dyDescent="0.25">
      <c r="A12" s="20" t="s">
        <v>1109</v>
      </c>
      <c r="B12" s="20"/>
      <c r="C12" s="20" t="s">
        <v>18</v>
      </c>
      <c r="D12" s="20" t="str">
        <f>VLOOKUP(C12,'لیست پرسنل'!$A$1:$E$1004,3,FALSE)</f>
        <v>فکورصنعت</v>
      </c>
      <c r="E12" s="20" t="str">
        <f>VLOOKUP(C12,'لیست پرسنل'!$A$1:$E$1004,4,FALSE)</f>
        <v>سرپرست آی تی</v>
      </c>
      <c r="F12" s="20">
        <f>VLOOKUP(C12,'لیست پرسنل'!$A$1:$E$1004,2,FALSE)</f>
        <v>2210</v>
      </c>
      <c r="G12" s="20" t="s">
        <v>561</v>
      </c>
      <c r="H12" s="20"/>
      <c r="I12" s="20" t="s">
        <v>1565</v>
      </c>
      <c r="J12" s="20" t="s">
        <v>1499</v>
      </c>
      <c r="K12" s="20" t="s">
        <v>1489</v>
      </c>
      <c r="L12" s="61" t="s">
        <v>76</v>
      </c>
      <c r="M12" s="28"/>
      <c r="N12" s="28"/>
      <c r="O12" s="28"/>
      <c r="P12" s="28"/>
      <c r="Q12" s="28"/>
      <c r="R12" s="28"/>
    </row>
    <row r="13" spans="1:18" ht="24.95" customHeight="1" x14ac:dyDescent="0.25">
      <c r="A13" s="20" t="s">
        <v>1109</v>
      </c>
      <c r="B13" s="20"/>
      <c r="C13" s="20" t="s">
        <v>18</v>
      </c>
      <c r="D13" s="20" t="str">
        <f>VLOOKUP(C13,'لیست پرسنل'!$A$1:$E$1004,3,FALSE)</f>
        <v>فکورصنعت</v>
      </c>
      <c r="E13" s="20" t="str">
        <f>VLOOKUP(C13,'لیست پرسنل'!$A$1:$E$1004,4,FALSE)</f>
        <v>سرپرست آی تی</v>
      </c>
      <c r="F13" s="20">
        <f>VLOOKUP(C13,'لیست پرسنل'!$A$1:$E$1004,2,FALSE)</f>
        <v>2210</v>
      </c>
      <c r="G13" s="20" t="s">
        <v>561</v>
      </c>
      <c r="H13" s="20"/>
      <c r="I13" s="20" t="s">
        <v>1565</v>
      </c>
      <c r="J13" s="20" t="s">
        <v>1490</v>
      </c>
      <c r="K13" s="20" t="s">
        <v>1480</v>
      </c>
      <c r="L13" s="61" t="s">
        <v>76</v>
      </c>
      <c r="M13" s="28"/>
      <c r="N13" s="28"/>
      <c r="O13" s="28"/>
      <c r="P13" s="28"/>
      <c r="Q13" s="28"/>
      <c r="R13" s="28"/>
    </row>
    <row r="14" spans="1:18" ht="24.95" customHeight="1" x14ac:dyDescent="0.25">
      <c r="A14" s="20" t="s">
        <v>1109</v>
      </c>
      <c r="B14" s="20"/>
      <c r="C14" s="20" t="s">
        <v>18</v>
      </c>
      <c r="D14" s="20" t="str">
        <f>VLOOKUP(C14,'لیست پرسنل'!$A$1:$E$1004,3,FALSE)</f>
        <v>فکورصنعت</v>
      </c>
      <c r="E14" s="20" t="str">
        <f>VLOOKUP(C14,'لیست پرسنل'!$A$1:$E$1004,4,FALSE)</f>
        <v>سرپرست آی تی</v>
      </c>
      <c r="F14" s="20">
        <f>VLOOKUP(C14,'لیست پرسنل'!$A$1:$E$1004,2,FALSE)</f>
        <v>2210</v>
      </c>
      <c r="G14" s="20" t="s">
        <v>561</v>
      </c>
      <c r="H14" s="20"/>
      <c r="I14" s="20" t="s">
        <v>1565</v>
      </c>
      <c r="J14" s="20" t="s">
        <v>1491</v>
      </c>
      <c r="K14" s="20" t="s">
        <v>1481</v>
      </c>
      <c r="L14" s="61" t="s">
        <v>76</v>
      </c>
      <c r="M14" s="28"/>
      <c r="N14" s="28"/>
      <c r="O14" s="28"/>
      <c r="P14" s="28"/>
      <c r="Q14" s="28"/>
      <c r="R14" s="28"/>
    </row>
    <row r="15" spans="1:18" ht="24.95" customHeight="1" x14ac:dyDescent="0.25">
      <c r="A15" s="20" t="s">
        <v>1109</v>
      </c>
      <c r="B15" s="20"/>
      <c r="C15" s="20" t="s">
        <v>18</v>
      </c>
      <c r="D15" s="20" t="str">
        <f>VLOOKUP(C15,'لیست پرسنل'!$A$1:$E$1004,3,FALSE)</f>
        <v>فکورصنعت</v>
      </c>
      <c r="E15" s="20" t="str">
        <f>VLOOKUP(C15,'لیست پرسنل'!$A$1:$E$1004,4,FALSE)</f>
        <v>سرپرست آی تی</v>
      </c>
      <c r="F15" s="20">
        <f>VLOOKUP(C15,'لیست پرسنل'!$A$1:$E$1004,2,FALSE)</f>
        <v>2210</v>
      </c>
      <c r="G15" s="20" t="s">
        <v>561</v>
      </c>
      <c r="H15" s="20"/>
      <c r="I15" s="20" t="s">
        <v>1565</v>
      </c>
      <c r="J15" s="20" t="s">
        <v>1492</v>
      </c>
      <c r="K15" s="20" t="s">
        <v>1482</v>
      </c>
      <c r="L15" s="61" t="s">
        <v>76</v>
      </c>
      <c r="M15" s="28"/>
      <c r="N15" s="28"/>
      <c r="O15" s="28"/>
      <c r="P15" s="28"/>
      <c r="Q15" s="28"/>
      <c r="R15" s="28"/>
    </row>
    <row r="16" spans="1:18" ht="24.95" customHeight="1" x14ac:dyDescent="0.25">
      <c r="A16" s="20" t="s">
        <v>1109</v>
      </c>
      <c r="B16" s="20"/>
      <c r="C16" s="20" t="s">
        <v>18</v>
      </c>
      <c r="D16" s="20" t="str">
        <f>VLOOKUP(C16,'لیست پرسنل'!$A$1:$E$1004,3,FALSE)</f>
        <v>فکورصنعت</v>
      </c>
      <c r="E16" s="20" t="str">
        <f>VLOOKUP(C16,'لیست پرسنل'!$A$1:$E$1004,4,FALSE)</f>
        <v>سرپرست آی تی</v>
      </c>
      <c r="F16" s="20">
        <f>VLOOKUP(C16,'لیست پرسنل'!$A$1:$E$1004,2,FALSE)</f>
        <v>2210</v>
      </c>
      <c r="G16" s="20" t="s">
        <v>561</v>
      </c>
      <c r="H16" s="20"/>
      <c r="I16" s="20" t="s">
        <v>1565</v>
      </c>
      <c r="J16" s="20" t="s">
        <v>1493</v>
      </c>
      <c r="K16" s="20" t="s">
        <v>1483</v>
      </c>
      <c r="L16" s="61" t="s">
        <v>76</v>
      </c>
      <c r="M16" s="28"/>
      <c r="N16" s="28"/>
      <c r="O16" s="28"/>
      <c r="P16" s="28"/>
      <c r="Q16" s="28"/>
      <c r="R16" s="28"/>
    </row>
    <row r="17" spans="1:18" ht="24.95" customHeight="1" x14ac:dyDescent="0.25">
      <c r="A17" s="20" t="s">
        <v>1109</v>
      </c>
      <c r="B17" s="20"/>
      <c r="C17" s="20" t="s">
        <v>18</v>
      </c>
      <c r="D17" s="20" t="str">
        <f>VLOOKUP(C17,'لیست پرسنل'!$A$1:$E$1004,3,FALSE)</f>
        <v>فکورصنعت</v>
      </c>
      <c r="E17" s="20" t="str">
        <f>VLOOKUP(C17,'لیست پرسنل'!$A$1:$E$1004,4,FALSE)</f>
        <v>سرپرست آی تی</v>
      </c>
      <c r="F17" s="20">
        <f>VLOOKUP(C17,'لیست پرسنل'!$A$1:$E$1004,2,FALSE)</f>
        <v>2210</v>
      </c>
      <c r="G17" s="20" t="s">
        <v>561</v>
      </c>
      <c r="H17" s="20"/>
      <c r="I17" s="20" t="s">
        <v>1565</v>
      </c>
      <c r="J17" s="20" t="s">
        <v>1494</v>
      </c>
      <c r="K17" s="20" t="s">
        <v>1484</v>
      </c>
      <c r="L17" s="61" t="s">
        <v>76</v>
      </c>
      <c r="M17" s="28"/>
      <c r="N17" s="28"/>
      <c r="O17" s="28"/>
      <c r="P17" s="28"/>
      <c r="Q17" s="28"/>
      <c r="R17" s="28"/>
    </row>
    <row r="18" spans="1:18" ht="24.95" customHeight="1" x14ac:dyDescent="0.25">
      <c r="A18" s="20" t="s">
        <v>1109</v>
      </c>
      <c r="B18" s="20"/>
      <c r="C18" s="20" t="s">
        <v>18</v>
      </c>
      <c r="D18" s="20" t="str">
        <f>VLOOKUP(C18,'لیست پرسنل'!$A$1:$E$1004,3,FALSE)</f>
        <v>فکورصنعت</v>
      </c>
      <c r="E18" s="20" t="str">
        <f>VLOOKUP(C18,'لیست پرسنل'!$A$1:$E$1004,4,FALSE)</f>
        <v>سرپرست آی تی</v>
      </c>
      <c r="F18" s="20">
        <f>VLOOKUP(C18,'لیست پرسنل'!$A$1:$E$1004,2,FALSE)</f>
        <v>2210</v>
      </c>
      <c r="G18" s="20" t="s">
        <v>561</v>
      </c>
      <c r="H18" s="20"/>
      <c r="I18" s="20" t="s">
        <v>1565</v>
      </c>
      <c r="J18" s="20" t="s">
        <v>1495</v>
      </c>
      <c r="K18" s="20" t="s">
        <v>1485</v>
      </c>
      <c r="L18" s="61" t="s">
        <v>76</v>
      </c>
      <c r="M18" s="28"/>
      <c r="N18" s="28"/>
      <c r="O18" s="28"/>
      <c r="P18" s="28"/>
      <c r="Q18" s="28"/>
      <c r="R18" s="28"/>
    </row>
    <row r="19" spans="1:18" ht="24.95" customHeight="1" x14ac:dyDescent="0.25">
      <c r="A19" s="20" t="s">
        <v>1109</v>
      </c>
      <c r="B19" s="20"/>
      <c r="C19" s="20" t="s">
        <v>18</v>
      </c>
      <c r="D19" s="20" t="str">
        <f>VLOOKUP(C19,'لیست پرسنل'!$A$1:$E$1004,3,FALSE)</f>
        <v>فکورصنعت</v>
      </c>
      <c r="E19" s="20" t="str">
        <f>VLOOKUP(C19,'لیست پرسنل'!$A$1:$E$1004,4,FALSE)</f>
        <v>سرپرست آی تی</v>
      </c>
      <c r="F19" s="20">
        <f>VLOOKUP(C19,'لیست پرسنل'!$A$1:$E$1004,2,FALSE)</f>
        <v>2210</v>
      </c>
      <c r="G19" s="20" t="s">
        <v>561</v>
      </c>
      <c r="H19" s="20"/>
      <c r="I19" s="20" t="s">
        <v>1565</v>
      </c>
      <c r="J19" s="20" t="s">
        <v>1496</v>
      </c>
      <c r="K19" s="20" t="s">
        <v>1486</v>
      </c>
      <c r="L19" s="61" t="s">
        <v>76</v>
      </c>
      <c r="M19" s="28"/>
      <c r="N19" s="28"/>
      <c r="O19" s="28"/>
      <c r="P19" s="28"/>
      <c r="Q19" s="28"/>
      <c r="R19" s="28"/>
    </row>
    <row r="20" spans="1:18" ht="24.95" customHeight="1" x14ac:dyDescent="0.25">
      <c r="A20" s="20" t="s">
        <v>1109</v>
      </c>
      <c r="B20" s="20"/>
      <c r="C20" s="20" t="s">
        <v>18</v>
      </c>
      <c r="D20" s="20" t="str">
        <f>VLOOKUP(C20,'لیست پرسنل'!$A$1:$E$1004,3,FALSE)</f>
        <v>فکورصنعت</v>
      </c>
      <c r="E20" s="20" t="str">
        <f>VLOOKUP(C20,'لیست پرسنل'!$A$1:$E$1004,4,FALSE)</f>
        <v>سرپرست آی تی</v>
      </c>
      <c r="F20" s="20">
        <f>VLOOKUP(C20,'لیست پرسنل'!$A$1:$E$1004,2,FALSE)</f>
        <v>2210</v>
      </c>
      <c r="G20" s="20" t="s">
        <v>561</v>
      </c>
      <c r="H20" s="20"/>
      <c r="I20" s="20" t="s">
        <v>1565</v>
      </c>
      <c r="J20" s="20" t="s">
        <v>1497</v>
      </c>
      <c r="K20" s="20" t="s">
        <v>1487</v>
      </c>
      <c r="L20" s="61" t="s">
        <v>76</v>
      </c>
      <c r="M20" s="28"/>
      <c r="N20" s="28"/>
      <c r="O20" s="28"/>
      <c r="P20" s="28"/>
      <c r="Q20" s="28"/>
      <c r="R20" s="28"/>
    </row>
    <row r="21" spans="1:18" ht="24.95" customHeight="1" x14ac:dyDescent="0.25">
      <c r="A21" s="20" t="s">
        <v>1109</v>
      </c>
      <c r="B21" s="20"/>
      <c r="C21" s="20" t="s">
        <v>18</v>
      </c>
      <c r="D21" s="20" t="str">
        <f>VLOOKUP(C21,'لیست پرسنل'!$A$1:$E$1004,3,FALSE)</f>
        <v>فکورصنعت</v>
      </c>
      <c r="E21" s="20" t="str">
        <f>VLOOKUP(C21,'لیست پرسنل'!$A$1:$E$1004,4,FALSE)</f>
        <v>سرپرست آی تی</v>
      </c>
      <c r="F21" s="20">
        <f>VLOOKUP(C21,'لیست پرسنل'!$A$1:$E$1004,2,FALSE)</f>
        <v>2210</v>
      </c>
      <c r="G21" s="20" t="s">
        <v>561</v>
      </c>
      <c r="H21" s="20"/>
      <c r="I21" s="20" t="s">
        <v>1565</v>
      </c>
      <c r="J21" s="20" t="s">
        <v>1452</v>
      </c>
      <c r="K21" s="20" t="s">
        <v>1453</v>
      </c>
      <c r="L21" s="61" t="s">
        <v>76</v>
      </c>
      <c r="M21" s="20"/>
      <c r="N21" s="20"/>
      <c r="O21" s="20"/>
      <c r="P21" s="19" t="s">
        <v>1463</v>
      </c>
      <c r="Q21" s="20"/>
      <c r="R21" s="20"/>
    </row>
    <row r="22" spans="1:18" ht="24.95" customHeight="1" x14ac:dyDescent="0.25">
      <c r="A22" s="20" t="s">
        <v>1109</v>
      </c>
      <c r="B22" s="20"/>
      <c r="C22" s="20" t="s">
        <v>18</v>
      </c>
      <c r="D22" s="20" t="str">
        <f>VLOOKUP(C22,'لیست پرسنل'!$A$1:$E$1004,3,FALSE)</f>
        <v>فکورصنعت</v>
      </c>
      <c r="E22" s="20" t="str">
        <f>VLOOKUP(C22,'لیست پرسنل'!$A$1:$E$1004,4,FALSE)</f>
        <v>سرپرست آی تی</v>
      </c>
      <c r="F22" s="20">
        <f>VLOOKUP(C22,'لیست پرسنل'!$A$1:$E$1004,2,FALSE)</f>
        <v>2210</v>
      </c>
      <c r="G22" s="20" t="s">
        <v>561</v>
      </c>
      <c r="H22" s="20"/>
      <c r="I22" s="20" t="s">
        <v>1565</v>
      </c>
      <c r="J22" s="20" t="s">
        <v>1452</v>
      </c>
      <c r="K22" s="20" t="s">
        <v>1454</v>
      </c>
      <c r="L22" s="61" t="s">
        <v>76</v>
      </c>
      <c r="M22" s="20"/>
      <c r="N22" s="20"/>
      <c r="O22" s="20"/>
      <c r="P22" s="19" t="s">
        <v>1463</v>
      </c>
      <c r="Q22" s="20"/>
      <c r="R22" s="20"/>
    </row>
    <row r="23" spans="1:18" ht="24.95" customHeight="1" x14ac:dyDescent="0.25">
      <c r="A23" s="20" t="s">
        <v>1109</v>
      </c>
      <c r="B23" s="20"/>
      <c r="C23" s="20" t="s">
        <v>18</v>
      </c>
      <c r="D23" s="20" t="str">
        <f>VLOOKUP(C23,'لیست پرسنل'!$A$1:$E$1004,3,FALSE)</f>
        <v>فکورصنعت</v>
      </c>
      <c r="E23" s="20" t="str">
        <f>VLOOKUP(C23,'لیست پرسنل'!$A$1:$E$1004,4,FALSE)</f>
        <v>سرپرست آی تی</v>
      </c>
      <c r="F23" s="20">
        <f>VLOOKUP(C23,'لیست پرسنل'!$A$1:$E$1004,2,FALSE)</f>
        <v>2210</v>
      </c>
      <c r="G23" s="20" t="s">
        <v>561</v>
      </c>
      <c r="H23" s="20"/>
      <c r="I23" s="20" t="s">
        <v>1565</v>
      </c>
      <c r="J23" s="20" t="s">
        <v>1452</v>
      </c>
      <c r="K23" s="20" t="s">
        <v>1455</v>
      </c>
      <c r="L23" s="61" t="s">
        <v>76</v>
      </c>
      <c r="M23" s="20"/>
      <c r="N23" s="20"/>
      <c r="O23" s="20"/>
      <c r="P23" s="19" t="s">
        <v>1463</v>
      </c>
      <c r="Q23" s="20"/>
      <c r="R23" s="20"/>
    </row>
    <row r="24" spans="1:18" ht="24.95" customHeight="1" x14ac:dyDescent="0.25">
      <c r="A24" s="20" t="s">
        <v>1109</v>
      </c>
      <c r="B24" s="20"/>
      <c r="C24" s="20" t="s">
        <v>18</v>
      </c>
      <c r="D24" s="20" t="str">
        <f>VLOOKUP(C24,'لیست پرسنل'!$A$1:$E$1004,3,FALSE)</f>
        <v>فکورصنعت</v>
      </c>
      <c r="E24" s="20" t="str">
        <f>VLOOKUP(C24,'لیست پرسنل'!$A$1:$E$1004,4,FALSE)</f>
        <v>سرپرست آی تی</v>
      </c>
      <c r="F24" s="20">
        <f>VLOOKUP(C24,'لیست پرسنل'!$A$1:$E$1004,2,FALSE)</f>
        <v>2210</v>
      </c>
      <c r="G24" s="20" t="s">
        <v>561</v>
      </c>
      <c r="H24" s="20"/>
      <c r="I24" s="20" t="s">
        <v>1565</v>
      </c>
      <c r="J24" s="20" t="s">
        <v>1452</v>
      </c>
      <c r="K24" s="20" t="s">
        <v>1456</v>
      </c>
      <c r="L24" s="61" t="s">
        <v>76</v>
      </c>
      <c r="M24" s="20"/>
      <c r="N24" s="20"/>
      <c r="O24" s="20"/>
      <c r="P24" s="19" t="s">
        <v>1463</v>
      </c>
      <c r="Q24" s="20"/>
      <c r="R24" s="20"/>
    </row>
    <row r="25" spans="1:18" ht="24.95" customHeight="1" x14ac:dyDescent="0.25">
      <c r="A25" s="20" t="s">
        <v>1109</v>
      </c>
      <c r="B25" s="20"/>
      <c r="C25" s="20" t="s">
        <v>18</v>
      </c>
      <c r="D25" s="20" t="str">
        <f>VLOOKUP(C25,'لیست پرسنل'!$A$1:$E$1004,3,FALSE)</f>
        <v>فکورصنعت</v>
      </c>
      <c r="E25" s="20" t="str">
        <f>VLOOKUP(C25,'لیست پرسنل'!$A$1:$E$1004,4,FALSE)</f>
        <v>سرپرست آی تی</v>
      </c>
      <c r="F25" s="20">
        <f>VLOOKUP(C25,'لیست پرسنل'!$A$1:$E$1004,2,FALSE)</f>
        <v>2210</v>
      </c>
      <c r="G25" s="20" t="s">
        <v>561</v>
      </c>
      <c r="H25" s="20"/>
      <c r="I25" s="20" t="s">
        <v>1565</v>
      </c>
      <c r="J25" s="20" t="s">
        <v>1452</v>
      </c>
      <c r="K25" s="20" t="s">
        <v>1457</v>
      </c>
      <c r="L25" s="61" t="s">
        <v>76</v>
      </c>
      <c r="M25" s="20"/>
      <c r="N25" s="20"/>
      <c r="O25" s="20"/>
      <c r="P25" s="19" t="s">
        <v>1463</v>
      </c>
      <c r="Q25" s="20"/>
      <c r="R25" s="20"/>
    </row>
    <row r="26" spans="1:18" ht="24.95" customHeight="1" x14ac:dyDescent="0.25">
      <c r="A26" s="20" t="s">
        <v>1109</v>
      </c>
      <c r="B26" s="20"/>
      <c r="C26" s="20" t="s">
        <v>18</v>
      </c>
      <c r="D26" s="20" t="str">
        <f>VLOOKUP(C26,'لیست پرسنل'!$A$1:$E$1004,3,FALSE)</f>
        <v>فکورصنعت</v>
      </c>
      <c r="E26" s="20" t="str">
        <f>VLOOKUP(C26,'لیست پرسنل'!$A$1:$E$1004,4,FALSE)</f>
        <v>سرپرست آی تی</v>
      </c>
      <c r="F26" s="20">
        <f>VLOOKUP(C26,'لیست پرسنل'!$A$1:$E$1004,2,FALSE)</f>
        <v>2210</v>
      </c>
      <c r="G26" s="20" t="s">
        <v>561</v>
      </c>
      <c r="H26" s="20"/>
      <c r="I26" s="20" t="s">
        <v>1565</v>
      </c>
      <c r="J26" s="20" t="s">
        <v>1452</v>
      </c>
      <c r="K26" s="20" t="s">
        <v>1458</v>
      </c>
      <c r="L26" s="61" t="s">
        <v>76</v>
      </c>
      <c r="M26" s="20"/>
      <c r="N26" s="20"/>
      <c r="O26" s="20"/>
      <c r="P26" s="19" t="s">
        <v>1463</v>
      </c>
      <c r="Q26" s="20"/>
      <c r="R26" s="20"/>
    </row>
    <row r="27" spans="1:18" ht="24.95" customHeight="1" x14ac:dyDescent="0.25">
      <c r="A27" s="20" t="s">
        <v>1109</v>
      </c>
      <c r="B27" s="20"/>
      <c r="C27" s="20" t="s">
        <v>18</v>
      </c>
      <c r="D27" s="20" t="str">
        <f>VLOOKUP(C27,'لیست پرسنل'!$A$1:$E$1004,3,FALSE)</f>
        <v>فکورصنعت</v>
      </c>
      <c r="E27" s="20" t="str">
        <f>VLOOKUP(C27,'لیست پرسنل'!$A$1:$E$1004,4,FALSE)</f>
        <v>سرپرست آی تی</v>
      </c>
      <c r="F27" s="20">
        <f>VLOOKUP(C27,'لیست پرسنل'!$A$1:$E$1004,2,FALSE)</f>
        <v>2210</v>
      </c>
      <c r="G27" s="20" t="s">
        <v>561</v>
      </c>
      <c r="H27" s="20"/>
      <c r="I27" s="20" t="s">
        <v>1565</v>
      </c>
      <c r="J27" s="20" t="s">
        <v>1452</v>
      </c>
      <c r="K27" s="20" t="s">
        <v>1459</v>
      </c>
      <c r="L27" s="61" t="s">
        <v>76</v>
      </c>
      <c r="M27" s="20"/>
      <c r="N27" s="20"/>
      <c r="O27" s="20"/>
      <c r="P27" s="19" t="s">
        <v>1463</v>
      </c>
      <c r="Q27" s="20"/>
      <c r="R27" s="20"/>
    </row>
    <row r="28" spans="1:18" ht="24.95" customHeight="1" x14ac:dyDescent="0.25">
      <c r="A28" s="20" t="s">
        <v>1109</v>
      </c>
      <c r="B28" s="20"/>
      <c r="C28" s="20" t="s">
        <v>18</v>
      </c>
      <c r="D28" s="20" t="str">
        <f>VLOOKUP(C28,'لیست پرسنل'!$A$1:$E$1004,3,FALSE)</f>
        <v>فکورصنعت</v>
      </c>
      <c r="E28" s="20" t="str">
        <f>VLOOKUP(C28,'لیست پرسنل'!$A$1:$E$1004,4,FALSE)</f>
        <v>سرپرست آی تی</v>
      </c>
      <c r="F28" s="20">
        <f>VLOOKUP(C28,'لیست پرسنل'!$A$1:$E$1004,2,FALSE)</f>
        <v>2210</v>
      </c>
      <c r="G28" s="20" t="s">
        <v>561</v>
      </c>
      <c r="H28" s="20"/>
      <c r="I28" s="20" t="s">
        <v>1565</v>
      </c>
      <c r="J28" s="20" t="s">
        <v>1452</v>
      </c>
      <c r="K28" s="20" t="s">
        <v>1460</v>
      </c>
      <c r="L28" s="61" t="s">
        <v>76</v>
      </c>
      <c r="M28" s="20"/>
      <c r="N28" s="20"/>
      <c r="O28" s="20"/>
      <c r="P28" s="19" t="s">
        <v>1463</v>
      </c>
      <c r="Q28" s="20"/>
      <c r="R28" s="20"/>
    </row>
    <row r="29" spans="1:18" ht="24.95" customHeight="1" x14ac:dyDescent="0.25">
      <c r="A29" s="20" t="s">
        <v>1109</v>
      </c>
      <c r="B29" s="20"/>
      <c r="C29" s="20" t="s">
        <v>18</v>
      </c>
      <c r="D29" s="20" t="str">
        <f>VLOOKUP(C29,'لیست پرسنل'!$A$1:$E$1004,3,FALSE)</f>
        <v>فکورصنعت</v>
      </c>
      <c r="E29" s="20" t="str">
        <f>VLOOKUP(C29,'لیست پرسنل'!$A$1:$E$1004,4,FALSE)</f>
        <v>سرپرست آی تی</v>
      </c>
      <c r="F29" s="20">
        <f>VLOOKUP(C29,'لیست پرسنل'!$A$1:$E$1004,2,FALSE)</f>
        <v>2210</v>
      </c>
      <c r="G29" s="20" t="s">
        <v>561</v>
      </c>
      <c r="H29" s="20"/>
      <c r="I29" s="20" t="s">
        <v>1565</v>
      </c>
      <c r="J29" s="20" t="s">
        <v>1452</v>
      </c>
      <c r="K29" s="20" t="s">
        <v>1461</v>
      </c>
      <c r="L29" s="61" t="s">
        <v>76</v>
      </c>
      <c r="M29" s="20"/>
      <c r="N29" s="20"/>
      <c r="O29" s="20"/>
      <c r="P29" s="19" t="s">
        <v>1463</v>
      </c>
      <c r="Q29" s="20"/>
      <c r="R29" s="20"/>
    </row>
    <row r="30" spans="1:18" ht="24.95" customHeight="1" x14ac:dyDescent="0.25">
      <c r="A30" s="20" t="s">
        <v>1109</v>
      </c>
      <c r="B30" s="20"/>
      <c r="C30" s="20" t="s">
        <v>18</v>
      </c>
      <c r="D30" s="20" t="str">
        <f>VLOOKUP(C30,'لیست پرسنل'!$A$1:$E$1004,3,FALSE)</f>
        <v>فکورصنعت</v>
      </c>
      <c r="E30" s="20" t="str">
        <f>VLOOKUP(C30,'لیست پرسنل'!$A$1:$E$1004,4,FALSE)</f>
        <v>سرپرست آی تی</v>
      </c>
      <c r="F30" s="20">
        <f>VLOOKUP(C30,'لیست پرسنل'!$A$1:$E$1004,2,FALSE)</f>
        <v>2210</v>
      </c>
      <c r="G30" s="20" t="s">
        <v>561</v>
      </c>
      <c r="H30" s="20"/>
      <c r="I30" s="20" t="s">
        <v>1565</v>
      </c>
      <c r="J30" s="20" t="s">
        <v>1452</v>
      </c>
      <c r="K30" s="20" t="s">
        <v>1462</v>
      </c>
      <c r="L30" s="61" t="s">
        <v>76</v>
      </c>
      <c r="M30" s="20"/>
      <c r="N30" s="20"/>
      <c r="O30" s="20"/>
      <c r="P30" s="19" t="s">
        <v>1463</v>
      </c>
      <c r="Q30" s="20"/>
      <c r="R30" s="20"/>
    </row>
    <row r="31" spans="1:18" ht="24.95" customHeight="1" x14ac:dyDescent="0.25">
      <c r="A31" s="20" t="s">
        <v>1109</v>
      </c>
      <c r="B31" s="20"/>
      <c r="C31" s="20" t="s">
        <v>18</v>
      </c>
      <c r="D31" s="20" t="str">
        <f>VLOOKUP(C31,'لیست پرسنل'!$A$1:$E$1004,3,FALSE)</f>
        <v>فکورصنعت</v>
      </c>
      <c r="E31" s="20" t="str">
        <f>VLOOKUP(C31,'لیست پرسنل'!$A$1:$E$1004,4,FALSE)</f>
        <v>سرپرست آی تی</v>
      </c>
      <c r="F31" s="20">
        <f>VLOOKUP(C31,'لیست پرسنل'!$A$1:$E$1004,2,FALSE)</f>
        <v>2210</v>
      </c>
      <c r="G31" s="20" t="s">
        <v>1098</v>
      </c>
      <c r="H31" s="20"/>
      <c r="I31" s="20" t="s">
        <v>1565</v>
      </c>
      <c r="J31" s="20" t="s">
        <v>317</v>
      </c>
      <c r="K31" s="20"/>
      <c r="L31" s="61" t="s">
        <v>76</v>
      </c>
      <c r="M31" s="20"/>
      <c r="N31" s="20"/>
      <c r="O31" s="20"/>
      <c r="P31" s="20" t="s">
        <v>160</v>
      </c>
      <c r="Q31" s="20"/>
      <c r="R31" s="20"/>
    </row>
    <row r="32" spans="1:18" ht="24.95" customHeight="1" x14ac:dyDescent="0.25">
      <c r="A32" s="20" t="s">
        <v>1109</v>
      </c>
      <c r="B32" s="20"/>
      <c r="C32" s="20" t="s">
        <v>18</v>
      </c>
      <c r="D32" s="20" t="str">
        <f>VLOOKUP(C32,'لیست پرسنل'!$A$1:$E$1004,3,FALSE)</f>
        <v>فکورصنعت</v>
      </c>
      <c r="E32" s="20" t="str">
        <f>VLOOKUP(C32,'لیست پرسنل'!$A$1:$E$1004,4,FALSE)</f>
        <v>سرپرست آی تی</v>
      </c>
      <c r="F32" s="20">
        <f>VLOOKUP(C32,'لیست پرسنل'!$A$1:$E$1004,2,FALSE)</f>
        <v>2210</v>
      </c>
      <c r="G32" s="20" t="s">
        <v>1098</v>
      </c>
      <c r="H32" s="20"/>
      <c r="I32" s="20" t="s">
        <v>1565</v>
      </c>
      <c r="J32" s="20" t="s">
        <v>317</v>
      </c>
      <c r="K32" s="20"/>
      <c r="L32" s="61" t="s">
        <v>76</v>
      </c>
      <c r="M32" s="20"/>
      <c r="N32" s="20"/>
      <c r="O32" s="20"/>
      <c r="P32" s="20" t="s">
        <v>160</v>
      </c>
      <c r="Q32" s="20"/>
      <c r="R32" s="20"/>
    </row>
    <row r="33" spans="1:18" ht="24.95" customHeight="1" x14ac:dyDescent="0.25">
      <c r="A33" s="20" t="s">
        <v>1109</v>
      </c>
      <c r="B33" s="20"/>
      <c r="C33" s="20" t="s">
        <v>18</v>
      </c>
      <c r="D33" s="20" t="str">
        <f>VLOOKUP(C33,'لیست پرسنل'!$A$1:$E$1004,3,FALSE)</f>
        <v>فکورصنعت</v>
      </c>
      <c r="E33" s="20" t="str">
        <f>VLOOKUP(C33,'لیست پرسنل'!$A$1:$E$1004,4,FALSE)</f>
        <v>سرپرست آی تی</v>
      </c>
      <c r="F33" s="20">
        <f>VLOOKUP(C33,'لیست پرسنل'!$A$1:$E$1004,2,FALSE)</f>
        <v>2210</v>
      </c>
      <c r="G33" s="20" t="s">
        <v>1098</v>
      </c>
      <c r="H33" s="20"/>
      <c r="I33" s="20" t="s">
        <v>650</v>
      </c>
      <c r="J33" s="20" t="s">
        <v>215</v>
      </c>
      <c r="K33" s="20"/>
      <c r="L33" s="61" t="s">
        <v>76</v>
      </c>
      <c r="M33" s="20"/>
      <c r="N33" s="20"/>
      <c r="O33" s="20"/>
      <c r="P33" s="20" t="s">
        <v>160</v>
      </c>
      <c r="Q33" s="20"/>
      <c r="R33" s="20"/>
    </row>
    <row r="34" spans="1:18" ht="24.95" customHeight="1" x14ac:dyDescent="0.25">
      <c r="A34" s="20" t="s">
        <v>1109</v>
      </c>
      <c r="B34" s="20"/>
      <c r="C34" s="20" t="s">
        <v>18</v>
      </c>
      <c r="D34" s="20" t="str">
        <f>VLOOKUP(C34,'لیست پرسنل'!$A$1:$E$1004,3,FALSE)</f>
        <v>فکورصنعت</v>
      </c>
      <c r="E34" s="20" t="str">
        <f>VLOOKUP(C34,'لیست پرسنل'!$A$1:$E$1004,4,FALSE)</f>
        <v>سرپرست آی تی</v>
      </c>
      <c r="F34" s="20">
        <f>VLOOKUP(C34,'لیست پرسنل'!$A$1:$E$1004,2,FALSE)</f>
        <v>2210</v>
      </c>
      <c r="G34" s="20" t="s">
        <v>1098</v>
      </c>
      <c r="H34" s="20"/>
      <c r="I34" s="20" t="s">
        <v>1565</v>
      </c>
      <c r="J34" s="20" t="s">
        <v>1278</v>
      </c>
      <c r="K34" s="20" t="s">
        <v>1283</v>
      </c>
      <c r="L34" s="61" t="s">
        <v>143</v>
      </c>
      <c r="M34" s="20"/>
      <c r="N34" s="20" t="s">
        <v>1277</v>
      </c>
      <c r="O34" s="20"/>
      <c r="P34" s="20" t="s">
        <v>1339</v>
      </c>
      <c r="Q34" s="20"/>
      <c r="R34" s="20"/>
    </row>
    <row r="35" spans="1:18" ht="24.95" customHeight="1" x14ac:dyDescent="0.25">
      <c r="A35" s="20" t="s">
        <v>1114</v>
      </c>
      <c r="B35" s="20"/>
      <c r="C35" s="20" t="s">
        <v>683</v>
      </c>
      <c r="D35" s="20" t="str">
        <f>VLOOKUP(C35,'لیست پرسنل'!$A$1:$E$1004,3,FALSE)</f>
        <v>فکورصنعت</v>
      </c>
      <c r="E35" s="20" t="str">
        <f>VLOOKUP(C35,'لیست پرسنل'!$A$1:$E$1004,4,FALSE)</f>
        <v>انبار</v>
      </c>
      <c r="F35" s="20">
        <f>VLOOKUP(C35,'لیست پرسنل'!$A$1:$E$1004,2,FALSE)</f>
        <v>1536</v>
      </c>
      <c r="G35" s="20" t="s">
        <v>823</v>
      </c>
      <c r="H35" s="20"/>
      <c r="I35" s="20" t="s">
        <v>1565</v>
      </c>
      <c r="J35" s="20" t="s">
        <v>232</v>
      </c>
      <c r="K35" s="20"/>
      <c r="L35" s="20" t="s">
        <v>76</v>
      </c>
      <c r="M35" s="20"/>
      <c r="N35" s="20"/>
      <c r="O35" s="20"/>
      <c r="P35" s="20" t="s">
        <v>824</v>
      </c>
      <c r="Q35" s="20"/>
      <c r="R35" s="20"/>
    </row>
    <row r="36" spans="1:18" ht="24.95" customHeight="1" x14ac:dyDescent="0.25">
      <c r="A36" s="20" t="s">
        <v>1114</v>
      </c>
      <c r="B36" s="20"/>
      <c r="C36" s="20" t="s">
        <v>683</v>
      </c>
      <c r="D36" s="20" t="str">
        <f>VLOOKUP(C36,'لیست پرسنل'!$A$1:$E$1004,3,FALSE)</f>
        <v>فکورصنعت</v>
      </c>
      <c r="E36" s="20" t="str">
        <f>VLOOKUP(C36,'لیست پرسنل'!$A$1:$E$1004,4,FALSE)</f>
        <v>انبار</v>
      </c>
      <c r="F36" s="20">
        <f>VLOOKUP(C36,'لیست پرسنل'!$A$1:$E$1004,2,FALSE)</f>
        <v>1536</v>
      </c>
      <c r="G36" s="20" t="s">
        <v>823</v>
      </c>
      <c r="H36" s="20"/>
      <c r="I36" s="20" t="s">
        <v>1565</v>
      </c>
      <c r="J36" s="20" t="s">
        <v>232</v>
      </c>
      <c r="K36" s="20"/>
      <c r="L36" s="20" t="s">
        <v>76</v>
      </c>
      <c r="M36" s="20"/>
      <c r="N36" s="20"/>
      <c r="O36" s="20"/>
      <c r="P36" s="20" t="s">
        <v>824</v>
      </c>
      <c r="Q36" s="20"/>
      <c r="R36" s="20"/>
    </row>
    <row r="37" spans="1:18" ht="24.95" customHeight="1" x14ac:dyDescent="0.25">
      <c r="A37" s="20" t="s">
        <v>1114</v>
      </c>
      <c r="B37" s="20"/>
      <c r="C37" s="20" t="s">
        <v>683</v>
      </c>
      <c r="D37" s="20" t="str">
        <f>VLOOKUP(C37,'لیست پرسنل'!$A$1:$E$1004,3,FALSE)</f>
        <v>فکورصنعت</v>
      </c>
      <c r="E37" s="20" t="str">
        <f>VLOOKUP(C37,'لیست پرسنل'!$A$1:$E$1004,4,FALSE)</f>
        <v>انبار</v>
      </c>
      <c r="F37" s="20">
        <f>VLOOKUP(C37,'لیست پرسنل'!$A$1:$E$1004,2,FALSE)</f>
        <v>1536</v>
      </c>
      <c r="G37" s="20" t="s">
        <v>823</v>
      </c>
      <c r="H37" s="20"/>
      <c r="I37" s="20" t="s">
        <v>1565</v>
      </c>
      <c r="J37" s="20" t="s">
        <v>232</v>
      </c>
      <c r="K37" s="20"/>
      <c r="L37" s="20" t="s">
        <v>76</v>
      </c>
      <c r="M37" s="20"/>
      <c r="N37" s="20"/>
      <c r="O37" s="20"/>
      <c r="P37" s="20" t="s">
        <v>824</v>
      </c>
      <c r="Q37" s="20"/>
      <c r="R37" s="20"/>
    </row>
    <row r="38" spans="1:18" ht="24.95" customHeight="1" x14ac:dyDescent="0.25">
      <c r="A38" s="20" t="s">
        <v>1114</v>
      </c>
      <c r="B38" s="20"/>
      <c r="C38" s="20" t="s">
        <v>683</v>
      </c>
      <c r="D38" s="20" t="str">
        <f>VLOOKUP(C38,'لیست پرسنل'!$A$1:$E$1004,3,FALSE)</f>
        <v>فکورصنعت</v>
      </c>
      <c r="E38" s="20" t="str">
        <f>VLOOKUP(C38,'لیست پرسنل'!$A$1:$E$1004,4,FALSE)</f>
        <v>انبار</v>
      </c>
      <c r="F38" s="20">
        <f>VLOOKUP(C38,'لیست پرسنل'!$A$1:$E$1004,2,FALSE)</f>
        <v>1536</v>
      </c>
      <c r="G38" s="20" t="s">
        <v>823</v>
      </c>
      <c r="H38" s="20"/>
      <c r="I38" s="20" t="s">
        <v>1565</v>
      </c>
      <c r="J38" s="20" t="s">
        <v>232</v>
      </c>
      <c r="K38" s="20"/>
      <c r="L38" s="20" t="s">
        <v>76</v>
      </c>
      <c r="M38" s="20"/>
      <c r="N38" s="20"/>
      <c r="O38" s="20"/>
      <c r="P38" s="20" t="s">
        <v>824</v>
      </c>
      <c r="Q38" s="20"/>
      <c r="R38" s="20"/>
    </row>
    <row r="39" spans="1:18" ht="24.95" customHeight="1" x14ac:dyDescent="0.25">
      <c r="A39" s="20" t="s">
        <v>1114</v>
      </c>
      <c r="B39" s="20"/>
      <c r="C39" s="20" t="s">
        <v>683</v>
      </c>
      <c r="D39" s="20" t="str">
        <f>VLOOKUP(C39,'لیست پرسنل'!$A$1:$E$1004,3,FALSE)</f>
        <v>فکورصنعت</v>
      </c>
      <c r="E39" s="20" t="str">
        <f>VLOOKUP(C39,'لیست پرسنل'!$A$1:$E$1004,4,FALSE)</f>
        <v>انبار</v>
      </c>
      <c r="F39" s="20">
        <f>VLOOKUP(C39,'لیست پرسنل'!$A$1:$E$1004,2,FALSE)</f>
        <v>1536</v>
      </c>
      <c r="G39" s="20" t="s">
        <v>823</v>
      </c>
      <c r="H39" s="20"/>
      <c r="I39" s="20" t="s">
        <v>1565</v>
      </c>
      <c r="J39" s="20" t="s">
        <v>232</v>
      </c>
      <c r="K39" s="20"/>
      <c r="L39" s="20" t="s">
        <v>76</v>
      </c>
      <c r="M39" s="20"/>
      <c r="N39" s="20"/>
      <c r="O39" s="20"/>
      <c r="P39" s="20" t="s">
        <v>824</v>
      </c>
      <c r="Q39" s="20"/>
      <c r="R39" s="20"/>
    </row>
    <row r="40" spans="1:18" ht="24.95" customHeight="1" x14ac:dyDescent="0.25">
      <c r="A40" s="20" t="s">
        <v>1110</v>
      </c>
      <c r="B40" s="20"/>
      <c r="C40" s="20" t="s">
        <v>18</v>
      </c>
      <c r="D40" s="20" t="str">
        <f>VLOOKUP(C40,'لیست پرسنل'!$A$1:$E$1004,3,FALSE)</f>
        <v>فکورصنعت</v>
      </c>
      <c r="E40" s="20" t="str">
        <f>VLOOKUP(C40,'لیست پرسنل'!$A$1:$E$1004,4,FALSE)</f>
        <v>سرپرست آی تی</v>
      </c>
      <c r="F40" s="20">
        <f>VLOOKUP(C40,'لیست پرسنل'!$A$1:$E$1004,2,FALSE)</f>
        <v>2210</v>
      </c>
      <c r="G40" s="20" t="s">
        <v>887</v>
      </c>
      <c r="H40" s="20"/>
      <c r="I40" s="20" t="s">
        <v>1565</v>
      </c>
      <c r="J40" s="20" t="s">
        <v>1500</v>
      </c>
      <c r="K40" s="20"/>
      <c r="L40" s="61" t="s">
        <v>76</v>
      </c>
      <c r="M40" s="28"/>
      <c r="N40" s="28"/>
      <c r="O40" s="28"/>
      <c r="P40" s="20" t="s">
        <v>1502</v>
      </c>
      <c r="Q40" s="28"/>
      <c r="R40" s="28"/>
    </row>
    <row r="41" spans="1:18" ht="24.95" customHeight="1" x14ac:dyDescent="0.25">
      <c r="A41" s="20" t="s">
        <v>1110</v>
      </c>
      <c r="B41" s="20"/>
      <c r="C41" s="20" t="s">
        <v>18</v>
      </c>
      <c r="D41" s="20" t="str">
        <f>VLOOKUP(C41,'لیست پرسنل'!$A$1:$E$1004,3,FALSE)</f>
        <v>فکورصنعت</v>
      </c>
      <c r="E41" s="20" t="str">
        <f>VLOOKUP(C41,'لیست پرسنل'!$A$1:$E$1004,4,FALSE)</f>
        <v>سرپرست آی تی</v>
      </c>
      <c r="F41" s="20">
        <f>VLOOKUP(C41,'لیست پرسنل'!$A$1:$E$1004,2,FALSE)</f>
        <v>2210</v>
      </c>
      <c r="G41" s="20" t="s">
        <v>887</v>
      </c>
      <c r="H41" s="20"/>
      <c r="I41" s="20" t="s">
        <v>1565</v>
      </c>
      <c r="J41" s="20" t="s">
        <v>1500</v>
      </c>
      <c r="K41" s="20"/>
      <c r="L41" s="61" t="s">
        <v>76</v>
      </c>
      <c r="M41" s="28"/>
      <c r="N41" s="28"/>
      <c r="O41" s="28"/>
      <c r="P41" s="20" t="s">
        <v>1502</v>
      </c>
      <c r="Q41" s="28"/>
      <c r="R41" s="28"/>
    </row>
    <row r="42" spans="1:18" ht="24.95" customHeight="1" x14ac:dyDescent="0.25">
      <c r="A42" s="20" t="s">
        <v>1110</v>
      </c>
      <c r="B42" s="20"/>
      <c r="C42" s="20" t="s">
        <v>18</v>
      </c>
      <c r="D42" s="20" t="str">
        <f>VLOOKUP(C42,'لیست پرسنل'!$A$1:$E$1004,3,FALSE)</f>
        <v>فکورصنعت</v>
      </c>
      <c r="E42" s="20" t="str">
        <f>VLOOKUP(C42,'لیست پرسنل'!$A$1:$E$1004,4,FALSE)</f>
        <v>سرپرست آی تی</v>
      </c>
      <c r="F42" s="20">
        <f>VLOOKUP(C42,'لیست پرسنل'!$A$1:$E$1004,2,FALSE)</f>
        <v>2210</v>
      </c>
      <c r="G42" s="20" t="s">
        <v>887</v>
      </c>
      <c r="H42" s="20"/>
      <c r="I42" s="20" t="s">
        <v>1565</v>
      </c>
      <c r="J42" s="20" t="s">
        <v>1500</v>
      </c>
      <c r="K42" s="20"/>
      <c r="L42" s="61" t="s">
        <v>76</v>
      </c>
      <c r="M42" s="28"/>
      <c r="N42" s="28"/>
      <c r="O42" s="28"/>
      <c r="P42" s="20" t="s">
        <v>1502</v>
      </c>
      <c r="Q42" s="28"/>
      <c r="R42" s="28"/>
    </row>
    <row r="43" spans="1:18" ht="24.95" customHeight="1" x14ac:dyDescent="0.25">
      <c r="A43" s="20" t="s">
        <v>1110</v>
      </c>
      <c r="B43" s="20"/>
      <c r="C43" s="20" t="s">
        <v>18</v>
      </c>
      <c r="D43" s="20" t="str">
        <f>VLOOKUP(C43,'لیست پرسنل'!$A$1:$E$1004,3,FALSE)</f>
        <v>فکورصنعت</v>
      </c>
      <c r="E43" s="20" t="str">
        <f>VLOOKUP(C43,'لیست پرسنل'!$A$1:$E$1004,4,FALSE)</f>
        <v>سرپرست آی تی</v>
      </c>
      <c r="F43" s="20">
        <f>VLOOKUP(C43,'لیست پرسنل'!$A$1:$E$1004,2,FALSE)</f>
        <v>2210</v>
      </c>
      <c r="G43" s="20" t="s">
        <v>887</v>
      </c>
      <c r="H43" s="20"/>
      <c r="I43" s="20" t="s">
        <v>1565</v>
      </c>
      <c r="J43" s="20" t="s">
        <v>1500</v>
      </c>
      <c r="K43" s="20"/>
      <c r="L43" s="61" t="s">
        <v>76</v>
      </c>
      <c r="M43" s="28"/>
      <c r="N43" s="28"/>
      <c r="O43" s="28"/>
      <c r="P43" s="20" t="s">
        <v>1502</v>
      </c>
      <c r="Q43" s="28"/>
      <c r="R43" s="28"/>
    </row>
    <row r="44" spans="1:18" ht="24.95" customHeight="1" x14ac:dyDescent="0.25">
      <c r="A44" s="20" t="s">
        <v>1110</v>
      </c>
      <c r="B44" s="20"/>
      <c r="C44" s="20" t="s">
        <v>18</v>
      </c>
      <c r="D44" s="20" t="str">
        <f>VLOOKUP(C44,'لیست پرسنل'!$A$1:$E$1004,3,FALSE)</f>
        <v>فکورصنعت</v>
      </c>
      <c r="E44" s="20" t="str">
        <f>VLOOKUP(C44,'لیست پرسنل'!$A$1:$E$1004,4,FALSE)</f>
        <v>سرپرست آی تی</v>
      </c>
      <c r="F44" s="20">
        <f>VLOOKUP(C44,'لیست پرسنل'!$A$1:$E$1004,2,FALSE)</f>
        <v>2210</v>
      </c>
      <c r="G44" s="20" t="s">
        <v>887</v>
      </c>
      <c r="H44" s="20"/>
      <c r="I44" s="20" t="s">
        <v>1565</v>
      </c>
      <c r="J44" s="20" t="s">
        <v>1500</v>
      </c>
      <c r="K44" s="20"/>
      <c r="L44" s="61" t="s">
        <v>76</v>
      </c>
      <c r="M44" s="28"/>
      <c r="N44" s="28"/>
      <c r="O44" s="28"/>
      <c r="P44" s="20" t="s">
        <v>1502</v>
      </c>
      <c r="Q44" s="28"/>
      <c r="R44" s="28"/>
    </row>
    <row r="45" spans="1:18" ht="24.95" customHeight="1" x14ac:dyDescent="0.25">
      <c r="A45" s="20" t="s">
        <v>1110</v>
      </c>
      <c r="B45" s="20"/>
      <c r="C45" s="20" t="s">
        <v>18</v>
      </c>
      <c r="D45" s="20" t="str">
        <f>VLOOKUP(C45,'لیست پرسنل'!$A$1:$E$1004,3,FALSE)</f>
        <v>فکورصنعت</v>
      </c>
      <c r="E45" s="20" t="str">
        <f>VLOOKUP(C45,'لیست پرسنل'!$A$1:$E$1004,4,FALSE)</f>
        <v>سرپرست آی تی</v>
      </c>
      <c r="F45" s="20">
        <f>VLOOKUP(C45,'لیست پرسنل'!$A$1:$E$1004,2,FALSE)</f>
        <v>2210</v>
      </c>
      <c r="G45" s="20" t="s">
        <v>887</v>
      </c>
      <c r="H45" s="20"/>
      <c r="I45" s="20" t="s">
        <v>1565</v>
      </c>
      <c r="J45" s="20" t="s">
        <v>1500</v>
      </c>
      <c r="K45" s="20"/>
      <c r="L45" s="61" t="s">
        <v>76</v>
      </c>
      <c r="M45" s="28"/>
      <c r="N45" s="28"/>
      <c r="O45" s="28"/>
      <c r="P45" s="20" t="s">
        <v>1502</v>
      </c>
      <c r="Q45" s="28"/>
      <c r="R45" s="28"/>
    </row>
    <row r="46" spans="1:18" ht="24.95" customHeight="1" x14ac:dyDescent="0.25">
      <c r="A46" s="20" t="s">
        <v>1110</v>
      </c>
      <c r="B46" s="20"/>
      <c r="C46" s="20" t="s">
        <v>18</v>
      </c>
      <c r="D46" s="20" t="str">
        <f>VLOOKUP(C46,'لیست پرسنل'!$A$1:$E$1004,3,FALSE)</f>
        <v>فکورصنعت</v>
      </c>
      <c r="E46" s="20" t="str">
        <f>VLOOKUP(C46,'لیست پرسنل'!$A$1:$E$1004,4,FALSE)</f>
        <v>سرپرست آی تی</v>
      </c>
      <c r="F46" s="20">
        <f>VLOOKUP(C46,'لیست پرسنل'!$A$1:$E$1004,2,FALSE)</f>
        <v>2210</v>
      </c>
      <c r="G46" s="20" t="s">
        <v>887</v>
      </c>
      <c r="H46" s="20"/>
      <c r="I46" s="20" t="s">
        <v>1565</v>
      </c>
      <c r="J46" s="20" t="s">
        <v>1500</v>
      </c>
      <c r="K46" s="20"/>
      <c r="L46" s="61" t="s">
        <v>76</v>
      </c>
      <c r="M46" s="28"/>
      <c r="N46" s="28"/>
      <c r="O46" s="28"/>
      <c r="P46" s="20" t="s">
        <v>1502</v>
      </c>
      <c r="Q46" s="28"/>
      <c r="R46" s="28"/>
    </row>
    <row r="47" spans="1:18" ht="24.95" customHeight="1" x14ac:dyDescent="0.25">
      <c r="A47" s="20" t="s">
        <v>1110</v>
      </c>
      <c r="B47" s="20"/>
      <c r="C47" s="20" t="s">
        <v>18</v>
      </c>
      <c r="D47" s="20" t="str">
        <f>VLOOKUP(C47,'لیست پرسنل'!$A$1:$E$1004,3,FALSE)</f>
        <v>فکورصنعت</v>
      </c>
      <c r="E47" s="20" t="str">
        <f>VLOOKUP(C47,'لیست پرسنل'!$A$1:$E$1004,4,FALSE)</f>
        <v>سرپرست آی تی</v>
      </c>
      <c r="F47" s="20">
        <f>VLOOKUP(C47,'لیست پرسنل'!$A$1:$E$1004,2,FALSE)</f>
        <v>2210</v>
      </c>
      <c r="G47" s="20" t="s">
        <v>887</v>
      </c>
      <c r="H47" s="20"/>
      <c r="I47" s="20" t="s">
        <v>1565</v>
      </c>
      <c r="J47" s="20" t="s">
        <v>1500</v>
      </c>
      <c r="K47" s="20"/>
      <c r="L47" s="61" t="s">
        <v>76</v>
      </c>
      <c r="M47" s="28"/>
      <c r="N47" s="28"/>
      <c r="O47" s="28"/>
      <c r="P47" s="20" t="s">
        <v>1502</v>
      </c>
      <c r="Q47" s="28"/>
      <c r="R47" s="28"/>
    </row>
    <row r="48" spans="1:18" ht="24.95" customHeight="1" x14ac:dyDescent="0.25">
      <c r="A48" s="20" t="s">
        <v>1110</v>
      </c>
      <c r="B48" s="20"/>
      <c r="C48" s="20" t="s">
        <v>18</v>
      </c>
      <c r="D48" s="20" t="str">
        <f>VLOOKUP(C48,'لیست پرسنل'!$A$1:$E$1004,3,FALSE)</f>
        <v>فکورصنعت</v>
      </c>
      <c r="E48" s="20" t="str">
        <f>VLOOKUP(C48,'لیست پرسنل'!$A$1:$E$1004,4,FALSE)</f>
        <v>سرپرست آی تی</v>
      </c>
      <c r="F48" s="20">
        <f>VLOOKUP(C48,'لیست پرسنل'!$A$1:$E$1004,2,FALSE)</f>
        <v>2210</v>
      </c>
      <c r="G48" s="20" t="s">
        <v>887</v>
      </c>
      <c r="H48" s="20"/>
      <c r="I48" s="20" t="s">
        <v>1565</v>
      </c>
      <c r="J48" s="20" t="s">
        <v>1500</v>
      </c>
      <c r="K48" s="20"/>
      <c r="L48" s="61" t="s">
        <v>76</v>
      </c>
      <c r="M48" s="28"/>
      <c r="N48" s="28"/>
      <c r="O48" s="28"/>
      <c r="P48" s="20" t="s">
        <v>1502</v>
      </c>
      <c r="Q48" s="28"/>
      <c r="R48" s="28"/>
    </row>
    <row r="49" spans="1:18" ht="24.95" customHeight="1" x14ac:dyDescent="0.25">
      <c r="A49" s="20" t="s">
        <v>1110</v>
      </c>
      <c r="B49" s="20"/>
      <c r="C49" s="20" t="s">
        <v>18</v>
      </c>
      <c r="D49" s="20" t="str">
        <f>VLOOKUP(C49,'لیست پرسنل'!$A$1:$E$1004,3,FALSE)</f>
        <v>فکورصنعت</v>
      </c>
      <c r="E49" s="20" t="str">
        <f>VLOOKUP(C49,'لیست پرسنل'!$A$1:$E$1004,4,FALSE)</f>
        <v>سرپرست آی تی</v>
      </c>
      <c r="F49" s="20">
        <f>VLOOKUP(C49,'لیست پرسنل'!$A$1:$E$1004,2,FALSE)</f>
        <v>2210</v>
      </c>
      <c r="G49" s="20" t="s">
        <v>887</v>
      </c>
      <c r="H49" s="20"/>
      <c r="I49" s="20" t="s">
        <v>1565</v>
      </c>
      <c r="J49" s="20" t="s">
        <v>1500</v>
      </c>
      <c r="K49" s="20"/>
      <c r="L49" s="61" t="s">
        <v>76</v>
      </c>
      <c r="M49" s="28"/>
      <c r="N49" s="28"/>
      <c r="O49" s="28"/>
      <c r="P49" s="20" t="s">
        <v>1502</v>
      </c>
      <c r="Q49" s="28"/>
      <c r="R49" s="28"/>
    </row>
    <row r="50" spans="1:18" ht="24.95" customHeight="1" x14ac:dyDescent="0.25">
      <c r="A50" s="20" t="s">
        <v>1110</v>
      </c>
      <c r="B50" s="20"/>
      <c r="C50" s="20" t="s">
        <v>18</v>
      </c>
      <c r="D50" s="20" t="str">
        <f>VLOOKUP(C50,'لیست پرسنل'!$A$1:$E$1004,3,FALSE)</f>
        <v>فکورصنعت</v>
      </c>
      <c r="E50" s="20" t="str">
        <f>VLOOKUP(C50,'لیست پرسنل'!$A$1:$E$1004,4,FALSE)</f>
        <v>سرپرست آی تی</v>
      </c>
      <c r="F50" s="20">
        <f>VLOOKUP(C50,'لیست پرسنل'!$A$1:$E$1004,2,FALSE)</f>
        <v>2210</v>
      </c>
      <c r="G50" s="20" t="s">
        <v>887</v>
      </c>
      <c r="H50" s="20"/>
      <c r="I50" s="20" t="s">
        <v>1565</v>
      </c>
      <c r="J50" s="20" t="s">
        <v>1500</v>
      </c>
      <c r="K50" s="20"/>
      <c r="L50" s="61" t="s">
        <v>76</v>
      </c>
      <c r="M50" s="28"/>
      <c r="N50" s="28"/>
      <c r="O50" s="28"/>
      <c r="P50" s="20" t="s">
        <v>1502</v>
      </c>
      <c r="Q50" s="28"/>
      <c r="R50" s="28"/>
    </row>
    <row r="51" spans="1:18" ht="24.95" customHeight="1" x14ac:dyDescent="0.25">
      <c r="A51" s="20" t="s">
        <v>1110</v>
      </c>
      <c r="B51" s="20"/>
      <c r="C51" s="20" t="s">
        <v>18</v>
      </c>
      <c r="D51" s="20" t="str">
        <f>VLOOKUP(C51,'لیست پرسنل'!$A$1:$E$1004,3,FALSE)</f>
        <v>فکورصنعت</v>
      </c>
      <c r="E51" s="20" t="str">
        <f>VLOOKUP(C51,'لیست پرسنل'!$A$1:$E$1004,4,FALSE)</f>
        <v>سرپرست آی تی</v>
      </c>
      <c r="F51" s="20">
        <f>VLOOKUP(C51,'لیست پرسنل'!$A$1:$E$1004,2,FALSE)</f>
        <v>2210</v>
      </c>
      <c r="G51" s="20" t="s">
        <v>887</v>
      </c>
      <c r="H51" s="20"/>
      <c r="I51" s="20" t="s">
        <v>1565</v>
      </c>
      <c r="J51" s="20" t="s">
        <v>1500</v>
      </c>
      <c r="K51" s="20"/>
      <c r="L51" s="61" t="s">
        <v>76</v>
      </c>
      <c r="M51" s="28"/>
      <c r="N51" s="28"/>
      <c r="O51" s="28"/>
      <c r="P51" s="20" t="s">
        <v>1502</v>
      </c>
      <c r="Q51" s="28"/>
      <c r="R51" s="28"/>
    </row>
    <row r="52" spans="1:18" ht="24.95" customHeight="1" x14ac:dyDescent="0.25">
      <c r="A52" s="20" t="s">
        <v>1110</v>
      </c>
      <c r="B52" s="20"/>
      <c r="C52" s="20" t="s">
        <v>18</v>
      </c>
      <c r="D52" s="20" t="str">
        <f>VLOOKUP(C52,'لیست پرسنل'!$A$1:$E$1004,3,FALSE)</f>
        <v>فکورصنعت</v>
      </c>
      <c r="E52" s="20" t="str">
        <f>VLOOKUP(C52,'لیست پرسنل'!$A$1:$E$1004,4,FALSE)</f>
        <v>سرپرست آی تی</v>
      </c>
      <c r="F52" s="20">
        <f>VLOOKUP(C52,'لیست پرسنل'!$A$1:$E$1004,2,FALSE)</f>
        <v>2210</v>
      </c>
      <c r="G52" s="20" t="s">
        <v>887</v>
      </c>
      <c r="H52" s="20"/>
      <c r="I52" s="20" t="s">
        <v>1565</v>
      </c>
      <c r="J52" s="20" t="s">
        <v>1500</v>
      </c>
      <c r="K52" s="20"/>
      <c r="L52" s="61" t="s">
        <v>76</v>
      </c>
      <c r="M52" s="28"/>
      <c r="N52" s="28"/>
      <c r="O52" s="28"/>
      <c r="P52" s="20" t="s">
        <v>1502</v>
      </c>
      <c r="Q52" s="28"/>
      <c r="R52" s="28"/>
    </row>
    <row r="53" spans="1:18" ht="24.95" customHeight="1" x14ac:dyDescent="0.25">
      <c r="A53" s="20" t="s">
        <v>1110</v>
      </c>
      <c r="B53" s="20"/>
      <c r="C53" s="20" t="s">
        <v>18</v>
      </c>
      <c r="D53" s="20" t="str">
        <f>VLOOKUP(C53,'لیست پرسنل'!$A$1:$E$1004,3,FALSE)</f>
        <v>فکورصنعت</v>
      </c>
      <c r="E53" s="20" t="str">
        <f>VLOOKUP(C53,'لیست پرسنل'!$A$1:$E$1004,4,FALSE)</f>
        <v>سرپرست آی تی</v>
      </c>
      <c r="F53" s="20">
        <f>VLOOKUP(C53,'لیست پرسنل'!$A$1:$E$1004,2,FALSE)</f>
        <v>2210</v>
      </c>
      <c r="G53" s="20" t="s">
        <v>887</v>
      </c>
      <c r="H53" s="20"/>
      <c r="I53" s="20" t="s">
        <v>1565</v>
      </c>
      <c r="J53" s="20" t="s">
        <v>1500</v>
      </c>
      <c r="K53" s="20"/>
      <c r="L53" s="61" t="s">
        <v>76</v>
      </c>
      <c r="M53" s="28"/>
      <c r="N53" s="28"/>
      <c r="O53" s="28"/>
      <c r="P53" s="20" t="s">
        <v>1502</v>
      </c>
      <c r="Q53" s="28"/>
      <c r="R53" s="28"/>
    </row>
    <row r="54" spans="1:18" ht="24.95" customHeight="1" x14ac:dyDescent="0.25">
      <c r="A54" s="20" t="s">
        <v>1110</v>
      </c>
      <c r="B54" s="20"/>
      <c r="C54" s="20" t="s">
        <v>18</v>
      </c>
      <c r="D54" s="20" t="str">
        <f>VLOOKUP(C54,'لیست پرسنل'!$A$1:$E$1004,3,FALSE)</f>
        <v>فکورصنعت</v>
      </c>
      <c r="E54" s="20" t="str">
        <f>VLOOKUP(C54,'لیست پرسنل'!$A$1:$E$1004,4,FALSE)</f>
        <v>سرپرست آی تی</v>
      </c>
      <c r="F54" s="20">
        <f>VLOOKUP(C54,'لیست پرسنل'!$A$1:$E$1004,2,FALSE)</f>
        <v>2210</v>
      </c>
      <c r="G54" s="20" t="s">
        <v>887</v>
      </c>
      <c r="H54" s="20"/>
      <c r="I54" s="20" t="s">
        <v>1565</v>
      </c>
      <c r="J54" s="20" t="s">
        <v>1500</v>
      </c>
      <c r="K54" s="20"/>
      <c r="L54" s="61" t="s">
        <v>76</v>
      </c>
      <c r="M54" s="28"/>
      <c r="N54" s="28"/>
      <c r="O54" s="28"/>
      <c r="P54" s="20" t="s">
        <v>1502</v>
      </c>
      <c r="Q54" s="28"/>
      <c r="R54" s="28"/>
    </row>
    <row r="55" spans="1:18" ht="24.95" customHeight="1" x14ac:dyDescent="0.25">
      <c r="A55" s="20" t="s">
        <v>1110</v>
      </c>
      <c r="B55" s="20"/>
      <c r="C55" s="20" t="s">
        <v>18</v>
      </c>
      <c r="D55" s="20" t="str">
        <f>VLOOKUP(C55,'لیست پرسنل'!$A$1:$E$1004,3,FALSE)</f>
        <v>فکورصنعت</v>
      </c>
      <c r="E55" s="20" t="str">
        <f>VLOOKUP(C55,'لیست پرسنل'!$A$1:$E$1004,4,FALSE)</f>
        <v>سرپرست آی تی</v>
      </c>
      <c r="F55" s="20">
        <f>VLOOKUP(C55,'لیست پرسنل'!$A$1:$E$1004,2,FALSE)</f>
        <v>2210</v>
      </c>
      <c r="G55" s="20" t="s">
        <v>887</v>
      </c>
      <c r="H55" s="20"/>
      <c r="I55" s="20" t="s">
        <v>1565</v>
      </c>
      <c r="J55" s="20" t="s">
        <v>1500</v>
      </c>
      <c r="K55" s="20"/>
      <c r="L55" s="61" t="s">
        <v>76</v>
      </c>
      <c r="M55" s="28"/>
      <c r="N55" s="28"/>
      <c r="O55" s="28"/>
      <c r="P55" s="20" t="s">
        <v>1502</v>
      </c>
      <c r="Q55" s="28"/>
      <c r="R55" s="28"/>
    </row>
    <row r="56" spans="1:18" ht="24.95" customHeight="1" x14ac:dyDescent="0.25">
      <c r="A56" s="20" t="s">
        <v>1110</v>
      </c>
      <c r="B56" s="20"/>
      <c r="C56" s="20" t="s">
        <v>18</v>
      </c>
      <c r="D56" s="20" t="str">
        <f>VLOOKUP(C56,'لیست پرسنل'!$A$1:$E$1004,3,FALSE)</f>
        <v>فکورصنعت</v>
      </c>
      <c r="E56" s="20" t="str">
        <f>VLOOKUP(C56,'لیست پرسنل'!$A$1:$E$1004,4,FALSE)</f>
        <v>سرپرست آی تی</v>
      </c>
      <c r="F56" s="20">
        <f>VLOOKUP(C56,'لیست پرسنل'!$A$1:$E$1004,2,FALSE)</f>
        <v>2210</v>
      </c>
      <c r="G56" s="20" t="s">
        <v>887</v>
      </c>
      <c r="H56" s="20"/>
      <c r="I56" s="20" t="s">
        <v>1565</v>
      </c>
      <c r="J56" s="20" t="s">
        <v>1500</v>
      </c>
      <c r="K56" s="20"/>
      <c r="L56" s="61" t="s">
        <v>76</v>
      </c>
      <c r="M56" s="28"/>
      <c r="N56" s="28"/>
      <c r="O56" s="28"/>
      <c r="P56" s="20" t="s">
        <v>1502</v>
      </c>
      <c r="Q56" s="28"/>
      <c r="R56" s="28"/>
    </row>
    <row r="57" spans="1:18" ht="24.95" customHeight="1" x14ac:dyDescent="0.25">
      <c r="A57" s="20" t="s">
        <v>1110</v>
      </c>
      <c r="B57" s="20"/>
      <c r="C57" s="20" t="s">
        <v>18</v>
      </c>
      <c r="D57" s="20" t="str">
        <f>VLOOKUP(C57,'لیست پرسنل'!$A$1:$E$1004,3,FALSE)</f>
        <v>فکورصنعت</v>
      </c>
      <c r="E57" s="20" t="str">
        <f>VLOOKUP(C57,'لیست پرسنل'!$A$1:$E$1004,4,FALSE)</f>
        <v>سرپرست آی تی</v>
      </c>
      <c r="F57" s="20">
        <f>VLOOKUP(C57,'لیست پرسنل'!$A$1:$E$1004,2,FALSE)</f>
        <v>2210</v>
      </c>
      <c r="G57" s="20" t="s">
        <v>887</v>
      </c>
      <c r="H57" s="20"/>
      <c r="I57" s="20" t="s">
        <v>1565</v>
      </c>
      <c r="J57" s="20" t="s">
        <v>1500</v>
      </c>
      <c r="K57" s="20"/>
      <c r="L57" s="61" t="s">
        <v>76</v>
      </c>
      <c r="M57" s="28"/>
      <c r="N57" s="28"/>
      <c r="O57" s="28"/>
      <c r="P57" s="20" t="s">
        <v>1502</v>
      </c>
      <c r="Q57" s="28"/>
      <c r="R57" s="28"/>
    </row>
    <row r="58" spans="1:18" ht="24.95" customHeight="1" x14ac:dyDescent="0.25">
      <c r="A58" s="20" t="s">
        <v>1110</v>
      </c>
      <c r="B58" s="20"/>
      <c r="C58" s="20" t="s">
        <v>18</v>
      </c>
      <c r="D58" s="20" t="str">
        <f>VLOOKUP(C58,'لیست پرسنل'!$A$1:$E$1004,3,FALSE)</f>
        <v>فکورصنعت</v>
      </c>
      <c r="E58" s="20" t="str">
        <f>VLOOKUP(C58,'لیست پرسنل'!$A$1:$E$1004,4,FALSE)</f>
        <v>سرپرست آی تی</v>
      </c>
      <c r="F58" s="20">
        <f>VLOOKUP(C58,'لیست پرسنل'!$A$1:$E$1004,2,FALSE)</f>
        <v>2210</v>
      </c>
      <c r="G58" s="20" t="s">
        <v>887</v>
      </c>
      <c r="H58" s="20"/>
      <c r="I58" s="20" t="s">
        <v>1565</v>
      </c>
      <c r="J58" s="20" t="s">
        <v>1500</v>
      </c>
      <c r="K58" s="20"/>
      <c r="L58" s="61" t="s">
        <v>76</v>
      </c>
      <c r="M58" s="28"/>
      <c r="N58" s="28"/>
      <c r="O58" s="28"/>
      <c r="P58" s="20" t="s">
        <v>1502</v>
      </c>
      <c r="Q58" s="28"/>
      <c r="R58" s="28"/>
    </row>
    <row r="59" spans="1:18" ht="24.95" customHeight="1" x14ac:dyDescent="0.25">
      <c r="A59" s="20" t="s">
        <v>1110</v>
      </c>
      <c r="B59" s="20"/>
      <c r="C59" s="20" t="s">
        <v>18</v>
      </c>
      <c r="D59" s="20" t="str">
        <f>VLOOKUP(C59,'لیست پرسنل'!$A$1:$E$1004,3,FALSE)</f>
        <v>فکورصنعت</v>
      </c>
      <c r="E59" s="20" t="str">
        <f>VLOOKUP(C59,'لیست پرسنل'!$A$1:$E$1004,4,FALSE)</f>
        <v>سرپرست آی تی</v>
      </c>
      <c r="F59" s="20">
        <f>VLOOKUP(C59,'لیست پرسنل'!$A$1:$E$1004,2,FALSE)</f>
        <v>2210</v>
      </c>
      <c r="G59" s="20" t="s">
        <v>887</v>
      </c>
      <c r="H59" s="20"/>
      <c r="I59" s="20" t="s">
        <v>1565</v>
      </c>
      <c r="J59" s="20" t="s">
        <v>1500</v>
      </c>
      <c r="K59" s="20"/>
      <c r="L59" s="61" t="s">
        <v>76</v>
      </c>
      <c r="M59" s="28"/>
      <c r="N59" s="28"/>
      <c r="O59" s="28"/>
      <c r="P59" s="20" t="s">
        <v>1502</v>
      </c>
      <c r="Q59" s="28"/>
      <c r="R59" s="28"/>
    </row>
    <row r="60" spans="1:18" ht="24.95" customHeight="1" x14ac:dyDescent="0.25">
      <c r="A60" s="20" t="s">
        <v>1110</v>
      </c>
      <c r="B60" s="20"/>
      <c r="C60" s="20" t="s">
        <v>18</v>
      </c>
      <c r="D60" s="20" t="str">
        <f>VLOOKUP(C60,'لیست پرسنل'!$A$1:$E$1004,3,FALSE)</f>
        <v>فکورصنعت</v>
      </c>
      <c r="E60" s="20" t="str">
        <f>VLOOKUP(C60,'لیست پرسنل'!$A$1:$E$1004,4,FALSE)</f>
        <v>سرپرست آی تی</v>
      </c>
      <c r="F60" s="20">
        <f>VLOOKUP(C60,'لیست پرسنل'!$A$1:$E$1004,2,FALSE)</f>
        <v>2210</v>
      </c>
      <c r="G60" s="20" t="s">
        <v>887</v>
      </c>
      <c r="H60" s="20"/>
      <c r="I60" s="20" t="s">
        <v>1565</v>
      </c>
      <c r="J60" s="20" t="s">
        <v>1500</v>
      </c>
      <c r="K60" s="20"/>
      <c r="L60" s="61" t="s">
        <v>76</v>
      </c>
      <c r="M60" s="28"/>
      <c r="N60" s="28"/>
      <c r="O60" s="28"/>
      <c r="P60" s="20" t="s">
        <v>1502</v>
      </c>
      <c r="Q60" s="28"/>
      <c r="R60" s="28"/>
    </row>
    <row r="61" spans="1:18" ht="24.75" customHeight="1" x14ac:dyDescent="0.25">
      <c r="A61" s="20" t="s">
        <v>1110</v>
      </c>
      <c r="B61" s="20"/>
      <c r="C61" s="20" t="s">
        <v>18</v>
      </c>
      <c r="D61" s="20" t="str">
        <f>VLOOKUP(C61,'لیست پرسنل'!$A$1:$E$1004,3,FALSE)</f>
        <v>فکورصنعت</v>
      </c>
      <c r="E61" s="20" t="str">
        <f>VLOOKUP(C61,'لیست پرسنل'!$A$1:$E$1004,4,FALSE)</f>
        <v>سرپرست آی تی</v>
      </c>
      <c r="F61" s="20">
        <f>VLOOKUP(C61,'لیست پرسنل'!$A$1:$E$1004,2,FALSE)</f>
        <v>2210</v>
      </c>
      <c r="G61" s="20" t="s">
        <v>887</v>
      </c>
      <c r="H61" s="20"/>
      <c r="I61" s="20" t="s">
        <v>1565</v>
      </c>
      <c r="J61" s="20" t="s">
        <v>1500</v>
      </c>
      <c r="K61" s="20"/>
      <c r="L61" s="61" t="s">
        <v>76</v>
      </c>
      <c r="M61" s="28"/>
      <c r="N61" s="28"/>
      <c r="O61" s="28"/>
      <c r="P61" s="20" t="s">
        <v>1502</v>
      </c>
      <c r="Q61" s="28"/>
      <c r="R61" s="28"/>
    </row>
    <row r="62" spans="1:18" ht="24.95" customHeight="1" x14ac:dyDescent="0.25">
      <c r="A62" s="20" t="s">
        <v>1110</v>
      </c>
      <c r="B62" s="20"/>
      <c r="C62" s="20" t="s">
        <v>18</v>
      </c>
      <c r="D62" s="20" t="str">
        <f>VLOOKUP(C62,'لیست پرسنل'!$A$1:$E$1004,3,FALSE)</f>
        <v>فکورصنعت</v>
      </c>
      <c r="E62" s="20" t="str">
        <f>VLOOKUP(C62,'لیست پرسنل'!$A$1:$E$1004,4,FALSE)</f>
        <v>سرپرست آی تی</v>
      </c>
      <c r="F62" s="20">
        <f>VLOOKUP(C62,'لیست پرسنل'!$A$1:$E$1004,2,FALSE)</f>
        <v>2210</v>
      </c>
      <c r="G62" s="20" t="s">
        <v>887</v>
      </c>
      <c r="H62" s="20"/>
      <c r="I62" s="20" t="s">
        <v>1565</v>
      </c>
      <c r="J62" s="20" t="s">
        <v>1500</v>
      </c>
      <c r="K62" s="20"/>
      <c r="L62" s="61" t="s">
        <v>76</v>
      </c>
      <c r="M62" s="28"/>
      <c r="N62" s="28"/>
      <c r="O62" s="28"/>
      <c r="P62" s="20" t="s">
        <v>1502</v>
      </c>
      <c r="Q62" s="28"/>
      <c r="R62" s="28"/>
    </row>
    <row r="63" spans="1:18" ht="24.95" customHeight="1" x14ac:dyDescent="0.25">
      <c r="A63" s="20" t="s">
        <v>1110</v>
      </c>
      <c r="B63" s="20"/>
      <c r="C63" s="20" t="s">
        <v>18</v>
      </c>
      <c r="D63" s="20" t="str">
        <f>VLOOKUP(C63,'لیست پرسنل'!$A$1:$E$1004,3,FALSE)</f>
        <v>فکورصنعت</v>
      </c>
      <c r="E63" s="20" t="str">
        <f>VLOOKUP(C63,'لیست پرسنل'!$A$1:$E$1004,4,FALSE)</f>
        <v>سرپرست آی تی</v>
      </c>
      <c r="F63" s="20">
        <f>VLOOKUP(C63,'لیست پرسنل'!$A$1:$E$1004,2,FALSE)</f>
        <v>2210</v>
      </c>
      <c r="G63" s="20" t="s">
        <v>887</v>
      </c>
      <c r="H63" s="20"/>
      <c r="I63" s="20" t="s">
        <v>1565</v>
      </c>
      <c r="J63" s="20" t="s">
        <v>1500</v>
      </c>
      <c r="K63" s="20"/>
      <c r="L63" s="61" t="s">
        <v>76</v>
      </c>
      <c r="M63" s="28"/>
      <c r="N63" s="28"/>
      <c r="O63" s="28"/>
      <c r="P63" s="20" t="s">
        <v>1502</v>
      </c>
      <c r="Q63" s="28"/>
      <c r="R63" s="28"/>
    </row>
    <row r="64" spans="1:18" ht="24.95" customHeight="1" x14ac:dyDescent="0.25">
      <c r="A64" s="20" t="s">
        <v>1110</v>
      </c>
      <c r="B64" s="20"/>
      <c r="C64" s="20" t="s">
        <v>18</v>
      </c>
      <c r="D64" s="20" t="str">
        <f>VLOOKUP(C64,'لیست پرسنل'!$A$1:$E$1004,3,FALSE)</f>
        <v>فکورصنعت</v>
      </c>
      <c r="E64" s="20" t="str">
        <f>VLOOKUP(C64,'لیست پرسنل'!$A$1:$E$1004,4,FALSE)</f>
        <v>سرپرست آی تی</v>
      </c>
      <c r="F64" s="20">
        <f>VLOOKUP(C64,'لیست پرسنل'!$A$1:$E$1004,2,FALSE)</f>
        <v>2210</v>
      </c>
      <c r="G64" s="20" t="s">
        <v>887</v>
      </c>
      <c r="H64" s="20"/>
      <c r="I64" s="20" t="s">
        <v>1565</v>
      </c>
      <c r="J64" s="20" t="s">
        <v>1501</v>
      </c>
      <c r="K64" s="20"/>
      <c r="L64" s="61" t="s">
        <v>76</v>
      </c>
      <c r="M64" s="28"/>
      <c r="N64" s="28"/>
      <c r="O64" s="28"/>
      <c r="P64" s="20" t="s">
        <v>1502</v>
      </c>
      <c r="Q64" s="28"/>
      <c r="R64" s="28"/>
    </row>
    <row r="65" spans="1:18" ht="24.95" customHeight="1" x14ac:dyDescent="0.25">
      <c r="A65" s="20" t="s">
        <v>1110</v>
      </c>
      <c r="B65" s="20"/>
      <c r="C65" s="20" t="s">
        <v>18</v>
      </c>
      <c r="D65" s="20" t="str">
        <f>VLOOKUP(C65,'لیست پرسنل'!$A$1:$E$1004,3,FALSE)</f>
        <v>فکورصنعت</v>
      </c>
      <c r="E65" s="20" t="str">
        <f>VLOOKUP(C65,'لیست پرسنل'!$A$1:$E$1004,4,FALSE)</f>
        <v>سرپرست آی تی</v>
      </c>
      <c r="F65" s="20">
        <f>VLOOKUP(C65,'لیست پرسنل'!$A$1:$E$1004,2,FALSE)</f>
        <v>2210</v>
      </c>
      <c r="G65" s="20" t="s">
        <v>887</v>
      </c>
      <c r="H65" s="20"/>
      <c r="I65" s="20" t="s">
        <v>1565</v>
      </c>
      <c r="J65" s="20" t="s">
        <v>1501</v>
      </c>
      <c r="K65" s="20"/>
      <c r="L65" s="61" t="s">
        <v>76</v>
      </c>
      <c r="M65" s="28"/>
      <c r="N65" s="28"/>
      <c r="O65" s="28"/>
      <c r="P65" s="20" t="s">
        <v>1502</v>
      </c>
      <c r="Q65" s="28"/>
      <c r="R65" s="28"/>
    </row>
    <row r="66" spans="1:18" ht="24.95" customHeight="1" x14ac:dyDescent="0.25">
      <c r="A66" s="20" t="s">
        <v>1120</v>
      </c>
      <c r="B66" s="20"/>
      <c r="C66" s="20" t="s">
        <v>93</v>
      </c>
      <c r="D66" s="20" t="str">
        <f>VLOOKUP(C66,'لیست پرسنل'!$A$1:$E$1004,3,FALSE)</f>
        <v>فکورصنعت</v>
      </c>
      <c r="E66" s="20" t="str">
        <f>VLOOKUP(C66,'لیست پرسنل'!$A$1:$E$1004,4,FALSE)</f>
        <v>سرپرست مهمانسراهای سیرجان</v>
      </c>
      <c r="F66" s="20">
        <f>VLOOKUP(C66,'لیست پرسنل'!$A$1:$E$1004,2,FALSE)</f>
        <v>990904</v>
      </c>
      <c r="G66" s="20" t="s">
        <v>1288</v>
      </c>
      <c r="H66" s="20"/>
      <c r="I66" s="20" t="s">
        <v>1565</v>
      </c>
      <c r="J66" s="20" t="s">
        <v>1278</v>
      </c>
      <c r="K66" s="20" t="s">
        <v>1280</v>
      </c>
      <c r="L66" s="61" t="s">
        <v>143</v>
      </c>
      <c r="M66" s="20"/>
      <c r="N66" s="20" t="s">
        <v>1277</v>
      </c>
      <c r="O66" s="20"/>
      <c r="P66" s="20"/>
      <c r="Q66" s="20"/>
      <c r="R66" s="20"/>
    </row>
    <row r="67" spans="1:18" ht="24.95" customHeight="1" x14ac:dyDescent="0.25">
      <c r="A67" s="20" t="s">
        <v>1120</v>
      </c>
      <c r="B67" s="20"/>
      <c r="C67" s="20" t="s">
        <v>93</v>
      </c>
      <c r="D67" s="20" t="str">
        <f>VLOOKUP(C67,'لیست پرسنل'!$A$1:$E$1004,3,FALSE)</f>
        <v>فکورصنعت</v>
      </c>
      <c r="E67" s="20" t="str">
        <f>VLOOKUP(C67,'لیست پرسنل'!$A$1:$E$1004,4,FALSE)</f>
        <v>سرپرست مهمانسراهای سیرجان</v>
      </c>
      <c r="F67" s="20">
        <f>VLOOKUP(C67,'لیست پرسنل'!$A$1:$E$1004,2,FALSE)</f>
        <v>990904</v>
      </c>
      <c r="G67" s="20" t="s">
        <v>391</v>
      </c>
      <c r="H67" s="20"/>
      <c r="I67" s="20" t="s">
        <v>1565</v>
      </c>
      <c r="J67" s="20" t="s">
        <v>1278</v>
      </c>
      <c r="K67" s="20" t="s">
        <v>1281</v>
      </c>
      <c r="L67" s="61" t="s">
        <v>143</v>
      </c>
      <c r="M67" s="20"/>
      <c r="N67" s="20" t="s">
        <v>1277</v>
      </c>
      <c r="O67" s="20"/>
      <c r="P67" s="20"/>
      <c r="Q67" s="20"/>
      <c r="R67" s="20"/>
    </row>
    <row r="68" spans="1:18" ht="24.95" customHeight="1" x14ac:dyDescent="0.25">
      <c r="A68" s="20" t="s">
        <v>1120</v>
      </c>
      <c r="B68" s="20"/>
      <c r="C68" s="20" t="s">
        <v>93</v>
      </c>
      <c r="D68" s="20" t="str">
        <f>VLOOKUP(C68,'لیست پرسنل'!$A$1:$E$1004,3,FALSE)</f>
        <v>فکورصنعت</v>
      </c>
      <c r="E68" s="20" t="str">
        <f>VLOOKUP(C68,'لیست پرسنل'!$A$1:$E$1004,4,FALSE)</f>
        <v>سرپرست مهمانسراهای سیرجان</v>
      </c>
      <c r="F68" s="20">
        <f>VLOOKUP(C68,'لیست پرسنل'!$A$1:$E$1004,2,FALSE)</f>
        <v>990904</v>
      </c>
      <c r="G68" s="20" t="s">
        <v>391</v>
      </c>
      <c r="H68" s="20"/>
      <c r="I68" s="20" t="s">
        <v>1565</v>
      </c>
      <c r="J68" s="20" t="s">
        <v>1278</v>
      </c>
      <c r="K68" s="20" t="s">
        <v>1282</v>
      </c>
      <c r="L68" s="61" t="s">
        <v>143</v>
      </c>
      <c r="M68" s="20"/>
      <c r="N68" s="20" t="s">
        <v>1277</v>
      </c>
      <c r="O68" s="20"/>
      <c r="P68" s="20"/>
      <c r="Q68" s="20"/>
      <c r="R68" s="20"/>
    </row>
    <row r="69" spans="1:18" ht="24.95" customHeight="1" x14ac:dyDescent="0.25">
      <c r="A69" s="20" t="s">
        <v>1120</v>
      </c>
      <c r="B69" s="20"/>
      <c r="C69" s="20" t="s">
        <v>93</v>
      </c>
      <c r="D69" s="20" t="str">
        <f>VLOOKUP(C69,'لیست پرسنل'!$A$1:$E$1004,3,FALSE)</f>
        <v>فکورصنعت</v>
      </c>
      <c r="E69" s="20" t="str">
        <f>VLOOKUP(C69,'لیست پرسنل'!$A$1:$E$1004,4,FALSE)</f>
        <v>سرپرست مهمانسراهای سیرجان</v>
      </c>
      <c r="F69" s="20">
        <f>VLOOKUP(C69,'لیست پرسنل'!$A$1:$E$1004,2,FALSE)</f>
        <v>990904</v>
      </c>
      <c r="G69" s="20" t="s">
        <v>391</v>
      </c>
      <c r="H69" s="20"/>
      <c r="I69" s="20" t="s">
        <v>1565</v>
      </c>
      <c r="J69" s="20" t="s">
        <v>1278</v>
      </c>
      <c r="K69" s="20" t="s">
        <v>1284</v>
      </c>
      <c r="L69" s="61" t="s">
        <v>143</v>
      </c>
      <c r="M69" s="20"/>
      <c r="N69" s="20" t="s">
        <v>1277</v>
      </c>
      <c r="O69" s="20"/>
      <c r="P69" s="20"/>
      <c r="Q69" s="20"/>
      <c r="R69" s="20"/>
    </row>
    <row r="70" spans="1:18" ht="24.95" customHeight="1" x14ac:dyDescent="0.25">
      <c r="A70" s="20" t="s">
        <v>1120</v>
      </c>
      <c r="B70" s="20"/>
      <c r="C70" s="20" t="s">
        <v>93</v>
      </c>
      <c r="D70" s="20" t="str">
        <f>VLOOKUP(C70,'لیست پرسنل'!$A$1:$E$1004,3,FALSE)</f>
        <v>فکورصنعت</v>
      </c>
      <c r="E70" s="20" t="str">
        <f>VLOOKUP(C70,'لیست پرسنل'!$A$1:$E$1004,4,FALSE)</f>
        <v>سرپرست مهمانسراهای سیرجان</v>
      </c>
      <c r="F70" s="20">
        <f>VLOOKUP(C70,'لیست پرسنل'!$A$1:$E$1004,2,FALSE)</f>
        <v>990904</v>
      </c>
      <c r="G70" s="20" t="s">
        <v>391</v>
      </c>
      <c r="H70" s="20"/>
      <c r="I70" s="20" t="s">
        <v>1565</v>
      </c>
      <c r="J70" s="20" t="s">
        <v>1278</v>
      </c>
      <c r="K70" s="20" t="s">
        <v>1285</v>
      </c>
      <c r="L70" s="61" t="s">
        <v>143</v>
      </c>
      <c r="M70" s="20"/>
      <c r="N70" s="20" t="s">
        <v>1277</v>
      </c>
      <c r="O70" s="20"/>
      <c r="P70" s="20"/>
      <c r="Q70" s="20"/>
      <c r="R70" s="20"/>
    </row>
    <row r="71" spans="1:18" ht="24.95" customHeight="1" x14ac:dyDescent="0.25">
      <c r="A71" s="20" t="s">
        <v>1111</v>
      </c>
      <c r="B71" s="20"/>
      <c r="C71" s="20" t="s">
        <v>871</v>
      </c>
      <c r="D71" s="20" t="str">
        <f>VLOOKUP(C71,'لیست پرسنل'!$A$1:$E$1004,3,FALSE)</f>
        <v>فکورصنعت</v>
      </c>
      <c r="E71" s="20" t="str">
        <f>VLOOKUP(C71,'لیست پرسنل'!$A$1:$E$1004,4,FALSE)</f>
        <v>سرپرست انبار</v>
      </c>
      <c r="F71" s="20" t="str">
        <f>VLOOKUP(C71,'لیست پرسنل'!$A$1:$E$1004,2,FALSE)</f>
        <v>3754</v>
      </c>
      <c r="G71" s="20" t="s">
        <v>881</v>
      </c>
      <c r="H71" s="20"/>
      <c r="I71" s="20" t="s">
        <v>1565</v>
      </c>
      <c r="J71" s="20" t="s">
        <v>537</v>
      </c>
      <c r="K71" s="20"/>
      <c r="L71" s="61" t="s">
        <v>76</v>
      </c>
      <c r="M71" s="20"/>
      <c r="N71" s="20"/>
      <c r="O71" s="20"/>
      <c r="P71" s="20" t="s">
        <v>882</v>
      </c>
      <c r="Q71" s="20"/>
      <c r="R71" s="20"/>
    </row>
    <row r="72" spans="1:18" ht="24.95" customHeight="1" x14ac:dyDescent="0.25">
      <c r="A72" s="20" t="s">
        <v>1111</v>
      </c>
      <c r="B72" s="20"/>
      <c r="C72" s="20" t="s">
        <v>871</v>
      </c>
      <c r="D72" s="20" t="str">
        <f>VLOOKUP(C72,'لیست پرسنل'!$A$1:$E$1004,3,FALSE)</f>
        <v>فکورصنعت</v>
      </c>
      <c r="E72" s="20" t="str">
        <f>VLOOKUP(C72,'لیست پرسنل'!$A$1:$E$1004,4,FALSE)</f>
        <v>سرپرست انبار</v>
      </c>
      <c r="F72" s="20" t="str">
        <f>VLOOKUP(C72,'لیست پرسنل'!$A$1:$E$1004,2,FALSE)</f>
        <v>3754</v>
      </c>
      <c r="G72" s="20" t="s">
        <v>881</v>
      </c>
      <c r="H72" s="20"/>
      <c r="I72" s="20" t="s">
        <v>1565</v>
      </c>
      <c r="J72" s="20" t="s">
        <v>537</v>
      </c>
      <c r="K72" s="20"/>
      <c r="L72" s="61" t="s">
        <v>76</v>
      </c>
      <c r="M72" s="20"/>
      <c r="N72" s="20"/>
      <c r="O72" s="20"/>
      <c r="P72" s="20" t="s">
        <v>882</v>
      </c>
      <c r="Q72" s="20"/>
      <c r="R72" s="20"/>
    </row>
    <row r="73" spans="1:18" ht="24.95" customHeight="1" x14ac:dyDescent="0.25">
      <c r="A73" s="20" t="s">
        <v>1111</v>
      </c>
      <c r="B73" s="20"/>
      <c r="C73" s="20" t="s">
        <v>871</v>
      </c>
      <c r="D73" s="20" t="str">
        <f>VLOOKUP(C73,'لیست پرسنل'!$A$1:$E$1004,3,FALSE)</f>
        <v>فکورصنعت</v>
      </c>
      <c r="E73" s="20" t="str">
        <f>VLOOKUP(C73,'لیست پرسنل'!$A$1:$E$1004,4,FALSE)</f>
        <v>سرپرست انبار</v>
      </c>
      <c r="F73" s="20" t="str">
        <f>VLOOKUP(C73,'لیست پرسنل'!$A$1:$E$1004,2,FALSE)</f>
        <v>3754</v>
      </c>
      <c r="G73" s="20" t="s">
        <v>881</v>
      </c>
      <c r="H73" s="20"/>
      <c r="I73" s="20" t="s">
        <v>1565</v>
      </c>
      <c r="J73" s="20" t="s">
        <v>537</v>
      </c>
      <c r="K73" s="20"/>
      <c r="L73" s="61" t="s">
        <v>76</v>
      </c>
      <c r="M73" s="20"/>
      <c r="N73" s="20"/>
      <c r="O73" s="20"/>
      <c r="P73" s="20" t="s">
        <v>882</v>
      </c>
      <c r="Q73" s="20"/>
      <c r="R73" s="20"/>
    </row>
    <row r="74" spans="1:18" ht="24.95" customHeight="1" x14ac:dyDescent="0.25">
      <c r="A74" s="20" t="s">
        <v>1111</v>
      </c>
      <c r="B74" s="20"/>
      <c r="C74" s="20" t="s">
        <v>871</v>
      </c>
      <c r="D74" s="20" t="str">
        <f>VLOOKUP(C74,'لیست پرسنل'!$A$1:$E$1004,3,FALSE)</f>
        <v>فکورصنعت</v>
      </c>
      <c r="E74" s="20" t="str">
        <f>VLOOKUP(C74,'لیست پرسنل'!$A$1:$E$1004,4,FALSE)</f>
        <v>سرپرست انبار</v>
      </c>
      <c r="F74" s="20" t="str">
        <f>VLOOKUP(C74,'لیست پرسنل'!$A$1:$E$1004,2,FALSE)</f>
        <v>3754</v>
      </c>
      <c r="G74" s="20" t="s">
        <v>881</v>
      </c>
      <c r="H74" s="20"/>
      <c r="I74" s="20" t="s">
        <v>1565</v>
      </c>
      <c r="J74" s="20" t="s">
        <v>537</v>
      </c>
      <c r="K74" s="20"/>
      <c r="L74" s="61" t="s">
        <v>76</v>
      </c>
      <c r="M74" s="20"/>
      <c r="N74" s="20"/>
      <c r="O74" s="20"/>
      <c r="P74" s="20" t="s">
        <v>882</v>
      </c>
      <c r="Q74" s="20"/>
      <c r="R74" s="20"/>
    </row>
    <row r="75" spans="1:18" ht="24.95" customHeight="1" x14ac:dyDescent="0.25">
      <c r="A75" s="20" t="s">
        <v>1111</v>
      </c>
      <c r="B75" s="20"/>
      <c r="C75" s="20" t="s">
        <v>871</v>
      </c>
      <c r="D75" s="20" t="str">
        <f>VLOOKUP(C75,'لیست پرسنل'!$A$1:$E$1004,3,FALSE)</f>
        <v>فکورصنعت</v>
      </c>
      <c r="E75" s="20" t="str">
        <f>VLOOKUP(C75,'لیست پرسنل'!$A$1:$E$1004,4,FALSE)</f>
        <v>سرپرست انبار</v>
      </c>
      <c r="F75" s="20" t="str">
        <f>VLOOKUP(C75,'لیست پرسنل'!$A$1:$E$1004,2,FALSE)</f>
        <v>3754</v>
      </c>
      <c r="G75" s="20" t="s">
        <v>881</v>
      </c>
      <c r="H75" s="20"/>
      <c r="I75" s="20" t="s">
        <v>1565</v>
      </c>
      <c r="J75" s="20" t="s">
        <v>537</v>
      </c>
      <c r="K75" s="20"/>
      <c r="L75" s="61" t="s">
        <v>76</v>
      </c>
      <c r="M75" s="20"/>
      <c r="N75" s="20"/>
      <c r="O75" s="20"/>
      <c r="P75" s="20" t="s">
        <v>882</v>
      </c>
      <c r="Q75" s="20"/>
      <c r="R75" s="20"/>
    </row>
    <row r="76" spans="1:18" ht="24.95" customHeight="1" x14ac:dyDescent="0.25">
      <c r="A76" s="20" t="s">
        <v>1111</v>
      </c>
      <c r="B76" s="20"/>
      <c r="C76" s="20" t="s">
        <v>871</v>
      </c>
      <c r="D76" s="20" t="str">
        <f>VLOOKUP(C76,'لیست پرسنل'!$A$1:$E$1004,3,FALSE)</f>
        <v>فکورصنعت</v>
      </c>
      <c r="E76" s="20" t="str">
        <f>VLOOKUP(C76,'لیست پرسنل'!$A$1:$E$1004,4,FALSE)</f>
        <v>سرپرست انبار</v>
      </c>
      <c r="F76" s="20" t="str">
        <f>VLOOKUP(C76,'لیست پرسنل'!$A$1:$E$1004,2,FALSE)</f>
        <v>3754</v>
      </c>
      <c r="G76" s="20" t="s">
        <v>881</v>
      </c>
      <c r="H76" s="20"/>
      <c r="I76" s="20" t="s">
        <v>1565</v>
      </c>
      <c r="J76" s="20" t="s">
        <v>537</v>
      </c>
      <c r="K76" s="20"/>
      <c r="L76" s="61" t="s">
        <v>76</v>
      </c>
      <c r="M76" s="20"/>
      <c r="N76" s="20"/>
      <c r="O76" s="20"/>
      <c r="P76" s="20" t="s">
        <v>882</v>
      </c>
      <c r="Q76" s="20"/>
      <c r="R76" s="20"/>
    </row>
    <row r="77" spans="1:18" ht="24.95" customHeight="1" x14ac:dyDescent="0.25">
      <c r="A77" s="20" t="s">
        <v>1111</v>
      </c>
      <c r="B77" s="20"/>
      <c r="C77" s="20" t="s">
        <v>871</v>
      </c>
      <c r="D77" s="20" t="str">
        <f>VLOOKUP(C77,'لیست پرسنل'!$A$1:$E$1004,3,FALSE)</f>
        <v>فکورصنعت</v>
      </c>
      <c r="E77" s="20" t="str">
        <f>VLOOKUP(C77,'لیست پرسنل'!$A$1:$E$1004,4,FALSE)</f>
        <v>سرپرست انبار</v>
      </c>
      <c r="F77" s="20" t="str">
        <f>VLOOKUP(C77,'لیست پرسنل'!$A$1:$E$1004,2,FALSE)</f>
        <v>3754</v>
      </c>
      <c r="G77" s="20" t="s">
        <v>881</v>
      </c>
      <c r="H77" s="20"/>
      <c r="I77" s="20" t="s">
        <v>1565</v>
      </c>
      <c r="J77" s="20" t="s">
        <v>537</v>
      </c>
      <c r="K77" s="20"/>
      <c r="L77" s="61" t="s">
        <v>76</v>
      </c>
      <c r="M77" s="20"/>
      <c r="N77" s="20"/>
      <c r="O77" s="20"/>
      <c r="P77" s="20" t="s">
        <v>882</v>
      </c>
      <c r="Q77" s="20"/>
      <c r="R77" s="20"/>
    </row>
    <row r="78" spans="1:18" ht="24.95" customHeight="1" x14ac:dyDescent="0.25">
      <c r="A78" s="20" t="s">
        <v>1111</v>
      </c>
      <c r="B78" s="20"/>
      <c r="C78" s="20" t="s">
        <v>871</v>
      </c>
      <c r="D78" s="20" t="str">
        <f>VLOOKUP(C78,'لیست پرسنل'!$A$1:$E$1004,3,FALSE)</f>
        <v>فکورصنعت</v>
      </c>
      <c r="E78" s="20" t="str">
        <f>VLOOKUP(C78,'لیست پرسنل'!$A$1:$E$1004,4,FALSE)</f>
        <v>سرپرست انبار</v>
      </c>
      <c r="F78" s="20" t="str">
        <f>VLOOKUP(C78,'لیست پرسنل'!$A$1:$E$1004,2,FALSE)</f>
        <v>3754</v>
      </c>
      <c r="G78" s="20" t="s">
        <v>881</v>
      </c>
      <c r="H78" s="20"/>
      <c r="I78" s="20" t="s">
        <v>1565</v>
      </c>
      <c r="J78" s="20" t="s">
        <v>537</v>
      </c>
      <c r="K78" s="20"/>
      <c r="L78" s="61" t="s">
        <v>76</v>
      </c>
      <c r="M78" s="20"/>
      <c r="N78" s="20"/>
      <c r="O78" s="20"/>
      <c r="P78" s="20" t="s">
        <v>882</v>
      </c>
      <c r="Q78" s="20"/>
      <c r="R78" s="20"/>
    </row>
    <row r="79" spans="1:18" ht="24.95" customHeight="1" x14ac:dyDescent="0.25">
      <c r="A79" s="20" t="s">
        <v>1111</v>
      </c>
      <c r="B79" s="20"/>
      <c r="C79" s="20" t="s">
        <v>871</v>
      </c>
      <c r="D79" s="20" t="str">
        <f>VLOOKUP(C79,'لیست پرسنل'!$A$1:$E$1004,3,FALSE)</f>
        <v>فکورصنعت</v>
      </c>
      <c r="E79" s="20" t="str">
        <f>VLOOKUP(C79,'لیست پرسنل'!$A$1:$E$1004,4,FALSE)</f>
        <v>سرپرست انبار</v>
      </c>
      <c r="F79" s="20" t="str">
        <f>VLOOKUP(C79,'لیست پرسنل'!$A$1:$E$1004,2,FALSE)</f>
        <v>3754</v>
      </c>
      <c r="G79" s="20" t="s">
        <v>881</v>
      </c>
      <c r="H79" s="20"/>
      <c r="I79" s="20" t="s">
        <v>1565</v>
      </c>
      <c r="J79" s="20" t="s">
        <v>537</v>
      </c>
      <c r="K79" s="20"/>
      <c r="L79" s="61" t="s">
        <v>76</v>
      </c>
      <c r="M79" s="20"/>
      <c r="N79" s="20"/>
      <c r="O79" s="20"/>
      <c r="P79" s="20" t="s">
        <v>882</v>
      </c>
      <c r="Q79" s="20"/>
      <c r="R79" s="20"/>
    </row>
    <row r="80" spans="1:18" ht="24.95" customHeight="1" x14ac:dyDescent="0.25">
      <c r="A80" s="20" t="s">
        <v>1111</v>
      </c>
      <c r="B80" s="20"/>
      <c r="C80" s="20" t="s">
        <v>871</v>
      </c>
      <c r="D80" s="20" t="str">
        <f>VLOOKUP(C80,'لیست پرسنل'!$A$1:$E$1004,3,FALSE)</f>
        <v>فکورصنعت</v>
      </c>
      <c r="E80" s="20" t="str">
        <f>VLOOKUP(C80,'لیست پرسنل'!$A$1:$E$1004,4,FALSE)</f>
        <v>سرپرست انبار</v>
      </c>
      <c r="F80" s="20" t="str">
        <f>VLOOKUP(C80,'لیست پرسنل'!$A$1:$E$1004,2,FALSE)</f>
        <v>3754</v>
      </c>
      <c r="G80" s="20" t="s">
        <v>881</v>
      </c>
      <c r="H80" s="20"/>
      <c r="I80" s="20" t="s">
        <v>1565</v>
      </c>
      <c r="J80" s="20" t="s">
        <v>537</v>
      </c>
      <c r="K80" s="20"/>
      <c r="L80" s="61" t="s">
        <v>76</v>
      </c>
      <c r="M80" s="20"/>
      <c r="N80" s="20"/>
      <c r="O80" s="20"/>
      <c r="P80" s="20" t="s">
        <v>882</v>
      </c>
      <c r="Q80" s="20"/>
      <c r="R80" s="20"/>
    </row>
    <row r="81" spans="1:18" ht="24.95" customHeight="1" x14ac:dyDescent="0.25">
      <c r="A81" s="20" t="s">
        <v>1111</v>
      </c>
      <c r="B81" s="20"/>
      <c r="C81" s="20" t="s">
        <v>871</v>
      </c>
      <c r="D81" s="20" t="str">
        <f>VLOOKUP(C81,'لیست پرسنل'!$A$1:$E$1004,3,FALSE)</f>
        <v>فکورصنعت</v>
      </c>
      <c r="E81" s="20" t="str">
        <f>VLOOKUP(C81,'لیست پرسنل'!$A$1:$E$1004,4,FALSE)</f>
        <v>سرپرست انبار</v>
      </c>
      <c r="F81" s="20" t="str">
        <f>VLOOKUP(C81,'لیست پرسنل'!$A$1:$E$1004,2,FALSE)</f>
        <v>3754</v>
      </c>
      <c r="G81" s="20" t="s">
        <v>881</v>
      </c>
      <c r="H81" s="20"/>
      <c r="I81" s="20" t="s">
        <v>1565</v>
      </c>
      <c r="J81" s="20" t="s">
        <v>537</v>
      </c>
      <c r="K81" s="20"/>
      <c r="L81" s="61" t="s">
        <v>76</v>
      </c>
      <c r="M81" s="20"/>
      <c r="N81" s="20"/>
      <c r="O81" s="20"/>
      <c r="P81" s="20" t="s">
        <v>882</v>
      </c>
      <c r="Q81" s="20"/>
      <c r="R81" s="20"/>
    </row>
    <row r="82" spans="1:18" ht="24.95" customHeight="1" x14ac:dyDescent="0.25">
      <c r="A82" s="20" t="s">
        <v>1111</v>
      </c>
      <c r="B82" s="20"/>
      <c r="C82" s="20" t="s">
        <v>871</v>
      </c>
      <c r="D82" s="20" t="str">
        <f>VLOOKUP(C82,'لیست پرسنل'!$A$1:$E$1004,3,FALSE)</f>
        <v>فکورصنعت</v>
      </c>
      <c r="E82" s="20" t="str">
        <f>VLOOKUP(C82,'لیست پرسنل'!$A$1:$E$1004,4,FALSE)</f>
        <v>سرپرست انبار</v>
      </c>
      <c r="F82" s="20" t="str">
        <f>VLOOKUP(C82,'لیست پرسنل'!$A$1:$E$1004,2,FALSE)</f>
        <v>3754</v>
      </c>
      <c r="G82" s="20" t="s">
        <v>881</v>
      </c>
      <c r="H82" s="20"/>
      <c r="I82" s="20" t="s">
        <v>1565</v>
      </c>
      <c r="J82" s="20" t="s">
        <v>537</v>
      </c>
      <c r="K82" s="20"/>
      <c r="L82" s="61" t="s">
        <v>76</v>
      </c>
      <c r="M82" s="20"/>
      <c r="N82" s="20"/>
      <c r="O82" s="20"/>
      <c r="P82" s="20" t="s">
        <v>882</v>
      </c>
      <c r="Q82" s="20"/>
      <c r="R82" s="20"/>
    </row>
    <row r="83" spans="1:18" ht="24.95" customHeight="1" x14ac:dyDescent="0.25">
      <c r="A83" s="20" t="s">
        <v>1118</v>
      </c>
      <c r="B83" s="20"/>
      <c r="C83" s="20" t="s">
        <v>253</v>
      </c>
      <c r="D83" s="20" t="str">
        <f>VLOOKUP(C83,'لیست پرسنل'!$A$1:$E$1004,3,FALSE)</f>
        <v>فکورصنعت</v>
      </c>
      <c r="E83" s="20" t="str">
        <f>VLOOKUP(C83,'لیست پرسنل'!$A$1:$E$1004,4,FALSE)</f>
        <v>مدیر پروژه مرکز تحقیقات</v>
      </c>
      <c r="F83" s="20">
        <f>VLOOKUP(C83,'لیست پرسنل'!$A$1:$E$1004,2,FALSE)</f>
        <v>774</v>
      </c>
      <c r="G83" s="20" t="s">
        <v>923</v>
      </c>
      <c r="H83" s="20"/>
      <c r="I83" s="20" t="s">
        <v>1565</v>
      </c>
      <c r="J83" s="20" t="s">
        <v>1452</v>
      </c>
      <c r="K83" s="20" t="s">
        <v>1594</v>
      </c>
      <c r="L83" s="61" t="s">
        <v>76</v>
      </c>
      <c r="M83" s="20"/>
      <c r="N83" s="20"/>
      <c r="O83" s="20"/>
      <c r="P83" s="20" t="s">
        <v>1595</v>
      </c>
      <c r="Q83" s="20"/>
      <c r="R83" s="20"/>
    </row>
    <row r="84" spans="1:18" ht="24.95" customHeight="1" x14ac:dyDescent="0.25">
      <c r="A84" s="20" t="s">
        <v>1118</v>
      </c>
      <c r="B84" s="20"/>
      <c r="C84" s="20" t="s">
        <v>924</v>
      </c>
      <c r="D84" s="20" t="str">
        <f>VLOOKUP(C84,'لیست پرسنل'!$A$1:$E$1004,3,FALSE)</f>
        <v>فکورصنعت</v>
      </c>
      <c r="E84" s="20" t="str">
        <f>VLOOKUP(C84,'لیست پرسنل'!$A$1:$E$1004,4,FALSE)</f>
        <v>مالی - اداری</v>
      </c>
      <c r="F84" s="20">
        <f>VLOOKUP(C84,'لیست پرسنل'!$A$1:$E$1004,2,FALSE)</f>
        <v>1526</v>
      </c>
      <c r="G84" s="20" t="s">
        <v>923</v>
      </c>
      <c r="H84" s="20"/>
      <c r="I84" s="20" t="s">
        <v>1565</v>
      </c>
      <c r="J84" s="20" t="s">
        <v>363</v>
      </c>
      <c r="K84" s="20" t="s">
        <v>364</v>
      </c>
      <c r="L84" s="61" t="s">
        <v>76</v>
      </c>
      <c r="M84" s="20"/>
      <c r="N84" s="20"/>
      <c r="O84" s="20"/>
      <c r="P84" s="20" t="s">
        <v>929</v>
      </c>
      <c r="Q84" s="20"/>
      <c r="R84" s="20"/>
    </row>
    <row r="85" spans="1:18" ht="24.95" customHeight="1" x14ac:dyDescent="0.25">
      <c r="A85" s="20" t="s">
        <v>1104</v>
      </c>
      <c r="B85" s="20"/>
      <c r="C85" s="20" t="s">
        <v>87</v>
      </c>
      <c r="D85" s="20" t="str">
        <f>VLOOKUP(C85,'لیست پرسنل'!$A$1:$E$1004,3,FALSE)</f>
        <v>فکورصنعت</v>
      </c>
      <c r="E85" s="20" t="str">
        <f>VLOOKUP(C85,'لیست پرسنل'!$A$1:$E$1004,4,FALSE)</f>
        <v>ایمنی</v>
      </c>
      <c r="F85" s="20">
        <f>VLOOKUP(C85,'لیست پرسنل'!$A$1:$E$1004,2,FALSE)</f>
        <v>98132</v>
      </c>
      <c r="G85" s="20" t="s">
        <v>1597</v>
      </c>
      <c r="H85" s="20"/>
      <c r="I85" s="20" t="s">
        <v>1565</v>
      </c>
      <c r="J85" s="20" t="s">
        <v>1599</v>
      </c>
      <c r="K85" s="20" t="s">
        <v>1598</v>
      </c>
      <c r="L85" s="61" t="s">
        <v>76</v>
      </c>
      <c r="M85" s="20"/>
      <c r="N85" s="20"/>
      <c r="O85" s="20"/>
      <c r="P85" s="20"/>
      <c r="Q85" s="20"/>
      <c r="R85" s="20"/>
    </row>
    <row r="86" spans="1:18" ht="24.95" customHeight="1" x14ac:dyDescent="0.25">
      <c r="A86" s="20" t="s">
        <v>1103</v>
      </c>
      <c r="B86" s="20"/>
      <c r="C86" s="20" t="s">
        <v>88</v>
      </c>
      <c r="D86" s="20" t="str">
        <f>VLOOKUP(C86,'لیست پرسنل'!$A$1:$E$1004,3,FALSE)</f>
        <v>فکورصنعت</v>
      </c>
      <c r="E86" s="20" t="str">
        <f>VLOOKUP(C86,'لیست پرسنل'!$A$1:$E$1004,4,FALSE)</f>
        <v>انبار</v>
      </c>
      <c r="F86" s="20">
        <f>VLOOKUP(C86,'لیست پرسنل'!$A$1:$E$1004,2,FALSE)</f>
        <v>98141</v>
      </c>
      <c r="G86" s="20" t="s">
        <v>1392</v>
      </c>
      <c r="H86" s="20"/>
      <c r="I86" s="20" t="s">
        <v>1565</v>
      </c>
      <c r="J86" s="20" t="s">
        <v>1393</v>
      </c>
      <c r="K86" s="20" t="s">
        <v>1395</v>
      </c>
      <c r="L86" s="20" t="s">
        <v>1116</v>
      </c>
      <c r="M86" s="20"/>
      <c r="N86" s="36"/>
      <c r="O86" s="20"/>
      <c r="P86" s="20"/>
      <c r="Q86" s="20"/>
      <c r="R86" s="20"/>
    </row>
    <row r="87" spans="1:18" ht="24.95" customHeight="1" x14ac:dyDescent="0.25">
      <c r="A87" s="20" t="s">
        <v>1103</v>
      </c>
      <c r="B87" s="20"/>
      <c r="C87" s="20" t="s">
        <v>88</v>
      </c>
      <c r="D87" s="20" t="str">
        <f>VLOOKUP(C87,'لیست پرسنل'!$A$1:$E$1004,3,FALSE)</f>
        <v>فکورصنعت</v>
      </c>
      <c r="E87" s="20" t="str">
        <f>VLOOKUP(C87,'لیست پرسنل'!$A$1:$E$1004,4,FALSE)</f>
        <v>انبار</v>
      </c>
      <c r="F87" s="20">
        <f>VLOOKUP(C87,'لیست پرسنل'!$A$1:$E$1004,2,FALSE)</f>
        <v>98141</v>
      </c>
      <c r="G87" s="20" t="s">
        <v>1392</v>
      </c>
      <c r="H87" s="20"/>
      <c r="I87" s="20" t="s">
        <v>1565</v>
      </c>
      <c r="J87" s="20" t="s">
        <v>1393</v>
      </c>
      <c r="K87" s="20" t="s">
        <v>1395</v>
      </c>
      <c r="L87" s="20" t="s">
        <v>1116</v>
      </c>
      <c r="M87" s="20"/>
      <c r="N87" s="36"/>
      <c r="O87" s="20"/>
      <c r="P87" s="20"/>
      <c r="Q87" s="20"/>
      <c r="R87" s="20"/>
    </row>
    <row r="88" spans="1:18" ht="24.95" customHeight="1" x14ac:dyDescent="0.25">
      <c r="A88" s="20" t="s">
        <v>1103</v>
      </c>
      <c r="B88" s="20"/>
      <c r="C88" s="20" t="s">
        <v>88</v>
      </c>
      <c r="D88" s="20" t="str">
        <f>VLOOKUP(C88,'لیست پرسنل'!$A$1:$E$1004,3,FALSE)</f>
        <v>فکورصنعت</v>
      </c>
      <c r="E88" s="20" t="str">
        <f>VLOOKUP(C88,'لیست پرسنل'!$A$1:$E$1004,4,FALSE)</f>
        <v>انبار</v>
      </c>
      <c r="F88" s="20">
        <f>VLOOKUP(C88,'لیست پرسنل'!$A$1:$E$1004,2,FALSE)</f>
        <v>98141</v>
      </c>
      <c r="G88" s="20" t="s">
        <v>1392</v>
      </c>
      <c r="H88" s="20"/>
      <c r="I88" s="20" t="s">
        <v>1565</v>
      </c>
      <c r="J88" s="20" t="s">
        <v>1393</v>
      </c>
      <c r="K88" s="20" t="s">
        <v>1395</v>
      </c>
      <c r="L88" s="20" t="s">
        <v>1116</v>
      </c>
      <c r="M88" s="20"/>
      <c r="N88" s="36"/>
      <c r="O88" s="20"/>
      <c r="P88" s="20"/>
      <c r="Q88" s="20"/>
      <c r="R88" s="20"/>
    </row>
    <row r="89" spans="1:18" ht="24.95" customHeight="1" x14ac:dyDescent="0.25">
      <c r="A89" s="20" t="s">
        <v>1103</v>
      </c>
      <c r="B89" s="20"/>
      <c r="C89" s="20" t="s">
        <v>88</v>
      </c>
      <c r="D89" s="20" t="str">
        <f>VLOOKUP(C89,'لیست پرسنل'!$A$1:$E$1004,3,FALSE)</f>
        <v>فکورصنعت</v>
      </c>
      <c r="E89" s="20" t="str">
        <f>VLOOKUP(C89,'لیست پرسنل'!$A$1:$E$1004,4,FALSE)</f>
        <v>انبار</v>
      </c>
      <c r="F89" s="20">
        <f>VLOOKUP(C89,'لیست پرسنل'!$A$1:$E$1004,2,FALSE)</f>
        <v>98141</v>
      </c>
      <c r="G89" s="20" t="s">
        <v>1392</v>
      </c>
      <c r="H89" s="20"/>
      <c r="I89" s="20" t="s">
        <v>1565</v>
      </c>
      <c r="J89" s="20" t="s">
        <v>1393</v>
      </c>
      <c r="K89" s="20" t="s">
        <v>1395</v>
      </c>
      <c r="L89" s="20" t="s">
        <v>1116</v>
      </c>
      <c r="M89" s="20"/>
      <c r="N89" s="36"/>
      <c r="O89" s="20"/>
      <c r="P89" s="20"/>
      <c r="Q89" s="20"/>
      <c r="R89" s="20"/>
    </row>
    <row r="90" spans="1:18" ht="24.95" customHeight="1" x14ac:dyDescent="0.25">
      <c r="A90" s="20" t="s">
        <v>1103</v>
      </c>
      <c r="B90" s="20"/>
      <c r="C90" s="20" t="s">
        <v>88</v>
      </c>
      <c r="D90" s="20" t="str">
        <f>VLOOKUP(C90,'لیست پرسنل'!$A$1:$E$1004,3,FALSE)</f>
        <v>فکورصنعت</v>
      </c>
      <c r="E90" s="20" t="str">
        <f>VLOOKUP(C90,'لیست پرسنل'!$A$1:$E$1004,4,FALSE)</f>
        <v>انبار</v>
      </c>
      <c r="F90" s="20">
        <f>VLOOKUP(C90,'لیست پرسنل'!$A$1:$E$1004,2,FALSE)</f>
        <v>98141</v>
      </c>
      <c r="G90" s="20" t="s">
        <v>1392</v>
      </c>
      <c r="H90" s="20"/>
      <c r="I90" s="20" t="s">
        <v>1565</v>
      </c>
      <c r="J90" s="20" t="s">
        <v>1393</v>
      </c>
      <c r="K90" s="20" t="s">
        <v>1395</v>
      </c>
      <c r="L90" s="20" t="s">
        <v>1116</v>
      </c>
      <c r="M90" s="20"/>
      <c r="N90" s="36"/>
      <c r="O90" s="20"/>
      <c r="P90" s="20"/>
      <c r="Q90" s="20"/>
      <c r="R90" s="20"/>
    </row>
    <row r="91" spans="1:18" ht="24.95" customHeight="1" x14ac:dyDescent="0.25">
      <c r="A91" s="20" t="s">
        <v>1103</v>
      </c>
      <c r="B91" s="20"/>
      <c r="C91" s="20" t="s">
        <v>88</v>
      </c>
      <c r="D91" s="20" t="str">
        <f>VLOOKUP(C91,'لیست پرسنل'!$A$1:$E$1004,3,FALSE)</f>
        <v>فکورصنعت</v>
      </c>
      <c r="E91" s="20" t="str">
        <f>VLOOKUP(C91,'لیست پرسنل'!$A$1:$E$1004,4,FALSE)</f>
        <v>انبار</v>
      </c>
      <c r="F91" s="20">
        <f>VLOOKUP(C91,'لیست پرسنل'!$A$1:$E$1004,2,FALSE)</f>
        <v>98141</v>
      </c>
      <c r="G91" s="20" t="s">
        <v>1392</v>
      </c>
      <c r="H91" s="20"/>
      <c r="I91" s="20" t="s">
        <v>1565</v>
      </c>
      <c r="J91" s="20" t="s">
        <v>1393</v>
      </c>
      <c r="K91" s="20" t="s">
        <v>1395</v>
      </c>
      <c r="L91" s="20" t="s">
        <v>1116</v>
      </c>
      <c r="M91" s="20"/>
      <c r="N91" s="36"/>
      <c r="O91" s="20"/>
      <c r="P91" s="20"/>
      <c r="Q91" s="20"/>
      <c r="R91" s="20"/>
    </row>
    <row r="92" spans="1:18" ht="24.95" customHeight="1" x14ac:dyDescent="0.25">
      <c r="A92" s="20" t="s">
        <v>1103</v>
      </c>
      <c r="B92" s="20"/>
      <c r="C92" s="20" t="s">
        <v>88</v>
      </c>
      <c r="D92" s="20" t="str">
        <f>VLOOKUP(C92,'لیست پرسنل'!$A$1:$E$1004,3,FALSE)</f>
        <v>فکورصنعت</v>
      </c>
      <c r="E92" s="20" t="str">
        <f>VLOOKUP(C92,'لیست پرسنل'!$A$1:$E$1004,4,FALSE)</f>
        <v>انبار</v>
      </c>
      <c r="F92" s="20">
        <f>VLOOKUP(C92,'لیست پرسنل'!$A$1:$E$1004,2,FALSE)</f>
        <v>98141</v>
      </c>
      <c r="G92" s="20" t="s">
        <v>1392</v>
      </c>
      <c r="H92" s="20"/>
      <c r="I92" s="20" t="s">
        <v>1565</v>
      </c>
      <c r="J92" s="20" t="s">
        <v>1393</v>
      </c>
      <c r="K92" s="20" t="s">
        <v>1395</v>
      </c>
      <c r="L92" s="20" t="s">
        <v>1116</v>
      </c>
      <c r="M92" s="20"/>
      <c r="N92" s="36"/>
      <c r="O92" s="20"/>
      <c r="P92" s="20"/>
      <c r="Q92" s="20"/>
      <c r="R92" s="20"/>
    </row>
    <row r="93" spans="1:18" ht="24.95" customHeight="1" x14ac:dyDescent="0.25">
      <c r="A93" s="20" t="s">
        <v>1103</v>
      </c>
      <c r="B93" s="20"/>
      <c r="C93" s="20" t="s">
        <v>88</v>
      </c>
      <c r="D93" s="20" t="str">
        <f>VLOOKUP(C93,'لیست پرسنل'!$A$1:$E$1004,3,FALSE)</f>
        <v>فکورصنعت</v>
      </c>
      <c r="E93" s="20" t="str">
        <f>VLOOKUP(C93,'لیست پرسنل'!$A$1:$E$1004,4,FALSE)</f>
        <v>انبار</v>
      </c>
      <c r="F93" s="20">
        <f>VLOOKUP(C93,'لیست پرسنل'!$A$1:$E$1004,2,FALSE)</f>
        <v>98141</v>
      </c>
      <c r="G93" s="20" t="s">
        <v>1392</v>
      </c>
      <c r="H93" s="20"/>
      <c r="I93" s="20" t="s">
        <v>1565</v>
      </c>
      <c r="J93" s="20" t="s">
        <v>1393</v>
      </c>
      <c r="K93" s="20" t="s">
        <v>1395</v>
      </c>
      <c r="L93" s="20" t="s">
        <v>1116</v>
      </c>
      <c r="M93" s="20"/>
      <c r="N93" s="36"/>
      <c r="O93" s="20"/>
      <c r="P93" s="20"/>
      <c r="Q93" s="20"/>
      <c r="R93" s="20"/>
    </row>
    <row r="94" spans="1:18" ht="24.95" customHeight="1" x14ac:dyDescent="0.25">
      <c r="A94" s="20" t="s">
        <v>1103</v>
      </c>
      <c r="B94" s="20"/>
      <c r="C94" s="20" t="s">
        <v>88</v>
      </c>
      <c r="D94" s="20" t="str">
        <f>VLOOKUP(C94,'لیست پرسنل'!$A$1:$E$1004,3,FALSE)</f>
        <v>فکورصنعت</v>
      </c>
      <c r="E94" s="20" t="str">
        <f>VLOOKUP(C94,'لیست پرسنل'!$A$1:$E$1004,4,FALSE)</f>
        <v>انبار</v>
      </c>
      <c r="F94" s="20">
        <f>VLOOKUP(C94,'لیست پرسنل'!$A$1:$E$1004,2,FALSE)</f>
        <v>98141</v>
      </c>
      <c r="G94" s="20" t="s">
        <v>1392</v>
      </c>
      <c r="H94" s="20"/>
      <c r="I94" s="20" t="s">
        <v>1565</v>
      </c>
      <c r="J94" s="20" t="s">
        <v>1393</v>
      </c>
      <c r="K94" s="20" t="s">
        <v>1395</v>
      </c>
      <c r="L94" s="20" t="s">
        <v>1116</v>
      </c>
      <c r="M94" s="20"/>
      <c r="N94" s="36"/>
      <c r="O94" s="20"/>
      <c r="P94" s="20"/>
      <c r="Q94" s="20"/>
      <c r="R94" s="20"/>
    </row>
    <row r="95" spans="1:18" ht="24.95" customHeight="1" x14ac:dyDescent="0.25">
      <c r="A95" s="20" t="s">
        <v>1103</v>
      </c>
      <c r="B95" s="20"/>
      <c r="C95" s="20" t="s">
        <v>88</v>
      </c>
      <c r="D95" s="20" t="str">
        <f>VLOOKUP(C95,'لیست پرسنل'!$A$1:$E$1004,3,FALSE)</f>
        <v>فکورصنعت</v>
      </c>
      <c r="E95" s="20" t="str">
        <f>VLOOKUP(C95,'لیست پرسنل'!$A$1:$E$1004,4,FALSE)</f>
        <v>انبار</v>
      </c>
      <c r="F95" s="20">
        <f>VLOOKUP(C95,'لیست پرسنل'!$A$1:$E$1004,2,FALSE)</f>
        <v>98141</v>
      </c>
      <c r="G95" s="20" t="s">
        <v>1392</v>
      </c>
      <c r="H95" s="20"/>
      <c r="I95" s="20" t="s">
        <v>1565</v>
      </c>
      <c r="J95" s="20" t="s">
        <v>1393</v>
      </c>
      <c r="K95" s="20" t="s">
        <v>1395</v>
      </c>
      <c r="L95" s="20" t="s">
        <v>1116</v>
      </c>
      <c r="M95" s="20"/>
      <c r="N95" s="36"/>
      <c r="O95" s="20"/>
      <c r="P95" s="20"/>
      <c r="Q95" s="20"/>
      <c r="R95" s="20"/>
    </row>
    <row r="96" spans="1:18" ht="24.95" customHeight="1" x14ac:dyDescent="0.25">
      <c r="A96" s="20" t="s">
        <v>1103</v>
      </c>
      <c r="B96" s="20"/>
      <c r="C96" s="20" t="s">
        <v>88</v>
      </c>
      <c r="D96" s="20" t="str">
        <f>VLOOKUP(C96,'لیست پرسنل'!$A$1:$E$1004,3,FALSE)</f>
        <v>فکورصنعت</v>
      </c>
      <c r="E96" s="20" t="str">
        <f>VLOOKUP(C96,'لیست پرسنل'!$A$1:$E$1004,4,FALSE)</f>
        <v>انبار</v>
      </c>
      <c r="F96" s="20">
        <f>VLOOKUP(C96,'لیست پرسنل'!$A$1:$E$1004,2,FALSE)</f>
        <v>98141</v>
      </c>
      <c r="G96" s="20" t="s">
        <v>1392</v>
      </c>
      <c r="H96" s="20"/>
      <c r="I96" s="20" t="s">
        <v>1565</v>
      </c>
      <c r="J96" s="20" t="s">
        <v>1393</v>
      </c>
      <c r="K96" s="20" t="s">
        <v>1395</v>
      </c>
      <c r="L96" s="20" t="s">
        <v>1116</v>
      </c>
      <c r="M96" s="20"/>
      <c r="N96" s="36"/>
      <c r="O96" s="20"/>
      <c r="P96" s="20"/>
      <c r="Q96" s="20"/>
      <c r="R96" s="20"/>
    </row>
    <row r="97" spans="1:18" ht="24.95" customHeight="1" x14ac:dyDescent="0.25">
      <c r="A97" s="20" t="s">
        <v>1103</v>
      </c>
      <c r="B97" s="20"/>
      <c r="C97" s="20" t="s">
        <v>88</v>
      </c>
      <c r="D97" s="20" t="str">
        <f>VLOOKUP(C97,'لیست پرسنل'!$A$1:$E$1004,3,FALSE)</f>
        <v>فکورصنعت</v>
      </c>
      <c r="E97" s="20" t="str">
        <f>VLOOKUP(C97,'لیست پرسنل'!$A$1:$E$1004,4,FALSE)</f>
        <v>انبار</v>
      </c>
      <c r="F97" s="20">
        <f>VLOOKUP(C97,'لیست پرسنل'!$A$1:$E$1004,2,FALSE)</f>
        <v>98141</v>
      </c>
      <c r="G97" s="20" t="s">
        <v>1392</v>
      </c>
      <c r="H97" s="20"/>
      <c r="I97" s="20" t="s">
        <v>1565</v>
      </c>
      <c r="J97" s="20" t="s">
        <v>1393</v>
      </c>
      <c r="K97" s="20" t="s">
        <v>1395</v>
      </c>
      <c r="L97" s="20" t="s">
        <v>1116</v>
      </c>
      <c r="M97" s="20"/>
      <c r="N97" s="36"/>
      <c r="O97" s="20"/>
      <c r="P97" s="20"/>
      <c r="Q97" s="20"/>
      <c r="R97" s="20"/>
    </row>
    <row r="98" spans="1:18" ht="24.95" customHeight="1" x14ac:dyDescent="0.25">
      <c r="A98" s="20" t="s">
        <v>1103</v>
      </c>
      <c r="B98" s="20"/>
      <c r="C98" s="20" t="s">
        <v>88</v>
      </c>
      <c r="D98" s="20" t="str">
        <f>VLOOKUP(C98,'لیست پرسنل'!$A$1:$E$1004,3,FALSE)</f>
        <v>فکورصنعت</v>
      </c>
      <c r="E98" s="20" t="str">
        <f>VLOOKUP(C98,'لیست پرسنل'!$A$1:$E$1004,4,FALSE)</f>
        <v>انبار</v>
      </c>
      <c r="F98" s="20">
        <f>VLOOKUP(C98,'لیست پرسنل'!$A$1:$E$1004,2,FALSE)</f>
        <v>98141</v>
      </c>
      <c r="G98" s="20" t="s">
        <v>1392</v>
      </c>
      <c r="H98" s="20"/>
      <c r="I98" s="20" t="s">
        <v>1565</v>
      </c>
      <c r="J98" s="20" t="s">
        <v>1393</v>
      </c>
      <c r="K98" s="20" t="s">
        <v>1395</v>
      </c>
      <c r="L98" s="20" t="s">
        <v>1116</v>
      </c>
      <c r="M98" s="20"/>
      <c r="N98" s="36"/>
      <c r="O98" s="20"/>
      <c r="P98" s="20"/>
      <c r="Q98" s="20"/>
      <c r="R98" s="20"/>
    </row>
    <row r="99" spans="1:18" ht="24.95" customHeight="1" x14ac:dyDescent="0.25">
      <c r="A99" s="20" t="s">
        <v>1103</v>
      </c>
      <c r="B99" s="20"/>
      <c r="C99" s="20" t="s">
        <v>88</v>
      </c>
      <c r="D99" s="20" t="str">
        <f>VLOOKUP(C99,'لیست پرسنل'!$A$1:$E$1004,3,FALSE)</f>
        <v>فکورصنعت</v>
      </c>
      <c r="E99" s="20" t="str">
        <f>VLOOKUP(C99,'لیست پرسنل'!$A$1:$E$1004,4,FALSE)</f>
        <v>انبار</v>
      </c>
      <c r="F99" s="20">
        <f>VLOOKUP(C99,'لیست پرسنل'!$A$1:$E$1004,2,FALSE)</f>
        <v>98141</v>
      </c>
      <c r="G99" s="20" t="s">
        <v>1392</v>
      </c>
      <c r="H99" s="20"/>
      <c r="I99" s="20" t="s">
        <v>1565</v>
      </c>
      <c r="J99" s="20" t="s">
        <v>1393</v>
      </c>
      <c r="K99" s="20" t="s">
        <v>1395</v>
      </c>
      <c r="L99" s="20" t="s">
        <v>1116</v>
      </c>
      <c r="M99" s="20"/>
      <c r="N99" s="36"/>
      <c r="O99" s="20"/>
      <c r="P99" s="20"/>
      <c r="Q99" s="20"/>
      <c r="R99" s="20"/>
    </row>
    <row r="100" spans="1:18" ht="24.95" customHeight="1" x14ac:dyDescent="0.25">
      <c r="A100" s="20" t="s">
        <v>1103</v>
      </c>
      <c r="B100" s="20"/>
      <c r="C100" s="20" t="s">
        <v>88</v>
      </c>
      <c r="D100" s="20" t="str">
        <f>VLOOKUP(C100,'لیست پرسنل'!$A$1:$E$1004,3,FALSE)</f>
        <v>فکورصنعت</v>
      </c>
      <c r="E100" s="20" t="str">
        <f>VLOOKUP(C100,'لیست پرسنل'!$A$1:$E$1004,4,FALSE)</f>
        <v>انبار</v>
      </c>
      <c r="F100" s="20">
        <f>VLOOKUP(C100,'لیست پرسنل'!$A$1:$E$1004,2,FALSE)</f>
        <v>98141</v>
      </c>
      <c r="G100" s="20" t="s">
        <v>1392</v>
      </c>
      <c r="H100" s="20"/>
      <c r="I100" s="20" t="s">
        <v>1565</v>
      </c>
      <c r="J100" s="20" t="s">
        <v>1393</v>
      </c>
      <c r="K100" s="20" t="s">
        <v>1395</v>
      </c>
      <c r="L100" s="20" t="s">
        <v>1116</v>
      </c>
      <c r="M100" s="20"/>
      <c r="N100" s="36"/>
      <c r="O100" s="20"/>
      <c r="P100" s="20"/>
      <c r="Q100" s="20"/>
      <c r="R100" s="20"/>
    </row>
    <row r="101" spans="1:18" ht="24.95" customHeight="1" x14ac:dyDescent="0.25">
      <c r="A101" s="20" t="s">
        <v>1103</v>
      </c>
      <c r="B101" s="20"/>
      <c r="C101" s="20" t="s">
        <v>88</v>
      </c>
      <c r="D101" s="20" t="str">
        <f>VLOOKUP(C101,'لیست پرسنل'!$A$1:$E$1004,3,FALSE)</f>
        <v>فکورصنعت</v>
      </c>
      <c r="E101" s="20" t="str">
        <f>VLOOKUP(C101,'لیست پرسنل'!$A$1:$E$1004,4,FALSE)</f>
        <v>انبار</v>
      </c>
      <c r="F101" s="20">
        <f>VLOOKUP(C101,'لیست پرسنل'!$A$1:$E$1004,2,FALSE)</f>
        <v>98141</v>
      </c>
      <c r="G101" s="20" t="s">
        <v>1392</v>
      </c>
      <c r="H101" s="20"/>
      <c r="I101" s="20" t="s">
        <v>1565</v>
      </c>
      <c r="J101" s="20" t="s">
        <v>1393</v>
      </c>
      <c r="K101" s="20" t="s">
        <v>1395</v>
      </c>
      <c r="L101" s="20" t="s">
        <v>1116</v>
      </c>
      <c r="M101" s="20"/>
      <c r="N101" s="36"/>
      <c r="O101" s="20"/>
      <c r="P101" s="20"/>
      <c r="Q101" s="20"/>
      <c r="R101" s="20"/>
    </row>
    <row r="102" spans="1:18" ht="24.95" customHeight="1" x14ac:dyDescent="0.25">
      <c r="A102" s="20" t="s">
        <v>1103</v>
      </c>
      <c r="B102" s="20"/>
      <c r="C102" s="20" t="s">
        <v>88</v>
      </c>
      <c r="D102" s="20" t="str">
        <f>VLOOKUP(C102,'لیست پرسنل'!$A$1:$E$1004,3,FALSE)</f>
        <v>فکورصنعت</v>
      </c>
      <c r="E102" s="20" t="str">
        <f>VLOOKUP(C102,'لیست پرسنل'!$A$1:$E$1004,4,FALSE)</f>
        <v>انبار</v>
      </c>
      <c r="F102" s="20">
        <f>VLOOKUP(C102,'لیست پرسنل'!$A$1:$E$1004,2,FALSE)</f>
        <v>98141</v>
      </c>
      <c r="G102" s="20" t="s">
        <v>1392</v>
      </c>
      <c r="H102" s="20"/>
      <c r="I102" s="20" t="s">
        <v>1565</v>
      </c>
      <c r="J102" s="20" t="s">
        <v>1393</v>
      </c>
      <c r="K102" s="20" t="s">
        <v>1395</v>
      </c>
      <c r="L102" s="20" t="s">
        <v>1116</v>
      </c>
      <c r="M102" s="20"/>
      <c r="N102" s="36"/>
      <c r="O102" s="20"/>
      <c r="P102" s="20"/>
      <c r="Q102" s="20"/>
      <c r="R102" s="20"/>
    </row>
    <row r="103" spans="1:18" ht="24.95" customHeight="1" x14ac:dyDescent="0.25">
      <c r="A103" s="20" t="s">
        <v>1103</v>
      </c>
      <c r="B103" s="20"/>
      <c r="C103" s="20" t="s">
        <v>88</v>
      </c>
      <c r="D103" s="20" t="str">
        <f>VLOOKUP(C103,'لیست پرسنل'!$A$1:$E$1004,3,FALSE)</f>
        <v>فکورصنعت</v>
      </c>
      <c r="E103" s="20" t="str">
        <f>VLOOKUP(C103,'لیست پرسنل'!$A$1:$E$1004,4,FALSE)</f>
        <v>انبار</v>
      </c>
      <c r="F103" s="20">
        <f>VLOOKUP(C103,'لیست پرسنل'!$A$1:$E$1004,2,FALSE)</f>
        <v>98141</v>
      </c>
      <c r="G103" s="20" t="s">
        <v>1392</v>
      </c>
      <c r="H103" s="20"/>
      <c r="I103" s="20" t="s">
        <v>1565</v>
      </c>
      <c r="J103" s="20" t="s">
        <v>1393</v>
      </c>
      <c r="K103" s="20" t="s">
        <v>1395</v>
      </c>
      <c r="L103" s="20" t="s">
        <v>1116</v>
      </c>
      <c r="M103" s="20"/>
      <c r="N103" s="36"/>
      <c r="O103" s="20"/>
      <c r="P103" s="20"/>
      <c r="Q103" s="20"/>
      <c r="R103" s="20"/>
    </row>
    <row r="104" spans="1:18" ht="24.95" customHeight="1" x14ac:dyDescent="0.25">
      <c r="A104" s="20" t="s">
        <v>1103</v>
      </c>
      <c r="B104" s="20"/>
      <c r="C104" s="20" t="s">
        <v>88</v>
      </c>
      <c r="D104" s="20" t="str">
        <f>VLOOKUP(C104,'لیست پرسنل'!$A$1:$E$1004,3,FALSE)</f>
        <v>فکورصنعت</v>
      </c>
      <c r="E104" s="20" t="str">
        <f>VLOOKUP(C104,'لیست پرسنل'!$A$1:$E$1004,4,FALSE)</f>
        <v>انبار</v>
      </c>
      <c r="F104" s="20">
        <f>VLOOKUP(C104,'لیست پرسنل'!$A$1:$E$1004,2,FALSE)</f>
        <v>98141</v>
      </c>
      <c r="G104" s="20" t="s">
        <v>1392</v>
      </c>
      <c r="H104" s="20"/>
      <c r="I104" s="20" t="s">
        <v>1565</v>
      </c>
      <c r="J104" s="20" t="s">
        <v>1393</v>
      </c>
      <c r="K104" s="20" t="s">
        <v>1395</v>
      </c>
      <c r="L104" s="20" t="s">
        <v>1116</v>
      </c>
      <c r="M104" s="20"/>
      <c r="N104" s="36"/>
      <c r="O104" s="20"/>
      <c r="P104" s="20"/>
      <c r="Q104" s="20"/>
      <c r="R104" s="20"/>
    </row>
    <row r="105" spans="1:18" ht="24.95" customHeight="1" x14ac:dyDescent="0.25">
      <c r="A105" s="20" t="s">
        <v>1103</v>
      </c>
      <c r="B105" s="20"/>
      <c r="C105" s="20" t="s">
        <v>88</v>
      </c>
      <c r="D105" s="20" t="str">
        <f>VLOOKUP(C105,'لیست پرسنل'!$A$1:$E$1004,3,FALSE)</f>
        <v>فکورصنعت</v>
      </c>
      <c r="E105" s="20" t="str">
        <f>VLOOKUP(C105,'لیست پرسنل'!$A$1:$E$1004,4,FALSE)</f>
        <v>انبار</v>
      </c>
      <c r="F105" s="20">
        <f>VLOOKUP(C105,'لیست پرسنل'!$A$1:$E$1004,2,FALSE)</f>
        <v>98141</v>
      </c>
      <c r="G105" s="20" t="s">
        <v>1392</v>
      </c>
      <c r="H105" s="20"/>
      <c r="I105" s="20" t="s">
        <v>1565</v>
      </c>
      <c r="J105" s="20" t="s">
        <v>1393</v>
      </c>
      <c r="K105" s="20" t="s">
        <v>1395</v>
      </c>
      <c r="L105" s="20" t="s">
        <v>1116</v>
      </c>
      <c r="M105" s="20"/>
      <c r="N105" s="36"/>
      <c r="O105" s="20"/>
      <c r="P105" s="20"/>
      <c r="Q105" s="20"/>
      <c r="R105" s="20"/>
    </row>
    <row r="106" spans="1:18" ht="24.95" customHeight="1" x14ac:dyDescent="0.25">
      <c r="A106" s="20" t="s">
        <v>1103</v>
      </c>
      <c r="B106" s="20"/>
      <c r="C106" s="20" t="s">
        <v>88</v>
      </c>
      <c r="D106" s="20" t="str">
        <f>VLOOKUP(C106,'لیست پرسنل'!$A$1:$E$1004,3,FALSE)</f>
        <v>فکورصنعت</v>
      </c>
      <c r="E106" s="20" t="str">
        <f>VLOOKUP(C106,'لیست پرسنل'!$A$1:$E$1004,4,FALSE)</f>
        <v>انبار</v>
      </c>
      <c r="F106" s="20">
        <f>VLOOKUP(C106,'لیست پرسنل'!$A$1:$E$1004,2,FALSE)</f>
        <v>98141</v>
      </c>
      <c r="G106" s="20" t="s">
        <v>1392</v>
      </c>
      <c r="H106" s="20"/>
      <c r="I106" s="20" t="s">
        <v>1565</v>
      </c>
      <c r="J106" s="20" t="s">
        <v>1393</v>
      </c>
      <c r="K106" s="20" t="s">
        <v>1395</v>
      </c>
      <c r="L106" s="20" t="s">
        <v>1116</v>
      </c>
      <c r="M106" s="20"/>
      <c r="N106" s="36"/>
      <c r="O106" s="20"/>
      <c r="P106" s="20"/>
      <c r="Q106" s="20"/>
      <c r="R106" s="20"/>
    </row>
    <row r="107" spans="1:18" ht="24.95" customHeight="1" x14ac:dyDescent="0.25">
      <c r="A107" s="20" t="s">
        <v>1103</v>
      </c>
      <c r="B107" s="20"/>
      <c r="C107" s="20" t="s">
        <v>88</v>
      </c>
      <c r="D107" s="20" t="str">
        <f>VLOOKUP(C107,'لیست پرسنل'!$A$1:$E$1004,3,FALSE)</f>
        <v>فکورصنعت</v>
      </c>
      <c r="E107" s="20" t="str">
        <f>VLOOKUP(C107,'لیست پرسنل'!$A$1:$E$1004,4,FALSE)</f>
        <v>انبار</v>
      </c>
      <c r="F107" s="20">
        <f>VLOOKUP(C107,'لیست پرسنل'!$A$1:$E$1004,2,FALSE)</f>
        <v>98141</v>
      </c>
      <c r="G107" s="20" t="s">
        <v>1392</v>
      </c>
      <c r="H107" s="20"/>
      <c r="I107" s="20" t="s">
        <v>1565</v>
      </c>
      <c r="J107" s="20" t="s">
        <v>1393</v>
      </c>
      <c r="K107" s="20" t="s">
        <v>1395</v>
      </c>
      <c r="L107" s="20" t="s">
        <v>1116</v>
      </c>
      <c r="M107" s="20"/>
      <c r="N107" s="36"/>
      <c r="O107" s="20"/>
      <c r="P107" s="20"/>
      <c r="Q107" s="20"/>
      <c r="R107" s="20"/>
    </row>
    <row r="108" spans="1:18" ht="24.95" customHeight="1" x14ac:dyDescent="0.25">
      <c r="A108" s="20" t="s">
        <v>1103</v>
      </c>
      <c r="B108" s="20"/>
      <c r="C108" s="20" t="s">
        <v>88</v>
      </c>
      <c r="D108" s="20" t="str">
        <f>VLOOKUP(C108,'لیست پرسنل'!$A$1:$E$1004,3,FALSE)</f>
        <v>فکورصنعت</v>
      </c>
      <c r="E108" s="20" t="str">
        <f>VLOOKUP(C108,'لیست پرسنل'!$A$1:$E$1004,4,FALSE)</f>
        <v>انبار</v>
      </c>
      <c r="F108" s="20">
        <f>VLOOKUP(C108,'لیست پرسنل'!$A$1:$E$1004,2,FALSE)</f>
        <v>98141</v>
      </c>
      <c r="G108" s="20" t="s">
        <v>1392</v>
      </c>
      <c r="H108" s="20"/>
      <c r="I108" s="20" t="s">
        <v>1565</v>
      </c>
      <c r="J108" s="20" t="s">
        <v>1394</v>
      </c>
      <c r="K108" s="20" t="s">
        <v>1395</v>
      </c>
      <c r="L108" s="20" t="s">
        <v>1116</v>
      </c>
      <c r="M108" s="20"/>
      <c r="N108" s="36"/>
      <c r="O108" s="20"/>
      <c r="P108" s="20"/>
      <c r="Q108" s="20"/>
      <c r="R108" s="20"/>
    </row>
    <row r="109" spans="1:18" ht="24.95" customHeight="1" x14ac:dyDescent="0.25">
      <c r="A109" s="20" t="s">
        <v>1103</v>
      </c>
      <c r="B109" s="20"/>
      <c r="C109" s="20" t="s">
        <v>88</v>
      </c>
      <c r="D109" s="20" t="str">
        <f>VLOOKUP(C109,'لیست پرسنل'!$A$1:$E$1004,3,FALSE)</f>
        <v>فکورصنعت</v>
      </c>
      <c r="E109" s="20" t="str">
        <f>VLOOKUP(C109,'لیست پرسنل'!$A$1:$E$1004,4,FALSE)</f>
        <v>انبار</v>
      </c>
      <c r="F109" s="20">
        <f>VLOOKUP(C109,'لیست پرسنل'!$A$1:$E$1004,2,FALSE)</f>
        <v>98141</v>
      </c>
      <c r="G109" s="20" t="s">
        <v>1392</v>
      </c>
      <c r="H109" s="20"/>
      <c r="I109" s="20" t="s">
        <v>1565</v>
      </c>
      <c r="J109" s="20" t="s">
        <v>1394</v>
      </c>
      <c r="K109" s="20" t="s">
        <v>1395</v>
      </c>
      <c r="L109" s="20" t="s">
        <v>1116</v>
      </c>
      <c r="M109" s="20"/>
      <c r="N109" s="36"/>
      <c r="O109" s="20"/>
      <c r="P109" s="20"/>
      <c r="Q109" s="20"/>
      <c r="R109" s="20"/>
    </row>
    <row r="110" spans="1:18" ht="24.95" customHeight="1" x14ac:dyDescent="0.25">
      <c r="A110" s="20" t="s">
        <v>1103</v>
      </c>
      <c r="B110" s="20"/>
      <c r="C110" s="20" t="s">
        <v>88</v>
      </c>
      <c r="D110" s="20" t="str">
        <f>VLOOKUP(C110,'لیست پرسنل'!$A$1:$E$1004,3,FALSE)</f>
        <v>فکورصنعت</v>
      </c>
      <c r="E110" s="20" t="str">
        <f>VLOOKUP(C110,'لیست پرسنل'!$A$1:$E$1004,4,FALSE)</f>
        <v>انبار</v>
      </c>
      <c r="F110" s="20">
        <f>VLOOKUP(C110,'لیست پرسنل'!$A$1:$E$1004,2,FALSE)</f>
        <v>98141</v>
      </c>
      <c r="G110" s="20" t="s">
        <v>1392</v>
      </c>
      <c r="H110" s="20"/>
      <c r="I110" s="20" t="s">
        <v>1565</v>
      </c>
      <c r="J110" s="20" t="s">
        <v>1394</v>
      </c>
      <c r="K110" s="20" t="s">
        <v>1395</v>
      </c>
      <c r="L110" s="20" t="s">
        <v>1116</v>
      </c>
      <c r="M110" s="20"/>
      <c r="N110" s="36"/>
      <c r="O110" s="20"/>
      <c r="P110" s="20"/>
      <c r="Q110" s="20"/>
      <c r="R110" s="20"/>
    </row>
    <row r="111" spans="1:18" ht="24.95" customHeight="1" x14ac:dyDescent="0.25">
      <c r="A111" s="20" t="s">
        <v>1103</v>
      </c>
      <c r="B111" s="20"/>
      <c r="C111" s="20" t="s">
        <v>88</v>
      </c>
      <c r="D111" s="20" t="str">
        <f>VLOOKUP(C111,'لیست پرسنل'!$A$1:$E$1004,3,FALSE)</f>
        <v>فکورصنعت</v>
      </c>
      <c r="E111" s="20" t="str">
        <f>VLOOKUP(C111,'لیست پرسنل'!$A$1:$E$1004,4,FALSE)</f>
        <v>انبار</v>
      </c>
      <c r="F111" s="20">
        <f>VLOOKUP(C111,'لیست پرسنل'!$A$1:$E$1004,2,FALSE)</f>
        <v>98141</v>
      </c>
      <c r="G111" s="20" t="s">
        <v>1392</v>
      </c>
      <c r="H111" s="20"/>
      <c r="I111" s="20" t="s">
        <v>1565</v>
      </c>
      <c r="J111" s="20" t="s">
        <v>1394</v>
      </c>
      <c r="K111" s="20" t="s">
        <v>1395</v>
      </c>
      <c r="L111" s="20" t="s">
        <v>1116</v>
      </c>
      <c r="M111" s="65"/>
      <c r="N111" s="36"/>
      <c r="O111" s="20"/>
      <c r="P111" s="20"/>
      <c r="Q111" s="20"/>
      <c r="R111" s="20"/>
    </row>
    <row r="112" spans="1:18" ht="24.95" customHeight="1" x14ac:dyDescent="0.25">
      <c r="A112" s="20" t="s">
        <v>1103</v>
      </c>
      <c r="B112" s="20"/>
      <c r="C112" s="20" t="s">
        <v>88</v>
      </c>
      <c r="D112" s="20" t="str">
        <f>VLOOKUP(C112,'لیست پرسنل'!$A$1:$E$1004,3,FALSE)</f>
        <v>فکورصنعت</v>
      </c>
      <c r="E112" s="20" t="str">
        <f>VLOOKUP(C112,'لیست پرسنل'!$A$1:$E$1004,4,FALSE)</f>
        <v>انبار</v>
      </c>
      <c r="F112" s="20">
        <f>VLOOKUP(C112,'لیست پرسنل'!$A$1:$E$1004,2,FALSE)</f>
        <v>98141</v>
      </c>
      <c r="G112" s="20" t="s">
        <v>1392</v>
      </c>
      <c r="H112" s="20"/>
      <c r="I112" s="20" t="s">
        <v>1565</v>
      </c>
      <c r="J112" s="20" t="s">
        <v>1394</v>
      </c>
      <c r="K112" s="20" t="s">
        <v>1395</v>
      </c>
      <c r="L112" s="20" t="s">
        <v>1116</v>
      </c>
      <c r="M112" s="20"/>
      <c r="N112" s="36"/>
      <c r="O112" s="20"/>
      <c r="P112" s="20"/>
      <c r="Q112" s="20"/>
      <c r="R112" s="20"/>
    </row>
    <row r="113" spans="1:18" ht="24.95" customHeight="1" x14ac:dyDescent="0.25">
      <c r="A113" s="20" t="s">
        <v>1103</v>
      </c>
      <c r="B113" s="20"/>
      <c r="C113" s="20" t="s">
        <v>88</v>
      </c>
      <c r="D113" s="20" t="str">
        <f>VLOOKUP(C113,'لیست پرسنل'!$A$1:$E$1004,3,FALSE)</f>
        <v>فکورصنعت</v>
      </c>
      <c r="E113" s="20" t="str">
        <f>VLOOKUP(C113,'لیست پرسنل'!$A$1:$E$1004,4,FALSE)</f>
        <v>انبار</v>
      </c>
      <c r="F113" s="20">
        <f>VLOOKUP(C113,'لیست پرسنل'!$A$1:$E$1004,2,FALSE)</f>
        <v>98141</v>
      </c>
      <c r="G113" s="20" t="s">
        <v>1392</v>
      </c>
      <c r="H113" s="20"/>
      <c r="I113" s="20" t="s">
        <v>1565</v>
      </c>
      <c r="J113" s="20" t="s">
        <v>1394</v>
      </c>
      <c r="K113" s="20" t="s">
        <v>1395</v>
      </c>
      <c r="L113" s="20" t="s">
        <v>1116</v>
      </c>
      <c r="M113" s="20"/>
      <c r="N113" s="36"/>
      <c r="O113" s="20"/>
      <c r="P113" s="20"/>
      <c r="Q113" s="20"/>
      <c r="R113" s="20"/>
    </row>
    <row r="114" spans="1:18" ht="24.95" customHeight="1" x14ac:dyDescent="0.25">
      <c r="A114" s="20" t="s">
        <v>1103</v>
      </c>
      <c r="B114" s="20"/>
      <c r="C114" s="20" t="s">
        <v>95</v>
      </c>
      <c r="D114" s="20" t="str">
        <f>VLOOKUP(C114,'لیست پرسنل'!$A$1:$E$1004,3,FALSE)</f>
        <v>فکورصنعت</v>
      </c>
      <c r="E114" s="20" t="str">
        <f>VLOOKUP(C114,'لیست پرسنل'!$A$1:$E$1004,4,FALSE)</f>
        <v>مدیر سایت توسعه</v>
      </c>
      <c r="F114" s="20">
        <f>VLOOKUP(C114,'لیست پرسنل'!$A$1:$E$1004,2,FALSE)</f>
        <v>991101</v>
      </c>
      <c r="G114" s="20" t="s">
        <v>649</v>
      </c>
      <c r="H114" s="20"/>
      <c r="I114" s="20" t="s">
        <v>650</v>
      </c>
      <c r="J114" s="20" t="s">
        <v>507</v>
      </c>
      <c r="K114" s="20" t="s">
        <v>265</v>
      </c>
      <c r="L114" s="21" t="s">
        <v>76</v>
      </c>
      <c r="M114" s="20"/>
      <c r="N114" s="20"/>
      <c r="O114" s="20"/>
      <c r="P114" s="20"/>
      <c r="Q114" s="20"/>
      <c r="R114" s="20"/>
    </row>
    <row r="115" spans="1:18" ht="24.95" customHeight="1" x14ac:dyDescent="0.25">
      <c r="A115" s="20" t="s">
        <v>1119</v>
      </c>
      <c r="B115" s="20"/>
      <c r="C115" s="20" t="s">
        <v>662</v>
      </c>
      <c r="D115" s="20" t="str">
        <f>VLOOKUP(C115,'لیست پرسنل'!$A$1:$E$1004,3,FALSE)</f>
        <v>فکورصنعت</v>
      </c>
      <c r="E115" s="20" t="str">
        <f>VLOOKUP(C115,'لیست پرسنل'!$A$1:$E$1004,4,FALSE)</f>
        <v>مدیر سایت مرکز تحقیقات</v>
      </c>
      <c r="F115" s="20">
        <f>VLOOKUP(C115,'لیست پرسنل'!$A$1:$E$1004,2,FALSE)</f>
        <v>513</v>
      </c>
      <c r="G115" s="20" t="s">
        <v>663</v>
      </c>
      <c r="H115" s="20"/>
      <c r="I115" s="20" t="s">
        <v>650</v>
      </c>
      <c r="J115" s="20" t="s">
        <v>680</v>
      </c>
      <c r="K115" s="20" t="s">
        <v>296</v>
      </c>
      <c r="L115" s="20" t="s">
        <v>76</v>
      </c>
      <c r="M115" s="20"/>
      <c r="N115" s="20"/>
      <c r="O115" s="20"/>
      <c r="P115" s="19" t="s">
        <v>681</v>
      </c>
      <c r="Q115" s="20"/>
      <c r="R115" s="20"/>
    </row>
    <row r="116" spans="1:18" ht="24.95" customHeight="1" x14ac:dyDescent="0.25">
      <c r="A116" s="20" t="s">
        <v>1119</v>
      </c>
      <c r="B116" s="20"/>
      <c r="C116" s="20" t="s">
        <v>40</v>
      </c>
      <c r="D116" s="20" t="str">
        <f>VLOOKUP(C116,'لیست پرسنل'!$A$1:$E$1004,3,FALSE)</f>
        <v>فکورصنعت</v>
      </c>
      <c r="E116" s="20" t="str">
        <f>VLOOKUP(C116,'لیست پرسنل'!$A$1:$E$1004,4,FALSE)</f>
        <v>انبار</v>
      </c>
      <c r="F116" s="20">
        <f>VLOOKUP(C116,'لیست پرسنل'!$A$1:$E$1004,2,FALSE)</f>
        <v>1348</v>
      </c>
      <c r="G116" s="20" t="s">
        <v>1122</v>
      </c>
      <c r="H116" s="20"/>
      <c r="I116" s="20" t="s">
        <v>650</v>
      </c>
      <c r="J116" s="20" t="s">
        <v>1077</v>
      </c>
      <c r="K116" s="20" t="s">
        <v>1078</v>
      </c>
      <c r="L116" s="19" t="s">
        <v>1116</v>
      </c>
      <c r="M116" s="19"/>
      <c r="N116" s="19"/>
      <c r="O116" s="19"/>
      <c r="P116" s="19" t="s">
        <v>1123</v>
      </c>
      <c r="Q116" s="19"/>
      <c r="R116" s="28"/>
    </row>
    <row r="117" spans="1:18" ht="24.95" customHeight="1" x14ac:dyDescent="0.25">
      <c r="A117" s="20" t="s">
        <v>1119</v>
      </c>
      <c r="B117" s="20"/>
      <c r="C117" s="20" t="s">
        <v>40</v>
      </c>
      <c r="D117" s="20" t="str">
        <f>VLOOKUP(C117,'لیست پرسنل'!$A$1:$E$1004,3,FALSE)</f>
        <v>فکورصنعت</v>
      </c>
      <c r="E117" s="20" t="str">
        <f>VLOOKUP(C117,'لیست پرسنل'!$A$1:$E$1004,4,FALSE)</f>
        <v>انبار</v>
      </c>
      <c r="F117" s="20">
        <f>VLOOKUP(C117,'لیست پرسنل'!$A$1:$E$1004,2,FALSE)</f>
        <v>1348</v>
      </c>
      <c r="G117" s="20" t="s">
        <v>1122</v>
      </c>
      <c r="H117" s="20"/>
      <c r="I117" s="20" t="s">
        <v>650</v>
      </c>
      <c r="J117" s="20" t="s">
        <v>1077</v>
      </c>
      <c r="K117" s="20" t="s">
        <v>1079</v>
      </c>
      <c r="L117" s="19" t="s">
        <v>1116</v>
      </c>
      <c r="M117" s="19"/>
      <c r="N117" s="19"/>
      <c r="O117" s="19"/>
      <c r="P117" s="19" t="s">
        <v>1123</v>
      </c>
      <c r="Q117" s="19"/>
      <c r="R117" s="28"/>
    </row>
    <row r="118" spans="1:18" ht="24.95" customHeight="1" x14ac:dyDescent="0.25">
      <c r="A118" s="20" t="s">
        <v>1119</v>
      </c>
      <c r="B118" s="20"/>
      <c r="C118" s="20" t="s">
        <v>40</v>
      </c>
      <c r="D118" s="20" t="str">
        <f>VLOOKUP(C118,'لیست پرسنل'!$A$1:$E$1004,3,FALSE)</f>
        <v>فکورصنعت</v>
      </c>
      <c r="E118" s="20" t="str">
        <f>VLOOKUP(C118,'لیست پرسنل'!$A$1:$E$1004,4,FALSE)</f>
        <v>انبار</v>
      </c>
      <c r="F118" s="20">
        <f>VLOOKUP(C118,'لیست پرسنل'!$A$1:$E$1004,2,FALSE)</f>
        <v>1348</v>
      </c>
      <c r="G118" s="20" t="s">
        <v>1122</v>
      </c>
      <c r="H118" s="20"/>
      <c r="I118" s="20" t="s">
        <v>650</v>
      </c>
      <c r="J118" s="20" t="s">
        <v>1077</v>
      </c>
      <c r="K118" s="20" t="s">
        <v>1080</v>
      </c>
      <c r="L118" s="19" t="s">
        <v>1116</v>
      </c>
      <c r="M118" s="19"/>
      <c r="N118" s="19"/>
      <c r="O118" s="19"/>
      <c r="P118" s="19" t="s">
        <v>1123</v>
      </c>
      <c r="Q118" s="19"/>
      <c r="R118" s="28"/>
    </row>
    <row r="119" spans="1:18" ht="24.95" customHeight="1" x14ac:dyDescent="0.25">
      <c r="A119" s="20" t="s">
        <v>1119</v>
      </c>
      <c r="B119" s="20"/>
      <c r="C119" s="20" t="s">
        <v>40</v>
      </c>
      <c r="D119" s="20" t="str">
        <f>VLOOKUP(C119,'لیست پرسنل'!$A$1:$E$1004,3,FALSE)</f>
        <v>فکورصنعت</v>
      </c>
      <c r="E119" s="20" t="str">
        <f>VLOOKUP(C119,'لیست پرسنل'!$A$1:$E$1004,4,FALSE)</f>
        <v>انبار</v>
      </c>
      <c r="F119" s="20">
        <f>VLOOKUP(C119,'لیست پرسنل'!$A$1:$E$1004,2,FALSE)</f>
        <v>1348</v>
      </c>
      <c r="G119" s="20" t="s">
        <v>1122</v>
      </c>
      <c r="H119" s="20"/>
      <c r="I119" s="20" t="s">
        <v>650</v>
      </c>
      <c r="J119" s="20" t="s">
        <v>1077</v>
      </c>
      <c r="K119" s="20" t="s">
        <v>1082</v>
      </c>
      <c r="L119" s="19" t="s">
        <v>1116</v>
      </c>
      <c r="M119" s="19"/>
      <c r="N119" s="19"/>
      <c r="O119" s="19"/>
      <c r="P119" s="19" t="s">
        <v>1123</v>
      </c>
      <c r="Q119" s="19"/>
      <c r="R119" s="28"/>
    </row>
    <row r="120" spans="1:18" ht="24.95" customHeight="1" x14ac:dyDescent="0.25">
      <c r="A120" s="20" t="s">
        <v>1119</v>
      </c>
      <c r="B120" s="20"/>
      <c r="C120" s="20" t="s">
        <v>40</v>
      </c>
      <c r="D120" s="20" t="str">
        <f>VLOOKUP(C120,'لیست پرسنل'!$A$1:$E$1004,3,FALSE)</f>
        <v>فکورصنعت</v>
      </c>
      <c r="E120" s="20" t="str">
        <f>VLOOKUP(C120,'لیست پرسنل'!$A$1:$E$1004,4,FALSE)</f>
        <v>انبار</v>
      </c>
      <c r="F120" s="20">
        <f>VLOOKUP(C120,'لیست پرسنل'!$A$1:$E$1004,2,FALSE)</f>
        <v>1348</v>
      </c>
      <c r="G120" s="20" t="s">
        <v>1122</v>
      </c>
      <c r="H120" s="20"/>
      <c r="I120" s="20" t="s">
        <v>650</v>
      </c>
      <c r="J120" s="20" t="s">
        <v>1077</v>
      </c>
      <c r="K120" s="20" t="s">
        <v>1085</v>
      </c>
      <c r="L120" s="19" t="s">
        <v>1116</v>
      </c>
      <c r="M120" s="19"/>
      <c r="N120" s="19"/>
      <c r="O120" s="19"/>
      <c r="P120" s="19" t="s">
        <v>1123</v>
      </c>
      <c r="Q120" s="19"/>
      <c r="R120" s="28"/>
    </row>
    <row r="121" spans="1:18" ht="24.95" customHeight="1" x14ac:dyDescent="0.25">
      <c r="A121" s="20" t="s">
        <v>1119</v>
      </c>
      <c r="B121" s="20"/>
      <c r="C121" s="20" t="s">
        <v>40</v>
      </c>
      <c r="D121" s="20" t="str">
        <f>VLOOKUP(C121,'لیست پرسنل'!$A$1:$E$1004,3,FALSE)</f>
        <v>فکورصنعت</v>
      </c>
      <c r="E121" s="20" t="str">
        <f>VLOOKUP(C121,'لیست پرسنل'!$A$1:$E$1004,4,FALSE)</f>
        <v>انبار</v>
      </c>
      <c r="F121" s="20">
        <f>VLOOKUP(C121,'لیست پرسنل'!$A$1:$E$1004,2,FALSE)</f>
        <v>1348</v>
      </c>
      <c r="G121" s="20" t="s">
        <v>1122</v>
      </c>
      <c r="H121" s="20"/>
      <c r="I121" s="20" t="s">
        <v>650</v>
      </c>
      <c r="J121" s="20" t="s">
        <v>1077</v>
      </c>
      <c r="K121" s="20" t="s">
        <v>1088</v>
      </c>
      <c r="L121" s="19" t="s">
        <v>1116</v>
      </c>
      <c r="M121" s="19"/>
      <c r="N121" s="19"/>
      <c r="O121" s="19"/>
      <c r="P121" s="19" t="s">
        <v>1123</v>
      </c>
      <c r="Q121" s="19"/>
      <c r="R121" s="28"/>
    </row>
    <row r="122" spans="1:18" ht="24.95" customHeight="1" x14ac:dyDescent="0.25">
      <c r="A122" s="20" t="s">
        <v>1119</v>
      </c>
      <c r="B122" s="20"/>
      <c r="C122" s="20" t="s">
        <v>40</v>
      </c>
      <c r="D122" s="20" t="str">
        <f>VLOOKUP(C122,'لیست پرسنل'!$A$1:$E$1004,3,FALSE)</f>
        <v>فکورصنعت</v>
      </c>
      <c r="E122" s="20" t="str">
        <f>VLOOKUP(C122,'لیست پرسنل'!$A$1:$E$1004,4,FALSE)</f>
        <v>انبار</v>
      </c>
      <c r="F122" s="20">
        <f>VLOOKUP(C122,'لیست پرسنل'!$A$1:$E$1004,2,FALSE)</f>
        <v>1348</v>
      </c>
      <c r="G122" s="20" t="s">
        <v>1122</v>
      </c>
      <c r="H122" s="20"/>
      <c r="I122" s="20" t="s">
        <v>650</v>
      </c>
      <c r="J122" s="20" t="s">
        <v>1077</v>
      </c>
      <c r="K122" s="20" t="s">
        <v>1089</v>
      </c>
      <c r="L122" s="19" t="s">
        <v>1116</v>
      </c>
      <c r="M122" s="19"/>
      <c r="N122" s="19"/>
      <c r="O122" s="19"/>
      <c r="P122" s="19" t="s">
        <v>1123</v>
      </c>
      <c r="Q122" s="19"/>
      <c r="R122" s="28"/>
    </row>
    <row r="123" spans="1:18" ht="24.95" customHeight="1" x14ac:dyDescent="0.25">
      <c r="A123" s="20" t="s">
        <v>1119</v>
      </c>
      <c r="B123" s="20"/>
      <c r="C123" s="20" t="s">
        <v>40</v>
      </c>
      <c r="D123" s="20" t="str">
        <f>VLOOKUP(C123,'لیست پرسنل'!$A$1:$E$1004,3,FALSE)</f>
        <v>فکورصنعت</v>
      </c>
      <c r="E123" s="20" t="str">
        <f>VLOOKUP(C123,'لیست پرسنل'!$A$1:$E$1004,4,FALSE)</f>
        <v>انبار</v>
      </c>
      <c r="F123" s="20">
        <f>VLOOKUP(C123,'لیست پرسنل'!$A$1:$E$1004,2,FALSE)</f>
        <v>1348</v>
      </c>
      <c r="G123" s="20" t="s">
        <v>1122</v>
      </c>
      <c r="H123" s="20"/>
      <c r="I123" s="20" t="s">
        <v>650</v>
      </c>
      <c r="J123" s="20" t="s">
        <v>1077</v>
      </c>
      <c r="K123" s="20" t="s">
        <v>1090</v>
      </c>
      <c r="L123" s="19" t="s">
        <v>1116</v>
      </c>
      <c r="M123" s="19"/>
      <c r="N123" s="19"/>
      <c r="O123" s="19"/>
      <c r="P123" s="19" t="s">
        <v>1123</v>
      </c>
      <c r="Q123" s="19"/>
      <c r="R123" s="28"/>
    </row>
    <row r="124" spans="1:18" ht="24.95" customHeight="1" x14ac:dyDescent="0.25">
      <c r="A124" s="20" t="s">
        <v>1119</v>
      </c>
      <c r="B124" s="20"/>
      <c r="C124" s="20" t="s">
        <v>40</v>
      </c>
      <c r="D124" s="20" t="str">
        <f>VLOOKUP(C124,'لیست پرسنل'!$A$1:$E$1004,3,FALSE)</f>
        <v>فکورصنعت</v>
      </c>
      <c r="E124" s="20" t="str">
        <f>VLOOKUP(C124,'لیست پرسنل'!$A$1:$E$1004,4,FALSE)</f>
        <v>انبار</v>
      </c>
      <c r="F124" s="20">
        <f>VLOOKUP(C124,'لیست پرسنل'!$A$1:$E$1004,2,FALSE)</f>
        <v>1348</v>
      </c>
      <c r="G124" s="20" t="s">
        <v>1122</v>
      </c>
      <c r="H124" s="20"/>
      <c r="I124" s="20" t="s">
        <v>650</v>
      </c>
      <c r="J124" s="20" t="s">
        <v>1077</v>
      </c>
      <c r="K124" s="20" t="s">
        <v>1091</v>
      </c>
      <c r="L124" s="19" t="s">
        <v>1116</v>
      </c>
      <c r="M124" s="19"/>
      <c r="N124" s="19"/>
      <c r="O124" s="19"/>
      <c r="P124" s="19" t="s">
        <v>1123</v>
      </c>
      <c r="Q124" s="19"/>
      <c r="R124" s="28"/>
    </row>
    <row r="125" spans="1:18" ht="24.95" customHeight="1" x14ac:dyDescent="0.25">
      <c r="A125" s="20" t="s">
        <v>1119</v>
      </c>
      <c r="B125" s="20"/>
      <c r="C125" s="20" t="s">
        <v>40</v>
      </c>
      <c r="D125" s="20" t="str">
        <f>VLOOKUP(C125,'لیست پرسنل'!$A$1:$E$1004,3,FALSE)</f>
        <v>فکورصنعت</v>
      </c>
      <c r="E125" s="20" t="str">
        <f>VLOOKUP(C125,'لیست پرسنل'!$A$1:$E$1004,4,FALSE)</f>
        <v>انبار</v>
      </c>
      <c r="F125" s="20">
        <f>VLOOKUP(C125,'لیست پرسنل'!$A$1:$E$1004,2,FALSE)</f>
        <v>1348</v>
      </c>
      <c r="G125" s="20" t="s">
        <v>1122</v>
      </c>
      <c r="H125" s="20"/>
      <c r="I125" s="20" t="s">
        <v>650</v>
      </c>
      <c r="J125" s="20" t="s">
        <v>1077</v>
      </c>
      <c r="K125" s="20" t="s">
        <v>1092</v>
      </c>
      <c r="L125" s="19" t="s">
        <v>1116</v>
      </c>
      <c r="M125" s="19"/>
      <c r="N125" s="19"/>
      <c r="O125" s="19"/>
      <c r="P125" s="19" t="s">
        <v>1123</v>
      </c>
      <c r="Q125" s="19"/>
      <c r="R125" s="28"/>
    </row>
    <row r="126" spans="1:18" ht="24.95" customHeight="1" x14ac:dyDescent="0.25">
      <c r="A126" s="20" t="s">
        <v>1119</v>
      </c>
      <c r="B126" s="20"/>
      <c r="C126" s="20" t="s">
        <v>40</v>
      </c>
      <c r="D126" s="20" t="str">
        <f>VLOOKUP(C126,'لیست پرسنل'!$A$1:$E$1004,3,FALSE)</f>
        <v>فکورصنعت</v>
      </c>
      <c r="E126" s="20" t="str">
        <f>VLOOKUP(C126,'لیست پرسنل'!$A$1:$E$1004,4,FALSE)</f>
        <v>انبار</v>
      </c>
      <c r="F126" s="20">
        <f>VLOOKUP(C126,'لیست پرسنل'!$A$1:$E$1004,2,FALSE)</f>
        <v>1348</v>
      </c>
      <c r="G126" s="20" t="s">
        <v>1122</v>
      </c>
      <c r="H126" s="20"/>
      <c r="I126" s="20" t="s">
        <v>650</v>
      </c>
      <c r="J126" s="20" t="s">
        <v>1077</v>
      </c>
      <c r="K126" s="20" t="s">
        <v>1095</v>
      </c>
      <c r="L126" s="19" t="s">
        <v>1116</v>
      </c>
      <c r="M126" s="19"/>
      <c r="N126" s="19"/>
      <c r="O126" s="19"/>
      <c r="P126" s="19" t="s">
        <v>1123</v>
      </c>
      <c r="Q126" s="19"/>
      <c r="R126" s="28"/>
    </row>
    <row r="127" spans="1:18" ht="24.95" customHeight="1" x14ac:dyDescent="0.25">
      <c r="A127" s="20" t="s">
        <v>1119</v>
      </c>
      <c r="B127" s="20"/>
      <c r="C127" s="20" t="s">
        <v>40</v>
      </c>
      <c r="D127" s="20" t="str">
        <f>VLOOKUP(C127,'لیست پرسنل'!$A$1:$E$1004,3,FALSE)</f>
        <v>فکورصنعت</v>
      </c>
      <c r="E127" s="20" t="str">
        <f>VLOOKUP(C127,'لیست پرسنل'!$A$1:$E$1004,4,FALSE)</f>
        <v>انبار</v>
      </c>
      <c r="F127" s="20">
        <f>VLOOKUP(C127,'لیست پرسنل'!$A$1:$E$1004,2,FALSE)</f>
        <v>1348</v>
      </c>
      <c r="G127" s="20" t="s">
        <v>1122</v>
      </c>
      <c r="H127" s="20"/>
      <c r="I127" s="20" t="s">
        <v>650</v>
      </c>
      <c r="J127" s="20" t="s">
        <v>1077</v>
      </c>
      <c r="K127" s="20" t="s">
        <v>1096</v>
      </c>
      <c r="L127" s="19" t="s">
        <v>1116</v>
      </c>
      <c r="M127" s="19"/>
      <c r="N127" s="19"/>
      <c r="O127" s="19"/>
      <c r="P127" s="19" t="s">
        <v>1123</v>
      </c>
      <c r="Q127" s="19"/>
      <c r="R127" s="28"/>
    </row>
    <row r="128" spans="1:18" ht="24.95" customHeight="1" x14ac:dyDescent="0.25">
      <c r="A128" s="20" t="s">
        <v>1119</v>
      </c>
      <c r="B128" s="20"/>
      <c r="C128" s="20" t="s">
        <v>40</v>
      </c>
      <c r="D128" s="20" t="str">
        <f>VLOOKUP(C128,'لیست پرسنل'!$A$1:$E$1004,3,FALSE)</f>
        <v>فکورصنعت</v>
      </c>
      <c r="E128" s="20" t="str">
        <f>VLOOKUP(C128,'لیست پرسنل'!$A$1:$E$1004,4,FALSE)</f>
        <v>انبار</v>
      </c>
      <c r="F128" s="20">
        <f>VLOOKUP(C128,'لیست پرسنل'!$A$1:$E$1004,2,FALSE)</f>
        <v>1348</v>
      </c>
      <c r="G128" s="20" t="s">
        <v>1122</v>
      </c>
      <c r="H128" s="20"/>
      <c r="I128" s="20" t="s">
        <v>650</v>
      </c>
      <c r="J128" s="20" t="s">
        <v>1077</v>
      </c>
      <c r="K128" s="20" t="s">
        <v>1087</v>
      </c>
      <c r="L128" s="19" t="s">
        <v>1116</v>
      </c>
      <c r="M128" s="19"/>
      <c r="N128" s="19"/>
      <c r="O128" s="19"/>
      <c r="P128" s="19" t="s">
        <v>1123</v>
      </c>
      <c r="Q128" s="19"/>
      <c r="R128" s="28"/>
    </row>
    <row r="129" spans="1:18" ht="24.95" customHeight="1" x14ac:dyDescent="0.25">
      <c r="A129" s="20" t="s">
        <v>1119</v>
      </c>
      <c r="B129" s="20"/>
      <c r="C129" s="20" t="s">
        <v>40</v>
      </c>
      <c r="D129" s="20" t="str">
        <f>VLOOKUP(C129,'لیست پرسنل'!$A$1:$E$1004,3,FALSE)</f>
        <v>فکورصنعت</v>
      </c>
      <c r="E129" s="20" t="str">
        <f>VLOOKUP(C129,'لیست پرسنل'!$A$1:$E$1004,4,FALSE)</f>
        <v>انبار</v>
      </c>
      <c r="F129" s="20">
        <f>VLOOKUP(C129,'لیست پرسنل'!$A$1:$E$1004,2,FALSE)</f>
        <v>1348</v>
      </c>
      <c r="G129" s="20" t="s">
        <v>1122</v>
      </c>
      <c r="H129" s="20"/>
      <c r="I129" s="20" t="s">
        <v>650</v>
      </c>
      <c r="J129" s="20" t="s">
        <v>1070</v>
      </c>
      <c r="K129" s="20" t="s">
        <v>1071</v>
      </c>
      <c r="L129" s="19" t="s">
        <v>1116</v>
      </c>
      <c r="M129" s="19"/>
      <c r="N129" s="19"/>
      <c r="O129" s="19"/>
      <c r="P129" s="19" t="s">
        <v>1123</v>
      </c>
      <c r="Q129" s="19"/>
      <c r="R129" s="28"/>
    </row>
    <row r="130" spans="1:18" ht="24.95" customHeight="1" x14ac:dyDescent="0.25">
      <c r="A130" s="20" t="s">
        <v>1119</v>
      </c>
      <c r="B130" s="20"/>
      <c r="C130" s="20" t="s">
        <v>40</v>
      </c>
      <c r="D130" s="20" t="str">
        <f>VLOOKUP(C130,'لیست پرسنل'!$A$1:$E$1004,3,FALSE)</f>
        <v>فکورصنعت</v>
      </c>
      <c r="E130" s="20" t="str">
        <f>VLOOKUP(C130,'لیست پرسنل'!$A$1:$E$1004,4,FALSE)</f>
        <v>انبار</v>
      </c>
      <c r="F130" s="20">
        <f>VLOOKUP(C130,'لیست پرسنل'!$A$1:$E$1004,2,FALSE)</f>
        <v>1348</v>
      </c>
      <c r="G130" s="20" t="s">
        <v>1122</v>
      </c>
      <c r="H130" s="20"/>
      <c r="I130" s="20" t="s">
        <v>650</v>
      </c>
      <c r="J130" s="20" t="s">
        <v>1070</v>
      </c>
      <c r="K130" s="20" t="s">
        <v>1073</v>
      </c>
      <c r="L130" s="19" t="s">
        <v>1116</v>
      </c>
      <c r="M130" s="19"/>
      <c r="N130" s="19"/>
      <c r="O130" s="19"/>
      <c r="P130" s="19" t="s">
        <v>1123</v>
      </c>
      <c r="Q130" s="19"/>
      <c r="R130" s="28"/>
    </row>
    <row r="131" spans="1:18" ht="24.95" customHeight="1" x14ac:dyDescent="0.25">
      <c r="A131" s="20" t="s">
        <v>1119</v>
      </c>
      <c r="B131" s="20"/>
      <c r="C131" s="20" t="s">
        <v>40</v>
      </c>
      <c r="D131" s="20" t="str">
        <f>VLOOKUP(C131,'لیست پرسنل'!$A$1:$E$1004,3,FALSE)</f>
        <v>فکورصنعت</v>
      </c>
      <c r="E131" s="20" t="str">
        <f>VLOOKUP(C131,'لیست پرسنل'!$A$1:$E$1004,4,FALSE)</f>
        <v>انبار</v>
      </c>
      <c r="F131" s="20">
        <f>VLOOKUP(C131,'لیست پرسنل'!$A$1:$E$1004,2,FALSE)</f>
        <v>1348</v>
      </c>
      <c r="G131" s="20" t="s">
        <v>1122</v>
      </c>
      <c r="H131" s="20"/>
      <c r="I131" s="20" t="s">
        <v>650</v>
      </c>
      <c r="J131" s="20" t="s">
        <v>1070</v>
      </c>
      <c r="K131" s="20" t="s">
        <v>1074</v>
      </c>
      <c r="L131" s="19" t="s">
        <v>1116</v>
      </c>
      <c r="M131" s="19"/>
      <c r="N131" s="19"/>
      <c r="O131" s="19"/>
      <c r="P131" s="19" t="s">
        <v>1123</v>
      </c>
      <c r="Q131" s="19"/>
      <c r="R131" s="28"/>
    </row>
    <row r="132" spans="1:18" ht="24.95" customHeight="1" x14ac:dyDescent="0.25">
      <c r="A132" s="20" t="s">
        <v>1119</v>
      </c>
      <c r="B132" s="20"/>
      <c r="C132" s="20" t="s">
        <v>40</v>
      </c>
      <c r="D132" s="20" t="str">
        <f>VLOOKUP(C132,'لیست پرسنل'!$A$1:$E$1004,3,FALSE)</f>
        <v>فکورصنعت</v>
      </c>
      <c r="E132" s="20" t="str">
        <f>VLOOKUP(C132,'لیست پرسنل'!$A$1:$E$1004,4,FALSE)</f>
        <v>انبار</v>
      </c>
      <c r="F132" s="20">
        <f>VLOOKUP(C132,'لیست پرسنل'!$A$1:$E$1004,2,FALSE)</f>
        <v>1348</v>
      </c>
      <c r="G132" s="20" t="s">
        <v>1122</v>
      </c>
      <c r="H132" s="20"/>
      <c r="I132" s="20" t="s">
        <v>650</v>
      </c>
      <c r="J132" s="20" t="s">
        <v>1070</v>
      </c>
      <c r="K132" s="20" t="s">
        <v>1075</v>
      </c>
      <c r="L132" s="19" t="s">
        <v>1116</v>
      </c>
      <c r="M132" s="19"/>
      <c r="N132" s="19"/>
      <c r="O132" s="19"/>
      <c r="P132" s="19" t="s">
        <v>1123</v>
      </c>
      <c r="Q132" s="19"/>
      <c r="R132" s="28"/>
    </row>
    <row r="133" spans="1:18" ht="24.95" customHeight="1" x14ac:dyDescent="0.25">
      <c r="A133" s="20" t="s">
        <v>1119</v>
      </c>
      <c r="B133" s="20"/>
      <c r="C133" s="20" t="s">
        <v>40</v>
      </c>
      <c r="D133" s="20" t="str">
        <f>VLOOKUP(C133,'لیست پرسنل'!$A$1:$E$1004,3,FALSE)</f>
        <v>فکورصنعت</v>
      </c>
      <c r="E133" s="20" t="str">
        <f>VLOOKUP(C133,'لیست پرسنل'!$A$1:$E$1004,4,FALSE)</f>
        <v>انبار</v>
      </c>
      <c r="F133" s="20">
        <f>VLOOKUP(C133,'لیست پرسنل'!$A$1:$E$1004,2,FALSE)</f>
        <v>1348</v>
      </c>
      <c r="G133" s="20" t="s">
        <v>1122</v>
      </c>
      <c r="H133" s="20"/>
      <c r="I133" s="20" t="s">
        <v>650</v>
      </c>
      <c r="J133" s="20" t="s">
        <v>1070</v>
      </c>
      <c r="K133" s="20" t="s">
        <v>1083</v>
      </c>
      <c r="L133" s="19" t="s">
        <v>1116</v>
      </c>
      <c r="M133" s="19"/>
      <c r="N133" s="19"/>
      <c r="O133" s="19"/>
      <c r="P133" s="19" t="s">
        <v>1123</v>
      </c>
      <c r="Q133" s="19"/>
      <c r="R133" s="28"/>
    </row>
    <row r="134" spans="1:18" ht="24.95" customHeight="1" x14ac:dyDescent="0.25">
      <c r="A134" s="20" t="s">
        <v>1119</v>
      </c>
      <c r="B134" s="20"/>
      <c r="C134" s="20" t="s">
        <v>40</v>
      </c>
      <c r="D134" s="20" t="str">
        <f>VLOOKUP(C134,'لیست پرسنل'!$A$1:$E$1004,3,FALSE)</f>
        <v>فکورصنعت</v>
      </c>
      <c r="E134" s="20" t="str">
        <f>VLOOKUP(C134,'لیست پرسنل'!$A$1:$E$1004,4,FALSE)</f>
        <v>انبار</v>
      </c>
      <c r="F134" s="20">
        <f>VLOOKUP(C134,'لیست پرسنل'!$A$1:$E$1004,2,FALSE)</f>
        <v>1348</v>
      </c>
      <c r="G134" s="20" t="s">
        <v>1122</v>
      </c>
      <c r="H134" s="20"/>
      <c r="I134" s="20" t="s">
        <v>650</v>
      </c>
      <c r="J134" s="20" t="s">
        <v>1070</v>
      </c>
      <c r="K134" s="20" t="s">
        <v>1084</v>
      </c>
      <c r="L134" s="19" t="s">
        <v>1116</v>
      </c>
      <c r="M134" s="19"/>
      <c r="N134" s="19"/>
      <c r="O134" s="19"/>
      <c r="P134" s="19" t="s">
        <v>1123</v>
      </c>
      <c r="Q134" s="19"/>
      <c r="R134" s="28"/>
    </row>
    <row r="135" spans="1:18" ht="24.95" customHeight="1" x14ac:dyDescent="0.25">
      <c r="A135" s="20" t="s">
        <v>1119</v>
      </c>
      <c r="B135" s="20"/>
      <c r="C135" s="20" t="s">
        <v>40</v>
      </c>
      <c r="D135" s="20" t="str">
        <f>VLOOKUP(C135,'لیست پرسنل'!$A$1:$E$1004,3,FALSE)</f>
        <v>فکورصنعت</v>
      </c>
      <c r="E135" s="20" t="str">
        <f>VLOOKUP(C135,'لیست پرسنل'!$A$1:$E$1004,4,FALSE)</f>
        <v>انبار</v>
      </c>
      <c r="F135" s="20">
        <f>VLOOKUP(C135,'لیست پرسنل'!$A$1:$E$1004,2,FALSE)</f>
        <v>1348</v>
      </c>
      <c r="G135" s="20" t="s">
        <v>1122</v>
      </c>
      <c r="H135" s="20"/>
      <c r="I135" s="20" t="s">
        <v>650</v>
      </c>
      <c r="J135" s="20" t="s">
        <v>1070</v>
      </c>
      <c r="K135" s="20" t="s">
        <v>1097</v>
      </c>
      <c r="L135" s="19" t="s">
        <v>1116</v>
      </c>
      <c r="M135" s="19"/>
      <c r="N135" s="19"/>
      <c r="O135" s="19"/>
      <c r="P135" s="19" t="s">
        <v>1123</v>
      </c>
      <c r="Q135" s="19"/>
      <c r="R135" s="28"/>
    </row>
    <row r="136" spans="1:18" ht="24.95" customHeight="1" x14ac:dyDescent="0.25">
      <c r="A136" s="20" t="s">
        <v>1119</v>
      </c>
      <c r="B136" s="20"/>
      <c r="C136" s="20" t="s">
        <v>40</v>
      </c>
      <c r="D136" s="20" t="str">
        <f>VLOOKUP(C136,'لیست پرسنل'!$A$1:$E$1004,3,FALSE)</f>
        <v>فکورصنعت</v>
      </c>
      <c r="E136" s="20" t="str">
        <f>VLOOKUP(C136,'لیست پرسنل'!$A$1:$E$1004,4,FALSE)</f>
        <v>انبار</v>
      </c>
      <c r="F136" s="20">
        <f>VLOOKUP(C136,'لیست پرسنل'!$A$1:$E$1004,2,FALSE)</f>
        <v>1348</v>
      </c>
      <c r="G136" s="20" t="s">
        <v>1122</v>
      </c>
      <c r="H136" s="20"/>
      <c r="I136" s="20" t="s">
        <v>650</v>
      </c>
      <c r="J136" s="20" t="s">
        <v>1069</v>
      </c>
      <c r="K136" s="20" t="s">
        <v>1068</v>
      </c>
      <c r="L136" s="19" t="s">
        <v>1116</v>
      </c>
      <c r="M136" s="19"/>
      <c r="N136" s="19"/>
      <c r="O136" s="19"/>
      <c r="P136" s="19" t="s">
        <v>1123</v>
      </c>
      <c r="Q136" s="19"/>
      <c r="R136" s="28"/>
    </row>
    <row r="137" spans="1:18" ht="24.95" customHeight="1" x14ac:dyDescent="0.25">
      <c r="A137" s="20" t="s">
        <v>1119</v>
      </c>
      <c r="B137" s="20"/>
      <c r="C137" s="20" t="s">
        <v>40</v>
      </c>
      <c r="D137" s="20" t="str">
        <f>VLOOKUP(C137,'لیست پرسنل'!$A$1:$E$1004,3,FALSE)</f>
        <v>فکورصنعت</v>
      </c>
      <c r="E137" s="20" t="str">
        <f>VLOOKUP(C137,'لیست پرسنل'!$A$1:$E$1004,4,FALSE)</f>
        <v>انبار</v>
      </c>
      <c r="F137" s="20">
        <f>VLOOKUP(C137,'لیست پرسنل'!$A$1:$E$1004,2,FALSE)</f>
        <v>1348</v>
      </c>
      <c r="G137" s="20" t="s">
        <v>1122</v>
      </c>
      <c r="H137" s="20"/>
      <c r="I137" s="20" t="s">
        <v>650</v>
      </c>
      <c r="J137" s="20" t="s">
        <v>1069</v>
      </c>
      <c r="K137" s="20" t="s">
        <v>1072</v>
      </c>
      <c r="L137" s="19" t="s">
        <v>1116</v>
      </c>
      <c r="M137" s="19"/>
      <c r="N137" s="19"/>
      <c r="O137" s="19"/>
      <c r="P137" s="19" t="s">
        <v>1123</v>
      </c>
      <c r="Q137" s="19"/>
      <c r="R137" s="28"/>
    </row>
    <row r="138" spans="1:18" ht="24.95" customHeight="1" x14ac:dyDescent="0.25">
      <c r="A138" s="20" t="s">
        <v>1119</v>
      </c>
      <c r="B138" s="20"/>
      <c r="C138" s="20" t="s">
        <v>40</v>
      </c>
      <c r="D138" s="20" t="str">
        <f>VLOOKUP(C138,'لیست پرسنل'!$A$1:$E$1004,3,FALSE)</f>
        <v>فکورصنعت</v>
      </c>
      <c r="E138" s="20" t="str">
        <f>VLOOKUP(C138,'لیست پرسنل'!$A$1:$E$1004,4,FALSE)</f>
        <v>انبار</v>
      </c>
      <c r="F138" s="20">
        <f>VLOOKUP(C138,'لیست پرسنل'!$A$1:$E$1004,2,FALSE)</f>
        <v>1348</v>
      </c>
      <c r="G138" s="20" t="s">
        <v>1122</v>
      </c>
      <c r="H138" s="20"/>
      <c r="I138" s="20" t="s">
        <v>650</v>
      </c>
      <c r="J138" s="20" t="s">
        <v>1069</v>
      </c>
      <c r="K138" s="20" t="s">
        <v>1076</v>
      </c>
      <c r="L138" s="19" t="s">
        <v>1116</v>
      </c>
      <c r="M138" s="19"/>
      <c r="N138" s="19"/>
      <c r="O138" s="19"/>
      <c r="P138" s="19" t="s">
        <v>1123</v>
      </c>
      <c r="Q138" s="19"/>
      <c r="R138" s="28"/>
    </row>
    <row r="139" spans="1:18" ht="24.95" customHeight="1" x14ac:dyDescent="0.25">
      <c r="A139" s="20" t="s">
        <v>1119</v>
      </c>
      <c r="B139" s="20"/>
      <c r="C139" s="20" t="s">
        <v>40</v>
      </c>
      <c r="D139" s="20" t="str">
        <f>VLOOKUP(C139,'لیست پرسنل'!$A$1:$E$1004,3,FALSE)</f>
        <v>فکورصنعت</v>
      </c>
      <c r="E139" s="20" t="str">
        <f>VLOOKUP(C139,'لیست پرسنل'!$A$1:$E$1004,4,FALSE)</f>
        <v>انبار</v>
      </c>
      <c r="F139" s="20">
        <f>VLOOKUP(C139,'لیست پرسنل'!$A$1:$E$1004,2,FALSE)</f>
        <v>1348</v>
      </c>
      <c r="G139" s="20" t="s">
        <v>1122</v>
      </c>
      <c r="H139" s="20"/>
      <c r="I139" s="20" t="s">
        <v>650</v>
      </c>
      <c r="J139" s="20" t="s">
        <v>1069</v>
      </c>
      <c r="K139" s="20" t="s">
        <v>1081</v>
      </c>
      <c r="L139" s="19" t="s">
        <v>1116</v>
      </c>
      <c r="M139" s="19"/>
      <c r="N139" s="19"/>
      <c r="O139" s="19"/>
      <c r="P139" s="19" t="s">
        <v>1123</v>
      </c>
      <c r="Q139" s="19"/>
      <c r="R139" s="28"/>
    </row>
    <row r="140" spans="1:18" ht="24.95" customHeight="1" x14ac:dyDescent="0.25">
      <c r="A140" s="20" t="s">
        <v>1119</v>
      </c>
      <c r="B140" s="20"/>
      <c r="C140" s="20" t="s">
        <v>40</v>
      </c>
      <c r="D140" s="20" t="str">
        <f>VLOOKUP(C140,'لیست پرسنل'!$A$1:$E$1004,3,FALSE)</f>
        <v>فکورصنعت</v>
      </c>
      <c r="E140" s="20" t="str">
        <f>VLOOKUP(C140,'لیست پرسنل'!$A$1:$E$1004,4,FALSE)</f>
        <v>انبار</v>
      </c>
      <c r="F140" s="20">
        <f>VLOOKUP(C140,'لیست پرسنل'!$A$1:$E$1004,2,FALSE)</f>
        <v>1348</v>
      </c>
      <c r="G140" s="20" t="s">
        <v>1122</v>
      </c>
      <c r="H140" s="20"/>
      <c r="I140" s="20" t="s">
        <v>650</v>
      </c>
      <c r="J140" s="20" t="s">
        <v>1086</v>
      </c>
      <c r="K140" s="20" t="s">
        <v>1087</v>
      </c>
      <c r="L140" s="19" t="s">
        <v>1116</v>
      </c>
      <c r="M140" s="19"/>
      <c r="N140" s="19"/>
      <c r="O140" s="19"/>
      <c r="P140" s="19" t="s">
        <v>1123</v>
      </c>
      <c r="Q140" s="19"/>
      <c r="R140" s="28"/>
    </row>
    <row r="141" spans="1:18" ht="24.95" customHeight="1" x14ac:dyDescent="0.25">
      <c r="A141" s="20" t="s">
        <v>1119</v>
      </c>
      <c r="B141" s="20"/>
      <c r="C141" s="20" t="s">
        <v>40</v>
      </c>
      <c r="D141" s="20" t="str">
        <f>VLOOKUP(C141,'لیست پرسنل'!$A$1:$E$1004,3,FALSE)</f>
        <v>فکورصنعت</v>
      </c>
      <c r="E141" s="20" t="str">
        <f>VLOOKUP(C141,'لیست پرسنل'!$A$1:$E$1004,4,FALSE)</f>
        <v>انبار</v>
      </c>
      <c r="F141" s="20">
        <f>VLOOKUP(C141,'لیست پرسنل'!$A$1:$E$1004,2,FALSE)</f>
        <v>1348</v>
      </c>
      <c r="G141" s="20" t="s">
        <v>1122</v>
      </c>
      <c r="H141" s="20"/>
      <c r="I141" s="20" t="s">
        <v>650</v>
      </c>
      <c r="J141" s="20" t="s">
        <v>1093</v>
      </c>
      <c r="K141" s="20" t="s">
        <v>1094</v>
      </c>
      <c r="L141" s="19" t="s">
        <v>1116</v>
      </c>
      <c r="M141" s="19"/>
      <c r="N141" s="19"/>
      <c r="O141" s="19"/>
      <c r="P141" s="19" t="s">
        <v>1123</v>
      </c>
      <c r="Q141" s="19"/>
      <c r="R141" s="28"/>
    </row>
    <row r="142" spans="1:18" ht="24.95" customHeight="1" x14ac:dyDescent="0.25">
      <c r="A142" s="20" t="s">
        <v>1113</v>
      </c>
      <c r="B142" s="20"/>
      <c r="C142" s="20" t="s">
        <v>357</v>
      </c>
      <c r="D142" s="20" t="str">
        <f>VLOOKUP(C142,'لیست پرسنل'!$A$1:$E$1004,3,FALSE)</f>
        <v>فکورصنعت</v>
      </c>
      <c r="E142" s="20" t="str">
        <f>VLOOKUP(C142,'لیست پرسنل'!$A$1:$E$1004,4,FALSE)</f>
        <v>انبار</v>
      </c>
      <c r="F142" s="20">
        <f>VLOOKUP(C142,'لیست پرسنل'!$A$1:$E$1004,2,FALSE)</f>
        <v>3771</v>
      </c>
      <c r="G142" s="20" t="s">
        <v>1105</v>
      </c>
      <c r="H142" s="20"/>
      <c r="I142" s="20" t="s">
        <v>650</v>
      </c>
      <c r="J142" s="20" t="s">
        <v>1265</v>
      </c>
      <c r="K142" s="20"/>
      <c r="L142" s="21" t="s">
        <v>76</v>
      </c>
      <c r="M142" s="20" t="s">
        <v>1266</v>
      </c>
      <c r="N142" s="20"/>
      <c r="O142" s="20"/>
      <c r="P142" s="28"/>
      <c r="Q142" s="20"/>
      <c r="R142" s="20"/>
    </row>
    <row r="143" spans="1:18" ht="24.95" customHeight="1" x14ac:dyDescent="0.25">
      <c r="A143" s="20" t="s">
        <v>1113</v>
      </c>
      <c r="B143" s="20"/>
      <c r="C143" s="20" t="s">
        <v>357</v>
      </c>
      <c r="D143" s="20" t="str">
        <f>VLOOKUP(C143,'لیست پرسنل'!$A$1:$E$1004,3,FALSE)</f>
        <v>فکورصنعت</v>
      </c>
      <c r="E143" s="20" t="str">
        <f>VLOOKUP(C143,'لیست پرسنل'!$A$1:$E$1004,4,FALSE)</f>
        <v>انبار</v>
      </c>
      <c r="F143" s="20">
        <f>VLOOKUP(C143,'لیست پرسنل'!$A$1:$E$1004,2,FALSE)</f>
        <v>3771</v>
      </c>
      <c r="G143" s="20" t="s">
        <v>1105</v>
      </c>
      <c r="H143" s="20"/>
      <c r="I143" s="20" t="s">
        <v>650</v>
      </c>
      <c r="J143" s="20" t="s">
        <v>1265</v>
      </c>
      <c r="K143" s="20"/>
      <c r="L143" s="21" t="s">
        <v>76</v>
      </c>
      <c r="M143" s="20" t="s">
        <v>1266</v>
      </c>
      <c r="N143" s="20"/>
      <c r="O143" s="20"/>
      <c r="P143" s="28"/>
      <c r="Q143" s="20"/>
      <c r="R143" s="20"/>
    </row>
    <row r="144" spans="1:18" ht="24.95" customHeight="1" x14ac:dyDescent="0.25">
      <c r="A144" s="20" t="s">
        <v>1113</v>
      </c>
      <c r="B144" s="20"/>
      <c r="C144" s="20" t="s">
        <v>357</v>
      </c>
      <c r="D144" s="20" t="str">
        <f>VLOOKUP(C144,'لیست پرسنل'!$A$1:$E$1004,3,FALSE)</f>
        <v>فکورصنعت</v>
      </c>
      <c r="E144" s="20" t="str">
        <f>VLOOKUP(C144,'لیست پرسنل'!$A$1:$E$1004,4,FALSE)</f>
        <v>انبار</v>
      </c>
      <c r="F144" s="20">
        <f>VLOOKUP(C144,'لیست پرسنل'!$A$1:$E$1004,2,FALSE)</f>
        <v>3771</v>
      </c>
      <c r="G144" s="20" t="s">
        <v>1105</v>
      </c>
      <c r="H144" s="20"/>
      <c r="I144" s="20" t="s">
        <v>650</v>
      </c>
      <c r="J144" s="20" t="s">
        <v>1265</v>
      </c>
      <c r="K144" s="20"/>
      <c r="L144" s="21" t="s">
        <v>76</v>
      </c>
      <c r="M144" s="20" t="s">
        <v>1266</v>
      </c>
      <c r="N144" s="20"/>
      <c r="O144" s="20"/>
      <c r="P144" s="28"/>
      <c r="Q144" s="20"/>
      <c r="R144" s="20"/>
    </row>
    <row r="145" spans="1:18" ht="24.95" customHeight="1" x14ac:dyDescent="0.25">
      <c r="A145" s="20" t="s">
        <v>1113</v>
      </c>
      <c r="B145" s="20"/>
      <c r="C145" s="20" t="s">
        <v>357</v>
      </c>
      <c r="D145" s="20" t="str">
        <f>VLOOKUP(C145,'لیست پرسنل'!$A$1:$E$1004,3,FALSE)</f>
        <v>فکورصنعت</v>
      </c>
      <c r="E145" s="20" t="str">
        <f>VLOOKUP(C145,'لیست پرسنل'!$A$1:$E$1004,4,FALSE)</f>
        <v>انبار</v>
      </c>
      <c r="F145" s="20">
        <f>VLOOKUP(C145,'لیست پرسنل'!$A$1:$E$1004,2,FALSE)</f>
        <v>3771</v>
      </c>
      <c r="G145" s="20" t="s">
        <v>1105</v>
      </c>
      <c r="H145" s="20"/>
      <c r="I145" s="20" t="s">
        <v>650</v>
      </c>
      <c r="J145" s="20" t="s">
        <v>1265</v>
      </c>
      <c r="K145" s="20"/>
      <c r="L145" s="21" t="s">
        <v>76</v>
      </c>
      <c r="M145" s="20" t="s">
        <v>1266</v>
      </c>
      <c r="N145" s="20"/>
      <c r="O145" s="20"/>
      <c r="P145" s="28"/>
      <c r="Q145" s="20"/>
      <c r="R145" s="20"/>
    </row>
    <row r="146" spans="1:18" ht="24.95" customHeight="1" x14ac:dyDescent="0.25">
      <c r="A146" s="20" t="s">
        <v>1113</v>
      </c>
      <c r="B146" s="20"/>
      <c r="C146" s="20" t="s">
        <v>357</v>
      </c>
      <c r="D146" s="20" t="str">
        <f>VLOOKUP(C146,'لیست پرسنل'!$A$1:$E$1004,3,FALSE)</f>
        <v>فکورصنعت</v>
      </c>
      <c r="E146" s="20" t="str">
        <f>VLOOKUP(C146,'لیست پرسنل'!$A$1:$E$1004,4,FALSE)</f>
        <v>انبار</v>
      </c>
      <c r="F146" s="20">
        <f>VLOOKUP(C146,'لیست پرسنل'!$A$1:$E$1004,2,FALSE)</f>
        <v>3771</v>
      </c>
      <c r="G146" s="20" t="s">
        <v>1105</v>
      </c>
      <c r="H146" s="20"/>
      <c r="I146" s="20" t="s">
        <v>650</v>
      </c>
      <c r="J146" s="20" t="s">
        <v>1265</v>
      </c>
      <c r="K146" s="20"/>
      <c r="L146" s="21" t="s">
        <v>76</v>
      </c>
      <c r="M146" s="20" t="s">
        <v>1266</v>
      </c>
      <c r="N146" s="20"/>
      <c r="O146" s="20"/>
      <c r="P146" s="28"/>
      <c r="Q146" s="20"/>
      <c r="R146" s="20"/>
    </row>
    <row r="147" spans="1:18" ht="24.95" customHeight="1" x14ac:dyDescent="0.25">
      <c r="A147" s="20" t="s">
        <v>1113</v>
      </c>
      <c r="B147" s="20"/>
      <c r="C147" s="20" t="s">
        <v>357</v>
      </c>
      <c r="D147" s="20" t="str">
        <f>VLOOKUP(C147,'لیست پرسنل'!$A$1:$E$1004,3,FALSE)</f>
        <v>فکورصنعت</v>
      </c>
      <c r="E147" s="20" t="str">
        <f>VLOOKUP(C147,'لیست پرسنل'!$A$1:$E$1004,4,FALSE)</f>
        <v>انبار</v>
      </c>
      <c r="F147" s="20">
        <f>VLOOKUP(C147,'لیست پرسنل'!$A$1:$E$1004,2,FALSE)</f>
        <v>3771</v>
      </c>
      <c r="G147" s="20" t="s">
        <v>1105</v>
      </c>
      <c r="H147" s="20"/>
      <c r="I147" s="20" t="s">
        <v>650</v>
      </c>
      <c r="J147" s="20" t="s">
        <v>1265</v>
      </c>
      <c r="K147" s="20"/>
      <c r="L147" s="21" t="s">
        <v>76</v>
      </c>
      <c r="M147" s="20" t="s">
        <v>1266</v>
      </c>
      <c r="N147" s="20"/>
      <c r="O147" s="20"/>
      <c r="P147" s="28"/>
      <c r="Q147" s="20"/>
      <c r="R147" s="20"/>
    </row>
    <row r="148" spans="1:18" ht="24.95" customHeight="1" x14ac:dyDescent="0.25">
      <c r="A148" s="20" t="s">
        <v>1113</v>
      </c>
      <c r="B148" s="20"/>
      <c r="C148" s="20" t="s">
        <v>357</v>
      </c>
      <c r="D148" s="20" t="str">
        <f>VLOOKUP(C148,'لیست پرسنل'!$A$1:$E$1004,3,FALSE)</f>
        <v>فکورصنعت</v>
      </c>
      <c r="E148" s="20" t="str">
        <f>VLOOKUP(C148,'لیست پرسنل'!$A$1:$E$1004,4,FALSE)</f>
        <v>انبار</v>
      </c>
      <c r="F148" s="20">
        <f>VLOOKUP(C148,'لیست پرسنل'!$A$1:$E$1004,2,FALSE)</f>
        <v>3771</v>
      </c>
      <c r="G148" s="20" t="s">
        <v>1105</v>
      </c>
      <c r="H148" s="20"/>
      <c r="I148" s="20" t="s">
        <v>650</v>
      </c>
      <c r="J148" s="20" t="s">
        <v>1265</v>
      </c>
      <c r="K148" s="20"/>
      <c r="L148" s="21" t="s">
        <v>76</v>
      </c>
      <c r="M148" s="20" t="s">
        <v>1266</v>
      </c>
      <c r="N148" s="20"/>
      <c r="O148" s="20"/>
      <c r="P148" s="28"/>
      <c r="Q148" s="20"/>
      <c r="R148" s="20"/>
    </row>
    <row r="149" spans="1:18" ht="24.95" customHeight="1" x14ac:dyDescent="0.25">
      <c r="A149" s="20" t="s">
        <v>1113</v>
      </c>
      <c r="B149" s="20"/>
      <c r="C149" s="20" t="s">
        <v>357</v>
      </c>
      <c r="D149" s="20" t="str">
        <f>VLOOKUP(C149,'لیست پرسنل'!$A$1:$E$1004,3,FALSE)</f>
        <v>فکورصنعت</v>
      </c>
      <c r="E149" s="20" t="str">
        <f>VLOOKUP(C149,'لیست پرسنل'!$A$1:$E$1004,4,FALSE)</f>
        <v>انبار</v>
      </c>
      <c r="F149" s="20">
        <f>VLOOKUP(C149,'لیست پرسنل'!$A$1:$E$1004,2,FALSE)</f>
        <v>3771</v>
      </c>
      <c r="G149" s="20" t="s">
        <v>1105</v>
      </c>
      <c r="H149" s="20"/>
      <c r="I149" s="20" t="s">
        <v>650</v>
      </c>
      <c r="J149" s="20" t="s">
        <v>1265</v>
      </c>
      <c r="K149" s="20"/>
      <c r="L149" s="21" t="s">
        <v>76</v>
      </c>
      <c r="M149" s="20" t="s">
        <v>1266</v>
      </c>
      <c r="N149" s="20"/>
      <c r="O149" s="20"/>
      <c r="P149" s="28"/>
      <c r="Q149" s="20"/>
      <c r="R149" s="20"/>
    </row>
    <row r="150" spans="1:18" ht="24.95" customHeight="1" x14ac:dyDescent="0.25">
      <c r="A150" s="20" t="s">
        <v>1113</v>
      </c>
      <c r="B150" s="20"/>
      <c r="C150" s="20" t="s">
        <v>357</v>
      </c>
      <c r="D150" s="20" t="str">
        <f>VLOOKUP(C150,'لیست پرسنل'!$A$1:$E$1004,3,FALSE)</f>
        <v>فکورصنعت</v>
      </c>
      <c r="E150" s="20" t="str">
        <f>VLOOKUP(C150,'لیست پرسنل'!$A$1:$E$1004,4,FALSE)</f>
        <v>انبار</v>
      </c>
      <c r="F150" s="20">
        <f>VLOOKUP(C150,'لیست پرسنل'!$A$1:$E$1004,2,FALSE)</f>
        <v>3771</v>
      </c>
      <c r="G150" s="20" t="s">
        <v>1105</v>
      </c>
      <c r="H150" s="20"/>
      <c r="I150" s="20" t="s">
        <v>650</v>
      </c>
      <c r="J150" s="20" t="s">
        <v>1265</v>
      </c>
      <c r="K150" s="20"/>
      <c r="L150" s="21" t="s">
        <v>76</v>
      </c>
      <c r="M150" s="20" t="s">
        <v>1266</v>
      </c>
      <c r="N150" s="20"/>
      <c r="O150" s="20"/>
      <c r="P150" s="28"/>
      <c r="Q150" s="20"/>
      <c r="R150" s="20"/>
    </row>
    <row r="151" spans="1:18" ht="24.95" customHeight="1" x14ac:dyDescent="0.25">
      <c r="A151" s="20" t="s">
        <v>1113</v>
      </c>
      <c r="B151" s="20"/>
      <c r="C151" s="20" t="s">
        <v>357</v>
      </c>
      <c r="D151" s="20" t="str">
        <f>VLOOKUP(C151,'لیست پرسنل'!$A$1:$E$1004,3,FALSE)</f>
        <v>فکورصنعت</v>
      </c>
      <c r="E151" s="20" t="str">
        <f>VLOOKUP(C151,'لیست پرسنل'!$A$1:$E$1004,4,FALSE)</f>
        <v>انبار</v>
      </c>
      <c r="F151" s="20">
        <f>VLOOKUP(C151,'لیست پرسنل'!$A$1:$E$1004,2,FALSE)</f>
        <v>3771</v>
      </c>
      <c r="G151" s="20" t="s">
        <v>1105</v>
      </c>
      <c r="H151" s="20"/>
      <c r="I151" s="20" t="s">
        <v>650</v>
      </c>
      <c r="J151" s="20" t="s">
        <v>1265</v>
      </c>
      <c r="K151" s="20"/>
      <c r="L151" s="21" t="s">
        <v>76</v>
      </c>
      <c r="M151" s="20" t="s">
        <v>1266</v>
      </c>
      <c r="N151" s="20"/>
      <c r="O151" s="20"/>
      <c r="P151" s="28"/>
      <c r="Q151" s="20"/>
      <c r="R151" s="20"/>
    </row>
    <row r="152" spans="1:18" ht="24.95" customHeight="1" x14ac:dyDescent="0.25">
      <c r="A152" s="20" t="s">
        <v>1400</v>
      </c>
      <c r="B152" s="20"/>
      <c r="C152" s="20" t="s">
        <v>1403</v>
      </c>
      <c r="D152" s="20" t="str">
        <f>VLOOKUP(C152,'لیست پرسنل'!$A$1:$E$1004,3,FALSE)</f>
        <v>فکورصنعت</v>
      </c>
      <c r="E152" s="20">
        <f>VLOOKUP(C152,'لیست پرسنل'!$A$1:$E$1004,4,FALSE)</f>
        <v>0</v>
      </c>
      <c r="F152" s="20" t="str">
        <f>VLOOKUP(C152,'لیست پرسنل'!$A$1:$E$1004,2,FALSE)</f>
        <v>4020404</v>
      </c>
      <c r="G152" s="20" t="s">
        <v>1538</v>
      </c>
      <c r="H152" s="20"/>
      <c r="I152" s="20" t="s">
        <v>650</v>
      </c>
      <c r="J152" s="20" t="s">
        <v>1406</v>
      </c>
      <c r="K152" s="20" t="s">
        <v>1407</v>
      </c>
      <c r="L152" s="20" t="s">
        <v>1116</v>
      </c>
      <c r="M152" s="32"/>
      <c r="N152" s="20"/>
      <c r="O152" s="20"/>
      <c r="P152" s="20"/>
      <c r="Q152" s="20"/>
      <c r="R152" s="20"/>
    </row>
    <row r="153" spans="1:18" ht="24.95" customHeight="1" x14ac:dyDescent="0.25">
      <c r="A153" s="20" t="s">
        <v>1400</v>
      </c>
      <c r="B153" s="20"/>
      <c r="C153" s="20" t="s">
        <v>1403</v>
      </c>
      <c r="D153" s="20" t="str">
        <f>VLOOKUP(C153,'لیست پرسنل'!$A$1:$E$1004,3,FALSE)</f>
        <v>فکورصنعت</v>
      </c>
      <c r="E153" s="20">
        <f>VLOOKUP(C153,'لیست پرسنل'!$A$1:$E$1004,4,FALSE)</f>
        <v>0</v>
      </c>
      <c r="F153" s="20" t="str">
        <f>VLOOKUP(C153,'لیست پرسنل'!$A$1:$E$1004,2,FALSE)</f>
        <v>4020404</v>
      </c>
      <c r="G153" s="20" t="s">
        <v>1538</v>
      </c>
      <c r="H153" s="20"/>
      <c r="I153" s="20" t="s">
        <v>650</v>
      </c>
      <c r="J153" s="20" t="s">
        <v>1406</v>
      </c>
      <c r="K153" s="20" t="s">
        <v>1408</v>
      </c>
      <c r="L153" s="20" t="s">
        <v>1116</v>
      </c>
      <c r="M153" s="32"/>
      <c r="N153" s="20"/>
      <c r="O153" s="20"/>
      <c r="P153" s="20"/>
      <c r="Q153" s="20"/>
      <c r="R153" s="20"/>
    </row>
    <row r="154" spans="1:18" ht="24.95" customHeight="1" x14ac:dyDescent="0.25">
      <c r="A154" s="20" t="s">
        <v>1400</v>
      </c>
      <c r="B154" s="20"/>
      <c r="C154" s="20" t="s">
        <v>1403</v>
      </c>
      <c r="D154" s="20" t="str">
        <f>VLOOKUP(C154,'لیست پرسنل'!$A$1:$E$1004,3,FALSE)</f>
        <v>فکورصنعت</v>
      </c>
      <c r="E154" s="20">
        <f>VLOOKUP(C154,'لیست پرسنل'!$A$1:$E$1004,4,FALSE)</f>
        <v>0</v>
      </c>
      <c r="F154" s="20" t="str">
        <f>VLOOKUP(C154,'لیست پرسنل'!$A$1:$E$1004,2,FALSE)</f>
        <v>4020404</v>
      </c>
      <c r="G154" s="20" t="s">
        <v>1538</v>
      </c>
      <c r="H154" s="20"/>
      <c r="I154" s="20" t="s">
        <v>650</v>
      </c>
      <c r="J154" s="20" t="s">
        <v>1406</v>
      </c>
      <c r="K154" s="20" t="s">
        <v>1409</v>
      </c>
      <c r="L154" s="20" t="s">
        <v>1116</v>
      </c>
      <c r="M154" s="32"/>
      <c r="N154" s="20"/>
      <c r="O154" s="20"/>
      <c r="P154" s="20"/>
      <c r="Q154" s="20"/>
      <c r="R154" s="20"/>
    </row>
    <row r="155" spans="1:18" ht="24.95" customHeight="1" x14ac:dyDescent="0.25">
      <c r="A155" s="20" t="s">
        <v>1400</v>
      </c>
      <c r="B155" s="20"/>
      <c r="C155" s="20" t="s">
        <v>1403</v>
      </c>
      <c r="D155" s="20" t="str">
        <f>VLOOKUP(C155,'لیست پرسنل'!$A$1:$E$1004,3,FALSE)</f>
        <v>فکورصنعت</v>
      </c>
      <c r="E155" s="20">
        <f>VLOOKUP(C155,'لیست پرسنل'!$A$1:$E$1004,4,FALSE)</f>
        <v>0</v>
      </c>
      <c r="F155" s="20" t="str">
        <f>VLOOKUP(C155,'لیست پرسنل'!$A$1:$E$1004,2,FALSE)</f>
        <v>4020404</v>
      </c>
      <c r="G155" s="20" t="s">
        <v>1538</v>
      </c>
      <c r="H155" s="20"/>
      <c r="I155" s="20" t="s">
        <v>650</v>
      </c>
      <c r="J155" s="20" t="s">
        <v>1406</v>
      </c>
      <c r="K155" s="20" t="s">
        <v>1410</v>
      </c>
      <c r="L155" s="20" t="s">
        <v>1116</v>
      </c>
      <c r="M155" s="32"/>
      <c r="N155" s="20"/>
      <c r="O155" s="20"/>
      <c r="P155" s="20"/>
      <c r="Q155" s="20"/>
      <c r="R155" s="20"/>
    </row>
    <row r="156" spans="1:18" ht="24.95" customHeight="1" x14ac:dyDescent="0.25">
      <c r="A156" s="20" t="s">
        <v>1400</v>
      </c>
      <c r="B156" s="20"/>
      <c r="C156" s="20" t="s">
        <v>1403</v>
      </c>
      <c r="D156" s="20" t="str">
        <f>VLOOKUP(C156,'لیست پرسنل'!$A$1:$E$1004,3,FALSE)</f>
        <v>فکورصنعت</v>
      </c>
      <c r="E156" s="20">
        <f>VLOOKUP(C156,'لیست پرسنل'!$A$1:$E$1004,4,FALSE)</f>
        <v>0</v>
      </c>
      <c r="F156" s="20" t="str">
        <f>VLOOKUP(C156,'لیست پرسنل'!$A$1:$E$1004,2,FALSE)</f>
        <v>4020404</v>
      </c>
      <c r="G156" s="20" t="s">
        <v>1538</v>
      </c>
      <c r="H156" s="20"/>
      <c r="I156" s="20" t="s">
        <v>650</v>
      </c>
      <c r="J156" s="20" t="s">
        <v>1406</v>
      </c>
      <c r="K156" s="20" t="s">
        <v>1411</v>
      </c>
      <c r="L156" s="20" t="s">
        <v>1116</v>
      </c>
      <c r="M156" s="32"/>
      <c r="N156" s="20"/>
      <c r="O156" s="20"/>
      <c r="P156" s="20"/>
      <c r="Q156" s="20"/>
      <c r="R156" s="20"/>
    </row>
    <row r="157" spans="1:18" ht="24.95" customHeight="1" x14ac:dyDescent="0.25">
      <c r="A157" s="20" t="s">
        <v>1400</v>
      </c>
      <c r="B157" s="20"/>
      <c r="C157" s="20" t="s">
        <v>1403</v>
      </c>
      <c r="D157" s="20" t="str">
        <f>VLOOKUP(C157,'لیست پرسنل'!$A$1:$E$1004,3,FALSE)</f>
        <v>فکورصنعت</v>
      </c>
      <c r="E157" s="20">
        <f>VLOOKUP(C157,'لیست پرسنل'!$A$1:$E$1004,4,FALSE)</f>
        <v>0</v>
      </c>
      <c r="F157" s="20" t="str">
        <f>VLOOKUP(C157,'لیست پرسنل'!$A$1:$E$1004,2,FALSE)</f>
        <v>4020404</v>
      </c>
      <c r="G157" s="20" t="s">
        <v>1538</v>
      </c>
      <c r="H157" s="20"/>
      <c r="I157" s="20" t="s">
        <v>650</v>
      </c>
      <c r="J157" s="20" t="s">
        <v>1406</v>
      </c>
      <c r="K157" s="20" t="s">
        <v>1412</v>
      </c>
      <c r="L157" s="20" t="s">
        <v>1116</v>
      </c>
      <c r="M157" s="32"/>
      <c r="N157" s="20"/>
      <c r="O157" s="20"/>
      <c r="P157" s="20"/>
      <c r="Q157" s="20"/>
      <c r="R157" s="20"/>
    </row>
    <row r="158" spans="1:18" ht="24.95" customHeight="1" x14ac:dyDescent="0.25">
      <c r="A158" s="20" t="s">
        <v>1400</v>
      </c>
      <c r="B158" s="20"/>
      <c r="C158" s="20" t="s">
        <v>1403</v>
      </c>
      <c r="D158" s="20" t="str">
        <f>VLOOKUP(C158,'لیست پرسنل'!$A$1:$E$1004,3,FALSE)</f>
        <v>فکورصنعت</v>
      </c>
      <c r="E158" s="20">
        <f>VLOOKUP(C158,'لیست پرسنل'!$A$1:$E$1004,4,FALSE)</f>
        <v>0</v>
      </c>
      <c r="F158" s="20" t="str">
        <f>VLOOKUP(C158,'لیست پرسنل'!$A$1:$E$1004,2,FALSE)</f>
        <v>4020404</v>
      </c>
      <c r="G158" s="20" t="s">
        <v>1538</v>
      </c>
      <c r="H158" s="20"/>
      <c r="I158" s="20" t="s">
        <v>650</v>
      </c>
      <c r="J158" s="20" t="s">
        <v>1406</v>
      </c>
      <c r="K158" s="20" t="s">
        <v>1413</v>
      </c>
      <c r="L158" s="20" t="s">
        <v>1116</v>
      </c>
      <c r="M158" s="32"/>
      <c r="N158" s="20"/>
      <c r="O158" s="20"/>
      <c r="P158" s="20"/>
      <c r="Q158" s="20"/>
      <c r="R158" s="20"/>
    </row>
    <row r="159" spans="1:18" ht="24.95" customHeight="1" x14ac:dyDescent="0.25">
      <c r="A159" s="20" t="s">
        <v>1400</v>
      </c>
      <c r="B159" s="20"/>
      <c r="C159" s="20" t="s">
        <v>1403</v>
      </c>
      <c r="D159" s="20" t="str">
        <f>VLOOKUP(C159,'لیست پرسنل'!$A$1:$E$1004,3,FALSE)</f>
        <v>فکورصنعت</v>
      </c>
      <c r="E159" s="20">
        <f>VLOOKUP(C159,'لیست پرسنل'!$A$1:$E$1004,4,FALSE)</f>
        <v>0</v>
      </c>
      <c r="F159" s="20" t="str">
        <f>VLOOKUP(C159,'لیست پرسنل'!$A$1:$E$1004,2,FALSE)</f>
        <v>4020404</v>
      </c>
      <c r="G159" s="20" t="s">
        <v>1538</v>
      </c>
      <c r="H159" s="20"/>
      <c r="I159" s="20" t="s">
        <v>650</v>
      </c>
      <c r="J159" s="20" t="s">
        <v>1406</v>
      </c>
      <c r="K159" s="20" t="s">
        <v>1414</v>
      </c>
      <c r="L159" s="20" t="s">
        <v>1116</v>
      </c>
      <c r="M159" s="32"/>
      <c r="N159" s="20"/>
      <c r="O159" s="20"/>
      <c r="P159" s="20"/>
      <c r="Q159" s="20"/>
      <c r="R159" s="20"/>
    </row>
    <row r="160" spans="1:18" ht="24.95" customHeight="1" x14ac:dyDescent="0.25">
      <c r="A160" s="20" t="s">
        <v>1118</v>
      </c>
      <c r="B160" s="20"/>
      <c r="C160" s="20" t="s">
        <v>918</v>
      </c>
      <c r="D160" s="20" t="e">
        <f>VLOOKUP(C160,'لیست پرسنل'!$A$1:$E$1004,3,FALSE)</f>
        <v>#N/A</v>
      </c>
      <c r="E160" s="20" t="e">
        <f>VLOOKUP(C160,'لیست پرسنل'!$A$1:$E$1004,4,FALSE)</f>
        <v>#N/A</v>
      </c>
      <c r="F160" s="20" t="e">
        <f>VLOOKUP(C160,'لیست پرسنل'!$A$1:$E$1004,2,FALSE)</f>
        <v>#N/A</v>
      </c>
      <c r="G160" s="20" t="s">
        <v>923</v>
      </c>
      <c r="H160" s="20"/>
      <c r="I160" s="20" t="s">
        <v>650</v>
      </c>
      <c r="J160" s="20" t="s">
        <v>1251</v>
      </c>
      <c r="K160" s="19" t="s">
        <v>1695</v>
      </c>
      <c r="L160" s="19" t="s">
        <v>76</v>
      </c>
      <c r="M160" s="19"/>
      <c r="N160" s="20" t="s">
        <v>1651</v>
      </c>
      <c r="O160" s="20" t="s">
        <v>551</v>
      </c>
      <c r="P160" s="19" t="s">
        <v>1670</v>
      </c>
      <c r="Q160" s="32"/>
      <c r="R160" s="32"/>
    </row>
    <row r="161" spans="1:18" ht="24.95" customHeight="1" x14ac:dyDescent="0.25">
      <c r="A161" s="20" t="s">
        <v>1118</v>
      </c>
      <c r="B161" s="20"/>
      <c r="C161" s="20" t="s">
        <v>918</v>
      </c>
      <c r="D161" s="20" t="e">
        <f>VLOOKUP(C161,'لیست پرسنل'!$A$1:$E$1004,3,FALSE)</f>
        <v>#N/A</v>
      </c>
      <c r="E161" s="20" t="e">
        <f>VLOOKUP(C161,'لیست پرسنل'!$A$1:$E$1004,4,FALSE)</f>
        <v>#N/A</v>
      </c>
      <c r="F161" s="20" t="e">
        <f>VLOOKUP(C161,'لیست پرسنل'!$A$1:$E$1004,2,FALSE)</f>
        <v>#N/A</v>
      </c>
      <c r="G161" s="20" t="s">
        <v>923</v>
      </c>
      <c r="H161" s="20"/>
      <c r="I161" s="66" t="s">
        <v>650</v>
      </c>
      <c r="J161" s="20" t="s">
        <v>1251</v>
      </c>
      <c r="K161" s="19" t="s">
        <v>1695</v>
      </c>
      <c r="L161" s="19" t="s">
        <v>76</v>
      </c>
      <c r="M161" s="19"/>
      <c r="N161" s="20" t="s">
        <v>1651</v>
      </c>
      <c r="O161" s="20" t="s">
        <v>551</v>
      </c>
      <c r="P161" s="19" t="s">
        <v>1661</v>
      </c>
      <c r="Q161" s="32"/>
      <c r="R161" s="32"/>
    </row>
    <row r="162" spans="1:18" ht="24.95" customHeight="1" x14ac:dyDescent="0.25">
      <c r="A162" s="20" t="s">
        <v>1118</v>
      </c>
      <c r="B162" s="20"/>
      <c r="C162" s="20" t="s">
        <v>918</v>
      </c>
      <c r="D162" s="20" t="e">
        <f>VLOOKUP(C162,'لیست پرسنل'!$A$1:$E$1004,3,FALSE)</f>
        <v>#N/A</v>
      </c>
      <c r="E162" s="20" t="e">
        <f>VLOOKUP(C162,'لیست پرسنل'!$A$1:$E$1004,4,FALSE)</f>
        <v>#N/A</v>
      </c>
      <c r="F162" s="20" t="e">
        <f>VLOOKUP(C162,'لیست پرسنل'!$A$1:$E$1004,2,FALSE)</f>
        <v>#N/A</v>
      </c>
      <c r="G162" s="20" t="s">
        <v>923</v>
      </c>
      <c r="H162" s="20"/>
      <c r="I162" s="20" t="s">
        <v>650</v>
      </c>
      <c r="J162" s="20" t="s">
        <v>1251</v>
      </c>
      <c r="K162" s="19" t="s">
        <v>1695</v>
      </c>
      <c r="L162" s="19" t="s">
        <v>76</v>
      </c>
      <c r="M162" s="19"/>
      <c r="N162" s="20" t="s">
        <v>1651</v>
      </c>
      <c r="O162" s="20" t="s">
        <v>551</v>
      </c>
      <c r="P162" s="19" t="s">
        <v>1663</v>
      </c>
      <c r="Q162" s="32"/>
      <c r="R162" s="32"/>
    </row>
    <row r="163" spans="1:18" ht="24.95" customHeight="1" x14ac:dyDescent="0.25">
      <c r="A163" s="20" t="s">
        <v>1118</v>
      </c>
      <c r="B163" s="20"/>
      <c r="C163" s="20" t="s">
        <v>918</v>
      </c>
      <c r="D163" s="20" t="e">
        <f>VLOOKUP(C163,'لیست پرسنل'!$A$1:$E$1004,3,FALSE)</f>
        <v>#N/A</v>
      </c>
      <c r="E163" s="20" t="e">
        <f>VLOOKUP(C163,'لیست پرسنل'!$A$1:$E$1004,4,FALSE)</f>
        <v>#N/A</v>
      </c>
      <c r="F163" s="20" t="e">
        <f>VLOOKUP(C163,'لیست پرسنل'!$A$1:$E$1004,2,FALSE)</f>
        <v>#N/A</v>
      </c>
      <c r="G163" s="20" t="s">
        <v>923</v>
      </c>
      <c r="H163" s="20"/>
      <c r="I163" s="20" t="s">
        <v>650</v>
      </c>
      <c r="J163" s="20" t="s">
        <v>1251</v>
      </c>
      <c r="K163" s="19" t="s">
        <v>1695</v>
      </c>
      <c r="L163" s="19" t="s">
        <v>76</v>
      </c>
      <c r="M163" s="19"/>
      <c r="N163" s="20" t="s">
        <v>1651</v>
      </c>
      <c r="O163" s="20" t="s">
        <v>551</v>
      </c>
      <c r="P163" s="19" t="s">
        <v>1664</v>
      </c>
      <c r="Q163" s="32"/>
      <c r="R163" s="32"/>
    </row>
    <row r="164" spans="1:18" ht="24.95" customHeight="1" x14ac:dyDescent="0.25">
      <c r="A164" s="20" t="s">
        <v>1118</v>
      </c>
      <c r="B164" s="20"/>
      <c r="C164" s="20" t="s">
        <v>918</v>
      </c>
      <c r="D164" s="20" t="e">
        <f>VLOOKUP(C164,'لیست پرسنل'!$A$1:$E$1004,3,FALSE)</f>
        <v>#N/A</v>
      </c>
      <c r="E164" s="20" t="e">
        <f>VLOOKUP(C164,'لیست پرسنل'!$A$1:$E$1004,4,FALSE)</f>
        <v>#N/A</v>
      </c>
      <c r="F164" s="20" t="e">
        <f>VLOOKUP(C164,'لیست پرسنل'!$A$1:$E$1004,2,FALSE)</f>
        <v>#N/A</v>
      </c>
      <c r="G164" s="20" t="s">
        <v>923</v>
      </c>
      <c r="H164" s="20"/>
      <c r="I164" s="20" t="s">
        <v>650</v>
      </c>
      <c r="J164" s="20" t="s">
        <v>1251</v>
      </c>
      <c r="K164" s="19" t="s">
        <v>1695</v>
      </c>
      <c r="L164" s="19" t="s">
        <v>76</v>
      </c>
      <c r="M164" s="19"/>
      <c r="N164" s="20" t="s">
        <v>1651</v>
      </c>
      <c r="O164" s="20" t="s">
        <v>551</v>
      </c>
      <c r="P164" s="19" t="s">
        <v>1665</v>
      </c>
      <c r="Q164" s="32"/>
      <c r="R164" s="32"/>
    </row>
    <row r="165" spans="1:18" ht="24.95" customHeight="1" x14ac:dyDescent="0.25">
      <c r="A165" s="20" t="s">
        <v>1118</v>
      </c>
      <c r="B165" s="20"/>
      <c r="C165" s="20" t="s">
        <v>918</v>
      </c>
      <c r="D165" s="20" t="e">
        <f>VLOOKUP(C165,'لیست پرسنل'!$A$1:$E$1004,3,FALSE)</f>
        <v>#N/A</v>
      </c>
      <c r="E165" s="20" t="e">
        <f>VLOOKUP(C165,'لیست پرسنل'!$A$1:$E$1004,4,FALSE)</f>
        <v>#N/A</v>
      </c>
      <c r="F165" s="20" t="e">
        <f>VLOOKUP(C165,'لیست پرسنل'!$A$1:$E$1004,2,FALSE)</f>
        <v>#N/A</v>
      </c>
      <c r="G165" s="20" t="s">
        <v>923</v>
      </c>
      <c r="H165" s="20"/>
      <c r="I165" s="20" t="s">
        <v>650</v>
      </c>
      <c r="J165" s="20" t="s">
        <v>1251</v>
      </c>
      <c r="K165" s="19" t="s">
        <v>1695</v>
      </c>
      <c r="L165" s="19" t="s">
        <v>76</v>
      </c>
      <c r="M165" s="19"/>
      <c r="N165" s="20" t="s">
        <v>1651</v>
      </c>
      <c r="O165" s="20" t="s">
        <v>551</v>
      </c>
      <c r="P165" s="19" t="s">
        <v>1666</v>
      </c>
      <c r="Q165" s="32"/>
      <c r="R165" s="32"/>
    </row>
    <row r="166" spans="1:18" ht="24.95" customHeight="1" x14ac:dyDescent="0.25">
      <c r="A166" s="20" t="s">
        <v>1118</v>
      </c>
      <c r="B166" s="20"/>
      <c r="C166" s="20" t="s">
        <v>918</v>
      </c>
      <c r="D166" s="20" t="e">
        <f>VLOOKUP(C166,'لیست پرسنل'!$A$1:$E$1004,3,FALSE)</f>
        <v>#N/A</v>
      </c>
      <c r="E166" s="20" t="e">
        <f>VLOOKUP(C166,'لیست پرسنل'!$A$1:$E$1004,4,FALSE)</f>
        <v>#N/A</v>
      </c>
      <c r="F166" s="20" t="e">
        <f>VLOOKUP(C166,'لیست پرسنل'!$A$1:$E$1004,2,FALSE)</f>
        <v>#N/A</v>
      </c>
      <c r="G166" s="20" t="s">
        <v>923</v>
      </c>
      <c r="H166" s="20"/>
      <c r="I166" s="20" t="s">
        <v>650</v>
      </c>
      <c r="J166" s="20" t="s">
        <v>1251</v>
      </c>
      <c r="K166" s="19" t="s">
        <v>1695</v>
      </c>
      <c r="L166" s="19" t="s">
        <v>76</v>
      </c>
      <c r="M166" s="19"/>
      <c r="N166" s="20" t="s">
        <v>1651</v>
      </c>
      <c r="O166" s="20" t="s">
        <v>551</v>
      </c>
      <c r="P166" s="19" t="s">
        <v>1667</v>
      </c>
      <c r="Q166" s="32"/>
      <c r="R166" s="32"/>
    </row>
    <row r="167" spans="1:18" ht="24.95" customHeight="1" x14ac:dyDescent="0.25">
      <c r="A167" s="20" t="s">
        <v>1118</v>
      </c>
      <c r="B167" s="20"/>
      <c r="C167" s="20" t="s">
        <v>918</v>
      </c>
      <c r="D167" s="20" t="e">
        <f>VLOOKUP(C167,'لیست پرسنل'!$A$1:$E$1004,3,FALSE)</f>
        <v>#N/A</v>
      </c>
      <c r="E167" s="20" t="e">
        <f>VLOOKUP(C167,'لیست پرسنل'!$A$1:$E$1004,4,FALSE)</f>
        <v>#N/A</v>
      </c>
      <c r="F167" s="20" t="e">
        <f>VLOOKUP(C167,'لیست پرسنل'!$A$1:$E$1004,2,FALSE)</f>
        <v>#N/A</v>
      </c>
      <c r="G167" s="20" t="s">
        <v>923</v>
      </c>
      <c r="H167" s="20"/>
      <c r="I167" s="20" t="s">
        <v>650</v>
      </c>
      <c r="J167" s="20" t="s">
        <v>1251</v>
      </c>
      <c r="K167" s="19" t="s">
        <v>1695</v>
      </c>
      <c r="L167" s="19" t="s">
        <v>76</v>
      </c>
      <c r="M167" s="19"/>
      <c r="N167" s="20" t="s">
        <v>1651</v>
      </c>
      <c r="O167" s="20" t="s">
        <v>551</v>
      </c>
      <c r="P167" s="19" t="s">
        <v>1662</v>
      </c>
      <c r="Q167" s="32"/>
      <c r="R167" s="32"/>
    </row>
    <row r="168" spans="1:18" ht="24.95" customHeight="1" x14ac:dyDescent="0.25">
      <c r="A168" s="20" t="s">
        <v>1118</v>
      </c>
      <c r="B168" s="20"/>
      <c r="C168" s="20" t="s">
        <v>918</v>
      </c>
      <c r="D168" s="20" t="e">
        <f>VLOOKUP(C168,'لیست پرسنل'!$A$1:$E$1004,3,FALSE)</f>
        <v>#N/A</v>
      </c>
      <c r="E168" s="20" t="e">
        <f>VLOOKUP(C168,'لیست پرسنل'!$A$1:$E$1004,4,FALSE)</f>
        <v>#N/A</v>
      </c>
      <c r="F168" s="20" t="e">
        <f>VLOOKUP(C168,'لیست پرسنل'!$A$1:$E$1004,2,FALSE)</f>
        <v>#N/A</v>
      </c>
      <c r="G168" s="20" t="s">
        <v>923</v>
      </c>
      <c r="H168" s="20"/>
      <c r="I168" s="20" t="s">
        <v>650</v>
      </c>
      <c r="J168" s="20" t="s">
        <v>1251</v>
      </c>
      <c r="K168" s="19" t="s">
        <v>1695</v>
      </c>
      <c r="L168" s="19" t="s">
        <v>76</v>
      </c>
      <c r="M168" s="19"/>
      <c r="N168" s="20" t="s">
        <v>1651</v>
      </c>
      <c r="O168" s="20" t="s">
        <v>551</v>
      </c>
      <c r="P168" s="19" t="s">
        <v>1668</v>
      </c>
      <c r="Q168" s="32"/>
      <c r="R168" s="32"/>
    </row>
    <row r="169" spans="1:18" ht="24.95" customHeight="1" x14ac:dyDescent="0.25">
      <c r="A169" s="20" t="s">
        <v>1118</v>
      </c>
      <c r="B169" s="20"/>
      <c r="C169" s="20" t="s">
        <v>918</v>
      </c>
      <c r="D169" s="20" t="e">
        <f>VLOOKUP(C169,'لیست پرسنل'!$A$1:$E$1004,3,FALSE)</f>
        <v>#N/A</v>
      </c>
      <c r="E169" s="20" t="e">
        <f>VLOOKUP(C169,'لیست پرسنل'!$A$1:$E$1004,4,FALSE)</f>
        <v>#N/A</v>
      </c>
      <c r="F169" s="20" t="e">
        <f>VLOOKUP(C169,'لیست پرسنل'!$A$1:$E$1004,2,FALSE)</f>
        <v>#N/A</v>
      </c>
      <c r="G169" s="20" t="s">
        <v>923</v>
      </c>
      <c r="H169" s="20"/>
      <c r="I169" s="20" t="s">
        <v>650</v>
      </c>
      <c r="J169" s="20" t="s">
        <v>1251</v>
      </c>
      <c r="K169" s="20" t="s">
        <v>1695</v>
      </c>
      <c r="L169" s="19" t="s">
        <v>76</v>
      </c>
      <c r="M169" s="19"/>
      <c r="N169" s="20" t="s">
        <v>1651</v>
      </c>
      <c r="O169" s="20" t="s">
        <v>551</v>
      </c>
      <c r="P169" s="19" t="s">
        <v>1669</v>
      </c>
      <c r="Q169" s="32"/>
      <c r="R169" s="32"/>
    </row>
    <row r="170" spans="1:18" ht="24.95" customHeight="1" x14ac:dyDescent="0.25">
      <c r="A170" s="20" t="s">
        <v>1112</v>
      </c>
      <c r="B170" s="20"/>
      <c r="C170" s="20" t="s">
        <v>837</v>
      </c>
      <c r="D170" s="20" t="str">
        <f>VLOOKUP(C170,'لیست پرسنل'!$A$1:$E$1004,3,FALSE)</f>
        <v>فکورصنعت</v>
      </c>
      <c r="E170" s="20" t="str">
        <f>VLOOKUP(C170,'لیست پرسنل'!$A$1:$E$1004,4,FALSE)</f>
        <v>انبار</v>
      </c>
      <c r="F170" s="20">
        <f>VLOOKUP(C170,'لیست پرسنل'!$A$1:$E$1004,2,FALSE)</f>
        <v>769</v>
      </c>
      <c r="G170" s="20" t="s">
        <v>1751</v>
      </c>
      <c r="H170" s="20"/>
      <c r="I170" s="20" t="s">
        <v>650</v>
      </c>
      <c r="J170" s="20" t="s">
        <v>1752</v>
      </c>
      <c r="K170" s="20" t="s">
        <v>882</v>
      </c>
      <c r="L170" s="19" t="s">
        <v>76</v>
      </c>
      <c r="M170" s="19"/>
      <c r="N170" s="19"/>
      <c r="O170" s="19"/>
      <c r="P170" s="19"/>
      <c r="Q170" s="19"/>
      <c r="R170" s="19"/>
    </row>
    <row r="171" spans="1:18" ht="24.95" customHeight="1" x14ac:dyDescent="0.25">
      <c r="A171" s="20" t="s">
        <v>1112</v>
      </c>
      <c r="B171" s="20"/>
      <c r="C171" s="20" t="s">
        <v>837</v>
      </c>
      <c r="D171" s="20" t="str">
        <f>VLOOKUP(C171,'لیست پرسنل'!$A$1:$E$1004,3,FALSE)</f>
        <v>فکورصنعت</v>
      </c>
      <c r="E171" s="20" t="str">
        <f>VLOOKUP(C171,'لیست پرسنل'!$A$1:$E$1004,4,FALSE)</f>
        <v>انبار</v>
      </c>
      <c r="F171" s="20">
        <f>VLOOKUP(C171,'لیست پرسنل'!$A$1:$E$1004,2,FALSE)</f>
        <v>769</v>
      </c>
      <c r="G171" s="20" t="s">
        <v>1751</v>
      </c>
      <c r="H171" s="20"/>
      <c r="I171" s="20" t="s">
        <v>650</v>
      </c>
      <c r="J171" s="20" t="s">
        <v>1752</v>
      </c>
      <c r="K171" s="20" t="s">
        <v>882</v>
      </c>
      <c r="L171" s="19" t="s">
        <v>76</v>
      </c>
      <c r="M171" s="19"/>
      <c r="N171" s="19"/>
      <c r="O171" s="19"/>
      <c r="P171" s="19"/>
      <c r="Q171" s="19"/>
      <c r="R171" s="19"/>
    </row>
    <row r="172" spans="1:18" ht="24.95" customHeight="1" x14ac:dyDescent="0.25">
      <c r="A172" s="20" t="s">
        <v>1112</v>
      </c>
      <c r="B172" s="20"/>
      <c r="C172" s="20" t="s">
        <v>837</v>
      </c>
      <c r="D172" s="20" t="str">
        <f>VLOOKUP(C172,'لیست پرسنل'!$A$1:$E$1004,3,FALSE)</f>
        <v>فکورصنعت</v>
      </c>
      <c r="E172" s="20" t="str">
        <f>VLOOKUP(C172,'لیست پرسنل'!$A$1:$E$1004,4,FALSE)</f>
        <v>انبار</v>
      </c>
      <c r="F172" s="20">
        <f>VLOOKUP(C172,'لیست پرسنل'!$A$1:$E$1004,2,FALSE)</f>
        <v>769</v>
      </c>
      <c r="G172" s="20" t="s">
        <v>1751</v>
      </c>
      <c r="H172" s="20"/>
      <c r="I172" s="20" t="s">
        <v>650</v>
      </c>
      <c r="J172" s="20" t="s">
        <v>1752</v>
      </c>
      <c r="K172" s="20" t="s">
        <v>882</v>
      </c>
      <c r="L172" s="19" t="s">
        <v>76</v>
      </c>
      <c r="M172" s="19"/>
      <c r="N172" s="19"/>
      <c r="O172" s="19"/>
      <c r="P172" s="19"/>
      <c r="Q172" s="19"/>
      <c r="R172" s="19"/>
    </row>
    <row r="173" spans="1:18" ht="24.95" customHeight="1" x14ac:dyDescent="0.25">
      <c r="A173" s="20" t="s">
        <v>1112</v>
      </c>
      <c r="B173" s="20"/>
      <c r="C173" s="20" t="s">
        <v>837</v>
      </c>
      <c r="D173" s="20" t="str">
        <f>VLOOKUP(C173,'لیست پرسنل'!$A$1:$E$1004,3,FALSE)</f>
        <v>فکورصنعت</v>
      </c>
      <c r="E173" s="20" t="str">
        <f>VLOOKUP(C173,'لیست پرسنل'!$A$1:$E$1004,4,FALSE)</f>
        <v>انبار</v>
      </c>
      <c r="F173" s="20">
        <f>VLOOKUP(C173,'لیست پرسنل'!$A$1:$E$1004,2,FALSE)</f>
        <v>769</v>
      </c>
      <c r="G173" s="20" t="s">
        <v>1751</v>
      </c>
      <c r="H173" s="20"/>
      <c r="I173" s="20" t="s">
        <v>650</v>
      </c>
      <c r="J173" s="20" t="s">
        <v>1752</v>
      </c>
      <c r="K173" s="20" t="s">
        <v>882</v>
      </c>
      <c r="L173" s="19" t="s">
        <v>76</v>
      </c>
      <c r="M173" s="19"/>
      <c r="N173" s="19"/>
      <c r="O173" s="19"/>
      <c r="P173" s="19"/>
      <c r="Q173" s="19"/>
      <c r="R173" s="19"/>
    </row>
    <row r="174" spans="1:18" ht="24.95" customHeight="1" x14ac:dyDescent="0.25">
      <c r="A174" s="20" t="s">
        <v>1112</v>
      </c>
      <c r="B174" s="20"/>
      <c r="C174" s="20" t="s">
        <v>837</v>
      </c>
      <c r="D174" s="20" t="str">
        <f>VLOOKUP(C174,'لیست پرسنل'!$A$1:$E$1004,3,FALSE)</f>
        <v>فکورصنعت</v>
      </c>
      <c r="E174" s="20" t="str">
        <f>VLOOKUP(C174,'لیست پرسنل'!$A$1:$E$1004,4,FALSE)</f>
        <v>انبار</v>
      </c>
      <c r="F174" s="20">
        <f>VLOOKUP(C174,'لیست پرسنل'!$A$1:$E$1004,2,FALSE)</f>
        <v>769</v>
      </c>
      <c r="G174" s="20" t="s">
        <v>1751</v>
      </c>
      <c r="H174" s="20"/>
      <c r="I174" s="20" t="s">
        <v>650</v>
      </c>
      <c r="J174" s="20" t="s">
        <v>1752</v>
      </c>
      <c r="K174" s="20" t="s">
        <v>882</v>
      </c>
      <c r="L174" s="19" t="s">
        <v>76</v>
      </c>
      <c r="M174" s="19"/>
      <c r="N174" s="19"/>
      <c r="O174" s="19"/>
      <c r="P174" s="19"/>
      <c r="Q174" s="19"/>
      <c r="R174" s="19"/>
    </row>
    <row r="175" spans="1:18" ht="24.95" customHeight="1" x14ac:dyDescent="0.25">
      <c r="A175" s="20" t="s">
        <v>1112</v>
      </c>
      <c r="B175" s="20"/>
      <c r="C175" s="20" t="s">
        <v>837</v>
      </c>
      <c r="D175" s="20" t="str">
        <f>VLOOKUP(C175,'لیست پرسنل'!$A$1:$E$1004,3,FALSE)</f>
        <v>فکورصنعت</v>
      </c>
      <c r="E175" s="20" t="str">
        <f>VLOOKUP(C175,'لیست پرسنل'!$A$1:$E$1004,4,FALSE)</f>
        <v>انبار</v>
      </c>
      <c r="F175" s="20">
        <f>VLOOKUP(C175,'لیست پرسنل'!$A$1:$E$1004,2,FALSE)</f>
        <v>769</v>
      </c>
      <c r="G175" s="20" t="s">
        <v>1751</v>
      </c>
      <c r="H175" s="20"/>
      <c r="I175" s="20" t="s">
        <v>650</v>
      </c>
      <c r="J175" s="20" t="s">
        <v>1752</v>
      </c>
      <c r="K175" s="20" t="s">
        <v>882</v>
      </c>
      <c r="L175" s="19" t="s">
        <v>76</v>
      </c>
      <c r="M175" s="19"/>
      <c r="N175" s="19"/>
      <c r="O175" s="19"/>
      <c r="P175" s="19"/>
      <c r="Q175" s="19"/>
      <c r="R175" s="19"/>
    </row>
    <row r="176" spans="1:18" ht="24.95" customHeight="1" x14ac:dyDescent="0.25">
      <c r="A176" s="20" t="s">
        <v>1112</v>
      </c>
      <c r="B176" s="20"/>
      <c r="C176" s="20" t="s">
        <v>837</v>
      </c>
      <c r="D176" s="20" t="str">
        <f>VLOOKUP(C176,'لیست پرسنل'!$A$1:$E$1004,3,FALSE)</f>
        <v>فکورصنعت</v>
      </c>
      <c r="E176" s="20" t="str">
        <f>VLOOKUP(C176,'لیست پرسنل'!$A$1:$E$1004,4,FALSE)</f>
        <v>انبار</v>
      </c>
      <c r="F176" s="20">
        <f>VLOOKUP(C176,'لیست پرسنل'!$A$1:$E$1004,2,FALSE)</f>
        <v>769</v>
      </c>
      <c r="G176" s="20" t="s">
        <v>1751</v>
      </c>
      <c r="H176" s="20"/>
      <c r="I176" s="20" t="s">
        <v>650</v>
      </c>
      <c r="J176" s="20" t="s">
        <v>1752</v>
      </c>
      <c r="K176" s="20" t="s">
        <v>882</v>
      </c>
      <c r="L176" s="19" t="s">
        <v>76</v>
      </c>
      <c r="M176" s="19"/>
      <c r="N176" s="19"/>
      <c r="O176" s="19"/>
      <c r="P176" s="19"/>
      <c r="Q176" s="19"/>
      <c r="R176" s="19"/>
    </row>
    <row r="177" spans="1:18" ht="24.95" customHeight="1" x14ac:dyDescent="0.25">
      <c r="A177" s="20" t="s">
        <v>1112</v>
      </c>
      <c r="B177" s="20"/>
      <c r="C177" s="20" t="s">
        <v>837</v>
      </c>
      <c r="D177" s="20" t="str">
        <f>VLOOKUP(C177,'لیست پرسنل'!$A$1:$E$1004,3,FALSE)</f>
        <v>فکورصنعت</v>
      </c>
      <c r="E177" s="20" t="str">
        <f>VLOOKUP(C177,'لیست پرسنل'!$A$1:$E$1004,4,FALSE)</f>
        <v>انبار</v>
      </c>
      <c r="F177" s="20">
        <f>VLOOKUP(C177,'لیست پرسنل'!$A$1:$E$1004,2,FALSE)</f>
        <v>769</v>
      </c>
      <c r="G177" s="20" t="s">
        <v>1751</v>
      </c>
      <c r="H177" s="20"/>
      <c r="I177" s="20" t="s">
        <v>650</v>
      </c>
      <c r="J177" s="20" t="s">
        <v>1752</v>
      </c>
      <c r="K177" s="20" t="s">
        <v>882</v>
      </c>
      <c r="L177" s="19" t="s">
        <v>76</v>
      </c>
      <c r="M177" s="19"/>
      <c r="N177" s="19"/>
      <c r="O177" s="19"/>
      <c r="P177" s="19"/>
      <c r="Q177" s="19"/>
      <c r="R177" s="19"/>
    </row>
    <row r="178" spans="1:18" ht="24.95" customHeight="1" x14ac:dyDescent="0.25">
      <c r="A178" s="20" t="s">
        <v>1112</v>
      </c>
      <c r="B178" s="20"/>
      <c r="C178" s="20" t="s">
        <v>837</v>
      </c>
      <c r="D178" s="20" t="str">
        <f>VLOOKUP(C178,'لیست پرسنل'!$A$1:$E$1004,3,FALSE)</f>
        <v>فکورصنعت</v>
      </c>
      <c r="E178" s="20" t="str">
        <f>VLOOKUP(C178,'لیست پرسنل'!$A$1:$E$1004,4,FALSE)</f>
        <v>انبار</v>
      </c>
      <c r="F178" s="20">
        <f>VLOOKUP(C178,'لیست پرسنل'!$A$1:$E$1004,2,FALSE)</f>
        <v>769</v>
      </c>
      <c r="G178" s="20" t="s">
        <v>1751</v>
      </c>
      <c r="H178" s="20"/>
      <c r="I178" s="20" t="s">
        <v>651</v>
      </c>
      <c r="J178" s="20" t="s">
        <v>1753</v>
      </c>
      <c r="K178" s="20" t="s">
        <v>882</v>
      </c>
      <c r="L178" s="19" t="s">
        <v>76</v>
      </c>
      <c r="M178" s="20"/>
      <c r="N178" s="20"/>
      <c r="O178" s="20"/>
      <c r="P178" s="20"/>
      <c r="Q178" s="20"/>
      <c r="R178" s="20"/>
    </row>
    <row r="179" spans="1:18" ht="24.95" customHeight="1" x14ac:dyDescent="0.25">
      <c r="A179" s="20" t="s">
        <v>1112</v>
      </c>
      <c r="B179" s="20"/>
      <c r="C179" s="20" t="s">
        <v>837</v>
      </c>
      <c r="D179" s="20" t="str">
        <f>VLOOKUP(C179,'لیست پرسنل'!$A$1:$E$1004,3,FALSE)</f>
        <v>فکورصنعت</v>
      </c>
      <c r="E179" s="20" t="str">
        <f>VLOOKUP(C179,'لیست پرسنل'!$A$1:$E$1004,4,FALSE)</f>
        <v>انبار</v>
      </c>
      <c r="F179" s="20">
        <f>VLOOKUP(C179,'لیست پرسنل'!$A$1:$E$1004,2,FALSE)</f>
        <v>769</v>
      </c>
      <c r="G179" s="20" t="s">
        <v>1751</v>
      </c>
      <c r="H179" s="20"/>
      <c r="I179" s="20" t="s">
        <v>651</v>
      </c>
      <c r="J179" s="20" t="s">
        <v>1753</v>
      </c>
      <c r="K179" s="20" t="s">
        <v>882</v>
      </c>
      <c r="L179" s="19" t="s">
        <v>76</v>
      </c>
      <c r="M179" s="20"/>
      <c r="N179" s="20"/>
      <c r="O179" s="20"/>
      <c r="P179" s="20"/>
      <c r="Q179" s="20"/>
      <c r="R179" s="20"/>
    </row>
    <row r="180" spans="1:18" ht="24.95" customHeight="1" x14ac:dyDescent="0.25">
      <c r="A180" s="20" t="s">
        <v>1112</v>
      </c>
      <c r="B180" s="20"/>
      <c r="C180" s="20" t="s">
        <v>837</v>
      </c>
      <c r="D180" s="20" t="str">
        <f>VLOOKUP(C180,'لیست پرسنل'!$A$1:$E$1004,3,FALSE)</f>
        <v>فکورصنعت</v>
      </c>
      <c r="E180" s="20" t="str">
        <f>VLOOKUP(C180,'لیست پرسنل'!$A$1:$E$1004,4,FALSE)</f>
        <v>انبار</v>
      </c>
      <c r="F180" s="20">
        <f>VLOOKUP(C180,'لیست پرسنل'!$A$1:$E$1004,2,FALSE)</f>
        <v>769</v>
      </c>
      <c r="G180" s="20" t="s">
        <v>1751</v>
      </c>
      <c r="H180" s="20"/>
      <c r="I180" s="20" t="s">
        <v>651</v>
      </c>
      <c r="J180" s="20" t="s">
        <v>1753</v>
      </c>
      <c r="K180" s="20" t="s">
        <v>882</v>
      </c>
      <c r="L180" s="19" t="s">
        <v>76</v>
      </c>
      <c r="M180" s="20"/>
      <c r="N180" s="20"/>
      <c r="O180" s="20"/>
      <c r="P180" s="20"/>
      <c r="Q180" s="20"/>
      <c r="R180" s="20"/>
    </row>
    <row r="181" spans="1:18" ht="24.95" customHeight="1" x14ac:dyDescent="0.25">
      <c r="A181" s="20" t="s">
        <v>1112</v>
      </c>
      <c r="B181" s="20"/>
      <c r="C181" s="20" t="s">
        <v>837</v>
      </c>
      <c r="D181" s="20" t="str">
        <f>VLOOKUP(C181,'لیست پرسنل'!$A$1:$E$1004,3,FALSE)</f>
        <v>فکورصنعت</v>
      </c>
      <c r="E181" s="20" t="str">
        <f>VLOOKUP(C181,'لیست پرسنل'!$A$1:$E$1004,4,FALSE)</f>
        <v>انبار</v>
      </c>
      <c r="F181" s="20">
        <f>VLOOKUP(C181,'لیست پرسنل'!$A$1:$E$1004,2,FALSE)</f>
        <v>769</v>
      </c>
      <c r="G181" s="20" t="s">
        <v>1751</v>
      </c>
      <c r="H181" s="20"/>
      <c r="I181" s="20" t="s">
        <v>651</v>
      </c>
      <c r="J181" s="20" t="s">
        <v>1753</v>
      </c>
      <c r="K181" s="20" t="s">
        <v>882</v>
      </c>
      <c r="L181" s="19" t="s">
        <v>76</v>
      </c>
      <c r="M181" s="20"/>
      <c r="N181" s="20"/>
      <c r="O181" s="20"/>
      <c r="P181" s="20"/>
      <c r="Q181" s="20"/>
      <c r="R181" s="20"/>
    </row>
    <row r="182" spans="1:18" ht="24.95" customHeight="1" x14ac:dyDescent="0.25">
      <c r="A182" s="20" t="s">
        <v>1112</v>
      </c>
      <c r="B182" s="20"/>
      <c r="C182" s="20" t="s">
        <v>837</v>
      </c>
      <c r="D182" s="20" t="str">
        <f>VLOOKUP(C182,'لیست پرسنل'!$A$1:$E$1004,3,FALSE)</f>
        <v>فکورصنعت</v>
      </c>
      <c r="E182" s="20" t="str">
        <f>VLOOKUP(C182,'لیست پرسنل'!$A$1:$E$1004,4,FALSE)</f>
        <v>انبار</v>
      </c>
      <c r="F182" s="20">
        <f>VLOOKUP(C182,'لیست پرسنل'!$A$1:$E$1004,2,FALSE)</f>
        <v>769</v>
      </c>
      <c r="G182" s="20" t="s">
        <v>1751</v>
      </c>
      <c r="H182" s="20"/>
      <c r="I182" s="20" t="s">
        <v>651</v>
      </c>
      <c r="J182" s="20" t="s">
        <v>1754</v>
      </c>
      <c r="K182" s="20" t="s">
        <v>882</v>
      </c>
      <c r="L182" s="19" t="s">
        <v>76</v>
      </c>
      <c r="M182" s="20"/>
      <c r="N182" s="20"/>
      <c r="O182" s="20"/>
      <c r="P182" s="20"/>
      <c r="Q182" s="20"/>
      <c r="R182" s="20"/>
    </row>
    <row r="183" spans="1:18" ht="24.95" customHeight="1" x14ac:dyDescent="0.25">
      <c r="A183" s="20" t="s">
        <v>1112</v>
      </c>
      <c r="B183" s="20"/>
      <c r="C183" s="20" t="s">
        <v>837</v>
      </c>
      <c r="D183" s="20" t="str">
        <f>VLOOKUP(C183,'لیست پرسنل'!$A$1:$E$1004,3,FALSE)</f>
        <v>فکورصنعت</v>
      </c>
      <c r="E183" s="20" t="str">
        <f>VLOOKUP(C183,'لیست پرسنل'!$A$1:$E$1004,4,FALSE)</f>
        <v>انبار</v>
      </c>
      <c r="F183" s="20">
        <f>VLOOKUP(C183,'لیست پرسنل'!$A$1:$E$1004,2,FALSE)</f>
        <v>769</v>
      </c>
      <c r="G183" s="20" t="s">
        <v>1755</v>
      </c>
      <c r="H183" s="20"/>
      <c r="I183" s="20" t="s">
        <v>651</v>
      </c>
      <c r="J183" s="20" t="s">
        <v>1754</v>
      </c>
      <c r="K183" s="20"/>
      <c r="L183" s="19" t="s">
        <v>76</v>
      </c>
      <c r="M183" s="20" t="s">
        <v>882</v>
      </c>
      <c r="N183" s="20"/>
      <c r="O183" s="20"/>
      <c r="P183" s="20"/>
      <c r="Q183" s="20"/>
      <c r="R183" s="20"/>
    </row>
    <row r="184" spans="1:18" ht="24.95" customHeight="1" x14ac:dyDescent="0.25">
      <c r="A184" s="20" t="s">
        <v>1112</v>
      </c>
      <c r="B184" s="20"/>
      <c r="C184" s="20" t="s">
        <v>837</v>
      </c>
      <c r="D184" s="20" t="str">
        <f>VLOOKUP(C184,'لیست پرسنل'!$A$1:$E$1004,3,FALSE)</f>
        <v>فکورصنعت</v>
      </c>
      <c r="E184" s="20" t="str">
        <f>VLOOKUP(C184,'لیست پرسنل'!$A$1:$E$1004,4,FALSE)</f>
        <v>انبار</v>
      </c>
      <c r="F184" s="20">
        <f>VLOOKUP(C184,'لیست پرسنل'!$A$1:$E$1004,2,FALSE)</f>
        <v>769</v>
      </c>
      <c r="G184" s="20" t="s">
        <v>1751</v>
      </c>
      <c r="H184" s="20"/>
      <c r="I184" s="20" t="s">
        <v>647</v>
      </c>
      <c r="J184" s="20" t="s">
        <v>1756</v>
      </c>
      <c r="K184" s="20" t="s">
        <v>882</v>
      </c>
      <c r="L184" s="19" t="s">
        <v>76</v>
      </c>
      <c r="M184" s="20"/>
      <c r="N184" s="20"/>
      <c r="O184" s="20"/>
      <c r="P184" s="20"/>
      <c r="Q184" s="20"/>
      <c r="R184" s="20"/>
    </row>
    <row r="185" spans="1:18" ht="24.95" customHeight="1" x14ac:dyDescent="0.25">
      <c r="A185" s="20" t="s">
        <v>1112</v>
      </c>
      <c r="B185" s="20"/>
      <c r="C185" s="20" t="s">
        <v>837</v>
      </c>
      <c r="D185" s="20" t="str">
        <f>VLOOKUP(C185,'لیست پرسنل'!$A$1:$E$1004,3,FALSE)</f>
        <v>فکورصنعت</v>
      </c>
      <c r="E185" s="20" t="str">
        <f>VLOOKUP(C185,'لیست پرسنل'!$A$1:$E$1004,4,FALSE)</f>
        <v>انبار</v>
      </c>
      <c r="F185" s="20">
        <f>VLOOKUP(C185,'لیست پرسنل'!$A$1:$E$1004,2,FALSE)</f>
        <v>769</v>
      </c>
      <c r="G185" s="20" t="s">
        <v>1751</v>
      </c>
      <c r="H185" s="20"/>
      <c r="I185" s="20" t="s">
        <v>647</v>
      </c>
      <c r="J185" s="20" t="s">
        <v>1756</v>
      </c>
      <c r="K185" s="20" t="s">
        <v>882</v>
      </c>
      <c r="L185" s="19" t="s">
        <v>76</v>
      </c>
      <c r="M185" s="20"/>
      <c r="N185" s="20"/>
      <c r="O185" s="20"/>
      <c r="P185" s="20"/>
      <c r="Q185" s="20"/>
      <c r="R185" s="20"/>
    </row>
    <row r="186" spans="1:18" ht="24.95" customHeight="1" x14ac:dyDescent="0.25">
      <c r="A186" s="20" t="s">
        <v>1112</v>
      </c>
      <c r="B186" s="20"/>
      <c r="C186" s="20" t="s">
        <v>837</v>
      </c>
      <c r="D186" s="20" t="str">
        <f>VLOOKUP(C186,'لیست پرسنل'!$A$1:$E$1004,3,FALSE)</f>
        <v>فکورصنعت</v>
      </c>
      <c r="E186" s="20" t="str">
        <f>VLOOKUP(C186,'لیست پرسنل'!$A$1:$E$1004,4,FALSE)</f>
        <v>انبار</v>
      </c>
      <c r="F186" s="20">
        <f>VLOOKUP(C186,'لیست پرسنل'!$A$1:$E$1004,2,FALSE)</f>
        <v>769</v>
      </c>
      <c r="G186" s="20" t="s">
        <v>1751</v>
      </c>
      <c r="H186" s="20"/>
      <c r="I186" s="20" t="s">
        <v>647</v>
      </c>
      <c r="J186" s="20" t="s">
        <v>1756</v>
      </c>
      <c r="K186" s="20" t="s">
        <v>882</v>
      </c>
      <c r="L186" s="19" t="s">
        <v>76</v>
      </c>
      <c r="M186" s="20"/>
      <c r="N186" s="20"/>
      <c r="O186" s="20"/>
      <c r="P186" s="20"/>
      <c r="Q186" s="20"/>
      <c r="R186" s="20"/>
    </row>
    <row r="187" spans="1:18" ht="24.95" customHeight="1" x14ac:dyDescent="0.25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</row>
    <row r="188" spans="1:18" ht="24.95" customHeight="1" x14ac:dyDescent="0.25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</row>
    <row r="189" spans="1:18" ht="24.95" customHeight="1" x14ac:dyDescent="0.25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</row>
    <row r="190" spans="1:18" ht="24.95" customHeight="1" x14ac:dyDescent="0.25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</row>
    <row r="191" spans="1:18" ht="24.95" customHeight="1" x14ac:dyDescent="0.25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</row>
    <row r="192" spans="1:18" ht="24.95" customHeight="1" x14ac:dyDescent="0.25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</row>
    <row r="193" spans="1:18" ht="24.95" customHeight="1" x14ac:dyDescent="0.25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</row>
    <row r="194" spans="1:18" ht="24.95" customHeight="1" x14ac:dyDescent="0.25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</row>
    <row r="195" spans="1:18" ht="24.95" customHeight="1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</row>
    <row r="196" spans="1:18" ht="24.95" customHeight="1" x14ac:dyDescent="0.25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</row>
    <row r="197" spans="1:18" ht="24.95" customHeight="1" x14ac:dyDescent="0.25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</row>
    <row r="198" spans="1:18" ht="24.95" customHeight="1" x14ac:dyDescent="0.25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</row>
    <row r="199" spans="1:18" ht="24.95" customHeight="1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</row>
    <row r="200" spans="1:18" ht="24.95" customHeight="1" x14ac:dyDescent="0.25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</row>
    <row r="201" spans="1:18" ht="24.95" customHeight="1" x14ac:dyDescent="0.25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</row>
    <row r="202" spans="1:18" ht="24.95" customHeight="1" x14ac:dyDescent="0.25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</row>
    <row r="203" spans="1:18" ht="24.95" customHeight="1" x14ac:dyDescent="0.25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</row>
    <row r="204" spans="1:18" ht="24.95" customHeight="1" x14ac:dyDescent="0.25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</row>
    <row r="205" spans="1:18" ht="24.95" customHeight="1" x14ac:dyDescent="0.2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</row>
    <row r="206" spans="1:18" ht="24.95" customHeight="1" x14ac:dyDescent="0.25"/>
    <row r="207" spans="1:18" ht="24.95" customHeight="1" x14ac:dyDescent="0.25"/>
    <row r="208" spans="1:18" ht="24.95" customHeight="1" x14ac:dyDescent="0.25"/>
    <row r="209" ht="24.95" customHeight="1" x14ac:dyDescent="0.25"/>
    <row r="210" ht="24.95" customHeight="1" x14ac:dyDescent="0.25"/>
    <row r="211" ht="24.95" customHeight="1" x14ac:dyDescent="0.25"/>
    <row r="212" ht="24.95" customHeight="1" x14ac:dyDescent="0.25"/>
    <row r="213" ht="24.95" customHeight="1" x14ac:dyDescent="0.25"/>
    <row r="214" ht="24.95" customHeight="1" x14ac:dyDescent="0.25"/>
    <row r="215" ht="24.95" customHeight="1" x14ac:dyDescent="0.25"/>
    <row r="216" ht="24.95" customHeight="1" x14ac:dyDescent="0.25"/>
    <row r="217" ht="24.95" customHeight="1" x14ac:dyDescent="0.25"/>
    <row r="218" ht="24.95" customHeight="1" x14ac:dyDescent="0.25"/>
    <row r="219" ht="24.95" customHeight="1" x14ac:dyDescent="0.25"/>
    <row r="220" ht="24.95" customHeight="1" x14ac:dyDescent="0.25"/>
    <row r="221" ht="24.95" customHeight="1" x14ac:dyDescent="0.25"/>
    <row r="222" ht="24.95" customHeight="1" x14ac:dyDescent="0.25"/>
    <row r="223" ht="24.95" customHeight="1" x14ac:dyDescent="0.25"/>
    <row r="224" ht="24.95" customHeight="1" x14ac:dyDescent="0.25"/>
    <row r="225" ht="24.95" customHeight="1" x14ac:dyDescent="0.25"/>
    <row r="226" ht="24.95" customHeight="1" x14ac:dyDescent="0.25"/>
    <row r="227" ht="24.95" customHeight="1" x14ac:dyDescent="0.25"/>
    <row r="228" ht="24.95" customHeight="1" x14ac:dyDescent="0.25"/>
    <row r="229" ht="24.95" customHeight="1" x14ac:dyDescent="0.25"/>
    <row r="230" ht="24.95" customHeight="1" x14ac:dyDescent="0.25"/>
    <row r="231" ht="24.95" customHeight="1" x14ac:dyDescent="0.25"/>
    <row r="232" ht="24.95" customHeight="1" x14ac:dyDescent="0.25"/>
    <row r="233" ht="24.95" customHeight="1" x14ac:dyDescent="0.25"/>
    <row r="234" ht="24.95" customHeight="1" x14ac:dyDescent="0.25"/>
    <row r="235" ht="24.95" customHeight="1" x14ac:dyDescent="0.25"/>
    <row r="236" ht="24.95" customHeight="1" x14ac:dyDescent="0.25"/>
    <row r="237" ht="24.95" customHeight="1" x14ac:dyDescent="0.25"/>
    <row r="238" ht="24.95" customHeight="1" x14ac:dyDescent="0.25"/>
    <row r="239" ht="24.95" customHeight="1" x14ac:dyDescent="0.25"/>
    <row r="240" ht="24.95" customHeight="1" x14ac:dyDescent="0.25"/>
    <row r="241" ht="24.95" customHeight="1" x14ac:dyDescent="0.25"/>
    <row r="242" ht="24.95" customHeight="1" x14ac:dyDescent="0.25"/>
    <row r="243" ht="24.95" customHeight="1" x14ac:dyDescent="0.25"/>
    <row r="244" ht="24.95" customHeight="1" x14ac:dyDescent="0.25"/>
    <row r="245" ht="24.95" customHeight="1" x14ac:dyDescent="0.25"/>
    <row r="246" ht="24.95" customHeight="1" x14ac:dyDescent="0.25"/>
    <row r="247" ht="24.95" customHeight="1" x14ac:dyDescent="0.25"/>
    <row r="248" ht="24.95" customHeight="1" x14ac:dyDescent="0.25"/>
    <row r="249" ht="24.95" customHeight="1" x14ac:dyDescent="0.25"/>
    <row r="250" ht="24.95" customHeight="1" x14ac:dyDescent="0.25"/>
    <row r="251" ht="24.95" customHeight="1" x14ac:dyDescent="0.25"/>
    <row r="252" ht="24.95" customHeight="1" x14ac:dyDescent="0.25"/>
    <row r="253" ht="24.95" customHeight="1" x14ac:dyDescent="0.25"/>
    <row r="254" ht="24.95" customHeight="1" x14ac:dyDescent="0.25"/>
    <row r="255" ht="24.95" customHeight="1" x14ac:dyDescent="0.25"/>
    <row r="256" ht="24.95" customHeight="1" x14ac:dyDescent="0.25"/>
    <row r="257" ht="24.95" customHeight="1" x14ac:dyDescent="0.25"/>
    <row r="258" ht="24.95" customHeight="1" x14ac:dyDescent="0.25"/>
    <row r="259" ht="24.95" customHeight="1" x14ac:dyDescent="0.25"/>
    <row r="260" ht="24.95" customHeight="1" x14ac:dyDescent="0.25"/>
    <row r="261" ht="24.95" customHeight="1" x14ac:dyDescent="0.25"/>
    <row r="262" ht="24.95" customHeight="1" x14ac:dyDescent="0.25"/>
    <row r="263" ht="24.95" customHeight="1" x14ac:dyDescent="0.25"/>
    <row r="264" ht="24.95" customHeight="1" x14ac:dyDescent="0.25"/>
    <row r="265" ht="24.95" customHeight="1" x14ac:dyDescent="0.25"/>
    <row r="266" ht="24.95" customHeight="1" x14ac:dyDescent="0.25"/>
    <row r="267" ht="24.95" customHeight="1" x14ac:dyDescent="0.25"/>
    <row r="268" ht="24.95" customHeight="1" x14ac:dyDescent="0.25"/>
    <row r="269" ht="24.95" customHeight="1" x14ac:dyDescent="0.25"/>
    <row r="270" ht="24.95" customHeight="1" x14ac:dyDescent="0.25"/>
    <row r="271" ht="24.95" customHeight="1" x14ac:dyDescent="0.25"/>
    <row r="272" ht="24.95" customHeight="1" x14ac:dyDescent="0.25"/>
    <row r="273" ht="24.95" customHeight="1" x14ac:dyDescent="0.25"/>
    <row r="274" ht="24.95" customHeight="1" x14ac:dyDescent="0.25"/>
    <row r="275" ht="24.95" customHeight="1" x14ac:dyDescent="0.25"/>
    <row r="276" ht="24.95" customHeight="1" x14ac:dyDescent="0.25"/>
    <row r="277" ht="24.95" customHeight="1" x14ac:dyDescent="0.25"/>
    <row r="278" ht="24.95" customHeight="1" x14ac:dyDescent="0.25"/>
    <row r="279" ht="24.95" customHeight="1" x14ac:dyDescent="0.25"/>
    <row r="280" ht="24.95" customHeight="1" x14ac:dyDescent="0.25"/>
    <row r="281" ht="24.95" customHeight="1" x14ac:dyDescent="0.25"/>
    <row r="282" ht="24.95" customHeight="1" x14ac:dyDescent="0.25"/>
    <row r="283" ht="24.95" customHeight="1" x14ac:dyDescent="0.25"/>
    <row r="284" ht="24.95" customHeight="1" x14ac:dyDescent="0.25"/>
    <row r="285" ht="24.95" customHeight="1" x14ac:dyDescent="0.25"/>
    <row r="286" ht="24.95" customHeight="1" x14ac:dyDescent="0.25"/>
    <row r="287" ht="24.95" customHeight="1" x14ac:dyDescent="0.25"/>
    <row r="288" ht="24.95" customHeight="1" x14ac:dyDescent="0.25"/>
    <row r="289" ht="24.95" customHeight="1" x14ac:dyDescent="0.25"/>
    <row r="290" ht="24.95" customHeight="1" x14ac:dyDescent="0.25"/>
    <row r="291" ht="24.95" customHeight="1" x14ac:dyDescent="0.25"/>
    <row r="292" ht="24.95" customHeight="1" x14ac:dyDescent="0.25"/>
    <row r="293" ht="24.95" customHeight="1" x14ac:dyDescent="0.25"/>
    <row r="294" ht="24.95" customHeight="1" x14ac:dyDescent="0.25"/>
    <row r="295" ht="24.95" customHeight="1" x14ac:dyDescent="0.25"/>
    <row r="296" ht="24.95" customHeight="1" x14ac:dyDescent="0.25"/>
    <row r="297" ht="24.95" customHeight="1" x14ac:dyDescent="0.25"/>
    <row r="298" ht="24.95" customHeight="1" x14ac:dyDescent="0.25"/>
    <row r="299" ht="24.95" customHeight="1" x14ac:dyDescent="0.25"/>
    <row r="300" ht="24.95" customHeight="1" x14ac:dyDescent="0.25"/>
    <row r="301" ht="24.95" customHeight="1" x14ac:dyDescent="0.25"/>
    <row r="302" ht="24.95" customHeight="1" x14ac:dyDescent="0.25"/>
    <row r="303" ht="24.95" customHeight="1" x14ac:dyDescent="0.25"/>
    <row r="304" ht="24.95" customHeight="1" x14ac:dyDescent="0.25"/>
    <row r="305" ht="24.95" customHeight="1" x14ac:dyDescent="0.25"/>
    <row r="306" ht="24.95" customHeight="1" x14ac:dyDescent="0.25"/>
    <row r="307" ht="24.95" customHeight="1" x14ac:dyDescent="0.25"/>
    <row r="308" ht="24.95" customHeight="1" x14ac:dyDescent="0.25"/>
    <row r="309" ht="24.95" customHeight="1" x14ac:dyDescent="0.25"/>
    <row r="310" ht="24.95" customHeight="1" x14ac:dyDescent="0.25"/>
    <row r="311" ht="24.95" customHeight="1" x14ac:dyDescent="0.25"/>
    <row r="312" ht="24.95" customHeight="1" x14ac:dyDescent="0.25"/>
    <row r="313" ht="24.95" customHeight="1" x14ac:dyDescent="0.25"/>
    <row r="314" ht="24.95" customHeight="1" x14ac:dyDescent="0.25"/>
    <row r="315" ht="24.95" customHeight="1" x14ac:dyDescent="0.25"/>
    <row r="316" ht="24.95" customHeight="1" x14ac:dyDescent="0.25"/>
    <row r="317" ht="24.95" customHeight="1" x14ac:dyDescent="0.25"/>
    <row r="318" ht="24.95" customHeight="1" x14ac:dyDescent="0.25"/>
    <row r="319" ht="24.95" customHeight="1" x14ac:dyDescent="0.25"/>
    <row r="320" ht="24.95" customHeight="1" x14ac:dyDescent="0.25"/>
    <row r="321" ht="24.95" customHeight="1" x14ac:dyDescent="0.25"/>
    <row r="322" ht="24.95" customHeight="1" x14ac:dyDescent="0.25"/>
    <row r="323" ht="24.95" customHeight="1" x14ac:dyDescent="0.25"/>
    <row r="324" ht="24.95" customHeight="1" x14ac:dyDescent="0.25"/>
    <row r="325" ht="24.95" customHeight="1" x14ac:dyDescent="0.25"/>
    <row r="326" ht="24.95" customHeight="1" x14ac:dyDescent="0.25"/>
    <row r="327" ht="24.95" customHeight="1" x14ac:dyDescent="0.25"/>
    <row r="328" ht="24.95" customHeight="1" x14ac:dyDescent="0.25"/>
    <row r="329" ht="24.95" customHeight="1" x14ac:dyDescent="0.25"/>
  </sheetData>
  <conditionalFormatting sqref="K2 M2">
    <cfRule type="duplicateValues" dxfId="688" priority="301"/>
  </conditionalFormatting>
  <conditionalFormatting sqref="K2">
    <cfRule type="duplicateValues" dxfId="687" priority="291"/>
  </conditionalFormatting>
  <conditionalFormatting sqref="K3:K10">
    <cfRule type="duplicateValues" dxfId="686" priority="278"/>
  </conditionalFormatting>
  <conditionalFormatting sqref="K7:K8">
    <cfRule type="duplicateValues" dxfId="685" priority="289"/>
  </conditionalFormatting>
  <conditionalFormatting sqref="K9:K10">
    <cfRule type="duplicateValues" dxfId="684" priority="290"/>
  </conditionalFormatting>
  <conditionalFormatting sqref="K11:K33">
    <cfRule type="duplicateValues" dxfId="683" priority="258"/>
  </conditionalFormatting>
  <conditionalFormatting sqref="K14:K15">
    <cfRule type="duplicateValues" dxfId="682" priority="277"/>
  </conditionalFormatting>
  <conditionalFormatting sqref="K16">
    <cfRule type="duplicateValues" dxfId="681" priority="271"/>
  </conditionalFormatting>
  <conditionalFormatting sqref="K30:K31 K11:K12 K33">
    <cfRule type="duplicateValues" dxfId="680" priority="274"/>
  </conditionalFormatting>
  <conditionalFormatting sqref="K32">
    <cfRule type="duplicateValues" dxfId="679" priority="276"/>
  </conditionalFormatting>
  <conditionalFormatting sqref="K34">
    <cfRule type="duplicateValues" dxfId="678" priority="247"/>
    <cfRule type="duplicateValues" dxfId="677" priority="257"/>
  </conditionalFormatting>
  <conditionalFormatting sqref="K35:K66">
    <cfRule type="duplicateValues" dxfId="676" priority="147"/>
  </conditionalFormatting>
  <conditionalFormatting sqref="K36">
    <cfRule type="duplicateValues" dxfId="675" priority="198"/>
  </conditionalFormatting>
  <conditionalFormatting sqref="K46">
    <cfRule type="duplicateValues" dxfId="674" priority="246"/>
  </conditionalFormatting>
  <conditionalFormatting sqref="K47">
    <cfRule type="duplicateValues" dxfId="673" priority="242"/>
  </conditionalFormatting>
  <conditionalFormatting sqref="K49">
    <cfRule type="duplicateValues" dxfId="672" priority="244"/>
  </conditionalFormatting>
  <conditionalFormatting sqref="K62">
    <cfRule type="duplicateValues" dxfId="671" priority="243"/>
  </conditionalFormatting>
  <conditionalFormatting sqref="K67:K70 M67:M70 O67:O70">
    <cfRule type="duplicateValues" dxfId="670" priority="146"/>
  </conditionalFormatting>
  <conditionalFormatting sqref="K67:K70">
    <cfRule type="duplicateValues" dxfId="669" priority="136"/>
  </conditionalFormatting>
  <conditionalFormatting sqref="K71:K83">
    <cfRule type="duplicateValues" dxfId="668" priority="123"/>
  </conditionalFormatting>
  <conditionalFormatting sqref="K76">
    <cfRule type="duplicateValues" dxfId="667" priority="133"/>
  </conditionalFormatting>
  <conditionalFormatting sqref="K78 K80:K81">
    <cfRule type="duplicateValues" dxfId="666" priority="135"/>
  </conditionalFormatting>
  <conditionalFormatting sqref="K84:K85">
    <cfRule type="duplicateValues" dxfId="665" priority="112"/>
  </conditionalFormatting>
  <conditionalFormatting sqref="K86:K113">
    <cfRule type="duplicateValues" dxfId="664" priority="84"/>
  </conditionalFormatting>
  <conditionalFormatting sqref="K96:K113">
    <cfRule type="duplicateValues" dxfId="663" priority="109"/>
  </conditionalFormatting>
  <conditionalFormatting sqref="K114">
    <cfRule type="duplicateValues" dxfId="662" priority="73"/>
  </conditionalFormatting>
  <conditionalFormatting sqref="K115">
    <cfRule type="duplicateValues" dxfId="661" priority="62"/>
    <cfRule type="duplicateValues" dxfId="660" priority="70"/>
  </conditionalFormatting>
  <conditionalFormatting sqref="K116:K117">
    <cfRule type="duplicateValues" dxfId="659" priority="59"/>
  </conditionalFormatting>
  <conditionalFormatting sqref="K116:K141">
    <cfRule type="duplicateValues" dxfId="658" priority="51"/>
  </conditionalFormatting>
  <conditionalFormatting sqref="K142:K151">
    <cfRule type="duplicateValues" dxfId="657" priority="41"/>
  </conditionalFormatting>
  <conditionalFormatting sqref="K152:K159">
    <cfRule type="duplicateValues" dxfId="656" priority="32"/>
  </conditionalFormatting>
  <conditionalFormatting sqref="L2">
    <cfRule type="duplicateValues" dxfId="655" priority="292"/>
    <cfRule type="duplicateValues" dxfId="654" priority="293"/>
    <cfRule type="duplicateValues" dxfId="653" priority="294"/>
    <cfRule type="duplicateValues" dxfId="652" priority="295"/>
    <cfRule type="duplicateValues" dxfId="651" priority="296"/>
    <cfRule type="duplicateValues" dxfId="650" priority="297"/>
    <cfRule type="duplicateValues" dxfId="649" priority="298"/>
    <cfRule type="duplicateValues" dxfId="648" priority="299"/>
    <cfRule type="duplicateValues" dxfId="647" priority="300"/>
  </conditionalFormatting>
  <conditionalFormatting sqref="L3:L10">
    <cfRule type="duplicateValues" dxfId="646" priority="279"/>
    <cfRule type="duplicateValues" dxfId="645" priority="280"/>
    <cfRule type="duplicateValues" dxfId="644" priority="281"/>
    <cfRule type="duplicateValues" dxfId="643" priority="282"/>
    <cfRule type="duplicateValues" dxfId="642" priority="283"/>
    <cfRule type="duplicateValues" dxfId="641" priority="284"/>
    <cfRule type="duplicateValues" dxfId="640" priority="285"/>
    <cfRule type="duplicateValues" dxfId="639" priority="286"/>
    <cfRule type="duplicateValues" dxfId="638" priority="287"/>
  </conditionalFormatting>
  <conditionalFormatting sqref="L11:L16 L30:L33">
    <cfRule type="duplicateValues" dxfId="637" priority="272"/>
    <cfRule type="duplicateValues" dxfId="636" priority="273"/>
  </conditionalFormatting>
  <conditionalFormatting sqref="L11:L33">
    <cfRule type="duplicateValues" dxfId="635" priority="259"/>
    <cfRule type="duplicateValues" dxfId="634" priority="260"/>
    <cfRule type="duplicateValues" dxfId="633" priority="261"/>
    <cfRule type="duplicateValues" dxfId="632" priority="262"/>
  </conditionalFormatting>
  <conditionalFormatting sqref="L27:L28">
    <cfRule type="duplicateValues" dxfId="631" priority="266"/>
    <cfRule type="duplicateValues" dxfId="630" priority="267"/>
    <cfRule type="duplicateValues" dxfId="629" priority="268"/>
    <cfRule type="duplicateValues" dxfId="628" priority="269"/>
    <cfRule type="duplicateValues" dxfId="627" priority="270"/>
  </conditionalFormatting>
  <conditionalFormatting sqref="L30:L33 L11:L16">
    <cfRule type="duplicateValues" dxfId="626" priority="263"/>
    <cfRule type="duplicateValues" dxfId="625" priority="264"/>
    <cfRule type="duplicateValues" dxfId="624" priority="265"/>
  </conditionalFormatting>
  <conditionalFormatting sqref="L34">
    <cfRule type="duplicateValues" dxfId="623" priority="248"/>
    <cfRule type="duplicateValues" dxfId="622" priority="249"/>
    <cfRule type="duplicateValues" dxfId="621" priority="250"/>
    <cfRule type="duplicateValues" dxfId="620" priority="251"/>
    <cfRule type="duplicateValues" dxfId="619" priority="252"/>
    <cfRule type="duplicateValues" dxfId="618" priority="253"/>
    <cfRule type="duplicateValues" dxfId="617" priority="254"/>
    <cfRule type="duplicateValues" dxfId="616" priority="255"/>
    <cfRule type="duplicateValues" dxfId="615" priority="256"/>
  </conditionalFormatting>
  <conditionalFormatting sqref="L35:L50 L62:L66">
    <cfRule type="duplicateValues" dxfId="614" priority="167"/>
  </conditionalFormatting>
  <conditionalFormatting sqref="L35:L66">
    <cfRule type="duplicateValues" dxfId="613" priority="156"/>
  </conditionalFormatting>
  <conditionalFormatting sqref="L51:L61">
    <cfRule type="duplicateValues" dxfId="612" priority="165"/>
  </conditionalFormatting>
  <conditionalFormatting sqref="L67:L70">
    <cfRule type="duplicateValues" dxfId="611" priority="137"/>
    <cfRule type="duplicateValues" dxfId="610" priority="138"/>
    <cfRule type="duplicateValues" dxfId="609" priority="139"/>
    <cfRule type="duplicateValues" dxfId="608" priority="140"/>
    <cfRule type="duplicateValues" dxfId="607" priority="141"/>
    <cfRule type="duplicateValues" dxfId="606" priority="142"/>
    <cfRule type="duplicateValues" dxfId="605" priority="143"/>
    <cfRule type="duplicateValues" dxfId="604" priority="144"/>
    <cfRule type="duplicateValues" dxfId="603" priority="145"/>
  </conditionalFormatting>
  <conditionalFormatting sqref="L71:L82">
    <cfRule type="duplicateValues" dxfId="602" priority="124"/>
    <cfRule type="duplicateValues" dxfId="601" priority="125"/>
    <cfRule type="duplicateValues" dxfId="600" priority="126"/>
    <cfRule type="duplicateValues" dxfId="599" priority="127"/>
    <cfRule type="duplicateValues" dxfId="598" priority="128"/>
    <cfRule type="duplicateValues" dxfId="597" priority="129"/>
    <cfRule type="duplicateValues" dxfId="596" priority="130"/>
    <cfRule type="duplicateValues" dxfId="595" priority="131"/>
    <cfRule type="duplicateValues" dxfId="594" priority="132"/>
  </conditionalFormatting>
  <conditionalFormatting sqref="L83:L85">
    <cfRule type="duplicateValues" dxfId="593" priority="14"/>
    <cfRule type="duplicateValues" dxfId="592" priority="15"/>
    <cfRule type="duplicateValues" dxfId="591" priority="16"/>
    <cfRule type="duplicateValues" dxfId="590" priority="17"/>
    <cfRule type="duplicateValues" dxfId="589" priority="18"/>
    <cfRule type="duplicateValues" dxfId="588" priority="19"/>
    <cfRule type="duplicateValues" dxfId="587" priority="20"/>
    <cfRule type="duplicateValues" dxfId="586" priority="21"/>
    <cfRule type="duplicateValues" dxfId="585" priority="22"/>
  </conditionalFormatting>
  <conditionalFormatting sqref="L86:L96">
    <cfRule type="duplicateValues" dxfId="584" priority="86"/>
    <cfRule type="duplicateValues" dxfId="583" priority="87"/>
    <cfRule type="duplicateValues" dxfId="582" priority="88"/>
    <cfRule type="duplicateValues" dxfId="581" priority="89"/>
    <cfRule type="duplicateValues" dxfId="580" priority="90"/>
    <cfRule type="duplicateValues" dxfId="579" priority="91"/>
    <cfRule type="duplicateValues" dxfId="578" priority="92"/>
    <cfRule type="duplicateValues" dxfId="577" priority="93"/>
    <cfRule type="duplicateValues" dxfId="576" priority="94"/>
  </conditionalFormatting>
  <conditionalFormatting sqref="L97:L113">
    <cfRule type="duplicateValues" dxfId="575" priority="85"/>
  </conditionalFormatting>
  <conditionalFormatting sqref="L111">
    <cfRule type="duplicateValues" dxfId="574" priority="95"/>
    <cfRule type="duplicateValues" dxfId="573" priority="96"/>
    <cfRule type="duplicateValues" dxfId="572" priority="97"/>
    <cfRule type="duplicateValues" dxfId="571" priority="98"/>
    <cfRule type="duplicateValues" dxfId="570" priority="99"/>
    <cfRule type="duplicateValues" dxfId="569" priority="100"/>
    <cfRule type="duplicateValues" dxfId="568" priority="101"/>
    <cfRule type="duplicateValues" dxfId="567" priority="102"/>
  </conditionalFormatting>
  <conditionalFormatting sqref="L112:L113 L97:L110">
    <cfRule type="duplicateValues" dxfId="566" priority="111"/>
  </conditionalFormatting>
  <conditionalFormatting sqref="L112:L113">
    <cfRule type="duplicateValues" dxfId="565" priority="103"/>
    <cfRule type="duplicateValues" dxfId="564" priority="104"/>
    <cfRule type="duplicateValues" dxfId="563" priority="105"/>
    <cfRule type="duplicateValues" dxfId="562" priority="106"/>
    <cfRule type="duplicateValues" dxfId="561" priority="107"/>
    <cfRule type="duplicateValues" dxfId="560" priority="108"/>
    <cfRule type="duplicateValues" dxfId="559" priority="110"/>
  </conditionalFormatting>
  <conditionalFormatting sqref="L114">
    <cfRule type="duplicateValues" dxfId="558" priority="74"/>
    <cfRule type="duplicateValues" dxfId="557" priority="75"/>
    <cfRule type="duplicateValues" dxfId="556" priority="76"/>
    <cfRule type="duplicateValues" dxfId="555" priority="77"/>
    <cfRule type="duplicateValues" dxfId="554" priority="78"/>
    <cfRule type="duplicateValues" dxfId="553" priority="79"/>
    <cfRule type="duplicateValues" dxfId="552" priority="80"/>
    <cfRule type="duplicateValues" dxfId="551" priority="81"/>
    <cfRule type="duplicateValues" dxfId="550" priority="82"/>
  </conditionalFormatting>
  <conditionalFormatting sqref="L115">
    <cfRule type="duplicateValues" dxfId="549" priority="63"/>
    <cfRule type="duplicateValues" dxfId="548" priority="64"/>
    <cfRule type="duplicateValues" dxfId="547" priority="65"/>
    <cfRule type="duplicateValues" dxfId="546" priority="66"/>
    <cfRule type="duplicateValues" dxfId="545" priority="67"/>
    <cfRule type="duplicateValues" dxfId="544" priority="68"/>
    <cfRule type="duplicateValues" dxfId="543" priority="69"/>
    <cfRule type="duplicateValues" dxfId="542" priority="71"/>
    <cfRule type="duplicateValues" dxfId="541" priority="72"/>
  </conditionalFormatting>
  <conditionalFormatting sqref="L116:L141">
    <cfRule type="duplicateValues" dxfId="540" priority="52"/>
    <cfRule type="duplicateValues" dxfId="539" priority="53"/>
    <cfRule type="duplicateValues" dxfId="538" priority="54"/>
    <cfRule type="duplicateValues" dxfId="537" priority="55"/>
    <cfRule type="duplicateValues" dxfId="536" priority="56"/>
    <cfRule type="duplicateValues" dxfId="535" priority="57"/>
    <cfRule type="duplicateValues" dxfId="534" priority="58"/>
    <cfRule type="duplicateValues" dxfId="533" priority="60"/>
    <cfRule type="duplicateValues" dxfId="532" priority="61"/>
  </conditionalFormatting>
  <conditionalFormatting sqref="L142:L151">
    <cfRule type="duplicateValues" dxfId="531" priority="42"/>
    <cfRule type="duplicateValues" dxfId="530" priority="43"/>
    <cfRule type="duplicateValues" dxfId="529" priority="44"/>
    <cfRule type="duplicateValues" dxfId="528" priority="45"/>
    <cfRule type="duplicateValues" dxfId="527" priority="46"/>
    <cfRule type="duplicateValues" dxfId="526" priority="47"/>
    <cfRule type="duplicateValues" dxfId="525" priority="48"/>
    <cfRule type="duplicateValues" dxfId="524" priority="49"/>
    <cfRule type="duplicateValues" dxfId="523" priority="50"/>
  </conditionalFormatting>
  <conditionalFormatting sqref="L152:L159">
    <cfRule type="duplicateValues" dxfId="522" priority="33"/>
    <cfRule type="duplicateValues" dxfId="521" priority="34"/>
    <cfRule type="duplicateValues" dxfId="520" priority="36"/>
    <cfRule type="duplicateValues" dxfId="519" priority="37"/>
    <cfRule type="duplicateValues" dxfId="518" priority="38"/>
    <cfRule type="duplicateValues" dxfId="517" priority="39"/>
    <cfRule type="duplicateValues" dxfId="516" priority="40"/>
  </conditionalFormatting>
  <conditionalFormatting sqref="L160:L186">
    <cfRule type="duplicateValues" dxfId="515" priority="2"/>
    <cfRule type="duplicateValues" dxfId="514" priority="3"/>
    <cfRule type="duplicateValues" dxfId="513" priority="4"/>
    <cfRule type="duplicateValues" dxfId="512" priority="5"/>
    <cfRule type="duplicateValues" dxfId="511" priority="6"/>
    <cfRule type="duplicateValues" dxfId="510" priority="7"/>
    <cfRule type="duplicateValues" dxfId="509" priority="8"/>
    <cfRule type="duplicateValues" dxfId="508" priority="9"/>
    <cfRule type="duplicateValues" dxfId="507" priority="10"/>
    <cfRule type="duplicateValues" dxfId="506" priority="11"/>
  </conditionalFormatting>
  <conditionalFormatting sqref="L152:O159">
    <cfRule type="duplicateValues" dxfId="505" priority="35"/>
  </conditionalFormatting>
  <conditionalFormatting sqref="M32">
    <cfRule type="duplicateValues" dxfId="504" priority="275"/>
  </conditionalFormatting>
  <conditionalFormatting sqref="M46">
    <cfRule type="duplicateValues" dxfId="503" priority="245"/>
  </conditionalFormatting>
  <conditionalFormatting sqref="M84:M85 R84:R85">
    <cfRule type="duplicateValues" dxfId="502" priority="122"/>
  </conditionalFormatting>
  <conditionalFormatting sqref="M161:M163 M169 P165:P166 M165:M166 O169">
    <cfRule type="duplicateValues" dxfId="501" priority="12"/>
  </conditionalFormatting>
  <conditionalFormatting sqref="M114:O114">
    <cfRule type="duplicateValues" dxfId="500" priority="83"/>
  </conditionalFormatting>
  <conditionalFormatting sqref="M170:R177">
    <cfRule type="duplicateValues" dxfId="499" priority="1"/>
  </conditionalFormatting>
  <conditionalFormatting sqref="O66 K66 M66">
    <cfRule type="duplicateValues" dxfId="498" priority="193"/>
  </conditionalFormatting>
  <conditionalFormatting sqref="O79 M79">
    <cfRule type="duplicateValues" dxfId="497" priority="134"/>
  </conditionalFormatting>
  <conditionalFormatting sqref="O162:O163">
    <cfRule type="duplicateValues" dxfId="496" priority="13"/>
  </conditionalFormatting>
  <conditionalFormatting sqref="P3 P5:P7 M9 M10:N10 K3:K6 M3:M4 M5:N8">
    <cfRule type="duplicateValues" dxfId="495" priority="288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FF00"/>
  </sheetPr>
  <dimension ref="A2:K4"/>
  <sheetViews>
    <sheetView rightToLeft="1" zoomScale="70" zoomScaleNormal="70" workbookViewId="0">
      <selection activeCell="C11" sqref="C11"/>
    </sheetView>
  </sheetViews>
  <sheetFormatPr defaultRowHeight="15" x14ac:dyDescent="0.25"/>
  <cols>
    <col min="1" max="1" width="5.7109375" bestFit="1" customWidth="1"/>
    <col min="2" max="2" width="12.85546875" bestFit="1" customWidth="1"/>
    <col min="3" max="3" width="12.28515625" bestFit="1" customWidth="1"/>
    <col min="4" max="4" width="8" bestFit="1" customWidth="1"/>
    <col min="5" max="5" width="2.85546875" bestFit="1" customWidth="1"/>
    <col min="6" max="6" width="20" bestFit="1" customWidth="1"/>
    <col min="7" max="7" width="11.28515625" bestFit="1" customWidth="1"/>
    <col min="8" max="8" width="13.140625" bestFit="1" customWidth="1"/>
    <col min="9" max="9" width="23.5703125" bestFit="1" customWidth="1"/>
    <col min="10" max="10" width="18.42578125" bestFit="1" customWidth="1"/>
    <col min="11" max="11" width="10" bestFit="1" customWidth="1"/>
    <col min="12" max="12" width="34.140625" bestFit="1" customWidth="1"/>
    <col min="13" max="14" width="10" bestFit="1" customWidth="1"/>
  </cols>
  <sheetData>
    <row r="2" spans="1:11" ht="18.75" x14ac:dyDescent="0.25">
      <c r="A2" s="20">
        <v>461</v>
      </c>
      <c r="B2" s="20" t="s">
        <v>1896</v>
      </c>
      <c r="C2" s="19" t="str">
        <f>VLOOKUP(B2,'لیست پرسنل'!$A$2:$D$1016,3,FALSE)</f>
        <v>فکورصنعت</v>
      </c>
      <c r="D2" s="19" t="str">
        <f>VLOOKUP(B2,'لیست پرسنل'!$A$2:$D$1016,4,FALSE)</f>
        <v>مکانیک</v>
      </c>
      <c r="E2" s="19">
        <f>VLOOKUP(B2,'لیست پرسنل'!$A$2:$E$1016,2,FALSE)</f>
        <v>0</v>
      </c>
      <c r="F2" s="20" t="s">
        <v>1018</v>
      </c>
      <c r="G2" s="20" t="s">
        <v>1897</v>
      </c>
      <c r="H2" s="20" t="s">
        <v>102</v>
      </c>
      <c r="I2" s="20" t="s">
        <v>226</v>
      </c>
      <c r="J2" s="20" t="s">
        <v>1252</v>
      </c>
      <c r="K2" s="19">
        <v>633735</v>
      </c>
    </row>
    <row r="3" spans="1:11" ht="18.75" x14ac:dyDescent="0.25">
      <c r="A3" s="74">
        <v>461</v>
      </c>
      <c r="B3" s="20" t="s">
        <v>1896</v>
      </c>
      <c r="C3" s="75" t="str">
        <f>VLOOKUP(B3,'لیست پرسنل'!$A$2:$D$1016,3,FALSE)</f>
        <v>فکورصنعت</v>
      </c>
      <c r="D3" s="19" t="str">
        <f>VLOOKUP(B3,'لیست پرسنل'!$A$2:$D$1016,4,FALSE)</f>
        <v>مکانیک</v>
      </c>
      <c r="E3" s="19">
        <f>VLOOKUP(B3,'لیست پرسنل'!$A$2:$E$1016,2,FALSE)</f>
        <v>0</v>
      </c>
      <c r="F3" s="74" t="s">
        <v>1018</v>
      </c>
      <c r="G3" s="20" t="s">
        <v>1897</v>
      </c>
      <c r="H3" s="74" t="s">
        <v>153</v>
      </c>
      <c r="I3" s="20" t="s">
        <v>1793</v>
      </c>
      <c r="J3" s="19"/>
      <c r="K3" s="19">
        <v>635098</v>
      </c>
    </row>
    <row r="4" spans="1:11" ht="18.75" x14ac:dyDescent="0.25">
      <c r="A4" s="20">
        <v>461</v>
      </c>
      <c r="B4" s="20" t="s">
        <v>1896</v>
      </c>
      <c r="C4" s="19" t="str">
        <f>VLOOKUP(B4,'لیست پرسنل'!$A$2:$D$1016,3,FALSE)</f>
        <v>فکورصنعت</v>
      </c>
      <c r="D4" s="19" t="str">
        <f>VLOOKUP(B4,'لیست پرسنل'!$A$2:$D$1016,4,FALSE)</f>
        <v>مکانیک</v>
      </c>
      <c r="E4" s="19">
        <f>VLOOKUP(B4,'لیست پرسنل'!$A$2:$E$1016,2,FALSE)</f>
        <v>0</v>
      </c>
      <c r="F4" s="20" t="s">
        <v>1018</v>
      </c>
      <c r="G4" s="20" t="s">
        <v>1897</v>
      </c>
      <c r="H4" s="20" t="s">
        <v>439</v>
      </c>
      <c r="I4" s="20" t="s">
        <v>489</v>
      </c>
      <c r="J4" s="19" t="s">
        <v>491</v>
      </c>
      <c r="K4" s="19">
        <v>626460</v>
      </c>
    </row>
  </sheetData>
  <conditionalFormatting sqref="J2:J4">
    <cfRule type="duplicateValues" dxfId="494" priority="4"/>
  </conditionalFormatting>
  <conditionalFormatting sqref="K2:K4">
    <cfRule type="duplicateValues" dxfId="493" priority="1"/>
    <cfRule type="duplicateValues" dxfId="492" priority="2"/>
    <cfRule type="duplicateValues" dxfId="491" priority="3"/>
    <cfRule type="duplicateValues" dxfId="490" priority="5"/>
    <cfRule type="duplicateValues" dxfId="489" priority="6"/>
    <cfRule type="duplicateValues" dxfId="488" priority="7"/>
    <cfRule type="duplicateValues" dxfId="487" priority="8"/>
    <cfRule type="duplicateValues" dxfId="486" priority="9"/>
    <cfRule type="duplicateValues" dxfId="485" priority="10"/>
    <cfRule type="duplicateValues" dxfId="484" priority="11"/>
    <cfRule type="duplicateValues" dxfId="483" priority="12"/>
    <cfRule type="duplicateValues" dxfId="482" priority="13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7">
    <tabColor rgb="FF7030A0"/>
  </sheetPr>
  <dimension ref="A1:G153"/>
  <sheetViews>
    <sheetView rightToLeft="1" zoomScale="70" zoomScaleNormal="70" workbookViewId="0">
      <pane ySplit="2" topLeftCell="A138" activePane="bottomLeft" state="frozen"/>
      <selection activeCell="E25" sqref="E25"/>
      <selection pane="bottomLeft" activeCell="D152" sqref="D152"/>
    </sheetView>
  </sheetViews>
  <sheetFormatPr defaultRowHeight="15" x14ac:dyDescent="0.25"/>
  <cols>
    <col min="1" max="1" width="21.85546875" customWidth="1"/>
    <col min="2" max="2" width="51.42578125" customWidth="1"/>
    <col min="3" max="3" width="32" bestFit="1" customWidth="1"/>
    <col min="4" max="4" width="14" customWidth="1"/>
    <col min="5" max="5" width="91.42578125" customWidth="1"/>
    <col min="6" max="6" width="44.42578125" customWidth="1"/>
    <col min="7" max="7" width="25.42578125" bestFit="1" customWidth="1"/>
    <col min="12" max="12" width="9" customWidth="1"/>
  </cols>
  <sheetData>
    <row r="1" spans="1:7" ht="61.5" customHeight="1" x14ac:dyDescent="0.25">
      <c r="A1" s="103" t="s">
        <v>157</v>
      </c>
      <c r="B1" s="104"/>
      <c r="C1" s="104"/>
      <c r="D1" s="105"/>
      <c r="E1" s="49"/>
    </row>
    <row r="2" spans="1:7" s="8" customFormat="1" ht="27.6" customHeight="1" x14ac:dyDescent="0.25">
      <c r="A2" s="62" t="s">
        <v>154</v>
      </c>
      <c r="B2" s="62" t="s">
        <v>155</v>
      </c>
      <c r="C2" s="62" t="s">
        <v>121</v>
      </c>
      <c r="D2" s="62" t="s">
        <v>120</v>
      </c>
      <c r="E2" s="62" t="s">
        <v>156</v>
      </c>
      <c r="F2" s="62" t="s">
        <v>1727</v>
      </c>
      <c r="G2" s="62" t="s">
        <v>1972</v>
      </c>
    </row>
    <row r="3" spans="1:7" ht="27.6" customHeight="1" x14ac:dyDescent="0.25">
      <c r="A3" s="20" t="s">
        <v>158</v>
      </c>
      <c r="B3" s="20" t="s">
        <v>122</v>
      </c>
      <c r="C3" s="24" t="s">
        <v>171</v>
      </c>
      <c r="D3" s="30">
        <v>605441</v>
      </c>
      <c r="E3" s="26" t="s">
        <v>181</v>
      </c>
      <c r="F3" s="28" t="s">
        <v>1724</v>
      </c>
      <c r="G3" s="28"/>
    </row>
    <row r="4" spans="1:7" ht="27.6" customHeight="1" x14ac:dyDescent="0.25">
      <c r="A4" s="20" t="s">
        <v>158</v>
      </c>
      <c r="B4" s="20" t="s">
        <v>176</v>
      </c>
      <c r="C4" s="20" t="s">
        <v>177</v>
      </c>
      <c r="D4" s="20">
        <v>611436</v>
      </c>
      <c r="E4" s="26" t="s">
        <v>178</v>
      </c>
      <c r="F4" s="28" t="s">
        <v>1726</v>
      </c>
      <c r="G4" s="28"/>
    </row>
    <row r="5" spans="1:7" ht="27.6" customHeight="1" x14ac:dyDescent="0.25">
      <c r="A5" s="20" t="s">
        <v>213</v>
      </c>
      <c r="B5" s="7" t="s">
        <v>77</v>
      </c>
      <c r="C5" s="7" t="s">
        <v>78</v>
      </c>
      <c r="D5" s="17">
        <v>606814</v>
      </c>
      <c r="E5" s="26" t="s">
        <v>212</v>
      </c>
      <c r="F5" s="28" t="s">
        <v>1724</v>
      </c>
      <c r="G5" s="28"/>
    </row>
    <row r="6" spans="1:7" ht="27.6" customHeight="1" x14ac:dyDescent="0.25">
      <c r="A6" s="20" t="s">
        <v>158</v>
      </c>
      <c r="B6" s="27" t="s">
        <v>130</v>
      </c>
      <c r="C6" s="27" t="s">
        <v>131</v>
      </c>
      <c r="D6" s="27">
        <v>609604</v>
      </c>
      <c r="E6" s="34" t="s">
        <v>203</v>
      </c>
      <c r="F6" s="28" t="s">
        <v>1724</v>
      </c>
      <c r="G6" s="28"/>
    </row>
    <row r="7" spans="1:7" ht="27.6" customHeight="1" x14ac:dyDescent="0.25">
      <c r="A7" s="20" t="s">
        <v>158</v>
      </c>
      <c r="B7" s="7" t="s">
        <v>91</v>
      </c>
      <c r="C7" s="23">
        <v>722006012072875</v>
      </c>
      <c r="D7" s="20">
        <v>603251</v>
      </c>
      <c r="E7" s="34" t="s">
        <v>209</v>
      </c>
      <c r="F7" s="28" t="s">
        <v>1724</v>
      </c>
      <c r="G7" s="28"/>
    </row>
    <row r="8" spans="1:7" ht="27.6" customHeight="1" x14ac:dyDescent="0.25">
      <c r="A8" s="20" t="s">
        <v>158</v>
      </c>
      <c r="B8" s="22" t="s">
        <v>36</v>
      </c>
      <c r="C8" s="22" t="s">
        <v>37</v>
      </c>
      <c r="D8" s="20">
        <v>613925</v>
      </c>
      <c r="E8" s="34" t="s">
        <v>208</v>
      </c>
      <c r="F8" s="28" t="s">
        <v>1724</v>
      </c>
      <c r="G8" s="28"/>
    </row>
    <row r="9" spans="1:7" ht="27.6" customHeight="1" x14ac:dyDescent="0.25">
      <c r="A9" s="20" t="s">
        <v>210</v>
      </c>
      <c r="B9" s="24" t="s">
        <v>164</v>
      </c>
      <c r="C9" s="33" t="s">
        <v>161</v>
      </c>
      <c r="D9" s="20">
        <v>613144</v>
      </c>
      <c r="E9" s="34" t="s">
        <v>214</v>
      </c>
      <c r="F9" s="28" t="s">
        <v>1724</v>
      </c>
      <c r="G9" s="28"/>
    </row>
    <row r="10" spans="1:7" ht="27.6" customHeight="1" x14ac:dyDescent="0.25">
      <c r="A10" s="20" t="s">
        <v>211</v>
      </c>
      <c r="B10" s="20" t="s">
        <v>205</v>
      </c>
      <c r="C10" s="20" t="s">
        <v>204</v>
      </c>
      <c r="D10" s="20">
        <v>623228</v>
      </c>
      <c r="E10" s="34" t="s">
        <v>222</v>
      </c>
      <c r="F10" s="28" t="s">
        <v>1724</v>
      </c>
      <c r="G10" s="28"/>
    </row>
    <row r="11" spans="1:7" ht="27.6" customHeight="1" x14ac:dyDescent="0.25">
      <c r="A11" s="20" t="s">
        <v>210</v>
      </c>
      <c r="B11" s="20" t="s">
        <v>206</v>
      </c>
      <c r="C11" s="20"/>
      <c r="D11" s="20">
        <v>612105</v>
      </c>
      <c r="E11" s="34" t="s">
        <v>218</v>
      </c>
      <c r="F11" s="28" t="s">
        <v>1724</v>
      </c>
      <c r="G11" s="28"/>
    </row>
    <row r="12" spans="1:7" ht="27.6" customHeight="1" x14ac:dyDescent="0.6">
      <c r="A12" s="20" t="s">
        <v>158</v>
      </c>
      <c r="B12" s="19" t="s">
        <v>91</v>
      </c>
      <c r="C12" s="39" t="s">
        <v>228</v>
      </c>
      <c r="D12" s="20">
        <v>603305</v>
      </c>
      <c r="E12" s="42" t="s">
        <v>259</v>
      </c>
      <c r="F12" s="28" t="s">
        <v>1724</v>
      </c>
      <c r="G12" s="28"/>
    </row>
    <row r="13" spans="1:7" ht="27.6" customHeight="1" x14ac:dyDescent="0.35">
      <c r="A13" s="20" t="s">
        <v>158</v>
      </c>
      <c r="B13" s="22" t="s">
        <v>91</v>
      </c>
      <c r="C13" s="38" t="s">
        <v>230</v>
      </c>
      <c r="D13" s="6">
        <v>603356</v>
      </c>
      <c r="E13" s="34" t="s">
        <v>231</v>
      </c>
      <c r="F13" s="28" t="s">
        <v>1724</v>
      </c>
      <c r="G13" s="28"/>
    </row>
    <row r="14" spans="1:7" ht="27.6" customHeight="1" x14ac:dyDescent="0.25">
      <c r="A14" s="20" t="s">
        <v>158</v>
      </c>
      <c r="B14" s="22" t="s">
        <v>91</v>
      </c>
      <c r="C14" s="25" t="s">
        <v>147</v>
      </c>
      <c r="D14" s="17">
        <v>600764</v>
      </c>
      <c r="E14" s="34" t="s">
        <v>236</v>
      </c>
      <c r="F14" s="28" t="s">
        <v>1724</v>
      </c>
      <c r="G14" s="28"/>
    </row>
    <row r="15" spans="1:7" ht="27.6" customHeight="1" x14ac:dyDescent="0.25">
      <c r="A15" s="20" t="s">
        <v>158</v>
      </c>
      <c r="B15" s="22" t="s">
        <v>91</v>
      </c>
      <c r="C15" s="36" t="s">
        <v>242</v>
      </c>
      <c r="D15" s="20">
        <v>604093</v>
      </c>
      <c r="E15" s="34" t="s">
        <v>244</v>
      </c>
      <c r="F15" s="28" t="s">
        <v>1724</v>
      </c>
      <c r="G15" s="28"/>
    </row>
    <row r="16" spans="1:7" ht="27.6" customHeight="1" x14ac:dyDescent="0.25">
      <c r="A16" s="20" t="s">
        <v>158</v>
      </c>
      <c r="B16" s="7" t="s">
        <v>96</v>
      </c>
      <c r="C16" s="7" t="s">
        <v>79</v>
      </c>
      <c r="D16" s="17">
        <v>603936</v>
      </c>
      <c r="E16" s="34" t="s">
        <v>245</v>
      </c>
      <c r="F16" s="28" t="s">
        <v>1724</v>
      </c>
      <c r="G16" s="28"/>
    </row>
    <row r="17" spans="1:7" ht="27.6" customHeight="1" x14ac:dyDescent="0.25">
      <c r="A17" s="20" t="s">
        <v>158</v>
      </c>
      <c r="B17" s="22" t="s">
        <v>91</v>
      </c>
      <c r="C17" s="37" t="s">
        <v>252</v>
      </c>
      <c r="D17" s="17">
        <v>609609</v>
      </c>
      <c r="E17" s="34" t="s">
        <v>258</v>
      </c>
      <c r="F17" s="28" t="s">
        <v>1724</v>
      </c>
      <c r="G17" s="28"/>
    </row>
    <row r="18" spans="1:7" ht="27.6" customHeight="1" x14ac:dyDescent="0.25">
      <c r="A18" s="20" t="s">
        <v>158</v>
      </c>
      <c r="B18" s="22" t="s">
        <v>83</v>
      </c>
      <c r="C18" s="37" t="s">
        <v>268</v>
      </c>
      <c r="D18" s="17">
        <v>608004</v>
      </c>
      <c r="E18" s="34" t="s">
        <v>269</v>
      </c>
      <c r="F18" s="28" t="s">
        <v>1724</v>
      </c>
      <c r="G18" s="28"/>
    </row>
    <row r="19" spans="1:7" ht="27.6" customHeight="1" x14ac:dyDescent="0.25">
      <c r="A19" s="106" t="s">
        <v>497</v>
      </c>
      <c r="B19" s="107"/>
      <c r="C19" s="107"/>
      <c r="D19" s="107"/>
      <c r="E19" s="107"/>
      <c r="F19" s="108"/>
    </row>
    <row r="20" spans="1:7" ht="27.6" customHeight="1" x14ac:dyDescent="0.25">
      <c r="A20" s="33"/>
      <c r="B20" s="24" t="s">
        <v>83</v>
      </c>
      <c r="C20" s="35" t="s">
        <v>445</v>
      </c>
      <c r="D20" s="17">
        <v>604975</v>
      </c>
      <c r="E20" s="19" t="s">
        <v>520</v>
      </c>
      <c r="F20" s="30" t="s">
        <v>522</v>
      </c>
      <c r="G20" s="30"/>
    </row>
    <row r="21" spans="1:7" ht="27.6" customHeight="1" x14ac:dyDescent="0.25">
      <c r="A21" s="30"/>
      <c r="B21" s="56" t="s">
        <v>307</v>
      </c>
      <c r="C21" s="57" t="s">
        <v>302</v>
      </c>
      <c r="D21" s="30">
        <v>609605</v>
      </c>
      <c r="E21" s="30" t="s">
        <v>521</v>
      </c>
      <c r="F21" s="30" t="s">
        <v>536</v>
      </c>
      <c r="G21" s="30"/>
    </row>
    <row r="22" spans="1:7" ht="27.6" customHeight="1" x14ac:dyDescent="0.25">
      <c r="A22" s="30"/>
      <c r="B22" s="30" t="s">
        <v>91</v>
      </c>
      <c r="C22" s="54" t="s">
        <v>279</v>
      </c>
      <c r="D22" s="30">
        <v>604092</v>
      </c>
      <c r="E22" s="30" t="s">
        <v>524</v>
      </c>
      <c r="F22" s="30" t="s">
        <v>813</v>
      </c>
      <c r="G22" s="30"/>
    </row>
    <row r="23" spans="1:7" ht="27.6" customHeight="1" x14ac:dyDescent="0.25">
      <c r="A23" s="30"/>
      <c r="B23" s="30" t="s">
        <v>91</v>
      </c>
      <c r="C23" s="54" t="s">
        <v>323</v>
      </c>
      <c r="D23" s="30">
        <v>601031</v>
      </c>
      <c r="E23" s="30" t="s">
        <v>519</v>
      </c>
      <c r="F23" s="30" t="s">
        <v>536</v>
      </c>
      <c r="G23" s="30"/>
    </row>
    <row r="24" spans="1:7" ht="27.6" customHeight="1" x14ac:dyDescent="0.25">
      <c r="A24" s="30"/>
      <c r="B24" s="30" t="s">
        <v>219</v>
      </c>
      <c r="C24" s="30" t="s">
        <v>234</v>
      </c>
      <c r="D24" s="30">
        <v>623630</v>
      </c>
      <c r="E24" s="30" t="s">
        <v>815</v>
      </c>
      <c r="F24" s="30" t="s">
        <v>1042</v>
      </c>
      <c r="G24" s="30"/>
    </row>
    <row r="25" spans="1:7" ht="27.6" customHeight="1" x14ac:dyDescent="0.25">
      <c r="A25" s="30"/>
      <c r="B25" s="17" t="s">
        <v>91</v>
      </c>
      <c r="C25" s="58">
        <v>722015205013365</v>
      </c>
      <c r="D25" s="30">
        <v>603171</v>
      </c>
      <c r="E25" s="30" t="s">
        <v>816</v>
      </c>
      <c r="F25" s="30" t="s">
        <v>821</v>
      </c>
      <c r="G25" s="30"/>
    </row>
    <row r="26" spans="1:7" ht="27.6" customHeight="1" x14ac:dyDescent="0.25">
      <c r="A26" s="30"/>
      <c r="B26" s="30" t="s">
        <v>277</v>
      </c>
      <c r="C26" s="30" t="s">
        <v>360</v>
      </c>
      <c r="D26" s="30">
        <v>610923</v>
      </c>
      <c r="E26" s="30" t="s">
        <v>968</v>
      </c>
      <c r="F26" s="30" t="s">
        <v>1055</v>
      </c>
      <c r="G26" s="30"/>
    </row>
    <row r="27" spans="1:7" ht="27.6" customHeight="1" x14ac:dyDescent="0.25">
      <c r="A27" s="30"/>
      <c r="B27" s="30" t="s">
        <v>277</v>
      </c>
      <c r="C27" s="30" t="s">
        <v>361</v>
      </c>
      <c r="D27" s="30">
        <v>611437</v>
      </c>
      <c r="E27" s="30" t="s">
        <v>968</v>
      </c>
      <c r="F27" s="30" t="s">
        <v>1041</v>
      </c>
      <c r="G27" s="30"/>
    </row>
    <row r="28" spans="1:7" ht="27.6" customHeight="1" x14ac:dyDescent="0.25">
      <c r="A28" s="30"/>
      <c r="B28" s="17" t="s">
        <v>83</v>
      </c>
      <c r="C28" s="54" t="s">
        <v>224</v>
      </c>
      <c r="D28" s="30">
        <v>603562</v>
      </c>
      <c r="E28" s="60" t="s">
        <v>970</v>
      </c>
      <c r="F28" s="30" t="s">
        <v>1041</v>
      </c>
      <c r="G28" s="30"/>
    </row>
    <row r="29" spans="1:7" ht="27.6" customHeight="1" x14ac:dyDescent="0.25">
      <c r="A29" s="30"/>
      <c r="B29" s="17" t="s">
        <v>96</v>
      </c>
      <c r="C29" s="54" t="s">
        <v>868</v>
      </c>
      <c r="D29" s="30">
        <v>601557</v>
      </c>
      <c r="E29" s="59" t="s">
        <v>971</v>
      </c>
      <c r="F29" s="30" t="s">
        <v>1041</v>
      </c>
      <c r="G29" s="30"/>
    </row>
    <row r="30" spans="1:7" ht="27.6" customHeight="1" x14ac:dyDescent="0.25">
      <c r="A30" s="30"/>
      <c r="B30" s="56" t="s">
        <v>309</v>
      </c>
      <c r="C30" s="54" t="s">
        <v>386</v>
      </c>
      <c r="D30" s="30">
        <v>628828</v>
      </c>
      <c r="E30" s="60" t="s">
        <v>973</v>
      </c>
      <c r="F30" s="30" t="s">
        <v>1041</v>
      </c>
      <c r="G30" s="30"/>
    </row>
    <row r="31" spans="1:7" ht="27.6" customHeight="1" x14ac:dyDescent="0.25">
      <c r="A31" s="30"/>
      <c r="B31" s="56" t="s">
        <v>309</v>
      </c>
      <c r="C31" s="54" t="s">
        <v>387</v>
      </c>
      <c r="D31" s="30">
        <v>628859</v>
      </c>
      <c r="E31" s="30" t="s">
        <v>972</v>
      </c>
      <c r="F31" s="30" t="s">
        <v>1041</v>
      </c>
      <c r="G31" s="30"/>
    </row>
    <row r="32" spans="1:7" ht="27.6" customHeight="1" x14ac:dyDescent="0.25">
      <c r="A32" s="30"/>
      <c r="B32" s="30" t="s">
        <v>969</v>
      </c>
      <c r="C32" s="54" t="s">
        <v>201</v>
      </c>
      <c r="D32" s="30">
        <v>606814</v>
      </c>
      <c r="E32" s="30" t="s">
        <v>974</v>
      </c>
      <c r="F32" s="30" t="s">
        <v>1055</v>
      </c>
      <c r="G32" s="30"/>
    </row>
    <row r="33" spans="1:7" ht="27.6" customHeight="1" x14ac:dyDescent="0.25">
      <c r="A33" s="30"/>
      <c r="B33" s="30" t="s">
        <v>91</v>
      </c>
      <c r="C33" s="40" t="s">
        <v>223</v>
      </c>
      <c r="D33" s="30">
        <v>604289</v>
      </c>
      <c r="E33" s="60" t="s">
        <v>1023</v>
      </c>
      <c r="F33" s="30" t="s">
        <v>1041</v>
      </c>
      <c r="G33" s="30"/>
    </row>
    <row r="34" spans="1:7" ht="27.6" customHeight="1" x14ac:dyDescent="0.25">
      <c r="A34" s="30"/>
      <c r="B34" s="30" t="s">
        <v>430</v>
      </c>
      <c r="C34" s="40" t="s">
        <v>967</v>
      </c>
      <c r="D34" s="30">
        <v>605715</v>
      </c>
      <c r="E34" s="30" t="s">
        <v>1024</v>
      </c>
      <c r="F34" s="30" t="s">
        <v>1041</v>
      </c>
      <c r="G34" s="30"/>
    </row>
    <row r="35" spans="1:7" ht="27.6" customHeight="1" x14ac:dyDescent="0.25">
      <c r="A35" s="30"/>
      <c r="B35" s="17" t="s">
        <v>24</v>
      </c>
      <c r="C35" s="17" t="s">
        <v>25</v>
      </c>
      <c r="D35" s="17">
        <v>610516</v>
      </c>
      <c r="E35" s="30" t="s">
        <v>1045</v>
      </c>
      <c r="F35" s="30" t="s">
        <v>1046</v>
      </c>
      <c r="G35" s="30"/>
    </row>
    <row r="36" spans="1:7" ht="27.6" customHeight="1" x14ac:dyDescent="0.25">
      <c r="A36" s="30"/>
      <c r="B36" s="17" t="s">
        <v>104</v>
      </c>
      <c r="C36" s="40" t="s">
        <v>355</v>
      </c>
      <c r="D36" s="30">
        <v>618922</v>
      </c>
      <c r="E36" s="30" t="s">
        <v>1047</v>
      </c>
      <c r="F36" s="30" t="s">
        <v>1064</v>
      </c>
      <c r="G36" s="30"/>
    </row>
    <row r="37" spans="1:7" ht="27.6" customHeight="1" x14ac:dyDescent="0.25">
      <c r="A37" s="29"/>
      <c r="B37" s="40" t="s">
        <v>492</v>
      </c>
      <c r="C37" s="40" t="s">
        <v>493</v>
      </c>
      <c r="D37" s="30">
        <v>611811</v>
      </c>
      <c r="E37" s="30" t="s">
        <v>1048</v>
      </c>
      <c r="F37" s="30" t="s">
        <v>1058</v>
      </c>
      <c r="G37" s="30"/>
    </row>
    <row r="38" spans="1:7" ht="27.6" customHeight="1" x14ac:dyDescent="0.25">
      <c r="A38" s="29" t="s">
        <v>158</v>
      </c>
      <c r="B38" s="40" t="s">
        <v>91</v>
      </c>
      <c r="C38" s="40" t="s">
        <v>1157</v>
      </c>
      <c r="D38" s="30">
        <v>603251</v>
      </c>
      <c r="E38" s="30" t="s">
        <v>1049</v>
      </c>
      <c r="F38" s="30" t="s">
        <v>1064</v>
      </c>
      <c r="G38" s="30"/>
    </row>
    <row r="39" spans="1:7" ht="27.6" customHeight="1" x14ac:dyDescent="0.25">
      <c r="A39" s="28"/>
      <c r="B39" s="40" t="s">
        <v>75</v>
      </c>
      <c r="C39" s="40">
        <v>55034848</v>
      </c>
      <c r="D39" s="30">
        <v>607358</v>
      </c>
      <c r="E39" s="30" t="s">
        <v>1054</v>
      </c>
      <c r="F39" s="30" t="s">
        <v>1060</v>
      </c>
      <c r="G39" s="30"/>
    </row>
    <row r="40" spans="1:7" ht="27.6" customHeight="1" x14ac:dyDescent="0.25">
      <c r="A40" s="28"/>
      <c r="B40" s="40" t="s">
        <v>83</v>
      </c>
      <c r="C40" s="40" t="s">
        <v>273</v>
      </c>
      <c r="D40" s="30">
        <v>607686</v>
      </c>
      <c r="E40" s="30" t="s">
        <v>1126</v>
      </c>
      <c r="F40" s="30" t="s">
        <v>1156</v>
      </c>
      <c r="G40" s="30"/>
    </row>
    <row r="41" spans="1:7" ht="27.6" customHeight="1" x14ac:dyDescent="0.25">
      <c r="A41" s="28"/>
      <c r="B41" s="40" t="s">
        <v>91</v>
      </c>
      <c r="C41" s="40" t="s">
        <v>378</v>
      </c>
      <c r="D41" s="30">
        <v>603304</v>
      </c>
      <c r="E41" s="30" t="s">
        <v>1126</v>
      </c>
      <c r="F41" s="30" t="s">
        <v>1156</v>
      </c>
      <c r="G41" s="30"/>
    </row>
    <row r="42" spans="1:7" ht="27.6" customHeight="1" x14ac:dyDescent="0.25">
      <c r="A42" s="28"/>
      <c r="B42" s="40" t="s">
        <v>91</v>
      </c>
      <c r="C42" s="40" t="s">
        <v>377</v>
      </c>
      <c r="D42" s="30">
        <v>611444</v>
      </c>
      <c r="E42" s="30" t="s">
        <v>1127</v>
      </c>
      <c r="F42" s="30" t="s">
        <v>1156</v>
      </c>
      <c r="G42" s="30"/>
    </row>
    <row r="43" spans="1:7" ht="27.6" customHeight="1" x14ac:dyDescent="0.25">
      <c r="A43" s="28"/>
      <c r="B43" s="40" t="s">
        <v>535</v>
      </c>
      <c r="C43" s="40"/>
      <c r="D43" s="30">
        <v>621828</v>
      </c>
      <c r="E43" s="30" t="s">
        <v>1133</v>
      </c>
      <c r="F43" s="30" t="s">
        <v>1300</v>
      </c>
      <c r="G43" s="30"/>
    </row>
    <row r="44" spans="1:7" ht="27.6" customHeight="1" x14ac:dyDescent="0.25">
      <c r="A44" s="28"/>
      <c r="B44" s="40" t="s">
        <v>535</v>
      </c>
      <c r="C44" s="40"/>
      <c r="D44" s="30">
        <v>621820</v>
      </c>
      <c r="E44" s="30" t="s">
        <v>1133</v>
      </c>
      <c r="F44" s="30" t="s">
        <v>1300</v>
      </c>
      <c r="G44" s="30"/>
    </row>
    <row r="45" spans="1:7" ht="27.6" customHeight="1" x14ac:dyDescent="0.25">
      <c r="A45" s="28"/>
      <c r="B45" s="40" t="s">
        <v>504</v>
      </c>
      <c r="C45" s="40"/>
      <c r="D45" s="30">
        <v>612377</v>
      </c>
      <c r="E45" s="30" t="s">
        <v>1134</v>
      </c>
      <c r="F45" s="30" t="s">
        <v>1158</v>
      </c>
      <c r="G45" s="30"/>
    </row>
    <row r="46" spans="1:7" ht="27.6" customHeight="1" x14ac:dyDescent="0.25">
      <c r="A46" s="28"/>
      <c r="B46" s="40" t="s">
        <v>83</v>
      </c>
      <c r="C46" s="40" t="s">
        <v>278</v>
      </c>
      <c r="D46" s="30">
        <v>608000</v>
      </c>
      <c r="E46" s="30" t="s">
        <v>1155</v>
      </c>
      <c r="F46" s="30" t="s">
        <v>1183</v>
      </c>
      <c r="G46" s="30"/>
    </row>
    <row r="47" spans="1:7" ht="27.6" customHeight="1" x14ac:dyDescent="0.25">
      <c r="A47" s="30"/>
      <c r="B47" s="30" t="s">
        <v>969</v>
      </c>
      <c r="C47" s="54" t="s">
        <v>201</v>
      </c>
      <c r="D47" s="30">
        <v>606814</v>
      </c>
      <c r="E47" s="30" t="s">
        <v>1159</v>
      </c>
      <c r="F47" s="30" t="s">
        <v>1300</v>
      </c>
      <c r="G47" s="30"/>
    </row>
    <row r="48" spans="1:7" ht="27.6" customHeight="1" x14ac:dyDescent="0.25">
      <c r="A48" s="28"/>
      <c r="B48" s="40" t="s">
        <v>153</v>
      </c>
      <c r="C48" s="40"/>
      <c r="D48" s="30">
        <v>627883</v>
      </c>
      <c r="E48" s="30" t="s">
        <v>1178</v>
      </c>
      <c r="F48" s="30" t="s">
        <v>1300</v>
      </c>
      <c r="G48" s="30"/>
    </row>
    <row r="49" spans="1:7" ht="27.6" customHeight="1" x14ac:dyDescent="0.25">
      <c r="A49" s="28"/>
      <c r="B49" s="30" t="s">
        <v>478</v>
      </c>
      <c r="C49" s="17" t="s">
        <v>385</v>
      </c>
      <c r="D49" s="30">
        <v>628757</v>
      </c>
      <c r="E49" s="30" t="s">
        <v>1179</v>
      </c>
      <c r="F49" s="30" t="s">
        <v>1240</v>
      </c>
      <c r="G49" s="30"/>
    </row>
    <row r="50" spans="1:7" ht="27.6" customHeight="1" x14ac:dyDescent="0.25">
      <c r="A50" s="28"/>
      <c r="B50" s="40" t="s">
        <v>1180</v>
      </c>
      <c r="C50" s="19" t="s">
        <v>451</v>
      </c>
      <c r="D50" s="30" t="s">
        <v>143</v>
      </c>
      <c r="E50" s="30" t="s">
        <v>1181</v>
      </c>
      <c r="F50" s="30"/>
      <c r="G50" s="30"/>
    </row>
    <row r="51" spans="1:7" ht="24.95" customHeight="1" x14ac:dyDescent="0.25">
      <c r="A51" s="28"/>
      <c r="B51" s="17" t="s">
        <v>217</v>
      </c>
      <c r="C51" s="40" t="s">
        <v>221</v>
      </c>
      <c r="D51" s="17">
        <v>607870</v>
      </c>
      <c r="E51" s="30" t="s">
        <v>1239</v>
      </c>
      <c r="F51" s="30" t="s">
        <v>1240</v>
      </c>
      <c r="G51" s="30"/>
    </row>
    <row r="52" spans="1:7" ht="24.95" customHeight="1" x14ac:dyDescent="0.25">
      <c r="A52" s="28"/>
      <c r="B52" s="20" t="s">
        <v>96</v>
      </c>
      <c r="C52" s="36" t="s">
        <v>329</v>
      </c>
      <c r="D52" s="61" t="s">
        <v>143</v>
      </c>
      <c r="E52" s="39" t="s">
        <v>1273</v>
      </c>
      <c r="F52" s="30" t="s">
        <v>1291</v>
      </c>
      <c r="G52" s="30"/>
    </row>
    <row r="53" spans="1:7" ht="24.95" customHeight="1" x14ac:dyDescent="0.25">
      <c r="A53" s="28"/>
      <c r="B53" s="19" t="s">
        <v>240</v>
      </c>
      <c r="C53" s="39" t="s">
        <v>145</v>
      </c>
      <c r="D53" s="19">
        <v>629410</v>
      </c>
      <c r="E53" s="30" t="s">
        <v>1274</v>
      </c>
      <c r="F53" s="30" t="s">
        <v>1291</v>
      </c>
      <c r="G53" s="30"/>
    </row>
    <row r="54" spans="1:7" ht="24.95" customHeight="1" x14ac:dyDescent="0.25">
      <c r="A54" s="28"/>
      <c r="B54" s="44" t="s">
        <v>91</v>
      </c>
      <c r="C54" s="39" t="s">
        <v>254</v>
      </c>
      <c r="D54" s="20">
        <v>613928</v>
      </c>
      <c r="E54" s="18" t="s">
        <v>1275</v>
      </c>
      <c r="F54" s="30" t="s">
        <v>1291</v>
      </c>
      <c r="G54" s="30"/>
    </row>
    <row r="55" spans="1:7" ht="24.95" customHeight="1" x14ac:dyDescent="0.25">
      <c r="A55" s="28"/>
      <c r="B55" s="44" t="s">
        <v>91</v>
      </c>
      <c r="C55" s="40" t="s">
        <v>1261</v>
      </c>
      <c r="D55" s="30">
        <v>43000230</v>
      </c>
      <c r="E55" s="30" t="s">
        <v>1276</v>
      </c>
      <c r="F55" s="30" t="s">
        <v>1301</v>
      </c>
      <c r="G55" s="30"/>
    </row>
    <row r="56" spans="1:7" ht="24.95" customHeight="1" x14ac:dyDescent="0.25">
      <c r="A56" s="28"/>
      <c r="B56" s="31" t="s">
        <v>227</v>
      </c>
      <c r="C56" s="19" t="s">
        <v>452</v>
      </c>
      <c r="D56" s="41" t="s">
        <v>76</v>
      </c>
      <c r="E56" s="30" t="s">
        <v>1287</v>
      </c>
      <c r="F56" s="30"/>
      <c r="G56" s="30"/>
    </row>
    <row r="57" spans="1:7" ht="24.95" customHeight="1" x14ac:dyDescent="0.25">
      <c r="A57" s="28"/>
      <c r="B57" s="20" t="s">
        <v>1308</v>
      </c>
      <c r="C57" s="20" t="s">
        <v>1056</v>
      </c>
      <c r="D57" s="20">
        <v>621865</v>
      </c>
      <c r="E57" s="30" t="s">
        <v>1309</v>
      </c>
      <c r="F57" s="30"/>
      <c r="G57" s="30"/>
    </row>
    <row r="58" spans="1:7" ht="24.95" customHeight="1" x14ac:dyDescent="0.25">
      <c r="A58" s="28"/>
      <c r="B58" s="19" t="s">
        <v>240</v>
      </c>
      <c r="C58" s="39" t="s">
        <v>145</v>
      </c>
      <c r="D58" s="19">
        <v>629410</v>
      </c>
      <c r="E58" s="30" t="s">
        <v>1310</v>
      </c>
      <c r="F58" s="30" t="s">
        <v>1469</v>
      </c>
      <c r="G58" s="30"/>
    </row>
    <row r="59" spans="1:7" ht="24.95" customHeight="1" x14ac:dyDescent="0.25">
      <c r="A59" s="28"/>
      <c r="B59" s="46" t="s">
        <v>61</v>
      </c>
      <c r="C59" s="46" t="s">
        <v>62</v>
      </c>
      <c r="D59" s="46">
        <v>604606</v>
      </c>
      <c r="E59" s="30" t="s">
        <v>1316</v>
      </c>
      <c r="F59" s="30" t="s">
        <v>1321</v>
      </c>
      <c r="G59" s="30"/>
    </row>
    <row r="60" spans="1:7" ht="24.95" customHeight="1" x14ac:dyDescent="0.25">
      <c r="A60" s="28"/>
      <c r="B60" s="19" t="s">
        <v>270</v>
      </c>
      <c r="C60" s="19">
        <v>86004369</v>
      </c>
      <c r="D60" s="19">
        <v>610096</v>
      </c>
      <c r="E60" s="30" t="s">
        <v>1323</v>
      </c>
      <c r="F60" s="30" t="s">
        <v>1327</v>
      </c>
      <c r="G60" s="30"/>
    </row>
    <row r="61" spans="1:7" ht="24.95" customHeight="1" x14ac:dyDescent="0.25">
      <c r="A61" s="28"/>
      <c r="B61" s="44" t="s">
        <v>83</v>
      </c>
      <c r="C61" s="45" t="s">
        <v>301</v>
      </c>
      <c r="D61" s="19">
        <v>601179</v>
      </c>
      <c r="E61" s="30" t="s">
        <v>1332</v>
      </c>
      <c r="F61" s="30" t="s">
        <v>1354</v>
      </c>
      <c r="G61" s="30"/>
    </row>
    <row r="62" spans="1:7" ht="24.95" customHeight="1" x14ac:dyDescent="0.25">
      <c r="A62" s="28"/>
      <c r="B62" s="19" t="s">
        <v>91</v>
      </c>
      <c r="C62" s="39" t="s">
        <v>1337</v>
      </c>
      <c r="D62" s="19">
        <v>610551</v>
      </c>
      <c r="E62" s="30" t="s">
        <v>1338</v>
      </c>
      <c r="F62" s="30" t="s">
        <v>1354</v>
      </c>
      <c r="G62" s="30"/>
    </row>
    <row r="63" spans="1:7" ht="24.95" customHeight="1" x14ac:dyDescent="0.25">
      <c r="A63" s="28"/>
      <c r="B63" s="19" t="s">
        <v>180</v>
      </c>
      <c r="C63" s="39" t="s">
        <v>248</v>
      </c>
      <c r="D63" s="19">
        <v>603555</v>
      </c>
      <c r="E63" s="30" t="s">
        <v>1351</v>
      </c>
      <c r="F63" s="30" t="s">
        <v>1369</v>
      </c>
      <c r="G63" s="30"/>
    </row>
    <row r="64" spans="1:7" ht="24.95" customHeight="1" x14ac:dyDescent="0.25">
      <c r="A64" s="28"/>
      <c r="B64" s="19" t="s">
        <v>478</v>
      </c>
      <c r="C64" s="19" t="s">
        <v>388</v>
      </c>
      <c r="D64" s="19">
        <v>628872</v>
      </c>
      <c r="E64" s="67" t="s">
        <v>1353</v>
      </c>
      <c r="F64" s="19"/>
      <c r="G64" s="19"/>
    </row>
    <row r="65" spans="1:7" ht="24.95" customHeight="1" x14ac:dyDescent="0.25">
      <c r="A65" s="28"/>
      <c r="B65" s="19" t="s">
        <v>91</v>
      </c>
      <c r="C65" s="19" t="s">
        <v>285</v>
      </c>
      <c r="D65" s="19">
        <v>43000237</v>
      </c>
      <c r="E65" s="30" t="s">
        <v>1357</v>
      </c>
      <c r="F65" s="30" t="s">
        <v>1384</v>
      </c>
      <c r="G65" s="30"/>
    </row>
    <row r="66" spans="1:7" ht="24.95" customHeight="1" x14ac:dyDescent="0.25">
      <c r="A66" s="28"/>
      <c r="B66" s="19" t="s">
        <v>484</v>
      </c>
      <c r="C66" s="19" t="s">
        <v>485</v>
      </c>
      <c r="D66" s="19">
        <v>43000611</v>
      </c>
      <c r="E66" s="30" t="s">
        <v>1358</v>
      </c>
      <c r="F66" s="30" t="s">
        <v>1240</v>
      </c>
      <c r="G66" s="30"/>
    </row>
    <row r="67" spans="1:7" ht="24.95" customHeight="1" x14ac:dyDescent="0.25">
      <c r="A67" s="28"/>
      <c r="B67" s="19" t="s">
        <v>505</v>
      </c>
      <c r="C67" s="19">
        <v>77141502846</v>
      </c>
      <c r="D67" s="19">
        <v>606443</v>
      </c>
      <c r="E67" s="30" t="s">
        <v>1359</v>
      </c>
      <c r="F67" s="30" t="s">
        <v>1398</v>
      </c>
      <c r="G67" s="30"/>
    </row>
    <row r="68" spans="1:7" ht="24.95" customHeight="1" x14ac:dyDescent="0.25">
      <c r="A68" s="28"/>
      <c r="B68" s="19" t="s">
        <v>313</v>
      </c>
      <c r="C68" s="19" t="s">
        <v>1057</v>
      </c>
      <c r="D68" s="19">
        <v>612105</v>
      </c>
      <c r="E68" s="30" t="s">
        <v>1360</v>
      </c>
      <c r="F68" s="30" t="s">
        <v>1398</v>
      </c>
      <c r="G68" s="30"/>
    </row>
    <row r="69" spans="1:7" ht="24.95" customHeight="1" x14ac:dyDescent="0.25">
      <c r="A69" s="28"/>
      <c r="B69" s="19" t="s">
        <v>306</v>
      </c>
      <c r="C69" s="19" t="s">
        <v>305</v>
      </c>
      <c r="D69" s="19">
        <v>610658</v>
      </c>
      <c r="E69" s="30" t="s">
        <v>1385</v>
      </c>
      <c r="F69" s="30" t="s">
        <v>1420</v>
      </c>
      <c r="G69" s="30"/>
    </row>
    <row r="70" spans="1:7" ht="24.95" customHeight="1" x14ac:dyDescent="0.25">
      <c r="A70" s="28"/>
      <c r="B70" s="19" t="s">
        <v>1386</v>
      </c>
      <c r="C70" s="19"/>
      <c r="D70" s="19">
        <v>629911</v>
      </c>
      <c r="E70" s="30" t="s">
        <v>1387</v>
      </c>
      <c r="F70" s="30" t="s">
        <v>1431</v>
      </c>
      <c r="G70" s="30"/>
    </row>
    <row r="71" spans="1:7" ht="24.95" customHeight="1" x14ac:dyDescent="0.25">
      <c r="A71" s="28"/>
      <c r="B71" s="19" t="s">
        <v>528</v>
      </c>
      <c r="C71" s="19" t="s">
        <v>529</v>
      </c>
      <c r="D71" s="19">
        <v>620834</v>
      </c>
      <c r="E71" s="30" t="s">
        <v>1388</v>
      </c>
      <c r="F71" s="30" t="s">
        <v>1397</v>
      </c>
      <c r="G71" s="30"/>
    </row>
    <row r="72" spans="1:7" ht="24.95" customHeight="1" x14ac:dyDescent="0.25">
      <c r="A72" s="28"/>
      <c r="B72" s="19" t="s">
        <v>91</v>
      </c>
      <c r="C72" s="39" t="s">
        <v>243</v>
      </c>
      <c r="D72" s="19">
        <v>604329</v>
      </c>
      <c r="E72" s="30" t="s">
        <v>1396</v>
      </c>
      <c r="F72" s="30" t="s">
        <v>1397</v>
      </c>
      <c r="G72" s="30"/>
    </row>
    <row r="73" spans="1:7" ht="24.95" customHeight="1" x14ac:dyDescent="0.25">
      <c r="A73" s="28"/>
      <c r="B73" s="19" t="s">
        <v>180</v>
      </c>
      <c r="C73" s="39" t="s">
        <v>304</v>
      </c>
      <c r="D73" s="19">
        <v>606361</v>
      </c>
      <c r="E73" s="30" t="s">
        <v>1396</v>
      </c>
      <c r="F73" s="30" t="s">
        <v>1397</v>
      </c>
      <c r="G73" s="30"/>
    </row>
    <row r="74" spans="1:7" ht="24.95" customHeight="1" x14ac:dyDescent="0.25">
      <c r="A74" s="28"/>
      <c r="B74" s="19" t="s">
        <v>174</v>
      </c>
      <c r="C74" s="19" t="s">
        <v>338</v>
      </c>
      <c r="D74" s="19">
        <v>43000256</v>
      </c>
      <c r="E74" s="30" t="s">
        <v>1399</v>
      </c>
      <c r="F74" s="30" t="s">
        <v>1420</v>
      </c>
      <c r="G74" s="30"/>
    </row>
    <row r="75" spans="1:7" ht="24.95" customHeight="1" x14ac:dyDescent="0.25">
      <c r="A75" s="28"/>
      <c r="B75" s="19" t="s">
        <v>116</v>
      </c>
      <c r="C75" s="19" t="s">
        <v>117</v>
      </c>
      <c r="D75" s="19">
        <v>620377</v>
      </c>
      <c r="E75" s="30" t="s">
        <v>1422</v>
      </c>
      <c r="F75" s="30" t="s">
        <v>1470</v>
      </c>
      <c r="G75" s="30"/>
    </row>
    <row r="76" spans="1:7" ht="24.95" customHeight="1" x14ac:dyDescent="0.25">
      <c r="A76" s="28"/>
      <c r="B76" s="19" t="s">
        <v>294</v>
      </c>
      <c r="C76" s="19" t="s">
        <v>148</v>
      </c>
      <c r="D76" s="19">
        <v>613502</v>
      </c>
      <c r="E76" s="30" t="s">
        <v>1424</v>
      </c>
      <c r="F76" s="30" t="s">
        <v>1468</v>
      </c>
      <c r="G76" s="30"/>
    </row>
    <row r="77" spans="1:7" ht="24.95" customHeight="1" x14ac:dyDescent="0.25">
      <c r="A77" s="28"/>
      <c r="B77" s="19" t="s">
        <v>848</v>
      </c>
      <c r="C77" s="19" t="s">
        <v>233</v>
      </c>
      <c r="D77" s="19">
        <v>610448</v>
      </c>
      <c r="E77" s="30" t="s">
        <v>1425</v>
      </c>
      <c r="F77" s="30" t="s">
        <v>1443</v>
      </c>
      <c r="G77" s="30"/>
    </row>
    <row r="78" spans="1:7" ht="24.95" customHeight="1" x14ac:dyDescent="0.25">
      <c r="A78" s="28"/>
      <c r="B78" s="19" t="s">
        <v>197</v>
      </c>
      <c r="C78" s="19"/>
      <c r="D78" s="19">
        <v>623352</v>
      </c>
      <c r="E78" s="30" t="s">
        <v>1426</v>
      </c>
      <c r="F78" s="30" t="s">
        <v>1443</v>
      </c>
      <c r="G78" s="30"/>
    </row>
    <row r="79" spans="1:7" ht="24.95" customHeight="1" x14ac:dyDescent="0.25">
      <c r="A79" s="28"/>
      <c r="B79" s="44" t="s">
        <v>83</v>
      </c>
      <c r="C79" s="39" t="s">
        <v>498</v>
      </c>
      <c r="D79" s="19">
        <v>603789</v>
      </c>
      <c r="E79" s="30" t="s">
        <v>1432</v>
      </c>
      <c r="F79" s="30" t="s">
        <v>1467</v>
      </c>
      <c r="G79" s="30"/>
    </row>
    <row r="80" spans="1:7" ht="24.95" customHeight="1" x14ac:dyDescent="0.25">
      <c r="A80" s="39"/>
      <c r="B80" s="44" t="s">
        <v>167</v>
      </c>
      <c r="C80" s="20" t="s">
        <v>166</v>
      </c>
      <c r="D80" s="20">
        <v>612686</v>
      </c>
      <c r="E80" s="30" t="s">
        <v>1433</v>
      </c>
      <c r="F80" s="30" t="s">
        <v>1470</v>
      </c>
      <c r="G80" s="30"/>
    </row>
    <row r="81" spans="1:7" ht="24.95" customHeight="1" x14ac:dyDescent="0.25">
      <c r="A81" s="39"/>
      <c r="B81" s="19" t="s">
        <v>180</v>
      </c>
      <c r="C81" s="39" t="s">
        <v>262</v>
      </c>
      <c r="D81" s="19">
        <v>607684</v>
      </c>
      <c r="E81" s="30" t="s">
        <v>1440</v>
      </c>
      <c r="F81" s="30" t="s">
        <v>1467</v>
      </c>
      <c r="G81" s="30"/>
    </row>
    <row r="82" spans="1:7" ht="24.95" customHeight="1" x14ac:dyDescent="0.25">
      <c r="A82" s="39"/>
      <c r="B82" s="19" t="s">
        <v>376</v>
      </c>
      <c r="C82" s="19" t="s">
        <v>382</v>
      </c>
      <c r="D82" s="19">
        <v>628671</v>
      </c>
      <c r="E82" s="30" t="s">
        <v>1444</v>
      </c>
      <c r="F82" s="30" t="s">
        <v>1470</v>
      </c>
      <c r="G82" s="30"/>
    </row>
    <row r="83" spans="1:7" ht="24.95" customHeight="1" x14ac:dyDescent="0.25">
      <c r="A83" s="28"/>
      <c r="B83" s="19" t="s">
        <v>180</v>
      </c>
      <c r="C83" s="39" t="s">
        <v>304</v>
      </c>
      <c r="D83" s="19">
        <v>606361</v>
      </c>
      <c r="E83" s="30" t="s">
        <v>1479</v>
      </c>
      <c r="F83" s="30" t="s">
        <v>1397</v>
      </c>
      <c r="G83" s="30"/>
    </row>
    <row r="84" spans="1:7" ht="24.95" customHeight="1" x14ac:dyDescent="0.25">
      <c r="A84" s="39"/>
      <c r="B84" s="20" t="s">
        <v>180</v>
      </c>
      <c r="C84" s="39" t="s">
        <v>274</v>
      </c>
      <c r="D84" s="19">
        <v>605438</v>
      </c>
      <c r="E84" s="39" t="s">
        <v>1507</v>
      </c>
      <c r="F84" s="30" t="s">
        <v>1517</v>
      </c>
      <c r="G84" s="30"/>
    </row>
    <row r="85" spans="1:7" ht="24.95" customHeight="1" x14ac:dyDescent="0.25">
      <c r="A85" s="39"/>
      <c r="B85" s="20" t="s">
        <v>91</v>
      </c>
      <c r="C85" s="39" t="s">
        <v>281</v>
      </c>
      <c r="D85" s="39" t="s">
        <v>1518</v>
      </c>
      <c r="E85" s="39" t="s">
        <v>1519</v>
      </c>
      <c r="F85" s="30" t="s">
        <v>1521</v>
      </c>
      <c r="G85" s="30"/>
    </row>
    <row r="86" spans="1:7" ht="24.95" customHeight="1" x14ac:dyDescent="0.25">
      <c r="A86" s="39"/>
      <c r="B86" s="20" t="s">
        <v>138</v>
      </c>
      <c r="C86" s="20" t="s">
        <v>139</v>
      </c>
      <c r="D86" s="20">
        <v>605837</v>
      </c>
      <c r="E86" s="39" t="s">
        <v>1532</v>
      </c>
      <c r="F86" s="30" t="s">
        <v>1535</v>
      </c>
      <c r="G86" s="30"/>
    </row>
    <row r="87" spans="1:7" ht="24.95" customHeight="1" x14ac:dyDescent="0.25">
      <c r="A87" s="39"/>
      <c r="B87" s="20" t="s">
        <v>180</v>
      </c>
      <c r="C87" s="20" t="s">
        <v>927</v>
      </c>
      <c r="D87" s="19">
        <v>606520</v>
      </c>
      <c r="E87" s="39" t="s">
        <v>1534</v>
      </c>
      <c r="F87" s="30" t="s">
        <v>1535</v>
      </c>
      <c r="G87" s="30"/>
    </row>
    <row r="88" spans="1:7" ht="24.95" customHeight="1" x14ac:dyDescent="0.25">
      <c r="A88" s="39"/>
      <c r="B88" s="44" t="s">
        <v>91</v>
      </c>
      <c r="C88" s="39" t="s">
        <v>263</v>
      </c>
      <c r="D88" s="19">
        <v>609578</v>
      </c>
      <c r="E88" s="39" t="s">
        <v>1533</v>
      </c>
      <c r="F88" s="30" t="s">
        <v>1535</v>
      </c>
      <c r="G88" s="30"/>
    </row>
    <row r="89" spans="1:7" ht="24.95" customHeight="1" x14ac:dyDescent="0.25">
      <c r="A89" s="39"/>
      <c r="B89" s="19" t="s">
        <v>91</v>
      </c>
      <c r="C89" s="39" t="s">
        <v>903</v>
      </c>
      <c r="D89" s="19">
        <v>603301</v>
      </c>
      <c r="E89" s="39" t="s">
        <v>1536</v>
      </c>
      <c r="F89" s="30" t="s">
        <v>1555</v>
      </c>
      <c r="G89" s="30"/>
    </row>
    <row r="90" spans="1:7" ht="24.95" customHeight="1" x14ac:dyDescent="0.25">
      <c r="A90" s="39"/>
      <c r="B90" s="19" t="s">
        <v>1108</v>
      </c>
      <c r="C90" s="39" t="s">
        <v>902</v>
      </c>
      <c r="D90" s="19">
        <v>607710</v>
      </c>
      <c r="E90" s="39" t="s">
        <v>1536</v>
      </c>
      <c r="F90" s="30" t="s">
        <v>1555</v>
      </c>
      <c r="G90" s="30"/>
    </row>
    <row r="91" spans="1:7" ht="24.95" customHeight="1" x14ac:dyDescent="0.25">
      <c r="A91" s="39"/>
      <c r="B91" s="20" t="s">
        <v>277</v>
      </c>
      <c r="C91" s="19" t="s">
        <v>137</v>
      </c>
      <c r="D91" s="19">
        <v>603256</v>
      </c>
      <c r="E91" s="39" t="s">
        <v>1539</v>
      </c>
      <c r="F91" s="30" t="s">
        <v>1573</v>
      </c>
      <c r="G91" s="30"/>
    </row>
    <row r="92" spans="1:7" ht="24.95" customHeight="1" x14ac:dyDescent="0.25">
      <c r="A92" s="39"/>
      <c r="B92" s="39" t="s">
        <v>292</v>
      </c>
      <c r="C92" s="39" t="s">
        <v>1548</v>
      </c>
      <c r="D92" s="39">
        <v>606737</v>
      </c>
      <c r="E92" s="39" t="s">
        <v>1551</v>
      </c>
      <c r="F92" s="39"/>
      <c r="G92" s="39"/>
    </row>
    <row r="93" spans="1:7" ht="24.95" customHeight="1" x14ac:dyDescent="0.25">
      <c r="A93" s="39"/>
      <c r="B93" s="39" t="s">
        <v>1547</v>
      </c>
      <c r="C93" s="39">
        <v>55034848</v>
      </c>
      <c r="D93" s="39">
        <v>607358</v>
      </c>
      <c r="E93" s="39" t="s">
        <v>1552</v>
      </c>
      <c r="F93" s="39" t="s">
        <v>1725</v>
      </c>
      <c r="G93" s="39"/>
    </row>
    <row r="94" spans="1:7" ht="24.95" customHeight="1" x14ac:dyDescent="0.25">
      <c r="A94" s="39"/>
      <c r="B94" s="39" t="s">
        <v>1549</v>
      </c>
      <c r="C94" s="39">
        <v>52140201359</v>
      </c>
      <c r="D94" s="39" t="s">
        <v>27</v>
      </c>
      <c r="E94" s="39" t="s">
        <v>1550</v>
      </c>
      <c r="F94" s="39" t="s">
        <v>1725</v>
      </c>
      <c r="G94" s="39"/>
    </row>
    <row r="95" spans="1:7" ht="24.95" customHeight="1" x14ac:dyDescent="0.25">
      <c r="A95" s="39"/>
      <c r="B95" s="39" t="s">
        <v>81</v>
      </c>
      <c r="C95" s="39" t="s">
        <v>390</v>
      </c>
      <c r="D95" s="39" t="s">
        <v>1571</v>
      </c>
      <c r="E95" s="39" t="s">
        <v>1572</v>
      </c>
      <c r="F95" s="30" t="s">
        <v>1591</v>
      </c>
      <c r="G95" s="30"/>
    </row>
    <row r="96" spans="1:7" ht="24.95" customHeight="1" x14ac:dyDescent="0.25">
      <c r="A96" s="39"/>
      <c r="B96" s="20" t="s">
        <v>312</v>
      </c>
      <c r="C96" s="39" t="s">
        <v>92</v>
      </c>
      <c r="D96" s="39" t="s">
        <v>1582</v>
      </c>
      <c r="E96" s="18" t="s">
        <v>1583</v>
      </c>
      <c r="F96" s="18"/>
      <c r="G96" s="18"/>
    </row>
    <row r="97" spans="1:7" ht="24.95" customHeight="1" x14ac:dyDescent="0.25">
      <c r="A97" s="39"/>
      <c r="B97" s="20" t="s">
        <v>83</v>
      </c>
      <c r="C97" s="39" t="s">
        <v>224</v>
      </c>
      <c r="D97" s="39" t="s">
        <v>1584</v>
      </c>
      <c r="E97" s="39" t="s">
        <v>1585</v>
      </c>
      <c r="F97" s="30" t="s">
        <v>1596</v>
      </c>
      <c r="G97" s="30"/>
    </row>
    <row r="98" spans="1:7" ht="24.95" customHeight="1" x14ac:dyDescent="0.25">
      <c r="A98" s="39"/>
      <c r="B98" s="20" t="s">
        <v>180</v>
      </c>
      <c r="C98" s="43">
        <v>722011109029933</v>
      </c>
      <c r="D98" s="39" t="s">
        <v>1586</v>
      </c>
      <c r="E98" s="18" t="s">
        <v>1587</v>
      </c>
      <c r="F98" s="30" t="s">
        <v>1596</v>
      </c>
      <c r="G98" s="30"/>
    </row>
    <row r="99" spans="1:7" ht="24.95" customHeight="1" x14ac:dyDescent="0.25">
      <c r="A99" s="39"/>
      <c r="B99" s="39" t="s">
        <v>489</v>
      </c>
      <c r="C99" s="39" t="s">
        <v>490</v>
      </c>
      <c r="D99" s="39">
        <v>626436</v>
      </c>
      <c r="E99" s="39" t="s">
        <v>1592</v>
      </c>
      <c r="F99" s="39" t="s">
        <v>1622</v>
      </c>
      <c r="G99" s="39"/>
    </row>
    <row r="100" spans="1:7" ht="24.95" customHeight="1" x14ac:dyDescent="0.25">
      <c r="A100" s="39"/>
      <c r="B100" s="39" t="s">
        <v>91</v>
      </c>
      <c r="C100" s="39" t="s">
        <v>304</v>
      </c>
      <c r="D100" s="39" t="s">
        <v>1613</v>
      </c>
      <c r="E100" s="39" t="s">
        <v>1614</v>
      </c>
      <c r="F100" s="30" t="s">
        <v>1639</v>
      </c>
      <c r="G100" s="30"/>
    </row>
    <row r="101" spans="1:7" ht="24.95" customHeight="1" x14ac:dyDescent="0.25">
      <c r="A101" s="39"/>
      <c r="B101" s="20" t="s">
        <v>83</v>
      </c>
      <c r="C101" s="39" t="s">
        <v>225</v>
      </c>
      <c r="D101" s="39" t="s">
        <v>1615</v>
      </c>
      <c r="E101" s="39" t="s">
        <v>1616</v>
      </c>
      <c r="F101" s="30" t="s">
        <v>1639</v>
      </c>
      <c r="G101" s="30"/>
    </row>
    <row r="102" spans="1:7" ht="24.95" customHeight="1" x14ac:dyDescent="0.25">
      <c r="A102" s="39"/>
      <c r="B102" s="20" t="s">
        <v>163</v>
      </c>
      <c r="C102" s="48" t="s">
        <v>330</v>
      </c>
      <c r="D102" s="19">
        <v>612411</v>
      </c>
      <c r="E102" s="39" t="s">
        <v>1626</v>
      </c>
      <c r="F102" s="30" t="s">
        <v>1657</v>
      </c>
      <c r="G102" s="30"/>
    </row>
    <row r="103" spans="1:7" ht="24.95" customHeight="1" x14ac:dyDescent="0.25">
      <c r="A103" s="39"/>
      <c r="B103" s="20" t="s">
        <v>151</v>
      </c>
      <c r="C103" s="20" t="s">
        <v>272</v>
      </c>
      <c r="D103" s="19">
        <v>605405</v>
      </c>
      <c r="E103" s="39" t="s">
        <v>1653</v>
      </c>
      <c r="F103" s="30" t="s">
        <v>1654</v>
      </c>
      <c r="G103" s="30"/>
    </row>
    <row r="104" spans="1:7" ht="24.95" customHeight="1" x14ac:dyDescent="0.25">
      <c r="A104" s="39"/>
      <c r="B104" s="20" t="s">
        <v>504</v>
      </c>
      <c r="C104" s="39" t="s">
        <v>1655</v>
      </c>
      <c r="D104" s="20">
        <v>613612</v>
      </c>
      <c r="E104" s="39" t="s">
        <v>1656</v>
      </c>
      <c r="F104" s="39"/>
      <c r="G104" s="39"/>
    </row>
    <row r="105" spans="1:7" ht="24.95" customHeight="1" x14ac:dyDescent="0.25">
      <c r="A105" s="20"/>
      <c r="B105" s="20" t="s">
        <v>81</v>
      </c>
      <c r="C105" s="19" t="s">
        <v>390</v>
      </c>
      <c r="D105" s="55">
        <v>618718</v>
      </c>
      <c r="E105" s="20" t="s">
        <v>1660</v>
      </c>
      <c r="F105" s="30" t="s">
        <v>1694</v>
      </c>
      <c r="G105" s="30"/>
    </row>
    <row r="106" spans="1:7" ht="24.95" customHeight="1" x14ac:dyDescent="0.25">
      <c r="A106" s="20"/>
      <c r="B106" s="31" t="s">
        <v>123</v>
      </c>
      <c r="C106" s="31" t="s">
        <v>124</v>
      </c>
      <c r="D106" s="31">
        <v>600148</v>
      </c>
      <c r="E106" s="20" t="s">
        <v>1671</v>
      </c>
      <c r="F106" s="30" t="s">
        <v>1694</v>
      </c>
      <c r="G106" s="30"/>
    </row>
    <row r="107" spans="1:7" ht="24.95" customHeight="1" x14ac:dyDescent="0.25">
      <c r="A107" s="20"/>
      <c r="B107" s="20" t="s">
        <v>75</v>
      </c>
      <c r="C107" s="19">
        <v>55034848</v>
      </c>
      <c r="D107" s="19">
        <v>607358</v>
      </c>
      <c r="E107" s="20" t="s">
        <v>1672</v>
      </c>
      <c r="F107" s="30" t="s">
        <v>1694</v>
      </c>
      <c r="G107" s="30"/>
    </row>
    <row r="108" spans="1:7" ht="24.95" customHeight="1" x14ac:dyDescent="0.25">
      <c r="A108" s="20"/>
      <c r="B108" s="19" t="s">
        <v>152</v>
      </c>
      <c r="C108" s="39" t="s">
        <v>286</v>
      </c>
      <c r="D108" s="19">
        <v>611795</v>
      </c>
      <c r="E108" s="20" t="s">
        <v>1674</v>
      </c>
      <c r="F108" s="30" t="s">
        <v>1694</v>
      </c>
      <c r="G108" s="30"/>
    </row>
    <row r="109" spans="1:7" ht="24.95" customHeight="1" x14ac:dyDescent="0.25">
      <c r="A109" s="20"/>
      <c r="B109" s="20" t="s">
        <v>83</v>
      </c>
      <c r="C109" s="20" t="s">
        <v>303</v>
      </c>
      <c r="D109" s="19">
        <v>605818</v>
      </c>
      <c r="E109" s="20" t="s">
        <v>391</v>
      </c>
      <c r="F109" s="30" t="s">
        <v>1722</v>
      </c>
      <c r="G109" s="30"/>
    </row>
    <row r="110" spans="1:7" ht="24.95" customHeight="1" x14ac:dyDescent="0.25">
      <c r="A110" s="20"/>
      <c r="B110" s="20" t="s">
        <v>1245</v>
      </c>
      <c r="C110" s="20" t="s">
        <v>1244</v>
      </c>
      <c r="D110" s="20">
        <v>630672</v>
      </c>
      <c r="E110" s="31" t="s">
        <v>1195</v>
      </c>
      <c r="F110" s="30" t="s">
        <v>1777</v>
      </c>
      <c r="G110" s="30"/>
    </row>
    <row r="111" spans="1:7" ht="24.95" customHeight="1" x14ac:dyDescent="0.25">
      <c r="A111" s="20"/>
      <c r="B111" s="20" t="s">
        <v>116</v>
      </c>
      <c r="C111" s="20" t="s">
        <v>117</v>
      </c>
      <c r="D111" s="20">
        <v>620377</v>
      </c>
      <c r="E111" s="20" t="s">
        <v>391</v>
      </c>
      <c r="F111" s="30" t="s">
        <v>1735</v>
      </c>
      <c r="G111" s="30"/>
    </row>
    <row r="112" spans="1:7" ht="24.95" customHeight="1" x14ac:dyDescent="0.25">
      <c r="A112" s="20"/>
      <c r="B112" s="20" t="s">
        <v>134</v>
      </c>
      <c r="C112" s="20" t="s">
        <v>135</v>
      </c>
      <c r="D112" s="18">
        <v>615555</v>
      </c>
      <c r="E112" s="20" t="s">
        <v>1749</v>
      </c>
      <c r="F112" s="30" t="s">
        <v>1762</v>
      </c>
      <c r="G112" s="30"/>
    </row>
    <row r="113" spans="1:7" ht="24.95" customHeight="1" x14ac:dyDescent="0.25">
      <c r="A113" s="20"/>
      <c r="B113" s="20" t="s">
        <v>1241</v>
      </c>
      <c r="C113" s="20"/>
      <c r="D113" s="20">
        <v>623660</v>
      </c>
      <c r="E113" s="20" t="s">
        <v>1766</v>
      </c>
      <c r="F113" s="20"/>
      <c r="G113" s="20"/>
    </row>
    <row r="114" spans="1:7" ht="24.95" customHeight="1" x14ac:dyDescent="0.25">
      <c r="A114" s="20"/>
      <c r="B114" s="20" t="s">
        <v>1477</v>
      </c>
      <c r="C114" s="20" t="s">
        <v>1478</v>
      </c>
      <c r="D114" s="20">
        <v>605849</v>
      </c>
      <c r="E114" s="20" t="s">
        <v>1790</v>
      </c>
      <c r="F114" s="20" t="s">
        <v>1791</v>
      </c>
      <c r="G114" s="20"/>
    </row>
    <row r="115" spans="1:7" ht="24.95" customHeight="1" x14ac:dyDescent="0.25">
      <c r="A115" s="20"/>
      <c r="B115" s="20" t="s">
        <v>1782</v>
      </c>
      <c r="C115" s="20" t="s">
        <v>80</v>
      </c>
      <c r="D115" s="20">
        <v>602958</v>
      </c>
      <c r="E115" s="20" t="s">
        <v>1783</v>
      </c>
      <c r="F115" s="20" t="s">
        <v>1794</v>
      </c>
      <c r="G115" s="20"/>
    </row>
    <row r="116" spans="1:7" ht="24.95" customHeight="1" x14ac:dyDescent="0.25">
      <c r="A116" s="20"/>
      <c r="B116" s="20" t="s">
        <v>180</v>
      </c>
      <c r="C116" s="20" t="s">
        <v>280</v>
      </c>
      <c r="D116" s="20">
        <v>603253</v>
      </c>
      <c r="E116" s="20" t="s">
        <v>1784</v>
      </c>
      <c r="F116" s="20" t="s">
        <v>1791</v>
      </c>
      <c r="G116" s="20"/>
    </row>
    <row r="117" spans="1:7" ht="24.95" customHeight="1" x14ac:dyDescent="0.25">
      <c r="A117" s="20"/>
      <c r="B117" s="20" t="s">
        <v>1785</v>
      </c>
      <c r="C117" s="20" t="s">
        <v>332</v>
      </c>
      <c r="D117" s="20" t="s">
        <v>143</v>
      </c>
      <c r="E117" s="20" t="s">
        <v>1786</v>
      </c>
      <c r="F117" s="20" t="s">
        <v>1791</v>
      </c>
      <c r="G117" s="20"/>
    </row>
    <row r="118" spans="1:7" ht="24.95" customHeight="1" x14ac:dyDescent="0.25">
      <c r="A118" s="20"/>
      <c r="B118" s="68" t="s">
        <v>1442</v>
      </c>
      <c r="C118" s="20" t="s">
        <v>1441</v>
      </c>
      <c r="D118" s="68">
        <v>623352</v>
      </c>
      <c r="E118" s="20" t="s">
        <v>1792</v>
      </c>
      <c r="F118" s="20"/>
      <c r="G118" s="20"/>
    </row>
    <row r="119" spans="1:7" ht="24.95" customHeight="1" x14ac:dyDescent="0.25">
      <c r="A119" s="20"/>
      <c r="B119" s="20" t="s">
        <v>180</v>
      </c>
      <c r="C119" s="19" t="s">
        <v>144</v>
      </c>
      <c r="D119" s="20">
        <v>605848</v>
      </c>
      <c r="E119" s="20" t="s">
        <v>1799</v>
      </c>
      <c r="F119" s="20" t="s">
        <v>1815</v>
      </c>
      <c r="G119" s="20"/>
    </row>
    <row r="120" spans="1:7" ht="24.95" customHeight="1" x14ac:dyDescent="0.25">
      <c r="A120" s="20"/>
      <c r="B120" s="20" t="s">
        <v>1246</v>
      </c>
      <c r="C120" s="20" t="s">
        <v>1445</v>
      </c>
      <c r="D120" s="20">
        <v>631870</v>
      </c>
      <c r="E120" s="20" t="s">
        <v>1800</v>
      </c>
      <c r="F120" s="20" t="s">
        <v>1808</v>
      </c>
      <c r="G120" s="20"/>
    </row>
    <row r="121" spans="1:7" ht="24.95" customHeight="1" x14ac:dyDescent="0.25">
      <c r="A121" s="20"/>
      <c r="B121" s="20" t="s">
        <v>384</v>
      </c>
      <c r="C121" s="19" t="s">
        <v>383</v>
      </c>
      <c r="D121" s="20">
        <v>633786</v>
      </c>
      <c r="E121" s="20" t="s">
        <v>1800</v>
      </c>
      <c r="F121" s="20" t="s">
        <v>1808</v>
      </c>
      <c r="G121" s="20"/>
    </row>
    <row r="122" spans="1:7" ht="24.95" customHeight="1" x14ac:dyDescent="0.25">
      <c r="A122" s="20"/>
      <c r="B122" s="20" t="s">
        <v>362</v>
      </c>
      <c r="C122" s="20" t="s">
        <v>365</v>
      </c>
      <c r="D122" s="20">
        <v>628297</v>
      </c>
      <c r="E122" s="20" t="s">
        <v>1800</v>
      </c>
      <c r="F122" s="20" t="s">
        <v>1622</v>
      </c>
      <c r="G122" s="20"/>
    </row>
    <row r="123" spans="1:7" ht="24.95" customHeight="1" x14ac:dyDescent="0.25">
      <c r="A123" s="20"/>
      <c r="B123" s="20" t="s">
        <v>1802</v>
      </c>
      <c r="C123" s="20"/>
      <c r="D123" s="20">
        <v>605837</v>
      </c>
      <c r="E123" s="20" t="s">
        <v>1805</v>
      </c>
      <c r="F123" s="20" t="s">
        <v>1815</v>
      </c>
      <c r="G123" s="20"/>
    </row>
    <row r="124" spans="1:7" ht="24.95" customHeight="1" x14ac:dyDescent="0.25">
      <c r="A124" s="20"/>
      <c r="B124" s="20" t="s">
        <v>1803</v>
      </c>
      <c r="C124" s="20"/>
      <c r="D124" s="20">
        <v>620376</v>
      </c>
      <c r="E124" s="20" t="s">
        <v>1806</v>
      </c>
      <c r="F124" s="20" t="s">
        <v>1815</v>
      </c>
      <c r="G124" s="20"/>
    </row>
    <row r="125" spans="1:7" ht="24.95" customHeight="1" x14ac:dyDescent="0.25">
      <c r="A125" s="20"/>
      <c r="B125" s="20" t="s">
        <v>1804</v>
      </c>
      <c r="C125" s="20"/>
      <c r="D125" s="20">
        <v>632355</v>
      </c>
      <c r="E125" s="20" t="s">
        <v>1807</v>
      </c>
      <c r="F125" s="20" t="s">
        <v>1808</v>
      </c>
      <c r="G125" s="20"/>
    </row>
    <row r="126" spans="1:7" ht="24.95" customHeight="1" x14ac:dyDescent="0.25">
      <c r="A126" s="20"/>
      <c r="B126" s="44" t="s">
        <v>91</v>
      </c>
      <c r="C126" s="36" t="s">
        <v>532</v>
      </c>
      <c r="D126" s="19">
        <v>622491</v>
      </c>
      <c r="E126" s="20" t="s">
        <v>1816</v>
      </c>
      <c r="F126" s="20" t="s">
        <v>1824</v>
      </c>
      <c r="G126" s="20"/>
    </row>
    <row r="127" spans="1:7" ht="24.95" customHeight="1" x14ac:dyDescent="0.25">
      <c r="A127" s="20"/>
      <c r="B127" s="20" t="s">
        <v>217</v>
      </c>
      <c r="C127" s="19" t="s">
        <v>289</v>
      </c>
      <c r="D127" s="19">
        <v>634093</v>
      </c>
      <c r="E127" s="20" t="s">
        <v>1817</v>
      </c>
      <c r="F127" s="20" t="s">
        <v>1824</v>
      </c>
      <c r="G127" s="20"/>
    </row>
    <row r="128" spans="1:7" ht="24.95" customHeight="1" x14ac:dyDescent="0.25">
      <c r="A128" s="20"/>
      <c r="B128" s="20" t="s">
        <v>1823</v>
      </c>
      <c r="C128" s="20"/>
      <c r="D128" s="19">
        <v>633647</v>
      </c>
      <c r="E128" s="20" t="s">
        <v>1962</v>
      </c>
      <c r="F128" s="44" t="s">
        <v>1960</v>
      </c>
      <c r="G128" s="44"/>
    </row>
    <row r="129" spans="1:7" ht="24.95" customHeight="1" x14ac:dyDescent="0.25">
      <c r="A129" s="20"/>
      <c r="B129" s="20" t="s">
        <v>83</v>
      </c>
      <c r="C129" s="39" t="s">
        <v>251</v>
      </c>
      <c r="D129" s="55">
        <v>613925</v>
      </c>
      <c r="E129" s="20" t="s">
        <v>1825</v>
      </c>
      <c r="F129" s="20" t="s">
        <v>1848</v>
      </c>
      <c r="G129" s="20"/>
    </row>
    <row r="130" spans="1:7" ht="24.95" customHeight="1" x14ac:dyDescent="0.25">
      <c r="A130" s="44"/>
      <c r="B130" s="44" t="s">
        <v>200</v>
      </c>
      <c r="C130" s="44"/>
      <c r="D130" s="44">
        <v>618450</v>
      </c>
      <c r="E130" s="44" t="s">
        <v>1834</v>
      </c>
      <c r="F130" s="20" t="s">
        <v>1848</v>
      </c>
      <c r="G130" s="20"/>
    </row>
    <row r="131" spans="1:7" ht="24.95" customHeight="1" x14ac:dyDescent="0.25">
      <c r="A131" s="44"/>
      <c r="B131" s="20" t="s">
        <v>1537</v>
      </c>
      <c r="C131" s="44"/>
      <c r="D131" s="44">
        <v>631932</v>
      </c>
      <c r="E131" s="44" t="s">
        <v>1835</v>
      </c>
      <c r="F131" s="71" t="s">
        <v>1777</v>
      </c>
      <c r="G131" s="71"/>
    </row>
    <row r="132" spans="1:7" ht="24.95" customHeight="1" x14ac:dyDescent="0.25">
      <c r="A132" s="44"/>
      <c r="B132" s="20" t="s">
        <v>1375</v>
      </c>
      <c r="C132" s="48" t="s">
        <v>1374</v>
      </c>
      <c r="D132" s="19">
        <v>631505</v>
      </c>
      <c r="E132" s="44" t="s">
        <v>1836</v>
      </c>
      <c r="F132" s="20" t="s">
        <v>1845</v>
      </c>
      <c r="G132" s="20"/>
    </row>
    <row r="133" spans="1:7" ht="24.95" customHeight="1" x14ac:dyDescent="0.25">
      <c r="A133" s="44"/>
      <c r="B133" s="20" t="s">
        <v>180</v>
      </c>
      <c r="C133" s="39" t="s">
        <v>1142</v>
      </c>
      <c r="D133" s="19">
        <v>603691</v>
      </c>
      <c r="E133" s="20" t="s">
        <v>1844</v>
      </c>
      <c r="F133" s="20" t="s">
        <v>1847</v>
      </c>
      <c r="G133" s="20"/>
    </row>
    <row r="134" spans="1:7" ht="24.95" customHeight="1" x14ac:dyDescent="0.25">
      <c r="A134" s="44"/>
      <c r="B134" s="20" t="s">
        <v>91</v>
      </c>
      <c r="C134" s="20" t="s">
        <v>381</v>
      </c>
      <c r="D134" s="70">
        <v>633628</v>
      </c>
      <c r="E134" s="20" t="s">
        <v>1844</v>
      </c>
      <c r="F134" s="20" t="s">
        <v>1847</v>
      </c>
      <c r="G134" s="20"/>
    </row>
    <row r="135" spans="1:7" ht="24.95" customHeight="1" x14ac:dyDescent="0.25">
      <c r="A135" s="44"/>
      <c r="B135" s="20" t="s">
        <v>1368</v>
      </c>
      <c r="C135" s="20" t="s">
        <v>1530</v>
      </c>
      <c r="D135" s="20">
        <v>631485</v>
      </c>
      <c r="E135" s="20" t="s">
        <v>1961</v>
      </c>
      <c r="F135" s="44" t="s">
        <v>1960</v>
      </c>
      <c r="G135" s="44"/>
    </row>
    <row r="136" spans="1:7" ht="24.95" customHeight="1" x14ac:dyDescent="0.25">
      <c r="A136" s="44"/>
      <c r="B136" s="20" t="s">
        <v>83</v>
      </c>
      <c r="C136" s="20" t="s">
        <v>1066</v>
      </c>
      <c r="D136" s="20">
        <v>603224</v>
      </c>
      <c r="E136" s="44" t="s">
        <v>1855</v>
      </c>
      <c r="F136" s="44"/>
      <c r="G136" s="44"/>
    </row>
    <row r="137" spans="1:7" ht="24.95" customHeight="1" x14ac:dyDescent="0.25">
      <c r="A137" s="44"/>
      <c r="B137" s="20" t="s">
        <v>294</v>
      </c>
      <c r="C137" s="20" t="s">
        <v>148</v>
      </c>
      <c r="D137" s="20">
        <v>613502</v>
      </c>
      <c r="E137" s="20" t="s">
        <v>1864</v>
      </c>
      <c r="F137" s="44"/>
      <c r="G137" s="44"/>
    </row>
    <row r="138" spans="1:7" ht="24.95" customHeight="1" x14ac:dyDescent="0.25">
      <c r="A138" s="44"/>
      <c r="B138" s="20" t="s">
        <v>1051</v>
      </c>
      <c r="C138" s="20" t="s">
        <v>1050</v>
      </c>
      <c r="D138" s="20">
        <v>632355</v>
      </c>
      <c r="E138" s="20" t="s">
        <v>1864</v>
      </c>
      <c r="F138" s="44"/>
      <c r="G138" s="44"/>
    </row>
    <row r="139" spans="1:7" ht="24.95" customHeight="1" x14ac:dyDescent="0.25">
      <c r="A139" s="44"/>
      <c r="B139" s="20" t="s">
        <v>237</v>
      </c>
      <c r="C139" s="20" t="s">
        <v>238</v>
      </c>
      <c r="D139" s="20">
        <v>626297</v>
      </c>
      <c r="E139" s="20" t="s">
        <v>1865</v>
      </c>
      <c r="F139" s="44"/>
      <c r="G139" s="44"/>
    </row>
    <row r="140" spans="1:7" ht="24.95" customHeight="1" x14ac:dyDescent="0.25">
      <c r="A140" s="20"/>
      <c r="B140" s="20" t="s">
        <v>1686</v>
      </c>
      <c r="C140" s="20" t="s">
        <v>1690</v>
      </c>
      <c r="D140" s="20">
        <v>633796</v>
      </c>
      <c r="E140" s="20" t="s">
        <v>1869</v>
      </c>
      <c r="F140" s="20" t="s">
        <v>1870</v>
      </c>
      <c r="G140" s="20"/>
    </row>
    <row r="141" spans="1:7" ht="24.95" customHeight="1" x14ac:dyDescent="0.25">
      <c r="A141" s="20"/>
      <c r="B141" s="20" t="s">
        <v>1350</v>
      </c>
      <c r="C141" s="47" t="s">
        <v>1349</v>
      </c>
      <c r="D141" s="47">
        <v>634579</v>
      </c>
      <c r="E141" s="20" t="s">
        <v>1878</v>
      </c>
      <c r="F141" s="20"/>
      <c r="G141" s="20"/>
    </row>
    <row r="142" spans="1:7" ht="24.95" customHeight="1" x14ac:dyDescent="0.25">
      <c r="A142" s="20"/>
      <c r="B142" s="20" t="s">
        <v>83</v>
      </c>
      <c r="C142" s="69" t="s">
        <v>324</v>
      </c>
      <c r="D142" s="20">
        <v>618637</v>
      </c>
      <c r="E142" s="20" t="s">
        <v>1898</v>
      </c>
      <c r="F142" s="20" t="s">
        <v>1918</v>
      </c>
      <c r="G142" s="20"/>
    </row>
    <row r="143" spans="1:7" ht="24.95" customHeight="1" x14ac:dyDescent="0.25">
      <c r="A143" s="20"/>
      <c r="B143" s="20" t="s">
        <v>91</v>
      </c>
      <c r="C143" s="20" t="s">
        <v>325</v>
      </c>
      <c r="D143" s="20">
        <v>604616</v>
      </c>
      <c r="E143" s="20" t="s">
        <v>1898</v>
      </c>
      <c r="F143" s="20" t="s">
        <v>1918</v>
      </c>
      <c r="G143" s="20"/>
    </row>
    <row r="144" spans="1:7" ht="24.95" customHeight="1" x14ac:dyDescent="0.25">
      <c r="A144" s="20"/>
      <c r="B144" s="20" t="s">
        <v>1687</v>
      </c>
      <c r="C144" s="19" t="s">
        <v>1691</v>
      </c>
      <c r="D144" s="19">
        <v>625109</v>
      </c>
      <c r="E144" s="20" t="s">
        <v>1919</v>
      </c>
      <c r="F144" s="20"/>
      <c r="G144" s="20"/>
    </row>
    <row r="145" spans="1:7" ht="24.95" customHeight="1" x14ac:dyDescent="0.25">
      <c r="A145" s="20" t="s">
        <v>500</v>
      </c>
      <c r="B145" s="20" t="s">
        <v>1969</v>
      </c>
      <c r="C145" s="19" t="s">
        <v>1965</v>
      </c>
      <c r="D145" s="19" t="s">
        <v>76</v>
      </c>
      <c r="E145" s="20"/>
      <c r="F145" s="20" t="s">
        <v>1966</v>
      </c>
      <c r="G145" s="20" t="s">
        <v>1967</v>
      </c>
    </row>
    <row r="146" spans="1:7" ht="24.95" customHeight="1" x14ac:dyDescent="0.25">
      <c r="A146" s="20"/>
      <c r="B146" s="20" t="s">
        <v>1971</v>
      </c>
      <c r="C146" s="19" t="s">
        <v>1970</v>
      </c>
      <c r="D146" s="19">
        <v>604876</v>
      </c>
      <c r="E146" s="20"/>
      <c r="F146" s="20" t="s">
        <v>1966</v>
      </c>
      <c r="G146" s="20" t="s">
        <v>1968</v>
      </c>
    </row>
    <row r="147" spans="1:7" ht="24.95" customHeight="1" x14ac:dyDescent="0.25">
      <c r="A147" s="20" t="s">
        <v>500</v>
      </c>
      <c r="B147" s="20" t="s">
        <v>1628</v>
      </c>
      <c r="C147" s="19" t="s">
        <v>1629</v>
      </c>
      <c r="D147" s="19" t="s">
        <v>76</v>
      </c>
      <c r="E147" s="20" t="s">
        <v>1974</v>
      </c>
      <c r="F147" s="20"/>
      <c r="G147" s="44" t="s">
        <v>1975</v>
      </c>
    </row>
    <row r="148" spans="1:7" ht="24.95" customHeight="1" x14ac:dyDescent="0.25">
      <c r="A148" s="20" t="s">
        <v>439</v>
      </c>
      <c r="B148" s="20" t="s">
        <v>91</v>
      </c>
      <c r="C148" s="19" t="s">
        <v>293</v>
      </c>
      <c r="D148" s="19">
        <v>609755</v>
      </c>
      <c r="E148" s="20" t="s">
        <v>1978</v>
      </c>
      <c r="F148" s="20"/>
      <c r="G148" s="44"/>
    </row>
    <row r="149" spans="1:7" ht="24.95" customHeight="1" x14ac:dyDescent="0.25">
      <c r="A149" s="20" t="s">
        <v>534</v>
      </c>
      <c r="B149" s="20" t="s">
        <v>1959</v>
      </c>
      <c r="C149" s="19" t="s">
        <v>1958</v>
      </c>
      <c r="D149" s="19">
        <v>636541</v>
      </c>
      <c r="E149" s="20" t="s">
        <v>1986</v>
      </c>
      <c r="F149" s="20" t="s">
        <v>2009</v>
      </c>
      <c r="G149" s="44" t="s">
        <v>2010</v>
      </c>
    </row>
    <row r="150" spans="1:7" ht="24.95" customHeight="1" x14ac:dyDescent="0.25">
      <c r="A150" s="20" t="s">
        <v>439</v>
      </c>
      <c r="B150" s="20" t="s">
        <v>91</v>
      </c>
      <c r="C150" s="19" t="s">
        <v>867</v>
      </c>
      <c r="D150" s="19">
        <v>605735</v>
      </c>
      <c r="E150" s="20" t="s">
        <v>1987</v>
      </c>
      <c r="F150" s="20"/>
      <c r="G150" s="44" t="s">
        <v>626</v>
      </c>
    </row>
    <row r="151" spans="1:7" ht="24.95" customHeight="1" x14ac:dyDescent="0.25">
      <c r="A151" s="20" t="s">
        <v>562</v>
      </c>
      <c r="B151" s="20" t="s">
        <v>367</v>
      </c>
      <c r="C151" s="19" t="s">
        <v>448</v>
      </c>
      <c r="D151" s="19">
        <v>627699</v>
      </c>
      <c r="E151" s="20" t="s">
        <v>1991</v>
      </c>
      <c r="F151" s="20" t="s">
        <v>1725</v>
      </c>
      <c r="G151" s="44" t="s">
        <v>1992</v>
      </c>
    </row>
    <row r="152" spans="1:7" ht="24.95" customHeight="1" x14ac:dyDescent="0.25">
      <c r="A152" s="20" t="s">
        <v>175</v>
      </c>
      <c r="B152" s="20" t="s">
        <v>256</v>
      </c>
      <c r="C152" s="19" t="s">
        <v>255</v>
      </c>
      <c r="D152" s="19">
        <v>601990</v>
      </c>
      <c r="E152" s="20" t="s">
        <v>2012</v>
      </c>
      <c r="F152" s="20" t="s">
        <v>2047</v>
      </c>
      <c r="G152" s="44" t="s">
        <v>2034</v>
      </c>
    </row>
    <row r="153" spans="1:7" ht="24.95" customHeight="1" x14ac:dyDescent="0.25">
      <c r="A153" s="20" t="s">
        <v>175</v>
      </c>
      <c r="B153" s="20" t="s">
        <v>123</v>
      </c>
      <c r="C153" s="19" t="s">
        <v>1052</v>
      </c>
      <c r="D153" s="19">
        <v>632361</v>
      </c>
      <c r="E153" s="20" t="s">
        <v>2022</v>
      </c>
      <c r="F153" s="20" t="s">
        <v>2047</v>
      </c>
      <c r="G153" s="44" t="s">
        <v>1707</v>
      </c>
    </row>
  </sheetData>
  <autoFilter ref="A2:F111" xr:uid="{00000000-0001-0000-0400-000000000000}"/>
  <mergeCells count="2">
    <mergeCell ref="A1:D1"/>
    <mergeCell ref="A19:F19"/>
  </mergeCells>
  <phoneticPr fontId="37" type="noConversion"/>
  <conditionalFormatting sqref="A80:A82 E84 D85:E85 A84:A87 E86:E87">
    <cfRule type="duplicateValues" dxfId="481" priority="529"/>
  </conditionalFormatting>
  <conditionalFormatting sqref="A88 E88">
    <cfRule type="duplicateValues" dxfId="480" priority="489"/>
  </conditionalFormatting>
  <conditionalFormatting sqref="A89 E89">
    <cfRule type="duplicateValues" dxfId="479" priority="488"/>
  </conditionalFormatting>
  <conditionalFormatting sqref="A90">
    <cfRule type="duplicateValues" dxfId="478" priority="487"/>
  </conditionalFormatting>
  <conditionalFormatting sqref="A91 E91">
    <cfRule type="duplicateValues" dxfId="477" priority="486"/>
  </conditionalFormatting>
  <conditionalFormatting sqref="B37:C37 C38:C46">
    <cfRule type="duplicateValues" dxfId="476" priority="604"/>
  </conditionalFormatting>
  <conditionalFormatting sqref="B62:D62">
    <cfRule type="duplicateValues" dxfId="475" priority="576"/>
  </conditionalFormatting>
  <conditionalFormatting sqref="C6">
    <cfRule type="duplicateValues" dxfId="474" priority="628"/>
  </conditionalFormatting>
  <conditionalFormatting sqref="C7">
    <cfRule type="duplicateValues" dxfId="473" priority="627"/>
  </conditionalFormatting>
  <conditionalFormatting sqref="C8">
    <cfRule type="duplicateValues" dxfId="472" priority="626"/>
  </conditionalFormatting>
  <conditionalFormatting sqref="C21">
    <cfRule type="duplicateValues" dxfId="471" priority="621"/>
  </conditionalFormatting>
  <conditionalFormatting sqref="C25">
    <cfRule type="duplicateValues" dxfId="470" priority="620"/>
  </conditionalFormatting>
  <conditionalFormatting sqref="C33">
    <cfRule type="duplicateValues" dxfId="469" priority="619"/>
  </conditionalFormatting>
  <conditionalFormatting sqref="C34">
    <cfRule type="duplicateValues" dxfId="468" priority="618"/>
  </conditionalFormatting>
  <conditionalFormatting sqref="C35">
    <cfRule type="duplicateValues" dxfId="467" priority="614"/>
  </conditionalFormatting>
  <conditionalFormatting sqref="C36">
    <cfRule type="duplicateValues" dxfId="466" priority="612"/>
  </conditionalFormatting>
  <conditionalFormatting sqref="C48 C55">
    <cfRule type="duplicateValues" dxfId="465" priority="603"/>
  </conditionalFormatting>
  <conditionalFormatting sqref="C49">
    <cfRule type="duplicateValues" dxfId="464" priority="598"/>
  </conditionalFormatting>
  <conditionalFormatting sqref="C51">
    <cfRule type="duplicateValues" dxfId="463" priority="600"/>
  </conditionalFormatting>
  <conditionalFormatting sqref="C52">
    <cfRule type="duplicateValues" dxfId="462" priority="596"/>
  </conditionalFormatting>
  <conditionalFormatting sqref="C54">
    <cfRule type="duplicateValues" dxfId="461" priority="592"/>
  </conditionalFormatting>
  <conditionalFormatting sqref="C57">
    <cfRule type="duplicateValues" dxfId="460" priority="587"/>
  </conditionalFormatting>
  <conditionalFormatting sqref="C59">
    <cfRule type="duplicateValues" dxfId="459" priority="580"/>
  </conditionalFormatting>
  <conditionalFormatting sqref="C61">
    <cfRule type="duplicateValues" dxfId="458" priority="573"/>
  </conditionalFormatting>
  <conditionalFormatting sqref="C63">
    <cfRule type="duplicateValues" dxfId="457" priority="570"/>
  </conditionalFormatting>
  <conditionalFormatting sqref="C72">
    <cfRule type="duplicateValues" dxfId="456" priority="557"/>
  </conditionalFormatting>
  <conditionalFormatting sqref="C73">
    <cfRule type="duplicateValues" dxfId="455" priority="556"/>
  </conditionalFormatting>
  <conditionalFormatting sqref="C74">
    <cfRule type="duplicateValues" dxfId="454" priority="552"/>
  </conditionalFormatting>
  <conditionalFormatting sqref="C75">
    <cfRule type="duplicateValues" dxfId="453" priority="548"/>
  </conditionalFormatting>
  <conditionalFormatting sqref="C77">
    <cfRule type="duplicateValues" dxfId="452" priority="540"/>
  </conditionalFormatting>
  <conditionalFormatting sqref="C79">
    <cfRule type="duplicateValues" dxfId="451" priority="535"/>
  </conditionalFormatting>
  <conditionalFormatting sqref="C81">
    <cfRule type="duplicateValues" dxfId="450" priority="523"/>
  </conditionalFormatting>
  <conditionalFormatting sqref="C82">
    <cfRule type="duplicateValues" dxfId="449" priority="517"/>
  </conditionalFormatting>
  <conditionalFormatting sqref="C83">
    <cfRule type="duplicateValues" dxfId="448" priority="511"/>
  </conditionalFormatting>
  <conditionalFormatting sqref="C85">
    <cfRule type="duplicateValues" dxfId="447" priority="499"/>
  </conditionalFormatting>
  <conditionalFormatting sqref="C86">
    <cfRule type="duplicateValues" dxfId="446" priority="498"/>
  </conditionalFormatting>
  <conditionalFormatting sqref="C88">
    <cfRule type="duplicateValues" dxfId="445" priority="477"/>
  </conditionalFormatting>
  <conditionalFormatting sqref="C89">
    <cfRule type="duplicateValues" dxfId="444" priority="468"/>
  </conditionalFormatting>
  <conditionalFormatting sqref="C91">
    <cfRule type="duplicateValues" dxfId="443" priority="450"/>
  </conditionalFormatting>
  <conditionalFormatting sqref="C98">
    <cfRule type="duplicateValues" dxfId="442" priority="424"/>
  </conditionalFormatting>
  <conditionalFormatting sqref="C102">
    <cfRule type="duplicateValues" dxfId="441" priority="390"/>
    <cfRule type="duplicateValues" dxfId="440" priority="398"/>
  </conditionalFormatting>
  <conditionalFormatting sqref="C103">
    <cfRule type="duplicateValues" dxfId="439" priority="379"/>
  </conditionalFormatting>
  <conditionalFormatting sqref="C104">
    <cfRule type="duplicateValues" dxfId="438" priority="367"/>
    <cfRule type="duplicateValues" dxfId="437" priority="377"/>
  </conditionalFormatting>
  <conditionalFormatting sqref="C105">
    <cfRule type="duplicateValues" dxfId="436" priority="346"/>
  </conditionalFormatting>
  <conditionalFormatting sqref="C106">
    <cfRule type="duplicateValues" dxfId="435" priority="334"/>
    <cfRule type="duplicateValues" dxfId="434" priority="344"/>
  </conditionalFormatting>
  <conditionalFormatting sqref="C107">
    <cfRule type="duplicateValues" dxfId="433" priority="322"/>
    <cfRule type="duplicateValues" dxfId="432" priority="332"/>
  </conditionalFormatting>
  <conditionalFormatting sqref="C108">
    <cfRule type="duplicateValues" dxfId="431" priority="298"/>
    <cfRule type="duplicateValues" dxfId="430" priority="308"/>
  </conditionalFormatting>
  <conditionalFormatting sqref="C109">
    <cfRule type="duplicateValues" dxfId="429" priority="286"/>
    <cfRule type="duplicateValues" dxfId="428" priority="296"/>
  </conditionalFormatting>
  <conditionalFormatting sqref="C110">
    <cfRule type="duplicateValues" dxfId="427" priority="274"/>
  </conditionalFormatting>
  <conditionalFormatting sqref="C111">
    <cfRule type="duplicateValues" dxfId="426" priority="262"/>
    <cfRule type="duplicateValues" dxfId="425" priority="270"/>
  </conditionalFormatting>
  <conditionalFormatting sqref="C112">
    <cfRule type="duplicateValues" dxfId="424" priority="251"/>
  </conditionalFormatting>
  <conditionalFormatting sqref="C118">
    <cfRule type="duplicateValues" dxfId="423" priority="201"/>
  </conditionalFormatting>
  <conditionalFormatting sqref="C119">
    <cfRule type="duplicateValues" dxfId="422" priority="198"/>
  </conditionalFormatting>
  <conditionalFormatting sqref="C120">
    <cfRule type="duplicateValues" dxfId="421" priority="197"/>
  </conditionalFormatting>
  <conditionalFormatting sqref="C121">
    <cfRule type="duplicateValues" dxfId="420" priority="195"/>
    <cfRule type="duplicateValues" dxfId="419" priority="196"/>
  </conditionalFormatting>
  <conditionalFormatting sqref="C122">
    <cfRule type="duplicateValues" dxfId="418" priority="193"/>
    <cfRule type="duplicateValues" dxfId="417" priority="194"/>
  </conditionalFormatting>
  <conditionalFormatting sqref="C126">
    <cfRule type="duplicateValues" dxfId="416" priority="180"/>
  </conditionalFormatting>
  <conditionalFormatting sqref="C127">
    <cfRule type="duplicateValues" dxfId="415" priority="166"/>
  </conditionalFormatting>
  <conditionalFormatting sqref="C129">
    <cfRule type="duplicateValues" dxfId="414" priority="141"/>
  </conditionalFormatting>
  <conditionalFormatting sqref="C132">
    <cfRule type="duplicateValues" dxfId="413" priority="128"/>
  </conditionalFormatting>
  <conditionalFormatting sqref="C133">
    <cfRule type="duplicateValues" dxfId="412" priority="123"/>
    <cfRule type="duplicateValues" dxfId="411" priority="124"/>
  </conditionalFormatting>
  <conditionalFormatting sqref="C134">
    <cfRule type="duplicateValues" dxfId="410" priority="100"/>
    <cfRule type="duplicateValues" dxfId="409" priority="110"/>
  </conditionalFormatting>
  <conditionalFormatting sqref="C141">
    <cfRule type="duplicateValues" dxfId="408" priority="54"/>
  </conditionalFormatting>
  <conditionalFormatting sqref="C142">
    <cfRule type="duplicateValues" dxfId="407" priority="49"/>
    <cfRule type="duplicateValues" dxfId="406" priority="50"/>
  </conditionalFormatting>
  <conditionalFormatting sqref="C143">
    <cfRule type="duplicateValues" dxfId="405" priority="48"/>
  </conditionalFormatting>
  <conditionalFormatting sqref="C144:C153">
    <cfRule type="duplicateValues" dxfId="404" priority="37"/>
  </conditionalFormatting>
  <conditionalFormatting sqref="C5:D5">
    <cfRule type="duplicateValues" dxfId="403" priority="631"/>
  </conditionalFormatting>
  <conditionalFormatting sqref="C13:D13">
    <cfRule type="duplicateValues" dxfId="402" priority="625"/>
  </conditionalFormatting>
  <conditionalFormatting sqref="C14:D14">
    <cfRule type="duplicateValues" dxfId="401" priority="624"/>
  </conditionalFormatting>
  <conditionalFormatting sqref="C16:D18 D20">
    <cfRule type="duplicateValues" dxfId="400" priority="19657"/>
  </conditionalFormatting>
  <conditionalFormatting sqref="C96:D96 A96:A98 C97:E97 D98 A93:E95 A92:G92">
    <cfRule type="duplicateValues" dxfId="399" priority="425"/>
  </conditionalFormatting>
  <conditionalFormatting sqref="C101:E101 A100:E100 A101:A104 E102:E103 A99:G99 E104:G104">
    <cfRule type="duplicateValues" dxfId="398" priority="412"/>
  </conditionalFormatting>
  <conditionalFormatting sqref="D6">
    <cfRule type="duplicateValues" dxfId="397" priority="629"/>
  </conditionalFormatting>
  <conditionalFormatting sqref="D35">
    <cfRule type="duplicateValues" dxfId="396" priority="613"/>
    <cfRule type="duplicateValues" dxfId="395" priority="615"/>
    <cfRule type="duplicateValues" dxfId="394" priority="616"/>
    <cfRule type="duplicateValues" dxfId="393" priority="617"/>
  </conditionalFormatting>
  <conditionalFormatting sqref="D51">
    <cfRule type="duplicateValues" dxfId="392" priority="599"/>
    <cfRule type="duplicateValues" dxfId="391" priority="601"/>
    <cfRule type="duplicateValues" dxfId="390" priority="602"/>
  </conditionalFormatting>
  <conditionalFormatting sqref="D52">
    <cfRule type="duplicateValues" dxfId="389" priority="595"/>
    <cfRule type="duplicateValues" dxfId="388" priority="597"/>
  </conditionalFormatting>
  <conditionalFormatting sqref="D53">
    <cfRule type="duplicateValues" dxfId="387" priority="593"/>
    <cfRule type="duplicateValues" dxfId="386" priority="594"/>
  </conditionalFormatting>
  <conditionalFormatting sqref="D54">
    <cfRule type="duplicateValues" dxfId="385" priority="590"/>
    <cfRule type="duplicateValues" dxfId="384" priority="591"/>
  </conditionalFormatting>
  <conditionalFormatting sqref="D56">
    <cfRule type="duplicateValues" dxfId="383" priority="588"/>
    <cfRule type="duplicateValues" dxfId="382" priority="589"/>
  </conditionalFormatting>
  <conditionalFormatting sqref="D57">
    <cfRule type="duplicateValues" dxfId="381" priority="585"/>
    <cfRule type="duplicateValues" dxfId="380" priority="586"/>
  </conditionalFormatting>
  <conditionalFormatting sqref="D58">
    <cfRule type="duplicateValues" dxfId="379" priority="583"/>
    <cfRule type="duplicateValues" dxfId="378" priority="584"/>
  </conditionalFormatting>
  <conditionalFormatting sqref="D59">
    <cfRule type="duplicateValues" dxfId="377" priority="581"/>
    <cfRule type="duplicateValues" dxfId="376" priority="582"/>
  </conditionalFormatting>
  <conditionalFormatting sqref="D60">
    <cfRule type="duplicateValues" dxfId="375" priority="578"/>
    <cfRule type="duplicateValues" dxfId="374" priority="579"/>
  </conditionalFormatting>
  <conditionalFormatting sqref="D61">
    <cfRule type="duplicateValues" dxfId="373" priority="574"/>
    <cfRule type="duplicateValues" dxfId="372" priority="575"/>
  </conditionalFormatting>
  <conditionalFormatting sqref="D63">
    <cfRule type="duplicateValues" dxfId="371" priority="571"/>
    <cfRule type="duplicateValues" dxfId="370" priority="572"/>
  </conditionalFormatting>
  <conditionalFormatting sqref="D73">
    <cfRule type="duplicateValues" dxfId="369" priority="553"/>
    <cfRule type="duplicateValues" dxfId="368" priority="554"/>
    <cfRule type="duplicateValues" dxfId="367" priority="555"/>
  </conditionalFormatting>
  <conditionalFormatting sqref="D74">
    <cfRule type="duplicateValues" dxfId="366" priority="549"/>
    <cfRule type="duplicateValues" dxfId="365" priority="550"/>
    <cfRule type="duplicateValues" dxfId="364" priority="551"/>
  </conditionalFormatting>
  <conditionalFormatting sqref="D75">
    <cfRule type="duplicateValues" dxfId="363" priority="545"/>
    <cfRule type="duplicateValues" dxfId="362" priority="546"/>
    <cfRule type="duplicateValues" dxfId="361" priority="547"/>
  </conditionalFormatting>
  <conditionalFormatting sqref="D76">
    <cfRule type="duplicateValues" dxfId="360" priority="541"/>
    <cfRule type="duplicateValues" dxfId="359" priority="542"/>
    <cfRule type="duplicateValues" dxfId="358" priority="543"/>
    <cfRule type="duplicateValues" dxfId="357" priority="544"/>
  </conditionalFormatting>
  <conditionalFormatting sqref="D77">
    <cfRule type="duplicateValues" dxfId="356" priority="536"/>
    <cfRule type="duplicateValues" dxfId="355" priority="537"/>
    <cfRule type="duplicateValues" dxfId="354" priority="538"/>
    <cfRule type="duplicateValues" dxfId="353" priority="539"/>
  </conditionalFormatting>
  <conditionalFormatting sqref="D79">
    <cfRule type="duplicateValues" dxfId="352" priority="530"/>
    <cfRule type="duplicateValues" dxfId="351" priority="531"/>
    <cfRule type="duplicateValues" dxfId="350" priority="532"/>
    <cfRule type="duplicateValues" dxfId="349" priority="533"/>
    <cfRule type="duplicateValues" dxfId="348" priority="534"/>
  </conditionalFormatting>
  <conditionalFormatting sqref="D80">
    <cfRule type="duplicateValues" dxfId="347" priority="524"/>
    <cfRule type="duplicateValues" dxfId="346" priority="525"/>
    <cfRule type="duplicateValues" dxfId="345" priority="526"/>
    <cfRule type="duplicateValues" dxfId="344" priority="527"/>
    <cfRule type="duplicateValues" dxfId="343" priority="528"/>
  </conditionalFormatting>
  <conditionalFormatting sqref="D81">
    <cfRule type="duplicateValues" dxfId="342" priority="518"/>
    <cfRule type="duplicateValues" dxfId="341" priority="519"/>
    <cfRule type="duplicateValues" dxfId="340" priority="520"/>
    <cfRule type="duplicateValues" dxfId="339" priority="521"/>
    <cfRule type="duplicateValues" dxfId="338" priority="522"/>
  </conditionalFormatting>
  <conditionalFormatting sqref="D82">
    <cfRule type="duplicateValues" dxfId="337" priority="512"/>
    <cfRule type="duplicateValues" dxfId="336" priority="513"/>
    <cfRule type="duplicateValues" dxfId="335" priority="514"/>
    <cfRule type="duplicateValues" dxfId="334" priority="515"/>
    <cfRule type="duplicateValues" dxfId="333" priority="516"/>
  </conditionalFormatting>
  <conditionalFormatting sqref="D83">
    <cfRule type="duplicateValues" dxfId="332" priority="508"/>
    <cfRule type="duplicateValues" dxfId="331" priority="509"/>
    <cfRule type="duplicateValues" dxfId="330" priority="510"/>
  </conditionalFormatting>
  <conditionalFormatting sqref="D84">
    <cfRule type="duplicateValues" dxfId="329" priority="500"/>
    <cfRule type="duplicateValues" dxfId="328" priority="501"/>
    <cfRule type="duplicateValues" dxfId="327" priority="502"/>
    <cfRule type="duplicateValues" dxfId="326" priority="503"/>
    <cfRule type="duplicateValues" dxfId="325" priority="504"/>
    <cfRule type="duplicateValues" dxfId="324" priority="505"/>
    <cfRule type="duplicateValues" dxfId="323" priority="506"/>
    <cfRule type="duplicateValues" dxfId="322" priority="507"/>
  </conditionalFormatting>
  <conditionalFormatting sqref="D86">
    <cfRule type="duplicateValues" dxfId="321" priority="490"/>
    <cfRule type="duplicateValues" dxfId="320" priority="491"/>
    <cfRule type="duplicateValues" dxfId="319" priority="492"/>
    <cfRule type="duplicateValues" dxfId="318" priority="493"/>
    <cfRule type="duplicateValues" dxfId="317" priority="494"/>
    <cfRule type="duplicateValues" dxfId="316" priority="495"/>
    <cfRule type="duplicateValues" dxfId="315" priority="496"/>
    <cfRule type="duplicateValues" dxfId="314" priority="497"/>
  </conditionalFormatting>
  <conditionalFormatting sqref="D87">
    <cfRule type="duplicateValues" dxfId="313" priority="478"/>
    <cfRule type="duplicateValues" dxfId="312" priority="479"/>
    <cfRule type="duplicateValues" dxfId="311" priority="480"/>
    <cfRule type="duplicateValues" dxfId="310" priority="481"/>
    <cfRule type="duplicateValues" dxfId="309" priority="482"/>
    <cfRule type="duplicateValues" dxfId="308" priority="483"/>
    <cfRule type="duplicateValues" dxfId="307" priority="484"/>
    <cfRule type="duplicateValues" dxfId="306" priority="485"/>
  </conditionalFormatting>
  <conditionalFormatting sqref="D88">
    <cfRule type="duplicateValues" dxfId="305" priority="469"/>
    <cfRule type="duplicateValues" dxfId="304" priority="470"/>
    <cfRule type="duplicateValues" dxfId="303" priority="471"/>
    <cfRule type="duplicateValues" dxfId="302" priority="472"/>
    <cfRule type="duplicateValues" dxfId="301" priority="473"/>
    <cfRule type="duplicateValues" dxfId="300" priority="474"/>
    <cfRule type="duplicateValues" dxfId="299" priority="475"/>
    <cfRule type="duplicateValues" dxfId="298" priority="476"/>
  </conditionalFormatting>
  <conditionalFormatting sqref="D89">
    <cfRule type="duplicateValues" dxfId="297" priority="460"/>
    <cfRule type="duplicateValues" dxfId="296" priority="461"/>
    <cfRule type="duplicateValues" dxfId="295" priority="462"/>
    <cfRule type="duplicateValues" dxfId="294" priority="463"/>
    <cfRule type="duplicateValues" dxfId="293" priority="464"/>
    <cfRule type="duplicateValues" dxfId="292" priority="465"/>
    <cfRule type="duplicateValues" dxfId="291" priority="466"/>
    <cfRule type="duplicateValues" dxfId="290" priority="467"/>
  </conditionalFormatting>
  <conditionalFormatting sqref="D90">
    <cfRule type="duplicateValues" dxfId="289" priority="452"/>
    <cfRule type="duplicateValues" dxfId="288" priority="453"/>
    <cfRule type="duplicateValues" dxfId="287" priority="454"/>
    <cfRule type="duplicateValues" dxfId="286" priority="455"/>
    <cfRule type="duplicateValues" dxfId="285" priority="456"/>
    <cfRule type="duplicateValues" dxfId="284" priority="457"/>
    <cfRule type="duplicateValues" dxfId="283" priority="458"/>
    <cfRule type="duplicateValues" dxfId="282" priority="459"/>
  </conditionalFormatting>
  <conditionalFormatting sqref="D91">
    <cfRule type="duplicateValues" dxfId="281" priority="442"/>
    <cfRule type="duplicateValues" dxfId="280" priority="443"/>
    <cfRule type="duplicateValues" dxfId="279" priority="444"/>
    <cfRule type="duplicateValues" dxfId="278" priority="445"/>
    <cfRule type="duplicateValues" dxfId="277" priority="446"/>
    <cfRule type="duplicateValues" dxfId="276" priority="447"/>
    <cfRule type="duplicateValues" dxfId="275" priority="448"/>
    <cfRule type="duplicateValues" dxfId="274" priority="449"/>
  </conditionalFormatting>
  <conditionalFormatting sqref="D102">
    <cfRule type="duplicateValues" dxfId="273" priority="389"/>
    <cfRule type="duplicateValues" dxfId="272" priority="391"/>
    <cfRule type="duplicateValues" dxfId="271" priority="392"/>
    <cfRule type="duplicateValues" dxfId="270" priority="393"/>
    <cfRule type="duplicateValues" dxfId="269" priority="394"/>
    <cfRule type="duplicateValues" dxfId="268" priority="395"/>
    <cfRule type="duplicateValues" dxfId="267" priority="396"/>
    <cfRule type="duplicateValues" dxfId="266" priority="397"/>
    <cfRule type="duplicateValues" dxfId="265" priority="399"/>
    <cfRule type="duplicateValues" dxfId="264" priority="400"/>
  </conditionalFormatting>
  <conditionalFormatting sqref="D103">
    <cfRule type="duplicateValues" dxfId="263" priority="378"/>
    <cfRule type="duplicateValues" dxfId="262" priority="380"/>
    <cfRule type="duplicateValues" dxfId="261" priority="381"/>
    <cfRule type="duplicateValues" dxfId="260" priority="382"/>
    <cfRule type="duplicateValues" dxfId="259" priority="383"/>
    <cfRule type="duplicateValues" dxfId="258" priority="384"/>
    <cfRule type="duplicateValues" dxfId="257" priority="385"/>
    <cfRule type="duplicateValues" dxfId="256" priority="386"/>
    <cfRule type="duplicateValues" dxfId="255" priority="387"/>
    <cfRule type="duplicateValues" dxfId="254" priority="388"/>
  </conditionalFormatting>
  <conditionalFormatting sqref="D104">
    <cfRule type="duplicateValues" dxfId="253" priority="366"/>
    <cfRule type="duplicateValues" dxfId="252" priority="368"/>
    <cfRule type="duplicateValues" dxfId="251" priority="369"/>
    <cfRule type="duplicateValues" dxfId="250" priority="370"/>
    <cfRule type="duplicateValues" dxfId="249" priority="371"/>
    <cfRule type="duplicateValues" dxfId="248" priority="372"/>
    <cfRule type="duplicateValues" dxfId="247" priority="373"/>
    <cfRule type="duplicateValues" dxfId="246" priority="374"/>
    <cfRule type="duplicateValues" dxfId="245" priority="375"/>
    <cfRule type="duplicateValues" dxfId="244" priority="376"/>
  </conditionalFormatting>
  <conditionalFormatting sqref="D105">
    <cfRule type="duplicateValues" dxfId="243" priority="345"/>
    <cfRule type="duplicateValues" dxfId="242" priority="347"/>
    <cfRule type="duplicateValues" dxfId="241" priority="348"/>
    <cfRule type="duplicateValues" dxfId="240" priority="349"/>
    <cfRule type="duplicateValues" dxfId="239" priority="350"/>
    <cfRule type="duplicateValues" dxfId="238" priority="351"/>
    <cfRule type="duplicateValues" dxfId="237" priority="352"/>
    <cfRule type="duplicateValues" dxfId="236" priority="353"/>
    <cfRule type="duplicateValues" dxfId="235" priority="354"/>
    <cfRule type="duplicateValues" dxfId="234" priority="355"/>
  </conditionalFormatting>
  <conditionalFormatting sqref="D106">
    <cfRule type="duplicateValues" dxfId="233" priority="333"/>
    <cfRule type="duplicateValues" dxfId="232" priority="335"/>
    <cfRule type="duplicateValues" dxfId="231" priority="336"/>
    <cfRule type="duplicateValues" dxfId="230" priority="337"/>
    <cfRule type="duplicateValues" dxfId="229" priority="338"/>
    <cfRule type="duplicateValues" dxfId="228" priority="339"/>
    <cfRule type="duplicateValues" dxfId="227" priority="340"/>
    <cfRule type="duplicateValues" dxfId="226" priority="341"/>
    <cfRule type="duplicateValues" dxfId="225" priority="342"/>
    <cfRule type="duplicateValues" dxfId="224" priority="343"/>
  </conditionalFormatting>
  <conditionalFormatting sqref="D107">
    <cfRule type="duplicateValues" dxfId="223" priority="321"/>
    <cfRule type="duplicateValues" dxfId="222" priority="323"/>
    <cfRule type="duplicateValues" dxfId="221" priority="324"/>
    <cfRule type="duplicateValues" dxfId="220" priority="325"/>
    <cfRule type="duplicateValues" dxfId="219" priority="326"/>
    <cfRule type="duplicateValues" dxfId="218" priority="327"/>
    <cfRule type="duplicateValues" dxfId="217" priority="328"/>
    <cfRule type="duplicateValues" dxfId="216" priority="329"/>
    <cfRule type="duplicateValues" dxfId="215" priority="330"/>
    <cfRule type="duplicateValues" dxfId="214" priority="331"/>
  </conditionalFormatting>
  <conditionalFormatting sqref="D108">
    <cfRule type="duplicateValues" dxfId="213" priority="297"/>
    <cfRule type="duplicateValues" dxfId="212" priority="299"/>
    <cfRule type="duplicateValues" dxfId="211" priority="300"/>
    <cfRule type="duplicateValues" dxfId="210" priority="301"/>
    <cfRule type="duplicateValues" dxfId="209" priority="302"/>
    <cfRule type="duplicateValues" dxfId="208" priority="303"/>
    <cfRule type="duplicateValues" dxfId="207" priority="304"/>
    <cfRule type="duplicateValues" dxfId="206" priority="305"/>
    <cfRule type="duplicateValues" dxfId="205" priority="306"/>
    <cfRule type="duplicateValues" dxfId="204" priority="307"/>
  </conditionalFormatting>
  <conditionalFormatting sqref="D109">
    <cfRule type="duplicateValues" dxfId="203" priority="285"/>
    <cfRule type="duplicateValues" dxfId="202" priority="287"/>
    <cfRule type="duplicateValues" dxfId="201" priority="288"/>
    <cfRule type="duplicateValues" dxfId="200" priority="289"/>
    <cfRule type="duplicateValues" dxfId="199" priority="290"/>
    <cfRule type="duplicateValues" dxfId="198" priority="291"/>
    <cfRule type="duplicateValues" dxfId="197" priority="292"/>
    <cfRule type="duplicateValues" dxfId="196" priority="293"/>
    <cfRule type="duplicateValues" dxfId="195" priority="294"/>
    <cfRule type="duplicateValues" dxfId="194" priority="295"/>
  </conditionalFormatting>
  <conditionalFormatting sqref="D110">
    <cfRule type="duplicateValues" dxfId="193" priority="273"/>
    <cfRule type="duplicateValues" dxfId="192" priority="275"/>
    <cfRule type="duplicateValues" dxfId="191" priority="276"/>
    <cfRule type="duplicateValues" dxfId="190" priority="277"/>
    <cfRule type="duplicateValues" dxfId="189" priority="278"/>
    <cfRule type="duplicateValues" dxfId="188" priority="279"/>
    <cfRule type="duplicateValues" dxfId="187" priority="280"/>
    <cfRule type="duplicateValues" dxfId="186" priority="281"/>
    <cfRule type="duplicateValues" dxfId="185" priority="282"/>
    <cfRule type="duplicateValues" dxfId="184" priority="283"/>
    <cfRule type="duplicateValues" dxfId="183" priority="284"/>
  </conditionalFormatting>
  <conditionalFormatting sqref="D111">
    <cfRule type="duplicateValues" dxfId="182" priority="261"/>
    <cfRule type="duplicateValues" dxfId="181" priority="263"/>
    <cfRule type="duplicateValues" dxfId="180" priority="264"/>
    <cfRule type="duplicateValues" dxfId="179" priority="265"/>
    <cfRule type="duplicateValues" dxfId="178" priority="266"/>
    <cfRule type="duplicateValues" dxfId="177" priority="267"/>
    <cfRule type="duplicateValues" dxfId="176" priority="268"/>
    <cfRule type="duplicateValues" dxfId="175" priority="269"/>
    <cfRule type="duplicateValues" dxfId="174" priority="271"/>
    <cfRule type="duplicateValues" dxfId="173" priority="272"/>
  </conditionalFormatting>
  <conditionalFormatting sqref="D112">
    <cfRule type="duplicateValues" dxfId="172" priority="250"/>
    <cfRule type="duplicateValues" dxfId="171" priority="252"/>
    <cfRule type="duplicateValues" dxfId="170" priority="253"/>
    <cfRule type="duplicateValues" dxfId="169" priority="254"/>
    <cfRule type="duplicateValues" dxfId="168" priority="255"/>
    <cfRule type="duplicateValues" dxfId="167" priority="256"/>
    <cfRule type="duplicateValues" dxfId="166" priority="257"/>
    <cfRule type="duplicateValues" dxfId="165" priority="258"/>
    <cfRule type="duplicateValues" dxfId="164" priority="259"/>
    <cfRule type="duplicateValues" dxfId="163" priority="260"/>
  </conditionalFormatting>
  <conditionalFormatting sqref="D118">
    <cfRule type="duplicateValues" dxfId="162" priority="199"/>
    <cfRule type="duplicateValues" dxfId="161" priority="200"/>
    <cfRule type="duplicateValues" dxfId="160" priority="202"/>
  </conditionalFormatting>
  <conditionalFormatting sqref="D126">
    <cfRule type="duplicateValues" dxfId="159" priority="177"/>
    <cfRule type="duplicateValues" dxfId="158" priority="178"/>
    <cfRule type="duplicateValues" dxfId="157" priority="179"/>
    <cfRule type="duplicateValues" dxfId="156" priority="181"/>
    <cfRule type="duplicateValues" dxfId="155" priority="182"/>
    <cfRule type="duplicateValues" dxfId="154" priority="183"/>
    <cfRule type="duplicateValues" dxfId="153" priority="184"/>
    <cfRule type="duplicateValues" dxfId="152" priority="185"/>
    <cfRule type="duplicateValues" dxfId="151" priority="186"/>
    <cfRule type="duplicateValues" dxfId="150" priority="187"/>
    <cfRule type="duplicateValues" dxfId="149" priority="188"/>
    <cfRule type="duplicateValues" dxfId="148" priority="189"/>
    <cfRule type="duplicateValues" dxfId="147" priority="190"/>
  </conditionalFormatting>
  <conditionalFormatting sqref="D127">
    <cfRule type="duplicateValues" dxfId="146" priority="163"/>
    <cfRule type="duplicateValues" dxfId="145" priority="164"/>
    <cfRule type="duplicateValues" dxfId="144" priority="165"/>
    <cfRule type="duplicateValues" dxfId="143" priority="167"/>
    <cfRule type="duplicateValues" dxfId="142" priority="168"/>
    <cfRule type="duplicateValues" dxfId="141" priority="169"/>
    <cfRule type="duplicateValues" dxfId="140" priority="170"/>
    <cfRule type="duplicateValues" dxfId="139" priority="171"/>
    <cfRule type="duplicateValues" dxfId="138" priority="172"/>
    <cfRule type="duplicateValues" dxfId="137" priority="173"/>
    <cfRule type="duplicateValues" dxfId="136" priority="174"/>
    <cfRule type="duplicateValues" dxfId="135" priority="175"/>
    <cfRule type="duplicateValues" dxfId="134" priority="176"/>
  </conditionalFormatting>
  <conditionalFormatting sqref="D128">
    <cfRule type="duplicateValues" dxfId="133" priority="151"/>
    <cfRule type="duplicateValues" dxfId="132" priority="152"/>
    <cfRule type="duplicateValues" dxfId="131" priority="153"/>
    <cfRule type="duplicateValues" dxfId="130" priority="154"/>
    <cfRule type="duplicateValues" dxfId="129" priority="155"/>
    <cfRule type="duplicateValues" dxfId="128" priority="156"/>
    <cfRule type="duplicateValues" dxfId="127" priority="157"/>
    <cfRule type="duplicateValues" dxfId="126" priority="158"/>
    <cfRule type="duplicateValues" dxfId="125" priority="159"/>
    <cfRule type="duplicateValues" dxfId="124" priority="160"/>
    <cfRule type="duplicateValues" dxfId="123" priority="161"/>
    <cfRule type="duplicateValues" dxfId="122" priority="162"/>
  </conditionalFormatting>
  <conditionalFormatting sqref="D129">
    <cfRule type="duplicateValues" dxfId="121" priority="138"/>
    <cfRule type="duplicateValues" dxfId="120" priority="139"/>
    <cfRule type="duplicateValues" dxfId="119" priority="140"/>
    <cfRule type="duplicateValues" dxfId="118" priority="142"/>
    <cfRule type="duplicateValues" dxfId="117" priority="143"/>
    <cfRule type="duplicateValues" dxfId="116" priority="144"/>
    <cfRule type="duplicateValues" dxfId="115" priority="145"/>
    <cfRule type="duplicateValues" dxfId="114" priority="146"/>
    <cfRule type="duplicateValues" dxfId="113" priority="147"/>
    <cfRule type="duplicateValues" dxfId="112" priority="148"/>
    <cfRule type="duplicateValues" dxfId="111" priority="149"/>
    <cfRule type="duplicateValues" dxfId="110" priority="150"/>
  </conditionalFormatting>
  <conditionalFormatting sqref="D132">
    <cfRule type="duplicateValues" dxfId="109" priority="125"/>
    <cfRule type="duplicateValues" dxfId="108" priority="126"/>
    <cfRule type="duplicateValues" dxfId="107" priority="127"/>
    <cfRule type="duplicateValues" dxfId="106" priority="129"/>
    <cfRule type="duplicateValues" dxfId="105" priority="130"/>
    <cfRule type="duplicateValues" dxfId="104" priority="131"/>
    <cfRule type="duplicateValues" dxfId="103" priority="132"/>
    <cfRule type="duplicateValues" dxfId="102" priority="133"/>
    <cfRule type="duplicateValues" dxfId="101" priority="134"/>
    <cfRule type="duplicateValues" dxfId="100" priority="135"/>
    <cfRule type="duplicateValues" dxfId="99" priority="136"/>
    <cfRule type="duplicateValues" dxfId="98" priority="137"/>
  </conditionalFormatting>
  <conditionalFormatting sqref="D133">
    <cfRule type="duplicateValues" dxfId="97" priority="111"/>
    <cfRule type="duplicateValues" dxfId="96" priority="112"/>
    <cfRule type="duplicateValues" dxfId="95" priority="113"/>
    <cfRule type="duplicateValues" dxfId="94" priority="114"/>
    <cfRule type="duplicateValues" dxfId="93" priority="115"/>
    <cfRule type="duplicateValues" dxfId="92" priority="116"/>
    <cfRule type="duplicateValues" dxfId="91" priority="117"/>
    <cfRule type="duplicateValues" dxfId="90" priority="118"/>
    <cfRule type="duplicateValues" dxfId="89" priority="119"/>
    <cfRule type="duplicateValues" dxfId="88" priority="120"/>
    <cfRule type="duplicateValues" dxfId="87" priority="121"/>
    <cfRule type="duplicateValues" dxfId="86" priority="122"/>
  </conditionalFormatting>
  <conditionalFormatting sqref="D134">
    <cfRule type="duplicateValues" dxfId="85" priority="97"/>
    <cfRule type="duplicateValues" dxfId="84" priority="98"/>
    <cfRule type="duplicateValues" dxfId="83" priority="99"/>
    <cfRule type="duplicateValues" dxfId="82" priority="101"/>
    <cfRule type="duplicateValues" dxfId="81" priority="102"/>
    <cfRule type="duplicateValues" dxfId="80" priority="103"/>
    <cfRule type="duplicateValues" dxfId="79" priority="104"/>
    <cfRule type="duplicateValues" dxfId="78" priority="105"/>
    <cfRule type="duplicateValues" dxfId="77" priority="106"/>
    <cfRule type="duplicateValues" dxfId="76" priority="107"/>
    <cfRule type="duplicateValues" dxfId="75" priority="108"/>
    <cfRule type="duplicateValues" dxfId="74" priority="109"/>
  </conditionalFormatting>
  <conditionalFormatting sqref="D141">
    <cfRule type="duplicateValues" dxfId="73" priority="51"/>
    <cfRule type="duplicateValues" dxfId="72" priority="52"/>
    <cfRule type="duplicateValues" dxfId="71" priority="53"/>
    <cfRule type="duplicateValues" dxfId="70" priority="55"/>
    <cfRule type="duplicateValues" dxfId="69" priority="56"/>
    <cfRule type="duplicateValues" dxfId="68" priority="57"/>
    <cfRule type="duplicateValues" dxfId="67" priority="58"/>
    <cfRule type="duplicateValues" dxfId="66" priority="59"/>
    <cfRule type="duplicateValues" dxfId="65" priority="60"/>
    <cfRule type="duplicateValues" dxfId="64" priority="61"/>
    <cfRule type="duplicateValues" dxfId="63" priority="62"/>
    <cfRule type="duplicateValues" dxfId="62" priority="63"/>
    <cfRule type="duplicateValues" dxfId="61" priority="64"/>
  </conditionalFormatting>
  <conditionalFormatting sqref="D144:D153">
    <cfRule type="duplicateValues" dxfId="60" priority="34"/>
    <cfRule type="duplicateValues" dxfId="59" priority="35"/>
    <cfRule type="duplicateValues" dxfId="58" priority="36"/>
    <cfRule type="duplicateValues" dxfId="57" priority="38"/>
    <cfRule type="duplicateValues" dxfId="56" priority="39"/>
    <cfRule type="duplicateValues" dxfId="55" priority="40"/>
    <cfRule type="duplicateValues" dxfId="54" priority="41"/>
    <cfRule type="duplicateValues" dxfId="53" priority="42"/>
    <cfRule type="duplicateValues" dxfId="52" priority="43"/>
    <cfRule type="duplicateValues" dxfId="51" priority="44"/>
    <cfRule type="duplicateValues" dxfId="50" priority="45"/>
    <cfRule type="duplicateValues" dxfId="49" priority="46"/>
    <cfRule type="duplicateValues" dxfId="48" priority="47"/>
  </conditionalFormatting>
  <conditionalFormatting sqref="E3">
    <cfRule type="duplicateValues" dxfId="47" priority="633"/>
  </conditionalFormatting>
  <conditionalFormatting sqref="E4">
    <cfRule type="duplicateValues" dxfId="46" priority="632"/>
  </conditionalFormatting>
  <conditionalFormatting sqref="E5">
    <cfRule type="duplicateValues" dxfId="45" priority="630"/>
  </conditionalFormatting>
  <conditionalFormatting sqref="E90">
    <cfRule type="duplicateValues" dxfId="44" priority="451"/>
  </conditionalFormatting>
  <conditionalFormatting sqref="E105:E108 A105:A112 A113:E117 E118 D119:E119 A118:A127 A128:C128 A129 E126:E129 D120:D122">
    <cfRule type="duplicateValues" dxfId="43" priority="365"/>
  </conditionalFormatting>
  <conditionalFormatting sqref="E108 A108:A112 A113:E117 E118 D119:E119 A118:A127 A128:C128 A129 E126:E129 D120:D122">
    <cfRule type="duplicateValues" dxfId="42" priority="364"/>
  </conditionalFormatting>
  <conditionalFormatting sqref="E108">
    <cfRule type="duplicateValues" dxfId="41" priority="356"/>
    <cfRule type="duplicateValues" dxfId="40" priority="357"/>
    <cfRule type="duplicateValues" dxfId="39" priority="358"/>
    <cfRule type="duplicateValues" dxfId="38" priority="359"/>
    <cfRule type="duplicateValues" dxfId="37" priority="360"/>
    <cfRule type="duplicateValues" dxfId="36" priority="361"/>
    <cfRule type="duplicateValues" dxfId="35" priority="362"/>
    <cfRule type="duplicateValues" dxfId="34" priority="363"/>
  </conditionalFormatting>
  <conditionalFormatting sqref="E123:E125">
    <cfRule type="duplicateValues" dxfId="33" priority="191"/>
    <cfRule type="duplicateValues" dxfId="32" priority="192"/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2"/>
  <dimension ref="A1:I6"/>
  <sheetViews>
    <sheetView rightToLeft="1" workbookViewId="0">
      <selection activeCell="E18" sqref="E18"/>
    </sheetView>
  </sheetViews>
  <sheetFormatPr defaultRowHeight="15" x14ac:dyDescent="0.25"/>
  <cols>
    <col min="1" max="1" width="6.42578125" bestFit="1" customWidth="1"/>
    <col min="2" max="2" width="12" bestFit="1" customWidth="1"/>
    <col min="3" max="3" width="50.140625" style="1" bestFit="1" customWidth="1"/>
    <col min="4" max="4" width="56" bestFit="1" customWidth="1"/>
    <col min="5" max="5" width="58.7109375" bestFit="1" customWidth="1"/>
    <col min="6" max="6" width="15.85546875" bestFit="1" customWidth="1"/>
    <col min="7" max="7" width="12.85546875" bestFit="1" customWidth="1"/>
    <col min="8" max="8" width="19.28515625" bestFit="1" customWidth="1"/>
    <col min="9" max="9" width="11.85546875" bestFit="1" customWidth="1"/>
  </cols>
  <sheetData>
    <row r="1" spans="1:9" ht="24" x14ac:dyDescent="0.25">
      <c r="A1" s="50" t="s">
        <v>0</v>
      </c>
      <c r="B1" s="50" t="s">
        <v>392</v>
      </c>
      <c r="C1" s="50" t="s">
        <v>393</v>
      </c>
      <c r="D1" s="50" t="s">
        <v>119</v>
      </c>
      <c r="E1" s="50" t="s">
        <v>433</v>
      </c>
      <c r="F1" s="50" t="s">
        <v>434</v>
      </c>
      <c r="G1" s="50" t="s">
        <v>509</v>
      </c>
      <c r="H1" s="50" t="s">
        <v>510</v>
      </c>
      <c r="I1" s="50" t="s">
        <v>435</v>
      </c>
    </row>
    <row r="2" spans="1:9" ht="18.75" x14ac:dyDescent="0.45">
      <c r="A2" s="51">
        <v>1</v>
      </c>
      <c r="B2" s="52">
        <v>200056</v>
      </c>
      <c r="C2" s="53" t="s">
        <v>511</v>
      </c>
      <c r="D2" s="52" t="s">
        <v>438</v>
      </c>
      <c r="E2" s="52" t="s">
        <v>512</v>
      </c>
      <c r="F2" s="52" t="s">
        <v>437</v>
      </c>
      <c r="G2" s="52">
        <v>0</v>
      </c>
      <c r="H2" s="52" t="s">
        <v>436</v>
      </c>
      <c r="I2" s="52">
        <v>13910403</v>
      </c>
    </row>
    <row r="3" spans="1:9" ht="18.75" x14ac:dyDescent="0.45">
      <c r="A3" s="51">
        <v>2</v>
      </c>
      <c r="B3" s="52">
        <v>200066</v>
      </c>
      <c r="C3" s="53" t="s">
        <v>513</v>
      </c>
      <c r="D3" s="52" t="s">
        <v>428</v>
      </c>
      <c r="E3" s="52" t="s">
        <v>514</v>
      </c>
      <c r="F3" s="52" t="s">
        <v>437</v>
      </c>
      <c r="G3" s="52">
        <v>0</v>
      </c>
      <c r="H3" s="52" t="s">
        <v>436</v>
      </c>
      <c r="I3" s="52">
        <v>13911228</v>
      </c>
    </row>
    <row r="4" spans="1:9" ht="18.75" x14ac:dyDescent="0.45">
      <c r="A4" s="51">
        <v>406</v>
      </c>
      <c r="B4" s="52">
        <v>613862</v>
      </c>
      <c r="C4" s="53" t="s">
        <v>515</v>
      </c>
      <c r="D4" s="52" t="s">
        <v>428</v>
      </c>
      <c r="E4" s="52"/>
      <c r="F4" s="52" t="s">
        <v>437</v>
      </c>
      <c r="G4" s="52">
        <v>0</v>
      </c>
      <c r="H4" s="52" t="s">
        <v>436</v>
      </c>
      <c r="I4" s="52">
        <v>13950929</v>
      </c>
    </row>
    <row r="5" spans="1:9" ht="18.75" x14ac:dyDescent="0.45">
      <c r="A5" s="51">
        <v>412</v>
      </c>
      <c r="B5" s="52">
        <v>614023</v>
      </c>
      <c r="C5" s="53" t="s">
        <v>516</v>
      </c>
      <c r="D5" s="52" t="s">
        <v>428</v>
      </c>
      <c r="E5" s="52" t="s">
        <v>436</v>
      </c>
      <c r="F5" s="52" t="s">
        <v>437</v>
      </c>
      <c r="G5" s="52">
        <v>0</v>
      </c>
      <c r="H5" s="52" t="s">
        <v>436</v>
      </c>
      <c r="I5" s="52">
        <v>13951105</v>
      </c>
    </row>
    <row r="6" spans="1:9" ht="18.75" x14ac:dyDescent="0.45">
      <c r="A6" s="51">
        <v>413</v>
      </c>
      <c r="B6" s="52">
        <v>614042</v>
      </c>
      <c r="C6" s="53" t="s">
        <v>517</v>
      </c>
      <c r="D6" s="52" t="s">
        <v>428</v>
      </c>
      <c r="E6" s="52" t="s">
        <v>436</v>
      </c>
      <c r="F6" s="52" t="s">
        <v>437</v>
      </c>
      <c r="G6" s="52">
        <v>0</v>
      </c>
      <c r="H6" s="52" t="s">
        <v>436</v>
      </c>
      <c r="I6" s="52">
        <v>13951105</v>
      </c>
    </row>
  </sheetData>
  <autoFilter ref="A1:I6" xr:uid="{00000000-0009-0000-0000-000005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94C0C-13DE-45F2-B753-2A38004B4FE1}">
  <sheetPr codeName="Sheet_AllCode1">
    <pageSetUpPr fitToPage="1"/>
  </sheetPr>
  <dimension ref="A1:S37"/>
  <sheetViews>
    <sheetView rightToLeft="1" defaultGridColor="0" view="pageBreakPreview" colorId="22" zoomScale="70" zoomScaleNormal="70" zoomScaleSheetLayoutView="70" workbookViewId="0">
      <selection activeCell="H10" sqref="H10"/>
    </sheetView>
  </sheetViews>
  <sheetFormatPr defaultRowHeight="24.75" x14ac:dyDescent="0.6"/>
  <cols>
    <col min="1" max="1" width="11.5703125" bestFit="1" customWidth="1"/>
    <col min="2" max="2" width="9.7109375" customWidth="1"/>
    <col min="3" max="3" width="10.140625" customWidth="1"/>
    <col min="4" max="4" width="27.7109375" customWidth="1"/>
    <col min="5" max="5" width="29.28515625" customWidth="1"/>
    <col min="6" max="6" width="27.140625" customWidth="1"/>
    <col min="7" max="7" width="13.42578125" customWidth="1"/>
    <col min="8" max="8" width="47.28515625" customWidth="1"/>
    <col min="9" max="9" width="25.28515625" customWidth="1"/>
    <col min="10" max="10" width="20.7109375" customWidth="1"/>
    <col min="11" max="11" width="41" customWidth="1"/>
    <col min="12" max="12" width="44" customWidth="1"/>
    <col min="13" max="13" width="15.140625" style="93" customWidth="1"/>
    <col min="14" max="14" width="33.7109375" style="89" customWidth="1"/>
    <col min="15" max="15" width="31.7109375" customWidth="1"/>
    <col min="16" max="16" width="22" customWidth="1"/>
    <col min="17" max="17" width="58.28515625" customWidth="1"/>
    <col min="18" max="18" width="19.140625" customWidth="1"/>
    <col min="19" max="19" width="20.28515625" customWidth="1"/>
    <col min="20" max="20" width="9" customWidth="1"/>
    <col min="27" max="27" width="7.140625" bestFit="1" customWidth="1"/>
  </cols>
  <sheetData>
    <row r="1" spans="1:19" s="78" customFormat="1" ht="44.25" customHeight="1" x14ac:dyDescent="0.25">
      <c r="A1" s="79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88"/>
      <c r="O1" s="79"/>
    </row>
    <row r="2" spans="1:19" ht="32.25" x14ac:dyDescent="0.25">
      <c r="A2" s="73" t="s">
        <v>1778</v>
      </c>
      <c r="B2" s="73" t="s">
        <v>1779</v>
      </c>
      <c r="C2" s="73" t="s">
        <v>0</v>
      </c>
      <c r="D2" s="73" t="s">
        <v>554</v>
      </c>
      <c r="E2" s="73" t="s">
        <v>555</v>
      </c>
      <c r="F2" s="73" t="s">
        <v>538</v>
      </c>
      <c r="G2" s="73" t="s">
        <v>318</v>
      </c>
      <c r="H2" s="73" t="s">
        <v>119</v>
      </c>
      <c r="I2" s="73" t="s">
        <v>556</v>
      </c>
      <c r="J2" s="73" t="s">
        <v>432</v>
      </c>
      <c r="K2" s="73" t="s">
        <v>155</v>
      </c>
      <c r="L2" s="73" t="s">
        <v>183</v>
      </c>
      <c r="M2" s="73" t="s">
        <v>120</v>
      </c>
      <c r="N2" s="73" t="s">
        <v>557</v>
      </c>
      <c r="O2" s="72" t="s">
        <v>558</v>
      </c>
      <c r="P2" s="72" t="s">
        <v>559</v>
      </c>
      <c r="Q2" s="72" t="s">
        <v>156</v>
      </c>
      <c r="R2" s="72" t="s">
        <v>883</v>
      </c>
      <c r="S2" s="72" t="s">
        <v>509</v>
      </c>
    </row>
    <row r="3" spans="1:19" s="78" customFormat="1" ht="24.95" customHeight="1" x14ac:dyDescent="0.25">
      <c r="A3" s="77" t="s">
        <v>1901</v>
      </c>
      <c r="B3" s="76" t="s">
        <v>1117</v>
      </c>
      <c r="C3" s="76">
        <v>10</v>
      </c>
      <c r="D3" s="77" t="s">
        <v>999</v>
      </c>
      <c r="E3" s="77" t="str">
        <f>VLOOKUP(D3,'لیست پرسنل'!$A$2:$D$1016,3,FALSE)</f>
        <v>كنسانتره سنگ آهن بهاباد يزد</v>
      </c>
      <c r="F3" s="77" t="str">
        <f>VLOOKUP(D3,'لیست پرسنل'!$A$2:$D$1016,4,FALSE)</f>
        <v>مدیر سایت</v>
      </c>
      <c r="G3" s="91">
        <f>VLOOKUP(D3,'لیست پرسنل'!$A$2:$E$1016,2,FALSE)</f>
        <v>0</v>
      </c>
      <c r="H3" s="92" t="s">
        <v>981</v>
      </c>
      <c r="I3" s="91" t="s">
        <v>297</v>
      </c>
      <c r="J3" s="92" t="s">
        <v>439</v>
      </c>
      <c r="K3" s="92" t="s">
        <v>89</v>
      </c>
      <c r="L3" s="94" t="s">
        <v>300</v>
      </c>
      <c r="M3" s="90">
        <v>609607</v>
      </c>
      <c r="N3" s="86"/>
      <c r="O3" s="76" t="s">
        <v>980</v>
      </c>
      <c r="P3" s="80"/>
      <c r="Q3" s="80"/>
      <c r="R3" s="77" t="s">
        <v>2017</v>
      </c>
      <c r="S3" s="77" t="s">
        <v>2016</v>
      </c>
    </row>
    <row r="4" spans="1:19" s="78" customFormat="1" ht="24.95" customHeight="1" x14ac:dyDescent="0.25">
      <c r="A4" s="77" t="s">
        <v>1901</v>
      </c>
      <c r="B4" s="76" t="s">
        <v>1117</v>
      </c>
      <c r="C4" s="76">
        <v>9</v>
      </c>
      <c r="D4" s="77" t="s">
        <v>991</v>
      </c>
      <c r="E4" s="77" t="str">
        <f>VLOOKUP(D4,'لیست پرسنل'!$A$2:$D$1016,3,FALSE)</f>
        <v>كنسانتره سنگ آهن بهاباد يزد</v>
      </c>
      <c r="F4" s="77">
        <f>VLOOKUP(D4,'لیست پرسنل'!$A$2:$D$1016,4,FALSE)</f>
        <v>0</v>
      </c>
      <c r="G4" s="91">
        <f>VLOOKUP(D4,'لیست پرسنل'!$A$2:$E$1016,2,FALSE)</f>
        <v>0</v>
      </c>
      <c r="H4" s="92" t="s">
        <v>981</v>
      </c>
      <c r="I4" s="91" t="s">
        <v>239</v>
      </c>
      <c r="J4" s="92" t="s">
        <v>439</v>
      </c>
      <c r="K4" s="92" t="s">
        <v>89</v>
      </c>
      <c r="L4" s="94" t="s">
        <v>299</v>
      </c>
      <c r="M4" s="90">
        <v>610930</v>
      </c>
      <c r="N4" s="86"/>
      <c r="O4" s="76" t="s">
        <v>980</v>
      </c>
      <c r="P4" s="76"/>
      <c r="Q4" s="76"/>
      <c r="R4" s="77" t="s">
        <v>2017</v>
      </c>
      <c r="S4" s="77" t="s">
        <v>2016</v>
      </c>
    </row>
    <row r="5" spans="1:19" s="78" customFormat="1" ht="24.95" customHeight="1" x14ac:dyDescent="0.25">
      <c r="A5" s="77" t="s">
        <v>1901</v>
      </c>
      <c r="B5" s="76" t="s">
        <v>1117</v>
      </c>
      <c r="C5" s="76">
        <v>10</v>
      </c>
      <c r="D5" s="77" t="s">
        <v>999</v>
      </c>
      <c r="E5" s="77" t="str">
        <f>VLOOKUP(D5,'لیست پرسنل'!$A$2:$D$1016,3,FALSE)</f>
        <v>كنسانتره سنگ آهن بهاباد يزد</v>
      </c>
      <c r="F5" s="77" t="str">
        <f>VLOOKUP(D5,'لیست پرسنل'!$A$2:$D$1016,4,FALSE)</f>
        <v>مدیر سایت</v>
      </c>
      <c r="G5" s="91">
        <f>VLOOKUP(D5,'لیست پرسنل'!$A$2:$E$1016,2,FALSE)</f>
        <v>0</v>
      </c>
      <c r="H5" s="92" t="s">
        <v>981</v>
      </c>
      <c r="I5" s="91" t="s">
        <v>297</v>
      </c>
      <c r="J5" s="92" t="s">
        <v>153</v>
      </c>
      <c r="K5" s="92" t="s">
        <v>358</v>
      </c>
      <c r="L5" s="94"/>
      <c r="M5" s="91">
        <v>619925</v>
      </c>
      <c r="N5" s="87"/>
      <c r="O5" s="76" t="s">
        <v>980</v>
      </c>
      <c r="P5" s="80"/>
      <c r="Q5" s="80"/>
      <c r="R5" s="77" t="s">
        <v>2017</v>
      </c>
      <c r="S5" s="77" t="s">
        <v>2016</v>
      </c>
    </row>
    <row r="6" spans="1:19" s="78" customFormat="1" ht="24.95" customHeight="1" x14ac:dyDescent="0.25">
      <c r="A6" s="77" t="s">
        <v>1554</v>
      </c>
      <c r="B6" s="77" t="s">
        <v>1554</v>
      </c>
      <c r="C6" s="77"/>
      <c r="D6" s="77" t="s">
        <v>994</v>
      </c>
      <c r="E6" s="77" t="str">
        <f>VLOOKUP(D6,'لیست پرسنل'!$A$2:$D$1016,3,FALSE)</f>
        <v>فکورصنعت</v>
      </c>
      <c r="F6" s="77" t="str">
        <f>VLOOKUP(D6,'لیست پرسنل'!$A$2:$D$1016,4,FALSE)</f>
        <v>تحقیق و توسعه فکور</v>
      </c>
      <c r="G6" s="91">
        <f>VLOOKUP(D6,'لیست پرسنل'!$A$2:$E$1016,2,FALSE)</f>
        <v>0</v>
      </c>
      <c r="H6" s="91" t="s">
        <v>981</v>
      </c>
      <c r="I6" s="91"/>
      <c r="J6" s="91" t="s">
        <v>439</v>
      </c>
      <c r="K6" s="91" t="s">
        <v>423</v>
      </c>
      <c r="L6" s="91"/>
      <c r="M6" s="91">
        <v>623983</v>
      </c>
      <c r="N6" s="87" t="s">
        <v>406</v>
      </c>
      <c r="O6" s="77"/>
      <c r="P6" s="77"/>
      <c r="Q6" s="77"/>
      <c r="R6" s="77" t="s">
        <v>2017</v>
      </c>
      <c r="S6" s="77" t="s">
        <v>2016</v>
      </c>
    </row>
    <row r="7" spans="1:19" s="78" customFormat="1" ht="24.95" customHeight="1" x14ac:dyDescent="0.25">
      <c r="A7" s="77" t="s">
        <v>1554</v>
      </c>
      <c r="B7" s="77" t="s">
        <v>1554</v>
      </c>
      <c r="C7" s="77"/>
      <c r="D7" s="77" t="s">
        <v>994</v>
      </c>
      <c r="E7" s="77" t="str">
        <f>VLOOKUP(D7,'لیست پرسنل'!$A$2:$D$1016,3,FALSE)</f>
        <v>فکورصنعت</v>
      </c>
      <c r="F7" s="77" t="str">
        <f>VLOOKUP(D7,'لیست پرسنل'!$A$2:$D$1016,4,FALSE)</f>
        <v>تحقیق و توسعه فکور</v>
      </c>
      <c r="G7" s="91">
        <f>VLOOKUP(D7,'لیست پرسنل'!$A$2:$E$1016,2,FALSE)</f>
        <v>0</v>
      </c>
      <c r="H7" s="91" t="s">
        <v>981</v>
      </c>
      <c r="I7" s="91"/>
      <c r="J7" s="91" t="s">
        <v>439</v>
      </c>
      <c r="K7" s="91" t="s">
        <v>423</v>
      </c>
      <c r="L7" s="91"/>
      <c r="M7" s="91">
        <v>623984</v>
      </c>
      <c r="N7" s="87" t="s">
        <v>407</v>
      </c>
      <c r="O7" s="77"/>
      <c r="P7" s="77"/>
      <c r="Q7" s="77"/>
      <c r="R7" s="77" t="s">
        <v>2017</v>
      </c>
      <c r="S7" s="77" t="s">
        <v>2016</v>
      </c>
    </row>
    <row r="8" spans="1:19" s="78" customFormat="1" ht="24.95" customHeight="1" x14ac:dyDescent="0.25">
      <c r="A8" s="77" t="s">
        <v>1554</v>
      </c>
      <c r="B8" s="77" t="s">
        <v>1554</v>
      </c>
      <c r="C8" s="77"/>
      <c r="D8" s="77" t="s">
        <v>994</v>
      </c>
      <c r="E8" s="77" t="str">
        <f>VLOOKUP(D8,'لیست پرسنل'!$A$2:$D$1016,3,FALSE)</f>
        <v>فکورصنعت</v>
      </c>
      <c r="F8" s="77" t="str">
        <f>VLOOKUP(D8,'لیست پرسنل'!$A$2:$D$1016,4,FALSE)</f>
        <v>تحقیق و توسعه فکور</v>
      </c>
      <c r="G8" s="91">
        <f>VLOOKUP(D8,'لیست پرسنل'!$A$2:$E$1016,2,FALSE)</f>
        <v>0</v>
      </c>
      <c r="H8" s="91" t="s">
        <v>981</v>
      </c>
      <c r="I8" s="91"/>
      <c r="J8" s="91" t="s">
        <v>439</v>
      </c>
      <c r="K8" s="91" t="s">
        <v>423</v>
      </c>
      <c r="L8" s="91"/>
      <c r="M8" s="91">
        <v>623985</v>
      </c>
      <c r="N8" s="87" t="s">
        <v>408</v>
      </c>
      <c r="O8" s="77"/>
      <c r="P8" s="77"/>
      <c r="Q8" s="77"/>
      <c r="R8" s="77" t="s">
        <v>2017</v>
      </c>
      <c r="S8" s="77" t="s">
        <v>2016</v>
      </c>
    </row>
    <row r="9" spans="1:19" s="78" customFormat="1" ht="24.95" customHeight="1" x14ac:dyDescent="0.25">
      <c r="A9" s="77" t="s">
        <v>1554</v>
      </c>
      <c r="B9" s="77" t="s">
        <v>1554</v>
      </c>
      <c r="C9" s="77"/>
      <c r="D9" s="77" t="s">
        <v>994</v>
      </c>
      <c r="E9" s="77" t="str">
        <f>VLOOKUP(D9,'لیست پرسنل'!$A$2:$D$1016,3,FALSE)</f>
        <v>فکورصنعت</v>
      </c>
      <c r="F9" s="77" t="str">
        <f>VLOOKUP(D9,'لیست پرسنل'!$A$2:$D$1016,4,FALSE)</f>
        <v>تحقیق و توسعه فکور</v>
      </c>
      <c r="G9" s="91">
        <f>VLOOKUP(D9,'لیست پرسنل'!$A$2:$E$1016,2,FALSE)</f>
        <v>0</v>
      </c>
      <c r="H9" s="91" t="s">
        <v>981</v>
      </c>
      <c r="I9" s="91"/>
      <c r="J9" s="91" t="s">
        <v>439</v>
      </c>
      <c r="K9" s="91" t="s">
        <v>423</v>
      </c>
      <c r="L9" s="91"/>
      <c r="M9" s="91">
        <v>623986</v>
      </c>
      <c r="N9" s="87" t="s">
        <v>409</v>
      </c>
      <c r="O9" s="77"/>
      <c r="P9" s="77"/>
      <c r="Q9" s="77"/>
      <c r="R9" s="77" t="s">
        <v>2017</v>
      </c>
      <c r="S9" s="77" t="s">
        <v>2016</v>
      </c>
    </row>
    <row r="10" spans="1:19" s="78" customFormat="1" ht="24.95" customHeight="1" x14ac:dyDescent="0.25">
      <c r="A10" s="77" t="s">
        <v>1554</v>
      </c>
      <c r="B10" s="77" t="s">
        <v>1554</v>
      </c>
      <c r="C10" s="77"/>
      <c r="D10" s="77" t="s">
        <v>994</v>
      </c>
      <c r="E10" s="77" t="str">
        <f>VLOOKUP(D10,'لیست پرسنل'!$A$2:$D$1016,3,FALSE)</f>
        <v>فکورصنعت</v>
      </c>
      <c r="F10" s="77" t="str">
        <f>VLOOKUP(D10,'لیست پرسنل'!$A$2:$D$1016,4,FALSE)</f>
        <v>تحقیق و توسعه فکور</v>
      </c>
      <c r="G10" s="91">
        <f>VLOOKUP(D10,'لیست پرسنل'!$A$2:$E$1016,2,FALSE)</f>
        <v>0</v>
      </c>
      <c r="H10" s="91" t="s">
        <v>981</v>
      </c>
      <c r="I10" s="91"/>
      <c r="J10" s="91" t="s">
        <v>175</v>
      </c>
      <c r="K10" s="91" t="s">
        <v>420</v>
      </c>
      <c r="L10" s="91"/>
      <c r="M10" s="91">
        <v>624030</v>
      </c>
      <c r="N10" s="87" t="s">
        <v>409</v>
      </c>
      <c r="O10" s="77"/>
      <c r="P10" s="77"/>
      <c r="Q10" s="77"/>
      <c r="R10" s="77" t="s">
        <v>2017</v>
      </c>
      <c r="S10" s="77" t="s">
        <v>2016</v>
      </c>
    </row>
    <row r="11" spans="1:19" s="78" customFormat="1" ht="24.95" customHeight="1" x14ac:dyDescent="0.25">
      <c r="A11" s="77" t="s">
        <v>1554</v>
      </c>
      <c r="B11" s="77" t="s">
        <v>1554</v>
      </c>
      <c r="C11" s="77"/>
      <c r="D11" s="77" t="s">
        <v>994</v>
      </c>
      <c r="E11" s="77" t="str">
        <f>VLOOKUP(D11,'لیست پرسنل'!$A$2:$D$1016,3,FALSE)</f>
        <v>فکورصنعت</v>
      </c>
      <c r="F11" s="77" t="str">
        <f>VLOOKUP(D11,'لیست پرسنل'!$A$2:$D$1016,4,FALSE)</f>
        <v>تحقیق و توسعه فکور</v>
      </c>
      <c r="G11" s="91">
        <f>VLOOKUP(D11,'لیست پرسنل'!$A$2:$E$1016,2,FALSE)</f>
        <v>0</v>
      </c>
      <c r="H11" s="91" t="s">
        <v>981</v>
      </c>
      <c r="I11" s="91"/>
      <c r="J11" s="91" t="s">
        <v>1382</v>
      </c>
      <c r="K11" s="91" t="s">
        <v>421</v>
      </c>
      <c r="L11" s="91"/>
      <c r="M11" s="91">
        <v>624033</v>
      </c>
      <c r="N11" s="87" t="s">
        <v>410</v>
      </c>
      <c r="O11" s="77"/>
      <c r="P11" s="77"/>
      <c r="Q11" s="77"/>
      <c r="R11" s="77" t="s">
        <v>2017</v>
      </c>
      <c r="S11" s="77" t="s">
        <v>2016</v>
      </c>
    </row>
    <row r="12" spans="1:19" s="78" customFormat="1" ht="24.95" customHeight="1" x14ac:dyDescent="0.25">
      <c r="A12" s="77" t="s">
        <v>1901</v>
      </c>
      <c r="B12" s="76" t="s">
        <v>1117</v>
      </c>
      <c r="C12" s="76">
        <v>9</v>
      </c>
      <c r="D12" s="77" t="s">
        <v>991</v>
      </c>
      <c r="E12" s="77" t="str">
        <f>VLOOKUP(D12,'لیست پرسنل'!$A$2:$D$1016,3,FALSE)</f>
        <v>كنسانتره سنگ آهن بهاباد يزد</v>
      </c>
      <c r="F12" s="77">
        <f>VLOOKUP(D12,'لیست پرسنل'!$A$2:$D$1016,4,FALSE)</f>
        <v>0</v>
      </c>
      <c r="G12" s="91">
        <f>VLOOKUP(D12,'لیست پرسنل'!$A$2:$E$1016,2,FALSE)</f>
        <v>0</v>
      </c>
      <c r="H12" s="92" t="s">
        <v>981</v>
      </c>
      <c r="I12" s="91" t="s">
        <v>239</v>
      </c>
      <c r="J12" s="92" t="s">
        <v>153</v>
      </c>
      <c r="K12" s="92"/>
      <c r="L12" s="94"/>
      <c r="M12" s="91">
        <v>624719</v>
      </c>
      <c r="N12" s="87"/>
      <c r="O12" s="76" t="s">
        <v>980</v>
      </c>
      <c r="P12" s="80"/>
      <c r="Q12" s="80"/>
      <c r="R12" s="77" t="s">
        <v>2017</v>
      </c>
      <c r="S12" s="77" t="s">
        <v>2016</v>
      </c>
    </row>
    <row r="13" spans="1:19" s="78" customFormat="1" ht="24.95" customHeight="1" x14ac:dyDescent="0.25">
      <c r="A13" s="77" t="s">
        <v>1554</v>
      </c>
      <c r="B13" s="77" t="s">
        <v>1554</v>
      </c>
      <c r="C13" s="77"/>
      <c r="D13" s="77" t="s">
        <v>994</v>
      </c>
      <c r="E13" s="77" t="str">
        <f>VLOOKUP(D13,'لیست پرسنل'!$A$2:$D$1016,3,FALSE)</f>
        <v>فکورصنعت</v>
      </c>
      <c r="F13" s="77" t="str">
        <f>VLOOKUP(D13,'لیست پرسنل'!$A$2:$D$1016,4,FALSE)</f>
        <v>تحقیق و توسعه فکور</v>
      </c>
      <c r="G13" s="91">
        <f>VLOOKUP(D13,'لیست پرسنل'!$A$2:$E$1016,2,FALSE)</f>
        <v>0</v>
      </c>
      <c r="H13" s="91" t="s">
        <v>981</v>
      </c>
      <c r="I13" s="91"/>
      <c r="J13" s="91" t="s">
        <v>439</v>
      </c>
      <c r="K13" s="91" t="s">
        <v>422</v>
      </c>
      <c r="L13" s="91"/>
      <c r="M13" s="91">
        <v>624777</v>
      </c>
      <c r="N13" s="87" t="s">
        <v>411</v>
      </c>
      <c r="O13" s="77"/>
      <c r="P13" s="77"/>
      <c r="Q13" s="77"/>
      <c r="R13" s="77" t="s">
        <v>2017</v>
      </c>
      <c r="S13" s="77" t="s">
        <v>2016</v>
      </c>
    </row>
    <row r="14" spans="1:19" s="78" customFormat="1" ht="24.95" customHeight="1" x14ac:dyDescent="0.25">
      <c r="A14" s="77" t="s">
        <v>1554</v>
      </c>
      <c r="B14" s="77" t="s">
        <v>1554</v>
      </c>
      <c r="C14" s="77"/>
      <c r="D14" s="77" t="s">
        <v>994</v>
      </c>
      <c r="E14" s="77" t="str">
        <f>VLOOKUP(D14,'لیست پرسنل'!$A$2:$D$1016,3,FALSE)</f>
        <v>فکورصنعت</v>
      </c>
      <c r="F14" s="77" t="str">
        <f>VLOOKUP(D14,'لیست پرسنل'!$A$2:$D$1016,4,FALSE)</f>
        <v>تحقیق و توسعه فکور</v>
      </c>
      <c r="G14" s="91">
        <f>VLOOKUP(D14,'لیست پرسنل'!$A$2:$E$1016,2,FALSE)</f>
        <v>0</v>
      </c>
      <c r="H14" s="91" t="s">
        <v>981</v>
      </c>
      <c r="I14" s="91"/>
      <c r="J14" s="91" t="s">
        <v>439</v>
      </c>
      <c r="K14" s="91" t="s">
        <v>422</v>
      </c>
      <c r="L14" s="91"/>
      <c r="M14" s="91">
        <v>624778</v>
      </c>
      <c r="N14" s="87" t="s">
        <v>411</v>
      </c>
      <c r="O14" s="77"/>
      <c r="P14" s="77"/>
      <c r="Q14" s="77"/>
      <c r="R14" s="77" t="s">
        <v>2017</v>
      </c>
      <c r="S14" s="77" t="s">
        <v>2016</v>
      </c>
    </row>
    <row r="15" spans="1:19" s="78" customFormat="1" ht="24.95" customHeight="1" x14ac:dyDescent="0.25">
      <c r="A15" s="77" t="s">
        <v>1554</v>
      </c>
      <c r="B15" s="77" t="s">
        <v>1554</v>
      </c>
      <c r="C15" s="77"/>
      <c r="D15" s="77" t="s">
        <v>994</v>
      </c>
      <c r="E15" s="77" t="str">
        <f>VLOOKUP(D15,'لیست پرسنل'!$A$2:$D$1016,3,FALSE)</f>
        <v>فکورصنعت</v>
      </c>
      <c r="F15" s="77" t="str">
        <f>VLOOKUP(D15,'لیست پرسنل'!$A$2:$D$1016,4,FALSE)</f>
        <v>تحقیق و توسعه فکور</v>
      </c>
      <c r="G15" s="91">
        <f>VLOOKUP(D15,'لیست پرسنل'!$A$2:$E$1016,2,FALSE)</f>
        <v>0</v>
      </c>
      <c r="H15" s="91" t="s">
        <v>981</v>
      </c>
      <c r="I15" s="91"/>
      <c r="J15" s="91" t="s">
        <v>175</v>
      </c>
      <c r="K15" s="91" t="s">
        <v>424</v>
      </c>
      <c r="L15" s="91"/>
      <c r="M15" s="91">
        <v>624779</v>
      </c>
      <c r="N15" s="87" t="s">
        <v>412</v>
      </c>
      <c r="O15" s="77"/>
      <c r="P15" s="77"/>
      <c r="Q15" s="77"/>
      <c r="R15" s="77" t="s">
        <v>2017</v>
      </c>
      <c r="S15" s="77" t="s">
        <v>2016</v>
      </c>
    </row>
    <row r="16" spans="1:19" s="78" customFormat="1" ht="24.95" customHeight="1" x14ac:dyDescent="0.25">
      <c r="A16" s="77" t="s">
        <v>1554</v>
      </c>
      <c r="B16" s="77" t="s">
        <v>1554</v>
      </c>
      <c r="C16" s="77"/>
      <c r="D16" s="77" t="s">
        <v>994</v>
      </c>
      <c r="E16" s="77" t="str">
        <f>VLOOKUP(D16,'لیست پرسنل'!$A$2:$D$1016,3,FALSE)</f>
        <v>فکورصنعت</v>
      </c>
      <c r="F16" s="77" t="str">
        <f>VLOOKUP(D16,'لیست پرسنل'!$A$2:$D$1016,4,FALSE)</f>
        <v>تحقیق و توسعه فکور</v>
      </c>
      <c r="G16" s="91">
        <f>VLOOKUP(D16,'لیست پرسنل'!$A$2:$E$1016,2,FALSE)</f>
        <v>0</v>
      </c>
      <c r="H16" s="91" t="s">
        <v>981</v>
      </c>
      <c r="I16" s="91"/>
      <c r="J16" s="91" t="s">
        <v>175</v>
      </c>
      <c r="K16" s="91" t="s">
        <v>424</v>
      </c>
      <c r="L16" s="91"/>
      <c r="M16" s="91">
        <v>624780</v>
      </c>
      <c r="N16" s="87" t="s">
        <v>413</v>
      </c>
      <c r="O16" s="77"/>
      <c r="P16" s="77"/>
      <c r="Q16" s="77"/>
      <c r="R16" s="77" t="s">
        <v>2017</v>
      </c>
      <c r="S16" s="77" t="s">
        <v>2016</v>
      </c>
    </row>
    <row r="17" spans="1:19" s="78" customFormat="1" ht="24.95" customHeight="1" x14ac:dyDescent="0.25">
      <c r="A17" s="77" t="s">
        <v>1554</v>
      </c>
      <c r="B17" s="77" t="s">
        <v>1554</v>
      </c>
      <c r="C17" s="77"/>
      <c r="D17" s="77" t="s">
        <v>994</v>
      </c>
      <c r="E17" s="77" t="str">
        <f>VLOOKUP(D17,'لیست پرسنل'!$A$2:$D$1016,3,FALSE)</f>
        <v>فکورصنعت</v>
      </c>
      <c r="F17" s="77" t="str">
        <f>VLOOKUP(D17,'لیست پرسنل'!$A$2:$D$1016,4,FALSE)</f>
        <v>تحقیق و توسعه فکور</v>
      </c>
      <c r="G17" s="91">
        <f>VLOOKUP(D17,'لیست پرسنل'!$A$2:$E$1016,2,FALSE)</f>
        <v>0</v>
      </c>
      <c r="H17" s="91" t="s">
        <v>981</v>
      </c>
      <c r="I17" s="91"/>
      <c r="J17" s="91" t="s">
        <v>175</v>
      </c>
      <c r="K17" s="91" t="s">
        <v>425</v>
      </c>
      <c r="L17" s="91"/>
      <c r="M17" s="91">
        <v>624781</v>
      </c>
      <c r="N17" s="87" t="s">
        <v>408</v>
      </c>
      <c r="O17" s="77"/>
      <c r="P17" s="77"/>
      <c r="Q17" s="77"/>
      <c r="R17" s="77" t="s">
        <v>2017</v>
      </c>
      <c r="S17" s="77" t="s">
        <v>2016</v>
      </c>
    </row>
    <row r="18" spans="1:19" s="78" customFormat="1" ht="24.95" customHeight="1" x14ac:dyDescent="0.25">
      <c r="A18" s="77" t="s">
        <v>1554</v>
      </c>
      <c r="B18" s="77" t="s">
        <v>1554</v>
      </c>
      <c r="C18" s="77"/>
      <c r="D18" s="77" t="s">
        <v>994</v>
      </c>
      <c r="E18" s="77" t="str">
        <f>VLOOKUP(D18,'لیست پرسنل'!$A$2:$D$1016,3,FALSE)</f>
        <v>فکورصنعت</v>
      </c>
      <c r="F18" s="77" t="str">
        <f>VLOOKUP(D18,'لیست پرسنل'!$A$2:$D$1016,4,FALSE)</f>
        <v>تحقیق و توسعه فکور</v>
      </c>
      <c r="G18" s="91">
        <f>VLOOKUP(D18,'لیست پرسنل'!$A$2:$E$1016,2,FALSE)</f>
        <v>0</v>
      </c>
      <c r="H18" s="91" t="s">
        <v>981</v>
      </c>
      <c r="I18" s="91"/>
      <c r="J18" s="91" t="s">
        <v>1382</v>
      </c>
      <c r="K18" s="91" t="s">
        <v>426</v>
      </c>
      <c r="L18" s="91"/>
      <c r="M18" s="91">
        <v>625002</v>
      </c>
      <c r="N18" s="87" t="s">
        <v>414</v>
      </c>
      <c r="O18" s="77"/>
      <c r="P18" s="77"/>
      <c r="Q18" s="77"/>
      <c r="R18" s="77" t="s">
        <v>2017</v>
      </c>
      <c r="S18" s="77" t="s">
        <v>2016</v>
      </c>
    </row>
    <row r="19" spans="1:19" s="78" customFormat="1" ht="24.95" customHeight="1" x14ac:dyDescent="0.25">
      <c r="A19" s="77" t="s">
        <v>1901</v>
      </c>
      <c r="B19" s="77" t="s">
        <v>1117</v>
      </c>
      <c r="C19" s="77">
        <v>9</v>
      </c>
      <c r="D19" s="77" t="s">
        <v>991</v>
      </c>
      <c r="E19" s="77" t="str">
        <f>VLOOKUP(D19,'لیست پرسنل'!$A$2:$D$1016,3,FALSE)</f>
        <v>كنسانتره سنگ آهن بهاباد يزد</v>
      </c>
      <c r="F19" s="77">
        <f>VLOOKUP(D19,'لیست پرسنل'!$A$2:$D$1016,4,FALSE)</f>
        <v>0</v>
      </c>
      <c r="G19" s="91">
        <f>VLOOKUP(D19,'لیست پرسنل'!$A$2:$E$1016,2,FALSE)</f>
        <v>0</v>
      </c>
      <c r="H19" s="91" t="s">
        <v>981</v>
      </c>
      <c r="I19" s="91" t="s">
        <v>239</v>
      </c>
      <c r="J19" s="91" t="s">
        <v>175</v>
      </c>
      <c r="K19" s="91" t="s">
        <v>276</v>
      </c>
      <c r="L19" s="91" t="s">
        <v>298</v>
      </c>
      <c r="M19" s="90">
        <v>624923</v>
      </c>
      <c r="N19" s="87"/>
      <c r="O19" s="76" t="s">
        <v>980</v>
      </c>
      <c r="P19" s="80"/>
      <c r="Q19" s="80"/>
      <c r="R19" s="77" t="s">
        <v>2017</v>
      </c>
      <c r="S19" s="77" t="s">
        <v>2016</v>
      </c>
    </row>
    <row r="20" spans="1:19" s="78" customFormat="1" ht="24.95" customHeight="1" x14ac:dyDescent="0.25">
      <c r="A20" s="77" t="s">
        <v>1554</v>
      </c>
      <c r="B20" s="77" t="s">
        <v>1554</v>
      </c>
      <c r="C20" s="77"/>
      <c r="D20" s="77" t="s">
        <v>994</v>
      </c>
      <c r="E20" s="77" t="str">
        <f>VLOOKUP(D20,'لیست پرسنل'!$A$2:$D$1016,3,FALSE)</f>
        <v>فکورصنعت</v>
      </c>
      <c r="F20" s="77" t="str">
        <f>VLOOKUP(D20,'لیست پرسنل'!$A$2:$D$1016,4,FALSE)</f>
        <v>تحقیق و توسعه فکور</v>
      </c>
      <c r="G20" s="91">
        <f>VLOOKUP(D20,'لیست پرسنل'!$A$2:$E$1016,2,FALSE)</f>
        <v>0</v>
      </c>
      <c r="H20" s="91" t="s">
        <v>981</v>
      </c>
      <c r="I20" s="91"/>
      <c r="J20" s="91" t="s">
        <v>1382</v>
      </c>
      <c r="K20" s="91" t="s">
        <v>427</v>
      </c>
      <c r="L20" s="91"/>
      <c r="M20" s="91">
        <v>625266</v>
      </c>
      <c r="N20" s="87" t="s">
        <v>415</v>
      </c>
      <c r="O20" s="77"/>
      <c r="P20" s="77"/>
      <c r="Q20" s="77"/>
      <c r="R20" s="77" t="s">
        <v>2017</v>
      </c>
      <c r="S20" s="77" t="s">
        <v>2016</v>
      </c>
    </row>
    <row r="21" spans="1:19" s="78" customFormat="1" ht="24.95" customHeight="1" x14ac:dyDescent="0.25">
      <c r="A21" s="77" t="s">
        <v>1554</v>
      </c>
      <c r="B21" s="77" t="s">
        <v>1554</v>
      </c>
      <c r="C21" s="77"/>
      <c r="D21" s="77" t="s">
        <v>994</v>
      </c>
      <c r="E21" s="77" t="str">
        <f>VLOOKUP(D21,'لیست پرسنل'!$A$2:$D$1016,3,FALSE)</f>
        <v>فکورصنعت</v>
      </c>
      <c r="F21" s="77" t="str">
        <f>VLOOKUP(D21,'لیست پرسنل'!$A$2:$D$1016,4,FALSE)</f>
        <v>تحقیق و توسعه فکور</v>
      </c>
      <c r="G21" s="91">
        <f>VLOOKUP(D21,'لیست پرسنل'!$A$2:$E$1016,2,FALSE)</f>
        <v>0</v>
      </c>
      <c r="H21" s="91" t="s">
        <v>981</v>
      </c>
      <c r="I21" s="91"/>
      <c r="J21" s="91" t="s">
        <v>1382</v>
      </c>
      <c r="K21" s="91" t="s">
        <v>427</v>
      </c>
      <c r="L21" s="91"/>
      <c r="M21" s="91">
        <v>625267</v>
      </c>
      <c r="N21" s="87" t="s">
        <v>416</v>
      </c>
      <c r="O21" s="77"/>
      <c r="P21" s="77"/>
      <c r="Q21" s="77"/>
      <c r="R21" s="77" t="s">
        <v>2017</v>
      </c>
      <c r="S21" s="77" t="s">
        <v>2016</v>
      </c>
    </row>
    <row r="22" spans="1:19" s="78" customFormat="1" ht="24.95" customHeight="1" x14ac:dyDescent="0.25">
      <c r="A22" s="77" t="s">
        <v>1554</v>
      </c>
      <c r="B22" s="77" t="s">
        <v>1554</v>
      </c>
      <c r="C22" s="77"/>
      <c r="D22" s="77" t="s">
        <v>994</v>
      </c>
      <c r="E22" s="77" t="str">
        <f>VLOOKUP(D22,'لیست پرسنل'!$A$2:$D$1016,3,FALSE)</f>
        <v>فکورصنعت</v>
      </c>
      <c r="F22" s="77" t="str">
        <f>VLOOKUP(D22,'لیست پرسنل'!$A$2:$D$1016,4,FALSE)</f>
        <v>تحقیق و توسعه فکور</v>
      </c>
      <c r="G22" s="91">
        <f>VLOOKUP(D22,'لیست پرسنل'!$A$2:$E$1016,2,FALSE)</f>
        <v>0</v>
      </c>
      <c r="H22" s="91" t="s">
        <v>981</v>
      </c>
      <c r="I22" s="91"/>
      <c r="J22" s="91" t="s">
        <v>1382</v>
      </c>
      <c r="K22" s="91" t="s">
        <v>427</v>
      </c>
      <c r="L22" s="91"/>
      <c r="M22" s="91">
        <v>625268</v>
      </c>
      <c r="N22" s="87" t="s">
        <v>417</v>
      </c>
      <c r="O22" s="77"/>
      <c r="P22" s="77"/>
      <c r="Q22" s="77"/>
      <c r="R22" s="77" t="s">
        <v>2017</v>
      </c>
      <c r="S22" s="77" t="s">
        <v>2016</v>
      </c>
    </row>
    <row r="23" spans="1:19" s="78" customFormat="1" ht="24.95" customHeight="1" x14ac:dyDescent="0.25">
      <c r="A23" s="77" t="s">
        <v>1554</v>
      </c>
      <c r="B23" s="77" t="s">
        <v>1554</v>
      </c>
      <c r="C23" s="77"/>
      <c r="D23" s="77" t="s">
        <v>994</v>
      </c>
      <c r="E23" s="77" t="str">
        <f>VLOOKUP(D23,'لیست پرسنل'!$A$2:$D$1016,3,FALSE)</f>
        <v>فکورصنعت</v>
      </c>
      <c r="F23" s="77" t="str">
        <f>VLOOKUP(D23,'لیست پرسنل'!$A$2:$D$1016,4,FALSE)</f>
        <v>تحقیق و توسعه فکور</v>
      </c>
      <c r="G23" s="91">
        <f>VLOOKUP(D23,'لیست پرسنل'!$A$2:$E$1016,2,FALSE)</f>
        <v>0</v>
      </c>
      <c r="H23" s="91" t="s">
        <v>981</v>
      </c>
      <c r="I23" s="91"/>
      <c r="J23" s="91" t="s">
        <v>1382</v>
      </c>
      <c r="K23" s="91" t="s">
        <v>427</v>
      </c>
      <c r="L23" s="91"/>
      <c r="M23" s="91">
        <v>625269</v>
      </c>
      <c r="N23" s="87" t="s">
        <v>418</v>
      </c>
      <c r="O23" s="77"/>
      <c r="P23" s="77"/>
      <c r="Q23" s="77"/>
      <c r="R23" s="77" t="s">
        <v>2017</v>
      </c>
      <c r="S23" s="77" t="s">
        <v>2016</v>
      </c>
    </row>
    <row r="24" spans="1:19" s="78" customFormat="1" ht="24.95" customHeight="1" x14ac:dyDescent="0.25">
      <c r="A24" s="77" t="s">
        <v>1554</v>
      </c>
      <c r="B24" s="77" t="s">
        <v>1554</v>
      </c>
      <c r="C24" s="77"/>
      <c r="D24" s="77" t="s">
        <v>994</v>
      </c>
      <c r="E24" s="77" t="str">
        <f>VLOOKUP(D24,'لیست پرسنل'!$A$2:$D$1016,3,FALSE)</f>
        <v>فکورصنعت</v>
      </c>
      <c r="F24" s="77" t="str">
        <f>VLOOKUP(D24,'لیست پرسنل'!$A$2:$D$1016,4,FALSE)</f>
        <v>تحقیق و توسعه فکور</v>
      </c>
      <c r="G24" s="91">
        <f>VLOOKUP(D24,'لیست پرسنل'!$A$2:$E$1016,2,FALSE)</f>
        <v>0</v>
      </c>
      <c r="H24" s="91" t="s">
        <v>981</v>
      </c>
      <c r="I24" s="91"/>
      <c r="J24" s="91" t="s">
        <v>439</v>
      </c>
      <c r="K24" s="91" t="s">
        <v>440</v>
      </c>
      <c r="L24" s="91"/>
      <c r="M24" s="91">
        <v>628155</v>
      </c>
      <c r="N24" s="87"/>
      <c r="O24" s="77"/>
      <c r="P24" s="77"/>
      <c r="Q24" s="77" t="s">
        <v>1136</v>
      </c>
      <c r="R24" s="77" t="s">
        <v>2017</v>
      </c>
      <c r="S24" s="77" t="s">
        <v>2016</v>
      </c>
    </row>
    <row r="25" spans="1:19" s="78" customFormat="1" ht="24.95" customHeight="1" x14ac:dyDescent="0.25">
      <c r="A25" s="77" t="s">
        <v>1554</v>
      </c>
      <c r="B25" s="77" t="s">
        <v>1554</v>
      </c>
      <c r="C25" s="77"/>
      <c r="D25" s="77" t="s">
        <v>994</v>
      </c>
      <c r="E25" s="77" t="str">
        <f>VLOOKUP(D25,'لیست پرسنل'!$A$2:$D$1016,3,FALSE)</f>
        <v>فکورصنعت</v>
      </c>
      <c r="F25" s="77" t="str">
        <f>VLOOKUP(D25,'لیست پرسنل'!$A$2:$D$1016,4,FALSE)</f>
        <v>تحقیق و توسعه فکور</v>
      </c>
      <c r="G25" s="91">
        <f>VLOOKUP(D25,'لیست پرسنل'!$A$2:$E$1016,2,FALSE)</f>
        <v>0</v>
      </c>
      <c r="H25" s="91" t="s">
        <v>981</v>
      </c>
      <c r="I25" s="91"/>
      <c r="J25" s="91" t="s">
        <v>439</v>
      </c>
      <c r="K25" s="91" t="s">
        <v>1579</v>
      </c>
      <c r="L25" s="91"/>
      <c r="M25" s="91">
        <v>628156</v>
      </c>
      <c r="N25" s="86"/>
      <c r="O25" s="76"/>
      <c r="P25" s="76"/>
      <c r="Q25" s="77"/>
      <c r="R25" s="77" t="s">
        <v>2017</v>
      </c>
      <c r="S25" s="76" t="s">
        <v>2016</v>
      </c>
    </row>
    <row r="26" spans="1:19" s="78" customFormat="1" ht="24.95" customHeight="1" x14ac:dyDescent="0.25">
      <c r="A26" s="77" t="s">
        <v>1554</v>
      </c>
      <c r="B26" s="77" t="s">
        <v>1554</v>
      </c>
      <c r="C26" s="77"/>
      <c r="D26" s="77" t="s">
        <v>994</v>
      </c>
      <c r="E26" s="77" t="str">
        <f>VLOOKUP(D26,'لیست پرسنل'!$A$2:$D$1016,3,FALSE)</f>
        <v>فکورصنعت</v>
      </c>
      <c r="F26" s="77" t="str">
        <f>VLOOKUP(D26,'لیست پرسنل'!$A$2:$D$1016,4,FALSE)</f>
        <v>تحقیق و توسعه فکور</v>
      </c>
      <c r="G26" s="91">
        <f>VLOOKUP(D26,'لیست پرسنل'!$A$2:$E$1016,2,FALSE)</f>
        <v>0</v>
      </c>
      <c r="H26" s="91" t="s">
        <v>981</v>
      </c>
      <c r="I26" s="91"/>
      <c r="J26" s="91" t="s">
        <v>439</v>
      </c>
      <c r="K26" s="91" t="s">
        <v>440</v>
      </c>
      <c r="L26" s="91"/>
      <c r="M26" s="91">
        <v>628157</v>
      </c>
      <c r="N26" s="87"/>
      <c r="O26" s="77"/>
      <c r="P26" s="77"/>
      <c r="Q26" s="77" t="s">
        <v>1136</v>
      </c>
      <c r="R26" s="77" t="s">
        <v>2017</v>
      </c>
      <c r="S26" s="77" t="s">
        <v>2016</v>
      </c>
    </row>
    <row r="27" spans="1:19" s="78" customFormat="1" ht="24.95" customHeight="1" x14ac:dyDescent="0.25">
      <c r="A27" s="77" t="s">
        <v>1554</v>
      </c>
      <c r="B27" s="77" t="s">
        <v>1554</v>
      </c>
      <c r="C27" s="77"/>
      <c r="D27" s="77" t="s">
        <v>994</v>
      </c>
      <c r="E27" s="77" t="str">
        <f>VLOOKUP(D27,'لیست پرسنل'!$A$2:$D$1016,3,FALSE)</f>
        <v>فکورصنعت</v>
      </c>
      <c r="F27" s="77" t="str">
        <f>VLOOKUP(D27,'لیست پرسنل'!$A$2:$D$1016,4,FALSE)</f>
        <v>تحقیق و توسعه فکور</v>
      </c>
      <c r="G27" s="91">
        <f>VLOOKUP(D27,'لیست پرسنل'!$A$2:$E$1016,2,FALSE)</f>
        <v>0</v>
      </c>
      <c r="H27" s="91" t="s">
        <v>981</v>
      </c>
      <c r="I27" s="91"/>
      <c r="J27" s="91" t="s">
        <v>175</v>
      </c>
      <c r="K27" s="91" t="s">
        <v>1575</v>
      </c>
      <c r="L27" s="91"/>
      <c r="M27" s="91">
        <v>628994</v>
      </c>
      <c r="N27" s="86"/>
      <c r="O27" s="76"/>
      <c r="P27" s="76"/>
      <c r="Q27" s="77"/>
      <c r="R27" s="77" t="s">
        <v>2017</v>
      </c>
      <c r="S27" s="76" t="s">
        <v>2016</v>
      </c>
    </row>
    <row r="28" spans="1:19" s="78" customFormat="1" ht="24.95" customHeight="1" x14ac:dyDescent="0.25">
      <c r="A28" s="77" t="s">
        <v>1554</v>
      </c>
      <c r="B28" s="77" t="s">
        <v>1554</v>
      </c>
      <c r="C28" s="77"/>
      <c r="D28" s="77" t="s">
        <v>994</v>
      </c>
      <c r="E28" s="77" t="str">
        <f>VLOOKUP(D28,'لیست پرسنل'!$A$2:$D$1016,3,FALSE)</f>
        <v>فکورصنعت</v>
      </c>
      <c r="F28" s="77" t="str">
        <f>VLOOKUP(D28,'لیست پرسنل'!$A$2:$D$1016,4,FALSE)</f>
        <v>تحقیق و توسعه فکور</v>
      </c>
      <c r="G28" s="91">
        <f>VLOOKUP(D28,'لیست پرسنل'!$A$2:$E$1016,2,FALSE)</f>
        <v>0</v>
      </c>
      <c r="H28" s="91" t="s">
        <v>981</v>
      </c>
      <c r="I28" s="91"/>
      <c r="J28" s="91" t="s">
        <v>1581</v>
      </c>
      <c r="K28" s="91" t="s">
        <v>1577</v>
      </c>
      <c r="L28" s="91"/>
      <c r="M28" s="91">
        <v>629325</v>
      </c>
      <c r="N28" s="86"/>
      <c r="O28" s="76"/>
      <c r="P28" s="76"/>
      <c r="Q28" s="77"/>
      <c r="R28" s="77" t="s">
        <v>2017</v>
      </c>
      <c r="S28" s="76" t="s">
        <v>2016</v>
      </c>
    </row>
    <row r="29" spans="1:19" s="78" customFormat="1" ht="24.95" customHeight="1" x14ac:dyDescent="0.25">
      <c r="A29" s="77" t="s">
        <v>1554</v>
      </c>
      <c r="B29" s="77" t="s">
        <v>1554</v>
      </c>
      <c r="C29" s="77"/>
      <c r="D29" s="77" t="s">
        <v>994</v>
      </c>
      <c r="E29" s="77" t="str">
        <f>VLOOKUP(D29,'لیست پرسنل'!$A$2:$D$1016,3,FALSE)</f>
        <v>فکورصنعت</v>
      </c>
      <c r="F29" s="77" t="str">
        <f>VLOOKUP(D29,'لیست پرسنل'!$A$2:$D$1016,4,FALSE)</f>
        <v>تحقیق و توسعه فکور</v>
      </c>
      <c r="G29" s="91">
        <f>VLOOKUP(D29,'لیست پرسنل'!$A$2:$E$1016,2,FALSE)</f>
        <v>0</v>
      </c>
      <c r="H29" s="91" t="s">
        <v>981</v>
      </c>
      <c r="I29" s="91"/>
      <c r="J29" s="91" t="s">
        <v>1581</v>
      </c>
      <c r="K29" s="91" t="s">
        <v>1577</v>
      </c>
      <c r="L29" s="91"/>
      <c r="M29" s="91">
        <v>629326</v>
      </c>
      <c r="N29" s="86"/>
      <c r="O29" s="76"/>
      <c r="P29" s="76"/>
      <c r="Q29" s="77"/>
      <c r="R29" s="77" t="s">
        <v>2017</v>
      </c>
      <c r="S29" s="76" t="s">
        <v>2016</v>
      </c>
    </row>
    <row r="30" spans="1:19" s="78" customFormat="1" ht="24.95" customHeight="1" x14ac:dyDescent="0.25">
      <c r="A30" s="77" t="s">
        <v>1554</v>
      </c>
      <c r="B30" s="77" t="s">
        <v>1554</v>
      </c>
      <c r="C30" s="77"/>
      <c r="D30" s="77" t="s">
        <v>994</v>
      </c>
      <c r="E30" s="77" t="str">
        <f>VLOOKUP(D30,'لیست پرسنل'!$A$2:$D$1016,3,FALSE)</f>
        <v>فکورصنعت</v>
      </c>
      <c r="F30" s="77" t="str">
        <f>VLOOKUP(D30,'لیست پرسنل'!$A$2:$D$1016,4,FALSE)</f>
        <v>تحقیق و توسعه فکور</v>
      </c>
      <c r="G30" s="91">
        <f>VLOOKUP(D30,'لیست پرسنل'!$A$2:$E$1016,2,FALSE)</f>
        <v>0</v>
      </c>
      <c r="H30" s="91" t="s">
        <v>981</v>
      </c>
      <c r="I30" s="91"/>
      <c r="J30" s="91" t="s">
        <v>1581</v>
      </c>
      <c r="K30" s="91" t="s">
        <v>1577</v>
      </c>
      <c r="L30" s="91"/>
      <c r="M30" s="91">
        <v>629327</v>
      </c>
      <c r="N30" s="86"/>
      <c r="O30" s="76"/>
      <c r="P30" s="76"/>
      <c r="Q30" s="77"/>
      <c r="R30" s="77" t="s">
        <v>2017</v>
      </c>
      <c r="S30" s="76" t="s">
        <v>2016</v>
      </c>
    </row>
    <row r="31" spans="1:19" s="78" customFormat="1" ht="24.95" customHeight="1" x14ac:dyDescent="0.25">
      <c r="A31" s="77" t="s">
        <v>1554</v>
      </c>
      <c r="B31" s="77" t="s">
        <v>1554</v>
      </c>
      <c r="C31" s="77"/>
      <c r="D31" s="77" t="s">
        <v>994</v>
      </c>
      <c r="E31" s="77" t="str">
        <f>VLOOKUP(D31,'لیست پرسنل'!$A$2:$D$1016,3,FALSE)</f>
        <v>فکورصنعت</v>
      </c>
      <c r="F31" s="77" t="str">
        <f>VLOOKUP(D31,'لیست پرسنل'!$A$2:$D$1016,4,FALSE)</f>
        <v>تحقیق و توسعه فکور</v>
      </c>
      <c r="G31" s="91">
        <f>VLOOKUP(D31,'لیست پرسنل'!$A$2:$E$1016,2,FALSE)</f>
        <v>0</v>
      </c>
      <c r="H31" s="91" t="s">
        <v>981</v>
      </c>
      <c r="I31" s="91"/>
      <c r="J31" s="91" t="s">
        <v>1581</v>
      </c>
      <c r="K31" s="91" t="s">
        <v>1577</v>
      </c>
      <c r="L31" s="91"/>
      <c r="M31" s="91">
        <v>629328</v>
      </c>
      <c r="N31" s="86"/>
      <c r="O31" s="76"/>
      <c r="P31" s="76"/>
      <c r="Q31" s="77"/>
      <c r="R31" s="77" t="s">
        <v>2017</v>
      </c>
      <c r="S31" s="76" t="s">
        <v>2016</v>
      </c>
    </row>
    <row r="32" spans="1:19" s="78" customFormat="1" ht="24.95" customHeight="1" x14ac:dyDescent="0.25">
      <c r="A32" s="77" t="s">
        <v>1554</v>
      </c>
      <c r="B32" s="77" t="s">
        <v>1554</v>
      </c>
      <c r="C32" s="77"/>
      <c r="D32" s="77" t="s">
        <v>994</v>
      </c>
      <c r="E32" s="77" t="str">
        <f>VLOOKUP(D32,'لیست پرسنل'!$A$2:$D$1016,3,FALSE)</f>
        <v>فکورصنعت</v>
      </c>
      <c r="F32" s="77" t="str">
        <f>VLOOKUP(D32,'لیست پرسنل'!$A$2:$D$1016,4,FALSE)</f>
        <v>تحقیق و توسعه فکور</v>
      </c>
      <c r="G32" s="91">
        <f>VLOOKUP(D32,'لیست پرسنل'!$A$2:$E$1016,2,FALSE)</f>
        <v>0</v>
      </c>
      <c r="H32" s="91" t="s">
        <v>981</v>
      </c>
      <c r="I32" s="91"/>
      <c r="J32" s="91" t="s">
        <v>1581</v>
      </c>
      <c r="K32" s="91" t="s">
        <v>1577</v>
      </c>
      <c r="L32" s="91"/>
      <c r="M32" s="91">
        <v>629329</v>
      </c>
      <c r="N32" s="86"/>
      <c r="O32" s="76"/>
      <c r="P32" s="76"/>
      <c r="Q32" s="77"/>
      <c r="R32" s="77" t="s">
        <v>2017</v>
      </c>
      <c r="S32" s="76" t="s">
        <v>2016</v>
      </c>
    </row>
    <row r="33" spans="1:19" s="78" customFormat="1" ht="24.95" customHeight="1" x14ac:dyDescent="0.25">
      <c r="A33" s="77" t="s">
        <v>1554</v>
      </c>
      <c r="B33" s="77" t="s">
        <v>1554</v>
      </c>
      <c r="C33" s="77"/>
      <c r="D33" s="77" t="s">
        <v>994</v>
      </c>
      <c r="E33" s="77" t="str">
        <f>VLOOKUP(D33,'لیست پرسنل'!$A$2:$D$1016,3,FALSE)</f>
        <v>فکورصنعت</v>
      </c>
      <c r="F33" s="77" t="str">
        <f>VLOOKUP(D33,'لیست پرسنل'!$A$2:$D$1016,4,FALSE)</f>
        <v>تحقیق و توسعه فکور</v>
      </c>
      <c r="G33" s="91">
        <f>VLOOKUP(D33,'لیست پرسنل'!$A$2:$E$1016,2,FALSE)</f>
        <v>0</v>
      </c>
      <c r="H33" s="91" t="s">
        <v>981</v>
      </c>
      <c r="I33" s="91"/>
      <c r="J33" s="91" t="s">
        <v>439</v>
      </c>
      <c r="K33" s="91" t="s">
        <v>1580</v>
      </c>
      <c r="L33" s="91"/>
      <c r="M33" s="91">
        <v>629331</v>
      </c>
      <c r="N33" s="86"/>
      <c r="O33" s="76"/>
      <c r="P33" s="76"/>
      <c r="Q33" s="77"/>
      <c r="R33" s="77" t="s">
        <v>2017</v>
      </c>
      <c r="S33" s="76" t="s">
        <v>2016</v>
      </c>
    </row>
    <row r="34" spans="1:19" s="78" customFormat="1" ht="24.95" customHeight="1" x14ac:dyDescent="0.25">
      <c r="A34" s="77" t="s">
        <v>1554</v>
      </c>
      <c r="B34" s="77" t="s">
        <v>1554</v>
      </c>
      <c r="C34" s="77"/>
      <c r="D34" s="77" t="s">
        <v>994</v>
      </c>
      <c r="E34" s="77" t="str">
        <f>VLOOKUP(D34,'لیست پرسنل'!$A$2:$D$1016,3,FALSE)</f>
        <v>فکورصنعت</v>
      </c>
      <c r="F34" s="77" t="str">
        <f>VLOOKUP(D34,'لیست پرسنل'!$A$2:$D$1016,4,FALSE)</f>
        <v>تحقیق و توسعه فکور</v>
      </c>
      <c r="G34" s="91">
        <f>VLOOKUP(D34,'لیست پرسنل'!$A$2:$E$1016,2,FALSE)</f>
        <v>0</v>
      </c>
      <c r="H34" s="91" t="s">
        <v>981</v>
      </c>
      <c r="I34" s="91"/>
      <c r="J34" s="91" t="s">
        <v>439</v>
      </c>
      <c r="K34" s="91" t="s">
        <v>1580</v>
      </c>
      <c r="L34" s="91"/>
      <c r="M34" s="91">
        <v>629332</v>
      </c>
      <c r="N34" s="86"/>
      <c r="O34" s="76"/>
      <c r="P34" s="76"/>
      <c r="Q34" s="77"/>
      <c r="R34" s="77" t="s">
        <v>2017</v>
      </c>
      <c r="S34" s="76" t="s">
        <v>2016</v>
      </c>
    </row>
    <row r="35" spans="1:19" s="78" customFormat="1" ht="24.95" customHeight="1" x14ac:dyDescent="0.25">
      <c r="A35" s="77" t="s">
        <v>1554</v>
      </c>
      <c r="B35" s="77" t="s">
        <v>1554</v>
      </c>
      <c r="C35" s="77"/>
      <c r="D35" s="77" t="s">
        <v>994</v>
      </c>
      <c r="E35" s="77" t="str">
        <f>VLOOKUP(D35,'لیست پرسنل'!$A$2:$D$1016,3,FALSE)</f>
        <v>فکورصنعت</v>
      </c>
      <c r="F35" s="77" t="str">
        <f>VLOOKUP(D35,'لیست پرسنل'!$A$2:$D$1016,4,FALSE)</f>
        <v>تحقیق و توسعه فکور</v>
      </c>
      <c r="G35" s="91">
        <f>VLOOKUP(D35,'لیست پرسنل'!$A$2:$E$1016,2,FALSE)</f>
        <v>0</v>
      </c>
      <c r="H35" s="91" t="s">
        <v>981</v>
      </c>
      <c r="I35" s="91"/>
      <c r="J35" s="91" t="s">
        <v>1367</v>
      </c>
      <c r="K35" s="91" t="s">
        <v>1578</v>
      </c>
      <c r="L35" s="91"/>
      <c r="M35" s="91">
        <v>629333</v>
      </c>
      <c r="N35" s="86"/>
      <c r="O35" s="76"/>
      <c r="P35" s="76"/>
      <c r="Q35" s="77"/>
      <c r="R35" s="77" t="s">
        <v>2017</v>
      </c>
      <c r="S35" s="76" t="s">
        <v>2016</v>
      </c>
    </row>
    <row r="36" spans="1:19" s="78" customFormat="1" ht="24.95" customHeight="1" x14ac:dyDescent="0.25">
      <c r="A36" s="77" t="s">
        <v>1554</v>
      </c>
      <c r="B36" s="77" t="s">
        <v>1554</v>
      </c>
      <c r="C36" s="77"/>
      <c r="D36" s="77" t="s">
        <v>994</v>
      </c>
      <c r="E36" s="77" t="str">
        <f>VLOOKUP(D36,'لیست پرسنل'!$A$2:$D$1016,3,FALSE)</f>
        <v>فکورصنعت</v>
      </c>
      <c r="F36" s="77" t="str">
        <f>VLOOKUP(D36,'لیست پرسنل'!$A$2:$D$1016,4,FALSE)</f>
        <v>تحقیق و توسعه فکور</v>
      </c>
      <c r="G36" s="91">
        <f>VLOOKUP(D36,'لیست پرسنل'!$A$2:$E$1016,2,FALSE)</f>
        <v>0</v>
      </c>
      <c r="H36" s="91" t="s">
        <v>981</v>
      </c>
      <c r="I36" s="91"/>
      <c r="J36" s="91" t="s">
        <v>175</v>
      </c>
      <c r="K36" s="91" t="s">
        <v>1576</v>
      </c>
      <c r="L36" s="91"/>
      <c r="M36" s="91">
        <v>631077</v>
      </c>
      <c r="N36" s="86"/>
      <c r="O36" s="76"/>
      <c r="P36" s="76"/>
      <c r="Q36" s="77"/>
      <c r="R36" s="77" t="s">
        <v>2017</v>
      </c>
      <c r="S36" s="76" t="s">
        <v>2016</v>
      </c>
    </row>
    <row r="37" spans="1:19" x14ac:dyDescent="0.6">
      <c r="A37" s="95"/>
      <c r="B37" s="95"/>
      <c r="C37" s="95"/>
      <c r="D37" s="96"/>
      <c r="E37" s="95"/>
      <c r="F37" s="95"/>
      <c r="G37" s="95"/>
      <c r="H37" s="95"/>
      <c r="I37" s="96"/>
      <c r="J37" s="95"/>
      <c r="K37" s="95"/>
      <c r="L37" s="95"/>
      <c r="M37" s="97"/>
      <c r="N37" s="98"/>
      <c r="O37" s="95"/>
      <c r="P37" s="95"/>
      <c r="Q37" s="95"/>
      <c r="R37" s="95"/>
      <c r="S37" s="95"/>
    </row>
  </sheetData>
  <autoFilter ref="A2:S2" xr:uid="{00000000-0001-0000-0000-000000000000}"/>
  <dataConsolidate/>
  <phoneticPr fontId="37" type="noConversion"/>
  <conditionalFormatting sqref="L3">
    <cfRule type="duplicateValues" dxfId="31" priority="393"/>
    <cfRule type="duplicateValues" dxfId="30" priority="404"/>
  </conditionalFormatting>
  <conditionalFormatting sqref="L4">
    <cfRule type="duplicateValues" dxfId="29" priority="377"/>
  </conditionalFormatting>
  <conditionalFormatting sqref="L5">
    <cfRule type="duplicateValues" dxfId="28" priority="360"/>
    <cfRule type="duplicateValues" dxfId="27" priority="371"/>
  </conditionalFormatting>
  <conditionalFormatting sqref="L6">
    <cfRule type="duplicateValues" dxfId="26" priority="344"/>
  </conditionalFormatting>
  <conditionalFormatting sqref="L7">
    <cfRule type="duplicateValues" dxfId="25" priority="328"/>
  </conditionalFormatting>
  <conditionalFormatting sqref="L8">
    <cfRule type="duplicateValues" dxfId="24" priority="312"/>
  </conditionalFormatting>
  <conditionalFormatting sqref="L9">
    <cfRule type="duplicateValues" dxfId="23" priority="296"/>
  </conditionalFormatting>
  <conditionalFormatting sqref="L10">
    <cfRule type="duplicateValues" dxfId="22" priority="280"/>
  </conditionalFormatting>
  <conditionalFormatting sqref="L11">
    <cfRule type="duplicateValues" dxfId="21" priority="264"/>
  </conditionalFormatting>
  <conditionalFormatting sqref="L12">
    <cfRule type="duplicateValues" dxfId="20" priority="248"/>
  </conditionalFormatting>
  <conditionalFormatting sqref="L13">
    <cfRule type="duplicateValues" dxfId="19" priority="232"/>
  </conditionalFormatting>
  <conditionalFormatting sqref="L14">
    <cfRule type="duplicateValues" dxfId="18" priority="216"/>
  </conditionalFormatting>
  <conditionalFormatting sqref="L15">
    <cfRule type="duplicateValues" dxfId="17" priority="200"/>
  </conditionalFormatting>
  <conditionalFormatting sqref="L16">
    <cfRule type="duplicateValues" dxfId="16" priority="184"/>
  </conditionalFormatting>
  <conditionalFormatting sqref="L17">
    <cfRule type="duplicateValues" dxfId="15" priority="169"/>
  </conditionalFormatting>
  <conditionalFormatting sqref="L18">
    <cfRule type="duplicateValues" dxfId="14" priority="153"/>
  </conditionalFormatting>
  <conditionalFormatting sqref="L19">
    <cfRule type="duplicateValues" dxfId="13" priority="136"/>
    <cfRule type="duplicateValues" dxfId="12" priority="147"/>
  </conditionalFormatting>
  <conditionalFormatting sqref="L20:L23">
    <cfRule type="duplicateValues" dxfId="11" priority="120"/>
  </conditionalFormatting>
  <conditionalFormatting sqref="L24:L26">
    <cfRule type="duplicateValues" dxfId="10" priority="104"/>
  </conditionalFormatting>
  <conditionalFormatting sqref="L27">
    <cfRule type="duplicateValues" dxfId="9" priority="88"/>
  </conditionalFormatting>
  <conditionalFormatting sqref="L28:L32">
    <cfRule type="duplicateValues" dxfId="8" priority="72"/>
  </conditionalFormatting>
  <conditionalFormatting sqref="L33">
    <cfRule type="duplicateValues" dxfId="7" priority="56"/>
  </conditionalFormatting>
  <conditionalFormatting sqref="L34">
    <cfRule type="duplicateValues" dxfId="6" priority="40"/>
  </conditionalFormatting>
  <conditionalFormatting sqref="L35">
    <cfRule type="duplicateValues" dxfId="5" priority="24"/>
  </conditionalFormatting>
  <conditionalFormatting sqref="L36">
    <cfRule type="duplicateValues" dxfId="4" priority="8"/>
  </conditionalFormatting>
  <conditionalFormatting sqref="N1">
    <cfRule type="cellIs" dxfId="3" priority="410" operator="equal">
      <formula>"عبدالحمید اکبری"</formula>
    </cfRule>
  </conditionalFormatting>
  <conditionalFormatting sqref="N1:N1048576">
    <cfRule type="cellIs" dxfId="2" priority="3" operator="equal">
      <formula>"پیگیری"</formula>
    </cfRule>
  </conditionalFormatting>
  <conditionalFormatting sqref="N3:N36">
    <cfRule type="cellIs" dxfId="1" priority="4" operator="equal">
      <formula>"عبدالحمید اکبری"</formula>
    </cfRule>
  </conditionalFormatting>
  <conditionalFormatting sqref="U3:U37 M3:M36">
    <cfRule type="duplicateValues" dxfId="0" priority="1"/>
  </conditionalFormatting>
  <pageMargins left="0.25" right="0.25" top="0.43" bottom="0.24" header="0.32" footer="0.18"/>
  <pageSetup paperSize="9" scale="28" fitToHeight="0" orientation="landscape" horizontalDpi="4294967295" verticalDpi="4294967295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/>
  <dimension ref="A1:M10"/>
  <sheetViews>
    <sheetView rightToLeft="1" workbookViewId="0">
      <selection activeCell="E10" sqref="E10"/>
    </sheetView>
  </sheetViews>
  <sheetFormatPr defaultRowHeight="15" x14ac:dyDescent="0.25"/>
  <cols>
    <col min="1" max="1" width="7.140625" customWidth="1"/>
    <col min="2" max="2" width="26" customWidth="1"/>
    <col min="3" max="3" width="13.7109375" customWidth="1"/>
    <col min="4" max="4" width="36.28515625" customWidth="1"/>
    <col min="5" max="5" width="32.85546875" customWidth="1"/>
    <col min="6" max="6" width="18.5703125" customWidth="1"/>
    <col min="7" max="7" width="16.28515625" customWidth="1"/>
    <col min="8" max="8" width="36.140625" customWidth="1"/>
    <col min="9" max="9" width="21.7109375" customWidth="1"/>
    <col min="10" max="10" width="17.5703125" customWidth="1"/>
    <col min="11" max="11" width="26" customWidth="1"/>
    <col min="12" max="12" width="16.42578125" customWidth="1"/>
    <col min="13" max="13" width="23.7109375" customWidth="1"/>
  </cols>
  <sheetData>
    <row r="1" spans="1:13" x14ac:dyDescent="0.25">
      <c r="A1" s="109" t="s">
        <v>63</v>
      </c>
      <c r="B1" s="109"/>
      <c r="C1" s="109"/>
      <c r="D1" s="109"/>
      <c r="E1" s="109"/>
      <c r="F1" s="109"/>
      <c r="G1" s="109"/>
      <c r="H1" s="109"/>
    </row>
    <row r="2" spans="1:13" x14ac:dyDescent="0.25">
      <c r="A2" s="109"/>
      <c r="B2" s="109"/>
      <c r="C2" s="109"/>
      <c r="D2" s="109"/>
      <c r="E2" s="109"/>
      <c r="F2" s="109"/>
      <c r="G2" s="109"/>
      <c r="H2" s="109"/>
    </row>
    <row r="3" spans="1:13" x14ac:dyDescent="0.25">
      <c r="A3" s="109"/>
      <c r="B3" s="109"/>
      <c r="C3" s="109"/>
      <c r="D3" s="109"/>
      <c r="E3" s="109"/>
      <c r="F3" s="109"/>
      <c r="G3" s="109"/>
      <c r="H3" s="109"/>
    </row>
    <row r="4" spans="1:13" x14ac:dyDescent="0.25">
      <c r="A4" s="109"/>
      <c r="B4" s="109"/>
      <c r="C4" s="109"/>
      <c r="D4" s="109"/>
      <c r="E4" s="109"/>
      <c r="F4" s="109"/>
      <c r="G4" s="109"/>
      <c r="H4" s="109"/>
    </row>
    <row r="5" spans="1:13" ht="5.25" customHeight="1" x14ac:dyDescent="0.25">
      <c r="A5" s="109"/>
      <c r="B5" s="109"/>
      <c r="C5" s="109"/>
      <c r="D5" s="109"/>
      <c r="E5" s="109"/>
      <c r="F5" s="109"/>
      <c r="G5" s="109"/>
      <c r="H5" s="109"/>
    </row>
    <row r="6" spans="1:13" hidden="1" x14ac:dyDescent="0.25">
      <c r="A6" s="109"/>
      <c r="B6" s="109"/>
      <c r="C6" s="109"/>
      <c r="D6" s="109"/>
      <c r="E6" s="109"/>
      <c r="F6" s="109"/>
      <c r="G6" s="109"/>
      <c r="H6" s="109"/>
    </row>
    <row r="7" spans="1:13" s="4" customFormat="1" ht="21" x14ac:dyDescent="0.35">
      <c r="A7" s="2" t="s">
        <v>0</v>
      </c>
      <c r="B7" s="3" t="s">
        <v>2</v>
      </c>
      <c r="C7" s="3" t="s">
        <v>1</v>
      </c>
      <c r="D7" s="3" t="s">
        <v>7</v>
      </c>
      <c r="E7" s="3" t="s">
        <v>3</v>
      </c>
      <c r="F7" s="3" t="s">
        <v>4</v>
      </c>
      <c r="G7" s="3" t="s">
        <v>6</v>
      </c>
      <c r="H7" s="3" t="s">
        <v>28</v>
      </c>
      <c r="I7" s="3" t="s">
        <v>54</v>
      </c>
      <c r="J7" s="3" t="s">
        <v>5</v>
      </c>
      <c r="K7" s="11" t="s">
        <v>26</v>
      </c>
      <c r="L7" s="3" t="s">
        <v>54</v>
      </c>
      <c r="M7" s="3" t="s">
        <v>5</v>
      </c>
    </row>
    <row r="8" spans="1:13" ht="24" x14ac:dyDescent="0.55000000000000004">
      <c r="A8" s="12">
        <v>1</v>
      </c>
      <c r="B8" s="9" t="s">
        <v>74</v>
      </c>
      <c r="C8" s="10" t="s">
        <v>73</v>
      </c>
      <c r="D8" s="15" t="s">
        <v>64</v>
      </c>
      <c r="E8" s="5" t="s">
        <v>65</v>
      </c>
      <c r="F8" s="9">
        <v>603954</v>
      </c>
      <c r="G8" s="14">
        <v>605221</v>
      </c>
      <c r="H8" s="9" t="s">
        <v>66</v>
      </c>
      <c r="I8" s="4" t="s">
        <v>67</v>
      </c>
      <c r="J8" s="13">
        <v>606000</v>
      </c>
      <c r="K8" s="3"/>
      <c r="L8" s="3"/>
      <c r="M8" s="9"/>
    </row>
    <row r="9" spans="1:13" ht="22.5" x14ac:dyDescent="0.55000000000000004">
      <c r="A9" s="12">
        <v>2</v>
      </c>
      <c r="B9" s="9" t="s">
        <v>68</v>
      </c>
      <c r="C9" s="10"/>
      <c r="D9" s="16" t="s">
        <v>15</v>
      </c>
      <c r="E9" s="5" t="s">
        <v>69</v>
      </c>
      <c r="F9" s="4">
        <v>600016</v>
      </c>
      <c r="G9" s="13">
        <v>605714</v>
      </c>
    </row>
    <row r="10" spans="1:13" s="4" customFormat="1" ht="22.5" x14ac:dyDescent="0.55000000000000004">
      <c r="A10" s="12">
        <v>3</v>
      </c>
      <c r="B10" s="9" t="s">
        <v>72</v>
      </c>
      <c r="C10" s="10"/>
      <c r="D10" s="16" t="s">
        <v>70</v>
      </c>
      <c r="E10" s="5" t="s">
        <v>71</v>
      </c>
      <c r="F10" s="4">
        <v>601596</v>
      </c>
      <c r="G10" s="13">
        <v>603964</v>
      </c>
    </row>
  </sheetData>
  <mergeCells count="1">
    <mergeCell ref="A1: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لیست پرسنل</vt:lpstr>
      <vt:lpstr>دوربین های فاقدکد</vt:lpstr>
      <vt:lpstr>ثبت نشده در سیما</vt:lpstr>
      <vt:lpstr>لیست تعمیرات</vt:lpstr>
      <vt:lpstr>اموال قبلا چک شده بنام نیک اختر</vt:lpstr>
      <vt:lpstr>مختوم شده</vt:lpstr>
      <vt:lpstr>خوابگاه </vt:lpstr>
      <vt:lpstr>'مختوم شده'!Print_Area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Rasool Nematian</dc:creator>
  <cp:lastModifiedBy>Ali Abbaspour</cp:lastModifiedBy>
  <cp:lastPrinted>2025-04-12T07:16:47Z</cp:lastPrinted>
  <dcterms:created xsi:type="dcterms:W3CDTF">2018-08-12T07:13:07Z</dcterms:created>
  <dcterms:modified xsi:type="dcterms:W3CDTF">2025-11-22T04:07:37Z</dcterms:modified>
</cp:coreProperties>
</file>