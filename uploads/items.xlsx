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G:\Git Project\Warehouse\data\"/>
    </mc:Choice>
  </mc:AlternateContent>
  <xr:revisionPtr revIDLastSave="0" documentId="8_{87FE670E-4B3C-44DA-9068-8F8D4D2678BE}" xr6:coauthVersionLast="47" xr6:coauthVersionMax="47" xr10:uidLastSave="{00000000-0000-0000-0000-000000000000}"/>
  <bookViews>
    <workbookView xWindow="28680" yWindow="-120" windowWidth="20640" windowHeight="11040" tabRatio="560" xr2:uid="{00000000-000D-0000-FFFF-FFFF00000000}"/>
  </bookViews>
  <sheets>
    <sheet name="All_Data" sheetId="1" r:id="rId1"/>
    <sheet name="لیست پرسنل" sheetId="2" r:id="rId2"/>
    <sheet name="دوربین های فاقدکد" sheetId="3" r:id="rId3"/>
    <sheet name="ثبت نشده در سیما" sheetId="4" r:id="rId4"/>
    <sheet name="لیست تعمیرات" sheetId="5" r:id="rId5"/>
    <sheet name="اموال قبلا چک شده بنام نیک اختر" sheetId="6" r:id="rId6"/>
    <sheet name="مختوم شده" sheetId="7" r:id="rId7"/>
    <sheet name="خوابگاه " sheetId="8" state="hidden" r:id="rId8"/>
  </sheets>
  <definedNames>
    <definedName name="_xlnm._FilterDatabase" localSheetId="5" hidden="1">'اموال قبلا چک شده بنام نیک اختر'!$A$1:$I$6</definedName>
    <definedName name="_xlnm._FilterDatabase" localSheetId="1" hidden="1">'لیست پرسنل'!$B$1:$G$847</definedName>
    <definedName name="_xlnm._FilterDatabase" localSheetId="4" hidden="1">'لیست تعمیرات'!$A$2:$F$111</definedName>
    <definedName name="_xlnm._FilterDatabase" localSheetId="6" hidden="1">'مختوم شده'!$A$2:$S$2</definedName>
    <definedName name="_xlnm.Print_Area" localSheetId="0">All_Data!$A$2:$Q$5816</definedName>
    <definedName name="_xlnm.Print_Area" localSheetId="6">'مختوم شده'!$A$1:$S$36</definedName>
    <definedName name="Z_4E9100F2_A511_4BAB_A26D_F817BBFCED8B_.wvu.FilterData" localSheetId="0" hidden="1">All_Data!$A$2:$Q$5816</definedName>
    <definedName name="Z_4E9100F2_A511_4BAB_A26D_F817BBFCED8B_.wvu.FilterData" localSheetId="5" hidden="1">'اموال قبلا چک شده بنام نیک اختر'!$A$1:$I$6</definedName>
    <definedName name="Z_4E9100F2_A511_4BAB_A26D_F817BBFCED8B_.wvu.FilterData" localSheetId="1" hidden="1">'لیست پرسنل'!$B$1:$G$847</definedName>
    <definedName name="Z_4E9100F2_A511_4BAB_A26D_F817BBFCED8B_.wvu.FilterData" localSheetId="4" hidden="1">'لیست تعمیرات'!$A$2:$F$111</definedName>
    <definedName name="Z_4E9100F2_A511_4BAB_A26D_F817BBFCED8B_.wvu.FilterData" localSheetId="6" hidden="1">'مختوم شده'!$A$2:$S$2</definedName>
    <definedName name="Z_4E9100F2_A511_4BAB_A26D_F817BBFCED8B_.wvu.PrintArea" localSheetId="0" hidden="1">All_Data!$A$2:$Q$5816</definedName>
    <definedName name="Z_4E9100F2_A511_4BAB_A26D_F817BBFCED8B_.wvu.PrintArea" localSheetId="6" hidden="1">'مختوم شده'!$A$1:$S$36</definedName>
    <definedName name="Z_4E9100F2_A511_4BAB_A26D_F817BBFCED8B_.wvu.Rows" localSheetId="7" hidden="1">'خوابگاه '!$6:$6</definedName>
  </definedNames>
  <calcPr calcId="191029"/>
  <customWorkbookViews>
    <customWorkbookView name="Rasool Nematian - Personal View" guid="{4E9100F2-A511-4BAB-A26D-F817BBFCED8B}" mergeInterval="0" personalView="1" maximized="1" xWindow="-8" yWindow="-8" windowWidth="1936" windowHeight="1048" tabRatio="560" activeSheetId="1"/>
  </customWorkbookView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247" i="1" l="1"/>
  <c r="F1084" i="1"/>
  <c r="E1084" i="1"/>
  <c r="G3848" i="1"/>
  <c r="G3438" i="1"/>
  <c r="G3439" i="1"/>
  <c r="G2968" i="1"/>
  <c r="G36" i="7"/>
  <c r="F36" i="7"/>
  <c r="E36" i="7"/>
  <c r="G35" i="7"/>
  <c r="F35" i="7"/>
  <c r="E35" i="7"/>
  <c r="G34" i="7"/>
  <c r="F34" i="7"/>
  <c r="E34" i="7"/>
  <c r="G33" i="7"/>
  <c r="F33" i="7"/>
  <c r="E33" i="7"/>
  <c r="G32" i="7"/>
  <c r="F32" i="7"/>
  <c r="E32" i="7"/>
  <c r="G31" i="7"/>
  <c r="F31" i="7"/>
  <c r="E31" i="7"/>
  <c r="G30" i="7"/>
  <c r="F30" i="7"/>
  <c r="E30" i="7"/>
  <c r="G29" i="7"/>
  <c r="F29" i="7"/>
  <c r="E29" i="7"/>
  <c r="G28" i="7"/>
  <c r="F28" i="7"/>
  <c r="E28" i="7"/>
  <c r="G27" i="7"/>
  <c r="F27" i="7"/>
  <c r="E27" i="7"/>
  <c r="G26" i="7"/>
  <c r="F26" i="7"/>
  <c r="E26" i="7"/>
  <c r="G25" i="7"/>
  <c r="F25" i="7"/>
  <c r="E25" i="7"/>
  <c r="G24" i="7"/>
  <c r="F24" i="7"/>
  <c r="E24" i="7"/>
  <c r="G23" i="7"/>
  <c r="F23" i="7"/>
  <c r="E23" i="7"/>
  <c r="G22" i="7"/>
  <c r="F22" i="7"/>
  <c r="E22" i="7"/>
  <c r="G21" i="7"/>
  <c r="F21" i="7"/>
  <c r="E21" i="7"/>
  <c r="G20" i="7"/>
  <c r="F20" i="7"/>
  <c r="E20" i="7"/>
  <c r="G19" i="7"/>
  <c r="F19" i="7"/>
  <c r="E19" i="7"/>
  <c r="G18" i="7"/>
  <c r="F18" i="7"/>
  <c r="E18" i="7"/>
  <c r="G17" i="7"/>
  <c r="F17" i="7"/>
  <c r="E17" i="7"/>
  <c r="G16" i="7"/>
  <c r="F16" i="7"/>
  <c r="E16" i="7"/>
  <c r="G15" i="7"/>
  <c r="F15" i="7"/>
  <c r="E15" i="7"/>
  <c r="G14" i="7"/>
  <c r="F14" i="7"/>
  <c r="E14" i="7"/>
  <c r="G13" i="7"/>
  <c r="F13" i="7"/>
  <c r="E13" i="7"/>
  <c r="G12" i="7"/>
  <c r="F12" i="7"/>
  <c r="E12" i="7"/>
  <c r="G11" i="7"/>
  <c r="F11" i="7"/>
  <c r="E11" i="7"/>
  <c r="G10" i="7"/>
  <c r="F10" i="7"/>
  <c r="E10" i="7"/>
  <c r="G9" i="7"/>
  <c r="F9" i="7"/>
  <c r="E9" i="7"/>
  <c r="G8" i="7"/>
  <c r="F8" i="7"/>
  <c r="E8" i="7"/>
  <c r="G7" i="7"/>
  <c r="F7" i="7"/>
  <c r="E7" i="7"/>
  <c r="G6" i="7"/>
  <c r="F6" i="7"/>
  <c r="E6" i="7"/>
  <c r="G5" i="7"/>
  <c r="F5" i="7"/>
  <c r="E5" i="7"/>
  <c r="G4" i="7"/>
  <c r="F4" i="7"/>
  <c r="E4" i="7"/>
  <c r="G3" i="7"/>
  <c r="F3" i="7"/>
  <c r="E3" i="7"/>
  <c r="E4242" i="1"/>
  <c r="E4257" i="1"/>
  <c r="E4258" i="1"/>
  <c r="E1274" i="1" l="1"/>
  <c r="E712" i="1"/>
  <c r="E1347" i="1"/>
  <c r="E1992" i="1"/>
  <c r="E1958" i="1"/>
  <c r="F1958" i="1"/>
  <c r="G1958" i="1"/>
  <c r="E1959" i="1"/>
  <c r="F1959" i="1"/>
  <c r="G1959" i="1"/>
  <c r="E1970" i="1"/>
  <c r="F1970" i="1"/>
  <c r="G1970" i="1"/>
  <c r="E2226" i="1"/>
  <c r="F2226" i="1"/>
  <c r="G2226" i="1"/>
  <c r="E1971" i="1"/>
  <c r="F1971" i="1"/>
  <c r="G1971" i="1"/>
  <c r="E1972" i="1"/>
  <c r="F1972" i="1"/>
  <c r="G1972" i="1"/>
  <c r="E1973" i="1"/>
  <c r="F1973" i="1"/>
  <c r="G1973" i="1"/>
  <c r="E1974" i="1"/>
  <c r="F1974" i="1"/>
  <c r="G1974" i="1"/>
  <c r="E1975" i="1"/>
  <c r="F1975" i="1"/>
  <c r="G1975" i="1"/>
  <c r="E1976" i="1"/>
  <c r="F1976" i="1"/>
  <c r="G1976" i="1"/>
  <c r="E1977" i="1"/>
  <c r="F1977" i="1"/>
  <c r="G1977" i="1"/>
  <c r="E1978" i="1"/>
  <c r="F1978" i="1"/>
  <c r="G1978" i="1"/>
  <c r="E1979" i="1"/>
  <c r="F1979" i="1"/>
  <c r="G1979" i="1"/>
  <c r="E1980" i="1"/>
  <c r="F1980" i="1"/>
  <c r="G1980" i="1"/>
  <c r="E1933" i="1"/>
  <c r="F1933" i="1"/>
  <c r="G1933" i="1"/>
  <c r="E445" i="1"/>
  <c r="F445" i="1"/>
  <c r="G445" i="1"/>
  <c r="E446" i="1"/>
  <c r="F446" i="1"/>
  <c r="G446" i="1"/>
  <c r="E444" i="1"/>
  <c r="F444" i="1"/>
  <c r="G444" i="1"/>
  <c r="E447" i="1"/>
  <c r="F447" i="1"/>
  <c r="G447" i="1"/>
  <c r="E4102" i="1"/>
  <c r="F4102" i="1"/>
  <c r="G4102" i="1"/>
  <c r="E1761" i="1"/>
  <c r="F1761" i="1"/>
  <c r="G1761" i="1"/>
  <c r="E1762" i="1"/>
  <c r="F1762" i="1"/>
  <c r="G1762" i="1"/>
  <c r="F1347" i="1"/>
  <c r="G1347" i="1"/>
  <c r="E1345" i="1"/>
  <c r="F1345" i="1"/>
  <c r="G1345" i="1"/>
  <c r="E807" i="1"/>
  <c r="F807" i="1"/>
  <c r="G807" i="1"/>
  <c r="E1771" i="1"/>
  <c r="F1771" i="1"/>
  <c r="G1771" i="1"/>
  <c r="E3432" i="1"/>
  <c r="F3432" i="1"/>
  <c r="G3432" i="1"/>
  <c r="E3440" i="1"/>
  <c r="F3440" i="1"/>
  <c r="G3440" i="1"/>
  <c r="E2211" i="1"/>
  <c r="F2211" i="1"/>
  <c r="G2211" i="1"/>
  <c r="E2212" i="1"/>
  <c r="F2212" i="1"/>
  <c r="G2212" i="1"/>
  <c r="E2213" i="1"/>
  <c r="F2213" i="1"/>
  <c r="G2213" i="1"/>
  <c r="E2214" i="1"/>
  <c r="F2214" i="1"/>
  <c r="G2214" i="1"/>
  <c r="E2215" i="1"/>
  <c r="F2215" i="1"/>
  <c r="G2215" i="1"/>
  <c r="E2216" i="1"/>
  <c r="F2216" i="1"/>
  <c r="G2216" i="1"/>
  <c r="E2217" i="1"/>
  <c r="F2217" i="1"/>
  <c r="G2217" i="1"/>
  <c r="E2218" i="1"/>
  <c r="F2218" i="1"/>
  <c r="G2218" i="1"/>
  <c r="E2219" i="1"/>
  <c r="F2219" i="1"/>
  <c r="G2219" i="1"/>
  <c r="E2220" i="1"/>
  <c r="F2220" i="1"/>
  <c r="G2220" i="1"/>
  <c r="E2221" i="1"/>
  <c r="F2221" i="1"/>
  <c r="G2221" i="1"/>
  <c r="E2222" i="1"/>
  <c r="F2222" i="1"/>
  <c r="G2222" i="1"/>
  <c r="E3889" i="1"/>
  <c r="F3889" i="1"/>
  <c r="G3889" i="1"/>
  <c r="E3876" i="1"/>
  <c r="F3876" i="1"/>
  <c r="G3876" i="1"/>
  <c r="E3878" i="1"/>
  <c r="F3878" i="1"/>
  <c r="G3878" i="1"/>
  <c r="E3894" i="1"/>
  <c r="F3894" i="1"/>
  <c r="G3894" i="1"/>
  <c r="E3883" i="1"/>
  <c r="F3883" i="1"/>
  <c r="G3883" i="1"/>
  <c r="E3882" i="1"/>
  <c r="F3882" i="1"/>
  <c r="G3882" i="1"/>
  <c r="E3892" i="1"/>
  <c r="F3892" i="1"/>
  <c r="G3892" i="1"/>
  <c r="E3905" i="1"/>
  <c r="F3905" i="1"/>
  <c r="G3905" i="1"/>
  <c r="E3886" i="1"/>
  <c r="F3886" i="1"/>
  <c r="G3886" i="1"/>
  <c r="E3917" i="1"/>
  <c r="F3917" i="1"/>
  <c r="G3917" i="1"/>
  <c r="E3928" i="1"/>
  <c r="F3928" i="1"/>
  <c r="G3928" i="1"/>
  <c r="E3901" i="1"/>
  <c r="F3901" i="1"/>
  <c r="G3901" i="1"/>
  <c r="E3890" i="1"/>
  <c r="F3890" i="1"/>
  <c r="G3890" i="1"/>
  <c r="E3879" i="1"/>
  <c r="F3879" i="1"/>
  <c r="G3879" i="1"/>
  <c r="E3914" i="1"/>
  <c r="F3914" i="1"/>
  <c r="G3914" i="1"/>
  <c r="E3911" i="1"/>
  <c r="F3911" i="1"/>
  <c r="G3911" i="1"/>
  <c r="E3902" i="1"/>
  <c r="F3902" i="1"/>
  <c r="G3902" i="1"/>
  <c r="E3898" i="1"/>
  <c r="F3898" i="1"/>
  <c r="G3898" i="1"/>
  <c r="E3922" i="1"/>
  <c r="F3922" i="1"/>
  <c r="G3922" i="1"/>
  <c r="E3877" i="1"/>
  <c r="F3877" i="1"/>
  <c r="G3877" i="1"/>
  <c r="E3929" i="1"/>
  <c r="F3929" i="1"/>
  <c r="G3929" i="1"/>
  <c r="E3907" i="1"/>
  <c r="F3907" i="1"/>
  <c r="G3907" i="1"/>
  <c r="E3885" i="1"/>
  <c r="F3885" i="1"/>
  <c r="G3885" i="1"/>
  <c r="E3933" i="1"/>
  <c r="F3933" i="1"/>
  <c r="G3933" i="1"/>
  <c r="E3916" i="1"/>
  <c r="F3916" i="1"/>
  <c r="G3916" i="1"/>
  <c r="E3924" i="1"/>
  <c r="F3924" i="1"/>
  <c r="G3924" i="1"/>
  <c r="E3900" i="1"/>
  <c r="F3900" i="1"/>
  <c r="G3900" i="1"/>
  <c r="E3913" i="1"/>
  <c r="F3913" i="1"/>
  <c r="G3913" i="1"/>
  <c r="E3931" i="1"/>
  <c r="F3931" i="1"/>
  <c r="G3931" i="1"/>
  <c r="E3904" i="1"/>
  <c r="F3904" i="1"/>
  <c r="G3904" i="1"/>
  <c r="E3909" i="1"/>
  <c r="F3909" i="1"/>
  <c r="G3909" i="1"/>
  <c r="E3891" i="1"/>
  <c r="F3891" i="1"/>
  <c r="G3891" i="1"/>
  <c r="E3884" i="1"/>
  <c r="F3884" i="1"/>
  <c r="G3884" i="1"/>
  <c r="E3930" i="1"/>
  <c r="F3930" i="1"/>
  <c r="G3930" i="1"/>
  <c r="E3893" i="1"/>
  <c r="F3893" i="1"/>
  <c r="G3893" i="1"/>
  <c r="E3932" i="1"/>
  <c r="F3932" i="1"/>
  <c r="G3932" i="1"/>
  <c r="E3903" i="1"/>
  <c r="F3903" i="1"/>
  <c r="G3903" i="1"/>
  <c r="E3908" i="1"/>
  <c r="F3908" i="1"/>
  <c r="G3908" i="1"/>
  <c r="E3912" i="1"/>
  <c r="F3912" i="1"/>
  <c r="G3912" i="1"/>
  <c r="E3923" i="1"/>
  <c r="F3923" i="1"/>
  <c r="G3923" i="1"/>
  <c r="E3915" i="1"/>
  <c r="F3915" i="1"/>
  <c r="G3915" i="1"/>
  <c r="E3899" i="1"/>
  <c r="F3899" i="1"/>
  <c r="G3899" i="1"/>
  <c r="E3906" i="1"/>
  <c r="F3906" i="1"/>
  <c r="G3906" i="1"/>
  <c r="E3881" i="1"/>
  <c r="F3881" i="1"/>
  <c r="G3881" i="1"/>
  <c r="E2223" i="1"/>
  <c r="F2223" i="1"/>
  <c r="G2223" i="1"/>
  <c r="E2224" i="1"/>
  <c r="F2224" i="1"/>
  <c r="G2224" i="1"/>
  <c r="E2225" i="1"/>
  <c r="F2225" i="1"/>
  <c r="G2225" i="1"/>
  <c r="E3748" i="1"/>
  <c r="F3748" i="1"/>
  <c r="G3748" i="1"/>
  <c r="E3784" i="1"/>
  <c r="F3784" i="1"/>
  <c r="G3784" i="1"/>
  <c r="E3779" i="1"/>
  <c r="F3779" i="1"/>
  <c r="G3779" i="1"/>
  <c r="E877" i="1"/>
  <c r="F877" i="1"/>
  <c r="G877" i="1"/>
  <c r="E3361" i="1"/>
  <c r="F3361" i="1"/>
  <c r="G3361" i="1"/>
  <c r="E3174" i="1"/>
  <c r="F3174" i="1"/>
  <c r="G3174" i="1"/>
  <c r="E3175" i="1"/>
  <c r="F3175" i="1"/>
  <c r="G3175" i="1"/>
  <c r="E3173" i="1"/>
  <c r="F3173" i="1"/>
  <c r="G3173" i="1"/>
  <c r="E3172" i="1"/>
  <c r="F3172" i="1"/>
  <c r="G3172" i="1"/>
  <c r="E3171" i="1"/>
  <c r="F3171" i="1"/>
  <c r="G3171" i="1"/>
  <c r="E3170" i="1"/>
  <c r="F3170" i="1"/>
  <c r="G3170" i="1"/>
  <c r="E3169" i="1"/>
  <c r="F3169" i="1"/>
  <c r="G3169" i="1"/>
  <c r="E3168" i="1"/>
  <c r="F3168" i="1"/>
  <c r="G3168" i="1"/>
  <c r="E3026" i="1"/>
  <c r="F3026" i="1"/>
  <c r="G3026" i="1"/>
  <c r="E3028" i="1"/>
  <c r="F3028" i="1"/>
  <c r="G3028" i="1"/>
  <c r="E2977" i="1"/>
  <c r="F2977" i="1"/>
  <c r="G2977" i="1"/>
  <c r="E3027" i="1"/>
  <c r="F3027" i="1"/>
  <c r="G3027" i="1"/>
  <c r="E3029" i="1"/>
  <c r="F3029" i="1"/>
  <c r="G3029" i="1"/>
  <c r="E467" i="1"/>
  <c r="F467" i="1"/>
  <c r="G467" i="1"/>
  <c r="E468" i="1"/>
  <c r="F468" i="1"/>
  <c r="G468" i="1"/>
  <c r="E469" i="1"/>
  <c r="F469" i="1"/>
  <c r="G469" i="1"/>
  <c r="E470" i="1"/>
  <c r="F470" i="1"/>
  <c r="G470" i="1"/>
  <c r="E471" i="1"/>
  <c r="F471" i="1"/>
  <c r="G471" i="1"/>
  <c r="E1790" i="1"/>
  <c r="F1790" i="1"/>
  <c r="G1790" i="1"/>
  <c r="E472" i="1"/>
  <c r="F472" i="1"/>
  <c r="G472" i="1"/>
  <c r="E2966" i="1"/>
  <c r="F2966" i="1"/>
  <c r="G2966" i="1"/>
  <c r="E2963" i="1"/>
  <c r="F2963" i="1"/>
  <c r="G2963" i="1"/>
  <c r="E2883" i="1"/>
  <c r="F2883" i="1"/>
  <c r="G2883" i="1"/>
  <c r="E2969" i="1"/>
  <c r="F2969" i="1"/>
  <c r="G2969" i="1"/>
  <c r="E2873" i="1"/>
  <c r="F2873" i="1"/>
  <c r="G2873" i="1"/>
  <c r="E2870" i="1"/>
  <c r="F2870" i="1"/>
  <c r="G2870" i="1"/>
  <c r="E2872" i="1"/>
  <c r="F2872" i="1"/>
  <c r="G2872" i="1"/>
  <c r="E2871" i="1"/>
  <c r="F2871" i="1"/>
  <c r="G2871" i="1"/>
  <c r="E2874" i="1"/>
  <c r="F2874" i="1"/>
  <c r="G2874" i="1"/>
  <c r="E343" i="1"/>
  <c r="F343" i="1"/>
  <c r="G343" i="1"/>
  <c r="E344" i="1"/>
  <c r="F344" i="1"/>
  <c r="G344" i="1"/>
  <c r="E345" i="1"/>
  <c r="F345" i="1"/>
  <c r="G345" i="1"/>
  <c r="E346" i="1"/>
  <c r="F346" i="1"/>
  <c r="G346" i="1"/>
  <c r="E347" i="1"/>
  <c r="F347" i="1"/>
  <c r="G347" i="1"/>
  <c r="E348" i="1"/>
  <c r="F348" i="1"/>
  <c r="G348" i="1"/>
  <c r="E349" i="1"/>
  <c r="F349" i="1"/>
  <c r="G349" i="1"/>
  <c r="E350" i="1"/>
  <c r="F350" i="1"/>
  <c r="G350" i="1"/>
  <c r="E351" i="1"/>
  <c r="F351" i="1"/>
  <c r="G351" i="1"/>
  <c r="E352" i="1"/>
  <c r="F352" i="1"/>
  <c r="G352" i="1"/>
  <c r="E353" i="1"/>
  <c r="F353" i="1"/>
  <c r="G353" i="1"/>
  <c r="E354" i="1"/>
  <c r="F354" i="1"/>
  <c r="G354" i="1"/>
  <c r="E355" i="1"/>
  <c r="F355" i="1"/>
  <c r="G355" i="1"/>
  <c r="E356" i="1"/>
  <c r="F356" i="1"/>
  <c r="G356" i="1"/>
  <c r="E357" i="1"/>
  <c r="F357" i="1"/>
  <c r="G357" i="1"/>
  <c r="E358" i="1"/>
  <c r="F358" i="1"/>
  <c r="G358" i="1"/>
  <c r="E359" i="1"/>
  <c r="F359" i="1"/>
  <c r="G359" i="1"/>
  <c r="E360" i="1"/>
  <c r="F360" i="1"/>
  <c r="G360" i="1"/>
  <c r="E361" i="1"/>
  <c r="F361" i="1"/>
  <c r="G361" i="1"/>
  <c r="E362" i="1"/>
  <c r="F362" i="1"/>
  <c r="G362" i="1"/>
  <c r="E363" i="1"/>
  <c r="F363" i="1"/>
  <c r="G363" i="1"/>
  <c r="E364" i="1"/>
  <c r="F364" i="1"/>
  <c r="G364" i="1"/>
  <c r="E365" i="1"/>
  <c r="F365" i="1"/>
  <c r="G365" i="1"/>
  <c r="E366" i="1"/>
  <c r="F366" i="1"/>
  <c r="G366" i="1"/>
  <c r="E367" i="1"/>
  <c r="F367" i="1"/>
  <c r="G367" i="1"/>
  <c r="E368" i="1"/>
  <c r="F368" i="1"/>
  <c r="G368" i="1"/>
  <c r="E369" i="1"/>
  <c r="F369" i="1"/>
  <c r="G369" i="1"/>
  <c r="E370" i="1"/>
  <c r="F370" i="1"/>
  <c r="G370" i="1"/>
  <c r="E371" i="1"/>
  <c r="F371" i="1"/>
  <c r="G371" i="1"/>
  <c r="E372" i="1"/>
  <c r="F372" i="1"/>
  <c r="G372" i="1"/>
  <c r="E373" i="1"/>
  <c r="F373" i="1"/>
  <c r="G373" i="1"/>
  <c r="E374" i="1"/>
  <c r="F374" i="1"/>
  <c r="G374" i="1"/>
  <c r="E3888" i="1"/>
  <c r="F3888" i="1"/>
  <c r="G3888" i="1"/>
  <c r="E3910" i="1"/>
  <c r="F3910" i="1"/>
  <c r="G3910" i="1"/>
  <c r="E3920" i="1"/>
  <c r="F3920" i="1"/>
  <c r="G3920" i="1"/>
  <c r="E3921" i="1"/>
  <c r="F3921" i="1"/>
  <c r="G3921" i="1"/>
  <c r="E3918" i="1"/>
  <c r="F3918" i="1"/>
  <c r="G3918" i="1"/>
  <c r="E3919" i="1"/>
  <c r="F3919" i="1"/>
  <c r="G3919" i="1"/>
  <c r="E3527" i="1"/>
  <c r="F3527" i="1"/>
  <c r="G3527" i="1"/>
  <c r="E3528" i="1"/>
  <c r="F3528" i="1"/>
  <c r="G3528" i="1"/>
  <c r="E3529" i="1"/>
  <c r="F3529" i="1"/>
  <c r="G3529" i="1"/>
  <c r="E49" i="1"/>
  <c r="F49" i="1"/>
  <c r="G49" i="1"/>
  <c r="E3228" i="1"/>
  <c r="F3228" i="1"/>
  <c r="G3228" i="1"/>
  <c r="E3693" i="1"/>
  <c r="F3693" i="1"/>
  <c r="G3693" i="1"/>
  <c r="E3694" i="1"/>
  <c r="F3694" i="1"/>
  <c r="G3694" i="1"/>
  <c r="E2857" i="1"/>
  <c r="F2857" i="1"/>
  <c r="G2857" i="1"/>
  <c r="E2858" i="1"/>
  <c r="F2858" i="1"/>
  <c r="G2858" i="1"/>
  <c r="E3318" i="1"/>
  <c r="F3318" i="1"/>
  <c r="G3318" i="1"/>
  <c r="E2887" i="1"/>
  <c r="F2887" i="1"/>
  <c r="G2887" i="1"/>
  <c r="E2886" i="1"/>
  <c r="F2886" i="1"/>
  <c r="G2886" i="1"/>
  <c r="E2960" i="1"/>
  <c r="F2960" i="1"/>
  <c r="G2960" i="1"/>
  <c r="E2961" i="1"/>
  <c r="F2961" i="1"/>
  <c r="G2961" i="1"/>
  <c r="E3057" i="1"/>
  <c r="F3057" i="1"/>
  <c r="G3057" i="1"/>
  <c r="E3058" i="1"/>
  <c r="F3058" i="1"/>
  <c r="G3058" i="1"/>
  <c r="E2979" i="1"/>
  <c r="F2979" i="1"/>
  <c r="G2979" i="1"/>
  <c r="E2975" i="1"/>
  <c r="F2975" i="1"/>
  <c r="G2975" i="1"/>
  <c r="E2855" i="1"/>
  <c r="F2855" i="1"/>
  <c r="G2855" i="1"/>
  <c r="E2856" i="1"/>
  <c r="F2856" i="1"/>
  <c r="G2856" i="1"/>
  <c r="E607" i="1"/>
  <c r="F607" i="1"/>
  <c r="G607" i="1"/>
  <c r="E606" i="1"/>
  <c r="F606" i="1"/>
  <c r="G606" i="1"/>
  <c r="E2342" i="1"/>
  <c r="F2342" i="1"/>
  <c r="G2342" i="1"/>
  <c r="E2340" i="1"/>
  <c r="F2340" i="1"/>
  <c r="G2340" i="1"/>
  <c r="E2341" i="1"/>
  <c r="F2341" i="1"/>
  <c r="G2341" i="1"/>
  <c r="E2349" i="1"/>
  <c r="F2349" i="1"/>
  <c r="G2349" i="1"/>
  <c r="E2065" i="1"/>
  <c r="F2065" i="1"/>
  <c r="G2065" i="1"/>
  <c r="E3687" i="1"/>
  <c r="F3687" i="1"/>
  <c r="G3687" i="1"/>
  <c r="E3689" i="1"/>
  <c r="F3689" i="1"/>
  <c r="G3689" i="1"/>
  <c r="E3846" i="1"/>
  <c r="F3846" i="1"/>
  <c r="G3846" i="1"/>
  <c r="E3845" i="1"/>
  <c r="F3845" i="1"/>
  <c r="G3845" i="1"/>
  <c r="E3848" i="1"/>
  <c r="F3848" i="1"/>
  <c r="E3847" i="1"/>
  <c r="F3847" i="1"/>
  <c r="G3847" i="1"/>
  <c r="E2760" i="1"/>
  <c r="F2760" i="1"/>
  <c r="G2760" i="1"/>
  <c r="E2757" i="1"/>
  <c r="F2757" i="1"/>
  <c r="G2757" i="1"/>
  <c r="E3688" i="1"/>
  <c r="F3688" i="1"/>
  <c r="G3688" i="1"/>
  <c r="E3690" i="1"/>
  <c r="F3690" i="1"/>
  <c r="G3690" i="1"/>
  <c r="E3686" i="1"/>
  <c r="F3686" i="1"/>
  <c r="G3686" i="1"/>
  <c r="E3934" i="1"/>
  <c r="F3934" i="1"/>
  <c r="G3934" i="1"/>
  <c r="E3935" i="1"/>
  <c r="F3935" i="1"/>
  <c r="G3935" i="1"/>
  <c r="E1788" i="1"/>
  <c r="F1788" i="1"/>
  <c r="G1788" i="1"/>
  <c r="E2970" i="1"/>
  <c r="F2970" i="1"/>
  <c r="G2970" i="1"/>
  <c r="E2971" i="1"/>
  <c r="F2971" i="1"/>
  <c r="G2971" i="1"/>
  <c r="E5647" i="1"/>
  <c r="F5647" i="1"/>
  <c r="G5647" i="1"/>
  <c r="E5648" i="1"/>
  <c r="F5648" i="1"/>
  <c r="G5648" i="1"/>
  <c r="E5649" i="1"/>
  <c r="F5649" i="1"/>
  <c r="G5649" i="1"/>
  <c r="E5650" i="1"/>
  <c r="F5650" i="1"/>
  <c r="G5650" i="1"/>
  <c r="E5651" i="1"/>
  <c r="F5651" i="1"/>
  <c r="G5651" i="1"/>
  <c r="E5652" i="1"/>
  <c r="F5652" i="1"/>
  <c r="G5652" i="1"/>
  <c r="E5653" i="1"/>
  <c r="F5653" i="1"/>
  <c r="G5653" i="1"/>
  <c r="E5654" i="1"/>
  <c r="F5654" i="1"/>
  <c r="G5654" i="1"/>
  <c r="E5655" i="1"/>
  <c r="F5655" i="1"/>
  <c r="G5655" i="1"/>
  <c r="E5656" i="1"/>
  <c r="F5656" i="1"/>
  <c r="G5656" i="1"/>
  <c r="E5657" i="1"/>
  <c r="F5657" i="1"/>
  <c r="G5657" i="1"/>
  <c r="E5658" i="1"/>
  <c r="F5658" i="1"/>
  <c r="G5658" i="1"/>
  <c r="E5659" i="1"/>
  <c r="F5659" i="1"/>
  <c r="G5659" i="1"/>
  <c r="E5660" i="1"/>
  <c r="F5660" i="1"/>
  <c r="G5660" i="1"/>
  <c r="E5661" i="1"/>
  <c r="F5661" i="1"/>
  <c r="G5661" i="1"/>
  <c r="E5662" i="1"/>
  <c r="F5662" i="1"/>
  <c r="G5662" i="1"/>
  <c r="E5663" i="1"/>
  <c r="F5663" i="1"/>
  <c r="G5663" i="1"/>
  <c r="E5664" i="1"/>
  <c r="F5664" i="1"/>
  <c r="G5664" i="1"/>
  <c r="E5665" i="1"/>
  <c r="F5665" i="1"/>
  <c r="G5665" i="1"/>
  <c r="E5666" i="1"/>
  <c r="F5666" i="1"/>
  <c r="G5666" i="1"/>
  <c r="E5667" i="1"/>
  <c r="F5667" i="1"/>
  <c r="G5667" i="1"/>
  <c r="E5668" i="1"/>
  <c r="F5668" i="1"/>
  <c r="G5668" i="1"/>
  <c r="E5669" i="1"/>
  <c r="F5669" i="1"/>
  <c r="G5669" i="1"/>
  <c r="E5670" i="1"/>
  <c r="F5670" i="1"/>
  <c r="G5670" i="1"/>
  <c r="E5671" i="1"/>
  <c r="F5671" i="1"/>
  <c r="G5671" i="1"/>
  <c r="E5672" i="1"/>
  <c r="F5672" i="1"/>
  <c r="G5672" i="1"/>
  <c r="E5673" i="1"/>
  <c r="F5673" i="1"/>
  <c r="G5673" i="1"/>
  <c r="E5674" i="1"/>
  <c r="F5674" i="1"/>
  <c r="G5674" i="1"/>
  <c r="E5675" i="1"/>
  <c r="F5675" i="1"/>
  <c r="G5675" i="1"/>
  <c r="E5676" i="1"/>
  <c r="F5676" i="1"/>
  <c r="G5676" i="1"/>
  <c r="E5677" i="1"/>
  <c r="F5677" i="1"/>
  <c r="G5677" i="1"/>
  <c r="E5678" i="1"/>
  <c r="F5678" i="1"/>
  <c r="G5678" i="1"/>
  <c r="E5679" i="1"/>
  <c r="F5679" i="1"/>
  <c r="G5679" i="1"/>
  <c r="E5680" i="1"/>
  <c r="F5680" i="1"/>
  <c r="G5680" i="1"/>
  <c r="E5681" i="1"/>
  <c r="F5681" i="1"/>
  <c r="G5681" i="1"/>
  <c r="E5682" i="1"/>
  <c r="F5682" i="1"/>
  <c r="G5682" i="1"/>
  <c r="E5683" i="1"/>
  <c r="F5683" i="1"/>
  <c r="G5683" i="1"/>
  <c r="E5684" i="1"/>
  <c r="F5684" i="1"/>
  <c r="G5684" i="1"/>
  <c r="E5685" i="1"/>
  <c r="F5685" i="1"/>
  <c r="G5685" i="1"/>
  <c r="E5686" i="1"/>
  <c r="F5686" i="1"/>
  <c r="G5686" i="1"/>
  <c r="E5687" i="1"/>
  <c r="F5687" i="1"/>
  <c r="G5687" i="1"/>
  <c r="E5688" i="1"/>
  <c r="F5688" i="1"/>
  <c r="G5688" i="1"/>
  <c r="E5689" i="1"/>
  <c r="F5689" i="1"/>
  <c r="G5689" i="1"/>
  <c r="E5690" i="1"/>
  <c r="F5690" i="1"/>
  <c r="G5690" i="1"/>
  <c r="E5691" i="1"/>
  <c r="F5691" i="1"/>
  <c r="G5691" i="1"/>
  <c r="E5692" i="1"/>
  <c r="F5692" i="1"/>
  <c r="G5692" i="1"/>
  <c r="E5693" i="1"/>
  <c r="F5693" i="1"/>
  <c r="G5693" i="1"/>
  <c r="E5694" i="1"/>
  <c r="F5694" i="1"/>
  <c r="G5694" i="1"/>
  <c r="E5695" i="1"/>
  <c r="F5695" i="1"/>
  <c r="G5695" i="1"/>
  <c r="E5696" i="1"/>
  <c r="F5696" i="1"/>
  <c r="G5696" i="1"/>
  <c r="E5697" i="1"/>
  <c r="F5697" i="1"/>
  <c r="G5697" i="1"/>
  <c r="E5698" i="1"/>
  <c r="F5698" i="1"/>
  <c r="G5698" i="1"/>
  <c r="E5699" i="1"/>
  <c r="F5699" i="1"/>
  <c r="G5699" i="1"/>
  <c r="E5700" i="1"/>
  <c r="F5700" i="1"/>
  <c r="G5700" i="1"/>
  <c r="E5701" i="1"/>
  <c r="F5701" i="1"/>
  <c r="G5701" i="1"/>
  <c r="E5702" i="1"/>
  <c r="F5702" i="1"/>
  <c r="G5702" i="1"/>
  <c r="E5703" i="1"/>
  <c r="F5703" i="1"/>
  <c r="G5703" i="1"/>
  <c r="E5704" i="1"/>
  <c r="F5704" i="1"/>
  <c r="G5704" i="1"/>
  <c r="E5705" i="1"/>
  <c r="F5705" i="1"/>
  <c r="G5705" i="1"/>
  <c r="E5706" i="1"/>
  <c r="F5706" i="1"/>
  <c r="G5706" i="1"/>
  <c r="E5707" i="1"/>
  <c r="F5707" i="1"/>
  <c r="G5707" i="1"/>
  <c r="E5708" i="1"/>
  <c r="F5708" i="1"/>
  <c r="G5708" i="1"/>
  <c r="E5709" i="1"/>
  <c r="F5709" i="1"/>
  <c r="G5709" i="1"/>
  <c r="E5710" i="1"/>
  <c r="F5710" i="1"/>
  <c r="G5710" i="1"/>
  <c r="E5711" i="1"/>
  <c r="F5711" i="1"/>
  <c r="G5711" i="1"/>
  <c r="E5712" i="1"/>
  <c r="F5712" i="1"/>
  <c r="G5712" i="1"/>
  <c r="E5713" i="1"/>
  <c r="F5713" i="1"/>
  <c r="G5713" i="1"/>
  <c r="E5714" i="1"/>
  <c r="F5714" i="1"/>
  <c r="G5714" i="1"/>
  <c r="E5715" i="1"/>
  <c r="F5715" i="1"/>
  <c r="G5715" i="1"/>
  <c r="E5716" i="1"/>
  <c r="F5716" i="1"/>
  <c r="G5716" i="1"/>
  <c r="E5717" i="1"/>
  <c r="F5717" i="1"/>
  <c r="G5717" i="1"/>
  <c r="E5718" i="1"/>
  <c r="F5718" i="1"/>
  <c r="G5718" i="1"/>
  <c r="E5719" i="1"/>
  <c r="F5719" i="1"/>
  <c r="G5719" i="1"/>
  <c r="E5720" i="1"/>
  <c r="F5720" i="1"/>
  <c r="G5720" i="1"/>
  <c r="E5721" i="1"/>
  <c r="F5721" i="1"/>
  <c r="G5721" i="1"/>
  <c r="E5722" i="1"/>
  <c r="F5722" i="1"/>
  <c r="G5722" i="1"/>
  <c r="E5723" i="1"/>
  <c r="F5723" i="1"/>
  <c r="G5723" i="1"/>
  <c r="E5724" i="1"/>
  <c r="F5724" i="1"/>
  <c r="G5724" i="1"/>
  <c r="E5725" i="1"/>
  <c r="F5725" i="1"/>
  <c r="G5725" i="1"/>
  <c r="E5726" i="1"/>
  <c r="F5726" i="1"/>
  <c r="G5726" i="1"/>
  <c r="E5727" i="1"/>
  <c r="F5727" i="1"/>
  <c r="G5727" i="1"/>
  <c r="E5728" i="1"/>
  <c r="F5728" i="1"/>
  <c r="G5728" i="1"/>
  <c r="E5729" i="1"/>
  <c r="F5729" i="1"/>
  <c r="G5729" i="1"/>
  <c r="E5730" i="1"/>
  <c r="F5730" i="1"/>
  <c r="G5730" i="1"/>
  <c r="E5731" i="1"/>
  <c r="F5731" i="1"/>
  <c r="G5731" i="1"/>
  <c r="E5732" i="1"/>
  <c r="F5732" i="1"/>
  <c r="G5732" i="1"/>
  <c r="E5733" i="1"/>
  <c r="F5733" i="1"/>
  <c r="G5733" i="1"/>
  <c r="E5734" i="1"/>
  <c r="F5734" i="1"/>
  <c r="G5734" i="1"/>
  <c r="E5735" i="1"/>
  <c r="F5735" i="1"/>
  <c r="G5735" i="1"/>
  <c r="E5736" i="1"/>
  <c r="F5736" i="1"/>
  <c r="G5736" i="1"/>
  <c r="E5737" i="1"/>
  <c r="F5737" i="1"/>
  <c r="G5737" i="1"/>
  <c r="E5738" i="1"/>
  <c r="F5738" i="1"/>
  <c r="G5738" i="1"/>
  <c r="E5739" i="1"/>
  <c r="F5739" i="1"/>
  <c r="G5739" i="1"/>
  <c r="E5740" i="1"/>
  <c r="F5740" i="1"/>
  <c r="G5740" i="1"/>
  <c r="E5741" i="1"/>
  <c r="F5741" i="1"/>
  <c r="G5741" i="1"/>
  <c r="E5742" i="1"/>
  <c r="F5742" i="1"/>
  <c r="G5742" i="1"/>
  <c r="E5743" i="1"/>
  <c r="F5743" i="1"/>
  <c r="G5743" i="1"/>
  <c r="E5744" i="1"/>
  <c r="F5744" i="1"/>
  <c r="G5744" i="1"/>
  <c r="E5745" i="1"/>
  <c r="F5745" i="1"/>
  <c r="G5745" i="1"/>
  <c r="E5746" i="1"/>
  <c r="F5746" i="1"/>
  <c r="G5746" i="1"/>
  <c r="E5747" i="1"/>
  <c r="F5747" i="1"/>
  <c r="G5747" i="1"/>
  <c r="E5748" i="1"/>
  <c r="F5748" i="1"/>
  <c r="G5748" i="1"/>
  <c r="E5749" i="1"/>
  <c r="F5749" i="1"/>
  <c r="G5749" i="1"/>
  <c r="E5750" i="1"/>
  <c r="F5750" i="1"/>
  <c r="G5750" i="1"/>
  <c r="E5751" i="1"/>
  <c r="F5751" i="1"/>
  <c r="G5751" i="1"/>
  <c r="E5752" i="1"/>
  <c r="F5752" i="1"/>
  <c r="G5752" i="1"/>
  <c r="E5753" i="1"/>
  <c r="F5753" i="1"/>
  <c r="G5753" i="1"/>
  <c r="E5754" i="1"/>
  <c r="F5754" i="1"/>
  <c r="G5754" i="1"/>
  <c r="E5755" i="1"/>
  <c r="F5755" i="1"/>
  <c r="G5755" i="1"/>
  <c r="E5756" i="1"/>
  <c r="F5756" i="1"/>
  <c r="G5756" i="1"/>
  <c r="E5757" i="1"/>
  <c r="F5757" i="1"/>
  <c r="G5757" i="1"/>
  <c r="E5758" i="1"/>
  <c r="F5758" i="1"/>
  <c r="G5758" i="1"/>
  <c r="E5759" i="1"/>
  <c r="F5759" i="1"/>
  <c r="G5759" i="1"/>
  <c r="E5760" i="1"/>
  <c r="F5760" i="1"/>
  <c r="G5760" i="1"/>
  <c r="E5761" i="1"/>
  <c r="F5761" i="1"/>
  <c r="G5761" i="1"/>
  <c r="E5762" i="1"/>
  <c r="F5762" i="1"/>
  <c r="G5762" i="1"/>
  <c r="E5763" i="1"/>
  <c r="F5763" i="1"/>
  <c r="G5763" i="1"/>
  <c r="E5764" i="1"/>
  <c r="F5764" i="1"/>
  <c r="G5764" i="1"/>
  <c r="E5765" i="1"/>
  <c r="F5765" i="1"/>
  <c r="G5765" i="1"/>
  <c r="E5766" i="1"/>
  <c r="F5766" i="1"/>
  <c r="G5766" i="1"/>
  <c r="E5767" i="1"/>
  <c r="F5767" i="1"/>
  <c r="G5767" i="1"/>
  <c r="E5768" i="1"/>
  <c r="F5768" i="1"/>
  <c r="G5768" i="1"/>
  <c r="E5769" i="1"/>
  <c r="F5769" i="1"/>
  <c r="G5769" i="1"/>
  <c r="E5770" i="1"/>
  <c r="F5770" i="1"/>
  <c r="G5770" i="1"/>
  <c r="E5771" i="1"/>
  <c r="F5771" i="1"/>
  <c r="G5771" i="1"/>
  <c r="E5772" i="1"/>
  <c r="F5772" i="1"/>
  <c r="G5772" i="1"/>
  <c r="E5773" i="1"/>
  <c r="F5773" i="1"/>
  <c r="G5773" i="1"/>
  <c r="E5774" i="1"/>
  <c r="F5774" i="1"/>
  <c r="G5774" i="1"/>
  <c r="E5775" i="1"/>
  <c r="F5775" i="1"/>
  <c r="G5775" i="1"/>
  <c r="E5776" i="1"/>
  <c r="F5776" i="1"/>
  <c r="G5776" i="1"/>
  <c r="E5777" i="1"/>
  <c r="F5777" i="1"/>
  <c r="G5777" i="1"/>
  <c r="E5778" i="1"/>
  <c r="F5778" i="1"/>
  <c r="G5778" i="1"/>
  <c r="E5779" i="1"/>
  <c r="F5779" i="1"/>
  <c r="G5779" i="1"/>
  <c r="E5780" i="1"/>
  <c r="F5780" i="1"/>
  <c r="G5780" i="1"/>
  <c r="E5781" i="1"/>
  <c r="F5781" i="1"/>
  <c r="G5781" i="1"/>
  <c r="E5782" i="1"/>
  <c r="F5782" i="1"/>
  <c r="G5782" i="1"/>
  <c r="E5783" i="1"/>
  <c r="F5783" i="1"/>
  <c r="G5783" i="1"/>
  <c r="E5784" i="1"/>
  <c r="F5784" i="1"/>
  <c r="G5784" i="1"/>
  <c r="E5785" i="1"/>
  <c r="F5785" i="1"/>
  <c r="G5785" i="1"/>
  <c r="E5786" i="1"/>
  <c r="F5786" i="1"/>
  <c r="G5786" i="1"/>
  <c r="E5787" i="1"/>
  <c r="F5787" i="1"/>
  <c r="G5787" i="1"/>
  <c r="E5788" i="1"/>
  <c r="F5788" i="1"/>
  <c r="G5788" i="1"/>
  <c r="E5789" i="1"/>
  <c r="F5789" i="1"/>
  <c r="G5789" i="1"/>
  <c r="E5790" i="1"/>
  <c r="F5790" i="1"/>
  <c r="G5790" i="1"/>
  <c r="E5791" i="1"/>
  <c r="F5791" i="1"/>
  <c r="G5791" i="1"/>
  <c r="E5792" i="1"/>
  <c r="F5792" i="1"/>
  <c r="G5792" i="1"/>
  <c r="E5793" i="1"/>
  <c r="F5793" i="1"/>
  <c r="G5793" i="1"/>
  <c r="E5794" i="1"/>
  <c r="F5794" i="1"/>
  <c r="G5794" i="1"/>
  <c r="E5795" i="1"/>
  <c r="F5795" i="1"/>
  <c r="G5795" i="1"/>
  <c r="E5796" i="1"/>
  <c r="F5796" i="1"/>
  <c r="G5796" i="1"/>
  <c r="E5797" i="1"/>
  <c r="F5797" i="1"/>
  <c r="G5797" i="1"/>
  <c r="E5798" i="1"/>
  <c r="F5798" i="1"/>
  <c r="G5798" i="1"/>
  <c r="E5799" i="1"/>
  <c r="F5799" i="1"/>
  <c r="G5799" i="1"/>
  <c r="E5800" i="1"/>
  <c r="F5800" i="1"/>
  <c r="G5800" i="1"/>
  <c r="E5801" i="1"/>
  <c r="F5801" i="1"/>
  <c r="G5801" i="1"/>
  <c r="E5802" i="1"/>
  <c r="F5802" i="1"/>
  <c r="G5802" i="1"/>
  <c r="E5803" i="1"/>
  <c r="F5803" i="1"/>
  <c r="G5803" i="1"/>
  <c r="E5804" i="1"/>
  <c r="F5804" i="1"/>
  <c r="G5804" i="1"/>
  <c r="E5805" i="1"/>
  <c r="F5805" i="1"/>
  <c r="G5805" i="1"/>
  <c r="E5806" i="1"/>
  <c r="F5806" i="1"/>
  <c r="G5806" i="1"/>
  <c r="E5807" i="1"/>
  <c r="F5807" i="1"/>
  <c r="G5807" i="1"/>
  <c r="E5808" i="1"/>
  <c r="F5808" i="1"/>
  <c r="G5808" i="1"/>
  <c r="E5809" i="1"/>
  <c r="F5809" i="1"/>
  <c r="G5809" i="1"/>
  <c r="E5810" i="1"/>
  <c r="F5810" i="1"/>
  <c r="G5810" i="1"/>
  <c r="E5811" i="1"/>
  <c r="F5811" i="1"/>
  <c r="G5811" i="1"/>
  <c r="E5812" i="1"/>
  <c r="F5812" i="1"/>
  <c r="G5812" i="1"/>
  <c r="E5813" i="1"/>
  <c r="F5813" i="1"/>
  <c r="G5813" i="1"/>
  <c r="E5814" i="1"/>
  <c r="F5814" i="1"/>
  <c r="G5814" i="1"/>
  <c r="E5815" i="1"/>
  <c r="F5815" i="1"/>
  <c r="G5815" i="1"/>
  <c r="E5816" i="1"/>
  <c r="F5816" i="1"/>
  <c r="G5816" i="1"/>
  <c r="G2566" i="1"/>
  <c r="G2567" i="1"/>
  <c r="G2568" i="1"/>
  <c r="G2569" i="1"/>
  <c r="G2570" i="1"/>
  <c r="G2571" i="1"/>
  <c r="G2572" i="1"/>
  <c r="F2566" i="1"/>
  <c r="F2567" i="1"/>
  <c r="F2568" i="1"/>
  <c r="F2569" i="1"/>
  <c r="F2570" i="1"/>
  <c r="F2571" i="1"/>
  <c r="F2572" i="1"/>
  <c r="E2566" i="1"/>
  <c r="E2567" i="1"/>
  <c r="E2568" i="1"/>
  <c r="E2569" i="1"/>
  <c r="E2570" i="1"/>
  <c r="E2571" i="1"/>
  <c r="E2572" i="1"/>
  <c r="E2122" i="1"/>
  <c r="G2123" i="1"/>
  <c r="G2122" i="1"/>
  <c r="G439" i="1"/>
  <c r="G1992" i="1"/>
  <c r="G1993" i="1"/>
  <c r="G1994" i="1"/>
  <c r="G1995" i="1"/>
  <c r="G1996" i="1"/>
  <c r="G1997" i="1"/>
  <c r="G1998" i="1"/>
  <c r="G1999" i="1"/>
  <c r="G1950" i="1"/>
  <c r="G1951" i="1"/>
  <c r="G1952" i="1"/>
  <c r="G1953" i="1"/>
  <c r="G1954" i="1"/>
  <c r="G1955" i="1"/>
  <c r="G1956" i="1"/>
  <c r="G1957" i="1"/>
  <c r="F2122" i="1"/>
  <c r="F443" i="1"/>
  <c r="F439" i="1"/>
  <c r="F1992" i="1"/>
  <c r="F1993" i="1"/>
  <c r="F1994" i="1"/>
  <c r="F1995" i="1"/>
  <c r="F1996" i="1"/>
  <c r="F1997" i="1"/>
  <c r="F1998" i="1"/>
  <c r="F1999" i="1"/>
  <c r="F1950" i="1"/>
  <c r="F1951" i="1"/>
  <c r="F1952" i="1"/>
  <c r="F1953" i="1"/>
  <c r="F1954" i="1"/>
  <c r="F1955" i="1"/>
  <c r="F1956" i="1"/>
  <c r="F1957" i="1"/>
  <c r="E443" i="1"/>
  <c r="E439" i="1"/>
  <c r="E1993" i="1"/>
  <c r="E1994" i="1"/>
  <c r="E1995" i="1"/>
  <c r="E1996" i="1"/>
  <c r="E1997" i="1"/>
  <c r="E1998" i="1"/>
  <c r="E1999" i="1"/>
  <c r="E1950" i="1"/>
  <c r="E1951" i="1"/>
  <c r="E1952" i="1"/>
  <c r="E1953" i="1"/>
  <c r="E1954" i="1"/>
  <c r="E1955" i="1"/>
  <c r="E1956" i="1"/>
  <c r="E1957" i="1"/>
  <c r="F2123" i="1"/>
  <c r="E2123" i="1"/>
  <c r="G2897" i="1"/>
  <c r="F2897" i="1"/>
  <c r="E2897" i="1"/>
  <c r="G3852" i="1"/>
  <c r="F3852" i="1"/>
  <c r="E3852" i="1"/>
  <c r="G3854" i="1"/>
  <c r="F3854" i="1"/>
  <c r="E3854" i="1"/>
  <c r="G3851" i="1"/>
  <c r="F3851" i="1"/>
  <c r="E3851" i="1"/>
  <c r="G3855" i="1"/>
  <c r="F3855" i="1"/>
  <c r="E3855" i="1"/>
  <c r="G3853" i="1"/>
  <c r="F3853" i="1"/>
  <c r="E3853" i="1"/>
  <c r="G995" i="1" l="1"/>
  <c r="F995" i="1"/>
  <c r="E995" i="1"/>
  <c r="G1207" i="1"/>
  <c r="F1207" i="1"/>
  <c r="E1207" i="1"/>
  <c r="G632" i="1"/>
  <c r="F632" i="1"/>
  <c r="E632" i="1"/>
  <c r="G322" i="1"/>
  <c r="F322" i="1"/>
  <c r="E322" i="1"/>
  <c r="G742" i="1"/>
  <c r="F742" i="1"/>
  <c r="E742" i="1"/>
  <c r="G892" i="1"/>
  <c r="F892" i="1"/>
  <c r="E892" i="1"/>
  <c r="G3044" i="1"/>
  <c r="F3044" i="1"/>
  <c r="E3044" i="1"/>
  <c r="G1943" i="1"/>
  <c r="F1943" i="1"/>
  <c r="E1943" i="1"/>
  <c r="G1942" i="1"/>
  <c r="F1942" i="1"/>
  <c r="E1942" i="1"/>
  <c r="G1941" i="1"/>
  <c r="F1941" i="1"/>
  <c r="E1941" i="1"/>
  <c r="G2033" i="1"/>
  <c r="F2033" i="1"/>
  <c r="E2033" i="1"/>
  <c r="G2740" i="1"/>
  <c r="F2740" i="1"/>
  <c r="E2740" i="1"/>
  <c r="G2756" i="1"/>
  <c r="F2756" i="1"/>
  <c r="E2756" i="1"/>
  <c r="G2759" i="1"/>
  <c r="F2759" i="1"/>
  <c r="E2759" i="1"/>
  <c r="G701" i="1"/>
  <c r="F701" i="1"/>
  <c r="E701" i="1"/>
  <c r="G700" i="1"/>
  <c r="F700" i="1"/>
  <c r="E700" i="1"/>
  <c r="G1066" i="1"/>
  <c r="F1066" i="1"/>
  <c r="E1066" i="1"/>
  <c r="G1144" i="1"/>
  <c r="F1144" i="1"/>
  <c r="E1144" i="1"/>
  <c r="G1146" i="1"/>
  <c r="F1146" i="1"/>
  <c r="E1146" i="1"/>
  <c r="G949" i="1"/>
  <c r="F949" i="1"/>
  <c r="E949" i="1"/>
  <c r="G2061" i="1"/>
  <c r="F2061" i="1"/>
  <c r="E2061" i="1"/>
  <c r="G2020" i="1"/>
  <c r="F2020" i="1"/>
  <c r="E2020" i="1"/>
  <c r="G2005" i="1"/>
  <c r="F2005" i="1"/>
  <c r="E2005" i="1"/>
  <c r="G2025" i="1"/>
  <c r="F2025" i="1"/>
  <c r="E2025" i="1"/>
  <c r="G2000" i="1"/>
  <c r="F2000" i="1"/>
  <c r="E2000" i="1"/>
  <c r="G2054" i="1"/>
  <c r="F2054" i="1"/>
  <c r="E2054" i="1"/>
  <c r="G2053" i="1"/>
  <c r="F2053" i="1"/>
  <c r="E2053" i="1"/>
  <c r="G2016" i="1"/>
  <c r="F2016" i="1"/>
  <c r="E2016" i="1"/>
  <c r="G2003" i="1"/>
  <c r="F2003" i="1"/>
  <c r="E2003" i="1"/>
  <c r="G2136" i="1"/>
  <c r="F2136" i="1"/>
  <c r="E2136" i="1"/>
  <c r="G2124" i="1"/>
  <c r="F2124" i="1"/>
  <c r="E2124" i="1"/>
  <c r="G2066" i="1"/>
  <c r="F2066" i="1"/>
  <c r="E2066" i="1"/>
  <c r="G5338" i="1"/>
  <c r="F5338" i="1"/>
  <c r="E5338" i="1"/>
  <c r="G1322" i="1"/>
  <c r="F1322" i="1"/>
  <c r="E1322" i="1"/>
  <c r="G3774" i="1"/>
  <c r="F3774" i="1"/>
  <c r="E3774" i="1"/>
  <c r="G1367" i="1"/>
  <c r="F1367" i="1"/>
  <c r="E1367" i="1"/>
  <c r="G3761" i="1"/>
  <c r="F3761" i="1"/>
  <c r="E3761" i="1"/>
  <c r="G3760" i="1"/>
  <c r="F3760" i="1"/>
  <c r="E3760" i="1"/>
  <c r="G3759" i="1"/>
  <c r="F3759" i="1"/>
  <c r="E3759" i="1"/>
  <c r="G3758" i="1"/>
  <c r="F3758" i="1"/>
  <c r="E3758" i="1"/>
  <c r="G3757" i="1"/>
  <c r="F3757" i="1"/>
  <c r="E3757" i="1"/>
  <c r="G3767" i="1"/>
  <c r="F3767" i="1"/>
  <c r="E3767" i="1"/>
  <c r="G3766" i="1"/>
  <c r="F3766" i="1"/>
  <c r="E3766" i="1"/>
  <c r="G3765" i="1"/>
  <c r="F3765" i="1"/>
  <c r="E3765" i="1"/>
  <c r="G3764" i="1"/>
  <c r="F3764" i="1"/>
  <c r="E3764" i="1"/>
  <c r="G3763" i="1"/>
  <c r="F3763" i="1"/>
  <c r="E3763" i="1"/>
  <c r="G3762" i="1"/>
  <c r="F3762" i="1"/>
  <c r="E3762" i="1"/>
  <c r="G3745" i="1"/>
  <c r="F3745" i="1"/>
  <c r="E3745" i="1"/>
  <c r="G872" i="1"/>
  <c r="F872" i="1"/>
  <c r="E872" i="1"/>
  <c r="G3525" i="1"/>
  <c r="F3525" i="1"/>
  <c r="E3525" i="1"/>
  <c r="G3524" i="1"/>
  <c r="F3524" i="1"/>
  <c r="E3524" i="1"/>
  <c r="G3523" i="1"/>
  <c r="F3523" i="1"/>
  <c r="E3523" i="1"/>
  <c r="G4257" i="1"/>
  <c r="F4257" i="1"/>
  <c r="G2466" i="1"/>
  <c r="F2466" i="1"/>
  <c r="E2466" i="1"/>
  <c r="G2595" i="1"/>
  <c r="F2595" i="1"/>
  <c r="E2595" i="1"/>
  <c r="G4247" i="1"/>
  <c r="F4247" i="1"/>
  <c r="E4247" i="1"/>
  <c r="G2596" i="1"/>
  <c r="F2596" i="1"/>
  <c r="E2596" i="1"/>
  <c r="G2502" i="1"/>
  <c r="F2502" i="1"/>
  <c r="E2502" i="1"/>
  <c r="F519" i="1"/>
  <c r="G1153" i="1"/>
  <c r="F1153" i="1"/>
  <c r="E1153" i="1"/>
  <c r="G1261" i="1"/>
  <c r="F1261" i="1"/>
  <c r="E1261" i="1"/>
  <c r="G479" i="1"/>
  <c r="F479" i="1"/>
  <c r="E479" i="1"/>
  <c r="G1228" i="1"/>
  <c r="F1228" i="1"/>
  <c r="E1228" i="1"/>
  <c r="G488" i="1"/>
  <c r="F488" i="1"/>
  <c r="E488" i="1"/>
  <c r="G1205" i="1"/>
  <c r="F1205" i="1"/>
  <c r="E1205" i="1"/>
  <c r="G948" i="1"/>
  <c r="F948" i="1"/>
  <c r="E948" i="1"/>
  <c r="G2488" i="1"/>
  <c r="F2488" i="1"/>
  <c r="E2488" i="1"/>
  <c r="G2489" i="1"/>
  <c r="F2489" i="1"/>
  <c r="E2489" i="1"/>
  <c r="G2487" i="1"/>
  <c r="F2487" i="1"/>
  <c r="E2487" i="1"/>
  <c r="G2486" i="1"/>
  <c r="F2486" i="1"/>
  <c r="E2486" i="1"/>
  <c r="G2485" i="1"/>
  <c r="F2485" i="1"/>
  <c r="E2485" i="1"/>
  <c r="G2484" i="1"/>
  <c r="F2484" i="1"/>
  <c r="E2484" i="1"/>
  <c r="G2483" i="1"/>
  <c r="F2483" i="1"/>
  <c r="E2483" i="1"/>
  <c r="G2429" i="1"/>
  <c r="F2429" i="1"/>
  <c r="E2429" i="1"/>
  <c r="G2428" i="1"/>
  <c r="F2428" i="1"/>
  <c r="E2428" i="1"/>
  <c r="G2427" i="1"/>
  <c r="F2427" i="1"/>
  <c r="E2427" i="1"/>
  <c r="G2426" i="1"/>
  <c r="F2426" i="1"/>
  <c r="E2426" i="1"/>
  <c r="G2425" i="1"/>
  <c r="F2425" i="1"/>
  <c r="E2425" i="1"/>
  <c r="G2424" i="1"/>
  <c r="F2424" i="1"/>
  <c r="E2424" i="1"/>
  <c r="G2423" i="1"/>
  <c r="F2423" i="1"/>
  <c r="E2423" i="1"/>
  <c r="G2430" i="1"/>
  <c r="F2430" i="1"/>
  <c r="E2430" i="1"/>
  <c r="G2493" i="1"/>
  <c r="F2493" i="1"/>
  <c r="E2493" i="1"/>
  <c r="G2492" i="1"/>
  <c r="F2492" i="1"/>
  <c r="E2492" i="1"/>
  <c r="G2491" i="1"/>
  <c r="F2491" i="1"/>
  <c r="E2491" i="1"/>
  <c r="G2998" i="1"/>
  <c r="F2998" i="1"/>
  <c r="E2998" i="1"/>
  <c r="G2997" i="1"/>
  <c r="F2997" i="1"/>
  <c r="E2997" i="1"/>
  <c r="G2996" i="1"/>
  <c r="F2996" i="1"/>
  <c r="E2996" i="1"/>
  <c r="G2995" i="1"/>
  <c r="F2995" i="1"/>
  <c r="E2995" i="1"/>
  <c r="G2994" i="1"/>
  <c r="F2994" i="1"/>
  <c r="E2994" i="1"/>
  <c r="G2993" i="1"/>
  <c r="F2993" i="1"/>
  <c r="E2993" i="1"/>
  <c r="G2992" i="1"/>
  <c r="F2992" i="1"/>
  <c r="E2992" i="1"/>
  <c r="G2991" i="1"/>
  <c r="F2991" i="1"/>
  <c r="E2991" i="1"/>
  <c r="G2990" i="1"/>
  <c r="F2990" i="1"/>
  <c r="E2990" i="1"/>
  <c r="G2989" i="1"/>
  <c r="F2989" i="1"/>
  <c r="E2989" i="1"/>
  <c r="G2988" i="1"/>
  <c r="F2988" i="1"/>
  <c r="E2988" i="1"/>
  <c r="G2987" i="1"/>
  <c r="F2987" i="1"/>
  <c r="E2987" i="1"/>
  <c r="G2986" i="1"/>
  <c r="F2986" i="1"/>
  <c r="E2986" i="1"/>
  <c r="G2985" i="1"/>
  <c r="F2985" i="1"/>
  <c r="E2985" i="1"/>
  <c r="G2984" i="1"/>
  <c r="F2984" i="1"/>
  <c r="E2984" i="1"/>
  <c r="G2983" i="1"/>
  <c r="F2983" i="1"/>
  <c r="E2983" i="1"/>
  <c r="G3011" i="1"/>
  <c r="F3011" i="1"/>
  <c r="E3011" i="1"/>
  <c r="G3010" i="1"/>
  <c r="F3010" i="1"/>
  <c r="E3010" i="1"/>
  <c r="G3009" i="1"/>
  <c r="F3009" i="1"/>
  <c r="E3009" i="1"/>
  <c r="G3008" i="1"/>
  <c r="F3008" i="1"/>
  <c r="E3008" i="1"/>
  <c r="G3007" i="1"/>
  <c r="F3007" i="1"/>
  <c r="E3007" i="1"/>
  <c r="G3006" i="1"/>
  <c r="F3006" i="1"/>
  <c r="E3006" i="1"/>
  <c r="G3005" i="1"/>
  <c r="F3005" i="1"/>
  <c r="E3005" i="1"/>
  <c r="G3004" i="1"/>
  <c r="F3004" i="1"/>
  <c r="E3004" i="1"/>
  <c r="G3003" i="1"/>
  <c r="F3003" i="1"/>
  <c r="E3003" i="1"/>
  <c r="G3002" i="1"/>
  <c r="F3002" i="1"/>
  <c r="E3002" i="1"/>
  <c r="G3001" i="1"/>
  <c r="F3001" i="1"/>
  <c r="E3001" i="1"/>
  <c r="G3000" i="1"/>
  <c r="F3000" i="1"/>
  <c r="E3000" i="1"/>
  <c r="G2999" i="1"/>
  <c r="F2999" i="1"/>
  <c r="E2999" i="1"/>
  <c r="G3025" i="1"/>
  <c r="F3025" i="1"/>
  <c r="E3025" i="1"/>
  <c r="G3024" i="1"/>
  <c r="F3024" i="1"/>
  <c r="E3024" i="1"/>
  <c r="G3023" i="1"/>
  <c r="F3023" i="1"/>
  <c r="E3023" i="1"/>
  <c r="G3022" i="1"/>
  <c r="F3022" i="1"/>
  <c r="E3022" i="1"/>
  <c r="G3021" i="1"/>
  <c r="F3021" i="1"/>
  <c r="E3021" i="1"/>
  <c r="G3020" i="1"/>
  <c r="F3020" i="1"/>
  <c r="E3020" i="1"/>
  <c r="G3019" i="1"/>
  <c r="F3019" i="1"/>
  <c r="E3019" i="1"/>
  <c r="G3018" i="1"/>
  <c r="F3018" i="1"/>
  <c r="E3018" i="1"/>
  <c r="G3017" i="1"/>
  <c r="F3017" i="1"/>
  <c r="E3017" i="1"/>
  <c r="G3016" i="1"/>
  <c r="F3016" i="1"/>
  <c r="E3016" i="1"/>
  <c r="G3015" i="1"/>
  <c r="F3015" i="1"/>
  <c r="E3015" i="1"/>
  <c r="G3014" i="1"/>
  <c r="F3014" i="1"/>
  <c r="E3014" i="1"/>
  <c r="G2982" i="1"/>
  <c r="F2982" i="1"/>
  <c r="E2982" i="1"/>
  <c r="G3013" i="1"/>
  <c r="F3013" i="1"/>
  <c r="E3013" i="1"/>
  <c r="G797" i="1"/>
  <c r="F797" i="1"/>
  <c r="E797" i="1"/>
  <c r="G1160" i="1"/>
  <c r="F1160" i="1"/>
  <c r="E1160" i="1"/>
  <c r="G1085" i="1"/>
  <c r="F1085" i="1"/>
  <c r="E1085" i="1"/>
  <c r="G959" i="1"/>
  <c r="F959" i="1"/>
  <c r="E959" i="1"/>
  <c r="G3043" i="1"/>
  <c r="F3043" i="1"/>
  <c r="E3043" i="1"/>
  <c r="G3042" i="1"/>
  <c r="F3042" i="1"/>
  <c r="E3042" i="1"/>
  <c r="G3041" i="1"/>
  <c r="F3041" i="1"/>
  <c r="E3041" i="1"/>
  <c r="G3040" i="1"/>
  <c r="F3040" i="1"/>
  <c r="E3040" i="1"/>
  <c r="G3039" i="1"/>
  <c r="F3039" i="1"/>
  <c r="E3039" i="1"/>
  <c r="G3038" i="1"/>
  <c r="F3038" i="1"/>
  <c r="E3038" i="1"/>
  <c r="G3037" i="1"/>
  <c r="F3037" i="1"/>
  <c r="E3037" i="1"/>
  <c r="G3036" i="1"/>
  <c r="F3036" i="1"/>
  <c r="E3036" i="1"/>
  <c r="G3035" i="1"/>
  <c r="F3035" i="1"/>
  <c r="E3035" i="1"/>
  <c r="G3032" i="1"/>
  <c r="F3032" i="1"/>
  <c r="E3032" i="1"/>
  <c r="G3031" i="1"/>
  <c r="F3031" i="1"/>
  <c r="E3031" i="1"/>
  <c r="G3033" i="1"/>
  <c r="F3033" i="1"/>
  <c r="E3033" i="1"/>
  <c r="G974" i="1"/>
  <c r="F974" i="1"/>
  <c r="E974" i="1"/>
  <c r="G3422" i="1"/>
  <c r="F3422" i="1"/>
  <c r="E3422" i="1"/>
  <c r="G3423" i="1"/>
  <c r="F3423" i="1"/>
  <c r="E3423" i="1"/>
  <c r="G2406" i="1"/>
  <c r="F2406" i="1"/>
  <c r="E2406" i="1"/>
  <c r="G2403" i="1"/>
  <c r="F2403" i="1"/>
  <c r="E2403" i="1"/>
  <c r="G2465" i="1"/>
  <c r="F2465" i="1"/>
  <c r="E2465" i="1"/>
  <c r="G2501" i="1"/>
  <c r="F2501" i="1"/>
  <c r="E2501" i="1"/>
  <c r="G2503" i="1"/>
  <c r="F2503" i="1"/>
  <c r="E2503" i="1"/>
  <c r="G2505" i="1"/>
  <c r="F2505" i="1"/>
  <c r="E2505" i="1"/>
  <c r="G2399" i="1"/>
  <c r="F2399" i="1"/>
  <c r="E2399" i="1"/>
  <c r="G2469" i="1"/>
  <c r="F2469" i="1"/>
  <c r="E2469" i="1"/>
  <c r="G2410" i="1"/>
  <c r="F2410" i="1"/>
  <c r="E2410" i="1"/>
  <c r="G2411" i="1"/>
  <c r="F2411" i="1"/>
  <c r="E2411" i="1"/>
  <c r="G2402" i="1"/>
  <c r="F2402" i="1"/>
  <c r="E2402" i="1"/>
  <c r="G2496" i="1"/>
  <c r="F2496" i="1"/>
  <c r="E2496" i="1"/>
  <c r="G2468" i="1"/>
  <c r="F2468" i="1"/>
  <c r="E2468" i="1"/>
  <c r="G2404" i="1"/>
  <c r="F2404" i="1"/>
  <c r="E2404" i="1"/>
  <c r="G2649" i="1"/>
  <c r="F2649" i="1"/>
  <c r="E2649" i="1"/>
  <c r="G2500" i="1"/>
  <c r="F2500" i="1"/>
  <c r="E2500" i="1"/>
  <c r="E2357" i="1"/>
  <c r="F2357" i="1"/>
  <c r="G2357" i="1"/>
  <c r="G2631" i="1"/>
  <c r="F2631" i="1"/>
  <c r="E2631" i="1"/>
  <c r="G1826" i="1"/>
  <c r="F1826" i="1"/>
  <c r="E1826" i="1"/>
  <c r="G1800" i="1"/>
  <c r="F1800" i="1"/>
  <c r="E1800" i="1"/>
  <c r="G3772" i="1"/>
  <c r="F3772" i="1"/>
  <c r="E3772" i="1"/>
  <c r="G3771" i="1"/>
  <c r="F3771" i="1"/>
  <c r="E3771" i="1"/>
  <c r="G3770" i="1"/>
  <c r="F3770" i="1"/>
  <c r="E3770" i="1"/>
  <c r="G3769" i="1"/>
  <c r="F3769" i="1"/>
  <c r="E3769" i="1"/>
  <c r="G3768" i="1"/>
  <c r="F3768" i="1"/>
  <c r="E3768" i="1"/>
  <c r="G3837" i="1"/>
  <c r="F3837" i="1"/>
  <c r="E3837" i="1"/>
  <c r="G3778" i="1"/>
  <c r="F3778" i="1"/>
  <c r="E3778" i="1"/>
  <c r="G3777" i="1"/>
  <c r="F3777" i="1"/>
  <c r="E3777" i="1"/>
  <c r="G3775" i="1"/>
  <c r="F3775" i="1"/>
  <c r="E3775" i="1"/>
  <c r="G3776" i="1"/>
  <c r="F3776" i="1"/>
  <c r="E3776" i="1"/>
  <c r="G1722" i="1"/>
  <c r="F1722" i="1"/>
  <c r="E1722" i="1"/>
  <c r="G1099" i="1"/>
  <c r="F1099" i="1"/>
  <c r="E1099" i="1"/>
  <c r="G3362" i="1"/>
  <c r="F3362" i="1"/>
  <c r="E3362" i="1"/>
  <c r="G3654" i="1"/>
  <c r="F3654" i="1"/>
  <c r="E3654" i="1"/>
  <c r="G3269" i="1"/>
  <c r="F3269" i="1"/>
  <c r="E3269" i="1"/>
  <c r="G3271" i="1"/>
  <c r="F3271" i="1"/>
  <c r="E3271" i="1"/>
  <c r="G1919" i="1"/>
  <c r="F1919" i="1"/>
  <c r="E1919" i="1"/>
  <c r="G936" i="1"/>
  <c r="F936" i="1"/>
  <c r="E936" i="1"/>
  <c r="G867" i="1"/>
  <c r="F867" i="1"/>
  <c r="E867" i="1"/>
  <c r="G4034" i="1"/>
  <c r="F4034" i="1"/>
  <c r="E4034" i="1"/>
  <c r="G4344" i="1"/>
  <c r="F4344" i="1"/>
  <c r="E4344" i="1"/>
  <c r="G4343" i="1"/>
  <c r="F4343" i="1"/>
  <c r="E4343" i="1"/>
  <c r="G4342" i="1"/>
  <c r="F4342" i="1"/>
  <c r="E4342" i="1"/>
  <c r="G4341" i="1"/>
  <c r="F4341" i="1"/>
  <c r="E4341" i="1"/>
  <c r="G4340" i="1"/>
  <c r="F4340" i="1"/>
  <c r="E4340" i="1"/>
  <c r="G4339" i="1"/>
  <c r="F4339" i="1"/>
  <c r="E4339" i="1"/>
  <c r="G2398" i="1"/>
  <c r="F2398" i="1"/>
  <c r="E2398" i="1"/>
  <c r="G2471" i="1"/>
  <c r="F2471" i="1"/>
  <c r="E2471" i="1"/>
  <c r="G2509" i="1"/>
  <c r="F2509" i="1"/>
  <c r="E2509" i="1"/>
  <c r="G2510" i="1"/>
  <c r="F2510" i="1"/>
  <c r="E2510" i="1"/>
  <c r="G2470" i="1"/>
  <c r="F2470" i="1"/>
  <c r="E2470" i="1"/>
  <c r="G1409" i="1"/>
  <c r="F1409" i="1"/>
  <c r="E1409" i="1"/>
  <c r="G1408" i="1"/>
  <c r="F1408" i="1"/>
  <c r="E1408" i="1"/>
  <c r="G1479" i="1"/>
  <c r="F1479" i="1"/>
  <c r="E1479" i="1"/>
  <c r="G1464" i="1"/>
  <c r="F1464" i="1"/>
  <c r="E1464" i="1"/>
  <c r="G1463" i="1"/>
  <c r="F1463" i="1"/>
  <c r="E1463" i="1"/>
  <c r="G1462" i="1"/>
  <c r="F1462" i="1"/>
  <c r="E1462" i="1"/>
  <c r="G1461" i="1"/>
  <c r="F1461" i="1"/>
  <c r="E1461" i="1"/>
  <c r="G1460" i="1"/>
  <c r="F1460" i="1"/>
  <c r="E1460" i="1"/>
  <c r="G1459" i="1"/>
  <c r="F1459" i="1"/>
  <c r="E1459" i="1"/>
  <c r="G1458" i="1"/>
  <c r="F1458" i="1"/>
  <c r="E1458" i="1"/>
  <c r="G1457" i="1"/>
  <c r="F1457" i="1"/>
  <c r="E1457" i="1"/>
  <c r="G1456" i="1"/>
  <c r="F1456" i="1"/>
  <c r="E1456" i="1"/>
  <c r="G1455" i="1"/>
  <c r="F1455" i="1"/>
  <c r="E1455" i="1"/>
  <c r="G1454" i="1"/>
  <c r="F1454" i="1"/>
  <c r="E1454" i="1"/>
  <c r="G1453" i="1"/>
  <c r="F1453" i="1"/>
  <c r="E1453" i="1"/>
  <c r="G1452" i="1"/>
  <c r="F1452" i="1"/>
  <c r="E1452" i="1"/>
  <c r="G1451" i="1"/>
  <c r="F1451" i="1"/>
  <c r="E1451" i="1"/>
  <c r="G1450" i="1"/>
  <c r="F1450" i="1"/>
  <c r="E1450" i="1"/>
  <c r="G1449" i="1"/>
  <c r="F1449" i="1"/>
  <c r="E1449" i="1"/>
  <c r="G1448" i="1"/>
  <c r="F1448" i="1"/>
  <c r="E1448" i="1"/>
  <c r="G1447" i="1"/>
  <c r="F1447" i="1"/>
  <c r="E1447" i="1"/>
  <c r="G1446" i="1"/>
  <c r="F1446" i="1"/>
  <c r="E1446" i="1"/>
  <c r="G1445" i="1"/>
  <c r="F1445" i="1"/>
  <c r="E1445" i="1"/>
  <c r="G1444" i="1"/>
  <c r="F1444" i="1"/>
  <c r="E1444" i="1"/>
  <c r="G1443" i="1"/>
  <c r="F1443" i="1"/>
  <c r="E1443" i="1"/>
  <c r="G1442" i="1"/>
  <c r="F1442" i="1"/>
  <c r="E1442" i="1"/>
  <c r="G1441" i="1"/>
  <c r="F1441" i="1"/>
  <c r="E1441" i="1"/>
  <c r="G1440" i="1"/>
  <c r="F1440" i="1"/>
  <c r="E1440" i="1"/>
  <c r="G1439" i="1"/>
  <c r="F1439" i="1"/>
  <c r="E1439" i="1"/>
  <c r="G1438" i="1"/>
  <c r="F1438" i="1"/>
  <c r="E1438" i="1"/>
  <c r="G1437" i="1"/>
  <c r="F1437" i="1"/>
  <c r="E1437" i="1"/>
  <c r="G1436" i="1"/>
  <c r="F1436" i="1"/>
  <c r="E1436" i="1"/>
  <c r="G1435" i="1"/>
  <c r="F1435" i="1"/>
  <c r="E1435" i="1"/>
  <c r="G1434" i="1"/>
  <c r="F1434" i="1"/>
  <c r="E1434" i="1"/>
  <c r="G1433" i="1"/>
  <c r="F1433" i="1"/>
  <c r="E1433" i="1"/>
  <c r="G1432" i="1"/>
  <c r="F1432" i="1"/>
  <c r="E1432" i="1"/>
  <c r="G1431" i="1"/>
  <c r="F1431" i="1"/>
  <c r="E1431" i="1"/>
  <c r="G1430" i="1"/>
  <c r="F1430" i="1"/>
  <c r="E1430" i="1"/>
  <c r="G1429" i="1"/>
  <c r="F1429" i="1"/>
  <c r="E1429" i="1"/>
  <c r="G1428" i="1"/>
  <c r="F1428" i="1"/>
  <c r="E1428" i="1"/>
  <c r="G1427" i="1"/>
  <c r="F1427" i="1"/>
  <c r="E1427" i="1"/>
  <c r="G1426" i="1"/>
  <c r="F1426" i="1"/>
  <c r="E1426" i="1"/>
  <c r="G1425" i="1"/>
  <c r="F1425" i="1"/>
  <c r="E1425" i="1"/>
  <c r="G1424" i="1"/>
  <c r="F1424" i="1"/>
  <c r="E1424" i="1"/>
  <c r="G1423" i="1"/>
  <c r="F1423" i="1"/>
  <c r="E1423" i="1"/>
  <c r="G1422" i="1"/>
  <c r="F1422" i="1"/>
  <c r="E1422" i="1"/>
  <c r="G1421" i="1"/>
  <c r="F1421" i="1"/>
  <c r="E1421" i="1"/>
  <c r="G1420" i="1"/>
  <c r="F1420" i="1"/>
  <c r="E1420" i="1"/>
  <c r="G1419" i="1"/>
  <c r="F1419" i="1"/>
  <c r="E1419" i="1"/>
  <c r="G1418" i="1"/>
  <c r="F1418" i="1"/>
  <c r="E1418" i="1"/>
  <c r="G1417" i="1"/>
  <c r="F1417" i="1"/>
  <c r="E1417" i="1"/>
  <c r="G1416" i="1"/>
  <c r="F1416" i="1"/>
  <c r="E1416" i="1"/>
  <c r="G1415" i="1"/>
  <c r="F1415" i="1"/>
  <c r="E1415" i="1"/>
  <c r="G1414" i="1"/>
  <c r="F1414" i="1"/>
  <c r="E1414" i="1"/>
  <c r="G1413" i="1"/>
  <c r="F1413" i="1"/>
  <c r="E1413" i="1"/>
  <c r="G1412" i="1"/>
  <c r="F1412" i="1"/>
  <c r="E1412" i="1"/>
  <c r="G1411" i="1"/>
  <c r="F1411" i="1"/>
  <c r="E1411" i="1"/>
  <c r="G1410" i="1"/>
  <c r="F1410" i="1"/>
  <c r="E1410" i="1"/>
  <c r="G1471" i="1"/>
  <c r="F1471" i="1"/>
  <c r="E1471" i="1"/>
  <c r="G1470" i="1"/>
  <c r="F1470" i="1"/>
  <c r="E1470" i="1"/>
  <c r="G1469" i="1"/>
  <c r="F1469" i="1"/>
  <c r="E1469" i="1"/>
  <c r="G1468" i="1"/>
  <c r="F1468" i="1"/>
  <c r="E1468" i="1"/>
  <c r="G1467" i="1"/>
  <c r="F1467" i="1"/>
  <c r="E1467" i="1"/>
  <c r="G1466" i="1"/>
  <c r="F1466" i="1"/>
  <c r="E1466" i="1"/>
  <c r="G1465" i="1"/>
  <c r="F1465" i="1"/>
  <c r="E1465" i="1"/>
  <c r="G1478" i="1"/>
  <c r="F1478" i="1"/>
  <c r="E1478" i="1"/>
  <c r="G1475" i="1"/>
  <c r="F1475" i="1"/>
  <c r="E1475" i="1"/>
  <c r="G1474" i="1"/>
  <c r="F1474" i="1"/>
  <c r="E1474" i="1"/>
  <c r="G1477" i="1"/>
  <c r="F1477" i="1"/>
  <c r="E1477" i="1"/>
  <c r="G1476" i="1"/>
  <c r="F1476" i="1"/>
  <c r="E1476" i="1"/>
  <c r="G1473" i="1"/>
  <c r="F1473" i="1"/>
  <c r="E1473" i="1"/>
  <c r="G2604" i="1"/>
  <c r="F2604" i="1"/>
  <c r="E2604" i="1"/>
  <c r="G1680" i="1"/>
  <c r="F1680" i="1"/>
  <c r="E1680" i="1"/>
  <c r="G4118" i="1"/>
  <c r="F4118" i="1"/>
  <c r="E4118" i="1"/>
  <c r="G1938" i="1"/>
  <c r="F1938" i="1"/>
  <c r="E1938" i="1"/>
  <c r="G5632" i="1"/>
  <c r="F5632" i="1"/>
  <c r="E5632" i="1"/>
  <c r="G5620" i="1"/>
  <c r="F5620" i="1"/>
  <c r="E5620" i="1"/>
  <c r="G5619" i="1"/>
  <c r="F5619" i="1"/>
  <c r="E5619" i="1"/>
  <c r="G5618" i="1"/>
  <c r="F5618" i="1"/>
  <c r="E5618" i="1"/>
  <c r="G5617" i="1"/>
  <c r="F5617" i="1"/>
  <c r="E5617" i="1"/>
  <c r="G5615" i="1"/>
  <c r="F5615" i="1"/>
  <c r="E5615" i="1"/>
  <c r="G5631" i="1"/>
  <c r="F5631" i="1"/>
  <c r="E5631" i="1"/>
  <c r="G5630" i="1"/>
  <c r="F5630" i="1"/>
  <c r="E5630" i="1"/>
  <c r="G5629" i="1"/>
  <c r="F5629" i="1"/>
  <c r="E5629" i="1"/>
  <c r="G5628" i="1"/>
  <c r="F5628" i="1"/>
  <c r="E5628" i="1"/>
  <c r="G5627" i="1"/>
  <c r="F5627" i="1"/>
  <c r="E5627" i="1"/>
  <c r="G5626" i="1"/>
  <c r="F5626" i="1"/>
  <c r="E5626" i="1"/>
  <c r="G5625" i="1"/>
  <c r="F5625" i="1"/>
  <c r="E5625" i="1"/>
  <c r="G5624" i="1"/>
  <c r="F5624" i="1"/>
  <c r="E5624" i="1"/>
  <c r="G5623" i="1"/>
  <c r="F5623" i="1"/>
  <c r="E5623" i="1"/>
  <c r="G5622" i="1"/>
  <c r="F5622" i="1"/>
  <c r="E5622" i="1"/>
  <c r="G5621" i="1"/>
  <c r="F5621" i="1"/>
  <c r="E5621" i="1"/>
  <c r="G413" i="1"/>
  <c r="F413" i="1"/>
  <c r="E413" i="1"/>
  <c r="G412" i="1"/>
  <c r="F412" i="1"/>
  <c r="E412" i="1"/>
  <c r="G3425" i="1"/>
  <c r="F3425" i="1"/>
  <c r="E3425" i="1"/>
  <c r="G5634" i="1"/>
  <c r="F5634" i="1"/>
  <c r="E5634" i="1"/>
  <c r="G5616" i="1"/>
  <c r="F5616" i="1"/>
  <c r="E5616" i="1"/>
  <c r="E3950" i="1"/>
  <c r="F3950" i="1"/>
  <c r="G3950" i="1"/>
  <c r="E3953" i="1"/>
  <c r="F3953" i="1"/>
  <c r="G3953" i="1"/>
  <c r="E3951" i="1"/>
  <c r="F3951" i="1"/>
  <c r="G3951" i="1"/>
  <c r="E3952" i="1"/>
  <c r="F3952" i="1"/>
  <c r="G3952" i="1"/>
  <c r="E3954" i="1"/>
  <c r="F3954" i="1"/>
  <c r="G3954" i="1"/>
  <c r="E3957" i="1"/>
  <c r="F3957" i="1"/>
  <c r="G3957" i="1"/>
  <c r="G3949" i="1"/>
  <c r="F3949" i="1"/>
  <c r="E3949" i="1"/>
  <c r="G3948" i="1"/>
  <c r="F3948" i="1"/>
  <c r="E3948" i="1"/>
  <c r="G1375" i="1"/>
  <c r="F1375" i="1"/>
  <c r="E1375" i="1"/>
  <c r="G1377" i="1"/>
  <c r="F1377" i="1"/>
  <c r="E1377" i="1"/>
  <c r="G1378" i="1"/>
  <c r="F1378" i="1"/>
  <c r="E1378" i="1"/>
  <c r="G2629" i="1"/>
  <c r="F2629" i="1"/>
  <c r="E2629" i="1"/>
  <c r="G2626" i="1"/>
  <c r="F2626" i="1"/>
  <c r="E2626" i="1"/>
  <c r="G2512" i="1"/>
  <c r="F2512" i="1"/>
  <c r="E2512" i="1"/>
  <c r="E4" i="4"/>
  <c r="D4" i="4"/>
  <c r="C4" i="4"/>
  <c r="E3" i="4"/>
  <c r="D3" i="4"/>
  <c r="C3" i="4"/>
  <c r="E2" i="4"/>
  <c r="D2" i="4"/>
  <c r="C2" i="4"/>
  <c r="G3419" i="1"/>
  <c r="F3419" i="1"/>
  <c r="E3419" i="1"/>
  <c r="G3421" i="1"/>
  <c r="F3421" i="1"/>
  <c r="E3421" i="1"/>
  <c r="G3416" i="1"/>
  <c r="F3416" i="1"/>
  <c r="E3416" i="1"/>
  <c r="G3417" i="1"/>
  <c r="F3417" i="1"/>
  <c r="E3417" i="1"/>
  <c r="G1402" i="1"/>
  <c r="F1402" i="1"/>
  <c r="E1402" i="1"/>
  <c r="G3780" i="1" l="1"/>
  <c r="F3780" i="1"/>
  <c r="E3780" i="1"/>
  <c r="G3747" i="1"/>
  <c r="F3747" i="1"/>
  <c r="E3747" i="1"/>
  <c r="G3782" i="1"/>
  <c r="F3782" i="1"/>
  <c r="E3782" i="1"/>
  <c r="G3839" i="1"/>
  <c r="F3839" i="1"/>
  <c r="E3839" i="1"/>
  <c r="G3842" i="1"/>
  <c r="F3842" i="1"/>
  <c r="E3842" i="1"/>
  <c r="G3838" i="1"/>
  <c r="F3838" i="1"/>
  <c r="E3838" i="1"/>
  <c r="G2945" i="1"/>
  <c r="F2945" i="1"/>
  <c r="E2945" i="1"/>
  <c r="G816" i="1"/>
  <c r="F816" i="1"/>
  <c r="E816" i="1"/>
  <c r="G818" i="1"/>
  <c r="F818" i="1"/>
  <c r="E818" i="1"/>
  <c r="G1405" i="1"/>
  <c r="F1405" i="1"/>
  <c r="E1405" i="1"/>
  <c r="G1033" i="1"/>
  <c r="F1033" i="1"/>
  <c r="E1033" i="1"/>
  <c r="G1030" i="1"/>
  <c r="F1030" i="1"/>
  <c r="E1030" i="1"/>
  <c r="G955" i="1"/>
  <c r="F955" i="1"/>
  <c r="E955" i="1"/>
  <c r="G3395" i="1"/>
  <c r="F3395" i="1"/>
  <c r="E3395" i="1"/>
  <c r="G2106" i="1"/>
  <c r="F2106" i="1"/>
  <c r="E2106" i="1"/>
  <c r="G2142" i="1"/>
  <c r="F2142" i="1"/>
  <c r="E2142" i="1"/>
  <c r="G2144" i="1"/>
  <c r="F2144" i="1"/>
  <c r="E2144" i="1"/>
  <c r="G411" i="1"/>
  <c r="F411" i="1"/>
  <c r="E411" i="1"/>
  <c r="G767" i="1"/>
  <c r="F767" i="1"/>
  <c r="E767" i="1"/>
  <c r="G1274" i="1"/>
  <c r="F1274" i="1"/>
  <c r="G847" i="1"/>
  <c r="F847" i="1"/>
  <c r="E847" i="1"/>
  <c r="G2758" i="1"/>
  <c r="F2758" i="1"/>
  <c r="E2758" i="1"/>
  <c r="G2786" i="1"/>
  <c r="F2786" i="1"/>
  <c r="E2786" i="1"/>
  <c r="G2784" i="1"/>
  <c r="F2784" i="1"/>
  <c r="E2784" i="1"/>
  <c r="G2782" i="1"/>
  <c r="F2782" i="1"/>
  <c r="E2782" i="1"/>
  <c r="G2947" i="1"/>
  <c r="F2947" i="1"/>
  <c r="E2947" i="1"/>
  <c r="G2935" i="1"/>
  <c r="F2935" i="1"/>
  <c r="E2935" i="1"/>
  <c r="G2934" i="1"/>
  <c r="F2934" i="1"/>
  <c r="E2934" i="1"/>
  <c r="G2946" i="1"/>
  <c r="F2946" i="1"/>
  <c r="E2946" i="1"/>
  <c r="G2943" i="1"/>
  <c r="F2943" i="1"/>
  <c r="E2943" i="1"/>
  <c r="G2898" i="1"/>
  <c r="F2898" i="1"/>
  <c r="E2898" i="1"/>
  <c r="G2956" i="1"/>
  <c r="F2956" i="1"/>
  <c r="E2956" i="1"/>
  <c r="G2955" i="1"/>
  <c r="F2955" i="1"/>
  <c r="E2955" i="1"/>
  <c r="G4209" i="1"/>
  <c r="F4209" i="1"/>
  <c r="E4209" i="1"/>
  <c r="G4208" i="1"/>
  <c r="F4208" i="1"/>
  <c r="E4208" i="1"/>
  <c r="G4207" i="1"/>
  <c r="F4207" i="1"/>
  <c r="E4207" i="1"/>
  <c r="G4206" i="1"/>
  <c r="F4206" i="1"/>
  <c r="E4206" i="1"/>
  <c r="G4205" i="1"/>
  <c r="F4205" i="1"/>
  <c r="E4205" i="1"/>
  <c r="G4204" i="1"/>
  <c r="F4204" i="1"/>
  <c r="E4204" i="1"/>
  <c r="G4203" i="1"/>
  <c r="F4203" i="1"/>
  <c r="E4203" i="1"/>
  <c r="G4202" i="1"/>
  <c r="F4202" i="1"/>
  <c r="E4202" i="1"/>
  <c r="G4201" i="1"/>
  <c r="F4201" i="1"/>
  <c r="E4201" i="1"/>
  <c r="G4200" i="1"/>
  <c r="F4200" i="1"/>
  <c r="E4200" i="1"/>
  <c r="G4199" i="1"/>
  <c r="F4199" i="1"/>
  <c r="E4199" i="1"/>
  <c r="G4198" i="1"/>
  <c r="F4198" i="1"/>
  <c r="E4198" i="1"/>
  <c r="G4197" i="1"/>
  <c r="F4197" i="1"/>
  <c r="E4197" i="1"/>
  <c r="G4196" i="1"/>
  <c r="F4196" i="1"/>
  <c r="E4196" i="1"/>
  <c r="G4100" i="1"/>
  <c r="F4100" i="1"/>
  <c r="E4100" i="1"/>
  <c r="G4099" i="1"/>
  <c r="F4099" i="1"/>
  <c r="E4099" i="1"/>
  <c r="G4098" i="1"/>
  <c r="F4098" i="1"/>
  <c r="E4098" i="1"/>
  <c r="G4097" i="1"/>
  <c r="F4097" i="1"/>
  <c r="E4097" i="1"/>
  <c r="G4096" i="1"/>
  <c r="F4096" i="1"/>
  <c r="E4096" i="1"/>
  <c r="G4095" i="1"/>
  <c r="F4095" i="1"/>
  <c r="E4095" i="1"/>
  <c r="G4094" i="1"/>
  <c r="F4094" i="1"/>
  <c r="E4094" i="1"/>
  <c r="G4093" i="1"/>
  <c r="F4093" i="1"/>
  <c r="E4093" i="1"/>
  <c r="G4092" i="1"/>
  <c r="F4092" i="1"/>
  <c r="E4092" i="1"/>
  <c r="G4091" i="1"/>
  <c r="F4091" i="1"/>
  <c r="E4091" i="1"/>
  <c r="G4090" i="1"/>
  <c r="F4090" i="1"/>
  <c r="E4090" i="1"/>
  <c r="G4089" i="1"/>
  <c r="F4089" i="1"/>
  <c r="E4089" i="1"/>
  <c r="G4088" i="1"/>
  <c r="F4088" i="1"/>
  <c r="E4088" i="1"/>
  <c r="G4157" i="1"/>
  <c r="F4157" i="1"/>
  <c r="E4157" i="1"/>
  <c r="G4156" i="1"/>
  <c r="F4156" i="1"/>
  <c r="E4156" i="1"/>
  <c r="G4155" i="1"/>
  <c r="F4155" i="1"/>
  <c r="E4155" i="1"/>
  <c r="G4154" i="1"/>
  <c r="F4154" i="1"/>
  <c r="E4154" i="1"/>
  <c r="G4153" i="1"/>
  <c r="F4153" i="1"/>
  <c r="E4153" i="1"/>
  <c r="G3418" i="1"/>
  <c r="F3418" i="1"/>
  <c r="E3418" i="1"/>
  <c r="G5337" i="1"/>
  <c r="F5337" i="1"/>
  <c r="E5337" i="1"/>
  <c r="G1279" i="1"/>
  <c r="F1279" i="1"/>
  <c r="E1279" i="1"/>
  <c r="G514" i="1"/>
  <c r="F514" i="1"/>
  <c r="E514" i="1"/>
  <c r="G1241" i="1"/>
  <c r="F1241" i="1"/>
  <c r="E1241" i="1"/>
  <c r="G1356" i="1"/>
  <c r="F1356" i="1"/>
  <c r="E1356" i="1"/>
  <c r="G313" i="1"/>
  <c r="F313" i="1"/>
  <c r="E313" i="1"/>
  <c r="G1320" i="1"/>
  <c r="F1320" i="1"/>
  <c r="E1320" i="1"/>
  <c r="G5335" i="1"/>
  <c r="F5335" i="1"/>
  <c r="E5335" i="1"/>
  <c r="F3438" i="1"/>
  <c r="E3438" i="1"/>
  <c r="G1366" i="1"/>
  <c r="F1366" i="1"/>
  <c r="E1366" i="1"/>
  <c r="G317" i="1"/>
  <c r="F317" i="1"/>
  <c r="E317" i="1"/>
  <c r="G1566" i="1"/>
  <c r="F1566" i="1"/>
  <c r="E1566" i="1"/>
  <c r="G1319" i="1"/>
  <c r="F1319" i="1"/>
  <c r="E1319" i="1"/>
  <c r="G5349" i="1"/>
  <c r="F5349" i="1"/>
  <c r="E5349" i="1"/>
  <c r="G5352" i="1"/>
  <c r="F5352" i="1"/>
  <c r="E5352" i="1"/>
  <c r="G5351" i="1"/>
  <c r="F5351" i="1"/>
  <c r="E5351" i="1"/>
  <c r="G5350" i="1"/>
  <c r="F5350" i="1"/>
  <c r="E5350" i="1"/>
  <c r="G5353" i="1"/>
  <c r="F5353" i="1"/>
  <c r="E5353" i="1"/>
  <c r="G5354" i="1"/>
  <c r="F5354" i="1"/>
  <c r="E5354" i="1"/>
  <c r="G5356" i="1"/>
  <c r="F5356" i="1"/>
  <c r="E5356" i="1"/>
  <c r="G5357" i="1"/>
  <c r="F5357" i="1"/>
  <c r="E5357" i="1"/>
  <c r="G5359" i="1"/>
  <c r="F5359" i="1"/>
  <c r="E5359" i="1"/>
  <c r="G5355" i="1"/>
  <c r="F5355" i="1"/>
  <c r="E5355" i="1"/>
  <c r="G2140" i="1"/>
  <c r="F2140" i="1"/>
  <c r="E2140" i="1"/>
  <c r="G2957" i="1"/>
  <c r="F2957" i="1"/>
  <c r="E2957" i="1"/>
  <c r="G2964" i="1"/>
  <c r="F2964" i="1"/>
  <c r="E2964" i="1"/>
  <c r="G3151" i="1"/>
  <c r="F3151" i="1"/>
  <c r="E3151" i="1"/>
  <c r="G3150" i="1"/>
  <c r="F3150" i="1"/>
  <c r="E3150" i="1"/>
  <c r="G2880" i="1"/>
  <c r="F2880" i="1"/>
  <c r="E2880" i="1"/>
  <c r="G3149" i="1"/>
  <c r="F3149" i="1"/>
  <c r="E3149" i="1"/>
  <c r="G2944" i="1"/>
  <c r="F2944" i="1"/>
  <c r="E2944" i="1"/>
  <c r="G2959" i="1"/>
  <c r="F2959" i="1"/>
  <c r="E2959" i="1"/>
  <c r="G3148" i="1"/>
  <c r="F3148" i="1"/>
  <c r="E3148" i="1"/>
  <c r="G2137" i="1"/>
  <c r="F2137" i="1"/>
  <c r="E2137" i="1"/>
  <c r="G2139" i="1"/>
  <c r="F2139" i="1"/>
  <c r="E2139" i="1"/>
  <c r="G2084" i="1"/>
  <c r="F2084" i="1"/>
  <c r="E2084" i="1"/>
  <c r="G283" i="1"/>
  <c r="F283" i="1"/>
  <c r="E283" i="1"/>
  <c r="G986" i="1"/>
  <c r="F986" i="1"/>
  <c r="E986" i="1"/>
  <c r="G734" i="1"/>
  <c r="F734" i="1"/>
  <c r="E734" i="1"/>
  <c r="G1318" i="1"/>
  <c r="F1318" i="1"/>
  <c r="E1318" i="1"/>
  <c r="G1290" i="1"/>
  <c r="F1290" i="1"/>
  <c r="E1290" i="1"/>
  <c r="G796" i="1"/>
  <c r="F796" i="1"/>
  <c r="E796" i="1"/>
  <c r="G1267" i="1"/>
  <c r="F1267" i="1"/>
  <c r="E1267" i="1"/>
  <c r="G935" i="1"/>
  <c r="F935" i="1"/>
  <c r="E935" i="1"/>
  <c r="G817" i="1"/>
  <c r="F817" i="1"/>
  <c r="E817" i="1"/>
  <c r="G306" i="1"/>
  <c r="F306" i="1"/>
  <c r="E306" i="1"/>
  <c r="G5331" i="1"/>
  <c r="F5331" i="1"/>
  <c r="E5331" i="1"/>
  <c r="G3244" i="1"/>
  <c r="F3244" i="1"/>
  <c r="E3244" i="1"/>
  <c r="G1145" i="1"/>
  <c r="F1145" i="1"/>
  <c r="E1145" i="1"/>
  <c r="G941" i="1"/>
  <c r="F941" i="1"/>
  <c r="E941" i="1"/>
  <c r="G1086" i="1"/>
  <c r="F1086" i="1"/>
  <c r="E1086" i="1"/>
  <c r="G636" i="1"/>
  <c r="F636" i="1"/>
  <c r="E636" i="1"/>
  <c r="G5358" i="1"/>
  <c r="F5358" i="1"/>
  <c r="E5358" i="1"/>
  <c r="G628" i="1"/>
  <c r="F628" i="1"/>
  <c r="E628" i="1"/>
  <c r="G295" i="1"/>
  <c r="F295" i="1"/>
  <c r="E295" i="1"/>
  <c r="G3253" i="1"/>
  <c r="F3253" i="1"/>
  <c r="E3253" i="1"/>
  <c r="G301" i="1"/>
  <c r="F301" i="1"/>
  <c r="E301" i="1"/>
  <c r="G3198" i="1"/>
  <c r="F3198" i="1"/>
  <c r="E3198" i="1"/>
  <c r="G810" i="1"/>
  <c r="F810" i="1"/>
  <c r="E810" i="1"/>
  <c r="G3222" i="1"/>
  <c r="F3222" i="1"/>
  <c r="E3222" i="1"/>
  <c r="G1291" i="1"/>
  <c r="F1291" i="1"/>
  <c r="E1291" i="1"/>
  <c r="G957" i="1"/>
  <c r="F957" i="1"/>
  <c r="E957" i="1"/>
  <c r="G809" i="1"/>
  <c r="F809" i="1"/>
  <c r="E809" i="1"/>
  <c r="G3245" i="1"/>
  <c r="F3245" i="1"/>
  <c r="E3245" i="1"/>
  <c r="G1094" i="1"/>
  <c r="F1094" i="1"/>
  <c r="E1094" i="1"/>
  <c r="G873" i="1"/>
  <c r="F873" i="1"/>
  <c r="E873" i="1"/>
  <c r="G2034" i="1"/>
  <c r="F2034" i="1"/>
  <c r="E2034" i="1"/>
  <c r="G1114" i="1"/>
  <c r="F1114" i="1"/>
  <c r="E1114" i="1"/>
  <c r="G765" i="1"/>
  <c r="F765" i="1"/>
  <c r="E765" i="1"/>
  <c r="G3430" i="1"/>
  <c r="F3430" i="1"/>
  <c r="E3430" i="1"/>
  <c r="G1308" i="1"/>
  <c r="F1308" i="1"/>
  <c r="E1308" i="1"/>
  <c r="G5346" i="1"/>
  <c r="F5346" i="1"/>
  <c r="E5346" i="1"/>
  <c r="G507" i="1"/>
  <c r="F507" i="1"/>
  <c r="E507" i="1"/>
  <c r="G304" i="1"/>
  <c r="F304" i="1"/>
  <c r="E304" i="1"/>
  <c r="G811" i="1"/>
  <c r="F811" i="1"/>
  <c r="E811" i="1"/>
  <c r="G303" i="1"/>
  <c r="F303" i="1"/>
  <c r="E303" i="1"/>
  <c r="G3256" i="1"/>
  <c r="F3256" i="1"/>
  <c r="E3256" i="1"/>
  <c r="G3270" i="1"/>
  <c r="F3270" i="1"/>
  <c r="E3270" i="1"/>
  <c r="G768" i="1"/>
  <c r="F768" i="1"/>
  <c r="E768" i="1"/>
  <c r="G105" i="1"/>
  <c r="F105" i="1"/>
  <c r="E105" i="1"/>
  <c r="G277" i="1"/>
  <c r="F277" i="1"/>
  <c r="E277" i="1"/>
  <c r="G3426" i="1"/>
  <c r="F3426" i="1"/>
  <c r="E3426" i="1"/>
  <c r="G3199" i="1"/>
  <c r="F3199" i="1"/>
  <c r="E3199" i="1"/>
  <c r="G3257" i="1"/>
  <c r="F3257" i="1"/>
  <c r="E3257" i="1"/>
  <c r="G2112" i="1"/>
  <c r="F2112" i="1"/>
  <c r="E2112" i="1"/>
  <c r="G2114" i="1"/>
  <c r="F2114" i="1"/>
  <c r="E2114" i="1"/>
  <c r="G1929" i="1"/>
  <c r="F1929" i="1"/>
  <c r="E1929" i="1"/>
  <c r="G2314" i="1"/>
  <c r="F2314" i="1"/>
  <c r="E2314" i="1"/>
  <c r="G2018" i="1"/>
  <c r="F2018" i="1"/>
  <c r="E2018" i="1"/>
  <c r="G2042" i="1"/>
  <c r="F2042" i="1"/>
  <c r="E2042" i="1"/>
  <c r="G2118" i="1"/>
  <c r="F2118" i="1"/>
  <c r="E2118" i="1"/>
  <c r="G2017" i="1"/>
  <c r="F2017" i="1"/>
  <c r="E2017" i="1"/>
  <c r="G2303" i="1"/>
  <c r="F2303" i="1"/>
  <c r="E2303" i="1"/>
  <c r="G2301" i="1"/>
  <c r="F2301" i="1"/>
  <c r="E2301" i="1"/>
  <c r="G2302" i="1"/>
  <c r="F2302" i="1"/>
  <c r="E2302" i="1"/>
  <c r="G4212" i="1"/>
  <c r="F4212" i="1"/>
  <c r="E4212" i="1"/>
  <c r="G2038" i="1"/>
  <c r="F2038" i="1"/>
  <c r="E2038" i="1"/>
  <c r="G2037" i="1"/>
  <c r="F2037" i="1"/>
  <c r="E2037" i="1"/>
  <c r="G2036" i="1"/>
  <c r="F2036" i="1"/>
  <c r="E2036" i="1"/>
  <c r="G3958" i="1"/>
  <c r="F3958" i="1"/>
  <c r="E3958" i="1"/>
  <c r="G2720" i="1"/>
  <c r="F2720" i="1"/>
  <c r="E2720" i="1"/>
  <c r="G3379" i="1"/>
  <c r="F3379" i="1"/>
  <c r="E3379" i="1"/>
  <c r="G1268" i="1"/>
  <c r="F1268" i="1"/>
  <c r="E1268" i="1"/>
  <c r="G1065" i="1"/>
  <c r="F1065" i="1"/>
  <c r="E1065" i="1"/>
  <c r="G3841" i="1"/>
  <c r="F3841" i="1"/>
  <c r="E3841" i="1"/>
  <c r="G3844" i="1"/>
  <c r="F3844" i="1"/>
  <c r="E3844" i="1"/>
  <c r="G3413" i="1"/>
  <c r="F3413" i="1"/>
  <c r="E3413" i="1"/>
  <c r="G3414" i="1"/>
  <c r="F3414" i="1"/>
  <c r="E3414" i="1"/>
  <c r="G2769" i="1"/>
  <c r="F2769" i="1"/>
  <c r="E2769" i="1"/>
  <c r="G2785" i="1"/>
  <c r="F2785" i="1"/>
  <c r="E2785" i="1"/>
  <c r="G2783" i="1"/>
  <c r="F2783" i="1"/>
  <c r="E2783" i="1"/>
  <c r="G2781" i="1"/>
  <c r="F2781" i="1"/>
  <c r="E2781" i="1"/>
  <c r="G2780" i="1"/>
  <c r="F2780" i="1"/>
  <c r="E2780" i="1"/>
  <c r="G2787" i="1"/>
  <c r="F2787" i="1"/>
  <c r="E2787" i="1"/>
  <c r="G2788" i="1"/>
  <c r="F2788" i="1"/>
  <c r="E2788" i="1"/>
  <c r="G2105" i="1"/>
  <c r="F2105" i="1"/>
  <c r="E2105" i="1"/>
  <c r="G837" i="1"/>
  <c r="F837" i="1"/>
  <c r="E837" i="1"/>
  <c r="G987" i="1"/>
  <c r="F987" i="1"/>
  <c r="E987" i="1"/>
  <c r="G780" i="1"/>
  <c r="F780" i="1"/>
  <c r="E780" i="1"/>
  <c r="G1224" i="1"/>
  <c r="F1224" i="1"/>
  <c r="E1224" i="1"/>
  <c r="G2967" i="1"/>
  <c r="F2967" i="1"/>
  <c r="E2967" i="1"/>
  <c r="G3084" i="1"/>
  <c r="F3084" i="1"/>
  <c r="E3084" i="1"/>
  <c r="G2736" i="1"/>
  <c r="F2736" i="1"/>
  <c r="E2736" i="1"/>
  <c r="G2952" i="1"/>
  <c r="F2952" i="1"/>
  <c r="E2952" i="1"/>
  <c r="G2954" i="1"/>
  <c r="F2954" i="1"/>
  <c r="E2954" i="1"/>
  <c r="G2722" i="1"/>
  <c r="F2722" i="1"/>
  <c r="E2722" i="1"/>
  <c r="G2721" i="1"/>
  <c r="F2721" i="1"/>
  <c r="E2721" i="1"/>
  <c r="G2715" i="1"/>
  <c r="F2715" i="1"/>
  <c r="E2715" i="1"/>
  <c r="G3691" i="1"/>
  <c r="F3691" i="1"/>
  <c r="E3691" i="1"/>
  <c r="G835" i="1"/>
  <c r="F835" i="1"/>
  <c r="E835" i="1"/>
  <c r="G670" i="1"/>
  <c r="F670" i="1"/>
  <c r="E670" i="1"/>
  <c r="G2620" i="1"/>
  <c r="F2620" i="1"/>
  <c r="E2620" i="1"/>
  <c r="G2619" i="1"/>
  <c r="F2619" i="1"/>
  <c r="E2619" i="1"/>
  <c r="G2622" i="1"/>
  <c r="F2622" i="1"/>
  <c r="E2622" i="1"/>
  <c r="G2621" i="1"/>
  <c r="F2621" i="1"/>
  <c r="E2621" i="1"/>
  <c r="G2632" i="1"/>
  <c r="F2632" i="1"/>
  <c r="E2632" i="1"/>
  <c r="G2490" i="1"/>
  <c r="F2490" i="1"/>
  <c r="E2490" i="1"/>
  <c r="G3203" i="1"/>
  <c r="F3203" i="1"/>
  <c r="E3203" i="1"/>
  <c r="G3412" i="1"/>
  <c r="F3412" i="1"/>
  <c r="E3412" i="1"/>
  <c r="G3834" i="1"/>
  <c r="F3834" i="1"/>
  <c r="E3834" i="1"/>
  <c r="G3833" i="1"/>
  <c r="F3833" i="1"/>
  <c r="E3833" i="1"/>
  <c r="G3836" i="1"/>
  <c r="F3836" i="1"/>
  <c r="E3836" i="1"/>
  <c r="G3799" i="1"/>
  <c r="F3799" i="1"/>
  <c r="E3799" i="1"/>
  <c r="G2074" i="1"/>
  <c r="F2074" i="1"/>
  <c r="E2074" i="1"/>
  <c r="G2007" i="1"/>
  <c r="F2007" i="1"/>
  <c r="E2007" i="1"/>
  <c r="G2121" i="1"/>
  <c r="F2121" i="1"/>
  <c r="E2121" i="1"/>
  <c r="G2095" i="1"/>
  <c r="F2095" i="1"/>
  <c r="E2095" i="1"/>
  <c r="G2151" i="1"/>
  <c r="F2151" i="1"/>
  <c r="E2151" i="1"/>
  <c r="G2326" i="1"/>
  <c r="F2326" i="1"/>
  <c r="E2326" i="1"/>
  <c r="G2329" i="1"/>
  <c r="F2329" i="1"/>
  <c r="E2329" i="1"/>
  <c r="E2028" i="1"/>
  <c r="F2028" i="1"/>
  <c r="G2028" i="1"/>
  <c r="E2029" i="1"/>
  <c r="F2029" i="1"/>
  <c r="G2029" i="1"/>
  <c r="E2030" i="1"/>
  <c r="F2030" i="1"/>
  <c r="G2030" i="1"/>
  <c r="E2031" i="1"/>
  <c r="F2031" i="1"/>
  <c r="G2031" i="1"/>
  <c r="E2032" i="1"/>
  <c r="F2032" i="1"/>
  <c r="G2032" i="1"/>
  <c r="E2111" i="1"/>
  <c r="F2111" i="1"/>
  <c r="G2111" i="1"/>
  <c r="E2026" i="1"/>
  <c r="F2026" i="1"/>
  <c r="G2026" i="1"/>
  <c r="E2324" i="1"/>
  <c r="F2324" i="1"/>
  <c r="G2324" i="1"/>
  <c r="E2145" i="1"/>
  <c r="F2145" i="1"/>
  <c r="G2145" i="1"/>
  <c r="E2131" i="1"/>
  <c r="F2131" i="1"/>
  <c r="G2131" i="1"/>
  <c r="E1948" i="1"/>
  <c r="F1948" i="1"/>
  <c r="G1948" i="1"/>
  <c r="G2027" i="1"/>
  <c r="F2027" i="1"/>
  <c r="E2027" i="1"/>
  <c r="G2138" i="1"/>
  <c r="F2138" i="1"/>
  <c r="E2138" i="1"/>
  <c r="G2146" i="1"/>
  <c r="F2146" i="1"/>
  <c r="E2146" i="1"/>
  <c r="G2141" i="1"/>
  <c r="F2141" i="1"/>
  <c r="E2141" i="1"/>
  <c r="G2012" i="1"/>
  <c r="F2012" i="1"/>
  <c r="E2012" i="1"/>
  <c r="G2060" i="1"/>
  <c r="F2060" i="1"/>
  <c r="E2060" i="1"/>
  <c r="G2143" i="1"/>
  <c r="F2143" i="1"/>
  <c r="E2143" i="1"/>
  <c r="G2011" i="1"/>
  <c r="F2011" i="1"/>
  <c r="E2011" i="1"/>
  <c r="G2086" i="1"/>
  <c r="F2086" i="1"/>
  <c r="E2086" i="1"/>
  <c r="G2085" i="1"/>
  <c r="F2085" i="1"/>
  <c r="E2085" i="1"/>
  <c r="G2594" i="1"/>
  <c r="G2022" i="1"/>
  <c r="F2022" i="1"/>
  <c r="E2022" i="1"/>
  <c r="G3814" i="1"/>
  <c r="F3814" i="1"/>
  <c r="E3814" i="1"/>
  <c r="G3797" i="1"/>
  <c r="F3797" i="1"/>
  <c r="E3797" i="1"/>
  <c r="G410" i="1"/>
  <c r="F410" i="1"/>
  <c r="E410" i="1"/>
  <c r="G3868" i="1"/>
  <c r="F3868" i="1"/>
  <c r="E3868" i="1"/>
  <c r="G3867" i="1"/>
  <c r="F3867" i="1"/>
  <c r="E3867" i="1"/>
  <c r="G2091" i="1"/>
  <c r="F2091" i="1"/>
  <c r="E2091" i="1"/>
  <c r="G2094" i="1"/>
  <c r="F2094" i="1"/>
  <c r="E2094" i="1"/>
  <c r="G2093" i="1"/>
  <c r="F2093" i="1"/>
  <c r="E2093" i="1"/>
  <c r="G2076" i="1"/>
  <c r="F2076" i="1"/>
  <c r="E2076" i="1"/>
  <c r="G2078" i="1"/>
  <c r="F2078" i="1"/>
  <c r="E2078" i="1"/>
  <c r="G2077" i="1"/>
  <c r="F2077" i="1"/>
  <c r="E2077" i="1"/>
  <c r="G2047" i="1"/>
  <c r="F2047" i="1"/>
  <c r="E2047" i="1"/>
  <c r="G3794" i="1"/>
  <c r="F3794" i="1"/>
  <c r="E3794" i="1"/>
  <c r="G3824" i="1"/>
  <c r="F3824" i="1"/>
  <c r="E3824" i="1"/>
  <c r="G3826" i="1"/>
  <c r="F3826" i="1"/>
  <c r="E3826" i="1"/>
  <c r="G3827" i="1"/>
  <c r="F3827" i="1"/>
  <c r="E3827" i="1"/>
  <c r="G3809" i="1"/>
  <c r="F3809" i="1"/>
  <c r="E3809" i="1"/>
  <c r="G3816" i="1"/>
  <c r="F3816" i="1"/>
  <c r="E3816" i="1"/>
  <c r="G3815" i="1"/>
  <c r="F3815" i="1"/>
  <c r="E3815" i="1"/>
  <c r="G3787" i="1"/>
  <c r="F3787" i="1"/>
  <c r="E3787" i="1"/>
  <c r="G3789" i="1"/>
  <c r="F3789" i="1"/>
  <c r="E3789" i="1"/>
  <c r="G3802" i="1"/>
  <c r="F3802" i="1"/>
  <c r="E3802" i="1"/>
  <c r="G3746" i="1"/>
  <c r="F3746" i="1"/>
  <c r="E3746" i="1"/>
  <c r="G3801" i="1"/>
  <c r="F3801" i="1"/>
  <c r="E3801" i="1"/>
  <c r="G3804" i="1"/>
  <c r="F3804" i="1"/>
  <c r="E3804" i="1"/>
  <c r="G3707" i="1"/>
  <c r="F3707" i="1"/>
  <c r="E3707" i="1"/>
  <c r="G3706" i="1"/>
  <c r="F3706" i="1"/>
  <c r="E3706" i="1"/>
  <c r="G3803" i="1"/>
  <c r="F3803" i="1"/>
  <c r="E3803" i="1"/>
  <c r="G3840" i="1"/>
  <c r="F3840" i="1"/>
  <c r="E3840" i="1"/>
  <c r="G3788" i="1"/>
  <c r="F3788" i="1"/>
  <c r="E3788" i="1"/>
  <c r="G3843" i="1"/>
  <c r="F3843" i="1"/>
  <c r="E3843" i="1"/>
  <c r="G3835" i="1"/>
  <c r="F3835" i="1"/>
  <c r="E3835" i="1"/>
  <c r="G3825" i="1"/>
  <c r="F3825" i="1"/>
  <c r="E3825" i="1"/>
  <c r="G3873" i="1"/>
  <c r="F3873" i="1"/>
  <c r="E3873" i="1"/>
  <c r="G3871" i="1"/>
  <c r="F3871" i="1"/>
  <c r="E3871" i="1"/>
  <c r="G2656" i="1"/>
  <c r="F2656" i="1"/>
  <c r="E2656" i="1"/>
  <c r="G3754" i="1"/>
  <c r="F3754" i="1"/>
  <c r="E3754" i="1"/>
  <c r="G3756" i="1"/>
  <c r="F3756" i="1"/>
  <c r="E3756" i="1"/>
  <c r="G3755" i="1"/>
  <c r="F3755" i="1"/>
  <c r="E3755" i="1"/>
  <c r="G3752" i="1"/>
  <c r="F3752" i="1"/>
  <c r="E3752" i="1"/>
  <c r="G3751" i="1"/>
  <c r="F3751" i="1"/>
  <c r="E3751" i="1"/>
  <c r="G3750" i="1"/>
  <c r="F3750" i="1"/>
  <c r="E3750" i="1"/>
  <c r="D160" i="3"/>
  <c r="E160" i="3"/>
  <c r="F160" i="3"/>
  <c r="D161" i="3"/>
  <c r="E161" i="3"/>
  <c r="F161" i="3"/>
  <c r="G3753" i="1"/>
  <c r="F3753" i="1"/>
  <c r="E3753" i="1"/>
  <c r="G3142" i="1"/>
  <c r="F3142" i="1"/>
  <c r="E3142" i="1"/>
  <c r="G3140" i="1"/>
  <c r="F3140" i="1"/>
  <c r="E3140" i="1"/>
  <c r="G2627" i="1"/>
  <c r="F2627" i="1"/>
  <c r="E2627" i="1"/>
  <c r="G2523" i="1"/>
  <c r="F2523" i="1"/>
  <c r="E2523" i="1"/>
  <c r="G2126" i="1"/>
  <c r="F2126" i="1"/>
  <c r="E2126" i="1"/>
  <c r="G3409" i="1"/>
  <c r="F3409" i="1"/>
  <c r="E3409" i="1"/>
  <c r="G3410" i="1"/>
  <c r="F3410" i="1"/>
  <c r="E3410" i="1"/>
  <c r="G417" i="1"/>
  <c r="F417" i="1"/>
  <c r="E417" i="1"/>
  <c r="G418" i="1"/>
  <c r="F418" i="1"/>
  <c r="E418" i="1"/>
  <c r="G1392" i="1"/>
  <c r="F1392" i="1"/>
  <c r="E1392" i="1"/>
  <c r="G1391" i="1"/>
  <c r="F1391" i="1"/>
  <c r="E1391" i="1"/>
  <c r="G1390" i="1"/>
  <c r="F1390" i="1"/>
  <c r="E1390" i="1"/>
  <c r="G1389" i="1"/>
  <c r="F1389" i="1"/>
  <c r="E1389" i="1"/>
  <c r="G1388" i="1"/>
  <c r="F1388" i="1"/>
  <c r="E1388" i="1"/>
  <c r="G1387" i="1"/>
  <c r="F1387" i="1"/>
  <c r="E1387" i="1"/>
  <c r="G1386" i="1"/>
  <c r="F1386" i="1"/>
  <c r="E1386" i="1"/>
  <c r="G1385" i="1"/>
  <c r="F1385" i="1"/>
  <c r="E1385" i="1"/>
  <c r="G1384" i="1"/>
  <c r="F1384" i="1"/>
  <c r="E1384" i="1"/>
  <c r="G1383" i="1"/>
  <c r="F1383" i="1"/>
  <c r="E1383" i="1"/>
  <c r="G1382" i="1"/>
  <c r="F1382" i="1"/>
  <c r="E1382" i="1"/>
  <c r="G1381" i="1"/>
  <c r="F1381" i="1"/>
  <c r="E1381" i="1"/>
  <c r="G1399" i="1"/>
  <c r="F1399" i="1"/>
  <c r="E1399" i="1"/>
  <c r="G1398" i="1"/>
  <c r="F1398" i="1"/>
  <c r="E1398" i="1"/>
  <c r="G1397" i="1"/>
  <c r="F1397" i="1"/>
  <c r="E1397" i="1"/>
  <c r="G1396" i="1"/>
  <c r="F1396" i="1"/>
  <c r="E1396" i="1"/>
  <c r="G1395" i="1"/>
  <c r="F1395" i="1"/>
  <c r="E1395" i="1"/>
  <c r="G1394" i="1"/>
  <c r="F1394" i="1"/>
  <c r="E1394" i="1"/>
  <c r="G1393" i="1"/>
  <c r="F1393" i="1"/>
  <c r="E1393" i="1"/>
  <c r="G3124" i="1"/>
  <c r="F3124" i="1"/>
  <c r="E3124" i="1"/>
  <c r="G3122" i="1"/>
  <c r="F3122" i="1"/>
  <c r="E3122" i="1"/>
  <c r="E3177" i="1"/>
  <c r="F3177" i="1"/>
  <c r="G3177" i="1"/>
  <c r="E3176" i="1"/>
  <c r="F3176" i="1"/>
  <c r="G3176" i="1"/>
  <c r="E3178" i="1"/>
  <c r="F3178" i="1"/>
  <c r="G3178" i="1"/>
  <c r="E3146" i="1"/>
  <c r="F3146" i="1"/>
  <c r="G3146" i="1"/>
  <c r="E3147" i="1"/>
  <c r="F3147" i="1"/>
  <c r="G3147" i="1"/>
  <c r="E3139" i="1"/>
  <c r="F3139" i="1"/>
  <c r="G3139" i="1"/>
  <c r="E3141" i="1"/>
  <c r="F3141" i="1"/>
  <c r="G3141" i="1"/>
  <c r="E3187" i="1"/>
  <c r="F3187" i="1"/>
  <c r="G3187" i="1"/>
  <c r="E3188" i="1"/>
  <c r="F3188" i="1"/>
  <c r="G3188" i="1"/>
  <c r="G859" i="1"/>
  <c r="F859" i="1"/>
  <c r="E859" i="1"/>
  <c r="G2892" i="1"/>
  <c r="F2892" i="1"/>
  <c r="E2892" i="1"/>
  <c r="G1229" i="1"/>
  <c r="F1229" i="1"/>
  <c r="E1229" i="1"/>
  <c r="G2561" i="1"/>
  <c r="F2561" i="1"/>
  <c r="E2561" i="1"/>
  <c r="G617" i="1"/>
  <c r="F617" i="1"/>
  <c r="E617" i="1"/>
  <c r="G2559" i="1"/>
  <c r="F2559" i="1"/>
  <c r="E2559" i="1"/>
  <c r="G2396" i="1"/>
  <c r="F2396" i="1"/>
  <c r="E2396" i="1"/>
  <c r="G4311" i="1"/>
  <c r="F4311" i="1"/>
  <c r="E4311" i="1"/>
  <c r="G4310" i="1"/>
  <c r="F4310" i="1"/>
  <c r="E4310" i="1"/>
  <c r="G4309" i="1"/>
  <c r="F4309" i="1"/>
  <c r="E4309" i="1"/>
  <c r="G4330" i="1"/>
  <c r="F4330" i="1"/>
  <c r="E4330" i="1"/>
  <c r="G4308" i="1"/>
  <c r="F4308" i="1"/>
  <c r="E4308" i="1"/>
  <c r="G4307" i="1"/>
  <c r="F4307" i="1"/>
  <c r="E4307" i="1"/>
  <c r="G4333" i="1"/>
  <c r="F4333" i="1"/>
  <c r="E4333" i="1"/>
  <c r="G4332" i="1"/>
  <c r="F4332" i="1"/>
  <c r="E4332" i="1"/>
  <c r="G4331" i="1"/>
  <c r="F4331" i="1"/>
  <c r="E4331" i="1"/>
  <c r="G4322" i="1"/>
  <c r="F4322" i="1"/>
  <c r="E4322" i="1"/>
  <c r="G4321" i="1"/>
  <c r="F4321" i="1"/>
  <c r="E4321" i="1"/>
  <c r="G4320" i="1"/>
  <c r="F4320" i="1"/>
  <c r="E4320" i="1"/>
  <c r="G4319" i="1"/>
  <c r="F4319" i="1"/>
  <c r="E4319" i="1"/>
  <c r="G4318" i="1"/>
  <c r="F4318" i="1"/>
  <c r="E4318" i="1"/>
  <c r="G4317" i="1"/>
  <c r="F4317" i="1"/>
  <c r="E4317" i="1"/>
  <c r="G4316" i="1"/>
  <c r="F4316" i="1"/>
  <c r="E4316" i="1"/>
  <c r="G4315" i="1"/>
  <c r="F4315" i="1"/>
  <c r="E4315" i="1"/>
  <c r="G4314" i="1"/>
  <c r="F4314" i="1"/>
  <c r="E4314" i="1"/>
  <c r="G4313" i="1"/>
  <c r="F4313" i="1"/>
  <c r="E4313" i="1"/>
  <c r="G4312" i="1"/>
  <c r="F4312" i="1"/>
  <c r="E4312" i="1"/>
  <c r="G4303" i="1"/>
  <c r="F4303" i="1"/>
  <c r="E4303" i="1"/>
  <c r="G4302" i="1"/>
  <c r="F4302" i="1"/>
  <c r="E4302" i="1"/>
  <c r="G4391" i="1"/>
  <c r="F4391" i="1"/>
  <c r="E4391" i="1"/>
  <c r="G4301" i="1"/>
  <c r="F4301" i="1"/>
  <c r="E4301" i="1"/>
  <c r="G4300" i="1"/>
  <c r="F4300" i="1"/>
  <c r="E4300" i="1"/>
  <c r="G4299" i="1"/>
  <c r="F4299" i="1"/>
  <c r="E4299" i="1"/>
  <c r="G4298" i="1"/>
  <c r="F4298" i="1"/>
  <c r="E4298" i="1"/>
  <c r="G4297" i="1"/>
  <c r="F4297" i="1"/>
  <c r="E4297" i="1"/>
  <c r="G4296" i="1"/>
  <c r="F4296" i="1"/>
  <c r="E4296" i="1"/>
  <c r="G4295" i="1"/>
  <c r="F4295" i="1"/>
  <c r="E4295" i="1"/>
  <c r="G1286" i="1"/>
  <c r="F1286" i="1"/>
  <c r="E1286" i="1"/>
  <c r="G3650" i="1"/>
  <c r="F3650" i="1"/>
  <c r="E3650" i="1"/>
  <c r="G2560" i="1"/>
  <c r="F2560" i="1"/>
  <c r="E2560" i="1"/>
  <c r="G2591" i="1"/>
  <c r="F2591" i="1"/>
  <c r="E2591" i="1"/>
  <c r="G610" i="1"/>
  <c r="F610" i="1"/>
  <c r="E610" i="1"/>
  <c r="G4040" i="1"/>
  <c r="F4040" i="1"/>
  <c r="E4040" i="1"/>
  <c r="G4039" i="1"/>
  <c r="F4039" i="1"/>
  <c r="E4039" i="1"/>
  <c r="G4036" i="1"/>
  <c r="F4036" i="1"/>
  <c r="E4036" i="1"/>
  <c r="G4037" i="1"/>
  <c r="F4037" i="1"/>
  <c r="E4037" i="1"/>
  <c r="G4035" i="1"/>
  <c r="F4035" i="1"/>
  <c r="E4035" i="1"/>
  <c r="G4038" i="1"/>
  <c r="F4038" i="1"/>
  <c r="E4038" i="1"/>
  <c r="G1227" i="1"/>
  <c r="F1227" i="1"/>
  <c r="E1227" i="1"/>
  <c r="G2517" i="1"/>
  <c r="F2517" i="1"/>
  <c r="E2517" i="1"/>
  <c r="G2463" i="1"/>
  <c r="F2463" i="1"/>
  <c r="E2463" i="1"/>
  <c r="G5344" i="1"/>
  <c r="F5344" i="1"/>
  <c r="E5344" i="1"/>
  <c r="G2864" i="1"/>
  <c r="F2864" i="1"/>
  <c r="E2864" i="1"/>
  <c r="G2863" i="1"/>
  <c r="F2863" i="1"/>
  <c r="E2863" i="1"/>
  <c r="G2950" i="1"/>
  <c r="F2950" i="1"/>
  <c r="E2950" i="1"/>
  <c r="G3941" i="1"/>
  <c r="F3941" i="1"/>
  <c r="E3941" i="1"/>
  <c r="G1793" i="1"/>
  <c r="F1793" i="1"/>
  <c r="E1793" i="1"/>
  <c r="G3405" i="1"/>
  <c r="F3405" i="1"/>
  <c r="E3405" i="1"/>
  <c r="G3275" i="1"/>
  <c r="F3275" i="1"/>
  <c r="E3275" i="1"/>
  <c r="G3407" i="1"/>
  <c r="F3407" i="1"/>
  <c r="E3407" i="1"/>
  <c r="G4545" i="1"/>
  <c r="F4545" i="1"/>
  <c r="E4545" i="1"/>
  <c r="G4211" i="1"/>
  <c r="F4211" i="1"/>
  <c r="E4211" i="1"/>
  <c r="G4210" i="1"/>
  <c r="F4210" i="1"/>
  <c r="E4210" i="1"/>
  <c r="G4087" i="1"/>
  <c r="F4087" i="1"/>
  <c r="E4087" i="1"/>
  <c r="G4086" i="1"/>
  <c r="F4086" i="1"/>
  <c r="E4086" i="1"/>
  <c r="G4085" i="1"/>
  <c r="F4085" i="1"/>
  <c r="E4085" i="1"/>
  <c r="G4161" i="1"/>
  <c r="F4161" i="1"/>
  <c r="E4161" i="1"/>
  <c r="G4160" i="1"/>
  <c r="F4160" i="1"/>
  <c r="E4160" i="1"/>
  <c r="G4159" i="1"/>
  <c r="F4159" i="1"/>
  <c r="E4159" i="1"/>
  <c r="G4158" i="1"/>
  <c r="F4158" i="1"/>
  <c r="E4158" i="1"/>
  <c r="G485" i="1"/>
  <c r="F485" i="1"/>
  <c r="E485" i="1"/>
  <c r="G702" i="1"/>
  <c r="F702" i="1"/>
  <c r="E702" i="1"/>
  <c r="G603" i="1"/>
  <c r="F603" i="1"/>
  <c r="E603" i="1"/>
  <c r="G2707" i="1"/>
  <c r="F2707" i="1"/>
  <c r="E2707" i="1"/>
  <c r="G2703" i="1"/>
  <c r="F2703" i="1"/>
  <c r="E2703" i="1"/>
  <c r="G2813" i="1"/>
  <c r="F2813" i="1"/>
  <c r="E2813" i="1"/>
  <c r="G2727" i="1"/>
  <c r="F2727" i="1"/>
  <c r="E2727" i="1"/>
  <c r="G2728" i="1"/>
  <c r="F2728" i="1"/>
  <c r="E2728" i="1"/>
  <c r="G2729" i="1"/>
  <c r="F2729" i="1"/>
  <c r="E2729" i="1"/>
  <c r="G2845" i="1"/>
  <c r="F2845" i="1"/>
  <c r="E2845" i="1"/>
  <c r="G2853" i="1"/>
  <c r="F2853" i="1"/>
  <c r="E2853" i="1"/>
  <c r="G1093" i="1" l="1"/>
  <c r="F1093" i="1"/>
  <c r="E1093" i="1"/>
  <c r="G1729" i="1"/>
  <c r="F1729" i="1"/>
  <c r="E1729" i="1"/>
  <c r="G1730" i="1"/>
  <c r="F1730" i="1"/>
  <c r="E1730" i="1"/>
  <c r="G1743" i="1"/>
  <c r="F1743" i="1"/>
  <c r="E1743" i="1"/>
  <c r="G1726" i="1"/>
  <c r="F1726" i="1"/>
  <c r="E1726" i="1"/>
  <c r="G5342" i="1"/>
  <c r="F5342" i="1"/>
  <c r="E5342" i="1"/>
  <c r="G1148" i="1"/>
  <c r="F1148" i="1"/>
  <c r="E1148" i="1"/>
  <c r="G3138" i="1"/>
  <c r="F3138" i="1"/>
  <c r="E3138" i="1"/>
  <c r="G3136" i="1"/>
  <c r="F3136" i="1"/>
  <c r="E3136" i="1"/>
  <c r="G3135" i="1"/>
  <c r="F3135" i="1"/>
  <c r="E3135" i="1"/>
  <c r="G3134" i="1"/>
  <c r="F3134" i="1"/>
  <c r="E3134" i="1"/>
  <c r="G3129" i="1"/>
  <c r="F3129" i="1"/>
  <c r="E3129" i="1"/>
  <c r="G3128" i="1"/>
  <c r="F3128" i="1"/>
  <c r="E3128" i="1"/>
  <c r="G2876" i="1" l="1"/>
  <c r="F2876" i="1"/>
  <c r="E2876" i="1"/>
  <c r="G2958" i="1"/>
  <c r="F2958" i="1"/>
  <c r="E2958" i="1"/>
  <c r="G2875" i="1"/>
  <c r="F2875" i="1"/>
  <c r="E2875" i="1"/>
  <c r="G2965" i="1"/>
  <c r="F2965" i="1"/>
  <c r="E2965" i="1"/>
  <c r="G2905" i="1"/>
  <c r="F2905" i="1"/>
  <c r="E2905" i="1"/>
  <c r="G2877" i="1"/>
  <c r="F2877" i="1"/>
  <c r="E2877" i="1"/>
  <c r="G3062" i="1"/>
  <c r="F3062" i="1"/>
  <c r="E3062" i="1"/>
  <c r="G3099" i="1"/>
  <c r="F3099" i="1"/>
  <c r="E3099" i="1"/>
  <c r="G3800" i="1" l="1"/>
  <c r="F3800" i="1"/>
  <c r="E3800" i="1"/>
  <c r="G3391" i="1"/>
  <c r="F3391" i="1"/>
  <c r="E3391" i="1"/>
  <c r="G3393" i="1"/>
  <c r="F3393" i="1"/>
  <c r="E3393" i="1"/>
  <c r="G2951" i="1" l="1"/>
  <c r="F2951" i="1"/>
  <c r="E2951" i="1"/>
  <c r="G2949" i="1"/>
  <c r="F2949" i="1"/>
  <c r="E2949" i="1"/>
  <c r="G3280" i="1"/>
  <c r="F3280" i="1"/>
  <c r="E3280" i="1"/>
  <c r="G2810" i="1"/>
  <c r="F2810" i="1"/>
  <c r="E2810" i="1"/>
  <c r="G2809" i="1"/>
  <c r="F2809" i="1"/>
  <c r="E2809" i="1"/>
  <c r="G2808" i="1"/>
  <c r="F2808" i="1"/>
  <c r="E2808" i="1"/>
  <c r="G2807" i="1"/>
  <c r="F2807" i="1"/>
  <c r="E2807" i="1"/>
  <c r="G2790" i="1"/>
  <c r="F2790" i="1"/>
  <c r="E2790" i="1"/>
  <c r="G2789" i="1"/>
  <c r="F2789" i="1"/>
  <c r="E2789" i="1"/>
  <c r="G2795" i="1"/>
  <c r="F2795" i="1"/>
  <c r="E2795" i="1"/>
  <c r="G2811" i="1"/>
  <c r="F2811" i="1"/>
  <c r="E2811" i="1"/>
  <c r="G2796" i="1"/>
  <c r="F2796" i="1"/>
  <c r="E2796" i="1"/>
  <c r="G2806" i="1"/>
  <c r="F2806" i="1"/>
  <c r="E2806" i="1"/>
  <c r="G2805" i="1"/>
  <c r="F2805" i="1"/>
  <c r="E2805" i="1"/>
  <c r="G2804" i="1"/>
  <c r="F2804" i="1"/>
  <c r="E2804" i="1"/>
  <c r="G2803" i="1"/>
  <c r="F2803" i="1"/>
  <c r="E2803" i="1"/>
  <c r="G2802" i="1"/>
  <c r="F2802" i="1"/>
  <c r="E2802" i="1"/>
  <c r="G2801" i="1"/>
  <c r="F2801" i="1"/>
  <c r="E2801" i="1"/>
  <c r="G2800" i="1"/>
  <c r="F2800" i="1"/>
  <c r="E2800" i="1"/>
  <c r="G2799" i="1"/>
  <c r="F2799" i="1"/>
  <c r="E2799" i="1"/>
  <c r="G2798" i="1"/>
  <c r="F2798" i="1"/>
  <c r="E2798" i="1"/>
  <c r="G2797" i="1"/>
  <c r="F2797" i="1"/>
  <c r="E2797" i="1"/>
  <c r="G2702" i="1" l="1"/>
  <c r="F2702" i="1"/>
  <c r="E2702" i="1"/>
  <c r="G2748" i="1"/>
  <c r="F2748" i="1"/>
  <c r="E2748" i="1"/>
  <c r="G2747" i="1"/>
  <c r="F2747" i="1"/>
  <c r="E2747" i="1"/>
  <c r="G3079" i="1"/>
  <c r="F3079" i="1"/>
  <c r="E3079" i="1"/>
  <c r="G3078" i="1"/>
  <c r="F3078" i="1"/>
  <c r="E3078" i="1"/>
  <c r="G3085" i="1"/>
  <c r="F3085" i="1"/>
  <c r="E3085" i="1"/>
  <c r="G3096" i="1"/>
  <c r="F3096" i="1"/>
  <c r="E3096" i="1"/>
  <c r="G3095" i="1"/>
  <c r="F3095" i="1"/>
  <c r="E3095" i="1"/>
  <c r="G3094" i="1"/>
  <c r="F3094" i="1"/>
  <c r="E3094" i="1"/>
  <c r="G3093" i="1"/>
  <c r="F3093" i="1"/>
  <c r="E3093" i="1"/>
  <c r="G3092" i="1"/>
  <c r="F3092" i="1"/>
  <c r="E3092" i="1"/>
  <c r="G3091" i="1"/>
  <c r="F3091" i="1"/>
  <c r="E3091" i="1"/>
  <c r="G3090" i="1"/>
  <c r="F3090" i="1"/>
  <c r="E3090" i="1"/>
  <c r="G3089" i="1"/>
  <c r="F3089" i="1"/>
  <c r="E3089" i="1"/>
  <c r="G3088" i="1"/>
  <c r="F3088" i="1"/>
  <c r="E3088" i="1"/>
  <c r="G3087" i="1"/>
  <c r="F3087" i="1"/>
  <c r="E3087" i="1"/>
  <c r="G3086" i="1"/>
  <c r="F3086" i="1"/>
  <c r="E3086" i="1"/>
  <c r="G3097" i="1"/>
  <c r="F3097" i="1"/>
  <c r="E3097" i="1"/>
  <c r="G3081" i="1"/>
  <c r="F3081" i="1"/>
  <c r="E3081" i="1"/>
  <c r="G3080" i="1"/>
  <c r="F3080" i="1"/>
  <c r="E3080" i="1"/>
  <c r="G2978" i="1"/>
  <c r="F2978" i="1"/>
  <c r="E2978" i="1"/>
  <c r="G3063" i="1"/>
  <c r="F3063" i="1"/>
  <c r="E3063" i="1"/>
  <c r="G3034" i="1"/>
  <c r="F3034" i="1"/>
  <c r="E3034" i="1"/>
  <c r="G3064" i="1"/>
  <c r="F3064" i="1"/>
  <c r="E3064" i="1"/>
  <c r="G2894" i="1"/>
  <c r="F2894" i="1"/>
  <c r="E2894" i="1"/>
  <c r="G3082" i="1"/>
  <c r="F3082" i="1"/>
  <c r="E3082" i="1"/>
  <c r="G2097" i="1"/>
  <c r="F2097" i="1"/>
  <c r="E2097" i="1"/>
  <c r="G2082" i="1"/>
  <c r="F2082" i="1"/>
  <c r="E2082" i="1"/>
  <c r="G2081" i="1"/>
  <c r="F2081" i="1"/>
  <c r="E2081" i="1"/>
  <c r="G2080" i="1"/>
  <c r="F2080" i="1"/>
  <c r="E2080" i="1"/>
  <c r="G3783" i="1"/>
  <c r="F3783" i="1"/>
  <c r="E3783" i="1"/>
  <c r="G3786" i="1"/>
  <c r="F3786" i="1"/>
  <c r="E3786" i="1"/>
  <c r="E3785" i="1"/>
  <c r="F3785" i="1"/>
  <c r="G3785" i="1"/>
  <c r="G3994" i="1"/>
  <c r="F3994" i="1"/>
  <c r="E3994" i="1"/>
  <c r="G1303" i="1"/>
  <c r="F1303" i="1"/>
  <c r="E1303" i="1"/>
  <c r="G1100" i="1"/>
  <c r="F1100" i="1"/>
  <c r="E1100" i="1"/>
  <c r="G3817" i="1"/>
  <c r="F3817" i="1"/>
  <c r="E3817" i="1"/>
  <c r="G3629" i="1"/>
  <c r="F3629" i="1"/>
  <c r="E3629" i="1"/>
  <c r="G629" i="1"/>
  <c r="F629" i="1"/>
  <c r="E629" i="1"/>
  <c r="G3699" i="1"/>
  <c r="F3699" i="1"/>
  <c r="E3699" i="1"/>
  <c r="G3866" i="1"/>
  <c r="F3866" i="1"/>
  <c r="E3866" i="1"/>
  <c r="G3698" i="1"/>
  <c r="F3698" i="1"/>
  <c r="E3698" i="1"/>
  <c r="G1193" i="1"/>
  <c r="F1193" i="1"/>
  <c r="E1193" i="1"/>
  <c r="G1191" i="1"/>
  <c r="F1191" i="1"/>
  <c r="E1191" i="1"/>
  <c r="G1276" i="1"/>
  <c r="F1276" i="1"/>
  <c r="E1276" i="1"/>
  <c r="G1277" i="1"/>
  <c r="F1277" i="1"/>
  <c r="E1277" i="1"/>
  <c r="G1789" i="1"/>
  <c r="F1789" i="1"/>
  <c r="E1789" i="1"/>
  <c r="G1143" i="1"/>
  <c r="F1143" i="1"/>
  <c r="E1143" i="1"/>
  <c r="G4345" i="1"/>
  <c r="F4345" i="1"/>
  <c r="E4345" i="1"/>
  <c r="G3336" i="1"/>
  <c r="F3336" i="1"/>
  <c r="E3336" i="1"/>
  <c r="G3387" i="1"/>
  <c r="F3387" i="1"/>
  <c r="E3387" i="1"/>
  <c r="G3798" i="1"/>
  <c r="F3798" i="1"/>
  <c r="E3798" i="1"/>
  <c r="G1147" i="1"/>
  <c r="F1147" i="1"/>
  <c r="E1147" i="1"/>
  <c r="G3164" i="1"/>
  <c r="F3164" i="1"/>
  <c r="E3164" i="1"/>
  <c r="G2768" i="1"/>
  <c r="F2768" i="1"/>
  <c r="E2768" i="1"/>
  <c r="G760" i="1"/>
  <c r="F760" i="1"/>
  <c r="E760" i="1"/>
  <c r="G464" i="1"/>
  <c r="F464" i="1"/>
  <c r="E464" i="1"/>
  <c r="G1918" i="1"/>
  <c r="F1918" i="1"/>
  <c r="E1918" i="1"/>
  <c r="G463" i="1"/>
  <c r="F463" i="1"/>
  <c r="E463" i="1"/>
  <c r="G465" i="1"/>
  <c r="F465" i="1"/>
  <c r="E465" i="1"/>
  <c r="G2524" i="1"/>
  <c r="F2524" i="1"/>
  <c r="E2524" i="1"/>
  <c r="G2526" i="1"/>
  <c r="F2526" i="1"/>
  <c r="E2526" i="1"/>
  <c r="G5489" i="1" l="1"/>
  <c r="F5489" i="1"/>
  <c r="E5489" i="1"/>
  <c r="G3832" i="1"/>
  <c r="F3832" i="1"/>
  <c r="E3832" i="1"/>
  <c r="G3773" i="1"/>
  <c r="F3773" i="1"/>
  <c r="E3773" i="1"/>
  <c r="G3083" i="1"/>
  <c r="F3083" i="1"/>
  <c r="E3083" i="1"/>
  <c r="G1315" i="1"/>
  <c r="F1315" i="1"/>
  <c r="E1315" i="1"/>
  <c r="G3337" i="1"/>
  <c r="F3337" i="1"/>
  <c r="E3337" i="1"/>
  <c r="G3338" i="1"/>
  <c r="F3338" i="1"/>
  <c r="E3338" i="1"/>
  <c r="G3251" i="1"/>
  <c r="F3251" i="1"/>
  <c r="E3251" i="1"/>
  <c r="G3396" i="1"/>
  <c r="F3396" i="1"/>
  <c r="E3396" i="1"/>
  <c r="G3397" i="1"/>
  <c r="F3397" i="1"/>
  <c r="E3397" i="1"/>
  <c r="G2917" i="1"/>
  <c r="F2917" i="1"/>
  <c r="E2917" i="1"/>
  <c r="G2916" i="1"/>
  <c r="F2916" i="1"/>
  <c r="E2916" i="1"/>
  <c r="G54" i="1"/>
  <c r="F54" i="1"/>
  <c r="E54" i="1"/>
  <c r="G53" i="1"/>
  <c r="F53" i="1"/>
  <c r="E53" i="1"/>
  <c r="G52" i="1"/>
  <c r="F52" i="1"/>
  <c r="E52" i="1"/>
  <c r="G1630" i="1"/>
  <c r="F1630" i="1"/>
  <c r="E1630" i="1"/>
  <c r="G1349" i="1"/>
  <c r="F1349" i="1"/>
  <c r="E1349" i="1"/>
  <c r="G658" i="1"/>
  <c r="F658" i="1"/>
  <c r="E658" i="1"/>
  <c r="G3671" i="1"/>
  <c r="F3671" i="1"/>
  <c r="E3671" i="1"/>
  <c r="G1331" i="1"/>
  <c r="F1331" i="1"/>
  <c r="E1331" i="1"/>
  <c r="G4833" i="1"/>
  <c r="F4833" i="1"/>
  <c r="E4833" i="1"/>
  <c r="G3193" i="1"/>
  <c r="F3193" i="1"/>
  <c r="E3193" i="1"/>
  <c r="G3012" i="1"/>
  <c r="F3012" i="1"/>
  <c r="E3012" i="1"/>
  <c r="G3805" i="1"/>
  <c r="F3805" i="1"/>
  <c r="E3805" i="1"/>
  <c r="G3675" i="1"/>
  <c r="F3675" i="1"/>
  <c r="E3675" i="1"/>
  <c r="G1244" i="1"/>
  <c r="F1244" i="1"/>
  <c r="E1244" i="1"/>
  <c r="G4662" i="1"/>
  <c r="F4662" i="1"/>
  <c r="E4662" i="1"/>
  <c r="G4661" i="1"/>
  <c r="F4661" i="1"/>
  <c r="E4661" i="1"/>
  <c r="G4660" i="1"/>
  <c r="F4660" i="1"/>
  <c r="E4660" i="1"/>
  <c r="G4658" i="1"/>
  <c r="F4658" i="1"/>
  <c r="E4658" i="1"/>
  <c r="G4657" i="1"/>
  <c r="F4657" i="1"/>
  <c r="E4657" i="1"/>
  <c r="G4656" i="1"/>
  <c r="F4656" i="1"/>
  <c r="E4656" i="1"/>
  <c r="G4655" i="1"/>
  <c r="F4655" i="1"/>
  <c r="E4655" i="1"/>
  <c r="G3865" i="1"/>
  <c r="F3865" i="1"/>
  <c r="E3865" i="1"/>
  <c r="G3864" i="1"/>
  <c r="F3864" i="1"/>
  <c r="E3864" i="1"/>
  <c r="G3863" i="1"/>
  <c r="F3863" i="1"/>
  <c r="E3863" i="1"/>
  <c r="G3862" i="1"/>
  <c r="F3862" i="1"/>
  <c r="E3862" i="1"/>
  <c r="G3861" i="1"/>
  <c r="F3861" i="1"/>
  <c r="E3861" i="1"/>
  <c r="G3859" i="1"/>
  <c r="F3859" i="1"/>
  <c r="E3859" i="1"/>
  <c r="G3856" i="1"/>
  <c r="F3856" i="1"/>
  <c r="E3856" i="1"/>
  <c r="G1155" i="1"/>
  <c r="F1155" i="1"/>
  <c r="E1155" i="1"/>
  <c r="G286" i="1"/>
  <c r="F286" i="1"/>
  <c r="E286" i="1"/>
  <c r="G3646" i="1"/>
  <c r="F3646" i="1"/>
  <c r="E3646" i="1"/>
  <c r="G3648" i="1"/>
  <c r="F3648" i="1"/>
  <c r="E3648" i="1"/>
  <c r="G3647" i="1"/>
  <c r="F3647" i="1"/>
  <c r="E3647" i="1"/>
  <c r="G3643" i="1"/>
  <c r="F3643" i="1"/>
  <c r="E3643" i="1"/>
  <c r="G3645" i="1"/>
  <c r="F3645" i="1"/>
  <c r="E3645" i="1"/>
  <c r="G906" i="1"/>
  <c r="F906" i="1"/>
  <c r="E906" i="1"/>
  <c r="G3978" i="1"/>
  <c r="F3978" i="1"/>
  <c r="E3978" i="1"/>
  <c r="G3962" i="1"/>
  <c r="F3962" i="1"/>
  <c r="E3962" i="1"/>
  <c r="G3988" i="1"/>
  <c r="F3988" i="1"/>
  <c r="E3988" i="1"/>
  <c r="G5638" i="1"/>
  <c r="F5638" i="1"/>
  <c r="E5638" i="1"/>
  <c r="G3984" i="1"/>
  <c r="F3984" i="1"/>
  <c r="E3984" i="1"/>
  <c r="G3992" i="1"/>
  <c r="F3992" i="1"/>
  <c r="E3992" i="1"/>
  <c r="G3995" i="1"/>
  <c r="F3995" i="1"/>
  <c r="E3995" i="1"/>
  <c r="G3993" i="1"/>
  <c r="F3993" i="1"/>
  <c r="E3993" i="1"/>
  <c r="G5644" i="1"/>
  <c r="F5644" i="1"/>
  <c r="E5644" i="1"/>
  <c r="G5646" i="1"/>
  <c r="F5646" i="1"/>
  <c r="E5646" i="1"/>
  <c r="G5643" i="1"/>
  <c r="F5643" i="1"/>
  <c r="E5643" i="1"/>
  <c r="G918" i="1"/>
  <c r="F918" i="1"/>
  <c r="E918" i="1"/>
  <c r="G1055" i="1"/>
  <c r="F1055" i="1"/>
  <c r="E1055" i="1"/>
  <c r="G1057" i="1"/>
  <c r="F1057" i="1"/>
  <c r="E1057" i="1"/>
  <c r="G5610" i="1"/>
  <c r="F5610" i="1"/>
  <c r="E5610" i="1"/>
  <c r="G2868" i="1"/>
  <c r="F2868" i="1"/>
  <c r="E2868" i="1"/>
  <c r="E3190" i="1"/>
  <c r="F3190" i="1"/>
  <c r="G3190" i="1"/>
  <c r="G2972" i="1"/>
  <c r="F2972" i="1"/>
  <c r="E2972" i="1"/>
  <c r="G2867" i="1"/>
  <c r="F2867" i="1"/>
  <c r="E2867" i="1"/>
  <c r="G616" i="1"/>
  <c r="F616" i="1"/>
  <c r="E616" i="1"/>
  <c r="G1926" i="1"/>
  <c r="F1926" i="1"/>
  <c r="E1926" i="1"/>
  <c r="G1925" i="1"/>
  <c r="F1925" i="1"/>
  <c r="E1925" i="1"/>
  <c r="G2563" i="1"/>
  <c r="F2563" i="1"/>
  <c r="E2563" i="1"/>
  <c r="G2562" i="1"/>
  <c r="F2562" i="1"/>
  <c r="E2562" i="1"/>
  <c r="G5227" i="1"/>
  <c r="F5227" i="1"/>
  <c r="E5227" i="1"/>
  <c r="G5226" i="1"/>
  <c r="F5226" i="1"/>
  <c r="E5226" i="1"/>
  <c r="G5225" i="1"/>
  <c r="F5225" i="1"/>
  <c r="E5225" i="1"/>
  <c r="G3730" i="1"/>
  <c r="F3730" i="1"/>
  <c r="E3730" i="1"/>
  <c r="G3704" i="1"/>
  <c r="F3704" i="1"/>
  <c r="E3704" i="1"/>
  <c r="G3702" i="1"/>
  <c r="F3702" i="1"/>
  <c r="E3702" i="1"/>
  <c r="G3700" i="1"/>
  <c r="F3700" i="1"/>
  <c r="E3700" i="1"/>
  <c r="G551" i="1"/>
  <c r="F551" i="1"/>
  <c r="E551" i="1"/>
  <c r="G3703" i="1"/>
  <c r="F3703" i="1"/>
  <c r="E3703" i="1"/>
  <c r="G3738" i="1"/>
  <c r="F3738" i="1"/>
  <c r="E3738" i="1"/>
  <c r="G3741" i="1"/>
  <c r="F3741" i="1"/>
  <c r="E3741" i="1"/>
  <c r="G3739" i="1"/>
  <c r="F3739" i="1"/>
  <c r="E3739" i="1"/>
  <c r="G3736" i="1"/>
  <c r="F3736" i="1"/>
  <c r="E3736" i="1"/>
  <c r="G3737" i="1"/>
  <c r="F3737" i="1"/>
  <c r="E3737" i="1"/>
  <c r="G3740" i="1"/>
  <c r="F3740" i="1"/>
  <c r="E3740" i="1"/>
  <c r="G3725" i="1"/>
  <c r="F3725" i="1"/>
  <c r="E3725" i="1"/>
  <c r="G3731" i="1"/>
  <c r="F3731" i="1"/>
  <c r="E3731" i="1"/>
  <c r="G3727" i="1"/>
  <c r="F3727" i="1"/>
  <c r="E3727" i="1"/>
  <c r="G3732" i="1"/>
  <c r="F3732" i="1"/>
  <c r="E3732" i="1"/>
  <c r="G3734" i="1"/>
  <c r="F3734" i="1"/>
  <c r="E3734" i="1"/>
  <c r="G3733" i="1"/>
  <c r="F3733" i="1"/>
  <c r="E3733" i="1"/>
  <c r="G3712" i="1"/>
  <c r="F3712" i="1"/>
  <c r="E3712" i="1"/>
  <c r="G3729" i="1"/>
  <c r="F3729" i="1"/>
  <c r="E3729" i="1"/>
  <c r="G3726" i="1"/>
  <c r="F3726" i="1"/>
  <c r="E3726" i="1"/>
  <c r="G4184" i="1"/>
  <c r="F4184" i="1"/>
  <c r="E4184" i="1"/>
  <c r="G4124" i="1"/>
  <c r="F4124" i="1"/>
  <c r="E4124" i="1"/>
  <c r="G666" i="1"/>
  <c r="F666" i="1"/>
  <c r="E666" i="1"/>
  <c r="G97" i="1"/>
  <c r="F97" i="1"/>
  <c r="E97" i="1"/>
  <c r="E4137" i="1"/>
  <c r="G2494" i="1"/>
  <c r="F2494" i="1"/>
  <c r="E2494" i="1"/>
  <c r="G2473" i="1"/>
  <c r="F2473" i="1"/>
  <c r="E2473" i="1"/>
  <c r="G2412" i="1"/>
  <c r="F2412" i="1"/>
  <c r="E2412" i="1"/>
  <c r="E4672" i="1"/>
  <c r="F4672" i="1"/>
  <c r="G4672" i="1"/>
  <c r="G4526" i="1"/>
  <c r="F4526" i="1"/>
  <c r="E4526" i="1"/>
  <c r="G5201" i="1"/>
  <c r="F5201" i="1"/>
  <c r="E5201" i="1"/>
  <c r="G5204" i="1"/>
  <c r="F5204" i="1"/>
  <c r="E5204" i="1"/>
  <c r="E5203" i="1"/>
  <c r="F5203" i="1"/>
  <c r="G5203" i="1"/>
  <c r="E5223" i="1"/>
  <c r="F5223" i="1"/>
  <c r="G5223" i="1"/>
  <c r="E4673" i="1"/>
  <c r="F4673" i="1"/>
  <c r="G4673" i="1"/>
  <c r="E5202" i="1"/>
  <c r="F5202" i="1"/>
  <c r="G5202" i="1"/>
  <c r="G848" i="1"/>
  <c r="F848" i="1"/>
  <c r="E848" i="1"/>
  <c r="G307" i="1"/>
  <c r="F307" i="1"/>
  <c r="E307" i="1"/>
  <c r="G2495" i="1"/>
  <c r="F2495" i="1"/>
  <c r="E2495" i="1"/>
  <c r="G2474" i="1"/>
  <c r="F2474" i="1"/>
  <c r="E2474" i="1"/>
  <c r="G2442" i="1"/>
  <c r="F2442" i="1"/>
  <c r="E2442" i="1"/>
  <c r="G2441" i="1"/>
  <c r="F2441" i="1"/>
  <c r="E2441" i="1"/>
  <c r="G2440" i="1"/>
  <c r="F2440" i="1"/>
  <c r="E2440" i="1"/>
  <c r="G2439" i="1"/>
  <c r="F2439" i="1"/>
  <c r="E2439" i="1"/>
  <c r="G2438" i="1"/>
  <c r="F2438" i="1"/>
  <c r="E2438" i="1"/>
  <c r="G2437" i="1"/>
  <c r="F2437" i="1"/>
  <c r="E2437" i="1"/>
  <c r="G2436" i="1"/>
  <c r="F2436" i="1"/>
  <c r="E2436" i="1"/>
  <c r="G2435" i="1"/>
  <c r="F2435" i="1"/>
  <c r="E2435" i="1"/>
  <c r="G2434" i="1"/>
  <c r="F2434" i="1"/>
  <c r="E2434" i="1"/>
  <c r="G2433" i="1"/>
  <c r="F2433" i="1"/>
  <c r="E2433" i="1"/>
  <c r="G2432" i="1"/>
  <c r="F2432" i="1"/>
  <c r="E2432" i="1"/>
  <c r="G2431" i="1"/>
  <c r="F2431" i="1"/>
  <c r="E2431" i="1"/>
  <c r="G2397" i="1"/>
  <c r="F2397" i="1"/>
  <c r="E2397" i="1"/>
  <c r="G2498" i="1"/>
  <c r="F2498" i="1"/>
  <c r="E2498" i="1"/>
  <c r="G2472" i="1"/>
  <c r="F2472" i="1"/>
  <c r="E2472" i="1"/>
  <c r="G2458" i="1"/>
  <c r="F2458" i="1"/>
  <c r="E2458" i="1"/>
  <c r="G2457" i="1"/>
  <c r="F2457" i="1"/>
  <c r="E2457" i="1"/>
  <c r="G3223" i="1"/>
  <c r="F3223" i="1"/>
  <c r="E3223" i="1"/>
  <c r="G779" i="1"/>
  <c r="F779" i="1"/>
  <c r="E779" i="1"/>
  <c r="G956" i="1"/>
  <c r="F956" i="1"/>
  <c r="E956" i="1"/>
  <c r="G944" i="1"/>
  <c r="F944" i="1"/>
  <c r="E944" i="1"/>
  <c r="G621" i="1"/>
  <c r="F621" i="1"/>
  <c r="E621" i="1"/>
  <c r="G1249" i="1"/>
  <c r="G2701" i="1"/>
  <c r="F2701" i="1"/>
  <c r="E2701" i="1"/>
  <c r="G4384" i="1"/>
  <c r="F4384" i="1"/>
  <c r="E4384" i="1"/>
  <c r="G3969" i="1"/>
  <c r="F3969" i="1"/>
  <c r="E3969" i="1"/>
  <c r="G3972" i="1"/>
  <c r="F3972" i="1"/>
  <c r="E3972" i="1"/>
  <c r="G3968" i="1"/>
  <c r="F3968" i="1"/>
  <c r="E3968" i="1"/>
  <c r="G3967" i="1"/>
  <c r="F3967" i="1"/>
  <c r="E3967" i="1"/>
  <c r="G3971" i="1"/>
  <c r="F3971" i="1"/>
  <c r="E3971" i="1"/>
  <c r="G3966" i="1"/>
  <c r="F3966" i="1"/>
  <c r="E3966" i="1"/>
  <c r="G4336" i="1"/>
  <c r="F4336" i="1"/>
  <c r="E4336" i="1"/>
  <c r="G3965" i="1"/>
  <c r="F3965" i="1"/>
  <c r="E3965" i="1"/>
  <c r="G3959" i="1"/>
  <c r="F3959" i="1"/>
  <c r="E3959" i="1"/>
  <c r="G3973" i="1"/>
  <c r="F3973" i="1"/>
  <c r="E3973" i="1"/>
  <c r="G3970" i="1"/>
  <c r="F3970" i="1"/>
  <c r="E3970" i="1"/>
  <c r="G3976" i="1"/>
  <c r="F3976" i="1"/>
  <c r="E3976" i="1"/>
  <c r="G3975" i="1"/>
  <c r="F3975" i="1"/>
  <c r="E3975" i="1"/>
  <c r="G5645" i="1"/>
  <c r="F5645" i="1"/>
  <c r="E5645" i="1"/>
  <c r="G3997" i="1"/>
  <c r="F3997" i="1"/>
  <c r="E3997" i="1"/>
  <c r="G5637" i="1"/>
  <c r="F5637" i="1"/>
  <c r="E5637" i="1"/>
  <c r="G5639" i="1"/>
  <c r="F5639" i="1"/>
  <c r="E5639" i="1"/>
  <c r="G3989" i="1"/>
  <c r="F3989" i="1"/>
  <c r="E3989" i="1"/>
  <c r="G3986" i="1"/>
  <c r="F3986" i="1"/>
  <c r="E3986" i="1"/>
  <c r="G2099" i="1"/>
  <c r="F2099" i="1"/>
  <c r="E2099" i="1"/>
  <c r="G2098" i="1"/>
  <c r="F2098" i="1"/>
  <c r="E2098" i="1"/>
  <c r="G1031" i="1" l="1"/>
  <c r="F1031" i="1"/>
  <c r="E1031" i="1"/>
  <c r="G3415" i="1"/>
  <c r="F3415" i="1"/>
  <c r="E3415" i="1"/>
  <c r="G3398" i="1"/>
  <c r="F3398" i="1"/>
  <c r="E3398" i="1"/>
  <c r="G3249" i="1"/>
  <c r="F3249" i="1"/>
  <c r="E3249" i="1"/>
  <c r="G3248" i="1"/>
  <c r="F3248" i="1"/>
  <c r="E3248" i="1"/>
  <c r="G3247" i="1"/>
  <c r="F3247" i="1"/>
  <c r="E3247" i="1"/>
  <c r="G3420" i="1"/>
  <c r="F3420" i="1"/>
  <c r="E3420" i="1"/>
  <c r="G3644" i="1"/>
  <c r="F3644" i="1"/>
  <c r="E3644" i="1"/>
  <c r="G3649" i="1"/>
  <c r="F3649" i="1"/>
  <c r="E3649" i="1"/>
  <c r="G3411" i="1"/>
  <c r="F3411" i="1"/>
  <c r="E3411" i="1"/>
  <c r="G4029" i="1"/>
  <c r="F4029" i="1"/>
  <c r="E4029" i="1"/>
  <c r="G3156" i="1"/>
  <c r="F3156" i="1"/>
  <c r="E3156" i="1"/>
  <c r="G975" i="1"/>
  <c r="F975" i="1"/>
  <c r="E975" i="1"/>
  <c r="G509" i="1"/>
  <c r="F509" i="1"/>
  <c r="E509" i="1"/>
  <c r="G483" i="1"/>
  <c r="F483" i="1"/>
  <c r="E483" i="1"/>
  <c r="G3829" i="1"/>
  <c r="F3829" i="1"/>
  <c r="E3829" i="1"/>
  <c r="G3828" i="1"/>
  <c r="F3828" i="1"/>
  <c r="E3828" i="1"/>
  <c r="G3818" i="1"/>
  <c r="F3818" i="1"/>
  <c r="E3818" i="1"/>
  <c r="G3742" i="1"/>
  <c r="F3742" i="1"/>
  <c r="E3742" i="1"/>
  <c r="E5196" i="1"/>
  <c r="F5196" i="1"/>
  <c r="G5196" i="1"/>
  <c r="G5266" i="1"/>
  <c r="F5266" i="1"/>
  <c r="E5266" i="1"/>
  <c r="G2930" i="1"/>
  <c r="F2930" i="1"/>
  <c r="E2930" i="1"/>
  <c r="G3464" i="1"/>
  <c r="F3464" i="1"/>
  <c r="E3464" i="1"/>
  <c r="G324" i="1"/>
  <c r="F324" i="1"/>
  <c r="E324" i="1"/>
  <c r="G3435" i="1"/>
  <c r="F3435" i="1"/>
  <c r="E3435" i="1"/>
  <c r="G3158" i="1"/>
  <c r="F3158" i="1"/>
  <c r="E3158" i="1"/>
  <c r="G3157" i="1"/>
  <c r="F3157" i="1"/>
  <c r="E3157" i="1"/>
  <c r="G3167" i="1"/>
  <c r="F3167" i="1"/>
  <c r="E3167" i="1"/>
  <c r="G3160" i="1"/>
  <c r="F3160" i="1"/>
  <c r="E3160" i="1"/>
  <c r="G3159" i="1"/>
  <c r="F3159" i="1"/>
  <c r="E3159" i="1"/>
  <c r="G2981" i="1"/>
  <c r="F2981" i="1"/>
  <c r="E2981" i="1"/>
  <c r="G3153" i="1"/>
  <c r="F3153" i="1"/>
  <c r="E3153" i="1"/>
  <c r="G3191" i="1"/>
  <c r="F3191" i="1"/>
  <c r="E3191" i="1"/>
  <c r="G3192" i="1"/>
  <c r="F3192" i="1"/>
  <c r="E3192" i="1"/>
  <c r="G3938" i="1"/>
  <c r="F3938" i="1"/>
  <c r="E3938" i="1"/>
  <c r="G2860" i="1"/>
  <c r="F2860" i="1"/>
  <c r="E2860" i="1"/>
  <c r="G3060" i="1"/>
  <c r="F3060" i="1"/>
  <c r="E3060" i="1"/>
  <c r="G2862" i="1"/>
  <c r="F2862" i="1"/>
  <c r="E2862" i="1"/>
  <c r="G2861" i="1"/>
  <c r="F2861" i="1"/>
  <c r="E2861" i="1"/>
  <c r="G3195" i="1"/>
  <c r="F3195" i="1"/>
  <c r="E3195" i="1"/>
  <c r="G2866" i="1"/>
  <c r="F2866" i="1"/>
  <c r="E2866" i="1"/>
  <c r="G3194" i="1"/>
  <c r="F3194" i="1"/>
  <c r="E3194" i="1"/>
  <c r="G3196" i="1"/>
  <c r="F3196" i="1"/>
  <c r="E3196" i="1"/>
  <c r="G2942" i="1"/>
  <c r="F2942" i="1"/>
  <c r="E2942" i="1"/>
  <c r="G2927" i="1"/>
  <c r="F2927" i="1"/>
  <c r="E2927" i="1"/>
  <c r="G2928" i="1"/>
  <c r="F2928" i="1"/>
  <c r="E2928" i="1"/>
  <c r="G2915" i="1"/>
  <c r="F2915" i="1"/>
  <c r="E2915" i="1"/>
  <c r="G2907" i="1"/>
  <c r="F2907" i="1"/>
  <c r="E2907" i="1"/>
  <c r="F2968" i="1"/>
  <c r="E2968" i="1"/>
  <c r="G2913" i="1"/>
  <c r="F2913" i="1"/>
  <c r="E2913" i="1"/>
  <c r="G1317" i="1"/>
  <c r="F1317" i="1"/>
  <c r="E1317" i="1"/>
  <c r="G327" i="1"/>
  <c r="F327" i="1"/>
  <c r="E327" i="1"/>
  <c r="G79" i="1"/>
  <c r="F79" i="1"/>
  <c r="E79" i="1"/>
  <c r="G337" i="1"/>
  <c r="F337" i="1"/>
  <c r="E337" i="1"/>
  <c r="G3073" i="1"/>
  <c r="F3073" i="1"/>
  <c r="E3073" i="1"/>
  <c r="G3796" i="1"/>
  <c r="F3796" i="1"/>
  <c r="E3796" i="1"/>
  <c r="G627" i="1"/>
  <c r="F627" i="1"/>
  <c r="E627" i="1"/>
  <c r="G1400" i="1"/>
  <c r="F1400" i="1"/>
  <c r="E1400" i="1"/>
  <c r="G1403" i="1"/>
  <c r="F1403" i="1"/>
  <c r="E1403" i="1"/>
  <c r="G1401" i="1"/>
  <c r="F1401" i="1"/>
  <c r="E1401" i="1"/>
  <c r="G2478" i="1"/>
  <c r="F2478" i="1"/>
  <c r="E2478" i="1"/>
  <c r="G2514" i="1"/>
  <c r="F2514" i="1"/>
  <c r="E2514" i="1"/>
  <c r="G3676" i="1"/>
  <c r="F3676" i="1"/>
  <c r="E3676" i="1"/>
  <c r="G3744" i="1"/>
  <c r="F3744" i="1"/>
  <c r="E3744" i="1"/>
  <c r="G3806" i="1"/>
  <c r="F3806" i="1"/>
  <c r="E3806" i="1"/>
  <c r="G3812" i="1"/>
  <c r="F3812" i="1"/>
  <c r="E3812" i="1"/>
  <c r="G3820" i="1"/>
  <c r="F3820" i="1"/>
  <c r="E3820" i="1"/>
  <c r="G3939" i="1"/>
  <c r="G3940" i="1"/>
  <c r="G3937" i="1"/>
  <c r="G3936" i="1"/>
  <c r="G3858" i="1"/>
  <c r="G3942" i="1"/>
  <c r="G3943" i="1"/>
  <c r="G3944" i="1"/>
  <c r="G3945" i="1"/>
  <c r="G3946" i="1"/>
  <c r="G2" i="1"/>
  <c r="G3701" i="1"/>
  <c r="G3" i="1"/>
  <c r="G4" i="1"/>
  <c r="G5" i="1"/>
  <c r="G6" i="1"/>
  <c r="G7" i="1"/>
  <c r="G8" i="1"/>
  <c r="G9" i="1"/>
  <c r="G10" i="1"/>
  <c r="G11" i="1"/>
  <c r="G12" i="1"/>
  <c r="G14" i="1"/>
  <c r="G15" i="1"/>
  <c r="G13" i="1"/>
  <c r="G4378" i="1"/>
  <c r="G5224" i="1"/>
  <c r="G16" i="1"/>
  <c r="G23" i="1"/>
  <c r="G20" i="1"/>
  <c r="G17" i="1"/>
  <c r="G18" i="1"/>
  <c r="G19" i="1"/>
  <c r="G21" i="1"/>
  <c r="G22" i="1"/>
  <c r="G24" i="1"/>
  <c r="G25" i="1"/>
  <c r="G26" i="1"/>
  <c r="G27" i="1"/>
  <c r="G28" i="1"/>
  <c r="G29" i="1"/>
  <c r="G31" i="1"/>
  <c r="G30" i="1"/>
  <c r="G478" i="1"/>
  <c r="G506" i="1"/>
  <c r="G5328" i="1"/>
  <c r="G90" i="1"/>
  <c r="G91" i="1"/>
  <c r="G5330" i="1"/>
  <c r="G508" i="1"/>
  <c r="G480" i="1"/>
  <c r="G2153" i="1"/>
  <c r="G92" i="1"/>
  <c r="G88" i="1"/>
  <c r="G481" i="1"/>
  <c r="G126" i="1"/>
  <c r="G482" i="1"/>
  <c r="G510" i="1"/>
  <c r="G127" i="1"/>
  <c r="G93" i="1"/>
  <c r="G128" i="1"/>
  <c r="G129" i="1"/>
  <c r="G130" i="1"/>
  <c r="G131" i="1"/>
  <c r="G132" i="1"/>
  <c r="G133" i="1"/>
  <c r="G94" i="1"/>
  <c r="G134" i="1"/>
  <c r="G5343" i="1"/>
  <c r="G65" i="1"/>
  <c r="G95" i="1"/>
  <c r="G135" i="1"/>
  <c r="G484" i="1"/>
  <c r="G581" i="1"/>
  <c r="G136" i="1"/>
  <c r="G137" i="1"/>
  <c r="G542" i="1"/>
  <c r="G43" i="1"/>
  <c r="G473" i="1"/>
  <c r="G543" i="1"/>
  <c r="G66" i="1"/>
  <c r="G96" i="1"/>
  <c r="G138" i="1"/>
  <c r="G5345" i="1"/>
  <c r="G139" i="1"/>
  <c r="G140" i="1"/>
  <c r="G34" i="1"/>
  <c r="G141" i="1"/>
  <c r="G142" i="1"/>
  <c r="G5333" i="1"/>
  <c r="G578" i="1"/>
  <c r="G98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419" i="1"/>
  <c r="G161" i="1"/>
  <c r="G162" i="1"/>
  <c r="G163" i="1"/>
  <c r="G164" i="1"/>
  <c r="G165" i="1"/>
  <c r="G166" i="1"/>
  <c r="G167" i="1"/>
  <c r="G168" i="1"/>
  <c r="G429" i="1"/>
  <c r="G1182" i="1"/>
  <c r="G486" i="1"/>
  <c r="G799" i="1"/>
  <c r="G169" i="1"/>
  <c r="G170" i="1"/>
  <c r="G171" i="1"/>
  <c r="G64" i="1"/>
  <c r="G99" i="1"/>
  <c r="G430" i="1"/>
  <c r="G3363" i="1"/>
  <c r="G334" i="1"/>
  <c r="G487" i="1"/>
  <c r="G544" i="1"/>
  <c r="G172" i="1"/>
  <c r="G173" i="1"/>
  <c r="G174" i="1"/>
  <c r="G175" i="1"/>
  <c r="G176" i="1"/>
  <c r="G177" i="1"/>
  <c r="G67" i="1"/>
  <c r="G545" i="1"/>
  <c r="G178" i="1"/>
  <c r="G179" i="1"/>
  <c r="G489" i="1"/>
  <c r="G420" i="1"/>
  <c r="G490" i="1"/>
  <c r="G180" i="1"/>
  <c r="G375" i="1"/>
  <c r="G181" i="1"/>
  <c r="G491" i="1"/>
  <c r="G512" i="1"/>
  <c r="G492" i="1"/>
  <c r="G100" i="1"/>
  <c r="G434" i="1"/>
  <c r="G376" i="1"/>
  <c r="G377" i="1"/>
  <c r="G378" i="1"/>
  <c r="G379" i="1"/>
  <c r="G380" i="1"/>
  <c r="G381" i="1"/>
  <c r="G182" i="1"/>
  <c r="G183" i="1"/>
  <c r="G4568" i="1"/>
  <c r="G184" i="1"/>
  <c r="G546" i="1"/>
  <c r="G185" i="1"/>
  <c r="G186" i="1"/>
  <c r="G187" i="1"/>
  <c r="G188" i="1"/>
  <c r="G189" i="1"/>
  <c r="G190" i="1"/>
  <c r="G414" i="1"/>
  <c r="G35" i="1"/>
  <c r="G191" i="1"/>
  <c r="G431" i="1"/>
  <c r="G428" i="1"/>
  <c r="G657" i="1"/>
  <c r="G101" i="1"/>
  <c r="G36" i="1"/>
  <c r="G37" i="1"/>
  <c r="G1755" i="1"/>
  <c r="G102" i="1"/>
  <c r="G382" i="1"/>
  <c r="G383" i="1"/>
  <c r="G513" i="1"/>
  <c r="G38" i="1"/>
  <c r="G335" i="1"/>
  <c r="G192" i="1"/>
  <c r="G193" i="1"/>
  <c r="G194" i="1"/>
  <c r="G195" i="1"/>
  <c r="G196" i="1"/>
  <c r="G197" i="1"/>
  <c r="G198" i="1"/>
  <c r="G199" i="1"/>
  <c r="G200" i="1"/>
  <c r="G325" i="1"/>
  <c r="G326" i="1"/>
  <c r="G3364" i="1"/>
  <c r="G73" i="1"/>
  <c r="G547" i="1"/>
  <c r="G493" i="1"/>
  <c r="G571" i="1"/>
  <c r="G247" i="1"/>
  <c r="G74" i="1"/>
  <c r="G68" i="1"/>
  <c r="G384" i="1"/>
  <c r="G386" i="1"/>
  <c r="G549" i="1"/>
  <c r="G336" i="1"/>
  <c r="G248" i="1"/>
  <c r="G249" i="1"/>
  <c r="G250" i="1"/>
  <c r="G251" i="1"/>
  <c r="G252" i="1"/>
  <c r="G253" i="1"/>
  <c r="G254" i="1"/>
  <c r="G255" i="1"/>
  <c r="G256" i="1"/>
  <c r="G75" i="1"/>
  <c r="G76" i="1"/>
  <c r="G77" i="1"/>
  <c r="G39" i="1"/>
  <c r="G257" i="1"/>
  <c r="G258" i="1"/>
  <c r="G259" i="1"/>
  <c r="G260" i="1"/>
  <c r="G261" i="1"/>
  <c r="G262" i="1"/>
  <c r="G40" i="1"/>
  <c r="G78" i="1"/>
  <c r="G263" i="1"/>
  <c r="G264" i="1"/>
  <c r="G265" i="1"/>
  <c r="G266" i="1"/>
  <c r="G103" i="1"/>
  <c r="G104" i="1"/>
  <c r="G70" i="1"/>
  <c r="G494" i="1"/>
  <c r="G268" i="1"/>
  <c r="G515" i="1"/>
  <c r="G269" i="1"/>
  <c r="G3219" i="1"/>
  <c r="G270" i="1"/>
  <c r="G271" i="1"/>
  <c r="G272" i="1"/>
  <c r="G273" i="1"/>
  <c r="G274" i="1"/>
  <c r="G275" i="1"/>
  <c r="G276" i="1"/>
  <c r="G421" i="1"/>
  <c r="G55" i="1"/>
  <c r="G435" i="1"/>
  <c r="G550" i="1"/>
  <c r="G106" i="1"/>
  <c r="G201" i="1"/>
  <c r="G202" i="1"/>
  <c r="G808" i="1"/>
  <c r="G894" i="1"/>
  <c r="G107" i="1"/>
  <c r="G1056" i="1"/>
  <c r="G2634" i="1"/>
  <c r="G108" i="1"/>
  <c r="G109" i="1"/>
  <c r="G110" i="1"/>
  <c r="G111" i="1"/>
  <c r="G112" i="1"/>
  <c r="G2008" i="1"/>
  <c r="G516" i="1"/>
  <c r="G849" i="1"/>
  <c r="G517" i="1"/>
  <c r="G518" i="1"/>
  <c r="G519" i="1"/>
  <c r="G520" i="1"/>
  <c r="G521" i="1"/>
  <c r="G769" i="1"/>
  <c r="G522" i="1"/>
  <c r="G523" i="1"/>
  <c r="G524" i="1"/>
  <c r="G525" i="1"/>
  <c r="G526" i="1"/>
  <c r="G527" i="1"/>
  <c r="G528" i="1"/>
  <c r="G529" i="1"/>
  <c r="G530" i="1"/>
  <c r="G531" i="1"/>
  <c r="G533" i="1"/>
  <c r="G534" i="1"/>
  <c r="G278" i="1"/>
  <c r="G279" i="1"/>
  <c r="G280" i="1"/>
  <c r="G281" i="1"/>
  <c r="G282" i="1"/>
  <c r="G423" i="1"/>
  <c r="G113" i="1"/>
  <c r="G437" i="1"/>
  <c r="G766" i="1"/>
  <c r="G125" i="1"/>
  <c r="G424" i="1"/>
  <c r="G4546" i="1"/>
  <c r="G535" i="1"/>
  <c r="G284" i="1"/>
  <c r="G285" i="1"/>
  <c r="G287" i="1"/>
  <c r="G288" i="1"/>
  <c r="G289" i="1"/>
  <c r="G290" i="1"/>
  <c r="G291" i="1"/>
  <c r="G634" i="1"/>
  <c r="G292" i="1"/>
  <c r="G294" i="1"/>
  <c r="G296" i="1"/>
  <c r="G297" i="1"/>
  <c r="G298" i="1"/>
  <c r="G299" i="1"/>
  <c r="G2338" i="1"/>
  <c r="G300" i="1"/>
  <c r="G305" i="1"/>
  <c r="G1034" i="1"/>
  <c r="G942" i="1"/>
  <c r="G311" i="1"/>
  <c r="G314" i="1"/>
  <c r="G1723" i="1"/>
  <c r="G4596" i="1"/>
  <c r="G319" i="1"/>
  <c r="G321" i="1"/>
  <c r="G323" i="1"/>
  <c r="G438" i="1"/>
  <c r="G388" i="1"/>
  <c r="G497" i="1"/>
  <c r="G1032" i="1"/>
  <c r="G573" i="1"/>
  <c r="G574" i="1"/>
  <c r="G575" i="1"/>
  <c r="G576" i="1"/>
  <c r="G577" i="1"/>
  <c r="G1307" i="1"/>
  <c r="G440" i="1"/>
  <c r="G498" i="1"/>
  <c r="G71" i="1"/>
  <c r="G72" i="1"/>
  <c r="G499" i="1"/>
  <c r="G536" i="1"/>
  <c r="G537" i="1"/>
  <c r="G538" i="1"/>
  <c r="G328" i="1"/>
  <c r="G329" i="1"/>
  <c r="G798" i="1"/>
  <c r="G2043" i="1"/>
  <c r="G80" i="1"/>
  <c r="G3429" i="1"/>
  <c r="G2693" i="1"/>
  <c r="G1547" i="1"/>
  <c r="G441" i="1"/>
  <c r="G2459" i="1"/>
  <c r="G1727" i="1"/>
  <c r="G1472" i="1"/>
  <c r="G580" i="1"/>
  <c r="G5347" i="1"/>
  <c r="G631" i="1"/>
  <c r="G633" i="1"/>
  <c r="G714" i="1"/>
  <c r="G1316" i="1"/>
  <c r="G1314" i="1"/>
  <c r="G442" i="1"/>
  <c r="G425" i="1"/>
  <c r="G415" i="1"/>
  <c r="G330" i="1"/>
  <c r="G3226" i="1"/>
  <c r="G3227" i="1"/>
  <c r="G123" i="1"/>
  <c r="G124" i="1"/>
  <c r="G115" i="1"/>
  <c r="G89" i="1"/>
  <c r="G2973" i="1"/>
  <c r="G81" i="1"/>
  <c r="G82" i="1"/>
  <c r="G83" i="1"/>
  <c r="G84" i="1"/>
  <c r="G41" i="1"/>
  <c r="G416" i="1"/>
  <c r="G624" i="1"/>
  <c r="G1725" i="1"/>
  <c r="G505" i="1"/>
  <c r="G4137" i="1"/>
  <c r="G3880" i="1"/>
  <c r="G333" i="1"/>
  <c r="G33" i="1"/>
  <c r="G44" i="1"/>
  <c r="G45" i="1"/>
  <c r="G46" i="1"/>
  <c r="G47" i="1"/>
  <c r="G48" i="1"/>
  <c r="G56" i="1"/>
  <c r="G57" i="1"/>
  <c r="G58" i="1"/>
  <c r="G59" i="1"/>
  <c r="G60" i="1"/>
  <c r="G61" i="1"/>
  <c r="G62" i="1"/>
  <c r="G63" i="1"/>
  <c r="G85" i="1"/>
  <c r="G86" i="1"/>
  <c r="G203" i="1"/>
  <c r="G204" i="1"/>
  <c r="G205" i="1"/>
  <c r="G206" i="1"/>
  <c r="G207" i="1"/>
  <c r="G208" i="1"/>
  <c r="G209" i="1"/>
  <c r="G210" i="1"/>
  <c r="G211" i="1"/>
  <c r="G389" i="1"/>
  <c r="G390" i="1"/>
  <c r="G391" i="1"/>
  <c r="G474" i="1"/>
  <c r="G475" i="1"/>
  <c r="G476" i="1"/>
  <c r="G477" i="1"/>
  <c r="G432" i="1"/>
  <c r="G448" i="1"/>
  <c r="G449" i="1"/>
  <c r="G539" i="1"/>
  <c r="G42" i="1"/>
  <c r="G87" i="1"/>
  <c r="G116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338" i="1"/>
  <c r="G339" i="1"/>
  <c r="G340" i="1"/>
  <c r="G341" i="1"/>
  <c r="G342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1927" i="1"/>
  <c r="G426" i="1"/>
  <c r="G427" i="1"/>
  <c r="G433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500" i="1"/>
  <c r="G501" i="1"/>
  <c r="G5348" i="1"/>
  <c r="G553" i="1"/>
  <c r="G554" i="1"/>
  <c r="G555" i="1"/>
  <c r="G239" i="1"/>
  <c r="G240" i="1"/>
  <c r="G241" i="1"/>
  <c r="G242" i="1"/>
  <c r="G243" i="1"/>
  <c r="G244" i="1"/>
  <c r="G245" i="1"/>
  <c r="G246" i="1"/>
  <c r="G502" i="1"/>
  <c r="G540" i="1"/>
  <c r="G503" i="1"/>
  <c r="G541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117" i="1"/>
  <c r="G118" i="1"/>
  <c r="G119" i="1"/>
  <c r="G120" i="1"/>
  <c r="G121" i="1"/>
  <c r="G122" i="1"/>
  <c r="G504" i="1"/>
  <c r="G588" i="1"/>
  <c r="G587" i="1"/>
  <c r="G589" i="1"/>
  <c r="G591" i="1"/>
  <c r="G590" i="1"/>
  <c r="G592" i="1"/>
  <c r="G594" i="1"/>
  <c r="G593" i="1"/>
  <c r="G596" i="1"/>
  <c r="G595" i="1"/>
  <c r="G598" i="1"/>
  <c r="G597" i="1"/>
  <c r="G600" i="1"/>
  <c r="G599" i="1"/>
  <c r="G602" i="1"/>
  <c r="G601" i="1"/>
  <c r="G605" i="1"/>
  <c r="G604" i="1"/>
  <c r="G608" i="1"/>
  <c r="G609" i="1"/>
  <c r="G611" i="1"/>
  <c r="G612" i="1"/>
  <c r="G613" i="1"/>
  <c r="G614" i="1"/>
  <c r="G615" i="1"/>
  <c r="G619" i="1"/>
  <c r="G618" i="1"/>
  <c r="G620" i="1"/>
  <c r="G625" i="1"/>
  <c r="G622" i="1"/>
  <c r="G623" i="1"/>
  <c r="G626" i="1"/>
  <c r="G647" i="1"/>
  <c r="G648" i="1"/>
  <c r="G649" i="1"/>
  <c r="G646" i="1"/>
  <c r="G643" i="1"/>
  <c r="G644" i="1"/>
  <c r="G645" i="1"/>
  <c r="G637" i="1"/>
  <c r="G638" i="1"/>
  <c r="G639" i="1"/>
  <c r="G640" i="1"/>
  <c r="G641" i="1"/>
  <c r="G642" i="1"/>
  <c r="G652" i="1"/>
  <c r="G654" i="1"/>
  <c r="G655" i="1"/>
  <c r="G650" i="1"/>
  <c r="G651" i="1"/>
  <c r="G653" i="1"/>
  <c r="G1380" i="1"/>
  <c r="G656" i="1"/>
  <c r="G661" i="1"/>
  <c r="G660" i="1"/>
  <c r="G659" i="1"/>
  <c r="G663" i="1"/>
  <c r="G662" i="1"/>
  <c r="G664" i="1"/>
  <c r="G668" i="1"/>
  <c r="G665" i="1"/>
  <c r="G669" i="1"/>
  <c r="G667" i="1"/>
  <c r="G671" i="1"/>
  <c r="G672" i="1"/>
  <c r="G673" i="1"/>
  <c r="G674" i="1"/>
  <c r="G677" i="1"/>
  <c r="G676" i="1"/>
  <c r="G675" i="1"/>
  <c r="G681" i="1"/>
  <c r="G678" i="1"/>
  <c r="G680" i="1"/>
  <c r="G679" i="1"/>
  <c r="G684" i="1"/>
  <c r="G683" i="1"/>
  <c r="G682" i="1"/>
  <c r="G687" i="1"/>
  <c r="G686" i="1"/>
  <c r="G689" i="1"/>
  <c r="G688" i="1"/>
  <c r="G691" i="1"/>
  <c r="G5229" i="1"/>
  <c r="G692" i="1"/>
  <c r="G690" i="1"/>
  <c r="G695" i="1"/>
  <c r="G694" i="1"/>
  <c r="G693" i="1"/>
  <c r="G696" i="1"/>
  <c r="G697" i="1"/>
  <c r="G5334" i="1"/>
  <c r="G699" i="1"/>
  <c r="G698" i="1"/>
  <c r="G706" i="1"/>
  <c r="G704" i="1"/>
  <c r="G705" i="1"/>
  <c r="G709" i="1"/>
  <c r="G708" i="1"/>
  <c r="G707" i="1"/>
  <c r="G711" i="1"/>
  <c r="G710" i="1"/>
  <c r="G1756" i="1"/>
  <c r="G713" i="1"/>
  <c r="G712" i="1"/>
  <c r="G716" i="1"/>
  <c r="G715" i="1"/>
  <c r="G718" i="1"/>
  <c r="G717" i="1"/>
  <c r="G720" i="1"/>
  <c r="G719" i="1"/>
  <c r="G723" i="1"/>
  <c r="G722" i="1"/>
  <c r="G721" i="1"/>
  <c r="G724" i="1"/>
  <c r="G726" i="1"/>
  <c r="G725" i="1"/>
  <c r="G729" i="1"/>
  <c r="G727" i="1"/>
  <c r="G728" i="1"/>
  <c r="G733" i="1"/>
  <c r="G732" i="1"/>
  <c r="G731" i="1"/>
  <c r="G730" i="1"/>
  <c r="G737" i="1"/>
  <c r="G736" i="1"/>
  <c r="G739" i="1"/>
  <c r="G738" i="1"/>
  <c r="G5339" i="1"/>
  <c r="G741" i="1"/>
  <c r="G740" i="1"/>
  <c r="G745" i="1"/>
  <c r="G743" i="1"/>
  <c r="G744" i="1"/>
  <c r="G747" i="1"/>
  <c r="G746" i="1"/>
  <c r="G749" i="1"/>
  <c r="G748" i="1"/>
  <c r="G752" i="1"/>
  <c r="G751" i="1"/>
  <c r="G750" i="1"/>
  <c r="G753" i="1"/>
  <c r="G754" i="1"/>
  <c r="G755" i="1"/>
  <c r="G756" i="1"/>
  <c r="G759" i="1"/>
  <c r="G757" i="1"/>
  <c r="G758" i="1"/>
  <c r="G761" i="1"/>
  <c r="G762" i="1"/>
  <c r="G763" i="1"/>
  <c r="G5341" i="1"/>
  <c r="G764" i="1"/>
  <c r="G770" i="1"/>
  <c r="G771" i="1"/>
  <c r="G772" i="1"/>
  <c r="G773" i="1"/>
  <c r="G774" i="1"/>
  <c r="G783" i="1"/>
  <c r="G775" i="1"/>
  <c r="G5611" i="1"/>
  <c r="G5612" i="1"/>
  <c r="G5613" i="1"/>
  <c r="G776" i="1"/>
  <c r="G777" i="1"/>
  <c r="G778" i="1"/>
  <c r="G781" i="1"/>
  <c r="G782" i="1"/>
  <c r="G784" i="1"/>
  <c r="G785" i="1"/>
  <c r="G787" i="1"/>
  <c r="G789" i="1"/>
  <c r="G786" i="1"/>
  <c r="G788" i="1"/>
  <c r="G792" i="1"/>
  <c r="G791" i="1"/>
  <c r="G795" i="1"/>
  <c r="G794" i="1"/>
  <c r="G793" i="1"/>
  <c r="G790" i="1"/>
  <c r="G293" i="1"/>
  <c r="G801" i="1"/>
  <c r="G800" i="1"/>
  <c r="G802" i="1"/>
  <c r="G805" i="1"/>
  <c r="G803" i="1"/>
  <c r="G806" i="1"/>
  <c r="G804" i="1"/>
  <c r="G310" i="1"/>
  <c r="G815" i="1"/>
  <c r="G814" i="1"/>
  <c r="G813" i="1"/>
  <c r="G496" i="1"/>
  <c r="G819" i="1"/>
  <c r="G820" i="1"/>
  <c r="G821" i="1"/>
  <c r="G824" i="1"/>
  <c r="G823" i="1"/>
  <c r="G822" i="1"/>
  <c r="G825" i="1"/>
  <c r="G826" i="1"/>
  <c r="G829" i="1"/>
  <c r="G830" i="1"/>
  <c r="G828" i="1"/>
  <c r="G827" i="1"/>
  <c r="G572" i="1"/>
  <c r="G833" i="1"/>
  <c r="G834" i="1"/>
  <c r="G832" i="1"/>
  <c r="G831" i="1"/>
  <c r="G838" i="1"/>
  <c r="G839" i="1"/>
  <c r="G387" i="1"/>
  <c r="G836" i="1"/>
  <c r="G842" i="1"/>
  <c r="G840" i="1"/>
  <c r="G841" i="1"/>
  <c r="G845" i="1"/>
  <c r="G846" i="1"/>
  <c r="G843" i="1"/>
  <c r="G844" i="1"/>
  <c r="G854" i="1"/>
  <c r="G855" i="1"/>
  <c r="G853" i="1"/>
  <c r="G857" i="1"/>
  <c r="G858" i="1"/>
  <c r="G856" i="1"/>
  <c r="G861" i="1"/>
  <c r="G862" i="1"/>
  <c r="G864" i="1"/>
  <c r="G860" i="1"/>
  <c r="G863" i="1"/>
  <c r="G5340" i="1"/>
  <c r="G866" i="1"/>
  <c r="G868" i="1"/>
  <c r="G869" i="1"/>
  <c r="G871" i="1"/>
  <c r="G870" i="1"/>
  <c r="G1782" i="1"/>
  <c r="G874" i="1"/>
  <c r="G875" i="1"/>
  <c r="G881" i="1"/>
  <c r="G878" i="1"/>
  <c r="G880" i="1"/>
  <c r="G879" i="1"/>
  <c r="G884" i="1"/>
  <c r="G882" i="1"/>
  <c r="G885" i="1"/>
  <c r="G883" i="1"/>
  <c r="G887" i="1"/>
  <c r="G69" i="1"/>
  <c r="G886" i="1"/>
  <c r="G889" i="1"/>
  <c r="G891" i="1"/>
  <c r="G890" i="1"/>
  <c r="G888" i="1"/>
  <c r="G895" i="1"/>
  <c r="G893" i="1"/>
  <c r="G3246" i="1"/>
  <c r="G896" i="1"/>
  <c r="G898" i="1"/>
  <c r="G899" i="1"/>
  <c r="G897" i="1"/>
  <c r="G902" i="1"/>
  <c r="G901" i="1"/>
  <c r="G900" i="1"/>
  <c r="G905" i="1"/>
  <c r="G904" i="1"/>
  <c r="G909" i="1"/>
  <c r="G908" i="1"/>
  <c r="G907" i="1"/>
  <c r="G903" i="1"/>
  <c r="G913" i="1"/>
  <c r="G911" i="1"/>
  <c r="G912" i="1"/>
  <c r="G915" i="1"/>
  <c r="G917" i="1"/>
  <c r="G914" i="1"/>
  <c r="G916" i="1"/>
  <c r="G919" i="1"/>
  <c r="G923" i="1"/>
  <c r="G920" i="1"/>
  <c r="G922" i="1"/>
  <c r="G921" i="1"/>
  <c r="G925" i="1"/>
  <c r="G926" i="1"/>
  <c r="G924" i="1"/>
  <c r="G929" i="1"/>
  <c r="G927" i="1"/>
  <c r="G928" i="1"/>
  <c r="G931" i="1"/>
  <c r="G930" i="1"/>
  <c r="G932" i="1"/>
  <c r="G934" i="1"/>
  <c r="G933" i="1"/>
  <c r="G939" i="1"/>
  <c r="G938" i="1"/>
  <c r="G937" i="1"/>
  <c r="G1754" i="1"/>
  <c r="G940" i="1"/>
  <c r="G946" i="1"/>
  <c r="G947" i="1"/>
  <c r="G943" i="1"/>
  <c r="G945" i="1"/>
  <c r="G951" i="1"/>
  <c r="G950" i="1"/>
  <c r="G954" i="1"/>
  <c r="G953" i="1"/>
  <c r="G952" i="1"/>
  <c r="G960" i="1"/>
  <c r="G961" i="1"/>
  <c r="G958" i="1"/>
  <c r="G962" i="1"/>
  <c r="G963" i="1"/>
  <c r="G966" i="1"/>
  <c r="G965" i="1"/>
  <c r="G964" i="1"/>
  <c r="G3424" i="1"/>
  <c r="G2322" i="1"/>
  <c r="G969" i="1"/>
  <c r="G968" i="1"/>
  <c r="G967" i="1"/>
  <c r="G972" i="1"/>
  <c r="G973" i="1"/>
  <c r="G970" i="1"/>
  <c r="G971" i="1"/>
  <c r="G976" i="1"/>
  <c r="G979" i="1"/>
  <c r="G978" i="1"/>
  <c r="G977" i="1"/>
  <c r="G981" i="1"/>
  <c r="G982" i="1"/>
  <c r="G980" i="1"/>
  <c r="G984" i="1"/>
  <c r="G985" i="1"/>
  <c r="G983" i="1"/>
  <c r="G999" i="1"/>
  <c r="G989" i="1"/>
  <c r="G990" i="1"/>
  <c r="G988" i="1"/>
  <c r="G994" i="1"/>
  <c r="G991" i="1"/>
  <c r="G992" i="1"/>
  <c r="G993" i="1"/>
  <c r="G996" i="1"/>
  <c r="G998" i="1"/>
  <c r="G997" i="1"/>
  <c r="G1001" i="1"/>
  <c r="G1002" i="1"/>
  <c r="G1000" i="1"/>
  <c r="G1004" i="1"/>
  <c r="G1005" i="1"/>
  <c r="G1003" i="1"/>
  <c r="G1006" i="1"/>
  <c r="G1009" i="1"/>
  <c r="G1007" i="1"/>
  <c r="G1008" i="1"/>
  <c r="G2816" i="1"/>
  <c r="G2814" i="1"/>
  <c r="G2815" i="1"/>
  <c r="G1567" i="1"/>
  <c r="G1012" i="1"/>
  <c r="G1010" i="1"/>
  <c r="G1015" i="1"/>
  <c r="G1014" i="1"/>
  <c r="G1013" i="1"/>
  <c r="G1016" i="1"/>
  <c r="G1017" i="1"/>
  <c r="G1019" i="1"/>
  <c r="G1020" i="1"/>
  <c r="G1018" i="1"/>
  <c r="G1023" i="1"/>
  <c r="G1022" i="1"/>
  <c r="G1021" i="1"/>
  <c r="G1025" i="1"/>
  <c r="G1026" i="1"/>
  <c r="G1024" i="1"/>
  <c r="G585" i="1"/>
  <c r="G586" i="1"/>
  <c r="G584" i="1"/>
  <c r="G583" i="1"/>
  <c r="G1029" i="1"/>
  <c r="G1028" i="1"/>
  <c r="G1027" i="1"/>
  <c r="G309" i="1"/>
  <c r="G1036" i="1"/>
  <c r="G1035" i="1"/>
  <c r="G1039" i="1"/>
  <c r="G1040" i="1"/>
  <c r="G1037" i="1"/>
  <c r="G1038" i="1"/>
  <c r="G1041" i="1"/>
  <c r="G1042" i="1"/>
  <c r="G1044" i="1"/>
  <c r="G1043" i="1"/>
  <c r="G1045" i="1"/>
  <c r="G1047" i="1"/>
  <c r="G1048" i="1"/>
  <c r="G1046" i="1"/>
  <c r="G1051" i="1"/>
  <c r="G1050" i="1"/>
  <c r="G1049" i="1"/>
  <c r="G308" i="1"/>
  <c r="G1053" i="1"/>
  <c r="G1054" i="1"/>
  <c r="G1052" i="1"/>
  <c r="G1059" i="1"/>
  <c r="G1060" i="1"/>
  <c r="G1058" i="1"/>
  <c r="G1064" i="1"/>
  <c r="G1063" i="1"/>
  <c r="G1061" i="1"/>
  <c r="G1062" i="1"/>
  <c r="G1070" i="1"/>
  <c r="G1067" i="1"/>
  <c r="G1068" i="1"/>
  <c r="G1069" i="1"/>
  <c r="G1071" i="1"/>
  <c r="G1072" i="1"/>
  <c r="G1074" i="1"/>
  <c r="G1075" i="1"/>
  <c r="G1073" i="1"/>
  <c r="G1080" i="1"/>
  <c r="G1076" i="1"/>
  <c r="G1079" i="1"/>
  <c r="G1081" i="1"/>
  <c r="G1078" i="1"/>
  <c r="G1077" i="1"/>
  <c r="G1083" i="1"/>
  <c r="G1082" i="1"/>
  <c r="G1089" i="1"/>
  <c r="G1087" i="1"/>
  <c r="G1088" i="1"/>
  <c r="G1092" i="1"/>
  <c r="G1091" i="1"/>
  <c r="G1090" i="1"/>
  <c r="G1376" i="1"/>
  <c r="G1096" i="1"/>
  <c r="G1095" i="1"/>
  <c r="G1097" i="1"/>
  <c r="G1671" i="1"/>
  <c r="G910" i="1"/>
  <c r="G735" i="1"/>
  <c r="G703" i="1"/>
  <c r="G318" i="1"/>
  <c r="G1670" i="1"/>
  <c r="G32" i="1"/>
  <c r="G1098" i="1"/>
  <c r="G320" i="1"/>
  <c r="G495" i="1"/>
  <c r="G532" i="1"/>
  <c r="G315" i="1"/>
  <c r="G1104" i="1"/>
  <c r="G1103" i="1"/>
  <c r="G1102" i="1"/>
  <c r="G1101" i="1"/>
  <c r="G1107" i="1"/>
  <c r="G1106" i="1"/>
  <c r="G1105" i="1"/>
  <c r="G1111" i="1"/>
  <c r="G1110" i="1"/>
  <c r="G1108" i="1"/>
  <c r="G1109" i="1"/>
  <c r="G1112" i="1"/>
  <c r="G1113" i="1"/>
  <c r="G1120" i="1"/>
  <c r="G1118" i="1"/>
  <c r="G1121" i="1"/>
  <c r="G1117" i="1"/>
  <c r="G1119" i="1"/>
  <c r="G1124" i="1"/>
  <c r="G1123" i="1"/>
  <c r="G1122" i="1"/>
  <c r="G1126" i="1"/>
  <c r="G1127" i="1"/>
  <c r="G1125" i="1"/>
  <c r="G4795" i="1"/>
  <c r="G1130" i="1"/>
  <c r="G1128" i="1"/>
  <c r="G1129" i="1"/>
  <c r="G1133" i="1"/>
  <c r="G1131" i="1"/>
  <c r="G1132" i="1"/>
  <c r="G1136" i="1"/>
  <c r="G1135" i="1"/>
  <c r="G1134" i="1"/>
  <c r="G1137" i="1"/>
  <c r="G1138" i="1"/>
  <c r="G1140" i="1"/>
  <c r="G1141" i="1"/>
  <c r="G1139" i="1"/>
  <c r="G1142" i="1"/>
  <c r="G685" i="1"/>
  <c r="G1149" i="1"/>
  <c r="G5336" i="1"/>
  <c r="G1151" i="1"/>
  <c r="G1152" i="1"/>
  <c r="G1150" i="1"/>
  <c r="G1154" i="1"/>
  <c r="G1157" i="1"/>
  <c r="G1156" i="1"/>
  <c r="G267" i="1"/>
  <c r="G1158" i="1"/>
  <c r="G1159" i="1"/>
  <c r="G1162" i="1"/>
  <c r="G1163" i="1"/>
  <c r="G1161" i="1"/>
  <c r="G1165" i="1"/>
  <c r="G1166" i="1"/>
  <c r="G1164" i="1"/>
  <c r="G1168" i="1"/>
  <c r="G1170" i="1"/>
  <c r="G1169" i="1"/>
  <c r="G1167" i="1"/>
  <c r="G1172" i="1"/>
  <c r="G1173" i="1"/>
  <c r="G1171" i="1"/>
  <c r="G1174" i="1"/>
  <c r="G1177" i="1"/>
  <c r="G1176" i="1"/>
  <c r="G1175" i="1"/>
  <c r="G1178" i="1"/>
  <c r="G1181" i="1"/>
  <c r="G1180" i="1"/>
  <c r="G1179" i="1"/>
  <c r="G1605" i="1"/>
  <c r="G1185" i="1"/>
  <c r="G1183" i="1"/>
  <c r="G1184" i="1"/>
  <c r="G1187" i="1"/>
  <c r="G1186" i="1"/>
  <c r="G1190" i="1"/>
  <c r="G1189" i="1"/>
  <c r="G1188" i="1"/>
  <c r="G1196" i="1"/>
  <c r="G1195" i="1"/>
  <c r="G1194" i="1"/>
  <c r="G1192" i="1"/>
  <c r="G1199" i="1"/>
  <c r="G1198" i="1"/>
  <c r="G1197" i="1"/>
  <c r="G1201" i="1"/>
  <c r="G1200" i="1"/>
  <c r="G1204" i="1"/>
  <c r="G1202" i="1"/>
  <c r="G1203" i="1"/>
  <c r="G511" i="1"/>
  <c r="G1206" i="1"/>
  <c r="G1209" i="1"/>
  <c r="G1208" i="1"/>
  <c r="G312" i="1"/>
  <c r="G1210" i="1"/>
  <c r="G1212" i="1"/>
  <c r="G1211" i="1"/>
  <c r="G1215" i="1"/>
  <c r="G1214" i="1"/>
  <c r="G1213" i="1"/>
  <c r="G1217" i="1"/>
  <c r="G1216" i="1"/>
  <c r="G865" i="1"/>
  <c r="G1321" i="1"/>
  <c r="G1220" i="1"/>
  <c r="G1218" i="1"/>
  <c r="G1219" i="1"/>
  <c r="G1221" i="1"/>
  <c r="G1222" i="1"/>
  <c r="G1223" i="1"/>
  <c r="G1226" i="1"/>
  <c r="G1225" i="1"/>
  <c r="G1233" i="1"/>
  <c r="G1231" i="1"/>
  <c r="G1232" i="1"/>
  <c r="G1230" i="1"/>
  <c r="G1236" i="1"/>
  <c r="G1234" i="1"/>
  <c r="G1235" i="1"/>
  <c r="G1239" i="1"/>
  <c r="G1237" i="1"/>
  <c r="G1238" i="1"/>
  <c r="G1240" i="1"/>
  <c r="G635" i="1"/>
  <c r="G1243" i="1"/>
  <c r="G1242" i="1"/>
  <c r="G876" i="1"/>
  <c r="G2152" i="1"/>
  <c r="G1266" i="1"/>
  <c r="G1246" i="1"/>
  <c r="G1245" i="1"/>
  <c r="G1247" i="1"/>
  <c r="G1250" i="1"/>
  <c r="G1251" i="1"/>
  <c r="G4796" i="1"/>
  <c r="G1253" i="1"/>
  <c r="G1252" i="1"/>
  <c r="G1255" i="1"/>
  <c r="G1254" i="1"/>
  <c r="G114" i="1"/>
  <c r="G1258" i="1"/>
  <c r="G1259" i="1"/>
  <c r="G1257" i="1"/>
  <c r="G1262" i="1"/>
  <c r="G1260" i="1"/>
  <c r="G1265" i="1"/>
  <c r="G1263" i="1"/>
  <c r="G1264" i="1"/>
  <c r="G1271" i="1"/>
  <c r="G1269" i="1"/>
  <c r="G1270" i="1"/>
  <c r="G1272" i="1"/>
  <c r="G1273" i="1"/>
  <c r="G1278" i="1"/>
  <c r="G1282" i="1"/>
  <c r="G1280" i="1"/>
  <c r="G1281" i="1"/>
  <c r="G1285" i="1"/>
  <c r="G1283" i="1"/>
  <c r="G1284" i="1"/>
  <c r="G5329" i="1"/>
  <c r="G2021" i="1"/>
  <c r="G1011" i="1"/>
  <c r="G1289" i="1"/>
  <c r="G1288" i="1"/>
  <c r="G1287" i="1"/>
  <c r="G1275" i="1"/>
  <c r="G302" i="1"/>
  <c r="G2113" i="1"/>
  <c r="G1294" i="1"/>
  <c r="G1292" i="1"/>
  <c r="G1293" i="1"/>
  <c r="G1295" i="1"/>
  <c r="G1296" i="1"/>
  <c r="G1298" i="1"/>
  <c r="G1297" i="1"/>
  <c r="G1299" i="1"/>
  <c r="G1301" i="1"/>
  <c r="G1302" i="1"/>
  <c r="G1300" i="1"/>
  <c r="G5332" i="1"/>
  <c r="G1304" i="1"/>
  <c r="G1305" i="1"/>
  <c r="G1306" i="1"/>
  <c r="G1313" i="1"/>
  <c r="G1309" i="1"/>
  <c r="G1312" i="1"/>
  <c r="G1311" i="1"/>
  <c r="G1310" i="1"/>
  <c r="G1323" i="1"/>
  <c r="G1115" i="1"/>
  <c r="G1116" i="1"/>
  <c r="G1324" i="1"/>
  <c r="G1325" i="1"/>
  <c r="G1326" i="1"/>
  <c r="G1327" i="1"/>
  <c r="G1328" i="1"/>
  <c r="G1329" i="1"/>
  <c r="G1330" i="1"/>
  <c r="G1332" i="1"/>
  <c r="G1333" i="1"/>
  <c r="G1334" i="1"/>
  <c r="G1335" i="1"/>
  <c r="G1339" i="1"/>
  <c r="G1338" i="1"/>
  <c r="G1337" i="1"/>
  <c r="G1341" i="1"/>
  <c r="G1342" i="1"/>
  <c r="G1340" i="1"/>
  <c r="G1336" i="1"/>
  <c r="G1343" i="1"/>
  <c r="G1344" i="1"/>
  <c r="G1346" i="1"/>
  <c r="G1628" i="1"/>
  <c r="G1348" i="1"/>
  <c r="G1728" i="1"/>
  <c r="G1350" i="1"/>
  <c r="G1351" i="1"/>
  <c r="G1352" i="1"/>
  <c r="G1353" i="1"/>
  <c r="G1354" i="1"/>
  <c r="G1355" i="1"/>
  <c r="G1357" i="1"/>
  <c r="G1358" i="1"/>
  <c r="G1359" i="1"/>
  <c r="G1360" i="1"/>
  <c r="G1361" i="1"/>
  <c r="G1362" i="1"/>
  <c r="G1363" i="1"/>
  <c r="G1364" i="1"/>
  <c r="G1365" i="1"/>
  <c r="G1368" i="1"/>
  <c r="G1369" i="1"/>
  <c r="G1370" i="1"/>
  <c r="G1371" i="1"/>
  <c r="G1372" i="1"/>
  <c r="G1373" i="1"/>
  <c r="G1374" i="1"/>
  <c r="G1379" i="1"/>
  <c r="G1404" i="1"/>
  <c r="G1406" i="1"/>
  <c r="G1407" i="1"/>
  <c r="G812" i="1"/>
  <c r="G1485" i="1"/>
  <c r="G1501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8" i="1"/>
  <c r="G1549" i="1"/>
  <c r="G1550" i="1"/>
  <c r="G1551" i="1"/>
  <c r="G1552" i="1"/>
  <c r="G1553" i="1"/>
  <c r="G1554" i="1"/>
  <c r="G1555" i="1"/>
  <c r="G1556" i="1"/>
  <c r="G1557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574" i="1"/>
  <c r="G1600" i="1"/>
  <c r="G1601" i="1"/>
  <c r="G1602" i="1"/>
  <c r="G1603" i="1"/>
  <c r="G1604" i="1"/>
  <c r="G1568" i="1"/>
  <c r="G1606" i="1"/>
  <c r="G1623" i="1"/>
  <c r="G1641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385" i="1"/>
  <c r="G1669" i="1"/>
  <c r="G1481" i="1"/>
  <c r="G1480" i="1"/>
  <c r="G1482" i="1"/>
  <c r="G1483" i="1"/>
  <c r="G1484" i="1"/>
  <c r="G1489" i="1"/>
  <c r="G1490" i="1"/>
  <c r="G1491" i="1"/>
  <c r="G1492" i="1"/>
  <c r="G1493" i="1"/>
  <c r="G1494" i="1"/>
  <c r="G1495" i="1"/>
  <c r="G1503" i="1"/>
  <c r="G1496" i="1"/>
  <c r="G1497" i="1"/>
  <c r="G1498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499" i="1"/>
  <c r="G1524" i="1"/>
  <c r="G1525" i="1"/>
  <c r="G1526" i="1"/>
  <c r="G1504" i="1"/>
  <c r="G1505" i="1"/>
  <c r="G1506" i="1"/>
  <c r="G1502" i="1"/>
  <c r="G1487" i="1"/>
  <c r="G1488" i="1"/>
  <c r="G1500" i="1"/>
  <c r="G1559" i="1"/>
  <c r="G1560" i="1"/>
  <c r="G1561" i="1"/>
  <c r="G1558" i="1"/>
  <c r="G1562" i="1"/>
  <c r="G1563" i="1"/>
  <c r="G1564" i="1"/>
  <c r="G1486" i="1"/>
  <c r="G1565" i="1"/>
  <c r="G582" i="1"/>
  <c r="G316" i="1"/>
  <c r="G50" i="1"/>
  <c r="G1572" i="1"/>
  <c r="G1573" i="1"/>
  <c r="G1569" i="1"/>
  <c r="G1570" i="1"/>
  <c r="G1571" i="1"/>
  <c r="G4819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4" i="1"/>
  <c r="G1625" i="1"/>
  <c r="G1626" i="1"/>
  <c r="G1627" i="1"/>
  <c r="G1631" i="1"/>
  <c r="G1632" i="1"/>
  <c r="G1633" i="1"/>
  <c r="G1634" i="1"/>
  <c r="G1635" i="1"/>
  <c r="G1636" i="1"/>
  <c r="G1637" i="1"/>
  <c r="G1638" i="1"/>
  <c r="G1639" i="1"/>
  <c r="G1640" i="1"/>
  <c r="G1642" i="1"/>
  <c r="G1643" i="1"/>
  <c r="G1644" i="1"/>
  <c r="G1661" i="1"/>
  <c r="G1662" i="1"/>
  <c r="G1663" i="1"/>
  <c r="G1664" i="1"/>
  <c r="G1665" i="1"/>
  <c r="G1666" i="1"/>
  <c r="G1667" i="1"/>
  <c r="G1668" i="1"/>
  <c r="G1672" i="1"/>
  <c r="G1673" i="1"/>
  <c r="G1674" i="1"/>
  <c r="G1675" i="1"/>
  <c r="G1678" i="1"/>
  <c r="G1679" i="1"/>
  <c r="G1676" i="1"/>
  <c r="G1677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31" i="1"/>
  <c r="G332" i="1"/>
  <c r="G1732" i="1"/>
  <c r="G1733" i="1"/>
  <c r="G1734" i="1"/>
  <c r="G1735" i="1"/>
  <c r="G1736" i="1"/>
  <c r="G1737" i="1"/>
  <c r="G1738" i="1"/>
  <c r="G1739" i="1"/>
  <c r="G1740" i="1"/>
  <c r="G1741" i="1"/>
  <c r="G1742" i="1"/>
  <c r="G1744" i="1"/>
  <c r="G1724" i="1"/>
  <c r="G1745" i="1"/>
  <c r="G1746" i="1"/>
  <c r="G1747" i="1"/>
  <c r="G1748" i="1"/>
  <c r="G1749" i="1"/>
  <c r="G1750" i="1"/>
  <c r="G1751" i="1"/>
  <c r="G850" i="1"/>
  <c r="G851" i="1"/>
  <c r="G852" i="1"/>
  <c r="G1752" i="1"/>
  <c r="G1753" i="1"/>
  <c r="G1757" i="1"/>
  <c r="G1758" i="1"/>
  <c r="G1759" i="1"/>
  <c r="G1760" i="1"/>
  <c r="G1786" i="1"/>
  <c r="G1787" i="1"/>
  <c r="G1765" i="1"/>
  <c r="G1770" i="1"/>
  <c r="G1768" i="1"/>
  <c r="G1767" i="1"/>
  <c r="G1781" i="1"/>
  <c r="G1774" i="1"/>
  <c r="G1775" i="1"/>
  <c r="G1763" i="1"/>
  <c r="G1764" i="1"/>
  <c r="G1766" i="1"/>
  <c r="G1769" i="1"/>
  <c r="G1772" i="1"/>
  <c r="G1773" i="1"/>
  <c r="G1776" i="1"/>
  <c r="G1777" i="1"/>
  <c r="G1778" i="1"/>
  <c r="G1779" i="1"/>
  <c r="G1780" i="1"/>
  <c r="G1783" i="1"/>
  <c r="G1784" i="1"/>
  <c r="G1785" i="1"/>
  <c r="G1801" i="1"/>
  <c r="G1796" i="1"/>
  <c r="G1802" i="1"/>
  <c r="G1797" i="1"/>
  <c r="G1803" i="1"/>
  <c r="G1804" i="1"/>
  <c r="G1805" i="1"/>
  <c r="G1806" i="1"/>
  <c r="G1799" i="1"/>
  <c r="G1795" i="1"/>
  <c r="G1807" i="1"/>
  <c r="G1808" i="1"/>
  <c r="G1809" i="1"/>
  <c r="G1810" i="1"/>
  <c r="G1811" i="1"/>
  <c r="G1812" i="1"/>
  <c r="G1813" i="1"/>
  <c r="G1816" i="1"/>
  <c r="G1821" i="1"/>
  <c r="G1815" i="1"/>
  <c r="G1820" i="1"/>
  <c r="G1817" i="1"/>
  <c r="G1818" i="1"/>
  <c r="G1819" i="1"/>
  <c r="G1814" i="1"/>
  <c r="G1822" i="1"/>
  <c r="G1792" i="1"/>
  <c r="G1794" i="1"/>
  <c r="G1825" i="1"/>
  <c r="G1827" i="1"/>
  <c r="G1828" i="1"/>
  <c r="G1829" i="1"/>
  <c r="G1831" i="1"/>
  <c r="G1830" i="1"/>
  <c r="G1832" i="1"/>
  <c r="G1833" i="1"/>
  <c r="G1834" i="1"/>
  <c r="G1838" i="1"/>
  <c r="G1836" i="1"/>
  <c r="G1837" i="1"/>
  <c r="G1835" i="1"/>
  <c r="G1839" i="1"/>
  <c r="G1841" i="1"/>
  <c r="G1840" i="1"/>
  <c r="G1791" i="1"/>
  <c r="G1842" i="1"/>
  <c r="G1843" i="1"/>
  <c r="G1844" i="1"/>
  <c r="G1845" i="1"/>
  <c r="G1846" i="1"/>
  <c r="G1847" i="1"/>
  <c r="G1848" i="1"/>
  <c r="G1851" i="1"/>
  <c r="G1849" i="1"/>
  <c r="G1850" i="1"/>
  <c r="G1852" i="1"/>
  <c r="G1854" i="1"/>
  <c r="G1853" i="1"/>
  <c r="G1855" i="1"/>
  <c r="G1857" i="1"/>
  <c r="G1856" i="1"/>
  <c r="G1858" i="1"/>
  <c r="G1863" i="1"/>
  <c r="G1859" i="1"/>
  <c r="G1862" i="1"/>
  <c r="G1860" i="1"/>
  <c r="G1864" i="1"/>
  <c r="G1861" i="1"/>
  <c r="G1865" i="1"/>
  <c r="G1823" i="1"/>
  <c r="G1824" i="1"/>
  <c r="G1866" i="1"/>
  <c r="G1868" i="1"/>
  <c r="G1869" i="1"/>
  <c r="G1867" i="1"/>
  <c r="G1870" i="1"/>
  <c r="G1871" i="1"/>
  <c r="G3392" i="1"/>
  <c r="G1872" i="1"/>
  <c r="G1875" i="1"/>
  <c r="G1873" i="1"/>
  <c r="G1874" i="1"/>
  <c r="G1876" i="1"/>
  <c r="G1877" i="1"/>
  <c r="G1879" i="1"/>
  <c r="G1878" i="1"/>
  <c r="G1881" i="1"/>
  <c r="G1880" i="1"/>
  <c r="G1883" i="1"/>
  <c r="G1882" i="1"/>
  <c r="G1889" i="1"/>
  <c r="G1884" i="1"/>
  <c r="G1887" i="1"/>
  <c r="G1888" i="1"/>
  <c r="G1885" i="1"/>
  <c r="G1886" i="1"/>
  <c r="G1798" i="1"/>
  <c r="G1891" i="1"/>
  <c r="G1890" i="1"/>
  <c r="G1893" i="1"/>
  <c r="G1892" i="1"/>
  <c r="G1894" i="1"/>
  <c r="G1895" i="1"/>
  <c r="G1904" i="1"/>
  <c r="G1899" i="1"/>
  <c r="G1900" i="1"/>
  <c r="G1901" i="1"/>
  <c r="G466" i="1"/>
  <c r="G1902" i="1"/>
  <c r="G1903" i="1"/>
  <c r="G1905" i="1"/>
  <c r="G1906" i="1"/>
  <c r="G1907" i="1"/>
  <c r="G1908" i="1"/>
  <c r="G1909" i="1"/>
  <c r="G1910" i="1"/>
  <c r="G1911" i="1"/>
  <c r="G1912" i="1"/>
  <c r="G1913" i="1"/>
  <c r="G1914" i="1"/>
  <c r="G1916" i="1"/>
  <c r="G1917" i="1"/>
  <c r="G1920" i="1"/>
  <c r="G1915" i="1"/>
  <c r="G1896" i="1"/>
  <c r="G1897" i="1"/>
  <c r="G5233" i="1"/>
  <c r="G1898" i="1"/>
  <c r="G1922" i="1"/>
  <c r="G1921" i="1"/>
  <c r="G1923" i="1"/>
  <c r="G1924" i="1"/>
  <c r="G2015" i="1"/>
  <c r="G1937" i="1"/>
  <c r="G1936" i="1"/>
  <c r="G2019" i="1"/>
  <c r="G2006" i="1"/>
  <c r="G2023" i="1"/>
  <c r="G1939" i="1"/>
  <c r="G2024" i="1"/>
  <c r="G1944" i="1"/>
  <c r="G1945" i="1"/>
  <c r="G1946" i="1"/>
  <c r="G2346" i="1"/>
  <c r="G1947" i="1"/>
  <c r="G1949" i="1"/>
  <c r="G1934" i="1"/>
  <c r="G1935" i="1"/>
  <c r="G1960" i="1"/>
  <c r="G1961" i="1"/>
  <c r="G1962" i="1"/>
  <c r="G1963" i="1"/>
  <c r="G1964" i="1"/>
  <c r="G1965" i="1"/>
  <c r="G1966" i="1"/>
  <c r="G1967" i="1"/>
  <c r="G1968" i="1"/>
  <c r="G1969" i="1"/>
  <c r="G1981" i="1"/>
  <c r="G1982" i="1"/>
  <c r="G1983" i="1"/>
  <c r="G1984" i="1"/>
  <c r="G1985" i="1"/>
  <c r="G1986" i="1"/>
  <c r="G1987" i="1"/>
  <c r="G1988" i="1"/>
  <c r="G1989" i="1"/>
  <c r="G1990" i="1"/>
  <c r="G1991" i="1"/>
  <c r="G2013" i="1"/>
  <c r="G2014" i="1"/>
  <c r="G2039" i="1"/>
  <c r="G2035" i="1"/>
  <c r="G2002" i="1"/>
  <c r="G2041" i="1"/>
  <c r="G2040" i="1"/>
  <c r="G2044" i="1"/>
  <c r="G2050" i="1"/>
  <c r="G2048" i="1"/>
  <c r="G2049" i="1"/>
  <c r="G2051" i="1"/>
  <c r="G2052" i="1"/>
  <c r="G2057" i="1"/>
  <c r="G2056" i="1"/>
  <c r="G2055" i="1"/>
  <c r="G2059" i="1"/>
  <c r="G2058" i="1"/>
  <c r="G2064" i="1"/>
  <c r="G2063" i="1"/>
  <c r="G2062" i="1"/>
  <c r="G2069" i="1"/>
  <c r="G2067" i="1"/>
  <c r="G2068" i="1"/>
  <c r="G2071" i="1"/>
  <c r="G2075" i="1"/>
  <c r="G2070" i="1"/>
  <c r="G2073" i="1"/>
  <c r="G2072" i="1"/>
  <c r="G2079" i="1"/>
  <c r="G2004" i="1"/>
  <c r="G2087" i="1"/>
  <c r="G2083" i="1"/>
  <c r="G2089" i="1"/>
  <c r="G2088" i="1"/>
  <c r="G2090" i="1"/>
  <c r="G2092" i="1"/>
  <c r="G2100" i="1"/>
  <c r="G2101" i="1"/>
  <c r="G2102" i="1"/>
  <c r="G2103" i="1"/>
  <c r="G2104" i="1"/>
  <c r="G2107" i="1"/>
  <c r="G2108" i="1"/>
  <c r="G2109" i="1"/>
  <c r="G1940" i="1"/>
  <c r="G2147" i="1"/>
  <c r="G2110" i="1"/>
  <c r="G1928" i="1"/>
  <c r="G2010" i="1"/>
  <c r="G2115" i="1"/>
  <c r="G2116" i="1"/>
  <c r="G2117" i="1"/>
  <c r="G2001" i="1"/>
  <c r="G2120" i="1"/>
  <c r="G2119" i="1"/>
  <c r="G2125" i="1"/>
  <c r="G2127" i="1"/>
  <c r="G2009" i="1"/>
  <c r="G2130" i="1"/>
  <c r="G2129" i="1"/>
  <c r="G2128" i="1"/>
  <c r="G579" i="1"/>
  <c r="G1930" i="1"/>
  <c r="G2132" i="1"/>
  <c r="G1931" i="1"/>
  <c r="G1932" i="1"/>
  <c r="G2135" i="1"/>
  <c r="G2133" i="1"/>
  <c r="G2134" i="1"/>
  <c r="G2155" i="1"/>
  <c r="G2154" i="1"/>
  <c r="G2188" i="1"/>
  <c r="G2181" i="1"/>
  <c r="G2182" i="1"/>
  <c r="G2183" i="1"/>
  <c r="G2184" i="1"/>
  <c r="G2185" i="1"/>
  <c r="G2186" i="1"/>
  <c r="G2190" i="1"/>
  <c r="G2191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92" i="1"/>
  <c r="G2193" i="1"/>
  <c r="G2194" i="1"/>
  <c r="G2189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10" i="1"/>
  <c r="G2209" i="1"/>
  <c r="G4335" i="1"/>
  <c r="G2171" i="1"/>
  <c r="G3857" i="1"/>
  <c r="G2172" i="1"/>
  <c r="G2173" i="1"/>
  <c r="G2174" i="1"/>
  <c r="G2175" i="1"/>
  <c r="G2176" i="1"/>
  <c r="G2177" i="1"/>
  <c r="G2178" i="1"/>
  <c r="G2179" i="1"/>
  <c r="G2180" i="1"/>
  <c r="G2187" i="1"/>
  <c r="G2227" i="1"/>
  <c r="G2228" i="1"/>
  <c r="G2229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31" i="1"/>
  <c r="G2230" i="1"/>
  <c r="G2256" i="1"/>
  <c r="G2257" i="1"/>
  <c r="G2258" i="1"/>
  <c r="G2259" i="1"/>
  <c r="G2260" i="1"/>
  <c r="G2247" i="1"/>
  <c r="G2248" i="1"/>
  <c r="G2249" i="1"/>
  <c r="G2250" i="1"/>
  <c r="G2251" i="1"/>
  <c r="G2252" i="1"/>
  <c r="G2253" i="1"/>
  <c r="G2254" i="1"/>
  <c r="G2255" i="1"/>
  <c r="G2232" i="1"/>
  <c r="G2233" i="1"/>
  <c r="G2261" i="1"/>
  <c r="G2263" i="1"/>
  <c r="G2262" i="1"/>
  <c r="G2268" i="1"/>
  <c r="G2269" i="1"/>
  <c r="G2266" i="1"/>
  <c r="G2267" i="1"/>
  <c r="G2264" i="1"/>
  <c r="G2265" i="1"/>
  <c r="G2272" i="1"/>
  <c r="G2271" i="1"/>
  <c r="G2270" i="1"/>
  <c r="G2273" i="1"/>
  <c r="G2274" i="1"/>
  <c r="G2275" i="1"/>
  <c r="G2277" i="1"/>
  <c r="G2276" i="1"/>
  <c r="G2278" i="1"/>
  <c r="G2281" i="1"/>
  <c r="G2279" i="1"/>
  <c r="G2280" i="1"/>
  <c r="G2282" i="1"/>
  <c r="G2283" i="1"/>
  <c r="G2285" i="1"/>
  <c r="G2284" i="1"/>
  <c r="G2287" i="1"/>
  <c r="G2286" i="1"/>
  <c r="G2288" i="1"/>
  <c r="G2289" i="1"/>
  <c r="G2290" i="1"/>
  <c r="G2292" i="1"/>
  <c r="G2293" i="1"/>
  <c r="G2291" i="1"/>
  <c r="G2297" i="1"/>
  <c r="G2296" i="1"/>
  <c r="G2294" i="1"/>
  <c r="G2295" i="1"/>
  <c r="G2300" i="1"/>
  <c r="G2298" i="1"/>
  <c r="G2299" i="1"/>
  <c r="G2306" i="1"/>
  <c r="G2304" i="1"/>
  <c r="G2305" i="1"/>
  <c r="G2307" i="1"/>
  <c r="G2308" i="1"/>
  <c r="G2310" i="1"/>
  <c r="G2309" i="1"/>
  <c r="G2312" i="1"/>
  <c r="G2311" i="1"/>
  <c r="G2313" i="1"/>
  <c r="G2316" i="1"/>
  <c r="G2315" i="1"/>
  <c r="G2317" i="1"/>
  <c r="G2318" i="1"/>
  <c r="G2319" i="1"/>
  <c r="G2320" i="1"/>
  <c r="G2321" i="1"/>
  <c r="G2323" i="1"/>
  <c r="G2325" i="1"/>
  <c r="G2327" i="1"/>
  <c r="G2328" i="1"/>
  <c r="G2330" i="1"/>
  <c r="G2331" i="1"/>
  <c r="G2332" i="1"/>
  <c r="G2333" i="1"/>
  <c r="G2334" i="1"/>
  <c r="G2335" i="1"/>
  <c r="G2336" i="1"/>
  <c r="G2337" i="1"/>
  <c r="G2339" i="1"/>
  <c r="G2343" i="1"/>
  <c r="G2345" i="1"/>
  <c r="G2344" i="1"/>
  <c r="G2347" i="1"/>
  <c r="G2348" i="1"/>
  <c r="G2350" i="1"/>
  <c r="G2353" i="1"/>
  <c r="G2352" i="1"/>
  <c r="G2351" i="1"/>
  <c r="G2355" i="1"/>
  <c r="G2354" i="1"/>
  <c r="G2356" i="1"/>
  <c r="G2358" i="1"/>
  <c r="G2359" i="1"/>
  <c r="G2360" i="1"/>
  <c r="G2372" i="1"/>
  <c r="G2361" i="1"/>
  <c r="G2362" i="1"/>
  <c r="G2363" i="1"/>
  <c r="G2364" i="1"/>
  <c r="G2365" i="1"/>
  <c r="G2366" i="1"/>
  <c r="G2367" i="1"/>
  <c r="G2368" i="1"/>
  <c r="G2369" i="1"/>
  <c r="G2370" i="1"/>
  <c r="G2371" i="1"/>
  <c r="G2373" i="1"/>
  <c r="G2374" i="1"/>
  <c r="G2375" i="1"/>
  <c r="G2376" i="1"/>
  <c r="G2380" i="1"/>
  <c r="G2377" i="1"/>
  <c r="G2378" i="1"/>
  <c r="G2379" i="1"/>
  <c r="G3985" i="1"/>
  <c r="G2384" i="1"/>
  <c r="G2385" i="1"/>
  <c r="G2387" i="1"/>
  <c r="G2386" i="1"/>
  <c r="G2383" i="1"/>
  <c r="G2382" i="1"/>
  <c r="G2381" i="1"/>
  <c r="G2388" i="1"/>
  <c r="G2389" i="1"/>
  <c r="G2390" i="1"/>
  <c r="G2391" i="1"/>
  <c r="G5287" i="1"/>
  <c r="G5286" i="1"/>
  <c r="G5288" i="1"/>
  <c r="G2394" i="1"/>
  <c r="G51" i="1"/>
  <c r="G2392" i="1"/>
  <c r="G2393" i="1"/>
  <c r="G2401" i="1"/>
  <c r="G2462" i="1"/>
  <c r="G2464" i="1"/>
  <c r="G2467" i="1"/>
  <c r="G2497" i="1"/>
  <c r="G2499" i="1"/>
  <c r="G2475" i="1"/>
  <c r="G2504" i="1"/>
  <c r="G2476" i="1"/>
  <c r="G2456" i="1"/>
  <c r="G2408" i="1"/>
  <c r="G2409" i="1"/>
  <c r="G2477" i="1"/>
  <c r="G2479" i="1"/>
  <c r="G2413" i="1"/>
  <c r="G2506" i="1"/>
  <c r="G2407" i="1"/>
  <c r="G2480" i="1"/>
  <c r="G2515" i="1"/>
  <c r="G2544" i="1"/>
  <c r="G2481" i="1"/>
  <c r="G2482" i="1"/>
  <c r="G2525" i="1"/>
  <c r="G2508" i="1"/>
  <c r="G2511" i="1"/>
  <c r="G2460" i="1"/>
  <c r="G2415" i="1"/>
  <c r="G2416" i="1"/>
  <c r="G2417" i="1"/>
  <c r="G2418" i="1"/>
  <c r="G2630" i="1"/>
  <c r="G2419" i="1"/>
  <c r="G2420" i="1"/>
  <c r="G2421" i="1"/>
  <c r="G2422" i="1"/>
  <c r="G3875" i="1"/>
  <c r="G2513" i="1"/>
  <c r="G2405" i="1"/>
  <c r="G2628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518" i="1"/>
  <c r="G4260" i="1"/>
  <c r="G2519" i="1"/>
  <c r="G2520" i="1"/>
  <c r="G2521" i="1"/>
  <c r="G2522" i="1"/>
  <c r="G5209" i="1"/>
  <c r="G2529" i="1"/>
  <c r="G2527" i="1"/>
  <c r="G2528" i="1"/>
  <c r="G2532" i="1"/>
  <c r="G2531" i="1"/>
  <c r="G2530" i="1"/>
  <c r="G2534" i="1"/>
  <c r="G2533" i="1"/>
  <c r="G5262" i="1"/>
  <c r="G2535" i="1"/>
  <c r="G2537" i="1"/>
  <c r="G2536" i="1"/>
  <c r="G2538" i="1"/>
  <c r="G2540" i="1"/>
  <c r="G2539" i="1"/>
  <c r="G2541" i="1"/>
  <c r="G2543" i="1"/>
  <c r="G2546" i="1"/>
  <c r="G2545" i="1"/>
  <c r="G2542" i="1"/>
  <c r="G2548" i="1"/>
  <c r="G2547" i="1"/>
  <c r="G2550" i="1"/>
  <c r="G2551" i="1"/>
  <c r="G2549" i="1"/>
  <c r="G2554" i="1"/>
  <c r="G2552" i="1"/>
  <c r="G2555" i="1"/>
  <c r="G2553" i="1"/>
  <c r="G2558" i="1"/>
  <c r="G2557" i="1"/>
  <c r="G2556" i="1"/>
  <c r="G2564" i="1"/>
  <c r="G2565" i="1"/>
  <c r="G2507" i="1"/>
  <c r="G2635" i="1"/>
  <c r="G2573" i="1"/>
  <c r="G2574" i="1"/>
  <c r="G2575" i="1"/>
  <c r="G2578" i="1"/>
  <c r="G2580" i="1"/>
  <c r="G2579" i="1"/>
  <c r="G2576" i="1"/>
  <c r="G2577" i="1"/>
  <c r="G2584" i="1"/>
  <c r="G2582" i="1"/>
  <c r="G2583" i="1"/>
  <c r="G2581" i="1"/>
  <c r="G2585" i="1"/>
  <c r="G2586" i="1"/>
  <c r="G2461" i="1"/>
  <c r="G2590" i="1"/>
  <c r="G2587" i="1"/>
  <c r="G2588" i="1"/>
  <c r="G2589" i="1"/>
  <c r="G2592" i="1"/>
  <c r="G2593" i="1"/>
  <c r="G2599" i="1"/>
  <c r="G2597" i="1"/>
  <c r="G2598" i="1"/>
  <c r="G2602" i="1"/>
  <c r="G2600" i="1"/>
  <c r="G2601" i="1"/>
  <c r="G2603" i="1"/>
  <c r="G2607" i="1"/>
  <c r="G2605" i="1"/>
  <c r="G2395" i="1"/>
  <c r="G2608" i="1"/>
  <c r="G2610" i="1"/>
  <c r="G2609" i="1"/>
  <c r="G2611" i="1"/>
  <c r="G2612" i="1"/>
  <c r="G2613" i="1"/>
  <c r="G2615" i="1"/>
  <c r="G2614" i="1"/>
  <c r="G2618" i="1"/>
  <c r="G2616" i="1"/>
  <c r="G2617" i="1"/>
  <c r="G2623" i="1"/>
  <c r="G2625" i="1"/>
  <c r="G2624" i="1"/>
  <c r="G2650" i="1"/>
  <c r="G2651" i="1"/>
  <c r="G2655" i="1"/>
  <c r="G2670" i="1"/>
  <c r="G2653" i="1"/>
  <c r="G2654" i="1"/>
  <c r="G2652" i="1"/>
  <c r="G2679" i="1"/>
  <c r="G2680" i="1"/>
  <c r="G2681" i="1"/>
  <c r="G2682" i="1"/>
  <c r="G2683" i="1"/>
  <c r="G2684" i="1"/>
  <c r="G2671" i="1"/>
  <c r="G2672" i="1"/>
  <c r="G2673" i="1"/>
  <c r="G2674" i="1"/>
  <c r="G2675" i="1"/>
  <c r="G2676" i="1"/>
  <c r="G2677" i="1"/>
  <c r="G2678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85" i="1"/>
  <c r="G2637" i="1"/>
  <c r="G2638" i="1"/>
  <c r="G2639" i="1"/>
  <c r="G2640" i="1"/>
  <c r="G2641" i="1"/>
  <c r="G2644" i="1"/>
  <c r="G2643" i="1"/>
  <c r="G2642" i="1"/>
  <c r="G2645" i="1"/>
  <c r="G2647" i="1"/>
  <c r="G2646" i="1"/>
  <c r="G2648" i="1"/>
  <c r="G2633" i="1"/>
  <c r="G5635" i="1"/>
  <c r="G5213" i="1"/>
  <c r="G4251" i="1"/>
  <c r="G2606" i="1"/>
  <c r="G2636" i="1"/>
  <c r="G2686" i="1"/>
  <c r="G2692" i="1"/>
  <c r="G2687" i="1"/>
  <c r="G2689" i="1"/>
  <c r="G2691" i="1"/>
  <c r="G2688" i="1"/>
  <c r="G2690" i="1"/>
  <c r="G2696" i="1"/>
  <c r="G2694" i="1"/>
  <c r="G2695" i="1"/>
  <c r="G2697" i="1"/>
  <c r="G2704" i="1"/>
  <c r="G2699" i="1"/>
  <c r="G2767" i="1"/>
  <c r="G2705" i="1"/>
  <c r="G2706" i="1"/>
  <c r="G2708" i="1"/>
  <c r="G2812" i="1"/>
  <c r="G2709" i="1"/>
  <c r="G2710" i="1"/>
  <c r="G2711" i="1"/>
  <c r="G2698" i="1"/>
  <c r="G2712" i="1"/>
  <c r="G2716" i="1"/>
  <c r="G2700" i="1"/>
  <c r="G3692" i="1"/>
  <c r="G2718" i="1"/>
  <c r="G2714" i="1"/>
  <c r="G2719" i="1"/>
  <c r="G2723" i="1"/>
  <c r="G2724" i="1"/>
  <c r="G2725" i="1"/>
  <c r="G2726" i="1"/>
  <c r="G2730" i="1"/>
  <c r="G2731" i="1"/>
  <c r="G2732" i="1"/>
  <c r="G2734" i="1"/>
  <c r="G2735" i="1"/>
  <c r="G2733" i="1"/>
  <c r="G2738" i="1"/>
  <c r="G2739" i="1"/>
  <c r="G2737" i="1"/>
  <c r="G2713" i="1"/>
  <c r="G2741" i="1"/>
  <c r="G2743" i="1"/>
  <c r="G2744" i="1"/>
  <c r="G2746" i="1"/>
  <c r="G2742" i="1"/>
  <c r="G2745" i="1"/>
  <c r="G2751" i="1"/>
  <c r="G2749" i="1"/>
  <c r="G2750" i="1"/>
  <c r="G2753" i="1"/>
  <c r="G2754" i="1"/>
  <c r="G2752" i="1"/>
  <c r="G2755" i="1"/>
  <c r="G2762" i="1"/>
  <c r="G2766" i="1"/>
  <c r="G2763" i="1"/>
  <c r="G2765" i="1"/>
  <c r="G2761" i="1"/>
  <c r="G2764" i="1"/>
  <c r="G2770" i="1"/>
  <c r="G2772" i="1"/>
  <c r="G2771" i="1"/>
  <c r="G2773" i="1"/>
  <c r="G2776" i="1"/>
  <c r="G2775" i="1"/>
  <c r="G2774" i="1"/>
  <c r="G2778" i="1"/>
  <c r="G2777" i="1"/>
  <c r="G2779" i="1"/>
  <c r="G2794" i="1"/>
  <c r="G2791" i="1"/>
  <c r="G2793" i="1"/>
  <c r="G2792" i="1"/>
  <c r="G2717" i="1"/>
  <c r="G2817" i="1"/>
  <c r="G2818" i="1"/>
  <c r="G2822" i="1"/>
  <c r="G2823" i="1"/>
  <c r="G2824" i="1"/>
  <c r="G2819" i="1"/>
  <c r="G2820" i="1"/>
  <c r="G2821" i="1"/>
  <c r="G2826" i="1"/>
  <c r="G2825" i="1"/>
  <c r="G2841" i="1"/>
  <c r="G2837" i="1"/>
  <c r="G2838" i="1"/>
  <c r="G2827" i="1"/>
  <c r="G2828" i="1"/>
  <c r="G2829" i="1"/>
  <c r="G2830" i="1"/>
  <c r="G2831" i="1"/>
  <c r="G2839" i="1"/>
  <c r="G2840" i="1"/>
  <c r="G2832" i="1"/>
  <c r="G2833" i="1"/>
  <c r="G2834" i="1"/>
  <c r="G2835" i="1"/>
  <c r="G2836" i="1"/>
  <c r="G2842" i="1"/>
  <c r="G2843" i="1"/>
  <c r="G2846" i="1"/>
  <c r="G2844" i="1"/>
  <c r="G2849" i="1"/>
  <c r="G2850" i="1"/>
  <c r="G2847" i="1"/>
  <c r="G2848" i="1"/>
  <c r="G2851" i="1"/>
  <c r="G2852" i="1"/>
  <c r="G2854" i="1"/>
  <c r="G2879" i="1"/>
  <c r="G2878" i="1"/>
  <c r="G2976" i="1"/>
  <c r="G2882" i="1"/>
  <c r="G2881" i="1"/>
  <c r="G2980" i="1"/>
  <c r="G2884" i="1"/>
  <c r="G2885" i="1"/>
  <c r="G2890" i="1"/>
  <c r="G2889" i="1"/>
  <c r="G2888" i="1"/>
  <c r="G2891" i="1"/>
  <c r="G2893" i="1"/>
  <c r="G2895" i="1"/>
  <c r="G2896" i="1"/>
  <c r="G2900" i="1"/>
  <c r="G2899" i="1"/>
  <c r="G2902" i="1"/>
  <c r="G2901" i="1"/>
  <c r="G2904" i="1"/>
  <c r="G2869" i="1"/>
  <c r="G2903" i="1"/>
  <c r="G2909" i="1"/>
  <c r="G2908" i="1"/>
  <c r="G2910" i="1"/>
  <c r="G2912" i="1"/>
  <c r="G2911" i="1"/>
  <c r="G2914" i="1"/>
  <c r="G2919" i="1"/>
  <c r="G2918" i="1"/>
  <c r="G2920" i="1"/>
  <c r="G2923" i="1"/>
  <c r="G2922" i="1"/>
  <c r="G2921" i="1"/>
  <c r="G2925" i="1"/>
  <c r="G2924" i="1"/>
  <c r="G2926" i="1"/>
  <c r="G2931" i="1"/>
  <c r="G2932" i="1"/>
  <c r="G2929" i="1"/>
  <c r="G2906" i="1"/>
  <c r="G2933" i="1"/>
  <c r="G2936" i="1"/>
  <c r="G2938" i="1"/>
  <c r="G2937" i="1"/>
  <c r="G2941" i="1"/>
  <c r="G2940" i="1"/>
  <c r="G2939" i="1"/>
  <c r="G3895" i="1"/>
  <c r="G3896" i="1"/>
  <c r="G3897" i="1"/>
  <c r="G3695" i="1"/>
  <c r="G3696" i="1"/>
  <c r="G2974" i="1"/>
  <c r="G3051" i="1"/>
  <c r="G3052" i="1"/>
  <c r="G3053" i="1"/>
  <c r="G3054" i="1"/>
  <c r="G3055" i="1"/>
  <c r="G3050" i="1"/>
  <c r="G3045" i="1"/>
  <c r="G3046" i="1"/>
  <c r="G3047" i="1"/>
  <c r="G3048" i="1"/>
  <c r="G3049" i="1"/>
  <c r="G3145" i="1"/>
  <c r="G3155" i="1"/>
  <c r="G3144" i="1"/>
  <c r="G3197" i="1"/>
  <c r="G2865" i="1"/>
  <c r="G3180" i="1"/>
  <c r="G3181" i="1"/>
  <c r="G3182" i="1"/>
  <c r="G3183" i="1"/>
  <c r="G3184" i="1"/>
  <c r="G3098" i="1"/>
  <c r="G3075" i="1"/>
  <c r="G3076" i="1"/>
  <c r="G5636" i="1"/>
  <c r="G3030" i="1"/>
  <c r="G3059" i="1"/>
  <c r="G3185" i="1"/>
  <c r="G3104" i="1"/>
  <c r="G3074" i="1"/>
  <c r="G3077" i="1"/>
  <c r="G3179" i="1"/>
  <c r="G3101" i="1"/>
  <c r="G3065" i="1"/>
  <c r="G2962" i="1"/>
  <c r="G3103" i="1"/>
  <c r="G3072" i="1"/>
  <c r="G2859" i="1"/>
  <c r="G3066" i="1"/>
  <c r="G3067" i="1"/>
  <c r="G3068" i="1"/>
  <c r="G3069" i="1"/>
  <c r="G3070" i="1"/>
  <c r="G3071" i="1"/>
  <c r="G3102" i="1"/>
  <c r="G2953" i="1"/>
  <c r="G2948" i="1"/>
  <c r="G3056" i="1"/>
  <c r="G3061" i="1"/>
  <c r="G3107" i="1"/>
  <c r="G3108" i="1"/>
  <c r="G3100" i="1"/>
  <c r="G3106" i="1"/>
  <c r="G3105" i="1"/>
  <c r="G3186" i="1"/>
  <c r="G3109" i="1"/>
  <c r="G3110" i="1"/>
  <c r="G3113" i="1"/>
  <c r="G3114" i="1"/>
  <c r="G3112" i="1"/>
  <c r="G3111" i="1"/>
  <c r="G3116" i="1"/>
  <c r="G3117" i="1"/>
  <c r="G3115" i="1"/>
  <c r="G3119" i="1"/>
  <c r="G3120" i="1"/>
  <c r="G3118" i="1"/>
  <c r="G3126" i="1"/>
  <c r="G3127" i="1"/>
  <c r="G3121" i="1"/>
  <c r="G3125" i="1"/>
  <c r="G3123" i="1"/>
  <c r="G3154" i="1"/>
  <c r="G3130" i="1"/>
  <c r="G3143" i="1"/>
  <c r="G3132" i="1"/>
  <c r="G3133" i="1"/>
  <c r="G3131" i="1"/>
  <c r="G3137" i="1"/>
  <c r="G3161" i="1"/>
  <c r="G3163" i="1"/>
  <c r="G3162" i="1"/>
  <c r="G3165" i="1"/>
  <c r="G3166" i="1"/>
  <c r="G3152" i="1"/>
  <c r="G3189" i="1"/>
  <c r="G3205" i="1"/>
  <c r="G3215" i="1"/>
  <c r="G3236" i="1"/>
  <c r="G3237" i="1"/>
  <c r="G3250" i="1"/>
  <c r="G3239" i="1"/>
  <c r="G3240" i="1"/>
  <c r="G3252" i="1"/>
  <c r="G3229" i="1"/>
  <c r="G3216" i="1"/>
  <c r="G3230" i="1"/>
  <c r="G3241" i="1"/>
  <c r="G3243" i="1"/>
  <c r="G3217" i="1"/>
  <c r="G3202" i="1"/>
  <c r="G3254" i="1"/>
  <c r="G3201" i="1"/>
  <c r="G3214" i="1"/>
  <c r="G3206" i="1"/>
  <c r="G3200" i="1"/>
  <c r="G3231" i="1"/>
  <c r="G3207" i="1"/>
  <c r="G3208" i="1"/>
  <c r="G3258" i="1"/>
  <c r="G3255" i="1"/>
  <c r="G3234" i="1"/>
  <c r="G3218" i="1"/>
  <c r="G3220" i="1"/>
  <c r="G3221" i="1"/>
  <c r="G4627" i="1"/>
  <c r="G3406" i="1"/>
  <c r="G3360" i="1"/>
  <c r="G3210" i="1"/>
  <c r="G3434" i="1"/>
  <c r="G3259" i="1"/>
  <c r="G3235" i="1"/>
  <c r="G3204" i="1"/>
  <c r="G3437" i="1"/>
  <c r="G3224" i="1"/>
  <c r="G3408" i="1"/>
  <c r="G3427" i="1"/>
  <c r="G3225" i="1"/>
  <c r="G3211" i="1"/>
  <c r="G3212" i="1"/>
  <c r="G3213" i="1"/>
  <c r="G3232" i="1"/>
  <c r="G3261" i="1"/>
  <c r="G3260" i="1"/>
  <c r="G3209" i="1"/>
  <c r="G3264" i="1"/>
  <c r="G3262" i="1"/>
  <c r="G3263" i="1"/>
  <c r="G3265" i="1"/>
  <c r="G3267" i="1"/>
  <c r="G3268" i="1"/>
  <c r="G3266" i="1"/>
  <c r="G3272" i="1"/>
  <c r="G3274" i="1"/>
  <c r="G3273" i="1"/>
  <c r="G3278" i="1"/>
  <c r="G3279" i="1"/>
  <c r="G3277" i="1"/>
  <c r="G3276" i="1"/>
  <c r="G3283" i="1"/>
  <c r="G3284" i="1"/>
  <c r="G3285" i="1"/>
  <c r="G3282" i="1"/>
  <c r="G3281" i="1"/>
  <c r="G3286" i="1"/>
  <c r="G3287" i="1"/>
  <c r="G3288" i="1"/>
  <c r="G3289" i="1"/>
  <c r="G3290" i="1"/>
  <c r="G3294" i="1"/>
  <c r="G3292" i="1"/>
  <c r="G3293" i="1"/>
  <c r="G3291" i="1"/>
  <c r="G3297" i="1"/>
  <c r="G3295" i="1"/>
  <c r="G3298" i="1"/>
  <c r="G3299" i="1"/>
  <c r="G3296" i="1"/>
  <c r="G3302" i="1"/>
  <c r="G3300" i="1"/>
  <c r="G3301" i="1"/>
  <c r="G3305" i="1"/>
  <c r="G3307" i="1"/>
  <c r="G3303" i="1"/>
  <c r="G3306" i="1"/>
  <c r="G3304" i="1"/>
  <c r="G3309" i="1"/>
  <c r="G3310" i="1"/>
  <c r="G3311" i="1"/>
  <c r="G3308" i="1"/>
  <c r="G3313" i="1"/>
  <c r="G3314" i="1"/>
  <c r="G3312" i="1"/>
  <c r="G3317" i="1"/>
  <c r="G3315" i="1"/>
  <c r="G3316" i="1"/>
  <c r="G3320" i="1"/>
  <c r="G3321" i="1"/>
  <c r="G3322" i="1"/>
  <c r="G3319" i="1"/>
  <c r="G3324" i="1"/>
  <c r="G3325" i="1"/>
  <c r="G3323" i="1"/>
  <c r="G3327" i="1"/>
  <c r="G3326" i="1"/>
  <c r="G3329" i="1"/>
  <c r="G3330" i="1"/>
  <c r="G3328" i="1"/>
  <c r="G3333" i="1"/>
  <c r="G3334" i="1"/>
  <c r="G3332" i="1"/>
  <c r="G3331" i="1"/>
  <c r="G3242" i="1"/>
  <c r="G3335" i="1"/>
  <c r="G3341" i="1"/>
  <c r="G3340" i="1"/>
  <c r="G3339" i="1"/>
  <c r="G3342" i="1"/>
  <c r="G3343" i="1"/>
  <c r="G3344" i="1"/>
  <c r="G3347" i="1"/>
  <c r="G3345" i="1"/>
  <c r="G3346" i="1"/>
  <c r="G3348" i="1"/>
  <c r="G3350" i="1"/>
  <c r="G3349" i="1"/>
  <c r="G3947" i="1"/>
  <c r="G3352" i="1"/>
  <c r="G3353" i="1"/>
  <c r="G3351" i="1"/>
  <c r="G3356" i="1"/>
  <c r="G3354" i="1"/>
  <c r="G3355" i="1"/>
  <c r="G3359" i="1"/>
  <c r="G3357" i="1"/>
  <c r="G3358" i="1"/>
  <c r="G3238" i="1"/>
  <c r="G3436" i="1"/>
  <c r="G2150" i="1"/>
  <c r="G2148" i="1"/>
  <c r="G2149" i="1"/>
  <c r="G3367" i="1"/>
  <c r="G3365" i="1"/>
  <c r="G3366" i="1"/>
  <c r="G3370" i="1"/>
  <c r="G3368" i="1"/>
  <c r="G3369" i="1"/>
  <c r="G3372" i="1"/>
  <c r="G3371" i="1"/>
  <c r="G3373" i="1"/>
  <c r="G3375" i="1"/>
  <c r="G3374" i="1"/>
  <c r="G3378" i="1"/>
  <c r="G3377" i="1"/>
  <c r="G3376" i="1"/>
  <c r="G3382" i="1"/>
  <c r="G3381" i="1"/>
  <c r="G3380" i="1"/>
  <c r="G3383" i="1"/>
  <c r="G3384" i="1"/>
  <c r="G3386" i="1"/>
  <c r="G3385" i="1"/>
  <c r="G3388" i="1"/>
  <c r="G3390" i="1"/>
  <c r="G3389" i="1"/>
  <c r="G3431" i="1"/>
  <c r="G3394" i="1"/>
  <c r="G3401" i="1"/>
  <c r="G3400" i="1"/>
  <c r="G3399" i="1"/>
  <c r="G3403" i="1"/>
  <c r="G3404" i="1"/>
  <c r="G3402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76" i="1"/>
  <c r="G3477" i="1"/>
  <c r="G3478" i="1"/>
  <c r="G3492" i="1"/>
  <c r="G3493" i="1"/>
  <c r="G3465" i="1"/>
  <c r="G3466" i="1"/>
  <c r="G3467" i="1"/>
  <c r="G3468" i="1"/>
  <c r="G3469" i="1"/>
  <c r="G3470" i="1"/>
  <c r="G3471" i="1"/>
  <c r="G3472" i="1"/>
  <c r="G3473" i="1"/>
  <c r="G3474" i="1"/>
  <c r="G3475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4" i="1"/>
  <c r="G3498" i="1"/>
  <c r="G3497" i="1"/>
  <c r="G3495" i="1"/>
  <c r="G3496" i="1"/>
  <c r="G3507" i="1"/>
  <c r="G3509" i="1"/>
  <c r="G3428" i="1"/>
  <c r="G3503" i="1"/>
  <c r="G3504" i="1"/>
  <c r="G3505" i="1"/>
  <c r="G3506" i="1"/>
  <c r="G3499" i="1"/>
  <c r="G3500" i="1"/>
  <c r="G3501" i="1"/>
  <c r="G3502" i="1"/>
  <c r="G3508" i="1"/>
  <c r="G3510" i="1"/>
  <c r="G3511" i="1"/>
  <c r="G3512" i="1"/>
  <c r="G3513" i="1"/>
  <c r="G3514" i="1"/>
  <c r="G3515" i="1"/>
  <c r="G3516" i="1"/>
  <c r="G3517" i="1"/>
  <c r="G3518" i="1"/>
  <c r="G3519" i="1"/>
  <c r="G3520" i="1"/>
  <c r="G3433" i="1"/>
  <c r="G3521" i="1"/>
  <c r="G3522" i="1"/>
  <c r="G3526" i="1"/>
  <c r="G3531" i="1"/>
  <c r="G3530" i="1"/>
  <c r="G3534" i="1"/>
  <c r="G3533" i="1"/>
  <c r="G3532" i="1"/>
  <c r="G3538" i="1"/>
  <c r="G3535" i="1"/>
  <c r="G3537" i="1"/>
  <c r="G3536" i="1"/>
  <c r="G3541" i="1"/>
  <c r="G3540" i="1"/>
  <c r="G3539" i="1"/>
  <c r="G3544" i="1"/>
  <c r="G3543" i="1"/>
  <c r="G3542" i="1"/>
  <c r="G3548" i="1"/>
  <c r="G3546" i="1"/>
  <c r="G3547" i="1"/>
  <c r="G3545" i="1"/>
  <c r="G3550" i="1"/>
  <c r="G3549" i="1"/>
  <c r="G3553" i="1"/>
  <c r="G3551" i="1"/>
  <c r="G3554" i="1"/>
  <c r="G3552" i="1"/>
  <c r="G3556" i="1"/>
  <c r="G3557" i="1"/>
  <c r="G3555" i="1"/>
  <c r="G3561" i="1"/>
  <c r="G3559" i="1"/>
  <c r="G3558" i="1"/>
  <c r="G3560" i="1"/>
  <c r="G3563" i="1"/>
  <c r="G3562" i="1"/>
  <c r="G3566" i="1"/>
  <c r="G3564" i="1"/>
  <c r="G3565" i="1"/>
  <c r="G3571" i="1"/>
  <c r="G3570" i="1"/>
  <c r="G3569" i="1"/>
  <c r="G3568" i="1"/>
  <c r="G3567" i="1"/>
  <c r="G3573" i="1"/>
  <c r="G3572" i="1"/>
  <c r="G3576" i="1"/>
  <c r="G3575" i="1"/>
  <c r="G3574" i="1"/>
  <c r="G3579" i="1"/>
  <c r="G3578" i="1"/>
  <c r="G3577" i="1"/>
  <c r="G3582" i="1"/>
  <c r="G3581" i="1"/>
  <c r="G3580" i="1"/>
  <c r="G3585" i="1"/>
  <c r="G3584" i="1"/>
  <c r="G3583" i="1"/>
  <c r="G3588" i="1"/>
  <c r="G3587" i="1"/>
  <c r="G3586" i="1"/>
  <c r="G3591" i="1"/>
  <c r="G3590" i="1"/>
  <c r="G3589" i="1"/>
  <c r="G3594" i="1"/>
  <c r="G3593" i="1"/>
  <c r="G3592" i="1"/>
  <c r="G3599" i="1"/>
  <c r="G3598" i="1"/>
  <c r="G3596" i="1"/>
  <c r="G3595" i="1"/>
  <c r="G3597" i="1"/>
  <c r="G3600" i="1"/>
  <c r="G3601" i="1"/>
  <c r="G3602" i="1"/>
  <c r="G3605" i="1"/>
  <c r="G3604" i="1"/>
  <c r="G3603" i="1"/>
  <c r="G3608" i="1"/>
  <c r="G3606" i="1"/>
  <c r="G3607" i="1"/>
  <c r="G3611" i="1"/>
  <c r="G3609" i="1"/>
  <c r="G3610" i="1"/>
  <c r="G3614" i="1"/>
  <c r="G3612" i="1"/>
  <c r="G3613" i="1"/>
  <c r="G3617" i="1"/>
  <c r="G3615" i="1"/>
  <c r="G3616" i="1"/>
  <c r="G3620" i="1"/>
  <c r="G3618" i="1"/>
  <c r="G3619" i="1"/>
  <c r="G3621" i="1"/>
  <c r="G3624" i="1"/>
  <c r="G3622" i="1"/>
  <c r="G3623" i="1"/>
  <c r="G3627" i="1"/>
  <c r="G3625" i="1"/>
  <c r="G3626" i="1"/>
  <c r="G3628" i="1"/>
  <c r="G3630" i="1"/>
  <c r="G630" i="1"/>
  <c r="G3633" i="1"/>
  <c r="G3632" i="1"/>
  <c r="G3631" i="1"/>
  <c r="G3636" i="1"/>
  <c r="G3635" i="1"/>
  <c r="G3634" i="1"/>
  <c r="G3639" i="1"/>
  <c r="G3638" i="1"/>
  <c r="G3637" i="1"/>
  <c r="G3642" i="1"/>
  <c r="G3641" i="1"/>
  <c r="G3640" i="1"/>
  <c r="G3651" i="1"/>
  <c r="G3652" i="1"/>
  <c r="G3653" i="1"/>
  <c r="G3655" i="1"/>
  <c r="G3656" i="1"/>
  <c r="G3657" i="1"/>
  <c r="G3658" i="1"/>
  <c r="G3659" i="1"/>
  <c r="G3660" i="1"/>
  <c r="G3661" i="1"/>
  <c r="G3662" i="1"/>
  <c r="G3663" i="1"/>
  <c r="G3683" i="1"/>
  <c r="G3667" i="1"/>
  <c r="G3666" i="1"/>
  <c r="G3664" i="1"/>
  <c r="G3669" i="1"/>
  <c r="G3670" i="1"/>
  <c r="G3672" i="1"/>
  <c r="G3665" i="1"/>
  <c r="G3668" i="1"/>
  <c r="G3673" i="1"/>
  <c r="G3233" i="1"/>
  <c r="G3674" i="1"/>
  <c r="G3678" i="1"/>
  <c r="G3677" i="1"/>
  <c r="G3680" i="1"/>
  <c r="G3679" i="1"/>
  <c r="G3682" i="1"/>
  <c r="G3681" i="1"/>
  <c r="G3684" i="1"/>
  <c r="G3685" i="1"/>
  <c r="G3728" i="1"/>
  <c r="G3710" i="1"/>
  <c r="G3711" i="1"/>
  <c r="G552" i="1"/>
  <c r="G3743" i="1"/>
  <c r="G3735" i="1"/>
  <c r="G3831" i="1"/>
  <c r="G3830" i="1"/>
  <c r="G3874" i="1"/>
  <c r="G3705" i="1"/>
  <c r="G3870" i="1"/>
  <c r="G3697" i="1"/>
  <c r="G3713" i="1"/>
  <c r="G3714" i="1"/>
  <c r="G3708" i="1"/>
  <c r="G3709" i="1"/>
  <c r="G3869" i="1"/>
  <c r="G3715" i="1"/>
  <c r="G3716" i="1"/>
  <c r="G3717" i="1"/>
  <c r="G3718" i="1"/>
  <c r="G3719" i="1"/>
  <c r="G3720" i="1"/>
  <c r="G3721" i="1"/>
  <c r="G3722" i="1"/>
  <c r="G3723" i="1"/>
  <c r="G3724" i="1"/>
  <c r="G3781" i="1"/>
  <c r="G2045" i="1"/>
  <c r="G2046" i="1"/>
  <c r="G3791" i="1"/>
  <c r="G3793" i="1"/>
  <c r="G3792" i="1"/>
  <c r="G3790" i="1"/>
  <c r="G2096" i="1"/>
  <c r="G3849" i="1"/>
  <c r="G3807" i="1"/>
  <c r="G3808" i="1"/>
  <c r="G3813" i="1"/>
  <c r="G5490" i="1"/>
  <c r="G3810" i="1"/>
  <c r="G3811" i="1"/>
  <c r="G3821" i="1"/>
  <c r="G3822" i="1"/>
  <c r="G3819" i="1"/>
  <c r="G3823" i="1"/>
  <c r="G3795" i="1"/>
  <c r="G3872" i="1"/>
  <c r="G4326" i="1"/>
  <c r="G4323" i="1"/>
  <c r="G4324" i="1"/>
  <c r="G4325" i="1"/>
  <c r="G4264" i="1"/>
  <c r="G4327" i="1"/>
  <c r="G4328" i="1"/>
  <c r="G4304" i="1"/>
  <c r="G4305" i="1"/>
  <c r="G4306" i="1"/>
  <c r="G4385" i="1"/>
  <c r="G4386" i="1"/>
  <c r="G4387" i="1"/>
  <c r="G4388" i="1"/>
  <c r="G4398" i="1"/>
  <c r="G4399" i="1"/>
  <c r="G4400" i="1"/>
  <c r="G4401" i="1"/>
  <c r="G4437" i="1"/>
  <c r="G4438" i="1"/>
  <c r="G4439" i="1"/>
  <c r="G4443" i="1"/>
  <c r="G4444" i="1"/>
  <c r="G4445" i="1"/>
  <c r="G4440" i="1"/>
  <c r="G4441" i="1"/>
  <c r="G4446" i="1"/>
  <c r="G4447" i="1"/>
  <c r="G4448" i="1"/>
  <c r="G4442" i="1"/>
  <c r="G4433" i="1"/>
  <c r="G4403" i="1"/>
  <c r="G4404" i="1"/>
  <c r="G4421" i="1"/>
  <c r="G4402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2" i="1"/>
  <c r="G4423" i="1"/>
  <c r="G4424" i="1"/>
  <c r="G4425" i="1"/>
  <c r="G4426" i="1"/>
  <c r="G4427" i="1"/>
  <c r="G4428" i="1"/>
  <c r="G4429" i="1"/>
  <c r="G4430" i="1"/>
  <c r="G4431" i="1"/>
  <c r="G4432" i="1"/>
  <c r="G4434" i="1"/>
  <c r="G4449" i="1"/>
  <c r="G4435" i="1"/>
  <c r="G4436" i="1"/>
  <c r="G4459" i="1"/>
  <c r="G4460" i="1"/>
  <c r="G4262" i="1"/>
  <c r="G4263" i="1"/>
  <c r="G4261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94" i="1"/>
  <c r="G4288" i="1"/>
  <c r="G4289" i="1"/>
  <c r="G4290" i="1"/>
  <c r="G4291" i="1"/>
  <c r="G4379" i="1"/>
  <c r="G4383" i="1"/>
  <c r="G4329" i="1"/>
  <c r="G4382" i="1"/>
  <c r="G4380" i="1"/>
  <c r="G4381" i="1"/>
  <c r="G4292" i="1"/>
  <c r="G4293" i="1"/>
  <c r="G4389" i="1"/>
  <c r="G4390" i="1"/>
  <c r="G4394" i="1"/>
  <c r="G4396" i="1"/>
  <c r="G4397" i="1"/>
  <c r="G4393" i="1"/>
  <c r="G4392" i="1"/>
  <c r="G4395" i="1"/>
  <c r="G4452" i="1"/>
  <c r="G4453" i="1"/>
  <c r="G4454" i="1"/>
  <c r="G4451" i="1"/>
  <c r="G4450" i="1"/>
  <c r="G4455" i="1"/>
  <c r="G4456" i="1"/>
  <c r="G4457" i="1"/>
  <c r="G4458" i="1"/>
  <c r="G3955" i="1"/>
  <c r="G3956" i="1"/>
  <c r="G3860" i="1"/>
  <c r="G3991" i="1"/>
  <c r="G3983" i="1"/>
  <c r="G3987" i="1"/>
  <c r="G5640" i="1"/>
  <c r="G3963" i="1"/>
  <c r="G3996" i="1"/>
  <c r="G4654" i="1"/>
  <c r="G3979" i="1"/>
  <c r="G3960" i="1"/>
  <c r="G3980" i="1"/>
  <c r="G3990" i="1"/>
  <c r="G3974" i="1"/>
  <c r="G3964" i="1"/>
  <c r="G3981" i="1"/>
  <c r="G3977" i="1"/>
  <c r="G3998" i="1"/>
  <c r="G3999" i="1"/>
  <c r="G3961" i="1"/>
  <c r="G4000" i="1"/>
  <c r="G4001" i="1"/>
  <c r="G4018" i="1"/>
  <c r="G4005" i="1"/>
  <c r="G4006" i="1"/>
  <c r="G4007" i="1"/>
  <c r="G4008" i="1"/>
  <c r="G4009" i="1"/>
  <c r="G4010" i="1"/>
  <c r="G4011" i="1"/>
  <c r="G4012" i="1"/>
  <c r="G4013" i="1"/>
  <c r="G4004" i="1"/>
  <c r="G4019" i="1"/>
  <c r="G4020" i="1"/>
  <c r="G4021" i="1"/>
  <c r="G4022" i="1"/>
  <c r="G4023" i="1"/>
  <c r="G4014" i="1"/>
  <c r="G4015" i="1"/>
  <c r="G4016" i="1"/>
  <c r="G4017" i="1"/>
  <c r="G3982" i="1"/>
  <c r="G4669" i="1"/>
  <c r="G4003" i="1"/>
  <c r="G4025" i="1"/>
  <c r="G4663" i="1"/>
  <c r="G4024" i="1"/>
  <c r="G4002" i="1"/>
  <c r="G2516" i="1"/>
  <c r="G4026" i="1"/>
  <c r="G4027" i="1"/>
  <c r="G4606" i="1"/>
  <c r="G4028" i="1"/>
  <c r="G1256" i="1"/>
  <c r="G2414" i="1"/>
  <c r="G4033" i="1"/>
  <c r="G4030" i="1"/>
  <c r="G4031" i="1"/>
  <c r="G4032" i="1"/>
  <c r="G4041" i="1"/>
  <c r="G2400" i="1"/>
  <c r="G5641" i="1"/>
  <c r="G4042" i="1"/>
  <c r="G4044" i="1"/>
  <c r="G4043" i="1"/>
  <c r="G4045" i="1"/>
  <c r="G4046" i="1"/>
  <c r="G4048" i="1"/>
  <c r="G4049" i="1"/>
  <c r="G4047" i="1"/>
  <c r="G4052" i="1"/>
  <c r="G4050" i="1"/>
  <c r="G4051" i="1"/>
  <c r="G4054" i="1"/>
  <c r="G4053" i="1"/>
  <c r="G4057" i="1"/>
  <c r="G4055" i="1"/>
  <c r="G4056" i="1"/>
  <c r="G4071" i="1"/>
  <c r="G4110" i="1"/>
  <c r="G4058" i="1"/>
  <c r="G4080" i="1"/>
  <c r="G4084" i="1"/>
  <c r="G436" i="1"/>
  <c r="G4101" i="1"/>
  <c r="G4060" i="1"/>
  <c r="G4061" i="1"/>
  <c r="G4062" i="1"/>
  <c r="G4063" i="1"/>
  <c r="G4064" i="1"/>
  <c r="G4065" i="1"/>
  <c r="G4066" i="1"/>
  <c r="G4067" i="1"/>
  <c r="G4068" i="1"/>
  <c r="G4069" i="1"/>
  <c r="G4070" i="1"/>
  <c r="G4083" i="1"/>
  <c r="G4059" i="1"/>
  <c r="G331" i="1"/>
  <c r="G4166" i="1"/>
  <c r="G4125" i="1"/>
  <c r="G4165" i="1"/>
  <c r="G4167" i="1"/>
  <c r="G4168" i="1"/>
  <c r="G4163" i="1"/>
  <c r="G4113" i="1"/>
  <c r="G4114" i="1"/>
  <c r="G4115" i="1"/>
  <c r="G4116" i="1"/>
  <c r="G4117" i="1"/>
  <c r="G4111" i="1"/>
  <c r="G4138" i="1"/>
  <c r="G4139" i="1"/>
  <c r="G4140" i="1"/>
  <c r="G4141" i="1"/>
  <c r="G4142" i="1"/>
  <c r="G4164" i="1"/>
  <c r="G4143" i="1"/>
  <c r="G4144" i="1"/>
  <c r="G4145" i="1"/>
  <c r="G4146" i="1"/>
  <c r="G4147" i="1"/>
  <c r="G4148" i="1"/>
  <c r="G4149" i="1"/>
  <c r="G4150" i="1"/>
  <c r="G4151" i="1"/>
  <c r="G4152" i="1"/>
  <c r="G4127" i="1"/>
  <c r="G4128" i="1"/>
  <c r="G4129" i="1"/>
  <c r="G4130" i="1"/>
  <c r="G4131" i="1"/>
  <c r="G4132" i="1"/>
  <c r="G4133" i="1"/>
  <c r="G4134" i="1"/>
  <c r="G4135" i="1"/>
  <c r="G3887" i="1"/>
  <c r="G4119" i="1"/>
  <c r="G4120" i="1"/>
  <c r="G4121" i="1"/>
  <c r="G4122" i="1"/>
  <c r="G4123" i="1"/>
  <c r="G4112" i="1"/>
  <c r="G4162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36" i="1"/>
  <c r="G4821" i="1"/>
  <c r="G4822" i="1"/>
  <c r="G4823" i="1"/>
  <c r="G4256" i="1"/>
  <c r="G4824" i="1"/>
  <c r="G4825" i="1"/>
  <c r="G4826" i="1"/>
  <c r="G4827" i="1"/>
  <c r="G4828" i="1"/>
  <c r="G4829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35" i="1"/>
  <c r="G4236" i="1"/>
  <c r="G4836" i="1"/>
  <c r="G4837" i="1"/>
  <c r="G4838" i="1"/>
  <c r="G4337" i="1"/>
  <c r="G4104" i="1"/>
  <c r="G4839" i="1"/>
  <c r="G4840" i="1"/>
  <c r="G4841" i="1"/>
  <c r="G4842" i="1"/>
  <c r="G4843" i="1"/>
  <c r="G4844" i="1"/>
  <c r="G4105" i="1"/>
  <c r="G4081" i="1"/>
  <c r="G4830" i="1"/>
  <c r="G4832" i="1"/>
  <c r="G4106" i="1"/>
  <c r="G4107" i="1"/>
  <c r="G4108" i="1"/>
  <c r="G4109" i="1"/>
  <c r="G4820" i="1"/>
  <c r="G4072" i="1"/>
  <c r="G4831" i="1"/>
  <c r="G4126" i="1"/>
  <c r="G4082" i="1"/>
  <c r="G4073" i="1"/>
  <c r="G4074" i="1"/>
  <c r="G4075" i="1"/>
  <c r="G4076" i="1"/>
  <c r="G4077" i="1"/>
  <c r="G4078" i="1"/>
  <c r="G4079" i="1"/>
  <c r="G4188" i="1"/>
  <c r="G4845" i="1"/>
  <c r="G4218" i="1"/>
  <c r="G4190" i="1"/>
  <c r="G4219" i="1"/>
  <c r="G4220" i="1"/>
  <c r="G4187" i="1"/>
  <c r="G4222" i="1"/>
  <c r="G4223" i="1"/>
  <c r="G4224" i="1"/>
  <c r="G4225" i="1"/>
  <c r="G4226" i="1"/>
  <c r="G5614" i="1"/>
  <c r="G4191" i="1"/>
  <c r="G4192" i="1"/>
  <c r="G4228" i="1"/>
  <c r="G4229" i="1"/>
  <c r="G4230" i="1"/>
  <c r="G4231" i="1"/>
  <c r="G4232" i="1"/>
  <c r="G548" i="1"/>
  <c r="G4233" i="1"/>
  <c r="G4234" i="1"/>
  <c r="G4235" i="1"/>
  <c r="G4194" i="1"/>
  <c r="G4846" i="1"/>
  <c r="G4213" i="1"/>
  <c r="G4215" i="1"/>
  <c r="G4195" i="1"/>
  <c r="G4183" i="1"/>
  <c r="G4185" i="1"/>
  <c r="G4186" i="1"/>
  <c r="G4214" i="1"/>
  <c r="G4182" i="1"/>
  <c r="G4338" i="1"/>
  <c r="G4189" i="1"/>
  <c r="G4103" i="1"/>
  <c r="G4850" i="1"/>
  <c r="G4169" i="1"/>
  <c r="G4217" i="1"/>
  <c r="G4834" i="1"/>
  <c r="G4216" i="1"/>
  <c r="G4221" i="1"/>
  <c r="G3850" i="1"/>
  <c r="G4227" i="1"/>
  <c r="G3927" i="1"/>
  <c r="G3925" i="1"/>
  <c r="G3926" i="1"/>
  <c r="G4851" i="1"/>
  <c r="G422" i="1"/>
  <c r="G5633" i="1"/>
  <c r="G4237" i="1"/>
  <c r="G4238" i="1"/>
  <c r="G4240" i="1"/>
  <c r="G4241" i="1"/>
  <c r="G4239" i="1"/>
  <c r="G4193" i="1"/>
  <c r="G4245" i="1"/>
  <c r="G4243" i="1"/>
  <c r="G4244" i="1"/>
  <c r="G4242" i="1"/>
  <c r="G4246" i="1"/>
  <c r="G4250" i="1"/>
  <c r="G4248" i="1"/>
  <c r="G4249" i="1"/>
  <c r="G4252" i="1"/>
  <c r="G4253" i="1"/>
  <c r="G4255" i="1"/>
  <c r="G4254" i="1"/>
  <c r="G4258" i="1"/>
  <c r="G4259" i="1"/>
  <c r="G5642" i="1"/>
  <c r="G4334" i="1"/>
  <c r="G4377" i="1"/>
  <c r="G4352" i="1"/>
  <c r="G4353" i="1"/>
  <c r="G4354" i="1"/>
  <c r="G4355" i="1"/>
  <c r="G4356" i="1"/>
  <c r="G4357" i="1"/>
  <c r="G4346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48" i="1"/>
  <c r="G4349" i="1"/>
  <c r="G4350" i="1"/>
  <c r="G4351" i="1"/>
  <c r="G4347" i="1"/>
  <c r="G4358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520" i="1"/>
  <c r="G4521" i="1"/>
  <c r="G4525" i="1"/>
  <c r="G4522" i="1"/>
  <c r="G4483" i="1"/>
  <c r="G4523" i="1"/>
  <c r="G4524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7" i="1"/>
  <c r="G4528" i="1"/>
  <c r="G4529" i="1"/>
  <c r="G4532" i="1"/>
  <c r="G4533" i="1"/>
  <c r="G4531" i="1"/>
  <c r="G4530" i="1"/>
  <c r="G4534" i="1"/>
  <c r="G4535" i="1"/>
  <c r="G4536" i="1"/>
  <c r="G4537" i="1"/>
  <c r="G4538" i="1"/>
  <c r="G4539" i="1"/>
  <c r="G4540" i="1"/>
  <c r="G4541" i="1"/>
  <c r="G4542" i="1"/>
  <c r="G4543" i="1"/>
  <c r="G4544" i="1"/>
  <c r="G4551" i="1"/>
  <c r="G4607" i="1"/>
  <c r="G4552" i="1"/>
  <c r="G4553" i="1"/>
  <c r="G4554" i="1"/>
  <c r="G4555" i="1"/>
  <c r="G4556" i="1"/>
  <c r="G4614" i="1"/>
  <c r="G4557" i="1"/>
  <c r="G4558" i="1"/>
  <c r="G4559" i="1"/>
  <c r="G4615" i="1"/>
  <c r="G4608" i="1"/>
  <c r="G4603" i="1"/>
  <c r="G4621" i="1"/>
  <c r="G4609" i="1"/>
  <c r="G4560" i="1"/>
  <c r="G4610" i="1"/>
  <c r="G4597" i="1"/>
  <c r="G4617" i="1"/>
  <c r="G4616" i="1"/>
  <c r="G4561" i="1"/>
  <c r="G4618" i="1"/>
  <c r="G4562" i="1"/>
  <c r="G4563" i="1"/>
  <c r="G4564" i="1"/>
  <c r="G4565" i="1"/>
  <c r="G4611" i="1"/>
  <c r="G4612" i="1"/>
  <c r="G4566" i="1"/>
  <c r="G4567" i="1"/>
  <c r="G4569" i="1"/>
  <c r="G4622" i="1"/>
  <c r="G4547" i="1"/>
  <c r="G4619" i="1"/>
  <c r="G4620" i="1"/>
  <c r="G4570" i="1"/>
  <c r="G4571" i="1"/>
  <c r="G4572" i="1"/>
  <c r="G4573" i="1"/>
  <c r="G4574" i="1"/>
  <c r="G4575" i="1"/>
  <c r="G4576" i="1"/>
  <c r="G4598" i="1"/>
  <c r="G4604" i="1"/>
  <c r="G4577" i="1"/>
  <c r="G4578" i="1"/>
  <c r="G4579" i="1"/>
  <c r="G4605" i="1"/>
  <c r="G4580" i="1"/>
  <c r="G4581" i="1"/>
  <c r="G4582" i="1"/>
  <c r="G4583" i="1"/>
  <c r="G4584" i="1"/>
  <c r="G4548" i="1"/>
  <c r="G4549" i="1"/>
  <c r="G4599" i="1"/>
  <c r="G4600" i="1"/>
  <c r="G4601" i="1"/>
  <c r="G4602" i="1"/>
  <c r="G4550" i="1"/>
  <c r="G4613" i="1"/>
  <c r="G4585" i="1"/>
  <c r="G4586" i="1"/>
  <c r="G4587" i="1"/>
  <c r="G4588" i="1"/>
  <c r="G4589" i="1"/>
  <c r="G4590" i="1"/>
  <c r="G4591" i="1"/>
  <c r="G4592" i="1"/>
  <c r="G4593" i="1"/>
  <c r="G4594" i="1"/>
  <c r="G4595" i="1"/>
  <c r="G4623" i="1"/>
  <c r="G4626" i="1"/>
  <c r="G4625" i="1"/>
  <c r="G4624" i="1"/>
  <c r="G4628" i="1"/>
  <c r="G4631" i="1"/>
  <c r="G4632" i="1"/>
  <c r="G4633" i="1"/>
  <c r="G4634" i="1"/>
  <c r="G4644" i="1"/>
  <c r="G4635" i="1"/>
  <c r="G4636" i="1"/>
  <c r="G4645" i="1"/>
  <c r="G4646" i="1"/>
  <c r="G4637" i="1"/>
  <c r="G4647" i="1"/>
  <c r="G4648" i="1"/>
  <c r="G4638" i="1"/>
  <c r="G4649" i="1"/>
  <c r="G4650" i="1"/>
  <c r="G4639" i="1"/>
  <c r="G4640" i="1"/>
  <c r="G4641" i="1"/>
  <c r="G4651" i="1"/>
  <c r="G4642" i="1"/>
  <c r="G4643" i="1"/>
  <c r="G4652" i="1"/>
  <c r="G4653" i="1"/>
  <c r="G4670" i="1"/>
  <c r="G4671" i="1"/>
  <c r="G4659" i="1"/>
  <c r="G4664" i="1"/>
  <c r="G4665" i="1"/>
  <c r="G4666" i="1"/>
  <c r="G4667" i="1"/>
  <c r="G4668" i="1"/>
  <c r="G4675" i="1"/>
  <c r="G4676" i="1"/>
  <c r="G4677" i="1"/>
  <c r="G4678" i="1"/>
  <c r="G4679" i="1"/>
  <c r="G4680" i="1"/>
  <c r="G4681" i="1"/>
  <c r="G4682" i="1"/>
  <c r="G4683" i="1"/>
  <c r="G4684" i="1"/>
  <c r="G4685" i="1"/>
  <c r="G4695" i="1"/>
  <c r="G4754" i="1"/>
  <c r="G4710" i="1"/>
  <c r="G4728" i="1"/>
  <c r="G4784" i="1"/>
  <c r="G4703" i="1"/>
  <c r="G4750" i="1"/>
  <c r="G4755" i="1"/>
  <c r="G4756" i="1"/>
  <c r="G4751" i="1"/>
  <c r="G4757" i="1"/>
  <c r="G4699" i="1"/>
  <c r="G4700" i="1"/>
  <c r="G4704" i="1"/>
  <c r="G4705" i="1"/>
  <c r="G4706" i="1"/>
  <c r="G4707" i="1"/>
  <c r="G4758" i="1"/>
  <c r="G4759" i="1"/>
  <c r="G4760" i="1"/>
  <c r="G4761" i="1"/>
  <c r="G4762" i="1"/>
  <c r="G4763" i="1"/>
  <c r="G4764" i="1"/>
  <c r="G4765" i="1"/>
  <c r="G4766" i="1"/>
  <c r="G4767" i="1"/>
  <c r="G4711" i="1"/>
  <c r="G4712" i="1"/>
  <c r="G4713" i="1"/>
  <c r="G4714" i="1"/>
  <c r="G4708" i="1"/>
  <c r="G4768" i="1"/>
  <c r="G4783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09" i="1"/>
  <c r="G4752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696" i="1"/>
  <c r="G4701" i="1"/>
  <c r="G4702" i="1"/>
  <c r="G4697" i="1"/>
  <c r="G4753" i="1"/>
  <c r="G4785" i="1"/>
  <c r="G4786" i="1"/>
  <c r="G4698" i="1"/>
  <c r="G4787" i="1"/>
  <c r="G4789" i="1"/>
  <c r="G4788" i="1"/>
  <c r="G4799" i="1"/>
  <c r="G4800" i="1"/>
  <c r="G4798" i="1"/>
  <c r="G4801" i="1"/>
  <c r="G4802" i="1"/>
  <c r="G4790" i="1"/>
  <c r="G4793" i="1"/>
  <c r="G4794" i="1"/>
  <c r="G4797" i="1"/>
  <c r="G4792" i="1"/>
  <c r="G4791" i="1"/>
  <c r="G4803" i="1"/>
  <c r="G4806" i="1"/>
  <c r="G4805" i="1"/>
  <c r="G4848" i="1"/>
  <c r="G4847" i="1"/>
  <c r="G4849" i="1"/>
  <c r="G4852" i="1"/>
  <c r="G4860" i="1"/>
  <c r="G4935" i="1"/>
  <c r="G4976" i="1"/>
  <c r="G4977" i="1"/>
  <c r="G4978" i="1"/>
  <c r="G5077" i="1"/>
  <c r="G4979" i="1"/>
  <c r="G4941" i="1"/>
  <c r="G4980" i="1"/>
  <c r="G4981" i="1"/>
  <c r="G4982" i="1"/>
  <c r="G4983" i="1"/>
  <c r="G4984" i="1"/>
  <c r="G4985" i="1"/>
  <c r="G4862" i="1"/>
  <c r="G5076" i="1"/>
  <c r="G5078" i="1"/>
  <c r="G4986" i="1"/>
  <c r="G4987" i="1"/>
  <c r="G4988" i="1"/>
  <c r="G5079" i="1"/>
  <c r="G5080" i="1"/>
  <c r="G5081" i="1"/>
  <c r="G5082" i="1"/>
  <c r="G5083" i="1"/>
  <c r="G4856" i="1"/>
  <c r="G5084" i="1"/>
  <c r="G4989" i="1"/>
  <c r="G4967" i="1"/>
  <c r="G5085" i="1"/>
  <c r="G5086" i="1"/>
  <c r="G4890" i="1"/>
  <c r="G4990" i="1"/>
  <c r="G5087" i="1"/>
  <c r="G4991" i="1"/>
  <c r="G4944" i="1"/>
  <c r="G5088" i="1"/>
  <c r="G4891" i="1"/>
  <c r="G5089" i="1"/>
  <c r="G4992" i="1"/>
  <c r="G4857" i="1"/>
  <c r="G4993" i="1"/>
  <c r="G4936" i="1"/>
  <c r="G4892" i="1"/>
  <c r="G5090" i="1"/>
  <c r="G4994" i="1"/>
  <c r="G5091" i="1"/>
  <c r="G5092" i="1"/>
  <c r="G5093" i="1"/>
  <c r="G4995" i="1"/>
  <c r="G4996" i="1"/>
  <c r="G4997" i="1"/>
  <c r="G4863" i="1"/>
  <c r="G5094" i="1"/>
  <c r="G4998" i="1"/>
  <c r="G5095" i="1"/>
  <c r="G5096" i="1"/>
  <c r="G5097" i="1"/>
  <c r="G4999" i="1"/>
  <c r="G4893" i="1"/>
  <c r="G5000" i="1"/>
  <c r="G5001" i="1"/>
  <c r="G5002" i="1"/>
  <c r="G4945" i="1"/>
  <c r="G4894" i="1"/>
  <c r="G4895" i="1"/>
  <c r="G4896" i="1"/>
  <c r="G4897" i="1"/>
  <c r="G4898" i="1"/>
  <c r="G5098" i="1"/>
  <c r="G5099" i="1"/>
  <c r="G4968" i="1"/>
  <c r="G5003" i="1"/>
  <c r="G5004" i="1"/>
  <c r="G5005" i="1"/>
  <c r="G5006" i="1"/>
  <c r="G4864" i="1"/>
  <c r="G5100" i="1"/>
  <c r="G5007" i="1"/>
  <c r="G5008" i="1"/>
  <c r="G5101" i="1"/>
  <c r="G5009" i="1"/>
  <c r="G5010" i="1"/>
  <c r="G5102" i="1"/>
  <c r="G5103" i="1"/>
  <c r="G5104" i="1"/>
  <c r="G5105" i="1"/>
  <c r="G5106" i="1"/>
  <c r="G5107" i="1"/>
  <c r="G5108" i="1"/>
  <c r="G5011" i="1"/>
  <c r="G5156" i="1"/>
  <c r="G5109" i="1"/>
  <c r="G5157" i="1"/>
  <c r="G5158" i="1"/>
  <c r="G5110" i="1"/>
  <c r="G5111" i="1"/>
  <c r="G5159" i="1"/>
  <c r="G5112" i="1"/>
  <c r="G4899" i="1"/>
  <c r="G5012" i="1"/>
  <c r="G5013" i="1"/>
  <c r="G5113" i="1"/>
  <c r="G5014" i="1"/>
  <c r="G5015" i="1"/>
  <c r="G5016" i="1"/>
  <c r="G4865" i="1"/>
  <c r="G5017" i="1"/>
  <c r="G5018" i="1"/>
  <c r="G5019" i="1"/>
  <c r="G5020" i="1"/>
  <c r="G4866" i="1"/>
  <c r="G5021" i="1"/>
  <c r="G4900" i="1"/>
  <c r="G5022" i="1"/>
  <c r="G5023" i="1"/>
  <c r="G5114" i="1"/>
  <c r="G5024" i="1"/>
  <c r="G5025" i="1"/>
  <c r="G5026" i="1"/>
  <c r="G5115" i="1"/>
  <c r="G5027" i="1"/>
  <c r="G4867" i="1"/>
  <c r="G5028" i="1"/>
  <c r="G5116" i="1"/>
  <c r="G4868" i="1"/>
  <c r="G5029" i="1"/>
  <c r="G4858" i="1"/>
  <c r="G4901" i="1"/>
  <c r="G4902" i="1"/>
  <c r="G4903" i="1"/>
  <c r="G4904" i="1"/>
  <c r="G4869" i="1"/>
  <c r="G5030" i="1"/>
  <c r="G5031" i="1"/>
  <c r="G5032" i="1"/>
  <c r="G5033" i="1"/>
  <c r="G5117" i="1"/>
  <c r="G5118" i="1"/>
  <c r="G5119" i="1"/>
  <c r="G4870" i="1"/>
  <c r="G5034" i="1"/>
  <c r="G5035" i="1"/>
  <c r="G5120" i="1"/>
  <c r="G5036" i="1"/>
  <c r="G5037" i="1"/>
  <c r="G4871" i="1"/>
  <c r="G5038" i="1"/>
  <c r="G4872" i="1"/>
  <c r="G5039" i="1"/>
  <c r="G4946" i="1"/>
  <c r="G5121" i="1"/>
  <c r="G5040" i="1"/>
  <c r="G5041" i="1"/>
  <c r="G4905" i="1"/>
  <c r="G4873" i="1"/>
  <c r="G4874" i="1"/>
  <c r="G4906" i="1"/>
  <c r="G4947" i="1"/>
  <c r="G5167" i="1"/>
  <c r="G5122" i="1"/>
  <c r="G5042" i="1"/>
  <c r="G4907" i="1"/>
  <c r="G5043" i="1"/>
  <c r="G5123" i="1"/>
  <c r="G5044" i="1"/>
  <c r="G5168" i="1"/>
  <c r="G4875" i="1"/>
  <c r="G4908" i="1"/>
  <c r="G5045" i="1"/>
  <c r="G5046" i="1"/>
  <c r="G4909" i="1"/>
  <c r="G4948" i="1"/>
  <c r="G4876" i="1"/>
  <c r="G5047" i="1"/>
  <c r="G5124" i="1"/>
  <c r="G5125" i="1"/>
  <c r="G5171" i="1"/>
  <c r="G5126" i="1"/>
  <c r="G5127" i="1"/>
  <c r="G5128" i="1"/>
  <c r="G5048" i="1"/>
  <c r="G4910" i="1"/>
  <c r="G4911" i="1"/>
  <c r="G5049" i="1"/>
  <c r="G5160" i="1"/>
  <c r="G5050" i="1"/>
  <c r="G5129" i="1"/>
  <c r="G5130" i="1"/>
  <c r="G4949" i="1"/>
  <c r="G5051" i="1"/>
  <c r="G5131" i="1"/>
  <c r="G4954" i="1"/>
  <c r="G4950" i="1"/>
  <c r="G4912" i="1"/>
  <c r="G5132" i="1"/>
  <c r="G5052" i="1"/>
  <c r="G4859" i="1"/>
  <c r="G5133" i="1"/>
  <c r="G5053" i="1"/>
  <c r="G5134" i="1"/>
  <c r="G5135" i="1"/>
  <c r="G4951" i="1"/>
  <c r="G4853" i="1"/>
  <c r="G5161" i="1"/>
  <c r="G4913" i="1"/>
  <c r="G5136" i="1"/>
  <c r="G5137" i="1"/>
  <c r="G5138" i="1"/>
  <c r="G5054" i="1"/>
  <c r="G5055" i="1"/>
  <c r="G5056" i="1"/>
  <c r="G5172" i="1"/>
  <c r="G5057" i="1"/>
  <c r="G5058" i="1"/>
  <c r="G5059" i="1"/>
  <c r="G5060" i="1"/>
  <c r="G5061" i="1"/>
  <c r="G5062" i="1"/>
  <c r="G5063" i="1"/>
  <c r="G5064" i="1"/>
  <c r="G5065" i="1"/>
  <c r="G5066" i="1"/>
  <c r="G4877" i="1"/>
  <c r="G5139" i="1"/>
  <c r="G5067" i="1"/>
  <c r="G4914" i="1"/>
  <c r="G4962" i="1"/>
  <c r="G4878" i="1"/>
  <c r="G4963" i="1"/>
  <c r="G4964" i="1"/>
  <c r="G4952" i="1"/>
  <c r="G4915" i="1"/>
  <c r="G4953" i="1"/>
  <c r="G4955" i="1"/>
  <c r="G4956" i="1"/>
  <c r="G4957" i="1"/>
  <c r="G4916" i="1"/>
  <c r="G4917" i="1"/>
  <c r="G4879" i="1"/>
  <c r="G5173" i="1"/>
  <c r="G4918" i="1"/>
  <c r="G4969" i="1"/>
  <c r="G5170" i="1"/>
  <c r="G5162" i="1"/>
  <c r="G4854" i="1"/>
  <c r="G5163" i="1"/>
  <c r="G4880" i="1"/>
  <c r="G4881" i="1"/>
  <c r="G4939" i="1"/>
  <c r="G4882" i="1"/>
  <c r="G4919" i="1"/>
  <c r="G4920" i="1"/>
  <c r="G5174" i="1"/>
  <c r="G5164" i="1"/>
  <c r="G4942" i="1"/>
  <c r="G5165" i="1"/>
  <c r="G4921" i="1"/>
  <c r="G4973" i="1"/>
  <c r="G4972" i="1"/>
  <c r="G5140" i="1"/>
  <c r="G4861" i="1"/>
  <c r="G4922" i="1"/>
  <c r="G5068" i="1"/>
  <c r="G4938" i="1"/>
  <c r="G4974" i="1"/>
  <c r="G4937" i="1"/>
  <c r="G4975" i="1"/>
  <c r="G4923" i="1"/>
  <c r="G5069" i="1"/>
  <c r="G5070" i="1"/>
  <c r="G5141" i="1"/>
  <c r="G4883" i="1"/>
  <c r="G4924" i="1"/>
  <c r="G4925" i="1"/>
  <c r="G4926" i="1"/>
  <c r="G5071" i="1"/>
  <c r="G4943" i="1"/>
  <c r="G4940" i="1"/>
  <c r="G5166" i="1"/>
  <c r="G5142" i="1"/>
  <c r="G4958" i="1"/>
  <c r="G5143" i="1"/>
  <c r="G5144" i="1"/>
  <c r="G5145" i="1"/>
  <c r="G4970" i="1"/>
  <c r="G4927" i="1"/>
  <c r="G4928" i="1"/>
  <c r="G4929" i="1"/>
  <c r="G4930" i="1"/>
  <c r="G4931" i="1"/>
  <c r="G4932" i="1"/>
  <c r="G4965" i="1"/>
  <c r="G4933" i="1"/>
  <c r="G5072" i="1"/>
  <c r="G5073" i="1"/>
  <c r="G5074" i="1"/>
  <c r="G5146" i="1"/>
  <c r="G5147" i="1"/>
  <c r="G5148" i="1"/>
  <c r="G5149" i="1"/>
  <c r="G4971" i="1"/>
  <c r="G5150" i="1"/>
  <c r="G5151" i="1"/>
  <c r="G5152" i="1"/>
  <c r="G4966" i="1"/>
  <c r="G5153" i="1"/>
  <c r="G4934" i="1"/>
  <c r="G5169" i="1"/>
  <c r="G5075" i="1"/>
  <c r="G4959" i="1"/>
  <c r="G4960" i="1"/>
  <c r="G4961" i="1"/>
  <c r="G4884" i="1"/>
  <c r="G4889" i="1"/>
  <c r="G4855" i="1"/>
  <c r="G4885" i="1"/>
  <c r="G5154" i="1"/>
  <c r="G4886" i="1"/>
  <c r="G4887" i="1"/>
  <c r="G4888" i="1"/>
  <c r="G4804" i="1"/>
  <c r="G5155" i="1"/>
  <c r="G5176" i="1"/>
  <c r="G5194" i="1"/>
  <c r="G5179" i="1"/>
  <c r="G5184" i="1"/>
  <c r="G5195" i="1"/>
  <c r="G5189" i="1"/>
  <c r="G5180" i="1"/>
  <c r="G5187" i="1"/>
  <c r="G5188" i="1"/>
  <c r="G5190" i="1"/>
  <c r="G5175" i="1"/>
  <c r="G5185" i="1"/>
  <c r="G5181" i="1"/>
  <c r="G5182" i="1"/>
  <c r="G5183" i="1"/>
  <c r="G5177" i="1"/>
  <c r="G5186" i="1"/>
  <c r="G5178" i="1"/>
  <c r="G5191" i="1"/>
  <c r="G5192" i="1"/>
  <c r="G5193" i="1"/>
  <c r="G5197" i="1"/>
  <c r="G5198" i="1"/>
  <c r="G5199" i="1"/>
  <c r="G5200" i="1"/>
  <c r="G5205" i="1"/>
  <c r="G5206" i="1"/>
  <c r="G5208" i="1"/>
  <c r="G5207" i="1"/>
  <c r="G5210" i="1"/>
  <c r="G5211" i="1"/>
  <c r="G5212" i="1"/>
  <c r="G5214" i="1"/>
  <c r="G5215" i="1"/>
  <c r="G5216" i="1"/>
  <c r="G5217" i="1"/>
  <c r="G5219" i="1"/>
  <c r="G5220" i="1"/>
  <c r="G5221" i="1"/>
  <c r="G5222" i="1"/>
  <c r="G5218" i="1"/>
  <c r="G5228" i="1"/>
  <c r="G5230" i="1"/>
  <c r="G5231" i="1"/>
  <c r="G5232" i="1"/>
  <c r="G5234" i="1"/>
  <c r="G5239" i="1"/>
  <c r="G5240" i="1"/>
  <c r="G5241" i="1"/>
  <c r="G5242" i="1"/>
  <c r="G4686" i="1"/>
  <c r="G4687" i="1"/>
  <c r="G4688" i="1"/>
  <c r="G4689" i="1"/>
  <c r="G4690" i="1"/>
  <c r="G4691" i="1"/>
  <c r="G4692" i="1"/>
  <c r="G4693" i="1"/>
  <c r="G4694" i="1"/>
  <c r="G4674" i="1"/>
  <c r="G5246" i="1"/>
  <c r="G5267" i="1"/>
  <c r="G5247" i="1"/>
  <c r="G5248" i="1"/>
  <c r="G5249" i="1"/>
  <c r="G5250" i="1"/>
  <c r="G5268" i="1"/>
  <c r="G5251" i="1"/>
  <c r="G5275" i="1"/>
  <c r="G5252" i="1"/>
  <c r="G5253" i="1"/>
  <c r="G5254" i="1"/>
  <c r="G5255" i="1"/>
  <c r="G5256" i="1"/>
  <c r="G5257" i="1"/>
  <c r="G5258" i="1"/>
  <c r="G5259" i="1"/>
  <c r="G5269" i="1"/>
  <c r="G5270" i="1"/>
  <c r="G5243" i="1"/>
  <c r="G5263" i="1"/>
  <c r="G5264" i="1"/>
  <c r="G5265" i="1"/>
  <c r="G5260" i="1"/>
  <c r="G5261" i="1"/>
  <c r="G5271" i="1"/>
  <c r="G5272" i="1"/>
  <c r="G5273" i="1"/>
  <c r="G5274" i="1"/>
  <c r="G5276" i="1"/>
  <c r="G5277" i="1"/>
  <c r="G5278" i="1"/>
  <c r="G5279" i="1"/>
  <c r="G5244" i="1"/>
  <c r="G5245" i="1"/>
  <c r="G5280" i="1"/>
  <c r="G5283" i="1"/>
  <c r="G5282" i="1"/>
  <c r="G5281" i="1"/>
  <c r="G5284" i="1"/>
  <c r="G5285" i="1"/>
  <c r="G5289" i="1"/>
  <c r="G5294" i="1"/>
  <c r="G5295" i="1"/>
  <c r="G5296" i="1"/>
  <c r="G5297" i="1"/>
  <c r="G5298" i="1"/>
  <c r="G5299" i="1"/>
  <c r="G5300" i="1"/>
  <c r="G5301" i="1"/>
  <c r="G5290" i="1"/>
  <c r="G5291" i="1"/>
  <c r="G3749" i="1"/>
  <c r="G5292" i="1"/>
  <c r="G5293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4" i="1"/>
  <c r="G5323" i="1"/>
  <c r="G5325" i="1"/>
  <c r="G5326" i="1"/>
  <c r="G5327" i="1"/>
  <c r="G5362" i="1"/>
  <c r="G5363" i="1"/>
  <c r="G5360" i="1"/>
  <c r="G5361" i="1"/>
  <c r="G5374" i="1"/>
  <c r="G5375" i="1"/>
  <c r="G5364" i="1"/>
  <c r="G5365" i="1"/>
  <c r="G5366" i="1"/>
  <c r="G5376" i="1"/>
  <c r="G5367" i="1"/>
  <c r="G5368" i="1"/>
  <c r="G5377" i="1"/>
  <c r="G5378" i="1"/>
  <c r="G5369" i="1"/>
  <c r="G5379" i="1"/>
  <c r="G5370" i="1"/>
  <c r="G5371" i="1"/>
  <c r="G5372" i="1"/>
  <c r="G5373" i="1"/>
  <c r="G5380" i="1"/>
  <c r="G5381" i="1"/>
  <c r="G5382" i="1"/>
  <c r="G5383" i="1"/>
  <c r="G5384" i="1"/>
  <c r="G5385" i="1"/>
  <c r="G5388" i="1"/>
  <c r="G5386" i="1"/>
  <c r="G5387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5" i="1"/>
  <c r="G5406" i="1"/>
  <c r="G5402" i="1"/>
  <c r="G5403" i="1"/>
  <c r="G5407" i="1"/>
  <c r="G5404" i="1"/>
  <c r="G5408" i="1"/>
  <c r="G5409" i="1"/>
  <c r="G5420" i="1"/>
  <c r="G5421" i="1"/>
  <c r="G5410" i="1"/>
  <c r="G5411" i="1"/>
  <c r="G5422" i="1"/>
  <c r="G5412" i="1"/>
  <c r="G5423" i="1"/>
  <c r="G5424" i="1"/>
  <c r="G5413" i="1"/>
  <c r="G5425" i="1"/>
  <c r="G5414" i="1"/>
  <c r="G5426" i="1"/>
  <c r="G5427" i="1"/>
  <c r="G5415" i="1"/>
  <c r="G5428" i="1"/>
  <c r="G5416" i="1"/>
  <c r="G5429" i="1"/>
  <c r="G5417" i="1"/>
  <c r="G5418" i="1"/>
  <c r="G5419" i="1"/>
  <c r="G5460" i="1"/>
  <c r="G5461" i="1"/>
  <c r="G5462" i="1"/>
  <c r="G5430" i="1"/>
  <c r="G5463" i="1"/>
  <c r="G5431" i="1"/>
  <c r="G5464" i="1"/>
  <c r="G5465" i="1"/>
  <c r="G5466" i="1"/>
  <c r="G5467" i="1"/>
  <c r="G5432" i="1"/>
  <c r="G5468" i="1"/>
  <c r="G5433" i="1"/>
  <c r="G5469" i="1"/>
  <c r="G5470" i="1"/>
  <c r="G5434" i="1"/>
  <c r="G5435" i="1"/>
  <c r="G5471" i="1"/>
  <c r="G5472" i="1"/>
  <c r="G5436" i="1"/>
  <c r="G5437" i="1"/>
  <c r="G5438" i="1"/>
  <c r="G5439" i="1"/>
  <c r="G5473" i="1"/>
  <c r="G5474" i="1"/>
  <c r="G5440" i="1"/>
  <c r="G5441" i="1"/>
  <c r="G5442" i="1"/>
  <c r="G5475" i="1"/>
  <c r="G5443" i="1"/>
  <c r="G5444" i="1"/>
  <c r="G5476" i="1"/>
  <c r="G5445" i="1"/>
  <c r="G5446" i="1"/>
  <c r="G5447" i="1"/>
  <c r="G5448" i="1"/>
  <c r="G5449" i="1"/>
  <c r="G5450" i="1"/>
  <c r="G5451" i="1"/>
  <c r="G5452" i="1"/>
  <c r="G5477" i="1"/>
  <c r="G5453" i="1"/>
  <c r="G5478" i="1"/>
  <c r="G5479" i="1"/>
  <c r="G5454" i="1"/>
  <c r="G5455" i="1"/>
  <c r="G5456" i="1"/>
  <c r="G5457" i="1"/>
  <c r="G5480" i="1"/>
  <c r="G5458" i="1"/>
  <c r="G5481" i="1"/>
  <c r="G5482" i="1"/>
  <c r="G5483" i="1"/>
  <c r="G5459" i="1"/>
  <c r="G5484" i="1"/>
  <c r="G5485" i="1"/>
  <c r="G5486" i="1"/>
  <c r="G5487" i="1"/>
  <c r="G5488" i="1"/>
  <c r="G5501" i="1"/>
  <c r="G5502" i="1"/>
  <c r="G5503" i="1"/>
  <c r="G5504" i="1"/>
  <c r="G5491" i="1"/>
  <c r="G5492" i="1"/>
  <c r="G5493" i="1"/>
  <c r="G5505" i="1"/>
  <c r="G5494" i="1"/>
  <c r="G5495" i="1"/>
  <c r="G5506" i="1"/>
  <c r="G5496" i="1"/>
  <c r="G5507" i="1"/>
  <c r="G5508" i="1"/>
  <c r="G5497" i="1"/>
  <c r="G5509" i="1"/>
  <c r="G5498" i="1"/>
  <c r="G5499" i="1"/>
  <c r="G5510" i="1"/>
  <c r="G5500" i="1"/>
  <c r="G5518" i="1"/>
  <c r="G5519" i="1"/>
  <c r="G5512" i="1"/>
  <c r="G5520" i="1"/>
  <c r="G5513" i="1"/>
  <c r="G5521" i="1"/>
  <c r="G5514" i="1"/>
  <c r="G5522" i="1"/>
  <c r="G5515" i="1"/>
  <c r="G5516" i="1"/>
  <c r="G5523" i="1"/>
  <c r="G5517" i="1"/>
  <c r="G5511" i="1"/>
  <c r="G5544" i="1"/>
  <c r="G5545" i="1"/>
  <c r="G5524" i="1"/>
  <c r="G5546" i="1"/>
  <c r="G5525" i="1"/>
  <c r="G5526" i="1"/>
  <c r="G5547" i="1"/>
  <c r="G5548" i="1"/>
  <c r="G5527" i="1"/>
  <c r="G5528" i="1"/>
  <c r="G5529" i="1"/>
  <c r="G5549" i="1"/>
  <c r="G5550" i="1"/>
  <c r="G5551" i="1"/>
  <c r="G5530" i="1"/>
  <c r="G5531" i="1"/>
  <c r="G5552" i="1"/>
  <c r="G5553" i="1"/>
  <c r="G5532" i="1"/>
  <c r="G5533" i="1"/>
  <c r="G5534" i="1"/>
  <c r="G5535" i="1"/>
  <c r="G5554" i="1"/>
  <c r="G5555" i="1"/>
  <c r="G5556" i="1"/>
  <c r="G5536" i="1"/>
  <c r="G5537" i="1"/>
  <c r="G5557" i="1"/>
  <c r="G5558" i="1"/>
  <c r="G5559" i="1"/>
  <c r="G5560" i="1"/>
  <c r="G5538" i="1"/>
  <c r="G5539" i="1"/>
  <c r="G5561" i="1"/>
  <c r="G5540" i="1"/>
  <c r="G5541" i="1"/>
  <c r="G5542" i="1"/>
  <c r="G5543" i="1"/>
  <c r="G5562" i="1"/>
  <c r="G5563" i="1"/>
  <c r="G5564" i="1"/>
  <c r="G5565" i="1"/>
  <c r="G5576" i="1"/>
  <c r="G5577" i="1"/>
  <c r="G5566" i="1"/>
  <c r="G5578" i="1"/>
  <c r="G5579" i="1"/>
  <c r="G5567" i="1"/>
  <c r="G5580" i="1"/>
  <c r="G5568" i="1"/>
  <c r="G5569" i="1"/>
  <c r="G5581" i="1"/>
  <c r="G5570" i="1"/>
  <c r="G5571" i="1"/>
  <c r="G5582" i="1"/>
  <c r="G5572" i="1"/>
  <c r="G5583" i="1"/>
  <c r="G5584" i="1"/>
  <c r="G5573" i="1"/>
  <c r="G5574" i="1"/>
  <c r="G5575" i="1"/>
  <c r="G5585" i="1"/>
  <c r="G5586" i="1"/>
  <c r="G5587" i="1"/>
  <c r="G5588" i="1"/>
  <c r="G5589" i="1"/>
  <c r="G5590" i="1"/>
  <c r="G5593" i="1"/>
  <c r="G5594" i="1"/>
  <c r="G5596" i="1"/>
  <c r="G5595" i="1"/>
  <c r="G5597" i="1"/>
  <c r="G5598" i="1"/>
  <c r="G5591" i="1"/>
  <c r="G5592" i="1"/>
  <c r="G5599" i="1"/>
  <c r="G5600" i="1"/>
  <c r="G5601" i="1"/>
  <c r="G5602" i="1"/>
  <c r="G5603" i="1"/>
  <c r="G5604" i="1"/>
  <c r="G5605" i="1"/>
  <c r="G5607" i="1"/>
  <c r="G5608" i="1"/>
  <c r="G5606" i="1"/>
  <c r="G5609" i="1"/>
  <c r="F3939" i="1"/>
  <c r="F3940" i="1"/>
  <c r="F3937" i="1"/>
  <c r="F3936" i="1"/>
  <c r="F3858" i="1"/>
  <c r="F3942" i="1"/>
  <c r="F3943" i="1"/>
  <c r="F3944" i="1"/>
  <c r="F3945" i="1"/>
  <c r="F3946" i="1"/>
  <c r="F2" i="1"/>
  <c r="F3701" i="1"/>
  <c r="F3" i="1"/>
  <c r="F4" i="1"/>
  <c r="F5" i="1"/>
  <c r="F6" i="1"/>
  <c r="F7" i="1"/>
  <c r="F8" i="1"/>
  <c r="F9" i="1"/>
  <c r="F10" i="1"/>
  <c r="F11" i="1"/>
  <c r="F12" i="1"/>
  <c r="F14" i="1"/>
  <c r="F15" i="1"/>
  <c r="F13" i="1"/>
  <c r="F4378" i="1"/>
  <c r="F5224" i="1"/>
  <c r="F16" i="1"/>
  <c r="F23" i="1"/>
  <c r="F20" i="1"/>
  <c r="F17" i="1"/>
  <c r="F18" i="1"/>
  <c r="F19" i="1"/>
  <c r="F21" i="1"/>
  <c r="F22" i="1"/>
  <c r="F24" i="1"/>
  <c r="F25" i="1"/>
  <c r="F26" i="1"/>
  <c r="F27" i="1"/>
  <c r="F28" i="1"/>
  <c r="F29" i="1"/>
  <c r="F31" i="1"/>
  <c r="F30" i="1"/>
  <c r="F478" i="1"/>
  <c r="F506" i="1"/>
  <c r="F5328" i="1"/>
  <c r="F90" i="1"/>
  <c r="F91" i="1"/>
  <c r="F5330" i="1"/>
  <c r="F508" i="1"/>
  <c r="F480" i="1"/>
  <c r="F2153" i="1"/>
  <c r="F92" i="1"/>
  <c r="F88" i="1"/>
  <c r="F481" i="1"/>
  <c r="F126" i="1"/>
  <c r="F482" i="1"/>
  <c r="F510" i="1"/>
  <c r="F127" i="1"/>
  <c r="F93" i="1"/>
  <c r="F128" i="1"/>
  <c r="F129" i="1"/>
  <c r="F130" i="1"/>
  <c r="F131" i="1"/>
  <c r="F132" i="1"/>
  <c r="F133" i="1"/>
  <c r="F94" i="1"/>
  <c r="F134" i="1"/>
  <c r="F5343" i="1"/>
  <c r="F65" i="1"/>
  <c r="F95" i="1"/>
  <c r="F135" i="1"/>
  <c r="F484" i="1"/>
  <c r="F581" i="1"/>
  <c r="F136" i="1"/>
  <c r="F137" i="1"/>
  <c r="F542" i="1"/>
  <c r="F43" i="1"/>
  <c r="F473" i="1"/>
  <c r="F543" i="1"/>
  <c r="F66" i="1"/>
  <c r="F96" i="1"/>
  <c r="F138" i="1"/>
  <c r="F5345" i="1"/>
  <c r="F139" i="1"/>
  <c r="F140" i="1"/>
  <c r="F34" i="1"/>
  <c r="F141" i="1"/>
  <c r="F142" i="1"/>
  <c r="F5333" i="1"/>
  <c r="F578" i="1"/>
  <c r="F98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419" i="1"/>
  <c r="F161" i="1"/>
  <c r="F162" i="1"/>
  <c r="F163" i="1"/>
  <c r="F164" i="1"/>
  <c r="F165" i="1"/>
  <c r="F166" i="1"/>
  <c r="F167" i="1"/>
  <c r="F168" i="1"/>
  <c r="F429" i="1"/>
  <c r="F1182" i="1"/>
  <c r="F486" i="1"/>
  <c r="F799" i="1"/>
  <c r="F169" i="1"/>
  <c r="F170" i="1"/>
  <c r="F171" i="1"/>
  <c r="F64" i="1"/>
  <c r="F99" i="1"/>
  <c r="F430" i="1"/>
  <c r="F3363" i="1"/>
  <c r="F334" i="1"/>
  <c r="F487" i="1"/>
  <c r="F544" i="1"/>
  <c r="F172" i="1"/>
  <c r="F173" i="1"/>
  <c r="F174" i="1"/>
  <c r="F175" i="1"/>
  <c r="F176" i="1"/>
  <c r="F177" i="1"/>
  <c r="F67" i="1"/>
  <c r="F545" i="1"/>
  <c r="F178" i="1"/>
  <c r="F179" i="1"/>
  <c r="F489" i="1"/>
  <c r="F420" i="1"/>
  <c r="F490" i="1"/>
  <c r="F180" i="1"/>
  <c r="F375" i="1"/>
  <c r="F181" i="1"/>
  <c r="F491" i="1"/>
  <c r="F512" i="1"/>
  <c r="F492" i="1"/>
  <c r="F100" i="1"/>
  <c r="F434" i="1"/>
  <c r="F376" i="1"/>
  <c r="F377" i="1"/>
  <c r="F378" i="1"/>
  <c r="F379" i="1"/>
  <c r="F380" i="1"/>
  <c r="F381" i="1"/>
  <c r="F182" i="1"/>
  <c r="F183" i="1"/>
  <c r="F4568" i="1"/>
  <c r="F184" i="1"/>
  <c r="F546" i="1"/>
  <c r="F185" i="1"/>
  <c r="F186" i="1"/>
  <c r="F187" i="1"/>
  <c r="F188" i="1"/>
  <c r="F189" i="1"/>
  <c r="F190" i="1"/>
  <c r="F414" i="1"/>
  <c r="F35" i="1"/>
  <c r="F191" i="1"/>
  <c r="F431" i="1"/>
  <c r="F428" i="1"/>
  <c r="F657" i="1"/>
  <c r="F101" i="1"/>
  <c r="F36" i="1"/>
  <c r="F37" i="1"/>
  <c r="F1755" i="1"/>
  <c r="F102" i="1"/>
  <c r="F382" i="1"/>
  <c r="F383" i="1"/>
  <c r="F513" i="1"/>
  <c r="F38" i="1"/>
  <c r="F335" i="1"/>
  <c r="F192" i="1"/>
  <c r="F193" i="1"/>
  <c r="F194" i="1"/>
  <c r="F195" i="1"/>
  <c r="F196" i="1"/>
  <c r="F197" i="1"/>
  <c r="F198" i="1"/>
  <c r="F199" i="1"/>
  <c r="F200" i="1"/>
  <c r="F325" i="1"/>
  <c r="F326" i="1"/>
  <c r="F3364" i="1"/>
  <c r="F73" i="1"/>
  <c r="F547" i="1"/>
  <c r="F493" i="1"/>
  <c r="F571" i="1"/>
  <c r="F247" i="1"/>
  <c r="F74" i="1"/>
  <c r="F68" i="1"/>
  <c r="F384" i="1"/>
  <c r="F386" i="1"/>
  <c r="F549" i="1"/>
  <c r="F336" i="1"/>
  <c r="F248" i="1"/>
  <c r="F249" i="1"/>
  <c r="F250" i="1"/>
  <c r="F251" i="1"/>
  <c r="F252" i="1"/>
  <c r="F253" i="1"/>
  <c r="F254" i="1"/>
  <c r="F255" i="1"/>
  <c r="F256" i="1"/>
  <c r="F75" i="1"/>
  <c r="F76" i="1"/>
  <c r="F77" i="1"/>
  <c r="F39" i="1"/>
  <c r="F257" i="1"/>
  <c r="F258" i="1"/>
  <c r="F259" i="1"/>
  <c r="F260" i="1"/>
  <c r="F261" i="1"/>
  <c r="F262" i="1"/>
  <c r="F40" i="1"/>
  <c r="F78" i="1"/>
  <c r="F263" i="1"/>
  <c r="F264" i="1"/>
  <c r="F265" i="1"/>
  <c r="F266" i="1"/>
  <c r="F103" i="1"/>
  <c r="F104" i="1"/>
  <c r="F70" i="1"/>
  <c r="F494" i="1"/>
  <c r="F268" i="1"/>
  <c r="F515" i="1"/>
  <c r="F269" i="1"/>
  <c r="F3219" i="1"/>
  <c r="F270" i="1"/>
  <c r="F271" i="1"/>
  <c r="F272" i="1"/>
  <c r="F273" i="1"/>
  <c r="F274" i="1"/>
  <c r="F275" i="1"/>
  <c r="F276" i="1"/>
  <c r="F421" i="1"/>
  <c r="F55" i="1"/>
  <c r="F435" i="1"/>
  <c r="F550" i="1"/>
  <c r="F106" i="1"/>
  <c r="F201" i="1"/>
  <c r="F202" i="1"/>
  <c r="F808" i="1"/>
  <c r="F894" i="1"/>
  <c r="F107" i="1"/>
  <c r="F1056" i="1"/>
  <c r="F2634" i="1"/>
  <c r="F108" i="1"/>
  <c r="F109" i="1"/>
  <c r="F110" i="1"/>
  <c r="F111" i="1"/>
  <c r="F112" i="1"/>
  <c r="F2008" i="1"/>
  <c r="F516" i="1"/>
  <c r="F849" i="1"/>
  <c r="F517" i="1"/>
  <c r="F518" i="1"/>
  <c r="F520" i="1"/>
  <c r="F521" i="1"/>
  <c r="F769" i="1"/>
  <c r="F522" i="1"/>
  <c r="F523" i="1"/>
  <c r="F524" i="1"/>
  <c r="F525" i="1"/>
  <c r="F526" i="1"/>
  <c r="F527" i="1"/>
  <c r="F528" i="1"/>
  <c r="F529" i="1"/>
  <c r="F530" i="1"/>
  <c r="F531" i="1"/>
  <c r="F533" i="1"/>
  <c r="F534" i="1"/>
  <c r="F278" i="1"/>
  <c r="F279" i="1"/>
  <c r="F280" i="1"/>
  <c r="F281" i="1"/>
  <c r="F282" i="1"/>
  <c r="F423" i="1"/>
  <c r="F113" i="1"/>
  <c r="F437" i="1"/>
  <c r="F766" i="1"/>
  <c r="F125" i="1"/>
  <c r="F424" i="1"/>
  <c r="F4546" i="1"/>
  <c r="F535" i="1"/>
  <c r="F284" i="1"/>
  <c r="F285" i="1"/>
  <c r="F287" i="1"/>
  <c r="F288" i="1"/>
  <c r="F289" i="1"/>
  <c r="F290" i="1"/>
  <c r="F291" i="1"/>
  <c r="F634" i="1"/>
  <c r="F292" i="1"/>
  <c r="F294" i="1"/>
  <c r="F296" i="1"/>
  <c r="F297" i="1"/>
  <c r="F298" i="1"/>
  <c r="F299" i="1"/>
  <c r="F2338" i="1"/>
  <c r="F300" i="1"/>
  <c r="F305" i="1"/>
  <c r="F1034" i="1"/>
  <c r="F942" i="1"/>
  <c r="F311" i="1"/>
  <c r="F314" i="1"/>
  <c r="F1723" i="1"/>
  <c r="F4596" i="1"/>
  <c r="F319" i="1"/>
  <c r="F321" i="1"/>
  <c r="F323" i="1"/>
  <c r="F438" i="1"/>
  <c r="F388" i="1"/>
  <c r="F497" i="1"/>
  <c r="F1032" i="1"/>
  <c r="F573" i="1"/>
  <c r="F574" i="1"/>
  <c r="F575" i="1"/>
  <c r="F576" i="1"/>
  <c r="F577" i="1"/>
  <c r="F1307" i="1"/>
  <c r="F440" i="1"/>
  <c r="F498" i="1"/>
  <c r="F71" i="1"/>
  <c r="F72" i="1"/>
  <c r="F499" i="1"/>
  <c r="F536" i="1"/>
  <c r="F537" i="1"/>
  <c r="F538" i="1"/>
  <c r="F328" i="1"/>
  <c r="F329" i="1"/>
  <c r="F798" i="1"/>
  <c r="F2043" i="1"/>
  <c r="F80" i="1"/>
  <c r="F3429" i="1"/>
  <c r="F2693" i="1"/>
  <c r="F1547" i="1"/>
  <c r="F441" i="1"/>
  <c r="F2459" i="1"/>
  <c r="F1727" i="1"/>
  <c r="F1472" i="1"/>
  <c r="F580" i="1"/>
  <c r="F5347" i="1"/>
  <c r="F631" i="1"/>
  <c r="F633" i="1"/>
  <c r="F714" i="1"/>
  <c r="F1316" i="1"/>
  <c r="F1314" i="1"/>
  <c r="F442" i="1"/>
  <c r="F425" i="1"/>
  <c r="F415" i="1"/>
  <c r="F330" i="1"/>
  <c r="F3226" i="1"/>
  <c r="F3227" i="1"/>
  <c r="F123" i="1"/>
  <c r="F124" i="1"/>
  <c r="F115" i="1"/>
  <c r="F89" i="1"/>
  <c r="F2973" i="1"/>
  <c r="F81" i="1"/>
  <c r="F82" i="1"/>
  <c r="F83" i="1"/>
  <c r="F84" i="1"/>
  <c r="F41" i="1"/>
  <c r="F416" i="1"/>
  <c r="F624" i="1"/>
  <c r="F1725" i="1"/>
  <c r="F505" i="1"/>
  <c r="F4137" i="1"/>
  <c r="F3880" i="1"/>
  <c r="F333" i="1"/>
  <c r="F33" i="1"/>
  <c r="F44" i="1"/>
  <c r="F45" i="1"/>
  <c r="F46" i="1"/>
  <c r="F47" i="1"/>
  <c r="F48" i="1"/>
  <c r="F56" i="1"/>
  <c r="F57" i="1"/>
  <c r="F58" i="1"/>
  <c r="F59" i="1"/>
  <c r="F60" i="1"/>
  <c r="F61" i="1"/>
  <c r="F62" i="1"/>
  <c r="F63" i="1"/>
  <c r="F85" i="1"/>
  <c r="F86" i="1"/>
  <c r="F203" i="1"/>
  <c r="F204" i="1"/>
  <c r="F205" i="1"/>
  <c r="F206" i="1"/>
  <c r="F207" i="1"/>
  <c r="F208" i="1"/>
  <c r="F209" i="1"/>
  <c r="F210" i="1"/>
  <c r="F211" i="1"/>
  <c r="F389" i="1"/>
  <c r="F390" i="1"/>
  <c r="F391" i="1"/>
  <c r="F474" i="1"/>
  <c r="F475" i="1"/>
  <c r="F476" i="1"/>
  <c r="F477" i="1"/>
  <c r="F432" i="1"/>
  <c r="F448" i="1"/>
  <c r="F449" i="1"/>
  <c r="F539" i="1"/>
  <c r="F42" i="1"/>
  <c r="F87" i="1"/>
  <c r="F116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338" i="1"/>
  <c r="F339" i="1"/>
  <c r="F340" i="1"/>
  <c r="F341" i="1"/>
  <c r="F342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1927" i="1"/>
  <c r="F426" i="1"/>
  <c r="F427" i="1"/>
  <c r="F433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500" i="1"/>
  <c r="F501" i="1"/>
  <c r="F5348" i="1"/>
  <c r="F553" i="1"/>
  <c r="F554" i="1"/>
  <c r="F555" i="1"/>
  <c r="F239" i="1"/>
  <c r="F240" i="1"/>
  <c r="F241" i="1"/>
  <c r="F242" i="1"/>
  <c r="F243" i="1"/>
  <c r="F244" i="1"/>
  <c r="F245" i="1"/>
  <c r="F246" i="1"/>
  <c r="F502" i="1"/>
  <c r="F540" i="1"/>
  <c r="F503" i="1"/>
  <c r="F541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117" i="1"/>
  <c r="F118" i="1"/>
  <c r="F119" i="1"/>
  <c r="F120" i="1"/>
  <c r="F121" i="1"/>
  <c r="F122" i="1"/>
  <c r="F504" i="1"/>
  <c r="F588" i="1"/>
  <c r="F587" i="1"/>
  <c r="F589" i="1"/>
  <c r="F591" i="1"/>
  <c r="F590" i="1"/>
  <c r="F592" i="1"/>
  <c r="F594" i="1"/>
  <c r="F593" i="1"/>
  <c r="F596" i="1"/>
  <c r="F595" i="1"/>
  <c r="F598" i="1"/>
  <c r="F597" i="1"/>
  <c r="F600" i="1"/>
  <c r="F599" i="1"/>
  <c r="F602" i="1"/>
  <c r="F601" i="1"/>
  <c r="F605" i="1"/>
  <c r="F604" i="1"/>
  <c r="F608" i="1"/>
  <c r="F609" i="1"/>
  <c r="F611" i="1"/>
  <c r="F612" i="1"/>
  <c r="F613" i="1"/>
  <c r="F614" i="1"/>
  <c r="F615" i="1"/>
  <c r="F619" i="1"/>
  <c r="F618" i="1"/>
  <c r="F620" i="1"/>
  <c r="F625" i="1"/>
  <c r="F622" i="1"/>
  <c r="F623" i="1"/>
  <c r="F626" i="1"/>
  <c r="F647" i="1"/>
  <c r="F648" i="1"/>
  <c r="F649" i="1"/>
  <c r="F646" i="1"/>
  <c r="F643" i="1"/>
  <c r="F644" i="1"/>
  <c r="F645" i="1"/>
  <c r="F637" i="1"/>
  <c r="F638" i="1"/>
  <c r="F639" i="1"/>
  <c r="F640" i="1"/>
  <c r="F641" i="1"/>
  <c r="F642" i="1"/>
  <c r="F652" i="1"/>
  <c r="F654" i="1"/>
  <c r="F655" i="1"/>
  <c r="F650" i="1"/>
  <c r="F651" i="1"/>
  <c r="F653" i="1"/>
  <c r="F1380" i="1"/>
  <c r="F656" i="1"/>
  <c r="F661" i="1"/>
  <c r="F660" i="1"/>
  <c r="F659" i="1"/>
  <c r="F663" i="1"/>
  <c r="F662" i="1"/>
  <c r="F664" i="1"/>
  <c r="F668" i="1"/>
  <c r="F665" i="1"/>
  <c r="F669" i="1"/>
  <c r="F667" i="1"/>
  <c r="F671" i="1"/>
  <c r="F672" i="1"/>
  <c r="F673" i="1"/>
  <c r="F674" i="1"/>
  <c r="F677" i="1"/>
  <c r="F676" i="1"/>
  <c r="F675" i="1"/>
  <c r="F681" i="1"/>
  <c r="F678" i="1"/>
  <c r="F680" i="1"/>
  <c r="F679" i="1"/>
  <c r="F684" i="1"/>
  <c r="F683" i="1"/>
  <c r="F682" i="1"/>
  <c r="F687" i="1"/>
  <c r="F686" i="1"/>
  <c r="F689" i="1"/>
  <c r="F688" i="1"/>
  <c r="F691" i="1"/>
  <c r="F5229" i="1"/>
  <c r="F692" i="1"/>
  <c r="F690" i="1"/>
  <c r="F695" i="1"/>
  <c r="F694" i="1"/>
  <c r="F693" i="1"/>
  <c r="F696" i="1"/>
  <c r="F697" i="1"/>
  <c r="F5334" i="1"/>
  <c r="F699" i="1"/>
  <c r="F698" i="1"/>
  <c r="F706" i="1"/>
  <c r="F704" i="1"/>
  <c r="F705" i="1"/>
  <c r="F709" i="1"/>
  <c r="F708" i="1"/>
  <c r="F707" i="1"/>
  <c r="F711" i="1"/>
  <c r="F710" i="1"/>
  <c r="F1756" i="1"/>
  <c r="F713" i="1"/>
  <c r="F712" i="1"/>
  <c r="F716" i="1"/>
  <c r="F715" i="1"/>
  <c r="F718" i="1"/>
  <c r="F717" i="1"/>
  <c r="F720" i="1"/>
  <c r="F719" i="1"/>
  <c r="F723" i="1"/>
  <c r="F722" i="1"/>
  <c r="F721" i="1"/>
  <c r="F724" i="1"/>
  <c r="F726" i="1"/>
  <c r="F725" i="1"/>
  <c r="F729" i="1"/>
  <c r="F727" i="1"/>
  <c r="F728" i="1"/>
  <c r="F733" i="1"/>
  <c r="F732" i="1"/>
  <c r="F731" i="1"/>
  <c r="F730" i="1"/>
  <c r="F737" i="1"/>
  <c r="F736" i="1"/>
  <c r="F739" i="1"/>
  <c r="F738" i="1"/>
  <c r="F5339" i="1"/>
  <c r="F741" i="1"/>
  <c r="F740" i="1"/>
  <c r="F745" i="1"/>
  <c r="F743" i="1"/>
  <c r="F744" i="1"/>
  <c r="F747" i="1"/>
  <c r="F746" i="1"/>
  <c r="F749" i="1"/>
  <c r="F748" i="1"/>
  <c r="F752" i="1"/>
  <c r="F751" i="1"/>
  <c r="F750" i="1"/>
  <c r="F753" i="1"/>
  <c r="F754" i="1"/>
  <c r="F755" i="1"/>
  <c r="F756" i="1"/>
  <c r="F759" i="1"/>
  <c r="F757" i="1"/>
  <c r="F758" i="1"/>
  <c r="F761" i="1"/>
  <c r="F762" i="1"/>
  <c r="F763" i="1"/>
  <c r="F5341" i="1"/>
  <c r="F764" i="1"/>
  <c r="F770" i="1"/>
  <c r="F771" i="1"/>
  <c r="F772" i="1"/>
  <c r="F773" i="1"/>
  <c r="F774" i="1"/>
  <c r="F783" i="1"/>
  <c r="F775" i="1"/>
  <c r="F5611" i="1"/>
  <c r="F5612" i="1"/>
  <c r="F5613" i="1"/>
  <c r="F776" i="1"/>
  <c r="F777" i="1"/>
  <c r="F778" i="1"/>
  <c r="F781" i="1"/>
  <c r="F782" i="1"/>
  <c r="F784" i="1"/>
  <c r="F785" i="1"/>
  <c r="F787" i="1"/>
  <c r="F789" i="1"/>
  <c r="F786" i="1"/>
  <c r="F788" i="1"/>
  <c r="F792" i="1"/>
  <c r="F791" i="1"/>
  <c r="F795" i="1"/>
  <c r="F794" i="1"/>
  <c r="F793" i="1"/>
  <c r="F790" i="1"/>
  <c r="F293" i="1"/>
  <c r="F801" i="1"/>
  <c r="F800" i="1"/>
  <c r="F802" i="1"/>
  <c r="F805" i="1"/>
  <c r="F803" i="1"/>
  <c r="F806" i="1"/>
  <c r="F804" i="1"/>
  <c r="F310" i="1"/>
  <c r="F815" i="1"/>
  <c r="F814" i="1"/>
  <c r="F813" i="1"/>
  <c r="F496" i="1"/>
  <c r="F819" i="1"/>
  <c r="F820" i="1"/>
  <c r="F821" i="1"/>
  <c r="F824" i="1"/>
  <c r="F823" i="1"/>
  <c r="F822" i="1"/>
  <c r="F825" i="1"/>
  <c r="F826" i="1"/>
  <c r="F829" i="1"/>
  <c r="F830" i="1"/>
  <c r="F828" i="1"/>
  <c r="F827" i="1"/>
  <c r="F572" i="1"/>
  <c r="F833" i="1"/>
  <c r="F834" i="1"/>
  <c r="F832" i="1"/>
  <c r="F831" i="1"/>
  <c r="F838" i="1"/>
  <c r="F839" i="1"/>
  <c r="F387" i="1"/>
  <c r="F836" i="1"/>
  <c r="F842" i="1"/>
  <c r="F840" i="1"/>
  <c r="F841" i="1"/>
  <c r="F845" i="1"/>
  <c r="F846" i="1"/>
  <c r="F843" i="1"/>
  <c r="F844" i="1"/>
  <c r="F854" i="1"/>
  <c r="F855" i="1"/>
  <c r="F853" i="1"/>
  <c r="F857" i="1"/>
  <c r="F858" i="1"/>
  <c r="F856" i="1"/>
  <c r="F861" i="1"/>
  <c r="F862" i="1"/>
  <c r="F864" i="1"/>
  <c r="F860" i="1"/>
  <c r="F863" i="1"/>
  <c r="F5340" i="1"/>
  <c r="F866" i="1"/>
  <c r="F868" i="1"/>
  <c r="F869" i="1"/>
  <c r="F871" i="1"/>
  <c r="F870" i="1"/>
  <c r="F3439" i="1"/>
  <c r="F1782" i="1"/>
  <c r="F874" i="1"/>
  <c r="F875" i="1"/>
  <c r="F881" i="1"/>
  <c r="F878" i="1"/>
  <c r="F880" i="1"/>
  <c r="F879" i="1"/>
  <c r="F884" i="1"/>
  <c r="F882" i="1"/>
  <c r="F885" i="1"/>
  <c r="F883" i="1"/>
  <c r="F887" i="1"/>
  <c r="F69" i="1"/>
  <c r="F886" i="1"/>
  <c r="F889" i="1"/>
  <c r="F891" i="1"/>
  <c r="F890" i="1"/>
  <c r="F888" i="1"/>
  <c r="F895" i="1"/>
  <c r="F893" i="1"/>
  <c r="F3246" i="1"/>
  <c r="F896" i="1"/>
  <c r="F898" i="1"/>
  <c r="F899" i="1"/>
  <c r="F897" i="1"/>
  <c r="F902" i="1"/>
  <c r="F901" i="1"/>
  <c r="F900" i="1"/>
  <c r="F905" i="1"/>
  <c r="F904" i="1"/>
  <c r="F909" i="1"/>
  <c r="F908" i="1"/>
  <c r="F907" i="1"/>
  <c r="F903" i="1"/>
  <c r="F913" i="1"/>
  <c r="F911" i="1"/>
  <c r="F912" i="1"/>
  <c r="F915" i="1"/>
  <c r="F917" i="1"/>
  <c r="F914" i="1"/>
  <c r="F916" i="1"/>
  <c r="F919" i="1"/>
  <c r="F923" i="1"/>
  <c r="F920" i="1"/>
  <c r="F922" i="1"/>
  <c r="F921" i="1"/>
  <c r="F925" i="1"/>
  <c r="F926" i="1"/>
  <c r="F924" i="1"/>
  <c r="F929" i="1"/>
  <c r="F927" i="1"/>
  <c r="F928" i="1"/>
  <c r="F931" i="1"/>
  <c r="F930" i="1"/>
  <c r="F932" i="1"/>
  <c r="F934" i="1"/>
  <c r="F933" i="1"/>
  <c r="F939" i="1"/>
  <c r="F938" i="1"/>
  <c r="F937" i="1"/>
  <c r="F1754" i="1"/>
  <c r="F940" i="1"/>
  <c r="F946" i="1"/>
  <c r="F947" i="1"/>
  <c r="F943" i="1"/>
  <c r="F945" i="1"/>
  <c r="F951" i="1"/>
  <c r="F950" i="1"/>
  <c r="F954" i="1"/>
  <c r="F953" i="1"/>
  <c r="F952" i="1"/>
  <c r="F960" i="1"/>
  <c r="F961" i="1"/>
  <c r="F958" i="1"/>
  <c r="F962" i="1"/>
  <c r="F963" i="1"/>
  <c r="F966" i="1"/>
  <c r="F965" i="1"/>
  <c r="F964" i="1"/>
  <c r="F3424" i="1"/>
  <c r="F2322" i="1"/>
  <c r="F969" i="1"/>
  <c r="F968" i="1"/>
  <c r="F967" i="1"/>
  <c r="F972" i="1"/>
  <c r="F973" i="1"/>
  <c r="F970" i="1"/>
  <c r="F971" i="1"/>
  <c r="F976" i="1"/>
  <c r="F979" i="1"/>
  <c r="F978" i="1"/>
  <c r="F977" i="1"/>
  <c r="F981" i="1"/>
  <c r="F982" i="1"/>
  <c r="F980" i="1"/>
  <c r="F984" i="1"/>
  <c r="F985" i="1"/>
  <c r="F983" i="1"/>
  <c r="F999" i="1"/>
  <c r="F989" i="1"/>
  <c r="F990" i="1"/>
  <c r="F988" i="1"/>
  <c r="F994" i="1"/>
  <c r="F991" i="1"/>
  <c r="F992" i="1"/>
  <c r="F993" i="1"/>
  <c r="F996" i="1"/>
  <c r="F998" i="1"/>
  <c r="F997" i="1"/>
  <c r="F1001" i="1"/>
  <c r="F1002" i="1"/>
  <c r="F1000" i="1"/>
  <c r="F1004" i="1"/>
  <c r="F1005" i="1"/>
  <c r="F1003" i="1"/>
  <c r="F1006" i="1"/>
  <c r="F1009" i="1"/>
  <c r="F1007" i="1"/>
  <c r="F1008" i="1"/>
  <c r="F2816" i="1"/>
  <c r="F2814" i="1"/>
  <c r="F2815" i="1"/>
  <c r="F1567" i="1"/>
  <c r="F1012" i="1"/>
  <c r="F1010" i="1"/>
  <c r="F1015" i="1"/>
  <c r="F1014" i="1"/>
  <c r="F1013" i="1"/>
  <c r="F1016" i="1"/>
  <c r="F1017" i="1"/>
  <c r="F1019" i="1"/>
  <c r="F1020" i="1"/>
  <c r="F1018" i="1"/>
  <c r="F1023" i="1"/>
  <c r="F1022" i="1"/>
  <c r="F1021" i="1"/>
  <c r="F1025" i="1"/>
  <c r="F1026" i="1"/>
  <c r="F1024" i="1"/>
  <c r="F585" i="1"/>
  <c r="F586" i="1"/>
  <c r="F584" i="1"/>
  <c r="F583" i="1"/>
  <c r="F1029" i="1"/>
  <c r="F1028" i="1"/>
  <c r="F1027" i="1"/>
  <c r="F309" i="1"/>
  <c r="F1036" i="1"/>
  <c r="F1035" i="1"/>
  <c r="F1039" i="1"/>
  <c r="F1040" i="1"/>
  <c r="F1037" i="1"/>
  <c r="F1038" i="1"/>
  <c r="F1041" i="1"/>
  <c r="F1042" i="1"/>
  <c r="F1044" i="1"/>
  <c r="F1043" i="1"/>
  <c r="F1045" i="1"/>
  <c r="F1047" i="1"/>
  <c r="F1048" i="1"/>
  <c r="F1046" i="1"/>
  <c r="F1051" i="1"/>
  <c r="F1050" i="1"/>
  <c r="F1049" i="1"/>
  <c r="F308" i="1"/>
  <c r="F1053" i="1"/>
  <c r="F1054" i="1"/>
  <c r="F1052" i="1"/>
  <c r="F1059" i="1"/>
  <c r="F1060" i="1"/>
  <c r="F1058" i="1"/>
  <c r="F1064" i="1"/>
  <c r="F1063" i="1"/>
  <c r="F1061" i="1"/>
  <c r="F1062" i="1"/>
  <c r="F1070" i="1"/>
  <c r="F1067" i="1"/>
  <c r="F1068" i="1"/>
  <c r="F1069" i="1"/>
  <c r="F1071" i="1"/>
  <c r="F1072" i="1"/>
  <c r="F1074" i="1"/>
  <c r="F1075" i="1"/>
  <c r="F1073" i="1"/>
  <c r="F1080" i="1"/>
  <c r="F1076" i="1"/>
  <c r="F1079" i="1"/>
  <c r="F1081" i="1"/>
  <c r="F1078" i="1"/>
  <c r="F1077" i="1"/>
  <c r="F1083" i="1"/>
  <c r="F1082" i="1"/>
  <c r="F1089" i="1"/>
  <c r="F1087" i="1"/>
  <c r="F1088" i="1"/>
  <c r="F1092" i="1"/>
  <c r="F1091" i="1"/>
  <c r="F1090" i="1"/>
  <c r="F1376" i="1"/>
  <c r="F1096" i="1"/>
  <c r="F1095" i="1"/>
  <c r="F1097" i="1"/>
  <c r="F1671" i="1"/>
  <c r="F910" i="1"/>
  <c r="F735" i="1"/>
  <c r="F703" i="1"/>
  <c r="F318" i="1"/>
  <c r="F1670" i="1"/>
  <c r="F32" i="1"/>
  <c r="F1098" i="1"/>
  <c r="F320" i="1"/>
  <c r="F495" i="1"/>
  <c r="F532" i="1"/>
  <c r="F315" i="1"/>
  <c r="F1104" i="1"/>
  <c r="F1103" i="1"/>
  <c r="F1102" i="1"/>
  <c r="F1101" i="1"/>
  <c r="F1107" i="1"/>
  <c r="F1106" i="1"/>
  <c r="F1105" i="1"/>
  <c r="F1111" i="1"/>
  <c r="F1110" i="1"/>
  <c r="F1108" i="1"/>
  <c r="F1109" i="1"/>
  <c r="F1112" i="1"/>
  <c r="F1113" i="1"/>
  <c r="F1120" i="1"/>
  <c r="F1118" i="1"/>
  <c r="F1121" i="1"/>
  <c r="F1117" i="1"/>
  <c r="F1119" i="1"/>
  <c r="F1124" i="1"/>
  <c r="F1123" i="1"/>
  <c r="F1122" i="1"/>
  <c r="F1126" i="1"/>
  <c r="F1127" i="1"/>
  <c r="F1125" i="1"/>
  <c r="F4795" i="1"/>
  <c r="F1130" i="1"/>
  <c r="F1128" i="1"/>
  <c r="F1129" i="1"/>
  <c r="F1133" i="1"/>
  <c r="F1131" i="1"/>
  <c r="F1132" i="1"/>
  <c r="F1136" i="1"/>
  <c r="F1135" i="1"/>
  <c r="F1134" i="1"/>
  <c r="F1137" i="1"/>
  <c r="F1138" i="1"/>
  <c r="F1140" i="1"/>
  <c r="F1141" i="1"/>
  <c r="F1139" i="1"/>
  <c r="F1142" i="1"/>
  <c r="F685" i="1"/>
  <c r="F1149" i="1"/>
  <c r="F5336" i="1"/>
  <c r="F1151" i="1"/>
  <c r="F1152" i="1"/>
  <c r="F1150" i="1"/>
  <c r="F1154" i="1"/>
  <c r="F1157" i="1"/>
  <c r="F1156" i="1"/>
  <c r="F267" i="1"/>
  <c r="F1158" i="1"/>
  <c r="F1159" i="1"/>
  <c r="F1162" i="1"/>
  <c r="F1163" i="1"/>
  <c r="F1161" i="1"/>
  <c r="F1165" i="1"/>
  <c r="F1166" i="1"/>
  <c r="F1164" i="1"/>
  <c r="F1168" i="1"/>
  <c r="F1170" i="1"/>
  <c r="F1169" i="1"/>
  <c r="F1167" i="1"/>
  <c r="F1172" i="1"/>
  <c r="F1173" i="1"/>
  <c r="F1171" i="1"/>
  <c r="F1174" i="1"/>
  <c r="F1177" i="1"/>
  <c r="F1176" i="1"/>
  <c r="F1175" i="1"/>
  <c r="F1178" i="1"/>
  <c r="F1181" i="1"/>
  <c r="F1180" i="1"/>
  <c r="F1179" i="1"/>
  <c r="F1605" i="1"/>
  <c r="F1185" i="1"/>
  <c r="F1183" i="1"/>
  <c r="F1184" i="1"/>
  <c r="F1187" i="1"/>
  <c r="F1186" i="1"/>
  <c r="F1190" i="1"/>
  <c r="F1189" i="1"/>
  <c r="F1188" i="1"/>
  <c r="F1196" i="1"/>
  <c r="F1195" i="1"/>
  <c r="F1194" i="1"/>
  <c r="F1192" i="1"/>
  <c r="F1199" i="1"/>
  <c r="F1198" i="1"/>
  <c r="F1197" i="1"/>
  <c r="F1201" i="1"/>
  <c r="F1200" i="1"/>
  <c r="F1204" i="1"/>
  <c r="F1202" i="1"/>
  <c r="F1203" i="1"/>
  <c r="F511" i="1"/>
  <c r="F1206" i="1"/>
  <c r="F1209" i="1"/>
  <c r="F1208" i="1"/>
  <c r="F312" i="1"/>
  <c r="F1210" i="1"/>
  <c r="F1212" i="1"/>
  <c r="F1211" i="1"/>
  <c r="F1215" i="1"/>
  <c r="F1214" i="1"/>
  <c r="F1213" i="1"/>
  <c r="F1217" i="1"/>
  <c r="F1216" i="1"/>
  <c r="F865" i="1"/>
  <c r="F1321" i="1"/>
  <c r="F1220" i="1"/>
  <c r="F1218" i="1"/>
  <c r="F1219" i="1"/>
  <c r="F1221" i="1"/>
  <c r="F1222" i="1"/>
  <c r="F1223" i="1"/>
  <c r="F1226" i="1"/>
  <c r="F1225" i="1"/>
  <c r="F1233" i="1"/>
  <c r="F1231" i="1"/>
  <c r="F1232" i="1"/>
  <c r="F1230" i="1"/>
  <c r="F1236" i="1"/>
  <c r="F1234" i="1"/>
  <c r="F1235" i="1"/>
  <c r="F1239" i="1"/>
  <c r="F1237" i="1"/>
  <c r="F1238" i="1"/>
  <c r="F1240" i="1"/>
  <c r="F635" i="1"/>
  <c r="F1243" i="1"/>
  <c r="F1242" i="1"/>
  <c r="F876" i="1"/>
  <c r="F2152" i="1"/>
  <c r="F1266" i="1"/>
  <c r="F1246" i="1"/>
  <c r="F1245" i="1"/>
  <c r="F1247" i="1"/>
  <c r="F1250" i="1"/>
  <c r="F1251" i="1"/>
  <c r="F4796" i="1"/>
  <c r="F1253" i="1"/>
  <c r="F1252" i="1"/>
  <c r="F1255" i="1"/>
  <c r="F1254" i="1"/>
  <c r="F114" i="1"/>
  <c r="F1258" i="1"/>
  <c r="F1259" i="1"/>
  <c r="F1257" i="1"/>
  <c r="F1262" i="1"/>
  <c r="F1260" i="1"/>
  <c r="F1265" i="1"/>
  <c r="F1263" i="1"/>
  <c r="F1264" i="1"/>
  <c r="F1271" i="1"/>
  <c r="F1269" i="1"/>
  <c r="F1270" i="1"/>
  <c r="F1272" i="1"/>
  <c r="F1273" i="1"/>
  <c r="F1278" i="1"/>
  <c r="F1282" i="1"/>
  <c r="F1280" i="1"/>
  <c r="F1281" i="1"/>
  <c r="F1285" i="1"/>
  <c r="F1283" i="1"/>
  <c r="F1284" i="1"/>
  <c r="F5329" i="1"/>
  <c r="F2021" i="1"/>
  <c r="F1011" i="1"/>
  <c r="F1289" i="1"/>
  <c r="F1288" i="1"/>
  <c r="F1287" i="1"/>
  <c r="F1275" i="1"/>
  <c r="F302" i="1"/>
  <c r="F2113" i="1"/>
  <c r="F1294" i="1"/>
  <c r="F1292" i="1"/>
  <c r="F1293" i="1"/>
  <c r="F1295" i="1"/>
  <c r="F1296" i="1"/>
  <c r="F1298" i="1"/>
  <c r="F1297" i="1"/>
  <c r="F1299" i="1"/>
  <c r="F1301" i="1"/>
  <c r="F1302" i="1"/>
  <c r="F1300" i="1"/>
  <c r="F5332" i="1"/>
  <c r="F1304" i="1"/>
  <c r="F1305" i="1"/>
  <c r="F1306" i="1"/>
  <c r="F1313" i="1"/>
  <c r="F1309" i="1"/>
  <c r="F1312" i="1"/>
  <c r="F1311" i="1"/>
  <c r="F1310" i="1"/>
  <c r="F1323" i="1"/>
  <c r="F1115" i="1"/>
  <c r="F1116" i="1"/>
  <c r="F1324" i="1"/>
  <c r="F1325" i="1"/>
  <c r="F1326" i="1"/>
  <c r="F1327" i="1"/>
  <c r="F1328" i="1"/>
  <c r="F1329" i="1"/>
  <c r="F1330" i="1"/>
  <c r="F1332" i="1"/>
  <c r="F1333" i="1"/>
  <c r="F1334" i="1"/>
  <c r="F1335" i="1"/>
  <c r="F1339" i="1"/>
  <c r="F1338" i="1"/>
  <c r="F1337" i="1"/>
  <c r="F1341" i="1"/>
  <c r="F1342" i="1"/>
  <c r="F1340" i="1"/>
  <c r="F1336" i="1"/>
  <c r="F1343" i="1"/>
  <c r="F1344" i="1"/>
  <c r="F1346" i="1"/>
  <c r="F1628" i="1"/>
  <c r="F1348" i="1"/>
  <c r="F1728" i="1"/>
  <c r="F1350" i="1"/>
  <c r="F1351" i="1"/>
  <c r="F1352" i="1"/>
  <c r="F1353" i="1"/>
  <c r="F1354" i="1"/>
  <c r="F1355" i="1"/>
  <c r="F1357" i="1"/>
  <c r="F1358" i="1"/>
  <c r="F1359" i="1"/>
  <c r="F1360" i="1"/>
  <c r="F1361" i="1"/>
  <c r="F1362" i="1"/>
  <c r="F1363" i="1"/>
  <c r="F1364" i="1"/>
  <c r="F1365" i="1"/>
  <c r="F1368" i="1"/>
  <c r="F1369" i="1"/>
  <c r="F1370" i="1"/>
  <c r="F1371" i="1"/>
  <c r="F1372" i="1"/>
  <c r="F1373" i="1"/>
  <c r="F1374" i="1"/>
  <c r="F1379" i="1"/>
  <c r="F1404" i="1"/>
  <c r="F1406" i="1"/>
  <c r="F1407" i="1"/>
  <c r="F812" i="1"/>
  <c r="F1485" i="1"/>
  <c r="F1501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8" i="1"/>
  <c r="F1549" i="1"/>
  <c r="F1550" i="1"/>
  <c r="F1551" i="1"/>
  <c r="F1552" i="1"/>
  <c r="F1553" i="1"/>
  <c r="F1554" i="1"/>
  <c r="F1555" i="1"/>
  <c r="F1556" i="1"/>
  <c r="F1557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574" i="1"/>
  <c r="F1600" i="1"/>
  <c r="F1601" i="1"/>
  <c r="F1602" i="1"/>
  <c r="F1603" i="1"/>
  <c r="F1604" i="1"/>
  <c r="F1568" i="1"/>
  <c r="F1606" i="1"/>
  <c r="F1623" i="1"/>
  <c r="F1641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385" i="1"/>
  <c r="F1669" i="1"/>
  <c r="F1481" i="1"/>
  <c r="F1480" i="1"/>
  <c r="F1482" i="1"/>
  <c r="F1483" i="1"/>
  <c r="F1484" i="1"/>
  <c r="F1489" i="1"/>
  <c r="F1490" i="1"/>
  <c r="F1491" i="1"/>
  <c r="F1492" i="1"/>
  <c r="F1493" i="1"/>
  <c r="F1494" i="1"/>
  <c r="F1495" i="1"/>
  <c r="F1503" i="1"/>
  <c r="F1496" i="1"/>
  <c r="F1497" i="1"/>
  <c r="F1498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499" i="1"/>
  <c r="F1524" i="1"/>
  <c r="F1525" i="1"/>
  <c r="F1526" i="1"/>
  <c r="F1504" i="1"/>
  <c r="F1505" i="1"/>
  <c r="F1506" i="1"/>
  <c r="F1502" i="1"/>
  <c r="F1487" i="1"/>
  <c r="F1488" i="1"/>
  <c r="F1500" i="1"/>
  <c r="F1559" i="1"/>
  <c r="F1560" i="1"/>
  <c r="F1561" i="1"/>
  <c r="F1558" i="1"/>
  <c r="F1562" i="1"/>
  <c r="F1563" i="1"/>
  <c r="F1564" i="1"/>
  <c r="F1486" i="1"/>
  <c r="F1565" i="1"/>
  <c r="F582" i="1"/>
  <c r="F316" i="1"/>
  <c r="F50" i="1"/>
  <c r="F1572" i="1"/>
  <c r="F1573" i="1"/>
  <c r="F1569" i="1"/>
  <c r="F1570" i="1"/>
  <c r="F1571" i="1"/>
  <c r="F4819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4" i="1"/>
  <c r="F1625" i="1"/>
  <c r="F1626" i="1"/>
  <c r="F1627" i="1"/>
  <c r="F1631" i="1"/>
  <c r="F1632" i="1"/>
  <c r="F1633" i="1"/>
  <c r="F1634" i="1"/>
  <c r="F1635" i="1"/>
  <c r="F1636" i="1"/>
  <c r="F1637" i="1"/>
  <c r="F1638" i="1"/>
  <c r="F1639" i="1"/>
  <c r="F1640" i="1"/>
  <c r="F1642" i="1"/>
  <c r="F1643" i="1"/>
  <c r="F1644" i="1"/>
  <c r="F1661" i="1"/>
  <c r="F1662" i="1"/>
  <c r="F1663" i="1"/>
  <c r="F1664" i="1"/>
  <c r="F1665" i="1"/>
  <c r="F1666" i="1"/>
  <c r="F1667" i="1"/>
  <c r="F1668" i="1"/>
  <c r="F1672" i="1"/>
  <c r="F1673" i="1"/>
  <c r="F1674" i="1"/>
  <c r="F1675" i="1"/>
  <c r="F1678" i="1"/>
  <c r="F1679" i="1"/>
  <c r="F1676" i="1"/>
  <c r="F1677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31" i="1"/>
  <c r="F332" i="1"/>
  <c r="F1732" i="1"/>
  <c r="F1733" i="1"/>
  <c r="F1734" i="1"/>
  <c r="F1735" i="1"/>
  <c r="F1736" i="1"/>
  <c r="F1737" i="1"/>
  <c r="F1738" i="1"/>
  <c r="F1739" i="1"/>
  <c r="F1740" i="1"/>
  <c r="F1741" i="1"/>
  <c r="F1742" i="1"/>
  <c r="F1744" i="1"/>
  <c r="F1724" i="1"/>
  <c r="F1745" i="1"/>
  <c r="F1746" i="1"/>
  <c r="F1747" i="1"/>
  <c r="F1748" i="1"/>
  <c r="F1749" i="1"/>
  <c r="F1750" i="1"/>
  <c r="F1751" i="1"/>
  <c r="F850" i="1"/>
  <c r="F851" i="1"/>
  <c r="F852" i="1"/>
  <c r="F1752" i="1"/>
  <c r="F1753" i="1"/>
  <c r="F1757" i="1"/>
  <c r="F1758" i="1"/>
  <c r="F1759" i="1"/>
  <c r="F1760" i="1"/>
  <c r="F1786" i="1"/>
  <c r="F1787" i="1"/>
  <c r="F1765" i="1"/>
  <c r="F1770" i="1"/>
  <c r="F1768" i="1"/>
  <c r="F1767" i="1"/>
  <c r="F1781" i="1"/>
  <c r="F1774" i="1"/>
  <c r="F1775" i="1"/>
  <c r="F1763" i="1"/>
  <c r="F1764" i="1"/>
  <c r="F1766" i="1"/>
  <c r="F1769" i="1"/>
  <c r="F1772" i="1"/>
  <c r="F1773" i="1"/>
  <c r="F1776" i="1"/>
  <c r="F1777" i="1"/>
  <c r="F1778" i="1"/>
  <c r="F1779" i="1"/>
  <c r="F1780" i="1"/>
  <c r="F1783" i="1"/>
  <c r="F1784" i="1"/>
  <c r="F1785" i="1"/>
  <c r="F1801" i="1"/>
  <c r="F1796" i="1"/>
  <c r="F1802" i="1"/>
  <c r="F1797" i="1"/>
  <c r="F1803" i="1"/>
  <c r="F1804" i="1"/>
  <c r="F1805" i="1"/>
  <c r="F1806" i="1"/>
  <c r="F1799" i="1"/>
  <c r="F1795" i="1"/>
  <c r="F1807" i="1"/>
  <c r="F1808" i="1"/>
  <c r="F1809" i="1"/>
  <c r="F1810" i="1"/>
  <c r="F1811" i="1"/>
  <c r="F1812" i="1"/>
  <c r="F1813" i="1"/>
  <c r="F1816" i="1"/>
  <c r="F1821" i="1"/>
  <c r="F1815" i="1"/>
  <c r="F1820" i="1"/>
  <c r="F1817" i="1"/>
  <c r="F1818" i="1"/>
  <c r="F1819" i="1"/>
  <c r="F1814" i="1"/>
  <c r="F1822" i="1"/>
  <c r="F1792" i="1"/>
  <c r="F1794" i="1"/>
  <c r="F1825" i="1"/>
  <c r="F1827" i="1"/>
  <c r="F1828" i="1"/>
  <c r="F1829" i="1"/>
  <c r="F1831" i="1"/>
  <c r="F1830" i="1"/>
  <c r="F1832" i="1"/>
  <c r="F1833" i="1"/>
  <c r="F1834" i="1"/>
  <c r="F1838" i="1"/>
  <c r="F1836" i="1"/>
  <c r="F1837" i="1"/>
  <c r="F1835" i="1"/>
  <c r="F1839" i="1"/>
  <c r="F1841" i="1"/>
  <c r="F1840" i="1"/>
  <c r="F1791" i="1"/>
  <c r="F1842" i="1"/>
  <c r="F1843" i="1"/>
  <c r="F1844" i="1"/>
  <c r="F1845" i="1"/>
  <c r="F1846" i="1"/>
  <c r="F1847" i="1"/>
  <c r="F1848" i="1"/>
  <c r="F1851" i="1"/>
  <c r="F1849" i="1"/>
  <c r="F1850" i="1"/>
  <c r="F1852" i="1"/>
  <c r="F1854" i="1"/>
  <c r="F1853" i="1"/>
  <c r="F1855" i="1"/>
  <c r="F1857" i="1"/>
  <c r="F1856" i="1"/>
  <c r="F1858" i="1"/>
  <c r="F1863" i="1"/>
  <c r="F1859" i="1"/>
  <c r="F1862" i="1"/>
  <c r="F1860" i="1"/>
  <c r="F1864" i="1"/>
  <c r="F1861" i="1"/>
  <c r="F1865" i="1"/>
  <c r="F1823" i="1"/>
  <c r="F1824" i="1"/>
  <c r="F1866" i="1"/>
  <c r="F1868" i="1"/>
  <c r="F1869" i="1"/>
  <c r="F1867" i="1"/>
  <c r="F1870" i="1"/>
  <c r="F1871" i="1"/>
  <c r="F3392" i="1"/>
  <c r="F1872" i="1"/>
  <c r="F1875" i="1"/>
  <c r="F1873" i="1"/>
  <c r="F1874" i="1"/>
  <c r="F1876" i="1"/>
  <c r="F1877" i="1"/>
  <c r="F1879" i="1"/>
  <c r="F1878" i="1"/>
  <c r="F1881" i="1"/>
  <c r="F1880" i="1"/>
  <c r="F1883" i="1"/>
  <c r="F1882" i="1"/>
  <c r="F1889" i="1"/>
  <c r="F1884" i="1"/>
  <c r="F1887" i="1"/>
  <c r="F1888" i="1"/>
  <c r="F1885" i="1"/>
  <c r="F1886" i="1"/>
  <c r="F1798" i="1"/>
  <c r="F1891" i="1"/>
  <c r="F1890" i="1"/>
  <c r="F1893" i="1"/>
  <c r="F1892" i="1"/>
  <c r="F1894" i="1"/>
  <c r="F1895" i="1"/>
  <c r="F1904" i="1"/>
  <c r="F1899" i="1"/>
  <c r="F1900" i="1"/>
  <c r="F1901" i="1"/>
  <c r="F466" i="1"/>
  <c r="F1902" i="1"/>
  <c r="F1903" i="1"/>
  <c r="F1905" i="1"/>
  <c r="F1906" i="1"/>
  <c r="F1907" i="1"/>
  <c r="F1908" i="1"/>
  <c r="F1909" i="1"/>
  <c r="F1910" i="1"/>
  <c r="F1911" i="1"/>
  <c r="F1912" i="1"/>
  <c r="F1913" i="1"/>
  <c r="F1914" i="1"/>
  <c r="F1916" i="1"/>
  <c r="F1917" i="1"/>
  <c r="F1920" i="1"/>
  <c r="F1915" i="1"/>
  <c r="F1896" i="1"/>
  <c r="F1897" i="1"/>
  <c r="F5233" i="1"/>
  <c r="F1898" i="1"/>
  <c r="F1922" i="1"/>
  <c r="F1921" i="1"/>
  <c r="F1923" i="1"/>
  <c r="F1924" i="1"/>
  <c r="F2015" i="1"/>
  <c r="F1937" i="1"/>
  <c r="F1936" i="1"/>
  <c r="F2019" i="1"/>
  <c r="F2006" i="1"/>
  <c r="F2023" i="1"/>
  <c r="F1939" i="1"/>
  <c r="F2024" i="1"/>
  <c r="F1944" i="1"/>
  <c r="F1945" i="1"/>
  <c r="F1946" i="1"/>
  <c r="F2346" i="1"/>
  <c r="F1947" i="1"/>
  <c r="F1949" i="1"/>
  <c r="F1934" i="1"/>
  <c r="F1935" i="1"/>
  <c r="F1960" i="1"/>
  <c r="F1961" i="1"/>
  <c r="F1962" i="1"/>
  <c r="F1963" i="1"/>
  <c r="F1964" i="1"/>
  <c r="F1965" i="1"/>
  <c r="F1966" i="1"/>
  <c r="F1967" i="1"/>
  <c r="F1968" i="1"/>
  <c r="F1969" i="1"/>
  <c r="F1981" i="1"/>
  <c r="F1982" i="1"/>
  <c r="F1983" i="1"/>
  <c r="F1984" i="1"/>
  <c r="F1985" i="1"/>
  <c r="F1986" i="1"/>
  <c r="F1987" i="1"/>
  <c r="F1988" i="1"/>
  <c r="F1989" i="1"/>
  <c r="F1990" i="1"/>
  <c r="F1991" i="1"/>
  <c r="F2013" i="1"/>
  <c r="F2014" i="1"/>
  <c r="F2039" i="1"/>
  <c r="F2035" i="1"/>
  <c r="F2002" i="1"/>
  <c r="F2041" i="1"/>
  <c r="F2040" i="1"/>
  <c r="F2044" i="1"/>
  <c r="F2050" i="1"/>
  <c r="F2048" i="1"/>
  <c r="F2049" i="1"/>
  <c r="F2051" i="1"/>
  <c r="F2052" i="1"/>
  <c r="F2057" i="1"/>
  <c r="F2056" i="1"/>
  <c r="F2055" i="1"/>
  <c r="F2059" i="1"/>
  <c r="F2058" i="1"/>
  <c r="F2064" i="1"/>
  <c r="F2063" i="1"/>
  <c r="F2062" i="1"/>
  <c r="F2069" i="1"/>
  <c r="F2067" i="1"/>
  <c r="F2068" i="1"/>
  <c r="F2071" i="1"/>
  <c r="F2075" i="1"/>
  <c r="F2070" i="1"/>
  <c r="F2073" i="1"/>
  <c r="F2072" i="1"/>
  <c r="F2079" i="1"/>
  <c r="F2004" i="1"/>
  <c r="F2087" i="1"/>
  <c r="F2083" i="1"/>
  <c r="F2089" i="1"/>
  <c r="F2088" i="1"/>
  <c r="F2090" i="1"/>
  <c r="F2092" i="1"/>
  <c r="F2100" i="1"/>
  <c r="F2101" i="1"/>
  <c r="F2102" i="1"/>
  <c r="F2103" i="1"/>
  <c r="F2104" i="1"/>
  <c r="F2107" i="1"/>
  <c r="F2108" i="1"/>
  <c r="F2109" i="1"/>
  <c r="F1940" i="1"/>
  <c r="F2147" i="1"/>
  <c r="F2110" i="1"/>
  <c r="F1928" i="1"/>
  <c r="F2010" i="1"/>
  <c r="F2115" i="1"/>
  <c r="F2116" i="1"/>
  <c r="F2117" i="1"/>
  <c r="F2001" i="1"/>
  <c r="F2120" i="1"/>
  <c r="F2119" i="1"/>
  <c r="F2125" i="1"/>
  <c r="F2127" i="1"/>
  <c r="F2009" i="1"/>
  <c r="F2130" i="1"/>
  <c r="F2129" i="1"/>
  <c r="F2128" i="1"/>
  <c r="F579" i="1"/>
  <c r="F1930" i="1"/>
  <c r="F2132" i="1"/>
  <c r="F1931" i="1"/>
  <c r="F1932" i="1"/>
  <c r="F2135" i="1"/>
  <c r="F2133" i="1"/>
  <c r="F2134" i="1"/>
  <c r="F2155" i="1"/>
  <c r="F2154" i="1"/>
  <c r="F2188" i="1"/>
  <c r="F2181" i="1"/>
  <c r="F2182" i="1"/>
  <c r="F2183" i="1"/>
  <c r="F2184" i="1"/>
  <c r="F2185" i="1"/>
  <c r="F2186" i="1"/>
  <c r="F2190" i="1"/>
  <c r="F2191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92" i="1"/>
  <c r="F2193" i="1"/>
  <c r="F2194" i="1"/>
  <c r="F2189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10" i="1"/>
  <c r="F2209" i="1"/>
  <c r="F4335" i="1"/>
  <c r="F2171" i="1"/>
  <c r="F3857" i="1"/>
  <c r="F2172" i="1"/>
  <c r="F2173" i="1"/>
  <c r="F2174" i="1"/>
  <c r="F2175" i="1"/>
  <c r="F2176" i="1"/>
  <c r="F2177" i="1"/>
  <c r="F2178" i="1"/>
  <c r="F2179" i="1"/>
  <c r="F2180" i="1"/>
  <c r="F2187" i="1"/>
  <c r="F2227" i="1"/>
  <c r="F2228" i="1"/>
  <c r="F2229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31" i="1"/>
  <c r="F2230" i="1"/>
  <c r="F2256" i="1"/>
  <c r="F2257" i="1"/>
  <c r="F2258" i="1"/>
  <c r="F2259" i="1"/>
  <c r="F2260" i="1"/>
  <c r="F2247" i="1"/>
  <c r="F2248" i="1"/>
  <c r="F2249" i="1"/>
  <c r="F2250" i="1"/>
  <c r="F2251" i="1"/>
  <c r="F2252" i="1"/>
  <c r="F2253" i="1"/>
  <c r="F2254" i="1"/>
  <c r="F2255" i="1"/>
  <c r="F2232" i="1"/>
  <c r="F2233" i="1"/>
  <c r="F2261" i="1"/>
  <c r="F2263" i="1"/>
  <c r="F2262" i="1"/>
  <c r="F2268" i="1"/>
  <c r="F2269" i="1"/>
  <c r="F2266" i="1"/>
  <c r="F2267" i="1"/>
  <c r="F2264" i="1"/>
  <c r="F2265" i="1"/>
  <c r="F2272" i="1"/>
  <c r="F2271" i="1"/>
  <c r="F2270" i="1"/>
  <c r="F2273" i="1"/>
  <c r="F2274" i="1"/>
  <c r="F2275" i="1"/>
  <c r="F2277" i="1"/>
  <c r="F2276" i="1"/>
  <c r="F2278" i="1"/>
  <c r="F2281" i="1"/>
  <c r="F2279" i="1"/>
  <c r="F2280" i="1"/>
  <c r="F2282" i="1"/>
  <c r="F2283" i="1"/>
  <c r="F2285" i="1"/>
  <c r="F2284" i="1"/>
  <c r="F2287" i="1"/>
  <c r="F2286" i="1"/>
  <c r="F2288" i="1"/>
  <c r="F2289" i="1"/>
  <c r="F2290" i="1"/>
  <c r="F2292" i="1"/>
  <c r="F2293" i="1"/>
  <c r="F2291" i="1"/>
  <c r="F2297" i="1"/>
  <c r="F2296" i="1"/>
  <c r="F2294" i="1"/>
  <c r="F2295" i="1"/>
  <c r="F2300" i="1"/>
  <c r="F2298" i="1"/>
  <c r="F2299" i="1"/>
  <c r="F2306" i="1"/>
  <c r="F2304" i="1"/>
  <c r="F2305" i="1"/>
  <c r="F2307" i="1"/>
  <c r="F2308" i="1"/>
  <c r="F2310" i="1"/>
  <c r="F2309" i="1"/>
  <c r="F2312" i="1"/>
  <c r="F2311" i="1"/>
  <c r="F2313" i="1"/>
  <c r="F2316" i="1"/>
  <c r="F2315" i="1"/>
  <c r="F2317" i="1"/>
  <c r="F2318" i="1"/>
  <c r="F2319" i="1"/>
  <c r="F2320" i="1"/>
  <c r="F2321" i="1"/>
  <c r="F2323" i="1"/>
  <c r="F2325" i="1"/>
  <c r="F2327" i="1"/>
  <c r="F2328" i="1"/>
  <c r="F2330" i="1"/>
  <c r="F2331" i="1"/>
  <c r="F2332" i="1"/>
  <c r="F2333" i="1"/>
  <c r="F2334" i="1"/>
  <c r="F2335" i="1"/>
  <c r="F2336" i="1"/>
  <c r="F2337" i="1"/>
  <c r="F2339" i="1"/>
  <c r="F2343" i="1"/>
  <c r="F2345" i="1"/>
  <c r="F2344" i="1"/>
  <c r="F2347" i="1"/>
  <c r="F2348" i="1"/>
  <c r="F2350" i="1"/>
  <c r="F2353" i="1"/>
  <c r="F2352" i="1"/>
  <c r="F2351" i="1"/>
  <c r="F2355" i="1"/>
  <c r="F2354" i="1"/>
  <c r="F2356" i="1"/>
  <c r="F2358" i="1"/>
  <c r="F2359" i="1"/>
  <c r="F2360" i="1"/>
  <c r="F2372" i="1"/>
  <c r="F2361" i="1"/>
  <c r="F2362" i="1"/>
  <c r="F2363" i="1"/>
  <c r="F2364" i="1"/>
  <c r="F2365" i="1"/>
  <c r="F2366" i="1"/>
  <c r="F2367" i="1"/>
  <c r="F2368" i="1"/>
  <c r="F2369" i="1"/>
  <c r="F2370" i="1"/>
  <c r="F2371" i="1"/>
  <c r="F2373" i="1"/>
  <c r="F2374" i="1"/>
  <c r="F2375" i="1"/>
  <c r="F2376" i="1"/>
  <c r="F2380" i="1"/>
  <c r="F2377" i="1"/>
  <c r="F2378" i="1"/>
  <c r="F2379" i="1"/>
  <c r="F3985" i="1"/>
  <c r="F2384" i="1"/>
  <c r="F2385" i="1"/>
  <c r="F2387" i="1"/>
  <c r="F2386" i="1"/>
  <c r="F2383" i="1"/>
  <c r="F2382" i="1"/>
  <c r="F2381" i="1"/>
  <c r="F2388" i="1"/>
  <c r="F2389" i="1"/>
  <c r="F2390" i="1"/>
  <c r="F2391" i="1"/>
  <c r="F5287" i="1"/>
  <c r="F5286" i="1"/>
  <c r="F5288" i="1"/>
  <c r="F2394" i="1"/>
  <c r="F51" i="1"/>
  <c r="F2392" i="1"/>
  <c r="F2393" i="1"/>
  <c r="F2401" i="1"/>
  <c r="F2462" i="1"/>
  <c r="F2464" i="1"/>
  <c r="F2467" i="1"/>
  <c r="F2497" i="1"/>
  <c r="F2499" i="1"/>
  <c r="F2475" i="1"/>
  <c r="F2504" i="1"/>
  <c r="F2476" i="1"/>
  <c r="F2456" i="1"/>
  <c r="F2408" i="1"/>
  <c r="F2409" i="1"/>
  <c r="F2477" i="1"/>
  <c r="F2479" i="1"/>
  <c r="F2413" i="1"/>
  <c r="F2506" i="1"/>
  <c r="F2407" i="1"/>
  <c r="F2480" i="1"/>
  <c r="F2515" i="1"/>
  <c r="F2544" i="1"/>
  <c r="F2481" i="1"/>
  <c r="F2482" i="1"/>
  <c r="F2525" i="1"/>
  <c r="F2508" i="1"/>
  <c r="F2511" i="1"/>
  <c r="F2460" i="1"/>
  <c r="F2415" i="1"/>
  <c r="F2416" i="1"/>
  <c r="F2417" i="1"/>
  <c r="F2418" i="1"/>
  <c r="F2630" i="1"/>
  <c r="F2419" i="1"/>
  <c r="F2420" i="1"/>
  <c r="F2421" i="1"/>
  <c r="F2422" i="1"/>
  <c r="F3875" i="1"/>
  <c r="F2513" i="1"/>
  <c r="F2405" i="1"/>
  <c r="F2628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518" i="1"/>
  <c r="F4260" i="1"/>
  <c r="F2519" i="1"/>
  <c r="F2520" i="1"/>
  <c r="F2521" i="1"/>
  <c r="F2522" i="1"/>
  <c r="F5209" i="1"/>
  <c r="F2529" i="1"/>
  <c r="F2527" i="1"/>
  <c r="F2528" i="1"/>
  <c r="F2532" i="1"/>
  <c r="F2531" i="1"/>
  <c r="F2530" i="1"/>
  <c r="F2534" i="1"/>
  <c r="F2533" i="1"/>
  <c r="F5262" i="1"/>
  <c r="F2535" i="1"/>
  <c r="F2537" i="1"/>
  <c r="F2536" i="1"/>
  <c r="F2538" i="1"/>
  <c r="F2540" i="1"/>
  <c r="F2539" i="1"/>
  <c r="F2541" i="1"/>
  <c r="F2543" i="1"/>
  <c r="F2546" i="1"/>
  <c r="F2545" i="1"/>
  <c r="F2542" i="1"/>
  <c r="F2548" i="1"/>
  <c r="F2547" i="1"/>
  <c r="F2550" i="1"/>
  <c r="F2551" i="1"/>
  <c r="F2549" i="1"/>
  <c r="F2554" i="1"/>
  <c r="F2552" i="1"/>
  <c r="F2555" i="1"/>
  <c r="F2553" i="1"/>
  <c r="F2558" i="1"/>
  <c r="F2557" i="1"/>
  <c r="F2556" i="1"/>
  <c r="F2564" i="1"/>
  <c r="F2565" i="1"/>
  <c r="F2507" i="1"/>
  <c r="F2635" i="1"/>
  <c r="F2573" i="1"/>
  <c r="F2574" i="1"/>
  <c r="F2575" i="1"/>
  <c r="F2578" i="1"/>
  <c r="F2580" i="1"/>
  <c r="F2579" i="1"/>
  <c r="F2576" i="1"/>
  <c r="F2577" i="1"/>
  <c r="F2584" i="1"/>
  <c r="F2582" i="1"/>
  <c r="F2583" i="1"/>
  <c r="F2581" i="1"/>
  <c r="F2585" i="1"/>
  <c r="F2586" i="1"/>
  <c r="F2461" i="1"/>
  <c r="F2590" i="1"/>
  <c r="F2587" i="1"/>
  <c r="F2588" i="1"/>
  <c r="F2589" i="1"/>
  <c r="F2592" i="1"/>
  <c r="F2593" i="1"/>
  <c r="F2594" i="1"/>
  <c r="F2599" i="1"/>
  <c r="F2597" i="1"/>
  <c r="F2598" i="1"/>
  <c r="F2602" i="1"/>
  <c r="F2600" i="1"/>
  <c r="F2601" i="1"/>
  <c r="F2603" i="1"/>
  <c r="F2607" i="1"/>
  <c r="F2605" i="1"/>
  <c r="F2395" i="1"/>
  <c r="F2608" i="1"/>
  <c r="F2610" i="1"/>
  <c r="F2609" i="1"/>
  <c r="F2611" i="1"/>
  <c r="F2612" i="1"/>
  <c r="F2613" i="1"/>
  <c r="F2615" i="1"/>
  <c r="F2614" i="1"/>
  <c r="F2618" i="1"/>
  <c r="F2616" i="1"/>
  <c r="F2617" i="1"/>
  <c r="F2623" i="1"/>
  <c r="F2625" i="1"/>
  <c r="F2624" i="1"/>
  <c r="F2650" i="1"/>
  <c r="F2651" i="1"/>
  <c r="F2655" i="1"/>
  <c r="F2670" i="1"/>
  <c r="F2653" i="1"/>
  <c r="F2654" i="1"/>
  <c r="F2652" i="1"/>
  <c r="F2679" i="1"/>
  <c r="F2680" i="1"/>
  <c r="F2681" i="1"/>
  <c r="F2682" i="1"/>
  <c r="F2683" i="1"/>
  <c r="F2684" i="1"/>
  <c r="F2671" i="1"/>
  <c r="F2672" i="1"/>
  <c r="F2673" i="1"/>
  <c r="F2674" i="1"/>
  <c r="F2675" i="1"/>
  <c r="F2676" i="1"/>
  <c r="F2677" i="1"/>
  <c r="F2678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85" i="1"/>
  <c r="F2637" i="1"/>
  <c r="F2638" i="1"/>
  <c r="F2639" i="1"/>
  <c r="F2640" i="1"/>
  <c r="F2641" i="1"/>
  <c r="F2644" i="1"/>
  <c r="F2643" i="1"/>
  <c r="F2642" i="1"/>
  <c r="F2645" i="1"/>
  <c r="F2647" i="1"/>
  <c r="F2646" i="1"/>
  <c r="F2648" i="1"/>
  <c r="F2633" i="1"/>
  <c r="F5635" i="1"/>
  <c r="F5213" i="1"/>
  <c r="F4251" i="1"/>
  <c r="F2606" i="1"/>
  <c r="F2636" i="1"/>
  <c r="F2686" i="1"/>
  <c r="F2692" i="1"/>
  <c r="F2687" i="1"/>
  <c r="F2689" i="1"/>
  <c r="F2691" i="1"/>
  <c r="F2688" i="1"/>
  <c r="F2690" i="1"/>
  <c r="F2696" i="1"/>
  <c r="F2694" i="1"/>
  <c r="F2695" i="1"/>
  <c r="F2697" i="1"/>
  <c r="F2704" i="1"/>
  <c r="F2699" i="1"/>
  <c r="F2767" i="1"/>
  <c r="F2705" i="1"/>
  <c r="F2706" i="1"/>
  <c r="F2708" i="1"/>
  <c r="F2812" i="1"/>
  <c r="F2709" i="1"/>
  <c r="F2710" i="1"/>
  <c r="F2711" i="1"/>
  <c r="F2698" i="1"/>
  <c r="F2712" i="1"/>
  <c r="F2716" i="1"/>
  <c r="F2700" i="1"/>
  <c r="F3692" i="1"/>
  <c r="F2718" i="1"/>
  <c r="F2714" i="1"/>
  <c r="F2719" i="1"/>
  <c r="F2723" i="1"/>
  <c r="F2724" i="1"/>
  <c r="F2725" i="1"/>
  <c r="F2726" i="1"/>
  <c r="F2730" i="1"/>
  <c r="F2731" i="1"/>
  <c r="F2732" i="1"/>
  <c r="F2734" i="1"/>
  <c r="F2735" i="1"/>
  <c r="F2733" i="1"/>
  <c r="F2738" i="1"/>
  <c r="F2739" i="1"/>
  <c r="F2737" i="1"/>
  <c r="F2713" i="1"/>
  <c r="F2741" i="1"/>
  <c r="F2743" i="1"/>
  <c r="F2744" i="1"/>
  <c r="F2746" i="1"/>
  <c r="F2742" i="1"/>
  <c r="F2745" i="1"/>
  <c r="F2751" i="1"/>
  <c r="F2749" i="1"/>
  <c r="F2750" i="1"/>
  <c r="F2753" i="1"/>
  <c r="F2754" i="1"/>
  <c r="F2752" i="1"/>
  <c r="F2755" i="1"/>
  <c r="F2762" i="1"/>
  <c r="F2766" i="1"/>
  <c r="F2763" i="1"/>
  <c r="F2765" i="1"/>
  <c r="F2761" i="1"/>
  <c r="F2764" i="1"/>
  <c r="F2770" i="1"/>
  <c r="F2772" i="1"/>
  <c r="F2771" i="1"/>
  <c r="F2773" i="1"/>
  <c r="F2776" i="1"/>
  <c r="F2775" i="1"/>
  <c r="F2774" i="1"/>
  <c r="F2778" i="1"/>
  <c r="F2777" i="1"/>
  <c r="F2779" i="1"/>
  <c r="F2794" i="1"/>
  <c r="F2791" i="1"/>
  <c r="F2793" i="1"/>
  <c r="F2792" i="1"/>
  <c r="F2717" i="1"/>
  <c r="F2817" i="1"/>
  <c r="F2818" i="1"/>
  <c r="F2822" i="1"/>
  <c r="F2823" i="1"/>
  <c r="F2824" i="1"/>
  <c r="F2819" i="1"/>
  <c r="F2820" i="1"/>
  <c r="F2821" i="1"/>
  <c r="F2826" i="1"/>
  <c r="F2825" i="1"/>
  <c r="F2841" i="1"/>
  <c r="F2837" i="1"/>
  <c r="F2838" i="1"/>
  <c r="F2827" i="1"/>
  <c r="F2828" i="1"/>
  <c r="F2829" i="1"/>
  <c r="F2830" i="1"/>
  <c r="F2831" i="1"/>
  <c r="F2839" i="1"/>
  <c r="F2840" i="1"/>
  <c r="F2832" i="1"/>
  <c r="F2833" i="1"/>
  <c r="F2834" i="1"/>
  <c r="F2835" i="1"/>
  <c r="F2836" i="1"/>
  <c r="F2842" i="1"/>
  <c r="F2843" i="1"/>
  <c r="F2846" i="1"/>
  <c r="F2844" i="1"/>
  <c r="F2849" i="1"/>
  <c r="F2850" i="1"/>
  <c r="F2847" i="1"/>
  <c r="F2848" i="1"/>
  <c r="F2851" i="1"/>
  <c r="F2852" i="1"/>
  <c r="F2854" i="1"/>
  <c r="F2879" i="1"/>
  <c r="F2878" i="1"/>
  <c r="F2976" i="1"/>
  <c r="F2882" i="1"/>
  <c r="F2881" i="1"/>
  <c r="F2980" i="1"/>
  <c r="F2884" i="1"/>
  <c r="F2885" i="1"/>
  <c r="F2890" i="1"/>
  <c r="F2889" i="1"/>
  <c r="F2888" i="1"/>
  <c r="F2891" i="1"/>
  <c r="F2893" i="1"/>
  <c r="F2895" i="1"/>
  <c r="F2896" i="1"/>
  <c r="F2900" i="1"/>
  <c r="F2899" i="1"/>
  <c r="F2902" i="1"/>
  <c r="F2901" i="1"/>
  <c r="F2904" i="1"/>
  <c r="F2869" i="1"/>
  <c r="F2903" i="1"/>
  <c r="F2909" i="1"/>
  <c r="F2908" i="1"/>
  <c r="F2910" i="1"/>
  <c r="F2912" i="1"/>
  <c r="F2911" i="1"/>
  <c r="F2914" i="1"/>
  <c r="F2919" i="1"/>
  <c r="F2918" i="1"/>
  <c r="F2920" i="1"/>
  <c r="F2923" i="1"/>
  <c r="F2922" i="1"/>
  <c r="F2921" i="1"/>
  <c r="F2925" i="1"/>
  <c r="F2924" i="1"/>
  <c r="F2926" i="1"/>
  <c r="F2931" i="1"/>
  <c r="F2932" i="1"/>
  <c r="F2929" i="1"/>
  <c r="F2906" i="1"/>
  <c r="F2933" i="1"/>
  <c r="F2936" i="1"/>
  <c r="F2938" i="1"/>
  <c r="F2937" i="1"/>
  <c r="F2941" i="1"/>
  <c r="F2940" i="1"/>
  <c r="F2939" i="1"/>
  <c r="F3895" i="1"/>
  <c r="F3896" i="1"/>
  <c r="F3897" i="1"/>
  <c r="F3695" i="1"/>
  <c r="F3696" i="1"/>
  <c r="F2974" i="1"/>
  <c r="F3051" i="1"/>
  <c r="F3052" i="1"/>
  <c r="F3053" i="1"/>
  <c r="F3054" i="1"/>
  <c r="F3055" i="1"/>
  <c r="F3050" i="1"/>
  <c r="F3045" i="1"/>
  <c r="F3046" i="1"/>
  <c r="F3047" i="1"/>
  <c r="F3048" i="1"/>
  <c r="F3049" i="1"/>
  <c r="F3145" i="1"/>
  <c r="F3155" i="1"/>
  <c r="F3144" i="1"/>
  <c r="F3197" i="1"/>
  <c r="F2865" i="1"/>
  <c r="F3180" i="1"/>
  <c r="F3181" i="1"/>
  <c r="F3182" i="1"/>
  <c r="F3183" i="1"/>
  <c r="F3184" i="1"/>
  <c r="F3098" i="1"/>
  <c r="F3075" i="1"/>
  <c r="F3076" i="1"/>
  <c r="F5636" i="1"/>
  <c r="F3030" i="1"/>
  <c r="F3059" i="1"/>
  <c r="F3185" i="1"/>
  <c r="F3104" i="1"/>
  <c r="F3074" i="1"/>
  <c r="F3077" i="1"/>
  <c r="F3179" i="1"/>
  <c r="F3101" i="1"/>
  <c r="F3065" i="1"/>
  <c r="F2962" i="1"/>
  <c r="F3103" i="1"/>
  <c r="F3072" i="1"/>
  <c r="F2859" i="1"/>
  <c r="F3066" i="1"/>
  <c r="F3067" i="1"/>
  <c r="F3068" i="1"/>
  <c r="F3069" i="1"/>
  <c r="F3070" i="1"/>
  <c r="F3071" i="1"/>
  <c r="F3102" i="1"/>
  <c r="F2953" i="1"/>
  <c r="F2948" i="1"/>
  <c r="F3056" i="1"/>
  <c r="F3061" i="1"/>
  <c r="F3107" i="1"/>
  <c r="F3108" i="1"/>
  <c r="F3100" i="1"/>
  <c r="F3106" i="1"/>
  <c r="F3105" i="1"/>
  <c r="F3186" i="1"/>
  <c r="F3109" i="1"/>
  <c r="F3110" i="1"/>
  <c r="F3113" i="1"/>
  <c r="F3114" i="1"/>
  <c r="F3112" i="1"/>
  <c r="F3111" i="1"/>
  <c r="F3116" i="1"/>
  <c r="F3117" i="1"/>
  <c r="F3115" i="1"/>
  <c r="F3119" i="1"/>
  <c r="F3120" i="1"/>
  <c r="F3118" i="1"/>
  <c r="F3126" i="1"/>
  <c r="F3127" i="1"/>
  <c r="F3121" i="1"/>
  <c r="F3125" i="1"/>
  <c r="F3123" i="1"/>
  <c r="F3154" i="1"/>
  <c r="F3130" i="1"/>
  <c r="F3143" i="1"/>
  <c r="F3132" i="1"/>
  <c r="F3133" i="1"/>
  <c r="F3131" i="1"/>
  <c r="F3137" i="1"/>
  <c r="F3161" i="1"/>
  <c r="F3163" i="1"/>
  <c r="F3162" i="1"/>
  <c r="F3165" i="1"/>
  <c r="F3166" i="1"/>
  <c r="F3152" i="1"/>
  <c r="F3189" i="1"/>
  <c r="F3205" i="1"/>
  <c r="F3215" i="1"/>
  <c r="F3236" i="1"/>
  <c r="F3237" i="1"/>
  <c r="F3250" i="1"/>
  <c r="F3239" i="1"/>
  <c r="F3240" i="1"/>
  <c r="F3252" i="1"/>
  <c r="F3229" i="1"/>
  <c r="F3216" i="1"/>
  <c r="F3230" i="1"/>
  <c r="F3241" i="1"/>
  <c r="F3243" i="1"/>
  <c r="F3217" i="1"/>
  <c r="F3202" i="1"/>
  <c r="F3254" i="1"/>
  <c r="F3201" i="1"/>
  <c r="F3214" i="1"/>
  <c r="F3206" i="1"/>
  <c r="F3200" i="1"/>
  <c r="F3231" i="1"/>
  <c r="F3207" i="1"/>
  <c r="F3208" i="1"/>
  <c r="F3258" i="1"/>
  <c r="F3255" i="1"/>
  <c r="F3234" i="1"/>
  <c r="F3218" i="1"/>
  <c r="F3220" i="1"/>
  <c r="F3221" i="1"/>
  <c r="F4627" i="1"/>
  <c r="F3406" i="1"/>
  <c r="F3360" i="1"/>
  <c r="F3210" i="1"/>
  <c r="F3434" i="1"/>
  <c r="F3259" i="1"/>
  <c r="F3235" i="1"/>
  <c r="F3204" i="1"/>
  <c r="F3437" i="1"/>
  <c r="F3224" i="1"/>
  <c r="F3408" i="1"/>
  <c r="F3427" i="1"/>
  <c r="F3225" i="1"/>
  <c r="F3211" i="1"/>
  <c r="F3212" i="1"/>
  <c r="F3213" i="1"/>
  <c r="F3232" i="1"/>
  <c r="F3261" i="1"/>
  <c r="F3260" i="1"/>
  <c r="F3209" i="1"/>
  <c r="F3264" i="1"/>
  <c r="F3262" i="1"/>
  <c r="F3263" i="1"/>
  <c r="F3265" i="1"/>
  <c r="F3267" i="1"/>
  <c r="F3268" i="1"/>
  <c r="F3266" i="1"/>
  <c r="F3272" i="1"/>
  <c r="F3274" i="1"/>
  <c r="F3273" i="1"/>
  <c r="F3278" i="1"/>
  <c r="F3279" i="1"/>
  <c r="F3277" i="1"/>
  <c r="F3276" i="1"/>
  <c r="F3283" i="1"/>
  <c r="F3284" i="1"/>
  <c r="F3285" i="1"/>
  <c r="F3282" i="1"/>
  <c r="F3281" i="1"/>
  <c r="F3286" i="1"/>
  <c r="F3287" i="1"/>
  <c r="F3288" i="1"/>
  <c r="F3289" i="1"/>
  <c r="F3290" i="1"/>
  <c r="F3294" i="1"/>
  <c r="F3292" i="1"/>
  <c r="F3293" i="1"/>
  <c r="F3291" i="1"/>
  <c r="F3297" i="1"/>
  <c r="F3295" i="1"/>
  <c r="F3298" i="1"/>
  <c r="F3299" i="1"/>
  <c r="F3296" i="1"/>
  <c r="F3302" i="1"/>
  <c r="F3300" i="1"/>
  <c r="F3301" i="1"/>
  <c r="F3305" i="1"/>
  <c r="F3307" i="1"/>
  <c r="F3303" i="1"/>
  <c r="F3306" i="1"/>
  <c r="F3304" i="1"/>
  <c r="F3309" i="1"/>
  <c r="F3310" i="1"/>
  <c r="F3311" i="1"/>
  <c r="F3308" i="1"/>
  <c r="F3313" i="1"/>
  <c r="F3314" i="1"/>
  <c r="F3312" i="1"/>
  <c r="F3317" i="1"/>
  <c r="F3315" i="1"/>
  <c r="F3316" i="1"/>
  <c r="F3320" i="1"/>
  <c r="F3321" i="1"/>
  <c r="F3322" i="1"/>
  <c r="F3319" i="1"/>
  <c r="F3324" i="1"/>
  <c r="F3325" i="1"/>
  <c r="F3323" i="1"/>
  <c r="F3327" i="1"/>
  <c r="F3326" i="1"/>
  <c r="F3329" i="1"/>
  <c r="F3330" i="1"/>
  <c r="F3328" i="1"/>
  <c r="F3333" i="1"/>
  <c r="F3334" i="1"/>
  <c r="F3332" i="1"/>
  <c r="F3331" i="1"/>
  <c r="F3242" i="1"/>
  <c r="F3335" i="1"/>
  <c r="F3341" i="1"/>
  <c r="F3340" i="1"/>
  <c r="F3339" i="1"/>
  <c r="F3342" i="1"/>
  <c r="F3343" i="1"/>
  <c r="F3344" i="1"/>
  <c r="F3347" i="1"/>
  <c r="F3345" i="1"/>
  <c r="F3346" i="1"/>
  <c r="F3348" i="1"/>
  <c r="F3350" i="1"/>
  <c r="F3349" i="1"/>
  <c r="F3947" i="1"/>
  <c r="F3352" i="1"/>
  <c r="F3353" i="1"/>
  <c r="F3351" i="1"/>
  <c r="F3356" i="1"/>
  <c r="F3354" i="1"/>
  <c r="F3355" i="1"/>
  <c r="F3359" i="1"/>
  <c r="F3357" i="1"/>
  <c r="F3358" i="1"/>
  <c r="F3238" i="1"/>
  <c r="F3436" i="1"/>
  <c r="F2150" i="1"/>
  <c r="F2148" i="1"/>
  <c r="F2149" i="1"/>
  <c r="F3367" i="1"/>
  <c r="F3365" i="1"/>
  <c r="F3366" i="1"/>
  <c r="F3370" i="1"/>
  <c r="F3368" i="1"/>
  <c r="F3369" i="1"/>
  <c r="F3372" i="1"/>
  <c r="F3371" i="1"/>
  <c r="F3373" i="1"/>
  <c r="F3375" i="1"/>
  <c r="F3374" i="1"/>
  <c r="F3378" i="1"/>
  <c r="F3377" i="1"/>
  <c r="F3376" i="1"/>
  <c r="F3382" i="1"/>
  <c r="F3381" i="1"/>
  <c r="F3380" i="1"/>
  <c r="F3383" i="1"/>
  <c r="F3384" i="1"/>
  <c r="F3386" i="1"/>
  <c r="F3385" i="1"/>
  <c r="F3388" i="1"/>
  <c r="F3390" i="1"/>
  <c r="F3389" i="1"/>
  <c r="F3431" i="1"/>
  <c r="F3394" i="1"/>
  <c r="F3401" i="1"/>
  <c r="F3400" i="1"/>
  <c r="F3399" i="1"/>
  <c r="F3403" i="1"/>
  <c r="F3404" i="1"/>
  <c r="F3402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76" i="1"/>
  <c r="F3477" i="1"/>
  <c r="F3478" i="1"/>
  <c r="F3492" i="1"/>
  <c r="F3493" i="1"/>
  <c r="F3465" i="1"/>
  <c r="F3466" i="1"/>
  <c r="F3467" i="1"/>
  <c r="F3468" i="1"/>
  <c r="F3469" i="1"/>
  <c r="F3470" i="1"/>
  <c r="F3471" i="1"/>
  <c r="F3472" i="1"/>
  <c r="F3473" i="1"/>
  <c r="F3474" i="1"/>
  <c r="F3475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4" i="1"/>
  <c r="F3498" i="1"/>
  <c r="F3497" i="1"/>
  <c r="F3495" i="1"/>
  <c r="F3496" i="1"/>
  <c r="F3507" i="1"/>
  <c r="F3509" i="1"/>
  <c r="F3428" i="1"/>
  <c r="F3503" i="1"/>
  <c r="F3504" i="1"/>
  <c r="F3505" i="1"/>
  <c r="F3506" i="1"/>
  <c r="F3499" i="1"/>
  <c r="F3500" i="1"/>
  <c r="F3501" i="1"/>
  <c r="F3502" i="1"/>
  <c r="F3508" i="1"/>
  <c r="F3510" i="1"/>
  <c r="F3511" i="1"/>
  <c r="F3512" i="1"/>
  <c r="F3513" i="1"/>
  <c r="F3514" i="1"/>
  <c r="F3515" i="1"/>
  <c r="F3516" i="1"/>
  <c r="F3517" i="1"/>
  <c r="F3518" i="1"/>
  <c r="F3519" i="1"/>
  <c r="F3520" i="1"/>
  <c r="F3433" i="1"/>
  <c r="F3521" i="1"/>
  <c r="F3522" i="1"/>
  <c r="F3526" i="1"/>
  <c r="F3531" i="1"/>
  <c r="F3530" i="1"/>
  <c r="F3534" i="1"/>
  <c r="F3533" i="1"/>
  <c r="F3532" i="1"/>
  <c r="F3538" i="1"/>
  <c r="F3535" i="1"/>
  <c r="F3537" i="1"/>
  <c r="F3536" i="1"/>
  <c r="F3541" i="1"/>
  <c r="F3540" i="1"/>
  <c r="F3539" i="1"/>
  <c r="F3544" i="1"/>
  <c r="F3543" i="1"/>
  <c r="F3542" i="1"/>
  <c r="F3548" i="1"/>
  <c r="F3546" i="1"/>
  <c r="F3547" i="1"/>
  <c r="F3545" i="1"/>
  <c r="F3550" i="1"/>
  <c r="F3549" i="1"/>
  <c r="F3553" i="1"/>
  <c r="F3551" i="1"/>
  <c r="F3554" i="1"/>
  <c r="F3552" i="1"/>
  <c r="F3556" i="1"/>
  <c r="F3557" i="1"/>
  <c r="F3555" i="1"/>
  <c r="F3561" i="1"/>
  <c r="F3559" i="1"/>
  <c r="F3558" i="1"/>
  <c r="F3560" i="1"/>
  <c r="F3563" i="1"/>
  <c r="F3562" i="1"/>
  <c r="F3566" i="1"/>
  <c r="F3564" i="1"/>
  <c r="F3565" i="1"/>
  <c r="F3571" i="1"/>
  <c r="F3570" i="1"/>
  <c r="F3569" i="1"/>
  <c r="F3568" i="1"/>
  <c r="F3567" i="1"/>
  <c r="F3573" i="1"/>
  <c r="F3572" i="1"/>
  <c r="F3576" i="1"/>
  <c r="F3575" i="1"/>
  <c r="F3574" i="1"/>
  <c r="F3579" i="1"/>
  <c r="F3578" i="1"/>
  <c r="F3577" i="1"/>
  <c r="F3582" i="1"/>
  <c r="F3581" i="1"/>
  <c r="F3580" i="1"/>
  <c r="F3585" i="1"/>
  <c r="F3584" i="1"/>
  <c r="F3583" i="1"/>
  <c r="F3588" i="1"/>
  <c r="F3587" i="1"/>
  <c r="F3586" i="1"/>
  <c r="F3591" i="1"/>
  <c r="F3590" i="1"/>
  <c r="F3589" i="1"/>
  <c r="F3594" i="1"/>
  <c r="F3593" i="1"/>
  <c r="F3592" i="1"/>
  <c r="F3599" i="1"/>
  <c r="F3598" i="1"/>
  <c r="F3596" i="1"/>
  <c r="F3595" i="1"/>
  <c r="F3597" i="1"/>
  <c r="F3600" i="1"/>
  <c r="F3601" i="1"/>
  <c r="F3602" i="1"/>
  <c r="F3605" i="1"/>
  <c r="F3604" i="1"/>
  <c r="F3603" i="1"/>
  <c r="F3608" i="1"/>
  <c r="F3606" i="1"/>
  <c r="F3607" i="1"/>
  <c r="F3611" i="1"/>
  <c r="F3609" i="1"/>
  <c r="F3610" i="1"/>
  <c r="F3614" i="1"/>
  <c r="F3612" i="1"/>
  <c r="F3613" i="1"/>
  <c r="F3617" i="1"/>
  <c r="F3615" i="1"/>
  <c r="F3616" i="1"/>
  <c r="F3620" i="1"/>
  <c r="F3618" i="1"/>
  <c r="F3619" i="1"/>
  <c r="F3621" i="1"/>
  <c r="F3624" i="1"/>
  <c r="F3622" i="1"/>
  <c r="F3623" i="1"/>
  <c r="F3627" i="1"/>
  <c r="F3625" i="1"/>
  <c r="F3626" i="1"/>
  <c r="F3628" i="1"/>
  <c r="F3630" i="1"/>
  <c r="F630" i="1"/>
  <c r="F3633" i="1"/>
  <c r="F3632" i="1"/>
  <c r="F3631" i="1"/>
  <c r="F3636" i="1"/>
  <c r="F3635" i="1"/>
  <c r="F3634" i="1"/>
  <c r="F3639" i="1"/>
  <c r="F3638" i="1"/>
  <c r="F3637" i="1"/>
  <c r="F3642" i="1"/>
  <c r="F3641" i="1"/>
  <c r="F3640" i="1"/>
  <c r="F3651" i="1"/>
  <c r="F3652" i="1"/>
  <c r="F3653" i="1"/>
  <c r="F3655" i="1"/>
  <c r="F3656" i="1"/>
  <c r="F3657" i="1"/>
  <c r="F3658" i="1"/>
  <c r="F3659" i="1"/>
  <c r="F3660" i="1"/>
  <c r="F3661" i="1"/>
  <c r="F3662" i="1"/>
  <c r="F3663" i="1"/>
  <c r="F3683" i="1"/>
  <c r="F3667" i="1"/>
  <c r="F3666" i="1"/>
  <c r="F3664" i="1"/>
  <c r="F3669" i="1"/>
  <c r="F3670" i="1"/>
  <c r="F3672" i="1"/>
  <c r="F3665" i="1"/>
  <c r="F3668" i="1"/>
  <c r="F3673" i="1"/>
  <c r="F3233" i="1"/>
  <c r="F3674" i="1"/>
  <c r="F3678" i="1"/>
  <c r="F3677" i="1"/>
  <c r="F3680" i="1"/>
  <c r="F3679" i="1"/>
  <c r="F3682" i="1"/>
  <c r="F3681" i="1"/>
  <c r="F3684" i="1"/>
  <c r="F3685" i="1"/>
  <c r="F3728" i="1"/>
  <c r="F3710" i="1"/>
  <c r="F3711" i="1"/>
  <c r="F552" i="1"/>
  <c r="F3743" i="1"/>
  <c r="F3735" i="1"/>
  <c r="F3831" i="1"/>
  <c r="F3830" i="1"/>
  <c r="F3874" i="1"/>
  <c r="F3705" i="1"/>
  <c r="F3870" i="1"/>
  <c r="F3697" i="1"/>
  <c r="F3713" i="1"/>
  <c r="F3714" i="1"/>
  <c r="F3708" i="1"/>
  <c r="F3709" i="1"/>
  <c r="F3869" i="1"/>
  <c r="F3715" i="1"/>
  <c r="F3716" i="1"/>
  <c r="F3717" i="1"/>
  <c r="F3718" i="1"/>
  <c r="F3719" i="1"/>
  <c r="F3720" i="1"/>
  <c r="F3721" i="1"/>
  <c r="F3722" i="1"/>
  <c r="F3723" i="1"/>
  <c r="F3724" i="1"/>
  <c r="F3781" i="1"/>
  <c r="F2045" i="1"/>
  <c r="F2046" i="1"/>
  <c r="F3791" i="1"/>
  <c r="F3793" i="1"/>
  <c r="F3792" i="1"/>
  <c r="F3790" i="1"/>
  <c r="F2096" i="1"/>
  <c r="F3849" i="1"/>
  <c r="F3807" i="1"/>
  <c r="F3808" i="1"/>
  <c r="F3813" i="1"/>
  <c r="F5490" i="1"/>
  <c r="F3810" i="1"/>
  <c r="F3811" i="1"/>
  <c r="F3821" i="1"/>
  <c r="F3822" i="1"/>
  <c r="F3819" i="1"/>
  <c r="F3823" i="1"/>
  <c r="F3795" i="1"/>
  <c r="F3872" i="1"/>
  <c r="F4326" i="1"/>
  <c r="F4323" i="1"/>
  <c r="F4324" i="1"/>
  <c r="F4325" i="1"/>
  <c r="F4264" i="1"/>
  <c r="F4327" i="1"/>
  <c r="F4328" i="1"/>
  <c r="F4304" i="1"/>
  <c r="F4305" i="1"/>
  <c r="F4306" i="1"/>
  <c r="F4385" i="1"/>
  <c r="F4386" i="1"/>
  <c r="F4387" i="1"/>
  <c r="F4388" i="1"/>
  <c r="F4398" i="1"/>
  <c r="F4399" i="1"/>
  <c r="F4400" i="1"/>
  <c r="F4401" i="1"/>
  <c r="F4437" i="1"/>
  <c r="F4438" i="1"/>
  <c r="F4439" i="1"/>
  <c r="F4443" i="1"/>
  <c r="F4444" i="1"/>
  <c r="F4445" i="1"/>
  <c r="F4440" i="1"/>
  <c r="F4441" i="1"/>
  <c r="F4446" i="1"/>
  <c r="F4447" i="1"/>
  <c r="F4448" i="1"/>
  <c r="F4442" i="1"/>
  <c r="F4433" i="1"/>
  <c r="F4403" i="1"/>
  <c r="F4404" i="1"/>
  <c r="F4421" i="1"/>
  <c r="F4402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2" i="1"/>
  <c r="F4423" i="1"/>
  <c r="F4424" i="1"/>
  <c r="F4425" i="1"/>
  <c r="F4426" i="1"/>
  <c r="F4427" i="1"/>
  <c r="F4428" i="1"/>
  <c r="F4429" i="1"/>
  <c r="F4430" i="1"/>
  <c r="F4431" i="1"/>
  <c r="F4432" i="1"/>
  <c r="F4434" i="1"/>
  <c r="F4449" i="1"/>
  <c r="F4435" i="1"/>
  <c r="F4436" i="1"/>
  <c r="F4459" i="1"/>
  <c r="F4460" i="1"/>
  <c r="F4262" i="1"/>
  <c r="F4263" i="1"/>
  <c r="F4261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94" i="1"/>
  <c r="F4288" i="1"/>
  <c r="F4289" i="1"/>
  <c r="F4290" i="1"/>
  <c r="F4291" i="1"/>
  <c r="F4379" i="1"/>
  <c r="F4383" i="1"/>
  <c r="F4329" i="1"/>
  <c r="F4382" i="1"/>
  <c r="F4380" i="1"/>
  <c r="F4381" i="1"/>
  <c r="F4292" i="1"/>
  <c r="F4293" i="1"/>
  <c r="F4389" i="1"/>
  <c r="F4390" i="1"/>
  <c r="F4394" i="1"/>
  <c r="F4396" i="1"/>
  <c r="F4397" i="1"/>
  <c r="F4393" i="1"/>
  <c r="F4392" i="1"/>
  <c r="F4395" i="1"/>
  <c r="F4452" i="1"/>
  <c r="F4453" i="1"/>
  <c r="F4454" i="1"/>
  <c r="F4451" i="1"/>
  <c r="F4450" i="1"/>
  <c r="F4455" i="1"/>
  <c r="F4456" i="1"/>
  <c r="F4457" i="1"/>
  <c r="F4458" i="1"/>
  <c r="F3955" i="1"/>
  <c r="F3956" i="1"/>
  <c r="F3860" i="1"/>
  <c r="F3991" i="1"/>
  <c r="F3983" i="1"/>
  <c r="F3987" i="1"/>
  <c r="F5640" i="1"/>
  <c r="F3963" i="1"/>
  <c r="F3996" i="1"/>
  <c r="F4654" i="1"/>
  <c r="F3979" i="1"/>
  <c r="F3960" i="1"/>
  <c r="F3980" i="1"/>
  <c r="F3990" i="1"/>
  <c r="F3974" i="1"/>
  <c r="F3964" i="1"/>
  <c r="F3981" i="1"/>
  <c r="F3977" i="1"/>
  <c r="F3998" i="1"/>
  <c r="F3999" i="1"/>
  <c r="F3961" i="1"/>
  <c r="F4000" i="1"/>
  <c r="F4001" i="1"/>
  <c r="F4018" i="1"/>
  <c r="F4005" i="1"/>
  <c r="F4006" i="1"/>
  <c r="F4007" i="1"/>
  <c r="F4008" i="1"/>
  <c r="F4009" i="1"/>
  <c r="F4010" i="1"/>
  <c r="F4011" i="1"/>
  <c r="F4012" i="1"/>
  <c r="F4013" i="1"/>
  <c r="F4004" i="1"/>
  <c r="F4019" i="1"/>
  <c r="F4020" i="1"/>
  <c r="F4021" i="1"/>
  <c r="F4022" i="1"/>
  <c r="F4023" i="1"/>
  <c r="F4014" i="1"/>
  <c r="F4015" i="1"/>
  <c r="F4016" i="1"/>
  <c r="F4017" i="1"/>
  <c r="F3982" i="1"/>
  <c r="F4669" i="1"/>
  <c r="F4003" i="1"/>
  <c r="F4025" i="1"/>
  <c r="F4663" i="1"/>
  <c r="F4024" i="1"/>
  <c r="F4002" i="1"/>
  <c r="F2516" i="1"/>
  <c r="F4026" i="1"/>
  <c r="F4027" i="1"/>
  <c r="F4606" i="1"/>
  <c r="F4028" i="1"/>
  <c r="F1256" i="1"/>
  <c r="F2414" i="1"/>
  <c r="F4033" i="1"/>
  <c r="F4030" i="1"/>
  <c r="F4031" i="1"/>
  <c r="F4032" i="1"/>
  <c r="F4041" i="1"/>
  <c r="F2400" i="1"/>
  <c r="F5641" i="1"/>
  <c r="F4042" i="1"/>
  <c r="F4044" i="1"/>
  <c r="F4043" i="1"/>
  <c r="F4045" i="1"/>
  <c r="F4046" i="1"/>
  <c r="F4048" i="1"/>
  <c r="F4049" i="1"/>
  <c r="F4047" i="1"/>
  <c r="F4052" i="1"/>
  <c r="F4050" i="1"/>
  <c r="F4051" i="1"/>
  <c r="F4054" i="1"/>
  <c r="F4053" i="1"/>
  <c r="F4057" i="1"/>
  <c r="F4055" i="1"/>
  <c r="F4056" i="1"/>
  <c r="F4071" i="1"/>
  <c r="F4110" i="1"/>
  <c r="F4058" i="1"/>
  <c r="F4080" i="1"/>
  <c r="F4084" i="1"/>
  <c r="F436" i="1"/>
  <c r="F4101" i="1"/>
  <c r="F4060" i="1"/>
  <c r="F4061" i="1"/>
  <c r="F4062" i="1"/>
  <c r="F4063" i="1"/>
  <c r="F4064" i="1"/>
  <c r="F4065" i="1"/>
  <c r="F4066" i="1"/>
  <c r="F4067" i="1"/>
  <c r="F4068" i="1"/>
  <c r="F4069" i="1"/>
  <c r="F4070" i="1"/>
  <c r="F4083" i="1"/>
  <c r="F4059" i="1"/>
  <c r="F331" i="1"/>
  <c r="F4166" i="1"/>
  <c r="F4125" i="1"/>
  <c r="F4165" i="1"/>
  <c r="F4167" i="1"/>
  <c r="F4168" i="1"/>
  <c r="F4163" i="1"/>
  <c r="F4113" i="1"/>
  <c r="F4114" i="1"/>
  <c r="F4115" i="1"/>
  <c r="F4116" i="1"/>
  <c r="F4117" i="1"/>
  <c r="F4111" i="1"/>
  <c r="F4138" i="1"/>
  <c r="F4139" i="1"/>
  <c r="F4140" i="1"/>
  <c r="F4141" i="1"/>
  <c r="F4142" i="1"/>
  <c r="F4164" i="1"/>
  <c r="F4143" i="1"/>
  <c r="F4144" i="1"/>
  <c r="F4145" i="1"/>
  <c r="F4146" i="1"/>
  <c r="F4147" i="1"/>
  <c r="F4148" i="1"/>
  <c r="F4149" i="1"/>
  <c r="F4150" i="1"/>
  <c r="F4151" i="1"/>
  <c r="F4152" i="1"/>
  <c r="F4127" i="1"/>
  <c r="F4128" i="1"/>
  <c r="F4129" i="1"/>
  <c r="F4130" i="1"/>
  <c r="F4131" i="1"/>
  <c r="F4132" i="1"/>
  <c r="F4133" i="1"/>
  <c r="F4134" i="1"/>
  <c r="F4135" i="1"/>
  <c r="F3887" i="1"/>
  <c r="F4119" i="1"/>
  <c r="F4120" i="1"/>
  <c r="F4121" i="1"/>
  <c r="F4122" i="1"/>
  <c r="F4123" i="1"/>
  <c r="F4112" i="1"/>
  <c r="F4162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36" i="1"/>
  <c r="F4821" i="1"/>
  <c r="F4822" i="1"/>
  <c r="F4823" i="1"/>
  <c r="F4256" i="1"/>
  <c r="F4824" i="1"/>
  <c r="F4825" i="1"/>
  <c r="F4826" i="1"/>
  <c r="F4827" i="1"/>
  <c r="F4828" i="1"/>
  <c r="F4829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35" i="1"/>
  <c r="F4236" i="1"/>
  <c r="F4836" i="1"/>
  <c r="F4837" i="1"/>
  <c r="F4838" i="1"/>
  <c r="F4337" i="1"/>
  <c r="F4104" i="1"/>
  <c r="F4839" i="1"/>
  <c r="F4840" i="1"/>
  <c r="F4841" i="1"/>
  <c r="F4842" i="1"/>
  <c r="F4843" i="1"/>
  <c r="F4844" i="1"/>
  <c r="F4105" i="1"/>
  <c r="F4081" i="1"/>
  <c r="F4830" i="1"/>
  <c r="F4832" i="1"/>
  <c r="F4106" i="1"/>
  <c r="F4107" i="1"/>
  <c r="F4108" i="1"/>
  <c r="F4109" i="1"/>
  <c r="F4820" i="1"/>
  <c r="F4072" i="1"/>
  <c r="F4831" i="1"/>
  <c r="F4126" i="1"/>
  <c r="F4082" i="1"/>
  <c r="F4073" i="1"/>
  <c r="F4074" i="1"/>
  <c r="F4075" i="1"/>
  <c r="F4076" i="1"/>
  <c r="F4077" i="1"/>
  <c r="F4078" i="1"/>
  <c r="F4079" i="1"/>
  <c r="F4188" i="1"/>
  <c r="F4845" i="1"/>
  <c r="F4218" i="1"/>
  <c r="F4190" i="1"/>
  <c r="F4219" i="1"/>
  <c r="F4220" i="1"/>
  <c r="F4187" i="1"/>
  <c r="F4222" i="1"/>
  <c r="F4223" i="1"/>
  <c r="F4224" i="1"/>
  <c r="F4225" i="1"/>
  <c r="F4226" i="1"/>
  <c r="F5614" i="1"/>
  <c r="F4191" i="1"/>
  <c r="F4192" i="1"/>
  <c r="F4228" i="1"/>
  <c r="F4229" i="1"/>
  <c r="F4230" i="1"/>
  <c r="F4231" i="1"/>
  <c r="F4232" i="1"/>
  <c r="F548" i="1"/>
  <c r="F4233" i="1"/>
  <c r="F4234" i="1"/>
  <c r="F4235" i="1"/>
  <c r="F4194" i="1"/>
  <c r="F4846" i="1"/>
  <c r="F4213" i="1"/>
  <c r="F4215" i="1"/>
  <c r="F4195" i="1"/>
  <c r="F4183" i="1"/>
  <c r="F4185" i="1"/>
  <c r="F4186" i="1"/>
  <c r="F4214" i="1"/>
  <c r="F4182" i="1"/>
  <c r="F4338" i="1"/>
  <c r="F4189" i="1"/>
  <c r="F4103" i="1"/>
  <c r="F4850" i="1"/>
  <c r="F4169" i="1"/>
  <c r="F4217" i="1"/>
  <c r="F4834" i="1"/>
  <c r="F4216" i="1"/>
  <c r="F4221" i="1"/>
  <c r="F3850" i="1"/>
  <c r="F4227" i="1"/>
  <c r="F3927" i="1"/>
  <c r="F3925" i="1"/>
  <c r="F3926" i="1"/>
  <c r="F4851" i="1"/>
  <c r="F422" i="1"/>
  <c r="F5633" i="1"/>
  <c r="F4237" i="1"/>
  <c r="F4238" i="1"/>
  <c r="F4240" i="1"/>
  <c r="F4241" i="1"/>
  <c r="F4239" i="1"/>
  <c r="F4193" i="1"/>
  <c r="F4245" i="1"/>
  <c r="F4243" i="1"/>
  <c r="F4244" i="1"/>
  <c r="F4242" i="1"/>
  <c r="F4246" i="1"/>
  <c r="F4250" i="1"/>
  <c r="F4248" i="1"/>
  <c r="F4249" i="1"/>
  <c r="F4252" i="1"/>
  <c r="F4253" i="1"/>
  <c r="F4255" i="1"/>
  <c r="F4254" i="1"/>
  <c r="F4258" i="1"/>
  <c r="F4259" i="1"/>
  <c r="F5642" i="1"/>
  <c r="F4334" i="1"/>
  <c r="F4377" i="1"/>
  <c r="F4352" i="1"/>
  <c r="F4353" i="1"/>
  <c r="F4354" i="1"/>
  <c r="F4355" i="1"/>
  <c r="F4356" i="1"/>
  <c r="F4357" i="1"/>
  <c r="F4346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48" i="1"/>
  <c r="F4349" i="1"/>
  <c r="F4350" i="1"/>
  <c r="F4351" i="1"/>
  <c r="F4347" i="1"/>
  <c r="F4358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520" i="1"/>
  <c r="F4521" i="1"/>
  <c r="F4525" i="1"/>
  <c r="F4522" i="1"/>
  <c r="F4483" i="1"/>
  <c r="F4523" i="1"/>
  <c r="F4524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7" i="1"/>
  <c r="F4528" i="1"/>
  <c r="F4529" i="1"/>
  <c r="F4532" i="1"/>
  <c r="F4533" i="1"/>
  <c r="F4531" i="1"/>
  <c r="F4530" i="1"/>
  <c r="F4534" i="1"/>
  <c r="F4535" i="1"/>
  <c r="F4536" i="1"/>
  <c r="F4537" i="1"/>
  <c r="F4538" i="1"/>
  <c r="F4539" i="1"/>
  <c r="F4540" i="1"/>
  <c r="F4541" i="1"/>
  <c r="F4542" i="1"/>
  <c r="F4543" i="1"/>
  <c r="F4544" i="1"/>
  <c r="F4551" i="1"/>
  <c r="F4607" i="1"/>
  <c r="F4552" i="1"/>
  <c r="F4553" i="1"/>
  <c r="F4554" i="1"/>
  <c r="F4555" i="1"/>
  <c r="F4556" i="1"/>
  <c r="F4614" i="1"/>
  <c r="F4557" i="1"/>
  <c r="F4558" i="1"/>
  <c r="F4559" i="1"/>
  <c r="F4615" i="1"/>
  <c r="F4608" i="1"/>
  <c r="F4603" i="1"/>
  <c r="F4621" i="1"/>
  <c r="F4609" i="1"/>
  <c r="F4560" i="1"/>
  <c r="F4610" i="1"/>
  <c r="F4597" i="1"/>
  <c r="F4617" i="1"/>
  <c r="F4616" i="1"/>
  <c r="F4561" i="1"/>
  <c r="F4618" i="1"/>
  <c r="F4562" i="1"/>
  <c r="F4563" i="1"/>
  <c r="F4564" i="1"/>
  <c r="F4565" i="1"/>
  <c r="F4611" i="1"/>
  <c r="F4612" i="1"/>
  <c r="F4566" i="1"/>
  <c r="F4567" i="1"/>
  <c r="F4569" i="1"/>
  <c r="F4622" i="1"/>
  <c r="F4547" i="1"/>
  <c r="F4619" i="1"/>
  <c r="F4620" i="1"/>
  <c r="F4570" i="1"/>
  <c r="F4571" i="1"/>
  <c r="F4572" i="1"/>
  <c r="F4573" i="1"/>
  <c r="F4574" i="1"/>
  <c r="F4575" i="1"/>
  <c r="F4576" i="1"/>
  <c r="F4598" i="1"/>
  <c r="F4604" i="1"/>
  <c r="F4577" i="1"/>
  <c r="F4578" i="1"/>
  <c r="F4579" i="1"/>
  <c r="F4605" i="1"/>
  <c r="F4580" i="1"/>
  <c r="F4581" i="1"/>
  <c r="F4582" i="1"/>
  <c r="F4583" i="1"/>
  <c r="F4584" i="1"/>
  <c r="F4548" i="1"/>
  <c r="F4549" i="1"/>
  <c r="F4599" i="1"/>
  <c r="F4600" i="1"/>
  <c r="F4601" i="1"/>
  <c r="F4602" i="1"/>
  <c r="F4550" i="1"/>
  <c r="F4613" i="1"/>
  <c r="F4585" i="1"/>
  <c r="F4586" i="1"/>
  <c r="F4587" i="1"/>
  <c r="F4588" i="1"/>
  <c r="F4589" i="1"/>
  <c r="F4590" i="1"/>
  <c r="F4591" i="1"/>
  <c r="F4592" i="1"/>
  <c r="F4593" i="1"/>
  <c r="F4594" i="1"/>
  <c r="F4595" i="1"/>
  <c r="F4623" i="1"/>
  <c r="F4626" i="1"/>
  <c r="F4625" i="1"/>
  <c r="F4624" i="1"/>
  <c r="F4628" i="1"/>
  <c r="F4631" i="1"/>
  <c r="F4632" i="1"/>
  <c r="F4633" i="1"/>
  <c r="F4634" i="1"/>
  <c r="F4644" i="1"/>
  <c r="F4635" i="1"/>
  <c r="F4636" i="1"/>
  <c r="F4645" i="1"/>
  <c r="F4646" i="1"/>
  <c r="F4637" i="1"/>
  <c r="F4647" i="1"/>
  <c r="F4648" i="1"/>
  <c r="F4638" i="1"/>
  <c r="F4649" i="1"/>
  <c r="F4650" i="1"/>
  <c r="F4639" i="1"/>
  <c r="F4640" i="1"/>
  <c r="F4641" i="1"/>
  <c r="F4651" i="1"/>
  <c r="F4642" i="1"/>
  <c r="F4643" i="1"/>
  <c r="F4652" i="1"/>
  <c r="F4653" i="1"/>
  <c r="F4670" i="1"/>
  <c r="F4671" i="1"/>
  <c r="F4659" i="1"/>
  <c r="F4664" i="1"/>
  <c r="F4665" i="1"/>
  <c r="F4666" i="1"/>
  <c r="F4667" i="1"/>
  <c r="F4668" i="1"/>
  <c r="F4675" i="1"/>
  <c r="F4676" i="1"/>
  <c r="F4677" i="1"/>
  <c r="F4678" i="1"/>
  <c r="F4679" i="1"/>
  <c r="F4680" i="1"/>
  <c r="F4681" i="1"/>
  <c r="F4682" i="1"/>
  <c r="F4683" i="1"/>
  <c r="F4684" i="1"/>
  <c r="F4685" i="1"/>
  <c r="F4695" i="1"/>
  <c r="F4754" i="1"/>
  <c r="F4710" i="1"/>
  <c r="F4728" i="1"/>
  <c r="F4784" i="1"/>
  <c r="F4703" i="1"/>
  <c r="F4750" i="1"/>
  <c r="F4755" i="1"/>
  <c r="F4756" i="1"/>
  <c r="F4751" i="1"/>
  <c r="F4757" i="1"/>
  <c r="F4699" i="1"/>
  <c r="F4700" i="1"/>
  <c r="F4704" i="1"/>
  <c r="F4705" i="1"/>
  <c r="F4706" i="1"/>
  <c r="F4707" i="1"/>
  <c r="F4758" i="1"/>
  <c r="F4759" i="1"/>
  <c r="F4760" i="1"/>
  <c r="F4761" i="1"/>
  <c r="F4762" i="1"/>
  <c r="F4763" i="1"/>
  <c r="F4764" i="1"/>
  <c r="F4765" i="1"/>
  <c r="F4766" i="1"/>
  <c r="F4767" i="1"/>
  <c r="F4711" i="1"/>
  <c r="F4712" i="1"/>
  <c r="F4713" i="1"/>
  <c r="F4714" i="1"/>
  <c r="F4708" i="1"/>
  <c r="F4768" i="1"/>
  <c r="F4783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09" i="1"/>
  <c r="F4752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696" i="1"/>
  <c r="F4701" i="1"/>
  <c r="F4702" i="1"/>
  <c r="F4697" i="1"/>
  <c r="F4753" i="1"/>
  <c r="F4785" i="1"/>
  <c r="F4786" i="1"/>
  <c r="F4698" i="1"/>
  <c r="F4787" i="1"/>
  <c r="F4789" i="1"/>
  <c r="F4788" i="1"/>
  <c r="F4799" i="1"/>
  <c r="F4800" i="1"/>
  <c r="F4798" i="1"/>
  <c r="F4801" i="1"/>
  <c r="F4802" i="1"/>
  <c r="F4790" i="1"/>
  <c r="F4793" i="1"/>
  <c r="F4794" i="1"/>
  <c r="F4797" i="1"/>
  <c r="F4792" i="1"/>
  <c r="F4791" i="1"/>
  <c r="F4803" i="1"/>
  <c r="F4806" i="1"/>
  <c r="F4805" i="1"/>
  <c r="F4848" i="1"/>
  <c r="F4847" i="1"/>
  <c r="F4849" i="1"/>
  <c r="F4852" i="1"/>
  <c r="F4860" i="1"/>
  <c r="F4935" i="1"/>
  <c r="F4976" i="1"/>
  <c r="F4977" i="1"/>
  <c r="F4978" i="1"/>
  <c r="F5077" i="1"/>
  <c r="F4979" i="1"/>
  <c r="F4941" i="1"/>
  <c r="F4980" i="1"/>
  <c r="F4981" i="1"/>
  <c r="F4982" i="1"/>
  <c r="F4983" i="1"/>
  <c r="F4984" i="1"/>
  <c r="F4985" i="1"/>
  <c r="F4862" i="1"/>
  <c r="F5076" i="1"/>
  <c r="F5078" i="1"/>
  <c r="F4986" i="1"/>
  <c r="F4987" i="1"/>
  <c r="F4988" i="1"/>
  <c r="F5079" i="1"/>
  <c r="F5080" i="1"/>
  <c r="F5081" i="1"/>
  <c r="F5082" i="1"/>
  <c r="F5083" i="1"/>
  <c r="F4856" i="1"/>
  <c r="F5084" i="1"/>
  <c r="F4989" i="1"/>
  <c r="F4967" i="1"/>
  <c r="F5085" i="1"/>
  <c r="F5086" i="1"/>
  <c r="F4890" i="1"/>
  <c r="F4990" i="1"/>
  <c r="F5087" i="1"/>
  <c r="F4991" i="1"/>
  <c r="F4944" i="1"/>
  <c r="F5088" i="1"/>
  <c r="F4891" i="1"/>
  <c r="F5089" i="1"/>
  <c r="F4992" i="1"/>
  <c r="F4857" i="1"/>
  <c r="F4993" i="1"/>
  <c r="F4936" i="1"/>
  <c r="F4892" i="1"/>
  <c r="F5090" i="1"/>
  <c r="F4994" i="1"/>
  <c r="F5091" i="1"/>
  <c r="F5092" i="1"/>
  <c r="F5093" i="1"/>
  <c r="F4995" i="1"/>
  <c r="F4996" i="1"/>
  <c r="F4997" i="1"/>
  <c r="F4863" i="1"/>
  <c r="F5094" i="1"/>
  <c r="F4998" i="1"/>
  <c r="F5095" i="1"/>
  <c r="F5096" i="1"/>
  <c r="F5097" i="1"/>
  <c r="F4999" i="1"/>
  <c r="F4893" i="1"/>
  <c r="F5000" i="1"/>
  <c r="F5001" i="1"/>
  <c r="F5002" i="1"/>
  <c r="F4945" i="1"/>
  <c r="F4894" i="1"/>
  <c r="F4895" i="1"/>
  <c r="F4896" i="1"/>
  <c r="F4897" i="1"/>
  <c r="F4898" i="1"/>
  <c r="F5098" i="1"/>
  <c r="F5099" i="1"/>
  <c r="F4968" i="1"/>
  <c r="F5003" i="1"/>
  <c r="F5004" i="1"/>
  <c r="F5005" i="1"/>
  <c r="F5006" i="1"/>
  <c r="F4864" i="1"/>
  <c r="F5100" i="1"/>
  <c r="F5007" i="1"/>
  <c r="F5008" i="1"/>
  <c r="F5101" i="1"/>
  <c r="F5009" i="1"/>
  <c r="F5010" i="1"/>
  <c r="F5102" i="1"/>
  <c r="F5103" i="1"/>
  <c r="F5104" i="1"/>
  <c r="F5105" i="1"/>
  <c r="F5106" i="1"/>
  <c r="F5107" i="1"/>
  <c r="F5108" i="1"/>
  <c r="F5011" i="1"/>
  <c r="F5156" i="1"/>
  <c r="F5109" i="1"/>
  <c r="F5157" i="1"/>
  <c r="F5158" i="1"/>
  <c r="F5110" i="1"/>
  <c r="F5111" i="1"/>
  <c r="F5159" i="1"/>
  <c r="F5112" i="1"/>
  <c r="F4899" i="1"/>
  <c r="F5012" i="1"/>
  <c r="F5013" i="1"/>
  <c r="F5113" i="1"/>
  <c r="F5014" i="1"/>
  <c r="F5015" i="1"/>
  <c r="F5016" i="1"/>
  <c r="F4865" i="1"/>
  <c r="F5017" i="1"/>
  <c r="F5018" i="1"/>
  <c r="F5019" i="1"/>
  <c r="F5020" i="1"/>
  <c r="F4866" i="1"/>
  <c r="F5021" i="1"/>
  <c r="F4900" i="1"/>
  <c r="F5022" i="1"/>
  <c r="F5023" i="1"/>
  <c r="F5114" i="1"/>
  <c r="F5024" i="1"/>
  <c r="F5025" i="1"/>
  <c r="F5026" i="1"/>
  <c r="F5115" i="1"/>
  <c r="F5027" i="1"/>
  <c r="F4867" i="1"/>
  <c r="F5028" i="1"/>
  <c r="F5116" i="1"/>
  <c r="F4868" i="1"/>
  <c r="F5029" i="1"/>
  <c r="F4858" i="1"/>
  <c r="F4901" i="1"/>
  <c r="F4902" i="1"/>
  <c r="F4903" i="1"/>
  <c r="F4904" i="1"/>
  <c r="F4869" i="1"/>
  <c r="F5030" i="1"/>
  <c r="F5031" i="1"/>
  <c r="F5032" i="1"/>
  <c r="F5033" i="1"/>
  <c r="F5117" i="1"/>
  <c r="F5118" i="1"/>
  <c r="F5119" i="1"/>
  <c r="F4870" i="1"/>
  <c r="F5034" i="1"/>
  <c r="F5035" i="1"/>
  <c r="F5120" i="1"/>
  <c r="F5036" i="1"/>
  <c r="F5037" i="1"/>
  <c r="F4871" i="1"/>
  <c r="F5038" i="1"/>
  <c r="F4872" i="1"/>
  <c r="F5039" i="1"/>
  <c r="F4946" i="1"/>
  <c r="F5121" i="1"/>
  <c r="F5040" i="1"/>
  <c r="F5041" i="1"/>
  <c r="F4905" i="1"/>
  <c r="F4873" i="1"/>
  <c r="F4874" i="1"/>
  <c r="F4906" i="1"/>
  <c r="F4947" i="1"/>
  <c r="F5167" i="1"/>
  <c r="F5122" i="1"/>
  <c r="F5042" i="1"/>
  <c r="F4907" i="1"/>
  <c r="F5043" i="1"/>
  <c r="F5123" i="1"/>
  <c r="F5044" i="1"/>
  <c r="F5168" i="1"/>
  <c r="F4875" i="1"/>
  <c r="F4908" i="1"/>
  <c r="F5045" i="1"/>
  <c r="F5046" i="1"/>
  <c r="F4909" i="1"/>
  <c r="F4948" i="1"/>
  <c r="F4876" i="1"/>
  <c r="F5047" i="1"/>
  <c r="F5124" i="1"/>
  <c r="F5125" i="1"/>
  <c r="F5171" i="1"/>
  <c r="F5126" i="1"/>
  <c r="F5127" i="1"/>
  <c r="F5128" i="1"/>
  <c r="F5048" i="1"/>
  <c r="F4910" i="1"/>
  <c r="F4911" i="1"/>
  <c r="F5049" i="1"/>
  <c r="F5160" i="1"/>
  <c r="F5050" i="1"/>
  <c r="F5129" i="1"/>
  <c r="F5130" i="1"/>
  <c r="F4949" i="1"/>
  <c r="F5051" i="1"/>
  <c r="F5131" i="1"/>
  <c r="F4954" i="1"/>
  <c r="F4950" i="1"/>
  <c r="F4912" i="1"/>
  <c r="F5132" i="1"/>
  <c r="F5052" i="1"/>
  <c r="F4859" i="1"/>
  <c r="F5133" i="1"/>
  <c r="F5053" i="1"/>
  <c r="F5134" i="1"/>
  <c r="F5135" i="1"/>
  <c r="F4951" i="1"/>
  <c r="F4853" i="1"/>
  <c r="F5161" i="1"/>
  <c r="F4913" i="1"/>
  <c r="F5136" i="1"/>
  <c r="F5137" i="1"/>
  <c r="F5138" i="1"/>
  <c r="F5054" i="1"/>
  <c r="F5055" i="1"/>
  <c r="F5056" i="1"/>
  <c r="F5172" i="1"/>
  <c r="F5057" i="1"/>
  <c r="F5058" i="1"/>
  <c r="F5059" i="1"/>
  <c r="F5060" i="1"/>
  <c r="F5061" i="1"/>
  <c r="F5062" i="1"/>
  <c r="F5063" i="1"/>
  <c r="F5064" i="1"/>
  <c r="F5065" i="1"/>
  <c r="F5066" i="1"/>
  <c r="F4877" i="1"/>
  <c r="F5139" i="1"/>
  <c r="F5067" i="1"/>
  <c r="F4914" i="1"/>
  <c r="F4962" i="1"/>
  <c r="F4878" i="1"/>
  <c r="F4963" i="1"/>
  <c r="F4964" i="1"/>
  <c r="F4952" i="1"/>
  <c r="F4915" i="1"/>
  <c r="F4953" i="1"/>
  <c r="F4955" i="1"/>
  <c r="F4956" i="1"/>
  <c r="F4957" i="1"/>
  <c r="F4916" i="1"/>
  <c r="F4917" i="1"/>
  <c r="F4879" i="1"/>
  <c r="F5173" i="1"/>
  <c r="F4918" i="1"/>
  <c r="F4969" i="1"/>
  <c r="F5170" i="1"/>
  <c r="F5162" i="1"/>
  <c r="F4854" i="1"/>
  <c r="F5163" i="1"/>
  <c r="F4880" i="1"/>
  <c r="F4881" i="1"/>
  <c r="F4939" i="1"/>
  <c r="F4882" i="1"/>
  <c r="F4919" i="1"/>
  <c r="F4920" i="1"/>
  <c r="F5174" i="1"/>
  <c r="F5164" i="1"/>
  <c r="F4942" i="1"/>
  <c r="F5165" i="1"/>
  <c r="F4921" i="1"/>
  <c r="F4973" i="1"/>
  <c r="F4972" i="1"/>
  <c r="F5140" i="1"/>
  <c r="F4861" i="1"/>
  <c r="F4922" i="1"/>
  <c r="F5068" i="1"/>
  <c r="F4938" i="1"/>
  <c r="F4974" i="1"/>
  <c r="F4937" i="1"/>
  <c r="F4975" i="1"/>
  <c r="F4923" i="1"/>
  <c r="F5069" i="1"/>
  <c r="F5070" i="1"/>
  <c r="F5141" i="1"/>
  <c r="F4883" i="1"/>
  <c r="F4924" i="1"/>
  <c r="F4925" i="1"/>
  <c r="F4926" i="1"/>
  <c r="F5071" i="1"/>
  <c r="F4943" i="1"/>
  <c r="F4940" i="1"/>
  <c r="F5166" i="1"/>
  <c r="F5142" i="1"/>
  <c r="F4958" i="1"/>
  <c r="F5143" i="1"/>
  <c r="F5144" i="1"/>
  <c r="F5145" i="1"/>
  <c r="F4970" i="1"/>
  <c r="F4927" i="1"/>
  <c r="F4928" i="1"/>
  <c r="F4929" i="1"/>
  <c r="F4930" i="1"/>
  <c r="F4931" i="1"/>
  <c r="F4932" i="1"/>
  <c r="F4965" i="1"/>
  <c r="F4933" i="1"/>
  <c r="F5072" i="1"/>
  <c r="F5073" i="1"/>
  <c r="F5074" i="1"/>
  <c r="F5146" i="1"/>
  <c r="F5147" i="1"/>
  <c r="F5148" i="1"/>
  <c r="F5149" i="1"/>
  <c r="F4971" i="1"/>
  <c r="F5150" i="1"/>
  <c r="F5151" i="1"/>
  <c r="F5152" i="1"/>
  <c r="F4966" i="1"/>
  <c r="F5153" i="1"/>
  <c r="F4934" i="1"/>
  <c r="F5169" i="1"/>
  <c r="F5075" i="1"/>
  <c r="F4959" i="1"/>
  <c r="F4960" i="1"/>
  <c r="F4961" i="1"/>
  <c r="F4884" i="1"/>
  <c r="F4889" i="1"/>
  <c r="F4855" i="1"/>
  <c r="F4885" i="1"/>
  <c r="F5154" i="1"/>
  <c r="F4886" i="1"/>
  <c r="F4887" i="1"/>
  <c r="F4888" i="1"/>
  <c r="F4804" i="1"/>
  <c r="F5155" i="1"/>
  <c r="F5176" i="1"/>
  <c r="F5194" i="1"/>
  <c r="F5179" i="1"/>
  <c r="F5184" i="1"/>
  <c r="F5195" i="1"/>
  <c r="F5189" i="1"/>
  <c r="F5180" i="1"/>
  <c r="F5187" i="1"/>
  <c r="F5188" i="1"/>
  <c r="F5190" i="1"/>
  <c r="F5175" i="1"/>
  <c r="F5185" i="1"/>
  <c r="F5181" i="1"/>
  <c r="F5182" i="1"/>
  <c r="F5183" i="1"/>
  <c r="F5177" i="1"/>
  <c r="F5186" i="1"/>
  <c r="F5178" i="1"/>
  <c r="F5191" i="1"/>
  <c r="F5192" i="1"/>
  <c r="F5193" i="1"/>
  <c r="F5197" i="1"/>
  <c r="F5198" i="1"/>
  <c r="F5199" i="1"/>
  <c r="F5200" i="1"/>
  <c r="F5205" i="1"/>
  <c r="F5206" i="1"/>
  <c r="F5208" i="1"/>
  <c r="F5207" i="1"/>
  <c r="F5210" i="1"/>
  <c r="F5211" i="1"/>
  <c r="F5212" i="1"/>
  <c r="F5214" i="1"/>
  <c r="F5215" i="1"/>
  <c r="F5216" i="1"/>
  <c r="F5217" i="1"/>
  <c r="F5219" i="1"/>
  <c r="F5220" i="1"/>
  <c r="F5221" i="1"/>
  <c r="F5222" i="1"/>
  <c r="F5218" i="1"/>
  <c r="F5228" i="1"/>
  <c r="F5230" i="1"/>
  <c r="F5231" i="1"/>
  <c r="F5232" i="1"/>
  <c r="F5234" i="1"/>
  <c r="F5239" i="1"/>
  <c r="F5240" i="1"/>
  <c r="F5241" i="1"/>
  <c r="F5242" i="1"/>
  <c r="F4686" i="1"/>
  <c r="F4687" i="1"/>
  <c r="F4688" i="1"/>
  <c r="F4689" i="1"/>
  <c r="F4690" i="1"/>
  <c r="F4691" i="1"/>
  <c r="F4692" i="1"/>
  <c r="F4693" i="1"/>
  <c r="F4694" i="1"/>
  <c r="F4674" i="1"/>
  <c r="F5246" i="1"/>
  <c r="F5267" i="1"/>
  <c r="F5247" i="1"/>
  <c r="F5248" i="1"/>
  <c r="F5249" i="1"/>
  <c r="F5250" i="1"/>
  <c r="F5268" i="1"/>
  <c r="F5251" i="1"/>
  <c r="F5275" i="1"/>
  <c r="F5252" i="1"/>
  <c r="F5253" i="1"/>
  <c r="F5254" i="1"/>
  <c r="F5255" i="1"/>
  <c r="F5256" i="1"/>
  <c r="F5257" i="1"/>
  <c r="F5258" i="1"/>
  <c r="F5259" i="1"/>
  <c r="F5269" i="1"/>
  <c r="F5270" i="1"/>
  <c r="F5243" i="1"/>
  <c r="F5263" i="1"/>
  <c r="F5264" i="1"/>
  <c r="F5265" i="1"/>
  <c r="F5260" i="1"/>
  <c r="F5261" i="1"/>
  <c r="F5271" i="1"/>
  <c r="F5272" i="1"/>
  <c r="F5273" i="1"/>
  <c r="F5274" i="1"/>
  <c r="F5276" i="1"/>
  <c r="F5277" i="1"/>
  <c r="F5278" i="1"/>
  <c r="F5279" i="1"/>
  <c r="F5244" i="1"/>
  <c r="F5245" i="1"/>
  <c r="F5280" i="1"/>
  <c r="F5283" i="1"/>
  <c r="F5282" i="1"/>
  <c r="F5281" i="1"/>
  <c r="F5284" i="1"/>
  <c r="F5285" i="1"/>
  <c r="F5289" i="1"/>
  <c r="F5294" i="1"/>
  <c r="F5295" i="1"/>
  <c r="F5296" i="1"/>
  <c r="F5297" i="1"/>
  <c r="F5298" i="1"/>
  <c r="F5299" i="1"/>
  <c r="F5300" i="1"/>
  <c r="F5301" i="1"/>
  <c r="F5290" i="1"/>
  <c r="F5291" i="1"/>
  <c r="F3749" i="1"/>
  <c r="F5292" i="1"/>
  <c r="F5293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4" i="1"/>
  <c r="F5323" i="1"/>
  <c r="F5325" i="1"/>
  <c r="F5326" i="1"/>
  <c r="F5327" i="1"/>
  <c r="F5362" i="1"/>
  <c r="F5363" i="1"/>
  <c r="F5360" i="1"/>
  <c r="F5361" i="1"/>
  <c r="F5374" i="1"/>
  <c r="F5375" i="1"/>
  <c r="F5364" i="1"/>
  <c r="F5365" i="1"/>
  <c r="F5366" i="1"/>
  <c r="F5376" i="1"/>
  <c r="F5367" i="1"/>
  <c r="F5368" i="1"/>
  <c r="F5377" i="1"/>
  <c r="F5378" i="1"/>
  <c r="F5369" i="1"/>
  <c r="F5379" i="1"/>
  <c r="F5370" i="1"/>
  <c r="F5371" i="1"/>
  <c r="F5372" i="1"/>
  <c r="F5373" i="1"/>
  <c r="F5380" i="1"/>
  <c r="F5381" i="1"/>
  <c r="F5382" i="1"/>
  <c r="F5383" i="1"/>
  <c r="F5384" i="1"/>
  <c r="F5385" i="1"/>
  <c r="F5388" i="1"/>
  <c r="F5386" i="1"/>
  <c r="F5387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5" i="1"/>
  <c r="F5406" i="1"/>
  <c r="F5402" i="1"/>
  <c r="F5403" i="1"/>
  <c r="F5407" i="1"/>
  <c r="F5404" i="1"/>
  <c r="F5408" i="1"/>
  <c r="F5409" i="1"/>
  <c r="F5420" i="1"/>
  <c r="F5421" i="1"/>
  <c r="F5410" i="1"/>
  <c r="F5411" i="1"/>
  <c r="F5422" i="1"/>
  <c r="F5412" i="1"/>
  <c r="F5423" i="1"/>
  <c r="F5424" i="1"/>
  <c r="F5413" i="1"/>
  <c r="F5425" i="1"/>
  <c r="F5414" i="1"/>
  <c r="F5426" i="1"/>
  <c r="F5427" i="1"/>
  <c r="F5415" i="1"/>
  <c r="F5428" i="1"/>
  <c r="F5416" i="1"/>
  <c r="F5429" i="1"/>
  <c r="F5417" i="1"/>
  <c r="F5418" i="1"/>
  <c r="F5419" i="1"/>
  <c r="F5460" i="1"/>
  <c r="F5461" i="1"/>
  <c r="F5462" i="1"/>
  <c r="F5430" i="1"/>
  <c r="F5463" i="1"/>
  <c r="F5431" i="1"/>
  <c r="F5464" i="1"/>
  <c r="F5465" i="1"/>
  <c r="F5466" i="1"/>
  <c r="F5467" i="1"/>
  <c r="F5432" i="1"/>
  <c r="F5468" i="1"/>
  <c r="F5433" i="1"/>
  <c r="F5469" i="1"/>
  <c r="F5470" i="1"/>
  <c r="F5434" i="1"/>
  <c r="F5435" i="1"/>
  <c r="F5471" i="1"/>
  <c r="F5472" i="1"/>
  <c r="F5436" i="1"/>
  <c r="F5437" i="1"/>
  <c r="F5438" i="1"/>
  <c r="F5439" i="1"/>
  <c r="F5473" i="1"/>
  <c r="F5474" i="1"/>
  <c r="F5440" i="1"/>
  <c r="F5441" i="1"/>
  <c r="F5442" i="1"/>
  <c r="F5475" i="1"/>
  <c r="F5443" i="1"/>
  <c r="F5444" i="1"/>
  <c r="F5476" i="1"/>
  <c r="F5445" i="1"/>
  <c r="F5446" i="1"/>
  <c r="F5447" i="1"/>
  <c r="F5448" i="1"/>
  <c r="F5449" i="1"/>
  <c r="F5450" i="1"/>
  <c r="F5451" i="1"/>
  <c r="F5452" i="1"/>
  <c r="F5477" i="1"/>
  <c r="F5453" i="1"/>
  <c r="F5478" i="1"/>
  <c r="F5479" i="1"/>
  <c r="F5454" i="1"/>
  <c r="F5455" i="1"/>
  <c r="F5456" i="1"/>
  <c r="F5457" i="1"/>
  <c r="F5480" i="1"/>
  <c r="F5458" i="1"/>
  <c r="F5481" i="1"/>
  <c r="F5482" i="1"/>
  <c r="F5483" i="1"/>
  <c r="F5459" i="1"/>
  <c r="F5484" i="1"/>
  <c r="F5485" i="1"/>
  <c r="F5486" i="1"/>
  <c r="F5487" i="1"/>
  <c r="F5488" i="1"/>
  <c r="F5501" i="1"/>
  <c r="F5502" i="1"/>
  <c r="F5503" i="1"/>
  <c r="F5504" i="1"/>
  <c r="F5491" i="1"/>
  <c r="F5492" i="1"/>
  <c r="F5493" i="1"/>
  <c r="F5505" i="1"/>
  <c r="F5494" i="1"/>
  <c r="F5495" i="1"/>
  <c r="F5506" i="1"/>
  <c r="F5496" i="1"/>
  <c r="F5507" i="1"/>
  <c r="F5508" i="1"/>
  <c r="F5497" i="1"/>
  <c r="F5509" i="1"/>
  <c r="F5498" i="1"/>
  <c r="F5499" i="1"/>
  <c r="F5510" i="1"/>
  <c r="F5500" i="1"/>
  <c r="F5518" i="1"/>
  <c r="F5519" i="1"/>
  <c r="F5512" i="1"/>
  <c r="F5520" i="1"/>
  <c r="F5513" i="1"/>
  <c r="F5521" i="1"/>
  <c r="F5514" i="1"/>
  <c r="F5522" i="1"/>
  <c r="F5515" i="1"/>
  <c r="F5516" i="1"/>
  <c r="F5523" i="1"/>
  <c r="F5517" i="1"/>
  <c r="F5511" i="1"/>
  <c r="F5544" i="1"/>
  <c r="F5545" i="1"/>
  <c r="F5524" i="1"/>
  <c r="F5546" i="1"/>
  <c r="F5525" i="1"/>
  <c r="F5526" i="1"/>
  <c r="F5547" i="1"/>
  <c r="F5548" i="1"/>
  <c r="F5527" i="1"/>
  <c r="F5528" i="1"/>
  <c r="F5529" i="1"/>
  <c r="F5549" i="1"/>
  <c r="F5550" i="1"/>
  <c r="F5551" i="1"/>
  <c r="F5530" i="1"/>
  <c r="F5531" i="1"/>
  <c r="F5552" i="1"/>
  <c r="F5553" i="1"/>
  <c r="F5532" i="1"/>
  <c r="F5533" i="1"/>
  <c r="F5534" i="1"/>
  <c r="F5535" i="1"/>
  <c r="F5554" i="1"/>
  <c r="F5555" i="1"/>
  <c r="F5556" i="1"/>
  <c r="F5536" i="1"/>
  <c r="F5537" i="1"/>
  <c r="F5557" i="1"/>
  <c r="F5558" i="1"/>
  <c r="F5559" i="1"/>
  <c r="F5560" i="1"/>
  <c r="F5538" i="1"/>
  <c r="F5539" i="1"/>
  <c r="F5561" i="1"/>
  <c r="F5540" i="1"/>
  <c r="F5541" i="1"/>
  <c r="F5542" i="1"/>
  <c r="F5543" i="1"/>
  <c r="F5562" i="1"/>
  <c r="F5563" i="1"/>
  <c r="F5564" i="1"/>
  <c r="F5565" i="1"/>
  <c r="F5576" i="1"/>
  <c r="F5577" i="1"/>
  <c r="F5566" i="1"/>
  <c r="F5578" i="1"/>
  <c r="F5579" i="1"/>
  <c r="F5567" i="1"/>
  <c r="F5580" i="1"/>
  <c r="F5568" i="1"/>
  <c r="F5569" i="1"/>
  <c r="F5581" i="1"/>
  <c r="F5570" i="1"/>
  <c r="F5571" i="1"/>
  <c r="F5582" i="1"/>
  <c r="F5572" i="1"/>
  <c r="F5583" i="1"/>
  <c r="F5584" i="1"/>
  <c r="F5573" i="1"/>
  <c r="F5574" i="1"/>
  <c r="F5575" i="1"/>
  <c r="F5585" i="1"/>
  <c r="F5586" i="1"/>
  <c r="F5587" i="1"/>
  <c r="F5588" i="1"/>
  <c r="F5589" i="1"/>
  <c r="F5590" i="1"/>
  <c r="F5593" i="1"/>
  <c r="F5594" i="1"/>
  <c r="F5596" i="1"/>
  <c r="F5595" i="1"/>
  <c r="F5597" i="1"/>
  <c r="F5598" i="1"/>
  <c r="F5591" i="1"/>
  <c r="F5592" i="1"/>
  <c r="F5599" i="1"/>
  <c r="F5600" i="1"/>
  <c r="F5601" i="1"/>
  <c r="F5602" i="1"/>
  <c r="F5603" i="1"/>
  <c r="F5604" i="1"/>
  <c r="F5605" i="1"/>
  <c r="F5607" i="1"/>
  <c r="F5608" i="1"/>
  <c r="F5606" i="1"/>
  <c r="F5609" i="1"/>
  <c r="E4457" i="1"/>
  <c r="E4458" i="1"/>
  <c r="E3955" i="1"/>
  <c r="E3956" i="1"/>
  <c r="E3860" i="1"/>
  <c r="E3991" i="1"/>
  <c r="E3983" i="1"/>
  <c r="E3987" i="1"/>
  <c r="E5640" i="1"/>
  <c r="E3963" i="1"/>
  <c r="E3996" i="1"/>
  <c r="E4654" i="1"/>
  <c r="E3979" i="1"/>
  <c r="E3960" i="1"/>
  <c r="E3980" i="1"/>
  <c r="E3990" i="1"/>
  <c r="E3974" i="1"/>
  <c r="E3964" i="1"/>
  <c r="E3981" i="1"/>
  <c r="E3977" i="1"/>
  <c r="E3998" i="1"/>
  <c r="E3999" i="1"/>
  <c r="E3961" i="1"/>
  <c r="E4000" i="1"/>
  <c r="E4001" i="1"/>
  <c r="E4018" i="1"/>
  <c r="E4005" i="1"/>
  <c r="E4006" i="1"/>
  <c r="E4007" i="1"/>
  <c r="E4008" i="1"/>
  <c r="E4009" i="1"/>
  <c r="E4010" i="1"/>
  <c r="E4011" i="1"/>
  <c r="E4012" i="1"/>
  <c r="E4013" i="1"/>
  <c r="E4004" i="1"/>
  <c r="E4019" i="1"/>
  <c r="E4020" i="1"/>
  <c r="E4021" i="1"/>
  <c r="E4022" i="1"/>
  <c r="E4023" i="1"/>
  <c r="E4014" i="1"/>
  <c r="E4015" i="1"/>
  <c r="E4016" i="1"/>
  <c r="E4017" i="1"/>
  <c r="E3982" i="1"/>
  <c r="E4669" i="1"/>
  <c r="E4003" i="1"/>
  <c r="E4025" i="1"/>
  <c r="E4663" i="1"/>
  <c r="E4024" i="1"/>
  <c r="E4002" i="1"/>
  <c r="E2516" i="1"/>
  <c r="E4026" i="1"/>
  <c r="E4027" i="1"/>
  <c r="E4606" i="1"/>
  <c r="E4028" i="1"/>
  <c r="E1256" i="1"/>
  <c r="E2414" i="1"/>
  <c r="E4033" i="1"/>
  <c r="E4030" i="1"/>
  <c r="E4031" i="1"/>
  <c r="E4032" i="1"/>
  <c r="E4041" i="1"/>
  <c r="E2400" i="1"/>
  <c r="E5641" i="1"/>
  <c r="E4042" i="1"/>
  <c r="E4044" i="1"/>
  <c r="E4043" i="1"/>
  <c r="E4045" i="1"/>
  <c r="E4046" i="1"/>
  <c r="E4048" i="1"/>
  <c r="E4049" i="1"/>
  <c r="E4047" i="1"/>
  <c r="E4052" i="1"/>
  <c r="E4050" i="1"/>
  <c r="E4051" i="1"/>
  <c r="E4054" i="1"/>
  <c r="E4053" i="1"/>
  <c r="E4057" i="1"/>
  <c r="E4055" i="1"/>
  <c r="E4056" i="1"/>
  <c r="E4071" i="1"/>
  <c r="E4110" i="1"/>
  <c r="E4058" i="1"/>
  <c r="E4080" i="1"/>
  <c r="E4084" i="1"/>
  <c r="E436" i="1"/>
  <c r="E4101" i="1"/>
  <c r="E4060" i="1"/>
  <c r="E4061" i="1"/>
  <c r="E4062" i="1"/>
  <c r="E4063" i="1"/>
  <c r="E4064" i="1"/>
  <c r="E4065" i="1"/>
  <c r="E4066" i="1"/>
  <c r="E4067" i="1"/>
  <c r="E4068" i="1"/>
  <c r="E4069" i="1"/>
  <c r="E4070" i="1"/>
  <c r="E4083" i="1"/>
  <c r="E4059" i="1"/>
  <c r="E331" i="1"/>
  <c r="E4166" i="1"/>
  <c r="E4125" i="1"/>
  <c r="E4165" i="1"/>
  <c r="E4167" i="1"/>
  <c r="E4168" i="1"/>
  <c r="E4163" i="1"/>
  <c r="E4113" i="1"/>
  <c r="E4114" i="1"/>
  <c r="E4115" i="1"/>
  <c r="E4116" i="1"/>
  <c r="E4117" i="1"/>
  <c r="E4111" i="1"/>
  <c r="E4138" i="1"/>
  <c r="E4139" i="1"/>
  <c r="E4140" i="1"/>
  <c r="E4141" i="1"/>
  <c r="E4142" i="1"/>
  <c r="E4164" i="1"/>
  <c r="E4143" i="1"/>
  <c r="E4144" i="1"/>
  <c r="E4145" i="1"/>
  <c r="E4146" i="1"/>
  <c r="E4147" i="1"/>
  <c r="E4148" i="1"/>
  <c r="E4149" i="1"/>
  <c r="E4150" i="1"/>
  <c r="E4151" i="1"/>
  <c r="E4152" i="1"/>
  <c r="E4127" i="1"/>
  <c r="E4128" i="1"/>
  <c r="E4129" i="1"/>
  <c r="E4130" i="1"/>
  <c r="E4131" i="1"/>
  <c r="E4132" i="1"/>
  <c r="E4133" i="1"/>
  <c r="E4134" i="1"/>
  <c r="E4135" i="1"/>
  <c r="E3887" i="1"/>
  <c r="E4119" i="1"/>
  <c r="E4120" i="1"/>
  <c r="E4121" i="1"/>
  <c r="E4122" i="1"/>
  <c r="E4123" i="1"/>
  <c r="E4112" i="1"/>
  <c r="E4162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36" i="1"/>
  <c r="E4821" i="1"/>
  <c r="E4822" i="1"/>
  <c r="E4823" i="1"/>
  <c r="E4256" i="1"/>
  <c r="E4824" i="1"/>
  <c r="E4825" i="1"/>
  <c r="E4826" i="1"/>
  <c r="E4827" i="1"/>
  <c r="E4828" i="1"/>
  <c r="E4829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35" i="1"/>
  <c r="E4236" i="1"/>
  <c r="E4836" i="1"/>
  <c r="E4837" i="1"/>
  <c r="E4838" i="1"/>
  <c r="E4337" i="1"/>
  <c r="E4104" i="1"/>
  <c r="E4839" i="1"/>
  <c r="E4840" i="1"/>
  <c r="E4841" i="1"/>
  <c r="E4842" i="1"/>
  <c r="E4843" i="1"/>
  <c r="E4844" i="1"/>
  <c r="E4105" i="1"/>
  <c r="E4081" i="1"/>
  <c r="E4830" i="1"/>
  <c r="E4832" i="1"/>
  <c r="E4106" i="1"/>
  <c r="E4107" i="1"/>
  <c r="E4108" i="1"/>
  <c r="E4109" i="1"/>
  <c r="E4820" i="1"/>
  <c r="E4072" i="1"/>
  <c r="E4831" i="1"/>
  <c r="E4126" i="1"/>
  <c r="E4082" i="1"/>
  <c r="E4073" i="1"/>
  <c r="E4074" i="1"/>
  <c r="E4075" i="1"/>
  <c r="E4076" i="1"/>
  <c r="E4077" i="1"/>
  <c r="E4078" i="1"/>
  <c r="E4079" i="1"/>
  <c r="E4188" i="1"/>
  <c r="E4845" i="1"/>
  <c r="E4218" i="1"/>
  <c r="E4190" i="1"/>
  <c r="E4219" i="1"/>
  <c r="E4220" i="1"/>
  <c r="E4187" i="1"/>
  <c r="E4222" i="1"/>
  <c r="E4223" i="1"/>
  <c r="E4224" i="1"/>
  <c r="E4225" i="1"/>
  <c r="E4226" i="1"/>
  <c r="E5614" i="1"/>
  <c r="E4191" i="1"/>
  <c r="E4192" i="1"/>
  <c r="E4228" i="1"/>
  <c r="E4229" i="1"/>
  <c r="E4230" i="1"/>
  <c r="E4231" i="1"/>
  <c r="E4232" i="1"/>
  <c r="E548" i="1"/>
  <c r="E4233" i="1"/>
  <c r="E4234" i="1"/>
  <c r="E4235" i="1"/>
  <c r="E4194" i="1"/>
  <c r="E4846" i="1"/>
  <c r="E4213" i="1"/>
  <c r="E4215" i="1"/>
  <c r="E4195" i="1"/>
  <c r="E4183" i="1"/>
  <c r="E4185" i="1"/>
  <c r="E4186" i="1"/>
  <c r="E4214" i="1"/>
  <c r="E4182" i="1"/>
  <c r="E4338" i="1"/>
  <c r="E4189" i="1"/>
  <c r="E4103" i="1"/>
  <c r="E4850" i="1"/>
  <c r="E4169" i="1"/>
  <c r="E4217" i="1"/>
  <c r="E4834" i="1"/>
  <c r="E4216" i="1"/>
  <c r="E4221" i="1"/>
  <c r="E3850" i="1"/>
  <c r="E4227" i="1"/>
  <c r="E3927" i="1"/>
  <c r="E3925" i="1"/>
  <c r="E3926" i="1"/>
  <c r="E4851" i="1"/>
  <c r="E422" i="1"/>
  <c r="E5633" i="1"/>
  <c r="E4237" i="1"/>
  <c r="E4238" i="1"/>
  <c r="E4240" i="1"/>
  <c r="E4241" i="1"/>
  <c r="E4239" i="1"/>
  <c r="E4193" i="1"/>
  <c r="E4245" i="1"/>
  <c r="E4243" i="1"/>
  <c r="E4244" i="1"/>
  <c r="E4246" i="1"/>
  <c r="E4250" i="1"/>
  <c r="E4248" i="1"/>
  <c r="E4249" i="1"/>
  <c r="E4252" i="1"/>
  <c r="E4253" i="1"/>
  <c r="E4255" i="1"/>
  <c r="E4254" i="1"/>
  <c r="E4259" i="1"/>
  <c r="E5642" i="1"/>
  <c r="E4334" i="1"/>
  <c r="E4377" i="1"/>
  <c r="E4352" i="1"/>
  <c r="E4353" i="1"/>
  <c r="E4354" i="1"/>
  <c r="E4355" i="1"/>
  <c r="E4356" i="1"/>
  <c r="E4357" i="1"/>
  <c r="E4346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48" i="1"/>
  <c r="E4349" i="1"/>
  <c r="E4350" i="1"/>
  <c r="E4351" i="1"/>
  <c r="E4347" i="1"/>
  <c r="E4358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520" i="1"/>
  <c r="E4521" i="1"/>
  <c r="E4525" i="1"/>
  <c r="E4522" i="1"/>
  <c r="E4483" i="1"/>
  <c r="E4523" i="1"/>
  <c r="E4524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7" i="1"/>
  <c r="E4528" i="1"/>
  <c r="E4529" i="1"/>
  <c r="E4532" i="1"/>
  <c r="E4533" i="1"/>
  <c r="E4531" i="1"/>
  <c r="E4530" i="1"/>
  <c r="E4534" i="1"/>
  <c r="E4535" i="1"/>
  <c r="E4536" i="1"/>
  <c r="E4537" i="1"/>
  <c r="E4538" i="1"/>
  <c r="E4539" i="1"/>
  <c r="E4540" i="1"/>
  <c r="E4541" i="1"/>
  <c r="E4542" i="1"/>
  <c r="E4543" i="1"/>
  <c r="E4544" i="1"/>
  <c r="E4551" i="1"/>
  <c r="E4607" i="1"/>
  <c r="E4552" i="1"/>
  <c r="E4553" i="1"/>
  <c r="E4554" i="1"/>
  <c r="E4555" i="1"/>
  <c r="E4556" i="1"/>
  <c r="E4614" i="1"/>
  <c r="E4557" i="1"/>
  <c r="E4558" i="1"/>
  <c r="E4559" i="1"/>
  <c r="E4615" i="1"/>
  <c r="E4608" i="1"/>
  <c r="E4603" i="1"/>
  <c r="E4621" i="1"/>
  <c r="E4609" i="1"/>
  <c r="E4560" i="1"/>
  <c r="E4610" i="1"/>
  <c r="E4597" i="1"/>
  <c r="E4617" i="1"/>
  <c r="E4616" i="1"/>
  <c r="E4561" i="1"/>
  <c r="E4618" i="1"/>
  <c r="E4562" i="1"/>
  <c r="E4563" i="1"/>
  <c r="E4564" i="1"/>
  <c r="E4565" i="1"/>
  <c r="E4611" i="1"/>
  <c r="E4612" i="1"/>
  <c r="E4566" i="1"/>
  <c r="E4567" i="1"/>
  <c r="E4569" i="1"/>
  <c r="E4622" i="1"/>
  <c r="E4547" i="1"/>
  <c r="E4619" i="1"/>
  <c r="E4620" i="1"/>
  <c r="E4570" i="1"/>
  <c r="E4571" i="1"/>
  <c r="E4572" i="1"/>
  <c r="E4573" i="1"/>
  <c r="E4574" i="1"/>
  <c r="E4575" i="1"/>
  <c r="E4576" i="1"/>
  <c r="E4598" i="1"/>
  <c r="E4604" i="1"/>
  <c r="E4577" i="1"/>
  <c r="E4578" i="1"/>
  <c r="E4579" i="1"/>
  <c r="E4605" i="1"/>
  <c r="E4580" i="1"/>
  <c r="E4581" i="1"/>
  <c r="E4582" i="1"/>
  <c r="E4583" i="1"/>
  <c r="E4584" i="1"/>
  <c r="E4548" i="1"/>
  <c r="E4549" i="1"/>
  <c r="E4599" i="1"/>
  <c r="E4600" i="1"/>
  <c r="E4601" i="1"/>
  <c r="E4602" i="1"/>
  <c r="E4550" i="1"/>
  <c r="E4613" i="1"/>
  <c r="E4585" i="1"/>
  <c r="E4586" i="1"/>
  <c r="E4587" i="1"/>
  <c r="E4588" i="1"/>
  <c r="E4589" i="1"/>
  <c r="E4590" i="1"/>
  <c r="E4591" i="1"/>
  <c r="E4592" i="1"/>
  <c r="E4593" i="1"/>
  <c r="E4594" i="1"/>
  <c r="E4595" i="1"/>
  <c r="E4623" i="1"/>
  <c r="E4626" i="1"/>
  <c r="E4625" i="1"/>
  <c r="E4624" i="1"/>
  <c r="E4628" i="1"/>
  <c r="E4631" i="1"/>
  <c r="E4632" i="1"/>
  <c r="E4633" i="1"/>
  <c r="E4634" i="1"/>
  <c r="E4644" i="1"/>
  <c r="E4635" i="1"/>
  <c r="E4636" i="1"/>
  <c r="E4645" i="1"/>
  <c r="E4646" i="1"/>
  <c r="E4637" i="1"/>
  <c r="E4647" i="1"/>
  <c r="E4648" i="1"/>
  <c r="E4638" i="1"/>
  <c r="E4649" i="1"/>
  <c r="E4650" i="1"/>
  <c r="E4639" i="1"/>
  <c r="E4640" i="1"/>
  <c r="E4641" i="1"/>
  <c r="E4651" i="1"/>
  <c r="E4642" i="1"/>
  <c r="E4643" i="1"/>
  <c r="E4652" i="1"/>
  <c r="E4653" i="1"/>
  <c r="E4670" i="1"/>
  <c r="E4671" i="1"/>
  <c r="E4659" i="1"/>
  <c r="E4664" i="1"/>
  <c r="E4665" i="1"/>
  <c r="E4666" i="1"/>
  <c r="E4667" i="1"/>
  <c r="E4668" i="1"/>
  <c r="E4675" i="1"/>
  <c r="E4676" i="1"/>
  <c r="E4677" i="1"/>
  <c r="E4678" i="1"/>
  <c r="E4679" i="1"/>
  <c r="E4680" i="1"/>
  <c r="E4681" i="1"/>
  <c r="E4682" i="1"/>
  <c r="E4683" i="1"/>
  <c r="E4684" i="1"/>
  <c r="E4685" i="1"/>
  <c r="E4695" i="1"/>
  <c r="E4754" i="1"/>
  <c r="E4710" i="1"/>
  <c r="E4728" i="1"/>
  <c r="E4784" i="1"/>
  <c r="E4703" i="1"/>
  <c r="E4750" i="1"/>
  <c r="E4755" i="1"/>
  <c r="E4756" i="1"/>
  <c r="E4751" i="1"/>
  <c r="E4757" i="1"/>
  <c r="E4699" i="1"/>
  <c r="E4700" i="1"/>
  <c r="E4704" i="1"/>
  <c r="E4705" i="1"/>
  <c r="E4706" i="1"/>
  <c r="E4707" i="1"/>
  <c r="E4758" i="1"/>
  <c r="E4759" i="1"/>
  <c r="E4760" i="1"/>
  <c r="E4761" i="1"/>
  <c r="E4762" i="1"/>
  <c r="E4763" i="1"/>
  <c r="E4764" i="1"/>
  <c r="E4765" i="1"/>
  <c r="E4766" i="1"/>
  <c r="E4767" i="1"/>
  <c r="E4711" i="1"/>
  <c r="E4712" i="1"/>
  <c r="E4713" i="1"/>
  <c r="E4714" i="1"/>
  <c r="E4708" i="1"/>
  <c r="E4768" i="1"/>
  <c r="E4783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09" i="1"/>
  <c r="E4752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696" i="1"/>
  <c r="E4701" i="1"/>
  <c r="E4702" i="1"/>
  <c r="E4697" i="1"/>
  <c r="E4753" i="1"/>
  <c r="E4785" i="1"/>
  <c r="E4786" i="1"/>
  <c r="E4698" i="1"/>
  <c r="E4787" i="1"/>
  <c r="E4789" i="1"/>
  <c r="E4788" i="1"/>
  <c r="E4799" i="1"/>
  <c r="E4800" i="1"/>
  <c r="E4798" i="1"/>
  <c r="E4801" i="1"/>
  <c r="E4802" i="1"/>
  <c r="E4790" i="1"/>
  <c r="E4793" i="1"/>
  <c r="E4794" i="1"/>
  <c r="E4797" i="1"/>
  <c r="E4792" i="1"/>
  <c r="E4791" i="1"/>
  <c r="E4803" i="1"/>
  <c r="E4806" i="1"/>
  <c r="E4805" i="1"/>
  <c r="E4848" i="1"/>
  <c r="E4847" i="1"/>
  <c r="E4849" i="1"/>
  <c r="E4852" i="1"/>
  <c r="E4860" i="1"/>
  <c r="E4935" i="1"/>
  <c r="E4976" i="1"/>
  <c r="E4977" i="1"/>
  <c r="E4978" i="1"/>
  <c r="E5077" i="1"/>
  <c r="E4979" i="1"/>
  <c r="E4941" i="1"/>
  <c r="E4980" i="1"/>
  <c r="E4981" i="1"/>
  <c r="E4982" i="1"/>
  <c r="E4983" i="1"/>
  <c r="E4984" i="1"/>
  <c r="E4985" i="1"/>
  <c r="E4862" i="1"/>
  <c r="E5076" i="1"/>
  <c r="E5078" i="1"/>
  <c r="E4986" i="1"/>
  <c r="E4987" i="1"/>
  <c r="E4988" i="1"/>
  <c r="E5079" i="1"/>
  <c r="E5080" i="1"/>
  <c r="E5081" i="1"/>
  <c r="E5082" i="1"/>
  <c r="E5083" i="1"/>
  <c r="E4856" i="1"/>
  <c r="E5084" i="1"/>
  <c r="E4989" i="1"/>
  <c r="E4967" i="1"/>
  <c r="E5085" i="1"/>
  <c r="E5086" i="1"/>
  <c r="E4890" i="1"/>
  <c r="E4990" i="1"/>
  <c r="E5087" i="1"/>
  <c r="E4991" i="1"/>
  <c r="E4944" i="1"/>
  <c r="E5088" i="1"/>
  <c r="E4891" i="1"/>
  <c r="E5089" i="1"/>
  <c r="E4992" i="1"/>
  <c r="E4857" i="1"/>
  <c r="E4993" i="1"/>
  <c r="E4936" i="1"/>
  <c r="E4892" i="1"/>
  <c r="E5090" i="1"/>
  <c r="E4994" i="1"/>
  <c r="E5091" i="1"/>
  <c r="E5092" i="1"/>
  <c r="E5093" i="1"/>
  <c r="E4995" i="1"/>
  <c r="E4996" i="1"/>
  <c r="E4997" i="1"/>
  <c r="E4863" i="1"/>
  <c r="E5094" i="1"/>
  <c r="E4998" i="1"/>
  <c r="E5095" i="1"/>
  <c r="E5096" i="1"/>
  <c r="E5097" i="1"/>
  <c r="E4999" i="1"/>
  <c r="E4893" i="1"/>
  <c r="E5000" i="1"/>
  <c r="E5001" i="1"/>
  <c r="E5002" i="1"/>
  <c r="E4945" i="1"/>
  <c r="E4894" i="1"/>
  <c r="E4895" i="1"/>
  <c r="E4896" i="1"/>
  <c r="E4897" i="1"/>
  <c r="E4898" i="1"/>
  <c r="E5098" i="1"/>
  <c r="E5099" i="1"/>
  <c r="E4968" i="1"/>
  <c r="E5003" i="1"/>
  <c r="E5004" i="1"/>
  <c r="E5005" i="1"/>
  <c r="E5006" i="1"/>
  <c r="E4864" i="1"/>
  <c r="E5100" i="1"/>
  <c r="E5007" i="1"/>
  <c r="E5008" i="1"/>
  <c r="E5101" i="1"/>
  <c r="E5009" i="1"/>
  <c r="E5010" i="1"/>
  <c r="E5102" i="1"/>
  <c r="E5103" i="1"/>
  <c r="E5104" i="1"/>
  <c r="E5105" i="1"/>
  <c r="E5106" i="1"/>
  <c r="E5107" i="1"/>
  <c r="E5108" i="1"/>
  <c r="E5011" i="1"/>
  <c r="E5156" i="1"/>
  <c r="E5109" i="1"/>
  <c r="E5157" i="1"/>
  <c r="E5158" i="1"/>
  <c r="E5110" i="1"/>
  <c r="E5111" i="1"/>
  <c r="E5159" i="1"/>
  <c r="E5112" i="1"/>
  <c r="E4899" i="1"/>
  <c r="E5012" i="1"/>
  <c r="E5013" i="1"/>
  <c r="E5113" i="1"/>
  <c r="E5014" i="1"/>
  <c r="E5015" i="1"/>
  <c r="E5016" i="1"/>
  <c r="E4865" i="1"/>
  <c r="E5017" i="1"/>
  <c r="E5018" i="1"/>
  <c r="E5019" i="1"/>
  <c r="E5020" i="1"/>
  <c r="E4866" i="1"/>
  <c r="E5021" i="1"/>
  <c r="E4900" i="1"/>
  <c r="E5022" i="1"/>
  <c r="E5023" i="1"/>
  <c r="E5114" i="1"/>
  <c r="E5024" i="1"/>
  <c r="E5025" i="1"/>
  <c r="E5026" i="1"/>
  <c r="E5115" i="1"/>
  <c r="E5027" i="1"/>
  <c r="E4867" i="1"/>
  <c r="E5028" i="1"/>
  <c r="E5116" i="1"/>
  <c r="E4868" i="1"/>
  <c r="E5029" i="1"/>
  <c r="E4858" i="1"/>
  <c r="E4901" i="1"/>
  <c r="E4902" i="1"/>
  <c r="E4903" i="1"/>
  <c r="E4904" i="1"/>
  <c r="E4869" i="1"/>
  <c r="E5030" i="1"/>
  <c r="E5031" i="1"/>
  <c r="E5032" i="1"/>
  <c r="E5033" i="1"/>
  <c r="E5117" i="1"/>
  <c r="E5118" i="1"/>
  <c r="E5119" i="1"/>
  <c r="E4870" i="1"/>
  <c r="E5034" i="1"/>
  <c r="E5035" i="1"/>
  <c r="E5120" i="1"/>
  <c r="E5036" i="1"/>
  <c r="E5037" i="1"/>
  <c r="E4871" i="1"/>
  <c r="E5038" i="1"/>
  <c r="E4872" i="1"/>
  <c r="E5039" i="1"/>
  <c r="E4946" i="1"/>
  <c r="E5121" i="1"/>
  <c r="E5040" i="1"/>
  <c r="E5041" i="1"/>
  <c r="E4905" i="1"/>
  <c r="E4873" i="1"/>
  <c r="E4874" i="1"/>
  <c r="E4906" i="1"/>
  <c r="E4947" i="1"/>
  <c r="E5167" i="1"/>
  <c r="E5122" i="1"/>
  <c r="E5042" i="1"/>
  <c r="E4907" i="1"/>
  <c r="E5043" i="1"/>
  <c r="E5123" i="1"/>
  <c r="E5044" i="1"/>
  <c r="E5168" i="1"/>
  <c r="E4875" i="1"/>
  <c r="E4908" i="1"/>
  <c r="E5045" i="1"/>
  <c r="E5046" i="1"/>
  <c r="E4909" i="1"/>
  <c r="E4948" i="1"/>
  <c r="E4876" i="1"/>
  <c r="E5047" i="1"/>
  <c r="E5124" i="1"/>
  <c r="E5125" i="1"/>
  <c r="E5171" i="1"/>
  <c r="E5126" i="1"/>
  <c r="E5127" i="1"/>
  <c r="E5128" i="1"/>
  <c r="E5048" i="1"/>
  <c r="E4910" i="1"/>
  <c r="E4911" i="1"/>
  <c r="E5049" i="1"/>
  <c r="E5160" i="1"/>
  <c r="E5050" i="1"/>
  <c r="E5129" i="1"/>
  <c r="E5130" i="1"/>
  <c r="E4949" i="1"/>
  <c r="E5051" i="1"/>
  <c r="E5131" i="1"/>
  <c r="E4954" i="1"/>
  <c r="E4950" i="1"/>
  <c r="E4912" i="1"/>
  <c r="E5132" i="1"/>
  <c r="E5052" i="1"/>
  <c r="E4859" i="1"/>
  <c r="E5133" i="1"/>
  <c r="E5053" i="1"/>
  <c r="E5134" i="1"/>
  <c r="E5135" i="1"/>
  <c r="E4951" i="1"/>
  <c r="E4853" i="1"/>
  <c r="E5161" i="1"/>
  <c r="E4913" i="1"/>
  <c r="E5136" i="1"/>
  <c r="E5137" i="1"/>
  <c r="E5138" i="1"/>
  <c r="E5054" i="1"/>
  <c r="E5055" i="1"/>
  <c r="E5056" i="1"/>
  <c r="E5172" i="1"/>
  <c r="E5057" i="1"/>
  <c r="E5058" i="1"/>
  <c r="E5059" i="1"/>
  <c r="E5060" i="1"/>
  <c r="E5061" i="1"/>
  <c r="E5062" i="1"/>
  <c r="E5063" i="1"/>
  <c r="E5064" i="1"/>
  <c r="E5065" i="1"/>
  <c r="E5066" i="1"/>
  <c r="E4877" i="1"/>
  <c r="E5139" i="1"/>
  <c r="E5067" i="1"/>
  <c r="E4914" i="1"/>
  <c r="E4962" i="1"/>
  <c r="E4878" i="1"/>
  <c r="E4963" i="1"/>
  <c r="E4964" i="1"/>
  <c r="E4952" i="1"/>
  <c r="E4915" i="1"/>
  <c r="E4953" i="1"/>
  <c r="E4955" i="1"/>
  <c r="E4956" i="1"/>
  <c r="E4957" i="1"/>
  <c r="E4916" i="1"/>
  <c r="E4917" i="1"/>
  <c r="E4879" i="1"/>
  <c r="E5173" i="1"/>
  <c r="E4918" i="1"/>
  <c r="E4969" i="1"/>
  <c r="E5170" i="1"/>
  <c r="E5162" i="1"/>
  <c r="E4854" i="1"/>
  <c r="E5163" i="1"/>
  <c r="E4880" i="1"/>
  <c r="E4881" i="1"/>
  <c r="E4939" i="1"/>
  <c r="E4882" i="1"/>
  <c r="E4919" i="1"/>
  <c r="E4920" i="1"/>
  <c r="E5174" i="1"/>
  <c r="E5164" i="1"/>
  <c r="E4942" i="1"/>
  <c r="E5165" i="1"/>
  <c r="E4921" i="1"/>
  <c r="E4973" i="1"/>
  <c r="E4972" i="1"/>
  <c r="E5140" i="1"/>
  <c r="E4861" i="1"/>
  <c r="E4922" i="1"/>
  <c r="E5068" i="1"/>
  <c r="E4938" i="1"/>
  <c r="E4974" i="1"/>
  <c r="E4937" i="1"/>
  <c r="E4975" i="1"/>
  <c r="E4923" i="1"/>
  <c r="E5069" i="1"/>
  <c r="E5070" i="1"/>
  <c r="E5141" i="1"/>
  <c r="E4883" i="1"/>
  <c r="E4924" i="1"/>
  <c r="E4925" i="1"/>
  <c r="E4926" i="1"/>
  <c r="E5071" i="1"/>
  <c r="E4943" i="1"/>
  <c r="E4940" i="1"/>
  <c r="E5166" i="1"/>
  <c r="E5142" i="1"/>
  <c r="E4958" i="1"/>
  <c r="E5143" i="1"/>
  <c r="E5144" i="1"/>
  <c r="E5145" i="1"/>
  <c r="E4970" i="1"/>
  <c r="E4927" i="1"/>
  <c r="E4928" i="1"/>
  <c r="E4929" i="1"/>
  <c r="E4930" i="1"/>
  <c r="E4931" i="1"/>
  <c r="E4932" i="1"/>
  <c r="E4965" i="1"/>
  <c r="E4933" i="1"/>
  <c r="E5072" i="1"/>
  <c r="E5073" i="1"/>
  <c r="E5074" i="1"/>
  <c r="E5146" i="1"/>
  <c r="E5147" i="1"/>
  <c r="E5148" i="1"/>
  <c r="E5149" i="1"/>
  <c r="E4971" i="1"/>
  <c r="E5150" i="1"/>
  <c r="E5151" i="1"/>
  <c r="E5152" i="1"/>
  <c r="E4966" i="1"/>
  <c r="E5153" i="1"/>
  <c r="E4934" i="1"/>
  <c r="E5169" i="1"/>
  <c r="E5075" i="1"/>
  <c r="E4959" i="1"/>
  <c r="E4960" i="1"/>
  <c r="E4961" i="1"/>
  <c r="E4884" i="1"/>
  <c r="E4889" i="1"/>
  <c r="E4855" i="1"/>
  <c r="E4885" i="1"/>
  <c r="E5154" i="1"/>
  <c r="E4886" i="1"/>
  <c r="E4887" i="1"/>
  <c r="E4888" i="1"/>
  <c r="E4804" i="1"/>
  <c r="E5155" i="1"/>
  <c r="E5176" i="1"/>
  <c r="E5194" i="1"/>
  <c r="E5179" i="1"/>
  <c r="E5184" i="1"/>
  <c r="E5195" i="1"/>
  <c r="E5189" i="1"/>
  <c r="E5180" i="1"/>
  <c r="E5187" i="1"/>
  <c r="E5188" i="1"/>
  <c r="E5190" i="1"/>
  <c r="E5175" i="1"/>
  <c r="E5185" i="1"/>
  <c r="E5181" i="1"/>
  <c r="E5182" i="1"/>
  <c r="E5183" i="1"/>
  <c r="E5177" i="1"/>
  <c r="E5186" i="1"/>
  <c r="E5178" i="1"/>
  <c r="E5191" i="1"/>
  <c r="E5192" i="1"/>
  <c r="E5193" i="1"/>
  <c r="E5197" i="1"/>
  <c r="E5198" i="1"/>
  <c r="E5199" i="1"/>
  <c r="E5200" i="1"/>
  <c r="E5205" i="1"/>
  <c r="E5206" i="1"/>
  <c r="E5208" i="1"/>
  <c r="E5207" i="1"/>
  <c r="E5210" i="1"/>
  <c r="E5211" i="1"/>
  <c r="E5212" i="1"/>
  <c r="E5214" i="1"/>
  <c r="E5215" i="1"/>
  <c r="E5216" i="1"/>
  <c r="E5217" i="1"/>
  <c r="E5219" i="1"/>
  <c r="E5220" i="1"/>
  <c r="E5221" i="1"/>
  <c r="E5222" i="1"/>
  <c r="E5218" i="1"/>
  <c r="E5228" i="1"/>
  <c r="E5230" i="1"/>
  <c r="E5231" i="1"/>
  <c r="E5232" i="1"/>
  <c r="E5234" i="1"/>
  <c r="E5239" i="1"/>
  <c r="E5240" i="1"/>
  <c r="E5241" i="1"/>
  <c r="E5242" i="1"/>
  <c r="E4686" i="1"/>
  <c r="E4687" i="1"/>
  <c r="E4688" i="1"/>
  <c r="E4689" i="1"/>
  <c r="E4690" i="1"/>
  <c r="E4691" i="1"/>
  <c r="E4692" i="1"/>
  <c r="E4693" i="1"/>
  <c r="E4694" i="1"/>
  <c r="E4674" i="1"/>
  <c r="E5246" i="1"/>
  <c r="E5267" i="1"/>
  <c r="E5247" i="1"/>
  <c r="E5248" i="1"/>
  <c r="E5249" i="1"/>
  <c r="E5250" i="1"/>
  <c r="E5268" i="1"/>
  <c r="E5251" i="1"/>
  <c r="E5275" i="1"/>
  <c r="E5252" i="1"/>
  <c r="E5253" i="1"/>
  <c r="E5254" i="1"/>
  <c r="E5255" i="1"/>
  <c r="E5256" i="1"/>
  <c r="E5257" i="1"/>
  <c r="E5258" i="1"/>
  <c r="E5259" i="1"/>
  <c r="E5269" i="1"/>
  <c r="E5270" i="1"/>
  <c r="E5243" i="1"/>
  <c r="E5263" i="1"/>
  <c r="E5264" i="1"/>
  <c r="E5265" i="1"/>
  <c r="E5260" i="1"/>
  <c r="E5261" i="1"/>
  <c r="E5271" i="1"/>
  <c r="E5272" i="1"/>
  <c r="E5273" i="1"/>
  <c r="E5274" i="1"/>
  <c r="E5276" i="1"/>
  <c r="E5277" i="1"/>
  <c r="E5278" i="1"/>
  <c r="E5279" i="1"/>
  <c r="E5244" i="1"/>
  <c r="E5245" i="1"/>
  <c r="E5280" i="1"/>
  <c r="E5283" i="1"/>
  <c r="E5282" i="1"/>
  <c r="E5281" i="1"/>
  <c r="E5284" i="1"/>
  <c r="E5285" i="1"/>
  <c r="E5289" i="1"/>
  <c r="E5294" i="1"/>
  <c r="E5295" i="1"/>
  <c r="E5296" i="1"/>
  <c r="E5297" i="1"/>
  <c r="E5298" i="1"/>
  <c r="E5299" i="1"/>
  <c r="E5300" i="1"/>
  <c r="E5301" i="1"/>
  <c r="E5290" i="1"/>
  <c r="E5291" i="1"/>
  <c r="E3749" i="1"/>
  <c r="E5292" i="1"/>
  <c r="E5293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4" i="1"/>
  <c r="E5323" i="1"/>
  <c r="E5325" i="1"/>
  <c r="E5326" i="1"/>
  <c r="E5327" i="1"/>
  <c r="E5362" i="1"/>
  <c r="E5363" i="1"/>
  <c r="E5360" i="1"/>
  <c r="E5361" i="1"/>
  <c r="E5374" i="1"/>
  <c r="E5375" i="1"/>
  <c r="E5364" i="1"/>
  <c r="E5365" i="1"/>
  <c r="E5366" i="1"/>
  <c r="E5376" i="1"/>
  <c r="E5367" i="1"/>
  <c r="E5368" i="1"/>
  <c r="E5377" i="1"/>
  <c r="E5378" i="1"/>
  <c r="E5369" i="1"/>
  <c r="E5379" i="1"/>
  <c r="E5370" i="1"/>
  <c r="E5371" i="1"/>
  <c r="E5372" i="1"/>
  <c r="E5373" i="1"/>
  <c r="E5380" i="1"/>
  <c r="E5381" i="1"/>
  <c r="E5382" i="1"/>
  <c r="E5383" i="1"/>
  <c r="E5384" i="1"/>
  <c r="E5385" i="1"/>
  <c r="E5388" i="1"/>
  <c r="E5386" i="1"/>
  <c r="E5387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5" i="1"/>
  <c r="E5406" i="1"/>
  <c r="E5402" i="1"/>
  <c r="E5403" i="1"/>
  <c r="E5407" i="1"/>
  <c r="E5404" i="1"/>
  <c r="E5408" i="1"/>
  <c r="E5409" i="1"/>
  <c r="E5420" i="1"/>
  <c r="E5421" i="1"/>
  <c r="E5410" i="1"/>
  <c r="E5411" i="1"/>
  <c r="E5422" i="1"/>
  <c r="E5412" i="1"/>
  <c r="E5423" i="1"/>
  <c r="E5424" i="1"/>
  <c r="E5413" i="1"/>
  <c r="E5425" i="1"/>
  <c r="E5414" i="1"/>
  <c r="E5426" i="1"/>
  <c r="E5427" i="1"/>
  <c r="E5415" i="1"/>
  <c r="E5428" i="1"/>
  <c r="E5416" i="1"/>
  <c r="E5429" i="1"/>
  <c r="E5417" i="1"/>
  <c r="E5418" i="1"/>
  <c r="E5419" i="1"/>
  <c r="E5460" i="1"/>
  <c r="E5461" i="1"/>
  <c r="E5462" i="1"/>
  <c r="E5430" i="1"/>
  <c r="E5463" i="1"/>
  <c r="E5431" i="1"/>
  <c r="E5464" i="1"/>
  <c r="E5465" i="1"/>
  <c r="E5466" i="1"/>
  <c r="E5467" i="1"/>
  <c r="E5432" i="1"/>
  <c r="E5468" i="1"/>
  <c r="E5433" i="1"/>
  <c r="E5469" i="1"/>
  <c r="E5470" i="1"/>
  <c r="E5434" i="1"/>
  <c r="E5435" i="1"/>
  <c r="E5471" i="1"/>
  <c r="E5472" i="1"/>
  <c r="E5436" i="1"/>
  <c r="E5437" i="1"/>
  <c r="E5438" i="1"/>
  <c r="E5439" i="1"/>
  <c r="E5473" i="1"/>
  <c r="E5474" i="1"/>
  <c r="E5440" i="1"/>
  <c r="E5441" i="1"/>
  <c r="E5442" i="1"/>
  <c r="E5475" i="1"/>
  <c r="E5443" i="1"/>
  <c r="E5444" i="1"/>
  <c r="E5476" i="1"/>
  <c r="E5445" i="1"/>
  <c r="E5446" i="1"/>
  <c r="E5447" i="1"/>
  <c r="E5448" i="1"/>
  <c r="E5449" i="1"/>
  <c r="E5450" i="1"/>
  <c r="E5451" i="1"/>
  <c r="E5452" i="1"/>
  <c r="E5477" i="1"/>
  <c r="E5453" i="1"/>
  <c r="E5478" i="1"/>
  <c r="E5479" i="1"/>
  <c r="E5454" i="1"/>
  <c r="E5455" i="1"/>
  <c r="E5456" i="1"/>
  <c r="E5457" i="1"/>
  <c r="E5480" i="1"/>
  <c r="E5458" i="1"/>
  <c r="E5481" i="1"/>
  <c r="E5482" i="1"/>
  <c r="E5483" i="1"/>
  <c r="E5459" i="1"/>
  <c r="E5484" i="1"/>
  <c r="E5485" i="1"/>
  <c r="E5486" i="1"/>
  <c r="E5487" i="1"/>
  <c r="E5488" i="1"/>
  <c r="E5501" i="1"/>
  <c r="E5502" i="1"/>
  <c r="E5503" i="1"/>
  <c r="E5504" i="1"/>
  <c r="E5491" i="1"/>
  <c r="E5492" i="1"/>
  <c r="E5493" i="1"/>
  <c r="E5505" i="1"/>
  <c r="E5494" i="1"/>
  <c r="E5495" i="1"/>
  <c r="E5506" i="1"/>
  <c r="E5496" i="1"/>
  <c r="E5507" i="1"/>
  <c r="E5508" i="1"/>
  <c r="E5497" i="1"/>
  <c r="E5509" i="1"/>
  <c r="E5498" i="1"/>
  <c r="E5499" i="1"/>
  <c r="E5510" i="1"/>
  <c r="E5500" i="1"/>
  <c r="E5518" i="1"/>
  <c r="E5519" i="1"/>
  <c r="E5512" i="1"/>
  <c r="E5520" i="1"/>
  <c r="E5513" i="1"/>
  <c r="E5521" i="1"/>
  <c r="E5514" i="1"/>
  <c r="E5522" i="1"/>
  <c r="E5515" i="1"/>
  <c r="E5516" i="1"/>
  <c r="E5523" i="1"/>
  <c r="E5517" i="1"/>
  <c r="E5511" i="1"/>
  <c r="E5544" i="1"/>
  <c r="E5545" i="1"/>
  <c r="E5524" i="1"/>
  <c r="E5546" i="1"/>
  <c r="E5525" i="1"/>
  <c r="E5526" i="1"/>
  <c r="E5547" i="1"/>
  <c r="E5548" i="1"/>
  <c r="E5527" i="1"/>
  <c r="E5528" i="1"/>
  <c r="E5529" i="1"/>
  <c r="E5549" i="1"/>
  <c r="E5550" i="1"/>
  <c r="E5551" i="1"/>
  <c r="E5530" i="1"/>
  <c r="E5531" i="1"/>
  <c r="E5552" i="1"/>
  <c r="E5553" i="1"/>
  <c r="E5532" i="1"/>
  <c r="E5533" i="1"/>
  <c r="E5534" i="1"/>
  <c r="E5535" i="1"/>
  <c r="E5554" i="1"/>
  <c r="E5555" i="1"/>
  <c r="E5556" i="1"/>
  <c r="E5536" i="1"/>
  <c r="E5537" i="1"/>
  <c r="E5557" i="1"/>
  <c r="E5558" i="1"/>
  <c r="E5559" i="1"/>
  <c r="E5560" i="1"/>
  <c r="E5538" i="1"/>
  <c r="E5539" i="1"/>
  <c r="E5561" i="1"/>
  <c r="E5540" i="1"/>
  <c r="E5541" i="1"/>
  <c r="E5542" i="1"/>
  <c r="E5543" i="1"/>
  <c r="E5562" i="1"/>
  <c r="E5563" i="1"/>
  <c r="E5564" i="1"/>
  <c r="E5565" i="1"/>
  <c r="E5576" i="1"/>
  <c r="E5577" i="1"/>
  <c r="E5566" i="1"/>
  <c r="E5578" i="1"/>
  <c r="E5579" i="1"/>
  <c r="E5567" i="1"/>
  <c r="E5580" i="1"/>
  <c r="E5568" i="1"/>
  <c r="E5569" i="1"/>
  <c r="E5581" i="1"/>
  <c r="E5570" i="1"/>
  <c r="E5571" i="1"/>
  <c r="E5582" i="1"/>
  <c r="E5572" i="1"/>
  <c r="E5583" i="1"/>
  <c r="E5584" i="1"/>
  <c r="E5573" i="1"/>
  <c r="E5574" i="1"/>
  <c r="E5575" i="1"/>
  <c r="E5585" i="1"/>
  <c r="E5586" i="1"/>
  <c r="E5587" i="1"/>
  <c r="E5588" i="1"/>
  <c r="E5589" i="1"/>
  <c r="E5590" i="1"/>
  <c r="E5593" i="1"/>
  <c r="E5594" i="1"/>
  <c r="E5596" i="1"/>
  <c r="E5595" i="1"/>
  <c r="E5597" i="1"/>
  <c r="E5598" i="1"/>
  <c r="E5591" i="1"/>
  <c r="E5592" i="1"/>
  <c r="E5599" i="1"/>
  <c r="E5600" i="1"/>
  <c r="E5601" i="1"/>
  <c r="E5602" i="1"/>
  <c r="E5603" i="1"/>
  <c r="E5604" i="1"/>
  <c r="E5605" i="1"/>
  <c r="E5607" i="1"/>
  <c r="E5608" i="1"/>
  <c r="E5606" i="1"/>
  <c r="E5609" i="1"/>
  <c r="E3939" i="1"/>
  <c r="E3940" i="1"/>
  <c r="E3937" i="1"/>
  <c r="E3936" i="1"/>
  <c r="E3858" i="1"/>
  <c r="E3942" i="1"/>
  <c r="E3943" i="1"/>
  <c r="E3944" i="1"/>
  <c r="E3945" i="1"/>
  <c r="E3946" i="1"/>
  <c r="E2" i="1"/>
  <c r="E3701" i="1"/>
  <c r="E3" i="1"/>
  <c r="E4" i="1"/>
  <c r="E5" i="1"/>
  <c r="E6" i="1"/>
  <c r="E7" i="1"/>
  <c r="E8" i="1"/>
  <c r="E9" i="1"/>
  <c r="E10" i="1"/>
  <c r="E11" i="1"/>
  <c r="E12" i="1"/>
  <c r="E14" i="1"/>
  <c r="E15" i="1"/>
  <c r="E13" i="1"/>
  <c r="E4378" i="1"/>
  <c r="E5224" i="1"/>
  <c r="E16" i="1"/>
  <c r="E23" i="1"/>
  <c r="E20" i="1"/>
  <c r="E17" i="1"/>
  <c r="E18" i="1"/>
  <c r="E19" i="1"/>
  <c r="E21" i="1"/>
  <c r="E22" i="1"/>
  <c r="E24" i="1"/>
  <c r="E25" i="1"/>
  <c r="E26" i="1"/>
  <c r="E27" i="1"/>
  <c r="E28" i="1"/>
  <c r="E29" i="1"/>
  <c r="E31" i="1"/>
  <c r="E30" i="1"/>
  <c r="E478" i="1"/>
  <c r="E506" i="1"/>
  <c r="E5328" i="1"/>
  <c r="E90" i="1"/>
  <c r="E91" i="1"/>
  <c r="E5330" i="1"/>
  <c r="E508" i="1"/>
  <c r="E480" i="1"/>
  <c r="E2153" i="1"/>
  <c r="E92" i="1"/>
  <c r="E88" i="1"/>
  <c r="E481" i="1"/>
  <c r="E126" i="1"/>
  <c r="E482" i="1"/>
  <c r="E510" i="1"/>
  <c r="E127" i="1"/>
  <c r="E93" i="1"/>
  <c r="E128" i="1"/>
  <c r="E129" i="1"/>
  <c r="E130" i="1"/>
  <c r="E131" i="1"/>
  <c r="E132" i="1"/>
  <c r="E133" i="1"/>
  <c r="E94" i="1"/>
  <c r="E134" i="1"/>
  <c r="E5343" i="1"/>
  <c r="E65" i="1"/>
  <c r="E95" i="1"/>
  <c r="E135" i="1"/>
  <c r="E484" i="1"/>
  <c r="E581" i="1"/>
  <c r="E136" i="1"/>
  <c r="E137" i="1"/>
  <c r="E542" i="1"/>
  <c r="E43" i="1"/>
  <c r="E473" i="1"/>
  <c r="E543" i="1"/>
  <c r="E66" i="1"/>
  <c r="E96" i="1"/>
  <c r="E138" i="1"/>
  <c r="E5345" i="1"/>
  <c r="E139" i="1"/>
  <c r="E140" i="1"/>
  <c r="E34" i="1"/>
  <c r="E141" i="1"/>
  <c r="E142" i="1"/>
  <c r="E5333" i="1"/>
  <c r="E578" i="1"/>
  <c r="E98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419" i="1"/>
  <c r="E161" i="1"/>
  <c r="E162" i="1"/>
  <c r="E163" i="1"/>
  <c r="E164" i="1"/>
  <c r="E165" i="1"/>
  <c r="E166" i="1"/>
  <c r="E167" i="1"/>
  <c r="E168" i="1"/>
  <c r="E429" i="1"/>
  <c r="E1182" i="1"/>
  <c r="E486" i="1"/>
  <c r="E799" i="1"/>
  <c r="E169" i="1"/>
  <c r="E170" i="1"/>
  <c r="E171" i="1"/>
  <c r="E64" i="1"/>
  <c r="E99" i="1"/>
  <c r="E430" i="1"/>
  <c r="E3363" i="1"/>
  <c r="E334" i="1"/>
  <c r="E487" i="1"/>
  <c r="E544" i="1"/>
  <c r="E172" i="1"/>
  <c r="E173" i="1"/>
  <c r="E174" i="1"/>
  <c r="E175" i="1"/>
  <c r="E176" i="1"/>
  <c r="E177" i="1"/>
  <c r="E67" i="1"/>
  <c r="E545" i="1"/>
  <c r="E178" i="1"/>
  <c r="E179" i="1"/>
  <c r="E489" i="1"/>
  <c r="E420" i="1"/>
  <c r="E490" i="1"/>
  <c r="E180" i="1"/>
  <c r="E375" i="1"/>
  <c r="E181" i="1"/>
  <c r="E491" i="1"/>
  <c r="E512" i="1"/>
  <c r="E492" i="1"/>
  <c r="E100" i="1"/>
  <c r="E434" i="1"/>
  <c r="E376" i="1"/>
  <c r="E377" i="1"/>
  <c r="E378" i="1"/>
  <c r="E379" i="1"/>
  <c r="E380" i="1"/>
  <c r="E381" i="1"/>
  <c r="E182" i="1"/>
  <c r="E183" i="1"/>
  <c r="E4568" i="1"/>
  <c r="E184" i="1"/>
  <c r="E546" i="1"/>
  <c r="E185" i="1"/>
  <c r="E186" i="1"/>
  <c r="E187" i="1"/>
  <c r="E188" i="1"/>
  <c r="E189" i="1"/>
  <c r="E190" i="1"/>
  <c r="E414" i="1"/>
  <c r="E35" i="1"/>
  <c r="E191" i="1"/>
  <c r="E431" i="1"/>
  <c r="E428" i="1"/>
  <c r="E657" i="1"/>
  <c r="E101" i="1"/>
  <c r="E36" i="1"/>
  <c r="E37" i="1"/>
  <c r="E1755" i="1"/>
  <c r="E102" i="1"/>
  <c r="E382" i="1"/>
  <c r="E383" i="1"/>
  <c r="E513" i="1"/>
  <c r="E38" i="1"/>
  <c r="E335" i="1"/>
  <c r="E192" i="1"/>
  <c r="E193" i="1"/>
  <c r="E194" i="1"/>
  <c r="E195" i="1"/>
  <c r="E196" i="1"/>
  <c r="E197" i="1"/>
  <c r="E198" i="1"/>
  <c r="E199" i="1"/>
  <c r="E200" i="1"/>
  <c r="E325" i="1"/>
  <c r="E326" i="1"/>
  <c r="E3364" i="1"/>
  <c r="E73" i="1"/>
  <c r="E547" i="1"/>
  <c r="E493" i="1"/>
  <c r="E571" i="1"/>
  <c r="E247" i="1"/>
  <c r="E74" i="1"/>
  <c r="E68" i="1"/>
  <c r="E384" i="1"/>
  <c r="E386" i="1"/>
  <c r="E549" i="1"/>
  <c r="E336" i="1"/>
  <c r="E248" i="1"/>
  <c r="E249" i="1"/>
  <c r="E250" i="1"/>
  <c r="E251" i="1"/>
  <c r="E252" i="1"/>
  <c r="E253" i="1"/>
  <c r="E254" i="1"/>
  <c r="E255" i="1"/>
  <c r="E256" i="1"/>
  <c r="E75" i="1"/>
  <c r="E76" i="1"/>
  <c r="E77" i="1"/>
  <c r="E39" i="1"/>
  <c r="E257" i="1"/>
  <c r="E258" i="1"/>
  <c r="E259" i="1"/>
  <c r="E260" i="1"/>
  <c r="E261" i="1"/>
  <c r="E262" i="1"/>
  <c r="E40" i="1"/>
  <c r="E78" i="1"/>
  <c r="E263" i="1"/>
  <c r="E264" i="1"/>
  <c r="E265" i="1"/>
  <c r="E266" i="1"/>
  <c r="E103" i="1"/>
  <c r="E104" i="1"/>
  <c r="E70" i="1"/>
  <c r="E494" i="1"/>
  <c r="E268" i="1"/>
  <c r="E515" i="1"/>
  <c r="E269" i="1"/>
  <c r="E3219" i="1"/>
  <c r="E270" i="1"/>
  <c r="E271" i="1"/>
  <c r="E272" i="1"/>
  <c r="E273" i="1"/>
  <c r="E274" i="1"/>
  <c r="E275" i="1"/>
  <c r="E276" i="1"/>
  <c r="E421" i="1"/>
  <c r="E55" i="1"/>
  <c r="E435" i="1"/>
  <c r="E550" i="1"/>
  <c r="E106" i="1"/>
  <c r="E201" i="1"/>
  <c r="E202" i="1"/>
  <c r="E808" i="1"/>
  <c r="E894" i="1"/>
  <c r="E107" i="1"/>
  <c r="E1056" i="1"/>
  <c r="E2634" i="1"/>
  <c r="E108" i="1"/>
  <c r="E109" i="1"/>
  <c r="E110" i="1"/>
  <c r="E111" i="1"/>
  <c r="E112" i="1"/>
  <c r="E2008" i="1"/>
  <c r="E516" i="1"/>
  <c r="E849" i="1"/>
  <c r="E517" i="1"/>
  <c r="E518" i="1"/>
  <c r="E519" i="1"/>
  <c r="E520" i="1"/>
  <c r="E521" i="1"/>
  <c r="E769" i="1"/>
  <c r="E522" i="1"/>
  <c r="E523" i="1"/>
  <c r="E524" i="1"/>
  <c r="E525" i="1"/>
  <c r="E526" i="1"/>
  <c r="E527" i="1"/>
  <c r="E528" i="1"/>
  <c r="E529" i="1"/>
  <c r="E530" i="1"/>
  <c r="E531" i="1"/>
  <c r="E533" i="1"/>
  <c r="E534" i="1"/>
  <c r="E278" i="1"/>
  <c r="E279" i="1"/>
  <c r="E280" i="1"/>
  <c r="E281" i="1"/>
  <c r="E282" i="1"/>
  <c r="E423" i="1"/>
  <c r="E113" i="1"/>
  <c r="E437" i="1"/>
  <c r="E766" i="1"/>
  <c r="E125" i="1"/>
  <c r="E424" i="1"/>
  <c r="E4546" i="1"/>
  <c r="E535" i="1"/>
  <c r="E284" i="1"/>
  <c r="E285" i="1"/>
  <c r="E287" i="1"/>
  <c r="E288" i="1"/>
  <c r="E289" i="1"/>
  <c r="E290" i="1"/>
  <c r="E291" i="1"/>
  <c r="E634" i="1"/>
  <c r="E292" i="1"/>
  <c r="E294" i="1"/>
  <c r="E296" i="1"/>
  <c r="E297" i="1"/>
  <c r="E298" i="1"/>
  <c r="E299" i="1"/>
  <c r="E2338" i="1"/>
  <c r="E300" i="1"/>
  <c r="E305" i="1"/>
  <c r="E1034" i="1"/>
  <c r="E942" i="1"/>
  <c r="E311" i="1"/>
  <c r="E314" i="1"/>
  <c r="E1723" i="1"/>
  <c r="E4596" i="1"/>
  <c r="E319" i="1"/>
  <c r="E321" i="1"/>
  <c r="E323" i="1"/>
  <c r="E438" i="1"/>
  <c r="E388" i="1"/>
  <c r="E497" i="1"/>
  <c r="E1032" i="1"/>
  <c r="E573" i="1"/>
  <c r="E574" i="1"/>
  <c r="E575" i="1"/>
  <c r="E576" i="1"/>
  <c r="E577" i="1"/>
  <c r="E1307" i="1"/>
  <c r="E440" i="1"/>
  <c r="E498" i="1"/>
  <c r="E71" i="1"/>
  <c r="E72" i="1"/>
  <c r="E499" i="1"/>
  <c r="E536" i="1"/>
  <c r="E537" i="1"/>
  <c r="E538" i="1"/>
  <c r="E328" i="1"/>
  <c r="E329" i="1"/>
  <c r="E798" i="1"/>
  <c r="E2043" i="1"/>
  <c r="E80" i="1"/>
  <c r="E3429" i="1"/>
  <c r="E2693" i="1"/>
  <c r="E1547" i="1"/>
  <c r="E441" i="1"/>
  <c r="E2459" i="1"/>
  <c r="E1727" i="1"/>
  <c r="E1472" i="1"/>
  <c r="E580" i="1"/>
  <c r="E5347" i="1"/>
  <c r="E631" i="1"/>
  <c r="E633" i="1"/>
  <c r="E714" i="1"/>
  <c r="E1316" i="1"/>
  <c r="E1314" i="1"/>
  <c r="E442" i="1"/>
  <c r="E425" i="1"/>
  <c r="E415" i="1"/>
  <c r="E330" i="1"/>
  <c r="E3226" i="1"/>
  <c r="E3227" i="1"/>
  <c r="E123" i="1"/>
  <c r="E124" i="1"/>
  <c r="E115" i="1"/>
  <c r="E89" i="1"/>
  <c r="E2973" i="1"/>
  <c r="E81" i="1"/>
  <c r="E82" i="1"/>
  <c r="E83" i="1"/>
  <c r="E84" i="1"/>
  <c r="E41" i="1"/>
  <c r="E416" i="1"/>
  <c r="E624" i="1"/>
  <c r="E1725" i="1"/>
  <c r="E505" i="1"/>
  <c r="E3880" i="1"/>
  <c r="E333" i="1"/>
  <c r="E33" i="1"/>
  <c r="E44" i="1"/>
  <c r="E45" i="1"/>
  <c r="E46" i="1"/>
  <c r="E47" i="1"/>
  <c r="E48" i="1"/>
  <c r="E56" i="1"/>
  <c r="E57" i="1"/>
  <c r="E58" i="1"/>
  <c r="E59" i="1"/>
  <c r="E60" i="1"/>
  <c r="E61" i="1"/>
  <c r="E62" i="1"/>
  <c r="E63" i="1"/>
  <c r="E85" i="1"/>
  <c r="E86" i="1"/>
  <c r="E203" i="1"/>
  <c r="E204" i="1"/>
  <c r="E205" i="1"/>
  <c r="E206" i="1"/>
  <c r="E207" i="1"/>
  <c r="E208" i="1"/>
  <c r="E209" i="1"/>
  <c r="E210" i="1"/>
  <c r="E211" i="1"/>
  <c r="E389" i="1"/>
  <c r="E390" i="1"/>
  <c r="E391" i="1"/>
  <c r="E474" i="1"/>
  <c r="E475" i="1"/>
  <c r="E476" i="1"/>
  <c r="E477" i="1"/>
  <c r="E432" i="1"/>
  <c r="E448" i="1"/>
  <c r="E449" i="1"/>
  <c r="E539" i="1"/>
  <c r="E42" i="1"/>
  <c r="E87" i="1"/>
  <c r="E116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338" i="1"/>
  <c r="E339" i="1"/>
  <c r="E340" i="1"/>
  <c r="E341" i="1"/>
  <c r="E342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1927" i="1"/>
  <c r="E426" i="1"/>
  <c r="E427" i="1"/>
  <c r="E433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500" i="1"/>
  <c r="E501" i="1"/>
  <c r="E5348" i="1"/>
  <c r="E553" i="1"/>
  <c r="E554" i="1"/>
  <c r="E555" i="1"/>
  <c r="E239" i="1"/>
  <c r="E240" i="1"/>
  <c r="E241" i="1"/>
  <c r="E242" i="1"/>
  <c r="E243" i="1"/>
  <c r="E244" i="1"/>
  <c r="E245" i="1"/>
  <c r="E246" i="1"/>
  <c r="E502" i="1"/>
  <c r="E540" i="1"/>
  <c r="E503" i="1"/>
  <c r="E541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117" i="1"/>
  <c r="E118" i="1"/>
  <c r="E119" i="1"/>
  <c r="E120" i="1"/>
  <c r="E121" i="1"/>
  <c r="E122" i="1"/>
  <c r="E504" i="1"/>
  <c r="E588" i="1"/>
  <c r="E587" i="1"/>
  <c r="E589" i="1"/>
  <c r="E591" i="1"/>
  <c r="E590" i="1"/>
  <c r="E592" i="1"/>
  <c r="E594" i="1"/>
  <c r="E593" i="1"/>
  <c r="E596" i="1"/>
  <c r="E595" i="1"/>
  <c r="E598" i="1"/>
  <c r="E597" i="1"/>
  <c r="E600" i="1"/>
  <c r="E599" i="1"/>
  <c r="E602" i="1"/>
  <c r="E601" i="1"/>
  <c r="E605" i="1"/>
  <c r="E604" i="1"/>
  <c r="E608" i="1"/>
  <c r="E609" i="1"/>
  <c r="E611" i="1"/>
  <c r="E612" i="1"/>
  <c r="E613" i="1"/>
  <c r="E614" i="1"/>
  <c r="E615" i="1"/>
  <c r="E619" i="1"/>
  <c r="E618" i="1"/>
  <c r="E620" i="1"/>
  <c r="E625" i="1"/>
  <c r="E622" i="1"/>
  <c r="E623" i="1"/>
  <c r="E626" i="1"/>
  <c r="E647" i="1"/>
  <c r="E648" i="1"/>
  <c r="E649" i="1"/>
  <c r="E646" i="1"/>
  <c r="E643" i="1"/>
  <c r="E644" i="1"/>
  <c r="E645" i="1"/>
  <c r="E637" i="1"/>
  <c r="E638" i="1"/>
  <c r="E639" i="1"/>
  <c r="E640" i="1"/>
  <c r="E641" i="1"/>
  <c r="E642" i="1"/>
  <c r="E652" i="1"/>
  <c r="E654" i="1"/>
  <c r="E655" i="1"/>
  <c r="E650" i="1"/>
  <c r="E651" i="1"/>
  <c r="E653" i="1"/>
  <c r="E1380" i="1"/>
  <c r="E656" i="1"/>
  <c r="E661" i="1"/>
  <c r="E660" i="1"/>
  <c r="E659" i="1"/>
  <c r="E663" i="1"/>
  <c r="E662" i="1"/>
  <c r="E664" i="1"/>
  <c r="E668" i="1"/>
  <c r="E665" i="1"/>
  <c r="E669" i="1"/>
  <c r="E667" i="1"/>
  <c r="E671" i="1"/>
  <c r="E672" i="1"/>
  <c r="E673" i="1"/>
  <c r="E674" i="1"/>
  <c r="E677" i="1"/>
  <c r="E676" i="1"/>
  <c r="E675" i="1"/>
  <c r="E681" i="1"/>
  <c r="E678" i="1"/>
  <c r="E680" i="1"/>
  <c r="E679" i="1"/>
  <c r="E684" i="1"/>
  <c r="E683" i="1"/>
  <c r="E682" i="1"/>
  <c r="E687" i="1"/>
  <c r="E686" i="1"/>
  <c r="E689" i="1"/>
  <c r="E688" i="1"/>
  <c r="E691" i="1"/>
  <c r="E5229" i="1"/>
  <c r="E692" i="1"/>
  <c r="E690" i="1"/>
  <c r="E695" i="1"/>
  <c r="E694" i="1"/>
  <c r="E693" i="1"/>
  <c r="E696" i="1"/>
  <c r="E697" i="1"/>
  <c r="E5334" i="1"/>
  <c r="E699" i="1"/>
  <c r="E698" i="1"/>
  <c r="E706" i="1"/>
  <c r="E704" i="1"/>
  <c r="E705" i="1"/>
  <c r="E709" i="1"/>
  <c r="E708" i="1"/>
  <c r="E707" i="1"/>
  <c r="E711" i="1"/>
  <c r="E710" i="1"/>
  <c r="E1756" i="1"/>
  <c r="E713" i="1"/>
  <c r="E716" i="1"/>
  <c r="E715" i="1"/>
  <c r="E718" i="1"/>
  <c r="E717" i="1"/>
  <c r="E720" i="1"/>
  <c r="E719" i="1"/>
  <c r="E723" i="1"/>
  <c r="E722" i="1"/>
  <c r="E721" i="1"/>
  <c r="E724" i="1"/>
  <c r="E726" i="1"/>
  <c r="E725" i="1"/>
  <c r="E729" i="1"/>
  <c r="E727" i="1"/>
  <c r="E728" i="1"/>
  <c r="E733" i="1"/>
  <c r="E732" i="1"/>
  <c r="E731" i="1"/>
  <c r="E730" i="1"/>
  <c r="E737" i="1"/>
  <c r="E736" i="1"/>
  <c r="E739" i="1"/>
  <c r="E738" i="1"/>
  <c r="E5339" i="1"/>
  <c r="E741" i="1"/>
  <c r="E740" i="1"/>
  <c r="E745" i="1"/>
  <c r="E743" i="1"/>
  <c r="E744" i="1"/>
  <c r="E747" i="1"/>
  <c r="E746" i="1"/>
  <c r="E749" i="1"/>
  <c r="E748" i="1"/>
  <c r="E752" i="1"/>
  <c r="E751" i="1"/>
  <c r="E750" i="1"/>
  <c r="E753" i="1"/>
  <c r="E754" i="1"/>
  <c r="E755" i="1"/>
  <c r="E756" i="1"/>
  <c r="E759" i="1"/>
  <c r="E757" i="1"/>
  <c r="E758" i="1"/>
  <c r="E761" i="1"/>
  <c r="E762" i="1"/>
  <c r="E763" i="1"/>
  <c r="E5341" i="1"/>
  <c r="E764" i="1"/>
  <c r="E770" i="1"/>
  <c r="E771" i="1"/>
  <c r="E772" i="1"/>
  <c r="E773" i="1"/>
  <c r="E774" i="1"/>
  <c r="E783" i="1"/>
  <c r="E775" i="1"/>
  <c r="E5611" i="1"/>
  <c r="E5612" i="1"/>
  <c r="E5613" i="1"/>
  <c r="E776" i="1"/>
  <c r="E777" i="1"/>
  <c r="E778" i="1"/>
  <c r="E781" i="1"/>
  <c r="E782" i="1"/>
  <c r="E784" i="1"/>
  <c r="E785" i="1"/>
  <c r="E787" i="1"/>
  <c r="E789" i="1"/>
  <c r="E786" i="1"/>
  <c r="E788" i="1"/>
  <c r="E792" i="1"/>
  <c r="E791" i="1"/>
  <c r="E795" i="1"/>
  <c r="E794" i="1"/>
  <c r="E793" i="1"/>
  <c r="E790" i="1"/>
  <c r="E293" i="1"/>
  <c r="E801" i="1"/>
  <c r="E800" i="1"/>
  <c r="E802" i="1"/>
  <c r="E805" i="1"/>
  <c r="E803" i="1"/>
  <c r="E806" i="1"/>
  <c r="E804" i="1"/>
  <c r="E310" i="1"/>
  <c r="E815" i="1"/>
  <c r="E814" i="1"/>
  <c r="E813" i="1"/>
  <c r="E496" i="1"/>
  <c r="E819" i="1"/>
  <c r="E820" i="1"/>
  <c r="E821" i="1"/>
  <c r="E824" i="1"/>
  <c r="E823" i="1"/>
  <c r="E822" i="1"/>
  <c r="E825" i="1"/>
  <c r="E826" i="1"/>
  <c r="E829" i="1"/>
  <c r="E830" i="1"/>
  <c r="E828" i="1"/>
  <c r="E827" i="1"/>
  <c r="E572" i="1"/>
  <c r="E833" i="1"/>
  <c r="E834" i="1"/>
  <c r="E832" i="1"/>
  <c r="E831" i="1"/>
  <c r="E838" i="1"/>
  <c r="E839" i="1"/>
  <c r="E387" i="1"/>
  <c r="E836" i="1"/>
  <c r="E842" i="1"/>
  <c r="E840" i="1"/>
  <c r="E841" i="1"/>
  <c r="E845" i="1"/>
  <c r="E846" i="1"/>
  <c r="E843" i="1"/>
  <c r="E844" i="1"/>
  <c r="E854" i="1"/>
  <c r="E855" i="1"/>
  <c r="E853" i="1"/>
  <c r="E857" i="1"/>
  <c r="E858" i="1"/>
  <c r="E856" i="1"/>
  <c r="E861" i="1"/>
  <c r="E862" i="1"/>
  <c r="E864" i="1"/>
  <c r="E860" i="1"/>
  <c r="E863" i="1"/>
  <c r="E5340" i="1"/>
  <c r="E866" i="1"/>
  <c r="E868" i="1"/>
  <c r="E869" i="1"/>
  <c r="E871" i="1"/>
  <c r="E870" i="1"/>
  <c r="E3439" i="1"/>
  <c r="E1782" i="1"/>
  <c r="E874" i="1"/>
  <c r="E875" i="1"/>
  <c r="E881" i="1"/>
  <c r="E878" i="1"/>
  <c r="E880" i="1"/>
  <c r="E879" i="1"/>
  <c r="E884" i="1"/>
  <c r="E882" i="1"/>
  <c r="E885" i="1"/>
  <c r="E883" i="1"/>
  <c r="E887" i="1"/>
  <c r="E69" i="1"/>
  <c r="E886" i="1"/>
  <c r="E889" i="1"/>
  <c r="E891" i="1"/>
  <c r="E890" i="1"/>
  <c r="E888" i="1"/>
  <c r="E895" i="1"/>
  <c r="E893" i="1"/>
  <c r="E3246" i="1"/>
  <c r="E896" i="1"/>
  <c r="E898" i="1"/>
  <c r="E899" i="1"/>
  <c r="E897" i="1"/>
  <c r="E902" i="1"/>
  <c r="E901" i="1"/>
  <c r="E900" i="1"/>
  <c r="E905" i="1"/>
  <c r="E904" i="1"/>
  <c r="E909" i="1"/>
  <c r="E908" i="1"/>
  <c r="E907" i="1"/>
  <c r="E903" i="1"/>
  <c r="E913" i="1"/>
  <c r="E911" i="1"/>
  <c r="E912" i="1"/>
  <c r="E915" i="1"/>
  <c r="E917" i="1"/>
  <c r="E914" i="1"/>
  <c r="E916" i="1"/>
  <c r="E919" i="1"/>
  <c r="E923" i="1"/>
  <c r="E920" i="1"/>
  <c r="E922" i="1"/>
  <c r="E921" i="1"/>
  <c r="E925" i="1"/>
  <c r="E926" i="1"/>
  <c r="E924" i="1"/>
  <c r="E929" i="1"/>
  <c r="E927" i="1"/>
  <c r="E928" i="1"/>
  <c r="E931" i="1"/>
  <c r="E930" i="1"/>
  <c r="E932" i="1"/>
  <c r="E934" i="1"/>
  <c r="E933" i="1"/>
  <c r="E939" i="1"/>
  <c r="E938" i="1"/>
  <c r="E937" i="1"/>
  <c r="E1754" i="1"/>
  <c r="E940" i="1"/>
  <c r="E946" i="1"/>
  <c r="E947" i="1"/>
  <c r="E943" i="1"/>
  <c r="E945" i="1"/>
  <c r="E951" i="1"/>
  <c r="E950" i="1"/>
  <c r="E954" i="1"/>
  <c r="E953" i="1"/>
  <c r="E952" i="1"/>
  <c r="E960" i="1"/>
  <c r="E961" i="1"/>
  <c r="E958" i="1"/>
  <c r="E962" i="1"/>
  <c r="E963" i="1"/>
  <c r="E966" i="1"/>
  <c r="E965" i="1"/>
  <c r="E964" i="1"/>
  <c r="E3424" i="1"/>
  <c r="E2322" i="1"/>
  <c r="E969" i="1"/>
  <c r="E968" i="1"/>
  <c r="E967" i="1"/>
  <c r="E972" i="1"/>
  <c r="E973" i="1"/>
  <c r="E970" i="1"/>
  <c r="E971" i="1"/>
  <c r="E976" i="1"/>
  <c r="E979" i="1"/>
  <c r="E978" i="1"/>
  <c r="E977" i="1"/>
  <c r="E981" i="1"/>
  <c r="E982" i="1"/>
  <c r="E980" i="1"/>
  <c r="E984" i="1"/>
  <c r="E985" i="1"/>
  <c r="E983" i="1"/>
  <c r="E999" i="1"/>
  <c r="E989" i="1"/>
  <c r="E990" i="1"/>
  <c r="E988" i="1"/>
  <c r="E994" i="1"/>
  <c r="E991" i="1"/>
  <c r="E992" i="1"/>
  <c r="E993" i="1"/>
  <c r="E996" i="1"/>
  <c r="E998" i="1"/>
  <c r="E997" i="1"/>
  <c r="E1001" i="1"/>
  <c r="E1002" i="1"/>
  <c r="E1000" i="1"/>
  <c r="E1004" i="1"/>
  <c r="E1005" i="1"/>
  <c r="E1003" i="1"/>
  <c r="E1006" i="1"/>
  <c r="E1009" i="1"/>
  <c r="E1007" i="1"/>
  <c r="E1008" i="1"/>
  <c r="E2816" i="1"/>
  <c r="E2814" i="1"/>
  <c r="E2815" i="1"/>
  <c r="E1567" i="1"/>
  <c r="E1012" i="1"/>
  <c r="E1010" i="1"/>
  <c r="E1015" i="1"/>
  <c r="E1014" i="1"/>
  <c r="E1013" i="1"/>
  <c r="E1016" i="1"/>
  <c r="E1017" i="1"/>
  <c r="E1019" i="1"/>
  <c r="E1020" i="1"/>
  <c r="E1018" i="1"/>
  <c r="E1023" i="1"/>
  <c r="E1022" i="1"/>
  <c r="E1021" i="1"/>
  <c r="E1025" i="1"/>
  <c r="E1026" i="1"/>
  <c r="E1024" i="1"/>
  <c r="E585" i="1"/>
  <c r="E586" i="1"/>
  <c r="E584" i="1"/>
  <c r="E583" i="1"/>
  <c r="E1029" i="1"/>
  <c r="E1028" i="1"/>
  <c r="E1027" i="1"/>
  <c r="E309" i="1"/>
  <c r="E1036" i="1"/>
  <c r="E1035" i="1"/>
  <c r="E1039" i="1"/>
  <c r="E1040" i="1"/>
  <c r="E1037" i="1"/>
  <c r="E1038" i="1"/>
  <c r="E1041" i="1"/>
  <c r="E1042" i="1"/>
  <c r="E1044" i="1"/>
  <c r="E1043" i="1"/>
  <c r="E1045" i="1"/>
  <c r="E1047" i="1"/>
  <c r="E1048" i="1"/>
  <c r="E1046" i="1"/>
  <c r="E1051" i="1"/>
  <c r="E1050" i="1"/>
  <c r="E1049" i="1"/>
  <c r="E308" i="1"/>
  <c r="E1053" i="1"/>
  <c r="E1054" i="1"/>
  <c r="E1052" i="1"/>
  <c r="E1059" i="1"/>
  <c r="E1060" i="1"/>
  <c r="E1058" i="1"/>
  <c r="E1064" i="1"/>
  <c r="E1063" i="1"/>
  <c r="E1061" i="1"/>
  <c r="E1062" i="1"/>
  <c r="E1070" i="1"/>
  <c r="E1067" i="1"/>
  <c r="E1068" i="1"/>
  <c r="E1069" i="1"/>
  <c r="E1071" i="1"/>
  <c r="E1072" i="1"/>
  <c r="E1074" i="1"/>
  <c r="E1075" i="1"/>
  <c r="E1073" i="1"/>
  <c r="E1080" i="1"/>
  <c r="E1076" i="1"/>
  <c r="E1079" i="1"/>
  <c r="E1081" i="1"/>
  <c r="E1078" i="1"/>
  <c r="E1077" i="1"/>
  <c r="E1083" i="1"/>
  <c r="E1082" i="1"/>
  <c r="E1089" i="1"/>
  <c r="E1087" i="1"/>
  <c r="E1088" i="1"/>
  <c r="E1092" i="1"/>
  <c r="E1091" i="1"/>
  <c r="E1090" i="1"/>
  <c r="E1376" i="1"/>
  <c r="E1096" i="1"/>
  <c r="E1095" i="1"/>
  <c r="E1097" i="1"/>
  <c r="E1671" i="1"/>
  <c r="E910" i="1"/>
  <c r="E735" i="1"/>
  <c r="E703" i="1"/>
  <c r="E318" i="1"/>
  <c r="E1670" i="1"/>
  <c r="E32" i="1"/>
  <c r="E1098" i="1"/>
  <c r="E320" i="1"/>
  <c r="E495" i="1"/>
  <c r="E532" i="1"/>
  <c r="E315" i="1"/>
  <c r="E1104" i="1"/>
  <c r="E1103" i="1"/>
  <c r="E1102" i="1"/>
  <c r="E1101" i="1"/>
  <c r="E1107" i="1"/>
  <c r="E1106" i="1"/>
  <c r="E1105" i="1"/>
  <c r="E1111" i="1"/>
  <c r="E1110" i="1"/>
  <c r="E1108" i="1"/>
  <c r="E1109" i="1"/>
  <c r="E1112" i="1"/>
  <c r="E1113" i="1"/>
  <c r="E1120" i="1"/>
  <c r="E1118" i="1"/>
  <c r="E1121" i="1"/>
  <c r="E1117" i="1"/>
  <c r="E1119" i="1"/>
  <c r="E1124" i="1"/>
  <c r="E1123" i="1"/>
  <c r="E1122" i="1"/>
  <c r="E1126" i="1"/>
  <c r="E1127" i="1"/>
  <c r="E1125" i="1"/>
  <c r="E4795" i="1"/>
  <c r="E1130" i="1"/>
  <c r="E1128" i="1"/>
  <c r="E1129" i="1"/>
  <c r="E1133" i="1"/>
  <c r="E1131" i="1"/>
  <c r="E1132" i="1"/>
  <c r="E1136" i="1"/>
  <c r="E1135" i="1"/>
  <c r="E1134" i="1"/>
  <c r="E1137" i="1"/>
  <c r="E1138" i="1"/>
  <c r="E1140" i="1"/>
  <c r="E1141" i="1"/>
  <c r="E1139" i="1"/>
  <c r="E1142" i="1"/>
  <c r="E685" i="1"/>
  <c r="E1149" i="1"/>
  <c r="E5336" i="1"/>
  <c r="E1151" i="1"/>
  <c r="E1152" i="1"/>
  <c r="E1150" i="1"/>
  <c r="E1154" i="1"/>
  <c r="E1157" i="1"/>
  <c r="E1156" i="1"/>
  <c r="E267" i="1"/>
  <c r="E1158" i="1"/>
  <c r="E1159" i="1"/>
  <c r="E1162" i="1"/>
  <c r="E1163" i="1"/>
  <c r="E1161" i="1"/>
  <c r="E1165" i="1"/>
  <c r="E1166" i="1"/>
  <c r="E1164" i="1"/>
  <c r="E1168" i="1"/>
  <c r="E1170" i="1"/>
  <c r="E1169" i="1"/>
  <c r="E1167" i="1"/>
  <c r="E1172" i="1"/>
  <c r="E1173" i="1"/>
  <c r="E1171" i="1"/>
  <c r="E1174" i="1"/>
  <c r="E1177" i="1"/>
  <c r="E1176" i="1"/>
  <c r="E1175" i="1"/>
  <c r="E1178" i="1"/>
  <c r="E1181" i="1"/>
  <c r="E1180" i="1"/>
  <c r="E1179" i="1"/>
  <c r="E1605" i="1"/>
  <c r="E1185" i="1"/>
  <c r="E1183" i="1"/>
  <c r="E1184" i="1"/>
  <c r="E1187" i="1"/>
  <c r="E1186" i="1"/>
  <c r="E1190" i="1"/>
  <c r="E1189" i="1"/>
  <c r="E1188" i="1"/>
  <c r="E1196" i="1"/>
  <c r="E1195" i="1"/>
  <c r="E1194" i="1"/>
  <c r="E1192" i="1"/>
  <c r="E1199" i="1"/>
  <c r="E1198" i="1"/>
  <c r="E1197" i="1"/>
  <c r="E1201" i="1"/>
  <c r="E1200" i="1"/>
  <c r="E1204" i="1"/>
  <c r="E1202" i="1"/>
  <c r="E1203" i="1"/>
  <c r="E511" i="1"/>
  <c r="E1206" i="1"/>
  <c r="E1209" i="1"/>
  <c r="E1208" i="1"/>
  <c r="E312" i="1"/>
  <c r="E1210" i="1"/>
  <c r="E1212" i="1"/>
  <c r="E1211" i="1"/>
  <c r="E1215" i="1"/>
  <c r="E1214" i="1"/>
  <c r="E1213" i="1"/>
  <c r="E1217" i="1"/>
  <c r="E1216" i="1"/>
  <c r="E865" i="1"/>
  <c r="E1321" i="1"/>
  <c r="E1220" i="1"/>
  <c r="E1218" i="1"/>
  <c r="E1219" i="1"/>
  <c r="E1221" i="1"/>
  <c r="E1222" i="1"/>
  <c r="E1223" i="1"/>
  <c r="E1226" i="1"/>
  <c r="E1225" i="1"/>
  <c r="E1233" i="1"/>
  <c r="E1231" i="1"/>
  <c r="E1232" i="1"/>
  <c r="E1230" i="1"/>
  <c r="E1236" i="1"/>
  <c r="E1234" i="1"/>
  <c r="E1235" i="1"/>
  <c r="E1239" i="1"/>
  <c r="E1237" i="1"/>
  <c r="E1238" i="1"/>
  <c r="E1240" i="1"/>
  <c r="E635" i="1"/>
  <c r="E1243" i="1"/>
  <c r="E1242" i="1"/>
  <c r="E876" i="1"/>
  <c r="E2152" i="1"/>
  <c r="E1266" i="1"/>
  <c r="E1246" i="1"/>
  <c r="E1245" i="1"/>
  <c r="E1250" i="1"/>
  <c r="E1251" i="1"/>
  <c r="E4796" i="1"/>
  <c r="E1253" i="1"/>
  <c r="E1252" i="1"/>
  <c r="E1255" i="1"/>
  <c r="E1254" i="1"/>
  <c r="E114" i="1"/>
  <c r="E1258" i="1"/>
  <c r="E1259" i="1"/>
  <c r="E1257" i="1"/>
  <c r="E1262" i="1"/>
  <c r="E1260" i="1"/>
  <c r="E1265" i="1"/>
  <c r="E1263" i="1"/>
  <c r="E1264" i="1"/>
  <c r="E1271" i="1"/>
  <c r="E1269" i="1"/>
  <c r="E1270" i="1"/>
  <c r="E1272" i="1"/>
  <c r="E1273" i="1"/>
  <c r="E1278" i="1"/>
  <c r="E1282" i="1"/>
  <c r="E1280" i="1"/>
  <c r="E1281" i="1"/>
  <c r="E1285" i="1"/>
  <c r="E1283" i="1"/>
  <c r="E1284" i="1"/>
  <c r="E5329" i="1"/>
  <c r="E2021" i="1"/>
  <c r="E1011" i="1"/>
  <c r="E1289" i="1"/>
  <c r="E1288" i="1"/>
  <c r="E1287" i="1"/>
  <c r="E1275" i="1"/>
  <c r="E302" i="1"/>
  <c r="E2113" i="1"/>
  <c r="E1294" i="1"/>
  <c r="E1292" i="1"/>
  <c r="E1293" i="1"/>
  <c r="E1295" i="1"/>
  <c r="E1296" i="1"/>
  <c r="E1298" i="1"/>
  <c r="E1297" i="1"/>
  <c r="E1299" i="1"/>
  <c r="E1301" i="1"/>
  <c r="E1302" i="1"/>
  <c r="E1300" i="1"/>
  <c r="E5332" i="1"/>
  <c r="E1304" i="1"/>
  <c r="E1305" i="1"/>
  <c r="E1306" i="1"/>
  <c r="E1313" i="1"/>
  <c r="E1309" i="1"/>
  <c r="E1312" i="1"/>
  <c r="E1311" i="1"/>
  <c r="E1310" i="1"/>
  <c r="E1323" i="1"/>
  <c r="E1115" i="1"/>
  <c r="E1116" i="1"/>
  <c r="E1324" i="1"/>
  <c r="E1325" i="1"/>
  <c r="E1326" i="1"/>
  <c r="E1327" i="1"/>
  <c r="E1328" i="1"/>
  <c r="E1329" i="1"/>
  <c r="E1330" i="1"/>
  <c r="E1332" i="1"/>
  <c r="E1333" i="1"/>
  <c r="E1334" i="1"/>
  <c r="E1335" i="1"/>
  <c r="E1339" i="1"/>
  <c r="E1338" i="1"/>
  <c r="E1337" i="1"/>
  <c r="E1341" i="1"/>
  <c r="E1342" i="1"/>
  <c r="E1340" i="1"/>
  <c r="E1336" i="1"/>
  <c r="E1343" i="1"/>
  <c r="E1344" i="1"/>
  <c r="E1346" i="1"/>
  <c r="E1628" i="1"/>
  <c r="E1348" i="1"/>
  <c r="E1728" i="1"/>
  <c r="E1350" i="1"/>
  <c r="E1351" i="1"/>
  <c r="E1352" i="1"/>
  <c r="E1353" i="1"/>
  <c r="E1354" i="1"/>
  <c r="E1355" i="1"/>
  <c r="E1357" i="1"/>
  <c r="E1358" i="1"/>
  <c r="E1359" i="1"/>
  <c r="E1360" i="1"/>
  <c r="E1361" i="1"/>
  <c r="E1362" i="1"/>
  <c r="E1363" i="1"/>
  <c r="E1364" i="1"/>
  <c r="E1365" i="1"/>
  <c r="E1368" i="1"/>
  <c r="E1369" i="1"/>
  <c r="E1370" i="1"/>
  <c r="E1371" i="1"/>
  <c r="E1372" i="1"/>
  <c r="E1373" i="1"/>
  <c r="E1374" i="1"/>
  <c r="E1379" i="1"/>
  <c r="E1404" i="1"/>
  <c r="E1406" i="1"/>
  <c r="E1407" i="1"/>
  <c r="E812" i="1"/>
  <c r="E1485" i="1"/>
  <c r="E1501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8" i="1"/>
  <c r="E1549" i="1"/>
  <c r="E1550" i="1"/>
  <c r="E1551" i="1"/>
  <c r="E1552" i="1"/>
  <c r="E1553" i="1"/>
  <c r="E1554" i="1"/>
  <c r="E1555" i="1"/>
  <c r="E1556" i="1"/>
  <c r="E1557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574" i="1"/>
  <c r="E1600" i="1"/>
  <c r="E1601" i="1"/>
  <c r="E1602" i="1"/>
  <c r="E1603" i="1"/>
  <c r="E1604" i="1"/>
  <c r="E1568" i="1"/>
  <c r="E1606" i="1"/>
  <c r="E1623" i="1"/>
  <c r="E1641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385" i="1"/>
  <c r="E1669" i="1"/>
  <c r="E1481" i="1"/>
  <c r="E1480" i="1"/>
  <c r="E1482" i="1"/>
  <c r="E1483" i="1"/>
  <c r="E1484" i="1"/>
  <c r="E1489" i="1"/>
  <c r="E1490" i="1"/>
  <c r="E1491" i="1"/>
  <c r="E1492" i="1"/>
  <c r="E1493" i="1"/>
  <c r="E1494" i="1"/>
  <c r="E1495" i="1"/>
  <c r="E1503" i="1"/>
  <c r="E1496" i="1"/>
  <c r="E1497" i="1"/>
  <c r="E1498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499" i="1"/>
  <c r="E1524" i="1"/>
  <c r="E1525" i="1"/>
  <c r="E1526" i="1"/>
  <c r="E1504" i="1"/>
  <c r="E1505" i="1"/>
  <c r="E1506" i="1"/>
  <c r="E1502" i="1"/>
  <c r="E1487" i="1"/>
  <c r="E1488" i="1"/>
  <c r="E1500" i="1"/>
  <c r="E1559" i="1"/>
  <c r="E1560" i="1"/>
  <c r="E1561" i="1"/>
  <c r="E1558" i="1"/>
  <c r="E1562" i="1"/>
  <c r="E1563" i="1"/>
  <c r="E1564" i="1"/>
  <c r="E1486" i="1"/>
  <c r="E1565" i="1"/>
  <c r="E582" i="1"/>
  <c r="E316" i="1"/>
  <c r="E50" i="1"/>
  <c r="E1572" i="1"/>
  <c r="E1573" i="1"/>
  <c r="E1569" i="1"/>
  <c r="E1570" i="1"/>
  <c r="E1571" i="1"/>
  <c r="E4819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4" i="1"/>
  <c r="E1625" i="1"/>
  <c r="E1626" i="1"/>
  <c r="E1627" i="1"/>
  <c r="E1631" i="1"/>
  <c r="E1632" i="1"/>
  <c r="E1633" i="1"/>
  <c r="E1634" i="1"/>
  <c r="E1635" i="1"/>
  <c r="E1636" i="1"/>
  <c r="E1637" i="1"/>
  <c r="E1638" i="1"/>
  <c r="E1639" i="1"/>
  <c r="E1640" i="1"/>
  <c r="E1642" i="1"/>
  <c r="E1643" i="1"/>
  <c r="E1644" i="1"/>
  <c r="E1661" i="1"/>
  <c r="E1662" i="1"/>
  <c r="E1663" i="1"/>
  <c r="E1664" i="1"/>
  <c r="E1665" i="1"/>
  <c r="E1666" i="1"/>
  <c r="E1667" i="1"/>
  <c r="E1668" i="1"/>
  <c r="E1672" i="1"/>
  <c r="E1673" i="1"/>
  <c r="E1674" i="1"/>
  <c r="E1675" i="1"/>
  <c r="E1678" i="1"/>
  <c r="E1679" i="1"/>
  <c r="E1676" i="1"/>
  <c r="E1677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31" i="1"/>
  <c r="E332" i="1"/>
  <c r="E1732" i="1"/>
  <c r="E1733" i="1"/>
  <c r="E1734" i="1"/>
  <c r="E1735" i="1"/>
  <c r="E1736" i="1"/>
  <c r="E1737" i="1"/>
  <c r="E1738" i="1"/>
  <c r="E1739" i="1"/>
  <c r="E1740" i="1"/>
  <c r="E1741" i="1"/>
  <c r="E1742" i="1"/>
  <c r="E1744" i="1"/>
  <c r="E1724" i="1"/>
  <c r="E1745" i="1"/>
  <c r="E1746" i="1"/>
  <c r="E1747" i="1"/>
  <c r="E1748" i="1"/>
  <c r="E1749" i="1"/>
  <c r="E1750" i="1"/>
  <c r="E1751" i="1"/>
  <c r="E850" i="1"/>
  <c r="E851" i="1"/>
  <c r="E852" i="1"/>
  <c r="E1752" i="1"/>
  <c r="E1753" i="1"/>
  <c r="E1757" i="1"/>
  <c r="E1758" i="1"/>
  <c r="E1759" i="1"/>
  <c r="E1760" i="1"/>
  <c r="E1786" i="1"/>
  <c r="E1787" i="1"/>
  <c r="E1765" i="1"/>
  <c r="E1770" i="1"/>
  <c r="E1768" i="1"/>
  <c r="E1767" i="1"/>
  <c r="E1781" i="1"/>
  <c r="E1774" i="1"/>
  <c r="E1775" i="1"/>
  <c r="E1763" i="1"/>
  <c r="E1764" i="1"/>
  <c r="E1766" i="1"/>
  <c r="E1769" i="1"/>
  <c r="E1772" i="1"/>
  <c r="E1773" i="1"/>
  <c r="E1776" i="1"/>
  <c r="E1777" i="1"/>
  <c r="E1778" i="1"/>
  <c r="E1779" i="1"/>
  <c r="E1780" i="1"/>
  <c r="E1783" i="1"/>
  <c r="E1784" i="1"/>
  <c r="E1785" i="1"/>
  <c r="E1801" i="1"/>
  <c r="E1796" i="1"/>
  <c r="E1802" i="1"/>
  <c r="E1797" i="1"/>
  <c r="E1803" i="1"/>
  <c r="E1804" i="1"/>
  <c r="E1805" i="1"/>
  <c r="E1806" i="1"/>
  <c r="E1799" i="1"/>
  <c r="E1795" i="1"/>
  <c r="E1807" i="1"/>
  <c r="E1808" i="1"/>
  <c r="E1809" i="1"/>
  <c r="E1810" i="1"/>
  <c r="E1811" i="1"/>
  <c r="E1812" i="1"/>
  <c r="E1813" i="1"/>
  <c r="E1816" i="1"/>
  <c r="E1821" i="1"/>
  <c r="E1815" i="1"/>
  <c r="E1820" i="1"/>
  <c r="E1817" i="1"/>
  <c r="E1818" i="1"/>
  <c r="E1819" i="1"/>
  <c r="E1814" i="1"/>
  <c r="E1822" i="1"/>
  <c r="E1792" i="1"/>
  <c r="E1794" i="1"/>
  <c r="E1825" i="1"/>
  <c r="E1827" i="1"/>
  <c r="E1828" i="1"/>
  <c r="E1829" i="1"/>
  <c r="E1831" i="1"/>
  <c r="E1830" i="1"/>
  <c r="E1832" i="1"/>
  <c r="E1833" i="1"/>
  <c r="E1834" i="1"/>
  <c r="E1838" i="1"/>
  <c r="E1836" i="1"/>
  <c r="E1837" i="1"/>
  <c r="E1835" i="1"/>
  <c r="E1839" i="1"/>
  <c r="E1841" i="1"/>
  <c r="E1840" i="1"/>
  <c r="E1791" i="1"/>
  <c r="E1842" i="1"/>
  <c r="E1843" i="1"/>
  <c r="E1844" i="1"/>
  <c r="E1845" i="1"/>
  <c r="E1846" i="1"/>
  <c r="E1847" i="1"/>
  <c r="E1848" i="1"/>
  <c r="E1851" i="1"/>
  <c r="E1849" i="1"/>
  <c r="E1850" i="1"/>
  <c r="E1852" i="1"/>
  <c r="E1854" i="1"/>
  <c r="E1853" i="1"/>
  <c r="E1855" i="1"/>
  <c r="E1857" i="1"/>
  <c r="E1856" i="1"/>
  <c r="E1858" i="1"/>
  <c r="E1863" i="1"/>
  <c r="E1859" i="1"/>
  <c r="E1862" i="1"/>
  <c r="E1860" i="1"/>
  <c r="E1864" i="1"/>
  <c r="E1861" i="1"/>
  <c r="E1865" i="1"/>
  <c r="E1823" i="1"/>
  <c r="E1824" i="1"/>
  <c r="E1866" i="1"/>
  <c r="E1868" i="1"/>
  <c r="E1869" i="1"/>
  <c r="E1867" i="1"/>
  <c r="E1870" i="1"/>
  <c r="E1871" i="1"/>
  <c r="E3392" i="1"/>
  <c r="E1872" i="1"/>
  <c r="E1875" i="1"/>
  <c r="E1873" i="1"/>
  <c r="E1874" i="1"/>
  <c r="E1876" i="1"/>
  <c r="E1877" i="1"/>
  <c r="E1879" i="1"/>
  <c r="E1878" i="1"/>
  <c r="E1881" i="1"/>
  <c r="E1880" i="1"/>
  <c r="E1883" i="1"/>
  <c r="E1882" i="1"/>
  <c r="E1889" i="1"/>
  <c r="E1884" i="1"/>
  <c r="E1887" i="1"/>
  <c r="E1888" i="1"/>
  <c r="E1885" i="1"/>
  <c r="E1886" i="1"/>
  <c r="E1798" i="1"/>
  <c r="E1891" i="1"/>
  <c r="E1890" i="1"/>
  <c r="E1893" i="1"/>
  <c r="E1892" i="1"/>
  <c r="E1894" i="1"/>
  <c r="E1895" i="1"/>
  <c r="E1904" i="1"/>
  <c r="E1899" i="1"/>
  <c r="E1900" i="1"/>
  <c r="E1901" i="1"/>
  <c r="E466" i="1"/>
  <c r="E1902" i="1"/>
  <c r="E1903" i="1"/>
  <c r="E1905" i="1"/>
  <c r="E1906" i="1"/>
  <c r="E1907" i="1"/>
  <c r="E1908" i="1"/>
  <c r="E1909" i="1"/>
  <c r="E1910" i="1"/>
  <c r="E1911" i="1"/>
  <c r="E1912" i="1"/>
  <c r="E1913" i="1"/>
  <c r="E1914" i="1"/>
  <c r="E1916" i="1"/>
  <c r="E1917" i="1"/>
  <c r="E1920" i="1"/>
  <c r="E1915" i="1"/>
  <c r="E1896" i="1"/>
  <c r="E1897" i="1"/>
  <c r="E5233" i="1"/>
  <c r="E1898" i="1"/>
  <c r="E1922" i="1"/>
  <c r="E1921" i="1"/>
  <c r="E1923" i="1"/>
  <c r="E1924" i="1"/>
  <c r="E2015" i="1"/>
  <c r="E1937" i="1"/>
  <c r="E1936" i="1"/>
  <c r="E2019" i="1"/>
  <c r="E2006" i="1"/>
  <c r="E2023" i="1"/>
  <c r="E1939" i="1"/>
  <c r="E2024" i="1"/>
  <c r="E1944" i="1"/>
  <c r="E1945" i="1"/>
  <c r="E1946" i="1"/>
  <c r="E2346" i="1"/>
  <c r="E1947" i="1"/>
  <c r="E1949" i="1"/>
  <c r="E1934" i="1"/>
  <c r="E1935" i="1"/>
  <c r="E1960" i="1"/>
  <c r="E1961" i="1"/>
  <c r="E1962" i="1"/>
  <c r="E1963" i="1"/>
  <c r="E1964" i="1"/>
  <c r="E1965" i="1"/>
  <c r="E1966" i="1"/>
  <c r="E1967" i="1"/>
  <c r="E1968" i="1"/>
  <c r="E1969" i="1"/>
  <c r="E1981" i="1"/>
  <c r="E1982" i="1"/>
  <c r="E1983" i="1"/>
  <c r="E1984" i="1"/>
  <c r="E1985" i="1"/>
  <c r="E1986" i="1"/>
  <c r="E1987" i="1"/>
  <c r="E1988" i="1"/>
  <c r="E1989" i="1"/>
  <c r="E1990" i="1"/>
  <c r="E1991" i="1"/>
  <c r="E2013" i="1"/>
  <c r="E2014" i="1"/>
  <c r="E2039" i="1"/>
  <c r="E2035" i="1"/>
  <c r="E2002" i="1"/>
  <c r="E2041" i="1"/>
  <c r="E2040" i="1"/>
  <c r="E2044" i="1"/>
  <c r="E2050" i="1"/>
  <c r="E2048" i="1"/>
  <c r="E2049" i="1"/>
  <c r="E2051" i="1"/>
  <c r="E2052" i="1"/>
  <c r="E2057" i="1"/>
  <c r="E2056" i="1"/>
  <c r="E2055" i="1"/>
  <c r="E2059" i="1"/>
  <c r="E2058" i="1"/>
  <c r="E2064" i="1"/>
  <c r="E2063" i="1"/>
  <c r="E2062" i="1"/>
  <c r="E2069" i="1"/>
  <c r="E2067" i="1"/>
  <c r="E2068" i="1"/>
  <c r="E2071" i="1"/>
  <c r="E2075" i="1"/>
  <c r="E2070" i="1"/>
  <c r="E2073" i="1"/>
  <c r="E2072" i="1"/>
  <c r="E2079" i="1"/>
  <c r="E2004" i="1"/>
  <c r="E2087" i="1"/>
  <c r="E2083" i="1"/>
  <c r="E2089" i="1"/>
  <c r="E2088" i="1"/>
  <c r="E2090" i="1"/>
  <c r="E2092" i="1"/>
  <c r="E2100" i="1"/>
  <c r="E2101" i="1"/>
  <c r="E2102" i="1"/>
  <c r="E2103" i="1"/>
  <c r="E2104" i="1"/>
  <c r="E2107" i="1"/>
  <c r="E2108" i="1"/>
  <c r="E2109" i="1"/>
  <c r="E1940" i="1"/>
  <c r="E2147" i="1"/>
  <c r="E2110" i="1"/>
  <c r="E1928" i="1"/>
  <c r="E2010" i="1"/>
  <c r="E2115" i="1"/>
  <c r="E2116" i="1"/>
  <c r="E2117" i="1"/>
  <c r="E2001" i="1"/>
  <c r="E2120" i="1"/>
  <c r="E2119" i="1"/>
  <c r="E2125" i="1"/>
  <c r="E2127" i="1"/>
  <c r="E2009" i="1"/>
  <c r="E2130" i="1"/>
  <c r="E2129" i="1"/>
  <c r="E2128" i="1"/>
  <c r="E579" i="1"/>
  <c r="E1930" i="1"/>
  <c r="E2132" i="1"/>
  <c r="E1931" i="1"/>
  <c r="E1932" i="1"/>
  <c r="E2135" i="1"/>
  <c r="E2133" i="1"/>
  <c r="E2134" i="1"/>
  <c r="E2155" i="1"/>
  <c r="E2154" i="1"/>
  <c r="E2188" i="1"/>
  <c r="E2181" i="1"/>
  <c r="E2182" i="1"/>
  <c r="E2183" i="1"/>
  <c r="E2184" i="1"/>
  <c r="E2185" i="1"/>
  <c r="E2186" i="1"/>
  <c r="E2190" i="1"/>
  <c r="E2191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92" i="1"/>
  <c r="E2193" i="1"/>
  <c r="E2194" i="1"/>
  <c r="E2189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10" i="1"/>
  <c r="E2209" i="1"/>
  <c r="E4335" i="1"/>
  <c r="E2171" i="1"/>
  <c r="E3857" i="1"/>
  <c r="E2172" i="1"/>
  <c r="E2173" i="1"/>
  <c r="E2174" i="1"/>
  <c r="E2175" i="1"/>
  <c r="E2176" i="1"/>
  <c r="E2177" i="1"/>
  <c r="E2178" i="1"/>
  <c r="E2179" i="1"/>
  <c r="E2180" i="1"/>
  <c r="E2187" i="1"/>
  <c r="E2227" i="1"/>
  <c r="E2228" i="1"/>
  <c r="E2229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31" i="1"/>
  <c r="E2230" i="1"/>
  <c r="E2256" i="1"/>
  <c r="E2257" i="1"/>
  <c r="E2258" i="1"/>
  <c r="E2259" i="1"/>
  <c r="E2260" i="1"/>
  <c r="E2247" i="1"/>
  <c r="E2248" i="1"/>
  <c r="E2249" i="1"/>
  <c r="E2250" i="1"/>
  <c r="E2251" i="1"/>
  <c r="E2252" i="1"/>
  <c r="E2253" i="1"/>
  <c r="E2254" i="1"/>
  <c r="E2255" i="1"/>
  <c r="E2232" i="1"/>
  <c r="E2233" i="1"/>
  <c r="E2261" i="1"/>
  <c r="E2263" i="1"/>
  <c r="E2262" i="1"/>
  <c r="E2268" i="1"/>
  <c r="E2269" i="1"/>
  <c r="E2266" i="1"/>
  <c r="E2267" i="1"/>
  <c r="E2264" i="1"/>
  <c r="E2265" i="1"/>
  <c r="E2272" i="1"/>
  <c r="E2271" i="1"/>
  <c r="E2270" i="1"/>
  <c r="E2273" i="1"/>
  <c r="E2274" i="1"/>
  <c r="E2275" i="1"/>
  <c r="E2277" i="1"/>
  <c r="E2276" i="1"/>
  <c r="E2278" i="1"/>
  <c r="E2281" i="1"/>
  <c r="E2279" i="1"/>
  <c r="E2280" i="1"/>
  <c r="E2282" i="1"/>
  <c r="E2283" i="1"/>
  <c r="E2285" i="1"/>
  <c r="E2284" i="1"/>
  <c r="E2287" i="1"/>
  <c r="E2286" i="1"/>
  <c r="E2288" i="1"/>
  <c r="E2289" i="1"/>
  <c r="E2290" i="1"/>
  <c r="E2292" i="1"/>
  <c r="E2293" i="1"/>
  <c r="E2291" i="1"/>
  <c r="E2297" i="1"/>
  <c r="E2296" i="1"/>
  <c r="E2294" i="1"/>
  <c r="E2295" i="1"/>
  <c r="E2300" i="1"/>
  <c r="E2298" i="1"/>
  <c r="E2299" i="1"/>
  <c r="E2306" i="1"/>
  <c r="E2304" i="1"/>
  <c r="E2305" i="1"/>
  <c r="E2307" i="1"/>
  <c r="E2308" i="1"/>
  <c r="E2310" i="1"/>
  <c r="E2309" i="1"/>
  <c r="E2312" i="1"/>
  <c r="E2311" i="1"/>
  <c r="E2313" i="1"/>
  <c r="E2316" i="1"/>
  <c r="E2315" i="1"/>
  <c r="E2317" i="1"/>
  <c r="E2318" i="1"/>
  <c r="E2319" i="1"/>
  <c r="E2320" i="1"/>
  <c r="E2321" i="1"/>
  <c r="E2323" i="1"/>
  <c r="E2325" i="1"/>
  <c r="E2327" i="1"/>
  <c r="E2328" i="1"/>
  <c r="E2330" i="1"/>
  <c r="E2331" i="1"/>
  <c r="E2332" i="1"/>
  <c r="E2333" i="1"/>
  <c r="E2334" i="1"/>
  <c r="E2335" i="1"/>
  <c r="E2336" i="1"/>
  <c r="E2337" i="1"/>
  <c r="E2339" i="1"/>
  <c r="E2343" i="1"/>
  <c r="E2345" i="1"/>
  <c r="E2344" i="1"/>
  <c r="E2347" i="1"/>
  <c r="E2348" i="1"/>
  <c r="E2350" i="1"/>
  <c r="E2353" i="1"/>
  <c r="E2352" i="1"/>
  <c r="E2351" i="1"/>
  <c r="E2355" i="1"/>
  <c r="E2354" i="1"/>
  <c r="E2356" i="1"/>
  <c r="E2358" i="1"/>
  <c r="E2359" i="1"/>
  <c r="E2360" i="1"/>
  <c r="E2372" i="1"/>
  <c r="E2361" i="1"/>
  <c r="E2362" i="1"/>
  <c r="E2363" i="1"/>
  <c r="E2364" i="1"/>
  <c r="E2365" i="1"/>
  <c r="E2366" i="1"/>
  <c r="E2367" i="1"/>
  <c r="E2368" i="1"/>
  <c r="E2369" i="1"/>
  <c r="E2370" i="1"/>
  <c r="E2371" i="1"/>
  <c r="E2373" i="1"/>
  <c r="E2374" i="1"/>
  <c r="E2375" i="1"/>
  <c r="E2376" i="1"/>
  <c r="E2380" i="1"/>
  <c r="E2377" i="1"/>
  <c r="E2378" i="1"/>
  <c r="E2379" i="1"/>
  <c r="E3985" i="1"/>
  <c r="E2384" i="1"/>
  <c r="E2385" i="1"/>
  <c r="E2387" i="1"/>
  <c r="E2386" i="1"/>
  <c r="E2383" i="1"/>
  <c r="E2382" i="1"/>
  <c r="E2381" i="1"/>
  <c r="E2388" i="1"/>
  <c r="E2389" i="1"/>
  <c r="E2390" i="1"/>
  <c r="E2391" i="1"/>
  <c r="E5287" i="1"/>
  <c r="E5286" i="1"/>
  <c r="E5288" i="1"/>
  <c r="E2394" i="1"/>
  <c r="E51" i="1"/>
  <c r="E2392" i="1"/>
  <c r="E2393" i="1"/>
  <c r="E2401" i="1"/>
  <c r="E2462" i="1"/>
  <c r="E2464" i="1"/>
  <c r="E2467" i="1"/>
  <c r="E2497" i="1"/>
  <c r="E2499" i="1"/>
  <c r="E2475" i="1"/>
  <c r="E2504" i="1"/>
  <c r="E2476" i="1"/>
  <c r="E2456" i="1"/>
  <c r="E2408" i="1"/>
  <c r="E2409" i="1"/>
  <c r="E2477" i="1"/>
  <c r="E2479" i="1"/>
  <c r="E2413" i="1"/>
  <c r="E2506" i="1"/>
  <c r="E2407" i="1"/>
  <c r="E2480" i="1"/>
  <c r="E2515" i="1"/>
  <c r="E2544" i="1"/>
  <c r="E2481" i="1"/>
  <c r="E2482" i="1"/>
  <c r="E2525" i="1"/>
  <c r="E2508" i="1"/>
  <c r="E2511" i="1"/>
  <c r="E2460" i="1"/>
  <c r="E2415" i="1"/>
  <c r="E2416" i="1"/>
  <c r="E2417" i="1"/>
  <c r="E2418" i="1"/>
  <c r="E2630" i="1"/>
  <c r="E2419" i="1"/>
  <c r="E2420" i="1"/>
  <c r="E2421" i="1"/>
  <c r="E2422" i="1"/>
  <c r="E3875" i="1"/>
  <c r="E2513" i="1"/>
  <c r="E2405" i="1"/>
  <c r="E2628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518" i="1"/>
  <c r="E4260" i="1"/>
  <c r="E2519" i="1"/>
  <c r="E2520" i="1"/>
  <c r="E2521" i="1"/>
  <c r="E2522" i="1"/>
  <c r="E5209" i="1"/>
  <c r="E2529" i="1"/>
  <c r="E2527" i="1"/>
  <c r="E2528" i="1"/>
  <c r="E2532" i="1"/>
  <c r="E2531" i="1"/>
  <c r="E2530" i="1"/>
  <c r="E2534" i="1"/>
  <c r="E2533" i="1"/>
  <c r="E5262" i="1"/>
  <c r="E2535" i="1"/>
  <c r="E2537" i="1"/>
  <c r="E2536" i="1"/>
  <c r="E2538" i="1"/>
  <c r="E2540" i="1"/>
  <c r="E2539" i="1"/>
  <c r="E2541" i="1"/>
  <c r="E2543" i="1"/>
  <c r="E2546" i="1"/>
  <c r="E2545" i="1"/>
  <c r="E2542" i="1"/>
  <c r="E2548" i="1"/>
  <c r="E2547" i="1"/>
  <c r="E2550" i="1"/>
  <c r="E2551" i="1"/>
  <c r="E2549" i="1"/>
  <c r="E2554" i="1"/>
  <c r="E2552" i="1"/>
  <c r="E2555" i="1"/>
  <c r="E2553" i="1"/>
  <c r="E2558" i="1"/>
  <c r="E2557" i="1"/>
  <c r="E2556" i="1"/>
  <c r="E2564" i="1"/>
  <c r="E2565" i="1"/>
  <c r="E2507" i="1"/>
  <c r="E2635" i="1"/>
  <c r="E2573" i="1"/>
  <c r="E2574" i="1"/>
  <c r="E2575" i="1"/>
  <c r="E2578" i="1"/>
  <c r="E2580" i="1"/>
  <c r="E2579" i="1"/>
  <c r="E2576" i="1"/>
  <c r="E2577" i="1"/>
  <c r="E2584" i="1"/>
  <c r="E2582" i="1"/>
  <c r="E2583" i="1"/>
  <c r="E2581" i="1"/>
  <c r="E2585" i="1"/>
  <c r="E2586" i="1"/>
  <c r="E2461" i="1"/>
  <c r="E2590" i="1"/>
  <c r="E2587" i="1"/>
  <c r="E2588" i="1"/>
  <c r="E2589" i="1"/>
  <c r="E2592" i="1"/>
  <c r="E2593" i="1"/>
  <c r="E2594" i="1"/>
  <c r="E2599" i="1"/>
  <c r="E2597" i="1"/>
  <c r="E2598" i="1"/>
  <c r="E2602" i="1"/>
  <c r="E2600" i="1"/>
  <c r="E2601" i="1"/>
  <c r="E2603" i="1"/>
  <c r="E2607" i="1"/>
  <c r="E2605" i="1"/>
  <c r="E2395" i="1"/>
  <c r="E2608" i="1"/>
  <c r="E2610" i="1"/>
  <c r="E2609" i="1"/>
  <c r="E2611" i="1"/>
  <c r="E2612" i="1"/>
  <c r="E2613" i="1"/>
  <c r="E2615" i="1"/>
  <c r="E2614" i="1"/>
  <c r="E2618" i="1"/>
  <c r="E2616" i="1"/>
  <c r="E2617" i="1"/>
  <c r="E2623" i="1"/>
  <c r="E2625" i="1"/>
  <c r="E2624" i="1"/>
  <c r="E2650" i="1"/>
  <c r="E2651" i="1"/>
  <c r="E2655" i="1"/>
  <c r="E2670" i="1"/>
  <c r="E2653" i="1"/>
  <c r="E2654" i="1"/>
  <c r="E2652" i="1"/>
  <c r="E2679" i="1"/>
  <c r="E2680" i="1"/>
  <c r="E2681" i="1"/>
  <c r="E2682" i="1"/>
  <c r="E2683" i="1"/>
  <c r="E2684" i="1"/>
  <c r="E2671" i="1"/>
  <c r="E2672" i="1"/>
  <c r="E2673" i="1"/>
  <c r="E2674" i="1"/>
  <c r="E2675" i="1"/>
  <c r="E2676" i="1"/>
  <c r="E2677" i="1"/>
  <c r="E2678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85" i="1"/>
  <c r="E2637" i="1"/>
  <c r="E2638" i="1"/>
  <c r="E2639" i="1"/>
  <c r="E2640" i="1"/>
  <c r="E2641" i="1"/>
  <c r="E2644" i="1"/>
  <c r="E2643" i="1"/>
  <c r="E2642" i="1"/>
  <c r="E2645" i="1"/>
  <c r="E2647" i="1"/>
  <c r="E2646" i="1"/>
  <c r="E2648" i="1"/>
  <c r="E2633" i="1"/>
  <c r="E5635" i="1"/>
  <c r="E5213" i="1"/>
  <c r="E4251" i="1"/>
  <c r="E2606" i="1"/>
  <c r="E2636" i="1"/>
  <c r="E2686" i="1"/>
  <c r="E2692" i="1"/>
  <c r="E2687" i="1"/>
  <c r="E2689" i="1"/>
  <c r="E2691" i="1"/>
  <c r="E2688" i="1"/>
  <c r="E2690" i="1"/>
  <c r="E2696" i="1"/>
  <c r="E2694" i="1"/>
  <c r="E2695" i="1"/>
  <c r="E2697" i="1"/>
  <c r="E2704" i="1"/>
  <c r="E2699" i="1"/>
  <c r="E2767" i="1"/>
  <c r="E2705" i="1"/>
  <c r="E2706" i="1"/>
  <c r="E2708" i="1"/>
  <c r="E2812" i="1"/>
  <c r="E2709" i="1"/>
  <c r="E2710" i="1"/>
  <c r="E2711" i="1"/>
  <c r="E2698" i="1"/>
  <c r="E2712" i="1"/>
  <c r="E2716" i="1"/>
  <c r="E2700" i="1"/>
  <c r="E3692" i="1"/>
  <c r="E2718" i="1"/>
  <c r="E2714" i="1"/>
  <c r="E2719" i="1"/>
  <c r="E2723" i="1"/>
  <c r="E2724" i="1"/>
  <c r="E2725" i="1"/>
  <c r="E2726" i="1"/>
  <c r="E2730" i="1"/>
  <c r="E2731" i="1"/>
  <c r="E2732" i="1"/>
  <c r="E2734" i="1"/>
  <c r="E2735" i="1"/>
  <c r="E2733" i="1"/>
  <c r="E2738" i="1"/>
  <c r="E2739" i="1"/>
  <c r="E2737" i="1"/>
  <c r="E2713" i="1"/>
  <c r="E2741" i="1"/>
  <c r="E2743" i="1"/>
  <c r="E2744" i="1"/>
  <c r="E2746" i="1"/>
  <c r="E2742" i="1"/>
  <c r="E2745" i="1"/>
  <c r="E2751" i="1"/>
  <c r="E2749" i="1"/>
  <c r="E2750" i="1"/>
  <c r="E2753" i="1"/>
  <c r="E2754" i="1"/>
  <c r="E2752" i="1"/>
  <c r="E2755" i="1"/>
  <c r="E2762" i="1"/>
  <c r="E2766" i="1"/>
  <c r="E2763" i="1"/>
  <c r="E2765" i="1"/>
  <c r="E2761" i="1"/>
  <c r="E2764" i="1"/>
  <c r="E2770" i="1"/>
  <c r="E2772" i="1"/>
  <c r="E2771" i="1"/>
  <c r="E2773" i="1"/>
  <c r="E2776" i="1"/>
  <c r="E2775" i="1"/>
  <c r="E2774" i="1"/>
  <c r="E2778" i="1"/>
  <c r="E2777" i="1"/>
  <c r="E2779" i="1"/>
  <c r="E2794" i="1"/>
  <c r="E2791" i="1"/>
  <c r="E2793" i="1"/>
  <c r="E2792" i="1"/>
  <c r="E2717" i="1"/>
  <c r="E2817" i="1"/>
  <c r="E2818" i="1"/>
  <c r="E2822" i="1"/>
  <c r="E2823" i="1"/>
  <c r="E2824" i="1"/>
  <c r="E2819" i="1"/>
  <c r="E2820" i="1"/>
  <c r="E2821" i="1"/>
  <c r="E2826" i="1"/>
  <c r="E2825" i="1"/>
  <c r="E2841" i="1"/>
  <c r="E2837" i="1"/>
  <c r="E2838" i="1"/>
  <c r="E2827" i="1"/>
  <c r="E2828" i="1"/>
  <c r="E2829" i="1"/>
  <c r="E2830" i="1"/>
  <c r="E2831" i="1"/>
  <c r="E2839" i="1"/>
  <c r="E2840" i="1"/>
  <c r="E2832" i="1"/>
  <c r="E2833" i="1"/>
  <c r="E2834" i="1"/>
  <c r="E2835" i="1"/>
  <c r="E2836" i="1"/>
  <c r="E2842" i="1"/>
  <c r="E2843" i="1"/>
  <c r="E2846" i="1"/>
  <c r="E2844" i="1"/>
  <c r="E2849" i="1"/>
  <c r="E2850" i="1"/>
  <c r="E2847" i="1"/>
  <c r="E2848" i="1"/>
  <c r="E2851" i="1"/>
  <c r="E2852" i="1"/>
  <c r="E2854" i="1"/>
  <c r="E2879" i="1"/>
  <c r="E2878" i="1"/>
  <c r="E2976" i="1"/>
  <c r="E2882" i="1"/>
  <c r="E2881" i="1"/>
  <c r="E2980" i="1"/>
  <c r="E2884" i="1"/>
  <c r="E2885" i="1"/>
  <c r="E2890" i="1"/>
  <c r="E2889" i="1"/>
  <c r="E2888" i="1"/>
  <c r="E2891" i="1"/>
  <c r="E2893" i="1"/>
  <c r="E2895" i="1"/>
  <c r="E2896" i="1"/>
  <c r="E2900" i="1"/>
  <c r="E2899" i="1"/>
  <c r="E2902" i="1"/>
  <c r="E2901" i="1"/>
  <c r="E2904" i="1"/>
  <c r="E2869" i="1"/>
  <c r="E2903" i="1"/>
  <c r="E2909" i="1"/>
  <c r="E2908" i="1"/>
  <c r="E2910" i="1"/>
  <c r="E2912" i="1"/>
  <c r="E2911" i="1"/>
  <c r="E2914" i="1"/>
  <c r="E2919" i="1"/>
  <c r="E2918" i="1"/>
  <c r="E2920" i="1"/>
  <c r="E2923" i="1"/>
  <c r="E2922" i="1"/>
  <c r="E2921" i="1"/>
  <c r="E2925" i="1"/>
  <c r="E2924" i="1"/>
  <c r="E2926" i="1"/>
  <c r="E2931" i="1"/>
  <c r="E2932" i="1"/>
  <c r="E2929" i="1"/>
  <c r="E2906" i="1"/>
  <c r="E2933" i="1"/>
  <c r="E2936" i="1"/>
  <c r="E2938" i="1"/>
  <c r="E2937" i="1"/>
  <c r="E2941" i="1"/>
  <c r="E2940" i="1"/>
  <c r="E2939" i="1"/>
  <c r="E3895" i="1"/>
  <c r="E3896" i="1"/>
  <c r="E3897" i="1"/>
  <c r="E3695" i="1"/>
  <c r="E3696" i="1"/>
  <c r="E2974" i="1"/>
  <c r="E3051" i="1"/>
  <c r="E3052" i="1"/>
  <c r="E3053" i="1"/>
  <c r="E3054" i="1"/>
  <c r="E3055" i="1"/>
  <c r="E3050" i="1"/>
  <c r="E3045" i="1"/>
  <c r="E3046" i="1"/>
  <c r="E3047" i="1"/>
  <c r="E3048" i="1"/>
  <c r="E3049" i="1"/>
  <c r="E3145" i="1"/>
  <c r="E3155" i="1"/>
  <c r="E3144" i="1"/>
  <c r="E3197" i="1"/>
  <c r="E2865" i="1"/>
  <c r="E3180" i="1"/>
  <c r="E3181" i="1"/>
  <c r="E3182" i="1"/>
  <c r="E3183" i="1"/>
  <c r="E3184" i="1"/>
  <c r="E3098" i="1"/>
  <c r="E3075" i="1"/>
  <c r="E3076" i="1"/>
  <c r="E5636" i="1"/>
  <c r="E3030" i="1"/>
  <c r="E3059" i="1"/>
  <c r="E3185" i="1"/>
  <c r="E3104" i="1"/>
  <c r="E3074" i="1"/>
  <c r="E3077" i="1"/>
  <c r="E3179" i="1"/>
  <c r="E3101" i="1"/>
  <c r="E3065" i="1"/>
  <c r="E2962" i="1"/>
  <c r="E3103" i="1"/>
  <c r="E3072" i="1"/>
  <c r="E2859" i="1"/>
  <c r="E3066" i="1"/>
  <c r="E3067" i="1"/>
  <c r="E3068" i="1"/>
  <c r="E3069" i="1"/>
  <c r="E3070" i="1"/>
  <c r="E3071" i="1"/>
  <c r="E3102" i="1"/>
  <c r="E2953" i="1"/>
  <c r="E2948" i="1"/>
  <c r="E3056" i="1"/>
  <c r="E3061" i="1"/>
  <c r="E3107" i="1"/>
  <c r="E3108" i="1"/>
  <c r="E3100" i="1"/>
  <c r="E3106" i="1"/>
  <c r="E3105" i="1"/>
  <c r="E3186" i="1"/>
  <c r="E3109" i="1"/>
  <c r="E3110" i="1"/>
  <c r="E3113" i="1"/>
  <c r="E3114" i="1"/>
  <c r="E3112" i="1"/>
  <c r="E3111" i="1"/>
  <c r="E3116" i="1"/>
  <c r="E3117" i="1"/>
  <c r="E3115" i="1"/>
  <c r="E3119" i="1"/>
  <c r="E3120" i="1"/>
  <c r="E3118" i="1"/>
  <c r="E3126" i="1"/>
  <c r="E3127" i="1"/>
  <c r="E3121" i="1"/>
  <c r="E3125" i="1"/>
  <c r="E3123" i="1"/>
  <c r="E3154" i="1"/>
  <c r="E3130" i="1"/>
  <c r="E3143" i="1"/>
  <c r="E3132" i="1"/>
  <c r="E3133" i="1"/>
  <c r="E3131" i="1"/>
  <c r="E3137" i="1"/>
  <c r="E3161" i="1"/>
  <c r="E3163" i="1"/>
  <c r="E3162" i="1"/>
  <c r="E3165" i="1"/>
  <c r="E3166" i="1"/>
  <c r="E3152" i="1"/>
  <c r="E3189" i="1"/>
  <c r="E3205" i="1"/>
  <c r="E3215" i="1"/>
  <c r="E3236" i="1"/>
  <c r="E3237" i="1"/>
  <c r="E3250" i="1"/>
  <c r="E3239" i="1"/>
  <c r="E3240" i="1"/>
  <c r="E3252" i="1"/>
  <c r="E3229" i="1"/>
  <c r="E3216" i="1"/>
  <c r="E3230" i="1"/>
  <c r="E3241" i="1"/>
  <c r="E3243" i="1"/>
  <c r="E3217" i="1"/>
  <c r="E3202" i="1"/>
  <c r="E3254" i="1"/>
  <c r="E3201" i="1"/>
  <c r="E3214" i="1"/>
  <c r="E3206" i="1"/>
  <c r="E3200" i="1"/>
  <c r="E3231" i="1"/>
  <c r="E3207" i="1"/>
  <c r="E3208" i="1"/>
  <c r="E3258" i="1"/>
  <c r="E3255" i="1"/>
  <c r="E3234" i="1"/>
  <c r="E3218" i="1"/>
  <c r="E3220" i="1"/>
  <c r="E3221" i="1"/>
  <c r="E4627" i="1"/>
  <c r="E3406" i="1"/>
  <c r="E3360" i="1"/>
  <c r="E3210" i="1"/>
  <c r="E3434" i="1"/>
  <c r="E3259" i="1"/>
  <c r="E3235" i="1"/>
  <c r="E3204" i="1"/>
  <c r="E3437" i="1"/>
  <c r="E3224" i="1"/>
  <c r="E3408" i="1"/>
  <c r="E3427" i="1"/>
  <c r="E3225" i="1"/>
  <c r="E3211" i="1"/>
  <c r="E3212" i="1"/>
  <c r="E3213" i="1"/>
  <c r="E3232" i="1"/>
  <c r="E3261" i="1"/>
  <c r="E3260" i="1"/>
  <c r="E3209" i="1"/>
  <c r="E3264" i="1"/>
  <c r="E3262" i="1"/>
  <c r="E3263" i="1"/>
  <c r="E3265" i="1"/>
  <c r="E3267" i="1"/>
  <c r="E3268" i="1"/>
  <c r="E3266" i="1"/>
  <c r="E3272" i="1"/>
  <c r="E3274" i="1"/>
  <c r="E3273" i="1"/>
  <c r="E3278" i="1"/>
  <c r="E3279" i="1"/>
  <c r="E3277" i="1"/>
  <c r="E3276" i="1"/>
  <c r="E3283" i="1"/>
  <c r="E3284" i="1"/>
  <c r="E3285" i="1"/>
  <c r="E3282" i="1"/>
  <c r="E3281" i="1"/>
  <c r="E3286" i="1"/>
  <c r="E3287" i="1"/>
  <c r="E3288" i="1"/>
  <c r="E3289" i="1"/>
  <c r="E3290" i="1"/>
  <c r="E3294" i="1"/>
  <c r="E3292" i="1"/>
  <c r="E3293" i="1"/>
  <c r="E3291" i="1"/>
  <c r="E3297" i="1"/>
  <c r="E3295" i="1"/>
  <c r="E3298" i="1"/>
  <c r="E3299" i="1"/>
  <c r="E3296" i="1"/>
  <c r="E3302" i="1"/>
  <c r="E3300" i="1"/>
  <c r="E3301" i="1"/>
  <c r="E3305" i="1"/>
  <c r="E3307" i="1"/>
  <c r="E3303" i="1"/>
  <c r="E3306" i="1"/>
  <c r="E3304" i="1"/>
  <c r="E3309" i="1"/>
  <c r="E3310" i="1"/>
  <c r="E3311" i="1"/>
  <c r="E3308" i="1"/>
  <c r="E3313" i="1"/>
  <c r="E3314" i="1"/>
  <c r="E3312" i="1"/>
  <c r="E3317" i="1"/>
  <c r="E3315" i="1"/>
  <c r="E3316" i="1"/>
  <c r="E3320" i="1"/>
  <c r="E3321" i="1"/>
  <c r="E3322" i="1"/>
  <c r="E3319" i="1"/>
  <c r="E3324" i="1"/>
  <c r="E3325" i="1"/>
  <c r="E3323" i="1"/>
  <c r="E3327" i="1"/>
  <c r="E3326" i="1"/>
  <c r="E3329" i="1"/>
  <c r="E3330" i="1"/>
  <c r="E3328" i="1"/>
  <c r="E3333" i="1"/>
  <c r="E3334" i="1"/>
  <c r="E3332" i="1"/>
  <c r="E3331" i="1"/>
  <c r="E3242" i="1"/>
  <c r="E3335" i="1"/>
  <c r="E3341" i="1"/>
  <c r="E3340" i="1"/>
  <c r="E3339" i="1"/>
  <c r="E3342" i="1"/>
  <c r="E3343" i="1"/>
  <c r="E3344" i="1"/>
  <c r="E3347" i="1"/>
  <c r="E3345" i="1"/>
  <c r="E3346" i="1"/>
  <c r="E3348" i="1"/>
  <c r="E3350" i="1"/>
  <c r="E3349" i="1"/>
  <c r="E3947" i="1"/>
  <c r="E3352" i="1"/>
  <c r="E3353" i="1"/>
  <c r="E3351" i="1"/>
  <c r="E3356" i="1"/>
  <c r="E3354" i="1"/>
  <c r="E3355" i="1"/>
  <c r="E3359" i="1"/>
  <c r="E3357" i="1"/>
  <c r="E3358" i="1"/>
  <c r="E3238" i="1"/>
  <c r="E3436" i="1"/>
  <c r="E2150" i="1"/>
  <c r="E2148" i="1"/>
  <c r="E2149" i="1"/>
  <c r="E3367" i="1"/>
  <c r="E3365" i="1"/>
  <c r="E3366" i="1"/>
  <c r="E3370" i="1"/>
  <c r="E3368" i="1"/>
  <c r="E3369" i="1"/>
  <c r="E3372" i="1"/>
  <c r="E3371" i="1"/>
  <c r="E3373" i="1"/>
  <c r="E3375" i="1"/>
  <c r="E3374" i="1"/>
  <c r="E3378" i="1"/>
  <c r="E3377" i="1"/>
  <c r="E3376" i="1"/>
  <c r="E3382" i="1"/>
  <c r="E3381" i="1"/>
  <c r="E3380" i="1"/>
  <c r="E3383" i="1"/>
  <c r="E3384" i="1"/>
  <c r="E3386" i="1"/>
  <c r="E3385" i="1"/>
  <c r="E3388" i="1"/>
  <c r="E3390" i="1"/>
  <c r="E3389" i="1"/>
  <c r="E3431" i="1"/>
  <c r="E3394" i="1"/>
  <c r="E3401" i="1"/>
  <c r="E3400" i="1"/>
  <c r="E3399" i="1"/>
  <c r="E3403" i="1"/>
  <c r="E3404" i="1"/>
  <c r="E3402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76" i="1"/>
  <c r="E3477" i="1"/>
  <c r="E3478" i="1"/>
  <c r="E3492" i="1"/>
  <c r="E3493" i="1"/>
  <c r="E3465" i="1"/>
  <c r="E3466" i="1"/>
  <c r="E3467" i="1"/>
  <c r="E3468" i="1"/>
  <c r="E3469" i="1"/>
  <c r="E3470" i="1"/>
  <c r="E3471" i="1"/>
  <c r="E3472" i="1"/>
  <c r="E3473" i="1"/>
  <c r="E3474" i="1"/>
  <c r="E3475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4" i="1"/>
  <c r="E3498" i="1"/>
  <c r="E3497" i="1"/>
  <c r="E3495" i="1"/>
  <c r="E3496" i="1"/>
  <c r="E3507" i="1"/>
  <c r="E3509" i="1"/>
  <c r="E3428" i="1"/>
  <c r="E3503" i="1"/>
  <c r="E3504" i="1"/>
  <c r="E3505" i="1"/>
  <c r="E3506" i="1"/>
  <c r="E3499" i="1"/>
  <c r="E3500" i="1"/>
  <c r="E3501" i="1"/>
  <c r="E3502" i="1"/>
  <c r="E3508" i="1"/>
  <c r="E3510" i="1"/>
  <c r="E3511" i="1"/>
  <c r="E3512" i="1"/>
  <c r="E3513" i="1"/>
  <c r="E3514" i="1"/>
  <c r="E3515" i="1"/>
  <c r="E3516" i="1"/>
  <c r="E3517" i="1"/>
  <c r="E3518" i="1"/>
  <c r="E3519" i="1"/>
  <c r="E3520" i="1"/>
  <c r="E3433" i="1"/>
  <c r="E3521" i="1"/>
  <c r="E3522" i="1"/>
  <c r="E3526" i="1"/>
  <c r="E3531" i="1"/>
  <c r="E3530" i="1"/>
  <c r="E3534" i="1"/>
  <c r="E3533" i="1"/>
  <c r="E3532" i="1"/>
  <c r="E3538" i="1"/>
  <c r="E3535" i="1"/>
  <c r="E3537" i="1"/>
  <c r="E3536" i="1"/>
  <c r="E3541" i="1"/>
  <c r="E3540" i="1"/>
  <c r="E3539" i="1"/>
  <c r="E3544" i="1"/>
  <c r="E3543" i="1"/>
  <c r="E3542" i="1"/>
  <c r="E3548" i="1"/>
  <c r="E3546" i="1"/>
  <c r="E3547" i="1"/>
  <c r="E3545" i="1"/>
  <c r="E3550" i="1"/>
  <c r="E3549" i="1"/>
  <c r="E3553" i="1"/>
  <c r="E3551" i="1"/>
  <c r="E3554" i="1"/>
  <c r="E3552" i="1"/>
  <c r="E3556" i="1"/>
  <c r="E3557" i="1"/>
  <c r="E3555" i="1"/>
  <c r="E3561" i="1"/>
  <c r="E3559" i="1"/>
  <c r="E3558" i="1"/>
  <c r="E3560" i="1"/>
  <c r="E3563" i="1"/>
  <c r="E3562" i="1"/>
  <c r="E3566" i="1"/>
  <c r="E3564" i="1"/>
  <c r="E3565" i="1"/>
  <c r="E3571" i="1"/>
  <c r="E3570" i="1"/>
  <c r="E3569" i="1"/>
  <c r="E3568" i="1"/>
  <c r="E3567" i="1"/>
  <c r="E3573" i="1"/>
  <c r="E3572" i="1"/>
  <c r="E3576" i="1"/>
  <c r="E3575" i="1"/>
  <c r="E3574" i="1"/>
  <c r="E3579" i="1"/>
  <c r="E3578" i="1"/>
  <c r="E3577" i="1"/>
  <c r="E3582" i="1"/>
  <c r="E3581" i="1"/>
  <c r="E3580" i="1"/>
  <c r="E3585" i="1"/>
  <c r="E3584" i="1"/>
  <c r="E3583" i="1"/>
  <c r="E3588" i="1"/>
  <c r="E3587" i="1"/>
  <c r="E3586" i="1"/>
  <c r="E3591" i="1"/>
  <c r="E3590" i="1"/>
  <c r="E3589" i="1"/>
  <c r="E3594" i="1"/>
  <c r="E3593" i="1"/>
  <c r="E3592" i="1"/>
  <c r="E3599" i="1"/>
  <c r="E3598" i="1"/>
  <c r="E3596" i="1"/>
  <c r="E3595" i="1"/>
  <c r="E3597" i="1"/>
  <c r="E3600" i="1"/>
  <c r="E3601" i="1"/>
  <c r="E3602" i="1"/>
  <c r="E3605" i="1"/>
  <c r="E3604" i="1"/>
  <c r="E3603" i="1"/>
  <c r="E3608" i="1"/>
  <c r="E3606" i="1"/>
  <c r="E3607" i="1"/>
  <c r="E3611" i="1"/>
  <c r="E3609" i="1"/>
  <c r="E3610" i="1"/>
  <c r="E3614" i="1"/>
  <c r="E3612" i="1"/>
  <c r="E3613" i="1"/>
  <c r="E3617" i="1"/>
  <c r="E3615" i="1"/>
  <c r="E3616" i="1"/>
  <c r="E3620" i="1"/>
  <c r="E3618" i="1"/>
  <c r="E3619" i="1"/>
  <c r="E3621" i="1"/>
  <c r="E3624" i="1"/>
  <c r="E3622" i="1"/>
  <c r="E3623" i="1"/>
  <c r="E3627" i="1"/>
  <c r="E3625" i="1"/>
  <c r="E3626" i="1"/>
  <c r="E3628" i="1"/>
  <c r="E3630" i="1"/>
  <c r="E630" i="1"/>
  <c r="E3633" i="1"/>
  <c r="E3632" i="1"/>
  <c r="E3631" i="1"/>
  <c r="E3636" i="1"/>
  <c r="E3635" i="1"/>
  <c r="E3634" i="1"/>
  <c r="E3639" i="1"/>
  <c r="E3638" i="1"/>
  <c r="E3637" i="1"/>
  <c r="E3642" i="1"/>
  <c r="E3641" i="1"/>
  <c r="E3640" i="1"/>
  <c r="E3651" i="1"/>
  <c r="E3652" i="1"/>
  <c r="E3653" i="1"/>
  <c r="E3655" i="1"/>
  <c r="E3656" i="1"/>
  <c r="E3657" i="1"/>
  <c r="E3658" i="1"/>
  <c r="E3659" i="1"/>
  <c r="E3660" i="1"/>
  <c r="E3661" i="1"/>
  <c r="E3662" i="1"/>
  <c r="E3663" i="1"/>
  <c r="E3683" i="1"/>
  <c r="E3667" i="1"/>
  <c r="E3666" i="1"/>
  <c r="E3664" i="1"/>
  <c r="E3669" i="1"/>
  <c r="E3670" i="1"/>
  <c r="E3672" i="1"/>
  <c r="E3665" i="1"/>
  <c r="E3668" i="1"/>
  <c r="E3673" i="1"/>
  <c r="E3233" i="1"/>
  <c r="E3674" i="1"/>
  <c r="E3678" i="1"/>
  <c r="E3677" i="1"/>
  <c r="E3680" i="1"/>
  <c r="E3679" i="1"/>
  <c r="E3682" i="1"/>
  <c r="E3681" i="1"/>
  <c r="E3684" i="1"/>
  <c r="E3685" i="1"/>
  <c r="E3728" i="1"/>
  <c r="E3710" i="1"/>
  <c r="E3711" i="1"/>
  <c r="E552" i="1"/>
  <c r="E3743" i="1"/>
  <c r="E3735" i="1"/>
  <c r="E3831" i="1"/>
  <c r="E3830" i="1"/>
  <c r="E3874" i="1"/>
  <c r="E3705" i="1"/>
  <c r="E3870" i="1"/>
  <c r="E3697" i="1"/>
  <c r="E3713" i="1"/>
  <c r="E3714" i="1"/>
  <c r="E3708" i="1"/>
  <c r="E3709" i="1"/>
  <c r="E3869" i="1"/>
  <c r="E3715" i="1"/>
  <c r="E3716" i="1"/>
  <c r="E3717" i="1"/>
  <c r="E3718" i="1"/>
  <c r="E3719" i="1"/>
  <c r="E3720" i="1"/>
  <c r="E3721" i="1"/>
  <c r="E3722" i="1"/>
  <c r="E3723" i="1"/>
  <c r="E3724" i="1"/>
  <c r="E3781" i="1"/>
  <c r="E2045" i="1"/>
  <c r="E2046" i="1"/>
  <c r="E3791" i="1"/>
  <c r="E3793" i="1"/>
  <c r="E3792" i="1"/>
  <c r="E3790" i="1"/>
  <c r="E2096" i="1"/>
  <c r="E3849" i="1"/>
  <c r="E3807" i="1"/>
  <c r="E3808" i="1"/>
  <c r="E3813" i="1"/>
  <c r="E5490" i="1"/>
  <c r="E3810" i="1"/>
  <c r="E3811" i="1"/>
  <c r="E3821" i="1"/>
  <c r="E3822" i="1"/>
  <c r="E3819" i="1"/>
  <c r="E3823" i="1"/>
  <c r="E3795" i="1"/>
  <c r="E3872" i="1"/>
  <c r="E4326" i="1"/>
  <c r="E4323" i="1"/>
  <c r="E4324" i="1"/>
  <c r="E4325" i="1"/>
  <c r="E4264" i="1"/>
  <c r="E4327" i="1"/>
  <c r="E4328" i="1"/>
  <c r="E4304" i="1"/>
  <c r="E4305" i="1"/>
  <c r="E4306" i="1"/>
  <c r="E4385" i="1"/>
  <c r="E4386" i="1"/>
  <c r="E4387" i="1"/>
  <c r="E4388" i="1"/>
  <c r="E4398" i="1"/>
  <c r="E4399" i="1"/>
  <c r="E4400" i="1"/>
  <c r="E4401" i="1"/>
  <c r="E4437" i="1"/>
  <c r="E4438" i="1"/>
  <c r="E4439" i="1"/>
  <c r="E4443" i="1"/>
  <c r="E4444" i="1"/>
  <c r="E4445" i="1"/>
  <c r="E4440" i="1"/>
  <c r="E4441" i="1"/>
  <c r="E4446" i="1"/>
  <c r="E4447" i="1"/>
  <c r="E4448" i="1"/>
  <c r="E4442" i="1"/>
  <c r="E4433" i="1"/>
  <c r="E4403" i="1"/>
  <c r="E4404" i="1"/>
  <c r="E4421" i="1"/>
  <c r="E4402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2" i="1"/>
  <c r="E4423" i="1"/>
  <c r="E4424" i="1"/>
  <c r="E4425" i="1"/>
  <c r="E4426" i="1"/>
  <c r="E4427" i="1"/>
  <c r="E4428" i="1"/>
  <c r="E4429" i="1"/>
  <c r="E4430" i="1"/>
  <c r="E4431" i="1"/>
  <c r="E4432" i="1"/>
  <c r="E4434" i="1"/>
  <c r="E4449" i="1"/>
  <c r="E4435" i="1"/>
  <c r="E4436" i="1"/>
  <c r="E4459" i="1"/>
  <c r="E4460" i="1"/>
  <c r="E4262" i="1"/>
  <c r="E4263" i="1"/>
  <c r="E4261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94" i="1"/>
  <c r="E4288" i="1"/>
  <c r="E4289" i="1"/>
  <c r="E4290" i="1"/>
  <c r="E4291" i="1"/>
  <c r="E4379" i="1"/>
  <c r="E4383" i="1"/>
  <c r="E4329" i="1"/>
  <c r="E4382" i="1"/>
  <c r="E4380" i="1"/>
  <c r="E4381" i="1"/>
  <c r="E4292" i="1"/>
  <c r="E4293" i="1"/>
  <c r="E4389" i="1"/>
  <c r="E4390" i="1"/>
  <c r="E4394" i="1"/>
  <c r="E4396" i="1"/>
  <c r="E4397" i="1"/>
  <c r="E4393" i="1"/>
  <c r="E4392" i="1"/>
  <c r="E4395" i="1"/>
  <c r="E4452" i="1"/>
  <c r="E4453" i="1"/>
  <c r="E4454" i="1"/>
  <c r="E4451" i="1"/>
  <c r="E4450" i="1"/>
  <c r="E4455" i="1"/>
  <c r="E4456" i="1"/>
  <c r="F186" i="3" l="1"/>
  <c r="E186" i="3"/>
  <c r="D186" i="3"/>
  <c r="F185" i="3"/>
  <c r="E185" i="3"/>
  <c r="D185" i="3"/>
  <c r="F184" i="3"/>
  <c r="E184" i="3"/>
  <c r="D184" i="3"/>
  <c r="F183" i="3"/>
  <c r="E183" i="3"/>
  <c r="D183" i="3"/>
  <c r="F182" i="3"/>
  <c r="E182" i="3"/>
  <c r="D182" i="3"/>
  <c r="F181" i="3"/>
  <c r="E181" i="3"/>
  <c r="D181" i="3"/>
  <c r="F180" i="3"/>
  <c r="E180" i="3"/>
  <c r="D180" i="3"/>
  <c r="F179" i="3"/>
  <c r="E179" i="3"/>
  <c r="D179" i="3"/>
  <c r="F178" i="3"/>
  <c r="E178" i="3"/>
  <c r="D178" i="3"/>
  <c r="F177" i="3"/>
  <c r="E177" i="3"/>
  <c r="D177" i="3"/>
  <c r="F176" i="3"/>
  <c r="E176" i="3"/>
  <c r="D176" i="3"/>
  <c r="F175" i="3"/>
  <c r="E175" i="3"/>
  <c r="D175" i="3"/>
  <c r="F174" i="3"/>
  <c r="E174" i="3"/>
  <c r="D174" i="3"/>
  <c r="F173" i="3"/>
  <c r="E173" i="3"/>
  <c r="D173" i="3"/>
  <c r="F172" i="3"/>
  <c r="E172" i="3"/>
  <c r="D172" i="3"/>
  <c r="F171" i="3"/>
  <c r="E171" i="3"/>
  <c r="D171" i="3"/>
  <c r="F170" i="3"/>
  <c r="E170" i="3"/>
  <c r="D170" i="3"/>
  <c r="F169" i="3" l="1"/>
  <c r="E169" i="3"/>
  <c r="D169" i="3"/>
  <c r="F168" i="3"/>
  <c r="E168" i="3"/>
  <c r="D168" i="3"/>
  <c r="F167" i="3"/>
  <c r="E167" i="3"/>
  <c r="D167" i="3"/>
  <c r="F166" i="3"/>
  <c r="E166" i="3"/>
  <c r="D166" i="3"/>
  <c r="F165" i="3"/>
  <c r="E165" i="3"/>
  <c r="D165" i="3"/>
  <c r="F164" i="3"/>
  <c r="E164" i="3"/>
  <c r="D164" i="3"/>
  <c r="F163" i="3"/>
  <c r="E163" i="3"/>
  <c r="D163" i="3"/>
  <c r="F162" i="3"/>
  <c r="E162" i="3"/>
  <c r="D162" i="3"/>
  <c r="D85" i="3" l="1"/>
  <c r="E85" i="3"/>
  <c r="F85" i="3"/>
  <c r="D83" i="3"/>
  <c r="E83" i="3"/>
  <c r="F83" i="3"/>
  <c r="F159" i="3" l="1"/>
  <c r="E159" i="3"/>
  <c r="D159" i="3"/>
  <c r="F158" i="3"/>
  <c r="E158" i="3"/>
  <c r="D158" i="3"/>
  <c r="F157" i="3"/>
  <c r="E157" i="3"/>
  <c r="D157" i="3"/>
  <c r="F156" i="3"/>
  <c r="E156" i="3"/>
  <c r="D156" i="3"/>
  <c r="F155" i="3"/>
  <c r="E155" i="3"/>
  <c r="D155" i="3"/>
  <c r="F154" i="3"/>
  <c r="E154" i="3"/>
  <c r="D154" i="3"/>
  <c r="F153" i="3"/>
  <c r="E153" i="3"/>
  <c r="D153" i="3"/>
  <c r="F152" i="3"/>
  <c r="E152" i="3"/>
  <c r="D152" i="3"/>
  <c r="F151" i="3"/>
  <c r="E151" i="3"/>
  <c r="D151" i="3"/>
  <c r="F150" i="3"/>
  <c r="E150" i="3"/>
  <c r="D150" i="3"/>
  <c r="F149" i="3"/>
  <c r="E149" i="3"/>
  <c r="D149" i="3"/>
  <c r="F148" i="3"/>
  <c r="E148" i="3"/>
  <c r="D148" i="3"/>
  <c r="F147" i="3"/>
  <c r="E147" i="3"/>
  <c r="D147" i="3"/>
  <c r="F146" i="3"/>
  <c r="E146" i="3"/>
  <c r="D146" i="3"/>
  <c r="F145" i="3"/>
  <c r="E145" i="3"/>
  <c r="D145" i="3"/>
  <c r="F144" i="3"/>
  <c r="E144" i="3"/>
  <c r="D144" i="3"/>
  <c r="F143" i="3"/>
  <c r="E143" i="3"/>
  <c r="D143" i="3"/>
  <c r="F142" i="3"/>
  <c r="E142" i="3"/>
  <c r="D142" i="3"/>
  <c r="F141" i="3"/>
  <c r="E141" i="3"/>
  <c r="D141" i="3"/>
  <c r="F140" i="3"/>
  <c r="E140" i="3"/>
  <c r="D140" i="3"/>
  <c r="F139" i="3"/>
  <c r="E139" i="3"/>
  <c r="D139" i="3"/>
  <c r="F138" i="3"/>
  <c r="E138" i="3"/>
  <c r="D138" i="3"/>
  <c r="F137" i="3"/>
  <c r="E137" i="3"/>
  <c r="D137" i="3"/>
  <c r="F136" i="3"/>
  <c r="E136" i="3"/>
  <c r="D136" i="3"/>
  <c r="F135" i="3"/>
  <c r="E135" i="3"/>
  <c r="D135" i="3"/>
  <c r="F134" i="3"/>
  <c r="E134" i="3"/>
  <c r="D134" i="3"/>
  <c r="F133" i="3"/>
  <c r="E133" i="3"/>
  <c r="D133" i="3"/>
  <c r="F132" i="3"/>
  <c r="E132" i="3"/>
  <c r="D132" i="3"/>
  <c r="F131" i="3"/>
  <c r="E131" i="3"/>
  <c r="D131" i="3"/>
  <c r="F130" i="3"/>
  <c r="E130" i="3"/>
  <c r="D130" i="3"/>
  <c r="F129" i="3"/>
  <c r="E129" i="3"/>
  <c r="D129" i="3"/>
  <c r="F128" i="3"/>
  <c r="E128" i="3"/>
  <c r="D128" i="3"/>
  <c r="F127" i="3"/>
  <c r="E127" i="3"/>
  <c r="D127" i="3"/>
  <c r="F126" i="3"/>
  <c r="E126" i="3"/>
  <c r="D126" i="3"/>
  <c r="F125" i="3"/>
  <c r="E125" i="3"/>
  <c r="D125" i="3"/>
  <c r="F124" i="3"/>
  <c r="E124" i="3"/>
  <c r="D124" i="3"/>
  <c r="F123" i="3"/>
  <c r="E123" i="3"/>
  <c r="D123" i="3"/>
  <c r="F122" i="3"/>
  <c r="E122" i="3"/>
  <c r="D122" i="3"/>
  <c r="F121" i="3"/>
  <c r="E121" i="3"/>
  <c r="D121" i="3"/>
  <c r="F120" i="3"/>
  <c r="E120" i="3"/>
  <c r="D120" i="3"/>
  <c r="F119" i="3"/>
  <c r="E119" i="3"/>
  <c r="D119" i="3"/>
  <c r="F118" i="3"/>
  <c r="E118" i="3"/>
  <c r="D118" i="3"/>
  <c r="F117" i="3"/>
  <c r="E117" i="3"/>
  <c r="D117" i="3"/>
  <c r="F116" i="3"/>
  <c r="E116" i="3"/>
  <c r="D116" i="3"/>
  <c r="F115" i="3"/>
  <c r="E115" i="3"/>
  <c r="D115" i="3"/>
  <c r="F114" i="3"/>
  <c r="E114" i="3"/>
  <c r="D114" i="3"/>
  <c r="F113" i="3"/>
  <c r="E113" i="3"/>
  <c r="D113" i="3"/>
  <c r="F112" i="3"/>
  <c r="E112" i="3"/>
  <c r="D112" i="3"/>
  <c r="F111" i="3"/>
  <c r="E111" i="3"/>
  <c r="D111" i="3"/>
  <c r="F110" i="3"/>
  <c r="E110" i="3"/>
  <c r="D110" i="3"/>
  <c r="F109" i="3"/>
  <c r="E109" i="3"/>
  <c r="D109" i="3"/>
  <c r="F108" i="3"/>
  <c r="E108" i="3"/>
  <c r="D108" i="3"/>
  <c r="F107" i="3"/>
  <c r="E107" i="3"/>
  <c r="D107" i="3"/>
  <c r="F106" i="3"/>
  <c r="E106" i="3"/>
  <c r="D106" i="3"/>
  <c r="F105" i="3"/>
  <c r="E105" i="3"/>
  <c r="D105" i="3"/>
  <c r="F104" i="3"/>
  <c r="E104" i="3"/>
  <c r="D104" i="3"/>
  <c r="F103" i="3"/>
  <c r="E103" i="3"/>
  <c r="D103" i="3"/>
  <c r="F102" i="3"/>
  <c r="E102" i="3"/>
  <c r="D102" i="3"/>
  <c r="F101" i="3"/>
  <c r="E101" i="3"/>
  <c r="D101" i="3"/>
  <c r="F100" i="3"/>
  <c r="E100" i="3"/>
  <c r="D100" i="3"/>
  <c r="F99" i="3"/>
  <c r="E99" i="3"/>
  <c r="D99" i="3"/>
  <c r="F98" i="3"/>
  <c r="E98" i="3"/>
  <c r="D98" i="3"/>
  <c r="F97" i="3"/>
  <c r="E97" i="3"/>
  <c r="D97" i="3"/>
  <c r="F96" i="3"/>
  <c r="E96" i="3"/>
  <c r="D96" i="3"/>
  <c r="F95" i="3"/>
  <c r="E95" i="3"/>
  <c r="D95" i="3"/>
  <c r="F94" i="3"/>
  <c r="E94" i="3"/>
  <c r="D94" i="3"/>
  <c r="F93" i="3"/>
  <c r="E93" i="3"/>
  <c r="D93" i="3"/>
  <c r="F92" i="3"/>
  <c r="E92" i="3"/>
  <c r="D92" i="3"/>
  <c r="F91" i="3"/>
  <c r="E91" i="3"/>
  <c r="D91" i="3"/>
  <c r="F90" i="3"/>
  <c r="E90" i="3"/>
  <c r="D90" i="3"/>
  <c r="F89" i="3"/>
  <c r="E89" i="3"/>
  <c r="D89" i="3"/>
  <c r="F88" i="3"/>
  <c r="E88" i="3"/>
  <c r="D88" i="3"/>
  <c r="F87" i="3"/>
  <c r="E87" i="3"/>
  <c r="D87" i="3"/>
  <c r="F86" i="3"/>
  <c r="E86" i="3"/>
  <c r="D86" i="3"/>
  <c r="F84" i="3"/>
  <c r="E84" i="3"/>
  <c r="D84" i="3"/>
  <c r="F82" i="3"/>
  <c r="E82" i="3"/>
  <c r="D82" i="3"/>
  <c r="F81" i="3"/>
  <c r="E81" i="3"/>
  <c r="D81" i="3"/>
  <c r="F80" i="3"/>
  <c r="E80" i="3"/>
  <c r="D80" i="3"/>
  <c r="F79" i="3"/>
  <c r="E79" i="3"/>
  <c r="D79" i="3"/>
  <c r="F78" i="3"/>
  <c r="E78" i="3"/>
  <c r="D78" i="3"/>
  <c r="F77" i="3"/>
  <c r="E77" i="3"/>
  <c r="D77" i="3"/>
  <c r="F76" i="3"/>
  <c r="E76" i="3"/>
  <c r="D76" i="3"/>
  <c r="F75" i="3"/>
  <c r="E75" i="3"/>
  <c r="D75" i="3"/>
  <c r="F74" i="3"/>
  <c r="E74" i="3"/>
  <c r="D74" i="3"/>
  <c r="F73" i="3"/>
  <c r="E73" i="3"/>
  <c r="D73" i="3"/>
  <c r="F72" i="3"/>
  <c r="E72" i="3"/>
  <c r="D72" i="3"/>
  <c r="F71" i="3"/>
  <c r="E71" i="3"/>
  <c r="D71" i="3"/>
  <c r="F70" i="3"/>
  <c r="E70" i="3"/>
  <c r="D70" i="3"/>
  <c r="F69" i="3"/>
  <c r="E69" i="3"/>
  <c r="D69" i="3"/>
  <c r="F68" i="3"/>
  <c r="E68" i="3"/>
  <c r="D68" i="3"/>
  <c r="F67" i="3"/>
  <c r="E67" i="3"/>
  <c r="D67" i="3"/>
  <c r="F66" i="3"/>
  <c r="E66" i="3"/>
  <c r="D66" i="3"/>
  <c r="F65" i="3"/>
  <c r="E65" i="3"/>
  <c r="D65" i="3"/>
  <c r="F64" i="3"/>
  <c r="E64" i="3"/>
  <c r="D64" i="3"/>
  <c r="F63" i="3"/>
  <c r="E63" i="3"/>
  <c r="D63" i="3"/>
  <c r="F62" i="3"/>
  <c r="E62" i="3"/>
  <c r="D62" i="3"/>
  <c r="F61" i="3"/>
  <c r="E61" i="3"/>
  <c r="D61" i="3"/>
  <c r="F60" i="3"/>
  <c r="E60" i="3"/>
  <c r="D60" i="3"/>
  <c r="F59" i="3"/>
  <c r="E59" i="3"/>
  <c r="D59" i="3"/>
  <c r="F58" i="3"/>
  <c r="E58" i="3"/>
  <c r="D58" i="3"/>
  <c r="F57" i="3"/>
  <c r="E57" i="3"/>
  <c r="D57" i="3"/>
  <c r="F56" i="3"/>
  <c r="E56" i="3"/>
  <c r="D56" i="3"/>
  <c r="F55" i="3"/>
  <c r="E55" i="3"/>
  <c r="D55" i="3"/>
  <c r="F54" i="3"/>
  <c r="E54" i="3"/>
  <c r="D54" i="3"/>
  <c r="F53" i="3"/>
  <c r="E53" i="3"/>
  <c r="D53" i="3"/>
  <c r="F52" i="3"/>
  <c r="E52" i="3"/>
  <c r="D52" i="3"/>
  <c r="F51" i="3"/>
  <c r="E51" i="3"/>
  <c r="D51" i="3"/>
  <c r="F50" i="3"/>
  <c r="E50" i="3"/>
  <c r="D50" i="3"/>
  <c r="F49" i="3"/>
  <c r="E49" i="3"/>
  <c r="D49" i="3"/>
  <c r="F48" i="3"/>
  <c r="E48" i="3"/>
  <c r="D48" i="3"/>
  <c r="F47" i="3"/>
  <c r="E47" i="3"/>
  <c r="D47" i="3"/>
  <c r="F46" i="3"/>
  <c r="E46" i="3"/>
  <c r="D46" i="3"/>
  <c r="F45" i="3"/>
  <c r="E45" i="3"/>
  <c r="D45" i="3"/>
  <c r="F44" i="3"/>
  <c r="E44" i="3"/>
  <c r="D44" i="3"/>
  <c r="F43" i="3"/>
  <c r="E43" i="3"/>
  <c r="D43" i="3"/>
  <c r="F42" i="3"/>
  <c r="E42" i="3"/>
  <c r="D42" i="3"/>
  <c r="F41" i="3"/>
  <c r="E41" i="3"/>
  <c r="D41" i="3"/>
  <c r="F40" i="3"/>
  <c r="E40" i="3"/>
  <c r="D40" i="3"/>
  <c r="F39" i="3"/>
  <c r="E39" i="3"/>
  <c r="D39" i="3"/>
  <c r="F38" i="3"/>
  <c r="E38" i="3"/>
  <c r="D38" i="3"/>
  <c r="F37" i="3"/>
  <c r="E37" i="3"/>
  <c r="D37" i="3"/>
  <c r="F36" i="3"/>
  <c r="E36" i="3"/>
  <c r="D36" i="3"/>
  <c r="F35" i="3"/>
  <c r="E35" i="3"/>
  <c r="D35" i="3"/>
  <c r="F34" i="3"/>
  <c r="E34" i="3"/>
  <c r="D34" i="3"/>
  <c r="F33" i="3"/>
  <c r="E33" i="3"/>
  <c r="D33" i="3"/>
  <c r="F32" i="3"/>
  <c r="E32" i="3"/>
  <c r="D32" i="3"/>
  <c r="F31" i="3"/>
  <c r="E31" i="3"/>
  <c r="D31" i="3"/>
  <c r="F30" i="3"/>
  <c r="E30" i="3"/>
  <c r="D30" i="3"/>
  <c r="F29" i="3"/>
  <c r="E29" i="3"/>
  <c r="D29" i="3"/>
  <c r="F28" i="3"/>
  <c r="E28" i="3"/>
  <c r="D28" i="3"/>
  <c r="F27" i="3"/>
  <c r="E27" i="3"/>
  <c r="D27" i="3"/>
  <c r="F26" i="3"/>
  <c r="E26" i="3"/>
  <c r="D26" i="3"/>
  <c r="F25" i="3"/>
  <c r="E25" i="3"/>
  <c r="D25" i="3"/>
  <c r="F24" i="3"/>
  <c r="E24" i="3"/>
  <c r="D24" i="3"/>
  <c r="F23" i="3"/>
  <c r="E23" i="3"/>
  <c r="D23" i="3"/>
  <c r="F22" i="3"/>
  <c r="E22" i="3"/>
  <c r="D22" i="3"/>
  <c r="F21" i="3"/>
  <c r="E21" i="3"/>
  <c r="D21" i="3"/>
  <c r="F20" i="3"/>
  <c r="E20" i="3"/>
  <c r="D20" i="3"/>
  <c r="F19" i="3"/>
  <c r="E19" i="3"/>
  <c r="D19" i="3"/>
  <c r="F18" i="3"/>
  <c r="E18" i="3"/>
  <c r="D18" i="3"/>
  <c r="F17" i="3"/>
  <c r="E17" i="3"/>
  <c r="D17" i="3"/>
  <c r="F16" i="3"/>
  <c r="E16" i="3"/>
  <c r="D16" i="3"/>
  <c r="F15" i="3"/>
  <c r="E15" i="3"/>
  <c r="D15" i="3"/>
  <c r="F14" i="3"/>
  <c r="E14" i="3"/>
  <c r="D14" i="3"/>
  <c r="F13" i="3"/>
  <c r="E13" i="3"/>
  <c r="D13" i="3"/>
  <c r="F12" i="3"/>
  <c r="E12" i="3"/>
  <c r="D12" i="3"/>
  <c r="F11" i="3"/>
  <c r="E11" i="3"/>
  <c r="D11" i="3"/>
  <c r="F10" i="3"/>
  <c r="E10" i="3"/>
  <c r="D10" i="3"/>
  <c r="F9" i="3"/>
  <c r="E9" i="3"/>
  <c r="D9" i="3"/>
  <c r="F8" i="3"/>
  <c r="E8" i="3"/>
  <c r="D8" i="3"/>
  <c r="F7" i="3"/>
  <c r="E7" i="3"/>
  <c r="D7" i="3"/>
  <c r="F6" i="3"/>
  <c r="E6" i="3"/>
  <c r="D6" i="3"/>
  <c r="F5" i="3"/>
  <c r="E5" i="3"/>
  <c r="D5" i="3"/>
  <c r="F4" i="3"/>
  <c r="E4" i="3"/>
  <c r="D4" i="3"/>
  <c r="F3" i="3"/>
  <c r="E3" i="3"/>
  <c r="D3" i="3"/>
  <c r="F2" i="3"/>
  <c r="E2" i="3"/>
  <c r="D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Ali Asghar. Parvaneh</author>
  </authors>
  <commentList>
    <comment ref="B40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Ali Asghar. Parvaneh: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کیس قبلی با کد اموال 600624 به دلیل مشکل مادربرد داغی اعلام گردید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Ali Asghar. Parvaneh</author>
  </authors>
  <commentList>
    <comment ref="B13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Ali Asghar. Parvaneh: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مانیتور به تهران ارسال شد جهت تعمیر</t>
        </r>
      </text>
    </comment>
  </commentList>
</comments>
</file>

<file path=xl/sharedStrings.xml><?xml version="1.0" encoding="utf-8"?>
<sst xmlns="http://schemas.openxmlformats.org/spreadsheetml/2006/main" count="46572" uniqueCount="8626">
  <si>
    <t>ردیف</t>
  </si>
  <si>
    <t xml:space="preserve">شماره سیستم </t>
  </si>
  <si>
    <t>اپراتور</t>
  </si>
  <si>
    <t xml:space="preserve">شماره سریال مانیتور </t>
  </si>
  <si>
    <t>کد اموال مانیتور</t>
  </si>
  <si>
    <t xml:space="preserve">کد اموال متعلقات </t>
  </si>
  <si>
    <t xml:space="preserve">کد اموال کیس </t>
  </si>
  <si>
    <t xml:space="preserve">مدل مانیتور </t>
  </si>
  <si>
    <t>محمدرضا کیوان</t>
  </si>
  <si>
    <t>مسعود صداقت</t>
  </si>
  <si>
    <t>هومن حسین پور</t>
  </si>
  <si>
    <t>مجید محجوبی</t>
  </si>
  <si>
    <t>حبیب یکان پور</t>
  </si>
  <si>
    <t>حمزه مسلمی</t>
  </si>
  <si>
    <t xml:space="preserve">واحد آی تی </t>
  </si>
  <si>
    <t>GG1C3</t>
  </si>
  <si>
    <t>GG2C3</t>
  </si>
  <si>
    <t>GG5C3</t>
  </si>
  <si>
    <t>GG6C3</t>
  </si>
  <si>
    <t>GG7C3</t>
  </si>
  <si>
    <t>GG9C3</t>
  </si>
  <si>
    <t>GG12C3</t>
  </si>
  <si>
    <t>GG13C3</t>
  </si>
  <si>
    <t>GG14C3</t>
  </si>
  <si>
    <t>GG15C3</t>
  </si>
  <si>
    <t>GG17C3</t>
  </si>
  <si>
    <t>GG19C3</t>
  </si>
  <si>
    <t>GG21C3</t>
  </si>
  <si>
    <t>GG22C3</t>
  </si>
  <si>
    <t>GG24C3</t>
  </si>
  <si>
    <t>GG25C3</t>
  </si>
  <si>
    <t>GG27C3</t>
  </si>
  <si>
    <t>GG28C3</t>
  </si>
  <si>
    <t>GG29C3</t>
  </si>
  <si>
    <t>GG30C3</t>
  </si>
  <si>
    <t>GG31C3</t>
  </si>
  <si>
    <t>GG32C3</t>
  </si>
  <si>
    <t>GG33C3</t>
  </si>
  <si>
    <t>Samsong 19" 1931 BF-LCD</t>
  </si>
  <si>
    <t>AOC 19" 197VA-LCD</t>
  </si>
  <si>
    <t>Samsong 19" 1931 B-LCD</t>
  </si>
  <si>
    <t>HP Officejet K7103</t>
  </si>
  <si>
    <t>وحید سعیدی</t>
  </si>
  <si>
    <t>مسعود دهنوی</t>
  </si>
  <si>
    <t>GG1C2</t>
  </si>
  <si>
    <t>GG2C2</t>
  </si>
  <si>
    <t>GG3C2</t>
  </si>
  <si>
    <t>GG4C2</t>
  </si>
  <si>
    <t>آذر نیک اختر</t>
  </si>
  <si>
    <t>علی اسفندیار پور</t>
  </si>
  <si>
    <t>مهبد شاهکوهی</t>
  </si>
  <si>
    <t>GG3C6</t>
  </si>
  <si>
    <t>GG8C6</t>
  </si>
  <si>
    <t>GG10C6</t>
  </si>
  <si>
    <t>GG14C6</t>
  </si>
  <si>
    <t>GG22C6</t>
  </si>
  <si>
    <t>GG27C6</t>
  </si>
  <si>
    <t>GG29C6</t>
  </si>
  <si>
    <t>GG35C6</t>
  </si>
  <si>
    <t>MMFA347644</t>
  </si>
  <si>
    <t>HP MFP-M127fn-Multi</t>
  </si>
  <si>
    <t>CNB9G3KLQ8</t>
  </si>
  <si>
    <t xml:space="preserve">0691008 - 202042497 </t>
  </si>
  <si>
    <t>TV 32" LG 32CS4610</t>
  </si>
  <si>
    <t>210ZVXJ13524</t>
  </si>
  <si>
    <t>HP LaserJet P2055</t>
  </si>
  <si>
    <t xml:space="preserve">CNCJL26338  </t>
  </si>
  <si>
    <t>1931  B.H9MN7.006056</t>
  </si>
  <si>
    <t>Canon Laser LBP3250</t>
  </si>
  <si>
    <t xml:space="preserve">MBBA103201  </t>
  </si>
  <si>
    <t xml:space="preserve">1931 BF.H9MNB.017649 </t>
  </si>
  <si>
    <t>SHARP AR-5516X</t>
  </si>
  <si>
    <t xml:space="preserve">1931  B.H9MN4.004139 </t>
  </si>
  <si>
    <t>21853061002266 / ID: 2013DJ9418</t>
  </si>
  <si>
    <t xml:space="preserve">517018-80858629  </t>
  </si>
  <si>
    <t>GG7C4</t>
  </si>
  <si>
    <t>GG11C4</t>
  </si>
  <si>
    <t>GG29C4</t>
  </si>
  <si>
    <t>محمد سلیم نیا</t>
  </si>
  <si>
    <t>ابوالفضل مصطفوی</t>
  </si>
  <si>
    <t xml:space="preserve">محمد علی قویدل </t>
  </si>
  <si>
    <t>HP Laser Jet P2035</t>
  </si>
  <si>
    <t xml:space="preserve"> VNC3565042 </t>
  </si>
  <si>
    <t>AOCWHMAD84800143</t>
  </si>
  <si>
    <t>متعلقات 2</t>
  </si>
  <si>
    <t xml:space="preserve">فاقد اموال </t>
  </si>
  <si>
    <t>VNC6M69175</t>
  </si>
  <si>
    <t>GG36C8</t>
  </si>
  <si>
    <t>متعلقات 1</t>
  </si>
  <si>
    <t>AOC 22" V22-LED</t>
  </si>
  <si>
    <t xml:space="preserve">علیرضا اخوت </t>
  </si>
  <si>
    <t xml:space="preserve">حجت عزت نیا </t>
  </si>
  <si>
    <t xml:space="preserve">پیمان جعفری </t>
  </si>
  <si>
    <t xml:space="preserve">سالن کنفرانس </t>
  </si>
  <si>
    <t>GG34C3</t>
  </si>
  <si>
    <t>GG35C3</t>
  </si>
  <si>
    <t>GG36C3</t>
  </si>
  <si>
    <t>محمد عبدالهی</t>
  </si>
  <si>
    <t xml:space="preserve">کافی نت </t>
  </si>
  <si>
    <t>GG37C3</t>
  </si>
  <si>
    <t>GG38C3</t>
  </si>
  <si>
    <t>GG39C3</t>
  </si>
  <si>
    <t>GG40C3</t>
  </si>
  <si>
    <t>GG42C3</t>
  </si>
  <si>
    <t xml:space="preserve">محمد خواجوئی نژاد </t>
  </si>
  <si>
    <t>GG5C2</t>
  </si>
  <si>
    <t>GG6C2</t>
  </si>
  <si>
    <t>GG7C2</t>
  </si>
  <si>
    <t>GG8C2</t>
  </si>
  <si>
    <t>GG1C6</t>
  </si>
  <si>
    <t>LG 22" LCD W2262TQ</t>
  </si>
  <si>
    <t xml:space="preserve">0686003 - 011060033    </t>
  </si>
  <si>
    <t xml:space="preserve">0678005-006010447 </t>
  </si>
  <si>
    <t>Canon MF-4430-Multi</t>
  </si>
  <si>
    <t xml:space="preserve">HCT17787 </t>
  </si>
  <si>
    <t>NVR-HIKISAN  DS-7616NI-E2</t>
  </si>
  <si>
    <t xml:space="preserve">1931 BF.H9MN9.013194 </t>
  </si>
  <si>
    <t>GG6C6</t>
  </si>
  <si>
    <t>Video Projector Optomo EX5401</t>
  </si>
  <si>
    <t>Q8FR112AAAAAC0701</t>
  </si>
  <si>
    <t xml:space="preserve">1632NW.H9MNC.033169 </t>
  </si>
  <si>
    <t>1931 BF.H9MNB.018794</t>
  </si>
  <si>
    <t>GG2C5</t>
  </si>
  <si>
    <t>SHARP AR-2120 J</t>
  </si>
  <si>
    <t>VNC3431021</t>
  </si>
  <si>
    <t>شمس الدین بهرامی</t>
  </si>
  <si>
    <t>محمد جواد حق گویی</t>
  </si>
  <si>
    <t xml:space="preserve">کاظم برزمند </t>
  </si>
  <si>
    <t xml:space="preserve">مجتبی غفوری فر </t>
  </si>
  <si>
    <t xml:space="preserve">مجتبی بلوردی </t>
  </si>
  <si>
    <t>GG3C5</t>
  </si>
  <si>
    <t>GG4C5</t>
  </si>
  <si>
    <t>GG6C5</t>
  </si>
  <si>
    <t>GG7C5</t>
  </si>
  <si>
    <t>GG8C5</t>
  </si>
  <si>
    <t>GG11C5</t>
  </si>
  <si>
    <t xml:space="preserve">MY92H410V0 </t>
  </si>
  <si>
    <t>AOC-TFT22W90A-LED</t>
  </si>
  <si>
    <t>O7391JA004272</t>
  </si>
  <si>
    <t>VNC4J83928</t>
  </si>
  <si>
    <t>HP Scanjet 5590</t>
  </si>
  <si>
    <t>HP Laserjet Pro MFP M130fn</t>
  </si>
  <si>
    <t xml:space="preserve">VNF307512      </t>
  </si>
  <si>
    <t xml:space="preserve">VNC4H15667       </t>
  </si>
  <si>
    <t>HP Scanjet G4010</t>
  </si>
  <si>
    <t xml:space="preserve">CN85EA62FG      </t>
  </si>
  <si>
    <t xml:space="preserve"> O7391JA004902   </t>
  </si>
  <si>
    <t xml:space="preserve">CN2ATWH0BS </t>
  </si>
  <si>
    <t>حسین جمشيدي</t>
  </si>
  <si>
    <t>فرزانه بادیه نشین</t>
  </si>
  <si>
    <t>اردشیر عسگری</t>
  </si>
  <si>
    <t>کد آزاد</t>
  </si>
  <si>
    <t>وحید شعبانی</t>
  </si>
  <si>
    <t>سید محمد خادمی</t>
  </si>
  <si>
    <t>مرتضی درخشی</t>
  </si>
  <si>
    <t>GG1C8</t>
  </si>
  <si>
    <t>GG2C8</t>
  </si>
  <si>
    <t>GG3C8</t>
  </si>
  <si>
    <t>GG4C8</t>
  </si>
  <si>
    <t>GG5C8</t>
  </si>
  <si>
    <t>GG6C8</t>
  </si>
  <si>
    <t>GG7C8</t>
  </si>
  <si>
    <t>GG9C8</t>
  </si>
  <si>
    <t>GG11C8</t>
  </si>
  <si>
    <t>GG13C8</t>
  </si>
  <si>
    <t>GG14C8</t>
  </si>
  <si>
    <t>GG15C8</t>
  </si>
  <si>
    <t>GG16C8</t>
  </si>
  <si>
    <t>GG22C8</t>
  </si>
  <si>
    <t>GG23C8</t>
  </si>
  <si>
    <t>CN78F6R0D8</t>
  </si>
  <si>
    <t>SHARP AR-6023NV</t>
  </si>
  <si>
    <t xml:space="preserve">بدون مانیتور </t>
  </si>
  <si>
    <t>....</t>
  </si>
  <si>
    <t>Canon Laserjet LBP 6000B</t>
  </si>
  <si>
    <t xml:space="preserve">MXBA353452  </t>
  </si>
  <si>
    <t>Sharp Laserjet Copy AR-2120 J</t>
  </si>
  <si>
    <t xml:space="preserve">CN896A61JS     </t>
  </si>
  <si>
    <t>1931  B.H9MN5.005785</t>
  </si>
  <si>
    <t>HP LaserJet M127fn-Multi</t>
  </si>
  <si>
    <t>CNB9H594YQ</t>
  </si>
  <si>
    <t>Panasonic MB2025CX-Multi</t>
  </si>
  <si>
    <t>HP Officejet 7000</t>
  </si>
  <si>
    <t>MY1281112T</t>
  </si>
  <si>
    <t>GG24C8</t>
  </si>
  <si>
    <t>GG25C8</t>
  </si>
  <si>
    <t>GG26C8</t>
  </si>
  <si>
    <t>GG27C8</t>
  </si>
  <si>
    <t>GG28C8</t>
  </si>
  <si>
    <t>GG29C8</t>
  </si>
  <si>
    <t>GG31C8</t>
  </si>
  <si>
    <t>GG33C8</t>
  </si>
  <si>
    <t>GG38C8</t>
  </si>
  <si>
    <t>GG39C8</t>
  </si>
  <si>
    <t>GG40C8</t>
  </si>
  <si>
    <t>GG41C8</t>
  </si>
  <si>
    <t>GG42C8</t>
  </si>
  <si>
    <t>GG43C8</t>
  </si>
  <si>
    <t>HP Laserjet P2035n</t>
  </si>
  <si>
    <t xml:space="preserve"> CNCK511552     </t>
  </si>
  <si>
    <t xml:space="preserve"> MBBA114165  </t>
  </si>
  <si>
    <t xml:space="preserve">محمد هادی کشاورزی </t>
  </si>
  <si>
    <t>فرشید زارع</t>
  </si>
  <si>
    <t>رضا احمد پور</t>
  </si>
  <si>
    <t xml:space="preserve">محمد امین میر احسنی </t>
  </si>
  <si>
    <t>KR1C19</t>
  </si>
  <si>
    <t>KR2C19</t>
  </si>
  <si>
    <t>KR4C19</t>
  </si>
  <si>
    <t>KR5C19</t>
  </si>
  <si>
    <t>KR6C19</t>
  </si>
  <si>
    <t>KR7C19</t>
  </si>
  <si>
    <t>KR8C19</t>
  </si>
  <si>
    <t>KR9C19</t>
  </si>
  <si>
    <t>KR10C19</t>
  </si>
  <si>
    <t>KR11C19</t>
  </si>
  <si>
    <t>KR13C19</t>
  </si>
  <si>
    <t xml:space="preserve">سریال متعلقات </t>
  </si>
  <si>
    <t>LG Flatron W2262TQ</t>
  </si>
  <si>
    <t xml:space="preserve">AOC-TFT22W90A-LED </t>
  </si>
  <si>
    <t>07391JA004811</t>
  </si>
  <si>
    <t xml:space="preserve">O7391JA001891   </t>
  </si>
  <si>
    <t>Hp Laserjet P2015</t>
  </si>
  <si>
    <t xml:space="preserve">CNBW8410HV    </t>
  </si>
  <si>
    <t>07392JA005665</t>
  </si>
  <si>
    <t xml:space="preserve">O7392JA005946    </t>
  </si>
  <si>
    <t>KR1C20</t>
  </si>
  <si>
    <t>KR2C20</t>
  </si>
  <si>
    <t>KR3C20</t>
  </si>
  <si>
    <t>KR4C20</t>
  </si>
  <si>
    <t>KR5C20</t>
  </si>
  <si>
    <t>KR6C20</t>
  </si>
  <si>
    <t>KR7C20</t>
  </si>
  <si>
    <t>KR8C20</t>
  </si>
  <si>
    <t>LG 22M38H</t>
  </si>
  <si>
    <t xml:space="preserve">تیمور همتی </t>
  </si>
  <si>
    <t>LG-22M</t>
  </si>
  <si>
    <t>حامد کرمی</t>
  </si>
  <si>
    <t>حسین کشاورز</t>
  </si>
  <si>
    <t xml:space="preserve">بردیا افضلی </t>
  </si>
  <si>
    <t>KR9C20</t>
  </si>
  <si>
    <t>LG LED 22M</t>
  </si>
  <si>
    <t>KR10C20</t>
  </si>
  <si>
    <t>KR11C20</t>
  </si>
  <si>
    <t>AS3C24</t>
  </si>
  <si>
    <t xml:space="preserve">مهدیه صالحی پور </t>
  </si>
  <si>
    <t xml:space="preserve">رضا کاظمی </t>
  </si>
  <si>
    <t>HP Laser M1132 MFP</t>
  </si>
  <si>
    <t xml:space="preserve">CNC9B7XJDY </t>
  </si>
  <si>
    <t>SHARP AR-2120J</t>
  </si>
  <si>
    <t>0000 1698</t>
  </si>
  <si>
    <t>AS4C24</t>
  </si>
  <si>
    <t>AS1C24</t>
  </si>
  <si>
    <t>1931  B.H9MN3.003800</t>
  </si>
  <si>
    <t xml:space="preserve">مشخصات سیستم های موجود درخوابگاه ها </t>
  </si>
  <si>
    <r>
      <t>LG20" LED W2053S</t>
    </r>
    <r>
      <rPr>
        <sz val="14"/>
        <color theme="1"/>
        <rFont val="Calibri"/>
        <family val="2"/>
        <scheme val="minor"/>
      </rPr>
      <t xml:space="preserve"> </t>
    </r>
  </si>
  <si>
    <t xml:space="preserve">       0678027-204041103</t>
  </si>
  <si>
    <t xml:space="preserve">Canon Laserjet LBP 6000B </t>
  </si>
  <si>
    <t>MXBA348017</t>
  </si>
  <si>
    <t xml:space="preserve">امیر علی سالار نیا 15 خرداد </t>
  </si>
  <si>
    <t>AOCWHMAD84800089</t>
  </si>
  <si>
    <t xml:space="preserve"> LG Flatron 20EN33SS-B </t>
  </si>
  <si>
    <t xml:space="preserve">  310NDNUAD535</t>
  </si>
  <si>
    <t>خوابگاه صنایی</t>
  </si>
  <si>
    <t>GG13C10</t>
  </si>
  <si>
    <t xml:space="preserve">امیر علی سالار نیا نارسیس </t>
  </si>
  <si>
    <t>GG43C3</t>
  </si>
  <si>
    <t>GG44C3</t>
  </si>
  <si>
    <t>GG45C3</t>
  </si>
  <si>
    <t>GG47C3</t>
  </si>
  <si>
    <t>GG48C3</t>
  </si>
  <si>
    <t>GG49C3</t>
  </si>
  <si>
    <t>GG50C3</t>
  </si>
  <si>
    <t>GG51C3</t>
  </si>
  <si>
    <t>GG52C3</t>
  </si>
  <si>
    <t>GG53C3</t>
  </si>
  <si>
    <t>GG55C3</t>
  </si>
  <si>
    <t>GG56C3</t>
  </si>
  <si>
    <t>GG58C3</t>
  </si>
  <si>
    <t>GG59C3</t>
  </si>
  <si>
    <t>GG60C3</t>
  </si>
  <si>
    <t>GG61C3</t>
  </si>
  <si>
    <t>GG63C3</t>
  </si>
  <si>
    <t>GG66C3</t>
  </si>
  <si>
    <t>MY8BC2107R</t>
  </si>
  <si>
    <t xml:space="preserve">HP LaserJet 1320 </t>
  </si>
  <si>
    <t xml:space="preserve">  اسکنر Kodak i2420</t>
  </si>
  <si>
    <t>CNCJF89884</t>
  </si>
  <si>
    <t>ETL6H03093SL0</t>
  </si>
  <si>
    <t xml:space="preserve">1931  BF.H9MNA.014289 </t>
  </si>
  <si>
    <t>AOC V22-LED 22</t>
  </si>
  <si>
    <t>CN75H6R13D</t>
  </si>
  <si>
    <t>فاقد کد اموال</t>
  </si>
  <si>
    <t>HP Laserjet P2015</t>
  </si>
  <si>
    <t>CNBW8794FF</t>
  </si>
  <si>
    <t xml:space="preserve"> 1931 BF.H9MNB.018800 </t>
  </si>
  <si>
    <t>O7391JA004059</t>
  </si>
  <si>
    <t>AOCWHMAD84800108</t>
  </si>
  <si>
    <t>SHARP AR-X180</t>
  </si>
  <si>
    <t>1931 B.H9MN5.005784</t>
  </si>
  <si>
    <t xml:space="preserve">1931 B.H9MN7.006057  </t>
  </si>
  <si>
    <t xml:space="preserve">309NDRFKF574  </t>
  </si>
  <si>
    <t>Optima Projector EX 540i</t>
  </si>
  <si>
    <t xml:space="preserve">Q8FR111AAAAAC0015 </t>
  </si>
  <si>
    <t>Projector Panasonic  PT-VZ470A</t>
  </si>
  <si>
    <t>D307240075</t>
  </si>
  <si>
    <t>TV 55" LG - 55UJ634V-TD</t>
  </si>
  <si>
    <t xml:space="preserve">802KCYQKC314  </t>
  </si>
  <si>
    <t>ETK7G01574019</t>
  </si>
  <si>
    <t>ETK7G01549019</t>
  </si>
  <si>
    <t>HP Laserjet1536dnfMFP</t>
  </si>
  <si>
    <t>CNF8F6W8NC</t>
  </si>
  <si>
    <t>1823LZ0Q9ET8</t>
  </si>
  <si>
    <t>ETL.6H03034SL.0</t>
  </si>
  <si>
    <t>ETL6H03096SL 0</t>
  </si>
  <si>
    <t xml:space="preserve">0698016 - 205025191 </t>
  </si>
  <si>
    <t>O7392JA005721</t>
  </si>
  <si>
    <t>43NDNUJL815</t>
  </si>
  <si>
    <t>LG 22'' E2260V</t>
  </si>
  <si>
    <t>HP M130FN</t>
  </si>
  <si>
    <t>مهدی خدا دوستان</t>
  </si>
  <si>
    <t>LG 22" W2262TQ</t>
  </si>
  <si>
    <t>مجید شکیبایی</t>
  </si>
  <si>
    <t>سامان باقریان</t>
  </si>
  <si>
    <t>بهزاد پرگر</t>
  </si>
  <si>
    <t>LG 17" M1710S</t>
  </si>
  <si>
    <t>مسعود شعبانعلی لواسانی</t>
  </si>
  <si>
    <t>عبدالحمید اکبری</t>
  </si>
  <si>
    <t>LG 22" 22MP55</t>
  </si>
  <si>
    <t>403NDHB7E047</t>
  </si>
  <si>
    <t>Printer Canon LBP6200d</t>
  </si>
  <si>
    <t>MHJA111824</t>
  </si>
  <si>
    <t>فرشاد سلیمانی</t>
  </si>
  <si>
    <t>LG 22" W2261VP</t>
  </si>
  <si>
    <t>HP 5200LX</t>
  </si>
  <si>
    <t>CNHXK94216</t>
  </si>
  <si>
    <t>HP P1102</t>
  </si>
  <si>
    <t>Scanner HP 2500 f1</t>
  </si>
  <si>
    <t>CN995A113J</t>
  </si>
  <si>
    <t>LG 19" 19EN33</t>
  </si>
  <si>
    <t>علی رشیدی مقدم</t>
  </si>
  <si>
    <t>Samsung 19" B1931</t>
  </si>
  <si>
    <t>1931B.H9MN5.005792</t>
  </si>
  <si>
    <t>حمزه مزارعی</t>
  </si>
  <si>
    <t>Samsung 20" S20R310B</t>
  </si>
  <si>
    <t>S20R310BH9MQB000243</t>
  </si>
  <si>
    <t>فرزاد نیکخواه</t>
  </si>
  <si>
    <t>LG 19" W1953SE</t>
  </si>
  <si>
    <t>مجتبی جدیدالاسلام</t>
  </si>
  <si>
    <t>SHARP Copy 6023N</t>
  </si>
  <si>
    <t>مجید بلوردی</t>
  </si>
  <si>
    <t>LG19" LED L1919S</t>
  </si>
  <si>
    <t>Scanner KODAK i1310</t>
  </si>
  <si>
    <t>علی صدری</t>
  </si>
  <si>
    <t>GG9C2</t>
  </si>
  <si>
    <t>GG10C2</t>
  </si>
  <si>
    <t>GG11C2</t>
  </si>
  <si>
    <t>GG12C2</t>
  </si>
  <si>
    <t>GG13C2</t>
  </si>
  <si>
    <t>LG 20" 20EN33S</t>
  </si>
  <si>
    <t>402NDPHKN920</t>
  </si>
  <si>
    <t>پارسا محمودی پور</t>
  </si>
  <si>
    <t>LG19" L1919S</t>
  </si>
  <si>
    <t>HP M127fN</t>
  </si>
  <si>
    <t>CNB9J3084M</t>
  </si>
  <si>
    <t>LG 20" 20M37A</t>
  </si>
  <si>
    <t>فرهاد بنی اسد آزادی</t>
  </si>
  <si>
    <t>CN997A10S1</t>
  </si>
  <si>
    <t>CLAJ53099</t>
  </si>
  <si>
    <t>تلفن سیسکو</t>
  </si>
  <si>
    <t>رامین قلی خانی</t>
  </si>
  <si>
    <t>LG 22" LED 22M</t>
  </si>
  <si>
    <t>LG 22" 22M38H</t>
  </si>
  <si>
    <t>محمد باقر مزارعی</t>
  </si>
  <si>
    <t>حامد بخشنده</t>
  </si>
  <si>
    <t>سیاوش بیرانوند</t>
  </si>
  <si>
    <t>محمد رضا ابراهیمی</t>
  </si>
  <si>
    <t>KR12C20</t>
  </si>
  <si>
    <t>KR13C20</t>
  </si>
  <si>
    <t>KR14C20</t>
  </si>
  <si>
    <t>KR15C20</t>
  </si>
  <si>
    <t>KR16C20</t>
  </si>
  <si>
    <t>حسن انصاری</t>
  </si>
  <si>
    <t>علی تسلیمی</t>
  </si>
  <si>
    <t>محمد امین فتحی</t>
  </si>
  <si>
    <t>Lenovo All In One V510z</t>
  </si>
  <si>
    <t>MP1AWDMJ</t>
  </si>
  <si>
    <t>سیستم مربوط به گوهر فرزانگان</t>
  </si>
  <si>
    <t>حمید رضایی</t>
  </si>
  <si>
    <t>محمد عوض پور</t>
  </si>
  <si>
    <t>مریم مهدویان</t>
  </si>
  <si>
    <t>محمد نعمت پور</t>
  </si>
  <si>
    <t>Scanner 5590</t>
  </si>
  <si>
    <t>L1911B</t>
  </si>
  <si>
    <t>HP M130fW</t>
  </si>
  <si>
    <t>VNFNF08535</t>
  </si>
  <si>
    <t>LG22" W2261VP</t>
  </si>
  <si>
    <t>1943 BM.H9MN8.004713</t>
  </si>
  <si>
    <t>سید مصطفی دلشاد</t>
  </si>
  <si>
    <t>SHARP AR-2120 j</t>
  </si>
  <si>
    <t>HP 5200L</t>
  </si>
  <si>
    <t>CNHXP91125</t>
  </si>
  <si>
    <t>VNFNF08544</t>
  </si>
  <si>
    <t>Samsung19" SMT-1934</t>
  </si>
  <si>
    <t>C95S67VF901512K</t>
  </si>
  <si>
    <t>محل استقرار</t>
  </si>
  <si>
    <t>کد اموال</t>
  </si>
  <si>
    <t>شماره سریال</t>
  </si>
  <si>
    <t>LG W2261VP</t>
  </si>
  <si>
    <t>LG W2262TQ</t>
  </si>
  <si>
    <t>LG 22MP55HQ</t>
  </si>
  <si>
    <t>Case</t>
  </si>
  <si>
    <t>GG15C4</t>
  </si>
  <si>
    <t>GG16C4</t>
  </si>
  <si>
    <t>1931 BF.H9MNB.018836</t>
  </si>
  <si>
    <t>HP P2035</t>
  </si>
  <si>
    <t>VNC3863913</t>
  </si>
  <si>
    <t>MHJA106343</t>
  </si>
  <si>
    <t>HP Officejet Pro K7103</t>
  </si>
  <si>
    <t>MY93G41121</t>
  </si>
  <si>
    <t>Fax Panasonic KX-FL612CX</t>
  </si>
  <si>
    <t>KR14C19</t>
  </si>
  <si>
    <t>KR15C19</t>
  </si>
  <si>
    <t>KR16C19</t>
  </si>
  <si>
    <t>PHBLM4DG79</t>
  </si>
  <si>
    <t>امیر رضا ایرانمنش</t>
  </si>
  <si>
    <t>سالن جلسات فکور</t>
  </si>
  <si>
    <t>CLDH63686</t>
  </si>
  <si>
    <t>CNCJP78333</t>
  </si>
  <si>
    <t>PHBLM4DG61</t>
  </si>
  <si>
    <t>PHBLM4DG45</t>
  </si>
  <si>
    <t>HP Officjet 7612</t>
  </si>
  <si>
    <t>CN86E4R0ZP</t>
  </si>
  <si>
    <t>Scanner HP 2500f1</t>
  </si>
  <si>
    <t>CN997A10SJ</t>
  </si>
  <si>
    <t>TV BTV-43FDA110B</t>
  </si>
  <si>
    <t>S010071126C</t>
  </si>
  <si>
    <t>S010071125C</t>
  </si>
  <si>
    <t>1943 H9MNC.029288</t>
  </si>
  <si>
    <t>WebCam Panasonic AW-HE2</t>
  </si>
  <si>
    <t>S6HX00069</t>
  </si>
  <si>
    <t>TV BTV-65KEA110B</t>
  </si>
  <si>
    <t>S010072998C</t>
  </si>
  <si>
    <t>یاسر امیری</t>
  </si>
  <si>
    <t>اصغر اسفندیار پور</t>
  </si>
  <si>
    <t>محسن منتظری</t>
  </si>
  <si>
    <t>GG16C5</t>
  </si>
  <si>
    <t>GG17C5</t>
  </si>
  <si>
    <t>CNC0L42777</t>
  </si>
  <si>
    <t>LG22" LED 22MP55HQ</t>
  </si>
  <si>
    <t>402NDCRFR059</t>
  </si>
  <si>
    <t xml:space="preserve">رضا پور خسروانی </t>
  </si>
  <si>
    <t>کافی نت</t>
  </si>
  <si>
    <t>HP Laserjet Pro MFP M130fw</t>
  </si>
  <si>
    <t>VNFVF00293</t>
  </si>
  <si>
    <t>محمد طاهری</t>
  </si>
  <si>
    <t>LG 19" W1953S</t>
  </si>
  <si>
    <t>402NDMTKP171</t>
  </si>
  <si>
    <t>Samsung B1931</t>
  </si>
  <si>
    <t>65100-490459310</t>
  </si>
  <si>
    <t>CN9A7VH0C1</t>
  </si>
  <si>
    <t>VNF4C30195</t>
  </si>
  <si>
    <t>CNCR028013</t>
  </si>
  <si>
    <t>402NDBPKP157</t>
  </si>
  <si>
    <t>402NDZJKN685</t>
  </si>
  <si>
    <t>403NDVWJM175</t>
  </si>
  <si>
    <t>Printer laserjet 5200L</t>
  </si>
  <si>
    <t>فاقد سریال</t>
  </si>
  <si>
    <t>MY873210MD</t>
  </si>
  <si>
    <t>HP Laserjet M127F</t>
  </si>
  <si>
    <t>CNB9H2WBMG</t>
  </si>
  <si>
    <t>مانیتور مربوط به فکور نیست</t>
  </si>
  <si>
    <t>Printer HP P1102</t>
  </si>
  <si>
    <t>VNF8H74678</t>
  </si>
  <si>
    <t>Scanner HP 8250</t>
  </si>
  <si>
    <t>CN4B8T0151</t>
  </si>
  <si>
    <t>1931 B.H9MN3.003810</t>
  </si>
  <si>
    <t>GG4C4</t>
  </si>
  <si>
    <t>GG25C4</t>
  </si>
  <si>
    <t>HP Laserjet MFP M130fw</t>
  </si>
  <si>
    <t xml:space="preserve">VNFNF03182    </t>
  </si>
  <si>
    <t>HP LaserJet M127fn</t>
  </si>
  <si>
    <t>CNB9H1LDK6</t>
  </si>
  <si>
    <t>Video Projector Optomo</t>
  </si>
  <si>
    <t>Q8VF341AAAAAC0560</t>
  </si>
  <si>
    <t xml:space="preserve">CNCJN60133  </t>
  </si>
  <si>
    <t>حیدر شیبانی</t>
  </si>
  <si>
    <t>LG 20EN32S</t>
  </si>
  <si>
    <t>0308001-408008238</t>
  </si>
  <si>
    <t>Samsung 1931B</t>
  </si>
  <si>
    <t>1931 B.H9MN5.005768</t>
  </si>
  <si>
    <t>07391JA004147</t>
  </si>
  <si>
    <t>Scanner HP Pro 2500 f1</t>
  </si>
  <si>
    <t>CN875A10TS</t>
  </si>
  <si>
    <t>کیس ندارد</t>
  </si>
  <si>
    <t>HP OfficeJet K7103</t>
  </si>
  <si>
    <t xml:space="preserve">B8A515479 </t>
  </si>
  <si>
    <t>ندارد</t>
  </si>
  <si>
    <t>Samsung SMT-1934</t>
  </si>
  <si>
    <t>C95S67VF901529P</t>
  </si>
  <si>
    <t>CNG9CBFS5L</t>
  </si>
  <si>
    <t>Camera Olympus-Tough TG-610</t>
  </si>
  <si>
    <t>MXOA348017</t>
  </si>
  <si>
    <t>1943NWX.H9MNC.029290</t>
  </si>
  <si>
    <t>احسان حق شناس</t>
  </si>
  <si>
    <t>علیرضا فرشید</t>
  </si>
  <si>
    <t>CNB9HCG709</t>
  </si>
  <si>
    <t>تلفن سیسکو 7960</t>
  </si>
  <si>
    <t>FCH14219RDE</t>
  </si>
  <si>
    <t>Sharp AR-6020</t>
  </si>
  <si>
    <t>LG 19" 19EN33S</t>
  </si>
  <si>
    <t>Printer Canon MF3010</t>
  </si>
  <si>
    <t>WCY39040</t>
  </si>
  <si>
    <t>FHC100487M5</t>
  </si>
  <si>
    <t>LG 20" 20MP48A</t>
  </si>
  <si>
    <t>609NTDV0H570</t>
  </si>
  <si>
    <t>XFA05063</t>
  </si>
  <si>
    <t>FHC10058ACX</t>
  </si>
  <si>
    <t>LG 20" 20MP38AB</t>
  </si>
  <si>
    <t>FCH100489SP</t>
  </si>
  <si>
    <t>LG 20" 20M35</t>
  </si>
  <si>
    <t>409NDCRBA147</t>
  </si>
  <si>
    <t>FCH10378F0F</t>
  </si>
  <si>
    <t>LG 20" 2053S</t>
  </si>
  <si>
    <t>LG 19" 1954SE</t>
  </si>
  <si>
    <t>FCH100680PG</t>
  </si>
  <si>
    <t>فاقد اموال</t>
  </si>
  <si>
    <t>722002-008012004</t>
  </si>
  <si>
    <t>0698016-205026396</t>
  </si>
  <si>
    <t>0698016-205026417</t>
  </si>
  <si>
    <t>پرینتر رنگی HP Officejet 7000</t>
  </si>
  <si>
    <t>Fax Panasonic KX-FP711</t>
  </si>
  <si>
    <t>LG20" 20EN32S</t>
  </si>
  <si>
    <t>YC6VH9LB302978R</t>
  </si>
  <si>
    <t>V8ARH9NB502386T</t>
  </si>
  <si>
    <t>حمیدرضا قدرتی</t>
  </si>
  <si>
    <t xml:space="preserve">Samsung 19" 1931 </t>
  </si>
  <si>
    <t>V31 BF.H9MNA.014279</t>
  </si>
  <si>
    <t>0714002-208012252</t>
  </si>
  <si>
    <t>0714007-305008509</t>
  </si>
  <si>
    <t>0722007-101006151</t>
  </si>
  <si>
    <t>GG67C3</t>
  </si>
  <si>
    <t>LG 19" L1919S</t>
  </si>
  <si>
    <t>0722006-012072824</t>
  </si>
  <si>
    <t>Printer HP 127</t>
  </si>
  <si>
    <t>HCT08847</t>
  </si>
  <si>
    <t>Printer HP M130FW</t>
  </si>
  <si>
    <t>VNF3F07475</t>
  </si>
  <si>
    <t>LG 19" E1960T</t>
  </si>
  <si>
    <t>LG 20" E2040S</t>
  </si>
  <si>
    <t>E1945NX.H9MQ4080949</t>
  </si>
  <si>
    <t>رامین فرجی</t>
  </si>
  <si>
    <t>KR17C20</t>
  </si>
  <si>
    <t xml:space="preserve">محمد مهدی فتحی </t>
  </si>
  <si>
    <t>GG68C3</t>
  </si>
  <si>
    <t>PRINTER HP DJ9650</t>
  </si>
  <si>
    <t>FG39821116</t>
  </si>
  <si>
    <t>LG 19" W1954TQ</t>
  </si>
  <si>
    <t>Printer HP p2055</t>
  </si>
  <si>
    <t>CNCJL26124</t>
  </si>
  <si>
    <t>CNCJ837602</t>
  </si>
  <si>
    <t>LG 19" E1940</t>
  </si>
  <si>
    <t>GG69C3</t>
  </si>
  <si>
    <t>LG 19" E1941</t>
  </si>
  <si>
    <t>MHJA112978</t>
  </si>
  <si>
    <t>LG 20" W2053S</t>
  </si>
  <si>
    <t>RYN36384</t>
  </si>
  <si>
    <t>Copy Sharp AR-M205</t>
  </si>
  <si>
    <t>COPY Panasonic KX-MB3020</t>
  </si>
  <si>
    <t>QHAFB001872</t>
  </si>
  <si>
    <t>AOCWHMAD84800083</t>
  </si>
  <si>
    <t>GG72C3</t>
  </si>
  <si>
    <t>کیس</t>
  </si>
  <si>
    <t>نوع قطعه</t>
  </si>
  <si>
    <t>مدل</t>
  </si>
  <si>
    <t>توضیحات</t>
  </si>
  <si>
    <t>قطعات ارسال شده به تهران جهت تعمیر</t>
  </si>
  <si>
    <t>Monitor</t>
  </si>
  <si>
    <t>علیرضا روزی طلب</t>
  </si>
  <si>
    <t>GG73C3</t>
  </si>
  <si>
    <t>GG74C3</t>
  </si>
  <si>
    <t>دستگاه پلاتر HP T795</t>
  </si>
  <si>
    <t>CN78NSH04Y</t>
  </si>
  <si>
    <t>KR17C19</t>
  </si>
  <si>
    <t>SanDisk 64GB OTG</t>
  </si>
  <si>
    <t xml:space="preserve">BN210158308J </t>
  </si>
  <si>
    <t>GG18C5</t>
  </si>
  <si>
    <t>LG M1710S</t>
  </si>
  <si>
    <t>DVR MAXRON</t>
  </si>
  <si>
    <t>TZA3HL26002359</t>
  </si>
  <si>
    <t xml:space="preserve">NVR HIKVISION </t>
  </si>
  <si>
    <t>C09369309</t>
  </si>
  <si>
    <t>E6HX00001</t>
  </si>
  <si>
    <t>E6HX00013</t>
  </si>
  <si>
    <t>Scanner HP 5590</t>
  </si>
  <si>
    <t>CN758TR0F3</t>
  </si>
  <si>
    <t>سانترال TDA 100D</t>
  </si>
  <si>
    <t>4GBCC007082</t>
  </si>
  <si>
    <t>0KBWC151135</t>
  </si>
  <si>
    <t>FAX-FL612 پاناسونیک</t>
  </si>
  <si>
    <t>پاناسونیک T2371MX</t>
  </si>
  <si>
    <t>Microtel MCT888</t>
  </si>
  <si>
    <t>MASCOM 2020</t>
  </si>
  <si>
    <t>CNG8B8D6DP</t>
  </si>
  <si>
    <t>HP Laserjet M1522NF</t>
  </si>
  <si>
    <t>GG19C5</t>
  </si>
  <si>
    <t>GG20C5</t>
  </si>
  <si>
    <t>LG 19" W1954SE</t>
  </si>
  <si>
    <t>TipTel Tip-360c</t>
  </si>
  <si>
    <t>CallUse CU-1891</t>
  </si>
  <si>
    <t>KX-TSC11MX</t>
  </si>
  <si>
    <t>Technical TEC-5849</t>
  </si>
  <si>
    <t>ارسالی از سه چاهون</t>
  </si>
  <si>
    <t>Samsung 19" 1931 BF</t>
  </si>
  <si>
    <t>GG14C2</t>
  </si>
  <si>
    <t xml:space="preserve">1931BFH9MN9012322 </t>
  </si>
  <si>
    <t>KR21C19</t>
  </si>
  <si>
    <t>KR19C19</t>
  </si>
  <si>
    <t>Printer Canon 6200d</t>
  </si>
  <si>
    <t>GG15C2</t>
  </si>
  <si>
    <t>Samsung 19" S19C150F</t>
  </si>
  <si>
    <t>ZYT6H4LF111536Z</t>
  </si>
  <si>
    <t>LG 20" 20EN32S</t>
  </si>
  <si>
    <t>LG 20" 20M35A</t>
  </si>
  <si>
    <t>LG 20" 20M47A</t>
  </si>
  <si>
    <t>LG 20" 20MP38HB</t>
  </si>
  <si>
    <t>405NDJXGF156</t>
  </si>
  <si>
    <t>409NDVWBA479</t>
  </si>
  <si>
    <t>410NDPH08384</t>
  </si>
  <si>
    <t>408NDBP3U933</t>
  </si>
  <si>
    <t>405NDJXDW764</t>
  </si>
  <si>
    <t>پاناسونیک  KX-TS500MX</t>
  </si>
  <si>
    <t>TipTel TIP-7715</t>
  </si>
  <si>
    <t xml:space="preserve">رومیزی </t>
  </si>
  <si>
    <t>607715-2800156</t>
  </si>
  <si>
    <t>GG2C25</t>
  </si>
  <si>
    <t>CNB9H6KQ2Z</t>
  </si>
  <si>
    <t>MY09U110CN</t>
  </si>
  <si>
    <t>گوشی تلفن سیسکو 7960</t>
  </si>
  <si>
    <t xml:space="preserve">بابک حسین زاده  </t>
  </si>
  <si>
    <t>HP MFP M127fn</t>
  </si>
  <si>
    <t>KX-2371</t>
  </si>
  <si>
    <t>KXT-S500</t>
  </si>
  <si>
    <t xml:space="preserve">تلفن پاناسونیک </t>
  </si>
  <si>
    <t>KX-S500</t>
  </si>
  <si>
    <t xml:space="preserve">706STAV12291 </t>
  </si>
  <si>
    <t>706STWT12281</t>
  </si>
  <si>
    <t>TV 32" lg</t>
  </si>
  <si>
    <t>گوشی تلفن TIP-7715</t>
  </si>
  <si>
    <t>Panasonic KX-S500</t>
  </si>
  <si>
    <t>Mikrotel TSC31</t>
  </si>
  <si>
    <t>KX-T7730</t>
  </si>
  <si>
    <t>TIP-1038</t>
  </si>
  <si>
    <t>KX-T7665X</t>
  </si>
  <si>
    <t>SW 3560 POE-48</t>
  </si>
  <si>
    <t>Router Cisco 2900 series</t>
  </si>
  <si>
    <t>دستگاه کارت ساعت زنی iFace 202</t>
  </si>
  <si>
    <t>Cisco cp-7960</t>
  </si>
  <si>
    <t>میثم فراهانی (نظارت کارفرما) -مانیتور غیرقابل تعمیر اعلام شد -</t>
  </si>
  <si>
    <t>Cisco 7960</t>
  </si>
  <si>
    <t>مهدی محمدی</t>
  </si>
  <si>
    <t>Cisco 6921</t>
  </si>
  <si>
    <t>میکروتل MCT-999</t>
  </si>
  <si>
    <t>HCD-3588</t>
  </si>
  <si>
    <t>GG4C25</t>
  </si>
  <si>
    <t>072200-3009032427</t>
  </si>
  <si>
    <t>833061008671  </t>
  </si>
  <si>
    <t xml:space="preserve"> دوربین عکاسی Canon ix us 150</t>
  </si>
  <si>
    <t>Canon LBP6200d</t>
  </si>
  <si>
    <t>HP M426</t>
  </si>
  <si>
    <t>PUC163320SMA</t>
  </si>
  <si>
    <t>PXN16240HM0</t>
  </si>
  <si>
    <t>PHBL4DG6R</t>
  </si>
  <si>
    <t>PUC1633027R</t>
  </si>
  <si>
    <t>LG Flatron W1943se</t>
  </si>
  <si>
    <t>VNF3C67704</t>
  </si>
  <si>
    <t>HP LaserJet P1102</t>
  </si>
  <si>
    <t>0000024X</t>
  </si>
  <si>
    <t>Hp Laserjet P2055D</t>
  </si>
  <si>
    <t>ارسال شده از خاتون آباد</t>
  </si>
  <si>
    <t>GG77C3</t>
  </si>
  <si>
    <t>GG78C3</t>
  </si>
  <si>
    <t>آرش رفعتی</t>
  </si>
  <si>
    <t>Cisco CP6921</t>
  </si>
  <si>
    <t>PXN16190POT</t>
  </si>
  <si>
    <t>2041NQU9W188</t>
  </si>
  <si>
    <t>GG79C3</t>
  </si>
  <si>
    <t>KR18C20</t>
  </si>
  <si>
    <t xml:space="preserve">محمد رضا فیروزی </t>
  </si>
  <si>
    <t>LG FLATRON 22"</t>
  </si>
  <si>
    <t>KR19C20</t>
  </si>
  <si>
    <t xml:space="preserve">سعید دارابی </t>
  </si>
  <si>
    <t>KR22C19</t>
  </si>
  <si>
    <t>7LBWM252825</t>
  </si>
  <si>
    <t>Cisco CP-6921</t>
  </si>
  <si>
    <t>PUC17130AFI</t>
  </si>
  <si>
    <t>GG80C3</t>
  </si>
  <si>
    <t>GG81C3</t>
  </si>
  <si>
    <t>ارسالی از خاتون آباد</t>
  </si>
  <si>
    <t>ارسال شده از خاتون آباد-اموال ماشین سازی ویژه خورده</t>
  </si>
  <si>
    <t>OJBC1004798</t>
  </si>
  <si>
    <t>OJBCE007495</t>
  </si>
  <si>
    <t>722003-009032981</t>
  </si>
  <si>
    <t>AOC TFT1980PSA</t>
  </si>
  <si>
    <t>7LBWM228124</t>
  </si>
  <si>
    <t xml:space="preserve">فاقد کد اموال </t>
  </si>
  <si>
    <t>ارسالی از تهران</t>
  </si>
  <si>
    <t>CNCJV03368</t>
  </si>
  <si>
    <t>HP M452NW</t>
  </si>
  <si>
    <t>VNH3N00202</t>
  </si>
  <si>
    <t>GG21C5</t>
  </si>
  <si>
    <t>CNF8105538</t>
  </si>
  <si>
    <t>1FCKC526798</t>
  </si>
  <si>
    <t>Scanjet 5590</t>
  </si>
  <si>
    <t>CN1ADVH0X0</t>
  </si>
  <si>
    <t xml:space="preserve">Access Point Asus RT-AC51U </t>
  </si>
  <si>
    <t>H9IWDV018584</t>
  </si>
  <si>
    <t>GG83C3</t>
  </si>
  <si>
    <t>محسن زارع نژاد</t>
  </si>
  <si>
    <t>محمود محمدرضایی</t>
  </si>
  <si>
    <t>CNBRN76174</t>
  </si>
  <si>
    <t>GG85C3</t>
  </si>
  <si>
    <t>LG 22" E2260v</t>
  </si>
  <si>
    <t>puc171610eb</t>
  </si>
  <si>
    <t>فاقد کارایی</t>
  </si>
  <si>
    <t>HP Laserjet 1300</t>
  </si>
  <si>
    <t>CN0BQVH1FQ</t>
  </si>
  <si>
    <t>نیاز به تست</t>
  </si>
  <si>
    <t>32700720-خراب-اعلام شده به عنوان داغی</t>
  </si>
  <si>
    <t>308009-504015364</t>
  </si>
  <si>
    <t>SW 3750 POE-48</t>
  </si>
  <si>
    <t xml:space="preserve"> (سوییچ موجود در اتاق آی تی)</t>
  </si>
  <si>
    <t>SW 3750 POE-24</t>
  </si>
  <si>
    <t>Hp 7110</t>
  </si>
  <si>
    <t>CN5265M0P9</t>
  </si>
  <si>
    <t>داغی اعلام شده</t>
  </si>
  <si>
    <t>ارسالی از سه چاهون-مورد استفاده آی تی</t>
  </si>
  <si>
    <t>CN5375M15D</t>
  </si>
  <si>
    <t>پرینتر</t>
  </si>
  <si>
    <t>LG 22” FLAT W2262TQ</t>
  </si>
  <si>
    <t>686004-012063470</t>
  </si>
  <si>
    <t>تعمیر تهران - ارسال جهت تعمیر - مربوط به ایزدی کارفرما خرامه</t>
  </si>
  <si>
    <t>GG86C3</t>
  </si>
  <si>
    <t>حامد رضا زاده</t>
  </si>
  <si>
    <t>MT2C27</t>
  </si>
  <si>
    <t>LG 22” W2261VP</t>
  </si>
  <si>
    <t xml:space="preserve">WXK15527 </t>
  </si>
  <si>
    <t>LG 22” W2262TQ</t>
  </si>
  <si>
    <t>LG 17” L1754SM</t>
  </si>
  <si>
    <r>
      <t>تعمیر تهران - -</t>
    </r>
    <r>
      <rPr>
        <b/>
        <sz val="14"/>
        <color rgb="FFFF0000"/>
        <rFont val="Calibri"/>
        <family val="2"/>
        <scheme val="minor"/>
      </rPr>
      <t xml:space="preserve"> از تعمیر برگشت</t>
    </r>
  </si>
  <si>
    <t>SHARP Copy AR2120</t>
  </si>
  <si>
    <t>00000864</t>
  </si>
  <si>
    <t>Canon LBP6000B</t>
  </si>
  <si>
    <t>MMFA158975</t>
  </si>
  <si>
    <t>ویدیو پروژکتور</t>
  </si>
  <si>
    <t>Cisco CP-8961</t>
  </si>
  <si>
    <t>FCH1546B60K</t>
  </si>
  <si>
    <t>FCH154882DE</t>
  </si>
  <si>
    <t>PXN16190PB86</t>
  </si>
  <si>
    <t>PUC17120APP</t>
  </si>
  <si>
    <t>PUC16320N4H</t>
  </si>
  <si>
    <t>PXN163102VU</t>
  </si>
  <si>
    <t>جوکار حراست فکور</t>
  </si>
  <si>
    <t>PCU17130AT4</t>
  </si>
  <si>
    <t>PXN16190SD2</t>
  </si>
  <si>
    <t>سریال</t>
  </si>
  <si>
    <t>کامران کریم نژاد</t>
  </si>
  <si>
    <t>برق</t>
  </si>
  <si>
    <t>سیویل</t>
  </si>
  <si>
    <t>PUC17130APQ</t>
  </si>
  <si>
    <t>سید محسن زارع</t>
  </si>
  <si>
    <t>کنترل پروژه</t>
  </si>
  <si>
    <t>انبار</t>
  </si>
  <si>
    <t>حراست فکور</t>
  </si>
  <si>
    <t>آبدارخانه</t>
  </si>
  <si>
    <t>مدیر پروژه کارفرما</t>
  </si>
  <si>
    <t>Samsung 1931BF+</t>
  </si>
  <si>
    <t>LEBOSS</t>
  </si>
  <si>
    <t>امیر رضا ایزدی</t>
  </si>
  <si>
    <t>KR23C19</t>
  </si>
  <si>
    <t>VNCW615719</t>
  </si>
  <si>
    <t>INM0643038Y</t>
  </si>
  <si>
    <t>INM08031T5V</t>
  </si>
  <si>
    <t>مسئول دفتر</t>
  </si>
  <si>
    <t>FCH14248CEG</t>
  </si>
  <si>
    <t>FCH10509KUF</t>
  </si>
  <si>
    <t>FCH100486JG</t>
  </si>
  <si>
    <t>FCH100487MX</t>
  </si>
  <si>
    <t>INM080812UR</t>
  </si>
  <si>
    <t>INM0628A6Y0</t>
  </si>
  <si>
    <t>FCH1006802X</t>
  </si>
  <si>
    <t>FCH14258WLS</t>
  </si>
  <si>
    <t>FTX1750D1BE</t>
  </si>
  <si>
    <t>FCH1225AXEV</t>
  </si>
  <si>
    <t>فاطمه عمرانی</t>
  </si>
  <si>
    <t>دستگاه دوربین های گهرزمین</t>
  </si>
  <si>
    <t xml:space="preserve">عبدالعلی تقی زاده </t>
  </si>
  <si>
    <t>دستگاه استابلایزر محافظ</t>
  </si>
  <si>
    <t>Cisco  8945</t>
  </si>
  <si>
    <t xml:space="preserve">Cisco  6945 </t>
  </si>
  <si>
    <t xml:space="preserve">رک شبکه 20یونیت </t>
  </si>
  <si>
    <t>روتر Cisco 2911</t>
  </si>
  <si>
    <t>سوییچ 24پورت Cisco 3750</t>
  </si>
  <si>
    <t>منتقل شده از سه چاهون</t>
  </si>
  <si>
    <t>بنام قدرت الله جوان ثبت شده</t>
  </si>
  <si>
    <t>سالن کنفرانس بزرگ</t>
  </si>
  <si>
    <t>سالن کنفرانس کوچک فکور</t>
  </si>
  <si>
    <t>TV 55" LG - 55Lj615V</t>
  </si>
  <si>
    <t>709KCSFLE238</t>
  </si>
  <si>
    <t>TV 55" LG - 55LX341C</t>
  </si>
  <si>
    <t>603KCMR8F267</t>
  </si>
  <si>
    <t>TV 65" LG -65UK6100PVA</t>
  </si>
  <si>
    <t>803KCCVQM467</t>
  </si>
  <si>
    <t>TV 70" SAMSUNG - UA70KU797</t>
  </si>
  <si>
    <t>ABFA39JJ100313Y</t>
  </si>
  <si>
    <t>اتاق کنفرانس بزرگ فکور</t>
  </si>
  <si>
    <t>801KCASPF856</t>
  </si>
  <si>
    <t xml:space="preserve">کیس </t>
  </si>
  <si>
    <t>میکروفن  بوش CCS900 ULTRO</t>
  </si>
  <si>
    <t>آمپلی فایر میکروفن بوش PLE-2MA120</t>
  </si>
  <si>
    <t>F01U066847</t>
  </si>
  <si>
    <t>آمپلی فایر میکروفن بوش CCS ULTRO</t>
  </si>
  <si>
    <t>F01U134981</t>
  </si>
  <si>
    <t xml:space="preserve">میکروفن بی سیم </t>
  </si>
  <si>
    <t>WebCam LOGITECH</t>
  </si>
  <si>
    <t xml:space="preserve">الکترو باکس </t>
  </si>
  <si>
    <t>اسپلیتر HDMI</t>
  </si>
  <si>
    <t>سالن کنفرانس مشاور</t>
  </si>
  <si>
    <t>Q8FR111AAAAAC0015</t>
  </si>
  <si>
    <t>اتاق کنفرانس کوچک فکور</t>
  </si>
  <si>
    <t xml:space="preserve">پرده ویدیو پروژکتور SCOPE </t>
  </si>
  <si>
    <t>CNCJW30479</t>
  </si>
  <si>
    <t xml:space="preserve">کد قبلی SC34C16 -  ارسال شده از سه چاهون </t>
  </si>
  <si>
    <t>GG87C3</t>
  </si>
  <si>
    <t>GG89C3</t>
  </si>
  <si>
    <t>مجتبی روح الامینی</t>
  </si>
  <si>
    <t>مانیتور رضا کاظمی ارسال جهت تعمیر به تهران</t>
  </si>
  <si>
    <t>جایگزین کد 613144 شد</t>
  </si>
  <si>
    <t>دوربین مداربسته Box</t>
  </si>
  <si>
    <t>رادیو SXT</t>
  </si>
  <si>
    <t>رادیو QRT</t>
  </si>
  <si>
    <t>رادیو SQ</t>
  </si>
  <si>
    <t>4L03CEDPAZ4F82E</t>
  </si>
  <si>
    <t>SW Catalyst 2960</t>
  </si>
  <si>
    <t>FOC1517V21N</t>
  </si>
  <si>
    <t>Router Cisco 2911</t>
  </si>
  <si>
    <t>ATTT2049407</t>
  </si>
  <si>
    <t>CAT0932N45H</t>
  </si>
  <si>
    <t xml:space="preserve">یک دستگاه سوییچ 48 پورت CISCO مدلPOE  3750 </t>
  </si>
  <si>
    <t>دستگاه کارت ساعت پلیکام</t>
  </si>
  <si>
    <t>FD01744R0WK</t>
  </si>
  <si>
    <t>فرخ غریبی</t>
  </si>
  <si>
    <t>فاقد آداپتور برق</t>
  </si>
  <si>
    <t>LG 19" E1940S</t>
  </si>
  <si>
    <t>فاقدکد اموال</t>
  </si>
  <si>
    <t>FCH1579808G</t>
  </si>
  <si>
    <t>FCH15379K7M</t>
  </si>
  <si>
    <t>PXN16310ADL</t>
  </si>
  <si>
    <t>PXN160507A6</t>
  </si>
  <si>
    <t>اسکنر HP Scanjet G2410</t>
  </si>
  <si>
    <t>L2694A-301</t>
  </si>
  <si>
    <t>SW CISCO 2960 24PORT</t>
  </si>
  <si>
    <t>روتر سیسکو 2911</t>
  </si>
  <si>
    <t>SERVER DL380 G8</t>
  </si>
  <si>
    <t>SW CISCO 2960G 8PORT</t>
  </si>
  <si>
    <t>تستر شبکه</t>
  </si>
  <si>
    <t>استابلایزر STB2000 فاراتل</t>
  </si>
  <si>
    <t>نصب شده در منبع کمپ کارگری</t>
  </si>
  <si>
    <r>
      <t>مانیتور مخلصی ارسال جهت تعمیر به تهران-</t>
    </r>
    <r>
      <rPr>
        <b/>
        <sz val="16"/>
        <color rgb="FFFF0000"/>
        <rFont val="B Nazanin"/>
        <charset val="178"/>
      </rPr>
      <t>از تعمیر برگشت</t>
    </r>
  </si>
  <si>
    <t>مانیتور جدیدالاسلام ارسال جهت تعمیر به تهران-از تعمیر برگشت</t>
  </si>
  <si>
    <t xml:space="preserve">  32700032-داغی اعلام شده مربوط به سنگان </t>
  </si>
  <si>
    <t xml:space="preserve">  32700858-داغی اعلام شده مربوط به سنگان </t>
  </si>
  <si>
    <t xml:space="preserve">  32700714-داغی اعلام شده مربوط به سنگان </t>
  </si>
  <si>
    <t>LG 20" E2040S-PNY</t>
  </si>
  <si>
    <t>Clock card</t>
  </si>
  <si>
    <t>Switch</t>
  </si>
  <si>
    <r>
      <t xml:space="preserve">تعمیر تهران - ارسال جهت تعمیر - </t>
    </r>
    <r>
      <rPr>
        <b/>
        <sz val="14"/>
        <color rgb="FFFF0000"/>
        <rFont val="Calibri"/>
        <family val="2"/>
        <scheme val="minor"/>
      </rPr>
      <t>برگشت از تعمیر</t>
    </r>
  </si>
  <si>
    <t>Video Projector</t>
  </si>
  <si>
    <r>
      <t>دستگاه کارت ساعت زنی توسعه ارسال جهت تعمیر-</t>
    </r>
    <r>
      <rPr>
        <b/>
        <sz val="14"/>
        <color rgb="FFFF0000"/>
        <rFont val="B Nazanin"/>
        <charset val="178"/>
      </rPr>
      <t>برگشت از تعمیرات</t>
    </r>
  </si>
  <si>
    <t>LG 19" E1942C</t>
  </si>
  <si>
    <t>Copy Sharp AR-5516</t>
  </si>
  <si>
    <t>TIP-7715</t>
  </si>
  <si>
    <t>KX-T2371</t>
  </si>
  <si>
    <t>دوربین برند TOPICA</t>
  </si>
  <si>
    <t>TZA3HL26001113</t>
  </si>
  <si>
    <t>Modem</t>
  </si>
  <si>
    <t>دوربین عکاسی</t>
  </si>
  <si>
    <t>مانیتورینگ توسعه فولاد</t>
  </si>
  <si>
    <t>اعلام داغی گردید - تصویر نمیدهد KH4C12</t>
  </si>
  <si>
    <t>اعلام داغی شد -مانیتور کیفیت تصویر پایینی دارد و تار است KH9C12</t>
  </si>
  <si>
    <t xml:space="preserve">رک انبار شهر </t>
  </si>
  <si>
    <t>LG 22" E2260V</t>
  </si>
  <si>
    <r>
      <t>خرابی چشم دستگاه و نشناختن چهره -</t>
    </r>
    <r>
      <rPr>
        <b/>
        <sz val="14"/>
        <color rgb="FFFF0000"/>
        <rFont val="B Nazanin"/>
        <charset val="178"/>
      </rPr>
      <t xml:space="preserve"> برگشت از تعمیر</t>
    </r>
  </si>
  <si>
    <t>Canon MF3010</t>
  </si>
  <si>
    <t>WRW56893</t>
  </si>
  <si>
    <t>CNB9GDTF28</t>
  </si>
  <si>
    <t>Sharp AR-X180</t>
  </si>
  <si>
    <t>A08427875B340187</t>
  </si>
  <si>
    <t>LALMTJ002262</t>
  </si>
  <si>
    <t>Asus 27" VZ279</t>
  </si>
  <si>
    <t>نظارت کارفرما</t>
  </si>
  <si>
    <t>GG17C2</t>
  </si>
  <si>
    <t>357420-3401629</t>
  </si>
  <si>
    <t>GG18C2</t>
  </si>
  <si>
    <t>305001409008469</t>
  </si>
  <si>
    <t>PXN16210SNM</t>
  </si>
  <si>
    <t>رادیو میکروتیک SXT</t>
  </si>
  <si>
    <t>رادیو Omnitik</t>
  </si>
  <si>
    <t>استابلایزر</t>
  </si>
  <si>
    <t>مربوط به دوربین های انبار رو باز - خاتون آباد</t>
  </si>
  <si>
    <t>ارسال شده از خاتون آباد - دارای اموال ماشین سازی</t>
  </si>
  <si>
    <t>Panasonic MB2025</t>
  </si>
  <si>
    <t xml:space="preserve">کیس گرین </t>
  </si>
  <si>
    <t>0698016205026392</t>
  </si>
  <si>
    <t>0690017204066504</t>
  </si>
  <si>
    <t>LG 19" L1919SS</t>
  </si>
  <si>
    <t>065100590520970</t>
  </si>
  <si>
    <t>X-Vision 19" 1910</t>
  </si>
  <si>
    <t>سانترال TDA0104 XJ</t>
  </si>
  <si>
    <t>ارسالی از خاتون آباد - با لوازم کارت</t>
  </si>
  <si>
    <t>رک ایستاده</t>
  </si>
  <si>
    <t>سرور گرین</t>
  </si>
  <si>
    <t>UPS 1300</t>
  </si>
  <si>
    <t>رک دیواری 4 یونیت سوییچ سیسکو</t>
  </si>
  <si>
    <t>بلوور</t>
  </si>
  <si>
    <t>شارژر باطری قلمی</t>
  </si>
  <si>
    <t>حضورغیاب کارا 2000</t>
  </si>
  <si>
    <t>دوربین عکاسی کانن</t>
  </si>
  <si>
    <t>TH1C29</t>
  </si>
  <si>
    <t>TH3C29</t>
  </si>
  <si>
    <t>TH5C29</t>
  </si>
  <si>
    <t>402NDYGJT554</t>
  </si>
  <si>
    <t>408NDGL3U943</t>
  </si>
  <si>
    <t>HP M127FN</t>
  </si>
  <si>
    <t>0714005302018560</t>
  </si>
  <si>
    <t>0722010105063085</t>
  </si>
  <si>
    <t>TH6C29</t>
  </si>
  <si>
    <t>0690017204066612</t>
  </si>
  <si>
    <t>51119300894</t>
  </si>
  <si>
    <t>51119300895</t>
  </si>
  <si>
    <t>51119200906</t>
  </si>
  <si>
    <t>0755005307106199</t>
  </si>
  <si>
    <t>0755005307106179</t>
  </si>
  <si>
    <t>0755005307104361</t>
  </si>
  <si>
    <t>Sumsung 19" 1945</t>
  </si>
  <si>
    <t>H9MQ5092844</t>
  </si>
  <si>
    <t>VNC3910659</t>
  </si>
  <si>
    <t>VNC3571351</t>
  </si>
  <si>
    <t>VNC3852670</t>
  </si>
  <si>
    <r>
      <t>ارسال جهت تعمیر -</t>
    </r>
    <r>
      <rPr>
        <b/>
        <sz val="14"/>
        <color rgb="FFFF0000"/>
        <rFont val="B Nazanin"/>
        <charset val="178"/>
      </rPr>
      <t xml:space="preserve"> از تعمیر برگشت</t>
    </r>
  </si>
  <si>
    <t>0722010109000299</t>
  </si>
  <si>
    <t>0722003009030941</t>
  </si>
  <si>
    <t>0722015203039638</t>
  </si>
  <si>
    <t>0686004012063468</t>
  </si>
  <si>
    <t>0686003011060029</t>
  </si>
  <si>
    <t>0686002011058143</t>
  </si>
  <si>
    <t>0686001011042068</t>
  </si>
  <si>
    <t>TH7C29</t>
  </si>
  <si>
    <t>TH8C29</t>
  </si>
  <si>
    <t>TH9C29</t>
  </si>
  <si>
    <t>0706021309007903</t>
  </si>
  <si>
    <t>HP M12A</t>
  </si>
  <si>
    <t>0356006611013262</t>
  </si>
  <si>
    <t>Canon MF4410</t>
  </si>
  <si>
    <t>RYN55989</t>
  </si>
  <si>
    <t>0698016205026414</t>
  </si>
  <si>
    <t>مودم D- LINK</t>
  </si>
  <si>
    <t xml:space="preserve">مودم روی کمد اتاق آی تی </t>
  </si>
  <si>
    <t>Cisco CP-6941</t>
  </si>
  <si>
    <t>0698012201016353</t>
  </si>
  <si>
    <t>KX-TS500</t>
  </si>
  <si>
    <t>WZP214314C9</t>
  </si>
  <si>
    <t>FOC1137Y3EC</t>
  </si>
  <si>
    <t>Router Mikrotik RB2011</t>
  </si>
  <si>
    <t>Firewall SOPHOS SG-210</t>
  </si>
  <si>
    <t>S200040FA637F3F</t>
  </si>
  <si>
    <t xml:space="preserve">SW Cisco 3750 24 Port </t>
  </si>
  <si>
    <t>SW254C11-A</t>
  </si>
  <si>
    <t>SW254C11-B</t>
  </si>
  <si>
    <t>CAT1036RHOE</t>
  </si>
  <si>
    <t>CAT1028NJYR</t>
  </si>
  <si>
    <t xml:space="preserve">SW Cisco 2960 24 Port </t>
  </si>
  <si>
    <t>SW27C12</t>
  </si>
  <si>
    <t>Server HP DL380P GEN8</t>
  </si>
  <si>
    <t>SW Cisco SF 100-24 Port</t>
  </si>
  <si>
    <t>PSJ15450C8A</t>
  </si>
  <si>
    <t>Server TAPE Backup Case GREEN</t>
  </si>
  <si>
    <t>HP Storage 1760 SAS</t>
  </si>
  <si>
    <t>FXS Realtone 4Port</t>
  </si>
  <si>
    <t>6201207150480</t>
  </si>
  <si>
    <t>FXO DINSTAR DAG 1000-40 4 Port</t>
  </si>
  <si>
    <t>DA0000300B010296</t>
  </si>
  <si>
    <t>Rack Tower 38 Unit</t>
  </si>
  <si>
    <t>FXO Realtone 4 Port</t>
  </si>
  <si>
    <t>DVR Hensel 8 PORT</t>
  </si>
  <si>
    <t>SW Cisco 2960 24PORT</t>
  </si>
  <si>
    <t>UPS کانکس انبار</t>
  </si>
  <si>
    <t>پرده ویدیو پروژکتور</t>
  </si>
  <si>
    <t>Camera Hikvision DS-2CD2023</t>
  </si>
  <si>
    <t>722003009033183</t>
  </si>
  <si>
    <t>SAMSUNG 19” 1931 B</t>
  </si>
  <si>
    <t>BH9MN4004147</t>
  </si>
  <si>
    <t>5E9A06C45297701</t>
  </si>
  <si>
    <t>رادیو SXT5</t>
  </si>
  <si>
    <t>E6F90E5E330F</t>
  </si>
  <si>
    <t>میلاد  صفی جهانشاهی</t>
  </si>
  <si>
    <t>KX-T7665</t>
  </si>
  <si>
    <t>8AATI069401</t>
  </si>
  <si>
    <t>0722009105031153</t>
  </si>
  <si>
    <t>سعید دارابی خرامه - ازتعمیر برگشت</t>
  </si>
  <si>
    <t>0706020307021363</t>
  </si>
  <si>
    <t>0305001409008475</t>
  </si>
  <si>
    <t>قاب کیس خالی-به تهران اعلام شده</t>
  </si>
  <si>
    <t>Cisco</t>
  </si>
  <si>
    <t>ارسال شده از سنگان-32700856</t>
  </si>
  <si>
    <t>FCH1004877Z</t>
  </si>
  <si>
    <t>رادیو وایرلس  M2-UBNT</t>
  </si>
  <si>
    <t>HIKVISION DS-7608</t>
  </si>
  <si>
    <t>دوربین  مدار بسته</t>
  </si>
  <si>
    <t>رادیو وایرلس  OmniTik</t>
  </si>
  <si>
    <t>رادیو وایرلس SXT</t>
  </si>
  <si>
    <t>UBNT Nano beam</t>
  </si>
  <si>
    <t>رادیو وایرلس Sq</t>
  </si>
  <si>
    <t xml:space="preserve">سوییچ 8 پورت   </t>
  </si>
  <si>
    <t xml:space="preserve">سوییچ 5 پورت   </t>
  </si>
  <si>
    <t>موجود در انبار-تحویل افشین</t>
  </si>
  <si>
    <t xml:space="preserve">MY94H411F1  </t>
  </si>
  <si>
    <t>0714002208012245</t>
  </si>
  <si>
    <t>0308007501005796</t>
  </si>
  <si>
    <t>0705024403003621</t>
  </si>
  <si>
    <t>0706022310001514</t>
  </si>
  <si>
    <t>0678025202026727</t>
  </si>
  <si>
    <t>065100490459292</t>
  </si>
  <si>
    <t xml:space="preserve">0686002011058231 </t>
  </si>
  <si>
    <t>0698015204028215</t>
  </si>
  <si>
    <t>FCH1504F8Y6</t>
  </si>
  <si>
    <t>رک  4 یونیت دیواری</t>
  </si>
  <si>
    <t>رک دیواری  9 یونیت</t>
  </si>
  <si>
    <t>KR25C19</t>
  </si>
  <si>
    <t>CISCO 2960 POE 48 PORT</t>
  </si>
  <si>
    <t>CISCO 3750 Fiber 12 PORT</t>
  </si>
  <si>
    <t>TV BTV-55KEA110B</t>
  </si>
  <si>
    <t>S010072903C</t>
  </si>
  <si>
    <t>آمپلی فایر میکروفن BOSCH</t>
  </si>
  <si>
    <t>آمپلی فایر بلندگو BOSCH</t>
  </si>
  <si>
    <t>FCQ1521Z5C3</t>
  </si>
  <si>
    <t>LG 19" E1941S</t>
  </si>
  <si>
    <t>0711013311028813</t>
  </si>
  <si>
    <t>CNJ8F4D4ZC</t>
  </si>
  <si>
    <t>0384002801006501</t>
  </si>
  <si>
    <t>403NDBP7T637</t>
  </si>
  <si>
    <t>408NDJX94020</t>
  </si>
  <si>
    <t>410NDGL08367</t>
  </si>
  <si>
    <t>WEP55093</t>
  </si>
  <si>
    <t>Sumsung 19" 1943BM</t>
  </si>
  <si>
    <t>0680001011024984</t>
  </si>
  <si>
    <t>H9MN600656</t>
  </si>
  <si>
    <t>580183591</t>
  </si>
  <si>
    <t>NVR HIKVISION DS-7608NI</t>
  </si>
  <si>
    <t>ارسالی از خاتون آباد موجود در انبار شهر</t>
  </si>
  <si>
    <t>GG90C3</t>
  </si>
  <si>
    <t>GG91C3</t>
  </si>
  <si>
    <t xml:space="preserve">0722014203039243 </t>
  </si>
  <si>
    <t xml:space="preserve">PHBLM4DG53 </t>
  </si>
  <si>
    <t xml:space="preserve">حمید رضا رافعی دهکردی </t>
  </si>
  <si>
    <t>Router Wireless TP-Link</t>
  </si>
  <si>
    <t>Scanner Avision 1313B</t>
  </si>
  <si>
    <t>محمد رضا طباطبایی پروژه فولاد</t>
  </si>
  <si>
    <t>0722003009032734</t>
  </si>
  <si>
    <t>پرده ویدیو پروژکتور 2*2 ساده</t>
  </si>
  <si>
    <t>سالن کارفرما گلفا</t>
  </si>
  <si>
    <t>CNB9H6T2RZ</t>
  </si>
  <si>
    <t>Printer HP M706N</t>
  </si>
  <si>
    <t>CNBRP6Q10H</t>
  </si>
  <si>
    <t xml:space="preserve">TV 32LF51000Gi </t>
  </si>
  <si>
    <t xml:space="preserve">TV 32LF56000Gi  </t>
  </si>
  <si>
    <t xml:space="preserve">کد سنگان 32702433 </t>
  </si>
  <si>
    <t xml:space="preserve">کد سنگان 32702366 </t>
  </si>
  <si>
    <t>CH9C17</t>
  </si>
  <si>
    <t xml:space="preserve">0722002008012032 </t>
  </si>
  <si>
    <t xml:space="preserve">0722014110022352 </t>
  </si>
  <si>
    <t xml:space="preserve">0722009112322100 </t>
  </si>
  <si>
    <t xml:space="preserve">0722001007046704 </t>
  </si>
  <si>
    <t xml:space="preserve">0722007103005747 </t>
  </si>
  <si>
    <t xml:space="preserve">WCY40345 </t>
  </si>
  <si>
    <t xml:space="preserve">0722016205014093 </t>
  </si>
  <si>
    <t>دستگاه UPS</t>
  </si>
  <si>
    <t xml:space="preserve">50101042000700305 </t>
  </si>
  <si>
    <t>ارسال شده از خرامه به همراه 8 عدد باتری</t>
  </si>
  <si>
    <t>0706022310009910</t>
  </si>
  <si>
    <t>0722013110022006</t>
  </si>
  <si>
    <t>KR26C19</t>
  </si>
  <si>
    <t>SW Catalyst 2950 12 port</t>
  </si>
  <si>
    <t>Panasonic KX-TEM824BX</t>
  </si>
  <si>
    <t>PXN1506F11B</t>
  </si>
  <si>
    <t>ارسالی از خاتون آباد-داغی اعلام شد</t>
  </si>
  <si>
    <t>ارسال شده از خاتون آباد-داغی</t>
  </si>
  <si>
    <t>نصب شده در پلیکام</t>
  </si>
  <si>
    <t>دستگاه کارت ساعت زنی UFace 202</t>
  </si>
  <si>
    <t>PXN1506J09X</t>
  </si>
  <si>
    <t>SAMSUNG 19” E1920NX</t>
  </si>
  <si>
    <t>GG92C3</t>
  </si>
  <si>
    <t xml:space="preserve">مهرداد زیدآبادی نژاد </t>
  </si>
  <si>
    <t xml:space="preserve">0722005112322098 </t>
  </si>
  <si>
    <t>F3VX2A4000063</t>
  </si>
  <si>
    <t>0686002011058231</t>
  </si>
  <si>
    <t>0714001208005064</t>
  </si>
  <si>
    <t>0722014110022383</t>
  </si>
  <si>
    <t>0705024403003643</t>
  </si>
  <si>
    <t>0698014204006893</t>
  </si>
  <si>
    <t>065100490459298</t>
  </si>
  <si>
    <t>0307002408015594</t>
  </si>
  <si>
    <t>KR20C20</t>
  </si>
  <si>
    <t>S010064087C</t>
  </si>
  <si>
    <t>TV Blest 55” BTVKEA110B</t>
  </si>
  <si>
    <t>GG26C5</t>
  </si>
  <si>
    <t>0722008103006780</t>
  </si>
  <si>
    <t>0722004112322065</t>
  </si>
  <si>
    <t>065100490459305</t>
  </si>
  <si>
    <t>072203009031177</t>
  </si>
  <si>
    <t>ابوالفضل غلامی  - ارسال جهت تعمیر-از تعمیر برگشت</t>
  </si>
  <si>
    <t>مانیتور سرور نظارت کارفرما - دهنوی-از تعمیر برگشت</t>
  </si>
  <si>
    <t>TH10C29</t>
  </si>
  <si>
    <t>TH11C29</t>
  </si>
  <si>
    <t>0722015203039548</t>
  </si>
  <si>
    <t>0722012109030098</t>
  </si>
  <si>
    <t>KR27C19</t>
  </si>
  <si>
    <t>KR28C19</t>
  </si>
  <si>
    <t>GG93C3</t>
  </si>
  <si>
    <t>GG94C3</t>
  </si>
  <si>
    <t>GG95C3</t>
  </si>
  <si>
    <t>GG97C3</t>
  </si>
  <si>
    <t>GG98C3</t>
  </si>
  <si>
    <t>0722009105030944</t>
  </si>
  <si>
    <t>356001606021612</t>
  </si>
  <si>
    <t xml:space="preserve">0714002208012223 </t>
  </si>
  <si>
    <t>0722005011064679</t>
  </si>
  <si>
    <t>065100490459290</t>
  </si>
  <si>
    <t>065100590520792</t>
  </si>
  <si>
    <t xml:space="preserve">0706020307021365  </t>
  </si>
  <si>
    <t>0706023311019583</t>
  </si>
  <si>
    <t xml:space="preserve"> 0706023311019586</t>
  </si>
  <si>
    <t>مصطفی رازمند</t>
  </si>
  <si>
    <t>کیس قبلی مانیتورینگ</t>
  </si>
  <si>
    <t>سیستم آزاد</t>
  </si>
  <si>
    <t>C08067367</t>
  </si>
  <si>
    <t>G15040710029</t>
  </si>
  <si>
    <t>8CBWA061745</t>
  </si>
  <si>
    <t>CISCO 7841</t>
  </si>
  <si>
    <t>0722006012073316</t>
  </si>
  <si>
    <t>207INJL22404</t>
  </si>
  <si>
    <t>PXN16190SWT</t>
  </si>
  <si>
    <t>0722014110022356</t>
  </si>
  <si>
    <t xml:space="preserve">0722007103005720 </t>
  </si>
  <si>
    <t xml:space="preserve">0722003009031176 </t>
  </si>
  <si>
    <t xml:space="preserve">0722015205013045 </t>
  </si>
  <si>
    <t xml:space="preserve">0722003009031169 </t>
  </si>
  <si>
    <t>0722003009033183</t>
  </si>
  <si>
    <t>0722002008012015</t>
  </si>
  <si>
    <t>0722003009032981</t>
  </si>
  <si>
    <t>uface 202</t>
  </si>
  <si>
    <t>3574203401128</t>
  </si>
  <si>
    <t xml:space="preserve">3574203402050 </t>
  </si>
  <si>
    <t>051701880857875</t>
  </si>
  <si>
    <t>3574203402686</t>
  </si>
  <si>
    <t>3574203402682</t>
  </si>
  <si>
    <t>هاشم مطلبی زاده</t>
  </si>
  <si>
    <t>0722009105031675</t>
  </si>
  <si>
    <t>LG 19" W1943SE</t>
  </si>
  <si>
    <t>KR21C20</t>
  </si>
  <si>
    <t>Lenovo All In One V530</t>
  </si>
  <si>
    <t>MP1FN4GU</t>
  </si>
  <si>
    <t>GG19C2</t>
  </si>
  <si>
    <t>ایمان فتحی</t>
  </si>
  <si>
    <t>GG99C3</t>
  </si>
  <si>
    <t>0722002008012009</t>
  </si>
  <si>
    <t>LG 17"  M1710S</t>
  </si>
  <si>
    <t>LG 22"  W2261VP</t>
  </si>
  <si>
    <t xml:space="preserve">0706021309007464  </t>
  </si>
  <si>
    <t>0686003011060033</t>
  </si>
  <si>
    <t>PUC17120GV1</t>
  </si>
  <si>
    <t>072200107046186</t>
  </si>
  <si>
    <t xml:space="preserve">احسان توحیدی </t>
  </si>
  <si>
    <t>0686003011058549</t>
  </si>
  <si>
    <t>PUC17120H86</t>
  </si>
  <si>
    <t>0678025202026830</t>
  </si>
  <si>
    <t>رادیو Mikrotik SXT 5HPnD</t>
  </si>
  <si>
    <t>اکسس پوینت Mikrotik RB WAP 2ND</t>
  </si>
  <si>
    <t>0706022310009914</t>
  </si>
  <si>
    <t xml:space="preserve">جمع آوری شده از سنگ شکن گلفا </t>
  </si>
  <si>
    <t>GG100C3</t>
  </si>
  <si>
    <t>0711013311030633</t>
  </si>
  <si>
    <t>0690018206006468</t>
  </si>
  <si>
    <t xml:space="preserve">0690018206006474 </t>
  </si>
  <si>
    <t>0706022311000274</t>
  </si>
  <si>
    <t xml:space="preserve">0682003202042725  </t>
  </si>
  <si>
    <t>0698014204004602</t>
  </si>
  <si>
    <t xml:space="preserve"> 0698014204004603  </t>
  </si>
  <si>
    <t>0722007101006442</t>
  </si>
  <si>
    <t>0698015204028214</t>
  </si>
  <si>
    <t xml:space="preserve">0682003202042723 </t>
  </si>
  <si>
    <t xml:space="preserve">0698016205025197 </t>
  </si>
  <si>
    <t xml:space="preserve"> 0681007206007257 </t>
  </si>
  <si>
    <t>0722010105062900</t>
  </si>
  <si>
    <t>0706022311000263</t>
  </si>
  <si>
    <t xml:space="preserve">0698015204029264  </t>
  </si>
  <si>
    <t xml:space="preserve"> 0698015204033398</t>
  </si>
  <si>
    <t xml:space="preserve">0698014204000874  </t>
  </si>
  <si>
    <t>0698014204004593</t>
  </si>
  <si>
    <t>0690018206006466</t>
  </si>
  <si>
    <t xml:space="preserve">0698014204004607 </t>
  </si>
  <si>
    <t xml:space="preserve">0678025202026861 </t>
  </si>
  <si>
    <t>0678026203030809</t>
  </si>
  <si>
    <t>0722015203039732</t>
  </si>
  <si>
    <t>0711013311030623</t>
  </si>
  <si>
    <t>051801380400324</t>
  </si>
  <si>
    <t xml:space="preserve">LG 19" W1953 SE </t>
  </si>
  <si>
    <t>LG 20" W2053</t>
  </si>
  <si>
    <t>0714002208012222</t>
  </si>
  <si>
    <t>GG101C3</t>
  </si>
  <si>
    <t>HP M26A</t>
  </si>
  <si>
    <t>CNBRP3773C</t>
  </si>
  <si>
    <t>HP M706N</t>
  </si>
  <si>
    <t>CNBRPBPCGV</t>
  </si>
  <si>
    <t>0722001007046834</t>
  </si>
  <si>
    <t>0722014110022382</t>
  </si>
  <si>
    <t>0722015203039602</t>
  </si>
  <si>
    <t>0722003009033221</t>
  </si>
  <si>
    <t>0722005011064504</t>
  </si>
  <si>
    <t>0722010105062427</t>
  </si>
  <si>
    <t>0722015205013377</t>
  </si>
  <si>
    <t>0722007101006154</t>
  </si>
  <si>
    <t>0714004212010357</t>
  </si>
  <si>
    <t>0714004212011116</t>
  </si>
  <si>
    <t>0722014110022354</t>
  </si>
  <si>
    <t>0722003009033229</t>
  </si>
  <si>
    <t>0714004212010358</t>
  </si>
  <si>
    <t>0714007305007820</t>
  </si>
  <si>
    <t>0722007103005721</t>
  </si>
  <si>
    <t>0722009202322048</t>
  </si>
  <si>
    <t>0714001208005045</t>
  </si>
  <si>
    <t>0714002208012517</t>
  </si>
  <si>
    <t>0722009112322104</t>
  </si>
  <si>
    <t>ارسال شده از خاتون آباد-موجود در سایت مرکز تحقیقات (داخل کانتینر)</t>
  </si>
  <si>
    <t>SHARP AR-X201D</t>
  </si>
  <si>
    <t>LG 19" LED E1940S</t>
  </si>
  <si>
    <t xml:space="preserve">LG 20" E2040S </t>
  </si>
  <si>
    <t>Samsung 19" 1931 B-LCD</t>
  </si>
  <si>
    <t>0706021309007587</t>
  </si>
  <si>
    <t>0714002208012224</t>
  </si>
  <si>
    <t>مانیتور جهت اتصال به لپ تاپ - اسپانیایی ها</t>
  </si>
  <si>
    <t>VNF6G12287</t>
  </si>
  <si>
    <t>HP P1006</t>
  </si>
  <si>
    <t xml:space="preserve">CNBRP376CS </t>
  </si>
  <si>
    <t xml:space="preserve">HP Pro M26a </t>
  </si>
  <si>
    <t xml:space="preserve">پیروز وحیدی </t>
  </si>
  <si>
    <t>9137</t>
  </si>
  <si>
    <t>0707011209028953</t>
  </si>
  <si>
    <t>0678027204041132</t>
  </si>
  <si>
    <t>0714002208012519</t>
  </si>
  <si>
    <t>GG45C8</t>
  </si>
  <si>
    <t>0698016205025193</t>
  </si>
  <si>
    <t>0681007206007263</t>
  </si>
  <si>
    <t>LG 20" W2053 TQ</t>
  </si>
  <si>
    <t>GG27C5</t>
  </si>
  <si>
    <t>LG 19" 1950S</t>
  </si>
  <si>
    <t>فرشاد سلیمانی (واحد مکانیک ) -ارسال به تعمیر-از تعمیر برگشت</t>
  </si>
  <si>
    <t xml:space="preserve"> ایمان پاسواری - روشن نشدن - از تعمیر برگشت</t>
  </si>
  <si>
    <t>PXN1549084T</t>
  </si>
  <si>
    <t>0706023311019584</t>
  </si>
  <si>
    <t>0705024403003642</t>
  </si>
  <si>
    <t>S20R310BH9MQB000219</t>
  </si>
  <si>
    <t>0722003009031113</t>
  </si>
  <si>
    <t>Cisco 6945</t>
  </si>
  <si>
    <t>PUC17230HH0</t>
  </si>
  <si>
    <t>630983</t>
  </si>
  <si>
    <t>Samsung 943</t>
  </si>
  <si>
    <t>canon mf3010</t>
  </si>
  <si>
    <t>wcy14106</t>
  </si>
  <si>
    <t>رضا بهزاد نگارنده</t>
  </si>
  <si>
    <t>0722014203039034</t>
  </si>
  <si>
    <t>0722009112322107</t>
  </si>
  <si>
    <t>خیریه</t>
  </si>
  <si>
    <t>0305001409008468</t>
  </si>
  <si>
    <t>0384002801006484</t>
  </si>
  <si>
    <t>0678025202026829</t>
  </si>
  <si>
    <t>0690017204066498</t>
  </si>
  <si>
    <t>0698016205026410</t>
  </si>
  <si>
    <t>0722015205013059</t>
  </si>
  <si>
    <t>0722015203039586</t>
  </si>
  <si>
    <t>داخل اتاق آی تی</t>
  </si>
  <si>
    <t xml:space="preserve">0698016205025191 </t>
  </si>
  <si>
    <t xml:space="preserve">محمد تسلیمی </t>
  </si>
  <si>
    <t>PXN16240HTM</t>
  </si>
  <si>
    <t>دارای کد اموال سنگان - 32702859 - خش عمودی دارد - داغی اعلام شده</t>
  </si>
  <si>
    <t>CNERP9G3ZW</t>
  </si>
  <si>
    <t>HP A3 712</t>
  </si>
  <si>
    <t>DS-2CD2023G0I</t>
  </si>
  <si>
    <t>DS-2CD1023GOE</t>
  </si>
  <si>
    <t>کارفرما</t>
  </si>
  <si>
    <t>علیرضا زبیدی</t>
  </si>
  <si>
    <t>واحد 9</t>
  </si>
  <si>
    <t>واحد 10</t>
  </si>
  <si>
    <t>BLEST   55</t>
  </si>
  <si>
    <t xml:space="preserve">  BLEST   43</t>
  </si>
  <si>
    <t>BLEST  43</t>
  </si>
  <si>
    <t>خوابگاه مدیریت  1</t>
  </si>
  <si>
    <t>خوابگاه مدیریت  2</t>
  </si>
  <si>
    <t>واحد 12</t>
  </si>
  <si>
    <t>خوابگاه احمدی</t>
  </si>
  <si>
    <t>SAMSUNG</t>
  </si>
  <si>
    <t>XVISION 55"</t>
  </si>
  <si>
    <t xml:space="preserve"> Projector PANASONIC PT-F100</t>
  </si>
  <si>
    <t>SD8120161</t>
  </si>
  <si>
    <t>5E9A07581D09/729</t>
  </si>
  <si>
    <t xml:space="preserve">به علت سوختگی داغی اعلام شد. </t>
  </si>
  <si>
    <t>Sharp AR-6023NV</t>
  </si>
  <si>
    <t>FOC1636V2GC</t>
  </si>
  <si>
    <t>Cisco POE 3560 8port</t>
  </si>
  <si>
    <t>666003011059242</t>
  </si>
  <si>
    <t>ارسال جهت تعمیر - امین خراسانی ( سیویل ) پروژه سایت مرکز تحقیقات</t>
  </si>
  <si>
    <t>SHARP Copy AR1118</t>
  </si>
  <si>
    <t>0680001009038509</t>
  </si>
  <si>
    <t>LG 19" W1954 TQ</t>
  </si>
  <si>
    <t>HP M712FDN</t>
  </si>
  <si>
    <t>CNERPBFAG8</t>
  </si>
  <si>
    <t>Copy Sharp Ar-6023</t>
  </si>
  <si>
    <t>سپیده شهسواری</t>
  </si>
  <si>
    <t>0706022310001509</t>
  </si>
  <si>
    <t>CN087B600q</t>
  </si>
  <si>
    <t>Scanner hp 3500f1</t>
  </si>
  <si>
    <t>TP-Link TD-W8961N</t>
  </si>
  <si>
    <t xml:space="preserve">0722010104000458 </t>
  </si>
  <si>
    <t xml:space="preserve">0686003011058552 </t>
  </si>
  <si>
    <t>PUC17120CA0</t>
  </si>
  <si>
    <t>GG102C3</t>
  </si>
  <si>
    <t>0686004012063391</t>
  </si>
  <si>
    <t>0722009201322048</t>
  </si>
  <si>
    <t>0308007501004007</t>
  </si>
  <si>
    <t>SAMSUNG 19” 1931</t>
  </si>
  <si>
    <t>NH9MN5082219</t>
  </si>
  <si>
    <t>SAMSUNG 17" 1732N</t>
  </si>
  <si>
    <t>احسان امیری</t>
  </si>
  <si>
    <t>مانییتور وصل شده به دستگاه NVR</t>
  </si>
  <si>
    <t>PUC17120HDG</t>
  </si>
  <si>
    <t>KR29C19</t>
  </si>
  <si>
    <t>505NTTQ1K325</t>
  </si>
  <si>
    <t>Cisco CP-7960</t>
  </si>
  <si>
    <t>Samsung 19" 1943BM</t>
  </si>
  <si>
    <t>Samsung 19" 1931 BF-LCD</t>
  </si>
  <si>
    <t>یک کیس در ازای کد مذکور از شرکت ماشین سازی گهرزمین تحویل گرفته شد</t>
  </si>
  <si>
    <t>File-Sharing</t>
  </si>
  <si>
    <t>فایل سرور</t>
  </si>
  <si>
    <t>0175002910009331</t>
  </si>
  <si>
    <t>VNF3558847</t>
  </si>
  <si>
    <t>Printer HP 26A</t>
  </si>
  <si>
    <t>0714004212011105</t>
  </si>
  <si>
    <t>0714001208005049</t>
  </si>
  <si>
    <t>0706021309008904</t>
  </si>
  <si>
    <t>Router Cisco 2900</t>
  </si>
  <si>
    <t>FTX1809AJXS</t>
  </si>
  <si>
    <t>FOC1615Z5EF</t>
  </si>
  <si>
    <t>PXN14389VAH</t>
  </si>
  <si>
    <t>PUC163810NF</t>
  </si>
  <si>
    <t>PUC173602HA</t>
  </si>
  <si>
    <t>PUC163810P6</t>
  </si>
  <si>
    <t>PUC16280DTD</t>
  </si>
  <si>
    <t>PXN14389USL</t>
  </si>
  <si>
    <t>PUC1750081D</t>
  </si>
  <si>
    <t>TH14C29</t>
  </si>
  <si>
    <t>TH15C29</t>
  </si>
  <si>
    <t>0722014110022434</t>
  </si>
  <si>
    <t>PUC17280YRP</t>
  </si>
  <si>
    <t>0722013110021820</t>
  </si>
  <si>
    <t>Cisco  6921</t>
  </si>
  <si>
    <t>PUC17120BWQ</t>
  </si>
  <si>
    <t>PUC17120CXR</t>
  </si>
  <si>
    <t>PUC17120AP0</t>
  </si>
  <si>
    <t>HP M428</t>
  </si>
  <si>
    <t>CNDRP84C95</t>
  </si>
  <si>
    <t>PUC171008MW</t>
  </si>
  <si>
    <t>PUC17260WEN</t>
  </si>
  <si>
    <t>30NDRP84306N</t>
  </si>
  <si>
    <t>HP CP-5225</t>
  </si>
  <si>
    <t>CNGKL212GJ</t>
  </si>
  <si>
    <t>Sharp 6023N</t>
  </si>
  <si>
    <t>CN31HWH09B</t>
  </si>
  <si>
    <t>خراب است - به عنوان موجودی ثبت میشود</t>
  </si>
  <si>
    <t>LG 22" 22MP55HQ</t>
  </si>
  <si>
    <t>LG 22" E2260</t>
  </si>
  <si>
    <t>LG 19" W1954 SE</t>
  </si>
  <si>
    <t>Cisco CP-6961</t>
  </si>
  <si>
    <t>PXN1531XT1M</t>
  </si>
  <si>
    <t xml:space="preserve">PXN1505i778 </t>
  </si>
  <si>
    <t xml:space="preserve">PUC1750014X </t>
  </si>
  <si>
    <t xml:space="preserve">PUC16410KSG </t>
  </si>
  <si>
    <t>TH16C29</t>
  </si>
  <si>
    <t>0307003501015281</t>
  </si>
  <si>
    <t>PUC16280906</t>
  </si>
  <si>
    <t>PUC17040KB5</t>
  </si>
  <si>
    <t>Camera Canon PC2053</t>
  </si>
  <si>
    <t>Camera Samsung ST69</t>
  </si>
  <si>
    <t>FD01122Z4BJ</t>
  </si>
  <si>
    <t>FTX1826AL99</t>
  </si>
  <si>
    <t xml:space="preserve">Radio SQ </t>
  </si>
  <si>
    <t>LG 19" W1953</t>
  </si>
  <si>
    <t>داخل کشو کانکس انبار</t>
  </si>
  <si>
    <t>ارسالی از زرند</t>
  </si>
  <si>
    <t>0688003011059547</t>
  </si>
  <si>
    <t>0714004212010360</t>
  </si>
  <si>
    <t>0714007305008487</t>
  </si>
  <si>
    <t>0714007305008485</t>
  </si>
  <si>
    <t>0714005302018562</t>
  </si>
  <si>
    <t>0714007305007818</t>
  </si>
  <si>
    <t>0714005302018559</t>
  </si>
  <si>
    <t>0722003009032732</t>
  </si>
  <si>
    <t>0722001007047601</t>
  </si>
  <si>
    <t>0722012109030730</t>
  </si>
  <si>
    <t>0722005011064671</t>
  </si>
  <si>
    <t>0722014110022432</t>
  </si>
  <si>
    <t>0722003009031117</t>
  </si>
  <si>
    <t>1KAL138955</t>
  </si>
  <si>
    <t>0722001007046186</t>
  </si>
  <si>
    <t>0722014205322058</t>
  </si>
  <si>
    <t>LG 20” E2040S</t>
  </si>
  <si>
    <t>LG 19" E1942</t>
  </si>
  <si>
    <t>SAMSUNG A22 5G</t>
  </si>
  <si>
    <t>R9WT205H49J</t>
  </si>
  <si>
    <t>8998113900061570000</t>
  </si>
  <si>
    <t xml:space="preserve">R9WT205GW6D </t>
  </si>
  <si>
    <t>فولاد</t>
  </si>
  <si>
    <t>KR30C19</t>
  </si>
  <si>
    <t xml:space="preserve">00686003011059493  </t>
  </si>
  <si>
    <t>0722007101006042</t>
  </si>
  <si>
    <t>0680001009038513</t>
  </si>
  <si>
    <t xml:space="preserve">0686003011059618 </t>
  </si>
  <si>
    <t>Cisco 8961</t>
  </si>
  <si>
    <t>FCH1548829K</t>
  </si>
  <si>
    <t>0722016205014317</t>
  </si>
  <si>
    <t>0714002208012515</t>
  </si>
  <si>
    <t>نصب شده در اتاق سرور</t>
  </si>
  <si>
    <t>GG103C3</t>
  </si>
  <si>
    <t xml:space="preserve">جواد رضا خوشبختیان </t>
  </si>
  <si>
    <t>1FCKC526797</t>
  </si>
  <si>
    <t>سیامک احمد پور</t>
  </si>
  <si>
    <t>VOIP HX404E</t>
  </si>
  <si>
    <t>NP0116J20066</t>
  </si>
  <si>
    <t>NP0116J10983</t>
  </si>
  <si>
    <t>SW Cisco 3750 48port</t>
  </si>
  <si>
    <t>D140618</t>
  </si>
  <si>
    <t>LG 19" 1943NWX</t>
  </si>
  <si>
    <t>GG105C3</t>
  </si>
  <si>
    <t>حمید رضا مجاور</t>
  </si>
  <si>
    <t>GG106C3</t>
  </si>
  <si>
    <t>0682003202042727</t>
  </si>
  <si>
    <t>0714004212011103</t>
  </si>
  <si>
    <t>0714002208012242</t>
  </si>
  <si>
    <t>PUC175007Z6</t>
  </si>
  <si>
    <t>Rack KABIR SANAT</t>
  </si>
  <si>
    <t>UFACE 202</t>
  </si>
  <si>
    <t>3574211100064</t>
  </si>
  <si>
    <t>8UP04350</t>
  </si>
  <si>
    <t>Camera XP130</t>
  </si>
  <si>
    <t>0722005011065809</t>
  </si>
  <si>
    <t xml:space="preserve">Video Projector EPSON H971B </t>
  </si>
  <si>
    <t>112STPY22781</t>
  </si>
  <si>
    <t>PXN1534ZANH</t>
  </si>
  <si>
    <t>Z8EFB8GD1A02AWL</t>
  </si>
  <si>
    <t>SAMSUNG ML-2160</t>
  </si>
  <si>
    <t>پیام مرادی (باسکول) غیر قابل تعمیر اعلام شد</t>
  </si>
  <si>
    <t>CNGRPCM3Y7</t>
  </si>
  <si>
    <t>HP CP5225</t>
  </si>
  <si>
    <t>0978030212012428</t>
  </si>
  <si>
    <t>INM0630A1KY</t>
  </si>
  <si>
    <t>CNGRPCV76K</t>
  </si>
  <si>
    <t>CN98MVHOFT</t>
  </si>
  <si>
    <t>74766201F0</t>
  </si>
  <si>
    <t>Cisco CP-6945</t>
  </si>
  <si>
    <t>KX-FL612 Fax</t>
  </si>
  <si>
    <t>1AVWC156735</t>
  </si>
  <si>
    <t>خراب است</t>
  </si>
  <si>
    <t>آی تی</t>
  </si>
  <si>
    <t>AOM2701392</t>
  </si>
  <si>
    <t>AOM2701908</t>
  </si>
  <si>
    <t>TP-Link TLWR841N</t>
  </si>
  <si>
    <t>218C916007536</t>
  </si>
  <si>
    <t>2159048029845</t>
  </si>
  <si>
    <t>J1IUDV000144</t>
  </si>
  <si>
    <t>GG20C2</t>
  </si>
  <si>
    <t>GG21C2</t>
  </si>
  <si>
    <t>0714007305008488</t>
  </si>
  <si>
    <t>CNC0L06181</t>
  </si>
  <si>
    <t>HP 2035</t>
  </si>
  <si>
    <t>PUC16480PN7</t>
  </si>
  <si>
    <t>PUC16410KRO</t>
  </si>
  <si>
    <t>PXN163308FV</t>
  </si>
  <si>
    <t>PUC1750080W</t>
  </si>
  <si>
    <t>PXN1533YMMM</t>
  </si>
  <si>
    <t>PUC1750081Q</t>
  </si>
  <si>
    <t>PUC16410K7J</t>
  </si>
  <si>
    <t>PXN1533YNQH</t>
  </si>
  <si>
    <t>PXN1533YNQL</t>
  </si>
  <si>
    <t>PUC1710068L</t>
  </si>
  <si>
    <t>GG108C3</t>
  </si>
  <si>
    <t>Kodak i2620+Legal Size Flatbed</t>
  </si>
  <si>
    <t>LG 19" W1954</t>
  </si>
  <si>
    <t>LG 17" 1752S</t>
  </si>
  <si>
    <t>GG22C2</t>
  </si>
  <si>
    <t>GG23C2</t>
  </si>
  <si>
    <t xml:space="preserve">جواد خسروی </t>
  </si>
  <si>
    <t>LG 19" W1954TE</t>
  </si>
  <si>
    <t>Camera Canon SX240</t>
  </si>
  <si>
    <t xml:space="preserve">روتربرد میکروتیک 750  </t>
  </si>
  <si>
    <t>ED8021047EA3</t>
  </si>
  <si>
    <t>کیس گرین</t>
  </si>
  <si>
    <t>كيس كامپيوتر گرين</t>
  </si>
  <si>
    <t>کیس کامپیوتر گرین</t>
  </si>
  <si>
    <t>Camera Canon SX130IS-12.1 MP</t>
  </si>
  <si>
    <t>Camera Sony DSR-PD175P</t>
  </si>
  <si>
    <t>Camera Canon SX150IS-14.1 MP</t>
  </si>
  <si>
    <t>Camera Canon SX210 IS-14X</t>
  </si>
  <si>
    <t>Camera Canon SX1IS-10MP</t>
  </si>
  <si>
    <t>LG FLATRON M1710S</t>
  </si>
  <si>
    <t>مجموعه قفسه بندي صنعتي</t>
  </si>
  <si>
    <t>پرده نمايش 200*200 ويديو پرژكتور</t>
  </si>
  <si>
    <t>كيبورد وايرلس</t>
  </si>
  <si>
    <t>Camera Canon SX150-HS</t>
  </si>
  <si>
    <t>Camera Canon SX280HS-12.1 MP</t>
  </si>
  <si>
    <t>Camera Canon SX270-HS</t>
  </si>
  <si>
    <t>پرینترHP  OFFICEJET  7110</t>
  </si>
  <si>
    <t>پرینترCANON   IP2700</t>
  </si>
  <si>
    <t>مانیتور مدل   LG  27MK60TM</t>
  </si>
  <si>
    <t>پرینتر HP  OFFICEJET  7110</t>
  </si>
  <si>
    <t>پرینتر چند کاره Panasonic  2025</t>
  </si>
  <si>
    <t>دی وی آر مدل:DS-7216HGHI-SH</t>
  </si>
  <si>
    <t>مانیتور AOC</t>
  </si>
  <si>
    <t>مانیتور LG FLATRON2053</t>
  </si>
  <si>
    <t>مانیتور مدل20EN32S</t>
  </si>
  <si>
    <t>مودم 4G-LH92</t>
  </si>
  <si>
    <t>هارد اكسترنال 2 TB</t>
  </si>
  <si>
    <t>پرينتر سامسونگXpress m2020WLaser Printer</t>
  </si>
  <si>
    <t>مودم TP LINK</t>
  </si>
  <si>
    <t>مودم TPLINK</t>
  </si>
  <si>
    <t>وب كم هوشمند Logitech BCC950</t>
  </si>
  <si>
    <t>هارد اكسترنال 1 TB</t>
  </si>
  <si>
    <t>روتر وايرلسMIIPOTIK METAL</t>
  </si>
  <si>
    <t>دوربين فيلم برداري Canon - HDV1080I</t>
  </si>
  <si>
    <t>لپ تاپ Sony VGN-SZ260P</t>
  </si>
  <si>
    <t>مانيتور LG</t>
  </si>
  <si>
    <t>تلويزيون LCD  LG  21</t>
  </si>
  <si>
    <t>مانيتور SAMSUNG</t>
  </si>
  <si>
    <t>مانيتور AOC</t>
  </si>
  <si>
    <t>فتو كپي SHARP - AR 1118</t>
  </si>
  <si>
    <t>مودم ADSL</t>
  </si>
  <si>
    <t>اسكنر HP -G4010</t>
  </si>
  <si>
    <t>تلويزيون X Vision LCD</t>
  </si>
  <si>
    <t>كيس گرين - RACKMONT - IPC - G600</t>
  </si>
  <si>
    <t>پرينتر HP 7000 A3</t>
  </si>
  <si>
    <t>سيستم كامپيوتر يكپارچه AIO ACER ASPZ 3770</t>
  </si>
  <si>
    <t>سوئيچ وايرلس DLINK - DIR605</t>
  </si>
  <si>
    <t>كيبورد وايرلس MK330</t>
  </si>
  <si>
    <t>كيبرد بيسيم وايرلس Logitech K380</t>
  </si>
  <si>
    <t>اسكنر HP5590</t>
  </si>
  <si>
    <t>پرينتر  CANON A3</t>
  </si>
  <si>
    <t>فكس PANASONIC KX-FL 612 CX</t>
  </si>
  <si>
    <t>پرينتر رنگي HP -K7103</t>
  </si>
  <si>
    <t>اسكنر  KODAK 1310 i</t>
  </si>
  <si>
    <t>پرينتر HP 2055-P</t>
  </si>
  <si>
    <t>L1919S LG 19"</t>
  </si>
  <si>
    <t>Network video recorder</t>
  </si>
  <si>
    <t>LG19" LCD W2053</t>
  </si>
  <si>
    <t xml:space="preserve">پرینتر چهار کاره پاناسونیک </t>
  </si>
  <si>
    <t>LG19" LCD W1953SE</t>
  </si>
  <si>
    <t xml:space="preserve">Samsong 19" 1931 </t>
  </si>
  <si>
    <t>LG FLATRON     E1942C-BN</t>
  </si>
  <si>
    <t xml:space="preserve">چهار کاره پاناسونیک   </t>
  </si>
  <si>
    <t>کیس شماره GG53C8  </t>
  </si>
  <si>
    <t xml:space="preserve">کیس شماره GG12C10 </t>
  </si>
  <si>
    <t>Printer  Canon ix 4000</t>
  </si>
  <si>
    <t xml:space="preserve">ABRS15812 </t>
  </si>
  <si>
    <t xml:space="preserve">LG19" LCD W1954 TQ Flatron </t>
  </si>
  <si>
    <t>SW CISCO 2960 24 PORT</t>
  </si>
  <si>
    <t>F0C1517V21N</t>
  </si>
  <si>
    <t>GG3C10</t>
  </si>
  <si>
    <t>Scanner CANON DR-M160</t>
  </si>
  <si>
    <t>GXJ55771</t>
  </si>
  <si>
    <t>کیس خالی-ارسالی از خاتون آباد</t>
  </si>
  <si>
    <t>کانکس ای تی</t>
  </si>
  <si>
    <t>0722014203039248</t>
  </si>
  <si>
    <t>تلفن بیسیم KX-TG1611</t>
  </si>
  <si>
    <t>3BALL937255</t>
  </si>
  <si>
    <t>0714007305008480</t>
  </si>
  <si>
    <t>CNGRPD745N</t>
  </si>
  <si>
    <t>0714001208005054</t>
  </si>
  <si>
    <t>612218</t>
  </si>
  <si>
    <t>612221</t>
  </si>
  <si>
    <t>612222</t>
  </si>
  <si>
    <t>ارسالی از خاتون آباد-اعلام داغی شد</t>
  </si>
  <si>
    <t>شایان ترابیان پرسنل کارفرما - روشن نشدن - داغی اعلام شد</t>
  </si>
  <si>
    <t>برگشت از تعمیرات-داغی اعلام شد</t>
  </si>
  <si>
    <t>LG E1940S (GG25C8)</t>
  </si>
  <si>
    <t>SXTlite5</t>
  </si>
  <si>
    <t>0714004212011140</t>
  </si>
  <si>
    <t>CNDRPDG4TJ</t>
  </si>
  <si>
    <t>HP M428N</t>
  </si>
  <si>
    <t>SHARP 6023NR</t>
  </si>
  <si>
    <t>GG24C2</t>
  </si>
  <si>
    <t>0714001208005030</t>
  </si>
  <si>
    <t>0714007305008483</t>
  </si>
  <si>
    <t>0714007305008484</t>
  </si>
  <si>
    <t>0714005302018539</t>
  </si>
  <si>
    <t>0714001208005016</t>
  </si>
  <si>
    <t>201STSE11749</t>
  </si>
  <si>
    <t>202STWU10107</t>
  </si>
  <si>
    <t>GPlus-65MU722SCHC00</t>
  </si>
  <si>
    <t>GPlus-43LU7130SCHC00</t>
  </si>
  <si>
    <t>GG4C10</t>
  </si>
  <si>
    <t>GG5C10</t>
  </si>
  <si>
    <t>0308006412008328</t>
  </si>
  <si>
    <t>محمد جواد یگانه</t>
  </si>
  <si>
    <t xml:space="preserve">سید باقر حسینی </t>
  </si>
  <si>
    <t>TP-LINK TL-WR741ND</t>
  </si>
  <si>
    <t>TH22C29</t>
  </si>
  <si>
    <t>TH19C29</t>
  </si>
  <si>
    <t>LG 20" 20M35A-B</t>
  </si>
  <si>
    <t>HP P2055</t>
  </si>
  <si>
    <t>201STFG11943</t>
  </si>
  <si>
    <t>GPLUS GTV65MU722S 65”</t>
  </si>
  <si>
    <t>201STDK24744</t>
  </si>
  <si>
    <t>GPLUS GTV55LU7130S 55”</t>
  </si>
  <si>
    <t>112STRH18964</t>
  </si>
  <si>
    <t>111STJG25686</t>
  </si>
  <si>
    <t>CISCO 3560 24 PORT</t>
  </si>
  <si>
    <t xml:space="preserve">HP DL380P </t>
  </si>
  <si>
    <t>CZ250305XC</t>
  </si>
  <si>
    <t>Kodak i2620</t>
  </si>
  <si>
    <t xml:space="preserve">اسکنر Flatbed </t>
  </si>
  <si>
    <t>0722014110022433</t>
  </si>
  <si>
    <t>0739005305005633</t>
  </si>
  <si>
    <t>CANON MF4430</t>
  </si>
  <si>
    <t>065100490459300</t>
  </si>
  <si>
    <t>پوسته کیس</t>
  </si>
  <si>
    <t>9FBKB123447</t>
  </si>
  <si>
    <t>7JCKM635359</t>
  </si>
  <si>
    <t>7JCKM635356</t>
  </si>
  <si>
    <t>7LBWM252840</t>
  </si>
  <si>
    <t>7KBWM186392</t>
  </si>
  <si>
    <t>7KBKD972339</t>
  </si>
  <si>
    <t>7LBWM241987</t>
  </si>
  <si>
    <t>7LBWM242216</t>
  </si>
  <si>
    <t>3ABLK894940</t>
  </si>
  <si>
    <t>راديو ميكروتيك بشقابي RB711</t>
  </si>
  <si>
    <t>لینک گلفا - گهرزمین</t>
  </si>
  <si>
    <t>لینگ گهرزمین - گلفا</t>
  </si>
  <si>
    <t>Canon M160</t>
  </si>
  <si>
    <t>GXJ53090</t>
  </si>
  <si>
    <t>بهزاد فزوني</t>
  </si>
  <si>
    <t>GG25C2</t>
  </si>
  <si>
    <t>GG26C2</t>
  </si>
  <si>
    <t>0722016205013919</t>
  </si>
  <si>
    <t>0LCKC422371</t>
  </si>
  <si>
    <t>4DBLD145273</t>
  </si>
  <si>
    <t>5EBKA08818</t>
  </si>
  <si>
    <t>دوربین نصب شده درب ورودی گلفا جهت کارت ساعت</t>
  </si>
  <si>
    <t>vivotech Dom</t>
  </si>
  <si>
    <t>7LBWM242217</t>
  </si>
  <si>
    <t xml:space="preserve">RS-IP4500DA220160620BBWR613565271 </t>
  </si>
  <si>
    <t>I20190430AAWRD15429545</t>
  </si>
  <si>
    <t>نصب شده در پروژه</t>
  </si>
  <si>
    <t>HikVision DS-2CD1023G0E</t>
  </si>
  <si>
    <t>HP officejet 7110</t>
  </si>
  <si>
    <t>TV Gplus "43</t>
  </si>
  <si>
    <t>TV GPlus"55</t>
  </si>
  <si>
    <t>GG6C10</t>
  </si>
  <si>
    <t>7LAKA797585</t>
  </si>
  <si>
    <t>0722015203039631</t>
  </si>
  <si>
    <t>2013050412</t>
  </si>
  <si>
    <t>0LBKC418626</t>
  </si>
  <si>
    <t>1ICLI988101</t>
  </si>
  <si>
    <t>CH10C17</t>
  </si>
  <si>
    <t>CNDRP4WB5P</t>
  </si>
  <si>
    <t>402NDHBFR009</t>
  </si>
  <si>
    <t>402NDTCFR017</t>
  </si>
  <si>
    <t>0722003009031346</t>
  </si>
  <si>
    <t>CNGRQ337DX</t>
  </si>
  <si>
    <t>CNGRQ337CK</t>
  </si>
  <si>
    <t>CNERPBW4C9</t>
  </si>
  <si>
    <t>CNERPBP4TD</t>
  </si>
  <si>
    <t>CNDRP2NDSL</t>
  </si>
  <si>
    <t>CNDRP3Y71V</t>
  </si>
  <si>
    <t>CNDRP2MC2L</t>
  </si>
  <si>
    <t>CNDRPZNDWJ</t>
  </si>
  <si>
    <t>VNC3683548</t>
  </si>
  <si>
    <t>CN1ALB6062</t>
  </si>
  <si>
    <t>0686004012063418</t>
  </si>
  <si>
    <t>0686002011057476</t>
  </si>
  <si>
    <t>403NDMTJM211</t>
  </si>
  <si>
    <t>403NDHBJM345</t>
  </si>
  <si>
    <t>403NDJxjl868</t>
  </si>
  <si>
    <t>0175002910011217</t>
  </si>
  <si>
    <t>0175001908017146</t>
  </si>
  <si>
    <t>0175002910009024</t>
  </si>
  <si>
    <t>0175002910010474</t>
  </si>
  <si>
    <t>0686003011059253</t>
  </si>
  <si>
    <t>0686004012063397</t>
  </si>
  <si>
    <t>0686002011057674</t>
  </si>
  <si>
    <t>0722003009031108</t>
  </si>
  <si>
    <t>0722007101006155</t>
  </si>
  <si>
    <t>0722011109000818</t>
  </si>
  <si>
    <t>0722003009031216</t>
  </si>
  <si>
    <t>0375016810002993</t>
  </si>
  <si>
    <t>0375017811021522</t>
  </si>
  <si>
    <t>0150001911001505</t>
  </si>
  <si>
    <t>0175002910010448</t>
  </si>
  <si>
    <t>0175002910009892</t>
  </si>
  <si>
    <t>0175002910010728</t>
  </si>
  <si>
    <t>0175002910008470</t>
  </si>
  <si>
    <t>0175002910010128</t>
  </si>
  <si>
    <t>111RKHX0L361</t>
  </si>
  <si>
    <t>111RKCF0L555</t>
  </si>
  <si>
    <t>111RKXD0L594</t>
  </si>
  <si>
    <t>111RKCF0L219</t>
  </si>
  <si>
    <t>111RKJU0L212</t>
  </si>
  <si>
    <t>111RKTA0L393</t>
  </si>
  <si>
    <t>111RKDJ0L226</t>
  </si>
  <si>
    <t>111RKDJ0L394</t>
  </si>
  <si>
    <t>111RKXD0L258</t>
  </si>
  <si>
    <t>111RKVQ0L263</t>
  </si>
  <si>
    <t>111RKWZ0L257</t>
  </si>
  <si>
    <t>FTX1450AK8D</t>
  </si>
  <si>
    <t>FCL17251213</t>
  </si>
  <si>
    <t>FTX1708AK4J</t>
  </si>
  <si>
    <t>FCZ1725602K</t>
  </si>
  <si>
    <t>FD01134Z4XU</t>
  </si>
  <si>
    <t>FD01134ZAB5</t>
  </si>
  <si>
    <t>CAT1039ZLXJ</t>
  </si>
  <si>
    <t>FD01240X5PH</t>
  </si>
  <si>
    <t>FD01144Y183</t>
  </si>
  <si>
    <t>PXN1533YN5K</t>
  </si>
  <si>
    <t>PXN1533YNUR</t>
  </si>
  <si>
    <t>PXN1533YNEB</t>
  </si>
  <si>
    <t>PXN1506J0X1</t>
  </si>
  <si>
    <t>PXN1533YLGA</t>
  </si>
  <si>
    <t>PXN1533YNV5</t>
  </si>
  <si>
    <t>PXN1533YN5V</t>
  </si>
  <si>
    <t>LG 22" 2281</t>
  </si>
  <si>
    <t>LG 22" MP55HQ</t>
  </si>
  <si>
    <t>HP 5225DN</t>
  </si>
  <si>
    <t>HP 712DN</t>
  </si>
  <si>
    <t>HP 428DN</t>
  </si>
  <si>
    <t>Scanner HP 3500f1</t>
  </si>
  <si>
    <t>SW 3560 POE 48</t>
  </si>
  <si>
    <t>Router RB 2911</t>
  </si>
  <si>
    <t>GG111C3</t>
  </si>
  <si>
    <t>GG113C3</t>
  </si>
  <si>
    <t>GG114C3</t>
  </si>
  <si>
    <t>GG115C3</t>
  </si>
  <si>
    <t>کوروش نوروزی</t>
  </si>
  <si>
    <t xml:space="preserve"> CISCO 6941</t>
  </si>
  <si>
    <t>PXN1533YLBY</t>
  </si>
  <si>
    <t>0705024403003649</t>
  </si>
  <si>
    <t>GG28C2</t>
  </si>
  <si>
    <t>GG27C2</t>
  </si>
  <si>
    <t>0722001007047626</t>
  </si>
  <si>
    <t>0722008103006913</t>
  </si>
  <si>
    <t>LG 22" E2261VP</t>
  </si>
  <si>
    <t xml:space="preserve">KX-TS500 </t>
  </si>
  <si>
    <t xml:space="preserve"> KX-T2371 </t>
  </si>
  <si>
    <t xml:space="preserve">KX-T2371 </t>
  </si>
  <si>
    <t>402NDMTKP075</t>
  </si>
  <si>
    <t>402NDAYFR048</t>
  </si>
  <si>
    <t>0714004212011110</t>
  </si>
  <si>
    <t>0714005302018554</t>
  </si>
  <si>
    <t>D-LINK DES-1008D 8 PORT</t>
  </si>
  <si>
    <t>PW142BC006880</t>
  </si>
  <si>
    <t>GG117C3</t>
  </si>
  <si>
    <t>0384005804015782</t>
  </si>
  <si>
    <t>FCH11528RNE</t>
  </si>
  <si>
    <t>CN92KA10WR</t>
  </si>
  <si>
    <t>GG29C2</t>
  </si>
  <si>
    <t>GG30C2</t>
  </si>
  <si>
    <t>0690018206006459</t>
  </si>
  <si>
    <t>Microtel 888 cid</t>
  </si>
  <si>
    <t>ICAPS2</t>
  </si>
  <si>
    <t>ICAPS1</t>
  </si>
  <si>
    <t xml:space="preserve">HP LaserJet P2035 </t>
  </si>
  <si>
    <t>CN0BQB600B</t>
  </si>
  <si>
    <t>GXJ58627</t>
  </si>
  <si>
    <t>CANON DR-M160</t>
  </si>
  <si>
    <t>CNDRP93581</t>
  </si>
  <si>
    <t>HP M428DW</t>
  </si>
  <si>
    <t>VNC4Y03636</t>
  </si>
  <si>
    <t>HP PRO 2500 F1</t>
  </si>
  <si>
    <t>Scanner HP 3500 f1</t>
  </si>
  <si>
    <t>Canon LBP6000d</t>
  </si>
  <si>
    <t>BS1C74</t>
  </si>
  <si>
    <t>BS2C74</t>
  </si>
  <si>
    <t>7LBWM242060</t>
  </si>
  <si>
    <t>سیستم کارفرما</t>
  </si>
  <si>
    <t>CN-0YPPY0-64180-69D</t>
  </si>
  <si>
    <t>پرینتر رنگی CANON PIXMA MG 3051</t>
  </si>
  <si>
    <t>KKLD84784</t>
  </si>
  <si>
    <t>پرینتر رنگی CANON LBP841C</t>
  </si>
  <si>
    <t>پرینتر  CANON LBP8100N</t>
  </si>
  <si>
    <t>NHCA01197</t>
  </si>
  <si>
    <t>NHCA01196</t>
  </si>
  <si>
    <t>NHCA011200</t>
  </si>
  <si>
    <t>0686004012063478</t>
  </si>
  <si>
    <t>0705024403006031</t>
  </si>
  <si>
    <t>0711013311030632</t>
  </si>
  <si>
    <t>ارسال شده از بافق -فعلا استفاده نشود</t>
  </si>
  <si>
    <t>DELL 24" U2412MC</t>
  </si>
  <si>
    <t>ارسال شده از بافق -فعلا استفاده نشود-پرینتر کارفرما</t>
  </si>
  <si>
    <t>069801620502647</t>
  </si>
  <si>
    <t>4LALD141608</t>
  </si>
  <si>
    <t xml:space="preserve">دستگاه ثبت ساعت IFACE 202 </t>
  </si>
  <si>
    <t>GG119C3</t>
  </si>
  <si>
    <t>0690018206008477</t>
  </si>
  <si>
    <t>CISCO 7960</t>
  </si>
  <si>
    <t>CND8F45237</t>
  </si>
  <si>
    <t>HP COLOR M276N</t>
  </si>
  <si>
    <t>221B422005757</t>
  </si>
  <si>
    <t>TP-LINK TL-MR6400</t>
  </si>
  <si>
    <t>PUC171006KK</t>
  </si>
  <si>
    <t>GG120C3</t>
  </si>
  <si>
    <t>GG121C3</t>
  </si>
  <si>
    <t>LG 20" 20EN33SSB</t>
  </si>
  <si>
    <t>0678027204041103</t>
  </si>
  <si>
    <t>221B422002162</t>
  </si>
  <si>
    <t>Tp-Link TL-MR6400</t>
  </si>
  <si>
    <t>3574211101354</t>
  </si>
  <si>
    <t>3574211101495</t>
  </si>
  <si>
    <t>3574211101348</t>
  </si>
  <si>
    <t>3574211101504</t>
  </si>
  <si>
    <t>GG122C3</t>
  </si>
  <si>
    <t>GG123C3</t>
  </si>
  <si>
    <t>کیانوش جاوید</t>
  </si>
  <si>
    <t>GG7C10</t>
  </si>
  <si>
    <t xml:space="preserve">دستگاه ثبت ساعت UFACE 202 </t>
  </si>
  <si>
    <t>غلامرضا معطنی-فرمانده پاسگاه</t>
  </si>
  <si>
    <t>main : H61 G2020</t>
  </si>
  <si>
    <t>CNCJP76288</t>
  </si>
  <si>
    <t>CNCJ852229</t>
  </si>
  <si>
    <t>HP PRO 3500 F1</t>
  </si>
  <si>
    <t>CN993B6033</t>
  </si>
  <si>
    <t>اسکنر به همراه فلت Kodak و سریال 52544805 از تهران ارسال شده است</t>
  </si>
  <si>
    <t>G-PLUS 55” GTV-55PU716NCHC00</t>
  </si>
  <si>
    <t>206STDT31799</t>
  </si>
  <si>
    <t>احمد محمد نظری زاده</t>
  </si>
  <si>
    <t>GG124C3</t>
  </si>
  <si>
    <t>GG125C3</t>
  </si>
  <si>
    <t>GG127C3</t>
  </si>
  <si>
    <t>BENQ GL2023A BQ9H.LA1LA.D8S</t>
  </si>
  <si>
    <t>BENQ GL2023A BQ9H.LA1LA.D8</t>
  </si>
  <si>
    <t>GG32C2</t>
  </si>
  <si>
    <t>GG33C2</t>
  </si>
  <si>
    <t>017500290010993</t>
  </si>
  <si>
    <t xml:space="preserve">LG 20” W2053S  </t>
  </si>
  <si>
    <t>310033551B69276500167</t>
  </si>
  <si>
    <t>GENESIS2+ 3KVA</t>
  </si>
  <si>
    <t>محمد یوسف شعشعانی</t>
  </si>
  <si>
    <t>Main : G31</t>
  </si>
  <si>
    <t>مانیتور به انبار منتقل شد</t>
  </si>
  <si>
    <t>0308007501000772</t>
  </si>
  <si>
    <t>PXN1506J0WK</t>
  </si>
  <si>
    <t>0169001904264359</t>
  </si>
  <si>
    <t>0169001904264376</t>
  </si>
  <si>
    <t>TV X.VISION 43”</t>
  </si>
  <si>
    <t>نصب شده در دفتر آی تی جهت مانیتورینگ</t>
  </si>
  <si>
    <t xml:space="preserve">F0C0946Z8FK </t>
  </si>
  <si>
    <t xml:space="preserve">1HACV033818 </t>
  </si>
  <si>
    <t>Panasonic M2025</t>
  </si>
  <si>
    <r>
      <t xml:space="preserve">دوربین برند </t>
    </r>
    <r>
      <rPr>
        <b/>
        <sz val="14"/>
        <color rgb="FFC00000"/>
        <rFont val="Calibri"/>
        <family val="2"/>
        <scheme val="minor"/>
      </rPr>
      <t>HIK VISION</t>
    </r>
  </si>
  <si>
    <t>فاقد هارد دیسک</t>
  </si>
  <si>
    <t>FCH1416ADBS</t>
  </si>
  <si>
    <t>کد پرسنلی</t>
  </si>
  <si>
    <t>محمد رضا ایرانمنش</t>
  </si>
  <si>
    <t>946</t>
  </si>
  <si>
    <t>1512</t>
  </si>
  <si>
    <t>1774</t>
  </si>
  <si>
    <t>UPS Genesis 2+  3KVA</t>
  </si>
  <si>
    <t>310033551B69276500082</t>
  </si>
  <si>
    <t>0722015203039543</t>
  </si>
  <si>
    <t>0686002011057471</t>
  </si>
  <si>
    <t>0722010105062846</t>
  </si>
  <si>
    <t>0714002208012243</t>
  </si>
  <si>
    <t>0714005302018537</t>
  </si>
  <si>
    <t>0686002011058132</t>
  </si>
  <si>
    <t>0686002011058202</t>
  </si>
  <si>
    <t>0714002208012233</t>
  </si>
  <si>
    <t>0722007103005722</t>
  </si>
  <si>
    <t>0722007101006229</t>
  </si>
  <si>
    <t>0686004012062441</t>
  </si>
  <si>
    <t>0686003011058509</t>
  </si>
  <si>
    <t>0722003009032428</t>
  </si>
  <si>
    <t>072200208012008</t>
  </si>
  <si>
    <t>0722014203039244</t>
  </si>
  <si>
    <t>0722009105031127</t>
  </si>
  <si>
    <t>4000706</t>
  </si>
  <si>
    <t>HP M1132</t>
  </si>
  <si>
    <t>GG129C3</t>
  </si>
  <si>
    <t>GG130C3</t>
  </si>
  <si>
    <t>1103</t>
  </si>
  <si>
    <t>GG34C2</t>
  </si>
  <si>
    <t>GG131C3</t>
  </si>
  <si>
    <t>GG132C3</t>
  </si>
  <si>
    <t>حمزه ایرانمنش</t>
  </si>
  <si>
    <t>Panasonic KX-T7665</t>
  </si>
  <si>
    <t>پرینتر HP M12W</t>
  </si>
  <si>
    <t>AS5C24</t>
  </si>
  <si>
    <t>0698016205025871</t>
  </si>
  <si>
    <t>TV LG 32CS4600</t>
  </si>
  <si>
    <t>301XVAB15614</t>
  </si>
  <si>
    <t>405STKL58249</t>
  </si>
  <si>
    <t>سیستم دوربین انبار</t>
  </si>
  <si>
    <t>UPS SDC2000X-RT-PLUS</t>
  </si>
  <si>
    <t>UPS UA150</t>
  </si>
  <si>
    <t>310024801874898000000</t>
  </si>
  <si>
    <t>310024801874898100252</t>
  </si>
  <si>
    <t>310024801874898100216</t>
  </si>
  <si>
    <t xml:space="preserve">UPS UA150 </t>
  </si>
  <si>
    <t>AADMH9MG404261M</t>
  </si>
  <si>
    <t>SAMSUNG 20" S20G325BPLUS</t>
  </si>
  <si>
    <t>7LBWM2422302</t>
  </si>
  <si>
    <t>دستگاه کارت ساعت بردسیر uface202</t>
  </si>
  <si>
    <t>CNG9GBHPDY</t>
  </si>
  <si>
    <t>PXN14389UT2</t>
  </si>
  <si>
    <t>GG134C3</t>
  </si>
  <si>
    <t>GG135C3</t>
  </si>
  <si>
    <t>GG35C2</t>
  </si>
  <si>
    <t>CNCJW39242</t>
  </si>
  <si>
    <t>Printer HP 2055</t>
  </si>
  <si>
    <t>0686002011058200</t>
  </si>
  <si>
    <t>Canon DR-M160II</t>
  </si>
  <si>
    <t>GXJ58992</t>
  </si>
  <si>
    <t>0686004012063220</t>
  </si>
  <si>
    <t>0686002011058190</t>
  </si>
  <si>
    <t>HCH08C5D462</t>
  </si>
  <si>
    <t xml:space="preserve">HCJ08CEYSCE </t>
  </si>
  <si>
    <t xml:space="preserve">HCJ08B6Y0N1 </t>
  </si>
  <si>
    <t xml:space="preserve">HCJ086B89WQ </t>
  </si>
  <si>
    <t xml:space="preserve">HCJ08A5S6Y9 </t>
  </si>
  <si>
    <t>CAP2</t>
  </si>
  <si>
    <t xml:space="preserve">نصب شده در طبقات خوابگاه پروژه تربت حیدریه  </t>
  </si>
  <si>
    <t xml:space="preserve">Cisco 3750 poe 48Port </t>
  </si>
  <si>
    <t xml:space="preserve">CAT0920X10Z </t>
  </si>
  <si>
    <t>نصب شده در رک خوابگاه</t>
  </si>
  <si>
    <t>0686003011058481</t>
  </si>
  <si>
    <t>0686002011057218</t>
  </si>
  <si>
    <t>0686004012063476</t>
  </si>
  <si>
    <t>CN35NWHOTG</t>
  </si>
  <si>
    <t>0308007501000762</t>
  </si>
  <si>
    <t>Green Pars EVO</t>
  </si>
  <si>
    <t>HP M428dw</t>
  </si>
  <si>
    <t>Hp P5225</t>
  </si>
  <si>
    <t>رک  دیواری کوچک</t>
  </si>
  <si>
    <t>GG36C2</t>
  </si>
  <si>
    <t>0698016205025510</t>
  </si>
  <si>
    <t>ICAPS3</t>
  </si>
  <si>
    <t>111STCS25416</t>
  </si>
  <si>
    <t>G-PLUS 55” GTV-55LU7130S</t>
  </si>
  <si>
    <t xml:space="preserve">پرده ویدیو پروژکتور REFLACTA </t>
  </si>
  <si>
    <t xml:space="preserve">جمع آوری و به کانکس IT انتقال داده شد </t>
  </si>
  <si>
    <t>GG137C3</t>
  </si>
  <si>
    <t>GG138C3</t>
  </si>
  <si>
    <t>GG139C3</t>
  </si>
  <si>
    <t>4001206</t>
  </si>
  <si>
    <t>LG 19" E1920NX</t>
  </si>
  <si>
    <t>تلفن</t>
  </si>
  <si>
    <t>سعید نیازخانی</t>
  </si>
  <si>
    <t>مدیر سایت کارفرما</t>
  </si>
  <si>
    <t>NTKA568143</t>
  </si>
  <si>
    <t>NTKA568161</t>
  </si>
  <si>
    <t>سعید خاور</t>
  </si>
  <si>
    <t>NTKA568146</t>
  </si>
  <si>
    <t>NTKA568148</t>
  </si>
  <si>
    <t xml:space="preserve">X88T1701795 </t>
  </si>
  <si>
    <t>اسپیکر</t>
  </si>
  <si>
    <t>وب کم</t>
  </si>
  <si>
    <t>GXJ55765</t>
  </si>
  <si>
    <t xml:space="preserve">فلش مموری 32 گیگ </t>
  </si>
  <si>
    <t>MicroSonic</t>
  </si>
  <si>
    <t>Canon 6030B</t>
  </si>
  <si>
    <t>0714004212011115</t>
  </si>
  <si>
    <t>0714001208005046</t>
  </si>
  <si>
    <t>0714001208005019</t>
  </si>
  <si>
    <t>0714004212010356</t>
  </si>
  <si>
    <t>0714002208012514</t>
  </si>
  <si>
    <t>1766</t>
  </si>
  <si>
    <t>580</t>
  </si>
  <si>
    <t>4001112</t>
  </si>
  <si>
    <t>1947</t>
  </si>
  <si>
    <t>98131</t>
  </si>
  <si>
    <t>990504</t>
  </si>
  <si>
    <t>2238</t>
  </si>
  <si>
    <t>AOC 19" 197VA</t>
  </si>
  <si>
    <t>775</t>
  </si>
  <si>
    <t>6305</t>
  </si>
  <si>
    <t>6307</t>
  </si>
  <si>
    <t>98120</t>
  </si>
  <si>
    <t>3717</t>
  </si>
  <si>
    <t>6301</t>
  </si>
  <si>
    <t>784</t>
  </si>
  <si>
    <t>323</t>
  </si>
  <si>
    <t>590</t>
  </si>
  <si>
    <t>0175002910009954</t>
  </si>
  <si>
    <t>BS3C74</t>
  </si>
  <si>
    <t>BS4C74</t>
  </si>
  <si>
    <t>BS5C74</t>
  </si>
  <si>
    <t>BS6C74</t>
  </si>
  <si>
    <t>BS7C74</t>
  </si>
  <si>
    <t>BS8C74</t>
  </si>
  <si>
    <t>BS9C74</t>
  </si>
  <si>
    <t>BS10C74</t>
  </si>
  <si>
    <t>BS11C74</t>
  </si>
  <si>
    <t>BS12C74</t>
  </si>
  <si>
    <t>BS13C74</t>
  </si>
  <si>
    <t xml:space="preserve">موسی مقدم </t>
  </si>
  <si>
    <t>LG 22" 22MP58VQ</t>
  </si>
  <si>
    <t>PXN1533YMMQ</t>
  </si>
  <si>
    <t>PXN1533YN5G</t>
  </si>
  <si>
    <t>402NDYGFR082</t>
  </si>
  <si>
    <t>PXN1533YMNB</t>
  </si>
  <si>
    <t>CNERQ407P6</t>
  </si>
  <si>
    <t>HP A3 M712</t>
  </si>
  <si>
    <t>LG 22" E2281</t>
  </si>
  <si>
    <t>PXN1533YN62</t>
  </si>
  <si>
    <t>CNBRQ5R77H</t>
  </si>
  <si>
    <t>HP A3 5225</t>
  </si>
  <si>
    <t>PXN1533YLXD</t>
  </si>
  <si>
    <t>PXN1533YMBE</t>
  </si>
  <si>
    <t>CNDRQ2G2Q3</t>
  </si>
  <si>
    <t>HP M428FDW</t>
  </si>
  <si>
    <t>PXN1533YN64</t>
  </si>
  <si>
    <t>206STRB28576</t>
  </si>
  <si>
    <t>TV G-PLUS GTV55PU716N</t>
  </si>
  <si>
    <t>BS1C76</t>
  </si>
  <si>
    <t>BS2C76</t>
  </si>
  <si>
    <t>BS3C76</t>
  </si>
  <si>
    <t>BS4C76</t>
  </si>
  <si>
    <t>BS5C76</t>
  </si>
  <si>
    <t>BS6C76</t>
  </si>
  <si>
    <t>BS7C76</t>
  </si>
  <si>
    <t>BS8C76</t>
  </si>
  <si>
    <t>BS9C76</t>
  </si>
  <si>
    <t>BS10C76</t>
  </si>
  <si>
    <t xml:space="preserve">فاقد شماره سریال </t>
  </si>
  <si>
    <t>PXN1533YLXQ</t>
  </si>
  <si>
    <t xml:space="preserve">رک ایستاده 42 یونیت </t>
  </si>
  <si>
    <t>CISCO 2960 24 PORT</t>
  </si>
  <si>
    <t>F0C1506W3B1</t>
  </si>
  <si>
    <t>Router CISCO 2900</t>
  </si>
  <si>
    <t>پیام مرادی</t>
  </si>
  <si>
    <t>HP PRO M255NW</t>
  </si>
  <si>
    <t>i7</t>
  </si>
  <si>
    <t>G41</t>
  </si>
  <si>
    <t>G41-مادربرد مشکل دارد</t>
  </si>
  <si>
    <t xml:space="preserve">Router 2911 </t>
  </si>
  <si>
    <t xml:space="preserve">SW 3750 48 POE </t>
  </si>
  <si>
    <t>48AHQV</t>
  </si>
  <si>
    <t>FTX2AJG3</t>
  </si>
  <si>
    <t>FGL211410UG</t>
  </si>
  <si>
    <t>CAT1119NJTW</t>
  </si>
  <si>
    <t>FD01331X2LF</t>
  </si>
  <si>
    <t>FD01204Y49F</t>
  </si>
  <si>
    <t>CNDRPDH7S6</t>
  </si>
  <si>
    <t>CNDRP852LP</t>
  </si>
  <si>
    <t>NFSA002265</t>
  </si>
  <si>
    <t>کیس گرین B560</t>
  </si>
  <si>
    <t>0686002011057383</t>
  </si>
  <si>
    <t>065100490459293</t>
  </si>
  <si>
    <t>065100490459296</t>
  </si>
  <si>
    <t>50100789</t>
  </si>
  <si>
    <t>GG140C3</t>
  </si>
  <si>
    <t>0308004411025217</t>
  </si>
  <si>
    <t>609NTCZG0251</t>
  </si>
  <si>
    <t>312STKP26521</t>
  </si>
  <si>
    <t>TV LG 60PN65000</t>
  </si>
  <si>
    <t>دوربین تایم لپس  ATH2000 brinno</t>
  </si>
  <si>
    <t>ETK7G01577019</t>
  </si>
  <si>
    <t>بیژن طبیب نژاد عزیزی</t>
  </si>
  <si>
    <t>0714004212010377</t>
  </si>
  <si>
    <t xml:space="preserve">LG 22" 22MP55HQ </t>
  </si>
  <si>
    <t>402NDPHFR824</t>
  </si>
  <si>
    <t>404NDJXEA980</t>
  </si>
  <si>
    <t>612NTQD3B756</t>
  </si>
  <si>
    <t>GG8C10</t>
  </si>
  <si>
    <t>FBA20F0EFE97/216/R2</t>
  </si>
  <si>
    <t>CAP RBCAP2ND</t>
  </si>
  <si>
    <t>PBNA504328</t>
  </si>
  <si>
    <t>CANON LBP6030B</t>
  </si>
  <si>
    <t xml:space="preserve">از بردسیر برگشت داده شد </t>
  </si>
  <si>
    <t>HIKVISION DS-2CD2047G2-L</t>
  </si>
  <si>
    <t>J13188570</t>
  </si>
  <si>
    <t>FBA20F7B5F1D/215/R2</t>
  </si>
  <si>
    <t xml:space="preserve">FBA20F682C20/215/R2 </t>
  </si>
  <si>
    <t>HCM08AFAZ7P/220/R2</t>
  </si>
  <si>
    <t>HCM08EHC0CY/220/R2</t>
  </si>
  <si>
    <t>C2A00CB2B69E/034</t>
  </si>
  <si>
    <t xml:space="preserve">HCM088AC62B/220/R2 </t>
  </si>
  <si>
    <t>HCM087D1YTE/220/R2</t>
  </si>
  <si>
    <t>HCM089PHH1Z/220/R2</t>
  </si>
  <si>
    <t>C2A00C96AF54/034</t>
  </si>
  <si>
    <t>FBA20FBCC794/215/R2</t>
  </si>
  <si>
    <t>D8740DD4403F</t>
  </si>
  <si>
    <t>تستر کابل شبکه</t>
  </si>
  <si>
    <t>472</t>
  </si>
  <si>
    <t>AcessPoint ASUS RT-AC51U</t>
  </si>
  <si>
    <t>J1IUDV000141</t>
  </si>
  <si>
    <t>H9IWDV018585</t>
  </si>
  <si>
    <t>AcessPoint TP-LINK TL-WR741ND</t>
  </si>
  <si>
    <t>J1IUDV000143</t>
  </si>
  <si>
    <t>FBA20F802A52/216/R2</t>
  </si>
  <si>
    <t>HCM0874P4M4/220/R2</t>
  </si>
  <si>
    <t>D8740D899E73/048/R2</t>
  </si>
  <si>
    <t>D8740DFBCAED/048/R2</t>
  </si>
  <si>
    <t>FBA20F125748/215/R2</t>
  </si>
  <si>
    <t>HCM08ECG037/220/R2</t>
  </si>
  <si>
    <t>HCM08CE8TCX/220/R2</t>
  </si>
  <si>
    <t>HCM08EZ5E8K/220/R2</t>
  </si>
  <si>
    <t>FBA20F15A25C/215/R2</t>
  </si>
  <si>
    <t>D8740FBB1B46/201/R2</t>
  </si>
  <si>
    <t>FBA20F4B257C/215/R2</t>
  </si>
  <si>
    <t>FBA20FD95866/215/R2</t>
  </si>
  <si>
    <t>HCM082J61XB/220/R2</t>
  </si>
  <si>
    <t>HCM08B7W55H/220/R2</t>
  </si>
  <si>
    <t>FBA20F59C438/215/R2</t>
  </si>
  <si>
    <t>D8740D087DF5/048/R2</t>
  </si>
  <si>
    <t>FBA20F77C8BA/215/R2</t>
  </si>
  <si>
    <t>D8740D8FE958/048/R2</t>
  </si>
  <si>
    <t>FBA20FD9850D/215/R2</t>
  </si>
  <si>
    <t>PXN1528VT9V</t>
  </si>
  <si>
    <t>Scanner Canon M160</t>
  </si>
  <si>
    <t>20377</t>
  </si>
  <si>
    <t>PUC17380ZW6</t>
  </si>
  <si>
    <t>PXN1528VT7C</t>
  </si>
  <si>
    <t>GG141C3</t>
  </si>
  <si>
    <t>بهرام غیاثوند</t>
  </si>
  <si>
    <t>GG142C3</t>
  </si>
  <si>
    <t>GO14C66</t>
  </si>
  <si>
    <t>G41 - SSD</t>
  </si>
  <si>
    <t>100525</t>
  </si>
  <si>
    <t>سجاد عبدالهی</t>
  </si>
  <si>
    <t>کیس Green B560</t>
  </si>
  <si>
    <t>LG 22" 22MP410</t>
  </si>
  <si>
    <t>Cap-Server</t>
  </si>
  <si>
    <t>Cap-T2-1</t>
  </si>
  <si>
    <t>Cap-T3-1</t>
  </si>
  <si>
    <t>Cap-T3-3</t>
  </si>
  <si>
    <t>Cap-T5-1</t>
  </si>
  <si>
    <t>Cap-T2-3</t>
  </si>
  <si>
    <t>Cap-T3-2</t>
  </si>
  <si>
    <t>Cap-T4-1</t>
  </si>
  <si>
    <t>Cap-</t>
  </si>
  <si>
    <t>HCM089HF5BR</t>
  </si>
  <si>
    <t>D8740D13CC9F</t>
  </si>
  <si>
    <t>D8740CC7552</t>
  </si>
  <si>
    <t>FBA20FE7873D</t>
  </si>
  <si>
    <t>4010802</t>
  </si>
  <si>
    <t>PUC17050IOU</t>
  </si>
  <si>
    <t>PXN1528VT41</t>
  </si>
  <si>
    <t>0722003009032424</t>
  </si>
  <si>
    <t>PXN1627O1E6</t>
  </si>
  <si>
    <t>0722007101006147</t>
  </si>
  <si>
    <t>PUC17440D05</t>
  </si>
  <si>
    <t>0722001007047629</t>
  </si>
  <si>
    <t>0722002008012013</t>
  </si>
  <si>
    <t>PXN1519R62K</t>
  </si>
  <si>
    <t>PUC1743OY79</t>
  </si>
  <si>
    <t>CN780SH00M</t>
  </si>
  <si>
    <t>Hp T790/T1300S</t>
  </si>
  <si>
    <t>CNDRQ5R1RT</t>
  </si>
  <si>
    <t>4001207</t>
  </si>
  <si>
    <t>4001111</t>
  </si>
  <si>
    <t>1263</t>
  </si>
  <si>
    <t xml:space="preserve">G31 </t>
  </si>
  <si>
    <t xml:space="preserve">HP MFP M127fn </t>
  </si>
  <si>
    <t>GG143C3</t>
  </si>
  <si>
    <t>Hp Laserjet 700M712</t>
  </si>
  <si>
    <t>Hp Laserjet P5225dn</t>
  </si>
  <si>
    <t>0722015205013061</t>
  </si>
  <si>
    <t>HP Laserjet M428dw</t>
  </si>
  <si>
    <t>0714004212010378</t>
  </si>
  <si>
    <t>0714005302018552</t>
  </si>
  <si>
    <t>0686003011059548</t>
  </si>
  <si>
    <t xml:space="preserve"> 0706022311000141 </t>
  </si>
  <si>
    <t>0706023311019585</t>
  </si>
  <si>
    <t xml:space="preserve">0690017204066482 </t>
  </si>
  <si>
    <t xml:space="preserve">0686004012063815  </t>
  </si>
  <si>
    <t>0686004012063981</t>
  </si>
  <si>
    <t>0682003202042701</t>
  </si>
  <si>
    <t>357008703011270</t>
  </si>
  <si>
    <t>0706022311000364</t>
  </si>
  <si>
    <t>51701480410026</t>
  </si>
  <si>
    <t>0722010105062927</t>
  </si>
  <si>
    <t>0722003009032995</t>
  </si>
  <si>
    <t>0678026203034842</t>
  </si>
  <si>
    <t>G31 - No hard</t>
  </si>
  <si>
    <t>G41-SSD</t>
  </si>
  <si>
    <t>4010605</t>
  </si>
  <si>
    <t>0722010109000454</t>
  </si>
  <si>
    <t>0706022310001499</t>
  </si>
  <si>
    <t>0714001208005042</t>
  </si>
  <si>
    <t>PUC174312T2</t>
  </si>
  <si>
    <t>اسماعیل کرم پور</t>
  </si>
  <si>
    <t>0722006012073172</t>
  </si>
  <si>
    <t>Barcode Reader GRYPHONF</t>
  </si>
  <si>
    <t>G19N52388</t>
  </si>
  <si>
    <t>G19N52409</t>
  </si>
  <si>
    <t>G19N52424</t>
  </si>
  <si>
    <t>210235TXDSF226000380</t>
  </si>
  <si>
    <t>دوربین تایم لپس نصب شده در پروژه</t>
  </si>
  <si>
    <t>همراه مموری SanDisk Ultra Micro 256 GB با سریال 619659181680</t>
  </si>
  <si>
    <t>CNERPDQ4RH</t>
  </si>
  <si>
    <t>H61-SSD-Win</t>
  </si>
  <si>
    <t>G31</t>
  </si>
  <si>
    <t>G41 - No hard قاب جلو شکسته</t>
  </si>
  <si>
    <t>HP M428FDN</t>
  </si>
  <si>
    <t>BS15C74</t>
  </si>
  <si>
    <t>111RKMK0L275</t>
  </si>
  <si>
    <t>i5</t>
  </si>
  <si>
    <t>FBA20FC48E61</t>
  </si>
  <si>
    <t>Mikrotik cAP</t>
  </si>
  <si>
    <t>LG 24" 24M47VQ</t>
  </si>
  <si>
    <t>CNERQ1W42F</t>
  </si>
  <si>
    <t>201NTGY05111</t>
  </si>
  <si>
    <t>201NTLE05136</t>
  </si>
  <si>
    <t>112NTPCKN928</t>
  </si>
  <si>
    <t>112NTGYKN959</t>
  </si>
  <si>
    <t>112NTCZKN955</t>
  </si>
  <si>
    <t>112NTXRKN946</t>
  </si>
  <si>
    <t>112NTFAKN899</t>
  </si>
  <si>
    <t>201NTVS05127</t>
  </si>
  <si>
    <t>112NTLEKN936</t>
  </si>
  <si>
    <t>112NTABKN920</t>
  </si>
  <si>
    <t>201NTJJ05100</t>
  </si>
  <si>
    <t>201NTGY05135</t>
  </si>
  <si>
    <t>112NTTQKN937</t>
  </si>
  <si>
    <t>112NTPCKN976</t>
  </si>
  <si>
    <t>112NTABKN968</t>
  </si>
  <si>
    <t>112NTFAKN923</t>
  </si>
  <si>
    <t>201NTZN05085</t>
  </si>
  <si>
    <t>112NTTQKN913</t>
  </si>
  <si>
    <t>201NTZN05133</t>
  </si>
  <si>
    <t>112NTCZKN979</t>
  </si>
  <si>
    <t>112NTTQKN961</t>
  </si>
  <si>
    <t>112NTNHKN895</t>
  </si>
  <si>
    <t>112NTZNKN957</t>
  </si>
  <si>
    <t>112NTQDKN980</t>
  </si>
  <si>
    <t>201NTGY05087</t>
  </si>
  <si>
    <t>112NTSUKN862</t>
  </si>
  <si>
    <t>112NTEPKN916</t>
  </si>
  <si>
    <t>112NTEPKN964</t>
  </si>
  <si>
    <t>112NTBKKN901</t>
  </si>
  <si>
    <t>112NTLEKN984</t>
  </si>
  <si>
    <t>112NTPCKN856</t>
  </si>
  <si>
    <t>112NTFAC7963</t>
  </si>
  <si>
    <t>201NTTQ05089</t>
  </si>
  <si>
    <t>112NTVSKN975</t>
  </si>
  <si>
    <t>112NTMXKN963</t>
  </si>
  <si>
    <t>112NTJJKN852</t>
  </si>
  <si>
    <t>112NTZNKN981</t>
  </si>
  <si>
    <t>112NTBKKN925</t>
  </si>
  <si>
    <t>112NTVSKN927</t>
  </si>
  <si>
    <t>201NTAB05120</t>
  </si>
  <si>
    <t>112NTJJKN924</t>
  </si>
  <si>
    <t>112NTLEKN912</t>
  </si>
  <si>
    <t>112NTPCKN952</t>
  </si>
  <si>
    <t>112NTBKKN973</t>
  </si>
  <si>
    <t>112NTWGKN945</t>
  </si>
  <si>
    <t>112NTHMKN953</t>
  </si>
  <si>
    <t>201NTQD05084</t>
  </si>
  <si>
    <t>112NTSUKN982</t>
  </si>
  <si>
    <t>112NTWGKN921</t>
  </si>
  <si>
    <t>201NTPC05080</t>
  </si>
  <si>
    <t xml:space="preserve"> CISCO 8961</t>
  </si>
  <si>
    <t>FCH174691X2</t>
  </si>
  <si>
    <t>FCH1829A25P</t>
  </si>
  <si>
    <t>FCH1605A6W2</t>
  </si>
  <si>
    <t>FCH1602A18G</t>
  </si>
  <si>
    <t>FCH19218125</t>
  </si>
  <si>
    <t>PUC17460F7F</t>
  </si>
  <si>
    <t>PXN1528VSYA</t>
  </si>
  <si>
    <t>PUC174400HL</t>
  </si>
  <si>
    <t>PXN1528VT73</t>
  </si>
  <si>
    <t>PUC174401K3</t>
  </si>
  <si>
    <t>PUC17190QRI</t>
  </si>
  <si>
    <t>PUC16470BMH</t>
  </si>
  <si>
    <t>PUC16410BC0</t>
  </si>
  <si>
    <t>PUC1738158J</t>
  </si>
  <si>
    <t>PXN1527V5RL</t>
  </si>
  <si>
    <t>PXN1528W30R</t>
  </si>
  <si>
    <t>PUC17440EAN</t>
  </si>
  <si>
    <t>PXN1528VSZ5</t>
  </si>
  <si>
    <t>PXN1527V5RX</t>
  </si>
  <si>
    <t>PUC17430JOU</t>
  </si>
  <si>
    <t>PXN1528VT8L</t>
  </si>
  <si>
    <t>PUC17430HCS</t>
  </si>
  <si>
    <t>PXN1528VTAT</t>
  </si>
  <si>
    <t>PXN1527V5TP</t>
  </si>
  <si>
    <t>PUC17430HEE</t>
  </si>
  <si>
    <t>PUC17440PQG</t>
  </si>
  <si>
    <t>PXN1528VSSV</t>
  </si>
  <si>
    <t>PUC171510O9</t>
  </si>
  <si>
    <t>PXN1527V555</t>
  </si>
  <si>
    <t>PXN1528VSY8</t>
  </si>
  <si>
    <t>PUC17430HAM</t>
  </si>
  <si>
    <t>PUC17440QSA</t>
  </si>
  <si>
    <t>PXN1528VRZ7</t>
  </si>
  <si>
    <t>PXN1528VSVU</t>
  </si>
  <si>
    <t>PUC17110R43</t>
  </si>
  <si>
    <t>PXN1527V584</t>
  </si>
  <si>
    <t>PXN1528VSXA</t>
  </si>
  <si>
    <t>PXN1527V5MJ</t>
  </si>
  <si>
    <t>PUC17110R4A</t>
  </si>
  <si>
    <t>PXN1528VSYF</t>
  </si>
  <si>
    <t>PXN1528VRLP</t>
  </si>
  <si>
    <t>PXN1528W30J</t>
  </si>
  <si>
    <t>PUC17110R45</t>
  </si>
  <si>
    <t>PUC173811HK</t>
  </si>
  <si>
    <t>PUC164706Y8</t>
  </si>
  <si>
    <t>PXN1527V54F</t>
  </si>
  <si>
    <t>PXN1528W33Q</t>
  </si>
  <si>
    <t>PUC164707RD</t>
  </si>
  <si>
    <t>PXN1528W2BP</t>
  </si>
  <si>
    <t>PUC174315KS</t>
  </si>
  <si>
    <t>PXN1528VSZ1</t>
  </si>
  <si>
    <t>PXN1527V5RM</t>
  </si>
  <si>
    <t>PXN1527V5RZ</t>
  </si>
  <si>
    <t>PXN1528W3IX</t>
  </si>
  <si>
    <t>PUC174400J0</t>
  </si>
  <si>
    <t>PXN1527V5AM</t>
  </si>
  <si>
    <t>PXN1528VTC1</t>
  </si>
  <si>
    <t>PUC173811L2</t>
  </si>
  <si>
    <t>PUC17110RMJ</t>
  </si>
  <si>
    <t>PUC1642037G</t>
  </si>
  <si>
    <t>PXN1528VT2F</t>
  </si>
  <si>
    <t>PUC173810YA</t>
  </si>
  <si>
    <t>PXN1528VSN7</t>
  </si>
  <si>
    <t>PXN1527V5S8</t>
  </si>
  <si>
    <t>PXN1528VT0P</t>
  </si>
  <si>
    <t>PXN1527V5RH</t>
  </si>
  <si>
    <t>PXN1528W3K0</t>
  </si>
  <si>
    <t>PXN1528VT23</t>
  </si>
  <si>
    <t>PUC17381580</t>
  </si>
  <si>
    <t>PXN1528W3M7</t>
  </si>
  <si>
    <t>PXN1528VSSA</t>
  </si>
  <si>
    <t>PXN1528W2RM</t>
  </si>
  <si>
    <t>PUC174413K8</t>
  </si>
  <si>
    <t>PXN1527V50Y</t>
  </si>
  <si>
    <t>PXN1528W2SQ</t>
  </si>
  <si>
    <t>PUC173815FW</t>
  </si>
  <si>
    <t>PUC173811LN</t>
  </si>
  <si>
    <t>PXN1528W3IQ</t>
  </si>
  <si>
    <t>PUC17460F28</t>
  </si>
  <si>
    <t>PXN1528VSPF</t>
  </si>
  <si>
    <t>PXN1528VS07</t>
  </si>
  <si>
    <t>PUC17430LB7</t>
  </si>
  <si>
    <t>PXN1528VSXF</t>
  </si>
  <si>
    <t>PUC171510N6</t>
  </si>
  <si>
    <t>PXN1527V5IK</t>
  </si>
  <si>
    <t>PUC17440ENS</t>
  </si>
  <si>
    <t>PXN1528VSXY</t>
  </si>
  <si>
    <t>PXN1528W2ET</t>
  </si>
  <si>
    <t>PXN1528VSZV</t>
  </si>
  <si>
    <t>PXN1528VT1G</t>
  </si>
  <si>
    <t>PXN1527V5LF</t>
  </si>
  <si>
    <t>PUC17110R8T</t>
  </si>
  <si>
    <t>PUC164707OH</t>
  </si>
  <si>
    <t>PXN1528W329</t>
  </si>
  <si>
    <t>PUC1738158E</t>
  </si>
  <si>
    <t>PXN1527V5RN</t>
  </si>
  <si>
    <t>PXN1527V5TV</t>
  </si>
  <si>
    <t>PUC17110OUY</t>
  </si>
  <si>
    <t>PXN1527V5EN</t>
  </si>
  <si>
    <t>PXN1527V5B9</t>
  </si>
  <si>
    <t>PXN1528VSPY</t>
  </si>
  <si>
    <t>PXN1527V58D</t>
  </si>
  <si>
    <t>PXN1527V5LH</t>
  </si>
  <si>
    <t>PXN1527V5GG</t>
  </si>
  <si>
    <t>PUC173811HY</t>
  </si>
  <si>
    <t>PUC164203QX</t>
  </si>
  <si>
    <t>PXN1528VRV6</t>
  </si>
  <si>
    <t>PXN1528VS05</t>
  </si>
  <si>
    <t>PXN1528VSZ8</t>
  </si>
  <si>
    <t>PXN16330M09</t>
  </si>
  <si>
    <t>PUC17430HF4</t>
  </si>
  <si>
    <t>PXN1528VS2F</t>
  </si>
  <si>
    <t>PXN1527V578</t>
  </si>
  <si>
    <t>PXN1540086M</t>
  </si>
  <si>
    <t>PXN1528VS08</t>
  </si>
  <si>
    <t>PUC17150XTV</t>
  </si>
  <si>
    <t>PXN1527V557</t>
  </si>
  <si>
    <t>PUC16470795</t>
  </si>
  <si>
    <t>PXN1528VSSZ</t>
  </si>
  <si>
    <t>PXN1527V5CF</t>
  </si>
  <si>
    <t>PXN1528VSW8</t>
  </si>
  <si>
    <t>PUC174401BY</t>
  </si>
  <si>
    <t>PUC17110OSL</t>
  </si>
  <si>
    <t>PXN1528VSZ6</t>
  </si>
  <si>
    <t>PUC17440OZV</t>
  </si>
  <si>
    <t>PUC17110RDS</t>
  </si>
  <si>
    <t>PXN1528VSVZ</t>
  </si>
  <si>
    <t>PXN1528W3CU</t>
  </si>
  <si>
    <t>PXN1528VRHS</t>
  </si>
  <si>
    <t>PXN1528VTBM</t>
  </si>
  <si>
    <t>PXN1528VT2L</t>
  </si>
  <si>
    <t>PXN1528VSNI</t>
  </si>
  <si>
    <t>PXN1528W2Q0</t>
  </si>
  <si>
    <t>PXN1528VSSM</t>
  </si>
  <si>
    <t>PXN1528VT7W</t>
  </si>
  <si>
    <t>PXN1527V57J</t>
  </si>
  <si>
    <t>PUC173810PY</t>
  </si>
  <si>
    <t>PXN1528VT20</t>
  </si>
  <si>
    <t>PXN1528VRW9</t>
  </si>
  <si>
    <t>PXN1527V55X</t>
  </si>
  <si>
    <t>PXN16330M44</t>
  </si>
  <si>
    <t>PXN1527V5H9</t>
  </si>
  <si>
    <t>PXN1527V5AB</t>
  </si>
  <si>
    <t>PUC16470PL4</t>
  </si>
  <si>
    <t>PUC17110R3X</t>
  </si>
  <si>
    <t>PXN1527V5AW</t>
  </si>
  <si>
    <t>PUC17430HJA</t>
  </si>
  <si>
    <t>PUC1642036Z</t>
  </si>
  <si>
    <t>PUC17190QTZ</t>
  </si>
  <si>
    <t>PXN1528W3CS</t>
  </si>
  <si>
    <t>PUC17110OR9</t>
  </si>
  <si>
    <t>PUC17430HC2</t>
  </si>
  <si>
    <t>PXN1527V5AJ</t>
  </si>
  <si>
    <t>PUC1743155R</t>
  </si>
  <si>
    <t>PUC173811RD</t>
  </si>
  <si>
    <t>PXN1528VSSJ</t>
  </si>
  <si>
    <t>PUC173810KL</t>
  </si>
  <si>
    <t>PXN1527V5LN</t>
  </si>
  <si>
    <t>PXN1528VSI3</t>
  </si>
  <si>
    <t>PXN16330HAD</t>
  </si>
  <si>
    <t>PUC16470FYZ</t>
  </si>
  <si>
    <t>PXN1528VSW7</t>
  </si>
  <si>
    <t>PXN1528W3JS</t>
  </si>
  <si>
    <t>PUC171510PC</t>
  </si>
  <si>
    <t>PUC17380Q7B</t>
  </si>
  <si>
    <t>PXN1528VSRS</t>
  </si>
  <si>
    <t>PXN1528W3IL</t>
  </si>
  <si>
    <t>PXN16330LZ0</t>
  </si>
  <si>
    <t>PXN1528VT3F</t>
  </si>
  <si>
    <t>PXN1528VSQS</t>
  </si>
  <si>
    <t>PXN1527V5LB</t>
  </si>
  <si>
    <t>PXN1528VS0C</t>
  </si>
  <si>
    <t>PXN1528VSIS</t>
  </si>
  <si>
    <t>PUC174401DM</t>
  </si>
  <si>
    <t>PXN1528VRM7</t>
  </si>
  <si>
    <t>PXN1527V5U0</t>
  </si>
  <si>
    <t>PUC171510MA</t>
  </si>
  <si>
    <t>PUC174312MK</t>
  </si>
  <si>
    <t>PUC17110HTW</t>
  </si>
  <si>
    <t>PXN1528W3IP</t>
  </si>
  <si>
    <t>PXN1528VS29</t>
  </si>
  <si>
    <t>PUC16410LEJ</t>
  </si>
  <si>
    <t>PUC16350ZDR</t>
  </si>
  <si>
    <t>PXN1528VSIP</t>
  </si>
  <si>
    <t>PXN1528VSIC</t>
  </si>
  <si>
    <t>PUC16470BRT</t>
  </si>
  <si>
    <t>PXN1528VSQ0</t>
  </si>
  <si>
    <t>PXN1528VSVX</t>
  </si>
  <si>
    <t>PUC16470PEE</t>
  </si>
  <si>
    <t>PXN1527V5BH</t>
  </si>
  <si>
    <t>PUC16470G9E</t>
  </si>
  <si>
    <t>PXN1528W31A</t>
  </si>
  <si>
    <t>PXN1528W2Q5</t>
  </si>
  <si>
    <t>PXN16330M05</t>
  </si>
  <si>
    <t>PXN1528W3CI</t>
  </si>
  <si>
    <t>PXN1528VSPE</t>
  </si>
  <si>
    <t>PUC174413DT</t>
  </si>
  <si>
    <t>PXN16330LYT</t>
  </si>
  <si>
    <t>PUC17110QSG</t>
  </si>
  <si>
    <t>PXN1527V5QV</t>
  </si>
  <si>
    <t>PXN1527V5LK</t>
  </si>
  <si>
    <t>PXN1527V5MV</t>
  </si>
  <si>
    <t>PXN1528VSZD</t>
  </si>
  <si>
    <t>PXN1528VSU1</t>
  </si>
  <si>
    <t>PXN1527V5RJ</t>
  </si>
  <si>
    <t>PXN1528VSPZ</t>
  </si>
  <si>
    <t>PUC173811KY</t>
  </si>
  <si>
    <t>PXN1527V5LI</t>
  </si>
  <si>
    <t>PXN1528VT14</t>
  </si>
  <si>
    <t>PXN1528W2RD</t>
  </si>
  <si>
    <t>PUC17460F3P</t>
  </si>
  <si>
    <t>PXN1528VSZ4</t>
  </si>
  <si>
    <t>PUC174602ZQ</t>
  </si>
  <si>
    <t>PXN1527V5G9</t>
  </si>
  <si>
    <t>PUC17440Q7C</t>
  </si>
  <si>
    <t>PUC164707KQ</t>
  </si>
  <si>
    <t>PUC17380ZL9</t>
  </si>
  <si>
    <t>PXN1528VT2C</t>
  </si>
  <si>
    <t>PXN1528VSUG</t>
  </si>
  <si>
    <t>PUC17370VGE</t>
  </si>
  <si>
    <t>PXN1528W2RL</t>
  </si>
  <si>
    <t>PUC17110RDU</t>
  </si>
  <si>
    <t>PXN1528VT7S</t>
  </si>
  <si>
    <t>PUC17430JRN</t>
  </si>
  <si>
    <t>PUC17440GYE</t>
  </si>
  <si>
    <t>PXN1528VRLI</t>
  </si>
  <si>
    <t>PXN1528VT7Z</t>
  </si>
  <si>
    <t>PUC174413FT</t>
  </si>
  <si>
    <t>PUC16470DOL</t>
  </si>
  <si>
    <t>PUC1642033J</t>
  </si>
  <si>
    <t>PUC171510PE</t>
  </si>
  <si>
    <t>PXN16330OGA</t>
  </si>
  <si>
    <t>PXN1528W2RA</t>
  </si>
  <si>
    <t>PUC17430HDA</t>
  </si>
  <si>
    <t>PXN16330M0W</t>
  </si>
  <si>
    <t>PUC174401BZ</t>
  </si>
  <si>
    <t>PUC16470P76</t>
  </si>
  <si>
    <t>PUC1710077I</t>
  </si>
  <si>
    <t>PUC174401A7</t>
  </si>
  <si>
    <t>PXN1528VTA1</t>
  </si>
  <si>
    <t>PXN1527V5QW</t>
  </si>
  <si>
    <t>PXN1528W322</t>
  </si>
  <si>
    <t>PXN1527V5AY</t>
  </si>
  <si>
    <t>PUC164707MA</t>
  </si>
  <si>
    <t>PXN16330HB6</t>
  </si>
  <si>
    <t>PXN1528VSUL</t>
  </si>
  <si>
    <t>PUC16470PVV</t>
  </si>
  <si>
    <t>PXN1528W2QB</t>
  </si>
  <si>
    <t>0714004212010376</t>
  </si>
  <si>
    <t>1DBKC964613</t>
  </si>
  <si>
    <t>PANASONIC KX-2371</t>
  </si>
  <si>
    <t>0385005805004664</t>
  </si>
  <si>
    <t>PXN160309ND</t>
  </si>
  <si>
    <t>PUC17050ODU</t>
  </si>
  <si>
    <t>0385018909003173</t>
  </si>
  <si>
    <t>FCH12038872</t>
  </si>
  <si>
    <t>98122</t>
  </si>
  <si>
    <t>910SVPP11021</t>
  </si>
  <si>
    <t>LG 32" 32LF120FR</t>
  </si>
  <si>
    <t>CNBRP987RB</t>
  </si>
  <si>
    <t>HP LaserJet Pro M706</t>
  </si>
  <si>
    <t>VNFPD07998</t>
  </si>
  <si>
    <t>FCZ15292OBQ</t>
  </si>
  <si>
    <t>Switch 3750 POE 48Port</t>
  </si>
  <si>
    <t>Switch 3560 POE 8Port</t>
  </si>
  <si>
    <t>FOC1252U0GG</t>
  </si>
  <si>
    <t>FCO1436V2XO</t>
  </si>
  <si>
    <t>FOC140V29L</t>
  </si>
  <si>
    <t>Rack 12 Unit</t>
  </si>
  <si>
    <t>Uface 202</t>
  </si>
  <si>
    <t>ارسالی از سنگان</t>
  </si>
  <si>
    <t>تلفن پاناسونيك KX-7730</t>
  </si>
  <si>
    <t>تلفن پاناسونيك ADVANCED-2371</t>
  </si>
  <si>
    <t>گوشي موبايل نوكيا مدل 105</t>
  </si>
  <si>
    <t>TV Samsung 32"</t>
  </si>
  <si>
    <t>TV Sharp 21"</t>
  </si>
  <si>
    <t>تلفن تكنو تل</t>
  </si>
  <si>
    <t>تلفن تيپ تل</t>
  </si>
  <si>
    <t>تلفن تكنوتل TF 9010</t>
  </si>
  <si>
    <t>نصب شده در حراست 330</t>
  </si>
  <si>
    <t>نصب شده در حراست 390</t>
  </si>
  <si>
    <t>TV LG LCD 21"</t>
  </si>
  <si>
    <t>TV LG LCD 42"</t>
  </si>
  <si>
    <t>TV "14 X.VISION</t>
  </si>
  <si>
    <t>TV LG LCD 32"</t>
  </si>
  <si>
    <t>Scanner LiDE 300</t>
  </si>
  <si>
    <t>موجودی انبار 390</t>
  </si>
  <si>
    <t>تحویل انبار 390-اصغر شهبا</t>
  </si>
  <si>
    <t>خوابگاه كارشناسان سيرجان (سنايي)</t>
  </si>
  <si>
    <t>خوابگاه مديران سيرجان(نارسيس)</t>
  </si>
  <si>
    <t>خوابگاه 14 واحدي وليعصر(نكوئي)</t>
  </si>
  <si>
    <t>TV LCD  SAMSUNG 46</t>
  </si>
  <si>
    <t>TV LCD  SAMSUNG 21</t>
  </si>
  <si>
    <t>TV LCD  SAMSUNG 32</t>
  </si>
  <si>
    <t>TV LCD  LG 32</t>
  </si>
  <si>
    <t>TV LCD  LG 42</t>
  </si>
  <si>
    <t>TV LCD  LG  47</t>
  </si>
  <si>
    <t>TV LCD  LG  60</t>
  </si>
  <si>
    <t>TV LCD  LG  42</t>
  </si>
  <si>
    <t>All in one MSI</t>
  </si>
  <si>
    <t>TV Gplus 50"</t>
  </si>
  <si>
    <t>TV GPlus GTV - 50 LU 722 S</t>
  </si>
  <si>
    <t>TV GPlus GTV-40LH612N</t>
  </si>
  <si>
    <t>Tv GPlus KU722S 50</t>
  </si>
  <si>
    <t>KX-TS500MX</t>
  </si>
  <si>
    <t>HCD3588TSD</t>
  </si>
  <si>
    <t>KX-TS580MXB</t>
  </si>
  <si>
    <t>3ECKD190334</t>
  </si>
  <si>
    <t>3EBLL101345</t>
  </si>
  <si>
    <t>KX-T2371MXW</t>
  </si>
  <si>
    <t>TIPTEL TIP-616</t>
  </si>
  <si>
    <t>KX-NT321</t>
  </si>
  <si>
    <t>0774081900</t>
  </si>
  <si>
    <t>تداخل با تلفن انبار فولاد</t>
  </si>
  <si>
    <t>شماره پلاك</t>
  </si>
  <si>
    <t>شرح پلاك</t>
  </si>
  <si>
    <t>مهندس طینتی</t>
  </si>
  <si>
    <t>مهندس نصری</t>
  </si>
  <si>
    <t>مهندس بابک</t>
  </si>
  <si>
    <t>مهندس خاتم سازان</t>
  </si>
  <si>
    <t>مهندس عبدشاهی</t>
  </si>
  <si>
    <t>مهمانسرا</t>
  </si>
  <si>
    <t>مهندس رامشگر</t>
  </si>
  <si>
    <t>TV LCD  LG  32</t>
  </si>
  <si>
    <t>TV LED Denay 43"</t>
  </si>
  <si>
    <t>Printer HP M436dn</t>
  </si>
  <si>
    <t>TV Daewoo 43"</t>
  </si>
  <si>
    <t>TV LG Smart 49"</t>
  </si>
  <si>
    <t>TV Gplus 614 - 43"</t>
  </si>
  <si>
    <t>TV Gplus 724 - 50"</t>
  </si>
  <si>
    <t>Printer Brother DCP-L2540DW</t>
  </si>
  <si>
    <t>Cisco Ip Phone 7960</t>
  </si>
  <si>
    <t xml:space="preserve">خوابگاه سمیعی </t>
  </si>
  <si>
    <t>مالی</t>
  </si>
  <si>
    <t>DCC</t>
  </si>
  <si>
    <t>هوشمند میثاقی</t>
  </si>
  <si>
    <t>حسین طلائی رودی</t>
  </si>
  <si>
    <t>محمدرضا سلطانی</t>
  </si>
  <si>
    <t>TV LED  LG  43</t>
  </si>
  <si>
    <t>TV LED Sonia 43</t>
  </si>
  <si>
    <t>Case HP</t>
  </si>
  <si>
    <t>Monitor HP</t>
  </si>
  <si>
    <t>TV LCD LG 32</t>
  </si>
  <si>
    <t>TV LED LG 32</t>
  </si>
  <si>
    <t>TV LED TOSHIBA</t>
  </si>
  <si>
    <t>گوشي موبايل نوكيا 101 دو سيم كارته</t>
  </si>
  <si>
    <t>تلويزيون LCD  SAMSUNG 21</t>
  </si>
  <si>
    <t>تلويزيون "21 PARS</t>
  </si>
  <si>
    <t>Panasonic ADVANCED-2371</t>
  </si>
  <si>
    <t>Panasonic KX-DT 343</t>
  </si>
  <si>
    <t>Panasonic KX -TEM824</t>
  </si>
  <si>
    <t>Panasonic KX-T7730</t>
  </si>
  <si>
    <t>Panasonic KINGTEL</t>
  </si>
  <si>
    <t>مهندس عنایتی فر (روناک)</t>
  </si>
  <si>
    <t>مهندس رجبی (روناک)</t>
  </si>
  <si>
    <t>مهندس عباسلو (روناک)</t>
  </si>
  <si>
    <t>مهندس بهروز به نژاد (روناک)</t>
  </si>
  <si>
    <t>خوابگاه کارشناسی روناک</t>
  </si>
  <si>
    <t xml:space="preserve">اداری روناک </t>
  </si>
  <si>
    <t>امیدزینلی (روناک)</t>
  </si>
  <si>
    <t>مهندس صالحی راد (روناک)</t>
  </si>
  <si>
    <t>دفاتر اداری عصرنوین</t>
  </si>
  <si>
    <t>خوابگاه مهندس اشرفی(عصرنوین)</t>
  </si>
  <si>
    <t>خوابگاه مهندس به نیا (پامیدکو)</t>
  </si>
  <si>
    <t>خوابگاه مهندس زاهدی(عصرنوین)</t>
  </si>
  <si>
    <t>خوابگاه مهندس موسوی (عصرنوین)</t>
  </si>
  <si>
    <t>سعيد مينايي</t>
  </si>
  <si>
    <t>Printer 3 كاره CANON</t>
  </si>
  <si>
    <t>TV Daewoo DLE</t>
  </si>
  <si>
    <t>Monitor GPLUS GDM</t>
  </si>
  <si>
    <t>Monitor Gplus 245 JN</t>
  </si>
  <si>
    <t>Printer Canon 3010</t>
  </si>
  <si>
    <t xml:space="preserve"> HP LaserJet MFP M436dn</t>
  </si>
  <si>
    <t>TV 65" LED Snowa SSD-65SA6 20U</t>
  </si>
  <si>
    <t>TV Daewoo LED 43"</t>
  </si>
  <si>
    <t>پرينتر چند كاره  پاناسونيك KX-MB2025CX</t>
  </si>
  <si>
    <t>سانترال پاناسونيك KX -TEM824</t>
  </si>
  <si>
    <t>(110) پروژه گوهر زمين</t>
  </si>
  <si>
    <t>سجاد کوچک زاده</t>
  </si>
  <si>
    <t>GG144C3</t>
  </si>
  <si>
    <t>Samsung 19" 1931</t>
  </si>
  <si>
    <t>20566</t>
  </si>
  <si>
    <t>CTH-14027</t>
  </si>
  <si>
    <t>Panasonic KX-T2371M</t>
  </si>
  <si>
    <t>9LAKC213810</t>
  </si>
  <si>
    <t>1ABKC431135</t>
  </si>
  <si>
    <t>KX-TS500MXW</t>
  </si>
  <si>
    <t>7KBWM242015</t>
  </si>
  <si>
    <t>7JCKA757013</t>
  </si>
  <si>
    <t>TIPTEL-7750</t>
  </si>
  <si>
    <t>9FBKB123418</t>
  </si>
  <si>
    <t>7JBTH638806</t>
  </si>
  <si>
    <t>4JCKAS284</t>
  </si>
  <si>
    <t>9LAKC215229</t>
  </si>
  <si>
    <t>1GCLH881723</t>
  </si>
  <si>
    <t>7LBKA810833</t>
  </si>
  <si>
    <t>7ICTH634155</t>
  </si>
  <si>
    <t>گروه بندی</t>
  </si>
  <si>
    <t>مشخصات فنی</t>
  </si>
  <si>
    <t>تحویل گیرنده 1</t>
  </si>
  <si>
    <t>تاريخ خريد</t>
  </si>
  <si>
    <t/>
  </si>
  <si>
    <t>آذر نيك اختر</t>
  </si>
  <si>
    <t xml:space="preserve">گوشي موبايل </t>
  </si>
  <si>
    <t>(362) پروژه احداث كارخانه فولاد گل گهر</t>
  </si>
  <si>
    <t>55XTU 615-تحویل واحد 10 نارسیس</t>
  </si>
  <si>
    <t>انبار منطقه اي سيرجان</t>
  </si>
  <si>
    <t>تلفن پاناسونيك KX-T7665</t>
  </si>
  <si>
    <t>تلفن روميزي تيپ تل 7670</t>
  </si>
  <si>
    <t>مركز تلفن  سانترال پاناسونيك 3/8</t>
  </si>
  <si>
    <t>تلفن Panasonic</t>
  </si>
  <si>
    <t>مانيتور</t>
  </si>
  <si>
    <t>تلويزيون LED  SAMSUNG 58</t>
  </si>
  <si>
    <t>تلويزيون LED  LG  32</t>
  </si>
  <si>
    <t>سانترال</t>
  </si>
  <si>
    <t>مانيتور جي پلاس 24</t>
  </si>
  <si>
    <t>تلويزيون دوو 43 اينچ</t>
  </si>
  <si>
    <t>گوشي تلفن ثايت</t>
  </si>
  <si>
    <t>پرينتر چند كاره HP - M127FN</t>
  </si>
  <si>
    <t>تلفن روميزي پاناسونيك 3611</t>
  </si>
  <si>
    <t>تلفن پاناسونيك 3661</t>
  </si>
  <si>
    <t>تلفن ميكروتل MCT-888CID</t>
  </si>
  <si>
    <t>تلفن تكنوتل TF-5380</t>
  </si>
  <si>
    <t>CISCO IP PHONE 7960</t>
  </si>
  <si>
    <t>پرينتر چند كاره سامسونگ M2070</t>
  </si>
  <si>
    <t>تلفن پاناسونيك KX-S500</t>
  </si>
  <si>
    <t>مانيتور BENQ</t>
  </si>
  <si>
    <t>گوشي تلفن اپراتور KX-T7665</t>
  </si>
  <si>
    <t>نصب شده در سه چاهون-مطابق ایمیل</t>
  </si>
  <si>
    <t>نصب شده در خوابگاه</t>
  </si>
  <si>
    <t>نصب شده در خوابگاه بردسیر</t>
  </si>
  <si>
    <t>پرينتر CANON - LBP6200</t>
  </si>
  <si>
    <t>تلفن leboss</t>
  </si>
  <si>
    <t>تلفن پاناسونيك KX-T72375</t>
  </si>
  <si>
    <t>تلفن تكنيكال سلطنتي 5817</t>
  </si>
  <si>
    <t>(292) اصلاح كيفي چغارت و سه چاهون</t>
  </si>
  <si>
    <t>تلويزيون LCD  SAMSUNG 32</t>
  </si>
  <si>
    <t>فرزاد نیک خواه</t>
  </si>
  <si>
    <t>رضا ایرانپور</t>
  </si>
  <si>
    <t>رضا خیاط زاده ماهانی</t>
  </si>
  <si>
    <t>O7392JA005696</t>
  </si>
  <si>
    <t>موجود در انبار برزمند</t>
  </si>
  <si>
    <t>Tell NT343</t>
  </si>
  <si>
    <t>Tell T7730X</t>
  </si>
  <si>
    <t>Tell T2371</t>
  </si>
  <si>
    <t>Tell Mikrotell 555CID</t>
  </si>
  <si>
    <t>J1JUDV000142</t>
  </si>
  <si>
    <t>649</t>
  </si>
  <si>
    <t>AR-6023N</t>
  </si>
  <si>
    <t>Printer HP M102W</t>
  </si>
  <si>
    <t>موجودی گهرزمین</t>
  </si>
  <si>
    <t>20553</t>
  </si>
  <si>
    <t>VL6Y019822</t>
  </si>
  <si>
    <t>EPSON Color L1800</t>
  </si>
  <si>
    <t>0686004012063472</t>
  </si>
  <si>
    <t>BS14C74</t>
  </si>
  <si>
    <t>مجید طاهری</t>
  </si>
  <si>
    <t>BS16C74</t>
  </si>
  <si>
    <t>BS17C74</t>
  </si>
  <si>
    <t>زهره آقا ملائی</t>
  </si>
  <si>
    <t>CNDRP84C54</t>
  </si>
  <si>
    <t>ups Genesis-B 6KVA</t>
  </si>
  <si>
    <t>310033580B79944700044</t>
  </si>
  <si>
    <t>GXJ58993</t>
  </si>
  <si>
    <t>Lenovo L22i-30</t>
  </si>
  <si>
    <t>U3606KFA</t>
  </si>
  <si>
    <t>CAP</t>
  </si>
  <si>
    <t>FBA20F00B60C</t>
  </si>
  <si>
    <t>BS18C74</t>
  </si>
  <si>
    <t>U563BKKH</t>
  </si>
  <si>
    <t>U3606KD4</t>
  </si>
  <si>
    <t>U563BLW</t>
  </si>
  <si>
    <t>آبدارخانه فکور</t>
  </si>
  <si>
    <t>Scanner Avision AD240 (32702757)</t>
  </si>
  <si>
    <t>دستی چسبوندیم</t>
  </si>
  <si>
    <t>4011005</t>
  </si>
  <si>
    <t>سانترال پاناسونیک  KX -TEM824</t>
  </si>
  <si>
    <t>0698016205025208</t>
  </si>
  <si>
    <t>DELL E2214 HVB</t>
  </si>
  <si>
    <t>CN-0VXHMC-74261-37B-2GMUT</t>
  </si>
  <si>
    <t>LA32C480.39JQ1.051538</t>
  </si>
  <si>
    <t>SAMSUNG LA32C480H1</t>
  </si>
  <si>
    <t>PANASONIC KX-TS500</t>
  </si>
  <si>
    <t>ارسالی از گهرزمین</t>
  </si>
  <si>
    <t>CISCO 6945</t>
  </si>
  <si>
    <t>G150407-1-0011</t>
  </si>
  <si>
    <t>NVR HILOOK-108MH-C/8P</t>
  </si>
  <si>
    <t>DVR Hensel HCR-7108E2</t>
  </si>
  <si>
    <t>گهرزمین</t>
  </si>
  <si>
    <t xml:space="preserve">هیتر برقی </t>
  </si>
  <si>
    <t xml:space="preserve">F0C1422W7DS </t>
  </si>
  <si>
    <t xml:space="preserve">FCQ1624Y3WS </t>
  </si>
  <si>
    <t xml:space="preserve">FOC1346Y1TR </t>
  </si>
  <si>
    <t>B223346008703</t>
  </si>
  <si>
    <t>B223348004254</t>
  </si>
  <si>
    <t>D-LINK DES-1024D 24 PORT</t>
  </si>
  <si>
    <t>رادیو POWER STATION</t>
  </si>
  <si>
    <t>2BACE026922</t>
  </si>
  <si>
    <t>1HACE631194</t>
  </si>
  <si>
    <t>PANASONIC KX-T7730X</t>
  </si>
  <si>
    <t>4CAKE114182</t>
  </si>
  <si>
    <t>PANASONIC KX-TS880MX</t>
  </si>
  <si>
    <t>PANASONIC KX-NT321X</t>
  </si>
  <si>
    <t>1HACE631389</t>
  </si>
  <si>
    <t>9IAMD995779</t>
  </si>
  <si>
    <t>9IAMD210178</t>
  </si>
  <si>
    <t>PANASONIC KX-TSC60SX</t>
  </si>
  <si>
    <t>4LALD141708</t>
  </si>
  <si>
    <t>0DCFD686190</t>
  </si>
  <si>
    <t>10060722192471</t>
  </si>
  <si>
    <t>TECHNOTEL TF-2219</t>
  </si>
  <si>
    <t>PANASONIC KX-NT343X</t>
  </si>
  <si>
    <t>201001000723</t>
  </si>
  <si>
    <t>PIKONICS CID-336F</t>
  </si>
  <si>
    <t>7142639281023</t>
  </si>
  <si>
    <t>GOLD ZEST DT-F320</t>
  </si>
  <si>
    <t>9FBKB123466</t>
  </si>
  <si>
    <t>PANASONIC KX-T2371</t>
  </si>
  <si>
    <t>از تعمیر برگشت - موجودی بردسیر بود</t>
  </si>
  <si>
    <t>TIP TEL 7715</t>
  </si>
  <si>
    <t>علیرضا نوشادی</t>
  </si>
  <si>
    <t>کد اموال دستی</t>
  </si>
  <si>
    <t>7LBWM242227</t>
  </si>
  <si>
    <t>7LBWM242232</t>
  </si>
  <si>
    <t>7JBTH638618</t>
  </si>
  <si>
    <t>9FBKB122938</t>
  </si>
  <si>
    <t>1ABKC430913</t>
  </si>
  <si>
    <t>7LBWM227268</t>
  </si>
  <si>
    <t>0LCKC422376</t>
  </si>
  <si>
    <t>7KPWM186379</t>
  </si>
  <si>
    <t>0EBKC32890</t>
  </si>
  <si>
    <t>3EBLL100901</t>
  </si>
  <si>
    <t>TIP TEL 7750</t>
  </si>
  <si>
    <t>PANASONIC T7665</t>
  </si>
  <si>
    <t>CFL 1209</t>
  </si>
  <si>
    <t>PANASONIC TSC11MX</t>
  </si>
  <si>
    <t>PANASONIC T7705</t>
  </si>
  <si>
    <t>TECHNOTEL 5919</t>
  </si>
  <si>
    <t>PANASONIC TSC60</t>
  </si>
  <si>
    <t>PANASONIC KX-T7665</t>
  </si>
  <si>
    <t>علیرضا قناعتیان</t>
  </si>
  <si>
    <t>عبدالعلی تقی زاده</t>
  </si>
  <si>
    <t>ایمان ادریسی</t>
  </si>
  <si>
    <t>حمید شیاسی</t>
  </si>
  <si>
    <t>اکبر نجفی</t>
  </si>
  <si>
    <t>فاطمه رضائیان</t>
  </si>
  <si>
    <t>علی اکرامیان</t>
  </si>
  <si>
    <t>بنفشه صادقی</t>
  </si>
  <si>
    <t>علی اشرف چراغیان</t>
  </si>
  <si>
    <t>ابوالفضل غلامی</t>
  </si>
  <si>
    <t>مهدی یگانه</t>
  </si>
  <si>
    <t>عبدالغنی مشایخی</t>
  </si>
  <si>
    <t>مهدی جعفر رمجی</t>
  </si>
  <si>
    <t>رضا ملک پور</t>
  </si>
  <si>
    <t>علی افرازه</t>
  </si>
  <si>
    <t>رضا طیاری</t>
  </si>
  <si>
    <t>سبحان سلجوقی</t>
  </si>
  <si>
    <t>میثم مددی زاده</t>
  </si>
  <si>
    <t>TECHNICAL 6102</t>
  </si>
  <si>
    <t>میثم جواهری</t>
  </si>
  <si>
    <t>امین محسن زاده</t>
  </si>
  <si>
    <t>جاسم راهنما</t>
  </si>
  <si>
    <t>کیوان ترابیان</t>
  </si>
  <si>
    <t>صمد دهقانی</t>
  </si>
  <si>
    <t>مصطفی لطفیانی</t>
  </si>
  <si>
    <t>7JBTH638620</t>
  </si>
  <si>
    <t>7LBWM241933</t>
  </si>
  <si>
    <t>7LBWM252429</t>
  </si>
  <si>
    <t>7JBTH638619</t>
  </si>
  <si>
    <t>7JATH637837</t>
  </si>
  <si>
    <t>میلاد ساردوئی</t>
  </si>
  <si>
    <t>CISCO CP-6941</t>
  </si>
  <si>
    <t>PUC174311HQ</t>
  </si>
  <si>
    <t>CISCO CP-8945</t>
  </si>
  <si>
    <t>0706020307021367</t>
  </si>
  <si>
    <t>PXN16180ITW</t>
  </si>
  <si>
    <t>CISCO CP-8941</t>
  </si>
  <si>
    <t>محمود بهاری</t>
  </si>
  <si>
    <t xml:space="preserve">CISCO 8945 </t>
  </si>
  <si>
    <t xml:space="preserve">PUC17431129 </t>
  </si>
  <si>
    <t xml:space="preserve">PUC17430644 </t>
  </si>
  <si>
    <t xml:space="preserve">PUC17430S6S </t>
  </si>
  <si>
    <t>بهداری</t>
  </si>
  <si>
    <t xml:space="preserve">مجتبی مرادی </t>
  </si>
  <si>
    <t>402NDFVFR387</t>
  </si>
  <si>
    <t>0706022310009908</t>
  </si>
  <si>
    <t>TIPTEL7115</t>
  </si>
  <si>
    <t>20150204272</t>
  </si>
  <si>
    <t xml:space="preserve">علی حیدری </t>
  </si>
  <si>
    <t>GG37C2</t>
  </si>
  <si>
    <t>51600260620070</t>
  </si>
  <si>
    <t>51701880857727</t>
  </si>
  <si>
    <t>ETR4N0424601Q</t>
  </si>
  <si>
    <t>BENQ GW2780-T</t>
  </si>
  <si>
    <t>ETR4N0425001Q</t>
  </si>
  <si>
    <t>ETR4N0434301Q</t>
  </si>
  <si>
    <t>ETR4N0432401Q</t>
  </si>
  <si>
    <t xml:space="preserve">CISCO 2960 S POE 48 PORT 10G </t>
  </si>
  <si>
    <t xml:space="preserve">FOC1427Z228 </t>
  </si>
  <si>
    <t xml:space="preserve">FOC1502W1EC </t>
  </si>
  <si>
    <t xml:space="preserve">FOC1833W41L </t>
  </si>
  <si>
    <t xml:space="preserve">FOC1732V1DV </t>
  </si>
  <si>
    <t xml:space="preserve">FOC1520Z4P9 </t>
  </si>
  <si>
    <t xml:space="preserve">FCQ1643Y15V </t>
  </si>
  <si>
    <t xml:space="preserve">FOC1533Z400 </t>
  </si>
  <si>
    <t>نصب در ساختمان ایمنی توسعه</t>
  </si>
  <si>
    <t xml:space="preserve">نصب در ساختمان کارفرما توسعه </t>
  </si>
  <si>
    <t>نصب در ساختمان بهداری توسعه</t>
  </si>
  <si>
    <t>کد قبلی کنده شده 601514 بوده</t>
  </si>
  <si>
    <t>71CTH634153</t>
  </si>
  <si>
    <t>موجود در انبار گلفا - دست آقای کوروش افشین</t>
  </si>
  <si>
    <t>سرور</t>
  </si>
  <si>
    <t>موجود نیست</t>
  </si>
  <si>
    <t>کیبرد و موس بیسیم لاجیتک</t>
  </si>
  <si>
    <t>1732CE0C8E48</t>
  </si>
  <si>
    <t>محسن مرادی</t>
  </si>
  <si>
    <t>PXN16330I3N</t>
  </si>
  <si>
    <t>0722015205013382</t>
  </si>
  <si>
    <t>0714005302018561</t>
  </si>
  <si>
    <t>0714001208005020</t>
  </si>
  <si>
    <t>PUC174315WV</t>
  </si>
  <si>
    <t>PUC174401G6</t>
  </si>
  <si>
    <t>CNDRP84C4P</t>
  </si>
  <si>
    <t>TV Gplus 55"</t>
  </si>
  <si>
    <t>PUC171008MZ</t>
  </si>
  <si>
    <t>PUC16280DT8</t>
  </si>
  <si>
    <t>PUC174312UQ</t>
  </si>
  <si>
    <t>0375017811021854</t>
  </si>
  <si>
    <t>0175002910011025</t>
  </si>
  <si>
    <t>0714007305008481</t>
  </si>
  <si>
    <t>LG 22" 22M38A</t>
  </si>
  <si>
    <t>601NTEPBV940</t>
  </si>
  <si>
    <t>PUC17500152</t>
  </si>
  <si>
    <t>PUC174312X1</t>
  </si>
  <si>
    <t>PUC17420IJN</t>
  </si>
  <si>
    <t>PUC1629065T</t>
  </si>
  <si>
    <t xml:space="preserve">محمد مهدی عدالتی </t>
  </si>
  <si>
    <t>BS19C74</t>
  </si>
  <si>
    <t xml:space="preserve">9566 </t>
  </si>
  <si>
    <t>BS20C74</t>
  </si>
  <si>
    <t>4011010</t>
  </si>
  <si>
    <t>GG18C6-G31</t>
  </si>
  <si>
    <t>GG18C4-G31</t>
  </si>
  <si>
    <t>GG24C4-G31</t>
  </si>
  <si>
    <t>GG11C6-G31</t>
  </si>
  <si>
    <t xml:space="preserve">LG 22" 22M38H </t>
  </si>
  <si>
    <t>U563BLWB</t>
  </si>
  <si>
    <t>Lenovo 22" L22i-30</t>
  </si>
  <si>
    <t>U563BLWD</t>
  </si>
  <si>
    <t>U3606KDZ</t>
  </si>
  <si>
    <t>U563BLV1</t>
  </si>
  <si>
    <t>U3606KDY</t>
  </si>
  <si>
    <t>U3606KDV</t>
  </si>
  <si>
    <t>U563BLWT</t>
  </si>
  <si>
    <t>U3606KGK</t>
  </si>
  <si>
    <t>U3606KGM</t>
  </si>
  <si>
    <t>U563BKKL</t>
  </si>
  <si>
    <t>U3606KF7</t>
  </si>
  <si>
    <t>U3606KH5</t>
  </si>
  <si>
    <t>U3606KDG</t>
  </si>
  <si>
    <t>U563BM8C</t>
  </si>
  <si>
    <t>U3606KCA</t>
  </si>
  <si>
    <t>U3606KFY</t>
  </si>
  <si>
    <t>U563BLTF</t>
  </si>
  <si>
    <t>U563BLWP</t>
  </si>
  <si>
    <t>U563BM7T</t>
  </si>
  <si>
    <t>U3606KG2</t>
  </si>
  <si>
    <t>U563BLTL</t>
  </si>
  <si>
    <t>U3606KDW</t>
  </si>
  <si>
    <t>U3606KD6</t>
  </si>
  <si>
    <t>U563BLRW</t>
  </si>
  <si>
    <t>U563BLW7</t>
  </si>
  <si>
    <t>U3606KDN</t>
  </si>
  <si>
    <t>U3606KDB</t>
  </si>
  <si>
    <t>U563BLT6</t>
  </si>
  <si>
    <t>U563BLTK</t>
  </si>
  <si>
    <t>U563BKKN</t>
  </si>
  <si>
    <t>U3606KDA</t>
  </si>
  <si>
    <t>U563BLT0</t>
  </si>
  <si>
    <t>U563BLRP</t>
  </si>
  <si>
    <t>U3606L7W</t>
  </si>
  <si>
    <t>U563BLWF</t>
  </si>
  <si>
    <t>U3606KDT</t>
  </si>
  <si>
    <t>U3606KF5</t>
  </si>
  <si>
    <t>U563BLWM</t>
  </si>
  <si>
    <t>U3606KG0</t>
  </si>
  <si>
    <t>U563BLVC</t>
  </si>
  <si>
    <t>U3606KG7</t>
  </si>
  <si>
    <t>U563BLX5</t>
  </si>
  <si>
    <t>U3606KFL</t>
  </si>
  <si>
    <t>U3606KCT</t>
  </si>
  <si>
    <t>U563BM8X</t>
  </si>
  <si>
    <t>U3606KF1</t>
  </si>
  <si>
    <t>U3606KD0</t>
  </si>
  <si>
    <t>U3606KFX</t>
  </si>
  <si>
    <t>U563BM7R</t>
  </si>
  <si>
    <t>U563BLWN</t>
  </si>
  <si>
    <t>U563BLVA</t>
  </si>
  <si>
    <t>U563BLRX</t>
  </si>
  <si>
    <t>U3606KGB</t>
  </si>
  <si>
    <t>U563BKKP</t>
  </si>
  <si>
    <t>U3606KD1</t>
  </si>
  <si>
    <t>U3606KG9</t>
  </si>
  <si>
    <t>U563BLVF</t>
  </si>
  <si>
    <t>U563BKK1</t>
  </si>
  <si>
    <t>U563BLRR</t>
  </si>
  <si>
    <t>U3606KFF</t>
  </si>
  <si>
    <t>U563BLRZ</t>
  </si>
  <si>
    <t>U563BM7P</t>
  </si>
  <si>
    <t>U563BM6W</t>
  </si>
  <si>
    <t>U3606KCV</t>
  </si>
  <si>
    <t>U563BLW5</t>
  </si>
  <si>
    <t>U563BLWY</t>
  </si>
  <si>
    <t>U3606KDP</t>
  </si>
  <si>
    <t>U563BLVY</t>
  </si>
  <si>
    <t>U563BLRK</t>
  </si>
  <si>
    <t>U3606KDR</t>
  </si>
  <si>
    <t>U563BLVD</t>
  </si>
  <si>
    <t>U563BLWR</t>
  </si>
  <si>
    <t>U3606G91</t>
  </si>
  <si>
    <t>U563BLRL</t>
  </si>
  <si>
    <t>U3606KFC</t>
  </si>
  <si>
    <t>U3606KD9</t>
  </si>
  <si>
    <t>U3606KFV</t>
  </si>
  <si>
    <t>U563BKLT</t>
  </si>
  <si>
    <t>U3606KG1</t>
  </si>
  <si>
    <t>U563BLTV</t>
  </si>
  <si>
    <t>U3606KCZ</t>
  </si>
  <si>
    <t>U563BLTC</t>
  </si>
  <si>
    <t>U3606KFP</t>
  </si>
  <si>
    <t>U563BLT2</t>
  </si>
  <si>
    <t>U563BLV9</t>
  </si>
  <si>
    <t>U3606KF6</t>
  </si>
  <si>
    <t>U563BKK2</t>
  </si>
  <si>
    <t>U563BLV3</t>
  </si>
  <si>
    <t>U3606KD8</t>
  </si>
  <si>
    <t>U563BGG4</t>
  </si>
  <si>
    <t>U563BM7M</t>
  </si>
  <si>
    <t>U3606KCY</t>
  </si>
  <si>
    <t>U563BKKM</t>
  </si>
  <si>
    <t>U563BLX1</t>
  </si>
  <si>
    <t>U563BLT4</t>
  </si>
  <si>
    <t>U563BKKG</t>
  </si>
  <si>
    <t>U563BLVN</t>
  </si>
  <si>
    <t>U563BLVW</t>
  </si>
  <si>
    <t>U3606KCR</t>
  </si>
  <si>
    <t>U3606KCN</t>
  </si>
  <si>
    <t>U3606KD5</t>
  </si>
  <si>
    <t>U563BLV6</t>
  </si>
  <si>
    <t>U563BLW6</t>
  </si>
  <si>
    <t>U3606KDX</t>
  </si>
  <si>
    <t>U563BLVG</t>
  </si>
  <si>
    <t>U3606KCX</t>
  </si>
  <si>
    <t>U563BLV4</t>
  </si>
  <si>
    <t>U3606KFW</t>
  </si>
  <si>
    <t>U563BLTX</t>
  </si>
  <si>
    <t>U563BKKF</t>
  </si>
  <si>
    <t>U563BLWW</t>
  </si>
  <si>
    <t>U563BLTH</t>
  </si>
  <si>
    <t>U563BLRV</t>
  </si>
  <si>
    <t>U3606KF3</t>
  </si>
  <si>
    <t>U3606KG5</t>
  </si>
  <si>
    <t>U3606KDH</t>
  </si>
  <si>
    <t>U563BLVZ</t>
  </si>
  <si>
    <t>U3606KFT</t>
  </si>
  <si>
    <t>U563BLWK</t>
  </si>
  <si>
    <t>U563BM7L</t>
  </si>
  <si>
    <t>U3606KDC</t>
  </si>
  <si>
    <t>U563BLVX</t>
  </si>
  <si>
    <t>U3606KDL</t>
  </si>
  <si>
    <t>U3606KGP</t>
  </si>
  <si>
    <t>U3606KFM</t>
  </si>
  <si>
    <t>U563BLWV</t>
  </si>
  <si>
    <t>U563BLTB</t>
  </si>
  <si>
    <t>U563BMA0</t>
  </si>
  <si>
    <t>U3606KGF</t>
  </si>
  <si>
    <t>U563BLWX</t>
  </si>
  <si>
    <t>U3606KCB</t>
  </si>
  <si>
    <t>U563BLVR</t>
  </si>
  <si>
    <t>U3606KGL</t>
  </si>
  <si>
    <t>U3606KGN</t>
  </si>
  <si>
    <t>U3606KD7</t>
  </si>
  <si>
    <t>U563BM7Y</t>
  </si>
  <si>
    <t>U563BLWC</t>
  </si>
  <si>
    <t>U3606KDF</t>
  </si>
  <si>
    <t>U563BLTT</t>
  </si>
  <si>
    <t>U3606KG3</t>
  </si>
  <si>
    <t>U563BLRY</t>
  </si>
  <si>
    <t>U3606KFG</t>
  </si>
  <si>
    <t>U563BLTA</t>
  </si>
  <si>
    <t>U3606KFN</t>
  </si>
  <si>
    <t>U3606KL5</t>
  </si>
  <si>
    <t>U563BLW1</t>
  </si>
  <si>
    <t>U563BLTM</t>
  </si>
  <si>
    <t>U3606KG6</t>
  </si>
  <si>
    <t>U563BLVM</t>
  </si>
  <si>
    <t>U563BLW3</t>
  </si>
  <si>
    <t>U3606KF2</t>
  </si>
  <si>
    <t>U3606KFB</t>
  </si>
  <si>
    <t>U3606KGT</t>
  </si>
  <si>
    <t>U563BLVP</t>
  </si>
  <si>
    <t>U563BLTN</t>
  </si>
  <si>
    <t>U563BLWL</t>
  </si>
  <si>
    <t>U563BKKR</t>
  </si>
  <si>
    <t>U563BLW9</t>
  </si>
  <si>
    <t>U3606KGD</t>
  </si>
  <si>
    <t>U3606KG4</t>
  </si>
  <si>
    <t>U563BLVH</t>
  </si>
  <si>
    <t>U3606KF8</t>
  </si>
  <si>
    <t>U563BLV8</t>
  </si>
  <si>
    <t>U3606KFD</t>
  </si>
  <si>
    <t>U563BM7N</t>
  </si>
  <si>
    <t>U3606KCP</t>
  </si>
  <si>
    <t>U563BKKK</t>
  </si>
  <si>
    <t>U563BLV5</t>
  </si>
  <si>
    <t>U3606KDK</t>
  </si>
  <si>
    <t>U3606KDM</t>
  </si>
  <si>
    <t>U3606KF9</t>
  </si>
  <si>
    <t>U3606KG8</t>
  </si>
  <si>
    <t>U3606KDD</t>
  </si>
  <si>
    <t>U3606KGC</t>
  </si>
  <si>
    <t>U563BKKT</t>
  </si>
  <si>
    <t>U563BLW2</t>
  </si>
  <si>
    <t>U563BLWG</t>
  </si>
  <si>
    <t>U563BLVL</t>
  </si>
  <si>
    <t>U563BLWA</t>
  </si>
  <si>
    <t>U3606KFZ</t>
  </si>
  <si>
    <t>U3606KF4</t>
  </si>
  <si>
    <t>U3606KFK</t>
  </si>
  <si>
    <t>U3606KD3</t>
  </si>
  <si>
    <t>U3606KFH</t>
  </si>
  <si>
    <t>U3606KCW</t>
  </si>
  <si>
    <t>U3606FV6</t>
  </si>
  <si>
    <t>U563BLTW</t>
  </si>
  <si>
    <t>U3606KFR</t>
  </si>
  <si>
    <t>U3606KF0</t>
  </si>
  <si>
    <t>U563BLW0</t>
  </si>
  <si>
    <t>U563BLV7</t>
  </si>
  <si>
    <t>U563BLVT</t>
  </si>
  <si>
    <t>U563BLVB</t>
  </si>
  <si>
    <t>U563BLWH</t>
  </si>
  <si>
    <t>Case Green B560</t>
  </si>
  <si>
    <t>رک 42یونیت اتاق سرور</t>
  </si>
  <si>
    <t>Server HP DL380 G9</t>
  </si>
  <si>
    <t xml:space="preserve">LG 22"W2261VP </t>
  </si>
  <si>
    <t>SAMSUNG -SL-M2070F</t>
  </si>
  <si>
    <t>073EB8KH9D00T2R</t>
  </si>
  <si>
    <t>GG145C3</t>
  </si>
  <si>
    <t>100562</t>
  </si>
  <si>
    <t>0722010109000460</t>
  </si>
  <si>
    <t>GG146C3</t>
  </si>
  <si>
    <t>Server HP DL380p Gen8</t>
  </si>
  <si>
    <t>CZ2401053D</t>
  </si>
  <si>
    <t>BS11C76</t>
  </si>
  <si>
    <t xml:space="preserve">ابراهیم خلیل فیروزی </t>
  </si>
  <si>
    <t>در کانکس مدیر پروژه ( گلبن ) نصب شده است</t>
  </si>
  <si>
    <t>محسن ترابی راد</t>
  </si>
  <si>
    <t>جدید</t>
  </si>
  <si>
    <t>0722002008012007</t>
  </si>
  <si>
    <t>INM111513N0</t>
  </si>
  <si>
    <t>Cisco CP-7931G</t>
  </si>
  <si>
    <t>0696009109003141</t>
  </si>
  <si>
    <t>Camera Canon 2000D</t>
  </si>
  <si>
    <t>223073063268</t>
  </si>
  <si>
    <t>0686002011056970</t>
  </si>
  <si>
    <t>GG147C3</t>
  </si>
  <si>
    <t>Camera Canon Eos2000D</t>
  </si>
  <si>
    <t>BS12C76</t>
  </si>
  <si>
    <t>دوربین تایم لپس</t>
  </si>
  <si>
    <t>20255</t>
  </si>
  <si>
    <t>UPS</t>
  </si>
  <si>
    <t>نصب جهت دوربین تایم لپس- کنار دکل اینترنت</t>
  </si>
  <si>
    <t>ظهیر حسینی</t>
  </si>
  <si>
    <t>مشکل دارد</t>
  </si>
  <si>
    <t>شاه محمدی</t>
  </si>
  <si>
    <t>20564</t>
  </si>
  <si>
    <t>223073063264</t>
  </si>
  <si>
    <t>نصب شده در سالن توسعه فولاد</t>
  </si>
  <si>
    <t>Iface 202</t>
  </si>
  <si>
    <t>نصب شده در سالن</t>
  </si>
  <si>
    <t>iface 202</t>
  </si>
  <si>
    <t>GG148C3</t>
  </si>
  <si>
    <t>20574</t>
  </si>
  <si>
    <t>BS13C76</t>
  </si>
  <si>
    <t xml:space="preserve"> Samsung 16" 1632NW</t>
  </si>
  <si>
    <t>Samsung 19" 1931BF</t>
  </si>
  <si>
    <t>LG 24" 24M38H</t>
  </si>
  <si>
    <t xml:space="preserve">1391  B.H9MN6.000998 </t>
  </si>
  <si>
    <t xml:space="preserve">Hp Laserjet 1200 </t>
  </si>
  <si>
    <t xml:space="preserve">07392  JA005736 </t>
  </si>
  <si>
    <t xml:space="preserve">A086764067601367 </t>
  </si>
  <si>
    <t>HIK VISION IP CAMERA</t>
  </si>
  <si>
    <t>100551</t>
  </si>
  <si>
    <t>تاریخ اختتام</t>
  </si>
  <si>
    <t>علت اختتام</t>
  </si>
  <si>
    <t>كانكس 12 متري مان</t>
  </si>
  <si>
    <t>دو اتاقه - IT</t>
  </si>
  <si>
    <t>كانكس 6 متري ماهان</t>
  </si>
  <si>
    <t>تك اتاقه - IT</t>
  </si>
  <si>
    <t>اهم متر كلمپي ديجيتال</t>
  </si>
  <si>
    <t>كامپيوتر سرور INTELS5000VSA</t>
  </si>
  <si>
    <t>دستگاه حضوروغياب تشخيص چهره iface202</t>
  </si>
  <si>
    <t>نرم افزار پريما 5 باقفل سخت افزاري</t>
  </si>
  <si>
    <t>راديو وايرلس - پيروز لين</t>
  </si>
  <si>
    <t>روتر RB 450 G</t>
  </si>
  <si>
    <t>سيستم راديو واير لس 5531 دوطرفه باآنتن ومتعلقات</t>
  </si>
  <si>
    <t>سوئيچ MIIKROTHKRB-750GL</t>
  </si>
  <si>
    <t>راديو ميكروتك -SXT-5HPND</t>
  </si>
  <si>
    <t>لینک انبار گهرزمین</t>
  </si>
  <si>
    <t>بوستر مركزي 2باند - RB411AH</t>
  </si>
  <si>
    <t>آنتن خارجي ميكروتيك - RB411AH</t>
  </si>
  <si>
    <t>دوربين ثابت AW-HE2HD</t>
  </si>
  <si>
    <t>IP Camera - HIKVISION - 2CD1023G0E-I</t>
  </si>
  <si>
    <t>Radio - Mikrotik - SXT sqLite5</t>
  </si>
  <si>
    <t>دوربين عكاسي IXUS 150</t>
  </si>
  <si>
    <t>CISCO SWITCH WS - C3560-24 PS-S</t>
  </si>
  <si>
    <t>SH-Cisco Router 2911</t>
  </si>
  <si>
    <t>CISCO SWITCH WS C2960-48TT-L</t>
  </si>
  <si>
    <t>راديو ميكروتكRB-450</t>
  </si>
  <si>
    <t>راديو ميكروتيك فلت QRT5</t>
  </si>
  <si>
    <t>راديو ميكروتكRB-45OG</t>
  </si>
  <si>
    <t>صندلي نيلپر K 600</t>
  </si>
  <si>
    <t>جارو برقي SAMSUNG</t>
  </si>
  <si>
    <t>كولر گازي پنجره اي  18000 O GENERAL</t>
  </si>
  <si>
    <t>كولر اسپيلت سردو گرمSAMSUNG 18000</t>
  </si>
  <si>
    <t>نرم افزار حضوروغياب(تك كاربره)</t>
  </si>
  <si>
    <t>(110)پروژه گوهر زمين</t>
  </si>
  <si>
    <t>حذف دارائي با صورتجلسه</t>
  </si>
  <si>
    <t>كيبرد كامپيوتر</t>
  </si>
  <si>
    <t>كيبورد كامپيوتر</t>
  </si>
  <si>
    <t>پرينتر HP Laserjet1300</t>
  </si>
  <si>
    <t>پانج</t>
  </si>
  <si>
    <t>اسلام دانائی مفرد</t>
  </si>
  <si>
    <t>ارسال به تعمیر به علت مات بودن تصویر -  مانیتور قبلی آرمان فرخ</t>
  </si>
  <si>
    <t xml:space="preserve">مانیتور  محمد باجلان کارفرما سایت توسعه فولاد به علت روشن نشدن </t>
  </si>
  <si>
    <t xml:space="preserve">موجودی انبار سایت توسعه فولاد به علت خط داشتن تصویر  </t>
  </si>
  <si>
    <t>ارسالی از انبار آی تی</t>
  </si>
  <si>
    <t>ارسالی از تربت به تهران</t>
  </si>
  <si>
    <t>LG 19" E1919S</t>
  </si>
  <si>
    <t>0714007305007822</t>
  </si>
  <si>
    <t>090310940722003</t>
  </si>
  <si>
    <t>BS23C74</t>
  </si>
  <si>
    <t>BS24C74</t>
  </si>
  <si>
    <t>BS14C76</t>
  </si>
  <si>
    <t>0175002910007552</t>
  </si>
  <si>
    <t>32700859 کد اموال سنگان</t>
  </si>
  <si>
    <t>ETR4N0424501Q</t>
  </si>
  <si>
    <t>FOC1325V0PZ</t>
  </si>
  <si>
    <t>ETR4N0424901Q</t>
  </si>
  <si>
    <t>BenQ 27"GW2780-T</t>
  </si>
  <si>
    <t>در تاریخ 18/11/1401 از تعمیر برگشت</t>
  </si>
  <si>
    <t>GREEN PARS EVO i5</t>
  </si>
  <si>
    <t>07220071010064860</t>
  </si>
  <si>
    <t>100567</t>
  </si>
  <si>
    <t>CAT0921N063</t>
  </si>
  <si>
    <t>PXN162309L4</t>
  </si>
  <si>
    <t>0258603125759</t>
  </si>
  <si>
    <t xml:space="preserve">رک کبیر صنعت 9 یونیت </t>
  </si>
  <si>
    <t>نصب شده در پارکینگ</t>
  </si>
  <si>
    <t xml:space="preserve">مانیتور جابر زیدآبادی نژاد-مرکز تحقیقات-علت روشن نشدن </t>
  </si>
  <si>
    <t>LG 19" E1940s</t>
  </si>
  <si>
    <t>0706021308007567</t>
  </si>
  <si>
    <t>0686004012064032</t>
  </si>
  <si>
    <t>842</t>
  </si>
  <si>
    <t>100536</t>
  </si>
  <si>
    <t>0714005302018538</t>
  </si>
  <si>
    <t>660</t>
  </si>
  <si>
    <t>WebCam Microsoft 1425</t>
  </si>
  <si>
    <t>0258603125787</t>
  </si>
  <si>
    <t>0258603125760</t>
  </si>
  <si>
    <t>GG38C2</t>
  </si>
  <si>
    <t>Camera FujiFilm XP130</t>
  </si>
  <si>
    <t>8SQ01510</t>
  </si>
  <si>
    <t>Camera Sony Cyber-shot DSC-HX400V</t>
  </si>
  <si>
    <t>S014974006G</t>
  </si>
  <si>
    <t>HIKVISION DS-7616NI-E2</t>
  </si>
  <si>
    <t>D14875473</t>
  </si>
  <si>
    <t>دستگاه بلوور</t>
  </si>
  <si>
    <t>استفاده در آی تی</t>
  </si>
  <si>
    <t>Router Mikrotik NetMetal 5 921uags-5shpacd-nm</t>
  </si>
  <si>
    <t>لینک فولاد - گهرزمین</t>
  </si>
  <si>
    <t>لینک گهرزمین-فولاد</t>
  </si>
  <si>
    <t>ارتباط کانکس انبار با اتاق سرور</t>
  </si>
  <si>
    <t>نصب در پروژه توسعه فولاد</t>
  </si>
  <si>
    <t>Voip New Rock -FXO/FXS4PORT</t>
  </si>
  <si>
    <t>Radio UBNT Unifi UAP</t>
  </si>
  <si>
    <t>Radio Mikrotik SXT lite 5nd</t>
  </si>
  <si>
    <t>رك 9 يونيت عمق 60</t>
  </si>
  <si>
    <t>Switch Tplink SF 1005 D</t>
  </si>
  <si>
    <t>دوربين مدار بسته VIVOTEK -FD8161</t>
  </si>
  <si>
    <t>دوربين مدار بسته VIVOTEK FD 8161</t>
  </si>
  <si>
    <t>دوربين  VivoTek FD 8161</t>
  </si>
  <si>
    <t>NVR _ HIK VISION _ DS_7732 NI - K</t>
  </si>
  <si>
    <t>Radio - Mikrotik -SQ5 hpnd</t>
  </si>
  <si>
    <t>Radio Mikrotik - QRTac5</t>
  </si>
  <si>
    <t>IP Camera HIK VISION DS 2cd2043G0E - l</t>
  </si>
  <si>
    <t>Ip Camera HIK VISION 2CD1023G0E- l</t>
  </si>
  <si>
    <t>Camera Brinno BCC100-Project Recording</t>
  </si>
  <si>
    <t>نصب در پروژه</t>
  </si>
  <si>
    <t>مودم اينترنت همراه اول</t>
  </si>
  <si>
    <t>پیمانکار ساخت خوابگاه</t>
  </si>
  <si>
    <t>کداموال چسبیده نشده</t>
  </si>
  <si>
    <t>کابینت باتری UPS</t>
  </si>
  <si>
    <t>QX9U1L4015114</t>
  </si>
  <si>
    <t>Modem D-Link DSL-2750U</t>
  </si>
  <si>
    <t>Modem TP-Link TD-W8901G</t>
  </si>
  <si>
    <t>Modem  UTel 4G LTE L443</t>
  </si>
  <si>
    <t>استبلايزر-SASSIN-SVC-8000VA- KW8</t>
  </si>
  <si>
    <t>پرده نمايش 300*300 ويديو پرژكتور موتور دار</t>
  </si>
  <si>
    <t>ويدئو پرژكتور OPTIMA M645 X</t>
  </si>
  <si>
    <t>روتر</t>
  </si>
  <si>
    <t>مطابق تماس تلفن آقای مطلق جهت تعمیر به تهران ارسال شد که به دلیل تعمیر نشدن در تهران داغی اعلام شد</t>
  </si>
  <si>
    <t>Access Point D-Link DAP-1360</t>
  </si>
  <si>
    <t>QX411E6510874</t>
  </si>
  <si>
    <t>از خرامه به سیرجان منتقل شد</t>
  </si>
  <si>
    <t>3754</t>
  </si>
  <si>
    <t>0722016205013947</t>
  </si>
  <si>
    <t>PUC17130ATH</t>
  </si>
  <si>
    <t>GG151C3</t>
  </si>
  <si>
    <t>GG152C3</t>
  </si>
  <si>
    <t>Mikrotik Cap 2ND-اكسس پوينت</t>
  </si>
  <si>
    <t>مودم وايرلس Mikrotik 2ND</t>
  </si>
  <si>
    <t>دوربين عكاسي XP130</t>
  </si>
  <si>
    <t>LG AC Smart IV</t>
  </si>
  <si>
    <t>مانیتور کنترل تجهیزات سرمایشی</t>
  </si>
  <si>
    <t>از گهرزمین با خودش برده</t>
  </si>
  <si>
    <t>سينماي خانگي LG-HTS 888</t>
  </si>
  <si>
    <t>DVD PLAYER SAMSUNG</t>
  </si>
  <si>
    <t xml:space="preserve">0686002011058129 </t>
  </si>
  <si>
    <t>کد اموال 604203 به دلیل تداخل از روش کنده شد</t>
  </si>
  <si>
    <t>تلفن رومیزی</t>
  </si>
  <si>
    <t>انبار کانتینر 3 ساسان شجاعت</t>
  </si>
  <si>
    <t>BLEST 65</t>
  </si>
  <si>
    <t>LED SONIYA 43"</t>
  </si>
  <si>
    <t>خوابگاه</t>
  </si>
  <si>
    <t>Mikrotik CAP RBcAP2nD</t>
  </si>
  <si>
    <t>مودم CISCO</t>
  </si>
  <si>
    <t>موجودی آی تی - جمع آوری از خوابگاه - سوخته</t>
  </si>
  <si>
    <t>مودم</t>
  </si>
  <si>
    <t xml:space="preserve">سوييچ 8 پورت POE  DLinK                         </t>
  </si>
  <si>
    <t>مودم GSM</t>
  </si>
  <si>
    <t>دوربينCamera Hikvision DS2CD2120-1</t>
  </si>
  <si>
    <t>TDF1101661</t>
  </si>
  <si>
    <t>دوربين مدار بسته VISION- HIK - 2CD2020L</t>
  </si>
  <si>
    <t>دوربين مدار بسته IP CAMERA -HIK VISION</t>
  </si>
  <si>
    <t>دستگاه وايرلس Miicrotic STX Lite5</t>
  </si>
  <si>
    <t>وايرلس</t>
  </si>
  <si>
    <t>NVR</t>
  </si>
  <si>
    <t>IP Camera   _HIK VISION - DS _ 2CD2023G0-l</t>
  </si>
  <si>
    <t>NVR_HIK VISION 7616 Nl-Q1</t>
  </si>
  <si>
    <t>Radio - Mikrotik - QRT RB911G-5HPnd</t>
  </si>
  <si>
    <t>Radio - Mikrotik - SQ 5 Hpnd</t>
  </si>
  <si>
    <t>دوربين IP CAMERA_HIK VISION_2CD1023G0E</t>
  </si>
  <si>
    <t>RADIO_MIKROTIK_LHG5</t>
  </si>
  <si>
    <t>مودم بي سيم واي فاي دار</t>
  </si>
  <si>
    <t>دوربين دام 2 مگ ديد در شب</t>
  </si>
  <si>
    <t>دوربين بالت ديد در شب</t>
  </si>
  <si>
    <t>دوربين بالت دو مگ ديد درشب HDCVI</t>
  </si>
  <si>
    <t>در تاریخ 06/12/1401 از تعمیر برگشت</t>
  </si>
  <si>
    <t>H9IWDV018582</t>
  </si>
  <si>
    <t>IP Camera HIKVISION DS2CD1143G0L</t>
  </si>
  <si>
    <t>Radio Mikrotik SQ</t>
  </si>
  <si>
    <t>Radio Mikrotik QRT</t>
  </si>
  <si>
    <t>Switch Tp-link 8port-POE DGS1008A</t>
  </si>
  <si>
    <t>Switch 8Port Cisco 3560</t>
  </si>
  <si>
    <t xml:space="preserve">رک 4 یونیت </t>
  </si>
  <si>
    <t xml:space="preserve">نصب شده در اتاق نگهبانی انبار 4 هکتاری </t>
  </si>
  <si>
    <t>از مسعود صداقت تحویل گرفته شد و به تهران ارسال شد</t>
  </si>
  <si>
    <t>مودم ASUS N12E</t>
  </si>
  <si>
    <t>هارد اكسترنال 3 TB</t>
  </si>
  <si>
    <t>دستگاه اثر انگشت</t>
  </si>
  <si>
    <t>دوربين VANDULPROOF</t>
  </si>
  <si>
    <t>Copy Toshiba eStudio 2010ac</t>
  </si>
  <si>
    <t>هارد اکسترنال 1ترابایت</t>
  </si>
  <si>
    <t>قفل USB پرنیان 10</t>
  </si>
  <si>
    <t>C100G04397</t>
  </si>
  <si>
    <t>FCH102688DC</t>
  </si>
  <si>
    <t>تحویلی از علی رضایی</t>
  </si>
  <si>
    <t>SW Cisco 2960 poe 48port</t>
  </si>
  <si>
    <t>سرور DL380 G9 8SFF USED</t>
  </si>
  <si>
    <t xml:space="preserve">UPS Genesis B+6KVA </t>
  </si>
  <si>
    <t>واحد</t>
  </si>
  <si>
    <t>ایمنی</t>
  </si>
  <si>
    <t>دفتر فنی سیویل</t>
  </si>
  <si>
    <t>کنترل کیفیت</t>
  </si>
  <si>
    <t>مدیر سایت</t>
  </si>
  <si>
    <t>مالی - اداری</t>
  </si>
  <si>
    <t>علی دادگستر</t>
  </si>
  <si>
    <t>سرپرست اجرا</t>
  </si>
  <si>
    <t>محمد مشمولی</t>
  </si>
  <si>
    <t>نظارت سیویل</t>
  </si>
  <si>
    <t>محمد سرابی</t>
  </si>
  <si>
    <t>حبیب برازجانی</t>
  </si>
  <si>
    <t>سلمان یگانه</t>
  </si>
  <si>
    <t>قدرت الله جوان</t>
  </si>
  <si>
    <t>PUC1750072T</t>
  </si>
  <si>
    <t>حمیدرضا شاهمرادی</t>
  </si>
  <si>
    <t>GG153C3</t>
  </si>
  <si>
    <t>غلامحسین شمسی شهربابکی</t>
  </si>
  <si>
    <t>تحویل گیرنده اول</t>
  </si>
  <si>
    <t>شرکت</t>
  </si>
  <si>
    <t>کد شناسایی سیستم</t>
  </si>
  <si>
    <t>تحویل گیرنده دوم</t>
  </si>
  <si>
    <t>تحویل گیرنده -1</t>
  </si>
  <si>
    <t>تحویل گیرنده -2</t>
  </si>
  <si>
    <t>مسلم میدانی</t>
  </si>
  <si>
    <t>توسعه فولاد (362)</t>
  </si>
  <si>
    <t>LG 22"  22MP55HQ</t>
  </si>
  <si>
    <t>اسکنر</t>
  </si>
  <si>
    <t>ساسان انصاری</t>
  </si>
  <si>
    <t>سید جواد موسوی</t>
  </si>
  <si>
    <t>محسن صالحی</t>
  </si>
  <si>
    <t>صفدر رحیمی</t>
  </si>
  <si>
    <t>موبایل</t>
  </si>
  <si>
    <t>سیم کارت</t>
  </si>
  <si>
    <t>سالن کنفرانس نظارت</t>
  </si>
  <si>
    <t>خسرو بقایی</t>
  </si>
  <si>
    <t>مجتبی علی پور زارعی</t>
  </si>
  <si>
    <t>کامیار صدیقی</t>
  </si>
  <si>
    <t>محسن مومنی</t>
  </si>
  <si>
    <t>محسن رضوانی</t>
  </si>
  <si>
    <t>کاظم زلفی</t>
  </si>
  <si>
    <t>شهرام فروزان فر</t>
  </si>
  <si>
    <t>احمد قربانی</t>
  </si>
  <si>
    <t>علیرضا کبیری</t>
  </si>
  <si>
    <t>مراد عباسی زاده آوند</t>
  </si>
  <si>
    <t>علیرضا ستوده</t>
  </si>
  <si>
    <t>محسن اسدی</t>
  </si>
  <si>
    <t>حسن پروند</t>
  </si>
  <si>
    <t>علی کاظمی</t>
  </si>
  <si>
    <t>محمد سیاهکوهی</t>
  </si>
  <si>
    <t>اسکنر سنگان 32702250</t>
  </si>
  <si>
    <t>صادق ذاکری</t>
  </si>
  <si>
    <t>محمد قلی حافظی</t>
  </si>
  <si>
    <t>پلاتر</t>
  </si>
  <si>
    <t>امیرحسین مهاجرانی</t>
  </si>
  <si>
    <t>علی پروانه</t>
  </si>
  <si>
    <t>جواد نژاد بیگلری</t>
  </si>
  <si>
    <t>علی بلوردی</t>
  </si>
  <si>
    <t>عباس چوبینه</t>
  </si>
  <si>
    <t>بهنام عباس پور</t>
  </si>
  <si>
    <t xml:space="preserve">علی خسرونیا </t>
  </si>
  <si>
    <t>نرگس محمود آبادی</t>
  </si>
  <si>
    <t>محمد نقدی</t>
  </si>
  <si>
    <t>اسماعیل امیدی نرگس</t>
  </si>
  <si>
    <t>نبی الله میرزایی</t>
  </si>
  <si>
    <t xml:space="preserve"> غلامرضا دیندارلو</t>
  </si>
  <si>
    <t>محمد مهدی میرزایی</t>
  </si>
  <si>
    <t>محمد هادی صفاری</t>
  </si>
  <si>
    <t>عقیل کی منش</t>
  </si>
  <si>
    <t>محمدرضا حاجی زاده</t>
  </si>
  <si>
    <t>مینا تبریزی</t>
  </si>
  <si>
    <t>محسن علی آبادی پور</t>
  </si>
  <si>
    <t>علیرضا علیپور</t>
  </si>
  <si>
    <t>سامان سپهوار</t>
  </si>
  <si>
    <t>داود بویری</t>
  </si>
  <si>
    <t>ایمان قراچورلو</t>
  </si>
  <si>
    <t>فرشاد نوروزی نژاد</t>
  </si>
  <si>
    <t>فرزاد عباسی</t>
  </si>
  <si>
    <t>نیما خسروپور</t>
  </si>
  <si>
    <t>محمد هادی طاهرخانی</t>
  </si>
  <si>
    <t>حمید افرادی</t>
  </si>
  <si>
    <t>سهیل عبداللهی</t>
  </si>
  <si>
    <t>اسماعیل ملکی</t>
  </si>
  <si>
    <t>سعید زندی</t>
  </si>
  <si>
    <t>سنا متین زاده</t>
  </si>
  <si>
    <t>میثم فتحی زاده</t>
  </si>
  <si>
    <t>آرمان فرخ</t>
  </si>
  <si>
    <t>مهدی تارازی</t>
  </si>
  <si>
    <t>مجتبی حسام پور</t>
  </si>
  <si>
    <t>هومن یوسفی</t>
  </si>
  <si>
    <t>الهام گنجی</t>
  </si>
  <si>
    <t>مسلم آذرافزا</t>
  </si>
  <si>
    <t>زهرا شهسواری پور</t>
  </si>
  <si>
    <t>مهدی حسینی فر</t>
  </si>
  <si>
    <t>کریم اسکندری</t>
  </si>
  <si>
    <t>نظارت توسعه فولاد (362)</t>
  </si>
  <si>
    <t>محمد باجلان</t>
  </si>
  <si>
    <t>منصور فرهادی</t>
  </si>
  <si>
    <t>مصطفی بهاری</t>
  </si>
  <si>
    <t>اسماعیل امینی زاده</t>
  </si>
  <si>
    <t>کیوان پژوتن</t>
  </si>
  <si>
    <t>فرهنگ عباسی</t>
  </si>
  <si>
    <t xml:space="preserve">محمد رضا عبادی </t>
  </si>
  <si>
    <t>امیرحسین قاسمی کرم</t>
  </si>
  <si>
    <t>اصغر بهرامی سامانی</t>
  </si>
  <si>
    <t>محمد رضا اردهی</t>
  </si>
  <si>
    <t>اشکان خلیلی مقدم</t>
  </si>
  <si>
    <t>بهنام رحيمي</t>
  </si>
  <si>
    <t>بارکدخوان</t>
  </si>
  <si>
    <t>سيد حسين احسايي</t>
  </si>
  <si>
    <t>افشین دهقان</t>
  </si>
  <si>
    <t>رضا رئیسی</t>
  </si>
  <si>
    <t>کوروش صادقیان</t>
  </si>
  <si>
    <t>علیرضا جاوید</t>
  </si>
  <si>
    <t>حمید افشاری</t>
  </si>
  <si>
    <t>رسول مردانی</t>
  </si>
  <si>
    <t>خراسانی</t>
  </si>
  <si>
    <t>حراست فکور توسعه فولاد (362)</t>
  </si>
  <si>
    <t>CISCO CP-6945</t>
  </si>
  <si>
    <t>باسکول توسعه فولاد (362)</t>
  </si>
  <si>
    <t>سوییچ</t>
  </si>
  <si>
    <t>نصب شده کانکس روی تپه کنار SNP</t>
  </si>
  <si>
    <t>حسن قشم پور</t>
  </si>
  <si>
    <t>آشپزخانه توسعه فولاد (362)</t>
  </si>
  <si>
    <t>دوربین</t>
  </si>
  <si>
    <t>رادیو</t>
  </si>
  <si>
    <t>اتاق سرور توسعه فولاد (362)</t>
  </si>
  <si>
    <t>رک</t>
  </si>
  <si>
    <t>پنل کنترل سرمایشی</t>
  </si>
  <si>
    <t>حراست درب 1 توسعه فولاد (362)</t>
  </si>
  <si>
    <t>مهمانسرا کارفرما توسعه فولاد (362)</t>
  </si>
  <si>
    <t>بهداری توسعه فولاد (362)</t>
  </si>
  <si>
    <t>حسن دلاوری</t>
  </si>
  <si>
    <t>محمدجوادخواجویی نژاد</t>
  </si>
  <si>
    <t>کارفرما توسعه فولاد (362)</t>
  </si>
  <si>
    <t>پیام رضایی</t>
  </si>
  <si>
    <t>رضا عوض پور</t>
  </si>
  <si>
    <t>نصب شده در کانکس ایمنی</t>
  </si>
  <si>
    <t>هادی رضاخانی</t>
  </si>
  <si>
    <t>آهک توسعه فولاد (362)</t>
  </si>
  <si>
    <t>Voip</t>
  </si>
  <si>
    <t>گهرزمین (290)</t>
  </si>
  <si>
    <t>NVR MVTECH + 1TB HDD</t>
  </si>
  <si>
    <t>محمد علی قویدل</t>
  </si>
  <si>
    <t>Canon SX600HS-16 MP+کیف+مموری 16 گیگ</t>
  </si>
  <si>
    <t>سودابه روح الامینی</t>
  </si>
  <si>
    <t>رک ایمنی گهرزمین (290)</t>
  </si>
  <si>
    <t>سوییچ نصب شده در رک اتاق ایمنی</t>
  </si>
  <si>
    <t>اسکندر رحمانیان</t>
  </si>
  <si>
    <t>اتاق سرور گهرزمین (290)</t>
  </si>
  <si>
    <t>فایروال</t>
  </si>
  <si>
    <t>استوریج</t>
  </si>
  <si>
    <t>تحویلی از سمت آی تی نبوده - موجود نیست</t>
  </si>
  <si>
    <t>علیرضا باریکانی</t>
  </si>
  <si>
    <t>پلیکام (394)</t>
  </si>
  <si>
    <t>Camera Canon SX280HS+كيف+مموري 8 گيگابايت+ باتري و شارژر</t>
  </si>
  <si>
    <t>یعقوب دکمائی</t>
  </si>
  <si>
    <t>نظارت کارفرما پلیکام (394)</t>
  </si>
  <si>
    <t>سهراب تیموری</t>
  </si>
  <si>
    <t>محمد طاهری ایمنی</t>
  </si>
  <si>
    <t>محسن ایوب زاده</t>
  </si>
  <si>
    <t>حجت عظیمی  قایکانی</t>
  </si>
  <si>
    <t>محمد یغمایی</t>
  </si>
  <si>
    <t>یاسر خشنود</t>
  </si>
  <si>
    <t>مهدی اتش برگ</t>
  </si>
  <si>
    <t>عرفان میدانی</t>
  </si>
  <si>
    <t>مجتبی زینعلی</t>
  </si>
  <si>
    <t>قاسم دلفانی</t>
  </si>
  <si>
    <t>مهران سینایی پور</t>
  </si>
  <si>
    <t>علی عباسی</t>
  </si>
  <si>
    <t>فرهاد سوخک</t>
  </si>
  <si>
    <t>بهمن بیات</t>
  </si>
  <si>
    <t>مهدی دهیادگاری</t>
  </si>
  <si>
    <t xml:space="preserve">Camera Raster RS-IP4500DA2 </t>
  </si>
  <si>
    <t>نصب شده بالای سر دستگاه ساعت زنی</t>
  </si>
  <si>
    <t>میثم فراهانی</t>
  </si>
  <si>
    <t>اکسس پوینت</t>
  </si>
  <si>
    <t>نصب شده داخل رک شبکه</t>
  </si>
  <si>
    <t>انبار پلیکام (394)</t>
  </si>
  <si>
    <t xml:space="preserve">موجود نیست </t>
  </si>
  <si>
    <t>کوروش افشین</t>
  </si>
  <si>
    <t>رضا بیرق دار</t>
  </si>
  <si>
    <t>حامد قدوسی</t>
  </si>
  <si>
    <t>کرامت حاج محمدی</t>
  </si>
  <si>
    <t>اصغر شهبا</t>
  </si>
  <si>
    <t>ثامر یوسفیان</t>
  </si>
  <si>
    <t>علی عزیزی</t>
  </si>
  <si>
    <t>رضا بیرق دار - دفتر معقولی</t>
  </si>
  <si>
    <t>امیر پسندی پور</t>
  </si>
  <si>
    <t>محمود حسینی امیر کنده</t>
  </si>
  <si>
    <t>مهبد تاتاری</t>
  </si>
  <si>
    <t>مهدی شهبا</t>
  </si>
  <si>
    <t>حمید کسایی</t>
  </si>
  <si>
    <t>احسان اذرنگ</t>
  </si>
  <si>
    <t>دکتر رضا پورشهسواری</t>
  </si>
  <si>
    <t>فرهاد سالاری</t>
  </si>
  <si>
    <t>علی استادیان</t>
  </si>
  <si>
    <t>بهنام معقولی</t>
  </si>
  <si>
    <t>اصغر راد نژاد</t>
  </si>
  <si>
    <t>علی جوانمرد</t>
  </si>
  <si>
    <t>پورنگ خرم آبادی زاد</t>
  </si>
  <si>
    <t>علیرضا کاویان پور</t>
  </si>
  <si>
    <t>ابراهیم خواجویی</t>
  </si>
  <si>
    <t>هادی مقصودی مقدم</t>
  </si>
  <si>
    <t xml:space="preserve">officejet 7110 HP </t>
  </si>
  <si>
    <t>نام کاربری</t>
  </si>
  <si>
    <t>واحد مربوطه</t>
  </si>
  <si>
    <t>کد ملی</t>
  </si>
  <si>
    <t>فکورصنعت</t>
  </si>
  <si>
    <t>سرپرست واحد اکسیژن</t>
  </si>
  <si>
    <t>نقشه برداری</t>
  </si>
  <si>
    <t>اداری</t>
  </si>
  <si>
    <t>کارمند اداری آهک</t>
  </si>
  <si>
    <t>ابزار دقیق</t>
  </si>
  <si>
    <t>سرپرست آی تی</t>
  </si>
  <si>
    <t>ماشین آلات سنگین</t>
  </si>
  <si>
    <t>مهرفام</t>
  </si>
  <si>
    <t>اجرا</t>
  </si>
  <si>
    <t>دفتر فنی</t>
  </si>
  <si>
    <t>سرپرست واحد آهک</t>
  </si>
  <si>
    <t>حراست توسعه</t>
  </si>
  <si>
    <t>آزمایشگاه</t>
  </si>
  <si>
    <t>تردد اداری</t>
  </si>
  <si>
    <t>مکانیک</t>
  </si>
  <si>
    <t>812</t>
  </si>
  <si>
    <t>سرپرست امور قراردادها</t>
  </si>
  <si>
    <t>نظارت سیویل و سازه</t>
  </si>
  <si>
    <t>رئیس دفتر فنی</t>
  </si>
  <si>
    <t>سرپرست واحد تصفیه آب</t>
  </si>
  <si>
    <t>100550</t>
  </si>
  <si>
    <t>پایپینگ</t>
  </si>
  <si>
    <t>100552</t>
  </si>
  <si>
    <t>کاربین طرح</t>
  </si>
  <si>
    <t>100524</t>
  </si>
  <si>
    <t>سرپرست دفتر فنی سازه</t>
  </si>
  <si>
    <t>مدیر سایت توسعه</t>
  </si>
  <si>
    <t>توسعه فولاد (362)-گهرزمین (290)</t>
  </si>
  <si>
    <t>جاسم شهابی</t>
  </si>
  <si>
    <t>243</t>
  </si>
  <si>
    <t>معاون پروژه ها</t>
  </si>
  <si>
    <t>استراکچر</t>
  </si>
  <si>
    <t>هماهنگ کننده پروژه</t>
  </si>
  <si>
    <t>نظارت مکانیک</t>
  </si>
  <si>
    <t>معاون اجرایی مدیر سایت</t>
  </si>
  <si>
    <t>علی خسرونیا</t>
  </si>
  <si>
    <t>رئیس ناحیه انرژی و تاسیسات جانبی</t>
  </si>
  <si>
    <t>100521</t>
  </si>
  <si>
    <t>دفتر فنی پایپینگ</t>
  </si>
  <si>
    <t>سرمایه های انسانی</t>
  </si>
  <si>
    <t>امورقراردادها</t>
  </si>
  <si>
    <t>100519</t>
  </si>
  <si>
    <t>4011101</t>
  </si>
  <si>
    <t>سرپرست واحد کوره ها و گاززدا</t>
  </si>
  <si>
    <t>مسئول خوابگاه کمپ کارگری</t>
  </si>
  <si>
    <t>مسئول خرید</t>
  </si>
  <si>
    <t>نظارت مکانیک و پایپینگ</t>
  </si>
  <si>
    <t>100530</t>
  </si>
  <si>
    <t>100528</t>
  </si>
  <si>
    <t>100547</t>
  </si>
  <si>
    <t>مکانیک پایپینگ</t>
  </si>
  <si>
    <t>100553</t>
  </si>
  <si>
    <t>سرپرست پشتیبانی</t>
  </si>
  <si>
    <t>رئیس امور قراردادها</t>
  </si>
  <si>
    <t>100555</t>
  </si>
  <si>
    <t>100548</t>
  </si>
  <si>
    <t>دفتر فنی مکانیک</t>
  </si>
  <si>
    <t>100556</t>
  </si>
  <si>
    <t>100549</t>
  </si>
  <si>
    <t>20399</t>
  </si>
  <si>
    <t>100557</t>
  </si>
  <si>
    <t>685</t>
  </si>
  <si>
    <t>دفتر فنی سازه</t>
  </si>
  <si>
    <t>100541</t>
  </si>
  <si>
    <t>ایمنی - آهک</t>
  </si>
  <si>
    <t>4010903</t>
  </si>
  <si>
    <t>20575</t>
  </si>
  <si>
    <t>سرپرست تاسیسات</t>
  </si>
  <si>
    <t xml:space="preserve">کارشناس اداره کار </t>
  </si>
  <si>
    <t>100558</t>
  </si>
  <si>
    <t>مشاور کارفرما</t>
  </si>
  <si>
    <t>راه اندازی</t>
  </si>
  <si>
    <t>مدیر نظارت</t>
  </si>
  <si>
    <t>مدیر ایمنی کارفرما</t>
  </si>
  <si>
    <t>خدمات آبدارخانه</t>
  </si>
  <si>
    <t>خدمات آبدارخانه فکور</t>
  </si>
  <si>
    <t>آتش نشانی</t>
  </si>
  <si>
    <t>رئیس تامین تجهیزات برق</t>
  </si>
  <si>
    <t>نگهبان آهک</t>
  </si>
  <si>
    <t>سرپرست کنترل پروژه</t>
  </si>
  <si>
    <t>مدیر سایت گهرزمین</t>
  </si>
  <si>
    <t>فولاد گسترش</t>
  </si>
  <si>
    <t>سرپرست کارگاه</t>
  </si>
  <si>
    <t>مدیر پروژه گهرزمین</t>
  </si>
  <si>
    <t>0</t>
  </si>
  <si>
    <t>پشتیبانی</t>
  </si>
  <si>
    <t>کارشناس فرآیند دفتر تهران</t>
  </si>
  <si>
    <t>772</t>
  </si>
  <si>
    <t>نظارت برق</t>
  </si>
  <si>
    <t>نظارت سازه</t>
  </si>
  <si>
    <t>آشیان آرا</t>
  </si>
  <si>
    <t xml:space="preserve">سرپرست مهندسی پروژه </t>
  </si>
  <si>
    <t>سرپرست  کنترل پروژه</t>
  </si>
  <si>
    <t>مدیر پروژه</t>
  </si>
  <si>
    <t>سرپرست فنی پروژه</t>
  </si>
  <si>
    <t>گلفا (390)</t>
  </si>
  <si>
    <t>مدیرپروژه</t>
  </si>
  <si>
    <t>مسئول دفتر نظارت-بیرق دار</t>
  </si>
  <si>
    <t xml:space="preserve">سرپرست کارگاه کارفرما </t>
  </si>
  <si>
    <t>مدیر سایت گلفا</t>
  </si>
  <si>
    <t xml:space="preserve"> نظارت سازه</t>
  </si>
  <si>
    <t>سرپرست نظارت و اجرای سایت</t>
  </si>
  <si>
    <t>مسئول کنترل مدارک</t>
  </si>
  <si>
    <t xml:space="preserve">لیلا علائی </t>
  </si>
  <si>
    <t>20548</t>
  </si>
  <si>
    <t>BenQ 22" GW2270H</t>
  </si>
  <si>
    <t>PUC173209HJ</t>
  </si>
  <si>
    <t>نصب شده در خوابگاه سنایی جهت اینترنت</t>
  </si>
  <si>
    <t>MIKROTIK RB2011UAS-2HND</t>
  </si>
  <si>
    <t>419E0282B071/336</t>
  </si>
  <si>
    <t>2143624008521</t>
  </si>
  <si>
    <t>در تاریخ 1401/12/10 از تعمیر برگشت</t>
  </si>
  <si>
    <t>6AG00008065CNLK13046</t>
  </si>
  <si>
    <t>W1A28A</t>
  </si>
  <si>
    <t>4000808</t>
  </si>
  <si>
    <t>CNERQ1W3XW</t>
  </si>
  <si>
    <t>HP LASERJET 700</t>
  </si>
  <si>
    <t>PXN1528W2AK</t>
  </si>
  <si>
    <t>CNGRQ5R8R8</t>
  </si>
  <si>
    <t>HP 5225</t>
  </si>
  <si>
    <t>جهت تعمیر تحویل سروش کریمی شده</t>
  </si>
  <si>
    <t>0714002208012521</t>
  </si>
  <si>
    <t>مانیتور قبلی کاظم زلفی - روشن نمیشود</t>
  </si>
  <si>
    <t>100563</t>
  </si>
  <si>
    <t xml:space="preserve">دفتر فنی مکانیک </t>
  </si>
  <si>
    <t>PXN1528W2RO</t>
  </si>
  <si>
    <t>I5</t>
  </si>
  <si>
    <t>دستگاه کپی</t>
  </si>
  <si>
    <t>حمید رضا مصلحی</t>
  </si>
  <si>
    <t>PXN1528VT3X</t>
  </si>
  <si>
    <t>ایمان شرقانی</t>
  </si>
  <si>
    <t>0722006012072824</t>
  </si>
  <si>
    <t>G41-SSD-6GB</t>
  </si>
  <si>
    <t>0705024403003647</t>
  </si>
  <si>
    <t>در تاریخ 1401/12/20 از تعمیر برگشت</t>
  </si>
  <si>
    <t>رک دیواری عمق 60</t>
  </si>
  <si>
    <t>رک دیواری عمق 90</t>
  </si>
  <si>
    <t>نظارت کارفرما گلفا (390)</t>
  </si>
  <si>
    <t>1258</t>
  </si>
  <si>
    <t>کافی نت گلفا (390)</t>
  </si>
  <si>
    <t>انبار گلفا (390)</t>
  </si>
  <si>
    <t>کیس جهت استفاده کافی نت گلفا</t>
  </si>
  <si>
    <t>جهت استفاده وای فای پشت میز مسئول دفتر</t>
  </si>
  <si>
    <t>انبار روباز گلفا (390)</t>
  </si>
  <si>
    <t>نصب شده در انبار رو باز گلفا 390</t>
  </si>
  <si>
    <t>لینک دکل گلفا (390)</t>
  </si>
  <si>
    <t>لینک دکل گلفا - ساختمان فکور</t>
  </si>
  <si>
    <t>نصب در ساختمان گهر روش</t>
  </si>
  <si>
    <t>کارفرما گلفا (390)</t>
  </si>
  <si>
    <t>نصب در ساختمان کارفرما</t>
  </si>
  <si>
    <t>نصب در ورودی اداری فکور</t>
  </si>
  <si>
    <t>نصب در رک دیواری ورودی اداری گلفا - فگور</t>
  </si>
  <si>
    <t>سيستم تقويت كننده ومبدل موبايل</t>
  </si>
  <si>
    <t>مدل GR 280F با آنتن ياگي</t>
  </si>
  <si>
    <t>نصب جهت تقویت آنتن</t>
  </si>
  <si>
    <t>حراست گلفا (390)</t>
  </si>
  <si>
    <t>طبق گفته افشین موجود نیست</t>
  </si>
  <si>
    <t>حراست کارفرما گلفا (390)</t>
  </si>
  <si>
    <t>تحویل کارفرما</t>
  </si>
  <si>
    <t>اداری - پشتیبانی</t>
  </si>
  <si>
    <t>هادی دهقانی</t>
  </si>
  <si>
    <t>فولاد اسرار</t>
  </si>
  <si>
    <t>نماینده شرکت فولاد اسرار</t>
  </si>
  <si>
    <t>امیر ژاله نادری</t>
  </si>
  <si>
    <t>امیر علی انتظاری</t>
  </si>
  <si>
    <t>امیرحسین پورزمان</t>
  </si>
  <si>
    <t>آرش آذرپور</t>
  </si>
  <si>
    <t>علی بدیعیان</t>
  </si>
  <si>
    <t>حسین مرادی</t>
  </si>
  <si>
    <t>ابوالفضل بخش آبادی</t>
  </si>
  <si>
    <t>محمد رضا خراشادیزاده</t>
  </si>
  <si>
    <t>حمید معظمی افشار</t>
  </si>
  <si>
    <t>علی روانفر</t>
  </si>
  <si>
    <t>علی راستگو</t>
  </si>
  <si>
    <t>محسن پورعیدی</t>
  </si>
  <si>
    <t>دلاور کسرایی</t>
  </si>
  <si>
    <t>حسن رضا آهمند</t>
  </si>
  <si>
    <t>علیرضا جلالی</t>
  </si>
  <si>
    <t>محمود پسندیده</t>
  </si>
  <si>
    <t>قادر عبدشاهی</t>
  </si>
  <si>
    <t>تربت حیدریه (439)</t>
  </si>
  <si>
    <t>مسعود حسین زاده</t>
  </si>
  <si>
    <t>کد سنگان قبلی 32700805</t>
  </si>
  <si>
    <t>HP M1214</t>
  </si>
  <si>
    <t>کد سنگان قبلی 32701770</t>
  </si>
  <si>
    <t>کد سنگان قبلی 32700778</t>
  </si>
  <si>
    <t>Canon LBP6000</t>
  </si>
  <si>
    <t>مخصوص استفاده پرسنل دفتر تهران</t>
  </si>
  <si>
    <t>کد سنگان قبلی 32700803</t>
  </si>
  <si>
    <t>سالن کنفرانس تربت حیدریه(439)</t>
  </si>
  <si>
    <t>نصب در سالن کنفرانس فکور</t>
  </si>
  <si>
    <t>کد سنگان قبلی 32702865</t>
  </si>
  <si>
    <t>جهت استفاده اتاق سرور</t>
  </si>
  <si>
    <t>کد سنگان قبلی 32701875(جهت استفاده دوربین ها)</t>
  </si>
  <si>
    <t>اتاق سرور تربت حیدریه(439)</t>
  </si>
  <si>
    <t>انبار تربت حیدریه (439)</t>
  </si>
  <si>
    <t>مخابرات تربت حیدریه (439)</t>
  </si>
  <si>
    <t>اتاق سرور تربت حیدریه (439)</t>
  </si>
  <si>
    <t>کد سنگان قبلی 32700746</t>
  </si>
  <si>
    <r>
      <t xml:space="preserve">استفاده در </t>
    </r>
    <r>
      <rPr>
        <b/>
        <sz val="14"/>
        <color rgb="FFFF0000"/>
        <rFont val="Calibri"/>
        <family val="2"/>
        <scheme val="minor"/>
      </rPr>
      <t>مخابرات رباط سنگ تربت حیدریه</t>
    </r>
    <r>
      <rPr>
        <b/>
        <sz val="14"/>
        <color rgb="FF002060"/>
        <rFont val="Calibri"/>
        <family val="2"/>
        <scheme val="minor"/>
      </rPr>
      <t xml:space="preserve"> </t>
    </r>
  </si>
  <si>
    <t>جهت استفاده سالن کنفرانس</t>
  </si>
  <si>
    <t>خوابگاه تربت حیدریه (439)</t>
  </si>
  <si>
    <t>پنل خورشیدی</t>
  </si>
  <si>
    <t>پیشگام نیرو</t>
  </si>
  <si>
    <t>ابراهیم امیری</t>
  </si>
  <si>
    <t>مسئول دفتر مدیر سایت</t>
  </si>
  <si>
    <t>مدیریت پروژه</t>
  </si>
  <si>
    <t>مسئول امور مالی</t>
  </si>
  <si>
    <t>حراست</t>
  </si>
  <si>
    <t>سرپرست مهندسی پروژه</t>
  </si>
  <si>
    <t>سرپرست برنامه ریزی و کنترل پروژه</t>
  </si>
  <si>
    <t>خوشنام نیرو</t>
  </si>
  <si>
    <t>GG154C3</t>
  </si>
  <si>
    <t>GG158C3</t>
  </si>
  <si>
    <t>شاهین میکائیلی</t>
  </si>
  <si>
    <t>محمد علی عباسی</t>
  </si>
  <si>
    <t>نادر بیدگلی</t>
  </si>
  <si>
    <t>رامین امیر خانی</t>
  </si>
  <si>
    <t>سارایه</t>
  </si>
  <si>
    <t>AMD</t>
  </si>
  <si>
    <t>احمد اوصیا</t>
  </si>
  <si>
    <t>جواد فیروز آبادی</t>
  </si>
  <si>
    <t>یاسر خشنود-جهت نصب در خیریه داراب</t>
  </si>
  <si>
    <t>قربانی</t>
  </si>
  <si>
    <t>مدیر پروژه راه اندازی  فرزان</t>
  </si>
  <si>
    <t>0722014203039252</t>
  </si>
  <si>
    <t>0JBFA021102</t>
  </si>
  <si>
    <t>0711013311024865</t>
  </si>
  <si>
    <t>BenQ 20"GL2023A</t>
  </si>
  <si>
    <t>نصب شده در اتاق آی تی</t>
  </si>
  <si>
    <t>0714001208005226</t>
  </si>
  <si>
    <t>H110-G4400</t>
  </si>
  <si>
    <t>0698014204006918</t>
  </si>
  <si>
    <t>خرامه (392)</t>
  </si>
  <si>
    <t>سرپرست انبار</t>
  </si>
  <si>
    <t>حسن عبدی</t>
  </si>
  <si>
    <t>عباس علی نیک سرشت</t>
  </si>
  <si>
    <t>محمد مهدی امیری</t>
  </si>
  <si>
    <t>فرهنگ فرنیا</t>
  </si>
  <si>
    <t>علی رضایی</t>
  </si>
  <si>
    <t>علی مداحی</t>
  </si>
  <si>
    <t>مصطفی پورباقری</t>
  </si>
  <si>
    <t>رضا ایزدی</t>
  </si>
  <si>
    <t>عباس ایرانی</t>
  </si>
  <si>
    <t>ابوذر همتی</t>
  </si>
  <si>
    <t>OPTIMA M645 X</t>
  </si>
  <si>
    <t>Samsung 19" 1943NWX</t>
  </si>
  <si>
    <t>کد قبلی سنگان 32702837</t>
  </si>
  <si>
    <t>LG 20" 20EN33s</t>
  </si>
  <si>
    <t>Samsung 19" E1945NX</t>
  </si>
  <si>
    <t>0690017204066495</t>
  </si>
  <si>
    <t>0686004012063395</t>
  </si>
  <si>
    <t>خوابگاه خرامه (392)</t>
  </si>
  <si>
    <t>قفل پرنیان</t>
  </si>
  <si>
    <t>آبدارخانه خرامه (392)</t>
  </si>
  <si>
    <t>باسکول درب خروجی خرامه (392)</t>
  </si>
  <si>
    <t>نصب شده جهت استفاده باسکول</t>
  </si>
  <si>
    <t>کانکس رانندگان خرامه (392)</t>
  </si>
  <si>
    <t>(جهت ارتباط شبکه کانکس رانندگان و بهداری)</t>
  </si>
  <si>
    <t>انبار روباز خرامه (392)</t>
  </si>
  <si>
    <t>نصب در انبار</t>
  </si>
  <si>
    <t>TV LG</t>
  </si>
  <si>
    <t>TV Samsung</t>
  </si>
  <si>
    <t>TV Gplus</t>
  </si>
  <si>
    <t>کد قبلی سنگان 32702411</t>
  </si>
  <si>
    <t>اتاق مدیریت پروژه کارفرما خرامه (392)</t>
  </si>
  <si>
    <t>اتاق مدیر عامل کارفرما خرامه (392)</t>
  </si>
  <si>
    <t>سالن کنفرانس کارفرما خرامه (392)</t>
  </si>
  <si>
    <t>جهت انتقال خطوط تلفن آنالوگ-دارای کد اموال ماشین سازی</t>
  </si>
  <si>
    <t>مختوم شده</t>
  </si>
  <si>
    <t xml:space="preserve">LG 19" E1940S </t>
  </si>
  <si>
    <t xml:space="preserve">0308006412008271 </t>
  </si>
  <si>
    <t>NVR-UNV-301-04S3-دستگاه ضبط تصاوير</t>
  </si>
  <si>
    <t xml:space="preserve">702STUM37577 </t>
  </si>
  <si>
    <t xml:space="preserve">605STVR38405 </t>
  </si>
  <si>
    <t>D8740D81A9E0</t>
  </si>
  <si>
    <t>HCM08FSTTES</t>
  </si>
  <si>
    <t>انبار - داغی</t>
  </si>
  <si>
    <t>اعلام داغی</t>
  </si>
  <si>
    <t>ساسان شجاعت</t>
  </si>
  <si>
    <t>اصغر صیاد</t>
  </si>
  <si>
    <t>اتاق سرور خرامه (392)</t>
  </si>
  <si>
    <t>انبار آی تی خرامه (392)</t>
  </si>
  <si>
    <t>رک ساختمان مشاور خرامه (392)</t>
  </si>
  <si>
    <t>رک ساختمان کارفرما خرامه (392)</t>
  </si>
  <si>
    <t>رک آشپزخانه خرامه (392)</t>
  </si>
  <si>
    <t>ساختمان کارفرما خرامه (392)</t>
  </si>
  <si>
    <t>انبار خرامه (392)</t>
  </si>
  <si>
    <t>پیمانکار ساخت خوابگاه خرامه (392)</t>
  </si>
  <si>
    <t>آمپلی فایر</t>
  </si>
  <si>
    <t>داخل کمد اتاق سرور-SW18C12</t>
  </si>
  <si>
    <t xml:space="preserve">نصب در خوابگاه حراست-کد سنگان 32702721 </t>
  </si>
  <si>
    <t>حسام رصاف</t>
  </si>
  <si>
    <t>سالن جلسات فکور خرامه (392)</t>
  </si>
  <si>
    <t>سالن جلسات کارفرما خرامه (392)</t>
  </si>
  <si>
    <t>سالن همایش خرامه (392)</t>
  </si>
  <si>
    <t>مشاور و کارفرما</t>
  </si>
  <si>
    <t>مسئول دفتر مدیرعامل</t>
  </si>
  <si>
    <t>حامد روستا</t>
  </si>
  <si>
    <t>احمد علی دهقان</t>
  </si>
  <si>
    <t>محمد آزادگان</t>
  </si>
  <si>
    <t>سالن کنفرانس نظارت کارفرما</t>
  </si>
  <si>
    <t>کیان ایزدی</t>
  </si>
  <si>
    <t>امور مالی کارفرما</t>
  </si>
  <si>
    <t xml:space="preserve">هیئت مدیره کارفرما </t>
  </si>
  <si>
    <t>سجاد اسماعیلی</t>
  </si>
  <si>
    <t>آبدارخانه مشاور کارفرما</t>
  </si>
  <si>
    <t>مجتبی جعفری</t>
  </si>
  <si>
    <t>امین ایزدی</t>
  </si>
  <si>
    <t>0686004012063470</t>
  </si>
  <si>
    <t>Cisco Tell</t>
  </si>
  <si>
    <t>0175002910008854</t>
  </si>
  <si>
    <t>0175002910009666</t>
  </si>
  <si>
    <t>0686004012062743</t>
  </si>
  <si>
    <t>0175002910009659</t>
  </si>
  <si>
    <t>0722010109000463</t>
  </si>
  <si>
    <t>0175002910010601</t>
  </si>
  <si>
    <t xml:space="preserve">0175002910008949 </t>
  </si>
  <si>
    <t xml:space="preserve">0175002910008948 </t>
  </si>
  <si>
    <t>0175002910008852</t>
  </si>
  <si>
    <t>0722007103005739</t>
  </si>
  <si>
    <t>0722003009031119</t>
  </si>
  <si>
    <t>0722014203039038</t>
  </si>
  <si>
    <t>01722012109030089</t>
  </si>
  <si>
    <t>All in One</t>
  </si>
  <si>
    <t>0722010105062891</t>
  </si>
  <si>
    <t>0686002011056944</t>
  </si>
  <si>
    <t>بلندگوي ديواري به همراه پايه</t>
  </si>
  <si>
    <t>Wall Mount Speaker</t>
  </si>
  <si>
    <t>آبدارخانه کارفرما (392)</t>
  </si>
  <si>
    <t>به همراه کیبرد موس بیسیم</t>
  </si>
  <si>
    <t>قبلا تحویل محمد آزادگان بوده-مشخص بشه تحویل کی شده</t>
  </si>
  <si>
    <t>مشخص شود</t>
  </si>
  <si>
    <t>کارفرما خرامه (392)</t>
  </si>
  <si>
    <t>رک کارفرما خرامه (392)</t>
  </si>
  <si>
    <t>محسن سپاهان فرد</t>
  </si>
  <si>
    <t>ارسال به دوربین خوابگاه بردسیر</t>
  </si>
  <si>
    <t>انبار منطقه ای سیرجان</t>
  </si>
  <si>
    <t>0686004012063474</t>
  </si>
  <si>
    <t>نگهبانی انبار منطقه ای سیرجان</t>
  </si>
  <si>
    <t>رک انبار منطقه ای سیرجان</t>
  </si>
  <si>
    <t>موجودی انبار منطقه ای مربوط به آی تی</t>
  </si>
  <si>
    <t>مطابق صورتجلسه ضایعات شده</t>
  </si>
  <si>
    <t>مطابق صورتجلسه تحویل کاظم برزمند شده</t>
  </si>
  <si>
    <t>شرکت ماندرو</t>
  </si>
  <si>
    <t>خسرو خسروی</t>
  </si>
  <si>
    <t>نگهبانی</t>
  </si>
  <si>
    <t>زهرا نصرت آبادی</t>
  </si>
  <si>
    <t>امین خراسانی(نگهبانی)</t>
  </si>
  <si>
    <t>امین خراسانی</t>
  </si>
  <si>
    <t>امیر علی محمدی</t>
  </si>
  <si>
    <t>پیمانکار</t>
  </si>
  <si>
    <t>مدیر سایت مرکز تحقیقات</t>
  </si>
  <si>
    <t>مدیر پروژه مرکز تحقیقات</t>
  </si>
  <si>
    <t>مینا سالاری</t>
  </si>
  <si>
    <t>اسماعیل زید آبادی نژاد</t>
  </si>
  <si>
    <t>عبدالحمید بقائی</t>
  </si>
  <si>
    <t>محمود سلطانی زاده</t>
  </si>
  <si>
    <t>جابر زیدآبادی نژاد</t>
  </si>
  <si>
    <t>اصغر قنبری</t>
  </si>
  <si>
    <t>سایت مرکز تحقیقات (438)</t>
  </si>
  <si>
    <t>مهدی قاسمی افشار</t>
  </si>
  <si>
    <t>مهدی فیضی قوغان</t>
  </si>
  <si>
    <t>رئیس اجرائی پروژه</t>
  </si>
  <si>
    <t>0722009112322105</t>
  </si>
  <si>
    <t xml:space="preserve"> CANON MF3010</t>
  </si>
  <si>
    <t>کد قبلی سنگان 32702356</t>
  </si>
  <si>
    <t>053000290316788</t>
  </si>
  <si>
    <t>0666003011059242</t>
  </si>
  <si>
    <t>سالن کنفرانس سایت مرکز تحقیقات (438)</t>
  </si>
  <si>
    <t>32700857 کد قبلی سنگان</t>
  </si>
  <si>
    <t>روح الله جمالی</t>
  </si>
  <si>
    <t>نگهبانی سایت مرکز تحقیقات (438)</t>
  </si>
  <si>
    <t>دستگاه کارت ساعت</t>
  </si>
  <si>
    <t>نصب در نگهبانی</t>
  </si>
  <si>
    <t>اتاق سرور سایت مرکز تحقیقات (438)</t>
  </si>
  <si>
    <t>نصب در اتاق سرور</t>
  </si>
  <si>
    <t>IP : 172.16.27.202 + نصب شده در پروژه</t>
  </si>
  <si>
    <t xml:space="preserve">32700713 کد قبلی  سنگان </t>
  </si>
  <si>
    <t>iFace 202</t>
  </si>
  <si>
    <t>774963460016</t>
  </si>
  <si>
    <t>نصب شده در رک پارکینگ</t>
  </si>
  <si>
    <t>سعید اسماعیلی</t>
  </si>
  <si>
    <t>محسن علی آبادی</t>
  </si>
  <si>
    <t>خدمات رفاهی مهمانسراهای سیرجان</t>
  </si>
  <si>
    <t>مسئول انبار مهمانسراهای سیرجان</t>
  </si>
  <si>
    <t>سرپرست مهمانسراهای سیرجان</t>
  </si>
  <si>
    <t>رئیس پشتیبانی سایت ها</t>
  </si>
  <si>
    <t>مسئول خوابگاه ها سایت فولاد (362)</t>
  </si>
  <si>
    <t>مهمانسراهای سیرجان</t>
  </si>
  <si>
    <t>دفتر مرکزی تهران</t>
  </si>
  <si>
    <t>0722008103006598</t>
  </si>
  <si>
    <t>0711012310064804</t>
  </si>
  <si>
    <t>SAMSUNG A22 5G+سیم کارت</t>
  </si>
  <si>
    <t>TV 55" LG 55UJ634V-TD</t>
  </si>
  <si>
    <t>کیس به همراه کارت شبکه وایرلس</t>
  </si>
  <si>
    <t>سایت فولاد (362)</t>
  </si>
  <si>
    <t xml:space="preserve">607STKY40859 </t>
  </si>
  <si>
    <t xml:space="preserve">603STEW20601 </t>
  </si>
  <si>
    <t>فکس</t>
  </si>
  <si>
    <t>سینمای خانگی</t>
  </si>
  <si>
    <t>پلیر</t>
  </si>
  <si>
    <t>مجید شیخ الوشاقی</t>
  </si>
  <si>
    <t>آهن اسفنجی بردسیر (461)</t>
  </si>
  <si>
    <t>کارشناس نظارت سازه</t>
  </si>
  <si>
    <t>4010801</t>
  </si>
  <si>
    <t>مدیر سایت بردسیر (461)</t>
  </si>
  <si>
    <t>20257</t>
  </si>
  <si>
    <t>حسین زیدآبادی</t>
  </si>
  <si>
    <t>میلاد زندی</t>
  </si>
  <si>
    <t>935</t>
  </si>
  <si>
    <t>سرپرست عملیات ایمنی</t>
  </si>
  <si>
    <t>4000505</t>
  </si>
  <si>
    <t xml:space="preserve"> ایمنی</t>
  </si>
  <si>
    <t>4001005</t>
  </si>
  <si>
    <t>سرپرست نقشه برداری</t>
  </si>
  <si>
    <t>مهدی خان میرزایی</t>
  </si>
  <si>
    <t>کاظم برزگری</t>
  </si>
  <si>
    <t>حسام الدین مخلصی</t>
  </si>
  <si>
    <t>منوچهر شاهکوهی</t>
  </si>
  <si>
    <t>محمود نیکنام</t>
  </si>
  <si>
    <t>معین زارع</t>
  </si>
  <si>
    <t>غلامحسین مکی آبادی</t>
  </si>
  <si>
    <t>حامد صانعی</t>
  </si>
  <si>
    <t xml:space="preserve">علی اصغر میرزایی </t>
  </si>
  <si>
    <t>آهن مهام</t>
  </si>
  <si>
    <t>گلبن</t>
  </si>
  <si>
    <t xml:space="preserve">شرکت برسو </t>
  </si>
  <si>
    <t>ودود نریمان</t>
  </si>
  <si>
    <t>کیبرد و موس</t>
  </si>
  <si>
    <t>اتاق سرور فولاد بردسیر (461)</t>
  </si>
  <si>
    <t>انبار آی تی فولاد بردسیر (461)</t>
  </si>
  <si>
    <t>دکل اینترنت فولاد بردسیر (461)</t>
  </si>
  <si>
    <t>کارفرما آهن اسفنجی بردسیر (461)</t>
  </si>
  <si>
    <t>نصب شده در اتاق خیاط زاده</t>
  </si>
  <si>
    <t>رادیو میکروتیک SXT SQ Lite 5</t>
  </si>
  <si>
    <t>موجودی انبار</t>
  </si>
  <si>
    <t>Dahua HFW2831TP-AS-S2</t>
  </si>
  <si>
    <t>7F02122PAG150D6</t>
  </si>
  <si>
    <t>E6BA0D18B2DB</t>
  </si>
  <si>
    <t>E6BA0D6AF603</t>
  </si>
  <si>
    <t>E6BA0DE6105B</t>
  </si>
  <si>
    <t>نصب شده در اکسیژن توسعه فولاد</t>
  </si>
  <si>
    <t>BF.H9MN6.011449</t>
  </si>
  <si>
    <t>داشتن خط هنگام روشن شدن صفحه نمایش</t>
  </si>
  <si>
    <t>U3606KJA</t>
  </si>
  <si>
    <t>CNERP594KG</t>
  </si>
  <si>
    <t>موجودی انبار-از سه چاهون ارسال شده</t>
  </si>
  <si>
    <t>رک دیواری 9 یونیت</t>
  </si>
  <si>
    <t>انبار سوله 5 توسعه فولاد (362)</t>
  </si>
  <si>
    <t>Optoma Projector EX 540i</t>
  </si>
  <si>
    <t>به علت روشن نشدن -مانتیور قبلی مسلمی</t>
  </si>
  <si>
    <t>علت خاموش روشن شدن تصویر -تحویلی از آی کپس</t>
  </si>
  <si>
    <t>روشن نشدن مانیتور -آبدارخانه بردسیر</t>
  </si>
  <si>
    <t>به علت داخلی نگرفتن -تلفن قبلی اکبری</t>
  </si>
  <si>
    <t>به علت روشن نشدن لامپ تصویر -کانکس آموزش ایمنی</t>
  </si>
  <si>
    <t>محمد حسین پیکانی</t>
  </si>
  <si>
    <t>0053581962</t>
  </si>
  <si>
    <t>GG161C3</t>
  </si>
  <si>
    <t>GG162C3</t>
  </si>
  <si>
    <t>علی سالاروند رستمی</t>
  </si>
  <si>
    <t>سازه</t>
  </si>
  <si>
    <t>4219752994</t>
  </si>
  <si>
    <t>بازیافت باطله چادرملو (159)</t>
  </si>
  <si>
    <t>كنسانتره سنگ آهن بهاباد يزد</t>
  </si>
  <si>
    <t>آرش طینتی</t>
  </si>
  <si>
    <t>احسان نصری</t>
  </si>
  <si>
    <t>طراحی</t>
  </si>
  <si>
    <t>جانشین مدیر سایت</t>
  </si>
  <si>
    <t>کارپرداز</t>
  </si>
  <si>
    <t>تحقیق و توسعه فکور</t>
  </si>
  <si>
    <t>چادرملو</t>
  </si>
  <si>
    <t>روناک</t>
  </si>
  <si>
    <r>
      <t>احسان موسوی</t>
    </r>
    <r>
      <rPr>
        <b/>
        <sz val="12"/>
        <color rgb="FFFF0000"/>
        <rFont val="Calibri"/>
        <family val="2"/>
        <scheme val="minor"/>
      </rPr>
      <t/>
    </r>
  </si>
  <si>
    <t>سجاد اشرفی</t>
  </si>
  <si>
    <t>حمید رضا خاتم سازان</t>
  </si>
  <si>
    <t>مهران فقیهی</t>
  </si>
  <si>
    <t>حسین عبدشاهی</t>
  </si>
  <si>
    <t>علی فرامرز پور</t>
  </si>
  <si>
    <t>مهدی زواره</t>
  </si>
  <si>
    <t>مهدی بابک</t>
  </si>
  <si>
    <t>پیام پیر مرادی</t>
  </si>
  <si>
    <t>کد قبلی سنگان 32700744</t>
  </si>
  <si>
    <t>کد قبلی سنگان 32700723</t>
  </si>
  <si>
    <t>سیم کارت همراه اول + 9941687472</t>
  </si>
  <si>
    <r>
      <t>احسان موسوی</t>
    </r>
    <r>
      <rPr>
        <sz val="16"/>
        <color rgb="FFFF0000"/>
        <rFont val="Calibri"/>
        <family val="2"/>
        <scheme val="minor"/>
      </rPr>
      <t/>
    </r>
  </si>
  <si>
    <t>كنسانتره آهن سنگان (301)</t>
  </si>
  <si>
    <t>TV SAMSUNG 48</t>
  </si>
  <si>
    <t>انباردار</t>
  </si>
  <si>
    <t>الکتریکال</t>
  </si>
  <si>
    <t>معاونت عمرانی</t>
  </si>
  <si>
    <t>نظارت</t>
  </si>
  <si>
    <t>مسئول دفتر گلبن</t>
  </si>
  <si>
    <t>مسئول دفتر نظارت(اسد)</t>
  </si>
  <si>
    <t>مهدی تهامی</t>
  </si>
  <si>
    <t xml:space="preserve">مدیر ارشد کارفرما </t>
  </si>
  <si>
    <t>وفا اردلان</t>
  </si>
  <si>
    <t>محمد گلبن</t>
  </si>
  <si>
    <t>جوانبخش اسد</t>
  </si>
  <si>
    <t>محمد جواد سلیمانی</t>
  </si>
  <si>
    <t>حمید یادگاری</t>
  </si>
  <si>
    <t>وحید حدیدی</t>
  </si>
  <si>
    <t>یاسر سازمند</t>
  </si>
  <si>
    <t>نیما سلاجقه</t>
  </si>
  <si>
    <t>محمد علی رحیمی</t>
  </si>
  <si>
    <t>کارفرما فولاد بردسیر (461)</t>
  </si>
  <si>
    <t>فولاد بردسیر (461)</t>
  </si>
  <si>
    <t>به صورت امانی تحویل فرمانده پاسگاه شده</t>
  </si>
  <si>
    <t>پاسگاه محمود آباد-پروژه مرکز تحقیقات (438)</t>
  </si>
  <si>
    <t>مرتضی پور محمدی</t>
  </si>
  <si>
    <t>شرکت شهاب راه کویر</t>
  </si>
  <si>
    <t>حمل و نقل</t>
  </si>
  <si>
    <t>پروژه ساغند</t>
  </si>
  <si>
    <t>اتاق کنفرانس توسعه فولاد (362)</t>
  </si>
  <si>
    <t>اتاق کنفرانس کارفرما گلفا (390)</t>
  </si>
  <si>
    <t xml:space="preserve">ه علت روشن نشدن تحویلی از آقای میلاد صفی جهانشاهی کارفرما سایت توسعه فولاد </t>
  </si>
  <si>
    <t xml:space="preserve">به علت روشن نشدن موجودی انبار سایت توسعه فولاد </t>
  </si>
  <si>
    <t>حسن جمالی</t>
  </si>
  <si>
    <t xml:space="preserve">نقشه برداری </t>
  </si>
  <si>
    <t>نظارت فولاد بردسیر (461)</t>
  </si>
  <si>
    <t>GG163C3</t>
  </si>
  <si>
    <t>GG164C3</t>
  </si>
  <si>
    <t>GG165C3</t>
  </si>
  <si>
    <t>GG166C3</t>
  </si>
  <si>
    <t>GG167C3</t>
  </si>
  <si>
    <t>GG168C3</t>
  </si>
  <si>
    <t>مصطفوی طالبی</t>
  </si>
  <si>
    <t>ناصر علیپور</t>
  </si>
  <si>
    <t>260</t>
  </si>
  <si>
    <t>رئیس مهندسی(پرسنل تهران)</t>
  </si>
  <si>
    <t>شرکت  آویسا(آلمیلا)</t>
  </si>
  <si>
    <t>برنامه نویس کنترل کیفیت</t>
  </si>
  <si>
    <t>اشکان هاشم پور</t>
  </si>
  <si>
    <t>نظم آوران</t>
  </si>
  <si>
    <t>سعید رضایی نسب</t>
  </si>
  <si>
    <t>PXN1527V5EB</t>
  </si>
  <si>
    <t>PXN1528VT1I</t>
  </si>
  <si>
    <t>فرزاد دانشی</t>
  </si>
  <si>
    <t>مانیتور LG 22MP410</t>
  </si>
  <si>
    <t>209NTDV40546</t>
  </si>
  <si>
    <t>امیر احسان تیموری</t>
  </si>
  <si>
    <t>رضا خراز</t>
  </si>
  <si>
    <t>209NTDV4Q594</t>
  </si>
  <si>
    <t>PXN1528VSZG</t>
  </si>
  <si>
    <t>مهرزاد پاسیده</t>
  </si>
  <si>
    <t>PXN1528W32R</t>
  </si>
  <si>
    <t>209NTMX40595</t>
  </si>
  <si>
    <t>209NTDV4Q618</t>
  </si>
  <si>
    <t>هادی عصمتی</t>
  </si>
  <si>
    <t>209NTJJ4Q532</t>
  </si>
  <si>
    <t>209NTYTYQ538</t>
  </si>
  <si>
    <t>PXN1528VS25</t>
  </si>
  <si>
    <t>209NTWG4Q553</t>
  </si>
  <si>
    <t>PXN1528VRPP</t>
  </si>
  <si>
    <t>209NTXR4Q530</t>
  </si>
  <si>
    <t>209NTPC40536</t>
  </si>
  <si>
    <t>PXN1528VSPH</t>
  </si>
  <si>
    <t>PXN16330NAV</t>
  </si>
  <si>
    <t>در تاریخ 1402/01/29 از تعمیر برگشت</t>
  </si>
  <si>
    <t>در تاریخ 1402/01/20 از تعمیر برگشت</t>
  </si>
  <si>
    <t>یوسف خیری</t>
  </si>
  <si>
    <t>نظارت معماری</t>
  </si>
  <si>
    <t>داخلی تلفن 380</t>
  </si>
  <si>
    <t>موقتا جمع آوری شده در انبار</t>
  </si>
  <si>
    <t>مشکل در پرینت . پرینتر آقای شعشعانی</t>
  </si>
  <si>
    <t>جهت نظارت دوربین</t>
  </si>
  <si>
    <t>در تاریخ 1402/01/27 از تعمیر برگشت</t>
  </si>
  <si>
    <t>به علت شکستگی پایین تصویر -مانتیور پیام مرادی بردسیر</t>
  </si>
  <si>
    <t xml:space="preserve"> به علت خرابی فیوزینگ -پرینتر سوپروایزر - تحویل سروش کریمی شد</t>
  </si>
  <si>
    <t xml:space="preserve"> به علت روشن نشدن  مانیتور جدیدالاسلام-برای بار دوم به تعمیر ارسال شد</t>
  </si>
  <si>
    <t>0385001712017617</t>
  </si>
  <si>
    <t>LG E1941S</t>
  </si>
  <si>
    <t>103TPSL5A606</t>
  </si>
  <si>
    <t>LG 19M37A</t>
  </si>
  <si>
    <t>0354005610014993</t>
  </si>
  <si>
    <t>0354005610015004</t>
  </si>
  <si>
    <t>SAMSUNG S19C150F</t>
  </si>
  <si>
    <t>ZYT6H4LD905192F</t>
  </si>
  <si>
    <t>SAMSUNG S19B315N</t>
  </si>
  <si>
    <t>H9MS8141878</t>
  </si>
  <si>
    <t>BENQ GL2023-TA</t>
  </si>
  <si>
    <t>ET17D06303019</t>
  </si>
  <si>
    <t>AOC E943FWSK</t>
  </si>
  <si>
    <t>ارسال شده از سنگان</t>
  </si>
  <si>
    <t>مخدوش</t>
  </si>
  <si>
    <t>EPSON 1410</t>
  </si>
  <si>
    <t>JNCY034553</t>
  </si>
  <si>
    <t>RYN21654</t>
  </si>
  <si>
    <t>CANON MF4410</t>
  </si>
  <si>
    <t>VNC4B30476</t>
  </si>
  <si>
    <t>KECC52119</t>
  </si>
  <si>
    <t>CANON LID 110</t>
  </si>
  <si>
    <t>KEDK93899</t>
  </si>
  <si>
    <t>3GABH616006</t>
  </si>
  <si>
    <t>FAX SHARP FO-A660</t>
  </si>
  <si>
    <t>FAX PANASONIC KX-FP701</t>
  </si>
  <si>
    <t>CANON A2500</t>
  </si>
  <si>
    <t>2014DJ4635</t>
  </si>
  <si>
    <t>CANON SX 610 HS</t>
  </si>
  <si>
    <t>HIK VISION DS-2CE15A2P</t>
  </si>
  <si>
    <t>FOC1840Y29G</t>
  </si>
  <si>
    <t>QX411EA503787</t>
  </si>
  <si>
    <t>D LINK DAP-1360</t>
  </si>
  <si>
    <t>2194386014763</t>
  </si>
  <si>
    <t>TP LINK TD-W8961N</t>
  </si>
  <si>
    <t>TP LINK TD-W8960N</t>
  </si>
  <si>
    <t>220B085003211</t>
  </si>
  <si>
    <t>PANASONIC KX-TS500 MX</t>
  </si>
  <si>
    <t>3ACLK456167</t>
  </si>
  <si>
    <t>5KCLM575610</t>
  </si>
  <si>
    <t>3LALL777999</t>
  </si>
  <si>
    <t>5KCLM575607</t>
  </si>
  <si>
    <t>4ABLL410000</t>
  </si>
  <si>
    <t>4ABLL410074</t>
  </si>
  <si>
    <t>4HALM894489</t>
  </si>
  <si>
    <t>3BALL923165</t>
  </si>
  <si>
    <t>4CALL512294</t>
  </si>
  <si>
    <t>4HCLM007739</t>
  </si>
  <si>
    <t>5FALM711796</t>
  </si>
  <si>
    <t>3LBLL370088</t>
  </si>
  <si>
    <t>6IAKM829381</t>
  </si>
  <si>
    <t>6FCKG268804</t>
  </si>
  <si>
    <t>6IBKG497881</t>
  </si>
  <si>
    <t>PANASONIC KX-T2410 CID</t>
  </si>
  <si>
    <t>PANASONIC KX-TG6451 CX</t>
  </si>
  <si>
    <t>3GAQF045819</t>
  </si>
  <si>
    <t>3GAQF045830</t>
  </si>
  <si>
    <t>TIP TEL TIP-620</t>
  </si>
  <si>
    <t>TECHNICAL TEC-6103</t>
  </si>
  <si>
    <t>1212610300137</t>
  </si>
  <si>
    <t>TECHNICAL TEC-6102</t>
  </si>
  <si>
    <t>1410610239420</t>
  </si>
  <si>
    <t>1405610225633</t>
  </si>
  <si>
    <t>TECHNICAL TEC-1059</t>
  </si>
  <si>
    <t>130610592202</t>
  </si>
  <si>
    <t>به همراه گوشی بیسیم</t>
  </si>
  <si>
    <t>INM08241SR1</t>
  </si>
  <si>
    <t>INM09151R0V</t>
  </si>
  <si>
    <t>FCH11268HBC</t>
  </si>
  <si>
    <t>FCH11279072</t>
  </si>
  <si>
    <t>FCH11368VQD</t>
  </si>
  <si>
    <t>FCH1127DB6R</t>
  </si>
  <si>
    <t>FCH1013888N</t>
  </si>
  <si>
    <t>FCH104182TY</t>
  </si>
  <si>
    <t>FCH11368T62</t>
  </si>
  <si>
    <t>کد دستی</t>
  </si>
  <si>
    <t>SUPREMA دستگاه کارت ساعت زنی</t>
  </si>
  <si>
    <t>انبار آی تی تربت حیدریه (439)</t>
  </si>
  <si>
    <t>شهرام زورمند</t>
  </si>
  <si>
    <t>پرینتر کیوان - تحویل کریمی شد بابت تعمیر</t>
  </si>
  <si>
    <t>بنام حمید کسایی در پروژه گلفا بوده که به دلیل مستهلک بودن داغی اعلام شد</t>
  </si>
  <si>
    <t>سانترال تلفن</t>
  </si>
  <si>
    <t>QB201BA001675</t>
  </si>
  <si>
    <t>D-LINK DES-1008A 8Port</t>
  </si>
  <si>
    <t>تحویل به سلاجقه کارفرما فولاد 362</t>
  </si>
  <si>
    <t>557E04F73F34</t>
  </si>
  <si>
    <t>579805F09149</t>
  </si>
  <si>
    <t>A28709EFAB9C</t>
  </si>
  <si>
    <t>A28709DAA48E</t>
  </si>
  <si>
    <t>5798057C4F88</t>
  </si>
  <si>
    <t>جمع آوری از سه چاهون</t>
  </si>
  <si>
    <t xml:space="preserve">روتر سیسکو 2911 </t>
  </si>
  <si>
    <t>حضور غیاب Iface 202</t>
  </si>
  <si>
    <t>FCZ152020HL</t>
  </si>
  <si>
    <t>Switch Cisco 2960 POE 48Port</t>
  </si>
  <si>
    <t xml:space="preserve">ارسال شده از تهران جهت تجهیز کارگاه  سایت بردسیر </t>
  </si>
  <si>
    <t>در تاریخ 1402/02/05 از تعمیر برگشت</t>
  </si>
  <si>
    <t>CAT1029RJGC</t>
  </si>
  <si>
    <t>6077150100314</t>
  </si>
  <si>
    <t>در تاریخ 1402/02/06 از تعمیر برگشت</t>
  </si>
  <si>
    <t>حمیدرضا اصلانی</t>
  </si>
  <si>
    <t>در تاریخ 1402/02/07 از تعمیر برگشت</t>
  </si>
  <si>
    <t>BENQ GW2270B 9H.LE6LB.QBP</t>
  </si>
  <si>
    <t>0686004012062449</t>
  </si>
  <si>
    <t>ارسال شده از سنگان-32702496</t>
  </si>
  <si>
    <t>264</t>
  </si>
  <si>
    <t>احسان اقتصادی</t>
  </si>
  <si>
    <t>سرپرست مکانیک سیالات (پرسنل تهران)</t>
  </si>
  <si>
    <t>0714004212011112</t>
  </si>
  <si>
    <t xml:space="preserve">سیستم مربوط به دفتر فنی مهمانان مهندسین دفتر تهران </t>
  </si>
  <si>
    <t>در تاریخ 1402/02/11 از تعمیر برگشت</t>
  </si>
  <si>
    <t>علیرضا آقاجان</t>
  </si>
  <si>
    <t>سید محمد خادمی - پروژه گلفا</t>
  </si>
  <si>
    <t>اردشیر عسگری - پروژه گلفا</t>
  </si>
  <si>
    <t>باسکول پروژه گلفا</t>
  </si>
  <si>
    <t>اتاق سرور  آهک توسعه فولاد (362)</t>
  </si>
  <si>
    <t>GG171C3</t>
  </si>
  <si>
    <t>0175002910008947</t>
  </si>
  <si>
    <t>0686002011058216</t>
  </si>
  <si>
    <t>فردین تقی نیا</t>
  </si>
  <si>
    <t>6G03083PAG20F07</t>
  </si>
  <si>
    <t>DH-HFW4231TP</t>
  </si>
  <si>
    <t>DH-HFW1230T1</t>
  </si>
  <si>
    <t>6K0913EPAG89595</t>
  </si>
  <si>
    <t>6G03083PAG4D137</t>
  </si>
  <si>
    <t>6K0913EPAG98B6E</t>
  </si>
  <si>
    <t>6K0246ERAG03484</t>
  </si>
  <si>
    <t>6K0913EPAG3CFCB</t>
  </si>
  <si>
    <t>6G03083PAGB800A</t>
  </si>
  <si>
    <t>DH-HFW1200DP</t>
  </si>
  <si>
    <t>6H04906PAA33CDA</t>
  </si>
  <si>
    <t>6F03464PARFB166</t>
  </si>
  <si>
    <t>6H04000PAAC7004</t>
  </si>
  <si>
    <t>6G03083PAGF47E0</t>
  </si>
  <si>
    <t>5K03E9EPAA0FCDF</t>
  </si>
  <si>
    <t>6K0913EPAG53579</t>
  </si>
  <si>
    <t>6K0913EPAG0E0B</t>
  </si>
  <si>
    <t>6H04906PAAA1EDA</t>
  </si>
  <si>
    <t>QRT5 RB911G</t>
  </si>
  <si>
    <t>728B066F62C3/636</t>
  </si>
  <si>
    <t>Dome Camera XF2-18</t>
  </si>
  <si>
    <t>No Serial</t>
  </si>
  <si>
    <t>SQ LITE5</t>
  </si>
  <si>
    <t>D3B30CF88AB8</t>
  </si>
  <si>
    <t>6F03464PAR1135F</t>
  </si>
  <si>
    <t>6H04906PAAC0000</t>
  </si>
  <si>
    <t>6H04906PAA66752</t>
  </si>
  <si>
    <t>6F03464PAR472FA</t>
  </si>
  <si>
    <t>6H04906PAACCE25</t>
  </si>
  <si>
    <t>EZ-IP IPC-B2B20P-ZS</t>
  </si>
  <si>
    <t>6H0316BPAGED85F</t>
  </si>
  <si>
    <t>5F03454PAR1135F</t>
  </si>
  <si>
    <t>5F03454PAR7498E</t>
  </si>
  <si>
    <t>6K0913EPAG76F90</t>
  </si>
  <si>
    <t>اتاق آی تی توسعه فولاد (362)</t>
  </si>
  <si>
    <t>انبار آی تی توسعه فولاد (362)</t>
  </si>
  <si>
    <t>از سنگان ارسال شده - مادربرد سوخته  - کد اموال سنگان 32700715</t>
  </si>
  <si>
    <t>از سایت گلفا (ماشین سازی) تحویل گرفته شده-کد اموالی دست افشین-روی پرینتر چسبیده نشده</t>
  </si>
  <si>
    <t>ارسال شده از سنگان - کد اموال سنگان 3010456</t>
  </si>
  <si>
    <t>ارسال شده از سنگان - کد اموال سنگان 3010484</t>
  </si>
  <si>
    <t>ارسال شده از سنگان - کد اموال سنگان 3010483</t>
  </si>
  <si>
    <t>ارسال شده از سنگان - کد اموال سنگان 3010211</t>
  </si>
  <si>
    <t>ارسالی از سه چاهون-داخل کشو کانکس انبار</t>
  </si>
  <si>
    <t>ارسالی از خاتون آباد-داخل کشو کانکس انبار</t>
  </si>
  <si>
    <t>ارسالی از زرند-داخل کشو کانکس انبار</t>
  </si>
  <si>
    <t>ارسال شده از سنگان - کد اموال سنگان 3010497</t>
  </si>
  <si>
    <t>ارسال شده از سنگان - کد اموال سنگان 3010499</t>
  </si>
  <si>
    <t>ارسال شده از سنگان - کد اموال سنگان 3010498</t>
  </si>
  <si>
    <t>ارسال شده از سنگان - کد اموال سنگان 3010500</t>
  </si>
  <si>
    <t>لینک گلفا (390) به گهرزمین</t>
  </si>
  <si>
    <t>لینگ گهرزمین (290) - گلفا</t>
  </si>
  <si>
    <t>ساختمان ایمنی توسعه فولاد (362)</t>
  </si>
  <si>
    <t>ساختمان بهداری توسعه فولاد (362)</t>
  </si>
  <si>
    <t>لینک فولاد (362) به گهرزمین</t>
  </si>
  <si>
    <t>لینک گهرزمین (290) به فولاد</t>
  </si>
  <si>
    <t>کانکس کنار دکل توسعه فولاد (362)</t>
  </si>
  <si>
    <t>بخش اکسیژن توسعه فولاد (362)</t>
  </si>
  <si>
    <t>منبع کمپ کارگری توسعه فولاد (362)</t>
  </si>
  <si>
    <t>DVR</t>
  </si>
  <si>
    <t>روتر میکروتیک</t>
  </si>
  <si>
    <t>بلا استفاده</t>
  </si>
  <si>
    <t>تحویل به خیریه</t>
  </si>
  <si>
    <t>محسن برناه</t>
  </si>
  <si>
    <t>i5-4460</t>
  </si>
  <si>
    <t>کد سایت</t>
  </si>
  <si>
    <t>C3</t>
  </si>
  <si>
    <t>C2</t>
  </si>
  <si>
    <t>به دلیل اینکه قبلا فاقد اموال بوده به اشتباه کد 622615 روی آن چسبیده شده بود - اصلاح شد</t>
  </si>
  <si>
    <t>به دلیل فاقد کد بودن به اشتباه کد 622522 چسبیده شد - این کد کنده شده - اصلاح شد</t>
  </si>
  <si>
    <t>خوابگاه فولاد بردسیر (461)</t>
  </si>
  <si>
    <t>داغی</t>
  </si>
  <si>
    <t>داغی شده</t>
  </si>
  <si>
    <t>1402/02</t>
  </si>
  <si>
    <t>اهم متر کلمپی</t>
  </si>
  <si>
    <t>نرم افزار</t>
  </si>
  <si>
    <t>جاروبرقی</t>
  </si>
  <si>
    <t>هارد</t>
  </si>
  <si>
    <t>قبل از سال 99 توسط مهندس جمالی داغی اعلام شده اند</t>
  </si>
  <si>
    <t>لپ تاپ</t>
  </si>
  <si>
    <t>All in one</t>
  </si>
  <si>
    <t>کیبرد</t>
  </si>
  <si>
    <t>قفسه</t>
  </si>
  <si>
    <t>پرده نمايش</t>
  </si>
  <si>
    <t>ارسال به تهران</t>
  </si>
  <si>
    <t>ارسال شده به تهران</t>
  </si>
  <si>
    <t xml:space="preserve">1401/11/12 تاریخ ارسال </t>
  </si>
  <si>
    <t>1401/11/14 تاریخ ارسال</t>
  </si>
  <si>
    <t>ارسالی از تربت به تهران -  کد اموال سنگان  32701771</t>
  </si>
  <si>
    <t>1401/12/06 تاریخ ارسال</t>
  </si>
  <si>
    <r>
      <t>LG 22" W2262TQ</t>
    </r>
    <r>
      <rPr>
        <b/>
        <u/>
        <sz val="14"/>
        <color rgb="FFFF0000"/>
        <rFont val="B Nazanin"/>
        <charset val="178"/>
      </rPr>
      <t xml:space="preserve"> </t>
    </r>
  </si>
  <si>
    <t>AN362</t>
  </si>
  <si>
    <t>AN392</t>
  </si>
  <si>
    <t>C19</t>
  </si>
  <si>
    <t>C20</t>
  </si>
  <si>
    <t>C29</t>
  </si>
  <si>
    <t>AN439</t>
  </si>
  <si>
    <t>C74</t>
  </si>
  <si>
    <t>AN461</t>
  </si>
  <si>
    <t>C76</t>
  </si>
  <si>
    <t>AN438</t>
  </si>
  <si>
    <t>AN390</t>
  </si>
  <si>
    <t>AN_SiR</t>
  </si>
  <si>
    <t>S362</t>
  </si>
  <si>
    <t>S290</t>
  </si>
  <si>
    <t>S439</t>
  </si>
  <si>
    <t>S392</t>
  </si>
  <si>
    <t>S438</t>
  </si>
  <si>
    <t>S461</t>
  </si>
  <si>
    <t>S390</t>
  </si>
  <si>
    <t>C8</t>
  </si>
  <si>
    <t>(362) پروژه توسعه فولاد</t>
  </si>
  <si>
    <t>(330) پروژه گلفا</t>
  </si>
  <si>
    <t>(394) پروژه پلیکام</t>
  </si>
  <si>
    <t>(243) 4 ميليون تن گلگهر</t>
  </si>
  <si>
    <t>(390) پروژه كنسانتره شماره 5،6و7  گل گهر</t>
  </si>
  <si>
    <t>(351) پروژه سه چاهون</t>
  </si>
  <si>
    <t>فاقد کداموال</t>
  </si>
  <si>
    <t xml:space="preserve">کیس قبلی مجاور ارسال شده از سنگان  32700686- داغی اعلام شد </t>
  </si>
  <si>
    <t>C17</t>
  </si>
  <si>
    <t>C27</t>
  </si>
  <si>
    <t>C24</t>
  </si>
  <si>
    <t>C5</t>
  </si>
  <si>
    <t>C6</t>
  </si>
  <si>
    <t>C10</t>
  </si>
  <si>
    <t>نصب شده در اتاق قدرتی پروژه آهک</t>
  </si>
  <si>
    <t xml:space="preserve"> انتقال از گهرزمین به بردسیر GG10C6</t>
  </si>
  <si>
    <t>GG39C6  انتقال از گهرزمین به بردسیر</t>
  </si>
  <si>
    <t xml:space="preserve"> انتقال از گهرزمین به بردسیر</t>
  </si>
  <si>
    <t>GG7C6  انتقال از گهرزمین به بردسیر</t>
  </si>
  <si>
    <t>GG37C6 انتقال از گهرزمین به بردسیر</t>
  </si>
  <si>
    <t>0JACR021460</t>
  </si>
  <si>
    <t xml:space="preserve"> PANASONIC KX-TEM824</t>
  </si>
  <si>
    <t>انتقال از گهرزمین به بردسیر</t>
  </si>
  <si>
    <t>1GBCV031489</t>
  </si>
  <si>
    <t>1ICCF008032</t>
  </si>
  <si>
    <t>جهت دوربین های آشپزخانه گهرزمین - انتقال به بردسیر</t>
  </si>
  <si>
    <t>پرینت سرور D-LINK DPR 1061</t>
  </si>
  <si>
    <t>P1R63D5000629</t>
  </si>
  <si>
    <t>تقویت آنتن موبایل SIEMENS</t>
  </si>
  <si>
    <t>ST86690155</t>
  </si>
  <si>
    <t>کد اموال کیس مخدوش -انتقال از گهرزمین به بردسیر</t>
  </si>
  <si>
    <t>رادیو  Sq</t>
  </si>
  <si>
    <t>پرینت سرور</t>
  </si>
  <si>
    <t>تقویت آنتن</t>
  </si>
  <si>
    <t>تقویت آنتن موبایل GSM980REPEATER</t>
  </si>
  <si>
    <t>انتقال از گهرزمین به فولاد</t>
  </si>
  <si>
    <t>انتقال از گهرزمین به بردسیر - تداخل اموال</t>
  </si>
  <si>
    <t>G41-SSD-4GB</t>
  </si>
  <si>
    <t>پلیکام (394)+سایت مرکز تحقیقات (438)</t>
  </si>
  <si>
    <t>(394) پلیکام</t>
  </si>
  <si>
    <t>جمع آوری شده از سایت-موجود در انبار برزمند</t>
  </si>
  <si>
    <t>(243)كارخانه 4 ميليون تن گلگهر</t>
  </si>
  <si>
    <t>WXS2EA155372</t>
  </si>
  <si>
    <t>WXR2EA145EFN</t>
  </si>
  <si>
    <t>هارد 2ترا اکسترنال</t>
  </si>
  <si>
    <t>سالن جلسات ایمنی توسعه فولاد (362)</t>
  </si>
  <si>
    <t>GG172C3</t>
  </si>
  <si>
    <t>سعید میرزایی</t>
  </si>
  <si>
    <t>477</t>
  </si>
  <si>
    <t>نصب شده در ورودی پروژه+SanDisk Ultra Micro 256 GB</t>
  </si>
  <si>
    <t>نصب در سالن فکور توسعه فولاد</t>
  </si>
  <si>
    <t>کارت ساعت توسعه فولاد (362)</t>
  </si>
  <si>
    <t xml:space="preserve">علت تعمییر خاموش شدن ناگهانی </t>
  </si>
  <si>
    <t xml:space="preserve">علت تعمییرتصویر پرش دارد </t>
  </si>
  <si>
    <t>نیما دادگر</t>
  </si>
  <si>
    <t>100518</t>
  </si>
  <si>
    <t>GG177C3</t>
  </si>
  <si>
    <t>حمزه فراهانی</t>
  </si>
  <si>
    <t>سعید بویری</t>
  </si>
  <si>
    <t>سوپروایزر</t>
  </si>
  <si>
    <t>جهت استفاده سارایه</t>
  </si>
  <si>
    <t>PUC1833027X</t>
  </si>
  <si>
    <t xml:space="preserve">دوربین از انبار 4 هکتاری جهت تعمیر به آقای صادقی </t>
  </si>
  <si>
    <t>3574211100143</t>
  </si>
  <si>
    <t>دستگاه گلفا - به دلیل مشکل در ثبت چهره به تعمیر ارسال شد</t>
  </si>
  <si>
    <t>پلیکام نصب شده</t>
  </si>
  <si>
    <t>پیمان بهزادی</t>
  </si>
  <si>
    <t>انبار خرامه (392) - داغی</t>
  </si>
  <si>
    <t>TV LED  LG  42</t>
  </si>
  <si>
    <t>TV GPlus GTV-40 LH412 N</t>
  </si>
  <si>
    <t>TV GPlus GTV-40 LH612 N</t>
  </si>
  <si>
    <t>TV GPlus GTV-50LU722S</t>
  </si>
  <si>
    <t>TV Gplus KU722S 50</t>
  </si>
  <si>
    <t>TV GPlus KU722S 50</t>
  </si>
  <si>
    <t xml:space="preserve">TV 21" LCD SAMSUNG </t>
  </si>
  <si>
    <t>TV 21" SHAHAB</t>
  </si>
  <si>
    <t>(351) سه چاهون</t>
  </si>
  <si>
    <t>Monitor SAMSUNG</t>
  </si>
  <si>
    <t>مطابق با صورتجلسه به تهران (مهندس حمیدی) ارسال شده</t>
  </si>
  <si>
    <t>Mobile Samsung SM- B CTOE</t>
  </si>
  <si>
    <t>TV LCD LG  42</t>
  </si>
  <si>
    <t>Tell 5855 Teknical</t>
  </si>
  <si>
    <t>دست کارفرما سه چاهون - طبق فرم صورت جلسه</t>
  </si>
  <si>
    <t>TV X-Vision 65" Model 845</t>
  </si>
  <si>
    <t>TV X-Vision 65" Model 835</t>
  </si>
  <si>
    <t>Mobile Nokia 107</t>
  </si>
  <si>
    <t>طبق گفته خودش قبلا اعلام داغی شده</t>
  </si>
  <si>
    <t>TV LCD  LG  14</t>
  </si>
  <si>
    <t>TV 42" SHAHAB</t>
  </si>
  <si>
    <t>(392) خرامه</t>
  </si>
  <si>
    <t>TV X-Vision 24"</t>
  </si>
  <si>
    <t>نصب در خوابگاه مدیریت خرامه</t>
  </si>
  <si>
    <t>Monitor LG</t>
  </si>
  <si>
    <t>نصب در خوابگاه مدیریت-فرخ غریبی</t>
  </si>
  <si>
    <t>نصب در خوابگاه vip سایت تربت</t>
  </si>
  <si>
    <t>نصب در (اداری عصر نوین)</t>
  </si>
  <si>
    <t>طبق صورتجلسه اعلام کرده که ضایعات شده</t>
  </si>
  <si>
    <t>نصب در دفتر سلطانی خوابگاه دهخدا</t>
  </si>
  <si>
    <t>محمد ابراهیم زیرک رودی</t>
  </si>
  <si>
    <t>7001</t>
  </si>
  <si>
    <t>متصدی خدمات عمومی</t>
  </si>
  <si>
    <t>TV X-Vision LED 55" 55XTU 615</t>
  </si>
  <si>
    <t>خوابگاه مدیریت خرامه (392)</t>
  </si>
  <si>
    <t>دوربين مارك DS-2CE56C2T-TRمدلHIKVISION</t>
  </si>
  <si>
    <t>راديو نانو استيشنM2</t>
  </si>
  <si>
    <t>دوربينVivotek fd8164V</t>
  </si>
  <si>
    <t>راديو SXT</t>
  </si>
  <si>
    <t>آنتن مركزي كامل</t>
  </si>
  <si>
    <t>RADIO SXT</t>
  </si>
  <si>
    <t>راديو STX</t>
  </si>
  <si>
    <t>تلفن پاناسونيك 7730</t>
  </si>
  <si>
    <t>دوربين مدل HC-CVl-2100</t>
  </si>
  <si>
    <t xml:space="preserve">0680001009038255 </t>
  </si>
  <si>
    <t>سهیل امیدیان</t>
  </si>
  <si>
    <t>رامتین جمالی</t>
  </si>
  <si>
    <t>0714007305007838</t>
  </si>
  <si>
    <t>0722006012072990</t>
  </si>
  <si>
    <t>0722008103006588</t>
  </si>
  <si>
    <t>4020701</t>
  </si>
  <si>
    <t>GG180C3</t>
  </si>
  <si>
    <t>سید کاظم قریشی</t>
  </si>
  <si>
    <t>4020303</t>
  </si>
  <si>
    <t>اصغر قدر بلند</t>
  </si>
  <si>
    <t>ماشین سازی</t>
  </si>
  <si>
    <t>نرم افزار آلمیلا</t>
  </si>
  <si>
    <t>امین قربانی</t>
  </si>
  <si>
    <t>تات</t>
  </si>
  <si>
    <t>مهدی گودررزی</t>
  </si>
  <si>
    <t>پارس میامی</t>
  </si>
  <si>
    <t>دانش صفری</t>
  </si>
  <si>
    <t>سپیدانه</t>
  </si>
  <si>
    <t>GG186C3</t>
  </si>
  <si>
    <t>GG187C3</t>
  </si>
  <si>
    <t>GG185C3</t>
  </si>
  <si>
    <t>GG182C3</t>
  </si>
  <si>
    <t>GG183C3</t>
  </si>
  <si>
    <t xml:space="preserve">صمد دهقانی-نظارت کارفرما توسعه-علت تعمییر خاموش شدن ناگهانی </t>
  </si>
  <si>
    <t>مرکز خیریه امید سیرجان</t>
  </si>
  <si>
    <t>خرداد 1402 تحویل مرکز خیریه امید سیرجان گردید</t>
  </si>
  <si>
    <t>خرداد 1402 تحویل مرکز خیریه گذری مهر بردسیر گردید</t>
  </si>
  <si>
    <t>065100490459291</t>
  </si>
  <si>
    <t>مرکز گذری مهر بردسیر</t>
  </si>
  <si>
    <t>در تاریخ 1402/03/10 از تعمیر برگشت</t>
  </si>
  <si>
    <t>0722006012072875</t>
  </si>
  <si>
    <t>CNDRP84C2X</t>
  </si>
  <si>
    <t>CNDRP84C3H</t>
  </si>
  <si>
    <t>در تاریخ 1402/03/02 از تعمیر برگشت</t>
  </si>
  <si>
    <t>خیریه مدارس سیستان و بلوچستان</t>
  </si>
  <si>
    <t>Samsung 20” S20R310B</t>
  </si>
  <si>
    <t>خرداد 1402 تحویل خیریه مدارس سیستان و بلوچستان گردید</t>
  </si>
  <si>
    <t>به علت روشن نشدن لامپ تصویر -کانکس آموزش ایمنی-ارسال مجدد</t>
  </si>
  <si>
    <t>خدامراد شیوافرد</t>
  </si>
  <si>
    <t>20635</t>
  </si>
  <si>
    <t>مسئول کمپ کارگری</t>
  </si>
  <si>
    <t>امین بابائی</t>
  </si>
  <si>
    <t>تلفن جهت استفاده حراست شرقی</t>
  </si>
  <si>
    <t>نصب شده در سایت بردسیر</t>
  </si>
  <si>
    <t>مهرداد شهبازی</t>
  </si>
  <si>
    <t>آویسا</t>
  </si>
  <si>
    <t>FOC1541Z1X9</t>
  </si>
  <si>
    <t>FOC1802V36H</t>
  </si>
  <si>
    <t>FOC1617Z5K4</t>
  </si>
  <si>
    <t>رک مشاور فولاد بردسیر (461)</t>
  </si>
  <si>
    <t>رک کبیر صنعت 9 یونیت</t>
  </si>
  <si>
    <t>رک کارفرما فولاد بردسیر (461)</t>
  </si>
  <si>
    <t>FD01316Y04E</t>
  </si>
  <si>
    <t>رک ایمنی فولاد بردسیر (461)</t>
  </si>
  <si>
    <t>FOC1622W4GB</t>
  </si>
  <si>
    <t>کانکس 12 متری IT فولاد بردسیر (461)</t>
  </si>
  <si>
    <t>FOC1718X1CW</t>
  </si>
  <si>
    <t>FGL163814ET</t>
  </si>
  <si>
    <t>فرهاد معصومی</t>
  </si>
  <si>
    <t>691</t>
  </si>
  <si>
    <t>ریاست کنترل پروژه</t>
  </si>
  <si>
    <t>GG176C3</t>
  </si>
  <si>
    <t>GG47C8</t>
  </si>
  <si>
    <t>استفاده جهت DCC</t>
  </si>
  <si>
    <t>مهدی دولت آبادی</t>
  </si>
  <si>
    <t>محمود نقوی</t>
  </si>
  <si>
    <t>حامد سلیمیان</t>
  </si>
  <si>
    <t xml:space="preserve">پرسنل دفتر تهران </t>
  </si>
  <si>
    <t>98124</t>
  </si>
  <si>
    <t>558</t>
  </si>
  <si>
    <t>GG173C3</t>
  </si>
  <si>
    <t>محمد شهرستانی</t>
  </si>
  <si>
    <t>0872948978</t>
  </si>
  <si>
    <t>اسماعیل انجام</t>
  </si>
  <si>
    <t>نصب شده در واحد 6</t>
  </si>
  <si>
    <t>نصب شده در واحد 11</t>
  </si>
  <si>
    <t>نصب شده در واحد 7</t>
  </si>
  <si>
    <t>نصب شده در واحد 10</t>
  </si>
  <si>
    <t>نصب شده در واحد 9</t>
  </si>
  <si>
    <t>نصب شده در واحد 5</t>
  </si>
  <si>
    <t>نصب شده در واحد 1</t>
  </si>
  <si>
    <t>نصب شده در واحد 4</t>
  </si>
  <si>
    <t>نصب شده در واحد 2</t>
  </si>
  <si>
    <t>نصب شده در واحد 8</t>
  </si>
  <si>
    <t>نصب شده در واحد 3</t>
  </si>
  <si>
    <t>فرهاد آزادی - خرابی مادربرد</t>
  </si>
  <si>
    <t>تلفن رضا عوض پور جهت تعمیر به تهران ارسال شد</t>
  </si>
  <si>
    <t xml:space="preserve">سوییچ سیسکو 2960 </t>
  </si>
  <si>
    <t>جهت تعمیر ارسال به تهران</t>
  </si>
  <si>
    <t>فرهاد شهبا</t>
  </si>
  <si>
    <t>در تاریخ 1402/03/22 از تعمیر برگشت</t>
  </si>
  <si>
    <t>CNGRQ7K09Q</t>
  </si>
  <si>
    <t>HP CP 5225</t>
  </si>
  <si>
    <t>تحویل به خیریه داراب</t>
  </si>
  <si>
    <t>خانم زاهدی</t>
  </si>
  <si>
    <t>مخابرات بردسیر</t>
  </si>
  <si>
    <t>مخابرات فولاد بردسیر (461)</t>
  </si>
  <si>
    <t>جهت راه اندازی و نصب اینترنت خوابگاه بردسیر</t>
  </si>
  <si>
    <t>E9F10EC315CC/110/R2</t>
  </si>
  <si>
    <t>E9F10D17F497/106/R2</t>
  </si>
  <si>
    <t>Mikrotik LHG5</t>
  </si>
  <si>
    <t>محسن رخشانی</t>
  </si>
  <si>
    <t>4020308</t>
  </si>
  <si>
    <t>BS25C74</t>
  </si>
  <si>
    <t>آهن اسفنجی تربت حیدریه (439)</t>
  </si>
  <si>
    <t>نظارت کافرما تربت حیدریه (439)</t>
  </si>
  <si>
    <t>مخابرات آهن اسفنجی بردسیر (461)</t>
  </si>
  <si>
    <t>فرزاد دبستانی</t>
  </si>
  <si>
    <t>علی حسنی</t>
  </si>
  <si>
    <t>نقشه بردار</t>
  </si>
  <si>
    <t xml:space="preserve">SXT 5 </t>
  </si>
  <si>
    <t>کانکس پارس میامی توسعه فولاد (362)</t>
  </si>
  <si>
    <t>جهت آلمیلا نصب شده-جمع آوری از سه چاهون</t>
  </si>
  <si>
    <t>G6HX00056</t>
  </si>
  <si>
    <t>کد اموال سنگان - 32700743</t>
  </si>
  <si>
    <t>ارسالی زرند</t>
  </si>
  <si>
    <t>ارسال شده از بافق</t>
  </si>
  <si>
    <t xml:space="preserve">کد اموالی چک شود </t>
  </si>
  <si>
    <t>از گهرزمین آمده</t>
  </si>
  <si>
    <t>کیس اتصالی دارد</t>
  </si>
  <si>
    <t>از گلفا آمده</t>
  </si>
  <si>
    <t>ارسل به تهران جهت تعمیر</t>
  </si>
  <si>
    <t>رضا کاظمی</t>
  </si>
  <si>
    <t>محمد صدری</t>
  </si>
  <si>
    <t>موجود در انبار گلفا</t>
  </si>
  <si>
    <t>احسان آذرنگ</t>
  </si>
  <si>
    <t>سوخته اعلام داغی شد</t>
  </si>
  <si>
    <t xml:space="preserve">از تعمیر برنگشت و اعلام داغی شد </t>
  </si>
  <si>
    <t>مانیتور غیرقابل تعمیر اعلام شد</t>
  </si>
  <si>
    <t>اتاق آموزش ایمنی فولاد بردسیر (461)</t>
  </si>
  <si>
    <t>حراست شرقی فولاد بردسیر (461)</t>
  </si>
  <si>
    <t>سالن کنفرانس فولاد بردسیر (461)</t>
  </si>
  <si>
    <t>PXN1528W2Q7</t>
  </si>
  <si>
    <t>PXN1528W3CZ</t>
  </si>
  <si>
    <t>PUC17380ZJ6</t>
  </si>
  <si>
    <t>PXN1528VT1C</t>
  </si>
  <si>
    <t>PUC16470PG0</t>
  </si>
  <si>
    <t>PUC17370VD3</t>
  </si>
  <si>
    <t>PUC17430J0C</t>
  </si>
  <si>
    <t>PUC17430UMH</t>
  </si>
  <si>
    <t>PXN1528VSS0</t>
  </si>
  <si>
    <t>PXN1528VT40</t>
  </si>
  <si>
    <t>PXN1528VSW4</t>
  </si>
  <si>
    <t>PXN1528VRU0</t>
  </si>
  <si>
    <t>PXN1528VRVG</t>
  </si>
  <si>
    <t>PXN1527V572</t>
  </si>
  <si>
    <t>PXN1528VS09</t>
  </si>
  <si>
    <t>PUC17440ESI</t>
  </si>
  <si>
    <t>PXN1528VT0R</t>
  </si>
  <si>
    <t>PXN1527V5AL</t>
  </si>
  <si>
    <t>PXN1527V7S4</t>
  </si>
  <si>
    <t>PXN1528VSSU</t>
  </si>
  <si>
    <t>HP MFP M428 DW</t>
  </si>
  <si>
    <t>CNDRQ4Q05B</t>
  </si>
  <si>
    <t>CNDRQ7V16J</t>
  </si>
  <si>
    <t>CNDRQ7K4N6</t>
  </si>
  <si>
    <t>CNGRQ944M6</t>
  </si>
  <si>
    <t>SHARP BP-X240</t>
  </si>
  <si>
    <t>Daghi</t>
  </si>
  <si>
    <t>065100490459295</t>
  </si>
  <si>
    <t>0651007908322097</t>
  </si>
  <si>
    <t xml:space="preserve">0698014204004594 </t>
  </si>
  <si>
    <t>غیر قابل تعمیر</t>
  </si>
  <si>
    <t>با هماهنگی آقای سهیلی مالی تهران داغی اعلام شده</t>
  </si>
  <si>
    <t>محمد غلامرضائی نژاد</t>
  </si>
  <si>
    <t>آی تی کارفرما فولاد بردسیر (461)</t>
  </si>
  <si>
    <t>غلامرضا محمدی</t>
  </si>
  <si>
    <t>حراست کارفرما</t>
  </si>
  <si>
    <t>BS19C76</t>
  </si>
  <si>
    <t>از مرکز تحقیقات به خرامه منتقل شد</t>
  </si>
  <si>
    <t>از سایت مرکزتحقیقات به خرامه منتقل گردید</t>
  </si>
  <si>
    <t>خیریه فنی حرفه ای عرفان خرامه</t>
  </si>
  <si>
    <t>از مرکز تحقیقات به خرامه منتقل گردید</t>
  </si>
  <si>
    <t>موسسه خیریه کوثر مشیز سیرجان</t>
  </si>
  <si>
    <t>از خرامه به توسعه فولاد منتقل شد</t>
  </si>
  <si>
    <t>Gplus GTV-43PU746N</t>
  </si>
  <si>
    <t>212STUC25133</t>
  </si>
  <si>
    <t>خیریه خانم صالحی پور</t>
  </si>
  <si>
    <t>BS18C76</t>
  </si>
  <si>
    <t>محمد محمود آبادی</t>
  </si>
  <si>
    <t>مدیر پشتیبانی</t>
  </si>
  <si>
    <t>حمید شریعت پناه</t>
  </si>
  <si>
    <t>سرپرست برق</t>
  </si>
  <si>
    <t>BS20C76</t>
  </si>
  <si>
    <t>علی بحرینی</t>
  </si>
  <si>
    <t>مدیر حراست</t>
  </si>
  <si>
    <t>PXN1527V5S3</t>
  </si>
  <si>
    <t>حسین بیدخونی</t>
  </si>
  <si>
    <t>PXN16330MU3</t>
  </si>
  <si>
    <t>محمد اشکن</t>
  </si>
  <si>
    <t>PXN1528VSNJ</t>
  </si>
  <si>
    <t>PXN1528W2AL</t>
  </si>
  <si>
    <t>PXN1528VSVQ</t>
  </si>
  <si>
    <t>مدیریت</t>
  </si>
  <si>
    <t>داود غنچه پور</t>
  </si>
  <si>
    <t>HP-M428</t>
  </si>
  <si>
    <t>مجتبی خاک پور</t>
  </si>
  <si>
    <t>PUC174309O5</t>
  </si>
  <si>
    <t>CNDRP84C58</t>
  </si>
  <si>
    <t>حامد نجفی حاجیور</t>
  </si>
  <si>
    <t>HSE</t>
  </si>
  <si>
    <t>محمد یار ابسالان</t>
  </si>
  <si>
    <t>QC</t>
  </si>
  <si>
    <t>کارشناسان اجرا</t>
  </si>
  <si>
    <t>داود احمدی</t>
  </si>
  <si>
    <t>سرپرست دفتر فنی</t>
  </si>
  <si>
    <t>محمد پاپی</t>
  </si>
  <si>
    <t>کارشناسان دفتر فنی</t>
  </si>
  <si>
    <t>ناصر شاه محمدی</t>
  </si>
  <si>
    <t>CNDRQ4P80M</t>
  </si>
  <si>
    <t xml:space="preserve">سالن جلسات بزرگ </t>
  </si>
  <si>
    <t>پرده پروژکتور</t>
  </si>
  <si>
    <t>ویدئو پروژکتور</t>
  </si>
  <si>
    <t>MC</t>
  </si>
  <si>
    <t>عل اصغر رادوش</t>
  </si>
  <si>
    <t>SKY-VOICE</t>
  </si>
  <si>
    <t>احمد رهنما</t>
  </si>
  <si>
    <t>جابر رضایی</t>
  </si>
  <si>
    <t>جهرمی</t>
  </si>
  <si>
    <t>تحویل به خیریه طالقان</t>
  </si>
  <si>
    <t>حامد شهرابیان</t>
  </si>
  <si>
    <t>کد اموال قبلی مربوط به ماشین سازی بوده</t>
  </si>
  <si>
    <t>مصطفی افتخاری</t>
  </si>
  <si>
    <t>کد قبلی 604139 بوده به دلیل مختوم شدن تغییر کرد</t>
  </si>
  <si>
    <t>به دلیل فاقد کد بودن آقای بابایی کدجدید چسبانده است</t>
  </si>
  <si>
    <t>سید جلال طباطبایی</t>
  </si>
  <si>
    <t>محمد آقاملایی</t>
  </si>
  <si>
    <t>مسلم علی خانی</t>
  </si>
  <si>
    <t>مقداد کردستانی</t>
  </si>
  <si>
    <t>BS17C76</t>
  </si>
  <si>
    <t>کنترل پروژه کارفرما</t>
  </si>
  <si>
    <t>پشتیبانی کارفرما</t>
  </si>
  <si>
    <t>آی تی کارفرما</t>
  </si>
  <si>
    <t>مسئول دفتر کارفرما</t>
  </si>
  <si>
    <t>BS16C76</t>
  </si>
  <si>
    <t>BS15C76</t>
  </si>
  <si>
    <t>نصب در فولاد بردسیر (461)</t>
  </si>
  <si>
    <t>ابوالفضل پورزیدآبادی</t>
  </si>
  <si>
    <t>محمد حسینی گلیانی</t>
  </si>
  <si>
    <t>794</t>
  </si>
  <si>
    <t>كيبرد</t>
  </si>
  <si>
    <t>میکروفن</t>
  </si>
  <si>
    <t>پانچ</t>
  </si>
  <si>
    <t>اسپلیتر</t>
  </si>
  <si>
    <t>کارت حافظه</t>
  </si>
  <si>
    <t>جهت تعمیر به تهران ارسال شد و داغی اعلام گردید</t>
  </si>
  <si>
    <t>دریل شارژی</t>
  </si>
  <si>
    <t>ماکیتا</t>
  </si>
  <si>
    <t>تستر</t>
  </si>
  <si>
    <t>پرس شبكه LAN</t>
  </si>
  <si>
    <t>آچار شبکه</t>
  </si>
  <si>
    <t>Sony VPCZ-12666GG</t>
  </si>
  <si>
    <t>کد قبلی 603252 به دلیل تداخل تغییر کرد</t>
  </si>
  <si>
    <t>مانیتور حسن رضا آهمند - روشن نمیشود</t>
  </si>
  <si>
    <t>در تهران اعلام داغی شد</t>
  </si>
  <si>
    <t>دوربين تايم لپس-IPC 2125LE-ADF40KM-G</t>
  </si>
  <si>
    <t>پنكه</t>
  </si>
  <si>
    <t>Mikrotik Metall2shhpn</t>
  </si>
  <si>
    <t>5769055E1959/608</t>
  </si>
  <si>
    <t>صندلي L191  طوسي</t>
  </si>
  <si>
    <t>صندلی</t>
  </si>
  <si>
    <t>نصب در SMP</t>
  </si>
  <si>
    <t>SW 5Port HR900 POE</t>
  </si>
  <si>
    <t>NVR Dahua 4232-4KS2L</t>
  </si>
  <si>
    <t>Mikrotik QRT</t>
  </si>
  <si>
    <t>Mikrotik SXTSQ 5HP</t>
  </si>
  <si>
    <t>Dahua HFW3449EP-AS</t>
  </si>
  <si>
    <t>Mikrotik QRT 5AC</t>
  </si>
  <si>
    <t>دوربین نصب شده مرکز تحقیقات</t>
  </si>
  <si>
    <t>لپ تاپ ACER PT315-73G5</t>
  </si>
  <si>
    <t>HB7088H2FGA/240/R2</t>
  </si>
  <si>
    <t>PXN1528VSRB</t>
  </si>
  <si>
    <t>PXN1528VS2E</t>
  </si>
  <si>
    <t>PUC1647003S</t>
  </si>
  <si>
    <t>PXN16330LA8</t>
  </si>
  <si>
    <t>PXN1528VT0J</t>
  </si>
  <si>
    <t>PXN1528VT1P</t>
  </si>
  <si>
    <t>PUC17110OPA</t>
  </si>
  <si>
    <t>PUC1730OUT7</t>
  </si>
  <si>
    <t>PXN1528VT11</t>
  </si>
  <si>
    <t>PUC173811HM</t>
  </si>
  <si>
    <t>PUC17430HJ4</t>
  </si>
  <si>
    <t>PXN1528W2RJ</t>
  </si>
  <si>
    <t>PXN1528VT0G</t>
  </si>
  <si>
    <t>PXN16330O5L</t>
  </si>
  <si>
    <t>PUC16470FZ7</t>
  </si>
  <si>
    <t>PXN1528VSXD</t>
  </si>
  <si>
    <t>PXN1528VTBG</t>
  </si>
  <si>
    <t>209NTEP4P652</t>
  </si>
  <si>
    <t>209NTNH4Q527</t>
  </si>
  <si>
    <t>209NTEP4Q548</t>
  </si>
  <si>
    <t>209NTEPN6908</t>
  </si>
  <si>
    <t>209NTVS4Q535</t>
  </si>
  <si>
    <t>کیس GREEN</t>
  </si>
  <si>
    <t>اسکنر CANON/M160</t>
  </si>
  <si>
    <t>310033580B79944700290</t>
  </si>
  <si>
    <t>UPS /GENESIS-2+3KVA</t>
  </si>
  <si>
    <t>310033551B69276500035</t>
  </si>
  <si>
    <t>PUC1923032ZS</t>
  </si>
  <si>
    <t>ارسال از خرامه به تهران جهت استفاده در دفتر مرکزی</t>
  </si>
  <si>
    <t>تاریخ ارسال 1401/11/08</t>
  </si>
  <si>
    <t>ورودی اجناس توسعه فولاد (362)</t>
  </si>
  <si>
    <t xml:space="preserve">نصب در کانکس جنب درب نگهبانی فکور </t>
  </si>
  <si>
    <t>برق وتاسیسات</t>
  </si>
  <si>
    <t>حمید رضا خراسانی</t>
  </si>
  <si>
    <t>انبار آی تی سایت مرکز تحقیقات (438)</t>
  </si>
  <si>
    <t>LOGITECH C925E</t>
  </si>
  <si>
    <t xml:space="preserve">2047LZ53NDC9 </t>
  </si>
  <si>
    <t>2047LZ53NAQ9</t>
  </si>
  <si>
    <t>2047LZ53N5Q9</t>
  </si>
  <si>
    <t>2047LZ53NAE9</t>
  </si>
  <si>
    <t>2052LZ977YN9</t>
  </si>
  <si>
    <t>2047LZ53NAJ9</t>
  </si>
  <si>
    <t>2047LZ53NAR9</t>
  </si>
  <si>
    <t>2047LZ53N5F9</t>
  </si>
  <si>
    <t>2047LZ53N9M9</t>
  </si>
  <si>
    <t>2047LZ53N4R9</t>
  </si>
  <si>
    <t>BS28C74</t>
  </si>
  <si>
    <t>در تهران به دلیل تعمیر نشدن داغی اعلام شده</t>
  </si>
  <si>
    <t>1402/04/13</t>
  </si>
  <si>
    <t>FOC1716V1MC</t>
  </si>
  <si>
    <t>FOC1716V1ML</t>
  </si>
  <si>
    <t>FOC1412W52M</t>
  </si>
  <si>
    <t>CISCO 3560 POE 8 PORT</t>
  </si>
  <si>
    <t>RBCAPGI-5ACD2ND-XL</t>
  </si>
  <si>
    <t>HD208CYD2PX/234/R4</t>
  </si>
  <si>
    <t>HD20876WBBB/234/R4</t>
  </si>
  <si>
    <t>HD6080V9SV2/245/R4</t>
  </si>
  <si>
    <t>HD2080Z150D/234/R4</t>
  </si>
  <si>
    <t>HD60825S5B2/245/R4</t>
  </si>
  <si>
    <t>HD20833CHNY/234/R4</t>
  </si>
  <si>
    <t>HD208DCQV8K/234/R4</t>
  </si>
  <si>
    <t>HD608EVFKNE/245/R4</t>
  </si>
  <si>
    <t>HD6085SJHKY/245/R4</t>
  </si>
  <si>
    <t>HD2080MES2Q/234/R4</t>
  </si>
  <si>
    <t>FOC1724Z41A</t>
  </si>
  <si>
    <t>CISCO 3750 POE 48 PORT</t>
  </si>
  <si>
    <t>FD01316Y04G</t>
  </si>
  <si>
    <t>CISCO 2960 S POE 48 PORT</t>
  </si>
  <si>
    <t>FOC1618X41U</t>
  </si>
  <si>
    <t>FD01316Y05W</t>
  </si>
  <si>
    <t>TP-LINK TD-W8951ND</t>
  </si>
  <si>
    <t>TP-LINK TD-W8961ND</t>
  </si>
  <si>
    <t>214A302006164</t>
  </si>
  <si>
    <t>TP-LINK TD-W8901G</t>
  </si>
  <si>
    <t>111A4808278</t>
  </si>
  <si>
    <t>D-LINK DPR-1061</t>
  </si>
  <si>
    <t>P1R62A5005074</t>
  </si>
  <si>
    <t>P1R62A7001937</t>
  </si>
  <si>
    <t>ارسال شده از سنگان - کد اموال سنگان 3010389</t>
  </si>
  <si>
    <t>انبار آی تی پالایشگاه (430)</t>
  </si>
  <si>
    <t>206NTEP3S492</t>
  </si>
  <si>
    <t>PXN16330I40</t>
  </si>
  <si>
    <t>201NTPCN6896</t>
  </si>
  <si>
    <t>GXJ58648</t>
  </si>
  <si>
    <t>209NTRL4Q606</t>
  </si>
  <si>
    <t>PXN1528VRHO</t>
  </si>
  <si>
    <t>PXN1528VRYV</t>
  </si>
  <si>
    <t>209NTKF4Q573</t>
  </si>
  <si>
    <t>209NTWG4Q529</t>
  </si>
  <si>
    <t>PUC17440P0W</t>
  </si>
  <si>
    <t>علی محمدی</t>
  </si>
  <si>
    <t>آبدارخانه کارفرما</t>
  </si>
  <si>
    <t>CISCO 3750 POE 48</t>
  </si>
  <si>
    <t>CISCO 2960 POE 48</t>
  </si>
  <si>
    <t>PUC171110YP</t>
  </si>
  <si>
    <t>Cisco 2960 24port</t>
  </si>
  <si>
    <t>FOC1422WRDU</t>
  </si>
  <si>
    <t>209NTPC4Q584</t>
  </si>
  <si>
    <t>PUC1743162B</t>
  </si>
  <si>
    <t>Logitech-1015</t>
  </si>
  <si>
    <t>2052LZ97N9</t>
  </si>
  <si>
    <t>GPlus-GTV55PU718N</t>
  </si>
  <si>
    <t>211STSN19089</t>
  </si>
  <si>
    <t>211STZQ19090</t>
  </si>
  <si>
    <t>211STO3019282</t>
  </si>
  <si>
    <t>PXN1506J1IJ</t>
  </si>
  <si>
    <t>سالن فکور</t>
  </si>
  <si>
    <t>آتشنشانی</t>
  </si>
  <si>
    <t>PXN1528W2PE</t>
  </si>
  <si>
    <t>GPlus-GTV65PQ738CS</t>
  </si>
  <si>
    <t>305STWU21701</t>
  </si>
  <si>
    <t>CNBRP3752N</t>
  </si>
  <si>
    <t>TP_LINK TD-W8961N</t>
  </si>
  <si>
    <t>22264K8001542</t>
  </si>
  <si>
    <t>Hikvision DS2CD1043G0-I</t>
  </si>
  <si>
    <t>رادیو های نصب شده در انبار فکور</t>
  </si>
  <si>
    <t>PUC17430JQM</t>
  </si>
  <si>
    <t>PXN1508KGYJ</t>
  </si>
  <si>
    <t>PUC1719OQSY</t>
  </si>
  <si>
    <t>سویچ CISCO 2960 48PORT</t>
  </si>
  <si>
    <t>FOC1645Z1M6</t>
  </si>
  <si>
    <t>K11234597</t>
  </si>
  <si>
    <t>FOC1435W12J</t>
  </si>
  <si>
    <t>PXN1527V5A9</t>
  </si>
  <si>
    <t>PUC173810MI</t>
  </si>
  <si>
    <t>اسپیکر رومیزی تسکو یک جفت td2058</t>
  </si>
  <si>
    <t>43000824</t>
  </si>
  <si>
    <t>Mini PC Univo 16GB</t>
  </si>
  <si>
    <t>پالایشگاه (430)</t>
  </si>
  <si>
    <t>دوربین نصب شده در ساختمان کارفرما</t>
  </si>
  <si>
    <t>عامر قاسمی</t>
  </si>
  <si>
    <t>عبدالله آزادی</t>
  </si>
  <si>
    <t>سالن جلسات کارفرما</t>
  </si>
  <si>
    <t>حمیدرضا صالح</t>
  </si>
  <si>
    <t>پالایشگاه فرزانگان(430)</t>
  </si>
  <si>
    <t>کارفرما پالایشگاه فرزانگان(430)</t>
  </si>
  <si>
    <t>هیرگان</t>
  </si>
  <si>
    <t>گهرفرزانگان</t>
  </si>
  <si>
    <t>کد قبلی فکور 624927</t>
  </si>
  <si>
    <t>کد قبلی فکور 624904</t>
  </si>
  <si>
    <t>کد قبلی فکور 624630</t>
  </si>
  <si>
    <t>کد قبلی فکور 624662</t>
  </si>
  <si>
    <t>کد قبلی فکور 608026</t>
  </si>
  <si>
    <t>کد قبلی فکور 624905</t>
  </si>
  <si>
    <t>کد قبلی فکور 624906</t>
  </si>
  <si>
    <t>کد قبلی فکور 624714</t>
  </si>
  <si>
    <t>کد قبلی فکور 624921</t>
  </si>
  <si>
    <t>کد قبلی فکور 623228</t>
  </si>
  <si>
    <t>Radio QRT 5</t>
  </si>
  <si>
    <t>فلش مموری</t>
  </si>
  <si>
    <t xml:space="preserve">پرده ویدیو پروژکتور SCOPE کد اموال </t>
  </si>
  <si>
    <t>0714004212010379</t>
  </si>
  <si>
    <t>0714002208012244</t>
  </si>
  <si>
    <t>0714002208012520</t>
  </si>
  <si>
    <t>0714004212011109</t>
  </si>
  <si>
    <t>0714002208012256</t>
  </si>
  <si>
    <t>0722012109030094</t>
  </si>
  <si>
    <t>0714002208012518</t>
  </si>
  <si>
    <t>C66</t>
  </si>
  <si>
    <t>علیرضا بهنام فرد</t>
  </si>
  <si>
    <t>QC  استراکچر</t>
  </si>
  <si>
    <t>0062332716</t>
  </si>
  <si>
    <t>انبار فولاد بردسیر (461)</t>
  </si>
  <si>
    <t>306STIK27153</t>
  </si>
  <si>
    <t>TV GPLUS GTV-55PQ738CS</t>
  </si>
  <si>
    <t>212STGA22276</t>
  </si>
  <si>
    <t>TV GPLUS GTV-55PQ736S.CHC00</t>
  </si>
  <si>
    <t>304STRT15596</t>
  </si>
  <si>
    <t>TVGPLUS GTV-65PU750CN.CHC00</t>
  </si>
  <si>
    <t>UR1NAS310H661243</t>
  </si>
  <si>
    <t>مینی کیس univo</t>
  </si>
  <si>
    <t>207KBRN00111</t>
  </si>
  <si>
    <t>( به همراه برد هوشمند)TVGPLUS GTV-65MD</t>
  </si>
  <si>
    <t>میکروفون CREATOR CR-M4104B</t>
  </si>
  <si>
    <t>AUDIO-CONFRANC CR-M4101</t>
  </si>
  <si>
    <t>جهت نصب در سالن کنفرانس</t>
  </si>
  <si>
    <t>73039686</t>
  </si>
  <si>
    <t>Sharp AR-5316EX</t>
  </si>
  <si>
    <t>رک خوابگاه فولاد بردسیر (461)</t>
  </si>
  <si>
    <t>DAHUA HDW2439TPAS LED</t>
  </si>
  <si>
    <t>نصب شده در طبقات خوابگاه</t>
  </si>
  <si>
    <t>NVR DAHUA4322-4K</t>
  </si>
  <si>
    <t>نصب شده جهت دوربین ها</t>
  </si>
  <si>
    <t xml:space="preserve">رک شبکه </t>
  </si>
  <si>
    <t>از گلفا به توسعه منتقل شد</t>
  </si>
  <si>
    <t>خراب است .از گلفا به توسعه منتقل شد</t>
  </si>
  <si>
    <t>مهرناز کازرونی</t>
  </si>
  <si>
    <t>رضا قربانی</t>
  </si>
  <si>
    <t>فرزان فن اندیش</t>
  </si>
  <si>
    <t>دفتر مدیر پروژه</t>
  </si>
  <si>
    <t>دفتر مدیر پروژه  توسعه فولاد (362)</t>
  </si>
  <si>
    <t>هومان نادری</t>
  </si>
  <si>
    <t>جوش آزما جی</t>
  </si>
  <si>
    <t>GG192C3</t>
  </si>
  <si>
    <t>GG20C3</t>
  </si>
  <si>
    <t>درب شمال توسعه فولاد (362)</t>
  </si>
  <si>
    <t xml:space="preserve">نگهبانی انبار منطقه ای سیرجان-علت روشن نشدن </t>
  </si>
  <si>
    <t xml:space="preserve">موجودی انبار  آی تی مرکز تحقیقات (438)-علت روشن نشدن </t>
  </si>
  <si>
    <t xml:space="preserve">یوسف خیری-علت روشن نشدن -سایت مرکز تحقیقات </t>
  </si>
  <si>
    <t>آقای فردین تقی نیا - عسلویه</t>
  </si>
  <si>
    <t>جمشید راکیان(زیگورات)</t>
  </si>
  <si>
    <t>به صورت مشترک تات و زیگورات باهم استفاده میکنن</t>
  </si>
  <si>
    <t>خوابگاه دماوند سیرجان جمع اوری شد</t>
  </si>
  <si>
    <t>DAHUA DH-IPC-HDW2439</t>
  </si>
  <si>
    <t>7E05100PAGA7EAB</t>
  </si>
  <si>
    <t>7H06CFBPAGB0463</t>
  </si>
  <si>
    <t>7E05100PAG372F6</t>
  </si>
  <si>
    <t>7E05100PAG61AC8</t>
  </si>
  <si>
    <t>7E05100PAG5F3E9</t>
  </si>
  <si>
    <t>7E05100PAGE2350</t>
  </si>
  <si>
    <t>7E05100PAGA62F1</t>
  </si>
  <si>
    <t>تحویل آقای صادقی جهت تعمیر به علت خرابی سوکت شبکه</t>
  </si>
  <si>
    <t>305STGG19020</t>
  </si>
  <si>
    <t>305STRH19018</t>
  </si>
  <si>
    <t>306STDD15791</t>
  </si>
  <si>
    <t>G-PLUS GTV-43PU746N</t>
  </si>
  <si>
    <t>G-PLUS GTV-55PQ738CS</t>
  </si>
  <si>
    <t>22116B6004398</t>
  </si>
  <si>
    <t>128A9104189</t>
  </si>
  <si>
    <t>TP-Link TD-W8901</t>
  </si>
  <si>
    <t>11683302257</t>
  </si>
  <si>
    <t>306STKW15790</t>
  </si>
  <si>
    <t>KR33C19</t>
  </si>
  <si>
    <t>مربوط به کانکس ESP   - به عت خرابی جهت تعمیر ارسال شد</t>
  </si>
  <si>
    <t>FCQ1739Y24L</t>
  </si>
  <si>
    <t>1623008908012730</t>
  </si>
  <si>
    <t>LG 19" 194 WT</t>
  </si>
  <si>
    <t>از خوابگاه به سایت توسعه منتقل شد</t>
  </si>
  <si>
    <t>خوابگاه 12 واحدی مولوی</t>
  </si>
  <si>
    <t>ملیحه خوارزمی</t>
  </si>
  <si>
    <t>مسئول ترانسپورت</t>
  </si>
  <si>
    <t>از 14 واحدی به 12 واحدی منتقل شد</t>
  </si>
  <si>
    <t>NVR DHI-NVR4232-4KS2/L</t>
  </si>
  <si>
    <t>8C05D1FPAZ3B1C3</t>
  </si>
  <si>
    <t>8G08E06PAG4F045</t>
  </si>
  <si>
    <t>8G08E06PAG391BF</t>
  </si>
  <si>
    <t>8G08E06PAG49E74</t>
  </si>
  <si>
    <t>8B00F4DPAG09D56</t>
  </si>
  <si>
    <t>8B00F4DPAGC79AD</t>
  </si>
  <si>
    <t>7J09889PAG0E07F</t>
  </si>
  <si>
    <t>8F02E5EPAGBC7E5</t>
  </si>
  <si>
    <t>8F02E5EPAGA7A92</t>
  </si>
  <si>
    <t>7J06026PAG2DE7D</t>
  </si>
  <si>
    <t>8G08E06PAG7C2A2</t>
  </si>
  <si>
    <t>7J06026PAG1715C</t>
  </si>
  <si>
    <t>7H096FAPAGA45D5</t>
  </si>
  <si>
    <t>8B00F4DPAG2A095</t>
  </si>
  <si>
    <t>8D0548EPAG1CCD5</t>
  </si>
  <si>
    <t>7J09889PAG27F24</t>
  </si>
  <si>
    <t>IPC-HDW2439TP-AS-LED-S2</t>
  </si>
  <si>
    <t>IPC-HFW3449E-AS-LED</t>
  </si>
  <si>
    <t>در تاریخ 1402/05/03 از تعمیر برگشت</t>
  </si>
  <si>
    <t>احمدرضا امیری</t>
  </si>
  <si>
    <t>مطلق</t>
  </si>
  <si>
    <t>شرکت فرزان</t>
  </si>
  <si>
    <t>انبار 4هکتاری توسعه فولاد (362)</t>
  </si>
  <si>
    <t>نصب جهت شبکه انبار</t>
  </si>
  <si>
    <t>به دلیل نوسان برق تمام تجهیزات سوخته</t>
  </si>
  <si>
    <t>سنگان</t>
  </si>
  <si>
    <t>BS29C74</t>
  </si>
  <si>
    <t>کیس منتقل به کارفرما شده</t>
  </si>
  <si>
    <t>مجتبی خداوردی</t>
  </si>
  <si>
    <t>شرکت آویسا</t>
  </si>
  <si>
    <t>میکائیل آقچه لی</t>
  </si>
  <si>
    <t>PXN1528VSU7</t>
  </si>
  <si>
    <t>072200507064690</t>
  </si>
  <si>
    <t>P9GF150675L</t>
  </si>
  <si>
    <t>EPSON H383B</t>
  </si>
  <si>
    <t>پرده ویدیو پروژکتور SCOPE</t>
  </si>
  <si>
    <t xml:space="preserve">سایز  2*2 </t>
  </si>
  <si>
    <t>نیروی انتظامی خرامه (392)</t>
  </si>
  <si>
    <t>نیروی انتظامی خرامه</t>
  </si>
  <si>
    <t>4020305</t>
  </si>
  <si>
    <t>کد قبلی 615888 به دلیل تداخل و هماهنگی با مالی کنده شد</t>
  </si>
  <si>
    <t>کد قبلی 615889 به دلیل تداخل و هماهنگی با مالی کنده شد</t>
  </si>
  <si>
    <t>(کد611077 به دلیل تداخل  با هماهنگی مالی کنده شد)</t>
  </si>
  <si>
    <t>FOC1103Z1B9</t>
  </si>
  <si>
    <t>کد مخدوش</t>
  </si>
  <si>
    <t>موجود در کانکس کنار دکل</t>
  </si>
  <si>
    <t>از تعمیر برگشت</t>
  </si>
  <si>
    <t>تلفن بيسيم پاناسونيك KX-TG3711BX</t>
  </si>
  <si>
    <t>در تاریخ 1402/05/08 از تعمیر برگشت</t>
  </si>
  <si>
    <t>از گهرزمین به توسعه منتقل شده-اعلام داغی شد</t>
  </si>
  <si>
    <t>نصب در اتاق ای تی</t>
  </si>
  <si>
    <t>کانکس پای دکل توسعه فولاد (362)</t>
  </si>
  <si>
    <t xml:space="preserve">خراب شده </t>
  </si>
  <si>
    <t>FOC1636V2GE</t>
  </si>
  <si>
    <t>FCQ1548X3AQ</t>
  </si>
  <si>
    <t>CISCO 3560 8 PORT</t>
  </si>
  <si>
    <t>FCQ1609X2M6</t>
  </si>
  <si>
    <t>CISCO 2960 48 PORT</t>
  </si>
  <si>
    <t>1CU مخدوش</t>
  </si>
  <si>
    <t>CISCO 3750 48 PORT</t>
  </si>
  <si>
    <t>CAT1050ZGXT</t>
  </si>
  <si>
    <t>CISCO 3850 24  PORT</t>
  </si>
  <si>
    <t>F0C043U00X</t>
  </si>
  <si>
    <t>F0C2110L27</t>
  </si>
  <si>
    <t>LGU مخدوش</t>
  </si>
  <si>
    <t>انبار گهرزمین (290)</t>
  </si>
  <si>
    <t>داخل رک گهرزمین</t>
  </si>
  <si>
    <t>cisco-cp-6945</t>
  </si>
  <si>
    <t>وحید جمالی</t>
  </si>
  <si>
    <t>GG84C3</t>
  </si>
  <si>
    <t>وحید حسینی</t>
  </si>
  <si>
    <t>ارسال به تهران جهت خیریه</t>
  </si>
  <si>
    <t>دفتر تهران</t>
  </si>
  <si>
    <t>تاریخ 1402/05/15 به تهران ارسال شد</t>
  </si>
  <si>
    <t>محمد بهمنی</t>
  </si>
  <si>
    <t>0714007305008482</t>
  </si>
  <si>
    <t>انبار 4 هکتاری توسعه فولاد (362)</t>
  </si>
  <si>
    <t>i3</t>
  </si>
  <si>
    <t>TP LINK ADSL DSL-X13</t>
  </si>
  <si>
    <t>D4IXD4000735</t>
  </si>
  <si>
    <t>از خوابگاه كارشناسان سيرجان (سنايي) جمع آوری شد .</t>
  </si>
  <si>
    <t>علی حسینی دهنوی</t>
  </si>
  <si>
    <t>BS31C74</t>
  </si>
  <si>
    <t>Cisco 3560 poe</t>
  </si>
  <si>
    <t>به دلیل مشکل از خوابگاه 12 واحدی مولوی جمع آوری و به تعمیر ارسال شد</t>
  </si>
  <si>
    <t xml:space="preserve">BENQ 27" GW2780-T </t>
  </si>
  <si>
    <t>ETR4N0434701Q</t>
  </si>
  <si>
    <t>ETR4N0425801Q</t>
  </si>
  <si>
    <t>ETR4N0431701Q</t>
  </si>
  <si>
    <t>ETR4N0434401Q</t>
  </si>
  <si>
    <t>ETF6M0323101Q</t>
  </si>
  <si>
    <t>ETR4N0425201Q</t>
  </si>
  <si>
    <t>جهت تعمیر به تهران منتقل شد</t>
  </si>
  <si>
    <t>به دلیل روشن نشدن به تعمیر ارسال شد</t>
  </si>
  <si>
    <t>امیر مومنی</t>
  </si>
  <si>
    <t xml:space="preserve">LENOVO IDEAPAD S10-3 </t>
  </si>
  <si>
    <t>LENOVO THINKPAD T440P</t>
  </si>
  <si>
    <t>آی تی توسعه فولاد (362)</t>
  </si>
  <si>
    <t>مورد استفاده آی تی</t>
  </si>
  <si>
    <t>کارشناس اجرا</t>
  </si>
  <si>
    <t>PSJ155107R4</t>
  </si>
  <si>
    <t>Cisco SMALL-BUSINESS-SF100-24</t>
  </si>
  <si>
    <t xml:space="preserve">از مهمانسرای فکور پروژه توسعه فولاد جمع آوری شد </t>
  </si>
  <si>
    <t>مهمانسرا فکور توسعه فولاد (362)</t>
  </si>
  <si>
    <t>100604</t>
  </si>
  <si>
    <t>BS32C74</t>
  </si>
  <si>
    <t>محمد زری</t>
  </si>
  <si>
    <t>مکانیک کارفرما</t>
  </si>
  <si>
    <r>
      <t xml:space="preserve">کد قبلی که به دلیل تداخل کنده شده </t>
    </r>
    <r>
      <rPr>
        <b/>
        <sz val="14"/>
        <color rgb="FFFF0000"/>
        <rFont val="Calibri"/>
        <family val="2"/>
        <scheme val="minor"/>
      </rPr>
      <t>603688</t>
    </r>
    <r>
      <rPr>
        <b/>
        <sz val="14"/>
        <rFont val="Calibri"/>
        <family val="2"/>
        <scheme val="minor"/>
      </rPr>
      <t xml:space="preserve"> بوده - انتقال از گهرزمین به بردسیر</t>
    </r>
  </si>
  <si>
    <t>پرینتر انبار شهر - تحویل کریمی شد بابت تعمیر</t>
  </si>
  <si>
    <t>جهت خیریه به تهران ارسال و بخاطر مشکل داغی اعلام گردید</t>
  </si>
  <si>
    <t>جهت خیریه به تهران ارسال شد و به دلیل مشکل داغی اعلام شد</t>
  </si>
  <si>
    <t>رباط میلی</t>
  </si>
  <si>
    <t>شرکت پیمانکاری موسوی</t>
  </si>
  <si>
    <t>GG16C3</t>
  </si>
  <si>
    <t>حیدر چتانی</t>
  </si>
  <si>
    <t>0722003009032976</t>
  </si>
  <si>
    <t>جمع آوری از خوابگاه نارسیس - سیستم قبلی اسدی</t>
  </si>
  <si>
    <t>اسدی</t>
  </si>
  <si>
    <t>daghi</t>
  </si>
  <si>
    <t>جهت تعمیر به تهران ارسل شده و در تران داغی اعلام گردید</t>
  </si>
  <si>
    <t>کد اموال 605234 قبلی چون کد مختوم بوده از روی مانیتور کنده شد</t>
  </si>
  <si>
    <t>کد اموال قبلی 607679 به دلیل اینکه قبلا محتوم بوده از روی کیس کنده شد</t>
  </si>
  <si>
    <t>توسط خود آی تی تهران داغی اعلام شده بوده</t>
  </si>
  <si>
    <t>Camera Fuji Finepix xp80</t>
  </si>
  <si>
    <t>مجید فعله گری</t>
  </si>
  <si>
    <t>NVR UNV 301-D8S3</t>
  </si>
  <si>
    <t>XKDAKY00190122800017</t>
  </si>
  <si>
    <t>HIKVISION 4Port DES-3E0105P-E</t>
  </si>
  <si>
    <t>F09212752</t>
  </si>
  <si>
    <t>F09218857</t>
  </si>
  <si>
    <t>Radio sxt sq</t>
  </si>
  <si>
    <t>Switch 3560 POE 12Port</t>
  </si>
  <si>
    <t>عباس آبکار</t>
  </si>
  <si>
    <t>در تاریخ 1402/05/28 از تعمیر برگشت</t>
  </si>
  <si>
    <t>پژمان درویش زاده</t>
  </si>
  <si>
    <t>کپی آزمایشگاه - تحویل کریمی شد بابت تعمیر</t>
  </si>
  <si>
    <t>پایش سلامت</t>
  </si>
  <si>
    <t>Mobile Nokia 106</t>
  </si>
  <si>
    <t>محمد محمدنیا</t>
  </si>
  <si>
    <t>متالوژی ومواد</t>
  </si>
  <si>
    <t>در تاریخ 1402/06/06 از تعمیر برگشت</t>
  </si>
  <si>
    <t>GG41C3</t>
  </si>
  <si>
    <t>مهران ایرانمنش</t>
  </si>
  <si>
    <t>GG195C3</t>
  </si>
  <si>
    <t>تاریخ 1402/06/09 به دلیل مختومه بودن معدوم شد</t>
  </si>
  <si>
    <t>تاریخ 1402/06/09 به دلیل مختوم بودن معدوم گردید</t>
  </si>
  <si>
    <t>350728028140079</t>
  </si>
  <si>
    <t>به همراه سیم کارت همراه اول 09945617529</t>
  </si>
  <si>
    <t>350728028153890</t>
  </si>
  <si>
    <t>با سیم کارت همراه اوال 09945617615</t>
  </si>
  <si>
    <t>GG9C10</t>
  </si>
  <si>
    <t>آی تی خوابگاه 12 واحدی مولوی</t>
  </si>
  <si>
    <t>محسن سپاهیان فرد</t>
  </si>
  <si>
    <t>مجید سلیمانی</t>
  </si>
  <si>
    <t>100608</t>
  </si>
  <si>
    <t xml:space="preserve">ایشان به علت روشن نشدن جهت تعمیر به تهران </t>
  </si>
  <si>
    <t>3CBLL030408</t>
  </si>
  <si>
    <t>1KALI140282</t>
  </si>
  <si>
    <t>1KALI134490</t>
  </si>
  <si>
    <t>5KATK683654</t>
  </si>
  <si>
    <t>LG 65" 65UK6100PVA</t>
  </si>
  <si>
    <t>803KCLHQM472</t>
  </si>
  <si>
    <t>BenQ LED 22" GW2270H</t>
  </si>
  <si>
    <t>Green Hiva</t>
  </si>
  <si>
    <t>100574</t>
  </si>
  <si>
    <t>Rr0063994879</t>
  </si>
  <si>
    <t>علی صالحی</t>
  </si>
  <si>
    <t>100612</t>
  </si>
  <si>
    <t>GG3C3</t>
  </si>
  <si>
    <t>NVR DAHUA 4216-4KS2</t>
  </si>
  <si>
    <t>0722015205013045</t>
  </si>
  <si>
    <t>پیمان بهزادی پرسنل واحد نظارت کارفرما  -به علت روشن نشدن به تعمیر ارسال شد</t>
  </si>
  <si>
    <t>نصب در درب ورودی انبار</t>
  </si>
  <si>
    <t>داریوش تاجداری</t>
  </si>
  <si>
    <t>برسو</t>
  </si>
  <si>
    <t>BS21C76</t>
  </si>
  <si>
    <t>دفتر مدیر توسعه فولاد (362)</t>
  </si>
  <si>
    <t>Mikrotik sxtsq</t>
  </si>
  <si>
    <t>Mikrotik cap XL</t>
  </si>
  <si>
    <t>غلامرضا سپیانی</t>
  </si>
  <si>
    <t>عرفان باجلانی</t>
  </si>
  <si>
    <t>4020606</t>
  </si>
  <si>
    <t>GG174C3</t>
  </si>
  <si>
    <t>هادی محمد نژاد</t>
  </si>
  <si>
    <t>100566</t>
  </si>
  <si>
    <t>0722015203039613</t>
  </si>
  <si>
    <t>100599</t>
  </si>
  <si>
    <t>4020601</t>
  </si>
  <si>
    <t>خوابگاه VIP تربت حیدریه (439)</t>
  </si>
  <si>
    <t>HD7085BTMEX</t>
  </si>
  <si>
    <t>HD708EE3Q61</t>
  </si>
  <si>
    <t>HCS08DJGSAG</t>
  </si>
  <si>
    <t>HCS08B2WV46</t>
  </si>
  <si>
    <t>طبقه همکف خوابگاه پالایشگاه (430)</t>
  </si>
  <si>
    <t>211STSX14526</t>
  </si>
  <si>
    <t>211STHI14876</t>
  </si>
  <si>
    <t>211STHJ14964</t>
  </si>
  <si>
    <t>211STGF14866</t>
  </si>
  <si>
    <t>211STVU16855</t>
  </si>
  <si>
    <t>211STRT14871</t>
  </si>
  <si>
    <t>211STJO14873</t>
  </si>
  <si>
    <t>205STLU24506</t>
  </si>
  <si>
    <t>205STUF14183</t>
  </si>
  <si>
    <t>205STJB23124</t>
  </si>
  <si>
    <t>205STSD23185</t>
  </si>
  <si>
    <t>205STZR24185</t>
  </si>
  <si>
    <t>205STJE24507</t>
  </si>
  <si>
    <t>205STJM25159</t>
  </si>
  <si>
    <t>205STDD24184</t>
  </si>
  <si>
    <t>205STTT24142</t>
  </si>
  <si>
    <t>201STKX20523</t>
  </si>
  <si>
    <t>201STBU21620</t>
  </si>
  <si>
    <t>211STHL14504</t>
  </si>
  <si>
    <t>211STGE14864</t>
  </si>
  <si>
    <t>211STSV14877</t>
  </si>
  <si>
    <t>211STGQV147872</t>
  </si>
  <si>
    <t>205STQP24460</t>
  </si>
  <si>
    <t>طبقه 2 خوابگاه پالایشگاه (430)</t>
  </si>
  <si>
    <t>طبقه 3 خوابگاه پالایشگاه (430)</t>
  </si>
  <si>
    <t>طبقه 4 خوابگاه پالایشگاه (430)</t>
  </si>
  <si>
    <t>طبقه 1 خوابگاه پالایشگاه (430)</t>
  </si>
  <si>
    <t>طبقه 5 خوابگاه پالایشگاه (430)</t>
  </si>
  <si>
    <t>طبقه 6 خوابگاه پالایشگاه (430)</t>
  </si>
  <si>
    <t>G-PLUS GTV-50MH512N</t>
  </si>
  <si>
    <t>دوربین هایک ویژن ds-2cd1143g.i</t>
  </si>
  <si>
    <t>Mikrotik Cap XL</t>
  </si>
  <si>
    <t>G-PLUS GTV-50PU744N</t>
  </si>
  <si>
    <t>Rack KABIR SANAT 42Unit DFB-100</t>
  </si>
  <si>
    <t>HIKVISON DS-7732NI-K4</t>
  </si>
  <si>
    <t>0714004212011108</t>
  </si>
  <si>
    <t>مانیتور کریم اسکندری به علت مات شدن تصویر جهت تعمیر ارسال شد</t>
  </si>
  <si>
    <t>PHCVR67758</t>
  </si>
  <si>
    <t>PHCVR63867</t>
  </si>
  <si>
    <t>PHCNH43004</t>
  </si>
  <si>
    <t>PHCNF78086</t>
  </si>
  <si>
    <t>PHCNH39999</t>
  </si>
  <si>
    <t>HP M501DN</t>
  </si>
  <si>
    <t>HP M402DN</t>
  </si>
  <si>
    <t>محمد جواد مرادی</t>
  </si>
  <si>
    <t>BS22C76</t>
  </si>
  <si>
    <t>0308006412008305</t>
  </si>
  <si>
    <t>CNB9J6WCXR</t>
  </si>
  <si>
    <t>از سه چاهون به بردسیر منتقل شد</t>
  </si>
  <si>
    <t>رومیزی</t>
  </si>
  <si>
    <t>تلفن قبلی شهسواری پور - داخلی نمیگرفت به تهران ارسال شد</t>
  </si>
  <si>
    <t>مختوم شد</t>
  </si>
  <si>
    <t>1402/06/19</t>
  </si>
  <si>
    <t>به علت مختومه بودن از تهران معدوم گردید.</t>
  </si>
  <si>
    <t>در تاریخ 1402/06/21 از تعمیر برگشت</t>
  </si>
  <si>
    <t>مهران کیانی</t>
  </si>
  <si>
    <t>GG196C3</t>
  </si>
  <si>
    <t>رک آی تی فولاد بردسیر (461)</t>
  </si>
  <si>
    <t>نصب شده در رک کانکس 12 متری بردسیر</t>
  </si>
  <si>
    <t>فرزاد غریبی</t>
  </si>
  <si>
    <t>به علت روشن نشدن ( مانیتور تحویلی به آقای حبیب برازجانی)</t>
  </si>
  <si>
    <t xml:space="preserve">به علت شکستگی صفحه </t>
  </si>
  <si>
    <t>G-PLUS GSB-86JD بردهوشمند</t>
  </si>
  <si>
    <t>102KBPQ00112</t>
  </si>
  <si>
    <t>FOC1304V2G8</t>
  </si>
  <si>
    <t>FOC1303V6Q4</t>
  </si>
  <si>
    <t>FOC1304V1DH</t>
  </si>
  <si>
    <t>FOC1304V26W</t>
  </si>
  <si>
    <t>FOC1304V2FA</t>
  </si>
  <si>
    <t>FOC1304V35S</t>
  </si>
  <si>
    <t>FOC1305V12Y</t>
  </si>
  <si>
    <t>FOC1304V1G5</t>
  </si>
  <si>
    <t>FOC1303V70M</t>
  </si>
  <si>
    <t xml:space="preserve">( به علت ریست شدن مداوم موجودی سایت توسعه فولاد </t>
  </si>
  <si>
    <t>دستگاه خوابگاه مولوی - خاموش شدن ناگهانی</t>
  </si>
  <si>
    <t>معین ایزدی</t>
  </si>
  <si>
    <t>سید فرید طاهری</t>
  </si>
  <si>
    <t>GO34C66</t>
  </si>
  <si>
    <t>E9F10EE88236</t>
  </si>
  <si>
    <t>Mikrotik LHG 5</t>
  </si>
  <si>
    <t>جهت تلفن های مخابرات استفاده میشود</t>
  </si>
  <si>
    <t>6201207149248</t>
  </si>
  <si>
    <t>FXO NewRock 4 Port</t>
  </si>
  <si>
    <t>FXS NewRock 4 Port</t>
  </si>
  <si>
    <t>NP0219EB103357</t>
  </si>
  <si>
    <t>NP0219EC173436</t>
  </si>
  <si>
    <t>6201207140177</t>
  </si>
  <si>
    <t>6201207134640</t>
  </si>
  <si>
    <t>i3-6100</t>
  </si>
  <si>
    <t>H110</t>
  </si>
  <si>
    <t>Mini PC Univo</t>
  </si>
  <si>
    <t>1402/06/27</t>
  </si>
  <si>
    <t>حیدر ناصری</t>
  </si>
  <si>
    <t>Z590A</t>
  </si>
  <si>
    <t>6843C1287748</t>
  </si>
  <si>
    <t>6843C1287604</t>
  </si>
  <si>
    <t>6843C1288899</t>
  </si>
  <si>
    <t>6843C1289237</t>
  </si>
  <si>
    <t>6843C1288587</t>
  </si>
  <si>
    <t>6843C1237911</t>
  </si>
  <si>
    <t>Milesight UG67-L04EU-868M-H32</t>
  </si>
  <si>
    <t>ارسالی از تهران-استفاده جهت ساعت های هوشمند</t>
  </si>
  <si>
    <t>FORTINET FG-100F</t>
  </si>
  <si>
    <t>FG100FTK22055890</t>
  </si>
  <si>
    <t>FGT60FTK2209FF0Z</t>
  </si>
  <si>
    <t>نصب در رک اتاق سرور سایت توسعه فولاد</t>
  </si>
  <si>
    <t>نصب در رک اتاق سرور سایت بردسیر</t>
  </si>
  <si>
    <t>FORTINET FG-60F</t>
  </si>
  <si>
    <t>مهدی مددی</t>
  </si>
  <si>
    <t>2301321401</t>
  </si>
  <si>
    <t xml:space="preserve">شرکت فرزان </t>
  </si>
  <si>
    <t xml:space="preserve">OPTIMA  DX-540 با پرده </t>
  </si>
  <si>
    <t>HSO2 محاسبگر آرتا ورژن</t>
  </si>
  <si>
    <t>کد سنگان قبلی 32700663</t>
  </si>
  <si>
    <t>کد قبلی سنگان 32700684</t>
  </si>
  <si>
    <t>کد قبلی سنگان 32700721</t>
  </si>
  <si>
    <t>کد قبلی سنگان 32703056</t>
  </si>
  <si>
    <t>کد قبلی سنگان 32703065</t>
  </si>
  <si>
    <t>کد قبلی سنگان 32700779</t>
  </si>
  <si>
    <t>کد قبلی سنگان 32700780</t>
  </si>
  <si>
    <t>کد قبلی سنگان 32700789</t>
  </si>
  <si>
    <t>از گلفا به توسعه منتقل شد-کد قبلی سنگان 32700790</t>
  </si>
  <si>
    <t>کد قبلی سنگان 32702156</t>
  </si>
  <si>
    <t>کد قبلی سنگان 32702874</t>
  </si>
  <si>
    <t>کد قبلی سنگان 32703055</t>
  </si>
  <si>
    <t>گيرنده ديجيتال 9990</t>
  </si>
  <si>
    <t>گيرنده ديجيتال</t>
  </si>
  <si>
    <t>گیرنده دیجیتال</t>
  </si>
  <si>
    <t>گيرنده ديجيتال تلويزيون</t>
  </si>
  <si>
    <t>کد قبلی سنگان 32700683</t>
  </si>
  <si>
    <t>اعلام شده به عنوان داغی-از مانیتور های سنگان 32700685</t>
  </si>
  <si>
    <t>ارسالی از تربت به تهران - کد اموال سنگان 32700717</t>
  </si>
  <si>
    <t>کد اموال 628152 به دلیل دبل کد به 626357 تغییر کرد</t>
  </si>
  <si>
    <t>کد اموال 628153 به دلیل دبل کد به 626356 تغییر کرد</t>
  </si>
  <si>
    <t>واحد رئیس جلسه به همراه میکروفن 48 سانتی - BOSS Unit</t>
  </si>
  <si>
    <t>واحد شرکت کننده جلسه همراه با میکروفن 48 سانتی - Paricpant Unit</t>
  </si>
  <si>
    <t>مطابق صورتجلسه به کارفرما تحویل داده شده</t>
  </si>
  <si>
    <t>مانیتور LG</t>
  </si>
  <si>
    <t>تاریخ 07/06/1402</t>
  </si>
  <si>
    <t xml:space="preserve">در تاریخ 07/06/1402 </t>
  </si>
  <si>
    <t xml:space="preserve">دوربين ديجيتال سامسونگ ST69 </t>
  </si>
  <si>
    <t>تلويزيون21 اينچ پارس</t>
  </si>
  <si>
    <t xml:space="preserve">گیرنده دیجیتال تلویزیون </t>
  </si>
  <si>
    <t>Pars Evo i5 11400</t>
  </si>
  <si>
    <t>قبلا مختوم شده بوده</t>
  </si>
  <si>
    <t>میکروفن SENNHEISER EWD1 دستی</t>
  </si>
  <si>
    <t xml:space="preserve">Fine Pix XP 130 رنگ خاکستری </t>
  </si>
  <si>
    <t>1402/07/16</t>
  </si>
  <si>
    <t xml:space="preserve">كيس كامپيوتر گرين </t>
  </si>
  <si>
    <t xml:space="preserve">روتر ميكروتك570 </t>
  </si>
  <si>
    <t xml:space="preserve">نرم افزار پريما 5  </t>
  </si>
  <si>
    <t>کد اموال 622609 به دلیل دبل کد کنده شد</t>
  </si>
  <si>
    <t>از گهرزمین به توسعه منتقل شد</t>
  </si>
  <si>
    <t>3ABLK894939</t>
  </si>
  <si>
    <t>Panasonic KX-DT346X</t>
  </si>
  <si>
    <t>Microtell 3190</t>
  </si>
  <si>
    <t>CTH10157</t>
  </si>
  <si>
    <t>Microtell TSC31CID</t>
  </si>
  <si>
    <t>Brother HL-2250</t>
  </si>
  <si>
    <t>E69579F3J316283</t>
  </si>
  <si>
    <t>در تاریخ 1402/07/04 از تعمیر برگشت</t>
  </si>
  <si>
    <t>سیاوش دالوند</t>
  </si>
  <si>
    <t>GG200C3</t>
  </si>
  <si>
    <t>محمدعلی زندی</t>
  </si>
  <si>
    <t>GG31C2</t>
  </si>
  <si>
    <t>HED08VKRPBH/315/R2</t>
  </si>
  <si>
    <t>HED08GDB5JV/315/R2</t>
  </si>
  <si>
    <t>HE208TGWE49/304/R2</t>
  </si>
  <si>
    <t>QRT 5AC RB911G-5HPACD</t>
  </si>
  <si>
    <t>QRT 5 RB911G-5HPND</t>
  </si>
  <si>
    <t xml:space="preserve">نصب روی دکل اصلی به سمت کویل </t>
  </si>
  <si>
    <t>نصب روی دکل اصلی به سمت انبار نسوز</t>
  </si>
  <si>
    <t>نصب روی انبار نسوز به سمت دکل اصلی</t>
  </si>
  <si>
    <t>آموزش ایمنی سایت مرکز تحقیقات (438)</t>
  </si>
  <si>
    <t>علی رمضانی نژاد</t>
  </si>
  <si>
    <t>100614</t>
  </si>
  <si>
    <t>GXJ58999</t>
  </si>
  <si>
    <t>CNDRQ3M1QZ</t>
  </si>
  <si>
    <t>CANON M160II</t>
  </si>
  <si>
    <t>محمد حاتمی</t>
  </si>
  <si>
    <t>4020705</t>
  </si>
  <si>
    <t>مهدی اسمعیلی</t>
  </si>
  <si>
    <t>هماهنگ کننده</t>
  </si>
  <si>
    <t>GG202C3</t>
  </si>
  <si>
    <t>GG201C3</t>
  </si>
  <si>
    <t>میثم عالی پور</t>
  </si>
  <si>
    <t xml:space="preserve"> کاربین طرح</t>
  </si>
  <si>
    <t>میکروفون</t>
  </si>
  <si>
    <t>گيرنده ديجيتال LNC آلماني</t>
  </si>
  <si>
    <t>تلويزيون</t>
  </si>
  <si>
    <t>تلويزيون 43 جي پلاس</t>
  </si>
  <si>
    <t>ارسال به تهران جهت گارانتی</t>
  </si>
  <si>
    <t>از خوابگاه خواجو به بردسیر منتقل شده</t>
  </si>
  <si>
    <t>تلويزيون ال اي دي جي پلاس 43 اسمارت</t>
  </si>
  <si>
    <t>احتمالا نصب در سوله 1</t>
  </si>
  <si>
    <t>اکبر کریمی عقدا</t>
  </si>
  <si>
    <t>کلا شکسته شده و جهت تعمیر ارسال شد ودر تهران داغی شد</t>
  </si>
  <si>
    <t>در تاریخ 1402/07/23 از تعمیر برگشت</t>
  </si>
  <si>
    <t>هارد اکسترنال ADATA HD330</t>
  </si>
  <si>
    <t>HP M402 DNE</t>
  </si>
  <si>
    <t>PHC6808689</t>
  </si>
  <si>
    <t>PHC6809314</t>
  </si>
  <si>
    <t>CNGRR1H39Q</t>
  </si>
  <si>
    <t>1M1720727507</t>
  </si>
  <si>
    <t>1M2121332622</t>
  </si>
  <si>
    <t>GXJ58995</t>
  </si>
  <si>
    <t>CANON M160 II</t>
  </si>
  <si>
    <t>مانیتور قبلی دانش صفری-آلمیلا-مشکل خاموش روشن شدن</t>
  </si>
  <si>
    <t>GREEN PARS EVO</t>
  </si>
  <si>
    <t xml:space="preserve">به علت مشکل داشتن مادربرد موجودی انبار سایت توسعه فولاد </t>
  </si>
  <si>
    <t>به علت گرد و غبار گرفتن جهت سرویس تحویل آقای مجتبی علیپور پرسنل سایت توسعه فولاد )</t>
  </si>
  <si>
    <t>عبدالرضا جعفری</t>
  </si>
  <si>
    <t>مظاهر میرزایی</t>
  </si>
  <si>
    <t>مشکل در اسکنر</t>
  </si>
  <si>
    <t>GXJ57871</t>
  </si>
  <si>
    <t>Canon DR-M160</t>
  </si>
  <si>
    <t>FOC1607Y0KT</t>
  </si>
  <si>
    <t>Cisco C2960S-48FPS POE</t>
  </si>
  <si>
    <t>واحد 10 خوابگاه مديران سيرجان(نارسيس)</t>
  </si>
  <si>
    <t>Genesis 2KVA</t>
  </si>
  <si>
    <t>4010130220600033</t>
  </si>
  <si>
    <t>401030220600020</t>
  </si>
  <si>
    <t>خوابگاه 10 واحدی مشعل گاز</t>
  </si>
  <si>
    <t>BS23C76</t>
  </si>
  <si>
    <t>MP298QD2</t>
  </si>
  <si>
    <t>Lenovo ideaCentre 24ITL6</t>
  </si>
  <si>
    <t>Ss3071189621</t>
  </si>
  <si>
    <t>9C0B450PAG6C5A1</t>
  </si>
  <si>
    <t>9C0B450PAG06FE1</t>
  </si>
  <si>
    <t>9C0B450PAG8D1F8</t>
  </si>
  <si>
    <t>9C0B450PAGF6215</t>
  </si>
  <si>
    <t>9C0B450PAG8187F</t>
  </si>
  <si>
    <t>9C0B450PAGAB47C</t>
  </si>
  <si>
    <t>HED08HVNX1S/315/R2</t>
  </si>
  <si>
    <t>HED08HXJ598/315/R2</t>
  </si>
  <si>
    <t>HE908R1DGJ8/310/R2</t>
  </si>
  <si>
    <t>PUC171219PS</t>
  </si>
  <si>
    <t>سالن کنفرانس پالایشگاه (430)</t>
  </si>
  <si>
    <t>انبار نسوز توسعه فولاد (362)</t>
  </si>
  <si>
    <t>Faratel STB 2000-E</t>
  </si>
  <si>
    <t>Hik DS-2CD2T43G2-4I</t>
  </si>
  <si>
    <t>Hik DS-2DE4425IW-DE</t>
  </si>
  <si>
    <t>Cisco SW3650 8PCSL</t>
  </si>
  <si>
    <t>NVR HIK DS-7632NI-K2</t>
  </si>
  <si>
    <t>رک دیواری 7 یونیت</t>
  </si>
  <si>
    <t>رادیو وایرلس QRT 5</t>
  </si>
  <si>
    <t>جهت دوربین های انبار نسوز</t>
  </si>
  <si>
    <t>خاموش شدن ناگهانی</t>
  </si>
  <si>
    <t>در تاریخ 1402/08/01 از تعمیر برگشت</t>
  </si>
  <si>
    <t>در تاریخ 1402/07/24 از تعمیر برگشت</t>
  </si>
  <si>
    <t>فلش</t>
  </si>
  <si>
    <t>SanDisk CZ600 32GB</t>
  </si>
  <si>
    <t xml:space="preserve">جهت مانیتورینگ دوربین های سایت </t>
  </si>
  <si>
    <t xml:space="preserve">علت نقص فنی </t>
  </si>
  <si>
    <t xml:space="preserve">samaung tab8 </t>
  </si>
  <si>
    <t>355355251503610</t>
  </si>
  <si>
    <t>تبلت</t>
  </si>
  <si>
    <t>از پلیکام به انبار شهر منتقل شد</t>
  </si>
  <si>
    <t>چابهار</t>
  </si>
  <si>
    <t>از پلیکام به مرکز تحقیقات منتقل شد</t>
  </si>
  <si>
    <t>FOC1530Z1KH</t>
  </si>
  <si>
    <t>H97</t>
  </si>
  <si>
    <t>اکبر هاشمی نژاد</t>
  </si>
  <si>
    <t>DCC HSE</t>
  </si>
  <si>
    <t>GG203C3</t>
  </si>
  <si>
    <t>TP-LINK TL-WR840N</t>
  </si>
  <si>
    <t>2173124011678</t>
  </si>
  <si>
    <t>GG197C3</t>
  </si>
  <si>
    <t>غلامرضا صباغی</t>
  </si>
  <si>
    <t>4020404</t>
  </si>
  <si>
    <t>0064120041</t>
  </si>
  <si>
    <t>برد هوشمند Gplus 65</t>
  </si>
  <si>
    <t>BENQ 27”</t>
  </si>
  <si>
    <t>رک 9 یونیت با عمق 60</t>
  </si>
  <si>
    <t xml:space="preserve">HIKVISION
DS-2CD1153GO-I
</t>
  </si>
  <si>
    <t>J65872047</t>
  </si>
  <si>
    <t>J73332057</t>
  </si>
  <si>
    <t>J73332050</t>
  </si>
  <si>
    <t>J73332453</t>
  </si>
  <si>
    <t>J73332416</t>
  </si>
  <si>
    <t>J73332074</t>
  </si>
  <si>
    <t>J73332065</t>
  </si>
  <si>
    <t>J65872041</t>
  </si>
  <si>
    <t>NVR HIKVISION</t>
  </si>
  <si>
    <t>CISCO CP-9971</t>
  </si>
  <si>
    <t>CAP Mikrotik XL AC</t>
  </si>
  <si>
    <t>محمد امینی</t>
  </si>
  <si>
    <t>امیر محمدی پناه</t>
  </si>
  <si>
    <t>یوسف رخش سوار</t>
  </si>
  <si>
    <t>معاونت نفت و گاز</t>
  </si>
  <si>
    <t>واحد پشتیبانی</t>
  </si>
  <si>
    <t>در تاریخ 1402/08/07 از تعمیر برگشت</t>
  </si>
  <si>
    <t>ایمان زرکلامی</t>
  </si>
  <si>
    <t>GG178C3</t>
  </si>
  <si>
    <t xml:space="preserve"> به علت کاغذ نکشیدن فیدر تحویل آقای سید باقر حسینی </t>
  </si>
  <si>
    <t>اسپیکر Proel</t>
  </si>
  <si>
    <t>میکسر صدا</t>
  </si>
  <si>
    <t>میکسر صدا Proel</t>
  </si>
  <si>
    <t>میکروفن وایرلس Proel WM600D</t>
  </si>
  <si>
    <t>میکروفن کنفرانسی CR-M4104B</t>
  </si>
  <si>
    <t>میکروفن کنفرانسی مدیریتی CR-M4102B</t>
  </si>
  <si>
    <t>منبع تغذیه کنفرانسی Audio Conference</t>
  </si>
  <si>
    <t>دکل اصلی توسعه فولاد (362)</t>
  </si>
  <si>
    <t>دکل به نسوز توسعه فولاد (362)</t>
  </si>
  <si>
    <t>گیرنده دیجیتال star sat</t>
  </si>
  <si>
    <t>واحد یک خوابگاه مولوی</t>
  </si>
  <si>
    <t>واحد 2 خوابگاه مولوی</t>
  </si>
  <si>
    <t>واحد 4 خوابگاه مولوی</t>
  </si>
  <si>
    <t>واحد 5 خوابگاه مولوی</t>
  </si>
  <si>
    <t xml:space="preserve">واحد 6 خوابگاه مولوی </t>
  </si>
  <si>
    <t>واحد 7 خوابگاه مولوی</t>
  </si>
  <si>
    <t>واحد 8 خوابگاه مولوی</t>
  </si>
  <si>
    <t>واحد 9خوابگاه مولوی</t>
  </si>
  <si>
    <t>واحد 10 خوابگاه مولوی</t>
  </si>
  <si>
    <t>واحد 11 خوابگاه مولوی</t>
  </si>
  <si>
    <t>واحد 12 خوابگاه مولوی</t>
  </si>
  <si>
    <t xml:space="preserve">واحد 3 خوابگاه مولوی </t>
  </si>
  <si>
    <t xml:space="preserve">واحد 4 خوابگاه مولوی </t>
  </si>
  <si>
    <t>واحد 3 خوابگاه مولوی</t>
  </si>
  <si>
    <t>مهدی محمدی درویشوند</t>
  </si>
  <si>
    <t>SMP توسعه فولاد (362)</t>
  </si>
  <si>
    <t>دستگاه خراب می باشد به سرویس کامل نیاز دارد-ارسال از تربت</t>
  </si>
  <si>
    <t>فیدر دستگاه خراب می باشدوبه سرویس نیاز دارد</t>
  </si>
  <si>
    <t>سوییچ لود نمی شود وهنگ می کند</t>
  </si>
  <si>
    <t>جواد پور جمعه</t>
  </si>
  <si>
    <t>رک سرور تربت حیدریه (439)</t>
  </si>
  <si>
    <t>نصب شده در رک اتاق سرور</t>
  </si>
  <si>
    <t>GG194C3</t>
  </si>
  <si>
    <t>ایوب ابراهیمی</t>
  </si>
  <si>
    <t>100610</t>
  </si>
  <si>
    <t>داوود جوادی نیا</t>
  </si>
  <si>
    <t>210235C5T9F21C000578</t>
  </si>
  <si>
    <t>210235C5T9F21C000421</t>
  </si>
  <si>
    <t>دکل پالایشگاه (430)</t>
  </si>
  <si>
    <t>نصب شده در پروژه جهت دوربین تایم لپس</t>
  </si>
  <si>
    <t>Hp laserjet pro  M402dn</t>
  </si>
  <si>
    <t>پرینتر A3 رنگی HP 5225DN</t>
  </si>
  <si>
    <t>Switch Cisco c2960s POE 48Port</t>
  </si>
  <si>
    <t>دریل رونیکس برقی</t>
  </si>
  <si>
    <t>دریل رونیکس شارژی</t>
  </si>
  <si>
    <t>دریل</t>
  </si>
  <si>
    <t>نصب در سالن کنفرانس</t>
  </si>
  <si>
    <t>نصب شده در سالن کنفرانس</t>
  </si>
  <si>
    <t>355355253429194</t>
  </si>
  <si>
    <t>در تاریخ 1402/08/14 از تعمیر برگشت</t>
  </si>
  <si>
    <t>UR1NAS310H661249</t>
  </si>
  <si>
    <t>Mini pc  UNIVO UR1-H310</t>
  </si>
  <si>
    <t>UR1NAS310H661246</t>
  </si>
  <si>
    <t>UR1NAS310H661248</t>
  </si>
  <si>
    <t>Mini pc  LENOVO M920X</t>
  </si>
  <si>
    <t>MJ09SWXX</t>
  </si>
  <si>
    <t>نصب در کانکس آموزش ایمنی</t>
  </si>
  <si>
    <t>کانکس آموزش ایمنی توسعه فولاد (362)</t>
  </si>
  <si>
    <t>هادی محمد نژاد-به علت خاموش شدن ناگهانی تصویر جهت تعمیر به تهران</t>
  </si>
  <si>
    <t>آزمایشگاه سایت بردسیر به علت سر و صدای زیاد و کاغذ نکشیدن تحویل سروس کریمی شد</t>
  </si>
  <si>
    <t>کرمان آهن مهام</t>
  </si>
  <si>
    <t>علی امیر سبتکی</t>
  </si>
  <si>
    <t>BS24C76</t>
  </si>
  <si>
    <t>حراست کارفرما فولاد بردسیر (461)</t>
  </si>
  <si>
    <r>
      <t xml:space="preserve">کد قبلی </t>
    </r>
    <r>
      <rPr>
        <b/>
        <sz val="14"/>
        <color rgb="FFFF0000"/>
        <rFont val="Calibri"/>
        <family val="2"/>
        <scheme val="minor"/>
      </rPr>
      <t>624926</t>
    </r>
    <r>
      <rPr>
        <b/>
        <sz val="14"/>
        <color theme="1"/>
        <rFont val="Calibri"/>
        <family val="2"/>
        <scheme val="minor"/>
      </rPr>
      <t xml:space="preserve"> به دلیل باطل شدن در عسلویه کنده شد</t>
    </r>
  </si>
  <si>
    <t>مجتبی سلیمانی</t>
  </si>
  <si>
    <t>GG170C3</t>
  </si>
  <si>
    <t>آرانوما</t>
  </si>
  <si>
    <t>دفتر آرانوما توسعه فولاد (362)</t>
  </si>
  <si>
    <t>پرسنل آرانوما</t>
  </si>
  <si>
    <t>دفتر مرکزی</t>
  </si>
  <si>
    <t>MINI PC LENOVO M920X</t>
  </si>
  <si>
    <t xml:space="preserve">داوود بویری به علت خاموش شدن ناگهانی جهت تعمییر به تهران </t>
  </si>
  <si>
    <t>ACDT39JK400828B</t>
  </si>
  <si>
    <t>TV Samsung 32" UA32M4850AW</t>
  </si>
  <si>
    <t>ACDT39JK400878F</t>
  </si>
  <si>
    <t>ACDT39JK211095M</t>
  </si>
  <si>
    <t>ACDT39JK211120V</t>
  </si>
  <si>
    <t>ACDT39JK211102X</t>
  </si>
  <si>
    <t>ACDT39JK211156L</t>
  </si>
  <si>
    <t>ACDT39JK301181E</t>
  </si>
  <si>
    <t>F0C1443W7CG</t>
  </si>
  <si>
    <t>CISCO 3750 24 PORT POE</t>
  </si>
  <si>
    <t>در تاریخ 1402/08/23 از تعمیر برگشت</t>
  </si>
  <si>
    <t xml:space="preserve">به علت ارور باز بودن در پشتی پرینتر به تهران </t>
  </si>
  <si>
    <t>310STKD22990</t>
  </si>
  <si>
    <t>TV Gplus 55”</t>
  </si>
  <si>
    <t xml:space="preserve">میکسر صدا PROEL-MQ6 </t>
  </si>
  <si>
    <t>میکروفن بیسیم PROEL</t>
  </si>
  <si>
    <t xml:space="preserve">بلندگو اکتیو 5 اینچ PROEL </t>
  </si>
  <si>
    <t>سوییچ سیسکو2960      24 پورت</t>
  </si>
  <si>
    <t>FOC1744S3G4</t>
  </si>
  <si>
    <t>سوییچ HDMI   16 پورت</t>
  </si>
  <si>
    <t>HDMI</t>
  </si>
  <si>
    <t>Distributor  HDMI  1 To 8</t>
  </si>
  <si>
    <t>HEQ0928V1EZ/323/R4</t>
  </si>
  <si>
    <t>HE808JCSDDR/308/R4</t>
  </si>
  <si>
    <t>HEQ0990P9VC/323/R4</t>
  </si>
  <si>
    <t>HEQ09FS5SRK/323/R4</t>
  </si>
  <si>
    <t>HE808REJP58/308/R4</t>
  </si>
  <si>
    <t>HE808TVM4JW/308/R4</t>
  </si>
  <si>
    <t>HE808QNM0GS/308/R4</t>
  </si>
  <si>
    <t>HE808MWCTPQ/308/R4</t>
  </si>
  <si>
    <t>HE808QSZ5F4/308/R4</t>
  </si>
  <si>
    <t>HE808NQ803P/308/R4</t>
  </si>
  <si>
    <t>D-LINK DGS-F1010P-E 8 PORT</t>
  </si>
  <si>
    <t>D-LINK DGS-F1006P-E 6 PORT</t>
  </si>
  <si>
    <t>CISCO C3850-NM-BLANK 48 PORT</t>
  </si>
  <si>
    <t>HG10P23031841</t>
  </si>
  <si>
    <t>HG06P23031018</t>
  </si>
  <si>
    <t>FOC2144X0U2</t>
  </si>
  <si>
    <t>BS25C76</t>
  </si>
  <si>
    <t>یوسف اژدری</t>
  </si>
  <si>
    <t>0860001504</t>
  </si>
  <si>
    <t>مکانیک-جوش</t>
  </si>
  <si>
    <t>AD020AEC7410/919</t>
  </si>
  <si>
    <t>نصب شده به سمت نگهبانی</t>
  </si>
  <si>
    <t>HD00877EZ9C/232/R2</t>
  </si>
  <si>
    <t>HE208TDNB9P/302/R2</t>
  </si>
  <si>
    <t>HE208PCM5DK/302/R2</t>
  </si>
  <si>
    <t>Mikrotik QRT RB911G 5HPnD</t>
  </si>
  <si>
    <t>HE208QJHCWH/304/R2</t>
  </si>
  <si>
    <t>1402/09/01 تاریخ داغی</t>
  </si>
  <si>
    <t>مانیتور ال جی مدل:E2040S</t>
  </si>
  <si>
    <t>موجودی مهندس حمیدی بوده - در تهران داغی شد</t>
  </si>
  <si>
    <t>جهت خیریه ارسال به تهران شد.در تهران داغی شد</t>
  </si>
  <si>
    <t>تاریخ 1402/09/01</t>
  </si>
  <si>
    <t>امیررضا اسحاقی</t>
  </si>
  <si>
    <t>20361</t>
  </si>
  <si>
    <t>انبار-آهک</t>
  </si>
  <si>
    <t>GG205C3</t>
  </si>
  <si>
    <t>DAHUA DH-IPC-HFW3449EP-AS-LED</t>
  </si>
  <si>
    <t>DAHUA DHI-NVR4232-4KS2/L</t>
  </si>
  <si>
    <t>8A0424FPAG2C361</t>
  </si>
  <si>
    <t>9F0104BPAG8CAB6</t>
  </si>
  <si>
    <t>9F0104BPAGF0822</t>
  </si>
  <si>
    <t>8A0424FPAGAC3EA</t>
  </si>
  <si>
    <t>9F0104BPAG30D6F</t>
  </si>
  <si>
    <t>9F0104BPAG301CF</t>
  </si>
  <si>
    <t>9F0104BPAG29168</t>
  </si>
  <si>
    <t>9F0104BPAG35224</t>
  </si>
  <si>
    <t>9F0104BPAGFCE6C</t>
  </si>
  <si>
    <t>9F0104BPAGAED75</t>
  </si>
  <si>
    <t>8J0C583PAZ45C9F</t>
  </si>
  <si>
    <t>جهت درخواست واحد پشتیبانی</t>
  </si>
  <si>
    <t>كيبورد</t>
  </si>
  <si>
    <t>مانیتور</t>
  </si>
  <si>
    <t>كيس کامپیوتر</t>
  </si>
  <si>
    <t>کیس کامپیوتر</t>
  </si>
  <si>
    <t>کیبورد</t>
  </si>
  <si>
    <t>SH-Cisco Router 2811</t>
  </si>
  <si>
    <t xml:space="preserve">مودم  </t>
  </si>
  <si>
    <t>Access Point مدل Sqlit 5</t>
  </si>
  <si>
    <t>تقویت کننده موبایل</t>
  </si>
  <si>
    <t>Rac</t>
  </si>
  <si>
    <t>Cisco Switch - WS- C2960-24PC-L</t>
  </si>
  <si>
    <t>دستگاه حضور غیاب IFACE</t>
  </si>
  <si>
    <t>4020710</t>
  </si>
  <si>
    <t>4020304</t>
  </si>
  <si>
    <t>انبار آی تی گلفا (390)</t>
  </si>
  <si>
    <t>4020714</t>
  </si>
  <si>
    <t>نصب در کلاس آموزش ایمنی</t>
  </si>
  <si>
    <t>در تاریخ 1402/09/06 از تعمیر برگشت</t>
  </si>
  <si>
    <t>بعد از تعمیر در تهران به سیرجان ارسال شد</t>
  </si>
  <si>
    <t>در تاریخ 1402/09/04 از تعمیر برگشت</t>
  </si>
  <si>
    <t>جهت خیریه به تهران ارسال شد</t>
  </si>
  <si>
    <t>در تاریخ 1402/09/01 از تعمیر برگشت</t>
  </si>
  <si>
    <t>هماتیت مگنتیک فولاد سنگان ( 456 )</t>
  </si>
  <si>
    <t>مهدی افضلی</t>
  </si>
  <si>
    <t>رضا شاهی</t>
  </si>
  <si>
    <t>محمد رفیق حق پناه</t>
  </si>
  <si>
    <t>محمود شاقاسی رودی</t>
  </si>
  <si>
    <t>هماتیت مگنتیک فولاد سنگان ( 456 )+كنسانتره آهن سنگان (301)</t>
  </si>
  <si>
    <t>کیس GREEN PARS EVO</t>
  </si>
  <si>
    <t xml:space="preserve">مانیتور LG W2261VP </t>
  </si>
  <si>
    <t>تلفن CISCO 9971</t>
  </si>
  <si>
    <t>FCH18289PUL</t>
  </si>
  <si>
    <t>2144LZ95AN99</t>
  </si>
  <si>
    <t>PUC17430JOB</t>
  </si>
  <si>
    <t>PXN1528VSZS</t>
  </si>
  <si>
    <t>PUC17260GVZ</t>
  </si>
  <si>
    <t>PUC164614UW</t>
  </si>
  <si>
    <t>پرینتر CANON MF3010</t>
  </si>
  <si>
    <t>WRW64304</t>
  </si>
  <si>
    <t>PXN1528W3MA</t>
  </si>
  <si>
    <t>پرینتر HP P2035</t>
  </si>
  <si>
    <t>VNC3860092</t>
  </si>
  <si>
    <t>اسکنر PLUSTEK PS286 PLUS</t>
  </si>
  <si>
    <t>پرینتر HP M712</t>
  </si>
  <si>
    <t>CNERPBW4BZ</t>
  </si>
  <si>
    <t>پرینتر HP 5225</t>
  </si>
  <si>
    <t>CNGRR6X486</t>
  </si>
  <si>
    <t>تلفن CISCO 7960</t>
  </si>
  <si>
    <t>FCH11368XC0</t>
  </si>
  <si>
    <t>نصب در کانکس نگهبانی سایت</t>
  </si>
  <si>
    <t>مانیتور X.VISION XL1910A</t>
  </si>
  <si>
    <t>FCH09478FN2</t>
  </si>
  <si>
    <t>YDN62819</t>
  </si>
  <si>
    <t>565693004372</t>
  </si>
  <si>
    <t>0722014110022455</t>
  </si>
  <si>
    <t>0722015203039637</t>
  </si>
  <si>
    <t>0722007103005741</t>
  </si>
  <si>
    <t>0755005307103783</t>
  </si>
  <si>
    <t>C90</t>
  </si>
  <si>
    <t xml:space="preserve">در تاریخ به تهران ارسال شده و مجدد برگشت داده شد 1401/11/12  </t>
  </si>
  <si>
    <t>آبدارخانه فولاد بردسیر (461)</t>
  </si>
  <si>
    <r>
      <t xml:space="preserve">به دلیل تداخل در دفتر تهران کد قبلی </t>
    </r>
    <r>
      <rPr>
        <b/>
        <sz val="14"/>
        <color rgb="FFFF0000"/>
        <rFont val="Calibri"/>
        <family val="2"/>
        <scheme val="minor"/>
      </rPr>
      <t>605598</t>
    </r>
    <r>
      <rPr>
        <b/>
        <sz val="14"/>
        <rFont val="Calibri"/>
        <family val="2"/>
        <scheme val="minor"/>
      </rPr>
      <t xml:space="preserve"> تغغیر کرد</t>
    </r>
  </si>
  <si>
    <r>
      <t xml:space="preserve">به دلیل تداخل در دفتر تهران کد قبلی </t>
    </r>
    <r>
      <rPr>
        <b/>
        <sz val="14"/>
        <color rgb="FFFF0000"/>
        <rFont val="Calibri"/>
        <family val="2"/>
        <scheme val="minor"/>
      </rPr>
      <t>600152</t>
    </r>
    <r>
      <rPr>
        <b/>
        <sz val="14"/>
        <rFont val="Calibri"/>
        <family val="2"/>
        <scheme val="minor"/>
      </rPr>
      <t xml:space="preserve"> تغغیر کرد</t>
    </r>
  </si>
  <si>
    <t>خیریه دبستان دولتی 15خرداد تربت</t>
  </si>
  <si>
    <t>ارسال از تهران به تربت</t>
  </si>
  <si>
    <t>1402/09/19 تاریخ هدیه</t>
  </si>
  <si>
    <t>تحویل به خیریه از تهران به تربت</t>
  </si>
  <si>
    <t>مختوم شده توسط مالی</t>
  </si>
  <si>
    <t>تاریخ 1402/09/18</t>
  </si>
  <si>
    <t>1402/05/18 تاریخ هدیه</t>
  </si>
  <si>
    <t>1402/04/31 تاریخ هدیه</t>
  </si>
  <si>
    <t>تاریخ هدیه 1402/05/18</t>
  </si>
  <si>
    <t>مرکز خیریه امید سیرجان1</t>
  </si>
  <si>
    <t>تحویل داده شده به خیریه</t>
  </si>
  <si>
    <t>موجودی انبار آی دفتر تهران</t>
  </si>
  <si>
    <t>هدیه داده شده توسط دفتر تهران</t>
  </si>
  <si>
    <t>به آقای رحمان میلادی در تاریخ 1402.05.17 تحویل داده شده (هدیه)</t>
  </si>
  <si>
    <t>در تاریخ 1401.11.16 به دستان خواص هدیه داده شده -  کد اموال سنگان  32700711</t>
  </si>
  <si>
    <t>در تاریخ 1402/03/01 هدیه داده شد-خانم حصار</t>
  </si>
  <si>
    <t>در تاریخ 1402.06.06 داغی اعلام شده</t>
  </si>
  <si>
    <t>ارسال به تهران - داغی</t>
  </si>
  <si>
    <t>در دفتر تهران داغی شده</t>
  </si>
  <si>
    <t>در تاریخ 1402.05.21 هدیه داده شده به خیریه-کد قبلی 605414 بوده به دلیل تداخلی تغییر کرد</t>
  </si>
  <si>
    <t>مجدد به تعمیر ارسال شد</t>
  </si>
  <si>
    <t>نصب در سالن توسعه فولاد (362)</t>
  </si>
  <si>
    <t>جهت استفاده در وای فای سالن فولاد</t>
  </si>
  <si>
    <t>7F02122PAG6F134</t>
  </si>
  <si>
    <t>7F02122PAG8763C</t>
  </si>
  <si>
    <t>9C0B450PAGF276C</t>
  </si>
  <si>
    <t>9C0B450PAG7F53E</t>
  </si>
  <si>
    <t>9C0B450PAG3CF73</t>
  </si>
  <si>
    <t>9C0B450PAG0419B</t>
  </si>
  <si>
    <t>9C0B450PAG33651</t>
  </si>
  <si>
    <t>9C0B450PAG7DC41</t>
  </si>
  <si>
    <t>9C0B450PAG2D260</t>
  </si>
  <si>
    <t>9C0B450PAG97A29</t>
  </si>
  <si>
    <t>DAHUA DH-IPC-HFW2831TP-AS-S2</t>
  </si>
  <si>
    <t>DAHUA DH-IPC-HFW2831TP-AS-S3</t>
  </si>
  <si>
    <t>DAHUA DH-IPC-HFW2831TP-AS-S4</t>
  </si>
  <si>
    <t>DAHUA DH-IPC-HFW2831TP-AS-S5</t>
  </si>
  <si>
    <t>DAHUA DH-IPC-HFW2831TP-AS-S6</t>
  </si>
  <si>
    <t>DAHUA DH-IPC-HFW2831TP-AS-S7</t>
  </si>
  <si>
    <t>DAHUA DH-IPC-HFW2831TP-AS-S8</t>
  </si>
  <si>
    <t>DAHUA DH-IPC-HFW2831TP-AS-S9</t>
  </si>
  <si>
    <t>DAHUA DH-IPC-HFW2831TP-AS-S10</t>
  </si>
  <si>
    <t>DAHUA DH-IPC-HFW2831TP-AS-S11</t>
  </si>
  <si>
    <t>HIK VISION DS-2CD1023G0E-I</t>
  </si>
  <si>
    <t>HIK VISION DS-2DE4425IW-DE</t>
  </si>
  <si>
    <t>NVR HIK VISION DS-7732NI-K4</t>
  </si>
  <si>
    <t>WIRELESS MIKROTIK LITEBEAM M5</t>
  </si>
  <si>
    <t xml:space="preserve">رک 12 یونیت </t>
  </si>
  <si>
    <t>تحویل گرفته شده از شرکت ماشین سازی ویژه - متعلق به پروژه خرامه</t>
  </si>
  <si>
    <t>نصب در باسکول فولاد بردسیر (461)</t>
  </si>
  <si>
    <t>امیر حسین دهقانی</t>
  </si>
  <si>
    <t>انبار کویل  توسعه فولاد (362)</t>
  </si>
  <si>
    <t>R9PW40DZYBF</t>
  </si>
  <si>
    <t>R9PW40D4ZXV</t>
  </si>
  <si>
    <t>تبلت Samsung-x205</t>
  </si>
  <si>
    <t>خوابگاه های سيرجان</t>
  </si>
  <si>
    <t>405NDUNDW782</t>
  </si>
  <si>
    <t>0384003802003212</t>
  </si>
  <si>
    <t>0678026203030825</t>
  </si>
  <si>
    <t>308009504015394</t>
  </si>
  <si>
    <t>ZYHYH4LD806563T</t>
  </si>
  <si>
    <t>SAMSUNG 19" S19C150F</t>
  </si>
  <si>
    <t>X.VISION 19" XL1910A</t>
  </si>
  <si>
    <t>0755005307106756</t>
  </si>
  <si>
    <t>ETY6D05968019</t>
  </si>
  <si>
    <t>BENQ 20" GL2023-TA</t>
  </si>
  <si>
    <t>FCH12518ZTQ</t>
  </si>
  <si>
    <t>INM09362QDN</t>
  </si>
  <si>
    <t>FCH10058FCH</t>
  </si>
  <si>
    <t>FCH18308PYN</t>
  </si>
  <si>
    <t>Cisco Ip Phone 9971</t>
  </si>
  <si>
    <t>QZD97911</t>
  </si>
  <si>
    <t>فرشاد صفر زاده</t>
  </si>
  <si>
    <t>فرزان رستاک</t>
  </si>
  <si>
    <t>2281104281</t>
  </si>
  <si>
    <t>CNDRQ3M1QG</t>
  </si>
  <si>
    <t>HP LASERJET 428</t>
  </si>
  <si>
    <t xml:space="preserve">مانیتور سید جواد موسوی - علت روشن نشدن جهت تعمیر به تهران </t>
  </si>
  <si>
    <t xml:space="preserve">هدیه به دبستان پسرانه ابو علی سینا </t>
  </si>
  <si>
    <t xml:space="preserve">هدیه به دبستان اسفند یار روستای دهماسین </t>
  </si>
  <si>
    <t>هدیه توسط تهران</t>
  </si>
  <si>
    <t>Allin one -acer  Z3770</t>
  </si>
  <si>
    <t xml:space="preserve">هدیه به دبستان  پسرانه هیدخ </t>
  </si>
  <si>
    <t>Allin one -acer  Z3770</t>
  </si>
  <si>
    <t>مهدی شهبازی</t>
  </si>
  <si>
    <t>امیر حسین شیبانی</t>
  </si>
  <si>
    <t>3060431035</t>
  </si>
  <si>
    <t>3060373469</t>
  </si>
  <si>
    <t>کیس GREEN PARSA Z690</t>
  </si>
  <si>
    <t>محمد صادق امین پور</t>
  </si>
  <si>
    <t>مهمان دفتر مرکزی سایت مرکز تحقیقات (438)</t>
  </si>
  <si>
    <t>جهت استفاده پرسنل مهمان دفتر مرکزی تهران در سایت</t>
  </si>
  <si>
    <t>فاضل سلیمانی</t>
  </si>
  <si>
    <t>رضا مردوئی</t>
  </si>
  <si>
    <t>حسین ارمش</t>
  </si>
  <si>
    <t>کارفرما بردسیر</t>
  </si>
  <si>
    <t>BS26C76</t>
  </si>
  <si>
    <t>BS27C76</t>
  </si>
  <si>
    <t>BS28C76</t>
  </si>
  <si>
    <t>در تاریخ 1402/09/25 از تعمیر برگشت</t>
  </si>
  <si>
    <t>CNDRQ8K3K5</t>
  </si>
  <si>
    <t>HP M428 DW</t>
  </si>
  <si>
    <t>Z690A</t>
  </si>
  <si>
    <t>619082</t>
  </si>
  <si>
    <t>مانیتور آقای سیاوش دالوند -  به علت روشن نشدن</t>
  </si>
  <si>
    <t>منصور نورمندی پور</t>
  </si>
  <si>
    <t>بدلیل اینکه مورد استفاده سایت نبود به دفتر تهران ارسال گردید.</t>
  </si>
  <si>
    <t>تاریخ ارسال (07/10/1402)</t>
  </si>
  <si>
    <t>در تاریخ 1402/10/09 از تعمیر برگشت</t>
  </si>
  <si>
    <t>Router Cisco 2921</t>
  </si>
  <si>
    <t>FGL1944111T</t>
  </si>
  <si>
    <t>مسرور خسروی</t>
  </si>
  <si>
    <t>100635</t>
  </si>
  <si>
    <t>میلاد همت پور</t>
  </si>
  <si>
    <t>20558</t>
  </si>
  <si>
    <t>BS34C74</t>
  </si>
  <si>
    <t>GXJ58987</t>
  </si>
  <si>
    <t>اسکنر Canon  DR-M160II</t>
  </si>
  <si>
    <t>شاهین خدایاری</t>
  </si>
  <si>
    <t>4021003</t>
  </si>
  <si>
    <t>معماری</t>
  </si>
  <si>
    <t>کیس گرین  z690-p</t>
  </si>
  <si>
    <t>مانیتورLG 22MR410</t>
  </si>
  <si>
    <t>نصب در دفتر آی تی</t>
  </si>
  <si>
    <t>تحویل به خیریه از تهران به تربت-کد قبلی سنگان 32700659</t>
  </si>
  <si>
    <t>کد قبلی سنگان 32700660</t>
  </si>
  <si>
    <t>ارسالی از تربت به تهران-در تهران داغی شد-کد سنگان 32700662</t>
  </si>
  <si>
    <t>کد سنگان 32700767</t>
  </si>
  <si>
    <t>20اینچ ال ای دی الجی</t>
  </si>
  <si>
    <t>خرداد 1402 تحویل خیریه مدارس سیستان و بلوچستان گردید-کد قبلی سنگان 32701791</t>
  </si>
  <si>
    <t>خرداد 1402 تحویل خیریه مدارس سیستان و بلوچستان گردید-کد قبلی سنگان 32702856</t>
  </si>
  <si>
    <t>ارسالی زرند-کد قبلی سنگان 32702875</t>
  </si>
  <si>
    <t>کد قبلی سنگان 32703066</t>
  </si>
  <si>
    <t>خرداد 1402 تحویل خیریه مدارس سیستان و بلوچستان گردید-کد قبلی سنگان 32703333</t>
  </si>
  <si>
    <t>کانکس دکل آی تی توسعه فولاد (362)</t>
  </si>
  <si>
    <t>لپ تاپ  لنوو</t>
  </si>
  <si>
    <t>مهدی شاهسونی</t>
  </si>
  <si>
    <t>GG207C3</t>
  </si>
  <si>
    <t>HCP0899J6TD/222/R2</t>
  </si>
  <si>
    <t>HCP088QVHJ4/222/R2</t>
  </si>
  <si>
    <t>Radio LHG XL 5 AC</t>
  </si>
  <si>
    <t>هماتیت فولاد سنگان(456)</t>
  </si>
  <si>
    <t>جاسم راهنما پرسنل کارفرما سایت توسعه فولاد</t>
  </si>
  <si>
    <t xml:space="preserve">اصغر اسفندیارپور پرسنل سایت مرکز تحقیقات </t>
  </si>
  <si>
    <t>موجودی انبار تحقیقات</t>
  </si>
  <si>
    <t>سالن توسعه فولاد (362)</t>
  </si>
  <si>
    <t>تاریخ 1402/10/25 مختوم شد</t>
  </si>
  <si>
    <t>در تاریخ 1402/10/30 از تعمیر برگشت</t>
  </si>
  <si>
    <t>از خرامه ارسال به تعمیر شده</t>
  </si>
  <si>
    <t>هدیه به کارفرما-سالن کنفرانس بردسیر</t>
  </si>
  <si>
    <t>تعمیر نشده</t>
  </si>
  <si>
    <t>احتمالا داغی گردد</t>
  </si>
  <si>
    <t>خوابگاه های سیرجان</t>
  </si>
  <si>
    <t>DVD PLAYER</t>
  </si>
  <si>
    <t>اعلامی واحد مالی</t>
  </si>
  <si>
    <t>مانيتور 24 اينچ ال جي</t>
  </si>
  <si>
    <t>شرکت آفتاب کویر سایت مرکز تحقیقات (438)</t>
  </si>
  <si>
    <t>تحویل کارفرما گلفا (390)</t>
  </si>
  <si>
    <t>کد قبلی سنگان 32700665</t>
  </si>
  <si>
    <t>تایم لپس UNV IPC2125LE-ADF40KM-G</t>
  </si>
  <si>
    <t>ipc2125 le uniview تایم لپس</t>
  </si>
  <si>
    <t>نصب در آهک</t>
  </si>
  <si>
    <t xml:space="preserve">SMPنصب شده در </t>
  </si>
  <si>
    <t>نصب در بردسیر بالای دکل</t>
  </si>
  <si>
    <t>تایم لپس EASYSTAR UNV IPC215 5M SNSHOT</t>
  </si>
  <si>
    <t>دوربين تایم لپس Timelaps</t>
  </si>
  <si>
    <t>دوربین تایم لپس(عکاسی)</t>
  </si>
  <si>
    <t>مودم TP-Link MR-200</t>
  </si>
  <si>
    <t>222C6E8003622</t>
  </si>
  <si>
    <t>انبار آی تی پیشران صنعت فکور چابهار</t>
  </si>
  <si>
    <t>مانیتور قبلی روح المینی - مشکل خاموش روشن شدن</t>
  </si>
  <si>
    <t>نیما اسبقیان</t>
  </si>
  <si>
    <t>کد قبلی سنگان 32700620</t>
  </si>
  <si>
    <t>حمید شهانی</t>
  </si>
  <si>
    <t>آفتاب کویر</t>
  </si>
  <si>
    <t>با فاکتور خودشون خرید شده</t>
  </si>
  <si>
    <t>ابراهیم زیدآبادی نژاد</t>
  </si>
  <si>
    <t>20764</t>
  </si>
  <si>
    <t>نگهبان شهرک صنعتی2</t>
  </si>
  <si>
    <t>Canon  DR-M160II</t>
  </si>
  <si>
    <t>نسیم سلیمانی</t>
  </si>
  <si>
    <t>BS29C76</t>
  </si>
  <si>
    <t>HP 1320</t>
  </si>
  <si>
    <t>CNCJL26338</t>
  </si>
  <si>
    <t>STABILIZER FARATEL STB2000M</t>
  </si>
  <si>
    <t xml:space="preserve">مربوط به دوربین های انبار نسوز سایت توسعه فولاد </t>
  </si>
  <si>
    <t>تحویل آقای علی اسفندیارپور پرسنل انبار سایت توسعه فولاد -تحویل کریمی</t>
  </si>
  <si>
    <t>تحویل آقای محمد رضا کیوان سایت توسعه فولاد -تحویل کریمی</t>
  </si>
  <si>
    <t>مختوم شده - تحویل کارفرما گردید</t>
  </si>
  <si>
    <t>مختوم</t>
  </si>
  <si>
    <t>سید محمود سبحانی</t>
  </si>
  <si>
    <t>BS30C76</t>
  </si>
  <si>
    <t>آنتن پارابوك29DBI</t>
  </si>
  <si>
    <t>راديو MIKROTIK METAL</t>
  </si>
  <si>
    <t>سه چاهون (351)</t>
  </si>
  <si>
    <t>مطابق صورتجلسه مختوم شد</t>
  </si>
  <si>
    <t>1402/11/16</t>
  </si>
  <si>
    <t>بهاباد يزد</t>
  </si>
  <si>
    <t>نصب جهت دوربین ها</t>
  </si>
  <si>
    <t>کد قبلی سنگان 32700884</t>
  </si>
  <si>
    <t>کد قبلی سنگان 3010146</t>
  </si>
  <si>
    <t>در تاریخ 1402/11/09 از تعمیر برگشت</t>
  </si>
  <si>
    <t>کد سنگان قبلی 3010068</t>
  </si>
  <si>
    <t>کد سنگان قبلی 3010081</t>
  </si>
  <si>
    <t>کد سنگان قبلی 3010098</t>
  </si>
  <si>
    <t>کد سنگان قبلی 3010079</t>
  </si>
  <si>
    <t>کد سنگان قبلی 32700708</t>
  </si>
  <si>
    <t>کد سنگان قبلی 32700913</t>
  </si>
  <si>
    <t>کد سنگان قبلی 32702860</t>
  </si>
  <si>
    <t>کد سنگان قبلی 3010117</t>
  </si>
  <si>
    <t>کد سنگان قبلی 3010067</t>
  </si>
  <si>
    <t>کد سنگان قبلی 32702707</t>
  </si>
  <si>
    <t>کد سنگان قبلی 32702870</t>
  </si>
  <si>
    <t>کد سنگان قبلی 32700681</t>
  </si>
  <si>
    <t>کد سنگان قبلی 32700710</t>
  </si>
  <si>
    <t>کد سنگان قبلی 32700771</t>
  </si>
  <si>
    <t>کد سنگان قبلی 32702976</t>
  </si>
  <si>
    <t>کد سنگان قبلی 32702127</t>
  </si>
  <si>
    <t>کد سنگان قبلی 3010138</t>
  </si>
  <si>
    <t>کد سنگان قبلی 3010150</t>
  </si>
  <si>
    <t>کد سنگان قبلی 3010554</t>
  </si>
  <si>
    <t>کد قبلی سنگان 32700769</t>
  </si>
  <si>
    <t>کد سنگان قبلی 3010105</t>
  </si>
  <si>
    <t>کد سنگان قبلی 3010488</t>
  </si>
  <si>
    <t>کد سنگان قبلی 3010091</t>
  </si>
  <si>
    <t>کد سنگان قبلی 32701792</t>
  </si>
  <si>
    <t>پشت بام پیشران صنعت فکور چابهار</t>
  </si>
  <si>
    <t>رادیو میکروتیک  BaseBox 5</t>
  </si>
  <si>
    <t>آنتن 27db  WiL-Link</t>
  </si>
  <si>
    <t>ارسال شده از سنگان - کد اموال سنگان 3010119</t>
  </si>
  <si>
    <t>PHCNH37840</t>
  </si>
  <si>
    <t>PHCN715604</t>
  </si>
  <si>
    <t>PHCN715599</t>
  </si>
  <si>
    <t>CNDRQ7V0D0</t>
  </si>
  <si>
    <t>CNDRQ6M166</t>
  </si>
  <si>
    <t>GXJ57112</t>
  </si>
  <si>
    <t>GXJ58986</t>
  </si>
  <si>
    <t xml:space="preserve">CANON DR-M160 II </t>
  </si>
  <si>
    <t>AG7241550</t>
  </si>
  <si>
    <t>AG7241534</t>
  </si>
  <si>
    <t>AG7241524</t>
  </si>
  <si>
    <t>AG7241536</t>
  </si>
  <si>
    <t>AG7241548</t>
  </si>
  <si>
    <t>AG7241546</t>
  </si>
  <si>
    <t>AG7241545</t>
  </si>
  <si>
    <t>AG7241549</t>
  </si>
  <si>
    <t>HIK VISION DS-2CD1067G2-L</t>
  </si>
  <si>
    <t>دوربین مداربسته</t>
  </si>
  <si>
    <t>عباس صابری منش</t>
  </si>
  <si>
    <t>32701581 کد اموال قبلی سنگان</t>
  </si>
  <si>
    <t>محمد رضا خواجویی</t>
  </si>
  <si>
    <t>رسول نعمتیان</t>
  </si>
  <si>
    <t>4021104 </t>
  </si>
  <si>
    <t>GG46C3</t>
  </si>
  <si>
    <t>کد قبلی فکور : 628327- نصب جهت وای فای</t>
  </si>
  <si>
    <t>کد قبلی فکور : 628328- نصب جهت وای فای</t>
  </si>
  <si>
    <t>انبار رو باز (362) توسعه فولاد</t>
  </si>
  <si>
    <t>سوله 1 انبار (362) توسعه فولاد</t>
  </si>
  <si>
    <t>کد قبلی سنگان 32702630</t>
  </si>
  <si>
    <t>ارسال شده از سنگان - کد اموال قبلی سنگان 32703335</t>
  </si>
  <si>
    <t>کد اموال قبلی سنگان 32700799</t>
  </si>
  <si>
    <t>کد قبلی سنگان 32700881</t>
  </si>
  <si>
    <t>کد قبلی سنگان 32700923</t>
  </si>
  <si>
    <t>کد قبلی سنگان 32702708</t>
  </si>
  <si>
    <t>کد قبلی سنگان 32702740</t>
  </si>
  <si>
    <t>32702971 کد قبلی سنگان</t>
  </si>
  <si>
    <t>کد اموال قبلی سنگان 3010080</t>
  </si>
  <si>
    <t>کد قبلی سنگان 3010107</t>
  </si>
  <si>
    <t>کد قبلی سنگان 3010288</t>
  </si>
  <si>
    <t>کد قبلی سنگان 3010118</t>
  </si>
  <si>
    <t>کد قبلی سنگان 3010132</t>
  </si>
  <si>
    <t>کد قبلی سنگان 3010163</t>
  </si>
  <si>
    <t>ارسال شده از سنگان - کد اموال قبلی سنگان 3010071</t>
  </si>
  <si>
    <t>ارسال شده از سنگان - کد اموال قبلی سنگان 3010164</t>
  </si>
  <si>
    <t>ارسال شده از سنگان - کد اموال قبلی سنگان 3010070</t>
  </si>
  <si>
    <t>پیدا شود-کد چسبیده نشده</t>
  </si>
  <si>
    <t>ارسال شده از سنگان - کد اموال قبلی سنگان 3010104</t>
  </si>
  <si>
    <t>ارسال شده از سنگان - کد اموال  قبلی سنگان 3010106</t>
  </si>
  <si>
    <t>ارسال شده از سنگان - کد اموال قبلی سنگان 32700770</t>
  </si>
  <si>
    <t>از سنگان ارسال شده - کد اموال قبلی  سنگان 32700764</t>
  </si>
  <si>
    <t>ارسال شده از سنگان - کد اموال قبلی سنگان 32700801</t>
  </si>
  <si>
    <t>سيستم مولتي سوئيچ 32 خروجه</t>
  </si>
  <si>
    <t>کنترلر ماهواره</t>
  </si>
  <si>
    <t>Cisco WS-C3850-48P-S</t>
  </si>
  <si>
    <t>کد اموال قبلی سنگان 3011157</t>
  </si>
  <si>
    <t>ارسال شده از سنگان - کد اموال قبلی سنگان 3010353</t>
  </si>
  <si>
    <t>ارسال شده از سنگان - کد اموال قبلی سنگان 3010404</t>
  </si>
  <si>
    <t>کد اموال قبلی سنگان 3010123</t>
  </si>
  <si>
    <t>کد اموال قبلی سنگان 3010156</t>
  </si>
  <si>
    <t>کد اموال قبلی سنگان 3010122</t>
  </si>
  <si>
    <t>کد اموال قبلی سنگان 3010157</t>
  </si>
  <si>
    <t>کانکس انبار آی تی توسعه فولاد (362)</t>
  </si>
  <si>
    <t>اتاق سرور آی تی توسعه فولاد (362)</t>
  </si>
  <si>
    <t xml:space="preserve"> نصب در اتاق آی تی توسعه فولاد (362)</t>
  </si>
  <si>
    <t>توسعه فولاد (362) SMP</t>
  </si>
  <si>
    <t>محمد اسماعیل ایلخانی</t>
  </si>
  <si>
    <t>618718</t>
  </si>
  <si>
    <t xml:space="preserve"> واحد تردد ( علی بلوردی ) </t>
  </si>
  <si>
    <t>(243)احداث كارخانه 4 ميليون تن</t>
  </si>
  <si>
    <t>به دلیل قدیمی بودن اعلام داغی شد</t>
  </si>
  <si>
    <t>دستگاه حضور وغیاب کارا2000 مدل CCD</t>
  </si>
  <si>
    <t>قدیمی فاقد کارایی</t>
  </si>
  <si>
    <t>در تاریخ 1402/11/24 از تعمیر برگشت</t>
  </si>
  <si>
    <t>Cisco Ip Phone 8961</t>
  </si>
  <si>
    <t>نصب در انبار شهر جهت دوربین ها</t>
  </si>
  <si>
    <t>نصب در انبار شهر</t>
  </si>
  <si>
    <t>NVR 4232-4KS2/L</t>
  </si>
  <si>
    <t>9C03A12PAZA1B59</t>
  </si>
  <si>
    <t>4232-4KDHI-NVR4232-4KS2</t>
  </si>
  <si>
    <t>8H05B24PAZ1C785</t>
  </si>
  <si>
    <t>پرینتر 3 کاره canon مدل 3010</t>
  </si>
  <si>
    <t>پرینتر چندکاره لیزری کانن مدل SENSYS MF3010</t>
  </si>
  <si>
    <t>گوشی تلفن تحت شبکه گرند استریم</t>
  </si>
  <si>
    <t>رسیور</t>
  </si>
  <si>
    <t>مانیتور جی پلاس 24</t>
  </si>
  <si>
    <t>مانیتور جی پلاس 24-5JN</t>
  </si>
  <si>
    <t>تلفن Voip</t>
  </si>
  <si>
    <t>گیرنده دیجیتال تلویزیون</t>
  </si>
  <si>
    <t>مودم TP Link 200</t>
  </si>
  <si>
    <t>سوییچ SWITCH DLINK DGS 1024C 10/100-24 PORT</t>
  </si>
  <si>
    <t>621012</t>
  </si>
  <si>
    <t xml:space="preserve">علیرضا ستوده-به علت کار نکردن فیدر </t>
  </si>
  <si>
    <t>603562</t>
  </si>
  <si>
    <t xml:space="preserve">به علت روشن نشدن تحویل آقای نیما اسبقیان </t>
  </si>
  <si>
    <t>605841</t>
  </si>
  <si>
    <t>کوروش نوروزی-ارسال به تعمیر</t>
  </si>
  <si>
    <t>لپ تاپ صنعتیHP ZBOOK</t>
  </si>
  <si>
    <t>از عسلویه به تهران ارسال شده و تحویل مهندس حمیدی میباشد</t>
  </si>
  <si>
    <t>سامان حمیدی</t>
  </si>
  <si>
    <t>محمدحسین خباز سرابی</t>
  </si>
  <si>
    <t>100644</t>
  </si>
  <si>
    <t>0944884156</t>
  </si>
  <si>
    <t>GG209C3</t>
  </si>
  <si>
    <t>نصب در توسعه فولاد (362)</t>
  </si>
  <si>
    <t>9C0CE59PAZ63285</t>
  </si>
  <si>
    <t xml:space="preserve">پرینتر </t>
  </si>
  <si>
    <t xml:space="preserve">مانیتور </t>
  </si>
  <si>
    <t xml:space="preserve">دستگاه دیتا سنتر </t>
  </si>
  <si>
    <t xml:space="preserve">دستگاه حضور وغیاب </t>
  </si>
  <si>
    <t xml:space="preserve">کیس کامپیوتر </t>
  </si>
  <si>
    <t xml:space="preserve">دستگاه فایر وال  </t>
  </si>
  <si>
    <t xml:space="preserve">آمپلی فایر با میکروفن - وایرلس </t>
  </si>
  <si>
    <t xml:space="preserve">دوربین ثابت </t>
  </si>
  <si>
    <t xml:space="preserve">سیستم یکپارچه </t>
  </si>
  <si>
    <t>دستگاه VE - 802</t>
  </si>
  <si>
    <t>Mini  pc</t>
  </si>
  <si>
    <t>تاریخ 1402/11/30 مختوم شد</t>
  </si>
  <si>
    <t>تاریخ 30-11-1402</t>
  </si>
  <si>
    <t>1402/11/30</t>
  </si>
  <si>
    <t>1402/11/30 تاریخ ارسال</t>
  </si>
  <si>
    <t>تاریخ 1402/11/30</t>
  </si>
  <si>
    <t>داغی شده توسط تهران</t>
  </si>
  <si>
    <t>توسط دفتر تهران مختوم شده</t>
  </si>
  <si>
    <t>در تاریخ 1402/11/28 از تعمیر برگشت</t>
  </si>
  <si>
    <t xml:space="preserve">لپ تاپ HP  </t>
  </si>
  <si>
    <t>5CG6482XHK</t>
  </si>
  <si>
    <t xml:space="preserve">5CG7111P15 </t>
  </si>
  <si>
    <t xml:space="preserve">لپ تاپ DELL  </t>
  </si>
  <si>
    <t xml:space="preserve">90R8R72 </t>
  </si>
  <si>
    <t>پرینتر HP M428DW</t>
  </si>
  <si>
    <t xml:space="preserve">CNDRQ8K34Y </t>
  </si>
  <si>
    <t>310STMW28975</t>
  </si>
  <si>
    <t>402STBI10802</t>
  </si>
  <si>
    <t>برد هوشمند G-PLUS GSB-651ME</t>
  </si>
  <si>
    <t>305KBSN00064</t>
  </si>
  <si>
    <t>کیس GREEN PARSA</t>
  </si>
  <si>
    <t>جهت تعمییر به تهران ارسال شده(علت تعمییر شکستگی صفحه مانیتور )قریشی</t>
  </si>
  <si>
    <t>1402/12/07</t>
  </si>
  <si>
    <t>ارسال از توسعه به بردسیر</t>
  </si>
  <si>
    <t>امیر سامان نژاد مقدم</t>
  </si>
  <si>
    <t>9H038DBPAG9BB1D</t>
  </si>
  <si>
    <t>نصب شده در انبار سایت مرکز تحقیقات</t>
  </si>
  <si>
    <t>در تاریخ 1402/12/08 از تعمیر برگشت</t>
  </si>
  <si>
    <t>ارسال به تهران جهت تعمیر</t>
  </si>
  <si>
    <t>به دلیل تعمیر نشدن داغی شد</t>
  </si>
  <si>
    <t>1402/12/09</t>
  </si>
  <si>
    <t>GG39C2</t>
  </si>
  <si>
    <t>طب کار توسعه فولاد (362)</t>
  </si>
  <si>
    <t>GG41C2</t>
  </si>
  <si>
    <t>GG40C2</t>
  </si>
  <si>
    <t>رک طب کار توسعه فولاد (362)</t>
  </si>
  <si>
    <t>AG7241516</t>
  </si>
  <si>
    <t>دوربین هایک ویژن</t>
  </si>
  <si>
    <t>نصب در فرزان توسعه فولاد (362)</t>
  </si>
  <si>
    <t>نصب شده جهت ارتباط شرکت فرزان</t>
  </si>
  <si>
    <t>QRT 5 AC RB911G-5HPACD</t>
  </si>
  <si>
    <t>HCP082E4S5Q/222/R2</t>
  </si>
  <si>
    <t>HCP08BNR0VY/222/R2</t>
  </si>
  <si>
    <t>HEM08KQ1633/321/R2</t>
  </si>
  <si>
    <t>HE508VAT9EY/306/R2</t>
  </si>
  <si>
    <t>کانکس های اجرا  توسعه فولاد (362)</t>
  </si>
  <si>
    <t>نصب جهت کانکس اجرا</t>
  </si>
  <si>
    <t>انتقال به خوابگاه مهندس جوان (430)</t>
  </si>
  <si>
    <t>مرتضی صالحوند</t>
  </si>
  <si>
    <t>100646</t>
  </si>
  <si>
    <t>محمد نبی میرشکاری</t>
  </si>
  <si>
    <t>BS35C74</t>
  </si>
  <si>
    <t>B105165329641344</t>
  </si>
  <si>
    <t>B105935831750714</t>
  </si>
  <si>
    <t>VNBRP9W0RN</t>
  </si>
  <si>
    <t>CNDRPD31QP</t>
  </si>
  <si>
    <t>CNDRQ5N5DF</t>
  </si>
  <si>
    <t>4LF02062</t>
  </si>
  <si>
    <t>CNGBR420CX</t>
  </si>
  <si>
    <t>HD2089EXQT1/234/R4</t>
  </si>
  <si>
    <t>HD2081PYM29/234/R4</t>
  </si>
  <si>
    <t>HD208F4HX5M/234/R4</t>
  </si>
  <si>
    <t>HD208C3VQ6K/234/R4</t>
  </si>
  <si>
    <t>HD208DAT6F2/234/R4</t>
  </si>
  <si>
    <t>HD208DYHBEH/234/R4</t>
  </si>
  <si>
    <t>اسکنر Avision AD250</t>
  </si>
  <si>
    <t>پرینتر HP M282NW</t>
  </si>
  <si>
    <t>پرینتر HP M428FDW</t>
  </si>
  <si>
    <t>پرینتر CANON MF264DW</t>
  </si>
  <si>
    <t>کپی SHARP BP-X240</t>
  </si>
  <si>
    <t>CAP XL AC RBCAPGI-5ACD2ND</t>
  </si>
  <si>
    <t>310TOEF10548</t>
  </si>
  <si>
    <t>310TOPM11808</t>
  </si>
  <si>
    <t>310TOMP11051</t>
  </si>
  <si>
    <t>310TOFJ0Z923</t>
  </si>
  <si>
    <t>310TOWR10385</t>
  </si>
  <si>
    <t>310TOWR11849</t>
  </si>
  <si>
    <t>310TOQN11884</t>
  </si>
  <si>
    <t>310TOHT10177</t>
  </si>
  <si>
    <t>310TOAG11632</t>
  </si>
  <si>
    <t>310TOJK11900</t>
  </si>
  <si>
    <t>PUC17430HTH</t>
  </si>
  <si>
    <t>PXN1527V5U2</t>
  </si>
  <si>
    <t>PXN1528VSYM</t>
  </si>
  <si>
    <t>PUC17110ORD</t>
  </si>
  <si>
    <t>PXN1528VT10</t>
  </si>
  <si>
    <t>PUC164706WC</t>
  </si>
  <si>
    <t>PXN1527V56N</t>
  </si>
  <si>
    <t>FCH192894M1</t>
  </si>
  <si>
    <t>FCH1532A4FR</t>
  </si>
  <si>
    <t>FCH17428M8J</t>
  </si>
  <si>
    <t>مسعود کورکی‌نژاد</t>
  </si>
  <si>
    <t>20788</t>
  </si>
  <si>
    <t>بدلیل قدیمی بودن و غیر قابل تعمیر بودن داغی اعلام شد</t>
  </si>
  <si>
    <t>16/12/1402</t>
  </si>
  <si>
    <t>مودم به همراه سیم کارت ایرانسل 09053581771-انتقال به توسعه</t>
  </si>
  <si>
    <t>4021110</t>
  </si>
  <si>
    <t>BS31C76</t>
  </si>
  <si>
    <t>MP24R1L1</t>
  </si>
  <si>
    <t xml:space="preserve">ALL IN ONE LENOVO 30A-22IIl </t>
  </si>
  <si>
    <t>PXN1528VT4F</t>
  </si>
  <si>
    <t>GXJ58688</t>
  </si>
  <si>
    <t>20583</t>
  </si>
  <si>
    <t>آبدارخانه تربت حیدریه (439)</t>
  </si>
  <si>
    <t>PUC180302K6</t>
  </si>
  <si>
    <t>فرهاد پاشایی</t>
  </si>
  <si>
    <t>پتروشیمی پیشران صنعت فکور</t>
  </si>
  <si>
    <t>رک 12یونیت</t>
  </si>
  <si>
    <t xml:space="preserve">سوییچ سیسکو 48port </t>
  </si>
  <si>
    <t>FOC1528Z3HD</t>
  </si>
  <si>
    <t>FGL18501025</t>
  </si>
  <si>
    <t>HE108KGK2GH/301/R2</t>
  </si>
  <si>
    <t>HE108SNMRZ9/301/R2</t>
  </si>
  <si>
    <t>Radio - Mikrotik – LHG5</t>
  </si>
  <si>
    <t xml:space="preserve">جهت راه اندازی لینک سایت به آقای شادلی پرسنل آی تی نگین مکران تحویل داده شد </t>
  </si>
  <si>
    <t>CNDRQ3L1G6</t>
  </si>
  <si>
    <t>Laserjet pro mfp M428dw</t>
  </si>
  <si>
    <t>کیس گرین Z370 I7</t>
  </si>
  <si>
    <t>ESP توسعه فولاد (362)</t>
  </si>
  <si>
    <t>C12</t>
  </si>
  <si>
    <t>ابوالفضل خادم الحسینی(فرزان)</t>
  </si>
  <si>
    <t>سجاد تقی زاده(فرزان)</t>
  </si>
  <si>
    <t>مهرداد منصوری(فرزان)</t>
  </si>
  <si>
    <t>مجتبی سلیمانی(فرزان)</t>
  </si>
  <si>
    <t>سعید نبی زاده(Icaps)</t>
  </si>
  <si>
    <t>BS36C74</t>
  </si>
  <si>
    <t>امید فلاح(آهن مهام)</t>
  </si>
  <si>
    <t>محسن براتی</t>
  </si>
  <si>
    <t>4021201</t>
  </si>
  <si>
    <t>محمدرضا عبادی(فولاد تکنیک)</t>
  </si>
  <si>
    <t>GG5C12</t>
  </si>
  <si>
    <t>305KBEG00030</t>
  </si>
  <si>
    <t>310039243D93497300134</t>
  </si>
  <si>
    <t>UPS GENESIS-B 10KVA H2</t>
  </si>
  <si>
    <t xml:space="preserve">به همراه 16 عدد باطری و دو عدد کابینت </t>
  </si>
  <si>
    <t>BS37C74</t>
  </si>
  <si>
    <t>مسعود حسینی پورمرادی</t>
  </si>
  <si>
    <t>20773</t>
  </si>
  <si>
    <t>606361</t>
  </si>
  <si>
    <t>مانیتور حمیدرضا اصلانی  ارسال جهت تعمیر به علت روشن نشدن</t>
  </si>
  <si>
    <t>Radio Mikrotik SXT</t>
  </si>
  <si>
    <t>4010130220600059</t>
  </si>
  <si>
    <t>ups Genesis 2KVA</t>
  </si>
  <si>
    <t>CNERQ1C609</t>
  </si>
  <si>
    <t>HP LaserJet700 M712</t>
  </si>
  <si>
    <t>611439</t>
  </si>
  <si>
    <t xml:space="preserve">به علت روشن نشدن تحویل آقای مجتبی خداوردی پرسنل سایت توسعه فولاد </t>
  </si>
  <si>
    <t>در تهران داغی شده</t>
  </si>
  <si>
    <t>حمیدرضا خراسانی</t>
  </si>
  <si>
    <t>تاسیسات</t>
  </si>
  <si>
    <t>F0C1249V2SA</t>
  </si>
  <si>
    <t>F0C1350V20Q</t>
  </si>
  <si>
    <t>F0C1449W2ZN</t>
  </si>
  <si>
    <t>F0C1249V2YX</t>
  </si>
  <si>
    <t>F0C1249V2SH</t>
  </si>
  <si>
    <t>F0C1249V2TM</t>
  </si>
  <si>
    <t>F0C1249V2SX</t>
  </si>
  <si>
    <t>F0C1249V2VA</t>
  </si>
  <si>
    <t>F0C1249V2VL</t>
  </si>
  <si>
    <t>سوییچ 8 پورت POE3560</t>
  </si>
  <si>
    <t>ONLINE UPS Genesis 10KVA</t>
  </si>
  <si>
    <t>B2DQPDZ7-6FDNU041</t>
  </si>
  <si>
    <t>اتاق ESP توسعه فولاد (362)</t>
  </si>
  <si>
    <t>جهت استفاده سیستم های ESP-همراه با 16 عدد باطری 12ولت 40 آمپر و کابینتUPS</t>
  </si>
  <si>
    <t>مهرداد منصوری</t>
  </si>
  <si>
    <t>2371184330</t>
  </si>
  <si>
    <t>پرسنل فرزان MC</t>
  </si>
  <si>
    <t>در تهران داغی شد</t>
  </si>
  <si>
    <t>1903LZ074PX9</t>
  </si>
  <si>
    <t>LOGITECH MEETUP 960-001102</t>
  </si>
  <si>
    <t>ONLINE UPS Genesis 2KVA</t>
  </si>
  <si>
    <t>همراه با 8 عدد باطری 12ولت 40 آمپر و کابینتUPS</t>
  </si>
  <si>
    <t>4010130220600050</t>
  </si>
  <si>
    <t>BS32C76</t>
  </si>
  <si>
    <t>یوسف ناجی</t>
  </si>
  <si>
    <t>بردسیر (461)</t>
  </si>
  <si>
    <t>4020105</t>
  </si>
  <si>
    <t>DF980CC010FD</t>
  </si>
  <si>
    <t>Mikrotik LHG 5 XL</t>
  </si>
  <si>
    <t>تلویزیون اکبری جهت نظارت دوربین های انبار-مشکل روشن نشدن-ارسال به سیرجان</t>
  </si>
  <si>
    <t>GG11C10</t>
  </si>
  <si>
    <t>محمدعلی ابرهام</t>
  </si>
  <si>
    <t>ONLINE UPS Genesis 3KVA</t>
  </si>
  <si>
    <t>4010130220700285</t>
  </si>
  <si>
    <t>UNW0RLFB</t>
  </si>
  <si>
    <t>شمس الدین کریمی لاسکی</t>
  </si>
  <si>
    <t>پتروشیمی پیشران صنعت</t>
  </si>
  <si>
    <t>UNW0RLCB</t>
  </si>
  <si>
    <t>UNW0RLG0</t>
  </si>
  <si>
    <t>سیامک زارعی</t>
  </si>
  <si>
    <t>UNW0RLCG</t>
  </si>
  <si>
    <t>علی سیستانی</t>
  </si>
  <si>
    <t>UNW0RLCV</t>
  </si>
  <si>
    <t>وحید شاقاسی</t>
  </si>
  <si>
    <t>ارکان تدبیر</t>
  </si>
  <si>
    <t>مشاور</t>
  </si>
  <si>
    <t>مشاور هماتیت فولاد سنگان(456)</t>
  </si>
  <si>
    <t>رامین بیگ نژاد</t>
  </si>
  <si>
    <t>مدیر سایت پیشران</t>
  </si>
  <si>
    <t>به دلیل سوختن مادربرد داغی شد</t>
  </si>
  <si>
    <t>در تاریخ 1403/01/29 از تعمیر برگشت</t>
  </si>
  <si>
    <t>احسان محیاپور</t>
  </si>
  <si>
    <t>حراست کارفرما توسعه فولاد (362)</t>
  </si>
  <si>
    <t>رحیم کریمی</t>
  </si>
  <si>
    <t>GG212C3</t>
  </si>
  <si>
    <t>فرزان</t>
  </si>
  <si>
    <t>پرهام خورشیدی</t>
  </si>
  <si>
    <t>GXJ70478</t>
  </si>
  <si>
    <t>PCLA661645</t>
  </si>
  <si>
    <t>Printer Canon 6030</t>
  </si>
  <si>
    <t>علی ضیغمی</t>
  </si>
  <si>
    <t>SX620HS</t>
  </si>
  <si>
    <t>دوربین Canon</t>
  </si>
  <si>
    <t>مهدی عرب</t>
  </si>
  <si>
    <t>هومن وطن دوست</t>
  </si>
  <si>
    <t>اجرا-برق</t>
  </si>
  <si>
    <t>اجرا-مکانیک</t>
  </si>
  <si>
    <t>سوخته</t>
  </si>
  <si>
    <t>HCM08AV7H35</t>
  </si>
  <si>
    <t xml:space="preserve">QRT 5 </t>
  </si>
  <si>
    <t>برج آهک توسعه فولاد (362)</t>
  </si>
  <si>
    <t>C7</t>
  </si>
  <si>
    <t>نصب روی برج نور آهک</t>
  </si>
  <si>
    <t>رادیو قبلی آهک به دلیل سوختن جمع آوری شده</t>
  </si>
  <si>
    <t>رضا اسدی</t>
  </si>
  <si>
    <t>GG213C3</t>
  </si>
  <si>
    <t>بیتا گستر</t>
  </si>
  <si>
    <t>کد قبلی 43001396</t>
  </si>
  <si>
    <t>کد قبلی 43001488</t>
  </si>
  <si>
    <t>کد قبلی 43000263</t>
  </si>
  <si>
    <t>کد قبلی 43001484</t>
  </si>
  <si>
    <t>کد قبلی 43000987</t>
  </si>
  <si>
    <t>کد قبلی 43000983</t>
  </si>
  <si>
    <t>انتقال به تهران</t>
  </si>
  <si>
    <t>انتقال از عسلویه به تهران</t>
  </si>
  <si>
    <t>کد قبلی 43001035</t>
  </si>
  <si>
    <t>کد قبلی فکور 607705 - 43000234</t>
  </si>
  <si>
    <t>کد قبلی فکور 607702 - 43000220</t>
  </si>
  <si>
    <t>کد قبلی فکور 608772 - 43000237</t>
  </si>
  <si>
    <t>کد قبلی فکور 607701 - 43000221</t>
  </si>
  <si>
    <t>کد قبلی فکور 608126 - 43000254</t>
  </si>
  <si>
    <t>کد قبلی فکور 610565 - 43000259</t>
  </si>
  <si>
    <t>کد قبلی 43001018</t>
  </si>
  <si>
    <t>کد قبلی فکور 603165 - 43000217</t>
  </si>
  <si>
    <t>کد قبلی فکور 607703 - 43000251</t>
  </si>
  <si>
    <t>کد قبلی فکور 607266 - 43000250</t>
  </si>
  <si>
    <t>کد قبلی فکور 606047 - 43000232</t>
  </si>
  <si>
    <t>کد قبلی 43000612</t>
  </si>
  <si>
    <t>کد قبلی فکور 602520 - 43000228</t>
  </si>
  <si>
    <t>کد قبلی فکور 609606 - 43000240</t>
  </si>
  <si>
    <t>کد قبلی فکور 607265 - 43000265</t>
  </si>
  <si>
    <t>کد قبلی فکور 601731 - 43000246</t>
  </si>
  <si>
    <t>کد قبلی 43001015</t>
  </si>
  <si>
    <t>کد قبلی 43001032</t>
  </si>
  <si>
    <t>کد قبلی 43000610</t>
  </si>
  <si>
    <t>کد قبلی 43001017</t>
  </si>
  <si>
    <t>کد قبلی 43001019</t>
  </si>
  <si>
    <t>کد قبلی 43001024</t>
  </si>
  <si>
    <t>کدقبلی 43000609</t>
  </si>
  <si>
    <t>کد قبلی فکور 609603 - 43000258</t>
  </si>
  <si>
    <t>کد قبلی فکور 610925 - 43000260</t>
  </si>
  <si>
    <t>کد قبلی فکور 605842 - 43000231</t>
  </si>
  <si>
    <t>کد قبلی فکور 604752 - 43000230</t>
  </si>
  <si>
    <t>کد قبلی فکور 609390 - 43000256</t>
  </si>
  <si>
    <t>کد قبلی فکور 610927 - 43000261</t>
  </si>
  <si>
    <t>کد قبلی فکور 609083 - 43000255</t>
  </si>
  <si>
    <t>کد قبلی 43000644</t>
  </si>
  <si>
    <t>کد قبلی فکور 607692 - 43000233</t>
  </si>
  <si>
    <t>کد قبلی فکور 618633 - 43000243</t>
  </si>
  <si>
    <t>کد قبلی فکور 607708 - 43000235</t>
  </si>
  <si>
    <t>کد قبلی 43000805</t>
  </si>
  <si>
    <t>کد قبلی فکور 605440 - 43000223</t>
  </si>
  <si>
    <t>کد قبلی فکور 608121 - 43000253</t>
  </si>
  <si>
    <t>کد قبلی فکور 609084 - 43000238</t>
  </si>
  <si>
    <t>کد قبلی فکور 607262 - 43000248</t>
  </si>
  <si>
    <t>کد قبلی فکور 608009 - 43000252</t>
  </si>
  <si>
    <t>کد قبلی فکور 607263 - 43000218</t>
  </si>
  <si>
    <t>کد قبلی فکور 609601 - 43000257</t>
  </si>
  <si>
    <t>کد قبلی فکور 604134 - 43000247</t>
  </si>
  <si>
    <t>کد قبلی فکور 600019 - 43000219</t>
  </si>
  <si>
    <t>کد قبلی 43000992</t>
  </si>
  <si>
    <t>کد قبلی فکور 624639 - 43000167</t>
  </si>
  <si>
    <t>کد قبلی فکور 624713 - 43000212</t>
  </si>
  <si>
    <t>کد قبلی 43000985</t>
  </si>
  <si>
    <t>کد قبلی فکور 608104 - 43000214</t>
  </si>
  <si>
    <t>کد قبلی 43000266</t>
  </si>
  <si>
    <t>کد قبلی فکور 624638 - 43000166</t>
  </si>
  <si>
    <t>کد قبلی فکور 624346 - 43000146</t>
  </si>
  <si>
    <t>کد قبلی 43000272</t>
  </si>
  <si>
    <t>کد قبلی فکور 610967 - 43000241</t>
  </si>
  <si>
    <t>کدقبلی 43000982</t>
  </si>
  <si>
    <t>کد قبلی فکور 624637 - 43000165</t>
  </si>
  <si>
    <t>کد قبلی فکور 624632 - 43000164</t>
  </si>
  <si>
    <t>کد قبلی 43000267</t>
  </si>
  <si>
    <t>کد قبلی 43000980</t>
  </si>
  <si>
    <t>کد قبلی 43000991</t>
  </si>
  <si>
    <t>کد قبلی 43000993</t>
  </si>
  <si>
    <t>کد قبلی 43001496</t>
  </si>
  <si>
    <t>کد قبلی 43001498</t>
  </si>
  <si>
    <t>کد قبلی 43001499</t>
  </si>
  <si>
    <t>کد قبلی 43001500</t>
  </si>
  <si>
    <t>کد قبلی 43001501</t>
  </si>
  <si>
    <t>کد قبلی 43001502</t>
  </si>
  <si>
    <t>کد قبلی 43001503</t>
  </si>
  <si>
    <t>کد قبلی 43000264</t>
  </si>
  <si>
    <t>کد قبلی 43000273</t>
  </si>
  <si>
    <t>کد قبلی فکور 615553 - 43000242</t>
  </si>
  <si>
    <t>کد قبلی 43000274</t>
  </si>
  <si>
    <t>کد قبلی 43000262</t>
  </si>
  <si>
    <t>کد قبلی 43001497</t>
  </si>
  <si>
    <t>کد قبلی فکور 603678 - 43000229</t>
  </si>
  <si>
    <t>کد قبلی فکور 604333 - 43000215</t>
  </si>
  <si>
    <t>کد قبلی فکور 624343 - 43000145</t>
  </si>
  <si>
    <t>کد قبلی 43000268</t>
  </si>
  <si>
    <t>کد قبلی فکور 624341 - 43000144</t>
  </si>
  <si>
    <t>کد قبلی فکور 624704 - 43000209</t>
  </si>
  <si>
    <t>کد قبلی فکور 624708 - 43000211</t>
  </si>
  <si>
    <t>کد قبلی 43000271</t>
  </si>
  <si>
    <t>کد قبلی فکور 624649 - 43000169</t>
  </si>
  <si>
    <t>کد قبلی 43001311</t>
  </si>
  <si>
    <t>کد قبلی 43001310</t>
  </si>
  <si>
    <t>کد قبلی 43000193</t>
  </si>
  <si>
    <t>کد قبلی 43001401</t>
  </si>
  <si>
    <t>کد قبلی 43000374</t>
  </si>
  <si>
    <t>کد قبلی فکور 624648 - 43000168</t>
  </si>
  <si>
    <t>کد قبلی 43001312</t>
  </si>
  <si>
    <t>کد قبلی فکور 624922 - 43000192</t>
  </si>
  <si>
    <t>کد قبلی 43001402</t>
  </si>
  <si>
    <t>کد قبلی فکور 624918 - 43000190</t>
  </si>
  <si>
    <t>کد قبلی 43001393</t>
  </si>
  <si>
    <t>کد قبلی 43001394</t>
  </si>
  <si>
    <t>کد قبلی 43001395</t>
  </si>
  <si>
    <t>کد قبلی 43001307</t>
  </si>
  <si>
    <t>کد قبلی فکور 624907 - 43000188</t>
  </si>
  <si>
    <t>کد قبلی فکور 624908 - 43000189</t>
  </si>
  <si>
    <t>کد قبلی فکور 624666 - 43000178</t>
  </si>
  <si>
    <t>کد قبلی فکور 624667 - 43000179</t>
  </si>
  <si>
    <t>کد قبلی 43001476</t>
  </si>
  <si>
    <t>کد قبلی فکور 624668 - 43000180</t>
  </si>
  <si>
    <t>کد قبلی 43000350</t>
  </si>
  <si>
    <t>کد قبلی 43001482</t>
  </si>
  <si>
    <t>کد قبلی 43000360</t>
  </si>
  <si>
    <t>کد قبلی 43001475</t>
  </si>
  <si>
    <t>کد قبلی 43001014</t>
  </si>
  <si>
    <t>کد قبلی فکور 624664 - 43000176</t>
  </si>
  <si>
    <t>کد قبلی 43000361</t>
  </si>
  <si>
    <t>کد قبلی 43000359</t>
  </si>
  <si>
    <t>کد قبلی 43000358</t>
  </si>
  <si>
    <t>کد قبلی فکور 624657 - 43000173</t>
  </si>
  <si>
    <t>کد قبلی 43000994</t>
  </si>
  <si>
    <t>کد قبلی 43001000</t>
  </si>
  <si>
    <t>کد قبلی 43001009</t>
  </si>
  <si>
    <t>کد قبلی 43001010</t>
  </si>
  <si>
    <t>کد قبلی 43001011</t>
  </si>
  <si>
    <t>کد قبلی 43001012</t>
  </si>
  <si>
    <t>کد قبلی 43001013</t>
  </si>
  <si>
    <t>کد قبلی 43001470</t>
  </si>
  <si>
    <t>کد قبلی 43001471</t>
  </si>
  <si>
    <t>کد قبلی 43001472</t>
  </si>
  <si>
    <t>کد قبلی 43001477</t>
  </si>
  <si>
    <t>کد قبلی 43001478</t>
  </si>
  <si>
    <t>کد قبلی 43001479</t>
  </si>
  <si>
    <t>کد قبلی 43001480</t>
  </si>
  <si>
    <t>کد قبلی 43001485</t>
  </si>
  <si>
    <t>کد قبلی 43001486</t>
  </si>
  <si>
    <t>کد قبلی 43001487</t>
  </si>
  <si>
    <t>کد قبلی 43000989</t>
  </si>
  <si>
    <t>کد قبلی 43000990</t>
  </si>
  <si>
    <t>کد قبلی 43001473</t>
  </si>
  <si>
    <t>کد قبلی 43000988</t>
  </si>
  <si>
    <t>کد قبلی فکور 624652 - 43000170</t>
  </si>
  <si>
    <t>کد قبلی 43001474</t>
  </si>
  <si>
    <t>کد قبلی فکور 624655 - 43000171</t>
  </si>
  <si>
    <t>کد قبلی 43000356</t>
  </si>
  <si>
    <t>کد قبلی 43000352</t>
  </si>
  <si>
    <t>کد قبلی فکور 624656 - 43000172</t>
  </si>
  <si>
    <t>کد قبلی فکور 624663 - 43000175</t>
  </si>
  <si>
    <t>کد قبلی 43000363</t>
  </si>
  <si>
    <t>کد قبلی 43001483</t>
  </si>
  <si>
    <t>کد قبلی فکور 624665 - 43000177</t>
  </si>
  <si>
    <t>کد قبلی 43001489</t>
  </si>
  <si>
    <t>کد قبلی 43000354</t>
  </si>
  <si>
    <t>کد قبلی 43000357</t>
  </si>
  <si>
    <t>کد قبلی 43000364</t>
  </si>
  <si>
    <t>کد قبلی 43000349</t>
  </si>
  <si>
    <t>کد قبلی 43000351</t>
  </si>
  <si>
    <t>کد قبلی 43000353</t>
  </si>
  <si>
    <t>کد قبلی فکور 624669 - 43000181</t>
  </si>
  <si>
    <t>کد قبلی 43001481</t>
  </si>
  <si>
    <t>کد قبلی 43000362</t>
  </si>
  <si>
    <t>کد قبلی 43000598</t>
  </si>
  <si>
    <t>کد قبلی 43000599</t>
  </si>
  <si>
    <t>کد قبلی 43000370</t>
  </si>
  <si>
    <t>کد قبلی 43000333</t>
  </si>
  <si>
    <t>کد قبلی فکور 624601 - 43000162</t>
  </si>
  <si>
    <t>کد قبلی فکور 609149 - 43000239</t>
  </si>
  <si>
    <t>کد قبلی فکور 625129 - 43000659</t>
  </si>
  <si>
    <t>کد قبلی فکور 625128 - 43000646</t>
  </si>
  <si>
    <t>کد قبلی فکور 625127 - 43000224</t>
  </si>
  <si>
    <t>کد قبلی 43000707</t>
  </si>
  <si>
    <t>کد قبلی فکور 623457 - 43000245</t>
  </si>
  <si>
    <t>کد قبلی 43001397</t>
  </si>
  <si>
    <t>کد قبلی 43001366</t>
  </si>
  <si>
    <t>کد قبلی 43001367</t>
  </si>
  <si>
    <t>کد قبلی 43001368</t>
  </si>
  <si>
    <t>کد قبلی 43001369</t>
  </si>
  <si>
    <t>کد قبلی 43001370</t>
  </si>
  <si>
    <t>کد قبلی فکور : 628284 - 43002033</t>
  </si>
  <si>
    <t>کد قبلی 43000282</t>
  </si>
  <si>
    <t>کد قبلی فکور 625131 - 43000225</t>
  </si>
  <si>
    <t>کد قبلی 43001398</t>
  </si>
  <si>
    <t>کد قبلی 43000606</t>
  </si>
  <si>
    <t>کد قبلی 43001422</t>
  </si>
  <si>
    <t>کد قبلی 43001399</t>
  </si>
  <si>
    <t>قبلا داغی اعلام شده ولی در خوابگاه خرامه پیدا شده-از خرامه توسط زیرک به آی تی تحویل داده شد</t>
  </si>
  <si>
    <t>0722010105062870</t>
  </si>
  <si>
    <t>مودم Dlink DSL-124</t>
  </si>
  <si>
    <t>T0031GB001936</t>
  </si>
  <si>
    <t>حسین هاشمی</t>
  </si>
  <si>
    <t>خانم نیک اختر درجریانه که برده خونه</t>
  </si>
  <si>
    <t>کد قبلی 43000355</t>
  </si>
  <si>
    <t>تلفن پاناسونیک ADVANCED-2371</t>
  </si>
  <si>
    <t>CISCO 2960 24 PORT POE</t>
  </si>
  <si>
    <t>FCH100589J3</t>
  </si>
  <si>
    <t>جمع آوری شده</t>
  </si>
  <si>
    <t>DF970E7CB3A0</t>
  </si>
  <si>
    <t>DF970E6CBDD8</t>
  </si>
  <si>
    <t>HED08RC5SM6</t>
  </si>
  <si>
    <t>HED08W1VN6F</t>
  </si>
  <si>
    <t>رادیو  LHG XL 5 AC</t>
  </si>
  <si>
    <t>رادیو  QRT5 AC</t>
  </si>
  <si>
    <t>مانیتور رشیدی خوابگاه 10 واحدی مشعل گاز</t>
  </si>
  <si>
    <t>در تاریخ 1403/02/15 از تعمیر برگشت</t>
  </si>
  <si>
    <t>نصب دکل اصلی فولاد 362 – لینک  ESP</t>
  </si>
  <si>
    <t>لینک ESP دکل توسعه فولاد (362)</t>
  </si>
  <si>
    <t>ناحیه ESP توسعه فولاد (362)</t>
  </si>
  <si>
    <t>210235C52Y322C000015</t>
  </si>
  <si>
    <t>832974153DBH0457</t>
  </si>
  <si>
    <t>210235TXDSF226000443</t>
  </si>
  <si>
    <t>210235C5CJ3225000397</t>
  </si>
  <si>
    <t>210235TXDF3226001811</t>
  </si>
  <si>
    <t>سوییچ 5 پورت HR900-AF-41N</t>
  </si>
  <si>
    <t>IPC2125LE-ADF28KM-G</t>
  </si>
  <si>
    <t>نصب در ESP</t>
  </si>
  <si>
    <t>پایه شکسته شده</t>
  </si>
  <si>
    <t>0774963460019</t>
  </si>
  <si>
    <t xml:space="preserve">دستگاه حضور غیاب iFace   واحد ایمنی </t>
  </si>
  <si>
    <t>PUC17070WGL</t>
  </si>
  <si>
    <t>AMD M5A78</t>
  </si>
  <si>
    <t>G41 قاب داغون</t>
  </si>
  <si>
    <t>AMD 770 DDR3</t>
  </si>
  <si>
    <t>AMD M56S</t>
  </si>
  <si>
    <t>P5P41</t>
  </si>
  <si>
    <t>درب ندارد</t>
  </si>
  <si>
    <t>GA-M56S AMD</t>
  </si>
  <si>
    <t>GA-945-DDR2</t>
  </si>
  <si>
    <t>AMD 780T</t>
  </si>
  <si>
    <t>AMD M5A78 16GB</t>
  </si>
  <si>
    <t>G41 چک شود</t>
  </si>
  <si>
    <t>H81</t>
  </si>
  <si>
    <t>H61 چک شود</t>
  </si>
  <si>
    <t>H61</t>
  </si>
  <si>
    <t>پایه ندارد</t>
  </si>
  <si>
    <t>مادربر دسالم-کیس داغون</t>
  </si>
  <si>
    <t>در تاریخ 1403/02/25 از تعمیر برگشت</t>
  </si>
  <si>
    <t>باتری خورشيدی SOLAR PACK PANEL BOARD PLATE</t>
  </si>
  <si>
    <t>105STBV28500</t>
  </si>
  <si>
    <t>TV Gplus 55" GTV-55LU722S</t>
  </si>
  <si>
    <t>دفاتر اداری پیشران صنعت فکور چابهار</t>
  </si>
  <si>
    <t>کانکس مدیر پروژه سایت مرکز تحقیقات (438)</t>
  </si>
  <si>
    <t>توسط آزادی در کانکس سلطان زاده نصب شده</t>
  </si>
  <si>
    <t>توسط آزادی در سالن کنفرانس نصب شده</t>
  </si>
  <si>
    <t>GG214C3</t>
  </si>
  <si>
    <t>عباس نوربخش</t>
  </si>
  <si>
    <t>GXJ58997</t>
  </si>
  <si>
    <t>Scanner Canon M160II</t>
  </si>
  <si>
    <t>سامان راکی سلیمی</t>
  </si>
  <si>
    <t>علت تعمییر سرویس کامل دستگاه</t>
  </si>
  <si>
    <t>کد قبلی مختوم شده 43001342</t>
  </si>
  <si>
    <t>کد قبلی مختوم شده 43001343</t>
  </si>
  <si>
    <t>کد قبلی مختوم شده 43001326</t>
  </si>
  <si>
    <t>کد قبلی مختوم شده 43001325</t>
  </si>
  <si>
    <t>کد قبلی مختوم شده 43001327</t>
  </si>
  <si>
    <t>کد قبلی مختوم شده 43001328</t>
  </si>
  <si>
    <t>کد قبلی مختوم شده 43001323</t>
  </si>
  <si>
    <t>کد قبلی مختوم شده 43001331</t>
  </si>
  <si>
    <t>کد قبلی مختوم شده 43001329</t>
  </si>
  <si>
    <t>کد قبلی مختوم شده 43001330</t>
  </si>
  <si>
    <t>کد قبلی مختوم شده 43001332</t>
  </si>
  <si>
    <t>کد قبلی مختوم شده 43001333</t>
  </si>
  <si>
    <t>کد قبلی مختوم شده 43001334</t>
  </si>
  <si>
    <t>کد قبلی مختوم شده 43001335</t>
  </si>
  <si>
    <t>کد قبلی مختوم شده 43001336</t>
  </si>
  <si>
    <t>کد قبلی مختوم شده 43001313</t>
  </si>
  <si>
    <t>کد قبلی مختوم شده 43001314</t>
  </si>
  <si>
    <t>کد قبلی مختوم شده 43001315</t>
  </si>
  <si>
    <t>کد قبلی مختوم شده 43001316</t>
  </si>
  <si>
    <t>کد قبلی مختوم شده 43001317</t>
  </si>
  <si>
    <t>کد قبلی مختوم شده 43001318</t>
  </si>
  <si>
    <t>کد قبلی مختوم شده 43001319</t>
  </si>
  <si>
    <t>کد قبلی مختوم شده 43001320</t>
  </si>
  <si>
    <t>کد قبلی مختوم شده 43001321</t>
  </si>
  <si>
    <t>کد قبلی مختوم شده 43001322</t>
  </si>
  <si>
    <t>کد قبلی مختوم شده 43001337</t>
  </si>
  <si>
    <t>کد قبلی مختوم شده 43001338</t>
  </si>
  <si>
    <t>کد قبلی مختوم شده 43001339</t>
  </si>
  <si>
    <t>کد قبلی مختوم شده 43001340</t>
  </si>
  <si>
    <t>کد قبلی مختوم شده 43000600</t>
  </si>
  <si>
    <t>کد قبلی مختوم شده 43000601</t>
  </si>
  <si>
    <t>کد قبلی مختوم شده 43001341</t>
  </si>
  <si>
    <t>کد قبلی مختوم شده 43001324</t>
  </si>
  <si>
    <t>کد قبلی مختوم شده 43001490</t>
  </si>
  <si>
    <t>کد قبلی مختوم شده 43001491</t>
  </si>
  <si>
    <t>کد قبلی مختوم شده 43001493</t>
  </si>
  <si>
    <t>کد قبلی مختوم شده 43001494</t>
  </si>
  <si>
    <t>کد قبلی مختوم شده 43001495</t>
  </si>
  <si>
    <t>کد قبلی مختوم شده 43001492</t>
  </si>
  <si>
    <t>کد قبلی مختوم شده 43001818</t>
  </si>
  <si>
    <t>باقی مانده در عسلویه</t>
  </si>
  <si>
    <t>موجود در انبار صابری</t>
  </si>
  <si>
    <t>Samsung Tab SM-P615</t>
  </si>
  <si>
    <t>R52R909D3EX</t>
  </si>
  <si>
    <t xml:space="preserve">جهت تعمیر به تهران </t>
  </si>
  <si>
    <t xml:space="preserve">آقای کیوان -جهت تعمیر به تهران </t>
  </si>
  <si>
    <t>محمد الهی زاده</t>
  </si>
  <si>
    <t>HM1C92</t>
  </si>
  <si>
    <t>C92</t>
  </si>
  <si>
    <t>HM2C92</t>
  </si>
  <si>
    <t>HM4C92</t>
  </si>
  <si>
    <t>کارفرما هماتیت فولاد سنگان(456)</t>
  </si>
  <si>
    <t>مهندس ستوده</t>
  </si>
  <si>
    <t>HM5C92</t>
  </si>
  <si>
    <t>HM6C92</t>
  </si>
  <si>
    <t>شماره موبایل 09945616984</t>
  </si>
  <si>
    <t>BS33C76</t>
  </si>
  <si>
    <t xml:space="preserve">جهت سرویس به تهران </t>
  </si>
  <si>
    <t>BS34C76</t>
  </si>
  <si>
    <t>علی اسدی پور</t>
  </si>
  <si>
    <t>علی بخشیان</t>
  </si>
  <si>
    <t>BS38C74</t>
  </si>
  <si>
    <t>نظارت برسو</t>
  </si>
  <si>
    <t>مدیر برسو</t>
  </si>
  <si>
    <t>4030304</t>
  </si>
  <si>
    <t>کد به دلیل داغی بودن کنده شد</t>
  </si>
  <si>
    <t>پیسیکو</t>
  </si>
  <si>
    <t>بخشی</t>
  </si>
  <si>
    <t>نظارت هماتیت فولاد سنگان(456)</t>
  </si>
  <si>
    <t>HM8C92</t>
  </si>
  <si>
    <t>HM7C92</t>
  </si>
  <si>
    <t>HM3C92</t>
  </si>
  <si>
    <t>1403/03/26</t>
  </si>
  <si>
    <t>Camera Hikvision Color Vu</t>
  </si>
  <si>
    <t>Smart HSE اتاق</t>
  </si>
  <si>
    <t>AG7241539</t>
  </si>
  <si>
    <t>امین نصراله‌زاده</t>
  </si>
  <si>
    <t>AG7241543</t>
  </si>
  <si>
    <t xml:space="preserve">فرزان فن اندیش فردا </t>
  </si>
  <si>
    <t>واحد نصب</t>
  </si>
  <si>
    <t>آفیس فکور صنعت روبرو درب اتاق Smart HSE</t>
  </si>
  <si>
    <t>روبرو درب اتاق ادار شرکت فرزان فن اندیش</t>
  </si>
  <si>
    <t>این کد قبلا داغی اعلام شده  602635</t>
  </si>
  <si>
    <t>وحید حافظ آبادی</t>
  </si>
  <si>
    <t>GG218C3</t>
  </si>
  <si>
    <t>M.B ASUSE Z690</t>
  </si>
  <si>
    <t xml:space="preserve">lenovo  L-22i-30  </t>
  </si>
  <si>
    <t>WS-C2960S-48FPD-L</t>
  </si>
  <si>
    <t>CISCO 2911</t>
  </si>
  <si>
    <t>Canon LBP 6030 B</t>
  </si>
  <si>
    <t>Laser jet pro M428dw</t>
  </si>
  <si>
    <t>fuji film x130</t>
  </si>
  <si>
    <t>hikvision- bullet</t>
  </si>
  <si>
    <t>HIK VISION DS-2CD1143G0-I</t>
  </si>
  <si>
    <t>J21082750</t>
  </si>
  <si>
    <t>J21083785</t>
  </si>
  <si>
    <t>J21083734</t>
  </si>
  <si>
    <t>J21083007</t>
  </si>
  <si>
    <t>J21082716</t>
  </si>
  <si>
    <t>J21083736</t>
  </si>
  <si>
    <t>J21084376</t>
  </si>
  <si>
    <t>J21082747</t>
  </si>
  <si>
    <t>J21084533</t>
  </si>
  <si>
    <t>J21085144</t>
  </si>
  <si>
    <t>S456</t>
  </si>
  <si>
    <t>اتاق سرور هماتیت فولاد سنگان(456)</t>
  </si>
  <si>
    <t>Sharp - X200D</t>
  </si>
  <si>
    <t>Canon  -DR-6030c</t>
  </si>
  <si>
    <t>رسول مجیدی</t>
  </si>
  <si>
    <t>توسعه</t>
  </si>
  <si>
    <t>GG43C2</t>
  </si>
  <si>
    <t>GG44C2</t>
  </si>
  <si>
    <t>پروژه مس جانجا (483)</t>
  </si>
  <si>
    <t>انبار پروژه مس جانجا (483)</t>
  </si>
  <si>
    <t>U563BMBA</t>
  </si>
  <si>
    <t>U563BM6Y</t>
  </si>
  <si>
    <t>CNDRQ6N0XF</t>
  </si>
  <si>
    <t>8UP04345</t>
  </si>
  <si>
    <t>U3606K7N</t>
  </si>
  <si>
    <t>U3606K1M</t>
  </si>
  <si>
    <t>U563BRV7</t>
  </si>
  <si>
    <t>U563BRPM</t>
  </si>
  <si>
    <t>U3606KVM</t>
  </si>
  <si>
    <t>U563BRTR</t>
  </si>
  <si>
    <t>ETR4N0433101Q</t>
  </si>
  <si>
    <t>Benq 27" GW2780T</t>
  </si>
  <si>
    <t>ETR4N0431501</t>
  </si>
  <si>
    <t>PUC17431540</t>
  </si>
  <si>
    <t>PUC16470FYY</t>
  </si>
  <si>
    <t>PXN1527V59E</t>
  </si>
  <si>
    <t>PUC17110OZ3</t>
  </si>
  <si>
    <t>PXN1528VTBX</t>
  </si>
  <si>
    <t>PXN1528VRM6</t>
  </si>
  <si>
    <t>PXN1528VSZY</t>
  </si>
  <si>
    <t>FOC1445W560</t>
  </si>
  <si>
    <t>FOC15272180</t>
  </si>
  <si>
    <t>FGL18331F3</t>
  </si>
  <si>
    <t>305KBAX00090</t>
  </si>
  <si>
    <t>PNA534403</t>
  </si>
  <si>
    <t>PBNA608435</t>
  </si>
  <si>
    <t>CNDRQ4PBHL</t>
  </si>
  <si>
    <t>PUC441KB3</t>
  </si>
  <si>
    <t>PUC1643059B</t>
  </si>
  <si>
    <t>CISCO 8945</t>
  </si>
  <si>
    <t>PXN1528VSYI</t>
  </si>
  <si>
    <t>RONIX 8620</t>
  </si>
  <si>
    <t>دریل برقی</t>
  </si>
  <si>
    <t>RONIX 2250</t>
  </si>
  <si>
    <t>6970206845085</t>
  </si>
  <si>
    <t>Radio LHG 5 XL</t>
  </si>
  <si>
    <t>DF90970EC09398</t>
  </si>
  <si>
    <t>DF970E378EDE</t>
  </si>
  <si>
    <t>GG215C3</t>
  </si>
  <si>
    <t>سپیددانه توسعه فولاد (362)</t>
  </si>
  <si>
    <t>GG216C3</t>
  </si>
  <si>
    <t>مهران ایران منش</t>
  </si>
  <si>
    <t>GG217C3</t>
  </si>
  <si>
    <t>100605</t>
  </si>
  <si>
    <t>در تاریخ 1403/03/17 از تعمیر برگشت</t>
  </si>
  <si>
    <t>نصب در سایت</t>
  </si>
  <si>
    <t>مسجد جامع سیرجان</t>
  </si>
  <si>
    <t>نوید ولی زاده</t>
  </si>
  <si>
    <t>4010302</t>
  </si>
  <si>
    <t>پرسنل دفتر تهران</t>
  </si>
  <si>
    <t>GG219C3</t>
  </si>
  <si>
    <t>ثبت ساعت UFACE 202</t>
  </si>
  <si>
    <t>3574233041930</t>
  </si>
  <si>
    <t>3574233041675</t>
  </si>
  <si>
    <t>3574233040443</t>
  </si>
  <si>
    <t>3574233040326</t>
  </si>
  <si>
    <t>3574233041503</t>
  </si>
  <si>
    <t>3574233040439</t>
  </si>
  <si>
    <t>3574233041877</t>
  </si>
  <si>
    <t>3574233041735</t>
  </si>
  <si>
    <t>3574233041270</t>
  </si>
  <si>
    <t>3574233042001</t>
  </si>
  <si>
    <t>3574233041870</t>
  </si>
  <si>
    <t>3574233041511</t>
  </si>
  <si>
    <t>3574233041494</t>
  </si>
  <si>
    <t>3574233040419</t>
  </si>
  <si>
    <t>3574233041577</t>
  </si>
  <si>
    <t>ارسال به چابهار</t>
  </si>
  <si>
    <t>دوربین canon</t>
  </si>
  <si>
    <t>BS39C74</t>
  </si>
  <si>
    <t>دستگاه حضوروغیاب تشخیص چهره iface202</t>
  </si>
  <si>
    <t>انتقال از تربت به بردسیر</t>
  </si>
  <si>
    <t>PUC1803028W</t>
  </si>
  <si>
    <t>BS42C74</t>
  </si>
  <si>
    <t>BS40C74</t>
  </si>
  <si>
    <t>نصب در خوابگگاه VIP گلفا (390)</t>
  </si>
  <si>
    <t>با هماهنگی زیرک بنام خواجویی ثبت شد</t>
  </si>
  <si>
    <t>با هماهنگی زیرک بنام آذرنگ خورد</t>
  </si>
  <si>
    <t>BS43C74</t>
  </si>
  <si>
    <t>پرینتر HP P3015</t>
  </si>
  <si>
    <t>VNF8GDV7HX</t>
  </si>
  <si>
    <t>اسمارت HSE توسعه فولاد (362)</t>
  </si>
  <si>
    <t>با دستور تلفنی آقای زیرک مختوم اعلام شد</t>
  </si>
  <si>
    <t>تحویل کارفرما شده</t>
  </si>
  <si>
    <t>1403/04/10</t>
  </si>
  <si>
    <t>کد قبلی فکور 624705-کد قبلی 43000210</t>
  </si>
  <si>
    <t>کد قبلی فکور 608002-کد قبلی 43000216</t>
  </si>
  <si>
    <t>کد قبلی 43001504</t>
  </si>
  <si>
    <t>کد قبلی 43000981</t>
  </si>
  <si>
    <t>کد قبلی 43000986</t>
  </si>
  <si>
    <t>کد قبلی 43000269</t>
  </si>
  <si>
    <t>کد قبلی 43000984</t>
  </si>
  <si>
    <t>کد قبلی فکور 611963-کد قبلی 43000222</t>
  </si>
  <si>
    <t>محمد یار آبسالان</t>
  </si>
  <si>
    <t>3304649Y</t>
  </si>
  <si>
    <t>تحویل کارفرما پالایشگاه (430)</t>
  </si>
  <si>
    <t>به صورت دائمی به تهران منتقل شد</t>
  </si>
  <si>
    <t>SN2C90</t>
  </si>
  <si>
    <t>SN3C90</t>
  </si>
  <si>
    <t>SN4C90</t>
  </si>
  <si>
    <t>SN5C90</t>
  </si>
  <si>
    <t>SN6C90</t>
  </si>
  <si>
    <t>SN7C90</t>
  </si>
  <si>
    <t>SN8C90</t>
  </si>
  <si>
    <t>SN9C90</t>
  </si>
  <si>
    <t>SN10C90</t>
  </si>
  <si>
    <t>SN12C90</t>
  </si>
  <si>
    <t>SN13C90</t>
  </si>
  <si>
    <t>SN14C90</t>
  </si>
  <si>
    <t>SN15C90</t>
  </si>
  <si>
    <t>علی بارانی</t>
  </si>
  <si>
    <t>1403/04/18</t>
  </si>
  <si>
    <t>علی کورکی نژاد</t>
  </si>
  <si>
    <t>20732</t>
  </si>
  <si>
    <t>حسین دولت خواه</t>
  </si>
  <si>
    <t>SN18C90</t>
  </si>
  <si>
    <t>SN19C90</t>
  </si>
  <si>
    <t>SN17C90</t>
  </si>
  <si>
    <t>خیریه خانم مهدیه صالحی پور - سیرجان</t>
  </si>
  <si>
    <t>1403/04/13</t>
  </si>
  <si>
    <t>ابوالفضل پور زیدآبادی</t>
  </si>
  <si>
    <t>20628</t>
  </si>
  <si>
    <t>جمشید پردل</t>
  </si>
  <si>
    <t>ترانسپورت</t>
  </si>
  <si>
    <t>ترانسپورت هماتیت فولاد سنگان(456)</t>
  </si>
  <si>
    <t>Radio LHG 5</t>
  </si>
  <si>
    <t>HEF08SNKNH3</t>
  </si>
  <si>
    <t>HEF08GFWBXD</t>
  </si>
  <si>
    <t>HEF08VZBG07</t>
  </si>
  <si>
    <t>Radio sq 5 ac</t>
  </si>
  <si>
    <t>HED08WWTDZA</t>
  </si>
  <si>
    <t>HEN08XW9YAY</t>
  </si>
  <si>
    <t>HEN08QP26E9</t>
  </si>
  <si>
    <t>HEN08J0VXZ9</t>
  </si>
  <si>
    <t>HEN08H1F90M</t>
  </si>
  <si>
    <t>HEN08M4AN2F</t>
  </si>
  <si>
    <t>HEN08M45YKT</t>
  </si>
  <si>
    <t>HEN08JVBD3E</t>
  </si>
  <si>
    <t>DFA90E9A5E9D</t>
  </si>
  <si>
    <t>DFA90EBAF74F</t>
  </si>
  <si>
    <t>DFA90E05E33D</t>
  </si>
  <si>
    <t>بهدیس سامان</t>
  </si>
  <si>
    <t>سپید دانه گستر</t>
  </si>
  <si>
    <t>فولاد گسترش آهک</t>
  </si>
  <si>
    <t>فرزان  راه انداز</t>
  </si>
  <si>
    <t>نگین تیان پارس</t>
  </si>
  <si>
    <t>ثبت شده در سیما</t>
  </si>
  <si>
    <t>حسین احمد مشروط</t>
  </si>
  <si>
    <t>SN16C90</t>
  </si>
  <si>
    <t>ارسال از سنگان به تهران</t>
  </si>
  <si>
    <t>JJ1C106</t>
  </si>
  <si>
    <t>C106</t>
  </si>
  <si>
    <t>مدیر سایت جانجا</t>
  </si>
  <si>
    <t>مس جانجا (483)</t>
  </si>
  <si>
    <t>JJ2C106</t>
  </si>
  <si>
    <t>JJ3C106</t>
  </si>
  <si>
    <t>JJ4C106</t>
  </si>
  <si>
    <t>JJ5C106</t>
  </si>
  <si>
    <t>JJ7C106</t>
  </si>
  <si>
    <t>JJ8C106</t>
  </si>
  <si>
    <t>منصور جعفری</t>
  </si>
  <si>
    <t>1843</t>
  </si>
  <si>
    <t>امید سرابندی</t>
  </si>
  <si>
    <t>1731</t>
  </si>
  <si>
    <t>JJ10C106</t>
  </si>
  <si>
    <t>AN483</t>
  </si>
  <si>
    <t>1403-04-29</t>
  </si>
  <si>
    <t>0722015205013053</t>
  </si>
  <si>
    <t>اتاق سرور پروژه مس جانجا (483)</t>
  </si>
  <si>
    <t>CZ3731HS7D</t>
  </si>
  <si>
    <t>علی زارع</t>
  </si>
  <si>
    <t>تلفن تحویل این نفر شده</t>
  </si>
  <si>
    <t>8J02346PAG17A16</t>
  </si>
  <si>
    <t>8J02346PAG681D4</t>
  </si>
  <si>
    <t>8J02346PAG960A8</t>
  </si>
  <si>
    <t>7E05100PAGAVEAB</t>
  </si>
  <si>
    <t>Dahua HDW2439TP</t>
  </si>
  <si>
    <t>GG1C12</t>
  </si>
  <si>
    <t>GG2C12</t>
  </si>
  <si>
    <t>GG3C12</t>
  </si>
  <si>
    <t>GG4C12</t>
  </si>
  <si>
    <t>GG6C12</t>
  </si>
  <si>
    <t>GG7C12</t>
  </si>
  <si>
    <t>GG8C12</t>
  </si>
  <si>
    <t>GG9C12</t>
  </si>
  <si>
    <t>GG10C12</t>
  </si>
  <si>
    <t>دوربينCamera Hikvision DS-2CD114300</t>
  </si>
  <si>
    <t>داخل کانکس نگهبانی</t>
  </si>
  <si>
    <t>310033551DB8542000343</t>
  </si>
  <si>
    <t>310033551DB8542000339</t>
  </si>
  <si>
    <t>310039243D93497300083</t>
  </si>
  <si>
    <t>UPS GENESIS 3KVA</t>
  </si>
  <si>
    <t>UPS GENESIS 10KVA H2</t>
  </si>
  <si>
    <t xml:space="preserve">نصب در سالن کنفرانس </t>
  </si>
  <si>
    <t>سالن کنفرانس کارفرما فولاد بردسیر (461)</t>
  </si>
  <si>
    <t>JJ11C106</t>
  </si>
  <si>
    <t>دفتر مدیر سایت فولاد بردسیر (461)</t>
  </si>
  <si>
    <t>مهرداد فرامرزی</t>
  </si>
  <si>
    <t>ارسال از سیرجان به بردسیر</t>
  </si>
  <si>
    <t>4021203</t>
  </si>
  <si>
    <t>20811</t>
  </si>
  <si>
    <t>4020904</t>
  </si>
  <si>
    <t>علی باقری</t>
  </si>
  <si>
    <t xml:space="preserve"> رک 9 یونیت عمق 60</t>
  </si>
  <si>
    <t>رک 32 یونیت عمق 100</t>
  </si>
  <si>
    <t>کانکس 72متری ESP توسعه فولاد (362)</t>
  </si>
  <si>
    <t>سجاد میرمحمدی</t>
  </si>
  <si>
    <t>در تاریخ 1403/05/14 از تعمیر برگشت</t>
  </si>
  <si>
    <t>خوابگاه مشاور هماتیت فولاد سنگان(456)</t>
  </si>
  <si>
    <t>HES09CSTDYK/R4</t>
  </si>
  <si>
    <t>HES09FWF7ET/R4</t>
  </si>
  <si>
    <t>HES093JZTJ9/325/R4</t>
  </si>
  <si>
    <t>HES094Y92JC/325/R4</t>
  </si>
  <si>
    <t>HES090NPWFZ/325/R4</t>
  </si>
  <si>
    <t>NVR HIK VISION DS-7616NXI-K2</t>
  </si>
  <si>
    <t>AY0887305</t>
  </si>
  <si>
    <t>J25487531</t>
  </si>
  <si>
    <t>AY0887308</t>
  </si>
  <si>
    <t>دوربین HIK VISION DS-2CD2123G2</t>
  </si>
  <si>
    <t>L34468366</t>
  </si>
  <si>
    <t>خوابگاه کارفرما هماتیت فولاد سنگان(456)</t>
  </si>
  <si>
    <t>سالن هماتیت فولاد سنگان(456)</t>
  </si>
  <si>
    <t>بالای کارت ساعت تربت حیدریه (439)</t>
  </si>
  <si>
    <t>حمزه احمدی</t>
  </si>
  <si>
    <t>GG12C12</t>
  </si>
  <si>
    <t>GG13C12</t>
  </si>
  <si>
    <t>GG14C12</t>
  </si>
  <si>
    <t>GG15C12</t>
  </si>
  <si>
    <t>GG16C12</t>
  </si>
  <si>
    <t>GG17C12</t>
  </si>
  <si>
    <t>GG18C12</t>
  </si>
  <si>
    <t>GG19C12</t>
  </si>
  <si>
    <t>GG20C12</t>
  </si>
  <si>
    <t>GG21C12</t>
  </si>
  <si>
    <t xml:space="preserve"> از تعمیر برگشت</t>
  </si>
  <si>
    <t>برگشت از تعمیر</t>
  </si>
  <si>
    <t>؟</t>
  </si>
  <si>
    <t>وضعیت</t>
  </si>
  <si>
    <t>دفتر مدیرسایت توسعه فولاد (362)</t>
  </si>
  <si>
    <t>172.16.4.154</t>
  </si>
  <si>
    <t>به همراه مینی پیسی</t>
  </si>
  <si>
    <t>کجا رفته</t>
  </si>
  <si>
    <t>ارسال شده به تعمیر</t>
  </si>
  <si>
    <t>8C05D1FPAZ81777</t>
  </si>
  <si>
    <t>S2NXLP009267057</t>
  </si>
  <si>
    <t>لپ تاپ ASUS B3402FB-EC0971</t>
  </si>
  <si>
    <t>S2NXLP008870055</t>
  </si>
  <si>
    <t>S2NXLP009039059</t>
  </si>
  <si>
    <t>S2NXLP008789059</t>
  </si>
  <si>
    <t>لپ تاپ LENOVVO THINKPAD E14 GEN5</t>
  </si>
  <si>
    <t>PF4ZV2BN</t>
  </si>
  <si>
    <t>PF4ZSZ3L</t>
  </si>
  <si>
    <t>دوربین عکاسی CANON مدل EOS 90D</t>
  </si>
  <si>
    <t>563056001173</t>
  </si>
  <si>
    <t>دوربین فیلم برداری</t>
  </si>
  <si>
    <t>دوربین سونی Z90V</t>
  </si>
  <si>
    <t>7007173</t>
  </si>
  <si>
    <t>رستوران خوابگاه 12 واحدی مولوی</t>
  </si>
  <si>
    <t>GG10C10</t>
  </si>
  <si>
    <t>به همراه حافظه 128 گیگ</t>
  </si>
  <si>
    <t>جمع آوری از عسلویه</t>
  </si>
  <si>
    <t>عسلویه</t>
  </si>
  <si>
    <t>پالایشگاه</t>
  </si>
  <si>
    <t>دفتر مدیر سایت توسعه فولاد (362)</t>
  </si>
  <si>
    <t>فلش دیسک</t>
  </si>
  <si>
    <t>Flash ADATA 32GB</t>
  </si>
  <si>
    <t>A14020160900</t>
  </si>
  <si>
    <t>علی اکبر کردی</t>
  </si>
  <si>
    <t>محمد صادقی‌پور</t>
  </si>
  <si>
    <t>ایمنی توسعه فولاد (362)</t>
  </si>
  <si>
    <t>PK4W1DB000223</t>
  </si>
  <si>
    <t>مودم Dlink 605L</t>
  </si>
  <si>
    <t>وب کیوسک</t>
  </si>
  <si>
    <t>دستگاه وب کیوسک</t>
  </si>
  <si>
    <t>Webkiosk1</t>
  </si>
  <si>
    <t>سید علی مهدیان</t>
  </si>
  <si>
    <t>سعید قاسمی</t>
  </si>
  <si>
    <t>سید جواد کشفی</t>
  </si>
  <si>
    <t>ابوذر خواجه</t>
  </si>
  <si>
    <t>BS44C74</t>
  </si>
  <si>
    <t>BS45C74</t>
  </si>
  <si>
    <t>BS35C76</t>
  </si>
  <si>
    <t>BS36C76</t>
  </si>
  <si>
    <t>PXN1528VT2G</t>
  </si>
  <si>
    <t>PXN1528VT8M</t>
  </si>
  <si>
    <t>PXN1528TSW9</t>
  </si>
  <si>
    <t>FCH18299ZC7</t>
  </si>
  <si>
    <t>FCH18308PY0</t>
  </si>
  <si>
    <t>FCH18308QTX</t>
  </si>
  <si>
    <t>دوربین HIKVISION DS-2CD1153GO-I</t>
  </si>
  <si>
    <t>209K01005</t>
  </si>
  <si>
    <t>PHCN715659</t>
  </si>
  <si>
    <t>نرم افزار آلمیلا-سپیددانه</t>
  </si>
  <si>
    <t>DBS22801140223009</t>
  </si>
  <si>
    <t>در تاریخ 1403/05/24 از تعمیر برگشت</t>
  </si>
  <si>
    <t>محمدرضا ملاشاهی</t>
  </si>
  <si>
    <t>تدارکات</t>
  </si>
  <si>
    <t>u Face202</t>
  </si>
  <si>
    <t>تاریخ 1403/06/01</t>
  </si>
  <si>
    <t>تهران تحویل خیریه شده</t>
  </si>
  <si>
    <t>تهران داغی شده</t>
  </si>
  <si>
    <t>در تاریخ 1401/9/30 هدیه داده شده - صمد بهمئی</t>
  </si>
  <si>
    <t>در تاریخ 1401/10/17 هدیه داده شده - علی شیخ زاده</t>
  </si>
  <si>
    <t>1401/09/30</t>
  </si>
  <si>
    <t>1401/10/17</t>
  </si>
  <si>
    <t>دستگاه حضور وغیاب pw 1500 c</t>
  </si>
  <si>
    <t xml:space="preserve">در تاریخ 1402/9/15 داغی اعلام شده - سامان حمیدی </t>
  </si>
  <si>
    <t>در تاریخ 1402/9/15 داغی اعلام شده - علی شیخ زاده</t>
  </si>
  <si>
    <t>1403/06/01</t>
  </si>
  <si>
    <t>تلفن پاناسونیک KX-T7730</t>
  </si>
  <si>
    <t>تلفن صاایران</t>
  </si>
  <si>
    <t>داغی-آزمایشگاه شهریار- صمد بهمئی</t>
  </si>
  <si>
    <t>داغی - اتاق سولفورسنجی - صمد بهمئی</t>
  </si>
  <si>
    <t>پرینتر چند کاره  پاناسونیک KX-MB2025CX</t>
  </si>
  <si>
    <t>داغی-آزمایشگاه شهریار -صمد بهمئی</t>
  </si>
  <si>
    <t>MT1C98</t>
  </si>
  <si>
    <t>NVR DHI-NVR5232-EI</t>
  </si>
  <si>
    <t>9H069CFPAZ7BB60</t>
  </si>
  <si>
    <t>DH-IPC-HFW2449S-S-IL</t>
  </si>
  <si>
    <t>IPC-HFW3549E-AS-LED</t>
  </si>
  <si>
    <t>DS-2CD2047G2-L</t>
  </si>
  <si>
    <t>8A0424FPAG6A2E1</t>
  </si>
  <si>
    <t>9F0104BPAG67FC9</t>
  </si>
  <si>
    <t>9A00876PAG0C5BC</t>
  </si>
  <si>
    <t>9A02904PAG19DFB</t>
  </si>
  <si>
    <t>9E0ABA2PAGB3FBA</t>
  </si>
  <si>
    <t>9E0ABA2PAGF01DE</t>
  </si>
  <si>
    <t>9E0ABA2PAG8ECA9</t>
  </si>
  <si>
    <t>9E0ABA2PAG08E32</t>
  </si>
  <si>
    <t>9A02904PAG7594E</t>
  </si>
  <si>
    <t>9A00876PAGBE86F</t>
  </si>
  <si>
    <t>9A00876PAG6E76C</t>
  </si>
  <si>
    <t>ارسال به تعمیر تهران-تعمیر نشده و داغی شد</t>
  </si>
  <si>
    <t>حبیب طالبی</t>
  </si>
  <si>
    <t>پولاد نصب توسعه فولاد (362)</t>
  </si>
  <si>
    <t>امید پوررنجبر</t>
  </si>
  <si>
    <t>E8D30ED48B5F/129/R2</t>
  </si>
  <si>
    <t>پولاد نصب جهانبین</t>
  </si>
  <si>
    <t>3574233040777</t>
  </si>
  <si>
    <t>3574233041053</t>
  </si>
  <si>
    <t>3574233040708</t>
  </si>
  <si>
    <t>پاوربانک</t>
  </si>
  <si>
    <t>Xiaomi 20000 mAh</t>
  </si>
  <si>
    <t>مهدی گودرزی</t>
  </si>
  <si>
    <t>احیا فولاد</t>
  </si>
  <si>
    <t>GG188C3</t>
  </si>
  <si>
    <t>رادیو SXT-5HPND</t>
  </si>
  <si>
    <t>پیمان خدابخشی فر</t>
  </si>
  <si>
    <t>پرسنل ESP توسعه فولاد (362)</t>
  </si>
  <si>
    <t>ICAPS</t>
  </si>
  <si>
    <t>ESP</t>
  </si>
  <si>
    <t>راه اندازی توسعه فولاد (362)</t>
  </si>
  <si>
    <t>لپ تاپ جهت استفاده در راه اندازی</t>
  </si>
  <si>
    <t>فرهاد کاظمی</t>
  </si>
  <si>
    <t>BS37C76</t>
  </si>
  <si>
    <t>کیس GREEN Hiwa</t>
  </si>
  <si>
    <t>محمد بنی اسد</t>
  </si>
  <si>
    <t>BS38C76</t>
  </si>
  <si>
    <t>رییس ابزار دقیق</t>
  </si>
  <si>
    <t>Gplus GTV-65RU746N.CHC00</t>
  </si>
  <si>
    <t>406STFG31662</t>
  </si>
  <si>
    <t>406STCO32882</t>
  </si>
  <si>
    <t>FOC1651V2K0</t>
  </si>
  <si>
    <t>کد 626765 به دلیل تداخل با تهران کنده شده و کد جدید 626768 چسبیده شد</t>
  </si>
  <si>
    <t>گوشی نوکیا</t>
  </si>
  <si>
    <t xml:space="preserve">تحویل آقای منصور نورمندی پور </t>
  </si>
  <si>
    <t>G4400</t>
  </si>
  <si>
    <t>جواد نظری</t>
  </si>
  <si>
    <t>BCQR40SPC00621H</t>
  </si>
  <si>
    <t>BDSF40SR400062B</t>
  </si>
  <si>
    <t>BDAX40SR201448K</t>
  </si>
  <si>
    <t>BDAX40SR201445W</t>
  </si>
  <si>
    <t>BDAX40SR200341H</t>
  </si>
  <si>
    <t>نصب در خوابگاه پیسیکو</t>
  </si>
  <si>
    <t xml:space="preserve">نصب در خوابگاه ارکان تدبیر </t>
  </si>
  <si>
    <t>انبار رو باز تربت حیدریه (439)</t>
  </si>
  <si>
    <t>HIKVISION DS-2CD2086G2-L</t>
  </si>
  <si>
    <t>SQ LITE</t>
  </si>
  <si>
    <t xml:space="preserve">DISC LITE5 </t>
  </si>
  <si>
    <t>ساختمان فکور تربت حیدریه (439)</t>
  </si>
  <si>
    <t>سوییچ 8 پورت POE</t>
  </si>
  <si>
    <t>مهدی شیر مردی</t>
  </si>
  <si>
    <t>پارتاک</t>
  </si>
  <si>
    <t>کانکسQC پارتاک توسعه فولاد (362)</t>
  </si>
  <si>
    <t>فرزان-MC</t>
  </si>
  <si>
    <t>کانکس اجرا توسعه فولاد (362)</t>
  </si>
  <si>
    <t>پیمان فضلی</t>
  </si>
  <si>
    <t>بهداری فولاد بردسیر (461)</t>
  </si>
  <si>
    <t>آتش نشانی فولاد بردسیر (461)</t>
  </si>
  <si>
    <t>012STMD20639</t>
  </si>
  <si>
    <t>در تهران به علت تعمیر نشدن داغی شد</t>
  </si>
  <si>
    <t>1403/06/20</t>
  </si>
  <si>
    <t>1403/06/21</t>
  </si>
  <si>
    <t>انتقال از پالایشگاه 430 به پتروشیمی چابهار-کدقبلی 43000576</t>
  </si>
  <si>
    <t>احتمالا امانی باشد</t>
  </si>
  <si>
    <t>AD020A900779</t>
  </si>
  <si>
    <t>رادیو میکروتیک sxtsq5</t>
  </si>
  <si>
    <t>آشپزخانه فولاد بردسیر (461)</t>
  </si>
  <si>
    <t xml:space="preserve">مجتبی کریمی </t>
  </si>
  <si>
    <t>در تاریخ 1403/06/27 از تعمیر برگشت</t>
  </si>
  <si>
    <t>کد قبلی 43001517</t>
  </si>
  <si>
    <t>کد قبلی 43001527</t>
  </si>
  <si>
    <t>کد قبلی 43001525</t>
  </si>
  <si>
    <t>کد قبلی 43001059</t>
  </si>
  <si>
    <t>کد قبلی 43001901</t>
  </si>
  <si>
    <t>کد قبلی 43001528</t>
  </si>
  <si>
    <t>کد قبلی 43001902</t>
  </si>
  <si>
    <t>کد قبلی 43001903</t>
  </si>
  <si>
    <t>کد قبلی 43001052</t>
  </si>
  <si>
    <t>کد قبلی 43001053</t>
  </si>
  <si>
    <t>کد قبلی 43001054</t>
  </si>
  <si>
    <t>کد قبلی 43001055</t>
  </si>
  <si>
    <t>کد قبلی 43001056</t>
  </si>
  <si>
    <t>کد قبلی 43001057</t>
  </si>
  <si>
    <t>کد قبلی 43001058</t>
  </si>
  <si>
    <t>کد قبلی 43001060</t>
  </si>
  <si>
    <t>کد قبلی 43001061</t>
  </si>
  <si>
    <t>کد قبلی 43001062</t>
  </si>
  <si>
    <t>کد قبلی 43001063</t>
  </si>
  <si>
    <t>کد قبلی 43001518</t>
  </si>
  <si>
    <t>کد قبلی 43001519</t>
  </si>
  <si>
    <t>کد قبلی 43001520</t>
  </si>
  <si>
    <t>کد قبلی 43001521</t>
  </si>
  <si>
    <t>کد قبلی 43001522</t>
  </si>
  <si>
    <t>کد قبلی 43001523</t>
  </si>
  <si>
    <t>کد قبلی 43001526</t>
  </si>
  <si>
    <t xml:space="preserve">کد قبلی 43001524 </t>
  </si>
  <si>
    <t>انبار آی تی پتروشیمی پروپلین چابهار (484)</t>
  </si>
  <si>
    <t>پتروشیمی پروپلین چابهار (484)</t>
  </si>
  <si>
    <t>از 476 به 439 مطابق صورتجلسه منتقل گردید</t>
  </si>
  <si>
    <t>مودم هوآووی</t>
  </si>
  <si>
    <t>امیر عباسی</t>
  </si>
  <si>
    <t>نیرو پژوه سهند</t>
  </si>
  <si>
    <t>حراست فولاد بردسیر (461)</t>
  </si>
  <si>
    <t>C50</t>
  </si>
  <si>
    <t>MT2C50</t>
  </si>
  <si>
    <t>MT3C50</t>
  </si>
  <si>
    <t>MT4C50</t>
  </si>
  <si>
    <t>MT5C50</t>
  </si>
  <si>
    <t>MT6C50</t>
  </si>
  <si>
    <t>MT7C50</t>
  </si>
  <si>
    <t>MT8C50</t>
  </si>
  <si>
    <t>MT9C50</t>
  </si>
  <si>
    <t>MT10C50</t>
  </si>
  <si>
    <t>MT11C50</t>
  </si>
  <si>
    <t>MT12C50</t>
  </si>
  <si>
    <t>MT14C50</t>
  </si>
  <si>
    <t>MT15C50</t>
  </si>
  <si>
    <t>MT16C50</t>
  </si>
  <si>
    <t>MT17C50</t>
  </si>
  <si>
    <t>MT18C50</t>
  </si>
  <si>
    <t>MT19C50</t>
  </si>
  <si>
    <t>MT20C50</t>
  </si>
  <si>
    <t>MT22C50</t>
  </si>
  <si>
    <t>MT23C50</t>
  </si>
  <si>
    <t>MT24C50</t>
  </si>
  <si>
    <t>MT25C50</t>
  </si>
  <si>
    <t>MT27C50</t>
  </si>
  <si>
    <t>MT28C50</t>
  </si>
  <si>
    <t>MT29C50</t>
  </si>
  <si>
    <t>MT30C50</t>
  </si>
  <si>
    <t>MT34C50</t>
  </si>
  <si>
    <t>Canon E0S2000D</t>
  </si>
  <si>
    <t>4000508</t>
  </si>
  <si>
    <t>دوربین های ناحیه SMP توسعه فولاد (362)</t>
  </si>
  <si>
    <t>روتربرد</t>
  </si>
  <si>
    <t>دفاتر پیشران صنعت فکور چابهار</t>
  </si>
  <si>
    <t>تحویل تقی زاده</t>
  </si>
  <si>
    <t>Server HP DL380-G10</t>
  </si>
  <si>
    <t>CZ22290K49</t>
  </si>
  <si>
    <t>استوریج HPE MSA 2050 SFF Disk Enclosure</t>
  </si>
  <si>
    <t>HP Storage Works 8/8 SAN Switch</t>
  </si>
  <si>
    <t>S483</t>
  </si>
  <si>
    <t>FCQ1548Y5BK</t>
  </si>
  <si>
    <t xml:space="preserve"> 0706022310001484   </t>
  </si>
  <si>
    <t>رستوران توسعه فولاد (362)</t>
  </si>
  <si>
    <t>نصب در رستوران</t>
  </si>
  <si>
    <t>FCQ1548Y59T</t>
  </si>
  <si>
    <t>NVR DAHUA 5832EL</t>
  </si>
  <si>
    <t>AC074A9PAZ1F352</t>
  </si>
  <si>
    <t>رک 12 یونیت</t>
  </si>
  <si>
    <t>CISCO 3750 12 PORT با ماژول فیبر</t>
  </si>
  <si>
    <t>FCZ1147Y04L</t>
  </si>
  <si>
    <t>FOC1715X35F</t>
  </si>
  <si>
    <t>FOC1717Z0QB</t>
  </si>
  <si>
    <t>FOC1612Z38W</t>
  </si>
  <si>
    <t>FOC1711X3T6</t>
  </si>
  <si>
    <t>FOC1710W2ZN</t>
  </si>
  <si>
    <t>NVR DAHUA 4232 DHI</t>
  </si>
  <si>
    <t>نصب در TV WALL</t>
  </si>
  <si>
    <t>نصب در LF 2</t>
  </si>
  <si>
    <t>نصب در LF 1</t>
  </si>
  <si>
    <t>نصب در LF 3</t>
  </si>
  <si>
    <t>نصب در LF 4</t>
  </si>
  <si>
    <t>دوربین DAHUA HFW2841</t>
  </si>
  <si>
    <t>به علت خرابی پورت LAN</t>
  </si>
  <si>
    <t>BS46C74</t>
  </si>
  <si>
    <t>حسام رضایی</t>
  </si>
  <si>
    <t xml:space="preserve">نسوز </t>
  </si>
  <si>
    <t>کانکس آتش نشانی توسعه فولاد (362)</t>
  </si>
  <si>
    <t>علی زمانی</t>
  </si>
  <si>
    <t>BS47C74</t>
  </si>
  <si>
    <t>سیروس سجادی</t>
  </si>
  <si>
    <t>20882</t>
  </si>
  <si>
    <t>محمد حسین جامی</t>
  </si>
  <si>
    <t>فرشید پاکرأی</t>
  </si>
  <si>
    <t>شهروز حسینی</t>
  </si>
  <si>
    <t>کیوان ستوده</t>
  </si>
  <si>
    <t>ابوذر ناصری</t>
  </si>
  <si>
    <t>Switch Cisco 2960 48Port POE</t>
  </si>
  <si>
    <t>Cap Mikrotik XL</t>
  </si>
  <si>
    <t>اکسیژن Smart HSE توسعه فولاد (362)</t>
  </si>
  <si>
    <t>منبع آب کمپ کارگری توسعه فولاد (362)</t>
  </si>
  <si>
    <t>FOC1304V2CB</t>
  </si>
  <si>
    <t>دفتر جوش آزما توسعه فولاد (362)</t>
  </si>
  <si>
    <t>سالن کنفرانس اصلی توسعه فولاد (362)</t>
  </si>
  <si>
    <t>محمدرضا عبدی(فرزان)</t>
  </si>
  <si>
    <t>کیس شبکه</t>
  </si>
  <si>
    <t>مختومه</t>
  </si>
  <si>
    <t>CZJ7400FVP</t>
  </si>
  <si>
    <t>داغی شده در دفتر تهران</t>
  </si>
  <si>
    <t>Cisco 3560 POE 8Port</t>
  </si>
  <si>
    <t>FOC1617Z1YK</t>
  </si>
  <si>
    <t>کد پروژه</t>
  </si>
  <si>
    <t>محل</t>
  </si>
  <si>
    <t>(390) گلفا</t>
  </si>
  <si>
    <t>سیرجان</t>
  </si>
  <si>
    <t>کانکس انبار گلفا (390)</t>
  </si>
  <si>
    <t>FOC1451Y154</t>
  </si>
  <si>
    <t>کیس DELL</t>
  </si>
  <si>
    <t>کمپ کارگری سایت مرکز تحقیقات (438)</t>
  </si>
  <si>
    <t xml:space="preserve">امیر مجتبی شیخ زاده </t>
  </si>
  <si>
    <t>کانکس TVWall توسعه فولاد (362)</t>
  </si>
  <si>
    <t>شهرام رحیمی</t>
  </si>
  <si>
    <t>آبدارخانه پروژه مس جانجا (483)</t>
  </si>
  <si>
    <t>کانکس ایمنی ESP توسعه فولاد (362)</t>
  </si>
  <si>
    <t>Hikvision Color Vu</t>
  </si>
  <si>
    <t>AG7241494</t>
  </si>
  <si>
    <t>Webkiosk6</t>
  </si>
  <si>
    <t>LG 22"  22MP55HQ</t>
  </si>
  <si>
    <t xml:space="preserve">تحویل آقای ساسان انصاری پرسنل سایت توسعه فولاد به علت خاموش روشن شدن </t>
  </si>
  <si>
    <t>خوابگاه هماتیت فولاد سنگان(456)</t>
  </si>
  <si>
    <t>دستگاه گیرنده دیجیتال MD 4800</t>
  </si>
  <si>
    <t>دوربین فوجی</t>
  </si>
  <si>
    <t>کانکس SMP بالای تپه توسعه فولاد (362)</t>
  </si>
  <si>
    <t>لپ تاپ Lenovo Gaming</t>
  </si>
  <si>
    <t>دفتر مدیریت هماتیت فولاد سنگان(456)</t>
  </si>
  <si>
    <t>انبار آی تی هماتیت فولاد سنگان(456)</t>
  </si>
  <si>
    <t>AN456</t>
  </si>
  <si>
    <t>SW Cisco 2960s-48fpd-l poe 48port</t>
  </si>
  <si>
    <t>شکسته</t>
  </si>
  <si>
    <t>به دلیل شکستن تعمیر نشد و داغی شد</t>
  </si>
  <si>
    <t>به علت روشن نشدن ( تحویل عبدالرضا جعفری سایت توسعه فولاد )</t>
  </si>
  <si>
    <t>UPS BEHIN SANAT  UA150</t>
  </si>
  <si>
    <t>به علت خرابی باطری ها ( تحویل مسعود صداقت سایت توسعه فولاد )</t>
  </si>
  <si>
    <t>پرسنل دفتر تهران فولاد بردسیر (461)</t>
  </si>
  <si>
    <t>HCS08F40PFY</t>
  </si>
  <si>
    <t>علی راسخی</t>
  </si>
  <si>
    <t>تحویل تاسیسات</t>
  </si>
  <si>
    <t>C3501325005487</t>
  </si>
  <si>
    <t>دوربین GoPro 12 Black</t>
  </si>
  <si>
    <t>دوربین عکاسی GoPro 12</t>
  </si>
  <si>
    <t>JJ13C106</t>
  </si>
  <si>
    <t>JJ15C106</t>
  </si>
  <si>
    <t>ایرج ناروئی</t>
  </si>
  <si>
    <t>HP Color 5225</t>
  </si>
  <si>
    <t>CNGRQ944LP</t>
  </si>
  <si>
    <t>سالن کنفرانس پروژه مس جانجا (483)</t>
  </si>
  <si>
    <t>JJ14C106</t>
  </si>
  <si>
    <t>TV GSB-651MEبردهوشمند</t>
  </si>
  <si>
    <t>به همراه پایه و مینی پی سی</t>
  </si>
  <si>
    <t>کمک انباردار</t>
  </si>
  <si>
    <t>MJ59SV7Y</t>
  </si>
  <si>
    <t>مانیتور شاقاسی - ارسالی از سنگان به تهران</t>
  </si>
  <si>
    <t>در تاریخ 1403/08/15 از تعمیر برگشت</t>
  </si>
  <si>
    <t>Green Pars EVO I5</t>
  </si>
  <si>
    <t>انتقال به تربت</t>
  </si>
  <si>
    <t>تحویل پارک رای</t>
  </si>
  <si>
    <t>تحویلی جامی</t>
  </si>
  <si>
    <t>تحویلی نجاهی</t>
  </si>
  <si>
    <t>تحویلی عبدی</t>
  </si>
  <si>
    <t>تحویلی ستوده</t>
  </si>
  <si>
    <t>دکل به سمت کارفرما هماتیت فولاد سنگان(456)</t>
  </si>
  <si>
    <t>جهت اینترنت کارفرما</t>
  </si>
  <si>
    <t xml:space="preserve">جهت تعمییر به تهران ارسال شد علت تعمییر روشن می شودولی سوییچ لود نمی شود و بالا نمیاد </t>
  </si>
  <si>
    <t>تحویل راهبر فرآیند شد</t>
  </si>
  <si>
    <t>U563BLTR</t>
  </si>
  <si>
    <t>مانیتور سامسونگ 22</t>
  </si>
  <si>
    <t>5MWSH9DX108088</t>
  </si>
  <si>
    <t>5MWSH9DX108011</t>
  </si>
  <si>
    <t>5MWSH9DX107124</t>
  </si>
  <si>
    <t>5MWSH9DX107557</t>
  </si>
  <si>
    <t>5MWSH9DX109349</t>
  </si>
  <si>
    <t>5MWSH9DX107893</t>
  </si>
  <si>
    <t>5MWSH9DX101734</t>
  </si>
  <si>
    <t>کیس گرین B660</t>
  </si>
  <si>
    <t>در تاریخ 1403/08/08 از تعمیر برگشت</t>
  </si>
  <si>
    <t>کد قبلی داغی بود که کنده شد - 611183</t>
  </si>
  <si>
    <t>در خوابگاه خرامه مختوم شده</t>
  </si>
  <si>
    <t>مهدی چوب تراش</t>
  </si>
  <si>
    <t>کارمند اداری و پشتیبانی</t>
  </si>
  <si>
    <t>GXJ80430</t>
  </si>
  <si>
    <t>اسکنر CANON DR-M160 II</t>
  </si>
  <si>
    <t>جهت استفاده پیمانکاران</t>
  </si>
  <si>
    <t>انتقال از پلیکام</t>
  </si>
  <si>
    <t>تلفن بيسيم پاناسونيك kx-TG1611</t>
  </si>
  <si>
    <t>UNW0RLDT</t>
  </si>
  <si>
    <t>مهدی شیرمردی</t>
  </si>
  <si>
    <t>GG184C3</t>
  </si>
  <si>
    <t>کنترل کیفیت پارتاک</t>
  </si>
  <si>
    <t>موجود نبود</t>
  </si>
  <si>
    <t>به علت روشن نشدن تحویل آقای محسن زارع نژاد سایت توسعه فولاد</t>
  </si>
  <si>
    <t>جهت تعمییر به تهران ارسال شد</t>
  </si>
  <si>
    <t>CNGRQ317GZ</t>
  </si>
  <si>
    <t>مختوم شده با صورتجلسه تاریخ 1403-09-05</t>
  </si>
  <si>
    <t>کد قبلی 43001365-انتقال به سنگان توسط آزادی</t>
  </si>
  <si>
    <t>کد مختوم شده</t>
  </si>
  <si>
    <t>خاتون آباد (241)</t>
  </si>
  <si>
    <t>1400/02</t>
  </si>
  <si>
    <t>مختومه توسط مهندس غریبی در خاتون آباد</t>
  </si>
  <si>
    <t>مختوم شده در تهران توسط مهندس حمیدی</t>
  </si>
  <si>
    <t>مودم Dlink</t>
  </si>
  <si>
    <t>مختوم شده در چادرملو</t>
  </si>
  <si>
    <t>گهرزمین (110)</t>
  </si>
  <si>
    <t>کد در تهران مختوم شده</t>
  </si>
  <si>
    <t>Dell</t>
  </si>
  <si>
    <t>مختوم شده در تهران</t>
  </si>
  <si>
    <t>مختوم شده در دفتر تهران</t>
  </si>
  <si>
    <t>(242) پروژه تکمیل کارخانه تغلیظ گلگهر</t>
  </si>
  <si>
    <t>رک دیواری 4 یونیت</t>
  </si>
  <si>
    <t>ارسال شده از خاتون آباد-کد مختومه</t>
  </si>
  <si>
    <t>توسط تهران با نامه مختوم شد</t>
  </si>
  <si>
    <t>کیس G41</t>
  </si>
  <si>
    <t>مجید اسلام پناه</t>
  </si>
  <si>
    <t>آرش امیری-فولاد گستر خوزستان</t>
  </si>
  <si>
    <t>پرینتر HP 5200</t>
  </si>
  <si>
    <t>پرینتر HP M130</t>
  </si>
  <si>
    <t>پرینتر CANON 4410</t>
  </si>
  <si>
    <t>تعمیرکار آقای محسنی تحویل آقای جاسم راهنما واحد کارفرما سایت توسعه فولاد</t>
  </si>
  <si>
    <t>تعمیرکار آقای محسنی تحویل آقای علی بلوردی واحد تردد سایت توسعه فولاد</t>
  </si>
  <si>
    <t>تعمیرکار آقای رضائیان تحویل آقای مهدی شهبازی کانکس درب شمال سایت توسعه فولاد</t>
  </si>
  <si>
    <t>در تاریخ 1403/09/11 از تعمیر برگشت</t>
  </si>
  <si>
    <t>امین مقنمی(فرزان)</t>
  </si>
  <si>
    <t>HCS08ECPCDS</t>
  </si>
  <si>
    <t>جهت تعمیر به تهران ارسال شد و داغی گردید</t>
  </si>
  <si>
    <t>کد قبلی 607268 مختوم بوده کنده شد</t>
  </si>
  <si>
    <t>1402/11/15</t>
  </si>
  <si>
    <t>1403/09/02</t>
  </si>
  <si>
    <t>HD7083BWXGA</t>
  </si>
  <si>
    <t>دکل گلفا (390)</t>
  </si>
  <si>
    <t>لینک گلفا به گهرزمین</t>
  </si>
  <si>
    <t>5E9A047B9F21</t>
  </si>
  <si>
    <t>دکل گلفا به سمت ساختمان تجهیز کارگاه</t>
  </si>
  <si>
    <t>46AD04AF82A2</t>
  </si>
  <si>
    <t>ساختمان تجهیز کارگاه به سمت دکل گلفا</t>
  </si>
  <si>
    <t>سوییچ Cisco 48 FPD-L</t>
  </si>
  <si>
    <t>FOC1641X07S</t>
  </si>
  <si>
    <t>FOC1410W4UB</t>
  </si>
  <si>
    <t>310024801874898100257</t>
  </si>
  <si>
    <t>TV LG 42"</t>
  </si>
  <si>
    <t>محمد رضا نادری</t>
  </si>
  <si>
    <t>BS39C76</t>
  </si>
  <si>
    <t>نظارت برسو فولاد بردسیر (461)</t>
  </si>
  <si>
    <t>BS40C76</t>
  </si>
  <si>
    <t>قاسم تقوایی</t>
  </si>
  <si>
    <t>اتاق برق آشپزخانه توسعه فولاد (362)</t>
  </si>
  <si>
    <t>نصب در خوابگاه برآغوش- زیر زمین</t>
  </si>
  <si>
    <t>خوابگاه پروژه مس جانجا (483)</t>
  </si>
  <si>
    <t>ارسال به جانجا</t>
  </si>
  <si>
    <t>خرید در پروژه</t>
  </si>
  <si>
    <t>1403/04/12</t>
  </si>
  <si>
    <t>1402/07/30</t>
  </si>
  <si>
    <t>کداموال نصب نشده</t>
  </si>
  <si>
    <t>تداخل اموالی</t>
  </si>
  <si>
    <t xml:space="preserve">مهدی مقدری </t>
  </si>
  <si>
    <t>سرپرست حراست</t>
  </si>
  <si>
    <t>1403/09/25</t>
  </si>
  <si>
    <t>DGS-F1010P-E</t>
  </si>
  <si>
    <t>AA007BDPA27A423</t>
  </si>
  <si>
    <t>HG10P23110130</t>
  </si>
  <si>
    <t>HG10P23110126</t>
  </si>
  <si>
    <t>HG10P23110124</t>
  </si>
  <si>
    <t>HG10P23110778</t>
  </si>
  <si>
    <t>HG10P23110128</t>
  </si>
  <si>
    <t>HG10P23110122</t>
  </si>
  <si>
    <t>HG10P23110125</t>
  </si>
  <si>
    <t>HG10P23110123</t>
  </si>
  <si>
    <t>HG10P23110127</t>
  </si>
  <si>
    <t>HG10P23110121</t>
  </si>
  <si>
    <t>HG10P22090968</t>
  </si>
  <si>
    <t>HG10P22091114</t>
  </si>
  <si>
    <t>HG10P23111896</t>
  </si>
  <si>
    <t>HG10P23110129</t>
  </si>
  <si>
    <t>HG10P23110779</t>
  </si>
  <si>
    <t>جهت دوربین های سایت</t>
  </si>
  <si>
    <t>داخل کانتینر</t>
  </si>
  <si>
    <t>1403/09/28</t>
  </si>
  <si>
    <t>1403/09/27</t>
  </si>
  <si>
    <t>FOC1744Y3QZ</t>
  </si>
  <si>
    <t>FOC1623X2SM</t>
  </si>
  <si>
    <t>FOC1432Z4EH</t>
  </si>
  <si>
    <t>FOC1609Y2Q1</t>
  </si>
  <si>
    <t>FOC1613X35N</t>
  </si>
  <si>
    <t>SN11C90</t>
  </si>
  <si>
    <t>کد قبلی 43000369</t>
  </si>
  <si>
    <t>کد قبلی 43000270</t>
  </si>
  <si>
    <t>کد قبلی 43000608</t>
  </si>
  <si>
    <t>NVR 5432 EI</t>
  </si>
  <si>
    <t>محمد حسین یوسف اللهی</t>
  </si>
  <si>
    <t>آزمایشگاه بتن</t>
  </si>
  <si>
    <t>دریا پی نقشه آزما</t>
  </si>
  <si>
    <t>BS22C74</t>
  </si>
  <si>
    <t xml:space="preserve">HFW-2849T-S-ILدوربین داهوا    </t>
  </si>
  <si>
    <t>جهت نصب در سایت</t>
  </si>
  <si>
    <t>در تاریخ 1403/09/07 از تعمیر برگشت</t>
  </si>
  <si>
    <t>ارسال به سنگان</t>
  </si>
  <si>
    <t>منبع تغذیه کنفرانسی</t>
  </si>
  <si>
    <t>توسط آزادی به 362 منتقل شد-کشو میز پروانه</t>
  </si>
  <si>
    <t>219A378000464</t>
  </si>
  <si>
    <t>مانیتور قبلی ایرج نارویی جهت تعمیر به تهران ارسال شد</t>
  </si>
  <si>
    <t>دبستان نبویه(جانجا 483)</t>
  </si>
  <si>
    <t>1403/10/03</t>
  </si>
  <si>
    <t>جهت تعمیر به تهران ارسال شد-موجودی انبار جانجا</t>
  </si>
  <si>
    <t>توسط آزادی تحویل شد</t>
  </si>
  <si>
    <t>جلال حبیبی کیا</t>
  </si>
  <si>
    <t>محمدرضا کرمی</t>
  </si>
  <si>
    <t>مهمانسرای مشعل گاز - واحد 5</t>
  </si>
  <si>
    <t>مهمانسرای مشعل گاز - واحد 10</t>
  </si>
  <si>
    <t>مهمانسرای مشعل گاز - واحد 9</t>
  </si>
  <si>
    <t>مهمانسرای مشعل گاز - واحد 6</t>
  </si>
  <si>
    <t>مهمانسرای مشعل گاز - واحد 4</t>
  </si>
  <si>
    <t>مهمانسرای مشعل گاز - واحد 2</t>
  </si>
  <si>
    <t>مهمانسرای مشعل گاز - واحد 1</t>
  </si>
  <si>
    <t>مهمانسرای مشعل گاز - واحد 3</t>
  </si>
  <si>
    <t>مهمانسرای مشعل گاز - رستوران</t>
  </si>
  <si>
    <t>مهمانسرای مشعل گاز - واحد 8</t>
  </si>
  <si>
    <t>مهمانسرای مشعل گاز - واحد 7</t>
  </si>
  <si>
    <t>مهمانسرای مولوی - واحد 3</t>
  </si>
  <si>
    <t>سویت آشپزخانه مرکزی - سنایی</t>
  </si>
  <si>
    <t>کانکس اجرا  توسعه فولاد (362)</t>
  </si>
  <si>
    <t>سالن کارفرما توسعه فولاد (362)</t>
  </si>
  <si>
    <t>پولپیت ESP توسعه فولاد (362)</t>
  </si>
  <si>
    <t>FCQ1701Y0FJ</t>
  </si>
  <si>
    <t>اتاق سرور آهک توسعه فولاد (362)</t>
  </si>
  <si>
    <t>سجاد خیری</t>
  </si>
  <si>
    <t>محمد فصیحی</t>
  </si>
  <si>
    <t>پروژه تربت حیدریه (439)</t>
  </si>
  <si>
    <t xml:space="preserve">Samsung 22" S22C310EAM </t>
  </si>
  <si>
    <t>5MWSH9DX101721N</t>
  </si>
  <si>
    <t>میلاد رمضانی تقی آباد</t>
  </si>
  <si>
    <t>TH13C29</t>
  </si>
  <si>
    <t>بهداری تربت حیدریه (439)</t>
  </si>
  <si>
    <t>Mikrotik QRT 5</t>
  </si>
  <si>
    <t xml:space="preserve">HFC091WDY2Q/347/r2 </t>
  </si>
  <si>
    <t>اینترنت کارفرما هماتیت فولاد سنگان (456)</t>
  </si>
  <si>
    <t>لینک اینترنت کارفرما و مشاور</t>
  </si>
  <si>
    <t>تحویل غلامرضایی</t>
  </si>
  <si>
    <t>آریو پاک توسعه فولاد (362)</t>
  </si>
  <si>
    <t>علی شاکری-شرکت آریوپاک</t>
  </si>
  <si>
    <t>اتاق سرور مرکز تحقیقات (438)</t>
  </si>
  <si>
    <t>FOC1846X1A4</t>
  </si>
  <si>
    <t>نصب جهت ارتباط با دکل فکور</t>
  </si>
  <si>
    <t xml:space="preserve">رادیو میکروتیک SEXTANT </t>
  </si>
  <si>
    <t>1403/09/26</t>
  </si>
  <si>
    <t>1403/03/12</t>
  </si>
  <si>
    <t>1401/10/26</t>
  </si>
  <si>
    <t>FOC1410V122</t>
  </si>
  <si>
    <t>نقشه برداری توسعه فولاد (362)</t>
  </si>
  <si>
    <t>GG199C3</t>
  </si>
  <si>
    <t>CAP XL Mikrotik</t>
  </si>
  <si>
    <t>HGB09SR4R9Q</t>
  </si>
  <si>
    <t>HGB09W7W1YV</t>
  </si>
  <si>
    <t>HGB09V1P870</t>
  </si>
  <si>
    <t>کیس i5</t>
  </si>
  <si>
    <t>در تاریخ 1403/10/11 از تعمیر برگشت</t>
  </si>
  <si>
    <t>اتاق مهدی یاهویی-مدیرپروژه</t>
  </si>
  <si>
    <t>SAMSUNG 22"</t>
  </si>
  <si>
    <t>5MWSH9DX107977L</t>
  </si>
  <si>
    <t>ارسال از تهران</t>
  </si>
  <si>
    <t>GXJ80104</t>
  </si>
  <si>
    <t>تحویل آقای امین قربانی پرسنل آلمیلا سپید دانه سایت توسعه فولاد جهت تعمیر به تهران</t>
  </si>
  <si>
    <t>KR18C19</t>
  </si>
  <si>
    <t>سالن کنفرانس فکور هماتیت فولاد سنگان (456)</t>
  </si>
  <si>
    <t>نگهبانی ناحیه 2 هماتیت فولاد سنگان(456)</t>
  </si>
  <si>
    <t>HDMI 16*1</t>
  </si>
  <si>
    <t>HDMI 1*8</t>
  </si>
  <si>
    <t>دوربین HIKVISION DS-2CD2126G2</t>
  </si>
  <si>
    <t>گوشی موبایل Nokia 106</t>
  </si>
  <si>
    <t>گوشی موبایل Nokia 105</t>
  </si>
  <si>
    <t>358203262124033</t>
  </si>
  <si>
    <t>356529224086619</t>
  </si>
  <si>
    <t xml:space="preserve">موبایل به همراه سیم کارت شماره 09966686394 </t>
  </si>
  <si>
    <t xml:space="preserve">موبایل به همراه سیم کارت شماره 09966686392 </t>
  </si>
  <si>
    <t>TH17C29</t>
  </si>
  <si>
    <t>مدیریت میکروفن</t>
  </si>
  <si>
    <t>میکروفن کنفرانسی کریتور مدل CR-M4104B</t>
  </si>
  <si>
    <t>دستگاه کنترل مرکزی کریتور مدل CR-M4101</t>
  </si>
  <si>
    <t>میکسر صدا پروئل مدل MQ6</t>
  </si>
  <si>
    <t>دستگاه مدیریت میکروفن وایرلس PROEL WM600D</t>
  </si>
  <si>
    <t>اسپیکر PROEL</t>
  </si>
  <si>
    <t>میکروفن وایرلس PROEL</t>
  </si>
  <si>
    <t>F0Q1515Z3PE</t>
  </si>
  <si>
    <t>مانیتور دوم براتی هست</t>
  </si>
  <si>
    <t>FCZ163747L</t>
  </si>
  <si>
    <t>اتاق رضا شاهی</t>
  </si>
  <si>
    <t>اتاق مدیر سایت هماتیت فولاد سنگان (456)</t>
  </si>
  <si>
    <t>خوابگاه رضا شاهی</t>
  </si>
  <si>
    <t>خوابگاه واحد 6 هماتیت فولاد سنگان (456)</t>
  </si>
  <si>
    <t>رحمان بیات</t>
  </si>
  <si>
    <t>اتاق مدیر پروژه هماتیت فولاد سنگان (456)</t>
  </si>
  <si>
    <t>SN22C90</t>
  </si>
  <si>
    <t>HG909YMARJB/R2</t>
  </si>
  <si>
    <t>HFC09BHRJC7/347/R2</t>
  </si>
  <si>
    <t>JJ6C106</t>
  </si>
  <si>
    <t>Radio DISK Lite5 ac</t>
  </si>
  <si>
    <t>HE108YVJ85C/319/R2</t>
  </si>
  <si>
    <t>HE108N6RHSN/319/R2</t>
  </si>
  <si>
    <t>HE108G7WKMT/319/R2</t>
  </si>
  <si>
    <t>HE108Z7FZFZ6R/319/R2</t>
  </si>
  <si>
    <t>HE108Z8ZX03/319/R2</t>
  </si>
  <si>
    <t>HE108Q4DP4T/319/R2</t>
  </si>
  <si>
    <t>HE108PV21G8/319/R2</t>
  </si>
  <si>
    <t>HE108GKQYN9/319/R2</t>
  </si>
  <si>
    <t>HE108HD09VR/319/R2</t>
  </si>
  <si>
    <t>HE108VZ2YF1/319/R2</t>
  </si>
  <si>
    <t>HE108G2V92M/319/R2</t>
  </si>
  <si>
    <t>HE108TP5C3G/319/R2</t>
  </si>
  <si>
    <t>HED08Q381NJ/313/R2</t>
  </si>
  <si>
    <t>HED08JNR4WX/313/R2</t>
  </si>
  <si>
    <t>HED08YFFCD5/313/R2</t>
  </si>
  <si>
    <t>کانکس ایمنی هماتیت فولاد سنگان(456)</t>
  </si>
  <si>
    <t>اتاق سرور به ایمنی هماتیت فولاد سنگان(456)</t>
  </si>
  <si>
    <t>رک خوابگاه فکور هماتیت فولاد سنگان(456)</t>
  </si>
  <si>
    <t>خوابگاه فکور هماتیت فولاد سنگان(456)</t>
  </si>
  <si>
    <t>نظارت دوربین هماتیت فولاد سنگان(456)</t>
  </si>
  <si>
    <t>آبدارخانه هماتیت فولاد سنگان(456)</t>
  </si>
  <si>
    <t>سالن فکور هماتیت فولاد سنگان (456)</t>
  </si>
  <si>
    <t>سالن کنفرانس فکور هماتیت فولاد سنگان(456)</t>
  </si>
  <si>
    <t>سعید مصطفوی</t>
  </si>
  <si>
    <t>محمد کریمی</t>
  </si>
  <si>
    <t>مدیر پروژه کارفرما هماتیت فولاد سنگان(456)</t>
  </si>
  <si>
    <t>مهندس مصطفوی</t>
  </si>
  <si>
    <t>محمد غیاثی</t>
  </si>
  <si>
    <t>مدیر پروژه نظارت هماتیت فولاد سنگان(456)</t>
  </si>
  <si>
    <t>ابراهیم منصوری</t>
  </si>
  <si>
    <t>محمود ابدرم</t>
  </si>
  <si>
    <t>حمید رضا کلایی</t>
  </si>
  <si>
    <t xml:space="preserve">علیرضا سپهر نصب در فرزان راه انداز </t>
  </si>
  <si>
    <t>نصب در شرکت آریا پاک</t>
  </si>
  <si>
    <t>نصب در شرکت پولاد نصب جهانبین</t>
  </si>
  <si>
    <t>نصب در شرکت رستاک ( سالن FST )</t>
  </si>
  <si>
    <t>FortiNet FG-60F</t>
  </si>
  <si>
    <t>FGT60FTK2209GL45</t>
  </si>
  <si>
    <t>UPS Genesis 2+ 3KVA</t>
  </si>
  <si>
    <t>310033551B69276500024</t>
  </si>
  <si>
    <t>TH2C29</t>
  </si>
  <si>
    <t>استفاده آی تی تربت حیدریه (439)</t>
  </si>
  <si>
    <t>رک شبکه گلفا (390)</t>
  </si>
  <si>
    <t>سوییچ 24 پورت سیسکو 3560</t>
  </si>
  <si>
    <t>CAT1027RK32</t>
  </si>
  <si>
    <t>انبار کانتینر</t>
  </si>
  <si>
    <t>ایوب عباسی</t>
  </si>
  <si>
    <t>Dahua DH-IPC-HDW2449T-S-LED</t>
  </si>
  <si>
    <t>Dahua DH-IPC-HFW3449EP-AS-LED</t>
  </si>
  <si>
    <t>AC08416PAGA4F99</t>
  </si>
  <si>
    <t>AC0D344PAG92107</t>
  </si>
  <si>
    <t>AC0D344PAGE015D</t>
  </si>
  <si>
    <t>AC08416PAG7BE11</t>
  </si>
  <si>
    <t>8H089C9PAGA79C3</t>
  </si>
  <si>
    <t>8H06F44PAGFAA94</t>
  </si>
  <si>
    <t>AC0D344PAGDC796</t>
  </si>
  <si>
    <t>AC0D344PAG9433F</t>
  </si>
  <si>
    <t>AC0D344PAGAD3F1</t>
  </si>
  <si>
    <t>خوابگاه مولوی-رستوران</t>
  </si>
  <si>
    <t>خوابگاه مولوی-پارکینگ</t>
  </si>
  <si>
    <t>خوابگاه مولوی-اتاق سرایداری</t>
  </si>
  <si>
    <t>خوابگاه مولوی-آسانسور</t>
  </si>
  <si>
    <t>خوابگاه مشعل گاز-پشت بام</t>
  </si>
  <si>
    <t>خوابگاه مشعل گاز-آسانسور</t>
  </si>
  <si>
    <t>خوابگاه سنائی-لابی</t>
  </si>
  <si>
    <t>خوابگاه سنائی-موتورخانه</t>
  </si>
  <si>
    <t>در تهران به دلیل تعمیر نشدن داغی شده</t>
  </si>
  <si>
    <t>BS48C74</t>
  </si>
  <si>
    <t>حسین پناه پور</t>
  </si>
  <si>
    <t>اتاق کنار مدیر سایت</t>
  </si>
  <si>
    <t>ارسال به تعمیر</t>
  </si>
  <si>
    <t>مانیتور قبلی شرکت آفتاب کویر سایت مرکز تحقیقات (438)</t>
  </si>
  <si>
    <t>اسکنر میثم فتحی زاده- تعمیرگاه ماشین های اداری MR COPY ارسال شد</t>
  </si>
  <si>
    <t>رک دیواری 9 یونیت عمق 60 RACK KABIRSANAAT</t>
  </si>
  <si>
    <t>توسط مهندس تقی زاده تحویل تهران شده</t>
  </si>
  <si>
    <t>مسلم حیدری</t>
  </si>
  <si>
    <t>GG149C3</t>
  </si>
  <si>
    <t>نگین تیان</t>
  </si>
  <si>
    <t>برنامه آلمیلا</t>
  </si>
  <si>
    <t>جهت نگین تیان</t>
  </si>
  <si>
    <t>به همراه میز پایه</t>
  </si>
  <si>
    <t>معین عباسی نژاد</t>
  </si>
  <si>
    <t>سلیمان فرخی</t>
  </si>
  <si>
    <t>مکانیک-آهک</t>
  </si>
  <si>
    <t>پژمان محمدی</t>
  </si>
  <si>
    <t>BS41C76</t>
  </si>
  <si>
    <t>جهت تعمیر به تهران ارسال شد-موجودی انبار 362</t>
  </si>
  <si>
    <t>CAP XL as</t>
  </si>
  <si>
    <t>HGB09KM80PT/r4</t>
  </si>
  <si>
    <t>HGB09TRBJ2T/r4</t>
  </si>
  <si>
    <t>HGB09TXJCQD/r4</t>
  </si>
  <si>
    <t>HGB09R2NGAP/r4</t>
  </si>
  <si>
    <t>HGB09XZJW3C/r4</t>
  </si>
  <si>
    <t>HGB09PR7AFF/r4</t>
  </si>
  <si>
    <t>HGB09XN3T2G/r4</t>
  </si>
  <si>
    <t>HGB09WQQ6V2/r4</t>
  </si>
  <si>
    <t>HGB09SGW0BX/r4</t>
  </si>
  <si>
    <t>HGB09HW5H7X/r4</t>
  </si>
  <si>
    <t>سوئیچ 48 پورت 2960S</t>
  </si>
  <si>
    <t>FOC1703Y4SY</t>
  </si>
  <si>
    <t>FOC1523Z4YN</t>
  </si>
  <si>
    <t>FOC1622Z15J</t>
  </si>
  <si>
    <t>FOC1551Z2WB</t>
  </si>
  <si>
    <t>FOC1440X08U</t>
  </si>
  <si>
    <t>FOC1912W2ZD</t>
  </si>
  <si>
    <t>FOC1733Z42Y</t>
  </si>
  <si>
    <t>FOC1441W3E5</t>
  </si>
  <si>
    <t>FOC1902Y3V0</t>
  </si>
  <si>
    <t>FOC1540Z202</t>
  </si>
  <si>
    <t>FOC1630W3ZC</t>
  </si>
  <si>
    <t>رک دیواری 9 یونیت عمق 80cm</t>
  </si>
  <si>
    <t>رک زمینی 27 یونیت عمق 80cm</t>
  </si>
  <si>
    <t>رک زمینی 42 یونیت عمق 100cm</t>
  </si>
  <si>
    <t>کانکس مالی پتروشیمی پروپلین چابهار (484)</t>
  </si>
  <si>
    <t>ساختمان ایمنی  پتروشیمی پروپلین چابهار (484)</t>
  </si>
  <si>
    <t>ساختمان ادمین 1 پتروشیمی پروپلین چابهار (484)</t>
  </si>
  <si>
    <t>ساختمان ادمین 2 پتروشیمی پروپلین چابهار (484)</t>
  </si>
  <si>
    <t>در تاریخ 1403/11/17 از تعمیر برگشت</t>
  </si>
  <si>
    <t>MT35C50</t>
  </si>
  <si>
    <t>یوسف محمود آبادی</t>
  </si>
  <si>
    <t>1403/11/09</t>
  </si>
  <si>
    <t>توسط امیر مجتبی شیخ زاده ایمیل زده شده به مالی</t>
  </si>
  <si>
    <t>در تاریخ 1403/11/24 از تعمیر برگشت</t>
  </si>
  <si>
    <t>در تاریخ 1403/11/25 از تعمیر برگشت</t>
  </si>
  <si>
    <t>اسکنر کنون m160</t>
  </si>
  <si>
    <t>GXJ80294</t>
  </si>
  <si>
    <t>محمد گل افشان</t>
  </si>
  <si>
    <t>کیس B560  I5</t>
  </si>
  <si>
    <t xml:space="preserve">پرینتر اچ پی  M428dw        </t>
  </si>
  <si>
    <t>مانیتور سامسونگ22اینچ</t>
  </si>
  <si>
    <t>دستگاه کپی شارپ BP-X240</t>
  </si>
  <si>
    <t>جغتایی</t>
  </si>
  <si>
    <t>جواد کاظم پور</t>
  </si>
  <si>
    <t>محمد طهماسی</t>
  </si>
  <si>
    <t>وحید یاوری</t>
  </si>
  <si>
    <t>سالن ESP توسعه فولاد (362)</t>
  </si>
  <si>
    <t>آژیر</t>
  </si>
  <si>
    <t>SOS Button</t>
  </si>
  <si>
    <t>پوش BUTTON</t>
  </si>
  <si>
    <t>سوییچ CISCO 2960S</t>
  </si>
  <si>
    <t>FOC1622W51A</t>
  </si>
  <si>
    <t>FOC1718X2FC</t>
  </si>
  <si>
    <t>FOC1747Z1WD</t>
  </si>
  <si>
    <t>FOC1731Z1K8</t>
  </si>
  <si>
    <t>FOC1622W54E</t>
  </si>
  <si>
    <t>FOC1712X21T</t>
  </si>
  <si>
    <t>رک 42 یونیت عمق 100 hpa</t>
  </si>
  <si>
    <t>رک 9 یونیت عمق 60 آماد سیستم</t>
  </si>
  <si>
    <t>فردین غریبوند</t>
  </si>
  <si>
    <t>BS49C74</t>
  </si>
  <si>
    <t>تحویل فرزان شده</t>
  </si>
  <si>
    <t>CNERS6F5J7</t>
  </si>
  <si>
    <t>آزمایشگاه کوبان کاو هماتیت فولاد سنگان(456)</t>
  </si>
  <si>
    <t>تحویل آزمایشگاه</t>
  </si>
  <si>
    <t>با صورتجلسه شکستگی داغی شد</t>
  </si>
  <si>
    <t>MT36C50</t>
  </si>
  <si>
    <t>PUC162907PR</t>
  </si>
  <si>
    <t>علت تعمییر مانیتور روشن نمی شود-ارسال به تهران</t>
  </si>
  <si>
    <t>HM11C92</t>
  </si>
  <si>
    <t>HM12C92</t>
  </si>
  <si>
    <t>انبار آی تی پروژه مس جانجا (483)</t>
  </si>
  <si>
    <t>ارسال شده به تهران و تحویل مهندس حمیدی شده</t>
  </si>
  <si>
    <t>MB-ASUS B660 PLUS      I5</t>
  </si>
  <si>
    <t>پرینتر اچ پی 712</t>
  </si>
  <si>
    <t>پرینتر 428</t>
  </si>
  <si>
    <t>PUC174401EK</t>
  </si>
  <si>
    <t>کانکس مدیرسایت پروژه مس جانجا (483)</t>
  </si>
  <si>
    <t>نصب در کانکس مدیر سایت</t>
  </si>
  <si>
    <t>سعید مومنه</t>
  </si>
  <si>
    <t>5MWSH9DX61464M</t>
  </si>
  <si>
    <t>Samsung 22" S22C310EAM</t>
  </si>
  <si>
    <t>PXN1528W2ZX</t>
  </si>
  <si>
    <t>5MWSH9DX901016H</t>
  </si>
  <si>
    <t>امیر برزگر</t>
  </si>
  <si>
    <t>5MWSH9DX601424Y</t>
  </si>
  <si>
    <t>PXN1528VSSW</t>
  </si>
  <si>
    <t>PXN1528W2WU</t>
  </si>
  <si>
    <t>HGQ09X00T7Z/r2</t>
  </si>
  <si>
    <t>HGQ09JZWQX4/r2</t>
  </si>
  <si>
    <t>دکل پروژه مس جانجا (483)</t>
  </si>
  <si>
    <t>کانکس آی تی پروژه مس جانجا (483)</t>
  </si>
  <si>
    <t>رادیوSXT سیم کارتی</t>
  </si>
  <si>
    <t>HFD0965AYJZ/345/r3</t>
  </si>
  <si>
    <t>PXN1528VT9K</t>
  </si>
  <si>
    <t>5MWSH9DX601400L</t>
  </si>
  <si>
    <t>Case Green-B660 i5</t>
  </si>
  <si>
    <t>Samsung 22" S22C310</t>
  </si>
  <si>
    <t>5MWSH9DX903018</t>
  </si>
  <si>
    <t>5MWSH9DX903034</t>
  </si>
  <si>
    <t>5MWSH9DX903012</t>
  </si>
  <si>
    <t>5MWSH9DX903015</t>
  </si>
  <si>
    <t>5MWSH9DX903029</t>
  </si>
  <si>
    <t>5MWSH9DX903058</t>
  </si>
  <si>
    <t>5MWSH9DX903065</t>
  </si>
  <si>
    <t>5MWSH9DX903069</t>
  </si>
  <si>
    <t>5MWSH9DX903020</t>
  </si>
  <si>
    <t>5MWSH9DX900493</t>
  </si>
  <si>
    <t>PXN1528VT1Y</t>
  </si>
  <si>
    <t>PXN1528W2G5</t>
  </si>
  <si>
    <t>PUC1528VT6J</t>
  </si>
  <si>
    <t>PXN1528VSN8</t>
  </si>
  <si>
    <t>PUC173814UW</t>
  </si>
  <si>
    <t>PXN1528VSYK</t>
  </si>
  <si>
    <t>PUC16350ZEX</t>
  </si>
  <si>
    <t>PUC17380ZRG</t>
  </si>
  <si>
    <t>PXN1528VRVL</t>
  </si>
  <si>
    <t>PXN1528W2RN</t>
  </si>
  <si>
    <t>آرمين نويد آپادانا</t>
  </si>
  <si>
    <t>حراست خرامه (392)</t>
  </si>
  <si>
    <t>KR12C19</t>
  </si>
  <si>
    <t>گوشی موبایل</t>
  </si>
  <si>
    <t>1403/03/25 تاریخ هدیه</t>
  </si>
  <si>
    <t>تاریخ 1402/02/31 مختوم شد</t>
  </si>
  <si>
    <t>گوشی نوکیا TA-1567 + سیم کارت ایرانسل</t>
  </si>
  <si>
    <t>الهام عطائی</t>
  </si>
  <si>
    <t>دفتردار</t>
  </si>
  <si>
    <t>JJ16C106</t>
  </si>
  <si>
    <t>JJ12C106</t>
  </si>
  <si>
    <t>BS50C74</t>
  </si>
  <si>
    <t>امید فلاح</t>
  </si>
  <si>
    <t>حسین دهقانیان</t>
  </si>
  <si>
    <t>مریم یادگاری</t>
  </si>
  <si>
    <t>MT37C50</t>
  </si>
  <si>
    <t>4L26H4TW218331T</t>
  </si>
  <si>
    <t>مانیتور سامسونگ  S22A330</t>
  </si>
  <si>
    <t xml:space="preserve">کیس گرین  AVA </t>
  </si>
  <si>
    <t>MT31C50</t>
  </si>
  <si>
    <t xml:space="preserve">کیس گرین  TSCO </t>
  </si>
  <si>
    <t>مانیتور LG 24”</t>
  </si>
  <si>
    <t>پرینتر کانن  3010</t>
  </si>
  <si>
    <t>301NTGYAR359</t>
  </si>
  <si>
    <t>YPE241615</t>
  </si>
  <si>
    <t xml:space="preserve">انبار آی تی توسعه فولاد (362) - تعمیرگاه ماشین های اداری MR COPY </t>
  </si>
  <si>
    <t xml:space="preserve">میثم مددی زاده - تعمیرگاه ماشین های اداری MR COPY </t>
  </si>
  <si>
    <t>خروجی 1</t>
  </si>
  <si>
    <t>خروجی 2</t>
  </si>
  <si>
    <t>خروجی 4</t>
  </si>
  <si>
    <t>خروجی 7</t>
  </si>
  <si>
    <t>خروجی 6</t>
  </si>
  <si>
    <t>خروجی 8</t>
  </si>
  <si>
    <t>خروجی 9</t>
  </si>
  <si>
    <t>بین سالن شرقی و غربی</t>
  </si>
  <si>
    <t>Samsung 22" S22C3</t>
  </si>
  <si>
    <t>کیس گرین B660PLUS</t>
  </si>
  <si>
    <t>5MWSH9DX903059</t>
  </si>
  <si>
    <t>5MWSH9DX903703</t>
  </si>
  <si>
    <t>علی چوپان</t>
  </si>
  <si>
    <t>0015348563</t>
  </si>
  <si>
    <t>SN23C90</t>
  </si>
  <si>
    <t>محمدصالح برزنونی</t>
  </si>
  <si>
    <t>5MWSH9DX900467N</t>
  </si>
  <si>
    <t>پرینتر سلمان یگانه - جانجا - اارسال به تهران جهت تعمیر</t>
  </si>
  <si>
    <t>در تاریخ 1403/12/20 از تعمیر برگشت</t>
  </si>
  <si>
    <t>محسن ساریخانی</t>
  </si>
  <si>
    <t>یاسین سالاری</t>
  </si>
  <si>
    <t>GG64C3</t>
  </si>
  <si>
    <t>هوشمند GPlus 65” GTV-65SQM627SX</t>
  </si>
  <si>
    <t>501STBD17935</t>
  </si>
  <si>
    <t>CNGRS446DC</t>
  </si>
  <si>
    <t>عباس وثوقی</t>
  </si>
  <si>
    <t>JJ17C106</t>
  </si>
  <si>
    <t>منصور نوروزی راد</t>
  </si>
  <si>
    <t>BS51C74</t>
  </si>
  <si>
    <t>پاپینگ</t>
  </si>
  <si>
    <t xml:space="preserve">جهت نمایش تصاویر دوربین </t>
  </si>
  <si>
    <t>استفاده در اتاق مدیر سایت</t>
  </si>
  <si>
    <t>JJ18C106</t>
  </si>
  <si>
    <t>جلیل عسگری فرسنگی</t>
  </si>
  <si>
    <t>JJ19C106</t>
  </si>
  <si>
    <t>جواد نبوی</t>
  </si>
  <si>
    <t>علت عدم نمایش صفحه در سایت پیشران-جهت تعمیر به دفتر مرکزی ارسال شده</t>
  </si>
  <si>
    <t>انبار آی تی انبار منطقه ای سیرجان</t>
  </si>
  <si>
    <t>لینک Wireless خوابگاه سنایی</t>
  </si>
  <si>
    <t>احسان به نیا</t>
  </si>
  <si>
    <t>رئیس نظارت</t>
  </si>
  <si>
    <t>مجید قدیانلو</t>
  </si>
  <si>
    <t>اتاق پرسنل دفتر تهران</t>
  </si>
  <si>
    <t>تقی رضوی</t>
  </si>
  <si>
    <t>آبدارخانه سایت مرکز تحقیقات (438)</t>
  </si>
  <si>
    <t>سجاد هندیزی پور</t>
  </si>
  <si>
    <t>تعمیر نشد و داغی شد</t>
  </si>
  <si>
    <t>بردهوشمند "65 Gplus</t>
  </si>
  <si>
    <t>207kbcn00117</t>
  </si>
  <si>
    <t>احسان رهبری</t>
  </si>
  <si>
    <t>KR34C19</t>
  </si>
  <si>
    <t>کیس  M.B  B660 I5</t>
  </si>
  <si>
    <t>KR35C19</t>
  </si>
  <si>
    <t>اتاق مدیر سایت خرامه (392)</t>
  </si>
  <si>
    <t>آموزش و پرورش طالقان</t>
  </si>
  <si>
    <t>ارسال به تهران 1404/01/25</t>
  </si>
  <si>
    <t>تاریخ 1404/01/25</t>
  </si>
  <si>
    <t>5MWSH9DXA00246</t>
  </si>
  <si>
    <t>5MWSH9DXA00222</t>
  </si>
  <si>
    <t>5MWSH9DXA01092</t>
  </si>
  <si>
    <t>5MWSH9DXA00221</t>
  </si>
  <si>
    <t>5MWSH9DXA00278</t>
  </si>
  <si>
    <t>5MWSH9DX800897</t>
  </si>
  <si>
    <t>محمد نبی پارسایی فر</t>
  </si>
  <si>
    <t>رادیو RBSEXTANTG-5HPND</t>
  </si>
  <si>
    <t>A2870909CE69/833</t>
  </si>
  <si>
    <t>حراست کمپ کارگری</t>
  </si>
  <si>
    <t>8K0B171PAGB6E1A</t>
  </si>
  <si>
    <t>8A0424FPAGE3F8B</t>
  </si>
  <si>
    <t>8K02786PAGAB952</t>
  </si>
  <si>
    <t>9H038DBPAG04137</t>
  </si>
  <si>
    <t>8B0078CPAGD6EDF</t>
  </si>
  <si>
    <t>8C01FE4PAGD69B7</t>
  </si>
  <si>
    <t>8C01FE4PAG4A22D</t>
  </si>
  <si>
    <t>8C01FE4PAGFDF32</t>
  </si>
  <si>
    <t>8C01FE4PAGD4A2D</t>
  </si>
  <si>
    <t>8C01FE4PAG2EEAC</t>
  </si>
  <si>
    <t>8B0078CPAGCFF30</t>
  </si>
  <si>
    <t>8B0078CPAG72D7C</t>
  </si>
  <si>
    <t>8C01FE4PAG044F4</t>
  </si>
  <si>
    <t>8C01FE4PAG8D09D</t>
  </si>
  <si>
    <t>8A0424FPAG4A6FE</t>
  </si>
  <si>
    <t>8C01FE4PAG608EA</t>
  </si>
  <si>
    <t>8D0877EPAGBC691</t>
  </si>
  <si>
    <t>IPC-HDW2439</t>
  </si>
  <si>
    <t>8B0078CPAGCEAC3</t>
  </si>
  <si>
    <t>8B0078CPAGA0914</t>
  </si>
  <si>
    <t>8B0078CPAGFA81C</t>
  </si>
  <si>
    <t>8B0078CPAG6F448</t>
  </si>
  <si>
    <t>8B0078CPAGDFE78</t>
  </si>
  <si>
    <t>8B0078CPAG09D3F</t>
  </si>
  <si>
    <t>7E05100PAG1F279</t>
  </si>
  <si>
    <t>7G05A3EPAGAEFFA</t>
  </si>
  <si>
    <t>7H06CFBPAGA7059</t>
  </si>
  <si>
    <t>7G05A3EPAG5A43F</t>
  </si>
  <si>
    <t>8C01B8CPAZC3872</t>
  </si>
  <si>
    <t>SN24C90</t>
  </si>
  <si>
    <t>SN20C90</t>
  </si>
  <si>
    <t>حراست هماتیت فولاد سنگان(456)</t>
  </si>
  <si>
    <t>جهت نمایش دوربین های حراست</t>
  </si>
  <si>
    <t>402STKL55115</t>
  </si>
  <si>
    <t>TV LED LG 32LN5440B</t>
  </si>
  <si>
    <t>حامد محصل</t>
  </si>
  <si>
    <t>SN21C90</t>
  </si>
  <si>
    <t>بهداری هماتیت فولاد سنگان(456)</t>
  </si>
  <si>
    <t>0769657745</t>
  </si>
  <si>
    <t>0760001596</t>
  </si>
  <si>
    <t>0760310424</t>
  </si>
  <si>
    <t>0769582613</t>
  </si>
  <si>
    <t>لینک شبکه آرانوما</t>
  </si>
  <si>
    <t>لینک دکل به آرانوما توسعه فولاد (362)</t>
  </si>
  <si>
    <t>E6B30D28C595/153/r2</t>
  </si>
  <si>
    <t>عطا بیژندنیا</t>
  </si>
  <si>
    <t>KR36C19</t>
  </si>
  <si>
    <t>CNDRP4WBNT</t>
  </si>
  <si>
    <t>اتاق مهندس محمودآبادی</t>
  </si>
  <si>
    <t>محمودآبادی</t>
  </si>
  <si>
    <t>نظارت و اجرای سایت</t>
  </si>
  <si>
    <t>0941653196</t>
  </si>
  <si>
    <t>2093510057</t>
  </si>
  <si>
    <t>5MWSH9DX901019W</t>
  </si>
  <si>
    <t>PXN1528W29H</t>
  </si>
  <si>
    <t>5MWSH9DX901004J</t>
  </si>
  <si>
    <t>PXN1528VT17</t>
  </si>
  <si>
    <t>داوود اصغری</t>
  </si>
  <si>
    <t xml:space="preserve">PXN1528W2QJ </t>
  </si>
  <si>
    <t>5MWSH9DX900994B</t>
  </si>
  <si>
    <t>2751051065</t>
  </si>
  <si>
    <t>BS52C74</t>
  </si>
  <si>
    <t>سعید تالاری</t>
  </si>
  <si>
    <t>BS53C74</t>
  </si>
  <si>
    <t>خاموش شدن ناگهانی-ارسال به تهران</t>
  </si>
  <si>
    <t>زیرزمین ناحیه ESP توسعه فولاد (362)</t>
  </si>
  <si>
    <t>C130</t>
  </si>
  <si>
    <t>انتقال از بردسیر به بهاباد</t>
  </si>
  <si>
    <t>Cisco 2900 روتر</t>
  </si>
  <si>
    <t>اتاق سرور كنسانتره سنگ آهن بهاباد يزد</t>
  </si>
  <si>
    <t>انبار آی تی كنسانتره سنگ آهن بهاباد يزد</t>
  </si>
  <si>
    <t>حامد لطفی</t>
  </si>
  <si>
    <t>سید مهدی علیپور یزدی</t>
  </si>
  <si>
    <t>بهاباد یزد</t>
  </si>
  <si>
    <t>BH1C130</t>
  </si>
  <si>
    <t>تحویل مالک ساختمان نارسیس شد</t>
  </si>
  <si>
    <t>Mikrotik SXT</t>
  </si>
  <si>
    <t>استابلایزر Faratel STB2000</t>
  </si>
  <si>
    <t>Dahua Dome Camera</t>
  </si>
  <si>
    <t>Dahua Bullet Camera</t>
  </si>
  <si>
    <t>Dahua NVR</t>
  </si>
  <si>
    <t>TP-LINK-w810 Access Point</t>
  </si>
  <si>
    <t>Huawei Access Point</t>
  </si>
  <si>
    <t>Zyxel Access Point</t>
  </si>
  <si>
    <t>Zoltrix Access Point</t>
  </si>
  <si>
    <t>رک دیواری شبکه 9 یونیت</t>
  </si>
  <si>
    <t>اشتباهی در ایمیل بنام خوابگاه نارسیس ثبت شده</t>
  </si>
  <si>
    <t>واحد 7 مولوی</t>
  </si>
  <si>
    <t>نصب در ESP توسعه فولاد (362)</t>
  </si>
  <si>
    <t>جهت تصاویر دوربین</t>
  </si>
  <si>
    <t xml:space="preserve">رک 9 یونیت </t>
  </si>
  <si>
    <t>رک 42 یونیت</t>
  </si>
  <si>
    <t>Box02:روبه روی خروجی کوچک فرعی هیدرولک ROOM</t>
  </si>
  <si>
    <t>BOX03:خروجی 6 زیرزمین</t>
  </si>
  <si>
    <t>BOX04:خروجی 8 زیرزمین</t>
  </si>
  <si>
    <t>BOX05:روی ستون روبه روی پول پیت 3</t>
  </si>
  <si>
    <t>پول پیت 3:BOX P.P-03</t>
  </si>
  <si>
    <t>BOX P.P-01: پول پیت 1</t>
  </si>
  <si>
    <t xml:space="preserve">داخل کانکس تی وی وال </t>
  </si>
  <si>
    <t>AD05D17PAG8AA7E-AS</t>
  </si>
  <si>
    <t>AD011F5PAG665E9-AS</t>
  </si>
  <si>
    <t>AD05D17PAGCB78A-AS</t>
  </si>
  <si>
    <t>AC0BA5FPAGD9DDD-ZS</t>
  </si>
  <si>
    <t>AD011F5PAG20A17-AS</t>
  </si>
  <si>
    <t>AD011F5PAGAB7B6-AS</t>
  </si>
  <si>
    <t>AD011F5PAG1279C-AS</t>
  </si>
  <si>
    <t>AD011F5PAG0B6D7-AS</t>
  </si>
  <si>
    <t>AD011F5PAGE9CB0-AS</t>
  </si>
  <si>
    <t>AC0BA5FPAG0D091-ZS</t>
  </si>
  <si>
    <t>AC0BA5FPAGA29BE-ZS</t>
  </si>
  <si>
    <t>AD011F5PAGC8C54-AS</t>
  </si>
  <si>
    <t>AD011F5PAG06F67-AS</t>
  </si>
  <si>
    <t>AD05D17PAG5F351-AS</t>
  </si>
  <si>
    <t>AD011F5PAG87166-AS</t>
  </si>
  <si>
    <t>AC0BA5FPAG4BAB3-ZS</t>
  </si>
  <si>
    <t>AD05D17PAG9F217-AS</t>
  </si>
  <si>
    <t>AD011F5PAG417AB-AS</t>
  </si>
  <si>
    <t>AD05D17PAG14F03-AS</t>
  </si>
  <si>
    <t>AD011F5PAGA0807-AS</t>
  </si>
  <si>
    <t>AD05D17PAG007DB-AS</t>
  </si>
  <si>
    <t>Camera Duhua HFW-2841TP-AS</t>
  </si>
  <si>
    <t>Camera Duhua SpeedDom</t>
  </si>
  <si>
    <t>سوییچ فیبر12پورت CISCO C3750-12S</t>
  </si>
  <si>
    <t>NVR DAHUA-5832-EI</t>
  </si>
  <si>
    <t>نصب داخل کانکس تی وی وال</t>
  </si>
  <si>
    <t>KL406462</t>
  </si>
  <si>
    <t>canon M160II</t>
  </si>
  <si>
    <t>تحویل محیاپور - کارفرما</t>
  </si>
  <si>
    <t>HP Color DN5225</t>
  </si>
  <si>
    <t>میلاد ترابی راد</t>
  </si>
  <si>
    <t>0310416922</t>
  </si>
  <si>
    <t xml:space="preserve">نظارت مکانیک </t>
  </si>
  <si>
    <t>هادی نام آور</t>
  </si>
  <si>
    <t>Hh0703834703</t>
  </si>
  <si>
    <t>Dahua DHI-NVR5832-EI</t>
  </si>
  <si>
    <t>AB06F44PAZEA822</t>
  </si>
  <si>
    <t>GG96C3</t>
  </si>
  <si>
    <t>مانیتور lenovo  L-22i-40</t>
  </si>
  <si>
    <t>مانیتور lenovo  L-22i-30</t>
  </si>
  <si>
    <t>کیس  M.B  B660 I5</t>
  </si>
  <si>
    <t>منصور فرهادی(فولاد تکنیک)+علیرضا جاوید</t>
  </si>
  <si>
    <t>BS54C74</t>
  </si>
  <si>
    <t>مصطفی نوشادی</t>
  </si>
  <si>
    <t>انبار خوابگاه هماتیت فولاد سنگان(456)</t>
  </si>
  <si>
    <t>آزمایشگاه هماتیت فولاد سنگان(456)</t>
  </si>
  <si>
    <t>علیرضا نظرپور</t>
  </si>
  <si>
    <t>ایکس ویژن 43</t>
  </si>
  <si>
    <t>1402/05/26</t>
  </si>
  <si>
    <t>دوربین Canon EOS 90D</t>
  </si>
  <si>
    <t>به همراه شارژر و EF-S 18-135</t>
  </si>
  <si>
    <t>513056001197</t>
  </si>
  <si>
    <t>رسول اورک</t>
  </si>
  <si>
    <t>رک کانکس TV  توسعه فولاد (362)</t>
  </si>
  <si>
    <t xml:space="preserve">نصب در رک کانکس TV </t>
  </si>
  <si>
    <t>نصب در هماتیت فولاد سنگان(456)</t>
  </si>
  <si>
    <t>Samsung 19" S19C325N</t>
  </si>
  <si>
    <t>Samsung 17" 1733NW</t>
  </si>
  <si>
    <t>Cisco 8945</t>
  </si>
  <si>
    <t>Grandstream GXP1628</t>
  </si>
  <si>
    <t>AADHH9MF707194T</t>
  </si>
  <si>
    <t>AADHH9MFC00515M</t>
  </si>
  <si>
    <t>NW.H9MP6.039726</t>
  </si>
  <si>
    <t>357420340143</t>
  </si>
  <si>
    <t>PUC18290GJX</t>
  </si>
  <si>
    <t>PUC17410AD1</t>
  </si>
  <si>
    <t>22MT9YDL302320A9</t>
  </si>
  <si>
    <t>22MT9YDL302321BA</t>
  </si>
  <si>
    <t>22MT9YDL3023223C</t>
  </si>
  <si>
    <t>22MT9YDL30232216</t>
  </si>
  <si>
    <t>22MT9YDL3023240D</t>
  </si>
  <si>
    <t>اموال ماشین سازی-انتقالی از خرامه</t>
  </si>
  <si>
    <t>بهمن زرگری</t>
  </si>
  <si>
    <t>رضا پور امینایی</t>
  </si>
  <si>
    <t>HF0095PBD64/335/R2</t>
  </si>
  <si>
    <t>HF093H5FYH/335/R2</t>
  </si>
  <si>
    <t>HF009DTZKB7/335/R2</t>
  </si>
  <si>
    <t>رادیو qrt5 ac</t>
  </si>
  <si>
    <t>رادیو qrt5</t>
  </si>
  <si>
    <t>امیرمحمد پورچنگیز</t>
  </si>
  <si>
    <t>دانیال چاوشی</t>
  </si>
  <si>
    <t>کانکس اجرا</t>
  </si>
  <si>
    <t>علی علوی</t>
  </si>
  <si>
    <t>گهر نشاط</t>
  </si>
  <si>
    <t>اتاق مهمانان توسعه فولاد (362)</t>
  </si>
  <si>
    <t>رک 9 یونیت عمق 60</t>
  </si>
  <si>
    <t>سوئیچ WS-C2960S-48FPS-L</t>
  </si>
  <si>
    <t>پوریا پور طالبی</t>
  </si>
  <si>
    <t>رک کانکس TV Wall توسعه فولاد (362)</t>
  </si>
  <si>
    <t>جهت استفاده آی تی</t>
  </si>
  <si>
    <t>در تاریخ 1404-03-21 از تعمیر برگشت</t>
  </si>
  <si>
    <t xml:space="preserve">برای تعمیر توسط آقای مهندس یزدانی جهت تحویل به آقای حمیدی در مورخ 21/03/1404 ارسال شد </t>
  </si>
  <si>
    <t>CNB8H9F1SV</t>
  </si>
  <si>
    <t>پرینتر تحویلی از شرکت ماشین سازی خرامه</t>
  </si>
  <si>
    <t>CNB1N1Z2H0</t>
  </si>
  <si>
    <t>DELL E2281HN مانیتور</t>
  </si>
  <si>
    <t>CN-033658-FCC00-94P-ACNI-A05</t>
  </si>
  <si>
    <t>پرسنل تهران خرامه (392)</t>
  </si>
  <si>
    <t>CN-033G58-FCC00-94P-A52I-A05</t>
  </si>
  <si>
    <t>محمد خواجوئی نژاد</t>
  </si>
  <si>
    <t xml:space="preserve">مکانیک </t>
  </si>
  <si>
    <t>به دلیل خرابی به تعمیر ارسال نشد</t>
  </si>
  <si>
    <t>K09687382</t>
  </si>
  <si>
    <t>مهدی رضوانیان</t>
  </si>
  <si>
    <t>سالن جلسات فکور توسعه فولاد (362)</t>
  </si>
  <si>
    <t xml:space="preserve">     </t>
  </si>
  <si>
    <t>کیانوش موسوی</t>
  </si>
  <si>
    <t>حمزه احمدی-طب کار</t>
  </si>
  <si>
    <t>داود شیروانی</t>
  </si>
  <si>
    <t>انتقال به کانتینر واحد آی تی توسعه فولاد</t>
  </si>
  <si>
    <t>1404/04/04</t>
  </si>
  <si>
    <t>مهران حافظی</t>
  </si>
  <si>
    <t>گهر نشاط سمنگان</t>
  </si>
  <si>
    <t>طب کار توسعه فولاد(362)</t>
  </si>
  <si>
    <t>علی عباسی منجزی</t>
  </si>
  <si>
    <t>کارخانه گندله سازی شرکت صنعتی معدنی گیورد(527)</t>
  </si>
  <si>
    <t>کارخانه گندله سازی شرکت صنعتی معدنی گیورد (527)</t>
  </si>
  <si>
    <t>طب کار</t>
  </si>
  <si>
    <t>الهه امین زاده</t>
  </si>
  <si>
    <t>GG46C2</t>
  </si>
  <si>
    <t>سرپرست فرآیند فولادسازی</t>
  </si>
  <si>
    <t>هومن اثمری</t>
  </si>
  <si>
    <t>ابراهیم زلقی</t>
  </si>
  <si>
    <t>کارشناس دفر فنی نورد</t>
  </si>
  <si>
    <t>کانکس مکانیک ناحیه ESP توسعه فولاد(362)</t>
  </si>
  <si>
    <t>GG4C3</t>
  </si>
  <si>
    <t xml:space="preserve">علی علوی </t>
  </si>
  <si>
    <t xml:space="preserve">گهرنشاط </t>
  </si>
  <si>
    <t>GG45C2</t>
  </si>
  <si>
    <t>GG16C2</t>
  </si>
  <si>
    <t>اتاق پزشک بهداری توسعه فولاد(362)</t>
  </si>
  <si>
    <t>رئیس سایت</t>
  </si>
  <si>
    <t>کارشناس دفتر فنی سیویل</t>
  </si>
  <si>
    <t>میلاد قبادی</t>
  </si>
  <si>
    <t>SN25C90</t>
  </si>
  <si>
    <t>مصطفی غیاثوند</t>
  </si>
  <si>
    <t>عمران جلیلیان</t>
  </si>
  <si>
    <t>دفتر فنی مکانیک توسعه فولاد(362)</t>
  </si>
  <si>
    <t xml:space="preserve"> </t>
  </si>
  <si>
    <t>سایت پروژه کارخانه تغلیظ مس جانجا(483)</t>
  </si>
  <si>
    <t xml:space="preserve"> کارشناس ایمنی، بهداشت و محیط زیست سایت</t>
  </si>
  <si>
    <t>ابوالفضل غلامی (جانجا)</t>
  </si>
  <si>
    <t>دفتر کنترل پروژه خرامه (392)</t>
  </si>
  <si>
    <t>دفتر سویل خرامه (392)</t>
  </si>
  <si>
    <t>KR37C19</t>
  </si>
  <si>
    <t>دفتر اداری-پشتیبانی خرامه (392)</t>
  </si>
  <si>
    <t>HF104454VXN/339/R2</t>
  </si>
  <si>
    <t>HF109A8QR9J/339/R2</t>
  </si>
  <si>
    <t>QRT</t>
  </si>
  <si>
    <t>ساختمان حراست ورودی خرامه (392)</t>
  </si>
  <si>
    <t>دکل ماشین سازی خرامه (392)</t>
  </si>
  <si>
    <t>نصب بروی ساختمان حراست ورودی خرامه (392)</t>
  </si>
  <si>
    <t>نصب بروی دکل ماشین سازی خرامه (392)</t>
  </si>
  <si>
    <t>علی اسدی زیدآبادی</t>
  </si>
  <si>
    <t>کانکس کنترل پروژه سایت مرکز تحقیقات (438)</t>
  </si>
  <si>
    <t>فکور صنعت</t>
  </si>
  <si>
    <t>FOC1709X3BX</t>
  </si>
  <si>
    <t>CISCO 2960S POE 48</t>
  </si>
  <si>
    <t>FOC1802W4GM</t>
  </si>
  <si>
    <t>ESP-PoolPit1 توسعه فولاد (362)</t>
  </si>
  <si>
    <t>CISCO WS-C2960S-24PS-L</t>
  </si>
  <si>
    <t xml:space="preserve"> انبار آی تی فولاد بردسیر (461)</t>
  </si>
  <si>
    <t xml:space="preserve">اُنبرتو خوشابیان </t>
  </si>
  <si>
    <t xml:space="preserve">فرزان فن اندیش </t>
  </si>
  <si>
    <t>سوله انبار ماشین سازی فولاد بردسیر(461)</t>
  </si>
  <si>
    <t>GG55C74</t>
  </si>
  <si>
    <t>اتاق برق و ابزار دقیق سایت فولاد (362)</t>
  </si>
  <si>
    <t>رامین شکری</t>
  </si>
  <si>
    <t xml:space="preserve">رستاک </t>
  </si>
  <si>
    <t xml:space="preserve"> برق و ابزار دقیق </t>
  </si>
  <si>
    <t>کانکس Civil سایت مرکز تحقیقات (438)</t>
  </si>
  <si>
    <t>EW202311161305</t>
  </si>
  <si>
    <t>EW202311161487</t>
  </si>
  <si>
    <t>EW202311161483</t>
  </si>
  <si>
    <t>EW202311161482</t>
  </si>
  <si>
    <t>EW202311161486</t>
  </si>
  <si>
    <t>EW202311161488</t>
  </si>
  <si>
    <t>EW202311161301</t>
  </si>
  <si>
    <t>EW202311161361</t>
  </si>
  <si>
    <t>AZ7948430</t>
  </si>
  <si>
    <t>AZ7948416</t>
  </si>
  <si>
    <t>AZ0215438</t>
  </si>
  <si>
    <t>L48199639</t>
  </si>
  <si>
    <t>AZ7948282</t>
  </si>
  <si>
    <t>AZ0215537</t>
  </si>
  <si>
    <t>L48198763</t>
  </si>
  <si>
    <t>L36321934</t>
  </si>
  <si>
    <t>L48199532</t>
  </si>
  <si>
    <t>AZ0215350</t>
  </si>
  <si>
    <t>HF109FP2MQE/339/r2</t>
  </si>
  <si>
    <t>HF1090Q6KET/339/r2</t>
  </si>
  <si>
    <t>HHJ0A4P0CWT/r2</t>
  </si>
  <si>
    <t>HHJ0ADE80WF/r2</t>
  </si>
  <si>
    <t>HHJ0AE0XAWX/r2</t>
  </si>
  <si>
    <t>HHJ0ADV1XG2/r2</t>
  </si>
  <si>
    <t>HHJ0A2QTBS5/r2</t>
  </si>
  <si>
    <t>HHJ0AC7WAKP/r2</t>
  </si>
  <si>
    <t>HHJ0AD3E79P/r2</t>
  </si>
  <si>
    <t>HHJ0A793A4V/r2</t>
  </si>
  <si>
    <t>HHJ0A5V3PXE/r2</t>
  </si>
  <si>
    <t>HHJ0ABKADE9/r2</t>
  </si>
  <si>
    <t>FD6297426</t>
  </si>
  <si>
    <t>رادیو QRT 6 ac</t>
  </si>
  <si>
    <t>SXT sq LITE5</t>
  </si>
  <si>
    <t>EWIND EW-S1110CG-AP</t>
  </si>
  <si>
    <t>HIKVISION DS-2CD2T83G2-4I</t>
  </si>
  <si>
    <t xml:space="preserve"> HIKVISION DS-7732NXI-K4</t>
  </si>
  <si>
    <t>FOC1721Y0JM</t>
  </si>
  <si>
    <t>FOC1721Y0HH</t>
  </si>
  <si>
    <t>FOC1751Z4Z5</t>
  </si>
  <si>
    <t>FOC1720Z440</t>
  </si>
  <si>
    <t>FOC1911W2LP</t>
  </si>
  <si>
    <t>2960-S POE</t>
  </si>
  <si>
    <t>در تاریخ 01-05-1404 از تعمیر برگشت</t>
  </si>
  <si>
    <t>جهت تعمیر به تهران ارسال شد-موجودی انبار 362 - تعویض مادربورد</t>
  </si>
  <si>
    <t>نظارت برسو بردسیر - ارسال به تهران جهت تعمیر - تعویض مادربورد</t>
  </si>
  <si>
    <t>بازگشت از تعمیر</t>
  </si>
  <si>
    <t>آناهیتا کریمی</t>
  </si>
  <si>
    <t>BS58C74</t>
  </si>
  <si>
    <t>HP M706n</t>
  </si>
  <si>
    <t>محمد حسین طباطبایی</t>
  </si>
  <si>
    <t>Z1C018090080</t>
  </si>
  <si>
    <t>1404/05/08</t>
  </si>
  <si>
    <t>کانکس زیر منبع کمپ کارگری</t>
  </si>
  <si>
    <t>ساسان شجاعت خرامه</t>
  </si>
  <si>
    <t>UPS GTEC
ZP120N-3K</t>
  </si>
  <si>
    <t>722002008012008</t>
  </si>
  <si>
    <t>مانیتور LG 
W2261VP</t>
  </si>
  <si>
    <t>محل اسقرار</t>
  </si>
  <si>
    <t>اتاق سرور پروژه توسعه فولاد (362)</t>
  </si>
  <si>
    <t xml:space="preserve">Super Nova 10KVA  </t>
  </si>
  <si>
    <t>110038537E57834000015</t>
  </si>
  <si>
    <t>کابینت یو پی اس</t>
  </si>
  <si>
    <t>کابینت 6 طبقه+16عدد باطری12ولت65آمپر مارکMISOL</t>
  </si>
  <si>
    <t>رضا محمد زاده</t>
  </si>
  <si>
    <t>GG11C3</t>
  </si>
  <si>
    <t>ارسال جهت تعمیر</t>
  </si>
  <si>
    <t>ارسال جهت تعمیر1404/05/012</t>
  </si>
  <si>
    <t>ups قبلی اتاق سرور</t>
  </si>
  <si>
    <t>دفتر مدیر سایت خرامه (392)</t>
  </si>
  <si>
    <t>KR39C19</t>
  </si>
  <si>
    <t>اتاق مکانیک سایت خرامه (392)</t>
  </si>
  <si>
    <t>دفتر مهندسی سایت خرامه (392)</t>
  </si>
  <si>
    <t>KR40C19</t>
  </si>
  <si>
    <t>انبار آی تی خرامه 392)</t>
  </si>
  <si>
    <t>Microtik QRT 5 ac</t>
  </si>
  <si>
    <t>HF10985V9GS/340/r2</t>
  </si>
  <si>
    <t>HF1095ZZJMN/340/r2</t>
  </si>
  <si>
    <t>دکل آی تی  توسعه فولاد (362)</t>
  </si>
  <si>
    <t>دکل مخابرات توسعه فولاد (362)</t>
  </si>
  <si>
    <t>کانتینر آی تی توسعه فولاد (362)</t>
  </si>
  <si>
    <t>ابوذر اکبری</t>
  </si>
  <si>
    <t>مهرفام سپاهان</t>
  </si>
  <si>
    <t>ارسال جهت تعمیر1404/05/20</t>
  </si>
  <si>
    <t>امین کیانی</t>
  </si>
  <si>
    <t>فرخ داوری</t>
  </si>
  <si>
    <t>حجت الله رئیسی</t>
  </si>
  <si>
    <t>کارشناس دفتر فنی پایپینگ</t>
  </si>
  <si>
    <t>سرپرست دفتر فنی مکانیک</t>
  </si>
  <si>
    <t>کارشناس دفتر فنی ابزار دقیق</t>
  </si>
  <si>
    <t>اتاق  دفتر فنی پایپینگ توسعه فولاد (362)</t>
  </si>
  <si>
    <t>GG23C3</t>
  </si>
  <si>
    <r>
      <t xml:space="preserve">کانکس مهندس طینتی </t>
    </r>
    <r>
      <rPr>
        <b/>
        <sz val="16"/>
        <color rgb="FFFF0000"/>
        <rFont val="B Nazanin"/>
        <charset val="178"/>
      </rPr>
      <t>(روناک)</t>
    </r>
  </si>
  <si>
    <r>
      <t xml:space="preserve">کانکس مهندس نصری </t>
    </r>
    <r>
      <rPr>
        <b/>
        <sz val="16"/>
        <color rgb="FFFF0000"/>
        <rFont val="B Nazanin"/>
        <charset val="178"/>
      </rPr>
      <t>(روناک)</t>
    </r>
  </si>
  <si>
    <r>
      <t xml:space="preserve">خوابگاه جدید </t>
    </r>
    <r>
      <rPr>
        <b/>
        <sz val="16"/>
        <color rgb="FFFF0000"/>
        <rFont val="B Nazanin"/>
        <charset val="178"/>
      </rPr>
      <t>(روناک)</t>
    </r>
  </si>
  <si>
    <r>
      <t xml:space="preserve">خوابگاه 2 طبقه </t>
    </r>
    <r>
      <rPr>
        <b/>
        <sz val="16"/>
        <color rgb="FFFF0000"/>
        <rFont val="B Nazanin"/>
        <charset val="178"/>
      </rPr>
      <t>(روناک)</t>
    </r>
  </si>
  <si>
    <r>
      <t xml:space="preserve">خوابگاه 2 طبقه </t>
    </r>
    <r>
      <rPr>
        <b/>
        <sz val="16"/>
        <color rgb="FFFF0000"/>
        <rFont val="B Nazanin"/>
        <charset val="178"/>
      </rPr>
      <t>(فکور)</t>
    </r>
  </si>
  <si>
    <t xml:space="preserve"> دفتر فنی ابزار دقیق توسعه فولاد (362)</t>
  </si>
  <si>
    <t>GG54C3</t>
  </si>
  <si>
    <t xml:space="preserve">608STFT25349 </t>
  </si>
  <si>
    <r>
      <t xml:space="preserve">کد اموال کنده شده </t>
    </r>
    <r>
      <rPr>
        <b/>
        <sz val="14"/>
        <color rgb="FFFF0000"/>
        <rFont val="Calibri Light"/>
        <family val="1"/>
        <scheme val="major"/>
      </rPr>
      <t>قبلی43000277</t>
    </r>
  </si>
  <si>
    <r>
      <t xml:space="preserve">کد اموال کنده شده </t>
    </r>
    <r>
      <rPr>
        <b/>
        <sz val="14"/>
        <color rgb="FFFF0000"/>
        <rFont val="Calibri Light"/>
        <family val="1"/>
        <scheme val="major"/>
      </rPr>
      <t>قبلی43000278</t>
    </r>
  </si>
  <si>
    <r>
      <t>راديو ميكروتك -</t>
    </r>
    <r>
      <rPr>
        <b/>
        <sz val="14"/>
        <rFont val="Calibri Light"/>
        <family val="1"/>
        <scheme val="major"/>
      </rPr>
      <t>SXT-5HPND</t>
    </r>
  </si>
  <si>
    <r>
      <t xml:space="preserve">روتر ميكرو تك </t>
    </r>
    <r>
      <rPr>
        <b/>
        <sz val="14"/>
        <rFont val="Calibri Light"/>
        <family val="1"/>
        <scheme val="major"/>
      </rPr>
      <t>RB951G-2HnD</t>
    </r>
  </si>
  <si>
    <r>
      <t xml:space="preserve">کیس </t>
    </r>
    <r>
      <rPr>
        <sz val="14"/>
        <color rgb="FF000000"/>
        <rFont val="Calibri Light"/>
        <family val="1"/>
        <scheme val="major"/>
      </rPr>
      <t>GREEN PARSA</t>
    </r>
  </si>
  <si>
    <r>
      <t>سوئیچ</t>
    </r>
    <r>
      <rPr>
        <b/>
        <sz val="12"/>
        <color theme="1"/>
        <rFont val="Calibri Light"/>
        <family val="1"/>
        <scheme val="major"/>
      </rPr>
      <t xml:space="preserve"> Cisco C2960S 48Port</t>
    </r>
  </si>
  <si>
    <t>NVR HIKVISION  DS7616NIK2</t>
  </si>
  <si>
    <r>
      <t>UPS FARATEL VENUS 1300</t>
    </r>
    <r>
      <rPr>
        <sz val="18"/>
        <color theme="1"/>
        <rFont val="Calibri Light"/>
        <family val="1"/>
        <scheme val="major"/>
      </rPr>
      <t xml:space="preserve"> </t>
    </r>
  </si>
  <si>
    <r>
      <t xml:space="preserve">رک دیواری </t>
    </r>
    <r>
      <rPr>
        <sz val="14"/>
        <color theme="1"/>
        <rFont val="Calibri Light"/>
        <family val="1"/>
        <scheme val="major"/>
      </rPr>
      <t xml:space="preserve">9 یونیت </t>
    </r>
  </si>
  <si>
    <r>
      <t xml:space="preserve">روتر </t>
    </r>
    <r>
      <rPr>
        <sz val="14"/>
        <color theme="1"/>
        <rFont val="Calibri Light"/>
        <family val="1"/>
        <scheme val="major"/>
      </rPr>
      <t>MIKROTIK RB2011UIAS-RM</t>
    </r>
  </si>
  <si>
    <r>
      <t xml:space="preserve">سوییچ </t>
    </r>
    <r>
      <rPr>
        <sz val="14"/>
        <color theme="1"/>
        <rFont val="Calibri Light"/>
        <family val="1"/>
        <scheme val="major"/>
      </rPr>
      <t>CISCO 2960 24 PORT</t>
    </r>
  </si>
  <si>
    <r>
      <t>LG 22" W2262TQ</t>
    </r>
    <r>
      <rPr>
        <b/>
        <u/>
        <sz val="14"/>
        <color rgb="FFFF0000"/>
        <rFont val="Calibri Light"/>
        <family val="1"/>
        <scheme val="major"/>
      </rPr>
      <t xml:space="preserve"> </t>
    </r>
  </si>
  <si>
    <r>
      <t>HP P2035</t>
    </r>
    <r>
      <rPr>
        <b/>
        <sz val="14"/>
        <color rgb="FFFF0000"/>
        <rFont val="Calibri Light"/>
        <family val="1"/>
        <scheme val="major"/>
      </rPr>
      <t xml:space="preserve"> (کد اموال ماشین سازی)</t>
    </r>
  </si>
  <si>
    <r>
      <t xml:space="preserve">مانیتور </t>
    </r>
    <r>
      <rPr>
        <b/>
        <sz val="12"/>
        <color rgb="FF000000"/>
        <rFont val="Calibri Light"/>
        <family val="1"/>
        <scheme val="major"/>
      </rPr>
      <t>lenovoL22i-40</t>
    </r>
  </si>
  <si>
    <r>
      <t xml:space="preserve">سيستم يكپارچه </t>
    </r>
    <r>
      <rPr>
        <b/>
        <sz val="12"/>
        <color rgb="FF000000"/>
        <rFont val="Calibri Light"/>
        <family val="1"/>
        <scheme val="major"/>
      </rPr>
      <t>ALL in one Lenovo</t>
    </r>
  </si>
  <si>
    <r>
      <t xml:space="preserve">تلفن پاناسونيك </t>
    </r>
    <r>
      <rPr>
        <b/>
        <sz val="14"/>
        <rFont val="Calibri Light"/>
        <family val="1"/>
        <scheme val="major"/>
      </rPr>
      <t xml:space="preserve">KX-DT </t>
    </r>
  </si>
  <si>
    <r>
      <t xml:space="preserve">تلفن پاناسونيك </t>
    </r>
    <r>
      <rPr>
        <b/>
        <sz val="14"/>
        <rFont val="Calibri Light"/>
        <family val="1"/>
        <scheme val="major"/>
      </rPr>
      <t xml:space="preserve">KX-2371 </t>
    </r>
  </si>
  <si>
    <r>
      <t xml:space="preserve">مانيتور </t>
    </r>
    <r>
      <rPr>
        <b/>
        <sz val="12"/>
        <color rgb="FF000000"/>
        <rFont val="Calibri Light"/>
        <family val="1"/>
        <scheme val="major"/>
      </rPr>
      <t xml:space="preserve">LG </t>
    </r>
  </si>
  <si>
    <r>
      <t>راديو ميكروتك -</t>
    </r>
    <r>
      <rPr>
        <sz val="11"/>
        <color theme="1"/>
        <rFont val="Calibri Light"/>
        <family val="1"/>
        <scheme val="major"/>
      </rPr>
      <t>SXT-5HPND</t>
    </r>
  </si>
  <si>
    <r>
      <t xml:space="preserve">انبار </t>
    </r>
    <r>
      <rPr>
        <b/>
        <sz val="14"/>
        <color rgb="FFFF0000"/>
        <rFont val="Calibri Light"/>
        <family val="1"/>
        <scheme val="major"/>
      </rPr>
      <t>Coil</t>
    </r>
    <r>
      <rPr>
        <b/>
        <sz val="14"/>
        <rFont val="Calibri Light"/>
        <family val="1"/>
        <scheme val="major"/>
      </rPr>
      <t xml:space="preserve"> توسعه فولاد (362)</t>
    </r>
  </si>
  <si>
    <t>پیگیری</t>
  </si>
  <si>
    <t>GG10C3</t>
  </si>
  <si>
    <t>9C0B450PAO0419B</t>
  </si>
  <si>
    <t>Dahua DH-IPC-HFW2831TP</t>
  </si>
  <si>
    <t>دفترDCC نظارت توسعه فولاد (362)</t>
  </si>
  <si>
    <t>HP DL380 GEN 9</t>
  </si>
  <si>
    <t>MXQ62409N2</t>
  </si>
  <si>
    <t>انبار کویل</t>
  </si>
  <si>
    <t>انبارکویل توسعه فولاد (362)</t>
  </si>
  <si>
    <t>GG206C3</t>
  </si>
  <si>
    <t>انبار توسعه توسعه فولاد (362)</t>
  </si>
  <si>
    <t>GG44C74</t>
  </si>
  <si>
    <t>دفتردار مدیریت سایت مرکز تحقیقات (438)</t>
  </si>
  <si>
    <t>اتاق Meeting Room فولاد بردسیر (461)</t>
  </si>
  <si>
    <t>پشت بام اتاق Meeting Room فولاد بردسیر(461)</t>
  </si>
  <si>
    <t>دکل اصلی فولاد بردسیر(461)</t>
  </si>
  <si>
    <t>HD7088HZFGA</t>
  </si>
  <si>
    <t>BS57C74</t>
  </si>
  <si>
    <t>مسئول دفتر مدیر سایت فولاد بردسیر (461)</t>
  </si>
  <si>
    <t>انبار آی تی  فولاد بردسیر (461)</t>
  </si>
  <si>
    <t>ارسال به تهران جهت تعمیر - 1404/05/25</t>
  </si>
  <si>
    <t>1404/02/30</t>
  </si>
  <si>
    <t>اتاق کنفرانس مشاور توسعه فولاد (362)</t>
  </si>
  <si>
    <t>انبار آی تی سایت مرکز تحقیقات(438)</t>
  </si>
  <si>
    <t>PXN16110950</t>
  </si>
  <si>
    <t>انبار رو باز سایت خرامه(392)</t>
  </si>
  <si>
    <t>DS-2CD2T83G2-4I</t>
  </si>
  <si>
    <t>20230329AAWRL48198763</t>
  </si>
  <si>
    <t>20240119AAWRAZ7948282</t>
  </si>
  <si>
    <t>20240119AAWRAZ7948416</t>
  </si>
  <si>
    <t>20230329AAWRL48199532</t>
  </si>
  <si>
    <t>20240103AAWRAZ0215537</t>
  </si>
  <si>
    <t>20240103AAWRAZ0215438</t>
  </si>
  <si>
    <t>20240119AAWRAZ7948430</t>
  </si>
  <si>
    <t>20230302AAWRL36321934</t>
  </si>
  <si>
    <t>20240103AAWRAZ0215350</t>
  </si>
  <si>
    <t>20230329AAWRL48199639</t>
  </si>
  <si>
    <t>EDCA0E391BCB</t>
  </si>
  <si>
    <t>EDCA0EC7B168</t>
  </si>
  <si>
    <t>SXTsq5nD</t>
  </si>
  <si>
    <t>ارسال به تهران جهت تعمیر - 1404/05/27</t>
  </si>
  <si>
    <t>ارسال به تهران جهت تعمیر و داغی شده</t>
  </si>
  <si>
    <t xml:space="preserve">سوختن مادربرد و غیر قابل تعمیر بودن </t>
  </si>
  <si>
    <t>حسین جامی</t>
  </si>
  <si>
    <t>ارکان تدبیر صنایع</t>
  </si>
  <si>
    <t>نظارت هماتیت مگنتیک فولاد سنگان ( 456 )</t>
  </si>
  <si>
    <t>C58</t>
  </si>
  <si>
    <t>GV3C58</t>
  </si>
  <si>
    <t>ارسال به تهران جهت تعمیر - 1404/06/05</t>
  </si>
  <si>
    <t>فولاد بردسیر</t>
  </si>
  <si>
    <t>علی مظفری</t>
  </si>
  <si>
    <t>GV1C58</t>
  </si>
  <si>
    <t>PHCVT32541</t>
  </si>
  <si>
    <t>PHCVT16612</t>
  </si>
  <si>
    <t>PHCVT02779</t>
  </si>
  <si>
    <t>Laserjet Pro M706n</t>
  </si>
  <si>
    <t>CNBRS2F33Y</t>
  </si>
  <si>
    <t>CISCO 2960</t>
  </si>
  <si>
    <t>FOC1715WL7</t>
  </si>
  <si>
    <t>2911/K9</t>
  </si>
  <si>
    <t>Lojitech</t>
  </si>
  <si>
    <t>ColorLaserJet CP5225dn</t>
  </si>
  <si>
    <t>CNGRS6J2TC</t>
  </si>
  <si>
    <t>PXN16330HLA</t>
  </si>
  <si>
    <t>PXN1528W327</t>
  </si>
  <si>
    <t>PUC173810KH</t>
  </si>
  <si>
    <t>PXN1527V5ND</t>
  </si>
  <si>
    <t>PUC174401C4</t>
  </si>
  <si>
    <t>PXN1528VTC3</t>
  </si>
  <si>
    <t>PXN1528VSSN</t>
  </si>
  <si>
    <t>PUC1738159Q</t>
  </si>
  <si>
    <t>PUC17381ZL</t>
  </si>
  <si>
    <t>PUC1744005E</t>
  </si>
  <si>
    <t>5MWSH9DX902088</t>
  </si>
  <si>
    <t>5MWSH9DX902666</t>
  </si>
  <si>
    <t>5MWSH9DX902313</t>
  </si>
  <si>
    <t>5MWSH9DX901200</t>
  </si>
  <si>
    <t>5MWSH9DX903204</t>
  </si>
  <si>
    <t>5MWSH9DX902915</t>
  </si>
  <si>
    <t>5MWSH9DXA00282</t>
  </si>
  <si>
    <t>5MWSH9DX902914</t>
  </si>
  <si>
    <t>5MWSH9DX101815</t>
  </si>
  <si>
    <t>GREEN</t>
  </si>
  <si>
    <t>Canon</t>
  </si>
  <si>
    <t>KL406487</t>
  </si>
  <si>
    <t>رک شبکه</t>
  </si>
  <si>
    <t xml:space="preserve"> 42 یونیت</t>
  </si>
  <si>
    <t>-</t>
  </si>
  <si>
    <t>GV2C58</t>
  </si>
  <si>
    <t xml:space="preserve"> SAMSUNG S22C310EAM</t>
  </si>
  <si>
    <t>5MWSH9DX903218Z</t>
  </si>
  <si>
    <t>انبار آی تی شرکت صنعتی معدنی گیورد (527)</t>
  </si>
  <si>
    <t>کارفرما شرکت صنعتی معدنی گیورد (527)</t>
  </si>
  <si>
    <t xml:space="preserve">سجاد علیائی </t>
  </si>
  <si>
    <t>سجاد علیائی</t>
  </si>
  <si>
    <t>5E9A08E294E2</t>
  </si>
  <si>
    <t>931A0A9CC90A</t>
  </si>
  <si>
    <t>HE408JZA02P</t>
  </si>
  <si>
    <t>GG198C3</t>
  </si>
  <si>
    <t>یاسر غضنفری</t>
  </si>
  <si>
    <t>حمید نادری</t>
  </si>
  <si>
    <t>حمید اسدی</t>
  </si>
  <si>
    <t>جاوید زارع</t>
  </si>
  <si>
    <t>گهر فرزانگان خرامه</t>
  </si>
  <si>
    <t>نظارت سایت خرامه( 392 )</t>
  </si>
  <si>
    <t>محمد رحیم ایزدی</t>
  </si>
  <si>
    <t>czc526tfws</t>
  </si>
  <si>
    <t>czc536tk7l</t>
  </si>
  <si>
    <t xml:space="preserve">تلويزيون STAR TRAK ST50K-LG1200 </t>
  </si>
  <si>
    <t>تلويزيون 55 اینچ جی پلاس</t>
  </si>
  <si>
    <t>تلويزيون 65 اینچ جی پلاس</t>
  </si>
  <si>
    <t>تلويزيون G-PLUS GTV-50RQ752S</t>
  </si>
  <si>
    <t>تلويزيون G-PLUS GTV-65RQ754N</t>
  </si>
  <si>
    <t xml:space="preserve">تلويزيون 49LH51300GI </t>
  </si>
  <si>
    <t xml:space="preserve"> تلويزيون سامسونگ "55</t>
  </si>
  <si>
    <t>تلويزيون 85 اینچ جی پلاس RQ846</t>
  </si>
  <si>
    <t>تلويزيون 55 اینچ سام</t>
  </si>
  <si>
    <t>تلويزيون 65 اینچ جی پلاس RQ756</t>
  </si>
  <si>
    <t>تلويزيون 55 اینچ جی پلاس RQ756</t>
  </si>
  <si>
    <t>تلويزيون 75 اینچ جی پلاس RQ836</t>
  </si>
  <si>
    <t>تلويزيون Pars 32" P32H280-H11</t>
  </si>
  <si>
    <t>تلويزيون دوو 43 اینچ</t>
  </si>
  <si>
    <t>تلويزيون GPLUS</t>
  </si>
  <si>
    <t>تلويزيون سامسونگ</t>
  </si>
  <si>
    <t>تلويزيون ال جی "43</t>
  </si>
  <si>
    <t xml:space="preserve">تلويزيون </t>
  </si>
  <si>
    <t xml:space="preserve"> CISCO CP-6941</t>
  </si>
  <si>
    <t>وب کم MICROSOFT 1425</t>
  </si>
  <si>
    <t>وب کم LOGITECH C270</t>
  </si>
  <si>
    <t>کانکس حراست خوابگاه کارگری توسعه فولاد (362)</t>
  </si>
  <si>
    <t>فرزاد محبی فر</t>
  </si>
  <si>
    <t>گهر کوشان سپهر</t>
  </si>
  <si>
    <t>GV5C58</t>
  </si>
  <si>
    <t>AN527</t>
  </si>
  <si>
    <t>نجمه کارگر</t>
  </si>
  <si>
    <t>شرکت صنعتی معدنی گیورد (527)</t>
  </si>
  <si>
    <t>GV6C58</t>
  </si>
  <si>
    <t>TH23C29</t>
  </si>
  <si>
    <t>کانکس آی تی انبار منطقه ای سیرجان</t>
  </si>
  <si>
    <t>رضا کاظمیمدیر برسو</t>
  </si>
  <si>
    <t>حراست آهن اسفنجی بردسیر (461)</t>
  </si>
  <si>
    <t>BS59C74</t>
  </si>
  <si>
    <t>کانکس مانیتورینگ حراست فولاد بردسیر (461)</t>
  </si>
  <si>
    <t>مهدی رئیسی</t>
  </si>
  <si>
    <t>فراتحقیق سپاهان   </t>
  </si>
  <si>
    <t>نظارت کارخانه گندله سازی شرکت صنعتی معدنی گیورد(527)</t>
  </si>
  <si>
    <t>C60</t>
  </si>
  <si>
    <t>GV2C60</t>
  </si>
  <si>
    <t>FF4046692</t>
  </si>
  <si>
    <t>1404/06/29</t>
  </si>
  <si>
    <t>انبار آی تی خرامه</t>
  </si>
  <si>
    <t>حمید یوسفی سیاهرودی</t>
  </si>
  <si>
    <t>کد قبلی 43001421-به آقای حمید یوسفی سیاهرودی (مدیر سایت) تحویل شد. موجود در رک اتاق سرور NVR</t>
  </si>
  <si>
    <t>تلویزیون</t>
  </si>
  <si>
    <t>GTV-65SU788N</t>
  </si>
  <si>
    <t>508STBX10447</t>
  </si>
  <si>
    <t>508STXW10376</t>
  </si>
  <si>
    <t>GTV-75SU868S</t>
  </si>
  <si>
    <t>506STRT19105</t>
  </si>
  <si>
    <t>GV1C60</t>
  </si>
  <si>
    <t>ارسال به سیرجان جهت تعمیر(مستر کپی) - 1404/06/29</t>
  </si>
  <si>
    <t>امید زینلی</t>
  </si>
  <si>
    <t>GV7C58</t>
  </si>
  <si>
    <t>GG23C12</t>
  </si>
  <si>
    <t>GG24C12</t>
  </si>
  <si>
    <t>GG26C12</t>
  </si>
  <si>
    <t>GG25C12</t>
  </si>
  <si>
    <t>GG223C12</t>
  </si>
  <si>
    <t>پولپیت3 ESP توسعه فولاد (362)</t>
  </si>
  <si>
    <t>صادق قاسمی روشن</t>
  </si>
  <si>
    <t xml:space="preserve">کیهان اسکندری </t>
  </si>
  <si>
    <t>GV4C58</t>
  </si>
  <si>
    <t>اتاق کنترل پروژه توسعه فولاد(362)</t>
  </si>
  <si>
    <t>1404/06/11</t>
  </si>
  <si>
    <t>به کارفرما فروخته شد</t>
  </si>
  <si>
    <t>مینی پی سی</t>
  </si>
  <si>
    <t>MINI PC INTEL 13WDH 16 GB SSD 500</t>
  </si>
  <si>
    <t>S2MRCG003794CFD</t>
  </si>
  <si>
    <t>UNIVO UR1K8</t>
  </si>
  <si>
    <t>UR1K8I38145UFL8518</t>
  </si>
  <si>
    <t>سایت آهک توسعه فولاد (362)</t>
  </si>
  <si>
    <t>علی مکیان زاده</t>
  </si>
  <si>
    <t>دوربین تشخیص چهره</t>
  </si>
  <si>
    <t>HOLOWITS Camera  HWT-D3252-10-SIU</t>
  </si>
  <si>
    <t>9S23A0006845</t>
  </si>
  <si>
    <t>0WLYHNAY301592</t>
  </si>
  <si>
    <t>0WLYHNAY100024</t>
  </si>
  <si>
    <t>0WLYHNAY100276</t>
  </si>
  <si>
    <t>مانیتور سامسونگ</t>
  </si>
  <si>
    <t>CNCRS9K6KV</t>
  </si>
  <si>
    <t>CNCRS9K6J9</t>
  </si>
  <si>
    <t>HP 4103 dw</t>
  </si>
  <si>
    <t>M.B B660</t>
  </si>
  <si>
    <t>SAMSUNG 22" S22D3006GAM</t>
  </si>
  <si>
    <t>رادیو ميكروتيك</t>
  </si>
  <si>
    <t>اتاق برق و ابزار دقیق خرامه (392)</t>
  </si>
  <si>
    <t>210235C4NS3233000398</t>
  </si>
  <si>
    <t>210235C4NS3233000378</t>
  </si>
  <si>
    <t>210235C4NS3233000394</t>
  </si>
  <si>
    <t>LHG5XL</t>
  </si>
  <si>
    <t>نصب در اتاق کنترل بچینگ سایت هماتیت فولاد سنگان(456)</t>
  </si>
  <si>
    <t>نصب روی سیلو سیمان بچینگ سایت هماتیت فولاد سنگان(456)</t>
  </si>
  <si>
    <t>نصب روی دکل اصلی سایت هماتیت فولاد سنگان(456)</t>
  </si>
  <si>
    <t>انیار آی تی سایت هماتیت فولاد سنگان(456)</t>
  </si>
  <si>
    <t>UNV  IPC2328SB-DZK-I0</t>
  </si>
  <si>
    <t>HRUI HR-SWG2082NS</t>
  </si>
  <si>
    <t>9523374M8F4W0141</t>
  </si>
  <si>
    <t>9523374M8F4W0142</t>
  </si>
  <si>
    <t>9523374M8F4W0140</t>
  </si>
  <si>
    <t>FOC1618V173</t>
  </si>
  <si>
    <t>FOC1635Y3DA</t>
  </si>
  <si>
    <t>CISCO Catalyst 3560 series PoE-8</t>
  </si>
  <si>
    <t>9523374M8F4W0143</t>
  </si>
  <si>
    <t>CISCO Catalyst 3560 Series PoE-8</t>
  </si>
  <si>
    <t>FOC1237U1RT</t>
  </si>
  <si>
    <t>کانکس اجرا توسعه فولاد(362)</t>
  </si>
  <si>
    <t xml:space="preserve"> M.B  B660 I5</t>
  </si>
  <si>
    <t>Samsung S22D300GAM</t>
  </si>
  <si>
    <t>SN26C90</t>
  </si>
  <si>
    <t>OWLYHNAY301502T</t>
  </si>
  <si>
    <t>مسعود باب الحوائجی</t>
  </si>
  <si>
    <t>SN27C90</t>
  </si>
  <si>
    <t>حامد ناصر</t>
  </si>
  <si>
    <t xml:space="preserve"> دفتر فنی مکانیک توسعه فولاد(362)</t>
  </si>
  <si>
    <t>مهدی مقدری</t>
  </si>
  <si>
    <t>631728 </t>
  </si>
  <si>
    <t>Lojitech C920</t>
  </si>
  <si>
    <t>625033 </t>
  </si>
  <si>
    <t>Lojitech 925</t>
  </si>
  <si>
    <t>631444 </t>
  </si>
  <si>
    <t>625040 </t>
  </si>
  <si>
    <t>Lojitech 1015</t>
  </si>
  <si>
    <t>633598 </t>
  </si>
  <si>
    <t>ارسال به سیرجان جهت تعمیر(مستر کپی) - 1404/07/22</t>
  </si>
  <si>
    <t>کانکس ایمنی سایت مرکز تحقیقات (438)</t>
  </si>
  <si>
    <t>سعید اسلامی</t>
  </si>
  <si>
    <t>توسعه فولاد</t>
  </si>
  <si>
    <t>حراست توسعه فولاد (362)</t>
  </si>
  <si>
    <t>Dahoa DH-IPC-HFW2849T-AS-IL</t>
  </si>
  <si>
    <t>9M065E5PAG7849B</t>
  </si>
  <si>
    <t>9M065E5PAG9C256</t>
  </si>
  <si>
    <t>9M065E5PAG7D1EC</t>
  </si>
  <si>
    <t>9M065E5PAG0C2C6</t>
  </si>
  <si>
    <t>9M065E5PAGD47F9</t>
  </si>
  <si>
    <t>9M065E5PAG18EA7</t>
  </si>
  <si>
    <t>9M065E5PAG631AD</t>
  </si>
  <si>
    <t>9M0DA85PAG223AC</t>
  </si>
  <si>
    <t>9M065E5PAG3E5FC</t>
  </si>
  <si>
    <t>9M0DA85PAGDA2DD</t>
  </si>
  <si>
    <t>9M065E5PAG4FB7A</t>
  </si>
  <si>
    <t>9M0DA85PAG8B9C4</t>
  </si>
  <si>
    <t>9M065E5PAG1ED7F</t>
  </si>
  <si>
    <t>9M0DA85PAG51296</t>
  </si>
  <si>
    <t>9M0DA85PAG1F8E9</t>
  </si>
  <si>
    <t>9M0DA85PAG3E4E0</t>
  </si>
  <si>
    <t>9M065E5PAG74D78</t>
  </si>
  <si>
    <t>9M065E5PAG2F136</t>
  </si>
  <si>
    <t>9M065E5PAG88C92</t>
  </si>
  <si>
    <t>9M065E5PAG75141</t>
  </si>
  <si>
    <t>9M065E5PAGB41F6</t>
  </si>
  <si>
    <t>9M065E5PAGB322</t>
  </si>
  <si>
    <t>9M065E5PAG1153D</t>
  </si>
  <si>
    <t>9M0DA85PAG2BAE7</t>
  </si>
  <si>
    <t>9M065E5PAG98252</t>
  </si>
  <si>
    <t>9M065E5PAG1C62E</t>
  </si>
  <si>
    <t>9M065E5PAG83922</t>
  </si>
  <si>
    <t>9M065E5PAGB6671</t>
  </si>
  <si>
    <t>9M065E5PAG40023</t>
  </si>
  <si>
    <t>9M0DA85PAG55C36</t>
  </si>
  <si>
    <t>9M065E5PAG86C40</t>
  </si>
  <si>
    <t>9M0DA85PAG1B0AD</t>
  </si>
  <si>
    <t>GG220C3</t>
  </si>
  <si>
    <t>شرکت نگین تیان پارس توسعه فولاد (362)</t>
  </si>
  <si>
    <t>وحید فرجی</t>
  </si>
  <si>
    <t>احسان یارمحمدی</t>
  </si>
  <si>
    <t>ایمنی کارفرما</t>
  </si>
  <si>
    <t>کارفرما گندله سازی شرکت صنعتی معدنی گیورد(527)</t>
  </si>
  <si>
    <t>GXJ80267</t>
  </si>
  <si>
    <t>HP Laserjet Pro MFP M26nw</t>
  </si>
  <si>
    <t>CNBKK8W17X</t>
  </si>
  <si>
    <t>برد هوشمند</t>
  </si>
  <si>
    <t>GSB-752ME</t>
  </si>
  <si>
    <t>412KBPL00003</t>
  </si>
  <si>
    <t>کپ</t>
  </si>
  <si>
    <t>CAP-XL-ac</t>
  </si>
  <si>
    <t>HCS088G817T</t>
  </si>
  <si>
    <t>HCV082EBG7Y</t>
  </si>
  <si>
    <t>HH50A5KGJCQ</t>
  </si>
  <si>
    <t>سالن کنفرانس کارخانه گندله سازی شرکت صنعتی معدنی گیورد (527)</t>
  </si>
  <si>
    <t>دفتر مدیریت سایت کارخانه گندله سازی شرکت صنعتی معدنی گیورد (527)</t>
  </si>
  <si>
    <t>دفتر مدیریت پروژه کارخانه گندله سازی شرکت صنعتی معدنی گیورد (527)</t>
  </si>
  <si>
    <t>احسان زیبایی</t>
  </si>
  <si>
    <t>GV8C58</t>
  </si>
  <si>
    <t>0682392911</t>
  </si>
  <si>
    <t>GV9C58</t>
  </si>
  <si>
    <t>سایت آهک توسعه فولاد(362)</t>
  </si>
  <si>
    <t>9S23A0006530</t>
  </si>
  <si>
    <t>9S23A0006889</t>
  </si>
  <si>
    <t xml:space="preserve">فاقد کداموال </t>
  </si>
  <si>
    <t xml:space="preserve"> AI HOLOWITS-D3252</t>
  </si>
  <si>
    <t>AI HOLOWITS-D3252</t>
  </si>
  <si>
    <t xml:space="preserve"> LHG5</t>
  </si>
  <si>
    <t>نصب در کانکس حراست شرقی فولاد بردسیر (461)</t>
  </si>
  <si>
    <t>نصب در کمپ کارگری فولاد بردسیر (461)</t>
  </si>
  <si>
    <t>GG221C3</t>
  </si>
  <si>
    <t>ساختمان ایمنی (دفتر پرمیت راه اندار) توسعه فولاد (362)</t>
  </si>
  <si>
    <t>شاهین طاهری</t>
  </si>
  <si>
    <t>5279697206</t>
  </si>
  <si>
    <t>GG222C3</t>
  </si>
  <si>
    <t>کیس قبلی باسکول</t>
  </si>
  <si>
    <t>HP LaserJet Pro MFP M127fs</t>
  </si>
  <si>
    <t xml:space="preserve"> Sharp AR-2120j (Copy)</t>
  </si>
  <si>
    <t xml:space="preserve">HP Deskjet 7000w </t>
  </si>
  <si>
    <t>TOSHIBA e-STUDIO 2006 (Copy)</t>
  </si>
  <si>
    <t>SHARP AR-X202</t>
  </si>
  <si>
    <t>HP LaserJet Pro MFP M426fdw</t>
  </si>
  <si>
    <t>Toshiba E-studio 2309A (Copy)</t>
  </si>
  <si>
    <t>HP LaserJet P2035</t>
  </si>
  <si>
    <t>باسکول خرامه (392)</t>
  </si>
  <si>
    <t>SHARP AR-1118 (Copy)</t>
  </si>
  <si>
    <t>LaserJet Professional CP5225dn</t>
  </si>
  <si>
    <t>HP LaserJet Pro MFP M428dw</t>
  </si>
  <si>
    <t>HP LaserJet MFP M436dn</t>
  </si>
  <si>
    <t>HP LaserJet Pro MFP M26a</t>
  </si>
  <si>
    <t>HP LaserJet M1132 MFP</t>
  </si>
  <si>
    <t>TOSHIBA e-STUDIO 2309A (Copy)</t>
  </si>
  <si>
    <t>B560</t>
  </si>
  <si>
    <t xml:space="preserve">i5 </t>
  </si>
  <si>
    <t>Laserjet Pro M501dn</t>
  </si>
  <si>
    <t>به صورت موقت به محسن براتی در بردسیر  تحویل گردید</t>
  </si>
  <si>
    <t>HOLOWITS HWT-D2152-10-SIU</t>
  </si>
  <si>
    <t xml:space="preserve">21024137159SP2000148Y </t>
  </si>
  <si>
    <t>NTLA699105</t>
  </si>
  <si>
    <t>Canon imageCLASS LBP6030</t>
  </si>
  <si>
    <t>اسماعیل زیدآبادی نژاد</t>
  </si>
  <si>
    <t>حراست انبار منطقه ای سیرجان</t>
  </si>
  <si>
    <t>سرپرست پشتیبانی سایت,مسئول انتظامات</t>
  </si>
  <si>
    <t>محمود سلطانی</t>
  </si>
  <si>
    <t>مدیریت سایت</t>
  </si>
  <si>
    <t>کنسانتره تربت حیدریه(476)</t>
  </si>
  <si>
    <t>مهدی صلابتی</t>
  </si>
  <si>
    <t>گهر كوشان سپهر</t>
  </si>
  <si>
    <t>کارشناس برنامه ریزی و کنترل پروژه</t>
  </si>
  <si>
    <t>0690574010</t>
  </si>
  <si>
    <t>HP LaserJet Pro M404n</t>
  </si>
  <si>
    <t>PHFDC00962</t>
  </si>
  <si>
    <t>اموال ماشین سازی</t>
  </si>
  <si>
    <t>Uface202</t>
  </si>
  <si>
    <t>3574203403000</t>
  </si>
  <si>
    <t>فضل اله پیش باره</t>
  </si>
  <si>
    <t>0740168878</t>
  </si>
  <si>
    <t>SN29C90</t>
  </si>
  <si>
    <t>0WLYHNAY100060P</t>
  </si>
  <si>
    <t>مهدی طحان</t>
  </si>
  <si>
    <t>دفتر حراست تربت حیدریه (439)</t>
  </si>
  <si>
    <t>Asus 22"</t>
  </si>
  <si>
    <t>KL407136</t>
  </si>
  <si>
    <t>Scanner Canon  DR-M160II</t>
  </si>
  <si>
    <t>برگشت از تعمیر 1404/08/12</t>
  </si>
  <si>
    <t xml:space="preserve">تاریخ  ارسال به تهران 1404/08/10 </t>
  </si>
  <si>
    <t>ارسال به تهران جهت هدیه به خیریه</t>
  </si>
  <si>
    <t>تاریخ هدیه 1404/8/10</t>
  </si>
  <si>
    <t>کاظم برز گری</t>
  </si>
  <si>
    <t>کانکس حراست کمپ کارگری فولاد بردسیر(461)</t>
  </si>
  <si>
    <t>BS60C74</t>
  </si>
  <si>
    <t>کارشناس نظارت سیویل و معماری</t>
  </si>
  <si>
    <t>دفتر فنی سیویل گیورد(527)</t>
  </si>
  <si>
    <t>GV10C58</t>
  </si>
  <si>
    <t>OWLYHNAY500795R</t>
  </si>
  <si>
    <t>OWLYHNAY500753D</t>
  </si>
  <si>
    <t>OWLYHNAY500810Y</t>
  </si>
  <si>
    <t>OWLYHNAY500787T</t>
  </si>
  <si>
    <t>OWLYHNAY500821A</t>
  </si>
  <si>
    <t>علیرضا علیائی</t>
  </si>
  <si>
    <t>2520076755</t>
  </si>
  <si>
    <t xml:space="preserve"> هماتیت فولاد سنگان(456)</t>
  </si>
  <si>
    <t>پرسنل دفتر تهران هماتیت فولاد سنگان(456)</t>
  </si>
  <si>
    <t>حسین جمالپور</t>
  </si>
  <si>
    <t>پیمانکاری جمالپور هماتیت فولاد سنگان (456)</t>
  </si>
  <si>
    <t>پیمانکاری جمالپور هماتیت فولاد سنگان(456)</t>
  </si>
  <si>
    <t>پیمانکاری جمالپور</t>
  </si>
  <si>
    <t>سالن جلسات پروژه مس جانجا (483)</t>
  </si>
  <si>
    <t>حراست تربت حیدریه (439)</t>
  </si>
  <si>
    <t>کیس گرین Oraman</t>
  </si>
  <si>
    <t>ژاله نادری</t>
  </si>
  <si>
    <t>مانیتور  VP228 Asus 22”</t>
  </si>
  <si>
    <t>14265143a01441</t>
  </si>
  <si>
    <t>دفتر مدیر پروژه توسععه فولاد سیرجان (362)</t>
  </si>
  <si>
    <t>logitech MeetUp Video Conferencing</t>
  </si>
  <si>
    <t>2223LZ50Q0Q9</t>
  </si>
  <si>
    <t xml:space="preserve">گیرنده و فرستنده HDMI </t>
  </si>
  <si>
    <t>Q5TX-R1RX</t>
  </si>
  <si>
    <t>Q520250910105</t>
  </si>
  <si>
    <t>قادر وزیری</t>
  </si>
  <si>
    <t>2452175129</t>
  </si>
  <si>
    <t>GG104C3</t>
  </si>
  <si>
    <t>حراست سایت گندله سازی خرامه (392)</t>
  </si>
  <si>
    <t>1733NW</t>
  </si>
  <si>
    <t>1733NW.H9MP5.034831</t>
  </si>
  <si>
    <t>HPP1102</t>
  </si>
  <si>
    <t>VNF5B75780</t>
  </si>
  <si>
    <t xml:space="preserve">گرین  i5  </t>
  </si>
  <si>
    <t>انبار سایت گندله سازی خرامه (392)</t>
  </si>
  <si>
    <t>نمایشگر باسکول</t>
  </si>
  <si>
    <t>سامسونگ S22A330NHM</t>
  </si>
  <si>
    <t>4L26H7BRA01456L</t>
  </si>
  <si>
    <t>فراسودقت مدل آلفا 11</t>
  </si>
  <si>
    <t>قبلا مستقر در ماشین سازی و فاقد کد اموال</t>
  </si>
  <si>
    <t>سایت کنسانتره آهن تربت حیدریه (476)</t>
  </si>
  <si>
    <t>دیش</t>
  </si>
  <si>
    <t>دیش آنتن وایرلس فاز مدل CD-5G30D</t>
  </si>
  <si>
    <t>CD360D741F76/051/R2</t>
  </si>
  <si>
    <t>رادیو وایرلس میکروتیک NetMetal 5SHP</t>
  </si>
  <si>
    <t>خریداری شده از شرکت ماشین سازی ویژه</t>
  </si>
  <si>
    <t xml:space="preserve"> پروژه مس جانجا (483)</t>
  </si>
  <si>
    <t>1379208513</t>
  </si>
  <si>
    <t>اتاق سرپرست نظارت و اجرا پروژ جاجنجا (483)</t>
  </si>
  <si>
    <t>اتاق سرپرست نظارت و اجرا پروژه جانجا (348)</t>
  </si>
  <si>
    <t xml:space="preserve">مانیتورLENOVOL22I-30 </t>
  </si>
  <si>
    <t>U563BM8G</t>
  </si>
  <si>
    <t xml:space="preserve">کیسi5 </t>
  </si>
  <si>
    <t>JJ22C106</t>
  </si>
  <si>
    <t>JJ23C106</t>
  </si>
  <si>
    <t>ایمنی پروژه جانجا (483)</t>
  </si>
  <si>
    <t xml:space="preserve">GTV-65SU788Nتلویزیون </t>
  </si>
  <si>
    <t>منصور عبدالهی</t>
  </si>
  <si>
    <t>1970889632</t>
  </si>
  <si>
    <t>GG107C3</t>
  </si>
  <si>
    <t>گرین i5</t>
  </si>
  <si>
    <t>حمزه اکبری</t>
  </si>
  <si>
    <t>ساختمان HSE توسعه فولاد (362)</t>
  </si>
  <si>
    <t>Mini PC  Asus-PN40</t>
  </si>
  <si>
    <t>M7MSCG00E320MNF</t>
  </si>
  <si>
    <t>تلویزیون جی پلاس "43</t>
  </si>
  <si>
    <t>102STFN15066</t>
  </si>
  <si>
    <t>اموال ماشین سازی بوده است</t>
  </si>
  <si>
    <t>غلامرضا دیندارلو</t>
  </si>
  <si>
    <t>2529369054</t>
  </si>
  <si>
    <t>به انبار 4 هکتاری توسعه فولاد منتقل شد</t>
  </si>
  <si>
    <t>دیش ۳۰</t>
  </si>
  <si>
    <t>رادیو نتمتال</t>
  </si>
  <si>
    <t>ویپ تلفن</t>
  </si>
  <si>
    <t>تاریخ اختتام1404/08/17</t>
  </si>
  <si>
    <t xml:space="preserve">تحویل حمید جهانشاهی (پرسنل گهر روش با کد پرسنلی 13017 ) </t>
  </si>
  <si>
    <t>کسری جعفری</t>
  </si>
  <si>
    <t>5349855523</t>
  </si>
  <si>
    <t>گیورد(527)</t>
  </si>
  <si>
    <t>گندله سازی گیورد(527)</t>
  </si>
  <si>
    <t>GV3C60</t>
  </si>
  <si>
    <t>سامسونگ  S22D300</t>
  </si>
  <si>
    <t>0WLYHNAY702952N</t>
  </si>
  <si>
    <t>دفتر فنی مکانیک توسعه فولاد (362)</t>
  </si>
  <si>
    <t>کانکس منبع آب توسعه فولاد (362)</t>
  </si>
  <si>
    <t xml:space="preserve">UPS </t>
  </si>
  <si>
    <t>Z1C018090075</t>
  </si>
  <si>
    <t>GTEC</t>
  </si>
  <si>
    <t>به فنی و حرفه ای بردسیر تحویل داده شد</t>
  </si>
  <si>
    <t xml:space="preserve">01/09/1404 تاریخ اهدا </t>
  </si>
  <si>
    <t>انتقال به فنی و حرفه ای بردسیر</t>
  </si>
  <si>
    <t>انقال به فنی و حرفه ای بردسیر</t>
  </si>
  <si>
    <t>فرزاد زیرک</t>
  </si>
  <si>
    <t>0760495408</t>
  </si>
  <si>
    <t>انبار پروژه هماتیت سنگان (456)</t>
  </si>
  <si>
    <t>SN31C90</t>
  </si>
  <si>
    <t>SAMSUNG22S22D300GAM</t>
  </si>
  <si>
    <t>OWLYHNAY500815F</t>
  </si>
  <si>
    <t>MT13C50</t>
  </si>
  <si>
    <t>دفتر برق و ابزار دقیق سایت مرکز تحقیقات (438)</t>
  </si>
  <si>
    <t>انبار کنار دکل توسعه فولاد (362)</t>
  </si>
  <si>
    <t>انتقال از گلفا</t>
  </si>
  <si>
    <t>ناحیه SMP توسعه فولاد (362)</t>
  </si>
  <si>
    <t>دفتر آی تی مرکز تحقیقات (438)</t>
  </si>
  <si>
    <t>نصب در ورودی حراست غربی</t>
  </si>
  <si>
    <t>اتاق سرور آی تی فولاد بردسیر (461)</t>
  </si>
  <si>
    <t>حراست فولاد بردسیر(461)</t>
  </si>
  <si>
    <t>LI20250608AAWRGB0962629</t>
  </si>
  <si>
    <t xml:space="preserve">دوربین پلاک خوان  DS-2CD2T87G2H-LI </t>
  </si>
  <si>
    <t>LI20250608AAWRGB0962720</t>
  </si>
  <si>
    <t>علی قائدی</t>
  </si>
  <si>
    <t>2392079013</t>
  </si>
  <si>
    <t>توسعه فولاد سیرجان (362)</t>
  </si>
  <si>
    <t>تلوزیون ال ای دی 43 اینچ GPlus</t>
  </si>
  <si>
    <t>307STNU21821</t>
  </si>
  <si>
    <t>اسماعیل زیدآبادی</t>
  </si>
  <si>
    <t>خوابگاه محمود آباد سیرجان(438)</t>
  </si>
  <si>
    <t>مهدی قادری</t>
  </si>
  <si>
    <t>0066176816</t>
  </si>
  <si>
    <t>category</t>
  </si>
  <si>
    <t>model</t>
  </si>
  <si>
    <t>serial_number</t>
  </si>
  <si>
    <t>property_code</t>
  </si>
  <si>
    <t>recipient_delivery</t>
  </si>
  <si>
    <t>description</t>
  </si>
  <si>
    <t>closed</t>
  </si>
  <si>
    <t>closed_time</t>
  </si>
  <si>
    <t>project_code</t>
  </si>
  <si>
    <t>warehouse_location</t>
  </si>
  <si>
    <t>row</t>
  </si>
  <si>
    <t>user</t>
  </si>
  <si>
    <t>company</t>
  </si>
  <si>
    <t>unit</t>
  </si>
  <si>
    <t>personnel_code</t>
  </si>
  <si>
    <t>current_location</t>
  </si>
  <si>
    <t>system_identification_code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</si>
</sst>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73">
    <font>
      <sz val="11"/>
      <color theme="1"/>
      <name val="Calibri"/>
      <family val="2"/>
      <scheme val="minor"/>
    </font>
    <font>
      <sz val="14"/>
      <color theme="1"/>
      <name val="B Nazanin"/>
      <charset val="178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charset val="178"/>
    </font>
    <font>
      <sz val="12"/>
      <name val="B Nazanin"/>
      <charset val="178"/>
    </font>
    <font>
      <sz val="14"/>
      <color rgb="FFFF0000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12"/>
      <name val="Calibri"/>
      <family val="2"/>
      <scheme val="minor"/>
    </font>
    <font>
      <sz val="14"/>
      <name val="Calibri"/>
      <family val="2"/>
      <scheme val="minor"/>
    </font>
    <font>
      <sz val="16"/>
      <name val="Calibri"/>
      <family val="2"/>
      <scheme val="minor"/>
    </font>
    <font>
      <sz val="14"/>
      <color theme="1"/>
      <name val="Times New Roman"/>
      <family val="1"/>
    </font>
    <font>
      <u/>
      <sz val="14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B Nazanin"/>
      <charset val="178"/>
    </font>
    <font>
      <b/>
      <sz val="14"/>
      <color rgb="FFFF0000"/>
      <name val="B Nazanin"/>
      <charset val="178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b/>
      <sz val="16"/>
      <color rgb="FFFF0000"/>
      <name val="B Nazanin"/>
      <charset val="178"/>
    </font>
    <font>
      <b/>
      <sz val="14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indexed="81"/>
      <name val="Tahoma"/>
      <family val="2"/>
    </font>
    <font>
      <b/>
      <sz val="14"/>
      <color theme="1"/>
      <name val="B Nazanin"/>
      <charset val="178"/>
    </font>
    <font>
      <b/>
      <sz val="12"/>
      <color theme="1"/>
      <name val="B Nazanin"/>
      <charset val="178"/>
    </font>
    <font>
      <b/>
      <sz val="14"/>
      <color theme="0"/>
      <name val="Calibri"/>
      <family val="2"/>
      <scheme val="minor"/>
    </font>
    <font>
      <b/>
      <sz val="14"/>
      <color theme="0"/>
      <name val="B Nazanin"/>
      <charset val="178"/>
    </font>
    <font>
      <b/>
      <sz val="14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4"/>
      <name val="Calibri"/>
      <family val="2"/>
    </font>
    <font>
      <b/>
      <sz val="14"/>
      <name val="Arial"/>
      <family val="2"/>
    </font>
    <font>
      <b/>
      <sz val="14"/>
      <color theme="4"/>
      <name val="Calibri"/>
      <family val="2"/>
      <scheme val="minor"/>
    </font>
    <font>
      <b/>
      <sz val="14"/>
      <color rgb="FFFFFFFF"/>
      <name val="B Nazanin"/>
      <charset val="178"/>
    </font>
    <font>
      <sz val="10"/>
      <name val="Arial"/>
      <family val="2"/>
    </font>
    <font>
      <b/>
      <sz val="14"/>
      <color rgb="FF00206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0000"/>
      <name val="B Nazanin"/>
      <charset val="178"/>
    </font>
    <font>
      <b/>
      <u/>
      <sz val="14"/>
      <color rgb="FFFF0000"/>
      <name val="B Nazanin"/>
      <charset val="178"/>
    </font>
    <font>
      <b/>
      <sz val="14"/>
      <name val="0 Titr Bold"/>
      <charset val="178"/>
    </font>
    <font>
      <b/>
      <sz val="14"/>
      <color rgb="FFFF0000"/>
      <name val="Tahoma"/>
      <family val="2"/>
    </font>
    <font>
      <b/>
      <sz val="16"/>
      <color rgb="FFFFFFFF"/>
      <name val="B Titr"/>
      <charset val="178"/>
    </font>
    <font>
      <sz val="8"/>
      <name val="Calibri"/>
      <family val="2"/>
      <scheme val="minor"/>
    </font>
    <font>
      <b/>
      <sz val="12"/>
      <name val="Times New Roman"/>
      <family val="1"/>
    </font>
    <font>
      <b/>
      <sz val="12"/>
      <name val="B Nazanin"/>
      <charset val="178"/>
    </font>
    <font>
      <sz val="11"/>
      <color theme="1"/>
      <name val="B Nazanin"/>
      <charset val="178"/>
    </font>
    <font>
      <b/>
      <sz val="16"/>
      <color theme="1"/>
      <name val="B Nazanin"/>
      <charset val="178"/>
    </font>
    <font>
      <b/>
      <sz val="16"/>
      <name val="B Nazanin"/>
      <charset val="178"/>
    </font>
    <font>
      <sz val="16"/>
      <color theme="1"/>
      <name val="B Nazanin"/>
      <charset val="178"/>
    </font>
    <font>
      <b/>
      <sz val="16"/>
      <color rgb="FFC00000"/>
      <name val="B Nazanin"/>
      <charset val="178"/>
    </font>
    <font>
      <b/>
      <sz val="14"/>
      <name val="Calibri Light"/>
      <family val="1"/>
      <scheme val="major"/>
    </font>
    <font>
      <b/>
      <sz val="14"/>
      <color theme="1"/>
      <name val="Calibri Light"/>
      <family val="1"/>
      <scheme val="major"/>
    </font>
    <font>
      <b/>
      <sz val="14"/>
      <color rgb="FFFF0000"/>
      <name val="Calibri Light"/>
      <family val="1"/>
      <scheme val="major"/>
    </font>
    <font>
      <b/>
      <sz val="14"/>
      <color rgb="FF000000"/>
      <name val="Calibri Light"/>
      <family val="1"/>
      <scheme val="major"/>
    </font>
    <font>
      <sz val="11"/>
      <color theme="1"/>
      <name val="Calibri Light"/>
      <family val="1"/>
      <scheme val="major"/>
    </font>
    <font>
      <b/>
      <u/>
      <sz val="14"/>
      <color rgb="FFFF0000"/>
      <name val="Calibri Light"/>
      <family val="1"/>
      <scheme val="major"/>
    </font>
    <font>
      <b/>
      <sz val="18"/>
      <name val="Calibri Light"/>
      <family val="1"/>
      <scheme val="major"/>
    </font>
    <font>
      <b/>
      <sz val="14"/>
      <color theme="4"/>
      <name val="Calibri Light"/>
      <family val="1"/>
      <scheme val="major"/>
    </font>
    <font>
      <b/>
      <sz val="14"/>
      <color rgb="FF00B0F0"/>
      <name val="Calibri Light"/>
      <family val="1"/>
      <scheme val="major"/>
    </font>
    <font>
      <sz val="14"/>
      <color rgb="FF000000"/>
      <name val="Calibri Light"/>
      <family val="1"/>
      <scheme val="major"/>
    </font>
    <font>
      <b/>
      <sz val="12"/>
      <color theme="1"/>
      <name val="Calibri Light"/>
      <family val="1"/>
      <scheme val="major"/>
    </font>
    <font>
      <sz val="18"/>
      <color theme="1"/>
      <name val="Calibri Light"/>
      <family val="1"/>
      <scheme val="major"/>
    </font>
    <font>
      <sz val="14"/>
      <color theme="1"/>
      <name val="Calibri Light"/>
      <family val="1"/>
      <scheme val="major"/>
    </font>
    <font>
      <b/>
      <sz val="12"/>
      <color rgb="FF000000"/>
      <name val="Calibri Light"/>
      <family val="1"/>
      <scheme val="major"/>
    </font>
    <font>
      <b/>
      <u/>
      <sz val="14"/>
      <color theme="1"/>
      <name val="Calibri Light"/>
      <family val="1"/>
      <scheme val="major"/>
    </font>
    <font>
      <b/>
      <sz val="14"/>
      <color rgb="FF002060"/>
      <name val="Calibri Light"/>
      <family val="1"/>
      <scheme val="major"/>
    </font>
    <font>
      <b/>
      <sz val="11"/>
      <color theme="1"/>
      <name val="Calibri Light"/>
      <family val="1"/>
      <scheme val="major"/>
    </font>
    <font>
      <sz val="11"/>
      <color rgb="FF006100"/>
      <name val="Calibri"/>
      <family val="2"/>
      <scheme val="minor"/>
    </font>
    <font>
      <b/>
      <sz val="11"/>
      <color rgb="FF006100"/>
      <name val="B Nazanin"/>
      <charset val="178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rgb="FF76E87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CB"/>
        <bgColor indexed="64"/>
      </patternFill>
    </fill>
    <fill>
      <patternFill patternType="solid">
        <fgColor rgb="FFC6EFCE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32" fillId="0" borderId="0"/>
    <xf numFmtId="0" fontId="38" fillId="0" borderId="0"/>
    <xf numFmtId="0" fontId="71" fillId="14" borderId="0" applyNumberFormat="0" applyBorder="0" applyAlignment="0" applyProtection="0"/>
  </cellStyleXfs>
  <cellXfs count="256">
    <xf numFmtId="0" fontId="0" fillId="0" borderId="0" xfId="0"/>
    <xf numFmtId="0" fontId="0" fillId="0" borderId="0" xfId="0" applyAlignment="1">
      <alignment horizont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/>
    </xf>
    <xf numFmtId="0" fontId="2" fillId="0" borderId="0" xfId="0" applyFont="1"/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2" fillId="0" borderId="1" xfId="0" applyFont="1" applyBorder="1"/>
    <xf numFmtId="0" fontId="4" fillId="0" borderId="1" xfId="0" applyFont="1" applyBorder="1" applyAlignment="1">
      <alignment horizontal="center" vertical="center"/>
    </xf>
    <xf numFmtId="0" fontId="1" fillId="0" borderId="0" xfId="0" applyFont="1"/>
    <xf numFmtId="0" fontId="12" fillId="0" borderId="0" xfId="0" applyFont="1"/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8" fillId="0" borderId="1" xfId="2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7" fillId="0" borderId="1" xfId="0" applyFont="1" applyBorder="1" applyAlignment="1">
      <alignment horizontal="right" vertical="center"/>
    </xf>
    <xf numFmtId="49" fontId="2" fillId="0" borderId="1" xfId="0" applyNumberFormat="1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/>
    </xf>
    <xf numFmtId="49" fontId="18" fillId="0" borderId="1" xfId="0" applyNumberFormat="1" applyFont="1" applyBorder="1" applyAlignment="1">
      <alignment horizontal="center" vertical="center"/>
    </xf>
    <xf numFmtId="49" fontId="17" fillId="0" borderId="1" xfId="0" applyNumberFormat="1" applyFont="1" applyBorder="1" applyAlignment="1">
      <alignment horizontal="center" vertical="center"/>
    </xf>
    <xf numFmtId="0" fontId="18" fillId="3" borderId="1" xfId="2" applyFont="1" applyFill="1" applyBorder="1" applyAlignment="1">
      <alignment horizontal="center" vertical="center"/>
    </xf>
    <xf numFmtId="0" fontId="27" fillId="0" borderId="1" xfId="0" applyFont="1" applyBorder="1"/>
    <xf numFmtId="1" fontId="18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readingOrder="2"/>
    </xf>
    <xf numFmtId="49" fontId="20" fillId="0" borderId="1" xfId="0" applyNumberFormat="1" applyFont="1" applyBorder="1" applyAlignment="1">
      <alignment horizontal="center" vertical="center" readingOrder="2"/>
    </xf>
    <xf numFmtId="0" fontId="20" fillId="0" borderId="1" xfId="2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18" fillId="0" borderId="1" xfId="1" applyFont="1" applyFill="1" applyBorder="1" applyAlignment="1" applyProtection="1">
      <alignment horizontal="center" vertical="center"/>
    </xf>
    <xf numFmtId="49" fontId="20" fillId="0" borderId="1" xfId="2" applyNumberFormat="1" applyFont="1" applyBorder="1" applyAlignment="1">
      <alignment horizontal="center" vertical="center"/>
    </xf>
    <xf numFmtId="0" fontId="29" fillId="0" borderId="1" xfId="0" applyFont="1" applyBorder="1" applyAlignment="1">
      <alignment vertical="center"/>
    </xf>
    <xf numFmtId="0" fontId="37" fillId="8" borderId="0" xfId="0" applyFont="1" applyFill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right" shrinkToFit="1"/>
    </xf>
    <xf numFmtId="0" fontId="6" fillId="0" borderId="0" xfId="0" applyFont="1" applyAlignment="1">
      <alignment horizontal="center" shrinkToFit="1"/>
    </xf>
    <xf numFmtId="49" fontId="19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readingOrder="1"/>
    </xf>
    <xf numFmtId="0" fontId="19" fillId="0" borderId="1" xfId="0" applyFont="1" applyBorder="1" applyAlignment="1">
      <alignment horizontal="center" vertical="center" readingOrder="2"/>
    </xf>
    <xf numFmtId="49" fontId="19" fillId="0" borderId="1" xfId="0" applyNumberFormat="1" applyFont="1" applyBorder="1" applyAlignment="1">
      <alignment horizontal="center" vertical="center" readingOrder="2"/>
    </xf>
    <xf numFmtId="1" fontId="17" fillId="0" borderId="1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45" fillId="8" borderId="1" xfId="0" applyFont="1" applyFill="1" applyBorder="1" applyAlignment="1">
      <alignment horizontal="center" vertical="center"/>
    </xf>
    <xf numFmtId="1" fontId="45" fillId="8" borderId="1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9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49" fontId="18" fillId="0" borderId="1" xfId="2" applyNumberFormat="1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readingOrder="2"/>
    </xf>
    <xf numFmtId="0" fontId="45" fillId="11" borderId="1" xfId="0" applyFont="1" applyFill="1" applyBorder="1" applyAlignment="1">
      <alignment horizontal="center" vertical="center"/>
    </xf>
    <xf numFmtId="1" fontId="45" fillId="11" borderId="1" xfId="0" applyNumberFormat="1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2" fontId="20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shrinkToFit="1"/>
    </xf>
    <xf numFmtId="0" fontId="20" fillId="0" borderId="1" xfId="0" applyFont="1" applyBorder="1" applyAlignment="1">
      <alignment horizontal="center" vertical="center" wrapText="1" readingOrder="2"/>
    </xf>
    <xf numFmtId="0" fontId="39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 readingOrder="2"/>
    </xf>
    <xf numFmtId="0" fontId="27" fillId="0" borderId="1" xfId="2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 readingOrder="2"/>
    </xf>
    <xf numFmtId="0" fontId="22" fillId="0" borderId="1" xfId="0" applyFont="1" applyBorder="1" applyAlignment="1">
      <alignment horizontal="center" vertical="center"/>
    </xf>
    <xf numFmtId="0" fontId="43" fillId="0" borderId="1" xfId="2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right" vertical="center"/>
    </xf>
    <xf numFmtId="0" fontId="3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 shrinkToFit="1"/>
    </xf>
    <xf numFmtId="0" fontId="16" fillId="0" borderId="1" xfId="2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right" vertical="center" shrinkToFit="1"/>
    </xf>
    <xf numFmtId="0" fontId="15" fillId="0" borderId="1" xfId="0" applyFont="1" applyBorder="1" applyAlignment="1">
      <alignment horizontal="center" vertical="center" readingOrder="2"/>
    </xf>
    <xf numFmtId="49" fontId="18" fillId="0" borderId="0" xfId="0" applyNumberFormat="1" applyFont="1" applyAlignment="1">
      <alignment horizontal="center" vertical="center"/>
    </xf>
    <xf numFmtId="0" fontId="18" fillId="0" borderId="0" xfId="2" applyFont="1" applyAlignment="1">
      <alignment horizontal="center" vertical="center"/>
    </xf>
    <xf numFmtId="0" fontId="47" fillId="2" borderId="1" xfId="0" applyFont="1" applyFill="1" applyBorder="1" applyAlignment="1">
      <alignment horizontal="center" vertical="center"/>
    </xf>
    <xf numFmtId="0" fontId="47" fillId="12" borderId="1" xfId="0" applyFont="1" applyFill="1" applyBorder="1" applyAlignment="1">
      <alignment horizontal="center" vertical="center"/>
    </xf>
    <xf numFmtId="0" fontId="48" fillId="2" borderId="1" xfId="0" applyFont="1" applyFill="1" applyBorder="1" applyAlignment="1">
      <alignment horizontal="center" vertical="center"/>
    </xf>
    <xf numFmtId="0" fontId="48" fillId="12" borderId="1" xfId="0" applyFont="1" applyFill="1" applyBorder="1" applyAlignment="1">
      <alignment horizontal="center" vertical="center"/>
    </xf>
    <xf numFmtId="0" fontId="49" fillId="0" borderId="0" xfId="0" applyFont="1"/>
    <xf numFmtId="0" fontId="50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2" fillId="0" borderId="1" xfId="0" applyFont="1" applyBorder="1"/>
    <xf numFmtId="0" fontId="50" fillId="0" borderId="0" xfId="0" applyFont="1" applyAlignment="1">
      <alignment horizontal="center" vertical="center"/>
    </xf>
    <xf numFmtId="0" fontId="51" fillId="0" borderId="1" xfId="0" applyFont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 readingOrder="2"/>
    </xf>
    <xf numFmtId="0" fontId="51" fillId="0" borderId="1" xfId="2" applyFont="1" applyBorder="1" applyAlignment="1">
      <alignment horizontal="center" vertical="center"/>
    </xf>
    <xf numFmtId="1" fontId="51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right" vertical="center" wrapText="1" readingOrder="2"/>
    </xf>
    <xf numFmtId="2" fontId="50" fillId="0" borderId="1" xfId="0" applyNumberFormat="1" applyFont="1" applyBorder="1" applyAlignment="1">
      <alignment horizontal="center" vertical="center"/>
    </xf>
    <xf numFmtId="49" fontId="50" fillId="0" borderId="1" xfId="0" applyNumberFormat="1" applyFont="1" applyBorder="1" applyAlignment="1">
      <alignment horizontal="center" vertical="center"/>
    </xf>
    <xf numFmtId="0" fontId="50" fillId="0" borderId="1" xfId="2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" fontId="51" fillId="0" borderId="1" xfId="0" applyNumberFormat="1" applyFont="1" applyBorder="1" applyAlignment="1">
      <alignment horizontal="center" vertical="center" shrinkToFit="1"/>
    </xf>
    <xf numFmtId="0" fontId="52" fillId="0" borderId="0" xfId="0" applyFont="1"/>
    <xf numFmtId="0" fontId="51" fillId="0" borderId="1" xfId="0" applyFont="1" applyBorder="1" applyAlignment="1">
      <alignment horizontal="center" vertical="center" shrinkToFit="1"/>
    </xf>
    <xf numFmtId="0" fontId="51" fillId="0" borderId="0" xfId="0" applyFont="1" applyAlignment="1">
      <alignment horizontal="center" vertical="center" shrinkToFit="1"/>
    </xf>
    <xf numFmtId="0" fontId="54" fillId="0" borderId="1" xfId="2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 wrapText="1"/>
    </xf>
    <xf numFmtId="0" fontId="54" fillId="0" borderId="1" xfId="0" applyFont="1" applyBorder="1" applyAlignment="1">
      <alignment horizontal="center" vertical="center" shrinkToFit="1"/>
    </xf>
    <xf numFmtId="0" fontId="54" fillId="0" borderId="1" xfId="0" applyFont="1" applyBorder="1" applyAlignment="1">
      <alignment horizontal="center" vertical="center" readingOrder="2"/>
    </xf>
    <xf numFmtId="0" fontId="54" fillId="0" borderId="1" xfId="0" applyFont="1" applyBorder="1" applyAlignment="1">
      <alignment horizontal="center" vertical="center" readingOrder="1"/>
    </xf>
    <xf numFmtId="0" fontId="55" fillId="0" borderId="1" xfId="0" applyFont="1" applyBorder="1" applyAlignment="1">
      <alignment horizontal="center" vertical="center" wrapText="1"/>
    </xf>
    <xf numFmtId="0" fontId="55" fillId="0" borderId="1" xfId="2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readingOrder="2"/>
    </xf>
    <xf numFmtId="0" fontId="55" fillId="0" borderId="1" xfId="2" applyFont="1" applyBorder="1" applyAlignment="1">
      <alignment horizontal="center" vertical="center" wrapText="1"/>
    </xf>
    <xf numFmtId="0" fontId="55" fillId="0" borderId="7" xfId="0" applyFont="1" applyBorder="1" applyAlignment="1">
      <alignment horizontal="center" vertical="center"/>
    </xf>
    <xf numFmtId="0" fontId="54" fillId="0" borderId="7" xfId="0" applyFont="1" applyBorder="1" applyAlignment="1">
      <alignment horizontal="center" vertical="center"/>
    </xf>
    <xf numFmtId="0" fontId="54" fillId="0" borderId="7" xfId="2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 readingOrder="2"/>
    </xf>
    <xf numFmtId="0" fontId="57" fillId="0" borderId="1" xfId="0" applyFont="1" applyBorder="1" applyAlignment="1">
      <alignment horizontal="center" vertical="center"/>
    </xf>
    <xf numFmtId="0" fontId="55" fillId="0" borderId="1" xfId="0" quotePrefix="1" applyFont="1" applyBorder="1" applyAlignment="1">
      <alignment horizontal="center" vertical="center"/>
    </xf>
    <xf numFmtId="0" fontId="54" fillId="0" borderId="1" xfId="4" applyFont="1" applyBorder="1" applyAlignment="1">
      <alignment horizontal="center" vertical="center"/>
    </xf>
    <xf numFmtId="1" fontId="54" fillId="0" borderId="1" xfId="0" applyNumberFormat="1" applyFont="1" applyBorder="1" applyAlignment="1">
      <alignment horizontal="center" vertical="center" shrinkToFit="1"/>
    </xf>
    <xf numFmtId="0" fontId="54" fillId="0" borderId="2" xfId="0" applyFont="1" applyBorder="1" applyAlignment="1">
      <alignment horizontal="center" vertical="center"/>
    </xf>
    <xf numFmtId="0" fontId="55" fillId="0" borderId="2" xfId="0" applyFont="1" applyBorder="1" applyAlignment="1">
      <alignment horizontal="center" vertical="center"/>
    </xf>
    <xf numFmtId="0" fontId="58" fillId="0" borderId="0" xfId="0" applyFont="1"/>
    <xf numFmtId="49" fontId="56" fillId="0" borderId="1" xfId="0" applyNumberFormat="1" applyFont="1" applyBorder="1" applyAlignment="1">
      <alignment horizontal="center" vertical="center"/>
    </xf>
    <xf numFmtId="49" fontId="55" fillId="0" borderId="1" xfId="0" applyNumberFormat="1" applyFont="1" applyBorder="1" applyAlignment="1">
      <alignment horizontal="center" vertical="center"/>
    </xf>
    <xf numFmtId="49" fontId="54" fillId="0" borderId="1" xfId="0" applyNumberFormat="1" applyFont="1" applyBorder="1" applyAlignment="1">
      <alignment horizontal="center" vertical="center"/>
    </xf>
    <xf numFmtId="49" fontId="54" fillId="0" borderId="1" xfId="2" applyNumberFormat="1" applyFont="1" applyBorder="1" applyAlignment="1">
      <alignment horizontal="center" vertical="center"/>
    </xf>
    <xf numFmtId="49" fontId="54" fillId="0" borderId="1" xfId="0" applyNumberFormat="1" applyFont="1" applyBorder="1" applyAlignment="1">
      <alignment horizontal="center" vertical="center" readingOrder="2"/>
    </xf>
    <xf numFmtId="49" fontId="55" fillId="0" borderId="1" xfId="0" applyNumberFormat="1" applyFont="1" applyBorder="1" applyAlignment="1">
      <alignment horizontal="center" vertical="center" readingOrder="2"/>
    </xf>
    <xf numFmtId="0" fontId="58" fillId="0" borderId="1" xfId="0" applyFont="1" applyBorder="1"/>
    <xf numFmtId="49" fontId="57" fillId="0" borderId="1" xfId="0" applyNumberFormat="1" applyFont="1" applyBorder="1" applyAlignment="1">
      <alignment horizontal="center" vertical="center"/>
    </xf>
    <xf numFmtId="0" fontId="59" fillId="0" borderId="1" xfId="0" applyFont="1" applyBorder="1" applyAlignment="1">
      <alignment horizontal="center" vertical="center"/>
    </xf>
    <xf numFmtId="1" fontId="54" fillId="0" borderId="1" xfId="0" applyNumberFormat="1" applyFont="1" applyBorder="1" applyAlignment="1">
      <alignment horizontal="center" vertical="center"/>
    </xf>
    <xf numFmtId="0" fontId="54" fillId="0" borderId="1" xfId="1" applyFont="1" applyFill="1" applyBorder="1" applyAlignment="1" applyProtection="1">
      <alignment horizontal="center" vertical="center"/>
    </xf>
    <xf numFmtId="164" fontId="54" fillId="0" borderId="1" xfId="0" applyNumberFormat="1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/>
    </xf>
    <xf numFmtId="49" fontId="55" fillId="0" borderId="1" xfId="0" applyNumberFormat="1" applyFont="1" applyBorder="1" applyAlignment="1">
      <alignment horizontal="center" vertical="center" wrapText="1" readingOrder="2"/>
    </xf>
    <xf numFmtId="12" fontId="54" fillId="0" borderId="1" xfId="0" applyNumberFormat="1" applyFont="1" applyBorder="1" applyAlignment="1">
      <alignment horizontal="center" vertical="center"/>
    </xf>
    <xf numFmtId="49" fontId="55" fillId="0" borderId="1" xfId="2" applyNumberFormat="1" applyFont="1" applyBorder="1" applyAlignment="1">
      <alignment horizontal="center" vertical="center"/>
    </xf>
    <xf numFmtId="0" fontId="54" fillId="0" borderId="1" xfId="2" applyFont="1" applyBorder="1" applyAlignment="1">
      <alignment horizontal="center" vertical="center" readingOrder="2"/>
    </xf>
    <xf numFmtId="0" fontId="61" fillId="0" borderId="1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 vertical="center"/>
    </xf>
    <xf numFmtId="49" fontId="56" fillId="0" borderId="1" xfId="2" applyNumberFormat="1" applyFont="1" applyBorder="1" applyAlignment="1">
      <alignment horizontal="center" vertical="center"/>
    </xf>
    <xf numFmtId="49" fontId="54" fillId="0" borderId="1" xfId="2" applyNumberFormat="1" applyFont="1" applyBorder="1" applyAlignment="1">
      <alignment horizontal="center" vertical="center" readingOrder="2"/>
    </xf>
    <xf numFmtId="11" fontId="55" fillId="0" borderId="1" xfId="0" applyNumberFormat="1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5" fillId="0" borderId="0" xfId="0" applyFont="1" applyAlignment="1">
      <alignment horizontal="center" vertical="center"/>
    </xf>
    <xf numFmtId="49" fontId="59" fillId="0" borderId="1" xfId="0" applyNumberFormat="1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readingOrder="2"/>
    </xf>
    <xf numFmtId="0" fontId="54" fillId="0" borderId="1" xfId="0" applyFont="1" applyBorder="1" applyAlignment="1">
      <alignment horizontal="center" vertical="center" wrapText="1" readingOrder="2"/>
    </xf>
    <xf numFmtId="0" fontId="56" fillId="0" borderId="1" xfId="2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 readingOrder="2"/>
    </xf>
    <xf numFmtId="0" fontId="68" fillId="0" borderId="1" xfId="0" applyFont="1" applyBorder="1" applyAlignment="1">
      <alignment horizontal="center" vertical="center"/>
    </xf>
    <xf numFmtId="0" fontId="69" fillId="0" borderId="1" xfId="0" applyFont="1" applyBorder="1" applyAlignment="1">
      <alignment horizontal="center" vertical="center"/>
    </xf>
    <xf numFmtId="0" fontId="70" fillId="0" borderId="1" xfId="0" applyFont="1" applyBorder="1"/>
    <xf numFmtId="49" fontId="54" fillId="0" borderId="1" xfId="0" applyNumberFormat="1" applyFont="1" applyBorder="1" applyAlignment="1">
      <alignment horizontal="center" vertical="center" wrapText="1" readingOrder="2"/>
    </xf>
    <xf numFmtId="2" fontId="55" fillId="0" borderId="1" xfId="0" applyNumberFormat="1" applyFont="1" applyBorder="1" applyAlignment="1">
      <alignment horizontal="center" vertical="center"/>
    </xf>
    <xf numFmtId="0" fontId="64" fillId="0" borderId="1" xfId="0" applyFont="1" applyBorder="1" applyAlignment="1">
      <alignment horizontal="center" vertical="center"/>
    </xf>
    <xf numFmtId="0" fontId="55" fillId="0" borderId="9" xfId="0" applyFont="1" applyBorder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0" fontId="18" fillId="13" borderId="1" xfId="0" applyFont="1" applyFill="1" applyBorder="1" applyAlignment="1">
      <alignment horizontal="center" vertical="center"/>
    </xf>
    <xf numFmtId="0" fontId="54" fillId="13" borderId="1" xfId="0" applyFont="1" applyFill="1" applyBorder="1" applyAlignment="1">
      <alignment horizontal="center" vertical="center"/>
    </xf>
    <xf numFmtId="0" fontId="55" fillId="13" borderId="1" xfId="0" applyFont="1" applyFill="1" applyBorder="1" applyAlignment="1">
      <alignment horizontal="center" vertical="center"/>
    </xf>
    <xf numFmtId="0" fontId="51" fillId="13" borderId="1" xfId="0" applyFont="1" applyFill="1" applyBorder="1" applyAlignment="1">
      <alignment horizontal="center" vertical="center"/>
    </xf>
    <xf numFmtId="0" fontId="54" fillId="9" borderId="1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55" fillId="9" borderId="1" xfId="0" applyFont="1" applyFill="1" applyBorder="1" applyAlignment="1">
      <alignment horizontal="center" vertical="center"/>
    </xf>
    <xf numFmtId="0" fontId="54" fillId="13" borderId="1" xfId="2" applyFont="1" applyFill="1" applyBorder="1" applyAlignment="1">
      <alignment horizontal="center" vertical="center"/>
    </xf>
    <xf numFmtId="0" fontId="27" fillId="13" borderId="1" xfId="0" applyFont="1" applyFill="1" applyBorder="1" applyAlignment="1">
      <alignment horizontal="center" vertical="center"/>
    </xf>
    <xf numFmtId="0" fontId="50" fillId="9" borderId="1" xfId="0" applyFont="1" applyFill="1" applyBorder="1" applyAlignment="1">
      <alignment horizontal="center" vertical="center"/>
    </xf>
    <xf numFmtId="0" fontId="50" fillId="13" borderId="1" xfId="0" applyFont="1" applyFill="1" applyBorder="1" applyAlignment="1">
      <alignment horizontal="center" vertical="center"/>
    </xf>
    <xf numFmtId="0" fontId="55" fillId="13" borderId="1" xfId="0" applyFont="1" applyFill="1" applyBorder="1" applyAlignment="1">
      <alignment horizontal="center" vertical="center" wrapText="1" readingOrder="2"/>
    </xf>
    <xf numFmtId="0" fontId="54" fillId="13" borderId="1" xfId="2" applyFont="1" applyFill="1" applyBorder="1" applyAlignment="1">
      <alignment horizontal="center" vertical="center" readingOrder="2"/>
    </xf>
    <xf numFmtId="0" fontId="0" fillId="13" borderId="0" xfId="0" applyFill="1"/>
    <xf numFmtId="0" fontId="0" fillId="9" borderId="0" xfId="0" applyFill="1"/>
    <xf numFmtId="0" fontId="58" fillId="9" borderId="0" xfId="0" applyFont="1" applyFill="1"/>
    <xf numFmtId="0" fontId="52" fillId="13" borderId="0" xfId="0" applyFont="1" applyFill="1"/>
    <xf numFmtId="0" fontId="54" fillId="0" borderId="7" xfId="0" applyFont="1" applyBorder="1" applyAlignment="1">
      <alignment horizontal="center" vertical="center" readingOrder="2"/>
    </xf>
    <xf numFmtId="49" fontId="54" fillId="13" borderId="1" xfId="0" applyNumberFormat="1" applyFont="1" applyFill="1" applyBorder="1" applyAlignment="1">
      <alignment horizontal="center" vertical="center"/>
    </xf>
    <xf numFmtId="0" fontId="20" fillId="9" borderId="1" xfId="2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49" fontId="55" fillId="13" borderId="1" xfId="0" applyNumberFormat="1" applyFont="1" applyFill="1" applyBorder="1" applyAlignment="1">
      <alignment horizontal="center" vertical="center"/>
    </xf>
    <xf numFmtId="0" fontId="54" fillId="9" borderId="1" xfId="0" applyFont="1" applyFill="1" applyBorder="1" applyAlignment="1">
      <alignment horizontal="center" vertical="center" shrinkToFit="1"/>
    </xf>
    <xf numFmtId="0" fontId="54" fillId="0" borderId="0" xfId="0" applyFont="1" applyAlignment="1">
      <alignment horizontal="center" vertical="center"/>
    </xf>
    <xf numFmtId="0" fontId="55" fillId="0" borderId="4" xfId="0" applyFont="1" applyBorder="1" applyAlignment="1">
      <alignment horizontal="center" vertical="center"/>
    </xf>
    <xf numFmtId="0" fontId="55" fillId="0" borderId="8" xfId="0" applyFont="1" applyBorder="1" applyAlignment="1">
      <alignment horizontal="center" vertical="center"/>
    </xf>
    <xf numFmtId="49" fontId="50" fillId="13" borderId="1" xfId="0" applyNumberFormat="1" applyFont="1" applyFill="1" applyBorder="1" applyAlignment="1">
      <alignment horizontal="center" vertical="center"/>
    </xf>
    <xf numFmtId="0" fontId="54" fillId="0" borderId="7" xfId="0" applyFont="1" applyBorder="1" applyAlignment="1">
      <alignment horizontal="center" vertical="center" readingOrder="1"/>
    </xf>
    <xf numFmtId="49" fontId="28" fillId="0" borderId="1" xfId="0" applyNumberFormat="1" applyFont="1" applyBorder="1" applyAlignment="1">
      <alignment horizontal="center" vertical="center"/>
    </xf>
    <xf numFmtId="49" fontId="47" fillId="2" borderId="1" xfId="0" applyNumberFormat="1" applyFont="1" applyFill="1" applyBorder="1" applyAlignment="1">
      <alignment horizontal="center" vertical="center"/>
    </xf>
    <xf numFmtId="49" fontId="47" fillId="12" borderId="1" xfId="0" applyNumberFormat="1" applyFont="1" applyFill="1" applyBorder="1" applyAlignment="1">
      <alignment horizontal="center" vertical="center"/>
    </xf>
    <xf numFmtId="49" fontId="0" fillId="0" borderId="0" xfId="0" applyNumberFormat="1"/>
    <xf numFmtId="0" fontId="54" fillId="9" borderId="1" xfId="2" applyFont="1" applyFill="1" applyBorder="1" applyAlignment="1">
      <alignment horizontal="center" vertical="center"/>
    </xf>
    <xf numFmtId="0" fontId="54" fillId="0" borderId="3" xfId="0" applyFont="1" applyBorder="1" applyAlignment="1">
      <alignment horizontal="center" vertical="center"/>
    </xf>
    <xf numFmtId="0" fontId="36" fillId="13" borderId="1" xfId="0" applyFont="1" applyFill="1" applyBorder="1" applyAlignment="1">
      <alignment horizontal="center" vertical="center"/>
    </xf>
    <xf numFmtId="0" fontId="55" fillId="0" borderId="10" xfId="0" applyFont="1" applyBorder="1" applyAlignment="1">
      <alignment horizontal="center" vertical="center"/>
    </xf>
    <xf numFmtId="0" fontId="31" fillId="13" borderId="1" xfId="0" applyFont="1" applyFill="1" applyBorder="1" applyAlignment="1">
      <alignment horizontal="center" vertical="center"/>
    </xf>
    <xf numFmtId="0" fontId="52" fillId="13" borderId="1" xfId="0" applyFont="1" applyFill="1" applyBorder="1"/>
    <xf numFmtId="0" fontId="0" fillId="13" borderId="1" xfId="0" applyFill="1" applyBorder="1"/>
    <xf numFmtId="0" fontId="55" fillId="13" borderId="1" xfId="0" applyFont="1" applyFill="1" applyBorder="1" applyAlignment="1">
      <alignment horizontal="center" vertical="center" readingOrder="2"/>
    </xf>
    <xf numFmtId="0" fontId="20" fillId="13" borderId="0" xfId="0" applyFont="1" applyFill="1" applyAlignment="1">
      <alignment horizontal="center" vertical="center"/>
    </xf>
    <xf numFmtId="0" fontId="50" fillId="13" borderId="0" xfId="0" applyFont="1" applyFill="1" applyAlignment="1">
      <alignment horizontal="center" vertical="center"/>
    </xf>
    <xf numFmtId="0" fontId="54" fillId="13" borderId="1" xfId="0" applyFont="1" applyFill="1" applyBorder="1" applyAlignment="1">
      <alignment horizontal="center" vertical="center" shrinkToFit="1"/>
    </xf>
    <xf numFmtId="0" fontId="55" fillId="9" borderId="1" xfId="0" applyFont="1" applyFill="1" applyBorder="1" applyAlignment="1">
      <alignment horizontal="center" vertical="center" readingOrder="2"/>
    </xf>
    <xf numFmtId="0" fontId="50" fillId="0" borderId="4" xfId="0" applyFont="1" applyBorder="1" applyAlignment="1">
      <alignment horizontal="center" vertical="center"/>
    </xf>
    <xf numFmtId="0" fontId="54" fillId="0" borderId="10" xfId="0" applyFont="1" applyBorder="1" applyAlignment="1">
      <alignment horizontal="center" vertical="center"/>
    </xf>
    <xf numFmtId="0" fontId="54" fillId="0" borderId="2" xfId="0" applyFont="1" applyBorder="1" applyAlignment="1">
      <alignment horizontal="center" vertical="center" readingOrder="2"/>
    </xf>
    <xf numFmtId="0" fontId="55" fillId="0" borderId="2" xfId="0" applyFont="1" applyBorder="1" applyAlignment="1">
      <alignment horizontal="center" vertical="center" readingOrder="2"/>
    </xf>
    <xf numFmtId="0" fontId="54" fillId="0" borderId="9" xfId="0" applyFont="1" applyBorder="1" applyAlignment="1">
      <alignment horizontal="center" vertical="center" readingOrder="1"/>
    </xf>
    <xf numFmtId="0" fontId="55" fillId="0" borderId="3" xfId="2" applyFont="1" applyBorder="1" applyAlignment="1">
      <alignment horizontal="center" vertical="center"/>
    </xf>
    <xf numFmtId="49" fontId="55" fillId="0" borderId="2" xfId="0" applyNumberFormat="1" applyFont="1" applyBorder="1" applyAlignment="1">
      <alignment horizontal="center" vertical="center"/>
    </xf>
    <xf numFmtId="0" fontId="54" fillId="0" borderId="4" xfId="2" applyFont="1" applyBorder="1" applyAlignment="1">
      <alignment horizontal="center" vertical="center" readingOrder="2"/>
    </xf>
    <xf numFmtId="0" fontId="55" fillId="0" borderId="3" xfId="0" applyFont="1" applyBorder="1" applyAlignment="1">
      <alignment horizontal="center" vertical="center"/>
    </xf>
    <xf numFmtId="49" fontId="54" fillId="13" borderId="1" xfId="0" applyNumberFormat="1" applyFont="1" applyFill="1" applyBorder="1" applyAlignment="1">
      <alignment horizontal="center" vertical="center" wrapText="1" readingOrder="2"/>
    </xf>
    <xf numFmtId="0" fontId="54" fillId="9" borderId="1" xfId="1" applyFont="1" applyFill="1" applyBorder="1" applyAlignment="1" applyProtection="1">
      <alignment horizontal="center" vertical="center"/>
    </xf>
    <xf numFmtId="49" fontId="54" fillId="0" borderId="0" xfId="0" applyNumberFormat="1" applyFont="1" applyAlignment="1">
      <alignment horizontal="center" vertical="center"/>
    </xf>
    <xf numFmtId="49" fontId="55" fillId="0" borderId="2" xfId="0" applyNumberFormat="1" applyFont="1" applyBorder="1" applyAlignment="1">
      <alignment horizontal="center" vertical="center" readingOrder="2"/>
    </xf>
    <xf numFmtId="0" fontId="54" fillId="13" borderId="1" xfId="1" applyFont="1" applyFill="1" applyBorder="1" applyAlignment="1" applyProtection="1">
      <alignment horizontal="center" vertical="center"/>
    </xf>
    <xf numFmtId="0" fontId="23" fillId="13" borderId="1" xfId="0" applyFont="1" applyFill="1" applyBorder="1" applyAlignment="1">
      <alignment horizontal="center" vertical="center"/>
    </xf>
    <xf numFmtId="49" fontId="55" fillId="13" borderId="1" xfId="0" applyNumberFormat="1" applyFont="1" applyFill="1" applyBorder="1" applyAlignment="1">
      <alignment horizontal="center" vertical="center" readingOrder="2"/>
    </xf>
    <xf numFmtId="0" fontId="72" fillId="14" borderId="1" xfId="5" applyFont="1" applyBorder="1" applyAlignment="1">
      <alignment horizontal="center" vertical="center"/>
    </xf>
    <xf numFmtId="0" fontId="29" fillId="6" borderId="5" xfId="0" applyFont="1" applyFill="1" applyBorder="1" applyAlignment="1">
      <alignment horizontal="center" vertical="center"/>
    </xf>
    <xf numFmtId="0" fontId="29" fillId="6" borderId="6" xfId="0" applyFont="1" applyFill="1" applyBorder="1" applyAlignment="1">
      <alignment horizontal="center" vertical="center"/>
    </xf>
    <xf numFmtId="0" fontId="29" fillId="6" borderId="7" xfId="0" applyFont="1" applyFill="1" applyBorder="1" applyAlignment="1">
      <alignment horizontal="center" vertical="center"/>
    </xf>
    <xf numFmtId="0" fontId="20" fillId="7" borderId="5" xfId="0" applyFont="1" applyFill="1" applyBorder="1" applyAlignment="1">
      <alignment horizontal="center" vertical="center"/>
    </xf>
    <xf numFmtId="0" fontId="20" fillId="7" borderId="6" xfId="0" applyFont="1" applyFill="1" applyBorder="1" applyAlignment="1">
      <alignment horizontal="center" vertical="center"/>
    </xf>
    <xf numFmtId="0" fontId="20" fillId="7" borderId="7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6">
    <cellStyle name="Good" xfId="5" builtinId="26"/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</cellStyles>
  <dxfs count="1596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CC3300"/>
      <color rgb="FFFFCCCC"/>
      <color rgb="FF76E87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B2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2222500</xdr:colOff>
      <xdr:row>0</xdr:row>
      <xdr:rowOff>21167</xdr:rowOff>
    </xdr:from>
    <xdr:to>
      <xdr:col>4</xdr:col>
      <xdr:colOff>3769632</xdr:colOff>
      <xdr:row>0</xdr:row>
      <xdr:rowOff>755953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057519618" y="21167"/>
          <a:ext cx="1547132" cy="734786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 rtl="1"/>
          <a:r>
            <a:rPr lang="fa-IR" sz="1800">
              <a:latin typeface="+mn-lt"/>
              <a:cs typeface="B Titr" panose="00000700000000000000" pitchFamily="2" charset="-78"/>
            </a:rPr>
            <a:t>منوی</a:t>
          </a:r>
          <a:r>
            <a:rPr lang="fa-IR" sz="1800" baseline="0">
              <a:latin typeface="+mn-lt"/>
              <a:cs typeface="B Titr" panose="00000700000000000000" pitchFamily="2" charset="-78"/>
            </a:rPr>
            <a:t> اصلی</a:t>
          </a:r>
          <a:endParaRPr lang="en-US" sz="1800">
            <a:latin typeface="+mn-lt"/>
            <a:cs typeface="B Titr" panose="00000700000000000000" pitchFamily="2" charset="-7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2722</xdr:colOff>
      <xdr:row>0</xdr:row>
      <xdr:rowOff>54428</xdr:rowOff>
    </xdr:from>
    <xdr:to>
      <xdr:col>3</xdr:col>
      <xdr:colOff>190501</xdr:colOff>
      <xdr:row>0</xdr:row>
      <xdr:rowOff>511629</xdr:rowOff>
    </xdr:to>
    <xdr:sp macro="[0]!Click_EndRows" textlink="">
      <xdr:nvSpPr>
        <xdr:cNvPr id="2" name="Rounded Rectangle 1">
          <a:extLst>
            <a:ext uri="{FF2B5EF4-FFF2-40B4-BE49-F238E27FC236}">
              <a16:creationId xmlns:a16="http://schemas.microsoft.com/office/drawing/2014/main" id="{059EABF0-EF2B-4A23-AC40-CB975CE53C50}"/>
            </a:ext>
          </a:extLst>
        </xdr:cNvPr>
        <xdr:cNvSpPr/>
      </xdr:nvSpPr>
      <xdr:spPr>
        <a:xfrm>
          <a:off x="11259054824" y="54428"/>
          <a:ext cx="1702254" cy="457201"/>
        </a:xfrm>
        <a:prstGeom prst="roundRect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fa-IR" sz="1400" b="1">
              <a:cs typeface="B Titr" panose="00000700000000000000" pitchFamily="2" charset="-78"/>
            </a:rPr>
            <a:t>برو به آخرین سطر</a:t>
          </a:r>
        </a:p>
      </xdr:txBody>
    </xdr:sp>
    <xdr:clientData/>
  </xdr:twoCellAnchor>
  <xdr:twoCellAnchor>
    <xdr:from>
      <xdr:col>3</xdr:col>
      <xdr:colOff>271448</xdr:colOff>
      <xdr:row>0</xdr:row>
      <xdr:rowOff>54426</xdr:rowOff>
    </xdr:from>
    <xdr:to>
      <xdr:col>3</xdr:col>
      <xdr:colOff>1789352</xdr:colOff>
      <xdr:row>0</xdr:row>
      <xdr:rowOff>511627</xdr:rowOff>
    </xdr:to>
    <xdr:sp macro="[0]!Click_FirstRows" textlink="">
      <xdr:nvSpPr>
        <xdr:cNvPr id="3" name="Rounded Rectangle 2">
          <a:extLst>
            <a:ext uri="{FF2B5EF4-FFF2-40B4-BE49-F238E27FC236}">
              <a16:creationId xmlns:a16="http://schemas.microsoft.com/office/drawing/2014/main" id="{F82E45BF-205E-40DC-8B64-77073CE6A45A}"/>
            </a:ext>
          </a:extLst>
        </xdr:cNvPr>
        <xdr:cNvSpPr/>
      </xdr:nvSpPr>
      <xdr:spPr>
        <a:xfrm>
          <a:off x="11257455973" y="54426"/>
          <a:ext cx="1517904" cy="457201"/>
        </a:xfrm>
        <a:prstGeom prst="round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fa-IR" sz="1400" b="1">
              <a:cs typeface="B Titr" panose="00000700000000000000" pitchFamily="2" charset="-78"/>
            </a:rPr>
            <a:t>برو به اولین سطر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../AppData/Roaming/Microsoft/AppData/Roaming/Microsoft/AppData/Local/Microsoft/Windows/Temporary%20Internet%20Files/Content.Outlook/QV5M5QJ0/Panel/GG/GG4/GG7C4.pdf" TargetMode="External"/><Relationship Id="rId2" Type="http://schemas.openxmlformats.org/officeDocument/2006/relationships/hyperlink" Target="../AppData/Roaming/Microsoft/AppData/Roaming/Microsoft/AppData/Local/Microsoft/Windows/Temporary%20Internet%20Files/Content.Outlook/QV5M5QJ0/Panel/GG/GG4/GG4C4.pdf" TargetMode="External"/><Relationship Id="rId1" Type="http://schemas.openxmlformats.org/officeDocument/2006/relationships/printerSettings" Target="../printerSettings/printerSettings1.bin"/><Relationship Id="rId4" Type="http://schemas.openxmlformats.org/officeDocument/2006/relationships/printerSettings" Target="../printerSettings/printerSettings2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_AllCode">
    <pageSetUpPr fitToPage="1"/>
  </sheetPr>
  <dimension ref="A1:Q6465"/>
  <sheetViews>
    <sheetView rightToLeft="1" tabSelected="1" defaultGridColor="0" view="pageBreakPreview" topLeftCell="N1" colorId="22" zoomScale="60" zoomScaleNormal="70" workbookViewId="0">
      <selection activeCell="O8" sqref="O8"/>
    </sheetView>
  </sheetViews>
  <sheetFormatPr defaultRowHeight="20.399999999999999"/>
  <cols>
    <col min="1" max="1" width="11.5546875" bestFit="1" customWidth="1"/>
    <col min="2" max="2" width="9.6640625" customWidth="1"/>
    <col min="3" max="3" width="10.109375" customWidth="1"/>
    <col min="4" max="4" width="27.6640625" customWidth="1"/>
    <col min="5" max="5" width="29.33203125" customWidth="1"/>
    <col min="6" max="6" width="27.109375" customWidth="1"/>
    <col min="7" max="7" width="13.44140625" customWidth="1"/>
    <col min="8" max="8" width="61.33203125" bestFit="1" customWidth="1"/>
    <col min="9" max="9" width="25.33203125" customWidth="1"/>
    <col min="10" max="10" width="20.6640625" customWidth="1"/>
    <col min="11" max="11" width="49.44140625" customWidth="1"/>
    <col min="12" max="12" width="44" customWidth="1"/>
    <col min="13" max="13" width="15.109375" style="148" customWidth="1"/>
    <col min="14" max="14" width="26.6640625" style="123" customWidth="1"/>
    <col min="15" max="15" width="58.33203125" customWidth="1"/>
    <col min="16" max="16" width="19.109375" customWidth="1"/>
    <col min="17" max="17" width="20.33203125" customWidth="1"/>
    <col min="18" max="18" width="9" customWidth="1"/>
    <col min="25" max="25" width="7.109375" bestFit="1" customWidth="1"/>
  </cols>
  <sheetData>
    <row r="1" spans="1:17" ht="14.4">
      <c r="A1" s="248" t="s">
        <v>8617</v>
      </c>
      <c r="B1" s="248" t="s">
        <v>8618</v>
      </c>
      <c r="C1" s="248" t="s">
        <v>8619</v>
      </c>
      <c r="D1" s="248" t="s">
        <v>8620</v>
      </c>
      <c r="E1" s="248" t="s">
        <v>8621</v>
      </c>
      <c r="F1" s="248" t="s">
        <v>8622</v>
      </c>
      <c r="G1" s="248" t="s">
        <v>8623</v>
      </c>
      <c r="H1" s="248" t="s">
        <v>8624</v>
      </c>
      <c r="I1" s="248" t="s">
        <v>8625</v>
      </c>
      <c r="J1" s="248" t="s">
        <v>8609</v>
      </c>
      <c r="K1" s="248" t="s">
        <v>8610</v>
      </c>
      <c r="L1" s="248" t="s">
        <v>8611</v>
      </c>
      <c r="M1" s="248" t="s">
        <v>8612</v>
      </c>
      <c r="N1" s="248" t="s">
        <v>8613</v>
      </c>
      <c r="O1" s="248" t="s">
        <v>8614</v>
      </c>
      <c r="P1" s="248" t="s">
        <v>8615</v>
      </c>
      <c r="Q1" s="248" t="s">
        <v>8616</v>
      </c>
    </row>
    <row r="2" spans="1:17" ht="24.9" customHeight="1">
      <c r="A2" s="20">
        <v>290</v>
      </c>
      <c r="B2" s="20" t="s">
        <v>4320</v>
      </c>
      <c r="C2" s="20"/>
      <c r="D2" s="20" t="s">
        <v>326</v>
      </c>
      <c r="E2" s="19" t="str">
        <f>VLOOKUP(D2,'لیست پرسنل'!$B$2:$E$1020,3,FALSE)</f>
        <v>فکورصنعت</v>
      </c>
      <c r="F2" s="19" t="str">
        <f>VLOOKUP(D2,'لیست پرسنل'!$B$2:$E$1020,4,FALSE)</f>
        <v>انبار</v>
      </c>
      <c r="G2" s="127">
        <f>VLOOKUP(D2,'لیست پرسنل'!$B$2:$F$1020,2,FALSE)</f>
        <v>98141</v>
      </c>
      <c r="H2" s="128" t="s">
        <v>4309</v>
      </c>
      <c r="I2" s="127"/>
      <c r="J2" s="128" t="s">
        <v>3481</v>
      </c>
      <c r="K2" s="128" t="s">
        <v>3254</v>
      </c>
      <c r="L2" s="128"/>
      <c r="M2" s="126">
        <v>615539</v>
      </c>
      <c r="N2" s="108" t="s">
        <v>48</v>
      </c>
      <c r="O2" s="20" t="s">
        <v>3256</v>
      </c>
      <c r="P2" s="20"/>
      <c r="Q2" s="20"/>
    </row>
    <row r="3" spans="1:17" ht="24.9" customHeight="1">
      <c r="A3" s="20">
        <v>290</v>
      </c>
      <c r="B3" s="20" t="s">
        <v>4377</v>
      </c>
      <c r="C3" s="20"/>
      <c r="D3" s="20" t="s">
        <v>48</v>
      </c>
      <c r="E3" s="19" t="str">
        <f>VLOOKUP(D3,'لیست پرسنل'!$B$2:$E$1020,3,FALSE)</f>
        <v>فکورصنعت</v>
      </c>
      <c r="F3" s="19" t="str">
        <f>VLOOKUP(D3,'لیست پرسنل'!$B$2:$E$1020,4,FALSE)</f>
        <v>سرپرست آی تی</v>
      </c>
      <c r="G3" s="127">
        <f>VLOOKUP(D3,'لیست پرسنل'!$B$2:$F$1020,2,FALSE)</f>
        <v>2210</v>
      </c>
      <c r="H3" s="153" t="s">
        <v>3497</v>
      </c>
      <c r="I3" s="128"/>
      <c r="J3" s="128" t="s">
        <v>3481</v>
      </c>
      <c r="K3" s="128" t="s">
        <v>3182</v>
      </c>
      <c r="L3" s="127"/>
      <c r="M3" s="127">
        <v>612378</v>
      </c>
      <c r="N3" s="109"/>
      <c r="O3" s="19"/>
      <c r="P3" s="19"/>
      <c r="Q3" s="28"/>
    </row>
    <row r="4" spans="1:17" ht="24.9" customHeight="1">
      <c r="A4" s="20">
        <v>290</v>
      </c>
      <c r="B4" s="20" t="s">
        <v>4377</v>
      </c>
      <c r="C4" s="20"/>
      <c r="D4" s="20" t="s">
        <v>48</v>
      </c>
      <c r="E4" s="19" t="str">
        <f>VLOOKUP(D4,'لیست پرسنل'!$B$2:$E$1020,3,FALSE)</f>
        <v>فکورصنعت</v>
      </c>
      <c r="F4" s="19" t="str">
        <f>VLOOKUP(D4,'لیست پرسنل'!$B$2:$E$1020,4,FALSE)</f>
        <v>سرپرست آی تی</v>
      </c>
      <c r="G4" s="127">
        <f>VLOOKUP(D4,'لیست پرسنل'!$B$2:$F$1020,2,FALSE)</f>
        <v>2210</v>
      </c>
      <c r="H4" s="153" t="s">
        <v>3497</v>
      </c>
      <c r="I4" s="128"/>
      <c r="J4" s="128" t="s">
        <v>3481</v>
      </c>
      <c r="K4" s="128" t="s">
        <v>3182</v>
      </c>
      <c r="L4" s="127"/>
      <c r="M4" s="127">
        <v>612379</v>
      </c>
      <c r="N4" s="109"/>
      <c r="O4" s="19" t="s">
        <v>3183</v>
      </c>
      <c r="P4" s="19"/>
      <c r="Q4" s="28"/>
    </row>
    <row r="5" spans="1:17" ht="24.9" customHeight="1">
      <c r="A5" s="20">
        <v>290</v>
      </c>
      <c r="B5" s="20" t="s">
        <v>4377</v>
      </c>
      <c r="C5" s="20"/>
      <c r="D5" s="20" t="s">
        <v>48</v>
      </c>
      <c r="E5" s="19" t="str">
        <f>VLOOKUP(D5,'لیست پرسنل'!$B$2:$E$1020,3,FALSE)</f>
        <v>فکورصنعت</v>
      </c>
      <c r="F5" s="19" t="str">
        <f>VLOOKUP(D5,'لیست پرسنل'!$B$2:$E$1020,4,FALSE)</f>
        <v>سرپرست آی تی</v>
      </c>
      <c r="G5" s="127">
        <f>VLOOKUP(D5,'لیست پرسنل'!$B$2:$F$1020,2,FALSE)</f>
        <v>2210</v>
      </c>
      <c r="H5" s="153" t="s">
        <v>3497</v>
      </c>
      <c r="I5" s="128"/>
      <c r="J5" s="128" t="s">
        <v>3481</v>
      </c>
      <c r="K5" s="128" t="s">
        <v>3182</v>
      </c>
      <c r="L5" s="127"/>
      <c r="M5" s="127">
        <v>612380</v>
      </c>
      <c r="N5" s="109"/>
      <c r="O5" s="19"/>
      <c r="P5" s="19"/>
      <c r="Q5" s="28"/>
    </row>
    <row r="6" spans="1:17" ht="24.9" customHeight="1">
      <c r="A6" s="20">
        <v>290</v>
      </c>
      <c r="B6" s="20" t="s">
        <v>4377</v>
      </c>
      <c r="C6" s="20"/>
      <c r="D6" s="20" t="s">
        <v>48</v>
      </c>
      <c r="E6" s="19" t="str">
        <f>VLOOKUP(D6,'لیست پرسنل'!$B$2:$E$1020,3,FALSE)</f>
        <v>فکورصنعت</v>
      </c>
      <c r="F6" s="19" t="str">
        <f>VLOOKUP(D6,'لیست پرسنل'!$B$2:$E$1020,4,FALSE)</f>
        <v>سرپرست آی تی</v>
      </c>
      <c r="G6" s="127">
        <f>VLOOKUP(D6,'لیست پرسنل'!$B$2:$F$1020,2,FALSE)</f>
        <v>2210</v>
      </c>
      <c r="H6" s="153" t="s">
        <v>3497</v>
      </c>
      <c r="I6" s="128"/>
      <c r="J6" s="128" t="s">
        <v>3481</v>
      </c>
      <c r="K6" s="128" t="s">
        <v>3182</v>
      </c>
      <c r="L6" s="127"/>
      <c r="M6" s="127">
        <v>612381</v>
      </c>
      <c r="N6" s="109"/>
      <c r="O6" s="19"/>
      <c r="P6" s="19"/>
      <c r="Q6" s="28"/>
    </row>
    <row r="7" spans="1:17" ht="24.9" customHeight="1">
      <c r="A7" s="20">
        <v>290</v>
      </c>
      <c r="B7" s="20" t="s">
        <v>4377</v>
      </c>
      <c r="C7" s="20"/>
      <c r="D7" s="20" t="s">
        <v>48</v>
      </c>
      <c r="E7" s="19" t="str">
        <f>VLOOKUP(D7,'لیست پرسنل'!$B$2:$E$1020,3,FALSE)</f>
        <v>فکورصنعت</v>
      </c>
      <c r="F7" s="19" t="str">
        <f>VLOOKUP(D7,'لیست پرسنل'!$B$2:$E$1020,4,FALSE)</f>
        <v>سرپرست آی تی</v>
      </c>
      <c r="G7" s="127">
        <f>VLOOKUP(D7,'لیست پرسنل'!$B$2:$F$1020,2,FALSE)</f>
        <v>2210</v>
      </c>
      <c r="H7" s="153" t="s">
        <v>3497</v>
      </c>
      <c r="I7" s="128"/>
      <c r="J7" s="128" t="s">
        <v>3481</v>
      </c>
      <c r="K7" s="128" t="s">
        <v>1650</v>
      </c>
      <c r="L7" s="127"/>
      <c r="M7" s="127">
        <v>613411</v>
      </c>
      <c r="N7" s="109"/>
      <c r="O7" s="19"/>
      <c r="P7" s="19"/>
      <c r="Q7" s="28"/>
    </row>
    <row r="8" spans="1:17" ht="24.9" customHeight="1">
      <c r="A8" s="20">
        <v>290</v>
      </c>
      <c r="B8" s="20" t="s">
        <v>4377</v>
      </c>
      <c r="C8" s="20"/>
      <c r="D8" s="20" t="s">
        <v>48</v>
      </c>
      <c r="E8" s="19" t="str">
        <f>VLOOKUP(D8,'لیست پرسنل'!$B$2:$E$1020,3,FALSE)</f>
        <v>فکورصنعت</v>
      </c>
      <c r="F8" s="19" t="str">
        <f>VLOOKUP(D8,'لیست پرسنل'!$B$2:$E$1020,4,FALSE)</f>
        <v>سرپرست آی تی</v>
      </c>
      <c r="G8" s="127">
        <f>VLOOKUP(D8,'لیست پرسنل'!$B$2:$F$1020,2,FALSE)</f>
        <v>2210</v>
      </c>
      <c r="H8" s="153" t="s">
        <v>3497</v>
      </c>
      <c r="I8" s="128"/>
      <c r="J8" s="128" t="s">
        <v>3481</v>
      </c>
      <c r="K8" s="128" t="s">
        <v>1650</v>
      </c>
      <c r="L8" s="127"/>
      <c r="M8" s="127">
        <v>613412</v>
      </c>
      <c r="N8" s="109"/>
      <c r="O8" s="19"/>
      <c r="P8" s="19"/>
      <c r="Q8" s="28"/>
    </row>
    <row r="9" spans="1:17" ht="24.9" customHeight="1">
      <c r="A9" s="20">
        <v>290</v>
      </c>
      <c r="B9" s="20" t="s">
        <v>4377</v>
      </c>
      <c r="C9" s="20"/>
      <c r="D9" s="20" t="s">
        <v>48</v>
      </c>
      <c r="E9" s="19" t="str">
        <f>VLOOKUP(D9,'لیست پرسنل'!$B$2:$E$1020,3,FALSE)</f>
        <v>فکورصنعت</v>
      </c>
      <c r="F9" s="19" t="str">
        <f>VLOOKUP(D9,'لیست پرسنل'!$B$2:$E$1020,4,FALSE)</f>
        <v>سرپرست آی تی</v>
      </c>
      <c r="G9" s="127">
        <f>VLOOKUP(D9,'لیست پرسنل'!$B$2:$F$1020,2,FALSE)</f>
        <v>2210</v>
      </c>
      <c r="H9" s="153" t="s">
        <v>3497</v>
      </c>
      <c r="I9" s="128"/>
      <c r="J9" s="128" t="s">
        <v>3481</v>
      </c>
      <c r="K9" s="128" t="s">
        <v>3193</v>
      </c>
      <c r="L9" s="127"/>
      <c r="M9" s="127">
        <v>613607</v>
      </c>
      <c r="N9" s="109"/>
      <c r="O9" s="19"/>
      <c r="P9" s="19"/>
      <c r="Q9" s="28"/>
    </row>
    <row r="10" spans="1:17" ht="24.9" customHeight="1">
      <c r="A10" s="20">
        <v>290</v>
      </c>
      <c r="B10" s="20" t="s">
        <v>4377</v>
      </c>
      <c r="C10" s="20"/>
      <c r="D10" s="20" t="s">
        <v>48</v>
      </c>
      <c r="E10" s="19" t="str">
        <f>VLOOKUP(D10,'لیست پرسنل'!$B$2:$E$1020,3,FALSE)</f>
        <v>فکورصنعت</v>
      </c>
      <c r="F10" s="19" t="str">
        <f>VLOOKUP(D10,'لیست پرسنل'!$B$2:$E$1020,4,FALSE)</f>
        <v>سرپرست آی تی</v>
      </c>
      <c r="G10" s="127">
        <f>VLOOKUP(D10,'لیست پرسنل'!$B$2:$F$1020,2,FALSE)</f>
        <v>2210</v>
      </c>
      <c r="H10" s="153" t="s">
        <v>3497</v>
      </c>
      <c r="I10" s="128"/>
      <c r="J10" s="128" t="s">
        <v>3481</v>
      </c>
      <c r="K10" s="128" t="s">
        <v>3194</v>
      </c>
      <c r="L10" s="127"/>
      <c r="M10" s="127">
        <v>613660</v>
      </c>
      <c r="N10" s="109"/>
      <c r="O10" s="19"/>
      <c r="P10" s="19"/>
      <c r="Q10" s="28"/>
    </row>
    <row r="11" spans="1:17" ht="24.9" customHeight="1">
      <c r="A11" s="20">
        <v>290</v>
      </c>
      <c r="B11" s="20" t="s">
        <v>4377</v>
      </c>
      <c r="C11" s="20"/>
      <c r="D11" s="20" t="s">
        <v>48</v>
      </c>
      <c r="E11" s="19" t="str">
        <f>VLOOKUP(D11,'لیست پرسنل'!$B$2:$E$1020,3,FALSE)</f>
        <v>فکورصنعت</v>
      </c>
      <c r="F11" s="19" t="str">
        <f>VLOOKUP(D11,'لیست پرسنل'!$B$2:$E$1020,4,FALSE)</f>
        <v>سرپرست آی تی</v>
      </c>
      <c r="G11" s="127">
        <f>VLOOKUP(D11,'لیست پرسنل'!$B$2:$F$1020,2,FALSE)</f>
        <v>2210</v>
      </c>
      <c r="H11" s="153" t="s">
        <v>3497</v>
      </c>
      <c r="I11" s="128"/>
      <c r="J11" s="128" t="s">
        <v>3481</v>
      </c>
      <c r="K11" s="128" t="s">
        <v>3194</v>
      </c>
      <c r="L11" s="127"/>
      <c r="M11" s="127">
        <v>613661</v>
      </c>
      <c r="N11" s="109"/>
      <c r="O11" s="19"/>
      <c r="P11" s="19"/>
      <c r="Q11" s="28"/>
    </row>
    <row r="12" spans="1:17" ht="24.9" customHeight="1">
      <c r="A12" s="20">
        <v>290</v>
      </c>
      <c r="B12" s="20" t="s">
        <v>4377</v>
      </c>
      <c r="C12" s="20"/>
      <c r="D12" s="20" t="s">
        <v>48</v>
      </c>
      <c r="E12" s="19" t="str">
        <f>VLOOKUP(D12,'لیست پرسنل'!$B$2:$E$1020,3,FALSE)</f>
        <v>فکورصنعت</v>
      </c>
      <c r="F12" s="19" t="str">
        <f>VLOOKUP(D12,'لیست پرسنل'!$B$2:$E$1020,4,FALSE)</f>
        <v>سرپرست آی تی</v>
      </c>
      <c r="G12" s="127">
        <f>VLOOKUP(D12,'لیست پرسنل'!$B$2:$F$1020,2,FALSE)</f>
        <v>2210</v>
      </c>
      <c r="H12" s="153" t="s">
        <v>3497</v>
      </c>
      <c r="I12" s="128"/>
      <c r="J12" s="128" t="s">
        <v>3481</v>
      </c>
      <c r="K12" s="128" t="s">
        <v>3195</v>
      </c>
      <c r="L12" s="127"/>
      <c r="M12" s="127">
        <v>613673</v>
      </c>
      <c r="N12" s="109"/>
      <c r="O12" s="19"/>
      <c r="P12" s="19"/>
      <c r="Q12" s="28"/>
    </row>
    <row r="13" spans="1:17" ht="24.9" customHeight="1">
      <c r="A13" s="20">
        <v>290</v>
      </c>
      <c r="B13" s="20" t="s">
        <v>4377</v>
      </c>
      <c r="C13" s="20"/>
      <c r="D13" s="20" t="s">
        <v>48</v>
      </c>
      <c r="E13" s="19" t="str">
        <f>VLOOKUP(D13,'لیست پرسنل'!$B$2:$E$1020,3,FALSE)</f>
        <v>فکورصنعت</v>
      </c>
      <c r="F13" s="19" t="str">
        <f>VLOOKUP(D13,'لیست پرسنل'!$B$2:$E$1020,4,FALSE)</f>
        <v>سرپرست آی تی</v>
      </c>
      <c r="G13" s="127">
        <f>VLOOKUP(D13,'لیست پرسنل'!$B$2:$F$1020,2,FALSE)</f>
        <v>2210</v>
      </c>
      <c r="H13" s="153" t="s">
        <v>3497</v>
      </c>
      <c r="I13" s="128"/>
      <c r="J13" s="128" t="s">
        <v>3476</v>
      </c>
      <c r="K13" s="128" t="s">
        <v>3192</v>
      </c>
      <c r="L13" s="127"/>
      <c r="M13" s="127">
        <v>621274</v>
      </c>
      <c r="N13" s="109"/>
      <c r="O13" s="19"/>
      <c r="P13" s="19"/>
      <c r="Q13" s="28"/>
    </row>
    <row r="14" spans="1:17" ht="24.9" customHeight="1">
      <c r="A14" s="20">
        <v>290</v>
      </c>
      <c r="B14" s="20" t="s">
        <v>4377</v>
      </c>
      <c r="C14" s="20"/>
      <c r="D14" s="20" t="s">
        <v>48</v>
      </c>
      <c r="E14" s="19" t="str">
        <f>VLOOKUP(D14,'لیست پرسنل'!$B$2:$E$1020,3,FALSE)</f>
        <v>فکورصنعت</v>
      </c>
      <c r="F14" s="19" t="str">
        <f>VLOOKUP(D14,'لیست پرسنل'!$B$2:$E$1020,4,FALSE)</f>
        <v>سرپرست آی تی</v>
      </c>
      <c r="G14" s="127">
        <f>VLOOKUP(D14,'لیست پرسنل'!$B$2:$F$1020,2,FALSE)</f>
        <v>2210</v>
      </c>
      <c r="H14" s="153" t="s">
        <v>3497</v>
      </c>
      <c r="I14" s="128"/>
      <c r="J14" s="128" t="s">
        <v>3321</v>
      </c>
      <c r="K14" s="128" t="s">
        <v>3320</v>
      </c>
      <c r="L14" s="127"/>
      <c r="M14" s="127">
        <v>615866</v>
      </c>
      <c r="N14" s="109"/>
      <c r="O14" s="19"/>
      <c r="P14" s="19"/>
      <c r="Q14" s="28"/>
    </row>
    <row r="15" spans="1:17" ht="24.9" customHeight="1">
      <c r="A15" s="20">
        <v>290</v>
      </c>
      <c r="B15" s="20" t="s">
        <v>4377</v>
      </c>
      <c r="C15" s="20"/>
      <c r="D15" s="20" t="s">
        <v>48</v>
      </c>
      <c r="E15" s="19" t="str">
        <f>VLOOKUP(D15,'لیست پرسنل'!$B$2:$E$1020,3,FALSE)</f>
        <v>فکورصنعت</v>
      </c>
      <c r="F15" s="19" t="str">
        <f>VLOOKUP(D15,'لیست پرسنل'!$B$2:$E$1020,4,FALSE)</f>
        <v>سرپرست آی تی</v>
      </c>
      <c r="G15" s="127">
        <f>VLOOKUP(D15,'لیست پرسنل'!$B$2:$F$1020,2,FALSE)</f>
        <v>2210</v>
      </c>
      <c r="H15" s="153" t="s">
        <v>3497</v>
      </c>
      <c r="I15" s="128"/>
      <c r="J15" s="128" t="s">
        <v>3321</v>
      </c>
      <c r="K15" s="128" t="s">
        <v>3320</v>
      </c>
      <c r="L15" s="127"/>
      <c r="M15" s="127">
        <v>615867</v>
      </c>
      <c r="N15" s="110"/>
      <c r="O15" s="19"/>
      <c r="P15" s="19"/>
      <c r="Q15" s="28"/>
    </row>
    <row r="16" spans="1:17" ht="24.9" customHeight="1">
      <c r="A16" s="20">
        <v>290</v>
      </c>
      <c r="B16" s="20" t="s">
        <v>4377</v>
      </c>
      <c r="C16" s="20"/>
      <c r="D16" s="19" t="s">
        <v>3499</v>
      </c>
      <c r="E16" s="19" t="str">
        <f>VLOOKUP(D16,'لیست پرسنل'!$B$2:$E$1020,3,FALSE)</f>
        <v>فکورصنعت</v>
      </c>
      <c r="F16" s="19" t="str">
        <f>VLOOKUP(D16,'لیست پرسنل'!$B$2:$E$1020,4,FALSE)</f>
        <v>مدیر سایت گهرزمین</v>
      </c>
      <c r="G16" s="127">
        <f>VLOOKUP(D16,'لیست پرسنل'!$B$2:$F$1020,2,FALSE)</f>
        <v>577</v>
      </c>
      <c r="H16" s="151" t="s">
        <v>3502</v>
      </c>
      <c r="I16" s="128"/>
      <c r="J16" s="127" t="s">
        <v>3476</v>
      </c>
      <c r="K16" s="128" t="s">
        <v>729</v>
      </c>
      <c r="L16" s="128"/>
      <c r="M16" s="128">
        <v>623331</v>
      </c>
      <c r="N16" s="108"/>
      <c r="O16" s="20" t="s">
        <v>3503</v>
      </c>
      <c r="P16" s="20"/>
      <c r="Q16" s="20"/>
    </row>
    <row r="17" spans="1:17" ht="24.9" customHeight="1">
      <c r="A17" s="20">
        <v>290</v>
      </c>
      <c r="B17" s="20" t="s">
        <v>4358</v>
      </c>
      <c r="C17" s="20"/>
      <c r="D17" s="19" t="s">
        <v>48</v>
      </c>
      <c r="E17" s="19" t="str">
        <f>VLOOKUP(D17,'لیست پرسنل'!$B$2:$E$1020,3,FALSE)</f>
        <v>فکورصنعت</v>
      </c>
      <c r="F17" s="19" t="str">
        <f>VLOOKUP(D17,'لیست پرسنل'!$B$2:$E$1020,4,FALSE)</f>
        <v>سرپرست آی تی</v>
      </c>
      <c r="G17" s="127">
        <f>VLOOKUP(D17,'لیست پرسنل'!$B$2:$F$1020,2,FALSE)</f>
        <v>2210</v>
      </c>
      <c r="H17" s="128" t="s">
        <v>3505</v>
      </c>
      <c r="I17" s="128" t="s">
        <v>976</v>
      </c>
      <c r="J17" s="128" t="s">
        <v>3476</v>
      </c>
      <c r="K17" s="128" t="s">
        <v>975</v>
      </c>
      <c r="L17" s="128" t="s">
        <v>978</v>
      </c>
      <c r="M17" s="128" t="s">
        <v>291</v>
      </c>
      <c r="N17" s="108"/>
      <c r="O17" s="20"/>
      <c r="P17" s="20"/>
      <c r="Q17" s="20"/>
    </row>
    <row r="18" spans="1:17" ht="24.9" customHeight="1">
      <c r="A18" s="20">
        <v>290</v>
      </c>
      <c r="B18" s="20" t="s">
        <v>4358</v>
      </c>
      <c r="C18" s="20"/>
      <c r="D18" s="19" t="s">
        <v>48</v>
      </c>
      <c r="E18" s="19" t="str">
        <f>VLOOKUP(D18,'لیست پرسنل'!$B$2:$E$1020,3,FALSE)</f>
        <v>فکورصنعت</v>
      </c>
      <c r="F18" s="19" t="str">
        <f>VLOOKUP(D18,'لیست پرسنل'!$B$2:$E$1020,4,FALSE)</f>
        <v>سرپرست آی تی</v>
      </c>
      <c r="G18" s="127">
        <f>VLOOKUP(D18,'لیست پرسنل'!$B$2:$F$1020,2,FALSE)</f>
        <v>2210</v>
      </c>
      <c r="H18" s="128" t="s">
        <v>3505</v>
      </c>
      <c r="I18" s="128" t="s">
        <v>977</v>
      </c>
      <c r="J18" s="128" t="s">
        <v>3476</v>
      </c>
      <c r="K18" s="128" t="s">
        <v>975</v>
      </c>
      <c r="L18" s="128" t="s">
        <v>979</v>
      </c>
      <c r="M18" s="128" t="s">
        <v>291</v>
      </c>
      <c r="N18" s="108"/>
      <c r="O18" s="20"/>
      <c r="P18" s="20"/>
      <c r="Q18" s="20"/>
    </row>
    <row r="19" spans="1:17" ht="24.9" customHeight="1">
      <c r="A19" s="20">
        <v>290</v>
      </c>
      <c r="B19" s="20" t="s">
        <v>4358</v>
      </c>
      <c r="C19" s="20"/>
      <c r="D19" s="19" t="s">
        <v>48</v>
      </c>
      <c r="E19" s="19" t="str">
        <f>VLOOKUP(D19,'لیست پرسنل'!$B$2:$E$1020,3,FALSE)</f>
        <v>فکورصنعت</v>
      </c>
      <c r="F19" s="19" t="str">
        <f>VLOOKUP(D19,'لیست پرسنل'!$B$2:$E$1020,4,FALSE)</f>
        <v>سرپرست آی تی</v>
      </c>
      <c r="G19" s="127">
        <f>VLOOKUP(D19,'لیست پرسنل'!$B$2:$F$1020,2,FALSE)</f>
        <v>2210</v>
      </c>
      <c r="H19" s="128" t="s">
        <v>3505</v>
      </c>
      <c r="I19" s="128" t="s">
        <v>981</v>
      </c>
      <c r="J19" s="128" t="s">
        <v>3476</v>
      </c>
      <c r="K19" s="128" t="s">
        <v>980</v>
      </c>
      <c r="L19" s="128" t="s">
        <v>5025</v>
      </c>
      <c r="M19" s="128" t="s">
        <v>291</v>
      </c>
      <c r="N19" s="108"/>
      <c r="O19" s="20"/>
      <c r="P19" s="20"/>
      <c r="Q19" s="20"/>
    </row>
    <row r="20" spans="1:17" ht="24.9" customHeight="1">
      <c r="A20" s="20">
        <v>290</v>
      </c>
      <c r="B20" s="20" t="s">
        <v>4358</v>
      </c>
      <c r="C20" s="19"/>
      <c r="D20" s="20" t="s">
        <v>48</v>
      </c>
      <c r="E20" s="19" t="str">
        <f>VLOOKUP(D20,'لیست پرسنل'!$B$2:$E$1020,3,FALSE)</f>
        <v>فکورصنعت</v>
      </c>
      <c r="F20" s="19" t="str">
        <f>VLOOKUP(D20,'لیست پرسنل'!$B$2:$E$1020,4,FALSE)</f>
        <v>سرپرست آی تی</v>
      </c>
      <c r="G20" s="127">
        <f>VLOOKUP(D20,'لیست پرسنل'!$B$2:$F$1020,2,FALSE)</f>
        <v>2210</v>
      </c>
      <c r="H20" s="128" t="s">
        <v>3505</v>
      </c>
      <c r="I20" s="128"/>
      <c r="J20" s="128" t="s">
        <v>3145</v>
      </c>
      <c r="K20" s="128" t="s">
        <v>2736</v>
      </c>
      <c r="L20" s="128"/>
      <c r="M20" s="128">
        <v>625693</v>
      </c>
      <c r="N20" s="108"/>
      <c r="O20" s="19"/>
      <c r="P20" s="20"/>
      <c r="Q20" s="20"/>
    </row>
    <row r="21" spans="1:17" ht="24.9" customHeight="1">
      <c r="A21" s="20">
        <v>290</v>
      </c>
      <c r="B21" s="20" t="s">
        <v>4358</v>
      </c>
      <c r="C21" s="20"/>
      <c r="D21" s="19" t="s">
        <v>48</v>
      </c>
      <c r="E21" s="19" t="str">
        <f>VLOOKUP(D21,'لیست پرسنل'!$B$2:$E$1020,3,FALSE)</f>
        <v>فکورصنعت</v>
      </c>
      <c r="F21" s="19" t="str">
        <f>VLOOKUP(D21,'لیست پرسنل'!$B$2:$E$1020,4,FALSE)</f>
        <v>سرپرست آی تی</v>
      </c>
      <c r="G21" s="127">
        <f>VLOOKUP(D21,'لیست پرسنل'!$B$2:$F$1020,2,FALSE)</f>
        <v>2210</v>
      </c>
      <c r="H21" s="128" t="s">
        <v>3505</v>
      </c>
      <c r="I21" s="128"/>
      <c r="J21" s="128" t="s">
        <v>3496</v>
      </c>
      <c r="K21" s="128" t="s">
        <v>989</v>
      </c>
      <c r="L21" s="128" t="s">
        <v>990</v>
      </c>
      <c r="M21" s="128" t="s">
        <v>291</v>
      </c>
      <c r="N21" s="108"/>
      <c r="O21" s="20"/>
      <c r="P21" s="20"/>
      <c r="Q21" s="20"/>
    </row>
    <row r="22" spans="1:17" ht="24.9" customHeight="1">
      <c r="A22" s="20">
        <v>290</v>
      </c>
      <c r="B22" s="20" t="s">
        <v>4358</v>
      </c>
      <c r="C22" s="20"/>
      <c r="D22" s="19" t="s">
        <v>48</v>
      </c>
      <c r="E22" s="19" t="str">
        <f>VLOOKUP(D22,'لیست پرسنل'!$B$2:$E$1020,3,FALSE)</f>
        <v>فکورصنعت</v>
      </c>
      <c r="F22" s="19" t="str">
        <f>VLOOKUP(D22,'لیست پرسنل'!$B$2:$E$1020,4,FALSE)</f>
        <v>سرپرست آی تی</v>
      </c>
      <c r="G22" s="127">
        <f>VLOOKUP(D22,'لیست پرسنل'!$B$2:$F$1020,2,FALSE)</f>
        <v>2210</v>
      </c>
      <c r="H22" s="128" t="s">
        <v>3505</v>
      </c>
      <c r="I22" s="128"/>
      <c r="J22" s="128" t="s">
        <v>3483</v>
      </c>
      <c r="K22" s="128" t="s">
        <v>991</v>
      </c>
      <c r="L22" s="128"/>
      <c r="M22" s="128" t="s">
        <v>291</v>
      </c>
      <c r="N22" s="108"/>
      <c r="O22" s="20"/>
      <c r="P22" s="20"/>
      <c r="Q22" s="20"/>
    </row>
    <row r="23" spans="1:17" ht="24.9" customHeight="1">
      <c r="A23" s="20">
        <v>290</v>
      </c>
      <c r="B23" s="20" t="s">
        <v>4358</v>
      </c>
      <c r="C23" s="20"/>
      <c r="D23" s="19" t="s">
        <v>48</v>
      </c>
      <c r="E23" s="19" t="str">
        <f>VLOOKUP(D23,'لیست پرسنل'!$B$2:$E$1020,3,FALSE)</f>
        <v>فکورصنعت</v>
      </c>
      <c r="F23" s="19" t="str">
        <f>VLOOKUP(D23,'لیست پرسنل'!$B$2:$E$1020,4,FALSE)</f>
        <v>سرپرست آی تی</v>
      </c>
      <c r="G23" s="127">
        <f>VLOOKUP(D23,'لیست پرسنل'!$B$2:$F$1020,2,FALSE)</f>
        <v>2210</v>
      </c>
      <c r="H23" s="128" t="s">
        <v>3505</v>
      </c>
      <c r="I23" s="128"/>
      <c r="J23" s="128" t="s">
        <v>3285</v>
      </c>
      <c r="K23" s="128" t="s">
        <v>844</v>
      </c>
      <c r="L23" s="128"/>
      <c r="M23" s="128">
        <v>622828</v>
      </c>
      <c r="N23" s="108"/>
      <c r="O23" s="20"/>
      <c r="P23" s="20"/>
      <c r="Q23" s="20"/>
    </row>
    <row r="24" spans="1:17" ht="24.9" customHeight="1">
      <c r="A24" s="20">
        <v>290</v>
      </c>
      <c r="B24" s="20" t="s">
        <v>4358</v>
      </c>
      <c r="C24" s="20"/>
      <c r="D24" s="19" t="s">
        <v>48</v>
      </c>
      <c r="E24" s="19" t="str">
        <f>VLOOKUP(D24,'لیست پرسنل'!$B$2:$E$1020,3,FALSE)</f>
        <v>فکورصنعت</v>
      </c>
      <c r="F24" s="19" t="str">
        <f>VLOOKUP(D24,'لیست پرسنل'!$B$2:$E$1020,4,FALSE)</f>
        <v>سرپرست آی تی</v>
      </c>
      <c r="G24" s="127">
        <f>VLOOKUP(D24,'لیست پرسنل'!$B$2:$F$1020,2,FALSE)</f>
        <v>2210</v>
      </c>
      <c r="H24" s="128" t="s">
        <v>3505</v>
      </c>
      <c r="I24" s="128"/>
      <c r="J24" s="128" t="s">
        <v>3285</v>
      </c>
      <c r="K24" s="128" t="s">
        <v>972</v>
      </c>
      <c r="L24" s="128"/>
      <c r="M24" s="128" t="s">
        <v>291</v>
      </c>
      <c r="N24" s="108"/>
      <c r="O24" s="20"/>
      <c r="P24" s="20"/>
      <c r="Q24" s="20"/>
    </row>
    <row r="25" spans="1:17" ht="24.9" customHeight="1">
      <c r="A25" s="20">
        <v>290</v>
      </c>
      <c r="B25" s="20" t="s">
        <v>4358</v>
      </c>
      <c r="C25" s="20"/>
      <c r="D25" s="19" t="s">
        <v>48</v>
      </c>
      <c r="E25" s="19" t="str">
        <f>VLOOKUP(D25,'لیست پرسنل'!$B$2:$E$1020,3,FALSE)</f>
        <v>فکورصنعت</v>
      </c>
      <c r="F25" s="19" t="str">
        <f>VLOOKUP(D25,'لیست پرسنل'!$B$2:$E$1020,4,FALSE)</f>
        <v>سرپرست آی تی</v>
      </c>
      <c r="G25" s="127">
        <f>VLOOKUP(D25,'لیست پرسنل'!$B$2:$F$1020,2,FALSE)</f>
        <v>2210</v>
      </c>
      <c r="H25" s="128" t="s">
        <v>3505</v>
      </c>
      <c r="I25" s="128"/>
      <c r="J25" s="128" t="s">
        <v>2886</v>
      </c>
      <c r="K25" s="128" t="s">
        <v>982</v>
      </c>
      <c r="L25" s="128"/>
      <c r="M25" s="128" t="s">
        <v>291</v>
      </c>
      <c r="N25" s="108"/>
      <c r="O25" s="20"/>
      <c r="P25" s="20"/>
      <c r="Q25" s="20"/>
    </row>
    <row r="26" spans="1:17" ht="24.9" customHeight="1">
      <c r="A26" s="20">
        <v>290</v>
      </c>
      <c r="B26" s="20" t="s">
        <v>4358</v>
      </c>
      <c r="C26" s="20"/>
      <c r="D26" s="19" t="s">
        <v>48</v>
      </c>
      <c r="E26" s="19" t="str">
        <f>VLOOKUP(D26,'لیست پرسنل'!$B$2:$E$1020,3,FALSE)</f>
        <v>فکورصنعت</v>
      </c>
      <c r="F26" s="19" t="str">
        <f>VLOOKUP(D26,'لیست پرسنل'!$B$2:$E$1020,4,FALSE)</f>
        <v>سرپرست آی تی</v>
      </c>
      <c r="G26" s="127">
        <f>VLOOKUP(D26,'لیست پرسنل'!$B$2:$F$1020,2,FALSE)</f>
        <v>2210</v>
      </c>
      <c r="H26" s="128" t="s">
        <v>3505</v>
      </c>
      <c r="I26" s="128"/>
      <c r="J26" s="128" t="s">
        <v>3476</v>
      </c>
      <c r="K26" s="128" t="s">
        <v>983</v>
      </c>
      <c r="L26" s="128" t="s">
        <v>984</v>
      </c>
      <c r="M26" s="128" t="s">
        <v>291</v>
      </c>
      <c r="N26" s="108"/>
      <c r="O26" s="20"/>
      <c r="P26" s="20"/>
      <c r="Q26" s="20"/>
    </row>
    <row r="27" spans="1:17" ht="24.9" customHeight="1">
      <c r="A27" s="20">
        <v>290</v>
      </c>
      <c r="B27" s="20" t="s">
        <v>4358</v>
      </c>
      <c r="C27" s="20"/>
      <c r="D27" s="19" t="s">
        <v>48</v>
      </c>
      <c r="E27" s="19" t="str">
        <f>VLOOKUP(D27,'لیست پرسنل'!$B$2:$E$1020,3,FALSE)</f>
        <v>فکورصنعت</v>
      </c>
      <c r="F27" s="19" t="str">
        <f>VLOOKUP(D27,'لیست پرسنل'!$B$2:$E$1020,4,FALSE)</f>
        <v>سرپرست آی تی</v>
      </c>
      <c r="G27" s="127">
        <f>VLOOKUP(D27,'لیست پرسنل'!$B$2:$F$1020,2,FALSE)</f>
        <v>2210</v>
      </c>
      <c r="H27" s="128" t="s">
        <v>3505</v>
      </c>
      <c r="I27" s="128"/>
      <c r="J27" s="128" t="s">
        <v>3506</v>
      </c>
      <c r="K27" s="128" t="s">
        <v>973</v>
      </c>
      <c r="L27" s="128" t="s">
        <v>974</v>
      </c>
      <c r="M27" s="128" t="s">
        <v>291</v>
      </c>
      <c r="N27" s="108"/>
      <c r="O27" s="20"/>
      <c r="P27" s="20"/>
      <c r="Q27" s="20"/>
    </row>
    <row r="28" spans="1:17" ht="24.9" customHeight="1">
      <c r="A28" s="20">
        <v>290</v>
      </c>
      <c r="B28" s="20" t="s">
        <v>4358</v>
      </c>
      <c r="C28" s="20"/>
      <c r="D28" s="20" t="s">
        <v>48</v>
      </c>
      <c r="E28" s="19" t="str">
        <f>VLOOKUP(D28,'لیست پرسنل'!$B$2:$E$1020,3,FALSE)</f>
        <v>فکورصنعت</v>
      </c>
      <c r="F28" s="19" t="str">
        <f>VLOOKUP(D28,'لیست پرسنل'!$B$2:$E$1020,4,FALSE)</f>
        <v>سرپرست آی تی</v>
      </c>
      <c r="G28" s="127">
        <f>VLOOKUP(D28,'لیست پرسنل'!$B$2:$F$1020,2,FALSE)</f>
        <v>2210</v>
      </c>
      <c r="H28" s="128" t="s">
        <v>4305</v>
      </c>
      <c r="I28" s="128"/>
      <c r="J28" s="128" t="s">
        <v>3481</v>
      </c>
      <c r="K28" s="128" t="s">
        <v>1650</v>
      </c>
      <c r="L28" s="149"/>
      <c r="M28" s="129">
        <v>608055</v>
      </c>
      <c r="N28" s="108"/>
      <c r="O28" s="20" t="s">
        <v>1652</v>
      </c>
      <c r="P28" s="20"/>
      <c r="Q28" s="20"/>
    </row>
    <row r="29" spans="1:17" ht="24.9" customHeight="1">
      <c r="A29" s="20">
        <v>362</v>
      </c>
      <c r="B29" s="20" t="s">
        <v>4345</v>
      </c>
      <c r="C29" s="20"/>
      <c r="D29" s="20" t="s">
        <v>48</v>
      </c>
      <c r="E29" s="19" t="str">
        <f>VLOOKUP(D29,'لیست پرسنل'!$B$2:$E$1020,3,FALSE)</f>
        <v>فکورصنعت</v>
      </c>
      <c r="F29" s="19" t="str">
        <f>VLOOKUP(D29,'لیست پرسنل'!$B$2:$E$1020,4,FALSE)</f>
        <v>سرپرست آی تی</v>
      </c>
      <c r="G29" s="127">
        <f>VLOOKUP(D29,'لیست پرسنل'!$B$2:$F$1020,2,FALSE)</f>
        <v>2210</v>
      </c>
      <c r="H29" s="126" t="s">
        <v>4289</v>
      </c>
      <c r="I29" s="126"/>
      <c r="J29" s="128" t="s">
        <v>3383</v>
      </c>
      <c r="K29" s="128" t="s">
        <v>593</v>
      </c>
      <c r="L29" s="150" t="s">
        <v>594</v>
      </c>
      <c r="M29" s="127">
        <v>604125</v>
      </c>
      <c r="N29" s="108"/>
      <c r="O29" s="20" t="s">
        <v>735</v>
      </c>
      <c r="P29" s="20"/>
      <c r="Q29" s="20"/>
    </row>
    <row r="30" spans="1:17" ht="24.9" customHeight="1">
      <c r="A30" s="20">
        <v>362</v>
      </c>
      <c r="B30" s="20" t="s">
        <v>4345</v>
      </c>
      <c r="C30" s="20"/>
      <c r="D30" s="20" t="s">
        <v>48</v>
      </c>
      <c r="E30" s="19" t="str">
        <f>VLOOKUP(D30,'لیست پرسنل'!$B$2:$E$1020,3,FALSE)</f>
        <v>فکورصنعت</v>
      </c>
      <c r="F30" s="19" t="str">
        <f>VLOOKUP(D30,'لیست پرسنل'!$B$2:$E$1020,4,FALSE)</f>
        <v>سرپرست آی تی</v>
      </c>
      <c r="G30" s="127">
        <f>VLOOKUP(D30,'لیست پرسنل'!$B$2:$F$1020,2,FALSE)</f>
        <v>2210</v>
      </c>
      <c r="H30" s="126" t="s">
        <v>4289</v>
      </c>
      <c r="I30" s="128"/>
      <c r="J30" s="141" t="s">
        <v>571</v>
      </c>
      <c r="K30" s="141" t="s">
        <v>571</v>
      </c>
      <c r="L30" s="140" t="s">
        <v>3253</v>
      </c>
      <c r="M30" s="127">
        <v>624585</v>
      </c>
      <c r="N30" s="108"/>
      <c r="O30" s="20" t="s">
        <v>705</v>
      </c>
      <c r="P30" s="20"/>
      <c r="Q30" s="20"/>
    </row>
    <row r="31" spans="1:17" ht="24.9" customHeight="1">
      <c r="A31" s="20">
        <v>362</v>
      </c>
      <c r="B31" s="20" t="s">
        <v>4345</v>
      </c>
      <c r="C31" s="19"/>
      <c r="D31" s="20" t="s">
        <v>48</v>
      </c>
      <c r="E31" s="19" t="str">
        <f>VLOOKUP(D31,'لیست پرسنل'!$B$2:$E$1020,3,FALSE)</f>
        <v>فکورصنعت</v>
      </c>
      <c r="F31" s="19" t="str">
        <f>VLOOKUP(D31,'لیست پرسنل'!$B$2:$E$1020,4,FALSE)</f>
        <v>سرپرست آی تی</v>
      </c>
      <c r="G31" s="127">
        <f>VLOOKUP(D31,'لیست پرسنل'!$B$2:$F$1020,2,FALSE)</f>
        <v>2210</v>
      </c>
      <c r="H31" s="126" t="s">
        <v>4289</v>
      </c>
      <c r="I31" s="128"/>
      <c r="J31" s="128" t="s">
        <v>3313</v>
      </c>
      <c r="K31" s="128" t="s">
        <v>965</v>
      </c>
      <c r="L31" s="150" t="s">
        <v>1103</v>
      </c>
      <c r="M31" s="127">
        <v>605524</v>
      </c>
      <c r="N31" s="108"/>
      <c r="O31" s="20" t="s">
        <v>966</v>
      </c>
      <c r="P31" s="20"/>
      <c r="Q31" s="20"/>
    </row>
    <row r="32" spans="1:17" ht="24.9" customHeight="1">
      <c r="A32" s="20">
        <v>362</v>
      </c>
      <c r="B32" s="20" t="s">
        <v>4345</v>
      </c>
      <c r="C32" s="19"/>
      <c r="D32" s="19" t="s">
        <v>48</v>
      </c>
      <c r="E32" s="19" t="str">
        <f>VLOOKUP(D32,'لیست پرسنل'!$B$2:$E$1020,3,FALSE)</f>
        <v>فکورصنعت</v>
      </c>
      <c r="F32" s="19" t="str">
        <f>VLOOKUP(D32,'لیست پرسنل'!$B$2:$E$1020,4,FALSE)</f>
        <v>سرپرست آی تی</v>
      </c>
      <c r="G32" s="127">
        <f>VLOOKUP(D32,'لیست پرسنل'!$B$2:$F$1020,2,FALSE)</f>
        <v>2210</v>
      </c>
      <c r="H32" s="151" t="s">
        <v>4290</v>
      </c>
      <c r="I32" s="127" t="s">
        <v>4325</v>
      </c>
      <c r="J32" s="128" t="s">
        <v>2686</v>
      </c>
      <c r="K32" s="128" t="s">
        <v>744</v>
      </c>
      <c r="L32" s="151" t="s">
        <v>1419</v>
      </c>
      <c r="M32" s="127">
        <v>604611</v>
      </c>
      <c r="N32" s="109"/>
      <c r="O32" s="19" t="s">
        <v>8560</v>
      </c>
      <c r="P32" s="20"/>
      <c r="Q32" s="20"/>
    </row>
    <row r="33" spans="1:17" ht="24.9" customHeight="1">
      <c r="A33" s="20">
        <v>362</v>
      </c>
      <c r="B33" s="20" t="s">
        <v>4345</v>
      </c>
      <c r="C33" s="20"/>
      <c r="D33" s="20" t="s">
        <v>48</v>
      </c>
      <c r="E33" s="19" t="str">
        <f>VLOOKUP(D33,'لیست پرسنل'!$B$2:$E$1020,3,FALSE)</f>
        <v>فکورصنعت</v>
      </c>
      <c r="F33" s="19" t="str">
        <f>VLOOKUP(D33,'لیست پرسنل'!$B$2:$E$1020,4,FALSE)</f>
        <v>سرپرست آی تی</v>
      </c>
      <c r="G33" s="127">
        <f>VLOOKUP(D33,'لیست پرسنل'!$B$2:$F$1020,2,FALSE)</f>
        <v>2210</v>
      </c>
      <c r="H33" s="126" t="s">
        <v>4290</v>
      </c>
      <c r="I33" s="128" t="s">
        <v>6242</v>
      </c>
      <c r="J33" s="128" t="s">
        <v>3481</v>
      </c>
      <c r="K33" s="128" t="s">
        <v>6244</v>
      </c>
      <c r="L33" s="150" t="s">
        <v>6243</v>
      </c>
      <c r="M33" s="128" t="s">
        <v>291</v>
      </c>
      <c r="N33" s="108"/>
      <c r="O33" s="20" t="s">
        <v>6248</v>
      </c>
      <c r="P33" s="20"/>
      <c r="Q33" s="20"/>
    </row>
    <row r="34" spans="1:17" ht="24.9" customHeight="1">
      <c r="A34" s="20">
        <v>362</v>
      </c>
      <c r="B34" s="20" t="s">
        <v>4345</v>
      </c>
      <c r="C34" s="20"/>
      <c r="D34" s="20" t="s">
        <v>48</v>
      </c>
      <c r="E34" s="19" t="str">
        <f>VLOOKUP(D34,'لیست پرسنل'!$B$2:$E$1020,3,FALSE)</f>
        <v>فکورصنعت</v>
      </c>
      <c r="F34" s="19" t="str">
        <f>VLOOKUP(D34,'لیست پرسنل'!$B$2:$E$1020,4,FALSE)</f>
        <v>سرپرست آی تی</v>
      </c>
      <c r="G34" s="127">
        <f>VLOOKUP(D34,'لیست پرسنل'!$B$2:$F$1020,2,FALSE)</f>
        <v>2210</v>
      </c>
      <c r="H34" s="130" t="s">
        <v>4290</v>
      </c>
      <c r="I34" s="128"/>
      <c r="J34" s="128" t="s">
        <v>3889</v>
      </c>
      <c r="K34" s="130" t="s">
        <v>2574</v>
      </c>
      <c r="L34" s="151"/>
      <c r="M34" s="130">
        <v>606538</v>
      </c>
      <c r="N34" s="108"/>
      <c r="O34" s="20" t="s">
        <v>5099</v>
      </c>
      <c r="P34" s="20"/>
      <c r="Q34" s="20"/>
    </row>
    <row r="35" spans="1:17" ht="24.9" customHeight="1">
      <c r="A35" s="20">
        <v>362</v>
      </c>
      <c r="B35" s="20" t="s">
        <v>4345</v>
      </c>
      <c r="C35" s="19"/>
      <c r="D35" s="20" t="s">
        <v>48</v>
      </c>
      <c r="E35" s="19" t="str">
        <f>VLOOKUP(D35,'لیست پرسنل'!$B$2:$E$1020,3,FALSE)</f>
        <v>فکورصنعت</v>
      </c>
      <c r="F35" s="19" t="str">
        <f>VLOOKUP(D35,'لیست پرسنل'!$B$2:$E$1020,4,FALSE)</f>
        <v>سرپرست آی تی</v>
      </c>
      <c r="G35" s="127">
        <f>VLOOKUP(D35,'لیست پرسنل'!$B$2:$F$1020,2,FALSE)</f>
        <v>2210</v>
      </c>
      <c r="H35" s="126" t="s">
        <v>4290</v>
      </c>
      <c r="I35" s="128"/>
      <c r="J35" s="128" t="s">
        <v>4313</v>
      </c>
      <c r="K35" s="127" t="s">
        <v>2762</v>
      </c>
      <c r="L35" s="150" t="s">
        <v>2760</v>
      </c>
      <c r="M35" s="128">
        <v>612772</v>
      </c>
      <c r="N35" s="108"/>
      <c r="O35" s="20"/>
      <c r="P35" s="20"/>
      <c r="Q35" s="20"/>
    </row>
    <row r="36" spans="1:17" ht="24.9" customHeight="1">
      <c r="A36" s="20">
        <v>362</v>
      </c>
      <c r="B36" s="20" t="s">
        <v>4345</v>
      </c>
      <c r="C36" s="20"/>
      <c r="D36" s="20" t="s">
        <v>48</v>
      </c>
      <c r="E36" s="19" t="str">
        <f>VLOOKUP(D36,'لیست پرسنل'!$B$2:$E$1020,3,FALSE)</f>
        <v>فکورصنعت</v>
      </c>
      <c r="F36" s="19" t="str">
        <f>VLOOKUP(D36,'لیست پرسنل'!$B$2:$E$1020,4,FALSE)</f>
        <v>سرپرست آی تی</v>
      </c>
      <c r="G36" s="127">
        <f>VLOOKUP(D36,'لیست پرسنل'!$B$2:$F$1020,2,FALSE)</f>
        <v>2210</v>
      </c>
      <c r="H36" s="126" t="s">
        <v>4290</v>
      </c>
      <c r="I36" s="128"/>
      <c r="J36" s="128" t="s">
        <v>4313</v>
      </c>
      <c r="K36" s="128" t="s">
        <v>587</v>
      </c>
      <c r="L36" s="151" t="s">
        <v>883</v>
      </c>
      <c r="M36" s="127">
        <v>613480</v>
      </c>
      <c r="N36" s="108"/>
      <c r="O36" s="20" t="s">
        <v>611</v>
      </c>
      <c r="P36" s="20"/>
      <c r="Q36" s="20"/>
    </row>
    <row r="37" spans="1:17" ht="24.9" customHeight="1">
      <c r="A37" s="20">
        <v>362</v>
      </c>
      <c r="B37" s="20" t="s">
        <v>4345</v>
      </c>
      <c r="C37" s="20"/>
      <c r="D37" s="20" t="s">
        <v>48</v>
      </c>
      <c r="E37" s="19" t="str">
        <f>VLOOKUP(D37,'لیست پرسنل'!$B$2:$E$1020,3,FALSE)</f>
        <v>فکورصنعت</v>
      </c>
      <c r="F37" s="19" t="str">
        <f>VLOOKUP(D37,'لیست پرسنل'!$B$2:$E$1020,4,FALSE)</f>
        <v>سرپرست آی تی</v>
      </c>
      <c r="G37" s="127">
        <f>VLOOKUP(D37,'لیست پرسنل'!$B$2:$F$1020,2,FALSE)</f>
        <v>2210</v>
      </c>
      <c r="H37" s="126" t="s">
        <v>4290</v>
      </c>
      <c r="I37" s="128"/>
      <c r="J37" s="128" t="s">
        <v>4313</v>
      </c>
      <c r="K37" s="128" t="s">
        <v>587</v>
      </c>
      <c r="L37" s="151" t="s">
        <v>588</v>
      </c>
      <c r="M37" s="127">
        <v>613481</v>
      </c>
      <c r="N37" s="108"/>
      <c r="O37" s="20" t="s">
        <v>611</v>
      </c>
      <c r="P37" s="20"/>
      <c r="Q37" s="20"/>
    </row>
    <row r="38" spans="1:17" ht="24.9" customHeight="1">
      <c r="A38" s="20">
        <v>362</v>
      </c>
      <c r="B38" s="20" t="s">
        <v>4345</v>
      </c>
      <c r="C38" s="20"/>
      <c r="D38" s="20" t="s">
        <v>48</v>
      </c>
      <c r="E38" s="19" t="str">
        <f>VLOOKUP(D38,'لیست پرسنل'!$B$2:$E$1020,3,FALSE)</f>
        <v>فکورصنعت</v>
      </c>
      <c r="F38" s="19" t="str">
        <f>VLOOKUP(D38,'لیست پرسنل'!$B$2:$E$1020,4,FALSE)</f>
        <v>سرپرست آی تی</v>
      </c>
      <c r="G38" s="127">
        <f>VLOOKUP(D38,'لیست پرسنل'!$B$2:$F$1020,2,FALSE)</f>
        <v>2210</v>
      </c>
      <c r="H38" s="126" t="s">
        <v>4290</v>
      </c>
      <c r="I38" s="128"/>
      <c r="J38" s="128" t="s">
        <v>3322</v>
      </c>
      <c r="K38" s="128" t="s">
        <v>589</v>
      </c>
      <c r="L38" s="151" t="s">
        <v>590</v>
      </c>
      <c r="M38" s="127">
        <v>615228</v>
      </c>
      <c r="N38" s="108"/>
      <c r="O38" s="20" t="s">
        <v>611</v>
      </c>
      <c r="P38" s="20"/>
      <c r="Q38" s="20"/>
    </row>
    <row r="39" spans="1:17" ht="24.9" customHeight="1">
      <c r="A39" s="20">
        <v>362</v>
      </c>
      <c r="B39" s="20" t="s">
        <v>4345</v>
      </c>
      <c r="C39" s="19"/>
      <c r="D39" s="20" t="s">
        <v>48</v>
      </c>
      <c r="E39" s="19" t="str">
        <f>VLOOKUP(D39,'لیست پرسنل'!$B$2:$E$1020,3,FALSE)</f>
        <v>فکورصنعت</v>
      </c>
      <c r="F39" s="19" t="str">
        <f>VLOOKUP(D39,'لیست پرسنل'!$B$2:$E$1020,4,FALSE)</f>
        <v>سرپرست آی تی</v>
      </c>
      <c r="G39" s="127">
        <f>VLOOKUP(D39,'لیست پرسنل'!$B$2:$F$1020,2,FALSE)</f>
        <v>2210</v>
      </c>
      <c r="H39" s="126" t="s">
        <v>4290</v>
      </c>
      <c r="I39" s="128"/>
      <c r="J39" s="128" t="s">
        <v>3322</v>
      </c>
      <c r="K39" s="127" t="s">
        <v>2761</v>
      </c>
      <c r="L39" s="150" t="s">
        <v>1144</v>
      </c>
      <c r="M39" s="128">
        <v>621560</v>
      </c>
      <c r="N39" s="108"/>
      <c r="O39" s="20" t="s">
        <v>794</v>
      </c>
      <c r="P39" s="20"/>
      <c r="Q39" s="20"/>
    </row>
    <row r="40" spans="1:17" ht="24.9" customHeight="1">
      <c r="A40" s="20">
        <v>362</v>
      </c>
      <c r="B40" s="20" t="s">
        <v>4345</v>
      </c>
      <c r="C40" s="20"/>
      <c r="D40" s="20" t="s">
        <v>48</v>
      </c>
      <c r="E40" s="19" t="str">
        <f>VLOOKUP(D40,'لیست پرسنل'!$B$2:$E$1020,3,FALSE)</f>
        <v>فکورصنعت</v>
      </c>
      <c r="F40" s="19" t="str">
        <f>VLOOKUP(D40,'لیست پرسنل'!$B$2:$E$1020,4,FALSE)</f>
        <v>سرپرست آی تی</v>
      </c>
      <c r="G40" s="127">
        <f>VLOOKUP(D40,'لیست پرسنل'!$B$2:$F$1020,2,FALSE)</f>
        <v>2210</v>
      </c>
      <c r="H40" s="128" t="s">
        <v>4290</v>
      </c>
      <c r="I40" s="128"/>
      <c r="J40" s="128" t="s">
        <v>3322</v>
      </c>
      <c r="K40" s="128" t="s">
        <v>3324</v>
      </c>
      <c r="L40" s="127"/>
      <c r="M40" s="127">
        <v>621829</v>
      </c>
      <c r="N40" s="109"/>
      <c r="O40" s="19"/>
      <c r="P40" s="19"/>
      <c r="Q40" s="28"/>
    </row>
    <row r="41" spans="1:17" ht="24.9" customHeight="1">
      <c r="A41" s="20">
        <v>362</v>
      </c>
      <c r="B41" s="20" t="s">
        <v>4345</v>
      </c>
      <c r="C41" s="20"/>
      <c r="D41" s="20" t="s">
        <v>48</v>
      </c>
      <c r="E41" s="19" t="str">
        <f>VLOOKUP(D41,'لیست پرسنل'!$B$2:$E$1020,3,FALSE)</f>
        <v>فکورصنعت</v>
      </c>
      <c r="F41" s="19" t="str">
        <f>VLOOKUP(D41,'لیست پرسنل'!$B$2:$E$1020,4,FALSE)</f>
        <v>سرپرست آی تی</v>
      </c>
      <c r="G41" s="127">
        <f>VLOOKUP(D41,'لیست پرسنل'!$B$2:$F$1020,2,FALSE)</f>
        <v>2210</v>
      </c>
      <c r="H41" s="128" t="s">
        <v>4290</v>
      </c>
      <c r="I41" s="128"/>
      <c r="J41" s="128" t="s">
        <v>3322</v>
      </c>
      <c r="K41" s="128" t="s">
        <v>5108</v>
      </c>
      <c r="L41" s="127" t="s">
        <v>5109</v>
      </c>
      <c r="M41" s="127">
        <v>633793</v>
      </c>
      <c r="N41" s="109"/>
      <c r="O41" s="19" t="s">
        <v>6877</v>
      </c>
      <c r="P41" s="32"/>
      <c r="Q41" s="32"/>
    </row>
    <row r="42" spans="1:17" ht="24.9" customHeight="1">
      <c r="A42" s="20">
        <v>362</v>
      </c>
      <c r="B42" s="20" t="s">
        <v>4345</v>
      </c>
      <c r="C42" s="20"/>
      <c r="D42" s="20" t="s">
        <v>48</v>
      </c>
      <c r="E42" s="19" t="str">
        <f>VLOOKUP(D42,'لیست پرسنل'!$B$2:$E$1020,3,FALSE)</f>
        <v>فکورصنعت</v>
      </c>
      <c r="F42" s="19" t="str">
        <f>VLOOKUP(D42,'لیست پرسنل'!$B$2:$E$1020,4,FALSE)</f>
        <v>سرپرست آی تی</v>
      </c>
      <c r="G42" s="127">
        <f>VLOOKUP(D42,'لیست پرسنل'!$B$2:$F$1020,2,FALSE)</f>
        <v>2210</v>
      </c>
      <c r="H42" s="126" t="s">
        <v>4290</v>
      </c>
      <c r="I42" s="128"/>
      <c r="J42" s="128" t="s">
        <v>3322</v>
      </c>
      <c r="K42" s="128" t="s">
        <v>1057</v>
      </c>
      <c r="L42" s="151" t="s">
        <v>1056</v>
      </c>
      <c r="M42" s="126" t="s">
        <v>291</v>
      </c>
      <c r="N42" s="108"/>
      <c r="O42" s="20" t="s">
        <v>611</v>
      </c>
      <c r="P42" s="20"/>
      <c r="Q42" s="20"/>
    </row>
    <row r="43" spans="1:17" ht="24.9" customHeight="1">
      <c r="A43" s="20">
        <v>362</v>
      </c>
      <c r="B43" s="20" t="s">
        <v>4345</v>
      </c>
      <c r="C43" s="20"/>
      <c r="D43" s="20" t="s">
        <v>48</v>
      </c>
      <c r="E43" s="19" t="str">
        <f>VLOOKUP(D43,'لیست پرسنل'!$B$2:$E$1020,3,FALSE)</f>
        <v>فکورصنعت</v>
      </c>
      <c r="F43" s="19" t="str">
        <f>VLOOKUP(D43,'لیست پرسنل'!$B$2:$E$1020,4,FALSE)</f>
        <v>سرپرست آی تی</v>
      </c>
      <c r="G43" s="127">
        <f>VLOOKUP(D43,'لیست پرسنل'!$B$2:$F$1020,2,FALSE)</f>
        <v>2210</v>
      </c>
      <c r="H43" s="126" t="s">
        <v>4290</v>
      </c>
      <c r="I43" s="128"/>
      <c r="J43" s="128" t="s">
        <v>3145</v>
      </c>
      <c r="K43" s="126" t="s">
        <v>995</v>
      </c>
      <c r="L43" s="127"/>
      <c r="M43" s="126">
        <v>605454</v>
      </c>
      <c r="N43" s="108"/>
      <c r="O43" s="19" t="s">
        <v>2763</v>
      </c>
      <c r="P43" s="20"/>
      <c r="Q43" s="20"/>
    </row>
    <row r="44" spans="1:17" ht="24.9" customHeight="1">
      <c r="A44" s="20">
        <v>362</v>
      </c>
      <c r="B44" s="20" t="s">
        <v>4345</v>
      </c>
      <c r="C44" s="20"/>
      <c r="D44" s="20" t="s">
        <v>48</v>
      </c>
      <c r="E44" s="19" t="str">
        <f>VLOOKUP(D44,'لیست پرسنل'!$B$2:$E$1020,3,FALSE)</f>
        <v>فکورصنعت</v>
      </c>
      <c r="F44" s="19" t="str">
        <f>VLOOKUP(D44,'لیست پرسنل'!$B$2:$E$1020,4,FALSE)</f>
        <v>سرپرست آی تی</v>
      </c>
      <c r="G44" s="127">
        <f>VLOOKUP(D44,'لیست پرسنل'!$B$2:$F$1020,2,FALSE)</f>
        <v>2210</v>
      </c>
      <c r="H44" s="126" t="s">
        <v>4290</v>
      </c>
      <c r="I44" s="128"/>
      <c r="J44" s="128" t="s">
        <v>3145</v>
      </c>
      <c r="K44" s="128" t="s">
        <v>921</v>
      </c>
      <c r="L44" s="150"/>
      <c r="M44" s="128" t="s">
        <v>291</v>
      </c>
      <c r="N44" s="108"/>
      <c r="O44" s="20" t="s">
        <v>909</v>
      </c>
      <c r="P44" s="20"/>
      <c r="Q44" s="20"/>
    </row>
    <row r="45" spans="1:17" ht="24.9" customHeight="1">
      <c r="A45" s="20">
        <v>362</v>
      </c>
      <c r="B45" s="20" t="s">
        <v>4345</v>
      </c>
      <c r="C45" s="20"/>
      <c r="D45" s="20" t="s">
        <v>48</v>
      </c>
      <c r="E45" s="19" t="str">
        <f>VLOOKUP(D45,'لیست پرسنل'!$B$2:$E$1020,3,FALSE)</f>
        <v>فکورصنعت</v>
      </c>
      <c r="F45" s="19" t="str">
        <f>VLOOKUP(D45,'لیست پرسنل'!$B$2:$E$1020,4,FALSE)</f>
        <v>سرپرست آی تی</v>
      </c>
      <c r="G45" s="127">
        <f>VLOOKUP(D45,'لیست پرسنل'!$B$2:$F$1020,2,FALSE)</f>
        <v>2210</v>
      </c>
      <c r="H45" s="126" t="s">
        <v>4290</v>
      </c>
      <c r="I45" s="128"/>
      <c r="J45" s="128" t="s">
        <v>3145</v>
      </c>
      <c r="K45" s="128" t="s">
        <v>6808</v>
      </c>
      <c r="L45" s="128" t="s">
        <v>6805</v>
      </c>
      <c r="M45" s="128" t="s">
        <v>291</v>
      </c>
      <c r="N45" s="108"/>
      <c r="O45" s="20"/>
      <c r="P45" s="20"/>
      <c r="Q45" s="20"/>
    </row>
    <row r="46" spans="1:17" ht="24.9" customHeight="1">
      <c r="A46" s="20">
        <v>362</v>
      </c>
      <c r="B46" s="20" t="s">
        <v>4345</v>
      </c>
      <c r="C46" s="20"/>
      <c r="D46" s="20" t="s">
        <v>48</v>
      </c>
      <c r="E46" s="19" t="str">
        <f>VLOOKUP(D46,'لیست پرسنل'!$B$2:$E$1020,3,FALSE)</f>
        <v>فکورصنعت</v>
      </c>
      <c r="F46" s="19" t="str">
        <f>VLOOKUP(D46,'لیست پرسنل'!$B$2:$E$1020,4,FALSE)</f>
        <v>سرپرست آی تی</v>
      </c>
      <c r="G46" s="127">
        <f>VLOOKUP(D46,'لیست پرسنل'!$B$2:$F$1020,2,FALSE)</f>
        <v>2210</v>
      </c>
      <c r="H46" s="126" t="s">
        <v>4290</v>
      </c>
      <c r="I46" s="128"/>
      <c r="J46" s="128" t="s">
        <v>3145</v>
      </c>
      <c r="K46" s="128" t="s">
        <v>6808</v>
      </c>
      <c r="L46" s="128" t="s">
        <v>6806</v>
      </c>
      <c r="M46" s="128" t="s">
        <v>291</v>
      </c>
      <c r="N46" s="108"/>
      <c r="O46" s="20"/>
      <c r="P46" s="20"/>
      <c r="Q46" s="20"/>
    </row>
    <row r="47" spans="1:17" ht="24.9" customHeight="1">
      <c r="A47" s="20">
        <v>362</v>
      </c>
      <c r="B47" s="20" t="s">
        <v>4345</v>
      </c>
      <c r="C47" s="20"/>
      <c r="D47" s="20" t="s">
        <v>48</v>
      </c>
      <c r="E47" s="19" t="str">
        <f>VLOOKUP(D47,'لیست پرسنل'!$B$2:$E$1020,3,FALSE)</f>
        <v>فکورصنعت</v>
      </c>
      <c r="F47" s="19" t="str">
        <f>VLOOKUP(D47,'لیست پرسنل'!$B$2:$E$1020,4,FALSE)</f>
        <v>سرپرست آی تی</v>
      </c>
      <c r="G47" s="127">
        <f>VLOOKUP(D47,'لیست پرسنل'!$B$2:$F$1020,2,FALSE)</f>
        <v>2210</v>
      </c>
      <c r="H47" s="126" t="s">
        <v>4290</v>
      </c>
      <c r="I47" s="128"/>
      <c r="J47" s="128" t="s">
        <v>3145</v>
      </c>
      <c r="K47" s="128" t="s">
        <v>6158</v>
      </c>
      <c r="L47" s="150" t="s">
        <v>6157</v>
      </c>
      <c r="M47" s="128" t="s">
        <v>291</v>
      </c>
      <c r="N47" s="108"/>
      <c r="O47" s="20" t="s">
        <v>6159</v>
      </c>
      <c r="P47" s="20"/>
      <c r="Q47" s="20"/>
    </row>
    <row r="48" spans="1:17" ht="24.9" customHeight="1">
      <c r="A48" s="20">
        <v>362</v>
      </c>
      <c r="B48" s="20" t="s">
        <v>4345</v>
      </c>
      <c r="C48" s="20"/>
      <c r="D48" s="20" t="s">
        <v>48</v>
      </c>
      <c r="E48" s="19" t="str">
        <f>VLOOKUP(D48,'لیست پرسنل'!$B$2:$E$1020,3,FALSE)</f>
        <v>فکورصنعت</v>
      </c>
      <c r="F48" s="19" t="str">
        <f>VLOOKUP(D48,'لیست پرسنل'!$B$2:$E$1020,4,FALSE)</f>
        <v>سرپرست آی تی</v>
      </c>
      <c r="G48" s="127">
        <f>VLOOKUP(D48,'لیست پرسنل'!$B$2:$F$1020,2,FALSE)</f>
        <v>2210</v>
      </c>
      <c r="H48" s="126" t="s">
        <v>4290</v>
      </c>
      <c r="I48" s="128"/>
      <c r="J48" s="128" t="s">
        <v>3145</v>
      </c>
      <c r="K48" s="128" t="s">
        <v>1919</v>
      </c>
      <c r="L48" s="150" t="s">
        <v>1918</v>
      </c>
      <c r="M48" s="128" t="s">
        <v>291</v>
      </c>
      <c r="N48" s="108"/>
      <c r="O48" s="20"/>
      <c r="P48" s="20"/>
      <c r="Q48" s="20"/>
    </row>
    <row r="49" spans="1:17" ht="24.9" customHeight="1">
      <c r="A49" s="20">
        <v>362</v>
      </c>
      <c r="B49" s="20" t="s">
        <v>4345</v>
      </c>
      <c r="C49" s="20"/>
      <c r="D49" s="20" t="s">
        <v>48</v>
      </c>
      <c r="E49" s="19" t="str">
        <f>VLOOKUP(D49,'لیست پرسنل'!$B$2:$E$1020,3,FALSE)</f>
        <v>فکورصنعت</v>
      </c>
      <c r="F49" s="19" t="str">
        <f>VLOOKUP(D49,'لیست پرسنل'!$B$2:$E$1020,4,FALSE)</f>
        <v>سرپرست آی تی</v>
      </c>
      <c r="G49" s="127">
        <f>VLOOKUP(D49,'لیست پرسنل'!$B$2:$F$1020,2,FALSE)</f>
        <v>2210</v>
      </c>
      <c r="H49" s="127" t="s">
        <v>4290</v>
      </c>
      <c r="I49" s="127"/>
      <c r="J49" s="128" t="s">
        <v>3145</v>
      </c>
      <c r="K49" s="127" t="s">
        <v>8057</v>
      </c>
      <c r="L49" s="127" t="s">
        <v>8053</v>
      </c>
      <c r="M49" s="127" t="s">
        <v>291</v>
      </c>
      <c r="N49" s="109" t="s">
        <v>8451</v>
      </c>
      <c r="O49" s="20"/>
      <c r="P49" s="20"/>
      <c r="Q49" s="20"/>
    </row>
    <row r="50" spans="1:17" ht="24.9" customHeight="1">
      <c r="A50" s="20">
        <v>362</v>
      </c>
      <c r="B50" s="20" t="s">
        <v>4345</v>
      </c>
      <c r="C50" s="20"/>
      <c r="D50" s="20" t="s">
        <v>48</v>
      </c>
      <c r="E50" s="19" t="str">
        <f>VLOOKUP(D50,'لیست پرسنل'!$B$2:$E$1020,3,FALSE)</f>
        <v>فکورصنعت</v>
      </c>
      <c r="F50" s="19" t="str">
        <f>VLOOKUP(D50,'لیست پرسنل'!$B$2:$E$1020,4,FALSE)</f>
        <v>سرپرست آی تی</v>
      </c>
      <c r="G50" s="127">
        <f>VLOOKUP(D50,'لیست پرسنل'!$B$2:$F$1020,2,FALSE)</f>
        <v>2210</v>
      </c>
      <c r="H50" s="128" t="s">
        <v>4290</v>
      </c>
      <c r="I50" s="128"/>
      <c r="J50" s="127" t="s">
        <v>3496</v>
      </c>
      <c r="K50" s="128" t="s">
        <v>3259</v>
      </c>
      <c r="L50" s="127"/>
      <c r="M50" s="128">
        <v>619093</v>
      </c>
      <c r="N50" s="108"/>
      <c r="O50" s="20" t="s">
        <v>3258</v>
      </c>
      <c r="P50" s="20"/>
      <c r="Q50" s="20"/>
    </row>
    <row r="51" spans="1:17" ht="24.9" customHeight="1">
      <c r="A51" s="20">
        <v>362</v>
      </c>
      <c r="B51" s="20" t="s">
        <v>4345</v>
      </c>
      <c r="C51" s="20"/>
      <c r="D51" s="19" t="s">
        <v>48</v>
      </c>
      <c r="E51" s="19" t="str">
        <f>VLOOKUP(D51,'لیست پرسنل'!$B$2:$E$1020,3,FALSE)</f>
        <v>فکورصنعت</v>
      </c>
      <c r="F51" s="19" t="str">
        <f>VLOOKUP(D51,'لیست پرسنل'!$B$2:$E$1020,4,FALSE)</f>
        <v>سرپرست آی تی</v>
      </c>
      <c r="G51" s="127">
        <f>VLOOKUP(D51,'لیست پرسنل'!$B$2:$F$1020,2,FALSE)</f>
        <v>2210</v>
      </c>
      <c r="H51" s="128" t="s">
        <v>4290</v>
      </c>
      <c r="I51" s="128"/>
      <c r="J51" s="128" t="s">
        <v>3496</v>
      </c>
      <c r="K51" s="128" t="s">
        <v>5259</v>
      </c>
      <c r="L51" s="150" t="s">
        <v>5261</v>
      </c>
      <c r="M51" s="128" t="s">
        <v>291</v>
      </c>
      <c r="N51" s="109"/>
      <c r="O51" s="20"/>
      <c r="P51" s="20"/>
      <c r="Q51" s="20"/>
    </row>
    <row r="52" spans="1:17" ht="24.9" customHeight="1">
      <c r="A52" s="20">
        <v>362</v>
      </c>
      <c r="B52" s="20" t="s">
        <v>4345</v>
      </c>
      <c r="C52" s="20"/>
      <c r="D52" s="19" t="s">
        <v>48</v>
      </c>
      <c r="E52" s="19" t="str">
        <f>VLOOKUP(D52,'لیست پرسنل'!$B$2:$E$1020,3,FALSE)</f>
        <v>فکورصنعت</v>
      </c>
      <c r="F52" s="19" t="str">
        <f>VLOOKUP(D52,'لیست پرسنل'!$B$2:$E$1020,4,FALSE)</f>
        <v>سرپرست آی تی</v>
      </c>
      <c r="G52" s="127">
        <f>VLOOKUP(D52,'لیست پرسنل'!$B$2:$F$1020,2,FALSE)</f>
        <v>2210</v>
      </c>
      <c r="H52" s="128" t="s">
        <v>4290</v>
      </c>
      <c r="I52" s="128"/>
      <c r="J52" s="128" t="s">
        <v>3496</v>
      </c>
      <c r="K52" s="128" t="s">
        <v>992</v>
      </c>
      <c r="L52" s="150" t="s">
        <v>988</v>
      </c>
      <c r="M52" s="128" t="s">
        <v>291</v>
      </c>
      <c r="N52" s="109"/>
      <c r="O52" s="20"/>
      <c r="P52" s="20"/>
      <c r="Q52" s="20"/>
    </row>
    <row r="53" spans="1:17" ht="24.9" customHeight="1">
      <c r="A53" s="20">
        <v>362</v>
      </c>
      <c r="B53" s="20" t="s">
        <v>4345</v>
      </c>
      <c r="C53" s="20"/>
      <c r="D53" s="19" t="s">
        <v>48</v>
      </c>
      <c r="E53" s="19" t="str">
        <f>VLOOKUP(D53,'لیست پرسنل'!$B$2:$E$1020,3,FALSE)</f>
        <v>فکورصنعت</v>
      </c>
      <c r="F53" s="19" t="str">
        <f>VLOOKUP(D53,'لیست پرسنل'!$B$2:$E$1020,4,FALSE)</f>
        <v>سرپرست آی تی</v>
      </c>
      <c r="G53" s="127">
        <f>VLOOKUP(D53,'لیست پرسنل'!$B$2:$F$1020,2,FALSE)</f>
        <v>2210</v>
      </c>
      <c r="H53" s="128" t="s">
        <v>4290</v>
      </c>
      <c r="I53" s="128"/>
      <c r="J53" s="128" t="s">
        <v>3496</v>
      </c>
      <c r="K53" s="128" t="s">
        <v>992</v>
      </c>
      <c r="L53" s="150" t="s">
        <v>5264</v>
      </c>
      <c r="M53" s="128" t="s">
        <v>291</v>
      </c>
      <c r="N53" s="109"/>
      <c r="O53" s="20"/>
      <c r="P53" s="20"/>
      <c r="Q53" s="20"/>
    </row>
    <row r="54" spans="1:17" ht="24.9" customHeight="1">
      <c r="A54" s="20">
        <v>362</v>
      </c>
      <c r="B54" s="20" t="s">
        <v>4345</v>
      </c>
      <c r="C54" s="20"/>
      <c r="D54" s="19" t="s">
        <v>48</v>
      </c>
      <c r="E54" s="19" t="str">
        <f>VLOOKUP(D54,'لیست پرسنل'!$B$2:$E$1020,3,FALSE)</f>
        <v>فکورصنعت</v>
      </c>
      <c r="F54" s="19" t="str">
        <f>VLOOKUP(D54,'لیست پرسنل'!$B$2:$E$1020,4,FALSE)</f>
        <v>سرپرست آی تی</v>
      </c>
      <c r="G54" s="127">
        <f>VLOOKUP(D54,'لیست پرسنل'!$B$2:$F$1020,2,FALSE)</f>
        <v>2210</v>
      </c>
      <c r="H54" s="128" t="s">
        <v>4290</v>
      </c>
      <c r="I54" s="128"/>
      <c r="J54" s="128" t="s">
        <v>3496</v>
      </c>
      <c r="K54" s="128" t="s">
        <v>5260</v>
      </c>
      <c r="L54" s="150" t="s">
        <v>5262</v>
      </c>
      <c r="M54" s="128" t="s">
        <v>291</v>
      </c>
      <c r="N54" s="109"/>
      <c r="O54" s="20"/>
      <c r="P54" s="20"/>
      <c r="Q54" s="20"/>
    </row>
    <row r="55" spans="1:17" ht="24.9" customHeight="1">
      <c r="A55" s="20">
        <v>362</v>
      </c>
      <c r="B55" s="20" t="s">
        <v>4345</v>
      </c>
      <c r="C55" s="20"/>
      <c r="D55" s="20" t="s">
        <v>48</v>
      </c>
      <c r="E55" s="19" t="str">
        <f>VLOOKUP(D55,'لیست پرسنل'!$B$2:$E$1020,3,FALSE)</f>
        <v>فکورصنعت</v>
      </c>
      <c r="F55" s="19" t="str">
        <f>VLOOKUP(D55,'لیست پرسنل'!$B$2:$E$1020,4,FALSE)</f>
        <v>سرپرست آی تی</v>
      </c>
      <c r="G55" s="127">
        <f>VLOOKUP(D55,'لیست پرسنل'!$B$2:$F$1020,2,FALSE)</f>
        <v>2210</v>
      </c>
      <c r="H55" s="126" t="s">
        <v>4290</v>
      </c>
      <c r="I55" s="128"/>
      <c r="J55" s="128" t="s">
        <v>907</v>
      </c>
      <c r="K55" s="128" t="s">
        <v>796</v>
      </c>
      <c r="L55" s="150"/>
      <c r="M55" s="128">
        <v>623381</v>
      </c>
      <c r="N55" s="108"/>
      <c r="O55" s="20" t="s">
        <v>803</v>
      </c>
      <c r="P55" s="20"/>
      <c r="Q55" s="20"/>
    </row>
    <row r="56" spans="1:17" ht="24.9" customHeight="1">
      <c r="A56" s="20">
        <v>362</v>
      </c>
      <c r="B56" s="20" t="s">
        <v>4345</v>
      </c>
      <c r="C56" s="20"/>
      <c r="D56" s="20" t="s">
        <v>48</v>
      </c>
      <c r="E56" s="19" t="str">
        <f>VLOOKUP(D56,'لیست پرسنل'!$B$2:$E$1020,3,FALSE)</f>
        <v>فکورصنعت</v>
      </c>
      <c r="F56" s="19" t="str">
        <f>VLOOKUP(D56,'لیست پرسنل'!$B$2:$E$1020,4,FALSE)</f>
        <v>سرپرست آی تی</v>
      </c>
      <c r="G56" s="127">
        <f>VLOOKUP(D56,'لیست پرسنل'!$B$2:$F$1020,2,FALSE)</f>
        <v>2210</v>
      </c>
      <c r="H56" s="126" t="s">
        <v>4290</v>
      </c>
      <c r="I56" s="128"/>
      <c r="J56" s="128" t="s">
        <v>907</v>
      </c>
      <c r="K56" s="128" t="s">
        <v>907</v>
      </c>
      <c r="L56" s="150" t="s">
        <v>937</v>
      </c>
      <c r="M56" s="128" t="s">
        <v>291</v>
      </c>
      <c r="N56" s="108"/>
      <c r="O56" s="20" t="s">
        <v>908</v>
      </c>
      <c r="P56" s="20"/>
      <c r="Q56" s="20"/>
    </row>
    <row r="57" spans="1:17" ht="24.9" customHeight="1">
      <c r="A57" s="20">
        <v>362</v>
      </c>
      <c r="B57" s="20" t="s">
        <v>4345</v>
      </c>
      <c r="C57" s="20"/>
      <c r="D57" s="20" t="s">
        <v>48</v>
      </c>
      <c r="E57" s="19" t="str">
        <f>VLOOKUP(D57,'لیست پرسنل'!$B$2:$E$1020,3,FALSE)</f>
        <v>فکورصنعت</v>
      </c>
      <c r="F57" s="19" t="str">
        <f>VLOOKUP(D57,'لیست پرسنل'!$B$2:$E$1020,4,FALSE)</f>
        <v>سرپرست آی تی</v>
      </c>
      <c r="G57" s="127">
        <f>VLOOKUP(D57,'لیست پرسنل'!$B$2:$F$1020,2,FALSE)</f>
        <v>2210</v>
      </c>
      <c r="H57" s="126" t="s">
        <v>4290</v>
      </c>
      <c r="I57" s="128"/>
      <c r="J57" s="128" t="s">
        <v>907</v>
      </c>
      <c r="K57" s="128" t="s">
        <v>907</v>
      </c>
      <c r="L57" s="150" t="s">
        <v>938</v>
      </c>
      <c r="M57" s="128" t="s">
        <v>291</v>
      </c>
      <c r="N57" s="108"/>
      <c r="O57" s="20" t="s">
        <v>908</v>
      </c>
      <c r="P57" s="20"/>
      <c r="Q57" s="20"/>
    </row>
    <row r="58" spans="1:17" ht="24.9" customHeight="1">
      <c r="A58" s="20">
        <v>362</v>
      </c>
      <c r="B58" s="20" t="s">
        <v>4345</v>
      </c>
      <c r="C58" s="20"/>
      <c r="D58" s="20" t="s">
        <v>48</v>
      </c>
      <c r="E58" s="19" t="str">
        <f>VLOOKUP(D58,'لیست پرسنل'!$B$2:$E$1020,3,FALSE)</f>
        <v>فکورصنعت</v>
      </c>
      <c r="F58" s="19" t="str">
        <f>VLOOKUP(D58,'لیست پرسنل'!$B$2:$E$1020,4,FALSE)</f>
        <v>سرپرست آی تی</v>
      </c>
      <c r="G58" s="127">
        <f>VLOOKUP(D58,'لیست پرسنل'!$B$2:$F$1020,2,FALSE)</f>
        <v>2210</v>
      </c>
      <c r="H58" s="126" t="s">
        <v>4290</v>
      </c>
      <c r="I58" s="128"/>
      <c r="J58" s="128" t="s">
        <v>907</v>
      </c>
      <c r="K58" s="128" t="s">
        <v>907</v>
      </c>
      <c r="L58" s="150" t="s">
        <v>939</v>
      </c>
      <c r="M58" s="128" t="s">
        <v>291</v>
      </c>
      <c r="N58" s="108"/>
      <c r="O58" s="20" t="s">
        <v>908</v>
      </c>
      <c r="P58" s="20"/>
      <c r="Q58" s="20"/>
    </row>
    <row r="59" spans="1:17" ht="24.9" customHeight="1">
      <c r="A59" s="20">
        <v>362</v>
      </c>
      <c r="B59" s="20" t="s">
        <v>4345</v>
      </c>
      <c r="C59" s="20"/>
      <c r="D59" s="20" t="s">
        <v>48</v>
      </c>
      <c r="E59" s="19" t="str">
        <f>VLOOKUP(D59,'لیست پرسنل'!$B$2:$E$1020,3,FALSE)</f>
        <v>فکورصنعت</v>
      </c>
      <c r="F59" s="19" t="str">
        <f>VLOOKUP(D59,'لیست پرسنل'!$B$2:$E$1020,4,FALSE)</f>
        <v>سرپرست آی تی</v>
      </c>
      <c r="G59" s="127">
        <f>VLOOKUP(D59,'لیست پرسنل'!$B$2:$F$1020,2,FALSE)</f>
        <v>2210</v>
      </c>
      <c r="H59" s="126" t="s">
        <v>4290</v>
      </c>
      <c r="I59" s="128"/>
      <c r="J59" s="128" t="s">
        <v>907</v>
      </c>
      <c r="K59" s="128" t="s">
        <v>907</v>
      </c>
      <c r="L59" s="150"/>
      <c r="M59" s="128" t="s">
        <v>291</v>
      </c>
      <c r="N59" s="108"/>
      <c r="O59" s="20" t="s">
        <v>908</v>
      </c>
      <c r="P59" s="20"/>
      <c r="Q59" s="20"/>
    </row>
    <row r="60" spans="1:17" ht="24.9" customHeight="1">
      <c r="A60" s="20">
        <v>362</v>
      </c>
      <c r="B60" s="20" t="s">
        <v>4345</v>
      </c>
      <c r="C60" s="20"/>
      <c r="D60" s="20" t="s">
        <v>48</v>
      </c>
      <c r="E60" s="19" t="str">
        <f>VLOOKUP(D60,'لیست پرسنل'!$B$2:$E$1020,3,FALSE)</f>
        <v>فکورصنعت</v>
      </c>
      <c r="F60" s="19" t="str">
        <f>VLOOKUP(D60,'لیست پرسنل'!$B$2:$E$1020,4,FALSE)</f>
        <v>سرپرست آی تی</v>
      </c>
      <c r="G60" s="127">
        <f>VLOOKUP(D60,'لیست پرسنل'!$B$2:$F$1020,2,FALSE)</f>
        <v>2210</v>
      </c>
      <c r="H60" s="126" t="s">
        <v>4290</v>
      </c>
      <c r="I60" s="128"/>
      <c r="J60" s="128" t="s">
        <v>907</v>
      </c>
      <c r="K60" s="128" t="s">
        <v>907</v>
      </c>
      <c r="L60" s="150"/>
      <c r="M60" s="128" t="s">
        <v>291</v>
      </c>
      <c r="N60" s="108"/>
      <c r="O60" s="20" t="s">
        <v>908</v>
      </c>
      <c r="P60" s="20"/>
      <c r="Q60" s="20"/>
    </row>
    <row r="61" spans="1:17" ht="24.9" customHeight="1">
      <c r="A61" s="20">
        <v>362</v>
      </c>
      <c r="B61" s="20" t="s">
        <v>4345</v>
      </c>
      <c r="C61" s="20"/>
      <c r="D61" s="20" t="s">
        <v>48</v>
      </c>
      <c r="E61" s="19" t="str">
        <f>VLOOKUP(D61,'لیست پرسنل'!$B$2:$E$1020,3,FALSE)</f>
        <v>فکورصنعت</v>
      </c>
      <c r="F61" s="19" t="str">
        <f>VLOOKUP(D61,'لیست پرسنل'!$B$2:$E$1020,4,FALSE)</f>
        <v>سرپرست آی تی</v>
      </c>
      <c r="G61" s="127">
        <f>VLOOKUP(D61,'لیست پرسنل'!$B$2:$F$1020,2,FALSE)</f>
        <v>2210</v>
      </c>
      <c r="H61" s="126" t="s">
        <v>4290</v>
      </c>
      <c r="I61" s="128"/>
      <c r="J61" s="128" t="s">
        <v>907</v>
      </c>
      <c r="K61" s="128" t="s">
        <v>907</v>
      </c>
      <c r="L61" s="150"/>
      <c r="M61" s="128" t="s">
        <v>291</v>
      </c>
      <c r="N61" s="108"/>
      <c r="O61" s="20" t="s">
        <v>908</v>
      </c>
      <c r="P61" s="20"/>
      <c r="Q61" s="20"/>
    </row>
    <row r="62" spans="1:17" ht="24.9" customHeight="1">
      <c r="A62" s="20">
        <v>362</v>
      </c>
      <c r="B62" s="20" t="s">
        <v>4345</v>
      </c>
      <c r="C62" s="20"/>
      <c r="D62" s="20" t="s">
        <v>48</v>
      </c>
      <c r="E62" s="19" t="str">
        <f>VLOOKUP(D62,'لیست پرسنل'!$B$2:$E$1020,3,FALSE)</f>
        <v>فکورصنعت</v>
      </c>
      <c r="F62" s="19" t="str">
        <f>VLOOKUP(D62,'لیست پرسنل'!$B$2:$E$1020,4,FALSE)</f>
        <v>سرپرست آی تی</v>
      </c>
      <c r="G62" s="127">
        <f>VLOOKUP(D62,'لیست پرسنل'!$B$2:$F$1020,2,FALSE)</f>
        <v>2210</v>
      </c>
      <c r="H62" s="126" t="s">
        <v>4290</v>
      </c>
      <c r="I62" s="128"/>
      <c r="J62" s="128" t="s">
        <v>907</v>
      </c>
      <c r="K62" s="128" t="s">
        <v>907</v>
      </c>
      <c r="L62" s="150"/>
      <c r="M62" s="128" t="s">
        <v>291</v>
      </c>
      <c r="N62" s="108"/>
      <c r="O62" s="20" t="s">
        <v>908</v>
      </c>
      <c r="P62" s="20"/>
      <c r="Q62" s="20"/>
    </row>
    <row r="63" spans="1:17" ht="24.9" customHeight="1">
      <c r="A63" s="20">
        <v>362</v>
      </c>
      <c r="B63" s="20" t="s">
        <v>4345</v>
      </c>
      <c r="C63" s="20"/>
      <c r="D63" s="20" t="s">
        <v>48</v>
      </c>
      <c r="E63" s="19" t="str">
        <f>VLOOKUP(D63,'لیست پرسنل'!$B$2:$E$1020,3,FALSE)</f>
        <v>فکورصنعت</v>
      </c>
      <c r="F63" s="19" t="str">
        <f>VLOOKUP(D63,'لیست پرسنل'!$B$2:$E$1020,4,FALSE)</f>
        <v>سرپرست آی تی</v>
      </c>
      <c r="G63" s="127">
        <f>VLOOKUP(D63,'لیست پرسنل'!$B$2:$F$1020,2,FALSE)</f>
        <v>2210</v>
      </c>
      <c r="H63" s="126" t="s">
        <v>4290</v>
      </c>
      <c r="I63" s="128"/>
      <c r="J63" s="128" t="s">
        <v>907</v>
      </c>
      <c r="K63" s="128" t="s">
        <v>907</v>
      </c>
      <c r="L63" s="150"/>
      <c r="M63" s="128" t="s">
        <v>291</v>
      </c>
      <c r="N63" s="108"/>
      <c r="O63" s="20" t="s">
        <v>908</v>
      </c>
      <c r="P63" s="20"/>
      <c r="Q63" s="20"/>
    </row>
    <row r="64" spans="1:17" ht="24.9" customHeight="1">
      <c r="A64" s="20">
        <v>362</v>
      </c>
      <c r="B64" s="20" t="s">
        <v>4345</v>
      </c>
      <c r="C64" s="20"/>
      <c r="D64" s="20" t="s">
        <v>48</v>
      </c>
      <c r="E64" s="19" t="str">
        <f>VLOOKUP(D64,'لیست پرسنل'!$B$2:$E$1020,3,FALSE)</f>
        <v>فکورصنعت</v>
      </c>
      <c r="F64" s="19" t="str">
        <f>VLOOKUP(D64,'لیست پرسنل'!$B$2:$E$1020,4,FALSE)</f>
        <v>سرپرست آی تی</v>
      </c>
      <c r="G64" s="127">
        <f>VLOOKUP(D64,'لیست پرسنل'!$B$2:$F$1020,2,FALSE)</f>
        <v>2210</v>
      </c>
      <c r="H64" s="126" t="s">
        <v>4290</v>
      </c>
      <c r="I64" s="128"/>
      <c r="J64" s="128" t="s">
        <v>3507</v>
      </c>
      <c r="K64" s="128" t="s">
        <v>986</v>
      </c>
      <c r="L64" s="128"/>
      <c r="M64" s="128">
        <v>607807</v>
      </c>
      <c r="N64" s="108"/>
      <c r="O64" s="20"/>
      <c r="P64" s="20"/>
      <c r="Q64" s="20"/>
    </row>
    <row r="65" spans="1:17" ht="24.9" customHeight="1">
      <c r="A65" s="20">
        <v>362</v>
      </c>
      <c r="B65" s="20" t="s">
        <v>4345</v>
      </c>
      <c r="C65" s="20"/>
      <c r="D65" s="20" t="s">
        <v>48</v>
      </c>
      <c r="E65" s="19" t="str">
        <f>VLOOKUP(D65,'لیست پرسنل'!$B$2:$E$1020,3,FALSE)</f>
        <v>فکورصنعت</v>
      </c>
      <c r="F65" s="19" t="str">
        <f>VLOOKUP(D65,'لیست پرسنل'!$B$2:$E$1020,4,FALSE)</f>
        <v>سرپرست آی تی</v>
      </c>
      <c r="G65" s="127">
        <f>VLOOKUP(D65,'لیست پرسنل'!$B$2:$F$1020,2,FALSE)</f>
        <v>2210</v>
      </c>
      <c r="H65" s="126" t="s">
        <v>4290</v>
      </c>
      <c r="I65" s="128"/>
      <c r="J65" s="128" t="s">
        <v>3383</v>
      </c>
      <c r="K65" s="128" t="s">
        <v>593</v>
      </c>
      <c r="L65" s="150" t="s">
        <v>1474</v>
      </c>
      <c r="M65" s="127">
        <v>604305</v>
      </c>
      <c r="N65" s="108"/>
      <c r="O65" s="20"/>
      <c r="P65" s="20"/>
      <c r="Q65" s="20"/>
    </row>
    <row r="66" spans="1:17" ht="24.9" customHeight="1">
      <c r="A66" s="20">
        <v>362</v>
      </c>
      <c r="B66" s="20" t="s">
        <v>4345</v>
      </c>
      <c r="C66" s="19"/>
      <c r="D66" s="19" t="s">
        <v>48</v>
      </c>
      <c r="E66" s="19" t="str">
        <f>VLOOKUP(D66,'لیست پرسنل'!$B$2:$E$1020,3,FALSE)</f>
        <v>فکورصنعت</v>
      </c>
      <c r="F66" s="19" t="str">
        <f>VLOOKUP(D66,'لیست پرسنل'!$B$2:$E$1020,4,FALSE)</f>
        <v>سرپرست آی تی</v>
      </c>
      <c r="G66" s="127">
        <f>VLOOKUP(D66,'لیست پرسنل'!$B$2:$F$1020,2,FALSE)</f>
        <v>2210</v>
      </c>
      <c r="H66" s="151" t="s">
        <v>4290</v>
      </c>
      <c r="I66" s="127"/>
      <c r="J66" s="127" t="s">
        <v>3383</v>
      </c>
      <c r="K66" s="128" t="s">
        <v>712</v>
      </c>
      <c r="L66" s="127" t="s">
        <v>713</v>
      </c>
      <c r="M66" s="127">
        <v>605620</v>
      </c>
      <c r="N66" s="109"/>
      <c r="O66" s="19"/>
      <c r="P66" s="20"/>
      <c r="Q66" s="20"/>
    </row>
    <row r="67" spans="1:17" ht="24.9" customHeight="1">
      <c r="A67" s="20">
        <v>362</v>
      </c>
      <c r="B67" s="20" t="s">
        <v>4345</v>
      </c>
      <c r="C67" s="20"/>
      <c r="D67" s="20" t="s">
        <v>48</v>
      </c>
      <c r="E67" s="19" t="str">
        <f>VLOOKUP(D67,'لیست پرسنل'!$B$2:$E$1020,3,FALSE)</f>
        <v>فکورصنعت</v>
      </c>
      <c r="F67" s="19" t="str">
        <f>VLOOKUP(D67,'لیست پرسنل'!$B$2:$E$1020,4,FALSE)</f>
        <v>سرپرست آی تی</v>
      </c>
      <c r="G67" s="127">
        <f>VLOOKUP(D67,'لیست پرسنل'!$B$2:$F$1020,2,FALSE)</f>
        <v>2210</v>
      </c>
      <c r="H67" s="126" t="s">
        <v>4290</v>
      </c>
      <c r="I67" s="128"/>
      <c r="J67" s="128" t="s">
        <v>3383</v>
      </c>
      <c r="K67" s="127" t="s">
        <v>473</v>
      </c>
      <c r="L67" s="127" t="s">
        <v>474</v>
      </c>
      <c r="M67" s="131">
        <v>609402</v>
      </c>
      <c r="N67" s="108"/>
      <c r="O67" s="19" t="s">
        <v>4598</v>
      </c>
      <c r="P67" s="20"/>
      <c r="Q67" s="20"/>
    </row>
    <row r="68" spans="1:17" ht="24.9" customHeight="1">
      <c r="A68" s="20">
        <v>362</v>
      </c>
      <c r="B68" s="20" t="s">
        <v>4345</v>
      </c>
      <c r="C68" s="20"/>
      <c r="D68" s="20" t="s">
        <v>48</v>
      </c>
      <c r="E68" s="19" t="str">
        <f>VLOOKUP(D68,'لیست پرسنل'!$B$2:$E$1020,3,FALSE)</f>
        <v>فکورصنعت</v>
      </c>
      <c r="F68" s="19" t="str">
        <f>VLOOKUP(D68,'لیست پرسنل'!$B$2:$E$1020,4,FALSE)</f>
        <v>سرپرست آی تی</v>
      </c>
      <c r="G68" s="127">
        <f>VLOOKUP(D68,'لیست پرسنل'!$B$2:$F$1020,2,FALSE)</f>
        <v>2210</v>
      </c>
      <c r="H68" s="126" t="s">
        <v>4290</v>
      </c>
      <c r="I68" s="128"/>
      <c r="J68" s="128" t="s">
        <v>3383</v>
      </c>
      <c r="K68" s="127" t="s">
        <v>391</v>
      </c>
      <c r="L68" s="127" t="s">
        <v>725</v>
      </c>
      <c r="M68" s="132">
        <v>619848</v>
      </c>
      <c r="N68" s="108"/>
      <c r="O68" s="28"/>
      <c r="P68" s="20"/>
      <c r="Q68" s="66"/>
    </row>
    <row r="69" spans="1:17" ht="24.9" customHeight="1">
      <c r="A69" s="20">
        <v>362</v>
      </c>
      <c r="B69" s="20" t="s">
        <v>4345</v>
      </c>
      <c r="C69" s="19"/>
      <c r="D69" s="19" t="s">
        <v>48</v>
      </c>
      <c r="E69" s="19" t="str">
        <f>VLOOKUP(D69,'لیست پرسنل'!$B$2:$E$1020,3,FALSE)</f>
        <v>فکورصنعت</v>
      </c>
      <c r="F69" s="19" t="str">
        <f>VLOOKUP(D69,'لیست پرسنل'!$B$2:$E$1020,4,FALSE)</f>
        <v>سرپرست آی تی</v>
      </c>
      <c r="G69" s="127">
        <f>VLOOKUP(D69,'لیست پرسنل'!$B$2:$F$1020,2,FALSE)</f>
        <v>2210</v>
      </c>
      <c r="H69" s="151" t="s">
        <v>4290</v>
      </c>
      <c r="I69" s="127"/>
      <c r="J69" s="128" t="s">
        <v>3383</v>
      </c>
      <c r="K69" s="127" t="s">
        <v>1842</v>
      </c>
      <c r="L69" s="127" t="s">
        <v>1843</v>
      </c>
      <c r="M69" s="131">
        <v>620990</v>
      </c>
      <c r="N69" s="108"/>
      <c r="O69" s="19" t="s">
        <v>1844</v>
      </c>
      <c r="P69" s="20"/>
      <c r="Q69" s="20"/>
    </row>
    <row r="70" spans="1:17" ht="24.9" customHeight="1">
      <c r="A70" s="20">
        <v>362</v>
      </c>
      <c r="B70" s="20" t="s">
        <v>4345</v>
      </c>
      <c r="C70" s="19"/>
      <c r="D70" s="19" t="s">
        <v>48</v>
      </c>
      <c r="E70" s="19" t="str">
        <f>VLOOKUP(D70,'لیست پرسنل'!$B$2:$E$1020,3,FALSE)</f>
        <v>فکورصنعت</v>
      </c>
      <c r="F70" s="19" t="str">
        <f>VLOOKUP(D70,'لیست پرسنل'!$B$2:$E$1020,4,FALSE)</f>
        <v>سرپرست آی تی</v>
      </c>
      <c r="G70" s="127">
        <f>VLOOKUP(D70,'لیست پرسنل'!$B$2:$F$1020,2,FALSE)</f>
        <v>2210</v>
      </c>
      <c r="H70" s="151" t="s">
        <v>4290</v>
      </c>
      <c r="I70" s="127"/>
      <c r="J70" s="127" t="s">
        <v>3383</v>
      </c>
      <c r="K70" s="128" t="s">
        <v>2748</v>
      </c>
      <c r="L70" s="127" t="s">
        <v>3165</v>
      </c>
      <c r="M70" s="128">
        <v>622516</v>
      </c>
      <c r="N70" s="108"/>
      <c r="O70" s="19" t="s">
        <v>3406</v>
      </c>
      <c r="P70" s="20"/>
      <c r="Q70" s="20"/>
    </row>
    <row r="71" spans="1:17" ht="24.9" customHeight="1">
      <c r="A71" s="20">
        <v>362</v>
      </c>
      <c r="B71" s="20" t="s">
        <v>4345</v>
      </c>
      <c r="C71" s="20"/>
      <c r="D71" s="20" t="s">
        <v>48</v>
      </c>
      <c r="E71" s="19" t="str">
        <f>VLOOKUP(D71,'لیست پرسنل'!$B$2:$E$1020,3,FALSE)</f>
        <v>فکورصنعت</v>
      </c>
      <c r="F71" s="19" t="str">
        <f>VLOOKUP(D71,'لیست پرسنل'!$B$2:$E$1020,4,FALSE)</f>
        <v>سرپرست آی تی</v>
      </c>
      <c r="G71" s="127">
        <f>VLOOKUP(D71,'لیست پرسنل'!$B$2:$F$1020,2,FALSE)</f>
        <v>2210</v>
      </c>
      <c r="H71" s="126" t="s">
        <v>4290</v>
      </c>
      <c r="I71" s="128"/>
      <c r="J71" s="128" t="s">
        <v>3383</v>
      </c>
      <c r="K71" s="128" t="s">
        <v>4156</v>
      </c>
      <c r="L71" s="128" t="s">
        <v>4155</v>
      </c>
      <c r="M71" s="128">
        <v>632353</v>
      </c>
      <c r="N71" s="108"/>
      <c r="O71" s="19" t="s">
        <v>5952</v>
      </c>
      <c r="P71" s="20"/>
      <c r="Q71" s="20"/>
    </row>
    <row r="72" spans="1:17" ht="24.9" customHeight="1">
      <c r="A72" s="20">
        <v>362</v>
      </c>
      <c r="B72" s="20" t="s">
        <v>4345</v>
      </c>
      <c r="C72" s="20"/>
      <c r="D72" s="20" t="s">
        <v>48</v>
      </c>
      <c r="E72" s="19" t="str">
        <f>VLOOKUP(D72,'لیست پرسنل'!$B$2:$E$1020,3,FALSE)</f>
        <v>فکورصنعت</v>
      </c>
      <c r="F72" s="19" t="str">
        <f>VLOOKUP(D72,'لیست پرسنل'!$B$2:$E$1020,4,FALSE)</f>
        <v>سرپرست آی تی</v>
      </c>
      <c r="G72" s="127">
        <f>VLOOKUP(D72,'لیست پرسنل'!$B$2:$F$1020,2,FALSE)</f>
        <v>2210</v>
      </c>
      <c r="H72" s="126" t="s">
        <v>4290</v>
      </c>
      <c r="I72" s="128"/>
      <c r="J72" s="128" t="s">
        <v>3383</v>
      </c>
      <c r="K72" s="128" t="s">
        <v>4156</v>
      </c>
      <c r="L72" s="128" t="s">
        <v>4157</v>
      </c>
      <c r="M72" s="128">
        <v>632354</v>
      </c>
      <c r="N72" s="108"/>
      <c r="O72" s="19" t="s">
        <v>5953</v>
      </c>
      <c r="P72" s="20"/>
      <c r="Q72" s="20"/>
    </row>
    <row r="73" spans="1:17" ht="24.9" customHeight="1">
      <c r="A73" s="20">
        <v>362</v>
      </c>
      <c r="B73" s="20" t="s">
        <v>4345</v>
      </c>
      <c r="C73" s="19"/>
      <c r="D73" s="20" t="s">
        <v>48</v>
      </c>
      <c r="E73" s="19" t="str">
        <f>VLOOKUP(D73,'لیست پرسنل'!$B$2:$E$1020,3,FALSE)</f>
        <v>فکورصنعت</v>
      </c>
      <c r="F73" s="19" t="str">
        <f>VLOOKUP(D73,'لیست پرسنل'!$B$2:$E$1020,4,FALSE)</f>
        <v>سرپرست آی تی</v>
      </c>
      <c r="G73" s="127">
        <f>VLOOKUP(D73,'لیست پرسنل'!$B$2:$F$1020,2,FALSE)</f>
        <v>2210</v>
      </c>
      <c r="H73" s="126" t="s">
        <v>4290</v>
      </c>
      <c r="I73" s="128"/>
      <c r="J73" s="128" t="s">
        <v>3532</v>
      </c>
      <c r="K73" s="128" t="s">
        <v>2109</v>
      </c>
      <c r="L73" s="128">
        <v>57819013</v>
      </c>
      <c r="M73" s="126">
        <v>617843</v>
      </c>
      <c r="N73" s="108"/>
      <c r="O73" s="20"/>
      <c r="P73" s="20"/>
      <c r="Q73" s="20"/>
    </row>
    <row r="74" spans="1:17" ht="24.9" customHeight="1">
      <c r="A74" s="20">
        <v>362</v>
      </c>
      <c r="B74" s="20" t="s">
        <v>4345</v>
      </c>
      <c r="C74" s="20"/>
      <c r="D74" s="20" t="s">
        <v>48</v>
      </c>
      <c r="E74" s="19" t="str">
        <f>VLOOKUP(D74,'لیست پرسنل'!$B$2:$E$1020,3,FALSE)</f>
        <v>فکورصنعت</v>
      </c>
      <c r="F74" s="19" t="str">
        <f>VLOOKUP(D74,'لیست پرسنل'!$B$2:$E$1020,4,FALSE)</f>
        <v>سرپرست آی تی</v>
      </c>
      <c r="G74" s="127">
        <f>VLOOKUP(D74,'لیست پرسنل'!$B$2:$F$1020,2,FALSE)</f>
        <v>2210</v>
      </c>
      <c r="H74" s="128" t="s">
        <v>4290</v>
      </c>
      <c r="I74" s="128"/>
      <c r="J74" s="128" t="s">
        <v>3532</v>
      </c>
      <c r="K74" s="128" t="s">
        <v>3260</v>
      </c>
      <c r="L74" s="127"/>
      <c r="M74" s="128">
        <v>619094</v>
      </c>
      <c r="N74" s="108"/>
      <c r="O74" s="20" t="s">
        <v>3258</v>
      </c>
      <c r="P74" s="20"/>
      <c r="Q74" s="20"/>
    </row>
    <row r="75" spans="1:17" ht="24.9" customHeight="1">
      <c r="A75" s="20">
        <v>362</v>
      </c>
      <c r="B75" s="20" t="s">
        <v>4345</v>
      </c>
      <c r="C75" s="19"/>
      <c r="D75" s="20" t="s">
        <v>48</v>
      </c>
      <c r="E75" s="19" t="str">
        <f>VLOOKUP(D75,'لیست پرسنل'!$B$2:$E$1020,3,FALSE)</f>
        <v>فکورصنعت</v>
      </c>
      <c r="F75" s="19" t="str">
        <f>VLOOKUP(D75,'لیست پرسنل'!$B$2:$E$1020,4,FALSE)</f>
        <v>سرپرست آی تی</v>
      </c>
      <c r="G75" s="127">
        <f>VLOOKUP(D75,'لیست پرسنل'!$B$2:$F$1020,2,FALSE)</f>
        <v>2210</v>
      </c>
      <c r="H75" s="126" t="s">
        <v>4290</v>
      </c>
      <c r="I75" s="128"/>
      <c r="J75" s="128" t="s">
        <v>3532</v>
      </c>
      <c r="K75" s="128" t="s">
        <v>2106</v>
      </c>
      <c r="L75" s="128" t="s">
        <v>2107</v>
      </c>
      <c r="M75" s="128">
        <v>621158</v>
      </c>
      <c r="N75" s="108"/>
      <c r="O75" s="20"/>
      <c r="P75" s="20"/>
      <c r="Q75" s="20"/>
    </row>
    <row r="76" spans="1:17" ht="24.9" customHeight="1">
      <c r="A76" s="20">
        <v>362</v>
      </c>
      <c r="B76" s="20" t="s">
        <v>4345</v>
      </c>
      <c r="C76" s="19"/>
      <c r="D76" s="20" t="s">
        <v>48</v>
      </c>
      <c r="E76" s="19" t="str">
        <f>VLOOKUP(D76,'لیست پرسنل'!$B$2:$E$1020,3,FALSE)</f>
        <v>فکورصنعت</v>
      </c>
      <c r="F76" s="19" t="str">
        <f>VLOOKUP(D76,'لیست پرسنل'!$B$2:$E$1020,4,FALSE)</f>
        <v>سرپرست آی تی</v>
      </c>
      <c r="G76" s="127">
        <f>VLOOKUP(D76,'لیست پرسنل'!$B$2:$F$1020,2,FALSE)</f>
        <v>2210</v>
      </c>
      <c r="H76" s="126" t="s">
        <v>4290</v>
      </c>
      <c r="I76" s="128"/>
      <c r="J76" s="128" t="s">
        <v>3532</v>
      </c>
      <c r="K76" s="128" t="s">
        <v>2106</v>
      </c>
      <c r="L76" s="151" t="s">
        <v>1486</v>
      </c>
      <c r="M76" s="126">
        <v>621160</v>
      </c>
      <c r="N76" s="111"/>
      <c r="O76" s="20"/>
      <c r="P76" s="20"/>
      <c r="Q76" s="20"/>
    </row>
    <row r="77" spans="1:17" ht="24.9" customHeight="1">
      <c r="A77" s="20">
        <v>362</v>
      </c>
      <c r="B77" s="20" t="s">
        <v>4345</v>
      </c>
      <c r="C77" s="19"/>
      <c r="D77" s="20" t="s">
        <v>48</v>
      </c>
      <c r="E77" s="19" t="str">
        <f>VLOOKUP(D77,'لیست پرسنل'!$B$2:$E$1020,3,FALSE)</f>
        <v>فکورصنعت</v>
      </c>
      <c r="F77" s="19" t="str">
        <f>VLOOKUP(D77,'لیست پرسنل'!$B$2:$E$1020,4,FALSE)</f>
        <v>سرپرست آی تی</v>
      </c>
      <c r="G77" s="127">
        <f>VLOOKUP(D77,'لیست پرسنل'!$B$2:$F$1020,2,FALSE)</f>
        <v>2210</v>
      </c>
      <c r="H77" s="126" t="s">
        <v>4290</v>
      </c>
      <c r="I77" s="128"/>
      <c r="J77" s="128" t="s">
        <v>3532</v>
      </c>
      <c r="K77" s="128" t="s">
        <v>2106</v>
      </c>
      <c r="L77" s="151" t="s">
        <v>2110</v>
      </c>
      <c r="M77" s="126">
        <v>621161</v>
      </c>
      <c r="N77" s="108"/>
      <c r="O77" s="20"/>
      <c r="P77" s="20"/>
      <c r="Q77" s="20"/>
    </row>
    <row r="78" spans="1:17" ht="24.9" customHeight="1">
      <c r="A78" s="20">
        <v>362</v>
      </c>
      <c r="B78" s="20" t="s">
        <v>4345</v>
      </c>
      <c r="C78" s="20"/>
      <c r="D78" s="83" t="s">
        <v>48</v>
      </c>
      <c r="E78" s="19" t="str">
        <f>VLOOKUP(D78,'لیست پرسنل'!$B$2:$E$1020,3,FALSE)</f>
        <v>فکورصنعت</v>
      </c>
      <c r="F78" s="19" t="str">
        <f>VLOOKUP(D78,'لیست پرسنل'!$B$2:$E$1020,4,FALSE)</f>
        <v>سرپرست آی تی</v>
      </c>
      <c r="G78" s="127">
        <f>VLOOKUP(D78,'لیست پرسنل'!$B$2:$F$1020,2,FALSE)</f>
        <v>2210</v>
      </c>
      <c r="H78" s="127" t="s">
        <v>4290</v>
      </c>
      <c r="I78" s="159"/>
      <c r="J78" s="128" t="s">
        <v>3532</v>
      </c>
      <c r="K78" s="128" t="s">
        <v>2106</v>
      </c>
      <c r="L78" s="128" t="s">
        <v>2108</v>
      </c>
      <c r="M78" s="128">
        <v>621867</v>
      </c>
      <c r="N78" s="108"/>
      <c r="O78" s="20"/>
      <c r="P78" s="20"/>
      <c r="Q78" s="20"/>
    </row>
    <row r="79" spans="1:17" ht="24.9" customHeight="1">
      <c r="A79" s="20">
        <v>362</v>
      </c>
      <c r="B79" s="20" t="s">
        <v>4345</v>
      </c>
      <c r="C79" s="19"/>
      <c r="D79" s="19" t="s">
        <v>48</v>
      </c>
      <c r="E79" s="19" t="str">
        <f>VLOOKUP(D79,'لیست پرسنل'!$B$2:$E$1020,3,FALSE)</f>
        <v>فکورصنعت</v>
      </c>
      <c r="F79" s="19" t="str">
        <f>VLOOKUP(D79,'لیست پرسنل'!$B$2:$E$1020,4,FALSE)</f>
        <v>سرپرست آی تی</v>
      </c>
      <c r="G79" s="127">
        <f>VLOOKUP(D79,'لیست پرسنل'!$B$2:$F$1020,2,FALSE)</f>
        <v>2210</v>
      </c>
      <c r="H79" s="151" t="s">
        <v>4290</v>
      </c>
      <c r="I79" s="127"/>
      <c r="J79" s="128" t="s">
        <v>3532</v>
      </c>
      <c r="K79" s="128" t="s">
        <v>2087</v>
      </c>
      <c r="L79" s="128" t="s">
        <v>2125</v>
      </c>
      <c r="M79" s="128">
        <v>628319</v>
      </c>
      <c r="N79" s="108"/>
      <c r="O79" s="20" t="s">
        <v>705</v>
      </c>
      <c r="P79" s="20"/>
      <c r="Q79" s="20"/>
    </row>
    <row r="80" spans="1:17" ht="24.9" customHeight="1">
      <c r="A80" s="20">
        <v>362</v>
      </c>
      <c r="B80" s="20" t="s">
        <v>4345</v>
      </c>
      <c r="C80" s="20"/>
      <c r="D80" s="20" t="s">
        <v>48</v>
      </c>
      <c r="E80" s="19" t="str">
        <f>VLOOKUP(D80,'لیست پرسنل'!$B$2:$E$1020,3,FALSE)</f>
        <v>فکورصنعت</v>
      </c>
      <c r="F80" s="19" t="str">
        <f>VLOOKUP(D80,'لیست پرسنل'!$B$2:$E$1020,4,FALSE)</f>
        <v>سرپرست آی تی</v>
      </c>
      <c r="G80" s="127">
        <f>VLOOKUP(D80,'لیست پرسنل'!$B$2:$F$1020,2,FALSE)</f>
        <v>2210</v>
      </c>
      <c r="H80" s="128" t="s">
        <v>4290</v>
      </c>
      <c r="I80" s="128"/>
      <c r="J80" s="128" t="s">
        <v>3532</v>
      </c>
      <c r="K80" s="128" t="s">
        <v>5208</v>
      </c>
      <c r="L80" s="127"/>
      <c r="M80" s="127">
        <v>632849</v>
      </c>
      <c r="N80" s="109"/>
      <c r="O80" s="19"/>
      <c r="P80" s="32"/>
      <c r="Q80" s="32"/>
    </row>
    <row r="81" spans="1:17" ht="24.9" customHeight="1">
      <c r="A81" s="20">
        <v>362</v>
      </c>
      <c r="B81" s="20" t="s">
        <v>4345</v>
      </c>
      <c r="C81" s="20"/>
      <c r="D81" s="20" t="s">
        <v>48</v>
      </c>
      <c r="E81" s="19" t="str">
        <f>VLOOKUP(D81,'لیست پرسنل'!$B$2:$E$1020,3,FALSE)</f>
        <v>فکورصنعت</v>
      </c>
      <c r="F81" s="19" t="str">
        <f>VLOOKUP(D81,'لیست پرسنل'!$B$2:$E$1020,4,FALSE)</f>
        <v>سرپرست آی تی</v>
      </c>
      <c r="G81" s="127">
        <f>VLOOKUP(D81,'لیست پرسنل'!$B$2:$F$1020,2,FALSE)</f>
        <v>2210</v>
      </c>
      <c r="H81" s="128" t="s">
        <v>4290</v>
      </c>
      <c r="I81" s="128"/>
      <c r="J81" s="128" t="s">
        <v>3532</v>
      </c>
      <c r="K81" s="128" t="s">
        <v>5208</v>
      </c>
      <c r="L81" s="127"/>
      <c r="M81" s="133">
        <v>633781</v>
      </c>
      <c r="N81" s="109"/>
      <c r="O81" s="19" t="s">
        <v>6427</v>
      </c>
      <c r="P81" s="32"/>
      <c r="Q81" s="32"/>
    </row>
    <row r="82" spans="1:17" ht="24.9" customHeight="1">
      <c r="A82" s="20">
        <v>362</v>
      </c>
      <c r="B82" s="20" t="s">
        <v>4345</v>
      </c>
      <c r="C82" s="20"/>
      <c r="D82" s="20" t="s">
        <v>48</v>
      </c>
      <c r="E82" s="19" t="str">
        <f>VLOOKUP(D82,'لیست پرسنل'!$B$2:$E$1020,3,FALSE)</f>
        <v>فکورصنعت</v>
      </c>
      <c r="F82" s="19" t="str">
        <f>VLOOKUP(D82,'لیست پرسنل'!$B$2:$E$1020,4,FALSE)</f>
        <v>سرپرست آی تی</v>
      </c>
      <c r="G82" s="127">
        <f>VLOOKUP(D82,'لیست پرسنل'!$B$2:$F$1020,2,FALSE)</f>
        <v>2210</v>
      </c>
      <c r="H82" s="128" t="s">
        <v>4290</v>
      </c>
      <c r="I82" s="128"/>
      <c r="J82" s="128" t="s">
        <v>3532</v>
      </c>
      <c r="K82" s="128" t="s">
        <v>5208</v>
      </c>
      <c r="L82" s="127"/>
      <c r="M82" s="133">
        <v>633782</v>
      </c>
      <c r="N82" s="109"/>
      <c r="O82" s="19" t="s">
        <v>6428</v>
      </c>
      <c r="P82" s="32"/>
      <c r="Q82" s="32"/>
    </row>
    <row r="83" spans="1:17" ht="24.9" customHeight="1">
      <c r="A83" s="20">
        <v>362</v>
      </c>
      <c r="B83" s="20" t="s">
        <v>4345</v>
      </c>
      <c r="C83" s="20"/>
      <c r="D83" s="20" t="s">
        <v>48</v>
      </c>
      <c r="E83" s="19" t="str">
        <f>VLOOKUP(D83,'لیست پرسنل'!$B$2:$E$1020,3,FALSE)</f>
        <v>فکورصنعت</v>
      </c>
      <c r="F83" s="19" t="str">
        <f>VLOOKUP(D83,'لیست پرسنل'!$B$2:$E$1020,4,FALSE)</f>
        <v>سرپرست آی تی</v>
      </c>
      <c r="G83" s="127">
        <f>VLOOKUP(D83,'لیست پرسنل'!$B$2:$F$1020,2,FALSE)</f>
        <v>2210</v>
      </c>
      <c r="H83" s="128" t="s">
        <v>4290</v>
      </c>
      <c r="I83" s="128"/>
      <c r="J83" s="128" t="s">
        <v>3532</v>
      </c>
      <c r="K83" s="128" t="s">
        <v>5208</v>
      </c>
      <c r="L83" s="127"/>
      <c r="M83" s="133">
        <v>633784</v>
      </c>
      <c r="N83" s="109"/>
      <c r="O83" s="19" t="s">
        <v>6430</v>
      </c>
      <c r="P83" s="32"/>
      <c r="Q83" s="32"/>
    </row>
    <row r="84" spans="1:17" ht="24.9" customHeight="1">
      <c r="A84" s="20">
        <v>362</v>
      </c>
      <c r="B84" s="20" t="s">
        <v>4345</v>
      </c>
      <c r="C84" s="20"/>
      <c r="D84" s="20" t="s">
        <v>48</v>
      </c>
      <c r="E84" s="19" t="str">
        <f>VLOOKUP(D84,'لیست پرسنل'!$B$2:$E$1020,3,FALSE)</f>
        <v>فکورصنعت</v>
      </c>
      <c r="F84" s="19" t="str">
        <f>VLOOKUP(D84,'لیست پرسنل'!$B$2:$E$1020,4,FALSE)</f>
        <v>سرپرست آی تی</v>
      </c>
      <c r="G84" s="127">
        <f>VLOOKUP(D84,'لیست پرسنل'!$B$2:$F$1020,2,FALSE)</f>
        <v>2210</v>
      </c>
      <c r="H84" s="128" t="s">
        <v>4290</v>
      </c>
      <c r="I84" s="128"/>
      <c r="J84" s="128" t="s">
        <v>3532</v>
      </c>
      <c r="K84" s="128" t="s">
        <v>4861</v>
      </c>
      <c r="L84" s="128" t="s">
        <v>4862</v>
      </c>
      <c r="M84" s="127">
        <v>633787</v>
      </c>
      <c r="N84" s="109"/>
      <c r="O84" s="19" t="s">
        <v>6433</v>
      </c>
      <c r="P84" s="32"/>
      <c r="Q84" s="32"/>
    </row>
    <row r="85" spans="1:17" ht="24.9" customHeight="1">
      <c r="A85" s="20">
        <v>362</v>
      </c>
      <c r="B85" s="20" t="s">
        <v>4345</v>
      </c>
      <c r="C85" s="20"/>
      <c r="D85" s="20" t="s">
        <v>48</v>
      </c>
      <c r="E85" s="19" t="str">
        <f>VLOOKUP(D85,'لیست پرسنل'!$B$2:$E$1020,3,FALSE)</f>
        <v>فکورصنعت</v>
      </c>
      <c r="F85" s="19" t="str">
        <f>VLOOKUP(D85,'لیست پرسنل'!$B$2:$E$1020,4,FALSE)</f>
        <v>سرپرست آی تی</v>
      </c>
      <c r="G85" s="127">
        <f>VLOOKUP(D85,'لیست پرسنل'!$B$2:$F$1020,2,FALSE)</f>
        <v>2210</v>
      </c>
      <c r="H85" s="126" t="s">
        <v>4290</v>
      </c>
      <c r="I85" s="128"/>
      <c r="J85" s="128" t="s">
        <v>3532</v>
      </c>
      <c r="K85" s="128" t="s">
        <v>5277</v>
      </c>
      <c r="L85" s="128" t="s">
        <v>5274</v>
      </c>
      <c r="M85" s="128" t="s">
        <v>291</v>
      </c>
      <c r="N85" s="108"/>
      <c r="O85" s="20" t="s">
        <v>5278</v>
      </c>
      <c r="P85" s="20"/>
      <c r="Q85" s="20"/>
    </row>
    <row r="86" spans="1:17" ht="24.9" customHeight="1">
      <c r="A86" s="20">
        <v>362</v>
      </c>
      <c r="B86" s="20" t="s">
        <v>4345</v>
      </c>
      <c r="C86" s="20"/>
      <c r="D86" s="20" t="s">
        <v>48</v>
      </c>
      <c r="E86" s="19" t="str">
        <f>VLOOKUP(D86,'لیست پرسنل'!$B$2:$E$1020,3,FALSE)</f>
        <v>فکورصنعت</v>
      </c>
      <c r="F86" s="19" t="str">
        <f>VLOOKUP(D86,'لیست پرسنل'!$B$2:$E$1020,4,FALSE)</f>
        <v>سرپرست آی تی</v>
      </c>
      <c r="G86" s="127">
        <f>VLOOKUP(D86,'لیست پرسنل'!$B$2:$F$1020,2,FALSE)</f>
        <v>2210</v>
      </c>
      <c r="H86" s="126" t="s">
        <v>4290</v>
      </c>
      <c r="I86" s="128"/>
      <c r="J86" s="128" t="s">
        <v>3532</v>
      </c>
      <c r="K86" s="128" t="s">
        <v>5277</v>
      </c>
      <c r="L86" s="128" t="s">
        <v>5276</v>
      </c>
      <c r="M86" s="128" t="s">
        <v>291</v>
      </c>
      <c r="N86" s="108"/>
      <c r="O86" s="20" t="s">
        <v>5278</v>
      </c>
      <c r="P86" s="20"/>
      <c r="Q86" s="20"/>
    </row>
    <row r="87" spans="1:17" ht="24.9" customHeight="1">
      <c r="A87" s="20">
        <v>362</v>
      </c>
      <c r="B87" s="20" t="s">
        <v>4345</v>
      </c>
      <c r="C87" s="19"/>
      <c r="D87" s="20" t="s">
        <v>48</v>
      </c>
      <c r="E87" s="19" t="str">
        <f>VLOOKUP(D87,'لیست پرسنل'!$B$2:$E$1020,3,FALSE)</f>
        <v>فکورصنعت</v>
      </c>
      <c r="F87" s="19" t="str">
        <f>VLOOKUP(D87,'لیست پرسنل'!$B$2:$E$1020,4,FALSE)</f>
        <v>سرپرست آی تی</v>
      </c>
      <c r="G87" s="127">
        <f>VLOOKUP(D87,'لیست پرسنل'!$B$2:$F$1020,2,FALSE)</f>
        <v>2210</v>
      </c>
      <c r="H87" s="126" t="s">
        <v>4290</v>
      </c>
      <c r="I87" s="128"/>
      <c r="J87" s="128" t="s">
        <v>3532</v>
      </c>
      <c r="K87" s="127" t="s">
        <v>3287</v>
      </c>
      <c r="L87" s="151" t="s">
        <v>3288</v>
      </c>
      <c r="M87" s="126" t="s">
        <v>291</v>
      </c>
      <c r="N87" s="108"/>
      <c r="O87" s="20"/>
      <c r="P87" s="20"/>
      <c r="Q87" s="20"/>
    </row>
    <row r="88" spans="1:17" ht="24.9" customHeight="1">
      <c r="A88" s="20">
        <v>362</v>
      </c>
      <c r="B88" s="20" t="s">
        <v>4345</v>
      </c>
      <c r="C88" s="20"/>
      <c r="D88" s="20" t="s">
        <v>48</v>
      </c>
      <c r="E88" s="19" t="str">
        <f>VLOOKUP(D88,'لیست پرسنل'!$B$2:$E$1020,3,FALSE)</f>
        <v>فکورصنعت</v>
      </c>
      <c r="F88" s="19" t="str">
        <f>VLOOKUP(D88,'لیست پرسنل'!$B$2:$E$1020,4,FALSE)</f>
        <v>سرپرست آی تی</v>
      </c>
      <c r="G88" s="127">
        <f>VLOOKUP(D88,'لیست پرسنل'!$B$2:$F$1020,2,FALSE)</f>
        <v>2210</v>
      </c>
      <c r="H88" s="126" t="s">
        <v>4290</v>
      </c>
      <c r="I88" s="128"/>
      <c r="J88" s="128" t="s">
        <v>923</v>
      </c>
      <c r="K88" s="128" t="s">
        <v>923</v>
      </c>
      <c r="L88" s="150"/>
      <c r="M88" s="128">
        <v>603535</v>
      </c>
      <c r="N88" s="108"/>
      <c r="O88" s="20" t="s">
        <v>678</v>
      </c>
      <c r="P88" s="20"/>
      <c r="Q88" s="20"/>
    </row>
    <row r="89" spans="1:17" ht="24.9" customHeight="1">
      <c r="A89" s="20">
        <v>362</v>
      </c>
      <c r="B89" s="20" t="s">
        <v>4345</v>
      </c>
      <c r="C89" s="19"/>
      <c r="D89" s="19" t="s">
        <v>48</v>
      </c>
      <c r="E89" s="19" t="str">
        <f>VLOOKUP(D89,'لیست پرسنل'!$B$2:$E$1020,3,FALSE)</f>
        <v>فکورصنعت</v>
      </c>
      <c r="F89" s="19" t="str">
        <f>VLOOKUP(D89,'لیست پرسنل'!$B$2:$E$1020,4,FALSE)</f>
        <v>سرپرست آی تی</v>
      </c>
      <c r="G89" s="127">
        <f>VLOOKUP(D89,'لیست پرسنل'!$B$2:$F$1020,2,FALSE)</f>
        <v>2210</v>
      </c>
      <c r="H89" s="127" t="s">
        <v>4290</v>
      </c>
      <c r="I89" s="127"/>
      <c r="J89" s="128" t="s">
        <v>4689</v>
      </c>
      <c r="K89" s="128" t="s">
        <v>4689</v>
      </c>
      <c r="L89" s="127"/>
      <c r="M89" s="127">
        <v>633779</v>
      </c>
      <c r="N89" s="109"/>
      <c r="O89" s="19" t="s">
        <v>6426</v>
      </c>
      <c r="P89" s="32"/>
      <c r="Q89" s="32"/>
    </row>
    <row r="90" spans="1:17" ht="24.9" customHeight="1">
      <c r="A90" s="20">
        <v>362</v>
      </c>
      <c r="B90" s="20" t="s">
        <v>4345</v>
      </c>
      <c r="C90" s="20"/>
      <c r="D90" s="20" t="s">
        <v>48</v>
      </c>
      <c r="E90" s="19" t="str">
        <f>VLOOKUP(D90,'لیست پرسنل'!$B$2:$E$1020,3,FALSE)</f>
        <v>فکورصنعت</v>
      </c>
      <c r="F90" s="19" t="str">
        <f>VLOOKUP(D90,'لیست پرسنل'!$B$2:$E$1020,4,FALSE)</f>
        <v>سرپرست آی تی</v>
      </c>
      <c r="G90" s="127">
        <f>VLOOKUP(D90,'لیست پرسنل'!$B$2:$F$1020,2,FALSE)</f>
        <v>2210</v>
      </c>
      <c r="H90" s="126" t="s">
        <v>4290</v>
      </c>
      <c r="I90" s="128"/>
      <c r="J90" s="128" t="s">
        <v>737</v>
      </c>
      <c r="K90" s="126" t="s">
        <v>417</v>
      </c>
      <c r="L90" s="126" t="s">
        <v>418</v>
      </c>
      <c r="M90" s="126">
        <v>602429</v>
      </c>
      <c r="N90" s="108"/>
      <c r="O90" s="20"/>
      <c r="P90" s="20"/>
      <c r="Q90" s="20"/>
    </row>
    <row r="91" spans="1:17" ht="24.9" customHeight="1">
      <c r="A91" s="20">
        <v>362</v>
      </c>
      <c r="B91" s="20" t="s">
        <v>4345</v>
      </c>
      <c r="C91" s="20"/>
      <c r="D91" s="20" t="s">
        <v>48</v>
      </c>
      <c r="E91" s="19" t="str">
        <f>VLOOKUP(D91,'لیست پرسنل'!$B$2:$E$1020,3,FALSE)</f>
        <v>فکورصنعت</v>
      </c>
      <c r="F91" s="19" t="str">
        <f>VLOOKUP(D91,'لیست پرسنل'!$B$2:$E$1020,4,FALSE)</f>
        <v>سرپرست آی تی</v>
      </c>
      <c r="G91" s="127">
        <f>VLOOKUP(D91,'لیست پرسنل'!$B$2:$F$1020,2,FALSE)</f>
        <v>2210</v>
      </c>
      <c r="H91" s="126" t="s">
        <v>4290</v>
      </c>
      <c r="I91" s="128"/>
      <c r="J91" s="128" t="s">
        <v>737</v>
      </c>
      <c r="K91" s="128" t="s">
        <v>598</v>
      </c>
      <c r="L91" s="150" t="s">
        <v>597</v>
      </c>
      <c r="M91" s="127">
        <v>602510</v>
      </c>
      <c r="N91" s="108" t="s">
        <v>7312</v>
      </c>
      <c r="O91" s="20" t="s">
        <v>611</v>
      </c>
      <c r="P91" s="20"/>
      <c r="Q91" s="20"/>
    </row>
    <row r="92" spans="1:17" ht="24.9" customHeight="1">
      <c r="A92" s="20">
        <v>362</v>
      </c>
      <c r="B92" s="20" t="s">
        <v>4345</v>
      </c>
      <c r="C92" s="20"/>
      <c r="D92" s="20" t="s">
        <v>48</v>
      </c>
      <c r="E92" s="19" t="str">
        <f>VLOOKUP(D92,'لیست پرسنل'!$B$2:$E$1020,3,FALSE)</f>
        <v>فکورصنعت</v>
      </c>
      <c r="F92" s="19" t="str">
        <f>VLOOKUP(D92,'لیست پرسنل'!$B$2:$E$1020,4,FALSE)</f>
        <v>سرپرست آی تی</v>
      </c>
      <c r="G92" s="127">
        <f>VLOOKUP(D92,'لیست پرسنل'!$B$2:$F$1020,2,FALSE)</f>
        <v>2210</v>
      </c>
      <c r="H92" s="126" t="s">
        <v>4290</v>
      </c>
      <c r="I92" s="128"/>
      <c r="J92" s="128" t="s">
        <v>737</v>
      </c>
      <c r="K92" s="127" t="s">
        <v>554</v>
      </c>
      <c r="L92" s="151" t="s">
        <v>555</v>
      </c>
      <c r="M92" s="127">
        <v>603316</v>
      </c>
      <c r="N92" s="108" t="s">
        <v>7312</v>
      </c>
      <c r="O92" s="81" t="s">
        <v>831</v>
      </c>
      <c r="P92" s="20"/>
      <c r="Q92" s="20"/>
    </row>
    <row r="93" spans="1:17" ht="24.9" customHeight="1">
      <c r="A93" s="20">
        <v>362</v>
      </c>
      <c r="B93" s="20" t="s">
        <v>4345</v>
      </c>
      <c r="C93" s="20"/>
      <c r="D93" s="20" t="s">
        <v>48</v>
      </c>
      <c r="E93" s="19" t="str">
        <f>VLOOKUP(D93,'لیست پرسنل'!$B$2:$E$1020,3,FALSE)</f>
        <v>فکورصنعت</v>
      </c>
      <c r="F93" s="19" t="str">
        <f>VLOOKUP(D93,'لیست پرسنل'!$B$2:$E$1020,4,FALSE)</f>
        <v>سرپرست آی تی</v>
      </c>
      <c r="G93" s="127">
        <f>VLOOKUP(D93,'لیست پرسنل'!$B$2:$F$1020,2,FALSE)</f>
        <v>2210</v>
      </c>
      <c r="H93" s="126" t="s">
        <v>4290</v>
      </c>
      <c r="I93" s="128"/>
      <c r="J93" s="128" t="s">
        <v>737</v>
      </c>
      <c r="K93" s="127" t="s">
        <v>399</v>
      </c>
      <c r="L93" s="127" t="s">
        <v>466</v>
      </c>
      <c r="M93" s="127">
        <v>604014</v>
      </c>
      <c r="N93" s="108"/>
      <c r="O93" s="19"/>
      <c r="P93" s="20"/>
      <c r="Q93" s="20"/>
    </row>
    <row r="94" spans="1:17" ht="24.9" customHeight="1">
      <c r="A94" s="20">
        <v>362</v>
      </c>
      <c r="B94" s="20" t="s">
        <v>4345</v>
      </c>
      <c r="C94" s="20"/>
      <c r="D94" s="20" t="s">
        <v>48</v>
      </c>
      <c r="E94" s="19" t="str">
        <f>VLOOKUP(D94,'لیست پرسنل'!$B$2:$E$1020,3,FALSE)</f>
        <v>فکورصنعت</v>
      </c>
      <c r="F94" s="19" t="str">
        <f>VLOOKUP(D94,'لیست پرسنل'!$B$2:$E$1020,4,FALSE)</f>
        <v>سرپرست آی تی</v>
      </c>
      <c r="G94" s="127">
        <f>VLOOKUP(D94,'لیست پرسنل'!$B$2:$F$1020,2,FALSE)</f>
        <v>2210</v>
      </c>
      <c r="H94" s="126" t="s">
        <v>4290</v>
      </c>
      <c r="I94" s="128"/>
      <c r="J94" s="128" t="s">
        <v>737</v>
      </c>
      <c r="K94" s="128" t="s">
        <v>1870</v>
      </c>
      <c r="L94" s="150"/>
      <c r="M94" s="127">
        <v>604269</v>
      </c>
      <c r="N94" s="108" t="s">
        <v>7312</v>
      </c>
      <c r="O94" s="20" t="s">
        <v>678</v>
      </c>
      <c r="P94" s="20"/>
      <c r="Q94" s="20"/>
    </row>
    <row r="95" spans="1:17" ht="24.9" customHeight="1">
      <c r="A95" s="20">
        <v>362</v>
      </c>
      <c r="B95" s="20" t="s">
        <v>4345</v>
      </c>
      <c r="C95" s="20"/>
      <c r="D95" s="20" t="s">
        <v>48</v>
      </c>
      <c r="E95" s="19" t="str">
        <f>VLOOKUP(D95,'لیست پرسنل'!$B$2:$E$1020,3,FALSE)</f>
        <v>فکورصنعت</v>
      </c>
      <c r="F95" s="19" t="str">
        <f>VLOOKUP(D95,'لیست پرسنل'!$B$2:$E$1020,4,FALSE)</f>
        <v>سرپرست آی تی</v>
      </c>
      <c r="G95" s="127">
        <f>VLOOKUP(D95,'لیست پرسنل'!$B$2:$F$1020,2,FALSE)</f>
        <v>2210</v>
      </c>
      <c r="H95" s="126" t="s">
        <v>4290</v>
      </c>
      <c r="I95" s="128"/>
      <c r="J95" s="128" t="s">
        <v>737</v>
      </c>
      <c r="K95" s="127" t="s">
        <v>71</v>
      </c>
      <c r="L95" s="127">
        <v>3011910</v>
      </c>
      <c r="M95" s="128">
        <v>604459</v>
      </c>
      <c r="N95" s="108"/>
      <c r="O95" s="19"/>
      <c r="P95" s="20"/>
      <c r="Q95" s="20"/>
    </row>
    <row r="96" spans="1:17" ht="24.9" customHeight="1">
      <c r="A96" s="20">
        <v>362</v>
      </c>
      <c r="B96" s="20" t="s">
        <v>4345</v>
      </c>
      <c r="C96" s="20"/>
      <c r="D96" s="20" t="s">
        <v>48</v>
      </c>
      <c r="E96" s="19" t="str">
        <f>VLOOKUP(D96,'لیست پرسنل'!$B$2:$E$1020,3,FALSE)</f>
        <v>فکورصنعت</v>
      </c>
      <c r="F96" s="19" t="str">
        <f>VLOOKUP(D96,'لیست پرسنل'!$B$2:$E$1020,4,FALSE)</f>
        <v>سرپرست آی تی</v>
      </c>
      <c r="G96" s="127">
        <f>VLOOKUP(D96,'لیست پرسنل'!$B$2:$F$1020,2,FALSE)</f>
        <v>2210</v>
      </c>
      <c r="H96" s="126" t="s">
        <v>4290</v>
      </c>
      <c r="I96" s="128"/>
      <c r="J96" s="128" t="s">
        <v>737</v>
      </c>
      <c r="K96" s="127" t="s">
        <v>1477</v>
      </c>
      <c r="L96" s="127" t="s">
        <v>1478</v>
      </c>
      <c r="M96" s="128">
        <v>605624</v>
      </c>
      <c r="N96" s="108"/>
      <c r="O96" s="19" t="s">
        <v>1479</v>
      </c>
      <c r="P96" s="20"/>
      <c r="Q96" s="20"/>
    </row>
    <row r="97" spans="1:17" ht="24.9" customHeight="1">
      <c r="A97" s="20">
        <v>362</v>
      </c>
      <c r="B97" s="20" t="s">
        <v>4345</v>
      </c>
      <c r="C97" s="19"/>
      <c r="D97" s="19" t="s">
        <v>48</v>
      </c>
      <c r="E97" s="19" t="str">
        <f>VLOOKUP(D97,'لیست پرسنل'!$B$2:$E$1020,3,FALSE)</f>
        <v>فکورصنعت</v>
      </c>
      <c r="F97" s="19" t="str">
        <f>VLOOKUP(D97,'لیست پرسنل'!$B$2:$E$1020,4,FALSE)</f>
        <v>سرپرست آی تی</v>
      </c>
      <c r="G97" s="127">
        <f>VLOOKUP(D97,'لیست پرسنل'!$B$2:$F$1020,2,FALSE)</f>
        <v>2210</v>
      </c>
      <c r="H97" s="151" t="s">
        <v>4290</v>
      </c>
      <c r="I97" s="127"/>
      <c r="J97" s="128" t="s">
        <v>737</v>
      </c>
      <c r="K97" s="127" t="s">
        <v>309</v>
      </c>
      <c r="L97" s="127" t="s">
        <v>310</v>
      </c>
      <c r="M97" s="127">
        <v>606152</v>
      </c>
      <c r="N97" s="109"/>
      <c r="O97" s="19"/>
      <c r="P97" s="20"/>
      <c r="Q97" s="20"/>
    </row>
    <row r="98" spans="1:17" ht="24.9" customHeight="1">
      <c r="A98" s="20">
        <v>362</v>
      </c>
      <c r="B98" s="20" t="s">
        <v>4345</v>
      </c>
      <c r="C98" s="20"/>
      <c r="D98" s="20" t="s">
        <v>48</v>
      </c>
      <c r="E98" s="19" t="str">
        <f>VLOOKUP(D98,'لیست پرسنل'!$B$2:$E$1020,3,FALSE)</f>
        <v>فکورصنعت</v>
      </c>
      <c r="F98" s="19" t="str">
        <f>VLOOKUP(D98,'لیست پرسنل'!$B$2:$E$1020,4,FALSE)</f>
        <v>سرپرست آی تی</v>
      </c>
      <c r="G98" s="127">
        <f>VLOOKUP(D98,'لیست پرسنل'!$B$2:$F$1020,2,FALSE)</f>
        <v>2210</v>
      </c>
      <c r="H98" s="126" t="s">
        <v>4290</v>
      </c>
      <c r="I98" s="128"/>
      <c r="J98" s="128" t="s">
        <v>737</v>
      </c>
      <c r="K98" s="127" t="s">
        <v>724</v>
      </c>
      <c r="L98" s="127" t="s">
        <v>723</v>
      </c>
      <c r="M98" s="127">
        <v>607075</v>
      </c>
      <c r="N98" s="108"/>
      <c r="O98" s="19" t="s">
        <v>726</v>
      </c>
      <c r="P98" s="20"/>
      <c r="Q98" s="20"/>
    </row>
    <row r="99" spans="1:17" ht="24.9" customHeight="1">
      <c r="A99" s="20">
        <v>362</v>
      </c>
      <c r="B99" s="20" t="s">
        <v>4345</v>
      </c>
      <c r="C99" s="19"/>
      <c r="D99" s="19" t="s">
        <v>48</v>
      </c>
      <c r="E99" s="19" t="str">
        <f>VLOOKUP(D99,'لیست پرسنل'!$B$2:$E$1020,3,FALSE)</f>
        <v>فکورصنعت</v>
      </c>
      <c r="F99" s="19" t="str">
        <f>VLOOKUP(D99,'لیست پرسنل'!$B$2:$E$1020,4,FALSE)</f>
        <v>سرپرست آی تی</v>
      </c>
      <c r="G99" s="127">
        <f>VLOOKUP(D99,'لیست پرسنل'!$B$2:$F$1020,2,FALSE)</f>
        <v>2210</v>
      </c>
      <c r="H99" s="151" t="s">
        <v>4290</v>
      </c>
      <c r="I99" s="127"/>
      <c r="J99" s="128" t="s">
        <v>737</v>
      </c>
      <c r="K99" s="128" t="s">
        <v>3163</v>
      </c>
      <c r="L99" s="127" t="s">
        <v>461</v>
      </c>
      <c r="M99" s="127">
        <v>608037</v>
      </c>
      <c r="N99" s="108" t="s">
        <v>7312</v>
      </c>
      <c r="O99" s="19"/>
      <c r="P99" s="20"/>
      <c r="Q99" s="20"/>
    </row>
    <row r="100" spans="1:17" ht="24.9" customHeight="1">
      <c r="A100" s="20">
        <v>362</v>
      </c>
      <c r="B100" s="20" t="s">
        <v>4345</v>
      </c>
      <c r="C100" s="20"/>
      <c r="D100" s="20" t="s">
        <v>48</v>
      </c>
      <c r="E100" s="19" t="str">
        <f>VLOOKUP(D100,'لیست پرسنل'!$B$2:$E$1020,3,FALSE)</f>
        <v>فکورصنعت</v>
      </c>
      <c r="F100" s="19" t="str">
        <f>VLOOKUP(D100,'لیست پرسنل'!$B$2:$E$1020,4,FALSE)</f>
        <v>سرپرست آی تی</v>
      </c>
      <c r="G100" s="127">
        <f>VLOOKUP(D100,'لیست پرسنل'!$B$2:$F$1020,2,FALSE)</f>
        <v>2210</v>
      </c>
      <c r="H100" s="126" t="s">
        <v>4290</v>
      </c>
      <c r="I100" s="128"/>
      <c r="J100" s="128" t="s">
        <v>737</v>
      </c>
      <c r="K100" s="141" t="s">
        <v>567</v>
      </c>
      <c r="L100" s="151" t="s">
        <v>568</v>
      </c>
      <c r="M100" s="127">
        <v>612182</v>
      </c>
      <c r="N100" s="108"/>
      <c r="O100" s="20" t="s">
        <v>611</v>
      </c>
      <c r="P100" s="20"/>
      <c r="Q100" s="20"/>
    </row>
    <row r="101" spans="1:17" ht="24.9" customHeight="1">
      <c r="A101" s="20">
        <v>362</v>
      </c>
      <c r="B101" s="20" t="s">
        <v>4345</v>
      </c>
      <c r="C101" s="20"/>
      <c r="D101" s="20" t="s">
        <v>48</v>
      </c>
      <c r="E101" s="19" t="str">
        <f>VLOOKUP(D101,'لیست پرسنل'!$B$2:$E$1020,3,FALSE)</f>
        <v>فکورصنعت</v>
      </c>
      <c r="F101" s="19" t="str">
        <f>VLOOKUP(D101,'لیست پرسنل'!$B$2:$E$1020,4,FALSE)</f>
        <v>سرپرست آی تی</v>
      </c>
      <c r="G101" s="127">
        <f>VLOOKUP(D101,'لیست پرسنل'!$B$2:$F$1020,2,FALSE)</f>
        <v>2210</v>
      </c>
      <c r="H101" s="126" t="s">
        <v>4290</v>
      </c>
      <c r="I101" s="128"/>
      <c r="J101" s="128" t="s">
        <v>737</v>
      </c>
      <c r="K101" s="128" t="s">
        <v>603</v>
      </c>
      <c r="L101" s="152" t="s">
        <v>602</v>
      </c>
      <c r="M101" s="127">
        <v>613368</v>
      </c>
      <c r="N101" s="108"/>
      <c r="O101" s="31"/>
      <c r="P101" s="20"/>
      <c r="Q101" s="20"/>
    </row>
    <row r="102" spans="1:17" ht="24.9" customHeight="1">
      <c r="A102" s="20">
        <v>362</v>
      </c>
      <c r="B102" s="20" t="s">
        <v>4345</v>
      </c>
      <c r="C102" s="20"/>
      <c r="D102" s="20" t="s">
        <v>48</v>
      </c>
      <c r="E102" s="19" t="str">
        <f>VLOOKUP(D102,'لیست پرسنل'!$B$2:$E$1020,3,FALSE)</f>
        <v>فکورصنعت</v>
      </c>
      <c r="F102" s="19" t="str">
        <f>VLOOKUP(D102,'لیست پرسنل'!$B$2:$E$1020,4,FALSE)</f>
        <v>سرپرست آی تی</v>
      </c>
      <c r="G102" s="127">
        <f>VLOOKUP(D102,'لیست پرسنل'!$B$2:$F$1020,2,FALSE)</f>
        <v>2210</v>
      </c>
      <c r="H102" s="126" t="s">
        <v>4290</v>
      </c>
      <c r="I102" s="128"/>
      <c r="J102" s="128" t="s">
        <v>737</v>
      </c>
      <c r="K102" s="127" t="s">
        <v>398</v>
      </c>
      <c r="L102" s="127">
        <v>1000616</v>
      </c>
      <c r="M102" s="131">
        <v>613913</v>
      </c>
      <c r="N102" s="108"/>
      <c r="O102" s="19"/>
      <c r="P102" s="20"/>
      <c r="Q102" s="20"/>
    </row>
    <row r="103" spans="1:17" ht="24.9" customHeight="1">
      <c r="A103" s="20">
        <v>362</v>
      </c>
      <c r="B103" s="20" t="s">
        <v>4345</v>
      </c>
      <c r="C103" s="20"/>
      <c r="D103" s="20" t="s">
        <v>48</v>
      </c>
      <c r="E103" s="19" t="str">
        <f>VLOOKUP(D103,'لیست پرسنل'!$B$2:$E$1020,3,FALSE)</f>
        <v>فکورصنعت</v>
      </c>
      <c r="F103" s="19" t="str">
        <f>VLOOKUP(D103,'لیست پرسنل'!$B$2:$E$1020,4,FALSE)</f>
        <v>سرپرست آی تی</v>
      </c>
      <c r="G103" s="127">
        <f>VLOOKUP(D103,'لیست پرسنل'!$B$2:$F$1020,2,FALSE)</f>
        <v>2210</v>
      </c>
      <c r="H103" s="153" t="s">
        <v>4290</v>
      </c>
      <c r="I103" s="127"/>
      <c r="J103" s="128" t="s">
        <v>737</v>
      </c>
      <c r="K103" s="128" t="s">
        <v>60</v>
      </c>
      <c r="L103" s="127" t="s">
        <v>61</v>
      </c>
      <c r="M103" s="127">
        <v>622486</v>
      </c>
      <c r="N103" s="109"/>
      <c r="O103" s="19"/>
      <c r="P103" s="19"/>
      <c r="Q103" s="20"/>
    </row>
    <row r="104" spans="1:17" ht="24.9" customHeight="1">
      <c r="A104" s="20">
        <v>362</v>
      </c>
      <c r="B104" s="20" t="s">
        <v>4345</v>
      </c>
      <c r="C104" s="20"/>
      <c r="D104" s="20" t="s">
        <v>48</v>
      </c>
      <c r="E104" s="19" t="str">
        <f>VLOOKUP(D104,'لیست پرسنل'!$B$2:$E$1020,3,FALSE)</f>
        <v>فکورصنعت</v>
      </c>
      <c r="F104" s="19" t="str">
        <f>VLOOKUP(D104,'لیست پرسنل'!$B$2:$E$1020,4,FALSE)</f>
        <v>سرپرست آی تی</v>
      </c>
      <c r="G104" s="127">
        <f>VLOOKUP(D104,'لیست پرسنل'!$B$2:$F$1020,2,FALSE)</f>
        <v>2210</v>
      </c>
      <c r="H104" s="126" t="s">
        <v>4290</v>
      </c>
      <c r="I104" s="128"/>
      <c r="J104" s="128" t="s">
        <v>737</v>
      </c>
      <c r="K104" s="128" t="s">
        <v>508</v>
      </c>
      <c r="L104" s="128">
        <v>63036572</v>
      </c>
      <c r="M104" s="127">
        <v>622504</v>
      </c>
      <c r="N104" s="108"/>
      <c r="O104" s="19" t="s">
        <v>5811</v>
      </c>
      <c r="P104" s="20"/>
      <c r="Q104" s="20"/>
    </row>
    <row r="105" spans="1:17" ht="24.9" customHeight="1">
      <c r="A105" s="20">
        <v>362</v>
      </c>
      <c r="B105" s="20" t="s">
        <v>4345</v>
      </c>
      <c r="C105" s="19"/>
      <c r="D105" s="19" t="s">
        <v>48</v>
      </c>
      <c r="E105" s="19" t="str">
        <f>VLOOKUP(D105,'لیست پرسنل'!$B$2:$E$1020,3,FALSE)</f>
        <v>فکورصنعت</v>
      </c>
      <c r="F105" s="19" t="str">
        <f>VLOOKUP(D105,'لیست پرسنل'!$B$2:$E$1020,4,FALSE)</f>
        <v>سرپرست آی تی</v>
      </c>
      <c r="G105" s="127">
        <f>VLOOKUP(D105,'لیست پرسنل'!$B$2:$F$1020,2,FALSE)</f>
        <v>2210</v>
      </c>
      <c r="H105" s="151" t="s">
        <v>4290</v>
      </c>
      <c r="I105" s="127"/>
      <c r="J105" s="128" t="s">
        <v>737</v>
      </c>
      <c r="K105" s="128" t="s">
        <v>892</v>
      </c>
      <c r="L105" s="127" t="s">
        <v>893</v>
      </c>
      <c r="M105" s="127">
        <v>623605</v>
      </c>
      <c r="N105" s="109"/>
      <c r="O105" s="19" t="s">
        <v>4239</v>
      </c>
      <c r="P105" s="20"/>
      <c r="Q105" s="20"/>
    </row>
    <row r="106" spans="1:17" ht="24.9" customHeight="1">
      <c r="A106" s="20">
        <v>362</v>
      </c>
      <c r="B106" s="20" t="s">
        <v>4345</v>
      </c>
      <c r="C106" s="20"/>
      <c r="D106" s="20" t="s">
        <v>48</v>
      </c>
      <c r="E106" s="19" t="str">
        <f>VLOOKUP(D106,'لیست پرسنل'!$B$2:$E$1020,3,FALSE)</f>
        <v>فکورصنعت</v>
      </c>
      <c r="F106" s="19" t="str">
        <f>VLOOKUP(D106,'لیست پرسنل'!$B$2:$E$1020,4,FALSE)</f>
        <v>سرپرست آی تی</v>
      </c>
      <c r="G106" s="127">
        <f>VLOOKUP(D106,'لیست پرسنل'!$B$2:$F$1020,2,FALSE)</f>
        <v>2210</v>
      </c>
      <c r="H106" s="126" t="s">
        <v>4290</v>
      </c>
      <c r="I106" s="128"/>
      <c r="J106" s="128" t="s">
        <v>737</v>
      </c>
      <c r="K106" s="127" t="s">
        <v>895</v>
      </c>
      <c r="L106" s="151">
        <v>43006515</v>
      </c>
      <c r="M106" s="127">
        <v>623608</v>
      </c>
      <c r="N106" s="108"/>
      <c r="O106" s="20" t="s">
        <v>1013</v>
      </c>
      <c r="P106" s="20"/>
      <c r="Q106" s="20"/>
    </row>
    <row r="107" spans="1:17" ht="24.9" customHeight="1">
      <c r="A107" s="20">
        <v>362</v>
      </c>
      <c r="B107" s="20" t="s">
        <v>4345</v>
      </c>
      <c r="C107" s="20"/>
      <c r="D107" s="20" t="s">
        <v>48</v>
      </c>
      <c r="E107" s="19" t="str">
        <f>VLOOKUP(D107,'لیست پرسنل'!$B$2:$E$1020,3,FALSE)</f>
        <v>فکورصنعت</v>
      </c>
      <c r="F107" s="19" t="str">
        <f>VLOOKUP(D107,'لیست پرسنل'!$B$2:$E$1020,4,FALSE)</f>
        <v>سرپرست آی تی</v>
      </c>
      <c r="G107" s="127">
        <f>VLOOKUP(D107,'لیست پرسنل'!$B$2:$F$1020,2,FALSE)</f>
        <v>2210</v>
      </c>
      <c r="H107" s="126" t="s">
        <v>4290</v>
      </c>
      <c r="I107" s="128"/>
      <c r="J107" s="128" t="s">
        <v>737</v>
      </c>
      <c r="K107" s="135" t="s">
        <v>2052</v>
      </c>
      <c r="L107" s="153" t="s">
        <v>1790</v>
      </c>
      <c r="M107" s="128">
        <v>624271</v>
      </c>
      <c r="N107" s="108"/>
      <c r="O107" s="19" t="s">
        <v>4292</v>
      </c>
      <c r="P107" s="20"/>
      <c r="Q107" s="20"/>
    </row>
    <row r="108" spans="1:17" ht="24.9" customHeight="1">
      <c r="A108" s="20">
        <v>362</v>
      </c>
      <c r="B108" s="20" t="s">
        <v>4345</v>
      </c>
      <c r="C108" s="19"/>
      <c r="D108" s="20" t="s">
        <v>48</v>
      </c>
      <c r="E108" s="19" t="str">
        <f>VLOOKUP(D108,'لیست پرسنل'!$B$2:$E$1020,3,FALSE)</f>
        <v>فکورصنعت</v>
      </c>
      <c r="F108" s="19" t="str">
        <f>VLOOKUP(D108,'لیست پرسنل'!$B$2:$E$1020,4,FALSE)</f>
        <v>سرپرست آی تی</v>
      </c>
      <c r="G108" s="127">
        <f>VLOOKUP(D108,'لیست پرسنل'!$B$2:$F$1020,2,FALSE)</f>
        <v>2210</v>
      </c>
      <c r="H108" s="126" t="s">
        <v>4290</v>
      </c>
      <c r="I108" s="128"/>
      <c r="J108" s="128" t="s">
        <v>737</v>
      </c>
      <c r="K108" s="128" t="s">
        <v>5220</v>
      </c>
      <c r="L108" s="127" t="s">
        <v>5218</v>
      </c>
      <c r="M108" s="128">
        <v>625046</v>
      </c>
      <c r="N108" s="108"/>
      <c r="O108" s="20"/>
      <c r="P108" s="20"/>
      <c r="Q108" s="20"/>
    </row>
    <row r="109" spans="1:17" ht="24.9" customHeight="1">
      <c r="A109" s="20">
        <v>362</v>
      </c>
      <c r="B109" s="20" t="s">
        <v>4345</v>
      </c>
      <c r="C109" s="20"/>
      <c r="D109" s="20" t="s">
        <v>48</v>
      </c>
      <c r="E109" s="19" t="str">
        <f>VLOOKUP(D109,'لیست پرسنل'!$B$2:$E$1020,3,FALSE)</f>
        <v>فکورصنعت</v>
      </c>
      <c r="F109" s="19" t="str">
        <f>VLOOKUP(D109,'لیست پرسنل'!$B$2:$E$1020,4,FALSE)</f>
        <v>سرپرست آی تی</v>
      </c>
      <c r="G109" s="127">
        <f>VLOOKUP(D109,'لیست پرسنل'!$B$2:$F$1020,2,FALSE)</f>
        <v>2210</v>
      </c>
      <c r="H109" s="126" t="s">
        <v>4290</v>
      </c>
      <c r="I109" s="128"/>
      <c r="J109" s="128" t="s">
        <v>737</v>
      </c>
      <c r="K109" s="135" t="s">
        <v>1746</v>
      </c>
      <c r="L109" s="154" t="s">
        <v>1683</v>
      </c>
      <c r="M109" s="131">
        <v>625355</v>
      </c>
      <c r="N109" s="108"/>
      <c r="O109" s="20" t="s">
        <v>705</v>
      </c>
      <c r="P109" s="20"/>
      <c r="Q109" s="20"/>
    </row>
    <row r="110" spans="1:17" ht="24.9" customHeight="1">
      <c r="A110" s="20">
        <v>362</v>
      </c>
      <c r="B110" s="20" t="s">
        <v>4345</v>
      </c>
      <c r="C110" s="20"/>
      <c r="D110" s="20" t="s">
        <v>48</v>
      </c>
      <c r="E110" s="19" t="str">
        <f>VLOOKUP(D110,'لیست پرسنل'!$B$2:$E$1020,3,FALSE)</f>
        <v>فکورصنعت</v>
      </c>
      <c r="F110" s="19" t="str">
        <f>VLOOKUP(D110,'لیست پرسنل'!$B$2:$E$1020,4,FALSE)</f>
        <v>سرپرست آی تی</v>
      </c>
      <c r="G110" s="127">
        <f>VLOOKUP(D110,'لیست پرسنل'!$B$2:$F$1020,2,FALSE)</f>
        <v>2210</v>
      </c>
      <c r="H110" s="126" t="s">
        <v>4290</v>
      </c>
      <c r="I110" s="128"/>
      <c r="J110" s="128" t="s">
        <v>737</v>
      </c>
      <c r="K110" s="135" t="s">
        <v>1746</v>
      </c>
      <c r="L110" s="154" t="s">
        <v>1684</v>
      </c>
      <c r="M110" s="131">
        <v>625356</v>
      </c>
      <c r="N110" s="108"/>
      <c r="O110" s="20" t="s">
        <v>705</v>
      </c>
      <c r="P110" s="20"/>
      <c r="Q110" s="20"/>
    </row>
    <row r="111" spans="1:17" ht="24.9" customHeight="1">
      <c r="A111" s="20">
        <v>362</v>
      </c>
      <c r="B111" s="20" t="s">
        <v>4345</v>
      </c>
      <c r="C111" s="20"/>
      <c r="D111" s="20" t="s">
        <v>48</v>
      </c>
      <c r="E111" s="19" t="str">
        <f>VLOOKUP(D111,'لیست پرسنل'!$B$2:$E$1020,3,FALSE)</f>
        <v>فکورصنعت</v>
      </c>
      <c r="F111" s="19" t="str">
        <f>VLOOKUP(D111,'لیست پرسنل'!$B$2:$E$1020,4,FALSE)</f>
        <v>سرپرست آی تی</v>
      </c>
      <c r="G111" s="127">
        <f>VLOOKUP(D111,'لیست پرسنل'!$B$2:$F$1020,2,FALSE)</f>
        <v>2210</v>
      </c>
      <c r="H111" s="126" t="s">
        <v>4290</v>
      </c>
      <c r="I111" s="128"/>
      <c r="J111" s="128" t="s">
        <v>737</v>
      </c>
      <c r="K111" s="135" t="s">
        <v>1747</v>
      </c>
      <c r="L111" s="154" t="s">
        <v>1685</v>
      </c>
      <c r="M111" s="131">
        <v>625357</v>
      </c>
      <c r="N111" s="108"/>
      <c r="O111" s="20" t="s">
        <v>705</v>
      </c>
      <c r="P111" s="20"/>
      <c r="Q111" s="20"/>
    </row>
    <row r="112" spans="1:17" ht="24.9" customHeight="1">
      <c r="A112" s="20">
        <v>362</v>
      </c>
      <c r="B112" s="20" t="s">
        <v>4345</v>
      </c>
      <c r="C112" s="20"/>
      <c r="D112" s="20" t="s">
        <v>48</v>
      </c>
      <c r="E112" s="19" t="str">
        <f>VLOOKUP(D112,'لیست پرسنل'!$B$2:$E$1020,3,FALSE)</f>
        <v>فکورصنعت</v>
      </c>
      <c r="F112" s="19" t="str">
        <f>VLOOKUP(D112,'لیست پرسنل'!$B$2:$E$1020,4,FALSE)</f>
        <v>سرپرست آی تی</v>
      </c>
      <c r="G112" s="127">
        <f>VLOOKUP(D112,'لیست پرسنل'!$B$2:$F$1020,2,FALSE)</f>
        <v>2210</v>
      </c>
      <c r="H112" s="126" t="s">
        <v>4290</v>
      </c>
      <c r="I112" s="128"/>
      <c r="J112" s="128" t="s">
        <v>737</v>
      </c>
      <c r="K112" s="135" t="s">
        <v>1747</v>
      </c>
      <c r="L112" s="154" t="s">
        <v>1686</v>
      </c>
      <c r="M112" s="131">
        <v>625358</v>
      </c>
      <c r="N112" s="108"/>
      <c r="O112" s="20" t="s">
        <v>705</v>
      </c>
      <c r="P112" s="20"/>
      <c r="Q112" s="20"/>
    </row>
    <row r="113" spans="1:17" ht="24.9" customHeight="1">
      <c r="A113" s="20">
        <v>362</v>
      </c>
      <c r="B113" s="20" t="s">
        <v>4345</v>
      </c>
      <c r="C113" s="19"/>
      <c r="D113" s="20" t="s">
        <v>48</v>
      </c>
      <c r="E113" s="19" t="str">
        <f>VLOOKUP(D113,'لیست پرسنل'!$B$2:$E$1020,3,FALSE)</f>
        <v>فکورصنعت</v>
      </c>
      <c r="F113" s="19" t="str">
        <f>VLOOKUP(D113,'لیست پرسنل'!$B$2:$E$1020,4,FALSE)</f>
        <v>سرپرست آی تی</v>
      </c>
      <c r="G113" s="127">
        <f>VLOOKUP(D113,'لیست پرسنل'!$B$2:$F$1020,2,FALSE)</f>
        <v>2210</v>
      </c>
      <c r="H113" s="126" t="s">
        <v>4290</v>
      </c>
      <c r="I113" s="128"/>
      <c r="J113" s="128" t="s">
        <v>737</v>
      </c>
      <c r="K113" s="135" t="s">
        <v>1953</v>
      </c>
      <c r="L113" s="154"/>
      <c r="M113" s="131">
        <v>627181</v>
      </c>
      <c r="N113" s="108"/>
      <c r="O113" s="20" t="s">
        <v>705</v>
      </c>
      <c r="P113" s="20"/>
      <c r="Q113" s="20"/>
    </row>
    <row r="114" spans="1:17" ht="24.9" customHeight="1">
      <c r="A114" s="20">
        <v>362</v>
      </c>
      <c r="B114" s="20" t="s">
        <v>4345</v>
      </c>
      <c r="C114" s="19"/>
      <c r="D114" s="20" t="s">
        <v>48</v>
      </c>
      <c r="E114" s="19" t="str">
        <f>VLOOKUP(D114,'لیست پرسنل'!$B$2:$E$1020,3,FALSE)</f>
        <v>فکورصنعت</v>
      </c>
      <c r="F114" s="19" t="str">
        <f>VLOOKUP(D114,'لیست پرسنل'!$B$2:$E$1020,4,FALSE)</f>
        <v>سرپرست آی تی</v>
      </c>
      <c r="G114" s="127">
        <f>VLOOKUP(D114,'لیست پرسنل'!$B$2:$F$1020,2,FALSE)</f>
        <v>2210</v>
      </c>
      <c r="H114" s="151" t="s">
        <v>4290</v>
      </c>
      <c r="I114" s="127"/>
      <c r="J114" s="128" t="s">
        <v>737</v>
      </c>
      <c r="K114" s="128" t="s">
        <v>414</v>
      </c>
      <c r="L114" s="128" t="s">
        <v>4154</v>
      </c>
      <c r="M114" s="128">
        <v>632361</v>
      </c>
      <c r="N114" s="108" t="s">
        <v>6852</v>
      </c>
      <c r="O114" s="19" t="s">
        <v>5909</v>
      </c>
      <c r="P114" s="20"/>
      <c r="Q114" s="20"/>
    </row>
    <row r="115" spans="1:17" ht="24.9" customHeight="1">
      <c r="A115" s="20">
        <v>362</v>
      </c>
      <c r="B115" s="20" t="s">
        <v>4345</v>
      </c>
      <c r="C115" s="20"/>
      <c r="D115" s="20" t="s">
        <v>48</v>
      </c>
      <c r="E115" s="19" t="str">
        <f>VLOOKUP(D115,'لیست پرسنل'!$B$2:$E$1020,3,FALSE)</f>
        <v>فکورصنعت</v>
      </c>
      <c r="F115" s="19" t="str">
        <f>VLOOKUP(D115,'لیست پرسنل'!$B$2:$E$1020,4,FALSE)</f>
        <v>سرپرست آی تی</v>
      </c>
      <c r="G115" s="127">
        <f>VLOOKUP(D115,'لیست پرسنل'!$B$2:$F$1020,2,FALSE)</f>
        <v>2210</v>
      </c>
      <c r="H115" s="128" t="s">
        <v>4290</v>
      </c>
      <c r="I115" s="128"/>
      <c r="J115" s="128" t="s">
        <v>737</v>
      </c>
      <c r="K115" s="128" t="s">
        <v>471</v>
      </c>
      <c r="L115" s="127" t="s">
        <v>1353</v>
      </c>
      <c r="M115" s="127">
        <v>633771</v>
      </c>
      <c r="N115" s="109"/>
      <c r="O115" s="19" t="s">
        <v>6419</v>
      </c>
      <c r="P115" s="32"/>
      <c r="Q115" s="32"/>
    </row>
    <row r="116" spans="1:17" ht="24.9" customHeight="1">
      <c r="A116" s="20">
        <v>362</v>
      </c>
      <c r="B116" s="20" t="s">
        <v>4345</v>
      </c>
      <c r="C116" s="20"/>
      <c r="D116" s="20" t="s">
        <v>48</v>
      </c>
      <c r="E116" s="19" t="str">
        <f>VLOOKUP(D116,'لیست پرسنل'!$B$2:$E$1020,3,FALSE)</f>
        <v>فکورصنعت</v>
      </c>
      <c r="F116" s="19" t="str">
        <f>VLOOKUP(D116,'لیست پرسنل'!$B$2:$E$1020,4,FALSE)</f>
        <v>سرپرست آی تی</v>
      </c>
      <c r="G116" s="127">
        <f>VLOOKUP(D116,'لیست پرسنل'!$B$2:$F$1020,2,FALSE)</f>
        <v>2210</v>
      </c>
      <c r="H116" s="153" t="s">
        <v>4290</v>
      </c>
      <c r="I116" s="127"/>
      <c r="J116" s="128" t="s">
        <v>737</v>
      </c>
      <c r="K116" s="127" t="s">
        <v>5335</v>
      </c>
      <c r="L116" s="127" t="s">
        <v>5336</v>
      </c>
      <c r="M116" s="128" t="s">
        <v>291</v>
      </c>
      <c r="N116" s="109"/>
      <c r="O116" s="19" t="s">
        <v>5329</v>
      </c>
      <c r="P116" s="19"/>
      <c r="Q116" s="20"/>
    </row>
    <row r="117" spans="1:17" ht="24.9" customHeight="1">
      <c r="A117" s="20">
        <v>362</v>
      </c>
      <c r="B117" s="20" t="s">
        <v>4345</v>
      </c>
      <c r="C117" s="20"/>
      <c r="D117" s="20" t="s">
        <v>48</v>
      </c>
      <c r="E117" s="19" t="str">
        <f>VLOOKUP(D117,'لیست پرسنل'!$B$2:$E$1020,3,FALSE)</f>
        <v>فکورصنعت</v>
      </c>
      <c r="F117" s="19" t="str">
        <f>VLOOKUP(D117,'لیست پرسنل'!$B$2:$E$1020,4,FALSE)</f>
        <v>سرپرست آی تی</v>
      </c>
      <c r="G117" s="127">
        <f>VLOOKUP(D117,'لیست پرسنل'!$B$2:$F$1020,2,FALSE)</f>
        <v>2210</v>
      </c>
      <c r="H117" s="126" t="s">
        <v>4290</v>
      </c>
      <c r="I117" s="128"/>
      <c r="J117" s="128" t="s">
        <v>737</v>
      </c>
      <c r="K117" s="128" t="s">
        <v>530</v>
      </c>
      <c r="L117" s="150"/>
      <c r="M117" s="128" t="s">
        <v>291</v>
      </c>
      <c r="N117" s="108"/>
      <c r="O117" s="20" t="s">
        <v>698</v>
      </c>
      <c r="P117" s="20"/>
      <c r="Q117" s="20"/>
    </row>
    <row r="118" spans="1:17" ht="24.9" customHeight="1">
      <c r="A118" s="20">
        <v>362</v>
      </c>
      <c r="B118" s="20" t="s">
        <v>4345</v>
      </c>
      <c r="C118" s="20"/>
      <c r="D118" s="20" t="s">
        <v>48</v>
      </c>
      <c r="E118" s="19" t="str">
        <f>VLOOKUP(D118,'لیست پرسنل'!$B$2:$E$1020,3,FALSE)</f>
        <v>فکورصنعت</v>
      </c>
      <c r="F118" s="19" t="str">
        <f>VLOOKUP(D118,'لیست پرسنل'!$B$2:$E$1020,4,FALSE)</f>
        <v>سرپرست آی تی</v>
      </c>
      <c r="G118" s="127">
        <f>VLOOKUP(D118,'لیست پرسنل'!$B$2:$F$1020,2,FALSE)</f>
        <v>2210</v>
      </c>
      <c r="H118" s="126" t="s">
        <v>4290</v>
      </c>
      <c r="I118" s="128"/>
      <c r="J118" s="128" t="s">
        <v>737</v>
      </c>
      <c r="K118" s="135" t="s">
        <v>1802</v>
      </c>
      <c r="L118" s="153" t="s">
        <v>1803</v>
      </c>
      <c r="M118" s="128" t="s">
        <v>291</v>
      </c>
      <c r="N118" s="108"/>
      <c r="O118" s="44" t="s">
        <v>1811</v>
      </c>
      <c r="P118" s="20"/>
      <c r="Q118" s="20"/>
    </row>
    <row r="119" spans="1:17" ht="24.9" customHeight="1">
      <c r="A119" s="20">
        <v>362</v>
      </c>
      <c r="B119" s="20" t="s">
        <v>4345</v>
      </c>
      <c r="C119" s="20"/>
      <c r="D119" s="20" t="s">
        <v>48</v>
      </c>
      <c r="E119" s="19" t="str">
        <f>VLOOKUP(D119,'لیست پرسنل'!$B$2:$E$1020,3,FALSE)</f>
        <v>فکورصنعت</v>
      </c>
      <c r="F119" s="19" t="str">
        <f>VLOOKUP(D119,'لیست پرسنل'!$B$2:$E$1020,4,FALSE)</f>
        <v>سرپرست آی تی</v>
      </c>
      <c r="G119" s="127">
        <f>VLOOKUP(D119,'لیست پرسنل'!$B$2:$F$1020,2,FALSE)</f>
        <v>2210</v>
      </c>
      <c r="H119" s="126" t="s">
        <v>4290</v>
      </c>
      <c r="I119" s="128"/>
      <c r="J119" s="128" t="s">
        <v>737</v>
      </c>
      <c r="K119" s="135" t="s">
        <v>1802</v>
      </c>
      <c r="L119" s="153" t="s">
        <v>1804</v>
      </c>
      <c r="M119" s="128" t="s">
        <v>291</v>
      </c>
      <c r="N119" s="108"/>
      <c r="O119" s="44" t="s">
        <v>1811</v>
      </c>
      <c r="P119" s="20"/>
      <c r="Q119" s="20"/>
    </row>
    <row r="120" spans="1:17" ht="24.9" customHeight="1">
      <c r="A120" s="20">
        <v>362</v>
      </c>
      <c r="B120" s="20" t="s">
        <v>4345</v>
      </c>
      <c r="C120" s="19"/>
      <c r="D120" s="20" t="s">
        <v>48</v>
      </c>
      <c r="E120" s="19" t="str">
        <f>VLOOKUP(D120,'لیست پرسنل'!$B$2:$E$1020,3,FALSE)</f>
        <v>فکورصنعت</v>
      </c>
      <c r="F120" s="19" t="str">
        <f>VLOOKUP(D120,'لیست پرسنل'!$B$2:$E$1020,4,FALSE)</f>
        <v>سرپرست آی تی</v>
      </c>
      <c r="G120" s="127">
        <f>VLOOKUP(D120,'لیست پرسنل'!$B$2:$F$1020,2,FALSE)</f>
        <v>2210</v>
      </c>
      <c r="H120" s="126" t="s">
        <v>4290</v>
      </c>
      <c r="I120" s="128"/>
      <c r="J120" s="128" t="s">
        <v>737</v>
      </c>
      <c r="K120" s="135" t="s">
        <v>1802</v>
      </c>
      <c r="L120" s="153" t="s">
        <v>1805</v>
      </c>
      <c r="M120" s="128" t="s">
        <v>291</v>
      </c>
      <c r="N120" s="108"/>
      <c r="O120" s="44" t="s">
        <v>1811</v>
      </c>
      <c r="P120" s="20"/>
      <c r="Q120" s="20"/>
    </row>
    <row r="121" spans="1:17" ht="24.9" customHeight="1">
      <c r="A121" s="20">
        <v>362</v>
      </c>
      <c r="B121" s="20" t="s">
        <v>4345</v>
      </c>
      <c r="C121" s="20"/>
      <c r="D121" s="20" t="s">
        <v>48</v>
      </c>
      <c r="E121" s="19" t="str">
        <f>VLOOKUP(D121,'لیست پرسنل'!$B$2:$E$1020,3,FALSE)</f>
        <v>فکورصنعت</v>
      </c>
      <c r="F121" s="19" t="str">
        <f>VLOOKUP(D121,'لیست پرسنل'!$B$2:$E$1020,4,FALSE)</f>
        <v>سرپرست آی تی</v>
      </c>
      <c r="G121" s="127">
        <f>VLOOKUP(D121,'لیست پرسنل'!$B$2:$F$1020,2,FALSE)</f>
        <v>2210</v>
      </c>
      <c r="H121" s="126" t="s">
        <v>4290</v>
      </c>
      <c r="I121" s="128"/>
      <c r="J121" s="128" t="s">
        <v>737</v>
      </c>
      <c r="K121" s="135" t="s">
        <v>1801</v>
      </c>
      <c r="L121" s="153" t="s">
        <v>2066</v>
      </c>
      <c r="M121" s="128" t="s">
        <v>291</v>
      </c>
      <c r="N121" s="108"/>
      <c r="O121" s="44" t="s">
        <v>1811</v>
      </c>
      <c r="P121" s="20"/>
      <c r="Q121" s="20"/>
    </row>
    <row r="122" spans="1:17" ht="24.9" customHeight="1">
      <c r="A122" s="20">
        <v>362</v>
      </c>
      <c r="B122" s="20" t="s">
        <v>4345</v>
      </c>
      <c r="C122" s="20"/>
      <c r="D122" s="20" t="s">
        <v>48</v>
      </c>
      <c r="E122" s="19" t="str">
        <f>VLOOKUP(D122,'لیست پرسنل'!$B$2:$E$1020,3,FALSE)</f>
        <v>فکورصنعت</v>
      </c>
      <c r="F122" s="19" t="str">
        <f>VLOOKUP(D122,'لیست پرسنل'!$B$2:$E$1020,4,FALSE)</f>
        <v>سرپرست آی تی</v>
      </c>
      <c r="G122" s="127">
        <f>VLOOKUP(D122,'لیست پرسنل'!$B$2:$F$1020,2,FALSE)</f>
        <v>2210</v>
      </c>
      <c r="H122" s="126" t="s">
        <v>4290</v>
      </c>
      <c r="I122" s="128"/>
      <c r="J122" s="128" t="s">
        <v>737</v>
      </c>
      <c r="K122" s="135" t="s">
        <v>1799</v>
      </c>
      <c r="L122" s="153" t="s">
        <v>1800</v>
      </c>
      <c r="M122" s="128" t="s">
        <v>291</v>
      </c>
      <c r="N122" s="108"/>
      <c r="O122" s="44" t="s">
        <v>1811</v>
      </c>
      <c r="P122" s="20"/>
      <c r="Q122" s="20"/>
    </row>
    <row r="123" spans="1:17" ht="24.9" customHeight="1">
      <c r="A123" s="20">
        <v>362</v>
      </c>
      <c r="B123" s="20" t="s">
        <v>4345</v>
      </c>
      <c r="C123" s="20"/>
      <c r="D123" s="20" t="s">
        <v>48</v>
      </c>
      <c r="E123" s="19" t="str">
        <f>VLOOKUP(D123,'لیست پرسنل'!$B$2:$E$1020,3,FALSE)</f>
        <v>فکورصنعت</v>
      </c>
      <c r="F123" s="19" t="str">
        <f>VLOOKUP(D123,'لیست پرسنل'!$B$2:$E$1020,4,FALSE)</f>
        <v>سرپرست آی تی</v>
      </c>
      <c r="G123" s="127">
        <f>VLOOKUP(D123,'لیست پرسنل'!$B$2:$F$1020,2,FALSE)</f>
        <v>2210</v>
      </c>
      <c r="H123" s="128" t="s">
        <v>4290</v>
      </c>
      <c r="I123" s="128"/>
      <c r="J123" s="128" t="s">
        <v>3767</v>
      </c>
      <c r="K123" s="128" t="s">
        <v>3767</v>
      </c>
      <c r="L123" s="127"/>
      <c r="M123" s="127">
        <v>633768</v>
      </c>
      <c r="N123" s="108" t="s">
        <v>7312</v>
      </c>
      <c r="O123" s="19" t="s">
        <v>6415</v>
      </c>
      <c r="P123" s="32"/>
      <c r="Q123" s="32"/>
    </row>
    <row r="124" spans="1:17" ht="24.9" customHeight="1">
      <c r="A124" s="20">
        <v>362</v>
      </c>
      <c r="B124" s="20" t="s">
        <v>4345</v>
      </c>
      <c r="C124" s="20"/>
      <c r="D124" s="20" t="s">
        <v>48</v>
      </c>
      <c r="E124" s="19" t="str">
        <f>VLOOKUP(D124,'لیست پرسنل'!$B$2:$E$1020,3,FALSE)</f>
        <v>فکورصنعت</v>
      </c>
      <c r="F124" s="19" t="str">
        <f>VLOOKUP(D124,'لیست پرسنل'!$B$2:$E$1020,4,FALSE)</f>
        <v>سرپرست آی تی</v>
      </c>
      <c r="G124" s="127">
        <f>VLOOKUP(D124,'لیست پرسنل'!$B$2:$F$1020,2,FALSE)</f>
        <v>2210</v>
      </c>
      <c r="H124" s="128" t="s">
        <v>4290</v>
      </c>
      <c r="I124" s="128"/>
      <c r="J124" s="128" t="s">
        <v>3767</v>
      </c>
      <c r="K124" s="128" t="s">
        <v>3767</v>
      </c>
      <c r="L124" s="127"/>
      <c r="M124" s="127">
        <v>633769</v>
      </c>
      <c r="N124" s="108" t="s">
        <v>7312</v>
      </c>
      <c r="O124" s="19" t="s">
        <v>6416</v>
      </c>
      <c r="P124" s="32"/>
      <c r="Q124" s="32"/>
    </row>
    <row r="125" spans="1:17" ht="24.9" customHeight="1">
      <c r="A125" s="20">
        <v>362</v>
      </c>
      <c r="B125" s="20" t="s">
        <v>4345</v>
      </c>
      <c r="C125" s="20"/>
      <c r="D125" s="20" t="s">
        <v>48</v>
      </c>
      <c r="E125" s="19" t="str">
        <f>VLOOKUP(D125,'لیست پرسنل'!$B$2:$E$1020,3,FALSE)</f>
        <v>فکورصنعت</v>
      </c>
      <c r="F125" s="19" t="str">
        <f>VLOOKUP(D125,'لیست پرسنل'!$B$2:$E$1020,4,FALSE)</f>
        <v>سرپرست آی تی</v>
      </c>
      <c r="G125" s="127">
        <f>VLOOKUP(D125,'لیست پرسنل'!$B$2:$F$1020,2,FALSE)</f>
        <v>2210</v>
      </c>
      <c r="H125" s="126" t="s">
        <v>4290</v>
      </c>
      <c r="I125" s="128"/>
      <c r="J125" s="128" t="s">
        <v>864</v>
      </c>
      <c r="K125" s="128" t="s">
        <v>864</v>
      </c>
      <c r="L125" s="150"/>
      <c r="M125" s="128">
        <v>628112</v>
      </c>
      <c r="N125" s="108"/>
      <c r="O125" s="20" t="s">
        <v>705</v>
      </c>
      <c r="P125" s="20"/>
      <c r="Q125" s="20"/>
    </row>
    <row r="126" spans="1:17" ht="24.9" customHeight="1">
      <c r="A126" s="20">
        <v>362</v>
      </c>
      <c r="B126" s="20" t="s">
        <v>4345</v>
      </c>
      <c r="C126" s="20"/>
      <c r="D126" s="20" t="s">
        <v>48</v>
      </c>
      <c r="E126" s="19" t="str">
        <f>VLOOKUP(D126,'لیست پرسنل'!$B$2:$E$1020,3,FALSE)</f>
        <v>فکورصنعت</v>
      </c>
      <c r="F126" s="19" t="str">
        <f>VLOOKUP(D126,'لیست پرسنل'!$B$2:$E$1020,4,FALSE)</f>
        <v>سرپرست آی تی</v>
      </c>
      <c r="G126" s="127">
        <f>VLOOKUP(D126,'لیست پرسنل'!$B$2:$F$1020,2,FALSE)</f>
        <v>2210</v>
      </c>
      <c r="H126" s="126" t="s">
        <v>4290</v>
      </c>
      <c r="I126" s="128"/>
      <c r="J126" s="128" t="s">
        <v>1967</v>
      </c>
      <c r="K126" s="128" t="s">
        <v>881</v>
      </c>
      <c r="L126" s="151" t="s">
        <v>1676</v>
      </c>
      <c r="M126" s="127">
        <v>603923</v>
      </c>
      <c r="N126" s="108"/>
      <c r="O126" s="20"/>
      <c r="P126" s="20"/>
      <c r="Q126" s="20"/>
    </row>
    <row r="127" spans="1:17" ht="24.9" customHeight="1">
      <c r="A127" s="20">
        <v>362</v>
      </c>
      <c r="B127" s="20" t="s">
        <v>4345</v>
      </c>
      <c r="C127" s="20"/>
      <c r="D127" s="20" t="s">
        <v>48</v>
      </c>
      <c r="E127" s="19" t="str">
        <f>VLOOKUP(D127,'لیست پرسنل'!$B$2:$E$1020,3,FALSE)</f>
        <v>فکورصنعت</v>
      </c>
      <c r="F127" s="19" t="str">
        <f>VLOOKUP(D127,'لیست پرسنل'!$B$2:$E$1020,4,FALSE)</f>
        <v>سرپرست آی تی</v>
      </c>
      <c r="G127" s="127">
        <f>VLOOKUP(D127,'لیست پرسنل'!$B$2:$F$1020,2,FALSE)</f>
        <v>2210</v>
      </c>
      <c r="H127" s="126" t="s">
        <v>4290</v>
      </c>
      <c r="I127" s="128"/>
      <c r="J127" s="128" t="s">
        <v>1967</v>
      </c>
      <c r="K127" s="128" t="s">
        <v>2792</v>
      </c>
      <c r="L127" s="128" t="s">
        <v>1641</v>
      </c>
      <c r="M127" s="128">
        <v>603990</v>
      </c>
      <c r="N127" s="108" t="s">
        <v>2796</v>
      </c>
      <c r="O127" s="20"/>
      <c r="P127" s="20"/>
      <c r="Q127" s="20"/>
    </row>
    <row r="128" spans="1:17" ht="24.9" customHeight="1">
      <c r="A128" s="20">
        <v>362</v>
      </c>
      <c r="B128" s="20" t="s">
        <v>4345</v>
      </c>
      <c r="C128" s="20"/>
      <c r="D128" s="20" t="s">
        <v>48</v>
      </c>
      <c r="E128" s="19" t="str">
        <f>VLOOKUP(D128,'لیست پرسنل'!$B$2:$E$1020,3,FALSE)</f>
        <v>فکورصنعت</v>
      </c>
      <c r="F128" s="19" t="str">
        <f>VLOOKUP(D128,'لیست پرسنل'!$B$2:$E$1020,4,FALSE)</f>
        <v>سرپرست آی تی</v>
      </c>
      <c r="G128" s="127">
        <f>VLOOKUP(D128,'لیست پرسنل'!$B$2:$F$1020,2,FALSE)</f>
        <v>2210</v>
      </c>
      <c r="H128" s="126" t="s">
        <v>4290</v>
      </c>
      <c r="I128" s="128"/>
      <c r="J128" s="128" t="s">
        <v>1967</v>
      </c>
      <c r="K128" s="128" t="s">
        <v>2792</v>
      </c>
      <c r="L128" s="128" t="s">
        <v>1673</v>
      </c>
      <c r="M128" s="128">
        <v>604199</v>
      </c>
      <c r="N128" s="108" t="s">
        <v>2796</v>
      </c>
      <c r="O128" s="20"/>
      <c r="P128" s="20"/>
      <c r="Q128" s="20"/>
    </row>
    <row r="129" spans="1:17" ht="24.9" customHeight="1">
      <c r="A129" s="20">
        <v>362</v>
      </c>
      <c r="B129" s="20" t="s">
        <v>4345</v>
      </c>
      <c r="C129" s="20"/>
      <c r="D129" s="20" t="s">
        <v>48</v>
      </c>
      <c r="E129" s="19" t="str">
        <f>VLOOKUP(D129,'لیست پرسنل'!$B$2:$E$1020,3,FALSE)</f>
        <v>فکورصنعت</v>
      </c>
      <c r="F129" s="19" t="str">
        <f>VLOOKUP(D129,'لیست پرسنل'!$B$2:$E$1020,4,FALSE)</f>
        <v>سرپرست آی تی</v>
      </c>
      <c r="G129" s="127">
        <f>VLOOKUP(D129,'لیست پرسنل'!$B$2:$F$1020,2,FALSE)</f>
        <v>2210</v>
      </c>
      <c r="H129" s="126" t="s">
        <v>4290</v>
      </c>
      <c r="I129" s="128"/>
      <c r="J129" s="128" t="s">
        <v>1967</v>
      </c>
      <c r="K129" s="128" t="s">
        <v>601</v>
      </c>
      <c r="L129" s="128"/>
      <c r="M129" s="128">
        <v>604201</v>
      </c>
      <c r="N129" s="108"/>
      <c r="O129" s="20"/>
      <c r="P129" s="20"/>
      <c r="Q129" s="20"/>
    </row>
    <row r="130" spans="1:17" ht="24.9" customHeight="1">
      <c r="A130" s="20">
        <v>362</v>
      </c>
      <c r="B130" s="20" t="s">
        <v>4345</v>
      </c>
      <c r="C130" s="20"/>
      <c r="D130" s="20" t="s">
        <v>48</v>
      </c>
      <c r="E130" s="19" t="str">
        <f>VLOOKUP(D130,'لیست پرسنل'!$B$2:$E$1020,3,FALSE)</f>
        <v>فکورصنعت</v>
      </c>
      <c r="F130" s="19" t="str">
        <f>VLOOKUP(D130,'لیست پرسنل'!$B$2:$E$1020,4,FALSE)</f>
        <v>سرپرست آی تی</v>
      </c>
      <c r="G130" s="127">
        <f>VLOOKUP(D130,'لیست پرسنل'!$B$2:$F$1020,2,FALSE)</f>
        <v>2210</v>
      </c>
      <c r="H130" s="126" t="s">
        <v>4290</v>
      </c>
      <c r="I130" s="128"/>
      <c r="J130" s="128" t="s">
        <v>1967</v>
      </c>
      <c r="K130" s="127" t="s">
        <v>643</v>
      </c>
      <c r="L130" s="127" t="s">
        <v>1664</v>
      </c>
      <c r="M130" s="127">
        <v>604204</v>
      </c>
      <c r="N130" s="108" t="s">
        <v>2796</v>
      </c>
      <c r="O130" s="20"/>
      <c r="P130" s="20"/>
      <c r="Q130" s="20"/>
    </row>
    <row r="131" spans="1:17" ht="24.9" customHeight="1">
      <c r="A131" s="20">
        <v>362</v>
      </c>
      <c r="B131" s="20" t="s">
        <v>4345</v>
      </c>
      <c r="C131" s="20"/>
      <c r="D131" s="20" t="s">
        <v>48</v>
      </c>
      <c r="E131" s="19" t="str">
        <f>VLOOKUP(D131,'لیست پرسنل'!$B$2:$E$1020,3,FALSE)</f>
        <v>فکورصنعت</v>
      </c>
      <c r="F131" s="19" t="str">
        <f>VLOOKUP(D131,'لیست پرسنل'!$B$2:$E$1020,4,FALSE)</f>
        <v>سرپرست آی تی</v>
      </c>
      <c r="G131" s="127">
        <f>VLOOKUP(D131,'لیست پرسنل'!$B$2:$F$1020,2,FALSE)</f>
        <v>2210</v>
      </c>
      <c r="H131" s="126" t="s">
        <v>4290</v>
      </c>
      <c r="I131" s="128"/>
      <c r="J131" s="128" t="s">
        <v>1967</v>
      </c>
      <c r="K131" s="128" t="s">
        <v>648</v>
      </c>
      <c r="L131" s="127" t="s">
        <v>5139</v>
      </c>
      <c r="M131" s="127">
        <v>604219</v>
      </c>
      <c r="N131" s="108"/>
      <c r="O131" s="20"/>
      <c r="P131" s="20"/>
      <c r="Q131" s="20"/>
    </row>
    <row r="132" spans="1:17" ht="24.9" customHeight="1">
      <c r="A132" s="20">
        <v>362</v>
      </c>
      <c r="B132" s="20" t="s">
        <v>4345</v>
      </c>
      <c r="C132" s="20"/>
      <c r="D132" s="20" t="s">
        <v>48</v>
      </c>
      <c r="E132" s="19" t="str">
        <f>VLOOKUP(D132,'لیست پرسنل'!$B$2:$E$1020,3,FALSE)</f>
        <v>فکورصنعت</v>
      </c>
      <c r="F132" s="19" t="str">
        <f>VLOOKUP(D132,'لیست پرسنل'!$B$2:$E$1020,4,FALSE)</f>
        <v>سرپرست آی تی</v>
      </c>
      <c r="G132" s="127">
        <f>VLOOKUP(D132,'لیست پرسنل'!$B$2:$F$1020,2,FALSE)</f>
        <v>2210</v>
      </c>
      <c r="H132" s="126" t="s">
        <v>4290</v>
      </c>
      <c r="I132" s="128"/>
      <c r="J132" s="128" t="s">
        <v>1967</v>
      </c>
      <c r="K132" s="128" t="s">
        <v>2774</v>
      </c>
      <c r="L132" s="150" t="s">
        <v>2783</v>
      </c>
      <c r="M132" s="127">
        <v>604259</v>
      </c>
      <c r="N132" s="108"/>
      <c r="O132" s="20"/>
      <c r="P132" s="20"/>
      <c r="Q132" s="20"/>
    </row>
    <row r="133" spans="1:17" ht="24.9" customHeight="1">
      <c r="A133" s="20">
        <v>362</v>
      </c>
      <c r="B133" s="20" t="s">
        <v>4345</v>
      </c>
      <c r="C133" s="20"/>
      <c r="D133" s="20" t="s">
        <v>48</v>
      </c>
      <c r="E133" s="19" t="str">
        <f>VLOOKUP(D133,'لیست پرسنل'!$B$2:$E$1020,3,FALSE)</f>
        <v>فکورصنعت</v>
      </c>
      <c r="F133" s="19" t="str">
        <f>VLOOKUP(D133,'لیست پرسنل'!$B$2:$E$1020,4,FALSE)</f>
        <v>سرپرست آی تی</v>
      </c>
      <c r="G133" s="127">
        <f>VLOOKUP(D133,'لیست پرسنل'!$B$2:$F$1020,2,FALSE)</f>
        <v>2210</v>
      </c>
      <c r="H133" s="126" t="s">
        <v>4290</v>
      </c>
      <c r="I133" s="128"/>
      <c r="J133" s="128" t="s">
        <v>1967</v>
      </c>
      <c r="K133" s="128" t="s">
        <v>2811</v>
      </c>
      <c r="L133" s="128" t="s">
        <v>1660</v>
      </c>
      <c r="M133" s="127">
        <v>604265</v>
      </c>
      <c r="N133" s="108"/>
      <c r="O133" s="20"/>
      <c r="P133" s="20"/>
      <c r="Q133" s="20"/>
    </row>
    <row r="134" spans="1:17" ht="24.9" customHeight="1">
      <c r="A134" s="20">
        <v>362</v>
      </c>
      <c r="B134" s="20" t="s">
        <v>4345</v>
      </c>
      <c r="C134" s="20"/>
      <c r="D134" s="20" t="s">
        <v>48</v>
      </c>
      <c r="E134" s="19" t="str">
        <f>VLOOKUP(D134,'لیست پرسنل'!$B$2:$E$1020,3,FALSE)</f>
        <v>فکورصنعت</v>
      </c>
      <c r="F134" s="19" t="str">
        <f>VLOOKUP(D134,'لیست پرسنل'!$B$2:$E$1020,4,FALSE)</f>
        <v>سرپرست آی تی</v>
      </c>
      <c r="G134" s="127">
        <f>VLOOKUP(D134,'لیست پرسنل'!$B$2:$F$1020,2,FALSE)</f>
        <v>2210</v>
      </c>
      <c r="H134" s="126" t="s">
        <v>4290</v>
      </c>
      <c r="I134" s="128"/>
      <c r="J134" s="128" t="s">
        <v>1967</v>
      </c>
      <c r="K134" s="128" t="s">
        <v>2776</v>
      </c>
      <c r="L134" s="150" t="s">
        <v>2775</v>
      </c>
      <c r="M134" s="127">
        <v>604279</v>
      </c>
      <c r="N134" s="108"/>
      <c r="O134" s="20" t="s">
        <v>611</v>
      </c>
      <c r="P134" s="20"/>
      <c r="Q134" s="20"/>
    </row>
    <row r="135" spans="1:17" ht="24.9" customHeight="1">
      <c r="A135" s="20">
        <v>362</v>
      </c>
      <c r="B135" s="20" t="s">
        <v>4345</v>
      </c>
      <c r="C135" s="20"/>
      <c r="D135" s="20" t="s">
        <v>48</v>
      </c>
      <c r="E135" s="19" t="str">
        <f>VLOOKUP(D135,'لیست پرسنل'!$B$2:$E$1020,3,FALSE)</f>
        <v>فکورصنعت</v>
      </c>
      <c r="F135" s="19" t="str">
        <f>VLOOKUP(D135,'لیست پرسنل'!$B$2:$E$1020,4,FALSE)</f>
        <v>سرپرست آی تی</v>
      </c>
      <c r="G135" s="127">
        <f>VLOOKUP(D135,'لیست پرسنل'!$B$2:$F$1020,2,FALSE)</f>
        <v>2210</v>
      </c>
      <c r="H135" s="126" t="s">
        <v>4290</v>
      </c>
      <c r="I135" s="128"/>
      <c r="J135" s="128" t="s">
        <v>1967</v>
      </c>
      <c r="K135" s="128" t="s">
        <v>640</v>
      </c>
      <c r="L135" s="150"/>
      <c r="M135" s="128">
        <v>604533</v>
      </c>
      <c r="N135" s="108"/>
      <c r="O135" s="20"/>
      <c r="P135" s="20"/>
      <c r="Q135" s="20"/>
    </row>
    <row r="136" spans="1:17" ht="24.9" customHeight="1">
      <c r="A136" s="20">
        <v>362</v>
      </c>
      <c r="B136" s="20" t="s">
        <v>4345</v>
      </c>
      <c r="C136" s="20"/>
      <c r="D136" s="20" t="s">
        <v>48</v>
      </c>
      <c r="E136" s="19" t="str">
        <f>VLOOKUP(D136,'لیست پرسنل'!$B$2:$E$1020,3,FALSE)</f>
        <v>فکورصنعت</v>
      </c>
      <c r="F136" s="19" t="str">
        <f>VLOOKUP(D136,'لیست پرسنل'!$B$2:$E$1020,4,FALSE)</f>
        <v>سرپرست آی تی</v>
      </c>
      <c r="G136" s="127">
        <f>VLOOKUP(D136,'لیست پرسنل'!$B$2:$F$1020,2,FALSE)</f>
        <v>2210</v>
      </c>
      <c r="H136" s="126" t="s">
        <v>4290</v>
      </c>
      <c r="I136" s="128"/>
      <c r="J136" s="128" t="s">
        <v>1967</v>
      </c>
      <c r="K136" s="128" t="s">
        <v>881</v>
      </c>
      <c r="L136" s="150" t="s">
        <v>2663</v>
      </c>
      <c r="M136" s="128">
        <v>604990</v>
      </c>
      <c r="N136" s="108"/>
      <c r="O136" s="20"/>
      <c r="P136" s="20"/>
      <c r="Q136" s="20"/>
    </row>
    <row r="137" spans="1:17" ht="24.9" customHeight="1">
      <c r="A137" s="20">
        <v>362</v>
      </c>
      <c r="B137" s="20" t="s">
        <v>4345</v>
      </c>
      <c r="C137" s="20"/>
      <c r="D137" s="20" t="s">
        <v>48</v>
      </c>
      <c r="E137" s="19" t="str">
        <f>VLOOKUP(D137,'لیست پرسنل'!$B$2:$E$1020,3,FALSE)</f>
        <v>فکورصنعت</v>
      </c>
      <c r="F137" s="19" t="str">
        <f>VLOOKUP(D137,'لیست پرسنل'!$B$2:$E$1020,4,FALSE)</f>
        <v>سرپرست آی تی</v>
      </c>
      <c r="G137" s="127">
        <f>VLOOKUP(D137,'لیست پرسنل'!$B$2:$F$1020,2,FALSE)</f>
        <v>2210</v>
      </c>
      <c r="H137" s="126" t="s">
        <v>4290</v>
      </c>
      <c r="I137" s="128"/>
      <c r="J137" s="128" t="s">
        <v>1967</v>
      </c>
      <c r="K137" s="128" t="s">
        <v>2807</v>
      </c>
      <c r="L137" s="128"/>
      <c r="M137" s="128">
        <v>604991</v>
      </c>
      <c r="N137" s="108"/>
      <c r="O137" s="20"/>
      <c r="P137" s="20"/>
      <c r="Q137" s="20"/>
    </row>
    <row r="138" spans="1:17" ht="24.9" customHeight="1">
      <c r="A138" s="20">
        <v>362</v>
      </c>
      <c r="B138" s="20" t="s">
        <v>4345</v>
      </c>
      <c r="C138" s="20"/>
      <c r="D138" s="20" t="s">
        <v>48</v>
      </c>
      <c r="E138" s="19" t="str">
        <f>VLOOKUP(D138,'لیست پرسنل'!$B$2:$E$1020,3,FALSE)</f>
        <v>فکورصنعت</v>
      </c>
      <c r="F138" s="19" t="str">
        <f>VLOOKUP(D138,'لیست پرسنل'!$B$2:$E$1020,4,FALSE)</f>
        <v>سرپرست آی تی</v>
      </c>
      <c r="G138" s="127">
        <f>VLOOKUP(D138,'لیست پرسنل'!$B$2:$F$1020,2,FALSE)</f>
        <v>2210</v>
      </c>
      <c r="H138" s="126" t="s">
        <v>4290</v>
      </c>
      <c r="I138" s="128"/>
      <c r="J138" s="128" t="s">
        <v>1967</v>
      </c>
      <c r="K138" s="128" t="s">
        <v>2757</v>
      </c>
      <c r="L138" s="150" t="s">
        <v>2779</v>
      </c>
      <c r="M138" s="127">
        <v>605708</v>
      </c>
      <c r="N138" s="108"/>
      <c r="O138" s="20" t="s">
        <v>678</v>
      </c>
      <c r="P138" s="20"/>
      <c r="Q138" s="20"/>
    </row>
    <row r="139" spans="1:17" ht="24.9" customHeight="1">
      <c r="A139" s="20">
        <v>362</v>
      </c>
      <c r="B139" s="20" t="s">
        <v>4345</v>
      </c>
      <c r="C139" s="20"/>
      <c r="D139" s="20" t="s">
        <v>48</v>
      </c>
      <c r="E139" s="19" t="str">
        <f>VLOOKUP(D139,'لیست پرسنل'!$B$2:$E$1020,3,FALSE)</f>
        <v>فکورصنعت</v>
      </c>
      <c r="F139" s="19" t="str">
        <f>VLOOKUP(D139,'لیست پرسنل'!$B$2:$E$1020,4,FALSE)</f>
        <v>سرپرست آی تی</v>
      </c>
      <c r="G139" s="127">
        <f>VLOOKUP(D139,'لیست پرسنل'!$B$2:$F$1020,2,FALSE)</f>
        <v>2210</v>
      </c>
      <c r="H139" s="126" t="s">
        <v>4290</v>
      </c>
      <c r="I139" s="128"/>
      <c r="J139" s="128" t="s">
        <v>1967</v>
      </c>
      <c r="K139" s="128" t="s">
        <v>776</v>
      </c>
      <c r="L139" s="128" t="s">
        <v>2580</v>
      </c>
      <c r="M139" s="128">
        <v>606492</v>
      </c>
      <c r="N139" s="108"/>
      <c r="O139" s="20"/>
      <c r="P139" s="20"/>
      <c r="Q139" s="20"/>
    </row>
    <row r="140" spans="1:17" ht="24.9" customHeight="1">
      <c r="A140" s="20">
        <v>362</v>
      </c>
      <c r="B140" s="20" t="s">
        <v>4345</v>
      </c>
      <c r="C140" s="20"/>
      <c r="D140" s="20" t="s">
        <v>48</v>
      </c>
      <c r="E140" s="19" t="str">
        <f>VLOOKUP(D140,'لیست پرسنل'!$B$2:$E$1020,3,FALSE)</f>
        <v>فکورصنعت</v>
      </c>
      <c r="F140" s="19" t="str">
        <f>VLOOKUP(D140,'لیست پرسنل'!$B$2:$E$1020,4,FALSE)</f>
        <v>سرپرست آی تی</v>
      </c>
      <c r="G140" s="127">
        <f>VLOOKUP(D140,'لیست پرسنل'!$B$2:$F$1020,2,FALSE)</f>
        <v>2210</v>
      </c>
      <c r="H140" s="126" t="s">
        <v>4290</v>
      </c>
      <c r="I140" s="128"/>
      <c r="J140" s="128" t="s">
        <v>1967</v>
      </c>
      <c r="K140" s="128" t="s">
        <v>2757</v>
      </c>
      <c r="L140" s="128"/>
      <c r="M140" s="128">
        <v>606495</v>
      </c>
      <c r="N140" s="108"/>
      <c r="O140" s="20"/>
      <c r="P140" s="20"/>
      <c r="Q140" s="20"/>
    </row>
    <row r="141" spans="1:17" ht="24.9" customHeight="1">
      <c r="A141" s="20">
        <v>362</v>
      </c>
      <c r="B141" s="20" t="s">
        <v>4345</v>
      </c>
      <c r="C141" s="20"/>
      <c r="D141" s="20" t="s">
        <v>48</v>
      </c>
      <c r="E141" s="19" t="str">
        <f>VLOOKUP(D141,'لیست پرسنل'!$B$2:$E$1020,3,FALSE)</f>
        <v>فکورصنعت</v>
      </c>
      <c r="F141" s="19" t="str">
        <f>VLOOKUP(D141,'لیست پرسنل'!$B$2:$E$1020,4,FALSE)</f>
        <v>سرپرست آی تی</v>
      </c>
      <c r="G141" s="127">
        <f>VLOOKUP(D141,'لیست پرسنل'!$B$2:$F$1020,2,FALSE)</f>
        <v>2210</v>
      </c>
      <c r="H141" s="126" t="s">
        <v>4290</v>
      </c>
      <c r="I141" s="128"/>
      <c r="J141" s="128" t="s">
        <v>1967</v>
      </c>
      <c r="K141" s="128" t="s">
        <v>650</v>
      </c>
      <c r="L141" s="128" t="s">
        <v>466</v>
      </c>
      <c r="M141" s="128">
        <v>606611</v>
      </c>
      <c r="N141" s="108"/>
      <c r="O141" s="20"/>
      <c r="P141" s="20"/>
      <c r="Q141" s="20"/>
    </row>
    <row r="142" spans="1:17" ht="24.9" customHeight="1">
      <c r="A142" s="20">
        <v>362</v>
      </c>
      <c r="B142" s="20" t="s">
        <v>4345</v>
      </c>
      <c r="C142" s="20"/>
      <c r="D142" s="20" t="s">
        <v>48</v>
      </c>
      <c r="E142" s="19" t="str">
        <f>VLOOKUP(D142,'لیست پرسنل'!$B$2:$E$1020,3,FALSE)</f>
        <v>فکورصنعت</v>
      </c>
      <c r="F142" s="19" t="str">
        <f>VLOOKUP(D142,'لیست پرسنل'!$B$2:$E$1020,4,FALSE)</f>
        <v>سرپرست آی تی</v>
      </c>
      <c r="G142" s="127">
        <f>VLOOKUP(D142,'لیست پرسنل'!$B$2:$F$1020,2,FALSE)</f>
        <v>2210</v>
      </c>
      <c r="H142" s="126" t="s">
        <v>4290</v>
      </c>
      <c r="I142" s="128"/>
      <c r="J142" s="128" t="s">
        <v>1967</v>
      </c>
      <c r="K142" s="128" t="s">
        <v>2757</v>
      </c>
      <c r="L142" s="128"/>
      <c r="M142" s="128">
        <v>606672</v>
      </c>
      <c r="N142" s="108"/>
      <c r="O142" s="20"/>
      <c r="P142" s="20"/>
      <c r="Q142" s="20"/>
    </row>
    <row r="143" spans="1:17" ht="24.9" customHeight="1">
      <c r="A143" s="20">
        <v>362</v>
      </c>
      <c r="B143" s="20" t="s">
        <v>4345</v>
      </c>
      <c r="C143" s="20"/>
      <c r="D143" s="20" t="s">
        <v>48</v>
      </c>
      <c r="E143" s="19" t="str">
        <f>VLOOKUP(D143,'لیست پرسنل'!$B$2:$E$1020,3,FALSE)</f>
        <v>فکورصنعت</v>
      </c>
      <c r="F143" s="19" t="str">
        <f>VLOOKUP(D143,'لیست پرسنل'!$B$2:$E$1020,4,FALSE)</f>
        <v>سرپرست آی تی</v>
      </c>
      <c r="G143" s="127">
        <f>VLOOKUP(D143,'لیست پرسنل'!$B$2:$F$1020,2,FALSE)</f>
        <v>2210</v>
      </c>
      <c r="H143" s="126" t="s">
        <v>4290</v>
      </c>
      <c r="I143" s="128"/>
      <c r="J143" s="128" t="s">
        <v>1967</v>
      </c>
      <c r="K143" s="128" t="s">
        <v>1781</v>
      </c>
      <c r="L143" s="151"/>
      <c r="M143" s="127">
        <v>607178</v>
      </c>
      <c r="N143" s="108"/>
      <c r="O143" s="20"/>
      <c r="P143" s="20"/>
      <c r="Q143" s="20"/>
    </row>
    <row r="144" spans="1:17" ht="24.9" customHeight="1">
      <c r="A144" s="20">
        <v>362</v>
      </c>
      <c r="B144" s="20" t="s">
        <v>4345</v>
      </c>
      <c r="C144" s="20"/>
      <c r="D144" s="20" t="s">
        <v>48</v>
      </c>
      <c r="E144" s="19" t="str">
        <f>VLOOKUP(D144,'لیست پرسنل'!$B$2:$E$1020,3,FALSE)</f>
        <v>فکورصنعت</v>
      </c>
      <c r="F144" s="19" t="str">
        <f>VLOOKUP(D144,'لیست پرسنل'!$B$2:$E$1020,4,FALSE)</f>
        <v>سرپرست آی تی</v>
      </c>
      <c r="G144" s="127">
        <f>VLOOKUP(D144,'لیست پرسنل'!$B$2:$F$1020,2,FALSE)</f>
        <v>2210</v>
      </c>
      <c r="H144" s="126" t="s">
        <v>4290</v>
      </c>
      <c r="I144" s="128"/>
      <c r="J144" s="128" t="s">
        <v>1967</v>
      </c>
      <c r="K144" s="128" t="s">
        <v>2757</v>
      </c>
      <c r="L144" s="128"/>
      <c r="M144" s="128">
        <v>607272</v>
      </c>
      <c r="N144" s="108"/>
      <c r="O144" s="20"/>
      <c r="P144" s="20"/>
      <c r="Q144" s="20"/>
    </row>
    <row r="145" spans="1:17" ht="24.9" customHeight="1">
      <c r="A145" s="20">
        <v>362</v>
      </c>
      <c r="B145" s="20" t="s">
        <v>4345</v>
      </c>
      <c r="C145" s="20"/>
      <c r="D145" s="20" t="s">
        <v>48</v>
      </c>
      <c r="E145" s="19" t="str">
        <f>VLOOKUP(D145,'لیست پرسنل'!$B$2:$E$1020,3,FALSE)</f>
        <v>فکورصنعت</v>
      </c>
      <c r="F145" s="19" t="str">
        <f>VLOOKUP(D145,'لیست پرسنل'!$B$2:$E$1020,4,FALSE)</f>
        <v>سرپرست آی تی</v>
      </c>
      <c r="G145" s="127">
        <f>VLOOKUP(D145,'لیست پرسنل'!$B$2:$F$1020,2,FALSE)</f>
        <v>2210</v>
      </c>
      <c r="H145" s="126" t="s">
        <v>4290</v>
      </c>
      <c r="I145" s="128"/>
      <c r="J145" s="128" t="s">
        <v>1967</v>
      </c>
      <c r="K145" s="127" t="s">
        <v>643</v>
      </c>
      <c r="L145" s="150" t="s">
        <v>2772</v>
      </c>
      <c r="M145" s="127">
        <v>607273</v>
      </c>
      <c r="N145" s="108"/>
      <c r="O145" s="88"/>
      <c r="P145" s="20"/>
      <c r="Q145" s="20"/>
    </row>
    <row r="146" spans="1:17" ht="24.9" customHeight="1">
      <c r="A146" s="20">
        <v>362</v>
      </c>
      <c r="B146" s="20" t="s">
        <v>4345</v>
      </c>
      <c r="C146" s="20"/>
      <c r="D146" s="20" t="s">
        <v>48</v>
      </c>
      <c r="E146" s="19" t="str">
        <f>VLOOKUP(D146,'لیست پرسنل'!$B$2:$E$1020,3,FALSE)</f>
        <v>فکورصنعت</v>
      </c>
      <c r="F146" s="19" t="str">
        <f>VLOOKUP(D146,'لیست پرسنل'!$B$2:$E$1020,4,FALSE)</f>
        <v>سرپرست آی تی</v>
      </c>
      <c r="G146" s="127">
        <f>VLOOKUP(D146,'لیست پرسنل'!$B$2:$F$1020,2,FALSE)</f>
        <v>2210</v>
      </c>
      <c r="H146" s="126" t="s">
        <v>4290</v>
      </c>
      <c r="I146" s="128"/>
      <c r="J146" s="128" t="s">
        <v>1967</v>
      </c>
      <c r="K146" s="128" t="s">
        <v>2579</v>
      </c>
      <c r="L146" s="151"/>
      <c r="M146" s="127">
        <v>607274</v>
      </c>
      <c r="N146" s="108" t="s">
        <v>4210</v>
      </c>
      <c r="O146" s="20"/>
      <c r="P146" s="20"/>
      <c r="Q146" s="20"/>
    </row>
    <row r="147" spans="1:17" ht="24.9" customHeight="1">
      <c r="A147" s="20">
        <v>362</v>
      </c>
      <c r="B147" s="20" t="s">
        <v>4345</v>
      </c>
      <c r="C147" s="20"/>
      <c r="D147" s="20" t="s">
        <v>48</v>
      </c>
      <c r="E147" s="19" t="str">
        <f>VLOOKUP(D147,'لیست پرسنل'!$B$2:$E$1020,3,FALSE)</f>
        <v>فکورصنعت</v>
      </c>
      <c r="F147" s="19" t="str">
        <f>VLOOKUP(D147,'لیست پرسنل'!$B$2:$E$1020,4,FALSE)</f>
        <v>سرپرست آی تی</v>
      </c>
      <c r="G147" s="127">
        <f>VLOOKUP(D147,'لیست پرسنل'!$B$2:$F$1020,2,FALSE)</f>
        <v>2210</v>
      </c>
      <c r="H147" s="126" t="s">
        <v>4290</v>
      </c>
      <c r="I147" s="128"/>
      <c r="J147" s="128" t="s">
        <v>1967</v>
      </c>
      <c r="K147" s="128" t="s">
        <v>2757</v>
      </c>
      <c r="L147" s="128"/>
      <c r="M147" s="128">
        <v>607275</v>
      </c>
      <c r="N147" s="108"/>
      <c r="O147" s="20"/>
      <c r="P147" s="20"/>
      <c r="Q147" s="20"/>
    </row>
    <row r="148" spans="1:17" ht="24.9" customHeight="1">
      <c r="A148" s="20">
        <v>362</v>
      </c>
      <c r="B148" s="20" t="s">
        <v>4345</v>
      </c>
      <c r="C148" s="20"/>
      <c r="D148" s="20" t="s">
        <v>48</v>
      </c>
      <c r="E148" s="19" t="str">
        <f>VLOOKUP(D148,'لیست پرسنل'!$B$2:$E$1020,3,FALSE)</f>
        <v>فکورصنعت</v>
      </c>
      <c r="F148" s="19" t="str">
        <f>VLOOKUP(D148,'لیست پرسنل'!$B$2:$E$1020,4,FALSE)</f>
        <v>سرپرست آی تی</v>
      </c>
      <c r="G148" s="127">
        <f>VLOOKUP(D148,'لیست پرسنل'!$B$2:$F$1020,2,FALSE)</f>
        <v>2210</v>
      </c>
      <c r="H148" s="126" t="s">
        <v>4290</v>
      </c>
      <c r="I148" s="128"/>
      <c r="J148" s="128" t="s">
        <v>1967</v>
      </c>
      <c r="K148" s="128" t="s">
        <v>2757</v>
      </c>
      <c r="L148" s="150"/>
      <c r="M148" s="128">
        <v>607276</v>
      </c>
      <c r="N148" s="108"/>
      <c r="O148" s="20"/>
      <c r="P148" s="20"/>
      <c r="Q148" s="20"/>
    </row>
    <row r="149" spans="1:17" ht="24.9" customHeight="1">
      <c r="A149" s="20">
        <v>362</v>
      </c>
      <c r="B149" s="20" t="s">
        <v>4345</v>
      </c>
      <c r="C149" s="20"/>
      <c r="D149" s="20" t="s">
        <v>48</v>
      </c>
      <c r="E149" s="19" t="str">
        <f>VLOOKUP(D149,'لیست پرسنل'!$B$2:$E$1020,3,FALSE)</f>
        <v>فکورصنعت</v>
      </c>
      <c r="F149" s="19" t="str">
        <f>VLOOKUP(D149,'لیست پرسنل'!$B$2:$E$1020,4,FALSE)</f>
        <v>سرپرست آی تی</v>
      </c>
      <c r="G149" s="127">
        <f>VLOOKUP(D149,'لیست پرسنل'!$B$2:$F$1020,2,FALSE)</f>
        <v>2210</v>
      </c>
      <c r="H149" s="126" t="s">
        <v>4290</v>
      </c>
      <c r="I149" s="128"/>
      <c r="J149" s="128" t="s">
        <v>1967</v>
      </c>
      <c r="K149" s="128" t="s">
        <v>2579</v>
      </c>
      <c r="L149" s="128"/>
      <c r="M149" s="128">
        <v>607277</v>
      </c>
      <c r="N149" s="108"/>
      <c r="O149" s="20" t="s">
        <v>2588</v>
      </c>
      <c r="P149" s="20"/>
      <c r="Q149" s="20"/>
    </row>
    <row r="150" spans="1:17" ht="24.9" customHeight="1">
      <c r="A150" s="20">
        <v>362</v>
      </c>
      <c r="B150" s="20" t="s">
        <v>4345</v>
      </c>
      <c r="C150" s="20"/>
      <c r="D150" s="20" t="s">
        <v>48</v>
      </c>
      <c r="E150" s="19" t="str">
        <f>VLOOKUP(D150,'لیست پرسنل'!$B$2:$E$1020,3,FALSE)</f>
        <v>فکورصنعت</v>
      </c>
      <c r="F150" s="19" t="str">
        <f>VLOOKUP(D150,'لیست پرسنل'!$B$2:$E$1020,4,FALSE)</f>
        <v>سرپرست آی تی</v>
      </c>
      <c r="G150" s="127">
        <f>VLOOKUP(D150,'لیست پرسنل'!$B$2:$F$1020,2,FALSE)</f>
        <v>2210</v>
      </c>
      <c r="H150" s="126" t="s">
        <v>4290</v>
      </c>
      <c r="I150" s="128"/>
      <c r="J150" s="128" t="s">
        <v>1967</v>
      </c>
      <c r="K150" s="128" t="s">
        <v>1765</v>
      </c>
      <c r="L150" s="150"/>
      <c r="M150" s="128">
        <v>607278</v>
      </c>
      <c r="N150" s="108" t="s">
        <v>4210</v>
      </c>
      <c r="O150" s="20"/>
      <c r="P150" s="20"/>
      <c r="Q150" s="20"/>
    </row>
    <row r="151" spans="1:17" ht="24.9" customHeight="1">
      <c r="A151" s="20">
        <v>362</v>
      </c>
      <c r="B151" s="20" t="s">
        <v>4345</v>
      </c>
      <c r="C151" s="20"/>
      <c r="D151" s="20" t="s">
        <v>48</v>
      </c>
      <c r="E151" s="19" t="str">
        <f>VLOOKUP(D151,'لیست پرسنل'!$B$2:$E$1020,3,FALSE)</f>
        <v>فکورصنعت</v>
      </c>
      <c r="F151" s="19" t="str">
        <f>VLOOKUP(D151,'لیست پرسنل'!$B$2:$E$1020,4,FALSE)</f>
        <v>سرپرست آی تی</v>
      </c>
      <c r="G151" s="127">
        <f>VLOOKUP(D151,'لیست پرسنل'!$B$2:$F$1020,2,FALSE)</f>
        <v>2210</v>
      </c>
      <c r="H151" s="126" t="s">
        <v>4290</v>
      </c>
      <c r="I151" s="128"/>
      <c r="J151" s="128" t="s">
        <v>1967</v>
      </c>
      <c r="K151" s="128" t="s">
        <v>2586</v>
      </c>
      <c r="L151" s="150" t="s">
        <v>2587</v>
      </c>
      <c r="M151" s="128">
        <v>607279</v>
      </c>
      <c r="N151" s="108"/>
      <c r="O151" s="20"/>
      <c r="P151" s="20"/>
      <c r="Q151" s="20"/>
    </row>
    <row r="152" spans="1:17" ht="24.9" customHeight="1">
      <c r="A152" s="20">
        <v>362</v>
      </c>
      <c r="B152" s="20" t="s">
        <v>4345</v>
      </c>
      <c r="C152" s="20"/>
      <c r="D152" s="20" t="s">
        <v>48</v>
      </c>
      <c r="E152" s="19" t="str">
        <f>VLOOKUP(D152,'لیست پرسنل'!$B$2:$E$1020,3,FALSE)</f>
        <v>فکورصنعت</v>
      </c>
      <c r="F152" s="19" t="str">
        <f>VLOOKUP(D152,'لیست پرسنل'!$B$2:$E$1020,4,FALSE)</f>
        <v>سرپرست آی تی</v>
      </c>
      <c r="G152" s="127">
        <f>VLOOKUP(D152,'لیست پرسنل'!$B$2:$F$1020,2,FALSE)</f>
        <v>2210</v>
      </c>
      <c r="H152" s="126" t="s">
        <v>4290</v>
      </c>
      <c r="I152" s="128"/>
      <c r="J152" s="128" t="s">
        <v>1967</v>
      </c>
      <c r="K152" s="128" t="s">
        <v>2812</v>
      </c>
      <c r="L152" s="128"/>
      <c r="M152" s="128">
        <v>607280</v>
      </c>
      <c r="N152" s="112"/>
      <c r="O152" s="20"/>
      <c r="P152" s="20"/>
      <c r="Q152" s="20"/>
    </row>
    <row r="153" spans="1:17" ht="24.9" customHeight="1">
      <c r="A153" s="20">
        <v>362</v>
      </c>
      <c r="B153" s="20" t="s">
        <v>4345</v>
      </c>
      <c r="C153" s="20"/>
      <c r="D153" s="20" t="s">
        <v>48</v>
      </c>
      <c r="E153" s="19" t="str">
        <f>VLOOKUP(D153,'لیست پرسنل'!$B$2:$E$1020,3,FALSE)</f>
        <v>فکورصنعت</v>
      </c>
      <c r="F153" s="19" t="str">
        <f>VLOOKUP(D153,'لیست پرسنل'!$B$2:$E$1020,4,FALSE)</f>
        <v>سرپرست آی تی</v>
      </c>
      <c r="G153" s="127">
        <f>VLOOKUP(D153,'لیست پرسنل'!$B$2:$F$1020,2,FALSE)</f>
        <v>2210</v>
      </c>
      <c r="H153" s="126" t="s">
        <v>4290</v>
      </c>
      <c r="I153" s="128"/>
      <c r="J153" s="128" t="s">
        <v>1967</v>
      </c>
      <c r="K153" s="128" t="s">
        <v>2786</v>
      </c>
      <c r="L153" s="150" t="s">
        <v>699</v>
      </c>
      <c r="M153" s="128">
        <v>607281</v>
      </c>
      <c r="N153" s="108" t="s">
        <v>4210</v>
      </c>
      <c r="O153" s="20" t="s">
        <v>678</v>
      </c>
      <c r="P153" s="20"/>
      <c r="Q153" s="20"/>
    </row>
    <row r="154" spans="1:17" ht="24.9" customHeight="1">
      <c r="A154" s="20">
        <v>362</v>
      </c>
      <c r="B154" s="20" t="s">
        <v>4345</v>
      </c>
      <c r="C154" s="20"/>
      <c r="D154" s="20" t="s">
        <v>48</v>
      </c>
      <c r="E154" s="19" t="str">
        <f>VLOOKUP(D154,'لیست پرسنل'!$B$2:$E$1020,3,FALSE)</f>
        <v>فکورصنعت</v>
      </c>
      <c r="F154" s="19" t="str">
        <f>VLOOKUP(D154,'لیست پرسنل'!$B$2:$E$1020,4,FALSE)</f>
        <v>سرپرست آی تی</v>
      </c>
      <c r="G154" s="127">
        <f>VLOOKUP(D154,'لیست پرسنل'!$B$2:$F$1020,2,FALSE)</f>
        <v>2210</v>
      </c>
      <c r="H154" s="126" t="s">
        <v>4290</v>
      </c>
      <c r="I154" s="128"/>
      <c r="J154" s="128" t="s">
        <v>1967</v>
      </c>
      <c r="K154" s="128" t="s">
        <v>2757</v>
      </c>
      <c r="L154" s="127" t="s">
        <v>2583</v>
      </c>
      <c r="M154" s="128">
        <v>607284</v>
      </c>
      <c r="N154" s="108"/>
      <c r="O154" s="20"/>
      <c r="P154" s="20"/>
      <c r="Q154" s="20"/>
    </row>
    <row r="155" spans="1:17" ht="24.9" customHeight="1">
      <c r="A155" s="20">
        <v>362</v>
      </c>
      <c r="B155" s="20" t="s">
        <v>4345</v>
      </c>
      <c r="C155" s="20"/>
      <c r="D155" s="20" t="s">
        <v>48</v>
      </c>
      <c r="E155" s="19" t="str">
        <f>VLOOKUP(D155,'لیست پرسنل'!$B$2:$E$1020,3,FALSE)</f>
        <v>فکورصنعت</v>
      </c>
      <c r="F155" s="19" t="str">
        <f>VLOOKUP(D155,'لیست پرسنل'!$B$2:$E$1020,4,FALSE)</f>
        <v>سرپرست آی تی</v>
      </c>
      <c r="G155" s="127">
        <f>VLOOKUP(D155,'لیست پرسنل'!$B$2:$F$1020,2,FALSE)</f>
        <v>2210</v>
      </c>
      <c r="H155" s="126" t="s">
        <v>4290</v>
      </c>
      <c r="I155" s="128"/>
      <c r="J155" s="128" t="s">
        <v>1967</v>
      </c>
      <c r="K155" s="128" t="s">
        <v>1765</v>
      </c>
      <c r="L155" s="151"/>
      <c r="M155" s="127">
        <v>607286</v>
      </c>
      <c r="N155" s="108"/>
      <c r="O155" s="69"/>
      <c r="P155" s="20"/>
      <c r="Q155" s="20"/>
    </row>
    <row r="156" spans="1:17" ht="24.9" customHeight="1">
      <c r="A156" s="20">
        <v>362</v>
      </c>
      <c r="B156" s="20" t="s">
        <v>4345</v>
      </c>
      <c r="C156" s="20"/>
      <c r="D156" s="20" t="s">
        <v>48</v>
      </c>
      <c r="E156" s="19" t="str">
        <f>VLOOKUP(D156,'لیست پرسنل'!$B$2:$E$1020,3,FALSE)</f>
        <v>فکورصنعت</v>
      </c>
      <c r="F156" s="19" t="str">
        <f>VLOOKUP(D156,'لیست پرسنل'!$B$2:$E$1020,4,FALSE)</f>
        <v>سرپرست آی تی</v>
      </c>
      <c r="G156" s="127">
        <f>VLOOKUP(D156,'لیست پرسنل'!$B$2:$F$1020,2,FALSE)</f>
        <v>2210</v>
      </c>
      <c r="H156" s="126" t="s">
        <v>4290</v>
      </c>
      <c r="I156" s="128"/>
      <c r="J156" s="128" t="s">
        <v>1967</v>
      </c>
      <c r="K156" s="128" t="s">
        <v>2757</v>
      </c>
      <c r="L156" s="128" t="s">
        <v>5141</v>
      </c>
      <c r="M156" s="128">
        <v>607287</v>
      </c>
      <c r="N156" s="108"/>
      <c r="O156" s="20"/>
      <c r="P156" s="20"/>
      <c r="Q156" s="20"/>
    </row>
    <row r="157" spans="1:17" ht="24.9" customHeight="1">
      <c r="A157" s="20">
        <v>362</v>
      </c>
      <c r="B157" s="20" t="s">
        <v>4345</v>
      </c>
      <c r="C157" s="20"/>
      <c r="D157" s="20" t="s">
        <v>48</v>
      </c>
      <c r="E157" s="19" t="str">
        <f>VLOOKUP(D157,'لیست پرسنل'!$B$2:$E$1020,3,FALSE)</f>
        <v>فکورصنعت</v>
      </c>
      <c r="F157" s="19" t="str">
        <f>VLOOKUP(D157,'لیست پرسنل'!$B$2:$E$1020,4,FALSE)</f>
        <v>سرپرست آی تی</v>
      </c>
      <c r="G157" s="127">
        <f>VLOOKUP(D157,'لیست پرسنل'!$B$2:$F$1020,2,FALSE)</f>
        <v>2210</v>
      </c>
      <c r="H157" s="126" t="s">
        <v>4290</v>
      </c>
      <c r="I157" s="128"/>
      <c r="J157" s="128" t="s">
        <v>1967</v>
      </c>
      <c r="K157" s="128" t="s">
        <v>2757</v>
      </c>
      <c r="L157" s="128"/>
      <c r="M157" s="128">
        <v>607288</v>
      </c>
      <c r="N157" s="108"/>
      <c r="O157" s="20"/>
      <c r="P157" s="20"/>
      <c r="Q157" s="20"/>
    </row>
    <row r="158" spans="1:17" ht="24.9" customHeight="1">
      <c r="A158" s="20">
        <v>362</v>
      </c>
      <c r="B158" s="20" t="s">
        <v>4345</v>
      </c>
      <c r="C158" s="20"/>
      <c r="D158" s="20" t="s">
        <v>48</v>
      </c>
      <c r="E158" s="19" t="str">
        <f>VLOOKUP(D158,'لیست پرسنل'!$B$2:$E$1020,3,FALSE)</f>
        <v>فکورصنعت</v>
      </c>
      <c r="F158" s="19" t="str">
        <f>VLOOKUP(D158,'لیست پرسنل'!$B$2:$E$1020,4,FALSE)</f>
        <v>سرپرست آی تی</v>
      </c>
      <c r="G158" s="127">
        <f>VLOOKUP(D158,'لیست پرسنل'!$B$2:$F$1020,2,FALSE)</f>
        <v>2210</v>
      </c>
      <c r="H158" s="126" t="s">
        <v>4290</v>
      </c>
      <c r="I158" s="128"/>
      <c r="J158" s="128" t="s">
        <v>1967</v>
      </c>
      <c r="K158" s="128" t="s">
        <v>2757</v>
      </c>
      <c r="L158" s="128"/>
      <c r="M158" s="128">
        <v>607289</v>
      </c>
      <c r="N158" s="108"/>
      <c r="O158" s="20"/>
      <c r="P158" s="20"/>
      <c r="Q158" s="20"/>
    </row>
    <row r="159" spans="1:17" ht="24.9" customHeight="1">
      <c r="A159" s="20">
        <v>362</v>
      </c>
      <c r="B159" s="20" t="s">
        <v>4345</v>
      </c>
      <c r="C159" s="20"/>
      <c r="D159" s="20" t="s">
        <v>48</v>
      </c>
      <c r="E159" s="19" t="str">
        <f>VLOOKUP(D159,'لیست پرسنل'!$B$2:$E$1020,3,FALSE)</f>
        <v>فکورصنعت</v>
      </c>
      <c r="F159" s="19" t="str">
        <f>VLOOKUP(D159,'لیست پرسنل'!$B$2:$E$1020,4,FALSE)</f>
        <v>سرپرست آی تی</v>
      </c>
      <c r="G159" s="127">
        <f>VLOOKUP(D159,'لیست پرسنل'!$B$2:$F$1020,2,FALSE)</f>
        <v>2210</v>
      </c>
      <c r="H159" s="126" t="s">
        <v>4290</v>
      </c>
      <c r="I159" s="128"/>
      <c r="J159" s="128" t="s">
        <v>1967</v>
      </c>
      <c r="K159" s="128" t="s">
        <v>2757</v>
      </c>
      <c r="L159" s="127" t="s">
        <v>1420</v>
      </c>
      <c r="M159" s="128">
        <v>607290</v>
      </c>
      <c r="N159" s="108"/>
      <c r="O159" s="20"/>
      <c r="P159" s="20"/>
      <c r="Q159" s="20"/>
    </row>
    <row r="160" spans="1:17" ht="24.9" customHeight="1">
      <c r="A160" s="20">
        <v>362</v>
      </c>
      <c r="B160" s="20" t="s">
        <v>4345</v>
      </c>
      <c r="C160" s="20"/>
      <c r="D160" s="20" t="s">
        <v>48</v>
      </c>
      <c r="E160" s="19" t="str">
        <f>VLOOKUP(D160,'لیست پرسنل'!$B$2:$E$1020,3,FALSE)</f>
        <v>فکورصنعت</v>
      </c>
      <c r="F160" s="19" t="str">
        <f>VLOOKUP(D160,'لیست پرسنل'!$B$2:$E$1020,4,FALSE)</f>
        <v>سرپرست آی تی</v>
      </c>
      <c r="G160" s="127">
        <f>VLOOKUP(D160,'لیست پرسنل'!$B$2:$F$1020,2,FALSE)</f>
        <v>2210</v>
      </c>
      <c r="H160" s="126" t="s">
        <v>4290</v>
      </c>
      <c r="I160" s="128"/>
      <c r="J160" s="128" t="s">
        <v>1967</v>
      </c>
      <c r="K160" s="128" t="s">
        <v>1765</v>
      </c>
      <c r="L160" s="127" t="s">
        <v>5140</v>
      </c>
      <c r="M160" s="127">
        <v>607291</v>
      </c>
      <c r="N160" s="108"/>
      <c r="O160" s="69"/>
      <c r="P160" s="20"/>
      <c r="Q160" s="20"/>
    </row>
    <row r="161" spans="1:17" ht="24.9" customHeight="1">
      <c r="A161" s="20">
        <v>362</v>
      </c>
      <c r="B161" s="20" t="s">
        <v>4345</v>
      </c>
      <c r="C161" s="20"/>
      <c r="D161" s="20" t="s">
        <v>48</v>
      </c>
      <c r="E161" s="19" t="str">
        <f>VLOOKUP(D161,'لیست پرسنل'!$B$2:$E$1020,3,FALSE)</f>
        <v>فکورصنعت</v>
      </c>
      <c r="F161" s="19" t="str">
        <f>VLOOKUP(D161,'لیست پرسنل'!$B$2:$E$1020,4,FALSE)</f>
        <v>سرپرست آی تی</v>
      </c>
      <c r="G161" s="127">
        <f>VLOOKUP(D161,'لیست پرسنل'!$B$2:$F$1020,2,FALSE)</f>
        <v>2210</v>
      </c>
      <c r="H161" s="126" t="s">
        <v>4290</v>
      </c>
      <c r="I161" s="128"/>
      <c r="J161" s="128" t="s">
        <v>1967</v>
      </c>
      <c r="K161" s="128" t="s">
        <v>651</v>
      </c>
      <c r="L161" s="128">
        <v>2011060987</v>
      </c>
      <c r="M161" s="128">
        <v>607452</v>
      </c>
      <c r="N161" s="108"/>
      <c r="O161" s="20"/>
      <c r="P161" s="20"/>
      <c r="Q161" s="20"/>
    </row>
    <row r="162" spans="1:17" ht="24.9" customHeight="1">
      <c r="A162" s="20">
        <v>362</v>
      </c>
      <c r="B162" s="20" t="s">
        <v>4345</v>
      </c>
      <c r="C162" s="20"/>
      <c r="D162" s="20" t="s">
        <v>48</v>
      </c>
      <c r="E162" s="19" t="str">
        <f>VLOOKUP(D162,'لیست پرسنل'!$B$2:$E$1020,3,FALSE)</f>
        <v>فکورصنعت</v>
      </c>
      <c r="F162" s="19" t="str">
        <f>VLOOKUP(D162,'لیست پرسنل'!$B$2:$E$1020,4,FALSE)</f>
        <v>سرپرست آی تی</v>
      </c>
      <c r="G162" s="127">
        <f>VLOOKUP(D162,'لیست پرسنل'!$B$2:$F$1020,2,FALSE)</f>
        <v>2210</v>
      </c>
      <c r="H162" s="126" t="s">
        <v>4290</v>
      </c>
      <c r="I162" s="128"/>
      <c r="J162" s="128" t="s">
        <v>1967</v>
      </c>
      <c r="K162" s="128" t="s">
        <v>2757</v>
      </c>
      <c r="L162" s="127" t="s">
        <v>1644</v>
      </c>
      <c r="M162" s="128">
        <v>607453</v>
      </c>
      <c r="N162" s="108" t="s">
        <v>2796</v>
      </c>
      <c r="O162" s="20"/>
      <c r="P162" s="20"/>
      <c r="Q162" s="20"/>
    </row>
    <row r="163" spans="1:17" ht="24.9" customHeight="1">
      <c r="A163" s="20">
        <v>362</v>
      </c>
      <c r="B163" s="20" t="s">
        <v>4345</v>
      </c>
      <c r="C163" s="20"/>
      <c r="D163" s="20" t="s">
        <v>48</v>
      </c>
      <c r="E163" s="19" t="str">
        <f>VLOOKUP(D163,'لیست پرسنل'!$B$2:$E$1020,3,FALSE)</f>
        <v>فکورصنعت</v>
      </c>
      <c r="F163" s="19" t="str">
        <f>VLOOKUP(D163,'لیست پرسنل'!$B$2:$E$1020,4,FALSE)</f>
        <v>سرپرست آی تی</v>
      </c>
      <c r="G163" s="127">
        <f>VLOOKUP(D163,'لیست پرسنل'!$B$2:$F$1020,2,FALSE)</f>
        <v>2210</v>
      </c>
      <c r="H163" s="126" t="s">
        <v>4290</v>
      </c>
      <c r="I163" s="128"/>
      <c r="J163" s="128" t="s">
        <v>1967</v>
      </c>
      <c r="K163" s="127" t="s">
        <v>641</v>
      </c>
      <c r="L163" s="127" t="s">
        <v>1648</v>
      </c>
      <c r="M163" s="127">
        <v>607454</v>
      </c>
      <c r="N163" s="108" t="s">
        <v>2796</v>
      </c>
      <c r="O163" s="20"/>
      <c r="P163" s="20"/>
      <c r="Q163" s="20"/>
    </row>
    <row r="164" spans="1:17" ht="24.9" customHeight="1">
      <c r="A164" s="20">
        <v>362</v>
      </c>
      <c r="B164" s="20" t="s">
        <v>4345</v>
      </c>
      <c r="C164" s="20"/>
      <c r="D164" s="20" t="s">
        <v>48</v>
      </c>
      <c r="E164" s="19" t="str">
        <f>VLOOKUP(D164,'لیست پرسنل'!$B$2:$E$1020,3,FALSE)</f>
        <v>فکورصنعت</v>
      </c>
      <c r="F164" s="19" t="str">
        <f>VLOOKUP(D164,'لیست پرسنل'!$B$2:$E$1020,4,FALSE)</f>
        <v>سرپرست آی تی</v>
      </c>
      <c r="G164" s="127">
        <f>VLOOKUP(D164,'لیست پرسنل'!$B$2:$F$1020,2,FALSE)</f>
        <v>2210</v>
      </c>
      <c r="H164" s="126" t="s">
        <v>4290</v>
      </c>
      <c r="I164" s="128"/>
      <c r="J164" s="128" t="s">
        <v>1967</v>
      </c>
      <c r="K164" s="128" t="s">
        <v>649</v>
      </c>
      <c r="L164" s="128" t="s">
        <v>2657</v>
      </c>
      <c r="M164" s="128">
        <v>607455</v>
      </c>
      <c r="N164" s="108"/>
      <c r="O164" s="20"/>
      <c r="P164" s="20"/>
      <c r="Q164" s="20"/>
    </row>
    <row r="165" spans="1:17" ht="24.9" customHeight="1">
      <c r="A165" s="20">
        <v>362</v>
      </c>
      <c r="B165" s="20" t="s">
        <v>4345</v>
      </c>
      <c r="C165" s="20"/>
      <c r="D165" s="20" t="s">
        <v>48</v>
      </c>
      <c r="E165" s="19" t="str">
        <f>VLOOKUP(D165,'لیست پرسنل'!$B$2:$E$1020,3,FALSE)</f>
        <v>فکورصنعت</v>
      </c>
      <c r="F165" s="19" t="str">
        <f>VLOOKUP(D165,'لیست پرسنل'!$B$2:$E$1020,4,FALSE)</f>
        <v>سرپرست آی تی</v>
      </c>
      <c r="G165" s="127">
        <f>VLOOKUP(D165,'لیست پرسنل'!$B$2:$F$1020,2,FALSE)</f>
        <v>2210</v>
      </c>
      <c r="H165" s="126" t="s">
        <v>4290</v>
      </c>
      <c r="I165" s="128"/>
      <c r="J165" s="128" t="s">
        <v>1967</v>
      </c>
      <c r="K165" s="128" t="s">
        <v>2757</v>
      </c>
      <c r="L165" s="150" t="s">
        <v>2780</v>
      </c>
      <c r="M165" s="127">
        <v>607458</v>
      </c>
      <c r="N165" s="108"/>
      <c r="O165" s="28"/>
      <c r="P165" s="20"/>
      <c r="Q165" s="20"/>
    </row>
    <row r="166" spans="1:17" ht="24.9" customHeight="1">
      <c r="A166" s="20">
        <v>362</v>
      </c>
      <c r="B166" s="20" t="s">
        <v>4345</v>
      </c>
      <c r="C166" s="20"/>
      <c r="D166" s="20" t="s">
        <v>48</v>
      </c>
      <c r="E166" s="19" t="str">
        <f>VLOOKUP(D166,'لیست پرسنل'!$B$2:$E$1020,3,FALSE)</f>
        <v>فکورصنعت</v>
      </c>
      <c r="F166" s="19" t="str">
        <f>VLOOKUP(D166,'لیست پرسنل'!$B$2:$E$1020,4,FALSE)</f>
        <v>سرپرست آی تی</v>
      </c>
      <c r="G166" s="127">
        <f>VLOOKUP(D166,'لیست پرسنل'!$B$2:$F$1020,2,FALSE)</f>
        <v>2210</v>
      </c>
      <c r="H166" s="126" t="s">
        <v>4290</v>
      </c>
      <c r="I166" s="128"/>
      <c r="J166" s="128" t="s">
        <v>1967</v>
      </c>
      <c r="K166" s="128" t="s">
        <v>2757</v>
      </c>
      <c r="L166" s="151" t="s">
        <v>1677</v>
      </c>
      <c r="M166" s="128">
        <v>607459</v>
      </c>
      <c r="N166" s="108"/>
      <c r="O166" s="20"/>
      <c r="P166" s="20"/>
      <c r="Q166" s="20"/>
    </row>
    <row r="167" spans="1:17" ht="24.9" customHeight="1">
      <c r="A167" s="20">
        <v>362</v>
      </c>
      <c r="B167" s="20" t="s">
        <v>4345</v>
      </c>
      <c r="C167" s="20"/>
      <c r="D167" s="20" t="s">
        <v>48</v>
      </c>
      <c r="E167" s="19" t="str">
        <f>VLOOKUP(D167,'لیست پرسنل'!$B$2:$E$1020,3,FALSE)</f>
        <v>فکورصنعت</v>
      </c>
      <c r="F167" s="19" t="str">
        <f>VLOOKUP(D167,'لیست پرسنل'!$B$2:$E$1020,4,FALSE)</f>
        <v>سرپرست آی تی</v>
      </c>
      <c r="G167" s="127">
        <f>VLOOKUP(D167,'لیست پرسنل'!$B$2:$F$1020,2,FALSE)</f>
        <v>2210</v>
      </c>
      <c r="H167" s="126" t="s">
        <v>4290</v>
      </c>
      <c r="I167" s="128"/>
      <c r="J167" s="128" t="s">
        <v>1967</v>
      </c>
      <c r="K167" s="128" t="s">
        <v>2790</v>
      </c>
      <c r="L167" s="150" t="s">
        <v>2789</v>
      </c>
      <c r="M167" s="127">
        <v>607460</v>
      </c>
      <c r="N167" s="108"/>
      <c r="O167" s="20"/>
      <c r="P167" s="20"/>
      <c r="Q167" s="20"/>
    </row>
    <row r="168" spans="1:17" ht="24.9" customHeight="1">
      <c r="A168" s="20">
        <v>362</v>
      </c>
      <c r="B168" s="20" t="s">
        <v>4345</v>
      </c>
      <c r="C168" s="20"/>
      <c r="D168" s="20" t="s">
        <v>48</v>
      </c>
      <c r="E168" s="19" t="str">
        <f>VLOOKUP(D168,'لیست پرسنل'!$B$2:$E$1020,3,FALSE)</f>
        <v>فکورصنعت</v>
      </c>
      <c r="F168" s="19" t="str">
        <f>VLOOKUP(D168,'لیست پرسنل'!$B$2:$E$1020,4,FALSE)</f>
        <v>سرپرست آی تی</v>
      </c>
      <c r="G168" s="127">
        <f>VLOOKUP(D168,'لیست پرسنل'!$B$2:$F$1020,2,FALSE)</f>
        <v>2210</v>
      </c>
      <c r="H168" s="126" t="s">
        <v>4290</v>
      </c>
      <c r="I168" s="128"/>
      <c r="J168" s="128" t="s">
        <v>1967</v>
      </c>
      <c r="K168" s="128" t="s">
        <v>2757</v>
      </c>
      <c r="L168" s="128"/>
      <c r="M168" s="128">
        <v>607461</v>
      </c>
      <c r="N168" s="108"/>
      <c r="O168" s="20"/>
      <c r="P168" s="20"/>
      <c r="Q168" s="20"/>
    </row>
    <row r="169" spans="1:17" ht="24.9" customHeight="1">
      <c r="A169" s="20">
        <v>362</v>
      </c>
      <c r="B169" s="20" t="s">
        <v>4345</v>
      </c>
      <c r="C169" s="20"/>
      <c r="D169" s="20" t="s">
        <v>48</v>
      </c>
      <c r="E169" s="19" t="str">
        <f>VLOOKUP(D169,'لیست پرسنل'!$B$2:$E$1020,3,FALSE)</f>
        <v>فکورصنعت</v>
      </c>
      <c r="F169" s="19" t="str">
        <f>VLOOKUP(D169,'لیست پرسنل'!$B$2:$E$1020,4,FALSE)</f>
        <v>سرپرست آی تی</v>
      </c>
      <c r="G169" s="127">
        <f>VLOOKUP(D169,'لیست پرسنل'!$B$2:$F$1020,2,FALSE)</f>
        <v>2210</v>
      </c>
      <c r="H169" s="126" t="s">
        <v>4290</v>
      </c>
      <c r="I169" s="128"/>
      <c r="J169" s="128" t="s">
        <v>1967</v>
      </c>
      <c r="K169" s="128" t="s">
        <v>2757</v>
      </c>
      <c r="L169" s="128"/>
      <c r="M169" s="128">
        <v>607760</v>
      </c>
      <c r="N169" s="108"/>
      <c r="O169" s="20"/>
      <c r="P169" s="20"/>
      <c r="Q169" s="20"/>
    </row>
    <row r="170" spans="1:17" ht="24.9" customHeight="1">
      <c r="A170" s="20">
        <v>362</v>
      </c>
      <c r="B170" s="20" t="s">
        <v>4345</v>
      </c>
      <c r="C170" s="20"/>
      <c r="D170" s="20" t="s">
        <v>48</v>
      </c>
      <c r="E170" s="19" t="str">
        <f>VLOOKUP(D170,'لیست پرسنل'!$B$2:$E$1020,3,FALSE)</f>
        <v>فکورصنعت</v>
      </c>
      <c r="F170" s="19" t="str">
        <f>VLOOKUP(D170,'لیست پرسنل'!$B$2:$E$1020,4,FALSE)</f>
        <v>سرپرست آی تی</v>
      </c>
      <c r="G170" s="127">
        <f>VLOOKUP(D170,'لیست پرسنل'!$B$2:$F$1020,2,FALSE)</f>
        <v>2210</v>
      </c>
      <c r="H170" s="126" t="s">
        <v>4290</v>
      </c>
      <c r="I170" s="128"/>
      <c r="J170" s="128" t="s">
        <v>1967</v>
      </c>
      <c r="K170" s="128" t="s">
        <v>2757</v>
      </c>
      <c r="L170" s="128" t="s">
        <v>2806</v>
      </c>
      <c r="M170" s="128">
        <v>607761</v>
      </c>
      <c r="N170" s="108" t="s">
        <v>2796</v>
      </c>
      <c r="O170" s="20"/>
      <c r="P170" s="20"/>
      <c r="Q170" s="20"/>
    </row>
    <row r="171" spans="1:17" ht="24.9" customHeight="1">
      <c r="A171" s="20">
        <v>362</v>
      </c>
      <c r="B171" s="20" t="s">
        <v>4345</v>
      </c>
      <c r="C171" s="20"/>
      <c r="D171" s="20" t="s">
        <v>48</v>
      </c>
      <c r="E171" s="19" t="str">
        <f>VLOOKUP(D171,'لیست پرسنل'!$B$2:$E$1020,3,FALSE)</f>
        <v>فکورصنعت</v>
      </c>
      <c r="F171" s="19" t="str">
        <f>VLOOKUP(D171,'لیست پرسنل'!$B$2:$E$1020,4,FALSE)</f>
        <v>سرپرست آی تی</v>
      </c>
      <c r="G171" s="127">
        <f>VLOOKUP(D171,'لیست پرسنل'!$B$2:$F$1020,2,FALSE)</f>
        <v>2210</v>
      </c>
      <c r="H171" s="126" t="s">
        <v>4290</v>
      </c>
      <c r="I171" s="128"/>
      <c r="J171" s="128" t="s">
        <v>1967</v>
      </c>
      <c r="K171" s="128" t="s">
        <v>2579</v>
      </c>
      <c r="L171" s="128"/>
      <c r="M171" s="128">
        <v>607762</v>
      </c>
      <c r="N171" s="108"/>
      <c r="O171" s="20"/>
      <c r="P171" s="20"/>
      <c r="Q171" s="20"/>
    </row>
    <row r="172" spans="1:17" ht="24.9" customHeight="1">
      <c r="A172" s="20">
        <v>362</v>
      </c>
      <c r="B172" s="20" t="s">
        <v>4345</v>
      </c>
      <c r="C172" s="20"/>
      <c r="D172" s="20" t="s">
        <v>48</v>
      </c>
      <c r="E172" s="19" t="str">
        <f>VLOOKUP(D172,'لیست پرسنل'!$B$2:$E$1020,3,FALSE)</f>
        <v>فکورصنعت</v>
      </c>
      <c r="F172" s="19" t="str">
        <f>VLOOKUP(D172,'لیست پرسنل'!$B$2:$E$1020,4,FALSE)</f>
        <v>سرپرست آی تی</v>
      </c>
      <c r="G172" s="127">
        <f>VLOOKUP(D172,'لیست پرسنل'!$B$2:$F$1020,2,FALSE)</f>
        <v>2210</v>
      </c>
      <c r="H172" s="126" t="s">
        <v>4290</v>
      </c>
      <c r="I172" s="128"/>
      <c r="J172" s="128" t="s">
        <v>1967</v>
      </c>
      <c r="K172" s="128" t="s">
        <v>2792</v>
      </c>
      <c r="L172" s="128"/>
      <c r="M172" s="128">
        <v>608986</v>
      </c>
      <c r="N172" s="108"/>
      <c r="O172" s="20"/>
      <c r="P172" s="20"/>
      <c r="Q172" s="20"/>
    </row>
    <row r="173" spans="1:17" ht="24.9" customHeight="1">
      <c r="A173" s="20">
        <v>362</v>
      </c>
      <c r="B173" s="20" t="s">
        <v>4345</v>
      </c>
      <c r="C173" s="20"/>
      <c r="D173" s="20" t="s">
        <v>48</v>
      </c>
      <c r="E173" s="19" t="str">
        <f>VLOOKUP(D173,'لیست پرسنل'!$B$2:$E$1020,3,FALSE)</f>
        <v>فکورصنعت</v>
      </c>
      <c r="F173" s="19" t="str">
        <f>VLOOKUP(D173,'لیست پرسنل'!$B$2:$E$1020,4,FALSE)</f>
        <v>سرپرست آی تی</v>
      </c>
      <c r="G173" s="127">
        <f>VLOOKUP(D173,'لیست پرسنل'!$B$2:$F$1020,2,FALSE)</f>
        <v>2210</v>
      </c>
      <c r="H173" s="126" t="s">
        <v>4290</v>
      </c>
      <c r="I173" s="128"/>
      <c r="J173" s="128" t="s">
        <v>1967</v>
      </c>
      <c r="K173" s="128" t="s">
        <v>2792</v>
      </c>
      <c r="L173" s="128"/>
      <c r="M173" s="128">
        <v>608987</v>
      </c>
      <c r="N173" s="108"/>
      <c r="O173" s="20"/>
      <c r="P173" s="20"/>
      <c r="Q173" s="20"/>
    </row>
    <row r="174" spans="1:17" ht="24.9" customHeight="1">
      <c r="A174" s="20">
        <v>362</v>
      </c>
      <c r="B174" s="20" t="s">
        <v>4345</v>
      </c>
      <c r="C174" s="20"/>
      <c r="D174" s="20" t="s">
        <v>48</v>
      </c>
      <c r="E174" s="19" t="str">
        <f>VLOOKUP(D174,'لیست پرسنل'!$B$2:$E$1020,3,FALSE)</f>
        <v>فکورصنعت</v>
      </c>
      <c r="F174" s="19" t="str">
        <f>VLOOKUP(D174,'لیست پرسنل'!$B$2:$E$1020,4,FALSE)</f>
        <v>سرپرست آی تی</v>
      </c>
      <c r="G174" s="127">
        <f>VLOOKUP(D174,'لیست پرسنل'!$B$2:$F$1020,2,FALSE)</f>
        <v>2210</v>
      </c>
      <c r="H174" s="126" t="s">
        <v>4290</v>
      </c>
      <c r="I174" s="128"/>
      <c r="J174" s="128" t="s">
        <v>1967</v>
      </c>
      <c r="K174" s="128" t="s">
        <v>881</v>
      </c>
      <c r="L174" s="151"/>
      <c r="M174" s="127">
        <v>608988</v>
      </c>
      <c r="N174" s="108"/>
      <c r="O174" s="20"/>
      <c r="P174" s="20"/>
      <c r="Q174" s="20"/>
    </row>
    <row r="175" spans="1:17" ht="24.9" customHeight="1">
      <c r="A175" s="20">
        <v>362</v>
      </c>
      <c r="B175" s="20" t="s">
        <v>4345</v>
      </c>
      <c r="C175" s="20"/>
      <c r="D175" s="20" t="s">
        <v>48</v>
      </c>
      <c r="E175" s="19" t="str">
        <f>VLOOKUP(D175,'لیست پرسنل'!$B$2:$E$1020,3,FALSE)</f>
        <v>فکورصنعت</v>
      </c>
      <c r="F175" s="19" t="str">
        <f>VLOOKUP(D175,'لیست پرسنل'!$B$2:$E$1020,4,FALSE)</f>
        <v>سرپرست آی تی</v>
      </c>
      <c r="G175" s="127">
        <f>VLOOKUP(D175,'لیست پرسنل'!$B$2:$F$1020,2,FALSE)</f>
        <v>2210</v>
      </c>
      <c r="H175" s="126" t="s">
        <v>4290</v>
      </c>
      <c r="I175" s="128"/>
      <c r="J175" s="128" t="s">
        <v>1967</v>
      </c>
      <c r="K175" s="128" t="s">
        <v>599</v>
      </c>
      <c r="L175" s="151"/>
      <c r="M175" s="128">
        <v>608989</v>
      </c>
      <c r="N175" s="108"/>
      <c r="O175" s="19"/>
      <c r="P175" s="20"/>
      <c r="Q175" s="20"/>
    </row>
    <row r="176" spans="1:17" ht="24.9" customHeight="1">
      <c r="A176" s="20">
        <v>362</v>
      </c>
      <c r="B176" s="20" t="s">
        <v>4345</v>
      </c>
      <c r="C176" s="20"/>
      <c r="D176" s="20" t="s">
        <v>48</v>
      </c>
      <c r="E176" s="19" t="str">
        <f>VLOOKUP(D176,'لیست پرسنل'!$B$2:$E$1020,3,FALSE)</f>
        <v>فکورصنعت</v>
      </c>
      <c r="F176" s="19" t="str">
        <f>VLOOKUP(D176,'لیست پرسنل'!$B$2:$E$1020,4,FALSE)</f>
        <v>سرپرست آی تی</v>
      </c>
      <c r="G176" s="127">
        <f>VLOOKUP(D176,'لیست پرسنل'!$B$2:$F$1020,2,FALSE)</f>
        <v>2210</v>
      </c>
      <c r="H176" s="126" t="s">
        <v>4290</v>
      </c>
      <c r="I176" s="128"/>
      <c r="J176" s="128" t="s">
        <v>1967</v>
      </c>
      <c r="K176" s="128" t="s">
        <v>2792</v>
      </c>
      <c r="L176" s="127" t="s">
        <v>711</v>
      </c>
      <c r="M176" s="128">
        <v>608990</v>
      </c>
      <c r="N176" s="108"/>
      <c r="O176" s="20"/>
      <c r="P176" s="20"/>
      <c r="Q176" s="20"/>
    </row>
    <row r="177" spans="1:17" ht="24.9" customHeight="1">
      <c r="A177" s="20">
        <v>362</v>
      </c>
      <c r="B177" s="20" t="s">
        <v>4345</v>
      </c>
      <c r="C177" s="20"/>
      <c r="D177" s="20" t="s">
        <v>48</v>
      </c>
      <c r="E177" s="19" t="str">
        <f>VLOOKUP(D177,'لیست پرسنل'!$B$2:$E$1020,3,FALSE)</f>
        <v>فکورصنعت</v>
      </c>
      <c r="F177" s="19" t="str">
        <f>VLOOKUP(D177,'لیست پرسنل'!$B$2:$E$1020,4,FALSE)</f>
        <v>سرپرست آی تی</v>
      </c>
      <c r="G177" s="127">
        <f>VLOOKUP(D177,'لیست پرسنل'!$B$2:$F$1020,2,FALSE)</f>
        <v>2210</v>
      </c>
      <c r="H177" s="126" t="s">
        <v>4290</v>
      </c>
      <c r="I177" s="128"/>
      <c r="J177" s="128" t="s">
        <v>1967</v>
      </c>
      <c r="K177" s="128" t="s">
        <v>2792</v>
      </c>
      <c r="L177" s="127" t="s">
        <v>1442</v>
      </c>
      <c r="M177" s="128">
        <v>608991</v>
      </c>
      <c r="N177" s="108"/>
      <c r="O177" s="20"/>
      <c r="P177" s="20"/>
      <c r="Q177" s="20"/>
    </row>
    <row r="178" spans="1:17" ht="24.9" customHeight="1">
      <c r="A178" s="20">
        <v>362</v>
      </c>
      <c r="B178" s="20" t="s">
        <v>4345</v>
      </c>
      <c r="C178" s="20"/>
      <c r="D178" s="20" t="s">
        <v>48</v>
      </c>
      <c r="E178" s="19" t="str">
        <f>VLOOKUP(D178,'لیست پرسنل'!$B$2:$E$1020,3,FALSE)</f>
        <v>فکورصنعت</v>
      </c>
      <c r="F178" s="19" t="str">
        <f>VLOOKUP(D178,'لیست پرسنل'!$B$2:$E$1020,4,FALSE)</f>
        <v>سرپرست آی تی</v>
      </c>
      <c r="G178" s="127">
        <f>VLOOKUP(D178,'لیست پرسنل'!$B$2:$F$1020,2,FALSE)</f>
        <v>2210</v>
      </c>
      <c r="H178" s="126" t="s">
        <v>4290</v>
      </c>
      <c r="I178" s="128"/>
      <c r="J178" s="128" t="s">
        <v>1967</v>
      </c>
      <c r="K178" s="128" t="s">
        <v>2585</v>
      </c>
      <c r="L178" s="128">
        <v>20121002251</v>
      </c>
      <c r="M178" s="128">
        <v>610383</v>
      </c>
      <c r="N178" s="108"/>
      <c r="O178" s="20" t="s">
        <v>2588</v>
      </c>
      <c r="P178" s="20"/>
      <c r="Q178" s="20"/>
    </row>
    <row r="179" spans="1:17" ht="24.9" customHeight="1">
      <c r="A179" s="20">
        <v>362</v>
      </c>
      <c r="B179" s="20" t="s">
        <v>4345</v>
      </c>
      <c r="C179" s="20"/>
      <c r="D179" s="20" t="s">
        <v>48</v>
      </c>
      <c r="E179" s="19" t="str">
        <f>VLOOKUP(D179,'لیست پرسنل'!$B$2:$E$1020,3,FALSE)</f>
        <v>فکورصنعت</v>
      </c>
      <c r="F179" s="19" t="str">
        <f>VLOOKUP(D179,'لیست پرسنل'!$B$2:$E$1020,4,FALSE)</f>
        <v>سرپرست آی تی</v>
      </c>
      <c r="G179" s="127">
        <f>VLOOKUP(D179,'لیست پرسنل'!$B$2:$F$1020,2,FALSE)</f>
        <v>2210</v>
      </c>
      <c r="H179" s="126" t="s">
        <v>4290</v>
      </c>
      <c r="I179" s="128"/>
      <c r="J179" s="128" t="s">
        <v>1967</v>
      </c>
      <c r="K179" s="128" t="s">
        <v>2581</v>
      </c>
      <c r="L179" s="128" t="s">
        <v>2582</v>
      </c>
      <c r="M179" s="128">
        <v>610461</v>
      </c>
      <c r="N179" s="108"/>
      <c r="O179" s="20"/>
      <c r="P179" s="20"/>
      <c r="Q179" s="20"/>
    </row>
    <row r="180" spans="1:17" ht="24.9" customHeight="1">
      <c r="A180" s="20">
        <v>362</v>
      </c>
      <c r="B180" s="20" t="s">
        <v>4345</v>
      </c>
      <c r="C180" s="20"/>
      <c r="D180" s="20" t="s">
        <v>48</v>
      </c>
      <c r="E180" s="19" t="str">
        <f>VLOOKUP(D180,'لیست پرسنل'!$B$2:$E$1020,3,FALSE)</f>
        <v>فکورصنعت</v>
      </c>
      <c r="F180" s="19" t="str">
        <f>VLOOKUP(D180,'لیست پرسنل'!$B$2:$E$1020,4,FALSE)</f>
        <v>سرپرست آی تی</v>
      </c>
      <c r="G180" s="127">
        <f>VLOOKUP(D180,'لیست پرسنل'!$B$2:$F$1020,2,FALSE)</f>
        <v>2210</v>
      </c>
      <c r="H180" s="126" t="s">
        <v>4290</v>
      </c>
      <c r="I180" s="128"/>
      <c r="J180" s="128" t="s">
        <v>1967</v>
      </c>
      <c r="K180" s="128" t="s">
        <v>2792</v>
      </c>
      <c r="L180" s="128"/>
      <c r="M180" s="128">
        <v>610794</v>
      </c>
      <c r="N180" s="108"/>
      <c r="O180" s="20"/>
      <c r="P180" s="20"/>
      <c r="Q180" s="20"/>
    </row>
    <row r="181" spans="1:17" ht="24.9" customHeight="1">
      <c r="A181" s="20">
        <v>362</v>
      </c>
      <c r="B181" s="20" t="s">
        <v>4345</v>
      </c>
      <c r="C181" s="20"/>
      <c r="D181" s="20" t="s">
        <v>48</v>
      </c>
      <c r="E181" s="19" t="str">
        <f>VLOOKUP(D181,'لیست پرسنل'!$B$2:$E$1020,3,FALSE)</f>
        <v>فکورصنعت</v>
      </c>
      <c r="F181" s="19" t="str">
        <f>VLOOKUP(D181,'لیست پرسنل'!$B$2:$E$1020,4,FALSE)</f>
        <v>سرپرست آی تی</v>
      </c>
      <c r="G181" s="127">
        <f>VLOOKUP(D181,'لیست پرسنل'!$B$2:$F$1020,2,FALSE)</f>
        <v>2210</v>
      </c>
      <c r="H181" s="126" t="s">
        <v>4290</v>
      </c>
      <c r="I181" s="128"/>
      <c r="J181" s="128" t="s">
        <v>1967</v>
      </c>
      <c r="K181" s="127" t="s">
        <v>640</v>
      </c>
      <c r="L181" s="127" t="s">
        <v>2665</v>
      </c>
      <c r="M181" s="127">
        <v>611144</v>
      </c>
      <c r="N181" s="108"/>
      <c r="O181" s="20"/>
      <c r="P181" s="20"/>
      <c r="Q181" s="20"/>
    </row>
    <row r="182" spans="1:17" ht="24.9" customHeight="1">
      <c r="A182" s="20">
        <v>362</v>
      </c>
      <c r="B182" s="20" t="s">
        <v>4345</v>
      </c>
      <c r="C182" s="20"/>
      <c r="D182" s="20" t="s">
        <v>48</v>
      </c>
      <c r="E182" s="19" t="str">
        <f>VLOOKUP(D182,'لیست پرسنل'!$B$2:$E$1020,3,FALSE)</f>
        <v>فکورصنعت</v>
      </c>
      <c r="F182" s="19" t="str">
        <f>VLOOKUP(D182,'لیست پرسنل'!$B$2:$E$1020,4,FALSE)</f>
        <v>سرپرست آی تی</v>
      </c>
      <c r="G182" s="127">
        <f>VLOOKUP(D182,'لیست پرسنل'!$B$2:$F$1020,2,FALSE)</f>
        <v>2210</v>
      </c>
      <c r="H182" s="126" t="s">
        <v>4290</v>
      </c>
      <c r="I182" s="128"/>
      <c r="J182" s="128" t="s">
        <v>1967</v>
      </c>
      <c r="K182" s="127" t="s">
        <v>643</v>
      </c>
      <c r="L182" s="127" t="s">
        <v>1649</v>
      </c>
      <c r="M182" s="127">
        <v>612304</v>
      </c>
      <c r="N182" s="108" t="s">
        <v>4210</v>
      </c>
      <c r="O182" s="20"/>
      <c r="P182" s="20"/>
      <c r="Q182" s="20"/>
    </row>
    <row r="183" spans="1:17" ht="24.9" customHeight="1">
      <c r="A183" s="20">
        <v>362</v>
      </c>
      <c r="B183" s="20" t="s">
        <v>4345</v>
      </c>
      <c r="C183" s="20"/>
      <c r="D183" s="20" t="s">
        <v>48</v>
      </c>
      <c r="E183" s="19" t="str">
        <f>VLOOKUP(D183,'لیست پرسنل'!$B$2:$E$1020,3,FALSE)</f>
        <v>فکورصنعت</v>
      </c>
      <c r="F183" s="19" t="str">
        <f>VLOOKUP(D183,'لیست پرسنل'!$B$2:$E$1020,4,FALSE)</f>
        <v>سرپرست آی تی</v>
      </c>
      <c r="G183" s="127">
        <f>VLOOKUP(D183,'لیست پرسنل'!$B$2:$F$1020,2,FALSE)</f>
        <v>2210</v>
      </c>
      <c r="H183" s="126" t="s">
        <v>4290</v>
      </c>
      <c r="I183" s="128"/>
      <c r="J183" s="128" t="s">
        <v>1967</v>
      </c>
      <c r="K183" s="128" t="s">
        <v>2774</v>
      </c>
      <c r="L183" s="150" t="s">
        <v>2778</v>
      </c>
      <c r="M183" s="127">
        <v>612305</v>
      </c>
      <c r="N183" s="108"/>
      <c r="O183" s="20"/>
      <c r="P183" s="20"/>
      <c r="Q183" s="20"/>
    </row>
    <row r="184" spans="1:17" ht="24.9" customHeight="1">
      <c r="A184" s="20">
        <v>362</v>
      </c>
      <c r="B184" s="20" t="s">
        <v>4345</v>
      </c>
      <c r="C184" s="20"/>
      <c r="D184" s="20" t="s">
        <v>48</v>
      </c>
      <c r="E184" s="19" t="str">
        <f>VLOOKUP(D184,'لیست پرسنل'!$B$2:$E$1020,3,FALSE)</f>
        <v>فکورصنعت</v>
      </c>
      <c r="F184" s="19" t="str">
        <f>VLOOKUP(D184,'لیست پرسنل'!$B$2:$E$1020,4,FALSE)</f>
        <v>سرپرست آی تی</v>
      </c>
      <c r="G184" s="127">
        <f>VLOOKUP(D184,'لیست پرسنل'!$B$2:$F$1020,2,FALSE)</f>
        <v>2210</v>
      </c>
      <c r="H184" s="153" t="s">
        <v>4290</v>
      </c>
      <c r="I184" s="127"/>
      <c r="J184" s="127" t="s">
        <v>1967</v>
      </c>
      <c r="K184" s="128" t="s">
        <v>650</v>
      </c>
      <c r="L184" s="127"/>
      <c r="M184" s="128">
        <v>612309</v>
      </c>
      <c r="N184" s="108"/>
      <c r="O184" s="19" t="s">
        <v>5329</v>
      </c>
      <c r="P184" s="19"/>
      <c r="Q184" s="20"/>
    </row>
    <row r="185" spans="1:17" ht="24.9" customHeight="1">
      <c r="A185" s="20">
        <v>362</v>
      </c>
      <c r="B185" s="20" t="s">
        <v>4345</v>
      </c>
      <c r="C185" s="20"/>
      <c r="D185" s="20" t="s">
        <v>48</v>
      </c>
      <c r="E185" s="19" t="str">
        <f>VLOOKUP(D185,'لیست پرسنل'!$B$2:$E$1020,3,FALSE)</f>
        <v>فکورصنعت</v>
      </c>
      <c r="F185" s="19" t="str">
        <f>VLOOKUP(D185,'لیست پرسنل'!$B$2:$E$1020,4,FALSE)</f>
        <v>سرپرست آی تی</v>
      </c>
      <c r="G185" s="127">
        <f>VLOOKUP(D185,'لیست پرسنل'!$B$2:$F$1020,2,FALSE)</f>
        <v>2210</v>
      </c>
      <c r="H185" s="126" t="s">
        <v>4290</v>
      </c>
      <c r="I185" s="128"/>
      <c r="J185" s="128" t="s">
        <v>1967</v>
      </c>
      <c r="K185" s="127" t="s">
        <v>647</v>
      </c>
      <c r="L185" s="150"/>
      <c r="M185" s="127">
        <v>612632</v>
      </c>
      <c r="N185" s="108"/>
      <c r="O185" s="20"/>
      <c r="P185" s="20"/>
      <c r="Q185" s="20"/>
    </row>
    <row r="186" spans="1:17" ht="24.9" customHeight="1">
      <c r="A186" s="20">
        <v>362</v>
      </c>
      <c r="B186" s="20" t="s">
        <v>4345</v>
      </c>
      <c r="C186" s="20"/>
      <c r="D186" s="20" t="s">
        <v>48</v>
      </c>
      <c r="E186" s="19" t="str">
        <f>VLOOKUP(D186,'لیست پرسنل'!$B$2:$E$1020,3,FALSE)</f>
        <v>فکورصنعت</v>
      </c>
      <c r="F186" s="19" t="str">
        <f>VLOOKUP(D186,'لیست پرسنل'!$B$2:$E$1020,4,FALSE)</f>
        <v>سرپرست آی تی</v>
      </c>
      <c r="G186" s="127">
        <f>VLOOKUP(D186,'لیست پرسنل'!$B$2:$F$1020,2,FALSE)</f>
        <v>2210</v>
      </c>
      <c r="H186" s="126" t="s">
        <v>4290</v>
      </c>
      <c r="I186" s="128"/>
      <c r="J186" s="128" t="s">
        <v>1967</v>
      </c>
      <c r="K186" s="127" t="s">
        <v>647</v>
      </c>
      <c r="L186" s="150"/>
      <c r="M186" s="128">
        <v>612634</v>
      </c>
      <c r="N186" s="108"/>
      <c r="O186" s="20"/>
      <c r="P186" s="20"/>
      <c r="Q186" s="20"/>
    </row>
    <row r="187" spans="1:17" ht="24.9" customHeight="1">
      <c r="A187" s="20">
        <v>362</v>
      </c>
      <c r="B187" s="20" t="s">
        <v>4345</v>
      </c>
      <c r="C187" s="20"/>
      <c r="D187" s="20" t="s">
        <v>48</v>
      </c>
      <c r="E187" s="19" t="str">
        <f>VLOOKUP(D187,'لیست پرسنل'!$B$2:$E$1020,3,FALSE)</f>
        <v>فکورصنعت</v>
      </c>
      <c r="F187" s="19" t="str">
        <f>VLOOKUP(D187,'لیست پرسنل'!$B$2:$E$1020,4,FALSE)</f>
        <v>سرپرست آی تی</v>
      </c>
      <c r="G187" s="127">
        <f>VLOOKUP(D187,'لیست پرسنل'!$B$2:$F$1020,2,FALSE)</f>
        <v>2210</v>
      </c>
      <c r="H187" s="126" t="s">
        <v>4290</v>
      </c>
      <c r="I187" s="128"/>
      <c r="J187" s="128" t="s">
        <v>1967</v>
      </c>
      <c r="K187" s="128" t="s">
        <v>2794</v>
      </c>
      <c r="L187" s="150"/>
      <c r="M187" s="128">
        <v>612636</v>
      </c>
      <c r="N187" s="108"/>
      <c r="O187" s="20"/>
      <c r="P187" s="20"/>
      <c r="Q187" s="20"/>
    </row>
    <row r="188" spans="1:17" ht="24.9" customHeight="1">
      <c r="A188" s="20">
        <v>362</v>
      </c>
      <c r="B188" s="20" t="s">
        <v>4345</v>
      </c>
      <c r="C188" s="20"/>
      <c r="D188" s="20" t="s">
        <v>48</v>
      </c>
      <c r="E188" s="19" t="str">
        <f>VLOOKUP(D188,'لیست پرسنل'!$B$2:$E$1020,3,FALSE)</f>
        <v>فکورصنعت</v>
      </c>
      <c r="F188" s="19" t="str">
        <f>VLOOKUP(D188,'لیست پرسنل'!$B$2:$E$1020,4,FALSE)</f>
        <v>سرپرست آی تی</v>
      </c>
      <c r="G188" s="127">
        <f>VLOOKUP(D188,'لیست پرسنل'!$B$2:$F$1020,2,FALSE)</f>
        <v>2210</v>
      </c>
      <c r="H188" s="126" t="s">
        <v>4290</v>
      </c>
      <c r="I188" s="128"/>
      <c r="J188" s="128" t="s">
        <v>1967</v>
      </c>
      <c r="K188" s="127" t="s">
        <v>2788</v>
      </c>
      <c r="L188" s="151" t="s">
        <v>2787</v>
      </c>
      <c r="M188" s="127">
        <v>612637</v>
      </c>
      <c r="N188" s="108"/>
      <c r="O188" s="20"/>
      <c r="P188" s="20"/>
      <c r="Q188" s="20"/>
    </row>
    <row r="189" spans="1:17" ht="24.9" customHeight="1">
      <c r="A189" s="20">
        <v>362</v>
      </c>
      <c r="B189" s="20" t="s">
        <v>4345</v>
      </c>
      <c r="C189" s="20"/>
      <c r="D189" s="20" t="s">
        <v>48</v>
      </c>
      <c r="E189" s="19" t="str">
        <f>VLOOKUP(D189,'لیست پرسنل'!$B$2:$E$1020,3,FALSE)</f>
        <v>فکورصنعت</v>
      </c>
      <c r="F189" s="19" t="str">
        <f>VLOOKUP(D189,'لیست پرسنل'!$B$2:$E$1020,4,FALSE)</f>
        <v>سرپرست آی تی</v>
      </c>
      <c r="G189" s="127">
        <f>VLOOKUP(D189,'لیست پرسنل'!$B$2:$F$1020,2,FALSE)</f>
        <v>2210</v>
      </c>
      <c r="H189" s="126" t="s">
        <v>4290</v>
      </c>
      <c r="I189" s="128"/>
      <c r="J189" s="128" t="s">
        <v>1967</v>
      </c>
      <c r="K189" s="128" t="s">
        <v>2833</v>
      </c>
      <c r="L189" s="128"/>
      <c r="M189" s="128">
        <v>612639</v>
      </c>
      <c r="N189" s="108"/>
      <c r="O189" s="20"/>
      <c r="P189" s="20"/>
      <c r="Q189" s="20"/>
    </row>
    <row r="190" spans="1:17" ht="24.9" customHeight="1">
      <c r="A190" s="20">
        <v>362</v>
      </c>
      <c r="B190" s="20" t="s">
        <v>4345</v>
      </c>
      <c r="C190" s="20"/>
      <c r="D190" s="20" t="s">
        <v>48</v>
      </c>
      <c r="E190" s="19" t="str">
        <f>VLOOKUP(D190,'لیست پرسنل'!$B$2:$E$1020,3,FALSE)</f>
        <v>فکورصنعت</v>
      </c>
      <c r="F190" s="19" t="str">
        <f>VLOOKUP(D190,'لیست پرسنل'!$B$2:$E$1020,4,FALSE)</f>
        <v>سرپرست آی تی</v>
      </c>
      <c r="G190" s="127">
        <f>VLOOKUP(D190,'لیست پرسنل'!$B$2:$F$1020,2,FALSE)</f>
        <v>2210</v>
      </c>
      <c r="H190" s="126" t="s">
        <v>4290</v>
      </c>
      <c r="I190" s="128"/>
      <c r="J190" s="128" t="s">
        <v>1967</v>
      </c>
      <c r="K190" s="128" t="s">
        <v>2861</v>
      </c>
      <c r="L190" s="150" t="s">
        <v>2862</v>
      </c>
      <c r="M190" s="127">
        <v>612640</v>
      </c>
      <c r="N190" s="108"/>
      <c r="O190" s="20"/>
      <c r="P190" s="20"/>
      <c r="Q190" s="20"/>
    </row>
    <row r="191" spans="1:17" ht="24.9" customHeight="1">
      <c r="A191" s="20">
        <v>362</v>
      </c>
      <c r="B191" s="20" t="s">
        <v>4345</v>
      </c>
      <c r="C191" s="19"/>
      <c r="D191" s="19" t="s">
        <v>48</v>
      </c>
      <c r="E191" s="19" t="str">
        <f>VLOOKUP(D191,'لیست پرسنل'!$B$2:$E$1020,3,FALSE)</f>
        <v>فکورصنعت</v>
      </c>
      <c r="F191" s="19" t="str">
        <f>VLOOKUP(D191,'لیست پرسنل'!$B$2:$E$1020,4,FALSE)</f>
        <v>سرپرست آی تی</v>
      </c>
      <c r="G191" s="127">
        <f>VLOOKUP(D191,'لیست پرسنل'!$B$2:$F$1020,2,FALSE)</f>
        <v>2210</v>
      </c>
      <c r="H191" s="151" t="s">
        <v>4290</v>
      </c>
      <c r="I191" s="127"/>
      <c r="J191" s="127" t="s">
        <v>1967</v>
      </c>
      <c r="K191" s="127" t="s">
        <v>1588</v>
      </c>
      <c r="L191" s="127"/>
      <c r="M191" s="127">
        <v>613127</v>
      </c>
      <c r="N191" s="109"/>
      <c r="O191" s="19"/>
      <c r="P191" s="20"/>
      <c r="Q191" s="20"/>
    </row>
    <row r="192" spans="1:17" ht="24.9" customHeight="1">
      <c r="A192" s="20">
        <v>362</v>
      </c>
      <c r="B192" s="20" t="s">
        <v>4345</v>
      </c>
      <c r="C192" s="20"/>
      <c r="D192" s="20" t="s">
        <v>48</v>
      </c>
      <c r="E192" s="19" t="str">
        <f>VLOOKUP(D192,'لیست پرسنل'!$B$2:$E$1020,3,FALSE)</f>
        <v>فکورصنعت</v>
      </c>
      <c r="F192" s="19" t="str">
        <f>VLOOKUP(D192,'لیست پرسنل'!$B$2:$E$1020,4,FALSE)</f>
        <v>سرپرست آی تی</v>
      </c>
      <c r="G192" s="127">
        <f>VLOOKUP(D192,'لیست پرسنل'!$B$2:$F$1020,2,FALSE)</f>
        <v>2210</v>
      </c>
      <c r="H192" s="126" t="s">
        <v>4290</v>
      </c>
      <c r="I192" s="128"/>
      <c r="J192" s="128" t="s">
        <v>1967</v>
      </c>
      <c r="K192" s="150" t="s">
        <v>652</v>
      </c>
      <c r="L192" s="150" t="s">
        <v>2666</v>
      </c>
      <c r="M192" s="128">
        <v>615518</v>
      </c>
      <c r="N192" s="108"/>
      <c r="O192" s="20"/>
      <c r="P192" s="20"/>
      <c r="Q192" s="20"/>
    </row>
    <row r="193" spans="1:17" ht="24.9" customHeight="1">
      <c r="A193" s="20">
        <v>362</v>
      </c>
      <c r="B193" s="20" t="s">
        <v>4345</v>
      </c>
      <c r="C193" s="20"/>
      <c r="D193" s="20" t="s">
        <v>48</v>
      </c>
      <c r="E193" s="19" t="str">
        <f>VLOOKUP(D193,'لیست پرسنل'!$B$2:$E$1020,3,FALSE)</f>
        <v>فکورصنعت</v>
      </c>
      <c r="F193" s="19" t="str">
        <f>VLOOKUP(D193,'لیست پرسنل'!$B$2:$E$1020,4,FALSE)</f>
        <v>سرپرست آی تی</v>
      </c>
      <c r="G193" s="127">
        <f>VLOOKUP(D193,'لیست پرسنل'!$B$2:$F$1020,2,FALSE)</f>
        <v>2210</v>
      </c>
      <c r="H193" s="126" t="s">
        <v>4290</v>
      </c>
      <c r="I193" s="128"/>
      <c r="J193" s="128" t="s">
        <v>1967</v>
      </c>
      <c r="K193" s="128" t="s">
        <v>2814</v>
      </c>
      <c r="L193" s="128"/>
      <c r="M193" s="128">
        <v>615560</v>
      </c>
      <c r="N193" s="108"/>
      <c r="O193" s="20"/>
      <c r="P193" s="20"/>
      <c r="Q193" s="20"/>
    </row>
    <row r="194" spans="1:17" ht="24.9" customHeight="1">
      <c r="A194" s="20">
        <v>362</v>
      </c>
      <c r="B194" s="20" t="s">
        <v>4345</v>
      </c>
      <c r="C194" s="20"/>
      <c r="D194" s="20" t="s">
        <v>48</v>
      </c>
      <c r="E194" s="19" t="str">
        <f>VLOOKUP(D194,'لیست پرسنل'!$B$2:$E$1020,3,FALSE)</f>
        <v>فکورصنعت</v>
      </c>
      <c r="F194" s="19" t="str">
        <f>VLOOKUP(D194,'لیست پرسنل'!$B$2:$E$1020,4,FALSE)</f>
        <v>سرپرست آی تی</v>
      </c>
      <c r="G194" s="127">
        <f>VLOOKUP(D194,'لیست پرسنل'!$B$2:$F$1020,2,FALSE)</f>
        <v>2210</v>
      </c>
      <c r="H194" s="126" t="s">
        <v>4290</v>
      </c>
      <c r="I194" s="128"/>
      <c r="J194" s="128" t="s">
        <v>1967</v>
      </c>
      <c r="K194" s="128" t="s">
        <v>2757</v>
      </c>
      <c r="L194" s="128"/>
      <c r="M194" s="128">
        <v>615561</v>
      </c>
      <c r="N194" s="108"/>
      <c r="O194" s="20"/>
      <c r="P194" s="20"/>
      <c r="Q194" s="20"/>
    </row>
    <row r="195" spans="1:17" ht="24.9" customHeight="1">
      <c r="A195" s="20">
        <v>362</v>
      </c>
      <c r="B195" s="20" t="s">
        <v>4345</v>
      </c>
      <c r="C195" s="20"/>
      <c r="D195" s="20" t="s">
        <v>48</v>
      </c>
      <c r="E195" s="19" t="str">
        <f>VLOOKUP(D195,'لیست پرسنل'!$B$2:$E$1020,3,FALSE)</f>
        <v>فکورصنعت</v>
      </c>
      <c r="F195" s="19" t="str">
        <f>VLOOKUP(D195,'لیست پرسنل'!$B$2:$E$1020,4,FALSE)</f>
        <v>سرپرست آی تی</v>
      </c>
      <c r="G195" s="127">
        <f>VLOOKUP(D195,'لیست پرسنل'!$B$2:$F$1020,2,FALSE)</f>
        <v>2210</v>
      </c>
      <c r="H195" s="126" t="s">
        <v>4290</v>
      </c>
      <c r="I195" s="128"/>
      <c r="J195" s="128" t="s">
        <v>1967</v>
      </c>
      <c r="K195" s="128" t="s">
        <v>2757</v>
      </c>
      <c r="L195" s="128"/>
      <c r="M195" s="128">
        <v>615562</v>
      </c>
      <c r="N195" s="108"/>
      <c r="O195" s="20"/>
      <c r="P195" s="20"/>
      <c r="Q195" s="20"/>
    </row>
    <row r="196" spans="1:17" ht="24.9" customHeight="1">
      <c r="A196" s="20">
        <v>362</v>
      </c>
      <c r="B196" s="20" t="s">
        <v>4345</v>
      </c>
      <c r="C196" s="20"/>
      <c r="D196" s="20" t="s">
        <v>48</v>
      </c>
      <c r="E196" s="19" t="str">
        <f>VLOOKUP(D196,'لیست پرسنل'!$B$2:$E$1020,3,FALSE)</f>
        <v>فکورصنعت</v>
      </c>
      <c r="F196" s="19" t="str">
        <f>VLOOKUP(D196,'لیست پرسنل'!$B$2:$E$1020,4,FALSE)</f>
        <v>سرپرست آی تی</v>
      </c>
      <c r="G196" s="127">
        <f>VLOOKUP(D196,'لیست پرسنل'!$B$2:$F$1020,2,FALSE)</f>
        <v>2210</v>
      </c>
      <c r="H196" s="126" t="s">
        <v>4290</v>
      </c>
      <c r="I196" s="128"/>
      <c r="J196" s="128" t="s">
        <v>1967</v>
      </c>
      <c r="K196" s="128" t="s">
        <v>2792</v>
      </c>
      <c r="L196" s="128" t="s">
        <v>2805</v>
      </c>
      <c r="M196" s="128">
        <v>615564</v>
      </c>
      <c r="N196" s="108" t="s">
        <v>2796</v>
      </c>
      <c r="O196" s="20"/>
      <c r="P196" s="20"/>
      <c r="Q196" s="20"/>
    </row>
    <row r="197" spans="1:17" ht="24.9" customHeight="1">
      <c r="A197" s="20">
        <v>362</v>
      </c>
      <c r="B197" s="20" t="s">
        <v>4345</v>
      </c>
      <c r="C197" s="20"/>
      <c r="D197" s="20" t="s">
        <v>48</v>
      </c>
      <c r="E197" s="19" t="str">
        <f>VLOOKUP(D197,'لیست پرسنل'!$B$2:$E$1020,3,FALSE)</f>
        <v>فکورصنعت</v>
      </c>
      <c r="F197" s="19" t="str">
        <f>VLOOKUP(D197,'لیست پرسنل'!$B$2:$E$1020,4,FALSE)</f>
        <v>سرپرست آی تی</v>
      </c>
      <c r="G197" s="127">
        <f>VLOOKUP(D197,'لیست پرسنل'!$B$2:$F$1020,2,FALSE)</f>
        <v>2210</v>
      </c>
      <c r="H197" s="126" t="s">
        <v>4290</v>
      </c>
      <c r="I197" s="128"/>
      <c r="J197" s="128" t="s">
        <v>1967</v>
      </c>
      <c r="K197" s="128" t="s">
        <v>2757</v>
      </c>
      <c r="L197" s="128"/>
      <c r="M197" s="128">
        <v>615566</v>
      </c>
      <c r="N197" s="108"/>
      <c r="O197" s="20"/>
      <c r="P197" s="20"/>
      <c r="Q197" s="20"/>
    </row>
    <row r="198" spans="1:17" ht="24.9" customHeight="1">
      <c r="A198" s="20">
        <v>362</v>
      </c>
      <c r="B198" s="20" t="s">
        <v>4345</v>
      </c>
      <c r="C198" s="20"/>
      <c r="D198" s="20" t="s">
        <v>48</v>
      </c>
      <c r="E198" s="19" t="str">
        <f>VLOOKUP(D198,'لیست پرسنل'!$B$2:$E$1020,3,FALSE)</f>
        <v>فکورصنعت</v>
      </c>
      <c r="F198" s="19" t="str">
        <f>VLOOKUP(D198,'لیست پرسنل'!$B$2:$E$1020,4,FALSE)</f>
        <v>سرپرست آی تی</v>
      </c>
      <c r="G198" s="127">
        <f>VLOOKUP(D198,'لیست پرسنل'!$B$2:$F$1020,2,FALSE)</f>
        <v>2210</v>
      </c>
      <c r="H198" s="126" t="s">
        <v>4290</v>
      </c>
      <c r="I198" s="128"/>
      <c r="J198" s="128" t="s">
        <v>1967</v>
      </c>
      <c r="K198" s="128" t="s">
        <v>2757</v>
      </c>
      <c r="L198" s="128"/>
      <c r="M198" s="128">
        <v>615567</v>
      </c>
      <c r="N198" s="112"/>
      <c r="O198" s="20"/>
      <c r="P198" s="20"/>
      <c r="Q198" s="20"/>
    </row>
    <row r="199" spans="1:17" ht="24.9" customHeight="1">
      <c r="A199" s="20">
        <v>362</v>
      </c>
      <c r="B199" s="20" t="s">
        <v>4345</v>
      </c>
      <c r="C199" s="20"/>
      <c r="D199" s="20" t="s">
        <v>48</v>
      </c>
      <c r="E199" s="19" t="str">
        <f>VLOOKUP(D199,'لیست پرسنل'!$B$2:$E$1020,3,FALSE)</f>
        <v>فکورصنعت</v>
      </c>
      <c r="F199" s="19" t="str">
        <f>VLOOKUP(D199,'لیست پرسنل'!$B$2:$E$1020,4,FALSE)</f>
        <v>سرپرست آی تی</v>
      </c>
      <c r="G199" s="127">
        <f>VLOOKUP(D199,'لیست پرسنل'!$B$2:$F$1020,2,FALSE)</f>
        <v>2210</v>
      </c>
      <c r="H199" s="126" t="s">
        <v>4290</v>
      </c>
      <c r="I199" s="128"/>
      <c r="J199" s="128" t="s">
        <v>1967</v>
      </c>
      <c r="K199" s="128" t="s">
        <v>2757</v>
      </c>
      <c r="L199" s="127" t="s">
        <v>1796</v>
      </c>
      <c r="M199" s="128">
        <v>615568</v>
      </c>
      <c r="N199" s="108"/>
      <c r="O199" s="20"/>
      <c r="P199" s="20"/>
      <c r="Q199" s="20"/>
    </row>
    <row r="200" spans="1:17" ht="24.9" customHeight="1">
      <c r="A200" s="20">
        <v>362</v>
      </c>
      <c r="B200" s="20" t="s">
        <v>4345</v>
      </c>
      <c r="C200" s="20"/>
      <c r="D200" s="20" t="s">
        <v>48</v>
      </c>
      <c r="E200" s="19" t="str">
        <f>VLOOKUP(D200,'لیست پرسنل'!$B$2:$E$1020,3,FALSE)</f>
        <v>فکورصنعت</v>
      </c>
      <c r="F200" s="19" t="str">
        <f>VLOOKUP(D200,'لیست پرسنل'!$B$2:$E$1020,4,FALSE)</f>
        <v>سرپرست آی تی</v>
      </c>
      <c r="G200" s="127">
        <f>VLOOKUP(D200,'لیست پرسنل'!$B$2:$F$1020,2,FALSE)</f>
        <v>2210</v>
      </c>
      <c r="H200" s="126" t="s">
        <v>4290</v>
      </c>
      <c r="I200" s="128"/>
      <c r="J200" s="128" t="s">
        <v>1967</v>
      </c>
      <c r="K200" s="128" t="s">
        <v>2757</v>
      </c>
      <c r="L200" s="128"/>
      <c r="M200" s="128">
        <v>615569</v>
      </c>
      <c r="N200" s="108"/>
      <c r="O200" s="20"/>
      <c r="P200" s="20"/>
      <c r="Q200" s="20"/>
    </row>
    <row r="201" spans="1:17" ht="24.9" customHeight="1">
      <c r="A201" s="20">
        <v>362</v>
      </c>
      <c r="B201" s="20" t="s">
        <v>4345</v>
      </c>
      <c r="C201" s="20"/>
      <c r="D201" s="20" t="s">
        <v>48</v>
      </c>
      <c r="E201" s="19" t="str">
        <f>VLOOKUP(D201,'لیست پرسنل'!$B$2:$E$1020,3,FALSE)</f>
        <v>فکورصنعت</v>
      </c>
      <c r="F201" s="19" t="str">
        <f>VLOOKUP(D201,'لیست پرسنل'!$B$2:$E$1020,4,FALSE)</f>
        <v>سرپرست آی تی</v>
      </c>
      <c r="G201" s="127">
        <f>VLOOKUP(D201,'لیست پرسنل'!$B$2:$F$1020,2,FALSE)</f>
        <v>2210</v>
      </c>
      <c r="H201" s="126" t="s">
        <v>4290</v>
      </c>
      <c r="I201" s="128"/>
      <c r="J201" s="128" t="s">
        <v>1967</v>
      </c>
      <c r="K201" s="128" t="s">
        <v>2813</v>
      </c>
      <c r="L201" s="127" t="s">
        <v>1813</v>
      </c>
      <c r="M201" s="128">
        <v>623611</v>
      </c>
      <c r="N201" s="108"/>
      <c r="O201" s="20" t="s">
        <v>5294</v>
      </c>
      <c r="P201" s="20"/>
      <c r="Q201" s="20"/>
    </row>
    <row r="202" spans="1:17" ht="24.9" customHeight="1">
      <c r="A202" s="20">
        <v>362</v>
      </c>
      <c r="B202" s="20" t="s">
        <v>4345</v>
      </c>
      <c r="C202" s="20"/>
      <c r="D202" s="20" t="s">
        <v>48</v>
      </c>
      <c r="E202" s="19" t="str">
        <f>VLOOKUP(D202,'لیست پرسنل'!$B$2:$E$1020,3,FALSE)</f>
        <v>فکورصنعت</v>
      </c>
      <c r="F202" s="19" t="str">
        <f>VLOOKUP(D202,'لیست پرسنل'!$B$2:$E$1020,4,FALSE)</f>
        <v>سرپرست آی تی</v>
      </c>
      <c r="G202" s="127">
        <f>VLOOKUP(D202,'لیست پرسنل'!$B$2:$F$1020,2,FALSE)</f>
        <v>2210</v>
      </c>
      <c r="H202" s="126" t="s">
        <v>4290</v>
      </c>
      <c r="I202" s="128"/>
      <c r="J202" s="128" t="s">
        <v>1967</v>
      </c>
      <c r="K202" s="128" t="s">
        <v>2809</v>
      </c>
      <c r="L202" s="128"/>
      <c r="M202" s="128">
        <v>623612</v>
      </c>
      <c r="N202" s="108"/>
      <c r="O202" s="20"/>
      <c r="P202" s="20"/>
      <c r="Q202" s="20"/>
    </row>
    <row r="203" spans="1:17" ht="24.9" customHeight="1">
      <c r="A203" s="20">
        <v>362</v>
      </c>
      <c r="B203" s="20" t="s">
        <v>4345</v>
      </c>
      <c r="C203" s="20"/>
      <c r="D203" s="20" t="s">
        <v>48</v>
      </c>
      <c r="E203" s="19" t="str">
        <f>VLOOKUP(D203,'لیست پرسنل'!$B$2:$E$1020,3,FALSE)</f>
        <v>فکورصنعت</v>
      </c>
      <c r="F203" s="19" t="str">
        <f>VLOOKUP(D203,'لیست پرسنل'!$B$2:$E$1020,4,FALSE)</f>
        <v>سرپرست آی تی</v>
      </c>
      <c r="G203" s="127">
        <f>VLOOKUP(D203,'لیست پرسنل'!$B$2:$F$1020,2,FALSE)</f>
        <v>2210</v>
      </c>
      <c r="H203" s="126" t="s">
        <v>4290</v>
      </c>
      <c r="I203" s="128"/>
      <c r="J203" s="128" t="s">
        <v>1967</v>
      </c>
      <c r="K203" s="128" t="s">
        <v>652</v>
      </c>
      <c r="L203" s="150" t="s">
        <v>4315</v>
      </c>
      <c r="M203" s="128" t="s">
        <v>291</v>
      </c>
      <c r="N203" s="108"/>
      <c r="O203" s="20"/>
      <c r="P203" s="20"/>
      <c r="Q203" s="20"/>
    </row>
    <row r="204" spans="1:17" ht="24.9" customHeight="1">
      <c r="A204" s="20">
        <v>362</v>
      </c>
      <c r="B204" s="20" t="s">
        <v>4345</v>
      </c>
      <c r="C204" s="20"/>
      <c r="D204" s="20" t="s">
        <v>48</v>
      </c>
      <c r="E204" s="19" t="str">
        <f>VLOOKUP(D204,'لیست پرسنل'!$B$2:$E$1020,3,FALSE)</f>
        <v>فکورصنعت</v>
      </c>
      <c r="F204" s="19" t="str">
        <f>VLOOKUP(D204,'لیست پرسنل'!$B$2:$E$1020,4,FALSE)</f>
        <v>سرپرست آی تی</v>
      </c>
      <c r="G204" s="127">
        <f>VLOOKUP(D204,'لیست پرسنل'!$B$2:$F$1020,2,FALSE)</f>
        <v>2210</v>
      </c>
      <c r="H204" s="126" t="s">
        <v>4290</v>
      </c>
      <c r="I204" s="128"/>
      <c r="J204" s="128" t="s">
        <v>1967</v>
      </c>
      <c r="K204" s="128" t="s">
        <v>652</v>
      </c>
      <c r="L204" s="150" t="s">
        <v>4315</v>
      </c>
      <c r="M204" s="128" t="s">
        <v>291</v>
      </c>
      <c r="N204" s="108"/>
      <c r="O204" s="20"/>
      <c r="P204" s="20"/>
      <c r="Q204" s="20"/>
    </row>
    <row r="205" spans="1:17" ht="24.9" customHeight="1">
      <c r="A205" s="20">
        <v>362</v>
      </c>
      <c r="B205" s="20" t="s">
        <v>4345</v>
      </c>
      <c r="C205" s="20"/>
      <c r="D205" s="20" t="s">
        <v>48</v>
      </c>
      <c r="E205" s="19" t="str">
        <f>VLOOKUP(D205,'لیست پرسنل'!$B$2:$E$1020,3,FALSE)</f>
        <v>فکورصنعت</v>
      </c>
      <c r="F205" s="19" t="str">
        <f>VLOOKUP(D205,'لیست پرسنل'!$B$2:$E$1020,4,FALSE)</f>
        <v>سرپرست آی تی</v>
      </c>
      <c r="G205" s="127">
        <f>VLOOKUP(D205,'لیست پرسنل'!$B$2:$F$1020,2,FALSE)</f>
        <v>2210</v>
      </c>
      <c r="H205" s="126" t="s">
        <v>4290</v>
      </c>
      <c r="I205" s="128"/>
      <c r="J205" s="128" t="s">
        <v>1967</v>
      </c>
      <c r="K205" s="128" t="s">
        <v>652</v>
      </c>
      <c r="L205" s="150" t="s">
        <v>4315</v>
      </c>
      <c r="M205" s="128" t="s">
        <v>291</v>
      </c>
      <c r="N205" s="108"/>
      <c r="O205" s="20"/>
      <c r="P205" s="20"/>
      <c r="Q205" s="20"/>
    </row>
    <row r="206" spans="1:17" ht="24.9" customHeight="1">
      <c r="A206" s="20">
        <v>362</v>
      </c>
      <c r="B206" s="20" t="s">
        <v>4345</v>
      </c>
      <c r="C206" s="20"/>
      <c r="D206" s="20" t="s">
        <v>48</v>
      </c>
      <c r="E206" s="19" t="str">
        <f>VLOOKUP(D206,'لیست پرسنل'!$B$2:$E$1020,3,FALSE)</f>
        <v>فکورصنعت</v>
      </c>
      <c r="F206" s="19" t="str">
        <f>VLOOKUP(D206,'لیست پرسنل'!$B$2:$E$1020,4,FALSE)</f>
        <v>سرپرست آی تی</v>
      </c>
      <c r="G206" s="127">
        <f>VLOOKUP(D206,'لیست پرسنل'!$B$2:$F$1020,2,FALSE)</f>
        <v>2210</v>
      </c>
      <c r="H206" s="126" t="s">
        <v>4290</v>
      </c>
      <c r="I206" s="128"/>
      <c r="J206" s="128" t="s">
        <v>1967</v>
      </c>
      <c r="K206" s="128" t="s">
        <v>652</v>
      </c>
      <c r="L206" s="150" t="s">
        <v>4315</v>
      </c>
      <c r="M206" s="128" t="s">
        <v>291</v>
      </c>
      <c r="N206" s="108"/>
      <c r="O206" s="20"/>
      <c r="P206" s="20"/>
      <c r="Q206" s="20"/>
    </row>
    <row r="207" spans="1:17" ht="24.9" customHeight="1">
      <c r="A207" s="20">
        <v>362</v>
      </c>
      <c r="B207" s="20" t="s">
        <v>4345</v>
      </c>
      <c r="C207" s="20"/>
      <c r="D207" s="20" t="s">
        <v>48</v>
      </c>
      <c r="E207" s="19" t="str">
        <f>VLOOKUP(D207,'لیست پرسنل'!$B$2:$E$1020,3,FALSE)</f>
        <v>فکورصنعت</v>
      </c>
      <c r="F207" s="19" t="str">
        <f>VLOOKUP(D207,'لیست پرسنل'!$B$2:$E$1020,4,FALSE)</f>
        <v>سرپرست آی تی</v>
      </c>
      <c r="G207" s="127">
        <f>VLOOKUP(D207,'لیست پرسنل'!$B$2:$F$1020,2,FALSE)</f>
        <v>2210</v>
      </c>
      <c r="H207" s="126" t="s">
        <v>4290</v>
      </c>
      <c r="I207" s="128"/>
      <c r="J207" s="128" t="s">
        <v>1967</v>
      </c>
      <c r="K207" s="128" t="s">
        <v>652</v>
      </c>
      <c r="L207" s="150" t="s">
        <v>4315</v>
      </c>
      <c r="M207" s="128" t="s">
        <v>291</v>
      </c>
      <c r="N207" s="108"/>
      <c r="O207" s="20"/>
      <c r="P207" s="20"/>
      <c r="Q207" s="20"/>
    </row>
    <row r="208" spans="1:17" ht="24.9" customHeight="1">
      <c r="A208" s="20">
        <v>362</v>
      </c>
      <c r="B208" s="20" t="s">
        <v>4345</v>
      </c>
      <c r="C208" s="20"/>
      <c r="D208" s="20" t="s">
        <v>48</v>
      </c>
      <c r="E208" s="19" t="str">
        <f>VLOOKUP(D208,'لیست پرسنل'!$B$2:$E$1020,3,FALSE)</f>
        <v>فکورصنعت</v>
      </c>
      <c r="F208" s="19" t="str">
        <f>VLOOKUP(D208,'لیست پرسنل'!$B$2:$E$1020,4,FALSE)</f>
        <v>سرپرست آی تی</v>
      </c>
      <c r="G208" s="127">
        <f>VLOOKUP(D208,'لیست پرسنل'!$B$2:$F$1020,2,FALSE)</f>
        <v>2210</v>
      </c>
      <c r="H208" s="126" t="s">
        <v>4290</v>
      </c>
      <c r="I208" s="128"/>
      <c r="J208" s="128" t="s">
        <v>1967</v>
      </c>
      <c r="K208" s="128" t="s">
        <v>652</v>
      </c>
      <c r="L208" s="150" t="s">
        <v>4315</v>
      </c>
      <c r="M208" s="128" t="s">
        <v>291</v>
      </c>
      <c r="N208" s="108"/>
      <c r="O208" s="20"/>
      <c r="P208" s="20"/>
      <c r="Q208" s="20"/>
    </row>
    <row r="209" spans="1:17" ht="24.9" customHeight="1">
      <c r="A209" s="20">
        <v>362</v>
      </c>
      <c r="B209" s="20" t="s">
        <v>4345</v>
      </c>
      <c r="C209" s="20"/>
      <c r="D209" s="20" t="s">
        <v>48</v>
      </c>
      <c r="E209" s="19" t="str">
        <f>VLOOKUP(D209,'لیست پرسنل'!$B$2:$E$1020,3,FALSE)</f>
        <v>فکورصنعت</v>
      </c>
      <c r="F209" s="19" t="str">
        <f>VLOOKUP(D209,'لیست پرسنل'!$B$2:$E$1020,4,FALSE)</f>
        <v>سرپرست آی تی</v>
      </c>
      <c r="G209" s="127">
        <f>VLOOKUP(D209,'لیست پرسنل'!$B$2:$F$1020,2,FALSE)</f>
        <v>2210</v>
      </c>
      <c r="H209" s="126" t="s">
        <v>4290</v>
      </c>
      <c r="I209" s="128"/>
      <c r="J209" s="128" t="s">
        <v>1967</v>
      </c>
      <c r="K209" s="128" t="s">
        <v>600</v>
      </c>
      <c r="L209" s="150"/>
      <c r="M209" s="128" t="s">
        <v>291</v>
      </c>
      <c r="N209" s="108"/>
      <c r="O209" s="20" t="s">
        <v>611</v>
      </c>
      <c r="P209" s="20"/>
      <c r="Q209" s="20"/>
    </row>
    <row r="210" spans="1:17" ht="24.9" customHeight="1">
      <c r="A210" s="20">
        <v>362</v>
      </c>
      <c r="B210" s="20" t="s">
        <v>4345</v>
      </c>
      <c r="C210" s="20"/>
      <c r="D210" s="20" t="s">
        <v>48</v>
      </c>
      <c r="E210" s="19" t="str">
        <f>VLOOKUP(D210,'لیست پرسنل'!$B$2:$E$1020,3,FALSE)</f>
        <v>فکورصنعت</v>
      </c>
      <c r="F210" s="19" t="str">
        <f>VLOOKUP(D210,'لیست پرسنل'!$B$2:$E$1020,4,FALSE)</f>
        <v>سرپرست آی تی</v>
      </c>
      <c r="G210" s="127">
        <f>VLOOKUP(D210,'لیست پرسنل'!$B$2:$F$1020,2,FALSE)</f>
        <v>2210</v>
      </c>
      <c r="H210" s="128" t="s">
        <v>4290</v>
      </c>
      <c r="I210" s="128"/>
      <c r="J210" s="127" t="s">
        <v>1967</v>
      </c>
      <c r="K210" s="127" t="s">
        <v>1005</v>
      </c>
      <c r="L210" s="127" t="s">
        <v>1006</v>
      </c>
      <c r="M210" s="128" t="s">
        <v>291</v>
      </c>
      <c r="N210" s="109"/>
      <c r="O210" s="19"/>
      <c r="P210" s="20"/>
      <c r="Q210" s="20"/>
    </row>
    <row r="211" spans="1:17" ht="24.9" customHeight="1">
      <c r="A211" s="20">
        <v>362</v>
      </c>
      <c r="B211" s="20" t="s">
        <v>4345</v>
      </c>
      <c r="C211" s="20"/>
      <c r="D211" s="19" t="s">
        <v>48</v>
      </c>
      <c r="E211" s="19" t="str">
        <f>VLOOKUP(D211,'لیست پرسنل'!$B$2:$E$1020,3,FALSE)</f>
        <v>فکورصنعت</v>
      </c>
      <c r="F211" s="19" t="str">
        <f>VLOOKUP(D211,'لیست پرسنل'!$B$2:$E$1020,4,FALSE)</f>
        <v>سرپرست آی تی</v>
      </c>
      <c r="G211" s="127">
        <f>VLOOKUP(D211,'لیست پرسنل'!$B$2:$F$1020,2,FALSE)</f>
        <v>2210</v>
      </c>
      <c r="H211" s="128" t="s">
        <v>4290</v>
      </c>
      <c r="I211" s="128"/>
      <c r="J211" s="127" t="s">
        <v>1967</v>
      </c>
      <c r="K211" s="128" t="s">
        <v>661</v>
      </c>
      <c r="L211" s="128"/>
      <c r="M211" s="128" t="s">
        <v>291</v>
      </c>
      <c r="N211" s="108"/>
      <c r="O211" s="20" t="s">
        <v>5048</v>
      </c>
      <c r="P211" s="20"/>
      <c r="Q211" s="20"/>
    </row>
    <row r="212" spans="1:17" ht="24.9" customHeight="1">
      <c r="A212" s="20">
        <v>362</v>
      </c>
      <c r="B212" s="20" t="s">
        <v>4345</v>
      </c>
      <c r="C212" s="20"/>
      <c r="D212" s="20" t="s">
        <v>48</v>
      </c>
      <c r="E212" s="19" t="str">
        <f>VLOOKUP(D212,'لیست پرسنل'!$B$2:$E$1020,3,FALSE)</f>
        <v>فکورصنعت</v>
      </c>
      <c r="F212" s="19" t="str">
        <f>VLOOKUP(D212,'لیست پرسنل'!$B$2:$E$1020,4,FALSE)</f>
        <v>سرپرست آی تی</v>
      </c>
      <c r="G212" s="127">
        <f>VLOOKUP(D212,'لیست پرسنل'!$B$2:$F$1020,2,FALSE)</f>
        <v>2210</v>
      </c>
      <c r="H212" s="126" t="s">
        <v>4290</v>
      </c>
      <c r="I212" s="128"/>
      <c r="J212" s="128" t="s">
        <v>1967</v>
      </c>
      <c r="K212" s="128" t="s">
        <v>1767</v>
      </c>
      <c r="L212" s="150" t="s">
        <v>2667</v>
      </c>
      <c r="M212" s="128" t="s">
        <v>291</v>
      </c>
      <c r="N212" s="108"/>
      <c r="O212" s="20"/>
      <c r="P212" s="20"/>
      <c r="Q212" s="20"/>
    </row>
    <row r="213" spans="1:17" ht="24.9" customHeight="1">
      <c r="A213" s="20">
        <v>362</v>
      </c>
      <c r="B213" s="20" t="s">
        <v>4345</v>
      </c>
      <c r="C213" s="20"/>
      <c r="D213" s="20" t="s">
        <v>48</v>
      </c>
      <c r="E213" s="19" t="str">
        <f>VLOOKUP(D213,'لیست پرسنل'!$B$2:$E$1020,3,FALSE)</f>
        <v>فکورصنعت</v>
      </c>
      <c r="F213" s="19" t="str">
        <f>VLOOKUP(D213,'لیست پرسنل'!$B$2:$E$1020,4,FALSE)</f>
        <v>سرپرست آی تی</v>
      </c>
      <c r="G213" s="127">
        <f>VLOOKUP(D213,'لیست پرسنل'!$B$2:$F$1020,2,FALSE)</f>
        <v>2210</v>
      </c>
      <c r="H213" s="126" t="s">
        <v>4290</v>
      </c>
      <c r="I213" s="128"/>
      <c r="J213" s="128" t="s">
        <v>1967</v>
      </c>
      <c r="K213" s="128" t="s">
        <v>2661</v>
      </c>
      <c r="L213" s="150" t="s">
        <v>1645</v>
      </c>
      <c r="M213" s="128" t="s">
        <v>291</v>
      </c>
      <c r="N213" s="108"/>
      <c r="O213" s="20"/>
      <c r="P213" s="20"/>
      <c r="Q213" s="20"/>
    </row>
    <row r="214" spans="1:17" ht="24.9" customHeight="1">
      <c r="A214" s="20">
        <v>362</v>
      </c>
      <c r="B214" s="20" t="s">
        <v>4345</v>
      </c>
      <c r="C214" s="20"/>
      <c r="D214" s="20" t="s">
        <v>48</v>
      </c>
      <c r="E214" s="19" t="str">
        <f>VLOOKUP(D214,'لیست پرسنل'!$B$2:$E$1020,3,FALSE)</f>
        <v>فکورصنعت</v>
      </c>
      <c r="F214" s="19" t="str">
        <f>VLOOKUP(D214,'لیست پرسنل'!$B$2:$E$1020,4,FALSE)</f>
        <v>سرپرست آی تی</v>
      </c>
      <c r="G214" s="127">
        <f>VLOOKUP(D214,'لیست پرسنل'!$B$2:$F$1020,2,FALSE)</f>
        <v>2210</v>
      </c>
      <c r="H214" s="126" t="s">
        <v>4290</v>
      </c>
      <c r="I214" s="128"/>
      <c r="J214" s="128" t="s">
        <v>1967</v>
      </c>
      <c r="K214" s="128" t="s">
        <v>2661</v>
      </c>
      <c r="L214" s="150" t="s">
        <v>2662</v>
      </c>
      <c r="M214" s="128" t="s">
        <v>291</v>
      </c>
      <c r="N214" s="108"/>
      <c r="O214" s="20"/>
      <c r="P214" s="20"/>
      <c r="Q214" s="20"/>
    </row>
    <row r="215" spans="1:17" ht="24.9" customHeight="1">
      <c r="A215" s="20">
        <v>362</v>
      </c>
      <c r="B215" s="20" t="s">
        <v>4345</v>
      </c>
      <c r="C215" s="20"/>
      <c r="D215" s="20" t="s">
        <v>48</v>
      </c>
      <c r="E215" s="19" t="str">
        <f>VLOOKUP(D215,'لیست پرسنل'!$B$2:$E$1020,3,FALSE)</f>
        <v>فکورصنعت</v>
      </c>
      <c r="F215" s="19" t="str">
        <f>VLOOKUP(D215,'لیست پرسنل'!$B$2:$E$1020,4,FALSE)</f>
        <v>سرپرست آی تی</v>
      </c>
      <c r="G215" s="127">
        <f>VLOOKUP(D215,'لیست پرسنل'!$B$2:$F$1020,2,FALSE)</f>
        <v>2210</v>
      </c>
      <c r="H215" s="126" t="s">
        <v>4290</v>
      </c>
      <c r="I215" s="128"/>
      <c r="J215" s="128" t="s">
        <v>1967</v>
      </c>
      <c r="K215" s="128" t="s">
        <v>2661</v>
      </c>
      <c r="L215" s="150" t="s">
        <v>703</v>
      </c>
      <c r="M215" s="128" t="s">
        <v>291</v>
      </c>
      <c r="N215" s="108"/>
      <c r="O215" s="20"/>
      <c r="P215" s="20"/>
      <c r="Q215" s="20"/>
    </row>
    <row r="216" spans="1:17" ht="24.9" customHeight="1">
      <c r="A216" s="20">
        <v>362</v>
      </c>
      <c r="B216" s="20" t="s">
        <v>4345</v>
      </c>
      <c r="C216" s="20"/>
      <c r="D216" s="20" t="s">
        <v>48</v>
      </c>
      <c r="E216" s="19" t="str">
        <f>VLOOKUP(D216,'لیست پرسنل'!$B$2:$E$1020,3,FALSE)</f>
        <v>فکورصنعت</v>
      </c>
      <c r="F216" s="19" t="str">
        <f>VLOOKUP(D216,'لیست پرسنل'!$B$2:$E$1020,4,FALSE)</f>
        <v>سرپرست آی تی</v>
      </c>
      <c r="G216" s="127">
        <f>VLOOKUP(D216,'لیست پرسنل'!$B$2:$F$1020,2,FALSE)</f>
        <v>2210</v>
      </c>
      <c r="H216" s="126" t="s">
        <v>4290</v>
      </c>
      <c r="I216" s="128"/>
      <c r="J216" s="128" t="s">
        <v>1967</v>
      </c>
      <c r="K216" s="128" t="s">
        <v>648</v>
      </c>
      <c r="L216" s="127" t="s">
        <v>1589</v>
      </c>
      <c r="M216" s="128" t="s">
        <v>291</v>
      </c>
      <c r="N216" s="108"/>
      <c r="O216" s="20"/>
      <c r="P216" s="20"/>
      <c r="Q216" s="20"/>
    </row>
    <row r="217" spans="1:17" ht="24.9" customHeight="1">
      <c r="A217" s="20">
        <v>362</v>
      </c>
      <c r="B217" s="20" t="s">
        <v>4345</v>
      </c>
      <c r="C217" s="20"/>
      <c r="D217" s="20" t="s">
        <v>48</v>
      </c>
      <c r="E217" s="19" t="str">
        <f>VLOOKUP(D217,'لیست پرسنل'!$B$2:$E$1020,3,FALSE)</f>
        <v>فکورصنعت</v>
      </c>
      <c r="F217" s="19" t="str">
        <f>VLOOKUP(D217,'لیست پرسنل'!$B$2:$E$1020,4,FALSE)</f>
        <v>سرپرست آی تی</v>
      </c>
      <c r="G217" s="127">
        <f>VLOOKUP(D217,'لیست پرسنل'!$B$2:$F$1020,2,FALSE)</f>
        <v>2210</v>
      </c>
      <c r="H217" s="126" t="s">
        <v>4290</v>
      </c>
      <c r="I217" s="128"/>
      <c r="J217" s="128" t="s">
        <v>1967</v>
      </c>
      <c r="K217" s="128" t="s">
        <v>2792</v>
      </c>
      <c r="L217" s="128" t="s">
        <v>2803</v>
      </c>
      <c r="M217" s="128" t="s">
        <v>291</v>
      </c>
      <c r="N217" s="108"/>
      <c r="O217" s="20"/>
      <c r="P217" s="20"/>
      <c r="Q217" s="20"/>
    </row>
    <row r="218" spans="1:17" ht="24.9" customHeight="1">
      <c r="A218" s="20">
        <v>362</v>
      </c>
      <c r="B218" s="20" t="s">
        <v>4345</v>
      </c>
      <c r="C218" s="20"/>
      <c r="D218" s="20" t="s">
        <v>48</v>
      </c>
      <c r="E218" s="19" t="str">
        <f>VLOOKUP(D218,'لیست پرسنل'!$B$2:$E$1020,3,FALSE)</f>
        <v>فکورصنعت</v>
      </c>
      <c r="F218" s="19" t="str">
        <f>VLOOKUP(D218,'لیست پرسنل'!$B$2:$E$1020,4,FALSE)</f>
        <v>سرپرست آی تی</v>
      </c>
      <c r="G218" s="127">
        <f>VLOOKUP(D218,'لیست پرسنل'!$B$2:$F$1020,2,FALSE)</f>
        <v>2210</v>
      </c>
      <c r="H218" s="126" t="s">
        <v>4290</v>
      </c>
      <c r="I218" s="128"/>
      <c r="J218" s="128" t="s">
        <v>1967</v>
      </c>
      <c r="K218" s="128" t="s">
        <v>2658</v>
      </c>
      <c r="L218" s="128" t="s">
        <v>2659</v>
      </c>
      <c r="M218" s="128" t="s">
        <v>291</v>
      </c>
      <c r="N218" s="108"/>
      <c r="O218" s="20"/>
      <c r="P218" s="20"/>
      <c r="Q218" s="20"/>
    </row>
    <row r="219" spans="1:17" ht="24.9" customHeight="1">
      <c r="A219" s="20">
        <v>362</v>
      </c>
      <c r="B219" s="20" t="s">
        <v>4345</v>
      </c>
      <c r="C219" s="20"/>
      <c r="D219" s="20" t="s">
        <v>48</v>
      </c>
      <c r="E219" s="19" t="str">
        <f>VLOOKUP(D219,'لیست پرسنل'!$B$2:$E$1020,3,FALSE)</f>
        <v>فکورصنعت</v>
      </c>
      <c r="F219" s="19" t="str">
        <f>VLOOKUP(D219,'لیست پرسنل'!$B$2:$E$1020,4,FALSE)</f>
        <v>سرپرست آی تی</v>
      </c>
      <c r="G219" s="127">
        <f>VLOOKUP(D219,'لیست پرسنل'!$B$2:$F$1020,2,FALSE)</f>
        <v>2210</v>
      </c>
      <c r="H219" s="126" t="s">
        <v>4290</v>
      </c>
      <c r="I219" s="128"/>
      <c r="J219" s="128" t="s">
        <v>1967</v>
      </c>
      <c r="K219" s="128" t="s">
        <v>1906</v>
      </c>
      <c r="L219" s="127" t="s">
        <v>2884</v>
      </c>
      <c r="M219" s="128" t="s">
        <v>291</v>
      </c>
      <c r="N219" s="108"/>
      <c r="O219" s="20"/>
      <c r="P219" s="20"/>
      <c r="Q219" s="20"/>
    </row>
    <row r="220" spans="1:17" ht="24.9" customHeight="1">
      <c r="A220" s="20">
        <v>362</v>
      </c>
      <c r="B220" s="20" t="s">
        <v>4345</v>
      </c>
      <c r="C220" s="20"/>
      <c r="D220" s="20" t="s">
        <v>48</v>
      </c>
      <c r="E220" s="19" t="str">
        <f>VLOOKUP(D220,'لیست پرسنل'!$B$2:$E$1020,3,FALSE)</f>
        <v>فکورصنعت</v>
      </c>
      <c r="F220" s="19" t="str">
        <f>VLOOKUP(D220,'لیست پرسنل'!$B$2:$E$1020,4,FALSE)</f>
        <v>سرپرست آی تی</v>
      </c>
      <c r="G220" s="127">
        <f>VLOOKUP(D220,'لیست پرسنل'!$B$2:$F$1020,2,FALSE)</f>
        <v>2210</v>
      </c>
      <c r="H220" s="126" t="s">
        <v>4290</v>
      </c>
      <c r="I220" s="128"/>
      <c r="J220" s="128" t="s">
        <v>1967</v>
      </c>
      <c r="K220" s="128" t="s">
        <v>2814</v>
      </c>
      <c r="L220" s="128" t="s">
        <v>2840</v>
      </c>
      <c r="M220" s="128" t="s">
        <v>291</v>
      </c>
      <c r="N220" s="108"/>
      <c r="O220" s="20"/>
      <c r="P220" s="20"/>
      <c r="Q220" s="20"/>
    </row>
    <row r="221" spans="1:17" ht="24.9" customHeight="1">
      <c r="A221" s="20">
        <v>362</v>
      </c>
      <c r="B221" s="20" t="s">
        <v>4345</v>
      </c>
      <c r="C221" s="20"/>
      <c r="D221" s="20" t="s">
        <v>48</v>
      </c>
      <c r="E221" s="19" t="str">
        <f>VLOOKUP(D221,'لیست پرسنل'!$B$2:$E$1020,3,FALSE)</f>
        <v>فکورصنعت</v>
      </c>
      <c r="F221" s="19" t="str">
        <f>VLOOKUP(D221,'لیست پرسنل'!$B$2:$E$1020,4,FALSE)</f>
        <v>سرپرست آی تی</v>
      </c>
      <c r="G221" s="127">
        <f>VLOOKUP(D221,'لیست پرسنل'!$B$2:$F$1020,2,FALSE)</f>
        <v>2210</v>
      </c>
      <c r="H221" s="126" t="s">
        <v>4290</v>
      </c>
      <c r="I221" s="128"/>
      <c r="J221" s="128" t="s">
        <v>1967</v>
      </c>
      <c r="K221" s="128" t="s">
        <v>2814</v>
      </c>
      <c r="L221" s="128" t="s">
        <v>2843</v>
      </c>
      <c r="M221" s="128" t="s">
        <v>291</v>
      </c>
      <c r="N221" s="108"/>
      <c r="O221" s="20"/>
      <c r="P221" s="20"/>
      <c r="Q221" s="20"/>
    </row>
    <row r="222" spans="1:17" ht="24.9" customHeight="1">
      <c r="A222" s="20">
        <v>362</v>
      </c>
      <c r="B222" s="20" t="s">
        <v>4345</v>
      </c>
      <c r="C222" s="20"/>
      <c r="D222" s="20" t="s">
        <v>48</v>
      </c>
      <c r="E222" s="19" t="str">
        <f>VLOOKUP(D222,'لیست پرسنل'!$B$2:$E$1020,3,FALSE)</f>
        <v>فکورصنعت</v>
      </c>
      <c r="F222" s="19" t="str">
        <f>VLOOKUP(D222,'لیست پرسنل'!$B$2:$E$1020,4,FALSE)</f>
        <v>سرپرست آی تی</v>
      </c>
      <c r="G222" s="127">
        <f>VLOOKUP(D222,'لیست پرسنل'!$B$2:$F$1020,2,FALSE)</f>
        <v>2210</v>
      </c>
      <c r="H222" s="126" t="s">
        <v>4290</v>
      </c>
      <c r="I222" s="128"/>
      <c r="J222" s="128" t="s">
        <v>1967</v>
      </c>
      <c r="K222" s="128" t="s">
        <v>2814</v>
      </c>
      <c r="L222" s="128" t="s">
        <v>2844</v>
      </c>
      <c r="M222" s="128" t="s">
        <v>291</v>
      </c>
      <c r="N222" s="108"/>
      <c r="O222" s="20"/>
      <c r="P222" s="20"/>
      <c r="Q222" s="20"/>
    </row>
    <row r="223" spans="1:17" ht="24.9" customHeight="1">
      <c r="A223" s="20">
        <v>362</v>
      </c>
      <c r="B223" s="20" t="s">
        <v>4345</v>
      </c>
      <c r="C223" s="20"/>
      <c r="D223" s="20" t="s">
        <v>48</v>
      </c>
      <c r="E223" s="19" t="str">
        <f>VLOOKUP(D223,'لیست پرسنل'!$B$2:$E$1020,3,FALSE)</f>
        <v>فکورصنعت</v>
      </c>
      <c r="F223" s="19" t="str">
        <f>VLOOKUP(D223,'لیست پرسنل'!$B$2:$E$1020,4,FALSE)</f>
        <v>سرپرست آی تی</v>
      </c>
      <c r="G223" s="127">
        <f>VLOOKUP(D223,'لیست پرسنل'!$B$2:$F$1020,2,FALSE)</f>
        <v>2210</v>
      </c>
      <c r="H223" s="126" t="s">
        <v>4290</v>
      </c>
      <c r="I223" s="128"/>
      <c r="J223" s="128" t="s">
        <v>1967</v>
      </c>
      <c r="K223" s="128" t="s">
        <v>2757</v>
      </c>
      <c r="L223" s="127" t="s">
        <v>692</v>
      </c>
      <c r="M223" s="128" t="s">
        <v>291</v>
      </c>
      <c r="N223" s="108"/>
      <c r="O223" s="20"/>
      <c r="P223" s="20"/>
      <c r="Q223" s="20"/>
    </row>
    <row r="224" spans="1:17" ht="24.9" customHeight="1">
      <c r="A224" s="20">
        <v>362</v>
      </c>
      <c r="B224" s="20" t="s">
        <v>4345</v>
      </c>
      <c r="C224" s="20"/>
      <c r="D224" s="20" t="s">
        <v>48</v>
      </c>
      <c r="E224" s="19" t="str">
        <f>VLOOKUP(D224,'لیست پرسنل'!$B$2:$E$1020,3,FALSE)</f>
        <v>فکورصنعت</v>
      </c>
      <c r="F224" s="19" t="str">
        <f>VLOOKUP(D224,'لیست پرسنل'!$B$2:$E$1020,4,FALSE)</f>
        <v>سرپرست آی تی</v>
      </c>
      <c r="G224" s="127">
        <f>VLOOKUP(D224,'لیست پرسنل'!$B$2:$F$1020,2,FALSE)</f>
        <v>2210</v>
      </c>
      <c r="H224" s="126" t="s">
        <v>4290</v>
      </c>
      <c r="I224" s="128"/>
      <c r="J224" s="128" t="s">
        <v>1967</v>
      </c>
      <c r="K224" s="128" t="s">
        <v>2757</v>
      </c>
      <c r="L224" s="128" t="s">
        <v>2797</v>
      </c>
      <c r="M224" s="128" t="s">
        <v>291</v>
      </c>
      <c r="N224" s="108"/>
      <c r="O224" s="20"/>
      <c r="P224" s="20"/>
      <c r="Q224" s="20"/>
    </row>
    <row r="225" spans="1:17" ht="24.9" customHeight="1">
      <c r="A225" s="20">
        <v>362</v>
      </c>
      <c r="B225" s="20" t="s">
        <v>4345</v>
      </c>
      <c r="C225" s="20"/>
      <c r="D225" s="20" t="s">
        <v>48</v>
      </c>
      <c r="E225" s="19" t="str">
        <f>VLOOKUP(D225,'لیست پرسنل'!$B$2:$E$1020,3,FALSE)</f>
        <v>فکورصنعت</v>
      </c>
      <c r="F225" s="19" t="str">
        <f>VLOOKUP(D225,'لیست پرسنل'!$B$2:$E$1020,4,FALSE)</f>
        <v>سرپرست آی تی</v>
      </c>
      <c r="G225" s="127">
        <f>VLOOKUP(D225,'لیست پرسنل'!$B$2:$F$1020,2,FALSE)</f>
        <v>2210</v>
      </c>
      <c r="H225" s="126" t="s">
        <v>4290</v>
      </c>
      <c r="I225" s="128"/>
      <c r="J225" s="128" t="s">
        <v>1967</v>
      </c>
      <c r="K225" s="128" t="s">
        <v>2757</v>
      </c>
      <c r="L225" s="128" t="s">
        <v>2798</v>
      </c>
      <c r="M225" s="128" t="s">
        <v>291</v>
      </c>
      <c r="N225" s="108"/>
      <c r="O225" s="20"/>
      <c r="P225" s="20"/>
      <c r="Q225" s="20"/>
    </row>
    <row r="226" spans="1:17" ht="24.9" customHeight="1">
      <c r="A226" s="20">
        <v>362</v>
      </c>
      <c r="B226" s="20" t="s">
        <v>4345</v>
      </c>
      <c r="C226" s="20"/>
      <c r="D226" s="20" t="s">
        <v>48</v>
      </c>
      <c r="E226" s="19" t="str">
        <f>VLOOKUP(D226,'لیست پرسنل'!$B$2:$E$1020,3,FALSE)</f>
        <v>فکورصنعت</v>
      </c>
      <c r="F226" s="19" t="str">
        <f>VLOOKUP(D226,'لیست پرسنل'!$B$2:$E$1020,4,FALSE)</f>
        <v>سرپرست آی تی</v>
      </c>
      <c r="G226" s="127">
        <f>VLOOKUP(D226,'لیست پرسنل'!$B$2:$F$1020,2,FALSE)</f>
        <v>2210</v>
      </c>
      <c r="H226" s="126" t="s">
        <v>4290</v>
      </c>
      <c r="I226" s="128"/>
      <c r="J226" s="128" t="s">
        <v>1967</v>
      </c>
      <c r="K226" s="128" t="s">
        <v>2757</v>
      </c>
      <c r="L226" s="128" t="s">
        <v>1642</v>
      </c>
      <c r="M226" s="128" t="s">
        <v>291</v>
      </c>
      <c r="N226" s="108"/>
      <c r="O226" s="20"/>
      <c r="P226" s="20"/>
      <c r="Q226" s="20"/>
    </row>
    <row r="227" spans="1:17" ht="24.9" customHeight="1">
      <c r="A227" s="20">
        <v>362</v>
      </c>
      <c r="B227" s="20" t="s">
        <v>4345</v>
      </c>
      <c r="C227" s="20"/>
      <c r="D227" s="20" t="s">
        <v>48</v>
      </c>
      <c r="E227" s="19" t="str">
        <f>VLOOKUP(D227,'لیست پرسنل'!$B$2:$E$1020,3,FALSE)</f>
        <v>فکورصنعت</v>
      </c>
      <c r="F227" s="19" t="str">
        <f>VLOOKUP(D227,'لیست پرسنل'!$B$2:$E$1020,4,FALSE)</f>
        <v>سرپرست آی تی</v>
      </c>
      <c r="G227" s="127">
        <f>VLOOKUP(D227,'لیست پرسنل'!$B$2:$F$1020,2,FALSE)</f>
        <v>2210</v>
      </c>
      <c r="H227" s="126" t="s">
        <v>4290</v>
      </c>
      <c r="I227" s="128"/>
      <c r="J227" s="128" t="s">
        <v>1967</v>
      </c>
      <c r="K227" s="128" t="s">
        <v>2757</v>
      </c>
      <c r="L227" s="128" t="s">
        <v>2802</v>
      </c>
      <c r="M227" s="128" t="s">
        <v>291</v>
      </c>
      <c r="N227" s="108"/>
      <c r="O227" s="20"/>
      <c r="P227" s="20"/>
      <c r="Q227" s="20"/>
    </row>
    <row r="228" spans="1:17" ht="24.9" customHeight="1">
      <c r="A228" s="20">
        <v>362</v>
      </c>
      <c r="B228" s="20" t="s">
        <v>4345</v>
      </c>
      <c r="C228" s="20"/>
      <c r="D228" s="20" t="s">
        <v>48</v>
      </c>
      <c r="E228" s="19" t="str">
        <f>VLOOKUP(D228,'لیست پرسنل'!$B$2:$E$1020,3,FALSE)</f>
        <v>فکورصنعت</v>
      </c>
      <c r="F228" s="19" t="str">
        <f>VLOOKUP(D228,'لیست پرسنل'!$B$2:$E$1020,4,FALSE)</f>
        <v>سرپرست آی تی</v>
      </c>
      <c r="G228" s="127">
        <f>VLOOKUP(D228,'لیست پرسنل'!$B$2:$F$1020,2,FALSE)</f>
        <v>2210</v>
      </c>
      <c r="H228" s="126" t="s">
        <v>4290</v>
      </c>
      <c r="I228" s="128"/>
      <c r="J228" s="128" t="s">
        <v>1967</v>
      </c>
      <c r="K228" s="128" t="s">
        <v>2757</v>
      </c>
      <c r="L228" s="128" t="s">
        <v>1643</v>
      </c>
      <c r="M228" s="128" t="s">
        <v>291</v>
      </c>
      <c r="N228" s="108"/>
      <c r="O228" s="20"/>
      <c r="P228" s="20"/>
      <c r="Q228" s="20"/>
    </row>
    <row r="229" spans="1:17" ht="24.9" customHeight="1">
      <c r="A229" s="20">
        <v>362</v>
      </c>
      <c r="B229" s="20" t="s">
        <v>4345</v>
      </c>
      <c r="C229" s="20"/>
      <c r="D229" s="20" t="s">
        <v>48</v>
      </c>
      <c r="E229" s="19" t="str">
        <f>VLOOKUP(D229,'لیست پرسنل'!$B$2:$E$1020,3,FALSE)</f>
        <v>فکورصنعت</v>
      </c>
      <c r="F229" s="19" t="str">
        <f>VLOOKUP(D229,'لیست پرسنل'!$B$2:$E$1020,4,FALSE)</f>
        <v>سرپرست آی تی</v>
      </c>
      <c r="G229" s="127">
        <f>VLOOKUP(D229,'لیست پرسنل'!$B$2:$F$1020,2,FALSE)</f>
        <v>2210</v>
      </c>
      <c r="H229" s="126" t="s">
        <v>4290</v>
      </c>
      <c r="I229" s="128"/>
      <c r="J229" s="128" t="s">
        <v>1967</v>
      </c>
      <c r="K229" s="128" t="s">
        <v>2757</v>
      </c>
      <c r="L229" s="128" t="s">
        <v>2804</v>
      </c>
      <c r="M229" s="128" t="s">
        <v>291</v>
      </c>
      <c r="N229" s="108"/>
      <c r="O229" s="20"/>
      <c r="P229" s="20"/>
      <c r="Q229" s="20"/>
    </row>
    <row r="230" spans="1:17" ht="24.9" customHeight="1">
      <c r="A230" s="20">
        <v>362</v>
      </c>
      <c r="B230" s="20" t="s">
        <v>4345</v>
      </c>
      <c r="C230" s="20"/>
      <c r="D230" s="20" t="s">
        <v>48</v>
      </c>
      <c r="E230" s="19" t="str">
        <f>VLOOKUP(D230,'لیست پرسنل'!$B$2:$E$1020,3,FALSE)</f>
        <v>فکورصنعت</v>
      </c>
      <c r="F230" s="19" t="str">
        <f>VLOOKUP(D230,'لیست پرسنل'!$B$2:$E$1020,4,FALSE)</f>
        <v>سرپرست آی تی</v>
      </c>
      <c r="G230" s="127">
        <f>VLOOKUP(D230,'لیست پرسنل'!$B$2:$F$1020,2,FALSE)</f>
        <v>2210</v>
      </c>
      <c r="H230" s="126" t="s">
        <v>4290</v>
      </c>
      <c r="I230" s="128"/>
      <c r="J230" s="128" t="s">
        <v>1967</v>
      </c>
      <c r="K230" s="128" t="s">
        <v>2757</v>
      </c>
      <c r="L230" s="128"/>
      <c r="M230" s="128" t="s">
        <v>291</v>
      </c>
      <c r="N230" s="108"/>
      <c r="O230" s="20"/>
      <c r="P230" s="20"/>
      <c r="Q230" s="20"/>
    </row>
    <row r="231" spans="1:17" ht="24.9" customHeight="1">
      <c r="A231" s="20">
        <v>362</v>
      </c>
      <c r="B231" s="20" t="s">
        <v>4345</v>
      </c>
      <c r="C231" s="20"/>
      <c r="D231" s="20" t="s">
        <v>48</v>
      </c>
      <c r="E231" s="19" t="str">
        <f>VLOOKUP(D231,'لیست پرسنل'!$B$2:$E$1020,3,FALSE)</f>
        <v>فکورصنعت</v>
      </c>
      <c r="F231" s="19" t="str">
        <f>VLOOKUP(D231,'لیست پرسنل'!$B$2:$E$1020,4,FALSE)</f>
        <v>سرپرست آی تی</v>
      </c>
      <c r="G231" s="127">
        <f>VLOOKUP(D231,'لیست پرسنل'!$B$2:$F$1020,2,FALSE)</f>
        <v>2210</v>
      </c>
      <c r="H231" s="126" t="s">
        <v>4290</v>
      </c>
      <c r="I231" s="128"/>
      <c r="J231" s="128" t="s">
        <v>1967</v>
      </c>
      <c r="K231" s="128" t="s">
        <v>2757</v>
      </c>
      <c r="L231" s="128" t="s">
        <v>2841</v>
      </c>
      <c r="M231" s="128" t="s">
        <v>291</v>
      </c>
      <c r="N231" s="108"/>
      <c r="O231" s="20"/>
      <c r="P231" s="20"/>
      <c r="Q231" s="20"/>
    </row>
    <row r="232" spans="1:17" ht="24.9" customHeight="1">
      <c r="A232" s="20">
        <v>362</v>
      </c>
      <c r="B232" s="20" t="s">
        <v>4345</v>
      </c>
      <c r="C232" s="20"/>
      <c r="D232" s="20" t="s">
        <v>48</v>
      </c>
      <c r="E232" s="19" t="str">
        <f>VLOOKUP(D232,'لیست پرسنل'!$B$2:$E$1020,3,FALSE)</f>
        <v>فکورصنعت</v>
      </c>
      <c r="F232" s="19" t="str">
        <f>VLOOKUP(D232,'لیست پرسنل'!$B$2:$E$1020,4,FALSE)</f>
        <v>سرپرست آی تی</v>
      </c>
      <c r="G232" s="127">
        <f>VLOOKUP(D232,'لیست پرسنل'!$B$2:$F$1020,2,FALSE)</f>
        <v>2210</v>
      </c>
      <c r="H232" s="126" t="s">
        <v>4290</v>
      </c>
      <c r="I232" s="128"/>
      <c r="J232" s="128" t="s">
        <v>1967</v>
      </c>
      <c r="K232" s="128" t="s">
        <v>2757</v>
      </c>
      <c r="L232" s="128" t="s">
        <v>2842</v>
      </c>
      <c r="M232" s="128" t="s">
        <v>291</v>
      </c>
      <c r="N232" s="108"/>
      <c r="O232" s="20"/>
      <c r="P232" s="20"/>
      <c r="Q232" s="20"/>
    </row>
    <row r="233" spans="1:17" ht="24.9" customHeight="1">
      <c r="A233" s="20">
        <v>362</v>
      </c>
      <c r="B233" s="20" t="s">
        <v>4345</v>
      </c>
      <c r="C233" s="20"/>
      <c r="D233" s="20" t="s">
        <v>48</v>
      </c>
      <c r="E233" s="19" t="str">
        <f>VLOOKUP(D233,'لیست پرسنل'!$B$2:$E$1020,3,FALSE)</f>
        <v>فکورصنعت</v>
      </c>
      <c r="F233" s="19" t="str">
        <f>VLOOKUP(D233,'لیست پرسنل'!$B$2:$E$1020,4,FALSE)</f>
        <v>سرپرست آی تی</v>
      </c>
      <c r="G233" s="127">
        <f>VLOOKUP(D233,'لیست پرسنل'!$B$2:$F$1020,2,FALSE)</f>
        <v>2210</v>
      </c>
      <c r="H233" s="126" t="s">
        <v>4290</v>
      </c>
      <c r="I233" s="128"/>
      <c r="J233" s="128" t="s">
        <v>1967</v>
      </c>
      <c r="K233" s="128" t="s">
        <v>2808</v>
      </c>
      <c r="L233" s="128" t="s">
        <v>2799</v>
      </c>
      <c r="M233" s="128" t="s">
        <v>291</v>
      </c>
      <c r="N233" s="108"/>
      <c r="O233" s="20"/>
      <c r="P233" s="20"/>
      <c r="Q233" s="20"/>
    </row>
    <row r="234" spans="1:17" ht="24.9" customHeight="1">
      <c r="A234" s="20">
        <v>362</v>
      </c>
      <c r="B234" s="20" t="s">
        <v>4345</v>
      </c>
      <c r="C234" s="20"/>
      <c r="D234" s="20" t="s">
        <v>48</v>
      </c>
      <c r="E234" s="19" t="str">
        <f>VLOOKUP(D234,'لیست پرسنل'!$B$2:$E$1020,3,FALSE)</f>
        <v>فکورصنعت</v>
      </c>
      <c r="F234" s="19" t="str">
        <f>VLOOKUP(D234,'لیست پرسنل'!$B$2:$E$1020,4,FALSE)</f>
        <v>سرپرست آی تی</v>
      </c>
      <c r="G234" s="127">
        <f>VLOOKUP(D234,'لیست پرسنل'!$B$2:$F$1020,2,FALSE)</f>
        <v>2210</v>
      </c>
      <c r="H234" s="126" t="s">
        <v>4290</v>
      </c>
      <c r="I234" s="128"/>
      <c r="J234" s="128" t="s">
        <v>1967</v>
      </c>
      <c r="K234" s="128" t="s">
        <v>2810</v>
      </c>
      <c r="L234" s="128" t="s">
        <v>2524</v>
      </c>
      <c r="M234" s="128" t="s">
        <v>291</v>
      </c>
      <c r="N234" s="108"/>
      <c r="O234" s="20"/>
      <c r="P234" s="20"/>
      <c r="Q234" s="20"/>
    </row>
    <row r="235" spans="1:17" ht="24.9" customHeight="1">
      <c r="A235" s="20">
        <v>362</v>
      </c>
      <c r="B235" s="20" t="s">
        <v>4345</v>
      </c>
      <c r="C235" s="20"/>
      <c r="D235" s="20" t="s">
        <v>48</v>
      </c>
      <c r="E235" s="19" t="str">
        <f>VLOOKUP(D235,'لیست پرسنل'!$B$2:$E$1020,3,FALSE)</f>
        <v>فکورصنعت</v>
      </c>
      <c r="F235" s="19" t="str">
        <f>VLOOKUP(D235,'لیست پرسنل'!$B$2:$E$1020,4,FALSE)</f>
        <v>سرپرست آی تی</v>
      </c>
      <c r="G235" s="127">
        <f>VLOOKUP(D235,'لیست پرسنل'!$B$2:$F$1020,2,FALSE)</f>
        <v>2210</v>
      </c>
      <c r="H235" s="153" t="s">
        <v>4290</v>
      </c>
      <c r="I235" s="127"/>
      <c r="J235" s="127" t="s">
        <v>1967</v>
      </c>
      <c r="K235" s="127" t="s">
        <v>5332</v>
      </c>
      <c r="L235" s="127" t="s">
        <v>5333</v>
      </c>
      <c r="M235" s="128" t="s">
        <v>291</v>
      </c>
      <c r="N235" s="109"/>
      <c r="O235" s="19" t="s">
        <v>5329</v>
      </c>
      <c r="P235" s="19"/>
      <c r="Q235" s="20"/>
    </row>
    <row r="236" spans="1:17" ht="24.9" customHeight="1">
      <c r="A236" s="20">
        <v>362</v>
      </c>
      <c r="B236" s="20" t="s">
        <v>4345</v>
      </c>
      <c r="C236" s="20"/>
      <c r="D236" s="20" t="s">
        <v>48</v>
      </c>
      <c r="E236" s="19" t="str">
        <f>VLOOKUP(D236,'لیست پرسنل'!$B$2:$E$1020,3,FALSE)</f>
        <v>فکورصنعت</v>
      </c>
      <c r="F236" s="19" t="str">
        <f>VLOOKUP(D236,'لیست پرسنل'!$B$2:$E$1020,4,FALSE)</f>
        <v>سرپرست آی تی</v>
      </c>
      <c r="G236" s="127">
        <f>VLOOKUP(D236,'لیست پرسنل'!$B$2:$F$1020,2,FALSE)</f>
        <v>2210</v>
      </c>
      <c r="H236" s="153" t="s">
        <v>4290</v>
      </c>
      <c r="I236" s="127"/>
      <c r="J236" s="127" t="s">
        <v>1967</v>
      </c>
      <c r="K236" s="127" t="s">
        <v>5331</v>
      </c>
      <c r="L236" s="127"/>
      <c r="M236" s="128" t="s">
        <v>291</v>
      </c>
      <c r="N236" s="109"/>
      <c r="O236" s="19" t="s">
        <v>5329</v>
      </c>
      <c r="P236" s="19"/>
      <c r="Q236" s="20"/>
    </row>
    <row r="237" spans="1:17" ht="24.9" customHeight="1">
      <c r="A237" s="20">
        <v>362</v>
      </c>
      <c r="B237" s="20" t="s">
        <v>4345</v>
      </c>
      <c r="C237" s="20"/>
      <c r="D237" s="20" t="s">
        <v>48</v>
      </c>
      <c r="E237" s="19" t="str">
        <f>VLOOKUP(D237,'لیست پرسنل'!$B$2:$E$1020,3,FALSE)</f>
        <v>فکورصنعت</v>
      </c>
      <c r="F237" s="19" t="str">
        <f>VLOOKUP(D237,'لیست پرسنل'!$B$2:$E$1020,4,FALSE)</f>
        <v>سرپرست آی تی</v>
      </c>
      <c r="G237" s="127">
        <f>VLOOKUP(D237,'لیست پرسنل'!$B$2:$F$1020,2,FALSE)</f>
        <v>2210</v>
      </c>
      <c r="H237" s="153" t="s">
        <v>4290</v>
      </c>
      <c r="I237" s="127"/>
      <c r="J237" s="127" t="s">
        <v>1967</v>
      </c>
      <c r="K237" s="127" t="s">
        <v>648</v>
      </c>
      <c r="L237" s="127" t="s">
        <v>5330</v>
      </c>
      <c r="M237" s="128" t="s">
        <v>291</v>
      </c>
      <c r="N237" s="109"/>
      <c r="O237" s="19" t="s">
        <v>5329</v>
      </c>
      <c r="P237" s="19"/>
      <c r="Q237" s="20"/>
    </row>
    <row r="238" spans="1:17" ht="24.9" customHeight="1">
      <c r="A238" s="20">
        <v>362</v>
      </c>
      <c r="B238" s="20" t="s">
        <v>4345</v>
      </c>
      <c r="C238" s="19"/>
      <c r="D238" s="20" t="s">
        <v>48</v>
      </c>
      <c r="E238" s="19" t="str">
        <f>VLOOKUP(D238,'لیست پرسنل'!$B$2:$E$1020,3,FALSE)</f>
        <v>فکورصنعت</v>
      </c>
      <c r="F238" s="19" t="str">
        <f>VLOOKUP(D238,'لیست پرسنل'!$B$2:$E$1020,4,FALSE)</f>
        <v>سرپرست آی تی</v>
      </c>
      <c r="G238" s="127">
        <f>VLOOKUP(D238,'لیست پرسنل'!$B$2:$F$1020,2,FALSE)</f>
        <v>2210</v>
      </c>
      <c r="H238" s="151" t="s">
        <v>4290</v>
      </c>
      <c r="I238" s="127"/>
      <c r="J238" s="127" t="s">
        <v>1967</v>
      </c>
      <c r="K238" s="128" t="s">
        <v>648</v>
      </c>
      <c r="L238" s="127" t="s">
        <v>1922</v>
      </c>
      <c r="M238" s="127" t="s">
        <v>291</v>
      </c>
      <c r="N238" s="109"/>
      <c r="O238" s="19"/>
      <c r="P238" s="20"/>
      <c r="Q238" s="20"/>
    </row>
    <row r="239" spans="1:17" ht="24.9" customHeight="1">
      <c r="A239" s="20">
        <v>362</v>
      </c>
      <c r="B239" s="20" t="s">
        <v>4345</v>
      </c>
      <c r="C239" s="20"/>
      <c r="D239" s="20" t="s">
        <v>48</v>
      </c>
      <c r="E239" s="19" t="str">
        <f>VLOOKUP(D239,'لیست پرسنل'!$B$2:$E$1020,3,FALSE)</f>
        <v>فکورصنعت</v>
      </c>
      <c r="F239" s="19" t="str">
        <f>VLOOKUP(D239,'لیست پرسنل'!$B$2:$E$1020,4,FALSE)</f>
        <v>سرپرست آی تی</v>
      </c>
      <c r="G239" s="127">
        <f>VLOOKUP(D239,'لیست پرسنل'!$B$2:$F$1020,2,FALSE)</f>
        <v>2210</v>
      </c>
      <c r="H239" s="126" t="s">
        <v>4290</v>
      </c>
      <c r="I239" s="128"/>
      <c r="J239" s="128" t="s">
        <v>1967</v>
      </c>
      <c r="K239" s="128" t="s">
        <v>640</v>
      </c>
      <c r="L239" s="151" t="s">
        <v>1659</v>
      </c>
      <c r="M239" s="127" t="s">
        <v>704</v>
      </c>
      <c r="N239" s="108"/>
      <c r="O239" s="20" t="s">
        <v>705</v>
      </c>
      <c r="P239" s="20"/>
      <c r="Q239" s="20"/>
    </row>
    <row r="240" spans="1:17" ht="24.9" customHeight="1">
      <c r="A240" s="20">
        <v>362</v>
      </c>
      <c r="B240" s="20" t="s">
        <v>4345</v>
      </c>
      <c r="C240" s="20"/>
      <c r="D240" s="20" t="s">
        <v>48</v>
      </c>
      <c r="E240" s="19" t="str">
        <f>VLOOKUP(D240,'لیست پرسنل'!$B$2:$E$1020,3,FALSE)</f>
        <v>فکورصنعت</v>
      </c>
      <c r="F240" s="19" t="str">
        <f>VLOOKUP(D240,'لیست پرسنل'!$B$2:$E$1020,4,FALSE)</f>
        <v>سرپرست آی تی</v>
      </c>
      <c r="G240" s="127">
        <f>VLOOKUP(D240,'لیست پرسنل'!$B$2:$F$1020,2,FALSE)</f>
        <v>2210</v>
      </c>
      <c r="H240" s="126" t="s">
        <v>4290</v>
      </c>
      <c r="I240" s="128"/>
      <c r="J240" s="128" t="s">
        <v>1967</v>
      </c>
      <c r="K240" s="128" t="s">
        <v>640</v>
      </c>
      <c r="L240" s="151" t="s">
        <v>1661</v>
      </c>
      <c r="M240" s="127" t="s">
        <v>704</v>
      </c>
      <c r="N240" s="108"/>
      <c r="O240" s="20" t="s">
        <v>705</v>
      </c>
      <c r="P240" s="20"/>
      <c r="Q240" s="20"/>
    </row>
    <row r="241" spans="1:17" ht="24.9" customHeight="1">
      <c r="A241" s="20">
        <v>362</v>
      </c>
      <c r="B241" s="20" t="s">
        <v>4345</v>
      </c>
      <c r="C241" s="20"/>
      <c r="D241" s="20" t="s">
        <v>48</v>
      </c>
      <c r="E241" s="19" t="str">
        <f>VLOOKUP(D241,'لیست پرسنل'!$B$2:$E$1020,3,FALSE)</f>
        <v>فکورصنعت</v>
      </c>
      <c r="F241" s="19" t="str">
        <f>VLOOKUP(D241,'لیست پرسنل'!$B$2:$E$1020,4,FALSE)</f>
        <v>سرپرست آی تی</v>
      </c>
      <c r="G241" s="127">
        <f>VLOOKUP(D241,'لیست پرسنل'!$B$2:$F$1020,2,FALSE)</f>
        <v>2210</v>
      </c>
      <c r="H241" s="126" t="s">
        <v>4290</v>
      </c>
      <c r="I241" s="128"/>
      <c r="J241" s="128" t="s">
        <v>1967</v>
      </c>
      <c r="K241" s="128" t="s">
        <v>640</v>
      </c>
      <c r="L241" s="150" t="s">
        <v>1646</v>
      </c>
      <c r="M241" s="127" t="s">
        <v>704</v>
      </c>
      <c r="N241" s="108"/>
      <c r="O241" s="20"/>
      <c r="P241" s="20"/>
      <c r="Q241" s="20"/>
    </row>
    <row r="242" spans="1:17" ht="24.9" customHeight="1">
      <c r="A242" s="20">
        <v>362</v>
      </c>
      <c r="B242" s="20" t="s">
        <v>4345</v>
      </c>
      <c r="C242" s="20"/>
      <c r="D242" s="20" t="s">
        <v>48</v>
      </c>
      <c r="E242" s="19" t="str">
        <f>VLOOKUP(D242,'لیست پرسنل'!$B$2:$E$1020,3,FALSE)</f>
        <v>فکورصنعت</v>
      </c>
      <c r="F242" s="19" t="str">
        <f>VLOOKUP(D242,'لیست پرسنل'!$B$2:$E$1020,4,FALSE)</f>
        <v>سرپرست آی تی</v>
      </c>
      <c r="G242" s="127">
        <f>VLOOKUP(D242,'لیست پرسنل'!$B$2:$F$1020,2,FALSE)</f>
        <v>2210</v>
      </c>
      <c r="H242" s="126" t="s">
        <v>4290</v>
      </c>
      <c r="I242" s="128"/>
      <c r="J242" s="128" t="s">
        <v>1967</v>
      </c>
      <c r="K242" s="128" t="s">
        <v>652</v>
      </c>
      <c r="L242" s="150" t="s">
        <v>2671</v>
      </c>
      <c r="M242" s="127" t="s">
        <v>704</v>
      </c>
      <c r="N242" s="108"/>
      <c r="O242" s="20"/>
      <c r="P242" s="20"/>
      <c r="Q242" s="20"/>
    </row>
    <row r="243" spans="1:17" ht="24.9" customHeight="1">
      <c r="A243" s="20">
        <v>362</v>
      </c>
      <c r="B243" s="20" t="s">
        <v>4345</v>
      </c>
      <c r="C243" s="20"/>
      <c r="D243" s="20" t="s">
        <v>48</v>
      </c>
      <c r="E243" s="19" t="str">
        <f>VLOOKUP(D243,'لیست پرسنل'!$B$2:$E$1020,3,FALSE)</f>
        <v>فکورصنعت</v>
      </c>
      <c r="F243" s="19" t="str">
        <f>VLOOKUP(D243,'لیست پرسنل'!$B$2:$E$1020,4,FALSE)</f>
        <v>سرپرست آی تی</v>
      </c>
      <c r="G243" s="127">
        <f>VLOOKUP(D243,'لیست پرسنل'!$B$2:$F$1020,2,FALSE)</f>
        <v>2210</v>
      </c>
      <c r="H243" s="126" t="s">
        <v>4290</v>
      </c>
      <c r="I243" s="128"/>
      <c r="J243" s="128" t="s">
        <v>1967</v>
      </c>
      <c r="K243" s="128" t="s">
        <v>650</v>
      </c>
      <c r="L243" s="128" t="s">
        <v>5142</v>
      </c>
      <c r="M243" s="127" t="s">
        <v>704</v>
      </c>
      <c r="N243" s="108"/>
      <c r="O243" s="20"/>
      <c r="P243" s="20"/>
      <c r="Q243" s="20"/>
    </row>
    <row r="244" spans="1:17" ht="24.9" customHeight="1">
      <c r="A244" s="20">
        <v>362</v>
      </c>
      <c r="B244" s="20" t="s">
        <v>4345</v>
      </c>
      <c r="C244" s="20"/>
      <c r="D244" s="20" t="s">
        <v>48</v>
      </c>
      <c r="E244" s="19" t="str">
        <f>VLOOKUP(D244,'لیست پرسنل'!$B$2:$E$1020,3,FALSE)</f>
        <v>فکورصنعت</v>
      </c>
      <c r="F244" s="19" t="str">
        <f>VLOOKUP(D244,'لیست پرسنل'!$B$2:$E$1020,4,FALSE)</f>
        <v>سرپرست آی تی</v>
      </c>
      <c r="G244" s="127">
        <f>VLOOKUP(D244,'لیست پرسنل'!$B$2:$F$1020,2,FALSE)</f>
        <v>2210</v>
      </c>
      <c r="H244" s="126" t="s">
        <v>4290</v>
      </c>
      <c r="I244" s="128"/>
      <c r="J244" s="128" t="s">
        <v>1967</v>
      </c>
      <c r="K244" s="128" t="s">
        <v>1765</v>
      </c>
      <c r="L244" s="127" t="s">
        <v>1647</v>
      </c>
      <c r="M244" s="127" t="s">
        <v>704</v>
      </c>
      <c r="N244" s="108"/>
      <c r="O244" s="20"/>
      <c r="P244" s="20"/>
      <c r="Q244" s="20"/>
    </row>
    <row r="245" spans="1:17" ht="24.9" customHeight="1">
      <c r="A245" s="20">
        <v>362</v>
      </c>
      <c r="B245" s="20" t="s">
        <v>4345</v>
      </c>
      <c r="C245" s="20"/>
      <c r="D245" s="20" t="s">
        <v>48</v>
      </c>
      <c r="E245" s="19" t="str">
        <f>VLOOKUP(D245,'لیست پرسنل'!$B$2:$E$1020,3,FALSE)</f>
        <v>فکورصنعت</v>
      </c>
      <c r="F245" s="19" t="str">
        <f>VLOOKUP(D245,'لیست پرسنل'!$B$2:$E$1020,4,FALSE)</f>
        <v>سرپرست آی تی</v>
      </c>
      <c r="G245" s="127">
        <f>VLOOKUP(D245,'لیست پرسنل'!$B$2:$F$1020,2,FALSE)</f>
        <v>2210</v>
      </c>
      <c r="H245" s="126" t="s">
        <v>4290</v>
      </c>
      <c r="I245" s="128"/>
      <c r="J245" s="128" t="s">
        <v>1967</v>
      </c>
      <c r="K245" s="128" t="s">
        <v>1765</v>
      </c>
      <c r="L245" s="150" t="s">
        <v>2669</v>
      </c>
      <c r="M245" s="127" t="s">
        <v>704</v>
      </c>
      <c r="N245" s="108"/>
      <c r="O245" s="20"/>
      <c r="P245" s="20"/>
      <c r="Q245" s="20"/>
    </row>
    <row r="246" spans="1:17" ht="24.9" customHeight="1">
      <c r="A246" s="20">
        <v>362</v>
      </c>
      <c r="B246" s="20" t="s">
        <v>4345</v>
      </c>
      <c r="C246" s="20"/>
      <c r="D246" s="20" t="s">
        <v>48</v>
      </c>
      <c r="E246" s="19" t="str">
        <f>VLOOKUP(D246,'لیست پرسنل'!$B$2:$E$1020,3,FALSE)</f>
        <v>فکورصنعت</v>
      </c>
      <c r="F246" s="19" t="str">
        <f>VLOOKUP(D246,'لیست پرسنل'!$B$2:$E$1020,4,FALSE)</f>
        <v>سرپرست آی تی</v>
      </c>
      <c r="G246" s="127">
        <f>VLOOKUP(D246,'لیست پرسنل'!$B$2:$F$1020,2,FALSE)</f>
        <v>2210</v>
      </c>
      <c r="H246" s="126" t="s">
        <v>4290</v>
      </c>
      <c r="I246" s="128"/>
      <c r="J246" s="128" t="s">
        <v>1967</v>
      </c>
      <c r="K246" s="128" t="s">
        <v>2785</v>
      </c>
      <c r="L246" s="150" t="s">
        <v>2784</v>
      </c>
      <c r="M246" s="127" t="s">
        <v>704</v>
      </c>
      <c r="N246" s="108"/>
      <c r="O246" s="20" t="s">
        <v>611</v>
      </c>
      <c r="P246" s="20"/>
      <c r="Q246" s="20"/>
    </row>
    <row r="247" spans="1:17" ht="24.9" customHeight="1">
      <c r="A247" s="20">
        <v>362</v>
      </c>
      <c r="B247" s="20" t="s">
        <v>4345</v>
      </c>
      <c r="C247" s="20"/>
      <c r="D247" s="20" t="s">
        <v>48</v>
      </c>
      <c r="E247" s="19" t="str">
        <f>VLOOKUP(D247,'لیست پرسنل'!$B$2:$E$1020,3,FALSE)</f>
        <v>فکورصنعت</v>
      </c>
      <c r="F247" s="19" t="str">
        <f>VLOOKUP(D247,'لیست پرسنل'!$B$2:$E$1020,4,FALSE)</f>
        <v>سرپرست آی تی</v>
      </c>
      <c r="G247" s="127">
        <f>VLOOKUP(D247,'لیست پرسنل'!$B$2:$F$1020,2,FALSE)</f>
        <v>2210</v>
      </c>
      <c r="H247" s="126" t="s">
        <v>4290</v>
      </c>
      <c r="I247" s="128"/>
      <c r="J247" s="126" t="s">
        <v>368</v>
      </c>
      <c r="K247" s="128" t="s">
        <v>660</v>
      </c>
      <c r="L247" s="128" t="s">
        <v>2527</v>
      </c>
      <c r="M247" s="128">
        <v>618880</v>
      </c>
      <c r="N247" s="108"/>
      <c r="O247" s="20" t="s">
        <v>3289</v>
      </c>
      <c r="P247" s="20"/>
      <c r="Q247" s="20"/>
    </row>
    <row r="248" spans="1:17" ht="24.9" customHeight="1">
      <c r="A248" s="20">
        <v>362</v>
      </c>
      <c r="B248" s="20" t="s">
        <v>4345</v>
      </c>
      <c r="C248" s="20"/>
      <c r="D248" s="20" t="s">
        <v>48</v>
      </c>
      <c r="E248" s="19" t="str">
        <f>VLOOKUP(D248,'لیست پرسنل'!$B$2:$E$1020,3,FALSE)</f>
        <v>فکورصنعت</v>
      </c>
      <c r="F248" s="19" t="str">
        <f>VLOOKUP(D248,'لیست پرسنل'!$B$2:$E$1020,4,FALSE)</f>
        <v>سرپرست آی تی</v>
      </c>
      <c r="G248" s="127">
        <f>VLOOKUP(D248,'لیست پرسنل'!$B$2:$F$1020,2,FALSE)</f>
        <v>2210</v>
      </c>
      <c r="H248" s="126" t="s">
        <v>4290</v>
      </c>
      <c r="I248" s="128"/>
      <c r="J248" s="126" t="s">
        <v>368</v>
      </c>
      <c r="K248" s="134" t="s">
        <v>658</v>
      </c>
      <c r="L248" s="134" t="s">
        <v>521</v>
      </c>
      <c r="M248" s="126">
        <v>620860</v>
      </c>
      <c r="N248" s="108"/>
      <c r="O248" s="19" t="s">
        <v>4593</v>
      </c>
      <c r="P248" s="20"/>
      <c r="Q248" s="20"/>
    </row>
    <row r="249" spans="1:17" ht="24.9" customHeight="1">
      <c r="A249" s="20">
        <v>362</v>
      </c>
      <c r="B249" s="20" t="s">
        <v>4345</v>
      </c>
      <c r="C249" s="20"/>
      <c r="D249" s="20" t="s">
        <v>48</v>
      </c>
      <c r="E249" s="19" t="str">
        <f>VLOOKUP(D249,'لیست پرسنل'!$B$2:$E$1020,3,FALSE)</f>
        <v>فکورصنعت</v>
      </c>
      <c r="F249" s="19" t="str">
        <f>VLOOKUP(D249,'لیست پرسنل'!$B$2:$E$1020,4,FALSE)</f>
        <v>سرپرست آی تی</v>
      </c>
      <c r="G249" s="127">
        <f>VLOOKUP(D249,'لیست پرسنل'!$B$2:$F$1020,2,FALSE)</f>
        <v>2210</v>
      </c>
      <c r="H249" s="151" t="s">
        <v>4290</v>
      </c>
      <c r="I249" s="155"/>
      <c r="J249" s="128" t="s">
        <v>368</v>
      </c>
      <c r="K249" s="128" t="s">
        <v>506</v>
      </c>
      <c r="L249" s="128"/>
      <c r="M249" s="128">
        <v>621044</v>
      </c>
      <c r="N249" s="108"/>
      <c r="O249" s="20"/>
      <c r="P249" s="20"/>
      <c r="Q249" s="20"/>
    </row>
    <row r="250" spans="1:17" ht="24.9" customHeight="1">
      <c r="A250" s="20">
        <v>362</v>
      </c>
      <c r="B250" s="20" t="s">
        <v>4345</v>
      </c>
      <c r="C250" s="20"/>
      <c r="D250" s="20" t="s">
        <v>48</v>
      </c>
      <c r="E250" s="19" t="str">
        <f>VLOOKUP(D250,'لیست پرسنل'!$B$2:$E$1020,3,FALSE)</f>
        <v>فکورصنعت</v>
      </c>
      <c r="F250" s="19" t="str">
        <f>VLOOKUP(D250,'لیست پرسنل'!$B$2:$E$1020,4,FALSE)</f>
        <v>سرپرست آی تی</v>
      </c>
      <c r="G250" s="127">
        <f>VLOOKUP(D250,'لیست پرسنل'!$B$2:$F$1020,2,FALSE)</f>
        <v>2210</v>
      </c>
      <c r="H250" s="126" t="s">
        <v>4290</v>
      </c>
      <c r="I250" s="128"/>
      <c r="J250" s="128" t="s">
        <v>368</v>
      </c>
      <c r="K250" s="128" t="s">
        <v>506</v>
      </c>
      <c r="L250" s="127"/>
      <c r="M250" s="127">
        <v>621045</v>
      </c>
      <c r="N250" s="108"/>
      <c r="O250" s="20"/>
      <c r="P250" s="20"/>
      <c r="Q250" s="20"/>
    </row>
    <row r="251" spans="1:17" ht="24.9" customHeight="1">
      <c r="A251" s="20">
        <v>362</v>
      </c>
      <c r="B251" s="20" t="s">
        <v>4345</v>
      </c>
      <c r="C251" s="20"/>
      <c r="D251" s="20" t="s">
        <v>48</v>
      </c>
      <c r="E251" s="19" t="str">
        <f>VLOOKUP(D251,'لیست پرسنل'!$B$2:$E$1020,3,FALSE)</f>
        <v>فکورصنعت</v>
      </c>
      <c r="F251" s="19" t="str">
        <f>VLOOKUP(D251,'لیست پرسنل'!$B$2:$E$1020,4,FALSE)</f>
        <v>سرپرست آی تی</v>
      </c>
      <c r="G251" s="127">
        <f>VLOOKUP(D251,'لیست پرسنل'!$B$2:$F$1020,2,FALSE)</f>
        <v>2210</v>
      </c>
      <c r="H251" s="126" t="s">
        <v>4290</v>
      </c>
      <c r="I251" s="128"/>
      <c r="J251" s="126" t="s">
        <v>368</v>
      </c>
      <c r="K251" s="128" t="s">
        <v>1817</v>
      </c>
      <c r="L251" s="151"/>
      <c r="M251" s="127">
        <v>621046</v>
      </c>
      <c r="N251" s="108"/>
      <c r="O251" s="20"/>
      <c r="P251" s="20"/>
      <c r="Q251" s="20"/>
    </row>
    <row r="252" spans="1:17" ht="24.9" customHeight="1">
      <c r="A252" s="20">
        <v>362</v>
      </c>
      <c r="B252" s="20" t="s">
        <v>4345</v>
      </c>
      <c r="C252" s="19"/>
      <c r="D252" s="19" t="s">
        <v>48</v>
      </c>
      <c r="E252" s="19" t="str">
        <f>VLOOKUP(D252,'لیست پرسنل'!$B$2:$E$1020,3,FALSE)</f>
        <v>فکورصنعت</v>
      </c>
      <c r="F252" s="19" t="str">
        <f>VLOOKUP(D252,'لیست پرسنل'!$B$2:$E$1020,4,FALSE)</f>
        <v>سرپرست آی تی</v>
      </c>
      <c r="G252" s="127">
        <f>VLOOKUP(D252,'لیست پرسنل'!$B$2:$F$1020,2,FALSE)</f>
        <v>2210</v>
      </c>
      <c r="H252" s="151" t="s">
        <v>4290</v>
      </c>
      <c r="I252" s="127"/>
      <c r="J252" s="126" t="s">
        <v>368</v>
      </c>
      <c r="K252" s="128" t="s">
        <v>658</v>
      </c>
      <c r="L252" s="127" t="s">
        <v>524</v>
      </c>
      <c r="M252" s="127">
        <v>621048</v>
      </c>
      <c r="N252" s="109"/>
      <c r="O252" s="19" t="s">
        <v>6469</v>
      </c>
      <c r="P252" s="20"/>
      <c r="Q252" s="20"/>
    </row>
    <row r="253" spans="1:17" ht="24.9" customHeight="1">
      <c r="A253" s="20">
        <v>362</v>
      </c>
      <c r="B253" s="20" t="s">
        <v>4345</v>
      </c>
      <c r="C253" s="20"/>
      <c r="D253" s="20" t="s">
        <v>48</v>
      </c>
      <c r="E253" s="19" t="str">
        <f>VLOOKUP(D253,'لیست پرسنل'!$B$2:$E$1020,3,FALSE)</f>
        <v>فکورصنعت</v>
      </c>
      <c r="F253" s="19" t="str">
        <f>VLOOKUP(D253,'لیست پرسنل'!$B$2:$E$1020,4,FALSE)</f>
        <v>سرپرست آی تی</v>
      </c>
      <c r="G253" s="127">
        <f>VLOOKUP(D253,'لیست پرسنل'!$B$2:$F$1020,2,FALSE)</f>
        <v>2210</v>
      </c>
      <c r="H253" s="126" t="s">
        <v>4290</v>
      </c>
      <c r="I253" s="128"/>
      <c r="J253" s="126" t="s">
        <v>368</v>
      </c>
      <c r="K253" s="128" t="s">
        <v>658</v>
      </c>
      <c r="L253" s="150"/>
      <c r="M253" s="128">
        <v>621049</v>
      </c>
      <c r="N253" s="108"/>
      <c r="O253" s="20"/>
      <c r="P253" s="20"/>
      <c r="Q253" s="20"/>
    </row>
    <row r="254" spans="1:17" ht="24.9" customHeight="1">
      <c r="A254" s="20">
        <v>362</v>
      </c>
      <c r="B254" s="20" t="s">
        <v>4345</v>
      </c>
      <c r="C254" s="20"/>
      <c r="D254" s="20" t="s">
        <v>48</v>
      </c>
      <c r="E254" s="19" t="str">
        <f>VLOOKUP(D254,'لیست پرسنل'!$B$2:$E$1020,3,FALSE)</f>
        <v>فکورصنعت</v>
      </c>
      <c r="F254" s="19" t="str">
        <f>VLOOKUP(D254,'لیست پرسنل'!$B$2:$E$1020,4,FALSE)</f>
        <v>سرپرست آی تی</v>
      </c>
      <c r="G254" s="127">
        <f>VLOOKUP(D254,'لیست پرسنل'!$B$2:$F$1020,2,FALSE)</f>
        <v>2210</v>
      </c>
      <c r="H254" s="151" t="s">
        <v>4290</v>
      </c>
      <c r="I254" s="159"/>
      <c r="J254" s="126" t="s">
        <v>368</v>
      </c>
      <c r="K254" s="127" t="s">
        <v>658</v>
      </c>
      <c r="L254" s="127" t="s">
        <v>791</v>
      </c>
      <c r="M254" s="127">
        <v>621050</v>
      </c>
      <c r="N254" s="109"/>
      <c r="O254" s="19"/>
      <c r="P254" s="20"/>
      <c r="Q254" s="20"/>
    </row>
    <row r="255" spans="1:17" ht="24.9" customHeight="1">
      <c r="A255" s="20">
        <v>362</v>
      </c>
      <c r="B255" s="20" t="s">
        <v>4345</v>
      </c>
      <c r="C255" s="20"/>
      <c r="D255" s="20" t="s">
        <v>48</v>
      </c>
      <c r="E255" s="19" t="str">
        <f>VLOOKUP(D255,'لیست پرسنل'!$B$2:$E$1020,3,FALSE)</f>
        <v>فکورصنعت</v>
      </c>
      <c r="F255" s="19" t="str">
        <f>VLOOKUP(D255,'لیست پرسنل'!$B$2:$E$1020,4,FALSE)</f>
        <v>سرپرست آی تی</v>
      </c>
      <c r="G255" s="127">
        <f>VLOOKUP(D255,'لیست پرسنل'!$B$2:$F$1020,2,FALSE)</f>
        <v>2210</v>
      </c>
      <c r="H255" s="151" t="s">
        <v>4290</v>
      </c>
      <c r="I255" s="128"/>
      <c r="J255" s="126" t="s">
        <v>368</v>
      </c>
      <c r="K255" s="127" t="s">
        <v>658</v>
      </c>
      <c r="L255" s="150" t="s">
        <v>1034</v>
      </c>
      <c r="M255" s="128">
        <v>621051</v>
      </c>
      <c r="N255" s="108"/>
      <c r="O255" s="20" t="s">
        <v>1024</v>
      </c>
      <c r="P255" s="20"/>
      <c r="Q255" s="20"/>
    </row>
    <row r="256" spans="1:17" ht="24.9" customHeight="1">
      <c r="A256" s="20">
        <v>362</v>
      </c>
      <c r="B256" s="20" t="s">
        <v>4345</v>
      </c>
      <c r="C256" s="20"/>
      <c r="D256" s="19" t="s">
        <v>48</v>
      </c>
      <c r="E256" s="19" t="str">
        <f>VLOOKUP(D256,'لیست پرسنل'!$B$2:$E$1020,3,FALSE)</f>
        <v>فکورصنعت</v>
      </c>
      <c r="F256" s="19" t="str">
        <f>VLOOKUP(D256,'لیست پرسنل'!$B$2:$E$1020,4,FALSE)</f>
        <v>سرپرست آی تی</v>
      </c>
      <c r="G256" s="127">
        <f>VLOOKUP(D256,'لیست پرسنل'!$B$2:$F$1020,2,FALSE)</f>
        <v>2210</v>
      </c>
      <c r="H256" s="151" t="s">
        <v>4290</v>
      </c>
      <c r="I256" s="159"/>
      <c r="J256" s="126" t="s">
        <v>368</v>
      </c>
      <c r="K256" s="127" t="s">
        <v>658</v>
      </c>
      <c r="L256" s="127" t="s">
        <v>792</v>
      </c>
      <c r="M256" s="127">
        <v>621052</v>
      </c>
      <c r="N256" s="109"/>
      <c r="O256" s="19"/>
      <c r="P256" s="20"/>
      <c r="Q256" s="20"/>
    </row>
    <row r="257" spans="1:17" ht="24.9" customHeight="1">
      <c r="A257" s="20">
        <v>362</v>
      </c>
      <c r="B257" s="20" t="s">
        <v>4345</v>
      </c>
      <c r="C257" s="19"/>
      <c r="D257" s="19" t="s">
        <v>48</v>
      </c>
      <c r="E257" s="19" t="str">
        <f>VLOOKUP(D257,'لیست پرسنل'!$B$2:$E$1020,3,FALSE)</f>
        <v>فکورصنعت</v>
      </c>
      <c r="F257" s="19" t="str">
        <f>VLOOKUP(D257,'لیست پرسنل'!$B$2:$E$1020,4,FALSE)</f>
        <v>سرپرست آی تی</v>
      </c>
      <c r="G257" s="127">
        <f>VLOOKUP(D257,'لیست پرسنل'!$B$2:$F$1020,2,FALSE)</f>
        <v>2210</v>
      </c>
      <c r="H257" s="151" t="s">
        <v>4290</v>
      </c>
      <c r="I257" s="127"/>
      <c r="J257" s="126" t="s">
        <v>368</v>
      </c>
      <c r="K257" s="127" t="s">
        <v>1817</v>
      </c>
      <c r="L257" s="127" t="s">
        <v>1472</v>
      </c>
      <c r="M257" s="127">
        <v>621755</v>
      </c>
      <c r="N257" s="109" t="s">
        <v>3148</v>
      </c>
      <c r="O257" s="19"/>
      <c r="P257" s="20"/>
      <c r="Q257" s="20"/>
    </row>
    <row r="258" spans="1:17" ht="24.9" customHeight="1">
      <c r="A258" s="20">
        <v>362</v>
      </c>
      <c r="B258" s="20" t="s">
        <v>4345</v>
      </c>
      <c r="C258" s="20"/>
      <c r="D258" s="20" t="s">
        <v>48</v>
      </c>
      <c r="E258" s="19" t="str">
        <f>VLOOKUP(D258,'لیست پرسنل'!$B$2:$E$1020,3,FALSE)</f>
        <v>فکورصنعت</v>
      </c>
      <c r="F258" s="19" t="str">
        <f>VLOOKUP(D258,'لیست پرسنل'!$B$2:$E$1020,4,FALSE)</f>
        <v>سرپرست آی تی</v>
      </c>
      <c r="G258" s="127">
        <f>VLOOKUP(D258,'لیست پرسنل'!$B$2:$F$1020,2,FALSE)</f>
        <v>2210</v>
      </c>
      <c r="H258" s="126" t="s">
        <v>4290</v>
      </c>
      <c r="I258" s="128"/>
      <c r="J258" s="126" t="s">
        <v>368</v>
      </c>
      <c r="K258" s="128" t="s">
        <v>1817</v>
      </c>
      <c r="L258" s="128" t="s">
        <v>4206</v>
      </c>
      <c r="M258" s="128">
        <v>621757</v>
      </c>
      <c r="N258" s="108"/>
      <c r="O258" s="20" t="s">
        <v>4148</v>
      </c>
      <c r="P258" s="20"/>
      <c r="Q258" s="20"/>
    </row>
    <row r="259" spans="1:17" ht="24.9" customHeight="1">
      <c r="A259" s="20">
        <v>362</v>
      </c>
      <c r="B259" s="20" t="s">
        <v>4345</v>
      </c>
      <c r="C259" s="20"/>
      <c r="D259" s="20" t="s">
        <v>48</v>
      </c>
      <c r="E259" s="19" t="str">
        <f>VLOOKUP(D259,'لیست پرسنل'!$B$2:$E$1020,3,FALSE)</f>
        <v>فکورصنعت</v>
      </c>
      <c r="F259" s="19" t="str">
        <f>VLOOKUP(D259,'لیست پرسنل'!$B$2:$E$1020,4,FALSE)</f>
        <v>سرپرست آی تی</v>
      </c>
      <c r="G259" s="127">
        <f>VLOOKUP(D259,'لیست پرسنل'!$B$2:$F$1020,2,FALSE)</f>
        <v>2210</v>
      </c>
      <c r="H259" s="126" t="s">
        <v>4290</v>
      </c>
      <c r="I259" s="128"/>
      <c r="J259" s="126" t="s">
        <v>368</v>
      </c>
      <c r="K259" s="147" t="s">
        <v>1817</v>
      </c>
      <c r="L259" s="128" t="s">
        <v>4209</v>
      </c>
      <c r="M259" s="128">
        <v>621761</v>
      </c>
      <c r="N259" s="108"/>
      <c r="O259" s="20" t="s">
        <v>4148</v>
      </c>
      <c r="P259" s="20"/>
      <c r="Q259" s="20"/>
    </row>
    <row r="260" spans="1:17" ht="24.9" customHeight="1">
      <c r="A260" s="20">
        <v>362</v>
      </c>
      <c r="B260" s="20" t="s">
        <v>4345</v>
      </c>
      <c r="C260" s="20"/>
      <c r="D260" s="20" t="s">
        <v>48</v>
      </c>
      <c r="E260" s="19" t="str">
        <f>VLOOKUP(D260,'لیست پرسنل'!$B$2:$E$1020,3,FALSE)</f>
        <v>فکورصنعت</v>
      </c>
      <c r="F260" s="19" t="str">
        <f>VLOOKUP(D260,'لیست پرسنل'!$B$2:$E$1020,4,FALSE)</f>
        <v>سرپرست آی تی</v>
      </c>
      <c r="G260" s="127">
        <f>VLOOKUP(D260,'لیست پرسنل'!$B$2:$F$1020,2,FALSE)</f>
        <v>2210</v>
      </c>
      <c r="H260" s="126" t="s">
        <v>4290</v>
      </c>
      <c r="I260" s="128"/>
      <c r="J260" s="126" t="s">
        <v>368</v>
      </c>
      <c r="K260" s="128" t="s">
        <v>1817</v>
      </c>
      <c r="L260" s="128" t="s">
        <v>4201</v>
      </c>
      <c r="M260" s="128">
        <v>621762</v>
      </c>
      <c r="N260" s="108"/>
      <c r="O260" s="20" t="s">
        <v>4148</v>
      </c>
      <c r="P260" s="20"/>
      <c r="Q260" s="20"/>
    </row>
    <row r="261" spans="1:17" ht="24.9" customHeight="1">
      <c r="A261" s="20">
        <v>362</v>
      </c>
      <c r="B261" s="20" t="s">
        <v>4345</v>
      </c>
      <c r="C261" s="20"/>
      <c r="D261" s="20" t="s">
        <v>48</v>
      </c>
      <c r="E261" s="19" t="str">
        <f>VLOOKUP(D261,'لیست پرسنل'!$B$2:$E$1020,3,FALSE)</f>
        <v>فکورصنعت</v>
      </c>
      <c r="F261" s="19" t="str">
        <f>VLOOKUP(D261,'لیست پرسنل'!$B$2:$E$1020,4,FALSE)</f>
        <v>سرپرست آی تی</v>
      </c>
      <c r="G261" s="127">
        <f>VLOOKUP(D261,'لیست پرسنل'!$B$2:$F$1020,2,FALSE)</f>
        <v>2210</v>
      </c>
      <c r="H261" s="126" t="s">
        <v>4290</v>
      </c>
      <c r="I261" s="128"/>
      <c r="J261" s="126" t="s">
        <v>368</v>
      </c>
      <c r="K261" s="128" t="s">
        <v>1817</v>
      </c>
      <c r="L261" s="128" t="s">
        <v>4204</v>
      </c>
      <c r="M261" s="128">
        <v>621763</v>
      </c>
      <c r="N261" s="108"/>
      <c r="O261" s="20" t="s">
        <v>4148</v>
      </c>
      <c r="P261" s="20"/>
      <c r="Q261" s="20"/>
    </row>
    <row r="262" spans="1:17" ht="24.9" customHeight="1">
      <c r="A262" s="20">
        <v>362</v>
      </c>
      <c r="B262" s="20" t="s">
        <v>4345</v>
      </c>
      <c r="C262" s="20"/>
      <c r="D262" s="20" t="s">
        <v>48</v>
      </c>
      <c r="E262" s="19" t="str">
        <f>VLOOKUP(D262,'لیست پرسنل'!$B$2:$E$1020,3,FALSE)</f>
        <v>فکورصنعت</v>
      </c>
      <c r="F262" s="19" t="str">
        <f>VLOOKUP(D262,'لیست پرسنل'!$B$2:$E$1020,4,FALSE)</f>
        <v>سرپرست آی تی</v>
      </c>
      <c r="G262" s="127">
        <f>VLOOKUP(D262,'لیست پرسنل'!$B$2:$F$1020,2,FALSE)</f>
        <v>2210</v>
      </c>
      <c r="H262" s="126" t="s">
        <v>4290</v>
      </c>
      <c r="I262" s="128"/>
      <c r="J262" s="126" t="s">
        <v>368</v>
      </c>
      <c r="K262" s="128" t="s">
        <v>1817</v>
      </c>
      <c r="L262" s="128" t="s">
        <v>4205</v>
      </c>
      <c r="M262" s="128">
        <v>621765</v>
      </c>
      <c r="N262" s="108" t="s">
        <v>4210</v>
      </c>
      <c r="O262" s="20" t="s">
        <v>4148</v>
      </c>
      <c r="P262" s="20"/>
      <c r="Q262" s="20"/>
    </row>
    <row r="263" spans="1:17" ht="24.9" customHeight="1">
      <c r="A263" s="20">
        <v>362</v>
      </c>
      <c r="B263" s="20" t="s">
        <v>4345</v>
      </c>
      <c r="C263" s="20"/>
      <c r="D263" s="20" t="s">
        <v>48</v>
      </c>
      <c r="E263" s="19" t="str">
        <f>VLOOKUP(D263,'لیست پرسنل'!$B$2:$E$1020,3,FALSE)</f>
        <v>فکورصنعت</v>
      </c>
      <c r="F263" s="19" t="str">
        <f>VLOOKUP(D263,'لیست پرسنل'!$B$2:$E$1020,4,FALSE)</f>
        <v>سرپرست آی تی</v>
      </c>
      <c r="G263" s="127">
        <f>VLOOKUP(D263,'لیست پرسنل'!$B$2:$F$1020,2,FALSE)</f>
        <v>2210</v>
      </c>
      <c r="H263" s="126" t="s">
        <v>4290</v>
      </c>
      <c r="I263" s="128"/>
      <c r="J263" s="126" t="s">
        <v>368</v>
      </c>
      <c r="K263" s="128" t="s">
        <v>1817</v>
      </c>
      <c r="L263" s="128" t="s">
        <v>4202</v>
      </c>
      <c r="M263" s="128">
        <v>621869</v>
      </c>
      <c r="N263" s="108"/>
      <c r="O263" s="20" t="s">
        <v>4148</v>
      </c>
      <c r="P263" s="20"/>
      <c r="Q263" s="20"/>
    </row>
    <row r="264" spans="1:17" ht="24.9" customHeight="1">
      <c r="A264" s="20">
        <v>362</v>
      </c>
      <c r="B264" s="20" t="s">
        <v>4345</v>
      </c>
      <c r="C264" s="20"/>
      <c r="D264" s="20" t="s">
        <v>48</v>
      </c>
      <c r="E264" s="19" t="str">
        <f>VLOOKUP(D264,'لیست پرسنل'!$B$2:$E$1020,3,FALSE)</f>
        <v>فکورصنعت</v>
      </c>
      <c r="F264" s="19" t="str">
        <f>VLOOKUP(D264,'لیست پرسنل'!$B$2:$E$1020,4,FALSE)</f>
        <v>سرپرست آی تی</v>
      </c>
      <c r="G264" s="127">
        <f>VLOOKUP(D264,'لیست پرسنل'!$B$2:$F$1020,2,FALSE)</f>
        <v>2210</v>
      </c>
      <c r="H264" s="126" t="s">
        <v>4290</v>
      </c>
      <c r="I264" s="128"/>
      <c r="J264" s="126" t="s">
        <v>368</v>
      </c>
      <c r="K264" s="128" t="s">
        <v>1817</v>
      </c>
      <c r="L264" s="128" t="s">
        <v>4208</v>
      </c>
      <c r="M264" s="128">
        <v>621870</v>
      </c>
      <c r="N264" s="108"/>
      <c r="O264" s="20" t="s">
        <v>4148</v>
      </c>
      <c r="P264" s="20"/>
      <c r="Q264" s="20"/>
    </row>
    <row r="265" spans="1:17" ht="24.9" customHeight="1">
      <c r="A265" s="20">
        <v>362</v>
      </c>
      <c r="B265" s="20" t="s">
        <v>4345</v>
      </c>
      <c r="C265" s="20"/>
      <c r="D265" s="20" t="s">
        <v>48</v>
      </c>
      <c r="E265" s="19" t="str">
        <f>VLOOKUP(D265,'لیست پرسنل'!$B$2:$E$1020,3,FALSE)</f>
        <v>فکورصنعت</v>
      </c>
      <c r="F265" s="19" t="str">
        <f>VLOOKUP(D265,'لیست پرسنل'!$B$2:$E$1020,4,FALSE)</f>
        <v>سرپرست آی تی</v>
      </c>
      <c r="G265" s="127">
        <f>VLOOKUP(D265,'لیست پرسنل'!$B$2:$F$1020,2,FALSE)</f>
        <v>2210</v>
      </c>
      <c r="H265" s="126" t="s">
        <v>4290</v>
      </c>
      <c r="I265" s="128"/>
      <c r="J265" s="126" t="s">
        <v>368</v>
      </c>
      <c r="K265" s="128" t="s">
        <v>1817</v>
      </c>
      <c r="L265" s="128" t="s">
        <v>4207</v>
      </c>
      <c r="M265" s="128">
        <v>621871</v>
      </c>
      <c r="N265" s="108"/>
      <c r="O265" s="20" t="s">
        <v>4148</v>
      </c>
      <c r="P265" s="20"/>
      <c r="Q265" s="20"/>
    </row>
    <row r="266" spans="1:17" ht="24.9" customHeight="1">
      <c r="A266" s="20">
        <v>362</v>
      </c>
      <c r="B266" s="20" t="s">
        <v>4345</v>
      </c>
      <c r="C266" s="20"/>
      <c r="D266" s="20" t="s">
        <v>48</v>
      </c>
      <c r="E266" s="19" t="str">
        <f>VLOOKUP(D266,'لیست پرسنل'!$B$2:$E$1020,3,FALSE)</f>
        <v>فکورصنعت</v>
      </c>
      <c r="F266" s="19" t="str">
        <f>VLOOKUP(D266,'لیست پرسنل'!$B$2:$E$1020,4,FALSE)</f>
        <v>سرپرست آی تی</v>
      </c>
      <c r="G266" s="127">
        <f>VLOOKUP(D266,'لیست پرسنل'!$B$2:$F$1020,2,FALSE)</f>
        <v>2210</v>
      </c>
      <c r="H266" s="126" t="s">
        <v>4290</v>
      </c>
      <c r="I266" s="128"/>
      <c r="J266" s="126" t="s">
        <v>368</v>
      </c>
      <c r="K266" s="128" t="s">
        <v>1817</v>
      </c>
      <c r="L266" s="128" t="s">
        <v>4203</v>
      </c>
      <c r="M266" s="128">
        <v>621872</v>
      </c>
      <c r="N266" s="108"/>
      <c r="O266" s="20" t="s">
        <v>4148</v>
      </c>
      <c r="P266" s="20"/>
      <c r="Q266" s="20"/>
    </row>
    <row r="267" spans="1:17" ht="24.9" customHeight="1">
      <c r="A267" s="20">
        <v>362</v>
      </c>
      <c r="B267" s="20" t="s">
        <v>4345</v>
      </c>
      <c r="C267" s="19"/>
      <c r="D267" s="19" t="s">
        <v>48</v>
      </c>
      <c r="E267" s="19" t="str">
        <f>VLOOKUP(D267,'لیست پرسنل'!$B$2:$E$1020,3,FALSE)</f>
        <v>فکورصنعت</v>
      </c>
      <c r="F267" s="19" t="str">
        <f>VLOOKUP(D267,'لیست پرسنل'!$B$2:$E$1020,4,FALSE)</f>
        <v>سرپرست آی تی</v>
      </c>
      <c r="G267" s="127">
        <f>VLOOKUP(D267,'لیست پرسنل'!$B$2:$F$1020,2,FALSE)</f>
        <v>2210</v>
      </c>
      <c r="H267" s="151" t="s">
        <v>4290</v>
      </c>
      <c r="I267" s="127"/>
      <c r="J267" s="126" t="s">
        <v>368</v>
      </c>
      <c r="K267" s="128" t="s">
        <v>656</v>
      </c>
      <c r="L267" s="127"/>
      <c r="M267" s="128">
        <v>622542</v>
      </c>
      <c r="N267" s="108"/>
      <c r="O267" s="19"/>
      <c r="P267" s="20"/>
      <c r="Q267" s="20"/>
    </row>
    <row r="268" spans="1:17" ht="24.9" customHeight="1">
      <c r="A268" s="20">
        <v>362</v>
      </c>
      <c r="B268" s="20" t="s">
        <v>4345</v>
      </c>
      <c r="C268" s="20"/>
      <c r="D268" s="20" t="s">
        <v>48</v>
      </c>
      <c r="E268" s="19" t="str">
        <f>VLOOKUP(D268,'لیست پرسنل'!$B$2:$E$1020,3,FALSE)</f>
        <v>فکورصنعت</v>
      </c>
      <c r="F268" s="19" t="str">
        <f>VLOOKUP(D268,'لیست پرسنل'!$B$2:$E$1020,4,FALSE)</f>
        <v>سرپرست آی تی</v>
      </c>
      <c r="G268" s="127">
        <f>VLOOKUP(D268,'لیست پرسنل'!$B$2:$F$1020,2,FALSE)</f>
        <v>2210</v>
      </c>
      <c r="H268" s="126" t="s">
        <v>4290</v>
      </c>
      <c r="I268" s="128"/>
      <c r="J268" s="126" t="s">
        <v>368</v>
      </c>
      <c r="K268" s="128" t="s">
        <v>658</v>
      </c>
      <c r="L268" s="150" t="s">
        <v>6448</v>
      </c>
      <c r="M268" s="128">
        <v>622543</v>
      </c>
      <c r="N268" s="108"/>
      <c r="O268" s="20"/>
      <c r="P268" s="20"/>
      <c r="Q268" s="20"/>
    </row>
    <row r="269" spans="1:17" ht="24.9" customHeight="1">
      <c r="A269" s="20">
        <v>362</v>
      </c>
      <c r="B269" s="20" t="s">
        <v>4345</v>
      </c>
      <c r="C269" s="20"/>
      <c r="D269" s="20" t="s">
        <v>48</v>
      </c>
      <c r="E269" s="19" t="str">
        <f>VLOOKUP(D269,'لیست پرسنل'!$B$2:$E$1020,3,FALSE)</f>
        <v>فکورصنعت</v>
      </c>
      <c r="F269" s="19" t="str">
        <f>VLOOKUP(D269,'لیست پرسنل'!$B$2:$E$1020,4,FALSE)</f>
        <v>سرپرست آی تی</v>
      </c>
      <c r="G269" s="127">
        <f>VLOOKUP(D269,'لیست پرسنل'!$B$2:$F$1020,2,FALSE)</f>
        <v>2210</v>
      </c>
      <c r="H269" s="126" t="s">
        <v>4290</v>
      </c>
      <c r="I269" s="128"/>
      <c r="J269" s="126" t="s">
        <v>368</v>
      </c>
      <c r="K269" s="134" t="s">
        <v>660</v>
      </c>
      <c r="L269" s="151" t="s">
        <v>672</v>
      </c>
      <c r="M269" s="127">
        <v>622557</v>
      </c>
      <c r="N269" s="108"/>
      <c r="O269" s="20"/>
      <c r="P269" s="20"/>
      <c r="Q269" s="20"/>
    </row>
    <row r="270" spans="1:17" ht="24.9" customHeight="1">
      <c r="A270" s="20">
        <v>362</v>
      </c>
      <c r="B270" s="20" t="s">
        <v>4345</v>
      </c>
      <c r="C270" s="20"/>
      <c r="D270" s="20" t="s">
        <v>48</v>
      </c>
      <c r="E270" s="19" t="str">
        <f>VLOOKUP(D270,'لیست پرسنل'!$B$2:$E$1020,3,FALSE)</f>
        <v>فکورصنعت</v>
      </c>
      <c r="F270" s="19" t="str">
        <f>VLOOKUP(D270,'لیست پرسنل'!$B$2:$E$1020,4,FALSE)</f>
        <v>سرپرست آی تی</v>
      </c>
      <c r="G270" s="127">
        <f>VLOOKUP(D270,'لیست پرسنل'!$B$2:$F$1020,2,FALSE)</f>
        <v>2210</v>
      </c>
      <c r="H270" s="126" t="s">
        <v>4290</v>
      </c>
      <c r="I270" s="128"/>
      <c r="J270" s="126" t="s">
        <v>368</v>
      </c>
      <c r="K270" s="128" t="s">
        <v>2759</v>
      </c>
      <c r="L270" s="151"/>
      <c r="M270" s="127">
        <v>622559</v>
      </c>
      <c r="N270" s="108"/>
      <c r="O270" s="20"/>
      <c r="P270" s="20"/>
      <c r="Q270" s="20"/>
    </row>
    <row r="271" spans="1:17" ht="24.9" customHeight="1">
      <c r="A271" s="20">
        <v>362</v>
      </c>
      <c r="B271" s="20" t="s">
        <v>4345</v>
      </c>
      <c r="C271" s="20"/>
      <c r="D271" s="20" t="s">
        <v>48</v>
      </c>
      <c r="E271" s="19" t="str">
        <f>VLOOKUP(D271,'لیست پرسنل'!$B$2:$E$1020,3,FALSE)</f>
        <v>فکورصنعت</v>
      </c>
      <c r="F271" s="19" t="str">
        <f>VLOOKUP(D271,'لیست پرسنل'!$B$2:$E$1020,4,FALSE)</f>
        <v>سرپرست آی تی</v>
      </c>
      <c r="G271" s="127">
        <f>VLOOKUP(D271,'لیست پرسنل'!$B$2:$F$1020,2,FALSE)</f>
        <v>2210</v>
      </c>
      <c r="H271" s="126" t="s">
        <v>4290</v>
      </c>
      <c r="I271" s="128"/>
      <c r="J271" s="126" t="s">
        <v>368</v>
      </c>
      <c r="K271" s="128" t="s">
        <v>2759</v>
      </c>
      <c r="L271" s="151"/>
      <c r="M271" s="127">
        <v>622561</v>
      </c>
      <c r="N271" s="108"/>
      <c r="O271" s="20"/>
      <c r="P271" s="20"/>
      <c r="Q271" s="20"/>
    </row>
    <row r="272" spans="1:17" ht="24.9" customHeight="1">
      <c r="A272" s="20">
        <v>362</v>
      </c>
      <c r="B272" s="20" t="s">
        <v>4345</v>
      </c>
      <c r="C272" s="20"/>
      <c r="D272" s="20" t="s">
        <v>48</v>
      </c>
      <c r="E272" s="19" t="str">
        <f>VLOOKUP(D272,'لیست پرسنل'!$B$2:$E$1020,3,FALSE)</f>
        <v>فکورصنعت</v>
      </c>
      <c r="F272" s="19" t="str">
        <f>VLOOKUP(D272,'لیست پرسنل'!$B$2:$E$1020,4,FALSE)</f>
        <v>سرپرست آی تی</v>
      </c>
      <c r="G272" s="127">
        <f>VLOOKUP(D272,'لیست پرسنل'!$B$2:$F$1020,2,FALSE)</f>
        <v>2210</v>
      </c>
      <c r="H272" s="126" t="s">
        <v>4290</v>
      </c>
      <c r="I272" s="128"/>
      <c r="J272" s="126" t="s">
        <v>368</v>
      </c>
      <c r="K272" s="128" t="s">
        <v>2759</v>
      </c>
      <c r="L272" s="151"/>
      <c r="M272" s="127">
        <v>622567</v>
      </c>
      <c r="N272" s="108"/>
      <c r="O272" s="20"/>
      <c r="P272" s="20"/>
      <c r="Q272" s="20"/>
    </row>
    <row r="273" spans="1:17" ht="24.9" customHeight="1">
      <c r="A273" s="20">
        <v>362</v>
      </c>
      <c r="B273" s="20" t="s">
        <v>4345</v>
      </c>
      <c r="C273" s="20"/>
      <c r="D273" s="20" t="s">
        <v>48</v>
      </c>
      <c r="E273" s="19" t="str">
        <f>VLOOKUP(D273,'لیست پرسنل'!$B$2:$E$1020,3,FALSE)</f>
        <v>فکورصنعت</v>
      </c>
      <c r="F273" s="19" t="str">
        <f>VLOOKUP(D273,'لیست پرسنل'!$B$2:$E$1020,4,FALSE)</f>
        <v>سرپرست آی تی</v>
      </c>
      <c r="G273" s="127">
        <f>VLOOKUP(D273,'لیست پرسنل'!$B$2:$F$1020,2,FALSE)</f>
        <v>2210</v>
      </c>
      <c r="H273" s="151" t="s">
        <v>4290</v>
      </c>
      <c r="I273" s="127"/>
      <c r="J273" s="126" t="s">
        <v>368</v>
      </c>
      <c r="K273" s="128" t="s">
        <v>658</v>
      </c>
      <c r="L273" s="128"/>
      <c r="M273" s="127">
        <v>622619</v>
      </c>
      <c r="N273" s="108"/>
      <c r="O273" s="46"/>
      <c r="P273" s="20"/>
      <c r="Q273" s="20"/>
    </row>
    <row r="274" spans="1:17" ht="24.9" customHeight="1">
      <c r="A274" s="20">
        <v>362</v>
      </c>
      <c r="B274" s="20" t="s">
        <v>4345</v>
      </c>
      <c r="C274" s="20"/>
      <c r="D274" s="20" t="s">
        <v>48</v>
      </c>
      <c r="E274" s="19" t="str">
        <f>VLOOKUP(D274,'لیست پرسنل'!$B$2:$E$1020,3,FALSE)</f>
        <v>فکورصنعت</v>
      </c>
      <c r="F274" s="19" t="str">
        <f>VLOOKUP(D274,'لیست پرسنل'!$B$2:$E$1020,4,FALSE)</f>
        <v>سرپرست آی تی</v>
      </c>
      <c r="G274" s="127">
        <f>VLOOKUP(D274,'لیست پرسنل'!$B$2:$F$1020,2,FALSE)</f>
        <v>2210</v>
      </c>
      <c r="H274" s="126" t="s">
        <v>4290</v>
      </c>
      <c r="I274" s="128"/>
      <c r="J274" s="126" t="s">
        <v>368</v>
      </c>
      <c r="K274" s="128" t="s">
        <v>1147</v>
      </c>
      <c r="L274" s="151"/>
      <c r="M274" s="127">
        <v>622823</v>
      </c>
      <c r="N274" s="108"/>
      <c r="O274" s="20"/>
      <c r="P274" s="20"/>
      <c r="Q274" s="20"/>
    </row>
    <row r="275" spans="1:17" ht="24.9" customHeight="1">
      <c r="A275" s="20">
        <v>362</v>
      </c>
      <c r="B275" s="20" t="s">
        <v>4345</v>
      </c>
      <c r="C275" s="20"/>
      <c r="D275" s="20" t="s">
        <v>48</v>
      </c>
      <c r="E275" s="19" t="str">
        <f>VLOOKUP(D275,'لیست پرسنل'!$B$2:$E$1020,3,FALSE)</f>
        <v>فکورصنعت</v>
      </c>
      <c r="F275" s="19" t="str">
        <f>VLOOKUP(D275,'لیست پرسنل'!$B$2:$E$1020,4,FALSE)</f>
        <v>سرپرست آی تی</v>
      </c>
      <c r="G275" s="127">
        <f>VLOOKUP(D275,'لیست پرسنل'!$B$2:$F$1020,2,FALSE)</f>
        <v>2210</v>
      </c>
      <c r="H275" s="126" t="s">
        <v>4290</v>
      </c>
      <c r="I275" s="128"/>
      <c r="J275" s="126" t="s">
        <v>368</v>
      </c>
      <c r="K275" s="128" t="s">
        <v>1147</v>
      </c>
      <c r="L275" s="151"/>
      <c r="M275" s="127">
        <v>622826</v>
      </c>
      <c r="N275" s="108"/>
      <c r="O275" s="20"/>
      <c r="P275" s="20"/>
      <c r="Q275" s="20"/>
    </row>
    <row r="276" spans="1:17" ht="24.9" customHeight="1">
      <c r="A276" s="20">
        <v>362</v>
      </c>
      <c r="B276" s="20" t="s">
        <v>4345</v>
      </c>
      <c r="C276" s="20"/>
      <c r="D276" s="20" t="s">
        <v>48</v>
      </c>
      <c r="E276" s="19" t="str">
        <f>VLOOKUP(D276,'لیست پرسنل'!$B$2:$E$1020,3,FALSE)</f>
        <v>فکورصنعت</v>
      </c>
      <c r="F276" s="19" t="str">
        <f>VLOOKUP(D276,'لیست پرسنل'!$B$2:$E$1020,4,FALSE)</f>
        <v>سرپرست آی تی</v>
      </c>
      <c r="G276" s="127">
        <f>VLOOKUP(D276,'لیست پرسنل'!$B$2:$F$1020,2,FALSE)</f>
        <v>2210</v>
      </c>
      <c r="H276" s="126" t="s">
        <v>4290</v>
      </c>
      <c r="I276" s="128"/>
      <c r="J276" s="126" t="s">
        <v>368</v>
      </c>
      <c r="K276" s="135" t="s">
        <v>8248</v>
      </c>
      <c r="L276" s="151"/>
      <c r="M276" s="127">
        <v>623222</v>
      </c>
      <c r="N276" s="108"/>
      <c r="O276" s="19"/>
      <c r="P276" s="20"/>
      <c r="Q276" s="20"/>
    </row>
    <row r="277" spans="1:17" ht="24.9" customHeight="1">
      <c r="A277" s="20">
        <v>362</v>
      </c>
      <c r="B277" s="20" t="s">
        <v>4345</v>
      </c>
      <c r="C277" s="19"/>
      <c r="D277" s="19" t="s">
        <v>48</v>
      </c>
      <c r="E277" s="19" t="str">
        <f>VLOOKUP(D277,'لیست پرسنل'!$B$2:$E$1020,3,FALSE)</f>
        <v>فکورصنعت</v>
      </c>
      <c r="F277" s="19" t="str">
        <f>VLOOKUP(D277,'لیست پرسنل'!$B$2:$E$1020,4,FALSE)</f>
        <v>سرپرست آی تی</v>
      </c>
      <c r="G277" s="127">
        <f>VLOOKUP(D277,'لیست پرسنل'!$B$2:$F$1020,2,FALSE)</f>
        <v>2210</v>
      </c>
      <c r="H277" s="151" t="s">
        <v>4290</v>
      </c>
      <c r="I277" s="127"/>
      <c r="J277" s="126" t="s">
        <v>368</v>
      </c>
      <c r="K277" s="128" t="s">
        <v>8248</v>
      </c>
      <c r="L277" s="154" t="s">
        <v>1742</v>
      </c>
      <c r="M277" s="127">
        <v>625695</v>
      </c>
      <c r="N277" s="109"/>
      <c r="O277" s="19"/>
      <c r="P277" s="20"/>
      <c r="Q277" s="20"/>
    </row>
    <row r="278" spans="1:17" ht="24.9" customHeight="1">
      <c r="A278" s="20">
        <v>362</v>
      </c>
      <c r="B278" s="20" t="s">
        <v>4345</v>
      </c>
      <c r="C278" s="20"/>
      <c r="D278" s="20" t="s">
        <v>48</v>
      </c>
      <c r="E278" s="19" t="str">
        <f>VLOOKUP(D278,'لیست پرسنل'!$B$2:$E$1020,3,FALSE)</f>
        <v>فکورصنعت</v>
      </c>
      <c r="F278" s="19" t="str">
        <f>VLOOKUP(D278,'لیست پرسنل'!$B$2:$E$1020,4,FALSE)</f>
        <v>سرپرست آی تی</v>
      </c>
      <c r="G278" s="127">
        <f>VLOOKUP(D278,'لیست پرسنل'!$B$2:$F$1020,2,FALSE)</f>
        <v>2210</v>
      </c>
      <c r="H278" s="126" t="s">
        <v>4290</v>
      </c>
      <c r="I278" s="128"/>
      <c r="J278" s="126" t="s">
        <v>368</v>
      </c>
      <c r="K278" s="135" t="s">
        <v>2274</v>
      </c>
      <c r="L278" s="127" t="s">
        <v>2279</v>
      </c>
      <c r="M278" s="128">
        <v>626702</v>
      </c>
      <c r="N278" s="108"/>
      <c r="O278" s="20" t="s">
        <v>705</v>
      </c>
      <c r="P278" s="20"/>
      <c r="Q278" s="20"/>
    </row>
    <row r="279" spans="1:17" ht="24.9" customHeight="1">
      <c r="A279" s="20">
        <v>362</v>
      </c>
      <c r="B279" s="20" t="s">
        <v>4345</v>
      </c>
      <c r="C279" s="20"/>
      <c r="D279" s="20" t="s">
        <v>48</v>
      </c>
      <c r="E279" s="19" t="str">
        <f>VLOOKUP(D279,'لیست پرسنل'!$B$2:$E$1020,3,FALSE)</f>
        <v>فکورصنعت</v>
      </c>
      <c r="F279" s="19" t="str">
        <f>VLOOKUP(D279,'لیست پرسنل'!$B$2:$E$1020,4,FALSE)</f>
        <v>سرپرست آی تی</v>
      </c>
      <c r="G279" s="127">
        <f>VLOOKUP(D279,'لیست پرسنل'!$B$2:$F$1020,2,FALSE)</f>
        <v>2210</v>
      </c>
      <c r="H279" s="126" t="s">
        <v>4290</v>
      </c>
      <c r="I279" s="128"/>
      <c r="J279" s="126" t="s">
        <v>368</v>
      </c>
      <c r="K279" s="135" t="s">
        <v>2274</v>
      </c>
      <c r="L279" s="128" t="s">
        <v>2275</v>
      </c>
      <c r="M279" s="128">
        <v>626709</v>
      </c>
      <c r="N279" s="108"/>
      <c r="O279" s="20" t="s">
        <v>705</v>
      </c>
      <c r="P279" s="20"/>
      <c r="Q279" s="20"/>
    </row>
    <row r="280" spans="1:17" ht="24.9" customHeight="1">
      <c r="A280" s="20">
        <v>362</v>
      </c>
      <c r="B280" s="20" t="s">
        <v>4345</v>
      </c>
      <c r="C280" s="20"/>
      <c r="D280" s="20" t="s">
        <v>48</v>
      </c>
      <c r="E280" s="19" t="str">
        <f>VLOOKUP(D280,'لیست پرسنل'!$B$2:$E$1020,3,FALSE)</f>
        <v>فکورصنعت</v>
      </c>
      <c r="F280" s="19" t="str">
        <f>VLOOKUP(D280,'لیست پرسنل'!$B$2:$E$1020,4,FALSE)</f>
        <v>سرپرست آی تی</v>
      </c>
      <c r="G280" s="127">
        <f>VLOOKUP(D280,'لیست پرسنل'!$B$2:$F$1020,2,FALSE)</f>
        <v>2210</v>
      </c>
      <c r="H280" s="126" t="s">
        <v>4290</v>
      </c>
      <c r="I280" s="128"/>
      <c r="J280" s="126" t="s">
        <v>368</v>
      </c>
      <c r="K280" s="135" t="s">
        <v>2274</v>
      </c>
      <c r="L280" s="127" t="s">
        <v>2276</v>
      </c>
      <c r="M280" s="128">
        <v>626710</v>
      </c>
      <c r="N280" s="108"/>
      <c r="O280" s="20" t="s">
        <v>705</v>
      </c>
      <c r="P280" s="20"/>
      <c r="Q280" s="20"/>
    </row>
    <row r="281" spans="1:17" ht="24.9" customHeight="1">
      <c r="A281" s="20">
        <v>362</v>
      </c>
      <c r="B281" s="20" t="s">
        <v>4345</v>
      </c>
      <c r="C281" s="20"/>
      <c r="D281" s="20" t="s">
        <v>48</v>
      </c>
      <c r="E281" s="19" t="str">
        <f>VLOOKUP(D281,'لیست پرسنل'!$B$2:$E$1020,3,FALSE)</f>
        <v>فکورصنعت</v>
      </c>
      <c r="F281" s="19" t="str">
        <f>VLOOKUP(D281,'لیست پرسنل'!$B$2:$E$1020,4,FALSE)</f>
        <v>سرپرست آی تی</v>
      </c>
      <c r="G281" s="127">
        <f>VLOOKUP(D281,'لیست پرسنل'!$B$2:$F$1020,2,FALSE)</f>
        <v>2210</v>
      </c>
      <c r="H281" s="126" t="s">
        <v>4290</v>
      </c>
      <c r="I281" s="128"/>
      <c r="J281" s="126" t="s">
        <v>368</v>
      </c>
      <c r="K281" s="135" t="s">
        <v>2274</v>
      </c>
      <c r="L281" s="127" t="s">
        <v>2277</v>
      </c>
      <c r="M281" s="128">
        <v>626711</v>
      </c>
      <c r="N281" s="108"/>
      <c r="O281" s="20" t="s">
        <v>705</v>
      </c>
      <c r="P281" s="20"/>
      <c r="Q281" s="20"/>
    </row>
    <row r="282" spans="1:17" ht="24.9" customHeight="1">
      <c r="A282" s="20">
        <v>362</v>
      </c>
      <c r="B282" s="20" t="s">
        <v>4345</v>
      </c>
      <c r="C282" s="20"/>
      <c r="D282" s="20" t="s">
        <v>48</v>
      </c>
      <c r="E282" s="19" t="str">
        <f>VLOOKUP(D282,'لیست پرسنل'!$B$2:$E$1020,3,FALSE)</f>
        <v>فکورصنعت</v>
      </c>
      <c r="F282" s="19" t="str">
        <f>VLOOKUP(D282,'لیست پرسنل'!$B$2:$E$1020,4,FALSE)</f>
        <v>سرپرست آی تی</v>
      </c>
      <c r="G282" s="127">
        <f>VLOOKUP(D282,'لیست پرسنل'!$B$2:$F$1020,2,FALSE)</f>
        <v>2210</v>
      </c>
      <c r="H282" s="126" t="s">
        <v>4290</v>
      </c>
      <c r="I282" s="128"/>
      <c r="J282" s="126" t="s">
        <v>368</v>
      </c>
      <c r="K282" s="135" t="s">
        <v>2274</v>
      </c>
      <c r="L282" s="127" t="s">
        <v>2278</v>
      </c>
      <c r="M282" s="128">
        <v>626712</v>
      </c>
      <c r="N282" s="108"/>
      <c r="O282" s="20" t="s">
        <v>705</v>
      </c>
      <c r="P282" s="20"/>
      <c r="Q282" s="20"/>
    </row>
    <row r="283" spans="1:17" ht="24.9" customHeight="1">
      <c r="A283" s="20">
        <v>362</v>
      </c>
      <c r="B283" s="20" t="s">
        <v>4345</v>
      </c>
      <c r="C283" s="19"/>
      <c r="D283" s="19" t="s">
        <v>48</v>
      </c>
      <c r="E283" s="19" t="str">
        <f>VLOOKUP(D283,'لیست پرسنل'!$B$2:$E$1020,3,FALSE)</f>
        <v>فکورصنعت</v>
      </c>
      <c r="F283" s="19" t="str">
        <f>VLOOKUP(D283,'لیست پرسنل'!$B$2:$E$1020,4,FALSE)</f>
        <v>سرپرست آی تی</v>
      </c>
      <c r="G283" s="127">
        <f>VLOOKUP(D283,'لیست پرسنل'!$B$2:$F$1020,2,FALSE)</f>
        <v>2210</v>
      </c>
      <c r="H283" s="127" t="s">
        <v>4290</v>
      </c>
      <c r="I283" s="127"/>
      <c r="J283" s="126" t="s">
        <v>368</v>
      </c>
      <c r="K283" s="128" t="s">
        <v>2846</v>
      </c>
      <c r="L283" s="128" t="s">
        <v>2029</v>
      </c>
      <c r="M283" s="128">
        <v>627200</v>
      </c>
      <c r="N283" s="108"/>
      <c r="O283" s="20"/>
      <c r="P283" s="20"/>
      <c r="Q283" s="20"/>
    </row>
    <row r="284" spans="1:17" ht="24.9" customHeight="1">
      <c r="A284" s="20">
        <v>362</v>
      </c>
      <c r="B284" s="20" t="s">
        <v>4345</v>
      </c>
      <c r="C284" s="20"/>
      <c r="D284" s="20" t="s">
        <v>48</v>
      </c>
      <c r="E284" s="19" t="str">
        <f>VLOOKUP(D284,'لیست پرسنل'!$B$2:$E$1020,3,FALSE)</f>
        <v>فکورصنعت</v>
      </c>
      <c r="F284" s="19" t="str">
        <f>VLOOKUP(D284,'لیست پرسنل'!$B$2:$E$1020,4,FALSE)</f>
        <v>سرپرست آی تی</v>
      </c>
      <c r="G284" s="127">
        <f>VLOOKUP(D284,'لیست پرسنل'!$B$2:$F$1020,2,FALSE)</f>
        <v>2210</v>
      </c>
      <c r="H284" s="126" t="s">
        <v>4290</v>
      </c>
      <c r="I284" s="128"/>
      <c r="J284" s="126" t="s">
        <v>368</v>
      </c>
      <c r="K284" s="128" t="s">
        <v>2853</v>
      </c>
      <c r="L284" s="128" t="s">
        <v>2854</v>
      </c>
      <c r="M284" s="128">
        <v>628680</v>
      </c>
      <c r="N284" s="108"/>
      <c r="O284" s="20" t="s">
        <v>705</v>
      </c>
      <c r="P284" s="20"/>
      <c r="Q284" s="20"/>
    </row>
    <row r="285" spans="1:17" ht="24.9" customHeight="1">
      <c r="A285" s="20">
        <v>362</v>
      </c>
      <c r="B285" s="20" t="s">
        <v>4345</v>
      </c>
      <c r="C285" s="20"/>
      <c r="D285" s="20" t="s">
        <v>48</v>
      </c>
      <c r="E285" s="19" t="str">
        <f>VLOOKUP(D285,'لیست پرسنل'!$B$2:$E$1020,3,FALSE)</f>
        <v>فکورصنعت</v>
      </c>
      <c r="F285" s="19" t="str">
        <f>VLOOKUP(D285,'لیست پرسنل'!$B$2:$E$1020,4,FALSE)</f>
        <v>سرپرست آی تی</v>
      </c>
      <c r="G285" s="127">
        <f>VLOOKUP(D285,'لیست پرسنل'!$B$2:$F$1020,2,FALSE)</f>
        <v>2210</v>
      </c>
      <c r="H285" s="126" t="s">
        <v>4290</v>
      </c>
      <c r="I285" s="128"/>
      <c r="J285" s="126" t="s">
        <v>368</v>
      </c>
      <c r="K285" s="128" t="s">
        <v>2853</v>
      </c>
      <c r="L285" s="128" t="s">
        <v>2856</v>
      </c>
      <c r="M285" s="128">
        <v>628684</v>
      </c>
      <c r="N285" s="108"/>
      <c r="O285" s="20" t="s">
        <v>705</v>
      </c>
      <c r="P285" s="20"/>
      <c r="Q285" s="20"/>
    </row>
    <row r="286" spans="1:17" ht="24.9" customHeight="1">
      <c r="A286" s="20">
        <v>362</v>
      </c>
      <c r="B286" s="20" t="s">
        <v>4345</v>
      </c>
      <c r="C286" s="19"/>
      <c r="D286" s="19" t="s">
        <v>48</v>
      </c>
      <c r="E286" s="19" t="str">
        <f>VLOOKUP(D286,'لیست پرسنل'!$B$2:$E$1020,3,FALSE)</f>
        <v>فکورصنعت</v>
      </c>
      <c r="F286" s="19" t="str">
        <f>VLOOKUP(D286,'لیست پرسنل'!$B$2:$E$1020,4,FALSE)</f>
        <v>سرپرست آی تی</v>
      </c>
      <c r="G286" s="127">
        <f>VLOOKUP(D286,'لیست پرسنل'!$B$2:$F$1020,2,FALSE)</f>
        <v>2210</v>
      </c>
      <c r="H286" s="126" t="s">
        <v>4290</v>
      </c>
      <c r="I286" s="127"/>
      <c r="J286" s="126" t="s">
        <v>368</v>
      </c>
      <c r="K286" s="128" t="s">
        <v>8248</v>
      </c>
      <c r="L286" s="127" t="s">
        <v>2281</v>
      </c>
      <c r="M286" s="128">
        <v>628686</v>
      </c>
      <c r="N286" s="108"/>
      <c r="O286" s="20" t="s">
        <v>705</v>
      </c>
      <c r="P286" s="20"/>
      <c r="Q286" s="20"/>
    </row>
    <row r="287" spans="1:17" ht="24.9" customHeight="1">
      <c r="A287" s="20">
        <v>362</v>
      </c>
      <c r="B287" s="20" t="s">
        <v>4345</v>
      </c>
      <c r="C287" s="20"/>
      <c r="D287" s="20" t="s">
        <v>48</v>
      </c>
      <c r="E287" s="19" t="str">
        <f>VLOOKUP(D287,'لیست پرسنل'!$B$2:$E$1020,3,FALSE)</f>
        <v>فکورصنعت</v>
      </c>
      <c r="F287" s="19" t="str">
        <f>VLOOKUP(D287,'لیست پرسنل'!$B$2:$E$1020,4,FALSE)</f>
        <v>سرپرست آی تی</v>
      </c>
      <c r="G287" s="127">
        <f>VLOOKUP(D287,'لیست پرسنل'!$B$2:$F$1020,2,FALSE)</f>
        <v>2210</v>
      </c>
      <c r="H287" s="126" t="s">
        <v>4290</v>
      </c>
      <c r="I287" s="128"/>
      <c r="J287" s="126" t="s">
        <v>368</v>
      </c>
      <c r="K287" s="128" t="s">
        <v>8248</v>
      </c>
      <c r="L287" s="127" t="s">
        <v>2282</v>
      </c>
      <c r="M287" s="128">
        <v>628687</v>
      </c>
      <c r="N287" s="108"/>
      <c r="O287" s="20" t="s">
        <v>705</v>
      </c>
      <c r="P287" s="20"/>
      <c r="Q287" s="20"/>
    </row>
    <row r="288" spans="1:17" ht="24.9" customHeight="1">
      <c r="A288" s="20">
        <v>362</v>
      </c>
      <c r="B288" s="20" t="s">
        <v>4345</v>
      </c>
      <c r="C288" s="20"/>
      <c r="D288" s="20" t="s">
        <v>48</v>
      </c>
      <c r="E288" s="19" t="str">
        <f>VLOOKUP(D288,'لیست پرسنل'!$B$2:$E$1020,3,FALSE)</f>
        <v>فکورصنعت</v>
      </c>
      <c r="F288" s="19" t="str">
        <f>VLOOKUP(D288,'لیست پرسنل'!$B$2:$E$1020,4,FALSE)</f>
        <v>سرپرست آی تی</v>
      </c>
      <c r="G288" s="127">
        <f>VLOOKUP(D288,'لیست پرسنل'!$B$2:$F$1020,2,FALSE)</f>
        <v>2210</v>
      </c>
      <c r="H288" s="126" t="s">
        <v>4290</v>
      </c>
      <c r="I288" s="128"/>
      <c r="J288" s="126" t="s">
        <v>368</v>
      </c>
      <c r="K288" s="135" t="s">
        <v>8248</v>
      </c>
      <c r="L288" s="127" t="s">
        <v>2285</v>
      </c>
      <c r="M288" s="128">
        <v>628690</v>
      </c>
      <c r="N288" s="108"/>
      <c r="O288" s="20" t="s">
        <v>705</v>
      </c>
      <c r="P288" s="20"/>
      <c r="Q288" s="20"/>
    </row>
    <row r="289" spans="1:17" ht="24.9" customHeight="1">
      <c r="A289" s="20">
        <v>362</v>
      </c>
      <c r="B289" s="20" t="s">
        <v>4345</v>
      </c>
      <c r="C289" s="20"/>
      <c r="D289" s="20" t="s">
        <v>48</v>
      </c>
      <c r="E289" s="19" t="str">
        <f>VLOOKUP(D289,'لیست پرسنل'!$B$2:$E$1020,3,FALSE)</f>
        <v>فکورصنعت</v>
      </c>
      <c r="F289" s="19" t="str">
        <f>VLOOKUP(D289,'لیست پرسنل'!$B$2:$E$1020,4,FALSE)</f>
        <v>سرپرست آی تی</v>
      </c>
      <c r="G289" s="127">
        <f>VLOOKUP(D289,'لیست پرسنل'!$B$2:$F$1020,2,FALSE)</f>
        <v>2210</v>
      </c>
      <c r="H289" s="126" t="s">
        <v>4290</v>
      </c>
      <c r="I289" s="128"/>
      <c r="J289" s="126" t="s">
        <v>368</v>
      </c>
      <c r="K289" s="135" t="s">
        <v>8248</v>
      </c>
      <c r="L289" s="127" t="s">
        <v>2287</v>
      </c>
      <c r="M289" s="128">
        <v>628692</v>
      </c>
      <c r="N289" s="108"/>
      <c r="O289" s="20" t="s">
        <v>705</v>
      </c>
      <c r="P289" s="20"/>
      <c r="Q289" s="20"/>
    </row>
    <row r="290" spans="1:17" ht="24.9" customHeight="1">
      <c r="A290" s="20">
        <v>362</v>
      </c>
      <c r="B290" s="20" t="s">
        <v>4345</v>
      </c>
      <c r="C290" s="20"/>
      <c r="D290" s="20" t="s">
        <v>48</v>
      </c>
      <c r="E290" s="19" t="str">
        <f>VLOOKUP(D290,'لیست پرسنل'!$B$2:$E$1020,3,FALSE)</f>
        <v>فکورصنعت</v>
      </c>
      <c r="F290" s="19" t="str">
        <f>VLOOKUP(D290,'لیست پرسنل'!$B$2:$E$1020,4,FALSE)</f>
        <v>سرپرست آی تی</v>
      </c>
      <c r="G290" s="127">
        <f>VLOOKUP(D290,'لیست پرسنل'!$B$2:$F$1020,2,FALSE)</f>
        <v>2210</v>
      </c>
      <c r="H290" s="126" t="s">
        <v>4290</v>
      </c>
      <c r="I290" s="128"/>
      <c r="J290" s="126" t="s">
        <v>368</v>
      </c>
      <c r="K290" s="135" t="s">
        <v>8248</v>
      </c>
      <c r="L290" s="127" t="s">
        <v>2289</v>
      </c>
      <c r="M290" s="128">
        <v>628694</v>
      </c>
      <c r="N290" s="108"/>
      <c r="O290" s="20" t="s">
        <v>705</v>
      </c>
      <c r="P290" s="20"/>
      <c r="Q290" s="20"/>
    </row>
    <row r="291" spans="1:17" ht="24.9" customHeight="1">
      <c r="A291" s="20">
        <v>362</v>
      </c>
      <c r="B291" s="20" t="s">
        <v>4345</v>
      </c>
      <c r="C291" s="20"/>
      <c r="D291" s="20" t="s">
        <v>48</v>
      </c>
      <c r="E291" s="19" t="str">
        <f>VLOOKUP(D291,'لیست پرسنل'!$B$2:$E$1020,3,FALSE)</f>
        <v>فکورصنعت</v>
      </c>
      <c r="F291" s="19" t="str">
        <f>VLOOKUP(D291,'لیست پرسنل'!$B$2:$E$1020,4,FALSE)</f>
        <v>سرپرست آی تی</v>
      </c>
      <c r="G291" s="127">
        <f>VLOOKUP(D291,'لیست پرسنل'!$B$2:$F$1020,2,FALSE)</f>
        <v>2210</v>
      </c>
      <c r="H291" s="126" t="s">
        <v>4290</v>
      </c>
      <c r="I291" s="128"/>
      <c r="J291" s="126" t="s">
        <v>368</v>
      </c>
      <c r="K291" s="135" t="s">
        <v>8248</v>
      </c>
      <c r="L291" s="127" t="s">
        <v>2290</v>
      </c>
      <c r="M291" s="128">
        <v>628695</v>
      </c>
      <c r="N291" s="108"/>
      <c r="O291" s="20" t="s">
        <v>705</v>
      </c>
      <c r="P291" s="20"/>
      <c r="Q291" s="20"/>
    </row>
    <row r="292" spans="1:17" ht="24.9" customHeight="1">
      <c r="A292" s="20">
        <v>362</v>
      </c>
      <c r="B292" s="20" t="s">
        <v>4345</v>
      </c>
      <c r="C292" s="19"/>
      <c r="D292" s="20" t="s">
        <v>48</v>
      </c>
      <c r="E292" s="19" t="str">
        <f>VLOOKUP(D292,'لیست پرسنل'!$B$2:$E$1020,3,FALSE)</f>
        <v>فکورصنعت</v>
      </c>
      <c r="F292" s="19" t="str">
        <f>VLOOKUP(D292,'لیست پرسنل'!$B$2:$E$1020,4,FALSE)</f>
        <v>سرپرست آی تی</v>
      </c>
      <c r="G292" s="127">
        <f>VLOOKUP(D292,'لیست پرسنل'!$B$2:$F$1020,2,FALSE)</f>
        <v>2210</v>
      </c>
      <c r="H292" s="126" t="s">
        <v>4290</v>
      </c>
      <c r="I292" s="128"/>
      <c r="J292" s="126" t="s">
        <v>368</v>
      </c>
      <c r="K292" s="128" t="s">
        <v>8248</v>
      </c>
      <c r="L292" s="127" t="s">
        <v>2293</v>
      </c>
      <c r="M292" s="128">
        <v>628699</v>
      </c>
      <c r="N292" s="108"/>
      <c r="O292" s="20" t="s">
        <v>705</v>
      </c>
      <c r="P292" s="20"/>
      <c r="Q292" s="20"/>
    </row>
    <row r="293" spans="1:17" ht="24.9" customHeight="1">
      <c r="A293" s="20">
        <v>362</v>
      </c>
      <c r="B293" s="20" t="s">
        <v>4345</v>
      </c>
      <c r="C293" s="19"/>
      <c r="D293" s="20" t="s">
        <v>48</v>
      </c>
      <c r="E293" s="19" t="str">
        <f>VLOOKUP(D293,'لیست پرسنل'!$B$2:$E$1020,3,FALSE)</f>
        <v>فکورصنعت</v>
      </c>
      <c r="F293" s="19" t="str">
        <f>VLOOKUP(D293,'لیست پرسنل'!$B$2:$E$1020,4,FALSE)</f>
        <v>سرپرست آی تی</v>
      </c>
      <c r="G293" s="127">
        <f>VLOOKUP(D293,'لیست پرسنل'!$B$2:$F$1020,2,FALSE)</f>
        <v>2210</v>
      </c>
      <c r="H293" s="127" t="s">
        <v>4290</v>
      </c>
      <c r="I293" s="128"/>
      <c r="J293" s="126" t="s">
        <v>368</v>
      </c>
      <c r="K293" s="128" t="s">
        <v>8248</v>
      </c>
      <c r="L293" s="127" t="s">
        <v>2298</v>
      </c>
      <c r="M293" s="128">
        <v>628704</v>
      </c>
      <c r="N293" s="108"/>
      <c r="O293" s="20" t="s">
        <v>705</v>
      </c>
      <c r="P293" s="20"/>
      <c r="Q293" s="20"/>
    </row>
    <row r="294" spans="1:17" ht="24.9" customHeight="1">
      <c r="A294" s="20">
        <v>362</v>
      </c>
      <c r="B294" s="20" t="s">
        <v>4345</v>
      </c>
      <c r="C294" s="20"/>
      <c r="D294" s="20" t="s">
        <v>48</v>
      </c>
      <c r="E294" s="19" t="str">
        <f>VLOOKUP(D294,'لیست پرسنل'!$B$2:$E$1020,3,FALSE)</f>
        <v>فکورصنعت</v>
      </c>
      <c r="F294" s="19" t="str">
        <f>VLOOKUP(D294,'لیست پرسنل'!$B$2:$E$1020,4,FALSE)</f>
        <v>سرپرست آی تی</v>
      </c>
      <c r="G294" s="127">
        <f>VLOOKUP(D294,'لیست پرسنل'!$B$2:$F$1020,2,FALSE)</f>
        <v>2210</v>
      </c>
      <c r="H294" s="126" t="s">
        <v>4290</v>
      </c>
      <c r="I294" s="128"/>
      <c r="J294" s="126" t="s">
        <v>368</v>
      </c>
      <c r="K294" s="135" t="s">
        <v>8248</v>
      </c>
      <c r="L294" s="127" t="s">
        <v>2302</v>
      </c>
      <c r="M294" s="128">
        <v>628708</v>
      </c>
      <c r="N294" s="108"/>
      <c r="O294" s="20" t="s">
        <v>705</v>
      </c>
      <c r="P294" s="20"/>
      <c r="Q294" s="20"/>
    </row>
    <row r="295" spans="1:17" ht="24.9" customHeight="1">
      <c r="A295" s="20">
        <v>362</v>
      </c>
      <c r="B295" s="20" t="s">
        <v>4345</v>
      </c>
      <c r="C295" s="20"/>
      <c r="D295" s="20" t="s">
        <v>48</v>
      </c>
      <c r="E295" s="19" t="str">
        <f>VLOOKUP(D295,'لیست پرسنل'!$B$2:$E$1020,3,FALSE)</f>
        <v>فکورصنعت</v>
      </c>
      <c r="F295" s="19" t="str">
        <f>VLOOKUP(D295,'لیست پرسنل'!$B$2:$E$1020,4,FALSE)</f>
        <v>سرپرست آی تی</v>
      </c>
      <c r="G295" s="127">
        <f>VLOOKUP(D295,'لیست پرسنل'!$B$2:$F$1020,2,FALSE)</f>
        <v>2210</v>
      </c>
      <c r="H295" s="126" t="s">
        <v>4290</v>
      </c>
      <c r="I295" s="128"/>
      <c r="J295" s="126" t="s">
        <v>368</v>
      </c>
      <c r="K295" s="128" t="s">
        <v>8248</v>
      </c>
      <c r="L295" s="127" t="s">
        <v>2307</v>
      </c>
      <c r="M295" s="128">
        <v>628713</v>
      </c>
      <c r="N295" s="108"/>
      <c r="O295" s="20" t="s">
        <v>705</v>
      </c>
      <c r="P295" s="20"/>
      <c r="Q295" s="20"/>
    </row>
    <row r="296" spans="1:17" ht="24.9" customHeight="1">
      <c r="A296" s="20">
        <v>362</v>
      </c>
      <c r="B296" s="20" t="s">
        <v>4345</v>
      </c>
      <c r="C296" s="20"/>
      <c r="D296" s="20" t="s">
        <v>48</v>
      </c>
      <c r="E296" s="19" t="str">
        <f>VLOOKUP(D296,'لیست پرسنل'!$B$2:$E$1020,3,FALSE)</f>
        <v>فکورصنعت</v>
      </c>
      <c r="F296" s="19" t="str">
        <f>VLOOKUP(D296,'لیست پرسنل'!$B$2:$E$1020,4,FALSE)</f>
        <v>سرپرست آی تی</v>
      </c>
      <c r="G296" s="127">
        <f>VLOOKUP(D296,'لیست پرسنل'!$B$2:$F$1020,2,FALSE)</f>
        <v>2210</v>
      </c>
      <c r="H296" s="126" t="s">
        <v>4290</v>
      </c>
      <c r="I296" s="128"/>
      <c r="J296" s="126" t="s">
        <v>368</v>
      </c>
      <c r="K296" s="135" t="s">
        <v>8248</v>
      </c>
      <c r="L296" s="127" t="s">
        <v>2309</v>
      </c>
      <c r="M296" s="128">
        <v>628715</v>
      </c>
      <c r="N296" s="108"/>
      <c r="O296" s="20" t="s">
        <v>705</v>
      </c>
      <c r="P296" s="20"/>
      <c r="Q296" s="20"/>
    </row>
    <row r="297" spans="1:17" ht="24.9" customHeight="1">
      <c r="A297" s="20">
        <v>362</v>
      </c>
      <c r="B297" s="20" t="s">
        <v>4345</v>
      </c>
      <c r="C297" s="20"/>
      <c r="D297" s="20" t="s">
        <v>48</v>
      </c>
      <c r="E297" s="19" t="str">
        <f>VLOOKUP(D297,'لیست پرسنل'!$B$2:$E$1020,3,FALSE)</f>
        <v>فکورصنعت</v>
      </c>
      <c r="F297" s="19" t="str">
        <f>VLOOKUP(D297,'لیست پرسنل'!$B$2:$E$1020,4,FALSE)</f>
        <v>سرپرست آی تی</v>
      </c>
      <c r="G297" s="127">
        <f>VLOOKUP(D297,'لیست پرسنل'!$B$2:$F$1020,2,FALSE)</f>
        <v>2210</v>
      </c>
      <c r="H297" s="126" t="s">
        <v>4290</v>
      </c>
      <c r="I297" s="128"/>
      <c r="J297" s="126" t="s">
        <v>368</v>
      </c>
      <c r="K297" s="135" t="s">
        <v>8248</v>
      </c>
      <c r="L297" s="127" t="s">
        <v>2314</v>
      </c>
      <c r="M297" s="128">
        <v>628720</v>
      </c>
      <c r="N297" s="108"/>
      <c r="O297" s="20" t="s">
        <v>705</v>
      </c>
      <c r="P297" s="20"/>
      <c r="Q297" s="20"/>
    </row>
    <row r="298" spans="1:17" ht="24.9" customHeight="1">
      <c r="A298" s="20">
        <v>362</v>
      </c>
      <c r="B298" s="20" t="s">
        <v>4345</v>
      </c>
      <c r="C298" s="19"/>
      <c r="D298" s="20" t="s">
        <v>48</v>
      </c>
      <c r="E298" s="19" t="str">
        <f>VLOOKUP(D298,'لیست پرسنل'!$B$2:$E$1020,3,FALSE)</f>
        <v>فکورصنعت</v>
      </c>
      <c r="F298" s="19" t="str">
        <f>VLOOKUP(D298,'لیست پرسنل'!$B$2:$E$1020,4,FALSE)</f>
        <v>سرپرست آی تی</v>
      </c>
      <c r="G298" s="127">
        <f>VLOOKUP(D298,'لیست پرسنل'!$B$2:$F$1020,2,FALSE)</f>
        <v>2210</v>
      </c>
      <c r="H298" s="126" t="s">
        <v>4290</v>
      </c>
      <c r="I298" s="128"/>
      <c r="J298" s="126" t="s">
        <v>368</v>
      </c>
      <c r="K298" s="135" t="s">
        <v>8248</v>
      </c>
      <c r="L298" s="127" t="s">
        <v>2317</v>
      </c>
      <c r="M298" s="128">
        <v>628723</v>
      </c>
      <c r="N298" s="108"/>
      <c r="O298" s="20" t="s">
        <v>705</v>
      </c>
      <c r="P298" s="20"/>
      <c r="Q298" s="20"/>
    </row>
    <row r="299" spans="1:17" ht="24.9" customHeight="1">
      <c r="A299" s="20">
        <v>362</v>
      </c>
      <c r="B299" s="20" t="s">
        <v>4345</v>
      </c>
      <c r="C299" s="20"/>
      <c r="D299" s="20" t="s">
        <v>48</v>
      </c>
      <c r="E299" s="19" t="str">
        <f>VLOOKUP(D299,'لیست پرسنل'!$B$2:$E$1020,3,FALSE)</f>
        <v>فکورصنعت</v>
      </c>
      <c r="F299" s="19" t="str">
        <f>VLOOKUP(D299,'لیست پرسنل'!$B$2:$E$1020,4,FALSE)</f>
        <v>سرپرست آی تی</v>
      </c>
      <c r="G299" s="127">
        <f>VLOOKUP(D299,'لیست پرسنل'!$B$2:$F$1020,2,FALSE)</f>
        <v>2210</v>
      </c>
      <c r="H299" s="126" t="s">
        <v>4290</v>
      </c>
      <c r="I299" s="128"/>
      <c r="J299" s="126" t="s">
        <v>368</v>
      </c>
      <c r="K299" s="135" t="s">
        <v>8248</v>
      </c>
      <c r="L299" s="127" t="s">
        <v>2339</v>
      </c>
      <c r="M299" s="128">
        <v>628745</v>
      </c>
      <c r="N299" s="108"/>
      <c r="O299" s="20" t="s">
        <v>705</v>
      </c>
      <c r="P299" s="20"/>
      <c r="Q299" s="20"/>
    </row>
    <row r="300" spans="1:17" ht="24.9" customHeight="1">
      <c r="A300" s="20">
        <v>362</v>
      </c>
      <c r="B300" s="20" t="s">
        <v>4345</v>
      </c>
      <c r="C300" s="20"/>
      <c r="D300" s="20" t="s">
        <v>48</v>
      </c>
      <c r="E300" s="19" t="str">
        <f>VLOOKUP(D300,'لیست پرسنل'!$B$2:$E$1020,3,FALSE)</f>
        <v>فکورصنعت</v>
      </c>
      <c r="F300" s="19" t="str">
        <f>VLOOKUP(D300,'لیست پرسنل'!$B$2:$E$1020,4,FALSE)</f>
        <v>سرپرست آی تی</v>
      </c>
      <c r="G300" s="127">
        <f>VLOOKUP(D300,'لیست پرسنل'!$B$2:$F$1020,2,FALSE)</f>
        <v>2210</v>
      </c>
      <c r="H300" s="126" t="s">
        <v>4290</v>
      </c>
      <c r="I300" s="128"/>
      <c r="J300" s="126" t="s">
        <v>368</v>
      </c>
      <c r="K300" s="135" t="s">
        <v>8248</v>
      </c>
      <c r="L300" s="127" t="s">
        <v>2349</v>
      </c>
      <c r="M300" s="128">
        <v>628755</v>
      </c>
      <c r="N300" s="108"/>
      <c r="O300" s="20" t="s">
        <v>705</v>
      </c>
      <c r="P300" s="20"/>
      <c r="Q300" s="20"/>
    </row>
    <row r="301" spans="1:17" ht="24.9" customHeight="1">
      <c r="A301" s="20">
        <v>362</v>
      </c>
      <c r="B301" s="20" t="s">
        <v>4345</v>
      </c>
      <c r="C301" s="20"/>
      <c r="D301" s="20" t="s">
        <v>48</v>
      </c>
      <c r="E301" s="19" t="str">
        <f>VLOOKUP(D301,'لیست پرسنل'!$B$2:$E$1020,3,FALSE)</f>
        <v>فکورصنعت</v>
      </c>
      <c r="F301" s="19" t="str">
        <f>VLOOKUP(D301,'لیست پرسنل'!$B$2:$E$1020,4,FALSE)</f>
        <v>سرپرست آی تی</v>
      </c>
      <c r="G301" s="127">
        <f>VLOOKUP(D301,'لیست پرسنل'!$B$2:$F$1020,2,FALSE)</f>
        <v>2210</v>
      </c>
      <c r="H301" s="126" t="s">
        <v>4290</v>
      </c>
      <c r="I301" s="128"/>
      <c r="J301" s="126" t="s">
        <v>368</v>
      </c>
      <c r="K301" s="128" t="s">
        <v>2846</v>
      </c>
      <c r="L301" s="127" t="s">
        <v>2352</v>
      </c>
      <c r="M301" s="128">
        <v>628758</v>
      </c>
      <c r="N301" s="108"/>
      <c r="O301" s="19"/>
      <c r="P301" s="20"/>
      <c r="Q301" s="20"/>
    </row>
    <row r="302" spans="1:17" ht="24.9" customHeight="1">
      <c r="A302" s="20">
        <v>362</v>
      </c>
      <c r="B302" s="20" t="s">
        <v>4345</v>
      </c>
      <c r="C302" s="20"/>
      <c r="D302" s="20" t="s">
        <v>48</v>
      </c>
      <c r="E302" s="19" t="str">
        <f>VLOOKUP(D302,'لیست پرسنل'!$B$2:$E$1020,3,FALSE)</f>
        <v>فکورصنعت</v>
      </c>
      <c r="F302" s="19" t="str">
        <f>VLOOKUP(D302,'لیست پرسنل'!$B$2:$E$1020,4,FALSE)</f>
        <v>سرپرست آی تی</v>
      </c>
      <c r="G302" s="127">
        <f>VLOOKUP(D302,'لیست پرسنل'!$B$2:$F$1020,2,FALSE)</f>
        <v>2210</v>
      </c>
      <c r="H302" s="126" t="s">
        <v>4290</v>
      </c>
      <c r="I302" s="128"/>
      <c r="J302" s="126" t="s">
        <v>368</v>
      </c>
      <c r="K302" s="135" t="s">
        <v>8248</v>
      </c>
      <c r="L302" s="127" t="s">
        <v>2358</v>
      </c>
      <c r="M302" s="128">
        <v>628764</v>
      </c>
      <c r="N302" s="108"/>
      <c r="O302" s="20" t="s">
        <v>705</v>
      </c>
      <c r="P302" s="20"/>
      <c r="Q302" s="20"/>
    </row>
    <row r="303" spans="1:17" ht="24.9" customHeight="1">
      <c r="A303" s="20">
        <v>362</v>
      </c>
      <c r="B303" s="20" t="s">
        <v>4345</v>
      </c>
      <c r="C303" s="19"/>
      <c r="D303" s="19" t="s">
        <v>48</v>
      </c>
      <c r="E303" s="19" t="str">
        <f>VLOOKUP(D303,'لیست پرسنل'!$B$2:$E$1020,3,FALSE)</f>
        <v>فکورصنعت</v>
      </c>
      <c r="F303" s="19" t="str">
        <f>VLOOKUP(D303,'لیست پرسنل'!$B$2:$E$1020,4,FALSE)</f>
        <v>سرپرست آی تی</v>
      </c>
      <c r="G303" s="127">
        <f>VLOOKUP(D303,'لیست پرسنل'!$B$2:$F$1020,2,FALSE)</f>
        <v>2210</v>
      </c>
      <c r="H303" s="151" t="s">
        <v>4290</v>
      </c>
      <c r="I303" s="127"/>
      <c r="J303" s="126" t="s">
        <v>368</v>
      </c>
      <c r="K303" s="128" t="s">
        <v>2846</v>
      </c>
      <c r="L303" s="128" t="s">
        <v>2360</v>
      </c>
      <c r="M303" s="128">
        <v>628766</v>
      </c>
      <c r="N303" s="108"/>
      <c r="O303" s="20"/>
      <c r="P303" s="20"/>
      <c r="Q303" s="20"/>
    </row>
    <row r="304" spans="1:17" ht="24.9" customHeight="1">
      <c r="A304" s="20">
        <v>362</v>
      </c>
      <c r="B304" s="20" t="s">
        <v>4345</v>
      </c>
      <c r="C304" s="19"/>
      <c r="D304" s="19" t="s">
        <v>48</v>
      </c>
      <c r="E304" s="19" t="str">
        <f>VLOOKUP(D304,'لیست پرسنل'!$B$2:$E$1020,3,FALSE)</f>
        <v>فکورصنعت</v>
      </c>
      <c r="F304" s="19" t="str">
        <f>VLOOKUP(D304,'لیست پرسنل'!$B$2:$E$1020,4,FALSE)</f>
        <v>سرپرست آی تی</v>
      </c>
      <c r="G304" s="127">
        <f>VLOOKUP(D304,'لیست پرسنل'!$B$2:$F$1020,2,FALSE)</f>
        <v>2210</v>
      </c>
      <c r="H304" s="151" t="s">
        <v>4290</v>
      </c>
      <c r="I304" s="127"/>
      <c r="J304" s="126" t="s">
        <v>368</v>
      </c>
      <c r="K304" s="128" t="s">
        <v>2846</v>
      </c>
      <c r="L304" s="128" t="s">
        <v>2361</v>
      </c>
      <c r="M304" s="128">
        <v>628767</v>
      </c>
      <c r="N304" s="108"/>
      <c r="O304" s="20"/>
      <c r="P304" s="20"/>
      <c r="Q304" s="20"/>
    </row>
    <row r="305" spans="1:17" ht="24.9" customHeight="1">
      <c r="A305" s="20">
        <v>362</v>
      </c>
      <c r="B305" s="20" t="s">
        <v>4345</v>
      </c>
      <c r="C305" s="20"/>
      <c r="D305" s="20" t="s">
        <v>48</v>
      </c>
      <c r="E305" s="19" t="str">
        <f>VLOOKUP(D305,'لیست پرسنل'!$B$2:$E$1020,3,FALSE)</f>
        <v>فکورصنعت</v>
      </c>
      <c r="F305" s="19" t="str">
        <f>VLOOKUP(D305,'لیست پرسنل'!$B$2:$E$1020,4,FALSE)</f>
        <v>سرپرست آی تی</v>
      </c>
      <c r="G305" s="127">
        <f>VLOOKUP(D305,'لیست پرسنل'!$B$2:$F$1020,2,FALSE)</f>
        <v>2210</v>
      </c>
      <c r="H305" s="126" t="s">
        <v>4290</v>
      </c>
      <c r="I305" s="128"/>
      <c r="J305" s="126" t="s">
        <v>368</v>
      </c>
      <c r="K305" s="135" t="s">
        <v>8248</v>
      </c>
      <c r="L305" s="127" t="s">
        <v>2374</v>
      </c>
      <c r="M305" s="128">
        <v>628781</v>
      </c>
      <c r="N305" s="108"/>
      <c r="O305" s="20" t="s">
        <v>705</v>
      </c>
      <c r="P305" s="20"/>
      <c r="Q305" s="20"/>
    </row>
    <row r="306" spans="1:17" ht="24.9" customHeight="1">
      <c r="A306" s="20">
        <v>362</v>
      </c>
      <c r="B306" s="20" t="s">
        <v>4345</v>
      </c>
      <c r="C306" s="19"/>
      <c r="D306" s="19" t="s">
        <v>48</v>
      </c>
      <c r="E306" s="19" t="str">
        <f>VLOOKUP(D306,'لیست پرسنل'!$B$2:$E$1020,3,FALSE)</f>
        <v>فکورصنعت</v>
      </c>
      <c r="F306" s="19" t="str">
        <f>VLOOKUP(D306,'لیست پرسنل'!$B$2:$E$1020,4,FALSE)</f>
        <v>سرپرست آی تی</v>
      </c>
      <c r="G306" s="127">
        <f>VLOOKUP(D306,'لیست پرسنل'!$B$2:$F$1020,2,FALSE)</f>
        <v>2210</v>
      </c>
      <c r="H306" s="151" t="s">
        <v>4290</v>
      </c>
      <c r="I306" s="127"/>
      <c r="J306" s="126" t="s">
        <v>368</v>
      </c>
      <c r="K306" s="128" t="s">
        <v>2846</v>
      </c>
      <c r="L306" s="127" t="s">
        <v>2376</v>
      </c>
      <c r="M306" s="128">
        <v>628783</v>
      </c>
      <c r="N306" s="108"/>
      <c r="O306" s="19"/>
      <c r="P306" s="20"/>
      <c r="Q306" s="20"/>
    </row>
    <row r="307" spans="1:17" ht="24.9" customHeight="1">
      <c r="A307" s="20">
        <v>362</v>
      </c>
      <c r="B307" s="20" t="s">
        <v>4345</v>
      </c>
      <c r="C307" s="19"/>
      <c r="D307" s="19" t="s">
        <v>48</v>
      </c>
      <c r="E307" s="19" t="str">
        <f>VLOOKUP(D307,'لیست پرسنل'!$B$2:$E$1020,3,FALSE)</f>
        <v>فکورصنعت</v>
      </c>
      <c r="F307" s="19" t="str">
        <f>VLOOKUP(D307,'لیست پرسنل'!$B$2:$E$1020,4,FALSE)</f>
        <v>سرپرست آی تی</v>
      </c>
      <c r="G307" s="127">
        <f>VLOOKUP(D307,'لیست پرسنل'!$B$2:$F$1020,2,FALSE)</f>
        <v>2210</v>
      </c>
      <c r="H307" s="151" t="s">
        <v>4290</v>
      </c>
      <c r="I307" s="127"/>
      <c r="J307" s="126" t="s">
        <v>368</v>
      </c>
      <c r="K307" s="128" t="s">
        <v>2846</v>
      </c>
      <c r="L307" s="128" t="s">
        <v>2391</v>
      </c>
      <c r="M307" s="128">
        <v>628798</v>
      </c>
      <c r="N307" s="108"/>
      <c r="O307" s="20"/>
      <c r="P307" s="20"/>
      <c r="Q307" s="20"/>
    </row>
    <row r="308" spans="1:17" ht="24.9" customHeight="1">
      <c r="A308" s="20">
        <v>362</v>
      </c>
      <c r="B308" s="20" t="s">
        <v>4345</v>
      </c>
      <c r="C308" s="19"/>
      <c r="D308" s="19" t="s">
        <v>48</v>
      </c>
      <c r="E308" s="19" t="str">
        <f>VLOOKUP(D308,'لیست پرسنل'!$B$2:$E$1020,3,FALSE)</f>
        <v>فکورصنعت</v>
      </c>
      <c r="F308" s="19" t="str">
        <f>VLOOKUP(D308,'لیست پرسنل'!$B$2:$E$1020,4,FALSE)</f>
        <v>سرپرست آی تی</v>
      </c>
      <c r="G308" s="127">
        <f>VLOOKUP(D308,'لیست پرسنل'!$B$2:$F$1020,2,FALSE)</f>
        <v>2210</v>
      </c>
      <c r="H308" s="151" t="s">
        <v>4290</v>
      </c>
      <c r="I308" s="127"/>
      <c r="J308" s="126" t="s">
        <v>368</v>
      </c>
      <c r="K308" s="128" t="s">
        <v>2846</v>
      </c>
      <c r="L308" s="128" t="s">
        <v>2393</v>
      </c>
      <c r="M308" s="128">
        <v>628800</v>
      </c>
      <c r="N308" s="108"/>
      <c r="O308" s="20"/>
      <c r="P308" s="20"/>
      <c r="Q308" s="20"/>
    </row>
    <row r="309" spans="1:17" ht="24.9" customHeight="1">
      <c r="A309" s="20">
        <v>362</v>
      </c>
      <c r="B309" s="20" t="s">
        <v>4345</v>
      </c>
      <c r="C309" s="19"/>
      <c r="D309" s="19" t="s">
        <v>48</v>
      </c>
      <c r="E309" s="19" t="str">
        <f>VLOOKUP(D309,'لیست پرسنل'!$B$2:$E$1020,3,FALSE)</f>
        <v>فکورصنعت</v>
      </c>
      <c r="F309" s="19" t="str">
        <f>VLOOKUP(D309,'لیست پرسنل'!$B$2:$E$1020,4,FALSE)</f>
        <v>سرپرست آی تی</v>
      </c>
      <c r="G309" s="127">
        <f>VLOOKUP(D309,'لیست پرسنل'!$B$2:$F$1020,2,FALSE)</f>
        <v>2210</v>
      </c>
      <c r="H309" s="151" t="s">
        <v>4290</v>
      </c>
      <c r="I309" s="127"/>
      <c r="J309" s="126" t="s">
        <v>368</v>
      </c>
      <c r="K309" s="128" t="s">
        <v>2846</v>
      </c>
      <c r="L309" s="128" t="s">
        <v>2404</v>
      </c>
      <c r="M309" s="128">
        <v>628811</v>
      </c>
      <c r="N309" s="108"/>
      <c r="O309" s="20"/>
      <c r="P309" s="20"/>
      <c r="Q309" s="20"/>
    </row>
    <row r="310" spans="1:17" ht="24.9" customHeight="1">
      <c r="A310" s="20">
        <v>362</v>
      </c>
      <c r="B310" s="20" t="s">
        <v>4345</v>
      </c>
      <c r="C310" s="19"/>
      <c r="D310" s="19" t="s">
        <v>48</v>
      </c>
      <c r="E310" s="19" t="str">
        <f>VLOOKUP(D310,'لیست پرسنل'!$B$2:$E$1020,3,FALSE)</f>
        <v>فکورصنعت</v>
      </c>
      <c r="F310" s="19" t="str">
        <f>VLOOKUP(D310,'لیست پرسنل'!$B$2:$E$1020,4,FALSE)</f>
        <v>سرپرست آی تی</v>
      </c>
      <c r="G310" s="127">
        <f>VLOOKUP(D310,'لیست پرسنل'!$B$2:$F$1020,2,FALSE)</f>
        <v>2210</v>
      </c>
      <c r="H310" s="127" t="s">
        <v>4290</v>
      </c>
      <c r="I310" s="127"/>
      <c r="J310" s="126" t="s">
        <v>368</v>
      </c>
      <c r="K310" s="128" t="s">
        <v>2846</v>
      </c>
      <c r="L310" s="127" t="s">
        <v>2409</v>
      </c>
      <c r="M310" s="127">
        <v>628816</v>
      </c>
      <c r="N310" s="109"/>
      <c r="O310" s="19"/>
      <c r="P310" s="20"/>
      <c r="Q310" s="20"/>
    </row>
    <row r="311" spans="1:17" ht="24.9" customHeight="1">
      <c r="A311" s="20">
        <v>362</v>
      </c>
      <c r="B311" s="20" t="s">
        <v>4345</v>
      </c>
      <c r="C311" s="19"/>
      <c r="D311" s="19" t="s">
        <v>48</v>
      </c>
      <c r="E311" s="19" t="str">
        <f>VLOOKUP(D311,'لیست پرسنل'!$B$2:$E$1020,3,FALSE)</f>
        <v>فکورصنعت</v>
      </c>
      <c r="F311" s="19" t="str">
        <f>VLOOKUP(D311,'لیست پرسنل'!$B$2:$E$1020,4,FALSE)</f>
        <v>سرپرست آی تی</v>
      </c>
      <c r="G311" s="127">
        <f>VLOOKUP(D311,'لیست پرسنل'!$B$2:$F$1020,2,FALSE)</f>
        <v>2210</v>
      </c>
      <c r="H311" s="151" t="s">
        <v>4290</v>
      </c>
      <c r="I311" s="127"/>
      <c r="J311" s="126" t="s">
        <v>368</v>
      </c>
      <c r="K311" s="128" t="s">
        <v>2846</v>
      </c>
      <c r="L311" s="127" t="s">
        <v>2410</v>
      </c>
      <c r="M311" s="128">
        <v>628817</v>
      </c>
      <c r="N311" s="109"/>
      <c r="O311" s="19"/>
      <c r="P311" s="20"/>
      <c r="Q311" s="20"/>
    </row>
    <row r="312" spans="1:17" ht="24.9" customHeight="1">
      <c r="A312" s="20">
        <v>362</v>
      </c>
      <c r="B312" s="20" t="s">
        <v>4345</v>
      </c>
      <c r="C312" s="19"/>
      <c r="D312" s="19" t="s">
        <v>48</v>
      </c>
      <c r="E312" s="19" t="str">
        <f>VLOOKUP(D312,'لیست پرسنل'!$B$2:$E$1020,3,FALSE)</f>
        <v>فکورصنعت</v>
      </c>
      <c r="F312" s="19" t="str">
        <f>VLOOKUP(D312,'لیست پرسنل'!$B$2:$E$1020,4,FALSE)</f>
        <v>سرپرست آی تی</v>
      </c>
      <c r="G312" s="127">
        <f>VLOOKUP(D312,'لیست پرسنل'!$B$2:$F$1020,2,FALSE)</f>
        <v>2210</v>
      </c>
      <c r="H312" s="151" t="s">
        <v>4290</v>
      </c>
      <c r="I312" s="127"/>
      <c r="J312" s="126" t="s">
        <v>368</v>
      </c>
      <c r="K312" s="128" t="s">
        <v>2846</v>
      </c>
      <c r="L312" s="127" t="s">
        <v>2418</v>
      </c>
      <c r="M312" s="127">
        <v>628825</v>
      </c>
      <c r="N312" s="109"/>
      <c r="O312" s="19"/>
      <c r="P312" s="20"/>
      <c r="Q312" s="20"/>
    </row>
    <row r="313" spans="1:17" ht="24.9" customHeight="1">
      <c r="A313" s="20">
        <v>362</v>
      </c>
      <c r="B313" s="20" t="s">
        <v>4345</v>
      </c>
      <c r="C313" s="19"/>
      <c r="D313" s="19" t="s">
        <v>48</v>
      </c>
      <c r="E313" s="19" t="str">
        <f>VLOOKUP(D313,'لیست پرسنل'!$B$2:$E$1020,3,FALSE)</f>
        <v>فکورصنعت</v>
      </c>
      <c r="F313" s="19" t="str">
        <f>VLOOKUP(D313,'لیست پرسنل'!$B$2:$E$1020,4,FALSE)</f>
        <v>سرپرست آی تی</v>
      </c>
      <c r="G313" s="127">
        <f>VLOOKUP(D313,'لیست پرسنل'!$B$2:$F$1020,2,FALSE)</f>
        <v>2210</v>
      </c>
      <c r="H313" s="151" t="s">
        <v>4290</v>
      </c>
      <c r="I313" s="127"/>
      <c r="J313" s="126" t="s">
        <v>368</v>
      </c>
      <c r="K313" s="128" t="s">
        <v>2846</v>
      </c>
      <c r="L313" s="127" t="s">
        <v>2419</v>
      </c>
      <c r="M313" s="128">
        <v>628826</v>
      </c>
      <c r="N313" s="108"/>
      <c r="O313" s="20" t="s">
        <v>705</v>
      </c>
      <c r="P313" s="20"/>
      <c r="Q313" s="20"/>
    </row>
    <row r="314" spans="1:17" ht="24.9" customHeight="1">
      <c r="A314" s="20">
        <v>362</v>
      </c>
      <c r="B314" s="20" t="s">
        <v>4345</v>
      </c>
      <c r="C314" s="19"/>
      <c r="D314" s="20" t="s">
        <v>48</v>
      </c>
      <c r="E314" s="19" t="str">
        <f>VLOOKUP(D314,'لیست پرسنل'!$B$2:$E$1020,3,FALSE)</f>
        <v>فکورصنعت</v>
      </c>
      <c r="F314" s="19" t="str">
        <f>VLOOKUP(D314,'لیست پرسنل'!$B$2:$E$1020,4,FALSE)</f>
        <v>سرپرست آی تی</v>
      </c>
      <c r="G314" s="127">
        <f>VLOOKUP(D314,'لیست پرسنل'!$B$2:$F$1020,2,FALSE)</f>
        <v>2210</v>
      </c>
      <c r="H314" s="126" t="s">
        <v>4290</v>
      </c>
      <c r="I314" s="128"/>
      <c r="J314" s="126" t="s">
        <v>368</v>
      </c>
      <c r="K314" s="128" t="s">
        <v>2846</v>
      </c>
      <c r="L314" s="128" t="s">
        <v>2421</v>
      </c>
      <c r="M314" s="128">
        <v>628828</v>
      </c>
      <c r="N314" s="108"/>
      <c r="O314" s="20"/>
      <c r="P314" s="20"/>
      <c r="Q314" s="20"/>
    </row>
    <row r="315" spans="1:17" ht="24.9" customHeight="1">
      <c r="A315" s="20">
        <v>362</v>
      </c>
      <c r="B315" s="20" t="s">
        <v>4345</v>
      </c>
      <c r="C315" s="19"/>
      <c r="D315" s="20" t="s">
        <v>48</v>
      </c>
      <c r="E315" s="19" t="str">
        <f>VLOOKUP(D315,'لیست پرسنل'!$B$2:$E$1020,3,FALSE)</f>
        <v>فکورصنعت</v>
      </c>
      <c r="F315" s="19" t="str">
        <f>VLOOKUP(D315,'لیست پرسنل'!$B$2:$E$1020,4,FALSE)</f>
        <v>سرپرست آی تی</v>
      </c>
      <c r="G315" s="127">
        <f>VLOOKUP(D315,'لیست پرسنل'!$B$2:$F$1020,2,FALSE)</f>
        <v>2210</v>
      </c>
      <c r="H315" s="151" t="s">
        <v>4290</v>
      </c>
      <c r="I315" s="127"/>
      <c r="J315" s="126" t="s">
        <v>368</v>
      </c>
      <c r="K315" s="128" t="s">
        <v>2846</v>
      </c>
      <c r="L315" s="128" t="s">
        <v>2422</v>
      </c>
      <c r="M315" s="128">
        <v>628829</v>
      </c>
      <c r="N315" s="108"/>
      <c r="O315" s="19"/>
      <c r="P315" s="20"/>
      <c r="Q315" s="20"/>
    </row>
    <row r="316" spans="1:17" ht="24.9" customHeight="1">
      <c r="A316" s="20">
        <v>362</v>
      </c>
      <c r="B316" s="20" t="s">
        <v>4345</v>
      </c>
      <c r="C316" s="20"/>
      <c r="D316" s="20" t="s">
        <v>48</v>
      </c>
      <c r="E316" s="19" t="str">
        <f>VLOOKUP(D316,'لیست پرسنل'!$B$2:$E$1020,3,FALSE)</f>
        <v>فکورصنعت</v>
      </c>
      <c r="F316" s="19" t="str">
        <f>VLOOKUP(D316,'لیست پرسنل'!$B$2:$E$1020,4,FALSE)</f>
        <v>سرپرست آی تی</v>
      </c>
      <c r="G316" s="127">
        <f>VLOOKUP(D316,'لیست پرسنل'!$B$2:$F$1020,2,FALSE)</f>
        <v>2210</v>
      </c>
      <c r="H316" s="128" t="s">
        <v>4290</v>
      </c>
      <c r="I316" s="128"/>
      <c r="J316" s="126" t="s">
        <v>368</v>
      </c>
      <c r="K316" s="128" t="s">
        <v>2846</v>
      </c>
      <c r="L316" s="128" t="s">
        <v>2426</v>
      </c>
      <c r="M316" s="128">
        <v>628833</v>
      </c>
      <c r="N316" s="108"/>
      <c r="O316" s="20"/>
      <c r="P316" s="20"/>
      <c r="Q316" s="20"/>
    </row>
    <row r="317" spans="1:17" ht="24.9" customHeight="1">
      <c r="A317" s="20">
        <v>362</v>
      </c>
      <c r="B317" s="20" t="s">
        <v>4345</v>
      </c>
      <c r="C317" s="19"/>
      <c r="D317" s="19" t="s">
        <v>48</v>
      </c>
      <c r="E317" s="19" t="str">
        <f>VLOOKUP(D317,'لیست پرسنل'!$B$2:$E$1020,3,FALSE)</f>
        <v>فکورصنعت</v>
      </c>
      <c r="F317" s="19" t="str">
        <f>VLOOKUP(D317,'لیست پرسنل'!$B$2:$E$1020,4,FALSE)</f>
        <v>سرپرست آی تی</v>
      </c>
      <c r="G317" s="127">
        <f>VLOOKUP(D317,'لیست پرسنل'!$B$2:$F$1020,2,FALSE)</f>
        <v>2210</v>
      </c>
      <c r="H317" s="151" t="s">
        <v>4290</v>
      </c>
      <c r="I317" s="127"/>
      <c r="J317" s="126" t="s">
        <v>368</v>
      </c>
      <c r="K317" s="128" t="s">
        <v>2846</v>
      </c>
      <c r="L317" s="128" t="s">
        <v>2459</v>
      </c>
      <c r="M317" s="128">
        <v>628868</v>
      </c>
      <c r="N317" s="108"/>
      <c r="O317" s="20"/>
      <c r="P317" s="20"/>
      <c r="Q317" s="20"/>
    </row>
    <row r="318" spans="1:17" ht="24.9" customHeight="1">
      <c r="A318" s="20">
        <v>362</v>
      </c>
      <c r="B318" s="19" t="s">
        <v>4345</v>
      </c>
      <c r="C318" s="19"/>
      <c r="D318" s="19" t="s">
        <v>48</v>
      </c>
      <c r="E318" s="19" t="str">
        <f>VLOOKUP(D318,'لیست پرسنل'!$B$2:$E$1020,3,FALSE)</f>
        <v>فکورصنعت</v>
      </c>
      <c r="F318" s="19" t="str">
        <f>VLOOKUP(D318,'لیست پرسنل'!$B$2:$E$1020,4,FALSE)</f>
        <v>سرپرست آی تی</v>
      </c>
      <c r="G318" s="127">
        <f>VLOOKUP(D318,'لیست پرسنل'!$B$2:$F$1020,2,FALSE)</f>
        <v>2210</v>
      </c>
      <c r="H318" s="128" t="s">
        <v>4290</v>
      </c>
      <c r="I318" s="127"/>
      <c r="J318" s="126" t="s">
        <v>368</v>
      </c>
      <c r="K318" s="128" t="s">
        <v>2846</v>
      </c>
      <c r="L318" s="128" t="s">
        <v>2462</v>
      </c>
      <c r="M318" s="128">
        <v>628871</v>
      </c>
      <c r="N318" s="108"/>
      <c r="O318" s="20"/>
      <c r="P318" s="20"/>
      <c r="Q318" s="20"/>
    </row>
    <row r="319" spans="1:17" ht="24.9" customHeight="1">
      <c r="A319" s="20">
        <v>362</v>
      </c>
      <c r="B319" s="20" t="s">
        <v>4345</v>
      </c>
      <c r="C319" s="20"/>
      <c r="D319" s="20" t="s">
        <v>48</v>
      </c>
      <c r="E319" s="19" t="str">
        <f>VLOOKUP(D319,'لیست پرسنل'!$B$2:$E$1020,3,FALSE)</f>
        <v>فکورصنعت</v>
      </c>
      <c r="F319" s="19" t="str">
        <f>VLOOKUP(D319,'لیست پرسنل'!$B$2:$E$1020,4,FALSE)</f>
        <v>سرپرست آی تی</v>
      </c>
      <c r="G319" s="127">
        <f>VLOOKUP(D319,'لیست پرسنل'!$B$2:$F$1020,2,FALSE)</f>
        <v>2210</v>
      </c>
      <c r="H319" s="126" t="s">
        <v>4290</v>
      </c>
      <c r="I319" s="128"/>
      <c r="J319" s="126" t="s">
        <v>368</v>
      </c>
      <c r="K319" s="140" t="s">
        <v>2846</v>
      </c>
      <c r="L319" s="140" t="s">
        <v>2130</v>
      </c>
      <c r="M319" s="128">
        <v>628891</v>
      </c>
      <c r="N319" s="108"/>
      <c r="O319" s="20" t="s">
        <v>4599</v>
      </c>
      <c r="P319" s="20"/>
      <c r="Q319" s="20"/>
    </row>
    <row r="320" spans="1:17" ht="24.9" customHeight="1">
      <c r="A320" s="20">
        <v>362</v>
      </c>
      <c r="B320" s="20" t="s">
        <v>4345</v>
      </c>
      <c r="C320" s="19"/>
      <c r="D320" s="19" t="s">
        <v>48</v>
      </c>
      <c r="E320" s="19" t="str">
        <f>VLOOKUP(D320,'لیست پرسنل'!$B$2:$E$1020,3,FALSE)</f>
        <v>فکورصنعت</v>
      </c>
      <c r="F320" s="19" t="str">
        <f>VLOOKUP(D320,'لیست پرسنل'!$B$2:$E$1020,4,FALSE)</f>
        <v>سرپرست آی تی</v>
      </c>
      <c r="G320" s="127">
        <f>VLOOKUP(D320,'لیست پرسنل'!$B$2:$F$1020,2,FALSE)</f>
        <v>2210</v>
      </c>
      <c r="H320" s="151" t="s">
        <v>4290</v>
      </c>
      <c r="I320" s="127"/>
      <c r="J320" s="126" t="s">
        <v>368</v>
      </c>
      <c r="K320" s="128" t="s">
        <v>2846</v>
      </c>
      <c r="L320" s="127" t="s">
        <v>2488</v>
      </c>
      <c r="M320" s="127">
        <v>628900</v>
      </c>
      <c r="N320" s="109"/>
      <c r="O320" s="86"/>
      <c r="P320" s="20"/>
      <c r="Q320" s="20"/>
    </row>
    <row r="321" spans="1:17" ht="24.9" customHeight="1">
      <c r="A321" s="20">
        <v>362</v>
      </c>
      <c r="B321" s="20" t="s">
        <v>4345</v>
      </c>
      <c r="C321" s="20"/>
      <c r="D321" s="20" t="s">
        <v>48</v>
      </c>
      <c r="E321" s="19" t="str">
        <f>VLOOKUP(D321,'لیست پرسنل'!$B$2:$E$1020,3,FALSE)</f>
        <v>فکورصنعت</v>
      </c>
      <c r="F321" s="19" t="str">
        <f>VLOOKUP(D321,'لیست پرسنل'!$B$2:$E$1020,4,FALSE)</f>
        <v>سرپرست آی تی</v>
      </c>
      <c r="G321" s="127">
        <f>VLOOKUP(D321,'لیست پرسنل'!$B$2:$F$1020,2,FALSE)</f>
        <v>2210</v>
      </c>
      <c r="H321" s="126" t="s">
        <v>4290</v>
      </c>
      <c r="I321" s="128"/>
      <c r="J321" s="126" t="s">
        <v>368</v>
      </c>
      <c r="K321" s="135" t="s">
        <v>8248</v>
      </c>
      <c r="L321" s="127" t="s">
        <v>2508</v>
      </c>
      <c r="M321" s="128">
        <v>628920</v>
      </c>
      <c r="N321" s="108"/>
      <c r="O321" s="20" t="s">
        <v>705</v>
      </c>
      <c r="P321" s="20"/>
      <c r="Q321" s="20"/>
    </row>
    <row r="322" spans="1:17" ht="24.9" customHeight="1">
      <c r="A322" s="20">
        <v>362</v>
      </c>
      <c r="B322" s="20" t="s">
        <v>4345</v>
      </c>
      <c r="C322" s="19"/>
      <c r="D322" s="19" t="s">
        <v>48</v>
      </c>
      <c r="E322" s="19" t="str">
        <f>VLOOKUP(D322,'لیست پرسنل'!$B$2:$E$1020,3,FALSE)</f>
        <v>فکورصنعت</v>
      </c>
      <c r="F322" s="19" t="str">
        <f>VLOOKUP(D322,'لیست پرسنل'!$B$2:$E$1020,4,FALSE)</f>
        <v>سرپرست آی تی</v>
      </c>
      <c r="G322" s="127">
        <f>VLOOKUP(D322,'لیست پرسنل'!$B$2:$F$1020,2,FALSE)</f>
        <v>2210</v>
      </c>
      <c r="H322" s="127" t="s">
        <v>4290</v>
      </c>
      <c r="I322" s="127"/>
      <c r="J322" s="126" t="s">
        <v>368</v>
      </c>
      <c r="K322" s="128" t="s">
        <v>8248</v>
      </c>
      <c r="L322" s="127" t="s">
        <v>2521</v>
      </c>
      <c r="M322" s="128">
        <v>628933</v>
      </c>
      <c r="N322" s="108"/>
      <c r="O322" s="19"/>
      <c r="P322" s="20"/>
      <c r="Q322" s="20"/>
    </row>
    <row r="323" spans="1:17" ht="24.9" customHeight="1">
      <c r="A323" s="20">
        <v>362</v>
      </c>
      <c r="B323" s="20" t="s">
        <v>4345</v>
      </c>
      <c r="C323" s="20"/>
      <c r="D323" s="20" t="s">
        <v>48</v>
      </c>
      <c r="E323" s="19" t="str">
        <f>VLOOKUP(D323,'لیست پرسنل'!$B$2:$E$1020,3,FALSE)</f>
        <v>فکورصنعت</v>
      </c>
      <c r="F323" s="19" t="str">
        <f>VLOOKUP(D323,'لیست پرسنل'!$B$2:$E$1020,4,FALSE)</f>
        <v>سرپرست آی تی</v>
      </c>
      <c r="G323" s="127">
        <f>VLOOKUP(D323,'لیست پرسنل'!$B$2:$F$1020,2,FALSE)</f>
        <v>2210</v>
      </c>
      <c r="H323" s="126" t="s">
        <v>4290</v>
      </c>
      <c r="I323" s="128"/>
      <c r="J323" s="126" t="s">
        <v>368</v>
      </c>
      <c r="K323" s="135" t="s">
        <v>8248</v>
      </c>
      <c r="L323" s="127" t="s">
        <v>2522</v>
      </c>
      <c r="M323" s="128">
        <v>628934</v>
      </c>
      <c r="N323" s="108"/>
      <c r="O323" s="20" t="s">
        <v>705</v>
      </c>
      <c r="P323" s="20"/>
      <c r="Q323" s="20"/>
    </row>
    <row r="324" spans="1:17" ht="24.9" customHeight="1">
      <c r="A324" s="20">
        <v>362</v>
      </c>
      <c r="B324" s="20" t="s">
        <v>4345</v>
      </c>
      <c r="C324" s="19"/>
      <c r="D324" s="20" t="s">
        <v>48</v>
      </c>
      <c r="E324" s="19" t="str">
        <f>VLOOKUP(D324,'لیست پرسنل'!$B$2:$E$1020,3,FALSE)</f>
        <v>فکورصنعت</v>
      </c>
      <c r="F324" s="19" t="str">
        <f>VLOOKUP(D324,'لیست پرسنل'!$B$2:$E$1020,4,FALSE)</f>
        <v>سرپرست آی تی</v>
      </c>
      <c r="G324" s="127">
        <f>VLOOKUP(D324,'لیست پرسنل'!$B$2:$F$1020,2,FALSE)</f>
        <v>2210</v>
      </c>
      <c r="H324" s="183" t="s">
        <v>4290</v>
      </c>
      <c r="I324" s="128"/>
      <c r="J324" s="126" t="s">
        <v>368</v>
      </c>
      <c r="K324" s="128" t="s">
        <v>2846</v>
      </c>
      <c r="L324" s="127" t="s">
        <v>4621</v>
      </c>
      <c r="M324" s="127">
        <v>629838</v>
      </c>
      <c r="N324" s="109"/>
      <c r="O324" s="20" t="s">
        <v>705</v>
      </c>
      <c r="P324" s="19"/>
      <c r="Q324" s="28"/>
    </row>
    <row r="325" spans="1:17" ht="24.9" customHeight="1">
      <c r="A325" s="20">
        <v>362</v>
      </c>
      <c r="B325" s="20" t="s">
        <v>4345</v>
      </c>
      <c r="C325" s="20"/>
      <c r="D325" s="20" t="s">
        <v>48</v>
      </c>
      <c r="E325" s="19" t="str">
        <f>VLOOKUP(D325,'لیست پرسنل'!$B$2:$E$1020,3,FALSE)</f>
        <v>فکورصنعت</v>
      </c>
      <c r="F325" s="19" t="str">
        <f>VLOOKUP(D325,'لیست پرسنل'!$B$2:$E$1020,4,FALSE)</f>
        <v>سرپرست آی تی</v>
      </c>
      <c r="G325" s="127">
        <f>VLOOKUP(D325,'لیست پرسنل'!$B$2:$F$1020,2,FALSE)</f>
        <v>2210</v>
      </c>
      <c r="H325" s="128" t="s">
        <v>4290</v>
      </c>
      <c r="I325" s="128"/>
      <c r="J325" s="128" t="s">
        <v>5366</v>
      </c>
      <c r="K325" s="128" t="s">
        <v>5546</v>
      </c>
      <c r="L325" s="127" t="s">
        <v>5549</v>
      </c>
      <c r="M325" s="127">
        <v>615714</v>
      </c>
      <c r="N325" s="108"/>
      <c r="O325" s="20"/>
      <c r="P325" s="20"/>
      <c r="Q325" s="20"/>
    </row>
    <row r="326" spans="1:17" ht="24.9" customHeight="1">
      <c r="A326" s="20">
        <v>362</v>
      </c>
      <c r="B326" s="20" t="s">
        <v>4345</v>
      </c>
      <c r="C326" s="20"/>
      <c r="D326" s="20" t="s">
        <v>48</v>
      </c>
      <c r="E326" s="19" t="str">
        <f>VLOOKUP(D326,'لیست پرسنل'!$B$2:$E$1020,3,FALSE)</f>
        <v>فکورصنعت</v>
      </c>
      <c r="F326" s="19" t="str">
        <f>VLOOKUP(D326,'لیست پرسنل'!$B$2:$E$1020,4,FALSE)</f>
        <v>سرپرست آی تی</v>
      </c>
      <c r="G326" s="127">
        <f>VLOOKUP(D326,'لیست پرسنل'!$B$2:$F$1020,2,FALSE)</f>
        <v>2210</v>
      </c>
      <c r="H326" s="128" t="s">
        <v>4290</v>
      </c>
      <c r="I326" s="128"/>
      <c r="J326" s="128" t="s">
        <v>5366</v>
      </c>
      <c r="K326" s="128" t="s">
        <v>5546</v>
      </c>
      <c r="L326" s="127" t="s">
        <v>5550</v>
      </c>
      <c r="M326" s="127">
        <v>615715</v>
      </c>
      <c r="N326" s="108"/>
      <c r="O326" s="20"/>
      <c r="P326" s="20"/>
      <c r="Q326" s="20"/>
    </row>
    <row r="327" spans="1:17" ht="24.9" customHeight="1">
      <c r="A327" s="20">
        <v>362</v>
      </c>
      <c r="B327" s="20" t="s">
        <v>4345</v>
      </c>
      <c r="C327" s="19"/>
      <c r="D327" s="19" t="s">
        <v>48</v>
      </c>
      <c r="E327" s="19" t="str">
        <f>VLOOKUP(D327,'لیست پرسنل'!$B$2:$E$1020,3,FALSE)</f>
        <v>فکورصنعت</v>
      </c>
      <c r="F327" s="19" t="str">
        <f>VLOOKUP(D327,'لیست پرسنل'!$B$2:$E$1020,4,FALSE)</f>
        <v>سرپرست آی تی</v>
      </c>
      <c r="G327" s="127">
        <f>VLOOKUP(D327,'لیست پرسنل'!$B$2:$F$1020,2,FALSE)</f>
        <v>2210</v>
      </c>
      <c r="H327" s="151" t="s">
        <v>4290</v>
      </c>
      <c r="I327" s="127"/>
      <c r="J327" s="128" t="s">
        <v>5366</v>
      </c>
      <c r="K327" s="128" t="s">
        <v>4964</v>
      </c>
      <c r="L327" s="127" t="s">
        <v>4962</v>
      </c>
      <c r="M327" s="128">
        <v>630678</v>
      </c>
      <c r="N327" s="108"/>
      <c r="O327" s="20"/>
      <c r="P327" s="20"/>
      <c r="Q327" s="20"/>
    </row>
    <row r="328" spans="1:17" ht="24.9" customHeight="1">
      <c r="A328" s="20">
        <v>362</v>
      </c>
      <c r="B328" s="20" t="s">
        <v>4345</v>
      </c>
      <c r="C328" s="20"/>
      <c r="D328" s="20" t="s">
        <v>48</v>
      </c>
      <c r="E328" s="19" t="str">
        <f>VLOOKUP(D328,'لیست پرسنل'!$B$2:$E$1020,3,FALSE)</f>
        <v>فکورصنعت</v>
      </c>
      <c r="F328" s="19" t="str">
        <f>VLOOKUP(D328,'لیست پرسنل'!$B$2:$E$1020,4,FALSE)</f>
        <v>سرپرست آی تی</v>
      </c>
      <c r="G328" s="127">
        <f>VLOOKUP(D328,'لیست پرسنل'!$B$2:$F$1020,2,FALSE)</f>
        <v>2210</v>
      </c>
      <c r="H328" s="126" t="s">
        <v>4290</v>
      </c>
      <c r="I328" s="128"/>
      <c r="J328" s="128" t="s">
        <v>5366</v>
      </c>
      <c r="K328" s="128" t="s">
        <v>8233</v>
      </c>
      <c r="L328" s="134" t="s">
        <v>6041</v>
      </c>
      <c r="M328" s="128">
        <v>632735</v>
      </c>
      <c r="N328" s="108"/>
      <c r="O328" s="20"/>
      <c r="P328" s="20"/>
      <c r="Q328" s="20"/>
    </row>
    <row r="329" spans="1:17" ht="24.9" customHeight="1">
      <c r="A329" s="20">
        <v>362</v>
      </c>
      <c r="B329" s="20" t="s">
        <v>4345</v>
      </c>
      <c r="C329" s="20"/>
      <c r="D329" s="20" t="s">
        <v>48</v>
      </c>
      <c r="E329" s="19" t="str">
        <f>VLOOKUP(D329,'لیست پرسنل'!$B$2:$E$1020,3,FALSE)</f>
        <v>فکورصنعت</v>
      </c>
      <c r="F329" s="19" t="str">
        <f>VLOOKUP(D329,'لیست پرسنل'!$B$2:$E$1020,4,FALSE)</f>
        <v>سرپرست آی تی</v>
      </c>
      <c r="G329" s="127">
        <f>VLOOKUP(D329,'لیست پرسنل'!$B$2:$F$1020,2,FALSE)</f>
        <v>2210</v>
      </c>
      <c r="H329" s="126" t="s">
        <v>4290</v>
      </c>
      <c r="I329" s="128"/>
      <c r="J329" s="128" t="s">
        <v>5366</v>
      </c>
      <c r="K329" s="128" t="s">
        <v>8234</v>
      </c>
      <c r="L329" s="134" t="s">
        <v>6042</v>
      </c>
      <c r="M329" s="128">
        <v>632736</v>
      </c>
      <c r="N329" s="108"/>
      <c r="O329" s="20"/>
      <c r="P329" s="20"/>
      <c r="Q329" s="20"/>
    </row>
    <row r="330" spans="1:17" ht="24.9" customHeight="1">
      <c r="A330" s="20">
        <v>362</v>
      </c>
      <c r="B330" s="20" t="s">
        <v>4345</v>
      </c>
      <c r="C330" s="19"/>
      <c r="D330" s="19" t="s">
        <v>48</v>
      </c>
      <c r="E330" s="19" t="str">
        <f>VLOOKUP(D330,'لیست پرسنل'!$B$2:$E$1020,3,FALSE)</f>
        <v>فکورصنعت</v>
      </c>
      <c r="F330" s="19" t="str">
        <f>VLOOKUP(D330,'لیست پرسنل'!$B$2:$E$1020,4,FALSE)</f>
        <v>سرپرست آی تی</v>
      </c>
      <c r="G330" s="127">
        <f>VLOOKUP(D330,'لیست پرسنل'!$B$2:$F$1020,2,FALSE)</f>
        <v>2210</v>
      </c>
      <c r="H330" s="127" t="s">
        <v>4290</v>
      </c>
      <c r="I330" s="127"/>
      <c r="J330" s="128" t="s">
        <v>5366</v>
      </c>
      <c r="K330" s="128" t="s">
        <v>1614</v>
      </c>
      <c r="L330" s="127" t="s">
        <v>1612</v>
      </c>
      <c r="M330" s="127">
        <v>633704</v>
      </c>
      <c r="N330" s="109"/>
      <c r="O330" s="19" t="s">
        <v>6358</v>
      </c>
      <c r="P330" s="32"/>
      <c r="Q330" s="32"/>
    </row>
    <row r="331" spans="1:17" ht="24.9" customHeight="1">
      <c r="A331" s="20">
        <v>362</v>
      </c>
      <c r="B331" s="20" t="s">
        <v>4345</v>
      </c>
      <c r="C331" s="20"/>
      <c r="D331" s="20" t="s">
        <v>48</v>
      </c>
      <c r="E331" s="19" t="str">
        <f>VLOOKUP(D331,'لیست پرسنل'!$B$2:$E$1020,3,FALSE)</f>
        <v>فکورصنعت</v>
      </c>
      <c r="F331" s="19" t="str">
        <f>VLOOKUP(D331,'لیست پرسنل'!$B$2:$E$1020,4,FALSE)</f>
        <v>سرپرست آی تی</v>
      </c>
      <c r="G331" s="127">
        <f>VLOOKUP(D331,'لیست پرسنل'!$B$2:$F$1020,2,FALSE)</f>
        <v>2210</v>
      </c>
      <c r="H331" s="128" t="s">
        <v>4290</v>
      </c>
      <c r="I331" s="128"/>
      <c r="J331" s="128" t="s">
        <v>3938</v>
      </c>
      <c r="K331" s="128" t="s">
        <v>1814</v>
      </c>
      <c r="L331" s="128" t="s">
        <v>4233</v>
      </c>
      <c r="M331" s="127">
        <v>612105</v>
      </c>
      <c r="N331" s="108"/>
      <c r="O331" s="20" t="s">
        <v>4980</v>
      </c>
      <c r="P331" s="20"/>
      <c r="Q331" s="20"/>
    </row>
    <row r="332" spans="1:17" ht="24.9" customHeight="1">
      <c r="A332" s="20">
        <v>362</v>
      </c>
      <c r="B332" s="20" t="s">
        <v>4345</v>
      </c>
      <c r="C332" s="19"/>
      <c r="D332" s="20" t="s">
        <v>48</v>
      </c>
      <c r="E332" s="19" t="str">
        <f>VLOOKUP(D332,'لیست پرسنل'!$B$2:$E$1020,3,FALSE)</f>
        <v>فکورصنعت</v>
      </c>
      <c r="F332" s="19" t="str">
        <f>VLOOKUP(D332,'لیست پرسنل'!$B$2:$E$1020,4,FALSE)</f>
        <v>سرپرست آی تی</v>
      </c>
      <c r="G332" s="127">
        <f>VLOOKUP(D332,'لیست پرسنل'!$B$2:$F$1020,2,FALSE)</f>
        <v>2210</v>
      </c>
      <c r="H332" s="126" t="s">
        <v>4290</v>
      </c>
      <c r="I332" s="128"/>
      <c r="J332" s="128" t="s">
        <v>3938</v>
      </c>
      <c r="K332" s="126" t="s">
        <v>6668</v>
      </c>
      <c r="L332" s="151" t="s">
        <v>6670</v>
      </c>
      <c r="M332" s="127">
        <v>633977</v>
      </c>
      <c r="N332" s="109"/>
      <c r="O332" s="20"/>
      <c r="P332" s="20"/>
      <c r="Q332" s="20"/>
    </row>
    <row r="333" spans="1:17" ht="24.9" customHeight="1">
      <c r="A333" s="20">
        <v>362</v>
      </c>
      <c r="B333" s="20" t="s">
        <v>4345</v>
      </c>
      <c r="C333" s="19"/>
      <c r="D333" s="19" t="s">
        <v>48</v>
      </c>
      <c r="E333" s="19" t="str">
        <f>VLOOKUP(D333,'لیست پرسنل'!$B$2:$E$1020,3,FALSE)</f>
        <v>فکورصنعت</v>
      </c>
      <c r="F333" s="19" t="str">
        <f>VLOOKUP(D333,'لیست پرسنل'!$B$2:$E$1020,4,FALSE)</f>
        <v>سرپرست آی تی</v>
      </c>
      <c r="G333" s="127">
        <f>VLOOKUP(D333,'لیست پرسنل'!$B$2:$F$1020,2,FALSE)</f>
        <v>2210</v>
      </c>
      <c r="H333" s="151" t="s">
        <v>4290</v>
      </c>
      <c r="I333" s="127"/>
      <c r="J333" s="128" t="s">
        <v>3938</v>
      </c>
      <c r="K333" s="128" t="s">
        <v>1458</v>
      </c>
      <c r="L333" s="151" t="s">
        <v>6957</v>
      </c>
      <c r="M333" s="127">
        <v>634355</v>
      </c>
      <c r="N333" s="109"/>
      <c r="O333" s="39"/>
      <c r="P333" s="20"/>
      <c r="Q333" s="20"/>
    </row>
    <row r="334" spans="1:17" ht="24.9" customHeight="1">
      <c r="A334" s="20">
        <v>362</v>
      </c>
      <c r="B334" s="20" t="s">
        <v>4345</v>
      </c>
      <c r="C334" s="20"/>
      <c r="D334" s="20" t="s">
        <v>48</v>
      </c>
      <c r="E334" s="19" t="str">
        <f>VLOOKUP(D334,'لیست پرسنل'!$B$2:$E$1020,3,FALSE)</f>
        <v>فکورصنعت</v>
      </c>
      <c r="F334" s="19" t="str">
        <f>VLOOKUP(D334,'لیست پرسنل'!$B$2:$E$1020,4,FALSE)</f>
        <v>سرپرست آی تی</v>
      </c>
      <c r="G334" s="127">
        <f>VLOOKUP(D334,'لیست پرسنل'!$B$2:$F$1020,2,FALSE)</f>
        <v>2210</v>
      </c>
      <c r="H334" s="126" t="s">
        <v>4290</v>
      </c>
      <c r="I334" s="128"/>
      <c r="J334" s="128" t="s">
        <v>885</v>
      </c>
      <c r="K334" s="128" t="s">
        <v>926</v>
      </c>
      <c r="L334" s="150"/>
      <c r="M334" s="128">
        <v>608623</v>
      </c>
      <c r="N334" s="108"/>
      <c r="O334" s="20" t="s">
        <v>4298</v>
      </c>
      <c r="P334" s="20"/>
      <c r="Q334" s="20"/>
    </row>
    <row r="335" spans="1:17" ht="24.9" customHeight="1">
      <c r="A335" s="20">
        <v>362</v>
      </c>
      <c r="B335" s="20" t="s">
        <v>4345</v>
      </c>
      <c r="C335" s="19"/>
      <c r="D335" s="20" t="s">
        <v>48</v>
      </c>
      <c r="E335" s="19" t="str">
        <f>VLOOKUP(D335,'لیست پرسنل'!$B$2:$E$1020,3,FALSE)</f>
        <v>فکورصنعت</v>
      </c>
      <c r="F335" s="19" t="str">
        <f>VLOOKUP(D335,'لیست پرسنل'!$B$2:$E$1020,4,FALSE)</f>
        <v>سرپرست آی تی</v>
      </c>
      <c r="G335" s="127">
        <f>VLOOKUP(D335,'لیست پرسنل'!$B$2:$F$1020,2,FALSE)</f>
        <v>2210</v>
      </c>
      <c r="H335" s="126" t="s">
        <v>4290</v>
      </c>
      <c r="I335" s="128"/>
      <c r="J335" s="128" t="s">
        <v>885</v>
      </c>
      <c r="K335" s="127" t="s">
        <v>1510</v>
      </c>
      <c r="L335" s="150"/>
      <c r="M335" s="128">
        <v>615237</v>
      </c>
      <c r="N335" s="108"/>
      <c r="O335" s="20" t="s">
        <v>1405</v>
      </c>
      <c r="P335" s="20"/>
      <c r="Q335" s="20"/>
    </row>
    <row r="336" spans="1:17" ht="24.9" customHeight="1">
      <c r="A336" s="20">
        <v>362</v>
      </c>
      <c r="B336" s="20" t="s">
        <v>4345</v>
      </c>
      <c r="C336" s="19"/>
      <c r="D336" s="20" t="s">
        <v>48</v>
      </c>
      <c r="E336" s="19" t="str">
        <f>VLOOKUP(D336,'لیست پرسنل'!$B$2:$E$1020,3,FALSE)</f>
        <v>فکورصنعت</v>
      </c>
      <c r="F336" s="19" t="str">
        <f>VLOOKUP(D336,'لیست پرسنل'!$B$2:$E$1020,4,FALSE)</f>
        <v>سرپرست آی تی</v>
      </c>
      <c r="G336" s="127">
        <f>VLOOKUP(D336,'لیست پرسنل'!$B$2:$F$1020,2,FALSE)</f>
        <v>2210</v>
      </c>
      <c r="H336" s="126" t="s">
        <v>4290</v>
      </c>
      <c r="I336" s="126"/>
      <c r="J336" s="128" t="s">
        <v>885</v>
      </c>
      <c r="K336" s="127" t="s">
        <v>1399</v>
      </c>
      <c r="L336" s="150"/>
      <c r="M336" s="128">
        <v>620811</v>
      </c>
      <c r="N336" s="108" t="s">
        <v>7084</v>
      </c>
      <c r="O336" s="20" t="s">
        <v>4299</v>
      </c>
      <c r="P336" s="20"/>
      <c r="Q336" s="20"/>
    </row>
    <row r="337" spans="1:17" ht="24.9" customHeight="1">
      <c r="A337" s="20">
        <v>362</v>
      </c>
      <c r="B337" s="20" t="s">
        <v>4345</v>
      </c>
      <c r="C337" s="20"/>
      <c r="D337" s="20" t="s">
        <v>48</v>
      </c>
      <c r="E337" s="19" t="str">
        <f>VLOOKUP(D337,'لیست پرسنل'!$B$2:$E$1020,3,FALSE)</f>
        <v>فکورصنعت</v>
      </c>
      <c r="F337" s="19" t="str">
        <f>VLOOKUP(D337,'لیست پرسنل'!$B$2:$E$1020,4,FALSE)</f>
        <v>سرپرست آی تی</v>
      </c>
      <c r="G337" s="127">
        <f>VLOOKUP(D337,'لیست پرسنل'!$B$2:$F$1020,2,FALSE)</f>
        <v>2210</v>
      </c>
      <c r="H337" s="126" t="s">
        <v>4290</v>
      </c>
      <c r="I337" s="128"/>
      <c r="J337" s="128" t="s">
        <v>885</v>
      </c>
      <c r="K337" s="128" t="s">
        <v>7160</v>
      </c>
      <c r="L337" s="150" t="s">
        <v>1255</v>
      </c>
      <c r="M337" s="128" t="s">
        <v>291</v>
      </c>
      <c r="N337" s="108"/>
      <c r="O337" s="20"/>
      <c r="P337" s="20"/>
      <c r="Q337" s="20"/>
    </row>
    <row r="338" spans="1:17" ht="24.9" customHeight="1">
      <c r="A338" s="20">
        <v>362</v>
      </c>
      <c r="B338" s="20" t="s">
        <v>4345</v>
      </c>
      <c r="C338" s="20"/>
      <c r="D338" s="20" t="s">
        <v>48</v>
      </c>
      <c r="E338" s="19" t="str">
        <f>VLOOKUP(D338,'لیست پرسنل'!$B$2:$E$1020,3,FALSE)</f>
        <v>فکورصنعت</v>
      </c>
      <c r="F338" s="19" t="str">
        <f>VLOOKUP(D338,'لیست پرسنل'!$B$2:$E$1020,4,FALSE)</f>
        <v>سرپرست آی تی</v>
      </c>
      <c r="G338" s="127">
        <f>VLOOKUP(D338,'لیست پرسنل'!$B$2:$F$1020,2,FALSE)</f>
        <v>2210</v>
      </c>
      <c r="H338" s="126" t="s">
        <v>4290</v>
      </c>
      <c r="I338" s="126"/>
      <c r="J338" s="128" t="s">
        <v>885</v>
      </c>
      <c r="K338" s="127" t="s">
        <v>1400</v>
      </c>
      <c r="L338" s="150"/>
      <c r="M338" s="128" t="s">
        <v>291</v>
      </c>
      <c r="N338" s="108"/>
      <c r="O338" s="20" t="s">
        <v>4299</v>
      </c>
      <c r="P338" s="20"/>
      <c r="Q338" s="20"/>
    </row>
    <row r="339" spans="1:17" ht="24.9" customHeight="1">
      <c r="A339" s="20">
        <v>362</v>
      </c>
      <c r="B339" s="20" t="s">
        <v>4345</v>
      </c>
      <c r="C339" s="19"/>
      <c r="D339" s="19" t="s">
        <v>48</v>
      </c>
      <c r="E339" s="19" t="str">
        <f>VLOOKUP(D339,'لیست پرسنل'!$B$2:$E$1020,3,FALSE)</f>
        <v>فکورصنعت</v>
      </c>
      <c r="F339" s="19" t="str">
        <f>VLOOKUP(D339,'لیست پرسنل'!$B$2:$E$1020,4,FALSE)</f>
        <v>سرپرست آی تی</v>
      </c>
      <c r="G339" s="127">
        <f>VLOOKUP(D339,'لیست پرسنل'!$B$2:$F$1020,2,FALSE)</f>
        <v>2210</v>
      </c>
      <c r="H339" s="127" t="s">
        <v>4290</v>
      </c>
      <c r="I339" s="127"/>
      <c r="J339" s="127" t="s">
        <v>5927</v>
      </c>
      <c r="K339" s="128" t="s">
        <v>6596</v>
      </c>
      <c r="L339" s="128" t="s">
        <v>6603</v>
      </c>
      <c r="M339" s="127" t="s">
        <v>291</v>
      </c>
      <c r="N339" s="111"/>
      <c r="O339" s="19"/>
      <c r="P339" s="20"/>
      <c r="Q339" s="20"/>
    </row>
    <row r="340" spans="1:17" ht="24.9" customHeight="1">
      <c r="A340" s="20">
        <v>362</v>
      </c>
      <c r="B340" s="20" t="s">
        <v>4345</v>
      </c>
      <c r="C340" s="19"/>
      <c r="D340" s="19" t="s">
        <v>48</v>
      </c>
      <c r="E340" s="19" t="str">
        <f>VLOOKUP(D340,'لیست پرسنل'!$B$2:$E$1020,3,FALSE)</f>
        <v>فکورصنعت</v>
      </c>
      <c r="F340" s="19" t="str">
        <f>VLOOKUP(D340,'لیست پرسنل'!$B$2:$E$1020,4,FALSE)</f>
        <v>سرپرست آی تی</v>
      </c>
      <c r="G340" s="127">
        <f>VLOOKUP(D340,'لیست پرسنل'!$B$2:$F$1020,2,FALSE)</f>
        <v>2210</v>
      </c>
      <c r="H340" s="127" t="s">
        <v>4290</v>
      </c>
      <c r="I340" s="127"/>
      <c r="J340" s="127" t="s">
        <v>5927</v>
      </c>
      <c r="K340" s="128" t="s">
        <v>6596</v>
      </c>
      <c r="L340" s="128" t="s">
        <v>6604</v>
      </c>
      <c r="M340" s="127" t="s">
        <v>291</v>
      </c>
      <c r="N340" s="111"/>
      <c r="O340" s="19"/>
      <c r="P340" s="20"/>
      <c r="Q340" s="20"/>
    </row>
    <row r="341" spans="1:17" ht="24.9" customHeight="1">
      <c r="A341" s="20">
        <v>362</v>
      </c>
      <c r="B341" s="20" t="s">
        <v>4345</v>
      </c>
      <c r="C341" s="19"/>
      <c r="D341" s="19" t="s">
        <v>48</v>
      </c>
      <c r="E341" s="19" t="str">
        <f>VLOOKUP(D341,'لیست پرسنل'!$B$2:$E$1020,3,FALSE)</f>
        <v>فکورصنعت</v>
      </c>
      <c r="F341" s="19" t="str">
        <f>VLOOKUP(D341,'لیست پرسنل'!$B$2:$E$1020,4,FALSE)</f>
        <v>سرپرست آی تی</v>
      </c>
      <c r="G341" s="127">
        <f>VLOOKUP(D341,'لیست پرسنل'!$B$2:$F$1020,2,FALSE)</f>
        <v>2210</v>
      </c>
      <c r="H341" s="127" t="s">
        <v>4290</v>
      </c>
      <c r="I341" s="127"/>
      <c r="J341" s="127" t="s">
        <v>5927</v>
      </c>
      <c r="K341" s="128" t="s">
        <v>6596</v>
      </c>
      <c r="L341" s="128" t="s">
        <v>6605</v>
      </c>
      <c r="M341" s="127" t="s">
        <v>291</v>
      </c>
      <c r="N341" s="111"/>
      <c r="O341" s="19"/>
      <c r="P341" s="20"/>
      <c r="Q341" s="20"/>
    </row>
    <row r="342" spans="1:17" ht="24.9" customHeight="1">
      <c r="A342" s="20">
        <v>362</v>
      </c>
      <c r="B342" s="20" t="s">
        <v>4345</v>
      </c>
      <c r="C342" s="19"/>
      <c r="D342" s="19" t="s">
        <v>48</v>
      </c>
      <c r="E342" s="19" t="str">
        <f>VLOOKUP(D342,'لیست پرسنل'!$B$2:$E$1020,3,FALSE)</f>
        <v>فکورصنعت</v>
      </c>
      <c r="F342" s="19" t="str">
        <f>VLOOKUP(D342,'لیست پرسنل'!$B$2:$E$1020,4,FALSE)</f>
        <v>سرپرست آی تی</v>
      </c>
      <c r="G342" s="127">
        <f>VLOOKUP(D342,'لیست پرسنل'!$B$2:$F$1020,2,FALSE)</f>
        <v>2210</v>
      </c>
      <c r="H342" s="127" t="s">
        <v>4290</v>
      </c>
      <c r="I342" s="127"/>
      <c r="J342" s="127" t="s">
        <v>5927</v>
      </c>
      <c r="K342" s="128" t="s">
        <v>6596</v>
      </c>
      <c r="L342" s="128" t="s">
        <v>6606</v>
      </c>
      <c r="M342" s="127" t="s">
        <v>291</v>
      </c>
      <c r="N342" s="111"/>
      <c r="O342" s="19"/>
      <c r="P342" s="20"/>
      <c r="Q342" s="20"/>
    </row>
    <row r="343" spans="1:17" ht="24.9" customHeight="1">
      <c r="A343" s="20">
        <v>362</v>
      </c>
      <c r="B343" s="20" t="s">
        <v>4345</v>
      </c>
      <c r="C343" s="20"/>
      <c r="D343" s="20" t="s">
        <v>48</v>
      </c>
      <c r="E343" s="19" t="str">
        <f>VLOOKUP(D343,'لیست پرسنل'!$B$2:$E$1020,3,FALSE)</f>
        <v>فکورصنعت</v>
      </c>
      <c r="F343" s="19" t="str">
        <f>VLOOKUP(D343,'لیست پرسنل'!$B$2:$E$1020,4,FALSE)</f>
        <v>سرپرست آی تی</v>
      </c>
      <c r="G343" s="127">
        <f>VLOOKUP(D343,'لیست پرسنل'!$B$2:$F$1020,2,FALSE)</f>
        <v>2210</v>
      </c>
      <c r="H343" s="127" t="s">
        <v>4290</v>
      </c>
      <c r="I343" s="127"/>
      <c r="J343" s="128" t="s">
        <v>5927</v>
      </c>
      <c r="K343" s="127" t="s">
        <v>8360</v>
      </c>
      <c r="L343" s="127" t="s">
        <v>8361</v>
      </c>
      <c r="M343" s="127" t="s">
        <v>291</v>
      </c>
      <c r="N343" s="109"/>
      <c r="O343" s="20"/>
      <c r="P343" s="20"/>
      <c r="Q343" s="20"/>
    </row>
    <row r="344" spans="1:17" ht="24.9" customHeight="1">
      <c r="A344" s="20">
        <v>362</v>
      </c>
      <c r="B344" s="20" t="s">
        <v>4345</v>
      </c>
      <c r="C344" s="20"/>
      <c r="D344" s="20" t="s">
        <v>48</v>
      </c>
      <c r="E344" s="19" t="str">
        <f>VLOOKUP(D344,'لیست پرسنل'!$B$2:$E$1020,3,FALSE)</f>
        <v>فکورصنعت</v>
      </c>
      <c r="F344" s="19" t="str">
        <f>VLOOKUP(D344,'لیست پرسنل'!$B$2:$E$1020,4,FALSE)</f>
        <v>سرپرست آی تی</v>
      </c>
      <c r="G344" s="127">
        <f>VLOOKUP(D344,'لیست پرسنل'!$B$2:$F$1020,2,FALSE)</f>
        <v>2210</v>
      </c>
      <c r="H344" s="127" t="s">
        <v>4290</v>
      </c>
      <c r="I344" s="127"/>
      <c r="J344" s="128" t="s">
        <v>5927</v>
      </c>
      <c r="K344" s="127" t="s">
        <v>8360</v>
      </c>
      <c r="L344" s="127" t="s">
        <v>8362</v>
      </c>
      <c r="M344" s="127" t="s">
        <v>291</v>
      </c>
      <c r="N344" s="109"/>
      <c r="O344" s="20"/>
      <c r="P344" s="20"/>
      <c r="Q344" s="20"/>
    </row>
    <row r="345" spans="1:17" ht="24.9" customHeight="1">
      <c r="A345" s="20">
        <v>362</v>
      </c>
      <c r="B345" s="20" t="s">
        <v>4345</v>
      </c>
      <c r="C345" s="20"/>
      <c r="D345" s="20" t="s">
        <v>48</v>
      </c>
      <c r="E345" s="19" t="str">
        <f>VLOOKUP(D345,'لیست پرسنل'!$B$2:$E$1020,3,FALSE)</f>
        <v>فکورصنعت</v>
      </c>
      <c r="F345" s="19" t="str">
        <f>VLOOKUP(D345,'لیست پرسنل'!$B$2:$E$1020,4,FALSE)</f>
        <v>سرپرست آی تی</v>
      </c>
      <c r="G345" s="127">
        <f>VLOOKUP(D345,'لیست پرسنل'!$B$2:$F$1020,2,FALSE)</f>
        <v>2210</v>
      </c>
      <c r="H345" s="127" t="s">
        <v>4290</v>
      </c>
      <c r="I345" s="127"/>
      <c r="J345" s="128" t="s">
        <v>5927</v>
      </c>
      <c r="K345" s="127" t="s">
        <v>8360</v>
      </c>
      <c r="L345" s="127" t="s">
        <v>8363</v>
      </c>
      <c r="M345" s="127" t="s">
        <v>291</v>
      </c>
      <c r="N345" s="109"/>
      <c r="O345" s="20"/>
      <c r="P345" s="20"/>
      <c r="Q345" s="20"/>
    </row>
    <row r="346" spans="1:17" ht="24.9" customHeight="1">
      <c r="A346" s="20">
        <v>362</v>
      </c>
      <c r="B346" s="20" t="s">
        <v>4345</v>
      </c>
      <c r="C346" s="20"/>
      <c r="D346" s="20" t="s">
        <v>48</v>
      </c>
      <c r="E346" s="19" t="str">
        <f>VLOOKUP(D346,'لیست پرسنل'!$B$2:$E$1020,3,FALSE)</f>
        <v>فکورصنعت</v>
      </c>
      <c r="F346" s="19" t="str">
        <f>VLOOKUP(D346,'لیست پرسنل'!$B$2:$E$1020,4,FALSE)</f>
        <v>سرپرست آی تی</v>
      </c>
      <c r="G346" s="127">
        <f>VLOOKUP(D346,'لیست پرسنل'!$B$2:$F$1020,2,FALSE)</f>
        <v>2210</v>
      </c>
      <c r="H346" s="127" t="s">
        <v>4290</v>
      </c>
      <c r="I346" s="127"/>
      <c r="J346" s="128" t="s">
        <v>5927</v>
      </c>
      <c r="K346" s="127" t="s">
        <v>8360</v>
      </c>
      <c r="L346" s="127" t="s">
        <v>8364</v>
      </c>
      <c r="M346" s="127" t="s">
        <v>291</v>
      </c>
      <c r="N346" s="109"/>
      <c r="O346" s="20"/>
      <c r="P346" s="20"/>
      <c r="Q346" s="20"/>
    </row>
    <row r="347" spans="1:17" ht="24.9" customHeight="1">
      <c r="A347" s="20">
        <v>362</v>
      </c>
      <c r="B347" s="20" t="s">
        <v>4345</v>
      </c>
      <c r="C347" s="20"/>
      <c r="D347" s="20" t="s">
        <v>48</v>
      </c>
      <c r="E347" s="19" t="str">
        <f>VLOOKUP(D347,'لیست پرسنل'!$B$2:$E$1020,3,FALSE)</f>
        <v>فکورصنعت</v>
      </c>
      <c r="F347" s="19" t="str">
        <f>VLOOKUP(D347,'لیست پرسنل'!$B$2:$E$1020,4,FALSE)</f>
        <v>سرپرست آی تی</v>
      </c>
      <c r="G347" s="127">
        <f>VLOOKUP(D347,'لیست پرسنل'!$B$2:$F$1020,2,FALSE)</f>
        <v>2210</v>
      </c>
      <c r="H347" s="127" t="s">
        <v>4290</v>
      </c>
      <c r="I347" s="127"/>
      <c r="J347" s="128" t="s">
        <v>5927</v>
      </c>
      <c r="K347" s="127" t="s">
        <v>8360</v>
      </c>
      <c r="L347" s="127" t="s">
        <v>8365</v>
      </c>
      <c r="M347" s="127" t="s">
        <v>291</v>
      </c>
      <c r="N347" s="109"/>
      <c r="O347" s="20"/>
      <c r="P347" s="20"/>
      <c r="Q347" s="20"/>
    </row>
    <row r="348" spans="1:17" ht="24.9" customHeight="1">
      <c r="A348" s="20">
        <v>362</v>
      </c>
      <c r="B348" s="20" t="s">
        <v>4345</v>
      </c>
      <c r="C348" s="20"/>
      <c r="D348" s="20" t="s">
        <v>48</v>
      </c>
      <c r="E348" s="19" t="str">
        <f>VLOOKUP(D348,'لیست پرسنل'!$B$2:$E$1020,3,FALSE)</f>
        <v>فکورصنعت</v>
      </c>
      <c r="F348" s="19" t="str">
        <f>VLOOKUP(D348,'لیست پرسنل'!$B$2:$E$1020,4,FALSE)</f>
        <v>سرپرست آی تی</v>
      </c>
      <c r="G348" s="127">
        <f>VLOOKUP(D348,'لیست پرسنل'!$B$2:$F$1020,2,FALSE)</f>
        <v>2210</v>
      </c>
      <c r="H348" s="127" t="s">
        <v>4290</v>
      </c>
      <c r="I348" s="127"/>
      <c r="J348" s="128" t="s">
        <v>5927</v>
      </c>
      <c r="K348" s="127" t="s">
        <v>8360</v>
      </c>
      <c r="L348" s="127" t="s">
        <v>8366</v>
      </c>
      <c r="M348" s="127" t="s">
        <v>291</v>
      </c>
      <c r="N348" s="109"/>
      <c r="O348" s="20"/>
      <c r="P348" s="20"/>
      <c r="Q348" s="20"/>
    </row>
    <row r="349" spans="1:17" ht="24.9" customHeight="1">
      <c r="A349" s="20">
        <v>362</v>
      </c>
      <c r="B349" s="20" t="s">
        <v>4345</v>
      </c>
      <c r="C349" s="20"/>
      <c r="D349" s="20" t="s">
        <v>48</v>
      </c>
      <c r="E349" s="19" t="str">
        <f>VLOOKUP(D349,'لیست پرسنل'!$B$2:$E$1020,3,FALSE)</f>
        <v>فکورصنعت</v>
      </c>
      <c r="F349" s="19" t="str">
        <f>VLOOKUP(D349,'لیست پرسنل'!$B$2:$E$1020,4,FALSE)</f>
        <v>سرپرست آی تی</v>
      </c>
      <c r="G349" s="127">
        <f>VLOOKUP(D349,'لیست پرسنل'!$B$2:$F$1020,2,FALSE)</f>
        <v>2210</v>
      </c>
      <c r="H349" s="127" t="s">
        <v>4290</v>
      </c>
      <c r="I349" s="127"/>
      <c r="J349" s="128" t="s">
        <v>5927</v>
      </c>
      <c r="K349" s="127" t="s">
        <v>8360</v>
      </c>
      <c r="L349" s="127" t="s">
        <v>8367</v>
      </c>
      <c r="M349" s="127" t="s">
        <v>291</v>
      </c>
      <c r="N349" s="109"/>
      <c r="O349" s="20"/>
      <c r="P349" s="20"/>
      <c r="Q349" s="20"/>
    </row>
    <row r="350" spans="1:17" ht="24.9" customHeight="1">
      <c r="A350" s="20">
        <v>362</v>
      </c>
      <c r="B350" s="20" t="s">
        <v>4345</v>
      </c>
      <c r="C350" s="20"/>
      <c r="D350" s="20" t="s">
        <v>48</v>
      </c>
      <c r="E350" s="19" t="str">
        <f>VLOOKUP(D350,'لیست پرسنل'!$B$2:$E$1020,3,FALSE)</f>
        <v>فکورصنعت</v>
      </c>
      <c r="F350" s="19" t="str">
        <f>VLOOKUP(D350,'لیست پرسنل'!$B$2:$E$1020,4,FALSE)</f>
        <v>سرپرست آی تی</v>
      </c>
      <c r="G350" s="127">
        <f>VLOOKUP(D350,'لیست پرسنل'!$B$2:$F$1020,2,FALSE)</f>
        <v>2210</v>
      </c>
      <c r="H350" s="127" t="s">
        <v>4290</v>
      </c>
      <c r="I350" s="127"/>
      <c r="J350" s="128" t="s">
        <v>5927</v>
      </c>
      <c r="K350" s="127" t="s">
        <v>8360</v>
      </c>
      <c r="L350" s="127" t="s">
        <v>8368</v>
      </c>
      <c r="M350" s="127" t="s">
        <v>291</v>
      </c>
      <c r="N350" s="109"/>
      <c r="O350" s="20"/>
      <c r="P350" s="20"/>
      <c r="Q350" s="20"/>
    </row>
    <row r="351" spans="1:17" ht="24.9" customHeight="1">
      <c r="A351" s="20">
        <v>362</v>
      </c>
      <c r="B351" s="20" t="s">
        <v>4345</v>
      </c>
      <c r="C351" s="20"/>
      <c r="D351" s="20" t="s">
        <v>48</v>
      </c>
      <c r="E351" s="19" t="str">
        <f>VLOOKUP(D351,'لیست پرسنل'!$B$2:$E$1020,3,FALSE)</f>
        <v>فکورصنعت</v>
      </c>
      <c r="F351" s="19" t="str">
        <f>VLOOKUP(D351,'لیست پرسنل'!$B$2:$E$1020,4,FALSE)</f>
        <v>سرپرست آی تی</v>
      </c>
      <c r="G351" s="127">
        <f>VLOOKUP(D351,'لیست پرسنل'!$B$2:$F$1020,2,FALSE)</f>
        <v>2210</v>
      </c>
      <c r="H351" s="127" t="s">
        <v>4290</v>
      </c>
      <c r="I351" s="127"/>
      <c r="J351" s="128" t="s">
        <v>5927</v>
      </c>
      <c r="K351" s="127" t="s">
        <v>8360</v>
      </c>
      <c r="L351" s="127" t="s">
        <v>8369</v>
      </c>
      <c r="M351" s="127" t="s">
        <v>291</v>
      </c>
      <c r="N351" s="109"/>
      <c r="O351" s="20"/>
      <c r="P351" s="20"/>
      <c r="Q351" s="20"/>
    </row>
    <row r="352" spans="1:17" ht="24.9" customHeight="1">
      <c r="A352" s="20">
        <v>362</v>
      </c>
      <c r="B352" s="20" t="s">
        <v>4345</v>
      </c>
      <c r="C352" s="20"/>
      <c r="D352" s="20" t="s">
        <v>48</v>
      </c>
      <c r="E352" s="19" t="str">
        <f>VLOOKUP(D352,'لیست پرسنل'!$B$2:$E$1020,3,FALSE)</f>
        <v>فکورصنعت</v>
      </c>
      <c r="F352" s="19" t="str">
        <f>VLOOKUP(D352,'لیست پرسنل'!$B$2:$E$1020,4,FALSE)</f>
        <v>سرپرست آی تی</v>
      </c>
      <c r="G352" s="127">
        <f>VLOOKUP(D352,'لیست پرسنل'!$B$2:$F$1020,2,FALSE)</f>
        <v>2210</v>
      </c>
      <c r="H352" s="127" t="s">
        <v>4290</v>
      </c>
      <c r="I352" s="127"/>
      <c r="J352" s="128" t="s">
        <v>5927</v>
      </c>
      <c r="K352" s="127" t="s">
        <v>8360</v>
      </c>
      <c r="L352" s="127" t="s">
        <v>8370</v>
      </c>
      <c r="M352" s="127" t="s">
        <v>291</v>
      </c>
      <c r="N352" s="109"/>
      <c r="O352" s="20"/>
      <c r="P352" s="20"/>
      <c r="Q352" s="20"/>
    </row>
    <row r="353" spans="1:17" ht="24.9" customHeight="1">
      <c r="A353" s="20">
        <v>362</v>
      </c>
      <c r="B353" s="20" t="s">
        <v>4345</v>
      </c>
      <c r="C353" s="20"/>
      <c r="D353" s="20" t="s">
        <v>48</v>
      </c>
      <c r="E353" s="19" t="str">
        <f>VLOOKUP(D353,'لیست پرسنل'!$B$2:$E$1020,3,FALSE)</f>
        <v>فکورصنعت</v>
      </c>
      <c r="F353" s="19" t="str">
        <f>VLOOKUP(D353,'لیست پرسنل'!$B$2:$E$1020,4,FALSE)</f>
        <v>سرپرست آی تی</v>
      </c>
      <c r="G353" s="127">
        <f>VLOOKUP(D353,'لیست پرسنل'!$B$2:$F$1020,2,FALSE)</f>
        <v>2210</v>
      </c>
      <c r="H353" s="127" t="s">
        <v>4290</v>
      </c>
      <c r="I353" s="127"/>
      <c r="J353" s="128" t="s">
        <v>5927</v>
      </c>
      <c r="K353" s="127" t="s">
        <v>8360</v>
      </c>
      <c r="L353" s="127" t="s">
        <v>8371</v>
      </c>
      <c r="M353" s="127" t="s">
        <v>291</v>
      </c>
      <c r="N353" s="109"/>
      <c r="O353" s="20"/>
      <c r="P353" s="20"/>
      <c r="Q353" s="20"/>
    </row>
    <row r="354" spans="1:17" ht="24.9" customHeight="1">
      <c r="A354" s="20">
        <v>362</v>
      </c>
      <c r="B354" s="20" t="s">
        <v>4345</v>
      </c>
      <c r="C354" s="20"/>
      <c r="D354" s="20" t="s">
        <v>48</v>
      </c>
      <c r="E354" s="19" t="str">
        <f>VLOOKUP(D354,'لیست پرسنل'!$B$2:$E$1020,3,FALSE)</f>
        <v>فکورصنعت</v>
      </c>
      <c r="F354" s="19" t="str">
        <f>VLOOKUP(D354,'لیست پرسنل'!$B$2:$E$1020,4,FALSE)</f>
        <v>سرپرست آی تی</v>
      </c>
      <c r="G354" s="127">
        <f>VLOOKUP(D354,'لیست پرسنل'!$B$2:$F$1020,2,FALSE)</f>
        <v>2210</v>
      </c>
      <c r="H354" s="127" t="s">
        <v>4290</v>
      </c>
      <c r="I354" s="127"/>
      <c r="J354" s="128" t="s">
        <v>5927</v>
      </c>
      <c r="K354" s="127" t="s">
        <v>8360</v>
      </c>
      <c r="L354" s="127" t="s">
        <v>8372</v>
      </c>
      <c r="M354" s="127" t="s">
        <v>291</v>
      </c>
      <c r="N354" s="109"/>
      <c r="O354" s="20"/>
      <c r="P354" s="20"/>
      <c r="Q354" s="20"/>
    </row>
    <row r="355" spans="1:17" ht="24.9" customHeight="1">
      <c r="A355" s="20">
        <v>362</v>
      </c>
      <c r="B355" s="20" t="s">
        <v>4345</v>
      </c>
      <c r="C355" s="20"/>
      <c r="D355" s="20" t="s">
        <v>48</v>
      </c>
      <c r="E355" s="19" t="str">
        <f>VLOOKUP(D355,'لیست پرسنل'!$B$2:$E$1020,3,FALSE)</f>
        <v>فکورصنعت</v>
      </c>
      <c r="F355" s="19" t="str">
        <f>VLOOKUP(D355,'لیست پرسنل'!$B$2:$E$1020,4,FALSE)</f>
        <v>سرپرست آی تی</v>
      </c>
      <c r="G355" s="127">
        <f>VLOOKUP(D355,'لیست پرسنل'!$B$2:$F$1020,2,FALSE)</f>
        <v>2210</v>
      </c>
      <c r="H355" s="127" t="s">
        <v>4290</v>
      </c>
      <c r="I355" s="127"/>
      <c r="J355" s="128" t="s">
        <v>5927</v>
      </c>
      <c r="K355" s="127" t="s">
        <v>8360</v>
      </c>
      <c r="L355" s="127" t="s">
        <v>8373</v>
      </c>
      <c r="M355" s="127" t="s">
        <v>291</v>
      </c>
      <c r="N355" s="109"/>
      <c r="O355" s="20"/>
      <c r="P355" s="20"/>
      <c r="Q355" s="20"/>
    </row>
    <row r="356" spans="1:17" ht="24.9" customHeight="1">
      <c r="A356" s="20">
        <v>362</v>
      </c>
      <c r="B356" s="20" t="s">
        <v>4345</v>
      </c>
      <c r="C356" s="20"/>
      <c r="D356" s="20" t="s">
        <v>48</v>
      </c>
      <c r="E356" s="19" t="str">
        <f>VLOOKUP(D356,'لیست پرسنل'!$B$2:$E$1020,3,FALSE)</f>
        <v>فکورصنعت</v>
      </c>
      <c r="F356" s="19" t="str">
        <f>VLOOKUP(D356,'لیست پرسنل'!$B$2:$E$1020,4,FALSE)</f>
        <v>سرپرست آی تی</v>
      </c>
      <c r="G356" s="127">
        <f>VLOOKUP(D356,'لیست پرسنل'!$B$2:$F$1020,2,FALSE)</f>
        <v>2210</v>
      </c>
      <c r="H356" s="127" t="s">
        <v>4290</v>
      </c>
      <c r="I356" s="127"/>
      <c r="J356" s="128" t="s">
        <v>5927</v>
      </c>
      <c r="K356" s="127" t="s">
        <v>8360</v>
      </c>
      <c r="L356" s="127" t="s">
        <v>8374</v>
      </c>
      <c r="M356" s="127" t="s">
        <v>291</v>
      </c>
      <c r="N356" s="109"/>
      <c r="O356" s="20"/>
      <c r="P356" s="20"/>
      <c r="Q356" s="20"/>
    </row>
    <row r="357" spans="1:17" ht="24.9" customHeight="1">
      <c r="A357" s="20">
        <v>362</v>
      </c>
      <c r="B357" s="20" t="s">
        <v>4345</v>
      </c>
      <c r="C357" s="20"/>
      <c r="D357" s="20" t="s">
        <v>48</v>
      </c>
      <c r="E357" s="19" t="str">
        <f>VLOOKUP(D357,'لیست پرسنل'!$B$2:$E$1020,3,FALSE)</f>
        <v>فکورصنعت</v>
      </c>
      <c r="F357" s="19" t="str">
        <f>VLOOKUP(D357,'لیست پرسنل'!$B$2:$E$1020,4,FALSE)</f>
        <v>سرپرست آی تی</v>
      </c>
      <c r="G357" s="127">
        <f>VLOOKUP(D357,'لیست پرسنل'!$B$2:$F$1020,2,FALSE)</f>
        <v>2210</v>
      </c>
      <c r="H357" s="127" t="s">
        <v>4290</v>
      </c>
      <c r="I357" s="127"/>
      <c r="J357" s="128" t="s">
        <v>5927</v>
      </c>
      <c r="K357" s="127" t="s">
        <v>8360</v>
      </c>
      <c r="L357" s="127" t="s">
        <v>8375</v>
      </c>
      <c r="M357" s="127" t="s">
        <v>291</v>
      </c>
      <c r="N357" s="109"/>
      <c r="O357" s="20"/>
      <c r="P357" s="20"/>
      <c r="Q357" s="20"/>
    </row>
    <row r="358" spans="1:17" ht="24.9" customHeight="1">
      <c r="A358" s="20">
        <v>362</v>
      </c>
      <c r="B358" s="20" t="s">
        <v>4345</v>
      </c>
      <c r="C358" s="20"/>
      <c r="D358" s="20" t="s">
        <v>48</v>
      </c>
      <c r="E358" s="19" t="str">
        <f>VLOOKUP(D358,'لیست پرسنل'!$B$2:$E$1020,3,FALSE)</f>
        <v>فکورصنعت</v>
      </c>
      <c r="F358" s="19" t="str">
        <f>VLOOKUP(D358,'لیست پرسنل'!$B$2:$E$1020,4,FALSE)</f>
        <v>سرپرست آی تی</v>
      </c>
      <c r="G358" s="127">
        <f>VLOOKUP(D358,'لیست پرسنل'!$B$2:$F$1020,2,FALSE)</f>
        <v>2210</v>
      </c>
      <c r="H358" s="127" t="s">
        <v>4290</v>
      </c>
      <c r="I358" s="127"/>
      <c r="J358" s="128" t="s">
        <v>5927</v>
      </c>
      <c r="K358" s="127" t="s">
        <v>8360</v>
      </c>
      <c r="L358" s="127" t="s">
        <v>8376</v>
      </c>
      <c r="M358" s="127" t="s">
        <v>291</v>
      </c>
      <c r="N358" s="109"/>
      <c r="O358" s="20"/>
      <c r="P358" s="20"/>
      <c r="Q358" s="20"/>
    </row>
    <row r="359" spans="1:17" ht="24.9" customHeight="1">
      <c r="A359" s="20">
        <v>362</v>
      </c>
      <c r="B359" s="20" t="s">
        <v>4345</v>
      </c>
      <c r="C359" s="20"/>
      <c r="D359" s="20" t="s">
        <v>48</v>
      </c>
      <c r="E359" s="19" t="str">
        <f>VLOOKUP(D359,'لیست پرسنل'!$B$2:$E$1020,3,FALSE)</f>
        <v>فکورصنعت</v>
      </c>
      <c r="F359" s="19" t="str">
        <f>VLOOKUP(D359,'لیست پرسنل'!$B$2:$E$1020,4,FALSE)</f>
        <v>سرپرست آی تی</v>
      </c>
      <c r="G359" s="127">
        <f>VLOOKUP(D359,'لیست پرسنل'!$B$2:$F$1020,2,FALSE)</f>
        <v>2210</v>
      </c>
      <c r="H359" s="127" t="s">
        <v>4290</v>
      </c>
      <c r="I359" s="127"/>
      <c r="J359" s="128" t="s">
        <v>5927</v>
      </c>
      <c r="K359" s="127" t="s">
        <v>8360</v>
      </c>
      <c r="L359" s="127" t="s">
        <v>8377</v>
      </c>
      <c r="M359" s="127" t="s">
        <v>291</v>
      </c>
      <c r="N359" s="109"/>
      <c r="O359" s="20"/>
      <c r="P359" s="20"/>
      <c r="Q359" s="20"/>
    </row>
    <row r="360" spans="1:17" ht="24.9" customHeight="1">
      <c r="A360" s="20">
        <v>362</v>
      </c>
      <c r="B360" s="20" t="s">
        <v>4345</v>
      </c>
      <c r="C360" s="20"/>
      <c r="D360" s="20" t="s">
        <v>48</v>
      </c>
      <c r="E360" s="19" t="str">
        <f>VLOOKUP(D360,'لیست پرسنل'!$B$2:$E$1020,3,FALSE)</f>
        <v>فکورصنعت</v>
      </c>
      <c r="F360" s="19" t="str">
        <f>VLOOKUP(D360,'لیست پرسنل'!$B$2:$E$1020,4,FALSE)</f>
        <v>سرپرست آی تی</v>
      </c>
      <c r="G360" s="127">
        <f>VLOOKUP(D360,'لیست پرسنل'!$B$2:$F$1020,2,FALSE)</f>
        <v>2210</v>
      </c>
      <c r="H360" s="127" t="s">
        <v>4290</v>
      </c>
      <c r="I360" s="127"/>
      <c r="J360" s="128" t="s">
        <v>5927</v>
      </c>
      <c r="K360" s="127" t="s">
        <v>8360</v>
      </c>
      <c r="L360" s="127" t="s">
        <v>8378</v>
      </c>
      <c r="M360" s="127" t="s">
        <v>291</v>
      </c>
      <c r="N360" s="109"/>
      <c r="O360" s="20"/>
      <c r="P360" s="20"/>
      <c r="Q360" s="20"/>
    </row>
    <row r="361" spans="1:17" ht="24.9" customHeight="1">
      <c r="A361" s="20">
        <v>362</v>
      </c>
      <c r="B361" s="20" t="s">
        <v>4345</v>
      </c>
      <c r="C361" s="20"/>
      <c r="D361" s="20" t="s">
        <v>48</v>
      </c>
      <c r="E361" s="19" t="str">
        <f>VLOOKUP(D361,'لیست پرسنل'!$B$2:$E$1020,3,FALSE)</f>
        <v>فکورصنعت</v>
      </c>
      <c r="F361" s="19" t="str">
        <f>VLOOKUP(D361,'لیست پرسنل'!$B$2:$E$1020,4,FALSE)</f>
        <v>سرپرست آی تی</v>
      </c>
      <c r="G361" s="127">
        <f>VLOOKUP(D361,'لیست پرسنل'!$B$2:$F$1020,2,FALSE)</f>
        <v>2210</v>
      </c>
      <c r="H361" s="127" t="s">
        <v>4290</v>
      </c>
      <c r="I361" s="127"/>
      <c r="J361" s="128" t="s">
        <v>5927</v>
      </c>
      <c r="K361" s="127" t="s">
        <v>8360</v>
      </c>
      <c r="L361" s="127" t="s">
        <v>8379</v>
      </c>
      <c r="M361" s="127" t="s">
        <v>291</v>
      </c>
      <c r="N361" s="109"/>
      <c r="O361" s="20"/>
      <c r="P361" s="20"/>
      <c r="Q361" s="20"/>
    </row>
    <row r="362" spans="1:17" ht="24.9" customHeight="1">
      <c r="A362" s="20">
        <v>362</v>
      </c>
      <c r="B362" s="20" t="s">
        <v>4345</v>
      </c>
      <c r="C362" s="20"/>
      <c r="D362" s="20" t="s">
        <v>48</v>
      </c>
      <c r="E362" s="19" t="str">
        <f>VLOOKUP(D362,'لیست پرسنل'!$B$2:$E$1020,3,FALSE)</f>
        <v>فکورصنعت</v>
      </c>
      <c r="F362" s="19" t="str">
        <f>VLOOKUP(D362,'لیست پرسنل'!$B$2:$E$1020,4,FALSE)</f>
        <v>سرپرست آی تی</v>
      </c>
      <c r="G362" s="127">
        <f>VLOOKUP(D362,'لیست پرسنل'!$B$2:$F$1020,2,FALSE)</f>
        <v>2210</v>
      </c>
      <c r="H362" s="127" t="s">
        <v>4290</v>
      </c>
      <c r="I362" s="127"/>
      <c r="J362" s="128" t="s">
        <v>5927</v>
      </c>
      <c r="K362" s="127" t="s">
        <v>8360</v>
      </c>
      <c r="L362" s="127" t="s">
        <v>8380</v>
      </c>
      <c r="M362" s="127" t="s">
        <v>291</v>
      </c>
      <c r="N362" s="109"/>
      <c r="O362" s="20"/>
      <c r="P362" s="20"/>
      <c r="Q362" s="20"/>
    </row>
    <row r="363" spans="1:17" ht="24.9" customHeight="1">
      <c r="A363" s="20">
        <v>362</v>
      </c>
      <c r="B363" s="20" t="s">
        <v>4345</v>
      </c>
      <c r="C363" s="20"/>
      <c r="D363" s="20" t="s">
        <v>48</v>
      </c>
      <c r="E363" s="19" t="str">
        <f>VLOOKUP(D363,'لیست پرسنل'!$B$2:$E$1020,3,FALSE)</f>
        <v>فکورصنعت</v>
      </c>
      <c r="F363" s="19" t="str">
        <f>VLOOKUP(D363,'لیست پرسنل'!$B$2:$E$1020,4,FALSE)</f>
        <v>سرپرست آی تی</v>
      </c>
      <c r="G363" s="127">
        <f>VLOOKUP(D363,'لیست پرسنل'!$B$2:$F$1020,2,FALSE)</f>
        <v>2210</v>
      </c>
      <c r="H363" s="127" t="s">
        <v>4290</v>
      </c>
      <c r="I363" s="127"/>
      <c r="J363" s="128" t="s">
        <v>5927</v>
      </c>
      <c r="K363" s="127" t="s">
        <v>8360</v>
      </c>
      <c r="L363" s="127" t="s">
        <v>8381</v>
      </c>
      <c r="M363" s="127" t="s">
        <v>291</v>
      </c>
      <c r="N363" s="109"/>
      <c r="O363" s="20"/>
      <c r="P363" s="20"/>
      <c r="Q363" s="20"/>
    </row>
    <row r="364" spans="1:17" ht="24.9" customHeight="1">
      <c r="A364" s="20">
        <v>362</v>
      </c>
      <c r="B364" s="20" t="s">
        <v>4345</v>
      </c>
      <c r="C364" s="20"/>
      <c r="D364" s="20" t="s">
        <v>48</v>
      </c>
      <c r="E364" s="19" t="str">
        <f>VLOOKUP(D364,'لیست پرسنل'!$B$2:$E$1020,3,FALSE)</f>
        <v>فکورصنعت</v>
      </c>
      <c r="F364" s="19" t="str">
        <f>VLOOKUP(D364,'لیست پرسنل'!$B$2:$E$1020,4,FALSE)</f>
        <v>سرپرست آی تی</v>
      </c>
      <c r="G364" s="127">
        <f>VLOOKUP(D364,'لیست پرسنل'!$B$2:$F$1020,2,FALSE)</f>
        <v>2210</v>
      </c>
      <c r="H364" s="127" t="s">
        <v>4290</v>
      </c>
      <c r="I364" s="127"/>
      <c r="J364" s="128" t="s">
        <v>5927</v>
      </c>
      <c r="K364" s="127" t="s">
        <v>8360</v>
      </c>
      <c r="L364" s="127" t="s">
        <v>8382</v>
      </c>
      <c r="M364" s="127" t="s">
        <v>291</v>
      </c>
      <c r="N364" s="109"/>
      <c r="O364" s="20"/>
      <c r="P364" s="20"/>
      <c r="Q364" s="20"/>
    </row>
    <row r="365" spans="1:17" ht="24.9" customHeight="1">
      <c r="A365" s="20">
        <v>362</v>
      </c>
      <c r="B365" s="20" t="s">
        <v>4345</v>
      </c>
      <c r="C365" s="20"/>
      <c r="D365" s="20" t="s">
        <v>48</v>
      </c>
      <c r="E365" s="19" t="str">
        <f>VLOOKUP(D365,'لیست پرسنل'!$B$2:$E$1020,3,FALSE)</f>
        <v>فکورصنعت</v>
      </c>
      <c r="F365" s="19" t="str">
        <f>VLOOKUP(D365,'لیست پرسنل'!$B$2:$E$1020,4,FALSE)</f>
        <v>سرپرست آی تی</v>
      </c>
      <c r="G365" s="127">
        <f>VLOOKUP(D365,'لیست پرسنل'!$B$2:$F$1020,2,FALSE)</f>
        <v>2210</v>
      </c>
      <c r="H365" s="127" t="s">
        <v>4290</v>
      </c>
      <c r="I365" s="127"/>
      <c r="J365" s="128" t="s">
        <v>5927</v>
      </c>
      <c r="K365" s="127" t="s">
        <v>8360</v>
      </c>
      <c r="L365" s="127" t="s">
        <v>8383</v>
      </c>
      <c r="M365" s="127" t="s">
        <v>291</v>
      </c>
      <c r="N365" s="109"/>
      <c r="O365" s="20"/>
      <c r="P365" s="20"/>
      <c r="Q365" s="20"/>
    </row>
    <row r="366" spans="1:17" ht="24.9" customHeight="1">
      <c r="A366" s="20">
        <v>362</v>
      </c>
      <c r="B366" s="20" t="s">
        <v>4345</v>
      </c>
      <c r="C366" s="20"/>
      <c r="D366" s="20" t="s">
        <v>48</v>
      </c>
      <c r="E366" s="19" t="str">
        <f>VLOOKUP(D366,'لیست پرسنل'!$B$2:$E$1020,3,FALSE)</f>
        <v>فکورصنعت</v>
      </c>
      <c r="F366" s="19" t="str">
        <f>VLOOKUP(D366,'لیست پرسنل'!$B$2:$E$1020,4,FALSE)</f>
        <v>سرپرست آی تی</v>
      </c>
      <c r="G366" s="127">
        <f>VLOOKUP(D366,'لیست پرسنل'!$B$2:$F$1020,2,FALSE)</f>
        <v>2210</v>
      </c>
      <c r="H366" s="127" t="s">
        <v>4290</v>
      </c>
      <c r="I366" s="127"/>
      <c r="J366" s="128" t="s">
        <v>5927</v>
      </c>
      <c r="K366" s="127" t="s">
        <v>8360</v>
      </c>
      <c r="L366" s="127" t="s">
        <v>8384</v>
      </c>
      <c r="M366" s="127" t="s">
        <v>291</v>
      </c>
      <c r="N366" s="109"/>
      <c r="O366" s="20"/>
      <c r="P366" s="20"/>
      <c r="Q366" s="20"/>
    </row>
    <row r="367" spans="1:17" ht="24.9" customHeight="1">
      <c r="A367" s="20">
        <v>362</v>
      </c>
      <c r="B367" s="20" t="s">
        <v>4345</v>
      </c>
      <c r="C367" s="20"/>
      <c r="D367" s="20" t="s">
        <v>48</v>
      </c>
      <c r="E367" s="19" t="str">
        <f>VLOOKUP(D367,'لیست پرسنل'!$B$2:$E$1020,3,FALSE)</f>
        <v>فکورصنعت</v>
      </c>
      <c r="F367" s="19" t="str">
        <f>VLOOKUP(D367,'لیست پرسنل'!$B$2:$E$1020,4,FALSE)</f>
        <v>سرپرست آی تی</v>
      </c>
      <c r="G367" s="127">
        <f>VLOOKUP(D367,'لیست پرسنل'!$B$2:$F$1020,2,FALSE)</f>
        <v>2210</v>
      </c>
      <c r="H367" s="127" t="s">
        <v>4290</v>
      </c>
      <c r="I367" s="127"/>
      <c r="J367" s="128" t="s">
        <v>5927</v>
      </c>
      <c r="K367" s="127" t="s">
        <v>8360</v>
      </c>
      <c r="L367" s="127" t="s">
        <v>8385</v>
      </c>
      <c r="M367" s="127" t="s">
        <v>291</v>
      </c>
      <c r="N367" s="109"/>
      <c r="O367" s="20"/>
      <c r="P367" s="20"/>
      <c r="Q367" s="20"/>
    </row>
    <row r="368" spans="1:17" ht="24.9" customHeight="1">
      <c r="A368" s="20">
        <v>362</v>
      </c>
      <c r="B368" s="20" t="s">
        <v>4345</v>
      </c>
      <c r="C368" s="20"/>
      <c r="D368" s="20" t="s">
        <v>48</v>
      </c>
      <c r="E368" s="19" t="str">
        <f>VLOOKUP(D368,'لیست پرسنل'!$B$2:$E$1020,3,FALSE)</f>
        <v>فکورصنعت</v>
      </c>
      <c r="F368" s="19" t="str">
        <f>VLOOKUP(D368,'لیست پرسنل'!$B$2:$E$1020,4,FALSE)</f>
        <v>سرپرست آی تی</v>
      </c>
      <c r="G368" s="127">
        <f>VLOOKUP(D368,'لیست پرسنل'!$B$2:$F$1020,2,FALSE)</f>
        <v>2210</v>
      </c>
      <c r="H368" s="127" t="s">
        <v>4290</v>
      </c>
      <c r="I368" s="127"/>
      <c r="J368" s="128" t="s">
        <v>5927</v>
      </c>
      <c r="K368" s="127" t="s">
        <v>8360</v>
      </c>
      <c r="L368" s="127" t="s">
        <v>8386</v>
      </c>
      <c r="M368" s="127" t="s">
        <v>291</v>
      </c>
      <c r="N368" s="109"/>
      <c r="O368" s="20"/>
      <c r="P368" s="20"/>
      <c r="Q368" s="20"/>
    </row>
    <row r="369" spans="1:17" ht="24.9" customHeight="1">
      <c r="A369" s="20">
        <v>362</v>
      </c>
      <c r="B369" s="20" t="s">
        <v>4345</v>
      </c>
      <c r="C369" s="20"/>
      <c r="D369" s="20" t="s">
        <v>48</v>
      </c>
      <c r="E369" s="19" t="str">
        <f>VLOOKUP(D369,'لیست پرسنل'!$B$2:$E$1020,3,FALSE)</f>
        <v>فکورصنعت</v>
      </c>
      <c r="F369" s="19" t="str">
        <f>VLOOKUP(D369,'لیست پرسنل'!$B$2:$E$1020,4,FALSE)</f>
        <v>سرپرست آی تی</v>
      </c>
      <c r="G369" s="127">
        <f>VLOOKUP(D369,'لیست پرسنل'!$B$2:$F$1020,2,FALSE)</f>
        <v>2210</v>
      </c>
      <c r="H369" s="127" t="s">
        <v>4290</v>
      </c>
      <c r="I369" s="127"/>
      <c r="J369" s="128" t="s">
        <v>5927</v>
      </c>
      <c r="K369" s="127" t="s">
        <v>8360</v>
      </c>
      <c r="L369" s="127" t="s">
        <v>8387</v>
      </c>
      <c r="M369" s="127" t="s">
        <v>291</v>
      </c>
      <c r="N369" s="109"/>
      <c r="O369" s="20"/>
      <c r="P369" s="20"/>
      <c r="Q369" s="20"/>
    </row>
    <row r="370" spans="1:17" ht="24.9" customHeight="1">
      <c r="A370" s="20">
        <v>362</v>
      </c>
      <c r="B370" s="20" t="s">
        <v>4345</v>
      </c>
      <c r="C370" s="20"/>
      <c r="D370" s="20" t="s">
        <v>48</v>
      </c>
      <c r="E370" s="19" t="str">
        <f>VLOOKUP(D370,'لیست پرسنل'!$B$2:$E$1020,3,FALSE)</f>
        <v>فکورصنعت</v>
      </c>
      <c r="F370" s="19" t="str">
        <f>VLOOKUP(D370,'لیست پرسنل'!$B$2:$E$1020,4,FALSE)</f>
        <v>سرپرست آی تی</v>
      </c>
      <c r="G370" s="127">
        <f>VLOOKUP(D370,'لیست پرسنل'!$B$2:$F$1020,2,FALSE)</f>
        <v>2210</v>
      </c>
      <c r="H370" s="127" t="s">
        <v>4290</v>
      </c>
      <c r="I370" s="127"/>
      <c r="J370" s="128" t="s">
        <v>5927</v>
      </c>
      <c r="K370" s="127" t="s">
        <v>8360</v>
      </c>
      <c r="L370" s="127" t="s">
        <v>8388</v>
      </c>
      <c r="M370" s="127" t="s">
        <v>291</v>
      </c>
      <c r="N370" s="109"/>
      <c r="O370" s="20"/>
      <c r="P370" s="20"/>
      <c r="Q370" s="20"/>
    </row>
    <row r="371" spans="1:17" ht="24.9" customHeight="1">
      <c r="A371" s="20">
        <v>362</v>
      </c>
      <c r="B371" s="20" t="s">
        <v>4345</v>
      </c>
      <c r="C371" s="20"/>
      <c r="D371" s="20" t="s">
        <v>48</v>
      </c>
      <c r="E371" s="19" t="str">
        <f>VLOOKUP(D371,'لیست پرسنل'!$B$2:$E$1020,3,FALSE)</f>
        <v>فکورصنعت</v>
      </c>
      <c r="F371" s="19" t="str">
        <f>VLOOKUP(D371,'لیست پرسنل'!$B$2:$E$1020,4,FALSE)</f>
        <v>سرپرست آی تی</v>
      </c>
      <c r="G371" s="127">
        <f>VLOOKUP(D371,'لیست پرسنل'!$B$2:$F$1020,2,FALSE)</f>
        <v>2210</v>
      </c>
      <c r="H371" s="127" t="s">
        <v>4290</v>
      </c>
      <c r="I371" s="127"/>
      <c r="J371" s="128" t="s">
        <v>5927</v>
      </c>
      <c r="K371" s="127" t="s">
        <v>8360</v>
      </c>
      <c r="L371" s="127" t="s">
        <v>8389</v>
      </c>
      <c r="M371" s="127" t="s">
        <v>291</v>
      </c>
      <c r="N371" s="109"/>
      <c r="O371" s="20"/>
      <c r="P371" s="20"/>
      <c r="Q371" s="20"/>
    </row>
    <row r="372" spans="1:17" ht="24.9" customHeight="1">
      <c r="A372" s="20">
        <v>362</v>
      </c>
      <c r="B372" s="20" t="s">
        <v>4345</v>
      </c>
      <c r="C372" s="20"/>
      <c r="D372" s="20" t="s">
        <v>48</v>
      </c>
      <c r="E372" s="19" t="str">
        <f>VLOOKUP(D372,'لیست پرسنل'!$B$2:$E$1020,3,FALSE)</f>
        <v>فکورصنعت</v>
      </c>
      <c r="F372" s="19" t="str">
        <f>VLOOKUP(D372,'لیست پرسنل'!$B$2:$E$1020,4,FALSE)</f>
        <v>سرپرست آی تی</v>
      </c>
      <c r="G372" s="127">
        <f>VLOOKUP(D372,'لیست پرسنل'!$B$2:$F$1020,2,FALSE)</f>
        <v>2210</v>
      </c>
      <c r="H372" s="127" t="s">
        <v>4290</v>
      </c>
      <c r="I372" s="127"/>
      <c r="J372" s="128" t="s">
        <v>5927</v>
      </c>
      <c r="K372" s="127" t="s">
        <v>8360</v>
      </c>
      <c r="L372" s="127" t="s">
        <v>8390</v>
      </c>
      <c r="M372" s="127" t="s">
        <v>291</v>
      </c>
      <c r="N372" s="109"/>
      <c r="O372" s="20"/>
      <c r="P372" s="20"/>
      <c r="Q372" s="20"/>
    </row>
    <row r="373" spans="1:17" ht="24.9" customHeight="1">
      <c r="A373" s="20">
        <v>362</v>
      </c>
      <c r="B373" s="20" t="s">
        <v>4345</v>
      </c>
      <c r="C373" s="20"/>
      <c r="D373" s="20" t="s">
        <v>48</v>
      </c>
      <c r="E373" s="19" t="str">
        <f>VLOOKUP(D373,'لیست پرسنل'!$B$2:$E$1020,3,FALSE)</f>
        <v>فکورصنعت</v>
      </c>
      <c r="F373" s="19" t="str">
        <f>VLOOKUP(D373,'لیست پرسنل'!$B$2:$E$1020,4,FALSE)</f>
        <v>سرپرست آی تی</v>
      </c>
      <c r="G373" s="127">
        <f>VLOOKUP(D373,'لیست پرسنل'!$B$2:$F$1020,2,FALSE)</f>
        <v>2210</v>
      </c>
      <c r="H373" s="127" t="s">
        <v>4290</v>
      </c>
      <c r="I373" s="127"/>
      <c r="J373" s="128" t="s">
        <v>5927</v>
      </c>
      <c r="K373" s="127" t="s">
        <v>8360</v>
      </c>
      <c r="L373" s="127" t="s">
        <v>8391</v>
      </c>
      <c r="M373" s="127" t="s">
        <v>291</v>
      </c>
      <c r="N373" s="109"/>
      <c r="O373" s="20"/>
      <c r="P373" s="20"/>
      <c r="Q373" s="20"/>
    </row>
    <row r="374" spans="1:17" ht="24.9" customHeight="1">
      <c r="A374" s="20">
        <v>362</v>
      </c>
      <c r="B374" s="20" t="s">
        <v>4345</v>
      </c>
      <c r="C374" s="20"/>
      <c r="D374" s="20" t="s">
        <v>48</v>
      </c>
      <c r="E374" s="19" t="str">
        <f>VLOOKUP(D374,'لیست پرسنل'!$B$2:$E$1020,3,FALSE)</f>
        <v>فکورصنعت</v>
      </c>
      <c r="F374" s="19" t="str">
        <f>VLOOKUP(D374,'لیست پرسنل'!$B$2:$E$1020,4,FALSE)</f>
        <v>سرپرست آی تی</v>
      </c>
      <c r="G374" s="127">
        <f>VLOOKUP(D374,'لیست پرسنل'!$B$2:$F$1020,2,FALSE)</f>
        <v>2210</v>
      </c>
      <c r="H374" s="127" t="s">
        <v>4290</v>
      </c>
      <c r="I374" s="127"/>
      <c r="J374" s="128" t="s">
        <v>5927</v>
      </c>
      <c r="K374" s="127" t="s">
        <v>8360</v>
      </c>
      <c r="L374" s="127" t="s">
        <v>8392</v>
      </c>
      <c r="M374" s="127" t="s">
        <v>291</v>
      </c>
      <c r="N374" s="109"/>
      <c r="O374" s="20"/>
      <c r="P374" s="20"/>
      <c r="Q374" s="20"/>
    </row>
    <row r="375" spans="1:17" ht="24.9" customHeight="1">
      <c r="A375" s="20">
        <v>362</v>
      </c>
      <c r="B375" s="20" t="s">
        <v>4345</v>
      </c>
      <c r="C375" s="20"/>
      <c r="D375" s="20" t="s">
        <v>48</v>
      </c>
      <c r="E375" s="19" t="str">
        <f>VLOOKUP(D375,'لیست پرسنل'!$B$2:$E$1020,3,FALSE)</f>
        <v>فکورصنعت</v>
      </c>
      <c r="F375" s="19" t="str">
        <f>VLOOKUP(D375,'لیست پرسنل'!$B$2:$E$1020,4,FALSE)</f>
        <v>سرپرست آی تی</v>
      </c>
      <c r="G375" s="127">
        <f>VLOOKUP(D375,'لیست پرسنل'!$B$2:$F$1020,2,FALSE)</f>
        <v>2210</v>
      </c>
      <c r="H375" s="153" t="s">
        <v>4290</v>
      </c>
      <c r="I375" s="128"/>
      <c r="J375" s="128" t="s">
        <v>3481</v>
      </c>
      <c r="K375" s="128" t="s">
        <v>3180</v>
      </c>
      <c r="L375" s="127"/>
      <c r="M375" s="127">
        <v>610810</v>
      </c>
      <c r="N375" s="108" t="s">
        <v>7312</v>
      </c>
      <c r="O375" s="19"/>
      <c r="P375" s="19"/>
      <c r="Q375" s="28"/>
    </row>
    <row r="376" spans="1:17" ht="24.9" customHeight="1">
      <c r="A376" s="20">
        <v>362</v>
      </c>
      <c r="B376" s="20" t="s">
        <v>4345</v>
      </c>
      <c r="C376" s="19"/>
      <c r="D376" s="20" t="s">
        <v>48</v>
      </c>
      <c r="E376" s="19" t="str">
        <f>VLOOKUP(D376,'لیست پرسنل'!$B$2:$E$1020,3,FALSE)</f>
        <v>فکورصنعت</v>
      </c>
      <c r="F376" s="19" t="str">
        <f>VLOOKUP(D376,'لیست پرسنل'!$B$2:$E$1020,4,FALSE)</f>
        <v>سرپرست آی تی</v>
      </c>
      <c r="G376" s="127">
        <f>VLOOKUP(D376,'لیست پرسنل'!$B$2:$F$1020,2,FALSE)</f>
        <v>2210</v>
      </c>
      <c r="H376" s="126" t="s">
        <v>4290</v>
      </c>
      <c r="I376" s="128"/>
      <c r="J376" s="128" t="s">
        <v>3481</v>
      </c>
      <c r="K376" s="128" t="s">
        <v>905</v>
      </c>
      <c r="L376" s="150"/>
      <c r="M376" s="128">
        <v>612219</v>
      </c>
      <c r="N376" s="108"/>
      <c r="O376" s="20" t="s">
        <v>678</v>
      </c>
      <c r="P376" s="20"/>
      <c r="Q376" s="20"/>
    </row>
    <row r="377" spans="1:17" ht="24.9" customHeight="1">
      <c r="A377" s="20">
        <v>362</v>
      </c>
      <c r="B377" s="20" t="s">
        <v>4345</v>
      </c>
      <c r="C377" s="19"/>
      <c r="D377" s="20" t="s">
        <v>48</v>
      </c>
      <c r="E377" s="19" t="str">
        <f>VLOOKUP(D377,'لیست پرسنل'!$B$2:$E$1020,3,FALSE)</f>
        <v>فکورصنعت</v>
      </c>
      <c r="F377" s="19" t="str">
        <f>VLOOKUP(D377,'لیست پرسنل'!$B$2:$E$1020,4,FALSE)</f>
        <v>سرپرست آی تی</v>
      </c>
      <c r="G377" s="127">
        <f>VLOOKUP(D377,'لیست پرسنل'!$B$2:$F$1020,2,FALSE)</f>
        <v>2210</v>
      </c>
      <c r="H377" s="126" t="s">
        <v>4290</v>
      </c>
      <c r="I377" s="128"/>
      <c r="J377" s="128" t="s">
        <v>3481</v>
      </c>
      <c r="K377" s="128" t="s">
        <v>905</v>
      </c>
      <c r="L377" s="150"/>
      <c r="M377" s="128">
        <v>612220</v>
      </c>
      <c r="N377" s="108"/>
      <c r="O377" s="20" t="s">
        <v>678</v>
      </c>
      <c r="P377" s="20"/>
      <c r="Q377" s="20"/>
    </row>
    <row r="378" spans="1:17" ht="24.9" customHeight="1">
      <c r="A378" s="20">
        <v>362</v>
      </c>
      <c r="B378" s="20" t="s">
        <v>4345</v>
      </c>
      <c r="C378" s="19"/>
      <c r="D378" s="20" t="s">
        <v>48</v>
      </c>
      <c r="E378" s="19" t="str">
        <f>VLOOKUP(D378,'لیست پرسنل'!$B$2:$E$1020,3,FALSE)</f>
        <v>فکورصنعت</v>
      </c>
      <c r="F378" s="19" t="str">
        <f>VLOOKUP(D378,'لیست پرسنل'!$B$2:$E$1020,4,FALSE)</f>
        <v>سرپرست آی تی</v>
      </c>
      <c r="G378" s="127">
        <f>VLOOKUP(D378,'لیست پرسنل'!$B$2:$F$1020,2,FALSE)</f>
        <v>2210</v>
      </c>
      <c r="H378" s="126" t="s">
        <v>4290</v>
      </c>
      <c r="I378" s="128"/>
      <c r="J378" s="128" t="s">
        <v>3481</v>
      </c>
      <c r="K378" s="128" t="s">
        <v>905</v>
      </c>
      <c r="L378" s="150"/>
      <c r="M378" s="128">
        <v>612223</v>
      </c>
      <c r="N378" s="108"/>
      <c r="O378" s="20" t="s">
        <v>678</v>
      </c>
      <c r="P378" s="20"/>
      <c r="Q378" s="20"/>
    </row>
    <row r="379" spans="1:17" ht="24.9" customHeight="1">
      <c r="A379" s="20">
        <v>362</v>
      </c>
      <c r="B379" s="20" t="s">
        <v>4345</v>
      </c>
      <c r="C379" s="19"/>
      <c r="D379" s="20" t="s">
        <v>48</v>
      </c>
      <c r="E379" s="19" t="str">
        <f>VLOOKUP(D379,'لیست پرسنل'!$B$2:$E$1020,3,FALSE)</f>
        <v>فکورصنعت</v>
      </c>
      <c r="F379" s="19" t="str">
        <f>VLOOKUP(D379,'لیست پرسنل'!$B$2:$E$1020,4,FALSE)</f>
        <v>سرپرست آی تی</v>
      </c>
      <c r="G379" s="127">
        <f>VLOOKUP(D379,'لیست پرسنل'!$B$2:$F$1020,2,FALSE)</f>
        <v>2210</v>
      </c>
      <c r="H379" s="126" t="s">
        <v>4290</v>
      </c>
      <c r="I379" s="128"/>
      <c r="J379" s="128" t="s">
        <v>3481</v>
      </c>
      <c r="K379" s="128" t="s">
        <v>905</v>
      </c>
      <c r="L379" s="150"/>
      <c r="M379" s="128">
        <v>612224</v>
      </c>
      <c r="N379" s="108"/>
      <c r="O379" s="20" t="s">
        <v>678</v>
      </c>
      <c r="P379" s="20"/>
      <c r="Q379" s="20"/>
    </row>
    <row r="380" spans="1:17" ht="24.9" customHeight="1">
      <c r="A380" s="20">
        <v>362</v>
      </c>
      <c r="B380" s="20" t="s">
        <v>4345</v>
      </c>
      <c r="C380" s="19"/>
      <c r="D380" s="20" t="s">
        <v>48</v>
      </c>
      <c r="E380" s="19" t="str">
        <f>VLOOKUP(D380,'لیست پرسنل'!$B$2:$E$1020,3,FALSE)</f>
        <v>فکورصنعت</v>
      </c>
      <c r="F380" s="19" t="str">
        <f>VLOOKUP(D380,'لیست پرسنل'!$B$2:$E$1020,4,FALSE)</f>
        <v>سرپرست آی تی</v>
      </c>
      <c r="G380" s="127">
        <f>VLOOKUP(D380,'لیست پرسنل'!$B$2:$F$1020,2,FALSE)</f>
        <v>2210</v>
      </c>
      <c r="H380" s="126" t="s">
        <v>4290</v>
      </c>
      <c r="I380" s="128"/>
      <c r="J380" s="128" t="s">
        <v>3481</v>
      </c>
      <c r="K380" s="128" t="s">
        <v>906</v>
      </c>
      <c r="L380" s="150"/>
      <c r="M380" s="128">
        <v>612225</v>
      </c>
      <c r="N380" s="108"/>
      <c r="O380" s="20" t="s">
        <v>678</v>
      </c>
      <c r="P380" s="20"/>
      <c r="Q380" s="20"/>
    </row>
    <row r="381" spans="1:17" ht="24.9" customHeight="1">
      <c r="A381" s="20">
        <v>362</v>
      </c>
      <c r="B381" s="20" t="s">
        <v>4345</v>
      </c>
      <c r="C381" s="19"/>
      <c r="D381" s="20" t="s">
        <v>48</v>
      </c>
      <c r="E381" s="19" t="str">
        <f>VLOOKUP(D381,'لیست پرسنل'!$B$2:$E$1020,3,FALSE)</f>
        <v>فکورصنعت</v>
      </c>
      <c r="F381" s="19" t="str">
        <f>VLOOKUP(D381,'لیست پرسنل'!$B$2:$E$1020,4,FALSE)</f>
        <v>سرپرست آی تی</v>
      </c>
      <c r="G381" s="127">
        <f>VLOOKUP(D381,'لیست پرسنل'!$B$2:$F$1020,2,FALSE)</f>
        <v>2210</v>
      </c>
      <c r="H381" s="126" t="s">
        <v>4290</v>
      </c>
      <c r="I381" s="128"/>
      <c r="J381" s="128" t="s">
        <v>3481</v>
      </c>
      <c r="K381" s="151" t="s">
        <v>838</v>
      </c>
      <c r="L381" s="149"/>
      <c r="M381" s="126">
        <v>612227</v>
      </c>
      <c r="N381" s="108"/>
      <c r="O381" s="20" t="s">
        <v>1406</v>
      </c>
      <c r="P381" s="20"/>
      <c r="Q381" s="20"/>
    </row>
    <row r="382" spans="1:17" ht="24.9" customHeight="1">
      <c r="A382" s="20">
        <v>362</v>
      </c>
      <c r="B382" s="20" t="s">
        <v>4345</v>
      </c>
      <c r="C382" s="20"/>
      <c r="D382" s="20" t="s">
        <v>48</v>
      </c>
      <c r="E382" s="19" t="str">
        <f>VLOOKUP(D382,'لیست پرسنل'!$B$2:$E$1020,3,FALSE)</f>
        <v>فکورصنعت</v>
      </c>
      <c r="F382" s="19" t="str">
        <f>VLOOKUP(D382,'لیست پرسنل'!$B$2:$E$1020,4,FALSE)</f>
        <v>سرپرست آی تی</v>
      </c>
      <c r="G382" s="127">
        <f>VLOOKUP(D382,'لیست پرسنل'!$B$2:$F$1020,2,FALSE)</f>
        <v>2210</v>
      </c>
      <c r="H382" s="126" t="s">
        <v>4290</v>
      </c>
      <c r="I382" s="128"/>
      <c r="J382" s="128" t="s">
        <v>3481</v>
      </c>
      <c r="K382" s="128" t="s">
        <v>8104</v>
      </c>
      <c r="L382" s="128" t="s">
        <v>4223</v>
      </c>
      <c r="M382" s="128">
        <v>613957</v>
      </c>
      <c r="N382" s="108"/>
      <c r="O382" s="20" t="s">
        <v>4225</v>
      </c>
      <c r="P382" s="20"/>
      <c r="Q382" s="20"/>
    </row>
    <row r="383" spans="1:17" ht="24.9" customHeight="1">
      <c r="A383" s="20">
        <v>362</v>
      </c>
      <c r="B383" s="20" t="s">
        <v>4345</v>
      </c>
      <c r="C383" s="20"/>
      <c r="D383" s="20" t="s">
        <v>48</v>
      </c>
      <c r="E383" s="19" t="str">
        <f>VLOOKUP(D383,'لیست پرسنل'!$B$2:$E$1020,3,FALSE)</f>
        <v>فکورصنعت</v>
      </c>
      <c r="F383" s="19" t="str">
        <f>VLOOKUP(D383,'لیست پرسنل'!$B$2:$E$1020,4,FALSE)</f>
        <v>سرپرست آی تی</v>
      </c>
      <c r="G383" s="127">
        <f>VLOOKUP(D383,'لیست پرسنل'!$B$2:$F$1020,2,FALSE)</f>
        <v>2210</v>
      </c>
      <c r="H383" s="126" t="s">
        <v>4290</v>
      </c>
      <c r="I383" s="128"/>
      <c r="J383" s="128" t="s">
        <v>3481</v>
      </c>
      <c r="K383" s="128" t="s">
        <v>8104</v>
      </c>
      <c r="L383" s="128" t="s">
        <v>4221</v>
      </c>
      <c r="M383" s="128">
        <v>614200</v>
      </c>
      <c r="N383" s="108"/>
      <c r="O383" s="20" t="s">
        <v>4225</v>
      </c>
      <c r="P383" s="20"/>
      <c r="Q383" s="20"/>
    </row>
    <row r="384" spans="1:17" ht="24.9" customHeight="1">
      <c r="A384" s="20">
        <v>362</v>
      </c>
      <c r="B384" s="20" t="s">
        <v>4345</v>
      </c>
      <c r="C384" s="82"/>
      <c r="D384" s="20" t="s">
        <v>48</v>
      </c>
      <c r="E384" s="19" t="str">
        <f>VLOOKUP(D384,'لیست پرسنل'!$B$2:$E$1020,3,FALSE)</f>
        <v>فکورصنعت</v>
      </c>
      <c r="F384" s="19" t="str">
        <f>VLOOKUP(D384,'لیست پرسنل'!$B$2:$E$1020,4,FALSE)</f>
        <v>سرپرست آی تی</v>
      </c>
      <c r="G384" s="127">
        <f>VLOOKUP(D384,'لیست پرسنل'!$B$2:$F$1020,2,FALSE)</f>
        <v>2210</v>
      </c>
      <c r="H384" s="126" t="s">
        <v>4290</v>
      </c>
      <c r="I384" s="180"/>
      <c r="J384" s="128" t="s">
        <v>3481</v>
      </c>
      <c r="K384" s="127" t="s">
        <v>839</v>
      </c>
      <c r="L384" s="127" t="s">
        <v>1188</v>
      </c>
      <c r="M384" s="126">
        <v>620208</v>
      </c>
      <c r="N384" s="109"/>
      <c r="O384" s="19" t="s">
        <v>4400</v>
      </c>
      <c r="P384" s="19"/>
      <c r="Q384" s="28"/>
    </row>
    <row r="385" spans="1:17" ht="24.9" customHeight="1">
      <c r="A385" s="20">
        <v>362</v>
      </c>
      <c r="B385" s="20" t="s">
        <v>4345</v>
      </c>
      <c r="C385" s="82"/>
      <c r="D385" s="20" t="s">
        <v>48</v>
      </c>
      <c r="E385" s="19" t="str">
        <f>VLOOKUP(D385,'لیست پرسنل'!$B$2:$E$1020,3,FALSE)</f>
        <v>فکورصنعت</v>
      </c>
      <c r="F385" s="19" t="str">
        <f>VLOOKUP(D385,'لیست پرسنل'!$B$2:$E$1020,4,FALSE)</f>
        <v>سرپرست آی تی</v>
      </c>
      <c r="G385" s="127">
        <f>VLOOKUP(D385,'لیست پرسنل'!$B$2:$F$1020,2,FALSE)</f>
        <v>2210</v>
      </c>
      <c r="H385" s="126" t="s">
        <v>4290</v>
      </c>
      <c r="I385" s="180"/>
      <c r="J385" s="128" t="s">
        <v>3481</v>
      </c>
      <c r="K385" s="128" t="s">
        <v>4396</v>
      </c>
      <c r="L385" s="127" t="s">
        <v>1188</v>
      </c>
      <c r="M385" s="127">
        <v>620213</v>
      </c>
      <c r="N385" s="109"/>
      <c r="O385" s="19" t="s">
        <v>4400</v>
      </c>
      <c r="P385" s="19"/>
      <c r="Q385" s="28"/>
    </row>
    <row r="386" spans="1:17" ht="24.9" customHeight="1">
      <c r="A386" s="20">
        <v>362</v>
      </c>
      <c r="B386" s="20" t="s">
        <v>4345</v>
      </c>
      <c r="C386" s="20"/>
      <c r="D386" s="19" t="s">
        <v>48</v>
      </c>
      <c r="E386" s="19" t="str">
        <f>VLOOKUP(D386,'لیست پرسنل'!$B$2:$E$1020,3,FALSE)</f>
        <v>فکورصنعت</v>
      </c>
      <c r="F386" s="19" t="str">
        <f>VLOOKUP(D386,'لیست پرسنل'!$B$2:$E$1020,4,FALSE)</f>
        <v>سرپرست آی تی</v>
      </c>
      <c r="G386" s="127">
        <f>VLOOKUP(D386,'لیست پرسنل'!$B$2:$F$1020,2,FALSE)</f>
        <v>2210</v>
      </c>
      <c r="H386" s="151" t="s">
        <v>4290</v>
      </c>
      <c r="I386" s="128"/>
      <c r="J386" s="128" t="s">
        <v>3481</v>
      </c>
      <c r="K386" s="128" t="s">
        <v>3336</v>
      </c>
      <c r="L386" s="128"/>
      <c r="M386" s="128">
        <v>620218</v>
      </c>
      <c r="N386" s="108"/>
      <c r="O386" s="20"/>
      <c r="P386" s="20"/>
      <c r="Q386" s="20"/>
    </row>
    <row r="387" spans="1:17" ht="24.9" customHeight="1">
      <c r="A387" s="20">
        <v>362</v>
      </c>
      <c r="B387" s="20" t="s">
        <v>4345</v>
      </c>
      <c r="C387" s="19"/>
      <c r="D387" s="19" t="s">
        <v>48</v>
      </c>
      <c r="E387" s="19" t="str">
        <f>VLOOKUP(D387,'لیست پرسنل'!$B$2:$E$1020,3,FALSE)</f>
        <v>فکورصنعت</v>
      </c>
      <c r="F387" s="19" t="str">
        <f>VLOOKUP(D387,'لیست پرسنل'!$B$2:$E$1020,4,FALSE)</f>
        <v>سرپرست آی تی</v>
      </c>
      <c r="G387" s="127">
        <f>VLOOKUP(D387,'لیست پرسنل'!$B$2:$F$1020,2,FALSE)</f>
        <v>2210</v>
      </c>
      <c r="H387" s="127" t="s">
        <v>4290</v>
      </c>
      <c r="I387" s="127"/>
      <c r="J387" s="128" t="s">
        <v>3481</v>
      </c>
      <c r="K387" s="128" t="s">
        <v>4396</v>
      </c>
      <c r="L387" s="127"/>
      <c r="M387" s="126">
        <v>620219</v>
      </c>
      <c r="N387" s="108"/>
      <c r="O387" s="20"/>
      <c r="P387" s="20"/>
      <c r="Q387" s="20"/>
    </row>
    <row r="388" spans="1:17" ht="24.9" customHeight="1">
      <c r="A388" s="20">
        <v>362</v>
      </c>
      <c r="B388" s="20" t="s">
        <v>4345</v>
      </c>
      <c r="C388" s="20"/>
      <c r="D388" s="20" t="s">
        <v>48</v>
      </c>
      <c r="E388" s="19" t="str">
        <f>VLOOKUP(D388,'لیست پرسنل'!$B$2:$E$1020,3,FALSE)</f>
        <v>فکورصنعت</v>
      </c>
      <c r="F388" s="19" t="str">
        <f>VLOOKUP(D388,'لیست پرسنل'!$B$2:$E$1020,4,FALSE)</f>
        <v>سرپرست آی تی</v>
      </c>
      <c r="G388" s="127">
        <f>VLOOKUP(D388,'لیست پرسنل'!$B$2:$F$1020,2,FALSE)</f>
        <v>2210</v>
      </c>
      <c r="H388" s="126" t="s">
        <v>4290</v>
      </c>
      <c r="I388" s="128"/>
      <c r="J388" s="128" t="s">
        <v>3481</v>
      </c>
      <c r="K388" s="128" t="s">
        <v>4000</v>
      </c>
      <c r="L388" s="128" t="s">
        <v>4004</v>
      </c>
      <c r="M388" s="126">
        <v>629473</v>
      </c>
      <c r="N388" s="108"/>
      <c r="O388" s="20" t="s">
        <v>4001</v>
      </c>
      <c r="P388" s="20"/>
      <c r="Q388" s="20"/>
    </row>
    <row r="389" spans="1:17" ht="24.9" customHeight="1">
      <c r="A389" s="20">
        <v>362</v>
      </c>
      <c r="B389" s="20" t="s">
        <v>4345</v>
      </c>
      <c r="C389" s="20"/>
      <c r="D389" s="20" t="s">
        <v>48</v>
      </c>
      <c r="E389" s="19" t="str">
        <f>VLOOKUP(D389,'لیست پرسنل'!$B$2:$E$1020,3,FALSE)</f>
        <v>فکورصنعت</v>
      </c>
      <c r="F389" s="19" t="str">
        <f>VLOOKUP(D389,'لیست پرسنل'!$B$2:$E$1020,4,FALSE)</f>
        <v>سرپرست آی تی</v>
      </c>
      <c r="G389" s="127">
        <f>VLOOKUP(D389,'لیست پرسنل'!$B$2:$F$1020,2,FALSE)</f>
        <v>2210</v>
      </c>
      <c r="H389" s="126" t="s">
        <v>4290</v>
      </c>
      <c r="I389" s="128"/>
      <c r="J389" s="128" t="s">
        <v>3481</v>
      </c>
      <c r="K389" s="128" t="s">
        <v>6454</v>
      </c>
      <c r="L389" s="150" t="s">
        <v>6450</v>
      </c>
      <c r="M389" s="128" t="s">
        <v>291</v>
      </c>
      <c r="N389" s="108"/>
      <c r="O389" s="20"/>
      <c r="P389" s="20"/>
      <c r="Q389" s="20"/>
    </row>
    <row r="390" spans="1:17" ht="24.9" customHeight="1">
      <c r="A390" s="20">
        <v>362</v>
      </c>
      <c r="B390" s="20" t="s">
        <v>4345</v>
      </c>
      <c r="C390" s="20"/>
      <c r="D390" s="20" t="s">
        <v>48</v>
      </c>
      <c r="E390" s="19" t="str">
        <f>VLOOKUP(D390,'لیست پرسنل'!$B$2:$E$1020,3,FALSE)</f>
        <v>فکورصنعت</v>
      </c>
      <c r="F390" s="19" t="str">
        <f>VLOOKUP(D390,'لیست پرسنل'!$B$2:$E$1020,4,FALSE)</f>
        <v>سرپرست آی تی</v>
      </c>
      <c r="G390" s="127">
        <f>VLOOKUP(D390,'لیست پرسنل'!$B$2:$F$1020,2,FALSE)</f>
        <v>2210</v>
      </c>
      <c r="H390" s="126" t="s">
        <v>4290</v>
      </c>
      <c r="I390" s="128"/>
      <c r="J390" s="128" t="s">
        <v>3481</v>
      </c>
      <c r="K390" s="128" t="s">
        <v>6454</v>
      </c>
      <c r="L390" s="150" t="s">
        <v>6451</v>
      </c>
      <c r="M390" s="128" t="s">
        <v>291</v>
      </c>
      <c r="N390" s="108"/>
      <c r="O390" s="20"/>
      <c r="P390" s="20"/>
      <c r="Q390" s="20"/>
    </row>
    <row r="391" spans="1:17" ht="24.9" customHeight="1">
      <c r="A391" s="20">
        <v>362</v>
      </c>
      <c r="B391" s="20" t="s">
        <v>4345</v>
      </c>
      <c r="C391" s="20"/>
      <c r="D391" s="20" t="s">
        <v>48</v>
      </c>
      <c r="E391" s="19" t="str">
        <f>VLOOKUP(D391,'لیست پرسنل'!$B$2:$E$1020,3,FALSE)</f>
        <v>فکورصنعت</v>
      </c>
      <c r="F391" s="19" t="str">
        <f>VLOOKUP(D391,'لیست پرسنل'!$B$2:$E$1020,4,FALSE)</f>
        <v>سرپرست آی تی</v>
      </c>
      <c r="G391" s="127">
        <f>VLOOKUP(D391,'لیست پرسنل'!$B$2:$F$1020,2,FALSE)</f>
        <v>2210</v>
      </c>
      <c r="H391" s="126" t="s">
        <v>4290</v>
      </c>
      <c r="I391" s="128"/>
      <c r="J391" s="128" t="s">
        <v>3481</v>
      </c>
      <c r="K391" s="128" t="s">
        <v>6455</v>
      </c>
      <c r="L391" s="150" t="s">
        <v>6452</v>
      </c>
      <c r="M391" s="128" t="s">
        <v>291</v>
      </c>
      <c r="N391" s="108"/>
      <c r="O391" s="20"/>
      <c r="P391" s="20"/>
      <c r="Q391" s="20"/>
    </row>
    <row r="392" spans="1:17" ht="24.9" customHeight="1">
      <c r="A392" s="20">
        <v>362</v>
      </c>
      <c r="B392" s="20" t="s">
        <v>4345</v>
      </c>
      <c r="C392" s="20"/>
      <c r="D392" s="20" t="s">
        <v>48</v>
      </c>
      <c r="E392" s="19" t="str">
        <f>VLOOKUP(D392,'لیست پرسنل'!$B$2:$E$1020,3,FALSE)</f>
        <v>فکورصنعت</v>
      </c>
      <c r="F392" s="19" t="str">
        <f>VLOOKUP(D392,'لیست پرسنل'!$B$2:$E$1020,4,FALSE)</f>
        <v>سرپرست آی تی</v>
      </c>
      <c r="G392" s="127">
        <f>VLOOKUP(D392,'لیست پرسنل'!$B$2:$F$1020,2,FALSE)</f>
        <v>2210</v>
      </c>
      <c r="H392" s="126" t="s">
        <v>4290</v>
      </c>
      <c r="I392" s="128"/>
      <c r="J392" s="128" t="s">
        <v>3481</v>
      </c>
      <c r="K392" s="128" t="s">
        <v>6742</v>
      </c>
      <c r="L392" s="150" t="s">
        <v>6743</v>
      </c>
      <c r="M392" s="127" t="s">
        <v>291</v>
      </c>
      <c r="N392" s="108"/>
      <c r="O392" s="20"/>
      <c r="P392" s="20"/>
      <c r="Q392" s="20"/>
    </row>
    <row r="393" spans="1:17" ht="24.9" customHeight="1">
      <c r="A393" s="20">
        <v>362</v>
      </c>
      <c r="B393" s="20" t="s">
        <v>4345</v>
      </c>
      <c r="C393" s="20"/>
      <c r="D393" s="20" t="s">
        <v>48</v>
      </c>
      <c r="E393" s="19" t="str">
        <f>VLOOKUP(D393,'لیست پرسنل'!$B$2:$E$1020,3,FALSE)</f>
        <v>فکورصنعت</v>
      </c>
      <c r="F393" s="19" t="str">
        <f>VLOOKUP(D393,'لیست پرسنل'!$B$2:$E$1020,4,FALSE)</f>
        <v>سرپرست آی تی</v>
      </c>
      <c r="G393" s="127">
        <f>VLOOKUP(D393,'لیست پرسنل'!$B$2:$F$1020,2,FALSE)</f>
        <v>2210</v>
      </c>
      <c r="H393" s="126" t="s">
        <v>4290</v>
      </c>
      <c r="I393" s="128"/>
      <c r="J393" s="128" t="s">
        <v>3481</v>
      </c>
      <c r="K393" s="128" t="s">
        <v>6742</v>
      </c>
      <c r="L393" s="150" t="s">
        <v>6744</v>
      </c>
      <c r="M393" s="127" t="s">
        <v>291</v>
      </c>
      <c r="N393" s="108"/>
      <c r="O393" s="20"/>
      <c r="P393" s="20"/>
      <c r="Q393" s="20"/>
    </row>
    <row r="394" spans="1:17" ht="24.9" customHeight="1">
      <c r="A394" s="20">
        <v>362</v>
      </c>
      <c r="B394" s="20" t="s">
        <v>4345</v>
      </c>
      <c r="C394" s="19"/>
      <c r="D394" s="20" t="s">
        <v>48</v>
      </c>
      <c r="E394" s="19" t="str">
        <f>VLOOKUP(D394,'لیست پرسنل'!$B$2:$E$1020,3,FALSE)</f>
        <v>فکورصنعت</v>
      </c>
      <c r="F394" s="19" t="str">
        <f>VLOOKUP(D394,'لیست پرسنل'!$B$2:$E$1020,4,FALSE)</f>
        <v>سرپرست آی تی</v>
      </c>
      <c r="G394" s="127">
        <f>VLOOKUP(D394,'لیست پرسنل'!$B$2:$F$1020,2,FALSE)</f>
        <v>2210</v>
      </c>
      <c r="H394" s="126" t="s">
        <v>4290</v>
      </c>
      <c r="I394" s="128"/>
      <c r="J394" s="128" t="s">
        <v>3481</v>
      </c>
      <c r="K394" s="128" t="s">
        <v>5820</v>
      </c>
      <c r="L394" s="150" t="s">
        <v>6755</v>
      </c>
      <c r="M394" s="127" t="s">
        <v>291</v>
      </c>
      <c r="N394" s="108"/>
      <c r="O394" s="20"/>
      <c r="P394" s="20"/>
      <c r="Q394" s="20"/>
    </row>
    <row r="395" spans="1:17" ht="24.9" customHeight="1">
      <c r="A395" s="20">
        <v>362</v>
      </c>
      <c r="B395" s="20" t="s">
        <v>4345</v>
      </c>
      <c r="C395" s="19"/>
      <c r="D395" s="20" t="s">
        <v>48</v>
      </c>
      <c r="E395" s="19" t="str">
        <f>VLOOKUP(D395,'لیست پرسنل'!$B$2:$E$1020,3,FALSE)</f>
        <v>فکورصنعت</v>
      </c>
      <c r="F395" s="19" t="str">
        <f>VLOOKUP(D395,'لیست پرسنل'!$B$2:$E$1020,4,FALSE)</f>
        <v>سرپرست آی تی</v>
      </c>
      <c r="G395" s="127">
        <f>VLOOKUP(D395,'لیست پرسنل'!$B$2:$F$1020,2,FALSE)</f>
        <v>2210</v>
      </c>
      <c r="H395" s="126" t="s">
        <v>4290</v>
      </c>
      <c r="I395" s="128"/>
      <c r="J395" s="128" t="s">
        <v>3481</v>
      </c>
      <c r="K395" s="128" t="s">
        <v>5820</v>
      </c>
      <c r="L395" s="150" t="s">
        <v>6756</v>
      </c>
      <c r="M395" s="127" t="s">
        <v>291</v>
      </c>
      <c r="N395" s="108"/>
      <c r="O395" s="20"/>
      <c r="P395" s="20"/>
      <c r="Q395" s="20"/>
    </row>
    <row r="396" spans="1:17" ht="24.9" customHeight="1">
      <c r="A396" s="20">
        <v>362</v>
      </c>
      <c r="B396" s="20" t="s">
        <v>4345</v>
      </c>
      <c r="C396" s="19"/>
      <c r="D396" s="20" t="s">
        <v>48</v>
      </c>
      <c r="E396" s="19" t="str">
        <f>VLOOKUP(D396,'لیست پرسنل'!$B$2:$E$1020,3,FALSE)</f>
        <v>فکورصنعت</v>
      </c>
      <c r="F396" s="19" t="str">
        <f>VLOOKUP(D396,'لیست پرسنل'!$B$2:$E$1020,4,FALSE)</f>
        <v>سرپرست آی تی</v>
      </c>
      <c r="G396" s="127">
        <f>VLOOKUP(D396,'لیست پرسنل'!$B$2:$F$1020,2,FALSE)</f>
        <v>2210</v>
      </c>
      <c r="H396" s="126" t="s">
        <v>4290</v>
      </c>
      <c r="I396" s="128"/>
      <c r="J396" s="128" t="s">
        <v>3481</v>
      </c>
      <c r="K396" s="128" t="s">
        <v>5820</v>
      </c>
      <c r="L396" s="150" t="s">
        <v>6757</v>
      </c>
      <c r="M396" s="127" t="s">
        <v>291</v>
      </c>
      <c r="N396" s="108"/>
      <c r="O396" s="20"/>
      <c r="P396" s="20"/>
      <c r="Q396" s="20"/>
    </row>
    <row r="397" spans="1:17" ht="24.9" customHeight="1">
      <c r="A397" s="20">
        <v>362</v>
      </c>
      <c r="B397" s="20" t="s">
        <v>4345</v>
      </c>
      <c r="C397" s="20"/>
      <c r="D397" s="20" t="s">
        <v>48</v>
      </c>
      <c r="E397" s="19" t="str">
        <f>VLOOKUP(D397,'لیست پرسنل'!$B$2:$E$1020,3,FALSE)</f>
        <v>فکورصنعت</v>
      </c>
      <c r="F397" s="19" t="str">
        <f>VLOOKUP(D397,'لیست پرسنل'!$B$2:$E$1020,4,FALSE)</f>
        <v>سرپرست آی تی</v>
      </c>
      <c r="G397" s="127">
        <f>VLOOKUP(D397,'لیست پرسنل'!$B$2:$F$1020,2,FALSE)</f>
        <v>2210</v>
      </c>
      <c r="H397" s="126" t="s">
        <v>4290</v>
      </c>
      <c r="I397" s="128"/>
      <c r="J397" s="128" t="s">
        <v>3481</v>
      </c>
      <c r="K397" s="128" t="s">
        <v>5820</v>
      </c>
      <c r="L397" s="150" t="s">
        <v>6066</v>
      </c>
      <c r="M397" s="126" t="s">
        <v>291</v>
      </c>
      <c r="N397" s="108"/>
      <c r="O397" s="20"/>
      <c r="P397" s="20"/>
      <c r="Q397" s="20"/>
    </row>
    <row r="398" spans="1:17" ht="24.9" customHeight="1">
      <c r="A398" s="20">
        <v>362</v>
      </c>
      <c r="B398" s="20" t="s">
        <v>4345</v>
      </c>
      <c r="C398" s="20"/>
      <c r="D398" s="20" t="s">
        <v>48</v>
      </c>
      <c r="E398" s="19" t="str">
        <f>VLOOKUP(D398,'لیست پرسنل'!$B$2:$E$1020,3,FALSE)</f>
        <v>فکورصنعت</v>
      </c>
      <c r="F398" s="19" t="str">
        <f>VLOOKUP(D398,'لیست پرسنل'!$B$2:$E$1020,4,FALSE)</f>
        <v>سرپرست آی تی</v>
      </c>
      <c r="G398" s="127">
        <f>VLOOKUP(D398,'لیست پرسنل'!$B$2:$F$1020,2,FALSE)</f>
        <v>2210</v>
      </c>
      <c r="H398" s="126" t="s">
        <v>4290</v>
      </c>
      <c r="I398" s="128"/>
      <c r="J398" s="128" t="s">
        <v>3481</v>
      </c>
      <c r="K398" s="128" t="s">
        <v>5820</v>
      </c>
      <c r="L398" s="150" t="s">
        <v>6067</v>
      </c>
      <c r="M398" s="126" t="s">
        <v>291</v>
      </c>
      <c r="N398" s="108"/>
      <c r="O398" s="20"/>
      <c r="P398" s="20"/>
      <c r="Q398" s="20"/>
    </row>
    <row r="399" spans="1:17" ht="24.9" customHeight="1">
      <c r="A399" s="20">
        <v>362</v>
      </c>
      <c r="B399" s="20" t="s">
        <v>4345</v>
      </c>
      <c r="C399" s="20"/>
      <c r="D399" s="20" t="s">
        <v>48</v>
      </c>
      <c r="E399" s="19" t="str">
        <f>VLOOKUP(D399,'لیست پرسنل'!$B$2:$E$1020,3,FALSE)</f>
        <v>فکورصنعت</v>
      </c>
      <c r="F399" s="19" t="str">
        <f>VLOOKUP(D399,'لیست پرسنل'!$B$2:$E$1020,4,FALSE)</f>
        <v>سرپرست آی تی</v>
      </c>
      <c r="G399" s="127">
        <f>VLOOKUP(D399,'لیست پرسنل'!$B$2:$F$1020,2,FALSE)</f>
        <v>2210</v>
      </c>
      <c r="H399" s="126" t="s">
        <v>4290</v>
      </c>
      <c r="I399" s="128"/>
      <c r="J399" s="128" t="s">
        <v>3481</v>
      </c>
      <c r="K399" s="128" t="s">
        <v>6746</v>
      </c>
      <c r="L399" s="150" t="s">
        <v>6747</v>
      </c>
      <c r="M399" s="127" t="s">
        <v>291</v>
      </c>
      <c r="N399" s="108"/>
      <c r="O399" s="20"/>
      <c r="P399" s="20"/>
      <c r="Q399" s="20"/>
    </row>
    <row r="400" spans="1:17" ht="24.9" customHeight="1">
      <c r="A400" s="20">
        <v>362</v>
      </c>
      <c r="B400" s="20" t="s">
        <v>4345</v>
      </c>
      <c r="C400" s="20"/>
      <c r="D400" s="20" t="s">
        <v>48</v>
      </c>
      <c r="E400" s="19" t="str">
        <f>VLOOKUP(D400,'لیست پرسنل'!$B$2:$E$1020,3,FALSE)</f>
        <v>فکورصنعت</v>
      </c>
      <c r="F400" s="19" t="str">
        <f>VLOOKUP(D400,'لیست پرسنل'!$B$2:$E$1020,4,FALSE)</f>
        <v>سرپرست آی تی</v>
      </c>
      <c r="G400" s="127">
        <f>VLOOKUP(D400,'لیست پرسنل'!$B$2:$F$1020,2,FALSE)</f>
        <v>2210</v>
      </c>
      <c r="H400" s="126" t="s">
        <v>4290</v>
      </c>
      <c r="I400" s="128"/>
      <c r="J400" s="128" t="s">
        <v>3481</v>
      </c>
      <c r="K400" s="128" t="s">
        <v>6746</v>
      </c>
      <c r="L400" s="150" t="s">
        <v>6748</v>
      </c>
      <c r="M400" s="127" t="s">
        <v>291</v>
      </c>
      <c r="N400" s="108"/>
      <c r="O400" s="20"/>
      <c r="P400" s="20"/>
      <c r="Q400" s="20"/>
    </row>
    <row r="401" spans="1:17" ht="24.9" customHeight="1">
      <c r="A401" s="20">
        <v>362</v>
      </c>
      <c r="B401" s="20" t="s">
        <v>4345</v>
      </c>
      <c r="C401" s="20"/>
      <c r="D401" s="20" t="s">
        <v>48</v>
      </c>
      <c r="E401" s="19" t="str">
        <f>VLOOKUP(D401,'لیست پرسنل'!$B$2:$E$1020,3,FALSE)</f>
        <v>فکورصنعت</v>
      </c>
      <c r="F401" s="19" t="str">
        <f>VLOOKUP(D401,'لیست پرسنل'!$B$2:$E$1020,4,FALSE)</f>
        <v>سرپرست آی تی</v>
      </c>
      <c r="G401" s="127">
        <f>VLOOKUP(D401,'لیست پرسنل'!$B$2:$F$1020,2,FALSE)</f>
        <v>2210</v>
      </c>
      <c r="H401" s="126" t="s">
        <v>4290</v>
      </c>
      <c r="I401" s="128"/>
      <c r="J401" s="128" t="s">
        <v>3481</v>
      </c>
      <c r="K401" s="128" t="s">
        <v>6746</v>
      </c>
      <c r="L401" s="150" t="s">
        <v>6749</v>
      </c>
      <c r="M401" s="127" t="s">
        <v>291</v>
      </c>
      <c r="N401" s="108"/>
      <c r="O401" s="20"/>
      <c r="P401" s="20"/>
      <c r="Q401" s="20"/>
    </row>
    <row r="402" spans="1:17" ht="24.9" customHeight="1">
      <c r="A402" s="20">
        <v>362</v>
      </c>
      <c r="B402" s="20" t="s">
        <v>4345</v>
      </c>
      <c r="C402" s="20"/>
      <c r="D402" s="20" t="s">
        <v>48</v>
      </c>
      <c r="E402" s="19" t="str">
        <f>VLOOKUP(D402,'لیست پرسنل'!$B$2:$E$1020,3,FALSE)</f>
        <v>فکورصنعت</v>
      </c>
      <c r="F402" s="19" t="str">
        <f>VLOOKUP(D402,'لیست پرسنل'!$B$2:$E$1020,4,FALSE)</f>
        <v>سرپرست آی تی</v>
      </c>
      <c r="G402" s="127">
        <f>VLOOKUP(D402,'لیست پرسنل'!$B$2:$F$1020,2,FALSE)</f>
        <v>2210</v>
      </c>
      <c r="H402" s="126" t="s">
        <v>4290</v>
      </c>
      <c r="I402" s="128"/>
      <c r="J402" s="128" t="s">
        <v>3481</v>
      </c>
      <c r="K402" s="128" t="s">
        <v>6746</v>
      </c>
      <c r="L402" s="150" t="s">
        <v>6750</v>
      </c>
      <c r="M402" s="127" t="s">
        <v>291</v>
      </c>
      <c r="N402" s="108"/>
      <c r="O402" s="20"/>
      <c r="P402" s="20"/>
      <c r="Q402" s="20"/>
    </row>
    <row r="403" spans="1:17" ht="24.9" customHeight="1">
      <c r="A403" s="20">
        <v>362</v>
      </c>
      <c r="B403" s="20" t="s">
        <v>4345</v>
      </c>
      <c r="C403" s="19"/>
      <c r="D403" s="20" t="s">
        <v>48</v>
      </c>
      <c r="E403" s="19" t="str">
        <f>VLOOKUP(D403,'لیست پرسنل'!$B$2:$E$1020,3,FALSE)</f>
        <v>فکورصنعت</v>
      </c>
      <c r="F403" s="19" t="str">
        <f>VLOOKUP(D403,'لیست پرسنل'!$B$2:$E$1020,4,FALSE)</f>
        <v>سرپرست آی تی</v>
      </c>
      <c r="G403" s="127">
        <f>VLOOKUP(D403,'لیست پرسنل'!$B$2:$F$1020,2,FALSE)</f>
        <v>2210</v>
      </c>
      <c r="H403" s="126" t="s">
        <v>4290</v>
      </c>
      <c r="I403" s="128"/>
      <c r="J403" s="128" t="s">
        <v>3481</v>
      </c>
      <c r="K403" s="128" t="s">
        <v>6746</v>
      </c>
      <c r="L403" s="150" t="s">
        <v>6753</v>
      </c>
      <c r="M403" s="127" t="s">
        <v>291</v>
      </c>
      <c r="N403" s="108"/>
      <c r="O403" s="20"/>
      <c r="P403" s="20"/>
      <c r="Q403" s="20"/>
    </row>
    <row r="404" spans="1:17" ht="24.9" customHeight="1">
      <c r="A404" s="20">
        <v>362</v>
      </c>
      <c r="B404" s="20" t="s">
        <v>4345</v>
      </c>
      <c r="C404" s="19"/>
      <c r="D404" s="20" t="s">
        <v>48</v>
      </c>
      <c r="E404" s="19" t="str">
        <f>VLOOKUP(D404,'لیست پرسنل'!$B$2:$E$1020,3,FALSE)</f>
        <v>فکورصنعت</v>
      </c>
      <c r="F404" s="19" t="str">
        <f>VLOOKUP(D404,'لیست پرسنل'!$B$2:$E$1020,4,FALSE)</f>
        <v>سرپرست آی تی</v>
      </c>
      <c r="G404" s="127">
        <f>VLOOKUP(D404,'لیست پرسنل'!$B$2:$F$1020,2,FALSE)</f>
        <v>2210</v>
      </c>
      <c r="H404" s="126" t="s">
        <v>4290</v>
      </c>
      <c r="I404" s="128"/>
      <c r="J404" s="128" t="s">
        <v>3481</v>
      </c>
      <c r="K404" s="128" t="s">
        <v>6746</v>
      </c>
      <c r="L404" s="150" t="s">
        <v>6754</v>
      </c>
      <c r="M404" s="127" t="s">
        <v>291</v>
      </c>
      <c r="N404" s="108"/>
      <c r="O404" s="20"/>
      <c r="P404" s="20"/>
      <c r="Q404" s="20"/>
    </row>
    <row r="405" spans="1:17" ht="24.9" customHeight="1">
      <c r="A405" s="20">
        <v>362</v>
      </c>
      <c r="B405" s="20" t="s">
        <v>4345</v>
      </c>
      <c r="C405" s="19"/>
      <c r="D405" s="20" t="s">
        <v>48</v>
      </c>
      <c r="E405" s="19" t="str">
        <f>VLOOKUP(D405,'لیست پرسنل'!$B$2:$E$1020,3,FALSE)</f>
        <v>فکورصنعت</v>
      </c>
      <c r="F405" s="19" t="str">
        <f>VLOOKUP(D405,'لیست پرسنل'!$B$2:$E$1020,4,FALSE)</f>
        <v>سرپرست آی تی</v>
      </c>
      <c r="G405" s="127">
        <f>VLOOKUP(D405,'لیست پرسنل'!$B$2:$F$1020,2,FALSE)</f>
        <v>2210</v>
      </c>
      <c r="H405" s="126" t="s">
        <v>4290</v>
      </c>
      <c r="I405" s="128"/>
      <c r="J405" s="128" t="s">
        <v>3481</v>
      </c>
      <c r="K405" s="128" t="s">
        <v>2771</v>
      </c>
      <c r="L405" s="128"/>
      <c r="M405" s="126" t="s">
        <v>291</v>
      </c>
      <c r="N405" s="108"/>
      <c r="O405" s="20" t="s">
        <v>2758</v>
      </c>
      <c r="P405" s="20"/>
      <c r="Q405" s="20"/>
    </row>
    <row r="406" spans="1:17" ht="24.9" customHeight="1">
      <c r="A406" s="20">
        <v>362</v>
      </c>
      <c r="B406" s="20" t="s">
        <v>4345</v>
      </c>
      <c r="C406" s="19"/>
      <c r="D406" s="20" t="s">
        <v>48</v>
      </c>
      <c r="E406" s="19" t="str">
        <f>VLOOKUP(D406,'لیست پرسنل'!$B$2:$E$1020,3,FALSE)</f>
        <v>فکورصنعت</v>
      </c>
      <c r="F406" s="19" t="str">
        <f>VLOOKUP(D406,'لیست پرسنل'!$B$2:$E$1020,4,FALSE)</f>
        <v>سرپرست آی تی</v>
      </c>
      <c r="G406" s="127">
        <f>VLOOKUP(D406,'لیست پرسنل'!$B$2:$F$1020,2,FALSE)</f>
        <v>2210</v>
      </c>
      <c r="H406" s="126" t="s">
        <v>4290</v>
      </c>
      <c r="I406" s="128"/>
      <c r="J406" s="128" t="s">
        <v>3481</v>
      </c>
      <c r="K406" s="128" t="s">
        <v>2771</v>
      </c>
      <c r="L406" s="128"/>
      <c r="M406" s="126" t="s">
        <v>291</v>
      </c>
      <c r="N406" s="108"/>
      <c r="O406" s="20" t="s">
        <v>2758</v>
      </c>
      <c r="P406" s="20"/>
      <c r="Q406" s="20"/>
    </row>
    <row r="407" spans="1:17" ht="24.9" customHeight="1">
      <c r="A407" s="20">
        <v>362</v>
      </c>
      <c r="B407" s="20" t="s">
        <v>4345</v>
      </c>
      <c r="C407" s="19"/>
      <c r="D407" s="20" t="s">
        <v>48</v>
      </c>
      <c r="E407" s="19" t="str">
        <f>VLOOKUP(D407,'لیست پرسنل'!$B$2:$E$1020,3,FALSE)</f>
        <v>فکورصنعت</v>
      </c>
      <c r="F407" s="19" t="str">
        <f>VLOOKUP(D407,'لیست پرسنل'!$B$2:$E$1020,4,FALSE)</f>
        <v>سرپرست آی تی</v>
      </c>
      <c r="G407" s="127">
        <f>VLOOKUP(D407,'لیست پرسنل'!$B$2:$F$1020,2,FALSE)</f>
        <v>2210</v>
      </c>
      <c r="H407" s="126" t="s">
        <v>4290</v>
      </c>
      <c r="I407" s="128"/>
      <c r="J407" s="128" t="s">
        <v>3481</v>
      </c>
      <c r="K407" s="128" t="s">
        <v>2771</v>
      </c>
      <c r="L407" s="128"/>
      <c r="M407" s="126" t="s">
        <v>291</v>
      </c>
      <c r="N407" s="108"/>
      <c r="O407" s="20" t="s">
        <v>2758</v>
      </c>
      <c r="P407" s="20"/>
      <c r="Q407" s="20"/>
    </row>
    <row r="408" spans="1:17" ht="24.9" customHeight="1">
      <c r="A408" s="20">
        <v>362</v>
      </c>
      <c r="B408" s="20" t="s">
        <v>4345</v>
      </c>
      <c r="C408" s="20"/>
      <c r="D408" s="19" t="s">
        <v>48</v>
      </c>
      <c r="E408" s="19" t="str">
        <f>VLOOKUP(D408,'لیست پرسنل'!$B$2:$E$1020,3,FALSE)</f>
        <v>فکورصنعت</v>
      </c>
      <c r="F408" s="19" t="str">
        <f>VLOOKUP(D408,'لیست پرسنل'!$B$2:$E$1020,4,FALSE)</f>
        <v>سرپرست آی تی</v>
      </c>
      <c r="G408" s="127">
        <f>VLOOKUP(D408,'لیست پرسنل'!$B$2:$F$1020,2,FALSE)</f>
        <v>2210</v>
      </c>
      <c r="H408" s="151" t="s">
        <v>4290</v>
      </c>
      <c r="I408" s="128"/>
      <c r="J408" s="128" t="s">
        <v>3481</v>
      </c>
      <c r="K408" s="128" t="s">
        <v>6742</v>
      </c>
      <c r="L408" s="150" t="s">
        <v>6745</v>
      </c>
      <c r="M408" s="127" t="s">
        <v>291</v>
      </c>
      <c r="N408" s="108"/>
      <c r="O408" s="20"/>
      <c r="P408" s="20"/>
      <c r="Q408" s="20"/>
    </row>
    <row r="409" spans="1:17" ht="24.9" customHeight="1">
      <c r="A409" s="20">
        <v>362</v>
      </c>
      <c r="B409" s="20" t="s">
        <v>4345</v>
      </c>
      <c r="C409" s="19"/>
      <c r="D409" s="19" t="s">
        <v>48</v>
      </c>
      <c r="E409" s="19" t="str">
        <f>VLOOKUP(D409,'لیست پرسنل'!$B$2:$E$1020,3,FALSE)</f>
        <v>فکورصنعت</v>
      </c>
      <c r="F409" s="19" t="str">
        <f>VLOOKUP(D409,'لیست پرسنل'!$B$2:$E$1020,4,FALSE)</f>
        <v>سرپرست آی تی</v>
      </c>
      <c r="G409" s="127">
        <f>VLOOKUP(D409,'لیست پرسنل'!$B$2:$F$1020,2,FALSE)</f>
        <v>2210</v>
      </c>
      <c r="H409" s="127" t="s">
        <v>4290</v>
      </c>
      <c r="I409" s="127"/>
      <c r="J409" s="128" t="s">
        <v>3481</v>
      </c>
      <c r="K409" s="128" t="s">
        <v>4897</v>
      </c>
      <c r="L409" s="128" t="s">
        <v>4748</v>
      </c>
      <c r="M409" s="127" t="s">
        <v>291</v>
      </c>
      <c r="N409" s="109"/>
      <c r="O409" s="19"/>
      <c r="P409" s="32"/>
      <c r="Q409" s="32"/>
    </row>
    <row r="410" spans="1:17" ht="24.9" customHeight="1">
      <c r="A410" s="20">
        <v>362</v>
      </c>
      <c r="B410" s="20" t="s">
        <v>4345</v>
      </c>
      <c r="C410" s="20"/>
      <c r="D410" s="20" t="s">
        <v>48</v>
      </c>
      <c r="E410" s="19" t="str">
        <f>VLOOKUP(D410,'لیست پرسنل'!$B$2:$E$1020,3,FALSE)</f>
        <v>فکورصنعت</v>
      </c>
      <c r="F410" s="19" t="str">
        <f>VLOOKUP(D410,'لیست پرسنل'!$B$2:$E$1020,4,FALSE)</f>
        <v>سرپرست آی تی</v>
      </c>
      <c r="G410" s="127">
        <f>VLOOKUP(D410,'لیست پرسنل'!$B$2:$F$1020,2,FALSE)</f>
        <v>2210</v>
      </c>
      <c r="H410" s="128" t="s">
        <v>4290</v>
      </c>
      <c r="I410" s="126"/>
      <c r="J410" s="128" t="s">
        <v>3481</v>
      </c>
      <c r="K410" s="128" t="s">
        <v>7613</v>
      </c>
      <c r="L410" s="127" t="s">
        <v>7614</v>
      </c>
      <c r="M410" s="128" t="s">
        <v>291</v>
      </c>
      <c r="N410" s="109"/>
      <c r="O410" s="19"/>
      <c r="P410" s="32"/>
      <c r="Q410" s="32"/>
    </row>
    <row r="411" spans="1:17" ht="24.9" customHeight="1">
      <c r="A411" s="20">
        <v>362</v>
      </c>
      <c r="B411" s="20" t="s">
        <v>4345</v>
      </c>
      <c r="C411" s="19"/>
      <c r="D411" s="20" t="s">
        <v>48</v>
      </c>
      <c r="E411" s="19" t="str">
        <f>VLOOKUP(D411,'لیست پرسنل'!$B$2:$E$1020,3,FALSE)</f>
        <v>فکورصنعت</v>
      </c>
      <c r="F411" s="19" t="str">
        <f>VLOOKUP(D411,'لیست پرسنل'!$B$2:$E$1020,4,FALSE)</f>
        <v>سرپرست آی تی</v>
      </c>
      <c r="G411" s="127">
        <f>VLOOKUP(D411,'لیست پرسنل'!$B$2:$F$1020,2,FALSE)</f>
        <v>2210</v>
      </c>
      <c r="H411" s="126" t="s">
        <v>4290</v>
      </c>
      <c r="I411" s="128"/>
      <c r="J411" s="126" t="s">
        <v>3481</v>
      </c>
      <c r="K411" s="128" t="s">
        <v>6742</v>
      </c>
      <c r="L411" s="127" t="s">
        <v>7777</v>
      </c>
      <c r="M411" s="127" t="s">
        <v>291</v>
      </c>
      <c r="N411" s="108"/>
      <c r="O411" s="20"/>
      <c r="P411" s="20"/>
      <c r="Q411" s="20"/>
    </row>
    <row r="412" spans="1:17" ht="24.9" customHeight="1">
      <c r="A412" s="20">
        <v>362</v>
      </c>
      <c r="B412" s="20" t="s">
        <v>4345</v>
      </c>
      <c r="C412" s="20"/>
      <c r="D412" s="20" t="s">
        <v>48</v>
      </c>
      <c r="E412" s="19" t="str">
        <f>VLOOKUP(D412,'لیست پرسنل'!$B$2:$E$1020,3,FALSE)</f>
        <v>فکورصنعت</v>
      </c>
      <c r="F412" s="19" t="str">
        <f>VLOOKUP(D412,'لیست پرسنل'!$B$2:$E$1020,4,FALSE)</f>
        <v>سرپرست آی تی</v>
      </c>
      <c r="G412" s="127">
        <f>VLOOKUP(D412,'لیست پرسنل'!$B$2:$F$1020,2,FALSE)</f>
        <v>2210</v>
      </c>
      <c r="H412" s="130" t="s">
        <v>4290</v>
      </c>
      <c r="I412" s="128"/>
      <c r="J412" s="128" t="s">
        <v>3481</v>
      </c>
      <c r="K412" s="128" t="s">
        <v>7809</v>
      </c>
      <c r="L412" s="128"/>
      <c r="M412" s="128" t="s">
        <v>4371</v>
      </c>
      <c r="N412" s="108"/>
      <c r="O412" s="20"/>
      <c r="P412" s="20"/>
      <c r="Q412" s="20"/>
    </row>
    <row r="413" spans="1:17" ht="24.9" customHeight="1">
      <c r="A413" s="20">
        <v>362</v>
      </c>
      <c r="B413" s="20" t="s">
        <v>4345</v>
      </c>
      <c r="C413" s="20"/>
      <c r="D413" s="20" t="s">
        <v>48</v>
      </c>
      <c r="E413" s="19" t="str">
        <f>VLOOKUP(D413,'لیست پرسنل'!$B$2:$E$1020,3,FALSE)</f>
        <v>فکورصنعت</v>
      </c>
      <c r="F413" s="19" t="str">
        <f>VLOOKUP(D413,'لیست پرسنل'!$B$2:$E$1020,4,FALSE)</f>
        <v>سرپرست آی تی</v>
      </c>
      <c r="G413" s="127">
        <f>VLOOKUP(D413,'لیست پرسنل'!$B$2:$F$1020,2,FALSE)</f>
        <v>2210</v>
      </c>
      <c r="H413" s="130" t="s">
        <v>4290</v>
      </c>
      <c r="I413" s="128"/>
      <c r="J413" s="128" t="s">
        <v>3481</v>
      </c>
      <c r="K413" s="128" t="s">
        <v>7809</v>
      </c>
      <c r="L413" s="128"/>
      <c r="M413" s="128" t="s">
        <v>4371</v>
      </c>
      <c r="N413" s="108"/>
      <c r="O413" s="20"/>
      <c r="P413" s="20"/>
      <c r="Q413" s="20"/>
    </row>
    <row r="414" spans="1:17" ht="24.9" customHeight="1">
      <c r="A414" s="20">
        <v>362</v>
      </c>
      <c r="B414" s="20" t="s">
        <v>4345</v>
      </c>
      <c r="C414" s="19"/>
      <c r="D414" s="20" t="s">
        <v>48</v>
      </c>
      <c r="E414" s="19" t="str">
        <f>VLOOKUP(D414,'لیست پرسنل'!$B$2:$E$1020,3,FALSE)</f>
        <v>فکورصنعت</v>
      </c>
      <c r="F414" s="19" t="str">
        <f>VLOOKUP(D414,'لیست پرسنل'!$B$2:$E$1020,4,FALSE)</f>
        <v>سرپرست آی تی</v>
      </c>
      <c r="G414" s="127">
        <f>VLOOKUP(D414,'لیست پرسنل'!$B$2:$F$1020,2,FALSE)</f>
        <v>2210</v>
      </c>
      <c r="H414" s="126" t="s">
        <v>4290</v>
      </c>
      <c r="I414" s="128"/>
      <c r="J414" s="128" t="s">
        <v>3483</v>
      </c>
      <c r="K414" s="128" t="s">
        <v>922</v>
      </c>
      <c r="L414" s="150"/>
      <c r="M414" s="127">
        <v>612721</v>
      </c>
      <c r="N414" s="108" t="s">
        <v>7233</v>
      </c>
      <c r="O414" s="20" t="s">
        <v>7247</v>
      </c>
      <c r="P414" s="20"/>
      <c r="Q414" s="20"/>
    </row>
    <row r="415" spans="1:17" ht="24.9" customHeight="1">
      <c r="A415" s="20">
        <v>362</v>
      </c>
      <c r="B415" s="20" t="s">
        <v>4345</v>
      </c>
      <c r="C415" s="20"/>
      <c r="D415" s="20" t="s">
        <v>48</v>
      </c>
      <c r="E415" s="19" t="str">
        <f>VLOOKUP(D415,'لیست پرسنل'!$B$2:$E$1020,3,FALSE)</f>
        <v>فکورصنعت</v>
      </c>
      <c r="F415" s="19" t="str">
        <f>VLOOKUP(D415,'لیست پرسنل'!$B$2:$E$1020,4,FALSE)</f>
        <v>سرپرست آی تی</v>
      </c>
      <c r="G415" s="127">
        <f>VLOOKUP(D415,'لیست پرسنل'!$B$2:$F$1020,2,FALSE)</f>
        <v>2210</v>
      </c>
      <c r="H415" s="128" t="s">
        <v>4290</v>
      </c>
      <c r="I415" s="128"/>
      <c r="J415" s="128" t="s">
        <v>3483</v>
      </c>
      <c r="K415" s="128" t="s">
        <v>3483</v>
      </c>
      <c r="L415" s="127" t="s">
        <v>6878</v>
      </c>
      <c r="M415" s="127">
        <v>633698</v>
      </c>
      <c r="N415" s="109"/>
      <c r="O415" s="19" t="s">
        <v>6352</v>
      </c>
      <c r="P415" s="32"/>
      <c r="Q415" s="32"/>
    </row>
    <row r="416" spans="1:17" ht="24.9" customHeight="1">
      <c r="A416" s="20">
        <v>362</v>
      </c>
      <c r="B416" s="20" t="s">
        <v>4345</v>
      </c>
      <c r="C416" s="19"/>
      <c r="D416" s="20" t="s">
        <v>48</v>
      </c>
      <c r="E416" s="19" t="str">
        <f>VLOOKUP(D416,'لیست پرسنل'!$B$2:$E$1020,3,FALSE)</f>
        <v>فکورصنعت</v>
      </c>
      <c r="F416" s="19" t="str">
        <f>VLOOKUP(D416,'لیست پرسنل'!$B$2:$E$1020,4,FALSE)</f>
        <v>سرپرست آی تی</v>
      </c>
      <c r="G416" s="127">
        <f>VLOOKUP(D416,'لیست پرسنل'!$B$2:$F$1020,2,FALSE)</f>
        <v>2210</v>
      </c>
      <c r="H416" s="126" t="s">
        <v>4290</v>
      </c>
      <c r="I416" s="128"/>
      <c r="J416" s="128" t="s">
        <v>3483</v>
      </c>
      <c r="K416" s="128" t="s">
        <v>6820</v>
      </c>
      <c r="L416" s="150"/>
      <c r="M416" s="127">
        <v>634082</v>
      </c>
      <c r="N416" s="108"/>
      <c r="O416" s="20"/>
      <c r="P416" s="20"/>
      <c r="Q416" s="20"/>
    </row>
    <row r="417" spans="1:17" ht="24.9" customHeight="1">
      <c r="A417" s="20">
        <v>362</v>
      </c>
      <c r="B417" s="20" t="s">
        <v>4345</v>
      </c>
      <c r="C417" s="20"/>
      <c r="D417" s="20" t="s">
        <v>48</v>
      </c>
      <c r="E417" s="19" t="str">
        <f>VLOOKUP(D417,'لیست پرسنل'!$B$2:$E$1020,3,FALSE)</f>
        <v>فکورصنعت</v>
      </c>
      <c r="F417" s="19" t="str">
        <f>VLOOKUP(D417,'لیست پرسنل'!$B$2:$E$1020,4,FALSE)</f>
        <v>سرپرست آی تی</v>
      </c>
      <c r="G417" s="127">
        <f>VLOOKUP(D417,'لیست پرسنل'!$B$2:$F$1020,2,FALSE)</f>
        <v>2210</v>
      </c>
      <c r="H417" s="128" t="s">
        <v>4290</v>
      </c>
      <c r="I417" s="128"/>
      <c r="J417" s="128" t="s">
        <v>3483</v>
      </c>
      <c r="K417" s="128" t="s">
        <v>7578</v>
      </c>
      <c r="L417" s="127"/>
      <c r="M417" s="126">
        <v>636067</v>
      </c>
      <c r="N417" s="108"/>
      <c r="O417" s="20"/>
      <c r="P417" s="20"/>
      <c r="Q417" s="20"/>
    </row>
    <row r="418" spans="1:17" ht="24.9" customHeight="1">
      <c r="A418" s="20">
        <v>362</v>
      </c>
      <c r="B418" s="20" t="s">
        <v>4345</v>
      </c>
      <c r="C418" s="20"/>
      <c r="D418" s="20" t="s">
        <v>48</v>
      </c>
      <c r="E418" s="19" t="str">
        <f>VLOOKUP(D418,'لیست پرسنل'!$B$2:$E$1020,3,FALSE)</f>
        <v>فکورصنعت</v>
      </c>
      <c r="F418" s="19" t="str">
        <f>VLOOKUP(D418,'لیست پرسنل'!$B$2:$E$1020,4,FALSE)</f>
        <v>سرپرست آی تی</v>
      </c>
      <c r="G418" s="127">
        <f>VLOOKUP(D418,'لیست پرسنل'!$B$2:$F$1020,2,FALSE)</f>
        <v>2210</v>
      </c>
      <c r="H418" s="128" t="s">
        <v>4290</v>
      </c>
      <c r="I418" s="128"/>
      <c r="J418" s="128" t="s">
        <v>3483</v>
      </c>
      <c r="K418" s="128" t="s">
        <v>7579</v>
      </c>
      <c r="L418" s="127"/>
      <c r="M418" s="126">
        <v>636068</v>
      </c>
      <c r="N418" s="108"/>
      <c r="O418" s="20"/>
      <c r="P418" s="20"/>
      <c r="Q418" s="20"/>
    </row>
    <row r="419" spans="1:17" ht="24.9" customHeight="1">
      <c r="A419" s="20">
        <v>362</v>
      </c>
      <c r="B419" s="20" t="s">
        <v>4345</v>
      </c>
      <c r="C419" s="19"/>
      <c r="D419" s="20" t="s">
        <v>48</v>
      </c>
      <c r="E419" s="19" t="str">
        <f>VLOOKUP(D419,'لیست پرسنل'!$B$2:$E$1020,3,FALSE)</f>
        <v>فکورصنعت</v>
      </c>
      <c r="F419" s="19" t="str">
        <f>VLOOKUP(D419,'لیست پرسنل'!$B$2:$E$1020,4,FALSE)</f>
        <v>سرپرست آی تی</v>
      </c>
      <c r="G419" s="127">
        <f>VLOOKUP(D419,'لیست پرسنل'!$B$2:$F$1020,2,FALSE)</f>
        <v>2210</v>
      </c>
      <c r="H419" s="126" t="s">
        <v>4290</v>
      </c>
      <c r="I419" s="128"/>
      <c r="J419" s="128" t="s">
        <v>3285</v>
      </c>
      <c r="K419" s="127" t="s">
        <v>1358</v>
      </c>
      <c r="L419" s="127" t="s">
        <v>1402</v>
      </c>
      <c r="M419" s="127">
        <v>607395</v>
      </c>
      <c r="N419" s="108"/>
      <c r="O419" s="20" t="s">
        <v>1406</v>
      </c>
      <c r="P419" s="20"/>
      <c r="Q419" s="20"/>
    </row>
    <row r="420" spans="1:17" ht="24.9" customHeight="1">
      <c r="A420" s="20">
        <v>362</v>
      </c>
      <c r="B420" s="20" t="s">
        <v>4345</v>
      </c>
      <c r="C420" s="20"/>
      <c r="D420" s="20" t="s">
        <v>48</v>
      </c>
      <c r="E420" s="19" t="str">
        <f>VLOOKUP(D420,'لیست پرسنل'!$B$2:$E$1020,3,FALSE)</f>
        <v>فکورصنعت</v>
      </c>
      <c r="F420" s="19" t="str">
        <f>VLOOKUP(D420,'لیست پرسنل'!$B$2:$E$1020,4,FALSE)</f>
        <v>سرپرست آی تی</v>
      </c>
      <c r="G420" s="127">
        <f>VLOOKUP(D420,'لیست پرسنل'!$B$2:$F$1020,2,FALSE)</f>
        <v>2210</v>
      </c>
      <c r="H420" s="153" t="s">
        <v>4290</v>
      </c>
      <c r="I420" s="128"/>
      <c r="J420" s="128" t="s">
        <v>3285</v>
      </c>
      <c r="K420" s="128" t="s">
        <v>3179</v>
      </c>
      <c r="L420" s="127"/>
      <c r="M420" s="127">
        <v>610637</v>
      </c>
      <c r="N420" s="109"/>
      <c r="O420" s="19"/>
      <c r="P420" s="19"/>
      <c r="Q420" s="28"/>
    </row>
    <row r="421" spans="1:17" ht="24.9" customHeight="1">
      <c r="A421" s="20">
        <v>362</v>
      </c>
      <c r="B421" s="20" t="s">
        <v>4345</v>
      </c>
      <c r="C421" s="19"/>
      <c r="D421" s="20" t="s">
        <v>48</v>
      </c>
      <c r="E421" s="19" t="str">
        <f>VLOOKUP(D421,'لیست پرسنل'!$B$2:$E$1020,3,FALSE)</f>
        <v>فکورصنعت</v>
      </c>
      <c r="F421" s="19" t="str">
        <f>VLOOKUP(D421,'لیست پرسنل'!$B$2:$E$1020,4,FALSE)</f>
        <v>سرپرست آی تی</v>
      </c>
      <c r="G421" s="127">
        <f>VLOOKUP(D421,'لیست پرسنل'!$B$2:$F$1020,2,FALSE)</f>
        <v>2210</v>
      </c>
      <c r="H421" s="126" t="s">
        <v>4290</v>
      </c>
      <c r="I421" s="128"/>
      <c r="J421" s="128" t="s">
        <v>3285</v>
      </c>
      <c r="K421" s="128" t="s">
        <v>844</v>
      </c>
      <c r="L421" s="150" t="s">
        <v>845</v>
      </c>
      <c r="M421" s="128">
        <v>623334</v>
      </c>
      <c r="N421" s="108"/>
      <c r="O421" s="20"/>
      <c r="P421" s="20"/>
      <c r="Q421" s="20"/>
    </row>
    <row r="422" spans="1:17" ht="24.9" customHeight="1">
      <c r="A422" s="20">
        <v>362</v>
      </c>
      <c r="B422" s="20" t="s">
        <v>4345</v>
      </c>
      <c r="C422" s="20"/>
      <c r="D422" s="20" t="s">
        <v>48</v>
      </c>
      <c r="E422" s="19" t="str">
        <f>VLOOKUP(D422,'لیست پرسنل'!$B$2:$E$1020,3,FALSE)</f>
        <v>فکورصنعت</v>
      </c>
      <c r="F422" s="19" t="str">
        <f>VLOOKUP(D422,'لیست پرسنل'!$B$2:$E$1020,4,FALSE)</f>
        <v>سرپرست آی تی</v>
      </c>
      <c r="G422" s="127">
        <f>VLOOKUP(D422,'لیست پرسنل'!$B$2:$F$1020,2,FALSE)</f>
        <v>2210</v>
      </c>
      <c r="H422" s="130" t="s">
        <v>4290</v>
      </c>
      <c r="I422" s="128"/>
      <c r="J422" s="128" t="s">
        <v>3285</v>
      </c>
      <c r="K422" s="135" t="s">
        <v>1751</v>
      </c>
      <c r="L422" s="151" t="s">
        <v>1730</v>
      </c>
      <c r="M422" s="135">
        <v>625678</v>
      </c>
      <c r="N422" s="108"/>
      <c r="O422" s="20"/>
      <c r="P422" s="20"/>
      <c r="Q422" s="20"/>
    </row>
    <row r="423" spans="1:17" ht="24.9" customHeight="1">
      <c r="A423" s="20">
        <v>362</v>
      </c>
      <c r="B423" s="20" t="s">
        <v>4345</v>
      </c>
      <c r="C423" s="19"/>
      <c r="D423" s="20" t="s">
        <v>48</v>
      </c>
      <c r="E423" s="19" t="str">
        <f>VLOOKUP(D423,'لیست پرسنل'!$B$2:$E$1020,3,FALSE)</f>
        <v>فکورصنعت</v>
      </c>
      <c r="F423" s="19" t="str">
        <f>VLOOKUP(D423,'لیست پرسنل'!$B$2:$E$1020,4,FALSE)</f>
        <v>سرپرست آی تی</v>
      </c>
      <c r="G423" s="127">
        <f>VLOOKUP(D423,'لیست پرسنل'!$B$2:$F$1020,2,FALSE)</f>
        <v>2210</v>
      </c>
      <c r="H423" s="126" t="s">
        <v>4290</v>
      </c>
      <c r="I423" s="128"/>
      <c r="J423" s="128" t="s">
        <v>3285</v>
      </c>
      <c r="K423" s="128" t="s">
        <v>844</v>
      </c>
      <c r="L423" s="128" t="s">
        <v>7420</v>
      </c>
      <c r="M423" s="126">
        <v>626750</v>
      </c>
      <c r="N423" s="108"/>
      <c r="O423" s="20"/>
      <c r="P423" s="20"/>
      <c r="Q423" s="20"/>
    </row>
    <row r="424" spans="1:17" ht="24.9" customHeight="1">
      <c r="A424" s="20">
        <v>362</v>
      </c>
      <c r="B424" s="20" t="s">
        <v>4345</v>
      </c>
      <c r="C424" s="20"/>
      <c r="D424" s="20" t="s">
        <v>48</v>
      </c>
      <c r="E424" s="19" t="str">
        <f>VLOOKUP(D424,'لیست پرسنل'!$B$2:$E$1020,3,FALSE)</f>
        <v>فکورصنعت</v>
      </c>
      <c r="F424" s="19" t="str">
        <f>VLOOKUP(D424,'لیست پرسنل'!$B$2:$E$1020,4,FALSE)</f>
        <v>سرپرست آی تی</v>
      </c>
      <c r="G424" s="127">
        <f>VLOOKUP(D424,'لیست پرسنل'!$B$2:$F$1020,2,FALSE)</f>
        <v>2210</v>
      </c>
      <c r="H424" s="126" t="s">
        <v>4290</v>
      </c>
      <c r="I424" s="128"/>
      <c r="J424" s="128" t="s">
        <v>3285</v>
      </c>
      <c r="K424" s="128" t="s">
        <v>844</v>
      </c>
      <c r="L424" s="153" t="s">
        <v>2059</v>
      </c>
      <c r="M424" s="127">
        <v>628118</v>
      </c>
      <c r="N424" s="108"/>
      <c r="O424" s="20" t="s">
        <v>705</v>
      </c>
      <c r="P424" s="20"/>
      <c r="Q424" s="20"/>
    </row>
    <row r="425" spans="1:17" ht="24.9" customHeight="1">
      <c r="A425" s="20">
        <v>362</v>
      </c>
      <c r="B425" s="20" t="s">
        <v>4345</v>
      </c>
      <c r="C425" s="20"/>
      <c r="D425" s="20" t="s">
        <v>48</v>
      </c>
      <c r="E425" s="19" t="str">
        <f>VLOOKUP(D425,'لیست پرسنل'!$B$2:$E$1020,3,FALSE)</f>
        <v>فکورصنعت</v>
      </c>
      <c r="F425" s="19" t="str">
        <f>VLOOKUP(D425,'لیست پرسنل'!$B$2:$E$1020,4,FALSE)</f>
        <v>سرپرست آی تی</v>
      </c>
      <c r="G425" s="127">
        <f>VLOOKUP(D425,'لیست پرسنل'!$B$2:$F$1020,2,FALSE)</f>
        <v>2210</v>
      </c>
      <c r="H425" s="128" t="s">
        <v>4290</v>
      </c>
      <c r="I425" s="128"/>
      <c r="J425" s="128" t="s">
        <v>3285</v>
      </c>
      <c r="K425" s="128" t="s">
        <v>1358</v>
      </c>
      <c r="L425" s="127"/>
      <c r="M425" s="127">
        <v>633696</v>
      </c>
      <c r="N425" s="109"/>
      <c r="O425" s="19" t="s">
        <v>6350</v>
      </c>
      <c r="P425" s="32"/>
      <c r="Q425" s="32"/>
    </row>
    <row r="426" spans="1:17" ht="24.9" customHeight="1">
      <c r="A426" s="20">
        <v>362</v>
      </c>
      <c r="B426" s="20" t="s">
        <v>4345</v>
      </c>
      <c r="C426" s="20"/>
      <c r="D426" s="20" t="s">
        <v>48</v>
      </c>
      <c r="E426" s="19" t="str">
        <f>VLOOKUP(D426,'لیست پرسنل'!$B$2:$E$1020,3,FALSE)</f>
        <v>فکورصنعت</v>
      </c>
      <c r="F426" s="19" t="str">
        <f>VLOOKUP(D426,'لیست پرسنل'!$B$2:$E$1020,4,FALSE)</f>
        <v>سرپرست آی تی</v>
      </c>
      <c r="G426" s="127">
        <f>VLOOKUP(D426,'لیست پرسنل'!$B$2:$F$1020,2,FALSE)</f>
        <v>2210</v>
      </c>
      <c r="H426" s="151" t="s">
        <v>4290</v>
      </c>
      <c r="I426" s="128"/>
      <c r="J426" s="128" t="s">
        <v>3285</v>
      </c>
      <c r="K426" s="128" t="s">
        <v>1358</v>
      </c>
      <c r="L426" s="128" t="s">
        <v>5040</v>
      </c>
      <c r="M426" s="127" t="s">
        <v>291</v>
      </c>
      <c r="N426" s="108"/>
      <c r="O426" s="20"/>
      <c r="P426" s="20"/>
      <c r="Q426" s="20"/>
    </row>
    <row r="427" spans="1:17" ht="24.9" customHeight="1">
      <c r="A427" s="20">
        <v>362</v>
      </c>
      <c r="B427" s="20" t="s">
        <v>4345</v>
      </c>
      <c r="C427" s="20"/>
      <c r="D427" s="20" t="s">
        <v>48</v>
      </c>
      <c r="E427" s="19" t="str">
        <f>VLOOKUP(D427,'لیست پرسنل'!$B$2:$E$1020,3,FALSE)</f>
        <v>فکورصنعت</v>
      </c>
      <c r="F427" s="19" t="str">
        <f>VLOOKUP(D427,'لیست پرسنل'!$B$2:$E$1020,4,FALSE)</f>
        <v>سرپرست آی تی</v>
      </c>
      <c r="G427" s="127">
        <f>VLOOKUP(D427,'لیست پرسنل'!$B$2:$F$1020,2,FALSE)</f>
        <v>2210</v>
      </c>
      <c r="H427" s="126" t="s">
        <v>4290</v>
      </c>
      <c r="I427" s="128"/>
      <c r="J427" s="128" t="s">
        <v>3285</v>
      </c>
      <c r="K427" s="128" t="s">
        <v>4226</v>
      </c>
      <c r="L427" s="128" t="s">
        <v>4228</v>
      </c>
      <c r="M427" s="126" t="s">
        <v>291</v>
      </c>
      <c r="N427" s="108"/>
      <c r="O427" s="20" t="s">
        <v>4225</v>
      </c>
      <c r="P427" s="20"/>
      <c r="Q427" s="20"/>
    </row>
    <row r="428" spans="1:17" ht="24.9" customHeight="1">
      <c r="A428" s="20">
        <v>362</v>
      </c>
      <c r="B428" s="20" t="s">
        <v>4345</v>
      </c>
      <c r="C428" s="20"/>
      <c r="D428" s="20" t="s">
        <v>48</v>
      </c>
      <c r="E428" s="19" t="str">
        <f>VLOOKUP(D428,'لیست پرسنل'!$B$2:$E$1020,3,FALSE)</f>
        <v>فکورصنعت</v>
      </c>
      <c r="F428" s="19" t="str">
        <f>VLOOKUP(D428,'لیست پرسنل'!$B$2:$E$1020,4,FALSE)</f>
        <v>سرپرست آی تی</v>
      </c>
      <c r="G428" s="127">
        <f>VLOOKUP(D428,'لیست پرسنل'!$B$2:$F$1020,2,FALSE)</f>
        <v>2210</v>
      </c>
      <c r="H428" s="126" t="s">
        <v>4290</v>
      </c>
      <c r="I428" s="128"/>
      <c r="J428" s="128" t="s">
        <v>4314</v>
      </c>
      <c r="K428" s="128" t="s">
        <v>8105</v>
      </c>
      <c r="L428" s="128" t="s">
        <v>4220</v>
      </c>
      <c r="M428" s="128">
        <v>613145</v>
      </c>
      <c r="N428" s="108"/>
      <c r="O428" s="20" t="s">
        <v>4225</v>
      </c>
      <c r="P428" s="20"/>
      <c r="Q428" s="20"/>
    </row>
    <row r="429" spans="1:17" ht="24.9" customHeight="1">
      <c r="A429" s="20">
        <v>362</v>
      </c>
      <c r="B429" s="20" t="s">
        <v>4345</v>
      </c>
      <c r="C429" s="20"/>
      <c r="D429" s="20" t="s">
        <v>48</v>
      </c>
      <c r="E429" s="19" t="str">
        <f>VLOOKUP(D429,'لیست پرسنل'!$B$2:$E$1020,3,FALSE)</f>
        <v>فکورصنعت</v>
      </c>
      <c r="F429" s="19" t="str">
        <f>VLOOKUP(D429,'لیست پرسنل'!$B$2:$E$1020,4,FALSE)</f>
        <v>سرپرست آی تی</v>
      </c>
      <c r="G429" s="127">
        <f>VLOOKUP(D429,'لیست پرسنل'!$B$2:$F$1020,2,FALSE)</f>
        <v>2210</v>
      </c>
      <c r="H429" s="126" t="s">
        <v>4290</v>
      </c>
      <c r="I429" s="128"/>
      <c r="J429" s="128" t="s">
        <v>2689</v>
      </c>
      <c r="K429" s="128" t="s">
        <v>1092</v>
      </c>
      <c r="L429" s="149" t="s">
        <v>1869</v>
      </c>
      <c r="M429" s="127">
        <v>607591</v>
      </c>
      <c r="N429" s="108"/>
      <c r="O429" s="20" t="s">
        <v>678</v>
      </c>
      <c r="P429" s="20"/>
      <c r="Q429" s="20"/>
    </row>
    <row r="430" spans="1:17" ht="24.9" customHeight="1">
      <c r="A430" s="20">
        <v>362</v>
      </c>
      <c r="B430" s="20" t="s">
        <v>4345</v>
      </c>
      <c r="C430" s="20"/>
      <c r="D430" s="20" t="s">
        <v>48</v>
      </c>
      <c r="E430" s="19" t="str">
        <f>VLOOKUP(D430,'لیست پرسنل'!$B$2:$E$1020,3,FALSE)</f>
        <v>فکورصنعت</v>
      </c>
      <c r="F430" s="19" t="str">
        <f>VLOOKUP(D430,'لیست پرسنل'!$B$2:$E$1020,4,FALSE)</f>
        <v>سرپرست آی تی</v>
      </c>
      <c r="G430" s="127">
        <f>VLOOKUP(D430,'لیست پرسنل'!$B$2:$F$1020,2,FALSE)</f>
        <v>2210</v>
      </c>
      <c r="H430" s="126" t="s">
        <v>4290</v>
      </c>
      <c r="I430" s="128"/>
      <c r="J430" s="128" t="s">
        <v>2689</v>
      </c>
      <c r="K430" s="128" t="s">
        <v>1092</v>
      </c>
      <c r="L430" s="149"/>
      <c r="M430" s="127">
        <v>608094</v>
      </c>
      <c r="N430" s="108" t="s">
        <v>7312</v>
      </c>
      <c r="O430" s="20"/>
      <c r="P430" s="20"/>
      <c r="Q430" s="20"/>
    </row>
    <row r="431" spans="1:17" ht="24.9" customHeight="1">
      <c r="A431" s="20">
        <v>362</v>
      </c>
      <c r="B431" s="20" t="s">
        <v>4345</v>
      </c>
      <c r="C431" s="20"/>
      <c r="D431" s="20" t="s">
        <v>48</v>
      </c>
      <c r="E431" s="19" t="str">
        <f>VLOOKUP(D431,'لیست پرسنل'!$B$2:$E$1020,3,FALSE)</f>
        <v>فکورصنعت</v>
      </c>
      <c r="F431" s="19" t="str">
        <f>VLOOKUP(D431,'لیست پرسنل'!$B$2:$E$1020,4,FALSE)</f>
        <v>سرپرست آی تی</v>
      </c>
      <c r="G431" s="127">
        <f>VLOOKUP(D431,'لیست پرسنل'!$B$2:$F$1020,2,FALSE)</f>
        <v>2210</v>
      </c>
      <c r="H431" s="126" t="s">
        <v>4290</v>
      </c>
      <c r="I431" s="128"/>
      <c r="J431" s="128" t="s">
        <v>2689</v>
      </c>
      <c r="K431" s="128" t="s">
        <v>595</v>
      </c>
      <c r="L431" s="150" t="s">
        <v>596</v>
      </c>
      <c r="M431" s="128">
        <v>613138</v>
      </c>
      <c r="N431" s="108" t="s">
        <v>7312</v>
      </c>
      <c r="O431" s="20" t="s">
        <v>611</v>
      </c>
      <c r="P431" s="20"/>
      <c r="Q431" s="20"/>
    </row>
    <row r="432" spans="1:17" ht="24.9" customHeight="1">
      <c r="A432" s="20">
        <v>362</v>
      </c>
      <c r="B432" s="20" t="s">
        <v>4345</v>
      </c>
      <c r="C432" s="20"/>
      <c r="D432" s="20" t="s">
        <v>48</v>
      </c>
      <c r="E432" s="19" t="str">
        <f>VLOOKUP(D432,'لیست پرسنل'!$B$2:$E$1020,3,FALSE)</f>
        <v>فکورصنعت</v>
      </c>
      <c r="F432" s="19" t="str">
        <f>VLOOKUP(D432,'لیست پرسنل'!$B$2:$E$1020,4,FALSE)</f>
        <v>سرپرست آی تی</v>
      </c>
      <c r="G432" s="127">
        <f>VLOOKUP(D432,'لیست پرسنل'!$B$2:$F$1020,2,FALSE)</f>
        <v>2210</v>
      </c>
      <c r="H432" s="126" t="s">
        <v>4290</v>
      </c>
      <c r="I432" s="128"/>
      <c r="J432" s="128" t="s">
        <v>2689</v>
      </c>
      <c r="K432" s="128" t="s">
        <v>917</v>
      </c>
      <c r="L432" s="150"/>
      <c r="M432" s="128" t="s">
        <v>291</v>
      </c>
      <c r="N432" s="108"/>
      <c r="O432" s="20" t="s">
        <v>918</v>
      </c>
      <c r="P432" s="20"/>
      <c r="Q432" s="20"/>
    </row>
    <row r="433" spans="1:17" ht="24.9" customHeight="1">
      <c r="A433" s="20">
        <v>362</v>
      </c>
      <c r="B433" s="20" t="s">
        <v>4345</v>
      </c>
      <c r="C433" s="19"/>
      <c r="D433" s="20" t="s">
        <v>48</v>
      </c>
      <c r="E433" s="19" t="str">
        <f>VLOOKUP(D433,'لیست پرسنل'!$B$2:$E$1020,3,FALSE)</f>
        <v>فکورصنعت</v>
      </c>
      <c r="F433" s="19" t="str">
        <f>VLOOKUP(D433,'لیست پرسنل'!$B$2:$E$1020,4,FALSE)</f>
        <v>سرپرست آی تی</v>
      </c>
      <c r="G433" s="127">
        <f>VLOOKUP(D433,'لیست پرسنل'!$B$2:$F$1020,2,FALSE)</f>
        <v>2210</v>
      </c>
      <c r="H433" s="126" t="s">
        <v>4290</v>
      </c>
      <c r="I433" s="128"/>
      <c r="J433" s="128" t="s">
        <v>2886</v>
      </c>
      <c r="K433" s="128" t="s">
        <v>920</v>
      </c>
      <c r="L433" s="150"/>
      <c r="M433" s="126" t="s">
        <v>291</v>
      </c>
      <c r="N433" s="108"/>
      <c r="O433" s="20" t="s">
        <v>678</v>
      </c>
      <c r="P433" s="20"/>
      <c r="Q433" s="20"/>
    </row>
    <row r="434" spans="1:17" ht="24.9" customHeight="1">
      <c r="A434" s="20">
        <v>362</v>
      </c>
      <c r="B434" s="20" t="s">
        <v>4345</v>
      </c>
      <c r="C434" s="20"/>
      <c r="D434" s="20" t="s">
        <v>48</v>
      </c>
      <c r="E434" s="19" t="str">
        <f>VLOOKUP(D434,'لیست پرسنل'!$B$2:$E$1020,3,FALSE)</f>
        <v>فکورصنعت</v>
      </c>
      <c r="F434" s="19" t="str">
        <f>VLOOKUP(D434,'لیست پرسنل'!$B$2:$E$1020,4,FALSE)</f>
        <v>سرپرست آی تی</v>
      </c>
      <c r="G434" s="127">
        <f>VLOOKUP(D434,'لیست پرسنل'!$B$2:$F$1020,2,FALSE)</f>
        <v>2210</v>
      </c>
      <c r="H434" s="153" t="s">
        <v>4290</v>
      </c>
      <c r="I434" s="128"/>
      <c r="J434" s="128" t="s">
        <v>3476</v>
      </c>
      <c r="K434" s="128" t="s">
        <v>3181</v>
      </c>
      <c r="L434" s="127"/>
      <c r="M434" s="127">
        <v>612187</v>
      </c>
      <c r="N434" s="109"/>
      <c r="O434" s="19"/>
      <c r="P434" s="19"/>
      <c r="Q434" s="28"/>
    </row>
    <row r="435" spans="1:17" ht="24.9" customHeight="1">
      <c r="A435" s="20">
        <v>362</v>
      </c>
      <c r="B435" s="20" t="s">
        <v>4345</v>
      </c>
      <c r="C435" s="19"/>
      <c r="D435" s="20" t="s">
        <v>48</v>
      </c>
      <c r="E435" s="19" t="str">
        <f>VLOOKUP(D435,'لیست پرسنل'!$B$2:$E$1020,3,FALSE)</f>
        <v>فکورصنعت</v>
      </c>
      <c r="F435" s="19" t="str">
        <f>VLOOKUP(D435,'لیست پرسنل'!$B$2:$E$1020,4,FALSE)</f>
        <v>سرپرست آی تی</v>
      </c>
      <c r="G435" s="127">
        <f>VLOOKUP(D435,'لیست پرسنل'!$B$2:$F$1020,2,FALSE)</f>
        <v>2210</v>
      </c>
      <c r="H435" s="126" t="s">
        <v>4290</v>
      </c>
      <c r="I435" s="128"/>
      <c r="J435" s="128" t="s">
        <v>3476</v>
      </c>
      <c r="K435" s="127" t="s">
        <v>2057</v>
      </c>
      <c r="L435" s="150" t="s">
        <v>849</v>
      </c>
      <c r="M435" s="127">
        <v>623446</v>
      </c>
      <c r="N435" s="108"/>
      <c r="O435" s="20" t="s">
        <v>705</v>
      </c>
      <c r="P435" s="20"/>
      <c r="Q435" s="20"/>
    </row>
    <row r="436" spans="1:17" ht="24.9" customHeight="1">
      <c r="A436" s="20">
        <v>362</v>
      </c>
      <c r="B436" s="20" t="s">
        <v>4345</v>
      </c>
      <c r="C436" s="20"/>
      <c r="D436" s="20" t="s">
        <v>48</v>
      </c>
      <c r="E436" s="19" t="str">
        <f>VLOOKUP(D436,'لیست پرسنل'!$B$2:$E$1020,3,FALSE)</f>
        <v>فکورصنعت</v>
      </c>
      <c r="F436" s="19" t="str">
        <f>VLOOKUP(D436,'لیست پرسنل'!$B$2:$E$1020,4,FALSE)</f>
        <v>سرپرست آی تی</v>
      </c>
      <c r="G436" s="127">
        <f>VLOOKUP(D436,'لیست پرسنل'!$B$2:$F$1020,2,FALSE)</f>
        <v>2210</v>
      </c>
      <c r="H436" s="128" t="s">
        <v>4290</v>
      </c>
      <c r="I436" s="128"/>
      <c r="J436" s="128" t="s">
        <v>3476</v>
      </c>
      <c r="K436" s="128" t="s">
        <v>1750</v>
      </c>
      <c r="L436" s="128" t="s">
        <v>1736</v>
      </c>
      <c r="M436" s="128">
        <v>625686</v>
      </c>
      <c r="N436" s="108"/>
      <c r="O436" s="20"/>
      <c r="P436" s="20"/>
      <c r="Q436" s="20"/>
    </row>
    <row r="437" spans="1:17" ht="24.9" customHeight="1">
      <c r="A437" s="20">
        <v>362</v>
      </c>
      <c r="B437" s="20" t="s">
        <v>4345</v>
      </c>
      <c r="C437" s="20"/>
      <c r="D437" s="20" t="s">
        <v>48</v>
      </c>
      <c r="E437" s="19" t="str">
        <f>VLOOKUP(D437,'لیست پرسنل'!$B$2:$E$1020,3,FALSE)</f>
        <v>فکورصنعت</v>
      </c>
      <c r="F437" s="19" t="str">
        <f>VLOOKUP(D437,'لیست پرسنل'!$B$2:$E$1020,4,FALSE)</f>
        <v>سرپرست آی تی</v>
      </c>
      <c r="G437" s="127">
        <f>VLOOKUP(D437,'لیست پرسنل'!$B$2:$F$1020,2,FALSE)</f>
        <v>2210</v>
      </c>
      <c r="H437" s="127" t="s">
        <v>4290</v>
      </c>
      <c r="I437" s="127"/>
      <c r="J437" s="128" t="s">
        <v>3476</v>
      </c>
      <c r="K437" s="128" t="s">
        <v>4814</v>
      </c>
      <c r="L437" s="128"/>
      <c r="M437" s="128">
        <v>627194</v>
      </c>
      <c r="N437" s="108"/>
      <c r="O437" s="20"/>
      <c r="P437" s="20"/>
      <c r="Q437" s="20"/>
    </row>
    <row r="438" spans="1:17" ht="24.9" customHeight="1">
      <c r="A438" s="20">
        <v>362</v>
      </c>
      <c r="B438" s="20" t="s">
        <v>4345</v>
      </c>
      <c r="C438" s="20"/>
      <c r="D438" s="20" t="s">
        <v>48</v>
      </c>
      <c r="E438" s="19" t="str">
        <f>VLOOKUP(D438,'لیست پرسنل'!$B$2:$E$1020,3,FALSE)</f>
        <v>فکورصنعت</v>
      </c>
      <c r="F438" s="19" t="str">
        <f>VLOOKUP(D438,'لیست پرسنل'!$B$2:$E$1020,4,FALSE)</f>
        <v>سرپرست آی تی</v>
      </c>
      <c r="G438" s="127">
        <f>VLOOKUP(D438,'لیست پرسنل'!$B$2:$F$1020,2,FALSE)</f>
        <v>2210</v>
      </c>
      <c r="H438" s="151" t="s">
        <v>4290</v>
      </c>
      <c r="I438" s="128"/>
      <c r="J438" s="127" t="s">
        <v>3476</v>
      </c>
      <c r="K438" s="128" t="s">
        <v>3339</v>
      </c>
      <c r="L438" s="127" t="s">
        <v>3222</v>
      </c>
      <c r="M438" s="128">
        <v>628938</v>
      </c>
      <c r="N438" s="108"/>
      <c r="O438" s="20" t="s">
        <v>5034</v>
      </c>
      <c r="P438" s="20"/>
      <c r="Q438" s="20"/>
    </row>
    <row r="439" spans="1:17" ht="24.9" customHeight="1">
      <c r="A439" s="20">
        <v>362</v>
      </c>
      <c r="B439" s="20" t="s">
        <v>4345</v>
      </c>
      <c r="C439" s="20"/>
      <c r="D439" s="20" t="s">
        <v>48</v>
      </c>
      <c r="E439" s="19" t="str">
        <f>VLOOKUP(D439,'لیست پرسنل'!$B$2:$E$1020,3,FALSE)</f>
        <v>فکورصنعت</v>
      </c>
      <c r="F439" s="19" t="str">
        <f>VLOOKUP(D439,'لیست پرسنل'!$B$2:$E$1020,4,FALSE)</f>
        <v>سرپرست آی تی</v>
      </c>
      <c r="G439" s="127">
        <f>VLOOKUP(D439,'لیست پرسنل'!$B$2:$F$1020,2,FALSE)</f>
        <v>2210</v>
      </c>
      <c r="H439" s="126" t="s">
        <v>4290</v>
      </c>
      <c r="I439" s="127"/>
      <c r="J439" s="128" t="s">
        <v>3476</v>
      </c>
      <c r="K439" s="128" t="s">
        <v>7989</v>
      </c>
      <c r="L439" s="127" t="s">
        <v>7990</v>
      </c>
      <c r="M439" s="127">
        <v>630973</v>
      </c>
      <c r="N439" s="109"/>
      <c r="O439" s="20"/>
      <c r="P439" s="20"/>
      <c r="Q439" s="20"/>
    </row>
    <row r="440" spans="1:17" ht="24.9" customHeight="1">
      <c r="A440" s="20">
        <v>362</v>
      </c>
      <c r="B440" s="20" t="s">
        <v>4345</v>
      </c>
      <c r="C440" s="19"/>
      <c r="D440" s="20" t="s">
        <v>48</v>
      </c>
      <c r="E440" s="19" t="str">
        <f>VLOOKUP(D440,'لیست پرسنل'!$B$2:$E$1020,3,FALSE)</f>
        <v>فکورصنعت</v>
      </c>
      <c r="F440" s="19" t="str">
        <f>VLOOKUP(D440,'لیست پرسنل'!$B$2:$E$1020,4,FALSE)</f>
        <v>سرپرست آی تی</v>
      </c>
      <c r="G440" s="127">
        <f>VLOOKUP(D440,'لیست پرسنل'!$B$2:$F$1020,2,FALSE)</f>
        <v>2210</v>
      </c>
      <c r="H440" s="126" t="s">
        <v>4290</v>
      </c>
      <c r="I440" s="128"/>
      <c r="J440" s="128" t="s">
        <v>3476</v>
      </c>
      <c r="K440" s="128" t="s">
        <v>4801</v>
      </c>
      <c r="L440" s="128" t="s">
        <v>5249</v>
      </c>
      <c r="M440" s="128">
        <v>631311</v>
      </c>
      <c r="N440" s="108"/>
      <c r="O440" s="20"/>
      <c r="P440" s="20"/>
      <c r="Q440" s="20"/>
    </row>
    <row r="441" spans="1:17" ht="24.9" customHeight="1">
      <c r="A441" s="20">
        <v>362</v>
      </c>
      <c r="B441" s="20" t="s">
        <v>4345</v>
      </c>
      <c r="C441" s="20"/>
      <c r="D441" s="20" t="s">
        <v>48</v>
      </c>
      <c r="E441" s="19" t="str">
        <f>VLOOKUP(D441,'لیست پرسنل'!$B$2:$E$1020,3,FALSE)</f>
        <v>فکورصنعت</v>
      </c>
      <c r="F441" s="19" t="str">
        <f>VLOOKUP(D441,'لیست پرسنل'!$B$2:$E$1020,4,FALSE)</f>
        <v>سرپرست آی تی</v>
      </c>
      <c r="G441" s="127">
        <f>VLOOKUP(D441,'لیست پرسنل'!$B$2:$F$1020,2,FALSE)</f>
        <v>2210</v>
      </c>
      <c r="H441" s="126" t="s">
        <v>4290</v>
      </c>
      <c r="I441" s="128"/>
      <c r="J441" s="128" t="s">
        <v>3476</v>
      </c>
      <c r="K441" s="128" t="s">
        <v>6184</v>
      </c>
      <c r="L441" s="127" t="s">
        <v>6176</v>
      </c>
      <c r="M441" s="127">
        <v>633334</v>
      </c>
      <c r="N441" s="108"/>
      <c r="O441" s="20"/>
      <c r="P441" s="20"/>
      <c r="Q441" s="20"/>
    </row>
    <row r="442" spans="1:17" ht="24.9" customHeight="1">
      <c r="A442" s="20">
        <v>362</v>
      </c>
      <c r="B442" s="20" t="s">
        <v>4345</v>
      </c>
      <c r="C442" s="20"/>
      <c r="D442" s="20" t="s">
        <v>48</v>
      </c>
      <c r="E442" s="19" t="str">
        <f>VLOOKUP(D442,'لیست پرسنل'!$B$2:$E$1020,3,FALSE)</f>
        <v>فکورصنعت</v>
      </c>
      <c r="F442" s="19" t="str">
        <f>VLOOKUP(D442,'لیست پرسنل'!$B$2:$E$1020,4,FALSE)</f>
        <v>سرپرست آی تی</v>
      </c>
      <c r="G442" s="127">
        <f>VLOOKUP(D442,'لیست پرسنل'!$B$2:$F$1020,2,FALSE)</f>
        <v>2210</v>
      </c>
      <c r="H442" s="128" t="s">
        <v>4290</v>
      </c>
      <c r="I442" s="128"/>
      <c r="J442" s="128" t="s">
        <v>3476</v>
      </c>
      <c r="K442" s="128" t="s">
        <v>3353</v>
      </c>
      <c r="L442" s="127" t="s">
        <v>1360</v>
      </c>
      <c r="M442" s="127">
        <v>633687</v>
      </c>
      <c r="N442" s="109"/>
      <c r="O442" s="19" t="s">
        <v>6343</v>
      </c>
      <c r="P442" s="32"/>
      <c r="Q442" s="32"/>
    </row>
    <row r="443" spans="1:17" ht="24.9" customHeight="1">
      <c r="A443" s="20">
        <v>362</v>
      </c>
      <c r="B443" s="20" t="s">
        <v>4345</v>
      </c>
      <c r="C443" s="20"/>
      <c r="D443" s="20" t="s">
        <v>48</v>
      </c>
      <c r="E443" s="19" t="str">
        <f>VLOOKUP(D443,'لیست پرسنل'!$B$2:$E$1020,3,FALSE)</f>
        <v>فکورصنعت</v>
      </c>
      <c r="F443" s="19" t="str">
        <f>VLOOKUP(D443,'لیست پرسنل'!$B$2:$E$1020,4,FALSE)</f>
        <v>سرپرست آی تی</v>
      </c>
      <c r="G443" s="127">
        <v>2210</v>
      </c>
      <c r="H443" s="126" t="s">
        <v>8593</v>
      </c>
      <c r="I443" s="127"/>
      <c r="J443" s="128" t="s">
        <v>3476</v>
      </c>
      <c r="K443" s="128" t="s">
        <v>7992</v>
      </c>
      <c r="L443" s="127" t="s">
        <v>7988</v>
      </c>
      <c r="M443" s="127">
        <v>636317</v>
      </c>
      <c r="N443" s="109"/>
      <c r="O443" s="20"/>
      <c r="P443" s="20"/>
      <c r="Q443" s="20"/>
    </row>
    <row r="444" spans="1:17" ht="24.9" customHeight="1">
      <c r="A444" s="20">
        <v>362</v>
      </c>
      <c r="B444" s="20" t="s">
        <v>4345</v>
      </c>
      <c r="C444" s="20"/>
      <c r="D444" s="20" t="s">
        <v>48</v>
      </c>
      <c r="E444" s="19" t="str">
        <f>VLOOKUP(D444,'لیست پرسنل'!$B$2:$E$1020,3,FALSE)</f>
        <v>فکورصنعت</v>
      </c>
      <c r="F444" s="19" t="str">
        <f>VLOOKUP(D444,'لیست پرسنل'!$B$2:$E$1020,4,FALSE)</f>
        <v>سرپرست آی تی</v>
      </c>
      <c r="G444" s="127">
        <f>VLOOKUP(D444,'لیست پرسنل'!$B$2:$F$1020,2,FALSE)</f>
        <v>2210</v>
      </c>
      <c r="H444" s="127" t="s">
        <v>4290</v>
      </c>
      <c r="I444" s="127"/>
      <c r="J444" s="128" t="s">
        <v>3476</v>
      </c>
      <c r="K444" s="127" t="s">
        <v>8044</v>
      </c>
      <c r="L444" s="127" t="s">
        <v>8041</v>
      </c>
      <c r="M444" s="127">
        <v>636708</v>
      </c>
      <c r="N444" s="109"/>
      <c r="O444" s="20"/>
      <c r="P444" s="20"/>
      <c r="Q444" s="20"/>
    </row>
    <row r="445" spans="1:17" ht="24.9" customHeight="1">
      <c r="A445" s="20">
        <v>362</v>
      </c>
      <c r="B445" s="20" t="s">
        <v>4345</v>
      </c>
      <c r="C445" s="20"/>
      <c r="D445" s="20" t="s">
        <v>48</v>
      </c>
      <c r="E445" s="19" t="str">
        <f>VLOOKUP(D445,'لیست پرسنل'!$B$2:$E$1020,3,FALSE)</f>
        <v>فکورصنعت</v>
      </c>
      <c r="F445" s="19" t="str">
        <f>VLOOKUP(D445,'لیست پرسنل'!$B$2:$E$1020,4,FALSE)</f>
        <v>سرپرست آی تی</v>
      </c>
      <c r="G445" s="127">
        <f>VLOOKUP(D445,'لیست پرسنل'!$B$2:$F$1020,2,FALSE)</f>
        <v>2210</v>
      </c>
      <c r="H445" s="127" t="s">
        <v>4290</v>
      </c>
      <c r="I445" s="127"/>
      <c r="J445" s="128" t="s">
        <v>3476</v>
      </c>
      <c r="K445" s="127" t="s">
        <v>8044</v>
      </c>
      <c r="L445" s="127" t="s">
        <v>8039</v>
      </c>
      <c r="M445" s="127">
        <v>636710</v>
      </c>
      <c r="N445" s="109"/>
      <c r="O445" s="20"/>
      <c r="P445" s="20"/>
      <c r="Q445" s="20"/>
    </row>
    <row r="446" spans="1:17" ht="24.9" customHeight="1">
      <c r="A446" s="20">
        <v>362</v>
      </c>
      <c r="B446" s="20" t="s">
        <v>4345</v>
      </c>
      <c r="C446" s="20"/>
      <c r="D446" s="20" t="s">
        <v>48</v>
      </c>
      <c r="E446" s="19" t="str">
        <f>VLOOKUP(D446,'لیست پرسنل'!$B$2:$E$1020,3,FALSE)</f>
        <v>فکورصنعت</v>
      </c>
      <c r="F446" s="19" t="str">
        <f>VLOOKUP(D446,'لیست پرسنل'!$B$2:$E$1020,4,FALSE)</f>
        <v>سرپرست آی تی</v>
      </c>
      <c r="G446" s="127">
        <f>VLOOKUP(D446,'لیست پرسنل'!$B$2:$F$1020,2,FALSE)</f>
        <v>2210</v>
      </c>
      <c r="H446" s="127" t="s">
        <v>4290</v>
      </c>
      <c r="I446" s="127"/>
      <c r="J446" s="128" t="s">
        <v>3476</v>
      </c>
      <c r="K446" s="127" t="s">
        <v>8044</v>
      </c>
      <c r="L446" s="127" t="s">
        <v>8040</v>
      </c>
      <c r="M446" s="127">
        <v>636711</v>
      </c>
      <c r="N446" s="109"/>
      <c r="O446" s="20"/>
      <c r="P446" s="20"/>
      <c r="Q446" s="20"/>
    </row>
    <row r="447" spans="1:17" ht="24.9" customHeight="1">
      <c r="A447" s="20">
        <v>362</v>
      </c>
      <c r="B447" s="20" t="s">
        <v>4345</v>
      </c>
      <c r="C447" s="20"/>
      <c r="D447" s="20" t="s">
        <v>48</v>
      </c>
      <c r="E447" s="19" t="str">
        <f>VLOOKUP(D447,'لیست پرسنل'!$B$2:$E$1020,3,FALSE)</f>
        <v>فکورصنعت</v>
      </c>
      <c r="F447" s="19" t="str">
        <f>VLOOKUP(D447,'لیست پرسنل'!$B$2:$E$1020,4,FALSE)</f>
        <v>سرپرست آی تی</v>
      </c>
      <c r="G447" s="127">
        <f>VLOOKUP(D447,'لیست پرسنل'!$B$2:$F$1020,2,FALSE)</f>
        <v>2210</v>
      </c>
      <c r="H447" s="127" t="s">
        <v>4290</v>
      </c>
      <c r="I447" s="127"/>
      <c r="J447" s="128" t="s">
        <v>3476</v>
      </c>
      <c r="K447" s="127" t="s">
        <v>8044</v>
      </c>
      <c r="L447" s="127" t="s">
        <v>8042</v>
      </c>
      <c r="M447" s="127">
        <v>636712</v>
      </c>
      <c r="N447" s="109"/>
      <c r="O447" s="20"/>
      <c r="P447" s="20"/>
      <c r="Q447" s="20"/>
    </row>
    <row r="448" spans="1:17" ht="24.9" customHeight="1">
      <c r="A448" s="20">
        <v>362</v>
      </c>
      <c r="B448" s="20" t="s">
        <v>4345</v>
      </c>
      <c r="C448" s="20"/>
      <c r="D448" s="20" t="s">
        <v>48</v>
      </c>
      <c r="E448" s="19" t="str">
        <f>VLOOKUP(D448,'لیست پرسنل'!$B$2:$E$1020,3,FALSE)</f>
        <v>فکورصنعت</v>
      </c>
      <c r="F448" s="19" t="str">
        <f>VLOOKUP(D448,'لیست پرسنل'!$B$2:$E$1020,4,FALSE)</f>
        <v>سرپرست آی تی</v>
      </c>
      <c r="G448" s="127">
        <f>VLOOKUP(D448,'لیست پرسنل'!$B$2:$F$1020,2,FALSE)</f>
        <v>2210</v>
      </c>
      <c r="H448" s="126" t="s">
        <v>4290</v>
      </c>
      <c r="I448" s="128"/>
      <c r="J448" s="128" t="s">
        <v>3476</v>
      </c>
      <c r="K448" s="128" t="s">
        <v>5578</v>
      </c>
      <c r="L448" s="127" t="s">
        <v>5581</v>
      </c>
      <c r="M448" s="128" t="s">
        <v>291</v>
      </c>
      <c r="N448" s="108"/>
      <c r="O448" s="20" t="s">
        <v>705</v>
      </c>
      <c r="P448" s="20"/>
      <c r="Q448" s="20"/>
    </row>
    <row r="449" spans="1:17" ht="24.9" customHeight="1">
      <c r="A449" s="20">
        <v>362</v>
      </c>
      <c r="B449" s="20" t="s">
        <v>4345</v>
      </c>
      <c r="C449" s="20"/>
      <c r="D449" s="20" t="s">
        <v>48</v>
      </c>
      <c r="E449" s="19" t="str">
        <f>VLOOKUP(D449,'لیست پرسنل'!$B$2:$E$1020,3,FALSE)</f>
        <v>فکورصنعت</v>
      </c>
      <c r="F449" s="19" t="str">
        <f>VLOOKUP(D449,'لیست پرسنل'!$B$2:$E$1020,4,FALSE)</f>
        <v>سرپرست آی تی</v>
      </c>
      <c r="G449" s="127">
        <f>VLOOKUP(D449,'لیست پرسنل'!$B$2:$F$1020,2,FALSE)</f>
        <v>2210</v>
      </c>
      <c r="H449" s="126" t="s">
        <v>4290</v>
      </c>
      <c r="I449" s="128"/>
      <c r="J449" s="128" t="s">
        <v>3476</v>
      </c>
      <c r="K449" s="128" t="s">
        <v>5577</v>
      </c>
      <c r="L449" s="128" t="s">
        <v>5580</v>
      </c>
      <c r="M449" s="128" t="s">
        <v>291</v>
      </c>
      <c r="N449" s="108"/>
      <c r="O449" s="20" t="s">
        <v>705</v>
      </c>
      <c r="P449" s="20"/>
      <c r="Q449" s="20"/>
    </row>
    <row r="450" spans="1:17" ht="24.9" customHeight="1">
      <c r="A450" s="20">
        <v>362</v>
      </c>
      <c r="B450" s="20" t="s">
        <v>4345</v>
      </c>
      <c r="C450" s="20"/>
      <c r="D450" s="20" t="s">
        <v>48</v>
      </c>
      <c r="E450" s="19" t="str">
        <f>VLOOKUP(D450,'لیست پرسنل'!$B$2:$E$1020,3,FALSE)</f>
        <v>فکورصنعت</v>
      </c>
      <c r="F450" s="19" t="str">
        <f>VLOOKUP(D450,'لیست پرسنل'!$B$2:$E$1020,4,FALSE)</f>
        <v>سرپرست آی تی</v>
      </c>
      <c r="G450" s="127">
        <f>VLOOKUP(D450,'لیست پرسنل'!$B$2:$F$1020,2,FALSE)</f>
        <v>2210</v>
      </c>
      <c r="H450" s="151" t="s">
        <v>4290</v>
      </c>
      <c r="I450" s="128"/>
      <c r="J450" s="128" t="s">
        <v>3476</v>
      </c>
      <c r="K450" s="128" t="s">
        <v>2048</v>
      </c>
      <c r="L450" s="128" t="s">
        <v>5036</v>
      </c>
      <c r="M450" s="127" t="s">
        <v>291</v>
      </c>
      <c r="N450" s="108"/>
      <c r="O450" s="20"/>
      <c r="P450" s="20"/>
      <c r="Q450" s="20"/>
    </row>
    <row r="451" spans="1:17" ht="24.9" customHeight="1">
      <c r="A451" s="20">
        <v>362</v>
      </c>
      <c r="B451" s="20" t="s">
        <v>4345</v>
      </c>
      <c r="C451" s="20"/>
      <c r="D451" s="20" t="s">
        <v>48</v>
      </c>
      <c r="E451" s="19" t="str">
        <f>VLOOKUP(D451,'لیست پرسنل'!$B$2:$E$1020,3,FALSE)</f>
        <v>فکورصنعت</v>
      </c>
      <c r="F451" s="19" t="str">
        <f>VLOOKUP(D451,'لیست پرسنل'!$B$2:$E$1020,4,FALSE)</f>
        <v>سرپرست آی تی</v>
      </c>
      <c r="G451" s="127">
        <f>VLOOKUP(D451,'لیست پرسنل'!$B$2:$F$1020,2,FALSE)</f>
        <v>2210</v>
      </c>
      <c r="H451" s="151" t="s">
        <v>4290</v>
      </c>
      <c r="I451" s="128"/>
      <c r="J451" s="128" t="s">
        <v>3476</v>
      </c>
      <c r="K451" s="128" t="s">
        <v>5039</v>
      </c>
      <c r="L451" s="128" t="s">
        <v>5038</v>
      </c>
      <c r="M451" s="127" t="s">
        <v>291</v>
      </c>
      <c r="N451" s="108"/>
      <c r="O451" s="20"/>
      <c r="P451" s="20"/>
      <c r="Q451" s="20"/>
    </row>
    <row r="452" spans="1:17" ht="24.9" customHeight="1">
      <c r="A452" s="20">
        <v>362</v>
      </c>
      <c r="B452" s="20" t="s">
        <v>4345</v>
      </c>
      <c r="C452" s="20"/>
      <c r="D452" s="20" t="s">
        <v>48</v>
      </c>
      <c r="E452" s="19" t="str">
        <f>VLOOKUP(D452,'لیست پرسنل'!$B$2:$E$1020,3,FALSE)</f>
        <v>فکورصنعت</v>
      </c>
      <c r="F452" s="19" t="str">
        <f>VLOOKUP(D452,'لیست پرسنل'!$B$2:$E$1020,4,FALSE)</f>
        <v>سرپرست آی تی</v>
      </c>
      <c r="G452" s="127">
        <f>VLOOKUP(D452,'لیست پرسنل'!$B$2:$F$1020,2,FALSE)</f>
        <v>2210</v>
      </c>
      <c r="H452" s="151" t="s">
        <v>4290</v>
      </c>
      <c r="I452" s="128"/>
      <c r="J452" s="128" t="s">
        <v>3476</v>
      </c>
      <c r="K452" s="128" t="s">
        <v>5039</v>
      </c>
      <c r="L452" s="128" t="s">
        <v>7145</v>
      </c>
      <c r="M452" s="127" t="s">
        <v>291</v>
      </c>
      <c r="N452" s="108"/>
      <c r="O452" s="20"/>
      <c r="P452" s="20"/>
      <c r="Q452" s="20"/>
    </row>
    <row r="453" spans="1:17" ht="24.9" customHeight="1">
      <c r="A453" s="20">
        <v>362</v>
      </c>
      <c r="B453" s="20" t="s">
        <v>4345</v>
      </c>
      <c r="C453" s="19"/>
      <c r="D453" s="20" t="s">
        <v>48</v>
      </c>
      <c r="E453" s="19" t="str">
        <f>VLOOKUP(D453,'لیست پرسنل'!$B$2:$E$1020,3,FALSE)</f>
        <v>فکورصنعت</v>
      </c>
      <c r="F453" s="19" t="str">
        <f>VLOOKUP(D453,'لیست پرسنل'!$B$2:$E$1020,4,FALSE)</f>
        <v>سرپرست آی تی</v>
      </c>
      <c r="G453" s="127">
        <f>VLOOKUP(D453,'لیست پرسنل'!$B$2:$F$1020,2,FALSE)</f>
        <v>2210</v>
      </c>
      <c r="H453" s="126" t="s">
        <v>4290</v>
      </c>
      <c r="I453" s="128"/>
      <c r="J453" s="128" t="s">
        <v>3476</v>
      </c>
      <c r="K453" s="128" t="s">
        <v>2770</v>
      </c>
      <c r="L453" s="128" t="s">
        <v>2768</v>
      </c>
      <c r="M453" s="126" t="s">
        <v>291</v>
      </c>
      <c r="N453" s="108"/>
      <c r="O453" s="20"/>
      <c r="P453" s="20"/>
      <c r="Q453" s="20"/>
    </row>
    <row r="454" spans="1:17" ht="24.9" customHeight="1">
      <c r="A454" s="20">
        <v>362</v>
      </c>
      <c r="B454" s="20" t="s">
        <v>4345</v>
      </c>
      <c r="C454" s="19"/>
      <c r="D454" s="20" t="s">
        <v>48</v>
      </c>
      <c r="E454" s="19" t="str">
        <f>VLOOKUP(D454,'لیست پرسنل'!$B$2:$E$1020,3,FALSE)</f>
        <v>فکورصنعت</v>
      </c>
      <c r="F454" s="19" t="str">
        <f>VLOOKUP(D454,'لیست پرسنل'!$B$2:$E$1020,4,FALSE)</f>
        <v>سرپرست آی تی</v>
      </c>
      <c r="G454" s="127">
        <f>VLOOKUP(D454,'لیست پرسنل'!$B$2:$F$1020,2,FALSE)</f>
        <v>2210</v>
      </c>
      <c r="H454" s="126" t="s">
        <v>4290</v>
      </c>
      <c r="I454" s="128"/>
      <c r="J454" s="128" t="s">
        <v>3476</v>
      </c>
      <c r="K454" s="128" t="s">
        <v>2770</v>
      </c>
      <c r="L454" s="128" t="s">
        <v>2769</v>
      </c>
      <c r="M454" s="126" t="s">
        <v>291</v>
      </c>
      <c r="N454" s="108"/>
      <c r="O454" s="20"/>
      <c r="P454" s="20"/>
      <c r="Q454" s="20"/>
    </row>
    <row r="455" spans="1:17" ht="24.9" customHeight="1">
      <c r="A455" s="20">
        <v>362</v>
      </c>
      <c r="B455" s="20" t="s">
        <v>4345</v>
      </c>
      <c r="C455" s="19"/>
      <c r="D455" s="20" t="s">
        <v>48</v>
      </c>
      <c r="E455" s="19" t="str">
        <f>VLOOKUP(D455,'لیست پرسنل'!$B$2:$E$1020,3,FALSE)</f>
        <v>فکورصنعت</v>
      </c>
      <c r="F455" s="19" t="str">
        <f>VLOOKUP(D455,'لیست پرسنل'!$B$2:$E$1020,4,FALSE)</f>
        <v>سرپرست آی تی</v>
      </c>
      <c r="G455" s="127">
        <f>VLOOKUP(D455,'لیست پرسنل'!$B$2:$F$1020,2,FALSE)</f>
        <v>2210</v>
      </c>
      <c r="H455" s="126" t="s">
        <v>4290</v>
      </c>
      <c r="I455" s="128"/>
      <c r="J455" s="128" t="s">
        <v>3476</v>
      </c>
      <c r="K455" s="128" t="s">
        <v>1091</v>
      </c>
      <c r="L455" s="151" t="s">
        <v>1868</v>
      </c>
      <c r="M455" s="126" t="s">
        <v>291</v>
      </c>
      <c r="N455" s="108"/>
      <c r="O455" s="20" t="s">
        <v>678</v>
      </c>
      <c r="P455" s="20"/>
      <c r="Q455" s="20"/>
    </row>
    <row r="456" spans="1:17" ht="24.9" customHeight="1">
      <c r="A456" s="20">
        <v>362</v>
      </c>
      <c r="B456" s="20" t="s">
        <v>4345</v>
      </c>
      <c r="C456" s="19"/>
      <c r="D456" s="20" t="s">
        <v>48</v>
      </c>
      <c r="E456" s="19" t="str">
        <f>VLOOKUP(D456,'لیست پرسنل'!$B$2:$E$1020,3,FALSE)</f>
        <v>فکورصنعت</v>
      </c>
      <c r="F456" s="19" t="str">
        <f>VLOOKUP(D456,'لیست پرسنل'!$B$2:$E$1020,4,FALSE)</f>
        <v>سرپرست آی تی</v>
      </c>
      <c r="G456" s="127">
        <f>VLOOKUP(D456,'لیست پرسنل'!$B$2:$F$1020,2,FALSE)</f>
        <v>2210</v>
      </c>
      <c r="H456" s="126" t="s">
        <v>4290</v>
      </c>
      <c r="I456" s="128"/>
      <c r="J456" s="128" t="s">
        <v>3476</v>
      </c>
      <c r="K456" s="126" t="s">
        <v>994</v>
      </c>
      <c r="L456" s="127" t="s">
        <v>7094</v>
      </c>
      <c r="M456" s="126" t="s">
        <v>291</v>
      </c>
      <c r="N456" s="108"/>
      <c r="O456" s="20"/>
      <c r="P456" s="20"/>
      <c r="Q456" s="20"/>
    </row>
    <row r="457" spans="1:17" ht="24.9" customHeight="1">
      <c r="A457" s="20">
        <v>362</v>
      </c>
      <c r="B457" s="20" t="s">
        <v>4345</v>
      </c>
      <c r="C457" s="19"/>
      <c r="D457" s="20" t="s">
        <v>48</v>
      </c>
      <c r="E457" s="19" t="str">
        <f>VLOOKUP(D457,'لیست پرسنل'!$B$2:$E$1020,3,FALSE)</f>
        <v>فکورصنعت</v>
      </c>
      <c r="F457" s="19" t="str">
        <f>VLOOKUP(D457,'لیست پرسنل'!$B$2:$E$1020,4,FALSE)</f>
        <v>سرپرست آی تی</v>
      </c>
      <c r="G457" s="127">
        <f>VLOOKUP(D457,'لیست پرسنل'!$B$2:$F$1020,2,FALSE)</f>
        <v>2210</v>
      </c>
      <c r="H457" s="126" t="s">
        <v>4290</v>
      </c>
      <c r="I457" s="128"/>
      <c r="J457" s="128" t="s">
        <v>3476</v>
      </c>
      <c r="K457" s="128" t="s">
        <v>842</v>
      </c>
      <c r="L457" s="150" t="s">
        <v>843</v>
      </c>
      <c r="M457" s="128" t="s">
        <v>291</v>
      </c>
      <c r="N457" s="108"/>
      <c r="O457" s="20"/>
      <c r="P457" s="20"/>
      <c r="Q457" s="20"/>
    </row>
    <row r="458" spans="1:17" ht="24.9" customHeight="1">
      <c r="A458" s="20">
        <v>362</v>
      </c>
      <c r="B458" s="20" t="s">
        <v>4345</v>
      </c>
      <c r="C458" s="19"/>
      <c r="D458" s="20" t="s">
        <v>48</v>
      </c>
      <c r="E458" s="19" t="str">
        <f>VLOOKUP(D458,'لیست پرسنل'!$B$2:$E$1020,3,FALSE)</f>
        <v>فکورصنعت</v>
      </c>
      <c r="F458" s="19" t="str">
        <f>VLOOKUP(D458,'لیست پرسنل'!$B$2:$E$1020,4,FALSE)</f>
        <v>سرپرست آی تی</v>
      </c>
      <c r="G458" s="127">
        <f>VLOOKUP(D458,'لیست پرسنل'!$B$2:$F$1020,2,FALSE)</f>
        <v>2210</v>
      </c>
      <c r="H458" s="126" t="s">
        <v>4290</v>
      </c>
      <c r="I458" s="128"/>
      <c r="J458" s="128" t="s">
        <v>3476</v>
      </c>
      <c r="K458" s="126" t="s">
        <v>994</v>
      </c>
      <c r="L458" s="127" t="s">
        <v>2766</v>
      </c>
      <c r="M458" s="126" t="s">
        <v>291</v>
      </c>
      <c r="N458" s="108" t="s">
        <v>6053</v>
      </c>
      <c r="O458" s="20" t="s">
        <v>6053</v>
      </c>
      <c r="P458" s="20"/>
      <c r="Q458" s="20"/>
    </row>
    <row r="459" spans="1:17" ht="24.9" customHeight="1">
      <c r="A459" s="20">
        <v>362</v>
      </c>
      <c r="B459" s="20" t="s">
        <v>4345</v>
      </c>
      <c r="C459" s="19"/>
      <c r="D459" s="20" t="s">
        <v>48</v>
      </c>
      <c r="E459" s="19" t="str">
        <f>VLOOKUP(D459,'لیست پرسنل'!$B$2:$E$1020,3,FALSE)</f>
        <v>فکورصنعت</v>
      </c>
      <c r="F459" s="19" t="str">
        <f>VLOOKUP(D459,'لیست پرسنل'!$B$2:$E$1020,4,FALSE)</f>
        <v>سرپرست آی تی</v>
      </c>
      <c r="G459" s="127">
        <f>VLOOKUP(D459,'لیست پرسنل'!$B$2:$F$1020,2,FALSE)</f>
        <v>2210</v>
      </c>
      <c r="H459" s="126" t="s">
        <v>4290</v>
      </c>
      <c r="I459" s="128"/>
      <c r="J459" s="128" t="s">
        <v>3476</v>
      </c>
      <c r="K459" s="126" t="s">
        <v>994</v>
      </c>
      <c r="L459" s="127" t="s">
        <v>2767</v>
      </c>
      <c r="M459" s="126" t="s">
        <v>291</v>
      </c>
      <c r="N459" s="108"/>
      <c r="O459" s="20"/>
      <c r="P459" s="20"/>
      <c r="Q459" s="20"/>
    </row>
    <row r="460" spans="1:17" ht="24.9" customHeight="1">
      <c r="A460" s="20">
        <v>362</v>
      </c>
      <c r="B460" s="20" t="s">
        <v>4345</v>
      </c>
      <c r="C460" s="19"/>
      <c r="D460" s="20" t="s">
        <v>48</v>
      </c>
      <c r="E460" s="19" t="str">
        <f>VLOOKUP(D460,'لیست پرسنل'!$B$2:$E$1020,3,FALSE)</f>
        <v>فکورصنعت</v>
      </c>
      <c r="F460" s="19" t="str">
        <f>VLOOKUP(D460,'لیست پرسنل'!$B$2:$E$1020,4,FALSE)</f>
        <v>سرپرست آی تی</v>
      </c>
      <c r="G460" s="127">
        <f>VLOOKUP(D460,'لیست پرسنل'!$B$2:$F$1020,2,FALSE)</f>
        <v>2210</v>
      </c>
      <c r="H460" s="126" t="s">
        <v>4290</v>
      </c>
      <c r="I460" s="128"/>
      <c r="J460" s="128" t="s">
        <v>3476</v>
      </c>
      <c r="K460" s="126" t="s">
        <v>994</v>
      </c>
      <c r="L460" s="127" t="s">
        <v>2765</v>
      </c>
      <c r="M460" s="126" t="s">
        <v>291</v>
      </c>
      <c r="N460" s="108" t="s">
        <v>6053</v>
      </c>
      <c r="O460" s="20" t="s">
        <v>6053</v>
      </c>
      <c r="P460" s="20"/>
      <c r="Q460" s="20"/>
    </row>
    <row r="461" spans="1:17" ht="24.9" customHeight="1">
      <c r="A461" s="20">
        <v>362</v>
      </c>
      <c r="B461" s="20" t="s">
        <v>4345</v>
      </c>
      <c r="C461" s="20"/>
      <c r="D461" s="20" t="s">
        <v>48</v>
      </c>
      <c r="E461" s="19" t="str">
        <f>VLOOKUP(D461,'لیست پرسنل'!$B$2:$E$1020,3,FALSE)</f>
        <v>فکورصنعت</v>
      </c>
      <c r="F461" s="19" t="str">
        <f>VLOOKUP(D461,'لیست پرسنل'!$B$2:$E$1020,4,FALSE)</f>
        <v>سرپرست آی تی</v>
      </c>
      <c r="G461" s="127">
        <f>VLOOKUP(D461,'لیست پرسنل'!$B$2:$F$1020,2,FALSE)</f>
        <v>2210</v>
      </c>
      <c r="H461" s="165" t="s">
        <v>4290</v>
      </c>
      <c r="I461" s="128"/>
      <c r="J461" s="128" t="s">
        <v>3476</v>
      </c>
      <c r="K461" s="128" t="s">
        <v>2048</v>
      </c>
      <c r="L461" s="128" t="s">
        <v>7090</v>
      </c>
      <c r="M461" s="126" t="s">
        <v>291</v>
      </c>
      <c r="N461" s="108"/>
      <c r="O461" s="20"/>
      <c r="P461" s="20"/>
      <c r="Q461" s="20"/>
    </row>
    <row r="462" spans="1:17" ht="24.9" customHeight="1">
      <c r="A462" s="20">
        <v>362</v>
      </c>
      <c r="B462" s="20" t="s">
        <v>4345</v>
      </c>
      <c r="C462" s="19"/>
      <c r="D462" s="19" t="s">
        <v>48</v>
      </c>
      <c r="E462" s="19" t="str">
        <f>VLOOKUP(D462,'لیست پرسنل'!$B$2:$E$1020,3,FALSE)</f>
        <v>فکورصنعت</v>
      </c>
      <c r="F462" s="19" t="str">
        <f>VLOOKUP(D462,'لیست پرسنل'!$B$2:$E$1020,4,FALSE)</f>
        <v>سرپرست آی تی</v>
      </c>
      <c r="G462" s="127">
        <f>VLOOKUP(D462,'لیست پرسنل'!$B$2:$F$1020,2,FALSE)</f>
        <v>2210</v>
      </c>
      <c r="H462" s="151" t="s">
        <v>4290</v>
      </c>
      <c r="I462" s="127"/>
      <c r="J462" s="127" t="s">
        <v>3476</v>
      </c>
      <c r="K462" s="127" t="s">
        <v>5083</v>
      </c>
      <c r="L462" s="151" t="s">
        <v>5082</v>
      </c>
      <c r="M462" s="126" t="s">
        <v>291</v>
      </c>
      <c r="N462" s="109"/>
      <c r="O462" s="39" t="s">
        <v>5084</v>
      </c>
      <c r="P462" s="20"/>
      <c r="Q462" s="20"/>
    </row>
    <row r="463" spans="1:17" ht="24.9" customHeight="1">
      <c r="A463" s="20">
        <v>362</v>
      </c>
      <c r="B463" s="20" t="s">
        <v>4345</v>
      </c>
      <c r="C463" s="19"/>
      <c r="D463" s="19" t="s">
        <v>48</v>
      </c>
      <c r="E463" s="19" t="str">
        <f>VLOOKUP(D463,'لیست پرسنل'!$B$2:$E$1020,3,FALSE)</f>
        <v>فکورصنعت</v>
      </c>
      <c r="F463" s="19" t="str">
        <f>VLOOKUP(D463,'لیست پرسنل'!$B$2:$E$1020,4,FALSE)</f>
        <v>سرپرست آی تی</v>
      </c>
      <c r="G463" s="127">
        <f>VLOOKUP(D463,'لیست پرسنل'!$B$2:$F$1020,2,FALSE)</f>
        <v>2210</v>
      </c>
      <c r="H463" s="151" t="s">
        <v>4290</v>
      </c>
      <c r="I463" s="127"/>
      <c r="J463" s="128" t="s">
        <v>3476</v>
      </c>
      <c r="K463" s="128" t="s">
        <v>994</v>
      </c>
      <c r="L463" s="127" t="s">
        <v>4973</v>
      </c>
      <c r="M463" s="126" t="s">
        <v>291</v>
      </c>
      <c r="N463" s="108"/>
      <c r="O463" s="20"/>
      <c r="P463" s="20"/>
      <c r="Q463" s="20"/>
    </row>
    <row r="464" spans="1:17" ht="24.9" customHeight="1">
      <c r="A464" s="20">
        <v>362</v>
      </c>
      <c r="B464" s="20" t="s">
        <v>4345</v>
      </c>
      <c r="C464" s="19"/>
      <c r="D464" s="19" t="s">
        <v>48</v>
      </c>
      <c r="E464" s="19" t="str">
        <f>VLOOKUP(D464,'لیست پرسنل'!$B$2:$E$1020,3,FALSE)</f>
        <v>فکورصنعت</v>
      </c>
      <c r="F464" s="19" t="str">
        <f>VLOOKUP(D464,'لیست پرسنل'!$B$2:$E$1020,4,FALSE)</f>
        <v>سرپرست آی تی</v>
      </c>
      <c r="G464" s="127">
        <f>VLOOKUP(D464,'لیست پرسنل'!$B$2:$F$1020,2,FALSE)</f>
        <v>2210</v>
      </c>
      <c r="H464" s="151" t="s">
        <v>4290</v>
      </c>
      <c r="I464" s="127"/>
      <c r="J464" s="128" t="s">
        <v>3476</v>
      </c>
      <c r="K464" s="128" t="s">
        <v>994</v>
      </c>
      <c r="L464" s="127" t="s">
        <v>7359</v>
      </c>
      <c r="M464" s="126" t="s">
        <v>291</v>
      </c>
      <c r="N464" s="108"/>
      <c r="O464" s="20"/>
      <c r="P464" s="20"/>
      <c r="Q464" s="20"/>
    </row>
    <row r="465" spans="1:17" ht="24.9" customHeight="1">
      <c r="A465" s="20">
        <v>362</v>
      </c>
      <c r="B465" s="20" t="s">
        <v>4345</v>
      </c>
      <c r="C465" s="20"/>
      <c r="D465" s="20" t="s">
        <v>48</v>
      </c>
      <c r="E465" s="19" t="str">
        <f>VLOOKUP(D465,'لیست پرسنل'!$B$2:$E$1020,3,FALSE)</f>
        <v>فکورصنعت</v>
      </c>
      <c r="F465" s="19" t="str">
        <f>VLOOKUP(D465,'لیست پرسنل'!$B$2:$E$1020,4,FALSE)</f>
        <v>سرپرست آی تی</v>
      </c>
      <c r="G465" s="127">
        <f>VLOOKUP(D465,'لیست پرسنل'!$B$2:$F$1020,2,FALSE)</f>
        <v>2210</v>
      </c>
      <c r="H465" s="126" t="s">
        <v>4290</v>
      </c>
      <c r="I465" s="128"/>
      <c r="J465" s="128" t="s">
        <v>3476</v>
      </c>
      <c r="K465" s="128" t="s">
        <v>2048</v>
      </c>
      <c r="L465" s="127" t="s">
        <v>7418</v>
      </c>
      <c r="M465" s="126" t="s">
        <v>291</v>
      </c>
      <c r="N465" s="108"/>
      <c r="O465" s="20"/>
      <c r="P465" s="20"/>
      <c r="Q465" s="20"/>
    </row>
    <row r="466" spans="1:17" ht="24.9" customHeight="1">
      <c r="A466" s="20">
        <v>362</v>
      </c>
      <c r="B466" s="20" t="s">
        <v>4345</v>
      </c>
      <c r="C466" s="20"/>
      <c r="D466" s="20" t="s">
        <v>48</v>
      </c>
      <c r="E466" s="19" t="str">
        <f>VLOOKUP(D466,'لیست پرسنل'!$B$2:$E$1020,3,FALSE)</f>
        <v>فکورصنعت</v>
      </c>
      <c r="F466" s="19" t="str">
        <f>VLOOKUP(D466,'لیست پرسنل'!$B$2:$E$1020,4,FALSE)</f>
        <v>سرپرست آی تی</v>
      </c>
      <c r="G466" s="127">
        <f>VLOOKUP(D466,'لیست پرسنل'!$B$2:$F$1020,2,FALSE)</f>
        <v>2210</v>
      </c>
      <c r="H466" s="128" t="s">
        <v>4290</v>
      </c>
      <c r="I466" s="128"/>
      <c r="J466" s="128" t="s">
        <v>3476</v>
      </c>
      <c r="K466" s="128" t="s">
        <v>7475</v>
      </c>
      <c r="L466" s="127" t="s">
        <v>7476</v>
      </c>
      <c r="M466" s="126" t="s">
        <v>291</v>
      </c>
      <c r="N466" s="108" t="s">
        <v>7477</v>
      </c>
      <c r="O466" s="20" t="s">
        <v>3716</v>
      </c>
      <c r="P466" s="20"/>
      <c r="Q466" s="20"/>
    </row>
    <row r="467" spans="1:17" ht="24.9" customHeight="1">
      <c r="A467" s="20">
        <v>362</v>
      </c>
      <c r="B467" s="20" t="s">
        <v>4345</v>
      </c>
      <c r="C467" s="20"/>
      <c r="D467" s="20" t="s">
        <v>48</v>
      </c>
      <c r="E467" s="19" t="str">
        <f>VLOOKUP(D467,'لیست پرسنل'!$B$2:$E$1020,3,FALSE)</f>
        <v>فکورصنعت</v>
      </c>
      <c r="F467" s="19" t="str">
        <f>VLOOKUP(D467,'لیست پرسنل'!$B$2:$E$1020,4,FALSE)</f>
        <v>سرپرست آی تی</v>
      </c>
      <c r="G467" s="127">
        <f>VLOOKUP(D467,'لیست پرسنل'!$B$2:$F$1020,2,FALSE)</f>
        <v>2210</v>
      </c>
      <c r="H467" s="127" t="s">
        <v>4290</v>
      </c>
      <c r="I467" s="127"/>
      <c r="J467" s="128" t="s">
        <v>3476</v>
      </c>
      <c r="K467" s="127" t="s">
        <v>8327</v>
      </c>
      <c r="L467" s="127" t="s">
        <v>8328</v>
      </c>
      <c r="M467" s="127" t="s">
        <v>291</v>
      </c>
      <c r="N467" s="109"/>
      <c r="O467" s="20"/>
      <c r="P467" s="20"/>
      <c r="Q467" s="20"/>
    </row>
    <row r="468" spans="1:17" ht="24.9" customHeight="1">
      <c r="A468" s="20">
        <v>362</v>
      </c>
      <c r="B468" s="20" t="s">
        <v>4345</v>
      </c>
      <c r="C468" s="20"/>
      <c r="D468" s="20" t="s">
        <v>48</v>
      </c>
      <c r="E468" s="19" t="str">
        <f>VLOOKUP(D468,'لیست پرسنل'!$B$2:$E$1020,3,FALSE)</f>
        <v>فکورصنعت</v>
      </c>
      <c r="F468" s="19" t="str">
        <f>VLOOKUP(D468,'لیست پرسنل'!$B$2:$E$1020,4,FALSE)</f>
        <v>سرپرست آی تی</v>
      </c>
      <c r="G468" s="127">
        <f>VLOOKUP(D468,'لیست پرسنل'!$B$2:$F$1020,2,FALSE)</f>
        <v>2210</v>
      </c>
      <c r="H468" s="127" t="s">
        <v>4290</v>
      </c>
      <c r="I468" s="127"/>
      <c r="J468" s="128" t="s">
        <v>3476</v>
      </c>
      <c r="K468" s="127" t="s">
        <v>8327</v>
      </c>
      <c r="L468" s="127" t="s">
        <v>8329</v>
      </c>
      <c r="M468" s="127" t="s">
        <v>291</v>
      </c>
      <c r="N468" s="109"/>
      <c r="O468" s="20"/>
      <c r="P468" s="20"/>
      <c r="Q468" s="20"/>
    </row>
    <row r="469" spans="1:17" ht="24.9" customHeight="1">
      <c r="A469" s="20">
        <v>362</v>
      </c>
      <c r="B469" s="20" t="s">
        <v>4345</v>
      </c>
      <c r="C469" s="20"/>
      <c r="D469" s="20" t="s">
        <v>48</v>
      </c>
      <c r="E469" s="19" t="str">
        <f>VLOOKUP(D469,'لیست پرسنل'!$B$2:$E$1020,3,FALSE)</f>
        <v>فکورصنعت</v>
      </c>
      <c r="F469" s="19" t="str">
        <f>VLOOKUP(D469,'لیست پرسنل'!$B$2:$E$1020,4,FALSE)</f>
        <v>سرپرست آی تی</v>
      </c>
      <c r="G469" s="127">
        <f>VLOOKUP(D469,'لیست پرسنل'!$B$2:$F$1020,2,FALSE)</f>
        <v>2210</v>
      </c>
      <c r="H469" s="127" t="s">
        <v>4290</v>
      </c>
      <c r="I469" s="127"/>
      <c r="J469" s="128" t="s">
        <v>3476</v>
      </c>
      <c r="K469" s="127" t="s">
        <v>8327</v>
      </c>
      <c r="L469" s="127" t="s">
        <v>8330</v>
      </c>
      <c r="M469" s="127" t="s">
        <v>291</v>
      </c>
      <c r="N469" s="109"/>
      <c r="O469" s="20"/>
      <c r="P469" s="20"/>
      <c r="Q469" s="20"/>
    </row>
    <row r="470" spans="1:17" ht="24.9" customHeight="1">
      <c r="A470" s="20">
        <v>362</v>
      </c>
      <c r="B470" s="20" t="s">
        <v>4345</v>
      </c>
      <c r="C470" s="20"/>
      <c r="D470" s="20" t="s">
        <v>48</v>
      </c>
      <c r="E470" s="19" t="str">
        <f>VLOOKUP(D470,'لیست پرسنل'!$B$2:$E$1020,3,FALSE)</f>
        <v>فکورصنعت</v>
      </c>
      <c r="F470" s="19" t="str">
        <f>VLOOKUP(D470,'لیست پرسنل'!$B$2:$E$1020,4,FALSE)</f>
        <v>سرپرست آی تی</v>
      </c>
      <c r="G470" s="127">
        <f>VLOOKUP(D470,'لیست پرسنل'!$B$2:$F$1020,2,FALSE)</f>
        <v>2210</v>
      </c>
      <c r="H470" s="127" t="s">
        <v>4290</v>
      </c>
      <c r="I470" s="127"/>
      <c r="J470" s="128" t="s">
        <v>3476</v>
      </c>
      <c r="K470" s="127" t="s">
        <v>8333</v>
      </c>
      <c r="L470" s="127" t="s">
        <v>8331</v>
      </c>
      <c r="M470" s="127" t="s">
        <v>291</v>
      </c>
      <c r="N470" s="109"/>
      <c r="O470" s="20"/>
      <c r="P470" s="20"/>
      <c r="Q470" s="20"/>
    </row>
    <row r="471" spans="1:17" ht="24.9" customHeight="1">
      <c r="A471" s="20">
        <v>362</v>
      </c>
      <c r="B471" s="20" t="s">
        <v>4345</v>
      </c>
      <c r="C471" s="20"/>
      <c r="D471" s="20" t="s">
        <v>48</v>
      </c>
      <c r="E471" s="19" t="str">
        <f>VLOOKUP(D471,'لیست پرسنل'!$B$2:$E$1020,3,FALSE)</f>
        <v>فکورصنعت</v>
      </c>
      <c r="F471" s="19" t="str">
        <f>VLOOKUP(D471,'لیست پرسنل'!$B$2:$E$1020,4,FALSE)</f>
        <v>سرپرست آی تی</v>
      </c>
      <c r="G471" s="127">
        <f>VLOOKUP(D471,'لیست پرسنل'!$B$2:$F$1020,2,FALSE)</f>
        <v>2210</v>
      </c>
      <c r="H471" s="127" t="s">
        <v>4290</v>
      </c>
      <c r="I471" s="127"/>
      <c r="J471" s="128" t="s">
        <v>3476</v>
      </c>
      <c r="K471" s="127" t="s">
        <v>8333</v>
      </c>
      <c r="L471" s="127" t="s">
        <v>8332</v>
      </c>
      <c r="M471" s="127" t="s">
        <v>291</v>
      </c>
      <c r="N471" s="109"/>
      <c r="O471" s="20"/>
      <c r="P471" s="20"/>
      <c r="Q471" s="20"/>
    </row>
    <row r="472" spans="1:17" ht="24.9" customHeight="1">
      <c r="A472" s="20">
        <v>362</v>
      </c>
      <c r="B472" s="20" t="s">
        <v>4345</v>
      </c>
      <c r="C472" s="20"/>
      <c r="D472" s="20" t="s">
        <v>48</v>
      </c>
      <c r="E472" s="19" t="str">
        <f>VLOOKUP(D472,'لیست پرسنل'!$B$2:$E$1020,3,FALSE)</f>
        <v>فکورصنعت</v>
      </c>
      <c r="F472" s="19" t="str">
        <f>VLOOKUP(D472,'لیست پرسنل'!$B$2:$E$1020,4,FALSE)</f>
        <v>سرپرست آی تی</v>
      </c>
      <c r="G472" s="127">
        <f>VLOOKUP(D472,'لیست پرسنل'!$B$2:$F$1020,2,FALSE)</f>
        <v>2210</v>
      </c>
      <c r="H472" s="127" t="s">
        <v>4290</v>
      </c>
      <c r="I472" s="127"/>
      <c r="J472" s="128" t="s">
        <v>3476</v>
      </c>
      <c r="K472" s="127" t="s">
        <v>8335</v>
      </c>
      <c r="L472" s="127" t="s">
        <v>8336</v>
      </c>
      <c r="M472" s="127" t="s">
        <v>291</v>
      </c>
      <c r="N472" s="109"/>
      <c r="O472" s="20"/>
      <c r="P472" s="20"/>
      <c r="Q472" s="20"/>
    </row>
    <row r="473" spans="1:17" ht="24.9" customHeight="1">
      <c r="A473" s="20">
        <v>362</v>
      </c>
      <c r="B473" s="20" t="s">
        <v>4345</v>
      </c>
      <c r="C473" s="20"/>
      <c r="D473" s="20" t="s">
        <v>48</v>
      </c>
      <c r="E473" s="19" t="str">
        <f>VLOOKUP(D473,'لیست پرسنل'!$B$2:$E$1020,3,FALSE)</f>
        <v>فکورصنعت</v>
      </c>
      <c r="F473" s="19" t="str">
        <f>VLOOKUP(D473,'لیست پرسنل'!$B$2:$E$1020,4,FALSE)</f>
        <v>سرپرست آی تی</v>
      </c>
      <c r="G473" s="127">
        <f>VLOOKUP(D473,'لیست پرسنل'!$B$2:$F$1020,2,FALSE)</f>
        <v>2210</v>
      </c>
      <c r="H473" s="126" t="s">
        <v>4290</v>
      </c>
      <c r="I473" s="128"/>
      <c r="J473" s="128" t="s">
        <v>924</v>
      </c>
      <c r="K473" s="128" t="s">
        <v>924</v>
      </c>
      <c r="L473" s="127"/>
      <c r="M473" s="126">
        <v>605481</v>
      </c>
      <c r="N473" s="108"/>
      <c r="O473" s="20" t="s">
        <v>678</v>
      </c>
      <c r="P473" s="20"/>
      <c r="Q473" s="20"/>
    </row>
    <row r="474" spans="1:17" ht="24.9" customHeight="1">
      <c r="A474" s="20">
        <v>362</v>
      </c>
      <c r="B474" s="20" t="s">
        <v>4345</v>
      </c>
      <c r="C474" s="20"/>
      <c r="D474" s="20" t="s">
        <v>48</v>
      </c>
      <c r="E474" s="19" t="str">
        <f>VLOOKUP(D474,'لیست پرسنل'!$B$2:$E$1020,3,FALSE)</f>
        <v>فکورصنعت</v>
      </c>
      <c r="F474" s="19" t="str">
        <f>VLOOKUP(D474,'لیست پرسنل'!$B$2:$E$1020,4,FALSE)</f>
        <v>سرپرست آی تی</v>
      </c>
      <c r="G474" s="127">
        <f>VLOOKUP(D474,'لیست پرسنل'!$B$2:$F$1020,2,FALSE)</f>
        <v>2210</v>
      </c>
      <c r="H474" s="126" t="s">
        <v>4290</v>
      </c>
      <c r="I474" s="128"/>
      <c r="J474" s="128" t="s">
        <v>8064</v>
      </c>
      <c r="K474" s="128" t="s">
        <v>3277</v>
      </c>
      <c r="L474" s="128"/>
      <c r="M474" s="128" t="s">
        <v>291</v>
      </c>
      <c r="N474" s="108"/>
      <c r="O474" s="20"/>
      <c r="P474" s="20"/>
      <c r="Q474" s="20"/>
    </row>
    <row r="475" spans="1:17" ht="24.9" customHeight="1">
      <c r="A475" s="20">
        <v>362</v>
      </c>
      <c r="B475" s="20" t="s">
        <v>4345</v>
      </c>
      <c r="C475" s="20"/>
      <c r="D475" s="20" t="s">
        <v>48</v>
      </c>
      <c r="E475" s="19" t="str">
        <f>VLOOKUP(D475,'لیست پرسنل'!$B$2:$E$1020,3,FALSE)</f>
        <v>فکورصنعت</v>
      </c>
      <c r="F475" s="19" t="str">
        <f>VLOOKUP(D475,'لیست پرسنل'!$B$2:$E$1020,4,FALSE)</f>
        <v>سرپرست آی تی</v>
      </c>
      <c r="G475" s="127">
        <f>VLOOKUP(D475,'لیست پرسنل'!$B$2:$F$1020,2,FALSE)</f>
        <v>2210</v>
      </c>
      <c r="H475" s="126" t="s">
        <v>4290</v>
      </c>
      <c r="I475" s="128"/>
      <c r="J475" s="128" t="s">
        <v>8064</v>
      </c>
      <c r="K475" s="128" t="s">
        <v>3277</v>
      </c>
      <c r="L475" s="128"/>
      <c r="M475" s="128" t="s">
        <v>291</v>
      </c>
      <c r="N475" s="108"/>
      <c r="O475" s="20"/>
      <c r="P475" s="20"/>
      <c r="Q475" s="20"/>
    </row>
    <row r="476" spans="1:17" ht="24.9" customHeight="1">
      <c r="A476" s="20">
        <v>362</v>
      </c>
      <c r="B476" s="20" t="s">
        <v>4345</v>
      </c>
      <c r="C476" s="20"/>
      <c r="D476" s="20" t="s">
        <v>48</v>
      </c>
      <c r="E476" s="19" t="str">
        <f>VLOOKUP(D476,'لیست پرسنل'!$B$2:$E$1020,3,FALSE)</f>
        <v>فکورصنعت</v>
      </c>
      <c r="F476" s="19" t="str">
        <f>VLOOKUP(D476,'لیست پرسنل'!$B$2:$E$1020,4,FALSE)</f>
        <v>سرپرست آی تی</v>
      </c>
      <c r="G476" s="127">
        <f>VLOOKUP(D476,'لیست پرسنل'!$B$2:$F$1020,2,FALSE)</f>
        <v>2210</v>
      </c>
      <c r="H476" s="126" t="s">
        <v>4290</v>
      </c>
      <c r="I476" s="128"/>
      <c r="J476" s="128" t="s">
        <v>8064</v>
      </c>
      <c r="K476" s="128" t="s">
        <v>3277</v>
      </c>
      <c r="L476" s="128"/>
      <c r="M476" s="128" t="s">
        <v>291</v>
      </c>
      <c r="N476" s="108"/>
      <c r="O476" s="20"/>
      <c r="P476" s="20"/>
      <c r="Q476" s="20"/>
    </row>
    <row r="477" spans="1:17" ht="24.9" customHeight="1">
      <c r="A477" s="20">
        <v>362</v>
      </c>
      <c r="B477" s="20" t="s">
        <v>4345</v>
      </c>
      <c r="C477" s="20"/>
      <c r="D477" s="20" t="s">
        <v>48</v>
      </c>
      <c r="E477" s="19" t="str">
        <f>VLOOKUP(D477,'لیست پرسنل'!$B$2:$E$1020,3,FALSE)</f>
        <v>فکورصنعت</v>
      </c>
      <c r="F477" s="19" t="str">
        <f>VLOOKUP(D477,'لیست پرسنل'!$B$2:$E$1020,4,FALSE)</f>
        <v>سرپرست آی تی</v>
      </c>
      <c r="G477" s="127">
        <f>VLOOKUP(D477,'لیست پرسنل'!$B$2:$F$1020,2,FALSE)</f>
        <v>2210</v>
      </c>
      <c r="H477" s="126" t="s">
        <v>4290</v>
      </c>
      <c r="I477" s="128"/>
      <c r="J477" s="128" t="s">
        <v>8064</v>
      </c>
      <c r="K477" s="128" t="s">
        <v>3277</v>
      </c>
      <c r="L477" s="128"/>
      <c r="M477" s="128" t="s">
        <v>291</v>
      </c>
      <c r="N477" s="108"/>
      <c r="O477" s="20"/>
      <c r="P477" s="20"/>
      <c r="Q477" s="20"/>
    </row>
    <row r="478" spans="1:17" ht="24.9" customHeight="1">
      <c r="A478" s="20">
        <v>362</v>
      </c>
      <c r="B478" s="20" t="s">
        <v>4345</v>
      </c>
      <c r="C478" s="20"/>
      <c r="D478" s="20" t="s">
        <v>48</v>
      </c>
      <c r="E478" s="19" t="str">
        <f>VLOOKUP(D478,'لیست پرسنل'!$B$2:$E$1020,3,FALSE)</f>
        <v>فکورصنعت</v>
      </c>
      <c r="F478" s="19" t="str">
        <f>VLOOKUP(D478,'لیست پرسنل'!$B$2:$E$1020,4,FALSE)</f>
        <v>سرپرست آی تی</v>
      </c>
      <c r="G478" s="127">
        <f>VLOOKUP(D478,'لیست پرسنل'!$B$2:$F$1020,2,FALSE)</f>
        <v>2210</v>
      </c>
      <c r="H478" s="128" t="s">
        <v>4290</v>
      </c>
      <c r="I478" s="128"/>
      <c r="J478" s="127" t="s">
        <v>571</v>
      </c>
      <c r="K478" s="128" t="s">
        <v>2054</v>
      </c>
      <c r="L478" s="127" t="s">
        <v>2887</v>
      </c>
      <c r="M478" s="126">
        <v>600765</v>
      </c>
      <c r="N478" s="108"/>
      <c r="O478" s="19" t="s">
        <v>4730</v>
      </c>
      <c r="P478" s="20"/>
      <c r="Q478" s="20"/>
    </row>
    <row r="479" spans="1:17" ht="24.9" customHeight="1">
      <c r="A479" s="20">
        <v>362</v>
      </c>
      <c r="B479" s="20" t="s">
        <v>4345</v>
      </c>
      <c r="C479" s="19"/>
      <c r="D479" s="20" t="s">
        <v>48</v>
      </c>
      <c r="E479" s="19" t="str">
        <f>VLOOKUP(D479,'لیست پرسنل'!$B$2:$E$1020,3,FALSE)</f>
        <v>فکورصنعت</v>
      </c>
      <c r="F479" s="19" t="str">
        <f>VLOOKUP(D479,'لیست پرسنل'!$B$2:$E$1020,4,FALSE)</f>
        <v>سرپرست آی تی</v>
      </c>
      <c r="G479" s="127">
        <f>VLOOKUP(D479,'لیست پرسنل'!$B$2:$F$1020,2,FALSE)</f>
        <v>2210</v>
      </c>
      <c r="H479" s="127" t="s">
        <v>4290</v>
      </c>
      <c r="I479" s="128"/>
      <c r="J479" s="141" t="s">
        <v>571</v>
      </c>
      <c r="K479" s="128" t="s">
        <v>410</v>
      </c>
      <c r="L479" s="126"/>
      <c r="M479" s="126">
        <v>601498</v>
      </c>
      <c r="N479" s="108"/>
      <c r="O479" s="20"/>
      <c r="P479" s="20"/>
      <c r="Q479" s="20"/>
    </row>
    <row r="480" spans="1:17" ht="24.9" customHeight="1">
      <c r="A480" s="20">
        <v>362</v>
      </c>
      <c r="B480" s="20" t="s">
        <v>4345</v>
      </c>
      <c r="C480" s="19"/>
      <c r="D480" s="19" t="s">
        <v>48</v>
      </c>
      <c r="E480" s="19" t="str">
        <f>VLOOKUP(D480,'لیست پرسنل'!$B$2:$E$1020,3,FALSE)</f>
        <v>فکورصنعت</v>
      </c>
      <c r="F480" s="19" t="str">
        <f>VLOOKUP(D480,'لیست پرسنل'!$B$2:$E$1020,4,FALSE)</f>
        <v>سرپرست آی تی</v>
      </c>
      <c r="G480" s="127">
        <f>VLOOKUP(D480,'لیست پرسنل'!$B$2:$F$1020,2,FALSE)</f>
        <v>2210</v>
      </c>
      <c r="H480" s="151" t="s">
        <v>4290</v>
      </c>
      <c r="I480" s="127"/>
      <c r="J480" s="127" t="s">
        <v>571</v>
      </c>
      <c r="K480" s="128"/>
      <c r="L480" s="151"/>
      <c r="M480" s="127">
        <v>603293</v>
      </c>
      <c r="N480" s="109"/>
      <c r="O480" s="20"/>
      <c r="P480" s="20"/>
      <c r="Q480" s="20"/>
    </row>
    <row r="481" spans="1:17" ht="24.9" customHeight="1">
      <c r="A481" s="185">
        <v>362</v>
      </c>
      <c r="B481" s="185" t="s">
        <v>4345</v>
      </c>
      <c r="C481" s="185"/>
      <c r="D481" s="208" t="s">
        <v>48</v>
      </c>
      <c r="E481" s="186" t="str">
        <f>VLOOKUP(D481,'لیست پرسنل'!$B$2:$E$1020,3,FALSE)</f>
        <v>فکورصنعت</v>
      </c>
      <c r="F481" s="186" t="str">
        <f>VLOOKUP(D481,'لیست پرسنل'!$B$2:$E$1020,4,FALSE)</f>
        <v>سرپرست آی تی</v>
      </c>
      <c r="G481" s="187">
        <f>VLOOKUP(D481,'لیست پرسنل'!$B$2:$F$1020,2,FALSE)</f>
        <v>2210</v>
      </c>
      <c r="H481" s="241" t="s">
        <v>8590</v>
      </c>
      <c r="I481" s="242"/>
      <c r="J481" s="245" t="s">
        <v>571</v>
      </c>
      <c r="K481" s="188"/>
      <c r="L481" s="206"/>
      <c r="M481" s="190">
        <v>603687</v>
      </c>
      <c r="N481" s="189" t="s">
        <v>8591</v>
      </c>
      <c r="O481" s="186"/>
      <c r="P481" s="185"/>
      <c r="Q481" s="185"/>
    </row>
    <row r="482" spans="1:17" ht="24.9" customHeight="1">
      <c r="A482" s="20">
        <v>362</v>
      </c>
      <c r="B482" s="20" t="s">
        <v>4345</v>
      </c>
      <c r="C482" s="20"/>
      <c r="D482" s="20" t="s">
        <v>48</v>
      </c>
      <c r="E482" s="19" t="str">
        <f>VLOOKUP(D482,'لیست پرسنل'!$B$2:$E$1020,3,FALSE)</f>
        <v>فکورصنعت</v>
      </c>
      <c r="F482" s="19" t="str">
        <f>VLOOKUP(D482,'لیست پرسنل'!$B$2:$E$1020,4,FALSE)</f>
        <v>سرپرست آی تی</v>
      </c>
      <c r="G482" s="127">
        <f>VLOOKUP(D482,'لیست پرسنل'!$B$2:$F$1020,2,FALSE)</f>
        <v>2210</v>
      </c>
      <c r="H482" s="126" t="s">
        <v>4290</v>
      </c>
      <c r="I482" s="128"/>
      <c r="J482" s="141" t="s">
        <v>571</v>
      </c>
      <c r="K482" s="141" t="s">
        <v>571</v>
      </c>
      <c r="L482" s="156" t="s">
        <v>2887</v>
      </c>
      <c r="M482" s="127">
        <v>603957</v>
      </c>
      <c r="N482" s="108"/>
      <c r="O482" s="19" t="s">
        <v>4593</v>
      </c>
      <c r="P482" s="20"/>
      <c r="Q482" s="20"/>
    </row>
    <row r="483" spans="1:17" ht="24.9" customHeight="1">
      <c r="A483" s="20">
        <v>362</v>
      </c>
      <c r="B483" s="20" t="s">
        <v>4345</v>
      </c>
      <c r="C483" s="19"/>
      <c r="D483" s="19" t="s">
        <v>48</v>
      </c>
      <c r="E483" s="19" t="str">
        <f>VLOOKUP(D483,'لیست پرسنل'!$B$2:$E$1020,3,FALSE)</f>
        <v>فکورصنعت</v>
      </c>
      <c r="F483" s="19" t="str">
        <f>VLOOKUP(D483,'لیست پرسنل'!$B$2:$E$1020,4,FALSE)</f>
        <v>سرپرست آی تی</v>
      </c>
      <c r="G483" s="127">
        <f>VLOOKUP(D483,'لیست پرسنل'!$B$2:$F$1020,2,FALSE)</f>
        <v>2210</v>
      </c>
      <c r="H483" s="127" t="s">
        <v>4290</v>
      </c>
      <c r="I483" s="127"/>
      <c r="J483" s="127" t="s">
        <v>571</v>
      </c>
      <c r="K483" s="127" t="s">
        <v>833</v>
      </c>
      <c r="L483" s="151"/>
      <c r="M483" s="127">
        <v>604021</v>
      </c>
      <c r="N483" s="109"/>
      <c r="O483" s="19"/>
      <c r="P483" s="20"/>
      <c r="Q483" s="20"/>
    </row>
    <row r="484" spans="1:17" ht="24.9" customHeight="1">
      <c r="A484" s="20">
        <v>362</v>
      </c>
      <c r="B484" s="20" t="s">
        <v>4345</v>
      </c>
      <c r="C484" s="20"/>
      <c r="D484" s="20" t="s">
        <v>48</v>
      </c>
      <c r="E484" s="19" t="str">
        <f>VLOOKUP(D484,'لیست پرسنل'!$B$2:$E$1020,3,FALSE)</f>
        <v>فکورصنعت</v>
      </c>
      <c r="F484" s="19" t="str">
        <f>VLOOKUP(D484,'لیست پرسنل'!$B$2:$E$1020,4,FALSE)</f>
        <v>سرپرست آی تی</v>
      </c>
      <c r="G484" s="127">
        <f>VLOOKUP(D484,'لیست پرسنل'!$B$2:$F$1020,2,FALSE)</f>
        <v>2210</v>
      </c>
      <c r="H484" s="126" t="s">
        <v>4290</v>
      </c>
      <c r="I484" s="128"/>
      <c r="J484" s="141" t="s">
        <v>571</v>
      </c>
      <c r="K484" s="127" t="s">
        <v>6473</v>
      </c>
      <c r="L484" s="128"/>
      <c r="M484" s="132">
        <v>604764</v>
      </c>
      <c r="N484" s="108"/>
      <c r="O484" s="19"/>
      <c r="P484" s="20"/>
      <c r="Q484" s="20"/>
    </row>
    <row r="485" spans="1:17" ht="24.9" customHeight="1">
      <c r="A485" s="20">
        <v>362</v>
      </c>
      <c r="B485" s="20" t="s">
        <v>4345</v>
      </c>
      <c r="C485" s="20"/>
      <c r="D485" s="20" t="s">
        <v>48</v>
      </c>
      <c r="E485" s="19" t="str">
        <f>VLOOKUP(D485,'لیست پرسنل'!$B$2:$E$1020,3,FALSE)</f>
        <v>فکورصنعت</v>
      </c>
      <c r="F485" s="19" t="str">
        <f>VLOOKUP(D485,'لیست پرسنل'!$B$2:$E$1020,4,FALSE)</f>
        <v>سرپرست آی تی</v>
      </c>
      <c r="G485" s="127">
        <f>VLOOKUP(D485,'لیست پرسنل'!$B$2:$F$1020,2,FALSE)</f>
        <v>2210</v>
      </c>
      <c r="H485" s="126" t="s">
        <v>4290</v>
      </c>
      <c r="I485" s="128"/>
      <c r="J485" s="127" t="s">
        <v>571</v>
      </c>
      <c r="K485" s="128"/>
      <c r="L485" s="151" t="s">
        <v>7869</v>
      </c>
      <c r="M485" s="127">
        <v>606674</v>
      </c>
      <c r="N485" s="109"/>
      <c r="O485" s="19"/>
      <c r="P485" s="20"/>
      <c r="Q485" s="20"/>
    </row>
    <row r="486" spans="1:17" ht="24.9" customHeight="1">
      <c r="A486" s="20">
        <v>362</v>
      </c>
      <c r="B486" s="20" t="s">
        <v>4345</v>
      </c>
      <c r="C486" s="19"/>
      <c r="D486" s="19" t="s">
        <v>48</v>
      </c>
      <c r="E486" s="19" t="str">
        <f>VLOOKUP(D486,'لیست پرسنل'!$B$2:$E$1020,3,FALSE)</f>
        <v>فکورصنعت</v>
      </c>
      <c r="F486" s="19" t="str">
        <f>VLOOKUP(D486,'لیست پرسنل'!$B$2:$E$1020,4,FALSE)</f>
        <v>سرپرست آی تی</v>
      </c>
      <c r="G486" s="127">
        <f>VLOOKUP(D486,'لیست پرسنل'!$B$2:$F$1020,2,FALSE)</f>
        <v>2210</v>
      </c>
      <c r="H486" s="151" t="s">
        <v>4290</v>
      </c>
      <c r="I486" s="127"/>
      <c r="J486" s="141" t="s">
        <v>571</v>
      </c>
      <c r="K486" s="150" t="s">
        <v>6475</v>
      </c>
      <c r="L486" s="150"/>
      <c r="M486" s="132">
        <v>607678</v>
      </c>
      <c r="N486" s="108"/>
      <c r="O486" s="20"/>
      <c r="P486" s="20"/>
      <c r="Q486" s="20"/>
    </row>
    <row r="487" spans="1:17" ht="24.9" customHeight="1">
      <c r="A487" s="20">
        <v>362</v>
      </c>
      <c r="B487" s="20" t="s">
        <v>4345</v>
      </c>
      <c r="C487" s="19"/>
      <c r="D487" s="19" t="s">
        <v>48</v>
      </c>
      <c r="E487" s="19" t="str">
        <f>VLOOKUP(D487,'لیست پرسنل'!$B$2:$E$1020,3,FALSE)</f>
        <v>فکورصنعت</v>
      </c>
      <c r="F487" s="19" t="str">
        <f>VLOOKUP(D487,'لیست پرسنل'!$B$2:$E$1020,4,FALSE)</f>
        <v>سرپرست آی تی</v>
      </c>
      <c r="G487" s="127">
        <f>VLOOKUP(D487,'لیست پرسنل'!$B$2:$F$1020,2,FALSE)</f>
        <v>2210</v>
      </c>
      <c r="H487" s="151" t="s">
        <v>4290</v>
      </c>
      <c r="I487" s="127"/>
      <c r="J487" s="127" t="s">
        <v>571</v>
      </c>
      <c r="K487" s="128" t="s">
        <v>3784</v>
      </c>
      <c r="L487" s="127"/>
      <c r="M487" s="127">
        <v>608753</v>
      </c>
      <c r="N487" s="109" t="s">
        <v>7312</v>
      </c>
      <c r="O487" s="19"/>
      <c r="P487" s="20"/>
      <c r="Q487" s="20"/>
    </row>
    <row r="488" spans="1:17" ht="24.9" customHeight="1">
      <c r="A488" s="20">
        <v>362</v>
      </c>
      <c r="B488" s="20" t="s">
        <v>4345</v>
      </c>
      <c r="C488" s="20"/>
      <c r="D488" s="20" t="s">
        <v>48</v>
      </c>
      <c r="E488" s="19" t="str">
        <f>VLOOKUP(D488,'لیست پرسنل'!$B$2:$E$1020,3,FALSE)</f>
        <v>فکورصنعت</v>
      </c>
      <c r="F488" s="19" t="str">
        <f>VLOOKUP(D488,'لیست پرسنل'!$B$2:$E$1020,4,FALSE)</f>
        <v>سرپرست آی تی</v>
      </c>
      <c r="G488" s="127">
        <f>VLOOKUP(D488,'لیست پرسنل'!$B$2:$F$1020,2,FALSE)</f>
        <v>2210</v>
      </c>
      <c r="H488" s="126" t="s">
        <v>4290</v>
      </c>
      <c r="I488" s="128"/>
      <c r="J488" s="141" t="s">
        <v>571</v>
      </c>
      <c r="K488" s="128" t="s">
        <v>1513</v>
      </c>
      <c r="L488" s="127"/>
      <c r="M488" s="131">
        <v>609498</v>
      </c>
      <c r="N488" s="108"/>
      <c r="O488" s="88"/>
      <c r="P488" s="20"/>
      <c r="Q488" s="20"/>
    </row>
    <row r="489" spans="1:17" ht="24.9" customHeight="1">
      <c r="A489" s="20">
        <v>362</v>
      </c>
      <c r="B489" s="20" t="s">
        <v>4345</v>
      </c>
      <c r="C489" s="19"/>
      <c r="D489" s="19" t="s">
        <v>48</v>
      </c>
      <c r="E489" s="19" t="str">
        <f>VLOOKUP(D489,'لیست پرسنل'!$B$2:$E$1020,3,FALSE)</f>
        <v>فکورصنعت</v>
      </c>
      <c r="F489" s="19" t="str">
        <f>VLOOKUP(D489,'لیست پرسنل'!$B$2:$E$1020,4,FALSE)</f>
        <v>سرپرست آی تی</v>
      </c>
      <c r="G489" s="127">
        <f>VLOOKUP(D489,'لیست پرسنل'!$B$2:$F$1020,2,FALSE)</f>
        <v>2210</v>
      </c>
      <c r="H489" s="151" t="s">
        <v>4290</v>
      </c>
      <c r="I489" s="127"/>
      <c r="J489" s="127" t="s">
        <v>571</v>
      </c>
      <c r="K489" s="128" t="s">
        <v>2054</v>
      </c>
      <c r="L489" s="151"/>
      <c r="M489" s="127">
        <v>610541</v>
      </c>
      <c r="N489" s="109"/>
      <c r="O489" s="20"/>
      <c r="P489" s="20"/>
      <c r="Q489" s="20"/>
    </row>
    <row r="490" spans="1:17" ht="24.9" customHeight="1">
      <c r="A490" s="20">
        <v>362</v>
      </c>
      <c r="B490" s="20" t="s">
        <v>4345</v>
      </c>
      <c r="C490" s="19"/>
      <c r="D490" s="19" t="s">
        <v>48</v>
      </c>
      <c r="E490" s="19" t="str">
        <f>VLOOKUP(D490,'لیست پرسنل'!$B$2:$E$1020,3,FALSE)</f>
        <v>فکورصنعت</v>
      </c>
      <c r="F490" s="19" t="str">
        <f>VLOOKUP(D490,'لیست پرسنل'!$B$2:$E$1020,4,FALSE)</f>
        <v>سرپرست آی تی</v>
      </c>
      <c r="G490" s="127">
        <f>VLOOKUP(D490,'لیست پرسنل'!$B$2:$F$1020,2,FALSE)</f>
        <v>2210</v>
      </c>
      <c r="H490" s="151" t="s">
        <v>4290</v>
      </c>
      <c r="I490" s="127"/>
      <c r="J490" s="127" t="s">
        <v>571</v>
      </c>
      <c r="K490" s="128"/>
      <c r="L490" s="127"/>
      <c r="M490" s="127">
        <v>610770</v>
      </c>
      <c r="N490" s="109"/>
      <c r="O490" s="20" t="s">
        <v>705</v>
      </c>
      <c r="P490" s="20"/>
      <c r="Q490" s="20"/>
    </row>
    <row r="491" spans="1:17" ht="24.9" customHeight="1">
      <c r="A491" s="20">
        <v>362</v>
      </c>
      <c r="B491" s="20" t="s">
        <v>4345</v>
      </c>
      <c r="C491" s="20"/>
      <c r="D491" s="20" t="s">
        <v>48</v>
      </c>
      <c r="E491" s="19" t="str">
        <f>VLOOKUP(D491,'لیست پرسنل'!$B$2:$E$1020,3,FALSE)</f>
        <v>فکورصنعت</v>
      </c>
      <c r="F491" s="19" t="str">
        <f>VLOOKUP(D491,'لیست پرسنل'!$B$2:$E$1020,4,FALSE)</f>
        <v>سرپرست آی تی</v>
      </c>
      <c r="G491" s="127">
        <f>VLOOKUP(D491,'لیست پرسنل'!$B$2:$F$1020,2,FALSE)</f>
        <v>2210</v>
      </c>
      <c r="H491" s="126" t="s">
        <v>4290</v>
      </c>
      <c r="I491" s="128"/>
      <c r="J491" s="141" t="s">
        <v>571</v>
      </c>
      <c r="K491" s="141" t="s">
        <v>571</v>
      </c>
      <c r="L491" s="157" t="s">
        <v>2055</v>
      </c>
      <c r="M491" s="126">
        <v>611151</v>
      </c>
      <c r="N491" s="108"/>
      <c r="O491" s="19" t="s">
        <v>4593</v>
      </c>
      <c r="P491" s="20"/>
      <c r="Q491" s="20"/>
    </row>
    <row r="492" spans="1:17" ht="24.9" customHeight="1">
      <c r="A492" s="20">
        <v>362</v>
      </c>
      <c r="B492" s="20" t="s">
        <v>4345</v>
      </c>
      <c r="C492" s="19"/>
      <c r="D492" s="19" t="s">
        <v>48</v>
      </c>
      <c r="E492" s="19" t="str">
        <f>VLOOKUP(D492,'لیست پرسنل'!$B$2:$E$1020,3,FALSE)</f>
        <v>فکورصنعت</v>
      </c>
      <c r="F492" s="19" t="str">
        <f>VLOOKUP(D492,'لیست پرسنل'!$B$2:$E$1020,4,FALSE)</f>
        <v>سرپرست آی تی</v>
      </c>
      <c r="G492" s="127">
        <f>VLOOKUP(D492,'لیست پرسنل'!$B$2:$F$1020,2,FALSE)</f>
        <v>2210</v>
      </c>
      <c r="H492" s="151" t="s">
        <v>4290</v>
      </c>
      <c r="I492" s="127"/>
      <c r="J492" s="127" t="s">
        <v>571</v>
      </c>
      <c r="K492" s="128"/>
      <c r="L492" s="127"/>
      <c r="M492" s="127">
        <v>611954</v>
      </c>
      <c r="N492" s="109"/>
      <c r="O492" s="20" t="s">
        <v>705</v>
      </c>
      <c r="P492" s="20"/>
      <c r="Q492" s="20"/>
    </row>
    <row r="493" spans="1:17" ht="24.9" customHeight="1">
      <c r="A493" s="20">
        <v>362</v>
      </c>
      <c r="B493" s="20" t="s">
        <v>4345</v>
      </c>
      <c r="C493" s="20"/>
      <c r="D493" s="20" t="s">
        <v>48</v>
      </c>
      <c r="E493" s="19" t="str">
        <f>VLOOKUP(D493,'لیست پرسنل'!$B$2:$E$1020,3,FALSE)</f>
        <v>فکورصنعت</v>
      </c>
      <c r="F493" s="19" t="str">
        <f>VLOOKUP(D493,'لیست پرسنل'!$B$2:$E$1020,4,FALSE)</f>
        <v>سرپرست آی تی</v>
      </c>
      <c r="G493" s="127">
        <f>VLOOKUP(D493,'لیست پرسنل'!$B$2:$F$1020,2,FALSE)</f>
        <v>2210</v>
      </c>
      <c r="H493" s="126" t="s">
        <v>4290</v>
      </c>
      <c r="I493" s="128"/>
      <c r="J493" s="141" t="s">
        <v>571</v>
      </c>
      <c r="K493" s="135" t="s">
        <v>1513</v>
      </c>
      <c r="L493" s="154" t="s">
        <v>2053</v>
      </c>
      <c r="M493" s="131">
        <v>618366</v>
      </c>
      <c r="N493" s="108"/>
      <c r="O493" s="20" t="s">
        <v>705</v>
      </c>
      <c r="P493" s="20"/>
      <c r="Q493" s="20"/>
    </row>
    <row r="494" spans="1:17" ht="24.9" customHeight="1">
      <c r="A494" s="20">
        <v>362</v>
      </c>
      <c r="B494" s="20" t="s">
        <v>4345</v>
      </c>
      <c r="C494" s="20"/>
      <c r="D494" s="20" t="s">
        <v>48</v>
      </c>
      <c r="E494" s="19" t="str">
        <f>VLOOKUP(D494,'لیست پرسنل'!$B$2:$E$1020,3,FALSE)</f>
        <v>فکورصنعت</v>
      </c>
      <c r="F494" s="19" t="str">
        <f>VLOOKUP(D494,'لیست پرسنل'!$B$2:$E$1020,4,FALSE)</f>
        <v>سرپرست آی تی</v>
      </c>
      <c r="G494" s="127">
        <f>VLOOKUP(D494,'لیست پرسنل'!$B$2:$F$1020,2,FALSE)</f>
        <v>2210</v>
      </c>
      <c r="H494" s="126" t="s">
        <v>4290</v>
      </c>
      <c r="I494" s="128"/>
      <c r="J494" s="141" t="s">
        <v>571</v>
      </c>
      <c r="K494" s="135" t="s">
        <v>1513</v>
      </c>
      <c r="L494" s="159"/>
      <c r="M494" s="131">
        <v>622527</v>
      </c>
      <c r="N494" s="108"/>
      <c r="O494" s="19"/>
      <c r="P494" s="20"/>
      <c r="Q494" s="20"/>
    </row>
    <row r="495" spans="1:17" ht="24.9" customHeight="1">
      <c r="A495" s="20">
        <v>362</v>
      </c>
      <c r="B495" s="20" t="s">
        <v>4345</v>
      </c>
      <c r="C495" s="19"/>
      <c r="D495" s="20" t="s">
        <v>48</v>
      </c>
      <c r="E495" s="19" t="str">
        <f>VLOOKUP(D495,'لیست پرسنل'!$B$2:$E$1020,3,FALSE)</f>
        <v>فکورصنعت</v>
      </c>
      <c r="F495" s="19" t="str">
        <f>VLOOKUP(D495,'لیست پرسنل'!$B$2:$E$1020,4,FALSE)</f>
        <v>سرپرست آی تی</v>
      </c>
      <c r="G495" s="127">
        <f>VLOOKUP(D495,'لیست پرسنل'!$B$2:$F$1020,2,FALSE)</f>
        <v>2210</v>
      </c>
      <c r="H495" s="151" t="s">
        <v>4290</v>
      </c>
      <c r="I495" s="127"/>
      <c r="J495" s="127" t="s">
        <v>571</v>
      </c>
      <c r="K495" s="127" t="s">
        <v>1753</v>
      </c>
      <c r="L495" s="153"/>
      <c r="M495" s="127">
        <v>624702</v>
      </c>
      <c r="N495" s="109"/>
      <c r="O495" s="19"/>
      <c r="P495" s="20"/>
      <c r="Q495" s="20"/>
    </row>
    <row r="496" spans="1:17" ht="24.9" customHeight="1">
      <c r="A496" s="20">
        <v>362</v>
      </c>
      <c r="B496" s="20" t="s">
        <v>4345</v>
      </c>
      <c r="C496" s="19"/>
      <c r="D496" s="19" t="s">
        <v>48</v>
      </c>
      <c r="E496" s="19" t="str">
        <f>VLOOKUP(D496,'لیست پرسنل'!$B$2:$E$1020,3,FALSE)</f>
        <v>فکورصنعت</v>
      </c>
      <c r="F496" s="19" t="str">
        <f>VLOOKUP(D496,'لیست پرسنل'!$B$2:$E$1020,4,FALSE)</f>
        <v>سرپرست آی تی</v>
      </c>
      <c r="G496" s="127">
        <f>VLOOKUP(D496,'لیست پرسنل'!$B$2:$F$1020,2,FALSE)</f>
        <v>2210</v>
      </c>
      <c r="H496" s="127" t="s">
        <v>4290</v>
      </c>
      <c r="I496" s="127"/>
      <c r="J496" s="141" t="s">
        <v>571</v>
      </c>
      <c r="K496" s="128" t="s">
        <v>2067</v>
      </c>
      <c r="L496" s="127" t="s">
        <v>22</v>
      </c>
      <c r="M496" s="127">
        <v>628579</v>
      </c>
      <c r="N496" s="108"/>
      <c r="O496" s="20" t="s">
        <v>705</v>
      </c>
      <c r="P496" s="20"/>
      <c r="Q496" s="20"/>
    </row>
    <row r="497" spans="1:17" ht="24.9" customHeight="1">
      <c r="A497" s="20">
        <v>362</v>
      </c>
      <c r="B497" s="20" t="s">
        <v>4345</v>
      </c>
      <c r="C497" s="19"/>
      <c r="D497" s="19" t="s">
        <v>48</v>
      </c>
      <c r="E497" s="19" t="str">
        <f>VLOOKUP(D497,'لیست پرسنل'!$B$2:$E$1020,3,FALSE)</f>
        <v>فکورصنعت</v>
      </c>
      <c r="F497" s="19" t="str">
        <f>VLOOKUP(D497,'لیست پرسنل'!$B$2:$E$1020,4,FALSE)</f>
        <v>سرپرست آی تی</v>
      </c>
      <c r="G497" s="127">
        <f>VLOOKUP(D497,'لیست پرسنل'!$B$2:$F$1020,2,FALSE)</f>
        <v>2210</v>
      </c>
      <c r="H497" s="151" t="s">
        <v>4290</v>
      </c>
      <c r="I497" s="127"/>
      <c r="J497" s="127" t="s">
        <v>571</v>
      </c>
      <c r="K497" s="127" t="s">
        <v>5523</v>
      </c>
      <c r="L497" s="158" t="s">
        <v>5524</v>
      </c>
      <c r="M497" s="127">
        <v>629792</v>
      </c>
      <c r="N497" s="109"/>
      <c r="O497" s="19"/>
      <c r="P497" s="20"/>
      <c r="Q497" s="20"/>
    </row>
    <row r="498" spans="1:17" ht="24.9" customHeight="1">
      <c r="A498" s="20">
        <v>362</v>
      </c>
      <c r="B498" s="20" t="s">
        <v>4345</v>
      </c>
      <c r="C498" s="20"/>
      <c r="D498" s="20" t="s">
        <v>48</v>
      </c>
      <c r="E498" s="19" t="str">
        <f>VLOOKUP(D498,'لیست پرسنل'!$B$2:$E$1020,3,FALSE)</f>
        <v>فکورصنعت</v>
      </c>
      <c r="F498" s="19" t="str">
        <f>VLOOKUP(D498,'لیست پرسنل'!$B$2:$E$1020,4,FALSE)</f>
        <v>سرپرست آی تی</v>
      </c>
      <c r="G498" s="127">
        <f>VLOOKUP(D498,'لیست پرسنل'!$B$2:$F$1020,2,FALSE)</f>
        <v>2210</v>
      </c>
      <c r="H498" s="126" t="s">
        <v>4290</v>
      </c>
      <c r="I498" s="128"/>
      <c r="J498" s="141" t="s">
        <v>571</v>
      </c>
      <c r="K498" s="128" t="s">
        <v>5320</v>
      </c>
      <c r="L498" s="128" t="s">
        <v>5429</v>
      </c>
      <c r="M498" s="132">
        <v>631497</v>
      </c>
      <c r="N498" s="108"/>
      <c r="O498" s="19"/>
      <c r="P498" s="20"/>
      <c r="Q498" s="20"/>
    </row>
    <row r="499" spans="1:17" ht="24.9" customHeight="1">
      <c r="A499" s="20">
        <v>362</v>
      </c>
      <c r="B499" s="20" t="s">
        <v>4345</v>
      </c>
      <c r="C499" s="20"/>
      <c r="D499" s="20" t="s">
        <v>48</v>
      </c>
      <c r="E499" s="19" t="str">
        <f>VLOOKUP(D499,'لیست پرسنل'!$B$2:$E$1020,3,FALSE)</f>
        <v>فکورصنعت</v>
      </c>
      <c r="F499" s="19" t="str">
        <f>VLOOKUP(D499,'لیست پرسنل'!$B$2:$E$1020,4,FALSE)</f>
        <v>سرپرست آی تی</v>
      </c>
      <c r="G499" s="127">
        <f>VLOOKUP(D499,'لیست پرسنل'!$B$2:$F$1020,2,FALSE)</f>
        <v>2210</v>
      </c>
      <c r="H499" s="126" t="s">
        <v>4290</v>
      </c>
      <c r="I499" s="128"/>
      <c r="J499" s="141" t="s">
        <v>571</v>
      </c>
      <c r="K499" s="131" t="s">
        <v>571</v>
      </c>
      <c r="L499" s="161" t="s">
        <v>5955</v>
      </c>
      <c r="M499" s="128">
        <v>632365</v>
      </c>
      <c r="N499" s="108"/>
      <c r="O499" s="19" t="s">
        <v>5954</v>
      </c>
      <c r="P499" s="20"/>
      <c r="Q499" s="20"/>
    </row>
    <row r="500" spans="1:17" ht="24.9" customHeight="1">
      <c r="A500" s="20">
        <v>362</v>
      </c>
      <c r="B500" s="20" t="s">
        <v>4345</v>
      </c>
      <c r="C500" s="19"/>
      <c r="D500" s="20" t="s">
        <v>48</v>
      </c>
      <c r="E500" s="19" t="str">
        <f>VLOOKUP(D500,'لیست پرسنل'!$B$2:$E$1020,3,FALSE)</f>
        <v>فکورصنعت</v>
      </c>
      <c r="F500" s="19" t="str">
        <f>VLOOKUP(D500,'لیست پرسنل'!$B$2:$E$1020,4,FALSE)</f>
        <v>سرپرست آی تی</v>
      </c>
      <c r="G500" s="127">
        <f>VLOOKUP(D500,'لیست پرسنل'!$B$2:$F$1020,2,FALSE)</f>
        <v>2210</v>
      </c>
      <c r="H500" s="127" t="s">
        <v>4290</v>
      </c>
      <c r="I500" s="128"/>
      <c r="J500" s="128" t="s">
        <v>571</v>
      </c>
      <c r="K500" s="127" t="s">
        <v>3796</v>
      </c>
      <c r="L500" s="154"/>
      <c r="M500" s="127" t="s">
        <v>291</v>
      </c>
      <c r="N500" s="109"/>
      <c r="O500" s="20" t="s">
        <v>1349</v>
      </c>
      <c r="P500" s="20"/>
      <c r="Q500" s="20"/>
    </row>
    <row r="501" spans="1:17" ht="24.9" customHeight="1">
      <c r="A501" s="20">
        <v>362</v>
      </c>
      <c r="B501" s="20" t="s">
        <v>4345</v>
      </c>
      <c r="C501" s="19"/>
      <c r="D501" s="20" t="s">
        <v>48</v>
      </c>
      <c r="E501" s="19" t="str">
        <f>VLOOKUP(D501,'لیست پرسنل'!$B$2:$E$1020,3,FALSE)</f>
        <v>فکورصنعت</v>
      </c>
      <c r="F501" s="19" t="str">
        <f>VLOOKUP(D501,'لیست پرسنل'!$B$2:$E$1020,4,FALSE)</f>
        <v>سرپرست آی تی</v>
      </c>
      <c r="G501" s="127">
        <f>VLOOKUP(D501,'لیست پرسنل'!$B$2:$F$1020,2,FALSE)</f>
        <v>2210</v>
      </c>
      <c r="H501" s="126" t="s">
        <v>4290</v>
      </c>
      <c r="I501" s="128"/>
      <c r="J501" s="141" t="s">
        <v>571</v>
      </c>
      <c r="K501" s="141" t="s">
        <v>571</v>
      </c>
      <c r="L501" s="162" t="s">
        <v>2139</v>
      </c>
      <c r="M501" s="127" t="s">
        <v>291</v>
      </c>
      <c r="N501" s="108"/>
      <c r="O501" s="20" t="s">
        <v>705</v>
      </c>
      <c r="P501" s="20"/>
      <c r="Q501" s="20"/>
    </row>
    <row r="502" spans="1:17" ht="24.9" customHeight="1">
      <c r="A502" s="20">
        <v>362</v>
      </c>
      <c r="B502" s="20" t="s">
        <v>4345</v>
      </c>
      <c r="C502" s="19"/>
      <c r="D502" s="19" t="s">
        <v>48</v>
      </c>
      <c r="E502" s="19" t="str">
        <f>VLOOKUP(D502,'لیست پرسنل'!$B$2:$E$1020,3,FALSE)</f>
        <v>فکورصنعت</v>
      </c>
      <c r="F502" s="19" t="str">
        <f>VLOOKUP(D502,'لیست پرسنل'!$B$2:$E$1020,4,FALSE)</f>
        <v>سرپرست آی تی</v>
      </c>
      <c r="G502" s="127">
        <f>VLOOKUP(D502,'لیست پرسنل'!$B$2:$F$1020,2,FALSE)</f>
        <v>2210</v>
      </c>
      <c r="H502" s="151" t="s">
        <v>4290</v>
      </c>
      <c r="I502" s="127"/>
      <c r="J502" s="127" t="s">
        <v>571</v>
      </c>
      <c r="K502" s="128" t="s">
        <v>3784</v>
      </c>
      <c r="L502" s="127"/>
      <c r="M502" s="127" t="s">
        <v>704</v>
      </c>
      <c r="N502" s="109"/>
      <c r="O502" s="19"/>
      <c r="P502" s="20"/>
      <c r="Q502" s="20"/>
    </row>
    <row r="503" spans="1:17" ht="24.9" customHeight="1">
      <c r="A503" s="20">
        <v>362</v>
      </c>
      <c r="B503" s="20" t="s">
        <v>4345</v>
      </c>
      <c r="C503" s="19"/>
      <c r="D503" s="19" t="s">
        <v>48</v>
      </c>
      <c r="E503" s="19" t="str">
        <f>VLOOKUP(D503,'لیست پرسنل'!$B$2:$E$1020,3,FALSE)</f>
        <v>فکورصنعت</v>
      </c>
      <c r="F503" s="19" t="str">
        <f>VLOOKUP(D503,'لیست پرسنل'!$B$2:$E$1020,4,FALSE)</f>
        <v>سرپرست آی تی</v>
      </c>
      <c r="G503" s="127">
        <f>VLOOKUP(D503,'لیست پرسنل'!$B$2:$F$1020,2,FALSE)</f>
        <v>2210</v>
      </c>
      <c r="H503" s="127" t="s">
        <v>4290</v>
      </c>
      <c r="I503" s="127"/>
      <c r="J503" s="127" t="s">
        <v>571</v>
      </c>
      <c r="K503" s="128" t="s">
        <v>2054</v>
      </c>
      <c r="L503" s="127"/>
      <c r="M503" s="127" t="s">
        <v>4371</v>
      </c>
      <c r="N503" s="109"/>
      <c r="O503" s="20" t="s">
        <v>6568</v>
      </c>
      <c r="P503" s="20"/>
      <c r="Q503" s="20"/>
    </row>
    <row r="504" spans="1:17" ht="24.9" customHeight="1">
      <c r="A504" s="20">
        <v>362</v>
      </c>
      <c r="B504" s="20" t="s">
        <v>4345</v>
      </c>
      <c r="C504" s="20"/>
      <c r="D504" s="20" t="s">
        <v>48</v>
      </c>
      <c r="E504" s="19" t="str">
        <f>VLOOKUP(D504,'لیست پرسنل'!$B$2:$E$1020,3,FALSE)</f>
        <v>فکورصنعت</v>
      </c>
      <c r="F504" s="19" t="str">
        <f>VLOOKUP(D504,'لیست پرسنل'!$B$2:$E$1020,4,FALSE)</f>
        <v>سرپرست آی تی</v>
      </c>
      <c r="G504" s="127">
        <f>VLOOKUP(D504,'لیست پرسنل'!$B$2:$F$1020,2,FALSE)</f>
        <v>2210</v>
      </c>
      <c r="H504" s="126" t="s">
        <v>4290</v>
      </c>
      <c r="I504" s="128"/>
      <c r="J504" s="141" t="s">
        <v>571</v>
      </c>
      <c r="K504" s="135" t="s">
        <v>7146</v>
      </c>
      <c r="L504" s="158" t="s">
        <v>1797</v>
      </c>
      <c r="M504" s="131" t="s">
        <v>853</v>
      </c>
      <c r="N504" s="108"/>
      <c r="O504" s="44" t="s">
        <v>1809</v>
      </c>
      <c r="P504" s="20"/>
      <c r="Q504" s="20"/>
    </row>
    <row r="505" spans="1:17" ht="24.9" customHeight="1">
      <c r="A505" s="20">
        <v>362</v>
      </c>
      <c r="B505" s="20" t="s">
        <v>4345</v>
      </c>
      <c r="C505" s="19"/>
      <c r="D505" s="20" t="s">
        <v>48</v>
      </c>
      <c r="E505" s="19" t="str">
        <f>VLOOKUP(D505,'لیست پرسنل'!$B$2:$E$1020,3,FALSE)</f>
        <v>فکورصنعت</v>
      </c>
      <c r="F505" s="19" t="str">
        <f>VLOOKUP(D505,'لیست پرسنل'!$B$2:$E$1020,4,FALSE)</f>
        <v>سرپرست آی تی</v>
      </c>
      <c r="G505" s="127">
        <f>VLOOKUP(D505,'لیست پرسنل'!$B$2:$F$1020,2,FALSE)</f>
        <v>2210</v>
      </c>
      <c r="H505" s="126" t="s">
        <v>4290</v>
      </c>
      <c r="I505" s="128"/>
      <c r="J505" s="128" t="s">
        <v>4333</v>
      </c>
      <c r="K505" s="135" t="s">
        <v>6862</v>
      </c>
      <c r="L505" s="158" t="s">
        <v>6863</v>
      </c>
      <c r="M505" s="131">
        <v>634338</v>
      </c>
      <c r="N505" s="108"/>
      <c r="O505" s="20"/>
      <c r="P505" s="20"/>
      <c r="Q505" s="20"/>
    </row>
    <row r="506" spans="1:17" ht="24.9" customHeight="1">
      <c r="A506" s="20">
        <v>362</v>
      </c>
      <c r="B506" s="20" t="s">
        <v>4345</v>
      </c>
      <c r="C506" s="19"/>
      <c r="D506" s="19" t="s">
        <v>48</v>
      </c>
      <c r="E506" s="19" t="str">
        <f>VLOOKUP(D506,'لیست پرسنل'!$B$2:$E$1020,3,FALSE)</f>
        <v>فکورصنعت</v>
      </c>
      <c r="F506" s="19" t="str">
        <f>VLOOKUP(D506,'لیست پرسنل'!$B$2:$E$1020,4,FALSE)</f>
        <v>سرپرست آی تی</v>
      </c>
      <c r="G506" s="127">
        <f>VLOOKUP(D506,'لیست پرسنل'!$B$2:$F$1020,2,FALSE)</f>
        <v>2210</v>
      </c>
      <c r="H506" s="128" t="s">
        <v>4290</v>
      </c>
      <c r="I506" s="127"/>
      <c r="J506" s="128" t="s">
        <v>2686</v>
      </c>
      <c r="K506" s="128" t="s">
        <v>343</v>
      </c>
      <c r="L506" s="158" t="s">
        <v>344</v>
      </c>
      <c r="M506" s="127">
        <v>601522</v>
      </c>
      <c r="N506" s="109"/>
      <c r="O506" s="86"/>
      <c r="P506" s="20"/>
      <c r="Q506" s="20"/>
    </row>
    <row r="507" spans="1:17" ht="24.9" customHeight="1">
      <c r="A507" s="20">
        <v>362</v>
      </c>
      <c r="B507" s="20" t="s">
        <v>4345</v>
      </c>
      <c r="C507" s="19"/>
      <c r="D507" s="19" t="s">
        <v>48</v>
      </c>
      <c r="E507" s="19" t="str">
        <f>VLOOKUP(D507,'لیست پرسنل'!$B$2:$E$1020,3,FALSE)</f>
        <v>فکورصنعت</v>
      </c>
      <c r="F507" s="19" t="str">
        <f>VLOOKUP(D507,'لیست پرسنل'!$B$2:$E$1020,4,FALSE)</f>
        <v>سرپرست آی تی</v>
      </c>
      <c r="G507" s="127">
        <f>VLOOKUP(D507,'لیست پرسنل'!$B$2:$F$1020,2,FALSE)</f>
        <v>2210</v>
      </c>
      <c r="H507" s="151" t="s">
        <v>4290</v>
      </c>
      <c r="I507" s="127"/>
      <c r="J507" s="128" t="s">
        <v>2686</v>
      </c>
      <c r="K507" s="128" t="s">
        <v>3382</v>
      </c>
      <c r="L507" s="127" t="s">
        <v>316</v>
      </c>
      <c r="M507" s="127">
        <v>602958</v>
      </c>
      <c r="N507" s="109"/>
      <c r="O507" s="86"/>
      <c r="P507" s="20"/>
      <c r="Q507" s="20"/>
    </row>
    <row r="508" spans="1:17" ht="24.9" customHeight="1">
      <c r="A508" s="20">
        <v>362</v>
      </c>
      <c r="B508" s="20" t="s">
        <v>4345</v>
      </c>
      <c r="C508" s="19"/>
      <c r="D508" s="19" t="s">
        <v>48</v>
      </c>
      <c r="E508" s="19" t="str">
        <f>VLOOKUP(D508,'لیست پرسنل'!$B$2:$E$1020,3,FALSE)</f>
        <v>فکورصنعت</v>
      </c>
      <c r="F508" s="19" t="str">
        <f>VLOOKUP(D508,'لیست پرسنل'!$B$2:$E$1020,4,FALSE)</f>
        <v>سرپرست آی تی</v>
      </c>
      <c r="G508" s="127">
        <f>VLOOKUP(D508,'لیست پرسنل'!$B$2:$F$1020,2,FALSE)</f>
        <v>2210</v>
      </c>
      <c r="H508" s="151" t="s">
        <v>4290</v>
      </c>
      <c r="I508" s="127"/>
      <c r="J508" s="128" t="s">
        <v>2686</v>
      </c>
      <c r="K508" s="128" t="s">
        <v>1387</v>
      </c>
      <c r="L508" s="151" t="s">
        <v>1696</v>
      </c>
      <c r="M508" s="127">
        <v>603170</v>
      </c>
      <c r="N508" s="109"/>
      <c r="O508" s="86"/>
      <c r="P508" s="20"/>
      <c r="Q508" s="20"/>
    </row>
    <row r="509" spans="1:17" ht="24.9" customHeight="1">
      <c r="A509" s="20">
        <v>362</v>
      </c>
      <c r="B509" s="20" t="s">
        <v>4345</v>
      </c>
      <c r="C509" s="19"/>
      <c r="D509" s="19" t="s">
        <v>48</v>
      </c>
      <c r="E509" s="19" t="str">
        <f>VLOOKUP(D509,'لیست پرسنل'!$B$2:$E$1020,3,FALSE)</f>
        <v>فکورصنعت</v>
      </c>
      <c r="F509" s="19" t="str">
        <f>VLOOKUP(D509,'لیست پرسنل'!$B$2:$E$1020,4,FALSE)</f>
        <v>سرپرست آی تی</v>
      </c>
      <c r="G509" s="127">
        <f>VLOOKUP(D509,'لیست پرسنل'!$B$2:$F$1020,2,FALSE)</f>
        <v>2210</v>
      </c>
      <c r="H509" s="127" t="s">
        <v>4290</v>
      </c>
      <c r="I509" s="127"/>
      <c r="J509" s="128" t="s">
        <v>2686</v>
      </c>
      <c r="K509" s="127" t="s">
        <v>744</v>
      </c>
      <c r="L509" s="151" t="s">
        <v>1151</v>
      </c>
      <c r="M509" s="127">
        <v>603555</v>
      </c>
      <c r="N509" s="109"/>
      <c r="O509" s="28"/>
      <c r="P509" s="28"/>
      <c r="Q509" s="20"/>
    </row>
    <row r="510" spans="1:17" ht="24.9" customHeight="1">
      <c r="A510" s="20">
        <v>362</v>
      </c>
      <c r="B510" s="20" t="s">
        <v>4345</v>
      </c>
      <c r="C510" s="20"/>
      <c r="D510" s="20" t="s">
        <v>48</v>
      </c>
      <c r="E510" s="19" t="str">
        <f>VLOOKUP(D510,'لیست پرسنل'!$B$2:$E$1020,3,FALSE)</f>
        <v>فکورصنعت</v>
      </c>
      <c r="F510" s="19" t="str">
        <f>VLOOKUP(D510,'لیست پرسنل'!$B$2:$E$1020,4,FALSE)</f>
        <v>سرپرست آی تی</v>
      </c>
      <c r="G510" s="127">
        <f>VLOOKUP(D510,'لیست پرسنل'!$B$2:$F$1020,2,FALSE)</f>
        <v>2210</v>
      </c>
      <c r="H510" s="153" t="s">
        <v>4290</v>
      </c>
      <c r="I510" s="127"/>
      <c r="J510" s="128" t="s">
        <v>2686</v>
      </c>
      <c r="K510" s="128" t="s">
        <v>1348</v>
      </c>
      <c r="L510" s="127" t="s">
        <v>70</v>
      </c>
      <c r="M510" s="127">
        <v>603966</v>
      </c>
      <c r="N510" s="109"/>
      <c r="O510" s="19" t="s">
        <v>5329</v>
      </c>
      <c r="P510" s="19"/>
      <c r="Q510" s="20"/>
    </row>
    <row r="511" spans="1:17" ht="24.9" customHeight="1">
      <c r="A511" s="20">
        <v>362</v>
      </c>
      <c r="B511" s="20" t="s">
        <v>4345</v>
      </c>
      <c r="C511" s="19"/>
      <c r="D511" s="19" t="s">
        <v>48</v>
      </c>
      <c r="E511" s="19" t="str">
        <f>VLOOKUP(D511,'لیست پرسنل'!$B$2:$E$1020,3,FALSE)</f>
        <v>فکورصنعت</v>
      </c>
      <c r="F511" s="19" t="str">
        <f>VLOOKUP(D511,'لیست پرسنل'!$B$2:$E$1020,4,FALSE)</f>
        <v>سرپرست آی تی</v>
      </c>
      <c r="G511" s="127">
        <f>VLOOKUP(D511,'لیست پرسنل'!$B$2:$F$1020,2,FALSE)</f>
        <v>2210</v>
      </c>
      <c r="H511" s="151" t="s">
        <v>4290</v>
      </c>
      <c r="I511" s="127"/>
      <c r="J511" s="128" t="s">
        <v>2686</v>
      </c>
      <c r="K511" s="128" t="s">
        <v>1744</v>
      </c>
      <c r="L511" s="154" t="s">
        <v>1721</v>
      </c>
      <c r="M511" s="127">
        <v>610656</v>
      </c>
      <c r="N511" s="108"/>
      <c r="O511" s="19"/>
      <c r="P511" s="20"/>
      <c r="Q511" s="20"/>
    </row>
    <row r="512" spans="1:17" ht="24.9" customHeight="1">
      <c r="A512" s="20">
        <v>362</v>
      </c>
      <c r="B512" s="20" t="s">
        <v>4345</v>
      </c>
      <c r="C512" s="20"/>
      <c r="D512" s="20" t="s">
        <v>48</v>
      </c>
      <c r="E512" s="19" t="str">
        <f>VLOOKUP(D512,'لیست پرسنل'!$B$2:$E$1020,3,FALSE)</f>
        <v>فکورصنعت</v>
      </c>
      <c r="F512" s="19" t="str">
        <f>VLOOKUP(D512,'لیست پرسنل'!$B$2:$E$1020,4,FALSE)</f>
        <v>سرپرست آی تی</v>
      </c>
      <c r="G512" s="127">
        <f>VLOOKUP(D512,'لیست پرسنل'!$B$2:$F$1020,2,FALSE)</f>
        <v>2210</v>
      </c>
      <c r="H512" s="153" t="s">
        <v>4290</v>
      </c>
      <c r="I512" s="127"/>
      <c r="J512" s="128" t="s">
        <v>2686</v>
      </c>
      <c r="K512" s="128" t="s">
        <v>3835</v>
      </c>
      <c r="L512" s="151" t="s">
        <v>7091</v>
      </c>
      <c r="M512" s="127">
        <v>611794</v>
      </c>
      <c r="N512" s="109"/>
      <c r="O512" s="19"/>
      <c r="P512" s="19"/>
      <c r="Q512" s="20"/>
    </row>
    <row r="513" spans="1:17" ht="24.9" customHeight="1">
      <c r="A513" s="20">
        <v>362</v>
      </c>
      <c r="B513" s="20" t="s">
        <v>4345</v>
      </c>
      <c r="C513" s="20"/>
      <c r="D513" s="20" t="s">
        <v>48</v>
      </c>
      <c r="E513" s="19" t="str">
        <f>VLOOKUP(D513,'لیست پرسنل'!$B$2:$E$1020,3,FALSE)</f>
        <v>فکورصنعت</v>
      </c>
      <c r="F513" s="19" t="str">
        <f>VLOOKUP(D513,'لیست پرسنل'!$B$2:$E$1020,4,FALSE)</f>
        <v>سرپرست آی تی</v>
      </c>
      <c r="G513" s="127">
        <f>VLOOKUP(D513,'لیست پرسنل'!$B$2:$F$1020,2,FALSE)</f>
        <v>2210</v>
      </c>
      <c r="H513" s="126" t="s">
        <v>4290</v>
      </c>
      <c r="I513" s="128"/>
      <c r="J513" s="128" t="s">
        <v>2686</v>
      </c>
      <c r="K513" s="135" t="s">
        <v>1810</v>
      </c>
      <c r="L513" s="154" t="s">
        <v>1798</v>
      </c>
      <c r="M513" s="131">
        <v>614439</v>
      </c>
      <c r="N513" s="108" t="s">
        <v>7233</v>
      </c>
      <c r="O513" s="44" t="s">
        <v>1809</v>
      </c>
      <c r="P513" s="20"/>
      <c r="Q513" s="20"/>
    </row>
    <row r="514" spans="1:17" ht="24.9" customHeight="1">
      <c r="A514" s="20">
        <v>362</v>
      </c>
      <c r="B514" s="20" t="s">
        <v>4345</v>
      </c>
      <c r="C514" s="20"/>
      <c r="D514" s="20" t="s">
        <v>48</v>
      </c>
      <c r="E514" s="19" t="str">
        <f>VLOOKUP(D514,'لیست پرسنل'!$B$2:$E$1020,3,FALSE)</f>
        <v>فکورصنعت</v>
      </c>
      <c r="F514" s="19" t="str">
        <f>VLOOKUP(D514,'لیست پرسنل'!$B$2:$E$1020,4,FALSE)</f>
        <v>سرپرست آی تی</v>
      </c>
      <c r="G514" s="127">
        <f>VLOOKUP(D514,'لیست پرسنل'!$B$2:$F$1020,2,FALSE)</f>
        <v>2210</v>
      </c>
      <c r="H514" s="126" t="s">
        <v>4290</v>
      </c>
      <c r="I514" s="128"/>
      <c r="J514" s="128" t="s">
        <v>2686</v>
      </c>
      <c r="K514" s="128" t="s">
        <v>332</v>
      </c>
      <c r="L514" s="151" t="s">
        <v>1432</v>
      </c>
      <c r="M514" s="127">
        <v>619082</v>
      </c>
      <c r="N514" s="108"/>
      <c r="O514" s="20" t="s">
        <v>4652</v>
      </c>
      <c r="P514" s="20"/>
      <c r="Q514" s="20"/>
    </row>
    <row r="515" spans="1:17" ht="24.9" customHeight="1">
      <c r="A515" s="20">
        <v>362</v>
      </c>
      <c r="B515" s="20" t="s">
        <v>4345</v>
      </c>
      <c r="C515" s="19"/>
      <c r="D515" s="19" t="s">
        <v>48</v>
      </c>
      <c r="E515" s="19" t="str">
        <f>VLOOKUP(D515,'لیست پرسنل'!$B$2:$E$1020,3,FALSE)</f>
        <v>فکورصنعت</v>
      </c>
      <c r="F515" s="19" t="str">
        <f>VLOOKUP(D515,'لیست پرسنل'!$B$2:$E$1020,4,FALSE)</f>
        <v>سرپرست آی تی</v>
      </c>
      <c r="G515" s="127">
        <f>VLOOKUP(D515,'لیست پرسنل'!$B$2:$F$1020,2,FALSE)</f>
        <v>2210</v>
      </c>
      <c r="H515" s="127" t="s">
        <v>4290</v>
      </c>
      <c r="I515" s="127"/>
      <c r="J515" s="128" t="s">
        <v>2686</v>
      </c>
      <c r="K515" s="128" t="s">
        <v>89</v>
      </c>
      <c r="L515" s="127" t="s">
        <v>295</v>
      </c>
      <c r="M515" s="127">
        <v>622544</v>
      </c>
      <c r="N515" s="109"/>
      <c r="O515" s="86"/>
      <c r="P515" s="20"/>
      <c r="Q515" s="20"/>
    </row>
    <row r="516" spans="1:17" ht="24.9" customHeight="1">
      <c r="A516" s="20">
        <v>362</v>
      </c>
      <c r="B516" s="20" t="s">
        <v>4345</v>
      </c>
      <c r="C516" s="19"/>
      <c r="D516" s="20" t="s">
        <v>48</v>
      </c>
      <c r="E516" s="19" t="str">
        <f>VLOOKUP(D516,'لیست پرسنل'!$B$2:$E$1020,3,FALSE)</f>
        <v>فکورصنعت</v>
      </c>
      <c r="F516" s="19" t="str">
        <f>VLOOKUP(D516,'لیست پرسنل'!$B$2:$E$1020,4,FALSE)</f>
        <v>سرپرست آی تی</v>
      </c>
      <c r="G516" s="127">
        <f>VLOOKUP(D516,'لیست پرسنل'!$B$2:$F$1020,2,FALSE)</f>
        <v>2210</v>
      </c>
      <c r="H516" s="126" t="s">
        <v>4290</v>
      </c>
      <c r="I516" s="128"/>
      <c r="J516" s="128" t="s">
        <v>2686</v>
      </c>
      <c r="K516" s="128" t="s">
        <v>2922</v>
      </c>
      <c r="L516" s="128" t="s">
        <v>2933</v>
      </c>
      <c r="M516" s="128">
        <v>626410</v>
      </c>
      <c r="N516" s="108"/>
      <c r="O516" s="20" t="s">
        <v>705</v>
      </c>
      <c r="P516" s="20"/>
      <c r="Q516" s="20"/>
    </row>
    <row r="517" spans="1:17" ht="24.9" customHeight="1">
      <c r="A517" s="20">
        <v>362</v>
      </c>
      <c r="B517" s="20" t="s">
        <v>4345</v>
      </c>
      <c r="C517" s="19"/>
      <c r="D517" s="20" t="s">
        <v>48</v>
      </c>
      <c r="E517" s="19" t="str">
        <f>VLOOKUP(D517,'لیست پرسنل'!$B$2:$E$1020,3,FALSE)</f>
        <v>فکورصنعت</v>
      </c>
      <c r="F517" s="19" t="str">
        <f>VLOOKUP(D517,'لیست پرسنل'!$B$2:$E$1020,4,FALSE)</f>
        <v>سرپرست آی تی</v>
      </c>
      <c r="G517" s="127">
        <f>VLOOKUP(D517,'لیست پرسنل'!$B$2:$F$1020,2,FALSE)</f>
        <v>2210</v>
      </c>
      <c r="H517" s="126" t="s">
        <v>4290</v>
      </c>
      <c r="I517" s="128"/>
      <c r="J517" s="128" t="s">
        <v>2686</v>
      </c>
      <c r="K517" s="128" t="s">
        <v>2922</v>
      </c>
      <c r="L517" s="128" t="s">
        <v>2957</v>
      </c>
      <c r="M517" s="128">
        <v>626438</v>
      </c>
      <c r="N517" s="108"/>
      <c r="O517" s="20" t="s">
        <v>705</v>
      </c>
      <c r="P517" s="20"/>
      <c r="Q517" s="20"/>
    </row>
    <row r="518" spans="1:17" ht="24.9" customHeight="1">
      <c r="A518" s="20">
        <v>362</v>
      </c>
      <c r="B518" s="20" t="s">
        <v>4345</v>
      </c>
      <c r="C518" s="19"/>
      <c r="D518" s="20" t="s">
        <v>48</v>
      </c>
      <c r="E518" s="19" t="str">
        <f>VLOOKUP(D518,'لیست پرسنل'!$B$2:$E$1020,3,FALSE)</f>
        <v>فکورصنعت</v>
      </c>
      <c r="F518" s="19" t="str">
        <f>VLOOKUP(D518,'لیست پرسنل'!$B$2:$E$1020,4,FALSE)</f>
        <v>سرپرست آی تی</v>
      </c>
      <c r="G518" s="127">
        <f>VLOOKUP(D518,'لیست پرسنل'!$B$2:$F$1020,2,FALSE)</f>
        <v>2210</v>
      </c>
      <c r="H518" s="126" t="s">
        <v>4290</v>
      </c>
      <c r="I518" s="128"/>
      <c r="J518" s="128" t="s">
        <v>2686</v>
      </c>
      <c r="K518" s="128" t="s">
        <v>2922</v>
      </c>
      <c r="L518" s="127" t="s">
        <v>2983</v>
      </c>
      <c r="M518" s="128">
        <v>626465</v>
      </c>
      <c r="N518" s="108"/>
      <c r="O518" s="20" t="s">
        <v>705</v>
      </c>
      <c r="P518" s="20"/>
      <c r="Q518" s="20"/>
    </row>
    <row r="519" spans="1:17" ht="24.9" customHeight="1">
      <c r="A519" s="20">
        <v>362</v>
      </c>
      <c r="B519" s="20" t="s">
        <v>4345</v>
      </c>
      <c r="C519" s="19"/>
      <c r="D519" s="20" t="s">
        <v>48</v>
      </c>
      <c r="E519" s="19" t="str">
        <f>VLOOKUP(D519,'لیست پرسنل'!$B$2:$E$1020,3,FALSE)</f>
        <v>فکورصنعت</v>
      </c>
      <c r="F519" s="19" t="str">
        <f>VLOOKUP(D519,'لیست پرسنل'!$B$2:$E$1020,4,FALSE)</f>
        <v>سرپرست آی تی</v>
      </c>
      <c r="G519" s="127">
        <f>VLOOKUP(D519,'لیست پرسنل'!$B$2:$F$1020,2,FALSE)</f>
        <v>2210</v>
      </c>
      <c r="H519" s="126" t="s">
        <v>4290</v>
      </c>
      <c r="I519" s="128"/>
      <c r="J519" s="128" t="s">
        <v>2686</v>
      </c>
      <c r="K519" s="128" t="s">
        <v>2922</v>
      </c>
      <c r="L519" s="127" t="s">
        <v>2995</v>
      </c>
      <c r="M519" s="128">
        <v>626477</v>
      </c>
      <c r="N519" s="108"/>
      <c r="O519" s="20" t="s">
        <v>705</v>
      </c>
      <c r="P519" s="20"/>
      <c r="Q519" s="20"/>
    </row>
    <row r="520" spans="1:17" ht="24.9" customHeight="1">
      <c r="A520" s="20">
        <v>362</v>
      </c>
      <c r="B520" s="20" t="s">
        <v>4345</v>
      </c>
      <c r="C520" s="19"/>
      <c r="D520" s="20" t="s">
        <v>48</v>
      </c>
      <c r="E520" s="19" t="str">
        <f>VLOOKUP(D520,'لیست پرسنل'!$B$2:$E$1020,3,FALSE)</f>
        <v>فکورصنعت</v>
      </c>
      <c r="F520" s="19" t="str">
        <f>VLOOKUP(D520,'لیست پرسنل'!$B$2:$E$1020,4,FALSE)</f>
        <v>سرپرست آی تی</v>
      </c>
      <c r="G520" s="127">
        <f>VLOOKUP(D520,'لیست پرسنل'!$B$2:$F$1020,2,FALSE)</f>
        <v>2210</v>
      </c>
      <c r="H520" s="126" t="s">
        <v>4290</v>
      </c>
      <c r="I520" s="128"/>
      <c r="J520" s="128" t="s">
        <v>2686</v>
      </c>
      <c r="K520" s="128" t="s">
        <v>2922</v>
      </c>
      <c r="L520" s="127" t="s">
        <v>3020</v>
      </c>
      <c r="M520" s="128">
        <v>626503</v>
      </c>
      <c r="N520" s="108"/>
      <c r="O520" s="20" t="s">
        <v>705</v>
      </c>
      <c r="P520" s="20"/>
      <c r="Q520" s="20"/>
    </row>
    <row r="521" spans="1:17" ht="24.9" customHeight="1">
      <c r="A521" s="20">
        <v>362</v>
      </c>
      <c r="B521" s="20" t="s">
        <v>4345</v>
      </c>
      <c r="C521" s="19"/>
      <c r="D521" s="20" t="s">
        <v>48</v>
      </c>
      <c r="E521" s="19" t="str">
        <f>VLOOKUP(D521,'لیست پرسنل'!$B$2:$E$1020,3,FALSE)</f>
        <v>فکورصنعت</v>
      </c>
      <c r="F521" s="19" t="str">
        <f>VLOOKUP(D521,'لیست پرسنل'!$B$2:$E$1020,4,FALSE)</f>
        <v>سرپرست آی تی</v>
      </c>
      <c r="G521" s="127">
        <f>VLOOKUP(D521,'لیست پرسنل'!$B$2:$F$1020,2,FALSE)</f>
        <v>2210</v>
      </c>
      <c r="H521" s="126" t="s">
        <v>4290</v>
      </c>
      <c r="I521" s="128"/>
      <c r="J521" s="128" t="s">
        <v>2686</v>
      </c>
      <c r="K521" s="128" t="s">
        <v>2922</v>
      </c>
      <c r="L521" s="127" t="s">
        <v>3026</v>
      </c>
      <c r="M521" s="128">
        <v>626509</v>
      </c>
      <c r="N521" s="108"/>
      <c r="O521" s="20" t="s">
        <v>705</v>
      </c>
      <c r="P521" s="20"/>
      <c r="Q521" s="20"/>
    </row>
    <row r="522" spans="1:17" ht="24.9" customHeight="1">
      <c r="A522" s="20">
        <v>362</v>
      </c>
      <c r="B522" s="20" t="s">
        <v>4345</v>
      </c>
      <c r="C522" s="19"/>
      <c r="D522" s="20" t="s">
        <v>48</v>
      </c>
      <c r="E522" s="19" t="str">
        <f>VLOOKUP(D522,'لیست پرسنل'!$B$2:$E$1020,3,FALSE)</f>
        <v>فکورصنعت</v>
      </c>
      <c r="F522" s="19" t="str">
        <f>VLOOKUP(D522,'لیست پرسنل'!$B$2:$E$1020,4,FALSE)</f>
        <v>سرپرست آی تی</v>
      </c>
      <c r="G522" s="127">
        <f>VLOOKUP(D522,'لیست پرسنل'!$B$2:$F$1020,2,FALSE)</f>
        <v>2210</v>
      </c>
      <c r="H522" s="126" t="s">
        <v>4290</v>
      </c>
      <c r="I522" s="128"/>
      <c r="J522" s="128" t="s">
        <v>2686</v>
      </c>
      <c r="K522" s="128" t="s">
        <v>2922</v>
      </c>
      <c r="L522" s="127" t="s">
        <v>3052</v>
      </c>
      <c r="M522" s="128">
        <v>626536</v>
      </c>
      <c r="N522" s="108"/>
      <c r="O522" s="20" t="s">
        <v>705</v>
      </c>
      <c r="P522" s="20"/>
      <c r="Q522" s="20"/>
    </row>
    <row r="523" spans="1:17" ht="24.9" customHeight="1">
      <c r="A523" s="20">
        <v>362</v>
      </c>
      <c r="B523" s="20" t="s">
        <v>4345</v>
      </c>
      <c r="C523" s="19"/>
      <c r="D523" s="20" t="s">
        <v>48</v>
      </c>
      <c r="E523" s="19" t="str">
        <f>VLOOKUP(D523,'لیست پرسنل'!$B$2:$E$1020,3,FALSE)</f>
        <v>فکورصنعت</v>
      </c>
      <c r="F523" s="19" t="str">
        <f>VLOOKUP(D523,'لیست پرسنل'!$B$2:$E$1020,4,FALSE)</f>
        <v>سرپرست آی تی</v>
      </c>
      <c r="G523" s="127">
        <f>VLOOKUP(D523,'لیست پرسنل'!$B$2:$F$1020,2,FALSE)</f>
        <v>2210</v>
      </c>
      <c r="H523" s="126" t="s">
        <v>4290</v>
      </c>
      <c r="I523" s="128"/>
      <c r="J523" s="128" t="s">
        <v>2686</v>
      </c>
      <c r="K523" s="128" t="s">
        <v>2922</v>
      </c>
      <c r="L523" s="127" t="s">
        <v>3054</v>
      </c>
      <c r="M523" s="128">
        <v>626538</v>
      </c>
      <c r="N523" s="108"/>
      <c r="O523" s="20" t="s">
        <v>705</v>
      </c>
      <c r="P523" s="20"/>
      <c r="Q523" s="20"/>
    </row>
    <row r="524" spans="1:17" ht="24.9" customHeight="1">
      <c r="A524" s="20">
        <v>362</v>
      </c>
      <c r="B524" s="20" t="s">
        <v>4345</v>
      </c>
      <c r="C524" s="19"/>
      <c r="D524" s="20" t="s">
        <v>48</v>
      </c>
      <c r="E524" s="19" t="str">
        <f>VLOOKUP(D524,'لیست پرسنل'!$B$2:$E$1020,3,FALSE)</f>
        <v>فکورصنعت</v>
      </c>
      <c r="F524" s="19" t="str">
        <f>VLOOKUP(D524,'لیست پرسنل'!$B$2:$E$1020,4,FALSE)</f>
        <v>سرپرست آی تی</v>
      </c>
      <c r="G524" s="127">
        <f>VLOOKUP(D524,'لیست پرسنل'!$B$2:$F$1020,2,FALSE)</f>
        <v>2210</v>
      </c>
      <c r="H524" s="126" t="s">
        <v>4290</v>
      </c>
      <c r="I524" s="128"/>
      <c r="J524" s="128" t="s">
        <v>2686</v>
      </c>
      <c r="K524" s="128" t="s">
        <v>2922</v>
      </c>
      <c r="L524" s="127" t="s">
        <v>3056</v>
      </c>
      <c r="M524" s="128">
        <v>626540</v>
      </c>
      <c r="N524" s="108"/>
      <c r="O524" s="20" t="s">
        <v>705</v>
      </c>
      <c r="P524" s="20"/>
      <c r="Q524" s="20"/>
    </row>
    <row r="525" spans="1:17" ht="24.9" customHeight="1">
      <c r="A525" s="20">
        <v>362</v>
      </c>
      <c r="B525" s="20" t="s">
        <v>4345</v>
      </c>
      <c r="C525" s="19"/>
      <c r="D525" s="20" t="s">
        <v>48</v>
      </c>
      <c r="E525" s="19" t="str">
        <f>VLOOKUP(D525,'لیست پرسنل'!$B$2:$E$1020,3,FALSE)</f>
        <v>فکورصنعت</v>
      </c>
      <c r="F525" s="19" t="str">
        <f>VLOOKUP(D525,'لیست پرسنل'!$B$2:$E$1020,4,FALSE)</f>
        <v>سرپرست آی تی</v>
      </c>
      <c r="G525" s="127">
        <f>VLOOKUP(D525,'لیست پرسنل'!$B$2:$F$1020,2,FALSE)</f>
        <v>2210</v>
      </c>
      <c r="H525" s="126" t="s">
        <v>4290</v>
      </c>
      <c r="I525" s="128"/>
      <c r="J525" s="128" t="s">
        <v>2686</v>
      </c>
      <c r="K525" s="128" t="s">
        <v>2922</v>
      </c>
      <c r="L525" s="127" t="s">
        <v>3067</v>
      </c>
      <c r="M525" s="128">
        <v>626551</v>
      </c>
      <c r="N525" s="108"/>
      <c r="O525" s="20" t="s">
        <v>705</v>
      </c>
      <c r="P525" s="20"/>
      <c r="Q525" s="20"/>
    </row>
    <row r="526" spans="1:17" ht="24.9" customHeight="1">
      <c r="A526" s="20">
        <v>362</v>
      </c>
      <c r="B526" s="20" t="s">
        <v>4345</v>
      </c>
      <c r="C526" s="19"/>
      <c r="D526" s="20" t="s">
        <v>48</v>
      </c>
      <c r="E526" s="19" t="str">
        <f>VLOOKUP(D526,'لیست پرسنل'!$B$2:$E$1020,3,FALSE)</f>
        <v>فکورصنعت</v>
      </c>
      <c r="F526" s="19" t="str">
        <f>VLOOKUP(D526,'لیست پرسنل'!$B$2:$E$1020,4,FALSE)</f>
        <v>سرپرست آی تی</v>
      </c>
      <c r="G526" s="127">
        <f>VLOOKUP(D526,'لیست پرسنل'!$B$2:$F$1020,2,FALSE)</f>
        <v>2210</v>
      </c>
      <c r="H526" s="126" t="s">
        <v>4290</v>
      </c>
      <c r="I526" s="128"/>
      <c r="J526" s="128" t="s">
        <v>2686</v>
      </c>
      <c r="K526" s="128" t="s">
        <v>2922</v>
      </c>
      <c r="L526" s="127" t="s">
        <v>3069</v>
      </c>
      <c r="M526" s="128">
        <v>626553</v>
      </c>
      <c r="N526" s="108"/>
      <c r="O526" s="20" t="s">
        <v>705</v>
      </c>
      <c r="P526" s="20"/>
      <c r="Q526" s="20"/>
    </row>
    <row r="527" spans="1:17" ht="24.9" customHeight="1">
      <c r="A527" s="20">
        <v>362</v>
      </c>
      <c r="B527" s="20" t="s">
        <v>4345</v>
      </c>
      <c r="C527" s="19"/>
      <c r="D527" s="20" t="s">
        <v>48</v>
      </c>
      <c r="E527" s="19" t="str">
        <f>VLOOKUP(D527,'لیست پرسنل'!$B$2:$E$1020,3,FALSE)</f>
        <v>فکورصنعت</v>
      </c>
      <c r="F527" s="19" t="str">
        <f>VLOOKUP(D527,'لیست پرسنل'!$B$2:$E$1020,4,FALSE)</f>
        <v>سرپرست آی تی</v>
      </c>
      <c r="G527" s="127">
        <f>VLOOKUP(D527,'لیست پرسنل'!$B$2:$F$1020,2,FALSE)</f>
        <v>2210</v>
      </c>
      <c r="H527" s="126" t="s">
        <v>4290</v>
      </c>
      <c r="I527" s="128"/>
      <c r="J527" s="128" t="s">
        <v>2686</v>
      </c>
      <c r="K527" s="128" t="s">
        <v>2922</v>
      </c>
      <c r="L527" s="127" t="s">
        <v>3078</v>
      </c>
      <c r="M527" s="128">
        <v>626562</v>
      </c>
      <c r="N527" s="108"/>
      <c r="O527" s="20" t="s">
        <v>705</v>
      </c>
      <c r="P527" s="20"/>
      <c r="Q527" s="20"/>
    </row>
    <row r="528" spans="1:17" ht="24.9" customHeight="1">
      <c r="A528" s="20">
        <v>362</v>
      </c>
      <c r="B528" s="20" t="s">
        <v>4345</v>
      </c>
      <c r="C528" s="19"/>
      <c r="D528" s="20" t="s">
        <v>48</v>
      </c>
      <c r="E528" s="19" t="str">
        <f>VLOOKUP(D528,'لیست پرسنل'!$B$2:$E$1020,3,FALSE)</f>
        <v>فکورصنعت</v>
      </c>
      <c r="F528" s="19" t="str">
        <f>VLOOKUP(D528,'لیست پرسنل'!$B$2:$E$1020,4,FALSE)</f>
        <v>سرپرست آی تی</v>
      </c>
      <c r="G528" s="127">
        <f>VLOOKUP(D528,'لیست پرسنل'!$B$2:$F$1020,2,FALSE)</f>
        <v>2210</v>
      </c>
      <c r="H528" s="126" t="s">
        <v>4290</v>
      </c>
      <c r="I528" s="128"/>
      <c r="J528" s="128" t="s">
        <v>2686</v>
      </c>
      <c r="K528" s="128" t="s">
        <v>2922</v>
      </c>
      <c r="L528" s="127" t="s">
        <v>3082</v>
      </c>
      <c r="M528" s="128">
        <v>626566</v>
      </c>
      <c r="N528" s="108"/>
      <c r="O528" s="20" t="s">
        <v>705</v>
      </c>
      <c r="P528" s="20"/>
      <c r="Q528" s="20"/>
    </row>
    <row r="529" spans="1:17" ht="24.9" customHeight="1">
      <c r="A529" s="20">
        <v>362</v>
      </c>
      <c r="B529" s="20" t="s">
        <v>4345</v>
      </c>
      <c r="C529" s="19"/>
      <c r="D529" s="20" t="s">
        <v>48</v>
      </c>
      <c r="E529" s="19" t="str">
        <f>VLOOKUP(D529,'لیست پرسنل'!$B$2:$E$1020,3,FALSE)</f>
        <v>فکورصنعت</v>
      </c>
      <c r="F529" s="19" t="str">
        <f>VLOOKUP(D529,'لیست پرسنل'!$B$2:$E$1020,4,FALSE)</f>
        <v>سرپرست آی تی</v>
      </c>
      <c r="G529" s="127">
        <f>VLOOKUP(D529,'لیست پرسنل'!$B$2:$F$1020,2,FALSE)</f>
        <v>2210</v>
      </c>
      <c r="H529" s="126" t="s">
        <v>4290</v>
      </c>
      <c r="I529" s="128"/>
      <c r="J529" s="128" t="s">
        <v>2686</v>
      </c>
      <c r="K529" s="128" t="s">
        <v>2922</v>
      </c>
      <c r="L529" s="127" t="s">
        <v>3083</v>
      </c>
      <c r="M529" s="128">
        <v>626567</v>
      </c>
      <c r="N529" s="108"/>
      <c r="O529" s="20" t="s">
        <v>705</v>
      </c>
      <c r="P529" s="20"/>
      <c r="Q529" s="20"/>
    </row>
    <row r="530" spans="1:17" ht="24.9" customHeight="1">
      <c r="A530" s="20">
        <v>362</v>
      </c>
      <c r="B530" s="20" t="s">
        <v>4345</v>
      </c>
      <c r="C530" s="19"/>
      <c r="D530" s="20" t="s">
        <v>48</v>
      </c>
      <c r="E530" s="19" t="str">
        <f>VLOOKUP(D530,'لیست پرسنل'!$B$2:$E$1020,3,FALSE)</f>
        <v>فکورصنعت</v>
      </c>
      <c r="F530" s="19" t="str">
        <f>VLOOKUP(D530,'لیست پرسنل'!$B$2:$E$1020,4,FALSE)</f>
        <v>سرپرست آی تی</v>
      </c>
      <c r="G530" s="127">
        <f>VLOOKUP(D530,'لیست پرسنل'!$B$2:$F$1020,2,FALSE)</f>
        <v>2210</v>
      </c>
      <c r="H530" s="126" t="s">
        <v>4290</v>
      </c>
      <c r="I530" s="128"/>
      <c r="J530" s="128" t="s">
        <v>2686</v>
      </c>
      <c r="K530" s="128" t="s">
        <v>2922</v>
      </c>
      <c r="L530" s="127" t="s">
        <v>3092</v>
      </c>
      <c r="M530" s="128">
        <v>626576</v>
      </c>
      <c r="N530" s="108"/>
      <c r="O530" s="20" t="s">
        <v>705</v>
      </c>
      <c r="P530" s="20"/>
      <c r="Q530" s="20"/>
    </row>
    <row r="531" spans="1:17" ht="24.9" customHeight="1">
      <c r="A531" s="20">
        <v>362</v>
      </c>
      <c r="B531" s="20" t="s">
        <v>4345</v>
      </c>
      <c r="C531" s="19"/>
      <c r="D531" s="20" t="s">
        <v>48</v>
      </c>
      <c r="E531" s="19" t="str">
        <f>VLOOKUP(D531,'لیست پرسنل'!$B$2:$E$1020,3,FALSE)</f>
        <v>فکورصنعت</v>
      </c>
      <c r="F531" s="19" t="str">
        <f>VLOOKUP(D531,'لیست پرسنل'!$B$2:$E$1020,4,FALSE)</f>
        <v>سرپرست آی تی</v>
      </c>
      <c r="G531" s="127">
        <f>VLOOKUP(D531,'لیست پرسنل'!$B$2:$F$1020,2,FALSE)</f>
        <v>2210</v>
      </c>
      <c r="H531" s="126" t="s">
        <v>4290</v>
      </c>
      <c r="I531" s="128"/>
      <c r="J531" s="128" t="s">
        <v>2686</v>
      </c>
      <c r="K531" s="128" t="s">
        <v>2922</v>
      </c>
      <c r="L531" s="127" t="s">
        <v>3094</v>
      </c>
      <c r="M531" s="128">
        <v>626578</v>
      </c>
      <c r="N531" s="108"/>
      <c r="O531" s="20" t="s">
        <v>705</v>
      </c>
      <c r="P531" s="20"/>
      <c r="Q531" s="20"/>
    </row>
    <row r="532" spans="1:17" ht="24.9" customHeight="1">
      <c r="A532" s="20">
        <v>362</v>
      </c>
      <c r="B532" s="20" t="s">
        <v>4345</v>
      </c>
      <c r="C532" s="19"/>
      <c r="D532" s="20" t="s">
        <v>48</v>
      </c>
      <c r="E532" s="19" t="str">
        <f>VLOOKUP(D532,'لیست پرسنل'!$B$2:$E$1020,3,FALSE)</f>
        <v>فکورصنعت</v>
      </c>
      <c r="F532" s="19" t="str">
        <f>VLOOKUP(D532,'لیست پرسنل'!$B$2:$E$1020,4,FALSE)</f>
        <v>سرپرست آی تی</v>
      </c>
      <c r="G532" s="127">
        <f>VLOOKUP(D532,'لیست پرسنل'!$B$2:$F$1020,2,FALSE)</f>
        <v>2210</v>
      </c>
      <c r="H532" s="151" t="s">
        <v>4290</v>
      </c>
      <c r="I532" s="127"/>
      <c r="J532" s="128" t="s">
        <v>2686</v>
      </c>
      <c r="K532" s="128" t="s">
        <v>2922</v>
      </c>
      <c r="L532" s="153" t="s">
        <v>3104</v>
      </c>
      <c r="M532" s="127">
        <v>626588</v>
      </c>
      <c r="N532" s="109"/>
      <c r="O532" s="86"/>
      <c r="P532" s="20"/>
      <c r="Q532" s="20"/>
    </row>
    <row r="533" spans="1:17" ht="24.9" customHeight="1">
      <c r="A533" s="20">
        <v>362</v>
      </c>
      <c r="B533" s="20" t="s">
        <v>4345</v>
      </c>
      <c r="C533" s="19"/>
      <c r="D533" s="20" t="s">
        <v>48</v>
      </c>
      <c r="E533" s="19" t="str">
        <f>VLOOKUP(D533,'لیست پرسنل'!$B$2:$E$1020,3,FALSE)</f>
        <v>فکورصنعت</v>
      </c>
      <c r="F533" s="19" t="str">
        <f>VLOOKUP(D533,'لیست پرسنل'!$B$2:$E$1020,4,FALSE)</f>
        <v>سرپرست آی تی</v>
      </c>
      <c r="G533" s="127">
        <f>VLOOKUP(D533,'لیست پرسنل'!$B$2:$F$1020,2,FALSE)</f>
        <v>2210</v>
      </c>
      <c r="H533" s="126" t="s">
        <v>4290</v>
      </c>
      <c r="I533" s="128"/>
      <c r="J533" s="128" t="s">
        <v>2686</v>
      </c>
      <c r="K533" s="128" t="s">
        <v>2922</v>
      </c>
      <c r="L533" s="127" t="s">
        <v>3109</v>
      </c>
      <c r="M533" s="128">
        <v>626593</v>
      </c>
      <c r="N533" s="108"/>
      <c r="O533" s="20" t="s">
        <v>705</v>
      </c>
      <c r="P533" s="20"/>
      <c r="Q533" s="20"/>
    </row>
    <row r="534" spans="1:17" ht="24.9" customHeight="1">
      <c r="A534" s="20">
        <v>362</v>
      </c>
      <c r="B534" s="20" t="s">
        <v>4345</v>
      </c>
      <c r="C534" s="19"/>
      <c r="D534" s="20" t="s">
        <v>48</v>
      </c>
      <c r="E534" s="19" t="str">
        <f>VLOOKUP(D534,'لیست پرسنل'!$B$2:$E$1020,3,FALSE)</f>
        <v>فکورصنعت</v>
      </c>
      <c r="F534" s="19" t="str">
        <f>VLOOKUP(D534,'لیست پرسنل'!$B$2:$E$1020,4,FALSE)</f>
        <v>سرپرست آی تی</v>
      </c>
      <c r="G534" s="127">
        <f>VLOOKUP(D534,'لیست پرسنل'!$B$2:$F$1020,2,FALSE)</f>
        <v>2210</v>
      </c>
      <c r="H534" s="126" t="s">
        <v>4290</v>
      </c>
      <c r="I534" s="128"/>
      <c r="J534" s="128" t="s">
        <v>2686</v>
      </c>
      <c r="K534" s="128" t="s">
        <v>2922</v>
      </c>
      <c r="L534" s="127" t="s">
        <v>3115</v>
      </c>
      <c r="M534" s="128">
        <v>626599</v>
      </c>
      <c r="N534" s="108"/>
      <c r="O534" s="20" t="s">
        <v>705</v>
      </c>
      <c r="P534" s="20"/>
      <c r="Q534" s="20"/>
    </row>
    <row r="535" spans="1:17" ht="24.9" customHeight="1">
      <c r="A535" s="20">
        <v>362</v>
      </c>
      <c r="B535" s="20" t="s">
        <v>4345</v>
      </c>
      <c r="C535" s="19"/>
      <c r="D535" s="20" t="s">
        <v>48</v>
      </c>
      <c r="E535" s="19" t="str">
        <f>VLOOKUP(D535,'لیست پرسنل'!$B$2:$E$1020,3,FALSE)</f>
        <v>فکورصنعت</v>
      </c>
      <c r="F535" s="19" t="str">
        <f>VLOOKUP(D535,'لیست پرسنل'!$B$2:$E$1020,4,FALSE)</f>
        <v>سرپرست آی تی</v>
      </c>
      <c r="G535" s="127">
        <f>VLOOKUP(D535,'لیست پرسنل'!$B$2:$F$1020,2,FALSE)</f>
        <v>2210</v>
      </c>
      <c r="H535" s="126" t="s">
        <v>4290</v>
      </c>
      <c r="I535" s="128"/>
      <c r="J535" s="128" t="s">
        <v>2686</v>
      </c>
      <c r="K535" s="128" t="s">
        <v>5067</v>
      </c>
      <c r="L535" s="127" t="s">
        <v>5069</v>
      </c>
      <c r="M535" s="128">
        <v>628376</v>
      </c>
      <c r="N535" s="108"/>
      <c r="O535" s="20"/>
      <c r="P535" s="20"/>
      <c r="Q535" s="20"/>
    </row>
    <row r="536" spans="1:17" ht="24.9" customHeight="1">
      <c r="A536" s="20">
        <v>362</v>
      </c>
      <c r="B536" s="20" t="s">
        <v>4345</v>
      </c>
      <c r="C536" s="20"/>
      <c r="D536" s="20" t="s">
        <v>48</v>
      </c>
      <c r="E536" s="19" t="str">
        <f>VLOOKUP(D536,'لیست پرسنل'!$B$2:$E$1020,3,FALSE)</f>
        <v>فکورصنعت</v>
      </c>
      <c r="F536" s="19" t="str">
        <f>VLOOKUP(D536,'لیست پرسنل'!$B$2:$E$1020,4,FALSE)</f>
        <v>سرپرست آی تی</v>
      </c>
      <c r="G536" s="127">
        <f>VLOOKUP(D536,'لیست پرسنل'!$B$2:$F$1020,2,FALSE)</f>
        <v>2210</v>
      </c>
      <c r="H536" s="126" t="s">
        <v>4290</v>
      </c>
      <c r="I536" s="128"/>
      <c r="J536" s="128" t="s">
        <v>2686</v>
      </c>
      <c r="K536" s="127" t="s">
        <v>621</v>
      </c>
      <c r="L536" s="151" t="s">
        <v>2073</v>
      </c>
      <c r="M536" s="127">
        <v>632385</v>
      </c>
      <c r="N536" s="108" t="s">
        <v>6487</v>
      </c>
      <c r="O536" s="19" t="s">
        <v>5941</v>
      </c>
      <c r="P536" s="20"/>
      <c r="Q536" s="20"/>
    </row>
    <row r="537" spans="1:17" ht="24.9" customHeight="1">
      <c r="A537" s="20">
        <v>362</v>
      </c>
      <c r="B537" s="20" t="s">
        <v>4345</v>
      </c>
      <c r="C537" s="20"/>
      <c r="D537" s="20" t="s">
        <v>48</v>
      </c>
      <c r="E537" s="19" t="str">
        <f>VLOOKUP(D537,'لیست پرسنل'!$B$2:$E$1020,3,FALSE)</f>
        <v>فکورصنعت</v>
      </c>
      <c r="F537" s="19" t="str">
        <f>VLOOKUP(D537,'لیست پرسنل'!$B$2:$E$1020,4,FALSE)</f>
        <v>سرپرست آی تی</v>
      </c>
      <c r="G537" s="127">
        <f>VLOOKUP(D537,'لیست پرسنل'!$B$2:$F$1020,2,FALSE)</f>
        <v>2210</v>
      </c>
      <c r="H537" s="126" t="s">
        <v>4290</v>
      </c>
      <c r="I537" s="128"/>
      <c r="J537" s="128" t="s">
        <v>2686</v>
      </c>
      <c r="K537" s="127" t="s">
        <v>513</v>
      </c>
      <c r="L537" s="151" t="s">
        <v>2074</v>
      </c>
      <c r="M537" s="127">
        <v>632388</v>
      </c>
      <c r="N537" s="108"/>
      <c r="O537" s="19" t="s">
        <v>5943</v>
      </c>
      <c r="P537" s="20"/>
      <c r="Q537" s="20"/>
    </row>
    <row r="538" spans="1:17" ht="24.9" customHeight="1">
      <c r="A538" s="20">
        <v>362</v>
      </c>
      <c r="B538" s="20" t="s">
        <v>4345</v>
      </c>
      <c r="C538" s="19"/>
      <c r="D538" s="20" t="s">
        <v>48</v>
      </c>
      <c r="E538" s="19" t="str">
        <f>VLOOKUP(D538,'لیست پرسنل'!$B$2:$E$1020,3,FALSE)</f>
        <v>فکورصنعت</v>
      </c>
      <c r="F538" s="19" t="str">
        <f>VLOOKUP(D538,'لیست پرسنل'!$B$2:$E$1020,4,FALSE)</f>
        <v>سرپرست آی تی</v>
      </c>
      <c r="G538" s="127">
        <f>VLOOKUP(D538,'لیست پرسنل'!$B$2:$F$1020,2,FALSE)</f>
        <v>2210</v>
      </c>
      <c r="H538" s="126" t="s">
        <v>4290</v>
      </c>
      <c r="I538" s="128"/>
      <c r="J538" s="128" t="s">
        <v>2686</v>
      </c>
      <c r="K538" s="128" t="s">
        <v>624</v>
      </c>
      <c r="L538" s="150" t="s">
        <v>4135</v>
      </c>
      <c r="M538" s="128">
        <v>632389</v>
      </c>
      <c r="N538" s="108" t="s">
        <v>6487</v>
      </c>
      <c r="O538" s="19" t="s">
        <v>5944</v>
      </c>
      <c r="P538" s="20"/>
      <c r="Q538" s="20"/>
    </row>
    <row r="539" spans="1:17" ht="24.9" customHeight="1">
      <c r="A539" s="20">
        <v>362</v>
      </c>
      <c r="B539" s="20" t="s">
        <v>4345</v>
      </c>
      <c r="C539" s="19"/>
      <c r="D539" s="20" t="s">
        <v>48</v>
      </c>
      <c r="E539" s="19" t="str">
        <f>VLOOKUP(D539,'لیست پرسنل'!$B$2:$E$1020,3,FALSE)</f>
        <v>فکورصنعت</v>
      </c>
      <c r="F539" s="19" t="str">
        <f>VLOOKUP(D539,'لیست پرسنل'!$B$2:$E$1020,4,FALSE)</f>
        <v>سرپرست آی تی</v>
      </c>
      <c r="G539" s="127">
        <f>VLOOKUP(D539,'لیست پرسنل'!$B$2:$F$1020,2,FALSE)</f>
        <v>2210</v>
      </c>
      <c r="H539" s="126" t="s">
        <v>4290</v>
      </c>
      <c r="I539" s="128"/>
      <c r="J539" s="128" t="s">
        <v>2686</v>
      </c>
      <c r="K539" s="127" t="s">
        <v>2753</v>
      </c>
      <c r="L539" s="163" t="s">
        <v>2754</v>
      </c>
      <c r="M539" s="128" t="s">
        <v>291</v>
      </c>
      <c r="N539" s="108"/>
      <c r="O539" s="32"/>
      <c r="P539" s="20"/>
      <c r="Q539" s="20"/>
    </row>
    <row r="540" spans="1:17" ht="24.9" customHeight="1">
      <c r="A540" s="20">
        <v>362</v>
      </c>
      <c r="B540" s="20" t="s">
        <v>4345</v>
      </c>
      <c r="C540" s="19"/>
      <c r="D540" s="20" t="s">
        <v>48</v>
      </c>
      <c r="E540" s="19" t="str">
        <f>VLOOKUP(D540,'لیست پرسنل'!$B$2:$E$1020,3,FALSE)</f>
        <v>فکورصنعت</v>
      </c>
      <c r="F540" s="19" t="str">
        <f>VLOOKUP(D540,'لیست پرسنل'!$B$2:$E$1020,4,FALSE)</f>
        <v>سرپرست آی تی</v>
      </c>
      <c r="G540" s="127">
        <f>VLOOKUP(D540,'لیست پرسنل'!$B$2:$F$1020,2,FALSE)</f>
        <v>2210</v>
      </c>
      <c r="H540" s="151" t="s">
        <v>4290</v>
      </c>
      <c r="I540" s="128"/>
      <c r="J540" s="128" t="s">
        <v>2686</v>
      </c>
      <c r="K540" s="134" t="s">
        <v>4975</v>
      </c>
      <c r="L540" s="164" t="s">
        <v>4974</v>
      </c>
      <c r="M540" s="128" t="s">
        <v>704</v>
      </c>
      <c r="N540" s="90"/>
      <c r="O540" s="20" t="s">
        <v>4976</v>
      </c>
      <c r="P540" s="20"/>
      <c r="Q540" s="20"/>
    </row>
    <row r="541" spans="1:17" ht="24.9" customHeight="1">
      <c r="A541" s="20">
        <v>362</v>
      </c>
      <c r="B541" s="20" t="s">
        <v>4345</v>
      </c>
      <c r="C541" s="19"/>
      <c r="D541" s="20" t="s">
        <v>48</v>
      </c>
      <c r="E541" s="19" t="str">
        <f>VLOOKUP(D541,'لیست پرسنل'!$B$2:$E$1020,3,FALSE)</f>
        <v>فکورصنعت</v>
      </c>
      <c r="F541" s="19" t="str">
        <f>VLOOKUP(D541,'لیست پرسنل'!$B$2:$E$1020,4,FALSE)</f>
        <v>سرپرست آی تی</v>
      </c>
      <c r="G541" s="127">
        <f>VLOOKUP(D541,'لیست پرسنل'!$B$2:$F$1020,2,FALSE)</f>
        <v>2210</v>
      </c>
      <c r="H541" s="126" t="s">
        <v>4290</v>
      </c>
      <c r="I541" s="128"/>
      <c r="J541" s="128" t="s">
        <v>2686</v>
      </c>
      <c r="K541" s="128" t="s">
        <v>320</v>
      </c>
      <c r="L541" s="151" t="s">
        <v>4238</v>
      </c>
      <c r="M541" s="132" t="s">
        <v>4371</v>
      </c>
      <c r="N541" s="109"/>
      <c r="O541" s="19" t="s">
        <v>6585</v>
      </c>
      <c r="P541" s="20"/>
      <c r="Q541" s="20"/>
    </row>
    <row r="542" spans="1:17" ht="24.9" customHeight="1">
      <c r="A542" s="20">
        <v>362</v>
      </c>
      <c r="B542" s="20" t="s">
        <v>4345</v>
      </c>
      <c r="C542" s="19"/>
      <c r="D542" s="20" t="s">
        <v>48</v>
      </c>
      <c r="E542" s="19" t="str">
        <f>VLOOKUP(D542,'لیست پرسنل'!$B$2:$E$1020,3,FALSE)</f>
        <v>فکورصنعت</v>
      </c>
      <c r="F542" s="19" t="str">
        <f>VLOOKUP(D542,'لیست پرسنل'!$B$2:$E$1020,4,FALSE)</f>
        <v>سرپرست آی تی</v>
      </c>
      <c r="G542" s="127">
        <f>VLOOKUP(D542,'لیست پرسنل'!$B$2:$F$1020,2,FALSE)</f>
        <v>2210</v>
      </c>
      <c r="H542" s="126" t="s">
        <v>4290</v>
      </c>
      <c r="I542" s="128"/>
      <c r="J542" s="128" t="s">
        <v>3313</v>
      </c>
      <c r="K542" s="128" t="s">
        <v>4822</v>
      </c>
      <c r="L542" s="128" t="s">
        <v>4823</v>
      </c>
      <c r="M542" s="128">
        <v>605168</v>
      </c>
      <c r="N542" s="108" t="s">
        <v>7233</v>
      </c>
      <c r="O542" s="20"/>
      <c r="P542" s="20"/>
      <c r="Q542" s="20"/>
    </row>
    <row r="543" spans="1:17" ht="24.9" customHeight="1">
      <c r="A543" s="20">
        <v>362</v>
      </c>
      <c r="B543" s="20" t="s">
        <v>4345</v>
      </c>
      <c r="C543" s="19"/>
      <c r="D543" s="20" t="s">
        <v>48</v>
      </c>
      <c r="E543" s="19" t="str">
        <f>VLOOKUP(D543,'لیست پرسنل'!$B$2:$E$1020,3,FALSE)</f>
        <v>فکورصنعت</v>
      </c>
      <c r="F543" s="19" t="str">
        <f>VLOOKUP(D543,'لیست پرسنل'!$B$2:$E$1020,4,FALSE)</f>
        <v>سرپرست آی تی</v>
      </c>
      <c r="G543" s="127">
        <f>VLOOKUP(D543,'لیست پرسنل'!$B$2:$F$1020,2,FALSE)</f>
        <v>2210</v>
      </c>
      <c r="H543" s="126" t="s">
        <v>4290</v>
      </c>
      <c r="I543" s="128"/>
      <c r="J543" s="128" t="s">
        <v>3313</v>
      </c>
      <c r="K543" s="127" t="s">
        <v>1483</v>
      </c>
      <c r="L543" s="151" t="s">
        <v>1485</v>
      </c>
      <c r="M543" s="126">
        <v>605525</v>
      </c>
      <c r="N543" s="108"/>
      <c r="O543" s="20"/>
      <c r="P543" s="20"/>
      <c r="Q543" s="20"/>
    </row>
    <row r="544" spans="1:17" ht="24.9" customHeight="1">
      <c r="A544" s="20">
        <v>362</v>
      </c>
      <c r="B544" s="20" t="s">
        <v>4345</v>
      </c>
      <c r="C544" s="20"/>
      <c r="D544" s="20" t="s">
        <v>48</v>
      </c>
      <c r="E544" s="19" t="str">
        <f>VLOOKUP(D544,'لیست پرسنل'!$B$2:$E$1020,3,FALSE)</f>
        <v>فکورصنعت</v>
      </c>
      <c r="F544" s="19" t="str">
        <f>VLOOKUP(D544,'لیست پرسنل'!$B$2:$E$1020,4,FALSE)</f>
        <v>سرپرست آی تی</v>
      </c>
      <c r="G544" s="127">
        <f>VLOOKUP(D544,'لیست پرسنل'!$B$2:$F$1020,2,FALSE)</f>
        <v>2210</v>
      </c>
      <c r="H544" s="151" t="s">
        <v>4290</v>
      </c>
      <c r="I544" s="128"/>
      <c r="J544" s="128" t="s">
        <v>3313</v>
      </c>
      <c r="K544" s="135" t="s">
        <v>5060</v>
      </c>
      <c r="L544" s="151" t="s">
        <v>5061</v>
      </c>
      <c r="M544" s="135">
        <v>608867</v>
      </c>
      <c r="N544" s="108"/>
      <c r="O544" s="44" t="s">
        <v>5062</v>
      </c>
      <c r="P544" s="20"/>
      <c r="Q544" s="20"/>
    </row>
    <row r="545" spans="1:17" ht="24.9" customHeight="1">
      <c r="A545" s="20">
        <v>362</v>
      </c>
      <c r="B545" s="20" t="s">
        <v>4345</v>
      </c>
      <c r="C545" s="20"/>
      <c r="D545" s="19" t="s">
        <v>48</v>
      </c>
      <c r="E545" s="19" t="str">
        <f>VLOOKUP(D545,'لیست پرسنل'!$B$2:$E$1020,3,FALSE)</f>
        <v>فکورصنعت</v>
      </c>
      <c r="F545" s="19" t="str">
        <f>VLOOKUP(D545,'لیست پرسنل'!$B$2:$E$1020,4,FALSE)</f>
        <v>سرپرست آی تی</v>
      </c>
      <c r="G545" s="127">
        <f>VLOOKUP(D545,'لیست پرسنل'!$B$2:$F$1020,2,FALSE)</f>
        <v>2210</v>
      </c>
      <c r="H545" s="181" t="s">
        <v>4290</v>
      </c>
      <c r="I545" s="159"/>
      <c r="J545" s="159" t="s">
        <v>3313</v>
      </c>
      <c r="K545" s="128" t="s">
        <v>884</v>
      </c>
      <c r="L545" s="127"/>
      <c r="M545" s="127">
        <v>609756</v>
      </c>
      <c r="N545" s="109"/>
      <c r="O545" s="19"/>
      <c r="P545" s="20"/>
      <c r="Q545" s="20"/>
    </row>
    <row r="546" spans="1:17" ht="24.9" customHeight="1">
      <c r="A546" s="20">
        <v>362</v>
      </c>
      <c r="B546" s="20" t="s">
        <v>4345</v>
      </c>
      <c r="C546" s="20"/>
      <c r="D546" s="20" t="s">
        <v>48</v>
      </c>
      <c r="E546" s="19" t="str">
        <f>VLOOKUP(D546,'لیست پرسنل'!$B$2:$E$1020,3,FALSE)</f>
        <v>فکورصنعت</v>
      </c>
      <c r="F546" s="19" t="str">
        <f>VLOOKUP(D546,'لیست پرسنل'!$B$2:$E$1020,4,FALSE)</f>
        <v>سرپرست آی تی</v>
      </c>
      <c r="G546" s="127">
        <f>VLOOKUP(D546,'لیست پرسنل'!$B$2:$F$1020,2,FALSE)</f>
        <v>2210</v>
      </c>
      <c r="H546" s="126" t="s">
        <v>4290</v>
      </c>
      <c r="I546" s="128"/>
      <c r="J546" s="128" t="s">
        <v>3313</v>
      </c>
      <c r="K546" s="128" t="s">
        <v>4167</v>
      </c>
      <c r="L546" s="128" t="s">
        <v>4166</v>
      </c>
      <c r="M546" s="128">
        <v>612580</v>
      </c>
      <c r="N546" s="108"/>
      <c r="O546" s="20" t="s">
        <v>4148</v>
      </c>
      <c r="P546" s="20"/>
      <c r="Q546" s="20"/>
    </row>
    <row r="547" spans="1:17" ht="24.9" customHeight="1">
      <c r="A547" s="20">
        <v>362</v>
      </c>
      <c r="B547" s="20" t="s">
        <v>4345</v>
      </c>
      <c r="C547" s="20"/>
      <c r="D547" s="20" t="s">
        <v>48</v>
      </c>
      <c r="E547" s="19" t="str">
        <f>VLOOKUP(D547,'لیست پرسنل'!$B$2:$E$1020,3,FALSE)</f>
        <v>فکورصنعت</v>
      </c>
      <c r="F547" s="19" t="str">
        <f>VLOOKUP(D547,'لیست پرسنل'!$B$2:$E$1020,4,FALSE)</f>
        <v>سرپرست آی تی</v>
      </c>
      <c r="G547" s="127">
        <f>VLOOKUP(D547,'لیست پرسنل'!$B$2:$F$1020,2,FALSE)</f>
        <v>2210</v>
      </c>
      <c r="H547" s="128" t="s">
        <v>4290</v>
      </c>
      <c r="I547" s="128"/>
      <c r="J547" s="128" t="s">
        <v>3313</v>
      </c>
      <c r="K547" s="128" t="s">
        <v>6441</v>
      </c>
      <c r="L547" s="128" t="s">
        <v>6442</v>
      </c>
      <c r="M547" s="128">
        <v>617935</v>
      </c>
      <c r="N547" s="108"/>
      <c r="O547" s="90" t="s">
        <v>6439</v>
      </c>
      <c r="P547" s="20"/>
      <c r="Q547" s="20"/>
    </row>
    <row r="548" spans="1:17" ht="24.9" customHeight="1">
      <c r="A548" s="20">
        <v>362</v>
      </c>
      <c r="B548" s="20" t="s">
        <v>4345</v>
      </c>
      <c r="C548" s="20"/>
      <c r="D548" s="20" t="s">
        <v>48</v>
      </c>
      <c r="E548" s="19" t="str">
        <f>VLOOKUP(D548,'لیست پرسنل'!$B$2:$E$1020,3,FALSE)</f>
        <v>فکورصنعت</v>
      </c>
      <c r="F548" s="19" t="str">
        <f>VLOOKUP(D548,'لیست پرسنل'!$B$2:$E$1020,4,FALSE)</f>
        <v>سرپرست آی تی</v>
      </c>
      <c r="G548" s="127">
        <f>VLOOKUP(D548,'لیست پرسنل'!$B$2:$F$1020,2,FALSE)</f>
        <v>2210</v>
      </c>
      <c r="H548" s="130" t="s">
        <v>4290</v>
      </c>
      <c r="I548" s="128"/>
      <c r="J548" s="128" t="s">
        <v>3313</v>
      </c>
      <c r="K548" s="128" t="s">
        <v>4169</v>
      </c>
      <c r="L548" s="150" t="s">
        <v>4168</v>
      </c>
      <c r="M548" s="128">
        <v>620190</v>
      </c>
      <c r="N548" s="108"/>
      <c r="O548" s="20" t="s">
        <v>3672</v>
      </c>
      <c r="P548" s="20"/>
      <c r="Q548" s="20"/>
    </row>
    <row r="549" spans="1:17" ht="24.9" customHeight="1">
      <c r="A549" s="20">
        <v>362</v>
      </c>
      <c r="B549" s="20" t="s">
        <v>4345</v>
      </c>
      <c r="C549" s="20"/>
      <c r="D549" s="20" t="s">
        <v>48</v>
      </c>
      <c r="E549" s="19" t="str">
        <f>VLOOKUP(D549,'لیست پرسنل'!$B$2:$E$1020,3,FALSE)</f>
        <v>فکورصنعت</v>
      </c>
      <c r="F549" s="19" t="str">
        <f>VLOOKUP(D549,'لیست پرسنل'!$B$2:$E$1020,4,FALSE)</f>
        <v>سرپرست آی تی</v>
      </c>
      <c r="G549" s="127">
        <f>VLOOKUP(D549,'لیست پرسنل'!$B$2:$F$1020,2,FALSE)</f>
        <v>2210</v>
      </c>
      <c r="H549" s="126" t="s">
        <v>4290</v>
      </c>
      <c r="I549" s="128"/>
      <c r="J549" s="128" t="s">
        <v>3313</v>
      </c>
      <c r="K549" s="128" t="s">
        <v>4170</v>
      </c>
      <c r="L549" s="128" t="s">
        <v>4149</v>
      </c>
      <c r="M549" s="128">
        <v>620742</v>
      </c>
      <c r="N549" s="108"/>
      <c r="O549" s="20" t="s">
        <v>4148</v>
      </c>
      <c r="P549" s="20"/>
      <c r="Q549" s="20"/>
    </row>
    <row r="550" spans="1:17" ht="24.9" customHeight="1">
      <c r="A550" s="20">
        <v>362</v>
      </c>
      <c r="B550" s="20" t="s">
        <v>4345</v>
      </c>
      <c r="C550" s="20"/>
      <c r="D550" s="31" t="s">
        <v>48</v>
      </c>
      <c r="E550" s="19" t="str">
        <f>VLOOKUP(D550,'لیست پرسنل'!$B$2:$E$1020,3,FALSE)</f>
        <v>فکورصنعت</v>
      </c>
      <c r="F550" s="19" t="str">
        <f>VLOOKUP(D550,'لیست پرسنل'!$B$2:$E$1020,4,FALSE)</f>
        <v>سرپرست آی تی</v>
      </c>
      <c r="G550" s="127">
        <f>VLOOKUP(D550,'لیست پرسنل'!$B$2:$F$1020,2,FALSE)</f>
        <v>2210</v>
      </c>
      <c r="H550" s="127" t="s">
        <v>4290</v>
      </c>
      <c r="I550" s="128"/>
      <c r="J550" s="128" t="s">
        <v>3313</v>
      </c>
      <c r="K550" s="134" t="s">
        <v>3281</v>
      </c>
      <c r="L550" s="164"/>
      <c r="M550" s="136">
        <v>623585</v>
      </c>
      <c r="N550" s="108"/>
      <c r="O550" s="20" t="s">
        <v>705</v>
      </c>
      <c r="P550" s="20"/>
      <c r="Q550" s="20"/>
    </row>
    <row r="551" spans="1:17" ht="24.9" customHeight="1">
      <c r="A551" s="20">
        <v>362</v>
      </c>
      <c r="B551" s="20" t="s">
        <v>4345</v>
      </c>
      <c r="C551" s="20"/>
      <c r="D551" s="20" t="s">
        <v>48</v>
      </c>
      <c r="E551" s="19" t="str">
        <f>VLOOKUP(D551,'لیست پرسنل'!$B$2:$E$1020,3,FALSE)</f>
        <v>فکورصنعت</v>
      </c>
      <c r="F551" s="19" t="str">
        <f>VLOOKUP(D551,'لیست پرسنل'!$B$2:$E$1020,4,FALSE)</f>
        <v>سرپرست آی تی</v>
      </c>
      <c r="G551" s="127">
        <f>VLOOKUP(D551,'لیست پرسنل'!$B$2:$F$1020,2,FALSE)</f>
        <v>2210</v>
      </c>
      <c r="H551" s="128" t="s">
        <v>4290</v>
      </c>
      <c r="I551" s="128"/>
      <c r="J551" s="128" t="s">
        <v>3313</v>
      </c>
      <c r="K551" s="128" t="s">
        <v>5998</v>
      </c>
      <c r="L551" s="150" t="s">
        <v>7335</v>
      </c>
      <c r="M551" s="128">
        <v>625159</v>
      </c>
      <c r="N551" s="108" t="s">
        <v>7334</v>
      </c>
      <c r="O551" s="20"/>
      <c r="P551" s="20"/>
      <c r="Q551" s="20"/>
    </row>
    <row r="552" spans="1:17" ht="24.9" customHeight="1">
      <c r="A552" s="20">
        <v>362</v>
      </c>
      <c r="B552" s="20" t="s">
        <v>4345</v>
      </c>
      <c r="C552" s="20"/>
      <c r="D552" s="20" t="s">
        <v>48</v>
      </c>
      <c r="E552" s="19" t="str">
        <f>VLOOKUP(D552,'لیست پرسنل'!$B$2:$E$1020,3,FALSE)</f>
        <v>فکورصنعت</v>
      </c>
      <c r="F552" s="19" t="str">
        <f>VLOOKUP(D552,'لیست پرسنل'!$B$2:$E$1020,4,FALSE)</f>
        <v>سرپرست آی تی</v>
      </c>
      <c r="G552" s="127">
        <f>VLOOKUP(D552,'لیست پرسنل'!$B$2:$F$1020,2,FALSE)</f>
        <v>2210</v>
      </c>
      <c r="H552" s="128" t="s">
        <v>4290</v>
      </c>
      <c r="I552" s="128"/>
      <c r="J552" s="128" t="s">
        <v>3313</v>
      </c>
      <c r="K552" s="128" t="s">
        <v>1828</v>
      </c>
      <c r="L552" s="128" t="s">
        <v>1827</v>
      </c>
      <c r="M552" s="128">
        <v>625910</v>
      </c>
      <c r="N552" s="108"/>
      <c r="O552" s="19" t="s">
        <v>6120</v>
      </c>
      <c r="P552" s="19"/>
      <c r="Q552" s="19"/>
    </row>
    <row r="553" spans="1:17" ht="24.9" customHeight="1">
      <c r="A553" s="20">
        <v>362</v>
      </c>
      <c r="B553" s="20" t="s">
        <v>4345</v>
      </c>
      <c r="C553" s="19"/>
      <c r="D553" s="20" t="s">
        <v>48</v>
      </c>
      <c r="E553" s="19" t="str">
        <f>VLOOKUP(D553,'لیست پرسنل'!$B$2:$E$1020,3,FALSE)</f>
        <v>فکورصنعت</v>
      </c>
      <c r="F553" s="19" t="str">
        <f>VLOOKUP(D553,'لیست پرسنل'!$B$2:$E$1020,4,FALSE)</f>
        <v>سرپرست آی تی</v>
      </c>
      <c r="G553" s="127">
        <f>VLOOKUP(D553,'لیست پرسنل'!$B$2:$F$1020,2,FALSE)</f>
        <v>2210</v>
      </c>
      <c r="H553" s="126" t="s">
        <v>4290</v>
      </c>
      <c r="I553" s="128"/>
      <c r="J553" s="128" t="s">
        <v>3313</v>
      </c>
      <c r="K553" s="128" t="s">
        <v>3279</v>
      </c>
      <c r="L553" s="128" t="s">
        <v>3278</v>
      </c>
      <c r="M553" s="126" t="s">
        <v>291</v>
      </c>
      <c r="N553" s="108"/>
      <c r="O553" s="20"/>
      <c r="P553" s="20"/>
      <c r="Q553" s="20"/>
    </row>
    <row r="554" spans="1:17" ht="24.9" customHeight="1">
      <c r="A554" s="20">
        <v>362</v>
      </c>
      <c r="B554" s="20" t="s">
        <v>4345</v>
      </c>
      <c r="C554" s="19"/>
      <c r="D554" s="20" t="s">
        <v>48</v>
      </c>
      <c r="E554" s="19" t="str">
        <f>VLOOKUP(D554,'لیست پرسنل'!$B$2:$E$1020,3,FALSE)</f>
        <v>فکورصنعت</v>
      </c>
      <c r="F554" s="19" t="str">
        <f>VLOOKUP(D554,'لیست پرسنل'!$B$2:$E$1020,4,FALSE)</f>
        <v>سرپرست آی تی</v>
      </c>
      <c r="G554" s="127">
        <f>VLOOKUP(D554,'لیست پرسنل'!$B$2:$F$1020,2,FALSE)</f>
        <v>2210</v>
      </c>
      <c r="H554" s="126" t="s">
        <v>4290</v>
      </c>
      <c r="I554" s="128"/>
      <c r="J554" s="128" t="s">
        <v>3313</v>
      </c>
      <c r="K554" s="128" t="s">
        <v>4819</v>
      </c>
      <c r="L554" s="128">
        <v>13984200395</v>
      </c>
      <c r="M554" s="127" t="s">
        <v>291</v>
      </c>
      <c r="N554" s="108"/>
      <c r="O554" s="20"/>
      <c r="P554" s="20"/>
      <c r="Q554" s="20"/>
    </row>
    <row r="555" spans="1:17" ht="24.9" customHeight="1">
      <c r="A555" s="20">
        <v>362</v>
      </c>
      <c r="B555" s="20" t="s">
        <v>4345</v>
      </c>
      <c r="C555" s="19"/>
      <c r="D555" s="20" t="s">
        <v>48</v>
      </c>
      <c r="E555" s="19" t="str">
        <f>VLOOKUP(D555,'لیست پرسنل'!$B$2:$E$1020,3,FALSE)</f>
        <v>فکورصنعت</v>
      </c>
      <c r="F555" s="19" t="str">
        <f>VLOOKUP(D555,'لیست پرسنل'!$B$2:$E$1020,4,FALSE)</f>
        <v>سرپرست آی تی</v>
      </c>
      <c r="G555" s="127">
        <f>VLOOKUP(D555,'لیست پرسنل'!$B$2:$F$1020,2,FALSE)</f>
        <v>2210</v>
      </c>
      <c r="H555" s="126" t="s">
        <v>4290</v>
      </c>
      <c r="I555" s="128"/>
      <c r="J555" s="128" t="s">
        <v>3313</v>
      </c>
      <c r="K555" s="128" t="s">
        <v>4820</v>
      </c>
      <c r="L555" s="128" t="s">
        <v>4821</v>
      </c>
      <c r="M555" s="127" t="s">
        <v>291</v>
      </c>
      <c r="N555" s="108"/>
      <c r="O555" s="20"/>
      <c r="P555" s="20"/>
      <c r="Q555" s="20"/>
    </row>
    <row r="556" spans="1:17" ht="24.9" customHeight="1">
      <c r="A556" s="20">
        <v>362</v>
      </c>
      <c r="B556" s="20" t="s">
        <v>4345</v>
      </c>
      <c r="C556" s="20"/>
      <c r="D556" s="20" t="s">
        <v>48</v>
      </c>
      <c r="E556" s="19" t="str">
        <f>VLOOKUP(D556,'لیست پرسنل'!$B$2:$E$1020,3,FALSE)</f>
        <v>فکورصنعت</v>
      </c>
      <c r="F556" s="19" t="str">
        <f>VLOOKUP(D556,'لیست پرسنل'!$B$2:$E$1020,4,FALSE)</f>
        <v>سرپرست آی تی</v>
      </c>
      <c r="G556" s="127">
        <f>VLOOKUP(D556,'لیست پرسنل'!$B$2:$F$1020,2,FALSE)</f>
        <v>2210</v>
      </c>
      <c r="H556" s="128" t="s">
        <v>4290</v>
      </c>
      <c r="I556" s="128"/>
      <c r="J556" s="128" t="s">
        <v>4719</v>
      </c>
      <c r="K556" s="128" t="s">
        <v>5476</v>
      </c>
      <c r="L556" s="127"/>
      <c r="M556" s="128" t="s">
        <v>291</v>
      </c>
      <c r="N556" s="109"/>
      <c r="O556" s="19"/>
      <c r="P556" s="32"/>
      <c r="Q556" s="32"/>
    </row>
    <row r="557" spans="1:17" ht="24.9" customHeight="1">
      <c r="A557" s="20">
        <v>362</v>
      </c>
      <c r="B557" s="20" t="s">
        <v>4345</v>
      </c>
      <c r="C557" s="20"/>
      <c r="D557" s="20" t="s">
        <v>48</v>
      </c>
      <c r="E557" s="19" t="str">
        <f>VLOOKUP(D557,'لیست پرسنل'!$B$2:$E$1020,3,FALSE)</f>
        <v>فکورصنعت</v>
      </c>
      <c r="F557" s="19" t="str">
        <f>VLOOKUP(D557,'لیست پرسنل'!$B$2:$E$1020,4,FALSE)</f>
        <v>سرپرست آی تی</v>
      </c>
      <c r="G557" s="127">
        <f>VLOOKUP(D557,'لیست پرسنل'!$B$2:$F$1020,2,FALSE)</f>
        <v>2210</v>
      </c>
      <c r="H557" s="128" t="s">
        <v>4290</v>
      </c>
      <c r="I557" s="128"/>
      <c r="J557" s="128" t="s">
        <v>4719</v>
      </c>
      <c r="K557" s="128" t="s">
        <v>5476</v>
      </c>
      <c r="L557" s="127"/>
      <c r="M557" s="128" t="s">
        <v>291</v>
      </c>
      <c r="N557" s="109"/>
      <c r="O557" s="19"/>
      <c r="P557" s="32"/>
      <c r="Q557" s="32"/>
    </row>
    <row r="558" spans="1:17" ht="24.9" customHeight="1">
      <c r="A558" s="20">
        <v>362</v>
      </c>
      <c r="B558" s="20" t="s">
        <v>4345</v>
      </c>
      <c r="C558" s="20"/>
      <c r="D558" s="20" t="s">
        <v>48</v>
      </c>
      <c r="E558" s="19" t="str">
        <f>VLOOKUP(D558,'لیست پرسنل'!$B$2:$E$1020,3,FALSE)</f>
        <v>فکورصنعت</v>
      </c>
      <c r="F558" s="19" t="str">
        <f>VLOOKUP(D558,'لیست پرسنل'!$B$2:$E$1020,4,FALSE)</f>
        <v>سرپرست آی تی</v>
      </c>
      <c r="G558" s="127">
        <f>VLOOKUP(D558,'لیست پرسنل'!$B$2:$F$1020,2,FALSE)</f>
        <v>2210</v>
      </c>
      <c r="H558" s="128" t="s">
        <v>4290</v>
      </c>
      <c r="I558" s="128"/>
      <c r="J558" s="128" t="s">
        <v>4719</v>
      </c>
      <c r="K558" s="128" t="s">
        <v>5476</v>
      </c>
      <c r="L558" s="127"/>
      <c r="M558" s="128" t="s">
        <v>291</v>
      </c>
      <c r="N558" s="109"/>
      <c r="O558" s="19"/>
      <c r="P558" s="32"/>
      <c r="Q558" s="32"/>
    </row>
    <row r="559" spans="1:17" ht="24.9" customHeight="1">
      <c r="A559" s="20">
        <v>362</v>
      </c>
      <c r="B559" s="20" t="s">
        <v>4345</v>
      </c>
      <c r="C559" s="20"/>
      <c r="D559" s="20" t="s">
        <v>48</v>
      </c>
      <c r="E559" s="19" t="str">
        <f>VLOOKUP(D559,'لیست پرسنل'!$B$2:$E$1020,3,FALSE)</f>
        <v>فکورصنعت</v>
      </c>
      <c r="F559" s="19" t="str">
        <f>VLOOKUP(D559,'لیست پرسنل'!$B$2:$E$1020,4,FALSE)</f>
        <v>سرپرست آی تی</v>
      </c>
      <c r="G559" s="127">
        <f>VLOOKUP(D559,'لیست پرسنل'!$B$2:$F$1020,2,FALSE)</f>
        <v>2210</v>
      </c>
      <c r="H559" s="128" t="s">
        <v>4290</v>
      </c>
      <c r="I559" s="128"/>
      <c r="J559" s="128" t="s">
        <v>4719</v>
      </c>
      <c r="K559" s="128" t="s">
        <v>5476</v>
      </c>
      <c r="L559" s="127"/>
      <c r="M559" s="128" t="s">
        <v>291</v>
      </c>
      <c r="N559" s="109"/>
      <c r="O559" s="19"/>
      <c r="P559" s="32"/>
      <c r="Q559" s="32"/>
    </row>
    <row r="560" spans="1:17" ht="24.9" customHeight="1">
      <c r="A560" s="20">
        <v>362</v>
      </c>
      <c r="B560" s="20" t="s">
        <v>4345</v>
      </c>
      <c r="C560" s="20"/>
      <c r="D560" s="20" t="s">
        <v>48</v>
      </c>
      <c r="E560" s="19" t="str">
        <f>VLOOKUP(D560,'لیست پرسنل'!$B$2:$E$1020,3,FALSE)</f>
        <v>فکورصنعت</v>
      </c>
      <c r="F560" s="19" t="str">
        <f>VLOOKUP(D560,'لیست پرسنل'!$B$2:$E$1020,4,FALSE)</f>
        <v>سرپرست آی تی</v>
      </c>
      <c r="G560" s="127">
        <f>VLOOKUP(D560,'لیست پرسنل'!$B$2:$F$1020,2,FALSE)</f>
        <v>2210</v>
      </c>
      <c r="H560" s="128" t="s">
        <v>4290</v>
      </c>
      <c r="I560" s="128"/>
      <c r="J560" s="128" t="s">
        <v>4719</v>
      </c>
      <c r="K560" s="128" t="s">
        <v>5476</v>
      </c>
      <c r="L560" s="127"/>
      <c r="M560" s="128" t="s">
        <v>291</v>
      </c>
      <c r="N560" s="109"/>
      <c r="O560" s="19"/>
      <c r="P560" s="32"/>
      <c r="Q560" s="32"/>
    </row>
    <row r="561" spans="1:17" ht="24.9" customHeight="1">
      <c r="A561" s="20">
        <v>362</v>
      </c>
      <c r="B561" s="20" t="s">
        <v>4345</v>
      </c>
      <c r="C561" s="20"/>
      <c r="D561" s="20" t="s">
        <v>48</v>
      </c>
      <c r="E561" s="19" t="str">
        <f>VLOOKUP(D561,'لیست پرسنل'!$B$2:$E$1020,3,FALSE)</f>
        <v>فکورصنعت</v>
      </c>
      <c r="F561" s="19" t="str">
        <f>VLOOKUP(D561,'لیست پرسنل'!$B$2:$E$1020,4,FALSE)</f>
        <v>سرپرست آی تی</v>
      </c>
      <c r="G561" s="127">
        <f>VLOOKUP(D561,'لیست پرسنل'!$B$2:$F$1020,2,FALSE)</f>
        <v>2210</v>
      </c>
      <c r="H561" s="128" t="s">
        <v>4290</v>
      </c>
      <c r="I561" s="128"/>
      <c r="J561" s="128" t="s">
        <v>4719</v>
      </c>
      <c r="K561" s="128" t="s">
        <v>5476</v>
      </c>
      <c r="L561" s="127"/>
      <c r="M561" s="128" t="s">
        <v>291</v>
      </c>
      <c r="N561" s="109"/>
      <c r="O561" s="19"/>
      <c r="P561" s="32"/>
      <c r="Q561" s="32"/>
    </row>
    <row r="562" spans="1:17" ht="24.9" customHeight="1">
      <c r="A562" s="20">
        <v>362</v>
      </c>
      <c r="B562" s="20" t="s">
        <v>4345</v>
      </c>
      <c r="C562" s="20"/>
      <c r="D562" s="20" t="s">
        <v>48</v>
      </c>
      <c r="E562" s="19" t="str">
        <f>VLOOKUP(D562,'لیست پرسنل'!$B$2:$E$1020,3,FALSE)</f>
        <v>فکورصنعت</v>
      </c>
      <c r="F562" s="19" t="str">
        <f>VLOOKUP(D562,'لیست پرسنل'!$B$2:$E$1020,4,FALSE)</f>
        <v>سرپرست آی تی</v>
      </c>
      <c r="G562" s="127">
        <f>VLOOKUP(D562,'لیست پرسنل'!$B$2:$F$1020,2,FALSE)</f>
        <v>2210</v>
      </c>
      <c r="H562" s="128" t="s">
        <v>4290</v>
      </c>
      <c r="I562" s="128"/>
      <c r="J562" s="128" t="s">
        <v>4719</v>
      </c>
      <c r="K562" s="128" t="s">
        <v>5476</v>
      </c>
      <c r="L562" s="127"/>
      <c r="M562" s="128" t="s">
        <v>291</v>
      </c>
      <c r="N562" s="109"/>
      <c r="O562" s="19"/>
      <c r="P562" s="32"/>
      <c r="Q562" s="32"/>
    </row>
    <row r="563" spans="1:17" ht="24.9" customHeight="1">
      <c r="A563" s="20">
        <v>362</v>
      </c>
      <c r="B563" s="20" t="s">
        <v>4345</v>
      </c>
      <c r="C563" s="20"/>
      <c r="D563" s="20" t="s">
        <v>48</v>
      </c>
      <c r="E563" s="19" t="str">
        <f>VLOOKUP(D563,'لیست پرسنل'!$B$2:$E$1020,3,FALSE)</f>
        <v>فکورصنعت</v>
      </c>
      <c r="F563" s="19" t="str">
        <f>VLOOKUP(D563,'لیست پرسنل'!$B$2:$E$1020,4,FALSE)</f>
        <v>سرپرست آی تی</v>
      </c>
      <c r="G563" s="127">
        <f>VLOOKUP(D563,'لیست پرسنل'!$B$2:$F$1020,2,FALSE)</f>
        <v>2210</v>
      </c>
      <c r="H563" s="128" t="s">
        <v>4290</v>
      </c>
      <c r="I563" s="128"/>
      <c r="J563" s="128" t="s">
        <v>4719</v>
      </c>
      <c r="K563" s="128" t="s">
        <v>5476</v>
      </c>
      <c r="L563" s="127"/>
      <c r="M563" s="128" t="s">
        <v>291</v>
      </c>
      <c r="N563" s="109"/>
      <c r="O563" s="19"/>
      <c r="P563" s="32"/>
      <c r="Q563" s="32"/>
    </row>
    <row r="564" spans="1:17" ht="24.9" customHeight="1">
      <c r="A564" s="20">
        <v>362</v>
      </c>
      <c r="B564" s="20" t="s">
        <v>4345</v>
      </c>
      <c r="C564" s="20"/>
      <c r="D564" s="20" t="s">
        <v>48</v>
      </c>
      <c r="E564" s="19" t="str">
        <f>VLOOKUP(D564,'لیست پرسنل'!$B$2:$E$1020,3,FALSE)</f>
        <v>فکورصنعت</v>
      </c>
      <c r="F564" s="19" t="str">
        <f>VLOOKUP(D564,'لیست پرسنل'!$B$2:$E$1020,4,FALSE)</f>
        <v>سرپرست آی تی</v>
      </c>
      <c r="G564" s="127">
        <f>VLOOKUP(D564,'لیست پرسنل'!$B$2:$F$1020,2,FALSE)</f>
        <v>2210</v>
      </c>
      <c r="H564" s="128" t="s">
        <v>4290</v>
      </c>
      <c r="I564" s="128"/>
      <c r="J564" s="128" t="s">
        <v>4719</v>
      </c>
      <c r="K564" s="128" t="s">
        <v>5476</v>
      </c>
      <c r="L564" s="127"/>
      <c r="M564" s="128" t="s">
        <v>291</v>
      </c>
      <c r="N564" s="109"/>
      <c r="O564" s="19"/>
      <c r="P564" s="32"/>
      <c r="Q564" s="32"/>
    </row>
    <row r="565" spans="1:17" ht="24.9" customHeight="1">
      <c r="A565" s="20">
        <v>362</v>
      </c>
      <c r="B565" s="20" t="s">
        <v>4345</v>
      </c>
      <c r="C565" s="20"/>
      <c r="D565" s="20" t="s">
        <v>48</v>
      </c>
      <c r="E565" s="19" t="str">
        <f>VLOOKUP(D565,'لیست پرسنل'!$B$2:$E$1020,3,FALSE)</f>
        <v>فکورصنعت</v>
      </c>
      <c r="F565" s="19" t="str">
        <f>VLOOKUP(D565,'لیست پرسنل'!$B$2:$E$1020,4,FALSE)</f>
        <v>سرپرست آی تی</v>
      </c>
      <c r="G565" s="127">
        <f>VLOOKUP(D565,'لیست پرسنل'!$B$2:$F$1020,2,FALSE)</f>
        <v>2210</v>
      </c>
      <c r="H565" s="128" t="s">
        <v>4290</v>
      </c>
      <c r="I565" s="128"/>
      <c r="J565" s="128" t="s">
        <v>4719</v>
      </c>
      <c r="K565" s="128" t="s">
        <v>5476</v>
      </c>
      <c r="L565" s="127"/>
      <c r="M565" s="128" t="s">
        <v>291</v>
      </c>
      <c r="N565" s="109"/>
      <c r="O565" s="19"/>
      <c r="P565" s="32"/>
      <c r="Q565" s="32"/>
    </row>
    <row r="566" spans="1:17" ht="24.9" customHeight="1">
      <c r="A566" s="20">
        <v>362</v>
      </c>
      <c r="B566" s="20" t="s">
        <v>4345</v>
      </c>
      <c r="C566" s="20"/>
      <c r="D566" s="20" t="s">
        <v>48</v>
      </c>
      <c r="E566" s="19" t="str">
        <f>VLOOKUP(D566,'لیست پرسنل'!$B$2:$E$1020,3,FALSE)</f>
        <v>فکورصنعت</v>
      </c>
      <c r="F566" s="19" t="str">
        <f>VLOOKUP(D566,'لیست پرسنل'!$B$2:$E$1020,4,FALSE)</f>
        <v>سرپرست آی تی</v>
      </c>
      <c r="G566" s="127">
        <f>VLOOKUP(D566,'لیست پرسنل'!$B$2:$F$1020,2,FALSE)</f>
        <v>2210</v>
      </c>
      <c r="H566" s="128" t="s">
        <v>4290</v>
      </c>
      <c r="I566" s="128"/>
      <c r="J566" s="128" t="s">
        <v>4719</v>
      </c>
      <c r="K566" s="128" t="s">
        <v>5476</v>
      </c>
      <c r="L566" s="127"/>
      <c r="M566" s="128" t="s">
        <v>291</v>
      </c>
      <c r="N566" s="109"/>
      <c r="O566" s="19"/>
      <c r="P566" s="32"/>
      <c r="Q566" s="32"/>
    </row>
    <row r="567" spans="1:17" ht="24.9" customHeight="1">
      <c r="A567" s="20">
        <v>362</v>
      </c>
      <c r="B567" s="20" t="s">
        <v>4345</v>
      </c>
      <c r="C567" s="20"/>
      <c r="D567" s="20" t="s">
        <v>48</v>
      </c>
      <c r="E567" s="19" t="str">
        <f>VLOOKUP(D567,'لیست پرسنل'!$B$2:$E$1020,3,FALSE)</f>
        <v>فکورصنعت</v>
      </c>
      <c r="F567" s="19" t="str">
        <f>VLOOKUP(D567,'لیست پرسنل'!$B$2:$E$1020,4,FALSE)</f>
        <v>سرپرست آی تی</v>
      </c>
      <c r="G567" s="127">
        <f>VLOOKUP(D567,'لیست پرسنل'!$B$2:$F$1020,2,FALSE)</f>
        <v>2210</v>
      </c>
      <c r="H567" s="128" t="s">
        <v>4290</v>
      </c>
      <c r="I567" s="128"/>
      <c r="J567" s="128" t="s">
        <v>4719</v>
      </c>
      <c r="K567" s="128" t="s">
        <v>5476</v>
      </c>
      <c r="L567" s="127"/>
      <c r="M567" s="128" t="s">
        <v>291</v>
      </c>
      <c r="N567" s="109"/>
      <c r="O567" s="19"/>
      <c r="P567" s="32"/>
      <c r="Q567" s="32"/>
    </row>
    <row r="568" spans="1:17" ht="24.9" customHeight="1">
      <c r="A568" s="20">
        <v>362</v>
      </c>
      <c r="B568" s="20" t="s">
        <v>4345</v>
      </c>
      <c r="C568" s="20"/>
      <c r="D568" s="20" t="s">
        <v>48</v>
      </c>
      <c r="E568" s="19" t="str">
        <f>VLOOKUP(D568,'لیست پرسنل'!$B$2:$E$1020,3,FALSE)</f>
        <v>فکورصنعت</v>
      </c>
      <c r="F568" s="19" t="str">
        <f>VLOOKUP(D568,'لیست پرسنل'!$B$2:$E$1020,4,FALSE)</f>
        <v>سرپرست آی تی</v>
      </c>
      <c r="G568" s="127">
        <f>VLOOKUP(D568,'لیست پرسنل'!$B$2:$F$1020,2,FALSE)</f>
        <v>2210</v>
      </c>
      <c r="H568" s="128" t="s">
        <v>4290</v>
      </c>
      <c r="I568" s="128"/>
      <c r="J568" s="128" t="s">
        <v>4719</v>
      </c>
      <c r="K568" s="128" t="s">
        <v>5476</v>
      </c>
      <c r="L568" s="127"/>
      <c r="M568" s="128" t="s">
        <v>291</v>
      </c>
      <c r="N568" s="109"/>
      <c r="O568" s="19"/>
      <c r="P568" s="32"/>
      <c r="Q568" s="32"/>
    </row>
    <row r="569" spans="1:17" ht="24.9" customHeight="1">
      <c r="A569" s="20">
        <v>362</v>
      </c>
      <c r="B569" s="20" t="s">
        <v>4345</v>
      </c>
      <c r="C569" s="20"/>
      <c r="D569" s="20" t="s">
        <v>48</v>
      </c>
      <c r="E569" s="19" t="str">
        <f>VLOOKUP(D569,'لیست پرسنل'!$B$2:$E$1020,3,FALSE)</f>
        <v>فکورصنعت</v>
      </c>
      <c r="F569" s="19" t="str">
        <f>VLOOKUP(D569,'لیست پرسنل'!$B$2:$E$1020,4,FALSE)</f>
        <v>سرپرست آی تی</v>
      </c>
      <c r="G569" s="127">
        <f>VLOOKUP(D569,'لیست پرسنل'!$B$2:$F$1020,2,FALSE)</f>
        <v>2210</v>
      </c>
      <c r="H569" s="128" t="s">
        <v>4290</v>
      </c>
      <c r="I569" s="128"/>
      <c r="J569" s="128" t="s">
        <v>4719</v>
      </c>
      <c r="K569" s="128" t="s">
        <v>5476</v>
      </c>
      <c r="L569" s="127"/>
      <c r="M569" s="128" t="s">
        <v>291</v>
      </c>
      <c r="N569" s="109"/>
      <c r="O569" s="19"/>
      <c r="P569" s="32"/>
      <c r="Q569" s="32"/>
    </row>
    <row r="570" spans="1:17" ht="24.9" customHeight="1">
      <c r="A570" s="20">
        <v>362</v>
      </c>
      <c r="B570" s="20" t="s">
        <v>4345</v>
      </c>
      <c r="C570" s="20"/>
      <c r="D570" s="20" t="s">
        <v>48</v>
      </c>
      <c r="E570" s="19" t="str">
        <f>VLOOKUP(D570,'لیست پرسنل'!$B$2:$E$1020,3,FALSE)</f>
        <v>فکورصنعت</v>
      </c>
      <c r="F570" s="19" t="str">
        <f>VLOOKUP(D570,'لیست پرسنل'!$B$2:$E$1020,4,FALSE)</f>
        <v>سرپرست آی تی</v>
      </c>
      <c r="G570" s="127">
        <f>VLOOKUP(D570,'لیست پرسنل'!$B$2:$F$1020,2,FALSE)</f>
        <v>2210</v>
      </c>
      <c r="H570" s="128" t="s">
        <v>4290</v>
      </c>
      <c r="I570" s="128"/>
      <c r="J570" s="128" t="s">
        <v>4719</v>
      </c>
      <c r="K570" s="128" t="s">
        <v>5476</v>
      </c>
      <c r="L570" s="127"/>
      <c r="M570" s="128" t="s">
        <v>291</v>
      </c>
      <c r="N570" s="109"/>
      <c r="O570" s="19"/>
      <c r="P570" s="32"/>
      <c r="Q570" s="32"/>
    </row>
    <row r="571" spans="1:17" ht="24.9" customHeight="1">
      <c r="A571" s="20">
        <v>362</v>
      </c>
      <c r="B571" s="20" t="s">
        <v>4345</v>
      </c>
      <c r="C571" s="20"/>
      <c r="D571" s="19" t="s">
        <v>48</v>
      </c>
      <c r="E571" s="19" t="str">
        <f>VLOOKUP(D571,'لیست پرسنل'!$B$2:$E$1020,3,FALSE)</f>
        <v>فکورصنعت</v>
      </c>
      <c r="F571" s="19" t="str">
        <f>VLOOKUP(D571,'لیست پرسنل'!$B$2:$E$1020,4,FALSE)</f>
        <v>سرپرست آی تی</v>
      </c>
      <c r="G571" s="127">
        <f>VLOOKUP(D571,'لیست پرسنل'!$B$2:$F$1020,2,FALSE)</f>
        <v>2210</v>
      </c>
      <c r="H571" s="128" t="s">
        <v>4290</v>
      </c>
      <c r="I571" s="128"/>
      <c r="J571" s="128" t="s">
        <v>1977</v>
      </c>
      <c r="K571" s="128" t="s">
        <v>823</v>
      </c>
      <c r="L571" s="127" t="s">
        <v>311</v>
      </c>
      <c r="M571" s="126">
        <v>618450</v>
      </c>
      <c r="N571" s="108"/>
      <c r="O571" s="91"/>
      <c r="P571" s="20"/>
      <c r="Q571" s="20"/>
    </row>
    <row r="572" spans="1:17" ht="24.9" customHeight="1">
      <c r="A572" s="20">
        <v>362</v>
      </c>
      <c r="B572" s="20" t="s">
        <v>4345</v>
      </c>
      <c r="C572" s="20"/>
      <c r="D572" s="19" t="s">
        <v>48</v>
      </c>
      <c r="E572" s="19" t="str">
        <f>VLOOKUP(D572,'لیست پرسنل'!$B$2:$E$1020,3,FALSE)</f>
        <v>فکورصنعت</v>
      </c>
      <c r="F572" s="19" t="str">
        <f>VLOOKUP(D572,'لیست پرسنل'!$B$2:$E$1020,4,FALSE)</f>
        <v>سرپرست آی تی</v>
      </c>
      <c r="G572" s="127">
        <f>VLOOKUP(D572,'لیست پرسنل'!$B$2:$F$1020,2,FALSE)</f>
        <v>2210</v>
      </c>
      <c r="H572" s="127" t="s">
        <v>4290</v>
      </c>
      <c r="I572" s="128"/>
      <c r="J572" s="128" t="s">
        <v>1977</v>
      </c>
      <c r="K572" s="128" t="s">
        <v>4784</v>
      </c>
      <c r="L572" s="128" t="s">
        <v>4785</v>
      </c>
      <c r="M572" s="128">
        <v>629990</v>
      </c>
      <c r="N572" s="108"/>
      <c r="O572" s="20" t="s">
        <v>705</v>
      </c>
      <c r="P572" s="20"/>
      <c r="Q572" s="20"/>
    </row>
    <row r="573" spans="1:17" ht="24.9" customHeight="1">
      <c r="A573" s="20">
        <v>362</v>
      </c>
      <c r="B573" s="20" t="s">
        <v>4345</v>
      </c>
      <c r="C573" s="20"/>
      <c r="D573" s="20" t="s">
        <v>48</v>
      </c>
      <c r="E573" s="19" t="str">
        <f>VLOOKUP(D573,'لیست پرسنل'!$B$2:$E$1020,3,FALSE)</f>
        <v>فکورصنعت</v>
      </c>
      <c r="F573" s="19" t="str">
        <f>VLOOKUP(D573,'لیست پرسنل'!$B$2:$E$1020,4,FALSE)</f>
        <v>سرپرست آی تی</v>
      </c>
      <c r="G573" s="127">
        <f>VLOOKUP(D573,'لیست پرسنل'!$B$2:$F$1020,2,FALSE)</f>
        <v>2210</v>
      </c>
      <c r="H573" s="126" t="s">
        <v>4290</v>
      </c>
      <c r="I573" s="128"/>
      <c r="J573" s="128" t="s">
        <v>1977</v>
      </c>
      <c r="K573" s="128" t="s">
        <v>4784</v>
      </c>
      <c r="L573" s="128" t="s">
        <v>4787</v>
      </c>
      <c r="M573" s="128">
        <v>629992</v>
      </c>
      <c r="N573" s="108"/>
      <c r="O573" s="20" t="s">
        <v>705</v>
      </c>
      <c r="P573" s="20"/>
      <c r="Q573" s="20"/>
    </row>
    <row r="574" spans="1:17" ht="24.9" customHeight="1">
      <c r="A574" s="20">
        <v>362</v>
      </c>
      <c r="B574" s="20" t="s">
        <v>4345</v>
      </c>
      <c r="C574" s="20"/>
      <c r="D574" s="20" t="s">
        <v>48</v>
      </c>
      <c r="E574" s="19" t="str">
        <f>VLOOKUP(D574,'لیست پرسنل'!$B$2:$E$1020,3,FALSE)</f>
        <v>فکورصنعت</v>
      </c>
      <c r="F574" s="19" t="str">
        <f>VLOOKUP(D574,'لیست پرسنل'!$B$2:$E$1020,4,FALSE)</f>
        <v>سرپرست آی تی</v>
      </c>
      <c r="G574" s="127">
        <f>VLOOKUP(D574,'لیست پرسنل'!$B$2:$F$1020,2,FALSE)</f>
        <v>2210</v>
      </c>
      <c r="H574" s="126" t="s">
        <v>4290</v>
      </c>
      <c r="I574" s="128"/>
      <c r="J574" s="128" t="s">
        <v>1977</v>
      </c>
      <c r="K574" s="128" t="s">
        <v>4784</v>
      </c>
      <c r="L574" s="128" t="s">
        <v>4788</v>
      </c>
      <c r="M574" s="128">
        <v>629993</v>
      </c>
      <c r="N574" s="108"/>
      <c r="O574" s="20" t="s">
        <v>705</v>
      </c>
      <c r="P574" s="20"/>
      <c r="Q574" s="20"/>
    </row>
    <row r="575" spans="1:17" ht="24.9" customHeight="1">
      <c r="A575" s="20">
        <v>362</v>
      </c>
      <c r="B575" s="20" t="s">
        <v>4345</v>
      </c>
      <c r="C575" s="20"/>
      <c r="D575" s="20" t="s">
        <v>48</v>
      </c>
      <c r="E575" s="19" t="str">
        <f>VLOOKUP(D575,'لیست پرسنل'!$B$2:$E$1020,3,FALSE)</f>
        <v>فکورصنعت</v>
      </c>
      <c r="F575" s="19" t="str">
        <f>VLOOKUP(D575,'لیست پرسنل'!$B$2:$E$1020,4,FALSE)</f>
        <v>سرپرست آی تی</v>
      </c>
      <c r="G575" s="127">
        <f>VLOOKUP(D575,'لیست پرسنل'!$B$2:$F$1020,2,FALSE)</f>
        <v>2210</v>
      </c>
      <c r="H575" s="126" t="s">
        <v>4290</v>
      </c>
      <c r="I575" s="128"/>
      <c r="J575" s="128" t="s">
        <v>1977</v>
      </c>
      <c r="K575" s="128" t="s">
        <v>4784</v>
      </c>
      <c r="L575" s="128" t="s">
        <v>4789</v>
      </c>
      <c r="M575" s="128">
        <v>629994</v>
      </c>
      <c r="N575" s="108"/>
      <c r="O575" s="20" t="s">
        <v>705</v>
      </c>
      <c r="P575" s="20"/>
      <c r="Q575" s="20"/>
    </row>
    <row r="576" spans="1:17" ht="24.9" customHeight="1">
      <c r="A576" s="20">
        <v>362</v>
      </c>
      <c r="B576" s="20" t="s">
        <v>4345</v>
      </c>
      <c r="C576" s="20"/>
      <c r="D576" s="20" t="s">
        <v>48</v>
      </c>
      <c r="E576" s="19" t="str">
        <f>VLOOKUP(D576,'لیست پرسنل'!$B$2:$E$1020,3,FALSE)</f>
        <v>فکورصنعت</v>
      </c>
      <c r="F576" s="19" t="str">
        <f>VLOOKUP(D576,'لیست پرسنل'!$B$2:$E$1020,4,FALSE)</f>
        <v>سرپرست آی تی</v>
      </c>
      <c r="G576" s="127">
        <f>VLOOKUP(D576,'لیست پرسنل'!$B$2:$F$1020,2,FALSE)</f>
        <v>2210</v>
      </c>
      <c r="H576" s="126" t="s">
        <v>4290</v>
      </c>
      <c r="I576" s="128"/>
      <c r="J576" s="128" t="s">
        <v>1977</v>
      </c>
      <c r="K576" s="128" t="s">
        <v>4784</v>
      </c>
      <c r="L576" s="128" t="s">
        <v>4793</v>
      </c>
      <c r="M576" s="128">
        <v>629998</v>
      </c>
      <c r="N576" s="108"/>
      <c r="O576" s="20" t="s">
        <v>705</v>
      </c>
      <c r="P576" s="20"/>
      <c r="Q576" s="20"/>
    </row>
    <row r="577" spans="1:17" ht="24.9" customHeight="1">
      <c r="A577" s="20">
        <v>362</v>
      </c>
      <c r="B577" s="20" t="s">
        <v>4345</v>
      </c>
      <c r="C577" s="20"/>
      <c r="D577" s="20" t="s">
        <v>48</v>
      </c>
      <c r="E577" s="19" t="str">
        <f>VLOOKUP(D577,'لیست پرسنل'!$B$2:$E$1020,3,FALSE)</f>
        <v>فکورصنعت</v>
      </c>
      <c r="F577" s="19" t="str">
        <f>VLOOKUP(D577,'لیست پرسنل'!$B$2:$E$1020,4,FALSE)</f>
        <v>سرپرست آی تی</v>
      </c>
      <c r="G577" s="127">
        <f>VLOOKUP(D577,'لیست پرسنل'!$B$2:$F$1020,2,FALSE)</f>
        <v>2210</v>
      </c>
      <c r="H577" s="126" t="s">
        <v>4290</v>
      </c>
      <c r="I577" s="128"/>
      <c r="J577" s="128" t="s">
        <v>1977</v>
      </c>
      <c r="K577" s="128" t="s">
        <v>4784</v>
      </c>
      <c r="L577" s="128" t="s">
        <v>4794</v>
      </c>
      <c r="M577" s="128">
        <v>629999</v>
      </c>
      <c r="N577" s="108"/>
      <c r="O577" s="20" t="s">
        <v>705</v>
      </c>
      <c r="P577" s="20"/>
      <c r="Q577" s="20"/>
    </row>
    <row r="578" spans="1:17" ht="24.9" customHeight="1">
      <c r="A578" s="20">
        <v>362</v>
      </c>
      <c r="B578" s="20" t="s">
        <v>4345</v>
      </c>
      <c r="C578" s="19"/>
      <c r="D578" s="19" t="s">
        <v>48</v>
      </c>
      <c r="E578" s="19" t="str">
        <f>VLOOKUP(D578,'لیست پرسنل'!$B$2:$E$1020,3,FALSE)</f>
        <v>فکورصنعت</v>
      </c>
      <c r="F578" s="19" t="str">
        <f>VLOOKUP(D578,'لیست پرسنل'!$B$2:$E$1020,4,FALSE)</f>
        <v>سرپرست آی تی</v>
      </c>
      <c r="G578" s="127">
        <f>VLOOKUP(D578,'لیست پرسنل'!$B$2:$F$1020,2,FALSE)</f>
        <v>2210</v>
      </c>
      <c r="H578" s="127" t="s">
        <v>4290</v>
      </c>
      <c r="I578" s="127"/>
      <c r="J578" s="127" t="s">
        <v>753</v>
      </c>
      <c r="K578" s="128" t="s">
        <v>301</v>
      </c>
      <c r="L578" s="128" t="s">
        <v>302</v>
      </c>
      <c r="M578" s="127">
        <v>606814</v>
      </c>
      <c r="N578" s="111"/>
      <c r="O578" s="19"/>
      <c r="P578" s="20"/>
      <c r="Q578" s="66"/>
    </row>
    <row r="579" spans="1:17" ht="24.9" customHeight="1">
      <c r="A579" s="20">
        <v>362</v>
      </c>
      <c r="B579" s="20" t="s">
        <v>4345</v>
      </c>
      <c r="C579" s="20"/>
      <c r="D579" s="46" t="s">
        <v>48</v>
      </c>
      <c r="E579" s="19" t="str">
        <f>VLOOKUP(D579,'لیست پرسنل'!$B$2:$E$1020,3,FALSE)</f>
        <v>فکورصنعت</v>
      </c>
      <c r="F579" s="19" t="str">
        <f>VLOOKUP(D579,'لیست پرسنل'!$B$2:$E$1020,4,FALSE)</f>
        <v>سرپرست آی تی</v>
      </c>
      <c r="G579" s="127">
        <f>VLOOKUP(D579,'لیست پرسنل'!$B$2:$F$1020,2,FALSE)</f>
        <v>2210</v>
      </c>
      <c r="H579" s="128" t="s">
        <v>4290</v>
      </c>
      <c r="I579" s="127"/>
      <c r="J579" s="127" t="s">
        <v>753</v>
      </c>
      <c r="K579" s="127" t="s">
        <v>753</v>
      </c>
      <c r="L579" s="127"/>
      <c r="M579" s="127">
        <v>611941</v>
      </c>
      <c r="N579" s="109"/>
      <c r="O579" s="19"/>
      <c r="P579" s="20"/>
      <c r="Q579" s="66"/>
    </row>
    <row r="580" spans="1:17" ht="24.9" customHeight="1">
      <c r="A580" s="20">
        <v>362</v>
      </c>
      <c r="B580" s="20" t="s">
        <v>4345</v>
      </c>
      <c r="C580" s="20"/>
      <c r="D580" s="20" t="s">
        <v>48</v>
      </c>
      <c r="E580" s="19" t="str">
        <f>VLOOKUP(D580,'لیست پرسنل'!$B$2:$E$1020,3,FALSE)</f>
        <v>فکورصنعت</v>
      </c>
      <c r="F580" s="19" t="str">
        <f>VLOOKUP(D580,'لیست پرسنل'!$B$2:$E$1020,4,FALSE)</f>
        <v>سرپرست آی تی</v>
      </c>
      <c r="G580" s="127">
        <f>VLOOKUP(D580,'لیست پرسنل'!$B$2:$F$1020,2,FALSE)</f>
        <v>2210</v>
      </c>
      <c r="H580" s="128" t="s">
        <v>4290</v>
      </c>
      <c r="I580" s="128"/>
      <c r="J580" s="127" t="s">
        <v>753</v>
      </c>
      <c r="K580" s="128" t="s">
        <v>4690</v>
      </c>
      <c r="L580" s="127"/>
      <c r="M580" s="127">
        <v>633597</v>
      </c>
      <c r="N580" s="111"/>
      <c r="O580" s="19" t="s">
        <v>6252</v>
      </c>
      <c r="P580" s="32"/>
      <c r="Q580" s="32"/>
    </row>
    <row r="581" spans="1:17" ht="24.9" customHeight="1">
      <c r="A581" s="20">
        <v>362</v>
      </c>
      <c r="B581" s="20" t="s">
        <v>4345</v>
      </c>
      <c r="C581" s="20"/>
      <c r="D581" s="20" t="s">
        <v>48</v>
      </c>
      <c r="E581" s="19" t="str">
        <f>VLOOKUP(D581,'لیست پرسنل'!$B$2:$E$1020,3,FALSE)</f>
        <v>فکورصنعت</v>
      </c>
      <c r="F581" s="19" t="str">
        <f>VLOOKUP(D581,'لیست پرسنل'!$B$2:$E$1020,4,FALSE)</f>
        <v>سرپرست آی تی</v>
      </c>
      <c r="G581" s="127">
        <f>VLOOKUP(D581,'لیست پرسنل'!$B$2:$F$1020,2,FALSE)</f>
        <v>2210</v>
      </c>
      <c r="H581" s="126" t="s">
        <v>4290</v>
      </c>
      <c r="I581" s="128"/>
      <c r="J581" s="128" t="s">
        <v>2764</v>
      </c>
      <c r="K581" s="142" t="s">
        <v>2764</v>
      </c>
      <c r="L581" s="150"/>
      <c r="M581" s="128">
        <v>604785</v>
      </c>
      <c r="N581" s="108" t="s">
        <v>7312</v>
      </c>
      <c r="O581" s="20"/>
      <c r="P581" s="20"/>
      <c r="Q581" s="20"/>
    </row>
    <row r="582" spans="1:17" ht="24.9" customHeight="1">
      <c r="A582" s="20">
        <v>362</v>
      </c>
      <c r="B582" s="20" t="s">
        <v>4345</v>
      </c>
      <c r="C582" s="20"/>
      <c r="D582" s="20" t="s">
        <v>48</v>
      </c>
      <c r="E582" s="19" t="str">
        <f>VLOOKUP(D582,'لیست پرسنل'!$B$2:$E$1020,3,FALSE)</f>
        <v>فکورصنعت</v>
      </c>
      <c r="F582" s="19" t="str">
        <f>VLOOKUP(D582,'لیست پرسنل'!$B$2:$E$1020,4,FALSE)</f>
        <v>سرپرست آی تی</v>
      </c>
      <c r="G582" s="127">
        <f>VLOOKUP(D582,'لیست پرسنل'!$B$2:$F$1020,2,FALSE)</f>
        <v>2210</v>
      </c>
      <c r="H582" s="128" t="s">
        <v>8132</v>
      </c>
      <c r="I582" s="128"/>
      <c r="J582" s="128" t="s">
        <v>737</v>
      </c>
      <c r="K582" s="128" t="s">
        <v>1251</v>
      </c>
      <c r="L582" s="128" t="s">
        <v>1250</v>
      </c>
      <c r="M582" s="128">
        <v>601990</v>
      </c>
      <c r="N582" s="108"/>
      <c r="O582" s="20"/>
      <c r="P582" s="20"/>
      <c r="Q582" s="66"/>
    </row>
    <row r="583" spans="1:17" ht="24.9" customHeight="1">
      <c r="A583" s="20">
        <v>362</v>
      </c>
      <c r="B583" s="20" t="s">
        <v>4345</v>
      </c>
      <c r="C583" s="19"/>
      <c r="D583" s="19" t="s">
        <v>48</v>
      </c>
      <c r="E583" s="19" t="str">
        <f>VLOOKUP(D583,'لیست پرسنل'!$B$2:$E$1020,3,FALSE)</f>
        <v>فکورصنعت</v>
      </c>
      <c r="F583" s="19" t="str">
        <f>VLOOKUP(D583,'لیست پرسنل'!$B$2:$E$1020,4,FALSE)</f>
        <v>سرپرست آی تی</v>
      </c>
      <c r="G583" s="127">
        <f>VLOOKUP(D583,'لیست پرسنل'!$B$2:$F$1020,2,FALSE)</f>
        <v>2210</v>
      </c>
      <c r="H583" s="151" t="s">
        <v>3381</v>
      </c>
      <c r="I583" s="127"/>
      <c r="J583" s="126" t="s">
        <v>368</v>
      </c>
      <c r="K583" s="128" t="s">
        <v>2846</v>
      </c>
      <c r="L583" s="128" t="s">
        <v>2479</v>
      </c>
      <c r="M583" s="128">
        <v>628889</v>
      </c>
      <c r="N583" s="108"/>
      <c r="O583" s="20"/>
      <c r="P583" s="20"/>
      <c r="Q583" s="66"/>
    </row>
    <row r="584" spans="1:17" ht="24.9" customHeight="1">
      <c r="A584" s="185">
        <v>362</v>
      </c>
      <c r="B584" s="185" t="s">
        <v>4345</v>
      </c>
      <c r="C584" s="186"/>
      <c r="D584" s="208" t="s">
        <v>48</v>
      </c>
      <c r="E584" s="186" t="str">
        <f>VLOOKUP(D584,'لیست پرسنل'!$B$2:$E$1020,3,FALSE)</f>
        <v>فکورصنعت</v>
      </c>
      <c r="F584" s="186" t="str">
        <f>VLOOKUP(D584,'لیست پرسنل'!$B$2:$E$1020,4,FALSE)</f>
        <v>سرپرست آی تی</v>
      </c>
      <c r="G584" s="187">
        <f>VLOOKUP(D584,'لیست پرسنل'!$B$2:$F$1020,2,FALSE)</f>
        <v>2210</v>
      </c>
      <c r="H584" s="206" t="s">
        <v>3381</v>
      </c>
      <c r="I584" s="190"/>
      <c r="J584" s="187" t="s">
        <v>571</v>
      </c>
      <c r="K584" s="188"/>
      <c r="L584" s="187"/>
      <c r="M584" s="190">
        <v>627880</v>
      </c>
      <c r="N584" s="189"/>
      <c r="O584" s="185"/>
      <c r="P584" s="185"/>
      <c r="Q584" s="228"/>
    </row>
    <row r="585" spans="1:17" ht="24.9" customHeight="1">
      <c r="A585" s="20">
        <v>362</v>
      </c>
      <c r="B585" s="20" t="s">
        <v>4345</v>
      </c>
      <c r="C585" s="19"/>
      <c r="D585" s="19" t="s">
        <v>48</v>
      </c>
      <c r="E585" s="19" t="str">
        <f>VLOOKUP(D585,'لیست پرسنل'!$B$2:$E$1020,3,FALSE)</f>
        <v>فکورصنعت</v>
      </c>
      <c r="F585" s="19" t="str">
        <f>VLOOKUP(D585,'لیست پرسنل'!$B$2:$E$1020,4,FALSE)</f>
        <v>سرپرست آی تی</v>
      </c>
      <c r="G585" s="127">
        <f>VLOOKUP(D585,'لیست پرسنل'!$B$2:$F$1020,2,FALSE)</f>
        <v>2210</v>
      </c>
      <c r="H585" s="151" t="s">
        <v>3381</v>
      </c>
      <c r="I585" s="127"/>
      <c r="J585" s="128" t="s">
        <v>4333</v>
      </c>
      <c r="K585" s="128" t="s">
        <v>6037</v>
      </c>
      <c r="L585" s="134" t="s">
        <v>6038</v>
      </c>
      <c r="M585" s="128">
        <v>613646</v>
      </c>
      <c r="N585" s="108"/>
      <c r="O585" s="20"/>
      <c r="P585" s="20"/>
      <c r="Q585" s="20"/>
    </row>
    <row r="586" spans="1:17" ht="24.9" customHeight="1">
      <c r="A586" s="20">
        <v>362</v>
      </c>
      <c r="B586" s="20" t="s">
        <v>4345</v>
      </c>
      <c r="C586" s="19"/>
      <c r="D586" s="19" t="s">
        <v>48</v>
      </c>
      <c r="E586" s="19" t="str">
        <f>VLOOKUP(D586,'لیست پرسنل'!$B$2:$E$1020,3,FALSE)</f>
        <v>فکورصنعت</v>
      </c>
      <c r="F586" s="19" t="str">
        <f>VLOOKUP(D586,'لیست پرسنل'!$B$2:$E$1020,4,FALSE)</f>
        <v>سرپرست آی تی</v>
      </c>
      <c r="G586" s="127">
        <f>VLOOKUP(D586,'لیست پرسنل'!$B$2:$F$1020,2,FALSE)</f>
        <v>2210</v>
      </c>
      <c r="H586" s="151" t="s">
        <v>3381</v>
      </c>
      <c r="I586" s="127"/>
      <c r="J586" s="128" t="s">
        <v>2686</v>
      </c>
      <c r="K586" s="128" t="s">
        <v>2922</v>
      </c>
      <c r="L586" s="127" t="s">
        <v>2990</v>
      </c>
      <c r="M586" s="127">
        <v>626472</v>
      </c>
      <c r="N586" s="109"/>
      <c r="O586" s="86"/>
      <c r="P586" s="20"/>
      <c r="Q586" s="20"/>
    </row>
    <row r="587" spans="1:17" ht="24.9" customHeight="1">
      <c r="A587" s="20">
        <v>362</v>
      </c>
      <c r="B587" s="20" t="s">
        <v>6144</v>
      </c>
      <c r="C587" s="19">
        <v>1</v>
      </c>
      <c r="D587" s="20" t="s">
        <v>326</v>
      </c>
      <c r="E587" s="19" t="str">
        <f>VLOOKUP(D587,'لیست پرسنل'!$B$2:$E$1020,3,FALSE)</f>
        <v>فکورصنعت</v>
      </c>
      <c r="F587" s="19" t="str">
        <f>VLOOKUP(D587,'لیست پرسنل'!$B$2:$E$1020,4,FALSE)</f>
        <v>انبار</v>
      </c>
      <c r="G587" s="127">
        <f>VLOOKUP(D587,'لیست پرسنل'!$B$2:$F$1020,2,FALSE)</f>
        <v>98141</v>
      </c>
      <c r="H587" s="126" t="s">
        <v>6143</v>
      </c>
      <c r="I587" s="128" t="s">
        <v>6794</v>
      </c>
      <c r="J587" s="127" t="s">
        <v>571</v>
      </c>
      <c r="K587" s="128" t="s">
        <v>8106</v>
      </c>
      <c r="L587" s="128"/>
      <c r="M587" s="132">
        <v>632469</v>
      </c>
      <c r="N587" s="108" t="s">
        <v>6149</v>
      </c>
      <c r="O587" s="19"/>
      <c r="P587" s="20"/>
      <c r="Q587" s="20"/>
    </row>
    <row r="588" spans="1:17" ht="24.9" customHeight="1">
      <c r="A588" s="20">
        <v>362</v>
      </c>
      <c r="B588" s="20" t="s">
        <v>6144</v>
      </c>
      <c r="C588" s="19">
        <v>1</v>
      </c>
      <c r="D588" s="20" t="s">
        <v>326</v>
      </c>
      <c r="E588" s="19" t="str">
        <f>VLOOKUP(D588,'لیست پرسنل'!$B$2:$E$1020,3,FALSE)</f>
        <v>فکورصنعت</v>
      </c>
      <c r="F588" s="19" t="str">
        <f>VLOOKUP(D588,'لیست پرسنل'!$B$2:$E$1020,4,FALSE)</f>
        <v>انبار</v>
      </c>
      <c r="G588" s="127">
        <f>VLOOKUP(D588,'لیست پرسنل'!$B$2:$F$1020,2,FALSE)</f>
        <v>98141</v>
      </c>
      <c r="H588" s="126" t="s">
        <v>6143</v>
      </c>
      <c r="I588" s="128" t="s">
        <v>6794</v>
      </c>
      <c r="J588" s="128" t="s">
        <v>2686</v>
      </c>
      <c r="K588" s="128" t="s">
        <v>2922</v>
      </c>
      <c r="L588" s="127" t="s">
        <v>3019</v>
      </c>
      <c r="M588" s="128">
        <v>626502</v>
      </c>
      <c r="N588" s="108" t="s">
        <v>6149</v>
      </c>
      <c r="O588" s="20" t="s">
        <v>705</v>
      </c>
      <c r="P588" s="20"/>
      <c r="Q588" s="20"/>
    </row>
    <row r="589" spans="1:17" ht="24.9" customHeight="1">
      <c r="A589" s="20">
        <v>362</v>
      </c>
      <c r="B589" s="20" t="s">
        <v>6144</v>
      </c>
      <c r="C589" s="19">
        <v>2</v>
      </c>
      <c r="D589" s="20" t="s">
        <v>326</v>
      </c>
      <c r="E589" s="19" t="str">
        <f>VLOOKUP(D589,'لیست پرسنل'!$B$2:$E$1020,3,FALSE)</f>
        <v>فکورصنعت</v>
      </c>
      <c r="F589" s="19" t="str">
        <f>VLOOKUP(D589,'لیست پرسنل'!$B$2:$E$1020,4,FALSE)</f>
        <v>انبار</v>
      </c>
      <c r="G589" s="127">
        <f>VLOOKUP(D589,'لیست پرسنل'!$B$2:$F$1020,2,FALSE)</f>
        <v>98141</v>
      </c>
      <c r="H589" s="126" t="s">
        <v>6143</v>
      </c>
      <c r="I589" s="128" t="s">
        <v>6795</v>
      </c>
      <c r="J589" s="127" t="s">
        <v>571</v>
      </c>
      <c r="K589" s="128" t="s">
        <v>8106</v>
      </c>
      <c r="L589" s="128"/>
      <c r="M589" s="132">
        <v>632466</v>
      </c>
      <c r="N589" s="108"/>
      <c r="O589" s="19"/>
      <c r="P589" s="20"/>
      <c r="Q589" s="66"/>
    </row>
    <row r="590" spans="1:17" ht="24.9" customHeight="1">
      <c r="A590" s="20">
        <v>362</v>
      </c>
      <c r="B590" s="20" t="s">
        <v>6144</v>
      </c>
      <c r="C590" s="19">
        <v>3</v>
      </c>
      <c r="D590" s="20" t="s">
        <v>7904</v>
      </c>
      <c r="E590" s="19" t="str">
        <f>VLOOKUP(D590,'لیست پرسنل'!$B$2:$E$1020,3,FALSE)</f>
        <v>فرزان فن اندیش</v>
      </c>
      <c r="F590" s="19" t="str">
        <f>VLOOKUP(D590,'لیست پرسنل'!$B$2:$E$1020,4,FALSE)</f>
        <v>فرزان-MC</v>
      </c>
      <c r="G590" s="127">
        <f>VLOOKUP(D590,'لیست پرسنل'!$B$2:$F$1020,2,FALSE)</f>
        <v>0</v>
      </c>
      <c r="H590" s="126" t="s">
        <v>6143</v>
      </c>
      <c r="I590" s="128" t="s">
        <v>6796</v>
      </c>
      <c r="J590" s="127" t="s">
        <v>571</v>
      </c>
      <c r="K590" s="128" t="s">
        <v>8106</v>
      </c>
      <c r="L590" s="128"/>
      <c r="M590" s="132">
        <v>632471</v>
      </c>
      <c r="N590" s="108"/>
      <c r="O590" s="19"/>
      <c r="P590" s="20"/>
      <c r="Q590" s="20"/>
    </row>
    <row r="591" spans="1:17" ht="24.9" customHeight="1">
      <c r="A591" s="20">
        <v>362</v>
      </c>
      <c r="B591" s="20" t="s">
        <v>6144</v>
      </c>
      <c r="C591" s="19">
        <v>3</v>
      </c>
      <c r="D591" s="20" t="s">
        <v>7904</v>
      </c>
      <c r="E591" s="19" t="str">
        <f>VLOOKUP(D591,'لیست پرسنل'!$B$2:$E$1020,3,FALSE)</f>
        <v>فرزان فن اندیش</v>
      </c>
      <c r="F591" s="19" t="str">
        <f>VLOOKUP(D591,'لیست پرسنل'!$B$2:$E$1020,4,FALSE)</f>
        <v>فرزان-MC</v>
      </c>
      <c r="G591" s="127">
        <f>VLOOKUP(D591,'لیست پرسنل'!$B$2:$F$1020,2,FALSE)</f>
        <v>0</v>
      </c>
      <c r="H591" s="126" t="s">
        <v>6143</v>
      </c>
      <c r="I591" s="128" t="s">
        <v>6796</v>
      </c>
      <c r="J591" s="128" t="s">
        <v>2686</v>
      </c>
      <c r="K591" s="128" t="s">
        <v>2922</v>
      </c>
      <c r="L591" s="127" t="s">
        <v>3071</v>
      </c>
      <c r="M591" s="128">
        <v>626555</v>
      </c>
      <c r="N591" s="108"/>
      <c r="O591" s="20" t="s">
        <v>705</v>
      </c>
      <c r="P591" s="20"/>
      <c r="Q591" s="20"/>
    </row>
    <row r="592" spans="1:17" ht="24.9" customHeight="1">
      <c r="A592" s="20">
        <v>362</v>
      </c>
      <c r="B592" s="20" t="s">
        <v>6144</v>
      </c>
      <c r="C592" s="19">
        <v>4</v>
      </c>
      <c r="D592" s="20" t="s">
        <v>326</v>
      </c>
      <c r="E592" s="19" t="str">
        <f>VLOOKUP(D592,'لیست پرسنل'!$B$2:$E$1020,3,FALSE)</f>
        <v>فکورصنعت</v>
      </c>
      <c r="F592" s="19" t="str">
        <f>VLOOKUP(D592,'لیست پرسنل'!$B$2:$E$1020,4,FALSE)</f>
        <v>انبار</v>
      </c>
      <c r="G592" s="127">
        <f>VLOOKUP(D592,'لیست پرسنل'!$B$2:$F$1020,2,FALSE)</f>
        <v>98141</v>
      </c>
      <c r="H592" s="126" t="s">
        <v>6143</v>
      </c>
      <c r="I592" s="128" t="s">
        <v>6797</v>
      </c>
      <c r="J592" s="127" t="s">
        <v>571</v>
      </c>
      <c r="K592" s="128" t="s">
        <v>8106</v>
      </c>
      <c r="L592" s="128"/>
      <c r="M592" s="132">
        <v>632474</v>
      </c>
      <c r="N592" s="108"/>
      <c r="O592" s="19"/>
      <c r="P592" s="20"/>
      <c r="Q592" s="66"/>
    </row>
    <row r="593" spans="1:17" ht="24.9" customHeight="1">
      <c r="A593" s="20">
        <v>362</v>
      </c>
      <c r="B593" s="20" t="s">
        <v>6144</v>
      </c>
      <c r="C593" s="19">
        <v>5</v>
      </c>
      <c r="D593" s="20" t="s">
        <v>326</v>
      </c>
      <c r="E593" s="19" t="str">
        <f>VLOOKUP(D593,'لیست پرسنل'!$B$2:$E$1020,3,FALSE)</f>
        <v>فکورصنعت</v>
      </c>
      <c r="F593" s="19" t="str">
        <f>VLOOKUP(D593,'لیست پرسنل'!$B$2:$E$1020,4,FALSE)</f>
        <v>انبار</v>
      </c>
      <c r="G593" s="127">
        <f>VLOOKUP(D593,'لیست پرسنل'!$B$2:$F$1020,2,FALSE)</f>
        <v>98141</v>
      </c>
      <c r="H593" s="126" t="s">
        <v>6143</v>
      </c>
      <c r="I593" s="128" t="s">
        <v>6155</v>
      </c>
      <c r="J593" s="127" t="s">
        <v>571</v>
      </c>
      <c r="K593" s="128" t="s">
        <v>8106</v>
      </c>
      <c r="L593" s="128"/>
      <c r="M593" s="132">
        <v>632465</v>
      </c>
      <c r="N593" s="108" t="s">
        <v>6154</v>
      </c>
      <c r="O593" s="19"/>
      <c r="P593" s="20"/>
      <c r="Q593" s="66"/>
    </row>
    <row r="594" spans="1:17" ht="24.9" customHeight="1">
      <c r="A594" s="20">
        <v>362</v>
      </c>
      <c r="B594" s="20" t="s">
        <v>6144</v>
      </c>
      <c r="C594" s="19">
        <v>5</v>
      </c>
      <c r="D594" s="20" t="s">
        <v>326</v>
      </c>
      <c r="E594" s="19" t="str">
        <f>VLOOKUP(D594,'لیست پرسنل'!$B$2:$E$1020,3,FALSE)</f>
        <v>فکورصنعت</v>
      </c>
      <c r="F594" s="19" t="str">
        <f>VLOOKUP(D594,'لیست پرسنل'!$B$2:$E$1020,4,FALSE)</f>
        <v>انبار</v>
      </c>
      <c r="G594" s="127">
        <f>VLOOKUP(D594,'لیست پرسنل'!$B$2:$F$1020,2,FALSE)</f>
        <v>98141</v>
      </c>
      <c r="H594" s="126" t="s">
        <v>6143</v>
      </c>
      <c r="I594" s="128" t="s">
        <v>6155</v>
      </c>
      <c r="J594" s="128" t="s">
        <v>2686</v>
      </c>
      <c r="K594" s="128" t="s">
        <v>2922</v>
      </c>
      <c r="L594" s="128" t="s">
        <v>2945</v>
      </c>
      <c r="M594" s="128">
        <v>626424</v>
      </c>
      <c r="N594" s="108" t="s">
        <v>6154</v>
      </c>
      <c r="O594" s="20" t="s">
        <v>705</v>
      </c>
      <c r="P594" s="20"/>
      <c r="Q594" s="20"/>
    </row>
    <row r="595" spans="1:17" ht="24.9" customHeight="1">
      <c r="A595" s="20">
        <v>362</v>
      </c>
      <c r="B595" s="20" t="s">
        <v>6144</v>
      </c>
      <c r="C595" s="19">
        <v>6</v>
      </c>
      <c r="D595" s="20" t="s">
        <v>326</v>
      </c>
      <c r="E595" s="19" t="str">
        <f>VLOOKUP(D595,'لیست پرسنل'!$B$2:$E$1020,3,FALSE)</f>
        <v>فکورصنعت</v>
      </c>
      <c r="F595" s="19" t="str">
        <f>VLOOKUP(D595,'لیست پرسنل'!$B$2:$E$1020,4,FALSE)</f>
        <v>انبار</v>
      </c>
      <c r="G595" s="127">
        <f>VLOOKUP(D595,'لیست پرسنل'!$B$2:$F$1020,2,FALSE)</f>
        <v>98141</v>
      </c>
      <c r="H595" s="126" t="s">
        <v>6143</v>
      </c>
      <c r="I595" s="128" t="s">
        <v>6798</v>
      </c>
      <c r="J595" s="127" t="s">
        <v>571</v>
      </c>
      <c r="K595" s="128" t="s">
        <v>8106</v>
      </c>
      <c r="L595" s="128"/>
      <c r="M595" s="132">
        <v>632472</v>
      </c>
      <c r="N595" s="108" t="s">
        <v>7873</v>
      </c>
      <c r="O595" s="19"/>
      <c r="P595" s="20"/>
      <c r="Q595" s="66"/>
    </row>
    <row r="596" spans="1:17" ht="24.9" customHeight="1">
      <c r="A596" s="20">
        <v>362</v>
      </c>
      <c r="B596" s="20" t="s">
        <v>6144</v>
      </c>
      <c r="C596" s="19">
        <v>6</v>
      </c>
      <c r="D596" s="20" t="s">
        <v>326</v>
      </c>
      <c r="E596" s="19" t="str">
        <f>VLOOKUP(D596,'لیست پرسنل'!$B$2:$E$1020,3,FALSE)</f>
        <v>فکورصنعت</v>
      </c>
      <c r="F596" s="19" t="str">
        <f>VLOOKUP(D596,'لیست پرسنل'!$B$2:$E$1020,4,FALSE)</f>
        <v>انبار</v>
      </c>
      <c r="G596" s="127">
        <f>VLOOKUP(D596,'لیست پرسنل'!$B$2:$F$1020,2,FALSE)</f>
        <v>98141</v>
      </c>
      <c r="H596" s="126" t="s">
        <v>6143</v>
      </c>
      <c r="I596" s="128" t="s">
        <v>6798</v>
      </c>
      <c r="J596" s="128" t="s">
        <v>2686</v>
      </c>
      <c r="K596" s="128" t="s">
        <v>2922</v>
      </c>
      <c r="L596" s="127" t="s">
        <v>3058</v>
      </c>
      <c r="M596" s="128">
        <v>626542</v>
      </c>
      <c r="N596" s="108" t="s">
        <v>7873</v>
      </c>
      <c r="O596" s="20" t="s">
        <v>705</v>
      </c>
      <c r="P596" s="20"/>
      <c r="Q596" s="20"/>
    </row>
    <row r="597" spans="1:17" ht="24.9" customHeight="1">
      <c r="A597" s="20">
        <v>362</v>
      </c>
      <c r="B597" s="20" t="s">
        <v>6144</v>
      </c>
      <c r="C597" s="19">
        <v>7</v>
      </c>
      <c r="D597" s="20" t="s">
        <v>326</v>
      </c>
      <c r="E597" s="19" t="str">
        <f>VLOOKUP(D597,'لیست پرسنل'!$B$2:$E$1020,3,FALSE)</f>
        <v>فکورصنعت</v>
      </c>
      <c r="F597" s="19" t="str">
        <f>VLOOKUP(D597,'لیست پرسنل'!$B$2:$E$1020,4,FALSE)</f>
        <v>انبار</v>
      </c>
      <c r="G597" s="127">
        <f>VLOOKUP(D597,'لیست پرسنل'!$B$2:$F$1020,2,FALSE)</f>
        <v>98141</v>
      </c>
      <c r="H597" s="126" t="s">
        <v>6143</v>
      </c>
      <c r="I597" s="128" t="s">
        <v>6799</v>
      </c>
      <c r="J597" s="127" t="s">
        <v>571</v>
      </c>
      <c r="K597" s="128" t="s">
        <v>8106</v>
      </c>
      <c r="L597" s="128"/>
      <c r="M597" s="132">
        <v>632477</v>
      </c>
      <c r="N597" s="108" t="s">
        <v>7709</v>
      </c>
      <c r="O597" s="19"/>
      <c r="P597" s="20"/>
      <c r="Q597" s="66"/>
    </row>
    <row r="598" spans="1:17" ht="24.9" customHeight="1">
      <c r="A598" s="20">
        <v>362</v>
      </c>
      <c r="B598" s="20" t="s">
        <v>6144</v>
      </c>
      <c r="C598" s="19">
        <v>7</v>
      </c>
      <c r="D598" s="20" t="s">
        <v>326</v>
      </c>
      <c r="E598" s="19" t="str">
        <f>VLOOKUP(D598,'لیست پرسنل'!$B$2:$E$1020,3,FALSE)</f>
        <v>فکورصنعت</v>
      </c>
      <c r="F598" s="19" t="str">
        <f>VLOOKUP(D598,'لیست پرسنل'!$B$2:$E$1020,4,FALSE)</f>
        <v>انبار</v>
      </c>
      <c r="G598" s="127">
        <f>VLOOKUP(D598,'لیست پرسنل'!$B$2:$F$1020,2,FALSE)</f>
        <v>98141</v>
      </c>
      <c r="H598" s="126" t="s">
        <v>6143</v>
      </c>
      <c r="I598" s="128" t="s">
        <v>6799</v>
      </c>
      <c r="J598" s="128" t="s">
        <v>2686</v>
      </c>
      <c r="K598" s="128" t="s">
        <v>2922</v>
      </c>
      <c r="L598" s="127" t="s">
        <v>3025</v>
      </c>
      <c r="M598" s="128">
        <v>626508</v>
      </c>
      <c r="N598" s="108" t="s">
        <v>7709</v>
      </c>
      <c r="O598" s="20" t="s">
        <v>705</v>
      </c>
      <c r="P598" s="20"/>
      <c r="Q598" s="20"/>
    </row>
    <row r="599" spans="1:17" ht="24.9" customHeight="1">
      <c r="A599" s="20">
        <v>362</v>
      </c>
      <c r="B599" s="20" t="s">
        <v>6144</v>
      </c>
      <c r="C599" s="19">
        <v>8</v>
      </c>
      <c r="D599" s="20" t="s">
        <v>326</v>
      </c>
      <c r="E599" s="19" t="str">
        <f>VLOOKUP(D599,'لیست پرسنل'!$B$2:$E$1020,3,FALSE)</f>
        <v>فکورصنعت</v>
      </c>
      <c r="F599" s="19" t="str">
        <f>VLOOKUP(D599,'لیست پرسنل'!$B$2:$E$1020,4,FALSE)</f>
        <v>انبار</v>
      </c>
      <c r="G599" s="127">
        <f>VLOOKUP(D599,'لیست پرسنل'!$B$2:$F$1020,2,FALSE)</f>
        <v>98141</v>
      </c>
      <c r="H599" s="126" t="s">
        <v>6143</v>
      </c>
      <c r="I599" s="128" t="s">
        <v>6800</v>
      </c>
      <c r="J599" s="127" t="s">
        <v>571</v>
      </c>
      <c r="K599" s="128" t="s">
        <v>8106</v>
      </c>
      <c r="L599" s="128"/>
      <c r="M599" s="132">
        <v>632473</v>
      </c>
      <c r="N599" s="108" t="s">
        <v>7133</v>
      </c>
      <c r="O599" s="19"/>
      <c r="P599" s="20"/>
      <c r="Q599" s="20"/>
    </row>
    <row r="600" spans="1:17" ht="24.9" customHeight="1">
      <c r="A600" s="20">
        <v>362</v>
      </c>
      <c r="B600" s="20" t="s">
        <v>6144</v>
      </c>
      <c r="C600" s="19">
        <v>8</v>
      </c>
      <c r="D600" s="20" t="s">
        <v>326</v>
      </c>
      <c r="E600" s="19" t="str">
        <f>VLOOKUP(D600,'لیست پرسنل'!$B$2:$E$1020,3,FALSE)</f>
        <v>فکورصنعت</v>
      </c>
      <c r="F600" s="19" t="str">
        <f>VLOOKUP(D600,'لیست پرسنل'!$B$2:$E$1020,4,FALSE)</f>
        <v>انبار</v>
      </c>
      <c r="G600" s="127">
        <f>VLOOKUP(D600,'لیست پرسنل'!$B$2:$F$1020,2,FALSE)</f>
        <v>98141</v>
      </c>
      <c r="H600" s="126" t="s">
        <v>6143</v>
      </c>
      <c r="I600" s="128" t="s">
        <v>6800</v>
      </c>
      <c r="J600" s="128" t="s">
        <v>2686</v>
      </c>
      <c r="K600" s="128" t="s">
        <v>2922</v>
      </c>
      <c r="L600" s="127" t="s">
        <v>3089</v>
      </c>
      <c r="M600" s="128">
        <v>626573</v>
      </c>
      <c r="N600" s="108" t="s">
        <v>7133</v>
      </c>
      <c r="O600" s="20" t="s">
        <v>705</v>
      </c>
      <c r="P600" s="20"/>
      <c r="Q600" s="20"/>
    </row>
    <row r="601" spans="1:17" ht="24.9" customHeight="1">
      <c r="A601" s="20">
        <v>362</v>
      </c>
      <c r="B601" s="20" t="s">
        <v>6144</v>
      </c>
      <c r="C601" s="19">
        <v>9</v>
      </c>
      <c r="D601" s="20" t="s">
        <v>326</v>
      </c>
      <c r="E601" s="19" t="str">
        <f>VLOOKUP(D601,'لیست پرسنل'!$B$2:$E$1020,3,FALSE)</f>
        <v>فکورصنعت</v>
      </c>
      <c r="F601" s="19" t="str">
        <f>VLOOKUP(D601,'لیست پرسنل'!$B$2:$E$1020,4,FALSE)</f>
        <v>انبار</v>
      </c>
      <c r="G601" s="127">
        <f>VLOOKUP(D601,'لیست پرسنل'!$B$2:$F$1020,2,FALSE)</f>
        <v>98141</v>
      </c>
      <c r="H601" s="126" t="s">
        <v>6143</v>
      </c>
      <c r="I601" s="128" t="s">
        <v>6801</v>
      </c>
      <c r="J601" s="127" t="s">
        <v>571</v>
      </c>
      <c r="K601" s="128" t="s">
        <v>8106</v>
      </c>
      <c r="L601" s="128"/>
      <c r="M601" s="132">
        <v>632475</v>
      </c>
      <c r="N601" s="108" t="s">
        <v>6148</v>
      </c>
      <c r="O601" s="19"/>
      <c r="P601" s="20"/>
      <c r="Q601" s="20"/>
    </row>
    <row r="602" spans="1:17" ht="24.9" customHeight="1">
      <c r="A602" s="20">
        <v>362</v>
      </c>
      <c r="B602" s="20" t="s">
        <v>6144</v>
      </c>
      <c r="C602" s="19">
        <v>9</v>
      </c>
      <c r="D602" s="20" t="s">
        <v>326</v>
      </c>
      <c r="E602" s="19" t="str">
        <f>VLOOKUP(D602,'لیست پرسنل'!$B$2:$E$1020,3,FALSE)</f>
        <v>فکورصنعت</v>
      </c>
      <c r="F602" s="19" t="str">
        <f>VLOOKUP(D602,'لیست پرسنل'!$B$2:$E$1020,4,FALSE)</f>
        <v>انبار</v>
      </c>
      <c r="G602" s="127">
        <f>VLOOKUP(D602,'لیست پرسنل'!$B$2:$F$1020,2,FALSE)</f>
        <v>98141</v>
      </c>
      <c r="H602" s="126" t="s">
        <v>6143</v>
      </c>
      <c r="I602" s="128" t="s">
        <v>6801</v>
      </c>
      <c r="J602" s="128" t="s">
        <v>2686</v>
      </c>
      <c r="K602" s="128" t="s">
        <v>2922</v>
      </c>
      <c r="L602" s="127" t="s">
        <v>3042</v>
      </c>
      <c r="M602" s="128">
        <v>626526</v>
      </c>
      <c r="N602" s="108" t="s">
        <v>6148</v>
      </c>
      <c r="O602" s="20" t="s">
        <v>705</v>
      </c>
      <c r="P602" s="20"/>
      <c r="Q602" s="66"/>
    </row>
    <row r="603" spans="1:17" ht="24.9" customHeight="1">
      <c r="A603" s="20">
        <v>362</v>
      </c>
      <c r="B603" s="20" t="s">
        <v>6144</v>
      </c>
      <c r="C603" s="19">
        <v>10</v>
      </c>
      <c r="D603" s="19" t="s">
        <v>2817</v>
      </c>
      <c r="E603" s="19" t="str">
        <f>VLOOKUP(D603,'لیست پرسنل'!$B$2:$E$1020,3,FALSE)</f>
        <v>مهرفام</v>
      </c>
      <c r="F603" s="19" t="str">
        <f>VLOOKUP(D603,'لیست پرسنل'!$B$2:$E$1020,4,FALSE)</f>
        <v>برق</v>
      </c>
      <c r="G603" s="127">
        <f>VLOOKUP(D603,'لیست پرسنل'!$B$2:$F$1020,2,FALSE)</f>
        <v>100510</v>
      </c>
      <c r="H603" s="126" t="s">
        <v>6143</v>
      </c>
      <c r="I603" s="128" t="s">
        <v>6802</v>
      </c>
      <c r="J603" s="126" t="s">
        <v>368</v>
      </c>
      <c r="K603" s="135" t="s">
        <v>8248</v>
      </c>
      <c r="L603" s="127" t="s">
        <v>2513</v>
      </c>
      <c r="M603" s="128">
        <v>628925</v>
      </c>
      <c r="N603" s="108"/>
      <c r="O603" s="20" t="s">
        <v>705</v>
      </c>
      <c r="P603" s="20"/>
      <c r="Q603" s="66"/>
    </row>
    <row r="604" spans="1:17" ht="24.9" customHeight="1">
      <c r="A604" s="20">
        <v>362</v>
      </c>
      <c r="B604" s="20" t="s">
        <v>6144</v>
      </c>
      <c r="C604" s="19">
        <v>10</v>
      </c>
      <c r="D604" s="19" t="s">
        <v>2817</v>
      </c>
      <c r="E604" s="19" t="str">
        <f>VLOOKUP(D604,'لیست پرسنل'!$B$2:$E$1020,3,FALSE)</f>
        <v>مهرفام</v>
      </c>
      <c r="F604" s="19" t="str">
        <f>VLOOKUP(D604,'لیست پرسنل'!$B$2:$E$1020,4,FALSE)</f>
        <v>برق</v>
      </c>
      <c r="G604" s="127">
        <f>VLOOKUP(D604,'لیست پرسنل'!$B$2:$F$1020,2,FALSE)</f>
        <v>100510</v>
      </c>
      <c r="H604" s="126" t="s">
        <v>6143</v>
      </c>
      <c r="I604" s="128" t="s">
        <v>6802</v>
      </c>
      <c r="J604" s="127" t="s">
        <v>571</v>
      </c>
      <c r="K604" s="128" t="s">
        <v>8106</v>
      </c>
      <c r="L604" s="128"/>
      <c r="M604" s="132">
        <v>632467</v>
      </c>
      <c r="N604" s="108" t="s">
        <v>6147</v>
      </c>
      <c r="O604" s="19"/>
      <c r="P604" s="20"/>
      <c r="Q604" s="20"/>
    </row>
    <row r="605" spans="1:17" ht="24.9" customHeight="1">
      <c r="A605" s="20">
        <v>362</v>
      </c>
      <c r="B605" s="20" t="s">
        <v>6144</v>
      </c>
      <c r="C605" s="19">
        <v>10</v>
      </c>
      <c r="D605" s="19" t="s">
        <v>2817</v>
      </c>
      <c r="E605" s="19" t="str">
        <f>VLOOKUP(D605,'لیست پرسنل'!$B$2:$E$1020,3,FALSE)</f>
        <v>مهرفام</v>
      </c>
      <c r="F605" s="19" t="str">
        <f>VLOOKUP(D605,'لیست پرسنل'!$B$2:$E$1020,4,FALSE)</f>
        <v>برق</v>
      </c>
      <c r="G605" s="127">
        <f>VLOOKUP(D605,'لیست پرسنل'!$B$2:$F$1020,2,FALSE)</f>
        <v>100510</v>
      </c>
      <c r="H605" s="126" t="s">
        <v>6143</v>
      </c>
      <c r="I605" s="128" t="s">
        <v>6802</v>
      </c>
      <c r="J605" s="128" t="s">
        <v>2686</v>
      </c>
      <c r="K605" s="128" t="s">
        <v>2922</v>
      </c>
      <c r="L605" s="127" t="s">
        <v>3018</v>
      </c>
      <c r="M605" s="128">
        <v>626501</v>
      </c>
      <c r="N605" s="108" t="s">
        <v>6146</v>
      </c>
      <c r="O605" s="20" t="s">
        <v>705</v>
      </c>
      <c r="P605" s="20"/>
      <c r="Q605" s="66"/>
    </row>
    <row r="606" spans="1:17" ht="24.9" customHeight="1">
      <c r="A606" s="20">
        <v>362</v>
      </c>
      <c r="B606" s="20" t="s">
        <v>6144</v>
      </c>
      <c r="C606" s="20">
        <v>12</v>
      </c>
      <c r="D606" s="20" t="s">
        <v>4936</v>
      </c>
      <c r="E606" s="19" t="str">
        <f>VLOOKUP(D606,'لیست پرسنل'!$B$2:$E$1020,3,FALSE)</f>
        <v>فرزان فن اندیش</v>
      </c>
      <c r="F606" s="19" t="str">
        <f>VLOOKUP(D606,'لیست پرسنل'!$B$2:$E$1020,4,FALSE)</f>
        <v>دفتر مدیر پروژه</v>
      </c>
      <c r="G606" s="127">
        <f>VLOOKUP(D606,'لیست پرسنل'!$B$2:$F$1020,2,FALSE)</f>
        <v>0</v>
      </c>
      <c r="H606" s="127" t="s">
        <v>8509</v>
      </c>
      <c r="I606" s="127" t="s">
        <v>6841</v>
      </c>
      <c r="J606" s="128" t="s">
        <v>8512</v>
      </c>
      <c r="K606" s="127" t="s">
        <v>8513</v>
      </c>
      <c r="L606" s="127" t="s">
        <v>8514</v>
      </c>
      <c r="M606" s="127">
        <v>637740</v>
      </c>
      <c r="N606" s="109" t="s">
        <v>326</v>
      </c>
      <c r="O606" s="20"/>
      <c r="P606" s="20"/>
      <c r="Q606" s="66"/>
    </row>
    <row r="607" spans="1:17" ht="24.9" customHeight="1">
      <c r="A607" s="20">
        <v>362</v>
      </c>
      <c r="B607" s="20" t="s">
        <v>6144</v>
      </c>
      <c r="C607" s="20">
        <v>12</v>
      </c>
      <c r="D607" s="20" t="s">
        <v>4936</v>
      </c>
      <c r="E607" s="19" t="str">
        <f>VLOOKUP(D607,'لیست پرسنل'!$B$2:$E$1020,3,FALSE)</f>
        <v>فرزان فن اندیش</v>
      </c>
      <c r="F607" s="19" t="str">
        <f>VLOOKUP(D607,'لیست پرسنل'!$B$2:$E$1020,4,FALSE)</f>
        <v>دفتر مدیر پروژه</v>
      </c>
      <c r="G607" s="127">
        <f>VLOOKUP(D607,'لیست پرسنل'!$B$2:$F$1020,2,FALSE)</f>
        <v>0</v>
      </c>
      <c r="H607" s="127" t="s">
        <v>8509</v>
      </c>
      <c r="I607" s="127" t="s">
        <v>6841</v>
      </c>
      <c r="J607" s="128" t="s">
        <v>1977</v>
      </c>
      <c r="K607" s="127" t="s">
        <v>8510</v>
      </c>
      <c r="L607" s="127" t="s">
        <v>8511</v>
      </c>
      <c r="M607" s="127">
        <v>637116</v>
      </c>
      <c r="N607" s="109" t="s">
        <v>326</v>
      </c>
      <c r="O607" s="20"/>
      <c r="P607" s="20"/>
      <c r="Q607" s="20"/>
    </row>
    <row r="608" spans="1:17" ht="24.9" customHeight="1">
      <c r="A608" s="20">
        <v>362</v>
      </c>
      <c r="B608" s="20" t="s">
        <v>6144</v>
      </c>
      <c r="C608" s="19">
        <v>12</v>
      </c>
      <c r="D608" s="20" t="s">
        <v>4936</v>
      </c>
      <c r="E608" s="19" t="str">
        <f>VLOOKUP(D608,'لیست پرسنل'!$B$2:$E$1020,3,FALSE)</f>
        <v>فرزان فن اندیش</v>
      </c>
      <c r="F608" s="19" t="str">
        <f>VLOOKUP(D608,'لیست پرسنل'!$B$2:$E$1020,4,FALSE)</f>
        <v>دفتر مدیر پروژه</v>
      </c>
      <c r="G608" s="127">
        <f>VLOOKUP(D608,'لیست پرسنل'!$B$2:$F$1020,2,FALSE)</f>
        <v>0</v>
      </c>
      <c r="H608" s="126" t="s">
        <v>6822</v>
      </c>
      <c r="I608" s="128" t="s">
        <v>6841</v>
      </c>
      <c r="J608" s="127" t="s">
        <v>571</v>
      </c>
      <c r="K608" s="128" t="s">
        <v>2219</v>
      </c>
      <c r="L608" s="127"/>
      <c r="M608" s="127">
        <v>624100</v>
      </c>
      <c r="N608" s="109"/>
      <c r="O608" s="20"/>
      <c r="P608" s="20"/>
      <c r="Q608" s="20"/>
    </row>
    <row r="609" spans="1:17" ht="24.9" customHeight="1">
      <c r="A609" s="20">
        <v>362</v>
      </c>
      <c r="B609" s="20" t="s">
        <v>6144</v>
      </c>
      <c r="C609" s="19">
        <v>13</v>
      </c>
      <c r="D609" s="20" t="s">
        <v>4936</v>
      </c>
      <c r="E609" s="19" t="str">
        <f>VLOOKUP(D609,'لیست پرسنل'!$B$2:$E$1020,3,FALSE)</f>
        <v>فرزان فن اندیش</v>
      </c>
      <c r="F609" s="19" t="str">
        <f>VLOOKUP(D609,'لیست پرسنل'!$B$2:$E$1020,4,FALSE)</f>
        <v>دفتر مدیر پروژه</v>
      </c>
      <c r="G609" s="127">
        <f>VLOOKUP(D609,'لیست پرسنل'!$B$2:$F$1020,2,FALSE)</f>
        <v>0</v>
      </c>
      <c r="H609" s="126" t="s">
        <v>6822</v>
      </c>
      <c r="I609" s="128" t="s">
        <v>6842</v>
      </c>
      <c r="J609" s="141" t="s">
        <v>571</v>
      </c>
      <c r="K609" s="127"/>
      <c r="L609" s="159" t="s">
        <v>2219</v>
      </c>
      <c r="M609" s="127">
        <v>628604</v>
      </c>
      <c r="N609" s="108" t="s">
        <v>7259</v>
      </c>
      <c r="O609" s="20" t="s">
        <v>705</v>
      </c>
      <c r="P609" s="20"/>
      <c r="Q609" s="20"/>
    </row>
    <row r="610" spans="1:17" ht="24.9" customHeight="1">
      <c r="A610" s="20">
        <v>362</v>
      </c>
      <c r="B610" s="20" t="s">
        <v>6144</v>
      </c>
      <c r="C610" s="19">
        <v>13</v>
      </c>
      <c r="D610" s="20" t="s">
        <v>4936</v>
      </c>
      <c r="E610" s="19" t="str">
        <f>VLOOKUP(D610,'لیست پرسنل'!$B$2:$E$1020,3,FALSE)</f>
        <v>فرزان فن اندیش</v>
      </c>
      <c r="F610" s="19" t="str">
        <f>VLOOKUP(D610,'لیست پرسنل'!$B$2:$E$1020,4,FALSE)</f>
        <v>دفتر مدیر پروژه</v>
      </c>
      <c r="G610" s="127">
        <f>VLOOKUP(D610,'لیست پرسنل'!$B$2:$F$1020,2,FALSE)</f>
        <v>0</v>
      </c>
      <c r="H610" s="126" t="s">
        <v>6822</v>
      </c>
      <c r="I610" s="128" t="s">
        <v>6842</v>
      </c>
      <c r="J610" s="128" t="s">
        <v>2686</v>
      </c>
      <c r="K610" s="128" t="s">
        <v>2922</v>
      </c>
      <c r="L610" s="127" t="s">
        <v>3031</v>
      </c>
      <c r="M610" s="128">
        <v>626514</v>
      </c>
      <c r="N610" s="108" t="s">
        <v>7259</v>
      </c>
      <c r="O610" s="20" t="s">
        <v>705</v>
      </c>
      <c r="P610" s="20"/>
      <c r="Q610" s="20"/>
    </row>
    <row r="611" spans="1:17" ht="24.9" customHeight="1">
      <c r="A611" s="20">
        <v>362</v>
      </c>
      <c r="B611" s="20" t="s">
        <v>6144</v>
      </c>
      <c r="C611" s="19">
        <v>14</v>
      </c>
      <c r="D611" s="20" t="s">
        <v>4936</v>
      </c>
      <c r="E611" s="19" t="str">
        <f>VLOOKUP(D611,'لیست پرسنل'!$B$2:$E$1020,3,FALSE)</f>
        <v>فرزان فن اندیش</v>
      </c>
      <c r="F611" s="19" t="str">
        <f>VLOOKUP(D611,'لیست پرسنل'!$B$2:$E$1020,4,FALSE)</f>
        <v>دفتر مدیر پروژه</v>
      </c>
      <c r="G611" s="127">
        <f>VLOOKUP(D611,'لیست پرسنل'!$B$2:$F$1020,2,FALSE)</f>
        <v>0</v>
      </c>
      <c r="H611" s="126" t="s">
        <v>6822</v>
      </c>
      <c r="I611" s="128" t="s">
        <v>6843</v>
      </c>
      <c r="J611" s="128" t="s">
        <v>571</v>
      </c>
      <c r="K611" s="128" t="s">
        <v>4771</v>
      </c>
      <c r="L611" s="128"/>
      <c r="M611" s="127">
        <v>633662</v>
      </c>
      <c r="N611" s="109"/>
      <c r="O611" s="19" t="s">
        <v>6324</v>
      </c>
      <c r="P611" s="32"/>
      <c r="Q611" s="32"/>
    </row>
    <row r="612" spans="1:17" ht="24.9" customHeight="1">
      <c r="A612" s="20">
        <v>362</v>
      </c>
      <c r="B612" s="20" t="s">
        <v>6144</v>
      </c>
      <c r="C612" s="19">
        <v>15</v>
      </c>
      <c r="D612" s="20" t="s">
        <v>4936</v>
      </c>
      <c r="E612" s="19" t="str">
        <f>VLOOKUP(D612,'لیست پرسنل'!$B$2:$E$1020,3,FALSE)</f>
        <v>فرزان فن اندیش</v>
      </c>
      <c r="F612" s="19" t="str">
        <f>VLOOKUP(D612,'لیست پرسنل'!$B$2:$E$1020,4,FALSE)</f>
        <v>دفتر مدیر پروژه</v>
      </c>
      <c r="G612" s="127">
        <f>VLOOKUP(D612,'لیست پرسنل'!$B$2:$F$1020,2,FALSE)</f>
        <v>0</v>
      </c>
      <c r="H612" s="126" t="s">
        <v>6822</v>
      </c>
      <c r="I612" s="128" t="s">
        <v>6844</v>
      </c>
      <c r="J612" s="127" t="s">
        <v>571</v>
      </c>
      <c r="K612" s="127"/>
      <c r="L612" s="154"/>
      <c r="M612" s="127">
        <v>624635</v>
      </c>
      <c r="N612" s="109"/>
      <c r="O612" s="19"/>
      <c r="P612" s="20"/>
      <c r="Q612" s="20"/>
    </row>
    <row r="613" spans="1:17" ht="24.9" customHeight="1">
      <c r="A613" s="20">
        <v>362</v>
      </c>
      <c r="B613" s="20" t="s">
        <v>6144</v>
      </c>
      <c r="C613" s="19">
        <v>16</v>
      </c>
      <c r="D613" s="20" t="s">
        <v>2822</v>
      </c>
      <c r="E613" s="19" t="str">
        <f>VLOOKUP(D613,'لیست پرسنل'!$B$2:$E$1020,3,FALSE)</f>
        <v>فکورصنعت</v>
      </c>
      <c r="F613" s="19">
        <f>VLOOKUP(D613,'لیست پرسنل'!$B$2:$E$1020,4,FALSE)</f>
        <v>0</v>
      </c>
      <c r="G613" s="127">
        <f>VLOOKUP(D613,'لیست پرسنل'!$B$2:$F$1020,2,FALSE)</f>
        <v>5023</v>
      </c>
      <c r="H613" s="126" t="s">
        <v>6822</v>
      </c>
      <c r="I613" s="128" t="s">
        <v>6845</v>
      </c>
      <c r="J613" s="127" t="s">
        <v>571</v>
      </c>
      <c r="K613" s="127"/>
      <c r="L613" s="127"/>
      <c r="M613" s="127">
        <v>624729</v>
      </c>
      <c r="N613" s="109" t="s">
        <v>7937</v>
      </c>
      <c r="O613" s="20"/>
      <c r="P613" s="20"/>
      <c r="Q613" s="20"/>
    </row>
    <row r="614" spans="1:17" ht="24.9" customHeight="1">
      <c r="A614" s="20">
        <v>362</v>
      </c>
      <c r="B614" s="20" t="s">
        <v>6144</v>
      </c>
      <c r="C614" s="19">
        <v>16</v>
      </c>
      <c r="D614" s="20" t="s">
        <v>2822</v>
      </c>
      <c r="E614" s="19" t="str">
        <f>VLOOKUP(D614,'لیست پرسنل'!$B$2:$E$1020,3,FALSE)</f>
        <v>فکورصنعت</v>
      </c>
      <c r="F614" s="19">
        <f>VLOOKUP(D614,'لیست پرسنل'!$B$2:$E$1020,4,FALSE)</f>
        <v>0</v>
      </c>
      <c r="G614" s="127">
        <f>VLOOKUP(D614,'لیست پرسنل'!$B$2:$F$1020,2,FALSE)</f>
        <v>5023</v>
      </c>
      <c r="H614" s="126" t="s">
        <v>6822</v>
      </c>
      <c r="I614" s="128" t="s">
        <v>6845</v>
      </c>
      <c r="J614" s="128" t="s">
        <v>2686</v>
      </c>
      <c r="K614" s="128" t="s">
        <v>2922</v>
      </c>
      <c r="L614" s="127" t="s">
        <v>3105</v>
      </c>
      <c r="M614" s="127">
        <v>626589</v>
      </c>
      <c r="N614" s="109"/>
      <c r="O614" s="86"/>
      <c r="P614" s="20"/>
      <c r="Q614" s="20"/>
    </row>
    <row r="615" spans="1:17" ht="24.9" customHeight="1">
      <c r="A615" s="20">
        <v>362</v>
      </c>
      <c r="B615" s="20" t="s">
        <v>6144</v>
      </c>
      <c r="C615" s="19">
        <v>17</v>
      </c>
      <c r="D615" s="20" t="s">
        <v>3425</v>
      </c>
      <c r="E615" s="19" t="str">
        <f>VLOOKUP(D615,'لیست پرسنل'!$B$2:$E$1020,3,FALSE)</f>
        <v>فکورصنعت</v>
      </c>
      <c r="F615" s="19" t="str">
        <f>VLOOKUP(D615,'لیست پرسنل'!$B$2:$E$1020,4,FALSE)</f>
        <v>مکانیک</v>
      </c>
      <c r="G615" s="127">
        <f>VLOOKUP(D615,'لیست پرسنل'!$B$2:$F$1020,2,FALSE)</f>
        <v>4010410</v>
      </c>
      <c r="H615" s="126" t="s">
        <v>6822</v>
      </c>
      <c r="I615" s="128" t="s">
        <v>6846</v>
      </c>
      <c r="J615" s="128" t="s">
        <v>571</v>
      </c>
      <c r="K615" s="128"/>
      <c r="L615" s="127"/>
      <c r="M615" s="127">
        <v>633657</v>
      </c>
      <c r="N615" s="109"/>
      <c r="O615" s="19" t="s">
        <v>6317</v>
      </c>
      <c r="P615" s="32"/>
      <c r="Q615" s="87"/>
    </row>
    <row r="616" spans="1:17" ht="24.9" customHeight="1">
      <c r="A616" s="20">
        <v>362</v>
      </c>
      <c r="B616" s="20" t="s">
        <v>6144</v>
      </c>
      <c r="C616" s="19">
        <v>17</v>
      </c>
      <c r="D616" s="20" t="s">
        <v>3425</v>
      </c>
      <c r="E616" s="19" t="str">
        <f>VLOOKUP(D616,'لیست پرسنل'!$B$2:$E$1020,3,FALSE)</f>
        <v>فکورصنعت</v>
      </c>
      <c r="F616" s="19" t="str">
        <f>VLOOKUP(D616,'لیست پرسنل'!$B$2:$E$1020,4,FALSE)</f>
        <v>مکانیک</v>
      </c>
      <c r="G616" s="127">
        <f>VLOOKUP(D616,'لیست پرسنل'!$B$2:$F$1020,2,FALSE)</f>
        <v>4010410</v>
      </c>
      <c r="H616" s="126" t="s">
        <v>6822</v>
      </c>
      <c r="I616" s="128" t="s">
        <v>6846</v>
      </c>
      <c r="J616" s="128" t="s">
        <v>2686</v>
      </c>
      <c r="K616" s="128" t="s">
        <v>2922</v>
      </c>
      <c r="L616" s="127" t="s">
        <v>3110</v>
      </c>
      <c r="M616" s="128">
        <v>626594</v>
      </c>
      <c r="N616" s="108"/>
      <c r="O616" s="20" t="s">
        <v>705</v>
      </c>
      <c r="P616" s="20"/>
      <c r="Q616" s="20"/>
    </row>
    <row r="617" spans="1:17" ht="24.9" customHeight="1">
      <c r="A617" s="20">
        <v>362</v>
      </c>
      <c r="B617" s="20" t="s">
        <v>6144</v>
      </c>
      <c r="C617" s="19">
        <v>18</v>
      </c>
      <c r="D617" s="20" t="s">
        <v>5136</v>
      </c>
      <c r="E617" s="19" t="str">
        <f>VLOOKUP(D617,'لیست پرسنل'!$B$2:$E$1020,3,FALSE)</f>
        <v>مهرفام</v>
      </c>
      <c r="F617" s="19" t="str">
        <f>VLOOKUP(D617,'لیست پرسنل'!$B$2:$E$1020,4,FALSE)</f>
        <v>کنترل کیفیت</v>
      </c>
      <c r="G617" s="127" t="str">
        <f>VLOOKUP(D617,'لیست پرسنل'!$B$2:$F$1020,2,FALSE)</f>
        <v>100608</v>
      </c>
      <c r="H617" s="126" t="s">
        <v>6822</v>
      </c>
      <c r="I617" s="128" t="s">
        <v>6847</v>
      </c>
      <c r="J617" s="126" t="s">
        <v>368</v>
      </c>
      <c r="K617" s="128" t="s">
        <v>8248</v>
      </c>
      <c r="L617" s="127" t="s">
        <v>2315</v>
      </c>
      <c r="M617" s="128">
        <v>628721</v>
      </c>
      <c r="N617" s="108"/>
      <c r="O617" s="20" t="s">
        <v>705</v>
      </c>
      <c r="P617" s="20"/>
      <c r="Q617" s="66"/>
    </row>
    <row r="618" spans="1:17" ht="24.9" customHeight="1">
      <c r="A618" s="20">
        <v>362</v>
      </c>
      <c r="B618" s="20" t="s">
        <v>6144</v>
      </c>
      <c r="C618" s="19">
        <v>18</v>
      </c>
      <c r="D618" s="20" t="s">
        <v>5136</v>
      </c>
      <c r="E618" s="19" t="str">
        <f>VLOOKUP(D618,'لیست پرسنل'!$B$2:$E$1020,3,FALSE)</f>
        <v>مهرفام</v>
      </c>
      <c r="F618" s="19" t="str">
        <f>VLOOKUP(D618,'لیست پرسنل'!$B$2:$E$1020,4,FALSE)</f>
        <v>کنترل کیفیت</v>
      </c>
      <c r="G618" s="127" t="str">
        <f>VLOOKUP(D618,'لیست پرسنل'!$B$2:$F$1020,2,FALSE)</f>
        <v>100608</v>
      </c>
      <c r="H618" s="126" t="s">
        <v>6822</v>
      </c>
      <c r="I618" s="128" t="s">
        <v>6847</v>
      </c>
      <c r="J618" s="141" t="s">
        <v>571</v>
      </c>
      <c r="K618" s="128" t="s">
        <v>5320</v>
      </c>
      <c r="L618" s="127"/>
      <c r="M618" s="215">
        <v>631490</v>
      </c>
      <c r="N618" s="108"/>
      <c r="O618" s="19"/>
      <c r="P618" s="20"/>
      <c r="Q618" s="66"/>
    </row>
    <row r="619" spans="1:17" ht="24.9" customHeight="1">
      <c r="A619" s="20">
        <v>362</v>
      </c>
      <c r="B619" s="20" t="s">
        <v>6144</v>
      </c>
      <c r="C619" s="19">
        <v>18</v>
      </c>
      <c r="D619" s="20" t="s">
        <v>5136</v>
      </c>
      <c r="E619" s="19" t="str">
        <f>VLOOKUP(D619,'لیست پرسنل'!$B$2:$E$1020,3,FALSE)</f>
        <v>مهرفام</v>
      </c>
      <c r="F619" s="19" t="str">
        <f>VLOOKUP(D619,'لیست پرسنل'!$B$2:$E$1020,4,FALSE)</f>
        <v>کنترل کیفیت</v>
      </c>
      <c r="G619" s="127" t="str">
        <f>VLOOKUP(D619,'لیست پرسنل'!$B$2:$F$1020,2,FALSE)</f>
        <v>100608</v>
      </c>
      <c r="H619" s="126" t="s">
        <v>6822</v>
      </c>
      <c r="I619" s="128" t="s">
        <v>6847</v>
      </c>
      <c r="J619" s="128" t="s">
        <v>2686</v>
      </c>
      <c r="K619" s="128" t="s">
        <v>2922</v>
      </c>
      <c r="L619" s="128" t="s">
        <v>2960</v>
      </c>
      <c r="M619" s="137">
        <v>626441</v>
      </c>
      <c r="N619" s="108"/>
      <c r="O619" s="20" t="s">
        <v>705</v>
      </c>
      <c r="P619" s="20"/>
      <c r="Q619" s="66"/>
    </row>
    <row r="620" spans="1:17" ht="24.9" customHeight="1">
      <c r="A620" s="20">
        <v>362</v>
      </c>
      <c r="B620" s="20" t="s">
        <v>6144</v>
      </c>
      <c r="C620" s="19">
        <v>19</v>
      </c>
      <c r="D620" s="20" t="s">
        <v>2829</v>
      </c>
      <c r="E620" s="19" t="str">
        <f>VLOOKUP(D620,'لیست پرسنل'!$B$2:$E$1020,3,FALSE)</f>
        <v>فکورصنعت</v>
      </c>
      <c r="F620" s="19" t="str">
        <f>VLOOKUP(D620,'لیست پرسنل'!$B$2:$E$1020,4,FALSE)</f>
        <v>کنترل کیفیت</v>
      </c>
      <c r="G620" s="127" t="str">
        <f>VLOOKUP(D620,'لیست پرسنل'!$B$2:$F$1020,2,FALSE)</f>
        <v>4010903</v>
      </c>
      <c r="H620" s="126" t="s">
        <v>6822</v>
      </c>
      <c r="I620" s="128" t="s">
        <v>6848</v>
      </c>
      <c r="J620" s="141" t="s">
        <v>571</v>
      </c>
      <c r="K620" s="128" t="s">
        <v>2067</v>
      </c>
      <c r="L620" s="127"/>
      <c r="M620" s="138">
        <v>628613</v>
      </c>
      <c r="N620" s="108"/>
      <c r="O620" s="19" t="s">
        <v>705</v>
      </c>
      <c r="P620" s="20"/>
      <c r="Q620" s="20"/>
    </row>
    <row r="621" spans="1:17" ht="24.9" customHeight="1">
      <c r="A621" s="20">
        <v>362</v>
      </c>
      <c r="B621" s="20" t="s">
        <v>6144</v>
      </c>
      <c r="C621" s="19">
        <v>19</v>
      </c>
      <c r="D621" s="20" t="s">
        <v>2829</v>
      </c>
      <c r="E621" s="19" t="str">
        <f>VLOOKUP(D621,'لیست پرسنل'!$B$2:$E$1020,3,FALSE)</f>
        <v>فکورصنعت</v>
      </c>
      <c r="F621" s="19" t="str">
        <f>VLOOKUP(D621,'لیست پرسنل'!$B$2:$E$1020,4,FALSE)</f>
        <v>کنترل کیفیت</v>
      </c>
      <c r="G621" s="127" t="str">
        <f>VLOOKUP(D621,'لیست پرسنل'!$B$2:$F$1020,2,FALSE)</f>
        <v>4010903</v>
      </c>
      <c r="H621" s="126" t="s">
        <v>6822</v>
      </c>
      <c r="I621" s="128" t="s">
        <v>6848</v>
      </c>
      <c r="J621" s="128" t="s">
        <v>2686</v>
      </c>
      <c r="K621" s="128" t="s">
        <v>2922</v>
      </c>
      <c r="L621" s="151" t="s">
        <v>2928</v>
      </c>
      <c r="M621" s="138">
        <v>626405</v>
      </c>
      <c r="N621" s="109"/>
      <c r="O621" s="86"/>
      <c r="P621" s="20"/>
      <c r="Q621" s="20"/>
    </row>
    <row r="622" spans="1:17" ht="24.9" customHeight="1">
      <c r="A622" s="20">
        <v>362</v>
      </c>
      <c r="B622" s="20" t="s">
        <v>6144</v>
      </c>
      <c r="C622" s="19">
        <v>20</v>
      </c>
      <c r="D622" s="20" t="s">
        <v>3147</v>
      </c>
      <c r="E622" s="19" t="str">
        <f>VLOOKUP(D622,'لیست پرسنل'!$B$2:$E$1020,3,FALSE)</f>
        <v>فکورصنعت</v>
      </c>
      <c r="F622" s="19" t="str">
        <f>VLOOKUP(D622,'لیست پرسنل'!$B$2:$E$1020,4,FALSE)</f>
        <v>سرپرست واحد کوره ها و گاززدا</v>
      </c>
      <c r="G622" s="127" t="str">
        <f>VLOOKUP(D622,'لیست پرسنل'!$B$2:$F$1020,2,FALSE)</f>
        <v>4011101</v>
      </c>
      <c r="H622" s="126" t="s">
        <v>6822</v>
      </c>
      <c r="I622" s="128" t="s">
        <v>6849</v>
      </c>
      <c r="J622" s="126" t="s">
        <v>368</v>
      </c>
      <c r="K622" s="135" t="s">
        <v>8248</v>
      </c>
      <c r="L622" s="127" t="s">
        <v>2319</v>
      </c>
      <c r="M622" s="137">
        <v>628725</v>
      </c>
      <c r="N622" s="108"/>
      <c r="O622" s="20" t="s">
        <v>705</v>
      </c>
      <c r="P622" s="20"/>
      <c r="Q622" s="20"/>
    </row>
    <row r="623" spans="1:17" ht="24.9" customHeight="1">
      <c r="A623" s="20">
        <v>362</v>
      </c>
      <c r="B623" s="20" t="s">
        <v>6144</v>
      </c>
      <c r="C623" s="19">
        <v>20</v>
      </c>
      <c r="D623" s="20" t="s">
        <v>3147</v>
      </c>
      <c r="E623" s="19" t="str">
        <f>VLOOKUP(D623,'لیست پرسنل'!$B$2:$E$1020,3,FALSE)</f>
        <v>فکورصنعت</v>
      </c>
      <c r="F623" s="19" t="str">
        <f>VLOOKUP(D623,'لیست پرسنل'!$B$2:$E$1020,4,FALSE)</f>
        <v>سرپرست واحد کوره ها و گاززدا</v>
      </c>
      <c r="G623" s="127" t="str">
        <f>VLOOKUP(D623,'لیست پرسنل'!$B$2:$F$1020,2,FALSE)</f>
        <v>4011101</v>
      </c>
      <c r="H623" s="126" t="s">
        <v>6822</v>
      </c>
      <c r="I623" s="128" t="s">
        <v>6849</v>
      </c>
      <c r="J623" s="141" t="s">
        <v>571</v>
      </c>
      <c r="K623" s="135" t="s">
        <v>5782</v>
      </c>
      <c r="L623" s="154" t="s">
        <v>2219</v>
      </c>
      <c r="M623" s="205">
        <v>632056</v>
      </c>
      <c r="N623" s="108" t="s">
        <v>4936</v>
      </c>
      <c r="O623" s="20"/>
      <c r="P623" s="20"/>
      <c r="Q623" s="20"/>
    </row>
    <row r="624" spans="1:17" ht="24.9" customHeight="1">
      <c r="A624" s="20">
        <v>362</v>
      </c>
      <c r="B624" s="20" t="s">
        <v>6144</v>
      </c>
      <c r="C624" s="19">
        <v>20</v>
      </c>
      <c r="D624" s="20" t="s">
        <v>3147</v>
      </c>
      <c r="E624" s="19" t="str">
        <f>VLOOKUP(D624,'لیست پرسنل'!$B$2:$E$1020,3,FALSE)</f>
        <v>فکورصنعت</v>
      </c>
      <c r="F624" s="19" t="str">
        <f>VLOOKUP(D624,'لیست پرسنل'!$B$2:$E$1020,4,FALSE)</f>
        <v>سرپرست واحد کوره ها و گاززدا</v>
      </c>
      <c r="G624" s="127" t="str">
        <f>VLOOKUP(D624,'لیست پرسنل'!$B$2:$F$1020,2,FALSE)</f>
        <v>4011101</v>
      </c>
      <c r="H624" s="126" t="s">
        <v>6822</v>
      </c>
      <c r="I624" s="128" t="s">
        <v>6849</v>
      </c>
      <c r="J624" s="128" t="s">
        <v>4333</v>
      </c>
      <c r="K624" s="135" t="s">
        <v>6862</v>
      </c>
      <c r="L624" s="158" t="s">
        <v>6865</v>
      </c>
      <c r="M624" s="205">
        <v>634335</v>
      </c>
      <c r="N624" s="108"/>
      <c r="O624" s="20"/>
      <c r="P624" s="20"/>
      <c r="Q624" s="20"/>
    </row>
    <row r="625" spans="1:17" ht="24.9" customHeight="1">
      <c r="A625" s="20">
        <v>362</v>
      </c>
      <c r="B625" s="20" t="s">
        <v>6144</v>
      </c>
      <c r="C625" s="19">
        <v>20</v>
      </c>
      <c r="D625" s="20" t="s">
        <v>3147</v>
      </c>
      <c r="E625" s="19" t="str">
        <f>VLOOKUP(D625,'لیست پرسنل'!$B$2:$E$1020,3,FALSE)</f>
        <v>فکورصنعت</v>
      </c>
      <c r="F625" s="19" t="str">
        <f>VLOOKUP(D625,'لیست پرسنل'!$B$2:$E$1020,4,FALSE)</f>
        <v>سرپرست واحد کوره ها و گاززدا</v>
      </c>
      <c r="G625" s="127" t="str">
        <f>VLOOKUP(D625,'لیست پرسنل'!$B$2:$F$1020,2,FALSE)</f>
        <v>4011101</v>
      </c>
      <c r="H625" s="126" t="s">
        <v>6822</v>
      </c>
      <c r="I625" s="128" t="s">
        <v>6849</v>
      </c>
      <c r="J625" s="128" t="s">
        <v>2686</v>
      </c>
      <c r="K625" s="128" t="s">
        <v>2922</v>
      </c>
      <c r="L625" s="128" t="s">
        <v>2935</v>
      </c>
      <c r="M625" s="137">
        <v>626412</v>
      </c>
      <c r="N625" s="108"/>
      <c r="O625" s="20" t="s">
        <v>705</v>
      </c>
      <c r="P625" s="20"/>
      <c r="Q625" s="20"/>
    </row>
    <row r="626" spans="1:17" ht="24.9" customHeight="1">
      <c r="A626" s="20">
        <v>362</v>
      </c>
      <c r="B626" s="20" t="s">
        <v>6144</v>
      </c>
      <c r="C626" s="19">
        <v>21</v>
      </c>
      <c r="D626" s="20" t="s">
        <v>4936</v>
      </c>
      <c r="E626" s="19" t="str">
        <f>VLOOKUP(D626,'لیست پرسنل'!$B$2:$E$1020,3,FALSE)</f>
        <v>فرزان فن اندیش</v>
      </c>
      <c r="F626" s="19" t="str">
        <f>VLOOKUP(D626,'لیست پرسنل'!$B$2:$E$1020,4,FALSE)</f>
        <v>دفتر مدیر پروژه</v>
      </c>
      <c r="G626" s="127">
        <f>VLOOKUP(D626,'لیست پرسنل'!$B$2:$F$1020,2,FALSE)</f>
        <v>0</v>
      </c>
      <c r="H626" s="126" t="s">
        <v>6822</v>
      </c>
      <c r="I626" s="128" t="s">
        <v>6850</v>
      </c>
      <c r="J626" s="141" t="s">
        <v>571</v>
      </c>
      <c r="K626" s="127"/>
      <c r="L626" s="165" t="s">
        <v>2219</v>
      </c>
      <c r="M626" s="137">
        <v>629714</v>
      </c>
      <c r="N626" s="108" t="s">
        <v>6145</v>
      </c>
      <c r="O626" s="20" t="s">
        <v>705</v>
      </c>
      <c r="P626" s="20"/>
      <c r="Q626" s="20"/>
    </row>
    <row r="627" spans="1:17" ht="24.9" customHeight="1">
      <c r="A627" s="20">
        <v>362</v>
      </c>
      <c r="B627" s="20" t="s">
        <v>6144</v>
      </c>
      <c r="C627" s="19">
        <v>21</v>
      </c>
      <c r="D627" s="20" t="s">
        <v>4936</v>
      </c>
      <c r="E627" s="19" t="str">
        <f>VLOOKUP(D627,'لیست پرسنل'!$B$2:$E$1020,3,FALSE)</f>
        <v>فرزان فن اندیش</v>
      </c>
      <c r="F627" s="19" t="str">
        <f>VLOOKUP(D627,'لیست پرسنل'!$B$2:$E$1020,4,FALSE)</f>
        <v>دفتر مدیر پروژه</v>
      </c>
      <c r="G627" s="127">
        <f>VLOOKUP(D627,'لیست پرسنل'!$B$2:$F$1020,2,FALSE)</f>
        <v>0</v>
      </c>
      <c r="H627" s="126" t="s">
        <v>6822</v>
      </c>
      <c r="I627" s="128" t="s">
        <v>6850</v>
      </c>
      <c r="J627" s="128" t="s">
        <v>2686</v>
      </c>
      <c r="K627" s="128" t="s">
        <v>2922</v>
      </c>
      <c r="L627" s="128" t="s">
        <v>2949</v>
      </c>
      <c r="M627" s="137">
        <v>626429</v>
      </c>
      <c r="N627" s="108" t="s">
        <v>6145</v>
      </c>
      <c r="O627" s="20" t="s">
        <v>705</v>
      </c>
      <c r="P627" s="20"/>
      <c r="Q627" s="20"/>
    </row>
    <row r="628" spans="1:17" ht="24.9" customHeight="1">
      <c r="A628" s="20">
        <v>362</v>
      </c>
      <c r="B628" s="20" t="s">
        <v>6144</v>
      </c>
      <c r="C628" s="20">
        <v>23</v>
      </c>
      <c r="D628" s="20" t="s">
        <v>9</v>
      </c>
      <c r="E628" s="19" t="str">
        <f>VLOOKUP(D628,'لیست پرسنل'!$B$2:$E$1020,3,FALSE)</f>
        <v>فکورصنعت</v>
      </c>
      <c r="F628" s="19" t="str">
        <f>VLOOKUP(D628,'لیست پرسنل'!$B$2:$E$1020,4,FALSE)</f>
        <v>کنترل پروژه</v>
      </c>
      <c r="G628" s="127">
        <f>VLOOKUP(D628,'لیست پرسنل'!$B$2:$F$1020,2,FALSE)</f>
        <v>5020</v>
      </c>
      <c r="H628" s="126" t="s">
        <v>8290</v>
      </c>
      <c r="I628" s="127" t="s">
        <v>8289</v>
      </c>
      <c r="J628" s="127" t="s">
        <v>571</v>
      </c>
      <c r="K628" s="127" t="s">
        <v>3140</v>
      </c>
      <c r="L628" s="151"/>
      <c r="M628" s="138">
        <v>628139</v>
      </c>
      <c r="N628" s="109"/>
      <c r="O628" s="19"/>
      <c r="P628" s="20"/>
      <c r="Q628" s="20"/>
    </row>
    <row r="629" spans="1:17" ht="24.9" customHeight="1">
      <c r="A629" s="20">
        <v>362</v>
      </c>
      <c r="B629" s="20" t="s">
        <v>6144</v>
      </c>
      <c r="C629" s="20">
        <v>23</v>
      </c>
      <c r="D629" s="20" t="s">
        <v>9</v>
      </c>
      <c r="E629" s="19" t="str">
        <f>VLOOKUP(D629,'لیست پرسنل'!$B$2:$E$1020,3,FALSE)</f>
        <v>فکورصنعت</v>
      </c>
      <c r="F629" s="19" t="str">
        <f>VLOOKUP(D629,'لیست پرسنل'!$B$2:$E$1020,4,FALSE)</f>
        <v>کنترل پروژه</v>
      </c>
      <c r="G629" s="127">
        <f>VLOOKUP(D629,'لیست پرسنل'!$B$2:$F$1020,2,FALSE)</f>
        <v>5020</v>
      </c>
      <c r="H629" s="126" t="s">
        <v>8290</v>
      </c>
      <c r="I629" s="128" t="s">
        <v>8285</v>
      </c>
      <c r="J629" s="128" t="s">
        <v>2686</v>
      </c>
      <c r="K629" s="128" t="s">
        <v>744</v>
      </c>
      <c r="L629" s="151" t="s">
        <v>1890</v>
      </c>
      <c r="M629" s="138">
        <v>601031</v>
      </c>
      <c r="N629" s="109"/>
      <c r="O629" s="19"/>
      <c r="P629" s="20"/>
      <c r="Q629" s="20"/>
    </row>
    <row r="630" spans="1:17" ht="24.9" customHeight="1">
      <c r="A630" s="20">
        <v>362</v>
      </c>
      <c r="B630" s="20" t="s">
        <v>6144</v>
      </c>
      <c r="C630" s="20">
        <v>24</v>
      </c>
      <c r="D630" s="20" t="s">
        <v>9</v>
      </c>
      <c r="E630" s="19" t="str">
        <f>VLOOKUP(D630,'لیست پرسنل'!$B$2:$E$1020,3,FALSE)</f>
        <v>فکورصنعت</v>
      </c>
      <c r="F630" s="19" t="str">
        <f>VLOOKUP(D630,'لیست پرسنل'!$B$2:$E$1020,4,FALSE)</f>
        <v>کنترل پروژه</v>
      </c>
      <c r="G630" s="127">
        <f>VLOOKUP(D630,'لیست پرسنل'!$B$2:$F$1020,2,FALSE)</f>
        <v>5020</v>
      </c>
      <c r="H630" s="126" t="s">
        <v>8290</v>
      </c>
      <c r="I630" s="128" t="s">
        <v>8286</v>
      </c>
      <c r="J630" s="128" t="s">
        <v>571</v>
      </c>
      <c r="K630" s="128" t="s">
        <v>2219</v>
      </c>
      <c r="L630" s="127"/>
      <c r="M630" s="138">
        <v>633647</v>
      </c>
      <c r="N630" s="109" t="s">
        <v>8048</v>
      </c>
      <c r="O630" s="19" t="s">
        <v>6308</v>
      </c>
      <c r="P630" s="32"/>
      <c r="Q630" s="32"/>
    </row>
    <row r="631" spans="1:17" ht="24.9" customHeight="1">
      <c r="A631" s="20">
        <v>362</v>
      </c>
      <c r="B631" s="20" t="s">
        <v>6144</v>
      </c>
      <c r="C631" s="20">
        <v>24</v>
      </c>
      <c r="D631" s="20" t="s">
        <v>9</v>
      </c>
      <c r="E631" s="19" t="str">
        <f>VLOOKUP(D631,'لیست پرسنل'!$B$2:$E$1020,3,FALSE)</f>
        <v>فکورصنعت</v>
      </c>
      <c r="F631" s="19" t="str">
        <f>VLOOKUP(D631,'لیست پرسنل'!$B$2:$E$1020,4,FALSE)</f>
        <v>کنترل پروژه</v>
      </c>
      <c r="G631" s="127">
        <f>VLOOKUP(D631,'لیست پرسنل'!$B$2:$F$1020,2,FALSE)</f>
        <v>5020</v>
      </c>
      <c r="H631" s="126" t="s">
        <v>8290</v>
      </c>
      <c r="I631" s="128" t="s">
        <v>8286</v>
      </c>
      <c r="J631" s="128" t="s">
        <v>2686</v>
      </c>
      <c r="K631" s="128" t="s">
        <v>332</v>
      </c>
      <c r="L631" s="128" t="s">
        <v>2164</v>
      </c>
      <c r="M631" s="138">
        <v>633623</v>
      </c>
      <c r="N631" s="109"/>
      <c r="O631" s="19" t="s">
        <v>6285</v>
      </c>
      <c r="P631" s="32"/>
      <c r="Q631" s="32"/>
    </row>
    <row r="632" spans="1:17" ht="24.9" customHeight="1">
      <c r="A632" s="20">
        <v>362</v>
      </c>
      <c r="B632" s="20" t="s">
        <v>6144</v>
      </c>
      <c r="C632" s="20">
        <v>25</v>
      </c>
      <c r="D632" s="20" t="s">
        <v>9</v>
      </c>
      <c r="E632" s="19" t="str">
        <f>VLOOKUP(D632,'لیست پرسنل'!$B$2:$E$1020,3,FALSE)</f>
        <v>فکورصنعت</v>
      </c>
      <c r="F632" s="19" t="str">
        <f>VLOOKUP(D632,'لیست پرسنل'!$B$2:$E$1020,4,FALSE)</f>
        <v>کنترل پروژه</v>
      </c>
      <c r="G632" s="127">
        <f>VLOOKUP(D632,'لیست پرسنل'!$B$2:$F$1020,2,FALSE)</f>
        <v>5020</v>
      </c>
      <c r="H632" s="126" t="s">
        <v>8290</v>
      </c>
      <c r="I632" s="127" t="s">
        <v>8288</v>
      </c>
      <c r="J632" s="127" t="s">
        <v>571</v>
      </c>
      <c r="K632" s="128" t="s">
        <v>2219</v>
      </c>
      <c r="L632" s="151"/>
      <c r="M632" s="138">
        <v>627727</v>
      </c>
      <c r="N632" s="109"/>
      <c r="O632" s="20"/>
      <c r="P632" s="20"/>
      <c r="Q632" s="20"/>
    </row>
    <row r="633" spans="1:17" ht="24.9" customHeight="1">
      <c r="A633" s="20">
        <v>362</v>
      </c>
      <c r="B633" s="20" t="s">
        <v>6144</v>
      </c>
      <c r="C633" s="20">
        <v>25</v>
      </c>
      <c r="D633" s="20" t="s">
        <v>9</v>
      </c>
      <c r="E633" s="19" t="str">
        <f>VLOOKUP(D633,'لیست پرسنل'!$B$2:$E$1020,3,FALSE)</f>
        <v>فکورصنعت</v>
      </c>
      <c r="F633" s="19" t="str">
        <f>VLOOKUP(D633,'لیست پرسنل'!$B$2:$E$1020,4,FALSE)</f>
        <v>کنترل پروژه</v>
      </c>
      <c r="G633" s="127">
        <f>VLOOKUP(D633,'لیست پرسنل'!$B$2:$F$1020,2,FALSE)</f>
        <v>5020</v>
      </c>
      <c r="H633" s="126" t="s">
        <v>8290</v>
      </c>
      <c r="I633" s="128" t="s">
        <v>8288</v>
      </c>
      <c r="J633" s="128" t="s">
        <v>2686</v>
      </c>
      <c r="K633" s="128" t="s">
        <v>332</v>
      </c>
      <c r="L633" s="128" t="s">
        <v>2204</v>
      </c>
      <c r="M633" s="138">
        <v>633628</v>
      </c>
      <c r="N633" s="109"/>
      <c r="O633" s="19" t="s">
        <v>6289</v>
      </c>
      <c r="P633" s="32"/>
      <c r="Q633" s="32"/>
    </row>
    <row r="634" spans="1:17" ht="24.9" customHeight="1">
      <c r="A634" s="20">
        <v>362</v>
      </c>
      <c r="B634" s="20" t="s">
        <v>6144</v>
      </c>
      <c r="C634" s="20">
        <v>26</v>
      </c>
      <c r="D634" s="20" t="s">
        <v>9</v>
      </c>
      <c r="E634" s="19" t="str">
        <f>VLOOKUP(D634,'لیست پرسنل'!$B$2:$E$1020,3,FALSE)</f>
        <v>فکورصنعت</v>
      </c>
      <c r="F634" s="19" t="str">
        <f>VLOOKUP(D634,'لیست پرسنل'!$B$2:$E$1020,4,FALSE)</f>
        <v>کنترل پروژه</v>
      </c>
      <c r="G634" s="127">
        <f>VLOOKUP(D634,'لیست پرسنل'!$B$2:$F$1020,2,FALSE)</f>
        <v>5020</v>
      </c>
      <c r="H634" s="126" t="s">
        <v>8290</v>
      </c>
      <c r="I634" s="128" t="s">
        <v>8287</v>
      </c>
      <c r="J634" s="126" t="s">
        <v>368</v>
      </c>
      <c r="K634" s="135" t="s">
        <v>8248</v>
      </c>
      <c r="L634" s="127" t="s">
        <v>2291</v>
      </c>
      <c r="M634" s="137">
        <v>628696</v>
      </c>
      <c r="N634" s="108"/>
      <c r="O634" s="20" t="s">
        <v>705</v>
      </c>
      <c r="P634" s="20"/>
      <c r="Q634" s="20"/>
    </row>
    <row r="635" spans="1:17" ht="24.9" customHeight="1">
      <c r="A635" s="20">
        <v>362</v>
      </c>
      <c r="B635" s="20" t="s">
        <v>6144</v>
      </c>
      <c r="C635" s="20">
        <v>26</v>
      </c>
      <c r="D635" s="20" t="s">
        <v>9</v>
      </c>
      <c r="E635" s="19" t="str">
        <f>VLOOKUP(D635,'لیست پرسنل'!$B$2:$E$1020,3,FALSE)</f>
        <v>فکورصنعت</v>
      </c>
      <c r="F635" s="19" t="str">
        <f>VLOOKUP(D635,'لیست پرسنل'!$B$2:$E$1020,4,FALSE)</f>
        <v>کنترل پروژه</v>
      </c>
      <c r="G635" s="127">
        <f>VLOOKUP(D635,'لیست پرسنل'!$B$2:$F$1020,2,FALSE)</f>
        <v>5020</v>
      </c>
      <c r="H635" s="126" t="s">
        <v>8290</v>
      </c>
      <c r="I635" s="128" t="s">
        <v>8287</v>
      </c>
      <c r="J635" s="141" t="s">
        <v>571</v>
      </c>
      <c r="K635" s="128" t="s">
        <v>2067</v>
      </c>
      <c r="L635" s="159" t="s">
        <v>2219</v>
      </c>
      <c r="M635" s="138">
        <v>628581</v>
      </c>
      <c r="N635" s="108"/>
      <c r="O635" s="19" t="s">
        <v>705</v>
      </c>
      <c r="P635" s="20"/>
      <c r="Q635" s="20"/>
    </row>
    <row r="636" spans="1:17" ht="24.9" customHeight="1">
      <c r="A636" s="20">
        <v>362</v>
      </c>
      <c r="B636" s="20" t="s">
        <v>6144</v>
      </c>
      <c r="C636" s="20">
        <v>26</v>
      </c>
      <c r="D636" s="20" t="s">
        <v>9</v>
      </c>
      <c r="E636" s="19" t="str">
        <f>VLOOKUP(D636,'لیست پرسنل'!$B$2:$E$1020,3,FALSE)</f>
        <v>فکورصنعت</v>
      </c>
      <c r="F636" s="19" t="str">
        <f>VLOOKUP(D636,'لیست پرسنل'!$B$2:$E$1020,4,FALSE)</f>
        <v>کنترل پروژه</v>
      </c>
      <c r="G636" s="127">
        <f>VLOOKUP(D636,'لیست پرسنل'!$B$2:$F$1020,2,FALSE)</f>
        <v>5020</v>
      </c>
      <c r="H636" s="126" t="s">
        <v>8290</v>
      </c>
      <c r="I636" s="128" t="s">
        <v>8287</v>
      </c>
      <c r="J636" s="128" t="s">
        <v>2686</v>
      </c>
      <c r="K636" s="128" t="s">
        <v>744</v>
      </c>
      <c r="L636" s="151" t="s">
        <v>1287</v>
      </c>
      <c r="M636" s="138">
        <v>607684</v>
      </c>
      <c r="N636" s="109"/>
      <c r="O636" s="19"/>
      <c r="P636" s="20"/>
      <c r="Q636" s="20"/>
    </row>
    <row r="637" spans="1:17" ht="24.9" customHeight="1">
      <c r="A637" s="20">
        <v>362</v>
      </c>
      <c r="B637" s="20" t="s">
        <v>6144</v>
      </c>
      <c r="C637" s="19"/>
      <c r="D637" s="20" t="s">
        <v>4936</v>
      </c>
      <c r="E637" s="19" t="str">
        <f>VLOOKUP(D637,'لیست پرسنل'!$B$2:$E$1020,3,FALSE)</f>
        <v>فرزان فن اندیش</v>
      </c>
      <c r="F637" s="19" t="str">
        <f>VLOOKUP(D637,'لیست پرسنل'!$B$2:$E$1020,4,FALSE)</f>
        <v>دفتر مدیر پروژه</v>
      </c>
      <c r="G637" s="127">
        <f>VLOOKUP(D637,'لیست پرسنل'!$B$2:$F$1020,2,FALSE)</f>
        <v>0</v>
      </c>
      <c r="H637" s="126" t="s">
        <v>6822</v>
      </c>
      <c r="I637" s="128"/>
      <c r="J637" s="128" t="s">
        <v>3145</v>
      </c>
      <c r="K637" s="128" t="s">
        <v>6809</v>
      </c>
      <c r="L637" s="128" t="s">
        <v>6807</v>
      </c>
      <c r="M637" s="137" t="s">
        <v>291</v>
      </c>
      <c r="N637" s="108"/>
      <c r="O637" s="20"/>
      <c r="P637" s="20"/>
      <c r="Q637" s="20"/>
    </row>
    <row r="638" spans="1:17" ht="24.9" customHeight="1">
      <c r="A638" s="20">
        <v>362</v>
      </c>
      <c r="B638" s="20" t="s">
        <v>6144</v>
      </c>
      <c r="C638" s="19"/>
      <c r="D638" s="20" t="s">
        <v>4936</v>
      </c>
      <c r="E638" s="19" t="str">
        <f>VLOOKUP(D638,'لیست پرسنل'!$B$2:$E$1020,3,FALSE)</f>
        <v>فرزان فن اندیش</v>
      </c>
      <c r="F638" s="19" t="str">
        <f>VLOOKUP(D638,'لیست پرسنل'!$B$2:$E$1020,4,FALSE)</f>
        <v>دفتر مدیر پروژه</v>
      </c>
      <c r="G638" s="127">
        <f>VLOOKUP(D638,'لیست پرسنل'!$B$2:$F$1020,2,FALSE)</f>
        <v>0</v>
      </c>
      <c r="H638" s="126" t="s">
        <v>6822</v>
      </c>
      <c r="I638" s="128"/>
      <c r="J638" s="127" t="s">
        <v>5927</v>
      </c>
      <c r="K638" s="128" t="s">
        <v>6596</v>
      </c>
      <c r="L638" s="128" t="s">
        <v>6602</v>
      </c>
      <c r="M638" s="138" t="s">
        <v>291</v>
      </c>
      <c r="N638" s="111"/>
      <c r="O638" s="19"/>
      <c r="P638" s="20"/>
      <c r="Q638" s="20"/>
    </row>
    <row r="639" spans="1:17" ht="24.9" customHeight="1">
      <c r="A639" s="20">
        <v>362</v>
      </c>
      <c r="B639" s="20" t="s">
        <v>6144</v>
      </c>
      <c r="C639" s="19"/>
      <c r="D639" s="20" t="s">
        <v>4936</v>
      </c>
      <c r="E639" s="19" t="str">
        <f>VLOOKUP(D639,'لیست پرسنل'!$B$2:$E$1020,3,FALSE)</f>
        <v>فرزان فن اندیش</v>
      </c>
      <c r="F639" s="19" t="str">
        <f>VLOOKUP(D639,'لیست پرسنل'!$B$2:$E$1020,4,FALSE)</f>
        <v>دفتر مدیر پروژه</v>
      </c>
      <c r="G639" s="127">
        <f>VLOOKUP(D639,'لیست پرسنل'!$B$2:$F$1020,2,FALSE)</f>
        <v>0</v>
      </c>
      <c r="H639" s="126" t="s">
        <v>6822</v>
      </c>
      <c r="I639" s="128"/>
      <c r="J639" s="127" t="s">
        <v>5927</v>
      </c>
      <c r="K639" s="128" t="s">
        <v>6596</v>
      </c>
      <c r="L639" s="128" t="s">
        <v>6597</v>
      </c>
      <c r="M639" s="138" t="s">
        <v>291</v>
      </c>
      <c r="N639" s="111"/>
      <c r="O639" s="19"/>
      <c r="P639" s="20"/>
      <c r="Q639" s="20"/>
    </row>
    <row r="640" spans="1:17" ht="24.9" customHeight="1">
      <c r="A640" s="20">
        <v>362</v>
      </c>
      <c r="B640" s="20" t="s">
        <v>6144</v>
      </c>
      <c r="C640" s="19"/>
      <c r="D640" s="20" t="s">
        <v>4936</v>
      </c>
      <c r="E640" s="19" t="str">
        <f>VLOOKUP(D640,'لیست پرسنل'!$B$2:$E$1020,3,FALSE)</f>
        <v>فرزان فن اندیش</v>
      </c>
      <c r="F640" s="19" t="str">
        <f>VLOOKUP(D640,'لیست پرسنل'!$B$2:$E$1020,4,FALSE)</f>
        <v>دفتر مدیر پروژه</v>
      </c>
      <c r="G640" s="127">
        <f>VLOOKUP(D640,'لیست پرسنل'!$B$2:$F$1020,2,FALSE)</f>
        <v>0</v>
      </c>
      <c r="H640" s="126" t="s">
        <v>6822</v>
      </c>
      <c r="I640" s="128"/>
      <c r="J640" s="127" t="s">
        <v>5927</v>
      </c>
      <c r="K640" s="128" t="s">
        <v>6596</v>
      </c>
      <c r="L640" s="128" t="s">
        <v>6599</v>
      </c>
      <c r="M640" s="138" t="s">
        <v>291</v>
      </c>
      <c r="N640" s="111"/>
      <c r="O640" s="19"/>
      <c r="P640" s="20"/>
      <c r="Q640" s="20"/>
    </row>
    <row r="641" spans="1:17" ht="24.9" customHeight="1">
      <c r="A641" s="20">
        <v>362</v>
      </c>
      <c r="B641" s="20" t="s">
        <v>6144</v>
      </c>
      <c r="C641" s="19"/>
      <c r="D641" s="20" t="s">
        <v>4936</v>
      </c>
      <c r="E641" s="19" t="str">
        <f>VLOOKUP(D641,'لیست پرسنل'!$B$2:$E$1020,3,FALSE)</f>
        <v>فرزان فن اندیش</v>
      </c>
      <c r="F641" s="19" t="str">
        <f>VLOOKUP(D641,'لیست پرسنل'!$B$2:$E$1020,4,FALSE)</f>
        <v>دفتر مدیر پروژه</v>
      </c>
      <c r="G641" s="127">
        <f>VLOOKUP(D641,'لیست پرسنل'!$B$2:$F$1020,2,FALSE)</f>
        <v>0</v>
      </c>
      <c r="H641" s="126" t="s">
        <v>6822</v>
      </c>
      <c r="I641" s="128"/>
      <c r="J641" s="127" t="s">
        <v>5927</v>
      </c>
      <c r="K641" s="128" t="s">
        <v>6596</v>
      </c>
      <c r="L641" s="128" t="s">
        <v>6600</v>
      </c>
      <c r="M641" s="138" t="s">
        <v>291</v>
      </c>
      <c r="N641" s="111"/>
      <c r="O641" s="19"/>
      <c r="P641" s="20"/>
      <c r="Q641" s="20"/>
    </row>
    <row r="642" spans="1:17" ht="24.9" customHeight="1">
      <c r="A642" s="20">
        <v>362</v>
      </c>
      <c r="B642" s="20" t="s">
        <v>6144</v>
      </c>
      <c r="C642" s="19"/>
      <c r="D642" s="20" t="s">
        <v>4936</v>
      </c>
      <c r="E642" s="19" t="str">
        <f>VLOOKUP(D642,'لیست پرسنل'!$B$2:$E$1020,3,FALSE)</f>
        <v>فرزان فن اندیش</v>
      </c>
      <c r="F642" s="19" t="str">
        <f>VLOOKUP(D642,'لیست پرسنل'!$B$2:$E$1020,4,FALSE)</f>
        <v>دفتر مدیر پروژه</v>
      </c>
      <c r="G642" s="127">
        <f>VLOOKUP(D642,'لیست پرسنل'!$B$2:$F$1020,2,FALSE)</f>
        <v>0</v>
      </c>
      <c r="H642" s="126" t="s">
        <v>6822</v>
      </c>
      <c r="I642" s="128"/>
      <c r="J642" s="127" t="s">
        <v>5927</v>
      </c>
      <c r="K642" s="128" t="s">
        <v>6596</v>
      </c>
      <c r="L642" s="128" t="s">
        <v>6601</v>
      </c>
      <c r="M642" s="138" t="s">
        <v>291</v>
      </c>
      <c r="N642" s="111"/>
      <c r="O642" s="19"/>
      <c r="P642" s="20"/>
      <c r="Q642" s="20"/>
    </row>
    <row r="643" spans="1:17" ht="24.9" customHeight="1">
      <c r="A643" s="20">
        <v>362</v>
      </c>
      <c r="B643" s="20" t="s">
        <v>6144</v>
      </c>
      <c r="C643" s="19"/>
      <c r="D643" s="20" t="s">
        <v>4936</v>
      </c>
      <c r="E643" s="19" t="str">
        <f>VLOOKUP(D643,'لیست پرسنل'!$B$2:$E$1020,3,FALSE)</f>
        <v>فرزان فن اندیش</v>
      </c>
      <c r="F643" s="19" t="str">
        <f>VLOOKUP(D643,'لیست پرسنل'!$B$2:$E$1020,4,FALSE)</f>
        <v>دفتر مدیر پروژه</v>
      </c>
      <c r="G643" s="127">
        <f>VLOOKUP(D643,'لیست پرسنل'!$B$2:$F$1020,2,FALSE)</f>
        <v>0</v>
      </c>
      <c r="H643" s="126" t="s">
        <v>6822</v>
      </c>
      <c r="I643" s="128"/>
      <c r="J643" s="128" t="s">
        <v>3481</v>
      </c>
      <c r="K643" s="128" t="s">
        <v>4000</v>
      </c>
      <c r="L643" s="128" t="s">
        <v>4005</v>
      </c>
      <c r="M643" s="139">
        <v>629474</v>
      </c>
      <c r="N643" s="108" t="s">
        <v>326</v>
      </c>
      <c r="O643" s="20" t="s">
        <v>4001</v>
      </c>
      <c r="P643" s="20"/>
      <c r="Q643" s="20"/>
    </row>
    <row r="644" spans="1:17" ht="24.9" customHeight="1">
      <c r="A644" s="20">
        <v>362</v>
      </c>
      <c r="B644" s="20" t="s">
        <v>6144</v>
      </c>
      <c r="C644" s="19"/>
      <c r="D644" s="20" t="s">
        <v>4936</v>
      </c>
      <c r="E644" s="19" t="str">
        <f>VLOOKUP(D644,'لیست پرسنل'!$B$2:$E$1020,3,FALSE)</f>
        <v>فرزان فن اندیش</v>
      </c>
      <c r="F644" s="19" t="str">
        <f>VLOOKUP(D644,'لیست پرسنل'!$B$2:$E$1020,4,FALSE)</f>
        <v>دفتر مدیر پروژه</v>
      </c>
      <c r="G644" s="127">
        <f>VLOOKUP(D644,'لیست پرسنل'!$B$2:$F$1020,2,FALSE)</f>
        <v>0</v>
      </c>
      <c r="H644" s="126" t="s">
        <v>6822</v>
      </c>
      <c r="I644" s="128"/>
      <c r="J644" s="128" t="s">
        <v>3481</v>
      </c>
      <c r="K644" s="128" t="s">
        <v>4000</v>
      </c>
      <c r="L644" s="128" t="s">
        <v>4006</v>
      </c>
      <c r="M644" s="139">
        <v>629499</v>
      </c>
      <c r="N644" s="108" t="s">
        <v>326</v>
      </c>
      <c r="O644" s="20" t="s">
        <v>4001</v>
      </c>
      <c r="P644" s="20"/>
      <c r="Q644" s="20"/>
    </row>
    <row r="645" spans="1:17" ht="24.9" customHeight="1">
      <c r="A645" s="20">
        <v>362</v>
      </c>
      <c r="B645" s="20" t="s">
        <v>6144</v>
      </c>
      <c r="C645" s="19"/>
      <c r="D645" s="20" t="s">
        <v>4936</v>
      </c>
      <c r="E645" s="19" t="str">
        <f>VLOOKUP(D645,'لیست پرسنل'!$B$2:$E$1020,3,FALSE)</f>
        <v>فرزان فن اندیش</v>
      </c>
      <c r="F645" s="19" t="str">
        <f>VLOOKUP(D645,'لیست پرسنل'!$B$2:$E$1020,4,FALSE)</f>
        <v>دفتر مدیر پروژه</v>
      </c>
      <c r="G645" s="127">
        <f>VLOOKUP(D645,'لیست پرسنل'!$B$2:$F$1020,2,FALSE)</f>
        <v>0</v>
      </c>
      <c r="H645" s="126" t="s">
        <v>6822</v>
      </c>
      <c r="I645" s="128"/>
      <c r="J645" s="128" t="s">
        <v>3483</v>
      </c>
      <c r="K645" s="128" t="s">
        <v>6820</v>
      </c>
      <c r="L645" s="150"/>
      <c r="M645" s="138">
        <v>634081</v>
      </c>
      <c r="N645" s="108" t="s">
        <v>326</v>
      </c>
      <c r="O645" s="20"/>
      <c r="P645" s="20"/>
      <c r="Q645" s="20"/>
    </row>
    <row r="646" spans="1:17" ht="24.9" customHeight="1">
      <c r="A646" s="20">
        <v>362</v>
      </c>
      <c r="B646" s="20" t="s">
        <v>6144</v>
      </c>
      <c r="C646" s="19"/>
      <c r="D646" s="20" t="s">
        <v>4936</v>
      </c>
      <c r="E646" s="19" t="str">
        <f>VLOOKUP(D646,'لیست پرسنل'!$B$2:$E$1020,3,FALSE)</f>
        <v>فرزان فن اندیش</v>
      </c>
      <c r="F646" s="19" t="str">
        <f>VLOOKUP(D646,'لیست پرسنل'!$B$2:$E$1020,4,FALSE)</f>
        <v>دفتر مدیر پروژه</v>
      </c>
      <c r="G646" s="127">
        <f>VLOOKUP(D646,'لیست پرسنل'!$B$2:$F$1020,2,FALSE)</f>
        <v>0</v>
      </c>
      <c r="H646" s="126" t="s">
        <v>6822</v>
      </c>
      <c r="I646" s="128"/>
      <c r="J646" s="128" t="s">
        <v>3476</v>
      </c>
      <c r="K646" s="128" t="s">
        <v>2872</v>
      </c>
      <c r="L646" s="128" t="s">
        <v>2873</v>
      </c>
      <c r="M646" s="137">
        <v>626748</v>
      </c>
      <c r="N646" s="108" t="s">
        <v>326</v>
      </c>
      <c r="O646" s="20" t="s">
        <v>705</v>
      </c>
      <c r="P646" s="20"/>
      <c r="Q646" s="66"/>
    </row>
    <row r="647" spans="1:17" ht="24.9" customHeight="1">
      <c r="A647" s="20">
        <v>362</v>
      </c>
      <c r="B647" s="20" t="s">
        <v>6144</v>
      </c>
      <c r="C647" s="19"/>
      <c r="D647" s="20" t="s">
        <v>4936</v>
      </c>
      <c r="E647" s="19" t="str">
        <f>VLOOKUP(D647,'لیست پرسنل'!$B$2:$E$1020,3,FALSE)</f>
        <v>فرزان فن اندیش</v>
      </c>
      <c r="F647" s="19" t="str">
        <f>VLOOKUP(D647,'لیست پرسنل'!$B$2:$E$1020,4,FALSE)</f>
        <v>دفتر مدیر پروژه</v>
      </c>
      <c r="G647" s="127">
        <f>VLOOKUP(D647,'لیست پرسنل'!$B$2:$F$1020,2,FALSE)</f>
        <v>0</v>
      </c>
      <c r="H647" s="126" t="s">
        <v>6822</v>
      </c>
      <c r="I647" s="128"/>
      <c r="J647" s="128" t="s">
        <v>2686</v>
      </c>
      <c r="K647" s="128" t="s">
        <v>2922</v>
      </c>
      <c r="L647" s="127" t="s">
        <v>3021</v>
      </c>
      <c r="M647" s="137">
        <v>626504</v>
      </c>
      <c r="N647" s="108" t="s">
        <v>326</v>
      </c>
      <c r="O647" s="20" t="s">
        <v>705</v>
      </c>
      <c r="P647" s="20"/>
      <c r="Q647" s="66"/>
    </row>
    <row r="648" spans="1:17" ht="24.9" customHeight="1">
      <c r="A648" s="20">
        <v>362</v>
      </c>
      <c r="B648" s="20" t="s">
        <v>6144</v>
      </c>
      <c r="C648" s="19"/>
      <c r="D648" s="20" t="s">
        <v>4936</v>
      </c>
      <c r="E648" s="19" t="str">
        <f>VLOOKUP(D648,'لیست پرسنل'!$B$2:$E$1020,3,FALSE)</f>
        <v>فرزان فن اندیش</v>
      </c>
      <c r="F648" s="19" t="str">
        <f>VLOOKUP(D648,'لیست پرسنل'!$B$2:$E$1020,4,FALSE)</f>
        <v>دفتر مدیر پروژه</v>
      </c>
      <c r="G648" s="127">
        <f>VLOOKUP(D648,'لیست پرسنل'!$B$2:$F$1020,2,FALSE)</f>
        <v>0</v>
      </c>
      <c r="H648" s="126" t="s">
        <v>6822</v>
      </c>
      <c r="I648" s="128"/>
      <c r="J648" s="128" t="s">
        <v>2686</v>
      </c>
      <c r="K648" s="128" t="s">
        <v>2922</v>
      </c>
      <c r="L648" s="127" t="s">
        <v>3022</v>
      </c>
      <c r="M648" s="137">
        <v>626505</v>
      </c>
      <c r="N648" s="108" t="s">
        <v>326</v>
      </c>
      <c r="O648" s="20" t="s">
        <v>705</v>
      </c>
      <c r="P648" s="20"/>
      <c r="Q648" s="66"/>
    </row>
    <row r="649" spans="1:17" ht="24.9" customHeight="1">
      <c r="A649" s="20">
        <v>362</v>
      </c>
      <c r="B649" s="20" t="s">
        <v>6144</v>
      </c>
      <c r="C649" s="19"/>
      <c r="D649" s="20" t="s">
        <v>4936</v>
      </c>
      <c r="E649" s="19" t="str">
        <f>VLOOKUP(D649,'لیست پرسنل'!$B$2:$E$1020,3,FALSE)</f>
        <v>فرزان فن اندیش</v>
      </c>
      <c r="F649" s="19" t="str">
        <f>VLOOKUP(D649,'لیست پرسنل'!$B$2:$E$1020,4,FALSE)</f>
        <v>دفتر مدیر پروژه</v>
      </c>
      <c r="G649" s="127">
        <f>VLOOKUP(D649,'لیست پرسنل'!$B$2:$F$1020,2,FALSE)</f>
        <v>0</v>
      </c>
      <c r="H649" s="126" t="s">
        <v>6822</v>
      </c>
      <c r="I649" s="128"/>
      <c r="J649" s="128" t="s">
        <v>2686</v>
      </c>
      <c r="K649" s="128" t="s">
        <v>2922</v>
      </c>
      <c r="L649" s="127" t="s">
        <v>3106</v>
      </c>
      <c r="M649" s="137">
        <v>626590</v>
      </c>
      <c r="N649" s="108" t="s">
        <v>326</v>
      </c>
      <c r="O649" s="20" t="s">
        <v>705</v>
      </c>
      <c r="P649" s="20"/>
      <c r="Q649" s="66"/>
    </row>
    <row r="650" spans="1:17" ht="24.9" customHeight="1">
      <c r="A650" s="20">
        <v>362</v>
      </c>
      <c r="B650" s="20" t="s">
        <v>6144</v>
      </c>
      <c r="C650" s="19"/>
      <c r="D650" s="108" t="s">
        <v>326</v>
      </c>
      <c r="E650" s="19" t="str">
        <f>VLOOKUP(D650,'لیست پرسنل'!$B$2:$E$1020,3,FALSE)</f>
        <v>فکورصنعت</v>
      </c>
      <c r="F650" s="19" t="str">
        <f>VLOOKUP(D650,'لیست پرسنل'!$B$2:$E$1020,4,FALSE)</f>
        <v>انبار</v>
      </c>
      <c r="G650" s="127">
        <f>VLOOKUP(D650,'لیست پرسنل'!$B$2:$F$1020,2,FALSE)</f>
        <v>98141</v>
      </c>
      <c r="H650" s="165" t="s">
        <v>6143</v>
      </c>
      <c r="I650" s="128"/>
      <c r="J650" s="126" t="s">
        <v>368</v>
      </c>
      <c r="K650" s="135" t="s">
        <v>8248</v>
      </c>
      <c r="L650" s="127" t="s">
        <v>2348</v>
      </c>
      <c r="M650" s="137">
        <v>628754</v>
      </c>
      <c r="N650" s="108" t="s">
        <v>326</v>
      </c>
      <c r="O650" s="20" t="s">
        <v>705</v>
      </c>
      <c r="P650" s="20"/>
      <c r="Q650" s="66"/>
    </row>
    <row r="651" spans="1:17" ht="24.9" customHeight="1">
      <c r="A651" s="20">
        <v>362</v>
      </c>
      <c r="B651" s="20" t="s">
        <v>6144</v>
      </c>
      <c r="C651" s="19"/>
      <c r="D651" s="108" t="s">
        <v>326</v>
      </c>
      <c r="E651" s="19" t="str">
        <f>VLOOKUP(D651,'لیست پرسنل'!$B$2:$E$1020,3,FALSE)</f>
        <v>فکورصنعت</v>
      </c>
      <c r="F651" s="19" t="str">
        <f>VLOOKUP(D651,'لیست پرسنل'!$B$2:$E$1020,4,FALSE)</f>
        <v>انبار</v>
      </c>
      <c r="G651" s="127">
        <f>VLOOKUP(D651,'لیست پرسنل'!$B$2:$F$1020,2,FALSE)</f>
        <v>98141</v>
      </c>
      <c r="H651" s="165" t="s">
        <v>6143</v>
      </c>
      <c r="I651" s="128"/>
      <c r="J651" s="126" t="s">
        <v>368</v>
      </c>
      <c r="K651" s="135" t="s">
        <v>8248</v>
      </c>
      <c r="L651" s="127" t="s">
        <v>2357</v>
      </c>
      <c r="M651" s="137">
        <v>628763</v>
      </c>
      <c r="N651" s="108" t="s">
        <v>326</v>
      </c>
      <c r="O651" s="20" t="s">
        <v>705</v>
      </c>
      <c r="P651" s="20"/>
      <c r="Q651" s="20"/>
    </row>
    <row r="652" spans="1:17" ht="24.9" customHeight="1">
      <c r="A652" s="20">
        <v>362</v>
      </c>
      <c r="B652" s="20" t="s">
        <v>6144</v>
      </c>
      <c r="C652" s="19"/>
      <c r="D652" s="108" t="s">
        <v>326</v>
      </c>
      <c r="E652" s="19" t="str">
        <f>VLOOKUP(D652,'لیست پرسنل'!$B$2:$E$1020,3,FALSE)</f>
        <v>فکورصنعت</v>
      </c>
      <c r="F652" s="19" t="str">
        <f>VLOOKUP(D652,'لیست پرسنل'!$B$2:$E$1020,4,FALSE)</f>
        <v>انبار</v>
      </c>
      <c r="G652" s="127">
        <f>VLOOKUP(D652,'لیست پرسنل'!$B$2:$F$1020,2,FALSE)</f>
        <v>98141</v>
      </c>
      <c r="H652" s="165" t="s">
        <v>6143</v>
      </c>
      <c r="I652" s="128"/>
      <c r="J652" s="128" t="s">
        <v>3481</v>
      </c>
      <c r="K652" s="128" t="s">
        <v>905</v>
      </c>
      <c r="L652" s="150"/>
      <c r="M652" s="137">
        <v>612217</v>
      </c>
      <c r="N652" s="108" t="s">
        <v>326</v>
      </c>
      <c r="O652" s="20" t="s">
        <v>678</v>
      </c>
      <c r="P652" s="20"/>
      <c r="Q652" s="66"/>
    </row>
    <row r="653" spans="1:17" ht="24.9" customHeight="1">
      <c r="A653" s="20">
        <v>362</v>
      </c>
      <c r="B653" s="20" t="s">
        <v>6144</v>
      </c>
      <c r="C653" s="19"/>
      <c r="D653" s="108" t="s">
        <v>326</v>
      </c>
      <c r="E653" s="19" t="str">
        <f>VLOOKUP(D653,'لیست پرسنل'!$B$2:$E$1020,3,FALSE)</f>
        <v>فکورصنعت</v>
      </c>
      <c r="F653" s="19" t="str">
        <f>VLOOKUP(D653,'لیست پرسنل'!$B$2:$E$1020,4,FALSE)</f>
        <v>انبار</v>
      </c>
      <c r="G653" s="127">
        <f>VLOOKUP(D653,'لیست پرسنل'!$B$2:$F$1020,2,FALSE)</f>
        <v>98141</v>
      </c>
      <c r="H653" s="165" t="s">
        <v>6143</v>
      </c>
      <c r="I653" s="128"/>
      <c r="J653" s="128" t="s">
        <v>3483</v>
      </c>
      <c r="K653" s="128" t="s">
        <v>3700</v>
      </c>
      <c r="L653" s="128"/>
      <c r="M653" s="139">
        <v>629504</v>
      </c>
      <c r="N653" s="108" t="s">
        <v>326</v>
      </c>
      <c r="O653" s="20" t="s">
        <v>705</v>
      </c>
      <c r="P653" s="20"/>
      <c r="Q653" s="66"/>
    </row>
    <row r="654" spans="1:17" ht="24.9" customHeight="1">
      <c r="A654" s="20">
        <v>362</v>
      </c>
      <c r="B654" s="20" t="s">
        <v>6144</v>
      </c>
      <c r="C654" s="19"/>
      <c r="D654" s="108" t="s">
        <v>326</v>
      </c>
      <c r="E654" s="19" t="str">
        <f>VLOOKUP(D654,'لیست پرسنل'!$B$2:$E$1020,3,FALSE)</f>
        <v>فکورصنعت</v>
      </c>
      <c r="F654" s="19" t="str">
        <f>VLOOKUP(D654,'لیست پرسنل'!$B$2:$E$1020,4,FALSE)</f>
        <v>انبار</v>
      </c>
      <c r="G654" s="127">
        <f>VLOOKUP(D654,'لیست پرسنل'!$B$2:$F$1020,2,FALSE)</f>
        <v>98141</v>
      </c>
      <c r="H654" s="165" t="s">
        <v>6143</v>
      </c>
      <c r="I654" s="128"/>
      <c r="J654" s="128" t="s">
        <v>2686</v>
      </c>
      <c r="K654" s="128" t="s">
        <v>2922</v>
      </c>
      <c r="L654" s="128" t="s">
        <v>2932</v>
      </c>
      <c r="M654" s="137">
        <v>626409</v>
      </c>
      <c r="N654" s="108" t="s">
        <v>326</v>
      </c>
      <c r="O654" s="20" t="s">
        <v>705</v>
      </c>
      <c r="P654" s="20"/>
      <c r="Q654" s="20"/>
    </row>
    <row r="655" spans="1:17" ht="24.9" customHeight="1">
      <c r="A655" s="20">
        <v>362</v>
      </c>
      <c r="B655" s="20" t="s">
        <v>6144</v>
      </c>
      <c r="C655" s="19"/>
      <c r="D655" s="108" t="s">
        <v>326</v>
      </c>
      <c r="E655" s="19" t="str">
        <f>VLOOKUP(D655,'لیست پرسنل'!$B$2:$E$1020,3,FALSE)</f>
        <v>فکورصنعت</v>
      </c>
      <c r="F655" s="19" t="str">
        <f>VLOOKUP(D655,'لیست پرسنل'!$B$2:$E$1020,4,FALSE)</f>
        <v>انبار</v>
      </c>
      <c r="G655" s="127">
        <f>VLOOKUP(D655,'لیست پرسنل'!$B$2:$F$1020,2,FALSE)</f>
        <v>98141</v>
      </c>
      <c r="H655" s="165" t="s">
        <v>6143</v>
      </c>
      <c r="I655" s="128"/>
      <c r="J655" s="128" t="s">
        <v>2686</v>
      </c>
      <c r="K655" s="128" t="s">
        <v>2922</v>
      </c>
      <c r="L655" s="127" t="s">
        <v>2978</v>
      </c>
      <c r="M655" s="137">
        <v>626459</v>
      </c>
      <c r="N655" s="108" t="s">
        <v>326</v>
      </c>
      <c r="O655" s="20" t="s">
        <v>705</v>
      </c>
      <c r="P655" s="20"/>
      <c r="Q655" s="20"/>
    </row>
    <row r="656" spans="1:17" ht="24.9" customHeight="1">
      <c r="A656" s="20">
        <v>362</v>
      </c>
      <c r="B656" s="20" t="s">
        <v>6144</v>
      </c>
      <c r="C656" s="19"/>
      <c r="D656" s="108" t="s">
        <v>326</v>
      </c>
      <c r="E656" s="19" t="str">
        <f>VLOOKUP(D656,'لیست پرسنل'!$B$2:$E$1020,3,FALSE)</f>
        <v>فکورصنعت</v>
      </c>
      <c r="F656" s="19" t="str">
        <f>VLOOKUP(D656,'لیست پرسنل'!$B$2:$E$1020,4,FALSE)</f>
        <v>انبار</v>
      </c>
      <c r="G656" s="127">
        <f>VLOOKUP(D656,'لیست پرسنل'!$B$2:$F$1020,2,FALSE)</f>
        <v>98141</v>
      </c>
      <c r="H656" s="165" t="s">
        <v>7991</v>
      </c>
      <c r="I656" s="128"/>
      <c r="J656" s="128" t="s">
        <v>5366</v>
      </c>
      <c r="K656" s="128" t="s">
        <v>6043</v>
      </c>
      <c r="L656" s="134" t="s">
        <v>6044</v>
      </c>
      <c r="M656" s="137">
        <v>632727</v>
      </c>
      <c r="N656" s="108" t="s">
        <v>326</v>
      </c>
      <c r="O656" s="20"/>
      <c r="P656" s="20"/>
      <c r="Q656" s="66"/>
    </row>
    <row r="657" spans="1:17" ht="24.9" customHeight="1">
      <c r="A657" s="20">
        <v>362</v>
      </c>
      <c r="B657" s="20" t="s">
        <v>6144</v>
      </c>
      <c r="C657" s="20"/>
      <c r="D657" s="108" t="s">
        <v>326</v>
      </c>
      <c r="E657" s="19" t="str">
        <f>VLOOKUP(D657,'لیست پرسنل'!$B$2:$E$1020,3,FALSE)</f>
        <v>فکورصنعت</v>
      </c>
      <c r="F657" s="19" t="str">
        <f>VLOOKUP(D657,'لیست پرسنل'!$B$2:$E$1020,4,FALSE)</f>
        <v>انبار</v>
      </c>
      <c r="G657" s="127">
        <f>VLOOKUP(D657,'لیست پرسنل'!$B$2:$F$1020,2,FALSE)</f>
        <v>98141</v>
      </c>
      <c r="H657" s="151" t="s">
        <v>7358</v>
      </c>
      <c r="I657" s="128"/>
      <c r="J657" s="128" t="s">
        <v>3322</v>
      </c>
      <c r="K657" s="128" t="s">
        <v>115</v>
      </c>
      <c r="L657" s="151">
        <v>490435596</v>
      </c>
      <c r="M657" s="138">
        <v>613366</v>
      </c>
      <c r="N657" s="108" t="s">
        <v>326</v>
      </c>
      <c r="O657" s="20" t="s">
        <v>678</v>
      </c>
      <c r="P657" s="20"/>
      <c r="Q657" s="20"/>
    </row>
    <row r="658" spans="1:17" ht="24.9" customHeight="1">
      <c r="A658" s="20">
        <v>362</v>
      </c>
      <c r="B658" s="20" t="s">
        <v>6144</v>
      </c>
      <c r="C658" s="19"/>
      <c r="D658" s="197" t="s">
        <v>326</v>
      </c>
      <c r="E658" s="19" t="str">
        <f>VLOOKUP(D658,'لیست پرسنل'!$B$2:$E$1020,3,FALSE)</f>
        <v>فکورصنعت</v>
      </c>
      <c r="F658" s="19" t="str">
        <f>VLOOKUP(D658,'لیست پرسنل'!$B$2:$E$1020,4,FALSE)</f>
        <v>انبار</v>
      </c>
      <c r="G658" s="127">
        <f>VLOOKUP(D658,'لیست پرسنل'!$B$2:$F$1020,2,FALSE)</f>
        <v>98141</v>
      </c>
      <c r="H658" s="151" t="s">
        <v>7358</v>
      </c>
      <c r="I658" s="127"/>
      <c r="J658" s="127" t="s">
        <v>3476</v>
      </c>
      <c r="K658" s="127" t="s">
        <v>8107</v>
      </c>
      <c r="L658" s="150" t="s">
        <v>7317</v>
      </c>
      <c r="M658" s="139">
        <v>635905</v>
      </c>
      <c r="N658" s="109" t="s">
        <v>326</v>
      </c>
      <c r="O658" s="39"/>
      <c r="P658" s="20"/>
      <c r="Q658" s="66"/>
    </row>
    <row r="659" spans="1:17" ht="24.9" customHeight="1">
      <c r="A659" s="20">
        <v>362</v>
      </c>
      <c r="B659" s="20" t="s">
        <v>4321</v>
      </c>
      <c r="C659" s="19">
        <v>1</v>
      </c>
      <c r="D659" s="19" t="s">
        <v>2837</v>
      </c>
      <c r="E659" s="19" t="str">
        <f>VLOOKUP(D659,'لیست پرسنل'!$B$2:$E$1020,3,FALSE)</f>
        <v>نظارت کارفرما</v>
      </c>
      <c r="F659" s="19">
        <f>VLOOKUP(D659,'لیست پرسنل'!$B$2:$E$1020,4,FALSE)</f>
        <v>0</v>
      </c>
      <c r="G659" s="127">
        <f>VLOOKUP(D659,'لیست پرسنل'!$B$2:$F$1020,2,FALSE)</f>
        <v>0</v>
      </c>
      <c r="H659" s="127" t="s">
        <v>3451</v>
      </c>
      <c r="I659" s="128" t="s">
        <v>44</v>
      </c>
      <c r="J659" s="126" t="s">
        <v>368</v>
      </c>
      <c r="K659" s="127" t="s">
        <v>2846</v>
      </c>
      <c r="L659" s="127" t="s">
        <v>2485</v>
      </c>
      <c r="M659" s="138">
        <v>628897</v>
      </c>
      <c r="N659" s="109"/>
      <c r="O659" s="19"/>
      <c r="P659" s="20"/>
      <c r="Q659" s="20"/>
    </row>
    <row r="660" spans="1:17" ht="24.9" customHeight="1">
      <c r="A660" s="20">
        <v>362</v>
      </c>
      <c r="B660" s="20" t="s">
        <v>4321</v>
      </c>
      <c r="C660" s="19">
        <v>1</v>
      </c>
      <c r="D660" s="19" t="s">
        <v>2837</v>
      </c>
      <c r="E660" s="19" t="str">
        <f>VLOOKUP(D660,'لیست پرسنل'!$B$2:$E$1020,3,FALSE)</f>
        <v>نظارت کارفرما</v>
      </c>
      <c r="F660" s="19">
        <f>VLOOKUP(D660,'لیست پرسنل'!$B$2:$E$1020,4,FALSE)</f>
        <v>0</v>
      </c>
      <c r="G660" s="127">
        <f>VLOOKUP(D660,'لیست پرسنل'!$B$2:$F$1020,2,FALSE)</f>
        <v>0</v>
      </c>
      <c r="H660" s="127" t="s">
        <v>3451</v>
      </c>
      <c r="I660" s="128" t="s">
        <v>44</v>
      </c>
      <c r="J660" s="127" t="s">
        <v>571</v>
      </c>
      <c r="K660" s="127"/>
      <c r="L660" s="127"/>
      <c r="M660" s="138">
        <v>621257</v>
      </c>
      <c r="N660" s="109"/>
      <c r="O660" s="19"/>
      <c r="P660" s="20"/>
      <c r="Q660" s="20"/>
    </row>
    <row r="661" spans="1:17" ht="24.9" customHeight="1">
      <c r="A661" s="20">
        <v>362</v>
      </c>
      <c r="B661" s="20" t="s">
        <v>4321</v>
      </c>
      <c r="C661" s="19">
        <v>1</v>
      </c>
      <c r="D661" s="19" t="s">
        <v>2837</v>
      </c>
      <c r="E661" s="19" t="str">
        <f>VLOOKUP(D661,'لیست پرسنل'!$B$2:$E$1020,3,FALSE)</f>
        <v>نظارت کارفرما</v>
      </c>
      <c r="F661" s="19">
        <f>VLOOKUP(D661,'لیست پرسنل'!$B$2:$E$1020,4,FALSE)</f>
        <v>0</v>
      </c>
      <c r="G661" s="127">
        <f>VLOOKUP(D661,'لیست پرسنل'!$B$2:$F$1020,2,FALSE)</f>
        <v>0</v>
      </c>
      <c r="H661" s="127" t="s">
        <v>3451</v>
      </c>
      <c r="I661" s="128" t="s">
        <v>44</v>
      </c>
      <c r="J661" s="128" t="s">
        <v>2686</v>
      </c>
      <c r="K661" s="127" t="s">
        <v>486</v>
      </c>
      <c r="L661" s="127" t="s">
        <v>487</v>
      </c>
      <c r="M661" s="138">
        <v>610963</v>
      </c>
      <c r="N661" s="109"/>
      <c r="O661" s="19"/>
      <c r="P661" s="20"/>
      <c r="Q661" s="20"/>
    </row>
    <row r="662" spans="1:17" ht="24.9" customHeight="1">
      <c r="A662" s="20">
        <v>362</v>
      </c>
      <c r="B662" s="20" t="s">
        <v>4321</v>
      </c>
      <c r="C662" s="19">
        <v>2</v>
      </c>
      <c r="D662" s="20" t="s">
        <v>42</v>
      </c>
      <c r="E662" s="19" t="str">
        <f>VLOOKUP(D662,'لیست پرسنل'!$B$2:$E$1020,3,FALSE)</f>
        <v>نظارت کارفرما</v>
      </c>
      <c r="F662" s="19">
        <f>VLOOKUP(D662,'لیست پرسنل'!$B$2:$E$1020,4,FALSE)</f>
        <v>0</v>
      </c>
      <c r="G662" s="127">
        <f>VLOOKUP(D662,'لیست پرسنل'!$B$2:$F$1020,2,FALSE)</f>
        <v>0</v>
      </c>
      <c r="H662" s="127" t="s">
        <v>3451</v>
      </c>
      <c r="I662" s="128" t="s">
        <v>45</v>
      </c>
      <c r="J662" s="126" t="s">
        <v>368</v>
      </c>
      <c r="K662" s="128" t="s">
        <v>2846</v>
      </c>
      <c r="L662" s="128" t="s">
        <v>2378</v>
      </c>
      <c r="M662" s="137">
        <v>628785</v>
      </c>
      <c r="N662" s="108"/>
      <c r="O662" s="19"/>
      <c r="P662" s="20"/>
      <c r="Q662" s="20"/>
    </row>
    <row r="663" spans="1:17" ht="24.9" customHeight="1">
      <c r="A663" s="20">
        <v>362</v>
      </c>
      <c r="B663" s="20" t="s">
        <v>4321</v>
      </c>
      <c r="C663" s="19">
        <v>2</v>
      </c>
      <c r="D663" s="20" t="s">
        <v>42</v>
      </c>
      <c r="E663" s="19" t="str">
        <f>VLOOKUP(D663,'لیست پرسنل'!$B$2:$E$1020,3,FALSE)</f>
        <v>نظارت کارفرما</v>
      </c>
      <c r="F663" s="19">
        <f>VLOOKUP(D663,'لیست پرسنل'!$B$2:$E$1020,4,FALSE)</f>
        <v>0</v>
      </c>
      <c r="G663" s="127">
        <f>VLOOKUP(D663,'لیست پرسنل'!$B$2:$F$1020,2,FALSE)</f>
        <v>0</v>
      </c>
      <c r="H663" s="127" t="s">
        <v>3451</v>
      </c>
      <c r="I663" s="128" t="s">
        <v>45</v>
      </c>
      <c r="J663" s="127" t="s">
        <v>571</v>
      </c>
      <c r="K663" s="128" t="s">
        <v>2219</v>
      </c>
      <c r="L663" s="127"/>
      <c r="M663" s="138">
        <v>625442</v>
      </c>
      <c r="N663" s="109"/>
      <c r="O663" s="20"/>
      <c r="P663" s="20"/>
      <c r="Q663" s="20"/>
    </row>
    <row r="664" spans="1:17" ht="24.9" customHeight="1">
      <c r="A664" s="20">
        <v>362</v>
      </c>
      <c r="B664" s="20" t="s">
        <v>4321</v>
      </c>
      <c r="C664" s="19">
        <v>2</v>
      </c>
      <c r="D664" s="20" t="s">
        <v>42</v>
      </c>
      <c r="E664" s="19" t="str">
        <f>VLOOKUP(D664,'لیست پرسنل'!$B$2:$E$1020,3,FALSE)</f>
        <v>نظارت کارفرما</v>
      </c>
      <c r="F664" s="19">
        <f>VLOOKUP(D664,'لیست پرسنل'!$B$2:$E$1020,4,FALSE)</f>
        <v>0</v>
      </c>
      <c r="G664" s="127">
        <f>VLOOKUP(D664,'لیست پرسنل'!$B$2:$F$1020,2,FALSE)</f>
        <v>0</v>
      </c>
      <c r="H664" s="127" t="s">
        <v>3451</v>
      </c>
      <c r="I664" s="128" t="s">
        <v>45</v>
      </c>
      <c r="J664" s="128" t="s">
        <v>2686</v>
      </c>
      <c r="K664" s="127" t="s">
        <v>1851</v>
      </c>
      <c r="L664" s="127" t="s">
        <v>307</v>
      </c>
      <c r="M664" s="138" t="s">
        <v>291</v>
      </c>
      <c r="N664" s="109"/>
      <c r="O664" s="19" t="s">
        <v>5103</v>
      </c>
      <c r="P664" s="20"/>
      <c r="Q664" s="20"/>
    </row>
    <row r="665" spans="1:17" ht="24.9" customHeight="1">
      <c r="A665" s="20">
        <v>362</v>
      </c>
      <c r="B665" s="20" t="s">
        <v>4321</v>
      </c>
      <c r="C665" s="19">
        <v>3</v>
      </c>
      <c r="D665" s="20" t="s">
        <v>1443</v>
      </c>
      <c r="E665" s="19" t="str">
        <f>VLOOKUP(D665,'لیست پرسنل'!$B$2:$E$1020,3,FALSE)</f>
        <v>نظارت کارفرما</v>
      </c>
      <c r="F665" s="19" t="str">
        <f>VLOOKUP(D665,'لیست پرسنل'!$B$2:$E$1020,4,FALSE)</f>
        <v>مسئول دفتر</v>
      </c>
      <c r="G665" s="127">
        <f>VLOOKUP(D665,'لیست پرسنل'!$B$2:$F$1020,2,FALSE)</f>
        <v>0</v>
      </c>
      <c r="H665" s="127" t="s">
        <v>3451</v>
      </c>
      <c r="I665" s="128" t="s">
        <v>46</v>
      </c>
      <c r="J665" s="127" t="s">
        <v>3383</v>
      </c>
      <c r="K665" s="127" t="s">
        <v>491</v>
      </c>
      <c r="L665" s="127" t="s">
        <v>492</v>
      </c>
      <c r="M665" s="138">
        <v>618794</v>
      </c>
      <c r="N665" s="109"/>
      <c r="O665" s="19"/>
      <c r="P665" s="20"/>
      <c r="Q665" s="20"/>
    </row>
    <row r="666" spans="1:17" ht="24.9" customHeight="1">
      <c r="A666" s="20">
        <v>362</v>
      </c>
      <c r="B666" s="20" t="s">
        <v>4321</v>
      </c>
      <c r="C666" s="19">
        <v>3</v>
      </c>
      <c r="D666" s="20" t="s">
        <v>1443</v>
      </c>
      <c r="E666" s="19" t="str">
        <f>VLOOKUP(D666,'لیست پرسنل'!$B$2:$E$1020,3,FALSE)</f>
        <v>نظارت کارفرما</v>
      </c>
      <c r="F666" s="19" t="str">
        <f>VLOOKUP(D666,'لیست پرسنل'!$B$2:$E$1020,4,FALSE)</f>
        <v>مسئول دفتر</v>
      </c>
      <c r="G666" s="127">
        <f>VLOOKUP(D666,'لیست پرسنل'!$B$2:$F$1020,2,FALSE)</f>
        <v>0</v>
      </c>
      <c r="H666" s="127" t="s">
        <v>3451</v>
      </c>
      <c r="I666" s="128" t="s">
        <v>46</v>
      </c>
      <c r="J666" s="128" t="s">
        <v>737</v>
      </c>
      <c r="K666" s="128" t="s">
        <v>668</v>
      </c>
      <c r="L666" s="127" t="s">
        <v>1062</v>
      </c>
      <c r="M666" s="138">
        <v>621010</v>
      </c>
      <c r="N666" s="108"/>
      <c r="O666" s="20"/>
      <c r="P666" s="20"/>
      <c r="Q666" s="20"/>
    </row>
    <row r="667" spans="1:17" ht="24.9" customHeight="1">
      <c r="A667" s="20">
        <v>362</v>
      </c>
      <c r="B667" s="20" t="s">
        <v>4321</v>
      </c>
      <c r="C667" s="19">
        <v>3</v>
      </c>
      <c r="D667" s="20" t="s">
        <v>1443</v>
      </c>
      <c r="E667" s="19" t="str">
        <f>VLOOKUP(D667,'لیست پرسنل'!$B$2:$E$1020,3,FALSE)</f>
        <v>نظارت کارفرما</v>
      </c>
      <c r="F667" s="19" t="str">
        <f>VLOOKUP(D667,'لیست پرسنل'!$B$2:$E$1020,4,FALSE)</f>
        <v>مسئول دفتر</v>
      </c>
      <c r="G667" s="127">
        <f>VLOOKUP(D667,'لیست پرسنل'!$B$2:$F$1020,2,FALSE)</f>
        <v>0</v>
      </c>
      <c r="H667" s="127" t="s">
        <v>3451</v>
      </c>
      <c r="I667" s="128" t="s">
        <v>46</v>
      </c>
      <c r="J667" s="126" t="s">
        <v>368</v>
      </c>
      <c r="K667" s="128" t="s">
        <v>2846</v>
      </c>
      <c r="L667" s="128" t="s">
        <v>2377</v>
      </c>
      <c r="M667" s="137">
        <v>628784</v>
      </c>
      <c r="N667" s="108"/>
      <c r="O667" s="19"/>
      <c r="P667" s="20"/>
      <c r="Q667" s="20"/>
    </row>
    <row r="668" spans="1:17" ht="24.9" customHeight="1">
      <c r="A668" s="20">
        <v>362</v>
      </c>
      <c r="B668" s="20" t="s">
        <v>4321</v>
      </c>
      <c r="C668" s="19">
        <v>3</v>
      </c>
      <c r="D668" s="20" t="s">
        <v>1443</v>
      </c>
      <c r="E668" s="19" t="str">
        <f>VLOOKUP(D668,'لیست پرسنل'!$B$2:$E$1020,3,FALSE)</f>
        <v>نظارت کارفرما</v>
      </c>
      <c r="F668" s="19" t="str">
        <f>VLOOKUP(D668,'لیست پرسنل'!$B$2:$E$1020,4,FALSE)</f>
        <v>مسئول دفتر</v>
      </c>
      <c r="G668" s="127">
        <f>VLOOKUP(D668,'لیست پرسنل'!$B$2:$F$1020,2,FALSE)</f>
        <v>0</v>
      </c>
      <c r="H668" s="127" t="s">
        <v>3451</v>
      </c>
      <c r="I668" s="128" t="s">
        <v>46</v>
      </c>
      <c r="J668" s="127" t="s">
        <v>571</v>
      </c>
      <c r="K668" s="127"/>
      <c r="L668" s="127"/>
      <c r="M668" s="138">
        <v>615036</v>
      </c>
      <c r="N668" s="109"/>
      <c r="O668" s="19"/>
      <c r="P668" s="20"/>
      <c r="Q668" s="20"/>
    </row>
    <row r="669" spans="1:17" ht="24.9" customHeight="1">
      <c r="A669" s="20">
        <v>362</v>
      </c>
      <c r="B669" s="20" t="s">
        <v>4321</v>
      </c>
      <c r="C669" s="19">
        <v>3</v>
      </c>
      <c r="D669" s="20" t="s">
        <v>1443</v>
      </c>
      <c r="E669" s="19" t="str">
        <f>VLOOKUP(D669,'لیست پرسنل'!$B$2:$E$1020,3,FALSE)</f>
        <v>نظارت کارفرما</v>
      </c>
      <c r="F669" s="19" t="str">
        <f>VLOOKUP(D669,'لیست پرسنل'!$B$2:$E$1020,4,FALSE)</f>
        <v>مسئول دفتر</v>
      </c>
      <c r="G669" s="127">
        <f>VLOOKUP(D669,'لیست پرسنل'!$B$2:$F$1020,2,FALSE)</f>
        <v>0</v>
      </c>
      <c r="H669" s="127" t="s">
        <v>3451</v>
      </c>
      <c r="I669" s="128" t="s">
        <v>46</v>
      </c>
      <c r="J669" s="128" t="s">
        <v>2686</v>
      </c>
      <c r="K669" s="128" t="s">
        <v>2922</v>
      </c>
      <c r="L669" s="128" t="s">
        <v>2924</v>
      </c>
      <c r="M669" s="137">
        <v>626401</v>
      </c>
      <c r="N669" s="108"/>
      <c r="O669" s="20" t="s">
        <v>705</v>
      </c>
      <c r="P669" s="20"/>
      <c r="Q669" s="20"/>
    </row>
    <row r="670" spans="1:17" ht="24.9" customHeight="1">
      <c r="A670" s="20">
        <v>362</v>
      </c>
      <c r="B670" s="20" t="s">
        <v>4321</v>
      </c>
      <c r="C670" s="19">
        <v>4</v>
      </c>
      <c r="D670" s="20" t="s">
        <v>2836</v>
      </c>
      <c r="E670" s="19" t="str">
        <f>VLOOKUP(D670,'لیست پرسنل'!$B$2:$E$1020,3,FALSE)</f>
        <v>نظارت کارفرما</v>
      </c>
      <c r="F670" s="19" t="str">
        <f>VLOOKUP(D670,'لیست پرسنل'!$B$2:$E$1020,4,FALSE)</f>
        <v>DCC</v>
      </c>
      <c r="G670" s="127">
        <f>VLOOKUP(D670,'لیست پرسنل'!$B$2:$F$1020,2,FALSE)</f>
        <v>0</v>
      </c>
      <c r="H670" s="126" t="s">
        <v>3451</v>
      </c>
      <c r="I670" s="128" t="s">
        <v>47</v>
      </c>
      <c r="J670" s="128" t="s">
        <v>737</v>
      </c>
      <c r="K670" s="128" t="s">
        <v>667</v>
      </c>
      <c r="L670" s="126" t="s">
        <v>416</v>
      </c>
      <c r="M670" s="137">
        <v>622535</v>
      </c>
      <c r="N670" s="108"/>
      <c r="O670" s="31"/>
      <c r="P670" s="20"/>
      <c r="Q670" s="20"/>
    </row>
    <row r="671" spans="1:17" ht="24.9" customHeight="1">
      <c r="A671" s="20">
        <v>362</v>
      </c>
      <c r="B671" s="20" t="s">
        <v>4321</v>
      </c>
      <c r="C671" s="19">
        <v>4</v>
      </c>
      <c r="D671" s="20" t="s">
        <v>2836</v>
      </c>
      <c r="E671" s="19" t="str">
        <f>VLOOKUP(D671,'لیست پرسنل'!$B$2:$E$1020,3,FALSE)</f>
        <v>نظارت کارفرما</v>
      </c>
      <c r="F671" s="19" t="str">
        <f>VLOOKUP(D671,'لیست پرسنل'!$B$2:$E$1020,4,FALSE)</f>
        <v>DCC</v>
      </c>
      <c r="G671" s="127">
        <f>VLOOKUP(D671,'لیست پرسنل'!$B$2:$F$1020,2,FALSE)</f>
        <v>0</v>
      </c>
      <c r="H671" s="126" t="s">
        <v>3451</v>
      </c>
      <c r="I671" s="128" t="s">
        <v>47</v>
      </c>
      <c r="J671" s="141" t="s">
        <v>571</v>
      </c>
      <c r="K671" s="135" t="s">
        <v>1951</v>
      </c>
      <c r="L671" s="165" t="s">
        <v>2219</v>
      </c>
      <c r="M671" s="137">
        <v>629710</v>
      </c>
      <c r="N671" s="108"/>
      <c r="O671" s="20" t="s">
        <v>705</v>
      </c>
      <c r="P671" s="20"/>
      <c r="Q671" s="20"/>
    </row>
    <row r="672" spans="1:17" ht="24.9" customHeight="1">
      <c r="A672" s="20">
        <v>362</v>
      </c>
      <c r="B672" s="20" t="s">
        <v>4321</v>
      </c>
      <c r="C672" s="19">
        <v>4</v>
      </c>
      <c r="D672" s="20" t="s">
        <v>2836</v>
      </c>
      <c r="E672" s="19" t="str">
        <f>VLOOKUP(D672,'لیست پرسنل'!$B$2:$E$1020,3,FALSE)</f>
        <v>نظارت کارفرما</v>
      </c>
      <c r="F672" s="19" t="str">
        <f>VLOOKUP(D672,'لیست پرسنل'!$B$2:$E$1020,4,FALSE)</f>
        <v>DCC</v>
      </c>
      <c r="G672" s="127">
        <f>VLOOKUP(D672,'لیست پرسنل'!$B$2:$F$1020,2,FALSE)</f>
        <v>0</v>
      </c>
      <c r="H672" s="126" t="s">
        <v>3451</v>
      </c>
      <c r="I672" s="128" t="s">
        <v>47</v>
      </c>
      <c r="J672" s="128" t="s">
        <v>2686</v>
      </c>
      <c r="K672" s="128" t="s">
        <v>332</v>
      </c>
      <c r="L672" s="127" t="s">
        <v>1462</v>
      </c>
      <c r="M672" s="138">
        <v>633601</v>
      </c>
      <c r="N672" s="109"/>
      <c r="O672" s="19" t="s">
        <v>6263</v>
      </c>
      <c r="P672" s="32"/>
      <c r="Q672" s="32"/>
    </row>
    <row r="673" spans="1:17" ht="24.9" customHeight="1">
      <c r="A673" s="20">
        <v>362</v>
      </c>
      <c r="B673" s="20" t="s">
        <v>4321</v>
      </c>
      <c r="C673" s="19">
        <v>5</v>
      </c>
      <c r="D673" s="20" t="s">
        <v>43</v>
      </c>
      <c r="E673" s="19" t="str">
        <f>VLOOKUP(D673,'لیست پرسنل'!$B$2:$E$1020,3,FALSE)</f>
        <v>نظارت کارفرما</v>
      </c>
      <c r="F673" s="19">
        <f>VLOOKUP(D673,'لیست پرسنل'!$B$2:$E$1020,4,FALSE)</f>
        <v>0</v>
      </c>
      <c r="G673" s="127">
        <f>VLOOKUP(D673,'لیست پرسنل'!$B$2:$F$1020,2,FALSE)</f>
        <v>0</v>
      </c>
      <c r="H673" s="127" t="s">
        <v>3451</v>
      </c>
      <c r="I673" s="128" t="s">
        <v>105</v>
      </c>
      <c r="J673" s="128" t="s">
        <v>571</v>
      </c>
      <c r="K673" s="140" t="s">
        <v>1861</v>
      </c>
      <c r="L673" s="151"/>
      <c r="M673" s="138">
        <v>615039</v>
      </c>
      <c r="N673" s="109"/>
      <c r="O673" s="19"/>
      <c r="P673" s="20"/>
      <c r="Q673" s="20"/>
    </row>
    <row r="674" spans="1:17" ht="24.9" customHeight="1">
      <c r="A674" s="20">
        <v>362</v>
      </c>
      <c r="B674" s="20" t="s">
        <v>4321</v>
      </c>
      <c r="C674" s="19">
        <v>6</v>
      </c>
      <c r="D674" s="20" t="s">
        <v>2835</v>
      </c>
      <c r="E674" s="19" t="str">
        <f>VLOOKUP(D674,'لیست پرسنل'!$B$2:$E$1020,3,FALSE)</f>
        <v>نظارت کارفرما</v>
      </c>
      <c r="F674" s="19" t="str">
        <f>VLOOKUP(D674,'لیست پرسنل'!$B$2:$E$1020,4,FALSE)</f>
        <v>کنترل پروژه</v>
      </c>
      <c r="G674" s="127">
        <f>VLOOKUP(D674,'لیست پرسنل'!$B$2:$F$1020,2,FALSE)</f>
        <v>0</v>
      </c>
      <c r="H674" s="127" t="s">
        <v>3451</v>
      </c>
      <c r="I674" s="128" t="s">
        <v>106</v>
      </c>
      <c r="J674" s="128" t="s">
        <v>737</v>
      </c>
      <c r="K674" s="128" t="s">
        <v>677</v>
      </c>
      <c r="L674" s="127" t="s">
        <v>706</v>
      </c>
      <c r="M674" s="138">
        <v>605420</v>
      </c>
      <c r="N674" s="109"/>
      <c r="O674" s="19"/>
      <c r="P674" s="20"/>
      <c r="Q674" s="20"/>
    </row>
    <row r="675" spans="1:17" ht="24.9" customHeight="1">
      <c r="A675" s="20">
        <v>362</v>
      </c>
      <c r="B675" s="20" t="s">
        <v>4321</v>
      </c>
      <c r="C675" s="19">
        <v>6</v>
      </c>
      <c r="D675" s="20" t="s">
        <v>2835</v>
      </c>
      <c r="E675" s="19" t="str">
        <f>VLOOKUP(D675,'لیست پرسنل'!$B$2:$E$1020,3,FALSE)</f>
        <v>نظارت کارفرما</v>
      </c>
      <c r="F675" s="19" t="str">
        <f>VLOOKUP(D675,'لیست پرسنل'!$B$2:$E$1020,4,FALSE)</f>
        <v>کنترل پروژه</v>
      </c>
      <c r="G675" s="127">
        <f>VLOOKUP(D675,'لیست پرسنل'!$B$2:$F$1020,2,FALSE)</f>
        <v>0</v>
      </c>
      <c r="H675" s="127" t="s">
        <v>3451</v>
      </c>
      <c r="I675" s="128" t="s">
        <v>106</v>
      </c>
      <c r="J675" s="126" t="s">
        <v>368</v>
      </c>
      <c r="K675" s="128" t="s">
        <v>2846</v>
      </c>
      <c r="L675" s="128" t="s">
        <v>2384</v>
      </c>
      <c r="M675" s="137">
        <v>628791</v>
      </c>
      <c r="N675" s="108"/>
      <c r="O675" s="19"/>
      <c r="P675" s="20"/>
      <c r="Q675" s="20"/>
    </row>
    <row r="676" spans="1:17" ht="24.9" customHeight="1">
      <c r="A676" s="20">
        <v>362</v>
      </c>
      <c r="B676" s="20" t="s">
        <v>4321</v>
      </c>
      <c r="C676" s="19">
        <v>6</v>
      </c>
      <c r="D676" s="20" t="s">
        <v>2835</v>
      </c>
      <c r="E676" s="19" t="str">
        <f>VLOOKUP(D676,'لیست پرسنل'!$B$2:$E$1020,3,FALSE)</f>
        <v>نظارت کارفرما</v>
      </c>
      <c r="F676" s="19" t="str">
        <f>VLOOKUP(D676,'لیست پرسنل'!$B$2:$E$1020,4,FALSE)</f>
        <v>کنترل پروژه</v>
      </c>
      <c r="G676" s="127">
        <f>VLOOKUP(D676,'لیست پرسنل'!$B$2:$F$1020,2,FALSE)</f>
        <v>0</v>
      </c>
      <c r="H676" s="127" t="s">
        <v>3451</v>
      </c>
      <c r="I676" s="128" t="s">
        <v>106</v>
      </c>
      <c r="J676" s="127" t="s">
        <v>571</v>
      </c>
      <c r="K676" s="127"/>
      <c r="L676" s="127"/>
      <c r="M676" s="138">
        <v>621262</v>
      </c>
      <c r="N676" s="109"/>
      <c r="O676" s="19"/>
      <c r="P676" s="20"/>
      <c r="Q676" s="20"/>
    </row>
    <row r="677" spans="1:17" ht="24.9" customHeight="1">
      <c r="A677" s="20">
        <v>362</v>
      </c>
      <c r="B677" s="20" t="s">
        <v>4321</v>
      </c>
      <c r="C677" s="19">
        <v>6</v>
      </c>
      <c r="D677" s="20" t="s">
        <v>2835</v>
      </c>
      <c r="E677" s="19" t="str">
        <f>VLOOKUP(D677,'لیست پرسنل'!$B$2:$E$1020,3,FALSE)</f>
        <v>نظارت کارفرما</v>
      </c>
      <c r="F677" s="19" t="str">
        <f>VLOOKUP(D677,'لیست پرسنل'!$B$2:$E$1020,4,FALSE)</f>
        <v>کنترل پروژه</v>
      </c>
      <c r="G677" s="127">
        <f>VLOOKUP(D677,'لیست پرسنل'!$B$2:$F$1020,2,FALSE)</f>
        <v>0</v>
      </c>
      <c r="H677" s="127" t="s">
        <v>3451</v>
      </c>
      <c r="I677" s="128" t="s">
        <v>106</v>
      </c>
      <c r="J677" s="128" t="s">
        <v>2686</v>
      </c>
      <c r="K677" s="127" t="s">
        <v>5145</v>
      </c>
      <c r="L677" s="127" t="s">
        <v>313</v>
      </c>
      <c r="M677" s="138">
        <v>615046</v>
      </c>
      <c r="N677" s="109"/>
      <c r="O677" s="19"/>
      <c r="P677" s="20"/>
      <c r="Q677" s="20"/>
    </row>
    <row r="678" spans="1:17" ht="24.9" customHeight="1">
      <c r="A678" s="20">
        <v>362</v>
      </c>
      <c r="B678" s="20" t="s">
        <v>4321</v>
      </c>
      <c r="C678" s="19">
        <v>7</v>
      </c>
      <c r="D678" s="20" t="s">
        <v>43</v>
      </c>
      <c r="E678" s="19" t="str">
        <f>VLOOKUP(D678,'لیست پرسنل'!$B$2:$E$1020,3,FALSE)</f>
        <v>نظارت کارفرما</v>
      </c>
      <c r="F678" s="19">
        <f>VLOOKUP(D678,'لیست پرسنل'!$B$2:$E$1020,4,FALSE)</f>
        <v>0</v>
      </c>
      <c r="G678" s="127">
        <f>VLOOKUP(D678,'لیست پرسنل'!$B$2:$F$1020,2,FALSE)</f>
        <v>0</v>
      </c>
      <c r="H678" s="127" t="s">
        <v>3451</v>
      </c>
      <c r="I678" s="128" t="s">
        <v>107</v>
      </c>
      <c r="J678" s="128" t="s">
        <v>737</v>
      </c>
      <c r="K678" s="127" t="s">
        <v>468</v>
      </c>
      <c r="L678" s="127" t="s">
        <v>469</v>
      </c>
      <c r="M678" s="138">
        <v>620538</v>
      </c>
      <c r="N678" s="109"/>
      <c r="O678" s="19"/>
      <c r="P678" s="20"/>
      <c r="Q678" s="20"/>
    </row>
    <row r="679" spans="1:17" ht="24.9" customHeight="1">
      <c r="A679" s="20">
        <v>362</v>
      </c>
      <c r="B679" s="20" t="s">
        <v>4321</v>
      </c>
      <c r="C679" s="19">
        <v>7</v>
      </c>
      <c r="D679" s="20" t="s">
        <v>43</v>
      </c>
      <c r="E679" s="19" t="str">
        <f>VLOOKUP(D679,'لیست پرسنل'!$B$2:$E$1020,3,FALSE)</f>
        <v>نظارت کارفرما</v>
      </c>
      <c r="F679" s="19">
        <f>VLOOKUP(D679,'لیست پرسنل'!$B$2:$E$1020,4,FALSE)</f>
        <v>0</v>
      </c>
      <c r="G679" s="127">
        <f>VLOOKUP(D679,'لیست پرسنل'!$B$2:$F$1020,2,FALSE)</f>
        <v>0</v>
      </c>
      <c r="H679" s="127" t="s">
        <v>3451</v>
      </c>
      <c r="I679" s="128" t="s">
        <v>107</v>
      </c>
      <c r="J679" s="126" t="s">
        <v>368</v>
      </c>
      <c r="K679" s="128" t="s">
        <v>2846</v>
      </c>
      <c r="L679" s="128" t="s">
        <v>2383</v>
      </c>
      <c r="M679" s="137">
        <v>628790</v>
      </c>
      <c r="N679" s="108"/>
      <c r="O679" s="19"/>
      <c r="P679" s="20"/>
      <c r="Q679" s="20"/>
    </row>
    <row r="680" spans="1:17" ht="24.9" customHeight="1">
      <c r="A680" s="20">
        <v>362</v>
      </c>
      <c r="B680" s="20" t="s">
        <v>4321</v>
      </c>
      <c r="C680" s="19">
        <v>7</v>
      </c>
      <c r="D680" s="20" t="s">
        <v>43</v>
      </c>
      <c r="E680" s="19" t="str">
        <f>VLOOKUP(D680,'لیست پرسنل'!$B$2:$E$1020,3,FALSE)</f>
        <v>نظارت کارفرما</v>
      </c>
      <c r="F680" s="19">
        <f>VLOOKUP(D680,'لیست پرسنل'!$B$2:$E$1020,4,FALSE)</f>
        <v>0</v>
      </c>
      <c r="G680" s="127">
        <f>VLOOKUP(D680,'لیست پرسنل'!$B$2:$F$1020,2,FALSE)</f>
        <v>0</v>
      </c>
      <c r="H680" s="127" t="s">
        <v>3451</v>
      </c>
      <c r="I680" s="128" t="s">
        <v>107</v>
      </c>
      <c r="J680" s="127" t="s">
        <v>571</v>
      </c>
      <c r="K680" s="127"/>
      <c r="L680" s="158"/>
      <c r="M680" s="138">
        <v>621264</v>
      </c>
      <c r="N680" s="109"/>
      <c r="O680" s="19"/>
      <c r="P680" s="20"/>
      <c r="Q680" s="20"/>
    </row>
    <row r="681" spans="1:17" ht="24.9" customHeight="1">
      <c r="A681" s="20">
        <v>362</v>
      </c>
      <c r="B681" s="20" t="s">
        <v>4321</v>
      </c>
      <c r="C681" s="19">
        <v>7</v>
      </c>
      <c r="D681" s="20" t="s">
        <v>43</v>
      </c>
      <c r="E681" s="19" t="str">
        <f>VLOOKUP(D681,'لیست پرسنل'!$B$2:$E$1020,3,FALSE)</f>
        <v>نظارت کارفرما</v>
      </c>
      <c r="F681" s="19">
        <f>VLOOKUP(D681,'لیست پرسنل'!$B$2:$E$1020,4,FALSE)</f>
        <v>0</v>
      </c>
      <c r="G681" s="127">
        <f>VLOOKUP(D681,'لیست پرسنل'!$B$2:$F$1020,2,FALSE)</f>
        <v>0</v>
      </c>
      <c r="H681" s="127" t="s">
        <v>3451</v>
      </c>
      <c r="I681" s="128" t="s">
        <v>107</v>
      </c>
      <c r="J681" s="128" t="s">
        <v>2686</v>
      </c>
      <c r="K681" s="127" t="s">
        <v>332</v>
      </c>
      <c r="L681" s="158">
        <v>722003009032751</v>
      </c>
      <c r="M681" s="138">
        <v>607694</v>
      </c>
      <c r="N681" s="109"/>
      <c r="O681" s="19"/>
      <c r="P681" s="20"/>
      <c r="Q681" s="20"/>
    </row>
    <row r="682" spans="1:17" ht="24.9" customHeight="1">
      <c r="A682" s="20">
        <v>362</v>
      </c>
      <c r="B682" s="20" t="s">
        <v>4321</v>
      </c>
      <c r="C682" s="19">
        <v>8</v>
      </c>
      <c r="D682" s="20" t="s">
        <v>352</v>
      </c>
      <c r="E682" s="19" t="str">
        <f>VLOOKUP(D682,'لیست پرسنل'!$B$2:$E$1020,3,FALSE)</f>
        <v>نظارت کارفرما</v>
      </c>
      <c r="F682" s="19">
        <f>VLOOKUP(D682,'لیست پرسنل'!$B$2:$E$1020,4,FALSE)</f>
        <v>0</v>
      </c>
      <c r="G682" s="127">
        <f>VLOOKUP(D682,'لیست پرسنل'!$B$2:$F$1020,2,FALSE)</f>
        <v>0</v>
      </c>
      <c r="H682" s="127" t="s">
        <v>3451</v>
      </c>
      <c r="I682" s="128" t="s">
        <v>108</v>
      </c>
      <c r="J682" s="126" t="s">
        <v>368</v>
      </c>
      <c r="K682" s="128" t="s">
        <v>2846</v>
      </c>
      <c r="L682" s="128" t="s">
        <v>2364</v>
      </c>
      <c r="M682" s="128">
        <v>628770</v>
      </c>
      <c r="N682" s="108"/>
      <c r="O682" s="20"/>
      <c r="P682" s="20"/>
      <c r="Q682" s="20"/>
    </row>
    <row r="683" spans="1:17" ht="24.9" customHeight="1">
      <c r="A683" s="20">
        <v>362</v>
      </c>
      <c r="B683" s="20" t="s">
        <v>4321</v>
      </c>
      <c r="C683" s="19">
        <v>8</v>
      </c>
      <c r="D683" s="20" t="s">
        <v>352</v>
      </c>
      <c r="E683" s="19" t="str">
        <f>VLOOKUP(D683,'لیست پرسنل'!$B$2:$E$1020,3,FALSE)</f>
        <v>نظارت کارفرما</v>
      </c>
      <c r="F683" s="19">
        <f>VLOOKUP(D683,'لیست پرسنل'!$B$2:$E$1020,4,FALSE)</f>
        <v>0</v>
      </c>
      <c r="G683" s="127">
        <f>VLOOKUP(D683,'لیست پرسنل'!$B$2:$F$1020,2,FALSE)</f>
        <v>0</v>
      </c>
      <c r="H683" s="127" t="s">
        <v>3451</v>
      </c>
      <c r="I683" s="128" t="s">
        <v>108</v>
      </c>
      <c r="J683" s="127" t="s">
        <v>571</v>
      </c>
      <c r="K683" s="127"/>
      <c r="L683" s="151"/>
      <c r="M683" s="127">
        <v>621263</v>
      </c>
      <c r="N683" s="109"/>
      <c r="O683" s="20"/>
      <c r="P683" s="20"/>
      <c r="Q683" s="20"/>
    </row>
    <row r="684" spans="1:17" ht="24.9" customHeight="1">
      <c r="A684" s="20">
        <v>362</v>
      </c>
      <c r="B684" s="20" t="s">
        <v>4321</v>
      </c>
      <c r="C684" s="19">
        <v>8</v>
      </c>
      <c r="D684" s="20" t="s">
        <v>352</v>
      </c>
      <c r="E684" s="19" t="str">
        <f>VLOOKUP(D684,'لیست پرسنل'!$B$2:$E$1020,3,FALSE)</f>
        <v>نظارت کارفرما</v>
      </c>
      <c r="F684" s="19">
        <f>VLOOKUP(D684,'لیست پرسنل'!$B$2:$E$1020,4,FALSE)</f>
        <v>0</v>
      </c>
      <c r="G684" s="127">
        <f>VLOOKUP(D684,'لیست پرسنل'!$B$2:$F$1020,2,FALSE)</f>
        <v>0</v>
      </c>
      <c r="H684" s="127" t="s">
        <v>3451</v>
      </c>
      <c r="I684" s="128" t="s">
        <v>108</v>
      </c>
      <c r="J684" s="128" t="s">
        <v>2686</v>
      </c>
      <c r="K684" s="127" t="s">
        <v>320</v>
      </c>
      <c r="L684" s="151" t="s">
        <v>952</v>
      </c>
      <c r="M684" s="138">
        <v>603302</v>
      </c>
      <c r="N684" s="109" t="s">
        <v>7233</v>
      </c>
      <c r="O684" s="19"/>
      <c r="P684" s="20"/>
      <c r="Q684" s="20"/>
    </row>
    <row r="685" spans="1:17" ht="24.9" customHeight="1">
      <c r="A685" s="20">
        <v>362</v>
      </c>
      <c r="B685" s="20" t="s">
        <v>4321</v>
      </c>
      <c r="C685" s="19">
        <v>9</v>
      </c>
      <c r="D685" s="19" t="s">
        <v>48</v>
      </c>
      <c r="E685" s="19" t="str">
        <f>VLOOKUP(D685,'لیست پرسنل'!$B$2:$E$1020,3,FALSE)</f>
        <v>فکورصنعت</v>
      </c>
      <c r="F685" s="19" t="str">
        <f>VLOOKUP(D685,'لیست پرسنل'!$B$2:$E$1020,4,FALSE)</f>
        <v>سرپرست آی تی</v>
      </c>
      <c r="G685" s="127">
        <f>VLOOKUP(D685,'لیست پرسنل'!$B$2:$F$1020,2,FALSE)</f>
        <v>2210</v>
      </c>
      <c r="H685" s="151" t="s">
        <v>7920</v>
      </c>
      <c r="I685" s="127" t="s">
        <v>353</v>
      </c>
      <c r="J685" s="127" t="s">
        <v>571</v>
      </c>
      <c r="K685" s="127" t="s">
        <v>5523</v>
      </c>
      <c r="L685" s="158" t="s">
        <v>5525</v>
      </c>
      <c r="M685" s="138">
        <v>629925</v>
      </c>
      <c r="N685" s="109" t="s">
        <v>7921</v>
      </c>
      <c r="O685" s="19"/>
      <c r="P685" s="20"/>
      <c r="Q685" s="20"/>
    </row>
    <row r="686" spans="1:17" ht="24.9" customHeight="1">
      <c r="A686" s="20">
        <v>362</v>
      </c>
      <c r="B686" s="20" t="s">
        <v>4321</v>
      </c>
      <c r="C686" s="19">
        <v>10</v>
      </c>
      <c r="D686" s="20" t="s">
        <v>5115</v>
      </c>
      <c r="E686" s="19" t="str">
        <f>VLOOKUP(D686,'لیست پرسنل'!$B$2:$E$1020,3,FALSE)</f>
        <v>نظارت کارفرما</v>
      </c>
      <c r="F686" s="19" t="str">
        <f>VLOOKUP(D686,'لیست پرسنل'!$B$2:$E$1020,4,FALSE)</f>
        <v>سیویل</v>
      </c>
      <c r="G686" s="127">
        <f>VLOOKUP(D686,'لیست پرسنل'!$B$2:$F$1020,2,FALSE)</f>
        <v>0</v>
      </c>
      <c r="H686" s="127" t="s">
        <v>3451</v>
      </c>
      <c r="I686" s="128" t="s">
        <v>354</v>
      </c>
      <c r="J686" s="127" t="s">
        <v>571</v>
      </c>
      <c r="K686" s="127"/>
      <c r="L686" s="151"/>
      <c r="M686" s="138">
        <v>621259</v>
      </c>
      <c r="N686" s="109"/>
      <c r="O686" s="19"/>
      <c r="P686" s="20"/>
      <c r="Q686" s="20"/>
    </row>
    <row r="687" spans="1:17" ht="24.9" customHeight="1">
      <c r="A687" s="20">
        <v>362</v>
      </c>
      <c r="B687" s="20" t="s">
        <v>4321</v>
      </c>
      <c r="C687" s="19">
        <v>10</v>
      </c>
      <c r="D687" s="20" t="s">
        <v>5115</v>
      </c>
      <c r="E687" s="19" t="str">
        <f>VLOOKUP(D687,'لیست پرسنل'!$B$2:$E$1020,3,FALSE)</f>
        <v>نظارت کارفرما</v>
      </c>
      <c r="F687" s="19" t="str">
        <f>VLOOKUP(D687,'لیست پرسنل'!$B$2:$E$1020,4,FALSE)</f>
        <v>سیویل</v>
      </c>
      <c r="G687" s="127">
        <f>VLOOKUP(D687,'لیست پرسنل'!$B$2:$F$1020,2,FALSE)</f>
        <v>0</v>
      </c>
      <c r="H687" s="127" t="s">
        <v>3451</v>
      </c>
      <c r="I687" s="128" t="s">
        <v>354</v>
      </c>
      <c r="J687" s="128" t="s">
        <v>2686</v>
      </c>
      <c r="K687" s="127" t="s">
        <v>320</v>
      </c>
      <c r="L687" s="151" t="s">
        <v>2729</v>
      </c>
      <c r="M687" s="138">
        <v>604975</v>
      </c>
      <c r="N687" s="109"/>
      <c r="O687" s="19"/>
      <c r="P687" s="20"/>
      <c r="Q687" s="20"/>
    </row>
    <row r="688" spans="1:17" ht="24.9" customHeight="1">
      <c r="A688" s="20">
        <v>362</v>
      </c>
      <c r="B688" s="20" t="s">
        <v>4321</v>
      </c>
      <c r="C688" s="19">
        <v>11</v>
      </c>
      <c r="D688" s="20" t="s">
        <v>1655</v>
      </c>
      <c r="E688" s="19" t="str">
        <f>VLOOKUP(D688,'لیست پرسنل'!$B$2:$E$1020,3,FALSE)</f>
        <v>نظارت کارفرما</v>
      </c>
      <c r="F688" s="19">
        <f>VLOOKUP(D688,'لیست پرسنل'!$B$2:$E$1020,4,FALSE)</f>
        <v>0</v>
      </c>
      <c r="G688" s="127">
        <f>VLOOKUP(D688,'لیست پرسنل'!$B$2:$F$1020,2,FALSE)</f>
        <v>0</v>
      </c>
      <c r="H688" s="127" t="s">
        <v>3451</v>
      </c>
      <c r="I688" s="128" t="s">
        <v>355</v>
      </c>
      <c r="J688" s="127" t="s">
        <v>571</v>
      </c>
      <c r="K688" s="127"/>
      <c r="L688" s="160"/>
      <c r="M688" s="138">
        <v>621258</v>
      </c>
      <c r="N688" s="109"/>
      <c r="O688" s="19"/>
      <c r="P688" s="20"/>
      <c r="Q688" s="20"/>
    </row>
    <row r="689" spans="1:17" ht="24.9" customHeight="1">
      <c r="A689" s="20">
        <v>362</v>
      </c>
      <c r="B689" s="20" t="s">
        <v>4321</v>
      </c>
      <c r="C689" s="19">
        <v>11</v>
      </c>
      <c r="D689" s="20" t="s">
        <v>1655</v>
      </c>
      <c r="E689" s="19" t="str">
        <f>VLOOKUP(D689,'لیست پرسنل'!$B$2:$E$1020,3,FALSE)</f>
        <v>نظارت کارفرما</v>
      </c>
      <c r="F689" s="19">
        <f>VLOOKUP(D689,'لیست پرسنل'!$B$2:$E$1020,4,FALSE)</f>
        <v>0</v>
      </c>
      <c r="G689" s="127">
        <f>VLOOKUP(D689,'لیست پرسنل'!$B$2:$F$1020,2,FALSE)</f>
        <v>0</v>
      </c>
      <c r="H689" s="127" t="s">
        <v>3451</v>
      </c>
      <c r="I689" s="128" t="s">
        <v>355</v>
      </c>
      <c r="J689" s="128" t="s">
        <v>2686</v>
      </c>
      <c r="K689" s="146" t="s">
        <v>358</v>
      </c>
      <c r="L689" s="160">
        <v>307003501013973</v>
      </c>
      <c r="M689" s="138">
        <v>601859</v>
      </c>
      <c r="N689" s="109"/>
      <c r="O689" s="19"/>
      <c r="P689" s="20"/>
      <c r="Q689" s="20"/>
    </row>
    <row r="690" spans="1:17" ht="24.9" customHeight="1">
      <c r="A690" s="20">
        <v>362</v>
      </c>
      <c r="B690" s="20" t="s">
        <v>4321</v>
      </c>
      <c r="C690" s="19">
        <v>12</v>
      </c>
      <c r="D690" s="20" t="s">
        <v>2836</v>
      </c>
      <c r="E690" s="19" t="str">
        <f>VLOOKUP(D690,'لیست پرسنل'!$B$2:$E$1020,3,FALSE)</f>
        <v>نظارت کارفرما</v>
      </c>
      <c r="F690" s="19" t="str">
        <f>VLOOKUP(D690,'لیست پرسنل'!$B$2:$E$1020,4,FALSE)</f>
        <v>DCC</v>
      </c>
      <c r="G690" s="127">
        <f>VLOOKUP(D690,'لیست پرسنل'!$B$2:$F$1020,2,FALSE)</f>
        <v>0</v>
      </c>
      <c r="H690" s="127" t="s">
        <v>3451</v>
      </c>
      <c r="I690" s="128" t="s">
        <v>356</v>
      </c>
      <c r="J690" s="126" t="s">
        <v>368</v>
      </c>
      <c r="K690" s="147" t="s">
        <v>2846</v>
      </c>
      <c r="L690" s="147" t="s">
        <v>2484</v>
      </c>
      <c r="M690" s="137">
        <v>628896</v>
      </c>
      <c r="N690" s="108"/>
      <c r="O690" s="20"/>
      <c r="P690" s="20"/>
      <c r="Q690" s="20"/>
    </row>
    <row r="691" spans="1:17" ht="24.9" customHeight="1">
      <c r="A691" s="20">
        <v>362</v>
      </c>
      <c r="B691" s="20" t="s">
        <v>4321</v>
      </c>
      <c r="C691" s="19">
        <v>12</v>
      </c>
      <c r="D691" s="20" t="s">
        <v>2836</v>
      </c>
      <c r="E691" s="19" t="str">
        <f>VLOOKUP(D691,'لیست پرسنل'!$B$2:$E$1020,3,FALSE)</f>
        <v>نظارت کارفرما</v>
      </c>
      <c r="F691" s="19" t="str">
        <f>VLOOKUP(D691,'لیست پرسنل'!$B$2:$E$1020,4,FALSE)</f>
        <v>DCC</v>
      </c>
      <c r="G691" s="127">
        <f>VLOOKUP(D691,'لیست پرسنل'!$B$2:$F$1020,2,FALSE)</f>
        <v>0</v>
      </c>
      <c r="H691" s="127" t="s">
        <v>3451</v>
      </c>
      <c r="I691" s="128" t="s">
        <v>356</v>
      </c>
      <c r="J691" s="127" t="s">
        <v>571</v>
      </c>
      <c r="K691" s="127"/>
      <c r="L691" s="238"/>
      <c r="M691" s="184">
        <v>603727</v>
      </c>
      <c r="N691" s="108"/>
      <c r="O691" s="20"/>
      <c r="P691" s="20"/>
      <c r="Q691" s="20"/>
    </row>
    <row r="692" spans="1:17" ht="24.9" customHeight="1">
      <c r="A692" s="20">
        <v>362</v>
      </c>
      <c r="B692" s="20" t="s">
        <v>4321</v>
      </c>
      <c r="C692" s="19">
        <v>12</v>
      </c>
      <c r="D692" s="20" t="s">
        <v>2836</v>
      </c>
      <c r="E692" s="19" t="str">
        <f>VLOOKUP(D692,'لیست پرسنل'!$B$2:$E$1020,3,FALSE)</f>
        <v>نظارت کارفرما</v>
      </c>
      <c r="F692" s="19" t="str">
        <f>VLOOKUP(D692,'لیست پرسنل'!$B$2:$E$1020,4,FALSE)</f>
        <v>DCC</v>
      </c>
      <c r="G692" s="127">
        <f>VLOOKUP(D692,'لیست پرسنل'!$B$2:$F$1020,2,FALSE)</f>
        <v>0</v>
      </c>
      <c r="H692" s="127" t="s">
        <v>3451</v>
      </c>
      <c r="I692" s="128" t="s">
        <v>356</v>
      </c>
      <c r="J692" s="128" t="s">
        <v>2686</v>
      </c>
      <c r="K692" s="147" t="s">
        <v>890</v>
      </c>
      <c r="L692" s="150" t="s">
        <v>1248</v>
      </c>
      <c r="M692" s="137">
        <v>608005</v>
      </c>
      <c r="N692" s="108"/>
      <c r="O692" s="20" t="s">
        <v>1249</v>
      </c>
      <c r="P692" s="20"/>
      <c r="Q692" s="20"/>
    </row>
    <row r="693" spans="1:17" ht="24.9" customHeight="1">
      <c r="A693" s="20">
        <v>362</v>
      </c>
      <c r="B693" s="20" t="s">
        <v>4321</v>
      </c>
      <c r="C693" s="19">
        <v>13</v>
      </c>
      <c r="D693" s="19" t="s">
        <v>3453</v>
      </c>
      <c r="E693" s="19" t="str">
        <f>VLOOKUP(D693,'لیست پرسنل'!$B$2:$E$1020,3,FALSE)</f>
        <v>نظارت کارفرما</v>
      </c>
      <c r="F693" s="19" t="str">
        <f>VLOOKUP(D693,'لیست پرسنل'!$B$2:$E$1020,4,FALSE)</f>
        <v>پایپینگ</v>
      </c>
      <c r="G693" s="127">
        <f>VLOOKUP(D693,'لیست پرسنل'!$B$2:$F$1020,2,FALSE)</f>
        <v>0</v>
      </c>
      <c r="H693" s="127" t="s">
        <v>3451</v>
      </c>
      <c r="I693" s="128" t="s">
        <v>357</v>
      </c>
      <c r="J693" s="126" t="s">
        <v>368</v>
      </c>
      <c r="K693" s="135" t="s">
        <v>8248</v>
      </c>
      <c r="L693" s="127" t="s">
        <v>2493</v>
      </c>
      <c r="M693" s="184">
        <v>628905</v>
      </c>
      <c r="N693" s="108"/>
      <c r="O693" s="20" t="s">
        <v>705</v>
      </c>
      <c r="P693" s="20"/>
      <c r="Q693" s="20"/>
    </row>
    <row r="694" spans="1:17" ht="24.9" customHeight="1">
      <c r="A694" s="20">
        <v>362</v>
      </c>
      <c r="B694" s="20" t="s">
        <v>4321</v>
      </c>
      <c r="C694" s="19">
        <v>13</v>
      </c>
      <c r="D694" s="19" t="s">
        <v>3453</v>
      </c>
      <c r="E694" s="19" t="str">
        <f>VLOOKUP(D694,'لیست پرسنل'!$B$2:$E$1020,3,FALSE)</f>
        <v>نظارت کارفرما</v>
      </c>
      <c r="F694" s="19" t="str">
        <f>VLOOKUP(D694,'لیست پرسنل'!$B$2:$E$1020,4,FALSE)</f>
        <v>پایپینگ</v>
      </c>
      <c r="G694" s="127">
        <f>VLOOKUP(D694,'لیست پرسنل'!$B$2:$F$1020,2,FALSE)</f>
        <v>0</v>
      </c>
      <c r="H694" s="127" t="s">
        <v>3451</v>
      </c>
      <c r="I694" s="128" t="s">
        <v>357</v>
      </c>
      <c r="J694" s="127" t="s">
        <v>571</v>
      </c>
      <c r="K694" s="127"/>
      <c r="L694" s="151"/>
      <c r="M694" s="233">
        <v>621261</v>
      </c>
      <c r="N694" s="109"/>
      <c r="O694" s="20"/>
      <c r="P694" s="20"/>
      <c r="Q694" s="20"/>
    </row>
    <row r="695" spans="1:17" ht="24.9" customHeight="1">
      <c r="A695" s="20">
        <v>362</v>
      </c>
      <c r="B695" s="20" t="s">
        <v>4321</v>
      </c>
      <c r="C695" s="19">
        <v>13</v>
      </c>
      <c r="D695" s="19" t="s">
        <v>3453</v>
      </c>
      <c r="E695" s="19" t="str">
        <f>VLOOKUP(D695,'لیست پرسنل'!$B$2:$E$1020,3,FALSE)</f>
        <v>نظارت کارفرما</v>
      </c>
      <c r="F695" s="19" t="str">
        <f>VLOOKUP(D695,'لیست پرسنل'!$B$2:$E$1020,4,FALSE)</f>
        <v>پایپینگ</v>
      </c>
      <c r="G695" s="127">
        <f>VLOOKUP(D695,'لیست پرسنل'!$B$2:$F$1020,2,FALSE)</f>
        <v>0</v>
      </c>
      <c r="H695" s="127" t="s">
        <v>3451</v>
      </c>
      <c r="I695" s="128" t="s">
        <v>357</v>
      </c>
      <c r="J695" s="128" t="s">
        <v>2686</v>
      </c>
      <c r="K695" s="235" t="s">
        <v>332</v>
      </c>
      <c r="L695" s="154" t="s">
        <v>1895</v>
      </c>
      <c r="M695" s="138">
        <v>604613</v>
      </c>
      <c r="N695" s="109"/>
      <c r="O695" s="86"/>
      <c r="P695" s="20"/>
      <c r="Q695" s="66"/>
    </row>
    <row r="696" spans="1:17" ht="24.9" customHeight="1">
      <c r="A696" s="20">
        <v>362</v>
      </c>
      <c r="B696" s="20" t="s">
        <v>4321</v>
      </c>
      <c r="C696" s="19">
        <v>14</v>
      </c>
      <c r="D696" s="20" t="s">
        <v>3454</v>
      </c>
      <c r="E696" s="19" t="str">
        <f>VLOOKUP(D696,'لیست پرسنل'!$B$2:$E$1020,3,FALSE)</f>
        <v>نظارت کارفرما</v>
      </c>
      <c r="F696" s="19" t="str">
        <f>VLOOKUP(D696,'لیست پرسنل'!$B$2:$E$1020,4,FALSE)</f>
        <v>مشاور کارفرما</v>
      </c>
      <c r="G696" s="127">
        <f>VLOOKUP(D696,'لیست پرسنل'!$B$2:$F$1020,2,FALSE)</f>
        <v>0</v>
      </c>
      <c r="H696" s="127" t="s">
        <v>3451</v>
      </c>
      <c r="I696" s="128" t="s">
        <v>613</v>
      </c>
      <c r="J696" s="127" t="s">
        <v>571</v>
      </c>
      <c r="K696" s="128"/>
      <c r="L696" s="128"/>
      <c r="M696" s="137">
        <v>604118</v>
      </c>
      <c r="N696" s="108"/>
      <c r="O696" s="20"/>
      <c r="P696" s="20"/>
      <c r="Q696" s="20"/>
    </row>
    <row r="697" spans="1:17" ht="24.9" customHeight="1">
      <c r="A697" s="20">
        <v>362</v>
      </c>
      <c r="B697" s="20" t="s">
        <v>4321</v>
      </c>
      <c r="C697" s="19">
        <v>14</v>
      </c>
      <c r="D697" s="20" t="s">
        <v>3454</v>
      </c>
      <c r="E697" s="19" t="str">
        <f>VLOOKUP(D697,'لیست پرسنل'!$B$2:$E$1020,3,FALSE)</f>
        <v>نظارت کارفرما</v>
      </c>
      <c r="F697" s="19" t="str">
        <f>VLOOKUP(D697,'لیست پرسنل'!$B$2:$E$1020,4,FALSE)</f>
        <v>مشاور کارفرما</v>
      </c>
      <c r="G697" s="127">
        <f>VLOOKUP(D697,'لیست پرسنل'!$B$2:$F$1020,2,FALSE)</f>
        <v>0</v>
      </c>
      <c r="H697" s="127" t="s">
        <v>3451</v>
      </c>
      <c r="I697" s="128" t="s">
        <v>613</v>
      </c>
      <c r="J697" s="128" t="s">
        <v>2686</v>
      </c>
      <c r="K697" s="128" t="s">
        <v>409</v>
      </c>
      <c r="L697" s="128" t="s">
        <v>463</v>
      </c>
      <c r="M697" s="137">
        <v>610922</v>
      </c>
      <c r="N697" s="108"/>
      <c r="O697" s="20"/>
      <c r="P697" s="20"/>
      <c r="Q697" s="66"/>
    </row>
    <row r="698" spans="1:17" ht="24.9" customHeight="1">
      <c r="A698" s="20">
        <v>362</v>
      </c>
      <c r="B698" s="20" t="s">
        <v>4321</v>
      </c>
      <c r="C698" s="19">
        <v>15</v>
      </c>
      <c r="D698" s="20" t="s">
        <v>2838</v>
      </c>
      <c r="E698" s="19" t="str">
        <f>VLOOKUP(D698,'لیست پرسنل'!$B$2:$E$1020,3,FALSE)</f>
        <v>نظارت کارفرما</v>
      </c>
      <c r="F698" s="19" t="str">
        <f>VLOOKUP(D698,'لیست پرسنل'!$B$2:$E$1020,4,FALSE)</f>
        <v>ایمنی</v>
      </c>
      <c r="G698" s="127">
        <f>VLOOKUP(D698,'لیست پرسنل'!$B$2:$F$1020,2,FALSE)</f>
        <v>0</v>
      </c>
      <c r="H698" s="127" t="s">
        <v>3451</v>
      </c>
      <c r="I698" s="128" t="s">
        <v>618</v>
      </c>
      <c r="J698" s="128" t="s">
        <v>737</v>
      </c>
      <c r="K698" s="237" t="s">
        <v>5756</v>
      </c>
      <c r="L698" s="237" t="s">
        <v>5755</v>
      </c>
      <c r="M698" s="223">
        <v>631747</v>
      </c>
      <c r="N698" s="108"/>
      <c r="O698" s="46"/>
      <c r="P698" s="20"/>
      <c r="Q698" s="66"/>
    </row>
    <row r="699" spans="1:17" ht="24.9" customHeight="1">
      <c r="A699" s="20">
        <v>362</v>
      </c>
      <c r="B699" s="20" t="s">
        <v>4321</v>
      </c>
      <c r="C699" s="19">
        <v>15</v>
      </c>
      <c r="D699" s="20" t="s">
        <v>2838</v>
      </c>
      <c r="E699" s="19" t="str">
        <f>VLOOKUP(D699,'لیست پرسنل'!$B$2:$E$1020,3,FALSE)</f>
        <v>نظارت کارفرما</v>
      </c>
      <c r="F699" s="19" t="str">
        <f>VLOOKUP(D699,'لیست پرسنل'!$B$2:$E$1020,4,FALSE)</f>
        <v>ایمنی</v>
      </c>
      <c r="G699" s="127">
        <f>VLOOKUP(D699,'لیست پرسنل'!$B$2:$F$1020,2,FALSE)</f>
        <v>0</v>
      </c>
      <c r="H699" s="127" t="s">
        <v>3451</v>
      </c>
      <c r="I699" s="128" t="s">
        <v>618</v>
      </c>
      <c r="J699" s="126" t="s">
        <v>368</v>
      </c>
      <c r="K699" s="137" t="s">
        <v>2846</v>
      </c>
      <c r="L699" s="128" t="s">
        <v>2380</v>
      </c>
      <c r="M699" s="137">
        <v>628787</v>
      </c>
      <c r="N699" s="108"/>
      <c r="O699" s="46"/>
      <c r="P699" s="20"/>
      <c r="Q699" s="66"/>
    </row>
    <row r="700" spans="1:17" ht="24.9" customHeight="1">
      <c r="A700" s="20">
        <v>362</v>
      </c>
      <c r="B700" s="20" t="s">
        <v>4321</v>
      </c>
      <c r="C700" s="19">
        <v>15</v>
      </c>
      <c r="D700" s="20" t="s">
        <v>2838</v>
      </c>
      <c r="E700" s="19" t="str">
        <f>VLOOKUP(D700,'لیست پرسنل'!$B$2:$E$1020,3,FALSE)</f>
        <v>نظارت کارفرما</v>
      </c>
      <c r="F700" s="19" t="str">
        <f>VLOOKUP(D700,'لیست پرسنل'!$B$2:$E$1020,4,FALSE)</f>
        <v>ایمنی</v>
      </c>
      <c r="G700" s="127">
        <f>VLOOKUP(D700,'لیست پرسنل'!$B$2:$F$1020,2,FALSE)</f>
        <v>0</v>
      </c>
      <c r="H700" s="127" t="s">
        <v>3451</v>
      </c>
      <c r="I700" s="128" t="s">
        <v>618</v>
      </c>
      <c r="J700" s="141" t="s">
        <v>571</v>
      </c>
      <c r="K700" s="212"/>
      <c r="L700" s="239" t="s">
        <v>2219</v>
      </c>
      <c r="M700" s="128">
        <v>629717</v>
      </c>
      <c r="N700" s="108"/>
      <c r="O700" s="20" t="s">
        <v>705</v>
      </c>
      <c r="P700" s="20"/>
      <c r="Q700" s="20"/>
    </row>
    <row r="701" spans="1:17" ht="24.9" customHeight="1">
      <c r="A701" s="20">
        <v>362</v>
      </c>
      <c r="B701" s="20" t="s">
        <v>4321</v>
      </c>
      <c r="C701" s="19">
        <v>15</v>
      </c>
      <c r="D701" s="20" t="s">
        <v>2838</v>
      </c>
      <c r="E701" s="19" t="str">
        <f>VLOOKUP(D701,'لیست پرسنل'!$B$2:$E$1020,3,FALSE)</f>
        <v>نظارت کارفرما</v>
      </c>
      <c r="F701" s="19" t="str">
        <f>VLOOKUP(D701,'لیست پرسنل'!$B$2:$E$1020,4,FALSE)</f>
        <v>ایمنی</v>
      </c>
      <c r="G701" s="127">
        <f>VLOOKUP(D701,'لیست پرسنل'!$B$2:$F$1020,2,FALSE)</f>
        <v>0</v>
      </c>
      <c r="H701" s="127" t="s">
        <v>3451</v>
      </c>
      <c r="I701" s="128" t="s">
        <v>618</v>
      </c>
      <c r="J701" s="128" t="s">
        <v>2686</v>
      </c>
      <c r="K701" s="128" t="s">
        <v>2922</v>
      </c>
      <c r="L701" s="127" t="s">
        <v>2986</v>
      </c>
      <c r="M701" s="128">
        <v>626468</v>
      </c>
      <c r="N701" s="108"/>
      <c r="O701" s="20" t="s">
        <v>705</v>
      </c>
      <c r="P701" s="20"/>
      <c r="Q701" s="20"/>
    </row>
    <row r="702" spans="1:17" ht="24.9" customHeight="1">
      <c r="A702" s="20">
        <v>362</v>
      </c>
      <c r="B702" s="20" t="s">
        <v>4321</v>
      </c>
      <c r="C702" s="20">
        <v>16</v>
      </c>
      <c r="D702" s="20" t="s">
        <v>7914</v>
      </c>
      <c r="E702" s="19" t="str">
        <f>VLOOKUP(D702,'لیست پرسنل'!$B$2:$E$1020,3,FALSE)</f>
        <v>گهر نشاط</v>
      </c>
      <c r="F702" s="19" t="str">
        <f>VLOOKUP(D702,'لیست پرسنل'!$B$2:$E$1020,4,FALSE)</f>
        <v>بهداری</v>
      </c>
      <c r="G702" s="127">
        <f>VLOOKUP(D702,'لیست پرسنل'!$B$2:$F$1020,2,FALSE)</f>
        <v>0</v>
      </c>
      <c r="H702" s="126" t="s">
        <v>3487</v>
      </c>
      <c r="I702" s="128" t="s">
        <v>7961</v>
      </c>
      <c r="J702" s="126" t="s">
        <v>368</v>
      </c>
      <c r="K702" s="147" t="s">
        <v>8248</v>
      </c>
      <c r="L702" s="146" t="s">
        <v>2286</v>
      </c>
      <c r="M702" s="128">
        <v>628691</v>
      </c>
      <c r="N702" s="108" t="s">
        <v>6840</v>
      </c>
      <c r="O702" s="20" t="s">
        <v>705</v>
      </c>
      <c r="P702" s="20"/>
      <c r="Q702" s="20"/>
    </row>
    <row r="703" spans="1:17" ht="24.9" customHeight="1">
      <c r="A703" s="20">
        <v>362</v>
      </c>
      <c r="B703" s="19" t="s">
        <v>4321</v>
      </c>
      <c r="C703" s="19">
        <v>16</v>
      </c>
      <c r="D703" s="19" t="s">
        <v>7914</v>
      </c>
      <c r="E703" s="19" t="str">
        <f>VLOOKUP(D703,'لیست پرسنل'!$B$2:$E$1020,3,FALSE)</f>
        <v>گهر نشاط</v>
      </c>
      <c r="F703" s="19" t="str">
        <f>VLOOKUP(D703,'لیست پرسنل'!$B$2:$E$1020,4,FALSE)</f>
        <v>بهداری</v>
      </c>
      <c r="G703" s="127">
        <f>VLOOKUP(D703,'لیست پرسنل'!$B$2:$F$1020,2,FALSE)</f>
        <v>0</v>
      </c>
      <c r="H703" s="128" t="s">
        <v>6057</v>
      </c>
      <c r="I703" s="127" t="s">
        <v>7961</v>
      </c>
      <c r="J703" s="127" t="s">
        <v>571</v>
      </c>
      <c r="K703" s="128" t="s">
        <v>2219</v>
      </c>
      <c r="L703" s="154"/>
      <c r="M703" s="127">
        <v>627704</v>
      </c>
      <c r="N703" s="109" t="s">
        <v>6840</v>
      </c>
      <c r="O703" s="20"/>
      <c r="P703" s="20"/>
      <c r="Q703" s="20"/>
    </row>
    <row r="704" spans="1:17" ht="24.9" customHeight="1">
      <c r="A704" s="20">
        <v>362</v>
      </c>
      <c r="B704" s="20" t="s">
        <v>4321</v>
      </c>
      <c r="C704" s="19">
        <v>17</v>
      </c>
      <c r="D704" s="20" t="s">
        <v>3455</v>
      </c>
      <c r="E704" s="19" t="str">
        <f>VLOOKUP(D704,'لیست پرسنل'!$B$2:$E$1020,3,FALSE)</f>
        <v>نظارت کارفرما</v>
      </c>
      <c r="F704" s="19" t="str">
        <f>VLOOKUP(D704,'لیست پرسنل'!$B$2:$E$1020,4,FALSE)</f>
        <v>کنترل پروژه</v>
      </c>
      <c r="G704" s="127">
        <f>VLOOKUP(D704,'لیست پرسنل'!$B$2:$F$1020,2,FALSE)</f>
        <v>0</v>
      </c>
      <c r="H704" s="127" t="s">
        <v>3451</v>
      </c>
      <c r="I704" s="128" t="s">
        <v>900</v>
      </c>
      <c r="J704" s="126" t="s">
        <v>368</v>
      </c>
      <c r="K704" s="128" t="s">
        <v>2846</v>
      </c>
      <c r="L704" s="128" t="s">
        <v>2481</v>
      </c>
      <c r="M704" s="128">
        <v>628893</v>
      </c>
      <c r="N704" s="108"/>
      <c r="O704" s="20"/>
      <c r="P704" s="20"/>
      <c r="Q704" s="20"/>
    </row>
    <row r="705" spans="1:17" ht="24.9" customHeight="1">
      <c r="A705" s="20">
        <v>362</v>
      </c>
      <c r="B705" s="20" t="s">
        <v>4321</v>
      </c>
      <c r="C705" s="19">
        <v>17</v>
      </c>
      <c r="D705" s="20" t="s">
        <v>3455</v>
      </c>
      <c r="E705" s="19" t="str">
        <f>VLOOKUP(D705,'لیست پرسنل'!$B$2:$E$1020,3,FALSE)</f>
        <v>نظارت کارفرما</v>
      </c>
      <c r="F705" s="19" t="str">
        <f>VLOOKUP(D705,'لیست پرسنل'!$B$2:$E$1020,4,FALSE)</f>
        <v>کنترل پروژه</v>
      </c>
      <c r="G705" s="127">
        <f>VLOOKUP(D705,'لیست پرسنل'!$B$2:$F$1020,2,FALSE)</f>
        <v>0</v>
      </c>
      <c r="H705" s="127" t="s">
        <v>3451</v>
      </c>
      <c r="I705" s="128" t="s">
        <v>900</v>
      </c>
      <c r="J705" s="141" t="s">
        <v>571</v>
      </c>
      <c r="K705" s="135" t="s">
        <v>1951</v>
      </c>
      <c r="L705" s="165" t="s">
        <v>2219</v>
      </c>
      <c r="M705" s="128">
        <v>629907</v>
      </c>
      <c r="N705" s="108"/>
      <c r="O705" s="20" t="s">
        <v>705</v>
      </c>
      <c r="P705" s="20"/>
      <c r="Q705" s="20"/>
    </row>
    <row r="706" spans="1:17" ht="24.9" customHeight="1">
      <c r="A706" s="20">
        <v>362</v>
      </c>
      <c r="B706" s="20" t="s">
        <v>4321</v>
      </c>
      <c r="C706" s="19">
        <v>17</v>
      </c>
      <c r="D706" s="20" t="s">
        <v>3455</v>
      </c>
      <c r="E706" s="19" t="str">
        <f>VLOOKUP(D706,'لیست پرسنل'!$B$2:$E$1020,3,FALSE)</f>
        <v>نظارت کارفرما</v>
      </c>
      <c r="F706" s="19" t="str">
        <f>VLOOKUP(D706,'لیست پرسنل'!$B$2:$E$1020,4,FALSE)</f>
        <v>کنترل پروژه</v>
      </c>
      <c r="G706" s="127">
        <f>VLOOKUP(D706,'لیست پرسنل'!$B$2:$F$1020,2,FALSE)</f>
        <v>0</v>
      </c>
      <c r="H706" s="127" t="s">
        <v>3451</v>
      </c>
      <c r="I706" s="128" t="s">
        <v>900</v>
      </c>
      <c r="J706" s="128" t="s">
        <v>2686</v>
      </c>
      <c r="K706" s="127" t="s">
        <v>332</v>
      </c>
      <c r="L706" s="150" t="s">
        <v>1106</v>
      </c>
      <c r="M706" s="128">
        <v>603223</v>
      </c>
      <c r="N706" s="108"/>
      <c r="O706" s="20"/>
      <c r="P706" s="20"/>
      <c r="Q706" s="20"/>
    </row>
    <row r="707" spans="1:17" ht="24.9" customHeight="1">
      <c r="A707" s="20">
        <v>362</v>
      </c>
      <c r="B707" s="20" t="s">
        <v>4321</v>
      </c>
      <c r="C707" s="19">
        <v>18</v>
      </c>
      <c r="D707" s="20" t="s">
        <v>3456</v>
      </c>
      <c r="E707" s="19" t="str">
        <f>VLOOKUP(D707,'لیست پرسنل'!$B$2:$E$1020,3,FALSE)</f>
        <v>نظارت کارفرما</v>
      </c>
      <c r="F707" s="19" t="str">
        <f>VLOOKUP(D707,'لیست پرسنل'!$B$2:$E$1020,4,FALSE)</f>
        <v>مکانیک</v>
      </c>
      <c r="G707" s="127">
        <f>VLOOKUP(D707,'لیست پرسنل'!$B$2:$F$1020,2,FALSE)</f>
        <v>0</v>
      </c>
      <c r="H707" s="127" t="s">
        <v>3451</v>
      </c>
      <c r="I707" s="128" t="s">
        <v>902</v>
      </c>
      <c r="J707" s="126" t="s">
        <v>368</v>
      </c>
      <c r="K707" s="127" t="s">
        <v>2846</v>
      </c>
      <c r="L707" s="128" t="s">
        <v>2381</v>
      </c>
      <c r="M707" s="128">
        <v>628788</v>
      </c>
      <c r="N707" s="108"/>
      <c r="O707" s="20"/>
      <c r="P707" s="20"/>
      <c r="Q707" s="20"/>
    </row>
    <row r="708" spans="1:17" ht="24.9" customHeight="1">
      <c r="A708" s="20">
        <v>362</v>
      </c>
      <c r="B708" s="20" t="s">
        <v>4321</v>
      </c>
      <c r="C708" s="19">
        <v>18</v>
      </c>
      <c r="D708" s="20" t="s">
        <v>3456</v>
      </c>
      <c r="E708" s="19" t="str">
        <f>VLOOKUP(D708,'لیست پرسنل'!$B$2:$E$1020,3,FALSE)</f>
        <v>نظارت کارفرما</v>
      </c>
      <c r="F708" s="19" t="str">
        <f>VLOOKUP(D708,'لیست پرسنل'!$B$2:$E$1020,4,FALSE)</f>
        <v>مکانیک</v>
      </c>
      <c r="G708" s="127">
        <f>VLOOKUP(D708,'لیست پرسنل'!$B$2:$F$1020,2,FALSE)</f>
        <v>0</v>
      </c>
      <c r="H708" s="127" t="s">
        <v>3451</v>
      </c>
      <c r="I708" s="128" t="s">
        <v>902</v>
      </c>
      <c r="J708" s="127" t="s">
        <v>571</v>
      </c>
      <c r="K708" s="127"/>
      <c r="L708" s="150"/>
      <c r="M708" s="128">
        <v>609500</v>
      </c>
      <c r="N708" s="108"/>
      <c r="O708" s="20"/>
      <c r="P708" s="20"/>
      <c r="Q708" s="20"/>
    </row>
    <row r="709" spans="1:17" ht="24.9" customHeight="1">
      <c r="A709" s="20">
        <v>362</v>
      </c>
      <c r="B709" s="20" t="s">
        <v>4321</v>
      </c>
      <c r="C709" s="19">
        <v>18</v>
      </c>
      <c r="D709" s="20" t="s">
        <v>3456</v>
      </c>
      <c r="E709" s="19" t="str">
        <f>VLOOKUP(D709,'لیست پرسنل'!$B$2:$E$1020,3,FALSE)</f>
        <v>نظارت کارفرما</v>
      </c>
      <c r="F709" s="19" t="str">
        <f>VLOOKUP(D709,'لیست پرسنل'!$B$2:$E$1020,4,FALSE)</f>
        <v>مکانیک</v>
      </c>
      <c r="G709" s="127">
        <f>VLOOKUP(D709,'لیست پرسنل'!$B$2:$F$1020,2,FALSE)</f>
        <v>0</v>
      </c>
      <c r="H709" s="127" t="s">
        <v>3451</v>
      </c>
      <c r="I709" s="128" t="s">
        <v>902</v>
      </c>
      <c r="J709" s="128" t="s">
        <v>2686</v>
      </c>
      <c r="K709" s="127" t="s">
        <v>332</v>
      </c>
      <c r="L709" s="150" t="s">
        <v>1279</v>
      </c>
      <c r="M709" s="128">
        <v>604766</v>
      </c>
      <c r="N709" s="108"/>
      <c r="O709" s="20"/>
      <c r="P709" s="20"/>
      <c r="Q709" s="20"/>
    </row>
    <row r="710" spans="1:17" ht="24.9" customHeight="1">
      <c r="A710" s="20">
        <v>362</v>
      </c>
      <c r="B710" s="20" t="s">
        <v>4321</v>
      </c>
      <c r="C710" s="19">
        <v>19</v>
      </c>
      <c r="D710" s="20" t="s">
        <v>3457</v>
      </c>
      <c r="E710" s="19" t="str">
        <f>VLOOKUP(D710,'لیست پرسنل'!$B$2:$E$1020,3,FALSE)</f>
        <v>نظارت کارفرما</v>
      </c>
      <c r="F710" s="19" t="str">
        <f>VLOOKUP(D710,'لیست پرسنل'!$B$2:$E$1020,4,FALSE)</f>
        <v>مکانیک</v>
      </c>
      <c r="G710" s="127">
        <f>VLOOKUP(D710,'لیست پرسنل'!$B$2:$F$1020,2,FALSE)</f>
        <v>0</v>
      </c>
      <c r="H710" s="127" t="s">
        <v>3451</v>
      </c>
      <c r="I710" s="128" t="s">
        <v>1171</v>
      </c>
      <c r="J710" s="127" t="s">
        <v>571</v>
      </c>
      <c r="K710" s="127"/>
      <c r="L710" s="150"/>
      <c r="M710" s="128">
        <v>621260</v>
      </c>
      <c r="N710" s="108"/>
      <c r="O710" s="20"/>
      <c r="P710" s="20"/>
      <c r="Q710" s="20"/>
    </row>
    <row r="711" spans="1:17" ht="24.9" customHeight="1">
      <c r="A711" s="20">
        <v>362</v>
      </c>
      <c r="B711" s="20" t="s">
        <v>4321</v>
      </c>
      <c r="C711" s="19">
        <v>19</v>
      </c>
      <c r="D711" s="20" t="s">
        <v>3457</v>
      </c>
      <c r="E711" s="19" t="str">
        <f>VLOOKUP(D711,'لیست پرسنل'!$B$2:$E$1020,3,FALSE)</f>
        <v>نظارت کارفرما</v>
      </c>
      <c r="F711" s="19" t="str">
        <f>VLOOKUP(D711,'لیست پرسنل'!$B$2:$E$1020,4,FALSE)</f>
        <v>مکانیک</v>
      </c>
      <c r="G711" s="127">
        <f>VLOOKUP(D711,'لیست پرسنل'!$B$2:$F$1020,2,FALSE)</f>
        <v>0</v>
      </c>
      <c r="H711" s="127" t="s">
        <v>3451</v>
      </c>
      <c r="I711" s="128" t="s">
        <v>1171</v>
      </c>
      <c r="J711" s="128" t="s">
        <v>2686</v>
      </c>
      <c r="K711" s="127" t="s">
        <v>332</v>
      </c>
      <c r="L711" s="150" t="s">
        <v>1153</v>
      </c>
      <c r="M711" s="128">
        <v>604242</v>
      </c>
      <c r="N711" s="108"/>
      <c r="O711" s="20"/>
      <c r="P711" s="20"/>
      <c r="Q711" s="20"/>
    </row>
    <row r="712" spans="1:17" ht="24.9" customHeight="1">
      <c r="A712" s="20">
        <v>362</v>
      </c>
      <c r="B712" s="20" t="s">
        <v>4321</v>
      </c>
      <c r="C712" s="19">
        <v>20</v>
      </c>
      <c r="D712" s="20" t="s">
        <v>3458</v>
      </c>
      <c r="E712" s="19" t="str">
        <f>VLOOKUP(D712,'لیست پرسنل'!$B$2:$E$1020,3,FALSE)</f>
        <v>نظارت کارفرما</v>
      </c>
      <c r="F712" s="19" t="str">
        <f>VLOOKUP(D712,'لیست پرسنل'!$B$2:$E$1020,4,FALSE)</f>
        <v>برق</v>
      </c>
      <c r="G712" s="127">
        <f>VLOOKUP(D712,'لیست پرسنل'!$B$2:$F$1020,2,FALSE)</f>
        <v>0</v>
      </c>
      <c r="H712" s="127" t="s">
        <v>3451</v>
      </c>
      <c r="I712" s="128" t="s">
        <v>1487</v>
      </c>
      <c r="J712" s="126" t="s">
        <v>368</v>
      </c>
      <c r="K712" s="128" t="s">
        <v>2846</v>
      </c>
      <c r="L712" s="128" t="s">
        <v>2385</v>
      </c>
      <c r="M712" s="128">
        <v>628792</v>
      </c>
      <c r="N712" s="108"/>
      <c r="O712" s="20"/>
      <c r="P712" s="20"/>
      <c r="Q712" s="20"/>
    </row>
    <row r="713" spans="1:17" ht="24.9" customHeight="1">
      <c r="A713" s="20">
        <v>362</v>
      </c>
      <c r="B713" s="20" t="s">
        <v>4321</v>
      </c>
      <c r="C713" s="19">
        <v>20</v>
      </c>
      <c r="D713" s="20" t="s">
        <v>3458</v>
      </c>
      <c r="E713" s="19" t="str">
        <f>VLOOKUP(D713,'لیست پرسنل'!$B$2:$E$1020,3,FALSE)</f>
        <v>نظارت کارفرما</v>
      </c>
      <c r="F713" s="19" t="str">
        <f>VLOOKUP(D713,'لیست پرسنل'!$B$2:$E$1020,4,FALSE)</f>
        <v>برق</v>
      </c>
      <c r="G713" s="127">
        <f>VLOOKUP(D713,'لیست پرسنل'!$B$2:$F$1020,2,FALSE)</f>
        <v>0</v>
      </c>
      <c r="H713" s="127" t="s">
        <v>3451</v>
      </c>
      <c r="I713" s="128" t="s">
        <v>1487</v>
      </c>
      <c r="J713" s="127" t="s">
        <v>571</v>
      </c>
      <c r="K713" s="175"/>
      <c r="L713" s="151"/>
      <c r="M713" s="128">
        <v>624579</v>
      </c>
      <c r="N713" s="108"/>
      <c r="O713" s="20"/>
      <c r="P713" s="20"/>
      <c r="Q713" s="20"/>
    </row>
    <row r="714" spans="1:17" ht="24.9" customHeight="1">
      <c r="A714" s="20">
        <v>362</v>
      </c>
      <c r="B714" s="20" t="s">
        <v>4321</v>
      </c>
      <c r="C714" s="20">
        <v>20</v>
      </c>
      <c r="D714" s="20" t="s">
        <v>3458</v>
      </c>
      <c r="E714" s="19" t="str">
        <f>VLOOKUP(D714,'لیست پرسنل'!$B$2:$E$1020,3,FALSE)</f>
        <v>نظارت کارفرما</v>
      </c>
      <c r="F714" s="19" t="str">
        <f>VLOOKUP(D714,'لیست پرسنل'!$B$2:$E$1020,4,FALSE)</f>
        <v>برق</v>
      </c>
      <c r="G714" s="127">
        <f>VLOOKUP(D714,'لیست پرسنل'!$B$2:$F$1020,2,FALSE)</f>
        <v>0</v>
      </c>
      <c r="H714" s="128" t="s">
        <v>3451</v>
      </c>
      <c r="I714" s="128" t="s">
        <v>1487</v>
      </c>
      <c r="J714" s="128" t="s">
        <v>2686</v>
      </c>
      <c r="K714" s="128" t="s">
        <v>721</v>
      </c>
      <c r="L714" s="128" t="s">
        <v>1982</v>
      </c>
      <c r="M714" s="127">
        <v>633643</v>
      </c>
      <c r="N714" s="108" t="s">
        <v>6259</v>
      </c>
      <c r="O714" s="19" t="s">
        <v>6304</v>
      </c>
      <c r="P714" s="32"/>
      <c r="Q714" s="32"/>
    </row>
    <row r="715" spans="1:17" ht="24.9" customHeight="1">
      <c r="A715" s="20">
        <v>362</v>
      </c>
      <c r="B715" s="20" t="s">
        <v>4321</v>
      </c>
      <c r="C715" s="19">
        <v>21</v>
      </c>
      <c r="D715" s="20" t="s">
        <v>4700</v>
      </c>
      <c r="E715" s="19" t="str">
        <f>VLOOKUP(D715,'لیست پرسنل'!$B$2:$E$1020,3,FALSE)</f>
        <v>کارفرما توسعه فولاد (362)</v>
      </c>
      <c r="F715" s="19">
        <f>VLOOKUP(D715,'لیست پرسنل'!$B$2:$E$1020,4,FALSE)</f>
        <v>0</v>
      </c>
      <c r="G715" s="127">
        <f>VLOOKUP(D715,'لیست پرسنل'!$B$2:$F$1020,2,FALSE)</f>
        <v>0</v>
      </c>
      <c r="H715" s="127" t="s">
        <v>3451</v>
      </c>
      <c r="I715" s="128" t="s">
        <v>1488</v>
      </c>
      <c r="J715" s="127" t="s">
        <v>571</v>
      </c>
      <c r="K715" s="127"/>
      <c r="L715" s="151"/>
      <c r="M715" s="128">
        <v>624583</v>
      </c>
      <c r="N715" s="108"/>
      <c r="O715" s="20"/>
      <c r="P715" s="20"/>
      <c r="Q715" s="20"/>
    </row>
    <row r="716" spans="1:17" ht="24.9" customHeight="1">
      <c r="A716" s="20">
        <v>362</v>
      </c>
      <c r="B716" s="20" t="s">
        <v>4321</v>
      </c>
      <c r="C716" s="19">
        <v>21</v>
      </c>
      <c r="D716" s="20" t="s">
        <v>4700</v>
      </c>
      <c r="E716" s="19" t="str">
        <f>VLOOKUP(D716,'لیست پرسنل'!$B$2:$E$1020,3,FALSE)</f>
        <v>کارفرما توسعه فولاد (362)</v>
      </c>
      <c r="F716" s="19">
        <f>VLOOKUP(D716,'لیست پرسنل'!$B$2:$E$1020,4,FALSE)</f>
        <v>0</v>
      </c>
      <c r="G716" s="127">
        <f>VLOOKUP(D716,'لیست پرسنل'!$B$2:$F$1020,2,FALSE)</f>
        <v>0</v>
      </c>
      <c r="H716" s="127" t="s">
        <v>3451</v>
      </c>
      <c r="I716" s="128" t="s">
        <v>1488</v>
      </c>
      <c r="J716" s="128" t="s">
        <v>2686</v>
      </c>
      <c r="K716" s="127" t="s">
        <v>332</v>
      </c>
      <c r="L716" s="151" t="s">
        <v>1587</v>
      </c>
      <c r="M716" s="127">
        <v>604321</v>
      </c>
      <c r="N716" s="109"/>
      <c r="O716" s="20"/>
      <c r="P716" s="20"/>
      <c r="Q716" s="20"/>
    </row>
    <row r="717" spans="1:17" ht="24.9" customHeight="1">
      <c r="A717" s="20">
        <v>362</v>
      </c>
      <c r="B717" s="20" t="s">
        <v>4321</v>
      </c>
      <c r="C717" s="20">
        <v>22</v>
      </c>
      <c r="D717" s="20" t="s">
        <v>5050</v>
      </c>
      <c r="E717" s="19" t="str">
        <f>VLOOKUP(D717,'لیست پرسنل'!$B$2:$E$1020,3,FALSE)</f>
        <v>نظارت کارفرما</v>
      </c>
      <c r="F717" s="19" t="str">
        <f>VLOOKUP(D717,'لیست پرسنل'!$B$2:$E$1020,4,FALSE)</f>
        <v>نظارت کارفرما</v>
      </c>
      <c r="G717" s="127" t="str">
        <f>VLOOKUP(D717,'لیست پرسنل'!$B$2:$F$1020,2,FALSE)</f>
        <v>0</v>
      </c>
      <c r="H717" s="127" t="s">
        <v>3451</v>
      </c>
      <c r="I717" s="165" t="s">
        <v>1506</v>
      </c>
      <c r="J717" s="141" t="s">
        <v>571</v>
      </c>
      <c r="K717" s="131" t="s">
        <v>571</v>
      </c>
      <c r="L717" s="165"/>
      <c r="M717" s="128">
        <v>624636</v>
      </c>
      <c r="N717" s="108"/>
      <c r="O717" s="20"/>
      <c r="P717" s="20"/>
      <c r="Q717" s="20"/>
    </row>
    <row r="718" spans="1:17" ht="24.9" customHeight="1">
      <c r="A718" s="20">
        <v>362</v>
      </c>
      <c r="B718" s="20" t="s">
        <v>4321</v>
      </c>
      <c r="C718" s="20">
        <v>22</v>
      </c>
      <c r="D718" s="20" t="s">
        <v>5050</v>
      </c>
      <c r="E718" s="19" t="str">
        <f>VLOOKUP(D718,'لیست پرسنل'!$B$2:$E$1020,3,FALSE)</f>
        <v>نظارت کارفرما</v>
      </c>
      <c r="F718" s="19" t="str">
        <f>VLOOKUP(D718,'لیست پرسنل'!$B$2:$E$1020,4,FALSE)</f>
        <v>نظارت کارفرما</v>
      </c>
      <c r="G718" s="127" t="str">
        <f>VLOOKUP(D718,'لیست پرسنل'!$B$2:$F$1020,2,FALSE)</f>
        <v>0</v>
      </c>
      <c r="H718" s="127" t="s">
        <v>3451</v>
      </c>
      <c r="I718" s="165" t="s">
        <v>1506</v>
      </c>
      <c r="J718" s="128" t="s">
        <v>2686</v>
      </c>
      <c r="K718" s="135" t="s">
        <v>890</v>
      </c>
      <c r="L718" s="154" t="s">
        <v>1884</v>
      </c>
      <c r="M718" s="127">
        <v>607267</v>
      </c>
      <c r="N718" s="109"/>
      <c r="O718" s="19"/>
      <c r="P718" s="20"/>
      <c r="Q718" s="20"/>
    </row>
    <row r="719" spans="1:17" ht="24.9" customHeight="1">
      <c r="A719" s="20">
        <v>362</v>
      </c>
      <c r="B719" s="20" t="s">
        <v>4321</v>
      </c>
      <c r="C719" s="19">
        <v>23</v>
      </c>
      <c r="D719" s="20" t="s">
        <v>4431</v>
      </c>
      <c r="E719" s="19" t="str">
        <f>VLOOKUP(D719,'لیست پرسنل'!$B$2:$E$1020,3,FALSE)</f>
        <v>نظارت کارفرما</v>
      </c>
      <c r="F719" s="19">
        <f>VLOOKUP(D719,'لیست پرسنل'!$B$2:$E$1020,4,FALSE)</f>
        <v>0</v>
      </c>
      <c r="G719" s="127">
        <f>VLOOKUP(D719,'لیست پرسنل'!$B$2:$F$1020,2,FALSE)</f>
        <v>0</v>
      </c>
      <c r="H719" s="127" t="s">
        <v>3451</v>
      </c>
      <c r="I719" s="128" t="s">
        <v>1507</v>
      </c>
      <c r="J719" s="127" t="s">
        <v>571</v>
      </c>
      <c r="K719" s="127"/>
      <c r="L719" s="151"/>
      <c r="M719" s="128">
        <v>624578</v>
      </c>
      <c r="N719" s="108"/>
      <c r="O719" s="20"/>
      <c r="P719" s="20"/>
      <c r="Q719" s="20"/>
    </row>
    <row r="720" spans="1:17" ht="24.9" customHeight="1">
      <c r="A720" s="20">
        <v>362</v>
      </c>
      <c r="B720" s="20" t="s">
        <v>4321</v>
      </c>
      <c r="C720" s="19">
        <v>23</v>
      </c>
      <c r="D720" s="20" t="s">
        <v>4431</v>
      </c>
      <c r="E720" s="19" t="str">
        <f>VLOOKUP(D720,'لیست پرسنل'!$B$2:$E$1020,3,FALSE)</f>
        <v>نظارت کارفرما</v>
      </c>
      <c r="F720" s="19">
        <f>VLOOKUP(D720,'لیست پرسنل'!$B$2:$E$1020,4,FALSE)</f>
        <v>0</v>
      </c>
      <c r="G720" s="127">
        <f>VLOOKUP(D720,'لیست پرسنل'!$B$2:$F$1020,2,FALSE)</f>
        <v>0</v>
      </c>
      <c r="H720" s="127" t="s">
        <v>3451</v>
      </c>
      <c r="I720" s="128" t="s">
        <v>1507</v>
      </c>
      <c r="J720" s="128" t="s">
        <v>2686</v>
      </c>
      <c r="K720" s="127" t="s">
        <v>332</v>
      </c>
      <c r="L720" s="151" t="s">
        <v>1154</v>
      </c>
      <c r="M720" s="127">
        <v>610551</v>
      </c>
      <c r="N720" s="109"/>
      <c r="O720" s="20"/>
      <c r="P720" s="20"/>
      <c r="Q720" s="20"/>
    </row>
    <row r="721" spans="1:17" ht="24.9" customHeight="1">
      <c r="A721" s="20">
        <v>362</v>
      </c>
      <c r="B721" s="20" t="s">
        <v>4321</v>
      </c>
      <c r="C721" s="19">
        <v>24</v>
      </c>
      <c r="D721" s="20" t="s">
        <v>3900</v>
      </c>
      <c r="E721" s="19" t="str">
        <f>VLOOKUP(D721,'لیست پرسنل'!$B$2:$E$1020,3,FALSE)</f>
        <v>نظارت کارفرما</v>
      </c>
      <c r="F721" s="19" t="str">
        <f>VLOOKUP(D721,'لیست پرسنل'!$B$2:$E$1020,4,FALSE)</f>
        <v>مکانیک</v>
      </c>
      <c r="G721" s="127">
        <f>VLOOKUP(D721,'لیست پرسنل'!$B$2:$F$1020,2,FALSE)</f>
        <v>0</v>
      </c>
      <c r="H721" s="127" t="s">
        <v>3451</v>
      </c>
      <c r="I721" s="128" t="s">
        <v>1605</v>
      </c>
      <c r="J721" s="126" t="s">
        <v>368</v>
      </c>
      <c r="K721" s="135" t="s">
        <v>8248</v>
      </c>
      <c r="L721" s="127" t="s">
        <v>2433</v>
      </c>
      <c r="M721" s="128">
        <v>628840</v>
      </c>
      <c r="N721" s="108"/>
      <c r="O721" s="19"/>
      <c r="P721" s="20"/>
      <c r="Q721" s="20"/>
    </row>
    <row r="722" spans="1:17" ht="24.9" customHeight="1">
      <c r="A722" s="20">
        <v>362</v>
      </c>
      <c r="B722" s="20" t="s">
        <v>4321</v>
      </c>
      <c r="C722" s="19">
        <v>24</v>
      </c>
      <c r="D722" s="20" t="s">
        <v>3900</v>
      </c>
      <c r="E722" s="19" t="str">
        <f>VLOOKUP(D722,'لیست پرسنل'!$B$2:$E$1020,3,FALSE)</f>
        <v>نظارت کارفرما</v>
      </c>
      <c r="F722" s="19" t="str">
        <f>VLOOKUP(D722,'لیست پرسنل'!$B$2:$E$1020,4,FALSE)</f>
        <v>مکانیک</v>
      </c>
      <c r="G722" s="127">
        <f>VLOOKUP(D722,'لیست پرسنل'!$B$2:$F$1020,2,FALSE)</f>
        <v>0</v>
      </c>
      <c r="H722" s="127" t="s">
        <v>3451</v>
      </c>
      <c r="I722" s="128" t="s">
        <v>1605</v>
      </c>
      <c r="J722" s="127" t="s">
        <v>571</v>
      </c>
      <c r="K722" s="127" t="s">
        <v>2219</v>
      </c>
      <c r="L722" s="151"/>
      <c r="M722" s="128">
        <v>624108</v>
      </c>
      <c r="N722" s="108"/>
      <c r="O722" s="20"/>
      <c r="P722" s="20"/>
      <c r="Q722" s="20"/>
    </row>
    <row r="723" spans="1:17" ht="24.9" customHeight="1">
      <c r="A723" s="20">
        <v>362</v>
      </c>
      <c r="B723" s="20" t="s">
        <v>4321</v>
      </c>
      <c r="C723" s="19">
        <v>24</v>
      </c>
      <c r="D723" s="20" t="s">
        <v>3900</v>
      </c>
      <c r="E723" s="19" t="str">
        <f>VLOOKUP(D723,'لیست پرسنل'!$B$2:$E$1020,3,FALSE)</f>
        <v>نظارت کارفرما</v>
      </c>
      <c r="F723" s="19" t="str">
        <f>VLOOKUP(D723,'لیست پرسنل'!$B$2:$E$1020,4,FALSE)</f>
        <v>مکانیک</v>
      </c>
      <c r="G723" s="127">
        <f>VLOOKUP(D723,'لیست پرسنل'!$B$2:$F$1020,2,FALSE)</f>
        <v>0</v>
      </c>
      <c r="H723" s="127" t="s">
        <v>3451</v>
      </c>
      <c r="I723" s="128" t="s">
        <v>1605</v>
      </c>
      <c r="J723" s="128" t="s">
        <v>2686</v>
      </c>
      <c r="K723" s="127" t="s">
        <v>332</v>
      </c>
      <c r="L723" s="151" t="s">
        <v>3790</v>
      </c>
      <c r="M723" s="127">
        <v>605735</v>
      </c>
      <c r="N723" s="108" t="s">
        <v>6053</v>
      </c>
      <c r="O723" s="20"/>
      <c r="P723" s="20"/>
      <c r="Q723" s="20"/>
    </row>
    <row r="724" spans="1:17" ht="24.75" customHeight="1">
      <c r="A724" s="20">
        <v>362</v>
      </c>
      <c r="B724" s="20" t="s">
        <v>4321</v>
      </c>
      <c r="C724" s="19">
        <v>25</v>
      </c>
      <c r="D724" s="20" t="s">
        <v>5002</v>
      </c>
      <c r="E724" s="19" t="str">
        <f>VLOOKUP(D724,'لیست پرسنل'!$B$2:$E$1020,3,FALSE)</f>
        <v>شرکت فرزان</v>
      </c>
      <c r="F724" s="19" t="str">
        <f>VLOOKUP(D724,'لیست پرسنل'!$B$2:$E$1020,4,FALSE)</f>
        <v>راه اندازی</v>
      </c>
      <c r="G724" s="127">
        <f>VLOOKUP(D724,'لیست پرسنل'!$B$2:$F$1020,2,FALSE)</f>
        <v>0</v>
      </c>
      <c r="H724" s="127" t="s">
        <v>3451</v>
      </c>
      <c r="I724" s="128" t="s">
        <v>1656</v>
      </c>
      <c r="J724" s="127" t="s">
        <v>571</v>
      </c>
      <c r="K724" s="127" t="s">
        <v>3784</v>
      </c>
      <c r="L724" s="151"/>
      <c r="M724" s="128">
        <v>603163</v>
      </c>
      <c r="N724" s="108"/>
      <c r="O724" s="36"/>
      <c r="P724" s="20"/>
      <c r="Q724" s="20"/>
    </row>
    <row r="725" spans="1:17" ht="24.75" customHeight="1">
      <c r="A725" s="20">
        <v>362</v>
      </c>
      <c r="B725" s="20" t="s">
        <v>4321</v>
      </c>
      <c r="C725" s="19">
        <v>26</v>
      </c>
      <c r="D725" s="20" t="s">
        <v>5496</v>
      </c>
      <c r="E725" s="19" t="str">
        <f>VLOOKUP(D725,'لیست پرسنل'!$B$2:$E$1020,3,FALSE)</f>
        <v>نظارت کارفرما</v>
      </c>
      <c r="F725" s="19">
        <f>VLOOKUP(D725,'لیست پرسنل'!$B$2:$E$1020,4,FALSE)</f>
        <v>0</v>
      </c>
      <c r="G725" s="127">
        <f>VLOOKUP(D725,'لیست پرسنل'!$B$2:$F$1020,2,FALSE)</f>
        <v>0</v>
      </c>
      <c r="H725" s="127" t="s">
        <v>3451</v>
      </c>
      <c r="I725" s="128" t="s">
        <v>1657</v>
      </c>
      <c r="J725" s="127" t="s">
        <v>571</v>
      </c>
      <c r="K725" s="127" t="s">
        <v>2219</v>
      </c>
      <c r="L725" s="127"/>
      <c r="M725" s="127">
        <v>624701</v>
      </c>
      <c r="N725" s="109"/>
      <c r="O725" s="36"/>
      <c r="P725" s="20"/>
      <c r="Q725" s="20"/>
    </row>
    <row r="726" spans="1:17" ht="24.75" customHeight="1">
      <c r="A726" s="20">
        <v>362</v>
      </c>
      <c r="B726" s="20" t="s">
        <v>4321</v>
      </c>
      <c r="C726" s="19">
        <v>26</v>
      </c>
      <c r="D726" s="20" t="s">
        <v>5496</v>
      </c>
      <c r="E726" s="19" t="str">
        <f>VLOOKUP(D726,'لیست پرسنل'!$B$2:$E$1020,3,FALSE)</f>
        <v>نظارت کارفرما</v>
      </c>
      <c r="F726" s="19">
        <f>VLOOKUP(D726,'لیست پرسنل'!$B$2:$E$1020,4,FALSE)</f>
        <v>0</v>
      </c>
      <c r="G726" s="127">
        <f>VLOOKUP(D726,'لیست پرسنل'!$B$2:$F$1020,2,FALSE)</f>
        <v>0</v>
      </c>
      <c r="H726" s="127" t="s">
        <v>3451</v>
      </c>
      <c r="I726" s="128" t="s">
        <v>1657</v>
      </c>
      <c r="J726" s="128" t="s">
        <v>2686</v>
      </c>
      <c r="K726" s="127" t="s">
        <v>332</v>
      </c>
      <c r="L726" s="151" t="s">
        <v>1174</v>
      </c>
      <c r="M726" s="127">
        <v>606571</v>
      </c>
      <c r="N726" s="109"/>
      <c r="O726" s="36"/>
      <c r="P726" s="20"/>
      <c r="Q726" s="20"/>
    </row>
    <row r="727" spans="1:17" ht="24.75" customHeight="1">
      <c r="A727" s="20">
        <v>362</v>
      </c>
      <c r="B727" s="20" t="s">
        <v>4321</v>
      </c>
      <c r="C727" s="19">
        <v>27</v>
      </c>
      <c r="D727" s="20" t="s">
        <v>3465</v>
      </c>
      <c r="E727" s="19" t="str">
        <f>VLOOKUP(D727,'لیست پرسنل'!$B$2:$E$1020,3,FALSE)</f>
        <v>نظارت کارفرما</v>
      </c>
      <c r="F727" s="19" t="str">
        <f>VLOOKUP(D727,'لیست پرسنل'!$B$2:$E$1020,4,FALSE)</f>
        <v>DCC</v>
      </c>
      <c r="G727" s="127">
        <f>VLOOKUP(D727,'لیست پرسنل'!$B$2:$F$1020,2,FALSE)</f>
        <v>0</v>
      </c>
      <c r="H727" s="127" t="s">
        <v>3451</v>
      </c>
      <c r="I727" s="128" t="s">
        <v>1761</v>
      </c>
      <c r="J727" s="128" t="s">
        <v>737</v>
      </c>
      <c r="K727" s="128" t="s">
        <v>1470</v>
      </c>
      <c r="L727" s="127" t="s">
        <v>1469</v>
      </c>
      <c r="M727" s="127">
        <v>625104</v>
      </c>
      <c r="N727" s="109"/>
      <c r="O727" s="19"/>
      <c r="P727" s="20"/>
      <c r="Q727" s="20"/>
    </row>
    <row r="728" spans="1:17" ht="24.75" customHeight="1">
      <c r="A728" s="20">
        <v>362</v>
      </c>
      <c r="B728" s="20" t="s">
        <v>4321</v>
      </c>
      <c r="C728" s="19">
        <v>27</v>
      </c>
      <c r="D728" s="20" t="s">
        <v>3465</v>
      </c>
      <c r="E728" s="19" t="str">
        <f>VLOOKUP(D728,'لیست پرسنل'!$B$2:$E$1020,3,FALSE)</f>
        <v>نظارت کارفرما</v>
      </c>
      <c r="F728" s="19" t="str">
        <f>VLOOKUP(D728,'لیست پرسنل'!$B$2:$E$1020,4,FALSE)</f>
        <v>DCC</v>
      </c>
      <c r="G728" s="127">
        <f>VLOOKUP(D728,'لیست پرسنل'!$B$2:$F$1020,2,FALSE)</f>
        <v>0</v>
      </c>
      <c r="H728" s="127" t="s">
        <v>3451</v>
      </c>
      <c r="I728" s="128" t="s">
        <v>1761</v>
      </c>
      <c r="J728" s="127" t="s">
        <v>571</v>
      </c>
      <c r="K728" s="127"/>
      <c r="L728" s="151"/>
      <c r="M728" s="127">
        <v>625444</v>
      </c>
      <c r="N728" s="109"/>
      <c r="O728" s="19"/>
      <c r="P728" s="20"/>
      <c r="Q728" s="20"/>
    </row>
    <row r="729" spans="1:17" ht="24.75" customHeight="1">
      <c r="A729" s="20">
        <v>362</v>
      </c>
      <c r="B729" s="20" t="s">
        <v>4321</v>
      </c>
      <c r="C729" s="19">
        <v>27</v>
      </c>
      <c r="D729" s="20" t="s">
        <v>3465</v>
      </c>
      <c r="E729" s="19" t="str">
        <f>VLOOKUP(D729,'لیست پرسنل'!$B$2:$E$1020,3,FALSE)</f>
        <v>نظارت کارفرما</v>
      </c>
      <c r="F729" s="19" t="str">
        <f>VLOOKUP(D729,'لیست پرسنل'!$B$2:$E$1020,4,FALSE)</f>
        <v>DCC</v>
      </c>
      <c r="G729" s="127">
        <f>VLOOKUP(D729,'لیست پرسنل'!$B$2:$F$1020,2,FALSE)</f>
        <v>0</v>
      </c>
      <c r="H729" s="127" t="s">
        <v>3451</v>
      </c>
      <c r="I729" s="128" t="s">
        <v>1761</v>
      </c>
      <c r="J729" s="128" t="s">
        <v>2686</v>
      </c>
      <c r="K729" s="127" t="s">
        <v>332</v>
      </c>
      <c r="L729" s="151" t="s">
        <v>1762</v>
      </c>
      <c r="M729" s="128">
        <v>622537</v>
      </c>
      <c r="N729" s="108"/>
      <c r="O729" s="20"/>
      <c r="P729" s="20"/>
      <c r="Q729" s="20"/>
    </row>
    <row r="730" spans="1:17" ht="24.75" customHeight="1">
      <c r="A730" s="20">
        <v>362</v>
      </c>
      <c r="B730" s="20" t="s">
        <v>4321</v>
      </c>
      <c r="C730" s="19">
        <v>28</v>
      </c>
      <c r="D730" s="20" t="s">
        <v>3466</v>
      </c>
      <c r="E730" s="19" t="str">
        <f>VLOOKUP(D730,'لیست پرسنل'!$B$2:$E$1020,3,FALSE)</f>
        <v>نظارت کارفرما</v>
      </c>
      <c r="F730" s="19" t="str">
        <f>VLOOKUP(D730,'لیست پرسنل'!$B$2:$E$1020,4,FALSE)</f>
        <v>نقشه برداری</v>
      </c>
      <c r="G730" s="127">
        <f>VLOOKUP(D730,'لیست پرسنل'!$B$2:$F$1020,2,FALSE)</f>
        <v>0</v>
      </c>
      <c r="H730" s="127" t="s">
        <v>3451</v>
      </c>
      <c r="I730" s="128" t="s">
        <v>1760</v>
      </c>
      <c r="J730" s="127" t="s">
        <v>737</v>
      </c>
      <c r="K730" s="128" t="s">
        <v>5220</v>
      </c>
      <c r="L730" s="128" t="s">
        <v>5912</v>
      </c>
      <c r="M730" s="132">
        <v>632443</v>
      </c>
      <c r="N730" s="111"/>
      <c r="O730" s="19"/>
      <c r="P730" s="20"/>
      <c r="Q730" s="20"/>
    </row>
    <row r="731" spans="1:17" ht="24.75" customHeight="1">
      <c r="A731" s="20">
        <v>362</v>
      </c>
      <c r="B731" s="20" t="s">
        <v>4321</v>
      </c>
      <c r="C731" s="19">
        <v>28</v>
      </c>
      <c r="D731" s="20" t="s">
        <v>3466</v>
      </c>
      <c r="E731" s="19" t="str">
        <f>VLOOKUP(D731,'لیست پرسنل'!$B$2:$E$1020,3,FALSE)</f>
        <v>نظارت کارفرما</v>
      </c>
      <c r="F731" s="19" t="str">
        <f>VLOOKUP(D731,'لیست پرسنل'!$B$2:$E$1020,4,FALSE)</f>
        <v>نقشه برداری</v>
      </c>
      <c r="G731" s="127">
        <f>VLOOKUP(D731,'لیست پرسنل'!$B$2:$F$1020,2,FALSE)</f>
        <v>0</v>
      </c>
      <c r="H731" s="127" t="s">
        <v>3451</v>
      </c>
      <c r="I731" s="128" t="s">
        <v>1760</v>
      </c>
      <c r="J731" s="126" t="s">
        <v>368</v>
      </c>
      <c r="K731" s="128" t="s">
        <v>2846</v>
      </c>
      <c r="L731" s="128" t="s">
        <v>2482</v>
      </c>
      <c r="M731" s="128">
        <v>628894</v>
      </c>
      <c r="N731" s="108"/>
      <c r="O731" s="20"/>
      <c r="P731" s="20"/>
      <c r="Q731" s="20"/>
    </row>
    <row r="732" spans="1:17" ht="24.75" customHeight="1">
      <c r="A732" s="20">
        <v>362</v>
      </c>
      <c r="B732" s="20" t="s">
        <v>4321</v>
      </c>
      <c r="C732" s="19">
        <v>28</v>
      </c>
      <c r="D732" s="20" t="s">
        <v>3466</v>
      </c>
      <c r="E732" s="19" t="str">
        <f>VLOOKUP(D732,'لیست پرسنل'!$B$2:$E$1020,3,FALSE)</f>
        <v>نظارت کارفرما</v>
      </c>
      <c r="F732" s="19" t="str">
        <f>VLOOKUP(D732,'لیست پرسنل'!$B$2:$E$1020,4,FALSE)</f>
        <v>نقشه برداری</v>
      </c>
      <c r="G732" s="127">
        <f>VLOOKUP(D732,'لیست پرسنل'!$B$2:$F$1020,2,FALSE)</f>
        <v>0</v>
      </c>
      <c r="H732" s="127" t="s">
        <v>3451</v>
      </c>
      <c r="I732" s="128" t="s">
        <v>1760</v>
      </c>
      <c r="J732" s="127" t="s">
        <v>571</v>
      </c>
      <c r="K732" s="135"/>
      <c r="L732" s="154"/>
      <c r="M732" s="127">
        <v>625420</v>
      </c>
      <c r="N732" s="109"/>
      <c r="O732" s="20"/>
      <c r="P732" s="20"/>
      <c r="Q732" s="20"/>
    </row>
    <row r="733" spans="1:17" ht="24.75" customHeight="1">
      <c r="A733" s="20">
        <v>362</v>
      </c>
      <c r="B733" s="20" t="s">
        <v>4321</v>
      </c>
      <c r="C733" s="19">
        <v>28</v>
      </c>
      <c r="D733" s="20" t="s">
        <v>3466</v>
      </c>
      <c r="E733" s="19" t="str">
        <f>VLOOKUP(D733,'لیست پرسنل'!$B$2:$E$1020,3,FALSE)</f>
        <v>نظارت کارفرما</v>
      </c>
      <c r="F733" s="19" t="str">
        <f>VLOOKUP(D733,'لیست پرسنل'!$B$2:$E$1020,4,FALSE)</f>
        <v>نقشه برداری</v>
      </c>
      <c r="G733" s="127">
        <f>VLOOKUP(D733,'لیست پرسنل'!$B$2:$F$1020,2,FALSE)</f>
        <v>0</v>
      </c>
      <c r="H733" s="127" t="s">
        <v>3451</v>
      </c>
      <c r="I733" s="128" t="s">
        <v>1760</v>
      </c>
      <c r="J733" s="128" t="s">
        <v>2686</v>
      </c>
      <c r="K733" s="135" t="s">
        <v>332</v>
      </c>
      <c r="L733" s="154" t="s">
        <v>1708</v>
      </c>
      <c r="M733" s="128">
        <v>604612</v>
      </c>
      <c r="N733" s="108"/>
      <c r="O733" s="20"/>
      <c r="P733" s="20"/>
      <c r="Q733" s="20"/>
    </row>
    <row r="734" spans="1:17" ht="24.75" customHeight="1">
      <c r="A734" s="20">
        <v>362</v>
      </c>
      <c r="B734" s="20" t="s">
        <v>4321</v>
      </c>
      <c r="C734" s="19">
        <v>30</v>
      </c>
      <c r="D734" s="19" t="s">
        <v>7914</v>
      </c>
      <c r="E734" s="19" t="str">
        <f>VLOOKUP(D734,'لیست پرسنل'!$B$2:$E$1020,3,FALSE)</f>
        <v>گهر نشاط</v>
      </c>
      <c r="F734" s="19" t="str">
        <f>VLOOKUP(D734,'لیست پرسنل'!$B$2:$E$1020,4,FALSE)</f>
        <v>بهداری</v>
      </c>
      <c r="G734" s="127">
        <f>VLOOKUP(D734,'لیست پرسنل'!$B$2:$F$1020,2,FALSE)</f>
        <v>0</v>
      </c>
      <c r="H734" s="127" t="s">
        <v>7962</v>
      </c>
      <c r="I734" s="127" t="s">
        <v>1779</v>
      </c>
      <c r="J734" s="141" t="s">
        <v>571</v>
      </c>
      <c r="K734" s="128" t="s">
        <v>2219</v>
      </c>
      <c r="L734" s="127"/>
      <c r="M734" s="128">
        <v>632745</v>
      </c>
      <c r="N734" s="108" t="s">
        <v>6840</v>
      </c>
      <c r="O734" s="20"/>
      <c r="P734" s="20"/>
      <c r="Q734" s="20"/>
    </row>
    <row r="735" spans="1:17" ht="24.75" customHeight="1">
      <c r="A735" s="20">
        <v>362</v>
      </c>
      <c r="B735" s="19" t="s">
        <v>4321</v>
      </c>
      <c r="C735" s="19">
        <v>30</v>
      </c>
      <c r="D735" s="19" t="s">
        <v>7914</v>
      </c>
      <c r="E735" s="19" t="str">
        <f>VLOOKUP(D735,'لیست پرسنل'!$B$2:$E$1020,3,FALSE)</f>
        <v>گهر نشاط</v>
      </c>
      <c r="F735" s="19" t="str">
        <f>VLOOKUP(D735,'لیست پرسنل'!$B$2:$E$1020,4,FALSE)</f>
        <v>بهداری</v>
      </c>
      <c r="G735" s="127">
        <f>VLOOKUP(D735,'لیست پرسنل'!$B$2:$F$1020,2,FALSE)</f>
        <v>0</v>
      </c>
      <c r="H735" s="128" t="s">
        <v>7962</v>
      </c>
      <c r="I735" s="127" t="s">
        <v>1779</v>
      </c>
      <c r="J735" s="128" t="s">
        <v>2686</v>
      </c>
      <c r="K735" s="128" t="s">
        <v>2922</v>
      </c>
      <c r="L735" s="128" t="s">
        <v>3059</v>
      </c>
      <c r="M735" s="127">
        <v>626543</v>
      </c>
      <c r="N735" s="108" t="s">
        <v>6840</v>
      </c>
      <c r="O735" s="86"/>
      <c r="P735" s="20"/>
      <c r="Q735" s="20"/>
    </row>
    <row r="736" spans="1:17" ht="24.75" customHeight="1">
      <c r="A736" s="20">
        <v>362</v>
      </c>
      <c r="B736" s="20" t="s">
        <v>4321</v>
      </c>
      <c r="C736" s="20">
        <v>31</v>
      </c>
      <c r="D736" s="20" t="s">
        <v>5340</v>
      </c>
      <c r="E736" s="19" t="str">
        <f>VLOOKUP(D736,'لیست پرسنل'!$B$2:$E$1020,3,FALSE)</f>
        <v>نظارت کارفرما</v>
      </c>
      <c r="F736" s="19">
        <f>VLOOKUP(D736,'لیست پرسنل'!$B$2:$E$1020,4,FALSE)</f>
        <v>0</v>
      </c>
      <c r="G736" s="127">
        <f>VLOOKUP(D736,'لیست پرسنل'!$B$2:$F$1020,2,FALSE)</f>
        <v>0</v>
      </c>
      <c r="H736" s="151" t="s">
        <v>3451</v>
      </c>
      <c r="I736" s="128" t="s">
        <v>5341</v>
      </c>
      <c r="J736" s="141" t="s">
        <v>571</v>
      </c>
      <c r="K736" s="131" t="s">
        <v>2067</v>
      </c>
      <c r="L736" s="159" t="s">
        <v>2219</v>
      </c>
      <c r="M736" s="127">
        <v>628584</v>
      </c>
      <c r="N736" s="108"/>
      <c r="O736" s="19" t="s">
        <v>705</v>
      </c>
      <c r="P736" s="20"/>
      <c r="Q736" s="20"/>
    </row>
    <row r="737" spans="1:17" ht="24.75" customHeight="1">
      <c r="A737" s="20">
        <v>362</v>
      </c>
      <c r="B737" s="20" t="s">
        <v>4321</v>
      </c>
      <c r="C737" s="20">
        <v>31</v>
      </c>
      <c r="D737" s="20" t="s">
        <v>5340</v>
      </c>
      <c r="E737" s="19" t="str">
        <f>VLOOKUP(D737,'لیست پرسنل'!$B$2:$E$1020,3,FALSE)</f>
        <v>نظارت کارفرما</v>
      </c>
      <c r="F737" s="19">
        <f>VLOOKUP(D737,'لیست پرسنل'!$B$2:$E$1020,4,FALSE)</f>
        <v>0</v>
      </c>
      <c r="G737" s="127">
        <f>VLOOKUP(D737,'لیست پرسنل'!$B$2:$F$1020,2,FALSE)</f>
        <v>0</v>
      </c>
      <c r="H737" s="151" t="s">
        <v>3451</v>
      </c>
      <c r="I737" s="128" t="s">
        <v>5341</v>
      </c>
      <c r="J737" s="128" t="s">
        <v>2686</v>
      </c>
      <c r="K737" s="127" t="s">
        <v>744</v>
      </c>
      <c r="L737" s="158">
        <v>722015205013365</v>
      </c>
      <c r="M737" s="127">
        <v>603171</v>
      </c>
      <c r="N737" s="109"/>
      <c r="O737" s="86"/>
      <c r="P737" s="20"/>
      <c r="Q737" s="20"/>
    </row>
    <row r="738" spans="1:17" ht="24.75" customHeight="1">
      <c r="A738" s="20">
        <v>362</v>
      </c>
      <c r="B738" s="20" t="s">
        <v>4321</v>
      </c>
      <c r="C738" s="19">
        <v>32</v>
      </c>
      <c r="D738" s="20" t="s">
        <v>5001</v>
      </c>
      <c r="E738" s="19" t="str">
        <f>VLOOKUP(D738,'لیست پرسنل'!$B$2:$E$1020,3,FALSE)</f>
        <v>نظارت کارفرما</v>
      </c>
      <c r="F738" s="19" t="str">
        <f>VLOOKUP(D738,'لیست پرسنل'!$B$2:$E$1020,4,FALSE)</f>
        <v>راه اندازی</v>
      </c>
      <c r="G738" s="127">
        <f>VLOOKUP(D738,'لیست پرسنل'!$B$2:$F$1020,2,FALSE)</f>
        <v>0</v>
      </c>
      <c r="H738" s="127" t="s">
        <v>3451</v>
      </c>
      <c r="I738" s="128" t="s">
        <v>1853</v>
      </c>
      <c r="J738" s="127" t="s">
        <v>571</v>
      </c>
      <c r="K738" s="135" t="s">
        <v>2219</v>
      </c>
      <c r="L738" s="154"/>
      <c r="M738" s="127">
        <v>625427</v>
      </c>
      <c r="N738" s="109"/>
      <c r="O738" s="19"/>
      <c r="P738" s="20"/>
      <c r="Q738" s="20"/>
    </row>
    <row r="739" spans="1:17" ht="24.75" customHeight="1">
      <c r="A739" s="20">
        <v>362</v>
      </c>
      <c r="B739" s="20" t="s">
        <v>4321</v>
      </c>
      <c r="C739" s="19">
        <v>32</v>
      </c>
      <c r="D739" s="20" t="s">
        <v>5001</v>
      </c>
      <c r="E739" s="19" t="str">
        <f>VLOOKUP(D739,'لیست پرسنل'!$B$2:$E$1020,3,FALSE)</f>
        <v>نظارت کارفرما</v>
      </c>
      <c r="F739" s="19" t="str">
        <f>VLOOKUP(D739,'لیست پرسنل'!$B$2:$E$1020,4,FALSE)</f>
        <v>راه اندازی</v>
      </c>
      <c r="G739" s="127">
        <f>VLOOKUP(D739,'لیست پرسنل'!$B$2:$F$1020,2,FALSE)</f>
        <v>0</v>
      </c>
      <c r="H739" s="127" t="s">
        <v>3451</v>
      </c>
      <c r="I739" s="128" t="s">
        <v>1853</v>
      </c>
      <c r="J739" s="128" t="s">
        <v>2686</v>
      </c>
      <c r="K739" s="135" t="s">
        <v>371</v>
      </c>
      <c r="L739" s="154" t="s">
        <v>1855</v>
      </c>
      <c r="M739" s="128">
        <v>618635</v>
      </c>
      <c r="N739" s="108"/>
      <c r="O739" s="20"/>
      <c r="P739" s="20"/>
      <c r="Q739" s="20"/>
    </row>
    <row r="740" spans="1:17" ht="24.75" customHeight="1">
      <c r="A740" s="20">
        <v>362</v>
      </c>
      <c r="B740" s="20" t="s">
        <v>4321</v>
      </c>
      <c r="C740" s="19">
        <v>33</v>
      </c>
      <c r="D740" s="20" t="s">
        <v>6501</v>
      </c>
      <c r="E740" s="19" t="str">
        <f>VLOOKUP(D740,'لیست پرسنل'!$B$2:$E$1020,3,FALSE)</f>
        <v>نظارت کارفرما</v>
      </c>
      <c r="F740" s="19" t="str">
        <f>VLOOKUP(D740,'لیست پرسنل'!$B$2:$E$1020,4,FALSE)</f>
        <v>برق</v>
      </c>
      <c r="G740" s="127">
        <f>VLOOKUP(D740,'لیست پرسنل'!$B$2:$F$1020,2,FALSE)</f>
        <v>0</v>
      </c>
      <c r="H740" s="127" t="s">
        <v>3451</v>
      </c>
      <c r="I740" s="128" t="s">
        <v>1854</v>
      </c>
      <c r="J740" s="126" t="s">
        <v>368</v>
      </c>
      <c r="K740" s="128" t="s">
        <v>2846</v>
      </c>
      <c r="L740" s="128" t="s">
        <v>2382</v>
      </c>
      <c r="M740" s="128">
        <v>628789</v>
      </c>
      <c r="N740" s="108"/>
      <c r="O740" s="20"/>
      <c r="P740" s="20"/>
      <c r="Q740" s="20"/>
    </row>
    <row r="741" spans="1:17" ht="24.75" customHeight="1">
      <c r="A741" s="20">
        <v>362</v>
      </c>
      <c r="B741" s="20" t="s">
        <v>4321</v>
      </c>
      <c r="C741" s="19">
        <v>33</v>
      </c>
      <c r="D741" s="20" t="s">
        <v>6501</v>
      </c>
      <c r="E741" s="19" t="str">
        <f>VLOOKUP(D741,'لیست پرسنل'!$B$2:$E$1020,3,FALSE)</f>
        <v>نظارت کارفرما</v>
      </c>
      <c r="F741" s="19" t="str">
        <f>VLOOKUP(D741,'لیست پرسنل'!$B$2:$E$1020,4,FALSE)</f>
        <v>برق</v>
      </c>
      <c r="G741" s="127">
        <f>VLOOKUP(D741,'لیست پرسنل'!$B$2:$F$1020,2,FALSE)</f>
        <v>0</v>
      </c>
      <c r="H741" s="127" t="s">
        <v>3451</v>
      </c>
      <c r="I741" s="128" t="s">
        <v>1854</v>
      </c>
      <c r="J741" s="127" t="s">
        <v>571</v>
      </c>
      <c r="K741" s="135"/>
      <c r="L741" s="154"/>
      <c r="M741" s="127">
        <v>625436</v>
      </c>
      <c r="N741" s="109"/>
      <c r="O741" s="20"/>
      <c r="P741" s="20"/>
      <c r="Q741" s="20"/>
    </row>
    <row r="742" spans="1:17" ht="24.75" customHeight="1">
      <c r="A742" s="20">
        <v>362</v>
      </c>
      <c r="B742" s="20" t="s">
        <v>4321</v>
      </c>
      <c r="C742" s="19">
        <v>33</v>
      </c>
      <c r="D742" s="20" t="s">
        <v>6501</v>
      </c>
      <c r="E742" s="19" t="str">
        <f>VLOOKUP(D742,'لیست پرسنل'!$B$2:$E$1020,3,FALSE)</f>
        <v>نظارت کارفرما</v>
      </c>
      <c r="F742" s="19" t="str">
        <f>VLOOKUP(D742,'لیست پرسنل'!$B$2:$E$1020,4,FALSE)</f>
        <v>برق</v>
      </c>
      <c r="G742" s="127">
        <f>VLOOKUP(D742,'لیست پرسنل'!$B$2:$F$1020,2,FALSE)</f>
        <v>0</v>
      </c>
      <c r="H742" s="127" t="s">
        <v>3451</v>
      </c>
      <c r="I742" s="128" t="s">
        <v>1854</v>
      </c>
      <c r="J742" s="128" t="s">
        <v>2686</v>
      </c>
      <c r="K742" s="128" t="s">
        <v>744</v>
      </c>
      <c r="L742" s="151" t="s">
        <v>1658</v>
      </c>
      <c r="M742" s="132">
        <v>605819</v>
      </c>
      <c r="N742" s="108"/>
      <c r="O742" s="20"/>
      <c r="P742" s="20"/>
      <c r="Q742" s="20"/>
    </row>
    <row r="743" spans="1:17" ht="24.75" customHeight="1">
      <c r="A743" s="20">
        <v>362</v>
      </c>
      <c r="B743" s="20" t="s">
        <v>4321</v>
      </c>
      <c r="C743" s="19">
        <v>34</v>
      </c>
      <c r="D743" s="20" t="s">
        <v>3469</v>
      </c>
      <c r="E743" s="19" t="str">
        <f>VLOOKUP(D743,'لیست پرسنل'!$B$2:$E$1020,3,FALSE)</f>
        <v>نظارت کارفرما</v>
      </c>
      <c r="F743" s="19" t="str">
        <f>VLOOKUP(D743,'لیست پرسنل'!$B$2:$E$1020,4,FALSE)</f>
        <v>ایمنی</v>
      </c>
      <c r="G743" s="127">
        <f>VLOOKUP(D743,'لیست پرسنل'!$B$2:$F$1020,2,FALSE)</f>
        <v>0</v>
      </c>
      <c r="H743" s="127" t="s">
        <v>3451</v>
      </c>
      <c r="I743" s="128" t="s">
        <v>1902</v>
      </c>
      <c r="J743" s="126" t="s">
        <v>368</v>
      </c>
      <c r="K743" s="128" t="s">
        <v>8248</v>
      </c>
      <c r="L743" s="127" t="s">
        <v>2332</v>
      </c>
      <c r="M743" s="128">
        <v>628738</v>
      </c>
      <c r="N743" s="108"/>
      <c r="O743" s="19"/>
      <c r="P743" s="20"/>
      <c r="Q743" s="20"/>
    </row>
    <row r="744" spans="1:17" ht="24.75" customHeight="1">
      <c r="A744" s="20">
        <v>362</v>
      </c>
      <c r="B744" s="20" t="s">
        <v>4321</v>
      </c>
      <c r="C744" s="19">
        <v>34</v>
      </c>
      <c r="D744" s="20" t="s">
        <v>3469</v>
      </c>
      <c r="E744" s="19" t="str">
        <f>VLOOKUP(D744,'لیست پرسنل'!$B$2:$E$1020,3,FALSE)</f>
        <v>نظارت کارفرما</v>
      </c>
      <c r="F744" s="19" t="str">
        <f>VLOOKUP(D744,'لیست پرسنل'!$B$2:$E$1020,4,FALSE)</f>
        <v>ایمنی</v>
      </c>
      <c r="G744" s="127">
        <f>VLOOKUP(D744,'لیست پرسنل'!$B$2:$F$1020,2,FALSE)</f>
        <v>0</v>
      </c>
      <c r="H744" s="127" t="s">
        <v>3451</v>
      </c>
      <c r="I744" s="128" t="s">
        <v>1902</v>
      </c>
      <c r="J744" s="128" t="s">
        <v>571</v>
      </c>
      <c r="K744" s="128" t="s">
        <v>3691</v>
      </c>
      <c r="L744" s="127"/>
      <c r="M744" s="127">
        <v>633660</v>
      </c>
      <c r="N744" s="109"/>
      <c r="O744" s="19" t="s">
        <v>6329</v>
      </c>
      <c r="P744" s="32"/>
      <c r="Q744" s="32"/>
    </row>
    <row r="745" spans="1:17" ht="24.9" customHeight="1">
      <c r="A745" s="20">
        <v>362</v>
      </c>
      <c r="B745" s="20" t="s">
        <v>4321</v>
      </c>
      <c r="C745" s="19">
        <v>34</v>
      </c>
      <c r="D745" s="20" t="s">
        <v>3469</v>
      </c>
      <c r="E745" s="19" t="str">
        <f>VLOOKUP(D745,'لیست پرسنل'!$B$2:$E$1020,3,FALSE)</f>
        <v>نظارت کارفرما</v>
      </c>
      <c r="F745" s="19" t="str">
        <f>VLOOKUP(D745,'لیست پرسنل'!$B$2:$E$1020,4,FALSE)</f>
        <v>ایمنی</v>
      </c>
      <c r="G745" s="127">
        <f>VLOOKUP(D745,'لیست پرسنل'!$B$2:$F$1020,2,FALSE)</f>
        <v>0</v>
      </c>
      <c r="H745" s="127" t="s">
        <v>3451</v>
      </c>
      <c r="I745" s="128" t="s">
        <v>1902</v>
      </c>
      <c r="J745" s="128" t="s">
        <v>2686</v>
      </c>
      <c r="K745" s="135" t="s">
        <v>332</v>
      </c>
      <c r="L745" s="154" t="s">
        <v>1893</v>
      </c>
      <c r="M745" s="128">
        <v>604335</v>
      </c>
      <c r="N745" s="108"/>
      <c r="O745" s="20"/>
      <c r="P745" s="20"/>
      <c r="Q745" s="20"/>
    </row>
    <row r="746" spans="1:17" ht="24.9" customHeight="1">
      <c r="A746" s="20">
        <v>362</v>
      </c>
      <c r="B746" s="20" t="s">
        <v>4321</v>
      </c>
      <c r="C746" s="19">
        <v>35</v>
      </c>
      <c r="D746" s="19" t="s">
        <v>5002</v>
      </c>
      <c r="E746" s="19" t="str">
        <f>VLOOKUP(D746,'لیست پرسنل'!$B$2:$E$1020,3,FALSE)</f>
        <v>شرکت فرزان</v>
      </c>
      <c r="F746" s="19" t="str">
        <f>VLOOKUP(D746,'لیست پرسنل'!$B$2:$E$1020,4,FALSE)</f>
        <v>راه اندازی</v>
      </c>
      <c r="G746" s="127">
        <f>VLOOKUP(D746,'لیست پرسنل'!$B$2:$F$1020,2,FALSE)</f>
        <v>0</v>
      </c>
      <c r="H746" s="127" t="s">
        <v>3451</v>
      </c>
      <c r="I746" s="128" t="s">
        <v>1928</v>
      </c>
      <c r="J746" s="128" t="s">
        <v>737</v>
      </c>
      <c r="K746" s="135" t="s">
        <v>1898</v>
      </c>
      <c r="L746" s="128" t="s">
        <v>499</v>
      </c>
      <c r="M746" s="128">
        <v>614594</v>
      </c>
      <c r="N746" s="109"/>
      <c r="O746" s="36"/>
      <c r="P746" s="20"/>
      <c r="Q746" s="20"/>
    </row>
    <row r="747" spans="1:17" ht="24.9" customHeight="1">
      <c r="A747" s="20">
        <v>362</v>
      </c>
      <c r="B747" s="20" t="s">
        <v>4321</v>
      </c>
      <c r="C747" s="19">
        <v>35</v>
      </c>
      <c r="D747" s="19" t="s">
        <v>5002</v>
      </c>
      <c r="E747" s="19" t="str">
        <f>VLOOKUP(D747,'لیست پرسنل'!$B$2:$E$1020,3,FALSE)</f>
        <v>شرکت فرزان</v>
      </c>
      <c r="F747" s="19" t="str">
        <f>VLOOKUP(D747,'لیست پرسنل'!$B$2:$E$1020,4,FALSE)</f>
        <v>راه اندازی</v>
      </c>
      <c r="G747" s="127">
        <f>VLOOKUP(D747,'لیست پرسنل'!$B$2:$F$1020,2,FALSE)</f>
        <v>0</v>
      </c>
      <c r="H747" s="127" t="s">
        <v>3451</v>
      </c>
      <c r="I747" s="128" t="s">
        <v>1928</v>
      </c>
      <c r="J747" s="127" t="s">
        <v>571</v>
      </c>
      <c r="K747" s="141" t="s">
        <v>3784</v>
      </c>
      <c r="L747" s="150"/>
      <c r="M747" s="128">
        <v>607774</v>
      </c>
      <c r="N747" s="108"/>
      <c r="O747" s="20"/>
      <c r="P747" s="20"/>
      <c r="Q747" s="20"/>
    </row>
    <row r="748" spans="1:17" ht="24.9" customHeight="1">
      <c r="A748" s="20">
        <v>362</v>
      </c>
      <c r="B748" s="20" t="s">
        <v>4321</v>
      </c>
      <c r="C748" s="19">
        <v>36</v>
      </c>
      <c r="D748" s="20" t="s">
        <v>2079</v>
      </c>
      <c r="E748" s="19" t="str">
        <f>VLOOKUP(D748,'لیست پرسنل'!$B$2:$E$1020,3,FALSE)</f>
        <v>نظارت کارفرما</v>
      </c>
      <c r="F748" s="19">
        <f>VLOOKUP(D748,'لیست پرسنل'!$B$2:$E$1020,4,FALSE)</f>
        <v>0</v>
      </c>
      <c r="G748" s="127">
        <f>VLOOKUP(D748,'لیست پرسنل'!$B$2:$F$1020,2,FALSE)</f>
        <v>0</v>
      </c>
      <c r="H748" s="127" t="s">
        <v>3451</v>
      </c>
      <c r="I748" s="128" t="s">
        <v>1955</v>
      </c>
      <c r="J748" s="128" t="s">
        <v>571</v>
      </c>
      <c r="K748" s="128"/>
      <c r="L748" s="128"/>
      <c r="M748" s="127">
        <v>605766</v>
      </c>
      <c r="N748" s="109"/>
      <c r="O748" s="20"/>
      <c r="P748" s="20"/>
      <c r="Q748" s="20"/>
    </row>
    <row r="749" spans="1:17" ht="24.9" customHeight="1">
      <c r="A749" s="20">
        <v>362</v>
      </c>
      <c r="B749" s="20" t="s">
        <v>4321</v>
      </c>
      <c r="C749" s="19">
        <v>36</v>
      </c>
      <c r="D749" s="20" t="s">
        <v>2079</v>
      </c>
      <c r="E749" s="19" t="str">
        <f>VLOOKUP(D749,'لیست پرسنل'!$B$2:$E$1020,3,FALSE)</f>
        <v>نظارت کارفرما</v>
      </c>
      <c r="F749" s="19">
        <f>VLOOKUP(D749,'لیست پرسنل'!$B$2:$E$1020,4,FALSE)</f>
        <v>0</v>
      </c>
      <c r="G749" s="127">
        <f>VLOOKUP(D749,'لیست پرسنل'!$B$2:$F$1020,2,FALSE)</f>
        <v>0</v>
      </c>
      <c r="H749" s="127" t="s">
        <v>3451</v>
      </c>
      <c r="I749" s="128" t="s">
        <v>1955</v>
      </c>
      <c r="J749" s="128" t="s">
        <v>2686</v>
      </c>
      <c r="K749" s="127" t="s">
        <v>332</v>
      </c>
      <c r="L749" s="154" t="s">
        <v>1115</v>
      </c>
      <c r="M749" s="127">
        <v>604017</v>
      </c>
      <c r="N749" s="109"/>
      <c r="O749" s="20"/>
      <c r="P749" s="20"/>
      <c r="Q749" s="20"/>
    </row>
    <row r="750" spans="1:17" ht="24.9" customHeight="1">
      <c r="A750" s="20">
        <v>362</v>
      </c>
      <c r="B750" s="20" t="s">
        <v>4321</v>
      </c>
      <c r="C750" s="19">
        <v>37</v>
      </c>
      <c r="D750" s="20" t="s">
        <v>2863</v>
      </c>
      <c r="E750" s="19" t="str">
        <f>VLOOKUP(D750,'لیست پرسنل'!$B$2:$E$1020,3,FALSE)</f>
        <v>نظارت کارفرما</v>
      </c>
      <c r="F750" s="19">
        <f>VLOOKUP(D750,'لیست پرسنل'!$B$2:$E$1020,4,FALSE)</f>
        <v>0</v>
      </c>
      <c r="G750" s="127">
        <f>VLOOKUP(D750,'لیست پرسنل'!$B$2:$F$1020,2,FALSE)</f>
        <v>0</v>
      </c>
      <c r="H750" s="127" t="s">
        <v>3451</v>
      </c>
      <c r="I750" s="128" t="s">
        <v>2864</v>
      </c>
      <c r="J750" s="126" t="s">
        <v>368</v>
      </c>
      <c r="K750" s="128" t="s">
        <v>2846</v>
      </c>
      <c r="L750" s="128" t="s">
        <v>2379</v>
      </c>
      <c r="M750" s="127">
        <v>628786</v>
      </c>
      <c r="N750" s="109"/>
      <c r="O750" s="20"/>
      <c r="P750" s="20"/>
      <c r="Q750" s="20"/>
    </row>
    <row r="751" spans="1:17" ht="24.9" customHeight="1">
      <c r="A751" s="20">
        <v>362</v>
      </c>
      <c r="B751" s="20" t="s">
        <v>4321</v>
      </c>
      <c r="C751" s="19">
        <v>37</v>
      </c>
      <c r="D751" s="20" t="s">
        <v>2863</v>
      </c>
      <c r="E751" s="19" t="str">
        <f>VLOOKUP(D751,'لیست پرسنل'!$B$2:$E$1020,3,FALSE)</f>
        <v>نظارت کارفرما</v>
      </c>
      <c r="F751" s="19">
        <f>VLOOKUP(D751,'لیست پرسنل'!$B$2:$E$1020,4,FALSE)</f>
        <v>0</v>
      </c>
      <c r="G751" s="127">
        <f>VLOOKUP(D751,'لیست پرسنل'!$B$2:$F$1020,2,FALSE)</f>
        <v>0</v>
      </c>
      <c r="H751" s="127" t="s">
        <v>3451</v>
      </c>
      <c r="I751" s="128" t="s">
        <v>2864</v>
      </c>
      <c r="J751" s="127" t="s">
        <v>571</v>
      </c>
      <c r="K751" s="135"/>
      <c r="L751" s="154"/>
      <c r="M751" s="127">
        <v>627875</v>
      </c>
      <c r="N751" s="109"/>
      <c r="O751" s="20"/>
      <c r="P751" s="20"/>
      <c r="Q751" s="20"/>
    </row>
    <row r="752" spans="1:17" ht="24.9" customHeight="1">
      <c r="A752" s="20">
        <v>362</v>
      </c>
      <c r="B752" s="20" t="s">
        <v>4321</v>
      </c>
      <c r="C752" s="19">
        <v>37</v>
      </c>
      <c r="D752" s="20" t="s">
        <v>2863</v>
      </c>
      <c r="E752" s="19" t="str">
        <f>VLOOKUP(D752,'لیست پرسنل'!$B$2:$E$1020,3,FALSE)</f>
        <v>نظارت کارفرما</v>
      </c>
      <c r="F752" s="19">
        <f>VLOOKUP(D752,'لیست پرسنل'!$B$2:$E$1020,4,FALSE)</f>
        <v>0</v>
      </c>
      <c r="G752" s="127">
        <f>VLOOKUP(D752,'لیست پرسنل'!$B$2:$F$1020,2,FALSE)</f>
        <v>0</v>
      </c>
      <c r="H752" s="127" t="s">
        <v>3451</v>
      </c>
      <c r="I752" s="128" t="s">
        <v>2864</v>
      </c>
      <c r="J752" s="128" t="s">
        <v>2686</v>
      </c>
      <c r="K752" s="135" t="s">
        <v>332</v>
      </c>
      <c r="L752" s="154" t="s">
        <v>1883</v>
      </c>
      <c r="M752" s="128">
        <v>603222</v>
      </c>
      <c r="N752" s="108"/>
      <c r="O752" s="20"/>
      <c r="P752" s="20"/>
      <c r="Q752" s="20"/>
    </row>
    <row r="753" spans="1:17" ht="24.9" customHeight="1">
      <c r="A753" s="20">
        <v>362</v>
      </c>
      <c r="B753" s="20" t="s">
        <v>4321</v>
      </c>
      <c r="C753" s="19">
        <v>38</v>
      </c>
      <c r="D753" s="20" t="s">
        <v>3470</v>
      </c>
      <c r="E753" s="19" t="str">
        <f>VLOOKUP(D753,'لیست پرسنل'!$B$2:$E$1020,3,FALSE)</f>
        <v>نظارت کارفرما</v>
      </c>
      <c r="F753" s="19">
        <f>VLOOKUP(D753,'لیست پرسنل'!$B$2:$E$1020,4,FALSE)</f>
        <v>0</v>
      </c>
      <c r="G753" s="127">
        <f>VLOOKUP(D753,'لیست پرسنل'!$B$2:$F$1020,2,FALSE)</f>
        <v>0</v>
      </c>
      <c r="H753" s="127" t="s">
        <v>3451</v>
      </c>
      <c r="I753" s="128" t="s">
        <v>3245</v>
      </c>
      <c r="J753" s="127" t="s">
        <v>571</v>
      </c>
      <c r="K753" s="135"/>
      <c r="L753" s="154"/>
      <c r="M753" s="127">
        <v>607682</v>
      </c>
      <c r="N753" s="109"/>
      <c r="O753" s="20"/>
      <c r="P753" s="20"/>
      <c r="Q753" s="20"/>
    </row>
    <row r="754" spans="1:17" ht="24.75" customHeight="1">
      <c r="A754" s="20">
        <v>362</v>
      </c>
      <c r="B754" s="20" t="s">
        <v>4321</v>
      </c>
      <c r="C754" s="19">
        <v>38</v>
      </c>
      <c r="D754" s="20" t="s">
        <v>3470</v>
      </c>
      <c r="E754" s="19" t="str">
        <f>VLOOKUP(D754,'لیست پرسنل'!$B$2:$E$1020,3,FALSE)</f>
        <v>نظارت کارفرما</v>
      </c>
      <c r="F754" s="19">
        <f>VLOOKUP(D754,'لیست پرسنل'!$B$2:$E$1020,4,FALSE)</f>
        <v>0</v>
      </c>
      <c r="G754" s="127">
        <f>VLOOKUP(D754,'لیست پرسنل'!$B$2:$F$1020,2,FALSE)</f>
        <v>0</v>
      </c>
      <c r="H754" s="127" t="s">
        <v>3451</v>
      </c>
      <c r="I754" s="128" t="s">
        <v>3245</v>
      </c>
      <c r="J754" s="128" t="s">
        <v>2686</v>
      </c>
      <c r="K754" s="135" t="s">
        <v>343</v>
      </c>
      <c r="L754" s="154" t="s">
        <v>1270</v>
      </c>
      <c r="M754" s="128">
        <v>607871</v>
      </c>
      <c r="N754" s="108"/>
      <c r="O754" s="20"/>
      <c r="P754" s="20"/>
      <c r="Q754" s="20"/>
    </row>
    <row r="755" spans="1:17" ht="24.75" customHeight="1">
      <c r="A755" s="20">
        <v>362</v>
      </c>
      <c r="B755" s="20" t="s">
        <v>4321</v>
      </c>
      <c r="C755" s="19">
        <v>39</v>
      </c>
      <c r="D755" s="19" t="s">
        <v>7938</v>
      </c>
      <c r="E755" s="19" t="str">
        <f>VLOOKUP(D755,'لیست پرسنل'!$B$2:$E$1020,3,FALSE)</f>
        <v>کاربین طرح</v>
      </c>
      <c r="F755" s="19" t="str">
        <f>VLOOKUP(D755,'لیست پرسنل'!$B$2:$E$1020,4,FALSE)</f>
        <v>ایمنی</v>
      </c>
      <c r="G755" s="127">
        <f>VLOOKUP(D755,'لیست پرسنل'!$B$2:$F$1020,2,FALSE)</f>
        <v>100656</v>
      </c>
      <c r="H755" s="151" t="s">
        <v>6057</v>
      </c>
      <c r="I755" s="127" t="s">
        <v>6056</v>
      </c>
      <c r="J755" s="127" t="s">
        <v>571</v>
      </c>
      <c r="K755" s="128" t="s">
        <v>2219</v>
      </c>
      <c r="L755" s="154"/>
      <c r="M755" s="127">
        <v>625445</v>
      </c>
      <c r="N755" s="109" t="s">
        <v>7939</v>
      </c>
      <c r="O755" s="20"/>
      <c r="P755" s="20"/>
      <c r="Q755" s="20"/>
    </row>
    <row r="756" spans="1:17" ht="24.75" customHeight="1">
      <c r="A756" s="20">
        <v>362</v>
      </c>
      <c r="B756" s="20" t="s">
        <v>4321</v>
      </c>
      <c r="C756" s="19">
        <v>39</v>
      </c>
      <c r="D756" s="19" t="s">
        <v>7938</v>
      </c>
      <c r="E756" s="19" t="str">
        <f>VLOOKUP(D756,'لیست پرسنل'!$B$2:$E$1020,3,FALSE)</f>
        <v>کاربین طرح</v>
      </c>
      <c r="F756" s="19" t="str">
        <f>VLOOKUP(D756,'لیست پرسنل'!$B$2:$E$1020,4,FALSE)</f>
        <v>ایمنی</v>
      </c>
      <c r="G756" s="127">
        <f>VLOOKUP(D756,'لیست پرسنل'!$B$2:$F$1020,2,FALSE)</f>
        <v>100656</v>
      </c>
      <c r="H756" s="151" t="s">
        <v>6057</v>
      </c>
      <c r="I756" s="127" t="s">
        <v>6056</v>
      </c>
      <c r="J756" s="128" t="s">
        <v>2686</v>
      </c>
      <c r="K756" s="128" t="s">
        <v>2922</v>
      </c>
      <c r="L756" s="127" t="s">
        <v>3066</v>
      </c>
      <c r="M756" s="128">
        <v>626550</v>
      </c>
      <c r="N756" s="109" t="s">
        <v>7939</v>
      </c>
      <c r="O756" s="20" t="s">
        <v>705</v>
      </c>
      <c r="P756" s="20"/>
      <c r="Q756" s="20"/>
    </row>
    <row r="757" spans="1:17" ht="24.75" customHeight="1">
      <c r="A757" s="20">
        <v>362</v>
      </c>
      <c r="B757" s="20" t="s">
        <v>4321</v>
      </c>
      <c r="C757" s="19">
        <v>40</v>
      </c>
      <c r="D757" s="19" t="s">
        <v>6984</v>
      </c>
      <c r="E757" s="19" t="str">
        <f>VLOOKUP(D757,'لیست پرسنل'!$B$2:$E$1020,3,FALSE)</f>
        <v>کاربین طرح</v>
      </c>
      <c r="F757" s="19" t="str">
        <f>VLOOKUP(D757,'لیست پرسنل'!$B$2:$E$1020,4,FALSE)</f>
        <v>ایمنی</v>
      </c>
      <c r="G757" s="127">
        <f>VLOOKUP(D757,'لیست پرسنل'!$B$2:$F$1020,2,FALSE)</f>
        <v>100632</v>
      </c>
      <c r="H757" s="151" t="s">
        <v>6057</v>
      </c>
      <c r="I757" s="127" t="s">
        <v>6059</v>
      </c>
      <c r="J757" s="127" t="s">
        <v>737</v>
      </c>
      <c r="K757" s="128" t="s">
        <v>5781</v>
      </c>
      <c r="L757" s="128" t="s">
        <v>5914</v>
      </c>
      <c r="M757" s="132">
        <v>632125</v>
      </c>
      <c r="N757" s="109" t="s">
        <v>6840</v>
      </c>
      <c r="O757" s="19"/>
      <c r="P757" s="20"/>
      <c r="Q757" s="20"/>
    </row>
    <row r="758" spans="1:17" ht="24.9" customHeight="1">
      <c r="A758" s="20">
        <v>362</v>
      </c>
      <c r="B758" s="20" t="s">
        <v>4321</v>
      </c>
      <c r="C758" s="19">
        <v>40</v>
      </c>
      <c r="D758" s="19" t="s">
        <v>3444</v>
      </c>
      <c r="E758" s="19" t="str">
        <f>VLOOKUP(D758,'لیست پرسنل'!$B$2:$E$1020,3,FALSE)</f>
        <v>کاربین طرح</v>
      </c>
      <c r="F758" s="19" t="str">
        <f>VLOOKUP(D758,'لیست پرسنل'!$B$2:$E$1020,4,FALSE)</f>
        <v>ایمنی - آهک</v>
      </c>
      <c r="G758" s="127" t="str">
        <f>VLOOKUP(D758,'لیست پرسنل'!$B$2:$F$1020,2,FALSE)</f>
        <v>100541</v>
      </c>
      <c r="H758" s="151" t="s">
        <v>4306</v>
      </c>
      <c r="I758" s="127" t="s">
        <v>6059</v>
      </c>
      <c r="J758" s="127" t="s">
        <v>571</v>
      </c>
      <c r="K758" s="128" t="s">
        <v>8106</v>
      </c>
      <c r="L758" s="128"/>
      <c r="M758" s="132">
        <v>632470</v>
      </c>
      <c r="N758" s="109" t="s">
        <v>6840</v>
      </c>
      <c r="O758" s="19"/>
      <c r="P758" s="20"/>
      <c r="Q758" s="20"/>
    </row>
    <row r="759" spans="1:17" ht="24.9" customHeight="1">
      <c r="A759" s="20">
        <v>362</v>
      </c>
      <c r="B759" s="20" t="s">
        <v>4321</v>
      </c>
      <c r="C759" s="19">
        <v>40</v>
      </c>
      <c r="D759" s="19" t="s">
        <v>3444</v>
      </c>
      <c r="E759" s="19" t="str">
        <f>VLOOKUP(D759,'لیست پرسنل'!$B$2:$E$1020,3,FALSE)</f>
        <v>کاربین طرح</v>
      </c>
      <c r="F759" s="19" t="str">
        <f>VLOOKUP(D759,'لیست پرسنل'!$B$2:$E$1020,4,FALSE)</f>
        <v>ایمنی - آهک</v>
      </c>
      <c r="G759" s="127" t="str">
        <f>VLOOKUP(D759,'لیست پرسنل'!$B$2:$F$1020,2,FALSE)</f>
        <v>100541</v>
      </c>
      <c r="H759" s="151" t="s">
        <v>4306</v>
      </c>
      <c r="I759" s="127" t="s">
        <v>6059</v>
      </c>
      <c r="J759" s="128" t="s">
        <v>2686</v>
      </c>
      <c r="K759" s="128" t="s">
        <v>2922</v>
      </c>
      <c r="L759" s="127" t="s">
        <v>3033</v>
      </c>
      <c r="M759" s="128">
        <v>626516</v>
      </c>
      <c r="N759" s="109" t="s">
        <v>6840</v>
      </c>
      <c r="O759" s="20" t="s">
        <v>705</v>
      </c>
      <c r="P759" s="20"/>
      <c r="Q759" s="20"/>
    </row>
    <row r="760" spans="1:17" ht="24.9" customHeight="1">
      <c r="A760" s="20">
        <v>362</v>
      </c>
      <c r="B760" s="20" t="s">
        <v>4321</v>
      </c>
      <c r="C760" s="19">
        <v>40</v>
      </c>
      <c r="D760" s="19" t="s">
        <v>3444</v>
      </c>
      <c r="E760" s="19" t="str">
        <f>VLOOKUP(D760,'لیست پرسنل'!$B$2:$E$1020,3,FALSE)</f>
        <v>کاربین طرح</v>
      </c>
      <c r="F760" s="19" t="str">
        <f>VLOOKUP(D760,'لیست پرسنل'!$B$2:$E$1020,4,FALSE)</f>
        <v>ایمنی - آهک</v>
      </c>
      <c r="G760" s="127" t="str">
        <f>VLOOKUP(D760,'لیست پرسنل'!$B$2:$F$1020,2,FALSE)</f>
        <v>100541</v>
      </c>
      <c r="H760" s="151" t="s">
        <v>6057</v>
      </c>
      <c r="I760" s="127" t="s">
        <v>6059</v>
      </c>
      <c r="J760" s="126" t="s">
        <v>368</v>
      </c>
      <c r="K760" s="128" t="s">
        <v>8248</v>
      </c>
      <c r="L760" s="127" t="s">
        <v>2438</v>
      </c>
      <c r="M760" s="128">
        <v>628847</v>
      </c>
      <c r="N760" s="108"/>
      <c r="O760" s="20" t="s">
        <v>705</v>
      </c>
      <c r="P760" s="20"/>
      <c r="Q760" s="20"/>
    </row>
    <row r="761" spans="1:17" ht="24.9" customHeight="1">
      <c r="A761" s="20">
        <v>362</v>
      </c>
      <c r="B761" s="20" t="s">
        <v>4321</v>
      </c>
      <c r="C761" s="19">
        <v>41</v>
      </c>
      <c r="D761" s="19" t="s">
        <v>7943</v>
      </c>
      <c r="E761" s="19" t="str">
        <f>VLOOKUP(D761,'لیست پرسنل'!$B$2:$E$1020,3,FALSE)</f>
        <v>گهر نشاط سمنگان</v>
      </c>
      <c r="F761" s="19" t="str">
        <f>VLOOKUP(D761,'لیست پرسنل'!$B$2:$E$1020,4,FALSE)</f>
        <v>ایمنی</v>
      </c>
      <c r="G761" s="127">
        <f>VLOOKUP(D761,'لیست پرسنل'!$B$2:$F$1020,2,FALSE)</f>
        <v>0</v>
      </c>
      <c r="H761" s="151" t="s">
        <v>6057</v>
      </c>
      <c r="I761" s="127" t="s">
        <v>6058</v>
      </c>
      <c r="J761" s="127" t="s">
        <v>571</v>
      </c>
      <c r="K761" s="127" t="s">
        <v>2219</v>
      </c>
      <c r="L761" s="140"/>
      <c r="M761" s="127">
        <v>624617</v>
      </c>
      <c r="N761" s="109" t="s">
        <v>6840</v>
      </c>
      <c r="O761" s="19"/>
      <c r="P761" s="20"/>
      <c r="Q761" s="20"/>
    </row>
    <row r="762" spans="1:17" ht="24.9" customHeight="1">
      <c r="A762" s="20">
        <v>362</v>
      </c>
      <c r="B762" s="20" t="s">
        <v>4321</v>
      </c>
      <c r="C762" s="19">
        <v>43</v>
      </c>
      <c r="D762" s="19" t="s">
        <v>6611</v>
      </c>
      <c r="E762" s="19" t="str">
        <f>VLOOKUP(D762,'لیست پرسنل'!$B$2:$E$1020,3,FALSE)</f>
        <v>کارفرما</v>
      </c>
      <c r="F762" s="19" t="str">
        <f>VLOOKUP(D762,'لیست پرسنل'!$B$2:$E$1020,4,FALSE)</f>
        <v>توسعه</v>
      </c>
      <c r="G762" s="127">
        <f>VLOOKUP(D762,'لیست پرسنل'!$B$2:$F$1020,2,FALSE)</f>
        <v>0</v>
      </c>
      <c r="H762" s="151" t="s">
        <v>3490</v>
      </c>
      <c r="I762" s="127" t="s">
        <v>6613</v>
      </c>
      <c r="J762" s="127" t="s">
        <v>571</v>
      </c>
      <c r="K762" s="127" t="s">
        <v>6482</v>
      </c>
      <c r="L762" s="127"/>
      <c r="M762" s="127">
        <v>603679</v>
      </c>
      <c r="N762" s="109"/>
      <c r="O762" s="39"/>
      <c r="P762" s="20"/>
      <c r="Q762" s="20"/>
    </row>
    <row r="763" spans="1:17" ht="24.9" customHeight="1">
      <c r="A763" s="20">
        <v>362</v>
      </c>
      <c r="B763" s="20" t="s">
        <v>4321</v>
      </c>
      <c r="C763" s="19">
        <v>43</v>
      </c>
      <c r="D763" s="19" t="s">
        <v>6611</v>
      </c>
      <c r="E763" s="19" t="str">
        <f>VLOOKUP(D763,'لیست پرسنل'!$B$2:$E$1020,3,FALSE)</f>
        <v>کارفرما</v>
      </c>
      <c r="F763" s="19" t="str">
        <f>VLOOKUP(D763,'لیست پرسنل'!$B$2:$E$1020,4,FALSE)</f>
        <v>توسعه</v>
      </c>
      <c r="G763" s="127">
        <f>VLOOKUP(D763,'لیست پرسنل'!$B$2:$F$1020,2,FALSE)</f>
        <v>0</v>
      </c>
      <c r="H763" s="151" t="s">
        <v>3490</v>
      </c>
      <c r="I763" s="127" t="s">
        <v>6613</v>
      </c>
      <c r="J763" s="128" t="s">
        <v>2686</v>
      </c>
      <c r="K763" s="128" t="s">
        <v>744</v>
      </c>
      <c r="L763" s="158">
        <v>722011109029933</v>
      </c>
      <c r="M763" s="127">
        <v>605841</v>
      </c>
      <c r="N763" s="109"/>
      <c r="O763" s="86"/>
      <c r="P763" s="20"/>
      <c r="Q763" s="20"/>
    </row>
    <row r="764" spans="1:17" ht="24.9" customHeight="1">
      <c r="A764" s="20">
        <v>362</v>
      </c>
      <c r="B764" s="20" t="s">
        <v>4321</v>
      </c>
      <c r="C764" s="19">
        <v>44</v>
      </c>
      <c r="D764" s="19" t="s">
        <v>6611</v>
      </c>
      <c r="E764" s="19" t="str">
        <f>VLOOKUP(D764,'لیست پرسنل'!$B$2:$E$1020,3,FALSE)</f>
        <v>کارفرما</v>
      </c>
      <c r="F764" s="19" t="str">
        <f>VLOOKUP(D764,'لیست پرسنل'!$B$2:$E$1020,4,FALSE)</f>
        <v>توسعه</v>
      </c>
      <c r="G764" s="127">
        <f>VLOOKUP(D764,'لیست پرسنل'!$B$2:$F$1020,2,FALSE)</f>
        <v>0</v>
      </c>
      <c r="H764" s="151" t="s">
        <v>8126</v>
      </c>
      <c r="I764" s="127" t="s">
        <v>6614</v>
      </c>
      <c r="J764" s="127" t="s">
        <v>571</v>
      </c>
      <c r="K764" s="127" t="s">
        <v>6473</v>
      </c>
      <c r="L764" s="127"/>
      <c r="M764" s="127">
        <v>611957</v>
      </c>
      <c r="N764" s="109"/>
      <c r="O764" s="19"/>
      <c r="P764" s="20"/>
      <c r="Q764" s="20"/>
    </row>
    <row r="765" spans="1:17" ht="24.9" customHeight="1">
      <c r="A765" s="20">
        <v>362</v>
      </c>
      <c r="B765" s="20" t="s">
        <v>4321</v>
      </c>
      <c r="C765" s="19">
        <v>44</v>
      </c>
      <c r="D765" s="19" t="s">
        <v>6611</v>
      </c>
      <c r="E765" s="19" t="str">
        <f>VLOOKUP(D765,'لیست پرسنل'!$B$2:$E$1020,3,FALSE)</f>
        <v>کارفرما</v>
      </c>
      <c r="F765" s="19" t="str">
        <f>VLOOKUP(D765,'لیست پرسنل'!$B$2:$E$1020,4,FALSE)</f>
        <v>توسعه</v>
      </c>
      <c r="G765" s="127">
        <f>VLOOKUP(D765,'لیست پرسنل'!$B$2:$F$1020,2,FALSE)</f>
        <v>0</v>
      </c>
      <c r="H765" s="151" t="s">
        <v>8126</v>
      </c>
      <c r="I765" s="127" t="s">
        <v>6614</v>
      </c>
      <c r="J765" s="128" t="s">
        <v>2686</v>
      </c>
      <c r="K765" s="128" t="s">
        <v>744</v>
      </c>
      <c r="L765" s="153" t="s">
        <v>1707</v>
      </c>
      <c r="M765" s="127">
        <v>610924</v>
      </c>
      <c r="N765" s="109"/>
      <c r="O765" s="86"/>
      <c r="P765" s="20"/>
      <c r="Q765" s="20"/>
    </row>
    <row r="766" spans="1:17" ht="24.9" customHeight="1">
      <c r="A766" s="20">
        <v>362</v>
      </c>
      <c r="B766" s="20" t="s">
        <v>4321</v>
      </c>
      <c r="C766" s="19">
        <v>45</v>
      </c>
      <c r="D766" s="19" t="s">
        <v>7914</v>
      </c>
      <c r="E766" s="19" t="str">
        <f>VLOOKUP(D766,'لیست پرسنل'!$B$2:$E$1020,3,FALSE)</f>
        <v>گهر نشاط</v>
      </c>
      <c r="F766" s="19" t="str">
        <f>VLOOKUP(D766,'لیست پرسنل'!$B$2:$E$1020,4,FALSE)</f>
        <v>بهداری</v>
      </c>
      <c r="G766" s="127">
        <f>VLOOKUP(D766,'لیست پرسنل'!$B$2:$F$1020,2,FALSE)</f>
        <v>0</v>
      </c>
      <c r="H766" s="151" t="s">
        <v>6057</v>
      </c>
      <c r="I766" s="127" t="s">
        <v>7960</v>
      </c>
      <c r="J766" s="127" t="s">
        <v>571</v>
      </c>
      <c r="K766" s="128"/>
      <c r="L766" s="151"/>
      <c r="M766" s="128">
        <v>627884</v>
      </c>
      <c r="N766" s="108" t="s">
        <v>6840</v>
      </c>
      <c r="O766" s="20"/>
      <c r="P766" s="20"/>
      <c r="Q766" s="20"/>
    </row>
    <row r="767" spans="1:17" ht="24.9" customHeight="1">
      <c r="A767" s="20">
        <v>362</v>
      </c>
      <c r="B767" s="20" t="s">
        <v>4321</v>
      </c>
      <c r="C767" s="20">
        <v>45</v>
      </c>
      <c r="D767" s="20" t="s">
        <v>7914</v>
      </c>
      <c r="E767" s="19" t="str">
        <f>VLOOKUP(D767,'لیست پرسنل'!$B$2:$E$1020,3,FALSE)</f>
        <v>گهر نشاط</v>
      </c>
      <c r="F767" s="19" t="str">
        <f>VLOOKUP(D767,'لیست پرسنل'!$B$2:$E$1020,4,FALSE)</f>
        <v>بهداری</v>
      </c>
      <c r="G767" s="127">
        <f>VLOOKUP(D767,'لیست پرسنل'!$B$2:$F$1020,2,FALSE)</f>
        <v>0</v>
      </c>
      <c r="H767" s="126" t="s">
        <v>6057</v>
      </c>
      <c r="I767" s="128" t="s">
        <v>7960</v>
      </c>
      <c r="J767" s="128" t="s">
        <v>2686</v>
      </c>
      <c r="K767" s="128" t="s">
        <v>2922</v>
      </c>
      <c r="L767" s="128" t="s">
        <v>2952</v>
      </c>
      <c r="M767" s="128">
        <v>626432</v>
      </c>
      <c r="N767" s="108" t="s">
        <v>6840</v>
      </c>
      <c r="O767" s="20" t="s">
        <v>705</v>
      </c>
      <c r="P767" s="20"/>
      <c r="Q767" s="20"/>
    </row>
    <row r="768" spans="1:17" ht="24.9" customHeight="1">
      <c r="A768" s="20">
        <v>362</v>
      </c>
      <c r="B768" s="20" t="s">
        <v>4321</v>
      </c>
      <c r="C768" s="19">
        <v>46</v>
      </c>
      <c r="D768" s="19" t="s">
        <v>7950</v>
      </c>
      <c r="E768" s="19" t="str">
        <f>VLOOKUP(D768,'لیست پرسنل'!$B$2:$E$1020,3,FALSE)</f>
        <v>گهر نشاط سمنگان</v>
      </c>
      <c r="F768" s="19" t="str">
        <f>VLOOKUP(D768,'لیست پرسنل'!$B$2:$E$1020,4,FALSE)</f>
        <v>طب کار</v>
      </c>
      <c r="G768" s="127">
        <f>VLOOKUP(D768,'لیست پرسنل'!$B$2:$F$1020,2,FALSE)</f>
        <v>0</v>
      </c>
      <c r="H768" s="151" t="s">
        <v>6057</v>
      </c>
      <c r="I768" s="127" t="s">
        <v>7951</v>
      </c>
      <c r="J768" s="127" t="s">
        <v>571</v>
      </c>
      <c r="K768" s="128" t="s">
        <v>2219</v>
      </c>
      <c r="L768" s="127" t="s">
        <v>7951</v>
      </c>
      <c r="M768" s="127">
        <v>628593</v>
      </c>
      <c r="N768" s="109"/>
      <c r="O768" s="19"/>
      <c r="P768" s="20"/>
      <c r="Q768" s="20"/>
    </row>
    <row r="769" spans="1:17" ht="24.9" customHeight="1">
      <c r="A769" s="20">
        <v>362</v>
      </c>
      <c r="B769" s="20" t="s">
        <v>4321</v>
      </c>
      <c r="C769" s="19">
        <v>46</v>
      </c>
      <c r="D769" s="19" t="s">
        <v>7950</v>
      </c>
      <c r="E769" s="19" t="str">
        <f>VLOOKUP(D769,'لیست پرسنل'!$B$2:$E$1020,3,FALSE)</f>
        <v>گهر نشاط سمنگان</v>
      </c>
      <c r="F769" s="19" t="str">
        <f>VLOOKUP(D769,'لیست پرسنل'!$B$2:$E$1020,4,FALSE)</f>
        <v>طب کار</v>
      </c>
      <c r="G769" s="127">
        <f>VLOOKUP(D769,'لیست پرسنل'!$B$2:$F$1020,2,FALSE)</f>
        <v>0</v>
      </c>
      <c r="H769" s="151" t="s">
        <v>6057</v>
      </c>
      <c r="I769" s="127" t="s">
        <v>7951</v>
      </c>
      <c r="J769" s="128" t="s">
        <v>2686</v>
      </c>
      <c r="K769" s="128" t="s">
        <v>2922</v>
      </c>
      <c r="L769" s="127" t="s">
        <v>3051</v>
      </c>
      <c r="M769" s="127">
        <v>626535</v>
      </c>
      <c r="N769" s="109"/>
      <c r="O769" s="19"/>
      <c r="P769" s="20"/>
      <c r="Q769" s="20"/>
    </row>
    <row r="770" spans="1:17" ht="24.9" customHeight="1">
      <c r="A770" s="20">
        <v>362</v>
      </c>
      <c r="B770" s="20" t="s">
        <v>4321</v>
      </c>
      <c r="C770" s="19"/>
      <c r="D770" s="19" t="s">
        <v>6840</v>
      </c>
      <c r="E770" s="19" t="str">
        <f>VLOOKUP(D770,'لیست پرسنل'!$B$2:$E$1020,3,FALSE)</f>
        <v>فکورصنعت</v>
      </c>
      <c r="F770" s="19" t="str">
        <f>VLOOKUP(D770,'لیست پرسنل'!$B$2:$E$1020,4,FALSE)</f>
        <v>ایمنی</v>
      </c>
      <c r="G770" s="127">
        <f>VLOOKUP(D770,'لیست پرسنل'!$B$2:$F$1020,2,FALSE)</f>
        <v>4030502</v>
      </c>
      <c r="H770" s="151" t="s">
        <v>6060</v>
      </c>
      <c r="I770" s="127"/>
      <c r="J770" s="128" t="s">
        <v>3483</v>
      </c>
      <c r="K770" s="128" t="s">
        <v>3701</v>
      </c>
      <c r="L770" s="128"/>
      <c r="M770" s="126">
        <v>629508</v>
      </c>
      <c r="N770" s="108"/>
      <c r="O770" s="20" t="s">
        <v>705</v>
      </c>
      <c r="P770" s="20"/>
      <c r="Q770" s="20"/>
    </row>
    <row r="771" spans="1:17" ht="24.9" customHeight="1">
      <c r="A771" s="20">
        <v>362</v>
      </c>
      <c r="B771" s="20" t="s">
        <v>4321</v>
      </c>
      <c r="C771" s="19"/>
      <c r="D771" s="19" t="s">
        <v>6840</v>
      </c>
      <c r="E771" s="19" t="str">
        <f>VLOOKUP(D771,'لیست پرسنل'!$B$2:$E$1020,3,FALSE)</f>
        <v>فکورصنعت</v>
      </c>
      <c r="F771" s="19" t="str">
        <f>VLOOKUP(D771,'لیست پرسنل'!$B$2:$E$1020,4,FALSE)</f>
        <v>ایمنی</v>
      </c>
      <c r="G771" s="127">
        <f>VLOOKUP(D771,'لیست پرسنل'!$B$2:$F$1020,2,FALSE)</f>
        <v>4030502</v>
      </c>
      <c r="H771" s="151" t="s">
        <v>6060</v>
      </c>
      <c r="I771" s="127"/>
      <c r="J771" s="128" t="s">
        <v>3476</v>
      </c>
      <c r="K771" s="128" t="s">
        <v>4801</v>
      </c>
      <c r="L771" s="128" t="s">
        <v>5244</v>
      </c>
      <c r="M771" s="128">
        <v>631305</v>
      </c>
      <c r="N771" s="108"/>
      <c r="O771" s="20"/>
      <c r="P771" s="20"/>
      <c r="Q771" s="20"/>
    </row>
    <row r="772" spans="1:17" ht="24.9" customHeight="1">
      <c r="A772" s="20">
        <v>362</v>
      </c>
      <c r="B772" s="20" t="s">
        <v>4321</v>
      </c>
      <c r="C772" s="19"/>
      <c r="D772" s="19" t="s">
        <v>6840</v>
      </c>
      <c r="E772" s="19" t="str">
        <f>VLOOKUP(D772,'لیست پرسنل'!$B$2:$E$1020,3,FALSE)</f>
        <v>فکورصنعت</v>
      </c>
      <c r="F772" s="19" t="str">
        <f>VLOOKUP(D772,'لیست پرسنل'!$B$2:$E$1020,4,FALSE)</f>
        <v>ایمنی</v>
      </c>
      <c r="G772" s="127">
        <f>VLOOKUP(D772,'لیست پرسنل'!$B$2:$F$1020,2,FALSE)</f>
        <v>4030502</v>
      </c>
      <c r="H772" s="151" t="s">
        <v>6057</v>
      </c>
      <c r="I772" s="127"/>
      <c r="J772" s="128" t="s">
        <v>5366</v>
      </c>
      <c r="K772" s="128" t="s">
        <v>5546</v>
      </c>
      <c r="L772" s="127" t="s">
        <v>5545</v>
      </c>
      <c r="M772" s="128">
        <v>615710</v>
      </c>
      <c r="N772" s="108"/>
      <c r="O772" s="20"/>
      <c r="P772" s="20"/>
      <c r="Q772" s="20"/>
    </row>
    <row r="773" spans="1:17" ht="24.9" customHeight="1">
      <c r="A773" s="20">
        <v>362</v>
      </c>
      <c r="B773" s="20" t="s">
        <v>4321</v>
      </c>
      <c r="C773" s="20"/>
      <c r="D773" s="20" t="s">
        <v>3472</v>
      </c>
      <c r="E773" s="19">
        <f>VLOOKUP(D773,'لیست پرسنل'!$B$2:$E$1020,3,FALSE)</f>
        <v>0</v>
      </c>
      <c r="F773" s="19" t="str">
        <f>VLOOKUP(D773,'لیست پرسنل'!$B$2:$E$1020,4,FALSE)</f>
        <v>حراست فکور</v>
      </c>
      <c r="G773" s="127">
        <f>VLOOKUP(D773,'لیست پرسنل'!$B$2:$F$1020,2,FALSE)</f>
        <v>0</v>
      </c>
      <c r="H773" s="128" t="s">
        <v>3473</v>
      </c>
      <c r="I773" s="128"/>
      <c r="J773" s="126" t="s">
        <v>368</v>
      </c>
      <c r="K773" s="128" t="s">
        <v>3474</v>
      </c>
      <c r="L773" s="128" t="s">
        <v>722</v>
      </c>
      <c r="M773" s="128">
        <v>622566</v>
      </c>
      <c r="N773" s="108"/>
      <c r="O773" s="20"/>
      <c r="P773" s="20"/>
      <c r="Q773" s="20"/>
    </row>
    <row r="774" spans="1:17" ht="24.9" customHeight="1">
      <c r="A774" s="20">
        <v>362</v>
      </c>
      <c r="B774" s="20" t="s">
        <v>4321</v>
      </c>
      <c r="C774" s="19"/>
      <c r="D774" s="19" t="s">
        <v>3471</v>
      </c>
      <c r="E774" s="19" t="str">
        <f>VLOOKUP(D774,'لیست پرسنل'!$B$2:$E$1020,3,FALSE)</f>
        <v>کارفرما</v>
      </c>
      <c r="F774" s="19" t="str">
        <f>VLOOKUP(D774,'لیست پرسنل'!$B$2:$E$1020,4,FALSE)</f>
        <v>مدیر ایمنی کارفرما</v>
      </c>
      <c r="G774" s="127">
        <f>VLOOKUP(D774,'لیست پرسنل'!$B$2:$F$1020,2,FALSE)</f>
        <v>0</v>
      </c>
      <c r="H774" s="127" t="s">
        <v>3451</v>
      </c>
      <c r="I774" s="127"/>
      <c r="J774" s="126" t="s">
        <v>368</v>
      </c>
      <c r="K774" s="128" t="s">
        <v>2846</v>
      </c>
      <c r="L774" s="127" t="s">
        <v>2436</v>
      </c>
      <c r="M774" s="128">
        <v>628845</v>
      </c>
      <c r="N774" s="108"/>
      <c r="O774" s="20"/>
      <c r="P774" s="20"/>
      <c r="Q774" s="20"/>
    </row>
    <row r="775" spans="1:17" ht="24.9" customHeight="1">
      <c r="A775" s="20">
        <v>362</v>
      </c>
      <c r="B775" s="20" t="s">
        <v>4321</v>
      </c>
      <c r="C775" s="20"/>
      <c r="D775" s="20" t="s">
        <v>6727</v>
      </c>
      <c r="E775" s="19" t="str">
        <f>VLOOKUP(D775,'لیست پرسنل'!$B$2:$E$1020,3,FALSE)</f>
        <v>کارفرما</v>
      </c>
      <c r="F775" s="19" t="str">
        <f>VLOOKUP(D775,'لیست پرسنل'!$B$2:$E$1020,4,FALSE)</f>
        <v>کارفرما</v>
      </c>
      <c r="G775" s="127">
        <f>VLOOKUP(D775,'لیست پرسنل'!$B$2:$F$1020,2,FALSE)</f>
        <v>0</v>
      </c>
      <c r="H775" s="126" t="s">
        <v>3490</v>
      </c>
      <c r="I775" s="128"/>
      <c r="J775" s="128" t="s">
        <v>3532</v>
      </c>
      <c r="K775" s="128" t="s">
        <v>4802</v>
      </c>
      <c r="L775" s="128" t="s">
        <v>5570</v>
      </c>
      <c r="M775" s="128">
        <v>631866</v>
      </c>
      <c r="N775" s="108"/>
      <c r="O775" s="20" t="s">
        <v>705</v>
      </c>
      <c r="P775" s="20"/>
      <c r="Q775" s="20"/>
    </row>
    <row r="776" spans="1:17" ht="24.9" customHeight="1">
      <c r="A776" s="20">
        <v>362</v>
      </c>
      <c r="B776" s="20" t="s">
        <v>4321</v>
      </c>
      <c r="C776" s="19"/>
      <c r="D776" s="19" t="s">
        <v>3788</v>
      </c>
      <c r="E776" s="19" t="str">
        <f>VLOOKUP(D776,'لیست پرسنل'!$B$2:$E$1020,3,FALSE)</f>
        <v>نظارت کارفرما</v>
      </c>
      <c r="F776" s="19" t="str">
        <f>VLOOKUP(D776,'لیست پرسنل'!$B$2:$E$1020,4,FALSE)</f>
        <v>مدیر پروژه راه اندازی  فرزان</v>
      </c>
      <c r="G776" s="127">
        <f>VLOOKUP(D776,'لیست پرسنل'!$B$2:$F$1020,2,FALSE)</f>
        <v>0</v>
      </c>
      <c r="H776" s="127" t="s">
        <v>3451</v>
      </c>
      <c r="I776" s="128"/>
      <c r="J776" s="128" t="s">
        <v>3464</v>
      </c>
      <c r="K776" s="128" t="s">
        <v>2205</v>
      </c>
      <c r="L776" s="127" t="s">
        <v>2208</v>
      </c>
      <c r="M776" s="127">
        <v>628668</v>
      </c>
      <c r="N776" s="109"/>
      <c r="O776" s="20"/>
      <c r="P776" s="20"/>
      <c r="Q776" s="20"/>
    </row>
    <row r="777" spans="1:17" ht="24.9" customHeight="1">
      <c r="A777" s="20">
        <v>362</v>
      </c>
      <c r="B777" s="20" t="s">
        <v>4321</v>
      </c>
      <c r="C777" s="19"/>
      <c r="D777" s="19" t="s">
        <v>3788</v>
      </c>
      <c r="E777" s="19" t="str">
        <f>VLOOKUP(D777,'لیست پرسنل'!$B$2:$E$1020,3,FALSE)</f>
        <v>نظارت کارفرما</v>
      </c>
      <c r="F777" s="19" t="str">
        <f>VLOOKUP(D777,'لیست پرسنل'!$B$2:$E$1020,4,FALSE)</f>
        <v>مدیر پروژه راه اندازی  فرزان</v>
      </c>
      <c r="G777" s="127">
        <f>VLOOKUP(D777,'لیست پرسنل'!$B$2:$F$1020,2,FALSE)</f>
        <v>0</v>
      </c>
      <c r="H777" s="127" t="s">
        <v>3451</v>
      </c>
      <c r="I777" s="128"/>
      <c r="J777" s="128" t="s">
        <v>3464</v>
      </c>
      <c r="K777" s="128" t="s">
        <v>2205</v>
      </c>
      <c r="L777" s="128" t="s">
        <v>2206</v>
      </c>
      <c r="M777" s="128">
        <v>628669</v>
      </c>
      <c r="N777" s="108"/>
      <c r="O777" s="20"/>
      <c r="P777" s="20"/>
      <c r="Q777" s="20"/>
    </row>
    <row r="778" spans="1:17" ht="24.9" customHeight="1">
      <c r="A778" s="20">
        <v>362</v>
      </c>
      <c r="B778" s="20" t="s">
        <v>4321</v>
      </c>
      <c r="C778" s="19"/>
      <c r="D778" s="19" t="s">
        <v>3788</v>
      </c>
      <c r="E778" s="19" t="str">
        <f>VLOOKUP(D778,'لیست پرسنل'!$B$2:$E$1020,3,FALSE)</f>
        <v>نظارت کارفرما</v>
      </c>
      <c r="F778" s="19" t="str">
        <f>VLOOKUP(D778,'لیست پرسنل'!$B$2:$E$1020,4,FALSE)</f>
        <v>مدیر پروژه راه اندازی  فرزان</v>
      </c>
      <c r="G778" s="127">
        <f>VLOOKUP(D778,'لیست پرسنل'!$B$2:$F$1020,2,FALSE)</f>
        <v>0</v>
      </c>
      <c r="H778" s="127" t="s">
        <v>3451</v>
      </c>
      <c r="I778" s="128"/>
      <c r="J778" s="128" t="s">
        <v>3464</v>
      </c>
      <c r="K778" s="128" t="s">
        <v>2205</v>
      </c>
      <c r="L778" s="127" t="s">
        <v>2207</v>
      </c>
      <c r="M778" s="127">
        <v>628670</v>
      </c>
      <c r="N778" s="109"/>
      <c r="O778" s="20"/>
      <c r="P778" s="20"/>
      <c r="Q778" s="20"/>
    </row>
    <row r="779" spans="1:17" ht="24.9" customHeight="1">
      <c r="A779" s="20">
        <v>362</v>
      </c>
      <c r="B779" s="20" t="s">
        <v>4321</v>
      </c>
      <c r="C779" s="19"/>
      <c r="D779" s="19" t="s">
        <v>7685</v>
      </c>
      <c r="E779" s="19" t="str">
        <f>VLOOKUP(D779,'لیست پرسنل'!$B$2:$E$1020,3,FALSE)</f>
        <v>کارفرما توسعه فولاد (362)</v>
      </c>
      <c r="F779" s="19" t="str">
        <f>VLOOKUP(D779,'لیست پرسنل'!$B$2:$E$1020,4,FALSE)</f>
        <v>حراست</v>
      </c>
      <c r="G779" s="127">
        <f>VLOOKUP(D779,'لیست پرسنل'!$B$2:$F$1020,2,FALSE)</f>
        <v>0</v>
      </c>
      <c r="H779" s="151" t="s">
        <v>6227</v>
      </c>
      <c r="I779" s="127"/>
      <c r="J779" s="141" t="s">
        <v>571</v>
      </c>
      <c r="K779" s="128" t="s">
        <v>6045</v>
      </c>
      <c r="L779" s="134"/>
      <c r="M779" s="128">
        <v>632749</v>
      </c>
      <c r="N779" s="108" t="s">
        <v>6700</v>
      </c>
      <c r="O779" s="20"/>
      <c r="P779" s="20"/>
      <c r="Q779" s="20"/>
    </row>
    <row r="780" spans="1:17" ht="24.9" customHeight="1">
      <c r="A780" s="20">
        <v>362</v>
      </c>
      <c r="B780" s="20" t="s">
        <v>4321</v>
      </c>
      <c r="C780" s="19"/>
      <c r="D780" s="19" t="s">
        <v>7685</v>
      </c>
      <c r="E780" s="19" t="str">
        <f>VLOOKUP(D780,'لیست پرسنل'!$B$2:$E$1020,3,FALSE)</f>
        <v>کارفرما توسعه فولاد (362)</v>
      </c>
      <c r="F780" s="19" t="str">
        <f>VLOOKUP(D780,'لیست پرسنل'!$B$2:$E$1020,4,FALSE)</f>
        <v>حراست</v>
      </c>
      <c r="G780" s="127">
        <f>VLOOKUP(D780,'لیست پرسنل'!$B$2:$F$1020,2,FALSE)</f>
        <v>0</v>
      </c>
      <c r="H780" s="151" t="s">
        <v>6227</v>
      </c>
      <c r="I780" s="127"/>
      <c r="J780" s="128" t="s">
        <v>2686</v>
      </c>
      <c r="K780" s="128" t="s">
        <v>890</v>
      </c>
      <c r="L780" s="151" t="s">
        <v>2523</v>
      </c>
      <c r="M780" s="127">
        <v>609082</v>
      </c>
      <c r="N780" s="109" t="s">
        <v>6700</v>
      </c>
      <c r="O780" s="86"/>
      <c r="P780" s="20"/>
      <c r="Q780" s="20"/>
    </row>
    <row r="781" spans="1:17" ht="24.9" customHeight="1">
      <c r="A781" s="20">
        <v>362</v>
      </c>
      <c r="B781" s="20" t="s">
        <v>4321</v>
      </c>
      <c r="C781" s="19"/>
      <c r="D781" s="19" t="s">
        <v>6549</v>
      </c>
      <c r="E781" s="19" t="str">
        <f>VLOOKUP(D781,'لیست پرسنل'!$B$2:$E$1020,3,FALSE)</f>
        <v>حراست کارفرما</v>
      </c>
      <c r="F781" s="19" t="str">
        <f>VLOOKUP(D781,'لیست پرسنل'!$B$2:$E$1020,4,FALSE)</f>
        <v>حراست کارفرما</v>
      </c>
      <c r="G781" s="127">
        <f>VLOOKUP(D781,'لیست پرسنل'!$B$2:$F$1020,2,FALSE)</f>
        <v>0</v>
      </c>
      <c r="H781" s="151" t="s">
        <v>6227</v>
      </c>
      <c r="I781" s="127"/>
      <c r="J781" s="127" t="s">
        <v>571</v>
      </c>
      <c r="K781" s="127" t="s">
        <v>6473</v>
      </c>
      <c r="L781" s="158"/>
      <c r="M781" s="127">
        <v>603211</v>
      </c>
      <c r="N781" s="109"/>
      <c r="O781" s="20"/>
      <c r="P781" s="20"/>
      <c r="Q781" s="20"/>
    </row>
    <row r="782" spans="1:17" ht="24.9" customHeight="1">
      <c r="A782" s="20">
        <v>362</v>
      </c>
      <c r="B782" s="20" t="s">
        <v>4321</v>
      </c>
      <c r="C782" s="19"/>
      <c r="D782" s="19" t="s">
        <v>6549</v>
      </c>
      <c r="E782" s="19" t="str">
        <f>VLOOKUP(D782,'لیست پرسنل'!$B$2:$E$1020,3,FALSE)</f>
        <v>حراست کارفرما</v>
      </c>
      <c r="F782" s="19" t="str">
        <f>VLOOKUP(D782,'لیست پرسنل'!$B$2:$E$1020,4,FALSE)</f>
        <v>حراست کارفرما</v>
      </c>
      <c r="G782" s="127">
        <f>VLOOKUP(D782,'لیست پرسنل'!$B$2:$F$1020,2,FALSE)</f>
        <v>0</v>
      </c>
      <c r="H782" s="151" t="s">
        <v>6227</v>
      </c>
      <c r="I782" s="127"/>
      <c r="J782" s="128" t="s">
        <v>2686</v>
      </c>
      <c r="K782" s="128" t="s">
        <v>744</v>
      </c>
      <c r="L782" s="151" t="s">
        <v>950</v>
      </c>
      <c r="M782" s="127">
        <v>604322</v>
      </c>
      <c r="N782" s="109"/>
      <c r="O782" s="86"/>
      <c r="P782" s="20"/>
      <c r="Q782" s="20"/>
    </row>
    <row r="783" spans="1:17" ht="24.9" customHeight="1">
      <c r="A783" s="20">
        <v>362</v>
      </c>
      <c r="B783" s="20" t="s">
        <v>4321</v>
      </c>
      <c r="C783" s="19"/>
      <c r="D783" s="19" t="s">
        <v>7782</v>
      </c>
      <c r="E783" s="19" t="e">
        <f>VLOOKUP(D783,'لیست پرسنل'!$B$2:$E$1020,3,FALSE)</f>
        <v>#N/A</v>
      </c>
      <c r="F783" s="19" t="e">
        <f>VLOOKUP(D783,'لیست پرسنل'!$B$2:$E$1020,4,FALSE)</f>
        <v>#N/A</v>
      </c>
      <c r="G783" s="127" t="e">
        <f>VLOOKUP(D783,'لیست پرسنل'!$B$2:$F$1020,2,FALSE)</f>
        <v>#N/A</v>
      </c>
      <c r="H783" s="128" t="s">
        <v>3451</v>
      </c>
      <c r="I783" s="127"/>
      <c r="J783" s="127" t="s">
        <v>5366</v>
      </c>
      <c r="K783" s="127" t="s">
        <v>3959</v>
      </c>
      <c r="L783" s="127" t="s">
        <v>815</v>
      </c>
      <c r="M783" s="128">
        <v>622501</v>
      </c>
      <c r="N783" s="109" t="s">
        <v>7781</v>
      </c>
      <c r="O783" s="28"/>
      <c r="P783" s="20"/>
      <c r="Q783" s="20"/>
    </row>
    <row r="784" spans="1:17" ht="24.9" customHeight="1">
      <c r="A784" s="20">
        <v>362</v>
      </c>
      <c r="B784" s="20" t="s">
        <v>4321</v>
      </c>
      <c r="C784" s="19"/>
      <c r="D784" s="19" t="s">
        <v>2839</v>
      </c>
      <c r="E784" s="19" t="str">
        <f>VLOOKUP(D784,'لیست پرسنل'!$B$2:$E$1020,3,FALSE)</f>
        <v>کارفرما</v>
      </c>
      <c r="F784" s="19" t="str">
        <f>VLOOKUP(D784,'لیست پرسنل'!$B$2:$E$1020,4,FALSE)</f>
        <v>مدیر پروژه کارفرما</v>
      </c>
      <c r="G784" s="127">
        <f>VLOOKUP(D784,'لیست پرسنل'!$B$2:$F$1020,2,FALSE)</f>
        <v>0</v>
      </c>
      <c r="H784" s="127" t="s">
        <v>3451</v>
      </c>
      <c r="I784" s="127"/>
      <c r="J784" s="126" t="s">
        <v>368</v>
      </c>
      <c r="K784" s="128" t="s">
        <v>2846</v>
      </c>
      <c r="L784" s="128" t="s">
        <v>2483</v>
      </c>
      <c r="M784" s="128">
        <v>628895</v>
      </c>
      <c r="N784" s="108"/>
      <c r="O784" s="20"/>
      <c r="P784" s="20"/>
      <c r="Q784" s="20"/>
    </row>
    <row r="785" spans="1:17" ht="24.9" customHeight="1">
      <c r="A785" s="20">
        <v>362</v>
      </c>
      <c r="B785" s="20" t="s">
        <v>4321</v>
      </c>
      <c r="C785" s="19"/>
      <c r="D785" s="19" t="s">
        <v>2834</v>
      </c>
      <c r="E785" s="19" t="str">
        <f>VLOOKUP(D785,'لیست پرسنل'!$B$2:$E$1020,3,FALSE)</f>
        <v>نظارت کارفرما</v>
      </c>
      <c r="F785" s="19" t="str">
        <f>VLOOKUP(D785,'لیست پرسنل'!$B$2:$E$1020,4,FALSE)</f>
        <v>مدیر نظارت</v>
      </c>
      <c r="G785" s="127">
        <f>VLOOKUP(D785,'لیست پرسنل'!$B$2:$F$1020,2,FALSE)</f>
        <v>0</v>
      </c>
      <c r="H785" s="127" t="s">
        <v>3451</v>
      </c>
      <c r="I785" s="127"/>
      <c r="J785" s="127" t="s">
        <v>5366</v>
      </c>
      <c r="K785" s="127" t="s">
        <v>1845</v>
      </c>
      <c r="L785" s="151" t="s">
        <v>1846</v>
      </c>
      <c r="M785" s="127">
        <v>625353</v>
      </c>
      <c r="N785" s="109"/>
      <c r="O785" s="20"/>
      <c r="P785" s="20"/>
      <c r="Q785" s="20"/>
    </row>
    <row r="786" spans="1:17" ht="24.9" customHeight="1">
      <c r="A786" s="20">
        <v>362</v>
      </c>
      <c r="B786" s="20" t="s">
        <v>4320</v>
      </c>
      <c r="C786" s="19">
        <v>1</v>
      </c>
      <c r="D786" s="20" t="s">
        <v>3380</v>
      </c>
      <c r="E786" s="19" t="str">
        <f>VLOOKUP(D786,'لیست پرسنل'!$B$2:$E$1020,3,FALSE)</f>
        <v>فکورصنعت</v>
      </c>
      <c r="F786" s="19" t="str">
        <f>VLOOKUP(D786,'لیست پرسنل'!$B$2:$E$1020,4,FALSE)</f>
        <v>انبار</v>
      </c>
      <c r="G786" s="127">
        <f>VLOOKUP(D786,'لیست پرسنل'!$B$2:$F$1020,2,FALSE)</f>
        <v>1946</v>
      </c>
      <c r="H786" s="127" t="s">
        <v>5415</v>
      </c>
      <c r="I786" s="127" t="s">
        <v>15</v>
      </c>
      <c r="J786" s="126" t="s">
        <v>368</v>
      </c>
      <c r="K786" s="128" t="s">
        <v>2846</v>
      </c>
      <c r="L786" s="151" t="s">
        <v>2369</v>
      </c>
      <c r="M786" s="127">
        <v>628776</v>
      </c>
      <c r="N786" s="109"/>
      <c r="O786" s="86"/>
      <c r="P786" s="20"/>
      <c r="Q786" s="20"/>
    </row>
    <row r="787" spans="1:17" ht="24.9" customHeight="1">
      <c r="A787" s="20">
        <v>362</v>
      </c>
      <c r="B787" s="20" t="s">
        <v>4320</v>
      </c>
      <c r="C787" s="19">
        <v>1</v>
      </c>
      <c r="D787" s="20" t="s">
        <v>3380</v>
      </c>
      <c r="E787" s="19" t="str">
        <f>VLOOKUP(D787,'لیست پرسنل'!$B$2:$E$1020,3,FALSE)</f>
        <v>فکورصنعت</v>
      </c>
      <c r="F787" s="19" t="str">
        <f>VLOOKUP(D787,'لیست پرسنل'!$B$2:$E$1020,4,FALSE)</f>
        <v>انبار</v>
      </c>
      <c r="G787" s="127">
        <f>VLOOKUP(D787,'لیست پرسنل'!$B$2:$F$1020,2,FALSE)</f>
        <v>1946</v>
      </c>
      <c r="H787" s="127" t="s">
        <v>5415</v>
      </c>
      <c r="I787" s="127" t="s">
        <v>15</v>
      </c>
      <c r="J787" s="128" t="s">
        <v>3476</v>
      </c>
      <c r="K787" s="128" t="s">
        <v>6184</v>
      </c>
      <c r="L787" s="127" t="s">
        <v>6979</v>
      </c>
      <c r="M787" s="127">
        <v>633333</v>
      </c>
      <c r="N787" s="108"/>
      <c r="O787" s="20"/>
      <c r="P787" s="20"/>
      <c r="Q787" s="20"/>
    </row>
    <row r="788" spans="1:17" ht="24.9" customHeight="1">
      <c r="A788" s="20">
        <v>362</v>
      </c>
      <c r="B788" s="20" t="s">
        <v>4320</v>
      </c>
      <c r="C788" s="19">
        <v>1</v>
      </c>
      <c r="D788" s="20" t="s">
        <v>3380</v>
      </c>
      <c r="E788" s="19" t="str">
        <f>VLOOKUP(D788,'لیست پرسنل'!$B$2:$E$1020,3,FALSE)</f>
        <v>فکورصنعت</v>
      </c>
      <c r="F788" s="19" t="str">
        <f>VLOOKUP(D788,'لیست پرسنل'!$B$2:$E$1020,4,FALSE)</f>
        <v>انبار</v>
      </c>
      <c r="G788" s="127">
        <f>VLOOKUP(D788,'لیست پرسنل'!$B$2:$F$1020,2,FALSE)</f>
        <v>1946</v>
      </c>
      <c r="H788" s="127" t="s">
        <v>5415</v>
      </c>
      <c r="I788" s="127" t="s">
        <v>15</v>
      </c>
      <c r="J788" s="141" t="s">
        <v>571</v>
      </c>
      <c r="K788" s="128" t="s">
        <v>1951</v>
      </c>
      <c r="L788" s="165" t="s">
        <v>2219</v>
      </c>
      <c r="M788" s="128">
        <v>629705</v>
      </c>
      <c r="N788" s="108"/>
      <c r="O788" s="20" t="s">
        <v>705</v>
      </c>
      <c r="P788" s="20"/>
      <c r="Q788" s="20"/>
    </row>
    <row r="789" spans="1:17" ht="24.9" customHeight="1">
      <c r="A789" s="20">
        <v>362</v>
      </c>
      <c r="B789" s="20" t="s">
        <v>4320</v>
      </c>
      <c r="C789" s="19">
        <v>1</v>
      </c>
      <c r="D789" s="19" t="s">
        <v>3380</v>
      </c>
      <c r="E789" s="19" t="str">
        <f>VLOOKUP(D789,'لیست پرسنل'!$B$2:$E$1020,3,FALSE)</f>
        <v>فکورصنعت</v>
      </c>
      <c r="F789" s="19" t="str">
        <f>VLOOKUP(D789,'لیست پرسنل'!$B$2:$E$1020,4,FALSE)</f>
        <v>انبار</v>
      </c>
      <c r="G789" s="127">
        <f>VLOOKUP(D789,'لیست پرسنل'!$B$2:$F$1020,2,FALSE)</f>
        <v>1946</v>
      </c>
      <c r="H789" s="127" t="s">
        <v>5415</v>
      </c>
      <c r="I789" s="127" t="s">
        <v>15</v>
      </c>
      <c r="J789" s="128" t="s">
        <v>2686</v>
      </c>
      <c r="K789" s="128" t="s">
        <v>2143</v>
      </c>
      <c r="L789" s="127" t="s">
        <v>2256</v>
      </c>
      <c r="M789" s="127">
        <v>628647</v>
      </c>
      <c r="N789" s="108"/>
      <c r="O789" s="20" t="s">
        <v>705</v>
      </c>
      <c r="P789" s="20"/>
      <c r="Q789" s="20"/>
    </row>
    <row r="790" spans="1:17" ht="24.9" customHeight="1">
      <c r="A790" s="20">
        <v>362</v>
      </c>
      <c r="B790" s="20" t="s">
        <v>4320</v>
      </c>
      <c r="C790" s="19">
        <v>2</v>
      </c>
      <c r="D790" s="19" t="s">
        <v>8</v>
      </c>
      <c r="E790" s="19" t="str">
        <f>VLOOKUP(D790,'لیست پرسنل'!$B$2:$E$1020,3,FALSE)</f>
        <v>فکورصنعت</v>
      </c>
      <c r="F790" s="19" t="str">
        <f>VLOOKUP(D790,'لیست پرسنل'!$B$2:$E$1020,4,FALSE)</f>
        <v>مالی - اداری</v>
      </c>
      <c r="G790" s="127">
        <f>VLOOKUP(D790,'لیست پرسنل'!$B$2:$F$1020,2,FALSE)</f>
        <v>1309</v>
      </c>
      <c r="H790" s="127" t="s">
        <v>3381</v>
      </c>
      <c r="I790" s="127" t="s">
        <v>16</v>
      </c>
      <c r="J790" s="128" t="s">
        <v>3145</v>
      </c>
      <c r="K790" s="128" t="s">
        <v>1915</v>
      </c>
      <c r="L790" s="151" t="s">
        <v>1917</v>
      </c>
      <c r="M790" s="127" t="s">
        <v>704</v>
      </c>
      <c r="N790" s="109"/>
      <c r="O790" s="19"/>
      <c r="P790" s="20"/>
      <c r="Q790" s="20"/>
    </row>
    <row r="791" spans="1:17" ht="24.9" customHeight="1">
      <c r="A791" s="20">
        <v>362</v>
      </c>
      <c r="B791" s="20" t="s">
        <v>4320</v>
      </c>
      <c r="C791" s="19">
        <v>2</v>
      </c>
      <c r="D791" s="19" t="s">
        <v>8</v>
      </c>
      <c r="E791" s="19" t="str">
        <f>VLOOKUP(D791,'لیست پرسنل'!$B$2:$E$1020,3,FALSE)</f>
        <v>فکورصنعت</v>
      </c>
      <c r="F791" s="19" t="str">
        <f>VLOOKUP(D791,'لیست پرسنل'!$B$2:$E$1020,4,FALSE)</f>
        <v>مالی - اداری</v>
      </c>
      <c r="G791" s="127">
        <f>VLOOKUP(D791,'لیست پرسنل'!$B$2:$F$1020,2,FALSE)</f>
        <v>1309</v>
      </c>
      <c r="H791" s="127" t="s">
        <v>3381</v>
      </c>
      <c r="I791" s="127" t="s">
        <v>16</v>
      </c>
      <c r="J791" s="127" t="s">
        <v>3383</v>
      </c>
      <c r="K791" s="128" t="s">
        <v>285</v>
      </c>
      <c r="L791" s="127" t="s">
        <v>286</v>
      </c>
      <c r="M791" s="127">
        <v>615063</v>
      </c>
      <c r="N791" s="109"/>
      <c r="O791" s="19"/>
      <c r="P791" s="20"/>
      <c r="Q791" s="20"/>
    </row>
    <row r="792" spans="1:17" ht="24.9" customHeight="1">
      <c r="A792" s="20">
        <v>362</v>
      </c>
      <c r="B792" s="20" t="s">
        <v>4320</v>
      </c>
      <c r="C792" s="19">
        <v>2</v>
      </c>
      <c r="D792" s="19" t="s">
        <v>8</v>
      </c>
      <c r="E792" s="19" t="str">
        <f>VLOOKUP(D792,'لیست پرسنل'!$B$2:$E$1020,3,FALSE)</f>
        <v>فکورصنعت</v>
      </c>
      <c r="F792" s="19" t="str">
        <f>VLOOKUP(D792,'لیست پرسنل'!$B$2:$E$1020,4,FALSE)</f>
        <v>مالی - اداری</v>
      </c>
      <c r="G792" s="127">
        <f>VLOOKUP(D792,'لیست پرسنل'!$B$2:$F$1020,2,FALSE)</f>
        <v>1309</v>
      </c>
      <c r="H792" s="127" t="s">
        <v>3381</v>
      </c>
      <c r="I792" s="127" t="s">
        <v>16</v>
      </c>
      <c r="J792" s="128" t="s">
        <v>737</v>
      </c>
      <c r="K792" s="128" t="s">
        <v>284</v>
      </c>
      <c r="L792" s="127">
        <v>55034848</v>
      </c>
      <c r="M792" s="127">
        <v>607358</v>
      </c>
      <c r="N792" s="109"/>
      <c r="O792" s="19"/>
      <c r="P792" s="20"/>
      <c r="Q792" s="20"/>
    </row>
    <row r="793" spans="1:17" ht="24.9" customHeight="1">
      <c r="A793" s="20">
        <v>362</v>
      </c>
      <c r="B793" s="20" t="s">
        <v>4320</v>
      </c>
      <c r="C793" s="19">
        <v>2</v>
      </c>
      <c r="D793" s="19" t="s">
        <v>8</v>
      </c>
      <c r="E793" s="19" t="str">
        <f>VLOOKUP(D793,'لیست پرسنل'!$B$2:$E$1020,3,FALSE)</f>
        <v>فکورصنعت</v>
      </c>
      <c r="F793" s="19" t="str">
        <f>VLOOKUP(D793,'لیست پرسنل'!$B$2:$E$1020,4,FALSE)</f>
        <v>مالی - اداری</v>
      </c>
      <c r="G793" s="127">
        <f>VLOOKUP(D793,'لیست پرسنل'!$B$2:$F$1020,2,FALSE)</f>
        <v>1309</v>
      </c>
      <c r="H793" s="127" t="s">
        <v>3381</v>
      </c>
      <c r="I793" s="127" t="s">
        <v>16</v>
      </c>
      <c r="J793" s="126" t="s">
        <v>368</v>
      </c>
      <c r="K793" s="128" t="s">
        <v>2846</v>
      </c>
      <c r="L793" s="128" t="s">
        <v>2399</v>
      </c>
      <c r="M793" s="128">
        <v>628806</v>
      </c>
      <c r="N793" s="108"/>
      <c r="O793" s="19"/>
      <c r="P793" s="20"/>
      <c r="Q793" s="20"/>
    </row>
    <row r="794" spans="1:17" ht="24.9" customHeight="1">
      <c r="A794" s="20">
        <v>362</v>
      </c>
      <c r="B794" s="20" t="s">
        <v>4320</v>
      </c>
      <c r="C794" s="19">
        <v>2</v>
      </c>
      <c r="D794" s="19" t="s">
        <v>8</v>
      </c>
      <c r="E794" s="19" t="str">
        <f>VLOOKUP(D794,'لیست پرسنل'!$B$2:$E$1020,3,FALSE)</f>
        <v>فکورصنعت</v>
      </c>
      <c r="F794" s="19" t="str">
        <f>VLOOKUP(D794,'لیست پرسنل'!$B$2:$E$1020,4,FALSE)</f>
        <v>مالی - اداری</v>
      </c>
      <c r="G794" s="127">
        <f>VLOOKUP(D794,'لیست پرسنل'!$B$2:$F$1020,2,FALSE)</f>
        <v>1309</v>
      </c>
      <c r="H794" s="127" t="s">
        <v>3381</v>
      </c>
      <c r="I794" s="127" t="s">
        <v>16</v>
      </c>
      <c r="J794" s="127" t="s">
        <v>571</v>
      </c>
      <c r="K794" s="128" t="s">
        <v>3691</v>
      </c>
      <c r="L794" s="127"/>
      <c r="M794" s="127">
        <v>628594</v>
      </c>
      <c r="N794" s="109"/>
      <c r="O794" s="19"/>
      <c r="P794" s="20"/>
      <c r="Q794" s="20"/>
    </row>
    <row r="795" spans="1:17" ht="24.9" customHeight="1">
      <c r="A795" s="20">
        <v>362</v>
      </c>
      <c r="B795" s="20" t="s">
        <v>4320</v>
      </c>
      <c r="C795" s="19">
        <v>2</v>
      </c>
      <c r="D795" s="19" t="s">
        <v>8</v>
      </c>
      <c r="E795" s="19" t="str">
        <f>VLOOKUP(D795,'لیست پرسنل'!$B$2:$E$1020,3,FALSE)</f>
        <v>فکورصنعت</v>
      </c>
      <c r="F795" s="19" t="str">
        <f>VLOOKUP(D795,'لیست پرسنل'!$B$2:$E$1020,4,FALSE)</f>
        <v>مالی - اداری</v>
      </c>
      <c r="G795" s="127">
        <f>VLOOKUP(D795,'لیست پرسنل'!$B$2:$F$1020,2,FALSE)</f>
        <v>1309</v>
      </c>
      <c r="H795" s="127" t="s">
        <v>3381</v>
      </c>
      <c r="I795" s="127" t="s">
        <v>16</v>
      </c>
      <c r="J795" s="128" t="s">
        <v>2686</v>
      </c>
      <c r="K795" s="128" t="s">
        <v>2922</v>
      </c>
      <c r="L795" s="127" t="s">
        <v>3053</v>
      </c>
      <c r="M795" s="128">
        <v>626537</v>
      </c>
      <c r="N795" s="108"/>
      <c r="O795" s="20" t="s">
        <v>705</v>
      </c>
      <c r="P795" s="20"/>
      <c r="Q795" s="20"/>
    </row>
    <row r="796" spans="1:17" ht="24.9" customHeight="1">
      <c r="A796" s="20">
        <v>362</v>
      </c>
      <c r="B796" s="20" t="s">
        <v>4320</v>
      </c>
      <c r="C796" s="19">
        <v>3</v>
      </c>
      <c r="D796" s="19" t="s">
        <v>834</v>
      </c>
      <c r="E796" s="19" t="str">
        <f>VLOOKUP(D796,'لیست پرسنل'!$B$2:$E$1020,3,FALSE)</f>
        <v>گهر کوشان سپهر</v>
      </c>
      <c r="F796" s="19" t="str">
        <f>VLOOKUP(D796,'لیست پرسنل'!$B$2:$E$1020,4,FALSE)</f>
        <v>نظارت سیویل</v>
      </c>
      <c r="G796" s="127">
        <f>VLOOKUP(D796,'لیست پرسنل'!$B$2:$F$1020,2,FALSE)</f>
        <v>20434</v>
      </c>
      <c r="H796" s="127" t="s">
        <v>3381</v>
      </c>
      <c r="I796" s="127" t="s">
        <v>5151</v>
      </c>
      <c r="J796" s="127" t="s">
        <v>571</v>
      </c>
      <c r="K796" s="128" t="s">
        <v>1951</v>
      </c>
      <c r="L796" s="127"/>
      <c r="M796" s="128">
        <v>629707</v>
      </c>
      <c r="N796" s="108"/>
      <c r="O796" s="20" t="s">
        <v>705</v>
      </c>
      <c r="P796" s="20"/>
      <c r="Q796" s="20"/>
    </row>
    <row r="797" spans="1:17" ht="24.9" customHeight="1">
      <c r="A797" s="20">
        <v>362</v>
      </c>
      <c r="B797" s="20" t="s">
        <v>4320</v>
      </c>
      <c r="C797" s="19">
        <v>3</v>
      </c>
      <c r="D797" s="19" t="s">
        <v>834</v>
      </c>
      <c r="E797" s="19" t="str">
        <f>VLOOKUP(D797,'لیست پرسنل'!$B$2:$E$1020,3,FALSE)</f>
        <v>گهر کوشان سپهر</v>
      </c>
      <c r="F797" s="19" t="str">
        <f>VLOOKUP(D797,'لیست پرسنل'!$B$2:$E$1020,4,FALSE)</f>
        <v>نظارت سیویل</v>
      </c>
      <c r="G797" s="127">
        <f>VLOOKUP(D797,'لیست پرسنل'!$B$2:$F$1020,2,FALSE)</f>
        <v>20434</v>
      </c>
      <c r="H797" s="127" t="s">
        <v>3381</v>
      </c>
      <c r="I797" s="127" t="s">
        <v>5151</v>
      </c>
      <c r="J797" s="128" t="s">
        <v>2686</v>
      </c>
      <c r="K797" s="128" t="s">
        <v>744</v>
      </c>
      <c r="L797" s="160">
        <v>722006012072875</v>
      </c>
      <c r="M797" s="127">
        <v>603251</v>
      </c>
      <c r="N797" s="109"/>
      <c r="O797" s="19"/>
      <c r="P797" s="20"/>
      <c r="Q797" s="20"/>
    </row>
    <row r="798" spans="1:17" ht="24.9" customHeight="1">
      <c r="A798" s="20">
        <v>362</v>
      </c>
      <c r="B798" s="20" t="s">
        <v>4320</v>
      </c>
      <c r="C798" s="20">
        <v>4</v>
      </c>
      <c r="D798" s="20" t="s">
        <v>7954</v>
      </c>
      <c r="E798" s="19" t="str">
        <f>VLOOKUP(D798,'لیست پرسنل'!$B$2:$E$1020,3,FALSE)</f>
        <v>مهرفام</v>
      </c>
      <c r="F798" s="19" t="str">
        <f>VLOOKUP(D798,'لیست پرسنل'!$B$2:$E$1020,4,FALSE)</f>
        <v>کارشناس دفر فنی نورد</v>
      </c>
      <c r="G798" s="127">
        <f>VLOOKUP(D798,'لیست پرسنل'!$B$2:$F$1020,2,FALSE)</f>
        <v>100663</v>
      </c>
      <c r="H798" s="151" t="s">
        <v>7956</v>
      </c>
      <c r="I798" s="128" t="s">
        <v>7957</v>
      </c>
      <c r="J798" s="141" t="s">
        <v>571</v>
      </c>
      <c r="K798" s="128" t="s">
        <v>6045</v>
      </c>
      <c r="L798" s="134"/>
      <c r="M798" s="128">
        <v>632741</v>
      </c>
      <c r="N798" s="108"/>
      <c r="O798" s="20"/>
      <c r="P798" s="20"/>
      <c r="Q798" s="20"/>
    </row>
    <row r="799" spans="1:17" ht="24.9" customHeight="1">
      <c r="A799" s="20">
        <v>362</v>
      </c>
      <c r="B799" s="20" t="s">
        <v>4320</v>
      </c>
      <c r="C799" s="19">
        <v>4</v>
      </c>
      <c r="D799" s="19" t="s">
        <v>7954</v>
      </c>
      <c r="E799" s="19" t="str">
        <f>VLOOKUP(D799,'لیست پرسنل'!$B$2:$E$1020,3,FALSE)</f>
        <v>مهرفام</v>
      </c>
      <c r="F799" s="19" t="str">
        <f>VLOOKUP(D799,'لیست پرسنل'!$B$2:$E$1020,4,FALSE)</f>
        <v>کارشناس دفر فنی نورد</v>
      </c>
      <c r="G799" s="127">
        <f>VLOOKUP(D799,'لیست پرسنل'!$B$2:$F$1020,2,FALSE)</f>
        <v>100663</v>
      </c>
      <c r="H799" s="151" t="s">
        <v>7956</v>
      </c>
      <c r="I799" s="127" t="s">
        <v>7957</v>
      </c>
      <c r="J799" s="128" t="s">
        <v>2686</v>
      </c>
      <c r="K799" s="127" t="s">
        <v>890</v>
      </c>
      <c r="L799" s="151" t="s">
        <v>1771</v>
      </c>
      <c r="M799" s="127">
        <v>607698</v>
      </c>
      <c r="N799" s="109"/>
      <c r="O799" s="19"/>
      <c r="P799" s="20"/>
      <c r="Q799" s="20"/>
    </row>
    <row r="800" spans="1:17" ht="24.9" customHeight="1">
      <c r="A800" s="20">
        <v>362</v>
      </c>
      <c r="B800" s="20" t="s">
        <v>4320</v>
      </c>
      <c r="C800" s="19">
        <v>5</v>
      </c>
      <c r="D800" s="19" t="s">
        <v>3385</v>
      </c>
      <c r="E800" s="19" t="str">
        <f>VLOOKUP(D800,'لیست پرسنل'!$B$2:$E$1020,3,FALSE)</f>
        <v>نقشه برداری</v>
      </c>
      <c r="F800" s="19" t="str">
        <f>VLOOKUP(D800,'لیست پرسنل'!$B$2:$E$1020,4,FALSE)</f>
        <v>نقشه برداری</v>
      </c>
      <c r="G800" s="127" t="str">
        <f>VLOOKUP(D800,'لیست پرسنل'!$B$2:$F$1020,2,FALSE)</f>
        <v>0</v>
      </c>
      <c r="H800" s="127" t="s">
        <v>3381</v>
      </c>
      <c r="I800" s="127" t="s">
        <v>17</v>
      </c>
      <c r="J800" s="127" t="s">
        <v>571</v>
      </c>
      <c r="K800" s="128" t="s">
        <v>2219</v>
      </c>
      <c r="L800" s="127"/>
      <c r="M800" s="127">
        <v>628127</v>
      </c>
      <c r="N800" s="109"/>
      <c r="O800" s="19"/>
      <c r="P800" s="20"/>
      <c r="Q800" s="20"/>
    </row>
    <row r="801" spans="1:17" ht="24.9" customHeight="1">
      <c r="A801" s="20">
        <v>362</v>
      </c>
      <c r="B801" s="20" t="s">
        <v>4320</v>
      </c>
      <c r="C801" s="19">
        <v>5</v>
      </c>
      <c r="D801" s="19" t="s">
        <v>3385</v>
      </c>
      <c r="E801" s="19" t="str">
        <f>VLOOKUP(D801,'لیست پرسنل'!$B$2:$E$1020,3,FALSE)</f>
        <v>نقشه برداری</v>
      </c>
      <c r="F801" s="19" t="str">
        <f>VLOOKUP(D801,'لیست پرسنل'!$B$2:$E$1020,4,FALSE)</f>
        <v>نقشه برداری</v>
      </c>
      <c r="G801" s="127" t="str">
        <f>VLOOKUP(D801,'لیست پرسنل'!$B$2:$F$1020,2,FALSE)</f>
        <v>0</v>
      </c>
      <c r="H801" s="127" t="s">
        <v>3381</v>
      </c>
      <c r="I801" s="127" t="s">
        <v>17</v>
      </c>
      <c r="J801" s="128" t="s">
        <v>2686</v>
      </c>
      <c r="K801" s="128" t="s">
        <v>744</v>
      </c>
      <c r="L801" s="151" t="s">
        <v>1336</v>
      </c>
      <c r="M801" s="127">
        <v>605438</v>
      </c>
      <c r="N801" s="109"/>
      <c r="O801" s="19"/>
      <c r="P801" s="20"/>
      <c r="Q801" s="20"/>
    </row>
    <row r="802" spans="1:17" ht="24.9" customHeight="1">
      <c r="A802" s="20">
        <v>362</v>
      </c>
      <c r="B802" s="20" t="s">
        <v>4320</v>
      </c>
      <c r="C802" s="19">
        <v>6</v>
      </c>
      <c r="D802" s="19" t="s">
        <v>886</v>
      </c>
      <c r="E802" s="19">
        <f>VLOOKUP(D802,'لیست پرسنل'!$B$2:$E$1020,3,FALSE)</f>
        <v>0</v>
      </c>
      <c r="F802" s="19">
        <f>VLOOKUP(D802,'لیست پرسنل'!$B$2:$E$1020,4,FALSE)</f>
        <v>0</v>
      </c>
      <c r="G802" s="127" t="str">
        <f>VLOOKUP(D802,'لیست پرسنل'!$B$2:$F$1020,2,FALSE)</f>
        <v>0</v>
      </c>
      <c r="H802" s="127" t="s">
        <v>3381</v>
      </c>
      <c r="I802" s="127" t="s">
        <v>18</v>
      </c>
      <c r="J802" s="127" t="s">
        <v>571</v>
      </c>
      <c r="K802" s="128"/>
      <c r="L802" s="166"/>
      <c r="M802" s="128">
        <v>622528</v>
      </c>
      <c r="N802" s="108"/>
      <c r="O802" s="86"/>
      <c r="P802" s="20"/>
      <c r="Q802" s="20"/>
    </row>
    <row r="803" spans="1:17" ht="24.9" customHeight="1">
      <c r="A803" s="20">
        <v>362</v>
      </c>
      <c r="B803" s="20" t="s">
        <v>4320</v>
      </c>
      <c r="C803" s="19">
        <v>7</v>
      </c>
      <c r="D803" s="19" t="s">
        <v>2831</v>
      </c>
      <c r="E803" s="19" t="str">
        <f>VLOOKUP(D803,'لیست پرسنل'!$B$2:$E$1020,3,FALSE)</f>
        <v>گهر کوشان سپهر</v>
      </c>
      <c r="F803" s="19" t="str">
        <f>VLOOKUP(D803,'لیست پرسنل'!$B$2:$E$1020,4,FALSE)</f>
        <v>اداری</v>
      </c>
      <c r="G803" s="127">
        <f>VLOOKUP(D803,'لیست پرسنل'!$B$2:$F$1020,2,FALSE)</f>
        <v>20519</v>
      </c>
      <c r="H803" s="127" t="s">
        <v>3381</v>
      </c>
      <c r="I803" s="127" t="s">
        <v>19</v>
      </c>
      <c r="J803" s="126" t="s">
        <v>368</v>
      </c>
      <c r="K803" s="128" t="s">
        <v>2846</v>
      </c>
      <c r="L803" s="128" t="s">
        <v>2461</v>
      </c>
      <c r="M803" s="128">
        <v>628870</v>
      </c>
      <c r="N803" s="108"/>
      <c r="O803" s="20"/>
      <c r="P803" s="20"/>
      <c r="Q803" s="20"/>
    </row>
    <row r="804" spans="1:17" ht="24.9" customHeight="1">
      <c r="A804" s="20">
        <v>362</v>
      </c>
      <c r="B804" s="20" t="s">
        <v>4320</v>
      </c>
      <c r="C804" s="19">
        <v>7</v>
      </c>
      <c r="D804" s="19" t="s">
        <v>2831</v>
      </c>
      <c r="E804" s="19" t="str">
        <f>VLOOKUP(D804,'لیست پرسنل'!$B$2:$E$1020,3,FALSE)</f>
        <v>گهر کوشان سپهر</v>
      </c>
      <c r="F804" s="19" t="str">
        <f>VLOOKUP(D804,'لیست پرسنل'!$B$2:$E$1020,4,FALSE)</f>
        <v>اداری</v>
      </c>
      <c r="G804" s="127">
        <f>VLOOKUP(D804,'لیست پرسنل'!$B$2:$F$1020,2,FALSE)</f>
        <v>20519</v>
      </c>
      <c r="H804" s="127" t="s">
        <v>3381</v>
      </c>
      <c r="I804" s="127" t="s">
        <v>19</v>
      </c>
      <c r="J804" s="141" t="s">
        <v>571</v>
      </c>
      <c r="K804" s="128" t="s">
        <v>1513</v>
      </c>
      <c r="L804" s="135"/>
      <c r="M804" s="135">
        <v>632373</v>
      </c>
      <c r="N804" s="108"/>
      <c r="O804" s="19" t="s">
        <v>5959</v>
      </c>
      <c r="P804" s="20"/>
      <c r="Q804" s="20"/>
    </row>
    <row r="805" spans="1:17" ht="24.9" customHeight="1">
      <c r="A805" s="20">
        <v>362</v>
      </c>
      <c r="B805" s="20" t="s">
        <v>4320</v>
      </c>
      <c r="C805" s="19">
        <v>7</v>
      </c>
      <c r="D805" s="19" t="s">
        <v>2831</v>
      </c>
      <c r="E805" s="19" t="str">
        <f>VLOOKUP(D805,'لیست پرسنل'!$B$2:$E$1020,3,FALSE)</f>
        <v>گهر کوشان سپهر</v>
      </c>
      <c r="F805" s="19" t="str">
        <f>VLOOKUP(D805,'لیست پرسنل'!$B$2:$E$1020,4,FALSE)</f>
        <v>اداری</v>
      </c>
      <c r="G805" s="127">
        <f>VLOOKUP(D805,'لیست پرسنل'!$B$2:$F$1020,2,FALSE)</f>
        <v>20519</v>
      </c>
      <c r="H805" s="127" t="s">
        <v>3381</v>
      </c>
      <c r="I805" s="127" t="s">
        <v>19</v>
      </c>
      <c r="J805" s="128" t="s">
        <v>2686</v>
      </c>
      <c r="K805" s="128" t="s">
        <v>2922</v>
      </c>
      <c r="L805" s="127" t="s">
        <v>3015</v>
      </c>
      <c r="M805" s="128">
        <v>626498</v>
      </c>
      <c r="N805" s="108"/>
      <c r="O805" s="20" t="s">
        <v>705</v>
      </c>
      <c r="P805" s="20"/>
      <c r="Q805" s="20"/>
    </row>
    <row r="806" spans="1:17" ht="24.9" customHeight="1">
      <c r="A806" s="20">
        <v>362</v>
      </c>
      <c r="B806" s="20" t="s">
        <v>4320</v>
      </c>
      <c r="C806" s="19">
        <v>7</v>
      </c>
      <c r="D806" s="19" t="s">
        <v>2831</v>
      </c>
      <c r="E806" s="19" t="str">
        <f>VLOOKUP(D806,'لیست پرسنل'!$B$2:$E$1020,3,FALSE)</f>
        <v>گهر کوشان سپهر</v>
      </c>
      <c r="F806" s="19" t="str">
        <f>VLOOKUP(D806,'لیست پرسنل'!$B$2:$E$1020,4,FALSE)</f>
        <v>اداری</v>
      </c>
      <c r="G806" s="127">
        <f>VLOOKUP(D806,'لیست پرسنل'!$B$2:$F$1020,2,FALSE)</f>
        <v>20519</v>
      </c>
      <c r="H806" s="127" t="s">
        <v>3381</v>
      </c>
      <c r="I806" s="127" t="s">
        <v>19</v>
      </c>
      <c r="J806" s="128" t="s">
        <v>3388</v>
      </c>
      <c r="K806" s="128" t="s">
        <v>5120</v>
      </c>
      <c r="L806" s="150" t="s">
        <v>5131</v>
      </c>
      <c r="M806" s="128">
        <v>630993</v>
      </c>
      <c r="N806" s="108"/>
      <c r="O806" s="19" t="s">
        <v>5132</v>
      </c>
      <c r="P806" s="20"/>
      <c r="Q806" s="20"/>
    </row>
    <row r="807" spans="1:17" ht="24.9" customHeight="1">
      <c r="A807" s="20">
        <v>362</v>
      </c>
      <c r="B807" s="20" t="s">
        <v>4320</v>
      </c>
      <c r="C807" s="20">
        <v>10</v>
      </c>
      <c r="D807" s="20" t="s">
        <v>6840</v>
      </c>
      <c r="E807" s="19" t="str">
        <f>VLOOKUP(D807,'لیست پرسنل'!$B$2:$E$1020,3,FALSE)</f>
        <v>فکورصنعت</v>
      </c>
      <c r="F807" s="19" t="str">
        <f>VLOOKUP(D807,'لیست پرسنل'!$B$2:$E$1020,4,FALSE)</f>
        <v>ایمنی</v>
      </c>
      <c r="G807" s="127">
        <f>VLOOKUP(D807,'لیست پرسنل'!$B$2:$F$1020,2,FALSE)</f>
        <v>4030502</v>
      </c>
      <c r="H807" s="126" t="s">
        <v>4306</v>
      </c>
      <c r="I807" s="127" t="s">
        <v>8123</v>
      </c>
      <c r="J807" s="128" t="s">
        <v>5927</v>
      </c>
      <c r="K807" s="127" t="s">
        <v>8125</v>
      </c>
      <c r="L807" s="127" t="s">
        <v>8124</v>
      </c>
      <c r="M807" s="127" t="s">
        <v>4371</v>
      </c>
      <c r="N807" s="109"/>
      <c r="O807" s="20"/>
      <c r="P807" s="20"/>
      <c r="Q807" s="20"/>
    </row>
    <row r="808" spans="1:17" ht="24.9" customHeight="1">
      <c r="A808" s="20">
        <v>362</v>
      </c>
      <c r="B808" s="20" t="s">
        <v>4320</v>
      </c>
      <c r="C808" s="20">
        <v>10</v>
      </c>
      <c r="D808" s="20" t="s">
        <v>6840</v>
      </c>
      <c r="E808" s="19" t="str">
        <f>VLOOKUP(D808,'لیست پرسنل'!$B$2:$E$1020,3,FALSE)</f>
        <v>فکورصنعت</v>
      </c>
      <c r="F808" s="19" t="str">
        <f>VLOOKUP(D808,'لیست پرسنل'!$B$2:$E$1020,4,FALSE)</f>
        <v>ایمنی</v>
      </c>
      <c r="G808" s="127">
        <f>VLOOKUP(D808,'لیست پرسنل'!$B$2:$F$1020,2,FALSE)</f>
        <v>4030502</v>
      </c>
      <c r="H808" s="126" t="s">
        <v>4306</v>
      </c>
      <c r="I808" s="128" t="s">
        <v>8123</v>
      </c>
      <c r="J808" s="141" t="s">
        <v>571</v>
      </c>
      <c r="K808" s="135" t="s">
        <v>1513</v>
      </c>
      <c r="L808" s="154" t="s">
        <v>2053</v>
      </c>
      <c r="M808" s="131">
        <v>624170</v>
      </c>
      <c r="N808" s="108"/>
      <c r="O808" s="20" t="s">
        <v>705</v>
      </c>
      <c r="P808" s="20"/>
      <c r="Q808" s="20"/>
    </row>
    <row r="809" spans="1:17" ht="24.9" customHeight="1">
      <c r="A809" s="20">
        <v>362</v>
      </c>
      <c r="B809" s="20" t="s">
        <v>4320</v>
      </c>
      <c r="C809" s="20">
        <v>10</v>
      </c>
      <c r="D809" s="20" t="s">
        <v>6840</v>
      </c>
      <c r="E809" s="19" t="str">
        <f>VLOOKUP(D809,'لیست پرسنل'!$B$2:$E$1020,3,FALSE)</f>
        <v>فکورصنعت</v>
      </c>
      <c r="F809" s="19" t="str">
        <f>VLOOKUP(D809,'لیست پرسنل'!$B$2:$E$1020,4,FALSE)</f>
        <v>ایمنی</v>
      </c>
      <c r="G809" s="127">
        <f>VLOOKUP(D809,'لیست پرسنل'!$B$2:$F$1020,2,FALSE)</f>
        <v>4030502</v>
      </c>
      <c r="H809" s="126" t="s">
        <v>4306</v>
      </c>
      <c r="I809" s="128" t="s">
        <v>8123</v>
      </c>
      <c r="J809" s="128" t="s">
        <v>2686</v>
      </c>
      <c r="K809" s="128" t="s">
        <v>890</v>
      </c>
      <c r="L809" s="150" t="s">
        <v>1412</v>
      </c>
      <c r="M809" s="127">
        <v>607264</v>
      </c>
      <c r="N809" s="109"/>
      <c r="O809" s="86"/>
      <c r="P809" s="20"/>
      <c r="Q809" s="20"/>
    </row>
    <row r="810" spans="1:17" ht="24.9" customHeight="1">
      <c r="A810" s="20">
        <v>362</v>
      </c>
      <c r="B810" s="20" t="s">
        <v>4320</v>
      </c>
      <c r="C810" s="20">
        <v>11</v>
      </c>
      <c r="D810" s="20" t="s">
        <v>8066</v>
      </c>
      <c r="E810" s="19" t="str">
        <f>VLOOKUP(D810,'لیست پرسنل'!$B$2:$E$1020,3,FALSE)</f>
        <v>کاربین طرح</v>
      </c>
      <c r="F810" s="19" t="str">
        <f>VLOOKUP(D810,'لیست پرسنل'!$B$2:$E$1020,4,FALSE)</f>
        <v>ایمنی</v>
      </c>
      <c r="G810" s="127">
        <f>VLOOKUP(D810,'لیست پرسنل'!$B$2:$F$1020,2,FALSE)</f>
        <v>0</v>
      </c>
      <c r="H810" s="126" t="s">
        <v>4306</v>
      </c>
      <c r="I810" s="128" t="s">
        <v>8067</v>
      </c>
      <c r="J810" s="128" t="s">
        <v>368</v>
      </c>
      <c r="K810" s="128" t="s">
        <v>1272</v>
      </c>
      <c r="L810" s="127" t="s">
        <v>6472</v>
      </c>
      <c r="M810" s="127">
        <v>622570</v>
      </c>
      <c r="N810" s="109" t="s">
        <v>6840</v>
      </c>
      <c r="O810" s="19"/>
      <c r="P810" s="19"/>
      <c r="Q810" s="20"/>
    </row>
    <row r="811" spans="1:17" ht="24.9" customHeight="1">
      <c r="A811" s="20">
        <v>362</v>
      </c>
      <c r="B811" s="20" t="s">
        <v>4320</v>
      </c>
      <c r="C811" s="19">
        <v>11</v>
      </c>
      <c r="D811" s="19" t="s">
        <v>8066</v>
      </c>
      <c r="E811" s="19" t="str">
        <f>VLOOKUP(D811,'لیست پرسنل'!$B$2:$E$1020,3,FALSE)</f>
        <v>کاربین طرح</v>
      </c>
      <c r="F811" s="19" t="str">
        <f>VLOOKUP(D811,'لیست پرسنل'!$B$2:$E$1020,4,FALSE)</f>
        <v>ایمنی</v>
      </c>
      <c r="G811" s="127">
        <f>VLOOKUP(D811,'لیست پرسنل'!$B$2:$F$1020,2,FALSE)</f>
        <v>0</v>
      </c>
      <c r="H811" s="151" t="s">
        <v>4306</v>
      </c>
      <c r="I811" s="127" t="s">
        <v>8067</v>
      </c>
      <c r="J811" s="141" t="s">
        <v>571</v>
      </c>
      <c r="K811" s="127" t="s">
        <v>5320</v>
      </c>
      <c r="L811" s="128"/>
      <c r="M811" s="132">
        <v>631486</v>
      </c>
      <c r="N811" s="109" t="s">
        <v>6840</v>
      </c>
      <c r="O811" s="19"/>
      <c r="P811" s="20"/>
      <c r="Q811" s="20"/>
    </row>
    <row r="812" spans="1:17" ht="24.9" customHeight="1">
      <c r="A812" s="20">
        <v>362</v>
      </c>
      <c r="B812" s="20" t="s">
        <v>4320</v>
      </c>
      <c r="C812" s="19">
        <v>11</v>
      </c>
      <c r="D812" s="19" t="s">
        <v>8066</v>
      </c>
      <c r="E812" s="19" t="str">
        <f>VLOOKUP(D812,'لیست پرسنل'!$B$2:$E$1020,3,FALSE)</f>
        <v>کاربین طرح</v>
      </c>
      <c r="F812" s="19" t="str">
        <f>VLOOKUP(D812,'لیست پرسنل'!$B$2:$E$1020,4,FALSE)</f>
        <v>ایمنی</v>
      </c>
      <c r="G812" s="127">
        <f>VLOOKUP(D812,'لیست پرسنل'!$B$2:$F$1020,2,FALSE)</f>
        <v>0</v>
      </c>
      <c r="H812" s="151" t="s">
        <v>4306</v>
      </c>
      <c r="I812" s="127" t="s">
        <v>8067</v>
      </c>
      <c r="J812" s="128" t="s">
        <v>2686</v>
      </c>
      <c r="K812" s="128" t="s">
        <v>2922</v>
      </c>
      <c r="L812" s="127" t="s">
        <v>3006</v>
      </c>
      <c r="M812" s="128">
        <v>626488</v>
      </c>
      <c r="N812" s="109" t="s">
        <v>6840</v>
      </c>
      <c r="O812" s="20" t="s">
        <v>705</v>
      </c>
      <c r="P812" s="20"/>
      <c r="Q812" s="20"/>
    </row>
    <row r="813" spans="1:17" ht="24.9" customHeight="1">
      <c r="A813" s="20">
        <v>362</v>
      </c>
      <c r="B813" s="20" t="s">
        <v>4320</v>
      </c>
      <c r="C813" s="19">
        <v>12</v>
      </c>
      <c r="D813" s="19" t="s">
        <v>5362</v>
      </c>
      <c r="E813" s="19" t="str">
        <f>VLOOKUP(D813,'لیست پرسنل'!$B$2:$E$1020,3,FALSE)</f>
        <v xml:space="preserve"> کاربین طرح</v>
      </c>
      <c r="F813" s="19" t="str">
        <f>VLOOKUP(D813,'لیست پرسنل'!$B$2:$E$1020,4,FALSE)</f>
        <v>ایمنی</v>
      </c>
      <c r="G813" s="127" t="str">
        <f>VLOOKUP(D813,'لیست پرسنل'!$B$2:$F$1020,2,FALSE)</f>
        <v>0</v>
      </c>
      <c r="H813" s="127" t="s">
        <v>3381</v>
      </c>
      <c r="I813" s="127" t="s">
        <v>21</v>
      </c>
      <c r="J813" s="126" t="s">
        <v>368</v>
      </c>
      <c r="K813" s="128" t="s">
        <v>2846</v>
      </c>
      <c r="L813" s="128" t="s">
        <v>2415</v>
      </c>
      <c r="M813" s="128">
        <v>628822</v>
      </c>
      <c r="N813" s="108"/>
      <c r="O813" s="20"/>
      <c r="P813" s="20"/>
      <c r="Q813" s="20"/>
    </row>
    <row r="814" spans="1:17" ht="24.9" customHeight="1">
      <c r="A814" s="20">
        <v>362</v>
      </c>
      <c r="B814" s="20" t="s">
        <v>4320</v>
      </c>
      <c r="C814" s="19">
        <v>12</v>
      </c>
      <c r="D814" s="19" t="s">
        <v>5362</v>
      </c>
      <c r="E814" s="19" t="str">
        <f>VLOOKUP(D814,'لیست پرسنل'!$B$2:$E$1020,3,FALSE)</f>
        <v xml:space="preserve"> کاربین طرح</v>
      </c>
      <c r="F814" s="19" t="str">
        <f>VLOOKUP(D814,'لیست پرسنل'!$B$2:$E$1020,4,FALSE)</f>
        <v>ایمنی</v>
      </c>
      <c r="G814" s="127" t="str">
        <f>VLOOKUP(D814,'لیست پرسنل'!$B$2:$F$1020,2,FALSE)</f>
        <v>0</v>
      </c>
      <c r="H814" s="127" t="s">
        <v>3381</v>
      </c>
      <c r="I814" s="127" t="s">
        <v>21</v>
      </c>
      <c r="J814" s="127" t="s">
        <v>571</v>
      </c>
      <c r="K814" s="128" t="s">
        <v>2219</v>
      </c>
      <c r="L814" s="151"/>
      <c r="M814" s="127">
        <v>628596</v>
      </c>
      <c r="N814" s="109"/>
      <c r="O814" s="20"/>
      <c r="P814" s="20"/>
      <c r="Q814" s="20"/>
    </row>
    <row r="815" spans="1:17" ht="24.9" customHeight="1">
      <c r="A815" s="20">
        <v>362</v>
      </c>
      <c r="B815" s="20" t="s">
        <v>4320</v>
      </c>
      <c r="C815" s="19">
        <v>12</v>
      </c>
      <c r="D815" s="19" t="s">
        <v>5362</v>
      </c>
      <c r="E815" s="19" t="str">
        <f>VLOOKUP(D815,'لیست پرسنل'!$B$2:$E$1020,3,FALSE)</f>
        <v xml:space="preserve"> کاربین طرح</v>
      </c>
      <c r="F815" s="19" t="str">
        <f>VLOOKUP(D815,'لیست پرسنل'!$B$2:$E$1020,4,FALSE)</f>
        <v>ایمنی</v>
      </c>
      <c r="G815" s="127" t="str">
        <f>VLOOKUP(D815,'لیست پرسنل'!$B$2:$F$1020,2,FALSE)</f>
        <v>0</v>
      </c>
      <c r="H815" s="127" t="s">
        <v>3381</v>
      </c>
      <c r="I815" s="127" t="s">
        <v>21</v>
      </c>
      <c r="J815" s="128" t="s">
        <v>2686</v>
      </c>
      <c r="K815" s="128" t="s">
        <v>744</v>
      </c>
      <c r="L815" s="151" t="s">
        <v>1118</v>
      </c>
      <c r="M815" s="128">
        <v>604614</v>
      </c>
      <c r="N815" s="108"/>
      <c r="O815" s="86"/>
      <c r="P815" s="20"/>
      <c r="Q815" s="20"/>
    </row>
    <row r="816" spans="1:17" ht="24.9" customHeight="1">
      <c r="A816" s="20">
        <v>362</v>
      </c>
      <c r="B816" s="20" t="s">
        <v>4320</v>
      </c>
      <c r="C816" s="19">
        <v>14</v>
      </c>
      <c r="D816" s="19" t="s">
        <v>3401</v>
      </c>
      <c r="E816" s="19" t="str">
        <f>VLOOKUP(D816,'لیست پرسنل'!$B$2:$E$1020,3,FALSE)</f>
        <v>کاربین طرح</v>
      </c>
      <c r="F816" s="19" t="str">
        <f>VLOOKUP(D816,'لیست پرسنل'!$B$2:$E$1020,4,FALSE)</f>
        <v>ایمنی</v>
      </c>
      <c r="G816" s="127" t="str">
        <f>VLOOKUP(D816,'لیست پرسنل'!$B$2:$F$1020,2,FALSE)</f>
        <v>100552</v>
      </c>
      <c r="H816" s="127" t="s">
        <v>3381</v>
      </c>
      <c r="I816" s="127" t="s">
        <v>23</v>
      </c>
      <c r="J816" s="126" t="s">
        <v>368</v>
      </c>
      <c r="K816" s="128" t="s">
        <v>2846</v>
      </c>
      <c r="L816" s="128" t="s">
        <v>2417</v>
      </c>
      <c r="M816" s="128">
        <v>628824</v>
      </c>
      <c r="N816" s="108"/>
      <c r="O816" s="19"/>
      <c r="P816" s="20"/>
      <c r="Q816" s="20"/>
    </row>
    <row r="817" spans="1:17" ht="24.9" customHeight="1">
      <c r="A817" s="20">
        <v>362</v>
      </c>
      <c r="B817" s="20" t="s">
        <v>4320</v>
      </c>
      <c r="C817" s="19">
        <v>14</v>
      </c>
      <c r="D817" s="19" t="s">
        <v>3401</v>
      </c>
      <c r="E817" s="19" t="str">
        <f>VLOOKUP(D817,'لیست پرسنل'!$B$2:$E$1020,3,FALSE)</f>
        <v>کاربین طرح</v>
      </c>
      <c r="F817" s="19" t="str">
        <f>VLOOKUP(D817,'لیست پرسنل'!$B$2:$E$1020,4,FALSE)</f>
        <v>ایمنی</v>
      </c>
      <c r="G817" s="127" t="str">
        <f>VLOOKUP(D817,'لیست پرسنل'!$B$2:$F$1020,2,FALSE)</f>
        <v>100552</v>
      </c>
      <c r="H817" s="127" t="s">
        <v>3381</v>
      </c>
      <c r="I817" s="127" t="s">
        <v>23</v>
      </c>
      <c r="J817" s="127" t="s">
        <v>571</v>
      </c>
      <c r="K817" s="128" t="s">
        <v>2219</v>
      </c>
      <c r="L817" s="127"/>
      <c r="M817" s="127">
        <v>628598</v>
      </c>
      <c r="N817" s="109"/>
      <c r="O817" s="19"/>
      <c r="P817" s="20"/>
      <c r="Q817" s="20"/>
    </row>
    <row r="818" spans="1:17" ht="24.9" customHeight="1">
      <c r="A818" s="20">
        <v>362</v>
      </c>
      <c r="B818" s="20" t="s">
        <v>4320</v>
      </c>
      <c r="C818" s="19">
        <v>14</v>
      </c>
      <c r="D818" s="19" t="s">
        <v>3401</v>
      </c>
      <c r="E818" s="19" t="str">
        <f>VLOOKUP(D818,'لیست پرسنل'!$B$2:$E$1020,3,FALSE)</f>
        <v>کاربین طرح</v>
      </c>
      <c r="F818" s="19" t="str">
        <f>VLOOKUP(D818,'لیست پرسنل'!$B$2:$E$1020,4,FALSE)</f>
        <v>ایمنی</v>
      </c>
      <c r="G818" s="127" t="str">
        <f>VLOOKUP(D818,'لیست پرسنل'!$B$2:$F$1020,2,FALSE)</f>
        <v>100552</v>
      </c>
      <c r="H818" s="127" t="s">
        <v>3381</v>
      </c>
      <c r="I818" s="127" t="s">
        <v>23</v>
      </c>
      <c r="J818" s="128" t="s">
        <v>2686</v>
      </c>
      <c r="K818" s="128" t="s">
        <v>2922</v>
      </c>
      <c r="L818" s="127" t="s">
        <v>7203</v>
      </c>
      <c r="M818" s="128">
        <v>626425</v>
      </c>
      <c r="N818" s="108"/>
      <c r="O818" s="20" t="s">
        <v>705</v>
      </c>
      <c r="P818" s="20"/>
      <c r="Q818" s="20"/>
    </row>
    <row r="819" spans="1:17" ht="24.9" customHeight="1">
      <c r="A819" s="20">
        <v>362</v>
      </c>
      <c r="B819" s="20" t="s">
        <v>4320</v>
      </c>
      <c r="C819" s="19">
        <v>15</v>
      </c>
      <c r="D819" s="19" t="s">
        <v>349</v>
      </c>
      <c r="E819" s="19" t="str">
        <f>VLOOKUP(D819,'لیست پرسنل'!$B$2:$E$1020,3,FALSE)</f>
        <v>فکورصنعت</v>
      </c>
      <c r="F819" s="19" t="str">
        <f>VLOOKUP(D819,'لیست پرسنل'!$B$2:$E$1020,4,FALSE)</f>
        <v>انبار</v>
      </c>
      <c r="G819" s="127">
        <f>VLOOKUP(D819,'لیست پرسنل'!$B$2:$F$1020,2,FALSE)</f>
        <v>5022</v>
      </c>
      <c r="H819" s="127" t="s">
        <v>3381</v>
      </c>
      <c r="I819" s="127" t="s">
        <v>24</v>
      </c>
      <c r="J819" s="126" t="s">
        <v>368</v>
      </c>
      <c r="K819" s="128" t="s">
        <v>658</v>
      </c>
      <c r="L819" s="127"/>
      <c r="M819" s="127">
        <v>621047</v>
      </c>
      <c r="N819" s="109"/>
      <c r="O819" s="19"/>
      <c r="P819" s="20"/>
      <c r="Q819" s="20"/>
    </row>
    <row r="820" spans="1:17" ht="24.9" customHeight="1">
      <c r="A820" s="20">
        <v>362</v>
      </c>
      <c r="B820" s="20" t="s">
        <v>4320</v>
      </c>
      <c r="C820" s="19">
        <v>15</v>
      </c>
      <c r="D820" s="19" t="s">
        <v>349</v>
      </c>
      <c r="E820" s="19" t="str">
        <f>VLOOKUP(D820,'لیست پرسنل'!$B$2:$E$1020,3,FALSE)</f>
        <v>فکورصنعت</v>
      </c>
      <c r="F820" s="19" t="str">
        <f>VLOOKUP(D820,'لیست پرسنل'!$B$2:$E$1020,4,FALSE)</f>
        <v>انبار</v>
      </c>
      <c r="G820" s="127">
        <f>VLOOKUP(D820,'لیست پرسنل'!$B$2:$F$1020,2,FALSE)</f>
        <v>5022</v>
      </c>
      <c r="H820" s="127" t="s">
        <v>3381</v>
      </c>
      <c r="I820" s="127" t="s">
        <v>24</v>
      </c>
      <c r="J820" s="127" t="s">
        <v>571</v>
      </c>
      <c r="K820" s="128" t="s">
        <v>2219</v>
      </c>
      <c r="L820" s="160"/>
      <c r="M820" s="127">
        <v>625454</v>
      </c>
      <c r="N820" s="109"/>
      <c r="O820" s="20"/>
      <c r="P820" s="20"/>
      <c r="Q820" s="20"/>
    </row>
    <row r="821" spans="1:17" ht="24.9" customHeight="1">
      <c r="A821" s="20">
        <v>362</v>
      </c>
      <c r="B821" s="20" t="s">
        <v>4320</v>
      </c>
      <c r="C821" s="19">
        <v>15</v>
      </c>
      <c r="D821" s="19" t="s">
        <v>349</v>
      </c>
      <c r="E821" s="19" t="str">
        <f>VLOOKUP(D821,'لیست پرسنل'!$B$2:$E$1020,3,FALSE)</f>
        <v>فکورصنعت</v>
      </c>
      <c r="F821" s="19" t="str">
        <f>VLOOKUP(D821,'لیست پرسنل'!$B$2:$E$1020,4,FALSE)</f>
        <v>انبار</v>
      </c>
      <c r="G821" s="127">
        <f>VLOOKUP(D821,'لیست پرسنل'!$B$2:$F$1020,2,FALSE)</f>
        <v>5022</v>
      </c>
      <c r="H821" s="127" t="s">
        <v>3381</v>
      </c>
      <c r="I821" s="127" t="s">
        <v>24</v>
      </c>
      <c r="J821" s="128" t="s">
        <v>2686</v>
      </c>
      <c r="K821" s="128" t="s">
        <v>2143</v>
      </c>
      <c r="L821" s="128" t="s">
        <v>2235</v>
      </c>
      <c r="M821" s="127">
        <v>628626</v>
      </c>
      <c r="N821" s="108"/>
      <c r="O821" s="20" t="s">
        <v>705</v>
      </c>
      <c r="P821" s="20"/>
      <c r="Q821" s="20"/>
    </row>
    <row r="822" spans="1:17" ht="24.9" customHeight="1">
      <c r="A822" s="20">
        <v>362</v>
      </c>
      <c r="B822" s="20" t="s">
        <v>4320</v>
      </c>
      <c r="C822" s="20">
        <v>16</v>
      </c>
      <c r="D822" s="20" t="s">
        <v>5097</v>
      </c>
      <c r="E822" s="19" t="str">
        <f>VLOOKUP(D822,'لیست پرسنل'!$B$2:$E$1020,3,FALSE)</f>
        <v>شرکت پیمانکاری موسوی</v>
      </c>
      <c r="F822" s="19" t="str">
        <f>VLOOKUP(D822,'لیست پرسنل'!$B$2:$E$1020,4,FALSE)</f>
        <v>نقشه برداری</v>
      </c>
      <c r="G822" s="127" t="str">
        <f>VLOOKUP(D822,'لیست پرسنل'!$B$2:$F$1020,2,FALSE)</f>
        <v>0</v>
      </c>
      <c r="H822" s="127" t="s">
        <v>3381</v>
      </c>
      <c r="I822" s="128" t="s">
        <v>5096</v>
      </c>
      <c r="J822" s="126" t="s">
        <v>368</v>
      </c>
      <c r="K822" s="128" t="s">
        <v>8248</v>
      </c>
      <c r="L822" s="127" t="s">
        <v>2311</v>
      </c>
      <c r="M822" s="128">
        <v>628717</v>
      </c>
      <c r="N822" s="108"/>
      <c r="O822" s="20" t="s">
        <v>705</v>
      </c>
      <c r="P822" s="20"/>
      <c r="Q822" s="20"/>
    </row>
    <row r="823" spans="1:17" ht="24.9" customHeight="1">
      <c r="A823" s="20">
        <v>362</v>
      </c>
      <c r="B823" s="20" t="s">
        <v>4320</v>
      </c>
      <c r="C823" s="20">
        <v>16</v>
      </c>
      <c r="D823" s="20" t="s">
        <v>5097</v>
      </c>
      <c r="E823" s="19" t="str">
        <f>VLOOKUP(D823,'لیست پرسنل'!$B$2:$E$1020,3,FALSE)</f>
        <v>شرکت پیمانکاری موسوی</v>
      </c>
      <c r="F823" s="19" t="str">
        <f>VLOOKUP(D823,'لیست پرسنل'!$B$2:$E$1020,4,FALSE)</f>
        <v>نقشه برداری</v>
      </c>
      <c r="G823" s="127" t="str">
        <f>VLOOKUP(D823,'لیست پرسنل'!$B$2:$F$1020,2,FALSE)</f>
        <v>0</v>
      </c>
      <c r="H823" s="127" t="s">
        <v>3381</v>
      </c>
      <c r="I823" s="128" t="s">
        <v>5096</v>
      </c>
      <c r="J823" s="141" t="s">
        <v>571</v>
      </c>
      <c r="K823" s="128" t="s">
        <v>1513</v>
      </c>
      <c r="L823" s="154"/>
      <c r="M823" s="131">
        <v>624620</v>
      </c>
      <c r="N823" s="108"/>
      <c r="O823" s="19" t="s">
        <v>2090</v>
      </c>
      <c r="P823" s="20"/>
      <c r="Q823" s="20"/>
    </row>
    <row r="824" spans="1:17" ht="24.9" customHeight="1">
      <c r="A824" s="20">
        <v>362</v>
      </c>
      <c r="B824" s="20" t="s">
        <v>4320</v>
      </c>
      <c r="C824" s="20">
        <v>16</v>
      </c>
      <c r="D824" s="20" t="s">
        <v>5097</v>
      </c>
      <c r="E824" s="19" t="str">
        <f>VLOOKUP(D824,'لیست پرسنل'!$B$2:$E$1020,3,FALSE)</f>
        <v>شرکت پیمانکاری موسوی</v>
      </c>
      <c r="F824" s="19" t="str">
        <f>VLOOKUP(D824,'لیست پرسنل'!$B$2:$E$1020,4,FALSE)</f>
        <v>نقشه برداری</v>
      </c>
      <c r="G824" s="127" t="str">
        <f>VLOOKUP(D824,'لیست پرسنل'!$B$2:$F$1020,2,FALSE)</f>
        <v>0</v>
      </c>
      <c r="H824" s="127" t="s">
        <v>3381</v>
      </c>
      <c r="I824" s="128" t="s">
        <v>5096</v>
      </c>
      <c r="J824" s="128" t="s">
        <v>2686</v>
      </c>
      <c r="K824" s="128" t="s">
        <v>744</v>
      </c>
      <c r="L824" s="150" t="s">
        <v>5098</v>
      </c>
      <c r="M824" s="128">
        <v>605979</v>
      </c>
      <c r="N824" s="108"/>
      <c r="O824" s="86"/>
      <c r="P824" s="20"/>
      <c r="Q824" s="20"/>
    </row>
    <row r="825" spans="1:17" ht="24.9" customHeight="1">
      <c r="A825" s="20">
        <v>362</v>
      </c>
      <c r="B825" s="20" t="s">
        <v>4320</v>
      </c>
      <c r="C825" s="19">
        <v>17</v>
      </c>
      <c r="D825" s="19" t="s">
        <v>48</v>
      </c>
      <c r="E825" s="19" t="str">
        <f>VLOOKUP(D825,'لیست پرسنل'!$B$2:$E$1020,3,FALSE)</f>
        <v>فکورصنعت</v>
      </c>
      <c r="F825" s="19" t="str">
        <f>VLOOKUP(D825,'لیست پرسنل'!$B$2:$E$1020,4,FALSE)</f>
        <v>سرپرست آی تی</v>
      </c>
      <c r="G825" s="127">
        <f>VLOOKUP(D825,'لیست پرسنل'!$B$2:$F$1020,2,FALSE)</f>
        <v>2210</v>
      </c>
      <c r="H825" s="127" t="s">
        <v>3381</v>
      </c>
      <c r="I825" s="127" t="s">
        <v>25</v>
      </c>
      <c r="J825" s="128" t="s">
        <v>737</v>
      </c>
      <c r="K825" s="128" t="s">
        <v>751</v>
      </c>
      <c r="L825" s="127" t="s">
        <v>752</v>
      </c>
      <c r="M825" s="127">
        <v>611713</v>
      </c>
      <c r="N825" s="109"/>
      <c r="O825" s="19"/>
      <c r="P825" s="20"/>
      <c r="Q825" s="20"/>
    </row>
    <row r="826" spans="1:17" ht="24.9" customHeight="1">
      <c r="A826" s="20">
        <v>362</v>
      </c>
      <c r="B826" s="20" t="s">
        <v>4320</v>
      </c>
      <c r="C826" s="19">
        <v>17</v>
      </c>
      <c r="D826" s="19" t="s">
        <v>48</v>
      </c>
      <c r="E826" s="19" t="str">
        <f>VLOOKUP(D826,'لیست پرسنل'!$B$2:$E$1020,3,FALSE)</f>
        <v>فکورصنعت</v>
      </c>
      <c r="F826" s="19" t="str">
        <f>VLOOKUP(D826,'لیست پرسنل'!$B$2:$E$1020,4,FALSE)</f>
        <v>سرپرست آی تی</v>
      </c>
      <c r="G826" s="127">
        <f>VLOOKUP(D826,'لیست پرسنل'!$B$2:$F$1020,2,FALSE)</f>
        <v>2210</v>
      </c>
      <c r="H826" s="127" t="s">
        <v>3381</v>
      </c>
      <c r="I826" s="127" t="s">
        <v>25</v>
      </c>
      <c r="J826" s="128" t="s">
        <v>737</v>
      </c>
      <c r="K826" s="128" t="s">
        <v>1819</v>
      </c>
      <c r="L826" s="128" t="s">
        <v>1818</v>
      </c>
      <c r="M826" s="128">
        <v>612057</v>
      </c>
      <c r="N826" s="108"/>
      <c r="O826" s="19"/>
      <c r="P826" s="20"/>
      <c r="Q826" s="20"/>
    </row>
    <row r="827" spans="1:17" ht="24.9" customHeight="1">
      <c r="A827" s="20">
        <v>362</v>
      </c>
      <c r="B827" s="20" t="s">
        <v>4320</v>
      </c>
      <c r="C827" s="19">
        <v>17</v>
      </c>
      <c r="D827" s="19" t="s">
        <v>48</v>
      </c>
      <c r="E827" s="19" t="str">
        <f>VLOOKUP(D827,'لیست پرسنل'!$B$2:$E$1020,3,FALSE)</f>
        <v>فکورصنعت</v>
      </c>
      <c r="F827" s="19" t="str">
        <f>VLOOKUP(D827,'لیست پرسنل'!$B$2:$E$1020,4,FALSE)</f>
        <v>سرپرست آی تی</v>
      </c>
      <c r="G827" s="127">
        <f>VLOOKUP(D827,'لیست پرسنل'!$B$2:$F$1020,2,FALSE)</f>
        <v>2210</v>
      </c>
      <c r="H827" s="127" t="s">
        <v>3381</v>
      </c>
      <c r="I827" s="127" t="s">
        <v>25</v>
      </c>
      <c r="J827" s="126" t="s">
        <v>368</v>
      </c>
      <c r="K827" s="128" t="s">
        <v>2846</v>
      </c>
      <c r="L827" s="128" t="s">
        <v>2337</v>
      </c>
      <c r="M827" s="128">
        <v>628743</v>
      </c>
      <c r="N827" s="108"/>
      <c r="O827" s="19"/>
      <c r="P827" s="20"/>
      <c r="Q827" s="20"/>
    </row>
    <row r="828" spans="1:17" ht="24.9" customHeight="1">
      <c r="A828" s="20">
        <v>362</v>
      </c>
      <c r="B828" s="20" t="s">
        <v>4320</v>
      </c>
      <c r="C828" s="19">
        <v>17</v>
      </c>
      <c r="D828" s="19" t="s">
        <v>48</v>
      </c>
      <c r="E828" s="19" t="str">
        <f>VLOOKUP(D828,'لیست پرسنل'!$B$2:$E$1020,3,FALSE)</f>
        <v>فکورصنعت</v>
      </c>
      <c r="F828" s="19" t="str">
        <f>VLOOKUP(D828,'لیست پرسنل'!$B$2:$E$1020,4,FALSE)</f>
        <v>سرپرست آی تی</v>
      </c>
      <c r="G828" s="127">
        <f>VLOOKUP(D828,'لیست پرسنل'!$B$2:$F$1020,2,FALSE)</f>
        <v>2210</v>
      </c>
      <c r="H828" s="127" t="s">
        <v>3381</v>
      </c>
      <c r="I828" s="127" t="s">
        <v>25</v>
      </c>
      <c r="J828" s="127" t="s">
        <v>571</v>
      </c>
      <c r="K828" s="128" t="s">
        <v>2219</v>
      </c>
      <c r="L828" s="127"/>
      <c r="M828" s="127">
        <v>628589</v>
      </c>
      <c r="N828" s="109"/>
      <c r="O828" s="86"/>
      <c r="P828" s="20"/>
      <c r="Q828" s="20"/>
    </row>
    <row r="829" spans="1:17" ht="24.9" customHeight="1">
      <c r="A829" s="20">
        <v>362</v>
      </c>
      <c r="B829" s="20" t="s">
        <v>4320</v>
      </c>
      <c r="C829" s="19">
        <v>17</v>
      </c>
      <c r="D829" s="19" t="s">
        <v>48</v>
      </c>
      <c r="E829" s="19" t="str">
        <f>VLOOKUP(D829,'لیست پرسنل'!$B$2:$E$1020,3,FALSE)</f>
        <v>فکورصنعت</v>
      </c>
      <c r="F829" s="19" t="str">
        <f>VLOOKUP(D829,'لیست پرسنل'!$B$2:$E$1020,4,FALSE)</f>
        <v>سرپرست آی تی</v>
      </c>
      <c r="G829" s="127">
        <f>VLOOKUP(D829,'لیست پرسنل'!$B$2:$F$1020,2,FALSE)</f>
        <v>2210</v>
      </c>
      <c r="H829" s="127" t="s">
        <v>3381</v>
      </c>
      <c r="I829" s="127" t="s">
        <v>25</v>
      </c>
      <c r="J829" s="128" t="s">
        <v>2686</v>
      </c>
      <c r="K829" s="128" t="s">
        <v>898</v>
      </c>
      <c r="L829" s="127" t="s">
        <v>897</v>
      </c>
      <c r="M829" s="127">
        <v>623237</v>
      </c>
      <c r="N829" s="109"/>
      <c r="O829" s="86"/>
      <c r="P829" s="20"/>
      <c r="Q829" s="20"/>
    </row>
    <row r="830" spans="1:17" ht="24.9" customHeight="1">
      <c r="A830" s="20">
        <v>362</v>
      </c>
      <c r="B830" s="20" t="s">
        <v>4320</v>
      </c>
      <c r="C830" s="19">
        <v>17</v>
      </c>
      <c r="D830" s="19" t="s">
        <v>48</v>
      </c>
      <c r="E830" s="19" t="str">
        <f>VLOOKUP(D830,'لیست پرسنل'!$B$2:$E$1020,3,FALSE)</f>
        <v>فکورصنعت</v>
      </c>
      <c r="F830" s="19" t="str">
        <f>VLOOKUP(D830,'لیست پرسنل'!$B$2:$E$1020,4,FALSE)</f>
        <v>سرپرست آی تی</v>
      </c>
      <c r="G830" s="127">
        <f>VLOOKUP(D830,'لیست پرسنل'!$B$2:$F$1020,2,FALSE)</f>
        <v>2210</v>
      </c>
      <c r="H830" s="127" t="s">
        <v>3381</v>
      </c>
      <c r="I830" s="127" t="s">
        <v>25</v>
      </c>
      <c r="J830" s="127" t="s">
        <v>3388</v>
      </c>
      <c r="K830" s="128" t="s">
        <v>3958</v>
      </c>
      <c r="L830" s="127" t="s">
        <v>1428</v>
      </c>
      <c r="M830" s="127">
        <v>624902</v>
      </c>
      <c r="N830" s="109"/>
      <c r="O830" s="19"/>
      <c r="P830" s="20"/>
      <c r="Q830" s="20"/>
    </row>
    <row r="831" spans="1:17" ht="24.9" customHeight="1">
      <c r="A831" s="20">
        <v>362</v>
      </c>
      <c r="B831" s="20" t="s">
        <v>4320</v>
      </c>
      <c r="C831" s="19">
        <v>19</v>
      </c>
      <c r="D831" s="19" t="s">
        <v>104</v>
      </c>
      <c r="E831" s="19" t="str">
        <f>VLOOKUP(D831,'لیست پرسنل'!$B$2:$E$1020,3,FALSE)</f>
        <v>فکورصنعت</v>
      </c>
      <c r="F831" s="19" t="str">
        <f>VLOOKUP(D831,'لیست پرسنل'!$B$2:$E$1020,4,FALSE)</f>
        <v>آی تی</v>
      </c>
      <c r="G831" s="127">
        <f>VLOOKUP(D831,'لیست پرسنل'!$B$2:$F$1020,2,FALSE)</f>
        <v>2237</v>
      </c>
      <c r="H831" s="127" t="s">
        <v>3381</v>
      </c>
      <c r="I831" s="127" t="s">
        <v>26</v>
      </c>
      <c r="J831" s="126" t="s">
        <v>368</v>
      </c>
      <c r="K831" s="128" t="s">
        <v>2846</v>
      </c>
      <c r="L831" s="128" t="s">
        <v>2335</v>
      </c>
      <c r="M831" s="128">
        <v>628741</v>
      </c>
      <c r="N831" s="108"/>
      <c r="O831" s="20"/>
      <c r="P831" s="20"/>
      <c r="Q831" s="20"/>
    </row>
    <row r="832" spans="1:17" ht="24.9" customHeight="1">
      <c r="A832" s="20">
        <v>362</v>
      </c>
      <c r="B832" s="20" t="s">
        <v>4320</v>
      </c>
      <c r="C832" s="19">
        <v>19</v>
      </c>
      <c r="D832" s="19" t="s">
        <v>104</v>
      </c>
      <c r="E832" s="19" t="str">
        <f>VLOOKUP(D832,'لیست پرسنل'!$B$2:$E$1020,3,FALSE)</f>
        <v>فکورصنعت</v>
      </c>
      <c r="F832" s="19" t="str">
        <f>VLOOKUP(D832,'لیست پرسنل'!$B$2:$E$1020,4,FALSE)</f>
        <v>آی تی</v>
      </c>
      <c r="G832" s="127">
        <f>VLOOKUP(D832,'لیست پرسنل'!$B$2:$F$1020,2,FALSE)</f>
        <v>2237</v>
      </c>
      <c r="H832" s="127" t="s">
        <v>3381</v>
      </c>
      <c r="I832" s="127" t="s">
        <v>26</v>
      </c>
      <c r="J832" s="127" t="s">
        <v>571</v>
      </c>
      <c r="K832" s="128"/>
      <c r="L832" s="154"/>
      <c r="M832" s="127">
        <v>627725</v>
      </c>
      <c r="N832" s="109"/>
      <c r="O832" s="20"/>
      <c r="P832" s="20"/>
      <c r="Q832" s="20"/>
    </row>
    <row r="833" spans="1:17" ht="24.9" customHeight="1">
      <c r="A833" s="20">
        <v>362</v>
      </c>
      <c r="B833" s="20" t="s">
        <v>4320</v>
      </c>
      <c r="C833" s="19">
        <v>19</v>
      </c>
      <c r="D833" s="19" t="s">
        <v>104</v>
      </c>
      <c r="E833" s="19" t="str">
        <f>VLOOKUP(D833,'لیست پرسنل'!$B$2:$E$1020,3,FALSE)</f>
        <v>فکورصنعت</v>
      </c>
      <c r="F833" s="19" t="str">
        <f>VLOOKUP(D833,'لیست پرسنل'!$B$2:$E$1020,4,FALSE)</f>
        <v>آی تی</v>
      </c>
      <c r="G833" s="127">
        <f>VLOOKUP(D833,'لیست پرسنل'!$B$2:$F$1020,2,FALSE)</f>
        <v>2237</v>
      </c>
      <c r="H833" s="127" t="s">
        <v>3381</v>
      </c>
      <c r="I833" s="127" t="s">
        <v>26</v>
      </c>
      <c r="J833" s="128" t="s">
        <v>4333</v>
      </c>
      <c r="K833" s="128" t="s">
        <v>6034</v>
      </c>
      <c r="L833" s="134" t="s">
        <v>6035</v>
      </c>
      <c r="M833" s="128">
        <v>614552</v>
      </c>
      <c r="N833" s="108"/>
      <c r="O833" s="20"/>
      <c r="P833" s="20"/>
      <c r="Q833" s="20"/>
    </row>
    <row r="834" spans="1:17" ht="24.9" customHeight="1">
      <c r="A834" s="20">
        <v>362</v>
      </c>
      <c r="B834" s="20" t="s">
        <v>4320</v>
      </c>
      <c r="C834" s="19">
        <v>19</v>
      </c>
      <c r="D834" s="19" t="s">
        <v>104</v>
      </c>
      <c r="E834" s="19" t="str">
        <f>VLOOKUP(D834,'لیست پرسنل'!$B$2:$E$1020,3,FALSE)</f>
        <v>فکورصنعت</v>
      </c>
      <c r="F834" s="19" t="str">
        <f>VLOOKUP(D834,'لیست پرسنل'!$B$2:$E$1020,4,FALSE)</f>
        <v>آی تی</v>
      </c>
      <c r="G834" s="127">
        <f>VLOOKUP(D834,'لیست پرسنل'!$B$2:$F$1020,2,FALSE)</f>
        <v>2237</v>
      </c>
      <c r="H834" s="127" t="s">
        <v>3381</v>
      </c>
      <c r="I834" s="127" t="s">
        <v>26</v>
      </c>
      <c r="J834" s="128" t="s">
        <v>2686</v>
      </c>
      <c r="K834" s="128" t="s">
        <v>2922</v>
      </c>
      <c r="L834" s="154" t="s">
        <v>2950</v>
      </c>
      <c r="M834" s="127">
        <v>626430</v>
      </c>
      <c r="N834" s="109"/>
      <c r="O834" s="86"/>
      <c r="P834" s="20"/>
      <c r="Q834" s="20"/>
    </row>
    <row r="835" spans="1:17" ht="24.9" customHeight="1">
      <c r="A835" s="20">
        <v>362</v>
      </c>
      <c r="B835" s="20" t="s">
        <v>4320</v>
      </c>
      <c r="C835" s="19">
        <v>20</v>
      </c>
      <c r="D835" s="19" t="s">
        <v>5338</v>
      </c>
      <c r="E835" s="19" t="str">
        <f>VLOOKUP(D835,'لیست پرسنل'!$B$2:$E$1020,3,FALSE)</f>
        <v>مهرفام</v>
      </c>
      <c r="F835" s="19" t="str">
        <f>VLOOKUP(D835,'لیست پرسنل'!$B$2:$E$1020,4,FALSE)</f>
        <v>کنترل کیفیت</v>
      </c>
      <c r="G835" s="127" t="str">
        <f>VLOOKUP(D835,'لیست پرسنل'!$B$2:$F$1020,2,FALSE)</f>
        <v>0</v>
      </c>
      <c r="H835" s="127" t="s">
        <v>4944</v>
      </c>
      <c r="I835" s="127" t="s">
        <v>4943</v>
      </c>
      <c r="J835" s="128" t="s">
        <v>737</v>
      </c>
      <c r="K835" s="127" t="s">
        <v>543</v>
      </c>
      <c r="L835" s="127" t="s">
        <v>1070</v>
      </c>
      <c r="M835" s="131">
        <v>612913</v>
      </c>
      <c r="N835" s="108"/>
      <c r="O835" s="19" t="s">
        <v>611</v>
      </c>
      <c r="P835" s="20"/>
      <c r="Q835" s="20"/>
    </row>
    <row r="836" spans="1:17" ht="24.9" customHeight="1">
      <c r="A836" s="20">
        <v>362</v>
      </c>
      <c r="B836" s="20" t="s">
        <v>4320</v>
      </c>
      <c r="C836" s="19">
        <v>20</v>
      </c>
      <c r="D836" s="19" t="s">
        <v>5338</v>
      </c>
      <c r="E836" s="19" t="str">
        <f>VLOOKUP(D836,'لیست پرسنل'!$B$2:$E$1020,3,FALSE)</f>
        <v>مهرفام</v>
      </c>
      <c r="F836" s="19" t="str">
        <f>VLOOKUP(D836,'لیست پرسنل'!$B$2:$E$1020,4,FALSE)</f>
        <v>کنترل کیفیت</v>
      </c>
      <c r="G836" s="127" t="str">
        <f>VLOOKUP(D836,'لیست پرسنل'!$B$2:$F$1020,2,FALSE)</f>
        <v>0</v>
      </c>
      <c r="H836" s="127" t="s">
        <v>4944</v>
      </c>
      <c r="I836" s="127" t="s">
        <v>4943</v>
      </c>
      <c r="J836" s="126" t="s">
        <v>368</v>
      </c>
      <c r="K836" s="128" t="s">
        <v>8248</v>
      </c>
      <c r="L836" s="134" t="s">
        <v>2427</v>
      </c>
      <c r="M836" s="128">
        <v>628834</v>
      </c>
      <c r="N836" s="108"/>
      <c r="O836" s="20" t="s">
        <v>705</v>
      </c>
      <c r="P836" s="20"/>
      <c r="Q836" s="20"/>
    </row>
    <row r="837" spans="1:17" ht="24.9" customHeight="1">
      <c r="A837" s="20">
        <v>362</v>
      </c>
      <c r="B837" s="20" t="s">
        <v>4320</v>
      </c>
      <c r="C837" s="19">
        <v>20</v>
      </c>
      <c r="D837" s="19" t="s">
        <v>5338</v>
      </c>
      <c r="E837" s="19" t="str">
        <f>VLOOKUP(D837,'لیست پرسنل'!$B$2:$E$1020,3,FALSE)</f>
        <v>مهرفام</v>
      </c>
      <c r="F837" s="19" t="str">
        <f>VLOOKUP(D837,'لیست پرسنل'!$B$2:$E$1020,4,FALSE)</f>
        <v>کنترل کیفیت</v>
      </c>
      <c r="G837" s="127" t="str">
        <f>VLOOKUP(D837,'لیست پرسنل'!$B$2:$F$1020,2,FALSE)</f>
        <v>0</v>
      </c>
      <c r="H837" s="127" t="s">
        <v>4944</v>
      </c>
      <c r="I837" s="127" t="s">
        <v>4943</v>
      </c>
      <c r="J837" s="128" t="s">
        <v>3481</v>
      </c>
      <c r="K837" s="128" t="s">
        <v>6746</v>
      </c>
      <c r="L837" s="134" t="s">
        <v>6752</v>
      </c>
      <c r="M837" s="127" t="s">
        <v>291</v>
      </c>
      <c r="N837" s="108"/>
      <c r="O837" s="20"/>
      <c r="P837" s="20"/>
      <c r="Q837" s="20"/>
    </row>
    <row r="838" spans="1:17" ht="24.9" customHeight="1">
      <c r="A838" s="20">
        <v>362</v>
      </c>
      <c r="B838" s="20" t="s">
        <v>4320</v>
      </c>
      <c r="C838" s="19">
        <v>20</v>
      </c>
      <c r="D838" s="19" t="s">
        <v>5338</v>
      </c>
      <c r="E838" s="19" t="str">
        <f>VLOOKUP(D838,'لیست پرسنل'!$B$2:$E$1020,3,FALSE)</f>
        <v>مهرفام</v>
      </c>
      <c r="F838" s="19" t="str">
        <f>VLOOKUP(D838,'لیست پرسنل'!$B$2:$E$1020,4,FALSE)</f>
        <v>کنترل کیفیت</v>
      </c>
      <c r="G838" s="127" t="str">
        <f>VLOOKUP(D838,'لیست پرسنل'!$B$2:$F$1020,2,FALSE)</f>
        <v>0</v>
      </c>
      <c r="H838" s="127" t="s">
        <v>4944</v>
      </c>
      <c r="I838" s="127" t="s">
        <v>4943</v>
      </c>
      <c r="J838" s="141" t="s">
        <v>571</v>
      </c>
      <c r="K838" s="128"/>
      <c r="L838" s="134"/>
      <c r="M838" s="132">
        <v>603805</v>
      </c>
      <c r="N838" s="108"/>
      <c r="O838" s="20"/>
      <c r="P838" s="20"/>
      <c r="Q838" s="20"/>
    </row>
    <row r="839" spans="1:17" ht="24.9" customHeight="1">
      <c r="A839" s="20">
        <v>362</v>
      </c>
      <c r="B839" s="20" t="s">
        <v>4320</v>
      </c>
      <c r="C839" s="19">
        <v>20</v>
      </c>
      <c r="D839" s="19" t="s">
        <v>5338</v>
      </c>
      <c r="E839" s="19" t="str">
        <f>VLOOKUP(D839,'لیست پرسنل'!$B$2:$E$1020,3,FALSE)</f>
        <v>مهرفام</v>
      </c>
      <c r="F839" s="19" t="str">
        <f>VLOOKUP(D839,'لیست پرسنل'!$B$2:$E$1020,4,FALSE)</f>
        <v>کنترل کیفیت</v>
      </c>
      <c r="G839" s="127" t="str">
        <f>VLOOKUP(D839,'لیست پرسنل'!$B$2:$F$1020,2,FALSE)</f>
        <v>0</v>
      </c>
      <c r="H839" s="127" t="s">
        <v>4944</v>
      </c>
      <c r="I839" s="127" t="s">
        <v>4943</v>
      </c>
      <c r="J839" s="128" t="s">
        <v>2686</v>
      </c>
      <c r="K839" s="128" t="s">
        <v>744</v>
      </c>
      <c r="L839" s="134" t="s">
        <v>1089</v>
      </c>
      <c r="M839" s="128">
        <v>604610</v>
      </c>
      <c r="N839" s="108"/>
      <c r="O839" s="20" t="s">
        <v>4652</v>
      </c>
      <c r="P839" s="20"/>
      <c r="Q839" s="20"/>
    </row>
    <row r="840" spans="1:17" ht="24.9" customHeight="1">
      <c r="A840" s="20">
        <v>362</v>
      </c>
      <c r="B840" s="20" t="s">
        <v>4320</v>
      </c>
      <c r="C840" s="20">
        <v>21</v>
      </c>
      <c r="D840" s="20" t="s">
        <v>5785</v>
      </c>
      <c r="E840" s="19" t="str">
        <f>VLOOKUP(D840,'لیست پرسنل'!$B$2:$E$1020,3,FALSE)</f>
        <v>گهر کوشان سپهر</v>
      </c>
      <c r="F840" s="19" t="str">
        <f>VLOOKUP(D840,'لیست پرسنل'!$B$2:$E$1020,4,FALSE)</f>
        <v>انبار</v>
      </c>
      <c r="G840" s="127">
        <f>VLOOKUP(D840,'لیست پرسنل'!$B$2:$F$1020,2,FALSE)</f>
        <v>20489</v>
      </c>
      <c r="H840" s="127" t="s">
        <v>4779</v>
      </c>
      <c r="I840" s="128" t="s">
        <v>27</v>
      </c>
      <c r="J840" s="128" t="s">
        <v>737</v>
      </c>
      <c r="K840" s="128" t="s">
        <v>452</v>
      </c>
      <c r="L840" s="134" t="s">
        <v>453</v>
      </c>
      <c r="M840" s="127">
        <v>615555</v>
      </c>
      <c r="N840" s="108"/>
      <c r="O840" s="20" t="s">
        <v>4780</v>
      </c>
      <c r="P840" s="20"/>
      <c r="Q840" s="20"/>
    </row>
    <row r="841" spans="1:17" ht="24.9" customHeight="1">
      <c r="A841" s="20">
        <v>362</v>
      </c>
      <c r="B841" s="20" t="s">
        <v>4320</v>
      </c>
      <c r="C841" s="20">
        <v>21</v>
      </c>
      <c r="D841" s="20" t="s">
        <v>5785</v>
      </c>
      <c r="E841" s="19" t="str">
        <f>VLOOKUP(D841,'لیست پرسنل'!$B$2:$E$1020,3,FALSE)</f>
        <v>گهر کوشان سپهر</v>
      </c>
      <c r="F841" s="19" t="str">
        <f>VLOOKUP(D841,'لیست پرسنل'!$B$2:$E$1020,4,FALSE)</f>
        <v>انبار</v>
      </c>
      <c r="G841" s="127">
        <f>VLOOKUP(D841,'لیست پرسنل'!$B$2:$F$1020,2,FALSE)</f>
        <v>20489</v>
      </c>
      <c r="H841" s="127" t="s">
        <v>4779</v>
      </c>
      <c r="I841" s="128" t="s">
        <v>27</v>
      </c>
      <c r="J841" s="141" t="s">
        <v>571</v>
      </c>
      <c r="K841" s="135" t="s">
        <v>5782</v>
      </c>
      <c r="L841" s="154" t="s">
        <v>2219</v>
      </c>
      <c r="M841" s="131">
        <v>632055</v>
      </c>
      <c r="N841" s="108"/>
      <c r="O841" s="20"/>
      <c r="P841" s="20"/>
      <c r="Q841" s="20"/>
    </row>
    <row r="842" spans="1:17" ht="24.9" customHeight="1">
      <c r="A842" s="20">
        <v>362</v>
      </c>
      <c r="B842" s="20" t="s">
        <v>4320</v>
      </c>
      <c r="C842" s="20">
        <v>21</v>
      </c>
      <c r="D842" s="20" t="s">
        <v>5785</v>
      </c>
      <c r="E842" s="19" t="str">
        <f>VLOOKUP(D842,'لیست پرسنل'!$B$2:$E$1020,3,FALSE)</f>
        <v>گهر کوشان سپهر</v>
      </c>
      <c r="F842" s="19" t="str">
        <f>VLOOKUP(D842,'لیست پرسنل'!$B$2:$E$1020,4,FALSE)</f>
        <v>انبار</v>
      </c>
      <c r="G842" s="127">
        <f>VLOOKUP(D842,'لیست پرسنل'!$B$2:$F$1020,2,FALSE)</f>
        <v>20489</v>
      </c>
      <c r="H842" s="127" t="s">
        <v>4779</v>
      </c>
      <c r="I842" s="128" t="s">
        <v>27</v>
      </c>
      <c r="J842" s="128" t="s">
        <v>2686</v>
      </c>
      <c r="K842" s="128" t="s">
        <v>744</v>
      </c>
      <c r="L842" s="150" t="s">
        <v>1271</v>
      </c>
      <c r="M842" s="127">
        <v>603303</v>
      </c>
      <c r="N842" s="108"/>
      <c r="O842" s="20" t="s">
        <v>4780</v>
      </c>
      <c r="P842" s="20"/>
      <c r="Q842" s="20"/>
    </row>
    <row r="843" spans="1:17" ht="24.9" customHeight="1">
      <c r="A843" s="20">
        <v>362</v>
      </c>
      <c r="B843" s="20" t="s">
        <v>4320</v>
      </c>
      <c r="C843" s="19">
        <v>22</v>
      </c>
      <c r="D843" s="19" t="s">
        <v>3392</v>
      </c>
      <c r="E843" s="19" t="str">
        <f>VLOOKUP(D843,'لیست پرسنل'!$B$2:$E$1020,3,FALSE)</f>
        <v>گهر کوشان سپهر</v>
      </c>
      <c r="F843" s="19" t="str">
        <f>VLOOKUP(D843,'لیست پرسنل'!$B$2:$E$1020,4,FALSE)</f>
        <v>کنترل کیفیت</v>
      </c>
      <c r="G843" s="127" t="str">
        <f>VLOOKUP(D843,'لیست پرسنل'!$B$2:$F$1020,2,FALSE)</f>
        <v>20255</v>
      </c>
      <c r="H843" s="127" t="s">
        <v>3381</v>
      </c>
      <c r="I843" s="127" t="s">
        <v>28</v>
      </c>
      <c r="J843" s="128" t="s">
        <v>737</v>
      </c>
      <c r="K843" s="128" t="s">
        <v>2180</v>
      </c>
      <c r="L843" s="127" t="s">
        <v>4509</v>
      </c>
      <c r="M843" s="131">
        <v>628667</v>
      </c>
      <c r="N843" s="108"/>
      <c r="O843" s="20" t="s">
        <v>705</v>
      </c>
      <c r="P843" s="20"/>
      <c r="Q843" s="20"/>
    </row>
    <row r="844" spans="1:17" ht="24.9" customHeight="1">
      <c r="A844" s="20">
        <v>362</v>
      </c>
      <c r="B844" s="20" t="s">
        <v>4320</v>
      </c>
      <c r="C844" s="19">
        <v>22</v>
      </c>
      <c r="D844" s="19" t="s">
        <v>3392</v>
      </c>
      <c r="E844" s="19" t="str">
        <f>VLOOKUP(D844,'لیست پرسنل'!$B$2:$E$1020,3,FALSE)</f>
        <v>گهر کوشان سپهر</v>
      </c>
      <c r="F844" s="19" t="str">
        <f>VLOOKUP(D844,'لیست پرسنل'!$B$2:$E$1020,4,FALSE)</f>
        <v>کنترل کیفیت</v>
      </c>
      <c r="G844" s="127" t="str">
        <f>VLOOKUP(D844,'لیست پرسنل'!$B$2:$F$1020,2,FALSE)</f>
        <v>20255</v>
      </c>
      <c r="H844" s="127" t="s">
        <v>3381</v>
      </c>
      <c r="I844" s="127" t="s">
        <v>28</v>
      </c>
      <c r="J844" s="126" t="s">
        <v>368</v>
      </c>
      <c r="K844" s="128" t="s">
        <v>2846</v>
      </c>
      <c r="L844" s="127" t="s">
        <v>2408</v>
      </c>
      <c r="M844" s="127">
        <v>628815</v>
      </c>
      <c r="N844" s="109"/>
      <c r="O844" s="19"/>
      <c r="P844" s="20"/>
      <c r="Q844" s="20"/>
    </row>
    <row r="845" spans="1:17" ht="24.9" customHeight="1">
      <c r="A845" s="20">
        <v>362</v>
      </c>
      <c r="B845" s="20" t="s">
        <v>4320</v>
      </c>
      <c r="C845" s="19">
        <v>22</v>
      </c>
      <c r="D845" s="19" t="s">
        <v>3392</v>
      </c>
      <c r="E845" s="19" t="str">
        <f>VLOOKUP(D845,'لیست پرسنل'!$B$2:$E$1020,3,FALSE)</f>
        <v>گهر کوشان سپهر</v>
      </c>
      <c r="F845" s="19" t="str">
        <f>VLOOKUP(D845,'لیست پرسنل'!$B$2:$E$1020,4,FALSE)</f>
        <v>کنترل کیفیت</v>
      </c>
      <c r="G845" s="127" t="str">
        <f>VLOOKUP(D845,'لیست پرسنل'!$B$2:$F$1020,2,FALSE)</f>
        <v>20255</v>
      </c>
      <c r="H845" s="127" t="s">
        <v>3381</v>
      </c>
      <c r="I845" s="127" t="s">
        <v>28</v>
      </c>
      <c r="J845" s="127" t="s">
        <v>571</v>
      </c>
      <c r="K845" s="128"/>
      <c r="L845" s="151"/>
      <c r="M845" s="127">
        <v>603568</v>
      </c>
      <c r="N845" s="109"/>
      <c r="O845" s="19"/>
      <c r="P845" s="20"/>
      <c r="Q845" s="20"/>
    </row>
    <row r="846" spans="1:17" ht="24.9" customHeight="1">
      <c r="A846" s="20">
        <v>362</v>
      </c>
      <c r="B846" s="20" t="s">
        <v>4320</v>
      </c>
      <c r="C846" s="19">
        <v>22</v>
      </c>
      <c r="D846" s="19" t="s">
        <v>3392</v>
      </c>
      <c r="E846" s="19" t="str">
        <f>VLOOKUP(D846,'لیست پرسنل'!$B$2:$E$1020,3,FALSE)</f>
        <v>گهر کوشان سپهر</v>
      </c>
      <c r="F846" s="19" t="str">
        <f>VLOOKUP(D846,'لیست پرسنل'!$B$2:$E$1020,4,FALSE)</f>
        <v>کنترل کیفیت</v>
      </c>
      <c r="G846" s="127" t="str">
        <f>VLOOKUP(D846,'لیست پرسنل'!$B$2:$F$1020,2,FALSE)</f>
        <v>20255</v>
      </c>
      <c r="H846" s="127" t="s">
        <v>3381</v>
      </c>
      <c r="I846" s="127" t="s">
        <v>28</v>
      </c>
      <c r="J846" s="128" t="s">
        <v>2686</v>
      </c>
      <c r="K846" s="128" t="s">
        <v>890</v>
      </c>
      <c r="L846" s="151" t="s">
        <v>5057</v>
      </c>
      <c r="M846" s="127">
        <v>611438</v>
      </c>
      <c r="N846" s="109"/>
      <c r="O846" s="86"/>
      <c r="P846" s="20"/>
      <c r="Q846" s="20"/>
    </row>
    <row r="847" spans="1:17" ht="24.9" customHeight="1">
      <c r="A847" s="20">
        <v>362</v>
      </c>
      <c r="B847" s="20" t="s">
        <v>4320</v>
      </c>
      <c r="C847" s="20">
        <v>23</v>
      </c>
      <c r="D847" s="20" t="s">
        <v>8086</v>
      </c>
      <c r="E847" s="19" t="str">
        <f>VLOOKUP(D847,'لیست پرسنل'!$B$2:$E$1020,3,FALSE)</f>
        <v>مهرفام</v>
      </c>
      <c r="F847" s="19" t="str">
        <f>VLOOKUP(D847,'لیست پرسنل'!$B$2:$E$1020,4,FALSE)</f>
        <v>کارشناس دفتر فنی پایپینگ</v>
      </c>
      <c r="G847" s="127">
        <f>VLOOKUP(D847,'لیست پرسنل'!$B$2:$F$1020,2,FALSE)</f>
        <v>100670</v>
      </c>
      <c r="H847" s="151" t="s">
        <v>8092</v>
      </c>
      <c r="I847" s="128" t="s">
        <v>8093</v>
      </c>
      <c r="J847" s="126" t="s">
        <v>368</v>
      </c>
      <c r="K847" s="128" t="s">
        <v>8248</v>
      </c>
      <c r="L847" s="127" t="s">
        <v>2316</v>
      </c>
      <c r="M847" s="128">
        <v>628722</v>
      </c>
      <c r="N847" s="108" t="s">
        <v>326</v>
      </c>
      <c r="O847" s="20" t="s">
        <v>705</v>
      </c>
      <c r="P847" s="20"/>
      <c r="Q847" s="20"/>
    </row>
    <row r="848" spans="1:17" ht="24.9" customHeight="1">
      <c r="A848" s="20">
        <v>362</v>
      </c>
      <c r="B848" s="20" t="s">
        <v>4320</v>
      </c>
      <c r="C848" s="19">
        <v>23</v>
      </c>
      <c r="D848" s="20" t="s">
        <v>8086</v>
      </c>
      <c r="E848" s="19" t="str">
        <f>VLOOKUP(D848,'لیست پرسنل'!$B$2:$E$1020,3,FALSE)</f>
        <v>مهرفام</v>
      </c>
      <c r="F848" s="19" t="str">
        <f>VLOOKUP(D848,'لیست پرسنل'!$B$2:$E$1020,4,FALSE)</f>
        <v>کارشناس دفتر فنی پایپینگ</v>
      </c>
      <c r="G848" s="127">
        <f>VLOOKUP(D848,'لیست پرسنل'!$B$2:$F$1020,2,FALSE)</f>
        <v>100670</v>
      </c>
      <c r="H848" s="151" t="s">
        <v>8092</v>
      </c>
      <c r="I848" s="127" t="s">
        <v>8093</v>
      </c>
      <c r="J848" s="141" t="s">
        <v>571</v>
      </c>
      <c r="K848" s="128" t="s">
        <v>5320</v>
      </c>
      <c r="L848" s="128"/>
      <c r="M848" s="132">
        <v>631498</v>
      </c>
      <c r="N848" s="108" t="s">
        <v>326</v>
      </c>
      <c r="O848" s="19"/>
      <c r="P848" s="20"/>
      <c r="Q848" s="20"/>
    </row>
    <row r="849" spans="1:17" ht="24.9" customHeight="1">
      <c r="A849" s="20">
        <v>362</v>
      </c>
      <c r="B849" s="20" t="s">
        <v>4320</v>
      </c>
      <c r="C849" s="19">
        <v>23</v>
      </c>
      <c r="D849" s="19" t="s">
        <v>8086</v>
      </c>
      <c r="E849" s="19" t="str">
        <f>VLOOKUP(D849,'لیست پرسنل'!$B$2:$E$1020,3,FALSE)</f>
        <v>مهرفام</v>
      </c>
      <c r="F849" s="19" t="str">
        <f>VLOOKUP(D849,'لیست پرسنل'!$B$2:$E$1020,4,FALSE)</f>
        <v>کارشناس دفتر فنی پایپینگ</v>
      </c>
      <c r="G849" s="127">
        <f>VLOOKUP(D849,'لیست پرسنل'!$B$2:$F$1020,2,FALSE)</f>
        <v>100670</v>
      </c>
      <c r="H849" s="151" t="s">
        <v>8092</v>
      </c>
      <c r="I849" s="127" t="s">
        <v>8093</v>
      </c>
      <c r="J849" s="128" t="s">
        <v>2686</v>
      </c>
      <c r="K849" s="128" t="s">
        <v>2922</v>
      </c>
      <c r="L849" s="128" t="s">
        <v>2948</v>
      </c>
      <c r="M849" s="128">
        <v>626428</v>
      </c>
      <c r="N849" s="108" t="s">
        <v>326</v>
      </c>
      <c r="O849" s="20" t="s">
        <v>705</v>
      </c>
      <c r="P849" s="20"/>
      <c r="Q849" s="20"/>
    </row>
    <row r="850" spans="1:17" ht="24.9" customHeight="1">
      <c r="A850" s="20">
        <v>362</v>
      </c>
      <c r="B850" s="20" t="s">
        <v>4320</v>
      </c>
      <c r="C850" s="19">
        <v>24</v>
      </c>
      <c r="D850" s="19" t="s">
        <v>2832</v>
      </c>
      <c r="E850" s="19" t="str">
        <f>VLOOKUP(D850,'لیست پرسنل'!$B$2:$E$1020,3,FALSE)</f>
        <v>فکورصنعت</v>
      </c>
      <c r="F850" s="19" t="str">
        <f>VLOOKUP(D850,'لیست پرسنل'!$B$2:$E$1020,4,FALSE)</f>
        <v>مسئول دفتر</v>
      </c>
      <c r="G850" s="127" t="str">
        <f>VLOOKUP(D850,'لیست پرسنل'!$B$2:$F$1020,2,FALSE)</f>
        <v>4020304</v>
      </c>
      <c r="H850" s="151" t="s">
        <v>6880</v>
      </c>
      <c r="I850" s="127" t="s">
        <v>29</v>
      </c>
      <c r="J850" s="127" t="s">
        <v>571</v>
      </c>
      <c r="K850" s="127" t="s">
        <v>5526</v>
      </c>
      <c r="L850" s="158" t="s">
        <v>7189</v>
      </c>
      <c r="M850" s="127">
        <v>623773</v>
      </c>
      <c r="N850" s="109"/>
      <c r="O850" s="19"/>
      <c r="P850" s="20"/>
      <c r="Q850" s="20"/>
    </row>
    <row r="851" spans="1:17" ht="24.9" customHeight="1">
      <c r="A851" s="20">
        <v>362</v>
      </c>
      <c r="B851" s="20" t="s">
        <v>4320</v>
      </c>
      <c r="C851" s="20">
        <v>24</v>
      </c>
      <c r="D851" s="19" t="s">
        <v>2832</v>
      </c>
      <c r="E851" s="19" t="str">
        <f>VLOOKUP(D851,'لیست پرسنل'!$B$2:$E$1020,3,FALSE)</f>
        <v>فکورصنعت</v>
      </c>
      <c r="F851" s="19" t="str">
        <f>VLOOKUP(D851,'لیست پرسنل'!$B$2:$E$1020,4,FALSE)</f>
        <v>مسئول دفتر</v>
      </c>
      <c r="G851" s="127" t="str">
        <f>VLOOKUP(D851,'لیست پرسنل'!$B$2:$F$1020,2,FALSE)</f>
        <v>4020304</v>
      </c>
      <c r="H851" s="128" t="s">
        <v>6855</v>
      </c>
      <c r="I851" s="127" t="s">
        <v>29</v>
      </c>
      <c r="J851" s="128" t="s">
        <v>5366</v>
      </c>
      <c r="K851" s="128" t="s">
        <v>5546</v>
      </c>
      <c r="L851" s="127" t="s">
        <v>5548</v>
      </c>
      <c r="M851" s="127">
        <v>615713</v>
      </c>
      <c r="N851" s="108"/>
      <c r="O851" s="20"/>
      <c r="P851" s="20"/>
      <c r="Q851" s="20"/>
    </row>
    <row r="852" spans="1:17" ht="24.9" customHeight="1">
      <c r="A852" s="20">
        <v>362</v>
      </c>
      <c r="B852" s="20" t="s">
        <v>4320</v>
      </c>
      <c r="C852" s="20">
        <v>24</v>
      </c>
      <c r="D852" s="19" t="s">
        <v>2832</v>
      </c>
      <c r="E852" s="19" t="str">
        <f>VLOOKUP(D852,'لیست پرسنل'!$B$2:$E$1020,3,FALSE)</f>
        <v>فکورصنعت</v>
      </c>
      <c r="F852" s="19" t="str">
        <f>VLOOKUP(D852,'لیست پرسنل'!$B$2:$E$1020,4,FALSE)</f>
        <v>مسئول دفتر</v>
      </c>
      <c r="G852" s="127" t="str">
        <f>VLOOKUP(D852,'لیست پرسنل'!$B$2:$F$1020,2,FALSE)</f>
        <v>4020304</v>
      </c>
      <c r="H852" s="128" t="s">
        <v>6855</v>
      </c>
      <c r="I852" s="127" t="s">
        <v>29</v>
      </c>
      <c r="J852" s="127" t="s">
        <v>5927</v>
      </c>
      <c r="K852" s="128" t="s">
        <v>6596</v>
      </c>
      <c r="L852" s="128" t="s">
        <v>6598</v>
      </c>
      <c r="M852" s="127" t="s">
        <v>291</v>
      </c>
      <c r="N852" s="108" t="s">
        <v>6856</v>
      </c>
      <c r="O852" s="19"/>
      <c r="P852" s="20"/>
      <c r="Q852" s="20"/>
    </row>
    <row r="853" spans="1:17" ht="24.9" customHeight="1">
      <c r="A853" s="20">
        <v>362</v>
      </c>
      <c r="B853" s="20" t="s">
        <v>4320</v>
      </c>
      <c r="C853" s="19">
        <v>25</v>
      </c>
      <c r="D853" s="19" t="s">
        <v>2822</v>
      </c>
      <c r="E853" s="19" t="str">
        <f>VLOOKUP(D853,'لیست پرسنل'!$B$2:$E$1020,3,FALSE)</f>
        <v>فکورصنعت</v>
      </c>
      <c r="F853" s="19">
        <f>VLOOKUP(D853,'لیست پرسنل'!$B$2:$E$1020,4,FALSE)</f>
        <v>0</v>
      </c>
      <c r="G853" s="127">
        <f>VLOOKUP(D853,'لیست پرسنل'!$B$2:$F$1020,2,FALSE)</f>
        <v>5023</v>
      </c>
      <c r="H853" s="127" t="s">
        <v>3381</v>
      </c>
      <c r="I853" s="127" t="s">
        <v>30</v>
      </c>
      <c r="J853" s="126" t="s">
        <v>368</v>
      </c>
      <c r="K853" s="128" t="s">
        <v>2846</v>
      </c>
      <c r="L853" s="128" t="s">
        <v>2397</v>
      </c>
      <c r="M853" s="128">
        <v>628804</v>
      </c>
      <c r="N853" s="108"/>
      <c r="O853" s="20"/>
      <c r="P853" s="20"/>
      <c r="Q853" s="20"/>
    </row>
    <row r="854" spans="1:17" ht="24.9" customHeight="1">
      <c r="A854" s="20">
        <v>362</v>
      </c>
      <c r="B854" s="20" t="s">
        <v>4320</v>
      </c>
      <c r="C854" s="19">
        <v>25</v>
      </c>
      <c r="D854" s="19" t="s">
        <v>2822</v>
      </c>
      <c r="E854" s="19" t="str">
        <f>VLOOKUP(D854,'لیست پرسنل'!$B$2:$E$1020,3,FALSE)</f>
        <v>فکورصنعت</v>
      </c>
      <c r="F854" s="19">
        <f>VLOOKUP(D854,'لیست پرسنل'!$B$2:$E$1020,4,FALSE)</f>
        <v>0</v>
      </c>
      <c r="G854" s="127">
        <f>VLOOKUP(D854,'لیست پرسنل'!$B$2:$F$1020,2,FALSE)</f>
        <v>5023</v>
      </c>
      <c r="H854" s="127" t="s">
        <v>3381</v>
      </c>
      <c r="I854" s="127" t="s">
        <v>30</v>
      </c>
      <c r="J854" s="127" t="s">
        <v>571</v>
      </c>
      <c r="K854" s="128" t="s">
        <v>2219</v>
      </c>
      <c r="L854" s="151"/>
      <c r="M854" s="127">
        <v>624726</v>
      </c>
      <c r="N854" s="109"/>
      <c r="O854" s="20"/>
      <c r="P854" s="20"/>
      <c r="Q854" s="20"/>
    </row>
    <row r="855" spans="1:17" ht="24.9" customHeight="1">
      <c r="A855" s="20">
        <v>362</v>
      </c>
      <c r="B855" s="20" t="s">
        <v>4320</v>
      </c>
      <c r="C855" s="19">
        <v>25</v>
      </c>
      <c r="D855" s="19" t="s">
        <v>2822</v>
      </c>
      <c r="E855" s="19" t="str">
        <f>VLOOKUP(D855,'لیست پرسنل'!$B$2:$E$1020,3,FALSE)</f>
        <v>فکورصنعت</v>
      </c>
      <c r="F855" s="19">
        <f>VLOOKUP(D855,'لیست پرسنل'!$B$2:$E$1020,4,FALSE)</f>
        <v>0</v>
      </c>
      <c r="G855" s="127">
        <f>VLOOKUP(D855,'لیست پرسنل'!$B$2:$F$1020,2,FALSE)</f>
        <v>5023</v>
      </c>
      <c r="H855" s="126" t="s">
        <v>3381</v>
      </c>
      <c r="I855" s="127" t="s">
        <v>30</v>
      </c>
      <c r="J855" s="128" t="s">
        <v>2686</v>
      </c>
      <c r="K855" s="128" t="s">
        <v>2922</v>
      </c>
      <c r="L855" s="128" t="s">
        <v>2943</v>
      </c>
      <c r="M855" s="128">
        <v>626421</v>
      </c>
      <c r="N855" s="108"/>
      <c r="O855" s="20" t="s">
        <v>705</v>
      </c>
      <c r="P855" s="20"/>
      <c r="Q855" s="20"/>
    </row>
    <row r="856" spans="1:17" ht="24.9" customHeight="1">
      <c r="A856" s="20">
        <v>362</v>
      </c>
      <c r="B856" s="20" t="s">
        <v>4320</v>
      </c>
      <c r="C856" s="19">
        <v>27</v>
      </c>
      <c r="D856" s="20" t="s">
        <v>5362</v>
      </c>
      <c r="E856" s="19" t="str">
        <f>VLOOKUP(D856,'لیست پرسنل'!$B$2:$E$1020,3,FALSE)</f>
        <v xml:space="preserve"> کاربین طرح</v>
      </c>
      <c r="F856" s="19" t="str">
        <f>VLOOKUP(D856,'لیست پرسنل'!$B$2:$E$1020,4,FALSE)</f>
        <v>ایمنی</v>
      </c>
      <c r="G856" s="127" t="str">
        <f>VLOOKUP(D856,'لیست پرسنل'!$B$2:$F$1020,2,FALSE)</f>
        <v>0</v>
      </c>
      <c r="H856" s="127" t="s">
        <v>5529</v>
      </c>
      <c r="I856" s="127" t="s">
        <v>31</v>
      </c>
      <c r="J856" s="128" t="s">
        <v>4689</v>
      </c>
      <c r="K856" s="128" t="s">
        <v>829</v>
      </c>
      <c r="L856" s="127"/>
      <c r="M856" s="127" t="s">
        <v>291</v>
      </c>
      <c r="N856" s="109" t="s">
        <v>326</v>
      </c>
      <c r="O856" s="28"/>
      <c r="P856" s="20"/>
      <c r="Q856" s="20"/>
    </row>
    <row r="857" spans="1:17" ht="24.9" customHeight="1">
      <c r="A857" s="20">
        <v>362</v>
      </c>
      <c r="B857" s="20" t="s">
        <v>4320</v>
      </c>
      <c r="C857" s="20">
        <v>27</v>
      </c>
      <c r="D857" s="20" t="s">
        <v>5362</v>
      </c>
      <c r="E857" s="19" t="str">
        <f>VLOOKUP(D857,'لیست پرسنل'!$B$2:$E$1020,3,FALSE)</f>
        <v xml:space="preserve"> کاربین طرح</v>
      </c>
      <c r="F857" s="19" t="str">
        <f>VLOOKUP(D857,'لیست پرسنل'!$B$2:$E$1020,4,FALSE)</f>
        <v>ایمنی</v>
      </c>
      <c r="G857" s="127" t="str">
        <f>VLOOKUP(D857,'لیست پرسنل'!$B$2:$F$1020,2,FALSE)</f>
        <v>0</v>
      </c>
      <c r="H857" s="128" t="s">
        <v>5529</v>
      </c>
      <c r="I857" s="128" t="s">
        <v>31</v>
      </c>
      <c r="J857" s="128" t="s">
        <v>5366</v>
      </c>
      <c r="K857" s="128" t="s">
        <v>5143</v>
      </c>
      <c r="L857" s="127" t="s">
        <v>5144</v>
      </c>
      <c r="M857" s="128">
        <v>615892</v>
      </c>
      <c r="N857" s="109" t="s">
        <v>326</v>
      </c>
      <c r="O857" s="93" t="s">
        <v>5528</v>
      </c>
      <c r="P857" s="20"/>
      <c r="Q857" s="20"/>
    </row>
    <row r="858" spans="1:17" ht="24.9" customHeight="1">
      <c r="A858" s="20">
        <v>362</v>
      </c>
      <c r="B858" s="20" t="s">
        <v>4320</v>
      </c>
      <c r="C858" s="19">
        <v>27</v>
      </c>
      <c r="D858" s="20" t="s">
        <v>5362</v>
      </c>
      <c r="E858" s="19" t="str">
        <f>VLOOKUP(D858,'لیست پرسنل'!$B$2:$E$1020,3,FALSE)</f>
        <v xml:space="preserve"> کاربین طرح</v>
      </c>
      <c r="F858" s="19" t="str">
        <f>VLOOKUP(D858,'لیست پرسنل'!$B$2:$E$1020,4,FALSE)</f>
        <v>ایمنی</v>
      </c>
      <c r="G858" s="127" t="str">
        <f>VLOOKUP(D858,'لیست پرسنل'!$B$2:$F$1020,2,FALSE)</f>
        <v>0</v>
      </c>
      <c r="H858" s="127" t="s">
        <v>5529</v>
      </c>
      <c r="I858" s="127" t="s">
        <v>31</v>
      </c>
      <c r="J858" s="127" t="s">
        <v>571</v>
      </c>
      <c r="K858" s="127" t="s">
        <v>6481</v>
      </c>
      <c r="L858" s="151"/>
      <c r="M858" s="127">
        <v>607677</v>
      </c>
      <c r="N858" s="109" t="s">
        <v>326</v>
      </c>
      <c r="O858" s="19"/>
      <c r="P858" s="20"/>
      <c r="Q858" s="20"/>
    </row>
    <row r="859" spans="1:17" ht="24.9" customHeight="1">
      <c r="A859" s="20">
        <v>362</v>
      </c>
      <c r="B859" s="20" t="s">
        <v>4320</v>
      </c>
      <c r="C859" s="19">
        <v>27</v>
      </c>
      <c r="D859" s="20" t="s">
        <v>5362</v>
      </c>
      <c r="E859" s="19" t="str">
        <f>VLOOKUP(D859,'لیست پرسنل'!$B$2:$E$1020,3,FALSE)</f>
        <v xml:space="preserve"> کاربین طرح</v>
      </c>
      <c r="F859" s="19" t="str">
        <f>VLOOKUP(D859,'لیست پرسنل'!$B$2:$E$1020,4,FALSE)</f>
        <v>ایمنی</v>
      </c>
      <c r="G859" s="127" t="str">
        <f>VLOOKUP(D859,'لیست پرسنل'!$B$2:$F$1020,2,FALSE)</f>
        <v>0</v>
      </c>
      <c r="H859" s="127" t="s">
        <v>5529</v>
      </c>
      <c r="I859" s="127" t="s">
        <v>31</v>
      </c>
      <c r="J859" s="128" t="s">
        <v>2686</v>
      </c>
      <c r="K859" s="128" t="s">
        <v>332</v>
      </c>
      <c r="L859" s="127" t="s">
        <v>2892</v>
      </c>
      <c r="M859" s="127">
        <v>633610</v>
      </c>
      <c r="N859" s="109" t="s">
        <v>326</v>
      </c>
      <c r="O859" s="19" t="s">
        <v>6272</v>
      </c>
      <c r="P859" s="32"/>
      <c r="Q859" s="32"/>
    </row>
    <row r="860" spans="1:17" ht="24.9" customHeight="1">
      <c r="A860" s="20">
        <v>362</v>
      </c>
      <c r="B860" s="20" t="s">
        <v>4320</v>
      </c>
      <c r="C860" s="19">
        <v>28</v>
      </c>
      <c r="D860" s="19" t="s">
        <v>1063</v>
      </c>
      <c r="E860" s="19" t="str">
        <f>VLOOKUP(D860,'لیست پرسنل'!$B$2:$E$1020,3,FALSE)</f>
        <v>فکورصنعت</v>
      </c>
      <c r="F860" s="19" t="str">
        <f>VLOOKUP(D860,'لیست پرسنل'!$B$2:$E$1020,4,FALSE)</f>
        <v>معاون اجرایی مدیر سایت</v>
      </c>
      <c r="G860" s="127">
        <f>VLOOKUP(D860,'لیست پرسنل'!$B$2:$F$1020,2,FALSE)</f>
        <v>896</v>
      </c>
      <c r="H860" s="126" t="s">
        <v>3495</v>
      </c>
      <c r="I860" s="127" t="s">
        <v>32</v>
      </c>
      <c r="J860" s="128" t="s">
        <v>3532</v>
      </c>
      <c r="K860" s="128" t="s">
        <v>2087</v>
      </c>
      <c r="L860" s="128" t="s">
        <v>2111</v>
      </c>
      <c r="M860" s="128">
        <v>628305</v>
      </c>
      <c r="N860" s="108"/>
      <c r="O860" s="20" t="s">
        <v>4379</v>
      </c>
      <c r="P860" s="20"/>
      <c r="Q860" s="20"/>
    </row>
    <row r="861" spans="1:17" ht="24.9" customHeight="1">
      <c r="A861" s="20">
        <v>362</v>
      </c>
      <c r="B861" s="20" t="s">
        <v>4320</v>
      </c>
      <c r="C861" s="19">
        <v>28</v>
      </c>
      <c r="D861" s="19" t="s">
        <v>1063</v>
      </c>
      <c r="E861" s="19" t="str">
        <f>VLOOKUP(D861,'لیست پرسنل'!$B$2:$E$1020,3,FALSE)</f>
        <v>فکورصنعت</v>
      </c>
      <c r="F861" s="19" t="str">
        <f>VLOOKUP(D861,'لیست پرسنل'!$B$2:$E$1020,4,FALSE)</f>
        <v>معاون اجرایی مدیر سایت</v>
      </c>
      <c r="G861" s="127">
        <f>VLOOKUP(D861,'لیست پرسنل'!$B$2:$F$1020,2,FALSE)</f>
        <v>896</v>
      </c>
      <c r="H861" s="126" t="s">
        <v>3495</v>
      </c>
      <c r="I861" s="127" t="s">
        <v>32</v>
      </c>
      <c r="J861" s="128" t="s">
        <v>737</v>
      </c>
      <c r="K861" s="128" t="s">
        <v>471</v>
      </c>
      <c r="L861" s="127" t="s">
        <v>472</v>
      </c>
      <c r="M861" s="127">
        <v>603390</v>
      </c>
      <c r="N861" s="109" t="s">
        <v>6763</v>
      </c>
      <c r="O861" s="19"/>
      <c r="P861" s="20"/>
      <c r="Q861" s="20"/>
    </row>
    <row r="862" spans="1:17" ht="24.9" customHeight="1">
      <c r="A862" s="20">
        <v>362</v>
      </c>
      <c r="B862" s="20" t="s">
        <v>4320</v>
      </c>
      <c r="C862" s="19">
        <v>28</v>
      </c>
      <c r="D862" s="19" t="s">
        <v>1063</v>
      </c>
      <c r="E862" s="19" t="str">
        <f>VLOOKUP(D862,'لیست پرسنل'!$B$2:$E$1020,3,FALSE)</f>
        <v>فکورصنعت</v>
      </c>
      <c r="F862" s="19" t="str">
        <f>VLOOKUP(D862,'لیست پرسنل'!$B$2:$E$1020,4,FALSE)</f>
        <v>معاون اجرایی مدیر سایت</v>
      </c>
      <c r="G862" s="127">
        <f>VLOOKUP(D862,'لیست پرسنل'!$B$2:$F$1020,2,FALSE)</f>
        <v>896</v>
      </c>
      <c r="H862" s="126" t="s">
        <v>3495</v>
      </c>
      <c r="I862" s="127" t="s">
        <v>32</v>
      </c>
      <c r="J862" s="126" t="s">
        <v>368</v>
      </c>
      <c r="K862" s="128" t="s">
        <v>2846</v>
      </c>
      <c r="L862" s="151" t="s">
        <v>1493</v>
      </c>
      <c r="M862" s="127">
        <v>625117</v>
      </c>
      <c r="N862" s="109"/>
      <c r="O862" s="39"/>
      <c r="P862" s="20"/>
      <c r="Q862" s="20"/>
    </row>
    <row r="863" spans="1:17" ht="24.9" customHeight="1">
      <c r="A863" s="20">
        <v>362</v>
      </c>
      <c r="B863" s="20" t="s">
        <v>4320</v>
      </c>
      <c r="C863" s="19">
        <v>28</v>
      </c>
      <c r="D863" s="19" t="s">
        <v>1063</v>
      </c>
      <c r="E863" s="19" t="str">
        <f>VLOOKUP(D863,'لیست پرسنل'!$B$2:$E$1020,3,FALSE)</f>
        <v>فکورصنعت</v>
      </c>
      <c r="F863" s="19" t="str">
        <f>VLOOKUP(D863,'لیست پرسنل'!$B$2:$E$1020,4,FALSE)</f>
        <v>معاون اجرایی مدیر سایت</v>
      </c>
      <c r="G863" s="127">
        <f>VLOOKUP(D863,'لیست پرسنل'!$B$2:$F$1020,2,FALSE)</f>
        <v>896</v>
      </c>
      <c r="H863" s="126" t="s">
        <v>3495</v>
      </c>
      <c r="I863" s="127" t="s">
        <v>32</v>
      </c>
      <c r="J863" s="141" t="s">
        <v>571</v>
      </c>
      <c r="K863" s="128" t="s">
        <v>1951</v>
      </c>
      <c r="L863" s="165" t="s">
        <v>2219</v>
      </c>
      <c r="M863" s="128">
        <v>629712</v>
      </c>
      <c r="N863" s="108"/>
      <c r="O863" s="20" t="s">
        <v>705</v>
      </c>
      <c r="P863" s="20"/>
      <c r="Q863" s="20"/>
    </row>
    <row r="864" spans="1:17" ht="24.9" customHeight="1">
      <c r="A864" s="20">
        <v>362</v>
      </c>
      <c r="B864" s="20" t="s">
        <v>4320</v>
      </c>
      <c r="C864" s="19">
        <v>28</v>
      </c>
      <c r="D864" s="19" t="s">
        <v>1063</v>
      </c>
      <c r="E864" s="19" t="str">
        <f>VLOOKUP(D864,'لیست پرسنل'!$B$2:$E$1020,3,FALSE)</f>
        <v>فکورصنعت</v>
      </c>
      <c r="F864" s="19" t="str">
        <f>VLOOKUP(D864,'لیست پرسنل'!$B$2:$E$1020,4,FALSE)</f>
        <v>معاون اجرایی مدیر سایت</v>
      </c>
      <c r="G864" s="127">
        <f>VLOOKUP(D864,'لیست پرسنل'!$B$2:$F$1020,2,FALSE)</f>
        <v>896</v>
      </c>
      <c r="H864" s="126" t="s">
        <v>3495</v>
      </c>
      <c r="I864" s="127" t="s">
        <v>32</v>
      </c>
      <c r="J864" s="128" t="s">
        <v>2686</v>
      </c>
      <c r="K864" s="128" t="s">
        <v>2922</v>
      </c>
      <c r="L864" s="127" t="s">
        <v>3003</v>
      </c>
      <c r="M864" s="128">
        <v>626485</v>
      </c>
      <c r="N864" s="108"/>
      <c r="O864" s="20" t="s">
        <v>705</v>
      </c>
      <c r="P864" s="20"/>
      <c r="Q864" s="20"/>
    </row>
    <row r="865" spans="1:17" ht="24.9" customHeight="1">
      <c r="A865" s="20">
        <v>362</v>
      </c>
      <c r="B865" s="20" t="s">
        <v>4320</v>
      </c>
      <c r="C865" s="19">
        <v>29</v>
      </c>
      <c r="D865" s="19" t="s">
        <v>8357</v>
      </c>
      <c r="E865" s="19" t="str">
        <f>VLOOKUP(D865,'لیست پرسنل'!$B$2:$E$1020,3,FALSE)</f>
        <v>توسعه فولاد</v>
      </c>
      <c r="F865" s="19" t="str">
        <f>VLOOKUP(D865,'لیست پرسنل'!$B$2:$E$1020,4,FALSE)</f>
        <v>حراست توسعه</v>
      </c>
      <c r="G865" s="127">
        <f>VLOOKUP(D865,'لیست پرسنل'!$B$2:$F$1020,2,FALSE)</f>
        <v>113</v>
      </c>
      <c r="H865" s="151" t="s">
        <v>8359</v>
      </c>
      <c r="I865" s="127" t="s">
        <v>33</v>
      </c>
      <c r="J865" s="128" t="s">
        <v>2686</v>
      </c>
      <c r="K865" s="128" t="s">
        <v>744</v>
      </c>
      <c r="L865" s="151" t="s">
        <v>1223</v>
      </c>
      <c r="M865" s="127">
        <v>604756</v>
      </c>
      <c r="N865" s="109" t="s">
        <v>326</v>
      </c>
      <c r="O865" s="19"/>
      <c r="P865" s="20"/>
      <c r="Q865" s="20"/>
    </row>
    <row r="866" spans="1:17" ht="24.9" customHeight="1">
      <c r="A866" s="20">
        <v>362</v>
      </c>
      <c r="B866" s="20" t="s">
        <v>4320</v>
      </c>
      <c r="C866" s="19">
        <v>29</v>
      </c>
      <c r="D866" s="19" t="s">
        <v>3395</v>
      </c>
      <c r="E866" s="19">
        <f>VLOOKUP(D866,'لیست پرسنل'!$B$2:$E$1020,3,FALSE)</f>
        <v>0</v>
      </c>
      <c r="F866" s="19" t="str">
        <f>VLOOKUP(D866,'لیست پرسنل'!$B$2:$E$1020,4,FALSE)</f>
        <v>حراست توسعه</v>
      </c>
      <c r="G866" s="127">
        <f>VLOOKUP(D866,'لیست پرسنل'!$B$2:$F$1020,2,FALSE)</f>
        <v>0</v>
      </c>
      <c r="H866" s="151" t="s">
        <v>8359</v>
      </c>
      <c r="I866" s="127" t="s">
        <v>33</v>
      </c>
      <c r="J866" s="141" t="s">
        <v>571</v>
      </c>
      <c r="K866" s="128" t="s">
        <v>3784</v>
      </c>
      <c r="L866" s="150"/>
      <c r="M866" s="132">
        <v>607859</v>
      </c>
      <c r="N866" s="108"/>
      <c r="O866" s="20" t="s">
        <v>4780</v>
      </c>
      <c r="P866" s="20"/>
      <c r="Q866" s="20"/>
    </row>
    <row r="867" spans="1:17" ht="24.9" customHeight="1">
      <c r="A867" s="20">
        <v>362</v>
      </c>
      <c r="B867" s="20" t="s">
        <v>4320</v>
      </c>
      <c r="C867" s="19">
        <v>30</v>
      </c>
      <c r="D867" s="20" t="s">
        <v>5356</v>
      </c>
      <c r="E867" s="19" t="str">
        <f>VLOOKUP(D867,'لیست پرسنل'!$B$2:$E$1020,3,FALSE)</f>
        <v>فکورصنعت</v>
      </c>
      <c r="F867" s="19" t="str">
        <f>VLOOKUP(D867,'لیست پرسنل'!$B$2:$E$1020,4,FALSE)</f>
        <v>برق</v>
      </c>
      <c r="G867" s="127" t="str">
        <f>VLOOKUP(D867,'لیست پرسنل'!$B$2:$F$1020,2,FALSE)</f>
        <v>4020705</v>
      </c>
      <c r="H867" s="126" t="s">
        <v>3381</v>
      </c>
      <c r="I867" s="128" t="s">
        <v>34</v>
      </c>
      <c r="J867" s="128" t="s">
        <v>737</v>
      </c>
      <c r="K867" s="126" t="s">
        <v>414</v>
      </c>
      <c r="L867" s="126" t="s">
        <v>415</v>
      </c>
      <c r="M867" s="126">
        <v>600148</v>
      </c>
      <c r="N867" s="108"/>
      <c r="O867" s="20"/>
      <c r="P867" s="20"/>
      <c r="Q867" s="20"/>
    </row>
    <row r="868" spans="1:17" ht="24.9" customHeight="1">
      <c r="A868" s="20">
        <v>362</v>
      </c>
      <c r="B868" s="20" t="s">
        <v>4320</v>
      </c>
      <c r="C868" s="19">
        <v>30</v>
      </c>
      <c r="D868" s="20" t="s">
        <v>5356</v>
      </c>
      <c r="E868" s="19" t="str">
        <f>VLOOKUP(D868,'لیست پرسنل'!$B$2:$E$1020,3,FALSE)</f>
        <v>فکورصنعت</v>
      </c>
      <c r="F868" s="19" t="str">
        <f>VLOOKUP(D868,'لیست پرسنل'!$B$2:$E$1020,4,FALSE)</f>
        <v>برق</v>
      </c>
      <c r="G868" s="127" t="str">
        <f>VLOOKUP(D868,'لیست پرسنل'!$B$2:$F$1020,2,FALSE)</f>
        <v>4020705</v>
      </c>
      <c r="H868" s="126" t="s">
        <v>3381</v>
      </c>
      <c r="I868" s="128" t="s">
        <v>34</v>
      </c>
      <c r="J868" s="128" t="s">
        <v>737</v>
      </c>
      <c r="K868" s="128" t="s">
        <v>557</v>
      </c>
      <c r="L868" s="151" t="s">
        <v>558</v>
      </c>
      <c r="M868" s="127">
        <v>604982</v>
      </c>
      <c r="N868" s="109"/>
      <c r="O868" s="39"/>
      <c r="P868" s="20"/>
      <c r="Q868" s="20"/>
    </row>
    <row r="869" spans="1:17" ht="24.9" customHeight="1">
      <c r="A869" s="20">
        <v>362</v>
      </c>
      <c r="B869" s="20" t="s">
        <v>4320</v>
      </c>
      <c r="C869" s="19">
        <v>30</v>
      </c>
      <c r="D869" s="20" t="s">
        <v>5356</v>
      </c>
      <c r="E869" s="19" t="str">
        <f>VLOOKUP(D869,'لیست پرسنل'!$B$2:$E$1020,3,FALSE)</f>
        <v>فکورصنعت</v>
      </c>
      <c r="F869" s="19" t="str">
        <f>VLOOKUP(D869,'لیست پرسنل'!$B$2:$E$1020,4,FALSE)</f>
        <v>برق</v>
      </c>
      <c r="G869" s="127" t="str">
        <f>VLOOKUP(D869,'لیست پرسنل'!$B$2:$F$1020,2,FALSE)</f>
        <v>4020705</v>
      </c>
      <c r="H869" s="126" t="s">
        <v>3381</v>
      </c>
      <c r="I869" s="128" t="s">
        <v>34</v>
      </c>
      <c r="J869" s="126" t="s">
        <v>368</v>
      </c>
      <c r="K869" s="128" t="s">
        <v>658</v>
      </c>
      <c r="L869" s="127" t="s">
        <v>512</v>
      </c>
      <c r="M869" s="127">
        <v>620858</v>
      </c>
      <c r="N869" s="109"/>
      <c r="O869" s="19"/>
      <c r="P869" s="20"/>
      <c r="Q869" s="20"/>
    </row>
    <row r="870" spans="1:17" ht="24.9" customHeight="1">
      <c r="A870" s="20">
        <v>362</v>
      </c>
      <c r="B870" s="20" t="s">
        <v>4320</v>
      </c>
      <c r="C870" s="19">
        <v>30</v>
      </c>
      <c r="D870" s="20" t="s">
        <v>5356</v>
      </c>
      <c r="E870" s="19" t="str">
        <f>VLOOKUP(D870,'لیست پرسنل'!$B$2:$E$1020,3,FALSE)</f>
        <v>فکورصنعت</v>
      </c>
      <c r="F870" s="19" t="str">
        <f>VLOOKUP(D870,'لیست پرسنل'!$B$2:$E$1020,4,FALSE)</f>
        <v>برق</v>
      </c>
      <c r="G870" s="127" t="str">
        <f>VLOOKUP(D870,'لیست پرسنل'!$B$2:$F$1020,2,FALSE)</f>
        <v>4020705</v>
      </c>
      <c r="H870" s="126" t="s">
        <v>3381</v>
      </c>
      <c r="I870" s="128" t="s">
        <v>34</v>
      </c>
      <c r="J870" s="141" t="s">
        <v>571</v>
      </c>
      <c r="K870" s="128" t="s">
        <v>1951</v>
      </c>
      <c r="L870" s="165" t="s">
        <v>2219</v>
      </c>
      <c r="M870" s="128">
        <v>629700</v>
      </c>
      <c r="N870" s="108"/>
      <c r="O870" s="20" t="s">
        <v>705</v>
      </c>
      <c r="P870" s="20"/>
      <c r="Q870" s="20"/>
    </row>
    <row r="871" spans="1:17" ht="24.9" customHeight="1">
      <c r="A871" s="20">
        <v>362</v>
      </c>
      <c r="B871" s="20" t="s">
        <v>4320</v>
      </c>
      <c r="C871" s="19">
        <v>30</v>
      </c>
      <c r="D871" s="20" t="s">
        <v>5356</v>
      </c>
      <c r="E871" s="19" t="str">
        <f>VLOOKUP(D871,'لیست پرسنل'!$B$2:$E$1020,3,FALSE)</f>
        <v>فکورصنعت</v>
      </c>
      <c r="F871" s="19" t="str">
        <f>VLOOKUP(D871,'لیست پرسنل'!$B$2:$E$1020,4,FALSE)</f>
        <v>برق</v>
      </c>
      <c r="G871" s="127" t="str">
        <f>VLOOKUP(D871,'لیست پرسنل'!$B$2:$F$1020,2,FALSE)</f>
        <v>4020705</v>
      </c>
      <c r="H871" s="126" t="s">
        <v>3381</v>
      </c>
      <c r="I871" s="128" t="s">
        <v>34</v>
      </c>
      <c r="J871" s="128" t="s">
        <v>2686</v>
      </c>
      <c r="K871" s="128" t="s">
        <v>2143</v>
      </c>
      <c r="L871" s="127" t="s">
        <v>2267</v>
      </c>
      <c r="M871" s="127">
        <v>628658</v>
      </c>
      <c r="N871" s="108"/>
      <c r="O871" s="20" t="s">
        <v>705</v>
      </c>
      <c r="P871" s="20"/>
      <c r="Q871" s="20"/>
    </row>
    <row r="872" spans="1:17" ht="24.9" customHeight="1">
      <c r="A872" s="20">
        <v>362</v>
      </c>
      <c r="B872" s="20" t="s">
        <v>4320</v>
      </c>
      <c r="C872" s="19">
        <v>31</v>
      </c>
      <c r="D872" s="19" t="s">
        <v>7914</v>
      </c>
      <c r="E872" s="19" t="str">
        <f>VLOOKUP(D872,'لیست پرسنل'!$B$2:$E$1020,3,FALSE)</f>
        <v>گهر نشاط</v>
      </c>
      <c r="F872" s="19" t="str">
        <f>VLOOKUP(D872,'لیست پرسنل'!$B$2:$E$1020,4,FALSE)</f>
        <v>بهداری</v>
      </c>
      <c r="G872" s="127">
        <f>VLOOKUP(D872,'لیست پرسنل'!$B$2:$F$1020,2,FALSE)</f>
        <v>0</v>
      </c>
      <c r="H872" s="151" t="s">
        <v>3487</v>
      </c>
      <c r="I872" s="128" t="s">
        <v>35</v>
      </c>
      <c r="J872" s="128" t="s">
        <v>5366</v>
      </c>
      <c r="K872" s="128" t="s">
        <v>5546</v>
      </c>
      <c r="L872" s="127" t="s">
        <v>5551</v>
      </c>
      <c r="M872" s="128">
        <v>615717</v>
      </c>
      <c r="N872" s="108" t="s">
        <v>6840</v>
      </c>
      <c r="O872" s="20"/>
      <c r="P872" s="20"/>
      <c r="Q872" s="20"/>
    </row>
    <row r="873" spans="1:17" ht="24.9" customHeight="1">
      <c r="A873" s="20">
        <v>362</v>
      </c>
      <c r="B873" s="20" t="s">
        <v>4320</v>
      </c>
      <c r="C873" s="19">
        <v>31</v>
      </c>
      <c r="D873" s="19" t="s">
        <v>7914</v>
      </c>
      <c r="E873" s="19" t="str">
        <f>VLOOKUP(D873,'لیست پرسنل'!$B$2:$E$1020,3,FALSE)</f>
        <v>گهر نشاط</v>
      </c>
      <c r="F873" s="19" t="str">
        <f>VLOOKUP(D873,'لیست پرسنل'!$B$2:$E$1020,4,FALSE)</f>
        <v>بهداری</v>
      </c>
      <c r="G873" s="127">
        <f>VLOOKUP(D873,'لیست پرسنل'!$B$2:$F$1020,2,FALSE)</f>
        <v>0</v>
      </c>
      <c r="H873" s="151" t="s">
        <v>3487</v>
      </c>
      <c r="I873" s="128" t="s">
        <v>35</v>
      </c>
      <c r="J873" s="128" t="s">
        <v>571</v>
      </c>
      <c r="K873" s="128"/>
      <c r="L873" s="127"/>
      <c r="M873" s="127">
        <v>633651</v>
      </c>
      <c r="N873" s="109" t="s">
        <v>6840</v>
      </c>
      <c r="O873" s="19" t="s">
        <v>6312</v>
      </c>
      <c r="P873" s="32"/>
      <c r="Q873" s="32"/>
    </row>
    <row r="874" spans="1:17" ht="24.9" customHeight="1">
      <c r="A874" s="20">
        <v>362</v>
      </c>
      <c r="B874" s="20" t="s">
        <v>4320</v>
      </c>
      <c r="C874" s="19">
        <v>32</v>
      </c>
      <c r="D874" s="19" t="s">
        <v>804</v>
      </c>
      <c r="E874" s="19">
        <f>VLOOKUP(D874,'لیست پرسنل'!$B$2:$E$1020,3,FALSE)</f>
        <v>0</v>
      </c>
      <c r="F874" s="19">
        <f>VLOOKUP(D874,'لیست پرسنل'!$B$2:$E$1020,4,FALSE)</f>
        <v>0</v>
      </c>
      <c r="G874" s="127">
        <f>VLOOKUP(D874,'لیست پرسنل'!$B$2:$F$1020,2,FALSE)</f>
        <v>0</v>
      </c>
      <c r="H874" s="151" t="s">
        <v>4078</v>
      </c>
      <c r="I874" s="127" t="s">
        <v>36</v>
      </c>
      <c r="J874" s="128" t="s">
        <v>3532</v>
      </c>
      <c r="K874" s="128" t="s">
        <v>4802</v>
      </c>
      <c r="L874" s="128" t="s">
        <v>4805</v>
      </c>
      <c r="M874" s="128">
        <v>630660</v>
      </c>
      <c r="N874" s="108" t="s">
        <v>345</v>
      </c>
      <c r="O874" s="20"/>
      <c r="P874" s="20"/>
      <c r="Q874" s="20"/>
    </row>
    <row r="875" spans="1:17" ht="24.9" customHeight="1">
      <c r="A875" s="20">
        <v>362</v>
      </c>
      <c r="B875" s="20" t="s">
        <v>4320</v>
      </c>
      <c r="C875" s="19">
        <v>32</v>
      </c>
      <c r="D875" s="19" t="s">
        <v>804</v>
      </c>
      <c r="E875" s="19">
        <f>VLOOKUP(D875,'لیست پرسنل'!$B$2:$E$1020,3,FALSE)</f>
        <v>0</v>
      </c>
      <c r="F875" s="19">
        <f>VLOOKUP(D875,'لیست پرسنل'!$B$2:$E$1020,4,FALSE)</f>
        <v>0</v>
      </c>
      <c r="G875" s="127">
        <f>VLOOKUP(D875,'لیست پرسنل'!$B$2:$F$1020,2,FALSE)</f>
        <v>0</v>
      </c>
      <c r="H875" s="151" t="s">
        <v>4078</v>
      </c>
      <c r="I875" s="127" t="s">
        <v>36</v>
      </c>
      <c r="J875" s="128" t="s">
        <v>1977</v>
      </c>
      <c r="K875" s="128" t="s">
        <v>6194</v>
      </c>
      <c r="L875" s="128" t="s">
        <v>6193</v>
      </c>
      <c r="M875" s="128" t="s">
        <v>291</v>
      </c>
      <c r="N875" s="108" t="s">
        <v>345</v>
      </c>
      <c r="O875" s="20"/>
      <c r="P875" s="20"/>
      <c r="Q875" s="20"/>
    </row>
    <row r="876" spans="1:17" ht="24.9" customHeight="1">
      <c r="A876" s="20">
        <v>362</v>
      </c>
      <c r="B876" s="20" t="s">
        <v>4320</v>
      </c>
      <c r="C876" s="20">
        <v>32</v>
      </c>
      <c r="D876" s="20" t="s">
        <v>326</v>
      </c>
      <c r="E876" s="19" t="str">
        <f>VLOOKUP(D876,'لیست پرسنل'!$B$2:$E$1020,3,FALSE)</f>
        <v>فکورصنعت</v>
      </c>
      <c r="F876" s="19" t="str">
        <f>VLOOKUP(D876,'لیست پرسنل'!$B$2:$E$1020,4,FALSE)</f>
        <v>انبار</v>
      </c>
      <c r="G876" s="127">
        <f>VLOOKUP(D876,'لیست پرسنل'!$B$2:$F$1020,2,FALSE)</f>
        <v>98141</v>
      </c>
      <c r="H876" s="126" t="s">
        <v>7132</v>
      </c>
      <c r="I876" s="128" t="s">
        <v>36</v>
      </c>
      <c r="J876" s="128" t="s">
        <v>2686</v>
      </c>
      <c r="K876" s="128" t="s">
        <v>2922</v>
      </c>
      <c r="L876" s="128" t="s">
        <v>2971</v>
      </c>
      <c r="M876" s="128">
        <v>626452</v>
      </c>
      <c r="N876" s="108"/>
      <c r="O876" s="20" t="s">
        <v>705</v>
      </c>
      <c r="P876" s="20"/>
      <c r="Q876" s="20"/>
    </row>
    <row r="877" spans="1:17" ht="24.9" customHeight="1">
      <c r="A877" s="20">
        <v>362</v>
      </c>
      <c r="B877" s="20" t="s">
        <v>4320</v>
      </c>
      <c r="C877" s="20">
        <v>32</v>
      </c>
      <c r="D877" s="20" t="s">
        <v>326</v>
      </c>
      <c r="E877" s="19" t="str">
        <f>VLOOKUP(D877,'لیست پرسنل'!$B$2:$E$1020,3,FALSE)</f>
        <v>فکورصنعت</v>
      </c>
      <c r="F877" s="19" t="str">
        <f>VLOOKUP(D877,'لیست پرسنل'!$B$2:$E$1020,4,FALSE)</f>
        <v>انبار</v>
      </c>
      <c r="G877" s="127">
        <f>VLOOKUP(D877,'لیست پرسنل'!$B$2:$F$1020,2,FALSE)</f>
        <v>98141</v>
      </c>
      <c r="H877" s="127" t="s">
        <v>7132</v>
      </c>
      <c r="I877" s="127" t="s">
        <v>36</v>
      </c>
      <c r="J877" s="128" t="s">
        <v>8297</v>
      </c>
      <c r="K877" s="127" t="s">
        <v>8298</v>
      </c>
      <c r="L877" s="127" t="s">
        <v>8299</v>
      </c>
      <c r="M877" s="127">
        <v>636761</v>
      </c>
      <c r="N877" s="109"/>
      <c r="O877" s="20"/>
      <c r="P877" s="20"/>
      <c r="Q877" s="20"/>
    </row>
    <row r="878" spans="1:17" ht="24.9" customHeight="1">
      <c r="A878" s="20">
        <v>362</v>
      </c>
      <c r="B878" s="20" t="s">
        <v>4320</v>
      </c>
      <c r="C878" s="19">
        <v>33</v>
      </c>
      <c r="D878" s="19" t="s">
        <v>805</v>
      </c>
      <c r="E878" s="19">
        <f>VLOOKUP(D878,'لیست پرسنل'!$B$2:$E$1020,3,FALSE)</f>
        <v>0</v>
      </c>
      <c r="F878" s="19">
        <f>VLOOKUP(D878,'لیست پرسنل'!$B$2:$E$1020,4,FALSE)</f>
        <v>0</v>
      </c>
      <c r="G878" s="127">
        <f>VLOOKUP(D878,'لیست پرسنل'!$B$2:$F$1020,2,FALSE)</f>
        <v>0</v>
      </c>
      <c r="H878" s="151" t="s">
        <v>4078</v>
      </c>
      <c r="I878" s="127" t="s">
        <v>37</v>
      </c>
      <c r="J878" s="127" t="s">
        <v>5366</v>
      </c>
      <c r="K878" s="128" t="s">
        <v>305</v>
      </c>
      <c r="L878" s="127" t="s">
        <v>306</v>
      </c>
      <c r="M878" s="128">
        <v>622514</v>
      </c>
      <c r="N878" s="109" t="s">
        <v>345</v>
      </c>
      <c r="O878" s="19"/>
      <c r="P878" s="20"/>
      <c r="Q878" s="20"/>
    </row>
    <row r="879" spans="1:17" ht="24.9" customHeight="1">
      <c r="A879" s="20">
        <v>362</v>
      </c>
      <c r="B879" s="20" t="s">
        <v>4320</v>
      </c>
      <c r="C879" s="19">
        <v>33</v>
      </c>
      <c r="D879" s="19" t="s">
        <v>805</v>
      </c>
      <c r="E879" s="19">
        <f>VLOOKUP(D879,'لیست پرسنل'!$B$2:$E$1020,3,FALSE)</f>
        <v>0</v>
      </c>
      <c r="F879" s="19">
        <f>VLOOKUP(D879,'لیست پرسنل'!$B$2:$E$1020,4,FALSE)</f>
        <v>0</v>
      </c>
      <c r="G879" s="127">
        <f>VLOOKUP(D879,'لیست پرسنل'!$B$2:$F$1020,2,FALSE)</f>
        <v>0</v>
      </c>
      <c r="H879" s="151" t="s">
        <v>4078</v>
      </c>
      <c r="I879" s="127" t="s">
        <v>37</v>
      </c>
      <c r="J879" s="127" t="s">
        <v>3483</v>
      </c>
      <c r="K879" s="128" t="s">
        <v>3700</v>
      </c>
      <c r="L879" s="127"/>
      <c r="M879" s="128">
        <v>629506</v>
      </c>
      <c r="N879" s="109" t="s">
        <v>345</v>
      </c>
      <c r="O879" s="19"/>
      <c r="P879" s="20"/>
      <c r="Q879" s="20"/>
    </row>
    <row r="880" spans="1:17" ht="24.9" customHeight="1">
      <c r="A880" s="185">
        <v>362</v>
      </c>
      <c r="B880" s="185" t="s">
        <v>4320</v>
      </c>
      <c r="C880" s="186">
        <v>33</v>
      </c>
      <c r="D880" s="208" t="s">
        <v>805</v>
      </c>
      <c r="E880" s="186">
        <f>VLOOKUP(D880,'لیست پرسنل'!$B$2:$E$1020,3,FALSE)</f>
        <v>0</v>
      </c>
      <c r="F880" s="186">
        <f>VLOOKUP(D880,'لیست پرسنل'!$B$2:$E$1020,4,FALSE)</f>
        <v>0</v>
      </c>
      <c r="G880" s="187">
        <f>VLOOKUP(D880,'لیست پرسنل'!$B$2:$F$1020,2,FALSE)</f>
        <v>0</v>
      </c>
      <c r="H880" s="206" t="s">
        <v>4078</v>
      </c>
      <c r="I880" s="190" t="s">
        <v>37</v>
      </c>
      <c r="J880" s="187" t="s">
        <v>571</v>
      </c>
      <c r="K880" s="188" t="s">
        <v>5543</v>
      </c>
      <c r="L880" s="187" t="s">
        <v>5527</v>
      </c>
      <c r="M880" s="194">
        <v>623451</v>
      </c>
      <c r="N880" s="189" t="s">
        <v>345</v>
      </c>
      <c r="O880" s="186"/>
      <c r="P880" s="185"/>
      <c r="Q880" s="185"/>
    </row>
    <row r="881" spans="1:17" ht="24.9" customHeight="1">
      <c r="A881" s="20">
        <v>362</v>
      </c>
      <c r="B881" s="20" t="s">
        <v>4320</v>
      </c>
      <c r="C881" s="19">
        <v>33</v>
      </c>
      <c r="D881" s="19" t="s">
        <v>805</v>
      </c>
      <c r="E881" s="19">
        <f>VLOOKUP(D881,'لیست پرسنل'!$B$2:$E$1020,3,FALSE)</f>
        <v>0</v>
      </c>
      <c r="F881" s="19">
        <f>VLOOKUP(D881,'لیست پرسنل'!$B$2:$E$1020,4,FALSE)</f>
        <v>0</v>
      </c>
      <c r="G881" s="127">
        <f>VLOOKUP(D881,'لیست پرسنل'!$B$2:$F$1020,2,FALSE)</f>
        <v>0</v>
      </c>
      <c r="H881" s="151" t="s">
        <v>4078</v>
      </c>
      <c r="I881" s="127" t="s">
        <v>37</v>
      </c>
      <c r="J881" s="128" t="s">
        <v>2686</v>
      </c>
      <c r="K881" s="128" t="s">
        <v>890</v>
      </c>
      <c r="L881" s="151" t="s">
        <v>1240</v>
      </c>
      <c r="M881" s="127">
        <v>608006</v>
      </c>
      <c r="N881" s="109" t="s">
        <v>345</v>
      </c>
      <c r="O881" s="86"/>
      <c r="P881" s="20"/>
      <c r="Q881" s="20"/>
    </row>
    <row r="882" spans="1:17" ht="24.9" customHeight="1">
      <c r="A882" s="20">
        <v>362</v>
      </c>
      <c r="B882" s="20" t="s">
        <v>4320</v>
      </c>
      <c r="C882" s="19">
        <v>35</v>
      </c>
      <c r="D882" s="19" t="s">
        <v>5094</v>
      </c>
      <c r="E882" s="19">
        <f>VLOOKUP(D882,'لیست پرسنل'!$B$2:$E$1020,3,FALSE)</f>
        <v>0</v>
      </c>
      <c r="F882" s="19" t="str">
        <f>VLOOKUP(D882,'لیست پرسنل'!$B$2:$E$1020,4,FALSE)</f>
        <v>آزمایشگاه</v>
      </c>
      <c r="G882" s="127" t="str">
        <f>VLOOKUP(D882,'لیست پرسنل'!$B$2:$F$1020,2,FALSE)</f>
        <v>0</v>
      </c>
      <c r="H882" s="151" t="s">
        <v>3381</v>
      </c>
      <c r="I882" s="127" t="s">
        <v>95</v>
      </c>
      <c r="J882" s="128" t="s">
        <v>737</v>
      </c>
      <c r="K882" s="128" t="s">
        <v>1320</v>
      </c>
      <c r="L882" s="127">
        <v>86004369</v>
      </c>
      <c r="M882" s="127">
        <v>610096</v>
      </c>
      <c r="N882" s="109"/>
      <c r="O882" s="19"/>
      <c r="P882" s="20"/>
      <c r="Q882" s="20"/>
    </row>
    <row r="883" spans="1:17" ht="24.9" customHeight="1">
      <c r="A883" s="20">
        <v>362</v>
      </c>
      <c r="B883" s="20" t="s">
        <v>4320</v>
      </c>
      <c r="C883" s="19">
        <v>35</v>
      </c>
      <c r="D883" s="19" t="s">
        <v>5094</v>
      </c>
      <c r="E883" s="19">
        <f>VLOOKUP(D883,'لیست پرسنل'!$B$2:$E$1020,3,FALSE)</f>
        <v>0</v>
      </c>
      <c r="F883" s="19" t="str">
        <f>VLOOKUP(D883,'لیست پرسنل'!$B$2:$E$1020,4,FALSE)</f>
        <v>آزمایشگاه</v>
      </c>
      <c r="G883" s="127" t="str">
        <f>VLOOKUP(D883,'لیست پرسنل'!$B$2:$F$1020,2,FALSE)</f>
        <v>0</v>
      </c>
      <c r="H883" s="151" t="s">
        <v>3381</v>
      </c>
      <c r="I883" s="127" t="s">
        <v>95</v>
      </c>
      <c r="J883" s="128" t="s">
        <v>737</v>
      </c>
      <c r="K883" s="134" t="s">
        <v>2175</v>
      </c>
      <c r="L883" s="134" t="s">
        <v>505</v>
      </c>
      <c r="M883" s="128">
        <v>613408</v>
      </c>
      <c r="N883" s="108"/>
      <c r="O883" s="46"/>
      <c r="P883" s="20"/>
      <c r="Q883" s="20"/>
    </row>
    <row r="884" spans="1:17" ht="24.9" customHeight="1">
      <c r="A884" s="20">
        <v>362</v>
      </c>
      <c r="B884" s="20" t="s">
        <v>4320</v>
      </c>
      <c r="C884" s="19">
        <v>35</v>
      </c>
      <c r="D884" s="19" t="s">
        <v>5094</v>
      </c>
      <c r="E884" s="19">
        <f>VLOOKUP(D884,'لیست پرسنل'!$B$2:$E$1020,3,FALSE)</f>
        <v>0</v>
      </c>
      <c r="F884" s="19" t="str">
        <f>VLOOKUP(D884,'لیست پرسنل'!$B$2:$E$1020,4,FALSE)</f>
        <v>آزمایشگاه</v>
      </c>
      <c r="G884" s="127" t="str">
        <f>VLOOKUP(D884,'لیست پرسنل'!$B$2:$F$1020,2,FALSE)</f>
        <v>0</v>
      </c>
      <c r="H884" s="151" t="s">
        <v>3381</v>
      </c>
      <c r="I884" s="127" t="s">
        <v>95</v>
      </c>
      <c r="J884" s="127" t="s">
        <v>571</v>
      </c>
      <c r="K884" s="128"/>
      <c r="L884" s="127"/>
      <c r="M884" s="127">
        <v>609130</v>
      </c>
      <c r="N884" s="109"/>
      <c r="O884" s="19"/>
      <c r="P884" s="20"/>
      <c r="Q884" s="20"/>
    </row>
    <row r="885" spans="1:17" ht="24.9" customHeight="1">
      <c r="A885" s="20">
        <v>362</v>
      </c>
      <c r="B885" s="20" t="s">
        <v>4320</v>
      </c>
      <c r="C885" s="19">
        <v>35</v>
      </c>
      <c r="D885" s="19" t="s">
        <v>5094</v>
      </c>
      <c r="E885" s="19">
        <f>VLOOKUP(D885,'لیست پرسنل'!$B$2:$E$1020,3,FALSE)</f>
        <v>0</v>
      </c>
      <c r="F885" s="19" t="str">
        <f>VLOOKUP(D885,'لیست پرسنل'!$B$2:$E$1020,4,FALSE)</f>
        <v>آزمایشگاه</v>
      </c>
      <c r="G885" s="127" t="str">
        <f>VLOOKUP(D885,'لیست پرسنل'!$B$2:$F$1020,2,FALSE)</f>
        <v>0</v>
      </c>
      <c r="H885" s="151" t="s">
        <v>3381</v>
      </c>
      <c r="I885" s="127" t="s">
        <v>95</v>
      </c>
      <c r="J885" s="128" t="s">
        <v>2686</v>
      </c>
      <c r="K885" s="128" t="s">
        <v>890</v>
      </c>
      <c r="L885" s="151" t="s">
        <v>1770</v>
      </c>
      <c r="M885" s="127">
        <v>610926</v>
      </c>
      <c r="N885" s="109"/>
      <c r="O885" s="86"/>
      <c r="P885" s="20"/>
      <c r="Q885" s="20"/>
    </row>
    <row r="886" spans="1:17" ht="24.9" customHeight="1">
      <c r="A886" s="20">
        <v>362</v>
      </c>
      <c r="B886" s="20" t="s">
        <v>4320</v>
      </c>
      <c r="C886" s="20">
        <v>36</v>
      </c>
      <c r="D886" s="19" t="s">
        <v>3396</v>
      </c>
      <c r="E886" s="19" t="str">
        <f>VLOOKUP(D886,'لیست پرسنل'!$B$2:$E$1020,3,FALSE)</f>
        <v>گهر کوشان سپهر</v>
      </c>
      <c r="F886" s="19" t="str">
        <f>VLOOKUP(D886,'لیست پرسنل'!$B$2:$E$1020,4,FALSE)</f>
        <v>تردد اداری</v>
      </c>
      <c r="G886" s="127">
        <f>VLOOKUP(D886,'لیست پرسنل'!$B$2:$F$1020,2,FALSE)</f>
        <v>20381</v>
      </c>
      <c r="H886" s="151" t="s">
        <v>3381</v>
      </c>
      <c r="I886" s="127" t="s">
        <v>96</v>
      </c>
      <c r="J886" s="128" t="s">
        <v>3145</v>
      </c>
      <c r="K886" s="128" t="s">
        <v>1914</v>
      </c>
      <c r="L886" s="127"/>
      <c r="M886" s="127">
        <v>625642</v>
      </c>
      <c r="N886" s="109"/>
      <c r="O886" s="20"/>
      <c r="P886" s="20"/>
      <c r="Q886" s="20"/>
    </row>
    <row r="887" spans="1:17" ht="24.9" customHeight="1">
      <c r="A887" s="20">
        <v>362</v>
      </c>
      <c r="B887" s="20" t="s">
        <v>4320</v>
      </c>
      <c r="C887" s="19">
        <v>36</v>
      </c>
      <c r="D887" s="19" t="s">
        <v>3396</v>
      </c>
      <c r="E887" s="19" t="str">
        <f>VLOOKUP(D887,'لیست پرسنل'!$B$2:$E$1020,3,FALSE)</f>
        <v>گهر کوشان سپهر</v>
      </c>
      <c r="F887" s="19" t="str">
        <f>VLOOKUP(D887,'لیست پرسنل'!$B$2:$E$1020,4,FALSE)</f>
        <v>تردد اداری</v>
      </c>
      <c r="G887" s="127">
        <f>VLOOKUP(D887,'لیست پرسنل'!$B$2:$F$1020,2,FALSE)</f>
        <v>20381</v>
      </c>
      <c r="H887" s="151" t="s">
        <v>3381</v>
      </c>
      <c r="I887" s="127" t="s">
        <v>96</v>
      </c>
      <c r="J887" s="128" t="s">
        <v>737</v>
      </c>
      <c r="K887" s="128" t="s">
        <v>414</v>
      </c>
      <c r="L887" s="127" t="s">
        <v>124</v>
      </c>
      <c r="M887" s="127">
        <v>614595</v>
      </c>
      <c r="N887" s="109"/>
      <c r="O887" s="19"/>
      <c r="P887" s="20"/>
      <c r="Q887" s="20"/>
    </row>
    <row r="888" spans="1:17" ht="24.9" customHeight="1">
      <c r="A888" s="20">
        <v>362</v>
      </c>
      <c r="B888" s="20" t="s">
        <v>4320</v>
      </c>
      <c r="C888" s="20">
        <v>36</v>
      </c>
      <c r="D888" s="19" t="s">
        <v>3396</v>
      </c>
      <c r="E888" s="19" t="str">
        <f>VLOOKUP(D888,'لیست پرسنل'!$B$2:$E$1020,3,FALSE)</f>
        <v>گهر کوشان سپهر</v>
      </c>
      <c r="F888" s="19" t="str">
        <f>VLOOKUP(D888,'لیست پرسنل'!$B$2:$E$1020,4,FALSE)</f>
        <v>تردد اداری</v>
      </c>
      <c r="G888" s="127">
        <f>VLOOKUP(D888,'لیست پرسنل'!$B$2:$F$1020,2,FALSE)</f>
        <v>20381</v>
      </c>
      <c r="H888" s="151" t="s">
        <v>3381</v>
      </c>
      <c r="I888" s="127" t="s">
        <v>96</v>
      </c>
      <c r="J888" s="126" t="s">
        <v>368</v>
      </c>
      <c r="K888" s="128" t="s">
        <v>2846</v>
      </c>
      <c r="L888" s="127" t="s">
        <v>2490</v>
      </c>
      <c r="M888" s="128">
        <v>628902</v>
      </c>
      <c r="N888" s="108"/>
      <c r="O888" s="20" t="s">
        <v>705</v>
      </c>
      <c r="P888" s="20"/>
      <c r="Q888" s="20"/>
    </row>
    <row r="889" spans="1:17" ht="24.9" customHeight="1">
      <c r="A889" s="20">
        <v>362</v>
      </c>
      <c r="B889" s="20" t="s">
        <v>4320</v>
      </c>
      <c r="C889" s="20">
        <v>36</v>
      </c>
      <c r="D889" s="19" t="s">
        <v>3396</v>
      </c>
      <c r="E889" s="19" t="str">
        <f>VLOOKUP(D889,'لیست پرسنل'!$B$2:$E$1020,3,FALSE)</f>
        <v>گهر کوشان سپهر</v>
      </c>
      <c r="F889" s="19" t="str">
        <f>VLOOKUP(D889,'لیست پرسنل'!$B$2:$E$1020,4,FALSE)</f>
        <v>تردد اداری</v>
      </c>
      <c r="G889" s="127">
        <f>VLOOKUP(D889,'لیست پرسنل'!$B$2:$F$1020,2,FALSE)</f>
        <v>20381</v>
      </c>
      <c r="H889" s="151" t="s">
        <v>3381</v>
      </c>
      <c r="I889" s="127" t="s">
        <v>96</v>
      </c>
      <c r="J889" s="128" t="s">
        <v>8064</v>
      </c>
      <c r="K889" s="128" t="s">
        <v>3277</v>
      </c>
      <c r="L889" s="127"/>
      <c r="M889" s="127">
        <v>625644</v>
      </c>
      <c r="N889" s="109"/>
      <c r="O889" s="20"/>
      <c r="P889" s="20"/>
      <c r="Q889" s="20"/>
    </row>
    <row r="890" spans="1:17" ht="24.9" customHeight="1">
      <c r="A890" s="20">
        <v>362</v>
      </c>
      <c r="B890" s="20" t="s">
        <v>4320</v>
      </c>
      <c r="C890" s="20">
        <v>36</v>
      </c>
      <c r="D890" s="19" t="s">
        <v>3396</v>
      </c>
      <c r="E890" s="19" t="str">
        <f>VLOOKUP(D890,'لیست پرسنل'!$B$2:$E$1020,3,FALSE)</f>
        <v>گهر کوشان سپهر</v>
      </c>
      <c r="F890" s="19" t="str">
        <f>VLOOKUP(D890,'لیست پرسنل'!$B$2:$E$1020,4,FALSE)</f>
        <v>تردد اداری</v>
      </c>
      <c r="G890" s="127">
        <f>VLOOKUP(D890,'لیست پرسنل'!$B$2:$F$1020,2,FALSE)</f>
        <v>20381</v>
      </c>
      <c r="H890" s="151" t="s">
        <v>3381</v>
      </c>
      <c r="I890" s="127" t="s">
        <v>96</v>
      </c>
      <c r="J890" s="141" t="s">
        <v>571</v>
      </c>
      <c r="K890" s="128" t="s">
        <v>2142</v>
      </c>
      <c r="L890" s="159" t="s">
        <v>2219</v>
      </c>
      <c r="M890" s="127">
        <v>628575</v>
      </c>
      <c r="N890" s="108"/>
      <c r="O890" s="20" t="s">
        <v>705</v>
      </c>
      <c r="P890" s="20"/>
      <c r="Q890" s="20"/>
    </row>
    <row r="891" spans="1:17" ht="24.9" customHeight="1">
      <c r="A891" s="20">
        <v>362</v>
      </c>
      <c r="B891" s="20" t="s">
        <v>4320</v>
      </c>
      <c r="C891" s="19">
        <v>36</v>
      </c>
      <c r="D891" s="19" t="s">
        <v>3396</v>
      </c>
      <c r="E891" s="19" t="str">
        <f>VLOOKUP(D891,'لیست پرسنل'!$B$2:$E$1020,3,FALSE)</f>
        <v>گهر کوشان سپهر</v>
      </c>
      <c r="F891" s="19" t="str">
        <f>VLOOKUP(D891,'لیست پرسنل'!$B$2:$E$1020,4,FALSE)</f>
        <v>تردد اداری</v>
      </c>
      <c r="G891" s="127">
        <f>VLOOKUP(D891,'لیست پرسنل'!$B$2:$F$1020,2,FALSE)</f>
        <v>20381</v>
      </c>
      <c r="H891" s="151" t="s">
        <v>3381</v>
      </c>
      <c r="I891" s="127" t="s">
        <v>96</v>
      </c>
      <c r="J891" s="128" t="s">
        <v>2686</v>
      </c>
      <c r="K891" s="128" t="s">
        <v>2922</v>
      </c>
      <c r="L891" s="127" t="s">
        <v>3088</v>
      </c>
      <c r="M891" s="128">
        <v>626572</v>
      </c>
      <c r="N891" s="108"/>
      <c r="O891" s="20" t="s">
        <v>705</v>
      </c>
      <c r="P891" s="20"/>
      <c r="Q891" s="20"/>
    </row>
    <row r="892" spans="1:17" ht="24.9" customHeight="1">
      <c r="A892" s="20">
        <v>362</v>
      </c>
      <c r="B892" s="20" t="s">
        <v>4320</v>
      </c>
      <c r="C892" s="20">
        <v>37</v>
      </c>
      <c r="D892" s="20" t="s">
        <v>48</v>
      </c>
      <c r="E892" s="19" t="str">
        <f>VLOOKUP(D892,'لیست پرسنل'!$B$2:$E$1020,3,FALSE)</f>
        <v>فکورصنعت</v>
      </c>
      <c r="F892" s="19" t="str">
        <f>VLOOKUP(D892,'لیست پرسنل'!$B$2:$E$1020,4,FALSE)</f>
        <v>سرپرست آی تی</v>
      </c>
      <c r="G892" s="127">
        <f>VLOOKUP(D892,'لیست پرسنل'!$B$2:$F$1020,2,FALSE)</f>
        <v>2210</v>
      </c>
      <c r="H892" s="126" t="s">
        <v>5079</v>
      </c>
      <c r="I892" s="128" t="s">
        <v>99</v>
      </c>
      <c r="J892" s="128" t="s">
        <v>1977</v>
      </c>
      <c r="K892" s="128" t="s">
        <v>4784</v>
      </c>
      <c r="L892" s="128" t="s">
        <v>4791</v>
      </c>
      <c r="M892" s="128">
        <v>629996</v>
      </c>
      <c r="N892" s="108"/>
      <c r="O892" s="20" t="s">
        <v>705</v>
      </c>
      <c r="P892" s="20"/>
      <c r="Q892" s="20"/>
    </row>
    <row r="893" spans="1:17" ht="24.9" customHeight="1">
      <c r="A893" s="20">
        <v>362</v>
      </c>
      <c r="B893" s="20" t="s">
        <v>4320</v>
      </c>
      <c r="C893" s="20">
        <v>37</v>
      </c>
      <c r="D893" s="20" t="s">
        <v>4936</v>
      </c>
      <c r="E893" s="19" t="str">
        <f>VLOOKUP(D893,'لیست پرسنل'!$B$2:$E$1020,3,FALSE)</f>
        <v>فرزان فن اندیش</v>
      </c>
      <c r="F893" s="19" t="str">
        <f>VLOOKUP(D893,'لیست پرسنل'!$B$2:$E$1020,4,FALSE)</f>
        <v>دفتر مدیر پروژه</v>
      </c>
      <c r="G893" s="127">
        <f>VLOOKUP(D893,'لیست پرسنل'!$B$2:$F$1020,2,FALSE)</f>
        <v>0</v>
      </c>
      <c r="H893" s="126" t="s">
        <v>4939</v>
      </c>
      <c r="I893" s="128" t="s">
        <v>99</v>
      </c>
      <c r="J893" s="126" t="s">
        <v>368</v>
      </c>
      <c r="K893" s="128" t="s">
        <v>2853</v>
      </c>
      <c r="L893" s="128" t="s">
        <v>2855</v>
      </c>
      <c r="M893" s="128">
        <v>628681</v>
      </c>
      <c r="N893" s="108" t="s">
        <v>326</v>
      </c>
      <c r="O893" s="20" t="s">
        <v>705</v>
      </c>
      <c r="P893" s="20"/>
      <c r="Q893" s="20"/>
    </row>
    <row r="894" spans="1:17" ht="24.9" customHeight="1">
      <c r="A894" s="20">
        <v>362</v>
      </c>
      <c r="B894" s="20" t="s">
        <v>4320</v>
      </c>
      <c r="C894" s="20">
        <v>37</v>
      </c>
      <c r="D894" s="20" t="s">
        <v>4936</v>
      </c>
      <c r="E894" s="19" t="str">
        <f>VLOOKUP(D894,'لیست پرسنل'!$B$2:$E$1020,3,FALSE)</f>
        <v>فرزان فن اندیش</v>
      </c>
      <c r="F894" s="19" t="str">
        <f>VLOOKUP(D894,'لیست پرسنل'!$B$2:$E$1020,4,FALSE)</f>
        <v>دفتر مدیر پروژه</v>
      </c>
      <c r="G894" s="127">
        <f>VLOOKUP(D894,'لیست پرسنل'!$B$2:$F$1020,2,FALSE)</f>
        <v>0</v>
      </c>
      <c r="H894" s="126" t="s">
        <v>4939</v>
      </c>
      <c r="I894" s="128" t="s">
        <v>99</v>
      </c>
      <c r="J894" s="141" t="s">
        <v>571</v>
      </c>
      <c r="K894" s="135" t="s">
        <v>1513</v>
      </c>
      <c r="L894" s="154" t="s">
        <v>2053</v>
      </c>
      <c r="M894" s="131">
        <v>624172</v>
      </c>
      <c r="N894" s="108" t="s">
        <v>326</v>
      </c>
      <c r="O894" s="20" t="s">
        <v>705</v>
      </c>
      <c r="P894" s="20"/>
      <c r="Q894" s="20"/>
    </row>
    <row r="895" spans="1:17" ht="24.9" customHeight="1">
      <c r="A895" s="20">
        <v>362</v>
      </c>
      <c r="B895" s="20" t="s">
        <v>4320</v>
      </c>
      <c r="C895" s="20">
        <v>37</v>
      </c>
      <c r="D895" s="20" t="s">
        <v>4936</v>
      </c>
      <c r="E895" s="19" t="str">
        <f>VLOOKUP(D895,'لیست پرسنل'!$B$2:$E$1020,3,FALSE)</f>
        <v>فرزان فن اندیش</v>
      </c>
      <c r="F895" s="19" t="str">
        <f>VLOOKUP(D895,'لیست پرسنل'!$B$2:$E$1020,4,FALSE)</f>
        <v>دفتر مدیر پروژه</v>
      </c>
      <c r="G895" s="127">
        <f>VLOOKUP(D895,'لیست پرسنل'!$B$2:$F$1020,2,FALSE)</f>
        <v>0</v>
      </c>
      <c r="H895" s="126" t="s">
        <v>4939</v>
      </c>
      <c r="I895" s="128" t="s">
        <v>99</v>
      </c>
      <c r="J895" s="128" t="s">
        <v>2686</v>
      </c>
      <c r="K895" s="128" t="s">
        <v>5067</v>
      </c>
      <c r="L895" s="127" t="s">
        <v>5070</v>
      </c>
      <c r="M895" s="128">
        <v>628409</v>
      </c>
      <c r="N895" s="108" t="s">
        <v>326</v>
      </c>
      <c r="O895" s="20"/>
      <c r="P895" s="20"/>
      <c r="Q895" s="20"/>
    </row>
    <row r="896" spans="1:17" ht="24.9" customHeight="1">
      <c r="A896" s="20">
        <v>362</v>
      </c>
      <c r="B896" s="20" t="s">
        <v>4320</v>
      </c>
      <c r="C896" s="19">
        <v>38</v>
      </c>
      <c r="D896" s="19" t="s">
        <v>2820</v>
      </c>
      <c r="E896" s="19" t="str">
        <f>VLOOKUP(D896,'لیست پرسنل'!$B$2:$E$1020,3,FALSE)</f>
        <v>گهر کوشان سپهر</v>
      </c>
      <c r="F896" s="19" t="str">
        <f>VLOOKUP(D896,'لیست پرسنل'!$B$2:$E$1020,4,FALSE)</f>
        <v>برق</v>
      </c>
      <c r="G896" s="127">
        <f>VLOOKUP(D896,'لیست پرسنل'!$B$2:$F$1020,2,FALSE)</f>
        <v>20421</v>
      </c>
      <c r="H896" s="151" t="s">
        <v>3381</v>
      </c>
      <c r="I896" s="127" t="s">
        <v>100</v>
      </c>
      <c r="J896" s="127" t="s">
        <v>3383</v>
      </c>
      <c r="K896" s="128" t="s">
        <v>1065</v>
      </c>
      <c r="L896" s="127" t="s">
        <v>896</v>
      </c>
      <c r="M896" s="127">
        <v>623607</v>
      </c>
      <c r="N896" s="109"/>
      <c r="O896" s="19"/>
      <c r="P896" s="20"/>
      <c r="Q896" s="20"/>
    </row>
    <row r="897" spans="1:17" ht="24.9" customHeight="1">
      <c r="A897" s="20">
        <v>362</v>
      </c>
      <c r="B897" s="20" t="s">
        <v>4320</v>
      </c>
      <c r="C897" s="19">
        <v>38</v>
      </c>
      <c r="D897" s="19" t="s">
        <v>2820</v>
      </c>
      <c r="E897" s="19" t="str">
        <f>VLOOKUP(D897,'لیست پرسنل'!$B$2:$E$1020,3,FALSE)</f>
        <v>گهر کوشان سپهر</v>
      </c>
      <c r="F897" s="19" t="str">
        <f>VLOOKUP(D897,'لیست پرسنل'!$B$2:$E$1020,4,FALSE)</f>
        <v>برق</v>
      </c>
      <c r="G897" s="127">
        <f>VLOOKUP(D897,'لیست پرسنل'!$B$2:$F$1020,2,FALSE)</f>
        <v>20421</v>
      </c>
      <c r="H897" s="151" t="s">
        <v>3381</v>
      </c>
      <c r="I897" s="127" t="s">
        <v>100</v>
      </c>
      <c r="J897" s="126" t="s">
        <v>368</v>
      </c>
      <c r="K897" s="128" t="s">
        <v>2846</v>
      </c>
      <c r="L897" s="128" t="s">
        <v>2470</v>
      </c>
      <c r="M897" s="128">
        <v>628880</v>
      </c>
      <c r="N897" s="108"/>
      <c r="O897" s="19"/>
      <c r="P897" s="20"/>
      <c r="Q897" s="20"/>
    </row>
    <row r="898" spans="1:17" ht="24.9" customHeight="1">
      <c r="A898" s="20">
        <v>362</v>
      </c>
      <c r="B898" s="20" t="s">
        <v>4320</v>
      </c>
      <c r="C898" s="19">
        <v>38</v>
      </c>
      <c r="D898" s="19" t="s">
        <v>2820</v>
      </c>
      <c r="E898" s="19" t="str">
        <f>VLOOKUP(D898,'لیست پرسنل'!$B$2:$E$1020,3,FALSE)</f>
        <v>گهر کوشان سپهر</v>
      </c>
      <c r="F898" s="19" t="str">
        <f>VLOOKUP(D898,'لیست پرسنل'!$B$2:$E$1020,4,FALSE)</f>
        <v>برق</v>
      </c>
      <c r="G898" s="127">
        <f>VLOOKUP(D898,'لیست پرسنل'!$B$2:$F$1020,2,FALSE)</f>
        <v>20421</v>
      </c>
      <c r="H898" s="151" t="s">
        <v>3381</v>
      </c>
      <c r="I898" s="127" t="s">
        <v>100</v>
      </c>
      <c r="J898" s="127" t="s">
        <v>571</v>
      </c>
      <c r="K898" s="128"/>
      <c r="L898" s="151"/>
      <c r="M898" s="127">
        <v>624582</v>
      </c>
      <c r="N898" s="109"/>
      <c r="O898" s="19"/>
      <c r="P898" s="20"/>
      <c r="Q898" s="20"/>
    </row>
    <row r="899" spans="1:17" ht="24.9" customHeight="1">
      <c r="A899" s="20">
        <v>362</v>
      </c>
      <c r="B899" s="20" t="s">
        <v>4320</v>
      </c>
      <c r="C899" s="19">
        <v>38</v>
      </c>
      <c r="D899" s="19" t="s">
        <v>2820</v>
      </c>
      <c r="E899" s="19" t="str">
        <f>VLOOKUP(D899,'لیست پرسنل'!$B$2:$E$1020,3,FALSE)</f>
        <v>گهر کوشان سپهر</v>
      </c>
      <c r="F899" s="19" t="str">
        <f>VLOOKUP(D899,'لیست پرسنل'!$B$2:$E$1020,4,FALSE)</f>
        <v>برق</v>
      </c>
      <c r="G899" s="127">
        <f>VLOOKUP(D899,'لیست پرسنل'!$B$2:$F$1020,2,FALSE)</f>
        <v>20421</v>
      </c>
      <c r="H899" s="151" t="s">
        <v>3381</v>
      </c>
      <c r="I899" s="127" t="s">
        <v>100</v>
      </c>
      <c r="J899" s="128" t="s">
        <v>2686</v>
      </c>
      <c r="K899" s="128" t="s">
        <v>2922</v>
      </c>
      <c r="L899" s="151" t="s">
        <v>3112</v>
      </c>
      <c r="M899" s="138">
        <v>626596</v>
      </c>
      <c r="N899" s="109"/>
      <c r="O899" s="86"/>
      <c r="P899" s="20"/>
      <c r="Q899" s="20"/>
    </row>
    <row r="900" spans="1:17" ht="24.9" customHeight="1">
      <c r="A900" s="20">
        <v>362</v>
      </c>
      <c r="B900" s="20" t="s">
        <v>4320</v>
      </c>
      <c r="C900" s="19">
        <v>39</v>
      </c>
      <c r="D900" s="20" t="s">
        <v>3467</v>
      </c>
      <c r="E900" s="19" t="str">
        <f>VLOOKUP(D900,'لیست پرسنل'!$B$2:$E$1020,3,FALSE)</f>
        <v>فکورصنعت</v>
      </c>
      <c r="F900" s="19" t="str">
        <f>VLOOKUP(D900,'لیست پرسنل'!$B$2:$E$1020,4,FALSE)</f>
        <v>راه اندازی</v>
      </c>
      <c r="G900" s="127">
        <f>VLOOKUP(D900,'لیست پرسنل'!$B$2:$F$1020,2,FALSE)</f>
        <v>4020302</v>
      </c>
      <c r="H900" s="151" t="s">
        <v>3381</v>
      </c>
      <c r="I900" s="128" t="s">
        <v>101</v>
      </c>
      <c r="J900" s="126" t="s">
        <v>368</v>
      </c>
      <c r="K900" s="128" t="s">
        <v>8248</v>
      </c>
      <c r="L900" s="127" t="s">
        <v>2519</v>
      </c>
      <c r="M900" s="137">
        <v>628931</v>
      </c>
      <c r="N900" s="108"/>
      <c r="O900" s="20" t="s">
        <v>705</v>
      </c>
      <c r="P900" s="20"/>
      <c r="Q900" s="20"/>
    </row>
    <row r="901" spans="1:17" ht="24.9" customHeight="1">
      <c r="A901" s="20">
        <v>362</v>
      </c>
      <c r="B901" s="20" t="s">
        <v>4320</v>
      </c>
      <c r="C901" s="19">
        <v>39</v>
      </c>
      <c r="D901" s="20" t="s">
        <v>3467</v>
      </c>
      <c r="E901" s="19" t="str">
        <f>VLOOKUP(D901,'لیست پرسنل'!$B$2:$E$1020,3,FALSE)</f>
        <v>فکورصنعت</v>
      </c>
      <c r="F901" s="19" t="str">
        <f>VLOOKUP(D901,'لیست پرسنل'!$B$2:$E$1020,4,FALSE)</f>
        <v>راه اندازی</v>
      </c>
      <c r="G901" s="127">
        <f>VLOOKUP(D901,'لیست پرسنل'!$B$2:$F$1020,2,FALSE)</f>
        <v>4020302</v>
      </c>
      <c r="H901" s="151" t="s">
        <v>3381</v>
      </c>
      <c r="I901" s="128" t="s">
        <v>101</v>
      </c>
      <c r="J901" s="141" t="s">
        <v>571</v>
      </c>
      <c r="K901" s="128" t="s">
        <v>571</v>
      </c>
      <c r="L901" s="128" t="s">
        <v>2219</v>
      </c>
      <c r="M901" s="236">
        <v>625440</v>
      </c>
      <c r="N901" s="108"/>
      <c r="O901" s="19"/>
      <c r="P901" s="20"/>
      <c r="Q901" s="20"/>
    </row>
    <row r="902" spans="1:17" ht="24.9" customHeight="1">
      <c r="A902" s="20">
        <v>362</v>
      </c>
      <c r="B902" s="20" t="s">
        <v>4320</v>
      </c>
      <c r="C902" s="19">
        <v>39</v>
      </c>
      <c r="D902" s="20" t="s">
        <v>3467</v>
      </c>
      <c r="E902" s="19" t="str">
        <f>VLOOKUP(D902,'لیست پرسنل'!$B$2:$E$1020,3,FALSE)</f>
        <v>فکورصنعت</v>
      </c>
      <c r="F902" s="19" t="str">
        <f>VLOOKUP(D902,'لیست پرسنل'!$B$2:$E$1020,4,FALSE)</f>
        <v>راه اندازی</v>
      </c>
      <c r="G902" s="127">
        <f>VLOOKUP(D902,'لیست پرسنل'!$B$2:$F$1020,2,FALSE)</f>
        <v>4020302</v>
      </c>
      <c r="H902" s="151" t="s">
        <v>3381</v>
      </c>
      <c r="I902" s="128" t="s">
        <v>101</v>
      </c>
      <c r="J902" s="128" t="s">
        <v>2686</v>
      </c>
      <c r="K902" s="128" t="s">
        <v>4237</v>
      </c>
      <c r="L902" s="151" t="s">
        <v>312</v>
      </c>
      <c r="M902" s="236">
        <v>615045</v>
      </c>
      <c r="N902" s="108"/>
      <c r="O902" s="19"/>
      <c r="P902" s="20"/>
      <c r="Q902" s="20"/>
    </row>
    <row r="903" spans="1:17" ht="24.9" customHeight="1">
      <c r="A903" s="20">
        <v>362</v>
      </c>
      <c r="B903" s="20" t="s">
        <v>4320</v>
      </c>
      <c r="C903" s="19">
        <v>40</v>
      </c>
      <c r="D903" s="19" t="s">
        <v>2832</v>
      </c>
      <c r="E903" s="19" t="str">
        <f>VLOOKUP(D903,'لیست پرسنل'!$B$2:$E$1020,3,FALSE)</f>
        <v>فکورصنعت</v>
      </c>
      <c r="F903" s="19" t="str">
        <f>VLOOKUP(D903,'لیست پرسنل'!$B$2:$E$1020,4,FALSE)</f>
        <v>مسئول دفتر</v>
      </c>
      <c r="G903" s="127" t="str">
        <f>VLOOKUP(D903,'لیست پرسنل'!$B$2:$F$1020,2,FALSE)</f>
        <v>4020304</v>
      </c>
      <c r="H903" s="151" t="s">
        <v>3381</v>
      </c>
      <c r="I903" s="127" t="s">
        <v>102</v>
      </c>
      <c r="J903" s="128" t="s">
        <v>3145</v>
      </c>
      <c r="K903" s="128" t="s">
        <v>1915</v>
      </c>
      <c r="L903" s="151" t="s">
        <v>1916</v>
      </c>
      <c r="M903" s="127" t="s">
        <v>704</v>
      </c>
      <c r="N903" s="109"/>
      <c r="O903" s="31"/>
      <c r="P903" s="20"/>
      <c r="Q903" s="20"/>
    </row>
    <row r="904" spans="1:17" ht="24.9" customHeight="1">
      <c r="A904" s="20">
        <v>362</v>
      </c>
      <c r="B904" s="20" t="s">
        <v>4320</v>
      </c>
      <c r="C904" s="19">
        <v>40</v>
      </c>
      <c r="D904" s="19" t="s">
        <v>2832</v>
      </c>
      <c r="E904" s="19" t="str">
        <f>VLOOKUP(D904,'لیست پرسنل'!$B$2:$E$1020,3,FALSE)</f>
        <v>فکورصنعت</v>
      </c>
      <c r="F904" s="19" t="str">
        <f>VLOOKUP(D904,'لیست پرسنل'!$B$2:$E$1020,4,FALSE)</f>
        <v>مسئول دفتر</v>
      </c>
      <c r="G904" s="127" t="str">
        <f>VLOOKUP(D904,'لیست پرسنل'!$B$2:$F$1020,2,FALSE)</f>
        <v>4020304</v>
      </c>
      <c r="H904" s="151" t="s">
        <v>3381</v>
      </c>
      <c r="I904" s="127" t="s">
        <v>102</v>
      </c>
      <c r="J904" s="127" t="s">
        <v>3383</v>
      </c>
      <c r="K904" s="128" t="s">
        <v>1792</v>
      </c>
      <c r="L904" s="127" t="s">
        <v>1785</v>
      </c>
      <c r="M904" s="127">
        <v>625378</v>
      </c>
      <c r="N904" s="109"/>
      <c r="O904" s="31"/>
      <c r="P904" s="20"/>
      <c r="Q904" s="20"/>
    </row>
    <row r="905" spans="1:17" ht="24.9" customHeight="1">
      <c r="A905" s="20">
        <v>362</v>
      </c>
      <c r="B905" s="20" t="s">
        <v>4320</v>
      </c>
      <c r="C905" s="19">
        <v>40</v>
      </c>
      <c r="D905" s="19" t="s">
        <v>2832</v>
      </c>
      <c r="E905" s="19" t="str">
        <f>VLOOKUP(D905,'لیست پرسنل'!$B$2:$E$1020,3,FALSE)</f>
        <v>فکورصنعت</v>
      </c>
      <c r="F905" s="19" t="str">
        <f>VLOOKUP(D905,'لیست پرسنل'!$B$2:$E$1020,4,FALSE)</f>
        <v>مسئول دفتر</v>
      </c>
      <c r="G905" s="127" t="str">
        <f>VLOOKUP(D905,'لیست پرسنل'!$B$2:$F$1020,2,FALSE)</f>
        <v>4020304</v>
      </c>
      <c r="H905" s="151" t="s">
        <v>3381</v>
      </c>
      <c r="I905" s="127" t="s">
        <v>102</v>
      </c>
      <c r="J905" s="128" t="s">
        <v>737</v>
      </c>
      <c r="K905" s="128" t="s">
        <v>5220</v>
      </c>
      <c r="L905" s="127" t="s">
        <v>5216</v>
      </c>
      <c r="M905" s="128">
        <v>625044</v>
      </c>
      <c r="N905" s="108"/>
      <c r="O905" s="20"/>
      <c r="P905" s="20"/>
      <c r="Q905" s="20"/>
    </row>
    <row r="906" spans="1:17" ht="24.9" customHeight="1">
      <c r="A906" s="20">
        <v>362</v>
      </c>
      <c r="B906" s="20" t="s">
        <v>4320</v>
      </c>
      <c r="C906" s="19">
        <v>40</v>
      </c>
      <c r="D906" s="19" t="s">
        <v>2832</v>
      </c>
      <c r="E906" s="19" t="str">
        <f>VLOOKUP(D906,'لیست پرسنل'!$B$2:$E$1020,3,FALSE)</f>
        <v>فکورصنعت</v>
      </c>
      <c r="F906" s="19" t="str">
        <f>VLOOKUP(D906,'لیست پرسنل'!$B$2:$E$1020,4,FALSE)</f>
        <v>مسئول دفتر</v>
      </c>
      <c r="G906" s="127" t="str">
        <f>VLOOKUP(D906,'لیست پرسنل'!$B$2:$F$1020,2,FALSE)</f>
        <v>4020304</v>
      </c>
      <c r="H906" s="151" t="s">
        <v>3381</v>
      </c>
      <c r="I906" s="127" t="s">
        <v>102</v>
      </c>
      <c r="J906" s="128" t="s">
        <v>737</v>
      </c>
      <c r="K906" s="128" t="s">
        <v>1071</v>
      </c>
      <c r="L906" s="146" t="s">
        <v>1072</v>
      </c>
      <c r="M906" s="127">
        <v>626297</v>
      </c>
      <c r="N906" s="109"/>
      <c r="O906" s="19"/>
      <c r="P906" s="20"/>
      <c r="Q906" s="20"/>
    </row>
    <row r="907" spans="1:17" ht="24.9" customHeight="1">
      <c r="A907" s="20">
        <v>362</v>
      </c>
      <c r="B907" s="20" t="s">
        <v>4320</v>
      </c>
      <c r="C907" s="19">
        <v>40</v>
      </c>
      <c r="D907" s="19" t="s">
        <v>2832</v>
      </c>
      <c r="E907" s="19" t="str">
        <f>VLOOKUP(D907,'لیست پرسنل'!$B$2:$E$1020,3,FALSE)</f>
        <v>فکورصنعت</v>
      </c>
      <c r="F907" s="19" t="str">
        <f>VLOOKUP(D907,'لیست پرسنل'!$B$2:$E$1020,4,FALSE)</f>
        <v>مسئول دفتر</v>
      </c>
      <c r="G907" s="127" t="str">
        <f>VLOOKUP(D907,'لیست پرسنل'!$B$2:$F$1020,2,FALSE)</f>
        <v>4020304</v>
      </c>
      <c r="H907" s="151" t="s">
        <v>3381</v>
      </c>
      <c r="I907" s="127" t="s">
        <v>102</v>
      </c>
      <c r="J907" s="126" t="s">
        <v>368</v>
      </c>
      <c r="K907" s="128" t="s">
        <v>2846</v>
      </c>
      <c r="L907" s="127" t="s">
        <v>2401</v>
      </c>
      <c r="M907" s="128">
        <v>628808</v>
      </c>
      <c r="N907" s="108"/>
      <c r="O907" s="31"/>
      <c r="P907" s="20"/>
      <c r="Q907" s="20"/>
    </row>
    <row r="908" spans="1:17" ht="24.9" customHeight="1">
      <c r="A908" s="20">
        <v>362</v>
      </c>
      <c r="B908" s="20" t="s">
        <v>4320</v>
      </c>
      <c r="C908" s="19">
        <v>40</v>
      </c>
      <c r="D908" s="19" t="s">
        <v>2832</v>
      </c>
      <c r="E908" s="19" t="str">
        <f>VLOOKUP(D908,'لیست پرسنل'!$B$2:$E$1020,3,FALSE)</f>
        <v>فکورصنعت</v>
      </c>
      <c r="F908" s="19" t="str">
        <f>VLOOKUP(D908,'لیست پرسنل'!$B$2:$E$1020,4,FALSE)</f>
        <v>مسئول دفتر</v>
      </c>
      <c r="G908" s="127" t="str">
        <f>VLOOKUP(D908,'لیست پرسنل'!$B$2:$F$1020,2,FALSE)</f>
        <v>4020304</v>
      </c>
      <c r="H908" s="151" t="s">
        <v>3381</v>
      </c>
      <c r="I908" s="127" t="s">
        <v>102</v>
      </c>
      <c r="J908" s="127" t="s">
        <v>571</v>
      </c>
      <c r="K908" s="128" t="s">
        <v>2219</v>
      </c>
      <c r="L908" s="221"/>
      <c r="M908" s="127">
        <v>627724</v>
      </c>
      <c r="N908" s="109"/>
      <c r="O908" s="31"/>
      <c r="P908" s="20"/>
      <c r="Q908" s="20"/>
    </row>
    <row r="909" spans="1:17" ht="24.9" customHeight="1">
      <c r="A909" s="20">
        <v>362</v>
      </c>
      <c r="B909" s="20" t="s">
        <v>4320</v>
      </c>
      <c r="C909" s="19">
        <v>40</v>
      </c>
      <c r="D909" s="19" t="s">
        <v>2832</v>
      </c>
      <c r="E909" s="19" t="str">
        <f>VLOOKUP(D909,'لیست پرسنل'!$B$2:$E$1020,3,FALSE)</f>
        <v>فکورصنعت</v>
      </c>
      <c r="F909" s="19" t="str">
        <f>VLOOKUP(D909,'لیست پرسنل'!$B$2:$E$1020,4,FALSE)</f>
        <v>مسئول دفتر</v>
      </c>
      <c r="G909" s="127" t="str">
        <f>VLOOKUP(D909,'لیست پرسنل'!$B$2:$F$1020,2,FALSE)</f>
        <v>4020304</v>
      </c>
      <c r="H909" s="151" t="s">
        <v>3381</v>
      </c>
      <c r="I909" s="127" t="s">
        <v>102</v>
      </c>
      <c r="J909" s="128" t="s">
        <v>2686</v>
      </c>
      <c r="K909" s="128" t="s">
        <v>2922</v>
      </c>
      <c r="L909" s="127" t="s">
        <v>2981</v>
      </c>
      <c r="M909" s="127">
        <v>626462</v>
      </c>
      <c r="N909" s="109"/>
      <c r="O909" s="86"/>
      <c r="P909" s="20"/>
      <c r="Q909" s="20"/>
    </row>
    <row r="910" spans="1:17" ht="24.9" customHeight="1">
      <c r="A910" s="20">
        <v>362</v>
      </c>
      <c r="B910" s="20" t="s">
        <v>4320</v>
      </c>
      <c r="C910" s="19">
        <v>41</v>
      </c>
      <c r="D910" s="19" t="s">
        <v>389</v>
      </c>
      <c r="E910" s="19" t="str">
        <f>VLOOKUP(D910,'لیست پرسنل'!$B$2:$E$1020,3,FALSE)</f>
        <v>فکورصنعت</v>
      </c>
      <c r="F910" s="19" t="str">
        <f>VLOOKUP(D910,'لیست پرسنل'!$B$2:$E$1020,4,FALSE)</f>
        <v>اداری</v>
      </c>
      <c r="G910" s="127" t="str">
        <f>VLOOKUP(D910,'لیست پرسنل'!$B$2:$F$1020,2,FALSE)</f>
        <v>1512</v>
      </c>
      <c r="H910" s="151" t="s">
        <v>3381</v>
      </c>
      <c r="I910" s="127" t="s">
        <v>5124</v>
      </c>
      <c r="J910" s="128" t="s">
        <v>737</v>
      </c>
      <c r="K910" s="128" t="s">
        <v>1748</v>
      </c>
      <c r="L910" s="127" t="s">
        <v>1690</v>
      </c>
      <c r="M910" s="127">
        <v>625362</v>
      </c>
      <c r="N910" s="109"/>
      <c r="O910" s="20"/>
      <c r="P910" s="20"/>
      <c r="Q910" s="20"/>
    </row>
    <row r="911" spans="1:17" ht="24.9" customHeight="1">
      <c r="A911" s="20">
        <v>362</v>
      </c>
      <c r="B911" s="20" t="s">
        <v>4320</v>
      </c>
      <c r="C911" s="20">
        <v>41</v>
      </c>
      <c r="D911" s="20" t="s">
        <v>389</v>
      </c>
      <c r="E911" s="19" t="str">
        <f>VLOOKUP(D911,'لیست پرسنل'!$B$2:$E$1020,3,FALSE)</f>
        <v>فکورصنعت</v>
      </c>
      <c r="F911" s="19" t="str">
        <f>VLOOKUP(D911,'لیست پرسنل'!$B$2:$E$1020,4,FALSE)</f>
        <v>اداری</v>
      </c>
      <c r="G911" s="127" t="str">
        <f>VLOOKUP(D911,'لیست پرسنل'!$B$2:$F$1020,2,FALSE)</f>
        <v>1512</v>
      </c>
      <c r="H911" s="126" t="s">
        <v>3381</v>
      </c>
      <c r="I911" s="128" t="s">
        <v>5124</v>
      </c>
      <c r="J911" s="126" t="s">
        <v>368</v>
      </c>
      <c r="K911" s="128" t="s">
        <v>8248</v>
      </c>
      <c r="L911" s="127" t="s">
        <v>2489</v>
      </c>
      <c r="M911" s="128">
        <v>628901</v>
      </c>
      <c r="N911" s="108"/>
      <c r="O911" s="20" t="s">
        <v>705</v>
      </c>
      <c r="P911" s="20"/>
      <c r="Q911" s="20"/>
    </row>
    <row r="912" spans="1:17" ht="24.9" customHeight="1">
      <c r="A912" s="20">
        <v>362</v>
      </c>
      <c r="B912" s="20" t="s">
        <v>4320</v>
      </c>
      <c r="C912" s="20">
        <v>41</v>
      </c>
      <c r="D912" s="20" t="s">
        <v>389</v>
      </c>
      <c r="E912" s="19" t="str">
        <f>VLOOKUP(D912,'لیست پرسنل'!$B$2:$E$1020,3,FALSE)</f>
        <v>فکورصنعت</v>
      </c>
      <c r="F912" s="19" t="str">
        <f>VLOOKUP(D912,'لیست پرسنل'!$B$2:$E$1020,4,FALSE)</f>
        <v>اداری</v>
      </c>
      <c r="G912" s="127" t="str">
        <f>VLOOKUP(D912,'لیست پرسنل'!$B$2:$F$1020,2,FALSE)</f>
        <v>1512</v>
      </c>
      <c r="H912" s="126" t="s">
        <v>3381</v>
      </c>
      <c r="I912" s="128" t="s">
        <v>5124</v>
      </c>
      <c r="J912" s="141" t="s">
        <v>571</v>
      </c>
      <c r="K912" s="128" t="s">
        <v>5320</v>
      </c>
      <c r="L912" s="128"/>
      <c r="M912" s="132">
        <v>631499</v>
      </c>
      <c r="N912" s="108"/>
      <c r="O912" s="19"/>
      <c r="P912" s="20"/>
      <c r="Q912" s="20"/>
    </row>
    <row r="913" spans="1:17" ht="24.9" customHeight="1">
      <c r="A913" s="20">
        <v>362</v>
      </c>
      <c r="B913" s="20" t="s">
        <v>4320</v>
      </c>
      <c r="C913" s="20">
        <v>41</v>
      </c>
      <c r="D913" s="20" t="s">
        <v>389</v>
      </c>
      <c r="E913" s="19" t="str">
        <f>VLOOKUP(D913,'لیست پرسنل'!$B$2:$E$1020,3,FALSE)</f>
        <v>فکورصنعت</v>
      </c>
      <c r="F913" s="19" t="str">
        <f>VLOOKUP(D913,'لیست پرسنل'!$B$2:$E$1020,4,FALSE)</f>
        <v>اداری</v>
      </c>
      <c r="G913" s="127" t="str">
        <f>VLOOKUP(D913,'لیست پرسنل'!$B$2:$F$1020,2,FALSE)</f>
        <v>1512</v>
      </c>
      <c r="H913" s="126" t="s">
        <v>3381</v>
      </c>
      <c r="I913" s="128" t="s">
        <v>5124</v>
      </c>
      <c r="J913" s="128" t="s">
        <v>2686</v>
      </c>
      <c r="K913" s="128" t="s">
        <v>2922</v>
      </c>
      <c r="L913" s="127" t="s">
        <v>3047</v>
      </c>
      <c r="M913" s="128">
        <v>626531</v>
      </c>
      <c r="N913" s="108"/>
      <c r="O913" s="20" t="s">
        <v>705</v>
      </c>
      <c r="P913" s="20"/>
      <c r="Q913" s="20"/>
    </row>
    <row r="914" spans="1:17" ht="24.9" customHeight="1">
      <c r="A914" s="20">
        <v>362</v>
      </c>
      <c r="B914" s="20" t="s">
        <v>4320</v>
      </c>
      <c r="C914" s="20">
        <v>42</v>
      </c>
      <c r="D914" s="20" t="s">
        <v>6840</v>
      </c>
      <c r="E914" s="19" t="str">
        <f>VLOOKUP(D914,'لیست پرسنل'!$B$2:$E$1020,3,FALSE)</f>
        <v>فکورصنعت</v>
      </c>
      <c r="F914" s="19" t="str">
        <f>VLOOKUP(D914,'لیست پرسنل'!$B$2:$E$1020,4,FALSE)</f>
        <v>ایمنی</v>
      </c>
      <c r="G914" s="127">
        <f>VLOOKUP(D914,'لیست پرسنل'!$B$2:$F$1020,2,FALSE)</f>
        <v>4030502</v>
      </c>
      <c r="H914" s="126" t="s">
        <v>3381</v>
      </c>
      <c r="I914" s="128" t="s">
        <v>103</v>
      </c>
      <c r="J914" s="126" t="s">
        <v>368</v>
      </c>
      <c r="K914" s="128" t="s">
        <v>2846</v>
      </c>
      <c r="L914" s="128" t="s">
        <v>2341</v>
      </c>
      <c r="M914" s="128">
        <v>628873</v>
      </c>
      <c r="N914" s="108"/>
      <c r="O914" s="20"/>
      <c r="P914" s="20"/>
      <c r="Q914" s="20"/>
    </row>
    <row r="915" spans="1:17" ht="24.9" customHeight="1">
      <c r="A915" s="20">
        <v>362</v>
      </c>
      <c r="B915" s="20" t="s">
        <v>4320</v>
      </c>
      <c r="C915" s="20">
        <v>42</v>
      </c>
      <c r="D915" s="20" t="s">
        <v>6840</v>
      </c>
      <c r="E915" s="19" t="str">
        <f>VLOOKUP(D915,'لیست پرسنل'!$B$2:$E$1020,3,FALSE)</f>
        <v>فکورصنعت</v>
      </c>
      <c r="F915" s="19" t="str">
        <f>VLOOKUP(D915,'لیست پرسنل'!$B$2:$E$1020,4,FALSE)</f>
        <v>ایمنی</v>
      </c>
      <c r="G915" s="127">
        <f>VLOOKUP(D915,'لیست پرسنل'!$B$2:$F$1020,2,FALSE)</f>
        <v>4030502</v>
      </c>
      <c r="H915" s="126" t="s">
        <v>3381</v>
      </c>
      <c r="I915" s="128" t="s">
        <v>103</v>
      </c>
      <c r="J915" s="128" t="s">
        <v>5366</v>
      </c>
      <c r="K915" s="128" t="s">
        <v>2549</v>
      </c>
      <c r="L915" s="140"/>
      <c r="M915" s="128">
        <v>615711</v>
      </c>
      <c r="N915" s="108"/>
      <c r="O915" s="20"/>
      <c r="P915" s="20"/>
      <c r="Q915" s="20"/>
    </row>
    <row r="916" spans="1:17" ht="24.9" customHeight="1">
      <c r="A916" s="20">
        <v>362</v>
      </c>
      <c r="B916" s="20" t="s">
        <v>4320</v>
      </c>
      <c r="C916" s="20">
        <v>42</v>
      </c>
      <c r="D916" s="20" t="s">
        <v>6840</v>
      </c>
      <c r="E916" s="19" t="str">
        <f>VLOOKUP(D916,'لیست پرسنل'!$B$2:$E$1020,3,FALSE)</f>
        <v>فکورصنعت</v>
      </c>
      <c r="F916" s="19" t="str">
        <f>VLOOKUP(D916,'لیست پرسنل'!$B$2:$E$1020,4,FALSE)</f>
        <v>ایمنی</v>
      </c>
      <c r="G916" s="127">
        <f>VLOOKUP(D916,'لیست پرسنل'!$B$2:$F$1020,2,FALSE)</f>
        <v>4030502</v>
      </c>
      <c r="H916" s="126" t="s">
        <v>3381</v>
      </c>
      <c r="I916" s="128" t="s">
        <v>103</v>
      </c>
      <c r="J916" s="141" t="s">
        <v>571</v>
      </c>
      <c r="K916" s="128" t="s">
        <v>6045</v>
      </c>
      <c r="L916" s="134"/>
      <c r="M916" s="128">
        <v>632743</v>
      </c>
      <c r="N916" s="108"/>
      <c r="O916" s="20"/>
      <c r="P916" s="20"/>
      <c r="Q916" s="20"/>
    </row>
    <row r="917" spans="1:17" ht="24.9" customHeight="1">
      <c r="A917" s="20">
        <v>362</v>
      </c>
      <c r="B917" s="20" t="s">
        <v>4320</v>
      </c>
      <c r="C917" s="20">
        <v>42</v>
      </c>
      <c r="D917" s="20" t="s">
        <v>6840</v>
      </c>
      <c r="E917" s="19" t="str">
        <f>VLOOKUP(D917,'لیست پرسنل'!$B$2:$E$1020,3,FALSE)</f>
        <v>فکورصنعت</v>
      </c>
      <c r="F917" s="19" t="str">
        <f>VLOOKUP(D917,'لیست پرسنل'!$B$2:$E$1020,4,FALSE)</f>
        <v>ایمنی</v>
      </c>
      <c r="G917" s="127">
        <f>VLOOKUP(D917,'لیست پرسنل'!$B$2:$F$1020,2,FALSE)</f>
        <v>4030502</v>
      </c>
      <c r="H917" s="126" t="s">
        <v>3381</v>
      </c>
      <c r="I917" s="128" t="s">
        <v>103</v>
      </c>
      <c r="J917" s="128" t="s">
        <v>2686</v>
      </c>
      <c r="K917" s="128" t="s">
        <v>2922</v>
      </c>
      <c r="L917" s="127" t="s">
        <v>3044</v>
      </c>
      <c r="M917" s="128">
        <v>626528</v>
      </c>
      <c r="N917" s="108"/>
      <c r="O917" s="20" t="s">
        <v>705</v>
      </c>
      <c r="P917" s="20"/>
      <c r="Q917" s="20"/>
    </row>
    <row r="918" spans="1:17" ht="24.9" customHeight="1">
      <c r="A918" s="20">
        <v>362</v>
      </c>
      <c r="B918" s="20" t="s">
        <v>4320</v>
      </c>
      <c r="C918" s="19">
        <v>43</v>
      </c>
      <c r="D918" s="19" t="s">
        <v>9</v>
      </c>
      <c r="E918" s="19" t="str">
        <f>VLOOKUP(D918,'لیست پرسنل'!$B$2:$E$1020,3,FALSE)</f>
        <v>فکورصنعت</v>
      </c>
      <c r="F918" s="19" t="str">
        <f>VLOOKUP(D918,'لیست پرسنل'!$B$2:$E$1020,4,FALSE)</f>
        <v>کنترل پروژه</v>
      </c>
      <c r="G918" s="127">
        <f>VLOOKUP(D918,'لیست پرسنل'!$B$2:$F$1020,2,FALSE)</f>
        <v>5020</v>
      </c>
      <c r="H918" s="151" t="s">
        <v>3381</v>
      </c>
      <c r="I918" s="127" t="s">
        <v>265</v>
      </c>
      <c r="J918" s="128" t="s">
        <v>3145</v>
      </c>
      <c r="K918" s="128" t="s">
        <v>1919</v>
      </c>
      <c r="L918" s="151" t="s">
        <v>7275</v>
      </c>
      <c r="M918" s="128" t="s">
        <v>291</v>
      </c>
      <c r="N918" s="108"/>
      <c r="O918" s="20"/>
      <c r="P918" s="20"/>
      <c r="Q918" s="20"/>
    </row>
    <row r="919" spans="1:17" ht="24.9" customHeight="1">
      <c r="A919" s="20">
        <v>362</v>
      </c>
      <c r="B919" s="20" t="s">
        <v>4320</v>
      </c>
      <c r="C919" s="19">
        <v>43</v>
      </c>
      <c r="D919" s="19" t="s">
        <v>9</v>
      </c>
      <c r="E919" s="19" t="str">
        <f>VLOOKUP(D919,'لیست پرسنل'!$B$2:$E$1020,3,FALSE)</f>
        <v>فکورصنعت</v>
      </c>
      <c r="F919" s="19" t="str">
        <f>VLOOKUP(D919,'لیست پرسنل'!$B$2:$E$1020,4,FALSE)</f>
        <v>کنترل پروژه</v>
      </c>
      <c r="G919" s="127">
        <f>VLOOKUP(D919,'لیست پرسنل'!$B$2:$F$1020,2,FALSE)</f>
        <v>5020</v>
      </c>
      <c r="H919" s="151" t="s">
        <v>3381</v>
      </c>
      <c r="I919" s="127" t="s">
        <v>265</v>
      </c>
      <c r="J919" s="128" t="s">
        <v>737</v>
      </c>
      <c r="K919" s="128" t="s">
        <v>292</v>
      </c>
      <c r="L919" s="127" t="s">
        <v>293</v>
      </c>
      <c r="M919" s="127">
        <v>603317</v>
      </c>
      <c r="N919" s="109"/>
      <c r="O919" s="19"/>
      <c r="P919" s="20"/>
      <c r="Q919" s="20"/>
    </row>
    <row r="920" spans="1:17" ht="24.9" customHeight="1">
      <c r="A920" s="20">
        <v>362</v>
      </c>
      <c r="B920" s="20" t="s">
        <v>4320</v>
      </c>
      <c r="C920" s="19">
        <v>43</v>
      </c>
      <c r="D920" s="19" t="s">
        <v>9</v>
      </c>
      <c r="E920" s="19" t="str">
        <f>VLOOKUP(D920,'لیست پرسنل'!$B$2:$E$1020,3,FALSE)</f>
        <v>فکورصنعت</v>
      </c>
      <c r="F920" s="19" t="str">
        <f>VLOOKUP(D920,'لیست پرسنل'!$B$2:$E$1020,4,FALSE)</f>
        <v>کنترل پروژه</v>
      </c>
      <c r="G920" s="127">
        <f>VLOOKUP(D920,'لیست پرسنل'!$B$2:$F$1020,2,FALSE)</f>
        <v>5020</v>
      </c>
      <c r="H920" s="151" t="s">
        <v>3381</v>
      </c>
      <c r="I920" s="127" t="s">
        <v>265</v>
      </c>
      <c r="J920" s="128" t="s">
        <v>737</v>
      </c>
      <c r="K920" s="128" t="s">
        <v>1470</v>
      </c>
      <c r="L920" s="127" t="s">
        <v>1473</v>
      </c>
      <c r="M920" s="127">
        <v>625103</v>
      </c>
      <c r="N920" s="109"/>
      <c r="O920" s="19"/>
      <c r="P920" s="20"/>
      <c r="Q920" s="20"/>
    </row>
    <row r="921" spans="1:17" ht="24.9" customHeight="1">
      <c r="A921" s="20">
        <v>362</v>
      </c>
      <c r="B921" s="20" t="s">
        <v>4320</v>
      </c>
      <c r="C921" s="19">
        <v>43</v>
      </c>
      <c r="D921" s="19" t="s">
        <v>9</v>
      </c>
      <c r="E921" s="19" t="str">
        <f>VLOOKUP(D921,'لیست پرسنل'!$B$2:$E$1020,3,FALSE)</f>
        <v>فکورصنعت</v>
      </c>
      <c r="F921" s="19" t="str">
        <f>VLOOKUP(D921,'لیست پرسنل'!$B$2:$E$1020,4,FALSE)</f>
        <v>کنترل پروژه</v>
      </c>
      <c r="G921" s="127">
        <f>VLOOKUP(D921,'لیست پرسنل'!$B$2:$F$1020,2,FALSE)</f>
        <v>5020</v>
      </c>
      <c r="H921" s="151" t="s">
        <v>3381</v>
      </c>
      <c r="I921" s="127" t="s">
        <v>265</v>
      </c>
      <c r="J921" s="126" t="s">
        <v>368</v>
      </c>
      <c r="K921" s="128" t="s">
        <v>2846</v>
      </c>
      <c r="L921" s="128" t="s">
        <v>2429</v>
      </c>
      <c r="M921" s="128">
        <v>628836</v>
      </c>
      <c r="N921" s="108"/>
      <c r="O921" s="19"/>
      <c r="P921" s="20"/>
      <c r="Q921" s="20"/>
    </row>
    <row r="922" spans="1:17" ht="24.9" customHeight="1">
      <c r="A922" s="20">
        <v>362</v>
      </c>
      <c r="B922" s="20" t="s">
        <v>4320</v>
      </c>
      <c r="C922" s="19">
        <v>43</v>
      </c>
      <c r="D922" s="19" t="s">
        <v>9</v>
      </c>
      <c r="E922" s="19" t="str">
        <f>VLOOKUP(D922,'لیست پرسنل'!$B$2:$E$1020,3,FALSE)</f>
        <v>فکورصنعت</v>
      </c>
      <c r="F922" s="19" t="str">
        <f>VLOOKUP(D922,'لیست پرسنل'!$B$2:$E$1020,4,FALSE)</f>
        <v>کنترل پروژه</v>
      </c>
      <c r="G922" s="127">
        <f>VLOOKUP(D922,'لیست پرسنل'!$B$2:$F$1020,2,FALSE)</f>
        <v>5020</v>
      </c>
      <c r="H922" s="151" t="s">
        <v>3381</v>
      </c>
      <c r="I922" s="127" t="s">
        <v>265</v>
      </c>
      <c r="J922" s="127" t="s">
        <v>571</v>
      </c>
      <c r="K922" s="128" t="s">
        <v>2219</v>
      </c>
      <c r="L922" s="127"/>
      <c r="M922" s="127">
        <v>628606</v>
      </c>
      <c r="N922" s="109"/>
      <c r="O922" s="19"/>
      <c r="P922" s="20"/>
      <c r="Q922" s="20"/>
    </row>
    <row r="923" spans="1:17" ht="24.9" customHeight="1">
      <c r="A923" s="20">
        <v>362</v>
      </c>
      <c r="B923" s="20" t="s">
        <v>4320</v>
      </c>
      <c r="C923" s="19">
        <v>43</v>
      </c>
      <c r="D923" s="19" t="s">
        <v>9</v>
      </c>
      <c r="E923" s="19" t="str">
        <f>VLOOKUP(D923,'لیست پرسنل'!$B$2:$E$1020,3,FALSE)</f>
        <v>فکورصنعت</v>
      </c>
      <c r="F923" s="19" t="str">
        <f>VLOOKUP(D923,'لیست پرسنل'!$B$2:$E$1020,4,FALSE)</f>
        <v>کنترل پروژه</v>
      </c>
      <c r="G923" s="127">
        <f>VLOOKUP(D923,'لیست پرسنل'!$B$2:$F$1020,2,FALSE)</f>
        <v>5020</v>
      </c>
      <c r="H923" s="151" t="s">
        <v>3381</v>
      </c>
      <c r="I923" s="127" t="s">
        <v>265</v>
      </c>
      <c r="J923" s="128" t="s">
        <v>2686</v>
      </c>
      <c r="K923" s="128" t="s">
        <v>289</v>
      </c>
      <c r="L923" s="127" t="s">
        <v>3164</v>
      </c>
      <c r="M923" s="127">
        <v>604768</v>
      </c>
      <c r="N923" s="109"/>
      <c r="O923" s="86"/>
      <c r="P923" s="20"/>
      <c r="Q923" s="20"/>
    </row>
    <row r="924" spans="1:17" ht="24.9" customHeight="1">
      <c r="A924" s="20">
        <v>362</v>
      </c>
      <c r="B924" s="20" t="s">
        <v>4320</v>
      </c>
      <c r="C924" s="19">
        <v>44</v>
      </c>
      <c r="D924" s="19" t="s">
        <v>90</v>
      </c>
      <c r="E924" s="19" t="str">
        <f>VLOOKUP(D924,'لیست پرسنل'!$B$2:$E$1020,3,FALSE)</f>
        <v>فکورصنعت</v>
      </c>
      <c r="F924" s="19" t="str">
        <f>VLOOKUP(D924,'لیست پرسنل'!$B$2:$E$1020,4,FALSE)</f>
        <v>دفتر فنی سیویل</v>
      </c>
      <c r="G924" s="127" t="str">
        <f>VLOOKUP(D924,'لیست پرسنل'!$B$2:$F$1020,2,FALSE)</f>
        <v>660</v>
      </c>
      <c r="H924" s="151" t="s">
        <v>3381</v>
      </c>
      <c r="I924" s="127" t="s">
        <v>266</v>
      </c>
      <c r="J924" s="126" t="s">
        <v>368</v>
      </c>
      <c r="K924" s="128" t="s">
        <v>2846</v>
      </c>
      <c r="L924" s="128" t="s">
        <v>2333</v>
      </c>
      <c r="M924" s="128">
        <v>628739</v>
      </c>
      <c r="N924" s="108"/>
      <c r="O924" s="20"/>
      <c r="P924" s="20"/>
      <c r="Q924" s="20"/>
    </row>
    <row r="925" spans="1:17" ht="24.9" customHeight="1">
      <c r="A925" s="20">
        <v>362</v>
      </c>
      <c r="B925" s="20" t="s">
        <v>4320</v>
      </c>
      <c r="C925" s="19">
        <v>44</v>
      </c>
      <c r="D925" s="19" t="s">
        <v>90</v>
      </c>
      <c r="E925" s="19" t="str">
        <f>VLOOKUP(D925,'لیست پرسنل'!$B$2:$E$1020,3,FALSE)</f>
        <v>فکورصنعت</v>
      </c>
      <c r="F925" s="19" t="str">
        <f>VLOOKUP(D925,'لیست پرسنل'!$B$2:$E$1020,4,FALSE)</f>
        <v>دفتر فنی سیویل</v>
      </c>
      <c r="G925" s="127" t="str">
        <f>VLOOKUP(D925,'لیست پرسنل'!$B$2:$F$1020,2,FALSE)</f>
        <v>660</v>
      </c>
      <c r="H925" s="151" t="s">
        <v>3381</v>
      </c>
      <c r="I925" s="127" t="s">
        <v>266</v>
      </c>
      <c r="J925" s="127" t="s">
        <v>571</v>
      </c>
      <c r="K925" s="128" t="s">
        <v>2219</v>
      </c>
      <c r="L925" s="127"/>
      <c r="M925" s="127">
        <v>624107</v>
      </c>
      <c r="N925" s="109"/>
      <c r="O925" s="20"/>
      <c r="P925" s="20"/>
      <c r="Q925" s="20"/>
    </row>
    <row r="926" spans="1:17" ht="24.9" customHeight="1">
      <c r="A926" s="20">
        <v>362</v>
      </c>
      <c r="B926" s="20" t="s">
        <v>4320</v>
      </c>
      <c r="C926" s="19">
        <v>44</v>
      </c>
      <c r="D926" s="19" t="s">
        <v>90</v>
      </c>
      <c r="E926" s="19" t="str">
        <f>VLOOKUP(D926,'لیست پرسنل'!$B$2:$E$1020,3,FALSE)</f>
        <v>فکورصنعت</v>
      </c>
      <c r="F926" s="19" t="str">
        <f>VLOOKUP(D926,'لیست پرسنل'!$B$2:$E$1020,4,FALSE)</f>
        <v>دفتر فنی سیویل</v>
      </c>
      <c r="G926" s="127" t="str">
        <f>VLOOKUP(D926,'لیست پرسنل'!$B$2:$F$1020,2,FALSE)</f>
        <v>660</v>
      </c>
      <c r="H926" s="151" t="s">
        <v>3381</v>
      </c>
      <c r="I926" s="127" t="s">
        <v>266</v>
      </c>
      <c r="J926" s="128" t="s">
        <v>2686</v>
      </c>
      <c r="K926" s="128" t="s">
        <v>2922</v>
      </c>
      <c r="L926" s="127" t="s">
        <v>2989</v>
      </c>
      <c r="M926" s="127">
        <v>626471</v>
      </c>
      <c r="N926" s="109"/>
      <c r="O926" s="86"/>
      <c r="P926" s="20"/>
      <c r="Q926" s="20"/>
    </row>
    <row r="927" spans="1:17" ht="24.9" customHeight="1">
      <c r="A927" s="20">
        <v>362</v>
      </c>
      <c r="B927" s="20" t="s">
        <v>4320</v>
      </c>
      <c r="C927" s="19">
        <v>45</v>
      </c>
      <c r="D927" s="19" t="s">
        <v>11</v>
      </c>
      <c r="E927" s="19" t="str">
        <f>VLOOKUP(D927,'لیست پرسنل'!$B$2:$E$1020,3,FALSE)</f>
        <v>فکورصنعت</v>
      </c>
      <c r="F927" s="19" t="str">
        <f>VLOOKUP(D927,'لیست پرسنل'!$B$2:$E$1020,4,FALSE)</f>
        <v>سرپرست امور قراردادها</v>
      </c>
      <c r="G927" s="127">
        <f>VLOOKUP(D927,'لیست پرسنل'!$B$2:$F$1020,2,FALSE)</f>
        <v>370</v>
      </c>
      <c r="H927" s="151" t="s">
        <v>3381</v>
      </c>
      <c r="I927" s="127" t="s">
        <v>267</v>
      </c>
      <c r="J927" s="126" t="s">
        <v>368</v>
      </c>
      <c r="K927" s="128" t="s">
        <v>2846</v>
      </c>
      <c r="L927" s="128" t="s">
        <v>2336</v>
      </c>
      <c r="M927" s="128">
        <v>628742</v>
      </c>
      <c r="N927" s="108"/>
      <c r="O927" s="20"/>
      <c r="P927" s="20"/>
      <c r="Q927" s="20"/>
    </row>
    <row r="928" spans="1:17" ht="24.9" customHeight="1">
      <c r="A928" s="20">
        <v>362</v>
      </c>
      <c r="B928" s="20" t="s">
        <v>4320</v>
      </c>
      <c r="C928" s="19">
        <v>45</v>
      </c>
      <c r="D928" s="19" t="s">
        <v>11</v>
      </c>
      <c r="E928" s="19" t="str">
        <f>VLOOKUP(D928,'لیست پرسنل'!$B$2:$E$1020,3,FALSE)</f>
        <v>فکورصنعت</v>
      </c>
      <c r="F928" s="19" t="str">
        <f>VLOOKUP(D928,'لیست پرسنل'!$B$2:$E$1020,4,FALSE)</f>
        <v>سرپرست امور قراردادها</v>
      </c>
      <c r="G928" s="127">
        <f>VLOOKUP(D928,'لیست پرسنل'!$B$2:$F$1020,2,FALSE)</f>
        <v>370</v>
      </c>
      <c r="H928" s="151" t="s">
        <v>3381</v>
      </c>
      <c r="I928" s="127" t="s">
        <v>267</v>
      </c>
      <c r="J928" s="141" t="s">
        <v>571</v>
      </c>
      <c r="K928" s="128" t="s">
        <v>5270</v>
      </c>
      <c r="L928" s="154" t="s">
        <v>2219</v>
      </c>
      <c r="M928" s="131">
        <v>631114</v>
      </c>
      <c r="N928" s="108"/>
      <c r="O928" s="20" t="s">
        <v>705</v>
      </c>
      <c r="P928" s="20"/>
      <c r="Q928" s="20"/>
    </row>
    <row r="929" spans="1:17" ht="24.9" customHeight="1">
      <c r="A929" s="20">
        <v>362</v>
      </c>
      <c r="B929" s="20" t="s">
        <v>4320</v>
      </c>
      <c r="C929" s="19">
        <v>45</v>
      </c>
      <c r="D929" s="19" t="s">
        <v>11</v>
      </c>
      <c r="E929" s="19" t="str">
        <f>VLOOKUP(D929,'لیست پرسنل'!$B$2:$E$1020,3,FALSE)</f>
        <v>فکورصنعت</v>
      </c>
      <c r="F929" s="19" t="str">
        <f>VLOOKUP(D929,'لیست پرسنل'!$B$2:$E$1020,4,FALSE)</f>
        <v>سرپرست امور قراردادها</v>
      </c>
      <c r="G929" s="127">
        <f>VLOOKUP(D929,'لیست پرسنل'!$B$2:$F$1020,2,FALSE)</f>
        <v>370</v>
      </c>
      <c r="H929" s="151" t="s">
        <v>3381</v>
      </c>
      <c r="I929" s="127" t="s">
        <v>267</v>
      </c>
      <c r="J929" s="128" t="s">
        <v>2686</v>
      </c>
      <c r="K929" s="128" t="s">
        <v>2922</v>
      </c>
      <c r="L929" s="158" t="s">
        <v>3035</v>
      </c>
      <c r="M929" s="127">
        <v>626518</v>
      </c>
      <c r="N929" s="109"/>
      <c r="O929" s="86"/>
      <c r="P929" s="20"/>
      <c r="Q929" s="20"/>
    </row>
    <row r="930" spans="1:17" ht="24.9" customHeight="1">
      <c r="A930" s="20">
        <v>362</v>
      </c>
      <c r="B930" s="20" t="s">
        <v>4320</v>
      </c>
      <c r="C930" s="19">
        <v>46</v>
      </c>
      <c r="D930" s="20" t="s">
        <v>5931</v>
      </c>
      <c r="E930" s="19" t="str">
        <f>VLOOKUP(D930,'لیست پرسنل'!$B$2:$E$1020,3,FALSE)</f>
        <v>فکورصنعت</v>
      </c>
      <c r="F930" s="19" t="str">
        <f>VLOOKUP(D930,'لیست پرسنل'!$B$2:$E$1020,4,FALSE)</f>
        <v>آی تی</v>
      </c>
      <c r="G930" s="127" t="str">
        <f>VLOOKUP(D930,'لیست پرسنل'!$B$2:$F$1020,2,FALSE)</f>
        <v>4021104 </v>
      </c>
      <c r="H930" s="126" t="s">
        <v>3381</v>
      </c>
      <c r="I930" s="128" t="s">
        <v>5933</v>
      </c>
      <c r="J930" s="141" t="s">
        <v>571</v>
      </c>
      <c r="K930" s="135" t="s">
        <v>5270</v>
      </c>
      <c r="L930" s="154" t="s">
        <v>2219</v>
      </c>
      <c r="M930" s="131">
        <v>631122</v>
      </c>
      <c r="N930" s="108"/>
      <c r="O930" s="20" t="s">
        <v>705</v>
      </c>
      <c r="P930" s="20"/>
      <c r="Q930" s="20"/>
    </row>
    <row r="931" spans="1:17" ht="24.9" customHeight="1">
      <c r="A931" s="20">
        <v>362</v>
      </c>
      <c r="B931" s="20" t="s">
        <v>4320</v>
      </c>
      <c r="C931" s="19">
        <v>46</v>
      </c>
      <c r="D931" s="20" t="s">
        <v>5931</v>
      </c>
      <c r="E931" s="19" t="str">
        <f>VLOOKUP(D931,'لیست پرسنل'!$B$2:$E$1020,3,FALSE)</f>
        <v>فکورصنعت</v>
      </c>
      <c r="F931" s="19" t="str">
        <f>VLOOKUP(D931,'لیست پرسنل'!$B$2:$E$1020,4,FALSE)</f>
        <v>آی تی</v>
      </c>
      <c r="G931" s="127" t="str">
        <f>VLOOKUP(D931,'لیست پرسنل'!$B$2:$F$1020,2,FALSE)</f>
        <v>4021104 </v>
      </c>
      <c r="H931" s="126" t="s">
        <v>3381</v>
      </c>
      <c r="I931" s="128" t="s">
        <v>5933</v>
      </c>
      <c r="J931" s="128" t="s">
        <v>2686</v>
      </c>
      <c r="K931" s="128" t="s">
        <v>2922</v>
      </c>
      <c r="L931" s="127" t="s">
        <v>3101</v>
      </c>
      <c r="M931" s="128">
        <v>626585</v>
      </c>
      <c r="N931" s="108"/>
      <c r="O931" s="20" t="s">
        <v>705</v>
      </c>
      <c r="P931" s="20"/>
      <c r="Q931" s="20"/>
    </row>
    <row r="932" spans="1:17" ht="24.9" customHeight="1">
      <c r="A932" s="20">
        <v>362</v>
      </c>
      <c r="B932" s="20" t="s">
        <v>4320</v>
      </c>
      <c r="C932" s="19">
        <v>47</v>
      </c>
      <c r="D932" s="19" t="s">
        <v>3695</v>
      </c>
      <c r="E932" s="19" t="str">
        <f>VLOOKUP(D932,'لیست پرسنل'!$B$2:$E$1020,3,FALSE)</f>
        <v>مهرفام</v>
      </c>
      <c r="F932" s="19" t="str">
        <f>VLOOKUP(D932,'لیست پرسنل'!$B$2:$E$1020,4,FALSE)</f>
        <v>کنترل کیفیت</v>
      </c>
      <c r="G932" s="127">
        <f>VLOOKUP(D932,'لیست پرسنل'!$B$2:$F$1020,2,FALSE)</f>
        <v>0</v>
      </c>
      <c r="H932" s="151" t="s">
        <v>3381</v>
      </c>
      <c r="I932" s="127" t="s">
        <v>268</v>
      </c>
      <c r="J932" s="128" t="s">
        <v>737</v>
      </c>
      <c r="K932" s="128" t="s">
        <v>617</v>
      </c>
      <c r="L932" s="127" t="s">
        <v>563</v>
      </c>
      <c r="M932" s="127">
        <v>621190</v>
      </c>
      <c r="N932" s="109"/>
      <c r="O932" s="19"/>
      <c r="P932" s="20"/>
      <c r="Q932" s="20"/>
    </row>
    <row r="933" spans="1:17" ht="24.9" customHeight="1">
      <c r="A933" s="20">
        <v>362</v>
      </c>
      <c r="B933" s="20" t="s">
        <v>4320</v>
      </c>
      <c r="C933" s="19">
        <v>47</v>
      </c>
      <c r="D933" s="19" t="s">
        <v>3695</v>
      </c>
      <c r="E933" s="19" t="str">
        <f>VLOOKUP(D933,'لیست پرسنل'!$B$2:$E$1020,3,FALSE)</f>
        <v>مهرفام</v>
      </c>
      <c r="F933" s="19" t="str">
        <f>VLOOKUP(D933,'لیست پرسنل'!$B$2:$E$1020,4,FALSE)</f>
        <v>کنترل کیفیت</v>
      </c>
      <c r="G933" s="127">
        <f>VLOOKUP(D933,'لیست پرسنل'!$B$2:$F$1020,2,FALSE)</f>
        <v>0</v>
      </c>
      <c r="H933" s="151" t="s">
        <v>3381</v>
      </c>
      <c r="I933" s="127" t="s">
        <v>268</v>
      </c>
      <c r="J933" s="126" t="s">
        <v>368</v>
      </c>
      <c r="K933" s="128" t="s">
        <v>2846</v>
      </c>
      <c r="L933" s="127" t="s">
        <v>2372</v>
      </c>
      <c r="M933" s="128">
        <v>628779</v>
      </c>
      <c r="N933" s="108"/>
      <c r="O933" s="19"/>
      <c r="P933" s="20"/>
      <c r="Q933" s="20"/>
    </row>
    <row r="934" spans="1:17" ht="24.9" customHeight="1">
      <c r="A934" s="20">
        <v>362</v>
      </c>
      <c r="B934" s="20" t="s">
        <v>4320</v>
      </c>
      <c r="C934" s="19">
        <v>47</v>
      </c>
      <c r="D934" s="19" t="s">
        <v>3695</v>
      </c>
      <c r="E934" s="19" t="str">
        <f>VLOOKUP(D934,'لیست پرسنل'!$B$2:$E$1020,3,FALSE)</f>
        <v>مهرفام</v>
      </c>
      <c r="F934" s="19" t="str">
        <f>VLOOKUP(D934,'لیست پرسنل'!$B$2:$E$1020,4,FALSE)</f>
        <v>کنترل کیفیت</v>
      </c>
      <c r="G934" s="127">
        <f>VLOOKUP(D934,'لیست پرسنل'!$B$2:$F$1020,2,FALSE)</f>
        <v>0</v>
      </c>
      <c r="H934" s="151" t="s">
        <v>3381</v>
      </c>
      <c r="I934" s="127" t="s">
        <v>268</v>
      </c>
      <c r="J934" s="127" t="s">
        <v>571</v>
      </c>
      <c r="K934" s="128"/>
      <c r="L934" s="158"/>
      <c r="M934" s="127">
        <v>625455</v>
      </c>
      <c r="N934" s="109"/>
      <c r="O934" s="19"/>
      <c r="P934" s="20"/>
      <c r="Q934" s="20"/>
    </row>
    <row r="935" spans="1:17" ht="24.9" customHeight="1">
      <c r="A935" s="20">
        <v>362</v>
      </c>
      <c r="B935" s="20" t="s">
        <v>4320</v>
      </c>
      <c r="C935" s="19">
        <v>47</v>
      </c>
      <c r="D935" s="19" t="s">
        <v>3695</v>
      </c>
      <c r="E935" s="19" t="str">
        <f>VLOOKUP(D935,'لیست پرسنل'!$B$2:$E$1020,3,FALSE)</f>
        <v>مهرفام</v>
      </c>
      <c r="F935" s="19" t="str">
        <f>VLOOKUP(D935,'لیست پرسنل'!$B$2:$E$1020,4,FALSE)</f>
        <v>کنترل کیفیت</v>
      </c>
      <c r="G935" s="127">
        <f>VLOOKUP(D935,'لیست پرسنل'!$B$2:$F$1020,2,FALSE)</f>
        <v>0</v>
      </c>
      <c r="H935" s="151" t="s">
        <v>3381</v>
      </c>
      <c r="I935" s="127" t="s">
        <v>268</v>
      </c>
      <c r="J935" s="128" t="s">
        <v>2686</v>
      </c>
      <c r="K935" s="128" t="s">
        <v>2922</v>
      </c>
      <c r="L935" s="128" t="s">
        <v>2973</v>
      </c>
      <c r="M935" s="128">
        <v>626454</v>
      </c>
      <c r="N935" s="108"/>
      <c r="O935" s="20" t="s">
        <v>705</v>
      </c>
      <c r="P935" s="20"/>
      <c r="Q935" s="20"/>
    </row>
    <row r="936" spans="1:17" ht="24.9" customHeight="1">
      <c r="A936" s="20">
        <v>362</v>
      </c>
      <c r="B936" s="20" t="s">
        <v>4320</v>
      </c>
      <c r="C936" s="19">
        <v>48</v>
      </c>
      <c r="D936" s="20" t="s">
        <v>550</v>
      </c>
      <c r="E936" s="19" t="str">
        <f>VLOOKUP(D936,'لیست پرسنل'!$B$2:$E$1020,3,FALSE)</f>
        <v>فکورصنعت</v>
      </c>
      <c r="F936" s="19" t="str">
        <f>VLOOKUP(D936,'لیست پرسنل'!$B$2:$E$1020,4,FALSE)</f>
        <v>نظارت سیویل و سازه</v>
      </c>
      <c r="G936" s="127">
        <f>VLOOKUP(D936,'لیست پرسنل'!$B$2:$F$1020,2,FALSE)</f>
        <v>991204</v>
      </c>
      <c r="H936" s="151" t="s">
        <v>3381</v>
      </c>
      <c r="I936" s="127" t="s">
        <v>269</v>
      </c>
      <c r="J936" s="128" t="s">
        <v>737</v>
      </c>
      <c r="K936" s="128" t="s">
        <v>1784</v>
      </c>
      <c r="L936" s="127" t="s">
        <v>947</v>
      </c>
      <c r="M936" s="127" t="s">
        <v>291</v>
      </c>
      <c r="N936" s="109"/>
      <c r="O936" s="19"/>
      <c r="P936" s="20"/>
      <c r="Q936" s="20"/>
    </row>
    <row r="937" spans="1:17" ht="24.9" customHeight="1">
      <c r="A937" s="20">
        <v>362</v>
      </c>
      <c r="B937" s="20" t="s">
        <v>4320</v>
      </c>
      <c r="C937" s="19">
        <v>48</v>
      </c>
      <c r="D937" s="20" t="s">
        <v>550</v>
      </c>
      <c r="E937" s="19" t="str">
        <f>VLOOKUP(D937,'لیست پرسنل'!$B$2:$E$1020,3,FALSE)</f>
        <v>فکورصنعت</v>
      </c>
      <c r="F937" s="19" t="str">
        <f>VLOOKUP(D937,'لیست پرسنل'!$B$2:$E$1020,4,FALSE)</f>
        <v>نظارت سیویل و سازه</v>
      </c>
      <c r="G937" s="127">
        <f>VLOOKUP(D937,'لیست پرسنل'!$B$2:$F$1020,2,FALSE)</f>
        <v>991204</v>
      </c>
      <c r="H937" s="151" t="s">
        <v>3381</v>
      </c>
      <c r="I937" s="127" t="s">
        <v>269</v>
      </c>
      <c r="J937" s="126" t="s">
        <v>368</v>
      </c>
      <c r="K937" s="128" t="s">
        <v>2846</v>
      </c>
      <c r="L937" s="127" t="s">
        <v>2294</v>
      </c>
      <c r="M937" s="127">
        <v>628700</v>
      </c>
      <c r="N937" s="109"/>
      <c r="O937" s="19"/>
      <c r="P937" s="20"/>
      <c r="Q937" s="20"/>
    </row>
    <row r="938" spans="1:17" ht="24.9" customHeight="1">
      <c r="A938" s="20">
        <v>362</v>
      </c>
      <c r="B938" s="20" t="s">
        <v>4320</v>
      </c>
      <c r="C938" s="19">
        <v>48</v>
      </c>
      <c r="D938" s="20" t="s">
        <v>550</v>
      </c>
      <c r="E938" s="19" t="str">
        <f>VLOOKUP(D938,'لیست پرسنل'!$B$2:$E$1020,3,FALSE)</f>
        <v>فکورصنعت</v>
      </c>
      <c r="F938" s="19" t="str">
        <f>VLOOKUP(D938,'لیست پرسنل'!$B$2:$E$1020,4,FALSE)</f>
        <v>نظارت سیویل و سازه</v>
      </c>
      <c r="G938" s="127">
        <f>VLOOKUP(D938,'لیست پرسنل'!$B$2:$F$1020,2,FALSE)</f>
        <v>991204</v>
      </c>
      <c r="H938" s="151" t="s">
        <v>3381</v>
      </c>
      <c r="I938" s="127" t="s">
        <v>269</v>
      </c>
      <c r="J938" s="127" t="s">
        <v>571</v>
      </c>
      <c r="K938" s="128" t="s">
        <v>2219</v>
      </c>
      <c r="L938" s="158"/>
      <c r="M938" s="127">
        <v>628590</v>
      </c>
      <c r="N938" s="109"/>
      <c r="O938" s="19"/>
      <c r="P938" s="20"/>
      <c r="Q938" s="20"/>
    </row>
    <row r="939" spans="1:17" ht="24.9" customHeight="1">
      <c r="A939" s="20">
        <v>362</v>
      </c>
      <c r="B939" s="20" t="s">
        <v>4320</v>
      </c>
      <c r="C939" s="19">
        <v>48</v>
      </c>
      <c r="D939" s="20" t="s">
        <v>550</v>
      </c>
      <c r="E939" s="19" t="str">
        <f>VLOOKUP(D939,'لیست پرسنل'!$B$2:$E$1020,3,FALSE)</f>
        <v>فکورصنعت</v>
      </c>
      <c r="F939" s="19" t="str">
        <f>VLOOKUP(D939,'لیست پرسنل'!$B$2:$E$1020,4,FALSE)</f>
        <v>نظارت سیویل و سازه</v>
      </c>
      <c r="G939" s="127">
        <f>VLOOKUP(D939,'لیست پرسنل'!$B$2:$F$1020,2,FALSE)</f>
        <v>991204</v>
      </c>
      <c r="H939" s="151" t="s">
        <v>3381</v>
      </c>
      <c r="I939" s="127" t="s">
        <v>269</v>
      </c>
      <c r="J939" s="128" t="s">
        <v>2686</v>
      </c>
      <c r="K939" s="128" t="s">
        <v>2922</v>
      </c>
      <c r="L939" s="127" t="s">
        <v>3002</v>
      </c>
      <c r="M939" s="128">
        <v>626484</v>
      </c>
      <c r="N939" s="108"/>
      <c r="O939" s="20" t="s">
        <v>705</v>
      </c>
      <c r="P939" s="20"/>
      <c r="Q939" s="20"/>
    </row>
    <row r="940" spans="1:17" ht="24.9" customHeight="1">
      <c r="A940" s="20">
        <v>362</v>
      </c>
      <c r="B940" s="20" t="s">
        <v>4320</v>
      </c>
      <c r="C940" s="19">
        <v>49</v>
      </c>
      <c r="D940" s="19" t="s">
        <v>5136</v>
      </c>
      <c r="E940" s="19" t="str">
        <f>VLOOKUP(D940,'لیست پرسنل'!$B$2:$E$1020,3,FALSE)</f>
        <v>مهرفام</v>
      </c>
      <c r="F940" s="19" t="str">
        <f>VLOOKUP(D940,'لیست پرسنل'!$B$2:$E$1020,4,FALSE)</f>
        <v>کنترل کیفیت</v>
      </c>
      <c r="G940" s="127" t="str">
        <f>VLOOKUP(D940,'لیست پرسنل'!$B$2:$F$1020,2,FALSE)</f>
        <v>100608</v>
      </c>
      <c r="H940" s="151" t="s">
        <v>3381</v>
      </c>
      <c r="I940" s="127" t="s">
        <v>270</v>
      </c>
      <c r="J940" s="141" t="s">
        <v>571</v>
      </c>
      <c r="K940" s="128" t="s">
        <v>1951</v>
      </c>
      <c r="L940" s="165" t="s">
        <v>2219</v>
      </c>
      <c r="M940" s="128">
        <v>629702</v>
      </c>
      <c r="N940" s="108"/>
      <c r="O940" s="20" t="s">
        <v>705</v>
      </c>
      <c r="P940" s="20"/>
      <c r="Q940" s="20"/>
    </row>
    <row r="941" spans="1:17" ht="24.9" customHeight="1">
      <c r="A941" s="20">
        <v>362</v>
      </c>
      <c r="B941" s="20" t="s">
        <v>4320</v>
      </c>
      <c r="C941" s="20">
        <v>49</v>
      </c>
      <c r="D941" s="20" t="s">
        <v>5136</v>
      </c>
      <c r="E941" s="19" t="str">
        <f>VLOOKUP(D941,'لیست پرسنل'!$B$2:$E$1020,3,FALSE)</f>
        <v>مهرفام</v>
      </c>
      <c r="F941" s="19" t="str">
        <f>VLOOKUP(D941,'لیست پرسنل'!$B$2:$E$1020,4,FALSE)</f>
        <v>کنترل کیفیت</v>
      </c>
      <c r="G941" s="127" t="str">
        <f>VLOOKUP(D941,'لیست پرسنل'!$B$2:$F$1020,2,FALSE)</f>
        <v>100608</v>
      </c>
      <c r="H941" s="151" t="s">
        <v>3381</v>
      </c>
      <c r="I941" s="127" t="s">
        <v>270</v>
      </c>
      <c r="J941" s="128" t="s">
        <v>2686</v>
      </c>
      <c r="K941" s="128" t="s">
        <v>2922</v>
      </c>
      <c r="L941" s="154" t="s">
        <v>3010</v>
      </c>
      <c r="M941" s="135">
        <v>626493</v>
      </c>
      <c r="N941" s="114"/>
      <c r="O941" s="19"/>
      <c r="P941" s="20"/>
      <c r="Q941" s="20"/>
    </row>
    <row r="942" spans="1:17" ht="24.9" customHeight="1">
      <c r="A942" s="185">
        <v>362</v>
      </c>
      <c r="B942" s="185" t="s">
        <v>4320</v>
      </c>
      <c r="C942" s="186">
        <v>49</v>
      </c>
      <c r="D942" s="208" t="s">
        <v>5136</v>
      </c>
      <c r="E942" s="186" t="str">
        <f>VLOOKUP(D942,'لیست پرسنل'!$B$2:$E$1020,3,FALSE)</f>
        <v>مهرفام</v>
      </c>
      <c r="F942" s="186" t="str">
        <f>VLOOKUP(D942,'لیست پرسنل'!$B$2:$E$1020,4,FALSE)</f>
        <v>کنترل کیفیت</v>
      </c>
      <c r="G942" s="187" t="str">
        <f>VLOOKUP(D942,'لیست پرسنل'!$B$2:$F$1020,2,FALSE)</f>
        <v>100608</v>
      </c>
      <c r="H942" s="187" t="s">
        <v>8337</v>
      </c>
      <c r="I942" s="190"/>
      <c r="J942" s="195" t="s">
        <v>368</v>
      </c>
      <c r="K942" s="188" t="s">
        <v>2846</v>
      </c>
      <c r="L942" s="188" t="s">
        <v>2400</v>
      </c>
      <c r="M942" s="194">
        <v>628807</v>
      </c>
      <c r="N942" s="198" t="s">
        <v>326</v>
      </c>
      <c r="O942" s="185"/>
      <c r="P942" s="185"/>
      <c r="Q942" s="185"/>
    </row>
    <row r="943" spans="1:17" ht="24.9" customHeight="1">
      <c r="A943" s="20">
        <v>362</v>
      </c>
      <c r="B943" s="20" t="s">
        <v>4320</v>
      </c>
      <c r="C943" s="19">
        <v>50</v>
      </c>
      <c r="D943" s="19" t="s">
        <v>322</v>
      </c>
      <c r="E943" s="19" t="str">
        <f>VLOOKUP(D943,'لیست پرسنل'!$B$2:$E$1020,3,FALSE)</f>
        <v>فکورصنعت</v>
      </c>
      <c r="F943" s="19" t="str">
        <f>VLOOKUP(D943,'لیست پرسنل'!$B$2:$E$1020,4,FALSE)</f>
        <v>رئیس دفتر فنی</v>
      </c>
      <c r="G943" s="127">
        <f>VLOOKUP(D943,'لیست پرسنل'!$B$2:$F$1020,2,FALSE)</f>
        <v>990601</v>
      </c>
      <c r="H943" s="151" t="s">
        <v>3381</v>
      </c>
      <c r="I943" s="127" t="s">
        <v>271</v>
      </c>
      <c r="J943" s="128" t="s">
        <v>737</v>
      </c>
      <c r="K943" s="128" t="s">
        <v>2177</v>
      </c>
      <c r="L943" s="127" t="s">
        <v>2223</v>
      </c>
      <c r="M943" s="127">
        <v>628672</v>
      </c>
      <c r="N943" s="109"/>
      <c r="O943" s="20"/>
      <c r="P943" s="20"/>
      <c r="Q943" s="66"/>
    </row>
    <row r="944" spans="1:17" ht="24.9" customHeight="1">
      <c r="A944" s="20">
        <v>362</v>
      </c>
      <c r="B944" s="20" t="s">
        <v>4320</v>
      </c>
      <c r="C944" s="19">
        <v>50</v>
      </c>
      <c r="D944" s="19" t="s">
        <v>322</v>
      </c>
      <c r="E944" s="19" t="str">
        <f>VLOOKUP(D944,'لیست پرسنل'!$B$2:$E$1020,3,FALSE)</f>
        <v>فکورصنعت</v>
      </c>
      <c r="F944" s="19" t="str">
        <f>VLOOKUP(D944,'لیست پرسنل'!$B$2:$E$1020,4,FALSE)</f>
        <v>رئیس دفتر فنی</v>
      </c>
      <c r="G944" s="127">
        <f>VLOOKUP(D944,'لیست پرسنل'!$B$2:$F$1020,2,FALSE)</f>
        <v>990601</v>
      </c>
      <c r="H944" s="151" t="s">
        <v>3381</v>
      </c>
      <c r="I944" s="127" t="s">
        <v>271</v>
      </c>
      <c r="J944" s="128" t="s">
        <v>737</v>
      </c>
      <c r="K944" s="127" t="s">
        <v>2178</v>
      </c>
      <c r="L944" s="127" t="s">
        <v>7230</v>
      </c>
      <c r="M944" s="131">
        <v>628673</v>
      </c>
      <c r="N944" s="108"/>
      <c r="O944" s="20" t="s">
        <v>705</v>
      </c>
      <c r="P944" s="20"/>
      <c r="Q944" s="66"/>
    </row>
    <row r="945" spans="1:17" ht="24.9" customHeight="1">
      <c r="A945" s="20">
        <v>362</v>
      </c>
      <c r="B945" s="20" t="s">
        <v>4320</v>
      </c>
      <c r="C945" s="19">
        <v>50</v>
      </c>
      <c r="D945" s="19" t="s">
        <v>322</v>
      </c>
      <c r="E945" s="19" t="str">
        <f>VLOOKUP(D945,'لیست پرسنل'!$B$2:$E$1020,3,FALSE)</f>
        <v>فکورصنعت</v>
      </c>
      <c r="F945" s="19" t="str">
        <f>VLOOKUP(D945,'لیست پرسنل'!$B$2:$E$1020,4,FALSE)</f>
        <v>رئیس دفتر فنی</v>
      </c>
      <c r="G945" s="127">
        <f>VLOOKUP(D945,'لیست پرسنل'!$B$2:$F$1020,2,FALSE)</f>
        <v>990601</v>
      </c>
      <c r="H945" s="151" t="s">
        <v>3381</v>
      </c>
      <c r="I945" s="127" t="s">
        <v>271</v>
      </c>
      <c r="J945" s="126" t="s">
        <v>368</v>
      </c>
      <c r="K945" s="128" t="s">
        <v>2846</v>
      </c>
      <c r="L945" s="128" t="s">
        <v>2402</v>
      </c>
      <c r="M945" s="128">
        <v>628809</v>
      </c>
      <c r="N945" s="108"/>
      <c r="O945" s="20"/>
      <c r="P945" s="20"/>
      <c r="Q945" s="66"/>
    </row>
    <row r="946" spans="1:17" ht="24.9" customHeight="1">
      <c r="A946" s="20">
        <v>362</v>
      </c>
      <c r="B946" s="20" t="s">
        <v>4320</v>
      </c>
      <c r="C946" s="19">
        <v>50</v>
      </c>
      <c r="D946" s="19" t="s">
        <v>322</v>
      </c>
      <c r="E946" s="19" t="str">
        <f>VLOOKUP(D946,'لیست پرسنل'!$B$2:$E$1020,3,FALSE)</f>
        <v>فکورصنعت</v>
      </c>
      <c r="F946" s="19" t="str">
        <f>VLOOKUP(D946,'لیست پرسنل'!$B$2:$E$1020,4,FALSE)</f>
        <v>رئیس دفتر فنی</v>
      </c>
      <c r="G946" s="127">
        <f>VLOOKUP(D946,'لیست پرسنل'!$B$2:$F$1020,2,FALSE)</f>
        <v>990601</v>
      </c>
      <c r="H946" s="151" t="s">
        <v>3381</v>
      </c>
      <c r="I946" s="127" t="s">
        <v>271</v>
      </c>
      <c r="J946" s="127" t="s">
        <v>571</v>
      </c>
      <c r="K946" s="128" t="s">
        <v>2219</v>
      </c>
      <c r="L946" s="127"/>
      <c r="M946" s="127">
        <v>625441</v>
      </c>
      <c r="N946" s="109"/>
      <c r="O946" s="20"/>
      <c r="P946" s="20"/>
      <c r="Q946" s="20"/>
    </row>
    <row r="947" spans="1:17" ht="24.9" customHeight="1">
      <c r="A947" s="20">
        <v>362</v>
      </c>
      <c r="B947" s="20" t="s">
        <v>4320</v>
      </c>
      <c r="C947" s="19">
        <v>50</v>
      </c>
      <c r="D947" s="19" t="s">
        <v>322</v>
      </c>
      <c r="E947" s="19" t="str">
        <f>VLOOKUP(D947,'لیست پرسنل'!$B$2:$E$1020,3,FALSE)</f>
        <v>فکورصنعت</v>
      </c>
      <c r="F947" s="19" t="str">
        <f>VLOOKUP(D947,'لیست پرسنل'!$B$2:$E$1020,4,FALSE)</f>
        <v>رئیس دفتر فنی</v>
      </c>
      <c r="G947" s="127">
        <f>VLOOKUP(D947,'لیست پرسنل'!$B$2:$F$1020,2,FALSE)</f>
        <v>990601</v>
      </c>
      <c r="H947" s="151" t="s">
        <v>3381</v>
      </c>
      <c r="I947" s="127" t="s">
        <v>271</v>
      </c>
      <c r="J947" s="128" t="s">
        <v>2686</v>
      </c>
      <c r="K947" s="128" t="s">
        <v>2922</v>
      </c>
      <c r="L947" s="127" t="s">
        <v>3017</v>
      </c>
      <c r="M947" s="127">
        <v>626500</v>
      </c>
      <c r="N947" s="109"/>
      <c r="O947" s="86"/>
      <c r="P947" s="20"/>
      <c r="Q947" s="20"/>
    </row>
    <row r="948" spans="1:17" ht="24.9" customHeight="1">
      <c r="A948" s="20">
        <v>362</v>
      </c>
      <c r="B948" s="20" t="s">
        <v>4320</v>
      </c>
      <c r="C948" s="20">
        <v>51</v>
      </c>
      <c r="D948" s="19" t="s">
        <v>7940</v>
      </c>
      <c r="E948" s="19" t="str">
        <f>VLOOKUP(D948,'لیست پرسنل'!$B$2:$E$1020,3,FALSE)</f>
        <v>مهرفام</v>
      </c>
      <c r="F948" s="19" t="str">
        <f>VLOOKUP(D948,'لیست پرسنل'!$B$2:$E$1020,4,FALSE)</f>
        <v>دفتر فنی پایپینگ</v>
      </c>
      <c r="G948" s="127">
        <f>VLOOKUP(D948,'لیست پرسنل'!$B$2:$F$1020,2,FALSE)</f>
        <v>10666</v>
      </c>
      <c r="H948" s="126" t="s">
        <v>3381</v>
      </c>
      <c r="I948" s="128" t="s">
        <v>272</v>
      </c>
      <c r="J948" s="127" t="s">
        <v>571</v>
      </c>
      <c r="K948" s="128" t="s">
        <v>2219</v>
      </c>
      <c r="L948" s="127"/>
      <c r="M948" s="127">
        <v>624103</v>
      </c>
      <c r="N948" s="109" t="s">
        <v>326</v>
      </c>
      <c r="O948" s="20"/>
      <c r="P948" s="20"/>
      <c r="Q948" s="66"/>
    </row>
    <row r="949" spans="1:17" ht="24.9" customHeight="1">
      <c r="A949" s="20">
        <v>362</v>
      </c>
      <c r="B949" s="20" t="s">
        <v>4320</v>
      </c>
      <c r="C949" s="20">
        <v>51</v>
      </c>
      <c r="D949" s="19" t="s">
        <v>7940</v>
      </c>
      <c r="E949" s="19" t="str">
        <f>VLOOKUP(D949,'لیست پرسنل'!$B$2:$E$1020,3,FALSE)</f>
        <v>مهرفام</v>
      </c>
      <c r="F949" s="19" t="str">
        <f>VLOOKUP(D949,'لیست پرسنل'!$B$2:$E$1020,4,FALSE)</f>
        <v>دفتر فنی پایپینگ</v>
      </c>
      <c r="G949" s="127">
        <f>VLOOKUP(D949,'لیست پرسنل'!$B$2:$F$1020,2,FALSE)</f>
        <v>10666</v>
      </c>
      <c r="H949" s="126" t="s">
        <v>3381</v>
      </c>
      <c r="I949" s="128" t="s">
        <v>272</v>
      </c>
      <c r="J949" s="128" t="s">
        <v>2686</v>
      </c>
      <c r="K949" s="128" t="s">
        <v>2922</v>
      </c>
      <c r="L949" s="151" t="s">
        <v>3049</v>
      </c>
      <c r="M949" s="127">
        <v>626533</v>
      </c>
      <c r="N949" s="109" t="s">
        <v>326</v>
      </c>
      <c r="O949" s="86"/>
      <c r="P949" s="20"/>
      <c r="Q949" s="20"/>
    </row>
    <row r="950" spans="1:17" ht="24.9" customHeight="1">
      <c r="A950" s="20">
        <v>362</v>
      </c>
      <c r="B950" s="20" t="s">
        <v>4320</v>
      </c>
      <c r="C950" s="19">
        <v>52</v>
      </c>
      <c r="D950" s="19" t="s">
        <v>1756</v>
      </c>
      <c r="E950" s="19" t="str">
        <f>VLOOKUP(D950,'لیست پرسنل'!$B$2:$E$1020,3,FALSE)</f>
        <v>مهرفام</v>
      </c>
      <c r="F950" s="19" t="str">
        <f>VLOOKUP(D950,'لیست پرسنل'!$B$2:$E$1020,4,FALSE)</f>
        <v>کنترل کیفیت</v>
      </c>
      <c r="G950" s="127">
        <f>VLOOKUP(D950,'لیست پرسنل'!$B$2:$F$1020,2,FALSE)</f>
        <v>100532</v>
      </c>
      <c r="H950" s="151" t="s">
        <v>3381</v>
      </c>
      <c r="I950" s="127" t="s">
        <v>273</v>
      </c>
      <c r="J950" s="141" t="s">
        <v>571</v>
      </c>
      <c r="K950" s="128" t="s">
        <v>1951</v>
      </c>
      <c r="L950" s="165" t="s">
        <v>2219</v>
      </c>
      <c r="M950" s="128">
        <v>629706</v>
      </c>
      <c r="N950" s="108"/>
      <c r="O950" s="20" t="s">
        <v>705</v>
      </c>
      <c r="P950" s="20"/>
      <c r="Q950" s="20"/>
    </row>
    <row r="951" spans="1:17" ht="24.9" customHeight="1">
      <c r="A951" s="20">
        <v>362</v>
      </c>
      <c r="B951" s="20" t="s">
        <v>4320</v>
      </c>
      <c r="C951" s="19">
        <v>52</v>
      </c>
      <c r="D951" s="19" t="s">
        <v>1756</v>
      </c>
      <c r="E951" s="19" t="str">
        <f>VLOOKUP(D951,'لیست پرسنل'!$B$2:$E$1020,3,FALSE)</f>
        <v>مهرفام</v>
      </c>
      <c r="F951" s="19" t="str">
        <f>VLOOKUP(D951,'لیست پرسنل'!$B$2:$E$1020,4,FALSE)</f>
        <v>کنترل کیفیت</v>
      </c>
      <c r="G951" s="127">
        <f>VLOOKUP(D951,'لیست پرسنل'!$B$2:$F$1020,2,FALSE)</f>
        <v>100532</v>
      </c>
      <c r="H951" s="151" t="s">
        <v>3381</v>
      </c>
      <c r="I951" s="127" t="s">
        <v>273</v>
      </c>
      <c r="J951" s="128" t="s">
        <v>2686</v>
      </c>
      <c r="K951" s="128" t="s">
        <v>320</v>
      </c>
      <c r="L951" s="150" t="s">
        <v>1407</v>
      </c>
      <c r="M951" s="128">
        <v>608000</v>
      </c>
      <c r="N951" s="108"/>
      <c r="O951" s="20"/>
      <c r="P951" s="20"/>
      <c r="Q951" s="20"/>
    </row>
    <row r="952" spans="1:17" ht="24.9" customHeight="1">
      <c r="A952" s="20">
        <v>362</v>
      </c>
      <c r="B952" s="20" t="s">
        <v>4320</v>
      </c>
      <c r="C952" s="19">
        <v>53</v>
      </c>
      <c r="D952" s="19" t="s">
        <v>7342</v>
      </c>
      <c r="E952" s="19" t="str">
        <f>VLOOKUP(D952,'لیست پرسنل'!$B$2:$E$1020,3,FALSE)</f>
        <v>کاربین طرح</v>
      </c>
      <c r="F952" s="19" t="str">
        <f>VLOOKUP(D952,'لیست پرسنل'!$B$2:$E$1020,4,FALSE)</f>
        <v>ایمنی</v>
      </c>
      <c r="G952" s="127">
        <f>VLOOKUP(D952,'لیست پرسنل'!$B$2:$F$1020,2,FALSE)</f>
        <v>0</v>
      </c>
      <c r="H952" s="151" t="s">
        <v>3381</v>
      </c>
      <c r="I952" s="127" t="s">
        <v>274</v>
      </c>
      <c r="J952" s="126" t="s">
        <v>368</v>
      </c>
      <c r="K952" s="128" t="s">
        <v>2846</v>
      </c>
      <c r="L952" s="128" t="s">
        <v>2480</v>
      </c>
      <c r="M952" s="128">
        <v>628892</v>
      </c>
      <c r="N952" s="108"/>
      <c r="O952" s="20"/>
      <c r="P952" s="20"/>
      <c r="Q952" s="66"/>
    </row>
    <row r="953" spans="1:17" ht="24.9" customHeight="1">
      <c r="A953" s="20">
        <v>362</v>
      </c>
      <c r="B953" s="20" t="s">
        <v>4320</v>
      </c>
      <c r="C953" s="19">
        <v>53</v>
      </c>
      <c r="D953" s="19" t="s">
        <v>7342</v>
      </c>
      <c r="E953" s="19" t="str">
        <f>VLOOKUP(D953,'لیست پرسنل'!$B$2:$E$1020,3,FALSE)</f>
        <v>کاربین طرح</v>
      </c>
      <c r="F953" s="19" t="str">
        <f>VLOOKUP(D953,'لیست پرسنل'!$B$2:$E$1020,4,FALSE)</f>
        <v>ایمنی</v>
      </c>
      <c r="G953" s="127">
        <f>VLOOKUP(D953,'لیست پرسنل'!$B$2:$F$1020,2,FALSE)</f>
        <v>0</v>
      </c>
      <c r="H953" s="151" t="s">
        <v>3381</v>
      </c>
      <c r="I953" s="127" t="s">
        <v>274</v>
      </c>
      <c r="J953" s="127" t="s">
        <v>571</v>
      </c>
      <c r="K953" s="128" t="s">
        <v>2219</v>
      </c>
      <c r="L953" s="151"/>
      <c r="M953" s="127">
        <v>624622</v>
      </c>
      <c r="N953" s="109"/>
      <c r="O953" s="20"/>
      <c r="P953" s="20"/>
      <c r="Q953" s="20"/>
    </row>
    <row r="954" spans="1:17" ht="24.9" customHeight="1">
      <c r="A954" s="20">
        <v>362</v>
      </c>
      <c r="B954" s="20" t="s">
        <v>4320</v>
      </c>
      <c r="C954" s="19">
        <v>53</v>
      </c>
      <c r="D954" s="19" t="s">
        <v>7342</v>
      </c>
      <c r="E954" s="19" t="str">
        <f>VLOOKUP(D954,'لیست پرسنل'!$B$2:$E$1020,3,FALSE)</f>
        <v>کاربین طرح</v>
      </c>
      <c r="F954" s="19" t="str">
        <f>VLOOKUP(D954,'لیست پرسنل'!$B$2:$E$1020,4,FALSE)</f>
        <v>ایمنی</v>
      </c>
      <c r="G954" s="127">
        <f>VLOOKUP(D954,'لیست پرسنل'!$B$2:$F$1020,2,FALSE)</f>
        <v>0</v>
      </c>
      <c r="H954" s="151" t="s">
        <v>3381</v>
      </c>
      <c r="I954" s="127" t="s">
        <v>274</v>
      </c>
      <c r="J954" s="128" t="s">
        <v>2686</v>
      </c>
      <c r="K954" s="128" t="s">
        <v>890</v>
      </c>
      <c r="L954" s="126" t="s">
        <v>538</v>
      </c>
      <c r="M954" s="126">
        <v>609087</v>
      </c>
      <c r="N954" s="115"/>
      <c r="O954" s="86"/>
      <c r="P954" s="20"/>
      <c r="Q954" s="66"/>
    </row>
    <row r="955" spans="1:17" ht="24.9" customHeight="1">
      <c r="A955" s="20">
        <v>362</v>
      </c>
      <c r="B955" s="20" t="s">
        <v>4320</v>
      </c>
      <c r="C955" s="20">
        <v>54</v>
      </c>
      <c r="D955" s="20" t="s">
        <v>3422</v>
      </c>
      <c r="E955" s="19" t="str">
        <f>VLOOKUP(D955,'لیست پرسنل'!$B$2:$E$1020,3,FALSE)</f>
        <v>مهرفام</v>
      </c>
      <c r="F955" s="19" t="str">
        <f>VLOOKUP(D955,'لیست پرسنل'!$B$2:$E$1020,4,FALSE)</f>
        <v>برق</v>
      </c>
      <c r="G955" s="127">
        <f>VLOOKUP(D955,'لیست پرسنل'!$B$2:$F$1020,2,FALSE)</f>
        <v>100527</v>
      </c>
      <c r="H955" s="151" t="s">
        <v>8099</v>
      </c>
      <c r="I955" s="127" t="s">
        <v>8100</v>
      </c>
      <c r="J955" s="126" t="s">
        <v>368</v>
      </c>
      <c r="K955" s="135" t="s">
        <v>8248</v>
      </c>
      <c r="L955" s="127" t="s">
        <v>2507</v>
      </c>
      <c r="M955" s="128">
        <v>628919</v>
      </c>
      <c r="N955" s="108" t="s">
        <v>326</v>
      </c>
      <c r="O955" s="20" t="s">
        <v>705</v>
      </c>
      <c r="P955" s="20"/>
      <c r="Q955" s="20"/>
    </row>
    <row r="956" spans="1:17" ht="24.9" customHeight="1">
      <c r="A956" s="20">
        <v>362</v>
      </c>
      <c r="B956" s="20" t="s">
        <v>4320</v>
      </c>
      <c r="C956" s="19">
        <v>54</v>
      </c>
      <c r="D956" s="20" t="s">
        <v>3422</v>
      </c>
      <c r="E956" s="19" t="str">
        <f>VLOOKUP(D956,'لیست پرسنل'!$B$2:$E$1020,3,FALSE)</f>
        <v>مهرفام</v>
      </c>
      <c r="F956" s="19" t="str">
        <f>VLOOKUP(D956,'لیست پرسنل'!$B$2:$E$1020,4,FALSE)</f>
        <v>برق</v>
      </c>
      <c r="G956" s="127">
        <f>VLOOKUP(D956,'لیست پرسنل'!$B$2:$F$1020,2,FALSE)</f>
        <v>100527</v>
      </c>
      <c r="H956" s="151" t="s">
        <v>8099</v>
      </c>
      <c r="I956" s="127" t="s">
        <v>8100</v>
      </c>
      <c r="J956" s="127" t="s">
        <v>571</v>
      </c>
      <c r="K956" s="127"/>
      <c r="L956" s="165" t="s">
        <v>2219</v>
      </c>
      <c r="M956" s="127">
        <v>624581</v>
      </c>
      <c r="N956" s="109" t="s">
        <v>326</v>
      </c>
      <c r="O956" s="86"/>
      <c r="P956" s="20"/>
      <c r="Q956" s="20"/>
    </row>
    <row r="957" spans="1:17" ht="24.9" customHeight="1">
      <c r="A957" s="20">
        <v>362</v>
      </c>
      <c r="B957" s="20" t="s">
        <v>4320</v>
      </c>
      <c r="C957" s="20">
        <v>54</v>
      </c>
      <c r="D957" s="20" t="s">
        <v>3422</v>
      </c>
      <c r="E957" s="19" t="str">
        <f>VLOOKUP(D957,'لیست پرسنل'!$B$2:$E$1020,3,FALSE)</f>
        <v>مهرفام</v>
      </c>
      <c r="F957" s="19" t="str">
        <f>VLOOKUP(D957,'لیست پرسنل'!$B$2:$E$1020,4,FALSE)</f>
        <v>برق</v>
      </c>
      <c r="G957" s="127">
        <f>VLOOKUP(D957,'لیست پرسنل'!$B$2:$F$1020,2,FALSE)</f>
        <v>100527</v>
      </c>
      <c r="H957" s="151" t="s">
        <v>8099</v>
      </c>
      <c r="I957" s="127" t="s">
        <v>8100</v>
      </c>
      <c r="J957" s="128" t="s">
        <v>2686</v>
      </c>
      <c r="K957" s="128" t="s">
        <v>2922</v>
      </c>
      <c r="L957" s="127" t="s">
        <v>2992</v>
      </c>
      <c r="M957" s="128">
        <v>626474</v>
      </c>
      <c r="N957" s="108" t="s">
        <v>326</v>
      </c>
      <c r="O957" s="20" t="s">
        <v>705</v>
      </c>
      <c r="P957" s="20"/>
      <c r="Q957" s="20"/>
    </row>
    <row r="958" spans="1:17" ht="24.9" customHeight="1">
      <c r="A958" s="20">
        <v>362</v>
      </c>
      <c r="B958" s="20" t="s">
        <v>4320</v>
      </c>
      <c r="C958" s="19">
        <v>55</v>
      </c>
      <c r="D958" s="19" t="s">
        <v>3392</v>
      </c>
      <c r="E958" s="19" t="str">
        <f>VLOOKUP(D958,'لیست پرسنل'!$B$2:$E$1020,3,FALSE)</f>
        <v>گهر کوشان سپهر</v>
      </c>
      <c r="F958" s="19" t="str">
        <f>VLOOKUP(D958,'لیست پرسنل'!$B$2:$E$1020,4,FALSE)</f>
        <v>کنترل کیفیت</v>
      </c>
      <c r="G958" s="127" t="str">
        <f>VLOOKUP(D958,'لیست پرسنل'!$B$2:$F$1020,2,FALSE)</f>
        <v>20255</v>
      </c>
      <c r="H958" s="151" t="s">
        <v>3381</v>
      </c>
      <c r="I958" s="127" t="s">
        <v>275</v>
      </c>
      <c r="J958" s="126" t="s">
        <v>368</v>
      </c>
      <c r="K958" s="128" t="s">
        <v>2846</v>
      </c>
      <c r="L958" s="128" t="s">
        <v>2395</v>
      </c>
      <c r="M958" s="128">
        <v>628802</v>
      </c>
      <c r="N958" s="108"/>
      <c r="O958" s="20"/>
      <c r="P958" s="20"/>
      <c r="Q958" s="20"/>
    </row>
    <row r="959" spans="1:17" ht="24.9" customHeight="1">
      <c r="A959" s="20">
        <v>362</v>
      </c>
      <c r="B959" s="20" t="s">
        <v>4320</v>
      </c>
      <c r="C959" s="19">
        <v>55</v>
      </c>
      <c r="D959" s="19" t="s">
        <v>3392</v>
      </c>
      <c r="E959" s="19" t="str">
        <f>VLOOKUP(D959,'لیست پرسنل'!$B$2:$E$1020,3,FALSE)</f>
        <v>گهر کوشان سپهر</v>
      </c>
      <c r="F959" s="19" t="str">
        <f>VLOOKUP(D959,'لیست پرسنل'!$B$2:$E$1020,4,FALSE)</f>
        <v>کنترل کیفیت</v>
      </c>
      <c r="G959" s="127" t="str">
        <f>VLOOKUP(D959,'لیست پرسنل'!$B$2:$F$1020,2,FALSE)</f>
        <v>20255</v>
      </c>
      <c r="H959" s="151" t="s">
        <v>3381</v>
      </c>
      <c r="I959" s="127" t="s">
        <v>275</v>
      </c>
      <c r="J959" s="128" t="s">
        <v>885</v>
      </c>
      <c r="K959" s="128" t="s">
        <v>7881</v>
      </c>
      <c r="L959" s="151" t="s">
        <v>7883</v>
      </c>
      <c r="M959" s="128">
        <v>636487</v>
      </c>
      <c r="N959" s="108" t="s">
        <v>2816</v>
      </c>
      <c r="O959" s="20" t="s">
        <v>7882</v>
      </c>
      <c r="P959" s="20"/>
      <c r="Q959" s="20"/>
    </row>
    <row r="960" spans="1:17" ht="24.9" customHeight="1">
      <c r="A960" s="20">
        <v>362</v>
      </c>
      <c r="B960" s="20" t="s">
        <v>4320</v>
      </c>
      <c r="C960" s="19">
        <v>55</v>
      </c>
      <c r="D960" s="19" t="s">
        <v>3392</v>
      </c>
      <c r="E960" s="19" t="str">
        <f>VLOOKUP(D960,'لیست پرسنل'!$B$2:$E$1020,3,FALSE)</f>
        <v>گهر کوشان سپهر</v>
      </c>
      <c r="F960" s="19" t="str">
        <f>VLOOKUP(D960,'لیست پرسنل'!$B$2:$E$1020,4,FALSE)</f>
        <v>کنترل کیفیت</v>
      </c>
      <c r="G960" s="127" t="str">
        <f>VLOOKUP(D960,'لیست پرسنل'!$B$2:$F$1020,2,FALSE)</f>
        <v>20255</v>
      </c>
      <c r="H960" s="151" t="s">
        <v>3381</v>
      </c>
      <c r="I960" s="127" t="s">
        <v>275</v>
      </c>
      <c r="J960" s="127" t="s">
        <v>571</v>
      </c>
      <c r="K960" s="128"/>
      <c r="L960" s="151"/>
      <c r="M960" s="127">
        <v>625434</v>
      </c>
      <c r="N960" s="109"/>
      <c r="O960" s="20"/>
      <c r="P960" s="20"/>
      <c r="Q960" s="20"/>
    </row>
    <row r="961" spans="1:17" ht="24.9" customHeight="1">
      <c r="A961" s="20">
        <v>362</v>
      </c>
      <c r="B961" s="20" t="s">
        <v>4320</v>
      </c>
      <c r="C961" s="19">
        <v>55</v>
      </c>
      <c r="D961" s="19" t="s">
        <v>3392</v>
      </c>
      <c r="E961" s="19" t="str">
        <f>VLOOKUP(D961,'لیست پرسنل'!$B$2:$E$1020,3,FALSE)</f>
        <v>گهر کوشان سپهر</v>
      </c>
      <c r="F961" s="19" t="str">
        <f>VLOOKUP(D961,'لیست پرسنل'!$B$2:$E$1020,4,FALSE)</f>
        <v>کنترل کیفیت</v>
      </c>
      <c r="G961" s="127" t="str">
        <f>VLOOKUP(D961,'لیست پرسنل'!$B$2:$F$1020,2,FALSE)</f>
        <v>20255</v>
      </c>
      <c r="H961" s="151" t="s">
        <v>3381</v>
      </c>
      <c r="I961" s="127" t="s">
        <v>275</v>
      </c>
      <c r="J961" s="128" t="s">
        <v>2686</v>
      </c>
      <c r="K961" s="128" t="s">
        <v>2922</v>
      </c>
      <c r="L961" s="127" t="s">
        <v>3060</v>
      </c>
      <c r="M961" s="128">
        <v>626544</v>
      </c>
      <c r="N961" s="108"/>
      <c r="O961" s="20" t="s">
        <v>705</v>
      </c>
      <c r="P961" s="20"/>
      <c r="Q961" s="20"/>
    </row>
    <row r="962" spans="1:17" ht="24.9" customHeight="1">
      <c r="A962" s="20">
        <v>362</v>
      </c>
      <c r="B962" s="20" t="s">
        <v>4320</v>
      </c>
      <c r="C962" s="19">
        <v>56</v>
      </c>
      <c r="D962" s="19" t="s">
        <v>326</v>
      </c>
      <c r="E962" s="19" t="str">
        <f>VLOOKUP(D962,'لیست پرسنل'!$B$2:$E$1020,3,FALSE)</f>
        <v>فکورصنعت</v>
      </c>
      <c r="F962" s="19" t="str">
        <f>VLOOKUP(D962,'لیست پرسنل'!$B$2:$E$1020,4,FALSE)</f>
        <v>انبار</v>
      </c>
      <c r="G962" s="127">
        <f>VLOOKUP(D962,'لیست پرسنل'!$B$2:$F$1020,2,FALSE)</f>
        <v>98141</v>
      </c>
      <c r="H962" s="151" t="s">
        <v>3381</v>
      </c>
      <c r="I962" s="127" t="s">
        <v>276</v>
      </c>
      <c r="J962" s="128" t="s">
        <v>737</v>
      </c>
      <c r="K962" s="128" t="s">
        <v>297</v>
      </c>
      <c r="L962" s="127">
        <v>23057469</v>
      </c>
      <c r="M962" s="127">
        <v>605252</v>
      </c>
      <c r="N962" s="109"/>
      <c r="O962" s="19"/>
      <c r="P962" s="20"/>
      <c r="Q962" s="20"/>
    </row>
    <row r="963" spans="1:17" ht="24.9" customHeight="1">
      <c r="A963" s="20">
        <v>362</v>
      </c>
      <c r="B963" s="20" t="s">
        <v>4320</v>
      </c>
      <c r="C963" s="19">
        <v>56</v>
      </c>
      <c r="D963" s="19" t="s">
        <v>326</v>
      </c>
      <c r="E963" s="19" t="str">
        <f>VLOOKUP(D963,'لیست پرسنل'!$B$2:$E$1020,3,FALSE)</f>
        <v>فکورصنعت</v>
      </c>
      <c r="F963" s="19" t="str">
        <f>VLOOKUP(D963,'لیست پرسنل'!$B$2:$E$1020,4,FALSE)</f>
        <v>انبار</v>
      </c>
      <c r="G963" s="127">
        <f>VLOOKUP(D963,'لیست پرسنل'!$B$2:$F$1020,2,FALSE)</f>
        <v>98141</v>
      </c>
      <c r="H963" s="151" t="s">
        <v>3381</v>
      </c>
      <c r="I963" s="127" t="s">
        <v>276</v>
      </c>
      <c r="J963" s="128" t="s">
        <v>737</v>
      </c>
      <c r="K963" s="128" t="s">
        <v>329</v>
      </c>
      <c r="L963" s="127" t="s">
        <v>330</v>
      </c>
      <c r="M963" s="127">
        <v>607074</v>
      </c>
      <c r="N963" s="109"/>
      <c r="O963" s="19"/>
      <c r="P963" s="20"/>
      <c r="Q963" s="20"/>
    </row>
    <row r="964" spans="1:17" ht="24.9" customHeight="1">
      <c r="A964" s="20">
        <v>362</v>
      </c>
      <c r="B964" s="20" t="s">
        <v>4320</v>
      </c>
      <c r="C964" s="19">
        <v>56</v>
      </c>
      <c r="D964" s="19" t="s">
        <v>326</v>
      </c>
      <c r="E964" s="19" t="str">
        <f>VLOOKUP(D964,'لیست پرسنل'!$B$2:$E$1020,3,FALSE)</f>
        <v>فکورصنعت</v>
      </c>
      <c r="F964" s="19" t="str">
        <f>VLOOKUP(D964,'لیست پرسنل'!$B$2:$E$1020,4,FALSE)</f>
        <v>انبار</v>
      </c>
      <c r="G964" s="127">
        <f>VLOOKUP(D964,'لیست پرسنل'!$B$2:$F$1020,2,FALSE)</f>
        <v>98141</v>
      </c>
      <c r="H964" s="151" t="s">
        <v>3381</v>
      </c>
      <c r="I964" s="127" t="s">
        <v>276</v>
      </c>
      <c r="J964" s="126" t="s">
        <v>368</v>
      </c>
      <c r="K964" s="128" t="s">
        <v>2846</v>
      </c>
      <c r="L964" s="127" t="s">
        <v>2453</v>
      </c>
      <c r="M964" s="128">
        <v>628862</v>
      </c>
      <c r="N964" s="108"/>
      <c r="O964" s="19"/>
      <c r="P964" s="20"/>
      <c r="Q964" s="20"/>
    </row>
    <row r="965" spans="1:17" ht="24.9" customHeight="1">
      <c r="A965" s="20">
        <v>362</v>
      </c>
      <c r="B965" s="20" t="s">
        <v>4320</v>
      </c>
      <c r="C965" s="19">
        <v>56</v>
      </c>
      <c r="D965" s="19" t="s">
        <v>326</v>
      </c>
      <c r="E965" s="19" t="str">
        <f>VLOOKUP(D965,'لیست پرسنل'!$B$2:$E$1020,3,FALSE)</f>
        <v>فکورصنعت</v>
      </c>
      <c r="F965" s="19" t="str">
        <f>VLOOKUP(D965,'لیست پرسنل'!$B$2:$E$1020,4,FALSE)</f>
        <v>انبار</v>
      </c>
      <c r="G965" s="127">
        <f>VLOOKUP(D965,'لیست پرسنل'!$B$2:$F$1020,2,FALSE)</f>
        <v>98141</v>
      </c>
      <c r="H965" s="151" t="s">
        <v>3381</v>
      </c>
      <c r="I965" s="127" t="s">
        <v>276</v>
      </c>
      <c r="J965" s="127" t="s">
        <v>571</v>
      </c>
      <c r="K965" s="128" t="s">
        <v>2219</v>
      </c>
      <c r="L965" s="158"/>
      <c r="M965" s="127">
        <v>628129</v>
      </c>
      <c r="N965" s="109"/>
      <c r="O965" s="19"/>
      <c r="P965" s="20"/>
      <c r="Q965" s="20"/>
    </row>
    <row r="966" spans="1:17" ht="24.9" customHeight="1">
      <c r="A966" s="20">
        <v>362</v>
      </c>
      <c r="B966" s="20" t="s">
        <v>4320</v>
      </c>
      <c r="C966" s="19">
        <v>56</v>
      </c>
      <c r="D966" s="19" t="s">
        <v>326</v>
      </c>
      <c r="E966" s="19" t="str">
        <f>VLOOKUP(D966,'لیست پرسنل'!$B$2:$E$1020,3,FALSE)</f>
        <v>فکورصنعت</v>
      </c>
      <c r="F966" s="19" t="str">
        <f>VLOOKUP(D966,'لیست پرسنل'!$B$2:$E$1020,4,FALSE)</f>
        <v>انبار</v>
      </c>
      <c r="G966" s="127">
        <f>VLOOKUP(D966,'لیست پرسنل'!$B$2:$F$1020,2,FALSE)</f>
        <v>98141</v>
      </c>
      <c r="H966" s="151" t="s">
        <v>3381</v>
      </c>
      <c r="I966" s="127" t="s">
        <v>276</v>
      </c>
      <c r="J966" s="128" t="s">
        <v>2686</v>
      </c>
      <c r="K966" s="128" t="s">
        <v>2922</v>
      </c>
      <c r="L966" s="158" t="s">
        <v>2923</v>
      </c>
      <c r="M966" s="127">
        <v>626400</v>
      </c>
      <c r="N966" s="109"/>
      <c r="O966" s="86"/>
      <c r="P966" s="20"/>
      <c r="Q966" s="20"/>
    </row>
    <row r="967" spans="1:17" ht="24.9" customHeight="1">
      <c r="A967" s="20">
        <v>362</v>
      </c>
      <c r="B967" s="20" t="s">
        <v>4320</v>
      </c>
      <c r="C967" s="19">
        <v>58</v>
      </c>
      <c r="D967" s="19" t="s">
        <v>2858</v>
      </c>
      <c r="E967" s="19" t="str">
        <f>VLOOKUP(D967,'لیست پرسنل'!$B$2:$E$1020,3,FALSE)</f>
        <v>مهرفام</v>
      </c>
      <c r="F967" s="19" t="str">
        <f>VLOOKUP(D967,'لیست پرسنل'!$B$2:$E$1020,4,FALSE)</f>
        <v>کنترل کیفیت</v>
      </c>
      <c r="G967" s="127" t="str">
        <f>VLOOKUP(D967,'لیست پرسنل'!$B$2:$F$1020,2,FALSE)</f>
        <v>100550</v>
      </c>
      <c r="H967" s="151" t="s">
        <v>3381</v>
      </c>
      <c r="I967" s="127" t="s">
        <v>277</v>
      </c>
      <c r="J967" s="126" t="s">
        <v>368</v>
      </c>
      <c r="K967" s="128" t="s">
        <v>2846</v>
      </c>
      <c r="L967" s="127" t="s">
        <v>2474</v>
      </c>
      <c r="M967" s="127">
        <v>628884</v>
      </c>
      <c r="N967" s="109"/>
      <c r="O967" s="19"/>
      <c r="P967" s="20"/>
      <c r="Q967" s="20"/>
    </row>
    <row r="968" spans="1:17" ht="24.9" customHeight="1">
      <c r="A968" s="20">
        <v>362</v>
      </c>
      <c r="B968" s="20" t="s">
        <v>4320</v>
      </c>
      <c r="C968" s="19">
        <v>58</v>
      </c>
      <c r="D968" s="19" t="s">
        <v>2858</v>
      </c>
      <c r="E968" s="19" t="str">
        <f>VLOOKUP(D968,'لیست پرسنل'!$B$2:$E$1020,3,FALSE)</f>
        <v>مهرفام</v>
      </c>
      <c r="F968" s="19" t="str">
        <f>VLOOKUP(D968,'لیست پرسنل'!$B$2:$E$1020,4,FALSE)</f>
        <v>کنترل کیفیت</v>
      </c>
      <c r="G968" s="127" t="str">
        <f>VLOOKUP(D968,'لیست پرسنل'!$B$2:$F$1020,2,FALSE)</f>
        <v>100550</v>
      </c>
      <c r="H968" s="151" t="s">
        <v>3381</v>
      </c>
      <c r="I968" s="127" t="s">
        <v>277</v>
      </c>
      <c r="J968" s="127" t="s">
        <v>571</v>
      </c>
      <c r="K968" s="128"/>
      <c r="L968" s="151"/>
      <c r="M968" s="127">
        <v>624720</v>
      </c>
      <c r="N968" s="109"/>
      <c r="O968" s="19"/>
      <c r="P968" s="20"/>
      <c r="Q968" s="20"/>
    </row>
    <row r="969" spans="1:17" ht="24.9" customHeight="1">
      <c r="A969" s="20">
        <v>362</v>
      </c>
      <c r="B969" s="20" t="s">
        <v>4320</v>
      </c>
      <c r="C969" s="19">
        <v>58</v>
      </c>
      <c r="D969" s="19" t="s">
        <v>2858</v>
      </c>
      <c r="E969" s="19" t="str">
        <f>VLOOKUP(D969,'لیست پرسنل'!$B$2:$E$1020,3,FALSE)</f>
        <v>مهرفام</v>
      </c>
      <c r="F969" s="19" t="str">
        <f>VLOOKUP(D969,'لیست پرسنل'!$B$2:$E$1020,4,FALSE)</f>
        <v>کنترل کیفیت</v>
      </c>
      <c r="G969" s="127" t="str">
        <f>VLOOKUP(D969,'لیست پرسنل'!$B$2:$F$1020,2,FALSE)</f>
        <v>100550</v>
      </c>
      <c r="H969" s="151" t="s">
        <v>3381</v>
      </c>
      <c r="I969" s="127" t="s">
        <v>277</v>
      </c>
      <c r="J969" s="128" t="s">
        <v>2686</v>
      </c>
      <c r="K969" s="128" t="s">
        <v>327</v>
      </c>
      <c r="L969" s="151" t="s">
        <v>2859</v>
      </c>
      <c r="M969" s="127">
        <v>603681</v>
      </c>
      <c r="N969" s="109"/>
      <c r="O969" s="86"/>
      <c r="P969" s="20"/>
      <c r="Q969" s="20"/>
    </row>
    <row r="970" spans="1:17" ht="24.9" customHeight="1">
      <c r="A970" s="20">
        <v>362</v>
      </c>
      <c r="B970" s="20" t="s">
        <v>4320</v>
      </c>
      <c r="C970" s="19">
        <v>59</v>
      </c>
      <c r="D970" s="19" t="s">
        <v>3400</v>
      </c>
      <c r="E970" s="19" t="str">
        <f>VLOOKUP(D970,'لیست پرسنل'!$B$2:$E$1020,3,FALSE)</f>
        <v>مهرفام</v>
      </c>
      <c r="F970" s="19" t="str">
        <f>VLOOKUP(D970,'لیست پرسنل'!$B$2:$E$1020,4,FALSE)</f>
        <v>پایپینگ</v>
      </c>
      <c r="G970" s="127">
        <f>VLOOKUP(D970,'لیست پرسنل'!$B$2:$F$1020,2,FALSE)</f>
        <v>100511</v>
      </c>
      <c r="H970" s="151" t="s">
        <v>3381</v>
      </c>
      <c r="I970" s="127" t="s">
        <v>278</v>
      </c>
      <c r="J970" s="128" t="s">
        <v>737</v>
      </c>
      <c r="K970" s="135" t="s">
        <v>6169</v>
      </c>
      <c r="L970" s="154" t="s">
        <v>6168</v>
      </c>
      <c r="M970" s="131">
        <v>627185</v>
      </c>
      <c r="N970" s="108"/>
      <c r="O970" s="20" t="s">
        <v>705</v>
      </c>
      <c r="P970" s="20"/>
      <c r="Q970" s="20"/>
    </row>
    <row r="971" spans="1:17" ht="24.9" customHeight="1">
      <c r="A971" s="20">
        <v>362</v>
      </c>
      <c r="B971" s="20" t="s">
        <v>4320</v>
      </c>
      <c r="C971" s="19">
        <v>59</v>
      </c>
      <c r="D971" s="19" t="s">
        <v>3400</v>
      </c>
      <c r="E971" s="19" t="str">
        <f>VLOOKUP(D971,'لیست پرسنل'!$B$2:$E$1020,3,FALSE)</f>
        <v>مهرفام</v>
      </c>
      <c r="F971" s="19" t="str">
        <f>VLOOKUP(D971,'لیست پرسنل'!$B$2:$E$1020,4,FALSE)</f>
        <v>پایپینگ</v>
      </c>
      <c r="G971" s="127">
        <f>VLOOKUP(D971,'لیست پرسنل'!$B$2:$F$1020,2,FALSE)</f>
        <v>100511</v>
      </c>
      <c r="H971" s="151" t="s">
        <v>3381</v>
      </c>
      <c r="I971" s="127" t="s">
        <v>278</v>
      </c>
      <c r="J971" s="126" t="s">
        <v>368</v>
      </c>
      <c r="K971" s="128" t="s">
        <v>2846</v>
      </c>
      <c r="L971" s="127" t="s">
        <v>2472</v>
      </c>
      <c r="M971" s="127">
        <v>628882</v>
      </c>
      <c r="N971" s="109"/>
      <c r="O971" s="19"/>
      <c r="P971" s="20"/>
      <c r="Q971" s="20"/>
    </row>
    <row r="972" spans="1:17" ht="24.9" customHeight="1">
      <c r="A972" s="20">
        <v>362</v>
      </c>
      <c r="B972" s="20" t="s">
        <v>4320</v>
      </c>
      <c r="C972" s="19">
        <v>59</v>
      </c>
      <c r="D972" s="19" t="s">
        <v>3400</v>
      </c>
      <c r="E972" s="19" t="str">
        <f>VLOOKUP(D972,'لیست پرسنل'!$B$2:$E$1020,3,FALSE)</f>
        <v>مهرفام</v>
      </c>
      <c r="F972" s="19" t="str">
        <f>VLOOKUP(D972,'لیست پرسنل'!$B$2:$E$1020,4,FALSE)</f>
        <v>پایپینگ</v>
      </c>
      <c r="G972" s="127">
        <f>VLOOKUP(D972,'لیست پرسنل'!$B$2:$F$1020,2,FALSE)</f>
        <v>100511</v>
      </c>
      <c r="H972" s="151" t="s">
        <v>3381</v>
      </c>
      <c r="I972" s="127" t="s">
        <v>278</v>
      </c>
      <c r="J972" s="127" t="s">
        <v>571</v>
      </c>
      <c r="K972" s="128"/>
      <c r="L972" s="151"/>
      <c r="M972" s="127">
        <v>625424</v>
      </c>
      <c r="N972" s="109"/>
      <c r="O972" s="19"/>
      <c r="P972" s="20"/>
      <c r="Q972" s="20"/>
    </row>
    <row r="973" spans="1:17" ht="24.9" customHeight="1">
      <c r="A973" s="20">
        <v>362</v>
      </c>
      <c r="B973" s="20" t="s">
        <v>4320</v>
      </c>
      <c r="C973" s="19">
        <v>59</v>
      </c>
      <c r="D973" s="19" t="s">
        <v>3400</v>
      </c>
      <c r="E973" s="19" t="str">
        <f>VLOOKUP(D973,'لیست پرسنل'!$B$2:$E$1020,3,FALSE)</f>
        <v>مهرفام</v>
      </c>
      <c r="F973" s="19" t="str">
        <f>VLOOKUP(D973,'لیست پرسنل'!$B$2:$E$1020,4,FALSE)</f>
        <v>پایپینگ</v>
      </c>
      <c r="G973" s="127">
        <f>VLOOKUP(D973,'لیست پرسنل'!$B$2:$F$1020,2,FALSE)</f>
        <v>100511</v>
      </c>
      <c r="H973" s="151" t="s">
        <v>3381</v>
      </c>
      <c r="I973" s="127" t="s">
        <v>278</v>
      </c>
      <c r="J973" s="128" t="s">
        <v>2686</v>
      </c>
      <c r="K973" s="128" t="s">
        <v>2922</v>
      </c>
      <c r="L973" s="151" t="s">
        <v>2944</v>
      </c>
      <c r="M973" s="127">
        <v>626422</v>
      </c>
      <c r="N973" s="109"/>
      <c r="O973" s="19"/>
      <c r="P973" s="20"/>
      <c r="Q973" s="20"/>
    </row>
    <row r="974" spans="1:17" ht="24.9" customHeight="1">
      <c r="A974" s="20">
        <v>362</v>
      </c>
      <c r="B974" s="20" t="s">
        <v>4320</v>
      </c>
      <c r="C974" s="19">
        <v>60</v>
      </c>
      <c r="D974" s="19" t="s">
        <v>3401</v>
      </c>
      <c r="E974" s="19" t="str">
        <f>VLOOKUP(D974,'لیست پرسنل'!$B$2:$E$1020,3,FALSE)</f>
        <v>کاربین طرح</v>
      </c>
      <c r="F974" s="19" t="str">
        <f>VLOOKUP(D974,'لیست پرسنل'!$B$2:$E$1020,4,FALSE)</f>
        <v>ایمنی</v>
      </c>
      <c r="G974" s="127" t="str">
        <f>VLOOKUP(D974,'لیست پرسنل'!$B$2:$F$1020,2,FALSE)</f>
        <v>100552</v>
      </c>
      <c r="H974" s="151" t="s">
        <v>3381</v>
      </c>
      <c r="I974" s="127" t="s">
        <v>279</v>
      </c>
      <c r="J974" s="127" t="s">
        <v>3383</v>
      </c>
      <c r="K974" s="128" t="s">
        <v>1791</v>
      </c>
      <c r="L974" s="127" t="s">
        <v>337</v>
      </c>
      <c r="M974" s="127">
        <v>621012</v>
      </c>
      <c r="N974" s="109"/>
      <c r="O974" s="19"/>
      <c r="P974" s="20"/>
      <c r="Q974" s="20"/>
    </row>
    <row r="975" spans="1:17" ht="24.9" customHeight="1">
      <c r="A975" s="20">
        <v>362</v>
      </c>
      <c r="B975" s="20" t="s">
        <v>4320</v>
      </c>
      <c r="C975" s="19">
        <v>60</v>
      </c>
      <c r="D975" s="19" t="s">
        <v>3401</v>
      </c>
      <c r="E975" s="19" t="str">
        <f>VLOOKUP(D975,'لیست پرسنل'!$B$2:$E$1020,3,FALSE)</f>
        <v>کاربین طرح</v>
      </c>
      <c r="F975" s="19" t="str">
        <f>VLOOKUP(D975,'لیست پرسنل'!$B$2:$E$1020,4,FALSE)</f>
        <v>ایمنی</v>
      </c>
      <c r="G975" s="127" t="str">
        <f>VLOOKUP(D975,'لیست پرسنل'!$B$2:$F$1020,2,FALSE)</f>
        <v>100552</v>
      </c>
      <c r="H975" s="151" t="s">
        <v>3381</v>
      </c>
      <c r="I975" s="127" t="s">
        <v>279</v>
      </c>
      <c r="J975" s="127" t="s">
        <v>3383</v>
      </c>
      <c r="K975" s="128" t="s">
        <v>5917</v>
      </c>
      <c r="L975" s="128" t="s">
        <v>5916</v>
      </c>
      <c r="M975" s="132">
        <v>632438</v>
      </c>
      <c r="N975" s="109"/>
      <c r="O975" s="19"/>
      <c r="P975" s="20"/>
      <c r="Q975" s="20"/>
    </row>
    <row r="976" spans="1:17" ht="24.9" customHeight="1">
      <c r="A976" s="20">
        <v>362</v>
      </c>
      <c r="B976" s="20" t="s">
        <v>4320</v>
      </c>
      <c r="C976" s="19">
        <v>60</v>
      </c>
      <c r="D976" s="19" t="s">
        <v>3401</v>
      </c>
      <c r="E976" s="19" t="str">
        <f>VLOOKUP(D976,'لیست پرسنل'!$B$2:$E$1020,3,FALSE)</f>
        <v>کاربین طرح</v>
      </c>
      <c r="F976" s="19" t="str">
        <f>VLOOKUP(D976,'لیست پرسنل'!$B$2:$E$1020,4,FALSE)</f>
        <v>ایمنی</v>
      </c>
      <c r="G976" s="127" t="str">
        <f>VLOOKUP(D976,'لیست پرسنل'!$B$2:$F$1020,2,FALSE)</f>
        <v>100552</v>
      </c>
      <c r="H976" s="151" t="s">
        <v>3381</v>
      </c>
      <c r="I976" s="127" t="s">
        <v>279</v>
      </c>
      <c r="J976" s="128" t="s">
        <v>737</v>
      </c>
      <c r="K976" s="128" t="s">
        <v>1253</v>
      </c>
      <c r="L976" s="127" t="s">
        <v>1252</v>
      </c>
      <c r="M976" s="127">
        <v>624111</v>
      </c>
      <c r="N976" s="109"/>
      <c r="O976" s="19"/>
      <c r="P976" s="20"/>
      <c r="Q976" s="20"/>
    </row>
    <row r="977" spans="1:17" ht="24.9" customHeight="1">
      <c r="A977" s="20">
        <v>362</v>
      </c>
      <c r="B977" s="20" t="s">
        <v>4320</v>
      </c>
      <c r="C977" s="19">
        <v>60</v>
      </c>
      <c r="D977" s="19" t="s">
        <v>3401</v>
      </c>
      <c r="E977" s="19" t="str">
        <f>VLOOKUP(D977,'لیست پرسنل'!$B$2:$E$1020,3,FALSE)</f>
        <v>کاربین طرح</v>
      </c>
      <c r="F977" s="19" t="str">
        <f>VLOOKUP(D977,'لیست پرسنل'!$B$2:$E$1020,4,FALSE)</f>
        <v>ایمنی</v>
      </c>
      <c r="G977" s="127" t="str">
        <f>VLOOKUP(D977,'لیست پرسنل'!$B$2:$F$1020,2,FALSE)</f>
        <v>100552</v>
      </c>
      <c r="H977" s="151" t="s">
        <v>3381</v>
      </c>
      <c r="I977" s="127" t="s">
        <v>279</v>
      </c>
      <c r="J977" s="126" t="s">
        <v>368</v>
      </c>
      <c r="K977" s="128" t="s">
        <v>2846</v>
      </c>
      <c r="L977" s="128" t="s">
        <v>2362</v>
      </c>
      <c r="M977" s="128">
        <v>628768</v>
      </c>
      <c r="N977" s="108"/>
      <c r="O977" s="19"/>
      <c r="P977" s="20"/>
      <c r="Q977" s="20"/>
    </row>
    <row r="978" spans="1:17" ht="24.9" customHeight="1">
      <c r="A978" s="20">
        <v>362</v>
      </c>
      <c r="B978" s="20" t="s">
        <v>4320</v>
      </c>
      <c r="C978" s="19">
        <v>60</v>
      </c>
      <c r="D978" s="19" t="s">
        <v>3401</v>
      </c>
      <c r="E978" s="19" t="str">
        <f>VLOOKUP(D978,'لیست پرسنل'!$B$2:$E$1020,3,FALSE)</f>
        <v>کاربین طرح</v>
      </c>
      <c r="F978" s="19" t="str">
        <f>VLOOKUP(D978,'لیست پرسنل'!$B$2:$E$1020,4,FALSE)</f>
        <v>ایمنی</v>
      </c>
      <c r="G978" s="127" t="str">
        <f>VLOOKUP(D978,'لیست پرسنل'!$B$2:$F$1020,2,FALSE)</f>
        <v>100552</v>
      </c>
      <c r="H978" s="151" t="s">
        <v>3381</v>
      </c>
      <c r="I978" s="127" t="s">
        <v>279</v>
      </c>
      <c r="J978" s="141" t="s">
        <v>571</v>
      </c>
      <c r="K978" s="128" t="s">
        <v>2067</v>
      </c>
      <c r="L978" s="159" t="s">
        <v>2219</v>
      </c>
      <c r="M978" s="127">
        <v>628580</v>
      </c>
      <c r="N978" s="108"/>
      <c r="O978" s="20" t="s">
        <v>705</v>
      </c>
      <c r="P978" s="20"/>
      <c r="Q978" s="20"/>
    </row>
    <row r="979" spans="1:17" ht="24.9" customHeight="1">
      <c r="A979" s="20">
        <v>362</v>
      </c>
      <c r="B979" s="20" t="s">
        <v>4320</v>
      </c>
      <c r="C979" s="19">
        <v>60</v>
      </c>
      <c r="D979" s="19" t="s">
        <v>3401</v>
      </c>
      <c r="E979" s="19" t="str">
        <f>VLOOKUP(D979,'لیست پرسنل'!$B$2:$E$1020,3,FALSE)</f>
        <v>کاربین طرح</v>
      </c>
      <c r="F979" s="19" t="str">
        <f>VLOOKUP(D979,'لیست پرسنل'!$B$2:$E$1020,4,FALSE)</f>
        <v>ایمنی</v>
      </c>
      <c r="G979" s="127" t="str">
        <f>VLOOKUP(D979,'لیست پرسنل'!$B$2:$F$1020,2,FALSE)</f>
        <v>100552</v>
      </c>
      <c r="H979" s="151" t="s">
        <v>3381</v>
      </c>
      <c r="I979" s="127" t="s">
        <v>279</v>
      </c>
      <c r="J979" s="128" t="s">
        <v>2686</v>
      </c>
      <c r="K979" s="128" t="s">
        <v>2922</v>
      </c>
      <c r="L979" s="127" t="s">
        <v>3048</v>
      </c>
      <c r="M979" s="127">
        <v>626532</v>
      </c>
      <c r="N979" s="109"/>
      <c r="O979" s="86"/>
      <c r="P979" s="20"/>
      <c r="Q979" s="20"/>
    </row>
    <row r="980" spans="1:17" ht="24.9" customHeight="1">
      <c r="A980" s="20">
        <v>362</v>
      </c>
      <c r="B980" s="20" t="s">
        <v>4320</v>
      </c>
      <c r="C980" s="19">
        <v>61</v>
      </c>
      <c r="D980" s="19" t="s">
        <v>795</v>
      </c>
      <c r="E980" s="19" t="str">
        <f>VLOOKUP(D980,'لیست پرسنل'!$B$2:$E$1020,3,FALSE)</f>
        <v>فکورصنعت</v>
      </c>
      <c r="F980" s="19" t="str">
        <f>VLOOKUP(D980,'لیست پرسنل'!$B$2:$E$1020,4,FALSE)</f>
        <v>کنترل پروژه</v>
      </c>
      <c r="G980" s="127" t="str">
        <f>VLOOKUP(D980,'لیست پرسنل'!$B$2:$F$1020,2,FALSE)</f>
        <v>4000706</v>
      </c>
      <c r="H980" s="151" t="s">
        <v>3381</v>
      </c>
      <c r="I980" s="127" t="s">
        <v>280</v>
      </c>
      <c r="J980" s="126" t="s">
        <v>368</v>
      </c>
      <c r="K980" s="128" t="s">
        <v>2846</v>
      </c>
      <c r="L980" s="128" t="s">
        <v>2394</v>
      </c>
      <c r="M980" s="128">
        <v>628801</v>
      </c>
      <c r="N980" s="108"/>
      <c r="O980" s="20"/>
      <c r="P980" s="20"/>
      <c r="Q980" s="20"/>
    </row>
    <row r="981" spans="1:17" ht="24.9" customHeight="1">
      <c r="A981" s="20">
        <v>362</v>
      </c>
      <c r="B981" s="20" t="s">
        <v>4320</v>
      </c>
      <c r="C981" s="19">
        <v>61</v>
      </c>
      <c r="D981" s="19" t="s">
        <v>795</v>
      </c>
      <c r="E981" s="19" t="str">
        <f>VLOOKUP(D981,'لیست پرسنل'!$B$2:$E$1020,3,FALSE)</f>
        <v>فکورصنعت</v>
      </c>
      <c r="F981" s="19" t="str">
        <f>VLOOKUP(D981,'لیست پرسنل'!$B$2:$E$1020,4,FALSE)</f>
        <v>کنترل پروژه</v>
      </c>
      <c r="G981" s="127" t="str">
        <f>VLOOKUP(D981,'لیست پرسنل'!$B$2:$F$1020,2,FALSE)</f>
        <v>4000706</v>
      </c>
      <c r="H981" s="151" t="s">
        <v>3381</v>
      </c>
      <c r="I981" s="127" t="s">
        <v>280</v>
      </c>
      <c r="J981" s="127" t="s">
        <v>571</v>
      </c>
      <c r="K981" s="128"/>
      <c r="L981" s="151"/>
      <c r="M981" s="128">
        <v>624700</v>
      </c>
      <c r="N981" s="108"/>
      <c r="O981" s="20"/>
      <c r="P981" s="20"/>
      <c r="Q981" s="20"/>
    </row>
    <row r="982" spans="1:17" ht="24.9" customHeight="1">
      <c r="A982" s="20">
        <v>362</v>
      </c>
      <c r="B982" s="20" t="s">
        <v>4320</v>
      </c>
      <c r="C982" s="19">
        <v>61</v>
      </c>
      <c r="D982" s="19" t="s">
        <v>795</v>
      </c>
      <c r="E982" s="19" t="str">
        <f>VLOOKUP(D982,'لیست پرسنل'!$B$2:$E$1020,3,FALSE)</f>
        <v>فکورصنعت</v>
      </c>
      <c r="F982" s="19" t="str">
        <f>VLOOKUP(D982,'لیست پرسنل'!$B$2:$E$1020,4,FALSE)</f>
        <v>کنترل پروژه</v>
      </c>
      <c r="G982" s="127" t="str">
        <f>VLOOKUP(D982,'لیست پرسنل'!$B$2:$F$1020,2,FALSE)</f>
        <v>4000706</v>
      </c>
      <c r="H982" s="151" t="s">
        <v>3381</v>
      </c>
      <c r="I982" s="127" t="s">
        <v>280</v>
      </c>
      <c r="J982" s="128" t="s">
        <v>2686</v>
      </c>
      <c r="K982" s="128" t="s">
        <v>2922</v>
      </c>
      <c r="L982" s="151" t="s">
        <v>3064</v>
      </c>
      <c r="M982" s="127">
        <v>626548</v>
      </c>
      <c r="N982" s="109"/>
      <c r="O982" s="19"/>
      <c r="P982" s="20"/>
      <c r="Q982" s="20"/>
    </row>
    <row r="983" spans="1:17" ht="24.9" customHeight="1">
      <c r="A983" s="20">
        <v>362</v>
      </c>
      <c r="B983" s="20" t="s">
        <v>4320</v>
      </c>
      <c r="C983" s="19">
        <v>63</v>
      </c>
      <c r="D983" s="19" t="s">
        <v>342</v>
      </c>
      <c r="E983" s="19" t="str">
        <f>VLOOKUP(D983,'لیست پرسنل'!$B$2:$E$1020,3,FALSE)</f>
        <v>فکورصنعت</v>
      </c>
      <c r="F983" s="19" t="str">
        <f>VLOOKUP(D983,'لیست پرسنل'!$B$2:$E$1020,4,FALSE)</f>
        <v>سرپرست دفتر فنی سازه</v>
      </c>
      <c r="G983" s="127">
        <f>VLOOKUP(D983,'لیست پرسنل'!$B$2:$F$1020,2,FALSE)</f>
        <v>991010</v>
      </c>
      <c r="H983" s="151" t="s">
        <v>3381</v>
      </c>
      <c r="I983" s="127" t="s">
        <v>281</v>
      </c>
      <c r="J983" s="126" t="s">
        <v>368</v>
      </c>
      <c r="K983" s="128" t="s">
        <v>2846</v>
      </c>
      <c r="L983" s="128" t="s">
        <v>2388</v>
      </c>
      <c r="M983" s="128">
        <v>628795</v>
      </c>
      <c r="N983" s="108"/>
      <c r="O983" s="20"/>
      <c r="P983" s="20"/>
      <c r="Q983" s="20"/>
    </row>
    <row r="984" spans="1:17" ht="24.9" customHeight="1">
      <c r="A984" s="20">
        <v>362</v>
      </c>
      <c r="B984" s="20" t="s">
        <v>4320</v>
      </c>
      <c r="C984" s="19">
        <v>63</v>
      </c>
      <c r="D984" s="19" t="s">
        <v>342</v>
      </c>
      <c r="E984" s="19" t="str">
        <f>VLOOKUP(D984,'لیست پرسنل'!$B$2:$E$1020,3,FALSE)</f>
        <v>فکورصنعت</v>
      </c>
      <c r="F984" s="19" t="str">
        <f>VLOOKUP(D984,'لیست پرسنل'!$B$2:$E$1020,4,FALSE)</f>
        <v>سرپرست دفتر فنی سازه</v>
      </c>
      <c r="G984" s="127">
        <f>VLOOKUP(D984,'لیست پرسنل'!$B$2:$F$1020,2,FALSE)</f>
        <v>991010</v>
      </c>
      <c r="H984" s="151" t="s">
        <v>3381</v>
      </c>
      <c r="I984" s="127" t="s">
        <v>281</v>
      </c>
      <c r="J984" s="127" t="s">
        <v>571</v>
      </c>
      <c r="K984" s="128"/>
      <c r="L984" s="151"/>
      <c r="M984" s="127">
        <v>624101</v>
      </c>
      <c r="N984" s="109"/>
      <c r="O984" s="20"/>
      <c r="P984" s="20"/>
      <c r="Q984" s="20"/>
    </row>
    <row r="985" spans="1:17" ht="24.9" customHeight="1">
      <c r="A985" s="20">
        <v>362</v>
      </c>
      <c r="B985" s="20" t="s">
        <v>4320</v>
      </c>
      <c r="C985" s="19">
        <v>63</v>
      </c>
      <c r="D985" s="19" t="s">
        <v>342</v>
      </c>
      <c r="E985" s="19" t="str">
        <f>VLOOKUP(D985,'لیست پرسنل'!$B$2:$E$1020,3,FALSE)</f>
        <v>فکورصنعت</v>
      </c>
      <c r="F985" s="19" t="str">
        <f>VLOOKUP(D985,'لیست پرسنل'!$B$2:$E$1020,4,FALSE)</f>
        <v>سرپرست دفتر فنی سازه</v>
      </c>
      <c r="G985" s="127">
        <f>VLOOKUP(D985,'لیست پرسنل'!$B$2:$F$1020,2,FALSE)</f>
        <v>991010</v>
      </c>
      <c r="H985" s="151" t="s">
        <v>3381</v>
      </c>
      <c r="I985" s="127" t="s">
        <v>281</v>
      </c>
      <c r="J985" s="128" t="s">
        <v>2686</v>
      </c>
      <c r="K985" s="128" t="s">
        <v>2922</v>
      </c>
      <c r="L985" s="127" t="s">
        <v>3068</v>
      </c>
      <c r="M985" s="128">
        <v>626552</v>
      </c>
      <c r="N985" s="108"/>
      <c r="O985" s="20" t="s">
        <v>705</v>
      </c>
      <c r="P985" s="20"/>
      <c r="Q985" s="20"/>
    </row>
    <row r="986" spans="1:17" ht="24.9" customHeight="1">
      <c r="A986" s="20">
        <v>362</v>
      </c>
      <c r="B986" s="20" t="s">
        <v>4320</v>
      </c>
      <c r="C986" s="19">
        <v>64</v>
      </c>
      <c r="D986" s="19" t="s">
        <v>7711</v>
      </c>
      <c r="E986" s="19" t="str">
        <f>VLOOKUP(D986,'لیست پرسنل'!$B$2:$E$1020,3,FALSE)</f>
        <v>نظم آوران</v>
      </c>
      <c r="F986" s="19" t="str">
        <f>VLOOKUP(D986,'لیست پرسنل'!$B$2:$E$1020,4,FALSE)</f>
        <v>ابزار دقیق</v>
      </c>
      <c r="G986" s="127">
        <f>VLOOKUP(D986,'لیست پرسنل'!$B$2:$F$1020,2,FALSE)</f>
        <v>0</v>
      </c>
      <c r="H986" s="127" t="s">
        <v>3381</v>
      </c>
      <c r="I986" s="127" t="s">
        <v>7687</v>
      </c>
      <c r="J986" s="141" t="s">
        <v>571</v>
      </c>
      <c r="K986" s="128" t="s">
        <v>7192</v>
      </c>
      <c r="L986" s="127"/>
      <c r="M986" s="128">
        <v>629718</v>
      </c>
      <c r="N986" s="108"/>
      <c r="O986" s="20" t="s">
        <v>705</v>
      </c>
      <c r="P986" s="20"/>
      <c r="Q986" s="20"/>
    </row>
    <row r="987" spans="1:17" ht="24.9" customHeight="1">
      <c r="A987" s="20">
        <v>362</v>
      </c>
      <c r="B987" s="20" t="s">
        <v>4320</v>
      </c>
      <c r="C987" s="19">
        <v>64</v>
      </c>
      <c r="D987" s="19" t="s">
        <v>7711</v>
      </c>
      <c r="E987" s="19" t="str">
        <f>VLOOKUP(D987,'لیست پرسنل'!$B$2:$E$1020,3,FALSE)</f>
        <v>نظم آوران</v>
      </c>
      <c r="F987" s="19" t="str">
        <f>VLOOKUP(D987,'لیست پرسنل'!$B$2:$E$1020,4,FALSE)</f>
        <v>ابزار دقیق</v>
      </c>
      <c r="G987" s="127">
        <f>VLOOKUP(D987,'لیست پرسنل'!$B$2:$F$1020,2,FALSE)</f>
        <v>0</v>
      </c>
      <c r="H987" s="127" t="s">
        <v>3381</v>
      </c>
      <c r="I987" s="127" t="s">
        <v>7687</v>
      </c>
      <c r="J987" s="128" t="s">
        <v>2686</v>
      </c>
      <c r="K987" s="128" t="s">
        <v>2922</v>
      </c>
      <c r="L987" s="127" t="s">
        <v>3043</v>
      </c>
      <c r="M987" s="128">
        <v>626527</v>
      </c>
      <c r="N987" s="108"/>
      <c r="O987" s="20" t="s">
        <v>705</v>
      </c>
      <c r="P987" s="20"/>
      <c r="Q987" s="20"/>
    </row>
    <row r="988" spans="1:17" ht="24.9" customHeight="1">
      <c r="A988" s="20">
        <v>362</v>
      </c>
      <c r="B988" s="20" t="s">
        <v>4320</v>
      </c>
      <c r="C988" s="19">
        <v>66</v>
      </c>
      <c r="D988" s="19" t="s">
        <v>3404</v>
      </c>
      <c r="E988" s="19" t="str">
        <f>VLOOKUP(D988,'لیست پرسنل'!$B$2:$E$1020,3,FALSE)</f>
        <v>فکورصنعت</v>
      </c>
      <c r="F988" s="19" t="str">
        <f>VLOOKUP(D988,'لیست پرسنل'!$B$2:$E$1020,4,FALSE)</f>
        <v>انبار</v>
      </c>
      <c r="G988" s="127" t="str">
        <f>VLOOKUP(D988,'لیست پرسنل'!$B$2:$F$1020,2,FALSE)</f>
        <v>4020710</v>
      </c>
      <c r="H988" s="151" t="s">
        <v>3381</v>
      </c>
      <c r="I988" s="127" t="s">
        <v>282</v>
      </c>
      <c r="J988" s="126" t="s">
        <v>368</v>
      </c>
      <c r="K988" s="128" t="s">
        <v>2846</v>
      </c>
      <c r="L988" s="127" t="s">
        <v>2334</v>
      </c>
      <c r="M988" s="127">
        <v>628740</v>
      </c>
      <c r="N988" s="109"/>
      <c r="O988" s="19"/>
      <c r="P988" s="20"/>
      <c r="Q988" s="20"/>
    </row>
    <row r="989" spans="1:17" ht="24.9" customHeight="1">
      <c r="A989" s="20">
        <v>362</v>
      </c>
      <c r="B989" s="20" t="s">
        <v>4320</v>
      </c>
      <c r="C989" s="19">
        <v>66</v>
      </c>
      <c r="D989" s="19" t="s">
        <v>3404</v>
      </c>
      <c r="E989" s="19" t="str">
        <f>VLOOKUP(D989,'لیست پرسنل'!$B$2:$E$1020,3,FALSE)</f>
        <v>فکورصنعت</v>
      </c>
      <c r="F989" s="19" t="str">
        <f>VLOOKUP(D989,'لیست پرسنل'!$B$2:$E$1020,4,FALSE)</f>
        <v>انبار</v>
      </c>
      <c r="G989" s="127" t="str">
        <f>VLOOKUP(D989,'لیست پرسنل'!$B$2:$F$1020,2,FALSE)</f>
        <v>4020710</v>
      </c>
      <c r="H989" s="151" t="s">
        <v>3381</v>
      </c>
      <c r="I989" s="127" t="s">
        <v>282</v>
      </c>
      <c r="J989" s="127" t="s">
        <v>571</v>
      </c>
      <c r="K989" s="128" t="s">
        <v>2219</v>
      </c>
      <c r="L989" s="154"/>
      <c r="M989" s="127">
        <v>628595</v>
      </c>
      <c r="N989" s="109"/>
      <c r="O989" s="19"/>
      <c r="P989" s="20"/>
      <c r="Q989" s="20"/>
    </row>
    <row r="990" spans="1:17" ht="24.9" customHeight="1">
      <c r="A990" s="20">
        <v>362</v>
      </c>
      <c r="B990" s="20" t="s">
        <v>4320</v>
      </c>
      <c r="C990" s="19">
        <v>66</v>
      </c>
      <c r="D990" s="19" t="s">
        <v>3404</v>
      </c>
      <c r="E990" s="19" t="str">
        <f>VLOOKUP(D990,'لیست پرسنل'!$B$2:$E$1020,3,FALSE)</f>
        <v>فکورصنعت</v>
      </c>
      <c r="F990" s="19" t="str">
        <f>VLOOKUP(D990,'لیست پرسنل'!$B$2:$E$1020,4,FALSE)</f>
        <v>انبار</v>
      </c>
      <c r="G990" s="127" t="str">
        <f>VLOOKUP(D990,'لیست پرسنل'!$B$2:$F$1020,2,FALSE)</f>
        <v>4020710</v>
      </c>
      <c r="H990" s="151" t="s">
        <v>3381</v>
      </c>
      <c r="I990" s="127" t="s">
        <v>282</v>
      </c>
      <c r="J990" s="128" t="s">
        <v>2686</v>
      </c>
      <c r="K990" s="128" t="s">
        <v>2143</v>
      </c>
      <c r="L990" s="127" t="s">
        <v>2263</v>
      </c>
      <c r="M990" s="127">
        <v>628654</v>
      </c>
      <c r="N990" s="108"/>
      <c r="O990" s="20" t="s">
        <v>705</v>
      </c>
      <c r="P990" s="20"/>
      <c r="Q990" s="20"/>
    </row>
    <row r="991" spans="1:17" ht="24.9" customHeight="1">
      <c r="A991" s="20">
        <v>362</v>
      </c>
      <c r="B991" s="20" t="s">
        <v>4320</v>
      </c>
      <c r="C991" s="19">
        <v>68</v>
      </c>
      <c r="D991" s="19" t="s">
        <v>49</v>
      </c>
      <c r="E991" s="19" t="str">
        <f>VLOOKUP(D991,'لیست پرسنل'!$B$2:$E$1020,3,FALSE)</f>
        <v>فکورصنعت</v>
      </c>
      <c r="F991" s="19" t="str">
        <f>VLOOKUP(D991,'لیست پرسنل'!$B$2:$E$1020,4,FALSE)</f>
        <v>انبار</v>
      </c>
      <c r="G991" s="127">
        <f>VLOOKUP(D991,'لیست پرسنل'!$B$2:$F$1020,2,FALSE)</f>
        <v>1528</v>
      </c>
      <c r="H991" s="151" t="s">
        <v>3381</v>
      </c>
      <c r="I991" s="127" t="s">
        <v>553</v>
      </c>
      <c r="J991" s="128" t="s">
        <v>737</v>
      </c>
      <c r="K991" s="128" t="s">
        <v>65</v>
      </c>
      <c r="L991" s="127" t="s">
        <v>66</v>
      </c>
      <c r="M991" s="127">
        <v>606737</v>
      </c>
      <c r="N991" s="109"/>
      <c r="O991" s="19"/>
      <c r="P991" s="20"/>
      <c r="Q991" s="20"/>
    </row>
    <row r="992" spans="1:17" ht="24.9" customHeight="1">
      <c r="A992" s="20">
        <v>362</v>
      </c>
      <c r="B992" s="20" t="s">
        <v>4320</v>
      </c>
      <c r="C992" s="19">
        <v>68</v>
      </c>
      <c r="D992" s="19" t="s">
        <v>49</v>
      </c>
      <c r="E992" s="19" t="str">
        <f>VLOOKUP(D992,'لیست پرسنل'!$B$2:$E$1020,3,FALSE)</f>
        <v>فکورصنعت</v>
      </c>
      <c r="F992" s="19" t="str">
        <f>VLOOKUP(D992,'لیست پرسنل'!$B$2:$E$1020,4,FALSE)</f>
        <v>انبار</v>
      </c>
      <c r="G992" s="127">
        <f>VLOOKUP(D992,'لیست پرسنل'!$B$2:$F$1020,2,FALSE)</f>
        <v>1528</v>
      </c>
      <c r="H992" s="151" t="s">
        <v>3381</v>
      </c>
      <c r="I992" s="127" t="s">
        <v>553</v>
      </c>
      <c r="J992" s="128" t="s">
        <v>368</v>
      </c>
      <c r="K992" s="128" t="s">
        <v>637</v>
      </c>
      <c r="L992" s="127"/>
      <c r="M992" s="128">
        <v>622545</v>
      </c>
      <c r="N992" s="108"/>
      <c r="O992" s="19"/>
      <c r="P992" s="20"/>
      <c r="Q992" s="20"/>
    </row>
    <row r="993" spans="1:17" ht="24.9" customHeight="1">
      <c r="A993" s="20">
        <v>362</v>
      </c>
      <c r="B993" s="20" t="s">
        <v>4320</v>
      </c>
      <c r="C993" s="19">
        <v>68</v>
      </c>
      <c r="D993" s="19" t="s">
        <v>49</v>
      </c>
      <c r="E993" s="19" t="str">
        <f>VLOOKUP(D993,'لیست پرسنل'!$B$2:$E$1020,3,FALSE)</f>
        <v>فکورصنعت</v>
      </c>
      <c r="F993" s="19" t="str">
        <f>VLOOKUP(D993,'لیست پرسنل'!$B$2:$E$1020,4,FALSE)</f>
        <v>انبار</v>
      </c>
      <c r="G993" s="127">
        <f>VLOOKUP(D993,'لیست پرسنل'!$B$2:$F$1020,2,FALSE)</f>
        <v>1528</v>
      </c>
      <c r="H993" s="151" t="s">
        <v>3381</v>
      </c>
      <c r="I993" s="127" t="s">
        <v>553</v>
      </c>
      <c r="J993" s="127" t="s">
        <v>571</v>
      </c>
      <c r="K993" s="128" t="s">
        <v>2219</v>
      </c>
      <c r="L993" s="151"/>
      <c r="M993" s="128">
        <v>628582</v>
      </c>
      <c r="N993" s="108"/>
      <c r="O993" s="19"/>
      <c r="P993" s="20"/>
      <c r="Q993" s="20"/>
    </row>
    <row r="994" spans="1:17" ht="24.9" customHeight="1">
      <c r="A994" s="20">
        <v>362</v>
      </c>
      <c r="B994" s="20" t="s">
        <v>4320</v>
      </c>
      <c r="C994" s="19">
        <v>68</v>
      </c>
      <c r="D994" s="19" t="s">
        <v>49</v>
      </c>
      <c r="E994" s="19" t="str">
        <f>VLOOKUP(D994,'لیست پرسنل'!$B$2:$E$1020,3,FALSE)</f>
        <v>فکورصنعت</v>
      </c>
      <c r="F994" s="19" t="str">
        <f>VLOOKUP(D994,'لیست پرسنل'!$B$2:$E$1020,4,FALSE)</f>
        <v>انبار</v>
      </c>
      <c r="G994" s="127">
        <f>VLOOKUP(D994,'لیست پرسنل'!$B$2:$F$1020,2,FALSE)</f>
        <v>1528</v>
      </c>
      <c r="H994" s="151" t="s">
        <v>3381</v>
      </c>
      <c r="I994" s="127" t="s">
        <v>553</v>
      </c>
      <c r="J994" s="128" t="s">
        <v>2686</v>
      </c>
      <c r="K994" s="128" t="s">
        <v>371</v>
      </c>
      <c r="L994" s="151" t="s">
        <v>3219</v>
      </c>
      <c r="M994" s="127">
        <v>606523</v>
      </c>
      <c r="N994" s="109"/>
      <c r="O994" s="19"/>
      <c r="P994" s="20"/>
      <c r="Q994" s="20"/>
    </row>
    <row r="995" spans="1:17" ht="24.9" customHeight="1">
      <c r="A995" s="20">
        <v>362</v>
      </c>
      <c r="B995" s="20" t="s">
        <v>4320</v>
      </c>
      <c r="C995" s="19">
        <v>69</v>
      </c>
      <c r="D995" s="83" t="s">
        <v>2713</v>
      </c>
      <c r="E995" s="19" t="str">
        <f>VLOOKUP(D995,'لیست پرسنل'!$B$2:$E$1020,3,FALSE)</f>
        <v>فکورصنعت</v>
      </c>
      <c r="F995" s="19" t="str">
        <f>VLOOKUP(D995,'لیست پرسنل'!$B$2:$E$1020,4,FALSE)</f>
        <v>انبار</v>
      </c>
      <c r="G995" s="127" t="str">
        <f>VLOOKUP(D995,'لیست پرسنل'!$B$2:$F$1020,2,FALSE)</f>
        <v>1774</v>
      </c>
      <c r="H995" s="151" t="s">
        <v>3381</v>
      </c>
      <c r="I995" s="159" t="s">
        <v>561</v>
      </c>
      <c r="J995" s="127" t="s">
        <v>3383</v>
      </c>
      <c r="K995" s="128" t="s">
        <v>1749</v>
      </c>
      <c r="L995" s="153" t="s">
        <v>1692</v>
      </c>
      <c r="M995" s="128">
        <v>625498</v>
      </c>
      <c r="N995" s="108"/>
      <c r="O995" s="20"/>
      <c r="P995" s="20"/>
      <c r="Q995" s="20"/>
    </row>
    <row r="996" spans="1:17" ht="24.9" customHeight="1">
      <c r="A996" s="20">
        <v>362</v>
      </c>
      <c r="B996" s="20" t="s">
        <v>4320</v>
      </c>
      <c r="C996" s="19">
        <v>69</v>
      </c>
      <c r="D996" s="83" t="s">
        <v>2713</v>
      </c>
      <c r="E996" s="19" t="str">
        <f>VLOOKUP(D996,'لیست پرسنل'!$B$2:$E$1020,3,FALSE)</f>
        <v>فکورصنعت</v>
      </c>
      <c r="F996" s="19" t="str">
        <f>VLOOKUP(D996,'لیست پرسنل'!$B$2:$E$1020,4,FALSE)</f>
        <v>انبار</v>
      </c>
      <c r="G996" s="127" t="str">
        <f>VLOOKUP(D996,'لیست پرسنل'!$B$2:$F$1020,2,FALSE)</f>
        <v>1774</v>
      </c>
      <c r="H996" s="151" t="s">
        <v>3381</v>
      </c>
      <c r="I996" s="159" t="s">
        <v>561</v>
      </c>
      <c r="J996" s="128" t="s">
        <v>368</v>
      </c>
      <c r="K996" s="128" t="s">
        <v>2846</v>
      </c>
      <c r="L996" s="127" t="s">
        <v>5413</v>
      </c>
      <c r="M996" s="127">
        <v>622560</v>
      </c>
      <c r="N996" s="109"/>
      <c r="O996" s="19"/>
      <c r="P996" s="19"/>
      <c r="Q996" s="20"/>
    </row>
    <row r="997" spans="1:17" ht="24.9" customHeight="1">
      <c r="A997" s="20">
        <v>362</v>
      </c>
      <c r="B997" s="20" t="s">
        <v>4320</v>
      </c>
      <c r="C997" s="19">
        <v>69</v>
      </c>
      <c r="D997" s="83" t="s">
        <v>2713</v>
      </c>
      <c r="E997" s="19" t="str">
        <f>VLOOKUP(D997,'لیست پرسنل'!$B$2:$E$1020,3,FALSE)</f>
        <v>فکورصنعت</v>
      </c>
      <c r="F997" s="19" t="str">
        <f>VLOOKUP(D997,'لیست پرسنل'!$B$2:$E$1020,4,FALSE)</f>
        <v>انبار</v>
      </c>
      <c r="G997" s="127" t="str">
        <f>VLOOKUP(D997,'لیست پرسنل'!$B$2:$F$1020,2,FALSE)</f>
        <v>1774</v>
      </c>
      <c r="H997" s="151" t="s">
        <v>3381</v>
      </c>
      <c r="I997" s="159" t="s">
        <v>561</v>
      </c>
      <c r="J997" s="127" t="s">
        <v>571</v>
      </c>
      <c r="K997" s="128" t="s">
        <v>2219</v>
      </c>
      <c r="L997" s="127"/>
      <c r="M997" s="127">
        <v>628612</v>
      </c>
      <c r="N997" s="109"/>
      <c r="O997" s="19"/>
      <c r="P997" s="20"/>
      <c r="Q997" s="20"/>
    </row>
    <row r="998" spans="1:17" ht="24.9" customHeight="1">
      <c r="A998" s="20">
        <v>362</v>
      </c>
      <c r="B998" s="20" t="s">
        <v>4320</v>
      </c>
      <c r="C998" s="19">
        <v>69</v>
      </c>
      <c r="D998" s="83" t="s">
        <v>2713</v>
      </c>
      <c r="E998" s="19" t="str">
        <f>VLOOKUP(D998,'لیست پرسنل'!$B$2:$E$1020,3,FALSE)</f>
        <v>فکورصنعت</v>
      </c>
      <c r="F998" s="19" t="str">
        <f>VLOOKUP(D998,'لیست پرسنل'!$B$2:$E$1020,4,FALSE)</f>
        <v>انبار</v>
      </c>
      <c r="G998" s="127" t="str">
        <f>VLOOKUP(D998,'لیست پرسنل'!$B$2:$F$1020,2,FALSE)</f>
        <v>1774</v>
      </c>
      <c r="H998" s="151" t="s">
        <v>3381</v>
      </c>
      <c r="I998" s="159" t="s">
        <v>561</v>
      </c>
      <c r="J998" s="128" t="s">
        <v>2686</v>
      </c>
      <c r="K998" s="128" t="s">
        <v>2922</v>
      </c>
      <c r="L998" s="127" t="s">
        <v>3096</v>
      </c>
      <c r="M998" s="128">
        <v>626580</v>
      </c>
      <c r="N998" s="108"/>
      <c r="O998" s="20" t="s">
        <v>705</v>
      </c>
      <c r="P998" s="20"/>
      <c r="Q998" s="20"/>
    </row>
    <row r="999" spans="1:17" ht="24.9" customHeight="1">
      <c r="A999" s="20">
        <v>362</v>
      </c>
      <c r="B999" s="20" t="s">
        <v>4320</v>
      </c>
      <c r="C999" s="19">
        <v>72</v>
      </c>
      <c r="D999" s="19" t="s">
        <v>577</v>
      </c>
      <c r="E999" s="19" t="str">
        <f>VLOOKUP(D999,'لیست پرسنل'!$B$2:$E$1020,3,FALSE)</f>
        <v>فکورصنعت</v>
      </c>
      <c r="F999" s="19" t="str">
        <f>VLOOKUP(D999,'لیست پرسنل'!$B$2:$E$1020,4,FALSE)</f>
        <v>ابزار دقیق</v>
      </c>
      <c r="G999" s="127">
        <f>VLOOKUP(D999,'لیست پرسنل'!$B$2:$F$1020,2,FALSE)</f>
        <v>2201</v>
      </c>
      <c r="H999" s="151" t="s">
        <v>3381</v>
      </c>
      <c r="I999" s="127" t="s">
        <v>570</v>
      </c>
      <c r="J999" s="128" t="s">
        <v>737</v>
      </c>
      <c r="K999" s="128" t="s">
        <v>8051</v>
      </c>
      <c r="L999" s="127" t="s">
        <v>719</v>
      </c>
      <c r="M999" s="127">
        <v>623329</v>
      </c>
      <c r="N999" s="109"/>
      <c r="O999" s="19"/>
      <c r="P999" s="20"/>
      <c r="Q999" s="20"/>
    </row>
    <row r="1000" spans="1:17" ht="24.9" customHeight="1">
      <c r="A1000" s="20">
        <v>362</v>
      </c>
      <c r="B1000" s="20" t="s">
        <v>4320</v>
      </c>
      <c r="C1000" s="19">
        <v>72</v>
      </c>
      <c r="D1000" s="19" t="s">
        <v>577</v>
      </c>
      <c r="E1000" s="19" t="str">
        <f>VLOOKUP(D1000,'لیست پرسنل'!$B$2:$E$1020,3,FALSE)</f>
        <v>فکورصنعت</v>
      </c>
      <c r="F1000" s="19" t="str">
        <f>VLOOKUP(D1000,'لیست پرسنل'!$B$2:$E$1020,4,FALSE)</f>
        <v>ابزار دقیق</v>
      </c>
      <c r="G1000" s="127">
        <f>VLOOKUP(D1000,'لیست پرسنل'!$B$2:$F$1020,2,FALSE)</f>
        <v>2201</v>
      </c>
      <c r="H1000" s="151" t="s">
        <v>3381</v>
      </c>
      <c r="I1000" s="127" t="s">
        <v>570</v>
      </c>
      <c r="J1000" s="126" t="s">
        <v>368</v>
      </c>
      <c r="K1000" s="128" t="s">
        <v>2846</v>
      </c>
      <c r="L1000" s="128" t="s">
        <v>2387</v>
      </c>
      <c r="M1000" s="128">
        <v>628794</v>
      </c>
      <c r="N1000" s="108"/>
      <c r="O1000" s="20"/>
      <c r="P1000" s="20"/>
      <c r="Q1000" s="20"/>
    </row>
    <row r="1001" spans="1:17" ht="24.9" customHeight="1">
      <c r="A1001" s="20">
        <v>362</v>
      </c>
      <c r="B1001" s="20" t="s">
        <v>4320</v>
      </c>
      <c r="C1001" s="19">
        <v>72</v>
      </c>
      <c r="D1001" s="19" t="s">
        <v>577</v>
      </c>
      <c r="E1001" s="19" t="str">
        <f>VLOOKUP(D1001,'لیست پرسنل'!$B$2:$E$1020,3,FALSE)</f>
        <v>فکورصنعت</v>
      </c>
      <c r="F1001" s="19" t="str">
        <f>VLOOKUP(D1001,'لیست پرسنل'!$B$2:$E$1020,4,FALSE)</f>
        <v>ابزار دقیق</v>
      </c>
      <c r="G1001" s="127">
        <f>VLOOKUP(D1001,'لیست پرسنل'!$B$2:$F$1020,2,FALSE)</f>
        <v>2201</v>
      </c>
      <c r="H1001" s="151" t="s">
        <v>3381</v>
      </c>
      <c r="I1001" s="127" t="s">
        <v>570</v>
      </c>
      <c r="J1001" s="127" t="s">
        <v>571</v>
      </c>
      <c r="K1001" s="128"/>
      <c r="L1001" s="150"/>
      <c r="M1001" s="127">
        <v>625422</v>
      </c>
      <c r="N1001" s="109"/>
      <c r="O1001" s="20"/>
      <c r="P1001" s="20"/>
      <c r="Q1001" s="20"/>
    </row>
    <row r="1002" spans="1:17" ht="24.9" customHeight="1">
      <c r="A1002" s="20">
        <v>362</v>
      </c>
      <c r="B1002" s="20" t="s">
        <v>4320</v>
      </c>
      <c r="C1002" s="19">
        <v>72</v>
      </c>
      <c r="D1002" s="19" t="s">
        <v>577</v>
      </c>
      <c r="E1002" s="19" t="str">
        <f>VLOOKUP(D1002,'لیست پرسنل'!$B$2:$E$1020,3,FALSE)</f>
        <v>فکورصنعت</v>
      </c>
      <c r="F1002" s="19" t="str">
        <f>VLOOKUP(D1002,'لیست پرسنل'!$B$2:$E$1020,4,FALSE)</f>
        <v>ابزار دقیق</v>
      </c>
      <c r="G1002" s="127">
        <f>VLOOKUP(D1002,'لیست پرسنل'!$B$2:$F$1020,2,FALSE)</f>
        <v>2201</v>
      </c>
      <c r="H1002" s="151" t="s">
        <v>3381</v>
      </c>
      <c r="I1002" s="127" t="s">
        <v>570</v>
      </c>
      <c r="J1002" s="128" t="s">
        <v>2686</v>
      </c>
      <c r="K1002" s="128" t="s">
        <v>2922</v>
      </c>
      <c r="L1002" s="150" t="s">
        <v>2940</v>
      </c>
      <c r="M1002" s="127">
        <v>626418</v>
      </c>
      <c r="N1002" s="109"/>
      <c r="O1002" s="86"/>
      <c r="P1002" s="20"/>
      <c r="Q1002" s="20"/>
    </row>
    <row r="1003" spans="1:17" ht="24.9" customHeight="1">
      <c r="A1003" s="20">
        <v>362</v>
      </c>
      <c r="B1003" s="20" t="s">
        <v>4320</v>
      </c>
      <c r="C1003" s="19">
        <v>73</v>
      </c>
      <c r="D1003" s="19" t="s">
        <v>2852</v>
      </c>
      <c r="E1003" s="19" t="str">
        <f>VLOOKUP(D1003,'لیست پرسنل'!$B$2:$E$1020,3,FALSE)</f>
        <v>فکورصنعت</v>
      </c>
      <c r="F1003" s="19" t="str">
        <f>VLOOKUP(D1003,'لیست پرسنل'!$B$2:$E$1020,4,FALSE)</f>
        <v>معاون پروژه ها</v>
      </c>
      <c r="G1003" s="127" t="str">
        <f>VLOOKUP(D1003,'لیست پرسنل'!$B$2:$F$1020,2,FALSE)</f>
        <v>243</v>
      </c>
      <c r="H1003" s="151" t="s">
        <v>3381</v>
      </c>
      <c r="I1003" s="127" t="s">
        <v>578</v>
      </c>
      <c r="J1003" s="126" t="s">
        <v>368</v>
      </c>
      <c r="K1003" s="128" t="s">
        <v>2851</v>
      </c>
      <c r="L1003" s="127" t="s">
        <v>2850</v>
      </c>
      <c r="M1003" s="127">
        <v>628682</v>
      </c>
      <c r="N1003" s="109"/>
      <c r="O1003" s="19"/>
      <c r="P1003" s="20"/>
      <c r="Q1003" s="20"/>
    </row>
    <row r="1004" spans="1:17" ht="24.9" customHeight="1">
      <c r="A1004" s="20">
        <v>362</v>
      </c>
      <c r="B1004" s="20" t="s">
        <v>4320</v>
      </c>
      <c r="C1004" s="19">
        <v>73</v>
      </c>
      <c r="D1004" s="19" t="s">
        <v>2852</v>
      </c>
      <c r="E1004" s="19" t="str">
        <f>VLOOKUP(D1004,'لیست پرسنل'!$B$2:$E$1020,3,FALSE)</f>
        <v>فکورصنعت</v>
      </c>
      <c r="F1004" s="19" t="str">
        <f>VLOOKUP(D1004,'لیست پرسنل'!$B$2:$E$1020,4,FALSE)</f>
        <v>معاون پروژه ها</v>
      </c>
      <c r="G1004" s="127" t="str">
        <f>VLOOKUP(D1004,'لیست پرسنل'!$B$2:$F$1020,2,FALSE)</f>
        <v>243</v>
      </c>
      <c r="H1004" s="151" t="s">
        <v>3381</v>
      </c>
      <c r="I1004" s="127" t="s">
        <v>578</v>
      </c>
      <c r="J1004" s="127" t="s">
        <v>571</v>
      </c>
      <c r="K1004" s="128"/>
      <c r="L1004" s="151"/>
      <c r="M1004" s="127">
        <v>624709</v>
      </c>
      <c r="N1004" s="109"/>
      <c r="O1004" s="19"/>
      <c r="P1004" s="20"/>
      <c r="Q1004" s="20"/>
    </row>
    <row r="1005" spans="1:17" ht="24.9" customHeight="1">
      <c r="A1005" s="20">
        <v>362</v>
      </c>
      <c r="B1005" s="20" t="s">
        <v>4320</v>
      </c>
      <c r="C1005" s="19">
        <v>73</v>
      </c>
      <c r="D1005" s="19" t="s">
        <v>2852</v>
      </c>
      <c r="E1005" s="19" t="str">
        <f>VLOOKUP(D1005,'لیست پرسنل'!$B$2:$E$1020,3,FALSE)</f>
        <v>فکورصنعت</v>
      </c>
      <c r="F1005" s="19" t="str">
        <f>VLOOKUP(D1005,'لیست پرسنل'!$B$2:$E$1020,4,FALSE)</f>
        <v>معاون پروژه ها</v>
      </c>
      <c r="G1005" s="127" t="str">
        <f>VLOOKUP(D1005,'لیست پرسنل'!$B$2:$F$1020,2,FALSE)</f>
        <v>243</v>
      </c>
      <c r="H1005" s="151" t="s">
        <v>3381</v>
      </c>
      <c r="I1005" s="127" t="s">
        <v>578</v>
      </c>
      <c r="J1005" s="128" t="s">
        <v>2686</v>
      </c>
      <c r="K1005" s="128" t="s">
        <v>2868</v>
      </c>
      <c r="L1005" s="151" t="s">
        <v>2871</v>
      </c>
      <c r="M1005" s="127">
        <v>628450</v>
      </c>
      <c r="N1005" s="109"/>
      <c r="O1005" s="86"/>
      <c r="P1005" s="20"/>
      <c r="Q1005" s="20"/>
    </row>
    <row r="1006" spans="1:17" ht="24.9" customHeight="1">
      <c r="A1006" s="20">
        <v>362</v>
      </c>
      <c r="B1006" s="20" t="s">
        <v>4320</v>
      </c>
      <c r="C1006" s="19">
        <v>74</v>
      </c>
      <c r="D1006" s="19" t="s">
        <v>3407</v>
      </c>
      <c r="E1006" s="19" t="str">
        <f>VLOOKUP(D1006,'لیست پرسنل'!$B$2:$E$1020,3,FALSE)</f>
        <v>گهر کوشان سپهر</v>
      </c>
      <c r="F1006" s="19" t="str">
        <f>VLOOKUP(D1006,'لیست پرسنل'!$B$2:$E$1020,4,FALSE)</f>
        <v>DCC</v>
      </c>
      <c r="G1006" s="127">
        <f>VLOOKUP(D1006,'لیست پرسنل'!$B$2:$F$1020,2,FALSE)</f>
        <v>20372</v>
      </c>
      <c r="H1006" s="151" t="s">
        <v>3381</v>
      </c>
      <c r="I1006" s="127" t="s">
        <v>579</v>
      </c>
      <c r="J1006" s="127" t="s">
        <v>3383</v>
      </c>
      <c r="K1006" s="128" t="s">
        <v>1503</v>
      </c>
      <c r="L1006" s="127">
        <v>56073315</v>
      </c>
      <c r="M1006" s="127">
        <v>624900</v>
      </c>
      <c r="N1006" s="109"/>
      <c r="O1006" s="19"/>
      <c r="P1006" s="20"/>
      <c r="Q1006" s="20"/>
    </row>
    <row r="1007" spans="1:17" ht="24.9" customHeight="1">
      <c r="A1007" s="20">
        <v>362</v>
      </c>
      <c r="B1007" s="20" t="s">
        <v>4320</v>
      </c>
      <c r="C1007" s="19">
        <v>74</v>
      </c>
      <c r="D1007" s="19" t="s">
        <v>3407</v>
      </c>
      <c r="E1007" s="19" t="str">
        <f>VLOOKUP(D1007,'لیست پرسنل'!$B$2:$E$1020,3,FALSE)</f>
        <v>گهر کوشان سپهر</v>
      </c>
      <c r="F1007" s="19" t="str">
        <f>VLOOKUP(D1007,'لیست پرسنل'!$B$2:$E$1020,4,FALSE)</f>
        <v>DCC</v>
      </c>
      <c r="G1007" s="127">
        <f>VLOOKUP(D1007,'لیست پرسنل'!$B$2:$F$1020,2,FALSE)</f>
        <v>20372</v>
      </c>
      <c r="H1007" s="151" t="s">
        <v>3381</v>
      </c>
      <c r="I1007" s="127" t="s">
        <v>579</v>
      </c>
      <c r="J1007" s="126" t="s">
        <v>368</v>
      </c>
      <c r="K1007" s="128" t="s">
        <v>2846</v>
      </c>
      <c r="L1007" s="128" t="s">
        <v>2365</v>
      </c>
      <c r="M1007" s="128">
        <v>628771</v>
      </c>
      <c r="N1007" s="108"/>
      <c r="O1007" s="19"/>
      <c r="P1007" s="20"/>
      <c r="Q1007" s="20"/>
    </row>
    <row r="1008" spans="1:17" ht="24.9" customHeight="1">
      <c r="A1008" s="20">
        <v>362</v>
      </c>
      <c r="B1008" s="20" t="s">
        <v>4320</v>
      </c>
      <c r="C1008" s="19">
        <v>74</v>
      </c>
      <c r="D1008" s="19" t="s">
        <v>3407</v>
      </c>
      <c r="E1008" s="19" t="str">
        <f>VLOOKUP(D1008,'لیست پرسنل'!$B$2:$E$1020,3,FALSE)</f>
        <v>گهر کوشان سپهر</v>
      </c>
      <c r="F1008" s="19" t="str">
        <f>VLOOKUP(D1008,'لیست پرسنل'!$B$2:$E$1020,4,FALSE)</f>
        <v>DCC</v>
      </c>
      <c r="G1008" s="127">
        <f>VLOOKUP(D1008,'لیست پرسنل'!$B$2:$F$1020,2,FALSE)</f>
        <v>20372</v>
      </c>
      <c r="H1008" s="151" t="s">
        <v>3381</v>
      </c>
      <c r="I1008" s="127" t="s">
        <v>579</v>
      </c>
      <c r="J1008" s="141" t="s">
        <v>571</v>
      </c>
      <c r="K1008" s="128" t="s">
        <v>5270</v>
      </c>
      <c r="L1008" s="154" t="s">
        <v>2219</v>
      </c>
      <c r="M1008" s="131">
        <v>631124</v>
      </c>
      <c r="N1008" s="108"/>
      <c r="O1008" s="20" t="s">
        <v>705</v>
      </c>
      <c r="P1008" s="20"/>
      <c r="Q1008" s="20"/>
    </row>
    <row r="1009" spans="1:17" ht="24.9" customHeight="1">
      <c r="A1009" s="20">
        <v>362</v>
      </c>
      <c r="B1009" s="20" t="s">
        <v>4320</v>
      </c>
      <c r="C1009" s="19">
        <v>74</v>
      </c>
      <c r="D1009" s="20" t="s">
        <v>3407</v>
      </c>
      <c r="E1009" s="19" t="str">
        <f>VLOOKUP(D1009,'لیست پرسنل'!$B$2:$E$1020,3,FALSE)</f>
        <v>گهر کوشان سپهر</v>
      </c>
      <c r="F1009" s="19" t="str">
        <f>VLOOKUP(D1009,'لیست پرسنل'!$B$2:$E$1020,4,FALSE)</f>
        <v>DCC</v>
      </c>
      <c r="G1009" s="127">
        <f>VLOOKUP(D1009,'لیست پرسنل'!$B$2:$F$1020,2,FALSE)</f>
        <v>20372</v>
      </c>
      <c r="H1009" s="126" t="s">
        <v>3381</v>
      </c>
      <c r="I1009" s="128" t="s">
        <v>579</v>
      </c>
      <c r="J1009" s="128" t="s">
        <v>2686</v>
      </c>
      <c r="K1009" s="128" t="s">
        <v>2922</v>
      </c>
      <c r="L1009" s="128" t="s">
        <v>2929</v>
      </c>
      <c r="M1009" s="128">
        <v>626406</v>
      </c>
      <c r="N1009" s="108"/>
      <c r="O1009" s="20" t="s">
        <v>705</v>
      </c>
      <c r="P1009" s="20"/>
      <c r="Q1009" s="20"/>
    </row>
    <row r="1010" spans="1:17" ht="24.9" customHeight="1">
      <c r="A1010" s="20">
        <v>362</v>
      </c>
      <c r="B1010" s="20" t="s">
        <v>4320</v>
      </c>
      <c r="C1010" s="19">
        <v>77</v>
      </c>
      <c r="D1010" s="19" t="s">
        <v>3408</v>
      </c>
      <c r="E1010" s="19" t="str">
        <f>VLOOKUP(D1010,'لیست پرسنل'!$B$2:$E$1020,3,FALSE)</f>
        <v>فکورصنعت</v>
      </c>
      <c r="F1010" s="19" t="str">
        <f>VLOOKUP(D1010,'لیست پرسنل'!$B$2:$E$1020,4,FALSE)</f>
        <v>ابزار دقیق</v>
      </c>
      <c r="G1010" s="127">
        <f>VLOOKUP(D1010,'لیست پرسنل'!$B$2:$F$1020,2,FALSE)</f>
        <v>4000405</v>
      </c>
      <c r="H1010" s="151" t="s">
        <v>3381</v>
      </c>
      <c r="I1010" s="127" t="s">
        <v>679</v>
      </c>
      <c r="J1010" s="126" t="s">
        <v>368</v>
      </c>
      <c r="K1010" s="128" t="s">
        <v>2846</v>
      </c>
      <c r="L1010" s="127" t="s">
        <v>2368</v>
      </c>
      <c r="M1010" s="128">
        <v>628775</v>
      </c>
      <c r="N1010" s="108"/>
      <c r="O1010" s="39"/>
      <c r="P1010" s="20"/>
      <c r="Q1010" s="20"/>
    </row>
    <row r="1011" spans="1:17" ht="24.9" customHeight="1">
      <c r="A1011" s="20">
        <v>362</v>
      </c>
      <c r="B1011" s="20" t="s">
        <v>4320</v>
      </c>
      <c r="C1011" s="19">
        <v>77</v>
      </c>
      <c r="D1011" s="19" t="s">
        <v>3408</v>
      </c>
      <c r="E1011" s="19" t="str">
        <f>VLOOKUP(D1011,'لیست پرسنل'!$B$2:$E$1020,3,FALSE)</f>
        <v>فکورصنعت</v>
      </c>
      <c r="F1011" s="19" t="str">
        <f>VLOOKUP(D1011,'لیست پرسنل'!$B$2:$E$1020,4,FALSE)</f>
        <v>ابزار دقیق</v>
      </c>
      <c r="G1011" s="127">
        <f>VLOOKUP(D1011,'لیست پرسنل'!$B$2:$F$1020,2,FALSE)</f>
        <v>4000405</v>
      </c>
      <c r="H1011" s="151" t="s">
        <v>3381</v>
      </c>
      <c r="I1011" s="127" t="s">
        <v>679</v>
      </c>
      <c r="J1011" s="141" t="s">
        <v>571</v>
      </c>
      <c r="K1011" s="128" t="s">
        <v>1951</v>
      </c>
      <c r="L1011" s="159" t="s">
        <v>2219</v>
      </c>
      <c r="M1011" s="127">
        <v>627701</v>
      </c>
      <c r="N1011" s="108"/>
      <c r="O1011" s="20" t="s">
        <v>705</v>
      </c>
      <c r="P1011" s="20"/>
      <c r="Q1011" s="20"/>
    </row>
    <row r="1012" spans="1:17" ht="24.9" customHeight="1">
      <c r="A1012" s="20">
        <v>362</v>
      </c>
      <c r="B1012" s="20" t="s">
        <v>4320</v>
      </c>
      <c r="C1012" s="19">
        <v>77</v>
      </c>
      <c r="D1012" s="19" t="s">
        <v>3408</v>
      </c>
      <c r="E1012" s="19" t="str">
        <f>VLOOKUP(D1012,'لیست پرسنل'!$B$2:$E$1020,3,FALSE)</f>
        <v>فکورصنعت</v>
      </c>
      <c r="F1012" s="19" t="str">
        <f>VLOOKUP(D1012,'لیست پرسنل'!$B$2:$E$1020,4,FALSE)</f>
        <v>ابزار دقیق</v>
      </c>
      <c r="G1012" s="127">
        <f>VLOOKUP(D1012,'لیست پرسنل'!$B$2:$F$1020,2,FALSE)</f>
        <v>4000405</v>
      </c>
      <c r="H1012" s="151" t="s">
        <v>3381</v>
      </c>
      <c r="I1012" s="127" t="s">
        <v>679</v>
      </c>
      <c r="J1012" s="128" t="s">
        <v>2686</v>
      </c>
      <c r="K1012" s="128" t="s">
        <v>2922</v>
      </c>
      <c r="L1012" s="151" t="s">
        <v>3076</v>
      </c>
      <c r="M1012" s="127">
        <v>626560</v>
      </c>
      <c r="N1012" s="109"/>
      <c r="O1012" s="86"/>
      <c r="P1012" s="20"/>
      <c r="Q1012" s="20"/>
    </row>
    <row r="1013" spans="1:17" ht="24.9" customHeight="1">
      <c r="A1013" s="20">
        <v>362</v>
      </c>
      <c r="B1013" s="20" t="s">
        <v>4320</v>
      </c>
      <c r="C1013" s="19">
        <v>78</v>
      </c>
      <c r="D1013" s="19" t="s">
        <v>681</v>
      </c>
      <c r="E1013" s="19" t="str">
        <f>VLOOKUP(D1013,'لیست پرسنل'!$B$2:$E$1020,3,FALSE)</f>
        <v>گهر کوشان سپهر</v>
      </c>
      <c r="F1013" s="19" t="str">
        <f>VLOOKUP(D1013,'لیست پرسنل'!$B$2:$E$1020,4,FALSE)</f>
        <v>آی تی</v>
      </c>
      <c r="G1013" s="127">
        <f>VLOOKUP(D1013,'لیست پرسنل'!$B$2:$F$1020,2,FALSE)</f>
        <v>20404</v>
      </c>
      <c r="H1013" s="151" t="s">
        <v>3381</v>
      </c>
      <c r="I1013" s="127" t="s">
        <v>680</v>
      </c>
      <c r="J1013" s="126" t="s">
        <v>368</v>
      </c>
      <c r="K1013" s="128" t="s">
        <v>2846</v>
      </c>
      <c r="L1013" s="128" t="s">
        <v>2446</v>
      </c>
      <c r="M1013" s="128">
        <v>628855</v>
      </c>
      <c r="N1013" s="108"/>
      <c r="O1013" s="20"/>
      <c r="P1013" s="20"/>
      <c r="Q1013" s="20"/>
    </row>
    <row r="1014" spans="1:17" ht="24.9" customHeight="1">
      <c r="A1014" s="20">
        <v>362</v>
      </c>
      <c r="B1014" s="20" t="s">
        <v>4320</v>
      </c>
      <c r="C1014" s="19">
        <v>78</v>
      </c>
      <c r="D1014" s="19" t="s">
        <v>681</v>
      </c>
      <c r="E1014" s="19" t="str">
        <f>VLOOKUP(D1014,'لیست پرسنل'!$B$2:$E$1020,3,FALSE)</f>
        <v>گهر کوشان سپهر</v>
      </c>
      <c r="F1014" s="19" t="str">
        <f>VLOOKUP(D1014,'لیست پرسنل'!$B$2:$E$1020,4,FALSE)</f>
        <v>آی تی</v>
      </c>
      <c r="G1014" s="127">
        <f>VLOOKUP(D1014,'لیست پرسنل'!$B$2:$F$1020,2,FALSE)</f>
        <v>20404</v>
      </c>
      <c r="H1014" s="151" t="s">
        <v>3381</v>
      </c>
      <c r="I1014" s="127" t="s">
        <v>680</v>
      </c>
      <c r="J1014" s="127" t="s">
        <v>571</v>
      </c>
      <c r="K1014" s="128" t="s">
        <v>2219</v>
      </c>
      <c r="L1014" s="166"/>
      <c r="M1014" s="127">
        <v>628131</v>
      </c>
      <c r="N1014" s="109"/>
      <c r="O1014" s="86"/>
      <c r="P1014" s="20"/>
      <c r="Q1014" s="20"/>
    </row>
    <row r="1015" spans="1:17" ht="24.9" customHeight="1">
      <c r="A1015" s="20">
        <v>362</v>
      </c>
      <c r="B1015" s="20" t="s">
        <v>4320</v>
      </c>
      <c r="C1015" s="19">
        <v>78</v>
      </c>
      <c r="D1015" s="19" t="s">
        <v>681</v>
      </c>
      <c r="E1015" s="19" t="str">
        <f>VLOOKUP(D1015,'لیست پرسنل'!$B$2:$E$1020,3,FALSE)</f>
        <v>گهر کوشان سپهر</v>
      </c>
      <c r="F1015" s="19" t="str">
        <f>VLOOKUP(D1015,'لیست پرسنل'!$B$2:$E$1020,4,FALSE)</f>
        <v>آی تی</v>
      </c>
      <c r="G1015" s="127">
        <f>VLOOKUP(D1015,'لیست پرسنل'!$B$2:$F$1020,2,FALSE)</f>
        <v>20404</v>
      </c>
      <c r="H1015" s="151" t="s">
        <v>3381</v>
      </c>
      <c r="I1015" s="127" t="s">
        <v>680</v>
      </c>
      <c r="J1015" s="128" t="s">
        <v>2686</v>
      </c>
      <c r="K1015" s="128" t="s">
        <v>2922</v>
      </c>
      <c r="L1015" s="151" t="s">
        <v>2988</v>
      </c>
      <c r="M1015" s="127">
        <v>626470</v>
      </c>
      <c r="N1015" s="109"/>
      <c r="O1015" s="86"/>
      <c r="P1015" s="20"/>
      <c r="Q1015" s="20"/>
    </row>
    <row r="1016" spans="1:17" ht="24.9" customHeight="1">
      <c r="A1016" s="20">
        <v>362</v>
      </c>
      <c r="B1016" s="20" t="s">
        <v>4320</v>
      </c>
      <c r="C1016" s="19">
        <v>79</v>
      </c>
      <c r="D1016" s="19" t="s">
        <v>2830</v>
      </c>
      <c r="E1016" s="19" t="str">
        <f>VLOOKUP(D1016,'لیست پرسنل'!$B$2:$E$1020,3,FALSE)</f>
        <v>گهر کوشان سپهر</v>
      </c>
      <c r="F1016" s="19" t="str">
        <f>VLOOKUP(D1016,'لیست پرسنل'!$B$2:$E$1020,4,FALSE)</f>
        <v>DCC</v>
      </c>
      <c r="G1016" s="127">
        <f>VLOOKUP(D1016,'لیست پرسنل'!$B$2:$F$1020,2,FALSE)</f>
        <v>20247</v>
      </c>
      <c r="H1016" s="151" t="s">
        <v>3381</v>
      </c>
      <c r="I1016" s="127" t="s">
        <v>685</v>
      </c>
      <c r="J1016" s="128" t="s">
        <v>737</v>
      </c>
      <c r="K1016" s="128" t="s">
        <v>362</v>
      </c>
      <c r="L1016" s="127" t="s">
        <v>363</v>
      </c>
      <c r="M1016" s="127">
        <v>600307</v>
      </c>
      <c r="N1016" s="109"/>
      <c r="O1016" s="19"/>
      <c r="P1016" s="20"/>
      <c r="Q1016" s="20"/>
    </row>
    <row r="1017" spans="1:17" ht="24.9" customHeight="1">
      <c r="A1017" s="20">
        <v>362</v>
      </c>
      <c r="B1017" s="20" t="s">
        <v>4320</v>
      </c>
      <c r="C1017" s="19">
        <v>79</v>
      </c>
      <c r="D1017" s="19" t="s">
        <v>2830</v>
      </c>
      <c r="E1017" s="19" t="str">
        <f>VLOOKUP(D1017,'لیست پرسنل'!$B$2:$E$1020,3,FALSE)</f>
        <v>گهر کوشان سپهر</v>
      </c>
      <c r="F1017" s="19" t="str">
        <f>VLOOKUP(D1017,'لیست پرسنل'!$B$2:$E$1020,4,FALSE)</f>
        <v>DCC</v>
      </c>
      <c r="G1017" s="127">
        <f>VLOOKUP(D1017,'لیست پرسنل'!$B$2:$F$1020,2,FALSE)</f>
        <v>20247</v>
      </c>
      <c r="H1017" s="151" t="s">
        <v>3381</v>
      </c>
      <c r="I1017" s="127" t="s">
        <v>685</v>
      </c>
      <c r="J1017" s="127" t="s">
        <v>3409</v>
      </c>
      <c r="K1017" s="128" t="s">
        <v>580</v>
      </c>
      <c r="L1017" s="127" t="s">
        <v>581</v>
      </c>
      <c r="M1017" s="128">
        <v>621253</v>
      </c>
      <c r="N1017" s="108"/>
      <c r="O1017" s="19"/>
      <c r="P1017" s="20"/>
      <c r="Q1017" s="20"/>
    </row>
    <row r="1018" spans="1:17" ht="24.9" customHeight="1">
      <c r="A1018" s="20">
        <v>362</v>
      </c>
      <c r="B1018" s="20" t="s">
        <v>4320</v>
      </c>
      <c r="C1018" s="19">
        <v>79</v>
      </c>
      <c r="D1018" s="19" t="s">
        <v>2830</v>
      </c>
      <c r="E1018" s="19" t="str">
        <f>VLOOKUP(D1018,'لیست پرسنل'!$B$2:$E$1020,3,FALSE)</f>
        <v>گهر کوشان سپهر</v>
      </c>
      <c r="F1018" s="19" t="str">
        <f>VLOOKUP(D1018,'لیست پرسنل'!$B$2:$E$1020,4,FALSE)</f>
        <v>DCC</v>
      </c>
      <c r="G1018" s="127">
        <f>VLOOKUP(D1018,'لیست پرسنل'!$B$2:$F$1020,2,FALSE)</f>
        <v>20247</v>
      </c>
      <c r="H1018" s="151" t="s">
        <v>3381</v>
      </c>
      <c r="I1018" s="127" t="s">
        <v>685</v>
      </c>
      <c r="J1018" s="126" t="s">
        <v>368</v>
      </c>
      <c r="K1018" s="128" t="s">
        <v>2846</v>
      </c>
      <c r="L1018" s="128" t="s">
        <v>2460</v>
      </c>
      <c r="M1018" s="128">
        <v>628869</v>
      </c>
      <c r="N1018" s="108"/>
      <c r="O1018" s="19"/>
      <c r="P1018" s="20"/>
      <c r="Q1018" s="20"/>
    </row>
    <row r="1019" spans="1:17" ht="24.9" customHeight="1">
      <c r="A1019" s="20">
        <v>362</v>
      </c>
      <c r="B1019" s="20" t="s">
        <v>4320</v>
      </c>
      <c r="C1019" s="19">
        <v>79</v>
      </c>
      <c r="D1019" s="19" t="s">
        <v>2830</v>
      </c>
      <c r="E1019" s="19" t="str">
        <f>VLOOKUP(D1019,'لیست پرسنل'!$B$2:$E$1020,3,FALSE)</f>
        <v>گهر کوشان سپهر</v>
      </c>
      <c r="F1019" s="19" t="str">
        <f>VLOOKUP(D1019,'لیست پرسنل'!$B$2:$E$1020,4,FALSE)</f>
        <v>DCC</v>
      </c>
      <c r="G1019" s="127">
        <f>VLOOKUP(D1019,'لیست پرسنل'!$B$2:$F$1020,2,FALSE)</f>
        <v>20247</v>
      </c>
      <c r="H1019" s="151" t="s">
        <v>3381</v>
      </c>
      <c r="I1019" s="127" t="s">
        <v>685</v>
      </c>
      <c r="J1019" s="127" t="s">
        <v>571</v>
      </c>
      <c r="K1019" s="128"/>
      <c r="L1019" s="151"/>
      <c r="M1019" s="127">
        <v>623789</v>
      </c>
      <c r="N1019" s="109"/>
      <c r="O1019" s="19"/>
      <c r="P1019" s="20"/>
      <c r="Q1019" s="20"/>
    </row>
    <row r="1020" spans="1:17" ht="24.9" customHeight="1">
      <c r="A1020" s="20">
        <v>362</v>
      </c>
      <c r="B1020" s="20" t="s">
        <v>4320</v>
      </c>
      <c r="C1020" s="19">
        <v>79</v>
      </c>
      <c r="D1020" s="19" t="s">
        <v>2830</v>
      </c>
      <c r="E1020" s="19" t="str">
        <f>VLOOKUP(D1020,'لیست پرسنل'!$B$2:$E$1020,3,FALSE)</f>
        <v>گهر کوشان سپهر</v>
      </c>
      <c r="F1020" s="19" t="str">
        <f>VLOOKUP(D1020,'لیست پرسنل'!$B$2:$E$1020,4,FALSE)</f>
        <v>DCC</v>
      </c>
      <c r="G1020" s="127">
        <f>VLOOKUP(D1020,'لیست پرسنل'!$B$2:$F$1020,2,FALSE)</f>
        <v>20247</v>
      </c>
      <c r="H1020" s="151" t="s">
        <v>3381</v>
      </c>
      <c r="I1020" s="127" t="s">
        <v>685</v>
      </c>
      <c r="J1020" s="128" t="s">
        <v>2686</v>
      </c>
      <c r="K1020" s="128" t="s">
        <v>2922</v>
      </c>
      <c r="L1020" s="151" t="s">
        <v>2985</v>
      </c>
      <c r="M1020" s="127">
        <v>626467</v>
      </c>
      <c r="N1020" s="109"/>
      <c r="O1020" s="86"/>
      <c r="P1020" s="20"/>
      <c r="Q1020" s="20"/>
    </row>
    <row r="1021" spans="1:17" ht="24.9" customHeight="1">
      <c r="A1021" s="20">
        <v>362</v>
      </c>
      <c r="B1021" s="20" t="s">
        <v>4320</v>
      </c>
      <c r="C1021" s="19">
        <v>80</v>
      </c>
      <c r="D1021" s="19" t="s">
        <v>3410</v>
      </c>
      <c r="E1021" s="19" t="str">
        <f>VLOOKUP(D1021,'لیست پرسنل'!$B$2:$E$1020,3,FALSE)</f>
        <v>مهرفام</v>
      </c>
      <c r="F1021" s="19" t="str">
        <f>VLOOKUP(D1021,'لیست پرسنل'!$B$2:$E$1020,4,FALSE)</f>
        <v>استراکچر</v>
      </c>
      <c r="G1021" s="127">
        <f>VLOOKUP(D1021,'لیست پرسنل'!$B$2:$F$1020,2,FALSE)</f>
        <v>100512</v>
      </c>
      <c r="H1021" s="151" t="s">
        <v>3381</v>
      </c>
      <c r="I1021" s="127" t="s">
        <v>695</v>
      </c>
      <c r="J1021" s="126" t="s">
        <v>368</v>
      </c>
      <c r="K1021" s="135" t="s">
        <v>8248</v>
      </c>
      <c r="L1021" s="127" t="s">
        <v>2312</v>
      </c>
      <c r="M1021" s="128">
        <v>628718</v>
      </c>
      <c r="N1021" s="111"/>
      <c r="O1021" s="20" t="s">
        <v>705</v>
      </c>
      <c r="P1021" s="20"/>
      <c r="Q1021" s="20"/>
    </row>
    <row r="1022" spans="1:17" ht="24.9" customHeight="1">
      <c r="A1022" s="20">
        <v>362</v>
      </c>
      <c r="B1022" s="20" t="s">
        <v>4320</v>
      </c>
      <c r="C1022" s="19">
        <v>80</v>
      </c>
      <c r="D1022" s="19" t="s">
        <v>3410</v>
      </c>
      <c r="E1022" s="19" t="str">
        <f>VLOOKUP(D1022,'لیست پرسنل'!$B$2:$E$1020,3,FALSE)</f>
        <v>مهرفام</v>
      </c>
      <c r="F1022" s="19" t="str">
        <f>VLOOKUP(D1022,'لیست پرسنل'!$B$2:$E$1020,4,FALSE)</f>
        <v>استراکچر</v>
      </c>
      <c r="G1022" s="127">
        <f>VLOOKUP(D1022,'لیست پرسنل'!$B$2:$F$1020,2,FALSE)</f>
        <v>100512</v>
      </c>
      <c r="H1022" s="151" t="s">
        <v>3381</v>
      </c>
      <c r="I1022" s="127" t="s">
        <v>695</v>
      </c>
      <c r="J1022" s="127" t="s">
        <v>571</v>
      </c>
      <c r="K1022" s="127"/>
      <c r="L1022" s="151"/>
      <c r="M1022" s="127">
        <v>625456</v>
      </c>
      <c r="N1022" s="109"/>
      <c r="O1022" s="19"/>
      <c r="P1022" s="20"/>
      <c r="Q1022" s="20"/>
    </row>
    <row r="1023" spans="1:17" ht="24.9" customHeight="1">
      <c r="A1023" s="20">
        <v>362</v>
      </c>
      <c r="B1023" s="20" t="s">
        <v>4320</v>
      </c>
      <c r="C1023" s="19">
        <v>80</v>
      </c>
      <c r="D1023" s="19" t="s">
        <v>3410</v>
      </c>
      <c r="E1023" s="19" t="str">
        <f>VLOOKUP(D1023,'لیست پرسنل'!$B$2:$E$1020,3,FALSE)</f>
        <v>مهرفام</v>
      </c>
      <c r="F1023" s="19" t="str">
        <f>VLOOKUP(D1023,'لیست پرسنل'!$B$2:$E$1020,4,FALSE)</f>
        <v>استراکچر</v>
      </c>
      <c r="G1023" s="127">
        <f>VLOOKUP(D1023,'لیست پرسنل'!$B$2:$F$1020,2,FALSE)</f>
        <v>100512</v>
      </c>
      <c r="H1023" s="151" t="s">
        <v>3381</v>
      </c>
      <c r="I1023" s="127" t="s">
        <v>695</v>
      </c>
      <c r="J1023" s="128" t="s">
        <v>2686</v>
      </c>
      <c r="K1023" s="128" t="s">
        <v>744</v>
      </c>
      <c r="L1023" s="151" t="s">
        <v>1418</v>
      </c>
      <c r="M1023" s="127">
        <v>605429</v>
      </c>
      <c r="N1023" s="109"/>
      <c r="O1023" s="19"/>
      <c r="P1023" s="20"/>
      <c r="Q1023" s="20"/>
    </row>
    <row r="1024" spans="1:17" ht="24.9" customHeight="1">
      <c r="A1024" s="20">
        <v>362</v>
      </c>
      <c r="B1024" s="20" t="s">
        <v>4320</v>
      </c>
      <c r="C1024" s="19">
        <v>81</v>
      </c>
      <c r="D1024" s="19" t="s">
        <v>2845</v>
      </c>
      <c r="E1024" s="19" t="str">
        <f>VLOOKUP(D1024,'لیست پرسنل'!$B$2:$E$1020,3,FALSE)</f>
        <v>فکورصنعت</v>
      </c>
      <c r="F1024" s="19" t="str">
        <f>VLOOKUP(D1024,'لیست پرسنل'!$B$2:$E$1020,4,FALSE)</f>
        <v>کنترل کیفیت</v>
      </c>
      <c r="G1024" s="127">
        <f>VLOOKUP(D1024,'لیست پرسنل'!$B$2:$F$1020,2,FALSE)</f>
        <v>20413</v>
      </c>
      <c r="H1024" s="151" t="s">
        <v>3381</v>
      </c>
      <c r="I1024" s="127" t="s">
        <v>696</v>
      </c>
      <c r="J1024" s="126" t="s">
        <v>368</v>
      </c>
      <c r="K1024" s="128" t="s">
        <v>2846</v>
      </c>
      <c r="L1024" s="127" t="s">
        <v>2341</v>
      </c>
      <c r="M1024" s="128">
        <v>628747</v>
      </c>
      <c r="N1024" s="108"/>
      <c r="O1024" s="19"/>
      <c r="P1024" s="20"/>
      <c r="Q1024" s="20"/>
    </row>
    <row r="1025" spans="1:17" ht="24.9" customHeight="1">
      <c r="A1025" s="20">
        <v>362</v>
      </c>
      <c r="B1025" s="20" t="s">
        <v>4320</v>
      </c>
      <c r="C1025" s="19">
        <v>81</v>
      </c>
      <c r="D1025" s="19" t="s">
        <v>2845</v>
      </c>
      <c r="E1025" s="19" t="str">
        <f>VLOOKUP(D1025,'لیست پرسنل'!$B$2:$E$1020,3,FALSE)</f>
        <v>فکورصنعت</v>
      </c>
      <c r="F1025" s="19" t="str">
        <f>VLOOKUP(D1025,'لیست پرسنل'!$B$2:$E$1020,4,FALSE)</f>
        <v>کنترل کیفیت</v>
      </c>
      <c r="G1025" s="127">
        <f>VLOOKUP(D1025,'لیست پرسنل'!$B$2:$F$1020,2,FALSE)</f>
        <v>20413</v>
      </c>
      <c r="H1025" s="151" t="s">
        <v>3381</v>
      </c>
      <c r="I1025" s="127" t="s">
        <v>696</v>
      </c>
      <c r="J1025" s="127" t="s">
        <v>571</v>
      </c>
      <c r="K1025" s="128"/>
      <c r="L1025" s="127"/>
      <c r="M1025" s="127">
        <v>622523</v>
      </c>
      <c r="N1025" s="109"/>
      <c r="O1025" s="19"/>
      <c r="P1025" s="20"/>
      <c r="Q1025" s="20"/>
    </row>
    <row r="1026" spans="1:17" ht="24.9" customHeight="1">
      <c r="A1026" s="20">
        <v>362</v>
      </c>
      <c r="B1026" s="20" t="s">
        <v>4320</v>
      </c>
      <c r="C1026" s="19">
        <v>81</v>
      </c>
      <c r="D1026" s="19" t="s">
        <v>2845</v>
      </c>
      <c r="E1026" s="19" t="str">
        <f>VLOOKUP(D1026,'لیست پرسنل'!$B$2:$E$1020,3,FALSE)</f>
        <v>فکورصنعت</v>
      </c>
      <c r="F1026" s="19" t="str">
        <f>VLOOKUP(D1026,'لیست پرسنل'!$B$2:$E$1020,4,FALSE)</f>
        <v>کنترل کیفیت</v>
      </c>
      <c r="G1026" s="127">
        <f>VLOOKUP(D1026,'لیست پرسنل'!$B$2:$F$1020,2,FALSE)</f>
        <v>20413</v>
      </c>
      <c r="H1026" s="151" t="s">
        <v>3381</v>
      </c>
      <c r="I1026" s="127" t="s">
        <v>696</v>
      </c>
      <c r="J1026" s="128" t="s">
        <v>2686</v>
      </c>
      <c r="K1026" s="128" t="s">
        <v>2922</v>
      </c>
      <c r="L1026" s="128" t="s">
        <v>2968</v>
      </c>
      <c r="M1026" s="128">
        <v>626449</v>
      </c>
      <c r="N1026" s="108"/>
      <c r="O1026" s="20" t="s">
        <v>705</v>
      </c>
      <c r="P1026" s="20"/>
      <c r="Q1026" s="20"/>
    </row>
    <row r="1027" spans="1:17" ht="24.9" customHeight="1">
      <c r="A1027" s="20">
        <v>362</v>
      </c>
      <c r="B1027" s="20" t="s">
        <v>4320</v>
      </c>
      <c r="C1027" s="19">
        <v>83</v>
      </c>
      <c r="D1027" s="19" t="s">
        <v>717</v>
      </c>
      <c r="E1027" s="19" t="str">
        <f>VLOOKUP(D1027,'لیست پرسنل'!$B$2:$E$1020,3,FALSE)</f>
        <v>فکورصنعت</v>
      </c>
      <c r="F1027" s="19" t="str">
        <f>VLOOKUP(D1027,'لیست پرسنل'!$B$2:$E$1020,4,FALSE)</f>
        <v>کنترل کیفیت</v>
      </c>
      <c r="G1027" s="127">
        <f>VLOOKUP(D1027,'لیست پرسنل'!$B$2:$F$1020,2,FALSE)</f>
        <v>4000601</v>
      </c>
      <c r="H1027" s="151" t="s">
        <v>3381</v>
      </c>
      <c r="I1027" s="127" t="s">
        <v>716</v>
      </c>
      <c r="J1027" s="126" t="s">
        <v>368</v>
      </c>
      <c r="K1027" s="135" t="s">
        <v>8248</v>
      </c>
      <c r="L1027" s="127" t="s">
        <v>2320</v>
      </c>
      <c r="M1027" s="128">
        <v>628726</v>
      </c>
      <c r="N1027" s="108"/>
      <c r="O1027" s="20" t="s">
        <v>705</v>
      </c>
      <c r="P1027" s="20"/>
      <c r="Q1027" s="20"/>
    </row>
    <row r="1028" spans="1:17" ht="24.9" customHeight="1">
      <c r="A1028" s="20">
        <v>362</v>
      </c>
      <c r="B1028" s="20" t="s">
        <v>4320</v>
      </c>
      <c r="C1028" s="19">
        <v>83</v>
      </c>
      <c r="D1028" s="19" t="s">
        <v>717</v>
      </c>
      <c r="E1028" s="19" t="str">
        <f>VLOOKUP(D1028,'لیست پرسنل'!$B$2:$E$1020,3,FALSE)</f>
        <v>فکورصنعت</v>
      </c>
      <c r="F1028" s="19" t="str">
        <f>VLOOKUP(D1028,'لیست پرسنل'!$B$2:$E$1020,4,FALSE)</f>
        <v>کنترل کیفیت</v>
      </c>
      <c r="G1028" s="127">
        <f>VLOOKUP(D1028,'لیست پرسنل'!$B$2:$F$1020,2,FALSE)</f>
        <v>4000601</v>
      </c>
      <c r="H1028" s="151" t="s">
        <v>3381</v>
      </c>
      <c r="I1028" s="127" t="s">
        <v>716</v>
      </c>
      <c r="J1028" s="127" t="s">
        <v>571</v>
      </c>
      <c r="K1028" s="128" t="s">
        <v>2219</v>
      </c>
      <c r="L1028" s="127"/>
      <c r="M1028" s="127">
        <v>628132</v>
      </c>
      <c r="N1028" s="109"/>
      <c r="O1028" s="86"/>
      <c r="P1028" s="20"/>
      <c r="Q1028" s="20"/>
    </row>
    <row r="1029" spans="1:17" ht="24.9" customHeight="1">
      <c r="A1029" s="20">
        <v>362</v>
      </c>
      <c r="B1029" s="20" t="s">
        <v>4320</v>
      </c>
      <c r="C1029" s="19">
        <v>83</v>
      </c>
      <c r="D1029" s="19" t="s">
        <v>717</v>
      </c>
      <c r="E1029" s="19" t="str">
        <f>VLOOKUP(D1029,'لیست پرسنل'!$B$2:$E$1020,3,FALSE)</f>
        <v>فکورصنعت</v>
      </c>
      <c r="F1029" s="19" t="str">
        <f>VLOOKUP(D1029,'لیست پرسنل'!$B$2:$E$1020,4,FALSE)</f>
        <v>کنترل کیفیت</v>
      </c>
      <c r="G1029" s="127">
        <f>VLOOKUP(D1029,'لیست پرسنل'!$B$2:$F$1020,2,FALSE)</f>
        <v>4000601</v>
      </c>
      <c r="H1029" s="151" t="s">
        <v>3381</v>
      </c>
      <c r="I1029" s="127" t="s">
        <v>716</v>
      </c>
      <c r="J1029" s="128" t="s">
        <v>2686</v>
      </c>
      <c r="K1029" s="128" t="s">
        <v>744</v>
      </c>
      <c r="L1029" s="127" t="s">
        <v>526</v>
      </c>
      <c r="M1029" s="127">
        <v>605848</v>
      </c>
      <c r="N1029" s="109"/>
      <c r="O1029" s="86"/>
      <c r="P1029" s="20"/>
      <c r="Q1029" s="20"/>
    </row>
    <row r="1030" spans="1:17" ht="24.9" customHeight="1">
      <c r="A1030" s="20">
        <v>362</v>
      </c>
      <c r="B1030" s="20" t="s">
        <v>4320</v>
      </c>
      <c r="C1030" s="20">
        <v>84</v>
      </c>
      <c r="D1030" s="20" t="s">
        <v>5285</v>
      </c>
      <c r="E1030" s="19" t="str">
        <f>VLOOKUP(D1030,'لیست پرسنل'!$B$2:$E$1020,3,FALSE)</f>
        <v>فرزان فن اندیش</v>
      </c>
      <c r="F1030" s="19" t="str">
        <f>VLOOKUP(D1030,'لیست پرسنل'!$B$2:$E$1020,4,FALSE)</f>
        <v>هماهنگ کننده</v>
      </c>
      <c r="G1030" s="127" t="str">
        <f>VLOOKUP(D1030,'لیست پرسنل'!$B$2:$F$1020,2,FALSE)</f>
        <v>0</v>
      </c>
      <c r="H1030" s="126" t="s">
        <v>3381</v>
      </c>
      <c r="I1030" s="128" t="s">
        <v>5051</v>
      </c>
      <c r="J1030" s="126" t="s">
        <v>368</v>
      </c>
      <c r="K1030" s="128" t="s">
        <v>2848</v>
      </c>
      <c r="L1030" s="128" t="s">
        <v>2847</v>
      </c>
      <c r="M1030" s="128">
        <v>628683</v>
      </c>
      <c r="N1030" s="108"/>
      <c r="O1030" s="19"/>
      <c r="P1030" s="20"/>
      <c r="Q1030" s="20"/>
    </row>
    <row r="1031" spans="1:17" ht="24.9" customHeight="1">
      <c r="A1031" s="20">
        <v>362</v>
      </c>
      <c r="B1031" s="20" t="s">
        <v>4320</v>
      </c>
      <c r="C1031" s="20">
        <v>84</v>
      </c>
      <c r="D1031" s="20" t="s">
        <v>5285</v>
      </c>
      <c r="E1031" s="19" t="str">
        <f>VLOOKUP(D1031,'لیست پرسنل'!$B$2:$E$1020,3,FALSE)</f>
        <v>فرزان فن اندیش</v>
      </c>
      <c r="F1031" s="19" t="str">
        <f>VLOOKUP(D1031,'لیست پرسنل'!$B$2:$E$1020,4,FALSE)</f>
        <v>هماهنگ کننده</v>
      </c>
      <c r="G1031" s="127" t="str">
        <f>VLOOKUP(D1031,'لیست پرسنل'!$B$2:$F$1020,2,FALSE)</f>
        <v>0</v>
      </c>
      <c r="H1031" s="126" t="s">
        <v>3381</v>
      </c>
      <c r="I1031" s="128" t="s">
        <v>5051</v>
      </c>
      <c r="J1031" s="127" t="s">
        <v>5366</v>
      </c>
      <c r="K1031" s="128" t="s">
        <v>8235</v>
      </c>
      <c r="L1031" s="127" t="s">
        <v>645</v>
      </c>
      <c r="M1031" s="127">
        <v>613914</v>
      </c>
      <c r="N1031" s="109" t="s">
        <v>345</v>
      </c>
      <c r="O1031" s="81" t="s">
        <v>5023</v>
      </c>
      <c r="P1031" s="20"/>
      <c r="Q1031" s="20"/>
    </row>
    <row r="1032" spans="1:17" ht="24.9" customHeight="1">
      <c r="A1032" s="20">
        <v>362</v>
      </c>
      <c r="B1032" s="20" t="s">
        <v>4320</v>
      </c>
      <c r="C1032" s="20">
        <v>84</v>
      </c>
      <c r="D1032" s="20" t="s">
        <v>5285</v>
      </c>
      <c r="E1032" s="19" t="str">
        <f>VLOOKUP(D1032,'لیست پرسنل'!$B$2:$E$1020,3,FALSE)</f>
        <v>فرزان فن اندیش</v>
      </c>
      <c r="F1032" s="19" t="str">
        <f>VLOOKUP(D1032,'لیست پرسنل'!$B$2:$E$1020,4,FALSE)</f>
        <v>هماهنگ کننده</v>
      </c>
      <c r="G1032" s="127" t="str">
        <f>VLOOKUP(D1032,'لیست پرسنل'!$B$2:$F$1020,2,FALSE)</f>
        <v>0</v>
      </c>
      <c r="H1032" s="126" t="s">
        <v>3381</v>
      </c>
      <c r="I1032" s="128" t="s">
        <v>5051</v>
      </c>
      <c r="J1032" s="141" t="s">
        <v>571</v>
      </c>
      <c r="K1032" s="128" t="s">
        <v>1951</v>
      </c>
      <c r="L1032" s="128"/>
      <c r="M1032" s="128">
        <v>629917</v>
      </c>
      <c r="N1032" s="108"/>
      <c r="O1032" s="20" t="s">
        <v>705</v>
      </c>
      <c r="P1032" s="20"/>
      <c r="Q1032" s="20"/>
    </row>
    <row r="1033" spans="1:17" ht="24.9" customHeight="1">
      <c r="A1033" s="20">
        <v>362</v>
      </c>
      <c r="B1033" s="20" t="s">
        <v>4320</v>
      </c>
      <c r="C1033" s="20">
        <v>84</v>
      </c>
      <c r="D1033" s="20" t="s">
        <v>5285</v>
      </c>
      <c r="E1033" s="19" t="str">
        <f>VLOOKUP(D1033,'لیست پرسنل'!$B$2:$E$1020,3,FALSE)</f>
        <v>فرزان فن اندیش</v>
      </c>
      <c r="F1033" s="19" t="str">
        <f>VLOOKUP(D1033,'لیست پرسنل'!$B$2:$E$1020,4,FALSE)</f>
        <v>هماهنگ کننده</v>
      </c>
      <c r="G1033" s="127" t="str">
        <f>VLOOKUP(D1033,'لیست پرسنل'!$B$2:$F$1020,2,FALSE)</f>
        <v>0</v>
      </c>
      <c r="H1033" s="126" t="s">
        <v>3381</v>
      </c>
      <c r="I1033" s="128" t="s">
        <v>5051</v>
      </c>
      <c r="J1033" s="128" t="s">
        <v>2686</v>
      </c>
      <c r="K1033" s="128" t="s">
        <v>2868</v>
      </c>
      <c r="L1033" s="127" t="s">
        <v>2867</v>
      </c>
      <c r="M1033" s="127">
        <v>628448</v>
      </c>
      <c r="N1033" s="109"/>
      <c r="O1033" s="86"/>
      <c r="P1033" s="20"/>
      <c r="Q1033" s="20"/>
    </row>
    <row r="1034" spans="1:17" ht="24.9" customHeight="1">
      <c r="A1034" s="20">
        <v>362</v>
      </c>
      <c r="B1034" s="20" t="s">
        <v>4320</v>
      </c>
      <c r="C1034" s="19">
        <v>86</v>
      </c>
      <c r="D1034" s="19" t="s">
        <v>742</v>
      </c>
      <c r="E1034" s="19" t="str">
        <f>VLOOKUP(D1034,'لیست پرسنل'!$B$2:$E$1020,3,FALSE)</f>
        <v>فکورصنعت</v>
      </c>
      <c r="F1034" s="19" t="str">
        <f>VLOOKUP(D1034,'لیست پرسنل'!$B$2:$E$1020,4,FALSE)</f>
        <v>نظارت مکانیک</v>
      </c>
      <c r="G1034" s="127">
        <f>VLOOKUP(D1034,'لیست پرسنل'!$B$2:$F$1020,2,FALSE)</f>
        <v>4000703</v>
      </c>
      <c r="H1034" s="127" t="s">
        <v>4290</v>
      </c>
      <c r="I1034" s="127" t="s">
        <v>741</v>
      </c>
      <c r="J1034" s="126" t="s">
        <v>368</v>
      </c>
      <c r="K1034" s="128" t="s">
        <v>2846</v>
      </c>
      <c r="L1034" s="127" t="s">
        <v>2375</v>
      </c>
      <c r="M1034" s="127">
        <v>628782</v>
      </c>
      <c r="N1034" s="109"/>
      <c r="O1034" s="19"/>
      <c r="P1034" s="20"/>
      <c r="Q1034" s="20"/>
    </row>
    <row r="1035" spans="1:17" ht="24.9" customHeight="1">
      <c r="A1035" s="20">
        <v>362</v>
      </c>
      <c r="B1035" s="20" t="s">
        <v>4320</v>
      </c>
      <c r="C1035" s="19">
        <v>86</v>
      </c>
      <c r="D1035" s="19" t="s">
        <v>742</v>
      </c>
      <c r="E1035" s="19" t="str">
        <f>VLOOKUP(D1035,'لیست پرسنل'!$B$2:$E$1020,3,FALSE)</f>
        <v>فکورصنعت</v>
      </c>
      <c r="F1035" s="19" t="str">
        <f>VLOOKUP(D1035,'لیست پرسنل'!$B$2:$E$1020,4,FALSE)</f>
        <v>نظارت مکانیک</v>
      </c>
      <c r="G1035" s="127">
        <f>VLOOKUP(D1035,'لیست پرسنل'!$B$2:$F$1020,2,FALSE)</f>
        <v>4000703</v>
      </c>
      <c r="H1035" s="151" t="s">
        <v>3381</v>
      </c>
      <c r="I1035" s="127" t="s">
        <v>741</v>
      </c>
      <c r="J1035" s="127" t="s">
        <v>571</v>
      </c>
      <c r="K1035" s="128" t="s">
        <v>2219</v>
      </c>
      <c r="L1035" s="160"/>
      <c r="M1035" s="127">
        <v>628586</v>
      </c>
      <c r="N1035" s="109"/>
      <c r="O1035" s="19"/>
      <c r="P1035" s="20"/>
      <c r="Q1035" s="20"/>
    </row>
    <row r="1036" spans="1:17" ht="24.9" customHeight="1">
      <c r="A1036" s="20">
        <v>362</v>
      </c>
      <c r="B1036" s="20" t="s">
        <v>4320</v>
      </c>
      <c r="C1036" s="19">
        <v>86</v>
      </c>
      <c r="D1036" s="19" t="s">
        <v>742</v>
      </c>
      <c r="E1036" s="19" t="str">
        <f>VLOOKUP(D1036,'لیست پرسنل'!$B$2:$E$1020,3,FALSE)</f>
        <v>فکورصنعت</v>
      </c>
      <c r="F1036" s="19" t="str">
        <f>VLOOKUP(D1036,'لیست پرسنل'!$B$2:$E$1020,4,FALSE)</f>
        <v>نظارت مکانیک</v>
      </c>
      <c r="G1036" s="127">
        <f>VLOOKUP(D1036,'لیست پرسنل'!$B$2:$F$1020,2,FALSE)</f>
        <v>4000703</v>
      </c>
      <c r="H1036" s="151" t="s">
        <v>3381</v>
      </c>
      <c r="I1036" s="127" t="s">
        <v>741</v>
      </c>
      <c r="J1036" s="128" t="s">
        <v>2686</v>
      </c>
      <c r="K1036" s="128" t="s">
        <v>2922</v>
      </c>
      <c r="L1036" s="160" t="s">
        <v>3074</v>
      </c>
      <c r="M1036" s="127">
        <v>626558</v>
      </c>
      <c r="N1036" s="109"/>
      <c r="O1036" s="19"/>
      <c r="P1036" s="20"/>
      <c r="Q1036" s="20"/>
    </row>
    <row r="1037" spans="1:17" ht="24.9" customHeight="1">
      <c r="A1037" s="20">
        <v>362</v>
      </c>
      <c r="B1037" s="20" t="s">
        <v>4320</v>
      </c>
      <c r="C1037" s="19">
        <v>87</v>
      </c>
      <c r="D1037" s="19" t="s">
        <v>365</v>
      </c>
      <c r="E1037" s="19" t="str">
        <f>VLOOKUP(D1037,'لیست پرسنل'!$B$2:$E$1020,3,FALSE)</f>
        <v>فکورصنعت</v>
      </c>
      <c r="F1037" s="19" t="str">
        <f>VLOOKUP(D1037,'لیست پرسنل'!$B$2:$E$1020,4,FALSE)</f>
        <v>آی تی</v>
      </c>
      <c r="G1037" s="127">
        <f>VLOOKUP(D1037,'لیست پرسنل'!$B$2:$F$1020,2,FALSE)</f>
        <v>2235</v>
      </c>
      <c r="H1037" s="151" t="s">
        <v>3381</v>
      </c>
      <c r="I1037" s="127" t="s">
        <v>832</v>
      </c>
      <c r="J1037" s="126" t="s">
        <v>368</v>
      </c>
      <c r="K1037" s="128" t="s">
        <v>2846</v>
      </c>
      <c r="L1037" s="128" t="s">
        <v>2366</v>
      </c>
      <c r="M1037" s="128">
        <v>628772</v>
      </c>
      <c r="N1037" s="108"/>
      <c r="O1037" s="19"/>
      <c r="P1037" s="20"/>
      <c r="Q1037" s="20"/>
    </row>
    <row r="1038" spans="1:17" ht="24.9" customHeight="1">
      <c r="A1038" s="20">
        <v>362</v>
      </c>
      <c r="B1038" s="20" t="s">
        <v>4320</v>
      </c>
      <c r="C1038" s="19">
        <v>87</v>
      </c>
      <c r="D1038" s="19" t="s">
        <v>365</v>
      </c>
      <c r="E1038" s="19" t="str">
        <f>VLOOKUP(D1038,'لیست پرسنل'!$B$2:$E$1020,3,FALSE)</f>
        <v>فکورصنعت</v>
      </c>
      <c r="F1038" s="19" t="str">
        <f>VLOOKUP(D1038,'لیست پرسنل'!$B$2:$E$1020,4,FALSE)</f>
        <v>آی تی</v>
      </c>
      <c r="G1038" s="127">
        <f>VLOOKUP(D1038,'لیست پرسنل'!$B$2:$F$1020,2,FALSE)</f>
        <v>2235</v>
      </c>
      <c r="H1038" s="151" t="s">
        <v>3381</v>
      </c>
      <c r="I1038" s="127" t="s">
        <v>832</v>
      </c>
      <c r="J1038" s="141" t="s">
        <v>571</v>
      </c>
      <c r="K1038" s="135" t="s">
        <v>1951</v>
      </c>
      <c r="L1038" s="165" t="s">
        <v>2219</v>
      </c>
      <c r="M1038" s="128">
        <v>629905</v>
      </c>
      <c r="N1038" s="108"/>
      <c r="O1038" s="20" t="s">
        <v>705</v>
      </c>
      <c r="P1038" s="20"/>
      <c r="Q1038" s="20"/>
    </row>
    <row r="1039" spans="1:17" ht="24.9" customHeight="1">
      <c r="A1039" s="20">
        <v>362</v>
      </c>
      <c r="B1039" s="20" t="s">
        <v>4320</v>
      </c>
      <c r="C1039" s="19">
        <v>87</v>
      </c>
      <c r="D1039" s="19" t="s">
        <v>365</v>
      </c>
      <c r="E1039" s="19" t="str">
        <f>VLOOKUP(D1039,'لیست پرسنل'!$B$2:$E$1020,3,FALSE)</f>
        <v>فکورصنعت</v>
      </c>
      <c r="F1039" s="19" t="str">
        <f>VLOOKUP(D1039,'لیست پرسنل'!$B$2:$E$1020,4,FALSE)</f>
        <v>آی تی</v>
      </c>
      <c r="G1039" s="127">
        <f>VLOOKUP(D1039,'لیست پرسنل'!$B$2:$F$1020,2,FALSE)</f>
        <v>2235</v>
      </c>
      <c r="H1039" s="151" t="s">
        <v>3381</v>
      </c>
      <c r="I1039" s="127" t="s">
        <v>832</v>
      </c>
      <c r="J1039" s="128" t="s">
        <v>4333</v>
      </c>
      <c r="K1039" s="128" t="s">
        <v>6034</v>
      </c>
      <c r="L1039" s="134" t="s">
        <v>6036</v>
      </c>
      <c r="M1039" s="128">
        <v>614425</v>
      </c>
      <c r="N1039" s="108"/>
      <c r="O1039" s="20"/>
      <c r="P1039" s="20"/>
      <c r="Q1039" s="20"/>
    </row>
    <row r="1040" spans="1:17" ht="24.9" customHeight="1">
      <c r="A1040" s="20">
        <v>362</v>
      </c>
      <c r="B1040" s="20" t="s">
        <v>4320</v>
      </c>
      <c r="C1040" s="19">
        <v>87</v>
      </c>
      <c r="D1040" s="19" t="s">
        <v>365</v>
      </c>
      <c r="E1040" s="19" t="str">
        <f>VLOOKUP(D1040,'لیست پرسنل'!$B$2:$E$1020,3,FALSE)</f>
        <v>فکورصنعت</v>
      </c>
      <c r="F1040" s="19" t="str">
        <f>VLOOKUP(D1040,'لیست پرسنل'!$B$2:$E$1020,4,FALSE)</f>
        <v>آی تی</v>
      </c>
      <c r="G1040" s="127">
        <f>VLOOKUP(D1040,'لیست پرسنل'!$B$2:$F$1020,2,FALSE)</f>
        <v>2235</v>
      </c>
      <c r="H1040" s="151" t="s">
        <v>3381</v>
      </c>
      <c r="I1040" s="127" t="s">
        <v>832</v>
      </c>
      <c r="J1040" s="128" t="s">
        <v>2686</v>
      </c>
      <c r="K1040" s="128" t="s">
        <v>2922</v>
      </c>
      <c r="L1040" s="127" t="s">
        <v>3084</v>
      </c>
      <c r="M1040" s="127">
        <v>626568</v>
      </c>
      <c r="N1040" s="109"/>
      <c r="O1040" s="86"/>
      <c r="P1040" s="20"/>
      <c r="Q1040" s="20"/>
    </row>
    <row r="1041" spans="1:17" ht="24.9" customHeight="1">
      <c r="A1041" s="20">
        <v>362</v>
      </c>
      <c r="B1041" s="20" t="s">
        <v>4320</v>
      </c>
      <c r="C1041" s="19">
        <v>90</v>
      </c>
      <c r="D1041" s="19" t="s">
        <v>7729</v>
      </c>
      <c r="E1041" s="19" t="str">
        <f>VLOOKUP(D1041,'لیست پرسنل'!$B$2:$E$1020,3,FALSE)</f>
        <v>گهر کوشان سپهر</v>
      </c>
      <c r="F1041" s="19" t="str">
        <f>VLOOKUP(D1041,'لیست پرسنل'!$B$2:$E$1020,4,FALSE)</f>
        <v>اداری</v>
      </c>
      <c r="G1041" s="127">
        <f>VLOOKUP(D1041,'لیست پرسنل'!$B$2:$F$1020,2,FALSE)</f>
        <v>21004</v>
      </c>
      <c r="H1041" s="151" t="s">
        <v>3381</v>
      </c>
      <c r="I1041" s="127" t="s">
        <v>1059</v>
      </c>
      <c r="J1041" s="128" t="s">
        <v>737</v>
      </c>
      <c r="K1041" s="127" t="s">
        <v>393</v>
      </c>
      <c r="L1041" s="127" t="s">
        <v>401</v>
      </c>
      <c r="M1041" s="128">
        <v>620376</v>
      </c>
      <c r="N1041" s="108"/>
      <c r="O1041" s="88"/>
      <c r="P1041" s="20"/>
      <c r="Q1041" s="20"/>
    </row>
    <row r="1042" spans="1:17" ht="24.9" customHeight="1">
      <c r="A1042" s="20">
        <v>362</v>
      </c>
      <c r="B1042" s="20" t="s">
        <v>4320</v>
      </c>
      <c r="C1042" s="19">
        <v>90</v>
      </c>
      <c r="D1042" s="19" t="s">
        <v>7729</v>
      </c>
      <c r="E1042" s="19" t="str">
        <f>VLOOKUP(D1042,'لیست پرسنل'!$B$2:$E$1020,3,FALSE)</f>
        <v>گهر کوشان سپهر</v>
      </c>
      <c r="F1042" s="19" t="str">
        <f>VLOOKUP(D1042,'لیست پرسنل'!$B$2:$E$1020,4,FALSE)</f>
        <v>اداری</v>
      </c>
      <c r="G1042" s="127">
        <f>VLOOKUP(D1042,'لیست پرسنل'!$B$2:$F$1020,2,FALSE)</f>
        <v>21004</v>
      </c>
      <c r="H1042" s="151" t="s">
        <v>3381</v>
      </c>
      <c r="I1042" s="127" t="s">
        <v>1059</v>
      </c>
      <c r="J1042" s="126" t="s">
        <v>368</v>
      </c>
      <c r="K1042" s="128" t="s">
        <v>660</v>
      </c>
      <c r="L1042" s="127" t="s">
        <v>1179</v>
      </c>
      <c r="M1042" s="127">
        <v>626005</v>
      </c>
      <c r="N1042" s="109"/>
      <c r="O1042" s="39"/>
      <c r="P1042" s="20"/>
      <c r="Q1042" s="20"/>
    </row>
    <row r="1043" spans="1:17" ht="24.9" customHeight="1">
      <c r="A1043" s="20">
        <v>362</v>
      </c>
      <c r="B1043" s="20" t="s">
        <v>4320</v>
      </c>
      <c r="C1043" s="19">
        <v>90</v>
      </c>
      <c r="D1043" s="19" t="s">
        <v>7729</v>
      </c>
      <c r="E1043" s="19" t="str">
        <f>VLOOKUP(D1043,'لیست پرسنل'!$B$2:$E$1020,3,FALSE)</f>
        <v>گهر کوشان سپهر</v>
      </c>
      <c r="F1043" s="19" t="str">
        <f>VLOOKUP(D1043,'لیست پرسنل'!$B$2:$E$1020,4,FALSE)</f>
        <v>اداری</v>
      </c>
      <c r="G1043" s="127">
        <f>VLOOKUP(D1043,'لیست پرسنل'!$B$2:$F$1020,2,FALSE)</f>
        <v>21004</v>
      </c>
      <c r="H1043" s="151" t="s">
        <v>3381</v>
      </c>
      <c r="I1043" s="127" t="s">
        <v>1059</v>
      </c>
      <c r="J1043" s="128" t="s">
        <v>571</v>
      </c>
      <c r="K1043" s="128" t="s">
        <v>2219</v>
      </c>
      <c r="L1043" s="127"/>
      <c r="M1043" s="127">
        <v>633680</v>
      </c>
      <c r="N1043" s="109"/>
      <c r="O1043" s="19" t="s">
        <v>6339</v>
      </c>
      <c r="P1043" s="32"/>
      <c r="Q1043" s="32"/>
    </row>
    <row r="1044" spans="1:17" ht="24.9" customHeight="1">
      <c r="A1044" s="20">
        <v>362</v>
      </c>
      <c r="B1044" s="20" t="s">
        <v>4320</v>
      </c>
      <c r="C1044" s="19">
        <v>90</v>
      </c>
      <c r="D1044" s="19" t="s">
        <v>7729</v>
      </c>
      <c r="E1044" s="19" t="str">
        <f>VLOOKUP(D1044,'لیست پرسنل'!$B$2:$E$1020,3,FALSE)</f>
        <v>گهر کوشان سپهر</v>
      </c>
      <c r="F1044" s="19" t="str">
        <f>VLOOKUP(D1044,'لیست پرسنل'!$B$2:$E$1020,4,FALSE)</f>
        <v>اداری</v>
      </c>
      <c r="G1044" s="127">
        <f>VLOOKUP(D1044,'لیست پرسنل'!$B$2:$F$1020,2,FALSE)</f>
        <v>21004</v>
      </c>
      <c r="H1044" s="151" t="s">
        <v>3381</v>
      </c>
      <c r="I1044" s="127" t="s">
        <v>1059</v>
      </c>
      <c r="J1044" s="128" t="s">
        <v>2686</v>
      </c>
      <c r="K1044" s="128" t="s">
        <v>2922</v>
      </c>
      <c r="L1044" s="128" t="s">
        <v>2938</v>
      </c>
      <c r="M1044" s="128">
        <v>626416</v>
      </c>
      <c r="N1044" s="108"/>
      <c r="O1044" s="20" t="s">
        <v>705</v>
      </c>
      <c r="P1044" s="20"/>
      <c r="Q1044" s="20"/>
    </row>
    <row r="1045" spans="1:17" ht="24.9" customHeight="1">
      <c r="A1045" s="20">
        <v>362</v>
      </c>
      <c r="B1045" s="20" t="s">
        <v>4320</v>
      </c>
      <c r="C1045" s="19">
        <v>91</v>
      </c>
      <c r="D1045" s="19" t="s">
        <v>1063</v>
      </c>
      <c r="E1045" s="19" t="str">
        <f>VLOOKUP(D1045,'لیست پرسنل'!$B$2:$E$1020,3,FALSE)</f>
        <v>فکورصنعت</v>
      </c>
      <c r="F1045" s="19" t="str">
        <f>VLOOKUP(D1045,'لیست پرسنل'!$B$2:$E$1020,4,FALSE)</f>
        <v>معاون اجرایی مدیر سایت</v>
      </c>
      <c r="G1045" s="127">
        <f>VLOOKUP(D1045,'لیست پرسنل'!$B$2:$F$1020,2,FALSE)</f>
        <v>896</v>
      </c>
      <c r="H1045" s="151" t="s">
        <v>3381</v>
      </c>
      <c r="I1045" s="127" t="s">
        <v>1060</v>
      </c>
      <c r="J1045" s="128" t="s">
        <v>737</v>
      </c>
      <c r="K1045" s="128" t="s">
        <v>1221</v>
      </c>
      <c r="L1045" s="127" t="s">
        <v>1222</v>
      </c>
      <c r="M1045" s="127">
        <v>624112</v>
      </c>
      <c r="N1045" s="109"/>
      <c r="O1045" s="20"/>
      <c r="P1045" s="20"/>
      <c r="Q1045" s="20"/>
    </row>
    <row r="1046" spans="1:17" ht="24.9" customHeight="1">
      <c r="A1046" s="20">
        <v>362</v>
      </c>
      <c r="B1046" s="20" t="s">
        <v>4320</v>
      </c>
      <c r="C1046" s="19">
        <v>91</v>
      </c>
      <c r="D1046" s="19" t="s">
        <v>1063</v>
      </c>
      <c r="E1046" s="19" t="str">
        <f>VLOOKUP(D1046,'لیست پرسنل'!$B$2:$E$1020,3,FALSE)</f>
        <v>فکورصنعت</v>
      </c>
      <c r="F1046" s="19" t="str">
        <f>VLOOKUP(D1046,'لیست پرسنل'!$B$2:$E$1020,4,FALSE)</f>
        <v>معاون اجرایی مدیر سایت</v>
      </c>
      <c r="G1046" s="127">
        <f>VLOOKUP(D1046,'لیست پرسنل'!$B$2:$F$1020,2,FALSE)</f>
        <v>896</v>
      </c>
      <c r="H1046" s="151" t="s">
        <v>3381</v>
      </c>
      <c r="I1046" s="127" t="s">
        <v>1060</v>
      </c>
      <c r="J1046" s="126" t="s">
        <v>368</v>
      </c>
      <c r="K1046" s="128" t="s">
        <v>2846</v>
      </c>
      <c r="L1046" s="128" t="s">
        <v>2392</v>
      </c>
      <c r="M1046" s="128">
        <v>628799</v>
      </c>
      <c r="N1046" s="108"/>
      <c r="O1046" s="20"/>
      <c r="P1046" s="20"/>
      <c r="Q1046" s="20"/>
    </row>
    <row r="1047" spans="1:17" ht="24.9" customHeight="1">
      <c r="A1047" s="20">
        <v>362</v>
      </c>
      <c r="B1047" s="20" t="s">
        <v>4320</v>
      </c>
      <c r="C1047" s="19">
        <v>91</v>
      </c>
      <c r="D1047" s="19" t="s">
        <v>1063</v>
      </c>
      <c r="E1047" s="19" t="str">
        <f>VLOOKUP(D1047,'لیست پرسنل'!$B$2:$E$1020,3,FALSE)</f>
        <v>فکورصنعت</v>
      </c>
      <c r="F1047" s="19" t="str">
        <f>VLOOKUP(D1047,'لیست پرسنل'!$B$2:$E$1020,4,FALSE)</f>
        <v>معاون اجرایی مدیر سایت</v>
      </c>
      <c r="G1047" s="127">
        <f>VLOOKUP(D1047,'لیست پرسنل'!$B$2:$F$1020,2,FALSE)</f>
        <v>896</v>
      </c>
      <c r="H1047" s="151" t="s">
        <v>3381</v>
      </c>
      <c r="I1047" s="127" t="s">
        <v>1060</v>
      </c>
      <c r="J1047" s="127" t="s">
        <v>571</v>
      </c>
      <c r="K1047" s="128"/>
      <c r="L1047" s="127"/>
      <c r="M1047" s="127">
        <v>625447</v>
      </c>
      <c r="N1047" s="109"/>
      <c r="O1047" s="20"/>
      <c r="P1047" s="20"/>
      <c r="Q1047" s="20"/>
    </row>
    <row r="1048" spans="1:17" ht="24.9" customHeight="1">
      <c r="A1048" s="20">
        <v>362</v>
      </c>
      <c r="B1048" s="20" t="s">
        <v>4320</v>
      </c>
      <c r="C1048" s="19">
        <v>91</v>
      </c>
      <c r="D1048" s="19" t="s">
        <v>1063</v>
      </c>
      <c r="E1048" s="19" t="str">
        <f>VLOOKUP(D1048,'لیست پرسنل'!$B$2:$E$1020,3,FALSE)</f>
        <v>فکورصنعت</v>
      </c>
      <c r="F1048" s="19" t="str">
        <f>VLOOKUP(D1048,'لیست پرسنل'!$B$2:$E$1020,4,FALSE)</f>
        <v>معاون اجرایی مدیر سایت</v>
      </c>
      <c r="G1048" s="127">
        <f>VLOOKUP(D1048,'لیست پرسنل'!$B$2:$F$1020,2,FALSE)</f>
        <v>896</v>
      </c>
      <c r="H1048" s="151" t="s">
        <v>3381</v>
      </c>
      <c r="I1048" s="127" t="s">
        <v>1060</v>
      </c>
      <c r="J1048" s="128" t="s">
        <v>2686</v>
      </c>
      <c r="K1048" s="128" t="s">
        <v>2922</v>
      </c>
      <c r="L1048" s="127" t="s">
        <v>2996</v>
      </c>
      <c r="M1048" s="127">
        <v>626478</v>
      </c>
      <c r="N1048" s="109"/>
      <c r="O1048" s="86"/>
      <c r="P1048" s="20"/>
      <c r="Q1048" s="20"/>
    </row>
    <row r="1049" spans="1:17" ht="24.9" customHeight="1">
      <c r="A1049" s="20">
        <v>362</v>
      </c>
      <c r="B1049" s="20" t="s">
        <v>4320</v>
      </c>
      <c r="C1049" s="19">
        <v>92</v>
      </c>
      <c r="D1049" s="19" t="s">
        <v>1101</v>
      </c>
      <c r="E1049" s="19" t="str">
        <f>VLOOKUP(D1049,'لیست پرسنل'!$B$2:$E$1020,3,FALSE)</f>
        <v>گهر کوشان سپهر</v>
      </c>
      <c r="F1049" s="19" t="str">
        <f>VLOOKUP(D1049,'لیست پرسنل'!$B$2:$E$1020,4,FALSE)</f>
        <v>آی تی</v>
      </c>
      <c r="G1049" s="127">
        <f>VLOOKUP(D1049,'لیست پرسنل'!$B$2:$F$1020,2,FALSE)</f>
        <v>20458</v>
      </c>
      <c r="H1049" s="151" t="s">
        <v>3381</v>
      </c>
      <c r="I1049" s="127" t="s">
        <v>1100</v>
      </c>
      <c r="J1049" s="126" t="s">
        <v>368</v>
      </c>
      <c r="K1049" s="128" t="s">
        <v>2846</v>
      </c>
      <c r="L1049" s="128" t="s">
        <v>2338</v>
      </c>
      <c r="M1049" s="128">
        <v>628773</v>
      </c>
      <c r="N1049" s="108"/>
      <c r="O1049" s="20"/>
      <c r="P1049" s="20"/>
      <c r="Q1049" s="20"/>
    </row>
    <row r="1050" spans="1:17" ht="24.9" customHeight="1">
      <c r="A1050" s="20">
        <v>362</v>
      </c>
      <c r="B1050" s="20" t="s">
        <v>4320</v>
      </c>
      <c r="C1050" s="19">
        <v>92</v>
      </c>
      <c r="D1050" s="19" t="s">
        <v>1101</v>
      </c>
      <c r="E1050" s="19" t="str">
        <f>VLOOKUP(D1050,'لیست پرسنل'!$B$2:$E$1020,3,FALSE)</f>
        <v>گهر کوشان سپهر</v>
      </c>
      <c r="F1050" s="19" t="str">
        <f>VLOOKUP(D1050,'لیست پرسنل'!$B$2:$E$1020,4,FALSE)</f>
        <v>آی تی</v>
      </c>
      <c r="G1050" s="127">
        <f>VLOOKUP(D1050,'لیست پرسنل'!$B$2:$F$1020,2,FALSE)</f>
        <v>20458</v>
      </c>
      <c r="H1050" s="151" t="s">
        <v>3381</v>
      </c>
      <c r="I1050" s="127" t="s">
        <v>1100</v>
      </c>
      <c r="J1050" s="127" t="s">
        <v>571</v>
      </c>
      <c r="K1050" s="128" t="s">
        <v>2219</v>
      </c>
      <c r="L1050" s="128"/>
      <c r="M1050" s="128">
        <v>627696</v>
      </c>
      <c r="N1050" s="108"/>
      <c r="O1050" s="20"/>
      <c r="P1050" s="20"/>
      <c r="Q1050" s="20"/>
    </row>
    <row r="1051" spans="1:17" ht="24.9" customHeight="1">
      <c r="A1051" s="20">
        <v>362</v>
      </c>
      <c r="B1051" s="20" t="s">
        <v>4320</v>
      </c>
      <c r="C1051" s="19">
        <v>92</v>
      </c>
      <c r="D1051" s="19" t="s">
        <v>1101</v>
      </c>
      <c r="E1051" s="19" t="str">
        <f>VLOOKUP(D1051,'لیست پرسنل'!$B$2:$E$1020,3,FALSE)</f>
        <v>گهر کوشان سپهر</v>
      </c>
      <c r="F1051" s="19" t="str">
        <f>VLOOKUP(D1051,'لیست پرسنل'!$B$2:$E$1020,4,FALSE)</f>
        <v>آی تی</v>
      </c>
      <c r="G1051" s="127">
        <f>VLOOKUP(D1051,'لیست پرسنل'!$B$2:$F$1020,2,FALSE)</f>
        <v>20458</v>
      </c>
      <c r="H1051" s="151" t="s">
        <v>3381</v>
      </c>
      <c r="I1051" s="127" t="s">
        <v>1100</v>
      </c>
      <c r="J1051" s="128" t="s">
        <v>2686</v>
      </c>
      <c r="K1051" s="128" t="s">
        <v>2922</v>
      </c>
      <c r="L1051" s="127" t="s">
        <v>2966</v>
      </c>
      <c r="M1051" s="127">
        <v>626447</v>
      </c>
      <c r="N1051" s="109"/>
      <c r="O1051" s="86"/>
      <c r="P1051" s="20"/>
      <c r="Q1051" s="20"/>
    </row>
    <row r="1052" spans="1:17" ht="24.9" customHeight="1">
      <c r="A1052" s="20">
        <v>362</v>
      </c>
      <c r="B1052" s="20" t="s">
        <v>4320</v>
      </c>
      <c r="C1052" s="19">
        <v>94</v>
      </c>
      <c r="D1052" s="19" t="s">
        <v>3414</v>
      </c>
      <c r="E1052" s="19" t="str">
        <f>VLOOKUP(D1052,'لیست پرسنل'!$B$2:$E$1020,3,FALSE)</f>
        <v>مهرفام</v>
      </c>
      <c r="F1052" s="19" t="str">
        <f>VLOOKUP(D1052,'لیست پرسنل'!$B$2:$E$1020,4,FALSE)</f>
        <v>برق</v>
      </c>
      <c r="G1052" s="127">
        <f>VLOOKUP(D1052,'لیست پرسنل'!$B$2:$F$1020,2,FALSE)</f>
        <v>100505</v>
      </c>
      <c r="H1052" s="151" t="s">
        <v>3381</v>
      </c>
      <c r="I1052" s="127" t="s">
        <v>1128</v>
      </c>
      <c r="J1052" s="126" t="s">
        <v>368</v>
      </c>
      <c r="K1052" s="128" t="s">
        <v>2846</v>
      </c>
      <c r="L1052" s="128" t="s">
        <v>2469</v>
      </c>
      <c r="M1052" s="128">
        <v>628879</v>
      </c>
      <c r="N1052" s="108"/>
      <c r="O1052" s="20"/>
      <c r="P1052" s="20"/>
      <c r="Q1052" s="20"/>
    </row>
    <row r="1053" spans="1:17" ht="24.9" customHeight="1">
      <c r="A1053" s="20">
        <v>362</v>
      </c>
      <c r="B1053" s="20" t="s">
        <v>4320</v>
      </c>
      <c r="C1053" s="19">
        <v>94</v>
      </c>
      <c r="D1053" s="19" t="s">
        <v>3414</v>
      </c>
      <c r="E1053" s="19" t="str">
        <f>VLOOKUP(D1053,'لیست پرسنل'!$B$2:$E$1020,3,FALSE)</f>
        <v>مهرفام</v>
      </c>
      <c r="F1053" s="19" t="str">
        <f>VLOOKUP(D1053,'لیست پرسنل'!$B$2:$E$1020,4,FALSE)</f>
        <v>برق</v>
      </c>
      <c r="G1053" s="127">
        <f>VLOOKUP(D1053,'لیست پرسنل'!$B$2:$F$1020,2,FALSE)</f>
        <v>100505</v>
      </c>
      <c r="H1053" s="151" t="s">
        <v>3381</v>
      </c>
      <c r="I1053" s="127" t="s">
        <v>1128</v>
      </c>
      <c r="J1053" s="127" t="s">
        <v>571</v>
      </c>
      <c r="K1053" s="128"/>
      <c r="L1053" s="151"/>
      <c r="M1053" s="127">
        <v>624703</v>
      </c>
      <c r="N1053" s="109"/>
      <c r="O1053" s="20"/>
      <c r="P1053" s="20"/>
      <c r="Q1053" s="20"/>
    </row>
    <row r="1054" spans="1:17" ht="24.9" customHeight="1">
      <c r="A1054" s="20">
        <v>362</v>
      </c>
      <c r="B1054" s="20" t="s">
        <v>4320</v>
      </c>
      <c r="C1054" s="19">
        <v>94</v>
      </c>
      <c r="D1054" s="19" t="s">
        <v>3414</v>
      </c>
      <c r="E1054" s="19" t="str">
        <f>VLOOKUP(D1054,'لیست پرسنل'!$B$2:$E$1020,3,FALSE)</f>
        <v>مهرفام</v>
      </c>
      <c r="F1054" s="19" t="str">
        <f>VLOOKUP(D1054,'لیست پرسنل'!$B$2:$E$1020,4,FALSE)</f>
        <v>برق</v>
      </c>
      <c r="G1054" s="127">
        <f>VLOOKUP(D1054,'لیست پرسنل'!$B$2:$F$1020,2,FALSE)</f>
        <v>100505</v>
      </c>
      <c r="H1054" s="151" t="s">
        <v>3381</v>
      </c>
      <c r="I1054" s="127" t="s">
        <v>1128</v>
      </c>
      <c r="J1054" s="128" t="s">
        <v>2686</v>
      </c>
      <c r="K1054" s="128" t="s">
        <v>2922</v>
      </c>
      <c r="L1054" s="151" t="s">
        <v>3032</v>
      </c>
      <c r="M1054" s="127">
        <v>626515</v>
      </c>
      <c r="N1054" s="109"/>
      <c r="O1054" s="86"/>
      <c r="P1054" s="20"/>
      <c r="Q1054" s="20"/>
    </row>
    <row r="1055" spans="1:17" ht="24.9" customHeight="1">
      <c r="A1055" s="20">
        <v>362</v>
      </c>
      <c r="B1055" s="20" t="s">
        <v>4320</v>
      </c>
      <c r="C1055" s="19">
        <v>95</v>
      </c>
      <c r="D1055" s="19" t="s">
        <v>2817</v>
      </c>
      <c r="E1055" s="19" t="str">
        <f>VLOOKUP(D1055,'لیست پرسنل'!$B$2:$E$1020,3,FALSE)</f>
        <v>مهرفام</v>
      </c>
      <c r="F1055" s="19" t="str">
        <f>VLOOKUP(D1055,'لیست پرسنل'!$B$2:$E$1020,4,FALSE)</f>
        <v>برق</v>
      </c>
      <c r="G1055" s="127">
        <f>VLOOKUP(D1055,'لیست پرسنل'!$B$2:$F$1020,2,FALSE)</f>
        <v>100510</v>
      </c>
      <c r="H1055" s="151" t="s">
        <v>3381</v>
      </c>
      <c r="I1055" s="127" t="s">
        <v>1129</v>
      </c>
      <c r="J1055" s="126" t="s">
        <v>368</v>
      </c>
      <c r="K1055" s="128" t="s">
        <v>2846</v>
      </c>
      <c r="L1055" s="128" t="s">
        <v>2386</v>
      </c>
      <c r="M1055" s="128">
        <v>628793</v>
      </c>
      <c r="N1055" s="108"/>
      <c r="O1055" s="20"/>
      <c r="P1055" s="20"/>
      <c r="Q1055" s="20"/>
    </row>
    <row r="1056" spans="1:17" ht="24.9" customHeight="1">
      <c r="A1056" s="20">
        <v>362</v>
      </c>
      <c r="B1056" s="20" t="s">
        <v>4320</v>
      </c>
      <c r="C1056" s="19">
        <v>95</v>
      </c>
      <c r="D1056" s="19" t="s">
        <v>2817</v>
      </c>
      <c r="E1056" s="19" t="str">
        <f>VLOOKUP(D1056,'لیست پرسنل'!$B$2:$E$1020,3,FALSE)</f>
        <v>مهرفام</v>
      </c>
      <c r="F1056" s="19" t="str">
        <f>VLOOKUP(D1056,'لیست پرسنل'!$B$2:$E$1020,4,FALSE)</f>
        <v>برق</v>
      </c>
      <c r="G1056" s="127">
        <f>VLOOKUP(D1056,'لیست پرسنل'!$B$2:$F$1020,2,FALSE)</f>
        <v>100510</v>
      </c>
      <c r="H1056" s="151" t="s">
        <v>3381</v>
      </c>
      <c r="I1056" s="127" t="s">
        <v>1129</v>
      </c>
      <c r="J1056" s="127" t="s">
        <v>571</v>
      </c>
      <c r="K1056" s="127"/>
      <c r="L1056" s="151"/>
      <c r="M1056" s="127">
        <v>624631</v>
      </c>
      <c r="N1056" s="109"/>
      <c r="O1056" s="20"/>
      <c r="P1056" s="20"/>
      <c r="Q1056" s="20"/>
    </row>
    <row r="1057" spans="1:17" ht="24.9" customHeight="1">
      <c r="A1057" s="185">
        <v>362</v>
      </c>
      <c r="B1057" s="185" t="s">
        <v>4320</v>
      </c>
      <c r="C1057" s="186">
        <v>95</v>
      </c>
      <c r="D1057" s="208" t="s">
        <v>2817</v>
      </c>
      <c r="E1057" s="186" t="str">
        <f>VLOOKUP(D1057,'لیست پرسنل'!$B$2:$E$1020,3,FALSE)</f>
        <v>مهرفام</v>
      </c>
      <c r="F1057" s="186" t="str">
        <f>VLOOKUP(D1057,'لیست پرسنل'!$B$2:$E$1020,4,FALSE)</f>
        <v>برق</v>
      </c>
      <c r="G1057" s="187">
        <f>VLOOKUP(D1057,'لیست پرسنل'!$B$2:$F$1020,2,FALSE)</f>
        <v>100510</v>
      </c>
      <c r="H1057" s="206" t="s">
        <v>3381</v>
      </c>
      <c r="I1057" s="190" t="s">
        <v>1129</v>
      </c>
      <c r="J1057" s="188" t="s">
        <v>2686</v>
      </c>
      <c r="K1057" s="188" t="s">
        <v>2922</v>
      </c>
      <c r="L1057" s="206" t="s">
        <v>3039</v>
      </c>
      <c r="M1057" s="190">
        <v>626522</v>
      </c>
      <c r="N1057" s="189"/>
      <c r="O1057" s="222"/>
      <c r="P1057" s="185"/>
      <c r="Q1057" s="185"/>
    </row>
    <row r="1058" spans="1:17" ht="24.9" customHeight="1">
      <c r="A1058" s="20">
        <v>362</v>
      </c>
      <c r="B1058" s="20" t="s">
        <v>4320</v>
      </c>
      <c r="C1058" s="19">
        <v>97</v>
      </c>
      <c r="D1058" s="19" t="s">
        <v>2818</v>
      </c>
      <c r="E1058" s="19" t="str">
        <f>VLOOKUP(D1058,'لیست پرسنل'!$B$2:$E$1020,3,FALSE)</f>
        <v>فکورصنعت</v>
      </c>
      <c r="F1058" s="19" t="str">
        <f>VLOOKUP(D1058,'لیست پرسنل'!$B$2:$E$1020,4,FALSE)</f>
        <v>ابزار دقیق</v>
      </c>
      <c r="G1058" s="127">
        <f>VLOOKUP(D1058,'لیست پرسنل'!$B$2:$F$1020,2,FALSE)</f>
        <v>4001108</v>
      </c>
      <c r="H1058" s="151" t="s">
        <v>3381</v>
      </c>
      <c r="I1058" s="127" t="s">
        <v>1130</v>
      </c>
      <c r="J1058" s="126" t="s">
        <v>368</v>
      </c>
      <c r="K1058" s="128" t="s">
        <v>2846</v>
      </c>
      <c r="L1058" s="128" t="s">
        <v>2477</v>
      </c>
      <c r="M1058" s="128">
        <v>628887</v>
      </c>
      <c r="N1058" s="108"/>
      <c r="O1058" s="20"/>
      <c r="P1058" s="20"/>
      <c r="Q1058" s="20"/>
    </row>
    <row r="1059" spans="1:17" ht="24.9" customHeight="1">
      <c r="A1059" s="20">
        <v>362</v>
      </c>
      <c r="B1059" s="20" t="s">
        <v>4320</v>
      </c>
      <c r="C1059" s="19">
        <v>97</v>
      </c>
      <c r="D1059" s="19" t="s">
        <v>2818</v>
      </c>
      <c r="E1059" s="19" t="str">
        <f>VLOOKUP(D1059,'لیست پرسنل'!$B$2:$E$1020,3,FALSE)</f>
        <v>فکورصنعت</v>
      </c>
      <c r="F1059" s="19" t="str">
        <f>VLOOKUP(D1059,'لیست پرسنل'!$B$2:$E$1020,4,FALSE)</f>
        <v>ابزار دقیق</v>
      </c>
      <c r="G1059" s="127">
        <f>VLOOKUP(D1059,'لیست پرسنل'!$B$2:$F$1020,2,FALSE)</f>
        <v>4001108</v>
      </c>
      <c r="H1059" s="151" t="s">
        <v>3381</v>
      </c>
      <c r="I1059" s="127" t="s">
        <v>1130</v>
      </c>
      <c r="J1059" s="127" t="s">
        <v>571</v>
      </c>
      <c r="K1059" s="128"/>
      <c r="L1059" s="127"/>
      <c r="M1059" s="127">
        <v>623793</v>
      </c>
      <c r="N1059" s="109"/>
      <c r="O1059" s="20"/>
      <c r="P1059" s="20"/>
      <c r="Q1059" s="20"/>
    </row>
    <row r="1060" spans="1:17" ht="24.9" customHeight="1">
      <c r="A1060" s="20">
        <v>362</v>
      </c>
      <c r="B1060" s="20" t="s">
        <v>4320</v>
      </c>
      <c r="C1060" s="19">
        <v>97</v>
      </c>
      <c r="D1060" s="19" t="s">
        <v>2818</v>
      </c>
      <c r="E1060" s="19" t="str">
        <f>VLOOKUP(D1060,'لیست پرسنل'!$B$2:$E$1020,3,FALSE)</f>
        <v>فکورصنعت</v>
      </c>
      <c r="F1060" s="19" t="str">
        <f>VLOOKUP(D1060,'لیست پرسنل'!$B$2:$E$1020,4,FALSE)</f>
        <v>ابزار دقیق</v>
      </c>
      <c r="G1060" s="127">
        <f>VLOOKUP(D1060,'لیست پرسنل'!$B$2:$F$1020,2,FALSE)</f>
        <v>4001108</v>
      </c>
      <c r="H1060" s="151" t="s">
        <v>3381</v>
      </c>
      <c r="I1060" s="127" t="s">
        <v>1130</v>
      </c>
      <c r="J1060" s="128" t="s">
        <v>2686</v>
      </c>
      <c r="K1060" s="128" t="s">
        <v>2922</v>
      </c>
      <c r="L1060" s="127" t="s">
        <v>2963</v>
      </c>
      <c r="M1060" s="127">
        <v>626444</v>
      </c>
      <c r="N1060" s="109"/>
      <c r="O1060" s="86"/>
      <c r="P1060" s="20"/>
      <c r="Q1060" s="20"/>
    </row>
    <row r="1061" spans="1:17" ht="24.9" customHeight="1">
      <c r="A1061" s="20">
        <v>362</v>
      </c>
      <c r="B1061" s="20" t="s">
        <v>4320</v>
      </c>
      <c r="C1061" s="19">
        <v>98</v>
      </c>
      <c r="D1061" s="19" t="s">
        <v>5056</v>
      </c>
      <c r="E1061" s="19" t="str">
        <f>VLOOKUP(D1061,'لیست پرسنل'!$B$2:$E$1020,3,FALSE)</f>
        <v>مهرفام</v>
      </c>
      <c r="F1061" s="19" t="str">
        <f>VLOOKUP(D1061,'لیست پرسنل'!$B$2:$E$1020,4,FALSE)</f>
        <v>سیویل</v>
      </c>
      <c r="G1061" s="127" t="str">
        <f>VLOOKUP(D1061,'لیست پرسنل'!$B$2:$F$1020,2,FALSE)</f>
        <v>0</v>
      </c>
      <c r="H1061" s="151" t="s">
        <v>3381</v>
      </c>
      <c r="I1061" s="127" t="s">
        <v>1131</v>
      </c>
      <c r="J1061" s="126" t="s">
        <v>368</v>
      </c>
      <c r="K1061" s="128" t="s">
        <v>8248</v>
      </c>
      <c r="L1061" s="127" t="s">
        <v>2322</v>
      </c>
      <c r="M1061" s="128">
        <v>628728</v>
      </c>
      <c r="N1061" s="108"/>
      <c r="O1061" s="20" t="s">
        <v>705</v>
      </c>
      <c r="P1061" s="20"/>
      <c r="Q1061" s="20"/>
    </row>
    <row r="1062" spans="1:17" ht="24.9" customHeight="1">
      <c r="A1062" s="20">
        <v>362</v>
      </c>
      <c r="B1062" s="20" t="s">
        <v>4320</v>
      </c>
      <c r="C1062" s="19">
        <v>98</v>
      </c>
      <c r="D1062" s="19" t="s">
        <v>5056</v>
      </c>
      <c r="E1062" s="19" t="str">
        <f>VLOOKUP(D1062,'لیست پرسنل'!$B$2:$E$1020,3,FALSE)</f>
        <v>مهرفام</v>
      </c>
      <c r="F1062" s="19" t="str">
        <f>VLOOKUP(D1062,'لیست پرسنل'!$B$2:$E$1020,4,FALSE)</f>
        <v>سیویل</v>
      </c>
      <c r="G1062" s="127" t="str">
        <f>VLOOKUP(D1062,'لیست پرسنل'!$B$2:$F$1020,2,FALSE)</f>
        <v>0</v>
      </c>
      <c r="H1062" s="151" t="s">
        <v>3381</v>
      </c>
      <c r="I1062" s="127" t="s">
        <v>1131</v>
      </c>
      <c r="J1062" s="141" t="s">
        <v>5427</v>
      </c>
      <c r="K1062" s="128" t="s">
        <v>5428</v>
      </c>
      <c r="L1062" s="159"/>
      <c r="M1062" s="127" t="s">
        <v>291</v>
      </c>
      <c r="N1062" s="108"/>
      <c r="O1062" s="20"/>
      <c r="P1062" s="20"/>
      <c r="Q1062" s="20"/>
    </row>
    <row r="1063" spans="1:17" ht="24.9" customHeight="1">
      <c r="A1063" s="20">
        <v>362</v>
      </c>
      <c r="B1063" s="20" t="s">
        <v>4320</v>
      </c>
      <c r="C1063" s="19">
        <v>98</v>
      </c>
      <c r="D1063" s="19" t="s">
        <v>5056</v>
      </c>
      <c r="E1063" s="19" t="str">
        <f>VLOOKUP(D1063,'لیست پرسنل'!$B$2:$E$1020,3,FALSE)</f>
        <v>مهرفام</v>
      </c>
      <c r="F1063" s="19" t="str">
        <f>VLOOKUP(D1063,'لیست پرسنل'!$B$2:$E$1020,4,FALSE)</f>
        <v>سیویل</v>
      </c>
      <c r="G1063" s="127" t="str">
        <f>VLOOKUP(D1063,'لیست پرسنل'!$B$2:$F$1020,2,FALSE)</f>
        <v>0</v>
      </c>
      <c r="H1063" s="151" t="s">
        <v>3381</v>
      </c>
      <c r="I1063" s="127" t="s">
        <v>1131</v>
      </c>
      <c r="J1063" s="141" t="s">
        <v>571</v>
      </c>
      <c r="K1063" s="128" t="s">
        <v>2067</v>
      </c>
      <c r="L1063" s="159" t="s">
        <v>2219</v>
      </c>
      <c r="M1063" s="127">
        <v>628608</v>
      </c>
      <c r="N1063" s="108"/>
      <c r="O1063" s="20" t="s">
        <v>705</v>
      </c>
      <c r="P1063" s="20"/>
      <c r="Q1063" s="20"/>
    </row>
    <row r="1064" spans="1:17" ht="24.9" customHeight="1">
      <c r="A1064" s="20">
        <v>362</v>
      </c>
      <c r="B1064" s="20" t="s">
        <v>4320</v>
      </c>
      <c r="C1064" s="19">
        <v>98</v>
      </c>
      <c r="D1064" s="19" t="s">
        <v>5056</v>
      </c>
      <c r="E1064" s="19" t="str">
        <f>VLOOKUP(D1064,'لیست پرسنل'!$B$2:$E$1020,3,FALSE)</f>
        <v>مهرفام</v>
      </c>
      <c r="F1064" s="19" t="str">
        <f>VLOOKUP(D1064,'لیست پرسنل'!$B$2:$E$1020,4,FALSE)</f>
        <v>سیویل</v>
      </c>
      <c r="G1064" s="127" t="str">
        <f>VLOOKUP(D1064,'لیست پرسنل'!$B$2:$F$1020,2,FALSE)</f>
        <v>0</v>
      </c>
      <c r="H1064" s="151" t="s">
        <v>3381</v>
      </c>
      <c r="I1064" s="127" t="s">
        <v>1131</v>
      </c>
      <c r="J1064" s="128" t="s">
        <v>2686</v>
      </c>
      <c r="K1064" s="128" t="s">
        <v>2922</v>
      </c>
      <c r="L1064" s="128" t="s">
        <v>2926</v>
      </c>
      <c r="M1064" s="128">
        <v>626403</v>
      </c>
      <c r="N1064" s="108"/>
      <c r="O1064" s="20" t="s">
        <v>705</v>
      </c>
      <c r="P1064" s="20"/>
      <c r="Q1064" s="20"/>
    </row>
    <row r="1065" spans="1:17" ht="24.9" customHeight="1">
      <c r="A1065" s="20">
        <v>362</v>
      </c>
      <c r="B1065" s="20" t="s">
        <v>4320</v>
      </c>
      <c r="C1065" s="19">
        <v>99</v>
      </c>
      <c r="D1065" s="19" t="s">
        <v>8083</v>
      </c>
      <c r="E1065" s="19" t="str">
        <f>VLOOKUP(D1065,'لیست پرسنل'!$B$2:$E$1020,3,FALSE)</f>
        <v>مهرفام سپاهان</v>
      </c>
      <c r="F1065" s="19" t="str">
        <f>VLOOKUP(D1065,'لیست پرسنل'!$B$2:$E$1020,4,FALSE)</f>
        <v>مکانیک</v>
      </c>
      <c r="G1065" s="127">
        <f>VLOOKUP(D1065,'لیست پرسنل'!$B$2:$F$1020,2,FALSE)</f>
        <v>100669</v>
      </c>
      <c r="H1065" s="151" t="s">
        <v>7956</v>
      </c>
      <c r="I1065" s="127" t="s">
        <v>1173</v>
      </c>
      <c r="J1065" s="127" t="s">
        <v>571</v>
      </c>
      <c r="K1065" s="127"/>
      <c r="L1065" s="151" t="s">
        <v>1173</v>
      </c>
      <c r="M1065" s="127">
        <v>625448</v>
      </c>
      <c r="N1065" s="109" t="s">
        <v>326</v>
      </c>
      <c r="O1065" s="20"/>
      <c r="P1065" s="20"/>
      <c r="Q1065" s="20"/>
    </row>
    <row r="1066" spans="1:17" ht="24.9" customHeight="1">
      <c r="A1066" s="20">
        <v>362</v>
      </c>
      <c r="B1066" s="20" t="s">
        <v>4320</v>
      </c>
      <c r="C1066" s="19">
        <v>99</v>
      </c>
      <c r="D1066" s="20" t="s">
        <v>8083</v>
      </c>
      <c r="E1066" s="19" t="str">
        <f>VLOOKUP(D1066,'لیست پرسنل'!$B$2:$E$1020,3,FALSE)</f>
        <v>مهرفام سپاهان</v>
      </c>
      <c r="F1066" s="19" t="str">
        <f>VLOOKUP(D1066,'لیست پرسنل'!$B$2:$E$1020,4,FALSE)</f>
        <v>مکانیک</v>
      </c>
      <c r="G1066" s="127">
        <f>VLOOKUP(D1066,'لیست پرسنل'!$B$2:$F$1020,2,FALSE)</f>
        <v>100669</v>
      </c>
      <c r="H1066" s="127" t="s">
        <v>7956</v>
      </c>
      <c r="I1066" s="128" t="s">
        <v>1173</v>
      </c>
      <c r="J1066" s="128" t="s">
        <v>2686</v>
      </c>
      <c r="K1066" s="128" t="s">
        <v>320</v>
      </c>
      <c r="L1066" s="151" t="s">
        <v>1806</v>
      </c>
      <c r="M1066" s="127">
        <v>605815</v>
      </c>
      <c r="N1066" s="109" t="s">
        <v>326</v>
      </c>
      <c r="O1066" s="86"/>
      <c r="P1066" s="20"/>
      <c r="Q1066" s="20"/>
    </row>
    <row r="1067" spans="1:17" ht="24.9" customHeight="1">
      <c r="A1067" s="20">
        <v>362</v>
      </c>
      <c r="B1067" s="20" t="s">
        <v>4320</v>
      </c>
      <c r="C1067" s="19">
        <v>100</v>
      </c>
      <c r="D1067" s="19" t="s">
        <v>2826</v>
      </c>
      <c r="E1067" s="19" t="str">
        <f>VLOOKUP(D1067,'لیست پرسنل'!$B$2:$E$1020,3,FALSE)</f>
        <v>مهرفام</v>
      </c>
      <c r="F1067" s="19" t="str">
        <f>VLOOKUP(D1067,'لیست پرسنل'!$B$2:$E$1020,4,FALSE)</f>
        <v>DCC</v>
      </c>
      <c r="G1067" s="127">
        <f>VLOOKUP(D1067,'لیست پرسنل'!$B$2:$F$1020,2,FALSE)</f>
        <v>100503</v>
      </c>
      <c r="H1067" s="151" t="s">
        <v>3381</v>
      </c>
      <c r="I1067" s="127" t="s">
        <v>1189</v>
      </c>
      <c r="J1067" s="128" t="s">
        <v>737</v>
      </c>
      <c r="K1067" s="128" t="s">
        <v>2177</v>
      </c>
      <c r="L1067" s="127" t="s">
        <v>2212</v>
      </c>
      <c r="M1067" s="127">
        <v>628671</v>
      </c>
      <c r="N1067" s="109"/>
      <c r="O1067" s="20"/>
      <c r="P1067" s="20"/>
      <c r="Q1067" s="66"/>
    </row>
    <row r="1068" spans="1:17" ht="24.9" customHeight="1">
      <c r="A1068" s="20">
        <v>362</v>
      </c>
      <c r="B1068" s="20" t="s">
        <v>4320</v>
      </c>
      <c r="C1068" s="19">
        <v>100</v>
      </c>
      <c r="D1068" s="19" t="s">
        <v>2826</v>
      </c>
      <c r="E1068" s="19" t="str">
        <f>VLOOKUP(D1068,'لیست پرسنل'!$B$2:$E$1020,3,FALSE)</f>
        <v>مهرفام</v>
      </c>
      <c r="F1068" s="19" t="str">
        <f>VLOOKUP(D1068,'لیست پرسنل'!$B$2:$E$1020,4,FALSE)</f>
        <v>DCC</v>
      </c>
      <c r="G1068" s="127">
        <f>VLOOKUP(D1068,'لیست پرسنل'!$B$2:$F$1020,2,FALSE)</f>
        <v>100503</v>
      </c>
      <c r="H1068" s="151" t="s">
        <v>3381</v>
      </c>
      <c r="I1068" s="127" t="s">
        <v>1189</v>
      </c>
      <c r="J1068" s="126" t="s">
        <v>368</v>
      </c>
      <c r="K1068" s="128" t="s">
        <v>2846</v>
      </c>
      <c r="L1068" s="128" t="s">
        <v>2420</v>
      </c>
      <c r="M1068" s="128">
        <v>628827</v>
      </c>
      <c r="N1068" s="108"/>
      <c r="O1068" s="20"/>
      <c r="P1068" s="20"/>
      <c r="Q1068" s="66"/>
    </row>
    <row r="1069" spans="1:17" ht="24.9" customHeight="1">
      <c r="A1069" s="20">
        <v>362</v>
      </c>
      <c r="B1069" s="20" t="s">
        <v>4320</v>
      </c>
      <c r="C1069" s="19">
        <v>100</v>
      </c>
      <c r="D1069" s="19" t="s">
        <v>2826</v>
      </c>
      <c r="E1069" s="19" t="str">
        <f>VLOOKUP(D1069,'لیست پرسنل'!$B$2:$E$1020,3,FALSE)</f>
        <v>مهرفام</v>
      </c>
      <c r="F1069" s="19" t="str">
        <f>VLOOKUP(D1069,'لیست پرسنل'!$B$2:$E$1020,4,FALSE)</f>
        <v>DCC</v>
      </c>
      <c r="G1069" s="127">
        <f>VLOOKUP(D1069,'لیست پرسنل'!$B$2:$F$1020,2,FALSE)</f>
        <v>100503</v>
      </c>
      <c r="H1069" s="151" t="s">
        <v>3381</v>
      </c>
      <c r="I1069" s="127" t="s">
        <v>1189</v>
      </c>
      <c r="J1069" s="141" t="s">
        <v>571</v>
      </c>
      <c r="K1069" s="127" t="s">
        <v>5320</v>
      </c>
      <c r="L1069" s="128"/>
      <c r="M1069" s="132">
        <v>631487</v>
      </c>
      <c r="N1069" s="108"/>
      <c r="O1069" s="19"/>
      <c r="P1069" s="20"/>
      <c r="Q1069" s="20"/>
    </row>
    <row r="1070" spans="1:17" ht="24.9" customHeight="1">
      <c r="A1070" s="20">
        <v>362</v>
      </c>
      <c r="B1070" s="20" t="s">
        <v>4320</v>
      </c>
      <c r="C1070" s="19">
        <v>100</v>
      </c>
      <c r="D1070" s="19" t="s">
        <v>2826</v>
      </c>
      <c r="E1070" s="19" t="str">
        <f>VLOOKUP(D1070,'لیست پرسنل'!$B$2:$E$1020,3,FALSE)</f>
        <v>مهرفام</v>
      </c>
      <c r="F1070" s="19" t="str">
        <f>VLOOKUP(D1070,'لیست پرسنل'!$B$2:$E$1020,4,FALSE)</f>
        <v>DCC</v>
      </c>
      <c r="G1070" s="127">
        <f>VLOOKUP(D1070,'لیست پرسنل'!$B$2:$F$1020,2,FALSE)</f>
        <v>100503</v>
      </c>
      <c r="H1070" s="151" t="s">
        <v>3381</v>
      </c>
      <c r="I1070" s="127" t="s">
        <v>1189</v>
      </c>
      <c r="J1070" s="128" t="s">
        <v>2686</v>
      </c>
      <c r="K1070" s="128" t="s">
        <v>2922</v>
      </c>
      <c r="L1070" s="151" t="s">
        <v>2956</v>
      </c>
      <c r="M1070" s="127">
        <v>626437</v>
      </c>
      <c r="N1070" s="109"/>
      <c r="O1070" s="86"/>
      <c r="P1070" s="20"/>
      <c r="Q1070" s="20"/>
    </row>
    <row r="1071" spans="1:17" ht="24.9" customHeight="1">
      <c r="A1071" s="20">
        <v>362</v>
      </c>
      <c r="B1071" s="20" t="s">
        <v>4320</v>
      </c>
      <c r="C1071" s="19">
        <v>101</v>
      </c>
      <c r="D1071" s="19" t="s">
        <v>2825</v>
      </c>
      <c r="E1071" s="19" t="str">
        <f>VLOOKUP(D1071,'لیست پرسنل'!$B$2:$E$1020,3,FALSE)</f>
        <v>مهرفام</v>
      </c>
      <c r="F1071" s="19" t="str">
        <f>VLOOKUP(D1071,'لیست پرسنل'!$B$2:$E$1020,4,FALSE)</f>
        <v>DCC</v>
      </c>
      <c r="G1071" s="127">
        <f>VLOOKUP(D1071,'لیست پرسنل'!$B$2:$F$1020,2,FALSE)</f>
        <v>100536</v>
      </c>
      <c r="H1071" s="151" t="s">
        <v>3381</v>
      </c>
      <c r="I1071" s="127" t="s">
        <v>1218</v>
      </c>
      <c r="J1071" s="128" t="s">
        <v>737</v>
      </c>
      <c r="K1071" s="128" t="s">
        <v>749</v>
      </c>
      <c r="L1071" s="151" t="s">
        <v>750</v>
      </c>
      <c r="M1071" s="127">
        <v>605693</v>
      </c>
      <c r="N1071" s="109"/>
      <c r="O1071" s="19"/>
      <c r="P1071" s="20"/>
      <c r="Q1071" s="20"/>
    </row>
    <row r="1072" spans="1:17" ht="24.9" customHeight="1">
      <c r="A1072" s="20">
        <v>362</v>
      </c>
      <c r="B1072" s="20" t="s">
        <v>4320</v>
      </c>
      <c r="C1072" s="19">
        <v>101</v>
      </c>
      <c r="D1072" s="19" t="s">
        <v>2825</v>
      </c>
      <c r="E1072" s="19" t="str">
        <f>VLOOKUP(D1072,'لیست پرسنل'!$B$2:$E$1020,3,FALSE)</f>
        <v>مهرفام</v>
      </c>
      <c r="F1072" s="19" t="str">
        <f>VLOOKUP(D1072,'لیست پرسنل'!$B$2:$E$1020,4,FALSE)</f>
        <v>DCC</v>
      </c>
      <c r="G1072" s="127">
        <f>VLOOKUP(D1072,'لیست پرسنل'!$B$2:$F$1020,2,FALSE)</f>
        <v>100536</v>
      </c>
      <c r="H1072" s="151" t="s">
        <v>3381</v>
      </c>
      <c r="I1072" s="127" t="s">
        <v>1218</v>
      </c>
      <c r="J1072" s="128" t="s">
        <v>737</v>
      </c>
      <c r="K1072" s="128" t="s">
        <v>348</v>
      </c>
      <c r="L1072" s="127">
        <v>70314068</v>
      </c>
      <c r="M1072" s="127">
        <v>615492</v>
      </c>
      <c r="N1072" s="109"/>
      <c r="O1072" s="19"/>
      <c r="P1072" s="20"/>
      <c r="Q1072" s="20"/>
    </row>
    <row r="1073" spans="1:17" ht="24.9" customHeight="1">
      <c r="A1073" s="20">
        <v>362</v>
      </c>
      <c r="B1073" s="20" t="s">
        <v>4320</v>
      </c>
      <c r="C1073" s="19">
        <v>101</v>
      </c>
      <c r="D1073" s="19" t="s">
        <v>2825</v>
      </c>
      <c r="E1073" s="19" t="str">
        <f>VLOOKUP(D1073,'لیست پرسنل'!$B$2:$E$1020,3,FALSE)</f>
        <v>مهرفام</v>
      </c>
      <c r="F1073" s="19" t="str">
        <f>VLOOKUP(D1073,'لیست پرسنل'!$B$2:$E$1020,4,FALSE)</f>
        <v>DCC</v>
      </c>
      <c r="G1073" s="127">
        <f>VLOOKUP(D1073,'لیست پرسنل'!$B$2:$F$1020,2,FALSE)</f>
        <v>100536</v>
      </c>
      <c r="H1073" s="151" t="s">
        <v>3381</v>
      </c>
      <c r="I1073" s="127" t="s">
        <v>1218</v>
      </c>
      <c r="J1073" s="126" t="s">
        <v>368</v>
      </c>
      <c r="K1073" s="128" t="s">
        <v>2846</v>
      </c>
      <c r="L1073" s="128" t="s">
        <v>2367</v>
      </c>
      <c r="M1073" s="128">
        <v>628774</v>
      </c>
      <c r="N1073" s="108"/>
      <c r="O1073" s="20"/>
      <c r="P1073" s="20"/>
      <c r="Q1073" s="20"/>
    </row>
    <row r="1074" spans="1:17" ht="24.9" customHeight="1">
      <c r="A1074" s="20">
        <v>362</v>
      </c>
      <c r="B1074" s="20" t="s">
        <v>4320</v>
      </c>
      <c r="C1074" s="19">
        <v>101</v>
      </c>
      <c r="D1074" s="19" t="s">
        <v>2825</v>
      </c>
      <c r="E1074" s="19" t="str">
        <f>VLOOKUP(D1074,'لیست پرسنل'!$B$2:$E$1020,3,FALSE)</f>
        <v>مهرفام</v>
      </c>
      <c r="F1074" s="19" t="str">
        <f>VLOOKUP(D1074,'لیست پرسنل'!$B$2:$E$1020,4,FALSE)</f>
        <v>DCC</v>
      </c>
      <c r="G1074" s="127">
        <f>VLOOKUP(D1074,'لیست پرسنل'!$B$2:$F$1020,2,FALSE)</f>
        <v>100536</v>
      </c>
      <c r="H1074" s="151" t="s">
        <v>3381</v>
      </c>
      <c r="I1074" s="127" t="s">
        <v>1218</v>
      </c>
      <c r="J1074" s="127" t="s">
        <v>571</v>
      </c>
      <c r="K1074" s="128" t="s">
        <v>2219</v>
      </c>
      <c r="L1074" s="151"/>
      <c r="M1074" s="128">
        <v>625428</v>
      </c>
      <c r="N1074" s="108"/>
      <c r="O1074" s="20"/>
      <c r="P1074" s="20"/>
      <c r="Q1074" s="20"/>
    </row>
    <row r="1075" spans="1:17" ht="24.9" customHeight="1">
      <c r="A1075" s="20">
        <v>362</v>
      </c>
      <c r="B1075" s="20" t="s">
        <v>4320</v>
      </c>
      <c r="C1075" s="19">
        <v>101</v>
      </c>
      <c r="D1075" s="19" t="s">
        <v>2825</v>
      </c>
      <c r="E1075" s="19" t="str">
        <f>VLOOKUP(D1075,'لیست پرسنل'!$B$2:$E$1020,3,FALSE)</f>
        <v>مهرفام</v>
      </c>
      <c r="F1075" s="19" t="str">
        <f>VLOOKUP(D1075,'لیست پرسنل'!$B$2:$E$1020,4,FALSE)</f>
        <v>DCC</v>
      </c>
      <c r="G1075" s="127">
        <f>VLOOKUP(D1075,'لیست پرسنل'!$B$2:$F$1020,2,FALSE)</f>
        <v>100536</v>
      </c>
      <c r="H1075" s="151" t="s">
        <v>3381</v>
      </c>
      <c r="I1075" s="127" t="s">
        <v>1218</v>
      </c>
      <c r="J1075" s="128" t="s">
        <v>2686</v>
      </c>
      <c r="K1075" s="128" t="s">
        <v>2922</v>
      </c>
      <c r="L1075" s="128" t="s">
        <v>2937</v>
      </c>
      <c r="M1075" s="128">
        <v>626415</v>
      </c>
      <c r="N1075" s="108"/>
      <c r="O1075" s="20" t="s">
        <v>705</v>
      </c>
      <c r="P1075" s="20"/>
      <c r="Q1075" s="20"/>
    </row>
    <row r="1076" spans="1:17" ht="24.9" customHeight="1">
      <c r="A1076" s="20">
        <v>362</v>
      </c>
      <c r="B1076" s="20" t="s">
        <v>4320</v>
      </c>
      <c r="C1076" s="19">
        <v>102</v>
      </c>
      <c r="D1076" s="19" t="s">
        <v>3417</v>
      </c>
      <c r="E1076" s="19" t="str">
        <f>VLOOKUP(D1076,'لیست پرسنل'!$B$2:$E$1020,3,FALSE)</f>
        <v>فکورصنعت</v>
      </c>
      <c r="F1076" s="19" t="str">
        <f>VLOOKUP(D1076,'لیست پرسنل'!$B$2:$E$1020,4,FALSE)</f>
        <v>کنترل پروژه</v>
      </c>
      <c r="G1076" s="127" t="str">
        <f>VLOOKUP(D1076,'لیست پرسنل'!$B$2:$F$1020,2,FALSE)</f>
        <v>4020305</v>
      </c>
      <c r="H1076" s="151" t="s">
        <v>3381</v>
      </c>
      <c r="I1076" s="127" t="s">
        <v>1334</v>
      </c>
      <c r="J1076" s="128" t="s">
        <v>3145</v>
      </c>
      <c r="K1076" s="128" t="s">
        <v>1914</v>
      </c>
      <c r="L1076" s="127">
        <v>72660100236</v>
      </c>
      <c r="M1076" s="127">
        <v>625643</v>
      </c>
      <c r="N1076" s="109"/>
      <c r="O1076" s="19"/>
      <c r="P1076" s="20"/>
      <c r="Q1076" s="20"/>
    </row>
    <row r="1077" spans="1:17" ht="24.9" customHeight="1">
      <c r="A1077" s="20">
        <v>362</v>
      </c>
      <c r="B1077" s="20" t="s">
        <v>4320</v>
      </c>
      <c r="C1077" s="19">
        <v>102</v>
      </c>
      <c r="D1077" s="19" t="s">
        <v>3417</v>
      </c>
      <c r="E1077" s="19" t="str">
        <f>VLOOKUP(D1077,'لیست پرسنل'!$B$2:$E$1020,3,FALSE)</f>
        <v>فکورصنعت</v>
      </c>
      <c r="F1077" s="19" t="str">
        <f>VLOOKUP(D1077,'لیست پرسنل'!$B$2:$E$1020,4,FALSE)</f>
        <v>کنترل پروژه</v>
      </c>
      <c r="G1077" s="127" t="str">
        <f>VLOOKUP(D1077,'لیست پرسنل'!$B$2:$F$1020,2,FALSE)</f>
        <v>4020305</v>
      </c>
      <c r="H1077" s="151" t="s">
        <v>3381</v>
      </c>
      <c r="I1077" s="127" t="s">
        <v>1334</v>
      </c>
      <c r="J1077" s="127" t="s">
        <v>737</v>
      </c>
      <c r="K1077" s="128" t="s">
        <v>5220</v>
      </c>
      <c r="L1077" s="128" t="s">
        <v>5910</v>
      </c>
      <c r="M1077" s="132">
        <v>632441</v>
      </c>
      <c r="N1077" s="111"/>
      <c r="O1077" s="19"/>
      <c r="P1077" s="20"/>
      <c r="Q1077" s="20"/>
    </row>
    <row r="1078" spans="1:17" ht="24.9" customHeight="1">
      <c r="A1078" s="185">
        <v>362</v>
      </c>
      <c r="B1078" s="185" t="s">
        <v>4320</v>
      </c>
      <c r="C1078" s="186">
        <v>102</v>
      </c>
      <c r="D1078" s="208" t="s">
        <v>3417</v>
      </c>
      <c r="E1078" s="186" t="str">
        <f>VLOOKUP(D1078,'لیست پرسنل'!$B$2:$E$1020,3,FALSE)</f>
        <v>فکورصنعت</v>
      </c>
      <c r="F1078" s="186" t="str">
        <f>VLOOKUP(D1078,'لیست پرسنل'!$B$2:$E$1020,4,FALSE)</f>
        <v>کنترل پروژه</v>
      </c>
      <c r="G1078" s="187" t="str">
        <f>VLOOKUP(D1078,'لیست پرسنل'!$B$2:$F$1020,2,FALSE)</f>
        <v>4020305</v>
      </c>
      <c r="H1078" s="206" t="s">
        <v>3381</v>
      </c>
      <c r="I1078" s="190" t="s">
        <v>1334</v>
      </c>
      <c r="J1078" s="195" t="s">
        <v>368</v>
      </c>
      <c r="K1078" s="188" t="s">
        <v>2846</v>
      </c>
      <c r="L1078" s="188" t="s">
        <v>2428</v>
      </c>
      <c r="M1078" s="194">
        <v>628835</v>
      </c>
      <c r="N1078" s="198"/>
      <c r="O1078" s="185"/>
      <c r="P1078" s="185"/>
      <c r="Q1078" s="185"/>
    </row>
    <row r="1079" spans="1:17" ht="24.9" customHeight="1">
      <c r="A1079" s="20">
        <v>362</v>
      </c>
      <c r="B1079" s="20" t="s">
        <v>4320</v>
      </c>
      <c r="C1079" s="19">
        <v>102</v>
      </c>
      <c r="D1079" s="19" t="s">
        <v>3417</v>
      </c>
      <c r="E1079" s="19" t="str">
        <f>VLOOKUP(D1079,'لیست پرسنل'!$B$2:$E$1020,3,FALSE)</f>
        <v>فکورصنعت</v>
      </c>
      <c r="F1079" s="19" t="str">
        <f>VLOOKUP(D1079,'لیست پرسنل'!$B$2:$E$1020,4,FALSE)</f>
        <v>کنترل پروژه</v>
      </c>
      <c r="G1079" s="127" t="str">
        <f>VLOOKUP(D1079,'لیست پرسنل'!$B$2:$F$1020,2,FALSE)</f>
        <v>4020305</v>
      </c>
      <c r="H1079" s="151" t="s">
        <v>3381</v>
      </c>
      <c r="I1079" s="127" t="s">
        <v>1334</v>
      </c>
      <c r="J1079" s="128" t="s">
        <v>8064</v>
      </c>
      <c r="K1079" s="128" t="s">
        <v>3277</v>
      </c>
      <c r="L1079" s="127"/>
      <c r="M1079" s="127">
        <v>625645</v>
      </c>
      <c r="N1079" s="109"/>
      <c r="O1079" s="19"/>
      <c r="P1079" s="20"/>
      <c r="Q1079" s="20"/>
    </row>
    <row r="1080" spans="1:17" ht="24.9" customHeight="1">
      <c r="A1080" s="20">
        <v>362</v>
      </c>
      <c r="B1080" s="20" t="s">
        <v>4320</v>
      </c>
      <c r="C1080" s="19">
        <v>102</v>
      </c>
      <c r="D1080" s="19" t="s">
        <v>3417</v>
      </c>
      <c r="E1080" s="19" t="str">
        <f>VLOOKUP(D1080,'لیست پرسنل'!$B$2:$E$1020,3,FALSE)</f>
        <v>فکورصنعت</v>
      </c>
      <c r="F1080" s="19" t="str">
        <f>VLOOKUP(D1080,'لیست پرسنل'!$B$2:$E$1020,4,FALSE)</f>
        <v>کنترل پروژه</v>
      </c>
      <c r="G1080" s="127" t="str">
        <f>VLOOKUP(D1080,'لیست پرسنل'!$B$2:$F$1020,2,FALSE)</f>
        <v>4020305</v>
      </c>
      <c r="H1080" s="151" t="s">
        <v>3381</v>
      </c>
      <c r="I1080" s="127" t="s">
        <v>1334</v>
      </c>
      <c r="J1080" s="127" t="s">
        <v>571</v>
      </c>
      <c r="K1080" s="128" t="s">
        <v>2219</v>
      </c>
      <c r="L1080" s="151"/>
      <c r="M1080" s="128">
        <v>624105</v>
      </c>
      <c r="N1080" s="108"/>
      <c r="O1080" s="20"/>
      <c r="P1080" s="20"/>
      <c r="Q1080" s="20"/>
    </row>
    <row r="1081" spans="1:17" ht="24.9" customHeight="1">
      <c r="A1081" s="20">
        <v>362</v>
      </c>
      <c r="B1081" s="20" t="s">
        <v>4320</v>
      </c>
      <c r="C1081" s="19">
        <v>102</v>
      </c>
      <c r="D1081" s="19" t="s">
        <v>3417</v>
      </c>
      <c r="E1081" s="19" t="str">
        <f>VLOOKUP(D1081,'لیست پرسنل'!$B$2:$E$1020,3,FALSE)</f>
        <v>فکورصنعت</v>
      </c>
      <c r="F1081" s="19" t="str">
        <f>VLOOKUP(D1081,'لیست پرسنل'!$B$2:$E$1020,4,FALSE)</f>
        <v>کنترل پروژه</v>
      </c>
      <c r="G1081" s="127" t="str">
        <f>VLOOKUP(D1081,'لیست پرسنل'!$B$2:$F$1020,2,FALSE)</f>
        <v>4020305</v>
      </c>
      <c r="H1081" s="151" t="s">
        <v>3381</v>
      </c>
      <c r="I1081" s="127" t="s">
        <v>1334</v>
      </c>
      <c r="J1081" s="128" t="s">
        <v>2686</v>
      </c>
      <c r="K1081" s="128" t="s">
        <v>2922</v>
      </c>
      <c r="L1081" s="127" t="s">
        <v>3079</v>
      </c>
      <c r="M1081" s="128">
        <v>626563</v>
      </c>
      <c r="N1081" s="108"/>
      <c r="O1081" s="20" t="s">
        <v>705</v>
      </c>
      <c r="P1081" s="20"/>
      <c r="Q1081" s="20"/>
    </row>
    <row r="1082" spans="1:17" ht="24.9" customHeight="1">
      <c r="A1082" s="20">
        <v>362</v>
      </c>
      <c r="B1082" s="20" t="s">
        <v>4320</v>
      </c>
      <c r="C1082" s="19">
        <v>103</v>
      </c>
      <c r="D1082" s="19" t="s">
        <v>5931</v>
      </c>
      <c r="E1082" s="19" t="str">
        <f>VLOOKUP(D1082,'لیست پرسنل'!$B$2:$E$1020,3,FALSE)</f>
        <v>فکورصنعت</v>
      </c>
      <c r="F1082" s="19" t="str">
        <f>VLOOKUP(D1082,'لیست پرسنل'!$B$2:$E$1020,4,FALSE)</f>
        <v>آی تی</v>
      </c>
      <c r="G1082" s="127" t="str">
        <f>VLOOKUP(D1082,'لیست پرسنل'!$B$2:$F$1020,2,FALSE)</f>
        <v>4021104 </v>
      </c>
      <c r="H1082" s="151" t="s">
        <v>6698</v>
      </c>
      <c r="I1082" s="127" t="s">
        <v>1440</v>
      </c>
      <c r="J1082" s="128" t="s">
        <v>571</v>
      </c>
      <c r="K1082" s="128" t="s">
        <v>2219</v>
      </c>
      <c r="L1082" s="128"/>
      <c r="M1082" s="127">
        <v>633678</v>
      </c>
      <c r="N1082" s="109"/>
      <c r="O1082" s="19" t="s">
        <v>6337</v>
      </c>
      <c r="P1082" s="32"/>
      <c r="Q1082" s="32"/>
    </row>
    <row r="1083" spans="1:17" ht="24.9" customHeight="1">
      <c r="A1083" s="185">
        <v>362</v>
      </c>
      <c r="B1083" s="185" t="s">
        <v>4320</v>
      </c>
      <c r="C1083" s="186">
        <v>103</v>
      </c>
      <c r="D1083" s="208" t="s">
        <v>5931</v>
      </c>
      <c r="E1083" s="186" t="str">
        <f>VLOOKUP(D1083,'لیست پرسنل'!$B$2:$E$1020,3,FALSE)</f>
        <v>فکورصنعت</v>
      </c>
      <c r="F1083" s="186" t="str">
        <f>VLOOKUP(D1083,'لیست پرسنل'!$B$2:$E$1020,4,FALSE)</f>
        <v>آی تی</v>
      </c>
      <c r="G1083" s="187" t="str">
        <f>VLOOKUP(D1083,'لیست پرسنل'!$B$2:$F$1020,2,FALSE)</f>
        <v>4021104 </v>
      </c>
      <c r="H1083" s="206" t="s">
        <v>6698</v>
      </c>
      <c r="I1083" s="190" t="s">
        <v>1440</v>
      </c>
      <c r="J1083" s="188" t="s">
        <v>2686</v>
      </c>
      <c r="K1083" s="188" t="s">
        <v>2922</v>
      </c>
      <c r="L1083" s="206" t="s">
        <v>3000</v>
      </c>
      <c r="M1083" s="190">
        <v>626482</v>
      </c>
      <c r="N1083" s="189"/>
      <c r="O1083" s="222"/>
      <c r="P1083" s="185"/>
      <c r="Q1083" s="185"/>
    </row>
    <row r="1084" spans="1:17" ht="24.9" customHeight="1">
      <c r="A1084" s="20">
        <v>362</v>
      </c>
      <c r="B1084" s="20" t="s">
        <v>4320</v>
      </c>
      <c r="C1084" s="19">
        <v>104</v>
      </c>
      <c r="D1084" s="19" t="s">
        <v>8515</v>
      </c>
      <c r="E1084" s="19" t="str">
        <f>VLOOKUP(D1084,'لیست پرسنل'!$B$2:$E$1020,3,FALSE)</f>
        <v>کاربین طرح</v>
      </c>
      <c r="F1084" s="19" t="str">
        <f>VLOOKUP(D1084,'لیست پرسنل'!$B$2:$E$1020,4,FALSE)</f>
        <v>ایمنی</v>
      </c>
      <c r="G1084" s="127">
        <v>0</v>
      </c>
      <c r="H1084" s="151" t="s">
        <v>8552</v>
      </c>
      <c r="I1084" s="127" t="s">
        <v>8517</v>
      </c>
      <c r="J1084" s="128" t="s">
        <v>571</v>
      </c>
      <c r="K1084" s="128" t="s">
        <v>8550</v>
      </c>
      <c r="L1084" s="128"/>
      <c r="M1084" s="127">
        <v>631126</v>
      </c>
      <c r="N1084" s="109" t="s">
        <v>8551</v>
      </c>
      <c r="O1084" s="19"/>
      <c r="P1084" s="32"/>
      <c r="Q1084" s="32"/>
    </row>
    <row r="1085" spans="1:17" ht="24.9" customHeight="1">
      <c r="A1085" s="20">
        <v>362</v>
      </c>
      <c r="B1085" s="20" t="s">
        <v>4320</v>
      </c>
      <c r="C1085" s="19">
        <v>104</v>
      </c>
      <c r="D1085" s="19" t="s">
        <v>8515</v>
      </c>
      <c r="E1085" s="19" t="str">
        <f>VLOOKUP(D1085,'لیست پرسنل'!$B$2:$E$1020,3,FALSE)</f>
        <v>کاربین طرح</v>
      </c>
      <c r="F1085" s="19" t="str">
        <f>VLOOKUP(D1085,'لیست پرسنل'!$B$2:$E$1020,4,FALSE)</f>
        <v>ایمنی</v>
      </c>
      <c r="G1085" s="127">
        <f>VLOOKUP(D1085,'لیست پرسنل'!$B$2:$F$1020,2,FALSE)</f>
        <v>0</v>
      </c>
      <c r="H1085" s="151" t="s">
        <v>8552</v>
      </c>
      <c r="I1085" s="127" t="s">
        <v>8517</v>
      </c>
      <c r="J1085" s="128" t="s">
        <v>2686</v>
      </c>
      <c r="K1085" s="128" t="s">
        <v>2143</v>
      </c>
      <c r="L1085" s="128" t="s">
        <v>2226</v>
      </c>
      <c r="M1085" s="127">
        <v>628617</v>
      </c>
      <c r="N1085" s="109" t="s">
        <v>8551</v>
      </c>
      <c r="O1085" s="20" t="s">
        <v>705</v>
      </c>
      <c r="P1085" s="20"/>
      <c r="Q1085" s="20"/>
    </row>
    <row r="1086" spans="1:17" ht="24.9" customHeight="1">
      <c r="A1086" s="20">
        <v>362</v>
      </c>
      <c r="B1086" s="20" t="s">
        <v>4320</v>
      </c>
      <c r="C1086" s="20">
        <v>104</v>
      </c>
      <c r="D1086" s="20" t="s">
        <v>8515</v>
      </c>
      <c r="E1086" s="19" t="str">
        <f>VLOOKUP(D1086,'لیست پرسنل'!$B$2:$E$1020,3,FALSE)</f>
        <v>کاربین طرح</v>
      </c>
      <c r="F1086" s="19" t="str">
        <f>VLOOKUP(D1086,'لیست پرسنل'!$B$2:$E$1020,4,FALSE)</f>
        <v>ایمنی</v>
      </c>
      <c r="G1086" s="127">
        <f>VLOOKUP(D1086,'لیست پرسنل'!$B$2:$F$1020,2,FALSE)</f>
        <v>0</v>
      </c>
      <c r="H1086" s="126" t="s">
        <v>4306</v>
      </c>
      <c r="I1086" s="128" t="s">
        <v>8517</v>
      </c>
      <c r="J1086" s="141" t="s">
        <v>571</v>
      </c>
      <c r="K1086" s="128" t="s">
        <v>5270</v>
      </c>
      <c r="L1086" s="127" t="s">
        <v>1849</v>
      </c>
      <c r="M1086" s="131">
        <v>631126</v>
      </c>
      <c r="N1086" s="108" t="s">
        <v>6840</v>
      </c>
      <c r="O1086" s="20" t="s">
        <v>705</v>
      </c>
      <c r="P1086" s="20"/>
      <c r="Q1086" s="20"/>
    </row>
    <row r="1087" spans="1:17" ht="24.9" customHeight="1">
      <c r="A1087" s="20">
        <v>362</v>
      </c>
      <c r="B1087" s="20" t="s">
        <v>4320</v>
      </c>
      <c r="C1087" s="19">
        <v>105</v>
      </c>
      <c r="D1087" s="20" t="s">
        <v>5930</v>
      </c>
      <c r="E1087" s="19" t="str">
        <f>VLOOKUP(D1087,'لیست پرسنل'!$B$2:$E$1020,3,FALSE)</f>
        <v>مهرفام</v>
      </c>
      <c r="F1087" s="19" t="str">
        <f>VLOOKUP(D1087,'لیست پرسنل'!$B$2:$E$1020,4,FALSE)</f>
        <v>برق</v>
      </c>
      <c r="G1087" s="127">
        <f>VLOOKUP(D1087,'لیست پرسنل'!$B$2:$F$1020,2,FALSE)</f>
        <v>100642</v>
      </c>
      <c r="H1087" s="126" t="s">
        <v>3381</v>
      </c>
      <c r="I1087" s="128" t="s">
        <v>1450</v>
      </c>
      <c r="J1087" s="126" t="s">
        <v>368</v>
      </c>
      <c r="K1087" s="135" t="s">
        <v>8248</v>
      </c>
      <c r="L1087" s="127" t="s">
        <v>2356</v>
      </c>
      <c r="M1087" s="128">
        <v>628762</v>
      </c>
      <c r="N1087" s="108"/>
      <c r="O1087" s="20" t="s">
        <v>705</v>
      </c>
      <c r="P1087" s="20"/>
      <c r="Q1087" s="20"/>
    </row>
    <row r="1088" spans="1:17" ht="24.9" customHeight="1">
      <c r="A1088" s="20">
        <v>362</v>
      </c>
      <c r="B1088" s="20" t="s">
        <v>4320</v>
      </c>
      <c r="C1088" s="19">
        <v>105</v>
      </c>
      <c r="D1088" s="20" t="s">
        <v>5930</v>
      </c>
      <c r="E1088" s="19" t="str">
        <f>VLOOKUP(D1088,'لیست پرسنل'!$B$2:$E$1020,3,FALSE)</f>
        <v>مهرفام</v>
      </c>
      <c r="F1088" s="19" t="str">
        <f>VLOOKUP(D1088,'لیست پرسنل'!$B$2:$E$1020,4,FALSE)</f>
        <v>برق</v>
      </c>
      <c r="G1088" s="127">
        <f>VLOOKUP(D1088,'لیست پرسنل'!$B$2:$F$1020,2,FALSE)</f>
        <v>100642</v>
      </c>
      <c r="H1088" s="126" t="s">
        <v>3381</v>
      </c>
      <c r="I1088" s="128" t="s">
        <v>1450</v>
      </c>
      <c r="J1088" s="141" t="s">
        <v>571</v>
      </c>
      <c r="K1088" s="135" t="s">
        <v>5270</v>
      </c>
      <c r="L1088" s="154" t="s">
        <v>2219</v>
      </c>
      <c r="M1088" s="131">
        <v>631107</v>
      </c>
      <c r="N1088" s="108"/>
      <c r="O1088" s="20" t="s">
        <v>705</v>
      </c>
      <c r="P1088" s="20"/>
      <c r="Q1088" s="20"/>
    </row>
    <row r="1089" spans="1:17" ht="24.9" customHeight="1">
      <c r="A1089" s="20">
        <v>362</v>
      </c>
      <c r="B1089" s="20" t="s">
        <v>4320</v>
      </c>
      <c r="C1089" s="19">
        <v>105</v>
      </c>
      <c r="D1089" s="20" t="s">
        <v>5930</v>
      </c>
      <c r="E1089" s="19" t="str">
        <f>VLOOKUP(D1089,'لیست پرسنل'!$B$2:$E$1020,3,FALSE)</f>
        <v>مهرفام</v>
      </c>
      <c r="F1089" s="19" t="str">
        <f>VLOOKUP(D1089,'لیست پرسنل'!$B$2:$E$1020,4,FALSE)</f>
        <v>برق</v>
      </c>
      <c r="G1089" s="127">
        <f>VLOOKUP(D1089,'لیست پرسنل'!$B$2:$F$1020,2,FALSE)</f>
        <v>100642</v>
      </c>
      <c r="H1089" s="126" t="s">
        <v>3381</v>
      </c>
      <c r="I1089" s="128" t="s">
        <v>1450</v>
      </c>
      <c r="J1089" s="128" t="s">
        <v>2686</v>
      </c>
      <c r="K1089" s="128" t="s">
        <v>2922</v>
      </c>
      <c r="L1089" s="128" t="s">
        <v>2958</v>
      </c>
      <c r="M1089" s="128">
        <v>626439</v>
      </c>
      <c r="N1089" s="108"/>
      <c r="O1089" s="20" t="s">
        <v>705</v>
      </c>
      <c r="P1089" s="20"/>
      <c r="Q1089" s="20"/>
    </row>
    <row r="1090" spans="1:17" ht="24.9" customHeight="1">
      <c r="A1090" s="20">
        <v>362</v>
      </c>
      <c r="B1090" s="20" t="s">
        <v>4320</v>
      </c>
      <c r="C1090" s="19">
        <v>106</v>
      </c>
      <c r="D1090" s="19" t="s">
        <v>5752</v>
      </c>
      <c r="E1090" s="19" t="str">
        <f>VLOOKUP(D1090,'لیست پرسنل'!$B$2:$E$1020,3,FALSE)</f>
        <v>فرزان رستاک</v>
      </c>
      <c r="F1090" s="19">
        <f>VLOOKUP(D1090,'لیست پرسنل'!$B$2:$E$1020,4,FALSE)</f>
        <v>0</v>
      </c>
      <c r="G1090" s="127">
        <f>VLOOKUP(D1090,'لیست پرسنل'!$B$2:$F$1020,2,FALSE)</f>
        <v>0</v>
      </c>
      <c r="H1090" s="151" t="s">
        <v>3381</v>
      </c>
      <c r="I1090" s="127" t="s">
        <v>1452</v>
      </c>
      <c r="J1090" s="126" t="s">
        <v>368</v>
      </c>
      <c r="K1090" s="128" t="s">
        <v>2846</v>
      </c>
      <c r="L1090" s="128" t="s">
        <v>2468</v>
      </c>
      <c r="M1090" s="128">
        <v>628878</v>
      </c>
      <c r="N1090" s="108"/>
      <c r="O1090" s="20"/>
      <c r="P1090" s="20"/>
      <c r="Q1090" s="20"/>
    </row>
    <row r="1091" spans="1:17" ht="24.9" customHeight="1">
      <c r="A1091" s="20">
        <v>362</v>
      </c>
      <c r="B1091" s="20" t="s">
        <v>4320</v>
      </c>
      <c r="C1091" s="19">
        <v>106</v>
      </c>
      <c r="D1091" s="19" t="s">
        <v>5752</v>
      </c>
      <c r="E1091" s="19" t="str">
        <f>VLOOKUP(D1091,'لیست پرسنل'!$B$2:$E$1020,3,FALSE)</f>
        <v>فرزان رستاک</v>
      </c>
      <c r="F1091" s="19">
        <f>VLOOKUP(D1091,'لیست پرسنل'!$B$2:$E$1020,4,FALSE)</f>
        <v>0</v>
      </c>
      <c r="G1091" s="127">
        <f>VLOOKUP(D1091,'لیست پرسنل'!$B$2:$F$1020,2,FALSE)</f>
        <v>0</v>
      </c>
      <c r="H1091" s="151" t="s">
        <v>3381</v>
      </c>
      <c r="I1091" s="127" t="s">
        <v>1452</v>
      </c>
      <c r="J1091" s="127" t="s">
        <v>571</v>
      </c>
      <c r="K1091" s="128"/>
      <c r="L1091" s="151"/>
      <c r="M1091" s="127">
        <v>627700</v>
      </c>
      <c r="N1091" s="109"/>
      <c r="O1091" s="20"/>
      <c r="P1091" s="20"/>
      <c r="Q1091" s="20"/>
    </row>
    <row r="1092" spans="1:17" ht="24.9" customHeight="1">
      <c r="A1092" s="20">
        <v>362</v>
      </c>
      <c r="B1092" s="20" t="s">
        <v>4320</v>
      </c>
      <c r="C1092" s="19">
        <v>106</v>
      </c>
      <c r="D1092" s="19" t="s">
        <v>5752</v>
      </c>
      <c r="E1092" s="19" t="str">
        <f>VLOOKUP(D1092,'لیست پرسنل'!$B$2:$E$1020,3,FALSE)</f>
        <v>فرزان رستاک</v>
      </c>
      <c r="F1092" s="19">
        <f>VLOOKUP(D1092,'لیست پرسنل'!$B$2:$E$1020,4,FALSE)</f>
        <v>0</v>
      </c>
      <c r="G1092" s="127">
        <f>VLOOKUP(D1092,'لیست پرسنل'!$B$2:$F$1020,2,FALSE)</f>
        <v>0</v>
      </c>
      <c r="H1092" s="151" t="s">
        <v>3381</v>
      </c>
      <c r="I1092" s="127" t="s">
        <v>1452</v>
      </c>
      <c r="J1092" s="128" t="s">
        <v>2686</v>
      </c>
      <c r="K1092" s="128" t="s">
        <v>2922</v>
      </c>
      <c r="L1092" s="151" t="s">
        <v>3062</v>
      </c>
      <c r="M1092" s="127">
        <v>626546</v>
      </c>
      <c r="N1092" s="109"/>
      <c r="O1092" s="86"/>
      <c r="P1092" s="20"/>
      <c r="Q1092" s="20"/>
    </row>
    <row r="1093" spans="1:17" ht="24.9" customHeight="1">
      <c r="A1093" s="20">
        <v>362</v>
      </c>
      <c r="B1093" s="20" t="s">
        <v>4320</v>
      </c>
      <c r="C1093" s="20">
        <v>107</v>
      </c>
      <c r="D1093" s="20" t="s">
        <v>8547</v>
      </c>
      <c r="E1093" s="19" t="str">
        <f>VLOOKUP(D1093,'لیست پرسنل'!$B$2:$E$1020,3,FALSE)</f>
        <v>مهرفام</v>
      </c>
      <c r="F1093" s="19" t="str">
        <f>VLOOKUP(D1093,'لیست پرسنل'!$B$2:$E$1020,4,FALSE)</f>
        <v>اجرا</v>
      </c>
      <c r="G1093" s="127">
        <f>VLOOKUP(D1093,'لیست پرسنل'!$B$2:$F$1020,2,FALSE)</f>
        <v>100676</v>
      </c>
      <c r="H1093" s="126" t="s">
        <v>7002</v>
      </c>
      <c r="I1093" s="128" t="s">
        <v>8549</v>
      </c>
      <c r="J1093" s="141" t="s">
        <v>571</v>
      </c>
      <c r="K1093" s="127" t="s">
        <v>5320</v>
      </c>
      <c r="L1093" s="128"/>
      <c r="M1093" s="132">
        <v>631485</v>
      </c>
      <c r="N1093" s="108" t="s">
        <v>326</v>
      </c>
      <c r="O1093" s="19" t="s">
        <v>6053</v>
      </c>
      <c r="P1093" s="20"/>
      <c r="Q1093" s="20"/>
    </row>
    <row r="1094" spans="1:17" ht="24.9" customHeight="1">
      <c r="A1094" s="20">
        <v>362</v>
      </c>
      <c r="B1094" s="20" t="s">
        <v>4320</v>
      </c>
      <c r="C1094" s="19">
        <v>107</v>
      </c>
      <c r="D1094" s="19" t="s">
        <v>8547</v>
      </c>
      <c r="E1094" s="19" t="str">
        <f>VLOOKUP(D1094,'لیست پرسنل'!$B$2:$E$1020,3,FALSE)</f>
        <v>مهرفام</v>
      </c>
      <c r="F1094" s="19" t="str">
        <f>VLOOKUP(D1094,'لیست پرسنل'!$B$2:$E$1020,4,FALSE)</f>
        <v>اجرا</v>
      </c>
      <c r="G1094" s="127">
        <f>VLOOKUP(D1094,'لیست پرسنل'!$B$2:$F$1020,2,FALSE)</f>
        <v>100676</v>
      </c>
      <c r="H1094" s="127" t="s">
        <v>7002</v>
      </c>
      <c r="I1094" s="127" t="s">
        <v>8549</v>
      </c>
      <c r="J1094" s="128" t="s">
        <v>2686</v>
      </c>
      <c r="K1094" s="128" t="s">
        <v>2143</v>
      </c>
      <c r="L1094" s="127" t="s">
        <v>2250</v>
      </c>
      <c r="M1094" s="127">
        <v>628641</v>
      </c>
      <c r="N1094" s="108" t="s">
        <v>326</v>
      </c>
      <c r="O1094" s="20" t="s">
        <v>705</v>
      </c>
      <c r="P1094" s="20"/>
      <c r="Q1094" s="20"/>
    </row>
    <row r="1095" spans="1:17" ht="24.9" customHeight="1">
      <c r="A1095" s="20">
        <v>362</v>
      </c>
      <c r="B1095" s="20" t="s">
        <v>4320</v>
      </c>
      <c r="C1095" s="19">
        <v>108</v>
      </c>
      <c r="D1095" s="19" t="s">
        <v>7513</v>
      </c>
      <c r="E1095" s="19" t="str">
        <f>VLOOKUP(D1095,'لیست پرسنل'!$B$2:$E$1020,3,FALSE)</f>
        <v>مهرفام</v>
      </c>
      <c r="F1095" s="19" t="str">
        <f>VLOOKUP(D1095,'لیست پرسنل'!$B$2:$E$1020,4,FALSE)</f>
        <v>مکانیک-آهک</v>
      </c>
      <c r="G1095" s="127">
        <f>VLOOKUP(D1095,'لیست پرسنل'!$B$2:$F$1020,2,FALSE)</f>
        <v>0</v>
      </c>
      <c r="H1095" s="151" t="s">
        <v>8302</v>
      </c>
      <c r="I1095" s="127" t="s">
        <v>1502</v>
      </c>
      <c r="J1095" s="126" t="s">
        <v>368</v>
      </c>
      <c r="K1095" s="128" t="s">
        <v>8248</v>
      </c>
      <c r="L1095" s="154" t="s">
        <v>1740</v>
      </c>
      <c r="M1095" s="127">
        <v>625690</v>
      </c>
      <c r="N1095" s="109"/>
      <c r="O1095" s="45"/>
      <c r="P1095" s="20"/>
      <c r="Q1095" s="20"/>
    </row>
    <row r="1096" spans="1:17" ht="24.9" customHeight="1">
      <c r="A1096" s="20">
        <v>362</v>
      </c>
      <c r="B1096" s="20" t="s">
        <v>4320</v>
      </c>
      <c r="C1096" s="19">
        <v>108</v>
      </c>
      <c r="D1096" s="19" t="s">
        <v>7513</v>
      </c>
      <c r="E1096" s="19" t="str">
        <f>VLOOKUP(D1096,'لیست پرسنل'!$B$2:$E$1020,3,FALSE)</f>
        <v>مهرفام</v>
      </c>
      <c r="F1096" s="19" t="str">
        <f>VLOOKUP(D1096,'لیست پرسنل'!$B$2:$E$1020,4,FALSE)</f>
        <v>مکانیک-آهک</v>
      </c>
      <c r="G1096" s="127">
        <f>VLOOKUP(D1096,'لیست پرسنل'!$B$2:$F$1020,2,FALSE)</f>
        <v>0</v>
      </c>
      <c r="H1096" s="151" t="s">
        <v>8302</v>
      </c>
      <c r="I1096" s="127" t="s">
        <v>1502</v>
      </c>
      <c r="J1096" s="127" t="s">
        <v>571</v>
      </c>
      <c r="K1096" s="128"/>
      <c r="L1096" s="150"/>
      <c r="M1096" s="127">
        <v>624584</v>
      </c>
      <c r="N1096" s="109"/>
      <c r="O1096" s="45"/>
      <c r="P1096" s="20"/>
      <c r="Q1096" s="20"/>
    </row>
    <row r="1097" spans="1:17" ht="24.9" customHeight="1">
      <c r="A1097" s="20">
        <v>362</v>
      </c>
      <c r="B1097" s="20" t="s">
        <v>4320</v>
      </c>
      <c r="C1097" s="19">
        <v>108</v>
      </c>
      <c r="D1097" s="19" t="s">
        <v>7513</v>
      </c>
      <c r="E1097" s="19" t="str">
        <f>VLOOKUP(D1097,'لیست پرسنل'!$B$2:$E$1020,3,FALSE)</f>
        <v>مهرفام</v>
      </c>
      <c r="F1097" s="19" t="str">
        <f>VLOOKUP(D1097,'لیست پرسنل'!$B$2:$E$1020,4,FALSE)</f>
        <v>مکانیک-آهک</v>
      </c>
      <c r="G1097" s="127">
        <f>VLOOKUP(D1097,'لیست پرسنل'!$B$2:$F$1020,2,FALSE)</f>
        <v>0</v>
      </c>
      <c r="H1097" s="151" t="s">
        <v>8302</v>
      </c>
      <c r="I1097" s="127" t="s">
        <v>1502</v>
      </c>
      <c r="J1097" s="128" t="s">
        <v>2686</v>
      </c>
      <c r="K1097" s="128" t="s">
        <v>2922</v>
      </c>
      <c r="L1097" s="160" t="s">
        <v>2997</v>
      </c>
      <c r="M1097" s="127">
        <v>626479</v>
      </c>
      <c r="N1097" s="109"/>
      <c r="O1097" s="86"/>
      <c r="P1097" s="20"/>
      <c r="Q1097" s="20"/>
    </row>
    <row r="1098" spans="1:17" ht="24.9" customHeight="1">
      <c r="A1098" s="20">
        <v>362</v>
      </c>
      <c r="B1098" s="20" t="s">
        <v>4320</v>
      </c>
      <c r="C1098" s="19">
        <v>111</v>
      </c>
      <c r="D1098" s="19" t="s">
        <v>3421</v>
      </c>
      <c r="E1098" s="19" t="str">
        <f>VLOOKUP(D1098,'لیست پرسنل'!$B$2:$E$1020,3,FALSE)</f>
        <v>مهرفام</v>
      </c>
      <c r="F1098" s="19" t="str">
        <f>VLOOKUP(D1098,'لیست پرسنل'!$B$2:$E$1020,4,FALSE)</f>
        <v>برق</v>
      </c>
      <c r="G1098" s="127" t="str">
        <f>VLOOKUP(D1098,'لیست پرسنل'!$B$2:$F$1020,2,FALSE)</f>
        <v>100519</v>
      </c>
      <c r="H1098" s="151" t="s">
        <v>3381</v>
      </c>
      <c r="I1098" s="127" t="s">
        <v>1752</v>
      </c>
      <c r="J1098" s="141" t="s">
        <v>571</v>
      </c>
      <c r="K1098" s="128" t="s">
        <v>1951</v>
      </c>
      <c r="L1098" s="165" t="s">
        <v>2219</v>
      </c>
      <c r="M1098" s="128">
        <v>629713</v>
      </c>
      <c r="N1098" s="108" t="s">
        <v>326</v>
      </c>
      <c r="O1098" s="20" t="s">
        <v>705</v>
      </c>
      <c r="P1098" s="20"/>
      <c r="Q1098" s="20"/>
    </row>
    <row r="1099" spans="1:17" ht="24.9" customHeight="1">
      <c r="A1099" s="20">
        <v>362</v>
      </c>
      <c r="B1099" s="20" t="s">
        <v>4320</v>
      </c>
      <c r="C1099" s="20">
        <v>111</v>
      </c>
      <c r="D1099" s="20" t="s">
        <v>8558</v>
      </c>
      <c r="E1099" s="19" t="str">
        <f>VLOOKUP(D1099,'لیست پرسنل'!$B$2:$E$1020,3,FALSE)</f>
        <v>مهرفام</v>
      </c>
      <c r="F1099" s="19" t="str">
        <f>VLOOKUP(D1099,'لیست پرسنل'!$B$2:$E$1020,4,FALSE)</f>
        <v>الکتریکال</v>
      </c>
      <c r="G1099" s="127">
        <f>VLOOKUP(D1099,'لیست پرسنل'!$B$2:$F$1020,2,FALSE)</f>
        <v>100518</v>
      </c>
      <c r="H1099" s="126" t="s">
        <v>7002</v>
      </c>
      <c r="I1099" s="128" t="s">
        <v>1752</v>
      </c>
      <c r="J1099" s="128" t="s">
        <v>2686</v>
      </c>
      <c r="K1099" s="128" t="s">
        <v>890</v>
      </c>
      <c r="L1099" s="151" t="s">
        <v>1235</v>
      </c>
      <c r="M1099" s="128">
        <v>609697</v>
      </c>
      <c r="N1099" s="108" t="s">
        <v>326</v>
      </c>
      <c r="O1099" s="20"/>
      <c r="P1099" s="20"/>
      <c r="Q1099" s="20"/>
    </row>
    <row r="1100" spans="1:17" ht="24.9" customHeight="1">
      <c r="A1100" s="20">
        <v>362</v>
      </c>
      <c r="B1100" s="20" t="s">
        <v>4320</v>
      </c>
      <c r="C1100" s="19">
        <v>114</v>
      </c>
      <c r="D1100" s="19" t="s">
        <v>4715</v>
      </c>
      <c r="E1100" s="19" t="str">
        <f>VLOOKUP(D1100,'لیست پرسنل'!$B$2:$E$1020,3,FALSE)</f>
        <v>گهر کوشان سپهر</v>
      </c>
      <c r="F1100" s="19" t="str">
        <f>VLOOKUP(D1100,'لیست پرسنل'!$B$2:$E$1020,4,FALSE)</f>
        <v>انبار</v>
      </c>
      <c r="G1100" s="127">
        <f>VLOOKUP(D1100,'لیست پرسنل'!$B$2:$F$1020,2,FALSE)</f>
        <v>20628</v>
      </c>
      <c r="H1100" s="151" t="s">
        <v>4014</v>
      </c>
      <c r="I1100" s="127" t="s">
        <v>1754</v>
      </c>
      <c r="J1100" s="128" t="s">
        <v>2686</v>
      </c>
      <c r="K1100" s="128" t="s">
        <v>320</v>
      </c>
      <c r="L1100" s="151" t="s">
        <v>1178</v>
      </c>
      <c r="M1100" s="132">
        <v>613925</v>
      </c>
      <c r="N1100" s="108"/>
      <c r="O1100" s="28"/>
      <c r="P1100" s="20"/>
      <c r="Q1100" s="20"/>
    </row>
    <row r="1101" spans="1:17" ht="24.9" customHeight="1">
      <c r="A1101" s="20">
        <v>362</v>
      </c>
      <c r="B1101" s="20" t="s">
        <v>4320</v>
      </c>
      <c r="C1101" s="19">
        <v>114</v>
      </c>
      <c r="D1101" s="46" t="s">
        <v>4715</v>
      </c>
      <c r="E1101" s="19" t="str">
        <f>VLOOKUP(D1101,'لیست پرسنل'!$B$2:$E$1020,3,FALSE)</f>
        <v>گهر کوشان سپهر</v>
      </c>
      <c r="F1101" s="19" t="str">
        <f>VLOOKUP(D1101,'لیست پرسنل'!$B$2:$E$1020,4,FALSE)</f>
        <v>انبار</v>
      </c>
      <c r="G1101" s="127">
        <f>VLOOKUP(D1101,'لیست پرسنل'!$B$2:$F$1020,2,FALSE)</f>
        <v>20628</v>
      </c>
      <c r="H1101" s="126" t="s">
        <v>3381</v>
      </c>
      <c r="I1101" s="126" t="s">
        <v>1754</v>
      </c>
      <c r="J1101" s="128" t="s">
        <v>737</v>
      </c>
      <c r="K1101" s="128" t="s">
        <v>5219</v>
      </c>
      <c r="L1101" s="127" t="s">
        <v>5214</v>
      </c>
      <c r="M1101" s="128">
        <v>629930</v>
      </c>
      <c r="N1101" s="108"/>
      <c r="O1101" s="20"/>
      <c r="P1101" s="20"/>
      <c r="Q1101" s="20"/>
    </row>
    <row r="1102" spans="1:17" ht="24.9" customHeight="1">
      <c r="A1102" s="20">
        <v>362</v>
      </c>
      <c r="B1102" s="20" t="s">
        <v>4320</v>
      </c>
      <c r="C1102" s="19">
        <v>114</v>
      </c>
      <c r="D1102" s="46" t="s">
        <v>4715</v>
      </c>
      <c r="E1102" s="19" t="str">
        <f>VLOOKUP(D1102,'لیست پرسنل'!$B$2:$E$1020,3,FALSE)</f>
        <v>گهر کوشان سپهر</v>
      </c>
      <c r="F1102" s="19" t="str">
        <f>VLOOKUP(D1102,'لیست پرسنل'!$B$2:$E$1020,4,FALSE)</f>
        <v>انبار</v>
      </c>
      <c r="G1102" s="127">
        <f>VLOOKUP(D1102,'لیست پرسنل'!$B$2:$F$1020,2,FALSE)</f>
        <v>20628</v>
      </c>
      <c r="H1102" s="126" t="s">
        <v>3381</v>
      </c>
      <c r="I1102" s="126" t="s">
        <v>1754</v>
      </c>
      <c r="J1102" s="126" t="s">
        <v>368</v>
      </c>
      <c r="K1102" s="128" t="s">
        <v>2846</v>
      </c>
      <c r="L1102" s="128" t="s">
        <v>2471</v>
      </c>
      <c r="M1102" s="128">
        <v>628881</v>
      </c>
      <c r="N1102" s="108"/>
      <c r="O1102" s="20"/>
      <c r="P1102" s="20"/>
      <c r="Q1102" s="20"/>
    </row>
    <row r="1103" spans="1:17" ht="24.9" customHeight="1">
      <c r="A1103" s="20">
        <v>362</v>
      </c>
      <c r="B1103" s="20" t="s">
        <v>4320</v>
      </c>
      <c r="C1103" s="19">
        <v>114</v>
      </c>
      <c r="D1103" s="46" t="s">
        <v>4715</v>
      </c>
      <c r="E1103" s="19" t="str">
        <f>VLOOKUP(D1103,'لیست پرسنل'!$B$2:$E$1020,3,FALSE)</f>
        <v>گهر کوشان سپهر</v>
      </c>
      <c r="F1103" s="19" t="str">
        <f>VLOOKUP(D1103,'لیست پرسنل'!$B$2:$E$1020,4,FALSE)</f>
        <v>انبار</v>
      </c>
      <c r="G1103" s="127">
        <f>VLOOKUP(D1103,'لیست پرسنل'!$B$2:$F$1020,2,FALSE)</f>
        <v>20628</v>
      </c>
      <c r="H1103" s="126" t="s">
        <v>3381</v>
      </c>
      <c r="I1103" s="126" t="s">
        <v>1754</v>
      </c>
      <c r="J1103" s="127" t="s">
        <v>571</v>
      </c>
      <c r="K1103" s="128" t="s">
        <v>1754</v>
      </c>
      <c r="L1103" s="153"/>
      <c r="M1103" s="127">
        <v>606600</v>
      </c>
      <c r="N1103" s="109"/>
      <c r="O1103" s="19"/>
      <c r="P1103" s="20"/>
      <c r="Q1103" s="20"/>
    </row>
    <row r="1104" spans="1:17" ht="24.9" customHeight="1">
      <c r="A1104" s="20">
        <v>362</v>
      </c>
      <c r="B1104" s="20" t="s">
        <v>4320</v>
      </c>
      <c r="C1104" s="19">
        <v>114</v>
      </c>
      <c r="D1104" s="46" t="s">
        <v>4715</v>
      </c>
      <c r="E1104" s="19" t="str">
        <f>VLOOKUP(D1104,'لیست پرسنل'!$B$2:$E$1020,3,FALSE)</f>
        <v>گهر کوشان سپهر</v>
      </c>
      <c r="F1104" s="19" t="str">
        <f>VLOOKUP(D1104,'لیست پرسنل'!$B$2:$E$1020,4,FALSE)</f>
        <v>انبار</v>
      </c>
      <c r="G1104" s="127">
        <f>VLOOKUP(D1104,'لیست پرسنل'!$B$2:$F$1020,2,FALSE)</f>
        <v>20628</v>
      </c>
      <c r="H1104" s="126" t="s">
        <v>3381</v>
      </c>
      <c r="I1104" s="126" t="s">
        <v>1754</v>
      </c>
      <c r="J1104" s="128" t="s">
        <v>2686</v>
      </c>
      <c r="K1104" s="128" t="s">
        <v>320</v>
      </c>
      <c r="L1104" s="151" t="s">
        <v>4253</v>
      </c>
      <c r="M1104" s="127">
        <v>603224</v>
      </c>
      <c r="N1104" s="108" t="s">
        <v>8122</v>
      </c>
      <c r="O1104" s="20" t="s">
        <v>4652</v>
      </c>
      <c r="P1104" s="20"/>
      <c r="Q1104" s="20"/>
    </row>
    <row r="1105" spans="1:17" ht="24.9" customHeight="1">
      <c r="A1105" s="20">
        <v>362</v>
      </c>
      <c r="B1105" s="20" t="s">
        <v>4320</v>
      </c>
      <c r="C1105" s="19">
        <v>115</v>
      </c>
      <c r="D1105" s="19" t="s">
        <v>3147</v>
      </c>
      <c r="E1105" s="19" t="str">
        <f>VLOOKUP(D1105,'لیست پرسنل'!$B$2:$E$1020,3,FALSE)</f>
        <v>فکورصنعت</v>
      </c>
      <c r="F1105" s="19" t="str">
        <f>VLOOKUP(D1105,'لیست پرسنل'!$B$2:$E$1020,4,FALSE)</f>
        <v>سرپرست واحد کوره ها و گاززدا</v>
      </c>
      <c r="G1105" s="127" t="str">
        <f>VLOOKUP(D1105,'لیست پرسنل'!$B$2:$F$1020,2,FALSE)</f>
        <v>4011101</v>
      </c>
      <c r="H1105" s="151" t="s">
        <v>3381</v>
      </c>
      <c r="I1105" s="127" t="s">
        <v>1755</v>
      </c>
      <c r="J1105" s="126" t="s">
        <v>368</v>
      </c>
      <c r="K1105" s="128" t="s">
        <v>8248</v>
      </c>
      <c r="L1105" s="127" t="s">
        <v>2406</v>
      </c>
      <c r="M1105" s="127">
        <v>628813</v>
      </c>
      <c r="N1105" s="109"/>
      <c r="O1105" s="19"/>
      <c r="P1105" s="20"/>
      <c r="Q1105" s="20"/>
    </row>
    <row r="1106" spans="1:17" ht="24.9" customHeight="1">
      <c r="A1106" s="20">
        <v>362</v>
      </c>
      <c r="B1106" s="20" t="s">
        <v>4320</v>
      </c>
      <c r="C1106" s="19">
        <v>115</v>
      </c>
      <c r="D1106" s="19" t="s">
        <v>3147</v>
      </c>
      <c r="E1106" s="19" t="str">
        <f>VLOOKUP(D1106,'لیست پرسنل'!$B$2:$E$1020,3,FALSE)</f>
        <v>فکورصنعت</v>
      </c>
      <c r="F1106" s="19" t="str">
        <f>VLOOKUP(D1106,'لیست پرسنل'!$B$2:$E$1020,4,FALSE)</f>
        <v>سرپرست واحد کوره ها و گاززدا</v>
      </c>
      <c r="G1106" s="127" t="str">
        <f>VLOOKUP(D1106,'لیست پرسنل'!$B$2:$F$1020,2,FALSE)</f>
        <v>4011101</v>
      </c>
      <c r="H1106" s="151" t="s">
        <v>3381</v>
      </c>
      <c r="I1106" s="127" t="s">
        <v>1755</v>
      </c>
      <c r="J1106" s="127" t="s">
        <v>571</v>
      </c>
      <c r="K1106" s="128"/>
      <c r="L1106" s="151"/>
      <c r="M1106" s="127">
        <v>627716</v>
      </c>
      <c r="N1106" s="109"/>
      <c r="O1106" s="19"/>
      <c r="P1106" s="20"/>
      <c r="Q1106" s="20"/>
    </row>
    <row r="1107" spans="1:17" ht="24.9" customHeight="1">
      <c r="A1107" s="20">
        <v>362</v>
      </c>
      <c r="B1107" s="20" t="s">
        <v>4320</v>
      </c>
      <c r="C1107" s="19">
        <v>115</v>
      </c>
      <c r="D1107" s="19" t="s">
        <v>3147</v>
      </c>
      <c r="E1107" s="19" t="str">
        <f>VLOOKUP(D1107,'لیست پرسنل'!$B$2:$E$1020,3,FALSE)</f>
        <v>فکورصنعت</v>
      </c>
      <c r="F1107" s="19" t="str">
        <f>VLOOKUP(D1107,'لیست پرسنل'!$B$2:$E$1020,4,FALSE)</f>
        <v>سرپرست واحد کوره ها و گاززدا</v>
      </c>
      <c r="G1107" s="127" t="str">
        <f>VLOOKUP(D1107,'لیست پرسنل'!$B$2:$F$1020,2,FALSE)</f>
        <v>4011101</v>
      </c>
      <c r="H1107" s="151" t="s">
        <v>3381</v>
      </c>
      <c r="I1107" s="127" t="s">
        <v>1755</v>
      </c>
      <c r="J1107" s="128" t="s">
        <v>2686</v>
      </c>
      <c r="K1107" s="128" t="s">
        <v>2922</v>
      </c>
      <c r="L1107" s="128" t="s">
        <v>2925</v>
      </c>
      <c r="M1107" s="128">
        <v>626402</v>
      </c>
      <c r="N1107" s="108"/>
      <c r="O1107" s="20" t="s">
        <v>705</v>
      </c>
      <c r="P1107" s="20"/>
      <c r="Q1107" s="20"/>
    </row>
    <row r="1108" spans="1:17" ht="24.9" customHeight="1">
      <c r="A1108" s="20">
        <v>362</v>
      </c>
      <c r="B1108" s="20" t="s">
        <v>4320</v>
      </c>
      <c r="C1108" s="19">
        <v>117</v>
      </c>
      <c r="D1108" s="19" t="s">
        <v>3425</v>
      </c>
      <c r="E1108" s="19" t="str">
        <f>VLOOKUP(D1108,'لیست پرسنل'!$B$2:$E$1020,3,FALSE)</f>
        <v>فکورصنعت</v>
      </c>
      <c r="F1108" s="19" t="str">
        <f>VLOOKUP(D1108,'لیست پرسنل'!$B$2:$E$1020,4,FALSE)</f>
        <v>مکانیک</v>
      </c>
      <c r="G1108" s="127">
        <f>VLOOKUP(D1108,'لیست پرسنل'!$B$2:$F$1020,2,FALSE)</f>
        <v>4010410</v>
      </c>
      <c r="H1108" s="151" t="s">
        <v>3381</v>
      </c>
      <c r="I1108" s="127" t="s">
        <v>1774</v>
      </c>
      <c r="J1108" s="128" t="s">
        <v>737</v>
      </c>
      <c r="K1108" s="128" t="s">
        <v>414</v>
      </c>
      <c r="L1108" s="127" t="s">
        <v>1691</v>
      </c>
      <c r="M1108" s="127">
        <v>625497</v>
      </c>
      <c r="N1108" s="109"/>
      <c r="O1108" s="20"/>
      <c r="P1108" s="20"/>
      <c r="Q1108" s="20"/>
    </row>
    <row r="1109" spans="1:17" ht="24.9" customHeight="1">
      <c r="A1109" s="20">
        <v>362</v>
      </c>
      <c r="B1109" s="20" t="s">
        <v>4320</v>
      </c>
      <c r="C1109" s="19">
        <v>117</v>
      </c>
      <c r="D1109" s="19" t="s">
        <v>3425</v>
      </c>
      <c r="E1109" s="19" t="str">
        <f>VLOOKUP(D1109,'لیست پرسنل'!$B$2:$E$1020,3,FALSE)</f>
        <v>فکورصنعت</v>
      </c>
      <c r="F1109" s="19" t="str">
        <f>VLOOKUP(D1109,'لیست پرسنل'!$B$2:$E$1020,4,FALSE)</f>
        <v>مکانیک</v>
      </c>
      <c r="G1109" s="127">
        <f>VLOOKUP(D1109,'لیست پرسنل'!$B$2:$F$1020,2,FALSE)</f>
        <v>4010410</v>
      </c>
      <c r="H1109" s="151" t="s">
        <v>3381</v>
      </c>
      <c r="I1109" s="127" t="s">
        <v>1774</v>
      </c>
      <c r="J1109" s="126" t="s">
        <v>368</v>
      </c>
      <c r="K1109" s="128" t="s">
        <v>8248</v>
      </c>
      <c r="L1109" s="127" t="s">
        <v>2327</v>
      </c>
      <c r="M1109" s="128">
        <v>628733</v>
      </c>
      <c r="N1109" s="108"/>
      <c r="O1109" s="20" t="s">
        <v>705</v>
      </c>
      <c r="P1109" s="20"/>
      <c r="Q1109" s="20"/>
    </row>
    <row r="1110" spans="1:17" ht="24.9" customHeight="1">
      <c r="A1110" s="20">
        <v>362</v>
      </c>
      <c r="B1110" s="20" t="s">
        <v>4320</v>
      </c>
      <c r="C1110" s="19">
        <v>117</v>
      </c>
      <c r="D1110" s="19" t="s">
        <v>3425</v>
      </c>
      <c r="E1110" s="19" t="str">
        <f>VLOOKUP(D1110,'لیست پرسنل'!$B$2:$E$1020,3,FALSE)</f>
        <v>فکورصنعت</v>
      </c>
      <c r="F1110" s="19" t="str">
        <f>VLOOKUP(D1110,'لیست پرسنل'!$B$2:$E$1020,4,FALSE)</f>
        <v>مکانیک</v>
      </c>
      <c r="G1110" s="127">
        <f>VLOOKUP(D1110,'لیست پرسنل'!$B$2:$F$1020,2,FALSE)</f>
        <v>4010410</v>
      </c>
      <c r="H1110" s="151" t="s">
        <v>3381</v>
      </c>
      <c r="I1110" s="127" t="s">
        <v>1774</v>
      </c>
      <c r="J1110" s="127" t="s">
        <v>571</v>
      </c>
      <c r="K1110" s="128"/>
      <c r="L1110" s="150"/>
      <c r="M1110" s="127">
        <v>625435</v>
      </c>
      <c r="N1110" s="109"/>
      <c r="O1110" s="86"/>
      <c r="P1110" s="20"/>
      <c r="Q1110" s="20"/>
    </row>
    <row r="1111" spans="1:17" ht="24.9" customHeight="1">
      <c r="A1111" s="20">
        <v>362</v>
      </c>
      <c r="B1111" s="20" t="s">
        <v>4320</v>
      </c>
      <c r="C1111" s="19">
        <v>117</v>
      </c>
      <c r="D1111" s="19" t="s">
        <v>3425</v>
      </c>
      <c r="E1111" s="19" t="str">
        <f>VLOOKUP(D1111,'لیست پرسنل'!$B$2:$E$1020,3,FALSE)</f>
        <v>فکورصنعت</v>
      </c>
      <c r="F1111" s="19" t="str">
        <f>VLOOKUP(D1111,'لیست پرسنل'!$B$2:$E$1020,4,FALSE)</f>
        <v>مکانیک</v>
      </c>
      <c r="G1111" s="127">
        <f>VLOOKUP(D1111,'لیست پرسنل'!$B$2:$F$1020,2,FALSE)</f>
        <v>4010410</v>
      </c>
      <c r="H1111" s="151" t="s">
        <v>3381</v>
      </c>
      <c r="I1111" s="127" t="s">
        <v>1774</v>
      </c>
      <c r="J1111" s="128" t="s">
        <v>2686</v>
      </c>
      <c r="K1111" s="128" t="s">
        <v>1744</v>
      </c>
      <c r="L1111" s="150" t="s">
        <v>1717</v>
      </c>
      <c r="M1111" s="127">
        <v>601523</v>
      </c>
      <c r="N1111" s="109"/>
      <c r="O1111" s="86"/>
      <c r="P1111" s="20"/>
      <c r="Q1111" s="20"/>
    </row>
    <row r="1112" spans="1:17" ht="24.9" customHeight="1">
      <c r="A1112" s="20">
        <v>362</v>
      </c>
      <c r="B1112" s="20" t="s">
        <v>4320</v>
      </c>
      <c r="C1112" s="19">
        <v>119</v>
      </c>
      <c r="D1112" s="19" t="s">
        <v>3427</v>
      </c>
      <c r="E1112" s="19" t="str">
        <f>VLOOKUP(D1112,'لیست پرسنل'!$B$2:$E$1020,3,FALSE)</f>
        <v>فکورصنعت</v>
      </c>
      <c r="F1112" s="19" t="str">
        <f>VLOOKUP(D1112,'لیست پرسنل'!$B$2:$E$1020,4,FALSE)</f>
        <v>مسئول خوابگاه کمپ کارگری</v>
      </c>
      <c r="G1112" s="127">
        <f>VLOOKUP(D1112,'لیست پرسنل'!$B$2:$F$1020,2,FALSE)</f>
        <v>1916</v>
      </c>
      <c r="H1112" s="151" t="s">
        <v>3381</v>
      </c>
      <c r="I1112" s="127" t="s">
        <v>1815</v>
      </c>
      <c r="J1112" s="128" t="s">
        <v>737</v>
      </c>
      <c r="K1112" s="128" t="s">
        <v>318</v>
      </c>
      <c r="L1112" s="127" t="s">
        <v>2536</v>
      </c>
      <c r="M1112" s="132">
        <v>618718</v>
      </c>
      <c r="N1112" s="108"/>
      <c r="O1112" s="19"/>
      <c r="P1112" s="20"/>
      <c r="Q1112" s="20"/>
    </row>
    <row r="1113" spans="1:17" ht="24.9" customHeight="1">
      <c r="A1113" s="20">
        <v>362</v>
      </c>
      <c r="B1113" s="20" t="s">
        <v>4320</v>
      </c>
      <c r="C1113" s="19">
        <v>119</v>
      </c>
      <c r="D1113" s="19" t="s">
        <v>3427</v>
      </c>
      <c r="E1113" s="19" t="str">
        <f>VLOOKUP(D1113,'لیست پرسنل'!$B$2:$E$1020,3,FALSE)</f>
        <v>فکورصنعت</v>
      </c>
      <c r="F1113" s="19" t="str">
        <f>VLOOKUP(D1113,'لیست پرسنل'!$B$2:$E$1020,4,FALSE)</f>
        <v>مسئول خوابگاه کمپ کارگری</v>
      </c>
      <c r="G1113" s="127">
        <f>VLOOKUP(D1113,'لیست پرسنل'!$B$2:$F$1020,2,FALSE)</f>
        <v>1916</v>
      </c>
      <c r="H1113" s="151" t="s">
        <v>3381</v>
      </c>
      <c r="I1113" s="127" t="s">
        <v>1815</v>
      </c>
      <c r="J1113" s="127" t="s">
        <v>571</v>
      </c>
      <c r="K1113" s="128" t="s">
        <v>2219</v>
      </c>
      <c r="L1113" s="127"/>
      <c r="M1113" s="127">
        <v>628120</v>
      </c>
      <c r="N1113" s="109"/>
      <c r="O1113" s="19"/>
      <c r="P1113" s="20"/>
      <c r="Q1113" s="20"/>
    </row>
    <row r="1114" spans="1:17" ht="24.9" customHeight="1">
      <c r="A1114" s="20">
        <v>362</v>
      </c>
      <c r="B1114" s="20" t="s">
        <v>4320</v>
      </c>
      <c r="C1114" s="19">
        <v>119</v>
      </c>
      <c r="D1114" s="19" t="s">
        <v>3427</v>
      </c>
      <c r="E1114" s="19" t="str">
        <f>VLOOKUP(D1114,'لیست پرسنل'!$B$2:$E$1020,3,FALSE)</f>
        <v>فکورصنعت</v>
      </c>
      <c r="F1114" s="19" t="str">
        <f>VLOOKUP(D1114,'لیست پرسنل'!$B$2:$E$1020,4,FALSE)</f>
        <v>مسئول خوابگاه کمپ کارگری</v>
      </c>
      <c r="G1114" s="127">
        <f>VLOOKUP(D1114,'لیست پرسنل'!$B$2:$F$1020,2,FALSE)</f>
        <v>1916</v>
      </c>
      <c r="H1114" s="151" t="s">
        <v>3381</v>
      </c>
      <c r="I1114" s="127" t="s">
        <v>1815</v>
      </c>
      <c r="J1114" s="128" t="s">
        <v>2686</v>
      </c>
      <c r="K1114" s="128" t="s">
        <v>2922</v>
      </c>
      <c r="L1114" s="127" t="s">
        <v>3072</v>
      </c>
      <c r="M1114" s="128">
        <v>626556</v>
      </c>
      <c r="N1114" s="108"/>
      <c r="O1114" s="20" t="s">
        <v>705</v>
      </c>
      <c r="P1114" s="20"/>
      <c r="Q1114" s="20"/>
    </row>
    <row r="1115" spans="1:17" ht="24.9" customHeight="1">
      <c r="A1115" s="20">
        <v>362</v>
      </c>
      <c r="B1115" s="20" t="s">
        <v>4320</v>
      </c>
      <c r="C1115" s="19">
        <v>119</v>
      </c>
      <c r="D1115" s="19" t="s">
        <v>3427</v>
      </c>
      <c r="E1115" s="19" t="str">
        <f>VLOOKUP(D1115,'لیست پرسنل'!$B$2:$E$1020,3,FALSE)</f>
        <v>فکورصنعت</v>
      </c>
      <c r="F1115" s="19" t="str">
        <f>VLOOKUP(D1115,'لیست پرسنل'!$B$2:$E$1020,4,FALSE)</f>
        <v>مسئول خوابگاه کمپ کارگری</v>
      </c>
      <c r="G1115" s="127">
        <f>VLOOKUP(D1115,'لیست پرسنل'!$B$2:$F$1020,2,FALSE)</f>
        <v>1916</v>
      </c>
      <c r="H1115" s="151" t="s">
        <v>8251</v>
      </c>
      <c r="I1115" s="127" t="s">
        <v>1815</v>
      </c>
      <c r="J1115" s="128" t="s">
        <v>3938</v>
      </c>
      <c r="K1115" s="128" t="s">
        <v>1458</v>
      </c>
      <c r="L1115" s="150" t="s">
        <v>1829</v>
      </c>
      <c r="M1115" s="127">
        <v>625935</v>
      </c>
      <c r="N1115" s="108"/>
      <c r="O1115" s="19"/>
      <c r="P1115" s="20"/>
      <c r="Q1115" s="20"/>
    </row>
    <row r="1116" spans="1:17" ht="24.9" customHeight="1">
      <c r="A1116" s="20">
        <v>362</v>
      </c>
      <c r="B1116" s="20" t="s">
        <v>4320</v>
      </c>
      <c r="C1116" s="19">
        <v>119</v>
      </c>
      <c r="D1116" s="19" t="s">
        <v>3427</v>
      </c>
      <c r="E1116" s="19" t="str">
        <f>VLOOKUP(D1116,'لیست پرسنل'!$B$2:$E$1020,3,FALSE)</f>
        <v>فکورصنعت</v>
      </c>
      <c r="F1116" s="19" t="str">
        <f>VLOOKUP(D1116,'لیست پرسنل'!$B$2:$E$1020,4,FALSE)</f>
        <v>مسئول خوابگاه کمپ کارگری</v>
      </c>
      <c r="G1116" s="127">
        <f>VLOOKUP(D1116,'لیست پرسنل'!$B$2:$F$1020,2,FALSE)</f>
        <v>1916</v>
      </c>
      <c r="H1116" s="151" t="s">
        <v>8251</v>
      </c>
      <c r="I1116" s="127" t="s">
        <v>1815</v>
      </c>
      <c r="J1116" s="128" t="s">
        <v>3481</v>
      </c>
      <c r="K1116" s="128" t="s">
        <v>3336</v>
      </c>
      <c r="L1116" s="128" t="s">
        <v>6953</v>
      </c>
      <c r="M1116" s="127" t="s">
        <v>291</v>
      </c>
      <c r="N1116" s="109"/>
      <c r="O1116" s="19" t="s">
        <v>6540</v>
      </c>
      <c r="P1116" s="32"/>
      <c r="Q1116" s="32"/>
    </row>
    <row r="1117" spans="1:17" ht="24.9" customHeight="1">
      <c r="A1117" s="20">
        <v>362</v>
      </c>
      <c r="B1117" s="20" t="s">
        <v>4320</v>
      </c>
      <c r="C1117" s="19">
        <v>120</v>
      </c>
      <c r="D1117" s="19" t="s">
        <v>2828</v>
      </c>
      <c r="E1117" s="19" t="str">
        <f>VLOOKUP(D1117,'لیست پرسنل'!$B$2:$E$1020,3,FALSE)</f>
        <v>گهر کوشان سپهر</v>
      </c>
      <c r="F1117" s="19" t="str">
        <f>VLOOKUP(D1117,'لیست پرسنل'!$B$2:$E$1020,4,FALSE)</f>
        <v>مسئول خرید</v>
      </c>
      <c r="G1117" s="127">
        <f>VLOOKUP(D1117,'لیست پرسنل'!$B$2:$F$1020,2,FALSE)</f>
        <v>20348</v>
      </c>
      <c r="H1117" s="151" t="s">
        <v>3381</v>
      </c>
      <c r="I1117" s="127" t="s">
        <v>1823</v>
      </c>
      <c r="J1117" s="128" t="s">
        <v>3383</v>
      </c>
      <c r="K1117" s="132" t="s">
        <v>6500</v>
      </c>
      <c r="L1117" s="127" t="s">
        <v>6499</v>
      </c>
      <c r="M1117" s="132">
        <v>627698</v>
      </c>
      <c r="N1117" s="108"/>
      <c r="O1117" s="20" t="s">
        <v>705</v>
      </c>
      <c r="P1117" s="20"/>
      <c r="Q1117" s="20"/>
    </row>
    <row r="1118" spans="1:17" ht="24.9" customHeight="1">
      <c r="A1118" s="20">
        <v>362</v>
      </c>
      <c r="B1118" s="20" t="s">
        <v>4320</v>
      </c>
      <c r="C1118" s="19">
        <v>120</v>
      </c>
      <c r="D1118" s="19" t="s">
        <v>2828</v>
      </c>
      <c r="E1118" s="19" t="str">
        <f>VLOOKUP(D1118,'لیست پرسنل'!$B$2:$E$1020,3,FALSE)</f>
        <v>گهر کوشان سپهر</v>
      </c>
      <c r="F1118" s="19" t="str">
        <f>VLOOKUP(D1118,'لیست پرسنل'!$B$2:$E$1020,4,FALSE)</f>
        <v>مسئول خرید</v>
      </c>
      <c r="G1118" s="127">
        <f>VLOOKUP(D1118,'لیست پرسنل'!$B$2:$F$1020,2,FALSE)</f>
        <v>20348</v>
      </c>
      <c r="H1118" s="151" t="s">
        <v>3381</v>
      </c>
      <c r="I1118" s="127" t="s">
        <v>1823</v>
      </c>
      <c r="J1118" s="128" t="s">
        <v>737</v>
      </c>
      <c r="K1118" s="128" t="s">
        <v>1624</v>
      </c>
      <c r="L1118" s="154" t="s">
        <v>1840</v>
      </c>
      <c r="M1118" s="127">
        <v>608422</v>
      </c>
      <c r="N1118" s="109"/>
      <c r="O1118" s="20"/>
      <c r="P1118" s="20"/>
      <c r="Q1118" s="20"/>
    </row>
    <row r="1119" spans="1:17" ht="24.9" customHeight="1">
      <c r="A1119" s="20">
        <v>362</v>
      </c>
      <c r="B1119" s="20" t="s">
        <v>4320</v>
      </c>
      <c r="C1119" s="19">
        <v>120</v>
      </c>
      <c r="D1119" s="19" t="s">
        <v>2828</v>
      </c>
      <c r="E1119" s="19" t="str">
        <f>VLOOKUP(D1119,'لیست پرسنل'!$B$2:$E$1020,3,FALSE)</f>
        <v>گهر کوشان سپهر</v>
      </c>
      <c r="F1119" s="19" t="str">
        <f>VLOOKUP(D1119,'لیست پرسنل'!$B$2:$E$1020,4,FALSE)</f>
        <v>مسئول خرید</v>
      </c>
      <c r="G1119" s="127">
        <f>VLOOKUP(D1119,'لیست پرسنل'!$B$2:$F$1020,2,FALSE)</f>
        <v>20348</v>
      </c>
      <c r="H1119" s="151" t="s">
        <v>3381</v>
      </c>
      <c r="I1119" s="127" t="s">
        <v>1823</v>
      </c>
      <c r="J1119" s="126" t="s">
        <v>368</v>
      </c>
      <c r="K1119" s="128" t="s">
        <v>2846</v>
      </c>
      <c r="L1119" s="128" t="s">
        <v>2465</v>
      </c>
      <c r="M1119" s="128">
        <v>628875</v>
      </c>
      <c r="N1119" s="108"/>
      <c r="O1119" s="20"/>
      <c r="P1119" s="20"/>
      <c r="Q1119" s="20"/>
    </row>
    <row r="1120" spans="1:17" ht="24.9" customHeight="1">
      <c r="A1120" s="20">
        <v>362</v>
      </c>
      <c r="B1120" s="20" t="s">
        <v>4320</v>
      </c>
      <c r="C1120" s="19">
        <v>120</v>
      </c>
      <c r="D1120" s="19" t="s">
        <v>2828</v>
      </c>
      <c r="E1120" s="19" t="str">
        <f>VLOOKUP(D1120,'لیست پرسنل'!$B$2:$E$1020,3,FALSE)</f>
        <v>گهر کوشان سپهر</v>
      </c>
      <c r="F1120" s="19" t="str">
        <f>VLOOKUP(D1120,'لیست پرسنل'!$B$2:$E$1020,4,FALSE)</f>
        <v>مسئول خرید</v>
      </c>
      <c r="G1120" s="127">
        <f>VLOOKUP(D1120,'لیست پرسنل'!$B$2:$F$1020,2,FALSE)</f>
        <v>20348</v>
      </c>
      <c r="H1120" s="151" t="s">
        <v>3381</v>
      </c>
      <c r="I1120" s="127" t="s">
        <v>1823</v>
      </c>
      <c r="J1120" s="127" t="s">
        <v>571</v>
      </c>
      <c r="K1120" s="128"/>
      <c r="L1120" s="151"/>
      <c r="M1120" s="127">
        <v>605411</v>
      </c>
      <c r="N1120" s="109"/>
      <c r="O1120" s="20"/>
      <c r="P1120" s="20"/>
      <c r="Q1120" s="20"/>
    </row>
    <row r="1121" spans="1:17" ht="24.9" customHeight="1">
      <c r="A1121" s="20">
        <v>362</v>
      </c>
      <c r="B1121" s="20" t="s">
        <v>4320</v>
      </c>
      <c r="C1121" s="19">
        <v>120</v>
      </c>
      <c r="D1121" s="19" t="s">
        <v>2828</v>
      </c>
      <c r="E1121" s="19" t="str">
        <f>VLOOKUP(D1121,'لیست پرسنل'!$B$2:$E$1020,3,FALSE)</f>
        <v>گهر کوشان سپهر</v>
      </c>
      <c r="F1121" s="19" t="str">
        <f>VLOOKUP(D1121,'لیست پرسنل'!$B$2:$E$1020,4,FALSE)</f>
        <v>مسئول خرید</v>
      </c>
      <c r="G1121" s="127">
        <f>VLOOKUP(D1121,'لیست پرسنل'!$B$2:$F$1020,2,FALSE)</f>
        <v>20348</v>
      </c>
      <c r="H1121" s="151" t="s">
        <v>3381</v>
      </c>
      <c r="I1121" s="127" t="s">
        <v>1823</v>
      </c>
      <c r="J1121" s="128" t="s">
        <v>2686</v>
      </c>
      <c r="K1121" s="128" t="s">
        <v>371</v>
      </c>
      <c r="L1121" s="154" t="s">
        <v>1699</v>
      </c>
      <c r="M1121" s="127">
        <v>618746</v>
      </c>
      <c r="N1121" s="109"/>
      <c r="O1121" s="86"/>
      <c r="P1121" s="20"/>
      <c r="Q1121" s="20"/>
    </row>
    <row r="1122" spans="1:17" ht="24.9" customHeight="1">
      <c r="A1122" s="20">
        <v>362</v>
      </c>
      <c r="B1122" s="20" t="s">
        <v>4320</v>
      </c>
      <c r="C1122" s="19">
        <v>121</v>
      </c>
      <c r="D1122" s="19" t="s">
        <v>3428</v>
      </c>
      <c r="E1122" s="19" t="str">
        <f>VLOOKUP(D1122,'لیست پرسنل'!$B$2:$E$1020,3,FALSE)</f>
        <v>مهرفام</v>
      </c>
      <c r="F1122" s="19" t="str">
        <f>VLOOKUP(D1122,'لیست پرسنل'!$B$2:$E$1020,4,FALSE)</f>
        <v>کنترل کیفیت</v>
      </c>
      <c r="G1122" s="127">
        <f>VLOOKUP(D1122,'لیست پرسنل'!$B$2:$F$1020,2,FALSE)</f>
        <v>100531</v>
      </c>
      <c r="H1122" s="151" t="s">
        <v>3381</v>
      </c>
      <c r="I1122" s="127" t="s">
        <v>1824</v>
      </c>
      <c r="J1122" s="126" t="s">
        <v>368</v>
      </c>
      <c r="K1122" s="128" t="s">
        <v>2846</v>
      </c>
      <c r="L1122" s="128" t="s">
        <v>2458</v>
      </c>
      <c r="M1122" s="128">
        <v>628867</v>
      </c>
      <c r="N1122" s="108"/>
      <c r="O1122" s="20"/>
      <c r="P1122" s="20"/>
      <c r="Q1122" s="20"/>
    </row>
    <row r="1123" spans="1:17" ht="24.9" customHeight="1">
      <c r="A1123" s="20">
        <v>362</v>
      </c>
      <c r="B1123" s="20" t="s">
        <v>4320</v>
      </c>
      <c r="C1123" s="19">
        <v>121</v>
      </c>
      <c r="D1123" s="19" t="s">
        <v>3428</v>
      </c>
      <c r="E1123" s="19" t="str">
        <f>VLOOKUP(D1123,'لیست پرسنل'!$B$2:$E$1020,3,FALSE)</f>
        <v>مهرفام</v>
      </c>
      <c r="F1123" s="19" t="str">
        <f>VLOOKUP(D1123,'لیست پرسنل'!$B$2:$E$1020,4,FALSE)</f>
        <v>کنترل کیفیت</v>
      </c>
      <c r="G1123" s="127">
        <f>VLOOKUP(D1123,'لیست پرسنل'!$B$2:$F$1020,2,FALSE)</f>
        <v>100531</v>
      </c>
      <c r="H1123" s="151" t="s">
        <v>3381</v>
      </c>
      <c r="I1123" s="127" t="s">
        <v>1824</v>
      </c>
      <c r="J1123" s="127" t="s">
        <v>571</v>
      </c>
      <c r="K1123" s="128" t="s">
        <v>2219</v>
      </c>
      <c r="L1123" s="151"/>
      <c r="M1123" s="127">
        <v>628121</v>
      </c>
      <c r="N1123" s="109"/>
      <c r="O1123" s="20"/>
      <c r="P1123" s="20"/>
      <c r="Q1123" s="20"/>
    </row>
    <row r="1124" spans="1:17" ht="24.9" customHeight="1">
      <c r="A1124" s="20">
        <v>362</v>
      </c>
      <c r="B1124" s="20" t="s">
        <v>4320</v>
      </c>
      <c r="C1124" s="19">
        <v>121</v>
      </c>
      <c r="D1124" s="19" t="s">
        <v>3428</v>
      </c>
      <c r="E1124" s="19" t="str">
        <f>VLOOKUP(D1124,'لیست پرسنل'!$B$2:$E$1020,3,FALSE)</f>
        <v>مهرفام</v>
      </c>
      <c r="F1124" s="19" t="str">
        <f>VLOOKUP(D1124,'لیست پرسنل'!$B$2:$E$1020,4,FALSE)</f>
        <v>کنترل کیفیت</v>
      </c>
      <c r="G1124" s="127">
        <f>VLOOKUP(D1124,'لیست پرسنل'!$B$2:$F$1020,2,FALSE)</f>
        <v>100531</v>
      </c>
      <c r="H1124" s="151" t="s">
        <v>3381</v>
      </c>
      <c r="I1124" s="127" t="s">
        <v>1824</v>
      </c>
      <c r="J1124" s="128" t="s">
        <v>2686</v>
      </c>
      <c r="K1124" s="128" t="s">
        <v>2922</v>
      </c>
      <c r="L1124" s="151" t="s">
        <v>3024</v>
      </c>
      <c r="M1124" s="127">
        <v>626507</v>
      </c>
      <c r="N1124" s="109"/>
      <c r="O1124" s="86"/>
      <c r="P1124" s="20"/>
      <c r="Q1124" s="20"/>
    </row>
    <row r="1125" spans="1:17" ht="24.9" customHeight="1">
      <c r="A1125" s="20">
        <v>362</v>
      </c>
      <c r="B1125" s="20" t="s">
        <v>4320</v>
      </c>
      <c r="C1125" s="19">
        <v>123</v>
      </c>
      <c r="D1125" s="19" t="s">
        <v>3429</v>
      </c>
      <c r="E1125" s="19" t="str">
        <f>VLOOKUP(D1125,'لیست پرسنل'!$B$2:$E$1020,3,FALSE)</f>
        <v>مهرفام</v>
      </c>
      <c r="F1125" s="19" t="str">
        <f>VLOOKUP(D1125,'لیست پرسنل'!$B$2:$E$1020,4,FALSE)</f>
        <v>کنترل پروژه</v>
      </c>
      <c r="G1125" s="127" t="str">
        <f>VLOOKUP(D1125,'لیست پرسنل'!$B$2:$F$1020,2,FALSE)</f>
        <v>100530</v>
      </c>
      <c r="H1125" s="151" t="s">
        <v>3381</v>
      </c>
      <c r="I1125" s="127" t="s">
        <v>1834</v>
      </c>
      <c r="J1125" s="126" t="s">
        <v>368</v>
      </c>
      <c r="K1125" s="135" t="s">
        <v>8248</v>
      </c>
      <c r="L1125" s="127" t="s">
        <v>2296</v>
      </c>
      <c r="M1125" s="128">
        <v>628702</v>
      </c>
      <c r="N1125" s="108"/>
      <c r="O1125" s="20" t="s">
        <v>705</v>
      </c>
      <c r="P1125" s="20"/>
      <c r="Q1125" s="20"/>
    </row>
    <row r="1126" spans="1:17" ht="24.9" customHeight="1">
      <c r="A1126" s="20">
        <v>362</v>
      </c>
      <c r="B1126" s="20" t="s">
        <v>4320</v>
      </c>
      <c r="C1126" s="19">
        <v>123</v>
      </c>
      <c r="D1126" s="19" t="s">
        <v>3429</v>
      </c>
      <c r="E1126" s="19" t="str">
        <f>VLOOKUP(D1126,'لیست پرسنل'!$B$2:$E$1020,3,FALSE)</f>
        <v>مهرفام</v>
      </c>
      <c r="F1126" s="19" t="str">
        <f>VLOOKUP(D1126,'لیست پرسنل'!$B$2:$E$1020,4,FALSE)</f>
        <v>کنترل پروژه</v>
      </c>
      <c r="G1126" s="127" t="str">
        <f>VLOOKUP(D1126,'لیست پرسنل'!$B$2:$F$1020,2,FALSE)</f>
        <v>100530</v>
      </c>
      <c r="H1126" s="151" t="s">
        <v>3381</v>
      </c>
      <c r="I1126" s="127" t="s">
        <v>1834</v>
      </c>
      <c r="J1126" s="127" t="s">
        <v>571</v>
      </c>
      <c r="K1126" s="128"/>
      <c r="L1126" s="154"/>
      <c r="M1126" s="127">
        <v>625452</v>
      </c>
      <c r="N1126" s="109"/>
      <c r="O1126" s="86"/>
      <c r="P1126" s="20"/>
      <c r="Q1126" s="20"/>
    </row>
    <row r="1127" spans="1:17" ht="24.9" customHeight="1">
      <c r="A1127" s="20">
        <v>362</v>
      </c>
      <c r="B1127" s="20" t="s">
        <v>4320</v>
      </c>
      <c r="C1127" s="19">
        <v>123</v>
      </c>
      <c r="D1127" s="19" t="s">
        <v>3429</v>
      </c>
      <c r="E1127" s="19" t="str">
        <f>VLOOKUP(D1127,'لیست پرسنل'!$B$2:$E$1020,3,FALSE)</f>
        <v>مهرفام</v>
      </c>
      <c r="F1127" s="19" t="str">
        <f>VLOOKUP(D1127,'لیست پرسنل'!$B$2:$E$1020,4,FALSE)</f>
        <v>کنترل پروژه</v>
      </c>
      <c r="G1127" s="127" t="str">
        <f>VLOOKUP(D1127,'لیست پرسنل'!$B$2:$F$1020,2,FALSE)</f>
        <v>100530</v>
      </c>
      <c r="H1127" s="151" t="s">
        <v>3381</v>
      </c>
      <c r="I1127" s="127" t="s">
        <v>1834</v>
      </c>
      <c r="J1127" s="128" t="s">
        <v>2686</v>
      </c>
      <c r="K1127" s="128" t="s">
        <v>2922</v>
      </c>
      <c r="L1127" s="127" t="s">
        <v>3027</v>
      </c>
      <c r="M1127" s="128">
        <v>626510</v>
      </c>
      <c r="N1127" s="108"/>
      <c r="O1127" s="20" t="s">
        <v>705</v>
      </c>
      <c r="P1127" s="20"/>
      <c r="Q1127" s="20"/>
    </row>
    <row r="1128" spans="1:17" ht="24.9" customHeight="1">
      <c r="A1128" s="20">
        <v>362</v>
      </c>
      <c r="B1128" s="20" t="s">
        <v>4320</v>
      </c>
      <c r="C1128" s="19">
        <v>127</v>
      </c>
      <c r="D1128" s="19" t="s">
        <v>3432</v>
      </c>
      <c r="E1128" s="19" t="str">
        <f>VLOOKUP(D1128,'لیست پرسنل'!$B$2:$E$1020,3,FALSE)</f>
        <v>مهرفام</v>
      </c>
      <c r="F1128" s="19" t="str">
        <f>VLOOKUP(D1128,'لیست پرسنل'!$B$2:$E$1020,4,FALSE)</f>
        <v>سیویل</v>
      </c>
      <c r="G1128" s="127" t="str">
        <f>VLOOKUP(D1128,'لیست پرسنل'!$B$2:$F$1020,2,FALSE)</f>
        <v>100553</v>
      </c>
      <c r="H1128" s="151" t="s">
        <v>3381</v>
      </c>
      <c r="I1128" s="127" t="s">
        <v>1850</v>
      </c>
      <c r="J1128" s="126" t="s">
        <v>368</v>
      </c>
      <c r="K1128" s="128" t="s">
        <v>2846</v>
      </c>
      <c r="L1128" s="128" t="s">
        <v>2450</v>
      </c>
      <c r="M1128" s="128">
        <v>628859</v>
      </c>
      <c r="N1128" s="108"/>
      <c r="O1128" s="20"/>
      <c r="P1128" s="20"/>
      <c r="Q1128" s="20"/>
    </row>
    <row r="1129" spans="1:17" ht="24.9" customHeight="1">
      <c r="A1129" s="20">
        <v>362</v>
      </c>
      <c r="B1129" s="20" t="s">
        <v>4320</v>
      </c>
      <c r="C1129" s="19">
        <v>127</v>
      </c>
      <c r="D1129" s="19" t="s">
        <v>3432</v>
      </c>
      <c r="E1129" s="19" t="str">
        <f>VLOOKUP(D1129,'لیست پرسنل'!$B$2:$E$1020,3,FALSE)</f>
        <v>مهرفام</v>
      </c>
      <c r="F1129" s="19" t="str">
        <f>VLOOKUP(D1129,'لیست پرسنل'!$B$2:$E$1020,4,FALSE)</f>
        <v>سیویل</v>
      </c>
      <c r="G1129" s="127" t="str">
        <f>VLOOKUP(D1129,'لیست پرسنل'!$B$2:$F$1020,2,FALSE)</f>
        <v>100553</v>
      </c>
      <c r="H1129" s="151" t="s">
        <v>3381</v>
      </c>
      <c r="I1129" s="127" t="s">
        <v>1850</v>
      </c>
      <c r="J1129" s="141" t="s">
        <v>571</v>
      </c>
      <c r="K1129" s="128" t="s">
        <v>1951</v>
      </c>
      <c r="L1129" s="165" t="s">
        <v>2219</v>
      </c>
      <c r="M1129" s="128">
        <v>629715</v>
      </c>
      <c r="N1129" s="108"/>
      <c r="O1129" s="20" t="s">
        <v>705</v>
      </c>
      <c r="P1129" s="20"/>
      <c r="Q1129" s="20"/>
    </row>
    <row r="1130" spans="1:17" ht="24.9" customHeight="1">
      <c r="A1130" s="20">
        <v>362</v>
      </c>
      <c r="B1130" s="20" t="s">
        <v>4320</v>
      </c>
      <c r="C1130" s="19">
        <v>127</v>
      </c>
      <c r="D1130" s="19" t="s">
        <v>3432</v>
      </c>
      <c r="E1130" s="19" t="str">
        <f>VLOOKUP(D1130,'لیست پرسنل'!$B$2:$E$1020,3,FALSE)</f>
        <v>مهرفام</v>
      </c>
      <c r="F1130" s="19" t="str">
        <f>VLOOKUP(D1130,'لیست پرسنل'!$B$2:$E$1020,4,FALSE)</f>
        <v>سیویل</v>
      </c>
      <c r="G1130" s="127" t="str">
        <f>VLOOKUP(D1130,'لیست پرسنل'!$B$2:$F$1020,2,FALSE)</f>
        <v>100553</v>
      </c>
      <c r="H1130" s="151" t="s">
        <v>3381</v>
      </c>
      <c r="I1130" s="127" t="s">
        <v>1850</v>
      </c>
      <c r="J1130" s="128" t="s">
        <v>2686</v>
      </c>
      <c r="K1130" s="128" t="s">
        <v>2922</v>
      </c>
      <c r="L1130" s="127" t="s">
        <v>2984</v>
      </c>
      <c r="M1130" s="127">
        <v>626466</v>
      </c>
      <c r="N1130" s="109"/>
      <c r="O1130" s="86"/>
      <c r="P1130" s="20"/>
      <c r="Q1130" s="20"/>
    </row>
    <row r="1131" spans="1:17" ht="24.9" customHeight="1">
      <c r="A1131" s="20">
        <v>362</v>
      </c>
      <c r="B1131" s="20" t="s">
        <v>4320</v>
      </c>
      <c r="C1131" s="19">
        <v>129</v>
      </c>
      <c r="D1131" s="19" t="s">
        <v>3433</v>
      </c>
      <c r="E1131" s="19" t="str">
        <f>VLOOKUP(D1131,'لیست پرسنل'!$B$2:$E$1020,3,FALSE)</f>
        <v>فکورصنعت</v>
      </c>
      <c r="F1131" s="19" t="str">
        <f>VLOOKUP(D1131,'لیست پرسنل'!$B$2:$E$1020,4,FALSE)</f>
        <v>ایمنی</v>
      </c>
      <c r="G1131" s="127" t="str">
        <f>VLOOKUP(D1131,'لیست پرسنل'!$B$2:$F$1020,2,FALSE)</f>
        <v>1103</v>
      </c>
      <c r="H1131" s="151" t="s">
        <v>3381</v>
      </c>
      <c r="I1131" s="127" t="s">
        <v>1899</v>
      </c>
      <c r="J1131" s="126" t="s">
        <v>368</v>
      </c>
      <c r="K1131" s="128" t="s">
        <v>2846</v>
      </c>
      <c r="L1131" s="128" t="s">
        <v>2363</v>
      </c>
      <c r="M1131" s="128">
        <v>628769</v>
      </c>
      <c r="N1131" s="108"/>
      <c r="O1131" s="20"/>
      <c r="P1131" s="20"/>
      <c r="Q1131" s="20"/>
    </row>
    <row r="1132" spans="1:17" ht="24.9" customHeight="1">
      <c r="A1132" s="20">
        <v>362</v>
      </c>
      <c r="B1132" s="20" t="s">
        <v>4320</v>
      </c>
      <c r="C1132" s="19">
        <v>129</v>
      </c>
      <c r="D1132" s="19" t="s">
        <v>3433</v>
      </c>
      <c r="E1132" s="19" t="str">
        <f>VLOOKUP(D1132,'لیست پرسنل'!$B$2:$E$1020,3,FALSE)</f>
        <v>فکورصنعت</v>
      </c>
      <c r="F1132" s="19" t="str">
        <f>VLOOKUP(D1132,'لیست پرسنل'!$B$2:$E$1020,4,FALSE)</f>
        <v>ایمنی</v>
      </c>
      <c r="G1132" s="127" t="str">
        <f>VLOOKUP(D1132,'لیست پرسنل'!$B$2:$F$1020,2,FALSE)</f>
        <v>1103</v>
      </c>
      <c r="H1132" s="151" t="s">
        <v>3381</v>
      </c>
      <c r="I1132" s="127" t="s">
        <v>1899</v>
      </c>
      <c r="J1132" s="128" t="s">
        <v>571</v>
      </c>
      <c r="K1132" s="128" t="s">
        <v>4771</v>
      </c>
      <c r="L1132" s="128"/>
      <c r="M1132" s="127">
        <v>633659</v>
      </c>
      <c r="N1132" s="109"/>
      <c r="O1132" s="19" t="s">
        <v>6318</v>
      </c>
      <c r="P1132" s="32"/>
      <c r="Q1132" s="32"/>
    </row>
    <row r="1133" spans="1:17" ht="24.9" customHeight="1">
      <c r="A1133" s="20">
        <v>362</v>
      </c>
      <c r="B1133" s="20" t="s">
        <v>4320</v>
      </c>
      <c r="C1133" s="19">
        <v>129</v>
      </c>
      <c r="D1133" s="19" t="s">
        <v>3433</v>
      </c>
      <c r="E1133" s="19" t="str">
        <f>VLOOKUP(D1133,'لیست پرسنل'!$B$2:$E$1020,3,FALSE)</f>
        <v>فکورصنعت</v>
      </c>
      <c r="F1133" s="19" t="str">
        <f>VLOOKUP(D1133,'لیست پرسنل'!$B$2:$E$1020,4,FALSE)</f>
        <v>ایمنی</v>
      </c>
      <c r="G1133" s="127" t="str">
        <f>VLOOKUP(D1133,'لیست پرسنل'!$B$2:$F$1020,2,FALSE)</f>
        <v>1103</v>
      </c>
      <c r="H1133" s="151" t="s">
        <v>3381</v>
      </c>
      <c r="I1133" s="127" t="s">
        <v>1899</v>
      </c>
      <c r="J1133" s="128" t="s">
        <v>2686</v>
      </c>
      <c r="K1133" s="128" t="s">
        <v>890</v>
      </c>
      <c r="L1133" s="151" t="s">
        <v>1217</v>
      </c>
      <c r="M1133" s="127">
        <v>608007</v>
      </c>
      <c r="N1133" s="109"/>
      <c r="O1133" s="86"/>
      <c r="P1133" s="20"/>
      <c r="Q1133" s="20"/>
    </row>
    <row r="1134" spans="1:17" ht="24.9" customHeight="1">
      <c r="A1134" s="20">
        <v>362</v>
      </c>
      <c r="B1134" s="20" t="s">
        <v>4320</v>
      </c>
      <c r="C1134" s="19">
        <v>130</v>
      </c>
      <c r="D1134" s="19" t="s">
        <v>3434</v>
      </c>
      <c r="E1134" s="19" t="str">
        <f>VLOOKUP(D1134,'لیست پرسنل'!$B$2:$E$1020,3,FALSE)</f>
        <v>فکورصنعت</v>
      </c>
      <c r="F1134" s="19" t="str">
        <f>VLOOKUP(D1134,'لیست پرسنل'!$B$2:$E$1020,4,FALSE)</f>
        <v>ایمنی</v>
      </c>
      <c r="G1134" s="127" t="str">
        <f>VLOOKUP(D1134,'لیست پرسنل'!$B$2:$F$1020,2,FALSE)</f>
        <v>4001206</v>
      </c>
      <c r="H1134" s="151" t="s">
        <v>3381</v>
      </c>
      <c r="I1134" s="127" t="s">
        <v>1900</v>
      </c>
      <c r="J1134" s="126" t="s">
        <v>368</v>
      </c>
      <c r="K1134" s="128" t="s">
        <v>2846</v>
      </c>
      <c r="L1134" s="128" t="s">
        <v>2486</v>
      </c>
      <c r="M1134" s="128">
        <v>628898</v>
      </c>
      <c r="N1134" s="108"/>
      <c r="O1134" s="20"/>
      <c r="P1134" s="20"/>
      <c r="Q1134" s="20"/>
    </row>
    <row r="1135" spans="1:17" ht="24.9" customHeight="1">
      <c r="A1135" s="20">
        <v>362</v>
      </c>
      <c r="B1135" s="20" t="s">
        <v>4320</v>
      </c>
      <c r="C1135" s="19">
        <v>130</v>
      </c>
      <c r="D1135" s="19" t="s">
        <v>3434</v>
      </c>
      <c r="E1135" s="19" t="str">
        <f>VLOOKUP(D1135,'لیست پرسنل'!$B$2:$E$1020,3,FALSE)</f>
        <v>فکورصنعت</v>
      </c>
      <c r="F1135" s="19" t="str">
        <f>VLOOKUP(D1135,'لیست پرسنل'!$B$2:$E$1020,4,FALSE)</f>
        <v>ایمنی</v>
      </c>
      <c r="G1135" s="127" t="str">
        <f>VLOOKUP(D1135,'لیست پرسنل'!$B$2:$F$1020,2,FALSE)</f>
        <v>4001206</v>
      </c>
      <c r="H1135" s="151" t="s">
        <v>3381</v>
      </c>
      <c r="I1135" s="127" t="s">
        <v>1900</v>
      </c>
      <c r="J1135" s="127" t="s">
        <v>571</v>
      </c>
      <c r="K1135" s="128" t="s">
        <v>2219</v>
      </c>
      <c r="L1135" s="158"/>
      <c r="M1135" s="127">
        <v>628599</v>
      </c>
      <c r="N1135" s="109"/>
      <c r="O1135" s="20"/>
      <c r="P1135" s="20"/>
      <c r="Q1135" s="20"/>
    </row>
    <row r="1136" spans="1:17" ht="24.9" customHeight="1">
      <c r="A1136" s="20">
        <v>362</v>
      </c>
      <c r="B1136" s="20" t="s">
        <v>4320</v>
      </c>
      <c r="C1136" s="19">
        <v>130</v>
      </c>
      <c r="D1136" s="19" t="s">
        <v>3434</v>
      </c>
      <c r="E1136" s="19" t="str">
        <f>VLOOKUP(D1136,'لیست پرسنل'!$B$2:$E$1020,3,FALSE)</f>
        <v>فکورصنعت</v>
      </c>
      <c r="F1136" s="19" t="str">
        <f>VLOOKUP(D1136,'لیست پرسنل'!$B$2:$E$1020,4,FALSE)</f>
        <v>ایمنی</v>
      </c>
      <c r="G1136" s="127" t="str">
        <f>VLOOKUP(D1136,'لیست پرسنل'!$B$2:$F$1020,2,FALSE)</f>
        <v>4001206</v>
      </c>
      <c r="H1136" s="151" t="s">
        <v>3381</v>
      </c>
      <c r="I1136" s="127" t="s">
        <v>1900</v>
      </c>
      <c r="J1136" s="128" t="s">
        <v>2686</v>
      </c>
      <c r="K1136" s="128" t="s">
        <v>890</v>
      </c>
      <c r="L1136" s="151" t="s">
        <v>1134</v>
      </c>
      <c r="M1136" s="127">
        <v>607811</v>
      </c>
      <c r="N1136" s="109"/>
      <c r="O1136" s="86"/>
      <c r="P1136" s="20"/>
      <c r="Q1136" s="20"/>
    </row>
    <row r="1137" spans="1:17" ht="24.9" customHeight="1">
      <c r="A1137" s="20">
        <v>362</v>
      </c>
      <c r="B1137" s="20" t="s">
        <v>4320</v>
      </c>
      <c r="C1137" s="19">
        <v>131</v>
      </c>
      <c r="D1137" s="19" t="s">
        <v>326</v>
      </c>
      <c r="E1137" s="19" t="str">
        <f>VLOOKUP(D1137,'لیست پرسنل'!$B$2:$E$1020,3,FALSE)</f>
        <v>فکورصنعت</v>
      </c>
      <c r="F1137" s="19" t="str">
        <f>VLOOKUP(D1137,'لیست پرسنل'!$B$2:$E$1020,4,FALSE)</f>
        <v>انبار</v>
      </c>
      <c r="G1137" s="127">
        <f>VLOOKUP(D1137,'لیست پرسنل'!$B$2:$F$1020,2,FALSE)</f>
        <v>98141</v>
      </c>
      <c r="H1137" s="151" t="s">
        <v>3381</v>
      </c>
      <c r="I1137" s="127" t="s">
        <v>1903</v>
      </c>
      <c r="J1137" s="127" t="s">
        <v>5366</v>
      </c>
      <c r="K1137" s="128" t="s">
        <v>646</v>
      </c>
      <c r="L1137" s="164" t="s">
        <v>1912</v>
      </c>
      <c r="M1137" s="127">
        <v>612411</v>
      </c>
      <c r="N1137" s="109" t="s">
        <v>4130</v>
      </c>
      <c r="O1137" s="19" t="s">
        <v>1913</v>
      </c>
      <c r="P1137" s="20"/>
      <c r="Q1137" s="20"/>
    </row>
    <row r="1138" spans="1:17" ht="24.9" customHeight="1">
      <c r="A1138" s="20">
        <v>362</v>
      </c>
      <c r="B1138" s="20" t="s">
        <v>4320</v>
      </c>
      <c r="C1138" s="19">
        <v>131</v>
      </c>
      <c r="D1138" s="19" t="s">
        <v>326</v>
      </c>
      <c r="E1138" s="19" t="str">
        <f>VLOOKUP(D1138,'لیست پرسنل'!$B$2:$E$1020,3,FALSE)</f>
        <v>فکورصنعت</v>
      </c>
      <c r="F1138" s="19" t="str">
        <f>VLOOKUP(D1138,'لیست پرسنل'!$B$2:$E$1020,4,FALSE)</f>
        <v>انبار</v>
      </c>
      <c r="G1138" s="127">
        <f>VLOOKUP(D1138,'لیست پرسنل'!$B$2:$F$1020,2,FALSE)</f>
        <v>98141</v>
      </c>
      <c r="H1138" s="151" t="s">
        <v>3381</v>
      </c>
      <c r="I1138" s="127" t="s">
        <v>1903</v>
      </c>
      <c r="J1138" s="141" t="s">
        <v>571</v>
      </c>
      <c r="K1138" s="128" t="s">
        <v>5270</v>
      </c>
      <c r="L1138" s="154" t="s">
        <v>2219</v>
      </c>
      <c r="M1138" s="131">
        <v>631109</v>
      </c>
      <c r="N1138" s="108"/>
      <c r="O1138" s="20" t="s">
        <v>705</v>
      </c>
      <c r="P1138" s="20"/>
      <c r="Q1138" s="20"/>
    </row>
    <row r="1139" spans="1:17" ht="24.9" customHeight="1">
      <c r="A1139" s="20">
        <v>362</v>
      </c>
      <c r="B1139" s="20" t="s">
        <v>4320</v>
      </c>
      <c r="C1139" s="19">
        <v>132</v>
      </c>
      <c r="D1139" s="19" t="s">
        <v>3435</v>
      </c>
      <c r="E1139" s="19" t="str">
        <f>VLOOKUP(D1139,'لیست پرسنل'!$B$2:$E$1020,3,FALSE)</f>
        <v>فکورصنعت</v>
      </c>
      <c r="F1139" s="19" t="str">
        <f>VLOOKUP(D1139,'لیست پرسنل'!$B$2:$E$1020,4,FALSE)</f>
        <v>رئیس امور قراردادها</v>
      </c>
      <c r="G1139" s="127" t="str">
        <f>VLOOKUP(D1139,'لیست پرسنل'!$B$2:$F$1020,2,FALSE)</f>
        <v>842</v>
      </c>
      <c r="H1139" s="151" t="s">
        <v>3381</v>
      </c>
      <c r="I1139" s="127" t="s">
        <v>1904</v>
      </c>
      <c r="J1139" s="126" t="s">
        <v>368</v>
      </c>
      <c r="K1139" s="128" t="s">
        <v>2846</v>
      </c>
      <c r="L1139" s="127" t="s">
        <v>2355</v>
      </c>
      <c r="M1139" s="128">
        <v>628761</v>
      </c>
      <c r="N1139" s="108"/>
      <c r="O1139" s="19"/>
      <c r="P1139" s="20"/>
      <c r="Q1139" s="20"/>
    </row>
    <row r="1140" spans="1:17" ht="24.9" customHeight="1">
      <c r="A1140" s="20">
        <v>362</v>
      </c>
      <c r="B1140" s="20" t="s">
        <v>4320</v>
      </c>
      <c r="C1140" s="19">
        <v>132</v>
      </c>
      <c r="D1140" s="19" t="s">
        <v>3435</v>
      </c>
      <c r="E1140" s="19" t="str">
        <f>VLOOKUP(D1140,'لیست پرسنل'!$B$2:$E$1020,3,FALSE)</f>
        <v>فکورصنعت</v>
      </c>
      <c r="F1140" s="19" t="str">
        <f>VLOOKUP(D1140,'لیست پرسنل'!$B$2:$E$1020,4,FALSE)</f>
        <v>رئیس امور قراردادها</v>
      </c>
      <c r="G1140" s="127" t="str">
        <f>VLOOKUP(D1140,'لیست پرسنل'!$B$2:$F$1020,2,FALSE)</f>
        <v>842</v>
      </c>
      <c r="H1140" s="151" t="s">
        <v>3381</v>
      </c>
      <c r="I1140" s="127" t="s">
        <v>1904</v>
      </c>
      <c r="J1140" s="127" t="s">
        <v>571</v>
      </c>
      <c r="K1140" s="128"/>
      <c r="L1140" s="151"/>
      <c r="M1140" s="127">
        <v>625437</v>
      </c>
      <c r="N1140" s="109"/>
      <c r="O1140" s="19"/>
      <c r="P1140" s="20"/>
      <c r="Q1140" s="20"/>
    </row>
    <row r="1141" spans="1:17" ht="24.9" customHeight="1">
      <c r="A1141" s="20">
        <v>362</v>
      </c>
      <c r="B1141" s="20" t="s">
        <v>4320</v>
      </c>
      <c r="C1141" s="19">
        <v>132</v>
      </c>
      <c r="D1141" s="19" t="s">
        <v>3435</v>
      </c>
      <c r="E1141" s="19" t="str">
        <f>VLOOKUP(D1141,'لیست پرسنل'!$B$2:$E$1020,3,FALSE)</f>
        <v>فکورصنعت</v>
      </c>
      <c r="F1141" s="19" t="str">
        <f>VLOOKUP(D1141,'لیست پرسنل'!$B$2:$E$1020,4,FALSE)</f>
        <v>رئیس امور قراردادها</v>
      </c>
      <c r="G1141" s="127" t="str">
        <f>VLOOKUP(D1141,'لیست پرسنل'!$B$2:$F$1020,2,FALSE)</f>
        <v>842</v>
      </c>
      <c r="H1141" s="151" t="s">
        <v>3381</v>
      </c>
      <c r="I1141" s="127" t="s">
        <v>1904</v>
      </c>
      <c r="J1141" s="128" t="s">
        <v>2686</v>
      </c>
      <c r="K1141" s="128" t="s">
        <v>2922</v>
      </c>
      <c r="L1141" s="128" t="s">
        <v>2969</v>
      </c>
      <c r="M1141" s="128">
        <v>626450</v>
      </c>
      <c r="N1141" s="108"/>
      <c r="O1141" s="20" t="s">
        <v>705</v>
      </c>
      <c r="P1141" s="20"/>
      <c r="Q1141" s="20"/>
    </row>
    <row r="1142" spans="1:17" ht="24.9" customHeight="1">
      <c r="A1142" s="20">
        <v>362</v>
      </c>
      <c r="B1142" s="20" t="s">
        <v>4320</v>
      </c>
      <c r="C1142" s="19">
        <v>134</v>
      </c>
      <c r="D1142" s="19" t="s">
        <v>3385</v>
      </c>
      <c r="E1142" s="19" t="str">
        <f>VLOOKUP(D1142,'لیست پرسنل'!$B$2:$E$1020,3,FALSE)</f>
        <v>نقشه برداری</v>
      </c>
      <c r="F1142" s="19" t="str">
        <f>VLOOKUP(D1142,'لیست پرسنل'!$B$2:$E$1020,4,FALSE)</f>
        <v>نقشه برداری</v>
      </c>
      <c r="G1142" s="127" t="str">
        <f>VLOOKUP(D1142,'لیست پرسنل'!$B$2:$F$1020,2,FALSE)</f>
        <v>0</v>
      </c>
      <c r="H1142" s="126" t="s">
        <v>7384</v>
      </c>
      <c r="I1142" s="127" t="s">
        <v>1926</v>
      </c>
      <c r="J1142" s="127" t="s">
        <v>571</v>
      </c>
      <c r="K1142" s="135" t="s">
        <v>1513</v>
      </c>
      <c r="L1142" s="159" t="s">
        <v>2219</v>
      </c>
      <c r="M1142" s="127">
        <v>625453</v>
      </c>
      <c r="N1142" s="109"/>
      <c r="O1142" s="19"/>
      <c r="P1142" s="20"/>
      <c r="Q1142" s="20"/>
    </row>
    <row r="1143" spans="1:17" ht="24.9" customHeight="1">
      <c r="A1143" s="20">
        <v>362</v>
      </c>
      <c r="B1143" s="20" t="s">
        <v>4320</v>
      </c>
      <c r="C1143" s="19">
        <v>134</v>
      </c>
      <c r="D1143" s="19" t="s">
        <v>3385</v>
      </c>
      <c r="E1143" s="19" t="str">
        <f>VLOOKUP(D1143,'لیست پرسنل'!$B$2:$E$1020,3,FALSE)</f>
        <v>نقشه برداری</v>
      </c>
      <c r="F1143" s="19" t="str">
        <f>VLOOKUP(D1143,'لیست پرسنل'!$B$2:$E$1020,4,FALSE)</f>
        <v>نقشه برداری</v>
      </c>
      <c r="G1143" s="127" t="str">
        <f>VLOOKUP(D1143,'لیست پرسنل'!$B$2:$F$1020,2,FALSE)</f>
        <v>0</v>
      </c>
      <c r="H1143" s="126" t="s">
        <v>7384</v>
      </c>
      <c r="I1143" s="127" t="s">
        <v>1926</v>
      </c>
      <c r="J1143" s="128" t="s">
        <v>2686</v>
      </c>
      <c r="K1143" s="128" t="s">
        <v>320</v>
      </c>
      <c r="L1143" s="151" t="s">
        <v>1032</v>
      </c>
      <c r="M1143" s="127">
        <v>604093</v>
      </c>
      <c r="N1143" s="109"/>
      <c r="O1143" s="86"/>
      <c r="P1143" s="20"/>
      <c r="Q1143" s="20"/>
    </row>
    <row r="1144" spans="1:17" ht="24.9" customHeight="1">
      <c r="A1144" s="20">
        <v>362</v>
      </c>
      <c r="B1144" s="20" t="s">
        <v>4320</v>
      </c>
      <c r="C1144" s="20">
        <v>135</v>
      </c>
      <c r="D1144" s="20" t="s">
        <v>7931</v>
      </c>
      <c r="E1144" s="19" t="str">
        <f>VLOOKUP(D1144,'لیست پرسنل'!$B$2:$E$1020,3,FALSE)</f>
        <v>مهرفام</v>
      </c>
      <c r="F1144" s="19" t="str">
        <f>VLOOKUP(D1144,'لیست پرسنل'!$B$2:$E$1020,4,FALSE)</f>
        <v xml:space="preserve">مکانیک </v>
      </c>
      <c r="G1144" s="127">
        <f>VLOOKUP(D1144,'لیست پرسنل'!$B$2:$F$1020,2,FALSE)</f>
        <v>0</v>
      </c>
      <c r="H1144" s="126" t="s">
        <v>3381</v>
      </c>
      <c r="I1144" s="127" t="s">
        <v>1927</v>
      </c>
      <c r="J1144" s="126" t="s">
        <v>368</v>
      </c>
      <c r="K1144" s="128" t="s">
        <v>2846</v>
      </c>
      <c r="L1144" s="128" t="s">
        <v>2464</v>
      </c>
      <c r="M1144" s="128">
        <v>628874</v>
      </c>
      <c r="N1144" s="108"/>
      <c r="O1144" s="20"/>
      <c r="P1144" s="20"/>
      <c r="Q1144" s="20"/>
    </row>
    <row r="1145" spans="1:17" ht="24.9" customHeight="1">
      <c r="A1145" s="20">
        <v>362</v>
      </c>
      <c r="B1145" s="20" t="s">
        <v>4320</v>
      </c>
      <c r="C1145" s="20">
        <v>135</v>
      </c>
      <c r="D1145" s="20" t="s">
        <v>7931</v>
      </c>
      <c r="E1145" s="19" t="str">
        <f>VLOOKUP(D1145,'لیست پرسنل'!$B$2:$E$1020,3,FALSE)</f>
        <v>مهرفام</v>
      </c>
      <c r="F1145" s="19" t="str">
        <f>VLOOKUP(D1145,'لیست پرسنل'!$B$2:$E$1020,4,FALSE)</f>
        <v xml:space="preserve">مکانیک </v>
      </c>
      <c r="G1145" s="127">
        <f>VLOOKUP(D1145,'لیست پرسنل'!$B$2:$F$1020,2,FALSE)</f>
        <v>0</v>
      </c>
      <c r="H1145" s="126" t="s">
        <v>3381</v>
      </c>
      <c r="I1145" s="127" t="s">
        <v>1927</v>
      </c>
      <c r="J1145" s="127" t="s">
        <v>571</v>
      </c>
      <c r="K1145" s="127"/>
      <c r="L1145" s="154"/>
      <c r="M1145" s="127">
        <v>625419</v>
      </c>
      <c r="N1145" s="109"/>
      <c r="O1145" s="19"/>
      <c r="P1145" s="20"/>
      <c r="Q1145" s="20"/>
    </row>
    <row r="1146" spans="1:17" ht="24.9" customHeight="1">
      <c r="A1146" s="20">
        <v>362</v>
      </c>
      <c r="B1146" s="20" t="s">
        <v>4320</v>
      </c>
      <c r="C1146" s="20">
        <v>135</v>
      </c>
      <c r="D1146" s="20" t="s">
        <v>7931</v>
      </c>
      <c r="E1146" s="19" t="str">
        <f>VLOOKUP(D1146,'لیست پرسنل'!$B$2:$E$1020,3,FALSE)</f>
        <v>مهرفام</v>
      </c>
      <c r="F1146" s="19" t="str">
        <f>VLOOKUP(D1146,'لیست پرسنل'!$B$2:$E$1020,4,FALSE)</f>
        <v xml:space="preserve">مکانیک </v>
      </c>
      <c r="G1146" s="127">
        <f>VLOOKUP(D1146,'لیست پرسنل'!$B$2:$F$1020,2,FALSE)</f>
        <v>0</v>
      </c>
      <c r="H1146" s="126" t="s">
        <v>3381</v>
      </c>
      <c r="I1146" s="127" t="s">
        <v>1927</v>
      </c>
      <c r="J1146" s="128" t="s">
        <v>2686</v>
      </c>
      <c r="K1146" s="128" t="s">
        <v>2922</v>
      </c>
      <c r="L1146" s="127" t="s">
        <v>3034</v>
      </c>
      <c r="M1146" s="128">
        <v>626517</v>
      </c>
      <c r="N1146" s="108"/>
      <c r="O1146" s="20" t="s">
        <v>705</v>
      </c>
      <c r="P1146" s="20"/>
      <c r="Q1146" s="20"/>
    </row>
    <row r="1147" spans="1:17" ht="24.9" customHeight="1">
      <c r="A1147" s="20">
        <v>362</v>
      </c>
      <c r="B1147" s="20" t="s">
        <v>4320</v>
      </c>
      <c r="C1147" s="20">
        <v>137</v>
      </c>
      <c r="D1147" s="20" t="s">
        <v>7361</v>
      </c>
      <c r="E1147" s="19" t="str">
        <f>VLOOKUP(D1147,'لیست پرسنل'!$B$2:$E$1020,3,FALSE)</f>
        <v>کاربین طرح</v>
      </c>
      <c r="F1147" s="19" t="str">
        <f>VLOOKUP(D1147,'لیست پرسنل'!$B$2:$E$1020,4,FALSE)</f>
        <v>ایمنی</v>
      </c>
      <c r="G1147" s="127">
        <f>VLOOKUP(D1147,'لیست پرسنل'!$B$2:$F$1020,2,FALSE)</f>
        <v>0</v>
      </c>
      <c r="H1147" s="126" t="s">
        <v>4306</v>
      </c>
      <c r="I1147" s="128" t="s">
        <v>1962</v>
      </c>
      <c r="J1147" s="126" t="s">
        <v>368</v>
      </c>
      <c r="K1147" s="135" t="s">
        <v>8248</v>
      </c>
      <c r="L1147" s="127" t="s">
        <v>2496</v>
      </c>
      <c r="M1147" s="128">
        <v>628908</v>
      </c>
      <c r="N1147" s="109" t="s">
        <v>6840</v>
      </c>
      <c r="O1147" s="20" t="s">
        <v>705</v>
      </c>
      <c r="P1147" s="20"/>
      <c r="Q1147" s="20"/>
    </row>
    <row r="1148" spans="1:17" ht="24.9" customHeight="1">
      <c r="A1148" s="20">
        <v>362</v>
      </c>
      <c r="B1148" s="20" t="s">
        <v>4320</v>
      </c>
      <c r="C1148" s="19">
        <v>137</v>
      </c>
      <c r="D1148" s="20" t="s">
        <v>7361</v>
      </c>
      <c r="E1148" s="19" t="str">
        <f>VLOOKUP(D1148,'لیست پرسنل'!$B$2:$E$1020,3,FALSE)</f>
        <v>کاربین طرح</v>
      </c>
      <c r="F1148" s="19" t="str">
        <f>VLOOKUP(D1148,'لیست پرسنل'!$B$2:$E$1020,4,FALSE)</f>
        <v>ایمنی</v>
      </c>
      <c r="G1148" s="127">
        <f>VLOOKUP(D1148,'لیست پرسنل'!$B$2:$F$1020,2,FALSE)</f>
        <v>0</v>
      </c>
      <c r="H1148" s="126" t="s">
        <v>4306</v>
      </c>
      <c r="I1148" s="128" t="s">
        <v>1962</v>
      </c>
      <c r="J1148" s="141" t="s">
        <v>571</v>
      </c>
      <c r="K1148" s="128"/>
      <c r="L1148" s="159" t="s">
        <v>2219</v>
      </c>
      <c r="M1148" s="127">
        <v>628610</v>
      </c>
      <c r="N1148" s="108"/>
      <c r="O1148" s="19" t="s">
        <v>705</v>
      </c>
      <c r="P1148" s="20"/>
      <c r="Q1148" s="20"/>
    </row>
    <row r="1149" spans="1:17" ht="24.9" customHeight="1">
      <c r="A1149" s="20">
        <v>362</v>
      </c>
      <c r="B1149" s="20" t="s">
        <v>4320</v>
      </c>
      <c r="C1149" s="19">
        <v>137</v>
      </c>
      <c r="D1149" s="20" t="s">
        <v>7361</v>
      </c>
      <c r="E1149" s="19" t="str">
        <f>VLOOKUP(D1149,'لیست پرسنل'!$B$2:$E$1020,3,FALSE)</f>
        <v>کاربین طرح</v>
      </c>
      <c r="F1149" s="19" t="str">
        <f>VLOOKUP(D1149,'لیست پرسنل'!$B$2:$E$1020,4,FALSE)</f>
        <v>ایمنی</v>
      </c>
      <c r="G1149" s="127">
        <f>VLOOKUP(D1149,'لیست پرسنل'!$B$2:$F$1020,2,FALSE)</f>
        <v>0</v>
      </c>
      <c r="H1149" s="126" t="s">
        <v>4306</v>
      </c>
      <c r="I1149" s="128" t="s">
        <v>1962</v>
      </c>
      <c r="J1149" s="128" t="s">
        <v>2686</v>
      </c>
      <c r="K1149" s="128" t="s">
        <v>744</v>
      </c>
      <c r="L1149" s="151" t="s">
        <v>1224</v>
      </c>
      <c r="M1149" s="132">
        <v>604883</v>
      </c>
      <c r="N1149" s="108"/>
      <c r="O1149" s="20"/>
      <c r="P1149" s="20"/>
      <c r="Q1149" s="20"/>
    </row>
    <row r="1150" spans="1:17" ht="24.9" customHeight="1">
      <c r="A1150" s="20">
        <v>362</v>
      </c>
      <c r="B1150" s="20" t="s">
        <v>4320</v>
      </c>
      <c r="C1150" s="19">
        <v>138</v>
      </c>
      <c r="D1150" s="19" t="s">
        <v>3441</v>
      </c>
      <c r="E1150" s="19" t="str">
        <f>VLOOKUP(D1150,'لیست پرسنل'!$B$2:$E$1020,3,FALSE)</f>
        <v>گهر کوشان سپهر</v>
      </c>
      <c r="F1150" s="19" t="str">
        <f>VLOOKUP(D1150,'لیست پرسنل'!$B$2:$E$1020,4,FALSE)</f>
        <v>انبار</v>
      </c>
      <c r="G1150" s="127" t="str">
        <f>VLOOKUP(D1150,'لیست پرسنل'!$B$2:$F$1020,2,FALSE)</f>
        <v>20399</v>
      </c>
      <c r="H1150" s="151" t="s">
        <v>3381</v>
      </c>
      <c r="I1150" s="127" t="s">
        <v>1963</v>
      </c>
      <c r="J1150" s="127" t="s">
        <v>3383</v>
      </c>
      <c r="K1150" s="128" t="s">
        <v>5355</v>
      </c>
      <c r="L1150" s="164" t="s">
        <v>5353</v>
      </c>
      <c r="M1150" s="127">
        <v>631505</v>
      </c>
      <c r="N1150" s="109"/>
      <c r="O1150" s="19"/>
      <c r="P1150" s="20"/>
      <c r="Q1150" s="20"/>
    </row>
    <row r="1151" spans="1:17" ht="24.9" customHeight="1">
      <c r="A1151" s="20">
        <v>362</v>
      </c>
      <c r="B1151" s="20" t="s">
        <v>4320</v>
      </c>
      <c r="C1151" s="19">
        <v>138</v>
      </c>
      <c r="D1151" s="19" t="s">
        <v>3441</v>
      </c>
      <c r="E1151" s="19" t="str">
        <f>VLOOKUP(D1151,'لیست پرسنل'!$B$2:$E$1020,3,FALSE)</f>
        <v>گهر کوشان سپهر</v>
      </c>
      <c r="F1151" s="19" t="str">
        <f>VLOOKUP(D1151,'لیست پرسنل'!$B$2:$E$1020,4,FALSE)</f>
        <v>انبار</v>
      </c>
      <c r="G1151" s="127" t="str">
        <f>VLOOKUP(D1151,'لیست پرسنل'!$B$2:$F$1020,2,FALSE)</f>
        <v>20399</v>
      </c>
      <c r="H1151" s="151" t="s">
        <v>3381</v>
      </c>
      <c r="I1151" s="127" t="s">
        <v>1963</v>
      </c>
      <c r="J1151" s="126" t="s">
        <v>368</v>
      </c>
      <c r="K1151" s="128" t="s">
        <v>2846</v>
      </c>
      <c r="L1151" s="127" t="s">
        <v>2321</v>
      </c>
      <c r="M1151" s="128">
        <v>628727</v>
      </c>
      <c r="N1151" s="108"/>
      <c r="O1151" s="20" t="s">
        <v>705</v>
      </c>
      <c r="P1151" s="20"/>
      <c r="Q1151" s="20"/>
    </row>
    <row r="1152" spans="1:17" ht="24.9" customHeight="1">
      <c r="A1152" s="20">
        <v>362</v>
      </c>
      <c r="B1152" s="20" t="s">
        <v>4320</v>
      </c>
      <c r="C1152" s="19">
        <v>138</v>
      </c>
      <c r="D1152" s="19" t="s">
        <v>3441</v>
      </c>
      <c r="E1152" s="19" t="str">
        <f>VLOOKUP(D1152,'لیست پرسنل'!$B$2:$E$1020,3,FALSE)</f>
        <v>گهر کوشان سپهر</v>
      </c>
      <c r="F1152" s="19" t="str">
        <f>VLOOKUP(D1152,'لیست پرسنل'!$B$2:$E$1020,4,FALSE)</f>
        <v>انبار</v>
      </c>
      <c r="G1152" s="127" t="str">
        <f>VLOOKUP(D1152,'لیست پرسنل'!$B$2:$F$1020,2,FALSE)</f>
        <v>20399</v>
      </c>
      <c r="H1152" s="151" t="s">
        <v>3381</v>
      </c>
      <c r="I1152" s="127" t="s">
        <v>1963</v>
      </c>
      <c r="J1152" s="141" t="s">
        <v>571</v>
      </c>
      <c r="K1152" s="128" t="s">
        <v>1951</v>
      </c>
      <c r="L1152" s="165" t="s">
        <v>2219</v>
      </c>
      <c r="M1152" s="128">
        <v>629708</v>
      </c>
      <c r="N1152" s="108"/>
      <c r="O1152" s="20" t="s">
        <v>705</v>
      </c>
      <c r="P1152" s="20"/>
      <c r="Q1152" s="20"/>
    </row>
    <row r="1153" spans="1:17" ht="24.9" customHeight="1">
      <c r="A1153" s="20">
        <v>362</v>
      </c>
      <c r="B1153" s="20" t="s">
        <v>4320</v>
      </c>
      <c r="C1153" s="19">
        <v>138</v>
      </c>
      <c r="D1153" s="19" t="s">
        <v>3441</v>
      </c>
      <c r="E1153" s="19" t="str">
        <f>VLOOKUP(D1153,'لیست پرسنل'!$B$2:$E$1020,3,FALSE)</f>
        <v>گهر کوشان سپهر</v>
      </c>
      <c r="F1153" s="19" t="str">
        <f>VLOOKUP(D1153,'لیست پرسنل'!$B$2:$E$1020,4,FALSE)</f>
        <v>انبار</v>
      </c>
      <c r="G1153" s="127" t="str">
        <f>VLOOKUP(D1153,'لیست پرسنل'!$B$2:$F$1020,2,FALSE)</f>
        <v>20399</v>
      </c>
      <c r="H1153" s="151" t="s">
        <v>3381</v>
      </c>
      <c r="I1153" s="127" t="s">
        <v>1963</v>
      </c>
      <c r="J1153" s="128" t="s">
        <v>2686</v>
      </c>
      <c r="K1153" s="128" t="s">
        <v>2922</v>
      </c>
      <c r="L1153" s="154" t="s">
        <v>2991</v>
      </c>
      <c r="M1153" s="127">
        <v>626473</v>
      </c>
      <c r="N1153" s="109"/>
      <c r="O1153" s="86"/>
      <c r="P1153" s="20"/>
      <c r="Q1153" s="20"/>
    </row>
    <row r="1154" spans="1:17" ht="24.9" customHeight="1">
      <c r="A1154" s="20">
        <v>362</v>
      </c>
      <c r="B1154" s="20" t="s">
        <v>4320</v>
      </c>
      <c r="C1154" s="19">
        <v>139</v>
      </c>
      <c r="D1154" s="19" t="s">
        <v>7250</v>
      </c>
      <c r="E1154" s="19" t="str">
        <f>VLOOKUP(D1154,'لیست پرسنل'!$B$2:$E$1020,3,FALSE)</f>
        <v>فرزان</v>
      </c>
      <c r="F1154" s="19" t="str">
        <f>VLOOKUP(D1154,'لیست پرسنل'!$B$2:$E$1020,4,FALSE)</f>
        <v>اداری</v>
      </c>
      <c r="G1154" s="127">
        <f>VLOOKUP(D1154,'لیست پرسنل'!$B$2:$F$1020,2,FALSE)</f>
        <v>0</v>
      </c>
      <c r="H1154" s="151" t="s">
        <v>3381</v>
      </c>
      <c r="I1154" s="127" t="s">
        <v>1964</v>
      </c>
      <c r="J1154" s="127" t="s">
        <v>3383</v>
      </c>
      <c r="K1154" s="128" t="s">
        <v>1787</v>
      </c>
      <c r="L1154" s="127" t="s">
        <v>1786</v>
      </c>
      <c r="M1154" s="128">
        <v>625380</v>
      </c>
      <c r="N1154" s="108"/>
      <c r="O1154" s="19"/>
      <c r="P1154" s="20"/>
      <c r="Q1154" s="20"/>
    </row>
    <row r="1155" spans="1:17" ht="24.9" customHeight="1">
      <c r="A1155" s="20">
        <v>362</v>
      </c>
      <c r="B1155" s="20" t="s">
        <v>4320</v>
      </c>
      <c r="C1155" s="19">
        <v>139</v>
      </c>
      <c r="D1155" s="19" t="s">
        <v>7250</v>
      </c>
      <c r="E1155" s="19" t="str">
        <f>VLOOKUP(D1155,'لیست پرسنل'!$B$2:$E$1020,3,FALSE)</f>
        <v>فرزان</v>
      </c>
      <c r="F1155" s="19" t="str">
        <f>VLOOKUP(D1155,'لیست پرسنل'!$B$2:$E$1020,4,FALSE)</f>
        <v>اداری</v>
      </c>
      <c r="G1155" s="127">
        <f>VLOOKUP(D1155,'لیست پرسنل'!$B$2:$F$1020,2,FALSE)</f>
        <v>0</v>
      </c>
      <c r="H1155" s="151" t="s">
        <v>3381</v>
      </c>
      <c r="I1155" s="127" t="s">
        <v>1964</v>
      </c>
      <c r="J1155" s="126" t="s">
        <v>368</v>
      </c>
      <c r="K1155" s="128" t="s">
        <v>8248</v>
      </c>
      <c r="L1155" s="127" t="s">
        <v>2440</v>
      </c>
      <c r="M1155" s="128">
        <v>628849</v>
      </c>
      <c r="N1155" s="108"/>
      <c r="O1155" s="20" t="s">
        <v>705</v>
      </c>
      <c r="P1155" s="20"/>
      <c r="Q1155" s="20"/>
    </row>
    <row r="1156" spans="1:17" ht="24.9" customHeight="1">
      <c r="A1156" s="20">
        <v>362</v>
      </c>
      <c r="B1156" s="20" t="s">
        <v>4320</v>
      </c>
      <c r="C1156" s="19">
        <v>139</v>
      </c>
      <c r="D1156" s="19" t="s">
        <v>7250</v>
      </c>
      <c r="E1156" s="19" t="str">
        <f>VLOOKUP(D1156,'لیست پرسنل'!$B$2:$E$1020,3,FALSE)</f>
        <v>فرزان</v>
      </c>
      <c r="F1156" s="19" t="str">
        <f>VLOOKUP(D1156,'لیست پرسنل'!$B$2:$E$1020,4,FALSE)</f>
        <v>اداری</v>
      </c>
      <c r="G1156" s="127">
        <f>VLOOKUP(D1156,'لیست پرسنل'!$B$2:$F$1020,2,FALSE)</f>
        <v>0</v>
      </c>
      <c r="H1156" s="151" t="s">
        <v>3381</v>
      </c>
      <c r="I1156" s="127" t="s">
        <v>1964</v>
      </c>
      <c r="J1156" s="127" t="s">
        <v>571</v>
      </c>
      <c r="K1156" s="128" t="s">
        <v>2219</v>
      </c>
      <c r="L1156" s="154"/>
      <c r="M1156" s="127">
        <v>628122</v>
      </c>
      <c r="N1156" s="109"/>
      <c r="O1156" s="19"/>
      <c r="P1156" s="20"/>
      <c r="Q1156" s="20"/>
    </row>
    <row r="1157" spans="1:17" ht="24.9" customHeight="1">
      <c r="A1157" s="20">
        <v>362</v>
      </c>
      <c r="B1157" s="20" t="s">
        <v>4320</v>
      </c>
      <c r="C1157" s="19">
        <v>139</v>
      </c>
      <c r="D1157" s="19" t="s">
        <v>7250</v>
      </c>
      <c r="E1157" s="19" t="str">
        <f>VLOOKUP(D1157,'لیست پرسنل'!$B$2:$E$1020,3,FALSE)</f>
        <v>فرزان</v>
      </c>
      <c r="F1157" s="19" t="str">
        <f>VLOOKUP(D1157,'لیست پرسنل'!$B$2:$E$1020,4,FALSE)</f>
        <v>اداری</v>
      </c>
      <c r="G1157" s="127">
        <f>VLOOKUP(D1157,'لیست پرسنل'!$B$2:$F$1020,2,FALSE)</f>
        <v>0</v>
      </c>
      <c r="H1157" s="151" t="s">
        <v>3381</v>
      </c>
      <c r="I1157" s="127" t="s">
        <v>1964</v>
      </c>
      <c r="J1157" s="128" t="s">
        <v>2686</v>
      </c>
      <c r="K1157" s="128" t="s">
        <v>2922</v>
      </c>
      <c r="L1157" s="154" t="s">
        <v>2999</v>
      </c>
      <c r="M1157" s="127">
        <v>626481</v>
      </c>
      <c r="N1157" s="109"/>
      <c r="O1157" s="86"/>
      <c r="P1157" s="20"/>
      <c r="Q1157" s="20"/>
    </row>
    <row r="1158" spans="1:17" ht="24.9" customHeight="1">
      <c r="A1158" s="20">
        <v>362</v>
      </c>
      <c r="B1158" s="20" t="s">
        <v>4320</v>
      </c>
      <c r="C1158" s="19">
        <v>140</v>
      </c>
      <c r="D1158" s="19" t="s">
        <v>7884</v>
      </c>
      <c r="E1158" s="19" t="str">
        <f>VLOOKUP(D1158,'لیست پرسنل'!$B$2:$E$1020,3,FALSE)</f>
        <v>مهرفام</v>
      </c>
      <c r="F1158" s="19" t="str">
        <f>VLOOKUP(D1158,'لیست پرسنل'!$B$2:$E$1020,4,FALSE)</f>
        <v>مکانیک پایپینگ</v>
      </c>
      <c r="G1158" s="127">
        <f>VLOOKUP(D1158,'لیست پرسنل'!$B$2:$F$1020,2,FALSE)</f>
        <v>100664</v>
      </c>
      <c r="H1158" s="151" t="s">
        <v>3381</v>
      </c>
      <c r="I1158" s="127" t="s">
        <v>2072</v>
      </c>
      <c r="J1158" s="126" t="s">
        <v>368</v>
      </c>
      <c r="K1158" s="135" t="s">
        <v>8248</v>
      </c>
      <c r="L1158" s="127" t="s">
        <v>2516</v>
      </c>
      <c r="M1158" s="128">
        <v>628928</v>
      </c>
      <c r="N1158" s="108" t="s">
        <v>326</v>
      </c>
      <c r="O1158" s="20" t="s">
        <v>705</v>
      </c>
      <c r="P1158" s="20"/>
      <c r="Q1158" s="20"/>
    </row>
    <row r="1159" spans="1:17" ht="24.9" customHeight="1">
      <c r="A1159" s="20">
        <v>362</v>
      </c>
      <c r="B1159" s="20" t="s">
        <v>4320</v>
      </c>
      <c r="C1159" s="19">
        <v>140</v>
      </c>
      <c r="D1159" s="19" t="s">
        <v>7884</v>
      </c>
      <c r="E1159" s="19" t="str">
        <f>VLOOKUP(D1159,'لیست پرسنل'!$B$2:$E$1020,3,FALSE)</f>
        <v>مهرفام</v>
      </c>
      <c r="F1159" s="19" t="str">
        <f>VLOOKUP(D1159,'لیست پرسنل'!$B$2:$E$1020,4,FALSE)</f>
        <v>مکانیک پایپینگ</v>
      </c>
      <c r="G1159" s="127">
        <f>VLOOKUP(D1159,'لیست پرسنل'!$B$2:$F$1020,2,FALSE)</f>
        <v>100664</v>
      </c>
      <c r="H1159" s="151" t="s">
        <v>3381</v>
      </c>
      <c r="I1159" s="127" t="s">
        <v>2072</v>
      </c>
      <c r="J1159" s="141" t="s">
        <v>571</v>
      </c>
      <c r="K1159" s="128" t="s">
        <v>1951</v>
      </c>
      <c r="L1159" s="165" t="s">
        <v>2219</v>
      </c>
      <c r="M1159" s="128">
        <v>629914</v>
      </c>
      <c r="N1159" s="108" t="s">
        <v>326</v>
      </c>
      <c r="O1159" s="20" t="s">
        <v>705</v>
      </c>
      <c r="P1159" s="20"/>
      <c r="Q1159" s="20"/>
    </row>
    <row r="1160" spans="1:17" ht="24.9" customHeight="1">
      <c r="A1160" s="20">
        <v>362</v>
      </c>
      <c r="B1160" s="20" t="s">
        <v>4320</v>
      </c>
      <c r="C1160" s="19">
        <v>140</v>
      </c>
      <c r="D1160" s="19" t="s">
        <v>7884</v>
      </c>
      <c r="E1160" s="19" t="str">
        <f>VLOOKUP(D1160,'لیست پرسنل'!$B$2:$E$1020,3,FALSE)</f>
        <v>مهرفام</v>
      </c>
      <c r="F1160" s="19" t="str">
        <f>VLOOKUP(D1160,'لیست پرسنل'!$B$2:$E$1020,4,FALSE)</f>
        <v>مکانیک پایپینگ</v>
      </c>
      <c r="G1160" s="127">
        <f>VLOOKUP(D1160,'لیست پرسنل'!$B$2:$F$1020,2,FALSE)</f>
        <v>100664</v>
      </c>
      <c r="H1160" s="151" t="s">
        <v>3381</v>
      </c>
      <c r="I1160" s="127" t="s">
        <v>2072</v>
      </c>
      <c r="J1160" s="128" t="s">
        <v>2686</v>
      </c>
      <c r="K1160" s="128" t="s">
        <v>2922</v>
      </c>
      <c r="L1160" s="127" t="s">
        <v>3007</v>
      </c>
      <c r="M1160" s="127">
        <v>626490</v>
      </c>
      <c r="N1160" s="108" t="s">
        <v>326</v>
      </c>
      <c r="O1160" s="20" t="s">
        <v>705</v>
      </c>
      <c r="P1160" s="20"/>
      <c r="Q1160" s="20"/>
    </row>
    <row r="1161" spans="1:17" ht="24.9" customHeight="1">
      <c r="A1161" s="20">
        <v>362</v>
      </c>
      <c r="B1161" s="20" t="s">
        <v>4320</v>
      </c>
      <c r="C1161" s="19">
        <v>141</v>
      </c>
      <c r="D1161" s="19" t="s">
        <v>2136</v>
      </c>
      <c r="E1161" s="19" t="str">
        <f>VLOOKUP(D1161,'لیست پرسنل'!$B$2:$E$1020,3,FALSE)</f>
        <v>مهرفام</v>
      </c>
      <c r="F1161" s="19" t="str">
        <f>VLOOKUP(D1161,'لیست پرسنل'!$B$2:$E$1020,4,FALSE)</f>
        <v>دفتر فنی سازه</v>
      </c>
      <c r="G1161" s="127" t="str">
        <f>VLOOKUP(D1161,'لیست پرسنل'!$B$2:$F$1020,2,FALSE)</f>
        <v>685</v>
      </c>
      <c r="H1161" s="151" t="s">
        <v>3381</v>
      </c>
      <c r="I1161" s="127" t="s">
        <v>2135</v>
      </c>
      <c r="J1161" s="126" t="s">
        <v>368</v>
      </c>
      <c r="K1161" s="128" t="s">
        <v>2846</v>
      </c>
      <c r="L1161" s="128" t="s">
        <v>2475</v>
      </c>
      <c r="M1161" s="128">
        <v>628885</v>
      </c>
      <c r="N1161" s="108"/>
      <c r="O1161" s="20"/>
      <c r="P1161" s="20"/>
      <c r="Q1161" s="20"/>
    </row>
    <row r="1162" spans="1:17" ht="24.9" customHeight="1">
      <c r="A1162" s="20">
        <v>362</v>
      </c>
      <c r="B1162" s="20" t="s">
        <v>4320</v>
      </c>
      <c r="C1162" s="19">
        <v>141</v>
      </c>
      <c r="D1162" s="19" t="s">
        <v>2136</v>
      </c>
      <c r="E1162" s="19" t="str">
        <f>VLOOKUP(D1162,'لیست پرسنل'!$B$2:$E$1020,3,FALSE)</f>
        <v>مهرفام</v>
      </c>
      <c r="F1162" s="19" t="str">
        <f>VLOOKUP(D1162,'لیست پرسنل'!$B$2:$E$1020,4,FALSE)</f>
        <v>دفتر فنی سازه</v>
      </c>
      <c r="G1162" s="127" t="str">
        <f>VLOOKUP(D1162,'لیست پرسنل'!$B$2:$F$1020,2,FALSE)</f>
        <v>685</v>
      </c>
      <c r="H1162" s="151" t="s">
        <v>3381</v>
      </c>
      <c r="I1162" s="127" t="s">
        <v>2135</v>
      </c>
      <c r="J1162" s="127" t="s">
        <v>571</v>
      </c>
      <c r="K1162" s="128"/>
      <c r="L1162" s="151"/>
      <c r="M1162" s="127">
        <v>624169</v>
      </c>
      <c r="N1162" s="109"/>
      <c r="O1162" s="20"/>
      <c r="P1162" s="20"/>
      <c r="Q1162" s="20"/>
    </row>
    <row r="1163" spans="1:17" ht="24.9" customHeight="1">
      <c r="A1163" s="20">
        <v>362</v>
      </c>
      <c r="B1163" s="20" t="s">
        <v>4320</v>
      </c>
      <c r="C1163" s="19">
        <v>141</v>
      </c>
      <c r="D1163" s="19" t="s">
        <v>2136</v>
      </c>
      <c r="E1163" s="19" t="str">
        <f>VLOOKUP(D1163,'لیست پرسنل'!$B$2:$E$1020,3,FALSE)</f>
        <v>مهرفام</v>
      </c>
      <c r="F1163" s="19" t="str">
        <f>VLOOKUP(D1163,'لیست پرسنل'!$B$2:$E$1020,4,FALSE)</f>
        <v>دفتر فنی سازه</v>
      </c>
      <c r="G1163" s="127" t="str">
        <f>VLOOKUP(D1163,'لیست پرسنل'!$B$2:$F$1020,2,FALSE)</f>
        <v>685</v>
      </c>
      <c r="H1163" s="151" t="s">
        <v>3381</v>
      </c>
      <c r="I1163" s="127" t="s">
        <v>2135</v>
      </c>
      <c r="J1163" s="128" t="s">
        <v>2686</v>
      </c>
      <c r="K1163" s="128" t="s">
        <v>2922</v>
      </c>
      <c r="L1163" s="127" t="s">
        <v>2987</v>
      </c>
      <c r="M1163" s="128">
        <v>626469</v>
      </c>
      <c r="N1163" s="108"/>
      <c r="O1163" s="20" t="s">
        <v>705</v>
      </c>
      <c r="P1163" s="20"/>
      <c r="Q1163" s="20"/>
    </row>
    <row r="1164" spans="1:17" ht="24.9" customHeight="1">
      <c r="A1164" s="20">
        <v>362</v>
      </c>
      <c r="B1164" s="20" t="s">
        <v>4320</v>
      </c>
      <c r="C1164" s="19">
        <v>142</v>
      </c>
      <c r="D1164" s="19" t="s">
        <v>7003</v>
      </c>
      <c r="E1164" s="19" t="str">
        <f>VLOOKUP(D1164,'لیست پرسنل'!$B$2:$E$1020,3,FALSE)</f>
        <v>کاربین طرح</v>
      </c>
      <c r="F1164" s="19" t="str">
        <f>VLOOKUP(D1164,'لیست پرسنل'!$B$2:$E$1020,4,FALSE)</f>
        <v>ایمنی - آهک</v>
      </c>
      <c r="G1164" s="127" t="str">
        <f>VLOOKUP(D1164,'لیست پرسنل'!$B$2:$F$1020,2,FALSE)</f>
        <v>0</v>
      </c>
      <c r="H1164" s="151" t="s">
        <v>3495</v>
      </c>
      <c r="I1164" s="127" t="s">
        <v>2137</v>
      </c>
      <c r="J1164" s="126" t="s">
        <v>368</v>
      </c>
      <c r="K1164" s="128" t="s">
        <v>2846</v>
      </c>
      <c r="L1164" s="127" t="s">
        <v>2159</v>
      </c>
      <c r="M1164" s="128">
        <v>628890</v>
      </c>
      <c r="N1164" s="108"/>
      <c r="O1164" s="19"/>
      <c r="P1164" s="20"/>
      <c r="Q1164" s="20"/>
    </row>
    <row r="1165" spans="1:17" ht="24.9" customHeight="1">
      <c r="A1165" s="20">
        <v>362</v>
      </c>
      <c r="B1165" s="20" t="s">
        <v>4320</v>
      </c>
      <c r="C1165" s="19">
        <v>142</v>
      </c>
      <c r="D1165" s="19" t="s">
        <v>7003</v>
      </c>
      <c r="E1165" s="19" t="str">
        <f>VLOOKUP(D1165,'لیست پرسنل'!$B$2:$E$1020,3,FALSE)</f>
        <v>کاربین طرح</v>
      </c>
      <c r="F1165" s="19" t="str">
        <f>VLOOKUP(D1165,'لیست پرسنل'!$B$2:$E$1020,4,FALSE)</f>
        <v>ایمنی - آهک</v>
      </c>
      <c r="G1165" s="127" t="str">
        <f>VLOOKUP(D1165,'لیست پرسنل'!$B$2:$F$1020,2,FALSE)</f>
        <v>0</v>
      </c>
      <c r="H1165" s="151" t="s">
        <v>3495</v>
      </c>
      <c r="I1165" s="127" t="s">
        <v>2137</v>
      </c>
      <c r="J1165" s="127" t="s">
        <v>571</v>
      </c>
      <c r="K1165" s="128" t="s">
        <v>2054</v>
      </c>
      <c r="L1165" s="154"/>
      <c r="M1165" s="127">
        <v>603569</v>
      </c>
      <c r="N1165" s="109"/>
      <c r="O1165" s="19"/>
      <c r="P1165" s="20"/>
      <c r="Q1165" s="20"/>
    </row>
    <row r="1166" spans="1:17" ht="24.9" customHeight="1">
      <c r="A1166" s="20">
        <v>362</v>
      </c>
      <c r="B1166" s="20" t="s">
        <v>4320</v>
      </c>
      <c r="C1166" s="19">
        <v>142</v>
      </c>
      <c r="D1166" s="19" t="s">
        <v>7003</v>
      </c>
      <c r="E1166" s="19" t="str">
        <f>VLOOKUP(D1166,'لیست پرسنل'!$B$2:$E$1020,3,FALSE)</f>
        <v>کاربین طرح</v>
      </c>
      <c r="F1166" s="19" t="str">
        <f>VLOOKUP(D1166,'لیست پرسنل'!$B$2:$E$1020,4,FALSE)</f>
        <v>ایمنی - آهک</v>
      </c>
      <c r="G1166" s="127" t="str">
        <f>VLOOKUP(D1166,'لیست پرسنل'!$B$2:$F$1020,2,FALSE)</f>
        <v>0</v>
      </c>
      <c r="H1166" s="151" t="s">
        <v>3495</v>
      </c>
      <c r="I1166" s="127" t="s">
        <v>2137</v>
      </c>
      <c r="J1166" s="128" t="s">
        <v>2686</v>
      </c>
      <c r="K1166" s="128" t="s">
        <v>890</v>
      </c>
      <c r="L1166" s="151" t="s">
        <v>1258</v>
      </c>
      <c r="M1166" s="127">
        <v>607261</v>
      </c>
      <c r="N1166" s="109"/>
      <c r="O1166" s="86"/>
      <c r="P1166" s="20"/>
      <c r="Q1166" s="20"/>
    </row>
    <row r="1167" spans="1:17" ht="24.9" customHeight="1">
      <c r="A1167" s="20">
        <v>362</v>
      </c>
      <c r="B1167" s="20" t="s">
        <v>4320</v>
      </c>
      <c r="C1167" s="19">
        <v>143</v>
      </c>
      <c r="D1167" s="19" t="s">
        <v>2829</v>
      </c>
      <c r="E1167" s="19" t="str">
        <f>VLOOKUP(D1167,'لیست پرسنل'!$B$2:$E$1020,3,FALSE)</f>
        <v>فکورصنعت</v>
      </c>
      <c r="F1167" s="19" t="str">
        <f>VLOOKUP(D1167,'لیست پرسنل'!$B$2:$E$1020,4,FALSE)</f>
        <v>کنترل کیفیت</v>
      </c>
      <c r="G1167" s="127" t="str">
        <f>VLOOKUP(D1167,'لیست پرسنل'!$B$2:$F$1020,2,FALSE)</f>
        <v>4010903</v>
      </c>
      <c r="H1167" s="151" t="s">
        <v>3381</v>
      </c>
      <c r="I1167" s="127" t="s">
        <v>2176</v>
      </c>
      <c r="J1167" s="126" t="s">
        <v>368</v>
      </c>
      <c r="K1167" s="128" t="s">
        <v>2846</v>
      </c>
      <c r="L1167" s="128" t="s">
        <v>2457</v>
      </c>
      <c r="M1167" s="128">
        <v>628866</v>
      </c>
      <c r="N1167" s="108"/>
      <c r="O1167" s="19"/>
      <c r="P1167" s="20"/>
      <c r="Q1167" s="66"/>
    </row>
    <row r="1168" spans="1:17" ht="24.9" customHeight="1">
      <c r="A1168" s="20">
        <v>362</v>
      </c>
      <c r="B1168" s="20" t="s">
        <v>4320</v>
      </c>
      <c r="C1168" s="19">
        <v>143</v>
      </c>
      <c r="D1168" s="19" t="s">
        <v>2829</v>
      </c>
      <c r="E1168" s="19" t="str">
        <f>VLOOKUP(D1168,'لیست پرسنل'!$B$2:$E$1020,3,FALSE)</f>
        <v>فکورصنعت</v>
      </c>
      <c r="F1168" s="19" t="str">
        <f>VLOOKUP(D1168,'لیست پرسنل'!$B$2:$E$1020,4,FALSE)</f>
        <v>کنترل کیفیت</v>
      </c>
      <c r="G1168" s="127" t="str">
        <f>VLOOKUP(D1168,'لیست پرسنل'!$B$2:$F$1020,2,FALSE)</f>
        <v>4010903</v>
      </c>
      <c r="H1168" s="151" t="s">
        <v>3381</v>
      </c>
      <c r="I1168" s="127" t="s">
        <v>2176</v>
      </c>
      <c r="J1168" s="128" t="s">
        <v>5366</v>
      </c>
      <c r="K1168" s="128" t="s">
        <v>5546</v>
      </c>
      <c r="L1168" s="127" t="s">
        <v>5547</v>
      </c>
      <c r="M1168" s="127">
        <v>615712</v>
      </c>
      <c r="N1168" s="108"/>
      <c r="O1168" s="20"/>
      <c r="P1168" s="20"/>
      <c r="Q1168" s="20"/>
    </row>
    <row r="1169" spans="1:17" ht="24.9" customHeight="1">
      <c r="A1169" s="20">
        <v>362</v>
      </c>
      <c r="B1169" s="20" t="s">
        <v>4320</v>
      </c>
      <c r="C1169" s="19">
        <v>143</v>
      </c>
      <c r="D1169" s="19" t="s">
        <v>2829</v>
      </c>
      <c r="E1169" s="19" t="str">
        <f>VLOOKUP(D1169,'لیست پرسنل'!$B$2:$E$1020,3,FALSE)</f>
        <v>فکورصنعت</v>
      </c>
      <c r="F1169" s="19" t="str">
        <f>VLOOKUP(D1169,'لیست پرسنل'!$B$2:$E$1020,4,FALSE)</f>
        <v>کنترل کیفیت</v>
      </c>
      <c r="G1169" s="127" t="str">
        <f>VLOOKUP(D1169,'لیست پرسنل'!$B$2:$F$1020,2,FALSE)</f>
        <v>4010903</v>
      </c>
      <c r="H1169" s="151" t="s">
        <v>3381</v>
      </c>
      <c r="I1169" s="127" t="s">
        <v>2176</v>
      </c>
      <c r="J1169" s="127" t="s">
        <v>571</v>
      </c>
      <c r="K1169" s="128"/>
      <c r="L1169" s="151"/>
      <c r="M1169" s="127">
        <v>627714</v>
      </c>
      <c r="N1169" s="109"/>
      <c r="O1169" s="19"/>
      <c r="P1169" s="20"/>
      <c r="Q1169" s="20"/>
    </row>
    <row r="1170" spans="1:17" ht="24.9" customHeight="1">
      <c r="A1170" s="20">
        <v>362</v>
      </c>
      <c r="B1170" s="20" t="s">
        <v>4320</v>
      </c>
      <c r="C1170" s="19">
        <v>143</v>
      </c>
      <c r="D1170" s="19" t="s">
        <v>2829</v>
      </c>
      <c r="E1170" s="19" t="str">
        <f>VLOOKUP(D1170,'لیست پرسنل'!$B$2:$E$1020,3,FALSE)</f>
        <v>فکورصنعت</v>
      </c>
      <c r="F1170" s="19" t="str">
        <f>VLOOKUP(D1170,'لیست پرسنل'!$B$2:$E$1020,4,FALSE)</f>
        <v>کنترل کیفیت</v>
      </c>
      <c r="G1170" s="127" t="str">
        <f>VLOOKUP(D1170,'لیست پرسنل'!$B$2:$F$1020,2,FALSE)</f>
        <v>4010903</v>
      </c>
      <c r="H1170" s="151" t="s">
        <v>3381</v>
      </c>
      <c r="I1170" s="127" t="s">
        <v>2176</v>
      </c>
      <c r="J1170" s="128" t="s">
        <v>2686</v>
      </c>
      <c r="K1170" s="128" t="s">
        <v>2922</v>
      </c>
      <c r="L1170" s="151" t="s">
        <v>3013</v>
      </c>
      <c r="M1170" s="127">
        <v>626496</v>
      </c>
      <c r="N1170" s="109"/>
      <c r="O1170" s="86"/>
      <c r="P1170" s="20"/>
      <c r="Q1170" s="20"/>
    </row>
    <row r="1171" spans="1:17" ht="24.9" customHeight="1">
      <c r="A1171" s="20">
        <v>362</v>
      </c>
      <c r="B1171" s="20" t="s">
        <v>4320</v>
      </c>
      <c r="C1171" s="19">
        <v>144</v>
      </c>
      <c r="D1171" s="19" t="s">
        <v>2653</v>
      </c>
      <c r="E1171" s="19" t="str">
        <f>VLOOKUP(D1171,'لیست پرسنل'!$B$2:$E$1020,3,FALSE)</f>
        <v>گهر کوشان سپهر</v>
      </c>
      <c r="F1171" s="19" t="str">
        <f>VLOOKUP(D1171,'لیست پرسنل'!$B$2:$E$1020,4,FALSE)</f>
        <v>اداری</v>
      </c>
      <c r="G1171" s="127" t="str">
        <f>VLOOKUP(D1171,'لیست پرسنل'!$B$2:$F$1020,2,FALSE)</f>
        <v>20566</v>
      </c>
      <c r="H1171" s="151" t="s">
        <v>3381</v>
      </c>
      <c r="I1171" s="127" t="s">
        <v>2654</v>
      </c>
      <c r="J1171" s="126" t="s">
        <v>368</v>
      </c>
      <c r="K1171" s="128" t="s">
        <v>2846</v>
      </c>
      <c r="L1171" s="128" t="s">
        <v>2456</v>
      </c>
      <c r="M1171" s="128">
        <v>628865</v>
      </c>
      <c r="N1171" s="108"/>
      <c r="O1171" s="20"/>
      <c r="P1171" s="20"/>
      <c r="Q1171" s="20"/>
    </row>
    <row r="1172" spans="1:17" ht="24.9" customHeight="1">
      <c r="A1172" s="20">
        <v>362</v>
      </c>
      <c r="B1172" s="20" t="s">
        <v>4320</v>
      </c>
      <c r="C1172" s="19">
        <v>144</v>
      </c>
      <c r="D1172" s="19" t="s">
        <v>2653</v>
      </c>
      <c r="E1172" s="19" t="str">
        <f>VLOOKUP(D1172,'لیست پرسنل'!$B$2:$E$1020,3,FALSE)</f>
        <v>گهر کوشان سپهر</v>
      </c>
      <c r="F1172" s="19" t="str">
        <f>VLOOKUP(D1172,'لیست پرسنل'!$B$2:$E$1020,4,FALSE)</f>
        <v>اداری</v>
      </c>
      <c r="G1172" s="127" t="str">
        <f>VLOOKUP(D1172,'لیست پرسنل'!$B$2:$F$1020,2,FALSE)</f>
        <v>20566</v>
      </c>
      <c r="H1172" s="151" t="s">
        <v>3381</v>
      </c>
      <c r="I1172" s="127" t="s">
        <v>2654</v>
      </c>
      <c r="J1172" s="127" t="s">
        <v>571</v>
      </c>
      <c r="K1172" s="128" t="s">
        <v>5265</v>
      </c>
      <c r="L1172" s="151"/>
      <c r="M1172" s="127">
        <v>622525</v>
      </c>
      <c r="N1172" s="109"/>
      <c r="O1172" s="20" t="s">
        <v>5301</v>
      </c>
      <c r="P1172" s="20"/>
      <c r="Q1172" s="20"/>
    </row>
    <row r="1173" spans="1:17" ht="24.9" customHeight="1">
      <c r="A1173" s="20">
        <v>362</v>
      </c>
      <c r="B1173" s="20" t="s">
        <v>4320</v>
      </c>
      <c r="C1173" s="19">
        <v>144</v>
      </c>
      <c r="D1173" s="19" t="s">
        <v>2653</v>
      </c>
      <c r="E1173" s="19" t="str">
        <f>VLOOKUP(D1173,'لیست پرسنل'!$B$2:$E$1020,3,FALSE)</f>
        <v>گهر کوشان سپهر</v>
      </c>
      <c r="F1173" s="19" t="str">
        <f>VLOOKUP(D1173,'لیست پرسنل'!$B$2:$E$1020,4,FALSE)</f>
        <v>اداری</v>
      </c>
      <c r="G1173" s="127" t="str">
        <f>VLOOKUP(D1173,'لیست پرسنل'!$B$2:$F$1020,2,FALSE)</f>
        <v>20566</v>
      </c>
      <c r="H1173" s="151" t="s">
        <v>3381</v>
      </c>
      <c r="I1173" s="127" t="s">
        <v>2654</v>
      </c>
      <c r="J1173" s="128" t="s">
        <v>2686</v>
      </c>
      <c r="K1173" s="128" t="s">
        <v>2143</v>
      </c>
      <c r="L1173" s="127" t="s">
        <v>2265</v>
      </c>
      <c r="M1173" s="127">
        <v>628656</v>
      </c>
      <c r="N1173" s="108"/>
      <c r="O1173" s="20" t="s">
        <v>705</v>
      </c>
      <c r="P1173" s="20"/>
      <c r="Q1173" s="20"/>
    </row>
    <row r="1174" spans="1:17" ht="24.9" customHeight="1">
      <c r="A1174" s="185">
        <v>362</v>
      </c>
      <c r="B1174" s="185" t="s">
        <v>4320</v>
      </c>
      <c r="C1174" s="186">
        <v>145</v>
      </c>
      <c r="D1174" s="208" t="s">
        <v>3445</v>
      </c>
      <c r="E1174" s="186" t="str">
        <f>VLOOKUP(D1174,'لیست پرسنل'!$B$2:$E$1020,3,FALSE)</f>
        <v>مهرفام</v>
      </c>
      <c r="F1174" s="186" t="str">
        <f>VLOOKUP(D1174,'لیست پرسنل'!$B$2:$E$1020,4,FALSE)</f>
        <v>کنترل کیفیت</v>
      </c>
      <c r="G1174" s="187" t="str">
        <f>VLOOKUP(D1174,'لیست پرسنل'!$B$2:$F$1020,2,FALSE)</f>
        <v>100562</v>
      </c>
      <c r="H1174" s="206" t="s">
        <v>3381</v>
      </c>
      <c r="I1174" s="190" t="s">
        <v>3122</v>
      </c>
      <c r="J1174" s="188" t="s">
        <v>737</v>
      </c>
      <c r="K1174" s="188" t="s">
        <v>5220</v>
      </c>
      <c r="L1174" s="187" t="s">
        <v>5217</v>
      </c>
      <c r="M1174" s="194">
        <v>625045</v>
      </c>
      <c r="N1174" s="198"/>
      <c r="O1174" s="185"/>
      <c r="P1174" s="185"/>
      <c r="Q1174" s="185"/>
    </row>
    <row r="1175" spans="1:17" ht="24.9" customHeight="1">
      <c r="A1175" s="20">
        <v>362</v>
      </c>
      <c r="B1175" s="20" t="s">
        <v>4320</v>
      </c>
      <c r="C1175" s="19">
        <v>145</v>
      </c>
      <c r="D1175" s="19" t="s">
        <v>3445</v>
      </c>
      <c r="E1175" s="19" t="str">
        <f>VLOOKUP(D1175,'لیست پرسنل'!$B$2:$E$1020,3,FALSE)</f>
        <v>مهرفام</v>
      </c>
      <c r="F1175" s="19" t="str">
        <f>VLOOKUP(D1175,'لیست پرسنل'!$B$2:$E$1020,4,FALSE)</f>
        <v>کنترل کیفیت</v>
      </c>
      <c r="G1175" s="127" t="str">
        <f>VLOOKUP(D1175,'لیست پرسنل'!$B$2:$F$1020,2,FALSE)</f>
        <v>100562</v>
      </c>
      <c r="H1175" s="151" t="s">
        <v>3381</v>
      </c>
      <c r="I1175" s="127" t="s">
        <v>3122</v>
      </c>
      <c r="J1175" s="126" t="s">
        <v>368</v>
      </c>
      <c r="K1175" s="128" t="s">
        <v>2846</v>
      </c>
      <c r="L1175" s="127" t="s">
        <v>2346</v>
      </c>
      <c r="M1175" s="128">
        <v>628752</v>
      </c>
      <c r="N1175" s="108"/>
      <c r="O1175" s="19"/>
      <c r="P1175" s="20"/>
      <c r="Q1175" s="20"/>
    </row>
    <row r="1176" spans="1:17" ht="24.9" customHeight="1">
      <c r="A1176" s="20">
        <v>362</v>
      </c>
      <c r="B1176" s="20" t="s">
        <v>4320</v>
      </c>
      <c r="C1176" s="19">
        <v>145</v>
      </c>
      <c r="D1176" s="19" t="s">
        <v>3445</v>
      </c>
      <c r="E1176" s="19" t="str">
        <f>VLOOKUP(D1176,'لیست پرسنل'!$B$2:$E$1020,3,FALSE)</f>
        <v>مهرفام</v>
      </c>
      <c r="F1176" s="19" t="str">
        <f>VLOOKUP(D1176,'لیست پرسنل'!$B$2:$E$1020,4,FALSE)</f>
        <v>کنترل کیفیت</v>
      </c>
      <c r="G1176" s="127" t="str">
        <f>VLOOKUP(D1176,'لیست پرسنل'!$B$2:$F$1020,2,FALSE)</f>
        <v>100562</v>
      </c>
      <c r="H1176" s="151" t="s">
        <v>3381</v>
      </c>
      <c r="I1176" s="127" t="s">
        <v>3122</v>
      </c>
      <c r="J1176" s="127" t="s">
        <v>571</v>
      </c>
      <c r="K1176" s="128"/>
      <c r="L1176" s="151"/>
      <c r="M1176" s="127">
        <v>627730</v>
      </c>
      <c r="N1176" s="109"/>
      <c r="O1176" s="19"/>
      <c r="P1176" s="20"/>
      <c r="Q1176" s="20"/>
    </row>
    <row r="1177" spans="1:17" ht="24.9" customHeight="1">
      <c r="A1177" s="20">
        <v>362</v>
      </c>
      <c r="B1177" s="20" t="s">
        <v>4320</v>
      </c>
      <c r="C1177" s="19">
        <v>145</v>
      </c>
      <c r="D1177" s="19" t="s">
        <v>3445</v>
      </c>
      <c r="E1177" s="19" t="str">
        <f>VLOOKUP(D1177,'لیست پرسنل'!$B$2:$E$1020,3,FALSE)</f>
        <v>مهرفام</v>
      </c>
      <c r="F1177" s="19" t="str">
        <f>VLOOKUP(D1177,'لیست پرسنل'!$B$2:$E$1020,4,FALSE)</f>
        <v>کنترل کیفیت</v>
      </c>
      <c r="G1177" s="127" t="str">
        <f>VLOOKUP(D1177,'لیست پرسنل'!$B$2:$F$1020,2,FALSE)</f>
        <v>100562</v>
      </c>
      <c r="H1177" s="151" t="s">
        <v>3381</v>
      </c>
      <c r="I1177" s="127" t="s">
        <v>3122</v>
      </c>
      <c r="J1177" s="128" t="s">
        <v>2686</v>
      </c>
      <c r="K1177" s="128" t="s">
        <v>2922</v>
      </c>
      <c r="L1177" s="127" t="s">
        <v>3029</v>
      </c>
      <c r="M1177" s="128">
        <v>626512</v>
      </c>
      <c r="N1177" s="108"/>
      <c r="O1177" s="20" t="s">
        <v>705</v>
      </c>
      <c r="P1177" s="20"/>
      <c r="Q1177" s="20"/>
    </row>
    <row r="1178" spans="1:17" ht="24.9" customHeight="1">
      <c r="A1178" s="20">
        <v>362</v>
      </c>
      <c r="B1178" s="20" t="s">
        <v>4320</v>
      </c>
      <c r="C1178" s="19">
        <v>146</v>
      </c>
      <c r="D1178" s="19" t="s">
        <v>3446</v>
      </c>
      <c r="E1178" s="19" t="str">
        <f>VLOOKUP(D1178,'لیست پرسنل'!$B$2:$E$1020,3,FALSE)</f>
        <v>گهر کوشان سپهر</v>
      </c>
      <c r="F1178" s="19" t="str">
        <f>VLOOKUP(D1178,'لیست پرسنل'!$B$2:$E$1020,4,FALSE)</f>
        <v>برق</v>
      </c>
      <c r="G1178" s="127" t="str">
        <f>VLOOKUP(D1178,'لیست پرسنل'!$B$2:$F$1020,2,FALSE)</f>
        <v>20575</v>
      </c>
      <c r="H1178" s="151" t="s">
        <v>3381</v>
      </c>
      <c r="I1178" s="127" t="s">
        <v>3125</v>
      </c>
      <c r="J1178" s="127" t="s">
        <v>3383</v>
      </c>
      <c r="K1178" s="128" t="s">
        <v>1583</v>
      </c>
      <c r="L1178" s="150" t="s">
        <v>1584</v>
      </c>
      <c r="M1178" s="127">
        <v>625130</v>
      </c>
      <c r="N1178" s="109"/>
      <c r="O1178" s="19"/>
      <c r="P1178" s="20"/>
      <c r="Q1178" s="20"/>
    </row>
    <row r="1179" spans="1:17" ht="24.9" customHeight="1">
      <c r="A1179" s="20">
        <v>362</v>
      </c>
      <c r="B1179" s="20" t="s">
        <v>4320</v>
      </c>
      <c r="C1179" s="19">
        <v>146</v>
      </c>
      <c r="D1179" s="19" t="s">
        <v>3446</v>
      </c>
      <c r="E1179" s="19" t="str">
        <f>VLOOKUP(D1179,'لیست پرسنل'!$B$2:$E$1020,3,FALSE)</f>
        <v>گهر کوشان سپهر</v>
      </c>
      <c r="F1179" s="19" t="str">
        <f>VLOOKUP(D1179,'لیست پرسنل'!$B$2:$E$1020,4,FALSE)</f>
        <v>برق</v>
      </c>
      <c r="G1179" s="127" t="str">
        <f>VLOOKUP(D1179,'لیست پرسنل'!$B$2:$F$1020,2,FALSE)</f>
        <v>20575</v>
      </c>
      <c r="H1179" s="151" t="s">
        <v>3381</v>
      </c>
      <c r="I1179" s="127" t="s">
        <v>3125</v>
      </c>
      <c r="J1179" s="126" t="s">
        <v>368</v>
      </c>
      <c r="K1179" s="128" t="s">
        <v>2846</v>
      </c>
      <c r="L1179" s="127" t="s">
        <v>2350</v>
      </c>
      <c r="M1179" s="128">
        <v>628756</v>
      </c>
      <c r="N1179" s="108"/>
      <c r="O1179" s="19"/>
      <c r="P1179" s="20"/>
      <c r="Q1179" s="20"/>
    </row>
    <row r="1180" spans="1:17" ht="24.9" customHeight="1">
      <c r="A1180" s="20">
        <v>362</v>
      </c>
      <c r="B1180" s="20" t="s">
        <v>4320</v>
      </c>
      <c r="C1180" s="19">
        <v>146</v>
      </c>
      <c r="D1180" s="19" t="s">
        <v>3446</v>
      </c>
      <c r="E1180" s="19" t="str">
        <f>VLOOKUP(D1180,'لیست پرسنل'!$B$2:$E$1020,3,FALSE)</f>
        <v>گهر کوشان سپهر</v>
      </c>
      <c r="F1180" s="19" t="str">
        <f>VLOOKUP(D1180,'لیست پرسنل'!$B$2:$E$1020,4,FALSE)</f>
        <v>برق</v>
      </c>
      <c r="G1180" s="127" t="str">
        <f>VLOOKUP(D1180,'لیست پرسنل'!$B$2:$F$1020,2,FALSE)</f>
        <v>20575</v>
      </c>
      <c r="H1180" s="151" t="s">
        <v>3381</v>
      </c>
      <c r="I1180" s="127" t="s">
        <v>3125</v>
      </c>
      <c r="J1180" s="127" t="s">
        <v>571</v>
      </c>
      <c r="K1180" s="128"/>
      <c r="L1180" s="154"/>
      <c r="M1180" s="127">
        <v>627708</v>
      </c>
      <c r="N1180" s="109"/>
      <c r="O1180" s="19"/>
      <c r="P1180" s="20"/>
      <c r="Q1180" s="20"/>
    </row>
    <row r="1181" spans="1:17" ht="24.9" customHeight="1">
      <c r="A1181" s="20">
        <v>362</v>
      </c>
      <c r="B1181" s="20" t="s">
        <v>4320</v>
      </c>
      <c r="C1181" s="19">
        <v>146</v>
      </c>
      <c r="D1181" s="19" t="s">
        <v>3446</v>
      </c>
      <c r="E1181" s="19" t="str">
        <f>VLOOKUP(D1181,'لیست پرسنل'!$B$2:$E$1020,3,FALSE)</f>
        <v>گهر کوشان سپهر</v>
      </c>
      <c r="F1181" s="19" t="str">
        <f>VLOOKUP(D1181,'لیست پرسنل'!$B$2:$E$1020,4,FALSE)</f>
        <v>برق</v>
      </c>
      <c r="G1181" s="127" t="str">
        <f>VLOOKUP(D1181,'لیست پرسنل'!$B$2:$F$1020,2,FALSE)</f>
        <v>20575</v>
      </c>
      <c r="H1181" s="151" t="s">
        <v>3381</v>
      </c>
      <c r="I1181" s="127" t="s">
        <v>3125</v>
      </c>
      <c r="J1181" s="128" t="s">
        <v>2686</v>
      </c>
      <c r="K1181" s="128" t="s">
        <v>2922</v>
      </c>
      <c r="L1181" s="127" t="s">
        <v>3081</v>
      </c>
      <c r="M1181" s="128">
        <v>626565</v>
      </c>
      <c r="N1181" s="108"/>
      <c r="O1181" s="20" t="s">
        <v>705</v>
      </c>
      <c r="P1181" s="20"/>
      <c r="Q1181" s="20"/>
    </row>
    <row r="1182" spans="1:17" ht="24.9" customHeight="1">
      <c r="A1182" s="20">
        <v>362</v>
      </c>
      <c r="B1182" s="20" t="s">
        <v>4320</v>
      </c>
      <c r="C1182" s="19">
        <v>149</v>
      </c>
      <c r="D1182" s="19" t="s">
        <v>7507</v>
      </c>
      <c r="E1182" s="19" t="str">
        <f>VLOOKUP(D1182,'لیست پرسنل'!$B$2:$E$1020,3,FALSE)</f>
        <v>نگین تیان</v>
      </c>
      <c r="F1182" s="19" t="str">
        <f>VLOOKUP(D1182,'لیست پرسنل'!$B$2:$E$1020,4,FALSE)</f>
        <v>برنامه آلمیلا</v>
      </c>
      <c r="G1182" s="127">
        <f>VLOOKUP(D1182,'لیست پرسنل'!$B$2:$F$1020,2,FALSE)</f>
        <v>0</v>
      </c>
      <c r="H1182" s="151" t="s">
        <v>3381</v>
      </c>
      <c r="I1182" s="127" t="s">
        <v>7508</v>
      </c>
      <c r="J1182" s="127" t="s">
        <v>571</v>
      </c>
      <c r="K1182" s="128"/>
      <c r="L1182" s="156"/>
      <c r="M1182" s="127">
        <v>607671</v>
      </c>
      <c r="N1182" s="109" t="s">
        <v>7511</v>
      </c>
      <c r="O1182" s="19"/>
      <c r="P1182" s="20"/>
      <c r="Q1182" s="20"/>
    </row>
    <row r="1183" spans="1:17" ht="24.9" customHeight="1">
      <c r="A1183" s="20">
        <v>362</v>
      </c>
      <c r="B1183" s="20" t="s">
        <v>4320</v>
      </c>
      <c r="C1183" s="19">
        <v>151</v>
      </c>
      <c r="D1183" s="19" t="s">
        <v>3450</v>
      </c>
      <c r="E1183" s="19" t="str">
        <f>VLOOKUP(D1183,'لیست پرسنل'!$B$2:$E$1020,3,FALSE)</f>
        <v>کاربین طرح</v>
      </c>
      <c r="F1183" s="19" t="str">
        <f>VLOOKUP(D1183,'لیست پرسنل'!$B$2:$E$1020,4,FALSE)</f>
        <v>ایمنی</v>
      </c>
      <c r="G1183" s="127" t="str">
        <f>VLOOKUP(D1183,'لیست پرسنل'!$B$2:$F$1020,2,FALSE)</f>
        <v>100558</v>
      </c>
      <c r="H1183" s="126" t="s">
        <v>3381</v>
      </c>
      <c r="I1183" s="128" t="s">
        <v>3293</v>
      </c>
      <c r="J1183" s="126" t="s">
        <v>368</v>
      </c>
      <c r="K1183" s="135" t="s">
        <v>8248</v>
      </c>
      <c r="L1183" s="127" t="s">
        <v>2520</v>
      </c>
      <c r="M1183" s="128">
        <v>628932</v>
      </c>
      <c r="N1183" s="108"/>
      <c r="O1183" s="20" t="s">
        <v>705</v>
      </c>
      <c r="P1183" s="20"/>
      <c r="Q1183" s="20"/>
    </row>
    <row r="1184" spans="1:17" ht="24.9" customHeight="1">
      <c r="A1184" s="20">
        <v>362</v>
      </c>
      <c r="B1184" s="20" t="s">
        <v>4320</v>
      </c>
      <c r="C1184" s="19">
        <v>151</v>
      </c>
      <c r="D1184" s="19" t="s">
        <v>3450</v>
      </c>
      <c r="E1184" s="19" t="str">
        <f>VLOOKUP(D1184,'لیست پرسنل'!$B$2:$E$1020,3,FALSE)</f>
        <v>کاربین طرح</v>
      </c>
      <c r="F1184" s="19" t="str">
        <f>VLOOKUP(D1184,'لیست پرسنل'!$B$2:$E$1020,4,FALSE)</f>
        <v>ایمنی</v>
      </c>
      <c r="G1184" s="127" t="str">
        <f>VLOOKUP(D1184,'لیست پرسنل'!$B$2:$F$1020,2,FALSE)</f>
        <v>100558</v>
      </c>
      <c r="H1184" s="126" t="s">
        <v>3381</v>
      </c>
      <c r="I1184" s="128" t="s">
        <v>3293</v>
      </c>
      <c r="J1184" s="141" t="s">
        <v>571</v>
      </c>
      <c r="K1184" s="128" t="s">
        <v>5320</v>
      </c>
      <c r="L1184" s="128"/>
      <c r="M1184" s="132">
        <v>631496</v>
      </c>
      <c r="N1184" s="108"/>
      <c r="O1184" s="19"/>
      <c r="P1184" s="20"/>
      <c r="Q1184" s="20"/>
    </row>
    <row r="1185" spans="1:17" ht="24.9" customHeight="1">
      <c r="A1185" s="20">
        <v>362</v>
      </c>
      <c r="B1185" s="20" t="s">
        <v>4320</v>
      </c>
      <c r="C1185" s="19">
        <v>151</v>
      </c>
      <c r="D1185" s="19" t="s">
        <v>3450</v>
      </c>
      <c r="E1185" s="19" t="str">
        <f>VLOOKUP(D1185,'لیست پرسنل'!$B$2:$E$1020,3,FALSE)</f>
        <v>کاربین طرح</v>
      </c>
      <c r="F1185" s="19" t="str">
        <f>VLOOKUP(D1185,'لیست پرسنل'!$B$2:$E$1020,4,FALSE)</f>
        <v>ایمنی</v>
      </c>
      <c r="G1185" s="127" t="str">
        <f>VLOOKUP(D1185,'لیست پرسنل'!$B$2:$F$1020,2,FALSE)</f>
        <v>100558</v>
      </c>
      <c r="H1185" s="126" t="s">
        <v>3381</v>
      </c>
      <c r="I1185" s="128" t="s">
        <v>3293</v>
      </c>
      <c r="J1185" s="128" t="s">
        <v>2686</v>
      </c>
      <c r="K1185" s="128" t="s">
        <v>2143</v>
      </c>
      <c r="L1185" s="127" t="s">
        <v>2240</v>
      </c>
      <c r="M1185" s="127">
        <v>628631</v>
      </c>
      <c r="N1185" s="108"/>
      <c r="O1185" s="20" t="s">
        <v>705</v>
      </c>
      <c r="P1185" s="20"/>
      <c r="Q1185" s="20"/>
    </row>
    <row r="1186" spans="1:17" ht="24.9" customHeight="1">
      <c r="A1186" s="20">
        <v>362</v>
      </c>
      <c r="B1186" s="20" t="s">
        <v>4320</v>
      </c>
      <c r="C1186" s="19">
        <v>152</v>
      </c>
      <c r="D1186" s="19" t="s">
        <v>3371</v>
      </c>
      <c r="E1186" s="19" t="str">
        <f>VLOOKUP(D1186,'لیست پرسنل'!$B$2:$E$1020,3,FALSE)</f>
        <v>مهرفام</v>
      </c>
      <c r="F1186" s="19" t="str">
        <f>VLOOKUP(D1186,'لیست پرسنل'!$B$2:$E$1020,4,FALSE)</f>
        <v>کنترل کیفیت</v>
      </c>
      <c r="G1186" s="127">
        <f>VLOOKUP(D1186,'لیست پرسنل'!$B$2:$F$1020,2,FALSE)</f>
        <v>0</v>
      </c>
      <c r="H1186" s="151" t="s">
        <v>3381</v>
      </c>
      <c r="I1186" s="127" t="s">
        <v>3294</v>
      </c>
      <c r="J1186" s="127" t="s">
        <v>571</v>
      </c>
      <c r="K1186" s="128" t="s">
        <v>2219</v>
      </c>
      <c r="L1186" s="151"/>
      <c r="M1186" s="127">
        <v>627723</v>
      </c>
      <c r="N1186" s="109"/>
      <c r="O1186" s="19"/>
      <c r="P1186" s="20"/>
      <c r="Q1186" s="20"/>
    </row>
    <row r="1187" spans="1:17" ht="24.9" customHeight="1">
      <c r="A1187" s="20">
        <v>362</v>
      </c>
      <c r="B1187" s="20" t="s">
        <v>4320</v>
      </c>
      <c r="C1187" s="19">
        <v>152</v>
      </c>
      <c r="D1187" s="19" t="s">
        <v>3371</v>
      </c>
      <c r="E1187" s="19" t="str">
        <f>VLOOKUP(D1187,'لیست پرسنل'!$B$2:$E$1020,3,FALSE)</f>
        <v>مهرفام</v>
      </c>
      <c r="F1187" s="19" t="str">
        <f>VLOOKUP(D1187,'لیست پرسنل'!$B$2:$E$1020,4,FALSE)</f>
        <v>کنترل کیفیت</v>
      </c>
      <c r="G1187" s="127">
        <f>VLOOKUP(D1187,'لیست پرسنل'!$B$2:$F$1020,2,FALSE)</f>
        <v>0</v>
      </c>
      <c r="H1187" s="151" t="s">
        <v>3381</v>
      </c>
      <c r="I1187" s="127" t="s">
        <v>3294</v>
      </c>
      <c r="J1187" s="128" t="s">
        <v>2686</v>
      </c>
      <c r="K1187" s="128" t="s">
        <v>744</v>
      </c>
      <c r="L1187" s="151" t="s">
        <v>1158</v>
      </c>
      <c r="M1187" s="127">
        <v>605441</v>
      </c>
      <c r="N1187" s="109"/>
      <c r="O1187" s="19"/>
      <c r="P1187" s="20"/>
      <c r="Q1187" s="20"/>
    </row>
    <row r="1188" spans="1:17" ht="24.9" customHeight="1">
      <c r="A1188" s="20">
        <v>362</v>
      </c>
      <c r="B1188" s="20" t="s">
        <v>4320</v>
      </c>
      <c r="C1188" s="19">
        <v>153</v>
      </c>
      <c r="D1188" s="19" t="s">
        <v>3373</v>
      </c>
      <c r="E1188" s="19" t="str">
        <f>VLOOKUP(D1188,'لیست پرسنل'!$B$2:$E$1020,3,FALSE)</f>
        <v>مهرفام</v>
      </c>
      <c r="F1188" s="19" t="str">
        <f>VLOOKUP(D1188,'لیست پرسنل'!$B$2:$E$1020,4,FALSE)</f>
        <v xml:space="preserve">دفتر فنی مکانیک </v>
      </c>
      <c r="G1188" s="127" t="str">
        <f>VLOOKUP(D1188,'لیست پرسنل'!$B$2:$F$1020,2,FALSE)</f>
        <v>100563</v>
      </c>
      <c r="H1188" s="151" t="s">
        <v>3381</v>
      </c>
      <c r="I1188" s="127" t="s">
        <v>3372</v>
      </c>
      <c r="J1188" s="126" t="s">
        <v>368</v>
      </c>
      <c r="K1188" s="128" t="s">
        <v>2846</v>
      </c>
      <c r="L1188" s="127" t="s">
        <v>3690</v>
      </c>
      <c r="M1188" s="127">
        <v>628697</v>
      </c>
      <c r="N1188" s="109"/>
      <c r="O1188" s="19"/>
      <c r="P1188" s="20"/>
      <c r="Q1188" s="20"/>
    </row>
    <row r="1189" spans="1:17" ht="24.9" customHeight="1">
      <c r="A1189" s="20">
        <v>362</v>
      </c>
      <c r="B1189" s="20" t="s">
        <v>4320</v>
      </c>
      <c r="C1189" s="19">
        <v>153</v>
      </c>
      <c r="D1189" s="19" t="s">
        <v>3373</v>
      </c>
      <c r="E1189" s="19" t="str">
        <f>VLOOKUP(D1189,'لیست پرسنل'!$B$2:$E$1020,3,FALSE)</f>
        <v>مهرفام</v>
      </c>
      <c r="F1189" s="19" t="str">
        <f>VLOOKUP(D1189,'لیست پرسنل'!$B$2:$E$1020,4,FALSE)</f>
        <v xml:space="preserve">دفتر فنی مکانیک </v>
      </c>
      <c r="G1189" s="127" t="str">
        <f>VLOOKUP(D1189,'لیست پرسنل'!$B$2:$F$1020,2,FALSE)</f>
        <v>100563</v>
      </c>
      <c r="H1189" s="151" t="s">
        <v>3381</v>
      </c>
      <c r="I1189" s="127" t="s">
        <v>3372</v>
      </c>
      <c r="J1189" s="127" t="s">
        <v>571</v>
      </c>
      <c r="K1189" s="128" t="s">
        <v>3691</v>
      </c>
      <c r="L1189" s="151"/>
      <c r="M1189" s="127">
        <v>628123</v>
      </c>
      <c r="N1189" s="109"/>
      <c r="O1189" s="19"/>
      <c r="P1189" s="20"/>
      <c r="Q1189" s="20"/>
    </row>
    <row r="1190" spans="1:17" ht="24.9" customHeight="1">
      <c r="A1190" s="20">
        <v>362</v>
      </c>
      <c r="B1190" s="20" t="s">
        <v>4320</v>
      </c>
      <c r="C1190" s="19">
        <v>153</v>
      </c>
      <c r="D1190" s="19" t="s">
        <v>3373</v>
      </c>
      <c r="E1190" s="19" t="str">
        <f>VLOOKUP(D1190,'لیست پرسنل'!$B$2:$E$1020,3,FALSE)</f>
        <v>مهرفام</v>
      </c>
      <c r="F1190" s="19" t="str">
        <f>VLOOKUP(D1190,'لیست پرسنل'!$B$2:$E$1020,4,FALSE)</f>
        <v xml:space="preserve">دفتر فنی مکانیک </v>
      </c>
      <c r="G1190" s="127" t="str">
        <f>VLOOKUP(D1190,'لیست پرسنل'!$B$2:$F$1020,2,FALSE)</f>
        <v>100563</v>
      </c>
      <c r="H1190" s="151" t="s">
        <v>3381</v>
      </c>
      <c r="I1190" s="127" t="s">
        <v>3372</v>
      </c>
      <c r="J1190" s="128" t="s">
        <v>2686</v>
      </c>
      <c r="K1190" s="128" t="s">
        <v>2922</v>
      </c>
      <c r="L1190" s="127" t="s">
        <v>3087</v>
      </c>
      <c r="M1190" s="128">
        <v>626571</v>
      </c>
      <c r="N1190" s="108"/>
      <c r="O1190" s="20" t="s">
        <v>705</v>
      </c>
      <c r="P1190" s="20"/>
      <c r="Q1190" s="20"/>
    </row>
    <row r="1191" spans="1:17" ht="24.9" customHeight="1">
      <c r="A1191" s="20">
        <v>362</v>
      </c>
      <c r="B1191" s="20" t="s">
        <v>4320</v>
      </c>
      <c r="C1191" s="19">
        <v>154</v>
      </c>
      <c r="D1191" s="19" t="s">
        <v>3781</v>
      </c>
      <c r="E1191" s="19" t="str">
        <f>VLOOKUP(D1191,'لیست پرسنل'!$B$2:$E$1020,3,FALSE)</f>
        <v>مهرفام</v>
      </c>
      <c r="F1191" s="19" t="str">
        <f>VLOOKUP(D1191,'لیست پرسنل'!$B$2:$E$1020,4,FALSE)</f>
        <v>DCC</v>
      </c>
      <c r="G1191" s="127" t="str">
        <f>VLOOKUP(D1191,'لیست پرسنل'!$B$2:$F$1020,2,FALSE)</f>
        <v>0</v>
      </c>
      <c r="H1191" s="151" t="s">
        <v>3381</v>
      </c>
      <c r="I1191" s="127" t="s">
        <v>3777</v>
      </c>
      <c r="J1191" s="127" t="s">
        <v>3383</v>
      </c>
      <c r="K1191" s="128" t="s">
        <v>5917</v>
      </c>
      <c r="L1191" s="128" t="s">
        <v>5915</v>
      </c>
      <c r="M1191" s="132">
        <v>632437</v>
      </c>
      <c r="N1191" s="111"/>
      <c r="O1191" s="19"/>
      <c r="P1191" s="20"/>
      <c r="Q1191" s="20"/>
    </row>
    <row r="1192" spans="1:17" ht="24.9" customHeight="1">
      <c r="A1192" s="20">
        <v>362</v>
      </c>
      <c r="B1192" s="20" t="s">
        <v>4320</v>
      </c>
      <c r="C1192" s="19">
        <v>154</v>
      </c>
      <c r="D1192" s="19" t="s">
        <v>3781</v>
      </c>
      <c r="E1192" s="19" t="str">
        <f>VLOOKUP(D1192,'لیست پرسنل'!$B$2:$E$1020,3,FALSE)</f>
        <v>مهرفام</v>
      </c>
      <c r="F1192" s="19" t="str">
        <f>VLOOKUP(D1192,'لیست پرسنل'!$B$2:$E$1020,4,FALSE)</f>
        <v>DCC</v>
      </c>
      <c r="G1192" s="127" t="str">
        <f>VLOOKUP(D1192,'لیست پرسنل'!$B$2:$F$1020,2,FALSE)</f>
        <v>0</v>
      </c>
      <c r="H1192" s="151" t="s">
        <v>3381</v>
      </c>
      <c r="I1192" s="127" t="s">
        <v>3777</v>
      </c>
      <c r="J1192" s="128" t="s">
        <v>3383</v>
      </c>
      <c r="K1192" s="128" t="s">
        <v>6610</v>
      </c>
      <c r="L1192" s="128"/>
      <c r="M1192" s="128">
        <v>633964</v>
      </c>
      <c r="N1192" s="108"/>
      <c r="O1192" s="20"/>
      <c r="P1192" s="20"/>
      <c r="Q1192" s="20"/>
    </row>
    <row r="1193" spans="1:17" ht="24.9" customHeight="1">
      <c r="A1193" s="20">
        <v>362</v>
      </c>
      <c r="B1193" s="20" t="s">
        <v>4320</v>
      </c>
      <c r="C1193" s="19">
        <v>154</v>
      </c>
      <c r="D1193" s="19" t="s">
        <v>3781</v>
      </c>
      <c r="E1193" s="19" t="str">
        <f>VLOOKUP(D1193,'لیست پرسنل'!$B$2:$E$1020,3,FALSE)</f>
        <v>مهرفام</v>
      </c>
      <c r="F1193" s="19" t="str">
        <f>VLOOKUP(D1193,'لیست پرسنل'!$B$2:$E$1020,4,FALSE)</f>
        <v>DCC</v>
      </c>
      <c r="G1193" s="127" t="str">
        <f>VLOOKUP(D1193,'لیست پرسنل'!$B$2:$F$1020,2,FALSE)</f>
        <v>0</v>
      </c>
      <c r="H1193" s="151" t="s">
        <v>3381</v>
      </c>
      <c r="I1193" s="127" t="s">
        <v>3777</v>
      </c>
      <c r="J1193" s="127" t="s">
        <v>737</v>
      </c>
      <c r="K1193" s="128" t="s">
        <v>5220</v>
      </c>
      <c r="L1193" s="128" t="s">
        <v>5911</v>
      </c>
      <c r="M1193" s="132">
        <v>632442</v>
      </c>
      <c r="N1193" s="111"/>
      <c r="O1193" s="19"/>
      <c r="P1193" s="20"/>
      <c r="Q1193" s="20"/>
    </row>
    <row r="1194" spans="1:17" ht="24.9" customHeight="1">
      <c r="A1194" s="20">
        <v>362</v>
      </c>
      <c r="B1194" s="20" t="s">
        <v>4320</v>
      </c>
      <c r="C1194" s="19">
        <v>154</v>
      </c>
      <c r="D1194" s="19" t="s">
        <v>3781</v>
      </c>
      <c r="E1194" s="19" t="str">
        <f>VLOOKUP(D1194,'لیست پرسنل'!$B$2:$E$1020,3,FALSE)</f>
        <v>مهرفام</v>
      </c>
      <c r="F1194" s="19" t="str">
        <f>VLOOKUP(D1194,'لیست پرسنل'!$B$2:$E$1020,4,FALSE)</f>
        <v>DCC</v>
      </c>
      <c r="G1194" s="127" t="str">
        <f>VLOOKUP(D1194,'لیست پرسنل'!$B$2:$F$1020,2,FALSE)</f>
        <v>0</v>
      </c>
      <c r="H1194" s="151" t="s">
        <v>3381</v>
      </c>
      <c r="I1194" s="127" t="s">
        <v>3777</v>
      </c>
      <c r="J1194" s="126" t="s">
        <v>368</v>
      </c>
      <c r="K1194" s="128" t="s">
        <v>8248</v>
      </c>
      <c r="L1194" s="127" t="s">
        <v>2284</v>
      </c>
      <c r="M1194" s="128">
        <v>628689</v>
      </c>
      <c r="N1194" s="108"/>
      <c r="O1194" s="20" t="s">
        <v>705</v>
      </c>
      <c r="P1194" s="20"/>
      <c r="Q1194" s="20"/>
    </row>
    <row r="1195" spans="1:17" ht="24.9" customHeight="1">
      <c r="A1195" s="20">
        <v>362</v>
      </c>
      <c r="B1195" s="20" t="s">
        <v>4320</v>
      </c>
      <c r="C1195" s="19">
        <v>154</v>
      </c>
      <c r="D1195" s="19" t="s">
        <v>3781</v>
      </c>
      <c r="E1195" s="19" t="str">
        <f>VLOOKUP(D1195,'لیست پرسنل'!$B$2:$E$1020,3,FALSE)</f>
        <v>مهرفام</v>
      </c>
      <c r="F1195" s="19" t="str">
        <f>VLOOKUP(D1195,'لیست پرسنل'!$B$2:$E$1020,4,FALSE)</f>
        <v>DCC</v>
      </c>
      <c r="G1195" s="127" t="str">
        <f>VLOOKUP(D1195,'لیست پرسنل'!$B$2:$F$1020,2,FALSE)</f>
        <v>0</v>
      </c>
      <c r="H1195" s="151" t="s">
        <v>3381</v>
      </c>
      <c r="I1195" s="127" t="s">
        <v>3777</v>
      </c>
      <c r="J1195" s="127" t="s">
        <v>571</v>
      </c>
      <c r="K1195" s="128" t="s">
        <v>2219</v>
      </c>
      <c r="L1195" s="127"/>
      <c r="M1195" s="127">
        <v>628140</v>
      </c>
      <c r="N1195" s="109"/>
      <c r="O1195" s="19"/>
      <c r="P1195" s="20"/>
      <c r="Q1195" s="20"/>
    </row>
    <row r="1196" spans="1:17" ht="24.9" customHeight="1">
      <c r="A1196" s="20">
        <v>362</v>
      </c>
      <c r="B1196" s="20" t="s">
        <v>4320</v>
      </c>
      <c r="C1196" s="19">
        <v>154</v>
      </c>
      <c r="D1196" s="19" t="s">
        <v>3781</v>
      </c>
      <c r="E1196" s="19" t="str">
        <f>VLOOKUP(D1196,'لیست پرسنل'!$B$2:$E$1020,3,FALSE)</f>
        <v>مهرفام</v>
      </c>
      <c r="F1196" s="19" t="str">
        <f>VLOOKUP(D1196,'لیست پرسنل'!$B$2:$E$1020,4,FALSE)</f>
        <v>DCC</v>
      </c>
      <c r="G1196" s="127" t="str">
        <f>VLOOKUP(D1196,'لیست پرسنل'!$B$2:$F$1020,2,FALSE)</f>
        <v>0</v>
      </c>
      <c r="H1196" s="151" t="s">
        <v>3381</v>
      </c>
      <c r="I1196" s="127" t="s">
        <v>3777</v>
      </c>
      <c r="J1196" s="128" t="s">
        <v>2686</v>
      </c>
      <c r="K1196" s="128" t="s">
        <v>2922</v>
      </c>
      <c r="L1196" s="127" t="s">
        <v>3107</v>
      </c>
      <c r="M1196" s="128">
        <v>626591</v>
      </c>
      <c r="N1196" s="108"/>
      <c r="O1196" s="20" t="s">
        <v>705</v>
      </c>
      <c r="P1196" s="20"/>
      <c r="Q1196" s="20"/>
    </row>
    <row r="1197" spans="1:17" ht="24.9" customHeight="1">
      <c r="A1197" s="20">
        <v>362</v>
      </c>
      <c r="B1197" s="20" t="s">
        <v>4320</v>
      </c>
      <c r="C1197" s="19">
        <v>158</v>
      </c>
      <c r="D1197" s="19" t="s">
        <v>3786</v>
      </c>
      <c r="E1197" s="19" t="str">
        <f>VLOOKUP(D1197,'لیست پرسنل'!$B$2:$E$1020,3,FALSE)</f>
        <v>مهرفام</v>
      </c>
      <c r="F1197" s="19" t="str">
        <f>VLOOKUP(D1197,'لیست پرسنل'!$B$2:$E$1020,4,FALSE)</f>
        <v>مکانیک</v>
      </c>
      <c r="G1197" s="127">
        <f>VLOOKUP(D1197,'لیست پرسنل'!$B$2:$F$1020,2,FALSE)</f>
        <v>0</v>
      </c>
      <c r="H1197" s="151" t="s">
        <v>3381</v>
      </c>
      <c r="I1197" s="127" t="s">
        <v>3778</v>
      </c>
      <c r="J1197" s="126" t="s">
        <v>368</v>
      </c>
      <c r="K1197" s="128" t="s">
        <v>8248</v>
      </c>
      <c r="L1197" s="127" t="s">
        <v>2505</v>
      </c>
      <c r="M1197" s="128">
        <v>628917</v>
      </c>
      <c r="N1197" s="108"/>
      <c r="O1197" s="20" t="s">
        <v>705</v>
      </c>
      <c r="P1197" s="20"/>
      <c r="Q1197" s="20"/>
    </row>
    <row r="1198" spans="1:17" ht="24.9" customHeight="1">
      <c r="A1198" s="20">
        <v>362</v>
      </c>
      <c r="B1198" s="20" t="s">
        <v>4320</v>
      </c>
      <c r="C1198" s="19">
        <v>158</v>
      </c>
      <c r="D1198" s="19" t="s">
        <v>3786</v>
      </c>
      <c r="E1198" s="19" t="str">
        <f>VLOOKUP(D1198,'لیست پرسنل'!$B$2:$E$1020,3,FALSE)</f>
        <v>مهرفام</v>
      </c>
      <c r="F1198" s="19" t="str">
        <f>VLOOKUP(D1198,'لیست پرسنل'!$B$2:$E$1020,4,FALSE)</f>
        <v>مکانیک</v>
      </c>
      <c r="G1198" s="127">
        <f>VLOOKUP(D1198,'لیست پرسنل'!$B$2:$F$1020,2,FALSE)</f>
        <v>0</v>
      </c>
      <c r="H1198" s="151" t="s">
        <v>3381</v>
      </c>
      <c r="I1198" s="127" t="s">
        <v>3778</v>
      </c>
      <c r="J1198" s="127" t="s">
        <v>571</v>
      </c>
      <c r="K1198" s="128" t="s">
        <v>2219</v>
      </c>
      <c r="L1198" s="127"/>
      <c r="M1198" s="127">
        <v>628614</v>
      </c>
      <c r="N1198" s="111"/>
      <c r="O1198" s="19" t="s">
        <v>4244</v>
      </c>
      <c r="P1198" s="20"/>
      <c r="Q1198" s="20"/>
    </row>
    <row r="1199" spans="1:17" ht="24.9" customHeight="1">
      <c r="A1199" s="20">
        <v>362</v>
      </c>
      <c r="B1199" s="20" t="s">
        <v>4320</v>
      </c>
      <c r="C1199" s="19">
        <v>158</v>
      </c>
      <c r="D1199" s="19" t="s">
        <v>3786</v>
      </c>
      <c r="E1199" s="19" t="str">
        <f>VLOOKUP(D1199,'لیست پرسنل'!$B$2:$E$1020,3,FALSE)</f>
        <v>مهرفام</v>
      </c>
      <c r="F1199" s="19" t="str">
        <f>VLOOKUP(D1199,'لیست پرسنل'!$B$2:$E$1020,4,FALSE)</f>
        <v>مکانیک</v>
      </c>
      <c r="G1199" s="127">
        <f>VLOOKUP(D1199,'لیست پرسنل'!$B$2:$F$1020,2,FALSE)</f>
        <v>0</v>
      </c>
      <c r="H1199" s="151" t="s">
        <v>3381</v>
      </c>
      <c r="I1199" s="127" t="s">
        <v>3778</v>
      </c>
      <c r="J1199" s="128" t="s">
        <v>2686</v>
      </c>
      <c r="K1199" s="128" t="s">
        <v>2922</v>
      </c>
      <c r="L1199" s="128" t="s">
        <v>2970</v>
      </c>
      <c r="M1199" s="128">
        <v>626451</v>
      </c>
      <c r="N1199" s="108"/>
      <c r="O1199" s="20" t="s">
        <v>705</v>
      </c>
      <c r="P1199" s="20"/>
      <c r="Q1199" s="20"/>
    </row>
    <row r="1200" spans="1:17" ht="24.9" customHeight="1">
      <c r="A1200" s="20">
        <v>362</v>
      </c>
      <c r="B1200" s="20" t="s">
        <v>4320</v>
      </c>
      <c r="C1200" s="19">
        <v>161</v>
      </c>
      <c r="D1200" s="20" t="s">
        <v>4025</v>
      </c>
      <c r="E1200" s="19" t="str">
        <f>VLOOKUP(D1200,'لیست پرسنل'!$B$2:$E$1020,3,FALSE)</f>
        <v>مهرفام</v>
      </c>
      <c r="F1200" s="19" t="str">
        <f>VLOOKUP(D1200,'لیست پرسنل'!$B$2:$E$1020,4,FALSE)</f>
        <v>سازه</v>
      </c>
      <c r="G1200" s="127">
        <f>VLOOKUP(D1200,'لیست پرسنل'!$B$2:$F$1020,2,FALSE)</f>
        <v>0</v>
      </c>
      <c r="H1200" s="126" t="s">
        <v>3381</v>
      </c>
      <c r="I1200" s="128" t="s">
        <v>4023</v>
      </c>
      <c r="J1200" s="141" t="s">
        <v>571</v>
      </c>
      <c r="K1200" s="135" t="s">
        <v>5782</v>
      </c>
      <c r="L1200" s="154" t="s">
        <v>2219</v>
      </c>
      <c r="M1200" s="131">
        <v>632054</v>
      </c>
      <c r="N1200" s="108"/>
      <c r="O1200" s="20"/>
      <c r="P1200" s="20"/>
      <c r="Q1200" s="20"/>
    </row>
    <row r="1201" spans="1:17" ht="24.9" customHeight="1">
      <c r="A1201" s="20">
        <v>362</v>
      </c>
      <c r="B1201" s="20" t="s">
        <v>4320</v>
      </c>
      <c r="C1201" s="19">
        <v>161</v>
      </c>
      <c r="D1201" s="19" t="s">
        <v>4025</v>
      </c>
      <c r="E1201" s="19" t="str">
        <f>VLOOKUP(D1201,'لیست پرسنل'!$B$2:$E$1020,3,FALSE)</f>
        <v>مهرفام</v>
      </c>
      <c r="F1201" s="19" t="str">
        <f>VLOOKUP(D1201,'لیست پرسنل'!$B$2:$E$1020,4,FALSE)</f>
        <v>سازه</v>
      </c>
      <c r="G1201" s="127">
        <f>VLOOKUP(D1201,'لیست پرسنل'!$B$2:$F$1020,2,FALSE)</f>
        <v>0</v>
      </c>
      <c r="H1201" s="151" t="s">
        <v>3381</v>
      </c>
      <c r="I1201" s="127" t="s">
        <v>4023</v>
      </c>
      <c r="J1201" s="128" t="s">
        <v>2686</v>
      </c>
      <c r="K1201" s="128" t="s">
        <v>327</v>
      </c>
      <c r="L1201" s="158" t="s">
        <v>328</v>
      </c>
      <c r="M1201" s="127">
        <v>610965</v>
      </c>
      <c r="N1201" s="109"/>
      <c r="O1201" s="19"/>
      <c r="P1201" s="20"/>
      <c r="Q1201" s="20"/>
    </row>
    <row r="1202" spans="1:17" ht="24.9" customHeight="1">
      <c r="A1202" s="20">
        <v>362</v>
      </c>
      <c r="B1202" s="20" t="s">
        <v>4320</v>
      </c>
      <c r="C1202" s="19">
        <v>162</v>
      </c>
      <c r="D1202" s="19" t="s">
        <v>3492</v>
      </c>
      <c r="E1202" s="19" t="str">
        <f>VLOOKUP(D1202,'لیست پرسنل'!$B$2:$E$1020,3,FALSE)</f>
        <v>فکورصنعت</v>
      </c>
      <c r="F1202" s="19" t="str">
        <f>VLOOKUP(D1202,'لیست پرسنل'!$B$2:$E$1020,4,FALSE)</f>
        <v>انبار</v>
      </c>
      <c r="G1202" s="127">
        <f>VLOOKUP(D1202,'لیست پرسنل'!$B$2:$F$1020,2,FALSE)</f>
        <v>1520</v>
      </c>
      <c r="H1202" s="151" t="s">
        <v>3381</v>
      </c>
      <c r="I1202" s="127" t="s">
        <v>4024</v>
      </c>
      <c r="J1202" s="126" t="s">
        <v>368</v>
      </c>
      <c r="K1202" s="128" t="s">
        <v>8248</v>
      </c>
      <c r="L1202" s="127" t="s">
        <v>2280</v>
      </c>
      <c r="M1202" s="128">
        <v>628685</v>
      </c>
      <c r="N1202" s="108"/>
      <c r="O1202" s="20" t="s">
        <v>705</v>
      </c>
      <c r="P1202" s="20"/>
      <c r="Q1202" s="20"/>
    </row>
    <row r="1203" spans="1:17" ht="24.9" customHeight="1">
      <c r="A1203" s="20">
        <v>362</v>
      </c>
      <c r="B1203" s="20" t="s">
        <v>4320</v>
      </c>
      <c r="C1203" s="19">
        <v>162</v>
      </c>
      <c r="D1203" s="19" t="s">
        <v>3492</v>
      </c>
      <c r="E1203" s="19" t="str">
        <f>VLOOKUP(D1203,'لیست پرسنل'!$B$2:$E$1020,3,FALSE)</f>
        <v>فکورصنعت</v>
      </c>
      <c r="F1203" s="19" t="str">
        <f>VLOOKUP(D1203,'لیست پرسنل'!$B$2:$E$1020,4,FALSE)</f>
        <v>انبار</v>
      </c>
      <c r="G1203" s="127">
        <f>VLOOKUP(D1203,'لیست پرسنل'!$B$2:$F$1020,2,FALSE)</f>
        <v>1520</v>
      </c>
      <c r="H1203" s="151" t="s">
        <v>3381</v>
      </c>
      <c r="I1203" s="127" t="s">
        <v>4024</v>
      </c>
      <c r="J1203" s="141" t="s">
        <v>571</v>
      </c>
      <c r="K1203" s="128" t="s">
        <v>5007</v>
      </c>
      <c r="L1203" s="127"/>
      <c r="M1203" s="128">
        <v>632375</v>
      </c>
      <c r="N1203" s="108"/>
      <c r="O1203" s="19" t="s">
        <v>5960</v>
      </c>
      <c r="P1203" s="20"/>
      <c r="Q1203" s="20"/>
    </row>
    <row r="1204" spans="1:17" ht="24.9" customHeight="1">
      <c r="A1204" s="20">
        <v>362</v>
      </c>
      <c r="B1204" s="20" t="s">
        <v>4320</v>
      </c>
      <c r="C1204" s="19">
        <v>162</v>
      </c>
      <c r="D1204" s="19" t="s">
        <v>3492</v>
      </c>
      <c r="E1204" s="19" t="str">
        <f>VLOOKUP(D1204,'لیست پرسنل'!$B$2:$E$1020,3,FALSE)</f>
        <v>فکورصنعت</v>
      </c>
      <c r="F1204" s="19" t="str">
        <f>VLOOKUP(D1204,'لیست پرسنل'!$B$2:$E$1020,4,FALSE)</f>
        <v>انبار</v>
      </c>
      <c r="G1204" s="127">
        <f>VLOOKUP(D1204,'لیست پرسنل'!$B$2:$F$1020,2,FALSE)</f>
        <v>1520</v>
      </c>
      <c r="H1204" s="151" t="s">
        <v>3381</v>
      </c>
      <c r="I1204" s="127" t="s">
        <v>4024</v>
      </c>
      <c r="J1204" s="128" t="s">
        <v>2686</v>
      </c>
      <c r="K1204" s="128" t="s">
        <v>744</v>
      </c>
      <c r="L1204" s="151" t="s">
        <v>3124</v>
      </c>
      <c r="M1204" s="127">
        <v>604886</v>
      </c>
      <c r="N1204" s="109"/>
      <c r="O1204" s="86"/>
      <c r="P1204" s="20"/>
      <c r="Q1204" s="20"/>
    </row>
    <row r="1205" spans="1:17" ht="24.9" customHeight="1">
      <c r="A1205" s="20">
        <v>362</v>
      </c>
      <c r="B1205" s="20" t="s">
        <v>4320</v>
      </c>
      <c r="C1205" s="20">
        <v>163</v>
      </c>
      <c r="D1205" s="20" t="s">
        <v>8344</v>
      </c>
      <c r="E1205" s="19" t="str">
        <f>VLOOKUP(D1205,'لیست پرسنل'!$B$2:$E$1020,3,FALSE)</f>
        <v>مهرفام</v>
      </c>
      <c r="F1205" s="19" t="str">
        <f>VLOOKUP(D1205,'لیست پرسنل'!$B$2:$E$1020,4,FALSE)</f>
        <v xml:space="preserve">دفتر فنی مکانیک </v>
      </c>
      <c r="G1205" s="127">
        <f>VLOOKUP(D1205,'لیست پرسنل'!$B$2:$F$1020,2,FALSE)</f>
        <v>0</v>
      </c>
      <c r="H1205" s="151" t="s">
        <v>8345</v>
      </c>
      <c r="I1205" s="128" t="s">
        <v>4085</v>
      </c>
      <c r="J1205" s="126" t="s">
        <v>368</v>
      </c>
      <c r="K1205" s="128" t="s">
        <v>2846</v>
      </c>
      <c r="L1205" s="128" t="s">
        <v>2425</v>
      </c>
      <c r="M1205" s="128">
        <v>628832</v>
      </c>
      <c r="N1205" s="108" t="s">
        <v>326</v>
      </c>
      <c r="O1205" s="20"/>
      <c r="P1205" s="20"/>
      <c r="Q1205" s="20"/>
    </row>
    <row r="1206" spans="1:17" ht="24.9" customHeight="1">
      <c r="A1206" s="20">
        <v>362</v>
      </c>
      <c r="B1206" s="20" t="s">
        <v>4320</v>
      </c>
      <c r="C1206" s="19">
        <v>163</v>
      </c>
      <c r="D1206" s="20" t="s">
        <v>8344</v>
      </c>
      <c r="E1206" s="19" t="str">
        <f>VLOOKUP(D1206,'لیست پرسنل'!$B$2:$E$1020,3,FALSE)</f>
        <v>مهرفام</v>
      </c>
      <c r="F1206" s="19" t="str">
        <f>VLOOKUP(D1206,'لیست پرسنل'!$B$2:$E$1020,4,FALSE)</f>
        <v xml:space="preserve">دفتر فنی مکانیک </v>
      </c>
      <c r="G1206" s="127">
        <f>VLOOKUP(D1206,'لیست پرسنل'!$B$2:$F$1020,2,FALSE)</f>
        <v>0</v>
      </c>
      <c r="H1206" s="151" t="s">
        <v>8345</v>
      </c>
      <c r="I1206" s="128" t="s">
        <v>4085</v>
      </c>
      <c r="J1206" s="127" t="s">
        <v>571</v>
      </c>
      <c r="K1206" s="128" t="s">
        <v>2053</v>
      </c>
      <c r="L1206" s="127"/>
      <c r="M1206" s="127">
        <v>618738</v>
      </c>
      <c r="N1206" s="108" t="s">
        <v>326</v>
      </c>
      <c r="O1206" s="19"/>
      <c r="P1206" s="20"/>
      <c r="Q1206" s="20"/>
    </row>
    <row r="1207" spans="1:17" ht="24.9" customHeight="1">
      <c r="A1207" s="20">
        <v>362</v>
      </c>
      <c r="B1207" s="20" t="s">
        <v>4320</v>
      </c>
      <c r="C1207" s="19">
        <v>163</v>
      </c>
      <c r="D1207" s="20" t="s">
        <v>8344</v>
      </c>
      <c r="E1207" s="19" t="str">
        <f>VLOOKUP(D1207,'لیست پرسنل'!$B$2:$E$1020,3,FALSE)</f>
        <v>مهرفام</v>
      </c>
      <c r="F1207" s="19" t="str">
        <f>VLOOKUP(D1207,'لیست پرسنل'!$B$2:$E$1020,4,FALSE)</f>
        <v xml:space="preserve">دفتر فنی مکانیک </v>
      </c>
      <c r="G1207" s="127">
        <f>VLOOKUP(D1207,'لیست پرسنل'!$B$2:$F$1020,2,FALSE)</f>
        <v>0</v>
      </c>
      <c r="H1207" s="151" t="s">
        <v>8345</v>
      </c>
      <c r="I1207" s="128" t="s">
        <v>4085</v>
      </c>
      <c r="J1207" s="128" t="s">
        <v>2686</v>
      </c>
      <c r="K1207" s="128" t="s">
        <v>2922</v>
      </c>
      <c r="L1207" s="151" t="s">
        <v>3070</v>
      </c>
      <c r="M1207" s="127">
        <v>626554</v>
      </c>
      <c r="N1207" s="108" t="s">
        <v>326</v>
      </c>
      <c r="O1207" s="86"/>
      <c r="P1207" s="20"/>
      <c r="Q1207" s="20"/>
    </row>
    <row r="1208" spans="1:17" ht="24.9" customHeight="1">
      <c r="A1208" s="20">
        <v>362</v>
      </c>
      <c r="B1208" s="20" t="s">
        <v>4320</v>
      </c>
      <c r="C1208" s="19">
        <v>164</v>
      </c>
      <c r="D1208" s="19" t="s">
        <v>4241</v>
      </c>
      <c r="E1208" s="19" t="str">
        <f>VLOOKUP(D1208,'لیست پرسنل'!$B$2:$E$1020,3,FALSE)</f>
        <v>فکورصنعت</v>
      </c>
      <c r="F1208" s="19" t="str">
        <f>VLOOKUP(D1208,'لیست پرسنل'!$B$2:$E$1020,4,FALSE)</f>
        <v>سرپرست مکانیک سیالات (پرسنل تهران)</v>
      </c>
      <c r="G1208" s="127" t="str">
        <f>VLOOKUP(D1208,'لیست پرسنل'!$B$2:$F$1020,2,FALSE)</f>
        <v>264</v>
      </c>
      <c r="H1208" s="151" t="s">
        <v>3381</v>
      </c>
      <c r="I1208" s="127" t="s">
        <v>4086</v>
      </c>
      <c r="J1208" s="127" t="s">
        <v>571</v>
      </c>
      <c r="K1208" s="128" t="s">
        <v>2053</v>
      </c>
      <c r="L1208" s="127"/>
      <c r="M1208" s="127">
        <v>624173</v>
      </c>
      <c r="N1208" s="109"/>
      <c r="O1208" s="19"/>
      <c r="P1208" s="20"/>
      <c r="Q1208" s="20"/>
    </row>
    <row r="1209" spans="1:17" ht="24.9" customHeight="1">
      <c r="A1209" s="20">
        <v>362</v>
      </c>
      <c r="B1209" s="20" t="s">
        <v>4320</v>
      </c>
      <c r="C1209" s="19">
        <v>164</v>
      </c>
      <c r="D1209" s="19" t="s">
        <v>4241</v>
      </c>
      <c r="E1209" s="19" t="str">
        <f>VLOOKUP(D1209,'لیست پرسنل'!$B$2:$E$1020,3,FALSE)</f>
        <v>فکورصنعت</v>
      </c>
      <c r="F1209" s="19" t="str">
        <f>VLOOKUP(D1209,'لیست پرسنل'!$B$2:$E$1020,4,FALSE)</f>
        <v>سرپرست مکانیک سیالات (پرسنل تهران)</v>
      </c>
      <c r="G1209" s="127" t="str">
        <f>VLOOKUP(D1209,'لیست پرسنل'!$B$2:$F$1020,2,FALSE)</f>
        <v>264</v>
      </c>
      <c r="H1209" s="151" t="s">
        <v>3381</v>
      </c>
      <c r="I1209" s="127" t="s">
        <v>4086</v>
      </c>
      <c r="J1209" s="128" t="s">
        <v>2686</v>
      </c>
      <c r="K1209" s="128" t="s">
        <v>744</v>
      </c>
      <c r="L1209" s="151" t="s">
        <v>1674</v>
      </c>
      <c r="M1209" s="127">
        <v>600753</v>
      </c>
      <c r="N1209" s="109"/>
      <c r="O1209" s="19"/>
      <c r="P1209" s="20"/>
      <c r="Q1209" s="20"/>
    </row>
    <row r="1210" spans="1:17" ht="24.9" customHeight="1">
      <c r="A1210" s="20">
        <v>362</v>
      </c>
      <c r="B1210" s="20" t="s">
        <v>4320</v>
      </c>
      <c r="C1210" s="19">
        <v>165</v>
      </c>
      <c r="D1210" s="19" t="s">
        <v>4091</v>
      </c>
      <c r="E1210" s="19" t="str">
        <f>VLOOKUP(D1210,'لیست پرسنل'!$B$2:$E$1020,3,FALSE)</f>
        <v>شرکت  آویسا(آلمیلا)</v>
      </c>
      <c r="F1210" s="19" t="str">
        <f>VLOOKUP(D1210,'لیست پرسنل'!$B$2:$E$1020,4,FALSE)</f>
        <v>برنامه نویس کنترل کیفیت</v>
      </c>
      <c r="G1210" s="127" t="str">
        <f>VLOOKUP(D1210,'لیست پرسنل'!$B$2:$F$1020,2,FALSE)</f>
        <v>0</v>
      </c>
      <c r="H1210" s="151" t="s">
        <v>3381</v>
      </c>
      <c r="I1210" s="127" t="s">
        <v>4087</v>
      </c>
      <c r="J1210" s="126" t="s">
        <v>368</v>
      </c>
      <c r="K1210" s="128" t="s">
        <v>2846</v>
      </c>
      <c r="L1210" s="127" t="s">
        <v>2416</v>
      </c>
      <c r="M1210" s="127">
        <v>628823</v>
      </c>
      <c r="N1210" s="109"/>
      <c r="O1210" s="19"/>
      <c r="P1210" s="20"/>
      <c r="Q1210" s="20"/>
    </row>
    <row r="1211" spans="1:17" ht="24.9" customHeight="1">
      <c r="A1211" s="20">
        <v>362</v>
      </c>
      <c r="B1211" s="20" t="s">
        <v>4320</v>
      </c>
      <c r="C1211" s="19">
        <v>166</v>
      </c>
      <c r="D1211" s="19" t="s">
        <v>4097</v>
      </c>
      <c r="E1211" s="19" t="str">
        <f>VLOOKUP(D1211,'لیست پرسنل'!$B$2:$E$1020,3,FALSE)</f>
        <v>مهرفام</v>
      </c>
      <c r="F1211" s="19" t="str">
        <f>VLOOKUP(D1211,'لیست پرسنل'!$B$2:$E$1020,4,FALSE)</f>
        <v>کنترل کیفیت</v>
      </c>
      <c r="G1211" s="127" t="str">
        <f>VLOOKUP(D1211,'لیست پرسنل'!$B$2:$F$1020,2,FALSE)</f>
        <v>0</v>
      </c>
      <c r="H1211" s="151" t="s">
        <v>3381</v>
      </c>
      <c r="I1211" s="127" t="s">
        <v>4088</v>
      </c>
      <c r="J1211" s="127" t="s">
        <v>571</v>
      </c>
      <c r="K1211" s="128" t="s">
        <v>2219</v>
      </c>
      <c r="L1211" s="127"/>
      <c r="M1211" s="127">
        <v>628135</v>
      </c>
      <c r="N1211" s="109"/>
      <c r="O1211" s="19"/>
      <c r="P1211" s="20"/>
      <c r="Q1211" s="20"/>
    </row>
    <row r="1212" spans="1:17" ht="24.9" customHeight="1">
      <c r="A1212" s="20">
        <v>362</v>
      </c>
      <c r="B1212" s="20" t="s">
        <v>4320</v>
      </c>
      <c r="C1212" s="19">
        <v>166</v>
      </c>
      <c r="D1212" s="19" t="s">
        <v>4097</v>
      </c>
      <c r="E1212" s="19" t="str">
        <f>VLOOKUP(D1212,'لیست پرسنل'!$B$2:$E$1020,3,FALSE)</f>
        <v>مهرفام</v>
      </c>
      <c r="F1212" s="19" t="str">
        <f>VLOOKUP(D1212,'لیست پرسنل'!$B$2:$E$1020,4,FALSE)</f>
        <v>کنترل کیفیت</v>
      </c>
      <c r="G1212" s="127" t="str">
        <f>VLOOKUP(D1212,'لیست پرسنل'!$B$2:$F$1020,2,FALSE)</f>
        <v>0</v>
      </c>
      <c r="H1212" s="151" t="s">
        <v>3381</v>
      </c>
      <c r="I1212" s="127" t="s">
        <v>4088</v>
      </c>
      <c r="J1212" s="128" t="s">
        <v>2686</v>
      </c>
      <c r="K1212" s="128" t="s">
        <v>2922</v>
      </c>
      <c r="L1212" s="127" t="s">
        <v>3001</v>
      </c>
      <c r="M1212" s="127">
        <v>626483</v>
      </c>
      <c r="N1212" s="109"/>
      <c r="O1212" s="19"/>
      <c r="P1212" s="20"/>
      <c r="Q1212" s="20"/>
    </row>
    <row r="1213" spans="1:17" ht="24.9" customHeight="1">
      <c r="A1213" s="20">
        <v>362</v>
      </c>
      <c r="B1213" s="20" t="s">
        <v>4320</v>
      </c>
      <c r="C1213" s="19">
        <v>167</v>
      </c>
      <c r="D1213" s="19" t="s">
        <v>4092</v>
      </c>
      <c r="E1213" s="19" t="str">
        <f>VLOOKUP(D1213,'لیست پرسنل'!$B$2:$E$1020,3,FALSE)</f>
        <v>شرکت  آویسا(آلمیلا)</v>
      </c>
      <c r="F1213" s="19" t="str">
        <f>VLOOKUP(D1213,'لیست پرسنل'!$B$2:$E$1020,4,FALSE)</f>
        <v>برنامه نویس کنترل کیفیت</v>
      </c>
      <c r="G1213" s="127" t="str">
        <f>VLOOKUP(D1213,'لیست پرسنل'!$B$2:$F$1020,2,FALSE)</f>
        <v>0</v>
      </c>
      <c r="H1213" s="151" t="s">
        <v>3381</v>
      </c>
      <c r="I1213" s="127" t="s">
        <v>4089</v>
      </c>
      <c r="J1213" s="126" t="s">
        <v>368</v>
      </c>
      <c r="K1213" s="128" t="s">
        <v>2846</v>
      </c>
      <c r="L1213" s="127" t="s">
        <v>2414</v>
      </c>
      <c r="M1213" s="127">
        <v>628821</v>
      </c>
      <c r="N1213" s="109"/>
      <c r="O1213" s="19"/>
      <c r="P1213" s="20"/>
      <c r="Q1213" s="20"/>
    </row>
    <row r="1214" spans="1:17" ht="24.9" customHeight="1">
      <c r="A1214" s="20">
        <v>362</v>
      </c>
      <c r="B1214" s="20" t="s">
        <v>4320</v>
      </c>
      <c r="C1214" s="19">
        <v>167</v>
      </c>
      <c r="D1214" s="19" t="s">
        <v>4092</v>
      </c>
      <c r="E1214" s="19" t="str">
        <f>VLOOKUP(D1214,'لیست پرسنل'!$B$2:$E$1020,3,FALSE)</f>
        <v>شرکت  آویسا(آلمیلا)</v>
      </c>
      <c r="F1214" s="19" t="str">
        <f>VLOOKUP(D1214,'لیست پرسنل'!$B$2:$E$1020,4,FALSE)</f>
        <v>برنامه نویس کنترل کیفیت</v>
      </c>
      <c r="G1214" s="127" t="str">
        <f>VLOOKUP(D1214,'لیست پرسنل'!$B$2:$F$1020,2,FALSE)</f>
        <v>0</v>
      </c>
      <c r="H1214" s="151" t="s">
        <v>3381</v>
      </c>
      <c r="I1214" s="127" t="s">
        <v>4089</v>
      </c>
      <c r="J1214" s="127" t="s">
        <v>571</v>
      </c>
      <c r="K1214" s="128" t="s">
        <v>2219</v>
      </c>
      <c r="L1214" s="127"/>
      <c r="M1214" s="127">
        <v>628133</v>
      </c>
      <c r="N1214" s="109"/>
      <c r="O1214" s="19"/>
      <c r="P1214" s="20"/>
      <c r="Q1214" s="20"/>
    </row>
    <row r="1215" spans="1:17" ht="24.9" customHeight="1">
      <c r="A1215" s="20">
        <v>362</v>
      </c>
      <c r="B1215" s="20" t="s">
        <v>4320</v>
      </c>
      <c r="C1215" s="19">
        <v>167</v>
      </c>
      <c r="D1215" s="19" t="s">
        <v>4092</v>
      </c>
      <c r="E1215" s="19" t="str">
        <f>VLOOKUP(D1215,'لیست پرسنل'!$B$2:$E$1020,3,FALSE)</f>
        <v>شرکت  آویسا(آلمیلا)</v>
      </c>
      <c r="F1215" s="19" t="str">
        <f>VLOOKUP(D1215,'لیست پرسنل'!$B$2:$E$1020,4,FALSE)</f>
        <v>برنامه نویس کنترل کیفیت</v>
      </c>
      <c r="G1215" s="127" t="str">
        <f>VLOOKUP(D1215,'لیست پرسنل'!$B$2:$F$1020,2,FALSE)</f>
        <v>0</v>
      </c>
      <c r="H1215" s="151" t="s">
        <v>3381</v>
      </c>
      <c r="I1215" s="127" t="s">
        <v>4089</v>
      </c>
      <c r="J1215" s="128" t="s">
        <v>2686</v>
      </c>
      <c r="K1215" s="128" t="s">
        <v>2922</v>
      </c>
      <c r="L1215" s="127" t="s">
        <v>3099</v>
      </c>
      <c r="M1215" s="127">
        <v>626583</v>
      </c>
      <c r="N1215" s="109"/>
      <c r="O1215" s="19"/>
      <c r="P1215" s="20"/>
      <c r="Q1215" s="20"/>
    </row>
    <row r="1216" spans="1:17" ht="24.9" customHeight="1">
      <c r="A1216" s="20">
        <v>362</v>
      </c>
      <c r="B1216" s="20" t="s">
        <v>4320</v>
      </c>
      <c r="C1216" s="19">
        <v>168</v>
      </c>
      <c r="D1216" s="19" t="s">
        <v>4213</v>
      </c>
      <c r="E1216" s="19" t="str">
        <f>VLOOKUP(D1216,'لیست پرسنل'!$B$2:$E$1020,3,FALSE)</f>
        <v>مهرفام</v>
      </c>
      <c r="F1216" s="19" t="str">
        <f>VLOOKUP(D1216,'لیست پرسنل'!$B$2:$E$1020,4,FALSE)</f>
        <v>کنترل کیفیت</v>
      </c>
      <c r="G1216" s="127">
        <f>VLOOKUP(D1216,'لیست پرسنل'!$B$2:$F$1020,2,FALSE)</f>
        <v>0</v>
      </c>
      <c r="H1216" s="151" t="s">
        <v>3381</v>
      </c>
      <c r="I1216" s="127" t="s">
        <v>4090</v>
      </c>
      <c r="J1216" s="127" t="s">
        <v>571</v>
      </c>
      <c r="K1216" s="128" t="s">
        <v>2219</v>
      </c>
      <c r="L1216" s="127"/>
      <c r="M1216" s="127">
        <v>628124</v>
      </c>
      <c r="N1216" s="109"/>
      <c r="O1216" s="19"/>
      <c r="P1216" s="20"/>
      <c r="Q1216" s="20"/>
    </row>
    <row r="1217" spans="1:17" ht="24.9" customHeight="1">
      <c r="A1217" s="20">
        <v>362</v>
      </c>
      <c r="B1217" s="20" t="s">
        <v>4320</v>
      </c>
      <c r="C1217" s="19">
        <v>168</v>
      </c>
      <c r="D1217" s="19" t="s">
        <v>4213</v>
      </c>
      <c r="E1217" s="19" t="str">
        <f>VLOOKUP(D1217,'لیست پرسنل'!$B$2:$E$1020,3,FALSE)</f>
        <v>مهرفام</v>
      </c>
      <c r="F1217" s="19" t="str">
        <f>VLOOKUP(D1217,'لیست پرسنل'!$B$2:$E$1020,4,FALSE)</f>
        <v>کنترل کیفیت</v>
      </c>
      <c r="G1217" s="127">
        <f>VLOOKUP(D1217,'لیست پرسنل'!$B$2:$F$1020,2,FALSE)</f>
        <v>0</v>
      </c>
      <c r="H1217" s="151" t="s">
        <v>3381</v>
      </c>
      <c r="I1217" s="127" t="s">
        <v>4090</v>
      </c>
      <c r="J1217" s="128" t="s">
        <v>2686</v>
      </c>
      <c r="K1217" s="128" t="s">
        <v>2922</v>
      </c>
      <c r="L1217" s="127" t="s">
        <v>3036</v>
      </c>
      <c r="M1217" s="128">
        <v>626519</v>
      </c>
      <c r="N1217" s="108"/>
      <c r="O1217" s="20" t="s">
        <v>705</v>
      </c>
      <c r="P1217" s="20"/>
      <c r="Q1217" s="20"/>
    </row>
    <row r="1218" spans="1:17" ht="24.9" customHeight="1">
      <c r="A1218" s="20">
        <v>362</v>
      </c>
      <c r="B1218" s="20" t="s">
        <v>4320</v>
      </c>
      <c r="C1218" s="20">
        <v>170</v>
      </c>
      <c r="D1218" s="20" t="s">
        <v>5537</v>
      </c>
      <c r="E1218" s="19" t="str">
        <f>VLOOKUP(D1218,'لیست پرسنل'!$B$2:$E$1020,3,FALSE)</f>
        <v xml:space="preserve">شرکت فرزان </v>
      </c>
      <c r="F1218" s="19" t="str">
        <f>VLOOKUP(D1218,'لیست پرسنل'!$B$2:$E$1020,4,FALSE)</f>
        <v>برق</v>
      </c>
      <c r="G1218" s="127" t="str">
        <f>VLOOKUP(D1218,'لیست پرسنل'!$B$2:$F$1020,2,FALSE)</f>
        <v>0</v>
      </c>
      <c r="H1218" s="126" t="s">
        <v>3381</v>
      </c>
      <c r="I1218" s="128" t="s">
        <v>5538</v>
      </c>
      <c r="J1218" s="126" t="s">
        <v>368</v>
      </c>
      <c r="K1218" s="128" t="s">
        <v>8248</v>
      </c>
      <c r="L1218" s="127" t="s">
        <v>2497</v>
      </c>
      <c r="M1218" s="128">
        <v>628909</v>
      </c>
      <c r="N1218" s="108"/>
      <c r="O1218" s="20" t="s">
        <v>705</v>
      </c>
      <c r="P1218" s="20"/>
      <c r="Q1218" s="20"/>
    </row>
    <row r="1219" spans="1:17" ht="24.9" customHeight="1">
      <c r="A1219" s="20">
        <v>362</v>
      </c>
      <c r="B1219" s="20" t="s">
        <v>4320</v>
      </c>
      <c r="C1219" s="20">
        <v>170</v>
      </c>
      <c r="D1219" s="20" t="s">
        <v>5537</v>
      </c>
      <c r="E1219" s="19" t="str">
        <f>VLOOKUP(D1219,'لیست پرسنل'!$B$2:$E$1020,3,FALSE)</f>
        <v xml:space="preserve">شرکت فرزان </v>
      </c>
      <c r="F1219" s="19" t="str">
        <f>VLOOKUP(D1219,'لیست پرسنل'!$B$2:$E$1020,4,FALSE)</f>
        <v>برق</v>
      </c>
      <c r="G1219" s="127" t="str">
        <f>VLOOKUP(D1219,'لیست پرسنل'!$B$2:$F$1020,2,FALSE)</f>
        <v>0</v>
      </c>
      <c r="H1219" s="126" t="s">
        <v>3381</v>
      </c>
      <c r="I1219" s="128" t="s">
        <v>5538</v>
      </c>
      <c r="J1219" s="141" t="s">
        <v>571</v>
      </c>
      <c r="K1219" s="128" t="s">
        <v>5320</v>
      </c>
      <c r="L1219" s="128"/>
      <c r="M1219" s="132">
        <v>631495</v>
      </c>
      <c r="N1219" s="108"/>
      <c r="O1219" s="19"/>
      <c r="P1219" s="20"/>
      <c r="Q1219" s="20"/>
    </row>
    <row r="1220" spans="1:17" ht="24.9" customHeight="1">
      <c r="A1220" s="20">
        <v>362</v>
      </c>
      <c r="B1220" s="20" t="s">
        <v>4320</v>
      </c>
      <c r="C1220" s="20">
        <v>170</v>
      </c>
      <c r="D1220" s="20" t="s">
        <v>5537</v>
      </c>
      <c r="E1220" s="19" t="str">
        <f>VLOOKUP(D1220,'لیست پرسنل'!$B$2:$E$1020,3,FALSE)</f>
        <v xml:space="preserve">شرکت فرزان </v>
      </c>
      <c r="F1220" s="19" t="str">
        <f>VLOOKUP(D1220,'لیست پرسنل'!$B$2:$E$1020,4,FALSE)</f>
        <v>برق</v>
      </c>
      <c r="G1220" s="127" t="str">
        <f>VLOOKUP(D1220,'لیست پرسنل'!$B$2:$F$1020,2,FALSE)</f>
        <v>0</v>
      </c>
      <c r="H1220" s="126" t="s">
        <v>3381</v>
      </c>
      <c r="I1220" s="128" t="s">
        <v>5538</v>
      </c>
      <c r="J1220" s="128" t="s">
        <v>2686</v>
      </c>
      <c r="K1220" s="128" t="s">
        <v>2922</v>
      </c>
      <c r="L1220" s="127" t="s">
        <v>3073</v>
      </c>
      <c r="M1220" s="128">
        <v>626557</v>
      </c>
      <c r="N1220" s="108"/>
      <c r="O1220" s="20" t="s">
        <v>705</v>
      </c>
      <c r="P1220" s="20"/>
      <c r="Q1220" s="20"/>
    </row>
    <row r="1221" spans="1:17" ht="24.9" customHeight="1">
      <c r="A1221" s="20">
        <v>362</v>
      </c>
      <c r="B1221" s="20" t="s">
        <v>4320</v>
      </c>
      <c r="C1221" s="19">
        <v>171</v>
      </c>
      <c r="D1221" s="20" t="s">
        <v>4317</v>
      </c>
      <c r="E1221" s="19" t="str">
        <f>VLOOKUP(D1221,'لیست پرسنل'!$B$2:$E$1020,3,FALSE)</f>
        <v>مهرفام</v>
      </c>
      <c r="F1221" s="19" t="str">
        <f>VLOOKUP(D1221,'لیست پرسنل'!$B$2:$E$1020,4,FALSE)</f>
        <v>پشتیبانی</v>
      </c>
      <c r="G1221" s="127">
        <f>VLOOKUP(D1221,'لیست پرسنل'!$B$2:$F$1020,2,FALSE)</f>
        <v>100580</v>
      </c>
      <c r="H1221" s="126" t="s">
        <v>3381</v>
      </c>
      <c r="I1221" s="128" t="s">
        <v>4251</v>
      </c>
      <c r="J1221" s="128" t="s">
        <v>737</v>
      </c>
      <c r="K1221" s="128" t="s">
        <v>3120</v>
      </c>
      <c r="L1221" s="151" t="s">
        <v>3121</v>
      </c>
      <c r="M1221" s="128">
        <v>611811</v>
      </c>
      <c r="N1221" s="108"/>
      <c r="O1221" s="20"/>
      <c r="P1221" s="20"/>
      <c r="Q1221" s="20"/>
    </row>
    <row r="1222" spans="1:17" ht="24.9" customHeight="1">
      <c r="A1222" s="20">
        <v>362</v>
      </c>
      <c r="B1222" s="20" t="s">
        <v>4320</v>
      </c>
      <c r="C1222" s="20">
        <v>171</v>
      </c>
      <c r="D1222" s="20" t="s">
        <v>4317</v>
      </c>
      <c r="E1222" s="19" t="str">
        <f>VLOOKUP(D1222,'لیست پرسنل'!$B$2:$E$1020,3,FALSE)</f>
        <v>مهرفام</v>
      </c>
      <c r="F1222" s="19" t="str">
        <f>VLOOKUP(D1222,'لیست پرسنل'!$B$2:$E$1020,4,FALSE)</f>
        <v>پشتیبانی</v>
      </c>
      <c r="G1222" s="127">
        <f>VLOOKUP(D1222,'لیست پرسنل'!$B$2:$F$1020,2,FALSE)</f>
        <v>100580</v>
      </c>
      <c r="H1222" s="126" t="s">
        <v>3381</v>
      </c>
      <c r="I1222" s="128" t="s">
        <v>4251</v>
      </c>
      <c r="J1222" s="126" t="s">
        <v>368</v>
      </c>
      <c r="K1222" s="128" t="s">
        <v>8248</v>
      </c>
      <c r="L1222" s="127" t="s">
        <v>2439</v>
      </c>
      <c r="M1222" s="128">
        <v>628848</v>
      </c>
      <c r="N1222" s="108"/>
      <c r="O1222" s="20" t="s">
        <v>705</v>
      </c>
      <c r="P1222" s="20"/>
      <c r="Q1222" s="20"/>
    </row>
    <row r="1223" spans="1:17" ht="24.9" customHeight="1">
      <c r="A1223" s="20">
        <v>362</v>
      </c>
      <c r="B1223" s="20" t="s">
        <v>4320</v>
      </c>
      <c r="C1223" s="20">
        <v>171</v>
      </c>
      <c r="D1223" s="20" t="s">
        <v>4317</v>
      </c>
      <c r="E1223" s="19" t="str">
        <f>VLOOKUP(D1223,'لیست پرسنل'!$B$2:$E$1020,3,FALSE)</f>
        <v>مهرفام</v>
      </c>
      <c r="F1223" s="19" t="str">
        <f>VLOOKUP(D1223,'لیست پرسنل'!$B$2:$E$1020,4,FALSE)</f>
        <v>پشتیبانی</v>
      </c>
      <c r="G1223" s="127">
        <f>VLOOKUP(D1223,'لیست پرسنل'!$B$2:$F$1020,2,FALSE)</f>
        <v>100580</v>
      </c>
      <c r="H1223" s="126" t="s">
        <v>3381</v>
      </c>
      <c r="I1223" s="128" t="s">
        <v>4251</v>
      </c>
      <c r="J1223" s="141" t="s">
        <v>571</v>
      </c>
      <c r="K1223" s="128" t="s">
        <v>571</v>
      </c>
      <c r="L1223" s="159" t="s">
        <v>4318</v>
      </c>
      <c r="M1223" s="128">
        <v>632376</v>
      </c>
      <c r="N1223" s="108"/>
      <c r="O1223" s="19" t="s">
        <v>3220</v>
      </c>
      <c r="P1223" s="20"/>
      <c r="Q1223" s="20"/>
    </row>
    <row r="1224" spans="1:17" ht="24.9" customHeight="1">
      <c r="A1224" s="20">
        <v>362</v>
      </c>
      <c r="B1224" s="20" t="s">
        <v>4320</v>
      </c>
      <c r="C1224" s="20">
        <v>171</v>
      </c>
      <c r="D1224" s="20" t="s">
        <v>4317</v>
      </c>
      <c r="E1224" s="19" t="str">
        <f>VLOOKUP(D1224,'لیست پرسنل'!$B$2:$E$1020,3,FALSE)</f>
        <v>مهرفام</v>
      </c>
      <c r="F1224" s="19" t="str">
        <f>VLOOKUP(D1224,'لیست پرسنل'!$B$2:$E$1020,4,FALSE)</f>
        <v>پشتیبانی</v>
      </c>
      <c r="G1224" s="127">
        <f>VLOOKUP(D1224,'لیست پرسنل'!$B$2:$F$1020,2,FALSE)</f>
        <v>100580</v>
      </c>
      <c r="H1224" s="126" t="s">
        <v>3381</v>
      </c>
      <c r="I1224" s="128" t="s">
        <v>4251</v>
      </c>
      <c r="J1224" s="128" t="s">
        <v>2686</v>
      </c>
      <c r="K1224" s="128" t="s">
        <v>2922</v>
      </c>
      <c r="L1224" s="127" t="s">
        <v>2993</v>
      </c>
      <c r="M1224" s="128">
        <v>626475</v>
      </c>
      <c r="N1224" s="108"/>
      <c r="O1224" s="20" t="s">
        <v>705</v>
      </c>
      <c r="P1224" s="20"/>
      <c r="Q1224" s="20"/>
    </row>
    <row r="1225" spans="1:17" ht="24.9" customHeight="1">
      <c r="A1225" s="20">
        <v>362</v>
      </c>
      <c r="B1225" s="20" t="s">
        <v>4320</v>
      </c>
      <c r="C1225" s="19">
        <v>172</v>
      </c>
      <c r="D1225" s="19" t="s">
        <v>4519</v>
      </c>
      <c r="E1225" s="19" t="str">
        <f>VLOOKUP(D1225,'لیست پرسنل'!$B$2:$E$1020,3,FALSE)</f>
        <v>مهرفام</v>
      </c>
      <c r="F1225" s="19" t="str">
        <f>VLOOKUP(D1225,'لیست پرسنل'!$B$2:$E$1020,4,FALSE)</f>
        <v>کنترل کیفیت</v>
      </c>
      <c r="G1225" s="127" t="str">
        <f>VLOOKUP(D1225,'لیست پرسنل'!$B$2:$F$1020,2,FALSE)</f>
        <v>0</v>
      </c>
      <c r="H1225" s="151" t="s">
        <v>3381</v>
      </c>
      <c r="I1225" s="127" t="s">
        <v>4411</v>
      </c>
      <c r="J1225" s="141" t="s">
        <v>571</v>
      </c>
      <c r="K1225" s="128" t="s">
        <v>2067</v>
      </c>
      <c r="L1225" s="159" t="s">
        <v>2219</v>
      </c>
      <c r="M1225" s="127">
        <v>628609</v>
      </c>
      <c r="N1225" s="108"/>
      <c r="O1225" s="19" t="s">
        <v>705</v>
      </c>
      <c r="P1225" s="20"/>
      <c r="Q1225" s="20"/>
    </row>
    <row r="1226" spans="1:17" ht="24.9" customHeight="1">
      <c r="A1226" s="20">
        <v>362</v>
      </c>
      <c r="B1226" s="20" t="s">
        <v>4320</v>
      </c>
      <c r="C1226" s="19">
        <v>172</v>
      </c>
      <c r="D1226" s="19" t="s">
        <v>4519</v>
      </c>
      <c r="E1226" s="19" t="str">
        <f>VLOOKUP(D1226,'لیست پرسنل'!$B$2:$E$1020,3,FALSE)</f>
        <v>مهرفام</v>
      </c>
      <c r="F1226" s="19" t="str">
        <f>VLOOKUP(D1226,'لیست پرسنل'!$B$2:$E$1020,4,FALSE)</f>
        <v>کنترل کیفیت</v>
      </c>
      <c r="G1226" s="127" t="str">
        <f>VLOOKUP(D1226,'لیست پرسنل'!$B$2:$F$1020,2,FALSE)</f>
        <v>0</v>
      </c>
      <c r="H1226" s="151" t="s">
        <v>3381</v>
      </c>
      <c r="I1226" s="127" t="s">
        <v>4411</v>
      </c>
      <c r="J1226" s="128" t="s">
        <v>2686</v>
      </c>
      <c r="K1226" s="128" t="s">
        <v>744</v>
      </c>
      <c r="L1226" s="151" t="s">
        <v>1135</v>
      </c>
      <c r="M1226" s="127">
        <v>603172</v>
      </c>
      <c r="N1226" s="109"/>
      <c r="O1226" s="19"/>
      <c r="P1226" s="20"/>
      <c r="Q1226" s="20"/>
    </row>
    <row r="1227" spans="1:17" ht="24.9" customHeight="1">
      <c r="A1227" s="20">
        <v>362</v>
      </c>
      <c r="B1227" s="20" t="s">
        <v>4320</v>
      </c>
      <c r="C1227" s="20">
        <v>173</v>
      </c>
      <c r="D1227" s="20" t="s">
        <v>6840</v>
      </c>
      <c r="E1227" s="19" t="str">
        <f>VLOOKUP(D1227,'لیست پرسنل'!$B$2:$E$1020,3,FALSE)</f>
        <v>فکورصنعت</v>
      </c>
      <c r="F1227" s="19" t="str">
        <f>VLOOKUP(D1227,'لیست پرسنل'!$B$2:$E$1020,4,FALSE)</f>
        <v>ایمنی</v>
      </c>
      <c r="G1227" s="127">
        <f>VLOOKUP(D1227,'لیست پرسنل'!$B$2:$F$1020,2,FALSE)</f>
        <v>4030502</v>
      </c>
      <c r="H1227" s="126" t="s">
        <v>4410</v>
      </c>
      <c r="I1227" s="128" t="s">
        <v>4548</v>
      </c>
      <c r="J1227" s="128" t="s">
        <v>5366</v>
      </c>
      <c r="K1227" s="127" t="s">
        <v>2076</v>
      </c>
      <c r="L1227" s="151" t="s">
        <v>2075</v>
      </c>
      <c r="M1227" s="127">
        <v>632363</v>
      </c>
      <c r="N1227" s="108" t="s">
        <v>7512</v>
      </c>
      <c r="O1227" s="20" t="s">
        <v>5852</v>
      </c>
      <c r="P1227" s="20"/>
      <c r="Q1227" s="20"/>
    </row>
    <row r="1228" spans="1:17" ht="24.9" customHeight="1">
      <c r="A1228" s="20">
        <v>362</v>
      </c>
      <c r="B1228" s="20" t="s">
        <v>4320</v>
      </c>
      <c r="C1228" s="20">
        <v>173</v>
      </c>
      <c r="D1228" s="20" t="s">
        <v>6840</v>
      </c>
      <c r="E1228" s="19" t="str">
        <f>VLOOKUP(D1228,'لیست پرسنل'!$B$2:$E$1020,3,FALSE)</f>
        <v>فکورصنعت</v>
      </c>
      <c r="F1228" s="19" t="str">
        <f>VLOOKUP(D1228,'لیست پرسنل'!$B$2:$E$1020,4,FALSE)</f>
        <v>ایمنی</v>
      </c>
      <c r="G1228" s="127">
        <f>VLOOKUP(D1228,'لیست پرسنل'!$B$2:$F$1020,2,FALSE)</f>
        <v>4030502</v>
      </c>
      <c r="H1228" s="126" t="s">
        <v>4410</v>
      </c>
      <c r="I1228" s="128" t="s">
        <v>4548</v>
      </c>
      <c r="J1228" s="128" t="s">
        <v>571</v>
      </c>
      <c r="K1228" s="128" t="s">
        <v>2219</v>
      </c>
      <c r="L1228" s="127"/>
      <c r="M1228" s="127">
        <v>633656</v>
      </c>
      <c r="N1228" s="109"/>
      <c r="O1228" s="19" t="s">
        <v>6316</v>
      </c>
      <c r="P1228" s="32"/>
      <c r="Q1228" s="32"/>
    </row>
    <row r="1229" spans="1:17" ht="24.9" customHeight="1">
      <c r="A1229" s="20">
        <v>362</v>
      </c>
      <c r="B1229" s="20" t="s">
        <v>4320</v>
      </c>
      <c r="C1229" s="20">
        <v>173</v>
      </c>
      <c r="D1229" s="20" t="s">
        <v>6840</v>
      </c>
      <c r="E1229" s="19" t="str">
        <f>VLOOKUP(D1229,'لیست پرسنل'!$B$2:$E$1020,3,FALSE)</f>
        <v>فکورصنعت</v>
      </c>
      <c r="F1229" s="19" t="str">
        <f>VLOOKUP(D1229,'لیست پرسنل'!$B$2:$E$1020,4,FALSE)</f>
        <v>ایمنی</v>
      </c>
      <c r="G1229" s="127">
        <f>VLOOKUP(D1229,'لیست پرسنل'!$B$2:$F$1020,2,FALSE)</f>
        <v>4030502</v>
      </c>
      <c r="H1229" s="126" t="s">
        <v>4410</v>
      </c>
      <c r="I1229" s="128" t="s">
        <v>4548</v>
      </c>
      <c r="J1229" s="128" t="s">
        <v>2686</v>
      </c>
      <c r="K1229" s="128" t="s">
        <v>1744</v>
      </c>
      <c r="L1229" s="151" t="s">
        <v>1726</v>
      </c>
      <c r="M1229" s="127">
        <v>610658</v>
      </c>
      <c r="N1229" s="109"/>
      <c r="O1229" s="86"/>
      <c r="P1229" s="20"/>
      <c r="Q1229" s="20"/>
    </row>
    <row r="1230" spans="1:17" ht="24.9" customHeight="1">
      <c r="A1230" s="20">
        <v>362</v>
      </c>
      <c r="B1230" s="20" t="s">
        <v>4320</v>
      </c>
      <c r="C1230" s="19">
        <v>174</v>
      </c>
      <c r="D1230" s="20" t="s">
        <v>5163</v>
      </c>
      <c r="E1230" s="19" t="str">
        <f>VLOOKUP(D1230,'لیست پرسنل'!$B$2:$E$1020,3,FALSE)</f>
        <v>فکورصنعت</v>
      </c>
      <c r="F1230" s="19" t="str">
        <f>VLOOKUP(D1230,'لیست پرسنل'!$B$2:$E$1020,4,FALSE)</f>
        <v>اداری</v>
      </c>
      <c r="G1230" s="127" t="str">
        <f>VLOOKUP(D1230,'لیست پرسنل'!$B$2:$F$1020,2,FALSE)</f>
        <v>4020606</v>
      </c>
      <c r="H1230" s="126" t="s">
        <v>3381</v>
      </c>
      <c r="I1230" s="128" t="s">
        <v>5165</v>
      </c>
      <c r="J1230" s="141" t="s">
        <v>737</v>
      </c>
      <c r="K1230" s="128" t="s">
        <v>1789</v>
      </c>
      <c r="L1230" s="164" t="s">
        <v>5354</v>
      </c>
      <c r="M1230" s="128">
        <v>631509</v>
      </c>
      <c r="N1230" s="108"/>
      <c r="O1230" s="20"/>
      <c r="P1230" s="20"/>
      <c r="Q1230" s="20"/>
    </row>
    <row r="1231" spans="1:17" ht="24.9" customHeight="1">
      <c r="A1231" s="20">
        <v>362</v>
      </c>
      <c r="B1231" s="20" t="s">
        <v>4320</v>
      </c>
      <c r="C1231" s="19">
        <v>174</v>
      </c>
      <c r="D1231" s="20" t="s">
        <v>5163</v>
      </c>
      <c r="E1231" s="19" t="str">
        <f>VLOOKUP(D1231,'لیست پرسنل'!$B$2:$E$1020,3,FALSE)</f>
        <v>فکورصنعت</v>
      </c>
      <c r="F1231" s="19" t="str">
        <f>VLOOKUP(D1231,'لیست پرسنل'!$B$2:$E$1020,4,FALSE)</f>
        <v>اداری</v>
      </c>
      <c r="G1231" s="127" t="str">
        <f>VLOOKUP(D1231,'لیست پرسنل'!$B$2:$F$1020,2,FALSE)</f>
        <v>4020606</v>
      </c>
      <c r="H1231" s="126" t="s">
        <v>3381</v>
      </c>
      <c r="I1231" s="128" t="s">
        <v>5165</v>
      </c>
      <c r="J1231" s="126" t="s">
        <v>368</v>
      </c>
      <c r="K1231" s="128" t="s">
        <v>8248</v>
      </c>
      <c r="L1231" s="127" t="s">
        <v>2323</v>
      </c>
      <c r="M1231" s="128">
        <v>628729</v>
      </c>
      <c r="N1231" s="108"/>
      <c r="O1231" s="20" t="s">
        <v>705</v>
      </c>
      <c r="P1231" s="20"/>
      <c r="Q1231" s="20"/>
    </row>
    <row r="1232" spans="1:17" ht="24.9" customHeight="1">
      <c r="A1232" s="20">
        <v>362</v>
      </c>
      <c r="B1232" s="20" t="s">
        <v>4320</v>
      </c>
      <c r="C1232" s="19">
        <v>174</v>
      </c>
      <c r="D1232" s="20" t="s">
        <v>5163</v>
      </c>
      <c r="E1232" s="19" t="str">
        <f>VLOOKUP(D1232,'لیست پرسنل'!$B$2:$E$1020,3,FALSE)</f>
        <v>فکورصنعت</v>
      </c>
      <c r="F1232" s="19" t="str">
        <f>VLOOKUP(D1232,'لیست پرسنل'!$B$2:$E$1020,4,FALSE)</f>
        <v>اداری</v>
      </c>
      <c r="G1232" s="127" t="str">
        <f>VLOOKUP(D1232,'لیست پرسنل'!$B$2:$F$1020,2,FALSE)</f>
        <v>4020606</v>
      </c>
      <c r="H1232" s="126" t="s">
        <v>3381</v>
      </c>
      <c r="I1232" s="128" t="s">
        <v>5165</v>
      </c>
      <c r="J1232" s="141" t="s">
        <v>571</v>
      </c>
      <c r="K1232" s="128" t="s">
        <v>1951</v>
      </c>
      <c r="L1232" s="165" t="s">
        <v>2219</v>
      </c>
      <c r="M1232" s="128">
        <v>629909</v>
      </c>
      <c r="N1232" s="108"/>
      <c r="O1232" s="20" t="s">
        <v>705</v>
      </c>
      <c r="P1232" s="20"/>
      <c r="Q1232" s="20"/>
    </row>
    <row r="1233" spans="1:17" ht="24.9" customHeight="1">
      <c r="A1233" s="20">
        <v>362</v>
      </c>
      <c r="B1233" s="20" t="s">
        <v>4320</v>
      </c>
      <c r="C1233" s="19">
        <v>174</v>
      </c>
      <c r="D1233" s="20" t="s">
        <v>5163</v>
      </c>
      <c r="E1233" s="19" t="str">
        <f>VLOOKUP(D1233,'لیست پرسنل'!$B$2:$E$1020,3,FALSE)</f>
        <v>فکورصنعت</v>
      </c>
      <c r="F1233" s="19" t="str">
        <f>VLOOKUP(D1233,'لیست پرسنل'!$B$2:$E$1020,4,FALSE)</f>
        <v>اداری</v>
      </c>
      <c r="G1233" s="127" t="str">
        <f>VLOOKUP(D1233,'لیست پرسنل'!$B$2:$F$1020,2,FALSE)</f>
        <v>4020606</v>
      </c>
      <c r="H1233" s="126" t="s">
        <v>3381</v>
      </c>
      <c r="I1233" s="128" t="s">
        <v>5165</v>
      </c>
      <c r="J1233" s="128" t="s">
        <v>2686</v>
      </c>
      <c r="K1233" s="128" t="s">
        <v>2143</v>
      </c>
      <c r="L1233" s="127" t="s">
        <v>2261</v>
      </c>
      <c r="M1233" s="127">
        <v>628652</v>
      </c>
      <c r="N1233" s="108"/>
      <c r="O1233" s="20" t="s">
        <v>705</v>
      </c>
      <c r="P1233" s="20"/>
      <c r="Q1233" s="20"/>
    </row>
    <row r="1234" spans="1:17" ht="24.9" customHeight="1">
      <c r="A1234" s="20">
        <v>362</v>
      </c>
      <c r="B1234" s="20" t="s">
        <v>4320</v>
      </c>
      <c r="C1234" s="20">
        <v>176</v>
      </c>
      <c r="D1234" s="20" t="s">
        <v>4536</v>
      </c>
      <c r="E1234" s="19" t="str">
        <f>VLOOKUP(D1234,'لیست پرسنل'!$B$2:$E$1020,3,FALSE)</f>
        <v>فکورصنعت</v>
      </c>
      <c r="F1234" s="19" t="str">
        <f>VLOOKUP(D1234,'لیست پرسنل'!$B$2:$E$1020,4,FALSE)</f>
        <v>ریاست کنترل پروژه</v>
      </c>
      <c r="G1234" s="127" t="str">
        <f>VLOOKUP(D1234,'لیست پرسنل'!$B$2:$F$1020,2,FALSE)</f>
        <v>691</v>
      </c>
      <c r="H1234" s="126" t="s">
        <v>8294</v>
      </c>
      <c r="I1234" s="128" t="s">
        <v>4539</v>
      </c>
      <c r="J1234" s="126" t="s">
        <v>368</v>
      </c>
      <c r="K1234" s="128" t="s">
        <v>2846</v>
      </c>
      <c r="L1234" s="128" t="s">
        <v>2487</v>
      </c>
      <c r="M1234" s="128">
        <v>628899</v>
      </c>
      <c r="N1234" s="108"/>
      <c r="O1234" s="20"/>
      <c r="P1234" s="20"/>
      <c r="Q1234" s="20"/>
    </row>
    <row r="1235" spans="1:17" ht="24.9" customHeight="1">
      <c r="A1235" s="185">
        <v>362</v>
      </c>
      <c r="B1235" s="185" t="s">
        <v>4320</v>
      </c>
      <c r="C1235" s="185">
        <v>176</v>
      </c>
      <c r="D1235" s="67" t="s">
        <v>4536</v>
      </c>
      <c r="E1235" s="186" t="str">
        <f>VLOOKUP(D1235,'لیست پرسنل'!$B$2:$E$1020,3,FALSE)</f>
        <v>فکورصنعت</v>
      </c>
      <c r="F1235" s="186" t="str">
        <f>VLOOKUP(D1235,'لیست پرسنل'!$B$2:$E$1020,4,FALSE)</f>
        <v>ریاست کنترل پروژه</v>
      </c>
      <c r="G1235" s="187" t="str">
        <f>VLOOKUP(D1235,'لیست پرسنل'!$B$2:$F$1020,2,FALSE)</f>
        <v>691</v>
      </c>
      <c r="H1235" s="195" t="s">
        <v>8294</v>
      </c>
      <c r="I1235" s="194" t="s">
        <v>4539</v>
      </c>
      <c r="J1235" s="199" t="s">
        <v>571</v>
      </c>
      <c r="K1235" s="188" t="s">
        <v>1951</v>
      </c>
      <c r="L1235" s="200" t="s">
        <v>2219</v>
      </c>
      <c r="M1235" s="194">
        <v>629904</v>
      </c>
      <c r="N1235" s="198"/>
      <c r="O1235" s="186" t="s">
        <v>705</v>
      </c>
      <c r="P1235" s="185"/>
      <c r="Q1235" s="185"/>
    </row>
    <row r="1236" spans="1:17" ht="24.9" customHeight="1">
      <c r="A1236" s="20">
        <v>362</v>
      </c>
      <c r="B1236" s="20" t="s">
        <v>4320</v>
      </c>
      <c r="C1236" s="20">
        <v>176</v>
      </c>
      <c r="D1236" s="20" t="s">
        <v>4536</v>
      </c>
      <c r="E1236" s="19" t="str">
        <f>VLOOKUP(D1236,'لیست پرسنل'!$B$2:$E$1020,3,FALSE)</f>
        <v>فکورصنعت</v>
      </c>
      <c r="F1236" s="19" t="str">
        <f>VLOOKUP(D1236,'لیست پرسنل'!$B$2:$E$1020,4,FALSE)</f>
        <v>ریاست کنترل پروژه</v>
      </c>
      <c r="G1236" s="127" t="str">
        <f>VLOOKUP(D1236,'لیست پرسنل'!$B$2:$F$1020,2,FALSE)</f>
        <v>691</v>
      </c>
      <c r="H1236" s="126" t="s">
        <v>8294</v>
      </c>
      <c r="I1236" s="128" t="s">
        <v>4539</v>
      </c>
      <c r="J1236" s="128" t="s">
        <v>2686</v>
      </c>
      <c r="K1236" s="128" t="s">
        <v>2143</v>
      </c>
      <c r="L1236" s="128" t="s">
        <v>2239</v>
      </c>
      <c r="M1236" s="127">
        <v>628630</v>
      </c>
      <c r="N1236" s="108"/>
      <c r="O1236" s="20" t="s">
        <v>705</v>
      </c>
      <c r="P1236" s="20"/>
      <c r="Q1236" s="20"/>
    </row>
    <row r="1237" spans="1:17" ht="24.9" customHeight="1">
      <c r="A1237" s="20">
        <v>362</v>
      </c>
      <c r="B1237" s="20" t="s">
        <v>4320</v>
      </c>
      <c r="C1237" s="20">
        <v>177</v>
      </c>
      <c r="D1237" s="19" t="s">
        <v>8291</v>
      </c>
      <c r="E1237" s="19" t="str">
        <f>VLOOKUP(D1237,'لیست پرسنل'!$B$2:$E$1020,3,FALSE)</f>
        <v>مهرفام</v>
      </c>
      <c r="F1237" s="19" t="str">
        <f>VLOOKUP(D1237,'لیست پرسنل'!$B$2:$E$1020,4,FALSE)</f>
        <v>سیویل</v>
      </c>
      <c r="G1237" s="127" t="str">
        <f>VLOOKUP(D1237,'لیست پرسنل'!$B$2:$F$1020,2,FALSE)</f>
        <v>100635</v>
      </c>
      <c r="H1237" s="126" t="s">
        <v>3381</v>
      </c>
      <c r="I1237" s="128" t="s">
        <v>4421</v>
      </c>
      <c r="J1237" s="126" t="s">
        <v>368</v>
      </c>
      <c r="K1237" s="128" t="s">
        <v>8248</v>
      </c>
      <c r="L1237" s="127" t="s">
        <v>2443</v>
      </c>
      <c r="M1237" s="128">
        <v>628852</v>
      </c>
      <c r="N1237" s="108" t="s">
        <v>326</v>
      </c>
      <c r="O1237" s="20" t="s">
        <v>705</v>
      </c>
      <c r="P1237" s="20"/>
      <c r="Q1237" s="20"/>
    </row>
    <row r="1238" spans="1:17" ht="24.9" customHeight="1">
      <c r="A1238" s="20">
        <v>362</v>
      </c>
      <c r="B1238" s="20" t="s">
        <v>4320</v>
      </c>
      <c r="C1238" s="20">
        <v>177</v>
      </c>
      <c r="D1238" s="19" t="s">
        <v>8291</v>
      </c>
      <c r="E1238" s="19" t="str">
        <f>VLOOKUP(D1238,'لیست پرسنل'!$B$2:$E$1020,3,FALSE)</f>
        <v>مهرفام</v>
      </c>
      <c r="F1238" s="19" t="str">
        <f>VLOOKUP(D1238,'لیست پرسنل'!$B$2:$E$1020,4,FALSE)</f>
        <v>سیویل</v>
      </c>
      <c r="G1238" s="127" t="str">
        <f>VLOOKUP(D1238,'لیست پرسنل'!$B$2:$F$1020,2,FALSE)</f>
        <v>100635</v>
      </c>
      <c r="H1238" s="126" t="s">
        <v>3381</v>
      </c>
      <c r="I1238" s="128" t="s">
        <v>4421</v>
      </c>
      <c r="J1238" s="141" t="s">
        <v>571</v>
      </c>
      <c r="K1238" s="128" t="s">
        <v>1951</v>
      </c>
      <c r="L1238" s="165" t="s">
        <v>2219</v>
      </c>
      <c r="M1238" s="128">
        <v>629900</v>
      </c>
      <c r="N1238" s="108" t="s">
        <v>326</v>
      </c>
      <c r="O1238" s="19" t="s">
        <v>705</v>
      </c>
      <c r="P1238" s="20"/>
      <c r="Q1238" s="20"/>
    </row>
    <row r="1239" spans="1:17" ht="24.9" customHeight="1">
      <c r="A1239" s="20">
        <v>362</v>
      </c>
      <c r="B1239" s="20" t="s">
        <v>4320</v>
      </c>
      <c r="C1239" s="19">
        <v>177</v>
      </c>
      <c r="D1239" s="19" t="s">
        <v>8291</v>
      </c>
      <c r="E1239" s="19" t="str">
        <f>VLOOKUP(D1239,'لیست پرسنل'!$B$2:$E$1020,3,FALSE)</f>
        <v>مهرفام</v>
      </c>
      <c r="F1239" s="19" t="str">
        <f>VLOOKUP(D1239,'لیست پرسنل'!$B$2:$E$1020,4,FALSE)</f>
        <v>سیویل</v>
      </c>
      <c r="G1239" s="127" t="str">
        <f>VLOOKUP(D1239,'لیست پرسنل'!$B$2:$F$1020,2,FALSE)</f>
        <v>100635</v>
      </c>
      <c r="H1239" s="151" t="s">
        <v>3381</v>
      </c>
      <c r="I1239" s="127" t="s">
        <v>4421</v>
      </c>
      <c r="J1239" s="128" t="s">
        <v>2686</v>
      </c>
      <c r="K1239" s="128" t="s">
        <v>2922</v>
      </c>
      <c r="L1239" s="127" t="s">
        <v>2975</v>
      </c>
      <c r="M1239" s="128">
        <v>626456</v>
      </c>
      <c r="N1239" s="108" t="s">
        <v>326</v>
      </c>
      <c r="O1239" s="20" t="s">
        <v>705</v>
      </c>
      <c r="P1239" s="20"/>
      <c r="Q1239" s="20"/>
    </row>
    <row r="1240" spans="1:17" ht="24.9" customHeight="1">
      <c r="A1240" s="20">
        <v>362</v>
      </c>
      <c r="B1240" s="20" t="s">
        <v>4320</v>
      </c>
      <c r="C1240" s="20">
        <v>178</v>
      </c>
      <c r="D1240" s="20" t="s">
        <v>5469</v>
      </c>
      <c r="E1240" s="19" t="str">
        <f>VLOOKUP(D1240,'لیست پرسنل'!$B$2:$E$1020,3,FALSE)</f>
        <v>مهرفام</v>
      </c>
      <c r="F1240" s="19" t="str">
        <f>VLOOKUP(D1240,'لیست پرسنل'!$B$2:$E$1020,4,FALSE)</f>
        <v>پایپینگ</v>
      </c>
      <c r="G1240" s="127">
        <f>VLOOKUP(D1240,'لیست پرسنل'!$B$2:$F$1020,2,FALSE)</f>
        <v>100623</v>
      </c>
      <c r="H1240" s="126" t="s">
        <v>3381</v>
      </c>
      <c r="I1240" s="128" t="s">
        <v>5470</v>
      </c>
      <c r="J1240" s="141" t="s">
        <v>571</v>
      </c>
      <c r="K1240" s="128" t="s">
        <v>5320</v>
      </c>
      <c r="L1240" s="128"/>
      <c r="M1240" s="132">
        <v>631493</v>
      </c>
      <c r="N1240" s="108"/>
      <c r="O1240" s="19"/>
      <c r="P1240" s="20"/>
      <c r="Q1240" s="20"/>
    </row>
    <row r="1241" spans="1:17" ht="24.9" customHeight="1">
      <c r="A1241" s="20">
        <v>362</v>
      </c>
      <c r="B1241" s="20" t="s">
        <v>4320</v>
      </c>
      <c r="C1241" s="20">
        <v>178</v>
      </c>
      <c r="D1241" s="20" t="s">
        <v>5469</v>
      </c>
      <c r="E1241" s="19" t="str">
        <f>VLOOKUP(D1241,'لیست پرسنل'!$B$2:$E$1020,3,FALSE)</f>
        <v>مهرفام</v>
      </c>
      <c r="F1241" s="19" t="str">
        <f>VLOOKUP(D1241,'لیست پرسنل'!$B$2:$E$1020,4,FALSE)</f>
        <v>پایپینگ</v>
      </c>
      <c r="G1241" s="127">
        <f>VLOOKUP(D1241,'لیست پرسنل'!$B$2:$F$1020,2,FALSE)</f>
        <v>100623</v>
      </c>
      <c r="H1241" s="126" t="s">
        <v>3381</v>
      </c>
      <c r="I1241" s="128" t="s">
        <v>5470</v>
      </c>
      <c r="J1241" s="128" t="s">
        <v>2686</v>
      </c>
      <c r="K1241" s="128" t="s">
        <v>2922</v>
      </c>
      <c r="L1241" s="164" t="s">
        <v>2980</v>
      </c>
      <c r="M1241" s="127">
        <v>626461</v>
      </c>
      <c r="N1241" s="109"/>
      <c r="O1241" s="86"/>
      <c r="P1241" s="20"/>
      <c r="Q1241" s="20"/>
    </row>
    <row r="1242" spans="1:17" ht="24.9" customHeight="1">
      <c r="A1242" s="20">
        <v>362</v>
      </c>
      <c r="B1242" s="20" t="s">
        <v>4320</v>
      </c>
      <c r="C1242" s="19">
        <v>180</v>
      </c>
      <c r="D1242" s="19" t="s">
        <v>7953</v>
      </c>
      <c r="E1242" s="19" t="str">
        <f>VLOOKUP(D1242,'لیست پرسنل'!$B$2:$E$1020,3,FALSE)</f>
        <v>فکورصنعت</v>
      </c>
      <c r="F1242" s="19" t="str">
        <f>VLOOKUP(D1242,'لیست پرسنل'!$B$2:$E$1020,4,FALSE)</f>
        <v>سرپرست فرآیند فولادسازی</v>
      </c>
      <c r="G1242" s="127">
        <f>VLOOKUP(D1242,'لیست پرسنل'!$B$2:$F$1020,2,FALSE)</f>
        <v>4010405</v>
      </c>
      <c r="H1242" s="126" t="s">
        <v>7916</v>
      </c>
      <c r="I1242" s="127" t="s">
        <v>4484</v>
      </c>
      <c r="J1242" s="126" t="s">
        <v>368</v>
      </c>
      <c r="K1242" s="128" t="s">
        <v>8248</v>
      </c>
      <c r="L1242" s="127" t="s">
        <v>2492</v>
      </c>
      <c r="M1242" s="128">
        <v>628904</v>
      </c>
      <c r="N1242" s="108" t="s">
        <v>326</v>
      </c>
      <c r="O1242" s="20" t="s">
        <v>705</v>
      </c>
      <c r="P1242" s="20"/>
      <c r="Q1242" s="20"/>
    </row>
    <row r="1243" spans="1:17" ht="24.9" customHeight="1">
      <c r="A1243" s="20">
        <v>362</v>
      </c>
      <c r="B1243" s="20" t="s">
        <v>4320</v>
      </c>
      <c r="C1243" s="19">
        <v>180</v>
      </c>
      <c r="D1243" s="19" t="s">
        <v>7953</v>
      </c>
      <c r="E1243" s="19" t="str">
        <f>VLOOKUP(D1243,'لیست پرسنل'!$B$2:$E$1020,3,FALSE)</f>
        <v>فکورصنعت</v>
      </c>
      <c r="F1243" s="19" t="str">
        <f>VLOOKUP(D1243,'لیست پرسنل'!$B$2:$E$1020,4,FALSE)</f>
        <v>سرپرست فرآیند فولادسازی</v>
      </c>
      <c r="G1243" s="127">
        <f>VLOOKUP(D1243,'لیست پرسنل'!$B$2:$F$1020,2,FALSE)</f>
        <v>4010405</v>
      </c>
      <c r="H1243" s="126" t="s">
        <v>7916</v>
      </c>
      <c r="I1243" s="127" t="s">
        <v>4484</v>
      </c>
      <c r="J1243" s="141" t="s">
        <v>571</v>
      </c>
      <c r="K1243" s="128" t="s">
        <v>2067</v>
      </c>
      <c r="L1243" s="159" t="s">
        <v>2219</v>
      </c>
      <c r="M1243" s="127">
        <v>628605</v>
      </c>
      <c r="N1243" s="108" t="s">
        <v>326</v>
      </c>
      <c r="O1243" s="19" t="s">
        <v>705</v>
      </c>
      <c r="P1243" s="20"/>
      <c r="Q1243" s="20"/>
    </row>
    <row r="1244" spans="1:17" ht="24.9" customHeight="1">
      <c r="A1244" s="20">
        <v>362</v>
      </c>
      <c r="B1244" s="20" t="s">
        <v>4320</v>
      </c>
      <c r="C1244" s="19">
        <v>180</v>
      </c>
      <c r="D1244" s="19" t="s">
        <v>7953</v>
      </c>
      <c r="E1244" s="19" t="str">
        <f>VLOOKUP(D1244,'لیست پرسنل'!$B$2:$E$1020,3,FALSE)</f>
        <v>فکورصنعت</v>
      </c>
      <c r="F1244" s="19" t="str">
        <f>VLOOKUP(D1244,'لیست پرسنل'!$B$2:$E$1020,4,FALSE)</f>
        <v>سرپرست فرآیند فولادسازی</v>
      </c>
      <c r="G1244" s="127">
        <f>VLOOKUP(D1244,'لیست پرسنل'!$B$2:$F$1020,2,FALSE)</f>
        <v>4010405</v>
      </c>
      <c r="H1244" s="126" t="s">
        <v>7916</v>
      </c>
      <c r="I1244" s="127" t="s">
        <v>4484</v>
      </c>
      <c r="J1244" s="128" t="s">
        <v>2686</v>
      </c>
      <c r="K1244" s="128" t="s">
        <v>2922</v>
      </c>
      <c r="L1244" s="127" t="s">
        <v>3100</v>
      </c>
      <c r="M1244" s="128">
        <v>626584</v>
      </c>
      <c r="N1244" s="108" t="s">
        <v>326</v>
      </c>
      <c r="O1244" s="20" t="s">
        <v>705</v>
      </c>
      <c r="P1244" s="20"/>
      <c r="Q1244" s="20"/>
    </row>
    <row r="1245" spans="1:17" ht="24.9" customHeight="1">
      <c r="A1245" s="20">
        <v>362</v>
      </c>
      <c r="B1245" s="20" t="s">
        <v>4320</v>
      </c>
      <c r="C1245" s="19">
        <v>182</v>
      </c>
      <c r="D1245" s="19" t="s">
        <v>4490</v>
      </c>
      <c r="E1245" s="19" t="str">
        <f>VLOOKUP(D1245,'لیست پرسنل'!$B$2:$E$1020,3,FALSE)</f>
        <v>تات</v>
      </c>
      <c r="F1245" s="19" t="str">
        <f>VLOOKUP(D1245,'لیست پرسنل'!$B$2:$E$1020,4,FALSE)</f>
        <v>نرم افزار آلمیلا</v>
      </c>
      <c r="G1245" s="127" t="str">
        <f>VLOOKUP(D1245,'لیست پرسنل'!$B$2:$F$1020,2,FALSE)</f>
        <v>0</v>
      </c>
      <c r="H1245" s="151" t="s">
        <v>3381</v>
      </c>
      <c r="I1245" s="127" t="s">
        <v>4499</v>
      </c>
      <c r="J1245" s="141" t="s">
        <v>571</v>
      </c>
      <c r="K1245" s="128" t="s">
        <v>571</v>
      </c>
      <c r="L1245" s="127"/>
      <c r="M1245" s="128">
        <v>618370</v>
      </c>
      <c r="N1245" s="108"/>
      <c r="O1245" s="19"/>
      <c r="P1245" s="20"/>
      <c r="Q1245" s="20"/>
    </row>
    <row r="1246" spans="1:17" ht="24.9" customHeight="1">
      <c r="A1246" s="20">
        <v>362</v>
      </c>
      <c r="B1246" s="20" t="s">
        <v>4320</v>
      </c>
      <c r="C1246" s="19">
        <v>182</v>
      </c>
      <c r="D1246" s="19" t="s">
        <v>4490</v>
      </c>
      <c r="E1246" s="19" t="str">
        <f>VLOOKUP(D1246,'لیست پرسنل'!$B$2:$E$1020,3,FALSE)</f>
        <v>تات</v>
      </c>
      <c r="F1246" s="19" t="str">
        <f>VLOOKUP(D1246,'لیست پرسنل'!$B$2:$E$1020,4,FALSE)</f>
        <v>نرم افزار آلمیلا</v>
      </c>
      <c r="G1246" s="127" t="str">
        <f>VLOOKUP(D1246,'لیست پرسنل'!$B$2:$F$1020,2,FALSE)</f>
        <v>0</v>
      </c>
      <c r="H1246" s="151" t="s">
        <v>3381</v>
      </c>
      <c r="I1246" s="127" t="s">
        <v>4499</v>
      </c>
      <c r="J1246" s="128" t="s">
        <v>2686</v>
      </c>
      <c r="K1246" s="128" t="s">
        <v>890</v>
      </c>
      <c r="L1246" s="151" t="s">
        <v>4480</v>
      </c>
      <c r="M1246" s="127">
        <v>607697</v>
      </c>
      <c r="N1246" s="109"/>
      <c r="O1246" s="86"/>
      <c r="P1246" s="20"/>
      <c r="Q1246" s="20"/>
    </row>
    <row r="1247" spans="1:17" ht="24.9" customHeight="1">
      <c r="A1247" s="20">
        <v>362</v>
      </c>
      <c r="B1247" s="20" t="s">
        <v>4320</v>
      </c>
      <c r="C1247" s="19">
        <v>183</v>
      </c>
      <c r="D1247" s="19" t="s">
        <v>4490</v>
      </c>
      <c r="E1247" s="19" t="str">
        <f>VLOOKUP(D1247,'لیست پرسنل'!$B$2:$E$1020,3,FALSE)</f>
        <v>تات</v>
      </c>
      <c r="F1247" s="19" t="str">
        <f>VLOOKUP(D1247,'لیست پرسنل'!$B$2:$E$1020,4,FALSE)</f>
        <v>نرم افزار آلمیلا</v>
      </c>
      <c r="G1247" s="127" t="str">
        <f>VLOOKUP(D1247,'لیست پرسنل'!$B$2:$F$1020,2,FALSE)</f>
        <v>0</v>
      </c>
      <c r="H1247" s="151" t="s">
        <v>3381</v>
      </c>
      <c r="I1247" s="127" t="s">
        <v>4500</v>
      </c>
      <c r="J1247" s="126" t="s">
        <v>368</v>
      </c>
      <c r="K1247" s="128" t="s">
        <v>8248</v>
      </c>
      <c r="L1247" s="127" t="s">
        <v>2495</v>
      </c>
      <c r="M1247" s="128">
        <v>628907</v>
      </c>
      <c r="N1247" s="108"/>
      <c r="O1247" s="20" t="s">
        <v>705</v>
      </c>
      <c r="P1247" s="20"/>
      <c r="Q1247" s="20"/>
    </row>
    <row r="1248" spans="1:17" ht="24.9" customHeight="1">
      <c r="A1248" s="20">
        <v>362</v>
      </c>
      <c r="B1248" s="20" t="s">
        <v>4320</v>
      </c>
      <c r="C1248" s="20">
        <v>184</v>
      </c>
      <c r="D1248" s="20" t="s">
        <v>8607</v>
      </c>
      <c r="E1248" s="19" t="s">
        <v>7049</v>
      </c>
      <c r="F1248" s="19"/>
      <c r="G1248" s="127"/>
      <c r="H1248" s="128" t="s">
        <v>3381</v>
      </c>
      <c r="I1248" s="127" t="s">
        <v>7225</v>
      </c>
      <c r="J1248" s="128" t="s">
        <v>571</v>
      </c>
      <c r="K1248" s="128"/>
      <c r="L1248" s="128"/>
      <c r="M1248" s="127">
        <v>604863</v>
      </c>
      <c r="N1248" s="108"/>
      <c r="O1248" s="20"/>
      <c r="P1248" s="20"/>
      <c r="Q1248" s="20"/>
    </row>
    <row r="1249" spans="1:17" ht="24.9" customHeight="1">
      <c r="A1249" s="20">
        <v>362</v>
      </c>
      <c r="B1249" s="20" t="s">
        <v>4320</v>
      </c>
      <c r="C1249" s="20">
        <v>184</v>
      </c>
      <c r="D1249" s="20" t="s">
        <v>8607</v>
      </c>
      <c r="E1249" s="19" t="s">
        <v>7049</v>
      </c>
      <c r="F1249" s="19"/>
      <c r="G1249" s="127">
        <f>VLOOKUP(D1249,'لیست پرسنل'!$B$2:$F$1020,2,FALSE)</f>
        <v>0</v>
      </c>
      <c r="H1249" s="128" t="s">
        <v>3381</v>
      </c>
      <c r="I1249" s="127" t="s">
        <v>7225</v>
      </c>
      <c r="J1249" s="128" t="s">
        <v>2686</v>
      </c>
      <c r="K1249" s="128" t="s">
        <v>744</v>
      </c>
      <c r="L1249" s="151" t="s">
        <v>1422</v>
      </c>
      <c r="M1249" s="127">
        <v>603253</v>
      </c>
      <c r="N1249" s="109"/>
      <c r="O1249" s="86"/>
      <c r="P1249" s="20"/>
      <c r="Q1249" s="20"/>
    </row>
    <row r="1250" spans="1:17" ht="24.9" customHeight="1">
      <c r="A1250" s="20">
        <v>362</v>
      </c>
      <c r="B1250" s="20" t="s">
        <v>4320</v>
      </c>
      <c r="C1250" s="19">
        <v>185</v>
      </c>
      <c r="D1250" s="19" t="s">
        <v>5010</v>
      </c>
      <c r="E1250" s="19" t="str">
        <f>VLOOKUP(D1250,'لیست پرسنل'!$B$2:$E$1020,3,FALSE)</f>
        <v>شرکت آویسا</v>
      </c>
      <c r="F1250" s="19" t="str">
        <f>VLOOKUP(D1250,'لیست پرسنل'!$B$2:$E$1020,4,FALSE)</f>
        <v>نرم افزار آلمیلا-سپیددانه</v>
      </c>
      <c r="G1250" s="127" t="str">
        <f>VLOOKUP(D1250,'لیست پرسنل'!$B$2:$F$1020,2,FALSE)</f>
        <v>0</v>
      </c>
      <c r="H1250" s="151" t="s">
        <v>3381</v>
      </c>
      <c r="I1250" s="127" t="s">
        <v>4498</v>
      </c>
      <c r="J1250" s="141" t="s">
        <v>571</v>
      </c>
      <c r="K1250" s="128" t="s">
        <v>3784</v>
      </c>
      <c r="L1250" s="128"/>
      <c r="M1250" s="131">
        <v>608769</v>
      </c>
      <c r="N1250" s="111"/>
      <c r="O1250" s="88"/>
      <c r="P1250" s="20"/>
      <c r="Q1250" s="20"/>
    </row>
    <row r="1251" spans="1:17" ht="24.9" customHeight="1">
      <c r="A1251" s="20">
        <v>362</v>
      </c>
      <c r="B1251" s="20" t="s">
        <v>4320</v>
      </c>
      <c r="C1251" s="19">
        <v>185</v>
      </c>
      <c r="D1251" s="19" t="s">
        <v>5010</v>
      </c>
      <c r="E1251" s="19" t="str">
        <f>VLOOKUP(D1251,'لیست پرسنل'!$B$2:$E$1020,3,FALSE)</f>
        <v>شرکت آویسا</v>
      </c>
      <c r="F1251" s="19" t="str">
        <f>VLOOKUP(D1251,'لیست پرسنل'!$B$2:$E$1020,4,FALSE)</f>
        <v>نرم افزار آلمیلا-سپیددانه</v>
      </c>
      <c r="G1251" s="127" t="str">
        <f>VLOOKUP(D1251,'لیست پرسنل'!$B$2:$F$1020,2,FALSE)</f>
        <v>0</v>
      </c>
      <c r="H1251" s="151" t="s">
        <v>3381</v>
      </c>
      <c r="I1251" s="127" t="s">
        <v>4498</v>
      </c>
      <c r="J1251" s="128" t="s">
        <v>2686</v>
      </c>
      <c r="K1251" s="128" t="s">
        <v>320</v>
      </c>
      <c r="L1251" s="151" t="s">
        <v>3237</v>
      </c>
      <c r="M1251" s="127">
        <v>617845</v>
      </c>
      <c r="N1251" s="109" t="s">
        <v>4949</v>
      </c>
      <c r="O1251" s="86" t="s">
        <v>4950</v>
      </c>
      <c r="P1251" s="20"/>
      <c r="Q1251" s="20"/>
    </row>
    <row r="1252" spans="1:17" ht="24.9" customHeight="1">
      <c r="A1252" s="20">
        <v>362</v>
      </c>
      <c r="B1252" s="20" t="s">
        <v>4320</v>
      </c>
      <c r="C1252" s="19">
        <v>186</v>
      </c>
      <c r="D1252" s="20" t="s">
        <v>6885</v>
      </c>
      <c r="E1252" s="19" t="str">
        <f>VLOOKUP(D1252,'لیست پرسنل'!$B$2:$E$1020,3,FALSE)</f>
        <v>نگین تیان پارس</v>
      </c>
      <c r="F1252" s="19" t="str">
        <f>VLOOKUP(D1252,'لیست پرسنل'!$B$2:$E$1020,4,FALSE)</f>
        <v>نرم افزار آلمیلا</v>
      </c>
      <c r="G1252" s="127" t="str">
        <f>VLOOKUP(D1252,'لیست پرسنل'!$B$2:$F$1020,2,FALSE)</f>
        <v>0</v>
      </c>
      <c r="H1252" s="151" t="s">
        <v>3381</v>
      </c>
      <c r="I1252" s="127" t="s">
        <v>4496</v>
      </c>
      <c r="J1252" s="126" t="s">
        <v>368</v>
      </c>
      <c r="K1252" s="128" t="s">
        <v>8248</v>
      </c>
      <c r="L1252" s="127" t="s">
        <v>2501</v>
      </c>
      <c r="M1252" s="131">
        <v>628913</v>
      </c>
      <c r="N1252" s="108"/>
      <c r="O1252" s="20" t="s">
        <v>705</v>
      </c>
      <c r="P1252" s="20"/>
      <c r="Q1252" s="20"/>
    </row>
    <row r="1253" spans="1:17" ht="24.9" customHeight="1">
      <c r="A1253" s="20">
        <v>362</v>
      </c>
      <c r="B1253" s="20" t="s">
        <v>4320</v>
      </c>
      <c r="C1253" s="19">
        <v>186</v>
      </c>
      <c r="D1253" s="20" t="s">
        <v>6885</v>
      </c>
      <c r="E1253" s="19" t="str">
        <f>VLOOKUP(D1253,'لیست پرسنل'!$B$2:$E$1020,3,FALSE)</f>
        <v>نگین تیان پارس</v>
      </c>
      <c r="F1253" s="19" t="str">
        <f>VLOOKUP(D1253,'لیست پرسنل'!$B$2:$E$1020,4,FALSE)</f>
        <v>نرم افزار آلمیلا</v>
      </c>
      <c r="G1253" s="127" t="str">
        <f>VLOOKUP(D1253,'لیست پرسنل'!$B$2:$F$1020,2,FALSE)</f>
        <v>0</v>
      </c>
      <c r="H1253" s="151" t="s">
        <v>3381</v>
      </c>
      <c r="I1253" s="127" t="s">
        <v>4496</v>
      </c>
      <c r="J1253" s="141" t="s">
        <v>571</v>
      </c>
      <c r="K1253" s="128" t="s">
        <v>410</v>
      </c>
      <c r="L1253" s="127" t="s">
        <v>3784</v>
      </c>
      <c r="M1253" s="131">
        <v>604864</v>
      </c>
      <c r="N1253" s="108"/>
      <c r="O1253" s="88"/>
      <c r="P1253" s="20"/>
      <c r="Q1253" s="20"/>
    </row>
    <row r="1254" spans="1:17" ht="24.9" customHeight="1">
      <c r="A1254" s="20">
        <v>362</v>
      </c>
      <c r="B1254" s="20" t="s">
        <v>4320</v>
      </c>
      <c r="C1254" s="19">
        <v>187</v>
      </c>
      <c r="D1254" s="20" t="s">
        <v>6885</v>
      </c>
      <c r="E1254" s="19" t="str">
        <f>VLOOKUP(D1254,'لیست پرسنل'!$B$2:$E$1020,3,FALSE)</f>
        <v>نگین تیان پارس</v>
      </c>
      <c r="F1254" s="19" t="str">
        <f>VLOOKUP(D1254,'لیست پرسنل'!$B$2:$E$1020,4,FALSE)</f>
        <v>نرم افزار آلمیلا</v>
      </c>
      <c r="G1254" s="127" t="str">
        <f>VLOOKUP(D1254,'لیست پرسنل'!$B$2:$F$1020,2,FALSE)</f>
        <v>0</v>
      </c>
      <c r="H1254" s="151" t="s">
        <v>3381</v>
      </c>
      <c r="I1254" s="127" t="s">
        <v>4497</v>
      </c>
      <c r="J1254" s="141" t="s">
        <v>571</v>
      </c>
      <c r="K1254" s="128" t="s">
        <v>571</v>
      </c>
      <c r="L1254" s="127" t="s">
        <v>3784</v>
      </c>
      <c r="M1254" s="128">
        <v>605434</v>
      </c>
      <c r="N1254" s="108"/>
      <c r="O1254" s="19" t="s">
        <v>4148</v>
      </c>
      <c r="P1254" s="20"/>
      <c r="Q1254" s="20"/>
    </row>
    <row r="1255" spans="1:17" ht="24.9" customHeight="1">
      <c r="A1255" s="20">
        <v>362</v>
      </c>
      <c r="B1255" s="20" t="s">
        <v>4320</v>
      </c>
      <c r="C1255" s="19">
        <v>187</v>
      </c>
      <c r="D1255" s="20" t="s">
        <v>6885</v>
      </c>
      <c r="E1255" s="19" t="str">
        <f>VLOOKUP(D1255,'لیست پرسنل'!$B$2:$E$1020,3,FALSE)</f>
        <v>نگین تیان پارس</v>
      </c>
      <c r="F1255" s="19" t="str">
        <f>VLOOKUP(D1255,'لیست پرسنل'!$B$2:$E$1020,4,FALSE)</f>
        <v>نرم افزار آلمیلا</v>
      </c>
      <c r="G1255" s="127" t="str">
        <f>VLOOKUP(D1255,'لیست پرسنل'!$B$2:$F$1020,2,FALSE)</f>
        <v>0</v>
      </c>
      <c r="H1255" s="151" t="s">
        <v>3381</v>
      </c>
      <c r="I1255" s="127" t="s">
        <v>4497</v>
      </c>
      <c r="J1255" s="128" t="s">
        <v>2686</v>
      </c>
      <c r="K1255" s="128" t="s">
        <v>890</v>
      </c>
      <c r="L1255" s="151" t="s">
        <v>1105</v>
      </c>
      <c r="M1255" s="127">
        <v>603299</v>
      </c>
      <c r="N1255" s="109"/>
      <c r="O1255" s="19"/>
      <c r="P1255" s="20"/>
      <c r="Q1255" s="20"/>
    </row>
    <row r="1256" spans="1:17" ht="24.9" customHeight="1">
      <c r="A1256" s="20">
        <v>362</v>
      </c>
      <c r="B1256" s="20" t="s">
        <v>4320</v>
      </c>
      <c r="C1256" s="20">
        <v>187</v>
      </c>
      <c r="D1256" s="20" t="s">
        <v>8395</v>
      </c>
      <c r="E1256" s="19" t="str">
        <f>VLOOKUP(D1256,'لیست پرسنل'!$B$2:$E$1020,3,FALSE)</f>
        <v>نگین تیان پارس</v>
      </c>
      <c r="F1256" s="19" t="str">
        <f>VLOOKUP(D1256,'لیست پرسنل'!$B$2:$E$1020,4,FALSE)</f>
        <v>نرم افزار آلمیلا</v>
      </c>
      <c r="G1256" s="127">
        <f>VLOOKUP(D1256,'لیست پرسنل'!$B$2:$F$1020,2,FALSE)</f>
        <v>0</v>
      </c>
      <c r="H1256" s="128" t="s">
        <v>8394</v>
      </c>
      <c r="I1256" s="128" t="s">
        <v>4497</v>
      </c>
      <c r="J1256" s="128" t="s">
        <v>737</v>
      </c>
      <c r="K1256" s="128" t="s">
        <v>1793</v>
      </c>
      <c r="L1256" s="128" t="s">
        <v>501</v>
      </c>
      <c r="M1256" s="134">
        <v>606000</v>
      </c>
      <c r="N1256" s="108" t="s">
        <v>326</v>
      </c>
      <c r="O1256" s="46"/>
      <c r="P1256" s="20"/>
      <c r="Q1256" s="20"/>
    </row>
    <row r="1257" spans="1:17" ht="24.9" customHeight="1">
      <c r="A1257" s="20">
        <v>362</v>
      </c>
      <c r="B1257" s="20" t="s">
        <v>4320</v>
      </c>
      <c r="C1257" s="19">
        <v>188</v>
      </c>
      <c r="D1257" s="19" t="s">
        <v>6960</v>
      </c>
      <c r="E1257" s="19" t="str">
        <f>VLOOKUP(D1257,'لیست پرسنل'!$B$2:$E$1020,3,FALSE)</f>
        <v>احیا فولاد</v>
      </c>
      <c r="F1257" s="19" t="str">
        <f>VLOOKUP(D1257,'لیست پرسنل'!$B$2:$E$1020,4,FALSE)</f>
        <v>نرم افزار آلمیلا</v>
      </c>
      <c r="G1257" s="127" t="str">
        <f>VLOOKUP(D1257,'لیست پرسنل'!$B$2:$F$1020,2,FALSE)</f>
        <v>0</v>
      </c>
      <c r="H1257" s="151" t="s">
        <v>3381</v>
      </c>
      <c r="I1257" s="127" t="s">
        <v>6962</v>
      </c>
      <c r="J1257" s="128" t="s">
        <v>3481</v>
      </c>
      <c r="K1257" s="128" t="s">
        <v>6963</v>
      </c>
      <c r="L1257" s="150" t="s">
        <v>4149</v>
      </c>
      <c r="M1257" s="126" t="s">
        <v>291</v>
      </c>
      <c r="N1257" s="108"/>
      <c r="O1257" s="20" t="s">
        <v>678</v>
      </c>
      <c r="P1257" s="20"/>
      <c r="Q1257" s="20"/>
    </row>
    <row r="1258" spans="1:17" ht="24.9" customHeight="1">
      <c r="A1258" s="185">
        <v>362</v>
      </c>
      <c r="B1258" s="185" t="s">
        <v>4320</v>
      </c>
      <c r="C1258" s="186">
        <v>188</v>
      </c>
      <c r="D1258" s="208" t="s">
        <v>6960</v>
      </c>
      <c r="E1258" s="186" t="str">
        <f>VLOOKUP(D1258,'لیست پرسنل'!$B$2:$E$1020,3,FALSE)</f>
        <v>احیا فولاد</v>
      </c>
      <c r="F1258" s="186" t="str">
        <f>VLOOKUP(D1258,'لیست پرسنل'!$B$2:$E$1020,4,FALSE)</f>
        <v>نرم افزار آلمیلا</v>
      </c>
      <c r="G1258" s="187" t="str">
        <f>VLOOKUP(D1258,'لیست پرسنل'!$B$2:$F$1020,2,FALSE)</f>
        <v>0</v>
      </c>
      <c r="H1258" s="206" t="s">
        <v>3381</v>
      </c>
      <c r="I1258" s="190" t="s">
        <v>6962</v>
      </c>
      <c r="J1258" s="187" t="s">
        <v>571</v>
      </c>
      <c r="K1258" s="188" t="s">
        <v>3784</v>
      </c>
      <c r="L1258" s="206"/>
      <c r="M1258" s="190">
        <v>608760</v>
      </c>
      <c r="N1258" s="189"/>
      <c r="O1258" s="186"/>
      <c r="P1258" s="185"/>
      <c r="Q1258" s="185"/>
    </row>
    <row r="1259" spans="1:17" ht="24.9" customHeight="1">
      <c r="A1259" s="20">
        <v>362</v>
      </c>
      <c r="B1259" s="20" t="s">
        <v>4320</v>
      </c>
      <c r="C1259" s="19">
        <v>188</v>
      </c>
      <c r="D1259" s="19" t="s">
        <v>6960</v>
      </c>
      <c r="E1259" s="19" t="str">
        <f>VLOOKUP(D1259,'لیست پرسنل'!$B$2:$E$1020,3,FALSE)</f>
        <v>احیا فولاد</v>
      </c>
      <c r="F1259" s="19" t="str">
        <f>VLOOKUP(D1259,'لیست پرسنل'!$B$2:$E$1020,4,FALSE)</f>
        <v>نرم افزار آلمیلا</v>
      </c>
      <c r="G1259" s="127" t="str">
        <f>VLOOKUP(D1259,'لیست پرسنل'!$B$2:$F$1020,2,FALSE)</f>
        <v>0</v>
      </c>
      <c r="H1259" s="151" t="s">
        <v>3381</v>
      </c>
      <c r="I1259" s="127" t="s">
        <v>6962</v>
      </c>
      <c r="J1259" s="128" t="s">
        <v>2686</v>
      </c>
      <c r="K1259" s="128" t="s">
        <v>320</v>
      </c>
      <c r="L1259" s="154" t="s">
        <v>1886</v>
      </c>
      <c r="M1259" s="127">
        <v>611445</v>
      </c>
      <c r="N1259" s="109"/>
      <c r="O1259" s="19"/>
      <c r="P1259" s="20"/>
      <c r="Q1259" s="20"/>
    </row>
    <row r="1260" spans="1:17" ht="24.9" customHeight="1">
      <c r="A1260" s="20">
        <v>362</v>
      </c>
      <c r="B1260" s="20" t="s">
        <v>4320</v>
      </c>
      <c r="C1260" s="20">
        <v>192</v>
      </c>
      <c r="D1260" s="20" t="s">
        <v>4940</v>
      </c>
      <c r="E1260" s="19" t="str">
        <f>VLOOKUP(D1260,'لیست پرسنل'!$B$2:$E$1020,3,FALSE)</f>
        <v>جوش آزما جی</v>
      </c>
      <c r="F1260" s="19">
        <f>VLOOKUP(D1260,'لیست پرسنل'!$B$2:$E$1020,4,FALSE)</f>
        <v>0</v>
      </c>
      <c r="G1260" s="127">
        <f>VLOOKUP(D1260,'لیست پرسنل'!$B$2:$F$1020,2,FALSE)</f>
        <v>0</v>
      </c>
      <c r="H1260" s="126" t="s">
        <v>3381</v>
      </c>
      <c r="I1260" s="128" t="s">
        <v>4942</v>
      </c>
      <c r="J1260" s="126" t="s">
        <v>368</v>
      </c>
      <c r="K1260" s="128" t="s">
        <v>8248</v>
      </c>
      <c r="L1260" s="127" t="s">
        <v>2283</v>
      </c>
      <c r="M1260" s="128">
        <v>628688</v>
      </c>
      <c r="N1260" s="108"/>
      <c r="O1260" s="20" t="s">
        <v>705</v>
      </c>
      <c r="P1260" s="20"/>
      <c r="Q1260" s="20"/>
    </row>
    <row r="1261" spans="1:17" ht="24.9" customHeight="1">
      <c r="A1261" s="20">
        <v>362</v>
      </c>
      <c r="B1261" s="20" t="s">
        <v>4320</v>
      </c>
      <c r="C1261" s="20">
        <v>192</v>
      </c>
      <c r="D1261" s="20" t="s">
        <v>4940</v>
      </c>
      <c r="E1261" s="19" t="str">
        <f>VLOOKUP(D1261,'لیست پرسنل'!$B$2:$E$1020,3,FALSE)</f>
        <v>جوش آزما جی</v>
      </c>
      <c r="F1261" s="19">
        <f>VLOOKUP(D1261,'لیست پرسنل'!$B$2:$E$1020,4,FALSE)</f>
        <v>0</v>
      </c>
      <c r="G1261" s="127">
        <f>VLOOKUP(D1261,'لیست پرسنل'!$B$2:$F$1020,2,FALSE)</f>
        <v>0</v>
      </c>
      <c r="H1261" s="126" t="s">
        <v>3381</v>
      </c>
      <c r="I1261" s="128" t="s">
        <v>4942</v>
      </c>
      <c r="J1261" s="141" t="s">
        <v>571</v>
      </c>
      <c r="K1261" s="135" t="s">
        <v>1951</v>
      </c>
      <c r="L1261" s="165" t="s">
        <v>2219</v>
      </c>
      <c r="M1261" s="128">
        <v>629911</v>
      </c>
      <c r="N1261" s="108"/>
      <c r="O1261" s="20" t="s">
        <v>705</v>
      </c>
      <c r="P1261" s="20"/>
      <c r="Q1261" s="20"/>
    </row>
    <row r="1262" spans="1:17" ht="24.9" customHeight="1">
      <c r="A1262" s="20">
        <v>362</v>
      </c>
      <c r="B1262" s="20" t="s">
        <v>4320</v>
      </c>
      <c r="C1262" s="20">
        <v>192</v>
      </c>
      <c r="D1262" s="20" t="s">
        <v>4940</v>
      </c>
      <c r="E1262" s="19" t="str">
        <f>VLOOKUP(D1262,'لیست پرسنل'!$B$2:$E$1020,3,FALSE)</f>
        <v>جوش آزما جی</v>
      </c>
      <c r="F1262" s="19">
        <f>VLOOKUP(D1262,'لیست پرسنل'!$B$2:$E$1020,4,FALSE)</f>
        <v>0</v>
      </c>
      <c r="G1262" s="127">
        <f>VLOOKUP(D1262,'لیست پرسنل'!$B$2:$F$1020,2,FALSE)</f>
        <v>0</v>
      </c>
      <c r="H1262" s="126" t="s">
        <v>3381</v>
      </c>
      <c r="I1262" s="128" t="s">
        <v>4942</v>
      </c>
      <c r="J1262" s="128" t="s">
        <v>2686</v>
      </c>
      <c r="K1262" s="128" t="s">
        <v>890</v>
      </c>
      <c r="L1262" s="150" t="s">
        <v>1410</v>
      </c>
      <c r="M1262" s="127">
        <v>603255</v>
      </c>
      <c r="N1262" s="109"/>
      <c r="O1262" s="19"/>
      <c r="P1262" s="20"/>
      <c r="Q1262" s="20"/>
    </row>
    <row r="1263" spans="1:17" ht="24.9" customHeight="1">
      <c r="A1263" s="20">
        <v>362</v>
      </c>
      <c r="B1263" s="20" t="s">
        <v>4320</v>
      </c>
      <c r="C1263" s="20">
        <v>194</v>
      </c>
      <c r="D1263" s="20" t="s">
        <v>5505</v>
      </c>
      <c r="E1263" s="19" t="str">
        <f>VLOOKUP(D1263,'لیست پرسنل'!$B$2:$E$1020,3,FALSE)</f>
        <v>مهرفام</v>
      </c>
      <c r="F1263" s="19" t="str">
        <f>VLOOKUP(D1263,'لیست پرسنل'!$B$2:$E$1020,4,FALSE)</f>
        <v>کنترل کیفیت</v>
      </c>
      <c r="G1263" s="127" t="str">
        <f>VLOOKUP(D1263,'لیست پرسنل'!$B$2:$F$1020,2,FALSE)</f>
        <v>100610</v>
      </c>
      <c r="H1263" s="126" t="s">
        <v>8573</v>
      </c>
      <c r="I1263" s="128" t="s">
        <v>5504</v>
      </c>
      <c r="J1263" s="126" t="s">
        <v>368</v>
      </c>
      <c r="K1263" s="135" t="s">
        <v>8248</v>
      </c>
      <c r="L1263" s="127" t="s">
        <v>2292</v>
      </c>
      <c r="M1263" s="128">
        <v>628698</v>
      </c>
      <c r="N1263" s="108"/>
      <c r="O1263" s="20" t="s">
        <v>705</v>
      </c>
      <c r="P1263" s="20"/>
      <c r="Q1263" s="20"/>
    </row>
    <row r="1264" spans="1:17" ht="24.9" customHeight="1">
      <c r="A1264" s="20">
        <v>362</v>
      </c>
      <c r="B1264" s="20" t="s">
        <v>4320</v>
      </c>
      <c r="C1264" s="20">
        <v>194</v>
      </c>
      <c r="D1264" s="20" t="s">
        <v>5505</v>
      </c>
      <c r="E1264" s="19" t="str">
        <f>VLOOKUP(D1264,'لیست پرسنل'!$B$2:$E$1020,3,FALSE)</f>
        <v>مهرفام</v>
      </c>
      <c r="F1264" s="19" t="str">
        <f>VLOOKUP(D1264,'لیست پرسنل'!$B$2:$E$1020,4,FALSE)</f>
        <v>کنترل کیفیت</v>
      </c>
      <c r="G1264" s="127" t="str">
        <f>VLOOKUP(D1264,'لیست پرسنل'!$B$2:$F$1020,2,FALSE)</f>
        <v>100610</v>
      </c>
      <c r="H1264" s="126" t="s">
        <v>8573</v>
      </c>
      <c r="I1264" s="128" t="s">
        <v>5504</v>
      </c>
      <c r="J1264" s="141" t="s">
        <v>571</v>
      </c>
      <c r="K1264" s="128" t="s">
        <v>1951</v>
      </c>
      <c r="L1264" s="165" t="s">
        <v>2219</v>
      </c>
      <c r="M1264" s="128">
        <v>629716</v>
      </c>
      <c r="N1264" s="108"/>
      <c r="O1264" s="20" t="s">
        <v>705</v>
      </c>
      <c r="P1264" s="20"/>
      <c r="Q1264" s="20"/>
    </row>
    <row r="1265" spans="1:17" ht="24.9" customHeight="1">
      <c r="A1265" s="20">
        <v>362</v>
      </c>
      <c r="B1265" s="20" t="s">
        <v>4320</v>
      </c>
      <c r="C1265" s="20">
        <v>194</v>
      </c>
      <c r="D1265" s="20" t="s">
        <v>5505</v>
      </c>
      <c r="E1265" s="19" t="str">
        <f>VLOOKUP(D1265,'لیست پرسنل'!$B$2:$E$1020,3,FALSE)</f>
        <v>مهرفام</v>
      </c>
      <c r="F1265" s="19" t="str">
        <f>VLOOKUP(D1265,'لیست پرسنل'!$B$2:$E$1020,4,FALSE)</f>
        <v>کنترل کیفیت</v>
      </c>
      <c r="G1265" s="127" t="str">
        <f>VLOOKUP(D1265,'لیست پرسنل'!$B$2:$F$1020,2,FALSE)</f>
        <v>100610</v>
      </c>
      <c r="H1265" s="126" t="s">
        <v>8573</v>
      </c>
      <c r="I1265" s="128" t="s">
        <v>5504</v>
      </c>
      <c r="J1265" s="128" t="s">
        <v>2686</v>
      </c>
      <c r="K1265" s="128" t="s">
        <v>744</v>
      </c>
      <c r="L1265" s="151" t="s">
        <v>5168</v>
      </c>
      <c r="M1265" s="127">
        <v>604288</v>
      </c>
      <c r="N1265" s="109"/>
      <c r="O1265" s="19"/>
      <c r="P1265" s="20"/>
      <c r="Q1265" s="20"/>
    </row>
    <row r="1266" spans="1:17" ht="24.9" customHeight="1">
      <c r="A1266" s="20">
        <v>362</v>
      </c>
      <c r="B1266" s="20" t="s">
        <v>4320</v>
      </c>
      <c r="C1266" s="20">
        <v>195</v>
      </c>
      <c r="D1266" s="20" t="s">
        <v>7999</v>
      </c>
      <c r="E1266" s="19" t="str">
        <f>VLOOKUP(D1266,'لیست پرسنل'!$B$2:$E$1020,3,FALSE)</f>
        <v xml:space="preserve">رستاک </v>
      </c>
      <c r="F1266" s="19" t="str">
        <f>VLOOKUP(D1266,'لیست پرسنل'!$B$2:$E$1020,4,FALSE)</f>
        <v xml:space="preserve"> برق و ابزار دقیق </v>
      </c>
      <c r="G1266" s="127">
        <f>VLOOKUP(D1266,'لیست پرسنل'!$B$2:$F$1020,2,FALSE)</f>
        <v>100668</v>
      </c>
      <c r="H1266" s="127" t="s">
        <v>8417</v>
      </c>
      <c r="I1266" s="127" t="s">
        <v>5126</v>
      </c>
      <c r="J1266" s="126" t="s">
        <v>368</v>
      </c>
      <c r="K1266" s="128" t="s">
        <v>8248</v>
      </c>
      <c r="L1266" s="127" t="s">
        <v>2494</v>
      </c>
      <c r="M1266" s="128">
        <v>628906</v>
      </c>
      <c r="N1266" s="108" t="s">
        <v>326</v>
      </c>
      <c r="O1266" s="20" t="s">
        <v>705</v>
      </c>
      <c r="P1266" s="20"/>
      <c r="Q1266" s="20"/>
    </row>
    <row r="1267" spans="1:17" ht="24.9" customHeight="1">
      <c r="A1267" s="20">
        <v>362</v>
      </c>
      <c r="B1267" s="20" t="s">
        <v>4320</v>
      </c>
      <c r="C1267" s="19">
        <v>195</v>
      </c>
      <c r="D1267" s="19" t="s">
        <v>7999</v>
      </c>
      <c r="E1267" s="19" t="str">
        <f>VLOOKUP(D1267,'لیست پرسنل'!$B$2:$E$1020,3,FALSE)</f>
        <v xml:space="preserve">رستاک </v>
      </c>
      <c r="F1267" s="19" t="str">
        <f>VLOOKUP(D1267,'لیست پرسنل'!$B$2:$E$1020,4,FALSE)</f>
        <v xml:space="preserve"> برق و ابزار دقیق </v>
      </c>
      <c r="G1267" s="127">
        <f>VLOOKUP(D1267,'لیست پرسنل'!$B$2:$F$1020,2,FALSE)</f>
        <v>100668</v>
      </c>
      <c r="H1267" s="127" t="s">
        <v>8417</v>
      </c>
      <c r="I1267" s="127" t="s">
        <v>5126</v>
      </c>
      <c r="J1267" s="141" t="s">
        <v>571</v>
      </c>
      <c r="K1267" s="128" t="s">
        <v>1951</v>
      </c>
      <c r="L1267" s="128" t="s">
        <v>5126</v>
      </c>
      <c r="M1267" s="128">
        <v>629711</v>
      </c>
      <c r="N1267" s="108" t="s">
        <v>326</v>
      </c>
      <c r="O1267" s="20" t="s">
        <v>705</v>
      </c>
      <c r="P1267" s="20"/>
      <c r="Q1267" s="20"/>
    </row>
    <row r="1268" spans="1:17" ht="24.9" customHeight="1">
      <c r="A1268" s="20">
        <v>362</v>
      </c>
      <c r="B1268" s="20" t="s">
        <v>4320</v>
      </c>
      <c r="C1268" s="19">
        <v>195</v>
      </c>
      <c r="D1268" s="20" t="s">
        <v>7999</v>
      </c>
      <c r="E1268" s="19" t="str">
        <f>VLOOKUP(D1268,'لیست پرسنل'!$B$2:$E$1020,3,FALSE)</f>
        <v xml:space="preserve">رستاک </v>
      </c>
      <c r="F1268" s="19" t="str">
        <f>VLOOKUP(D1268,'لیست پرسنل'!$B$2:$E$1020,4,FALSE)</f>
        <v xml:space="preserve"> برق و ابزار دقیق </v>
      </c>
      <c r="G1268" s="127">
        <f>VLOOKUP(D1268,'لیست پرسنل'!$B$2:$F$1020,2,FALSE)</f>
        <v>100668</v>
      </c>
      <c r="H1268" s="127" t="s">
        <v>8417</v>
      </c>
      <c r="I1268" s="127" t="s">
        <v>5126</v>
      </c>
      <c r="J1268" s="128" t="s">
        <v>2686</v>
      </c>
      <c r="K1268" s="128" t="s">
        <v>2922</v>
      </c>
      <c r="L1268" s="151" t="s">
        <v>3012</v>
      </c>
      <c r="M1268" s="127">
        <v>626495</v>
      </c>
      <c r="N1268" s="108" t="s">
        <v>326</v>
      </c>
      <c r="O1268" s="86"/>
      <c r="P1268" s="20"/>
      <c r="Q1268" s="20"/>
    </row>
    <row r="1269" spans="1:17" ht="24.9" customHeight="1">
      <c r="A1269" s="20">
        <v>362</v>
      </c>
      <c r="B1269" s="20" t="s">
        <v>4320</v>
      </c>
      <c r="C1269" s="19">
        <v>196</v>
      </c>
      <c r="D1269" s="20" t="s">
        <v>5232</v>
      </c>
      <c r="E1269" s="19" t="str">
        <f>VLOOKUP(D1269,'لیست پرسنل'!$B$2:$E$1020,3,FALSE)</f>
        <v>مهرفام</v>
      </c>
      <c r="F1269" s="19" t="str">
        <f>VLOOKUP(D1269,'لیست پرسنل'!$B$2:$E$1020,4,FALSE)</f>
        <v>مکانیک</v>
      </c>
      <c r="G1269" s="127">
        <f>VLOOKUP(D1269,'لیست پرسنل'!$B$2:$F$1020,2,FALSE)</f>
        <v>100614</v>
      </c>
      <c r="H1269" s="126" t="s">
        <v>3381</v>
      </c>
      <c r="I1269" s="128" t="s">
        <v>5233</v>
      </c>
      <c r="J1269" s="126" t="s">
        <v>368</v>
      </c>
      <c r="K1269" s="128" t="s">
        <v>8248</v>
      </c>
      <c r="L1269" s="127" t="s">
        <v>2324</v>
      </c>
      <c r="M1269" s="128">
        <v>628730</v>
      </c>
      <c r="N1269" s="108"/>
      <c r="O1269" s="20" t="s">
        <v>705</v>
      </c>
      <c r="P1269" s="20"/>
      <c r="Q1269" s="20"/>
    </row>
    <row r="1270" spans="1:17" ht="24.9" customHeight="1">
      <c r="A1270" s="20">
        <v>362</v>
      </c>
      <c r="B1270" s="20" t="s">
        <v>4320</v>
      </c>
      <c r="C1270" s="19">
        <v>196</v>
      </c>
      <c r="D1270" s="20" t="s">
        <v>5232</v>
      </c>
      <c r="E1270" s="19" t="str">
        <f>VLOOKUP(D1270,'لیست پرسنل'!$B$2:$E$1020,3,FALSE)</f>
        <v>مهرفام</v>
      </c>
      <c r="F1270" s="19" t="str">
        <f>VLOOKUP(D1270,'لیست پرسنل'!$B$2:$E$1020,4,FALSE)</f>
        <v>مکانیک</v>
      </c>
      <c r="G1270" s="127">
        <f>VLOOKUP(D1270,'لیست پرسنل'!$B$2:$F$1020,2,FALSE)</f>
        <v>100614</v>
      </c>
      <c r="H1270" s="126" t="s">
        <v>3381</v>
      </c>
      <c r="I1270" s="128" t="s">
        <v>5233</v>
      </c>
      <c r="J1270" s="141" t="s">
        <v>571</v>
      </c>
      <c r="K1270" s="128" t="s">
        <v>1951</v>
      </c>
      <c r="L1270" s="165" t="s">
        <v>2219</v>
      </c>
      <c r="M1270" s="128">
        <v>629919</v>
      </c>
      <c r="N1270" s="108"/>
      <c r="O1270" s="20" t="s">
        <v>705</v>
      </c>
      <c r="P1270" s="20"/>
      <c r="Q1270" s="20"/>
    </row>
    <row r="1271" spans="1:17" ht="24.9" customHeight="1">
      <c r="A1271" s="20">
        <v>362</v>
      </c>
      <c r="B1271" s="20" t="s">
        <v>4320</v>
      </c>
      <c r="C1271" s="19">
        <v>196</v>
      </c>
      <c r="D1271" s="20" t="s">
        <v>5232</v>
      </c>
      <c r="E1271" s="19" t="str">
        <f>VLOOKUP(D1271,'لیست پرسنل'!$B$2:$E$1020,3,FALSE)</f>
        <v>مهرفام</v>
      </c>
      <c r="F1271" s="19" t="str">
        <f>VLOOKUP(D1271,'لیست پرسنل'!$B$2:$E$1020,4,FALSE)</f>
        <v>مکانیک</v>
      </c>
      <c r="G1271" s="127">
        <f>VLOOKUP(D1271,'لیست پرسنل'!$B$2:$F$1020,2,FALSE)</f>
        <v>100614</v>
      </c>
      <c r="H1271" s="126" t="s">
        <v>3381</v>
      </c>
      <c r="I1271" s="128" t="s">
        <v>5233</v>
      </c>
      <c r="J1271" s="128" t="s">
        <v>2686</v>
      </c>
      <c r="K1271" s="128" t="s">
        <v>2922</v>
      </c>
      <c r="L1271" s="127" t="s">
        <v>3095</v>
      </c>
      <c r="M1271" s="128">
        <v>626579</v>
      </c>
      <c r="N1271" s="108"/>
      <c r="O1271" s="20" t="s">
        <v>705</v>
      </c>
      <c r="P1271" s="20"/>
      <c r="Q1271" s="20"/>
    </row>
    <row r="1272" spans="1:17" ht="24.9" customHeight="1">
      <c r="A1272" s="20">
        <v>362</v>
      </c>
      <c r="B1272" s="20" t="s">
        <v>4320</v>
      </c>
      <c r="C1272" s="20">
        <v>197</v>
      </c>
      <c r="D1272" s="19" t="s">
        <v>326</v>
      </c>
      <c r="E1272" s="19" t="str">
        <f>VLOOKUP(D1272,'لیست پرسنل'!$B$2:$E$1020,3,FALSE)</f>
        <v>فکورصنعت</v>
      </c>
      <c r="F1272" s="19" t="str">
        <f>VLOOKUP(D1272,'لیست پرسنل'!$B$2:$E$1020,4,FALSE)</f>
        <v>انبار</v>
      </c>
      <c r="G1272" s="127">
        <f>VLOOKUP(D1272,'لیست پرسنل'!$B$2:$F$1020,2,FALSE)</f>
        <v>98141</v>
      </c>
      <c r="H1272" s="128" t="s">
        <v>4078</v>
      </c>
      <c r="I1272" s="128" t="s">
        <v>5444</v>
      </c>
      <c r="J1272" s="128" t="s">
        <v>5366</v>
      </c>
      <c r="K1272" s="128" t="s">
        <v>5239</v>
      </c>
      <c r="L1272" s="126" t="s">
        <v>5240</v>
      </c>
      <c r="M1272" s="126">
        <v>629932</v>
      </c>
      <c r="N1272" s="108"/>
      <c r="O1272" s="91"/>
      <c r="P1272" s="20"/>
      <c r="Q1272" s="20"/>
    </row>
    <row r="1273" spans="1:17" ht="24.9" customHeight="1">
      <c r="A1273" s="20">
        <v>362</v>
      </c>
      <c r="B1273" s="20" t="s">
        <v>4320</v>
      </c>
      <c r="C1273" s="19">
        <v>198</v>
      </c>
      <c r="D1273" s="19" t="s">
        <v>360</v>
      </c>
      <c r="E1273" s="19" t="str">
        <f>VLOOKUP(D1273,'لیست پرسنل'!$B$2:$E$1020,3,FALSE)</f>
        <v>فرزان-MC</v>
      </c>
      <c r="F1273" s="19" t="str">
        <f>VLOOKUP(D1273,'لیست پرسنل'!$B$2:$E$1020,4,FALSE)</f>
        <v>نظارت سیویل</v>
      </c>
      <c r="G1273" s="127" t="str">
        <f>VLOOKUP(D1273,'لیست پرسنل'!$B$2:$F$1020,2,FALSE)</f>
        <v>0</v>
      </c>
      <c r="H1273" s="151" t="s">
        <v>7002</v>
      </c>
      <c r="I1273" s="127"/>
      <c r="J1273" s="128" t="s">
        <v>885</v>
      </c>
      <c r="K1273" s="128" t="s">
        <v>3246</v>
      </c>
      <c r="L1273" s="127" t="s">
        <v>3247</v>
      </c>
      <c r="M1273" s="127">
        <v>620834</v>
      </c>
      <c r="N1273" s="108" t="s">
        <v>326</v>
      </c>
      <c r="O1273" s="20"/>
      <c r="P1273" s="20"/>
      <c r="Q1273" s="20"/>
    </row>
    <row r="1274" spans="1:17" ht="24.9" customHeight="1">
      <c r="A1274" s="20">
        <v>362</v>
      </c>
      <c r="B1274" s="20" t="s">
        <v>4320</v>
      </c>
      <c r="C1274" s="20">
        <v>198</v>
      </c>
      <c r="D1274" s="20" t="s">
        <v>8221</v>
      </c>
      <c r="E1274" s="19" t="str">
        <f>VLOOKUP(D1274,'لیست پرسنل'!$B$2:$E$1020,3,FALSE)</f>
        <v>آهن مهام</v>
      </c>
      <c r="F1274" s="19" t="str">
        <f>VLOOKUP(D1274,'لیست پرسنل'!$B$2:$E$1020,4,FALSE)</f>
        <v>مکانیک</v>
      </c>
      <c r="G1274" s="127">
        <f>VLOOKUP(D1274,'لیست پرسنل'!$B$2:$F$1020,2,FALSE)</f>
        <v>100673</v>
      </c>
      <c r="H1274" s="126" t="s">
        <v>7956</v>
      </c>
      <c r="I1274" s="128" t="s">
        <v>8220</v>
      </c>
      <c r="J1274" s="127" t="s">
        <v>571</v>
      </c>
      <c r="K1274" s="128" t="s">
        <v>2219</v>
      </c>
      <c r="L1274" s="127" t="s">
        <v>8220</v>
      </c>
      <c r="M1274" s="127">
        <v>628128</v>
      </c>
      <c r="N1274" s="109"/>
      <c r="O1274" s="19"/>
      <c r="P1274" s="20"/>
      <c r="Q1274" s="20"/>
    </row>
    <row r="1275" spans="1:17" ht="24.9" customHeight="1">
      <c r="A1275" s="20">
        <v>362</v>
      </c>
      <c r="B1275" s="20" t="s">
        <v>4320</v>
      </c>
      <c r="C1275" s="20">
        <v>198</v>
      </c>
      <c r="D1275" s="20" t="s">
        <v>8221</v>
      </c>
      <c r="E1275" s="19" t="str">
        <f>VLOOKUP(D1275,'لیست پرسنل'!$B$2:$E$1020,3,FALSE)</f>
        <v>آهن مهام</v>
      </c>
      <c r="F1275" s="19" t="str">
        <f>VLOOKUP(D1275,'لیست پرسنل'!$B$2:$E$1020,4,FALSE)</f>
        <v>مکانیک</v>
      </c>
      <c r="G1275" s="127">
        <f>VLOOKUP(D1275,'لیست پرسنل'!$B$2:$F$1020,2,FALSE)</f>
        <v>100673</v>
      </c>
      <c r="H1275" s="126" t="s">
        <v>7956</v>
      </c>
      <c r="I1275" s="128" t="s">
        <v>8220</v>
      </c>
      <c r="J1275" s="128" t="s">
        <v>2686</v>
      </c>
      <c r="K1275" s="127" t="s">
        <v>332</v>
      </c>
      <c r="L1275" s="151" t="s">
        <v>1116</v>
      </c>
      <c r="M1275" s="127">
        <v>604329</v>
      </c>
      <c r="N1275" s="109"/>
      <c r="O1275" s="19"/>
      <c r="P1275" s="20"/>
      <c r="Q1275" s="20"/>
    </row>
    <row r="1276" spans="1:17" ht="24.9" customHeight="1">
      <c r="A1276" s="20">
        <v>362</v>
      </c>
      <c r="B1276" s="20" t="s">
        <v>4320</v>
      </c>
      <c r="C1276" s="19">
        <v>199</v>
      </c>
      <c r="D1276" s="19" t="s">
        <v>3385</v>
      </c>
      <c r="E1276" s="19" t="str">
        <f>VLOOKUP(D1276,'لیست پرسنل'!$B$2:$E$1020,3,FALSE)</f>
        <v>نقشه برداری</v>
      </c>
      <c r="F1276" s="19" t="str">
        <f>VLOOKUP(D1276,'لیست پرسنل'!$B$2:$E$1020,4,FALSE)</f>
        <v>نقشه برداری</v>
      </c>
      <c r="G1276" s="127" t="str">
        <f>VLOOKUP(D1276,'لیست پرسنل'!$B$2:$F$1020,2,FALSE)</f>
        <v>0</v>
      </c>
      <c r="H1276" s="126" t="s">
        <v>7384</v>
      </c>
      <c r="I1276" s="127" t="s">
        <v>7385</v>
      </c>
      <c r="J1276" s="131" t="s">
        <v>571</v>
      </c>
      <c r="K1276" s="128"/>
      <c r="L1276" s="150" t="s">
        <v>3784</v>
      </c>
      <c r="M1276" s="128">
        <v>608757</v>
      </c>
      <c r="N1276" s="108"/>
      <c r="O1276" s="20" t="s">
        <v>4933</v>
      </c>
      <c r="P1276" s="20"/>
      <c r="Q1276" s="20"/>
    </row>
    <row r="1277" spans="1:17" ht="24.9" customHeight="1">
      <c r="A1277" s="20">
        <v>362</v>
      </c>
      <c r="B1277" s="20" t="s">
        <v>4320</v>
      </c>
      <c r="C1277" s="19">
        <v>199</v>
      </c>
      <c r="D1277" s="19" t="s">
        <v>3385</v>
      </c>
      <c r="E1277" s="19" t="str">
        <f>VLOOKUP(D1277,'لیست پرسنل'!$B$2:$E$1020,3,FALSE)</f>
        <v>نقشه برداری</v>
      </c>
      <c r="F1277" s="19" t="str">
        <f>VLOOKUP(D1277,'لیست پرسنل'!$B$2:$E$1020,4,FALSE)</f>
        <v>نقشه برداری</v>
      </c>
      <c r="G1277" s="127" t="str">
        <f>VLOOKUP(D1277,'لیست پرسنل'!$B$2:$F$1020,2,FALSE)</f>
        <v>0</v>
      </c>
      <c r="H1277" s="126" t="s">
        <v>7384</v>
      </c>
      <c r="I1277" s="127" t="s">
        <v>7385</v>
      </c>
      <c r="J1277" s="128" t="s">
        <v>2686</v>
      </c>
      <c r="K1277" s="127" t="s">
        <v>744</v>
      </c>
      <c r="L1277" s="151" t="s">
        <v>1416</v>
      </c>
      <c r="M1277" s="127">
        <v>613927</v>
      </c>
      <c r="N1277" s="109"/>
      <c r="O1277" s="19"/>
      <c r="P1277" s="20"/>
      <c r="Q1277" s="20"/>
    </row>
    <row r="1278" spans="1:17" ht="24.9" customHeight="1">
      <c r="A1278" s="20">
        <v>362</v>
      </c>
      <c r="B1278" s="20" t="s">
        <v>4320</v>
      </c>
      <c r="C1278" s="19">
        <v>200</v>
      </c>
      <c r="D1278" s="19" t="s">
        <v>5338</v>
      </c>
      <c r="E1278" s="19" t="str">
        <f>VLOOKUP(D1278,'لیست پرسنل'!$B$2:$E$1020,3,FALSE)</f>
        <v>مهرفام</v>
      </c>
      <c r="F1278" s="19" t="str">
        <f>VLOOKUP(D1278,'لیست پرسنل'!$B$2:$E$1020,4,FALSE)</f>
        <v>کنترل کیفیت</v>
      </c>
      <c r="G1278" s="127" t="str">
        <f>VLOOKUP(D1278,'لیست پرسنل'!$B$2:$F$1020,2,FALSE)</f>
        <v>0</v>
      </c>
      <c r="H1278" s="151" t="s">
        <v>3381</v>
      </c>
      <c r="I1278" s="127" t="s">
        <v>5339</v>
      </c>
      <c r="J1278" s="127" t="s">
        <v>571</v>
      </c>
      <c r="K1278" s="128" t="s">
        <v>2219</v>
      </c>
      <c r="L1278" s="127"/>
      <c r="M1278" s="127">
        <v>627883</v>
      </c>
      <c r="N1278" s="109"/>
      <c r="O1278" s="19"/>
      <c r="P1278" s="20"/>
      <c r="Q1278" s="20"/>
    </row>
    <row r="1279" spans="1:17" ht="24.9" customHeight="1">
      <c r="A1279" s="20">
        <v>362</v>
      </c>
      <c r="B1279" s="20" t="s">
        <v>4320</v>
      </c>
      <c r="C1279" s="19">
        <v>200</v>
      </c>
      <c r="D1279" s="19" t="s">
        <v>5338</v>
      </c>
      <c r="E1279" s="19" t="str">
        <f>VLOOKUP(D1279,'لیست پرسنل'!$B$2:$E$1020,3,FALSE)</f>
        <v>مهرفام</v>
      </c>
      <c r="F1279" s="19" t="str">
        <f>VLOOKUP(D1279,'لیست پرسنل'!$B$2:$E$1020,4,FALSE)</f>
        <v>کنترل کیفیت</v>
      </c>
      <c r="G1279" s="127" t="str">
        <f>VLOOKUP(D1279,'لیست پرسنل'!$B$2:$F$1020,2,FALSE)</f>
        <v>0</v>
      </c>
      <c r="H1279" s="151" t="s">
        <v>3381</v>
      </c>
      <c r="I1279" s="127" t="s">
        <v>5339</v>
      </c>
      <c r="J1279" s="128" t="s">
        <v>2686</v>
      </c>
      <c r="K1279" s="128" t="s">
        <v>2922</v>
      </c>
      <c r="L1279" s="151" t="s">
        <v>3103</v>
      </c>
      <c r="M1279" s="127">
        <v>626587</v>
      </c>
      <c r="N1279" s="109"/>
      <c r="O1279" s="19"/>
      <c r="P1279" s="20"/>
      <c r="Q1279" s="20"/>
    </row>
    <row r="1280" spans="1:17" ht="24.9" customHeight="1">
      <c r="A1280" s="20">
        <v>362</v>
      </c>
      <c r="B1280" s="20" t="s">
        <v>4320</v>
      </c>
      <c r="C1280" s="19">
        <v>201</v>
      </c>
      <c r="D1280" s="20" t="s">
        <v>6884</v>
      </c>
      <c r="E1280" s="19" t="str">
        <f>VLOOKUP(D1280,'لیست پرسنل'!$B$2:$E$1020,3,FALSE)</f>
        <v>سرپرست کنترل پروژه</v>
      </c>
      <c r="F1280" s="19" t="str">
        <f>VLOOKUP(D1280,'لیست پرسنل'!$B$2:$E$1020,4,FALSE)</f>
        <v>کنترل پروژه</v>
      </c>
      <c r="G1280" s="127" t="str">
        <f>VLOOKUP(D1280,'لیست پرسنل'!$B$2:$F$1020,2,FALSE)</f>
        <v>4000508</v>
      </c>
      <c r="H1280" s="126" t="s">
        <v>3381</v>
      </c>
      <c r="I1280" s="128" t="s">
        <v>5361</v>
      </c>
      <c r="J1280" s="126" t="s">
        <v>368</v>
      </c>
      <c r="K1280" s="128" t="s">
        <v>2846</v>
      </c>
      <c r="L1280" s="128" t="s">
        <v>2478</v>
      </c>
      <c r="M1280" s="128">
        <v>628888</v>
      </c>
      <c r="N1280" s="108"/>
      <c r="O1280" s="20"/>
      <c r="P1280" s="20"/>
      <c r="Q1280" s="20"/>
    </row>
    <row r="1281" spans="1:17" ht="24.9" customHeight="1">
      <c r="A1281" s="20">
        <v>362</v>
      </c>
      <c r="B1281" s="20" t="s">
        <v>4320</v>
      </c>
      <c r="C1281" s="19">
        <v>201</v>
      </c>
      <c r="D1281" s="20" t="s">
        <v>6884</v>
      </c>
      <c r="E1281" s="19" t="str">
        <f>VLOOKUP(D1281,'لیست پرسنل'!$B$2:$E$1020,3,FALSE)</f>
        <v>سرپرست کنترل پروژه</v>
      </c>
      <c r="F1281" s="19" t="str">
        <f>VLOOKUP(D1281,'لیست پرسنل'!$B$2:$E$1020,4,FALSE)</f>
        <v>کنترل پروژه</v>
      </c>
      <c r="G1281" s="127" t="str">
        <f>VLOOKUP(D1281,'لیست پرسنل'!$B$2:$F$1020,2,FALSE)</f>
        <v>4000508</v>
      </c>
      <c r="H1281" s="126" t="s">
        <v>3381</v>
      </c>
      <c r="I1281" s="128" t="s">
        <v>5361</v>
      </c>
      <c r="J1281" s="141" t="s">
        <v>571</v>
      </c>
      <c r="K1281" s="128" t="s">
        <v>5270</v>
      </c>
      <c r="L1281" s="154" t="s">
        <v>2219</v>
      </c>
      <c r="M1281" s="131">
        <v>631108</v>
      </c>
      <c r="N1281" s="108"/>
      <c r="O1281" s="20" t="s">
        <v>705</v>
      </c>
      <c r="P1281" s="20"/>
      <c r="Q1281" s="20"/>
    </row>
    <row r="1282" spans="1:17" ht="24.9" customHeight="1">
      <c r="A1282" s="20">
        <v>362</v>
      </c>
      <c r="B1282" s="20" t="s">
        <v>4320</v>
      </c>
      <c r="C1282" s="19">
        <v>201</v>
      </c>
      <c r="D1282" s="20" t="s">
        <v>6884</v>
      </c>
      <c r="E1282" s="19" t="str">
        <f>VLOOKUP(D1282,'لیست پرسنل'!$B$2:$E$1020,3,FALSE)</f>
        <v>سرپرست کنترل پروژه</v>
      </c>
      <c r="F1282" s="19" t="str">
        <f>VLOOKUP(D1282,'لیست پرسنل'!$B$2:$E$1020,4,FALSE)</f>
        <v>کنترل پروژه</v>
      </c>
      <c r="G1282" s="127" t="str">
        <f>VLOOKUP(D1282,'لیست پرسنل'!$B$2:$F$1020,2,FALSE)</f>
        <v>4000508</v>
      </c>
      <c r="H1282" s="126" t="s">
        <v>3381</v>
      </c>
      <c r="I1282" s="128" t="s">
        <v>5361</v>
      </c>
      <c r="J1282" s="128" t="s">
        <v>2686</v>
      </c>
      <c r="K1282" s="128" t="s">
        <v>2922</v>
      </c>
      <c r="L1282" s="127" t="s">
        <v>3102</v>
      </c>
      <c r="M1282" s="128">
        <v>626586</v>
      </c>
      <c r="N1282" s="108"/>
      <c r="O1282" s="20" t="s">
        <v>705</v>
      </c>
      <c r="P1282" s="20"/>
      <c r="Q1282" s="20"/>
    </row>
    <row r="1283" spans="1:17" ht="24.9" customHeight="1">
      <c r="A1283" s="20">
        <v>362</v>
      </c>
      <c r="B1283" s="20" t="s">
        <v>4320</v>
      </c>
      <c r="C1283" s="19">
        <v>202</v>
      </c>
      <c r="D1283" s="20" t="s">
        <v>5358</v>
      </c>
      <c r="E1283" s="19" t="str">
        <f>VLOOKUP(D1283,'لیست پرسنل'!$B$2:$E$1020,3,FALSE)</f>
        <v>فرزان فن اندیش</v>
      </c>
      <c r="F1283" s="19" t="str">
        <f>VLOOKUP(D1283,'لیست پرسنل'!$B$2:$E$1020,4,FALSE)</f>
        <v>هماهنگ کننده</v>
      </c>
      <c r="G1283" s="127" t="str">
        <f>VLOOKUP(D1283,'لیست پرسنل'!$B$2:$F$1020,2,FALSE)</f>
        <v>0</v>
      </c>
      <c r="H1283" s="126" t="s">
        <v>3381</v>
      </c>
      <c r="I1283" s="128" t="s">
        <v>5360</v>
      </c>
      <c r="J1283" s="126" t="s">
        <v>368</v>
      </c>
      <c r="K1283" s="128" t="s">
        <v>8248</v>
      </c>
      <c r="L1283" s="127" t="s">
        <v>2295</v>
      </c>
      <c r="M1283" s="128">
        <v>628701</v>
      </c>
      <c r="N1283" s="108"/>
      <c r="O1283" s="20" t="s">
        <v>705</v>
      </c>
      <c r="P1283" s="20"/>
      <c r="Q1283" s="20"/>
    </row>
    <row r="1284" spans="1:17" ht="24.9" customHeight="1">
      <c r="A1284" s="20">
        <v>362</v>
      </c>
      <c r="B1284" s="20" t="s">
        <v>4320</v>
      </c>
      <c r="C1284" s="19">
        <v>202</v>
      </c>
      <c r="D1284" s="20" t="s">
        <v>5358</v>
      </c>
      <c r="E1284" s="19" t="str">
        <f>VLOOKUP(D1284,'لیست پرسنل'!$B$2:$E$1020,3,FALSE)</f>
        <v>فرزان فن اندیش</v>
      </c>
      <c r="F1284" s="19" t="str">
        <f>VLOOKUP(D1284,'لیست پرسنل'!$B$2:$E$1020,4,FALSE)</f>
        <v>هماهنگ کننده</v>
      </c>
      <c r="G1284" s="127" t="str">
        <f>VLOOKUP(D1284,'لیست پرسنل'!$B$2:$F$1020,2,FALSE)</f>
        <v>0</v>
      </c>
      <c r="H1284" s="126" t="s">
        <v>3381</v>
      </c>
      <c r="I1284" s="128" t="s">
        <v>5360</v>
      </c>
      <c r="J1284" s="141" t="s">
        <v>571</v>
      </c>
      <c r="K1284" s="128" t="s">
        <v>5270</v>
      </c>
      <c r="L1284" s="154" t="s">
        <v>2219</v>
      </c>
      <c r="M1284" s="131">
        <v>631123</v>
      </c>
      <c r="N1284" s="108"/>
      <c r="O1284" s="20" t="s">
        <v>705</v>
      </c>
      <c r="P1284" s="20"/>
      <c r="Q1284" s="20"/>
    </row>
    <row r="1285" spans="1:17" ht="24.9" customHeight="1">
      <c r="A1285" s="20">
        <v>362</v>
      </c>
      <c r="B1285" s="20" t="s">
        <v>4320</v>
      </c>
      <c r="C1285" s="19">
        <v>202</v>
      </c>
      <c r="D1285" s="20" t="s">
        <v>5358</v>
      </c>
      <c r="E1285" s="19" t="str">
        <f>VLOOKUP(D1285,'لیست پرسنل'!$B$2:$E$1020,3,FALSE)</f>
        <v>فرزان فن اندیش</v>
      </c>
      <c r="F1285" s="19" t="str">
        <f>VLOOKUP(D1285,'لیست پرسنل'!$B$2:$E$1020,4,FALSE)</f>
        <v>هماهنگ کننده</v>
      </c>
      <c r="G1285" s="127" t="str">
        <f>VLOOKUP(D1285,'لیست پرسنل'!$B$2:$F$1020,2,FALSE)</f>
        <v>0</v>
      </c>
      <c r="H1285" s="126" t="s">
        <v>3381</v>
      </c>
      <c r="I1285" s="128" t="s">
        <v>5360</v>
      </c>
      <c r="J1285" s="128" t="s">
        <v>2686</v>
      </c>
      <c r="K1285" s="128" t="s">
        <v>2922</v>
      </c>
      <c r="L1285" s="128" t="s">
        <v>2954</v>
      </c>
      <c r="M1285" s="128">
        <v>626434</v>
      </c>
      <c r="N1285" s="108"/>
      <c r="O1285" s="20" t="s">
        <v>705</v>
      </c>
      <c r="P1285" s="20"/>
      <c r="Q1285" s="20"/>
    </row>
    <row r="1286" spans="1:17" ht="24.9" customHeight="1">
      <c r="A1286" s="20">
        <v>362</v>
      </c>
      <c r="B1286" s="20" t="s">
        <v>4320</v>
      </c>
      <c r="C1286" s="19">
        <v>205</v>
      </c>
      <c r="D1286" s="19" t="s">
        <v>5599</v>
      </c>
      <c r="E1286" s="19" t="str">
        <f>VLOOKUP(D1286,'لیست پرسنل'!$B$2:$E$1020,3,FALSE)</f>
        <v>گهر کوشان سپهر</v>
      </c>
      <c r="F1286" s="19" t="str">
        <f>VLOOKUP(D1286,'لیست پرسنل'!$B$2:$E$1020,4,FALSE)</f>
        <v>انبار-آهک</v>
      </c>
      <c r="G1286" s="127" t="str">
        <f>VLOOKUP(D1286,'لیست پرسنل'!$B$2:$F$1020,2,FALSE)</f>
        <v>20361</v>
      </c>
      <c r="H1286" s="151" t="s">
        <v>3381</v>
      </c>
      <c r="I1286" s="127" t="s">
        <v>5602</v>
      </c>
      <c r="J1286" s="127" t="s">
        <v>3383</v>
      </c>
      <c r="K1286" s="128" t="s">
        <v>351</v>
      </c>
      <c r="L1286" s="127">
        <v>44324179</v>
      </c>
      <c r="M1286" s="127">
        <v>613916</v>
      </c>
      <c r="N1286" s="109"/>
      <c r="O1286" s="19"/>
      <c r="P1286" s="20"/>
      <c r="Q1286" s="20"/>
    </row>
    <row r="1287" spans="1:17" ht="24.9" customHeight="1">
      <c r="A1287" s="20">
        <v>362</v>
      </c>
      <c r="B1287" s="20" t="s">
        <v>4320</v>
      </c>
      <c r="C1287" s="19">
        <v>205</v>
      </c>
      <c r="D1287" s="19" t="s">
        <v>5599</v>
      </c>
      <c r="E1287" s="19" t="str">
        <f>VLOOKUP(D1287,'لیست پرسنل'!$B$2:$E$1020,3,FALSE)</f>
        <v>گهر کوشان سپهر</v>
      </c>
      <c r="F1287" s="19" t="str">
        <f>VLOOKUP(D1287,'لیست پرسنل'!$B$2:$E$1020,4,FALSE)</f>
        <v>انبار-آهک</v>
      </c>
      <c r="G1287" s="127" t="str">
        <f>VLOOKUP(D1287,'لیست پرسنل'!$B$2:$F$1020,2,FALSE)</f>
        <v>20361</v>
      </c>
      <c r="H1287" s="151" t="s">
        <v>3381</v>
      </c>
      <c r="I1287" s="127" t="s">
        <v>5602</v>
      </c>
      <c r="J1287" s="126" t="s">
        <v>368</v>
      </c>
      <c r="K1287" s="128" t="s">
        <v>2846</v>
      </c>
      <c r="L1287" s="128" t="s">
        <v>2466</v>
      </c>
      <c r="M1287" s="128">
        <v>628876</v>
      </c>
      <c r="N1287" s="108"/>
      <c r="O1287" s="20"/>
      <c r="P1287" s="20"/>
      <c r="Q1287" s="20"/>
    </row>
    <row r="1288" spans="1:17" ht="24.9" customHeight="1">
      <c r="A1288" s="20">
        <v>362</v>
      </c>
      <c r="B1288" s="20" t="s">
        <v>4320</v>
      </c>
      <c r="C1288" s="19">
        <v>205</v>
      </c>
      <c r="D1288" s="19" t="s">
        <v>5599</v>
      </c>
      <c r="E1288" s="19" t="str">
        <f>VLOOKUP(D1288,'لیست پرسنل'!$B$2:$E$1020,3,FALSE)</f>
        <v>گهر کوشان سپهر</v>
      </c>
      <c r="F1288" s="19" t="str">
        <f>VLOOKUP(D1288,'لیست پرسنل'!$B$2:$E$1020,4,FALSE)</f>
        <v>انبار-آهک</v>
      </c>
      <c r="G1288" s="127" t="str">
        <f>VLOOKUP(D1288,'لیست پرسنل'!$B$2:$F$1020,2,FALSE)</f>
        <v>20361</v>
      </c>
      <c r="H1288" s="151" t="s">
        <v>3381</v>
      </c>
      <c r="I1288" s="127" t="s">
        <v>5602</v>
      </c>
      <c r="J1288" s="127" t="s">
        <v>571</v>
      </c>
      <c r="K1288" s="128"/>
      <c r="L1288" s="127"/>
      <c r="M1288" s="127">
        <v>628138</v>
      </c>
      <c r="N1288" s="109"/>
      <c r="O1288" s="19"/>
      <c r="P1288" s="20"/>
      <c r="Q1288" s="20"/>
    </row>
    <row r="1289" spans="1:17" ht="24.9" customHeight="1">
      <c r="A1289" s="20">
        <v>362</v>
      </c>
      <c r="B1289" s="20" t="s">
        <v>4320</v>
      </c>
      <c r="C1289" s="19">
        <v>205</v>
      </c>
      <c r="D1289" s="19" t="s">
        <v>5599</v>
      </c>
      <c r="E1289" s="19" t="str">
        <f>VLOOKUP(D1289,'لیست پرسنل'!$B$2:$E$1020,3,FALSE)</f>
        <v>گهر کوشان سپهر</v>
      </c>
      <c r="F1289" s="19" t="str">
        <f>VLOOKUP(D1289,'لیست پرسنل'!$B$2:$E$1020,4,FALSE)</f>
        <v>انبار-آهک</v>
      </c>
      <c r="G1289" s="127" t="str">
        <f>VLOOKUP(D1289,'لیست پرسنل'!$B$2:$F$1020,2,FALSE)</f>
        <v>20361</v>
      </c>
      <c r="H1289" s="151" t="s">
        <v>3381</v>
      </c>
      <c r="I1289" s="127" t="s">
        <v>5602</v>
      </c>
      <c r="J1289" s="128" t="s">
        <v>2686</v>
      </c>
      <c r="K1289" s="128" t="s">
        <v>371</v>
      </c>
      <c r="L1289" s="154" t="s">
        <v>1713</v>
      </c>
      <c r="M1289" s="127">
        <v>608619</v>
      </c>
      <c r="N1289" s="109"/>
      <c r="O1289" s="86"/>
      <c r="P1289" s="20"/>
      <c r="Q1289" s="20"/>
    </row>
    <row r="1290" spans="1:17" ht="24.9" customHeight="1">
      <c r="A1290" s="185">
        <v>362</v>
      </c>
      <c r="B1290" s="185" t="s">
        <v>4320</v>
      </c>
      <c r="C1290" s="186">
        <v>206</v>
      </c>
      <c r="D1290" s="208" t="s">
        <v>3413</v>
      </c>
      <c r="E1290" s="186" t="str">
        <f>VLOOKUP(D1290,'لیست پرسنل'!$B$2:$E$1020,3,FALSE)</f>
        <v>نظم آوران</v>
      </c>
      <c r="F1290" s="186" t="str">
        <f>VLOOKUP(D1290,'لیست پرسنل'!$B$2:$E$1020,4,FALSE)</f>
        <v>انبار کویل</v>
      </c>
      <c r="G1290" s="187">
        <f>VLOOKUP(D1290,'لیست پرسنل'!$B$2:$F$1020,2,FALSE)</f>
        <v>20471</v>
      </c>
      <c r="H1290" s="187" t="s">
        <v>8132</v>
      </c>
      <c r="I1290" s="190" t="s">
        <v>8131</v>
      </c>
      <c r="J1290" s="188" t="s">
        <v>2686</v>
      </c>
      <c r="K1290" s="188" t="s">
        <v>744</v>
      </c>
      <c r="L1290" s="247" t="s">
        <v>1706</v>
      </c>
      <c r="M1290" s="190">
        <v>605731</v>
      </c>
      <c r="N1290" s="189" t="s">
        <v>2713</v>
      </c>
      <c r="O1290" s="222"/>
      <c r="P1290" s="185"/>
      <c r="Q1290" s="185"/>
    </row>
    <row r="1291" spans="1:17" ht="24.9" customHeight="1">
      <c r="A1291" s="20">
        <v>362</v>
      </c>
      <c r="B1291" s="20" t="s">
        <v>4320</v>
      </c>
      <c r="C1291" s="20">
        <v>206</v>
      </c>
      <c r="D1291" s="20" t="s">
        <v>3413</v>
      </c>
      <c r="E1291" s="19" t="str">
        <f>VLOOKUP(D1291,'لیست پرسنل'!$B$2:$E$1020,3,FALSE)</f>
        <v>نظم آوران</v>
      </c>
      <c r="F1291" s="19" t="str">
        <f>VLOOKUP(D1291,'لیست پرسنل'!$B$2:$E$1020,4,FALSE)</f>
        <v>انبار کویل</v>
      </c>
      <c r="G1291" s="127">
        <f>VLOOKUP(D1291,'لیست پرسنل'!$B$2:$F$1020,2,FALSE)</f>
        <v>20471</v>
      </c>
      <c r="H1291" s="126" t="s">
        <v>8130</v>
      </c>
      <c r="I1291" s="128" t="s">
        <v>8131</v>
      </c>
      <c r="J1291" s="127" t="s">
        <v>571</v>
      </c>
      <c r="K1291" s="127" t="s">
        <v>2219</v>
      </c>
      <c r="L1291" s="151"/>
      <c r="M1291" s="127">
        <v>624723</v>
      </c>
      <c r="N1291" s="109" t="s">
        <v>2713</v>
      </c>
      <c r="O1291" s="20"/>
      <c r="P1291" s="20"/>
      <c r="Q1291" s="20"/>
    </row>
    <row r="1292" spans="1:17" ht="24.9" customHeight="1">
      <c r="A1292" s="20">
        <v>362</v>
      </c>
      <c r="B1292" s="20" t="s">
        <v>4320</v>
      </c>
      <c r="C1292" s="19">
        <v>209</v>
      </c>
      <c r="D1292" s="19" t="s">
        <v>6009</v>
      </c>
      <c r="E1292" s="19" t="str">
        <f>VLOOKUP(D1292,'لیست پرسنل'!$B$2:$E$1020,3,FALSE)</f>
        <v>مهرفام</v>
      </c>
      <c r="F1292" s="19" t="str">
        <f>VLOOKUP(D1292,'لیست پرسنل'!$B$2:$E$1020,4,FALSE)</f>
        <v>کارشناس اجرا</v>
      </c>
      <c r="G1292" s="127" t="str">
        <f>VLOOKUP(D1292,'لیست پرسنل'!$B$2:$F$1020,2,FALSE)</f>
        <v>100644</v>
      </c>
      <c r="H1292" s="151" t="s">
        <v>3495</v>
      </c>
      <c r="I1292" s="127" t="s">
        <v>6012</v>
      </c>
      <c r="J1292" s="126" t="s">
        <v>368</v>
      </c>
      <c r="K1292" s="135" t="s">
        <v>8248</v>
      </c>
      <c r="L1292" s="127" t="s">
        <v>2340</v>
      </c>
      <c r="M1292" s="128">
        <v>628746</v>
      </c>
      <c r="N1292" s="108"/>
      <c r="O1292" s="20" t="s">
        <v>705</v>
      </c>
      <c r="P1292" s="20"/>
      <c r="Q1292" s="20"/>
    </row>
    <row r="1293" spans="1:17" ht="24.9" customHeight="1">
      <c r="A1293" s="20">
        <v>362</v>
      </c>
      <c r="B1293" s="20" t="s">
        <v>4320</v>
      </c>
      <c r="C1293" s="19">
        <v>209</v>
      </c>
      <c r="D1293" s="19" t="s">
        <v>6009</v>
      </c>
      <c r="E1293" s="19" t="str">
        <f>VLOOKUP(D1293,'لیست پرسنل'!$B$2:$E$1020,3,FALSE)</f>
        <v>مهرفام</v>
      </c>
      <c r="F1293" s="19" t="str">
        <f>VLOOKUP(D1293,'لیست پرسنل'!$B$2:$E$1020,4,FALSE)</f>
        <v>کارشناس اجرا</v>
      </c>
      <c r="G1293" s="127" t="str">
        <f>VLOOKUP(D1293,'لیست پرسنل'!$B$2:$F$1020,2,FALSE)</f>
        <v>100644</v>
      </c>
      <c r="H1293" s="151" t="s">
        <v>3495</v>
      </c>
      <c r="I1293" s="127" t="s">
        <v>6012</v>
      </c>
      <c r="J1293" s="141" t="s">
        <v>571</v>
      </c>
      <c r="K1293" s="135" t="s">
        <v>5782</v>
      </c>
      <c r="L1293" s="154" t="s">
        <v>2219</v>
      </c>
      <c r="M1293" s="131">
        <v>632051</v>
      </c>
      <c r="N1293" s="108"/>
      <c r="O1293" s="20"/>
      <c r="P1293" s="20"/>
      <c r="Q1293" s="20"/>
    </row>
    <row r="1294" spans="1:17" ht="24.9" customHeight="1">
      <c r="A1294" s="20">
        <v>362</v>
      </c>
      <c r="B1294" s="20" t="s">
        <v>4320</v>
      </c>
      <c r="C1294" s="19">
        <v>209</v>
      </c>
      <c r="D1294" s="19" t="s">
        <v>6009</v>
      </c>
      <c r="E1294" s="19" t="str">
        <f>VLOOKUP(D1294,'لیست پرسنل'!$B$2:$E$1020,3,FALSE)</f>
        <v>مهرفام</v>
      </c>
      <c r="F1294" s="19" t="str">
        <f>VLOOKUP(D1294,'لیست پرسنل'!$B$2:$E$1020,4,FALSE)</f>
        <v>کارشناس اجرا</v>
      </c>
      <c r="G1294" s="127" t="str">
        <f>VLOOKUP(D1294,'لیست پرسنل'!$B$2:$F$1020,2,FALSE)</f>
        <v>100644</v>
      </c>
      <c r="H1294" s="151" t="s">
        <v>3495</v>
      </c>
      <c r="I1294" s="127" t="s">
        <v>6012</v>
      </c>
      <c r="J1294" s="128" t="s">
        <v>2686</v>
      </c>
      <c r="K1294" s="128" t="s">
        <v>890</v>
      </c>
      <c r="L1294" s="151" t="s">
        <v>1231</v>
      </c>
      <c r="M1294" s="127">
        <v>609696</v>
      </c>
      <c r="N1294" s="109"/>
      <c r="O1294" s="86"/>
      <c r="P1294" s="20"/>
      <c r="Q1294" s="20"/>
    </row>
    <row r="1295" spans="1:17" ht="24.9" customHeight="1">
      <c r="A1295" s="20">
        <v>362</v>
      </c>
      <c r="B1295" s="20" t="s">
        <v>4320</v>
      </c>
      <c r="C1295" s="20">
        <v>212</v>
      </c>
      <c r="D1295" s="20" t="s">
        <v>6228</v>
      </c>
      <c r="E1295" s="19" t="str">
        <f>VLOOKUP(D1295,'لیست پرسنل'!$B$2:$E$1020,3,FALSE)</f>
        <v>فرزان</v>
      </c>
      <c r="F1295" s="19" t="str">
        <f>VLOOKUP(D1295,'لیست پرسنل'!$B$2:$E$1020,4,FALSE)</f>
        <v>پایپینگ</v>
      </c>
      <c r="G1295" s="127">
        <f>VLOOKUP(D1295,'لیست پرسنل'!$B$2:$F$1020,2,FALSE)</f>
        <v>0</v>
      </c>
      <c r="H1295" s="126" t="s">
        <v>3381</v>
      </c>
      <c r="I1295" s="128" t="s">
        <v>6229</v>
      </c>
      <c r="J1295" s="141" t="s">
        <v>571</v>
      </c>
      <c r="K1295" s="127" t="s">
        <v>571</v>
      </c>
      <c r="L1295" s="128" t="s">
        <v>3784</v>
      </c>
      <c r="M1295" s="132">
        <v>603813</v>
      </c>
      <c r="N1295" s="108"/>
      <c r="O1295" s="19"/>
      <c r="P1295" s="20"/>
      <c r="Q1295" s="20"/>
    </row>
    <row r="1296" spans="1:17" ht="24.9" customHeight="1">
      <c r="A1296" s="20">
        <v>362</v>
      </c>
      <c r="B1296" s="20" t="s">
        <v>4320</v>
      </c>
      <c r="C1296" s="20">
        <v>212</v>
      </c>
      <c r="D1296" s="20" t="s">
        <v>6228</v>
      </c>
      <c r="E1296" s="19" t="str">
        <f>VLOOKUP(D1296,'لیست پرسنل'!$B$2:$E$1020,3,FALSE)</f>
        <v>فرزان</v>
      </c>
      <c r="F1296" s="19" t="str">
        <f>VLOOKUP(D1296,'لیست پرسنل'!$B$2:$E$1020,4,FALSE)</f>
        <v>پایپینگ</v>
      </c>
      <c r="G1296" s="127">
        <f>VLOOKUP(D1296,'لیست پرسنل'!$B$2:$F$1020,2,FALSE)</f>
        <v>0</v>
      </c>
      <c r="H1296" s="126" t="s">
        <v>3381</v>
      </c>
      <c r="I1296" s="128" t="s">
        <v>6229</v>
      </c>
      <c r="J1296" s="128" t="s">
        <v>2686</v>
      </c>
      <c r="K1296" s="128" t="s">
        <v>4136</v>
      </c>
      <c r="L1296" s="128" t="s">
        <v>4137</v>
      </c>
      <c r="M1296" s="128">
        <v>632397</v>
      </c>
      <c r="N1296" s="108"/>
      <c r="O1296" s="19" t="s">
        <v>5949</v>
      </c>
      <c r="P1296" s="20"/>
      <c r="Q1296" s="20"/>
    </row>
    <row r="1297" spans="1:17" ht="24.9" customHeight="1">
      <c r="A1297" s="20">
        <v>362</v>
      </c>
      <c r="B1297" s="20" t="s">
        <v>4320</v>
      </c>
      <c r="C1297" s="19">
        <v>213</v>
      </c>
      <c r="D1297" s="19" t="s">
        <v>6249</v>
      </c>
      <c r="E1297" s="19" t="str">
        <f>VLOOKUP(D1297,'لیست پرسنل'!$B$2:$E$1020,3,FALSE)</f>
        <v>بیتا گستر</v>
      </c>
      <c r="F1297" s="19">
        <f>VLOOKUP(D1297,'لیست پرسنل'!$B$2:$E$1020,4,FALSE)</f>
        <v>0</v>
      </c>
      <c r="G1297" s="127">
        <f>VLOOKUP(D1297,'لیست پرسنل'!$B$2:$F$1020,2,FALSE)</f>
        <v>0</v>
      </c>
      <c r="H1297" s="151" t="s">
        <v>3381</v>
      </c>
      <c r="I1297" s="127" t="s">
        <v>6250</v>
      </c>
      <c r="J1297" s="128" t="s">
        <v>737</v>
      </c>
      <c r="K1297" s="127" t="s">
        <v>3748</v>
      </c>
      <c r="L1297" s="127" t="s">
        <v>1047</v>
      </c>
      <c r="M1297" s="127">
        <v>610448</v>
      </c>
      <c r="N1297" s="108" t="s">
        <v>5390</v>
      </c>
      <c r="O1297" s="69"/>
      <c r="P1297" s="20"/>
      <c r="Q1297" s="20"/>
    </row>
    <row r="1298" spans="1:17" ht="24.9" customHeight="1">
      <c r="A1298" s="20">
        <v>362</v>
      </c>
      <c r="B1298" s="20" t="s">
        <v>4320</v>
      </c>
      <c r="C1298" s="19">
        <v>213</v>
      </c>
      <c r="D1298" s="19" t="s">
        <v>6249</v>
      </c>
      <c r="E1298" s="19" t="str">
        <f>VLOOKUP(D1298,'لیست پرسنل'!$B$2:$E$1020,3,FALSE)</f>
        <v>بیتا گستر</v>
      </c>
      <c r="F1298" s="19">
        <f>VLOOKUP(D1298,'لیست پرسنل'!$B$2:$E$1020,4,FALSE)</f>
        <v>0</v>
      </c>
      <c r="G1298" s="127">
        <f>VLOOKUP(D1298,'لیست پرسنل'!$B$2:$F$1020,2,FALSE)</f>
        <v>0</v>
      </c>
      <c r="H1298" s="151" t="s">
        <v>3381</v>
      </c>
      <c r="I1298" s="127" t="s">
        <v>6250</v>
      </c>
      <c r="J1298" s="127" t="s">
        <v>571</v>
      </c>
      <c r="K1298" s="127" t="s">
        <v>3784</v>
      </c>
      <c r="L1298" s="158"/>
      <c r="M1298" s="127">
        <v>606609</v>
      </c>
      <c r="N1298" s="109"/>
      <c r="O1298" s="86"/>
      <c r="P1298" s="20"/>
      <c r="Q1298" s="20"/>
    </row>
    <row r="1299" spans="1:17" ht="24.9" customHeight="1">
      <c r="A1299" s="20">
        <v>362</v>
      </c>
      <c r="B1299" s="20" t="s">
        <v>4320</v>
      </c>
      <c r="C1299" s="19">
        <v>213</v>
      </c>
      <c r="D1299" s="19" t="s">
        <v>6249</v>
      </c>
      <c r="E1299" s="19" t="str">
        <f>VLOOKUP(D1299,'لیست پرسنل'!$B$2:$E$1020,3,FALSE)</f>
        <v>بیتا گستر</v>
      </c>
      <c r="F1299" s="19">
        <f>VLOOKUP(D1299,'لیست پرسنل'!$B$2:$E$1020,4,FALSE)</f>
        <v>0</v>
      </c>
      <c r="G1299" s="127">
        <f>VLOOKUP(D1299,'لیست پرسنل'!$B$2:$F$1020,2,FALSE)</f>
        <v>0</v>
      </c>
      <c r="H1299" s="151" t="s">
        <v>3381</v>
      </c>
      <c r="I1299" s="127" t="s">
        <v>6250</v>
      </c>
      <c r="J1299" s="128" t="s">
        <v>2686</v>
      </c>
      <c r="K1299" s="128" t="s">
        <v>320</v>
      </c>
      <c r="L1299" s="151" t="s">
        <v>955</v>
      </c>
      <c r="M1299" s="131">
        <v>611439</v>
      </c>
      <c r="N1299" s="111"/>
      <c r="O1299" s="19"/>
      <c r="P1299" s="20"/>
      <c r="Q1299" s="20"/>
    </row>
    <row r="1300" spans="1:17" ht="24.9" customHeight="1">
      <c r="A1300" s="20">
        <v>362</v>
      </c>
      <c r="B1300" s="20" t="s">
        <v>4320</v>
      </c>
      <c r="C1300" s="19">
        <v>214</v>
      </c>
      <c r="D1300" s="19" t="s">
        <v>6498</v>
      </c>
      <c r="E1300" s="19" t="str">
        <f>VLOOKUP(D1300,'لیست پرسنل'!$B$2:$E$1020,3,FALSE)</f>
        <v>گهر کوشان سپهر</v>
      </c>
      <c r="F1300" s="19" t="str">
        <f>VLOOKUP(D1300,'لیست پرسنل'!$B$2:$E$1020,4,FALSE)</f>
        <v>پشتیبانی</v>
      </c>
      <c r="G1300" s="127">
        <f>VLOOKUP(D1300,'لیست پرسنل'!$B$2:$F$1020,2,FALSE)</f>
        <v>20215</v>
      </c>
      <c r="H1300" s="151" t="s">
        <v>3381</v>
      </c>
      <c r="I1300" s="127" t="s">
        <v>6497</v>
      </c>
      <c r="J1300" s="126" t="s">
        <v>368</v>
      </c>
      <c r="K1300" s="128" t="s">
        <v>8248</v>
      </c>
      <c r="L1300" s="127" t="s">
        <v>2305</v>
      </c>
      <c r="M1300" s="128">
        <v>628711</v>
      </c>
      <c r="N1300" s="108"/>
      <c r="O1300" s="20" t="s">
        <v>705</v>
      </c>
      <c r="P1300" s="20"/>
      <c r="Q1300" s="20"/>
    </row>
    <row r="1301" spans="1:17" ht="24.9" customHeight="1">
      <c r="A1301" s="20">
        <v>362</v>
      </c>
      <c r="B1301" s="20" t="s">
        <v>4320</v>
      </c>
      <c r="C1301" s="19">
        <v>214</v>
      </c>
      <c r="D1301" s="19" t="s">
        <v>6498</v>
      </c>
      <c r="E1301" s="19" t="str">
        <f>VLOOKUP(D1301,'لیست پرسنل'!$B$2:$E$1020,3,FALSE)</f>
        <v>گهر کوشان سپهر</v>
      </c>
      <c r="F1301" s="19" t="str">
        <f>VLOOKUP(D1301,'لیست پرسنل'!$B$2:$E$1020,4,FALSE)</f>
        <v>پشتیبانی</v>
      </c>
      <c r="G1301" s="127">
        <f>VLOOKUP(D1301,'لیست پرسنل'!$B$2:$F$1020,2,FALSE)</f>
        <v>20215</v>
      </c>
      <c r="H1301" s="151" t="s">
        <v>3381</v>
      </c>
      <c r="I1301" s="127" t="s">
        <v>6497</v>
      </c>
      <c r="J1301" s="127" t="s">
        <v>571</v>
      </c>
      <c r="K1301" s="127" t="s">
        <v>3796</v>
      </c>
      <c r="L1301" s="127" t="s">
        <v>1450</v>
      </c>
      <c r="M1301" s="128">
        <v>609179</v>
      </c>
      <c r="N1301" s="108"/>
      <c r="O1301" s="20"/>
      <c r="P1301" s="20"/>
      <c r="Q1301" s="20"/>
    </row>
    <row r="1302" spans="1:17" ht="24.9" customHeight="1">
      <c r="A1302" s="20">
        <v>362</v>
      </c>
      <c r="B1302" s="20" t="s">
        <v>4320</v>
      </c>
      <c r="C1302" s="19">
        <v>214</v>
      </c>
      <c r="D1302" s="19" t="s">
        <v>6498</v>
      </c>
      <c r="E1302" s="19" t="str">
        <f>VLOOKUP(D1302,'لیست پرسنل'!$B$2:$E$1020,3,FALSE)</f>
        <v>گهر کوشان سپهر</v>
      </c>
      <c r="F1302" s="19" t="str">
        <f>VLOOKUP(D1302,'لیست پرسنل'!$B$2:$E$1020,4,FALSE)</f>
        <v>پشتیبانی</v>
      </c>
      <c r="G1302" s="127">
        <f>VLOOKUP(D1302,'لیست پرسنل'!$B$2:$F$1020,2,FALSE)</f>
        <v>20215</v>
      </c>
      <c r="H1302" s="151" t="s">
        <v>3381</v>
      </c>
      <c r="I1302" s="127" t="s">
        <v>6497</v>
      </c>
      <c r="J1302" s="128" t="s">
        <v>2686</v>
      </c>
      <c r="K1302" s="128" t="s">
        <v>2922</v>
      </c>
      <c r="L1302" s="128" t="s">
        <v>2951</v>
      </c>
      <c r="M1302" s="128">
        <v>626431</v>
      </c>
      <c r="N1302" s="108"/>
      <c r="O1302" s="20" t="s">
        <v>705</v>
      </c>
      <c r="P1302" s="20"/>
      <c r="Q1302" s="20"/>
    </row>
    <row r="1303" spans="1:17" ht="24.9" customHeight="1">
      <c r="A1303" s="20">
        <v>362</v>
      </c>
      <c r="B1303" s="20" t="s">
        <v>4320</v>
      </c>
      <c r="C1303" s="19">
        <v>215</v>
      </c>
      <c r="D1303" s="19" t="s">
        <v>4490</v>
      </c>
      <c r="E1303" s="19" t="str">
        <f>VLOOKUP(D1303,'لیست پرسنل'!$B$2:$E$1020,3,FALSE)</f>
        <v>تات</v>
      </c>
      <c r="F1303" s="19" t="str">
        <f>VLOOKUP(D1303,'لیست پرسنل'!$B$2:$E$1020,4,FALSE)</f>
        <v>نرم افزار آلمیلا</v>
      </c>
      <c r="G1303" s="127" t="str">
        <f>VLOOKUP(D1303,'لیست پرسنل'!$B$2:$F$1020,2,FALSE)</f>
        <v>0</v>
      </c>
      <c r="H1303" s="151" t="s">
        <v>6656</v>
      </c>
      <c r="I1303" s="127" t="s">
        <v>6655</v>
      </c>
      <c r="J1303" s="141" t="s">
        <v>571</v>
      </c>
      <c r="K1303" s="128" t="s">
        <v>3784</v>
      </c>
      <c r="L1303" s="159"/>
      <c r="M1303" s="131">
        <v>604859</v>
      </c>
      <c r="N1303" s="108"/>
      <c r="O1303" s="19"/>
      <c r="P1303" s="20"/>
      <c r="Q1303" s="20"/>
    </row>
    <row r="1304" spans="1:17" ht="24.9" customHeight="1">
      <c r="A1304" s="20">
        <v>362</v>
      </c>
      <c r="B1304" s="20" t="s">
        <v>4320</v>
      </c>
      <c r="C1304" s="19">
        <v>215</v>
      </c>
      <c r="D1304" s="19" t="s">
        <v>4490</v>
      </c>
      <c r="E1304" s="19" t="str">
        <f>VLOOKUP(D1304,'لیست پرسنل'!$B$2:$E$1020,3,FALSE)</f>
        <v>تات</v>
      </c>
      <c r="F1304" s="19" t="str">
        <f>VLOOKUP(D1304,'لیست پرسنل'!$B$2:$E$1020,4,FALSE)</f>
        <v>نرم افزار آلمیلا</v>
      </c>
      <c r="G1304" s="127" t="str">
        <f>VLOOKUP(D1304,'لیست پرسنل'!$B$2:$F$1020,2,FALSE)</f>
        <v>0</v>
      </c>
      <c r="H1304" s="151" t="s">
        <v>6656</v>
      </c>
      <c r="I1304" s="127" t="s">
        <v>6655</v>
      </c>
      <c r="J1304" s="128" t="s">
        <v>2686</v>
      </c>
      <c r="K1304" s="128" t="s">
        <v>332</v>
      </c>
      <c r="L1304" s="128" t="s">
        <v>4905</v>
      </c>
      <c r="M1304" s="127">
        <v>633625</v>
      </c>
      <c r="N1304" s="109"/>
      <c r="O1304" s="19" t="s">
        <v>6287</v>
      </c>
      <c r="P1304" s="32"/>
      <c r="Q1304" s="32"/>
    </row>
    <row r="1305" spans="1:17" ht="24.9" customHeight="1">
      <c r="A1305" s="20">
        <v>362</v>
      </c>
      <c r="B1305" s="20" t="s">
        <v>4320</v>
      </c>
      <c r="C1305" s="19">
        <v>216</v>
      </c>
      <c r="D1305" s="19" t="s">
        <v>4490</v>
      </c>
      <c r="E1305" s="19" t="str">
        <f>VLOOKUP(D1305,'لیست پرسنل'!$B$2:$E$1020,3,FALSE)</f>
        <v>تات</v>
      </c>
      <c r="F1305" s="19" t="str">
        <f>VLOOKUP(D1305,'لیست پرسنل'!$B$2:$E$1020,4,FALSE)</f>
        <v>نرم افزار آلمیلا</v>
      </c>
      <c r="G1305" s="127" t="str">
        <f>VLOOKUP(D1305,'لیست پرسنل'!$B$2:$F$1020,2,FALSE)</f>
        <v>0</v>
      </c>
      <c r="H1305" s="151" t="s">
        <v>6656</v>
      </c>
      <c r="I1305" s="127" t="s">
        <v>6657</v>
      </c>
      <c r="J1305" s="127" t="s">
        <v>571</v>
      </c>
      <c r="K1305" s="127" t="s">
        <v>6484</v>
      </c>
      <c r="L1305" s="150"/>
      <c r="M1305" s="128">
        <v>623609</v>
      </c>
      <c r="N1305" s="108"/>
      <c r="O1305" s="20"/>
      <c r="P1305" s="20"/>
      <c r="Q1305" s="20"/>
    </row>
    <row r="1306" spans="1:17" ht="24.9" customHeight="1">
      <c r="A1306" s="20">
        <v>362</v>
      </c>
      <c r="B1306" s="20" t="s">
        <v>4320</v>
      </c>
      <c r="C1306" s="19">
        <v>216</v>
      </c>
      <c r="D1306" s="19" t="s">
        <v>4490</v>
      </c>
      <c r="E1306" s="19" t="str">
        <f>VLOOKUP(D1306,'لیست پرسنل'!$B$2:$E$1020,3,FALSE)</f>
        <v>تات</v>
      </c>
      <c r="F1306" s="19" t="str">
        <f>VLOOKUP(D1306,'لیست پرسنل'!$B$2:$E$1020,4,FALSE)</f>
        <v>نرم افزار آلمیلا</v>
      </c>
      <c r="G1306" s="127" t="str">
        <f>VLOOKUP(D1306,'لیست پرسنل'!$B$2:$F$1020,2,FALSE)</f>
        <v>0</v>
      </c>
      <c r="H1306" s="151" t="s">
        <v>6656</v>
      </c>
      <c r="I1306" s="127" t="s">
        <v>6657</v>
      </c>
      <c r="J1306" s="128" t="s">
        <v>2686</v>
      </c>
      <c r="K1306" s="128" t="s">
        <v>1764</v>
      </c>
      <c r="L1306" s="128" t="s">
        <v>1763</v>
      </c>
      <c r="M1306" s="127">
        <v>633624</v>
      </c>
      <c r="N1306" s="109"/>
      <c r="O1306" s="19" t="s">
        <v>6286</v>
      </c>
      <c r="P1306" s="32"/>
      <c r="Q1306" s="32"/>
    </row>
    <row r="1307" spans="1:17" ht="24.9" customHeight="1">
      <c r="A1307" s="20">
        <v>362</v>
      </c>
      <c r="B1307" s="20" t="s">
        <v>4320</v>
      </c>
      <c r="C1307" s="19">
        <v>217</v>
      </c>
      <c r="D1307" s="20" t="s">
        <v>7707</v>
      </c>
      <c r="E1307" s="19" t="str">
        <f>VLOOKUP(D1307,'لیست پرسنل'!$B$2:$E$1020,3,FALSE)</f>
        <v>فرزان-MC</v>
      </c>
      <c r="F1307" s="19" t="str">
        <f>VLOOKUP(D1307,'لیست پرسنل'!$B$2:$E$1020,4,FALSE)</f>
        <v>فرزان-MC</v>
      </c>
      <c r="G1307" s="127">
        <f>VLOOKUP(D1307,'لیست پرسنل'!$B$2:$F$1020,2,FALSE)</f>
        <v>0</v>
      </c>
      <c r="H1307" s="126" t="s">
        <v>3381</v>
      </c>
      <c r="I1307" s="128" t="s">
        <v>6659</v>
      </c>
      <c r="J1307" s="141" t="s">
        <v>571</v>
      </c>
      <c r="K1307" s="140"/>
      <c r="L1307" s="154" t="s">
        <v>2219</v>
      </c>
      <c r="M1307" s="131">
        <v>631121</v>
      </c>
      <c r="N1307" s="108" t="s">
        <v>7708</v>
      </c>
      <c r="O1307" s="20" t="s">
        <v>705</v>
      </c>
      <c r="P1307" s="20"/>
      <c r="Q1307" s="20"/>
    </row>
    <row r="1308" spans="1:17" ht="24.9" customHeight="1">
      <c r="A1308" s="20">
        <v>362</v>
      </c>
      <c r="B1308" s="20" t="s">
        <v>4320</v>
      </c>
      <c r="C1308" s="19">
        <v>217</v>
      </c>
      <c r="D1308" s="20" t="s">
        <v>7707</v>
      </c>
      <c r="E1308" s="19" t="str">
        <f>VLOOKUP(D1308,'لیست پرسنل'!$B$2:$E$1020,3,FALSE)</f>
        <v>فرزان-MC</v>
      </c>
      <c r="F1308" s="19" t="str">
        <f>VLOOKUP(D1308,'لیست پرسنل'!$B$2:$E$1020,4,FALSE)</f>
        <v>فرزان-MC</v>
      </c>
      <c r="G1308" s="127">
        <f>VLOOKUP(D1308,'لیست پرسنل'!$B$2:$F$1020,2,FALSE)</f>
        <v>0</v>
      </c>
      <c r="H1308" s="126" t="s">
        <v>3381</v>
      </c>
      <c r="I1308" s="128" t="s">
        <v>6659</v>
      </c>
      <c r="J1308" s="128" t="s">
        <v>2686</v>
      </c>
      <c r="K1308" s="128" t="s">
        <v>2922</v>
      </c>
      <c r="L1308" s="127" t="s">
        <v>3108</v>
      </c>
      <c r="M1308" s="128">
        <v>626592</v>
      </c>
      <c r="N1308" s="108" t="s">
        <v>7708</v>
      </c>
      <c r="O1308" s="20" t="s">
        <v>705</v>
      </c>
      <c r="P1308" s="20"/>
      <c r="Q1308" s="20"/>
    </row>
    <row r="1309" spans="1:17" ht="24.9" customHeight="1">
      <c r="A1309" s="20">
        <v>362</v>
      </c>
      <c r="B1309" s="20" t="s">
        <v>4320</v>
      </c>
      <c r="C1309" s="20">
        <v>218</v>
      </c>
      <c r="D1309" s="20" t="s">
        <v>6586</v>
      </c>
      <c r="E1309" s="19" t="str">
        <f>VLOOKUP(D1309,'لیست پرسنل'!$B$2:$E$1020,3,FALSE)</f>
        <v>فرزان فن اندیش</v>
      </c>
      <c r="F1309" s="19" t="str">
        <f>VLOOKUP(D1309,'لیست پرسنل'!$B$2:$E$1020,4,FALSE)</f>
        <v>دوربین</v>
      </c>
      <c r="G1309" s="127" t="str">
        <f>VLOOKUP(D1309,'لیست پرسنل'!$B$2:$F$1020,2,FALSE)</f>
        <v>0</v>
      </c>
      <c r="H1309" s="126" t="s">
        <v>3381</v>
      </c>
      <c r="I1309" s="128" t="s">
        <v>6587</v>
      </c>
      <c r="J1309" s="126" t="s">
        <v>368</v>
      </c>
      <c r="K1309" s="135" t="s">
        <v>8248</v>
      </c>
      <c r="L1309" s="127" t="s">
        <v>2509</v>
      </c>
      <c r="M1309" s="128">
        <v>628921</v>
      </c>
      <c r="N1309" s="108" t="s">
        <v>345</v>
      </c>
      <c r="O1309" s="20" t="s">
        <v>705</v>
      </c>
      <c r="P1309" s="20"/>
      <c r="Q1309" s="20"/>
    </row>
    <row r="1310" spans="1:17" ht="24.9" customHeight="1">
      <c r="A1310" s="20">
        <v>362</v>
      </c>
      <c r="B1310" s="20" t="s">
        <v>4320</v>
      </c>
      <c r="C1310" s="20">
        <v>218</v>
      </c>
      <c r="D1310" s="20" t="s">
        <v>6586</v>
      </c>
      <c r="E1310" s="19" t="str">
        <f>VLOOKUP(D1310,'لیست پرسنل'!$B$2:$E$1020,3,FALSE)</f>
        <v>فرزان فن اندیش</v>
      </c>
      <c r="F1310" s="19" t="str">
        <f>VLOOKUP(D1310,'لیست پرسنل'!$B$2:$E$1020,4,FALSE)</f>
        <v>دوربین</v>
      </c>
      <c r="G1310" s="127" t="str">
        <f>VLOOKUP(D1310,'لیست پرسنل'!$B$2:$F$1020,2,FALSE)</f>
        <v>0</v>
      </c>
      <c r="H1310" s="126" t="s">
        <v>3381</v>
      </c>
      <c r="I1310" s="128" t="s">
        <v>6587</v>
      </c>
      <c r="J1310" s="128" t="s">
        <v>885</v>
      </c>
      <c r="K1310" s="135" t="s">
        <v>6869</v>
      </c>
      <c r="L1310" s="154" t="s">
        <v>6870</v>
      </c>
      <c r="M1310" s="131">
        <v>634339</v>
      </c>
      <c r="N1310" s="108" t="s">
        <v>345</v>
      </c>
      <c r="O1310" s="20" t="s">
        <v>6876</v>
      </c>
      <c r="P1310" s="20"/>
      <c r="Q1310" s="20"/>
    </row>
    <row r="1311" spans="1:17" ht="24.9" customHeight="1">
      <c r="A1311" s="20">
        <v>362</v>
      </c>
      <c r="B1311" s="20" t="s">
        <v>4320</v>
      </c>
      <c r="C1311" s="20">
        <v>218</v>
      </c>
      <c r="D1311" s="20" t="s">
        <v>6586</v>
      </c>
      <c r="E1311" s="19" t="str">
        <f>VLOOKUP(D1311,'لیست پرسنل'!$B$2:$E$1020,3,FALSE)</f>
        <v>فرزان فن اندیش</v>
      </c>
      <c r="F1311" s="19" t="str">
        <f>VLOOKUP(D1311,'لیست پرسنل'!$B$2:$E$1020,4,FALSE)</f>
        <v>دوربین</v>
      </c>
      <c r="G1311" s="127" t="str">
        <f>VLOOKUP(D1311,'لیست پرسنل'!$B$2:$F$1020,2,FALSE)</f>
        <v>0</v>
      </c>
      <c r="H1311" s="126" t="s">
        <v>3381</v>
      </c>
      <c r="I1311" s="128" t="s">
        <v>6587</v>
      </c>
      <c r="J1311" s="128" t="s">
        <v>6871</v>
      </c>
      <c r="K1311" s="135" t="s">
        <v>6872</v>
      </c>
      <c r="L1311" s="154" t="s">
        <v>6873</v>
      </c>
      <c r="M1311" s="131">
        <v>634328</v>
      </c>
      <c r="N1311" s="108" t="s">
        <v>345</v>
      </c>
      <c r="O1311" s="20" t="s">
        <v>6876</v>
      </c>
      <c r="P1311" s="20"/>
      <c r="Q1311" s="20"/>
    </row>
    <row r="1312" spans="1:17" ht="24.9" customHeight="1">
      <c r="A1312" s="20">
        <v>362</v>
      </c>
      <c r="B1312" s="20" t="s">
        <v>4320</v>
      </c>
      <c r="C1312" s="20">
        <v>218</v>
      </c>
      <c r="D1312" s="20" t="s">
        <v>6586</v>
      </c>
      <c r="E1312" s="19" t="str">
        <f>VLOOKUP(D1312,'لیست پرسنل'!$B$2:$E$1020,3,FALSE)</f>
        <v>فرزان فن اندیش</v>
      </c>
      <c r="F1312" s="19" t="str">
        <f>VLOOKUP(D1312,'لیست پرسنل'!$B$2:$E$1020,4,FALSE)</f>
        <v>دوربین</v>
      </c>
      <c r="G1312" s="127" t="str">
        <f>VLOOKUP(D1312,'لیست پرسنل'!$B$2:$F$1020,2,FALSE)</f>
        <v>0</v>
      </c>
      <c r="H1312" s="126" t="s">
        <v>3381</v>
      </c>
      <c r="I1312" s="128" t="s">
        <v>6587</v>
      </c>
      <c r="J1312" s="141" t="s">
        <v>571</v>
      </c>
      <c r="K1312" s="135" t="s">
        <v>1951</v>
      </c>
      <c r="L1312" s="165" t="s">
        <v>2219</v>
      </c>
      <c r="M1312" s="128">
        <v>629910</v>
      </c>
      <c r="N1312" s="108" t="s">
        <v>345</v>
      </c>
      <c r="O1312" s="19" t="s">
        <v>705</v>
      </c>
      <c r="P1312" s="20"/>
      <c r="Q1312" s="20"/>
    </row>
    <row r="1313" spans="1:17" ht="24.9" customHeight="1">
      <c r="A1313" s="20">
        <v>362</v>
      </c>
      <c r="B1313" s="20" t="s">
        <v>4320</v>
      </c>
      <c r="C1313" s="20">
        <v>218</v>
      </c>
      <c r="D1313" s="20" t="s">
        <v>6586</v>
      </c>
      <c r="E1313" s="19" t="str">
        <f>VLOOKUP(D1313,'لیست پرسنل'!$B$2:$E$1020,3,FALSE)</f>
        <v>فرزان فن اندیش</v>
      </c>
      <c r="F1313" s="19" t="str">
        <f>VLOOKUP(D1313,'لیست پرسنل'!$B$2:$E$1020,4,FALSE)</f>
        <v>دوربین</v>
      </c>
      <c r="G1313" s="127" t="str">
        <f>VLOOKUP(D1313,'لیست پرسنل'!$B$2:$F$1020,2,FALSE)</f>
        <v>0</v>
      </c>
      <c r="H1313" s="126" t="s">
        <v>3381</v>
      </c>
      <c r="I1313" s="128" t="s">
        <v>6587</v>
      </c>
      <c r="J1313" s="128" t="s">
        <v>2686</v>
      </c>
      <c r="K1313" s="128" t="s">
        <v>2922</v>
      </c>
      <c r="L1313" s="128" t="s">
        <v>2930</v>
      </c>
      <c r="M1313" s="128">
        <v>626407</v>
      </c>
      <c r="N1313" s="108" t="s">
        <v>345</v>
      </c>
      <c r="O1313" s="20" t="s">
        <v>705</v>
      </c>
      <c r="P1313" s="20"/>
      <c r="Q1313" s="20"/>
    </row>
    <row r="1314" spans="1:17" ht="24.9" customHeight="1">
      <c r="A1314" s="20">
        <v>362</v>
      </c>
      <c r="B1314" s="20" t="s">
        <v>4320</v>
      </c>
      <c r="C1314" s="20">
        <v>219</v>
      </c>
      <c r="D1314" s="20" t="s">
        <v>2825</v>
      </c>
      <c r="E1314" s="19" t="str">
        <f>VLOOKUP(D1314,'لیست پرسنل'!$B$2:$E$1020,3,FALSE)</f>
        <v>مهرفام</v>
      </c>
      <c r="F1314" s="19" t="str">
        <f>VLOOKUP(D1314,'لیست پرسنل'!$B$2:$E$1020,4,FALSE)</f>
        <v>DCC</v>
      </c>
      <c r="G1314" s="127">
        <f>VLOOKUP(D1314,'لیست پرسنل'!$B$2:$F$1020,2,FALSE)</f>
        <v>100536</v>
      </c>
      <c r="H1314" s="128" t="s">
        <v>3381</v>
      </c>
      <c r="I1314" s="128" t="s">
        <v>6667</v>
      </c>
      <c r="J1314" s="128" t="s">
        <v>571</v>
      </c>
      <c r="K1314" s="128" t="s">
        <v>4771</v>
      </c>
      <c r="L1314" s="128"/>
      <c r="M1314" s="127">
        <v>633672</v>
      </c>
      <c r="N1314" s="109" t="s">
        <v>7220</v>
      </c>
      <c r="O1314" s="19" t="s">
        <v>6325</v>
      </c>
      <c r="P1314" s="32"/>
      <c r="Q1314" s="32"/>
    </row>
    <row r="1315" spans="1:17" ht="24.9" customHeight="1">
      <c r="A1315" s="20">
        <v>362</v>
      </c>
      <c r="B1315" s="20" t="s">
        <v>4320</v>
      </c>
      <c r="C1315" s="20">
        <v>219</v>
      </c>
      <c r="D1315" s="20" t="s">
        <v>2825</v>
      </c>
      <c r="E1315" s="19" t="str">
        <f>VLOOKUP(D1315,'لیست پرسنل'!$B$2:$E$1020,3,FALSE)</f>
        <v>مهرفام</v>
      </c>
      <c r="F1315" s="19" t="str">
        <f>VLOOKUP(D1315,'لیست پرسنل'!$B$2:$E$1020,4,FALSE)</f>
        <v>DCC</v>
      </c>
      <c r="G1315" s="127">
        <f>VLOOKUP(D1315,'لیست پرسنل'!$B$2:$F$1020,2,FALSE)</f>
        <v>100536</v>
      </c>
      <c r="H1315" s="128" t="s">
        <v>3381</v>
      </c>
      <c r="I1315" s="128" t="s">
        <v>6667</v>
      </c>
      <c r="J1315" s="128" t="s">
        <v>2686</v>
      </c>
      <c r="K1315" s="128" t="s">
        <v>2922</v>
      </c>
      <c r="L1315" s="128" t="s">
        <v>2947</v>
      </c>
      <c r="M1315" s="128">
        <v>626427</v>
      </c>
      <c r="N1315" s="108" t="s">
        <v>7220</v>
      </c>
      <c r="O1315" s="20" t="s">
        <v>705</v>
      </c>
      <c r="P1315" s="20"/>
      <c r="Q1315" s="20"/>
    </row>
    <row r="1316" spans="1:17" ht="24.9" customHeight="1">
      <c r="A1316" s="20">
        <v>362</v>
      </c>
      <c r="B1316" s="20" t="s">
        <v>4320</v>
      </c>
      <c r="C1316" s="20">
        <v>220</v>
      </c>
      <c r="D1316" s="20" t="s">
        <v>1063</v>
      </c>
      <c r="E1316" s="19" t="str">
        <f>VLOOKUP(D1316,'لیست پرسنل'!$B$2:$E$1020,3,FALSE)</f>
        <v>فکورصنعت</v>
      </c>
      <c r="F1316" s="19" t="str">
        <f>VLOOKUP(D1316,'لیست پرسنل'!$B$2:$E$1020,4,FALSE)</f>
        <v>معاون اجرایی مدیر سایت</v>
      </c>
      <c r="G1316" s="127">
        <f>VLOOKUP(D1316,'لیست پرسنل'!$B$2:$F$1020,2,FALSE)</f>
        <v>896</v>
      </c>
      <c r="H1316" s="128" t="s">
        <v>8302</v>
      </c>
      <c r="I1316" s="128" t="s">
        <v>8393</v>
      </c>
      <c r="J1316" s="128" t="s">
        <v>571</v>
      </c>
      <c r="K1316" s="128" t="s">
        <v>3691</v>
      </c>
      <c r="L1316" s="128"/>
      <c r="M1316" s="127">
        <v>633652</v>
      </c>
      <c r="N1316" s="108" t="s">
        <v>6259</v>
      </c>
      <c r="O1316" s="19" t="s">
        <v>6313</v>
      </c>
      <c r="P1316" s="32"/>
      <c r="Q1316" s="32"/>
    </row>
    <row r="1317" spans="1:17" ht="24.9" customHeight="1">
      <c r="A1317" s="20">
        <v>362</v>
      </c>
      <c r="B1317" s="20" t="s">
        <v>4320</v>
      </c>
      <c r="C1317" s="19">
        <v>220</v>
      </c>
      <c r="D1317" s="19" t="s">
        <v>1063</v>
      </c>
      <c r="E1317" s="19" t="str">
        <f>VLOOKUP(D1317,'لیست پرسنل'!$B$2:$E$1020,3,FALSE)</f>
        <v>فکورصنعت</v>
      </c>
      <c r="F1317" s="19" t="str">
        <f>VLOOKUP(D1317,'لیست پرسنل'!$B$2:$E$1020,4,FALSE)</f>
        <v>معاون اجرایی مدیر سایت</v>
      </c>
      <c r="G1317" s="127">
        <f>VLOOKUP(D1317,'لیست پرسنل'!$B$2:$F$1020,2,FALSE)</f>
        <v>896</v>
      </c>
      <c r="H1317" s="151" t="s">
        <v>8302</v>
      </c>
      <c r="I1317" s="127" t="s">
        <v>8393</v>
      </c>
      <c r="J1317" s="128" t="s">
        <v>2686</v>
      </c>
      <c r="K1317" s="128" t="s">
        <v>332</v>
      </c>
      <c r="L1317" s="128" t="s">
        <v>2165</v>
      </c>
      <c r="M1317" s="127">
        <v>633626</v>
      </c>
      <c r="N1317" s="109"/>
      <c r="O1317" s="19" t="s">
        <v>6279</v>
      </c>
      <c r="P1317" s="32"/>
      <c r="Q1317" s="32"/>
    </row>
    <row r="1318" spans="1:17" ht="24.9" customHeight="1">
      <c r="A1318" s="20">
        <v>362</v>
      </c>
      <c r="B1318" s="20" t="s">
        <v>4320</v>
      </c>
      <c r="C1318" s="19">
        <v>221</v>
      </c>
      <c r="D1318" s="19" t="s">
        <v>8066</v>
      </c>
      <c r="E1318" s="19" t="str">
        <f>VLOOKUP(D1318,'لیست پرسنل'!$B$2:$E$1020,3,FALSE)</f>
        <v>کاربین طرح</v>
      </c>
      <c r="F1318" s="19" t="str">
        <f>VLOOKUP(D1318,'لیست پرسنل'!$B$2:$E$1020,4,FALSE)</f>
        <v>ایمنی</v>
      </c>
      <c r="G1318" s="127">
        <f>VLOOKUP(D1318,'لیست پرسنل'!$B$2:$F$1020,2,FALSE)</f>
        <v>0</v>
      </c>
      <c r="H1318" s="127" t="s">
        <v>8427</v>
      </c>
      <c r="I1318" s="127" t="s">
        <v>8426</v>
      </c>
      <c r="J1318" s="126" t="s">
        <v>368</v>
      </c>
      <c r="K1318" s="128" t="s">
        <v>2846</v>
      </c>
      <c r="L1318" s="128" t="s">
        <v>2396</v>
      </c>
      <c r="M1318" s="128">
        <v>628803</v>
      </c>
      <c r="N1318" s="108" t="s">
        <v>6840</v>
      </c>
      <c r="O1318" s="20"/>
      <c r="P1318" s="20"/>
      <c r="Q1318" s="20"/>
    </row>
    <row r="1319" spans="1:17" ht="24.9" customHeight="1">
      <c r="A1319" s="20">
        <v>362</v>
      </c>
      <c r="B1319" s="20" t="s">
        <v>4320</v>
      </c>
      <c r="C1319" s="19">
        <v>221</v>
      </c>
      <c r="D1319" s="19" t="s">
        <v>8066</v>
      </c>
      <c r="E1319" s="19" t="str">
        <f>VLOOKUP(D1319,'لیست پرسنل'!$B$2:$E$1020,3,FALSE)</f>
        <v>کاربین طرح</v>
      </c>
      <c r="F1319" s="19" t="str">
        <f>VLOOKUP(D1319,'لیست پرسنل'!$B$2:$E$1020,4,FALSE)</f>
        <v>ایمنی</v>
      </c>
      <c r="G1319" s="127">
        <f>VLOOKUP(D1319,'لیست پرسنل'!$B$2:$F$1020,2,FALSE)</f>
        <v>0</v>
      </c>
      <c r="H1319" s="127" t="s">
        <v>8427</v>
      </c>
      <c r="I1319" s="127" t="s">
        <v>8426</v>
      </c>
      <c r="J1319" s="127" t="s">
        <v>571</v>
      </c>
      <c r="K1319" s="127"/>
      <c r="L1319" s="127" t="s">
        <v>7970</v>
      </c>
      <c r="M1319" s="127">
        <v>625421</v>
      </c>
      <c r="N1319" s="108" t="s">
        <v>6840</v>
      </c>
      <c r="O1319" s="19"/>
      <c r="P1319" s="20"/>
      <c r="Q1319" s="20"/>
    </row>
    <row r="1320" spans="1:17" ht="24.9" customHeight="1">
      <c r="A1320" s="20">
        <v>362</v>
      </c>
      <c r="B1320" s="20" t="s">
        <v>4320</v>
      </c>
      <c r="C1320" s="19">
        <v>221</v>
      </c>
      <c r="D1320" s="19" t="s">
        <v>8066</v>
      </c>
      <c r="E1320" s="19" t="str">
        <f>VLOOKUP(D1320,'لیست پرسنل'!$B$2:$E$1020,3,FALSE)</f>
        <v>کاربین طرح</v>
      </c>
      <c r="F1320" s="19" t="str">
        <f>VLOOKUP(D1320,'لیست پرسنل'!$B$2:$E$1020,4,FALSE)</f>
        <v>ایمنی</v>
      </c>
      <c r="G1320" s="127">
        <f>VLOOKUP(D1320,'لیست پرسنل'!$B$2:$F$1020,2,FALSE)</f>
        <v>0</v>
      </c>
      <c r="H1320" s="127" t="s">
        <v>8427</v>
      </c>
      <c r="I1320" s="127" t="s">
        <v>8426</v>
      </c>
      <c r="J1320" s="128" t="s">
        <v>2686</v>
      </c>
      <c r="K1320" s="128" t="s">
        <v>320</v>
      </c>
      <c r="L1320" s="151" t="s">
        <v>1431</v>
      </c>
      <c r="M1320" s="127">
        <v>609610</v>
      </c>
      <c r="N1320" s="108" t="s">
        <v>6840</v>
      </c>
      <c r="O1320" s="20" t="s">
        <v>4652</v>
      </c>
      <c r="P1320" s="20"/>
      <c r="Q1320" s="20"/>
    </row>
    <row r="1321" spans="1:17" ht="24.9" customHeight="1">
      <c r="A1321" s="20">
        <v>362</v>
      </c>
      <c r="B1321" s="20" t="s">
        <v>4320</v>
      </c>
      <c r="C1321" s="19">
        <v>222</v>
      </c>
      <c r="D1321" s="19" t="s">
        <v>8428</v>
      </c>
      <c r="E1321" s="19" t="str">
        <f>VLOOKUP(D1321,'لیست پرسنل'!$B$2:$E$1020,3,FALSE)</f>
        <v>مهرفام سپاهان</v>
      </c>
      <c r="F1321" s="19" t="str">
        <f>VLOOKUP(D1321,'لیست پرسنل'!$B$2:$E$1020,4,FALSE)</f>
        <v>مکانیک</v>
      </c>
      <c r="G1321" s="127">
        <f>VLOOKUP(D1321,'لیست پرسنل'!$B$2:$F$1020,2,FALSE)</f>
        <v>0</v>
      </c>
      <c r="H1321" s="151" t="s">
        <v>7956</v>
      </c>
      <c r="I1321" s="127" t="s">
        <v>8430</v>
      </c>
      <c r="J1321" s="127" t="s">
        <v>571</v>
      </c>
      <c r="K1321" s="128" t="s">
        <v>2219</v>
      </c>
      <c r="L1321" s="127"/>
      <c r="M1321" s="127">
        <v>628587</v>
      </c>
      <c r="N1321" s="109" t="s">
        <v>326</v>
      </c>
      <c r="O1321" s="19"/>
      <c r="P1321" s="20"/>
      <c r="Q1321" s="20"/>
    </row>
    <row r="1322" spans="1:17" ht="24.9" customHeight="1">
      <c r="A1322" s="20">
        <v>362</v>
      </c>
      <c r="B1322" s="20" t="s">
        <v>4320</v>
      </c>
      <c r="C1322" s="19">
        <v>222</v>
      </c>
      <c r="D1322" s="19" t="s">
        <v>8428</v>
      </c>
      <c r="E1322" s="19" t="str">
        <f>VLOOKUP(D1322,'لیست پرسنل'!$B$2:$E$1020,3,FALSE)</f>
        <v>مهرفام سپاهان</v>
      </c>
      <c r="F1322" s="19" t="str">
        <f>VLOOKUP(D1322,'لیست پرسنل'!$B$2:$E$1020,4,FALSE)</f>
        <v>مکانیک</v>
      </c>
      <c r="G1322" s="127">
        <f>VLOOKUP(D1322,'لیست پرسنل'!$B$2:$F$1020,2,FALSE)</f>
        <v>0</v>
      </c>
      <c r="H1322" s="151" t="s">
        <v>7956</v>
      </c>
      <c r="I1322" s="127" t="s">
        <v>8430</v>
      </c>
      <c r="J1322" s="128" t="s">
        <v>2686</v>
      </c>
      <c r="K1322" s="128" t="s">
        <v>890</v>
      </c>
      <c r="L1322" s="151" t="s">
        <v>1232</v>
      </c>
      <c r="M1322" s="128">
        <v>611152</v>
      </c>
      <c r="N1322" s="109" t="s">
        <v>326</v>
      </c>
      <c r="O1322" s="20"/>
      <c r="P1322" s="20"/>
      <c r="Q1322" s="20"/>
    </row>
    <row r="1323" spans="1:17" ht="24.9" customHeight="1">
      <c r="A1323" s="20">
        <v>362</v>
      </c>
      <c r="B1323" s="20" t="s">
        <v>4320</v>
      </c>
      <c r="C1323" s="19"/>
      <c r="D1323" s="19" t="s">
        <v>6226</v>
      </c>
      <c r="E1323" s="19" t="str">
        <f>VLOOKUP(D1323,'لیست پرسنل'!$B$2:$E$1020,3,FALSE)</f>
        <v>حراست کارفرما</v>
      </c>
      <c r="F1323" s="19" t="str">
        <f>VLOOKUP(D1323,'لیست پرسنل'!$B$2:$E$1020,4,FALSE)</f>
        <v>حراست کارفرما</v>
      </c>
      <c r="G1323" s="127">
        <f>VLOOKUP(D1323,'لیست پرسنل'!$B$2:$F$1020,2,FALSE)</f>
        <v>0</v>
      </c>
      <c r="H1323" s="127" t="s">
        <v>6227</v>
      </c>
      <c r="I1323" s="127"/>
      <c r="J1323" s="128" t="s">
        <v>2686</v>
      </c>
      <c r="K1323" s="128" t="s">
        <v>890</v>
      </c>
      <c r="L1323" s="158" t="s">
        <v>537</v>
      </c>
      <c r="M1323" s="127">
        <v>608001</v>
      </c>
      <c r="N1323" s="109"/>
      <c r="O1323" s="86"/>
      <c r="P1323" s="20"/>
      <c r="Q1323" s="20"/>
    </row>
    <row r="1324" spans="1:17" ht="24.9" customHeight="1">
      <c r="A1324" s="20">
        <v>362</v>
      </c>
      <c r="B1324" s="20" t="s">
        <v>4320</v>
      </c>
      <c r="C1324" s="20"/>
      <c r="D1324" s="20" t="s">
        <v>5730</v>
      </c>
      <c r="E1324" s="19" t="str">
        <f>VLOOKUP(D1324,'لیست پرسنل'!$B$2:$E$1020,3,FALSE)</f>
        <v>گهر کوشان سپهر</v>
      </c>
      <c r="F1324" s="19" t="str">
        <f>VLOOKUP(D1324,'لیست پرسنل'!$B$2:$E$1020,4,FALSE)</f>
        <v>انبار</v>
      </c>
      <c r="G1324" s="127">
        <f>VLOOKUP(D1324,'لیست پرسنل'!$B$2:$F$1020,2,FALSE)</f>
        <v>20641</v>
      </c>
      <c r="H1324" s="151" t="s">
        <v>5731</v>
      </c>
      <c r="I1324" s="128"/>
      <c r="J1324" s="126" t="s">
        <v>368</v>
      </c>
      <c r="K1324" s="128" t="s">
        <v>2846</v>
      </c>
      <c r="L1324" s="127" t="s">
        <v>2304</v>
      </c>
      <c r="M1324" s="128">
        <v>628710</v>
      </c>
      <c r="N1324" s="108"/>
      <c r="O1324" s="20" t="s">
        <v>705</v>
      </c>
      <c r="P1324" s="20"/>
      <c r="Q1324" s="20"/>
    </row>
    <row r="1325" spans="1:17" ht="24.9" customHeight="1">
      <c r="A1325" s="20">
        <v>362</v>
      </c>
      <c r="B1325" s="20" t="s">
        <v>4320</v>
      </c>
      <c r="C1325" s="19"/>
      <c r="D1325" s="19" t="s">
        <v>7048</v>
      </c>
      <c r="E1325" s="19" t="str">
        <f>VLOOKUP(D1325,'لیست پرسنل'!$B$2:$E$1020,3,FALSE)</f>
        <v>نیرو پژوه سهند</v>
      </c>
      <c r="F1325" s="19">
        <f>VLOOKUP(D1325,'لیست پرسنل'!$B$2:$E$1020,4,FALSE)</f>
        <v>0</v>
      </c>
      <c r="G1325" s="127" t="str">
        <f>VLOOKUP(D1325,'لیست پرسنل'!$B$2:$F$1020,2,FALSE)</f>
        <v>0</v>
      </c>
      <c r="H1325" s="128" t="s">
        <v>3381</v>
      </c>
      <c r="I1325" s="127"/>
      <c r="J1325" s="128" t="s">
        <v>3938</v>
      </c>
      <c r="K1325" s="128" t="s">
        <v>3155</v>
      </c>
      <c r="L1325" s="128">
        <v>77141502846</v>
      </c>
      <c r="M1325" s="128">
        <v>606443</v>
      </c>
      <c r="N1325" s="108" t="s">
        <v>345</v>
      </c>
      <c r="O1325" s="20"/>
      <c r="P1325" s="20"/>
      <c r="Q1325" s="20"/>
    </row>
    <row r="1326" spans="1:17" ht="24.9" customHeight="1">
      <c r="A1326" s="20">
        <v>362</v>
      </c>
      <c r="B1326" s="20" t="s">
        <v>4320</v>
      </c>
      <c r="C1326" s="19"/>
      <c r="D1326" s="19" t="s">
        <v>7048</v>
      </c>
      <c r="E1326" s="19" t="str">
        <f>VLOOKUP(D1326,'لیست پرسنل'!$B$2:$E$1020,3,FALSE)</f>
        <v>نیرو پژوه سهند</v>
      </c>
      <c r="F1326" s="19">
        <f>VLOOKUP(D1326,'لیست پرسنل'!$B$2:$E$1020,4,FALSE)</f>
        <v>0</v>
      </c>
      <c r="G1326" s="127" t="str">
        <f>VLOOKUP(D1326,'لیست پرسنل'!$B$2:$F$1020,2,FALSE)</f>
        <v>0</v>
      </c>
      <c r="H1326" s="128" t="s">
        <v>3381</v>
      </c>
      <c r="I1326" s="127"/>
      <c r="J1326" s="128" t="s">
        <v>3481</v>
      </c>
      <c r="K1326" s="152" t="s">
        <v>840</v>
      </c>
      <c r="L1326" s="149"/>
      <c r="M1326" s="126" t="s">
        <v>291</v>
      </c>
      <c r="N1326" s="108" t="s">
        <v>345</v>
      </c>
      <c r="O1326" s="20" t="s">
        <v>1406</v>
      </c>
      <c r="P1326" s="20"/>
      <c r="Q1326" s="20"/>
    </row>
    <row r="1327" spans="1:17" ht="24.9" customHeight="1">
      <c r="A1327" s="20">
        <v>362</v>
      </c>
      <c r="B1327" s="20" t="s">
        <v>4320</v>
      </c>
      <c r="C1327" s="20"/>
      <c r="D1327" s="20" t="s">
        <v>48</v>
      </c>
      <c r="E1327" s="19" t="str">
        <f>VLOOKUP(D1327,'لیست پرسنل'!$B$2:$E$1020,3,FALSE)</f>
        <v>فکورصنعت</v>
      </c>
      <c r="F1327" s="19" t="str">
        <f>VLOOKUP(D1327,'لیست پرسنل'!$B$2:$E$1020,4,FALSE)</f>
        <v>سرپرست آی تی</v>
      </c>
      <c r="G1327" s="127">
        <f>VLOOKUP(D1327,'لیست پرسنل'!$B$2:$F$1020,2,FALSE)</f>
        <v>2210</v>
      </c>
      <c r="H1327" s="126" t="s">
        <v>5973</v>
      </c>
      <c r="I1327" s="128"/>
      <c r="J1327" s="128" t="s">
        <v>3145</v>
      </c>
      <c r="K1327" s="128" t="s">
        <v>1085</v>
      </c>
      <c r="L1327" s="150" t="s">
        <v>1086</v>
      </c>
      <c r="M1327" s="128">
        <v>618827</v>
      </c>
      <c r="N1327" s="108"/>
      <c r="O1327" s="20" t="s">
        <v>1087</v>
      </c>
      <c r="P1327" s="20"/>
      <c r="Q1327" s="20"/>
    </row>
    <row r="1328" spans="1:17" ht="24.9" customHeight="1">
      <c r="A1328" s="20">
        <v>362</v>
      </c>
      <c r="B1328" s="20" t="s">
        <v>4320</v>
      </c>
      <c r="C1328" s="20"/>
      <c r="D1328" s="20" t="s">
        <v>48</v>
      </c>
      <c r="E1328" s="19" t="str">
        <f>VLOOKUP(D1328,'لیست پرسنل'!$B$2:$E$1020,3,FALSE)</f>
        <v>فکورصنعت</v>
      </c>
      <c r="F1328" s="19" t="str">
        <f>VLOOKUP(D1328,'لیست پرسنل'!$B$2:$E$1020,4,FALSE)</f>
        <v>سرپرست آی تی</v>
      </c>
      <c r="G1328" s="127">
        <f>VLOOKUP(D1328,'لیست پرسنل'!$B$2:$F$1020,2,FALSE)</f>
        <v>2210</v>
      </c>
      <c r="H1328" s="126" t="s">
        <v>4289</v>
      </c>
      <c r="I1328" s="155"/>
      <c r="J1328" s="128" t="s">
        <v>5366</v>
      </c>
      <c r="K1328" s="127" t="s">
        <v>8236</v>
      </c>
      <c r="L1328" s="151" t="s">
        <v>1289</v>
      </c>
      <c r="M1328" s="127">
        <v>613497</v>
      </c>
      <c r="N1328" s="108" t="s">
        <v>5803</v>
      </c>
      <c r="O1328" s="19" t="s">
        <v>802</v>
      </c>
      <c r="P1328" s="20"/>
      <c r="Q1328" s="20"/>
    </row>
    <row r="1329" spans="1:17" ht="24.9" customHeight="1">
      <c r="A1329" s="20">
        <v>362</v>
      </c>
      <c r="B1329" s="20" t="s">
        <v>4320</v>
      </c>
      <c r="C1329" s="20"/>
      <c r="D1329" s="20" t="s">
        <v>48</v>
      </c>
      <c r="E1329" s="19" t="str">
        <f>VLOOKUP(D1329,'لیست پرسنل'!$B$2:$E$1020,3,FALSE)</f>
        <v>فکورصنعت</v>
      </c>
      <c r="F1329" s="19" t="str">
        <f>VLOOKUP(D1329,'لیست پرسنل'!$B$2:$E$1020,4,FALSE)</f>
        <v>سرپرست آی تی</v>
      </c>
      <c r="G1329" s="127">
        <f>VLOOKUP(D1329,'لیست پرسنل'!$B$2:$F$1020,2,FALSE)</f>
        <v>2210</v>
      </c>
      <c r="H1329" s="126" t="s">
        <v>4289</v>
      </c>
      <c r="I1329" s="155"/>
      <c r="J1329" s="128" t="s">
        <v>5366</v>
      </c>
      <c r="K1329" s="127" t="s">
        <v>1866</v>
      </c>
      <c r="L1329" s="151" t="s">
        <v>1865</v>
      </c>
      <c r="M1329" s="131">
        <v>616261</v>
      </c>
      <c r="N1329" s="108" t="s">
        <v>5803</v>
      </c>
      <c r="O1329" s="20" t="s">
        <v>1867</v>
      </c>
      <c r="P1329" s="20"/>
      <c r="Q1329" s="20"/>
    </row>
    <row r="1330" spans="1:17" ht="24.9" customHeight="1">
      <c r="A1330" s="20">
        <v>362</v>
      </c>
      <c r="B1330" s="20" t="s">
        <v>4320</v>
      </c>
      <c r="C1330" s="20"/>
      <c r="D1330" s="20" t="s">
        <v>48</v>
      </c>
      <c r="E1330" s="19" t="str">
        <f>VLOOKUP(D1330,'لیست پرسنل'!$B$2:$E$1020,3,FALSE)</f>
        <v>فکورصنعت</v>
      </c>
      <c r="F1330" s="19" t="str">
        <f>VLOOKUP(D1330,'لیست پرسنل'!$B$2:$E$1020,4,FALSE)</f>
        <v>سرپرست آی تی</v>
      </c>
      <c r="G1330" s="127">
        <f>VLOOKUP(D1330,'لیست پرسنل'!$B$2:$F$1020,2,FALSE)</f>
        <v>2210</v>
      </c>
      <c r="H1330" s="126" t="s">
        <v>4289</v>
      </c>
      <c r="I1330" s="128"/>
      <c r="J1330" s="128" t="s">
        <v>3483</v>
      </c>
      <c r="K1330" s="128" t="s">
        <v>1954</v>
      </c>
      <c r="L1330" s="153" t="s">
        <v>5032</v>
      </c>
      <c r="M1330" s="127">
        <v>627687</v>
      </c>
      <c r="N1330" s="108"/>
      <c r="O1330" s="20" t="s">
        <v>3794</v>
      </c>
      <c r="P1330" s="20"/>
      <c r="Q1330" s="20"/>
    </row>
    <row r="1331" spans="1:17" ht="24.9" customHeight="1">
      <c r="A1331" s="20">
        <v>362</v>
      </c>
      <c r="B1331" s="20" t="s">
        <v>4320</v>
      </c>
      <c r="C1331" s="19"/>
      <c r="D1331" s="19" t="s">
        <v>48</v>
      </c>
      <c r="E1331" s="19" t="str">
        <f>VLOOKUP(D1331,'لیست پرسنل'!$B$2:$E$1020,3,FALSE)</f>
        <v>فکورصنعت</v>
      </c>
      <c r="F1331" s="19" t="str">
        <f>VLOOKUP(D1331,'لیست پرسنل'!$B$2:$E$1020,4,FALSE)</f>
        <v>سرپرست آی تی</v>
      </c>
      <c r="G1331" s="127">
        <f>VLOOKUP(D1331,'لیست پرسنل'!$B$2:$F$1020,2,FALSE)</f>
        <v>2210</v>
      </c>
      <c r="H1331" s="151" t="s">
        <v>7360</v>
      </c>
      <c r="I1331" s="127"/>
      <c r="J1331" s="127" t="s">
        <v>3476</v>
      </c>
      <c r="K1331" s="127" t="s">
        <v>8107</v>
      </c>
      <c r="L1331" s="150" t="s">
        <v>7315</v>
      </c>
      <c r="M1331" s="126">
        <v>635903</v>
      </c>
      <c r="N1331" s="109"/>
      <c r="O1331" s="39"/>
      <c r="P1331" s="20"/>
      <c r="Q1331" s="20"/>
    </row>
    <row r="1332" spans="1:17" ht="24.9" customHeight="1">
      <c r="A1332" s="20">
        <v>362</v>
      </c>
      <c r="B1332" s="20" t="s">
        <v>4320</v>
      </c>
      <c r="C1332" s="19"/>
      <c r="D1332" s="20" t="s">
        <v>48</v>
      </c>
      <c r="E1332" s="19" t="str">
        <f>VLOOKUP(D1332,'لیست پرسنل'!$B$2:$E$1020,3,FALSE)</f>
        <v>فکورصنعت</v>
      </c>
      <c r="F1332" s="19" t="str">
        <f>VLOOKUP(D1332,'لیست پرسنل'!$B$2:$E$1020,4,FALSE)</f>
        <v>سرپرست آی تی</v>
      </c>
      <c r="G1332" s="127">
        <f>VLOOKUP(D1332,'لیست پرسنل'!$B$2:$F$1020,2,FALSE)</f>
        <v>2210</v>
      </c>
      <c r="H1332" s="126" t="s">
        <v>7128</v>
      </c>
      <c r="I1332" s="128"/>
      <c r="J1332" s="128" t="s">
        <v>3476</v>
      </c>
      <c r="K1332" s="128" t="s">
        <v>4801</v>
      </c>
      <c r="L1332" s="128" t="s">
        <v>5241</v>
      </c>
      <c r="M1332" s="128">
        <v>631302</v>
      </c>
      <c r="N1332" s="108"/>
      <c r="O1332" s="20"/>
      <c r="P1332" s="20"/>
      <c r="Q1332" s="20"/>
    </row>
    <row r="1333" spans="1:17" ht="24.9" customHeight="1">
      <c r="A1333" s="20">
        <v>362</v>
      </c>
      <c r="B1333" s="20" t="s">
        <v>4320</v>
      </c>
      <c r="C1333" s="20"/>
      <c r="D1333" s="20" t="s">
        <v>48</v>
      </c>
      <c r="E1333" s="19" t="str">
        <f>VLOOKUP(D1333,'لیست پرسنل'!$B$2:$E$1020,3,FALSE)</f>
        <v>فکورصنعت</v>
      </c>
      <c r="F1333" s="19" t="str">
        <f>VLOOKUP(D1333,'لیست پرسنل'!$B$2:$E$1020,4,FALSE)</f>
        <v>سرپرست آی تی</v>
      </c>
      <c r="G1333" s="127">
        <f>VLOOKUP(D1333,'لیست پرسنل'!$B$2:$F$1020,2,FALSE)</f>
        <v>2210</v>
      </c>
      <c r="H1333" s="128" t="s">
        <v>4014</v>
      </c>
      <c r="I1333" s="128"/>
      <c r="J1333" s="128" t="s">
        <v>3483</v>
      </c>
      <c r="K1333" s="128" t="s">
        <v>4013</v>
      </c>
      <c r="L1333" s="127"/>
      <c r="M1333" s="132">
        <v>629505</v>
      </c>
      <c r="N1333" s="108"/>
      <c r="O1333" s="20"/>
      <c r="P1333" s="20"/>
      <c r="Q1333" s="20"/>
    </row>
    <row r="1334" spans="1:17" ht="24.9" customHeight="1">
      <c r="A1334" s="20">
        <v>362</v>
      </c>
      <c r="B1334" s="20" t="s">
        <v>4320</v>
      </c>
      <c r="C1334" s="19"/>
      <c r="D1334" s="19" t="s">
        <v>48</v>
      </c>
      <c r="E1334" s="19" t="str">
        <f>VLOOKUP(D1334,'لیست پرسنل'!$B$2:$E$1020,3,FALSE)</f>
        <v>فکورصنعت</v>
      </c>
      <c r="F1334" s="19" t="str">
        <f>VLOOKUP(D1334,'لیست پرسنل'!$B$2:$E$1020,4,FALSE)</f>
        <v>سرپرست آی تی</v>
      </c>
      <c r="G1334" s="127">
        <f>VLOOKUP(D1334,'لیست پرسنل'!$B$2:$F$1020,2,FALSE)</f>
        <v>2210</v>
      </c>
      <c r="H1334" s="151" t="s">
        <v>5415</v>
      </c>
      <c r="I1334" s="127"/>
      <c r="J1334" s="127" t="s">
        <v>3481</v>
      </c>
      <c r="K1334" s="128" t="s">
        <v>5346</v>
      </c>
      <c r="L1334" s="127" t="s">
        <v>5344</v>
      </c>
      <c r="M1334" s="128" t="s">
        <v>291</v>
      </c>
      <c r="N1334" s="108"/>
      <c r="O1334" s="20" t="s">
        <v>5349</v>
      </c>
      <c r="P1334" s="20"/>
      <c r="Q1334" s="20"/>
    </row>
    <row r="1335" spans="1:17" ht="24.9" customHeight="1">
      <c r="A1335" s="20">
        <v>362</v>
      </c>
      <c r="B1335" s="20" t="s">
        <v>4320</v>
      </c>
      <c r="C1335" s="19"/>
      <c r="D1335" s="19" t="s">
        <v>48</v>
      </c>
      <c r="E1335" s="19" t="str">
        <f>VLOOKUP(D1335,'لیست پرسنل'!$B$2:$E$1020,3,FALSE)</f>
        <v>فکورصنعت</v>
      </c>
      <c r="F1335" s="19" t="str">
        <f>VLOOKUP(D1335,'لیست پرسنل'!$B$2:$E$1020,4,FALSE)</f>
        <v>سرپرست آی تی</v>
      </c>
      <c r="G1335" s="127">
        <f>VLOOKUP(D1335,'لیست پرسنل'!$B$2:$F$1020,2,FALSE)</f>
        <v>2210</v>
      </c>
      <c r="H1335" s="151" t="s">
        <v>5079</v>
      </c>
      <c r="I1335" s="128"/>
      <c r="J1335" s="128" t="s">
        <v>4333</v>
      </c>
      <c r="K1335" s="128" t="s">
        <v>5077</v>
      </c>
      <c r="L1335" s="128" t="s">
        <v>5080</v>
      </c>
      <c r="M1335" s="128">
        <v>605357</v>
      </c>
      <c r="N1335" s="111"/>
      <c r="O1335" s="20"/>
      <c r="P1335" s="20"/>
      <c r="Q1335" s="20"/>
    </row>
    <row r="1336" spans="1:17" ht="24.9" customHeight="1">
      <c r="A1336" s="20">
        <v>362</v>
      </c>
      <c r="B1336" s="20" t="s">
        <v>4320</v>
      </c>
      <c r="C1336" s="20"/>
      <c r="D1336" s="20" t="s">
        <v>48</v>
      </c>
      <c r="E1336" s="19" t="str">
        <f>VLOOKUP(D1336,'لیست پرسنل'!$B$2:$E$1020,3,FALSE)</f>
        <v>فکورصنعت</v>
      </c>
      <c r="F1336" s="19" t="str">
        <f>VLOOKUP(D1336,'لیست پرسنل'!$B$2:$E$1020,4,FALSE)</f>
        <v>سرپرست آی تی</v>
      </c>
      <c r="G1336" s="127">
        <f>VLOOKUP(D1336,'لیست پرسنل'!$B$2:$F$1020,2,FALSE)</f>
        <v>2210</v>
      </c>
      <c r="H1336" s="126" t="s">
        <v>3381</v>
      </c>
      <c r="I1336" s="128" t="s">
        <v>6577</v>
      </c>
      <c r="J1336" s="128" t="s">
        <v>5927</v>
      </c>
      <c r="K1336" s="127" t="s">
        <v>6576</v>
      </c>
      <c r="L1336" s="150" t="s">
        <v>6578</v>
      </c>
      <c r="M1336" s="128" t="s">
        <v>291</v>
      </c>
      <c r="N1336" s="108"/>
      <c r="O1336" s="88" t="s">
        <v>6583</v>
      </c>
      <c r="P1336" s="20"/>
      <c r="Q1336" s="20"/>
    </row>
    <row r="1337" spans="1:17" ht="24.9" customHeight="1">
      <c r="A1337" s="20">
        <v>362</v>
      </c>
      <c r="B1337" s="20" t="s">
        <v>4320</v>
      </c>
      <c r="C1337" s="20"/>
      <c r="D1337" s="20" t="s">
        <v>48</v>
      </c>
      <c r="E1337" s="19" t="str">
        <f>VLOOKUP(D1337,'لیست پرسنل'!$B$2:$E$1020,3,FALSE)</f>
        <v>فکورصنعت</v>
      </c>
      <c r="F1337" s="19" t="str">
        <f>VLOOKUP(D1337,'لیست پرسنل'!$B$2:$E$1020,4,FALSE)</f>
        <v>سرپرست آی تی</v>
      </c>
      <c r="G1337" s="127">
        <f>VLOOKUP(D1337,'لیست پرسنل'!$B$2:$F$1020,2,FALSE)</f>
        <v>2210</v>
      </c>
      <c r="H1337" s="128" t="s">
        <v>3381</v>
      </c>
      <c r="I1337" s="128"/>
      <c r="J1337" s="128" t="s">
        <v>4728</v>
      </c>
      <c r="K1337" s="128" t="s">
        <v>4727</v>
      </c>
      <c r="L1337" s="127"/>
      <c r="M1337" s="127">
        <v>300736</v>
      </c>
      <c r="N1337" s="111"/>
      <c r="O1337" s="20"/>
      <c r="P1337" s="20"/>
      <c r="Q1337" s="20"/>
    </row>
    <row r="1338" spans="1:17" ht="24.9" customHeight="1">
      <c r="A1338" s="20">
        <v>362</v>
      </c>
      <c r="B1338" s="20" t="s">
        <v>4320</v>
      </c>
      <c r="C1338" s="20"/>
      <c r="D1338" s="20" t="s">
        <v>48</v>
      </c>
      <c r="E1338" s="19" t="str">
        <f>VLOOKUP(D1338,'لیست پرسنل'!$B$2:$E$1020,3,FALSE)</f>
        <v>فکورصنعت</v>
      </c>
      <c r="F1338" s="19" t="str">
        <f>VLOOKUP(D1338,'لیست پرسنل'!$B$2:$E$1020,4,FALSE)</f>
        <v>سرپرست آی تی</v>
      </c>
      <c r="G1338" s="127">
        <f>VLOOKUP(D1338,'لیست پرسنل'!$B$2:$F$1020,2,FALSE)</f>
        <v>2210</v>
      </c>
      <c r="H1338" s="128" t="s">
        <v>3381</v>
      </c>
      <c r="I1338" s="128"/>
      <c r="J1338" s="128" t="s">
        <v>864</v>
      </c>
      <c r="K1338" s="128" t="s">
        <v>4726</v>
      </c>
      <c r="L1338" s="127"/>
      <c r="M1338" s="127">
        <v>300680</v>
      </c>
      <c r="N1338" s="111"/>
      <c r="O1338" s="20"/>
      <c r="P1338" s="20"/>
      <c r="Q1338" s="20"/>
    </row>
    <row r="1339" spans="1:17" ht="24.9" customHeight="1">
      <c r="A1339" s="20">
        <v>362</v>
      </c>
      <c r="B1339" s="20" t="s">
        <v>4320</v>
      </c>
      <c r="C1339" s="20"/>
      <c r="D1339" s="20" t="s">
        <v>48</v>
      </c>
      <c r="E1339" s="19" t="str">
        <f>VLOOKUP(D1339,'لیست پرسنل'!$B$2:$E$1020,3,FALSE)</f>
        <v>فکورصنعت</v>
      </c>
      <c r="F1339" s="19" t="str">
        <f>VLOOKUP(D1339,'لیست پرسنل'!$B$2:$E$1020,4,FALSE)</f>
        <v>سرپرست آی تی</v>
      </c>
      <c r="G1339" s="127">
        <f>VLOOKUP(D1339,'لیست پرسنل'!$B$2:$F$1020,2,FALSE)</f>
        <v>2210</v>
      </c>
      <c r="H1339" s="128" t="s">
        <v>3381</v>
      </c>
      <c r="I1339" s="128"/>
      <c r="J1339" s="128" t="s">
        <v>4724</v>
      </c>
      <c r="K1339" s="128" t="s">
        <v>4725</v>
      </c>
      <c r="L1339" s="127"/>
      <c r="M1339" s="127">
        <v>300679</v>
      </c>
      <c r="N1339" s="108"/>
      <c r="O1339" s="20"/>
      <c r="P1339" s="20"/>
      <c r="Q1339" s="20"/>
    </row>
    <row r="1340" spans="1:17" ht="24.9" customHeight="1">
      <c r="A1340" s="20">
        <v>362</v>
      </c>
      <c r="B1340" s="20" t="s">
        <v>4320</v>
      </c>
      <c r="C1340" s="20"/>
      <c r="D1340" s="20" t="s">
        <v>48</v>
      </c>
      <c r="E1340" s="19" t="str">
        <f>VLOOKUP(D1340,'لیست پرسنل'!$B$2:$E$1020,3,FALSE)</f>
        <v>فکورصنعت</v>
      </c>
      <c r="F1340" s="19" t="str">
        <f>VLOOKUP(D1340,'لیست پرسنل'!$B$2:$E$1020,4,FALSE)</f>
        <v>سرپرست آی تی</v>
      </c>
      <c r="G1340" s="127">
        <f>VLOOKUP(D1340,'لیست پرسنل'!$B$2:$F$1020,2,FALSE)</f>
        <v>2210</v>
      </c>
      <c r="H1340" s="128" t="s">
        <v>3381</v>
      </c>
      <c r="I1340" s="128"/>
      <c r="J1340" s="128" t="s">
        <v>4738</v>
      </c>
      <c r="K1340" s="128" t="s">
        <v>4737</v>
      </c>
      <c r="L1340" s="127"/>
      <c r="M1340" s="127">
        <v>628211</v>
      </c>
      <c r="N1340" s="111"/>
      <c r="O1340" s="20"/>
      <c r="P1340" s="20"/>
      <c r="Q1340" s="20"/>
    </row>
    <row r="1341" spans="1:17" ht="24.9" customHeight="1">
      <c r="A1341" s="20">
        <v>362</v>
      </c>
      <c r="B1341" s="20" t="s">
        <v>4320</v>
      </c>
      <c r="C1341" s="20"/>
      <c r="D1341" s="20" t="s">
        <v>48</v>
      </c>
      <c r="E1341" s="19" t="str">
        <f>VLOOKUP(D1341,'لیست پرسنل'!$B$2:$E$1020,3,FALSE)</f>
        <v>فکورصنعت</v>
      </c>
      <c r="F1341" s="19" t="str">
        <f>VLOOKUP(D1341,'لیست پرسنل'!$B$2:$E$1020,4,FALSE)</f>
        <v>سرپرست آی تی</v>
      </c>
      <c r="G1341" s="127">
        <f>VLOOKUP(D1341,'لیست پرسنل'!$B$2:$F$1020,2,FALSE)</f>
        <v>2210</v>
      </c>
      <c r="H1341" s="128" t="s">
        <v>3381</v>
      </c>
      <c r="I1341" s="128"/>
      <c r="J1341" s="128" t="s">
        <v>4333</v>
      </c>
      <c r="K1341" s="128" t="s">
        <v>4729</v>
      </c>
      <c r="L1341" s="127"/>
      <c r="M1341" s="127">
        <v>604604</v>
      </c>
      <c r="N1341" s="111"/>
      <c r="O1341" s="20"/>
      <c r="P1341" s="20"/>
      <c r="Q1341" s="20"/>
    </row>
    <row r="1342" spans="1:17" ht="24.9" customHeight="1">
      <c r="A1342" s="20">
        <v>362</v>
      </c>
      <c r="B1342" s="20" t="s">
        <v>4320</v>
      </c>
      <c r="C1342" s="20"/>
      <c r="D1342" s="20" t="s">
        <v>48</v>
      </c>
      <c r="E1342" s="19" t="str">
        <f>VLOOKUP(D1342,'لیست پرسنل'!$B$2:$E$1020,3,FALSE)</f>
        <v>فکورصنعت</v>
      </c>
      <c r="F1342" s="19" t="str">
        <f>VLOOKUP(D1342,'لیست پرسنل'!$B$2:$E$1020,4,FALSE)</f>
        <v>سرپرست آی تی</v>
      </c>
      <c r="G1342" s="127">
        <f>VLOOKUP(D1342,'لیست پرسنل'!$B$2:$F$1020,2,FALSE)</f>
        <v>2210</v>
      </c>
      <c r="H1342" s="128" t="s">
        <v>3381</v>
      </c>
      <c r="I1342" s="128"/>
      <c r="J1342" s="128" t="s">
        <v>4333</v>
      </c>
      <c r="K1342" s="128" t="s">
        <v>4747</v>
      </c>
      <c r="L1342" s="127"/>
      <c r="M1342" s="127">
        <v>623660</v>
      </c>
      <c r="N1342" s="111"/>
      <c r="O1342" s="20"/>
      <c r="P1342" s="20"/>
      <c r="Q1342" s="20"/>
    </row>
    <row r="1343" spans="1:17" ht="24.9" customHeight="1">
      <c r="A1343" s="20">
        <v>362</v>
      </c>
      <c r="B1343" s="20" t="s">
        <v>4320</v>
      </c>
      <c r="C1343" s="19"/>
      <c r="D1343" s="20" t="s">
        <v>48</v>
      </c>
      <c r="E1343" s="19" t="str">
        <f>VLOOKUP(D1343,'لیست پرسنل'!$B$2:$E$1020,3,FALSE)</f>
        <v>فکورصنعت</v>
      </c>
      <c r="F1343" s="19" t="str">
        <f>VLOOKUP(D1343,'لیست پرسنل'!$B$2:$E$1020,4,FALSE)</f>
        <v>سرپرست آی تی</v>
      </c>
      <c r="G1343" s="127">
        <f>VLOOKUP(D1343,'لیست پرسنل'!$B$2:$F$1020,2,FALSE)</f>
        <v>2210</v>
      </c>
      <c r="H1343" s="126" t="s">
        <v>7131</v>
      </c>
      <c r="I1343" s="128"/>
      <c r="J1343" s="128" t="s">
        <v>3476</v>
      </c>
      <c r="K1343" s="128" t="s">
        <v>4801</v>
      </c>
      <c r="L1343" s="128" t="s">
        <v>5246</v>
      </c>
      <c r="M1343" s="128">
        <v>631308</v>
      </c>
      <c r="N1343" s="108"/>
      <c r="O1343" s="20"/>
      <c r="P1343" s="20"/>
      <c r="Q1343" s="20"/>
    </row>
    <row r="1344" spans="1:17" ht="24.9" customHeight="1">
      <c r="A1344" s="20">
        <v>362</v>
      </c>
      <c r="B1344" s="20" t="s">
        <v>4320</v>
      </c>
      <c r="C1344" s="19"/>
      <c r="D1344" s="19" t="s">
        <v>48</v>
      </c>
      <c r="E1344" s="19" t="str">
        <f>VLOOKUP(D1344,'لیست پرسنل'!$B$2:$E$1020,3,FALSE)</f>
        <v>فکورصنعت</v>
      </c>
      <c r="F1344" s="19" t="str">
        <f>VLOOKUP(D1344,'لیست پرسنل'!$B$2:$E$1020,4,FALSE)</f>
        <v>سرپرست آی تی</v>
      </c>
      <c r="G1344" s="127">
        <f>VLOOKUP(D1344,'لیست پرسنل'!$B$2:$F$1020,2,FALSE)</f>
        <v>2210</v>
      </c>
      <c r="H1344" s="151" t="s">
        <v>5479</v>
      </c>
      <c r="I1344" s="127"/>
      <c r="J1344" s="127" t="s">
        <v>3481</v>
      </c>
      <c r="K1344" s="128" t="s">
        <v>5345</v>
      </c>
      <c r="L1344" s="127" t="s">
        <v>5342</v>
      </c>
      <c r="M1344" s="128" t="s">
        <v>291</v>
      </c>
      <c r="N1344" s="108"/>
      <c r="O1344" s="20" t="s">
        <v>5347</v>
      </c>
      <c r="P1344" s="20"/>
      <c r="Q1344" s="20"/>
    </row>
    <row r="1345" spans="1:17" ht="24.9" customHeight="1">
      <c r="A1345" s="20">
        <v>362</v>
      </c>
      <c r="B1345" s="20" t="s">
        <v>4320</v>
      </c>
      <c r="C1345" s="20"/>
      <c r="D1345" s="20" t="s">
        <v>48</v>
      </c>
      <c r="E1345" s="19" t="str">
        <f>VLOOKUP(D1345,'لیست پرسنل'!$B$2:$E$1020,3,FALSE)</f>
        <v>فکورصنعت</v>
      </c>
      <c r="F1345" s="19" t="str">
        <f>VLOOKUP(D1345,'لیست پرسنل'!$B$2:$E$1020,4,FALSE)</f>
        <v>سرپرست آی تی</v>
      </c>
      <c r="G1345" s="127">
        <f>VLOOKUP(D1345,'لیست پرسنل'!$B$2:$F$1020,2,FALSE)</f>
        <v>2210</v>
      </c>
      <c r="H1345" s="127" t="s">
        <v>8080</v>
      </c>
      <c r="I1345" s="127"/>
      <c r="J1345" s="128" t="s">
        <v>3481</v>
      </c>
      <c r="K1345" s="127" t="s">
        <v>8077</v>
      </c>
      <c r="L1345" s="127" t="s">
        <v>8079</v>
      </c>
      <c r="M1345" s="128" t="s">
        <v>4371</v>
      </c>
      <c r="N1345" s="109"/>
      <c r="O1345" s="20"/>
      <c r="P1345" s="20"/>
      <c r="Q1345" s="20"/>
    </row>
    <row r="1346" spans="1:17" ht="24.9" customHeight="1">
      <c r="A1346" s="20">
        <v>362</v>
      </c>
      <c r="B1346" s="20" t="s">
        <v>4320</v>
      </c>
      <c r="C1346" s="19"/>
      <c r="D1346" s="19" t="s">
        <v>48</v>
      </c>
      <c r="E1346" s="19" t="str">
        <f>VLOOKUP(D1346,'لیست پرسنل'!$B$2:$E$1020,3,FALSE)</f>
        <v>فکورصنعت</v>
      </c>
      <c r="F1346" s="19" t="str">
        <f>VLOOKUP(D1346,'لیست پرسنل'!$B$2:$E$1020,4,FALSE)</f>
        <v>سرپرست آی تی</v>
      </c>
      <c r="G1346" s="127">
        <f>VLOOKUP(D1346,'لیست پرسنل'!$B$2:$F$1020,2,FALSE)</f>
        <v>2210</v>
      </c>
      <c r="H1346" s="151" t="s">
        <v>5480</v>
      </c>
      <c r="I1346" s="127"/>
      <c r="J1346" s="127" t="s">
        <v>3481</v>
      </c>
      <c r="K1346" s="128" t="s">
        <v>5345</v>
      </c>
      <c r="L1346" s="127" t="s">
        <v>5343</v>
      </c>
      <c r="M1346" s="128" t="s">
        <v>291</v>
      </c>
      <c r="N1346" s="108"/>
      <c r="O1346" s="20" t="s">
        <v>5348</v>
      </c>
      <c r="P1346" s="20"/>
      <c r="Q1346" s="20"/>
    </row>
    <row r="1347" spans="1:17" ht="24.9" customHeight="1">
      <c r="A1347" s="20">
        <v>362</v>
      </c>
      <c r="B1347" s="20" t="s">
        <v>4320</v>
      </c>
      <c r="C1347" s="20"/>
      <c r="D1347" s="20" t="s">
        <v>48</v>
      </c>
      <c r="E1347" s="19" t="str">
        <f>VLOOKUP(D1347,'لیست پرسنل'!$B$2:$E$1020,3,FALSE)</f>
        <v>فکورصنعت</v>
      </c>
      <c r="F1347" s="19" t="str">
        <f>VLOOKUP(D1347,'لیست پرسنل'!$B$2:$E$1020,4,FALSE)</f>
        <v>سرپرست آی تی</v>
      </c>
      <c r="G1347" s="127">
        <f>VLOOKUP(D1347,'لیست پرسنل'!$B$2:$F$1020,2,FALSE)</f>
        <v>2210</v>
      </c>
      <c r="H1347" s="127" t="s">
        <v>8081</v>
      </c>
      <c r="I1347" s="127"/>
      <c r="J1347" s="128" t="s">
        <v>3481</v>
      </c>
      <c r="K1347" s="127" t="s">
        <v>8077</v>
      </c>
      <c r="L1347" s="127" t="s">
        <v>8078</v>
      </c>
      <c r="M1347" s="128" t="s">
        <v>4371</v>
      </c>
      <c r="N1347" s="109"/>
      <c r="O1347" s="20"/>
      <c r="P1347" s="20"/>
      <c r="Q1347" s="20"/>
    </row>
    <row r="1348" spans="1:17" ht="24.9" customHeight="1">
      <c r="A1348" s="20">
        <v>362</v>
      </c>
      <c r="B1348" s="20" t="s">
        <v>4320</v>
      </c>
      <c r="C1348" s="19"/>
      <c r="D1348" s="20" t="s">
        <v>48</v>
      </c>
      <c r="E1348" s="19" t="str">
        <f>VLOOKUP(D1348,'لیست پرسنل'!$B$2:$E$1020,3,FALSE)</f>
        <v>فکورصنعت</v>
      </c>
      <c r="F1348" s="19" t="str">
        <f>VLOOKUP(D1348,'لیست پرسنل'!$B$2:$E$1020,4,FALSE)</f>
        <v>سرپرست آی تی</v>
      </c>
      <c r="G1348" s="127">
        <f>VLOOKUP(D1348,'لیست پرسنل'!$B$2:$F$1020,2,FALSE)</f>
        <v>2210</v>
      </c>
      <c r="H1348" s="126" t="s">
        <v>7132</v>
      </c>
      <c r="I1348" s="128"/>
      <c r="J1348" s="128" t="s">
        <v>3476</v>
      </c>
      <c r="K1348" s="128" t="s">
        <v>4801</v>
      </c>
      <c r="L1348" s="128" t="s">
        <v>5248</v>
      </c>
      <c r="M1348" s="128">
        <v>631310</v>
      </c>
      <c r="N1348" s="108"/>
      <c r="O1348" s="20"/>
      <c r="P1348" s="20"/>
      <c r="Q1348" s="20"/>
    </row>
    <row r="1349" spans="1:17" ht="24.9" customHeight="1">
      <c r="A1349" s="20">
        <v>362</v>
      </c>
      <c r="B1349" s="20" t="s">
        <v>4320</v>
      </c>
      <c r="C1349" s="19"/>
      <c r="D1349" s="19" t="s">
        <v>48</v>
      </c>
      <c r="E1349" s="19" t="str">
        <f>VLOOKUP(D1349,'لیست پرسنل'!$B$2:$E$1020,3,FALSE)</f>
        <v>فکورصنعت</v>
      </c>
      <c r="F1349" s="19" t="str">
        <f>VLOOKUP(D1349,'لیست پرسنل'!$B$2:$E$1020,4,FALSE)</f>
        <v>سرپرست آی تی</v>
      </c>
      <c r="G1349" s="127">
        <f>VLOOKUP(D1349,'لیست پرسنل'!$B$2:$F$1020,2,FALSE)</f>
        <v>2210</v>
      </c>
      <c r="H1349" s="151" t="s">
        <v>7356</v>
      </c>
      <c r="I1349" s="127"/>
      <c r="J1349" s="127" t="s">
        <v>3476</v>
      </c>
      <c r="K1349" s="127" t="s">
        <v>8107</v>
      </c>
      <c r="L1349" s="150" t="s">
        <v>7318</v>
      </c>
      <c r="M1349" s="126">
        <v>635906</v>
      </c>
      <c r="N1349" s="109"/>
      <c r="O1349" s="39"/>
      <c r="P1349" s="20"/>
      <c r="Q1349" s="20"/>
    </row>
    <row r="1350" spans="1:17" ht="24.9" customHeight="1">
      <c r="A1350" s="20">
        <v>362</v>
      </c>
      <c r="B1350" s="20" t="s">
        <v>4320</v>
      </c>
      <c r="C1350" s="20"/>
      <c r="D1350" s="20" t="s">
        <v>48</v>
      </c>
      <c r="E1350" s="19" t="str">
        <f>VLOOKUP(D1350,'لیست پرسنل'!$B$2:$E$1020,3,FALSE)</f>
        <v>فکورصنعت</v>
      </c>
      <c r="F1350" s="19" t="str">
        <f>VLOOKUP(D1350,'لیست پرسنل'!$B$2:$E$1020,4,FALSE)</f>
        <v>سرپرست آی تی</v>
      </c>
      <c r="G1350" s="127">
        <f>VLOOKUP(D1350,'لیست پرسنل'!$B$2:$F$1020,2,FALSE)</f>
        <v>2210</v>
      </c>
      <c r="H1350" s="128" t="s">
        <v>7002</v>
      </c>
      <c r="I1350" s="128"/>
      <c r="J1350" s="128" t="s">
        <v>3483</v>
      </c>
      <c r="K1350" s="128" t="s">
        <v>4013</v>
      </c>
      <c r="L1350" s="127"/>
      <c r="M1350" s="128">
        <v>629503</v>
      </c>
      <c r="N1350" s="108"/>
      <c r="O1350" s="20"/>
      <c r="P1350" s="20"/>
      <c r="Q1350" s="20"/>
    </row>
    <row r="1351" spans="1:17" ht="24.9" customHeight="1">
      <c r="A1351" s="20">
        <v>362</v>
      </c>
      <c r="B1351" s="20" t="s">
        <v>4320</v>
      </c>
      <c r="C1351" s="20"/>
      <c r="D1351" s="20" t="s">
        <v>48</v>
      </c>
      <c r="E1351" s="19" t="str">
        <f>VLOOKUP(D1351,'لیست پرسنل'!$B$2:$E$1020,3,FALSE)</f>
        <v>فکورصنعت</v>
      </c>
      <c r="F1351" s="19" t="str">
        <f>VLOOKUP(D1351,'لیست پرسنل'!$B$2:$E$1020,4,FALSE)</f>
        <v>سرپرست آی تی</v>
      </c>
      <c r="G1351" s="127">
        <f>VLOOKUP(D1351,'لیست پرسنل'!$B$2:$F$1020,2,FALSE)</f>
        <v>2210</v>
      </c>
      <c r="H1351" s="126" t="s">
        <v>5971</v>
      </c>
      <c r="I1351" s="128"/>
      <c r="J1351" s="126" t="s">
        <v>368</v>
      </c>
      <c r="K1351" s="135" t="s">
        <v>8248</v>
      </c>
      <c r="L1351" s="127" t="s">
        <v>2423</v>
      </c>
      <c r="M1351" s="128">
        <v>628830</v>
      </c>
      <c r="N1351" s="108"/>
      <c r="O1351" s="20" t="s">
        <v>705</v>
      </c>
      <c r="P1351" s="20"/>
      <c r="Q1351" s="20"/>
    </row>
    <row r="1352" spans="1:17" ht="24.9" customHeight="1">
      <c r="A1352" s="20">
        <v>362</v>
      </c>
      <c r="B1352" s="20" t="s">
        <v>4320</v>
      </c>
      <c r="C1352" s="20"/>
      <c r="D1352" s="20" t="s">
        <v>48</v>
      </c>
      <c r="E1352" s="19" t="str">
        <f>VLOOKUP(D1352,'لیست پرسنل'!$B$2:$E$1020,3,FALSE)</f>
        <v>فکورصنعت</v>
      </c>
      <c r="F1352" s="19" t="str">
        <f>VLOOKUP(D1352,'لیست پرسنل'!$B$2:$E$1020,4,FALSE)</f>
        <v>سرپرست آی تی</v>
      </c>
      <c r="G1352" s="127">
        <f>VLOOKUP(D1352,'لیست پرسنل'!$B$2:$F$1020,2,FALSE)</f>
        <v>2210</v>
      </c>
      <c r="H1352" s="126" t="s">
        <v>5033</v>
      </c>
      <c r="I1352" s="128"/>
      <c r="J1352" s="128" t="s">
        <v>3532</v>
      </c>
      <c r="K1352" s="128" t="s">
        <v>4802</v>
      </c>
      <c r="L1352" s="128" t="s">
        <v>5576</v>
      </c>
      <c r="M1352" s="128">
        <v>631872</v>
      </c>
      <c r="N1352" s="108"/>
      <c r="O1352" s="20" t="s">
        <v>705</v>
      </c>
      <c r="P1352" s="20"/>
      <c r="Q1352" s="20"/>
    </row>
    <row r="1353" spans="1:17" ht="24.9" customHeight="1">
      <c r="A1353" s="20">
        <v>362</v>
      </c>
      <c r="B1353" s="20" t="s">
        <v>4320</v>
      </c>
      <c r="C1353" s="20"/>
      <c r="D1353" s="20" t="s">
        <v>48</v>
      </c>
      <c r="E1353" s="19" t="str">
        <f>VLOOKUP(D1353,'لیست پرسنل'!$B$2:$E$1020,3,FALSE)</f>
        <v>فکورصنعت</v>
      </c>
      <c r="F1353" s="19" t="str">
        <f>VLOOKUP(D1353,'لیست پرسنل'!$B$2:$E$1020,4,FALSE)</f>
        <v>سرپرست آی تی</v>
      </c>
      <c r="G1353" s="127">
        <f>VLOOKUP(D1353,'لیست پرسنل'!$B$2:$F$1020,2,FALSE)</f>
        <v>2210</v>
      </c>
      <c r="H1353" s="126" t="s">
        <v>4310</v>
      </c>
      <c r="I1353" s="128"/>
      <c r="J1353" s="126" t="s">
        <v>368</v>
      </c>
      <c r="K1353" s="127" t="s">
        <v>660</v>
      </c>
      <c r="L1353" s="151" t="s">
        <v>5027</v>
      </c>
      <c r="M1353" s="127">
        <v>626004</v>
      </c>
      <c r="N1353" s="108"/>
      <c r="O1353" s="19"/>
      <c r="P1353" s="20"/>
      <c r="Q1353" s="20"/>
    </row>
    <row r="1354" spans="1:17" ht="24.9" customHeight="1">
      <c r="A1354" s="20">
        <v>362</v>
      </c>
      <c r="B1354" s="20" t="s">
        <v>4320</v>
      </c>
      <c r="C1354" s="20"/>
      <c r="D1354" s="20" t="s">
        <v>48</v>
      </c>
      <c r="E1354" s="19" t="str">
        <f>VLOOKUP(D1354,'لیست پرسنل'!$B$2:$E$1020,3,FALSE)</f>
        <v>فکورصنعت</v>
      </c>
      <c r="F1354" s="19" t="str">
        <f>VLOOKUP(D1354,'لیست پرسنل'!$B$2:$E$1020,4,FALSE)</f>
        <v>سرپرست آی تی</v>
      </c>
      <c r="G1354" s="127">
        <f>VLOOKUP(D1354,'لیست پرسنل'!$B$2:$F$1020,2,FALSE)</f>
        <v>2210</v>
      </c>
      <c r="H1354" s="128" t="s">
        <v>4310</v>
      </c>
      <c r="I1354" s="128"/>
      <c r="J1354" s="128" t="s">
        <v>3483</v>
      </c>
      <c r="K1354" s="128" t="s">
        <v>3701</v>
      </c>
      <c r="L1354" s="128"/>
      <c r="M1354" s="126">
        <v>629507</v>
      </c>
      <c r="N1354" s="108"/>
      <c r="O1354" s="28"/>
      <c r="P1354" s="20"/>
      <c r="Q1354" s="20"/>
    </row>
    <row r="1355" spans="1:17" ht="24.9" customHeight="1">
      <c r="A1355" s="20">
        <v>362</v>
      </c>
      <c r="B1355" s="20" t="s">
        <v>4320</v>
      </c>
      <c r="C1355" s="20"/>
      <c r="D1355" s="20" t="s">
        <v>48</v>
      </c>
      <c r="E1355" s="19" t="str">
        <f>VLOOKUP(D1355,'لیست پرسنل'!$B$2:$E$1020,3,FALSE)</f>
        <v>فکورصنعت</v>
      </c>
      <c r="F1355" s="19" t="str">
        <f>VLOOKUP(D1355,'لیست پرسنل'!$B$2:$E$1020,4,FALSE)</f>
        <v>سرپرست آی تی</v>
      </c>
      <c r="G1355" s="127">
        <f>VLOOKUP(D1355,'لیست پرسنل'!$B$2:$F$1020,2,FALSE)</f>
        <v>2210</v>
      </c>
      <c r="H1355" s="126" t="s">
        <v>6459</v>
      </c>
      <c r="I1355" s="128"/>
      <c r="J1355" s="128" t="s">
        <v>3481</v>
      </c>
      <c r="K1355" s="128" t="s">
        <v>6455</v>
      </c>
      <c r="L1355" s="150" t="s">
        <v>6453</v>
      </c>
      <c r="M1355" s="126" t="s">
        <v>291</v>
      </c>
      <c r="N1355" s="108"/>
      <c r="O1355" s="20" t="s">
        <v>6458</v>
      </c>
      <c r="P1355" s="20"/>
      <c r="Q1355" s="20"/>
    </row>
    <row r="1356" spans="1:17" ht="24.9" customHeight="1">
      <c r="A1356" s="20">
        <v>362</v>
      </c>
      <c r="B1356" s="20" t="s">
        <v>4320</v>
      </c>
      <c r="C1356" s="19"/>
      <c r="D1356" s="19" t="s">
        <v>48</v>
      </c>
      <c r="E1356" s="19" t="str">
        <f>VLOOKUP(D1356,'لیست پرسنل'!$B$2:$E$1020,3,FALSE)</f>
        <v>فکورصنعت</v>
      </c>
      <c r="F1356" s="19" t="str">
        <f>VLOOKUP(D1356,'لیست پرسنل'!$B$2:$E$1020,4,FALSE)</f>
        <v>سرپرست آی تی</v>
      </c>
      <c r="G1356" s="127">
        <f>VLOOKUP(D1356,'لیست پرسنل'!$B$2:$F$1020,2,FALSE)</f>
        <v>2210</v>
      </c>
      <c r="H1356" s="151" t="s">
        <v>7776</v>
      </c>
      <c r="I1356" s="127"/>
      <c r="J1356" s="126" t="s">
        <v>3481</v>
      </c>
      <c r="K1356" s="141" t="s">
        <v>7730</v>
      </c>
      <c r="L1356" s="127" t="s">
        <v>7731</v>
      </c>
      <c r="M1356" s="127" t="s">
        <v>291</v>
      </c>
      <c r="N1356" s="108" t="s">
        <v>7775</v>
      </c>
      <c r="O1356" s="20"/>
      <c r="P1356" s="20"/>
      <c r="Q1356" s="20"/>
    </row>
    <row r="1357" spans="1:17" ht="24.9" customHeight="1">
      <c r="A1357" s="20">
        <v>362</v>
      </c>
      <c r="B1357" s="20" t="s">
        <v>4320</v>
      </c>
      <c r="C1357" s="19"/>
      <c r="D1357" s="20" t="s">
        <v>48</v>
      </c>
      <c r="E1357" s="19" t="str">
        <f>VLOOKUP(D1357,'لیست پرسنل'!$B$2:$E$1020,3,FALSE)</f>
        <v>فکورصنعت</v>
      </c>
      <c r="F1357" s="19" t="str">
        <f>VLOOKUP(D1357,'لیست پرسنل'!$B$2:$E$1020,4,FALSE)</f>
        <v>سرپرست آی تی</v>
      </c>
      <c r="G1357" s="127">
        <f>VLOOKUP(D1357,'لیست پرسنل'!$B$2:$F$1020,2,FALSE)</f>
        <v>2210</v>
      </c>
      <c r="H1357" s="126" t="s">
        <v>7129</v>
      </c>
      <c r="I1357" s="128"/>
      <c r="J1357" s="128" t="s">
        <v>3476</v>
      </c>
      <c r="K1357" s="128" t="s">
        <v>4801</v>
      </c>
      <c r="L1357" s="128" t="s">
        <v>5245</v>
      </c>
      <c r="M1357" s="128">
        <v>631306</v>
      </c>
      <c r="N1357" s="108"/>
      <c r="O1357" s="20"/>
      <c r="P1357" s="20"/>
      <c r="Q1357" s="20"/>
    </row>
    <row r="1358" spans="1:17" ht="24.9" customHeight="1">
      <c r="A1358" s="20">
        <v>362</v>
      </c>
      <c r="B1358" s="20" t="s">
        <v>4320</v>
      </c>
      <c r="C1358" s="20"/>
      <c r="D1358" s="20" t="s">
        <v>48</v>
      </c>
      <c r="E1358" s="19" t="str">
        <f>VLOOKUP(D1358,'لیست پرسنل'!$B$2:$E$1020,3,FALSE)</f>
        <v>فکورصنعت</v>
      </c>
      <c r="F1358" s="19" t="str">
        <f>VLOOKUP(D1358,'لیست پرسنل'!$B$2:$E$1020,4,FALSE)</f>
        <v>سرپرست آی تی</v>
      </c>
      <c r="G1358" s="127">
        <f>VLOOKUP(D1358,'لیست پرسنل'!$B$2:$F$1020,2,FALSE)</f>
        <v>2210</v>
      </c>
      <c r="H1358" s="126" t="s">
        <v>6013</v>
      </c>
      <c r="I1358" s="128"/>
      <c r="J1358" s="128" t="s">
        <v>3532</v>
      </c>
      <c r="K1358" s="128" t="s">
        <v>5277</v>
      </c>
      <c r="L1358" s="128"/>
      <c r="M1358" s="126" t="s">
        <v>291</v>
      </c>
      <c r="N1358" s="108"/>
      <c r="O1358" s="81"/>
      <c r="P1358" s="20"/>
      <c r="Q1358" s="20"/>
    </row>
    <row r="1359" spans="1:17" ht="24.9" customHeight="1">
      <c r="A1359" s="20">
        <v>362</v>
      </c>
      <c r="B1359" s="20" t="s">
        <v>4320</v>
      </c>
      <c r="C1359" s="20"/>
      <c r="D1359" s="20" t="s">
        <v>48</v>
      </c>
      <c r="E1359" s="19" t="str">
        <f>VLOOKUP(D1359,'لیست پرسنل'!$B$2:$E$1020,3,FALSE)</f>
        <v>فکورصنعت</v>
      </c>
      <c r="F1359" s="19" t="str">
        <f>VLOOKUP(D1359,'لیست پرسنل'!$B$2:$E$1020,4,FALSE)</f>
        <v>سرپرست آی تی</v>
      </c>
      <c r="G1359" s="127">
        <f>VLOOKUP(D1359,'لیست پرسنل'!$B$2:$F$1020,2,FALSE)</f>
        <v>2210</v>
      </c>
      <c r="H1359" s="126" t="s">
        <v>6013</v>
      </c>
      <c r="I1359" s="128"/>
      <c r="J1359" s="128" t="s">
        <v>3532</v>
      </c>
      <c r="K1359" s="128" t="s">
        <v>5277</v>
      </c>
      <c r="L1359" s="128"/>
      <c r="M1359" s="126" t="s">
        <v>291</v>
      </c>
      <c r="N1359" s="108"/>
      <c r="O1359" s="81"/>
      <c r="P1359" s="20"/>
      <c r="Q1359" s="20"/>
    </row>
    <row r="1360" spans="1:17" ht="24.9" customHeight="1">
      <c r="A1360" s="20">
        <v>362</v>
      </c>
      <c r="B1360" s="20" t="s">
        <v>4320</v>
      </c>
      <c r="C1360" s="20"/>
      <c r="D1360" s="20" t="s">
        <v>48</v>
      </c>
      <c r="E1360" s="19" t="str">
        <f>VLOOKUP(D1360,'لیست پرسنل'!$B$2:$E$1020,3,FALSE)</f>
        <v>فکورصنعت</v>
      </c>
      <c r="F1360" s="19" t="str">
        <f>VLOOKUP(D1360,'لیست پرسنل'!$B$2:$E$1020,4,FALSE)</f>
        <v>سرپرست آی تی</v>
      </c>
      <c r="G1360" s="127">
        <f>VLOOKUP(D1360,'لیست پرسنل'!$B$2:$F$1020,2,FALSE)</f>
        <v>2210</v>
      </c>
      <c r="H1360" s="126" t="s">
        <v>6013</v>
      </c>
      <c r="I1360" s="128"/>
      <c r="J1360" s="128" t="s">
        <v>3532</v>
      </c>
      <c r="K1360" s="128" t="s">
        <v>5277</v>
      </c>
      <c r="L1360" s="128" t="s">
        <v>5271</v>
      </c>
      <c r="M1360" s="126" t="s">
        <v>291</v>
      </c>
      <c r="N1360" s="108"/>
      <c r="O1360" s="20" t="s">
        <v>5278</v>
      </c>
      <c r="P1360" s="20"/>
      <c r="Q1360" s="20"/>
    </row>
    <row r="1361" spans="1:17" ht="24.9" customHeight="1">
      <c r="A1361" s="20">
        <v>362</v>
      </c>
      <c r="B1361" s="20" t="s">
        <v>4320</v>
      </c>
      <c r="C1361" s="20"/>
      <c r="D1361" s="20" t="s">
        <v>48</v>
      </c>
      <c r="E1361" s="19" t="str">
        <f>VLOOKUP(D1361,'لیست پرسنل'!$B$2:$E$1020,3,FALSE)</f>
        <v>فکورصنعت</v>
      </c>
      <c r="F1361" s="19" t="str">
        <f>VLOOKUP(D1361,'لیست پرسنل'!$B$2:$E$1020,4,FALSE)</f>
        <v>سرپرست آی تی</v>
      </c>
      <c r="G1361" s="127">
        <f>VLOOKUP(D1361,'لیست پرسنل'!$B$2:$F$1020,2,FALSE)</f>
        <v>2210</v>
      </c>
      <c r="H1361" s="126" t="s">
        <v>6013</v>
      </c>
      <c r="I1361" s="128"/>
      <c r="J1361" s="128" t="s">
        <v>3532</v>
      </c>
      <c r="K1361" s="128" t="s">
        <v>5277</v>
      </c>
      <c r="L1361" s="128" t="s">
        <v>5272</v>
      </c>
      <c r="M1361" s="126" t="s">
        <v>291</v>
      </c>
      <c r="N1361" s="108"/>
      <c r="O1361" s="20" t="s">
        <v>5278</v>
      </c>
      <c r="P1361" s="20"/>
      <c r="Q1361" s="20"/>
    </row>
    <row r="1362" spans="1:17" ht="24.9" customHeight="1">
      <c r="A1362" s="20">
        <v>362</v>
      </c>
      <c r="B1362" s="20" t="s">
        <v>4320</v>
      </c>
      <c r="C1362" s="20"/>
      <c r="D1362" s="20" t="s">
        <v>48</v>
      </c>
      <c r="E1362" s="19" t="str">
        <f>VLOOKUP(D1362,'لیست پرسنل'!$B$2:$E$1020,3,FALSE)</f>
        <v>فکورصنعت</v>
      </c>
      <c r="F1362" s="19" t="str">
        <f>VLOOKUP(D1362,'لیست پرسنل'!$B$2:$E$1020,4,FALSE)</f>
        <v>سرپرست آی تی</v>
      </c>
      <c r="G1362" s="127">
        <f>VLOOKUP(D1362,'لیست پرسنل'!$B$2:$F$1020,2,FALSE)</f>
        <v>2210</v>
      </c>
      <c r="H1362" s="126" t="s">
        <v>6013</v>
      </c>
      <c r="I1362" s="128"/>
      <c r="J1362" s="128" t="s">
        <v>3532</v>
      </c>
      <c r="K1362" s="128" t="s">
        <v>5277</v>
      </c>
      <c r="L1362" s="128" t="s">
        <v>5273</v>
      </c>
      <c r="M1362" s="126" t="s">
        <v>291</v>
      </c>
      <c r="N1362" s="108"/>
      <c r="O1362" s="20" t="s">
        <v>5278</v>
      </c>
      <c r="P1362" s="20"/>
      <c r="Q1362" s="20"/>
    </row>
    <row r="1363" spans="1:17" ht="24.9" customHeight="1">
      <c r="A1363" s="20">
        <v>362</v>
      </c>
      <c r="B1363" s="20" t="s">
        <v>4320</v>
      </c>
      <c r="C1363" s="20"/>
      <c r="D1363" s="20" t="s">
        <v>48</v>
      </c>
      <c r="E1363" s="19" t="str">
        <f>VLOOKUP(D1363,'لیست پرسنل'!$B$2:$E$1020,3,FALSE)</f>
        <v>فکورصنعت</v>
      </c>
      <c r="F1363" s="19" t="str">
        <f>VLOOKUP(D1363,'لیست پرسنل'!$B$2:$E$1020,4,FALSE)</f>
        <v>سرپرست آی تی</v>
      </c>
      <c r="G1363" s="127">
        <f>VLOOKUP(D1363,'لیست پرسنل'!$B$2:$F$1020,2,FALSE)</f>
        <v>2210</v>
      </c>
      <c r="H1363" s="126" t="s">
        <v>6013</v>
      </c>
      <c r="I1363" s="128"/>
      <c r="J1363" s="128" t="s">
        <v>3532</v>
      </c>
      <c r="K1363" s="128" t="s">
        <v>5277</v>
      </c>
      <c r="L1363" s="128" t="s">
        <v>5275</v>
      </c>
      <c r="M1363" s="126" t="s">
        <v>291</v>
      </c>
      <c r="N1363" s="108"/>
      <c r="O1363" s="20" t="s">
        <v>5278</v>
      </c>
      <c r="P1363" s="20"/>
      <c r="Q1363" s="20"/>
    </row>
    <row r="1364" spans="1:17" ht="24.9" customHeight="1">
      <c r="A1364" s="20">
        <v>362</v>
      </c>
      <c r="B1364" s="20" t="s">
        <v>4320</v>
      </c>
      <c r="C1364" s="20"/>
      <c r="D1364" s="20" t="s">
        <v>5539</v>
      </c>
      <c r="E1364" s="19" t="str">
        <f>VLOOKUP(D1364,'لیست پرسنل'!$B$2:$E$1020,3,FALSE)</f>
        <v>پرسنل آرانوما</v>
      </c>
      <c r="F1364" s="19" t="str">
        <f>VLOOKUP(D1364,'لیست پرسنل'!$B$2:$E$1020,4,FALSE)</f>
        <v>دفتر مرکزی</v>
      </c>
      <c r="G1364" s="127" t="str">
        <f>VLOOKUP(D1364,'لیست پرسنل'!$B$2:$F$1020,2,FALSE)</f>
        <v>0</v>
      </c>
      <c r="H1364" s="126" t="s">
        <v>5540</v>
      </c>
      <c r="I1364" s="128"/>
      <c r="J1364" s="126" t="s">
        <v>368</v>
      </c>
      <c r="K1364" s="128" t="s">
        <v>8248</v>
      </c>
      <c r="L1364" s="127" t="s">
        <v>2299</v>
      </c>
      <c r="M1364" s="128">
        <v>628705</v>
      </c>
      <c r="N1364" s="108"/>
      <c r="O1364" s="20" t="s">
        <v>705</v>
      </c>
      <c r="P1364" s="20"/>
      <c r="Q1364" s="20"/>
    </row>
    <row r="1365" spans="1:17" ht="24.9" customHeight="1">
      <c r="A1365" s="20">
        <v>362</v>
      </c>
      <c r="B1365" s="20" t="s">
        <v>4320</v>
      </c>
      <c r="C1365" s="20"/>
      <c r="D1365" s="20" t="s">
        <v>5539</v>
      </c>
      <c r="E1365" s="19" t="str">
        <f>VLOOKUP(D1365,'لیست پرسنل'!$B$2:$E$1020,3,FALSE)</f>
        <v>پرسنل آرانوما</v>
      </c>
      <c r="F1365" s="19" t="str">
        <f>VLOOKUP(D1365,'لیست پرسنل'!$B$2:$E$1020,4,FALSE)</f>
        <v>دفتر مرکزی</v>
      </c>
      <c r="G1365" s="127" t="str">
        <f>VLOOKUP(D1365,'لیست پرسنل'!$B$2:$F$1020,2,FALSE)</f>
        <v>0</v>
      </c>
      <c r="H1365" s="126" t="s">
        <v>5540</v>
      </c>
      <c r="I1365" s="128"/>
      <c r="J1365" s="126" t="s">
        <v>368</v>
      </c>
      <c r="K1365" s="128" t="s">
        <v>8248</v>
      </c>
      <c r="L1365" s="127" t="s">
        <v>2502</v>
      </c>
      <c r="M1365" s="128">
        <v>628914</v>
      </c>
      <c r="N1365" s="108"/>
      <c r="O1365" s="20" t="s">
        <v>705</v>
      </c>
      <c r="P1365" s="20"/>
      <c r="Q1365" s="20"/>
    </row>
    <row r="1366" spans="1:17" ht="24.9" customHeight="1">
      <c r="A1366" s="20">
        <v>362</v>
      </c>
      <c r="B1366" s="20" t="s">
        <v>4320</v>
      </c>
      <c r="C1366" s="19"/>
      <c r="D1366" s="19" t="s">
        <v>7919</v>
      </c>
      <c r="E1366" s="19" t="str">
        <f>VLOOKUP(D1366,'لیست پرسنل'!$B$2:$E$1020,3,FALSE)</f>
        <v>نظم آوران</v>
      </c>
      <c r="F1366" s="19" t="str">
        <f>VLOOKUP(D1366,'لیست پرسنل'!$B$2:$E$1020,4,FALSE)</f>
        <v>کنترل کیفیت</v>
      </c>
      <c r="G1366" s="127">
        <f>VLOOKUP(D1366,'لیست پرسنل'!$B$2:$F$1020,2,FALSE)</f>
        <v>0</v>
      </c>
      <c r="H1366" s="151" t="s">
        <v>7002</v>
      </c>
      <c r="I1366" s="127"/>
      <c r="J1366" s="127" t="s">
        <v>571</v>
      </c>
      <c r="K1366" s="135" t="s">
        <v>1513</v>
      </c>
      <c r="L1366" s="151" t="s">
        <v>2219</v>
      </c>
      <c r="M1366" s="127">
        <v>628578</v>
      </c>
      <c r="N1366" s="109"/>
      <c r="O1366" s="19"/>
      <c r="P1366" s="20"/>
      <c r="Q1366" s="20"/>
    </row>
    <row r="1367" spans="1:17" ht="24.9" customHeight="1">
      <c r="A1367" s="20">
        <v>362</v>
      </c>
      <c r="B1367" s="20" t="s">
        <v>4320</v>
      </c>
      <c r="C1367" s="19"/>
      <c r="D1367" s="19" t="s">
        <v>7919</v>
      </c>
      <c r="E1367" s="19" t="str">
        <f>VLOOKUP(D1367,'لیست پرسنل'!$B$2:$E$1020,3,FALSE)</f>
        <v>نظم آوران</v>
      </c>
      <c r="F1367" s="19" t="str">
        <f>VLOOKUP(D1367,'لیست پرسنل'!$B$2:$E$1020,4,FALSE)</f>
        <v>کنترل کیفیت</v>
      </c>
      <c r="G1367" s="127">
        <f>VLOOKUP(D1367,'لیست پرسنل'!$B$2:$F$1020,2,FALSE)</f>
        <v>0</v>
      </c>
      <c r="H1367" s="151" t="s">
        <v>7002</v>
      </c>
      <c r="I1367" s="127"/>
      <c r="J1367" s="128" t="s">
        <v>2686</v>
      </c>
      <c r="K1367" s="128" t="s">
        <v>2143</v>
      </c>
      <c r="L1367" s="127" t="s">
        <v>2252</v>
      </c>
      <c r="M1367" s="127">
        <v>628643</v>
      </c>
      <c r="N1367" s="108"/>
      <c r="O1367" s="20" t="s">
        <v>705</v>
      </c>
      <c r="P1367" s="20"/>
      <c r="Q1367" s="20"/>
    </row>
    <row r="1368" spans="1:17" ht="24.9" customHeight="1">
      <c r="A1368" s="20">
        <v>362</v>
      </c>
      <c r="B1368" s="20" t="s">
        <v>4320</v>
      </c>
      <c r="C1368" s="20"/>
      <c r="D1368" s="20" t="s">
        <v>3491</v>
      </c>
      <c r="E1368" s="19" t="str">
        <f>VLOOKUP(D1368,'لیست پرسنل'!$B$2:$E$1020,3,FALSE)</f>
        <v>فکورصنعت</v>
      </c>
      <c r="F1368" s="19" t="str">
        <f>VLOOKUP(D1368,'لیست پرسنل'!$B$2:$E$1020,4,FALSE)</f>
        <v>رئیس تامین تجهیزات برق</v>
      </c>
      <c r="G1368" s="127">
        <f>VLOOKUP(D1368,'لیست پرسنل'!$B$2:$F$1020,2,FALSE)</f>
        <v>9603</v>
      </c>
      <c r="H1368" s="128" t="s">
        <v>3381</v>
      </c>
      <c r="I1368" s="128"/>
      <c r="J1368" s="126" t="s">
        <v>368</v>
      </c>
      <c r="K1368" s="128" t="s">
        <v>2846</v>
      </c>
      <c r="L1368" s="127" t="s">
        <v>2373</v>
      </c>
      <c r="M1368" s="127">
        <v>628780</v>
      </c>
      <c r="N1368" s="109"/>
      <c r="O1368" s="20"/>
      <c r="P1368" s="20"/>
      <c r="Q1368" s="20"/>
    </row>
    <row r="1369" spans="1:17" ht="24.9" customHeight="1">
      <c r="A1369" s="20">
        <v>362</v>
      </c>
      <c r="B1369" s="20" t="s">
        <v>4320</v>
      </c>
      <c r="C1369" s="20"/>
      <c r="D1369" s="20" t="s">
        <v>6964</v>
      </c>
      <c r="E1369" s="19" t="str">
        <f>VLOOKUP(D1369,'لیست پرسنل'!$B$2:$E$1020,3,FALSE)</f>
        <v>ICAPS</v>
      </c>
      <c r="F1369" s="19" t="str">
        <f>VLOOKUP(D1369,'لیست پرسنل'!$B$2:$E$1020,4,FALSE)</f>
        <v>ESP</v>
      </c>
      <c r="G1369" s="127" t="str">
        <f>VLOOKUP(D1369,'لیست پرسنل'!$B$2:$F$1020,2,FALSE)</f>
        <v>0</v>
      </c>
      <c r="H1369" s="126" t="s">
        <v>6965</v>
      </c>
      <c r="I1369" s="128"/>
      <c r="J1369" s="126" t="s">
        <v>368</v>
      </c>
      <c r="K1369" s="128" t="s">
        <v>2846</v>
      </c>
      <c r="L1369" s="127" t="s">
        <v>2359</v>
      </c>
      <c r="M1369" s="128">
        <v>628765</v>
      </c>
      <c r="N1369" s="108"/>
      <c r="O1369" s="20" t="s">
        <v>705</v>
      </c>
      <c r="P1369" s="20"/>
      <c r="Q1369" s="20"/>
    </row>
    <row r="1370" spans="1:17" ht="24.9" customHeight="1">
      <c r="A1370" s="20">
        <v>362</v>
      </c>
      <c r="B1370" s="20" t="s">
        <v>4320</v>
      </c>
      <c r="C1370" s="19"/>
      <c r="D1370" s="19" t="s">
        <v>6950</v>
      </c>
      <c r="E1370" s="19" t="str">
        <f>VLOOKUP(D1370,'لیست پرسنل'!$B$2:$E$1020,3,FALSE)</f>
        <v>پولاد نصب جهانبین</v>
      </c>
      <c r="F1370" s="19">
        <f>VLOOKUP(D1370,'لیست پرسنل'!$B$2:$E$1020,4,FALSE)</f>
        <v>0</v>
      </c>
      <c r="G1370" s="127" t="str">
        <f>VLOOKUP(D1370,'لیست پرسنل'!$B$2:$F$1020,2,FALSE)</f>
        <v>0</v>
      </c>
      <c r="H1370" s="151" t="s">
        <v>6951</v>
      </c>
      <c r="I1370" s="127"/>
      <c r="J1370" s="128" t="s">
        <v>3481</v>
      </c>
      <c r="K1370" s="128" t="s">
        <v>8104</v>
      </c>
      <c r="L1370" s="128" t="s">
        <v>4222</v>
      </c>
      <c r="M1370" s="128">
        <v>614201</v>
      </c>
      <c r="N1370" s="108"/>
      <c r="O1370" s="20" t="s">
        <v>4590</v>
      </c>
      <c r="P1370" s="20"/>
      <c r="Q1370" s="20"/>
    </row>
    <row r="1371" spans="1:17" ht="24.9" customHeight="1">
      <c r="A1371" s="20">
        <v>362</v>
      </c>
      <c r="B1371" s="20" t="s">
        <v>4320</v>
      </c>
      <c r="C1371" s="20"/>
      <c r="D1371" s="20" t="s">
        <v>3488</v>
      </c>
      <c r="E1371" s="19" t="str">
        <f>VLOOKUP(D1371,'لیست پرسنل'!$B$2:$E$1020,3,FALSE)</f>
        <v>گهر کوشان سپهر</v>
      </c>
      <c r="F1371" s="19" t="str">
        <f>VLOOKUP(D1371,'لیست پرسنل'!$B$2:$E$1020,4,FALSE)</f>
        <v>خدمات آبدارخانه فکور</v>
      </c>
      <c r="G1371" s="127">
        <f>VLOOKUP(D1371,'لیست پرسنل'!$B$2:$F$1020,2,FALSE)</f>
        <v>20210</v>
      </c>
      <c r="H1371" s="128" t="s">
        <v>3381</v>
      </c>
      <c r="I1371" s="128"/>
      <c r="J1371" s="126" t="s">
        <v>368</v>
      </c>
      <c r="K1371" s="128" t="s">
        <v>2846</v>
      </c>
      <c r="L1371" s="128" t="s">
        <v>2338</v>
      </c>
      <c r="M1371" s="128">
        <v>628744</v>
      </c>
      <c r="N1371" s="108"/>
      <c r="O1371" s="20"/>
      <c r="P1371" s="20"/>
      <c r="Q1371" s="20"/>
    </row>
    <row r="1372" spans="1:17" ht="24.9" customHeight="1">
      <c r="A1372" s="20">
        <v>362</v>
      </c>
      <c r="B1372" s="20" t="s">
        <v>4320</v>
      </c>
      <c r="C1372" s="20"/>
      <c r="D1372" s="20" t="s">
        <v>3478</v>
      </c>
      <c r="E1372" s="19" t="str">
        <f>VLOOKUP(D1372,'لیست پرسنل'!$B$2:$E$1020,3,FALSE)</f>
        <v>گهر کوشان سپهر</v>
      </c>
      <c r="F1372" s="19" t="str">
        <f>VLOOKUP(D1372,'لیست پرسنل'!$B$2:$E$1020,4,FALSE)</f>
        <v>خدمات آبدارخانه</v>
      </c>
      <c r="G1372" s="127">
        <f>VLOOKUP(D1372,'لیست پرسنل'!$B$2:$F$1020,2,FALSE)</f>
        <v>20521</v>
      </c>
      <c r="H1372" s="128" t="s">
        <v>3381</v>
      </c>
      <c r="I1372" s="128"/>
      <c r="J1372" s="126" t="s">
        <v>368</v>
      </c>
      <c r="K1372" s="128" t="s">
        <v>8248</v>
      </c>
      <c r="L1372" s="151" t="s">
        <v>1743</v>
      </c>
      <c r="M1372" s="128">
        <v>625694</v>
      </c>
      <c r="N1372" s="108"/>
      <c r="O1372" s="20"/>
      <c r="P1372" s="20"/>
      <c r="Q1372" s="20"/>
    </row>
    <row r="1373" spans="1:17" ht="24.9" customHeight="1">
      <c r="A1373" s="20">
        <v>362</v>
      </c>
      <c r="B1373" s="20" t="s">
        <v>4320</v>
      </c>
      <c r="C1373" s="20"/>
      <c r="D1373" s="20" t="s">
        <v>6840</v>
      </c>
      <c r="E1373" s="19" t="str">
        <f>VLOOKUP(D1373,'لیست پرسنل'!$B$2:$E$1020,3,FALSE)</f>
        <v>فکورصنعت</v>
      </c>
      <c r="F1373" s="19" t="str">
        <f>VLOOKUP(D1373,'لیست پرسنل'!$B$2:$E$1020,4,FALSE)</f>
        <v>ایمنی</v>
      </c>
      <c r="G1373" s="127">
        <f>VLOOKUP(D1373,'لیست پرسنل'!$B$2:$F$1020,2,FALSE)</f>
        <v>4030502</v>
      </c>
      <c r="H1373" s="126" t="s">
        <v>6886</v>
      </c>
      <c r="I1373" s="128"/>
      <c r="J1373" s="128" t="s">
        <v>5927</v>
      </c>
      <c r="K1373" s="127" t="s">
        <v>6576</v>
      </c>
      <c r="L1373" s="150" t="s">
        <v>6580</v>
      </c>
      <c r="M1373" s="128" t="s">
        <v>291</v>
      </c>
      <c r="N1373" s="108"/>
      <c r="O1373" s="88" t="s">
        <v>6584</v>
      </c>
      <c r="P1373" s="20"/>
      <c r="Q1373" s="20"/>
    </row>
    <row r="1374" spans="1:17" ht="24.9" customHeight="1">
      <c r="A1374" s="20">
        <v>362</v>
      </c>
      <c r="B1374" s="20" t="s">
        <v>4320</v>
      </c>
      <c r="C1374" s="20"/>
      <c r="D1374" s="20" t="s">
        <v>6840</v>
      </c>
      <c r="E1374" s="19" t="str">
        <f>VLOOKUP(D1374,'لیست پرسنل'!$B$2:$E$1020,3,FALSE)</f>
        <v>فکورصنعت</v>
      </c>
      <c r="F1374" s="19" t="str">
        <f>VLOOKUP(D1374,'لیست پرسنل'!$B$2:$E$1020,4,FALSE)</f>
        <v>ایمنی</v>
      </c>
      <c r="G1374" s="127">
        <f>VLOOKUP(D1374,'لیست پرسنل'!$B$2:$F$1020,2,FALSE)</f>
        <v>4030502</v>
      </c>
      <c r="H1374" s="126" t="s">
        <v>6886</v>
      </c>
      <c r="I1374" s="128"/>
      <c r="J1374" s="128" t="s">
        <v>6889</v>
      </c>
      <c r="K1374" s="129" t="s">
        <v>6890</v>
      </c>
      <c r="L1374" s="150" t="s">
        <v>6891</v>
      </c>
      <c r="M1374" s="128" t="s">
        <v>291</v>
      </c>
      <c r="N1374" s="108"/>
      <c r="O1374" s="88"/>
      <c r="P1374" s="20"/>
      <c r="Q1374" s="20"/>
    </row>
    <row r="1375" spans="1:17" ht="24.9" customHeight="1">
      <c r="A1375" s="20">
        <v>362</v>
      </c>
      <c r="B1375" s="20" t="s">
        <v>4320</v>
      </c>
      <c r="C1375" s="19"/>
      <c r="D1375" s="19" t="s">
        <v>6840</v>
      </c>
      <c r="E1375" s="19" t="str">
        <f>VLOOKUP(D1375,'لیست پرسنل'!$B$2:$E$1020,3,FALSE)</f>
        <v>فکورصنعت</v>
      </c>
      <c r="F1375" s="19" t="str">
        <f>VLOOKUP(D1375,'لیست پرسنل'!$B$2:$E$1020,4,FALSE)</f>
        <v>ایمنی</v>
      </c>
      <c r="G1375" s="127">
        <f>VLOOKUP(D1375,'لیست پرسنل'!$B$2:$F$1020,2,FALSE)</f>
        <v>4030502</v>
      </c>
      <c r="H1375" s="151" t="s">
        <v>7798</v>
      </c>
      <c r="I1375" s="128"/>
      <c r="J1375" s="126" t="s">
        <v>368</v>
      </c>
      <c r="K1375" s="128" t="s">
        <v>8248</v>
      </c>
      <c r="L1375" s="127" t="s">
        <v>2303</v>
      </c>
      <c r="M1375" s="128">
        <v>628709</v>
      </c>
      <c r="N1375" s="108"/>
      <c r="O1375" s="20" t="s">
        <v>705</v>
      </c>
      <c r="P1375" s="20"/>
      <c r="Q1375" s="20"/>
    </row>
    <row r="1376" spans="1:17" ht="24.9" customHeight="1">
      <c r="A1376" s="20">
        <v>362</v>
      </c>
      <c r="B1376" s="20" t="s">
        <v>4320</v>
      </c>
      <c r="C1376" s="19"/>
      <c r="D1376" s="19" t="s">
        <v>6840</v>
      </c>
      <c r="E1376" s="19" t="str">
        <f>VLOOKUP(D1376,'لیست پرسنل'!$B$2:$E$1020,3,FALSE)</f>
        <v>فکورصنعت</v>
      </c>
      <c r="F1376" s="19" t="str">
        <f>VLOOKUP(D1376,'لیست پرسنل'!$B$2:$E$1020,4,FALSE)</f>
        <v>ایمنی</v>
      </c>
      <c r="G1376" s="127">
        <f>VLOOKUP(D1376,'لیست پرسنل'!$B$2:$F$1020,2,FALSE)</f>
        <v>4030502</v>
      </c>
      <c r="H1376" s="151" t="s">
        <v>7798</v>
      </c>
      <c r="I1376" s="127"/>
      <c r="J1376" s="126" t="s">
        <v>368</v>
      </c>
      <c r="K1376" s="128" t="s">
        <v>8248</v>
      </c>
      <c r="L1376" s="127" t="s">
        <v>2329</v>
      </c>
      <c r="M1376" s="128">
        <v>628735</v>
      </c>
      <c r="N1376" s="108"/>
      <c r="O1376" s="20" t="s">
        <v>705</v>
      </c>
      <c r="P1376" s="20"/>
      <c r="Q1376" s="20"/>
    </row>
    <row r="1377" spans="1:17" ht="24.9" customHeight="1">
      <c r="A1377" s="20">
        <v>362</v>
      </c>
      <c r="B1377" s="20" t="s">
        <v>4320</v>
      </c>
      <c r="C1377" s="19"/>
      <c r="D1377" s="19" t="s">
        <v>6840</v>
      </c>
      <c r="E1377" s="19" t="str">
        <f>VLOOKUP(D1377,'لیست پرسنل'!$B$2:$E$1020,3,FALSE)</f>
        <v>فکورصنعت</v>
      </c>
      <c r="F1377" s="19" t="str">
        <f>VLOOKUP(D1377,'لیست پرسنل'!$B$2:$E$1020,4,FALSE)</f>
        <v>ایمنی</v>
      </c>
      <c r="G1377" s="127">
        <f>VLOOKUP(D1377,'لیست پرسنل'!$B$2:$F$1020,2,FALSE)</f>
        <v>4030502</v>
      </c>
      <c r="H1377" s="151" t="s">
        <v>7798</v>
      </c>
      <c r="I1377" s="128"/>
      <c r="J1377" s="126" t="s">
        <v>368</v>
      </c>
      <c r="K1377" s="128" t="s">
        <v>2846</v>
      </c>
      <c r="L1377" s="127" t="s">
        <v>2389</v>
      </c>
      <c r="M1377" s="127">
        <v>628796</v>
      </c>
      <c r="N1377" s="109"/>
      <c r="O1377" s="19"/>
      <c r="P1377" s="20"/>
      <c r="Q1377" s="20"/>
    </row>
    <row r="1378" spans="1:17" ht="24.9" customHeight="1">
      <c r="A1378" s="20">
        <v>362</v>
      </c>
      <c r="B1378" s="20" t="s">
        <v>4320</v>
      </c>
      <c r="C1378" s="19"/>
      <c r="D1378" s="19" t="s">
        <v>6840</v>
      </c>
      <c r="E1378" s="19" t="str">
        <f>VLOOKUP(D1378,'لیست پرسنل'!$B$2:$E$1020,3,FALSE)</f>
        <v>فکورصنعت</v>
      </c>
      <c r="F1378" s="19" t="str">
        <f>VLOOKUP(D1378,'لیست پرسنل'!$B$2:$E$1020,4,FALSE)</f>
        <v>ایمنی</v>
      </c>
      <c r="G1378" s="127">
        <f>VLOOKUP(D1378,'لیست پرسنل'!$B$2:$F$1020,2,FALSE)</f>
        <v>4030502</v>
      </c>
      <c r="H1378" s="151" t="s">
        <v>7798</v>
      </c>
      <c r="I1378" s="127"/>
      <c r="J1378" s="126" t="s">
        <v>368</v>
      </c>
      <c r="K1378" s="128" t="s">
        <v>2846</v>
      </c>
      <c r="L1378" s="128" t="s">
        <v>2467</v>
      </c>
      <c r="M1378" s="128">
        <v>628877</v>
      </c>
      <c r="N1378" s="108"/>
      <c r="O1378" s="20"/>
      <c r="P1378" s="20"/>
      <c r="Q1378" s="20"/>
    </row>
    <row r="1379" spans="1:17" ht="24.9" customHeight="1">
      <c r="A1379" s="20">
        <v>362</v>
      </c>
      <c r="B1379" s="20" t="s">
        <v>4320</v>
      </c>
      <c r="C1379" s="20"/>
      <c r="D1379" s="20" t="s">
        <v>6840</v>
      </c>
      <c r="E1379" s="19" t="str">
        <f>VLOOKUP(D1379,'لیست پرسنل'!$B$2:$E$1020,3,FALSE)</f>
        <v>فکورصنعت</v>
      </c>
      <c r="F1379" s="19" t="str">
        <f>VLOOKUP(D1379,'لیست پرسنل'!$B$2:$E$1020,4,FALSE)</f>
        <v>ایمنی</v>
      </c>
      <c r="G1379" s="127">
        <f>VLOOKUP(D1379,'لیست پرسنل'!$B$2:$F$1020,2,FALSE)</f>
        <v>4030502</v>
      </c>
      <c r="H1379" s="128" t="s">
        <v>4306</v>
      </c>
      <c r="I1379" s="128"/>
      <c r="J1379" s="128" t="s">
        <v>3938</v>
      </c>
      <c r="K1379" s="128" t="s">
        <v>1159</v>
      </c>
      <c r="L1379" s="151" t="s">
        <v>1164</v>
      </c>
      <c r="M1379" s="127">
        <v>622739</v>
      </c>
      <c r="N1379" s="109"/>
      <c r="O1379" s="39"/>
      <c r="P1379" s="20"/>
      <c r="Q1379" s="20"/>
    </row>
    <row r="1380" spans="1:17" ht="24.9" customHeight="1">
      <c r="A1380" s="20">
        <v>362</v>
      </c>
      <c r="B1380" s="20" t="s">
        <v>4320</v>
      </c>
      <c r="C1380" s="19"/>
      <c r="D1380" s="20" t="s">
        <v>6840</v>
      </c>
      <c r="E1380" s="19" t="str">
        <f>VLOOKUP(D1380,'لیست پرسنل'!$B$2:$E$1020,3,FALSE)</f>
        <v>فکورصنعت</v>
      </c>
      <c r="F1380" s="19" t="str">
        <f>VLOOKUP(D1380,'لیست پرسنل'!$B$2:$E$1020,4,FALSE)</f>
        <v>ایمنی</v>
      </c>
      <c r="G1380" s="127">
        <f>VLOOKUP(D1380,'لیست پرسنل'!$B$2:$F$1020,2,FALSE)</f>
        <v>4030502</v>
      </c>
      <c r="H1380" s="126" t="s">
        <v>4306</v>
      </c>
      <c r="I1380" s="128"/>
      <c r="J1380" s="128" t="s">
        <v>3476</v>
      </c>
      <c r="K1380" s="128" t="s">
        <v>4816</v>
      </c>
      <c r="L1380" s="128" t="s">
        <v>4817</v>
      </c>
      <c r="M1380" s="128">
        <v>629763</v>
      </c>
      <c r="N1380" s="108"/>
      <c r="O1380" s="20"/>
      <c r="P1380" s="20"/>
      <c r="Q1380" s="20"/>
    </row>
    <row r="1381" spans="1:17" ht="24.9" customHeight="1">
      <c r="A1381" s="20">
        <v>362</v>
      </c>
      <c r="B1381" s="20" t="s">
        <v>4320</v>
      </c>
      <c r="C1381" s="20"/>
      <c r="D1381" s="20" t="s">
        <v>6840</v>
      </c>
      <c r="E1381" s="19" t="str">
        <f>VLOOKUP(D1381,'لیست پرسنل'!$B$2:$E$1020,3,FALSE)</f>
        <v>فکورصنعت</v>
      </c>
      <c r="F1381" s="19" t="str">
        <f>VLOOKUP(D1381,'لیست پرسنل'!$B$2:$E$1020,4,FALSE)</f>
        <v>ایمنی</v>
      </c>
      <c r="G1381" s="127">
        <f>VLOOKUP(D1381,'لیست پرسنل'!$B$2:$F$1020,2,FALSE)</f>
        <v>4030502</v>
      </c>
      <c r="H1381" s="126" t="s">
        <v>7567</v>
      </c>
      <c r="I1381" s="128"/>
      <c r="J1381" s="128" t="s">
        <v>7569</v>
      </c>
      <c r="K1381" s="128" t="s">
        <v>7570</v>
      </c>
      <c r="L1381" s="128" t="s">
        <v>7669</v>
      </c>
      <c r="M1381" s="128">
        <v>636036</v>
      </c>
      <c r="N1381" s="108"/>
      <c r="O1381" s="20"/>
      <c r="P1381" s="20"/>
      <c r="Q1381" s="20"/>
    </row>
    <row r="1382" spans="1:17" ht="24.9" customHeight="1">
      <c r="A1382" s="20">
        <v>362</v>
      </c>
      <c r="B1382" s="20" t="s">
        <v>4320</v>
      </c>
      <c r="C1382" s="20"/>
      <c r="D1382" s="20" t="s">
        <v>6840</v>
      </c>
      <c r="E1382" s="19" t="str">
        <f>VLOOKUP(D1382,'لیست پرسنل'!$B$2:$E$1020,3,FALSE)</f>
        <v>فکورصنعت</v>
      </c>
      <c r="F1382" s="19" t="str">
        <f>VLOOKUP(D1382,'لیست پرسنل'!$B$2:$E$1020,4,FALSE)</f>
        <v>ایمنی</v>
      </c>
      <c r="G1382" s="127">
        <f>VLOOKUP(D1382,'لیست پرسنل'!$B$2:$F$1020,2,FALSE)</f>
        <v>4030502</v>
      </c>
      <c r="H1382" s="126" t="s">
        <v>7567</v>
      </c>
      <c r="I1382" s="128"/>
      <c r="J1382" s="128" t="s">
        <v>7569</v>
      </c>
      <c r="K1382" s="128" t="s">
        <v>7570</v>
      </c>
      <c r="L1382" s="128"/>
      <c r="M1382" s="128">
        <v>636037</v>
      </c>
      <c r="N1382" s="108"/>
      <c r="O1382" s="20"/>
      <c r="P1382" s="20"/>
      <c r="Q1382" s="20"/>
    </row>
    <row r="1383" spans="1:17" ht="24.9" customHeight="1">
      <c r="A1383" s="20">
        <v>362</v>
      </c>
      <c r="B1383" s="20" t="s">
        <v>4320</v>
      </c>
      <c r="C1383" s="20"/>
      <c r="D1383" s="20" t="s">
        <v>6840</v>
      </c>
      <c r="E1383" s="19" t="str">
        <f>VLOOKUP(D1383,'لیست پرسنل'!$B$2:$E$1020,3,FALSE)</f>
        <v>فکورصنعت</v>
      </c>
      <c r="F1383" s="19" t="str">
        <f>VLOOKUP(D1383,'لیست پرسنل'!$B$2:$E$1020,4,FALSE)</f>
        <v>ایمنی</v>
      </c>
      <c r="G1383" s="127">
        <f>VLOOKUP(D1383,'لیست پرسنل'!$B$2:$F$1020,2,FALSE)</f>
        <v>4030502</v>
      </c>
      <c r="H1383" s="126" t="s">
        <v>7567</v>
      </c>
      <c r="I1383" s="128"/>
      <c r="J1383" s="128" t="s">
        <v>7569</v>
      </c>
      <c r="K1383" s="128" t="s">
        <v>7570</v>
      </c>
      <c r="L1383" s="128"/>
      <c r="M1383" s="128">
        <v>636038</v>
      </c>
      <c r="N1383" s="108"/>
      <c r="O1383" s="20"/>
      <c r="P1383" s="20"/>
      <c r="Q1383" s="20"/>
    </row>
    <row r="1384" spans="1:17" ht="24.9" customHeight="1">
      <c r="A1384" s="20">
        <v>362</v>
      </c>
      <c r="B1384" s="20" t="s">
        <v>4320</v>
      </c>
      <c r="C1384" s="20"/>
      <c r="D1384" s="20" t="s">
        <v>6840</v>
      </c>
      <c r="E1384" s="19" t="str">
        <f>VLOOKUP(D1384,'لیست پرسنل'!$B$2:$E$1020,3,FALSE)</f>
        <v>فکورصنعت</v>
      </c>
      <c r="F1384" s="19" t="str">
        <f>VLOOKUP(D1384,'لیست پرسنل'!$B$2:$E$1020,4,FALSE)</f>
        <v>ایمنی</v>
      </c>
      <c r="G1384" s="127">
        <f>VLOOKUP(D1384,'لیست پرسنل'!$B$2:$F$1020,2,FALSE)</f>
        <v>4030502</v>
      </c>
      <c r="H1384" s="126" t="s">
        <v>7567</v>
      </c>
      <c r="I1384" s="128"/>
      <c r="J1384" s="128" t="s">
        <v>7569</v>
      </c>
      <c r="K1384" s="128" t="s">
        <v>7570</v>
      </c>
      <c r="L1384" s="128" t="s">
        <v>7672</v>
      </c>
      <c r="M1384" s="128">
        <v>636039</v>
      </c>
      <c r="N1384" s="108"/>
      <c r="O1384" s="20"/>
      <c r="P1384" s="20"/>
      <c r="Q1384" s="20"/>
    </row>
    <row r="1385" spans="1:17" ht="24.9" customHeight="1">
      <c r="A1385" s="20">
        <v>362</v>
      </c>
      <c r="B1385" s="20" t="s">
        <v>4320</v>
      </c>
      <c r="C1385" s="20"/>
      <c r="D1385" s="20" t="s">
        <v>6840</v>
      </c>
      <c r="E1385" s="19" t="str">
        <f>VLOOKUP(D1385,'لیست پرسنل'!$B$2:$E$1020,3,FALSE)</f>
        <v>فکورصنعت</v>
      </c>
      <c r="F1385" s="19" t="str">
        <f>VLOOKUP(D1385,'لیست پرسنل'!$B$2:$E$1020,4,FALSE)</f>
        <v>ایمنی</v>
      </c>
      <c r="G1385" s="127">
        <f>VLOOKUP(D1385,'لیست پرسنل'!$B$2:$F$1020,2,FALSE)</f>
        <v>4030502</v>
      </c>
      <c r="H1385" s="126" t="s">
        <v>7567</v>
      </c>
      <c r="I1385" s="128"/>
      <c r="J1385" s="128" t="s">
        <v>7569</v>
      </c>
      <c r="K1385" s="128" t="s">
        <v>7570</v>
      </c>
      <c r="L1385" s="128" t="s">
        <v>7668</v>
      </c>
      <c r="M1385" s="128">
        <v>636040</v>
      </c>
      <c r="N1385" s="108"/>
      <c r="O1385" s="20"/>
      <c r="P1385" s="20"/>
      <c r="Q1385" s="20"/>
    </row>
    <row r="1386" spans="1:17" ht="24.9" customHeight="1">
      <c r="A1386" s="20">
        <v>362</v>
      </c>
      <c r="B1386" s="20" t="s">
        <v>4320</v>
      </c>
      <c r="C1386" s="20"/>
      <c r="D1386" s="20" t="s">
        <v>6840</v>
      </c>
      <c r="E1386" s="19" t="str">
        <f>VLOOKUP(D1386,'لیست پرسنل'!$B$2:$E$1020,3,FALSE)</f>
        <v>فکورصنعت</v>
      </c>
      <c r="F1386" s="19" t="str">
        <f>VLOOKUP(D1386,'لیست پرسنل'!$B$2:$E$1020,4,FALSE)</f>
        <v>ایمنی</v>
      </c>
      <c r="G1386" s="127">
        <f>VLOOKUP(D1386,'لیست پرسنل'!$B$2:$F$1020,2,FALSE)</f>
        <v>4030502</v>
      </c>
      <c r="H1386" s="126" t="s">
        <v>7567</v>
      </c>
      <c r="I1386" s="128"/>
      <c r="J1386" s="128" t="s">
        <v>7569</v>
      </c>
      <c r="K1386" s="128" t="s">
        <v>7570</v>
      </c>
      <c r="L1386" s="128" t="s">
        <v>7671</v>
      </c>
      <c r="M1386" s="128">
        <v>636041</v>
      </c>
      <c r="N1386" s="108"/>
      <c r="O1386" s="20"/>
      <c r="P1386" s="20"/>
      <c r="Q1386" s="20"/>
    </row>
    <row r="1387" spans="1:17" ht="24.9" customHeight="1">
      <c r="A1387" s="20">
        <v>362</v>
      </c>
      <c r="B1387" s="20" t="s">
        <v>4320</v>
      </c>
      <c r="C1387" s="20"/>
      <c r="D1387" s="20" t="s">
        <v>6840</v>
      </c>
      <c r="E1387" s="19" t="str">
        <f>VLOOKUP(D1387,'لیست پرسنل'!$B$2:$E$1020,3,FALSE)</f>
        <v>فکورصنعت</v>
      </c>
      <c r="F1387" s="19" t="str">
        <f>VLOOKUP(D1387,'لیست پرسنل'!$B$2:$E$1020,4,FALSE)</f>
        <v>ایمنی</v>
      </c>
      <c r="G1387" s="127">
        <f>VLOOKUP(D1387,'لیست پرسنل'!$B$2:$F$1020,2,FALSE)</f>
        <v>4030502</v>
      </c>
      <c r="H1387" s="126" t="s">
        <v>7567</v>
      </c>
      <c r="I1387" s="128"/>
      <c r="J1387" s="128" t="s">
        <v>7569</v>
      </c>
      <c r="K1387" s="128" t="s">
        <v>7570</v>
      </c>
      <c r="L1387" s="128"/>
      <c r="M1387" s="128">
        <v>636042</v>
      </c>
      <c r="N1387" s="108"/>
      <c r="O1387" s="20"/>
      <c r="P1387" s="20"/>
      <c r="Q1387" s="20"/>
    </row>
    <row r="1388" spans="1:17" ht="24.9" customHeight="1">
      <c r="A1388" s="20">
        <v>362</v>
      </c>
      <c r="B1388" s="20" t="s">
        <v>4320</v>
      </c>
      <c r="C1388" s="20"/>
      <c r="D1388" s="20" t="s">
        <v>6840</v>
      </c>
      <c r="E1388" s="19" t="str">
        <f>VLOOKUP(D1388,'لیست پرسنل'!$B$2:$E$1020,3,FALSE)</f>
        <v>فکورصنعت</v>
      </c>
      <c r="F1388" s="19" t="str">
        <f>VLOOKUP(D1388,'لیست پرسنل'!$B$2:$E$1020,4,FALSE)</f>
        <v>ایمنی</v>
      </c>
      <c r="G1388" s="127">
        <f>VLOOKUP(D1388,'لیست پرسنل'!$B$2:$F$1020,2,FALSE)</f>
        <v>4030502</v>
      </c>
      <c r="H1388" s="126" t="s">
        <v>7567</v>
      </c>
      <c r="I1388" s="128"/>
      <c r="J1388" s="128" t="s">
        <v>7569</v>
      </c>
      <c r="K1388" s="128" t="s">
        <v>7570</v>
      </c>
      <c r="L1388" s="128" t="s">
        <v>7667</v>
      </c>
      <c r="M1388" s="128">
        <v>636043</v>
      </c>
      <c r="N1388" s="108"/>
      <c r="O1388" s="20"/>
      <c r="P1388" s="20"/>
      <c r="Q1388" s="20"/>
    </row>
    <row r="1389" spans="1:17" ht="24.9" customHeight="1">
      <c r="A1389" s="20">
        <v>362</v>
      </c>
      <c r="B1389" s="20" t="s">
        <v>4320</v>
      </c>
      <c r="C1389" s="20"/>
      <c r="D1389" s="20" t="s">
        <v>6840</v>
      </c>
      <c r="E1389" s="19" t="str">
        <f>VLOOKUP(D1389,'لیست پرسنل'!$B$2:$E$1020,3,FALSE)</f>
        <v>فکورصنعت</v>
      </c>
      <c r="F1389" s="19" t="str">
        <f>VLOOKUP(D1389,'لیست پرسنل'!$B$2:$E$1020,4,FALSE)</f>
        <v>ایمنی</v>
      </c>
      <c r="G1389" s="127">
        <f>VLOOKUP(D1389,'لیست پرسنل'!$B$2:$F$1020,2,FALSE)</f>
        <v>4030502</v>
      </c>
      <c r="H1389" s="126" t="s">
        <v>7567</v>
      </c>
      <c r="I1389" s="128"/>
      <c r="J1389" s="128" t="s">
        <v>7569</v>
      </c>
      <c r="K1389" s="128" t="s">
        <v>7570</v>
      </c>
      <c r="L1389" s="128" t="s">
        <v>7666</v>
      </c>
      <c r="M1389" s="128">
        <v>636044</v>
      </c>
      <c r="N1389" s="108"/>
      <c r="O1389" s="20"/>
      <c r="P1389" s="20"/>
      <c r="Q1389" s="20"/>
    </row>
    <row r="1390" spans="1:17" ht="24.9" customHeight="1">
      <c r="A1390" s="20">
        <v>362</v>
      </c>
      <c r="B1390" s="20" t="s">
        <v>4320</v>
      </c>
      <c r="C1390" s="20"/>
      <c r="D1390" s="20" t="s">
        <v>6840</v>
      </c>
      <c r="E1390" s="19" t="str">
        <f>VLOOKUP(D1390,'لیست پرسنل'!$B$2:$E$1020,3,FALSE)</f>
        <v>فکورصنعت</v>
      </c>
      <c r="F1390" s="19" t="str">
        <f>VLOOKUP(D1390,'لیست پرسنل'!$B$2:$E$1020,4,FALSE)</f>
        <v>ایمنی</v>
      </c>
      <c r="G1390" s="127">
        <f>VLOOKUP(D1390,'لیست پرسنل'!$B$2:$F$1020,2,FALSE)</f>
        <v>4030502</v>
      </c>
      <c r="H1390" s="126" t="s">
        <v>7567</v>
      </c>
      <c r="I1390" s="128"/>
      <c r="J1390" s="128" t="s">
        <v>7569</v>
      </c>
      <c r="K1390" s="128" t="s">
        <v>7570</v>
      </c>
      <c r="L1390" s="128"/>
      <c r="M1390" s="128">
        <v>636045</v>
      </c>
      <c r="N1390" s="108"/>
      <c r="O1390" s="20"/>
      <c r="P1390" s="20"/>
      <c r="Q1390" s="20"/>
    </row>
    <row r="1391" spans="1:17" ht="24.9" customHeight="1">
      <c r="A1391" s="20">
        <v>362</v>
      </c>
      <c r="B1391" s="20" t="s">
        <v>4320</v>
      </c>
      <c r="C1391" s="20"/>
      <c r="D1391" s="20" t="s">
        <v>6840</v>
      </c>
      <c r="E1391" s="19" t="str">
        <f>VLOOKUP(D1391,'لیست پرسنل'!$B$2:$E$1020,3,FALSE)</f>
        <v>فکورصنعت</v>
      </c>
      <c r="F1391" s="19" t="str">
        <f>VLOOKUP(D1391,'لیست پرسنل'!$B$2:$E$1020,4,FALSE)</f>
        <v>ایمنی</v>
      </c>
      <c r="G1391" s="127">
        <f>VLOOKUP(D1391,'لیست پرسنل'!$B$2:$F$1020,2,FALSE)</f>
        <v>4030502</v>
      </c>
      <c r="H1391" s="126" t="s">
        <v>7567</v>
      </c>
      <c r="I1391" s="128"/>
      <c r="J1391" s="128" t="s">
        <v>7569</v>
      </c>
      <c r="K1391" s="128" t="s">
        <v>7570</v>
      </c>
      <c r="L1391" s="128" t="s">
        <v>7673</v>
      </c>
      <c r="M1391" s="128">
        <v>636046</v>
      </c>
      <c r="N1391" s="108"/>
      <c r="O1391" s="20"/>
      <c r="P1391" s="20"/>
      <c r="Q1391" s="20"/>
    </row>
    <row r="1392" spans="1:17" ht="24.9" customHeight="1">
      <c r="A1392" s="20">
        <v>362</v>
      </c>
      <c r="B1392" s="20" t="s">
        <v>4320</v>
      </c>
      <c r="C1392" s="20"/>
      <c r="D1392" s="20" t="s">
        <v>6840</v>
      </c>
      <c r="E1392" s="19" t="str">
        <f>VLOOKUP(D1392,'لیست پرسنل'!$B$2:$E$1020,3,FALSE)</f>
        <v>فکورصنعت</v>
      </c>
      <c r="F1392" s="19" t="str">
        <f>VLOOKUP(D1392,'لیست پرسنل'!$B$2:$E$1020,4,FALSE)</f>
        <v>ایمنی</v>
      </c>
      <c r="G1392" s="127">
        <f>VLOOKUP(D1392,'لیست پرسنل'!$B$2:$F$1020,2,FALSE)</f>
        <v>4030502</v>
      </c>
      <c r="H1392" s="126" t="s">
        <v>7567</v>
      </c>
      <c r="I1392" s="128"/>
      <c r="J1392" s="128" t="s">
        <v>7569</v>
      </c>
      <c r="K1392" s="128" t="s">
        <v>7570</v>
      </c>
      <c r="L1392" s="128" t="s">
        <v>7670</v>
      </c>
      <c r="M1392" s="128">
        <v>636047</v>
      </c>
      <c r="N1392" s="108"/>
      <c r="O1392" s="20"/>
      <c r="P1392" s="20"/>
      <c r="Q1392" s="20"/>
    </row>
    <row r="1393" spans="1:17" ht="24.9" customHeight="1">
      <c r="A1393" s="20">
        <v>362</v>
      </c>
      <c r="B1393" s="20" t="s">
        <v>4320</v>
      </c>
      <c r="C1393" s="20"/>
      <c r="D1393" s="20" t="s">
        <v>6840</v>
      </c>
      <c r="E1393" s="19" t="str">
        <f>VLOOKUP(D1393,'لیست پرسنل'!$B$2:$E$1020,3,FALSE)</f>
        <v>فکورصنعت</v>
      </c>
      <c r="F1393" s="19" t="str">
        <f>VLOOKUP(D1393,'لیست پرسنل'!$B$2:$E$1020,4,FALSE)</f>
        <v>ایمنی</v>
      </c>
      <c r="G1393" s="127">
        <f>VLOOKUP(D1393,'لیست پرسنل'!$B$2:$F$1020,2,FALSE)</f>
        <v>4030502</v>
      </c>
      <c r="H1393" s="126" t="s">
        <v>7567</v>
      </c>
      <c r="I1393" s="128"/>
      <c r="J1393" s="128" t="s">
        <v>7568</v>
      </c>
      <c r="K1393" s="128" t="s">
        <v>7568</v>
      </c>
      <c r="L1393" s="128"/>
      <c r="M1393" s="128">
        <v>636029</v>
      </c>
      <c r="N1393" s="108"/>
      <c r="O1393" s="20"/>
      <c r="P1393" s="20"/>
      <c r="Q1393" s="20"/>
    </row>
    <row r="1394" spans="1:17" ht="24.9" customHeight="1">
      <c r="A1394" s="20">
        <v>362</v>
      </c>
      <c r="B1394" s="20" t="s">
        <v>4320</v>
      </c>
      <c r="C1394" s="20"/>
      <c r="D1394" s="20" t="s">
        <v>6840</v>
      </c>
      <c r="E1394" s="19" t="str">
        <f>VLOOKUP(D1394,'لیست پرسنل'!$B$2:$E$1020,3,FALSE)</f>
        <v>فکورصنعت</v>
      </c>
      <c r="F1394" s="19" t="str">
        <f>VLOOKUP(D1394,'لیست پرسنل'!$B$2:$E$1020,4,FALSE)</f>
        <v>ایمنی</v>
      </c>
      <c r="G1394" s="127">
        <f>VLOOKUP(D1394,'لیست پرسنل'!$B$2:$F$1020,2,FALSE)</f>
        <v>4030502</v>
      </c>
      <c r="H1394" s="126" t="s">
        <v>7567</v>
      </c>
      <c r="I1394" s="128"/>
      <c r="J1394" s="128" t="s">
        <v>7568</v>
      </c>
      <c r="K1394" s="128" t="s">
        <v>7568</v>
      </c>
      <c r="L1394" s="127"/>
      <c r="M1394" s="128">
        <v>636030</v>
      </c>
      <c r="N1394" s="108"/>
      <c r="O1394" s="20"/>
      <c r="P1394" s="20"/>
      <c r="Q1394" s="20"/>
    </row>
    <row r="1395" spans="1:17" ht="24.9" customHeight="1">
      <c r="A1395" s="20">
        <v>362</v>
      </c>
      <c r="B1395" s="20" t="s">
        <v>4320</v>
      </c>
      <c r="C1395" s="20"/>
      <c r="D1395" s="20" t="s">
        <v>6840</v>
      </c>
      <c r="E1395" s="19" t="str">
        <f>VLOOKUP(D1395,'لیست پرسنل'!$B$2:$E$1020,3,FALSE)</f>
        <v>فکورصنعت</v>
      </c>
      <c r="F1395" s="19" t="str">
        <f>VLOOKUP(D1395,'لیست پرسنل'!$B$2:$E$1020,4,FALSE)</f>
        <v>ایمنی</v>
      </c>
      <c r="G1395" s="127">
        <f>VLOOKUP(D1395,'لیست پرسنل'!$B$2:$F$1020,2,FALSE)</f>
        <v>4030502</v>
      </c>
      <c r="H1395" s="126" t="s">
        <v>7567</v>
      </c>
      <c r="I1395" s="128"/>
      <c r="J1395" s="128" t="s">
        <v>7568</v>
      </c>
      <c r="K1395" s="128" t="s">
        <v>7568</v>
      </c>
      <c r="L1395" s="127"/>
      <c r="M1395" s="128">
        <v>636031</v>
      </c>
      <c r="N1395" s="108"/>
      <c r="O1395" s="20"/>
      <c r="P1395" s="20"/>
      <c r="Q1395" s="20"/>
    </row>
    <row r="1396" spans="1:17" ht="24.9" customHeight="1">
      <c r="A1396" s="20">
        <v>362</v>
      </c>
      <c r="B1396" s="20" t="s">
        <v>4320</v>
      </c>
      <c r="C1396" s="20"/>
      <c r="D1396" s="20" t="s">
        <v>6840</v>
      </c>
      <c r="E1396" s="19" t="str">
        <f>VLOOKUP(D1396,'لیست پرسنل'!$B$2:$E$1020,3,FALSE)</f>
        <v>فکورصنعت</v>
      </c>
      <c r="F1396" s="19" t="str">
        <f>VLOOKUP(D1396,'لیست پرسنل'!$B$2:$E$1020,4,FALSE)</f>
        <v>ایمنی</v>
      </c>
      <c r="G1396" s="127">
        <f>VLOOKUP(D1396,'لیست پرسنل'!$B$2:$F$1020,2,FALSE)</f>
        <v>4030502</v>
      </c>
      <c r="H1396" s="126" t="s">
        <v>7567</v>
      </c>
      <c r="I1396" s="128"/>
      <c r="J1396" s="128" t="s">
        <v>7568</v>
      </c>
      <c r="K1396" s="128" t="s">
        <v>7568</v>
      </c>
      <c r="L1396" s="127"/>
      <c r="M1396" s="128">
        <v>636032</v>
      </c>
      <c r="N1396" s="108"/>
      <c r="O1396" s="20"/>
      <c r="P1396" s="20"/>
      <c r="Q1396" s="20"/>
    </row>
    <row r="1397" spans="1:17" ht="24.9" customHeight="1">
      <c r="A1397" s="20">
        <v>362</v>
      </c>
      <c r="B1397" s="20" t="s">
        <v>4320</v>
      </c>
      <c r="C1397" s="20"/>
      <c r="D1397" s="20" t="s">
        <v>6840</v>
      </c>
      <c r="E1397" s="19" t="str">
        <f>VLOOKUP(D1397,'لیست پرسنل'!$B$2:$E$1020,3,FALSE)</f>
        <v>فکورصنعت</v>
      </c>
      <c r="F1397" s="19" t="str">
        <f>VLOOKUP(D1397,'لیست پرسنل'!$B$2:$E$1020,4,FALSE)</f>
        <v>ایمنی</v>
      </c>
      <c r="G1397" s="127">
        <f>VLOOKUP(D1397,'لیست پرسنل'!$B$2:$F$1020,2,FALSE)</f>
        <v>4030502</v>
      </c>
      <c r="H1397" s="126" t="s">
        <v>7567</v>
      </c>
      <c r="I1397" s="128"/>
      <c r="J1397" s="128" t="s">
        <v>7568</v>
      </c>
      <c r="K1397" s="128" t="s">
        <v>7568</v>
      </c>
      <c r="L1397" s="127"/>
      <c r="M1397" s="128">
        <v>636033</v>
      </c>
      <c r="N1397" s="108"/>
      <c r="O1397" s="20"/>
      <c r="P1397" s="20"/>
      <c r="Q1397" s="20"/>
    </row>
    <row r="1398" spans="1:17" ht="24.9" customHeight="1">
      <c r="A1398" s="20">
        <v>362</v>
      </c>
      <c r="B1398" s="20" t="s">
        <v>4320</v>
      </c>
      <c r="C1398" s="20"/>
      <c r="D1398" s="20" t="s">
        <v>6840</v>
      </c>
      <c r="E1398" s="19" t="str">
        <f>VLOOKUP(D1398,'لیست پرسنل'!$B$2:$E$1020,3,FALSE)</f>
        <v>فکورصنعت</v>
      </c>
      <c r="F1398" s="19" t="str">
        <f>VLOOKUP(D1398,'لیست پرسنل'!$B$2:$E$1020,4,FALSE)</f>
        <v>ایمنی</v>
      </c>
      <c r="G1398" s="127">
        <f>VLOOKUP(D1398,'لیست پرسنل'!$B$2:$F$1020,2,FALSE)</f>
        <v>4030502</v>
      </c>
      <c r="H1398" s="126" t="s">
        <v>7567</v>
      </c>
      <c r="I1398" s="128"/>
      <c r="J1398" s="128" t="s">
        <v>7568</v>
      </c>
      <c r="K1398" s="128" t="s">
        <v>7568</v>
      </c>
      <c r="L1398" s="127"/>
      <c r="M1398" s="128">
        <v>636034</v>
      </c>
      <c r="N1398" s="108"/>
      <c r="O1398" s="20"/>
      <c r="P1398" s="20"/>
      <c r="Q1398" s="20"/>
    </row>
    <row r="1399" spans="1:17" ht="24.9" customHeight="1">
      <c r="A1399" s="20">
        <v>362</v>
      </c>
      <c r="B1399" s="20" t="s">
        <v>4320</v>
      </c>
      <c r="C1399" s="20"/>
      <c r="D1399" s="20" t="s">
        <v>6840</v>
      </c>
      <c r="E1399" s="19" t="str">
        <f>VLOOKUP(D1399,'لیست پرسنل'!$B$2:$E$1020,3,FALSE)</f>
        <v>فکورصنعت</v>
      </c>
      <c r="F1399" s="19" t="str">
        <f>VLOOKUP(D1399,'لیست پرسنل'!$B$2:$E$1020,4,FALSE)</f>
        <v>ایمنی</v>
      </c>
      <c r="G1399" s="127">
        <f>VLOOKUP(D1399,'لیست پرسنل'!$B$2:$F$1020,2,FALSE)</f>
        <v>4030502</v>
      </c>
      <c r="H1399" s="126" t="s">
        <v>7567</v>
      </c>
      <c r="I1399" s="128"/>
      <c r="J1399" s="128" t="s">
        <v>7568</v>
      </c>
      <c r="K1399" s="128" t="s">
        <v>7568</v>
      </c>
      <c r="L1399" s="127"/>
      <c r="M1399" s="128">
        <v>636035</v>
      </c>
      <c r="N1399" s="108"/>
      <c r="O1399" s="20"/>
      <c r="P1399" s="20"/>
      <c r="Q1399" s="20"/>
    </row>
    <row r="1400" spans="1:17" ht="24.9" customHeight="1">
      <c r="A1400" s="20">
        <v>362</v>
      </c>
      <c r="B1400" s="20" t="s">
        <v>4320</v>
      </c>
      <c r="C1400" s="20"/>
      <c r="D1400" s="83" t="s">
        <v>6840</v>
      </c>
      <c r="E1400" s="19" t="str">
        <f>VLOOKUP(D1400,'لیست پرسنل'!$B$2:$E$1020,3,FALSE)</f>
        <v>فکورصنعت</v>
      </c>
      <c r="F1400" s="19" t="str">
        <f>VLOOKUP(D1400,'لیست پرسنل'!$B$2:$E$1020,4,FALSE)</f>
        <v>ایمنی</v>
      </c>
      <c r="G1400" s="127">
        <f>VLOOKUP(D1400,'لیست پرسنل'!$B$2:$F$1020,2,FALSE)</f>
        <v>4030502</v>
      </c>
      <c r="H1400" s="127" t="s">
        <v>7152</v>
      </c>
      <c r="I1400" s="128"/>
      <c r="J1400" s="126" t="s">
        <v>368</v>
      </c>
      <c r="K1400" s="128" t="s">
        <v>8248</v>
      </c>
      <c r="L1400" s="127" t="s">
        <v>2498</v>
      </c>
      <c r="M1400" s="128">
        <v>628910</v>
      </c>
      <c r="N1400" s="108"/>
      <c r="O1400" s="20" t="s">
        <v>4780</v>
      </c>
      <c r="P1400" s="20"/>
      <c r="Q1400" s="20"/>
    </row>
    <row r="1401" spans="1:17" ht="24.9" customHeight="1">
      <c r="A1401" s="20">
        <v>362</v>
      </c>
      <c r="B1401" s="20" t="s">
        <v>4320</v>
      </c>
      <c r="C1401" s="20"/>
      <c r="D1401" s="83" t="s">
        <v>6840</v>
      </c>
      <c r="E1401" s="19" t="str">
        <f>VLOOKUP(D1401,'لیست پرسنل'!$B$2:$E$1020,3,FALSE)</f>
        <v>فکورصنعت</v>
      </c>
      <c r="F1401" s="19" t="str">
        <f>VLOOKUP(D1401,'لیست پرسنل'!$B$2:$E$1020,4,FALSE)</f>
        <v>ایمنی</v>
      </c>
      <c r="G1401" s="127">
        <f>VLOOKUP(D1401,'لیست پرسنل'!$B$2:$F$1020,2,FALSE)</f>
        <v>4030502</v>
      </c>
      <c r="H1401" s="127" t="s">
        <v>7152</v>
      </c>
      <c r="I1401" s="159"/>
      <c r="J1401" s="128" t="s">
        <v>5927</v>
      </c>
      <c r="K1401" s="128" t="s">
        <v>7153</v>
      </c>
      <c r="L1401" s="127" t="s">
        <v>7154</v>
      </c>
      <c r="M1401" s="127" t="s">
        <v>291</v>
      </c>
      <c r="N1401" s="109"/>
      <c r="O1401" s="19"/>
      <c r="P1401" s="19"/>
      <c r="Q1401" s="28"/>
    </row>
    <row r="1402" spans="1:17" ht="24.9" customHeight="1">
      <c r="A1402" s="20">
        <v>362</v>
      </c>
      <c r="B1402" s="20" t="s">
        <v>4320</v>
      </c>
      <c r="C1402" s="20"/>
      <c r="D1402" s="83" t="s">
        <v>6840</v>
      </c>
      <c r="E1402" s="19" t="str">
        <f>VLOOKUP(D1402,'لیست پرسنل'!$B$2:$E$1020,3,FALSE)</f>
        <v>فکورصنعت</v>
      </c>
      <c r="F1402" s="19" t="str">
        <f>VLOOKUP(D1402,'لیست پرسنل'!$B$2:$E$1020,4,FALSE)</f>
        <v>ایمنی</v>
      </c>
      <c r="G1402" s="127">
        <f>VLOOKUP(D1402,'لیست پرسنل'!$B$2:$F$1020,2,FALSE)</f>
        <v>4030502</v>
      </c>
      <c r="H1402" s="127" t="s">
        <v>7152</v>
      </c>
      <c r="I1402" s="128"/>
      <c r="J1402" s="128" t="s">
        <v>3313</v>
      </c>
      <c r="K1402" s="128" t="s">
        <v>4169</v>
      </c>
      <c r="L1402" s="128" t="s">
        <v>4171</v>
      </c>
      <c r="M1402" s="128">
        <v>621551</v>
      </c>
      <c r="N1402" s="108"/>
      <c r="O1402" s="20" t="s">
        <v>4148</v>
      </c>
      <c r="P1402" s="20"/>
      <c r="Q1402" s="20"/>
    </row>
    <row r="1403" spans="1:17" ht="24.9" customHeight="1">
      <c r="A1403" s="20">
        <v>362</v>
      </c>
      <c r="B1403" s="20" t="s">
        <v>4320</v>
      </c>
      <c r="C1403" s="20"/>
      <c r="D1403" s="83" t="s">
        <v>6840</v>
      </c>
      <c r="E1403" s="19" t="str">
        <f>VLOOKUP(D1403,'لیست پرسنل'!$B$2:$E$1020,3,FALSE)</f>
        <v>فکورصنعت</v>
      </c>
      <c r="F1403" s="19" t="str">
        <f>VLOOKUP(D1403,'لیست پرسنل'!$B$2:$E$1020,4,FALSE)</f>
        <v>ایمنی</v>
      </c>
      <c r="G1403" s="127">
        <f>VLOOKUP(D1403,'لیست پرسنل'!$B$2:$F$1020,2,FALSE)</f>
        <v>4030502</v>
      </c>
      <c r="H1403" s="127" t="s">
        <v>7152</v>
      </c>
      <c r="I1403" s="159"/>
      <c r="J1403" s="128" t="s">
        <v>6889</v>
      </c>
      <c r="K1403" s="128" t="s">
        <v>6890</v>
      </c>
      <c r="L1403" s="128" t="s">
        <v>7155</v>
      </c>
      <c r="M1403" s="127" t="s">
        <v>291</v>
      </c>
      <c r="N1403" s="108"/>
      <c r="O1403" s="20"/>
      <c r="P1403" s="20"/>
      <c r="Q1403" s="20"/>
    </row>
    <row r="1404" spans="1:17" ht="24.9" customHeight="1">
      <c r="A1404" s="20">
        <v>362</v>
      </c>
      <c r="B1404" s="20" t="s">
        <v>4320</v>
      </c>
      <c r="C1404" s="19"/>
      <c r="D1404" s="19" t="s">
        <v>6840</v>
      </c>
      <c r="E1404" s="19" t="str">
        <f>VLOOKUP(D1404,'لیست پرسنل'!$B$2:$E$1020,3,FALSE)</f>
        <v>فکورصنعت</v>
      </c>
      <c r="F1404" s="19" t="str">
        <f>VLOOKUP(D1404,'لیست پرسنل'!$B$2:$E$1020,4,FALSE)</f>
        <v>ایمنی</v>
      </c>
      <c r="G1404" s="127">
        <f>VLOOKUP(D1404,'لیست پرسنل'!$B$2:$F$1020,2,FALSE)</f>
        <v>4030502</v>
      </c>
      <c r="H1404" s="151" t="s">
        <v>7116</v>
      </c>
      <c r="I1404" s="127"/>
      <c r="J1404" s="126" t="s">
        <v>368</v>
      </c>
      <c r="K1404" s="128" t="s">
        <v>2846</v>
      </c>
      <c r="L1404" s="127" t="s">
        <v>2354</v>
      </c>
      <c r="M1404" s="128">
        <v>628760</v>
      </c>
      <c r="N1404" s="108"/>
      <c r="O1404" s="19"/>
      <c r="P1404" s="20"/>
      <c r="Q1404" s="20"/>
    </row>
    <row r="1405" spans="1:17" ht="24.9" customHeight="1">
      <c r="A1405" s="20">
        <v>362</v>
      </c>
      <c r="B1405" s="20" t="s">
        <v>4320</v>
      </c>
      <c r="C1405" s="19"/>
      <c r="D1405" s="20" t="s">
        <v>2818</v>
      </c>
      <c r="E1405" s="19" t="str">
        <f>VLOOKUP(D1405,'لیست پرسنل'!$B$2:$E$1020,3,FALSE)</f>
        <v>فکورصنعت</v>
      </c>
      <c r="F1405" s="19" t="str">
        <f>VLOOKUP(D1405,'لیست پرسنل'!$B$2:$E$1020,4,FALSE)</f>
        <v>ابزار دقیق</v>
      </c>
      <c r="G1405" s="127">
        <f>VLOOKUP(D1405,'لیست پرسنل'!$B$2:$F$1020,2,FALSE)</f>
        <v>4001108</v>
      </c>
      <c r="H1405" s="126" t="s">
        <v>3381</v>
      </c>
      <c r="I1405" s="128"/>
      <c r="J1405" s="128" t="s">
        <v>4333</v>
      </c>
      <c r="K1405" s="135" t="s">
        <v>6862</v>
      </c>
      <c r="L1405" s="158" t="s">
        <v>6864</v>
      </c>
      <c r="M1405" s="131">
        <v>634336</v>
      </c>
      <c r="N1405" s="108"/>
      <c r="O1405" s="20"/>
      <c r="P1405" s="20"/>
      <c r="Q1405" s="20"/>
    </row>
    <row r="1406" spans="1:17" ht="24.9" customHeight="1">
      <c r="A1406" s="20">
        <v>362</v>
      </c>
      <c r="B1406" s="20" t="s">
        <v>4320</v>
      </c>
      <c r="C1406" s="19"/>
      <c r="D1406" s="20" t="s">
        <v>3492</v>
      </c>
      <c r="E1406" s="19" t="str">
        <f>VLOOKUP(D1406,'لیست پرسنل'!$B$2:$E$1020,3,FALSE)</f>
        <v>فکورصنعت</v>
      </c>
      <c r="F1406" s="19" t="str">
        <f>VLOOKUP(D1406,'لیست پرسنل'!$B$2:$E$1020,4,FALSE)</f>
        <v>انبار</v>
      </c>
      <c r="G1406" s="127">
        <f>VLOOKUP(D1406,'لیست پرسنل'!$B$2:$F$1020,2,FALSE)</f>
        <v>1520</v>
      </c>
      <c r="H1406" s="126" t="s">
        <v>5004</v>
      </c>
      <c r="I1406" s="128"/>
      <c r="J1406" s="128" t="s">
        <v>3476</v>
      </c>
      <c r="K1406" s="128" t="s">
        <v>4801</v>
      </c>
      <c r="L1406" s="128" t="s">
        <v>4813</v>
      </c>
      <c r="M1406" s="128">
        <v>630675</v>
      </c>
      <c r="N1406" s="108" t="s">
        <v>5005</v>
      </c>
      <c r="O1406" s="20"/>
      <c r="P1406" s="20"/>
      <c r="Q1406" s="20"/>
    </row>
    <row r="1407" spans="1:17" ht="24.9" customHeight="1">
      <c r="A1407" s="20">
        <v>362</v>
      </c>
      <c r="B1407" s="20" t="s">
        <v>4320</v>
      </c>
      <c r="C1407" s="20"/>
      <c r="D1407" s="20" t="s">
        <v>4423</v>
      </c>
      <c r="E1407" s="19" t="str">
        <f>VLOOKUP(D1407,'لیست پرسنل'!$B$2:$E$1020,3,FALSE)</f>
        <v>سارایه</v>
      </c>
      <c r="F1407" s="19" t="str">
        <f>VLOOKUP(D1407,'لیست پرسنل'!$B$2:$E$1020,4,FALSE)</f>
        <v>سوپروایزر</v>
      </c>
      <c r="G1407" s="127" t="str">
        <f>VLOOKUP(D1407,'لیست پرسنل'!$B$2:$F$1020,2,FALSE)</f>
        <v>0</v>
      </c>
      <c r="H1407" s="126" t="s">
        <v>3381</v>
      </c>
      <c r="I1407" s="128"/>
      <c r="J1407" s="126" t="s">
        <v>368</v>
      </c>
      <c r="K1407" s="128" t="s">
        <v>8248</v>
      </c>
      <c r="L1407" s="127" t="s">
        <v>2442</v>
      </c>
      <c r="M1407" s="128">
        <v>628851</v>
      </c>
      <c r="N1407" s="108" t="s">
        <v>345</v>
      </c>
      <c r="O1407" s="20" t="s">
        <v>4425</v>
      </c>
      <c r="P1407" s="20"/>
      <c r="Q1407" s="20"/>
    </row>
    <row r="1408" spans="1:17" ht="24.9" customHeight="1">
      <c r="A1408" s="20">
        <v>362</v>
      </c>
      <c r="B1408" s="20" t="s">
        <v>4320</v>
      </c>
      <c r="C1408" s="20"/>
      <c r="D1408" s="20" t="s">
        <v>3147</v>
      </c>
      <c r="E1408" s="19" t="str">
        <f>VLOOKUP(D1408,'لیست پرسنل'!$B$2:$E$1020,3,FALSE)</f>
        <v>فکورصنعت</v>
      </c>
      <c r="F1408" s="19" t="str">
        <f>VLOOKUP(D1408,'لیست پرسنل'!$B$2:$E$1020,4,FALSE)</f>
        <v>سرپرست واحد کوره ها و گاززدا</v>
      </c>
      <c r="G1408" s="127" t="str">
        <f>VLOOKUP(D1408,'لیست پرسنل'!$B$2:$F$1020,2,FALSE)</f>
        <v>4011101</v>
      </c>
      <c r="H1408" s="126" t="s">
        <v>7821</v>
      </c>
      <c r="I1408" s="128"/>
      <c r="J1408" s="128" t="s">
        <v>3322</v>
      </c>
      <c r="K1408" s="128" t="s">
        <v>7856</v>
      </c>
      <c r="L1408" s="127"/>
      <c r="M1408" s="128" t="s">
        <v>291</v>
      </c>
      <c r="N1408" s="108"/>
      <c r="O1408" s="20"/>
      <c r="P1408" s="20"/>
      <c r="Q1408" s="20"/>
    </row>
    <row r="1409" spans="1:17" ht="24.9" customHeight="1">
      <c r="A1409" s="20">
        <v>362</v>
      </c>
      <c r="B1409" s="20" t="s">
        <v>4320</v>
      </c>
      <c r="C1409" s="20"/>
      <c r="D1409" s="20" t="s">
        <v>3147</v>
      </c>
      <c r="E1409" s="19" t="str">
        <f>VLOOKUP(D1409,'لیست پرسنل'!$B$2:$E$1020,3,FALSE)</f>
        <v>فکورصنعت</v>
      </c>
      <c r="F1409" s="19" t="str">
        <f>VLOOKUP(D1409,'لیست پرسنل'!$B$2:$E$1020,4,FALSE)</f>
        <v>سرپرست واحد کوره ها و گاززدا</v>
      </c>
      <c r="G1409" s="127" t="str">
        <f>VLOOKUP(D1409,'لیست پرسنل'!$B$2:$F$1020,2,FALSE)</f>
        <v>4011101</v>
      </c>
      <c r="H1409" s="126" t="s">
        <v>7821</v>
      </c>
      <c r="I1409" s="128"/>
      <c r="J1409" s="128" t="s">
        <v>3322</v>
      </c>
      <c r="K1409" s="128" t="s">
        <v>7856</v>
      </c>
      <c r="L1409" s="127"/>
      <c r="M1409" s="128" t="s">
        <v>291</v>
      </c>
      <c r="N1409" s="108"/>
      <c r="O1409" s="20"/>
      <c r="P1409" s="20"/>
      <c r="Q1409" s="20"/>
    </row>
    <row r="1410" spans="1:17" ht="24.9" customHeight="1">
      <c r="A1410" s="20">
        <v>362</v>
      </c>
      <c r="B1410" s="20" t="s">
        <v>4320</v>
      </c>
      <c r="C1410" s="20"/>
      <c r="D1410" s="20" t="s">
        <v>3147</v>
      </c>
      <c r="E1410" s="19" t="str">
        <f>VLOOKUP(D1410,'لیست پرسنل'!$B$2:$E$1020,3,FALSE)</f>
        <v>فکورصنعت</v>
      </c>
      <c r="F1410" s="19" t="str">
        <f>VLOOKUP(D1410,'لیست پرسنل'!$B$2:$E$1020,4,FALSE)</f>
        <v>سرپرست واحد کوره ها و گاززدا</v>
      </c>
      <c r="G1410" s="127" t="str">
        <f>VLOOKUP(D1410,'لیست پرسنل'!$B$2:$F$1020,2,FALSE)</f>
        <v>4011101</v>
      </c>
      <c r="H1410" s="126" t="s">
        <v>7821</v>
      </c>
      <c r="I1410" s="128"/>
      <c r="J1410" s="128" t="s">
        <v>5927</v>
      </c>
      <c r="K1410" s="128" t="s">
        <v>7853</v>
      </c>
      <c r="L1410" s="127" t="s">
        <v>7832</v>
      </c>
      <c r="M1410" s="128" t="s">
        <v>291</v>
      </c>
      <c r="N1410" s="108"/>
      <c r="O1410" s="20"/>
      <c r="P1410" s="20"/>
      <c r="Q1410" s="20"/>
    </row>
    <row r="1411" spans="1:17" ht="24.9" customHeight="1">
      <c r="A1411" s="20">
        <v>362</v>
      </c>
      <c r="B1411" s="20" t="s">
        <v>4320</v>
      </c>
      <c r="C1411" s="20"/>
      <c r="D1411" s="20" t="s">
        <v>3147</v>
      </c>
      <c r="E1411" s="19" t="str">
        <f>VLOOKUP(D1411,'لیست پرسنل'!$B$2:$E$1020,3,FALSE)</f>
        <v>فکورصنعت</v>
      </c>
      <c r="F1411" s="19" t="str">
        <f>VLOOKUP(D1411,'لیست پرسنل'!$B$2:$E$1020,4,FALSE)</f>
        <v>سرپرست واحد کوره ها و گاززدا</v>
      </c>
      <c r="G1411" s="127" t="str">
        <f>VLOOKUP(D1411,'لیست پرسنل'!$B$2:$F$1020,2,FALSE)</f>
        <v>4011101</v>
      </c>
      <c r="H1411" s="126" t="s">
        <v>7821</v>
      </c>
      <c r="I1411" s="128"/>
      <c r="J1411" s="128" t="s">
        <v>5927</v>
      </c>
      <c r="K1411" s="128" t="s">
        <v>7853</v>
      </c>
      <c r="L1411" s="127" t="s">
        <v>7833</v>
      </c>
      <c r="M1411" s="128" t="s">
        <v>291</v>
      </c>
      <c r="N1411" s="108"/>
      <c r="O1411" s="20"/>
      <c r="P1411" s="20"/>
      <c r="Q1411" s="20"/>
    </row>
    <row r="1412" spans="1:17" ht="24.9" customHeight="1">
      <c r="A1412" s="20">
        <v>362</v>
      </c>
      <c r="B1412" s="20" t="s">
        <v>4320</v>
      </c>
      <c r="C1412" s="20"/>
      <c r="D1412" s="20" t="s">
        <v>3147</v>
      </c>
      <c r="E1412" s="19" t="str">
        <f>VLOOKUP(D1412,'لیست پرسنل'!$B$2:$E$1020,3,FALSE)</f>
        <v>فکورصنعت</v>
      </c>
      <c r="F1412" s="19" t="str">
        <f>VLOOKUP(D1412,'لیست پرسنل'!$B$2:$E$1020,4,FALSE)</f>
        <v>سرپرست واحد کوره ها و گاززدا</v>
      </c>
      <c r="G1412" s="127" t="str">
        <f>VLOOKUP(D1412,'لیست پرسنل'!$B$2:$F$1020,2,FALSE)</f>
        <v>4011101</v>
      </c>
      <c r="H1412" s="126" t="s">
        <v>7821</v>
      </c>
      <c r="I1412" s="128"/>
      <c r="J1412" s="128" t="s">
        <v>5927</v>
      </c>
      <c r="K1412" s="128" t="s">
        <v>7853</v>
      </c>
      <c r="L1412" s="127" t="s">
        <v>7834</v>
      </c>
      <c r="M1412" s="128" t="s">
        <v>291</v>
      </c>
      <c r="N1412" s="108"/>
      <c r="O1412" s="20"/>
      <c r="P1412" s="20"/>
      <c r="Q1412" s="20"/>
    </row>
    <row r="1413" spans="1:17" ht="24.9" customHeight="1">
      <c r="A1413" s="20">
        <v>362</v>
      </c>
      <c r="B1413" s="20" t="s">
        <v>4320</v>
      </c>
      <c r="C1413" s="20"/>
      <c r="D1413" s="20" t="s">
        <v>3147</v>
      </c>
      <c r="E1413" s="19" t="str">
        <f>VLOOKUP(D1413,'لیست پرسنل'!$B$2:$E$1020,3,FALSE)</f>
        <v>فکورصنعت</v>
      </c>
      <c r="F1413" s="19" t="str">
        <f>VLOOKUP(D1413,'لیست پرسنل'!$B$2:$E$1020,4,FALSE)</f>
        <v>سرپرست واحد کوره ها و گاززدا</v>
      </c>
      <c r="G1413" s="127" t="str">
        <f>VLOOKUP(D1413,'لیست پرسنل'!$B$2:$F$1020,2,FALSE)</f>
        <v>4011101</v>
      </c>
      <c r="H1413" s="126" t="s">
        <v>7821</v>
      </c>
      <c r="I1413" s="128"/>
      <c r="J1413" s="128" t="s">
        <v>5927</v>
      </c>
      <c r="K1413" s="128" t="s">
        <v>7853</v>
      </c>
      <c r="L1413" s="127" t="s">
        <v>7835</v>
      </c>
      <c r="M1413" s="128" t="s">
        <v>291</v>
      </c>
      <c r="N1413" s="108"/>
      <c r="O1413" s="20"/>
      <c r="P1413" s="20"/>
      <c r="Q1413" s="20"/>
    </row>
    <row r="1414" spans="1:17" ht="24.9" customHeight="1">
      <c r="A1414" s="20">
        <v>362</v>
      </c>
      <c r="B1414" s="20" t="s">
        <v>4320</v>
      </c>
      <c r="C1414" s="20"/>
      <c r="D1414" s="20" t="s">
        <v>3147</v>
      </c>
      <c r="E1414" s="19" t="str">
        <f>VLOOKUP(D1414,'لیست پرسنل'!$B$2:$E$1020,3,FALSE)</f>
        <v>فکورصنعت</v>
      </c>
      <c r="F1414" s="19" t="str">
        <f>VLOOKUP(D1414,'لیست پرسنل'!$B$2:$E$1020,4,FALSE)</f>
        <v>سرپرست واحد کوره ها و گاززدا</v>
      </c>
      <c r="G1414" s="127" t="str">
        <f>VLOOKUP(D1414,'لیست پرسنل'!$B$2:$F$1020,2,FALSE)</f>
        <v>4011101</v>
      </c>
      <c r="H1414" s="126" t="s">
        <v>7821</v>
      </c>
      <c r="I1414" s="128"/>
      <c r="J1414" s="128" t="s">
        <v>5927</v>
      </c>
      <c r="K1414" s="128" t="s">
        <v>7853</v>
      </c>
      <c r="L1414" s="127" t="s">
        <v>7836</v>
      </c>
      <c r="M1414" s="128" t="s">
        <v>291</v>
      </c>
      <c r="N1414" s="108"/>
      <c r="O1414" s="20"/>
      <c r="P1414" s="20"/>
      <c r="Q1414" s="20"/>
    </row>
    <row r="1415" spans="1:17" ht="24.9" customHeight="1">
      <c r="A1415" s="20">
        <v>362</v>
      </c>
      <c r="B1415" s="20" t="s">
        <v>4320</v>
      </c>
      <c r="C1415" s="20"/>
      <c r="D1415" s="20" t="s">
        <v>3147</v>
      </c>
      <c r="E1415" s="19" t="str">
        <f>VLOOKUP(D1415,'لیست پرسنل'!$B$2:$E$1020,3,FALSE)</f>
        <v>فکورصنعت</v>
      </c>
      <c r="F1415" s="19" t="str">
        <f>VLOOKUP(D1415,'لیست پرسنل'!$B$2:$E$1020,4,FALSE)</f>
        <v>سرپرست واحد کوره ها و گاززدا</v>
      </c>
      <c r="G1415" s="127" t="str">
        <f>VLOOKUP(D1415,'لیست پرسنل'!$B$2:$F$1020,2,FALSE)</f>
        <v>4011101</v>
      </c>
      <c r="H1415" s="126" t="s">
        <v>7821</v>
      </c>
      <c r="I1415" s="128"/>
      <c r="J1415" s="128" t="s">
        <v>5927</v>
      </c>
      <c r="K1415" s="128" t="s">
        <v>7853</v>
      </c>
      <c r="L1415" s="127" t="s">
        <v>7837</v>
      </c>
      <c r="M1415" s="128" t="s">
        <v>291</v>
      </c>
      <c r="N1415" s="108"/>
      <c r="O1415" s="20"/>
      <c r="P1415" s="20"/>
      <c r="Q1415" s="20"/>
    </row>
    <row r="1416" spans="1:17" ht="24.9" customHeight="1">
      <c r="A1416" s="20">
        <v>362</v>
      </c>
      <c r="B1416" s="20" t="s">
        <v>4320</v>
      </c>
      <c r="C1416" s="20"/>
      <c r="D1416" s="20" t="s">
        <v>3147</v>
      </c>
      <c r="E1416" s="19" t="str">
        <f>VLOOKUP(D1416,'لیست پرسنل'!$B$2:$E$1020,3,FALSE)</f>
        <v>فکورصنعت</v>
      </c>
      <c r="F1416" s="19" t="str">
        <f>VLOOKUP(D1416,'لیست پرسنل'!$B$2:$E$1020,4,FALSE)</f>
        <v>سرپرست واحد کوره ها و گاززدا</v>
      </c>
      <c r="G1416" s="127" t="str">
        <f>VLOOKUP(D1416,'لیست پرسنل'!$B$2:$F$1020,2,FALSE)</f>
        <v>4011101</v>
      </c>
      <c r="H1416" s="126" t="s">
        <v>7821</v>
      </c>
      <c r="I1416" s="128"/>
      <c r="J1416" s="128" t="s">
        <v>5927</v>
      </c>
      <c r="K1416" s="128" t="s">
        <v>7853</v>
      </c>
      <c r="L1416" s="127" t="s">
        <v>7838</v>
      </c>
      <c r="M1416" s="128" t="s">
        <v>291</v>
      </c>
      <c r="N1416" s="108"/>
      <c r="O1416" s="20"/>
      <c r="P1416" s="20"/>
      <c r="Q1416" s="20"/>
    </row>
    <row r="1417" spans="1:17" ht="24.9" customHeight="1">
      <c r="A1417" s="20">
        <v>362</v>
      </c>
      <c r="B1417" s="20" t="s">
        <v>4320</v>
      </c>
      <c r="C1417" s="20"/>
      <c r="D1417" s="20" t="s">
        <v>3147</v>
      </c>
      <c r="E1417" s="19" t="str">
        <f>VLOOKUP(D1417,'لیست پرسنل'!$B$2:$E$1020,3,FALSE)</f>
        <v>فکورصنعت</v>
      </c>
      <c r="F1417" s="19" t="str">
        <f>VLOOKUP(D1417,'لیست پرسنل'!$B$2:$E$1020,4,FALSE)</f>
        <v>سرپرست واحد کوره ها و گاززدا</v>
      </c>
      <c r="G1417" s="127" t="str">
        <f>VLOOKUP(D1417,'لیست پرسنل'!$B$2:$F$1020,2,FALSE)</f>
        <v>4011101</v>
      </c>
      <c r="H1417" s="126" t="s">
        <v>7821</v>
      </c>
      <c r="I1417" s="128"/>
      <c r="J1417" s="128" t="s">
        <v>5927</v>
      </c>
      <c r="K1417" s="128" t="s">
        <v>7853</v>
      </c>
      <c r="L1417" s="127" t="s">
        <v>7839</v>
      </c>
      <c r="M1417" s="128" t="s">
        <v>291</v>
      </c>
      <c r="N1417" s="108"/>
      <c r="O1417" s="20"/>
      <c r="P1417" s="20"/>
      <c r="Q1417" s="20"/>
    </row>
    <row r="1418" spans="1:17" ht="24.9" customHeight="1">
      <c r="A1418" s="20">
        <v>362</v>
      </c>
      <c r="B1418" s="20" t="s">
        <v>4320</v>
      </c>
      <c r="C1418" s="20"/>
      <c r="D1418" s="20" t="s">
        <v>3147</v>
      </c>
      <c r="E1418" s="19" t="str">
        <f>VLOOKUP(D1418,'لیست پرسنل'!$B$2:$E$1020,3,FALSE)</f>
        <v>فکورصنعت</v>
      </c>
      <c r="F1418" s="19" t="str">
        <f>VLOOKUP(D1418,'لیست پرسنل'!$B$2:$E$1020,4,FALSE)</f>
        <v>سرپرست واحد کوره ها و گاززدا</v>
      </c>
      <c r="G1418" s="127" t="str">
        <f>VLOOKUP(D1418,'لیست پرسنل'!$B$2:$F$1020,2,FALSE)</f>
        <v>4011101</v>
      </c>
      <c r="H1418" s="126" t="s">
        <v>7821</v>
      </c>
      <c r="I1418" s="128"/>
      <c r="J1418" s="128" t="s">
        <v>5927</v>
      </c>
      <c r="K1418" s="128" t="s">
        <v>7853</v>
      </c>
      <c r="L1418" s="127" t="s">
        <v>7840</v>
      </c>
      <c r="M1418" s="128" t="s">
        <v>291</v>
      </c>
      <c r="N1418" s="108"/>
      <c r="O1418" s="20"/>
      <c r="P1418" s="20"/>
      <c r="Q1418" s="20"/>
    </row>
    <row r="1419" spans="1:17" ht="24.9" customHeight="1">
      <c r="A1419" s="20">
        <v>362</v>
      </c>
      <c r="B1419" s="20" t="s">
        <v>4320</v>
      </c>
      <c r="C1419" s="20"/>
      <c r="D1419" s="20" t="s">
        <v>3147</v>
      </c>
      <c r="E1419" s="19" t="str">
        <f>VLOOKUP(D1419,'لیست پرسنل'!$B$2:$E$1020,3,FALSE)</f>
        <v>فکورصنعت</v>
      </c>
      <c r="F1419" s="19" t="str">
        <f>VLOOKUP(D1419,'لیست پرسنل'!$B$2:$E$1020,4,FALSE)</f>
        <v>سرپرست واحد کوره ها و گاززدا</v>
      </c>
      <c r="G1419" s="127" t="str">
        <f>VLOOKUP(D1419,'لیست پرسنل'!$B$2:$F$1020,2,FALSE)</f>
        <v>4011101</v>
      </c>
      <c r="H1419" s="126" t="s">
        <v>7821</v>
      </c>
      <c r="I1419" s="128"/>
      <c r="J1419" s="128" t="s">
        <v>5927</v>
      </c>
      <c r="K1419" s="128" t="s">
        <v>7853</v>
      </c>
      <c r="L1419" s="127" t="s">
        <v>7841</v>
      </c>
      <c r="M1419" s="128" t="s">
        <v>291</v>
      </c>
      <c r="N1419" s="108"/>
      <c r="O1419" s="20"/>
      <c r="P1419" s="20"/>
      <c r="Q1419" s="20"/>
    </row>
    <row r="1420" spans="1:17" ht="24.9" customHeight="1">
      <c r="A1420" s="20">
        <v>362</v>
      </c>
      <c r="B1420" s="20" t="s">
        <v>4320</v>
      </c>
      <c r="C1420" s="20"/>
      <c r="D1420" s="20" t="s">
        <v>3147</v>
      </c>
      <c r="E1420" s="19" t="str">
        <f>VLOOKUP(D1420,'لیست پرسنل'!$B$2:$E$1020,3,FALSE)</f>
        <v>فکورصنعت</v>
      </c>
      <c r="F1420" s="19" t="str">
        <f>VLOOKUP(D1420,'لیست پرسنل'!$B$2:$E$1020,4,FALSE)</f>
        <v>سرپرست واحد کوره ها و گاززدا</v>
      </c>
      <c r="G1420" s="127" t="str">
        <f>VLOOKUP(D1420,'لیست پرسنل'!$B$2:$F$1020,2,FALSE)</f>
        <v>4011101</v>
      </c>
      <c r="H1420" s="126" t="s">
        <v>7821</v>
      </c>
      <c r="I1420" s="128"/>
      <c r="J1420" s="128" t="s">
        <v>5927</v>
      </c>
      <c r="K1420" s="128" t="s">
        <v>7853</v>
      </c>
      <c r="L1420" s="127" t="s">
        <v>7842</v>
      </c>
      <c r="M1420" s="128" t="s">
        <v>291</v>
      </c>
      <c r="N1420" s="108"/>
      <c r="O1420" s="20"/>
      <c r="P1420" s="20"/>
      <c r="Q1420" s="20"/>
    </row>
    <row r="1421" spans="1:17" ht="24.9" customHeight="1">
      <c r="A1421" s="20">
        <v>362</v>
      </c>
      <c r="B1421" s="20" t="s">
        <v>4320</v>
      </c>
      <c r="C1421" s="20"/>
      <c r="D1421" s="20" t="s">
        <v>3147</v>
      </c>
      <c r="E1421" s="19" t="str">
        <f>VLOOKUP(D1421,'لیست پرسنل'!$B$2:$E$1020,3,FALSE)</f>
        <v>فکورصنعت</v>
      </c>
      <c r="F1421" s="19" t="str">
        <f>VLOOKUP(D1421,'لیست پرسنل'!$B$2:$E$1020,4,FALSE)</f>
        <v>سرپرست واحد کوره ها و گاززدا</v>
      </c>
      <c r="G1421" s="127" t="str">
        <f>VLOOKUP(D1421,'لیست پرسنل'!$B$2:$F$1020,2,FALSE)</f>
        <v>4011101</v>
      </c>
      <c r="H1421" s="126" t="s">
        <v>7821</v>
      </c>
      <c r="I1421" s="128"/>
      <c r="J1421" s="128" t="s">
        <v>5927</v>
      </c>
      <c r="K1421" s="128" t="s">
        <v>7853</v>
      </c>
      <c r="L1421" s="127" t="s">
        <v>7843</v>
      </c>
      <c r="M1421" s="128" t="s">
        <v>291</v>
      </c>
      <c r="N1421" s="108"/>
      <c r="O1421" s="20"/>
      <c r="P1421" s="20"/>
      <c r="Q1421" s="20"/>
    </row>
    <row r="1422" spans="1:17" ht="24.9" customHeight="1">
      <c r="A1422" s="20">
        <v>362</v>
      </c>
      <c r="B1422" s="20" t="s">
        <v>4320</v>
      </c>
      <c r="C1422" s="20"/>
      <c r="D1422" s="20" t="s">
        <v>3147</v>
      </c>
      <c r="E1422" s="19" t="str">
        <f>VLOOKUP(D1422,'لیست پرسنل'!$B$2:$E$1020,3,FALSE)</f>
        <v>فکورصنعت</v>
      </c>
      <c r="F1422" s="19" t="str">
        <f>VLOOKUP(D1422,'لیست پرسنل'!$B$2:$E$1020,4,FALSE)</f>
        <v>سرپرست واحد کوره ها و گاززدا</v>
      </c>
      <c r="G1422" s="127" t="str">
        <f>VLOOKUP(D1422,'لیست پرسنل'!$B$2:$F$1020,2,FALSE)</f>
        <v>4011101</v>
      </c>
      <c r="H1422" s="126" t="s">
        <v>7821</v>
      </c>
      <c r="I1422" s="128"/>
      <c r="J1422" s="128" t="s">
        <v>5927</v>
      </c>
      <c r="K1422" s="128" t="s">
        <v>7853</v>
      </c>
      <c r="L1422" s="127" t="s">
        <v>7844</v>
      </c>
      <c r="M1422" s="128" t="s">
        <v>291</v>
      </c>
      <c r="N1422" s="108"/>
      <c r="O1422" s="20"/>
      <c r="P1422" s="20"/>
      <c r="Q1422" s="20"/>
    </row>
    <row r="1423" spans="1:17" ht="24.9" customHeight="1">
      <c r="A1423" s="20">
        <v>362</v>
      </c>
      <c r="B1423" s="20" t="s">
        <v>4320</v>
      </c>
      <c r="C1423" s="20"/>
      <c r="D1423" s="20" t="s">
        <v>3147</v>
      </c>
      <c r="E1423" s="19" t="str">
        <f>VLOOKUP(D1423,'لیست پرسنل'!$B$2:$E$1020,3,FALSE)</f>
        <v>فکورصنعت</v>
      </c>
      <c r="F1423" s="19" t="str">
        <f>VLOOKUP(D1423,'لیست پرسنل'!$B$2:$E$1020,4,FALSE)</f>
        <v>سرپرست واحد کوره ها و گاززدا</v>
      </c>
      <c r="G1423" s="127" t="str">
        <f>VLOOKUP(D1423,'لیست پرسنل'!$B$2:$F$1020,2,FALSE)</f>
        <v>4011101</v>
      </c>
      <c r="H1423" s="126" t="s">
        <v>7821</v>
      </c>
      <c r="I1423" s="128"/>
      <c r="J1423" s="128" t="s">
        <v>5927</v>
      </c>
      <c r="K1423" s="128" t="s">
        <v>7853</v>
      </c>
      <c r="L1423" s="127" t="s">
        <v>7845</v>
      </c>
      <c r="M1423" s="128" t="s">
        <v>291</v>
      </c>
      <c r="N1423" s="108"/>
      <c r="O1423" s="20"/>
      <c r="P1423" s="20"/>
      <c r="Q1423" s="20"/>
    </row>
    <row r="1424" spans="1:17" ht="24.9" customHeight="1">
      <c r="A1424" s="20">
        <v>362</v>
      </c>
      <c r="B1424" s="20" t="s">
        <v>4320</v>
      </c>
      <c r="C1424" s="20"/>
      <c r="D1424" s="20" t="s">
        <v>3147</v>
      </c>
      <c r="E1424" s="19" t="str">
        <f>VLOOKUP(D1424,'لیست پرسنل'!$B$2:$E$1020,3,FALSE)</f>
        <v>فکورصنعت</v>
      </c>
      <c r="F1424" s="19" t="str">
        <f>VLOOKUP(D1424,'لیست پرسنل'!$B$2:$E$1020,4,FALSE)</f>
        <v>سرپرست واحد کوره ها و گاززدا</v>
      </c>
      <c r="G1424" s="127" t="str">
        <f>VLOOKUP(D1424,'لیست پرسنل'!$B$2:$F$1020,2,FALSE)</f>
        <v>4011101</v>
      </c>
      <c r="H1424" s="126" t="s">
        <v>7821</v>
      </c>
      <c r="I1424" s="128"/>
      <c r="J1424" s="128" t="s">
        <v>5927</v>
      </c>
      <c r="K1424" s="128" t="s">
        <v>7853</v>
      </c>
      <c r="L1424" s="127" t="s">
        <v>7846</v>
      </c>
      <c r="M1424" s="128" t="s">
        <v>291</v>
      </c>
      <c r="N1424" s="108"/>
      <c r="O1424" s="20"/>
      <c r="P1424" s="20"/>
      <c r="Q1424" s="20"/>
    </row>
    <row r="1425" spans="1:17" ht="24.9" customHeight="1">
      <c r="A1425" s="20">
        <v>362</v>
      </c>
      <c r="B1425" s="20" t="s">
        <v>4320</v>
      </c>
      <c r="C1425" s="20"/>
      <c r="D1425" s="20" t="s">
        <v>3147</v>
      </c>
      <c r="E1425" s="19" t="str">
        <f>VLOOKUP(D1425,'لیست پرسنل'!$B$2:$E$1020,3,FALSE)</f>
        <v>فکورصنعت</v>
      </c>
      <c r="F1425" s="19" t="str">
        <f>VLOOKUP(D1425,'لیست پرسنل'!$B$2:$E$1020,4,FALSE)</f>
        <v>سرپرست واحد کوره ها و گاززدا</v>
      </c>
      <c r="G1425" s="127" t="str">
        <f>VLOOKUP(D1425,'لیست پرسنل'!$B$2:$F$1020,2,FALSE)</f>
        <v>4011101</v>
      </c>
      <c r="H1425" s="126" t="s">
        <v>7821</v>
      </c>
      <c r="I1425" s="128"/>
      <c r="J1425" s="128" t="s">
        <v>5927</v>
      </c>
      <c r="K1425" s="128" t="s">
        <v>7853</v>
      </c>
      <c r="L1425" s="127" t="s">
        <v>7847</v>
      </c>
      <c r="M1425" s="128" t="s">
        <v>291</v>
      </c>
      <c r="N1425" s="108"/>
      <c r="O1425" s="20"/>
      <c r="P1425" s="20"/>
      <c r="Q1425" s="20"/>
    </row>
    <row r="1426" spans="1:17" ht="24.9" customHeight="1">
      <c r="A1426" s="20">
        <v>362</v>
      </c>
      <c r="B1426" s="20" t="s">
        <v>4320</v>
      </c>
      <c r="C1426" s="20"/>
      <c r="D1426" s="20" t="s">
        <v>3147</v>
      </c>
      <c r="E1426" s="19" t="str">
        <f>VLOOKUP(D1426,'لیست پرسنل'!$B$2:$E$1020,3,FALSE)</f>
        <v>فکورصنعت</v>
      </c>
      <c r="F1426" s="19" t="str">
        <f>VLOOKUP(D1426,'لیست پرسنل'!$B$2:$E$1020,4,FALSE)</f>
        <v>سرپرست واحد کوره ها و گاززدا</v>
      </c>
      <c r="G1426" s="127" t="str">
        <f>VLOOKUP(D1426,'لیست پرسنل'!$B$2:$F$1020,2,FALSE)</f>
        <v>4011101</v>
      </c>
      <c r="H1426" s="126" t="s">
        <v>7821</v>
      </c>
      <c r="I1426" s="128"/>
      <c r="J1426" s="128" t="s">
        <v>5927</v>
      </c>
      <c r="K1426" s="128" t="s">
        <v>7853</v>
      </c>
      <c r="L1426" s="127" t="s">
        <v>7848</v>
      </c>
      <c r="M1426" s="128" t="s">
        <v>291</v>
      </c>
      <c r="N1426" s="108"/>
      <c r="O1426" s="20"/>
      <c r="P1426" s="20"/>
      <c r="Q1426" s="20"/>
    </row>
    <row r="1427" spans="1:17" ht="24.9" customHeight="1">
      <c r="A1427" s="20">
        <v>362</v>
      </c>
      <c r="B1427" s="20" t="s">
        <v>4320</v>
      </c>
      <c r="C1427" s="20"/>
      <c r="D1427" s="20" t="s">
        <v>3147</v>
      </c>
      <c r="E1427" s="19" t="str">
        <f>VLOOKUP(D1427,'لیست پرسنل'!$B$2:$E$1020,3,FALSE)</f>
        <v>فکورصنعت</v>
      </c>
      <c r="F1427" s="19" t="str">
        <f>VLOOKUP(D1427,'لیست پرسنل'!$B$2:$E$1020,4,FALSE)</f>
        <v>سرپرست واحد کوره ها و گاززدا</v>
      </c>
      <c r="G1427" s="127" t="str">
        <f>VLOOKUP(D1427,'لیست پرسنل'!$B$2:$F$1020,2,FALSE)</f>
        <v>4011101</v>
      </c>
      <c r="H1427" s="126" t="s">
        <v>7821</v>
      </c>
      <c r="I1427" s="128"/>
      <c r="J1427" s="128" t="s">
        <v>5927</v>
      </c>
      <c r="K1427" s="128" t="s">
        <v>7853</v>
      </c>
      <c r="L1427" s="127" t="s">
        <v>7849</v>
      </c>
      <c r="M1427" s="128" t="s">
        <v>291</v>
      </c>
      <c r="N1427" s="108"/>
      <c r="O1427" s="20"/>
      <c r="P1427" s="20"/>
      <c r="Q1427" s="20"/>
    </row>
    <row r="1428" spans="1:17" ht="24.9" customHeight="1">
      <c r="A1428" s="20">
        <v>362</v>
      </c>
      <c r="B1428" s="20" t="s">
        <v>4320</v>
      </c>
      <c r="C1428" s="20"/>
      <c r="D1428" s="20" t="s">
        <v>3147</v>
      </c>
      <c r="E1428" s="19" t="str">
        <f>VLOOKUP(D1428,'لیست پرسنل'!$B$2:$E$1020,3,FALSE)</f>
        <v>فکورصنعت</v>
      </c>
      <c r="F1428" s="19" t="str">
        <f>VLOOKUP(D1428,'لیست پرسنل'!$B$2:$E$1020,4,FALSE)</f>
        <v>سرپرست واحد کوره ها و گاززدا</v>
      </c>
      <c r="G1428" s="127" t="str">
        <f>VLOOKUP(D1428,'لیست پرسنل'!$B$2:$F$1020,2,FALSE)</f>
        <v>4011101</v>
      </c>
      <c r="H1428" s="126" t="s">
        <v>7821</v>
      </c>
      <c r="I1428" s="128"/>
      <c r="J1428" s="128" t="s">
        <v>5927</v>
      </c>
      <c r="K1428" s="128" t="s">
        <v>7853</v>
      </c>
      <c r="L1428" s="127" t="s">
        <v>7850</v>
      </c>
      <c r="M1428" s="128" t="s">
        <v>291</v>
      </c>
      <c r="N1428" s="108"/>
      <c r="O1428" s="20"/>
      <c r="P1428" s="20"/>
      <c r="Q1428" s="20"/>
    </row>
    <row r="1429" spans="1:17" ht="24.9" customHeight="1">
      <c r="A1429" s="20">
        <v>362</v>
      </c>
      <c r="B1429" s="20" t="s">
        <v>4320</v>
      </c>
      <c r="C1429" s="20"/>
      <c r="D1429" s="20" t="s">
        <v>3147</v>
      </c>
      <c r="E1429" s="19" t="str">
        <f>VLOOKUP(D1429,'لیست پرسنل'!$B$2:$E$1020,3,FALSE)</f>
        <v>فکورصنعت</v>
      </c>
      <c r="F1429" s="19" t="str">
        <f>VLOOKUP(D1429,'لیست پرسنل'!$B$2:$E$1020,4,FALSE)</f>
        <v>سرپرست واحد کوره ها و گاززدا</v>
      </c>
      <c r="G1429" s="127" t="str">
        <f>VLOOKUP(D1429,'لیست پرسنل'!$B$2:$F$1020,2,FALSE)</f>
        <v>4011101</v>
      </c>
      <c r="H1429" s="126" t="s">
        <v>7821</v>
      </c>
      <c r="I1429" s="128"/>
      <c r="J1429" s="128" t="s">
        <v>5927</v>
      </c>
      <c r="K1429" s="128" t="s">
        <v>7853</v>
      </c>
      <c r="L1429" s="127" t="s">
        <v>7851</v>
      </c>
      <c r="M1429" s="128" t="s">
        <v>291</v>
      </c>
      <c r="N1429" s="108"/>
      <c r="O1429" s="20"/>
      <c r="P1429" s="20"/>
      <c r="Q1429" s="20"/>
    </row>
    <row r="1430" spans="1:17" ht="24.9" customHeight="1">
      <c r="A1430" s="20">
        <v>362</v>
      </c>
      <c r="B1430" s="20" t="s">
        <v>4320</v>
      </c>
      <c r="C1430" s="20"/>
      <c r="D1430" s="20" t="s">
        <v>3147</v>
      </c>
      <c r="E1430" s="19" t="str">
        <f>VLOOKUP(D1430,'لیست پرسنل'!$B$2:$E$1020,3,FALSE)</f>
        <v>فکورصنعت</v>
      </c>
      <c r="F1430" s="19" t="str">
        <f>VLOOKUP(D1430,'لیست پرسنل'!$B$2:$E$1020,4,FALSE)</f>
        <v>سرپرست واحد کوره ها و گاززدا</v>
      </c>
      <c r="G1430" s="127" t="str">
        <f>VLOOKUP(D1430,'لیست پرسنل'!$B$2:$F$1020,2,FALSE)</f>
        <v>4011101</v>
      </c>
      <c r="H1430" s="126" t="s">
        <v>7821</v>
      </c>
      <c r="I1430" s="128"/>
      <c r="J1430" s="128" t="s">
        <v>5927</v>
      </c>
      <c r="K1430" s="128" t="s">
        <v>7853</v>
      </c>
      <c r="L1430" s="127" t="s">
        <v>7852</v>
      </c>
      <c r="M1430" s="128" t="s">
        <v>291</v>
      </c>
      <c r="N1430" s="108"/>
      <c r="O1430" s="20"/>
      <c r="P1430" s="20"/>
      <c r="Q1430" s="20"/>
    </row>
    <row r="1431" spans="1:17" ht="24.9" customHeight="1">
      <c r="A1431" s="20">
        <v>362</v>
      </c>
      <c r="B1431" s="20" t="s">
        <v>4320</v>
      </c>
      <c r="C1431" s="20"/>
      <c r="D1431" s="20" t="s">
        <v>3147</v>
      </c>
      <c r="E1431" s="19" t="str">
        <f>VLOOKUP(D1431,'لیست پرسنل'!$B$2:$E$1020,3,FALSE)</f>
        <v>فکورصنعت</v>
      </c>
      <c r="F1431" s="19" t="str">
        <f>VLOOKUP(D1431,'لیست پرسنل'!$B$2:$E$1020,4,FALSE)</f>
        <v>سرپرست واحد کوره ها و گاززدا</v>
      </c>
      <c r="G1431" s="127" t="str">
        <f>VLOOKUP(D1431,'لیست پرسنل'!$B$2:$F$1020,2,FALSE)</f>
        <v>4011101</v>
      </c>
      <c r="H1431" s="126" t="s">
        <v>7821</v>
      </c>
      <c r="I1431" s="128"/>
      <c r="J1431" s="128" t="s">
        <v>5927</v>
      </c>
      <c r="K1431" s="128" t="s">
        <v>7853</v>
      </c>
      <c r="L1431" s="127"/>
      <c r="M1431" s="128" t="s">
        <v>291</v>
      </c>
      <c r="N1431" s="108"/>
      <c r="O1431" s="20"/>
      <c r="P1431" s="20"/>
      <c r="Q1431" s="20"/>
    </row>
    <row r="1432" spans="1:17" ht="24.9" customHeight="1">
      <c r="A1432" s="20">
        <v>362</v>
      </c>
      <c r="B1432" s="20" t="s">
        <v>4320</v>
      </c>
      <c r="C1432" s="20"/>
      <c r="D1432" s="20" t="s">
        <v>3147</v>
      </c>
      <c r="E1432" s="19" t="str">
        <f>VLOOKUP(D1432,'لیست پرسنل'!$B$2:$E$1020,3,FALSE)</f>
        <v>فکورصنعت</v>
      </c>
      <c r="F1432" s="19" t="str">
        <f>VLOOKUP(D1432,'لیست پرسنل'!$B$2:$E$1020,4,FALSE)</f>
        <v>سرپرست واحد کوره ها و گاززدا</v>
      </c>
      <c r="G1432" s="127" t="str">
        <f>VLOOKUP(D1432,'لیست پرسنل'!$B$2:$F$1020,2,FALSE)</f>
        <v>4011101</v>
      </c>
      <c r="H1432" s="126" t="s">
        <v>7821</v>
      </c>
      <c r="I1432" s="128"/>
      <c r="J1432" s="128" t="s">
        <v>5927</v>
      </c>
      <c r="K1432" s="128" t="s">
        <v>7853</v>
      </c>
      <c r="L1432" s="127"/>
      <c r="M1432" s="128" t="s">
        <v>291</v>
      </c>
      <c r="N1432" s="108"/>
      <c r="O1432" s="20"/>
      <c r="P1432" s="20"/>
      <c r="Q1432" s="20"/>
    </row>
    <row r="1433" spans="1:17" ht="24.9" customHeight="1">
      <c r="A1433" s="20">
        <v>362</v>
      </c>
      <c r="B1433" s="20" t="s">
        <v>4320</v>
      </c>
      <c r="C1433" s="20"/>
      <c r="D1433" s="20" t="s">
        <v>3147</v>
      </c>
      <c r="E1433" s="19" t="str">
        <f>VLOOKUP(D1433,'لیست پرسنل'!$B$2:$E$1020,3,FALSE)</f>
        <v>فکورصنعت</v>
      </c>
      <c r="F1433" s="19" t="str">
        <f>VLOOKUP(D1433,'لیست پرسنل'!$B$2:$E$1020,4,FALSE)</f>
        <v>سرپرست واحد کوره ها و گاززدا</v>
      </c>
      <c r="G1433" s="127" t="str">
        <f>VLOOKUP(D1433,'لیست پرسنل'!$B$2:$F$1020,2,FALSE)</f>
        <v>4011101</v>
      </c>
      <c r="H1433" s="126" t="s">
        <v>7821</v>
      </c>
      <c r="I1433" s="128"/>
      <c r="J1433" s="128" t="s">
        <v>5927</v>
      </c>
      <c r="K1433" s="128" t="s">
        <v>7853</v>
      </c>
      <c r="L1433" s="127"/>
      <c r="M1433" s="128" t="s">
        <v>291</v>
      </c>
      <c r="N1433" s="108"/>
      <c r="O1433" s="20"/>
      <c r="P1433" s="20"/>
      <c r="Q1433" s="20"/>
    </row>
    <row r="1434" spans="1:17" ht="24.9" customHeight="1">
      <c r="A1434" s="20">
        <v>362</v>
      </c>
      <c r="B1434" s="20" t="s">
        <v>4320</v>
      </c>
      <c r="C1434" s="20"/>
      <c r="D1434" s="20" t="s">
        <v>3147</v>
      </c>
      <c r="E1434" s="19" t="str">
        <f>VLOOKUP(D1434,'لیست پرسنل'!$B$2:$E$1020,3,FALSE)</f>
        <v>فکورصنعت</v>
      </c>
      <c r="F1434" s="19" t="str">
        <f>VLOOKUP(D1434,'لیست پرسنل'!$B$2:$E$1020,4,FALSE)</f>
        <v>سرپرست واحد کوره ها و گاززدا</v>
      </c>
      <c r="G1434" s="127" t="str">
        <f>VLOOKUP(D1434,'لیست پرسنل'!$B$2:$F$1020,2,FALSE)</f>
        <v>4011101</v>
      </c>
      <c r="H1434" s="126" t="s">
        <v>7821</v>
      </c>
      <c r="I1434" s="128"/>
      <c r="J1434" s="128" t="s">
        <v>5927</v>
      </c>
      <c r="K1434" s="128" t="s">
        <v>7853</v>
      </c>
      <c r="L1434" s="127"/>
      <c r="M1434" s="128" t="s">
        <v>291</v>
      </c>
      <c r="N1434" s="108"/>
      <c r="O1434" s="20"/>
      <c r="P1434" s="20"/>
      <c r="Q1434" s="20"/>
    </row>
    <row r="1435" spans="1:17" ht="24.9" customHeight="1">
      <c r="A1435" s="20">
        <v>362</v>
      </c>
      <c r="B1435" s="20" t="s">
        <v>4320</v>
      </c>
      <c r="C1435" s="20"/>
      <c r="D1435" s="20" t="s">
        <v>3147</v>
      </c>
      <c r="E1435" s="19" t="str">
        <f>VLOOKUP(D1435,'لیست پرسنل'!$B$2:$E$1020,3,FALSE)</f>
        <v>فکورصنعت</v>
      </c>
      <c r="F1435" s="19" t="str">
        <f>VLOOKUP(D1435,'لیست پرسنل'!$B$2:$E$1020,4,FALSE)</f>
        <v>سرپرست واحد کوره ها و گاززدا</v>
      </c>
      <c r="G1435" s="127" t="str">
        <f>VLOOKUP(D1435,'لیست پرسنل'!$B$2:$F$1020,2,FALSE)</f>
        <v>4011101</v>
      </c>
      <c r="H1435" s="126" t="s">
        <v>7821</v>
      </c>
      <c r="I1435" s="128"/>
      <c r="J1435" s="128" t="s">
        <v>5927</v>
      </c>
      <c r="K1435" s="128" t="s">
        <v>7853</v>
      </c>
      <c r="L1435" s="127"/>
      <c r="M1435" s="128" t="s">
        <v>291</v>
      </c>
      <c r="N1435" s="108"/>
      <c r="O1435" s="20"/>
      <c r="P1435" s="20"/>
      <c r="Q1435" s="20"/>
    </row>
    <row r="1436" spans="1:17" ht="24.9" customHeight="1">
      <c r="A1436" s="20">
        <v>362</v>
      </c>
      <c r="B1436" s="20" t="s">
        <v>4320</v>
      </c>
      <c r="C1436" s="20"/>
      <c r="D1436" s="20" t="s">
        <v>3147</v>
      </c>
      <c r="E1436" s="19" t="str">
        <f>VLOOKUP(D1436,'لیست پرسنل'!$B$2:$E$1020,3,FALSE)</f>
        <v>فکورصنعت</v>
      </c>
      <c r="F1436" s="19" t="str">
        <f>VLOOKUP(D1436,'لیست پرسنل'!$B$2:$E$1020,4,FALSE)</f>
        <v>سرپرست واحد کوره ها و گاززدا</v>
      </c>
      <c r="G1436" s="127" t="str">
        <f>VLOOKUP(D1436,'لیست پرسنل'!$B$2:$F$1020,2,FALSE)</f>
        <v>4011101</v>
      </c>
      <c r="H1436" s="126" t="s">
        <v>7821</v>
      </c>
      <c r="I1436" s="128"/>
      <c r="J1436" s="128" t="s">
        <v>5927</v>
      </c>
      <c r="K1436" s="128" t="s">
        <v>7853</v>
      </c>
      <c r="L1436" s="127"/>
      <c r="M1436" s="128" t="s">
        <v>291</v>
      </c>
      <c r="N1436" s="108"/>
      <c r="O1436" s="20"/>
      <c r="P1436" s="20"/>
      <c r="Q1436" s="20"/>
    </row>
    <row r="1437" spans="1:17" ht="24.9" customHeight="1">
      <c r="A1437" s="20">
        <v>362</v>
      </c>
      <c r="B1437" s="20" t="s">
        <v>4320</v>
      </c>
      <c r="C1437" s="20"/>
      <c r="D1437" s="20" t="s">
        <v>3147</v>
      </c>
      <c r="E1437" s="19" t="str">
        <f>VLOOKUP(D1437,'لیست پرسنل'!$B$2:$E$1020,3,FALSE)</f>
        <v>فکورصنعت</v>
      </c>
      <c r="F1437" s="19" t="str">
        <f>VLOOKUP(D1437,'لیست پرسنل'!$B$2:$E$1020,4,FALSE)</f>
        <v>سرپرست واحد کوره ها و گاززدا</v>
      </c>
      <c r="G1437" s="127" t="str">
        <f>VLOOKUP(D1437,'لیست پرسنل'!$B$2:$F$1020,2,FALSE)</f>
        <v>4011101</v>
      </c>
      <c r="H1437" s="126" t="s">
        <v>7821</v>
      </c>
      <c r="I1437" s="128"/>
      <c r="J1437" s="128" t="s">
        <v>5927</v>
      </c>
      <c r="K1437" s="128" t="s">
        <v>7853</v>
      </c>
      <c r="L1437" s="127"/>
      <c r="M1437" s="128" t="s">
        <v>291</v>
      </c>
      <c r="N1437" s="108"/>
      <c r="O1437" s="20"/>
      <c r="P1437" s="20"/>
      <c r="Q1437" s="20"/>
    </row>
    <row r="1438" spans="1:17" ht="24.9" customHeight="1">
      <c r="A1438" s="20">
        <v>362</v>
      </c>
      <c r="B1438" s="20" t="s">
        <v>4320</v>
      </c>
      <c r="C1438" s="20"/>
      <c r="D1438" s="20" t="s">
        <v>3147</v>
      </c>
      <c r="E1438" s="19" t="str">
        <f>VLOOKUP(D1438,'لیست پرسنل'!$B$2:$E$1020,3,FALSE)</f>
        <v>فکورصنعت</v>
      </c>
      <c r="F1438" s="19" t="str">
        <f>VLOOKUP(D1438,'لیست پرسنل'!$B$2:$E$1020,4,FALSE)</f>
        <v>سرپرست واحد کوره ها و گاززدا</v>
      </c>
      <c r="G1438" s="127" t="str">
        <f>VLOOKUP(D1438,'لیست پرسنل'!$B$2:$F$1020,2,FALSE)</f>
        <v>4011101</v>
      </c>
      <c r="H1438" s="126" t="s">
        <v>7821</v>
      </c>
      <c r="I1438" s="128"/>
      <c r="J1438" s="128" t="s">
        <v>5927</v>
      </c>
      <c r="K1438" s="128" t="s">
        <v>7853</v>
      </c>
      <c r="L1438" s="127"/>
      <c r="M1438" s="128" t="s">
        <v>291</v>
      </c>
      <c r="N1438" s="108"/>
      <c r="O1438" s="20"/>
      <c r="P1438" s="20"/>
      <c r="Q1438" s="20"/>
    </row>
    <row r="1439" spans="1:17" ht="24.9" customHeight="1">
      <c r="A1439" s="20">
        <v>362</v>
      </c>
      <c r="B1439" s="20" t="s">
        <v>4320</v>
      </c>
      <c r="C1439" s="20"/>
      <c r="D1439" s="20" t="s">
        <v>3147</v>
      </c>
      <c r="E1439" s="19" t="str">
        <f>VLOOKUP(D1439,'لیست پرسنل'!$B$2:$E$1020,3,FALSE)</f>
        <v>فکورصنعت</v>
      </c>
      <c r="F1439" s="19" t="str">
        <f>VLOOKUP(D1439,'لیست پرسنل'!$B$2:$E$1020,4,FALSE)</f>
        <v>سرپرست واحد کوره ها و گاززدا</v>
      </c>
      <c r="G1439" s="127" t="str">
        <f>VLOOKUP(D1439,'لیست پرسنل'!$B$2:$F$1020,2,FALSE)</f>
        <v>4011101</v>
      </c>
      <c r="H1439" s="126" t="s">
        <v>7821</v>
      </c>
      <c r="I1439" s="128"/>
      <c r="J1439" s="128" t="s">
        <v>5927</v>
      </c>
      <c r="K1439" s="128" t="s">
        <v>7853</v>
      </c>
      <c r="L1439" s="127"/>
      <c r="M1439" s="128" t="s">
        <v>291</v>
      </c>
      <c r="N1439" s="108"/>
      <c r="O1439" s="20"/>
      <c r="P1439" s="20"/>
      <c r="Q1439" s="20"/>
    </row>
    <row r="1440" spans="1:17" ht="24.9" customHeight="1">
      <c r="A1440" s="20">
        <v>362</v>
      </c>
      <c r="B1440" s="20" t="s">
        <v>4320</v>
      </c>
      <c r="C1440" s="20"/>
      <c r="D1440" s="20" t="s">
        <v>3147</v>
      </c>
      <c r="E1440" s="19" t="str">
        <f>VLOOKUP(D1440,'لیست پرسنل'!$B$2:$E$1020,3,FALSE)</f>
        <v>فکورصنعت</v>
      </c>
      <c r="F1440" s="19" t="str">
        <f>VLOOKUP(D1440,'لیست پرسنل'!$B$2:$E$1020,4,FALSE)</f>
        <v>سرپرست واحد کوره ها و گاززدا</v>
      </c>
      <c r="G1440" s="127" t="str">
        <f>VLOOKUP(D1440,'لیست پرسنل'!$B$2:$F$1020,2,FALSE)</f>
        <v>4011101</v>
      </c>
      <c r="H1440" s="126" t="s">
        <v>7821</v>
      </c>
      <c r="I1440" s="128"/>
      <c r="J1440" s="128" t="s">
        <v>5927</v>
      </c>
      <c r="K1440" s="128" t="s">
        <v>7853</v>
      </c>
      <c r="L1440" s="127"/>
      <c r="M1440" s="128" t="s">
        <v>291</v>
      </c>
      <c r="N1440" s="108"/>
      <c r="O1440" s="20"/>
      <c r="P1440" s="20"/>
      <c r="Q1440" s="20"/>
    </row>
    <row r="1441" spans="1:17" ht="24.9" customHeight="1">
      <c r="A1441" s="20">
        <v>362</v>
      </c>
      <c r="B1441" s="20" t="s">
        <v>4320</v>
      </c>
      <c r="C1441" s="20"/>
      <c r="D1441" s="20" t="s">
        <v>3147</v>
      </c>
      <c r="E1441" s="19" t="str">
        <f>VLOOKUP(D1441,'لیست پرسنل'!$B$2:$E$1020,3,FALSE)</f>
        <v>فکورصنعت</v>
      </c>
      <c r="F1441" s="19" t="str">
        <f>VLOOKUP(D1441,'لیست پرسنل'!$B$2:$E$1020,4,FALSE)</f>
        <v>سرپرست واحد کوره ها و گاززدا</v>
      </c>
      <c r="G1441" s="127" t="str">
        <f>VLOOKUP(D1441,'لیست پرسنل'!$B$2:$F$1020,2,FALSE)</f>
        <v>4011101</v>
      </c>
      <c r="H1441" s="126" t="s">
        <v>7821</v>
      </c>
      <c r="I1441" s="128"/>
      <c r="J1441" s="128" t="s">
        <v>5927</v>
      </c>
      <c r="K1441" s="128" t="s">
        <v>7853</v>
      </c>
      <c r="L1441" s="127"/>
      <c r="M1441" s="128" t="s">
        <v>291</v>
      </c>
      <c r="N1441" s="108"/>
      <c r="O1441" s="20"/>
      <c r="P1441" s="20"/>
      <c r="Q1441" s="20"/>
    </row>
    <row r="1442" spans="1:17" ht="24.9" customHeight="1">
      <c r="A1442" s="20">
        <v>362</v>
      </c>
      <c r="B1442" s="20" t="s">
        <v>4320</v>
      </c>
      <c r="C1442" s="20"/>
      <c r="D1442" s="20" t="s">
        <v>3147</v>
      </c>
      <c r="E1442" s="19" t="str">
        <f>VLOOKUP(D1442,'لیست پرسنل'!$B$2:$E$1020,3,FALSE)</f>
        <v>فکورصنعت</v>
      </c>
      <c r="F1442" s="19" t="str">
        <f>VLOOKUP(D1442,'لیست پرسنل'!$B$2:$E$1020,4,FALSE)</f>
        <v>سرپرست واحد کوره ها و گاززدا</v>
      </c>
      <c r="G1442" s="127" t="str">
        <f>VLOOKUP(D1442,'لیست پرسنل'!$B$2:$F$1020,2,FALSE)</f>
        <v>4011101</v>
      </c>
      <c r="H1442" s="126" t="s">
        <v>7821</v>
      </c>
      <c r="I1442" s="128"/>
      <c r="J1442" s="128" t="s">
        <v>5927</v>
      </c>
      <c r="K1442" s="128" t="s">
        <v>7853</v>
      </c>
      <c r="L1442" s="127"/>
      <c r="M1442" s="128" t="s">
        <v>291</v>
      </c>
      <c r="N1442" s="108"/>
      <c r="O1442" s="20"/>
      <c r="P1442" s="20"/>
      <c r="Q1442" s="20"/>
    </row>
    <row r="1443" spans="1:17" ht="24.9" customHeight="1">
      <c r="A1443" s="20">
        <v>362</v>
      </c>
      <c r="B1443" s="20" t="s">
        <v>4320</v>
      </c>
      <c r="C1443" s="20"/>
      <c r="D1443" s="20" t="s">
        <v>3147</v>
      </c>
      <c r="E1443" s="19" t="str">
        <f>VLOOKUP(D1443,'لیست پرسنل'!$B$2:$E$1020,3,FALSE)</f>
        <v>فکورصنعت</v>
      </c>
      <c r="F1443" s="19" t="str">
        <f>VLOOKUP(D1443,'لیست پرسنل'!$B$2:$E$1020,4,FALSE)</f>
        <v>سرپرست واحد کوره ها و گاززدا</v>
      </c>
      <c r="G1443" s="127" t="str">
        <f>VLOOKUP(D1443,'لیست پرسنل'!$B$2:$F$1020,2,FALSE)</f>
        <v>4011101</v>
      </c>
      <c r="H1443" s="126" t="s">
        <v>7821</v>
      </c>
      <c r="I1443" s="128"/>
      <c r="J1443" s="128" t="s">
        <v>5927</v>
      </c>
      <c r="K1443" s="128" t="s">
        <v>7853</v>
      </c>
      <c r="L1443" s="127"/>
      <c r="M1443" s="128" t="s">
        <v>291</v>
      </c>
      <c r="N1443" s="108"/>
      <c r="O1443" s="20"/>
      <c r="P1443" s="20"/>
      <c r="Q1443" s="20"/>
    </row>
    <row r="1444" spans="1:17" ht="24.9" customHeight="1">
      <c r="A1444" s="20">
        <v>362</v>
      </c>
      <c r="B1444" s="20" t="s">
        <v>4320</v>
      </c>
      <c r="C1444" s="20"/>
      <c r="D1444" s="20" t="s">
        <v>3147</v>
      </c>
      <c r="E1444" s="19" t="str">
        <f>VLOOKUP(D1444,'لیست پرسنل'!$B$2:$E$1020,3,FALSE)</f>
        <v>فکورصنعت</v>
      </c>
      <c r="F1444" s="19" t="str">
        <f>VLOOKUP(D1444,'لیست پرسنل'!$B$2:$E$1020,4,FALSE)</f>
        <v>سرپرست واحد کوره ها و گاززدا</v>
      </c>
      <c r="G1444" s="127" t="str">
        <f>VLOOKUP(D1444,'لیست پرسنل'!$B$2:$F$1020,2,FALSE)</f>
        <v>4011101</v>
      </c>
      <c r="H1444" s="126" t="s">
        <v>7821</v>
      </c>
      <c r="I1444" s="128"/>
      <c r="J1444" s="128" t="s">
        <v>5927</v>
      </c>
      <c r="K1444" s="128" t="s">
        <v>7853</v>
      </c>
      <c r="L1444" s="127"/>
      <c r="M1444" s="128" t="s">
        <v>291</v>
      </c>
      <c r="N1444" s="108"/>
      <c r="O1444" s="20"/>
      <c r="P1444" s="20"/>
      <c r="Q1444" s="20"/>
    </row>
    <row r="1445" spans="1:17" ht="24.9" customHeight="1">
      <c r="A1445" s="20">
        <v>362</v>
      </c>
      <c r="B1445" s="20" t="s">
        <v>4320</v>
      </c>
      <c r="C1445" s="20"/>
      <c r="D1445" s="20" t="s">
        <v>3147</v>
      </c>
      <c r="E1445" s="19" t="str">
        <f>VLOOKUP(D1445,'لیست پرسنل'!$B$2:$E$1020,3,FALSE)</f>
        <v>فکورصنعت</v>
      </c>
      <c r="F1445" s="19" t="str">
        <f>VLOOKUP(D1445,'لیست پرسنل'!$B$2:$E$1020,4,FALSE)</f>
        <v>سرپرست واحد کوره ها و گاززدا</v>
      </c>
      <c r="G1445" s="127" t="str">
        <f>VLOOKUP(D1445,'لیست پرسنل'!$B$2:$F$1020,2,FALSE)</f>
        <v>4011101</v>
      </c>
      <c r="H1445" s="126" t="s">
        <v>7821</v>
      </c>
      <c r="I1445" s="128"/>
      <c r="J1445" s="128" t="s">
        <v>5927</v>
      </c>
      <c r="K1445" s="128" t="s">
        <v>7853</v>
      </c>
      <c r="L1445" s="127"/>
      <c r="M1445" s="128" t="s">
        <v>291</v>
      </c>
      <c r="N1445" s="108"/>
      <c r="O1445" s="20"/>
      <c r="P1445" s="20"/>
      <c r="Q1445" s="20"/>
    </row>
    <row r="1446" spans="1:17" ht="24.9" customHeight="1">
      <c r="A1446" s="20">
        <v>362</v>
      </c>
      <c r="B1446" s="20" t="s">
        <v>4320</v>
      </c>
      <c r="C1446" s="20"/>
      <c r="D1446" s="20" t="s">
        <v>3147</v>
      </c>
      <c r="E1446" s="19" t="str">
        <f>VLOOKUP(D1446,'لیست پرسنل'!$B$2:$E$1020,3,FALSE)</f>
        <v>فکورصنعت</v>
      </c>
      <c r="F1446" s="19" t="str">
        <f>VLOOKUP(D1446,'لیست پرسنل'!$B$2:$E$1020,4,FALSE)</f>
        <v>سرپرست واحد کوره ها و گاززدا</v>
      </c>
      <c r="G1446" s="127" t="str">
        <f>VLOOKUP(D1446,'لیست پرسنل'!$B$2:$F$1020,2,FALSE)</f>
        <v>4011101</v>
      </c>
      <c r="H1446" s="126" t="s">
        <v>7821</v>
      </c>
      <c r="I1446" s="128"/>
      <c r="J1446" s="128" t="s">
        <v>5927</v>
      </c>
      <c r="K1446" s="128" t="s">
        <v>7853</v>
      </c>
      <c r="L1446" s="127"/>
      <c r="M1446" s="128" t="s">
        <v>291</v>
      </c>
      <c r="N1446" s="108"/>
      <c r="O1446" s="20"/>
      <c r="P1446" s="20"/>
      <c r="Q1446" s="20"/>
    </row>
    <row r="1447" spans="1:17" ht="24.9" customHeight="1">
      <c r="A1447" s="20">
        <v>362</v>
      </c>
      <c r="B1447" s="20" t="s">
        <v>4320</v>
      </c>
      <c r="C1447" s="20"/>
      <c r="D1447" s="20" t="s">
        <v>3147</v>
      </c>
      <c r="E1447" s="19" t="str">
        <f>VLOOKUP(D1447,'لیست پرسنل'!$B$2:$E$1020,3,FALSE)</f>
        <v>فکورصنعت</v>
      </c>
      <c r="F1447" s="19" t="str">
        <f>VLOOKUP(D1447,'لیست پرسنل'!$B$2:$E$1020,4,FALSE)</f>
        <v>سرپرست واحد کوره ها و گاززدا</v>
      </c>
      <c r="G1447" s="127" t="str">
        <f>VLOOKUP(D1447,'لیست پرسنل'!$B$2:$F$1020,2,FALSE)</f>
        <v>4011101</v>
      </c>
      <c r="H1447" s="126" t="s">
        <v>7821</v>
      </c>
      <c r="I1447" s="128"/>
      <c r="J1447" s="128" t="s">
        <v>5927</v>
      </c>
      <c r="K1447" s="128" t="s">
        <v>7853</v>
      </c>
      <c r="L1447" s="127"/>
      <c r="M1447" s="128" t="s">
        <v>291</v>
      </c>
      <c r="N1447" s="108"/>
      <c r="O1447" s="20"/>
      <c r="P1447" s="20"/>
      <c r="Q1447" s="20"/>
    </row>
    <row r="1448" spans="1:17" ht="24.9" customHeight="1">
      <c r="A1448" s="20">
        <v>362</v>
      </c>
      <c r="B1448" s="20" t="s">
        <v>4320</v>
      </c>
      <c r="C1448" s="20"/>
      <c r="D1448" s="20" t="s">
        <v>3147</v>
      </c>
      <c r="E1448" s="19" t="str">
        <f>VLOOKUP(D1448,'لیست پرسنل'!$B$2:$E$1020,3,FALSE)</f>
        <v>فکورصنعت</v>
      </c>
      <c r="F1448" s="19" t="str">
        <f>VLOOKUP(D1448,'لیست پرسنل'!$B$2:$E$1020,4,FALSE)</f>
        <v>سرپرست واحد کوره ها و گاززدا</v>
      </c>
      <c r="G1448" s="127" t="str">
        <f>VLOOKUP(D1448,'لیست پرسنل'!$B$2:$F$1020,2,FALSE)</f>
        <v>4011101</v>
      </c>
      <c r="H1448" s="126" t="s">
        <v>7821</v>
      </c>
      <c r="I1448" s="128"/>
      <c r="J1448" s="128" t="s">
        <v>5927</v>
      </c>
      <c r="K1448" s="128" t="s">
        <v>7853</v>
      </c>
      <c r="L1448" s="127"/>
      <c r="M1448" s="128" t="s">
        <v>291</v>
      </c>
      <c r="N1448" s="108"/>
      <c r="O1448" s="20"/>
      <c r="P1448" s="20"/>
      <c r="Q1448" s="20"/>
    </row>
    <row r="1449" spans="1:17" ht="24.9" customHeight="1">
      <c r="A1449" s="20">
        <v>362</v>
      </c>
      <c r="B1449" s="20" t="s">
        <v>4320</v>
      </c>
      <c r="C1449" s="20"/>
      <c r="D1449" s="20" t="s">
        <v>3147</v>
      </c>
      <c r="E1449" s="19" t="str">
        <f>VLOOKUP(D1449,'لیست پرسنل'!$B$2:$E$1020,3,FALSE)</f>
        <v>فکورصنعت</v>
      </c>
      <c r="F1449" s="19" t="str">
        <f>VLOOKUP(D1449,'لیست پرسنل'!$B$2:$E$1020,4,FALSE)</f>
        <v>سرپرست واحد کوره ها و گاززدا</v>
      </c>
      <c r="G1449" s="127" t="str">
        <f>VLOOKUP(D1449,'لیست پرسنل'!$B$2:$F$1020,2,FALSE)</f>
        <v>4011101</v>
      </c>
      <c r="H1449" s="126" t="s">
        <v>7821</v>
      </c>
      <c r="I1449" s="128"/>
      <c r="J1449" s="128" t="s">
        <v>5927</v>
      </c>
      <c r="K1449" s="128" t="s">
        <v>7853</v>
      </c>
      <c r="L1449" s="127"/>
      <c r="M1449" s="128" t="s">
        <v>291</v>
      </c>
      <c r="N1449" s="108"/>
      <c r="O1449" s="20"/>
      <c r="P1449" s="20"/>
      <c r="Q1449" s="20"/>
    </row>
    <row r="1450" spans="1:17" ht="24.9" customHeight="1">
      <c r="A1450" s="20">
        <v>362</v>
      </c>
      <c r="B1450" s="20" t="s">
        <v>4320</v>
      </c>
      <c r="C1450" s="20"/>
      <c r="D1450" s="20" t="s">
        <v>3147</v>
      </c>
      <c r="E1450" s="19" t="str">
        <f>VLOOKUP(D1450,'لیست پرسنل'!$B$2:$E$1020,3,FALSE)</f>
        <v>فکورصنعت</v>
      </c>
      <c r="F1450" s="19" t="str">
        <f>VLOOKUP(D1450,'لیست پرسنل'!$B$2:$E$1020,4,FALSE)</f>
        <v>سرپرست واحد کوره ها و گاززدا</v>
      </c>
      <c r="G1450" s="127" t="str">
        <f>VLOOKUP(D1450,'لیست پرسنل'!$B$2:$F$1020,2,FALSE)</f>
        <v>4011101</v>
      </c>
      <c r="H1450" s="126" t="s">
        <v>7821</v>
      </c>
      <c r="I1450" s="128"/>
      <c r="J1450" s="128" t="s">
        <v>5927</v>
      </c>
      <c r="K1450" s="128" t="s">
        <v>7853</v>
      </c>
      <c r="L1450" s="127"/>
      <c r="M1450" s="128" t="s">
        <v>291</v>
      </c>
      <c r="N1450" s="108"/>
      <c r="O1450" s="20"/>
      <c r="P1450" s="20"/>
      <c r="Q1450" s="20"/>
    </row>
    <row r="1451" spans="1:17" ht="24.9" customHeight="1">
      <c r="A1451" s="20">
        <v>362</v>
      </c>
      <c r="B1451" s="20" t="s">
        <v>4320</v>
      </c>
      <c r="C1451" s="20"/>
      <c r="D1451" s="20" t="s">
        <v>3147</v>
      </c>
      <c r="E1451" s="19" t="str">
        <f>VLOOKUP(D1451,'لیست پرسنل'!$B$2:$E$1020,3,FALSE)</f>
        <v>فکورصنعت</v>
      </c>
      <c r="F1451" s="19" t="str">
        <f>VLOOKUP(D1451,'لیست پرسنل'!$B$2:$E$1020,4,FALSE)</f>
        <v>سرپرست واحد کوره ها و گاززدا</v>
      </c>
      <c r="G1451" s="127" t="str">
        <f>VLOOKUP(D1451,'لیست پرسنل'!$B$2:$F$1020,2,FALSE)</f>
        <v>4011101</v>
      </c>
      <c r="H1451" s="126" t="s">
        <v>7821</v>
      </c>
      <c r="I1451" s="128"/>
      <c r="J1451" s="128" t="s">
        <v>5927</v>
      </c>
      <c r="K1451" s="128" t="s">
        <v>7853</v>
      </c>
      <c r="L1451" s="127"/>
      <c r="M1451" s="128" t="s">
        <v>291</v>
      </c>
      <c r="N1451" s="108"/>
      <c r="O1451" s="20"/>
      <c r="P1451" s="20"/>
      <c r="Q1451" s="20"/>
    </row>
    <row r="1452" spans="1:17" ht="24.9" customHeight="1">
      <c r="A1452" s="20">
        <v>362</v>
      </c>
      <c r="B1452" s="20" t="s">
        <v>4320</v>
      </c>
      <c r="C1452" s="20"/>
      <c r="D1452" s="20" t="s">
        <v>3147</v>
      </c>
      <c r="E1452" s="19" t="str">
        <f>VLOOKUP(D1452,'لیست پرسنل'!$B$2:$E$1020,3,FALSE)</f>
        <v>فکورصنعت</v>
      </c>
      <c r="F1452" s="19" t="str">
        <f>VLOOKUP(D1452,'لیست پرسنل'!$B$2:$E$1020,4,FALSE)</f>
        <v>سرپرست واحد کوره ها و گاززدا</v>
      </c>
      <c r="G1452" s="127" t="str">
        <f>VLOOKUP(D1452,'لیست پرسنل'!$B$2:$F$1020,2,FALSE)</f>
        <v>4011101</v>
      </c>
      <c r="H1452" s="126" t="s">
        <v>7821</v>
      </c>
      <c r="I1452" s="128"/>
      <c r="J1452" s="128" t="s">
        <v>5927</v>
      </c>
      <c r="K1452" s="128" t="s">
        <v>7853</v>
      </c>
      <c r="L1452" s="127"/>
      <c r="M1452" s="128" t="s">
        <v>291</v>
      </c>
      <c r="N1452" s="108"/>
      <c r="O1452" s="20"/>
      <c r="P1452" s="20"/>
      <c r="Q1452" s="20"/>
    </row>
    <row r="1453" spans="1:17" ht="24.9" customHeight="1">
      <c r="A1453" s="20">
        <v>362</v>
      </c>
      <c r="B1453" s="20" t="s">
        <v>4320</v>
      </c>
      <c r="C1453" s="20"/>
      <c r="D1453" s="20" t="s">
        <v>3147</v>
      </c>
      <c r="E1453" s="19" t="str">
        <f>VLOOKUP(D1453,'لیست پرسنل'!$B$2:$E$1020,3,FALSE)</f>
        <v>فکورصنعت</v>
      </c>
      <c r="F1453" s="19" t="str">
        <f>VLOOKUP(D1453,'لیست پرسنل'!$B$2:$E$1020,4,FALSE)</f>
        <v>سرپرست واحد کوره ها و گاززدا</v>
      </c>
      <c r="G1453" s="127" t="str">
        <f>VLOOKUP(D1453,'لیست پرسنل'!$B$2:$F$1020,2,FALSE)</f>
        <v>4011101</v>
      </c>
      <c r="H1453" s="126" t="s">
        <v>7821</v>
      </c>
      <c r="I1453" s="128"/>
      <c r="J1453" s="128" t="s">
        <v>5927</v>
      </c>
      <c r="K1453" s="128" t="s">
        <v>7853</v>
      </c>
      <c r="L1453" s="127"/>
      <c r="M1453" s="128" t="s">
        <v>291</v>
      </c>
      <c r="N1453" s="108"/>
      <c r="O1453" s="20"/>
      <c r="P1453" s="20"/>
      <c r="Q1453" s="20"/>
    </row>
    <row r="1454" spans="1:17" ht="24.9" customHeight="1">
      <c r="A1454" s="20">
        <v>362</v>
      </c>
      <c r="B1454" s="20" t="s">
        <v>4320</v>
      </c>
      <c r="C1454" s="20"/>
      <c r="D1454" s="20" t="s">
        <v>3147</v>
      </c>
      <c r="E1454" s="19" t="str">
        <f>VLOOKUP(D1454,'لیست پرسنل'!$B$2:$E$1020,3,FALSE)</f>
        <v>فکورصنعت</v>
      </c>
      <c r="F1454" s="19" t="str">
        <f>VLOOKUP(D1454,'لیست پرسنل'!$B$2:$E$1020,4,FALSE)</f>
        <v>سرپرست واحد کوره ها و گاززدا</v>
      </c>
      <c r="G1454" s="127" t="str">
        <f>VLOOKUP(D1454,'لیست پرسنل'!$B$2:$F$1020,2,FALSE)</f>
        <v>4011101</v>
      </c>
      <c r="H1454" s="126" t="s">
        <v>7821</v>
      </c>
      <c r="I1454" s="128"/>
      <c r="J1454" s="128" t="s">
        <v>5927</v>
      </c>
      <c r="K1454" s="128" t="s">
        <v>7853</v>
      </c>
      <c r="L1454" s="127"/>
      <c r="M1454" s="128" t="s">
        <v>291</v>
      </c>
      <c r="N1454" s="108"/>
      <c r="O1454" s="20"/>
      <c r="P1454" s="20"/>
      <c r="Q1454" s="20"/>
    </row>
    <row r="1455" spans="1:17" ht="24.9" customHeight="1">
      <c r="A1455" s="20">
        <v>362</v>
      </c>
      <c r="B1455" s="20" t="s">
        <v>4320</v>
      </c>
      <c r="C1455" s="20"/>
      <c r="D1455" s="20" t="s">
        <v>3147</v>
      </c>
      <c r="E1455" s="19" t="str">
        <f>VLOOKUP(D1455,'لیست پرسنل'!$B$2:$E$1020,3,FALSE)</f>
        <v>فکورصنعت</v>
      </c>
      <c r="F1455" s="19" t="str">
        <f>VLOOKUP(D1455,'لیست پرسنل'!$B$2:$E$1020,4,FALSE)</f>
        <v>سرپرست واحد کوره ها و گاززدا</v>
      </c>
      <c r="G1455" s="127" t="str">
        <f>VLOOKUP(D1455,'لیست پرسنل'!$B$2:$F$1020,2,FALSE)</f>
        <v>4011101</v>
      </c>
      <c r="H1455" s="126" t="s">
        <v>7821</v>
      </c>
      <c r="I1455" s="128"/>
      <c r="J1455" s="128" t="s">
        <v>5927</v>
      </c>
      <c r="K1455" s="128" t="s">
        <v>7853</v>
      </c>
      <c r="L1455" s="127"/>
      <c r="M1455" s="128" t="s">
        <v>291</v>
      </c>
      <c r="N1455" s="108"/>
      <c r="O1455" s="20"/>
      <c r="P1455" s="20"/>
      <c r="Q1455" s="20"/>
    </row>
    <row r="1456" spans="1:17" ht="24.9" customHeight="1">
      <c r="A1456" s="20">
        <v>362</v>
      </c>
      <c r="B1456" s="20" t="s">
        <v>4320</v>
      </c>
      <c r="C1456" s="20"/>
      <c r="D1456" s="20" t="s">
        <v>3147</v>
      </c>
      <c r="E1456" s="19" t="str">
        <f>VLOOKUP(D1456,'لیست پرسنل'!$B$2:$E$1020,3,FALSE)</f>
        <v>فکورصنعت</v>
      </c>
      <c r="F1456" s="19" t="str">
        <f>VLOOKUP(D1456,'لیست پرسنل'!$B$2:$E$1020,4,FALSE)</f>
        <v>سرپرست واحد کوره ها و گاززدا</v>
      </c>
      <c r="G1456" s="127" t="str">
        <f>VLOOKUP(D1456,'لیست پرسنل'!$B$2:$F$1020,2,FALSE)</f>
        <v>4011101</v>
      </c>
      <c r="H1456" s="126" t="s">
        <v>7821</v>
      </c>
      <c r="I1456" s="128"/>
      <c r="J1456" s="128" t="s">
        <v>5927</v>
      </c>
      <c r="K1456" s="128" t="s">
        <v>7853</v>
      </c>
      <c r="L1456" s="127"/>
      <c r="M1456" s="128" t="s">
        <v>291</v>
      </c>
      <c r="N1456" s="108"/>
      <c r="O1456" s="20"/>
      <c r="P1456" s="20"/>
      <c r="Q1456" s="20"/>
    </row>
    <row r="1457" spans="1:17" ht="24.9" customHeight="1">
      <c r="A1457" s="20">
        <v>362</v>
      </c>
      <c r="B1457" s="20" t="s">
        <v>4320</v>
      </c>
      <c r="C1457" s="20"/>
      <c r="D1457" s="20" t="s">
        <v>3147</v>
      </c>
      <c r="E1457" s="19" t="str">
        <f>VLOOKUP(D1457,'لیست پرسنل'!$B$2:$E$1020,3,FALSE)</f>
        <v>فکورصنعت</v>
      </c>
      <c r="F1457" s="19" t="str">
        <f>VLOOKUP(D1457,'لیست پرسنل'!$B$2:$E$1020,4,FALSE)</f>
        <v>سرپرست واحد کوره ها و گاززدا</v>
      </c>
      <c r="G1457" s="127" t="str">
        <f>VLOOKUP(D1457,'لیست پرسنل'!$B$2:$F$1020,2,FALSE)</f>
        <v>4011101</v>
      </c>
      <c r="H1457" s="126" t="s">
        <v>7821</v>
      </c>
      <c r="I1457" s="128"/>
      <c r="J1457" s="128" t="s">
        <v>5927</v>
      </c>
      <c r="K1457" s="128" t="s">
        <v>7853</v>
      </c>
      <c r="L1457" s="127"/>
      <c r="M1457" s="128" t="s">
        <v>291</v>
      </c>
      <c r="N1457" s="108"/>
      <c r="O1457" s="20"/>
      <c r="P1457" s="20"/>
      <c r="Q1457" s="20"/>
    </row>
    <row r="1458" spans="1:17" ht="24.9" customHeight="1">
      <c r="A1458" s="20">
        <v>362</v>
      </c>
      <c r="B1458" s="20" t="s">
        <v>4320</v>
      </c>
      <c r="C1458" s="20"/>
      <c r="D1458" s="20" t="s">
        <v>3147</v>
      </c>
      <c r="E1458" s="19" t="str">
        <f>VLOOKUP(D1458,'لیست پرسنل'!$B$2:$E$1020,3,FALSE)</f>
        <v>فکورصنعت</v>
      </c>
      <c r="F1458" s="19" t="str">
        <f>VLOOKUP(D1458,'لیست پرسنل'!$B$2:$E$1020,4,FALSE)</f>
        <v>سرپرست واحد کوره ها و گاززدا</v>
      </c>
      <c r="G1458" s="127" t="str">
        <f>VLOOKUP(D1458,'لیست پرسنل'!$B$2:$F$1020,2,FALSE)</f>
        <v>4011101</v>
      </c>
      <c r="H1458" s="126" t="s">
        <v>7821</v>
      </c>
      <c r="I1458" s="128"/>
      <c r="J1458" s="128" t="s">
        <v>5927</v>
      </c>
      <c r="K1458" s="128" t="s">
        <v>7853</v>
      </c>
      <c r="L1458" s="127"/>
      <c r="M1458" s="128" t="s">
        <v>291</v>
      </c>
      <c r="N1458" s="108"/>
      <c r="O1458" s="20"/>
      <c r="P1458" s="20"/>
      <c r="Q1458" s="20"/>
    </row>
    <row r="1459" spans="1:17" ht="24.9" customHeight="1">
      <c r="A1459" s="20">
        <v>362</v>
      </c>
      <c r="B1459" s="20" t="s">
        <v>4320</v>
      </c>
      <c r="C1459" s="20"/>
      <c r="D1459" s="20" t="s">
        <v>3147</v>
      </c>
      <c r="E1459" s="19" t="str">
        <f>VLOOKUP(D1459,'لیست پرسنل'!$B$2:$E$1020,3,FALSE)</f>
        <v>فکورصنعت</v>
      </c>
      <c r="F1459" s="19" t="str">
        <f>VLOOKUP(D1459,'لیست پرسنل'!$B$2:$E$1020,4,FALSE)</f>
        <v>سرپرست واحد کوره ها و گاززدا</v>
      </c>
      <c r="G1459" s="127" t="str">
        <f>VLOOKUP(D1459,'لیست پرسنل'!$B$2:$F$1020,2,FALSE)</f>
        <v>4011101</v>
      </c>
      <c r="H1459" s="126" t="s">
        <v>7821</v>
      </c>
      <c r="I1459" s="128"/>
      <c r="J1459" s="128" t="s">
        <v>5927</v>
      </c>
      <c r="K1459" s="128" t="s">
        <v>7853</v>
      </c>
      <c r="L1459" s="127"/>
      <c r="M1459" s="128" t="s">
        <v>291</v>
      </c>
      <c r="N1459" s="108"/>
      <c r="O1459" s="20"/>
      <c r="P1459" s="20"/>
      <c r="Q1459" s="20"/>
    </row>
    <row r="1460" spans="1:17" ht="24.9" customHeight="1">
      <c r="A1460" s="20">
        <v>362</v>
      </c>
      <c r="B1460" s="20" t="s">
        <v>4320</v>
      </c>
      <c r="C1460" s="20"/>
      <c r="D1460" s="20" t="s">
        <v>3147</v>
      </c>
      <c r="E1460" s="19" t="str">
        <f>VLOOKUP(D1460,'لیست پرسنل'!$B$2:$E$1020,3,FALSE)</f>
        <v>فکورصنعت</v>
      </c>
      <c r="F1460" s="19" t="str">
        <f>VLOOKUP(D1460,'لیست پرسنل'!$B$2:$E$1020,4,FALSE)</f>
        <v>سرپرست واحد کوره ها و گاززدا</v>
      </c>
      <c r="G1460" s="127" t="str">
        <f>VLOOKUP(D1460,'لیست پرسنل'!$B$2:$F$1020,2,FALSE)</f>
        <v>4011101</v>
      </c>
      <c r="H1460" s="126" t="s">
        <v>7821</v>
      </c>
      <c r="I1460" s="128"/>
      <c r="J1460" s="128" t="s">
        <v>5927</v>
      </c>
      <c r="K1460" s="128" t="s">
        <v>7853</v>
      </c>
      <c r="L1460" s="127"/>
      <c r="M1460" s="128" t="s">
        <v>291</v>
      </c>
      <c r="N1460" s="108"/>
      <c r="O1460" s="20"/>
      <c r="P1460" s="20"/>
      <c r="Q1460" s="20"/>
    </row>
    <row r="1461" spans="1:17" ht="24.9" customHeight="1">
      <c r="A1461" s="20">
        <v>362</v>
      </c>
      <c r="B1461" s="20" t="s">
        <v>4320</v>
      </c>
      <c r="C1461" s="20"/>
      <c r="D1461" s="20" t="s">
        <v>3147</v>
      </c>
      <c r="E1461" s="19" t="str">
        <f>VLOOKUP(D1461,'لیست پرسنل'!$B$2:$E$1020,3,FALSE)</f>
        <v>فکورصنعت</v>
      </c>
      <c r="F1461" s="19" t="str">
        <f>VLOOKUP(D1461,'لیست پرسنل'!$B$2:$E$1020,4,FALSE)</f>
        <v>سرپرست واحد کوره ها و گاززدا</v>
      </c>
      <c r="G1461" s="127" t="str">
        <f>VLOOKUP(D1461,'لیست پرسنل'!$B$2:$F$1020,2,FALSE)</f>
        <v>4011101</v>
      </c>
      <c r="H1461" s="126" t="s">
        <v>7821</v>
      </c>
      <c r="I1461" s="128"/>
      <c r="J1461" s="128" t="s">
        <v>5927</v>
      </c>
      <c r="K1461" s="128" t="s">
        <v>7854</v>
      </c>
      <c r="L1461" s="127"/>
      <c r="M1461" s="128" t="s">
        <v>291</v>
      </c>
      <c r="N1461" s="108"/>
      <c r="O1461" s="20"/>
      <c r="P1461" s="20"/>
      <c r="Q1461" s="20"/>
    </row>
    <row r="1462" spans="1:17" ht="24.9" customHeight="1">
      <c r="A1462" s="20">
        <v>362</v>
      </c>
      <c r="B1462" s="20" t="s">
        <v>4320</v>
      </c>
      <c r="C1462" s="20"/>
      <c r="D1462" s="20" t="s">
        <v>3147</v>
      </c>
      <c r="E1462" s="19" t="str">
        <f>VLOOKUP(D1462,'لیست پرسنل'!$B$2:$E$1020,3,FALSE)</f>
        <v>فکورصنعت</v>
      </c>
      <c r="F1462" s="19" t="str">
        <f>VLOOKUP(D1462,'لیست پرسنل'!$B$2:$E$1020,4,FALSE)</f>
        <v>سرپرست واحد کوره ها و گاززدا</v>
      </c>
      <c r="G1462" s="127" t="str">
        <f>VLOOKUP(D1462,'لیست پرسنل'!$B$2:$F$1020,2,FALSE)</f>
        <v>4011101</v>
      </c>
      <c r="H1462" s="126" t="s">
        <v>7821</v>
      </c>
      <c r="I1462" s="128"/>
      <c r="J1462" s="128" t="s">
        <v>5927</v>
      </c>
      <c r="K1462" s="128" t="s">
        <v>7854</v>
      </c>
      <c r="L1462" s="127"/>
      <c r="M1462" s="128" t="s">
        <v>291</v>
      </c>
      <c r="N1462" s="108"/>
      <c r="O1462" s="20"/>
      <c r="P1462" s="20"/>
      <c r="Q1462" s="20"/>
    </row>
    <row r="1463" spans="1:17" ht="24.9" customHeight="1">
      <c r="A1463" s="20">
        <v>362</v>
      </c>
      <c r="B1463" s="20" t="s">
        <v>4320</v>
      </c>
      <c r="C1463" s="20"/>
      <c r="D1463" s="20" t="s">
        <v>3147</v>
      </c>
      <c r="E1463" s="19" t="str">
        <f>VLOOKUP(D1463,'لیست پرسنل'!$B$2:$E$1020,3,FALSE)</f>
        <v>فکورصنعت</v>
      </c>
      <c r="F1463" s="19" t="str">
        <f>VLOOKUP(D1463,'لیست پرسنل'!$B$2:$E$1020,4,FALSE)</f>
        <v>سرپرست واحد کوره ها و گاززدا</v>
      </c>
      <c r="G1463" s="127" t="str">
        <f>VLOOKUP(D1463,'لیست پرسنل'!$B$2:$F$1020,2,FALSE)</f>
        <v>4011101</v>
      </c>
      <c r="H1463" s="126" t="s">
        <v>7821</v>
      </c>
      <c r="I1463" s="128"/>
      <c r="J1463" s="128" t="s">
        <v>5927</v>
      </c>
      <c r="K1463" s="128" t="s">
        <v>7854</v>
      </c>
      <c r="L1463" s="127"/>
      <c r="M1463" s="128" t="s">
        <v>291</v>
      </c>
      <c r="N1463" s="108"/>
      <c r="O1463" s="20"/>
      <c r="P1463" s="20"/>
      <c r="Q1463" s="20"/>
    </row>
    <row r="1464" spans="1:17" ht="24.9" customHeight="1">
      <c r="A1464" s="20">
        <v>362</v>
      </c>
      <c r="B1464" s="20" t="s">
        <v>4320</v>
      </c>
      <c r="C1464" s="20"/>
      <c r="D1464" s="20" t="s">
        <v>3147</v>
      </c>
      <c r="E1464" s="19" t="str">
        <f>VLOOKUP(D1464,'لیست پرسنل'!$B$2:$E$1020,3,FALSE)</f>
        <v>فکورصنعت</v>
      </c>
      <c r="F1464" s="19" t="str">
        <f>VLOOKUP(D1464,'لیست پرسنل'!$B$2:$E$1020,4,FALSE)</f>
        <v>سرپرست واحد کوره ها و گاززدا</v>
      </c>
      <c r="G1464" s="127" t="str">
        <f>VLOOKUP(D1464,'لیست پرسنل'!$B$2:$F$1020,2,FALSE)</f>
        <v>4011101</v>
      </c>
      <c r="H1464" s="126" t="s">
        <v>7821</v>
      </c>
      <c r="I1464" s="128"/>
      <c r="J1464" s="128" t="s">
        <v>5927</v>
      </c>
      <c r="K1464" s="128" t="s">
        <v>7854</v>
      </c>
      <c r="L1464" s="127"/>
      <c r="M1464" s="128" t="s">
        <v>291</v>
      </c>
      <c r="N1464" s="108"/>
      <c r="O1464" s="20"/>
      <c r="P1464" s="20"/>
      <c r="Q1464" s="20"/>
    </row>
    <row r="1465" spans="1:17" ht="24.9" customHeight="1">
      <c r="A1465" s="20">
        <v>362</v>
      </c>
      <c r="B1465" s="20" t="s">
        <v>4320</v>
      </c>
      <c r="C1465" s="20"/>
      <c r="D1465" s="20" t="s">
        <v>3147</v>
      </c>
      <c r="E1465" s="19" t="str">
        <f>VLOOKUP(D1465,'لیست پرسنل'!$B$2:$E$1020,3,FALSE)</f>
        <v>فکورصنعت</v>
      </c>
      <c r="F1465" s="19" t="str">
        <f>VLOOKUP(D1465,'لیست پرسنل'!$B$2:$E$1020,4,FALSE)</f>
        <v>سرپرست واحد کوره ها و گاززدا</v>
      </c>
      <c r="G1465" s="127" t="str">
        <f>VLOOKUP(D1465,'لیست پرسنل'!$B$2:$F$1020,2,FALSE)</f>
        <v>4011101</v>
      </c>
      <c r="H1465" s="126" t="s">
        <v>7821</v>
      </c>
      <c r="I1465" s="128"/>
      <c r="J1465" s="128" t="s">
        <v>3483</v>
      </c>
      <c r="K1465" s="128" t="s">
        <v>7823</v>
      </c>
      <c r="L1465" s="127" t="s">
        <v>7825</v>
      </c>
      <c r="M1465" s="128" t="s">
        <v>291</v>
      </c>
      <c r="N1465" s="108" t="s">
        <v>7822</v>
      </c>
      <c r="O1465" s="20"/>
      <c r="P1465" s="20"/>
      <c r="Q1465" s="20"/>
    </row>
    <row r="1466" spans="1:17" ht="24.9" customHeight="1">
      <c r="A1466" s="20">
        <v>362</v>
      </c>
      <c r="B1466" s="20" t="s">
        <v>4320</v>
      </c>
      <c r="C1466" s="20"/>
      <c r="D1466" s="20" t="s">
        <v>3147</v>
      </c>
      <c r="E1466" s="19" t="str">
        <f>VLOOKUP(D1466,'لیست پرسنل'!$B$2:$E$1020,3,FALSE)</f>
        <v>فکورصنعت</v>
      </c>
      <c r="F1466" s="19" t="str">
        <f>VLOOKUP(D1466,'لیست پرسنل'!$B$2:$E$1020,4,FALSE)</f>
        <v>سرپرست واحد کوره ها و گاززدا</v>
      </c>
      <c r="G1466" s="127" t="str">
        <f>VLOOKUP(D1466,'لیست پرسنل'!$B$2:$F$1020,2,FALSE)</f>
        <v>4011101</v>
      </c>
      <c r="H1466" s="126" t="s">
        <v>7821</v>
      </c>
      <c r="I1466" s="128"/>
      <c r="J1466" s="128" t="s">
        <v>3483</v>
      </c>
      <c r="K1466" s="128" t="s">
        <v>7823</v>
      </c>
      <c r="L1466" s="127" t="s">
        <v>7826</v>
      </c>
      <c r="M1466" s="128" t="s">
        <v>291</v>
      </c>
      <c r="N1466" s="108" t="s">
        <v>7822</v>
      </c>
      <c r="O1466" s="20"/>
      <c r="P1466" s="20"/>
      <c r="Q1466" s="20"/>
    </row>
    <row r="1467" spans="1:17" ht="24.9" customHeight="1">
      <c r="A1467" s="20">
        <v>362</v>
      </c>
      <c r="B1467" s="20" t="s">
        <v>4320</v>
      </c>
      <c r="C1467" s="20"/>
      <c r="D1467" s="20" t="s">
        <v>3147</v>
      </c>
      <c r="E1467" s="19" t="str">
        <f>VLOOKUP(D1467,'لیست پرسنل'!$B$2:$E$1020,3,FALSE)</f>
        <v>فکورصنعت</v>
      </c>
      <c r="F1467" s="19" t="str">
        <f>VLOOKUP(D1467,'لیست پرسنل'!$B$2:$E$1020,4,FALSE)</f>
        <v>سرپرست واحد کوره ها و گاززدا</v>
      </c>
      <c r="G1467" s="127" t="str">
        <f>VLOOKUP(D1467,'لیست پرسنل'!$B$2:$F$1020,2,FALSE)</f>
        <v>4011101</v>
      </c>
      <c r="H1467" s="126" t="s">
        <v>7821</v>
      </c>
      <c r="I1467" s="128"/>
      <c r="J1467" s="128" t="s">
        <v>3483</v>
      </c>
      <c r="K1467" s="128" t="s">
        <v>7823</v>
      </c>
      <c r="L1467" s="127" t="s">
        <v>7827</v>
      </c>
      <c r="M1467" s="128" t="s">
        <v>291</v>
      </c>
      <c r="N1467" s="108" t="s">
        <v>7822</v>
      </c>
      <c r="O1467" s="20"/>
      <c r="P1467" s="20"/>
      <c r="Q1467" s="20"/>
    </row>
    <row r="1468" spans="1:17" ht="24.9" customHeight="1">
      <c r="A1468" s="20">
        <v>362</v>
      </c>
      <c r="B1468" s="20" t="s">
        <v>4320</v>
      </c>
      <c r="C1468" s="20"/>
      <c r="D1468" s="20" t="s">
        <v>3147</v>
      </c>
      <c r="E1468" s="19" t="str">
        <f>VLOOKUP(D1468,'لیست پرسنل'!$B$2:$E$1020,3,FALSE)</f>
        <v>فکورصنعت</v>
      </c>
      <c r="F1468" s="19" t="str">
        <f>VLOOKUP(D1468,'لیست پرسنل'!$B$2:$E$1020,4,FALSE)</f>
        <v>سرپرست واحد کوره ها و گاززدا</v>
      </c>
      <c r="G1468" s="127" t="str">
        <f>VLOOKUP(D1468,'لیست پرسنل'!$B$2:$F$1020,2,FALSE)</f>
        <v>4011101</v>
      </c>
      <c r="H1468" s="126" t="s">
        <v>7821</v>
      </c>
      <c r="I1468" s="128"/>
      <c r="J1468" s="128" t="s">
        <v>3483</v>
      </c>
      <c r="K1468" s="128" t="s">
        <v>7823</v>
      </c>
      <c r="L1468" s="127" t="s">
        <v>7828</v>
      </c>
      <c r="M1468" s="128" t="s">
        <v>291</v>
      </c>
      <c r="N1468" s="108" t="s">
        <v>7822</v>
      </c>
      <c r="O1468" s="20"/>
      <c r="P1468" s="20"/>
      <c r="Q1468" s="20"/>
    </row>
    <row r="1469" spans="1:17" ht="24.9" customHeight="1">
      <c r="A1469" s="20">
        <v>362</v>
      </c>
      <c r="B1469" s="20" t="s">
        <v>4320</v>
      </c>
      <c r="C1469" s="20"/>
      <c r="D1469" s="20" t="s">
        <v>3147</v>
      </c>
      <c r="E1469" s="19" t="str">
        <f>VLOOKUP(D1469,'لیست پرسنل'!$B$2:$E$1020,3,FALSE)</f>
        <v>فکورصنعت</v>
      </c>
      <c r="F1469" s="19" t="str">
        <f>VLOOKUP(D1469,'لیست پرسنل'!$B$2:$E$1020,4,FALSE)</f>
        <v>سرپرست واحد کوره ها و گاززدا</v>
      </c>
      <c r="G1469" s="127" t="str">
        <f>VLOOKUP(D1469,'لیست پرسنل'!$B$2:$F$1020,2,FALSE)</f>
        <v>4011101</v>
      </c>
      <c r="H1469" s="126" t="s">
        <v>7821</v>
      </c>
      <c r="I1469" s="128"/>
      <c r="J1469" s="128" t="s">
        <v>3483</v>
      </c>
      <c r="K1469" s="128" t="s">
        <v>7823</v>
      </c>
      <c r="L1469" s="127" t="s">
        <v>7829</v>
      </c>
      <c r="M1469" s="128" t="s">
        <v>291</v>
      </c>
      <c r="N1469" s="108" t="s">
        <v>7822</v>
      </c>
      <c r="O1469" s="20"/>
      <c r="P1469" s="20"/>
      <c r="Q1469" s="20"/>
    </row>
    <row r="1470" spans="1:17" ht="24.9" customHeight="1">
      <c r="A1470" s="20">
        <v>362</v>
      </c>
      <c r="B1470" s="20" t="s">
        <v>4320</v>
      </c>
      <c r="C1470" s="20"/>
      <c r="D1470" s="20" t="s">
        <v>3147</v>
      </c>
      <c r="E1470" s="19" t="str">
        <f>VLOOKUP(D1470,'لیست پرسنل'!$B$2:$E$1020,3,FALSE)</f>
        <v>فکورصنعت</v>
      </c>
      <c r="F1470" s="19" t="str">
        <f>VLOOKUP(D1470,'لیست پرسنل'!$B$2:$E$1020,4,FALSE)</f>
        <v>سرپرست واحد کوره ها و گاززدا</v>
      </c>
      <c r="G1470" s="127" t="str">
        <f>VLOOKUP(D1470,'لیست پرسنل'!$B$2:$F$1020,2,FALSE)</f>
        <v>4011101</v>
      </c>
      <c r="H1470" s="126" t="s">
        <v>7821</v>
      </c>
      <c r="I1470" s="128"/>
      <c r="J1470" s="128" t="s">
        <v>3483</v>
      </c>
      <c r="K1470" s="128" t="s">
        <v>7823</v>
      </c>
      <c r="L1470" s="127" t="s">
        <v>7830</v>
      </c>
      <c r="M1470" s="128" t="s">
        <v>291</v>
      </c>
      <c r="N1470" s="108" t="s">
        <v>7822</v>
      </c>
      <c r="O1470" s="20"/>
      <c r="P1470" s="20"/>
      <c r="Q1470" s="20"/>
    </row>
    <row r="1471" spans="1:17" ht="24.9" customHeight="1">
      <c r="A1471" s="20">
        <v>362</v>
      </c>
      <c r="B1471" s="20" t="s">
        <v>4320</v>
      </c>
      <c r="C1471" s="20"/>
      <c r="D1471" s="20" t="s">
        <v>3147</v>
      </c>
      <c r="E1471" s="19" t="str">
        <f>VLOOKUP(D1471,'لیست پرسنل'!$B$2:$E$1020,3,FALSE)</f>
        <v>فکورصنعت</v>
      </c>
      <c r="F1471" s="19" t="str">
        <f>VLOOKUP(D1471,'لیست پرسنل'!$B$2:$E$1020,4,FALSE)</f>
        <v>سرپرست واحد کوره ها و گاززدا</v>
      </c>
      <c r="G1471" s="127" t="str">
        <f>VLOOKUP(D1471,'لیست پرسنل'!$B$2:$F$1020,2,FALSE)</f>
        <v>4011101</v>
      </c>
      <c r="H1471" s="126" t="s">
        <v>7821</v>
      </c>
      <c r="I1471" s="128"/>
      <c r="J1471" s="128" t="s">
        <v>3483</v>
      </c>
      <c r="K1471" s="128" t="s">
        <v>7824</v>
      </c>
      <c r="L1471" s="127" t="s">
        <v>7831</v>
      </c>
      <c r="M1471" s="128" t="s">
        <v>291</v>
      </c>
      <c r="N1471" s="108" t="s">
        <v>7822</v>
      </c>
      <c r="O1471" s="20"/>
      <c r="P1471" s="20"/>
      <c r="Q1471" s="20"/>
    </row>
    <row r="1472" spans="1:17" ht="24.9" customHeight="1">
      <c r="A1472" s="20">
        <v>362</v>
      </c>
      <c r="B1472" s="20" t="s">
        <v>4320</v>
      </c>
      <c r="C1472" s="20"/>
      <c r="D1472" s="20" t="s">
        <v>3147</v>
      </c>
      <c r="E1472" s="19" t="str">
        <f>VLOOKUP(D1472,'لیست پرسنل'!$B$2:$E$1020,3,FALSE)</f>
        <v>فکورصنعت</v>
      </c>
      <c r="F1472" s="19" t="str">
        <f>VLOOKUP(D1472,'لیست پرسنل'!$B$2:$E$1020,4,FALSE)</f>
        <v>سرپرست واحد کوره ها و گاززدا</v>
      </c>
      <c r="G1472" s="127" t="str">
        <f>VLOOKUP(D1472,'لیست پرسنل'!$B$2:$F$1020,2,FALSE)</f>
        <v>4011101</v>
      </c>
      <c r="H1472" s="126" t="s">
        <v>7821</v>
      </c>
      <c r="I1472" s="128"/>
      <c r="J1472" s="128" t="s">
        <v>3476</v>
      </c>
      <c r="K1472" s="128" t="s">
        <v>6184</v>
      </c>
      <c r="L1472" s="127" t="s">
        <v>6182</v>
      </c>
      <c r="M1472" s="127">
        <v>633338</v>
      </c>
      <c r="N1472" s="108" t="s">
        <v>7822</v>
      </c>
      <c r="O1472" s="20"/>
      <c r="P1472" s="20"/>
      <c r="Q1472" s="20"/>
    </row>
    <row r="1473" spans="1:17" ht="24.9" customHeight="1">
      <c r="A1473" s="20">
        <v>362</v>
      </c>
      <c r="B1473" s="20" t="s">
        <v>4320</v>
      </c>
      <c r="C1473" s="20"/>
      <c r="D1473" s="20" t="s">
        <v>3147</v>
      </c>
      <c r="E1473" s="19" t="str">
        <f>VLOOKUP(D1473,'لیست پرسنل'!$B$2:$E$1020,3,FALSE)</f>
        <v>فکورصنعت</v>
      </c>
      <c r="F1473" s="19" t="str">
        <f>VLOOKUP(D1473,'لیست پرسنل'!$B$2:$E$1020,4,FALSE)</f>
        <v>سرپرست واحد کوره ها و گاززدا</v>
      </c>
      <c r="G1473" s="127" t="str">
        <f>VLOOKUP(D1473,'لیست پرسنل'!$B$2:$F$1020,2,FALSE)</f>
        <v>4011101</v>
      </c>
      <c r="H1473" s="126" t="s">
        <v>7821</v>
      </c>
      <c r="I1473" s="128"/>
      <c r="J1473" s="128" t="s">
        <v>3476</v>
      </c>
      <c r="K1473" s="128" t="s">
        <v>7571</v>
      </c>
      <c r="L1473" s="127" t="s">
        <v>7576</v>
      </c>
      <c r="M1473" s="126">
        <v>636084</v>
      </c>
      <c r="N1473" s="108" t="s">
        <v>7822</v>
      </c>
      <c r="O1473" s="20"/>
      <c r="P1473" s="20"/>
      <c r="Q1473" s="20"/>
    </row>
    <row r="1474" spans="1:17" ht="24.9" customHeight="1">
      <c r="A1474" s="20">
        <v>362</v>
      </c>
      <c r="B1474" s="20" t="s">
        <v>4320</v>
      </c>
      <c r="C1474" s="20"/>
      <c r="D1474" s="20" t="s">
        <v>3147</v>
      </c>
      <c r="E1474" s="19" t="str">
        <f>VLOOKUP(D1474,'لیست پرسنل'!$B$2:$E$1020,3,FALSE)</f>
        <v>فکورصنعت</v>
      </c>
      <c r="F1474" s="19" t="str">
        <f>VLOOKUP(D1474,'لیست پرسنل'!$B$2:$E$1020,4,FALSE)</f>
        <v>سرپرست واحد کوره ها و گاززدا</v>
      </c>
      <c r="G1474" s="127" t="str">
        <f>VLOOKUP(D1474,'لیست پرسنل'!$B$2:$F$1020,2,FALSE)</f>
        <v>4011101</v>
      </c>
      <c r="H1474" s="126" t="s">
        <v>7821</v>
      </c>
      <c r="I1474" s="128"/>
      <c r="J1474" s="128" t="s">
        <v>3476</v>
      </c>
      <c r="K1474" s="128" t="s">
        <v>7571</v>
      </c>
      <c r="L1474" s="127" t="s">
        <v>7573</v>
      </c>
      <c r="M1474" s="126">
        <v>636085</v>
      </c>
      <c r="N1474" s="108" t="s">
        <v>7822</v>
      </c>
      <c r="O1474" s="20"/>
      <c r="P1474" s="20"/>
      <c r="Q1474" s="20"/>
    </row>
    <row r="1475" spans="1:17" ht="24.9" customHeight="1">
      <c r="A1475" s="20">
        <v>362</v>
      </c>
      <c r="B1475" s="20" t="s">
        <v>4320</v>
      </c>
      <c r="C1475" s="20"/>
      <c r="D1475" s="20" t="s">
        <v>3147</v>
      </c>
      <c r="E1475" s="19" t="str">
        <f>VLOOKUP(D1475,'لیست پرسنل'!$B$2:$E$1020,3,FALSE)</f>
        <v>فکورصنعت</v>
      </c>
      <c r="F1475" s="19" t="str">
        <f>VLOOKUP(D1475,'لیست پرسنل'!$B$2:$E$1020,4,FALSE)</f>
        <v>سرپرست واحد کوره ها و گاززدا</v>
      </c>
      <c r="G1475" s="127" t="str">
        <f>VLOOKUP(D1475,'لیست پرسنل'!$B$2:$F$1020,2,FALSE)</f>
        <v>4011101</v>
      </c>
      <c r="H1475" s="126" t="s">
        <v>7821</v>
      </c>
      <c r="I1475" s="128"/>
      <c r="J1475" s="128" t="s">
        <v>3476</v>
      </c>
      <c r="K1475" s="128" t="s">
        <v>7571</v>
      </c>
      <c r="L1475" s="127" t="s">
        <v>7572</v>
      </c>
      <c r="M1475" s="126">
        <v>636086</v>
      </c>
      <c r="N1475" s="108" t="s">
        <v>7822</v>
      </c>
      <c r="O1475" s="20"/>
      <c r="P1475" s="20"/>
      <c r="Q1475" s="20"/>
    </row>
    <row r="1476" spans="1:17" ht="24.9" customHeight="1">
      <c r="A1476" s="20">
        <v>362</v>
      </c>
      <c r="B1476" s="20" t="s">
        <v>4320</v>
      </c>
      <c r="C1476" s="20"/>
      <c r="D1476" s="20" t="s">
        <v>3147</v>
      </c>
      <c r="E1476" s="19" t="str">
        <f>VLOOKUP(D1476,'لیست پرسنل'!$B$2:$E$1020,3,FALSE)</f>
        <v>فکورصنعت</v>
      </c>
      <c r="F1476" s="19" t="str">
        <f>VLOOKUP(D1476,'لیست پرسنل'!$B$2:$E$1020,4,FALSE)</f>
        <v>سرپرست واحد کوره ها و گاززدا</v>
      </c>
      <c r="G1476" s="127" t="str">
        <f>VLOOKUP(D1476,'لیست پرسنل'!$B$2:$F$1020,2,FALSE)</f>
        <v>4011101</v>
      </c>
      <c r="H1476" s="126" t="s">
        <v>7821</v>
      </c>
      <c r="I1476" s="128"/>
      <c r="J1476" s="128" t="s">
        <v>3476</v>
      </c>
      <c r="K1476" s="128" t="s">
        <v>7571</v>
      </c>
      <c r="L1476" s="127" t="s">
        <v>7577</v>
      </c>
      <c r="M1476" s="126">
        <v>636087</v>
      </c>
      <c r="N1476" s="108" t="s">
        <v>7822</v>
      </c>
      <c r="O1476" s="20"/>
      <c r="P1476" s="20"/>
      <c r="Q1476" s="20"/>
    </row>
    <row r="1477" spans="1:17" ht="24.9" customHeight="1">
      <c r="A1477" s="20">
        <v>362</v>
      </c>
      <c r="B1477" s="20" t="s">
        <v>4320</v>
      </c>
      <c r="C1477" s="20"/>
      <c r="D1477" s="20" t="s">
        <v>3147</v>
      </c>
      <c r="E1477" s="19" t="str">
        <f>VLOOKUP(D1477,'لیست پرسنل'!$B$2:$E$1020,3,FALSE)</f>
        <v>فکورصنعت</v>
      </c>
      <c r="F1477" s="19" t="str">
        <f>VLOOKUP(D1477,'لیست پرسنل'!$B$2:$E$1020,4,FALSE)</f>
        <v>سرپرست واحد کوره ها و گاززدا</v>
      </c>
      <c r="G1477" s="127" t="str">
        <f>VLOOKUP(D1477,'لیست پرسنل'!$B$2:$F$1020,2,FALSE)</f>
        <v>4011101</v>
      </c>
      <c r="H1477" s="126" t="s">
        <v>7821</v>
      </c>
      <c r="I1477" s="128"/>
      <c r="J1477" s="128" t="s">
        <v>3476</v>
      </c>
      <c r="K1477" s="128" t="s">
        <v>7571</v>
      </c>
      <c r="L1477" s="127" t="s">
        <v>7575</v>
      </c>
      <c r="M1477" s="126">
        <v>636088</v>
      </c>
      <c r="N1477" s="108" t="s">
        <v>7822</v>
      </c>
      <c r="O1477" s="20"/>
      <c r="P1477" s="20"/>
      <c r="Q1477" s="20"/>
    </row>
    <row r="1478" spans="1:17" ht="24.9" customHeight="1">
      <c r="A1478" s="20">
        <v>362</v>
      </c>
      <c r="B1478" s="20" t="s">
        <v>4320</v>
      </c>
      <c r="C1478" s="20"/>
      <c r="D1478" s="20" t="s">
        <v>3147</v>
      </c>
      <c r="E1478" s="19" t="str">
        <f>VLOOKUP(D1478,'لیست پرسنل'!$B$2:$E$1020,3,FALSE)</f>
        <v>فکورصنعت</v>
      </c>
      <c r="F1478" s="19" t="str">
        <f>VLOOKUP(D1478,'لیست پرسنل'!$B$2:$E$1020,4,FALSE)</f>
        <v>سرپرست واحد کوره ها و گاززدا</v>
      </c>
      <c r="G1478" s="127" t="str">
        <f>VLOOKUP(D1478,'لیست پرسنل'!$B$2:$F$1020,2,FALSE)</f>
        <v>4011101</v>
      </c>
      <c r="H1478" s="126" t="s">
        <v>7821</v>
      </c>
      <c r="I1478" s="128"/>
      <c r="J1478" s="128" t="s">
        <v>3476</v>
      </c>
      <c r="K1478" s="128" t="s">
        <v>7571</v>
      </c>
      <c r="L1478" s="127" t="s">
        <v>7574</v>
      </c>
      <c r="M1478" s="126">
        <v>636089</v>
      </c>
      <c r="N1478" s="108" t="s">
        <v>7822</v>
      </c>
      <c r="O1478" s="20"/>
      <c r="P1478" s="20"/>
      <c r="Q1478" s="20"/>
    </row>
    <row r="1479" spans="1:17" ht="24.9" customHeight="1">
      <c r="A1479" s="20">
        <v>362</v>
      </c>
      <c r="B1479" s="20" t="s">
        <v>4320</v>
      </c>
      <c r="C1479" s="20"/>
      <c r="D1479" s="20" t="s">
        <v>3147</v>
      </c>
      <c r="E1479" s="19" t="str">
        <f>VLOOKUP(D1479,'لیست پرسنل'!$B$2:$E$1020,3,FALSE)</f>
        <v>فکورصنعت</v>
      </c>
      <c r="F1479" s="19" t="str">
        <f>VLOOKUP(D1479,'لیست پرسنل'!$B$2:$E$1020,4,FALSE)</f>
        <v>سرپرست واحد کوره ها و گاززدا</v>
      </c>
      <c r="G1479" s="127" t="str">
        <f>VLOOKUP(D1479,'لیست پرسنل'!$B$2:$F$1020,2,FALSE)</f>
        <v>4011101</v>
      </c>
      <c r="H1479" s="126" t="s">
        <v>7821</v>
      </c>
      <c r="I1479" s="128"/>
      <c r="J1479" s="128" t="s">
        <v>3476</v>
      </c>
      <c r="K1479" s="128" t="s">
        <v>7855</v>
      </c>
      <c r="L1479" s="127"/>
      <c r="M1479" s="128" t="s">
        <v>291</v>
      </c>
      <c r="N1479" s="108" t="s">
        <v>7857</v>
      </c>
      <c r="O1479" s="20"/>
      <c r="P1479" s="20"/>
      <c r="Q1479" s="20"/>
    </row>
    <row r="1480" spans="1:17" ht="24.9" customHeight="1">
      <c r="A1480" s="20">
        <v>362</v>
      </c>
      <c r="B1480" s="20" t="s">
        <v>4320</v>
      </c>
      <c r="C1480" s="20"/>
      <c r="D1480" s="20" t="s">
        <v>326</v>
      </c>
      <c r="E1480" s="19" t="str">
        <f>VLOOKUP(D1480,'لیست پرسنل'!$B$2:$E$1020,3,FALSE)</f>
        <v>فکورصنعت</v>
      </c>
      <c r="F1480" s="19" t="str">
        <f>VLOOKUP(D1480,'لیست پرسنل'!$B$2:$E$1020,4,FALSE)</f>
        <v>انبار</v>
      </c>
      <c r="G1480" s="127">
        <f>VLOOKUP(D1480,'لیست پرسنل'!$B$2:$F$1020,2,FALSE)</f>
        <v>98141</v>
      </c>
      <c r="H1480" s="128" t="s">
        <v>5497</v>
      </c>
      <c r="I1480" s="128"/>
      <c r="J1480" s="128" t="s">
        <v>3143</v>
      </c>
      <c r="K1480" s="128" t="s">
        <v>4733</v>
      </c>
      <c r="L1480" s="127" t="s">
        <v>5842</v>
      </c>
      <c r="M1480" s="127">
        <v>626835</v>
      </c>
      <c r="N1480" s="111"/>
      <c r="O1480" s="20" t="s">
        <v>3273</v>
      </c>
      <c r="P1480" s="20"/>
      <c r="Q1480" s="20"/>
    </row>
    <row r="1481" spans="1:17" ht="24.9" customHeight="1">
      <c r="A1481" s="20">
        <v>362</v>
      </c>
      <c r="B1481" s="20" t="s">
        <v>4320</v>
      </c>
      <c r="C1481" s="20"/>
      <c r="D1481" s="20" t="s">
        <v>326</v>
      </c>
      <c r="E1481" s="19" t="str">
        <f>VLOOKUP(D1481,'لیست پرسنل'!$B$2:$E$1020,3,FALSE)</f>
        <v>فکورصنعت</v>
      </c>
      <c r="F1481" s="19" t="str">
        <f>VLOOKUP(D1481,'لیست پرسنل'!$B$2:$E$1020,4,FALSE)</f>
        <v>انبار</v>
      </c>
      <c r="G1481" s="127">
        <f>VLOOKUP(D1481,'لیست پرسنل'!$B$2:$F$1020,2,FALSE)</f>
        <v>98141</v>
      </c>
      <c r="H1481" s="128" t="s">
        <v>5497</v>
      </c>
      <c r="I1481" s="128"/>
      <c r="J1481" s="128" t="s">
        <v>3476</v>
      </c>
      <c r="K1481" s="128" t="s">
        <v>2872</v>
      </c>
      <c r="L1481" s="128" t="s">
        <v>2875</v>
      </c>
      <c r="M1481" s="128">
        <v>626785</v>
      </c>
      <c r="N1481" s="108"/>
      <c r="O1481" s="20" t="s">
        <v>705</v>
      </c>
      <c r="P1481" s="20"/>
      <c r="Q1481" s="20"/>
    </row>
    <row r="1482" spans="1:17" ht="24.9" customHeight="1">
      <c r="A1482" s="20">
        <v>362</v>
      </c>
      <c r="B1482" s="20" t="s">
        <v>4320</v>
      </c>
      <c r="C1482" s="20"/>
      <c r="D1482" s="20" t="s">
        <v>326</v>
      </c>
      <c r="E1482" s="19" t="str">
        <f>VLOOKUP(D1482,'لیست پرسنل'!$B$2:$E$1020,3,FALSE)</f>
        <v>فکورصنعت</v>
      </c>
      <c r="F1482" s="19" t="str">
        <f>VLOOKUP(D1482,'لیست پرسنل'!$B$2:$E$1020,4,FALSE)</f>
        <v>انبار</v>
      </c>
      <c r="G1482" s="127">
        <f>VLOOKUP(D1482,'لیست پرسنل'!$B$2:$F$1020,2,FALSE)</f>
        <v>98141</v>
      </c>
      <c r="H1482" s="126" t="s">
        <v>5497</v>
      </c>
      <c r="I1482" s="128"/>
      <c r="J1482" s="128" t="s">
        <v>3476</v>
      </c>
      <c r="K1482" s="128" t="s">
        <v>2057</v>
      </c>
      <c r="L1482" s="153" t="s">
        <v>2063</v>
      </c>
      <c r="M1482" s="127">
        <v>628107</v>
      </c>
      <c r="N1482" s="108"/>
      <c r="O1482" s="20" t="s">
        <v>3941</v>
      </c>
      <c r="P1482" s="20"/>
      <c r="Q1482" s="20"/>
    </row>
    <row r="1483" spans="1:17" ht="24.9" customHeight="1">
      <c r="A1483" s="20">
        <v>362</v>
      </c>
      <c r="B1483" s="20" t="s">
        <v>4320</v>
      </c>
      <c r="C1483" s="20"/>
      <c r="D1483" s="20" t="s">
        <v>326</v>
      </c>
      <c r="E1483" s="19" t="str">
        <f>VLOOKUP(D1483,'لیست پرسنل'!$B$2:$E$1020,3,FALSE)</f>
        <v>فکورصنعت</v>
      </c>
      <c r="F1483" s="19" t="str">
        <f>VLOOKUP(D1483,'لیست پرسنل'!$B$2:$E$1020,4,FALSE)</f>
        <v>انبار</v>
      </c>
      <c r="G1483" s="127">
        <f>VLOOKUP(D1483,'لیست پرسنل'!$B$2:$F$1020,2,FALSE)</f>
        <v>98141</v>
      </c>
      <c r="H1483" s="128" t="s">
        <v>5497</v>
      </c>
      <c r="I1483" s="128"/>
      <c r="J1483" s="128" t="s">
        <v>3476</v>
      </c>
      <c r="K1483" s="128" t="s">
        <v>4801</v>
      </c>
      <c r="L1483" s="128" t="s">
        <v>5243</v>
      </c>
      <c r="M1483" s="128">
        <v>631304</v>
      </c>
      <c r="N1483" s="108"/>
      <c r="O1483" s="20"/>
      <c r="P1483" s="20"/>
      <c r="Q1483" s="20"/>
    </row>
    <row r="1484" spans="1:17" ht="24.9" customHeight="1">
      <c r="A1484" s="20">
        <v>362</v>
      </c>
      <c r="B1484" s="20" t="s">
        <v>4320</v>
      </c>
      <c r="C1484" s="20"/>
      <c r="D1484" s="20" t="s">
        <v>326</v>
      </c>
      <c r="E1484" s="19" t="str">
        <f>VLOOKUP(D1484,'لیست پرسنل'!$B$2:$E$1020,3,FALSE)</f>
        <v>فکورصنعت</v>
      </c>
      <c r="F1484" s="19" t="str">
        <f>VLOOKUP(D1484,'لیست پرسنل'!$B$2:$E$1020,4,FALSE)</f>
        <v>انبار</v>
      </c>
      <c r="G1484" s="127">
        <f>VLOOKUP(D1484,'لیست پرسنل'!$B$2:$F$1020,2,FALSE)</f>
        <v>98141</v>
      </c>
      <c r="H1484" s="128" t="s">
        <v>5497</v>
      </c>
      <c r="I1484" s="128"/>
      <c r="J1484" s="128" t="s">
        <v>3476</v>
      </c>
      <c r="K1484" s="128" t="s">
        <v>4801</v>
      </c>
      <c r="L1484" s="128" t="s">
        <v>7130</v>
      </c>
      <c r="M1484" s="128">
        <v>631307</v>
      </c>
      <c r="N1484" s="108"/>
      <c r="O1484" s="20"/>
      <c r="P1484" s="20"/>
      <c r="Q1484" s="20"/>
    </row>
    <row r="1485" spans="1:17" ht="24.9" customHeight="1">
      <c r="A1485" s="20">
        <v>362</v>
      </c>
      <c r="B1485" s="20" t="s">
        <v>4320</v>
      </c>
      <c r="C1485" s="20"/>
      <c r="D1485" s="20" t="s">
        <v>326</v>
      </c>
      <c r="E1485" s="19" t="str">
        <f>VLOOKUP(D1485,'لیست پرسنل'!$B$2:$E$1020,3,FALSE)</f>
        <v>فکورصنعت</v>
      </c>
      <c r="F1485" s="19" t="str">
        <f>VLOOKUP(D1485,'لیست پرسنل'!$B$2:$E$1020,4,FALSE)</f>
        <v>انبار</v>
      </c>
      <c r="G1485" s="127">
        <f>VLOOKUP(D1485,'لیست پرسنل'!$B$2:$F$1020,2,FALSE)</f>
        <v>98141</v>
      </c>
      <c r="H1485" s="126" t="s">
        <v>4289</v>
      </c>
      <c r="I1485" s="128"/>
      <c r="J1485" s="128" t="s">
        <v>923</v>
      </c>
      <c r="K1485" s="128" t="s">
        <v>3252</v>
      </c>
      <c r="L1485" s="128"/>
      <c r="M1485" s="126">
        <v>618766</v>
      </c>
      <c r="N1485" s="108" t="s">
        <v>48</v>
      </c>
      <c r="O1485" s="20" t="s">
        <v>3253</v>
      </c>
      <c r="P1485" s="20"/>
      <c r="Q1485" s="20"/>
    </row>
    <row r="1486" spans="1:17" ht="24.9" customHeight="1">
      <c r="A1486" s="20">
        <v>362</v>
      </c>
      <c r="B1486" s="20" t="s">
        <v>4320</v>
      </c>
      <c r="C1486" s="20"/>
      <c r="D1486" s="20" t="s">
        <v>326</v>
      </c>
      <c r="E1486" s="19" t="str">
        <f>VLOOKUP(D1486,'لیست پرسنل'!$B$2:$E$1020,3,FALSE)</f>
        <v>فکورصنعت</v>
      </c>
      <c r="F1486" s="19" t="str">
        <f>VLOOKUP(D1486,'لیست پرسنل'!$B$2:$E$1020,4,FALSE)</f>
        <v>انبار</v>
      </c>
      <c r="G1486" s="127">
        <f>VLOOKUP(D1486,'لیست پرسنل'!$B$2:$F$1020,2,FALSE)</f>
        <v>98141</v>
      </c>
      <c r="H1486" s="165" t="s">
        <v>7282</v>
      </c>
      <c r="I1486" s="128"/>
      <c r="J1486" s="128" t="s">
        <v>3476</v>
      </c>
      <c r="K1486" s="128" t="s">
        <v>5037</v>
      </c>
      <c r="L1486" s="128" t="s">
        <v>5035</v>
      </c>
      <c r="M1486" s="127" t="s">
        <v>291</v>
      </c>
      <c r="N1486" s="108"/>
      <c r="O1486" s="20"/>
      <c r="P1486" s="20"/>
      <c r="Q1486" s="20"/>
    </row>
    <row r="1487" spans="1:17" ht="24.9" customHeight="1">
      <c r="A1487" s="20">
        <v>362</v>
      </c>
      <c r="B1487" s="20" t="s">
        <v>4320</v>
      </c>
      <c r="C1487" s="20"/>
      <c r="D1487" s="19" t="s">
        <v>326</v>
      </c>
      <c r="E1487" s="19" t="str">
        <f>VLOOKUP(D1487,'لیست پرسنل'!$B$2:$E$1020,3,FALSE)</f>
        <v>فکورصنعت</v>
      </c>
      <c r="F1487" s="19" t="str">
        <f>VLOOKUP(D1487,'لیست پرسنل'!$B$2:$E$1020,4,FALSE)</f>
        <v>انبار</v>
      </c>
      <c r="G1487" s="127">
        <f>VLOOKUP(D1487,'لیست پرسنل'!$B$2:$F$1020,2,FALSE)</f>
        <v>98141</v>
      </c>
      <c r="H1487" s="128" t="s">
        <v>4078</v>
      </c>
      <c r="I1487" s="128"/>
      <c r="J1487" s="128" t="s">
        <v>4721</v>
      </c>
      <c r="K1487" s="128" t="s">
        <v>825</v>
      </c>
      <c r="L1487" s="127"/>
      <c r="M1487" s="127" t="s">
        <v>291</v>
      </c>
      <c r="N1487" s="108"/>
      <c r="O1487" s="91" t="s">
        <v>814</v>
      </c>
      <c r="P1487" s="20"/>
      <c r="Q1487" s="20"/>
    </row>
    <row r="1488" spans="1:17" ht="24.9" customHeight="1">
      <c r="A1488" s="20">
        <v>362</v>
      </c>
      <c r="B1488" s="20" t="s">
        <v>4320</v>
      </c>
      <c r="C1488" s="20"/>
      <c r="D1488" s="19" t="s">
        <v>326</v>
      </c>
      <c r="E1488" s="19" t="str">
        <f>VLOOKUP(D1488,'لیست پرسنل'!$B$2:$E$1020,3,FALSE)</f>
        <v>فکورصنعت</v>
      </c>
      <c r="F1488" s="19" t="str">
        <f>VLOOKUP(D1488,'لیست پرسنل'!$B$2:$E$1020,4,FALSE)</f>
        <v>انبار</v>
      </c>
      <c r="G1488" s="127">
        <f>VLOOKUP(D1488,'لیست پرسنل'!$B$2:$F$1020,2,FALSE)</f>
        <v>98141</v>
      </c>
      <c r="H1488" s="128" t="s">
        <v>4078</v>
      </c>
      <c r="I1488" s="128"/>
      <c r="J1488" s="128" t="s">
        <v>4721</v>
      </c>
      <c r="K1488" s="128" t="s">
        <v>825</v>
      </c>
      <c r="L1488" s="127"/>
      <c r="M1488" s="127" t="s">
        <v>291</v>
      </c>
      <c r="N1488" s="108"/>
      <c r="O1488" s="91" t="s">
        <v>814</v>
      </c>
      <c r="P1488" s="20"/>
      <c r="Q1488" s="20"/>
    </row>
    <row r="1489" spans="1:17" ht="24.9" customHeight="1">
      <c r="A1489" s="20">
        <v>362</v>
      </c>
      <c r="B1489" s="20" t="s">
        <v>4320</v>
      </c>
      <c r="C1489" s="20"/>
      <c r="D1489" s="19" t="s">
        <v>326</v>
      </c>
      <c r="E1489" s="19" t="str">
        <f>VLOOKUP(D1489,'لیست پرسنل'!$B$2:$E$1020,3,FALSE)</f>
        <v>فکورصنعت</v>
      </c>
      <c r="F1489" s="19" t="str">
        <f>VLOOKUP(D1489,'لیست پرسنل'!$B$2:$E$1020,4,FALSE)</f>
        <v>انبار</v>
      </c>
      <c r="G1489" s="127">
        <f>VLOOKUP(D1489,'لیست پرسنل'!$B$2:$F$1020,2,FALSE)</f>
        <v>98141</v>
      </c>
      <c r="H1489" s="128" t="s">
        <v>4078</v>
      </c>
      <c r="I1489" s="128"/>
      <c r="J1489" s="127" t="s">
        <v>824</v>
      </c>
      <c r="K1489" s="128" t="s">
        <v>824</v>
      </c>
      <c r="L1489" s="127"/>
      <c r="M1489" s="127">
        <v>615012</v>
      </c>
      <c r="N1489" s="108"/>
      <c r="O1489" s="91" t="s">
        <v>814</v>
      </c>
      <c r="P1489" s="20"/>
      <c r="Q1489" s="20"/>
    </row>
    <row r="1490" spans="1:17" ht="24.9" customHeight="1">
      <c r="A1490" s="20">
        <v>362</v>
      </c>
      <c r="B1490" s="20" t="s">
        <v>4320</v>
      </c>
      <c r="C1490" s="20"/>
      <c r="D1490" s="19" t="s">
        <v>326</v>
      </c>
      <c r="E1490" s="19" t="str">
        <f>VLOOKUP(D1490,'لیست پرسنل'!$B$2:$E$1020,3,FALSE)</f>
        <v>فکورصنعت</v>
      </c>
      <c r="F1490" s="19" t="str">
        <f>VLOOKUP(D1490,'لیست پرسنل'!$B$2:$E$1020,4,FALSE)</f>
        <v>انبار</v>
      </c>
      <c r="G1490" s="127">
        <f>VLOOKUP(D1490,'لیست پرسنل'!$B$2:$F$1020,2,FALSE)</f>
        <v>98141</v>
      </c>
      <c r="H1490" s="128" t="s">
        <v>4078</v>
      </c>
      <c r="I1490" s="128"/>
      <c r="J1490" s="127" t="s">
        <v>824</v>
      </c>
      <c r="K1490" s="128" t="s">
        <v>824</v>
      </c>
      <c r="L1490" s="127"/>
      <c r="M1490" s="127">
        <v>615013</v>
      </c>
      <c r="N1490" s="108"/>
      <c r="O1490" s="91" t="s">
        <v>814</v>
      </c>
      <c r="P1490" s="20"/>
      <c r="Q1490" s="20"/>
    </row>
    <row r="1491" spans="1:17" ht="24.9" customHeight="1">
      <c r="A1491" s="20">
        <v>362</v>
      </c>
      <c r="B1491" s="20" t="s">
        <v>4320</v>
      </c>
      <c r="C1491" s="20"/>
      <c r="D1491" s="19" t="s">
        <v>326</v>
      </c>
      <c r="E1491" s="19" t="str">
        <f>VLOOKUP(D1491,'لیست پرسنل'!$B$2:$E$1020,3,FALSE)</f>
        <v>فکورصنعت</v>
      </c>
      <c r="F1491" s="19" t="str">
        <f>VLOOKUP(D1491,'لیست پرسنل'!$B$2:$E$1020,4,FALSE)</f>
        <v>انبار</v>
      </c>
      <c r="G1491" s="127">
        <f>VLOOKUP(D1491,'لیست پرسنل'!$B$2:$F$1020,2,FALSE)</f>
        <v>98141</v>
      </c>
      <c r="H1491" s="128" t="s">
        <v>4078</v>
      </c>
      <c r="I1491" s="128"/>
      <c r="J1491" s="127" t="s">
        <v>824</v>
      </c>
      <c r="K1491" s="128" t="s">
        <v>824</v>
      </c>
      <c r="L1491" s="127"/>
      <c r="M1491" s="127">
        <v>615014</v>
      </c>
      <c r="N1491" s="108"/>
      <c r="O1491" s="91" t="s">
        <v>814</v>
      </c>
      <c r="P1491" s="20"/>
      <c r="Q1491" s="20"/>
    </row>
    <row r="1492" spans="1:17" ht="24.9" customHeight="1">
      <c r="A1492" s="20">
        <v>362</v>
      </c>
      <c r="B1492" s="20" t="s">
        <v>4320</v>
      </c>
      <c r="C1492" s="20"/>
      <c r="D1492" s="19" t="s">
        <v>326</v>
      </c>
      <c r="E1492" s="19" t="str">
        <f>VLOOKUP(D1492,'لیست پرسنل'!$B$2:$E$1020,3,FALSE)</f>
        <v>فکورصنعت</v>
      </c>
      <c r="F1492" s="19" t="str">
        <f>VLOOKUP(D1492,'لیست پرسنل'!$B$2:$E$1020,4,FALSE)</f>
        <v>انبار</v>
      </c>
      <c r="G1492" s="127">
        <f>VLOOKUP(D1492,'لیست پرسنل'!$B$2:$F$1020,2,FALSE)</f>
        <v>98141</v>
      </c>
      <c r="H1492" s="128" t="s">
        <v>4078</v>
      </c>
      <c r="I1492" s="128"/>
      <c r="J1492" s="127" t="s">
        <v>824</v>
      </c>
      <c r="K1492" s="128" t="s">
        <v>824</v>
      </c>
      <c r="L1492" s="127"/>
      <c r="M1492" s="127">
        <v>615015</v>
      </c>
      <c r="N1492" s="108"/>
      <c r="O1492" s="91" t="s">
        <v>814</v>
      </c>
      <c r="P1492" s="20"/>
      <c r="Q1492" s="20"/>
    </row>
    <row r="1493" spans="1:17" ht="24.9" customHeight="1">
      <c r="A1493" s="20">
        <v>362</v>
      </c>
      <c r="B1493" s="20" t="s">
        <v>4320</v>
      </c>
      <c r="C1493" s="20"/>
      <c r="D1493" s="19" t="s">
        <v>326</v>
      </c>
      <c r="E1493" s="19" t="str">
        <f>VLOOKUP(D1493,'لیست پرسنل'!$B$2:$E$1020,3,FALSE)</f>
        <v>فکورصنعت</v>
      </c>
      <c r="F1493" s="19" t="str">
        <f>VLOOKUP(D1493,'لیست پرسنل'!$B$2:$E$1020,4,FALSE)</f>
        <v>انبار</v>
      </c>
      <c r="G1493" s="127">
        <f>VLOOKUP(D1493,'لیست پرسنل'!$B$2:$F$1020,2,FALSE)</f>
        <v>98141</v>
      </c>
      <c r="H1493" s="128" t="s">
        <v>4078</v>
      </c>
      <c r="I1493" s="128"/>
      <c r="J1493" s="127" t="s">
        <v>824</v>
      </c>
      <c r="K1493" s="128" t="s">
        <v>824</v>
      </c>
      <c r="L1493" s="127"/>
      <c r="M1493" s="127">
        <v>615016</v>
      </c>
      <c r="N1493" s="108"/>
      <c r="O1493" s="91" t="s">
        <v>814</v>
      </c>
      <c r="P1493" s="20"/>
      <c r="Q1493" s="20"/>
    </row>
    <row r="1494" spans="1:17" ht="24.9" customHeight="1">
      <c r="A1494" s="20">
        <v>362</v>
      </c>
      <c r="B1494" s="20" t="s">
        <v>4320</v>
      </c>
      <c r="C1494" s="20"/>
      <c r="D1494" s="19" t="s">
        <v>326</v>
      </c>
      <c r="E1494" s="19" t="str">
        <f>VLOOKUP(D1494,'لیست پرسنل'!$B$2:$E$1020,3,FALSE)</f>
        <v>فکورصنعت</v>
      </c>
      <c r="F1494" s="19" t="str">
        <f>VLOOKUP(D1494,'لیست پرسنل'!$B$2:$E$1020,4,FALSE)</f>
        <v>انبار</v>
      </c>
      <c r="G1494" s="127">
        <f>VLOOKUP(D1494,'لیست پرسنل'!$B$2:$F$1020,2,FALSE)</f>
        <v>98141</v>
      </c>
      <c r="H1494" s="128" t="s">
        <v>4078</v>
      </c>
      <c r="I1494" s="128"/>
      <c r="J1494" s="127" t="s">
        <v>824</v>
      </c>
      <c r="K1494" s="128" t="s">
        <v>824</v>
      </c>
      <c r="L1494" s="127"/>
      <c r="M1494" s="127">
        <v>615017</v>
      </c>
      <c r="N1494" s="108"/>
      <c r="O1494" s="91" t="s">
        <v>814</v>
      </c>
      <c r="P1494" s="20"/>
      <c r="Q1494" s="20"/>
    </row>
    <row r="1495" spans="1:17" ht="24.9" customHeight="1">
      <c r="A1495" s="20">
        <v>362</v>
      </c>
      <c r="B1495" s="20" t="s">
        <v>4320</v>
      </c>
      <c r="C1495" s="20"/>
      <c r="D1495" s="19" t="s">
        <v>326</v>
      </c>
      <c r="E1495" s="19" t="str">
        <f>VLOOKUP(D1495,'لیست پرسنل'!$B$2:$E$1020,3,FALSE)</f>
        <v>فکورصنعت</v>
      </c>
      <c r="F1495" s="19" t="str">
        <f>VLOOKUP(D1495,'لیست پرسنل'!$B$2:$E$1020,4,FALSE)</f>
        <v>انبار</v>
      </c>
      <c r="G1495" s="127">
        <f>VLOOKUP(D1495,'لیست پرسنل'!$B$2:$F$1020,2,FALSE)</f>
        <v>98141</v>
      </c>
      <c r="H1495" s="128" t="s">
        <v>4078</v>
      </c>
      <c r="I1495" s="128"/>
      <c r="J1495" s="127" t="s">
        <v>824</v>
      </c>
      <c r="K1495" s="128" t="s">
        <v>824</v>
      </c>
      <c r="L1495" s="127"/>
      <c r="M1495" s="127">
        <v>615018</v>
      </c>
      <c r="N1495" s="108"/>
      <c r="O1495" s="91" t="s">
        <v>814</v>
      </c>
      <c r="P1495" s="20"/>
      <c r="Q1495" s="20"/>
    </row>
    <row r="1496" spans="1:17" ht="24.9" customHeight="1">
      <c r="A1496" s="20">
        <v>362</v>
      </c>
      <c r="B1496" s="20" t="s">
        <v>4320</v>
      </c>
      <c r="C1496" s="20"/>
      <c r="D1496" s="19" t="s">
        <v>326</v>
      </c>
      <c r="E1496" s="19" t="str">
        <f>VLOOKUP(D1496,'لیست پرسنل'!$B$2:$E$1020,3,FALSE)</f>
        <v>فکورصنعت</v>
      </c>
      <c r="F1496" s="19" t="str">
        <f>VLOOKUP(D1496,'لیست پرسنل'!$B$2:$E$1020,4,FALSE)</f>
        <v>انبار</v>
      </c>
      <c r="G1496" s="127">
        <f>VLOOKUP(D1496,'لیست پرسنل'!$B$2:$F$1020,2,FALSE)</f>
        <v>98141</v>
      </c>
      <c r="H1496" s="128" t="s">
        <v>4078</v>
      </c>
      <c r="I1496" s="128"/>
      <c r="J1496" s="127" t="s">
        <v>824</v>
      </c>
      <c r="K1496" s="128" t="s">
        <v>824</v>
      </c>
      <c r="L1496" s="127"/>
      <c r="M1496" s="127">
        <v>615349</v>
      </c>
      <c r="N1496" s="108"/>
      <c r="O1496" s="92" t="s">
        <v>828</v>
      </c>
      <c r="P1496" s="20"/>
      <c r="Q1496" s="20"/>
    </row>
    <row r="1497" spans="1:17" ht="24.9" customHeight="1">
      <c r="A1497" s="20">
        <v>362</v>
      </c>
      <c r="B1497" s="20" t="s">
        <v>4320</v>
      </c>
      <c r="C1497" s="20"/>
      <c r="D1497" s="19" t="s">
        <v>326</v>
      </c>
      <c r="E1497" s="19" t="str">
        <f>VLOOKUP(D1497,'لیست پرسنل'!$B$2:$E$1020,3,FALSE)</f>
        <v>فکورصنعت</v>
      </c>
      <c r="F1497" s="19" t="str">
        <f>VLOOKUP(D1497,'لیست پرسنل'!$B$2:$E$1020,4,FALSE)</f>
        <v>انبار</v>
      </c>
      <c r="G1497" s="127">
        <f>VLOOKUP(D1497,'لیست پرسنل'!$B$2:$F$1020,2,FALSE)</f>
        <v>98141</v>
      </c>
      <c r="H1497" s="128" t="s">
        <v>4078</v>
      </c>
      <c r="I1497" s="128"/>
      <c r="J1497" s="127" t="s">
        <v>824</v>
      </c>
      <c r="K1497" s="128" t="s">
        <v>824</v>
      </c>
      <c r="L1497" s="127"/>
      <c r="M1497" s="127">
        <v>615350</v>
      </c>
      <c r="N1497" s="108"/>
      <c r="O1497" s="92" t="s">
        <v>828</v>
      </c>
      <c r="P1497" s="20"/>
      <c r="Q1497" s="20"/>
    </row>
    <row r="1498" spans="1:17" ht="24.9" customHeight="1">
      <c r="A1498" s="20">
        <v>362</v>
      </c>
      <c r="B1498" s="20" t="s">
        <v>4320</v>
      </c>
      <c r="C1498" s="20"/>
      <c r="D1498" s="19" t="s">
        <v>326</v>
      </c>
      <c r="E1498" s="19" t="str">
        <f>VLOOKUP(D1498,'لیست پرسنل'!$B$2:$E$1020,3,FALSE)</f>
        <v>فکورصنعت</v>
      </c>
      <c r="F1498" s="19" t="str">
        <f>VLOOKUP(D1498,'لیست پرسنل'!$B$2:$E$1020,4,FALSE)</f>
        <v>انبار</v>
      </c>
      <c r="G1498" s="127">
        <f>VLOOKUP(D1498,'لیست پرسنل'!$B$2:$F$1020,2,FALSE)</f>
        <v>98141</v>
      </c>
      <c r="H1498" s="128" t="s">
        <v>4078</v>
      </c>
      <c r="I1498" s="128"/>
      <c r="J1498" s="127" t="s">
        <v>824</v>
      </c>
      <c r="K1498" s="128" t="s">
        <v>824</v>
      </c>
      <c r="L1498" s="127"/>
      <c r="M1498" s="127">
        <v>615351</v>
      </c>
      <c r="N1498" s="108"/>
      <c r="O1498" s="92" t="s">
        <v>828</v>
      </c>
      <c r="P1498" s="20"/>
      <c r="Q1498" s="20"/>
    </row>
    <row r="1499" spans="1:17" ht="24.9" customHeight="1">
      <c r="A1499" s="20">
        <v>362</v>
      </c>
      <c r="B1499" s="20" t="s">
        <v>4320</v>
      </c>
      <c r="C1499" s="20"/>
      <c r="D1499" s="19" t="s">
        <v>326</v>
      </c>
      <c r="E1499" s="19" t="str">
        <f>VLOOKUP(D1499,'لیست پرسنل'!$B$2:$E$1020,3,FALSE)</f>
        <v>فکورصنعت</v>
      </c>
      <c r="F1499" s="19" t="str">
        <f>VLOOKUP(D1499,'لیست پرسنل'!$B$2:$E$1020,4,FALSE)</f>
        <v>انبار</v>
      </c>
      <c r="G1499" s="127">
        <f>VLOOKUP(D1499,'لیست پرسنل'!$B$2:$F$1020,2,FALSE)</f>
        <v>98141</v>
      </c>
      <c r="H1499" s="128" t="s">
        <v>4078</v>
      </c>
      <c r="I1499" s="128"/>
      <c r="J1499" s="128" t="s">
        <v>3854</v>
      </c>
      <c r="K1499" s="128" t="s">
        <v>818</v>
      </c>
      <c r="L1499" s="127" t="s">
        <v>819</v>
      </c>
      <c r="M1499" s="127">
        <v>615435</v>
      </c>
      <c r="N1499" s="108"/>
      <c r="O1499" s="91" t="s">
        <v>814</v>
      </c>
      <c r="P1499" s="20"/>
      <c r="Q1499" s="20"/>
    </row>
    <row r="1500" spans="1:17" ht="24.9" customHeight="1">
      <c r="A1500" s="20">
        <v>362</v>
      </c>
      <c r="B1500" s="20" t="s">
        <v>4320</v>
      </c>
      <c r="C1500" s="20"/>
      <c r="D1500" s="19" t="s">
        <v>326</v>
      </c>
      <c r="E1500" s="19" t="str">
        <f>VLOOKUP(D1500,'لیست پرسنل'!$B$2:$E$1020,3,FALSE)</f>
        <v>فکورصنعت</v>
      </c>
      <c r="F1500" s="19" t="str">
        <f>VLOOKUP(D1500,'لیست پرسنل'!$B$2:$E$1020,4,FALSE)</f>
        <v>انبار</v>
      </c>
      <c r="G1500" s="127">
        <f>VLOOKUP(D1500,'لیست پرسنل'!$B$2:$F$1020,2,FALSE)</f>
        <v>98141</v>
      </c>
      <c r="H1500" s="128" t="s">
        <v>4078</v>
      </c>
      <c r="I1500" s="128"/>
      <c r="J1500" s="128" t="s">
        <v>3854</v>
      </c>
      <c r="K1500" s="128" t="s">
        <v>820</v>
      </c>
      <c r="L1500" s="127" t="s">
        <v>821</v>
      </c>
      <c r="M1500" s="126" t="s">
        <v>291</v>
      </c>
      <c r="N1500" s="108"/>
      <c r="O1500" s="91" t="s">
        <v>814</v>
      </c>
      <c r="P1500" s="20"/>
      <c r="Q1500" s="20"/>
    </row>
    <row r="1501" spans="1:17" ht="24.9" customHeight="1">
      <c r="A1501" s="20">
        <v>362</v>
      </c>
      <c r="B1501" s="20" t="s">
        <v>4320</v>
      </c>
      <c r="C1501" s="20"/>
      <c r="D1501" s="19" t="s">
        <v>326</v>
      </c>
      <c r="E1501" s="19" t="str">
        <f>VLOOKUP(D1501,'لیست پرسنل'!$B$2:$E$1020,3,FALSE)</f>
        <v>فکورصنعت</v>
      </c>
      <c r="F1501" s="19" t="str">
        <f>VLOOKUP(D1501,'لیست پرسنل'!$B$2:$E$1020,4,FALSE)</f>
        <v>انبار</v>
      </c>
      <c r="G1501" s="127">
        <f>VLOOKUP(D1501,'لیست پرسنل'!$B$2:$F$1020,2,FALSE)</f>
        <v>98141</v>
      </c>
      <c r="H1501" s="128" t="s">
        <v>4078</v>
      </c>
      <c r="I1501" s="128"/>
      <c r="J1501" s="128" t="s">
        <v>4689</v>
      </c>
      <c r="K1501" s="128" t="s">
        <v>3283</v>
      </c>
      <c r="L1501" s="127"/>
      <c r="M1501" s="127">
        <v>615033</v>
      </c>
      <c r="N1501" s="108"/>
      <c r="O1501" s="91" t="s">
        <v>814</v>
      </c>
      <c r="P1501" s="20"/>
      <c r="Q1501" s="20"/>
    </row>
    <row r="1502" spans="1:17" ht="24.9" customHeight="1">
      <c r="A1502" s="20">
        <v>362</v>
      </c>
      <c r="B1502" s="20" t="s">
        <v>4320</v>
      </c>
      <c r="C1502" s="20"/>
      <c r="D1502" s="19" t="s">
        <v>326</v>
      </c>
      <c r="E1502" s="19" t="str">
        <f>VLOOKUP(D1502,'لیست پرسنل'!$B$2:$E$1020,3,FALSE)</f>
        <v>فکورصنعت</v>
      </c>
      <c r="F1502" s="19" t="str">
        <f>VLOOKUP(D1502,'لیست پرسنل'!$B$2:$E$1020,4,FALSE)</f>
        <v>انبار</v>
      </c>
      <c r="G1502" s="127">
        <f>VLOOKUP(D1502,'لیست پرسنل'!$B$2:$F$1020,2,FALSE)</f>
        <v>98141</v>
      </c>
      <c r="H1502" s="128" t="s">
        <v>4078</v>
      </c>
      <c r="I1502" s="128"/>
      <c r="J1502" s="128" t="s">
        <v>4689</v>
      </c>
      <c r="K1502" s="128" t="s">
        <v>829</v>
      </c>
      <c r="L1502" s="127"/>
      <c r="M1502" s="127">
        <v>623494</v>
      </c>
      <c r="N1502" s="108"/>
      <c r="O1502" s="91" t="s">
        <v>814</v>
      </c>
      <c r="P1502" s="20"/>
      <c r="Q1502" s="20"/>
    </row>
    <row r="1503" spans="1:17" ht="24.9" customHeight="1">
      <c r="A1503" s="20">
        <v>362</v>
      </c>
      <c r="B1503" s="20" t="s">
        <v>4320</v>
      </c>
      <c r="C1503" s="20"/>
      <c r="D1503" s="19" t="s">
        <v>326</v>
      </c>
      <c r="E1503" s="19" t="str">
        <f>VLOOKUP(D1503,'لیست پرسنل'!$B$2:$E$1020,3,FALSE)</f>
        <v>فکورصنعت</v>
      </c>
      <c r="F1503" s="19" t="str">
        <f>VLOOKUP(D1503,'لیست پرسنل'!$B$2:$E$1020,4,FALSE)</f>
        <v>انبار</v>
      </c>
      <c r="G1503" s="127">
        <f>VLOOKUP(D1503,'لیست پرسنل'!$B$2:$F$1020,2,FALSE)</f>
        <v>98141</v>
      </c>
      <c r="H1503" s="128" t="s">
        <v>4078</v>
      </c>
      <c r="I1503" s="128"/>
      <c r="J1503" s="128" t="s">
        <v>5366</v>
      </c>
      <c r="K1503" s="128" t="s">
        <v>812</v>
      </c>
      <c r="L1503" s="127" t="s">
        <v>813</v>
      </c>
      <c r="M1503" s="127">
        <v>615034</v>
      </c>
      <c r="N1503" s="108"/>
      <c r="O1503" s="91" t="s">
        <v>814</v>
      </c>
      <c r="P1503" s="20"/>
      <c r="Q1503" s="20"/>
    </row>
    <row r="1504" spans="1:17" ht="24.9" customHeight="1">
      <c r="A1504" s="20">
        <v>362</v>
      </c>
      <c r="B1504" s="20" t="s">
        <v>4320</v>
      </c>
      <c r="C1504" s="20"/>
      <c r="D1504" s="19" t="s">
        <v>326</v>
      </c>
      <c r="E1504" s="19" t="str">
        <f>VLOOKUP(D1504,'لیست پرسنل'!$B$2:$E$1020,3,FALSE)</f>
        <v>فکورصنعت</v>
      </c>
      <c r="F1504" s="19" t="str">
        <f>VLOOKUP(D1504,'لیست پرسنل'!$B$2:$E$1020,4,FALSE)</f>
        <v>انبار</v>
      </c>
      <c r="G1504" s="127">
        <f>VLOOKUP(D1504,'لیست پرسنل'!$B$2:$F$1020,2,FALSE)</f>
        <v>98141</v>
      </c>
      <c r="H1504" s="128" t="s">
        <v>4078</v>
      </c>
      <c r="I1504" s="128"/>
      <c r="J1504" s="128" t="s">
        <v>5366</v>
      </c>
      <c r="K1504" s="128" t="s">
        <v>806</v>
      </c>
      <c r="L1504" s="126" t="s">
        <v>807</v>
      </c>
      <c r="M1504" s="126">
        <v>615890</v>
      </c>
      <c r="N1504" s="108"/>
      <c r="O1504" s="91" t="s">
        <v>814</v>
      </c>
      <c r="P1504" s="20"/>
      <c r="Q1504" s="20"/>
    </row>
    <row r="1505" spans="1:17" ht="24.9" customHeight="1">
      <c r="A1505" s="20">
        <v>362</v>
      </c>
      <c r="B1505" s="20" t="s">
        <v>4320</v>
      </c>
      <c r="C1505" s="20"/>
      <c r="D1505" s="19" t="s">
        <v>326</v>
      </c>
      <c r="E1505" s="19" t="str">
        <f>VLOOKUP(D1505,'لیست پرسنل'!$B$2:$E$1020,3,FALSE)</f>
        <v>فکورصنعت</v>
      </c>
      <c r="F1505" s="19" t="str">
        <f>VLOOKUP(D1505,'لیست پرسنل'!$B$2:$E$1020,4,FALSE)</f>
        <v>انبار</v>
      </c>
      <c r="G1505" s="127">
        <f>VLOOKUP(D1505,'لیست پرسنل'!$B$2:$F$1020,2,FALSE)</f>
        <v>98141</v>
      </c>
      <c r="H1505" s="128" t="s">
        <v>4078</v>
      </c>
      <c r="I1505" s="128"/>
      <c r="J1505" s="128" t="s">
        <v>5366</v>
      </c>
      <c r="K1505" s="128" t="s">
        <v>808</v>
      </c>
      <c r="L1505" s="126" t="s">
        <v>809</v>
      </c>
      <c r="M1505" s="126">
        <v>615891</v>
      </c>
      <c r="N1505" s="108"/>
      <c r="O1505" s="91" t="s">
        <v>814</v>
      </c>
      <c r="P1505" s="20"/>
      <c r="Q1505" s="20"/>
    </row>
    <row r="1506" spans="1:17" ht="24.9" customHeight="1">
      <c r="A1506" s="20">
        <v>362</v>
      </c>
      <c r="B1506" s="20" t="s">
        <v>4320</v>
      </c>
      <c r="C1506" s="20"/>
      <c r="D1506" s="19" t="s">
        <v>326</v>
      </c>
      <c r="E1506" s="19" t="str">
        <f>VLOOKUP(D1506,'لیست پرسنل'!$B$2:$E$1020,3,FALSE)</f>
        <v>فکورصنعت</v>
      </c>
      <c r="F1506" s="19" t="str">
        <f>VLOOKUP(D1506,'لیست پرسنل'!$B$2:$E$1020,4,FALSE)</f>
        <v>انبار</v>
      </c>
      <c r="G1506" s="127">
        <f>VLOOKUP(D1506,'لیست پرسنل'!$B$2:$F$1020,2,FALSE)</f>
        <v>98141</v>
      </c>
      <c r="H1506" s="128" t="s">
        <v>4078</v>
      </c>
      <c r="I1506" s="128"/>
      <c r="J1506" s="128" t="s">
        <v>5366</v>
      </c>
      <c r="K1506" s="128" t="s">
        <v>810</v>
      </c>
      <c r="L1506" s="126" t="s">
        <v>811</v>
      </c>
      <c r="M1506" s="126">
        <v>615893</v>
      </c>
      <c r="N1506" s="108"/>
      <c r="O1506" s="91" t="s">
        <v>814</v>
      </c>
      <c r="P1506" s="20"/>
      <c r="Q1506" s="20"/>
    </row>
    <row r="1507" spans="1:17" ht="24.9" customHeight="1">
      <c r="A1507" s="20">
        <v>362</v>
      </c>
      <c r="B1507" s="20" t="s">
        <v>4320</v>
      </c>
      <c r="C1507" s="20"/>
      <c r="D1507" s="19" t="s">
        <v>326</v>
      </c>
      <c r="E1507" s="19" t="str">
        <f>VLOOKUP(D1507,'لیست پرسنل'!$B$2:$E$1020,3,FALSE)</f>
        <v>فکورصنعت</v>
      </c>
      <c r="F1507" s="19" t="str">
        <f>VLOOKUP(D1507,'لیست پرسنل'!$B$2:$E$1020,4,FALSE)</f>
        <v>انبار</v>
      </c>
      <c r="G1507" s="127">
        <f>VLOOKUP(D1507,'لیست پرسنل'!$B$2:$F$1020,2,FALSE)</f>
        <v>98141</v>
      </c>
      <c r="H1507" s="128" t="s">
        <v>4078</v>
      </c>
      <c r="I1507" s="128"/>
      <c r="J1507" s="128" t="s">
        <v>4719</v>
      </c>
      <c r="K1507" s="128" t="s">
        <v>817</v>
      </c>
      <c r="L1507" s="127"/>
      <c r="M1507" s="127">
        <v>615418</v>
      </c>
      <c r="N1507" s="108"/>
      <c r="O1507" s="91" t="s">
        <v>814</v>
      </c>
      <c r="P1507" s="20"/>
      <c r="Q1507" s="20"/>
    </row>
    <row r="1508" spans="1:17" ht="24.9" customHeight="1">
      <c r="A1508" s="20">
        <v>362</v>
      </c>
      <c r="B1508" s="20" t="s">
        <v>4320</v>
      </c>
      <c r="C1508" s="20"/>
      <c r="D1508" s="19" t="s">
        <v>326</v>
      </c>
      <c r="E1508" s="19" t="str">
        <f>VLOOKUP(D1508,'لیست پرسنل'!$B$2:$E$1020,3,FALSE)</f>
        <v>فکورصنعت</v>
      </c>
      <c r="F1508" s="19" t="str">
        <f>VLOOKUP(D1508,'لیست پرسنل'!$B$2:$E$1020,4,FALSE)</f>
        <v>انبار</v>
      </c>
      <c r="G1508" s="127">
        <f>VLOOKUP(D1508,'لیست پرسنل'!$B$2:$F$1020,2,FALSE)</f>
        <v>98141</v>
      </c>
      <c r="H1508" s="128" t="s">
        <v>4078</v>
      </c>
      <c r="I1508" s="128"/>
      <c r="J1508" s="128" t="s">
        <v>4719</v>
      </c>
      <c r="K1508" s="128" t="s">
        <v>817</v>
      </c>
      <c r="L1508" s="127"/>
      <c r="M1508" s="127">
        <v>615419</v>
      </c>
      <c r="N1508" s="108"/>
      <c r="O1508" s="91" t="s">
        <v>814</v>
      </c>
      <c r="P1508" s="20"/>
      <c r="Q1508" s="20"/>
    </row>
    <row r="1509" spans="1:17" ht="24.9" customHeight="1">
      <c r="A1509" s="20">
        <v>362</v>
      </c>
      <c r="B1509" s="20" t="s">
        <v>4320</v>
      </c>
      <c r="C1509" s="20"/>
      <c r="D1509" s="19" t="s">
        <v>326</v>
      </c>
      <c r="E1509" s="19" t="str">
        <f>VLOOKUP(D1509,'لیست پرسنل'!$B$2:$E$1020,3,FALSE)</f>
        <v>فکورصنعت</v>
      </c>
      <c r="F1509" s="19" t="str">
        <f>VLOOKUP(D1509,'لیست پرسنل'!$B$2:$E$1020,4,FALSE)</f>
        <v>انبار</v>
      </c>
      <c r="G1509" s="127">
        <f>VLOOKUP(D1509,'لیست پرسنل'!$B$2:$F$1020,2,FALSE)</f>
        <v>98141</v>
      </c>
      <c r="H1509" s="128" t="s">
        <v>4078</v>
      </c>
      <c r="I1509" s="128"/>
      <c r="J1509" s="128" t="s">
        <v>4719</v>
      </c>
      <c r="K1509" s="128" t="s">
        <v>817</v>
      </c>
      <c r="L1509" s="127"/>
      <c r="M1509" s="127">
        <v>615420</v>
      </c>
      <c r="N1509" s="108"/>
      <c r="O1509" s="91" t="s">
        <v>814</v>
      </c>
      <c r="P1509" s="20"/>
      <c r="Q1509" s="20"/>
    </row>
    <row r="1510" spans="1:17" ht="24.9" customHeight="1">
      <c r="A1510" s="20">
        <v>362</v>
      </c>
      <c r="B1510" s="20" t="s">
        <v>4320</v>
      </c>
      <c r="C1510" s="20"/>
      <c r="D1510" s="19" t="s">
        <v>326</v>
      </c>
      <c r="E1510" s="19" t="str">
        <f>VLOOKUP(D1510,'لیست پرسنل'!$B$2:$E$1020,3,FALSE)</f>
        <v>فکورصنعت</v>
      </c>
      <c r="F1510" s="19" t="str">
        <f>VLOOKUP(D1510,'لیست پرسنل'!$B$2:$E$1020,4,FALSE)</f>
        <v>انبار</v>
      </c>
      <c r="G1510" s="127">
        <f>VLOOKUP(D1510,'لیست پرسنل'!$B$2:$F$1020,2,FALSE)</f>
        <v>98141</v>
      </c>
      <c r="H1510" s="128" t="s">
        <v>4078</v>
      </c>
      <c r="I1510" s="128"/>
      <c r="J1510" s="128" t="s">
        <v>4719</v>
      </c>
      <c r="K1510" s="128" t="s">
        <v>817</v>
      </c>
      <c r="L1510" s="127"/>
      <c r="M1510" s="127">
        <v>615421</v>
      </c>
      <c r="N1510" s="108"/>
      <c r="O1510" s="91" t="s">
        <v>814</v>
      </c>
      <c r="P1510" s="20"/>
      <c r="Q1510" s="20"/>
    </row>
    <row r="1511" spans="1:17" ht="24.9" customHeight="1">
      <c r="A1511" s="20">
        <v>362</v>
      </c>
      <c r="B1511" s="20" t="s">
        <v>4320</v>
      </c>
      <c r="C1511" s="20"/>
      <c r="D1511" s="19" t="s">
        <v>326</v>
      </c>
      <c r="E1511" s="19" t="str">
        <f>VLOOKUP(D1511,'لیست پرسنل'!$B$2:$E$1020,3,FALSE)</f>
        <v>فکورصنعت</v>
      </c>
      <c r="F1511" s="19" t="str">
        <f>VLOOKUP(D1511,'لیست پرسنل'!$B$2:$E$1020,4,FALSE)</f>
        <v>انبار</v>
      </c>
      <c r="G1511" s="127">
        <f>VLOOKUP(D1511,'لیست پرسنل'!$B$2:$F$1020,2,FALSE)</f>
        <v>98141</v>
      </c>
      <c r="H1511" s="128" t="s">
        <v>4078</v>
      </c>
      <c r="I1511" s="128"/>
      <c r="J1511" s="128" t="s">
        <v>4719</v>
      </c>
      <c r="K1511" s="128" t="s">
        <v>817</v>
      </c>
      <c r="L1511" s="127"/>
      <c r="M1511" s="127">
        <v>615422</v>
      </c>
      <c r="N1511" s="108"/>
      <c r="O1511" s="91" t="s">
        <v>814</v>
      </c>
      <c r="P1511" s="20"/>
      <c r="Q1511" s="20"/>
    </row>
    <row r="1512" spans="1:17" ht="24.9" customHeight="1">
      <c r="A1512" s="20">
        <v>362</v>
      </c>
      <c r="B1512" s="20" t="s">
        <v>4320</v>
      </c>
      <c r="C1512" s="20"/>
      <c r="D1512" s="19" t="s">
        <v>326</v>
      </c>
      <c r="E1512" s="19" t="str">
        <f>VLOOKUP(D1512,'لیست پرسنل'!$B$2:$E$1020,3,FALSE)</f>
        <v>فکورصنعت</v>
      </c>
      <c r="F1512" s="19" t="str">
        <f>VLOOKUP(D1512,'لیست پرسنل'!$B$2:$E$1020,4,FALSE)</f>
        <v>انبار</v>
      </c>
      <c r="G1512" s="127">
        <f>VLOOKUP(D1512,'لیست پرسنل'!$B$2:$F$1020,2,FALSE)</f>
        <v>98141</v>
      </c>
      <c r="H1512" s="128" t="s">
        <v>4078</v>
      </c>
      <c r="I1512" s="128"/>
      <c r="J1512" s="128" t="s">
        <v>4719</v>
      </c>
      <c r="K1512" s="128" t="s">
        <v>817</v>
      </c>
      <c r="L1512" s="127"/>
      <c r="M1512" s="127">
        <v>615423</v>
      </c>
      <c r="N1512" s="108"/>
      <c r="O1512" s="91" t="s">
        <v>814</v>
      </c>
      <c r="P1512" s="20"/>
      <c r="Q1512" s="20"/>
    </row>
    <row r="1513" spans="1:17" ht="24.9" customHeight="1">
      <c r="A1513" s="20">
        <v>362</v>
      </c>
      <c r="B1513" s="20" t="s">
        <v>4320</v>
      </c>
      <c r="C1513" s="20"/>
      <c r="D1513" s="19" t="s">
        <v>326</v>
      </c>
      <c r="E1513" s="19" t="str">
        <f>VLOOKUP(D1513,'لیست پرسنل'!$B$2:$E$1020,3,FALSE)</f>
        <v>فکورصنعت</v>
      </c>
      <c r="F1513" s="19" t="str">
        <f>VLOOKUP(D1513,'لیست پرسنل'!$B$2:$E$1020,4,FALSE)</f>
        <v>انبار</v>
      </c>
      <c r="G1513" s="127">
        <f>VLOOKUP(D1513,'لیست پرسنل'!$B$2:$F$1020,2,FALSE)</f>
        <v>98141</v>
      </c>
      <c r="H1513" s="128" t="s">
        <v>4078</v>
      </c>
      <c r="I1513" s="128"/>
      <c r="J1513" s="128" t="s">
        <v>4719</v>
      </c>
      <c r="K1513" s="128" t="s">
        <v>817</v>
      </c>
      <c r="L1513" s="127"/>
      <c r="M1513" s="127">
        <v>615424</v>
      </c>
      <c r="N1513" s="108"/>
      <c r="O1513" s="91" t="s">
        <v>814</v>
      </c>
      <c r="P1513" s="20"/>
      <c r="Q1513" s="20"/>
    </row>
    <row r="1514" spans="1:17" ht="24.9" customHeight="1">
      <c r="A1514" s="20">
        <v>362</v>
      </c>
      <c r="B1514" s="20" t="s">
        <v>4320</v>
      </c>
      <c r="C1514" s="20"/>
      <c r="D1514" s="19" t="s">
        <v>326</v>
      </c>
      <c r="E1514" s="19" t="str">
        <f>VLOOKUP(D1514,'لیست پرسنل'!$B$2:$E$1020,3,FALSE)</f>
        <v>فکورصنعت</v>
      </c>
      <c r="F1514" s="19" t="str">
        <f>VLOOKUP(D1514,'لیست پرسنل'!$B$2:$E$1020,4,FALSE)</f>
        <v>انبار</v>
      </c>
      <c r="G1514" s="127">
        <f>VLOOKUP(D1514,'لیست پرسنل'!$B$2:$F$1020,2,FALSE)</f>
        <v>98141</v>
      </c>
      <c r="H1514" s="128" t="s">
        <v>4078</v>
      </c>
      <c r="I1514" s="128"/>
      <c r="J1514" s="128" t="s">
        <v>4719</v>
      </c>
      <c r="K1514" s="128" t="s">
        <v>817</v>
      </c>
      <c r="L1514" s="127"/>
      <c r="M1514" s="127">
        <v>615425</v>
      </c>
      <c r="N1514" s="108"/>
      <c r="O1514" s="91" t="s">
        <v>814</v>
      </c>
      <c r="P1514" s="20"/>
      <c r="Q1514" s="20"/>
    </row>
    <row r="1515" spans="1:17" ht="24.9" customHeight="1">
      <c r="A1515" s="20">
        <v>362</v>
      </c>
      <c r="B1515" s="20" t="s">
        <v>4320</v>
      </c>
      <c r="C1515" s="20"/>
      <c r="D1515" s="19" t="s">
        <v>326</v>
      </c>
      <c r="E1515" s="19" t="str">
        <f>VLOOKUP(D1515,'لیست پرسنل'!$B$2:$E$1020,3,FALSE)</f>
        <v>فکورصنعت</v>
      </c>
      <c r="F1515" s="19" t="str">
        <f>VLOOKUP(D1515,'لیست پرسنل'!$B$2:$E$1020,4,FALSE)</f>
        <v>انبار</v>
      </c>
      <c r="G1515" s="127">
        <f>VLOOKUP(D1515,'لیست پرسنل'!$B$2:$F$1020,2,FALSE)</f>
        <v>98141</v>
      </c>
      <c r="H1515" s="128" t="s">
        <v>4078</v>
      </c>
      <c r="I1515" s="128"/>
      <c r="J1515" s="128" t="s">
        <v>4719</v>
      </c>
      <c r="K1515" s="128" t="s">
        <v>817</v>
      </c>
      <c r="L1515" s="127"/>
      <c r="M1515" s="127">
        <v>615426</v>
      </c>
      <c r="N1515" s="108"/>
      <c r="O1515" s="91" t="s">
        <v>814</v>
      </c>
      <c r="P1515" s="20"/>
      <c r="Q1515" s="20"/>
    </row>
    <row r="1516" spans="1:17" ht="24.9" customHeight="1">
      <c r="A1516" s="20">
        <v>362</v>
      </c>
      <c r="B1516" s="20" t="s">
        <v>4320</v>
      </c>
      <c r="C1516" s="20"/>
      <c r="D1516" s="19" t="s">
        <v>326</v>
      </c>
      <c r="E1516" s="19" t="str">
        <f>VLOOKUP(D1516,'لیست پرسنل'!$B$2:$E$1020,3,FALSE)</f>
        <v>فکورصنعت</v>
      </c>
      <c r="F1516" s="19" t="str">
        <f>VLOOKUP(D1516,'لیست پرسنل'!$B$2:$E$1020,4,FALSE)</f>
        <v>انبار</v>
      </c>
      <c r="G1516" s="127">
        <f>VLOOKUP(D1516,'لیست پرسنل'!$B$2:$F$1020,2,FALSE)</f>
        <v>98141</v>
      </c>
      <c r="H1516" s="128" t="s">
        <v>4078</v>
      </c>
      <c r="I1516" s="128"/>
      <c r="J1516" s="128" t="s">
        <v>4719</v>
      </c>
      <c r="K1516" s="128" t="s">
        <v>817</v>
      </c>
      <c r="L1516" s="127"/>
      <c r="M1516" s="127">
        <v>615427</v>
      </c>
      <c r="N1516" s="108"/>
      <c r="O1516" s="91" t="s">
        <v>814</v>
      </c>
      <c r="P1516" s="20"/>
      <c r="Q1516" s="20"/>
    </row>
    <row r="1517" spans="1:17" ht="24.9" customHeight="1">
      <c r="A1517" s="20">
        <v>362</v>
      </c>
      <c r="B1517" s="20" t="s">
        <v>4320</v>
      </c>
      <c r="C1517" s="20"/>
      <c r="D1517" s="19" t="s">
        <v>326</v>
      </c>
      <c r="E1517" s="19" t="str">
        <f>VLOOKUP(D1517,'لیست پرسنل'!$B$2:$E$1020,3,FALSE)</f>
        <v>فکورصنعت</v>
      </c>
      <c r="F1517" s="19" t="str">
        <f>VLOOKUP(D1517,'لیست پرسنل'!$B$2:$E$1020,4,FALSE)</f>
        <v>انبار</v>
      </c>
      <c r="G1517" s="127">
        <f>VLOOKUP(D1517,'لیست پرسنل'!$B$2:$F$1020,2,FALSE)</f>
        <v>98141</v>
      </c>
      <c r="H1517" s="128" t="s">
        <v>4078</v>
      </c>
      <c r="I1517" s="128"/>
      <c r="J1517" s="128" t="s">
        <v>4719</v>
      </c>
      <c r="K1517" s="128" t="s">
        <v>817</v>
      </c>
      <c r="L1517" s="127"/>
      <c r="M1517" s="127">
        <v>615428</v>
      </c>
      <c r="N1517" s="108"/>
      <c r="O1517" s="91" t="s">
        <v>814</v>
      </c>
      <c r="P1517" s="20"/>
      <c r="Q1517" s="20"/>
    </row>
    <row r="1518" spans="1:17" ht="24.9" customHeight="1">
      <c r="A1518" s="20">
        <v>362</v>
      </c>
      <c r="B1518" s="20" t="s">
        <v>4320</v>
      </c>
      <c r="C1518" s="20"/>
      <c r="D1518" s="19" t="s">
        <v>326</v>
      </c>
      <c r="E1518" s="19" t="str">
        <f>VLOOKUP(D1518,'لیست پرسنل'!$B$2:$E$1020,3,FALSE)</f>
        <v>فکورصنعت</v>
      </c>
      <c r="F1518" s="19" t="str">
        <f>VLOOKUP(D1518,'لیست پرسنل'!$B$2:$E$1020,4,FALSE)</f>
        <v>انبار</v>
      </c>
      <c r="G1518" s="127">
        <f>VLOOKUP(D1518,'لیست پرسنل'!$B$2:$F$1020,2,FALSE)</f>
        <v>98141</v>
      </c>
      <c r="H1518" s="128" t="s">
        <v>4078</v>
      </c>
      <c r="I1518" s="128"/>
      <c r="J1518" s="128" t="s">
        <v>4719</v>
      </c>
      <c r="K1518" s="128" t="s">
        <v>817</v>
      </c>
      <c r="L1518" s="127"/>
      <c r="M1518" s="127">
        <v>615429</v>
      </c>
      <c r="N1518" s="108"/>
      <c r="O1518" s="91" t="s">
        <v>814</v>
      </c>
      <c r="P1518" s="20"/>
      <c r="Q1518" s="20"/>
    </row>
    <row r="1519" spans="1:17" ht="24.9" customHeight="1">
      <c r="A1519" s="20">
        <v>362</v>
      </c>
      <c r="B1519" s="20" t="s">
        <v>4320</v>
      </c>
      <c r="C1519" s="20"/>
      <c r="D1519" s="19" t="s">
        <v>326</v>
      </c>
      <c r="E1519" s="19" t="str">
        <f>VLOOKUP(D1519,'لیست پرسنل'!$B$2:$E$1020,3,FALSE)</f>
        <v>فکورصنعت</v>
      </c>
      <c r="F1519" s="19" t="str">
        <f>VLOOKUP(D1519,'لیست پرسنل'!$B$2:$E$1020,4,FALSE)</f>
        <v>انبار</v>
      </c>
      <c r="G1519" s="127">
        <f>VLOOKUP(D1519,'لیست پرسنل'!$B$2:$F$1020,2,FALSE)</f>
        <v>98141</v>
      </c>
      <c r="H1519" s="128" t="s">
        <v>4078</v>
      </c>
      <c r="I1519" s="128"/>
      <c r="J1519" s="128" t="s">
        <v>4719</v>
      </c>
      <c r="K1519" s="128" t="s">
        <v>817</v>
      </c>
      <c r="L1519" s="127"/>
      <c r="M1519" s="127">
        <v>615430</v>
      </c>
      <c r="N1519" s="108"/>
      <c r="O1519" s="91" t="s">
        <v>814</v>
      </c>
      <c r="P1519" s="20"/>
      <c r="Q1519" s="20"/>
    </row>
    <row r="1520" spans="1:17" ht="24.9" customHeight="1">
      <c r="A1520" s="20">
        <v>362</v>
      </c>
      <c r="B1520" s="20" t="s">
        <v>4320</v>
      </c>
      <c r="C1520" s="20"/>
      <c r="D1520" s="19" t="s">
        <v>326</v>
      </c>
      <c r="E1520" s="19" t="str">
        <f>VLOOKUP(D1520,'لیست پرسنل'!$B$2:$E$1020,3,FALSE)</f>
        <v>فکورصنعت</v>
      </c>
      <c r="F1520" s="19" t="str">
        <f>VLOOKUP(D1520,'لیست پرسنل'!$B$2:$E$1020,4,FALSE)</f>
        <v>انبار</v>
      </c>
      <c r="G1520" s="127">
        <f>VLOOKUP(D1520,'لیست پرسنل'!$B$2:$F$1020,2,FALSE)</f>
        <v>98141</v>
      </c>
      <c r="H1520" s="128" t="s">
        <v>4078</v>
      </c>
      <c r="I1520" s="128"/>
      <c r="J1520" s="128" t="s">
        <v>4719</v>
      </c>
      <c r="K1520" s="128" t="s">
        <v>817</v>
      </c>
      <c r="L1520" s="127"/>
      <c r="M1520" s="127">
        <v>615431</v>
      </c>
      <c r="N1520" s="108"/>
      <c r="O1520" s="91" t="s">
        <v>814</v>
      </c>
      <c r="P1520" s="20"/>
      <c r="Q1520" s="20"/>
    </row>
    <row r="1521" spans="1:17" ht="24.9" customHeight="1">
      <c r="A1521" s="20">
        <v>362</v>
      </c>
      <c r="B1521" s="20" t="s">
        <v>4320</v>
      </c>
      <c r="C1521" s="20"/>
      <c r="D1521" s="19" t="s">
        <v>326</v>
      </c>
      <c r="E1521" s="19" t="str">
        <f>VLOOKUP(D1521,'لیست پرسنل'!$B$2:$E$1020,3,FALSE)</f>
        <v>فکورصنعت</v>
      </c>
      <c r="F1521" s="19" t="str">
        <f>VLOOKUP(D1521,'لیست پرسنل'!$B$2:$E$1020,4,FALSE)</f>
        <v>انبار</v>
      </c>
      <c r="G1521" s="127">
        <f>VLOOKUP(D1521,'لیست پرسنل'!$B$2:$F$1020,2,FALSE)</f>
        <v>98141</v>
      </c>
      <c r="H1521" s="128" t="s">
        <v>4078</v>
      </c>
      <c r="I1521" s="128"/>
      <c r="J1521" s="128" t="s">
        <v>4719</v>
      </c>
      <c r="K1521" s="128" t="s">
        <v>817</v>
      </c>
      <c r="L1521" s="127"/>
      <c r="M1521" s="127">
        <v>615432</v>
      </c>
      <c r="N1521" s="108"/>
      <c r="O1521" s="91" t="s">
        <v>814</v>
      </c>
      <c r="P1521" s="20"/>
      <c r="Q1521" s="20"/>
    </row>
    <row r="1522" spans="1:17" ht="24.9" customHeight="1">
      <c r="A1522" s="20">
        <v>362</v>
      </c>
      <c r="B1522" s="20" t="s">
        <v>4320</v>
      </c>
      <c r="C1522" s="20"/>
      <c r="D1522" s="19" t="s">
        <v>326</v>
      </c>
      <c r="E1522" s="19" t="str">
        <f>VLOOKUP(D1522,'لیست پرسنل'!$B$2:$E$1020,3,FALSE)</f>
        <v>فکورصنعت</v>
      </c>
      <c r="F1522" s="19" t="str">
        <f>VLOOKUP(D1522,'لیست پرسنل'!$B$2:$E$1020,4,FALSE)</f>
        <v>انبار</v>
      </c>
      <c r="G1522" s="127">
        <f>VLOOKUP(D1522,'لیست پرسنل'!$B$2:$F$1020,2,FALSE)</f>
        <v>98141</v>
      </c>
      <c r="H1522" s="128" t="s">
        <v>4078</v>
      </c>
      <c r="I1522" s="128"/>
      <c r="J1522" s="128" t="s">
        <v>4719</v>
      </c>
      <c r="K1522" s="128" t="s">
        <v>817</v>
      </c>
      <c r="L1522" s="127"/>
      <c r="M1522" s="127">
        <v>615433</v>
      </c>
      <c r="N1522" s="108"/>
      <c r="O1522" s="91" t="s">
        <v>814</v>
      </c>
      <c r="P1522" s="20"/>
      <c r="Q1522" s="20"/>
    </row>
    <row r="1523" spans="1:17" ht="24.9" customHeight="1">
      <c r="A1523" s="20">
        <v>362</v>
      </c>
      <c r="B1523" s="20" t="s">
        <v>4320</v>
      </c>
      <c r="C1523" s="20"/>
      <c r="D1523" s="19" t="s">
        <v>326</v>
      </c>
      <c r="E1523" s="19" t="str">
        <f>VLOOKUP(D1523,'لیست پرسنل'!$B$2:$E$1020,3,FALSE)</f>
        <v>فکورصنعت</v>
      </c>
      <c r="F1523" s="19" t="str">
        <f>VLOOKUP(D1523,'لیست پرسنل'!$B$2:$E$1020,4,FALSE)</f>
        <v>انبار</v>
      </c>
      <c r="G1523" s="127">
        <f>VLOOKUP(D1523,'لیست پرسنل'!$B$2:$F$1020,2,FALSE)</f>
        <v>98141</v>
      </c>
      <c r="H1523" s="128" t="s">
        <v>4078</v>
      </c>
      <c r="I1523" s="128"/>
      <c r="J1523" s="128" t="s">
        <v>4719</v>
      </c>
      <c r="K1523" s="128" t="s">
        <v>817</v>
      </c>
      <c r="L1523" s="127"/>
      <c r="M1523" s="127">
        <v>615434</v>
      </c>
      <c r="N1523" s="108"/>
      <c r="O1523" s="91" t="s">
        <v>814</v>
      </c>
      <c r="P1523" s="20"/>
      <c r="Q1523" s="20"/>
    </row>
    <row r="1524" spans="1:17" ht="24.9" customHeight="1">
      <c r="A1524" s="20">
        <v>362</v>
      </c>
      <c r="B1524" s="20" t="s">
        <v>4320</v>
      </c>
      <c r="C1524" s="20"/>
      <c r="D1524" s="19" t="s">
        <v>326</v>
      </c>
      <c r="E1524" s="19" t="str">
        <f>VLOOKUP(D1524,'لیست پرسنل'!$B$2:$E$1020,3,FALSE)</f>
        <v>فکورصنعت</v>
      </c>
      <c r="F1524" s="19" t="str">
        <f>VLOOKUP(D1524,'لیست پرسنل'!$B$2:$E$1020,4,FALSE)</f>
        <v>انبار</v>
      </c>
      <c r="G1524" s="127">
        <f>VLOOKUP(D1524,'لیست پرسنل'!$B$2:$F$1020,2,FALSE)</f>
        <v>98141</v>
      </c>
      <c r="H1524" s="128" t="s">
        <v>4078</v>
      </c>
      <c r="I1524" s="128"/>
      <c r="J1524" s="128" t="s">
        <v>4719</v>
      </c>
      <c r="K1524" s="128" t="s">
        <v>817</v>
      </c>
      <c r="L1524" s="127"/>
      <c r="M1524" s="127">
        <v>615436</v>
      </c>
      <c r="N1524" s="108"/>
      <c r="O1524" s="91" t="s">
        <v>814</v>
      </c>
      <c r="P1524" s="20"/>
      <c r="Q1524" s="20"/>
    </row>
    <row r="1525" spans="1:17" ht="24.9" customHeight="1">
      <c r="A1525" s="20">
        <v>362</v>
      </c>
      <c r="B1525" s="20" t="s">
        <v>4320</v>
      </c>
      <c r="C1525" s="20"/>
      <c r="D1525" s="19" t="s">
        <v>326</v>
      </c>
      <c r="E1525" s="19" t="str">
        <f>VLOOKUP(D1525,'لیست پرسنل'!$B$2:$E$1020,3,FALSE)</f>
        <v>فکورصنعت</v>
      </c>
      <c r="F1525" s="19" t="str">
        <f>VLOOKUP(D1525,'لیست پرسنل'!$B$2:$E$1020,4,FALSE)</f>
        <v>انبار</v>
      </c>
      <c r="G1525" s="127">
        <f>VLOOKUP(D1525,'لیست پرسنل'!$B$2:$F$1020,2,FALSE)</f>
        <v>98141</v>
      </c>
      <c r="H1525" s="128" t="s">
        <v>4078</v>
      </c>
      <c r="I1525" s="128"/>
      <c r="J1525" s="128" t="s">
        <v>4719</v>
      </c>
      <c r="K1525" s="128" t="s">
        <v>822</v>
      </c>
      <c r="L1525" s="127"/>
      <c r="M1525" s="126">
        <v>615482</v>
      </c>
      <c r="N1525" s="108"/>
      <c r="O1525" s="91" t="s">
        <v>814</v>
      </c>
      <c r="P1525" s="20"/>
      <c r="Q1525" s="20"/>
    </row>
    <row r="1526" spans="1:17" ht="24.9" customHeight="1">
      <c r="A1526" s="20">
        <v>362</v>
      </c>
      <c r="B1526" s="20" t="s">
        <v>4320</v>
      </c>
      <c r="C1526" s="20"/>
      <c r="D1526" s="19" t="s">
        <v>326</v>
      </c>
      <c r="E1526" s="19" t="str">
        <f>VLOOKUP(D1526,'لیست پرسنل'!$B$2:$E$1020,3,FALSE)</f>
        <v>فکورصنعت</v>
      </c>
      <c r="F1526" s="19" t="str">
        <f>VLOOKUP(D1526,'لیست پرسنل'!$B$2:$E$1020,4,FALSE)</f>
        <v>انبار</v>
      </c>
      <c r="G1526" s="127">
        <f>VLOOKUP(D1526,'لیست پرسنل'!$B$2:$F$1020,2,FALSE)</f>
        <v>98141</v>
      </c>
      <c r="H1526" s="128" t="s">
        <v>4078</v>
      </c>
      <c r="I1526" s="128"/>
      <c r="J1526" s="128" t="s">
        <v>4719</v>
      </c>
      <c r="K1526" s="128" t="s">
        <v>5322</v>
      </c>
      <c r="L1526" s="127"/>
      <c r="M1526" s="126">
        <v>615483</v>
      </c>
      <c r="N1526" s="108"/>
      <c r="O1526" s="91" t="s">
        <v>814</v>
      </c>
      <c r="P1526" s="20"/>
      <c r="Q1526" s="20"/>
    </row>
    <row r="1527" spans="1:17" ht="24.9" customHeight="1">
      <c r="A1527" s="20">
        <v>362</v>
      </c>
      <c r="B1527" s="20" t="s">
        <v>4320</v>
      </c>
      <c r="C1527" s="20"/>
      <c r="D1527" s="20" t="s">
        <v>326</v>
      </c>
      <c r="E1527" s="19" t="str">
        <f>VLOOKUP(D1527,'لیست پرسنل'!$B$2:$E$1020,3,FALSE)</f>
        <v>فکورصنعت</v>
      </c>
      <c r="F1527" s="19" t="str">
        <f>VLOOKUP(D1527,'لیست پرسنل'!$B$2:$E$1020,4,FALSE)</f>
        <v>انبار</v>
      </c>
      <c r="G1527" s="127">
        <f>VLOOKUP(D1527,'لیست پرسنل'!$B$2:$F$1020,2,FALSE)</f>
        <v>98141</v>
      </c>
      <c r="H1527" s="128" t="s">
        <v>5058</v>
      </c>
      <c r="I1527" s="128"/>
      <c r="J1527" s="128" t="s">
        <v>3483</v>
      </c>
      <c r="K1527" s="128" t="s">
        <v>3340</v>
      </c>
      <c r="L1527" s="127"/>
      <c r="M1527" s="128">
        <v>619004</v>
      </c>
      <c r="N1527" s="108"/>
      <c r="O1527" s="20" t="s">
        <v>3341</v>
      </c>
      <c r="P1527" s="20"/>
      <c r="Q1527" s="20"/>
    </row>
    <row r="1528" spans="1:17" ht="24.9" customHeight="1">
      <c r="A1528" s="20">
        <v>362</v>
      </c>
      <c r="B1528" s="20" t="s">
        <v>4320</v>
      </c>
      <c r="C1528" s="19"/>
      <c r="D1528" s="20" t="s">
        <v>326</v>
      </c>
      <c r="E1528" s="19" t="str">
        <f>VLOOKUP(D1528,'لیست پرسنل'!$B$2:$E$1020,3,FALSE)</f>
        <v>فکورصنعت</v>
      </c>
      <c r="F1528" s="19" t="str">
        <f>VLOOKUP(D1528,'لیست پرسنل'!$B$2:$E$1020,4,FALSE)</f>
        <v>انبار</v>
      </c>
      <c r="G1528" s="127">
        <f>VLOOKUP(D1528,'لیست پرسنل'!$B$2:$F$1020,2,FALSE)</f>
        <v>98141</v>
      </c>
      <c r="H1528" s="126" t="s">
        <v>8121</v>
      </c>
      <c r="I1528" s="128"/>
      <c r="J1528" s="128" t="s">
        <v>3476</v>
      </c>
      <c r="K1528" s="128" t="s">
        <v>4801</v>
      </c>
      <c r="L1528" s="128" t="s">
        <v>5242</v>
      </c>
      <c r="M1528" s="128">
        <v>631303</v>
      </c>
      <c r="N1528" s="108"/>
      <c r="O1528" s="20"/>
      <c r="P1528" s="20"/>
      <c r="Q1528" s="20"/>
    </row>
    <row r="1529" spans="1:17" ht="24.9" customHeight="1">
      <c r="A1529" s="20">
        <v>362</v>
      </c>
      <c r="B1529" s="20" t="s">
        <v>4320</v>
      </c>
      <c r="C1529" s="19"/>
      <c r="D1529" s="20" t="s">
        <v>326</v>
      </c>
      <c r="E1529" s="19" t="str">
        <f>VLOOKUP(D1529,'لیست پرسنل'!$B$2:$E$1020,3,FALSE)</f>
        <v>فکورصنعت</v>
      </c>
      <c r="F1529" s="19" t="str">
        <f>VLOOKUP(D1529,'لیست پرسنل'!$B$2:$E$1020,4,FALSE)</f>
        <v>انبار</v>
      </c>
      <c r="G1529" s="127">
        <f>VLOOKUP(D1529,'لیست پرسنل'!$B$2:$F$1020,2,FALSE)</f>
        <v>98141</v>
      </c>
      <c r="H1529" s="126" t="s">
        <v>8121</v>
      </c>
      <c r="I1529" s="128"/>
      <c r="J1529" s="128" t="s">
        <v>3476</v>
      </c>
      <c r="K1529" s="128" t="s">
        <v>4801</v>
      </c>
      <c r="L1529" s="128" t="s">
        <v>5247</v>
      </c>
      <c r="M1529" s="128">
        <v>631309</v>
      </c>
      <c r="N1529" s="108"/>
      <c r="O1529" s="20"/>
      <c r="P1529" s="20"/>
      <c r="Q1529" s="20"/>
    </row>
    <row r="1530" spans="1:17" ht="24.9" customHeight="1">
      <c r="A1530" s="20">
        <v>362</v>
      </c>
      <c r="B1530" s="20" t="s">
        <v>4320</v>
      </c>
      <c r="C1530" s="20"/>
      <c r="D1530" s="20" t="s">
        <v>326</v>
      </c>
      <c r="E1530" s="19" t="str">
        <f>VLOOKUP(D1530,'لیست پرسنل'!$B$2:$E$1020,3,FALSE)</f>
        <v>فکورصنعت</v>
      </c>
      <c r="F1530" s="19" t="str">
        <f>VLOOKUP(D1530,'لیست پرسنل'!$B$2:$E$1020,4,FALSE)</f>
        <v>انبار</v>
      </c>
      <c r="G1530" s="127">
        <f>VLOOKUP(D1530,'لیست پرسنل'!$B$2:$F$1020,2,FALSE)</f>
        <v>98141</v>
      </c>
      <c r="H1530" s="128" t="s">
        <v>5936</v>
      </c>
      <c r="I1530" s="128"/>
      <c r="J1530" s="127" t="s">
        <v>5927</v>
      </c>
      <c r="K1530" s="128" t="s">
        <v>3323</v>
      </c>
      <c r="L1530" s="127"/>
      <c r="M1530" s="127">
        <v>621817</v>
      </c>
      <c r="N1530" s="109"/>
      <c r="O1530" s="19"/>
      <c r="P1530" s="19"/>
      <c r="Q1530" s="20"/>
    </row>
    <row r="1531" spans="1:17" ht="24.9" customHeight="1">
      <c r="A1531" s="20">
        <v>362</v>
      </c>
      <c r="B1531" s="20" t="s">
        <v>4320</v>
      </c>
      <c r="C1531" s="20"/>
      <c r="D1531" s="20" t="s">
        <v>326</v>
      </c>
      <c r="E1531" s="19" t="str">
        <f>VLOOKUP(D1531,'لیست پرسنل'!$B$2:$E$1020,3,FALSE)</f>
        <v>فکورصنعت</v>
      </c>
      <c r="F1531" s="19" t="str">
        <f>VLOOKUP(D1531,'لیست پرسنل'!$B$2:$E$1020,4,FALSE)</f>
        <v>انبار</v>
      </c>
      <c r="G1531" s="127">
        <f>VLOOKUP(D1531,'لیست پرسنل'!$B$2:$F$1020,2,FALSE)</f>
        <v>98141</v>
      </c>
      <c r="H1531" s="128" t="s">
        <v>5936</v>
      </c>
      <c r="I1531" s="128"/>
      <c r="J1531" s="127" t="s">
        <v>5927</v>
      </c>
      <c r="K1531" s="128" t="s">
        <v>3323</v>
      </c>
      <c r="L1531" s="127"/>
      <c r="M1531" s="127">
        <v>621819</v>
      </c>
      <c r="N1531" s="109"/>
      <c r="O1531" s="19"/>
      <c r="P1531" s="19"/>
      <c r="Q1531" s="20"/>
    </row>
    <row r="1532" spans="1:17" ht="24.9" customHeight="1">
      <c r="A1532" s="20">
        <v>362</v>
      </c>
      <c r="B1532" s="20" t="s">
        <v>4320</v>
      </c>
      <c r="C1532" s="20"/>
      <c r="D1532" s="20" t="s">
        <v>326</v>
      </c>
      <c r="E1532" s="19" t="str">
        <f>VLOOKUP(D1532,'لیست پرسنل'!$B$2:$E$1020,3,FALSE)</f>
        <v>فکورصنعت</v>
      </c>
      <c r="F1532" s="19" t="str">
        <f>VLOOKUP(D1532,'لیست پرسنل'!$B$2:$E$1020,4,FALSE)</f>
        <v>انبار</v>
      </c>
      <c r="G1532" s="127">
        <f>VLOOKUP(D1532,'لیست پرسنل'!$B$2:$F$1020,2,FALSE)</f>
        <v>98141</v>
      </c>
      <c r="H1532" s="128" t="s">
        <v>5936</v>
      </c>
      <c r="I1532" s="128"/>
      <c r="J1532" s="127" t="s">
        <v>5927</v>
      </c>
      <c r="K1532" s="128" t="s">
        <v>3323</v>
      </c>
      <c r="L1532" s="127"/>
      <c r="M1532" s="127">
        <v>621820</v>
      </c>
      <c r="N1532" s="109"/>
      <c r="O1532" s="19"/>
      <c r="P1532" s="19"/>
      <c r="Q1532" s="28"/>
    </row>
    <row r="1533" spans="1:17" ht="24.9" customHeight="1">
      <c r="A1533" s="20">
        <v>362</v>
      </c>
      <c r="B1533" s="20" t="s">
        <v>4320</v>
      </c>
      <c r="C1533" s="20"/>
      <c r="D1533" s="20" t="s">
        <v>326</v>
      </c>
      <c r="E1533" s="19" t="str">
        <f>VLOOKUP(D1533,'لیست پرسنل'!$B$2:$E$1020,3,FALSE)</f>
        <v>فکورصنعت</v>
      </c>
      <c r="F1533" s="19" t="str">
        <f>VLOOKUP(D1533,'لیست پرسنل'!$B$2:$E$1020,4,FALSE)</f>
        <v>انبار</v>
      </c>
      <c r="G1533" s="127">
        <f>VLOOKUP(D1533,'لیست پرسنل'!$B$2:$F$1020,2,FALSE)</f>
        <v>98141</v>
      </c>
      <c r="H1533" s="128" t="s">
        <v>5936</v>
      </c>
      <c r="I1533" s="128"/>
      <c r="J1533" s="127" t="s">
        <v>5927</v>
      </c>
      <c r="K1533" s="128" t="s">
        <v>3323</v>
      </c>
      <c r="L1533" s="127"/>
      <c r="M1533" s="127">
        <v>621821</v>
      </c>
      <c r="N1533" s="109"/>
      <c r="O1533" s="19"/>
      <c r="P1533" s="19"/>
      <c r="Q1533" s="28"/>
    </row>
    <row r="1534" spans="1:17" ht="24.9" customHeight="1">
      <c r="A1534" s="20">
        <v>362</v>
      </c>
      <c r="B1534" s="20" t="s">
        <v>4320</v>
      </c>
      <c r="C1534" s="20"/>
      <c r="D1534" s="20" t="s">
        <v>326</v>
      </c>
      <c r="E1534" s="19" t="str">
        <f>VLOOKUP(D1534,'لیست پرسنل'!$B$2:$E$1020,3,FALSE)</f>
        <v>فکورصنعت</v>
      </c>
      <c r="F1534" s="19" t="str">
        <f>VLOOKUP(D1534,'لیست پرسنل'!$B$2:$E$1020,4,FALSE)</f>
        <v>انبار</v>
      </c>
      <c r="G1534" s="127">
        <f>VLOOKUP(D1534,'لیست پرسنل'!$B$2:$F$1020,2,FALSE)</f>
        <v>98141</v>
      </c>
      <c r="H1534" s="128" t="s">
        <v>5936</v>
      </c>
      <c r="I1534" s="128"/>
      <c r="J1534" s="127" t="s">
        <v>5927</v>
      </c>
      <c r="K1534" s="128" t="s">
        <v>3323</v>
      </c>
      <c r="L1534" s="127"/>
      <c r="M1534" s="127">
        <v>621822</v>
      </c>
      <c r="N1534" s="109"/>
      <c r="O1534" s="19"/>
      <c r="P1534" s="19"/>
      <c r="Q1534" s="28"/>
    </row>
    <row r="1535" spans="1:17" ht="24.9" customHeight="1">
      <c r="A1535" s="20">
        <v>362</v>
      </c>
      <c r="B1535" s="20" t="s">
        <v>4320</v>
      </c>
      <c r="C1535" s="20"/>
      <c r="D1535" s="20" t="s">
        <v>326</v>
      </c>
      <c r="E1535" s="19" t="str">
        <f>VLOOKUP(D1535,'لیست پرسنل'!$B$2:$E$1020,3,FALSE)</f>
        <v>فکورصنعت</v>
      </c>
      <c r="F1535" s="19" t="str">
        <f>VLOOKUP(D1535,'لیست پرسنل'!$B$2:$E$1020,4,FALSE)</f>
        <v>انبار</v>
      </c>
      <c r="G1535" s="127">
        <f>VLOOKUP(D1535,'لیست پرسنل'!$B$2:$F$1020,2,FALSE)</f>
        <v>98141</v>
      </c>
      <c r="H1535" s="128" t="s">
        <v>5936</v>
      </c>
      <c r="I1535" s="128"/>
      <c r="J1535" s="127" t="s">
        <v>5927</v>
      </c>
      <c r="K1535" s="128" t="s">
        <v>3323</v>
      </c>
      <c r="L1535" s="127"/>
      <c r="M1535" s="127">
        <v>621823</v>
      </c>
      <c r="N1535" s="109"/>
      <c r="O1535" s="19"/>
      <c r="P1535" s="19"/>
      <c r="Q1535" s="28"/>
    </row>
    <row r="1536" spans="1:17" ht="24.9" customHeight="1">
      <c r="A1536" s="20">
        <v>362</v>
      </c>
      <c r="B1536" s="20" t="s">
        <v>4320</v>
      </c>
      <c r="C1536" s="20"/>
      <c r="D1536" s="20" t="s">
        <v>326</v>
      </c>
      <c r="E1536" s="19" t="str">
        <f>VLOOKUP(D1536,'لیست پرسنل'!$B$2:$E$1020,3,FALSE)</f>
        <v>فکورصنعت</v>
      </c>
      <c r="F1536" s="19" t="str">
        <f>VLOOKUP(D1536,'لیست پرسنل'!$B$2:$E$1020,4,FALSE)</f>
        <v>انبار</v>
      </c>
      <c r="G1536" s="127">
        <f>VLOOKUP(D1536,'لیست پرسنل'!$B$2:$F$1020,2,FALSE)</f>
        <v>98141</v>
      </c>
      <c r="H1536" s="128" t="s">
        <v>5936</v>
      </c>
      <c r="I1536" s="128"/>
      <c r="J1536" s="127" t="s">
        <v>5927</v>
      </c>
      <c r="K1536" s="128" t="s">
        <v>3323</v>
      </c>
      <c r="L1536" s="127"/>
      <c r="M1536" s="127">
        <v>621824</v>
      </c>
      <c r="N1536" s="109"/>
      <c r="O1536" s="19"/>
      <c r="P1536" s="19"/>
      <c r="Q1536" s="28"/>
    </row>
    <row r="1537" spans="1:17" ht="24.9" customHeight="1">
      <c r="A1537" s="20">
        <v>362</v>
      </c>
      <c r="B1537" s="20" t="s">
        <v>4320</v>
      </c>
      <c r="C1537" s="20"/>
      <c r="D1537" s="20" t="s">
        <v>326</v>
      </c>
      <c r="E1537" s="19" t="str">
        <f>VLOOKUP(D1537,'لیست پرسنل'!$B$2:$E$1020,3,FALSE)</f>
        <v>فکورصنعت</v>
      </c>
      <c r="F1537" s="19" t="str">
        <f>VLOOKUP(D1537,'لیست پرسنل'!$B$2:$E$1020,4,FALSE)</f>
        <v>انبار</v>
      </c>
      <c r="G1537" s="127">
        <f>VLOOKUP(D1537,'لیست پرسنل'!$B$2:$F$1020,2,FALSE)</f>
        <v>98141</v>
      </c>
      <c r="H1537" s="128" t="s">
        <v>5936</v>
      </c>
      <c r="I1537" s="128"/>
      <c r="J1537" s="127" t="s">
        <v>5927</v>
      </c>
      <c r="K1537" s="128" t="s">
        <v>3323</v>
      </c>
      <c r="L1537" s="127"/>
      <c r="M1537" s="127">
        <v>621825</v>
      </c>
      <c r="N1537" s="109"/>
      <c r="O1537" s="19"/>
      <c r="P1537" s="19"/>
      <c r="Q1537" s="28"/>
    </row>
    <row r="1538" spans="1:17" ht="24.9" customHeight="1">
      <c r="A1538" s="20">
        <v>362</v>
      </c>
      <c r="B1538" s="20" t="s">
        <v>4320</v>
      </c>
      <c r="C1538" s="20"/>
      <c r="D1538" s="20" t="s">
        <v>326</v>
      </c>
      <c r="E1538" s="19" t="str">
        <f>VLOOKUP(D1538,'لیست پرسنل'!$B$2:$E$1020,3,FALSE)</f>
        <v>فکورصنعت</v>
      </c>
      <c r="F1538" s="19" t="str">
        <f>VLOOKUP(D1538,'لیست پرسنل'!$B$2:$E$1020,4,FALSE)</f>
        <v>انبار</v>
      </c>
      <c r="G1538" s="127">
        <f>VLOOKUP(D1538,'لیست پرسنل'!$B$2:$F$1020,2,FALSE)</f>
        <v>98141</v>
      </c>
      <c r="H1538" s="128" t="s">
        <v>5936</v>
      </c>
      <c r="I1538" s="128"/>
      <c r="J1538" s="127" t="s">
        <v>5927</v>
      </c>
      <c r="K1538" s="128" t="s">
        <v>3323</v>
      </c>
      <c r="L1538" s="127"/>
      <c r="M1538" s="127">
        <v>621826</v>
      </c>
      <c r="N1538" s="109"/>
      <c r="O1538" s="19"/>
      <c r="P1538" s="19"/>
      <c r="Q1538" s="28"/>
    </row>
    <row r="1539" spans="1:17" ht="24.9" customHeight="1">
      <c r="A1539" s="20">
        <v>362</v>
      </c>
      <c r="B1539" s="20" t="s">
        <v>4320</v>
      </c>
      <c r="C1539" s="20"/>
      <c r="D1539" s="20" t="s">
        <v>326</v>
      </c>
      <c r="E1539" s="19" t="str">
        <f>VLOOKUP(D1539,'لیست پرسنل'!$B$2:$E$1020,3,FALSE)</f>
        <v>فکورصنعت</v>
      </c>
      <c r="F1539" s="19" t="str">
        <f>VLOOKUP(D1539,'لیست پرسنل'!$B$2:$E$1020,4,FALSE)</f>
        <v>انبار</v>
      </c>
      <c r="G1539" s="127">
        <f>VLOOKUP(D1539,'لیست پرسنل'!$B$2:$F$1020,2,FALSE)</f>
        <v>98141</v>
      </c>
      <c r="H1539" s="128" t="s">
        <v>5936</v>
      </c>
      <c r="I1539" s="128"/>
      <c r="J1539" s="127" t="s">
        <v>5927</v>
      </c>
      <c r="K1539" s="128" t="s">
        <v>3323</v>
      </c>
      <c r="L1539" s="127"/>
      <c r="M1539" s="127">
        <v>621827</v>
      </c>
      <c r="N1539" s="109"/>
      <c r="O1539" s="19"/>
      <c r="P1539" s="19"/>
      <c r="Q1539" s="28"/>
    </row>
    <row r="1540" spans="1:17" ht="24.9" customHeight="1">
      <c r="A1540" s="20">
        <v>362</v>
      </c>
      <c r="B1540" s="20" t="s">
        <v>4320</v>
      </c>
      <c r="C1540" s="20"/>
      <c r="D1540" s="20" t="s">
        <v>326</v>
      </c>
      <c r="E1540" s="19" t="str">
        <f>VLOOKUP(D1540,'لیست پرسنل'!$B$2:$E$1020,3,FALSE)</f>
        <v>فکورصنعت</v>
      </c>
      <c r="F1540" s="19" t="str">
        <f>VLOOKUP(D1540,'لیست پرسنل'!$B$2:$E$1020,4,FALSE)</f>
        <v>انبار</v>
      </c>
      <c r="G1540" s="127">
        <f>VLOOKUP(D1540,'لیست پرسنل'!$B$2:$F$1020,2,FALSE)</f>
        <v>98141</v>
      </c>
      <c r="H1540" s="128" t="s">
        <v>5936</v>
      </c>
      <c r="I1540" s="128"/>
      <c r="J1540" s="127" t="s">
        <v>5927</v>
      </c>
      <c r="K1540" s="128" t="s">
        <v>3323</v>
      </c>
      <c r="L1540" s="127"/>
      <c r="M1540" s="127">
        <v>621828</v>
      </c>
      <c r="N1540" s="109"/>
      <c r="O1540" s="19"/>
      <c r="P1540" s="19"/>
      <c r="Q1540" s="28"/>
    </row>
    <row r="1541" spans="1:17" ht="24.9" customHeight="1">
      <c r="A1541" s="20">
        <v>362</v>
      </c>
      <c r="B1541" s="20" t="s">
        <v>4320</v>
      </c>
      <c r="C1541" s="20"/>
      <c r="D1541" s="20" t="s">
        <v>326</v>
      </c>
      <c r="E1541" s="19" t="str">
        <f>VLOOKUP(D1541,'لیست پرسنل'!$B$2:$E$1020,3,FALSE)</f>
        <v>فکورصنعت</v>
      </c>
      <c r="F1541" s="19" t="str">
        <f>VLOOKUP(D1541,'لیست پرسنل'!$B$2:$E$1020,4,FALSE)</f>
        <v>انبار</v>
      </c>
      <c r="G1541" s="127">
        <f>VLOOKUP(D1541,'لیست پرسنل'!$B$2:$F$1020,2,FALSE)</f>
        <v>98141</v>
      </c>
      <c r="H1541" s="128" t="s">
        <v>5936</v>
      </c>
      <c r="I1541" s="128"/>
      <c r="J1541" s="128" t="s">
        <v>3481</v>
      </c>
      <c r="K1541" s="128" t="s">
        <v>3325</v>
      </c>
      <c r="L1541" s="127"/>
      <c r="M1541" s="127">
        <v>621830</v>
      </c>
      <c r="N1541" s="109"/>
      <c r="O1541" s="19"/>
      <c r="P1541" s="19"/>
      <c r="Q1541" s="28"/>
    </row>
    <row r="1542" spans="1:17" ht="24.9" customHeight="1">
      <c r="A1542" s="20">
        <v>362</v>
      </c>
      <c r="B1542" s="20" t="s">
        <v>4320</v>
      </c>
      <c r="C1542" s="20"/>
      <c r="D1542" s="20" t="s">
        <v>326</v>
      </c>
      <c r="E1542" s="19" t="str">
        <f>VLOOKUP(D1542,'لیست پرسنل'!$B$2:$E$1020,3,FALSE)</f>
        <v>فکورصنعت</v>
      </c>
      <c r="F1542" s="19" t="str">
        <f>VLOOKUP(D1542,'لیست پرسنل'!$B$2:$E$1020,4,FALSE)</f>
        <v>انبار</v>
      </c>
      <c r="G1542" s="127">
        <f>VLOOKUP(D1542,'لیست پرسنل'!$B$2:$F$1020,2,FALSE)</f>
        <v>98141</v>
      </c>
      <c r="H1542" s="128" t="s">
        <v>5936</v>
      </c>
      <c r="I1542" s="128"/>
      <c r="J1542" s="128" t="s">
        <v>3481</v>
      </c>
      <c r="K1542" s="128" t="s">
        <v>3326</v>
      </c>
      <c r="L1542" s="127"/>
      <c r="M1542" s="127">
        <v>621831</v>
      </c>
      <c r="N1542" s="109"/>
      <c r="O1542" s="19"/>
      <c r="P1542" s="19"/>
      <c r="Q1542" s="28"/>
    </row>
    <row r="1543" spans="1:17" ht="24.9" customHeight="1">
      <c r="A1543" s="20">
        <v>362</v>
      </c>
      <c r="B1543" s="20" t="s">
        <v>4320</v>
      </c>
      <c r="C1543" s="20"/>
      <c r="D1543" s="20" t="s">
        <v>326</v>
      </c>
      <c r="E1543" s="19" t="str">
        <f>VLOOKUP(D1543,'لیست پرسنل'!$B$2:$E$1020,3,FALSE)</f>
        <v>فکورصنعت</v>
      </c>
      <c r="F1543" s="19" t="str">
        <f>VLOOKUP(D1543,'لیست پرسنل'!$B$2:$E$1020,4,FALSE)</f>
        <v>انبار</v>
      </c>
      <c r="G1543" s="127">
        <f>VLOOKUP(D1543,'لیست پرسنل'!$B$2:$F$1020,2,FALSE)</f>
        <v>98141</v>
      </c>
      <c r="H1543" s="128" t="s">
        <v>5936</v>
      </c>
      <c r="I1543" s="128"/>
      <c r="J1543" s="128" t="s">
        <v>3481</v>
      </c>
      <c r="K1543" s="128" t="s">
        <v>3326</v>
      </c>
      <c r="L1543" s="127"/>
      <c r="M1543" s="127">
        <v>621833</v>
      </c>
      <c r="N1543" s="109"/>
      <c r="O1543" s="19"/>
      <c r="P1543" s="19"/>
      <c r="Q1543" s="28"/>
    </row>
    <row r="1544" spans="1:17" ht="24.9" customHeight="1">
      <c r="A1544" s="20">
        <v>362</v>
      </c>
      <c r="B1544" s="20" t="s">
        <v>4320</v>
      </c>
      <c r="C1544" s="20"/>
      <c r="D1544" s="20" t="s">
        <v>326</v>
      </c>
      <c r="E1544" s="19" t="str">
        <f>VLOOKUP(D1544,'لیست پرسنل'!$B$2:$E$1020,3,FALSE)</f>
        <v>فکورصنعت</v>
      </c>
      <c r="F1544" s="19" t="str">
        <f>VLOOKUP(D1544,'لیست پرسنل'!$B$2:$E$1020,4,FALSE)</f>
        <v>انبار</v>
      </c>
      <c r="G1544" s="127">
        <f>VLOOKUP(D1544,'لیست پرسنل'!$B$2:$F$1020,2,FALSE)</f>
        <v>98141</v>
      </c>
      <c r="H1544" s="128" t="s">
        <v>5936</v>
      </c>
      <c r="I1544" s="128"/>
      <c r="J1544" s="128" t="s">
        <v>3481</v>
      </c>
      <c r="K1544" s="128" t="s">
        <v>3326</v>
      </c>
      <c r="L1544" s="127"/>
      <c r="M1544" s="127">
        <v>621834</v>
      </c>
      <c r="N1544" s="109"/>
      <c r="O1544" s="19"/>
      <c r="P1544" s="19"/>
      <c r="Q1544" s="28"/>
    </row>
    <row r="1545" spans="1:17" ht="24.9" customHeight="1">
      <c r="A1545" s="20">
        <v>362</v>
      </c>
      <c r="B1545" s="20" t="s">
        <v>4320</v>
      </c>
      <c r="C1545" s="20"/>
      <c r="D1545" s="20" t="s">
        <v>326</v>
      </c>
      <c r="E1545" s="19" t="str">
        <f>VLOOKUP(D1545,'لیست پرسنل'!$B$2:$E$1020,3,FALSE)</f>
        <v>فکورصنعت</v>
      </c>
      <c r="F1545" s="19" t="str">
        <f>VLOOKUP(D1545,'لیست پرسنل'!$B$2:$E$1020,4,FALSE)</f>
        <v>انبار</v>
      </c>
      <c r="G1545" s="127">
        <f>VLOOKUP(D1545,'لیست پرسنل'!$B$2:$F$1020,2,FALSE)</f>
        <v>98141</v>
      </c>
      <c r="H1545" s="128" t="s">
        <v>5936</v>
      </c>
      <c r="I1545" s="128"/>
      <c r="J1545" s="128" t="s">
        <v>3481</v>
      </c>
      <c r="K1545" s="128" t="s">
        <v>3326</v>
      </c>
      <c r="L1545" s="127"/>
      <c r="M1545" s="127">
        <v>621835</v>
      </c>
      <c r="N1545" s="109"/>
      <c r="O1545" s="19"/>
      <c r="P1545" s="19"/>
      <c r="Q1545" s="28"/>
    </row>
    <row r="1546" spans="1:17" ht="24.9" customHeight="1">
      <c r="A1546" s="20">
        <v>362</v>
      </c>
      <c r="B1546" s="20" t="s">
        <v>4320</v>
      </c>
      <c r="C1546" s="20"/>
      <c r="D1546" s="20" t="s">
        <v>326</v>
      </c>
      <c r="E1546" s="19" t="str">
        <f>VLOOKUP(D1546,'لیست پرسنل'!$B$2:$E$1020,3,FALSE)</f>
        <v>فکورصنعت</v>
      </c>
      <c r="F1546" s="19" t="str">
        <f>VLOOKUP(D1546,'لیست پرسنل'!$B$2:$E$1020,4,FALSE)</f>
        <v>انبار</v>
      </c>
      <c r="G1546" s="127">
        <f>VLOOKUP(D1546,'لیست پرسنل'!$B$2:$F$1020,2,FALSE)</f>
        <v>98141</v>
      </c>
      <c r="H1546" s="128" t="s">
        <v>5936</v>
      </c>
      <c r="I1546" s="128"/>
      <c r="J1546" s="128" t="s">
        <v>3481</v>
      </c>
      <c r="K1546" s="128" t="s">
        <v>3326</v>
      </c>
      <c r="L1546" s="127"/>
      <c r="M1546" s="127">
        <v>621836</v>
      </c>
      <c r="N1546" s="109"/>
      <c r="O1546" s="19"/>
      <c r="P1546" s="19"/>
      <c r="Q1546" s="28"/>
    </row>
    <row r="1547" spans="1:17" ht="24.9" customHeight="1">
      <c r="A1547" s="20">
        <v>362</v>
      </c>
      <c r="B1547" s="20" t="s">
        <v>4320</v>
      </c>
      <c r="C1547" s="20"/>
      <c r="D1547" s="20" t="s">
        <v>326</v>
      </c>
      <c r="E1547" s="19" t="str">
        <f>VLOOKUP(D1547,'لیست پرسنل'!$B$2:$E$1020,3,FALSE)</f>
        <v>فکورصنعت</v>
      </c>
      <c r="F1547" s="19" t="str">
        <f>VLOOKUP(D1547,'لیست پرسنل'!$B$2:$E$1020,4,FALSE)</f>
        <v>انبار</v>
      </c>
      <c r="G1547" s="127">
        <f>VLOOKUP(D1547,'لیست پرسنل'!$B$2:$F$1020,2,FALSE)</f>
        <v>98141</v>
      </c>
      <c r="H1547" s="126" t="s">
        <v>4014</v>
      </c>
      <c r="I1547" s="128"/>
      <c r="J1547" s="128" t="s">
        <v>3476</v>
      </c>
      <c r="K1547" s="128" t="s">
        <v>6184</v>
      </c>
      <c r="L1547" s="127" t="s">
        <v>6175</v>
      </c>
      <c r="M1547" s="127">
        <v>633332</v>
      </c>
      <c r="N1547" s="108"/>
      <c r="O1547" s="20"/>
      <c r="P1547" s="20"/>
      <c r="Q1547" s="20"/>
    </row>
    <row r="1548" spans="1:17" ht="24.9" customHeight="1">
      <c r="A1548" s="20">
        <v>362</v>
      </c>
      <c r="B1548" s="19" t="s">
        <v>4320</v>
      </c>
      <c r="C1548" s="19"/>
      <c r="D1548" s="20" t="s">
        <v>326</v>
      </c>
      <c r="E1548" s="19" t="str">
        <f>VLOOKUP(D1548,'لیست پرسنل'!$B$2:$E$1020,3,FALSE)</f>
        <v>فکورصنعت</v>
      </c>
      <c r="F1548" s="19" t="str">
        <f>VLOOKUP(D1548,'لیست پرسنل'!$B$2:$E$1020,4,FALSE)</f>
        <v>انبار</v>
      </c>
      <c r="G1548" s="127">
        <f>VLOOKUP(D1548,'لیست پرسنل'!$B$2:$F$1020,2,FALSE)</f>
        <v>98141</v>
      </c>
      <c r="H1548" s="127" t="s">
        <v>5415</v>
      </c>
      <c r="I1548" s="128"/>
      <c r="J1548" s="128" t="s">
        <v>3322</v>
      </c>
      <c r="K1548" s="128" t="s">
        <v>5420</v>
      </c>
      <c r="L1548" s="151" t="s">
        <v>5423</v>
      </c>
      <c r="M1548" s="128" t="s">
        <v>4371</v>
      </c>
      <c r="N1548" s="108"/>
      <c r="O1548" s="20"/>
      <c r="P1548" s="20"/>
      <c r="Q1548" s="20"/>
    </row>
    <row r="1549" spans="1:17" ht="24.9" customHeight="1">
      <c r="A1549" s="20">
        <v>362</v>
      </c>
      <c r="B1549" s="19" t="s">
        <v>4320</v>
      </c>
      <c r="C1549" s="19"/>
      <c r="D1549" s="20" t="s">
        <v>326</v>
      </c>
      <c r="E1549" s="19" t="str">
        <f>VLOOKUP(D1549,'لیست پرسنل'!$B$2:$E$1020,3,FALSE)</f>
        <v>فکورصنعت</v>
      </c>
      <c r="F1549" s="19" t="str">
        <f>VLOOKUP(D1549,'لیست پرسنل'!$B$2:$E$1020,4,FALSE)</f>
        <v>انبار</v>
      </c>
      <c r="G1549" s="127">
        <f>VLOOKUP(D1549,'لیست پرسنل'!$B$2:$F$1020,2,FALSE)</f>
        <v>98141</v>
      </c>
      <c r="H1549" s="127" t="s">
        <v>5415</v>
      </c>
      <c r="I1549" s="128"/>
      <c r="J1549" s="128" t="s">
        <v>907</v>
      </c>
      <c r="K1549" s="128" t="s">
        <v>5416</v>
      </c>
      <c r="L1549" s="151" t="s">
        <v>5423</v>
      </c>
      <c r="M1549" s="128" t="s">
        <v>4371</v>
      </c>
      <c r="N1549" s="108"/>
      <c r="O1549" s="20"/>
      <c r="P1549" s="20"/>
      <c r="Q1549" s="20"/>
    </row>
    <row r="1550" spans="1:17" ht="24.9" customHeight="1">
      <c r="A1550" s="20">
        <v>362</v>
      </c>
      <c r="B1550" s="19" t="s">
        <v>4320</v>
      </c>
      <c r="C1550" s="19"/>
      <c r="D1550" s="20" t="s">
        <v>326</v>
      </c>
      <c r="E1550" s="19" t="str">
        <f>VLOOKUP(D1550,'لیست پرسنل'!$B$2:$E$1020,3,FALSE)</f>
        <v>فکورصنعت</v>
      </c>
      <c r="F1550" s="19" t="str">
        <f>VLOOKUP(D1550,'لیست پرسنل'!$B$2:$E$1020,4,FALSE)</f>
        <v>انبار</v>
      </c>
      <c r="G1550" s="127">
        <f>VLOOKUP(D1550,'لیست پرسنل'!$B$2:$F$1020,2,FALSE)</f>
        <v>98141</v>
      </c>
      <c r="H1550" s="127" t="s">
        <v>5415</v>
      </c>
      <c r="I1550" s="128"/>
      <c r="J1550" s="128" t="s">
        <v>3481</v>
      </c>
      <c r="K1550" s="128" t="s">
        <v>5422</v>
      </c>
      <c r="L1550" s="151" t="s">
        <v>5423</v>
      </c>
      <c r="M1550" s="128" t="s">
        <v>4371</v>
      </c>
      <c r="N1550" s="108"/>
      <c r="O1550" s="20"/>
      <c r="P1550" s="20"/>
      <c r="Q1550" s="20"/>
    </row>
    <row r="1551" spans="1:17" ht="24.9" customHeight="1">
      <c r="A1551" s="20">
        <v>362</v>
      </c>
      <c r="B1551" s="19" t="s">
        <v>4320</v>
      </c>
      <c r="C1551" s="19"/>
      <c r="D1551" s="20" t="s">
        <v>326</v>
      </c>
      <c r="E1551" s="19" t="str">
        <f>VLOOKUP(D1551,'لیست پرسنل'!$B$2:$E$1020,3,FALSE)</f>
        <v>فکورصنعت</v>
      </c>
      <c r="F1551" s="19" t="str">
        <f>VLOOKUP(D1551,'لیست پرسنل'!$B$2:$E$1020,4,FALSE)</f>
        <v>انبار</v>
      </c>
      <c r="G1551" s="127">
        <f>VLOOKUP(D1551,'لیست پرسنل'!$B$2:$F$1020,2,FALSE)</f>
        <v>98141</v>
      </c>
      <c r="H1551" s="127" t="s">
        <v>5415</v>
      </c>
      <c r="I1551" s="128"/>
      <c r="J1551" s="128" t="s">
        <v>3483</v>
      </c>
      <c r="K1551" s="128" t="s">
        <v>5421</v>
      </c>
      <c r="L1551" s="151" t="s">
        <v>5423</v>
      </c>
      <c r="M1551" s="128" t="s">
        <v>4371</v>
      </c>
      <c r="N1551" s="108"/>
      <c r="O1551" s="20"/>
      <c r="P1551" s="20"/>
      <c r="Q1551" s="20"/>
    </row>
    <row r="1552" spans="1:17" ht="24.9" customHeight="1">
      <c r="A1552" s="20">
        <v>362</v>
      </c>
      <c r="B1552" s="19" t="s">
        <v>4320</v>
      </c>
      <c r="C1552" s="19"/>
      <c r="D1552" s="20" t="s">
        <v>326</v>
      </c>
      <c r="E1552" s="19" t="str">
        <f>VLOOKUP(D1552,'لیست پرسنل'!$B$2:$E$1020,3,FALSE)</f>
        <v>فکورصنعت</v>
      </c>
      <c r="F1552" s="19" t="str">
        <f>VLOOKUP(D1552,'لیست پرسنل'!$B$2:$E$1020,4,FALSE)</f>
        <v>انبار</v>
      </c>
      <c r="G1552" s="127">
        <f>VLOOKUP(D1552,'لیست پرسنل'!$B$2:$F$1020,2,FALSE)</f>
        <v>98141</v>
      </c>
      <c r="H1552" s="127" t="s">
        <v>5415</v>
      </c>
      <c r="I1552" s="128"/>
      <c r="J1552" s="128" t="s">
        <v>3476</v>
      </c>
      <c r="K1552" s="128" t="s">
        <v>5419</v>
      </c>
      <c r="L1552" s="151" t="s">
        <v>5423</v>
      </c>
      <c r="M1552" s="128" t="s">
        <v>4371</v>
      </c>
      <c r="N1552" s="108"/>
      <c r="O1552" s="20"/>
      <c r="P1552" s="20"/>
      <c r="Q1552" s="20"/>
    </row>
    <row r="1553" spans="1:17" ht="24.9" customHeight="1">
      <c r="A1553" s="20">
        <v>362</v>
      </c>
      <c r="B1553" s="19" t="s">
        <v>4320</v>
      </c>
      <c r="C1553" s="19"/>
      <c r="D1553" s="20" t="s">
        <v>326</v>
      </c>
      <c r="E1553" s="19" t="str">
        <f>VLOOKUP(D1553,'لیست پرسنل'!$B$2:$E$1020,3,FALSE)</f>
        <v>فکورصنعت</v>
      </c>
      <c r="F1553" s="19" t="str">
        <f>VLOOKUP(D1553,'لیست پرسنل'!$B$2:$E$1020,4,FALSE)</f>
        <v>انبار</v>
      </c>
      <c r="G1553" s="127">
        <f>VLOOKUP(D1553,'لیست پرسنل'!$B$2:$F$1020,2,FALSE)</f>
        <v>98141</v>
      </c>
      <c r="H1553" s="127" t="s">
        <v>5415</v>
      </c>
      <c r="I1553" s="128"/>
      <c r="J1553" s="128" t="s">
        <v>3476</v>
      </c>
      <c r="K1553" s="128" t="s">
        <v>5419</v>
      </c>
      <c r="L1553" s="151" t="s">
        <v>5423</v>
      </c>
      <c r="M1553" s="128" t="s">
        <v>4371</v>
      </c>
      <c r="N1553" s="108"/>
      <c r="O1553" s="20"/>
      <c r="P1553" s="20"/>
      <c r="Q1553" s="20"/>
    </row>
    <row r="1554" spans="1:17" ht="24.9" customHeight="1">
      <c r="A1554" s="20">
        <v>362</v>
      </c>
      <c r="B1554" s="19" t="s">
        <v>4320</v>
      </c>
      <c r="C1554" s="19"/>
      <c r="D1554" s="20" t="s">
        <v>326</v>
      </c>
      <c r="E1554" s="19" t="str">
        <f>VLOOKUP(D1554,'لیست پرسنل'!$B$2:$E$1020,3,FALSE)</f>
        <v>فکورصنعت</v>
      </c>
      <c r="F1554" s="19" t="str">
        <f>VLOOKUP(D1554,'لیست پرسنل'!$B$2:$E$1020,4,FALSE)</f>
        <v>انبار</v>
      </c>
      <c r="G1554" s="127">
        <f>VLOOKUP(D1554,'لیست پرسنل'!$B$2:$F$1020,2,FALSE)</f>
        <v>98141</v>
      </c>
      <c r="H1554" s="127" t="s">
        <v>5415</v>
      </c>
      <c r="I1554" s="128"/>
      <c r="J1554" s="128" t="s">
        <v>3476</v>
      </c>
      <c r="K1554" s="128" t="s">
        <v>5419</v>
      </c>
      <c r="L1554" s="151" t="s">
        <v>5423</v>
      </c>
      <c r="M1554" s="128" t="s">
        <v>4371</v>
      </c>
      <c r="N1554" s="108"/>
      <c r="O1554" s="20"/>
      <c r="P1554" s="20"/>
      <c r="Q1554" s="20"/>
    </row>
    <row r="1555" spans="1:17" ht="24.9" customHeight="1">
      <c r="A1555" s="20">
        <v>362</v>
      </c>
      <c r="B1555" s="19" t="s">
        <v>4320</v>
      </c>
      <c r="C1555" s="19"/>
      <c r="D1555" s="20" t="s">
        <v>326</v>
      </c>
      <c r="E1555" s="19" t="str">
        <f>VLOOKUP(D1555,'لیست پرسنل'!$B$2:$E$1020,3,FALSE)</f>
        <v>فکورصنعت</v>
      </c>
      <c r="F1555" s="19" t="str">
        <f>VLOOKUP(D1555,'لیست پرسنل'!$B$2:$E$1020,4,FALSE)</f>
        <v>انبار</v>
      </c>
      <c r="G1555" s="127">
        <f>VLOOKUP(D1555,'لیست پرسنل'!$B$2:$F$1020,2,FALSE)</f>
        <v>98141</v>
      </c>
      <c r="H1555" s="127" t="s">
        <v>5415</v>
      </c>
      <c r="I1555" s="128"/>
      <c r="J1555" s="128" t="s">
        <v>3476</v>
      </c>
      <c r="K1555" s="128" t="s">
        <v>5419</v>
      </c>
      <c r="L1555" s="151" t="s">
        <v>5423</v>
      </c>
      <c r="M1555" s="128" t="s">
        <v>4371</v>
      </c>
      <c r="N1555" s="108"/>
      <c r="O1555" s="20"/>
      <c r="P1555" s="20"/>
      <c r="Q1555" s="20"/>
    </row>
    <row r="1556" spans="1:17" ht="24.9" customHeight="1">
      <c r="A1556" s="20">
        <v>362</v>
      </c>
      <c r="B1556" s="19" t="s">
        <v>4320</v>
      </c>
      <c r="C1556" s="19"/>
      <c r="D1556" s="20" t="s">
        <v>326</v>
      </c>
      <c r="E1556" s="19" t="str">
        <f>VLOOKUP(D1556,'لیست پرسنل'!$B$2:$E$1020,3,FALSE)</f>
        <v>فکورصنعت</v>
      </c>
      <c r="F1556" s="19" t="str">
        <f>VLOOKUP(D1556,'لیست پرسنل'!$B$2:$E$1020,4,FALSE)</f>
        <v>انبار</v>
      </c>
      <c r="G1556" s="127">
        <f>VLOOKUP(D1556,'لیست پرسنل'!$B$2:$F$1020,2,FALSE)</f>
        <v>98141</v>
      </c>
      <c r="H1556" s="127" t="s">
        <v>5415</v>
      </c>
      <c r="I1556" s="128"/>
      <c r="J1556" s="128" t="s">
        <v>3476</v>
      </c>
      <c r="K1556" s="128" t="s">
        <v>5419</v>
      </c>
      <c r="L1556" s="151" t="s">
        <v>5423</v>
      </c>
      <c r="M1556" s="128" t="s">
        <v>4371</v>
      </c>
      <c r="N1556" s="108"/>
      <c r="O1556" s="20"/>
      <c r="P1556" s="20"/>
      <c r="Q1556" s="20"/>
    </row>
    <row r="1557" spans="1:17" ht="24.9" customHeight="1">
      <c r="A1557" s="20">
        <v>362</v>
      </c>
      <c r="B1557" s="19" t="s">
        <v>4320</v>
      </c>
      <c r="C1557" s="19"/>
      <c r="D1557" s="20" t="s">
        <v>326</v>
      </c>
      <c r="E1557" s="19" t="str">
        <f>VLOOKUP(D1557,'لیست پرسنل'!$B$2:$E$1020,3,FALSE)</f>
        <v>فکورصنعت</v>
      </c>
      <c r="F1557" s="19" t="str">
        <f>VLOOKUP(D1557,'لیست پرسنل'!$B$2:$E$1020,4,FALSE)</f>
        <v>انبار</v>
      </c>
      <c r="G1557" s="127">
        <f>VLOOKUP(D1557,'لیست پرسنل'!$B$2:$F$1020,2,FALSE)</f>
        <v>98141</v>
      </c>
      <c r="H1557" s="127" t="s">
        <v>5415</v>
      </c>
      <c r="I1557" s="128"/>
      <c r="J1557" s="128" t="s">
        <v>3476</v>
      </c>
      <c r="K1557" s="128" t="s">
        <v>5419</v>
      </c>
      <c r="L1557" s="151" t="s">
        <v>5423</v>
      </c>
      <c r="M1557" s="128" t="s">
        <v>4371</v>
      </c>
      <c r="N1557" s="108"/>
      <c r="O1557" s="20"/>
      <c r="P1557" s="20"/>
      <c r="Q1557" s="20"/>
    </row>
    <row r="1558" spans="1:17" ht="24.9" customHeight="1">
      <c r="A1558" s="20">
        <v>362</v>
      </c>
      <c r="B1558" s="20" t="s">
        <v>4320</v>
      </c>
      <c r="C1558" s="20"/>
      <c r="D1558" s="20" t="s">
        <v>326</v>
      </c>
      <c r="E1558" s="19" t="str">
        <f>VLOOKUP(D1558,'لیست پرسنل'!$B$2:$E$1020,3,FALSE)</f>
        <v>فکورصنعت</v>
      </c>
      <c r="F1558" s="19" t="str">
        <f>VLOOKUP(D1558,'لیست پرسنل'!$B$2:$E$1020,4,FALSE)</f>
        <v>انبار</v>
      </c>
      <c r="G1558" s="127">
        <f>VLOOKUP(D1558,'لیست پرسنل'!$B$2:$F$1020,2,FALSE)</f>
        <v>98141</v>
      </c>
      <c r="H1558" s="128" t="s">
        <v>3479</v>
      </c>
      <c r="I1558" s="128"/>
      <c r="J1558" s="127" t="s">
        <v>3322</v>
      </c>
      <c r="K1558" s="128" t="s">
        <v>8108</v>
      </c>
      <c r="L1558" s="128" t="s">
        <v>3251</v>
      </c>
      <c r="M1558" s="128">
        <v>620212</v>
      </c>
      <c r="N1558" s="108"/>
      <c r="O1558" s="20"/>
      <c r="P1558" s="20"/>
      <c r="Q1558" s="20"/>
    </row>
    <row r="1559" spans="1:17" ht="24.9" customHeight="1">
      <c r="A1559" s="20">
        <v>362</v>
      </c>
      <c r="B1559" s="20" t="s">
        <v>4320</v>
      </c>
      <c r="C1559" s="20"/>
      <c r="D1559" s="20" t="s">
        <v>326</v>
      </c>
      <c r="E1559" s="19" t="str">
        <f>VLOOKUP(D1559,'لیست پرسنل'!$B$2:$E$1020,3,FALSE)</f>
        <v>فکورصنعت</v>
      </c>
      <c r="F1559" s="19" t="str">
        <f>VLOOKUP(D1559,'لیست پرسنل'!$B$2:$E$1020,4,FALSE)</f>
        <v>انبار</v>
      </c>
      <c r="G1559" s="127">
        <f>VLOOKUP(D1559,'لیست پرسنل'!$B$2:$F$1020,2,FALSE)</f>
        <v>98141</v>
      </c>
      <c r="H1559" s="128" t="s">
        <v>3479</v>
      </c>
      <c r="I1559" s="128"/>
      <c r="J1559" s="128" t="s">
        <v>3480</v>
      </c>
      <c r="K1559" s="128" t="s">
        <v>3166</v>
      </c>
      <c r="L1559" s="128" t="s">
        <v>1297</v>
      </c>
      <c r="M1559" s="128">
        <v>620207</v>
      </c>
      <c r="N1559" s="108"/>
      <c r="O1559" s="20"/>
      <c r="P1559" s="20"/>
      <c r="Q1559" s="20"/>
    </row>
    <row r="1560" spans="1:17" ht="24.9" customHeight="1">
      <c r="A1560" s="20">
        <v>362</v>
      </c>
      <c r="B1560" s="20" t="s">
        <v>4320</v>
      </c>
      <c r="C1560" s="20"/>
      <c r="D1560" s="20" t="s">
        <v>326</v>
      </c>
      <c r="E1560" s="19" t="str">
        <f>VLOOKUP(D1560,'لیست پرسنل'!$B$2:$E$1020,3,FALSE)</f>
        <v>فکورصنعت</v>
      </c>
      <c r="F1560" s="19" t="str">
        <f>VLOOKUP(D1560,'لیست پرسنل'!$B$2:$E$1020,4,FALSE)</f>
        <v>انبار</v>
      </c>
      <c r="G1560" s="127">
        <f>VLOOKUP(D1560,'لیست پرسنل'!$B$2:$F$1020,2,FALSE)</f>
        <v>98141</v>
      </c>
      <c r="H1560" s="128" t="s">
        <v>3479</v>
      </c>
      <c r="I1560" s="128"/>
      <c r="J1560" s="128" t="s">
        <v>3480</v>
      </c>
      <c r="K1560" s="128" t="s">
        <v>3166</v>
      </c>
      <c r="L1560" s="128" t="s">
        <v>1297</v>
      </c>
      <c r="M1560" s="128">
        <v>620210</v>
      </c>
      <c r="N1560" s="108"/>
      <c r="O1560" s="20"/>
      <c r="P1560" s="20"/>
      <c r="Q1560" s="20"/>
    </row>
    <row r="1561" spans="1:17" ht="24.9" customHeight="1">
      <c r="A1561" s="20">
        <v>362</v>
      </c>
      <c r="B1561" s="20" t="s">
        <v>4320</v>
      </c>
      <c r="C1561" s="20"/>
      <c r="D1561" s="20" t="s">
        <v>326</v>
      </c>
      <c r="E1561" s="19" t="str">
        <f>VLOOKUP(D1561,'لیست پرسنل'!$B$2:$E$1020,3,FALSE)</f>
        <v>فکورصنعت</v>
      </c>
      <c r="F1561" s="19" t="str">
        <f>VLOOKUP(D1561,'لیست پرسنل'!$B$2:$E$1020,4,FALSE)</f>
        <v>انبار</v>
      </c>
      <c r="G1561" s="127">
        <f>VLOOKUP(D1561,'لیست پرسنل'!$B$2:$F$1020,2,FALSE)</f>
        <v>98141</v>
      </c>
      <c r="H1561" s="128" t="s">
        <v>3479</v>
      </c>
      <c r="I1561" s="128"/>
      <c r="J1561" s="128" t="s">
        <v>3480</v>
      </c>
      <c r="K1561" s="128" t="s">
        <v>3166</v>
      </c>
      <c r="L1561" s="128" t="s">
        <v>1297</v>
      </c>
      <c r="M1561" s="128">
        <v>620211</v>
      </c>
      <c r="N1561" s="108"/>
      <c r="O1561" s="20"/>
      <c r="P1561" s="20"/>
      <c r="Q1561" s="20"/>
    </row>
    <row r="1562" spans="1:17" ht="24.9" customHeight="1">
      <c r="A1562" s="20">
        <v>362</v>
      </c>
      <c r="B1562" s="20" t="s">
        <v>4320</v>
      </c>
      <c r="C1562" s="20"/>
      <c r="D1562" s="20" t="s">
        <v>326</v>
      </c>
      <c r="E1562" s="19" t="str">
        <f>VLOOKUP(D1562,'لیست پرسنل'!$B$2:$E$1020,3,FALSE)</f>
        <v>فکورصنعت</v>
      </c>
      <c r="F1562" s="19" t="str">
        <f>VLOOKUP(D1562,'لیست پرسنل'!$B$2:$E$1020,4,FALSE)</f>
        <v>انبار</v>
      </c>
      <c r="G1562" s="127">
        <f>VLOOKUP(D1562,'لیست پرسنل'!$B$2:$F$1020,2,FALSE)</f>
        <v>98141</v>
      </c>
      <c r="H1562" s="128" t="s">
        <v>3479</v>
      </c>
      <c r="I1562" s="128"/>
      <c r="J1562" s="128" t="s">
        <v>3480</v>
      </c>
      <c r="K1562" s="128" t="s">
        <v>3166</v>
      </c>
      <c r="L1562" s="128" t="s">
        <v>1297</v>
      </c>
      <c r="M1562" s="128">
        <v>620216</v>
      </c>
      <c r="N1562" s="108"/>
      <c r="O1562" s="20"/>
      <c r="P1562" s="20"/>
      <c r="Q1562" s="20"/>
    </row>
    <row r="1563" spans="1:17" ht="24.9" customHeight="1">
      <c r="A1563" s="20">
        <v>362</v>
      </c>
      <c r="B1563" s="20" t="s">
        <v>4320</v>
      </c>
      <c r="C1563" s="20"/>
      <c r="D1563" s="20" t="s">
        <v>326</v>
      </c>
      <c r="E1563" s="19" t="str">
        <f>VLOOKUP(D1563,'لیست پرسنل'!$B$2:$E$1020,3,FALSE)</f>
        <v>فکورصنعت</v>
      </c>
      <c r="F1563" s="19" t="str">
        <f>VLOOKUP(D1563,'لیست پرسنل'!$B$2:$E$1020,4,FALSE)</f>
        <v>انبار</v>
      </c>
      <c r="G1563" s="127">
        <f>VLOOKUP(D1563,'لیست پرسنل'!$B$2:$F$1020,2,FALSE)</f>
        <v>98141</v>
      </c>
      <c r="H1563" s="128" t="s">
        <v>3479</v>
      </c>
      <c r="I1563" s="128"/>
      <c r="J1563" s="128" t="s">
        <v>3480</v>
      </c>
      <c r="K1563" s="128" t="s">
        <v>3166</v>
      </c>
      <c r="L1563" s="128" t="s">
        <v>1296</v>
      </c>
      <c r="M1563" s="128">
        <v>621818</v>
      </c>
      <c r="N1563" s="108"/>
      <c r="O1563" s="20"/>
      <c r="P1563" s="20"/>
      <c r="Q1563" s="20"/>
    </row>
    <row r="1564" spans="1:17" ht="24.9" customHeight="1">
      <c r="A1564" s="20">
        <v>362</v>
      </c>
      <c r="B1564" s="20" t="s">
        <v>4320</v>
      </c>
      <c r="C1564" s="20"/>
      <c r="D1564" s="20" t="s">
        <v>326</v>
      </c>
      <c r="E1564" s="19" t="str">
        <f>VLOOKUP(D1564,'لیست پرسنل'!$B$2:$E$1020,3,FALSE)</f>
        <v>فکورصنعت</v>
      </c>
      <c r="F1564" s="19" t="str">
        <f>VLOOKUP(D1564,'لیست پرسنل'!$B$2:$E$1020,4,FALSE)</f>
        <v>انبار</v>
      </c>
      <c r="G1564" s="127">
        <f>VLOOKUP(D1564,'لیست پرسنل'!$B$2:$F$1020,2,FALSE)</f>
        <v>98141</v>
      </c>
      <c r="H1564" s="128" t="s">
        <v>3479</v>
      </c>
      <c r="I1564" s="128"/>
      <c r="J1564" s="127" t="s">
        <v>3476</v>
      </c>
      <c r="K1564" s="128" t="s">
        <v>1317</v>
      </c>
      <c r="L1564" s="128" t="s">
        <v>1316</v>
      </c>
      <c r="M1564" s="128">
        <v>624483</v>
      </c>
      <c r="N1564" s="108"/>
      <c r="O1564" s="20"/>
      <c r="P1564" s="20"/>
      <c r="Q1564" s="20"/>
    </row>
    <row r="1565" spans="1:17" ht="24.9" customHeight="1">
      <c r="A1565" s="20">
        <v>362</v>
      </c>
      <c r="B1565" s="20" t="s">
        <v>4320</v>
      </c>
      <c r="C1565" s="20"/>
      <c r="D1565" s="20" t="s">
        <v>326</v>
      </c>
      <c r="E1565" s="19" t="str">
        <f>VLOOKUP(D1565,'لیست پرسنل'!$B$2:$E$1020,3,FALSE)</f>
        <v>فکورصنعت</v>
      </c>
      <c r="F1565" s="19" t="str">
        <f>VLOOKUP(D1565,'لیست پرسنل'!$B$2:$E$1020,4,FALSE)</f>
        <v>انبار</v>
      </c>
      <c r="G1565" s="127">
        <f>VLOOKUP(D1565,'لیست پرسنل'!$B$2:$F$1020,2,FALSE)</f>
        <v>98141</v>
      </c>
      <c r="H1565" s="128" t="s">
        <v>3495</v>
      </c>
      <c r="I1565" s="128"/>
      <c r="J1565" s="128" t="s">
        <v>3143</v>
      </c>
      <c r="K1565" s="128" t="s">
        <v>4733</v>
      </c>
      <c r="L1565" s="127" t="s">
        <v>5841</v>
      </c>
      <c r="M1565" s="127">
        <v>626831</v>
      </c>
      <c r="N1565" s="111"/>
      <c r="O1565" s="20" t="s">
        <v>3273</v>
      </c>
      <c r="P1565" s="20"/>
      <c r="Q1565" s="20"/>
    </row>
    <row r="1566" spans="1:17" ht="24.9" customHeight="1">
      <c r="A1566" s="20">
        <v>362</v>
      </c>
      <c r="B1566" s="20" t="s">
        <v>4320</v>
      </c>
      <c r="C1566" s="19"/>
      <c r="D1566" s="19" t="s">
        <v>326</v>
      </c>
      <c r="E1566" s="19" t="str">
        <f>VLOOKUP(D1566,'لیست پرسنل'!$B$2:$E$1020,3,FALSE)</f>
        <v>فکورصنعت</v>
      </c>
      <c r="F1566" s="19" t="str">
        <f>VLOOKUP(D1566,'لیست پرسنل'!$B$2:$E$1020,4,FALSE)</f>
        <v>انبار</v>
      </c>
      <c r="G1566" s="127">
        <f>VLOOKUP(D1566,'لیست پرسنل'!$B$2:$F$1020,2,FALSE)</f>
        <v>98141</v>
      </c>
      <c r="H1566" s="151" t="s">
        <v>3475</v>
      </c>
      <c r="I1566" s="127"/>
      <c r="J1566" s="128" t="s">
        <v>737</v>
      </c>
      <c r="K1566" s="128" t="s">
        <v>81</v>
      </c>
      <c r="L1566" s="127" t="s">
        <v>82</v>
      </c>
      <c r="M1566" s="127">
        <v>610516</v>
      </c>
      <c r="N1566" s="109"/>
      <c r="O1566" s="20"/>
      <c r="P1566" s="20"/>
      <c r="Q1566" s="20"/>
    </row>
    <row r="1567" spans="1:17" ht="24.9" customHeight="1">
      <c r="A1567" s="20">
        <v>362</v>
      </c>
      <c r="B1567" s="20" t="s">
        <v>4320</v>
      </c>
      <c r="C1567" s="19"/>
      <c r="D1567" s="19" t="s">
        <v>326</v>
      </c>
      <c r="E1567" s="19" t="str">
        <f>VLOOKUP(D1567,'لیست پرسنل'!$B$2:$E$1020,3,FALSE)</f>
        <v>فکورصنعت</v>
      </c>
      <c r="F1567" s="19" t="str">
        <f>VLOOKUP(D1567,'لیست پرسنل'!$B$2:$E$1020,4,FALSE)</f>
        <v>انبار</v>
      </c>
      <c r="G1567" s="127">
        <f>VLOOKUP(D1567,'لیست پرسنل'!$B$2:$F$1020,2,FALSE)</f>
        <v>98141</v>
      </c>
      <c r="H1567" s="151" t="s">
        <v>3475</v>
      </c>
      <c r="I1567" s="127"/>
      <c r="J1567" s="127" t="s">
        <v>571</v>
      </c>
      <c r="K1567" s="128" t="s">
        <v>2219</v>
      </c>
      <c r="L1567" s="127"/>
      <c r="M1567" s="127">
        <v>622538</v>
      </c>
      <c r="N1567" s="109"/>
      <c r="O1567" s="39" t="s">
        <v>5805</v>
      </c>
      <c r="P1567" s="20"/>
      <c r="Q1567" s="20"/>
    </row>
    <row r="1568" spans="1:17" ht="24.9" customHeight="1">
      <c r="A1568" s="20">
        <v>362</v>
      </c>
      <c r="B1568" s="19" t="s">
        <v>4320</v>
      </c>
      <c r="C1568" s="19"/>
      <c r="D1568" s="20" t="s">
        <v>326</v>
      </c>
      <c r="E1568" s="19" t="str">
        <f>VLOOKUP(D1568,'لیست پرسنل'!$B$2:$E$1020,3,FALSE)</f>
        <v>فکورصنعت</v>
      </c>
      <c r="F1568" s="19" t="str">
        <f>VLOOKUP(D1568,'لیست پرسنل'!$B$2:$E$1020,4,FALSE)</f>
        <v>انبار</v>
      </c>
      <c r="G1568" s="127">
        <f>VLOOKUP(D1568,'لیست پرسنل'!$B$2:$F$1020,2,FALSE)</f>
        <v>98141</v>
      </c>
      <c r="H1568" s="127" t="s">
        <v>3381</v>
      </c>
      <c r="I1568" s="127"/>
      <c r="J1568" s="127" t="s">
        <v>5366</v>
      </c>
      <c r="K1568" s="128" t="s">
        <v>5367</v>
      </c>
      <c r="L1568" s="127"/>
      <c r="M1568" s="127">
        <v>629516</v>
      </c>
      <c r="N1568" s="109"/>
      <c r="O1568" s="19"/>
      <c r="P1568" s="32"/>
      <c r="Q1568" s="32"/>
    </row>
    <row r="1569" spans="1:17" ht="24.9" customHeight="1">
      <c r="A1569" s="20">
        <v>362</v>
      </c>
      <c r="B1569" s="20" t="s">
        <v>4320</v>
      </c>
      <c r="C1569" s="20"/>
      <c r="D1569" s="20" t="s">
        <v>326</v>
      </c>
      <c r="E1569" s="19" t="str">
        <f>VLOOKUP(D1569,'لیست پرسنل'!$B$2:$E$1020,3,FALSE)</f>
        <v>فکورصنعت</v>
      </c>
      <c r="F1569" s="19" t="str">
        <f>VLOOKUP(D1569,'لیست پرسنل'!$B$2:$E$1020,4,FALSE)</f>
        <v>انبار</v>
      </c>
      <c r="G1569" s="127">
        <f>VLOOKUP(D1569,'لیست پرسنل'!$B$2:$F$1020,2,FALSE)</f>
        <v>98141</v>
      </c>
      <c r="H1569" s="128" t="s">
        <v>3381</v>
      </c>
      <c r="I1569" s="128"/>
      <c r="J1569" s="128" t="s">
        <v>3143</v>
      </c>
      <c r="K1569" s="135" t="s">
        <v>5845</v>
      </c>
      <c r="L1569" s="128" t="s">
        <v>3273</v>
      </c>
      <c r="M1569" s="128">
        <v>626788</v>
      </c>
      <c r="N1569" s="108"/>
      <c r="O1569" s="20" t="s">
        <v>1667</v>
      </c>
      <c r="P1569" s="20"/>
      <c r="Q1569" s="20"/>
    </row>
    <row r="1570" spans="1:17" ht="24.9" customHeight="1">
      <c r="A1570" s="20">
        <v>362</v>
      </c>
      <c r="B1570" s="20" t="s">
        <v>4320</v>
      </c>
      <c r="C1570" s="20"/>
      <c r="D1570" s="20" t="s">
        <v>326</v>
      </c>
      <c r="E1570" s="19" t="str">
        <f>VLOOKUP(D1570,'لیست پرسنل'!$B$2:$E$1020,3,FALSE)</f>
        <v>فکورصنعت</v>
      </c>
      <c r="F1570" s="19" t="str">
        <f>VLOOKUP(D1570,'لیست پرسنل'!$B$2:$E$1020,4,FALSE)</f>
        <v>انبار</v>
      </c>
      <c r="G1570" s="127">
        <f>VLOOKUP(D1570,'لیست پرسنل'!$B$2:$F$1020,2,FALSE)</f>
        <v>98141</v>
      </c>
      <c r="H1570" s="128" t="s">
        <v>3381</v>
      </c>
      <c r="I1570" s="128"/>
      <c r="J1570" s="128" t="s">
        <v>3143</v>
      </c>
      <c r="K1570" s="135" t="s">
        <v>5845</v>
      </c>
      <c r="L1570" s="128" t="s">
        <v>3273</v>
      </c>
      <c r="M1570" s="128">
        <v>626789</v>
      </c>
      <c r="N1570" s="108"/>
      <c r="O1570" s="20" t="s">
        <v>1667</v>
      </c>
      <c r="P1570" s="20"/>
      <c r="Q1570" s="20"/>
    </row>
    <row r="1571" spans="1:17" ht="24.9" customHeight="1">
      <c r="A1571" s="20">
        <v>362</v>
      </c>
      <c r="B1571" s="20" t="s">
        <v>4320</v>
      </c>
      <c r="C1571" s="20"/>
      <c r="D1571" s="20" t="s">
        <v>326</v>
      </c>
      <c r="E1571" s="19" t="str">
        <f>VLOOKUP(D1571,'لیست پرسنل'!$B$2:$E$1020,3,FALSE)</f>
        <v>فکورصنعت</v>
      </c>
      <c r="F1571" s="19" t="str">
        <f>VLOOKUP(D1571,'لیست پرسنل'!$B$2:$E$1020,4,FALSE)</f>
        <v>انبار</v>
      </c>
      <c r="G1571" s="127">
        <f>VLOOKUP(D1571,'لیست پرسنل'!$B$2:$F$1020,2,FALSE)</f>
        <v>98141</v>
      </c>
      <c r="H1571" s="128" t="s">
        <v>3381</v>
      </c>
      <c r="I1571" s="128"/>
      <c r="J1571" s="128" t="s">
        <v>3143</v>
      </c>
      <c r="K1571" s="135" t="s">
        <v>5845</v>
      </c>
      <c r="L1571" s="128" t="s">
        <v>3273</v>
      </c>
      <c r="M1571" s="128">
        <v>626790</v>
      </c>
      <c r="N1571" s="108"/>
      <c r="O1571" s="20" t="s">
        <v>1667</v>
      </c>
      <c r="P1571" s="20"/>
      <c r="Q1571" s="20"/>
    </row>
    <row r="1572" spans="1:17" ht="24.9" customHeight="1">
      <c r="A1572" s="20">
        <v>362</v>
      </c>
      <c r="B1572" s="20" t="s">
        <v>4320</v>
      </c>
      <c r="C1572" s="20"/>
      <c r="D1572" s="20" t="s">
        <v>326</v>
      </c>
      <c r="E1572" s="19" t="str">
        <f>VLOOKUP(D1572,'لیست پرسنل'!$B$2:$E$1020,3,FALSE)</f>
        <v>فکورصنعت</v>
      </c>
      <c r="F1572" s="19" t="str">
        <f>VLOOKUP(D1572,'لیست پرسنل'!$B$2:$E$1020,4,FALSE)</f>
        <v>انبار</v>
      </c>
      <c r="G1572" s="127">
        <f>VLOOKUP(D1572,'لیست پرسنل'!$B$2:$F$1020,2,FALSE)</f>
        <v>98141</v>
      </c>
      <c r="H1572" s="128" t="s">
        <v>3381</v>
      </c>
      <c r="I1572" s="128"/>
      <c r="J1572" s="128" t="s">
        <v>3481</v>
      </c>
      <c r="K1572" s="128" t="s">
        <v>3261</v>
      </c>
      <c r="L1572" s="127" t="s">
        <v>2712</v>
      </c>
      <c r="M1572" s="128">
        <v>619843</v>
      </c>
      <c r="N1572" s="108"/>
      <c r="O1572" s="20" t="s">
        <v>3258</v>
      </c>
      <c r="P1572" s="20"/>
      <c r="Q1572" s="20"/>
    </row>
    <row r="1573" spans="1:17" ht="24.9" customHeight="1">
      <c r="A1573" s="20">
        <v>362</v>
      </c>
      <c r="B1573" s="20" t="s">
        <v>4320</v>
      </c>
      <c r="C1573" s="20"/>
      <c r="D1573" s="20" t="s">
        <v>326</v>
      </c>
      <c r="E1573" s="19" t="str">
        <f>VLOOKUP(D1573,'لیست پرسنل'!$B$2:$E$1020,3,FALSE)</f>
        <v>فکورصنعت</v>
      </c>
      <c r="F1573" s="19" t="str">
        <f>VLOOKUP(D1573,'لیست پرسنل'!$B$2:$E$1020,4,FALSE)</f>
        <v>انبار</v>
      </c>
      <c r="G1573" s="127">
        <f>VLOOKUP(D1573,'لیست پرسنل'!$B$2:$F$1020,2,FALSE)</f>
        <v>98141</v>
      </c>
      <c r="H1573" s="128" t="s">
        <v>3381</v>
      </c>
      <c r="I1573" s="128"/>
      <c r="J1573" s="128" t="s">
        <v>3481</v>
      </c>
      <c r="K1573" s="128" t="s">
        <v>3261</v>
      </c>
      <c r="L1573" s="127" t="s">
        <v>2712</v>
      </c>
      <c r="M1573" s="128">
        <v>619844</v>
      </c>
      <c r="N1573" s="108"/>
      <c r="O1573" s="20" t="s">
        <v>3258</v>
      </c>
      <c r="P1573" s="20"/>
      <c r="Q1573" s="20"/>
    </row>
    <row r="1574" spans="1:17" ht="24.9" customHeight="1">
      <c r="A1574" s="20">
        <v>362</v>
      </c>
      <c r="B1574" s="19" t="s">
        <v>4320</v>
      </c>
      <c r="C1574" s="19"/>
      <c r="D1574" s="20" t="s">
        <v>326</v>
      </c>
      <c r="E1574" s="19" t="str">
        <f>VLOOKUP(D1574,'لیست پرسنل'!$B$2:$E$1020,3,FALSE)</f>
        <v>فکورصنعت</v>
      </c>
      <c r="F1574" s="19" t="str">
        <f>VLOOKUP(D1574,'لیست پرسنل'!$B$2:$E$1020,4,FALSE)</f>
        <v>انبار</v>
      </c>
      <c r="G1574" s="127">
        <f>VLOOKUP(D1574,'لیست پرسنل'!$B$2:$F$1020,2,FALSE)</f>
        <v>98141</v>
      </c>
      <c r="H1574" s="127" t="s">
        <v>3381</v>
      </c>
      <c r="I1574" s="127"/>
      <c r="J1574" s="127" t="s">
        <v>5962</v>
      </c>
      <c r="K1574" s="128" t="s">
        <v>5961</v>
      </c>
      <c r="L1574" s="127"/>
      <c r="M1574" s="127">
        <v>615783</v>
      </c>
      <c r="N1574" s="109"/>
      <c r="O1574" s="19"/>
      <c r="P1574" s="32"/>
      <c r="Q1574" s="32"/>
    </row>
    <row r="1575" spans="1:17" ht="24.9" customHeight="1">
      <c r="A1575" s="20">
        <v>362</v>
      </c>
      <c r="B1575" s="19" t="s">
        <v>4320</v>
      </c>
      <c r="C1575" s="19"/>
      <c r="D1575" s="20" t="s">
        <v>326</v>
      </c>
      <c r="E1575" s="19" t="str">
        <f>VLOOKUP(D1575,'لیست پرسنل'!$B$2:$E$1020,3,FALSE)</f>
        <v>فکورصنعت</v>
      </c>
      <c r="F1575" s="19" t="str">
        <f>VLOOKUP(D1575,'لیست پرسنل'!$B$2:$E$1020,4,FALSE)</f>
        <v>انبار</v>
      </c>
      <c r="G1575" s="127">
        <f>VLOOKUP(D1575,'لیست پرسنل'!$B$2:$F$1020,2,FALSE)</f>
        <v>98141</v>
      </c>
      <c r="H1575" s="127" t="s">
        <v>3381</v>
      </c>
      <c r="I1575" s="127"/>
      <c r="J1575" s="127" t="s">
        <v>5303</v>
      </c>
      <c r="K1575" s="128" t="s">
        <v>5305</v>
      </c>
      <c r="L1575" s="127"/>
      <c r="M1575" s="127">
        <v>615758</v>
      </c>
      <c r="N1575" s="109"/>
      <c r="O1575" s="19"/>
      <c r="P1575" s="32"/>
      <c r="Q1575" s="32"/>
    </row>
    <row r="1576" spans="1:17" ht="24.9" customHeight="1">
      <c r="A1576" s="20">
        <v>362</v>
      </c>
      <c r="B1576" s="19" t="s">
        <v>4320</v>
      </c>
      <c r="C1576" s="19"/>
      <c r="D1576" s="20" t="s">
        <v>326</v>
      </c>
      <c r="E1576" s="19" t="str">
        <f>VLOOKUP(D1576,'لیست پرسنل'!$B$2:$E$1020,3,FALSE)</f>
        <v>فکورصنعت</v>
      </c>
      <c r="F1576" s="19" t="str">
        <f>VLOOKUP(D1576,'لیست پرسنل'!$B$2:$E$1020,4,FALSE)</f>
        <v>انبار</v>
      </c>
      <c r="G1576" s="127">
        <f>VLOOKUP(D1576,'لیست پرسنل'!$B$2:$F$1020,2,FALSE)</f>
        <v>98141</v>
      </c>
      <c r="H1576" s="127" t="s">
        <v>3381</v>
      </c>
      <c r="I1576" s="127"/>
      <c r="J1576" s="127" t="s">
        <v>5303</v>
      </c>
      <c r="K1576" s="128" t="s">
        <v>5305</v>
      </c>
      <c r="L1576" s="127"/>
      <c r="M1576" s="127">
        <v>615759</v>
      </c>
      <c r="N1576" s="109"/>
      <c r="O1576" s="19"/>
      <c r="P1576" s="32"/>
      <c r="Q1576" s="32"/>
    </row>
    <row r="1577" spans="1:17" ht="24.9" customHeight="1">
      <c r="A1577" s="20">
        <v>362</v>
      </c>
      <c r="B1577" s="19" t="s">
        <v>4320</v>
      </c>
      <c r="C1577" s="19"/>
      <c r="D1577" s="20" t="s">
        <v>326</v>
      </c>
      <c r="E1577" s="19" t="str">
        <f>VLOOKUP(D1577,'لیست پرسنل'!$B$2:$E$1020,3,FALSE)</f>
        <v>فکورصنعت</v>
      </c>
      <c r="F1577" s="19" t="str">
        <f>VLOOKUP(D1577,'لیست پرسنل'!$B$2:$E$1020,4,FALSE)</f>
        <v>انبار</v>
      </c>
      <c r="G1577" s="127">
        <f>VLOOKUP(D1577,'لیست پرسنل'!$B$2:$F$1020,2,FALSE)</f>
        <v>98141</v>
      </c>
      <c r="H1577" s="127" t="s">
        <v>3381</v>
      </c>
      <c r="I1577" s="127"/>
      <c r="J1577" s="127" t="s">
        <v>5303</v>
      </c>
      <c r="K1577" s="128" t="s">
        <v>5305</v>
      </c>
      <c r="L1577" s="127"/>
      <c r="M1577" s="138">
        <v>615760</v>
      </c>
      <c r="N1577" s="109"/>
      <c r="O1577" s="19"/>
      <c r="P1577" s="32"/>
      <c r="Q1577" s="32"/>
    </row>
    <row r="1578" spans="1:17" ht="24.9" customHeight="1">
      <c r="A1578" s="20">
        <v>362</v>
      </c>
      <c r="B1578" s="19" t="s">
        <v>4320</v>
      </c>
      <c r="C1578" s="19"/>
      <c r="D1578" s="20" t="s">
        <v>326</v>
      </c>
      <c r="E1578" s="19" t="str">
        <f>VLOOKUP(D1578,'لیست پرسنل'!$B$2:$E$1020,3,FALSE)</f>
        <v>فکورصنعت</v>
      </c>
      <c r="F1578" s="19" t="str">
        <f>VLOOKUP(D1578,'لیست پرسنل'!$B$2:$E$1020,4,FALSE)</f>
        <v>انبار</v>
      </c>
      <c r="G1578" s="127">
        <f>VLOOKUP(D1578,'لیست پرسنل'!$B$2:$F$1020,2,FALSE)</f>
        <v>98141</v>
      </c>
      <c r="H1578" s="127" t="s">
        <v>3381</v>
      </c>
      <c r="I1578" s="127"/>
      <c r="J1578" s="127" t="s">
        <v>5303</v>
      </c>
      <c r="K1578" s="128" t="s">
        <v>5305</v>
      </c>
      <c r="L1578" s="127"/>
      <c r="M1578" s="127">
        <v>615761</v>
      </c>
      <c r="N1578" s="109"/>
      <c r="O1578" s="19"/>
      <c r="P1578" s="32"/>
      <c r="Q1578" s="32"/>
    </row>
    <row r="1579" spans="1:17" ht="24.9" customHeight="1">
      <c r="A1579" s="20">
        <v>362</v>
      </c>
      <c r="B1579" s="19" t="s">
        <v>4320</v>
      </c>
      <c r="C1579" s="19"/>
      <c r="D1579" s="20" t="s">
        <v>326</v>
      </c>
      <c r="E1579" s="19" t="str">
        <f>VLOOKUP(D1579,'لیست پرسنل'!$B$2:$E$1020,3,FALSE)</f>
        <v>فکورصنعت</v>
      </c>
      <c r="F1579" s="19" t="str">
        <f>VLOOKUP(D1579,'لیست پرسنل'!$B$2:$E$1020,4,FALSE)</f>
        <v>انبار</v>
      </c>
      <c r="G1579" s="127">
        <f>VLOOKUP(D1579,'لیست پرسنل'!$B$2:$F$1020,2,FALSE)</f>
        <v>98141</v>
      </c>
      <c r="H1579" s="127" t="s">
        <v>3381</v>
      </c>
      <c r="I1579" s="127"/>
      <c r="J1579" s="127" t="s">
        <v>5303</v>
      </c>
      <c r="K1579" s="128" t="s">
        <v>5305</v>
      </c>
      <c r="L1579" s="127"/>
      <c r="M1579" s="127">
        <v>615762</v>
      </c>
      <c r="N1579" s="109"/>
      <c r="O1579" s="19"/>
      <c r="P1579" s="32"/>
      <c r="Q1579" s="32"/>
    </row>
    <row r="1580" spans="1:17" ht="24.9" customHeight="1">
      <c r="A1580" s="20">
        <v>362</v>
      </c>
      <c r="B1580" s="19" t="s">
        <v>4320</v>
      </c>
      <c r="C1580" s="19"/>
      <c r="D1580" s="20" t="s">
        <v>326</v>
      </c>
      <c r="E1580" s="19" t="str">
        <f>VLOOKUP(D1580,'لیست پرسنل'!$B$2:$E$1020,3,FALSE)</f>
        <v>فکورصنعت</v>
      </c>
      <c r="F1580" s="19" t="str">
        <f>VLOOKUP(D1580,'لیست پرسنل'!$B$2:$E$1020,4,FALSE)</f>
        <v>انبار</v>
      </c>
      <c r="G1580" s="127">
        <f>VLOOKUP(D1580,'لیست پرسنل'!$B$2:$F$1020,2,FALSE)</f>
        <v>98141</v>
      </c>
      <c r="H1580" s="127" t="s">
        <v>3381</v>
      </c>
      <c r="I1580" s="127"/>
      <c r="J1580" s="127" t="s">
        <v>5303</v>
      </c>
      <c r="K1580" s="128" t="s">
        <v>5305</v>
      </c>
      <c r="L1580" s="127"/>
      <c r="M1580" s="127">
        <v>615763</v>
      </c>
      <c r="N1580" s="109"/>
      <c r="O1580" s="19"/>
      <c r="P1580" s="32"/>
      <c r="Q1580" s="32"/>
    </row>
    <row r="1581" spans="1:17" ht="24.9" customHeight="1">
      <c r="A1581" s="20">
        <v>362</v>
      </c>
      <c r="B1581" s="19" t="s">
        <v>4320</v>
      </c>
      <c r="C1581" s="19"/>
      <c r="D1581" s="20" t="s">
        <v>326</v>
      </c>
      <c r="E1581" s="19" t="str">
        <f>VLOOKUP(D1581,'لیست پرسنل'!$B$2:$E$1020,3,FALSE)</f>
        <v>فکورصنعت</v>
      </c>
      <c r="F1581" s="19" t="str">
        <f>VLOOKUP(D1581,'لیست پرسنل'!$B$2:$E$1020,4,FALSE)</f>
        <v>انبار</v>
      </c>
      <c r="G1581" s="127">
        <f>VLOOKUP(D1581,'لیست پرسنل'!$B$2:$F$1020,2,FALSE)</f>
        <v>98141</v>
      </c>
      <c r="H1581" s="127" t="s">
        <v>3381</v>
      </c>
      <c r="I1581" s="127"/>
      <c r="J1581" s="127" t="s">
        <v>5303</v>
      </c>
      <c r="K1581" s="128" t="s">
        <v>5305</v>
      </c>
      <c r="L1581" s="127"/>
      <c r="M1581" s="127">
        <v>615764</v>
      </c>
      <c r="N1581" s="109"/>
      <c r="O1581" s="19"/>
      <c r="P1581" s="32"/>
      <c r="Q1581" s="32"/>
    </row>
    <row r="1582" spans="1:17" ht="24.9" customHeight="1">
      <c r="A1582" s="20">
        <v>362</v>
      </c>
      <c r="B1582" s="19" t="s">
        <v>4320</v>
      </c>
      <c r="C1582" s="19"/>
      <c r="D1582" s="20" t="s">
        <v>326</v>
      </c>
      <c r="E1582" s="19" t="str">
        <f>VLOOKUP(D1582,'لیست پرسنل'!$B$2:$E$1020,3,FALSE)</f>
        <v>فکورصنعت</v>
      </c>
      <c r="F1582" s="19" t="str">
        <f>VLOOKUP(D1582,'لیست پرسنل'!$B$2:$E$1020,4,FALSE)</f>
        <v>انبار</v>
      </c>
      <c r="G1582" s="127">
        <f>VLOOKUP(D1582,'لیست پرسنل'!$B$2:$F$1020,2,FALSE)</f>
        <v>98141</v>
      </c>
      <c r="H1582" s="127" t="s">
        <v>3381</v>
      </c>
      <c r="I1582" s="127"/>
      <c r="J1582" s="127" t="s">
        <v>5303</v>
      </c>
      <c r="K1582" s="128" t="s">
        <v>5305</v>
      </c>
      <c r="L1582" s="127"/>
      <c r="M1582" s="127">
        <v>615765</v>
      </c>
      <c r="N1582" s="109"/>
      <c r="O1582" s="19"/>
      <c r="P1582" s="32"/>
      <c r="Q1582" s="32"/>
    </row>
    <row r="1583" spans="1:17" ht="24.9" customHeight="1">
      <c r="A1583" s="20">
        <v>362</v>
      </c>
      <c r="B1583" s="19" t="s">
        <v>4320</v>
      </c>
      <c r="C1583" s="19"/>
      <c r="D1583" s="20" t="s">
        <v>326</v>
      </c>
      <c r="E1583" s="19" t="str">
        <f>VLOOKUP(D1583,'لیست پرسنل'!$B$2:$E$1020,3,FALSE)</f>
        <v>فکورصنعت</v>
      </c>
      <c r="F1583" s="19" t="str">
        <f>VLOOKUP(D1583,'لیست پرسنل'!$B$2:$E$1020,4,FALSE)</f>
        <v>انبار</v>
      </c>
      <c r="G1583" s="127">
        <f>VLOOKUP(D1583,'لیست پرسنل'!$B$2:$F$1020,2,FALSE)</f>
        <v>98141</v>
      </c>
      <c r="H1583" s="127" t="s">
        <v>3381</v>
      </c>
      <c r="I1583" s="127"/>
      <c r="J1583" s="127" t="s">
        <v>5303</v>
      </c>
      <c r="K1583" s="128" t="s">
        <v>5305</v>
      </c>
      <c r="L1583" s="127"/>
      <c r="M1583" s="127">
        <v>615766</v>
      </c>
      <c r="N1583" s="109"/>
      <c r="O1583" s="19"/>
      <c r="P1583" s="32"/>
      <c r="Q1583" s="32"/>
    </row>
    <row r="1584" spans="1:17" ht="24.9" customHeight="1">
      <c r="A1584" s="20">
        <v>362</v>
      </c>
      <c r="B1584" s="19" t="s">
        <v>4320</v>
      </c>
      <c r="C1584" s="19"/>
      <c r="D1584" s="20" t="s">
        <v>326</v>
      </c>
      <c r="E1584" s="19" t="str">
        <f>VLOOKUP(D1584,'لیست پرسنل'!$B$2:$E$1020,3,FALSE)</f>
        <v>فکورصنعت</v>
      </c>
      <c r="F1584" s="19" t="str">
        <f>VLOOKUP(D1584,'لیست پرسنل'!$B$2:$E$1020,4,FALSE)</f>
        <v>انبار</v>
      </c>
      <c r="G1584" s="127">
        <f>VLOOKUP(D1584,'لیست پرسنل'!$B$2:$F$1020,2,FALSE)</f>
        <v>98141</v>
      </c>
      <c r="H1584" s="127" t="s">
        <v>3381</v>
      </c>
      <c r="I1584" s="127"/>
      <c r="J1584" s="127" t="s">
        <v>5303</v>
      </c>
      <c r="K1584" s="128" t="s">
        <v>5305</v>
      </c>
      <c r="L1584" s="127"/>
      <c r="M1584" s="127">
        <v>615767</v>
      </c>
      <c r="N1584" s="109"/>
      <c r="O1584" s="19"/>
      <c r="P1584" s="32"/>
      <c r="Q1584" s="32"/>
    </row>
    <row r="1585" spans="1:17" ht="24.9" customHeight="1">
      <c r="A1585" s="20">
        <v>362</v>
      </c>
      <c r="B1585" s="19" t="s">
        <v>4320</v>
      </c>
      <c r="C1585" s="19"/>
      <c r="D1585" s="20" t="s">
        <v>326</v>
      </c>
      <c r="E1585" s="19" t="str">
        <f>VLOOKUP(D1585,'لیست پرسنل'!$B$2:$E$1020,3,FALSE)</f>
        <v>فکورصنعت</v>
      </c>
      <c r="F1585" s="19" t="str">
        <f>VLOOKUP(D1585,'لیست پرسنل'!$B$2:$E$1020,4,FALSE)</f>
        <v>انبار</v>
      </c>
      <c r="G1585" s="127">
        <f>VLOOKUP(D1585,'لیست پرسنل'!$B$2:$F$1020,2,FALSE)</f>
        <v>98141</v>
      </c>
      <c r="H1585" s="127" t="s">
        <v>3381</v>
      </c>
      <c r="I1585" s="127"/>
      <c r="J1585" s="127" t="s">
        <v>5303</v>
      </c>
      <c r="K1585" s="128" t="s">
        <v>5305</v>
      </c>
      <c r="L1585" s="127"/>
      <c r="M1585" s="127">
        <v>615768</v>
      </c>
      <c r="N1585" s="109"/>
      <c r="O1585" s="19"/>
      <c r="P1585" s="32"/>
      <c r="Q1585" s="32"/>
    </row>
    <row r="1586" spans="1:17" ht="24.9" customHeight="1">
      <c r="A1586" s="20">
        <v>362</v>
      </c>
      <c r="B1586" s="19" t="s">
        <v>4320</v>
      </c>
      <c r="C1586" s="19"/>
      <c r="D1586" s="20" t="s">
        <v>326</v>
      </c>
      <c r="E1586" s="19" t="str">
        <f>VLOOKUP(D1586,'لیست پرسنل'!$B$2:$E$1020,3,FALSE)</f>
        <v>فکورصنعت</v>
      </c>
      <c r="F1586" s="19" t="str">
        <f>VLOOKUP(D1586,'لیست پرسنل'!$B$2:$E$1020,4,FALSE)</f>
        <v>انبار</v>
      </c>
      <c r="G1586" s="127">
        <f>VLOOKUP(D1586,'لیست پرسنل'!$B$2:$F$1020,2,FALSE)</f>
        <v>98141</v>
      </c>
      <c r="H1586" s="127" t="s">
        <v>3381</v>
      </c>
      <c r="I1586" s="127"/>
      <c r="J1586" s="127" t="s">
        <v>5303</v>
      </c>
      <c r="K1586" s="128" t="s">
        <v>5305</v>
      </c>
      <c r="L1586" s="127"/>
      <c r="M1586" s="127">
        <v>615769</v>
      </c>
      <c r="N1586" s="109"/>
      <c r="O1586" s="19"/>
      <c r="P1586" s="32"/>
      <c r="Q1586" s="32"/>
    </row>
    <row r="1587" spans="1:17" ht="24.9" customHeight="1">
      <c r="A1587" s="20">
        <v>362</v>
      </c>
      <c r="B1587" s="19" t="s">
        <v>4320</v>
      </c>
      <c r="C1587" s="19"/>
      <c r="D1587" s="20" t="s">
        <v>326</v>
      </c>
      <c r="E1587" s="19" t="str">
        <f>VLOOKUP(D1587,'لیست پرسنل'!$B$2:$E$1020,3,FALSE)</f>
        <v>فکورصنعت</v>
      </c>
      <c r="F1587" s="19" t="str">
        <f>VLOOKUP(D1587,'لیست پرسنل'!$B$2:$E$1020,4,FALSE)</f>
        <v>انبار</v>
      </c>
      <c r="G1587" s="127">
        <f>VLOOKUP(D1587,'لیست پرسنل'!$B$2:$F$1020,2,FALSE)</f>
        <v>98141</v>
      </c>
      <c r="H1587" s="127" t="s">
        <v>3381</v>
      </c>
      <c r="I1587" s="127"/>
      <c r="J1587" s="127" t="s">
        <v>5303</v>
      </c>
      <c r="K1587" s="128" t="s">
        <v>5305</v>
      </c>
      <c r="L1587" s="127"/>
      <c r="M1587" s="127">
        <v>615770</v>
      </c>
      <c r="N1587" s="109"/>
      <c r="O1587" s="19"/>
      <c r="P1587" s="32"/>
      <c r="Q1587" s="32"/>
    </row>
    <row r="1588" spans="1:17" ht="24.9" customHeight="1">
      <c r="A1588" s="20">
        <v>362</v>
      </c>
      <c r="B1588" s="19" t="s">
        <v>4320</v>
      </c>
      <c r="C1588" s="19"/>
      <c r="D1588" s="20" t="s">
        <v>326</v>
      </c>
      <c r="E1588" s="19" t="str">
        <f>VLOOKUP(D1588,'لیست پرسنل'!$B$2:$E$1020,3,FALSE)</f>
        <v>فکورصنعت</v>
      </c>
      <c r="F1588" s="19" t="str">
        <f>VLOOKUP(D1588,'لیست پرسنل'!$B$2:$E$1020,4,FALSE)</f>
        <v>انبار</v>
      </c>
      <c r="G1588" s="127">
        <f>VLOOKUP(D1588,'لیست پرسنل'!$B$2:$F$1020,2,FALSE)</f>
        <v>98141</v>
      </c>
      <c r="H1588" s="127" t="s">
        <v>3381</v>
      </c>
      <c r="I1588" s="127"/>
      <c r="J1588" s="127" t="s">
        <v>5303</v>
      </c>
      <c r="K1588" s="128" t="s">
        <v>5305</v>
      </c>
      <c r="L1588" s="127"/>
      <c r="M1588" s="127">
        <v>615771</v>
      </c>
      <c r="N1588" s="109"/>
      <c r="O1588" s="19"/>
      <c r="P1588" s="32"/>
      <c r="Q1588" s="32"/>
    </row>
    <row r="1589" spans="1:17" ht="24.9" customHeight="1">
      <c r="A1589" s="20">
        <v>362</v>
      </c>
      <c r="B1589" s="19" t="s">
        <v>4320</v>
      </c>
      <c r="C1589" s="19"/>
      <c r="D1589" s="20" t="s">
        <v>326</v>
      </c>
      <c r="E1589" s="19" t="str">
        <f>VLOOKUP(D1589,'لیست پرسنل'!$B$2:$E$1020,3,FALSE)</f>
        <v>فکورصنعت</v>
      </c>
      <c r="F1589" s="19" t="str">
        <f>VLOOKUP(D1589,'لیست پرسنل'!$B$2:$E$1020,4,FALSE)</f>
        <v>انبار</v>
      </c>
      <c r="G1589" s="127">
        <f>VLOOKUP(D1589,'لیست پرسنل'!$B$2:$F$1020,2,FALSE)</f>
        <v>98141</v>
      </c>
      <c r="H1589" s="127" t="s">
        <v>3381</v>
      </c>
      <c r="I1589" s="127"/>
      <c r="J1589" s="127" t="s">
        <v>5303</v>
      </c>
      <c r="K1589" s="128" t="s">
        <v>5305</v>
      </c>
      <c r="L1589" s="127"/>
      <c r="M1589" s="127">
        <v>615772</v>
      </c>
      <c r="N1589" s="109"/>
      <c r="O1589" s="19"/>
      <c r="P1589" s="32"/>
      <c r="Q1589" s="32"/>
    </row>
    <row r="1590" spans="1:17" ht="24.9" customHeight="1">
      <c r="A1590" s="20">
        <v>362</v>
      </c>
      <c r="B1590" s="19" t="s">
        <v>4320</v>
      </c>
      <c r="C1590" s="19"/>
      <c r="D1590" s="20" t="s">
        <v>326</v>
      </c>
      <c r="E1590" s="19" t="str">
        <f>VLOOKUP(D1590,'لیست پرسنل'!$B$2:$E$1020,3,FALSE)</f>
        <v>فکورصنعت</v>
      </c>
      <c r="F1590" s="19" t="str">
        <f>VLOOKUP(D1590,'لیست پرسنل'!$B$2:$E$1020,4,FALSE)</f>
        <v>انبار</v>
      </c>
      <c r="G1590" s="127">
        <f>VLOOKUP(D1590,'لیست پرسنل'!$B$2:$F$1020,2,FALSE)</f>
        <v>98141</v>
      </c>
      <c r="H1590" s="127" t="s">
        <v>3381</v>
      </c>
      <c r="I1590" s="127"/>
      <c r="J1590" s="127" t="s">
        <v>5303</v>
      </c>
      <c r="K1590" s="128" t="s">
        <v>5305</v>
      </c>
      <c r="L1590" s="127"/>
      <c r="M1590" s="127">
        <v>615773</v>
      </c>
      <c r="N1590" s="109"/>
      <c r="O1590" s="19"/>
      <c r="P1590" s="32"/>
      <c r="Q1590" s="32"/>
    </row>
    <row r="1591" spans="1:17" ht="24.9" customHeight="1">
      <c r="A1591" s="20">
        <v>362</v>
      </c>
      <c r="B1591" s="19" t="s">
        <v>4320</v>
      </c>
      <c r="C1591" s="19"/>
      <c r="D1591" s="20" t="s">
        <v>326</v>
      </c>
      <c r="E1591" s="19" t="str">
        <f>VLOOKUP(D1591,'لیست پرسنل'!$B$2:$E$1020,3,FALSE)</f>
        <v>فکورصنعت</v>
      </c>
      <c r="F1591" s="19" t="str">
        <f>VLOOKUP(D1591,'لیست پرسنل'!$B$2:$E$1020,4,FALSE)</f>
        <v>انبار</v>
      </c>
      <c r="G1591" s="127">
        <f>VLOOKUP(D1591,'لیست پرسنل'!$B$2:$F$1020,2,FALSE)</f>
        <v>98141</v>
      </c>
      <c r="H1591" s="127" t="s">
        <v>3381</v>
      </c>
      <c r="I1591" s="127"/>
      <c r="J1591" s="127" t="s">
        <v>5303</v>
      </c>
      <c r="K1591" s="128" t="s">
        <v>5305</v>
      </c>
      <c r="L1591" s="127"/>
      <c r="M1591" s="127">
        <v>615774</v>
      </c>
      <c r="N1591" s="109"/>
      <c r="O1591" s="19"/>
      <c r="P1591" s="32"/>
      <c r="Q1591" s="32"/>
    </row>
    <row r="1592" spans="1:17" ht="24.9" customHeight="1">
      <c r="A1592" s="20">
        <v>362</v>
      </c>
      <c r="B1592" s="19" t="s">
        <v>4320</v>
      </c>
      <c r="C1592" s="19"/>
      <c r="D1592" s="20" t="s">
        <v>326</v>
      </c>
      <c r="E1592" s="19" t="str">
        <f>VLOOKUP(D1592,'لیست پرسنل'!$B$2:$E$1020,3,FALSE)</f>
        <v>فکورصنعت</v>
      </c>
      <c r="F1592" s="19" t="str">
        <f>VLOOKUP(D1592,'لیست پرسنل'!$B$2:$E$1020,4,FALSE)</f>
        <v>انبار</v>
      </c>
      <c r="G1592" s="127">
        <f>VLOOKUP(D1592,'لیست پرسنل'!$B$2:$F$1020,2,FALSE)</f>
        <v>98141</v>
      </c>
      <c r="H1592" s="127" t="s">
        <v>3381</v>
      </c>
      <c r="I1592" s="127"/>
      <c r="J1592" s="127" t="s">
        <v>5303</v>
      </c>
      <c r="K1592" s="128" t="s">
        <v>5305</v>
      </c>
      <c r="L1592" s="127"/>
      <c r="M1592" s="127">
        <v>615775</v>
      </c>
      <c r="N1592" s="109"/>
      <c r="O1592" s="19"/>
      <c r="P1592" s="32"/>
      <c r="Q1592" s="32"/>
    </row>
    <row r="1593" spans="1:17" ht="24.9" customHeight="1">
      <c r="A1593" s="20">
        <v>362</v>
      </c>
      <c r="B1593" s="19" t="s">
        <v>4320</v>
      </c>
      <c r="C1593" s="19"/>
      <c r="D1593" s="20" t="s">
        <v>326</v>
      </c>
      <c r="E1593" s="19" t="str">
        <f>VLOOKUP(D1593,'لیست پرسنل'!$B$2:$E$1020,3,FALSE)</f>
        <v>فکورصنعت</v>
      </c>
      <c r="F1593" s="19" t="str">
        <f>VLOOKUP(D1593,'لیست پرسنل'!$B$2:$E$1020,4,FALSE)</f>
        <v>انبار</v>
      </c>
      <c r="G1593" s="127">
        <f>VLOOKUP(D1593,'لیست پرسنل'!$B$2:$F$1020,2,FALSE)</f>
        <v>98141</v>
      </c>
      <c r="H1593" s="127" t="s">
        <v>3381</v>
      </c>
      <c r="I1593" s="127"/>
      <c r="J1593" s="127" t="s">
        <v>5303</v>
      </c>
      <c r="K1593" s="128" t="s">
        <v>5305</v>
      </c>
      <c r="L1593" s="127"/>
      <c r="M1593" s="127">
        <v>615776</v>
      </c>
      <c r="N1593" s="109"/>
      <c r="O1593" s="19"/>
      <c r="P1593" s="32"/>
      <c r="Q1593" s="32"/>
    </row>
    <row r="1594" spans="1:17" ht="24.9" customHeight="1">
      <c r="A1594" s="20">
        <v>362</v>
      </c>
      <c r="B1594" s="19" t="s">
        <v>4320</v>
      </c>
      <c r="C1594" s="19"/>
      <c r="D1594" s="20" t="s">
        <v>326</v>
      </c>
      <c r="E1594" s="19" t="str">
        <f>VLOOKUP(D1594,'لیست پرسنل'!$B$2:$E$1020,3,FALSE)</f>
        <v>فکورصنعت</v>
      </c>
      <c r="F1594" s="19" t="str">
        <f>VLOOKUP(D1594,'لیست پرسنل'!$B$2:$E$1020,4,FALSE)</f>
        <v>انبار</v>
      </c>
      <c r="G1594" s="127">
        <f>VLOOKUP(D1594,'لیست پرسنل'!$B$2:$F$1020,2,FALSE)</f>
        <v>98141</v>
      </c>
      <c r="H1594" s="127" t="s">
        <v>3381</v>
      </c>
      <c r="I1594" s="127"/>
      <c r="J1594" s="127" t="s">
        <v>5303</v>
      </c>
      <c r="K1594" s="128" t="s">
        <v>5305</v>
      </c>
      <c r="L1594" s="127"/>
      <c r="M1594" s="127">
        <v>615777</v>
      </c>
      <c r="N1594" s="109"/>
      <c r="O1594" s="19"/>
      <c r="P1594" s="32"/>
      <c r="Q1594" s="32"/>
    </row>
    <row r="1595" spans="1:17" ht="24.9" customHeight="1">
      <c r="A1595" s="20">
        <v>362</v>
      </c>
      <c r="B1595" s="19" t="s">
        <v>4320</v>
      </c>
      <c r="C1595" s="19"/>
      <c r="D1595" s="20" t="s">
        <v>326</v>
      </c>
      <c r="E1595" s="19" t="str">
        <f>VLOOKUP(D1595,'لیست پرسنل'!$B$2:$E$1020,3,FALSE)</f>
        <v>فکورصنعت</v>
      </c>
      <c r="F1595" s="19" t="str">
        <f>VLOOKUP(D1595,'لیست پرسنل'!$B$2:$E$1020,4,FALSE)</f>
        <v>انبار</v>
      </c>
      <c r="G1595" s="127">
        <f>VLOOKUP(D1595,'لیست پرسنل'!$B$2:$F$1020,2,FALSE)</f>
        <v>98141</v>
      </c>
      <c r="H1595" s="127" t="s">
        <v>3381</v>
      </c>
      <c r="I1595" s="127"/>
      <c r="J1595" s="127" t="s">
        <v>5303</v>
      </c>
      <c r="K1595" s="128" t="s">
        <v>5305</v>
      </c>
      <c r="L1595" s="127"/>
      <c r="M1595" s="127">
        <v>615778</v>
      </c>
      <c r="N1595" s="109"/>
      <c r="O1595" s="19"/>
      <c r="P1595" s="32"/>
      <c r="Q1595" s="32"/>
    </row>
    <row r="1596" spans="1:17" ht="24.9" customHeight="1">
      <c r="A1596" s="20">
        <v>362</v>
      </c>
      <c r="B1596" s="19" t="s">
        <v>4320</v>
      </c>
      <c r="C1596" s="19"/>
      <c r="D1596" s="20" t="s">
        <v>326</v>
      </c>
      <c r="E1596" s="19" t="str">
        <f>VLOOKUP(D1596,'لیست پرسنل'!$B$2:$E$1020,3,FALSE)</f>
        <v>فکورصنعت</v>
      </c>
      <c r="F1596" s="19" t="str">
        <f>VLOOKUP(D1596,'لیست پرسنل'!$B$2:$E$1020,4,FALSE)</f>
        <v>انبار</v>
      </c>
      <c r="G1596" s="127">
        <f>VLOOKUP(D1596,'لیست پرسنل'!$B$2:$F$1020,2,FALSE)</f>
        <v>98141</v>
      </c>
      <c r="H1596" s="127" t="s">
        <v>3381</v>
      </c>
      <c r="I1596" s="127"/>
      <c r="J1596" s="127" t="s">
        <v>5303</v>
      </c>
      <c r="K1596" s="128" t="s">
        <v>5305</v>
      </c>
      <c r="L1596" s="127"/>
      <c r="M1596" s="127">
        <v>615779</v>
      </c>
      <c r="N1596" s="109"/>
      <c r="O1596" s="19"/>
      <c r="P1596" s="32"/>
      <c r="Q1596" s="32"/>
    </row>
    <row r="1597" spans="1:17" ht="24.9" customHeight="1">
      <c r="A1597" s="20">
        <v>362</v>
      </c>
      <c r="B1597" s="19" t="s">
        <v>4320</v>
      </c>
      <c r="C1597" s="19"/>
      <c r="D1597" s="20" t="s">
        <v>326</v>
      </c>
      <c r="E1597" s="19" t="str">
        <f>VLOOKUP(D1597,'لیست پرسنل'!$B$2:$E$1020,3,FALSE)</f>
        <v>فکورصنعت</v>
      </c>
      <c r="F1597" s="19" t="str">
        <f>VLOOKUP(D1597,'لیست پرسنل'!$B$2:$E$1020,4,FALSE)</f>
        <v>انبار</v>
      </c>
      <c r="G1597" s="127">
        <f>VLOOKUP(D1597,'لیست پرسنل'!$B$2:$F$1020,2,FALSE)</f>
        <v>98141</v>
      </c>
      <c r="H1597" s="127" t="s">
        <v>3381</v>
      </c>
      <c r="I1597" s="127"/>
      <c r="J1597" s="127" t="s">
        <v>5303</v>
      </c>
      <c r="K1597" s="128" t="s">
        <v>5305</v>
      </c>
      <c r="L1597" s="127"/>
      <c r="M1597" s="127">
        <v>615780</v>
      </c>
      <c r="N1597" s="109"/>
      <c r="O1597" s="19"/>
      <c r="P1597" s="32"/>
      <c r="Q1597" s="32"/>
    </row>
    <row r="1598" spans="1:17" ht="24.9" customHeight="1">
      <c r="A1598" s="20">
        <v>362</v>
      </c>
      <c r="B1598" s="19" t="s">
        <v>4320</v>
      </c>
      <c r="C1598" s="19"/>
      <c r="D1598" s="20" t="s">
        <v>326</v>
      </c>
      <c r="E1598" s="19" t="str">
        <f>VLOOKUP(D1598,'لیست پرسنل'!$B$2:$E$1020,3,FALSE)</f>
        <v>فکورصنعت</v>
      </c>
      <c r="F1598" s="19" t="str">
        <f>VLOOKUP(D1598,'لیست پرسنل'!$B$2:$E$1020,4,FALSE)</f>
        <v>انبار</v>
      </c>
      <c r="G1598" s="127">
        <f>VLOOKUP(D1598,'لیست پرسنل'!$B$2:$F$1020,2,FALSE)</f>
        <v>98141</v>
      </c>
      <c r="H1598" s="127" t="s">
        <v>3381</v>
      </c>
      <c r="I1598" s="127"/>
      <c r="J1598" s="127" t="s">
        <v>5303</v>
      </c>
      <c r="K1598" s="128" t="s">
        <v>5305</v>
      </c>
      <c r="L1598" s="127"/>
      <c r="M1598" s="127">
        <v>615781</v>
      </c>
      <c r="N1598" s="109"/>
      <c r="O1598" s="19"/>
      <c r="P1598" s="32"/>
      <c r="Q1598" s="32"/>
    </row>
    <row r="1599" spans="1:17" ht="24.9" customHeight="1">
      <c r="A1599" s="20">
        <v>362</v>
      </c>
      <c r="B1599" s="19" t="s">
        <v>4320</v>
      </c>
      <c r="C1599" s="19"/>
      <c r="D1599" s="20" t="s">
        <v>326</v>
      </c>
      <c r="E1599" s="19" t="str">
        <f>VLOOKUP(D1599,'لیست پرسنل'!$B$2:$E$1020,3,FALSE)</f>
        <v>فکورصنعت</v>
      </c>
      <c r="F1599" s="19" t="str">
        <f>VLOOKUP(D1599,'لیست پرسنل'!$B$2:$E$1020,4,FALSE)</f>
        <v>انبار</v>
      </c>
      <c r="G1599" s="127">
        <f>VLOOKUP(D1599,'لیست پرسنل'!$B$2:$F$1020,2,FALSE)</f>
        <v>98141</v>
      </c>
      <c r="H1599" s="127" t="s">
        <v>3381</v>
      </c>
      <c r="I1599" s="127"/>
      <c r="J1599" s="127" t="s">
        <v>5303</v>
      </c>
      <c r="K1599" s="128" t="s">
        <v>5305</v>
      </c>
      <c r="L1599" s="127"/>
      <c r="M1599" s="127">
        <v>615782</v>
      </c>
      <c r="N1599" s="109"/>
      <c r="O1599" s="19"/>
      <c r="P1599" s="32"/>
      <c r="Q1599" s="32"/>
    </row>
    <row r="1600" spans="1:17" ht="24.9" customHeight="1">
      <c r="A1600" s="20">
        <v>362</v>
      </c>
      <c r="B1600" s="19" t="s">
        <v>4320</v>
      </c>
      <c r="C1600" s="19"/>
      <c r="D1600" s="20" t="s">
        <v>326</v>
      </c>
      <c r="E1600" s="19" t="str">
        <f>VLOOKUP(D1600,'لیست پرسنل'!$B$2:$E$1020,3,FALSE)</f>
        <v>فکورصنعت</v>
      </c>
      <c r="F1600" s="19" t="str">
        <f>VLOOKUP(D1600,'لیست پرسنل'!$B$2:$E$1020,4,FALSE)</f>
        <v>انبار</v>
      </c>
      <c r="G1600" s="127">
        <f>VLOOKUP(D1600,'لیست پرسنل'!$B$2:$F$1020,2,FALSE)</f>
        <v>98141</v>
      </c>
      <c r="H1600" s="127" t="s">
        <v>3381</v>
      </c>
      <c r="I1600" s="127"/>
      <c r="J1600" s="127" t="s">
        <v>5303</v>
      </c>
      <c r="K1600" s="128" t="s">
        <v>5365</v>
      </c>
      <c r="L1600" s="127"/>
      <c r="M1600" s="127">
        <v>615784</v>
      </c>
      <c r="N1600" s="109"/>
      <c r="O1600" s="19"/>
      <c r="P1600" s="32"/>
      <c r="Q1600" s="32"/>
    </row>
    <row r="1601" spans="1:17" ht="24.9" customHeight="1">
      <c r="A1601" s="20">
        <v>362</v>
      </c>
      <c r="B1601" s="19" t="s">
        <v>4320</v>
      </c>
      <c r="C1601" s="19"/>
      <c r="D1601" s="20" t="s">
        <v>326</v>
      </c>
      <c r="E1601" s="19" t="str">
        <f>VLOOKUP(D1601,'لیست پرسنل'!$B$2:$E$1020,3,FALSE)</f>
        <v>فکورصنعت</v>
      </c>
      <c r="F1601" s="19" t="str">
        <f>VLOOKUP(D1601,'لیست پرسنل'!$B$2:$E$1020,4,FALSE)</f>
        <v>انبار</v>
      </c>
      <c r="G1601" s="127">
        <f>VLOOKUP(D1601,'لیست پرسنل'!$B$2:$F$1020,2,FALSE)</f>
        <v>98141</v>
      </c>
      <c r="H1601" s="127" t="s">
        <v>3381</v>
      </c>
      <c r="I1601" s="127"/>
      <c r="J1601" s="127" t="s">
        <v>5303</v>
      </c>
      <c r="K1601" s="128" t="s">
        <v>5365</v>
      </c>
      <c r="L1601" s="127"/>
      <c r="M1601" s="127">
        <v>615785</v>
      </c>
      <c r="N1601" s="109"/>
      <c r="O1601" s="19"/>
      <c r="P1601" s="32"/>
      <c r="Q1601" s="32"/>
    </row>
    <row r="1602" spans="1:17" ht="24.9" customHeight="1">
      <c r="A1602" s="20">
        <v>362</v>
      </c>
      <c r="B1602" s="19" t="s">
        <v>4320</v>
      </c>
      <c r="C1602" s="19"/>
      <c r="D1602" s="20" t="s">
        <v>326</v>
      </c>
      <c r="E1602" s="19" t="str">
        <f>VLOOKUP(D1602,'لیست پرسنل'!$B$2:$E$1020,3,FALSE)</f>
        <v>فکورصنعت</v>
      </c>
      <c r="F1602" s="19" t="str">
        <f>VLOOKUP(D1602,'لیست پرسنل'!$B$2:$E$1020,4,FALSE)</f>
        <v>انبار</v>
      </c>
      <c r="G1602" s="127">
        <f>VLOOKUP(D1602,'لیست پرسنل'!$B$2:$F$1020,2,FALSE)</f>
        <v>98141</v>
      </c>
      <c r="H1602" s="127" t="s">
        <v>3381</v>
      </c>
      <c r="I1602" s="127"/>
      <c r="J1602" s="127" t="s">
        <v>5303</v>
      </c>
      <c r="K1602" s="128" t="s">
        <v>5365</v>
      </c>
      <c r="L1602" s="127"/>
      <c r="M1602" s="127">
        <v>615786</v>
      </c>
      <c r="N1602" s="109"/>
      <c r="O1602" s="19"/>
      <c r="P1602" s="32"/>
      <c r="Q1602" s="32"/>
    </row>
    <row r="1603" spans="1:17" ht="24.9" customHeight="1">
      <c r="A1603" s="20">
        <v>362</v>
      </c>
      <c r="B1603" s="19" t="s">
        <v>4320</v>
      </c>
      <c r="C1603" s="19"/>
      <c r="D1603" s="20" t="s">
        <v>326</v>
      </c>
      <c r="E1603" s="19" t="str">
        <f>VLOOKUP(D1603,'لیست پرسنل'!$B$2:$E$1020,3,FALSE)</f>
        <v>فکورصنعت</v>
      </c>
      <c r="F1603" s="19" t="str">
        <f>VLOOKUP(D1603,'لیست پرسنل'!$B$2:$E$1020,4,FALSE)</f>
        <v>انبار</v>
      </c>
      <c r="G1603" s="127">
        <f>VLOOKUP(D1603,'لیست پرسنل'!$B$2:$F$1020,2,FALSE)</f>
        <v>98141</v>
      </c>
      <c r="H1603" s="127" t="s">
        <v>3381</v>
      </c>
      <c r="I1603" s="127"/>
      <c r="J1603" s="127" t="s">
        <v>5303</v>
      </c>
      <c r="K1603" s="128" t="s">
        <v>5365</v>
      </c>
      <c r="L1603" s="127"/>
      <c r="M1603" s="127">
        <v>615787</v>
      </c>
      <c r="N1603" s="109"/>
      <c r="O1603" s="19"/>
      <c r="P1603" s="32"/>
      <c r="Q1603" s="32"/>
    </row>
    <row r="1604" spans="1:17" ht="24.9" customHeight="1">
      <c r="A1604" s="20">
        <v>362</v>
      </c>
      <c r="B1604" s="20" t="s">
        <v>4320</v>
      </c>
      <c r="C1604" s="20"/>
      <c r="D1604" s="20" t="s">
        <v>326</v>
      </c>
      <c r="E1604" s="19" t="str">
        <f>VLOOKUP(D1604,'لیست پرسنل'!$B$2:$E$1020,3,FALSE)</f>
        <v>فکورصنعت</v>
      </c>
      <c r="F1604" s="19" t="str">
        <f>VLOOKUP(D1604,'لیست پرسنل'!$B$2:$E$1020,4,FALSE)</f>
        <v>انبار</v>
      </c>
      <c r="G1604" s="127">
        <f>VLOOKUP(D1604,'لیست پرسنل'!$B$2:$F$1020,2,FALSE)</f>
        <v>98141</v>
      </c>
      <c r="H1604" s="128" t="s">
        <v>3381</v>
      </c>
      <c r="I1604" s="128"/>
      <c r="J1604" s="128" t="s">
        <v>3388</v>
      </c>
      <c r="K1604" s="128" t="s">
        <v>2548</v>
      </c>
      <c r="L1604" s="140"/>
      <c r="M1604" s="128">
        <v>623398</v>
      </c>
      <c r="N1604" s="108"/>
      <c r="O1604" s="20"/>
      <c r="P1604" s="20"/>
      <c r="Q1604" s="20"/>
    </row>
    <row r="1605" spans="1:17" ht="24.9" customHeight="1">
      <c r="A1605" s="20">
        <v>362</v>
      </c>
      <c r="B1605" s="20" t="s">
        <v>4320</v>
      </c>
      <c r="C1605" s="19"/>
      <c r="D1605" s="19" t="s">
        <v>326</v>
      </c>
      <c r="E1605" s="19" t="str">
        <f>VLOOKUP(D1605,'لیست پرسنل'!$B$2:$E$1020,3,FALSE)</f>
        <v>فکورصنعت</v>
      </c>
      <c r="F1605" s="19" t="str">
        <f>VLOOKUP(D1605,'لیست پرسنل'!$B$2:$E$1020,4,FALSE)</f>
        <v>انبار</v>
      </c>
      <c r="G1605" s="127">
        <f>VLOOKUP(D1605,'لیست پرسنل'!$B$2:$F$1020,2,FALSE)</f>
        <v>98141</v>
      </c>
      <c r="H1605" s="151" t="s">
        <v>3381</v>
      </c>
      <c r="I1605" s="127"/>
      <c r="J1605" s="128" t="s">
        <v>3388</v>
      </c>
      <c r="K1605" s="128" t="s">
        <v>5120</v>
      </c>
      <c r="L1605" s="150" t="s">
        <v>5129</v>
      </c>
      <c r="M1605" s="128">
        <v>630992</v>
      </c>
      <c r="N1605" s="108" t="s">
        <v>7175</v>
      </c>
      <c r="O1605" s="19" t="s">
        <v>5130</v>
      </c>
      <c r="P1605" s="20"/>
      <c r="Q1605" s="20"/>
    </row>
    <row r="1606" spans="1:17" ht="24.9" customHeight="1">
      <c r="A1606" s="20">
        <v>362</v>
      </c>
      <c r="B1606" s="19" t="s">
        <v>4320</v>
      </c>
      <c r="C1606" s="19"/>
      <c r="D1606" s="20" t="s">
        <v>326</v>
      </c>
      <c r="E1606" s="19" t="str">
        <f>VLOOKUP(D1606,'لیست پرسنل'!$B$2:$E$1020,3,FALSE)</f>
        <v>فکورصنعت</v>
      </c>
      <c r="F1606" s="19" t="str">
        <f>VLOOKUP(D1606,'لیست پرسنل'!$B$2:$E$1020,4,FALSE)</f>
        <v>انبار</v>
      </c>
      <c r="G1606" s="127">
        <f>VLOOKUP(D1606,'لیست پرسنل'!$B$2:$F$1020,2,FALSE)</f>
        <v>98141</v>
      </c>
      <c r="H1606" s="127" t="s">
        <v>3381</v>
      </c>
      <c r="I1606" s="128"/>
      <c r="J1606" s="128" t="s">
        <v>3388</v>
      </c>
      <c r="K1606" s="128" t="s">
        <v>6981</v>
      </c>
      <c r="L1606" s="151"/>
      <c r="M1606" s="128">
        <v>632423</v>
      </c>
      <c r="N1606" s="108"/>
      <c r="O1606" s="20"/>
      <c r="P1606" s="20"/>
      <c r="Q1606" s="20"/>
    </row>
    <row r="1607" spans="1:17" ht="24.9" customHeight="1">
      <c r="A1607" s="185">
        <v>362</v>
      </c>
      <c r="B1607" s="185" t="s">
        <v>4320</v>
      </c>
      <c r="C1607" s="185"/>
      <c r="D1607" s="67" t="s">
        <v>3408</v>
      </c>
      <c r="E1607" s="186" t="str">
        <f>VLOOKUP(D1607,'لیست پرسنل'!$B$2:$E$1020,3,FALSE)</f>
        <v>فکورصنعت</v>
      </c>
      <c r="F1607" s="186" t="str">
        <f>VLOOKUP(D1607,'لیست پرسنل'!$B$2:$E$1020,4,FALSE)</f>
        <v>ابزار دقیق</v>
      </c>
      <c r="G1607" s="187">
        <f>VLOOKUP(D1607,'لیست پرسنل'!$B$2:$F$1020,2,FALSE)</f>
        <v>4000405</v>
      </c>
      <c r="H1607" s="188" t="s">
        <v>8592</v>
      </c>
      <c r="I1607" s="194"/>
      <c r="J1607" s="188" t="s">
        <v>3480</v>
      </c>
      <c r="K1607" s="188" t="s">
        <v>4002</v>
      </c>
      <c r="L1607" s="206" t="s">
        <v>5405</v>
      </c>
      <c r="M1607" s="190">
        <v>630481</v>
      </c>
      <c r="N1607" s="225"/>
      <c r="O1607" s="185" t="s">
        <v>4739</v>
      </c>
      <c r="P1607" s="185"/>
      <c r="Q1607" s="185"/>
    </row>
    <row r="1608" spans="1:17" ht="24.9" customHeight="1">
      <c r="A1608" s="20">
        <v>362</v>
      </c>
      <c r="B1608" s="20" t="s">
        <v>4320</v>
      </c>
      <c r="C1608" s="20"/>
      <c r="D1608" s="20" t="s">
        <v>3408</v>
      </c>
      <c r="E1608" s="19" t="str">
        <f>VLOOKUP(D1608,'لیست پرسنل'!$B$2:$E$1020,3,FALSE)</f>
        <v>فکورصنعت</v>
      </c>
      <c r="F1608" s="19" t="str">
        <f>VLOOKUP(D1608,'لیست پرسنل'!$B$2:$E$1020,4,FALSE)</f>
        <v>ابزار دقیق</v>
      </c>
      <c r="G1608" s="127">
        <f>VLOOKUP(D1608,'لیست پرسنل'!$B$2:$F$1020,2,FALSE)</f>
        <v>4000405</v>
      </c>
      <c r="H1608" s="128" t="s">
        <v>8592</v>
      </c>
      <c r="I1608" s="128"/>
      <c r="J1608" s="128" t="s">
        <v>3480</v>
      </c>
      <c r="K1608" s="128" t="s">
        <v>4002</v>
      </c>
      <c r="L1608" s="127" t="s">
        <v>5406</v>
      </c>
      <c r="M1608" s="127">
        <v>630482</v>
      </c>
      <c r="N1608" s="111"/>
      <c r="O1608" s="20" t="s">
        <v>4739</v>
      </c>
      <c r="P1608" s="20"/>
      <c r="Q1608" s="20"/>
    </row>
    <row r="1609" spans="1:17" ht="24.9" customHeight="1">
      <c r="A1609" s="20">
        <v>362</v>
      </c>
      <c r="B1609" s="20" t="s">
        <v>4320</v>
      </c>
      <c r="C1609" s="20"/>
      <c r="D1609" s="20" t="s">
        <v>3408</v>
      </c>
      <c r="E1609" s="19" t="str">
        <f>VLOOKUP(D1609,'لیست پرسنل'!$B$2:$E$1020,3,FALSE)</f>
        <v>فکورصنعت</v>
      </c>
      <c r="F1609" s="19" t="str">
        <f>VLOOKUP(D1609,'لیست پرسنل'!$B$2:$E$1020,4,FALSE)</f>
        <v>ابزار دقیق</v>
      </c>
      <c r="G1609" s="127">
        <f>VLOOKUP(D1609,'لیست پرسنل'!$B$2:$F$1020,2,FALSE)</f>
        <v>4000405</v>
      </c>
      <c r="H1609" s="128" t="s">
        <v>8592</v>
      </c>
      <c r="I1609" s="128"/>
      <c r="J1609" s="128" t="s">
        <v>3480</v>
      </c>
      <c r="K1609" s="128" t="s">
        <v>4002</v>
      </c>
      <c r="L1609" s="127" t="s">
        <v>5404</v>
      </c>
      <c r="M1609" s="127">
        <v>630483</v>
      </c>
      <c r="N1609" s="111"/>
      <c r="O1609" s="20" t="s">
        <v>4739</v>
      </c>
      <c r="P1609" s="20"/>
      <c r="Q1609" s="20"/>
    </row>
    <row r="1610" spans="1:17" ht="24.9" customHeight="1">
      <c r="A1610" s="20">
        <v>362</v>
      </c>
      <c r="B1610" s="20" t="s">
        <v>4320</v>
      </c>
      <c r="C1610" s="20"/>
      <c r="D1610" s="20" t="s">
        <v>3408</v>
      </c>
      <c r="E1610" s="19" t="str">
        <f>VLOOKUP(D1610,'لیست پرسنل'!$B$2:$E$1020,3,FALSE)</f>
        <v>فکورصنعت</v>
      </c>
      <c r="F1610" s="19" t="str">
        <f>VLOOKUP(D1610,'لیست پرسنل'!$B$2:$E$1020,4,FALSE)</f>
        <v>ابزار دقیق</v>
      </c>
      <c r="G1610" s="127">
        <f>VLOOKUP(D1610,'لیست پرسنل'!$B$2:$F$1020,2,FALSE)</f>
        <v>4000405</v>
      </c>
      <c r="H1610" s="128" t="s">
        <v>8592</v>
      </c>
      <c r="I1610" s="128"/>
      <c r="J1610" s="128" t="s">
        <v>3480</v>
      </c>
      <c r="K1610" s="128" t="s">
        <v>4002</v>
      </c>
      <c r="L1610" s="127" t="s">
        <v>5407</v>
      </c>
      <c r="M1610" s="127">
        <v>630484</v>
      </c>
      <c r="N1610" s="111"/>
      <c r="O1610" s="20" t="s">
        <v>4739</v>
      </c>
      <c r="P1610" s="20"/>
      <c r="Q1610" s="20"/>
    </row>
    <row r="1611" spans="1:17" ht="24.9" customHeight="1">
      <c r="A1611" s="20">
        <v>362</v>
      </c>
      <c r="B1611" s="20" t="s">
        <v>4320</v>
      </c>
      <c r="C1611" s="20"/>
      <c r="D1611" s="20" t="s">
        <v>3408</v>
      </c>
      <c r="E1611" s="19" t="str">
        <f>VLOOKUP(D1611,'لیست پرسنل'!$B$2:$E$1020,3,FALSE)</f>
        <v>فکورصنعت</v>
      </c>
      <c r="F1611" s="19" t="str">
        <f>VLOOKUP(D1611,'لیست پرسنل'!$B$2:$E$1020,4,FALSE)</f>
        <v>ابزار دقیق</v>
      </c>
      <c r="G1611" s="127">
        <f>VLOOKUP(D1611,'لیست پرسنل'!$B$2:$F$1020,2,FALSE)</f>
        <v>4000405</v>
      </c>
      <c r="H1611" s="128" t="s">
        <v>8592</v>
      </c>
      <c r="I1611" s="128"/>
      <c r="J1611" s="128" t="s">
        <v>3480</v>
      </c>
      <c r="K1611" s="128" t="s">
        <v>4002</v>
      </c>
      <c r="L1611" s="127" t="s">
        <v>5408</v>
      </c>
      <c r="M1611" s="127">
        <v>630485</v>
      </c>
      <c r="N1611" s="111"/>
      <c r="O1611" s="20" t="s">
        <v>4739</v>
      </c>
      <c r="P1611" s="20"/>
      <c r="Q1611" s="20"/>
    </row>
    <row r="1612" spans="1:17" ht="24.9" customHeight="1">
      <c r="A1612" s="20">
        <v>362</v>
      </c>
      <c r="B1612" s="20" t="s">
        <v>4320</v>
      </c>
      <c r="C1612" s="20"/>
      <c r="D1612" s="20" t="s">
        <v>3408</v>
      </c>
      <c r="E1612" s="19" t="str">
        <f>VLOOKUP(D1612,'لیست پرسنل'!$B$2:$E$1020,3,FALSE)</f>
        <v>فکورصنعت</v>
      </c>
      <c r="F1612" s="19" t="str">
        <f>VLOOKUP(D1612,'لیست پرسنل'!$B$2:$E$1020,4,FALSE)</f>
        <v>ابزار دقیق</v>
      </c>
      <c r="G1612" s="127">
        <f>VLOOKUP(D1612,'لیست پرسنل'!$B$2:$F$1020,2,FALSE)</f>
        <v>4000405</v>
      </c>
      <c r="H1612" s="128" t="s">
        <v>8592</v>
      </c>
      <c r="I1612" s="128"/>
      <c r="J1612" s="128" t="s">
        <v>3480</v>
      </c>
      <c r="K1612" s="128" t="s">
        <v>4002</v>
      </c>
      <c r="L1612" s="127" t="s">
        <v>5409</v>
      </c>
      <c r="M1612" s="127">
        <v>630486</v>
      </c>
      <c r="N1612" s="111"/>
      <c r="O1612" s="20" t="s">
        <v>4739</v>
      </c>
      <c r="P1612" s="20"/>
      <c r="Q1612" s="20"/>
    </row>
    <row r="1613" spans="1:17" ht="24.9" customHeight="1">
      <c r="A1613" s="20">
        <v>362</v>
      </c>
      <c r="B1613" s="20" t="s">
        <v>4320</v>
      </c>
      <c r="C1613" s="20"/>
      <c r="D1613" s="20" t="s">
        <v>3408</v>
      </c>
      <c r="E1613" s="19" t="str">
        <f>VLOOKUP(D1613,'لیست پرسنل'!$B$2:$E$1020,3,FALSE)</f>
        <v>فکورصنعت</v>
      </c>
      <c r="F1613" s="19" t="str">
        <f>VLOOKUP(D1613,'لیست پرسنل'!$B$2:$E$1020,4,FALSE)</f>
        <v>ابزار دقیق</v>
      </c>
      <c r="G1613" s="127">
        <f>VLOOKUP(D1613,'لیست پرسنل'!$B$2:$F$1020,2,FALSE)</f>
        <v>4000405</v>
      </c>
      <c r="H1613" s="128" t="s">
        <v>8592</v>
      </c>
      <c r="I1613" s="128"/>
      <c r="J1613" s="128" t="s">
        <v>3480</v>
      </c>
      <c r="K1613" s="128" t="s">
        <v>4002</v>
      </c>
      <c r="L1613" s="127" t="s">
        <v>7289</v>
      </c>
      <c r="M1613" s="127">
        <v>630487</v>
      </c>
      <c r="N1613" s="111"/>
      <c r="O1613" s="20" t="s">
        <v>4739</v>
      </c>
      <c r="P1613" s="20"/>
      <c r="Q1613" s="20"/>
    </row>
    <row r="1614" spans="1:17" ht="24.9" customHeight="1">
      <c r="A1614" s="20">
        <v>362</v>
      </c>
      <c r="B1614" s="20" t="s">
        <v>4320</v>
      </c>
      <c r="C1614" s="20"/>
      <c r="D1614" s="20" t="s">
        <v>3408</v>
      </c>
      <c r="E1614" s="19" t="str">
        <f>VLOOKUP(D1614,'لیست پرسنل'!$B$2:$E$1020,3,FALSE)</f>
        <v>فکورصنعت</v>
      </c>
      <c r="F1614" s="19" t="str">
        <f>VLOOKUP(D1614,'لیست پرسنل'!$B$2:$E$1020,4,FALSE)</f>
        <v>ابزار دقیق</v>
      </c>
      <c r="G1614" s="127">
        <f>VLOOKUP(D1614,'لیست پرسنل'!$B$2:$F$1020,2,FALSE)</f>
        <v>4000405</v>
      </c>
      <c r="H1614" s="128" t="s">
        <v>8592</v>
      </c>
      <c r="I1614" s="128"/>
      <c r="J1614" s="128" t="s">
        <v>3480</v>
      </c>
      <c r="K1614" s="128" t="s">
        <v>4002</v>
      </c>
      <c r="L1614" s="127" t="s">
        <v>7289</v>
      </c>
      <c r="M1614" s="127">
        <v>630488</v>
      </c>
      <c r="N1614" s="111"/>
      <c r="O1614" s="20" t="s">
        <v>4739</v>
      </c>
      <c r="P1614" s="20"/>
      <c r="Q1614" s="20"/>
    </row>
    <row r="1615" spans="1:17" ht="24.9" customHeight="1">
      <c r="A1615" s="20">
        <v>362</v>
      </c>
      <c r="B1615" s="20" t="s">
        <v>4320</v>
      </c>
      <c r="C1615" s="20"/>
      <c r="D1615" s="20" t="s">
        <v>3408</v>
      </c>
      <c r="E1615" s="19" t="str">
        <f>VLOOKUP(D1615,'لیست پرسنل'!$B$2:$E$1020,3,FALSE)</f>
        <v>فکورصنعت</v>
      </c>
      <c r="F1615" s="19" t="str">
        <f>VLOOKUP(D1615,'لیست پرسنل'!$B$2:$E$1020,4,FALSE)</f>
        <v>ابزار دقیق</v>
      </c>
      <c r="G1615" s="127">
        <f>VLOOKUP(D1615,'لیست پرسنل'!$B$2:$F$1020,2,FALSE)</f>
        <v>4000405</v>
      </c>
      <c r="H1615" s="128" t="s">
        <v>8592</v>
      </c>
      <c r="I1615" s="128"/>
      <c r="J1615" s="128" t="s">
        <v>3480</v>
      </c>
      <c r="K1615" s="128" t="s">
        <v>4002</v>
      </c>
      <c r="L1615" s="127" t="s">
        <v>7289</v>
      </c>
      <c r="M1615" s="127">
        <v>630489</v>
      </c>
      <c r="N1615" s="111"/>
      <c r="O1615" s="20" t="s">
        <v>4739</v>
      </c>
      <c r="P1615" s="20"/>
      <c r="Q1615" s="20"/>
    </row>
    <row r="1616" spans="1:17" ht="24.9" customHeight="1">
      <c r="A1616" s="20">
        <v>362</v>
      </c>
      <c r="B1616" s="20" t="s">
        <v>4320</v>
      </c>
      <c r="C1616" s="20"/>
      <c r="D1616" s="20" t="s">
        <v>3408</v>
      </c>
      <c r="E1616" s="19" t="str">
        <f>VLOOKUP(D1616,'لیست پرسنل'!$B$2:$E$1020,3,FALSE)</f>
        <v>فکورصنعت</v>
      </c>
      <c r="F1616" s="19" t="str">
        <f>VLOOKUP(D1616,'لیست پرسنل'!$B$2:$E$1020,4,FALSE)</f>
        <v>ابزار دقیق</v>
      </c>
      <c r="G1616" s="127">
        <f>VLOOKUP(D1616,'لیست پرسنل'!$B$2:$F$1020,2,FALSE)</f>
        <v>4000405</v>
      </c>
      <c r="H1616" s="128" t="s">
        <v>8592</v>
      </c>
      <c r="I1616" s="128"/>
      <c r="J1616" s="128" t="s">
        <v>3480</v>
      </c>
      <c r="K1616" s="128" t="s">
        <v>4002</v>
      </c>
      <c r="L1616" s="127" t="s">
        <v>7289</v>
      </c>
      <c r="M1616" s="127">
        <v>630490</v>
      </c>
      <c r="N1616" s="111"/>
      <c r="O1616" s="20" t="s">
        <v>4739</v>
      </c>
      <c r="P1616" s="20"/>
      <c r="Q1616" s="20"/>
    </row>
    <row r="1617" spans="1:17" ht="24.9" customHeight="1">
      <c r="A1617" s="20">
        <v>362</v>
      </c>
      <c r="B1617" s="20" t="s">
        <v>4320</v>
      </c>
      <c r="C1617" s="20"/>
      <c r="D1617" s="20" t="s">
        <v>3408</v>
      </c>
      <c r="E1617" s="19" t="str">
        <f>VLOOKUP(D1617,'لیست پرسنل'!$B$2:$E$1020,3,FALSE)</f>
        <v>فکورصنعت</v>
      </c>
      <c r="F1617" s="19" t="str">
        <f>VLOOKUP(D1617,'لیست پرسنل'!$B$2:$E$1020,4,FALSE)</f>
        <v>ابزار دقیق</v>
      </c>
      <c r="G1617" s="127">
        <f>VLOOKUP(D1617,'لیست پرسنل'!$B$2:$F$1020,2,FALSE)</f>
        <v>4000405</v>
      </c>
      <c r="H1617" s="128" t="s">
        <v>8592</v>
      </c>
      <c r="I1617" s="128"/>
      <c r="J1617" s="128" t="s">
        <v>3480</v>
      </c>
      <c r="K1617" s="128" t="s">
        <v>4002</v>
      </c>
      <c r="L1617" s="127" t="s">
        <v>7289</v>
      </c>
      <c r="M1617" s="127">
        <v>630491</v>
      </c>
      <c r="N1617" s="111"/>
      <c r="O1617" s="20" t="s">
        <v>4739</v>
      </c>
      <c r="P1617" s="20"/>
      <c r="Q1617" s="20"/>
    </row>
    <row r="1618" spans="1:17" ht="24.9" customHeight="1">
      <c r="A1618" s="20">
        <v>362</v>
      </c>
      <c r="B1618" s="20" t="s">
        <v>4320</v>
      </c>
      <c r="C1618" s="20"/>
      <c r="D1618" s="20" t="s">
        <v>3408</v>
      </c>
      <c r="E1618" s="19" t="str">
        <f>VLOOKUP(D1618,'لیست پرسنل'!$B$2:$E$1020,3,FALSE)</f>
        <v>فکورصنعت</v>
      </c>
      <c r="F1618" s="19" t="str">
        <f>VLOOKUP(D1618,'لیست پرسنل'!$B$2:$E$1020,4,FALSE)</f>
        <v>ابزار دقیق</v>
      </c>
      <c r="G1618" s="127">
        <f>VLOOKUP(D1618,'لیست پرسنل'!$B$2:$F$1020,2,FALSE)</f>
        <v>4000405</v>
      </c>
      <c r="H1618" s="128" t="s">
        <v>8592</v>
      </c>
      <c r="I1618" s="128"/>
      <c r="J1618" s="128" t="s">
        <v>3480</v>
      </c>
      <c r="K1618" s="128" t="s">
        <v>4002</v>
      </c>
      <c r="L1618" s="127" t="s">
        <v>7289</v>
      </c>
      <c r="M1618" s="127">
        <v>630492</v>
      </c>
      <c r="N1618" s="111"/>
      <c r="O1618" s="20" t="s">
        <v>4739</v>
      </c>
      <c r="P1618" s="20"/>
      <c r="Q1618" s="20"/>
    </row>
    <row r="1619" spans="1:17" ht="24.9" customHeight="1">
      <c r="A1619" s="20">
        <v>362</v>
      </c>
      <c r="B1619" s="20" t="s">
        <v>4320</v>
      </c>
      <c r="C1619" s="20"/>
      <c r="D1619" s="20" t="s">
        <v>3408</v>
      </c>
      <c r="E1619" s="19" t="str">
        <f>VLOOKUP(D1619,'لیست پرسنل'!$B$2:$E$1020,3,FALSE)</f>
        <v>فکورصنعت</v>
      </c>
      <c r="F1619" s="19" t="str">
        <f>VLOOKUP(D1619,'لیست پرسنل'!$B$2:$E$1020,4,FALSE)</f>
        <v>ابزار دقیق</v>
      </c>
      <c r="G1619" s="127">
        <f>VLOOKUP(D1619,'لیست پرسنل'!$B$2:$F$1020,2,FALSE)</f>
        <v>4000405</v>
      </c>
      <c r="H1619" s="128" t="s">
        <v>8592</v>
      </c>
      <c r="I1619" s="128"/>
      <c r="J1619" s="128" t="s">
        <v>3480</v>
      </c>
      <c r="K1619" s="128" t="s">
        <v>4002</v>
      </c>
      <c r="L1619" s="127" t="s">
        <v>7289</v>
      </c>
      <c r="M1619" s="127">
        <v>630493</v>
      </c>
      <c r="N1619" s="111"/>
      <c r="O1619" s="20" t="s">
        <v>4739</v>
      </c>
      <c r="P1619" s="20"/>
      <c r="Q1619" s="20"/>
    </row>
    <row r="1620" spans="1:17" ht="24.9" customHeight="1">
      <c r="A1620" s="20">
        <v>362</v>
      </c>
      <c r="B1620" s="20" t="s">
        <v>4320</v>
      </c>
      <c r="C1620" s="20"/>
      <c r="D1620" s="20" t="s">
        <v>3408</v>
      </c>
      <c r="E1620" s="19" t="str">
        <f>VLOOKUP(D1620,'لیست پرسنل'!$B$2:$E$1020,3,FALSE)</f>
        <v>فکورصنعت</v>
      </c>
      <c r="F1620" s="19" t="str">
        <f>VLOOKUP(D1620,'لیست پرسنل'!$B$2:$E$1020,4,FALSE)</f>
        <v>ابزار دقیق</v>
      </c>
      <c r="G1620" s="127">
        <f>VLOOKUP(D1620,'لیست پرسنل'!$B$2:$F$1020,2,FALSE)</f>
        <v>4000405</v>
      </c>
      <c r="H1620" s="128" t="s">
        <v>8592</v>
      </c>
      <c r="I1620" s="128"/>
      <c r="J1620" s="128" t="s">
        <v>3480</v>
      </c>
      <c r="K1620" s="128" t="s">
        <v>4002</v>
      </c>
      <c r="L1620" s="127" t="s">
        <v>7289</v>
      </c>
      <c r="M1620" s="127">
        <v>630494</v>
      </c>
      <c r="N1620" s="111"/>
      <c r="O1620" s="20" t="s">
        <v>4739</v>
      </c>
      <c r="P1620" s="20"/>
      <c r="Q1620" s="20"/>
    </row>
    <row r="1621" spans="1:17" ht="24.9" customHeight="1">
      <c r="A1621" s="20">
        <v>362</v>
      </c>
      <c r="B1621" s="20" t="s">
        <v>4320</v>
      </c>
      <c r="C1621" s="20"/>
      <c r="D1621" s="20" t="s">
        <v>3408</v>
      </c>
      <c r="E1621" s="19" t="str">
        <f>VLOOKUP(D1621,'لیست پرسنل'!$B$2:$E$1020,3,FALSE)</f>
        <v>فکورصنعت</v>
      </c>
      <c r="F1621" s="19" t="str">
        <f>VLOOKUP(D1621,'لیست پرسنل'!$B$2:$E$1020,4,FALSE)</f>
        <v>ابزار دقیق</v>
      </c>
      <c r="G1621" s="127">
        <f>VLOOKUP(D1621,'لیست پرسنل'!$B$2:$F$1020,2,FALSE)</f>
        <v>4000405</v>
      </c>
      <c r="H1621" s="128" t="s">
        <v>8592</v>
      </c>
      <c r="I1621" s="128"/>
      <c r="J1621" s="128" t="s">
        <v>3480</v>
      </c>
      <c r="K1621" s="128" t="s">
        <v>4002</v>
      </c>
      <c r="L1621" s="127" t="s">
        <v>7289</v>
      </c>
      <c r="M1621" s="127">
        <v>630495</v>
      </c>
      <c r="N1621" s="111"/>
      <c r="O1621" s="20" t="s">
        <v>4739</v>
      </c>
      <c r="P1621" s="20"/>
      <c r="Q1621" s="20"/>
    </row>
    <row r="1622" spans="1:17" ht="24.9" customHeight="1">
      <c r="A1622" s="20">
        <v>362</v>
      </c>
      <c r="B1622" s="20" t="s">
        <v>4320</v>
      </c>
      <c r="C1622" s="20"/>
      <c r="D1622" s="20" t="s">
        <v>3408</v>
      </c>
      <c r="E1622" s="19" t="str">
        <f>VLOOKUP(D1622,'لیست پرسنل'!$B$2:$E$1020,3,FALSE)</f>
        <v>فکورصنعت</v>
      </c>
      <c r="F1622" s="19" t="str">
        <f>VLOOKUP(D1622,'لیست پرسنل'!$B$2:$E$1020,4,FALSE)</f>
        <v>ابزار دقیق</v>
      </c>
      <c r="G1622" s="127">
        <f>VLOOKUP(D1622,'لیست پرسنل'!$B$2:$F$1020,2,FALSE)</f>
        <v>4000405</v>
      </c>
      <c r="H1622" s="128" t="s">
        <v>8592</v>
      </c>
      <c r="I1622" s="128"/>
      <c r="J1622" s="128" t="s">
        <v>3480</v>
      </c>
      <c r="K1622" s="128" t="s">
        <v>4002</v>
      </c>
      <c r="L1622" s="127" t="s">
        <v>7289</v>
      </c>
      <c r="M1622" s="127">
        <v>630496</v>
      </c>
      <c r="N1622" s="111"/>
      <c r="O1622" s="20" t="s">
        <v>4739</v>
      </c>
      <c r="P1622" s="20"/>
      <c r="Q1622" s="20"/>
    </row>
    <row r="1623" spans="1:17" ht="24.9" customHeight="1">
      <c r="A1623" s="20">
        <v>362</v>
      </c>
      <c r="B1623" s="20" t="s">
        <v>4320</v>
      </c>
      <c r="C1623" s="20"/>
      <c r="D1623" s="20" t="s">
        <v>326</v>
      </c>
      <c r="E1623" s="19" t="str">
        <f>VLOOKUP(D1623,'لیست پرسنل'!$B$2:$E$1020,3,FALSE)</f>
        <v>فکورصنعت</v>
      </c>
      <c r="F1623" s="19" t="str">
        <f>VLOOKUP(D1623,'لیست پرسنل'!$B$2:$E$1020,4,FALSE)</f>
        <v>انبار</v>
      </c>
      <c r="G1623" s="127">
        <f>VLOOKUP(D1623,'لیست پرسنل'!$B$2:$F$1020,2,FALSE)</f>
        <v>98141</v>
      </c>
      <c r="H1623" s="128" t="s">
        <v>3485</v>
      </c>
      <c r="I1623" s="128"/>
      <c r="J1623" s="127" t="s">
        <v>5366</v>
      </c>
      <c r="K1623" s="128" t="s">
        <v>2550</v>
      </c>
      <c r="L1623" s="140"/>
      <c r="M1623" s="128">
        <v>601066</v>
      </c>
      <c r="N1623" s="108"/>
      <c r="O1623" s="20"/>
      <c r="P1623" s="20"/>
      <c r="Q1623" s="20"/>
    </row>
    <row r="1624" spans="1:17" ht="24.9" customHeight="1">
      <c r="A1624" s="20">
        <v>362</v>
      </c>
      <c r="B1624" s="20" t="s">
        <v>4320</v>
      </c>
      <c r="C1624" s="20"/>
      <c r="D1624" s="20" t="s">
        <v>326</v>
      </c>
      <c r="E1624" s="19" t="str">
        <f>VLOOKUP(D1624,'لیست پرسنل'!$B$2:$E$1020,3,FALSE)</f>
        <v>فکورصنعت</v>
      </c>
      <c r="F1624" s="19" t="str">
        <f>VLOOKUP(D1624,'لیست پرسنل'!$B$2:$E$1020,4,FALSE)</f>
        <v>انبار</v>
      </c>
      <c r="G1624" s="127">
        <f>VLOOKUP(D1624,'لیست پرسنل'!$B$2:$F$1020,2,FALSE)</f>
        <v>98141</v>
      </c>
      <c r="H1624" s="128" t="s">
        <v>5159</v>
      </c>
      <c r="I1624" s="128"/>
      <c r="J1624" s="128" t="s">
        <v>5366</v>
      </c>
      <c r="K1624" s="128" t="s">
        <v>4965</v>
      </c>
      <c r="L1624" s="127" t="s">
        <v>4963</v>
      </c>
      <c r="M1624" s="128">
        <v>630679</v>
      </c>
      <c r="N1624" s="108" t="s">
        <v>4936</v>
      </c>
      <c r="O1624" s="20"/>
      <c r="P1624" s="20"/>
      <c r="Q1624" s="20"/>
    </row>
    <row r="1625" spans="1:17" ht="24.9" customHeight="1">
      <c r="A1625" s="20">
        <v>362</v>
      </c>
      <c r="B1625" s="20" t="s">
        <v>4320</v>
      </c>
      <c r="C1625" s="20"/>
      <c r="D1625" s="20" t="s">
        <v>326</v>
      </c>
      <c r="E1625" s="19" t="str">
        <f>VLOOKUP(D1625,'لیست پرسنل'!$B$2:$E$1020,3,FALSE)</f>
        <v>فکورصنعت</v>
      </c>
      <c r="F1625" s="19" t="str">
        <f>VLOOKUP(D1625,'لیست پرسنل'!$B$2:$E$1020,4,FALSE)</f>
        <v>انبار</v>
      </c>
      <c r="G1625" s="127">
        <f>VLOOKUP(D1625,'لیست پرسنل'!$B$2:$F$1020,2,FALSE)</f>
        <v>98141</v>
      </c>
      <c r="H1625" s="126" t="s">
        <v>7092</v>
      </c>
      <c r="I1625" s="128"/>
      <c r="J1625" s="128" t="s">
        <v>3476</v>
      </c>
      <c r="K1625" s="128" t="s">
        <v>6184</v>
      </c>
      <c r="L1625" s="127" t="s">
        <v>6178</v>
      </c>
      <c r="M1625" s="127">
        <v>633336</v>
      </c>
      <c r="N1625" s="108" t="s">
        <v>7093</v>
      </c>
      <c r="O1625" s="20"/>
      <c r="P1625" s="20"/>
      <c r="Q1625" s="20"/>
    </row>
    <row r="1626" spans="1:17" ht="24.9" customHeight="1">
      <c r="A1626" s="20">
        <v>362</v>
      </c>
      <c r="B1626" s="20" t="s">
        <v>4320</v>
      </c>
      <c r="C1626" s="19"/>
      <c r="D1626" s="20" t="s">
        <v>326</v>
      </c>
      <c r="E1626" s="19" t="str">
        <f>VLOOKUP(D1626,'لیست پرسنل'!$B$2:$E$1020,3,FALSE)</f>
        <v>فکورصنعت</v>
      </c>
      <c r="F1626" s="19" t="str">
        <f>VLOOKUP(D1626,'لیست پرسنل'!$B$2:$E$1020,4,FALSE)</f>
        <v>انبار</v>
      </c>
      <c r="G1626" s="127">
        <f>VLOOKUP(D1626,'لیست پرسنل'!$B$2:$F$1020,2,FALSE)</f>
        <v>98141</v>
      </c>
      <c r="H1626" s="165" t="s">
        <v>4306</v>
      </c>
      <c r="I1626" s="128"/>
      <c r="J1626" s="128" t="s">
        <v>3476</v>
      </c>
      <c r="K1626" s="128" t="s">
        <v>1038</v>
      </c>
      <c r="L1626" s="128" t="s">
        <v>2877</v>
      </c>
      <c r="M1626" s="128">
        <v>626786</v>
      </c>
      <c r="N1626" s="108"/>
      <c r="O1626" s="20" t="s">
        <v>2880</v>
      </c>
      <c r="P1626" s="20"/>
      <c r="Q1626" s="20"/>
    </row>
    <row r="1627" spans="1:17" ht="24.9" customHeight="1">
      <c r="A1627" s="20">
        <v>362</v>
      </c>
      <c r="B1627" s="20" t="s">
        <v>4320</v>
      </c>
      <c r="C1627" s="20"/>
      <c r="D1627" s="20" t="s">
        <v>326</v>
      </c>
      <c r="E1627" s="19" t="str">
        <f>VLOOKUP(D1627,'لیست پرسنل'!$B$2:$E$1020,3,FALSE)</f>
        <v>فکورصنعت</v>
      </c>
      <c r="F1627" s="19" t="str">
        <f>VLOOKUP(D1627,'لیست پرسنل'!$B$2:$E$1020,4,FALSE)</f>
        <v>انبار</v>
      </c>
      <c r="G1627" s="127">
        <f>VLOOKUP(D1627,'لیست پرسنل'!$B$2:$F$1020,2,FALSE)</f>
        <v>98141</v>
      </c>
      <c r="H1627" s="165" t="s">
        <v>4307</v>
      </c>
      <c r="I1627" s="128"/>
      <c r="J1627" s="128" t="s">
        <v>3476</v>
      </c>
      <c r="K1627" s="128" t="s">
        <v>2872</v>
      </c>
      <c r="L1627" s="128" t="s">
        <v>2879</v>
      </c>
      <c r="M1627" s="128">
        <v>626784</v>
      </c>
      <c r="N1627" s="108"/>
      <c r="O1627" s="20" t="s">
        <v>2882</v>
      </c>
      <c r="P1627" s="20"/>
      <c r="Q1627" s="20"/>
    </row>
    <row r="1628" spans="1:17" ht="24.9" customHeight="1">
      <c r="A1628" s="20">
        <v>362</v>
      </c>
      <c r="B1628" s="20" t="s">
        <v>4320</v>
      </c>
      <c r="C1628" s="20"/>
      <c r="D1628" s="20" t="s">
        <v>326</v>
      </c>
      <c r="E1628" s="19" t="str">
        <f>VLOOKUP(D1628,'لیست پرسنل'!$B$2:$E$1020,3,FALSE)</f>
        <v>فکورصنعت</v>
      </c>
      <c r="F1628" s="19" t="str">
        <f>VLOOKUP(D1628,'لیست پرسنل'!$B$2:$E$1020,4,FALSE)</f>
        <v>انبار</v>
      </c>
      <c r="G1628" s="127">
        <f>VLOOKUP(D1628,'لیست پرسنل'!$B$2:$F$1020,2,FALSE)</f>
        <v>98141</v>
      </c>
      <c r="H1628" s="126" t="s">
        <v>5825</v>
      </c>
      <c r="I1628" s="128"/>
      <c r="J1628" s="128" t="s">
        <v>3938</v>
      </c>
      <c r="K1628" s="128" t="s">
        <v>1458</v>
      </c>
      <c r="L1628" s="150" t="s">
        <v>1831</v>
      </c>
      <c r="M1628" s="127">
        <v>625936</v>
      </c>
      <c r="N1628" s="108"/>
      <c r="O1628" s="19" t="s">
        <v>3152</v>
      </c>
      <c r="P1628" s="20"/>
      <c r="Q1628" s="20"/>
    </row>
    <row r="1629" spans="1:17" ht="24.9" customHeight="1">
      <c r="A1629" s="20">
        <v>362</v>
      </c>
      <c r="B1629" s="20" t="s">
        <v>4320</v>
      </c>
      <c r="C1629" s="20"/>
      <c r="D1629" s="20" t="s">
        <v>326</v>
      </c>
      <c r="E1629" s="19" t="s">
        <v>3564</v>
      </c>
      <c r="F1629" s="19" t="s">
        <v>771</v>
      </c>
      <c r="G1629" s="127">
        <v>98141</v>
      </c>
      <c r="H1629" s="126" t="s">
        <v>7936</v>
      </c>
      <c r="I1629" s="128"/>
      <c r="J1629" s="128" t="s">
        <v>1977</v>
      </c>
      <c r="K1629" s="128" t="s">
        <v>4784</v>
      </c>
      <c r="L1629" s="128" t="s">
        <v>4790</v>
      </c>
      <c r="M1629" s="128">
        <v>629995</v>
      </c>
      <c r="N1629" s="108"/>
      <c r="O1629" s="20" t="s">
        <v>705</v>
      </c>
      <c r="P1629" s="20"/>
      <c r="Q1629" s="20"/>
    </row>
    <row r="1630" spans="1:17" ht="24.9" customHeight="1">
      <c r="A1630" s="20">
        <v>362</v>
      </c>
      <c r="B1630" s="20" t="s">
        <v>4320</v>
      </c>
      <c r="C1630" s="19"/>
      <c r="D1630" s="19" t="s">
        <v>326</v>
      </c>
      <c r="E1630" s="19" t="str">
        <f>VLOOKUP(D1630,'لیست پرسنل'!$B$2:$E$1020,3,FALSE)</f>
        <v>فکورصنعت</v>
      </c>
      <c r="F1630" s="19" t="str">
        <f>VLOOKUP(D1630,'لیست پرسنل'!$B$2:$E$1020,4,FALSE)</f>
        <v>انبار</v>
      </c>
      <c r="G1630" s="127">
        <f>VLOOKUP(D1630,'لیست پرسنل'!$B$2:$F$1020,2,FALSE)</f>
        <v>98141</v>
      </c>
      <c r="H1630" s="151" t="s">
        <v>7357</v>
      </c>
      <c r="I1630" s="127"/>
      <c r="J1630" s="127" t="s">
        <v>3476</v>
      </c>
      <c r="K1630" s="127" t="s">
        <v>8107</v>
      </c>
      <c r="L1630" s="150" t="s">
        <v>7319</v>
      </c>
      <c r="M1630" s="126">
        <v>635907</v>
      </c>
      <c r="N1630" s="109"/>
      <c r="O1630" s="39"/>
      <c r="P1630" s="20"/>
      <c r="Q1630" s="20"/>
    </row>
    <row r="1631" spans="1:17" ht="24.9" customHeight="1">
      <c r="A1631" s="20">
        <v>362</v>
      </c>
      <c r="B1631" s="20" t="s">
        <v>4320</v>
      </c>
      <c r="C1631" s="20"/>
      <c r="D1631" s="20" t="s">
        <v>326</v>
      </c>
      <c r="E1631" s="19" t="str">
        <f>VLOOKUP(D1631,'لیست پرسنل'!$B$2:$E$1020,3,FALSE)</f>
        <v>فکورصنعت</v>
      </c>
      <c r="F1631" s="19" t="str">
        <f>VLOOKUP(D1631,'لیست پرسنل'!$B$2:$E$1020,4,FALSE)</f>
        <v>انبار</v>
      </c>
      <c r="G1631" s="127">
        <f>VLOOKUP(D1631,'لیست پرسنل'!$B$2:$F$1020,2,FALSE)</f>
        <v>98141</v>
      </c>
      <c r="H1631" s="128" t="s">
        <v>5937</v>
      </c>
      <c r="I1631" s="128"/>
      <c r="J1631" s="128" t="s">
        <v>3480</v>
      </c>
      <c r="K1631" s="128" t="s">
        <v>3327</v>
      </c>
      <c r="L1631" s="127"/>
      <c r="M1631" s="127">
        <v>623276</v>
      </c>
      <c r="N1631" s="109" t="s">
        <v>7582</v>
      </c>
      <c r="O1631" s="19"/>
      <c r="P1631" s="19"/>
      <c r="Q1631" s="28"/>
    </row>
    <row r="1632" spans="1:17" ht="24.9" customHeight="1">
      <c r="A1632" s="20">
        <v>362</v>
      </c>
      <c r="B1632" s="20" t="s">
        <v>4320</v>
      </c>
      <c r="C1632" s="20"/>
      <c r="D1632" s="20" t="s">
        <v>326</v>
      </c>
      <c r="E1632" s="19" t="str">
        <f>VLOOKUP(D1632,'لیست پرسنل'!$B$2:$E$1020,3,FALSE)</f>
        <v>فکورصنعت</v>
      </c>
      <c r="F1632" s="19" t="str">
        <f>VLOOKUP(D1632,'لیست پرسنل'!$B$2:$E$1020,4,FALSE)</f>
        <v>انبار</v>
      </c>
      <c r="G1632" s="127">
        <f>VLOOKUP(D1632,'لیست پرسنل'!$B$2:$F$1020,2,FALSE)</f>
        <v>98141</v>
      </c>
      <c r="H1632" s="128" t="s">
        <v>5937</v>
      </c>
      <c r="I1632" s="128"/>
      <c r="J1632" s="128" t="s">
        <v>3480</v>
      </c>
      <c r="K1632" s="128" t="s">
        <v>3327</v>
      </c>
      <c r="L1632" s="127"/>
      <c r="M1632" s="127">
        <v>623277</v>
      </c>
      <c r="N1632" s="109" t="s">
        <v>7582</v>
      </c>
      <c r="O1632" s="19"/>
      <c r="P1632" s="19"/>
      <c r="Q1632" s="28"/>
    </row>
    <row r="1633" spans="1:17" ht="24.9" customHeight="1">
      <c r="A1633" s="20">
        <v>362</v>
      </c>
      <c r="B1633" s="20" t="s">
        <v>4320</v>
      </c>
      <c r="C1633" s="20"/>
      <c r="D1633" s="20" t="s">
        <v>326</v>
      </c>
      <c r="E1633" s="19" t="str">
        <f>VLOOKUP(D1633,'لیست پرسنل'!$B$2:$E$1020,3,FALSE)</f>
        <v>فکورصنعت</v>
      </c>
      <c r="F1633" s="19" t="str">
        <f>VLOOKUP(D1633,'لیست پرسنل'!$B$2:$E$1020,4,FALSE)</f>
        <v>انبار</v>
      </c>
      <c r="G1633" s="127">
        <f>VLOOKUP(D1633,'لیست پرسنل'!$B$2:$F$1020,2,FALSE)</f>
        <v>98141</v>
      </c>
      <c r="H1633" s="128" t="s">
        <v>5937</v>
      </c>
      <c r="I1633" s="128"/>
      <c r="J1633" s="128" t="s">
        <v>3480</v>
      </c>
      <c r="K1633" s="128" t="s">
        <v>3327</v>
      </c>
      <c r="L1633" s="127"/>
      <c r="M1633" s="127">
        <v>623278</v>
      </c>
      <c r="N1633" s="109" t="s">
        <v>7582</v>
      </c>
      <c r="O1633" s="19"/>
      <c r="P1633" s="19"/>
      <c r="Q1633" s="28"/>
    </row>
    <row r="1634" spans="1:17" ht="24.9" customHeight="1">
      <c r="A1634" s="20">
        <v>362</v>
      </c>
      <c r="B1634" s="20" t="s">
        <v>4320</v>
      </c>
      <c r="C1634" s="20"/>
      <c r="D1634" s="20" t="s">
        <v>326</v>
      </c>
      <c r="E1634" s="19" t="str">
        <f>VLOOKUP(D1634,'لیست پرسنل'!$B$2:$E$1020,3,FALSE)</f>
        <v>فکورصنعت</v>
      </c>
      <c r="F1634" s="19" t="str">
        <f>VLOOKUP(D1634,'لیست پرسنل'!$B$2:$E$1020,4,FALSE)</f>
        <v>انبار</v>
      </c>
      <c r="G1634" s="127">
        <f>VLOOKUP(D1634,'لیست پرسنل'!$B$2:$F$1020,2,FALSE)</f>
        <v>98141</v>
      </c>
      <c r="H1634" s="128" t="s">
        <v>5937</v>
      </c>
      <c r="I1634" s="128"/>
      <c r="J1634" s="128" t="s">
        <v>3480</v>
      </c>
      <c r="K1634" s="128" t="s">
        <v>3327</v>
      </c>
      <c r="L1634" s="127"/>
      <c r="M1634" s="127">
        <v>623279</v>
      </c>
      <c r="N1634" s="109" t="s">
        <v>7582</v>
      </c>
      <c r="O1634" s="19"/>
      <c r="P1634" s="19"/>
      <c r="Q1634" s="28"/>
    </row>
    <row r="1635" spans="1:17" ht="24.9" customHeight="1">
      <c r="A1635" s="20">
        <v>362</v>
      </c>
      <c r="B1635" s="20" t="s">
        <v>4320</v>
      </c>
      <c r="C1635" s="20"/>
      <c r="D1635" s="20" t="s">
        <v>326</v>
      </c>
      <c r="E1635" s="19" t="str">
        <f>VLOOKUP(D1635,'لیست پرسنل'!$B$2:$E$1020,3,FALSE)</f>
        <v>فکورصنعت</v>
      </c>
      <c r="F1635" s="19" t="str">
        <f>VLOOKUP(D1635,'لیست پرسنل'!$B$2:$E$1020,4,FALSE)</f>
        <v>انبار</v>
      </c>
      <c r="G1635" s="127">
        <f>VLOOKUP(D1635,'لیست پرسنل'!$B$2:$F$1020,2,FALSE)</f>
        <v>98141</v>
      </c>
      <c r="H1635" s="128" t="s">
        <v>5937</v>
      </c>
      <c r="I1635" s="128"/>
      <c r="J1635" s="128" t="s">
        <v>3481</v>
      </c>
      <c r="K1635" s="128" t="s">
        <v>3328</v>
      </c>
      <c r="L1635" s="127" t="s">
        <v>5371</v>
      </c>
      <c r="M1635" s="127">
        <v>623280</v>
      </c>
      <c r="N1635" s="109" t="s">
        <v>7582</v>
      </c>
      <c r="O1635" s="19"/>
      <c r="P1635" s="19"/>
      <c r="Q1635" s="28"/>
    </row>
    <row r="1636" spans="1:17" ht="24.9" customHeight="1">
      <c r="A1636" s="20">
        <v>362</v>
      </c>
      <c r="B1636" s="20" t="s">
        <v>4320</v>
      </c>
      <c r="C1636" s="20"/>
      <c r="D1636" s="20" t="s">
        <v>326</v>
      </c>
      <c r="E1636" s="19" t="str">
        <f>VLOOKUP(D1636,'لیست پرسنل'!$B$2:$E$1020,3,FALSE)</f>
        <v>فکورصنعت</v>
      </c>
      <c r="F1636" s="19" t="str">
        <f>VLOOKUP(D1636,'لیست پرسنل'!$B$2:$E$1020,4,FALSE)</f>
        <v>انبار</v>
      </c>
      <c r="G1636" s="127">
        <f>VLOOKUP(D1636,'لیست پرسنل'!$B$2:$F$1020,2,FALSE)</f>
        <v>98141</v>
      </c>
      <c r="H1636" s="128" t="s">
        <v>5937</v>
      </c>
      <c r="I1636" s="128"/>
      <c r="J1636" s="128" t="s">
        <v>3481</v>
      </c>
      <c r="K1636" s="128" t="s">
        <v>3328</v>
      </c>
      <c r="L1636" s="127" t="s">
        <v>5371</v>
      </c>
      <c r="M1636" s="127">
        <v>623281</v>
      </c>
      <c r="N1636" s="109" t="s">
        <v>7582</v>
      </c>
      <c r="O1636" s="19"/>
      <c r="P1636" s="19"/>
      <c r="Q1636" s="28"/>
    </row>
    <row r="1637" spans="1:17" ht="24.9" customHeight="1">
      <c r="A1637" s="20">
        <v>362</v>
      </c>
      <c r="B1637" s="20" t="s">
        <v>4320</v>
      </c>
      <c r="C1637" s="19"/>
      <c r="D1637" s="20" t="s">
        <v>326</v>
      </c>
      <c r="E1637" s="19" t="str">
        <f>VLOOKUP(D1637,'لیست پرسنل'!$B$2:$E$1020,3,FALSE)</f>
        <v>فکورصنعت</v>
      </c>
      <c r="F1637" s="19" t="str">
        <f>VLOOKUP(D1637,'لیست پرسنل'!$B$2:$E$1020,4,FALSE)</f>
        <v>انبار</v>
      </c>
      <c r="G1637" s="127">
        <f>VLOOKUP(D1637,'لیست پرسنل'!$B$2:$F$1020,2,FALSE)</f>
        <v>98141</v>
      </c>
      <c r="H1637" s="165" t="s">
        <v>3490</v>
      </c>
      <c r="I1637" s="128"/>
      <c r="J1637" s="128" t="s">
        <v>3476</v>
      </c>
      <c r="K1637" s="128" t="s">
        <v>4218</v>
      </c>
      <c r="L1637" s="128" t="s">
        <v>4217</v>
      </c>
      <c r="M1637" s="126">
        <v>614440</v>
      </c>
      <c r="N1637" s="108" t="s">
        <v>7233</v>
      </c>
      <c r="O1637" s="20" t="s">
        <v>4219</v>
      </c>
      <c r="P1637" s="20"/>
      <c r="Q1637" s="20"/>
    </row>
    <row r="1638" spans="1:17" ht="24.9" customHeight="1">
      <c r="A1638" s="20">
        <v>362</v>
      </c>
      <c r="B1638" s="20" t="s">
        <v>4320</v>
      </c>
      <c r="C1638" s="20"/>
      <c r="D1638" s="20" t="s">
        <v>326</v>
      </c>
      <c r="E1638" s="19" t="str">
        <f>VLOOKUP(D1638,'لیست پرسنل'!$B$2:$E$1020,3,FALSE)</f>
        <v>فکورصنعت</v>
      </c>
      <c r="F1638" s="19" t="str">
        <f>VLOOKUP(D1638,'لیست پرسنل'!$B$2:$E$1020,4,FALSE)</f>
        <v>انبار</v>
      </c>
      <c r="G1638" s="127">
        <f>VLOOKUP(D1638,'لیست پرسنل'!$B$2:$F$1020,2,FALSE)</f>
        <v>98141</v>
      </c>
      <c r="H1638" s="126" t="s">
        <v>7161</v>
      </c>
      <c r="I1638" s="128"/>
      <c r="J1638" s="127" t="s">
        <v>3476</v>
      </c>
      <c r="K1638" s="128" t="s">
        <v>1772</v>
      </c>
      <c r="L1638" s="151" t="s">
        <v>1773</v>
      </c>
      <c r="M1638" s="137">
        <v>606698</v>
      </c>
      <c r="N1638" s="108"/>
      <c r="O1638" s="20" t="s">
        <v>3477</v>
      </c>
      <c r="P1638" s="20"/>
      <c r="Q1638" s="20"/>
    </row>
    <row r="1639" spans="1:17" ht="24.9" customHeight="1">
      <c r="A1639" s="20">
        <v>362</v>
      </c>
      <c r="B1639" s="20" t="s">
        <v>4320</v>
      </c>
      <c r="C1639" s="20"/>
      <c r="D1639" s="20" t="s">
        <v>326</v>
      </c>
      <c r="E1639" s="19" t="str">
        <f>VLOOKUP(D1639,'لیست پرسنل'!$B$2:$E$1020,3,FALSE)</f>
        <v>فکورصنعت</v>
      </c>
      <c r="F1639" s="19" t="str">
        <f>VLOOKUP(D1639,'لیست پرسنل'!$B$2:$E$1020,4,FALSE)</f>
        <v>انبار</v>
      </c>
      <c r="G1639" s="127">
        <f>VLOOKUP(D1639,'لیست پرسنل'!$B$2:$F$1020,2,FALSE)</f>
        <v>98141</v>
      </c>
      <c r="H1639" s="126" t="s">
        <v>4589</v>
      </c>
      <c r="I1639" s="128"/>
      <c r="J1639" s="128" t="s">
        <v>3481</v>
      </c>
      <c r="K1639" s="128" t="s">
        <v>4588</v>
      </c>
      <c r="L1639" s="128" t="s">
        <v>4224</v>
      </c>
      <c r="M1639" s="128">
        <v>613146</v>
      </c>
      <c r="N1639" s="108"/>
      <c r="O1639" s="20" t="s">
        <v>4590</v>
      </c>
      <c r="P1639" s="20"/>
      <c r="Q1639" s="20"/>
    </row>
    <row r="1640" spans="1:17" ht="24.9" customHeight="1">
      <c r="A1640" s="20">
        <v>362</v>
      </c>
      <c r="B1640" s="20" t="s">
        <v>4320</v>
      </c>
      <c r="C1640" s="20"/>
      <c r="D1640" s="20" t="s">
        <v>326</v>
      </c>
      <c r="E1640" s="19" t="str">
        <f>VLOOKUP(D1640,'لیست پرسنل'!$B$2:$E$1020,3,FALSE)</f>
        <v>فکورصنعت</v>
      </c>
      <c r="F1640" s="19" t="str">
        <f>VLOOKUP(D1640,'لیست پرسنل'!$B$2:$E$1020,4,FALSE)</f>
        <v>انبار</v>
      </c>
      <c r="G1640" s="127">
        <f>VLOOKUP(D1640,'لیست پرسنل'!$B$2:$F$1020,2,FALSE)</f>
        <v>98141</v>
      </c>
      <c r="H1640" s="126" t="s">
        <v>6070</v>
      </c>
      <c r="I1640" s="128"/>
      <c r="J1640" s="128" t="s">
        <v>3481</v>
      </c>
      <c r="K1640" s="128" t="s">
        <v>6065</v>
      </c>
      <c r="L1640" s="150" t="s">
        <v>6069</v>
      </c>
      <c r="M1640" s="126" t="s">
        <v>291</v>
      </c>
      <c r="N1640" s="108" t="s">
        <v>6071</v>
      </c>
      <c r="O1640" s="20"/>
      <c r="P1640" s="20"/>
      <c r="Q1640" s="20"/>
    </row>
    <row r="1641" spans="1:17" ht="24.9" customHeight="1">
      <c r="A1641" s="20">
        <v>362</v>
      </c>
      <c r="B1641" s="20" t="s">
        <v>4320</v>
      </c>
      <c r="C1641" s="20"/>
      <c r="D1641" s="20" t="s">
        <v>326</v>
      </c>
      <c r="E1641" s="19" t="str">
        <f>VLOOKUP(D1641,'لیست پرسنل'!$B$2:$E$1020,3,FALSE)</f>
        <v>فکورصنعت</v>
      </c>
      <c r="F1641" s="19" t="str">
        <f>VLOOKUP(D1641,'لیست پرسنل'!$B$2:$E$1020,4,FALSE)</f>
        <v>انبار</v>
      </c>
      <c r="G1641" s="127">
        <f>VLOOKUP(D1641,'لیست پرسنل'!$B$2:$F$1020,2,FALSE)</f>
        <v>98141</v>
      </c>
      <c r="H1641" s="128" t="s">
        <v>4308</v>
      </c>
      <c r="I1641" s="127"/>
      <c r="J1641" s="128" t="s">
        <v>3481</v>
      </c>
      <c r="K1641" s="128" t="s">
        <v>3254</v>
      </c>
      <c r="L1641" s="128"/>
      <c r="M1641" s="126">
        <v>615538</v>
      </c>
      <c r="N1641" s="108" t="s">
        <v>48</v>
      </c>
      <c r="O1641" s="20" t="s">
        <v>3255</v>
      </c>
      <c r="P1641" s="20"/>
      <c r="Q1641" s="20"/>
    </row>
    <row r="1642" spans="1:17" ht="24.9" customHeight="1">
      <c r="A1642" s="20">
        <v>362</v>
      </c>
      <c r="B1642" s="20" t="s">
        <v>4320</v>
      </c>
      <c r="C1642" s="20"/>
      <c r="D1642" s="20" t="s">
        <v>326</v>
      </c>
      <c r="E1642" s="19" t="str">
        <f>VLOOKUP(D1642,'لیست پرسنل'!$B$2:$E$1020,3,FALSE)</f>
        <v>فکورصنعت</v>
      </c>
      <c r="F1642" s="19" t="str">
        <f>VLOOKUP(D1642,'لیست پرسنل'!$B$2:$E$1020,4,FALSE)</f>
        <v>انبار</v>
      </c>
      <c r="G1642" s="127">
        <f>VLOOKUP(D1642,'لیست پرسنل'!$B$2:$F$1020,2,FALSE)</f>
        <v>98141</v>
      </c>
      <c r="H1642" s="127" t="s">
        <v>4312</v>
      </c>
      <c r="I1642" s="128"/>
      <c r="J1642" s="128" t="s">
        <v>907</v>
      </c>
      <c r="K1642" s="128" t="s">
        <v>796</v>
      </c>
      <c r="L1642" s="150"/>
      <c r="M1642" s="128">
        <v>623382</v>
      </c>
      <c r="N1642" s="108"/>
      <c r="O1642" s="19" t="s">
        <v>866</v>
      </c>
      <c r="P1642" s="20"/>
      <c r="Q1642" s="20"/>
    </row>
    <row r="1643" spans="1:17" ht="24.9" customHeight="1">
      <c r="A1643" s="20">
        <v>362</v>
      </c>
      <c r="B1643" s="20" t="s">
        <v>4320</v>
      </c>
      <c r="C1643" s="20"/>
      <c r="D1643" s="20" t="s">
        <v>326</v>
      </c>
      <c r="E1643" s="19" t="str">
        <f>VLOOKUP(D1643,'لیست پرسنل'!$B$2:$E$1020,3,FALSE)</f>
        <v>فکورصنعت</v>
      </c>
      <c r="F1643" s="19" t="str">
        <f>VLOOKUP(D1643,'لیست پرسنل'!$B$2:$E$1020,4,FALSE)</f>
        <v>انبار</v>
      </c>
      <c r="G1643" s="127">
        <f>VLOOKUP(D1643,'لیست پرسنل'!$B$2:$F$1020,2,FALSE)</f>
        <v>98141</v>
      </c>
      <c r="H1643" s="128" t="s">
        <v>5085</v>
      </c>
      <c r="I1643" s="128"/>
      <c r="J1643" s="128" t="s">
        <v>3532</v>
      </c>
      <c r="K1643" s="128" t="s">
        <v>4802</v>
      </c>
      <c r="L1643" s="128" t="s">
        <v>4810</v>
      </c>
      <c r="M1643" s="128">
        <v>630669</v>
      </c>
      <c r="N1643" s="108"/>
      <c r="O1643" s="20"/>
      <c r="P1643" s="20"/>
      <c r="Q1643" s="20"/>
    </row>
    <row r="1644" spans="1:17" ht="24.9" customHeight="1">
      <c r="A1644" s="20">
        <v>362</v>
      </c>
      <c r="B1644" s="20" t="s">
        <v>4320</v>
      </c>
      <c r="C1644" s="20"/>
      <c r="D1644" s="20" t="s">
        <v>326</v>
      </c>
      <c r="E1644" s="19" t="str">
        <f>VLOOKUP(D1644,'لیست پرسنل'!$B$2:$E$1020,3,FALSE)</f>
        <v>فکورصنعت</v>
      </c>
      <c r="F1644" s="19" t="str">
        <f>VLOOKUP(D1644,'لیست پرسنل'!$B$2:$E$1020,4,FALSE)</f>
        <v>انبار</v>
      </c>
      <c r="G1644" s="127">
        <f>VLOOKUP(D1644,'لیست پرسنل'!$B$2:$F$1020,2,FALSE)</f>
        <v>98141</v>
      </c>
      <c r="H1644" s="128" t="s">
        <v>5085</v>
      </c>
      <c r="I1644" s="128"/>
      <c r="J1644" s="128" t="s">
        <v>3476</v>
      </c>
      <c r="K1644" s="128" t="s">
        <v>4801</v>
      </c>
      <c r="L1644" s="128" t="s">
        <v>4800</v>
      </c>
      <c r="M1644" s="128">
        <v>630673</v>
      </c>
      <c r="N1644" s="108"/>
      <c r="O1644" s="20"/>
      <c r="P1644" s="20"/>
      <c r="Q1644" s="20"/>
    </row>
    <row r="1645" spans="1:17" ht="24.9" customHeight="1">
      <c r="A1645" s="20">
        <v>362</v>
      </c>
      <c r="B1645" s="20" t="s">
        <v>4320</v>
      </c>
      <c r="C1645" s="20"/>
      <c r="D1645" s="20" t="s">
        <v>326</v>
      </c>
      <c r="E1645" s="19" t="str">
        <f>VLOOKUP(D1645,'لیست پرسنل'!$B$2:$E$1020,3,FALSE)</f>
        <v>فکورصنعت</v>
      </c>
      <c r="F1645" s="19" t="str">
        <f>VLOOKUP(D1645,'لیست پرسنل'!$B$2:$E$1020,4,FALSE)</f>
        <v>انبار</v>
      </c>
      <c r="G1645" s="127">
        <f>VLOOKUP(D1645,'لیست پرسنل'!$B$2:$F$1020,2,FALSE)</f>
        <v>98141</v>
      </c>
      <c r="H1645" s="128" t="s">
        <v>3486</v>
      </c>
      <c r="I1645" s="128"/>
      <c r="J1645" s="128" t="s">
        <v>5366</v>
      </c>
      <c r="K1645" s="128" t="s">
        <v>2549</v>
      </c>
      <c r="L1645" s="127"/>
      <c r="M1645" s="128">
        <v>615716</v>
      </c>
      <c r="N1645" s="108"/>
      <c r="O1645" s="20"/>
      <c r="P1645" s="20"/>
      <c r="Q1645" s="20"/>
    </row>
    <row r="1646" spans="1:17" ht="24.9" customHeight="1">
      <c r="A1646" s="20">
        <v>362</v>
      </c>
      <c r="B1646" s="20" t="s">
        <v>4320</v>
      </c>
      <c r="C1646" s="20"/>
      <c r="D1646" s="20" t="s">
        <v>326</v>
      </c>
      <c r="E1646" s="19" t="str">
        <f>VLOOKUP(D1646,'لیست پرسنل'!$B$2:$E$1020,3,FALSE)</f>
        <v>فکورصنعت</v>
      </c>
      <c r="F1646" s="19" t="str">
        <f>VLOOKUP(D1646,'لیست پرسنل'!$B$2:$E$1020,4,FALSE)</f>
        <v>انبار</v>
      </c>
      <c r="G1646" s="127">
        <f>VLOOKUP(D1646,'لیست پرسنل'!$B$2:$F$1020,2,FALSE)</f>
        <v>98141</v>
      </c>
      <c r="H1646" s="128" t="s">
        <v>3486</v>
      </c>
      <c r="I1646" s="128"/>
      <c r="J1646" s="128" t="s">
        <v>5366</v>
      </c>
      <c r="K1646" s="128" t="s">
        <v>2549</v>
      </c>
      <c r="L1646" s="127"/>
      <c r="M1646" s="128">
        <v>615718</v>
      </c>
      <c r="N1646" s="108"/>
      <c r="O1646" s="20"/>
      <c r="P1646" s="20"/>
      <c r="Q1646" s="20"/>
    </row>
    <row r="1647" spans="1:17" ht="24.9" customHeight="1">
      <c r="A1647" s="20">
        <v>362</v>
      </c>
      <c r="B1647" s="20" t="s">
        <v>4320</v>
      </c>
      <c r="C1647" s="20"/>
      <c r="D1647" s="20" t="s">
        <v>326</v>
      </c>
      <c r="E1647" s="19" t="str">
        <f>VLOOKUP(D1647,'لیست پرسنل'!$B$2:$E$1020,3,FALSE)</f>
        <v>فکورصنعت</v>
      </c>
      <c r="F1647" s="19" t="str">
        <f>VLOOKUP(D1647,'لیست پرسنل'!$B$2:$E$1020,4,FALSE)</f>
        <v>انبار</v>
      </c>
      <c r="G1647" s="127">
        <f>VLOOKUP(D1647,'لیست پرسنل'!$B$2:$F$1020,2,FALSE)</f>
        <v>98141</v>
      </c>
      <c r="H1647" s="128" t="s">
        <v>3486</v>
      </c>
      <c r="I1647" s="128"/>
      <c r="J1647" s="128" t="s">
        <v>5366</v>
      </c>
      <c r="K1647" s="128" t="s">
        <v>2549</v>
      </c>
      <c r="L1647" s="140"/>
      <c r="M1647" s="128">
        <v>615720</v>
      </c>
      <c r="N1647" s="108"/>
      <c r="O1647" s="20"/>
      <c r="P1647" s="20"/>
      <c r="Q1647" s="20"/>
    </row>
    <row r="1648" spans="1:17" ht="24.9" customHeight="1">
      <c r="A1648" s="20">
        <v>362</v>
      </c>
      <c r="B1648" s="20" t="s">
        <v>4320</v>
      </c>
      <c r="C1648" s="20"/>
      <c r="D1648" s="20" t="s">
        <v>326</v>
      </c>
      <c r="E1648" s="19" t="str">
        <f>VLOOKUP(D1648,'لیست پرسنل'!$B$2:$E$1020,3,FALSE)</f>
        <v>فکورصنعت</v>
      </c>
      <c r="F1648" s="19" t="str">
        <f>VLOOKUP(D1648,'لیست پرسنل'!$B$2:$E$1020,4,FALSE)</f>
        <v>انبار</v>
      </c>
      <c r="G1648" s="127">
        <f>VLOOKUP(D1648,'لیست پرسنل'!$B$2:$F$1020,2,FALSE)</f>
        <v>98141</v>
      </c>
      <c r="H1648" s="128" t="s">
        <v>3486</v>
      </c>
      <c r="I1648" s="128"/>
      <c r="J1648" s="128" t="s">
        <v>5366</v>
      </c>
      <c r="K1648" s="128" t="s">
        <v>2549</v>
      </c>
      <c r="L1648" s="140"/>
      <c r="M1648" s="128">
        <v>615721</v>
      </c>
      <c r="N1648" s="108"/>
      <c r="O1648" s="20"/>
      <c r="P1648" s="20"/>
      <c r="Q1648" s="20"/>
    </row>
    <row r="1649" spans="1:17" ht="24.9" customHeight="1">
      <c r="A1649" s="20">
        <v>362</v>
      </c>
      <c r="B1649" s="20" t="s">
        <v>4320</v>
      </c>
      <c r="C1649" s="20"/>
      <c r="D1649" s="20" t="s">
        <v>326</v>
      </c>
      <c r="E1649" s="19" t="str">
        <f>VLOOKUP(D1649,'لیست پرسنل'!$B$2:$E$1020,3,FALSE)</f>
        <v>فکورصنعت</v>
      </c>
      <c r="F1649" s="19" t="str">
        <f>VLOOKUP(D1649,'لیست پرسنل'!$B$2:$E$1020,4,FALSE)</f>
        <v>انبار</v>
      </c>
      <c r="G1649" s="127">
        <f>VLOOKUP(D1649,'لیست پرسنل'!$B$2:$F$1020,2,FALSE)</f>
        <v>98141</v>
      </c>
      <c r="H1649" s="128" t="s">
        <v>3486</v>
      </c>
      <c r="I1649" s="128"/>
      <c r="J1649" s="128" t="s">
        <v>5366</v>
      </c>
      <c r="K1649" s="128" t="s">
        <v>2549</v>
      </c>
      <c r="L1649" s="140"/>
      <c r="M1649" s="128">
        <v>615722</v>
      </c>
      <c r="N1649" s="108"/>
      <c r="O1649" s="20"/>
      <c r="P1649" s="20"/>
      <c r="Q1649" s="20"/>
    </row>
    <row r="1650" spans="1:17" ht="24.9" customHeight="1">
      <c r="A1650" s="20">
        <v>362</v>
      </c>
      <c r="B1650" s="20" t="s">
        <v>4320</v>
      </c>
      <c r="C1650" s="20"/>
      <c r="D1650" s="20" t="s">
        <v>326</v>
      </c>
      <c r="E1650" s="19" t="str">
        <f>VLOOKUP(D1650,'لیست پرسنل'!$B$2:$E$1020,3,FALSE)</f>
        <v>فکورصنعت</v>
      </c>
      <c r="F1650" s="19" t="str">
        <f>VLOOKUP(D1650,'لیست پرسنل'!$B$2:$E$1020,4,FALSE)</f>
        <v>انبار</v>
      </c>
      <c r="G1650" s="127">
        <f>VLOOKUP(D1650,'لیست پرسنل'!$B$2:$F$1020,2,FALSE)</f>
        <v>98141</v>
      </c>
      <c r="H1650" s="128" t="s">
        <v>3486</v>
      </c>
      <c r="I1650" s="128"/>
      <c r="J1650" s="128" t="s">
        <v>5366</v>
      </c>
      <c r="K1650" s="128" t="s">
        <v>2549</v>
      </c>
      <c r="L1650" s="140"/>
      <c r="M1650" s="128">
        <v>615723</v>
      </c>
      <c r="N1650" s="108"/>
      <c r="O1650" s="20"/>
      <c r="P1650" s="20"/>
      <c r="Q1650" s="20"/>
    </row>
    <row r="1651" spans="1:17" ht="24.9" customHeight="1">
      <c r="A1651" s="20">
        <v>362</v>
      </c>
      <c r="B1651" s="20" t="s">
        <v>4320</v>
      </c>
      <c r="C1651" s="20"/>
      <c r="D1651" s="20" t="s">
        <v>326</v>
      </c>
      <c r="E1651" s="19" t="str">
        <f>VLOOKUP(D1651,'لیست پرسنل'!$B$2:$E$1020,3,FALSE)</f>
        <v>فکورصنعت</v>
      </c>
      <c r="F1651" s="19" t="str">
        <f>VLOOKUP(D1651,'لیست پرسنل'!$B$2:$E$1020,4,FALSE)</f>
        <v>انبار</v>
      </c>
      <c r="G1651" s="127">
        <f>VLOOKUP(D1651,'لیست پرسنل'!$B$2:$F$1020,2,FALSE)</f>
        <v>98141</v>
      </c>
      <c r="H1651" s="128" t="s">
        <v>3486</v>
      </c>
      <c r="I1651" s="128"/>
      <c r="J1651" s="128" t="s">
        <v>5366</v>
      </c>
      <c r="K1651" s="128" t="s">
        <v>2549</v>
      </c>
      <c r="L1651" s="140"/>
      <c r="M1651" s="128">
        <v>615724</v>
      </c>
      <c r="N1651" s="108"/>
      <c r="O1651" s="20"/>
      <c r="P1651" s="20"/>
      <c r="Q1651" s="20"/>
    </row>
    <row r="1652" spans="1:17" ht="24.9" customHeight="1">
      <c r="A1652" s="20">
        <v>362</v>
      </c>
      <c r="B1652" s="20" t="s">
        <v>4320</v>
      </c>
      <c r="C1652" s="20"/>
      <c r="D1652" s="20" t="s">
        <v>326</v>
      </c>
      <c r="E1652" s="19" t="str">
        <f>VLOOKUP(D1652,'لیست پرسنل'!$B$2:$E$1020,3,FALSE)</f>
        <v>فکورصنعت</v>
      </c>
      <c r="F1652" s="19" t="str">
        <f>VLOOKUP(D1652,'لیست پرسنل'!$B$2:$E$1020,4,FALSE)</f>
        <v>انبار</v>
      </c>
      <c r="G1652" s="127">
        <f>VLOOKUP(D1652,'لیست پرسنل'!$B$2:$F$1020,2,FALSE)</f>
        <v>98141</v>
      </c>
      <c r="H1652" s="128" t="s">
        <v>3486</v>
      </c>
      <c r="I1652" s="128"/>
      <c r="J1652" s="128" t="s">
        <v>5366</v>
      </c>
      <c r="K1652" s="128" t="s">
        <v>2549</v>
      </c>
      <c r="L1652" s="140"/>
      <c r="M1652" s="128">
        <v>615725</v>
      </c>
      <c r="N1652" s="108"/>
      <c r="O1652" s="20"/>
      <c r="P1652" s="20"/>
      <c r="Q1652" s="20"/>
    </row>
    <row r="1653" spans="1:17" ht="24.9" customHeight="1">
      <c r="A1653" s="20">
        <v>362</v>
      </c>
      <c r="B1653" s="20" t="s">
        <v>4320</v>
      </c>
      <c r="C1653" s="20"/>
      <c r="D1653" s="20" t="s">
        <v>326</v>
      </c>
      <c r="E1653" s="19" t="str">
        <f>VLOOKUP(D1653,'لیست پرسنل'!$B$2:$E$1020,3,FALSE)</f>
        <v>فکورصنعت</v>
      </c>
      <c r="F1653" s="19" t="str">
        <f>VLOOKUP(D1653,'لیست پرسنل'!$B$2:$E$1020,4,FALSE)</f>
        <v>انبار</v>
      </c>
      <c r="G1653" s="127">
        <f>VLOOKUP(D1653,'لیست پرسنل'!$B$2:$F$1020,2,FALSE)</f>
        <v>98141</v>
      </c>
      <c r="H1653" s="128" t="s">
        <v>3486</v>
      </c>
      <c r="I1653" s="128"/>
      <c r="J1653" s="128" t="s">
        <v>5366</v>
      </c>
      <c r="K1653" s="128" t="s">
        <v>2549</v>
      </c>
      <c r="L1653" s="140"/>
      <c r="M1653" s="128">
        <v>615726</v>
      </c>
      <c r="N1653" s="108"/>
      <c r="O1653" s="20"/>
      <c r="P1653" s="20"/>
      <c r="Q1653" s="20"/>
    </row>
    <row r="1654" spans="1:17" ht="24.9" customHeight="1">
      <c r="A1654" s="20">
        <v>362</v>
      </c>
      <c r="B1654" s="20" t="s">
        <v>4320</v>
      </c>
      <c r="C1654" s="20"/>
      <c r="D1654" s="20" t="s">
        <v>326</v>
      </c>
      <c r="E1654" s="19" t="str">
        <f>VLOOKUP(D1654,'لیست پرسنل'!$B$2:$E$1020,3,FALSE)</f>
        <v>فکورصنعت</v>
      </c>
      <c r="F1654" s="19" t="str">
        <f>VLOOKUP(D1654,'لیست پرسنل'!$B$2:$E$1020,4,FALSE)</f>
        <v>انبار</v>
      </c>
      <c r="G1654" s="127">
        <f>VLOOKUP(D1654,'لیست پرسنل'!$B$2:$F$1020,2,FALSE)</f>
        <v>98141</v>
      </c>
      <c r="H1654" s="128" t="s">
        <v>3486</v>
      </c>
      <c r="I1654" s="128"/>
      <c r="J1654" s="128" t="s">
        <v>5366</v>
      </c>
      <c r="K1654" s="128" t="s">
        <v>2549</v>
      </c>
      <c r="L1654" s="140"/>
      <c r="M1654" s="128">
        <v>615727</v>
      </c>
      <c r="N1654" s="108"/>
      <c r="O1654" s="20"/>
      <c r="P1654" s="20"/>
      <c r="Q1654" s="20"/>
    </row>
    <row r="1655" spans="1:17" ht="24.9" customHeight="1">
      <c r="A1655" s="20">
        <v>362</v>
      </c>
      <c r="B1655" s="20" t="s">
        <v>4320</v>
      </c>
      <c r="C1655" s="20"/>
      <c r="D1655" s="20" t="s">
        <v>326</v>
      </c>
      <c r="E1655" s="19" t="str">
        <f>VLOOKUP(D1655,'لیست پرسنل'!$B$2:$E$1020,3,FALSE)</f>
        <v>فکورصنعت</v>
      </c>
      <c r="F1655" s="19" t="str">
        <f>VLOOKUP(D1655,'لیست پرسنل'!$B$2:$E$1020,4,FALSE)</f>
        <v>انبار</v>
      </c>
      <c r="G1655" s="127">
        <f>VLOOKUP(D1655,'لیست پرسنل'!$B$2:$F$1020,2,FALSE)</f>
        <v>98141</v>
      </c>
      <c r="H1655" s="128" t="s">
        <v>3486</v>
      </c>
      <c r="I1655" s="128"/>
      <c r="J1655" s="128" t="s">
        <v>5366</v>
      </c>
      <c r="K1655" s="128" t="s">
        <v>2549</v>
      </c>
      <c r="L1655" s="140"/>
      <c r="M1655" s="128">
        <v>615728</v>
      </c>
      <c r="N1655" s="108"/>
      <c r="O1655" s="20"/>
      <c r="P1655" s="20"/>
      <c r="Q1655" s="20"/>
    </row>
    <row r="1656" spans="1:17" ht="24.9" customHeight="1">
      <c r="A1656" s="20">
        <v>362</v>
      </c>
      <c r="B1656" s="20" t="s">
        <v>4320</v>
      </c>
      <c r="C1656" s="20"/>
      <c r="D1656" s="20" t="s">
        <v>326</v>
      </c>
      <c r="E1656" s="19" t="str">
        <f>VLOOKUP(D1656,'لیست پرسنل'!$B$2:$E$1020,3,FALSE)</f>
        <v>فکورصنعت</v>
      </c>
      <c r="F1656" s="19" t="str">
        <f>VLOOKUP(D1656,'لیست پرسنل'!$B$2:$E$1020,4,FALSE)</f>
        <v>انبار</v>
      </c>
      <c r="G1656" s="127">
        <f>VLOOKUP(D1656,'لیست پرسنل'!$B$2:$F$1020,2,FALSE)</f>
        <v>98141</v>
      </c>
      <c r="H1656" s="128" t="s">
        <v>3486</v>
      </c>
      <c r="I1656" s="128"/>
      <c r="J1656" s="128" t="s">
        <v>5366</v>
      </c>
      <c r="K1656" s="128" t="s">
        <v>2549</v>
      </c>
      <c r="L1656" s="140"/>
      <c r="M1656" s="128">
        <v>615729</v>
      </c>
      <c r="N1656" s="108"/>
      <c r="O1656" s="20"/>
      <c r="P1656" s="20"/>
      <c r="Q1656" s="20"/>
    </row>
    <row r="1657" spans="1:17" ht="24.9" customHeight="1">
      <c r="A1657" s="20">
        <v>362</v>
      </c>
      <c r="B1657" s="20" t="s">
        <v>4320</v>
      </c>
      <c r="C1657" s="20"/>
      <c r="D1657" s="20" t="s">
        <v>326</v>
      </c>
      <c r="E1657" s="19" t="str">
        <f>VLOOKUP(D1657,'لیست پرسنل'!$B$2:$E$1020,3,FALSE)</f>
        <v>فکورصنعت</v>
      </c>
      <c r="F1657" s="19" t="str">
        <f>VLOOKUP(D1657,'لیست پرسنل'!$B$2:$E$1020,4,FALSE)</f>
        <v>انبار</v>
      </c>
      <c r="G1657" s="127">
        <f>VLOOKUP(D1657,'لیست پرسنل'!$B$2:$F$1020,2,FALSE)</f>
        <v>98141</v>
      </c>
      <c r="H1657" s="128" t="s">
        <v>3486</v>
      </c>
      <c r="I1657" s="128"/>
      <c r="J1657" s="128" t="s">
        <v>5366</v>
      </c>
      <c r="K1657" s="128" t="s">
        <v>2549</v>
      </c>
      <c r="L1657" s="140"/>
      <c r="M1657" s="128">
        <v>615730</v>
      </c>
      <c r="N1657" s="108"/>
      <c r="O1657" s="20"/>
      <c r="P1657" s="20"/>
      <c r="Q1657" s="20"/>
    </row>
    <row r="1658" spans="1:17" ht="24.9" customHeight="1">
      <c r="A1658" s="20">
        <v>362</v>
      </c>
      <c r="B1658" s="20" t="s">
        <v>4320</v>
      </c>
      <c r="C1658" s="20"/>
      <c r="D1658" s="20" t="s">
        <v>326</v>
      </c>
      <c r="E1658" s="19" t="str">
        <f>VLOOKUP(D1658,'لیست پرسنل'!$B$2:$E$1020,3,FALSE)</f>
        <v>فکورصنعت</v>
      </c>
      <c r="F1658" s="19" t="str">
        <f>VLOOKUP(D1658,'لیست پرسنل'!$B$2:$E$1020,4,FALSE)</f>
        <v>انبار</v>
      </c>
      <c r="G1658" s="127">
        <f>VLOOKUP(D1658,'لیست پرسنل'!$B$2:$F$1020,2,FALSE)</f>
        <v>98141</v>
      </c>
      <c r="H1658" s="128" t="s">
        <v>3486</v>
      </c>
      <c r="I1658" s="128"/>
      <c r="J1658" s="128" t="s">
        <v>5366</v>
      </c>
      <c r="K1658" s="128" t="s">
        <v>2549</v>
      </c>
      <c r="L1658" s="140"/>
      <c r="M1658" s="128">
        <v>615731</v>
      </c>
      <c r="N1658" s="108"/>
      <c r="O1658" s="20"/>
      <c r="P1658" s="20"/>
      <c r="Q1658" s="20"/>
    </row>
    <row r="1659" spans="1:17" ht="24.9" customHeight="1">
      <c r="A1659" s="20">
        <v>362</v>
      </c>
      <c r="B1659" s="20" t="s">
        <v>4320</v>
      </c>
      <c r="C1659" s="20"/>
      <c r="D1659" s="20" t="s">
        <v>326</v>
      </c>
      <c r="E1659" s="19" t="str">
        <f>VLOOKUP(D1659,'لیست پرسنل'!$B$2:$E$1020,3,FALSE)</f>
        <v>فکورصنعت</v>
      </c>
      <c r="F1659" s="19" t="str">
        <f>VLOOKUP(D1659,'لیست پرسنل'!$B$2:$E$1020,4,FALSE)</f>
        <v>انبار</v>
      </c>
      <c r="G1659" s="127">
        <f>VLOOKUP(D1659,'لیست پرسنل'!$B$2:$F$1020,2,FALSE)</f>
        <v>98141</v>
      </c>
      <c r="H1659" s="128" t="s">
        <v>3486</v>
      </c>
      <c r="I1659" s="128"/>
      <c r="J1659" s="128" t="s">
        <v>5366</v>
      </c>
      <c r="K1659" s="128" t="s">
        <v>2549</v>
      </c>
      <c r="L1659" s="140"/>
      <c r="M1659" s="128">
        <v>615732</v>
      </c>
      <c r="N1659" s="108"/>
      <c r="O1659" s="20"/>
      <c r="P1659" s="20"/>
      <c r="Q1659" s="20"/>
    </row>
    <row r="1660" spans="1:17" ht="24.9" customHeight="1">
      <c r="A1660" s="20">
        <v>362</v>
      </c>
      <c r="B1660" s="20" t="s">
        <v>4320</v>
      </c>
      <c r="C1660" s="20"/>
      <c r="D1660" s="20" t="s">
        <v>326</v>
      </c>
      <c r="E1660" s="19" t="str">
        <f>VLOOKUP(D1660,'لیست پرسنل'!$B$2:$E$1020,3,FALSE)</f>
        <v>فکورصنعت</v>
      </c>
      <c r="F1660" s="19" t="str">
        <f>VLOOKUP(D1660,'لیست پرسنل'!$B$2:$E$1020,4,FALSE)</f>
        <v>انبار</v>
      </c>
      <c r="G1660" s="127">
        <f>VLOOKUP(D1660,'لیست پرسنل'!$B$2:$F$1020,2,FALSE)</f>
        <v>98141</v>
      </c>
      <c r="H1660" s="128" t="s">
        <v>3486</v>
      </c>
      <c r="I1660" s="128"/>
      <c r="J1660" s="128" t="s">
        <v>5366</v>
      </c>
      <c r="K1660" s="128" t="s">
        <v>2549</v>
      </c>
      <c r="L1660" s="140"/>
      <c r="M1660" s="128">
        <v>615733</v>
      </c>
      <c r="N1660" s="108"/>
      <c r="O1660" s="20"/>
      <c r="P1660" s="20"/>
      <c r="Q1660" s="20"/>
    </row>
    <row r="1661" spans="1:17" ht="24.9" customHeight="1">
      <c r="A1661" s="20">
        <v>362</v>
      </c>
      <c r="B1661" s="20" t="s">
        <v>4320</v>
      </c>
      <c r="C1661" s="20"/>
      <c r="D1661" s="20" t="s">
        <v>326</v>
      </c>
      <c r="E1661" s="19" t="str">
        <f>VLOOKUP(D1661,'لیست پرسنل'!$B$2:$E$1020,3,FALSE)</f>
        <v>فکورصنعت</v>
      </c>
      <c r="F1661" s="19" t="str">
        <f>VLOOKUP(D1661,'لیست پرسنل'!$B$2:$E$1020,4,FALSE)</f>
        <v>انبار</v>
      </c>
      <c r="G1661" s="127">
        <f>VLOOKUP(D1661,'لیست پرسنل'!$B$2:$F$1020,2,FALSE)</f>
        <v>98141</v>
      </c>
      <c r="H1661" s="126" t="s">
        <v>5701</v>
      </c>
      <c r="I1661" s="128"/>
      <c r="J1661" s="128" t="s">
        <v>3532</v>
      </c>
      <c r="K1661" s="128" t="s">
        <v>4802</v>
      </c>
      <c r="L1661" s="128" t="s">
        <v>5567</v>
      </c>
      <c r="M1661" s="128">
        <v>631863</v>
      </c>
      <c r="N1661" s="108"/>
      <c r="O1661" s="20" t="s">
        <v>5702</v>
      </c>
      <c r="P1661" s="20"/>
      <c r="Q1661" s="20"/>
    </row>
    <row r="1662" spans="1:17" ht="24.9" customHeight="1">
      <c r="A1662" s="20">
        <v>362</v>
      </c>
      <c r="B1662" s="20" t="s">
        <v>4320</v>
      </c>
      <c r="C1662" s="20"/>
      <c r="D1662" s="20" t="s">
        <v>326</v>
      </c>
      <c r="E1662" s="19" t="str">
        <f>VLOOKUP(D1662,'لیست پرسنل'!$B$2:$E$1020,3,FALSE)</f>
        <v>فکورصنعت</v>
      </c>
      <c r="F1662" s="19" t="str">
        <f>VLOOKUP(D1662,'لیست پرسنل'!$B$2:$E$1020,4,FALSE)</f>
        <v>انبار</v>
      </c>
      <c r="G1662" s="127">
        <f>VLOOKUP(D1662,'لیست پرسنل'!$B$2:$F$1020,2,FALSE)</f>
        <v>98141</v>
      </c>
      <c r="H1662" s="126" t="s">
        <v>5701</v>
      </c>
      <c r="I1662" s="128"/>
      <c r="J1662" s="128" t="s">
        <v>3532</v>
      </c>
      <c r="K1662" s="128" t="s">
        <v>4802</v>
      </c>
      <c r="L1662" s="128" t="s">
        <v>5568</v>
      </c>
      <c r="M1662" s="128">
        <v>631864</v>
      </c>
      <c r="N1662" s="108"/>
      <c r="O1662" s="20" t="s">
        <v>5702</v>
      </c>
      <c r="P1662" s="20"/>
      <c r="Q1662" s="20"/>
    </row>
    <row r="1663" spans="1:17" ht="24.9" customHeight="1">
      <c r="A1663" s="20">
        <v>362</v>
      </c>
      <c r="B1663" s="20" t="s">
        <v>4320</v>
      </c>
      <c r="C1663" s="20"/>
      <c r="D1663" s="20" t="s">
        <v>326</v>
      </c>
      <c r="E1663" s="19" t="str">
        <f>VLOOKUP(D1663,'لیست پرسنل'!$B$2:$E$1020,3,FALSE)</f>
        <v>فکورصنعت</v>
      </c>
      <c r="F1663" s="19" t="str">
        <f>VLOOKUP(D1663,'لیست پرسنل'!$B$2:$E$1020,4,FALSE)</f>
        <v>انبار</v>
      </c>
      <c r="G1663" s="127">
        <f>VLOOKUP(D1663,'لیست پرسنل'!$B$2:$F$1020,2,FALSE)</f>
        <v>98141</v>
      </c>
      <c r="H1663" s="126" t="s">
        <v>5701</v>
      </c>
      <c r="I1663" s="128"/>
      <c r="J1663" s="128" t="s">
        <v>3532</v>
      </c>
      <c r="K1663" s="128" t="s">
        <v>4802</v>
      </c>
      <c r="L1663" s="128" t="s">
        <v>5569</v>
      </c>
      <c r="M1663" s="128">
        <v>631865</v>
      </c>
      <c r="N1663" s="108"/>
      <c r="O1663" s="20" t="s">
        <v>5702</v>
      </c>
      <c r="P1663" s="20"/>
      <c r="Q1663" s="20"/>
    </row>
    <row r="1664" spans="1:17" ht="24.9" customHeight="1">
      <c r="A1664" s="20">
        <v>362</v>
      </c>
      <c r="B1664" s="20" t="s">
        <v>4320</v>
      </c>
      <c r="C1664" s="20"/>
      <c r="D1664" s="20" t="s">
        <v>326</v>
      </c>
      <c r="E1664" s="19" t="str">
        <f>VLOOKUP(D1664,'لیست پرسنل'!$B$2:$E$1020,3,FALSE)</f>
        <v>فکورصنعت</v>
      </c>
      <c r="F1664" s="19" t="str">
        <f>VLOOKUP(D1664,'لیست پرسنل'!$B$2:$E$1020,4,FALSE)</f>
        <v>انبار</v>
      </c>
      <c r="G1664" s="127">
        <f>VLOOKUP(D1664,'لیست پرسنل'!$B$2:$F$1020,2,FALSE)</f>
        <v>98141</v>
      </c>
      <c r="H1664" s="126" t="s">
        <v>5701</v>
      </c>
      <c r="I1664" s="128"/>
      <c r="J1664" s="128" t="s">
        <v>3532</v>
      </c>
      <c r="K1664" s="128" t="s">
        <v>4802</v>
      </c>
      <c r="L1664" s="128" t="s">
        <v>5571</v>
      </c>
      <c r="M1664" s="128">
        <v>631867</v>
      </c>
      <c r="N1664" s="108"/>
      <c r="O1664" s="20" t="s">
        <v>5702</v>
      </c>
      <c r="P1664" s="20"/>
      <c r="Q1664" s="20"/>
    </row>
    <row r="1665" spans="1:17" ht="24.9" customHeight="1">
      <c r="A1665" s="20">
        <v>362</v>
      </c>
      <c r="B1665" s="20" t="s">
        <v>4320</v>
      </c>
      <c r="C1665" s="20"/>
      <c r="D1665" s="20" t="s">
        <v>326</v>
      </c>
      <c r="E1665" s="19" t="str">
        <f>VLOOKUP(D1665,'لیست پرسنل'!$B$2:$E$1020,3,FALSE)</f>
        <v>فکورصنعت</v>
      </c>
      <c r="F1665" s="19" t="str">
        <f>VLOOKUP(D1665,'لیست پرسنل'!$B$2:$E$1020,4,FALSE)</f>
        <v>انبار</v>
      </c>
      <c r="G1665" s="127">
        <f>VLOOKUP(D1665,'لیست پرسنل'!$B$2:$F$1020,2,FALSE)</f>
        <v>98141</v>
      </c>
      <c r="H1665" s="126" t="s">
        <v>5701</v>
      </c>
      <c r="I1665" s="128"/>
      <c r="J1665" s="128" t="s">
        <v>3532</v>
      </c>
      <c r="K1665" s="128" t="s">
        <v>4802</v>
      </c>
      <c r="L1665" s="128" t="s">
        <v>5572</v>
      </c>
      <c r="M1665" s="128">
        <v>631868</v>
      </c>
      <c r="N1665" s="108"/>
      <c r="O1665" s="20" t="s">
        <v>5702</v>
      </c>
      <c r="P1665" s="20"/>
      <c r="Q1665" s="20"/>
    </row>
    <row r="1666" spans="1:17" ht="24.9" customHeight="1">
      <c r="A1666" s="20">
        <v>362</v>
      </c>
      <c r="B1666" s="20" t="s">
        <v>4320</v>
      </c>
      <c r="C1666" s="20"/>
      <c r="D1666" s="20" t="s">
        <v>326</v>
      </c>
      <c r="E1666" s="19" t="str">
        <f>VLOOKUP(D1666,'لیست پرسنل'!$B$2:$E$1020,3,FALSE)</f>
        <v>فکورصنعت</v>
      </c>
      <c r="F1666" s="19" t="str">
        <f>VLOOKUP(D1666,'لیست پرسنل'!$B$2:$E$1020,4,FALSE)</f>
        <v>انبار</v>
      </c>
      <c r="G1666" s="127">
        <f>VLOOKUP(D1666,'لیست پرسنل'!$B$2:$F$1020,2,FALSE)</f>
        <v>98141</v>
      </c>
      <c r="H1666" s="126" t="s">
        <v>5701</v>
      </c>
      <c r="I1666" s="128"/>
      <c r="J1666" s="128" t="s">
        <v>3532</v>
      </c>
      <c r="K1666" s="128" t="s">
        <v>4802</v>
      </c>
      <c r="L1666" s="128" t="s">
        <v>5573</v>
      </c>
      <c r="M1666" s="128">
        <v>631869</v>
      </c>
      <c r="N1666" s="108"/>
      <c r="O1666" s="20" t="s">
        <v>5702</v>
      </c>
      <c r="P1666" s="20"/>
      <c r="Q1666" s="20"/>
    </row>
    <row r="1667" spans="1:17" ht="24.9" customHeight="1">
      <c r="A1667" s="20">
        <v>362</v>
      </c>
      <c r="B1667" s="20" t="s">
        <v>4320</v>
      </c>
      <c r="C1667" s="20"/>
      <c r="D1667" s="20" t="s">
        <v>326</v>
      </c>
      <c r="E1667" s="19" t="str">
        <f>VLOOKUP(D1667,'لیست پرسنل'!$B$2:$E$1020,3,FALSE)</f>
        <v>فکورصنعت</v>
      </c>
      <c r="F1667" s="19" t="str">
        <f>VLOOKUP(D1667,'لیست پرسنل'!$B$2:$E$1020,4,FALSE)</f>
        <v>انبار</v>
      </c>
      <c r="G1667" s="127">
        <f>VLOOKUP(D1667,'لیست پرسنل'!$B$2:$F$1020,2,FALSE)</f>
        <v>98141</v>
      </c>
      <c r="H1667" s="153" t="s">
        <v>6063</v>
      </c>
      <c r="I1667" s="128"/>
      <c r="J1667" s="128" t="s">
        <v>3481</v>
      </c>
      <c r="K1667" s="128" t="s">
        <v>5820</v>
      </c>
      <c r="L1667" s="127" t="s">
        <v>5819</v>
      </c>
      <c r="M1667" s="127">
        <v>632146</v>
      </c>
      <c r="N1667" s="109"/>
      <c r="O1667" s="19" t="s">
        <v>6064</v>
      </c>
      <c r="P1667" s="19"/>
      <c r="Q1667" s="28"/>
    </row>
    <row r="1668" spans="1:17" ht="24.9" customHeight="1">
      <c r="A1668" s="20">
        <v>362</v>
      </c>
      <c r="B1668" s="20" t="s">
        <v>4320</v>
      </c>
      <c r="C1668" s="20"/>
      <c r="D1668" s="20" t="s">
        <v>326</v>
      </c>
      <c r="E1668" s="19" t="str">
        <f>VLOOKUP(D1668,'لیست پرسنل'!$B$2:$E$1020,3,FALSE)</f>
        <v>فکورصنعت</v>
      </c>
      <c r="F1668" s="19" t="str">
        <f>VLOOKUP(D1668,'لیست پرسنل'!$B$2:$E$1020,4,FALSE)</f>
        <v>انبار</v>
      </c>
      <c r="G1668" s="127">
        <f>VLOOKUP(D1668,'لیست پرسنل'!$B$2:$F$1020,2,FALSE)</f>
        <v>98141</v>
      </c>
      <c r="H1668" s="153" t="s">
        <v>6063</v>
      </c>
      <c r="I1668" s="128"/>
      <c r="J1668" s="128" t="s">
        <v>3481</v>
      </c>
      <c r="K1668" s="128" t="s">
        <v>5820</v>
      </c>
      <c r="L1668" s="127" t="s">
        <v>5818</v>
      </c>
      <c r="M1668" s="127">
        <v>632147</v>
      </c>
      <c r="N1668" s="109"/>
      <c r="O1668" s="19" t="s">
        <v>6064</v>
      </c>
      <c r="P1668" s="19"/>
      <c r="Q1668" s="28"/>
    </row>
    <row r="1669" spans="1:17" ht="24.9" customHeight="1">
      <c r="A1669" s="20">
        <v>362</v>
      </c>
      <c r="B1669" s="20" t="s">
        <v>4320</v>
      </c>
      <c r="C1669" s="19"/>
      <c r="D1669" s="20" t="s">
        <v>577</v>
      </c>
      <c r="E1669" s="19" t="str">
        <f>VLOOKUP(D1669,'لیست پرسنل'!$B$2:$E$1020,3,FALSE)</f>
        <v>فکورصنعت</v>
      </c>
      <c r="F1669" s="19" t="str">
        <f>VLOOKUP(D1669,'لیست پرسنل'!$B$2:$E$1020,4,FALSE)</f>
        <v>ابزار دقیق</v>
      </c>
      <c r="G1669" s="127">
        <f>VLOOKUP(D1669,'لیست پرسنل'!$B$2:$F$1020,2,FALSE)</f>
        <v>2201</v>
      </c>
      <c r="H1669" s="126" t="s">
        <v>6187</v>
      </c>
      <c r="I1669" s="128"/>
      <c r="J1669" s="128" t="s">
        <v>3145</v>
      </c>
      <c r="K1669" s="128" t="s">
        <v>6185</v>
      </c>
      <c r="L1669" s="150" t="s">
        <v>6186</v>
      </c>
      <c r="M1669" s="128" t="s">
        <v>291</v>
      </c>
      <c r="N1669" s="108"/>
      <c r="O1669" s="20" t="s">
        <v>6188</v>
      </c>
      <c r="P1669" s="20"/>
      <c r="Q1669" s="20"/>
    </row>
    <row r="1670" spans="1:17" ht="24.9" customHeight="1">
      <c r="A1670" s="20">
        <v>362</v>
      </c>
      <c r="B1670" s="20" t="s">
        <v>4320</v>
      </c>
      <c r="C1670" s="19"/>
      <c r="D1670" s="19" t="s">
        <v>793</v>
      </c>
      <c r="E1670" s="19" t="str">
        <f>VLOOKUP(D1670,'لیست پرسنل'!$B$2:$E$1020,3,FALSE)</f>
        <v>فکورصنعت</v>
      </c>
      <c r="F1670" s="19" t="str">
        <f>VLOOKUP(D1670,'لیست پرسنل'!$B$2:$E$1020,4,FALSE)</f>
        <v>سرمایه های انسانی</v>
      </c>
      <c r="G1670" s="127">
        <f>VLOOKUP(D1670,'لیست پرسنل'!$B$2:$F$1020,2,FALSE)</f>
        <v>4000406</v>
      </c>
      <c r="H1670" s="151" t="s">
        <v>3381</v>
      </c>
      <c r="I1670" s="127"/>
      <c r="J1670" s="127" t="s">
        <v>3389</v>
      </c>
      <c r="K1670" s="128">
        <v>9941687483</v>
      </c>
      <c r="L1670" s="151" t="s">
        <v>1427</v>
      </c>
      <c r="M1670" s="127" t="s">
        <v>291</v>
      </c>
      <c r="N1670" s="109"/>
      <c r="O1670" s="20"/>
      <c r="P1670" s="20"/>
      <c r="Q1670" s="20"/>
    </row>
    <row r="1671" spans="1:17" ht="24.9" customHeight="1">
      <c r="A1671" s="20">
        <v>362</v>
      </c>
      <c r="B1671" s="20" t="s">
        <v>4320</v>
      </c>
      <c r="C1671" s="19"/>
      <c r="D1671" s="19" t="s">
        <v>793</v>
      </c>
      <c r="E1671" s="19" t="str">
        <f>VLOOKUP(D1671,'لیست پرسنل'!$B$2:$E$1020,3,FALSE)</f>
        <v>فکورصنعت</v>
      </c>
      <c r="F1671" s="19" t="str">
        <f>VLOOKUP(D1671,'لیست پرسنل'!$B$2:$E$1020,4,FALSE)</f>
        <v>سرمایه های انسانی</v>
      </c>
      <c r="G1671" s="127">
        <f>VLOOKUP(D1671,'لیست پرسنل'!$B$2:$F$1020,2,FALSE)</f>
        <v>4000406</v>
      </c>
      <c r="H1671" s="151" t="s">
        <v>3381</v>
      </c>
      <c r="I1671" s="127"/>
      <c r="J1671" s="127" t="s">
        <v>3388</v>
      </c>
      <c r="K1671" s="128" t="s">
        <v>1425</v>
      </c>
      <c r="L1671" s="127" t="s">
        <v>1426</v>
      </c>
      <c r="M1671" s="127">
        <v>624903</v>
      </c>
      <c r="N1671" s="109"/>
      <c r="O1671" s="20"/>
      <c r="P1671" s="20"/>
      <c r="Q1671" s="20"/>
    </row>
    <row r="1672" spans="1:17" ht="24.9" customHeight="1">
      <c r="A1672" s="20">
        <v>362</v>
      </c>
      <c r="B1672" s="20" t="s">
        <v>4320</v>
      </c>
      <c r="C1672" s="20"/>
      <c r="D1672" s="20" t="s">
        <v>3948</v>
      </c>
      <c r="E1672" s="19" t="str">
        <f>VLOOKUP(D1672,'لیست پرسنل'!$B$2:$E$1020,3,FALSE)</f>
        <v>فکورصنعت</v>
      </c>
      <c r="F1672" s="19" t="str">
        <f>VLOOKUP(D1672,'لیست پرسنل'!$B$2:$E$1020,4,FALSE)</f>
        <v>مسئول خوابگاه ها سایت فولاد (362)</v>
      </c>
      <c r="G1672" s="127">
        <f>VLOOKUP(D1672,'لیست پرسنل'!$B$2:$F$1020,2,FALSE)</f>
        <v>1916</v>
      </c>
      <c r="H1672" s="128" t="s">
        <v>3961</v>
      </c>
      <c r="I1672" s="128"/>
      <c r="J1672" s="126" t="s">
        <v>368</v>
      </c>
      <c r="K1672" s="128" t="s">
        <v>2846</v>
      </c>
      <c r="L1672" s="128" t="s">
        <v>2370</v>
      </c>
      <c r="M1672" s="128">
        <v>628777</v>
      </c>
      <c r="N1672" s="108"/>
      <c r="O1672" s="20"/>
      <c r="P1672" s="20"/>
      <c r="Q1672" s="20"/>
    </row>
    <row r="1673" spans="1:17" ht="24.9" customHeight="1">
      <c r="A1673" s="20">
        <v>362</v>
      </c>
      <c r="B1673" s="20" t="s">
        <v>4320</v>
      </c>
      <c r="C1673" s="20"/>
      <c r="D1673" s="20" t="s">
        <v>3408</v>
      </c>
      <c r="E1673" s="19" t="str">
        <f>VLOOKUP(D1673,'لیست پرسنل'!$B$2:$E$1020,3,FALSE)</f>
        <v>فکورصنعت</v>
      </c>
      <c r="F1673" s="19" t="str">
        <f>VLOOKUP(D1673,'لیست پرسنل'!$B$2:$E$1020,4,FALSE)</f>
        <v>ابزار دقیق</v>
      </c>
      <c r="G1673" s="127">
        <f>VLOOKUP(D1673,'لیست پرسنل'!$B$2:$F$1020,2,FALSE)</f>
        <v>4000405</v>
      </c>
      <c r="H1673" s="128" t="s">
        <v>5974</v>
      </c>
      <c r="I1673" s="128"/>
      <c r="J1673" s="128" t="s">
        <v>3481</v>
      </c>
      <c r="K1673" s="128" t="s">
        <v>4745</v>
      </c>
      <c r="L1673" s="127" t="s">
        <v>5410</v>
      </c>
      <c r="M1673" s="127">
        <v>630497</v>
      </c>
      <c r="N1673" s="111"/>
      <c r="O1673" s="20" t="s">
        <v>4739</v>
      </c>
      <c r="P1673" s="20"/>
      <c r="Q1673" s="20"/>
    </row>
    <row r="1674" spans="1:17" ht="24.9" customHeight="1">
      <c r="A1674" s="20">
        <v>362</v>
      </c>
      <c r="B1674" s="20" t="s">
        <v>4320</v>
      </c>
      <c r="C1674" s="20"/>
      <c r="D1674" s="20" t="s">
        <v>3408</v>
      </c>
      <c r="E1674" s="19" t="str">
        <f>VLOOKUP(D1674,'لیست پرسنل'!$B$2:$E$1020,3,FALSE)</f>
        <v>فکورصنعت</v>
      </c>
      <c r="F1674" s="19" t="str">
        <f>VLOOKUP(D1674,'لیست پرسنل'!$B$2:$E$1020,4,FALSE)</f>
        <v>ابزار دقیق</v>
      </c>
      <c r="G1674" s="127">
        <f>VLOOKUP(D1674,'لیست پرسنل'!$B$2:$F$1020,2,FALSE)</f>
        <v>4000405</v>
      </c>
      <c r="H1674" s="128" t="s">
        <v>5974</v>
      </c>
      <c r="I1674" s="128"/>
      <c r="J1674" s="128" t="s">
        <v>3481</v>
      </c>
      <c r="K1674" s="128" t="s">
        <v>4745</v>
      </c>
      <c r="L1674" s="127" t="s">
        <v>5411</v>
      </c>
      <c r="M1674" s="127">
        <v>630498</v>
      </c>
      <c r="N1674" s="111"/>
      <c r="O1674" s="20" t="s">
        <v>4739</v>
      </c>
      <c r="P1674" s="20"/>
      <c r="Q1674" s="20"/>
    </row>
    <row r="1675" spans="1:17" ht="24.9" customHeight="1">
      <c r="A1675" s="20">
        <v>362</v>
      </c>
      <c r="B1675" s="20" t="s">
        <v>4320</v>
      </c>
      <c r="C1675" s="20"/>
      <c r="D1675" s="20" t="s">
        <v>3408</v>
      </c>
      <c r="E1675" s="19" t="str">
        <f>VLOOKUP(D1675,'لیست پرسنل'!$B$2:$E$1020,3,FALSE)</f>
        <v>فکورصنعت</v>
      </c>
      <c r="F1675" s="19" t="str">
        <f>VLOOKUP(D1675,'لیست پرسنل'!$B$2:$E$1020,4,FALSE)</f>
        <v>ابزار دقیق</v>
      </c>
      <c r="G1675" s="127">
        <f>VLOOKUP(D1675,'لیست پرسنل'!$B$2:$F$1020,2,FALSE)</f>
        <v>4000405</v>
      </c>
      <c r="H1675" s="128" t="s">
        <v>5974</v>
      </c>
      <c r="I1675" s="128"/>
      <c r="J1675" s="128" t="s">
        <v>3481</v>
      </c>
      <c r="K1675" s="128" t="s">
        <v>4742</v>
      </c>
      <c r="L1675" s="127" t="s">
        <v>5412</v>
      </c>
      <c r="M1675" s="127">
        <v>630499</v>
      </c>
      <c r="N1675" s="111"/>
      <c r="O1675" s="20" t="s">
        <v>4739</v>
      </c>
      <c r="P1675" s="20"/>
      <c r="Q1675" s="20"/>
    </row>
    <row r="1676" spans="1:17" ht="24.9" customHeight="1">
      <c r="A1676" s="20">
        <v>362</v>
      </c>
      <c r="B1676" s="20" t="s">
        <v>4320</v>
      </c>
      <c r="C1676" s="20"/>
      <c r="D1676" s="20" t="s">
        <v>3408</v>
      </c>
      <c r="E1676" s="19" t="str">
        <f>VLOOKUP(D1676,'لیست پرسنل'!$B$2:$E$1020,3,FALSE)</f>
        <v>فکورصنعت</v>
      </c>
      <c r="F1676" s="19" t="str">
        <f>VLOOKUP(D1676,'لیست پرسنل'!$B$2:$E$1020,4,FALSE)</f>
        <v>ابزار دقیق</v>
      </c>
      <c r="G1676" s="127">
        <f>VLOOKUP(D1676,'لیست پرسنل'!$B$2:$F$1020,2,FALSE)</f>
        <v>4000405</v>
      </c>
      <c r="H1676" s="126" t="s">
        <v>7081</v>
      </c>
      <c r="I1676" s="128"/>
      <c r="J1676" s="128" t="s">
        <v>3322</v>
      </c>
      <c r="K1676" s="135" t="s">
        <v>7095</v>
      </c>
      <c r="L1676" s="158" t="s">
        <v>7096</v>
      </c>
      <c r="M1676" s="126" t="s">
        <v>291</v>
      </c>
      <c r="N1676" s="116" t="s">
        <v>7106</v>
      </c>
      <c r="O1676" s="20"/>
      <c r="P1676" s="20"/>
      <c r="Q1676" s="20"/>
    </row>
    <row r="1677" spans="1:17" ht="24.9" customHeight="1">
      <c r="A1677" s="20">
        <v>362</v>
      </c>
      <c r="B1677" s="20" t="s">
        <v>4320</v>
      </c>
      <c r="C1677" s="20"/>
      <c r="D1677" s="20" t="s">
        <v>3408</v>
      </c>
      <c r="E1677" s="19" t="str">
        <f>VLOOKUP(D1677,'لیست پرسنل'!$B$2:$E$1020,3,FALSE)</f>
        <v>فکورصنعت</v>
      </c>
      <c r="F1677" s="19" t="str">
        <f>VLOOKUP(D1677,'لیست پرسنل'!$B$2:$E$1020,4,FALSE)</f>
        <v>ابزار دقیق</v>
      </c>
      <c r="G1677" s="127">
        <f>VLOOKUP(D1677,'لیست پرسنل'!$B$2:$F$1020,2,FALSE)</f>
        <v>4000405</v>
      </c>
      <c r="H1677" s="126" t="s">
        <v>7081</v>
      </c>
      <c r="I1677" s="128"/>
      <c r="J1677" s="128" t="s">
        <v>3322</v>
      </c>
      <c r="K1677" s="135" t="s">
        <v>7105</v>
      </c>
      <c r="L1677" s="158" t="s">
        <v>6014</v>
      </c>
      <c r="M1677" s="126" t="s">
        <v>291</v>
      </c>
      <c r="N1677" s="116" t="s">
        <v>7106</v>
      </c>
      <c r="O1677" s="20"/>
      <c r="P1677" s="20"/>
      <c r="Q1677" s="20"/>
    </row>
    <row r="1678" spans="1:17" ht="24.9" customHeight="1">
      <c r="A1678" s="20">
        <v>362</v>
      </c>
      <c r="B1678" s="20" t="s">
        <v>4320</v>
      </c>
      <c r="C1678" s="20"/>
      <c r="D1678" s="20" t="s">
        <v>3408</v>
      </c>
      <c r="E1678" s="19" t="str">
        <f>VLOOKUP(D1678,'لیست پرسنل'!$B$2:$E$1020,3,FALSE)</f>
        <v>فکورصنعت</v>
      </c>
      <c r="F1678" s="19" t="str">
        <f>VLOOKUP(D1678,'لیست پرسنل'!$B$2:$E$1020,4,FALSE)</f>
        <v>ابزار دقیق</v>
      </c>
      <c r="G1678" s="127">
        <f>VLOOKUP(D1678,'لیست پرسنل'!$B$2:$F$1020,2,FALSE)</f>
        <v>4000405</v>
      </c>
      <c r="H1678" s="126" t="s">
        <v>7081</v>
      </c>
      <c r="I1678" s="128"/>
      <c r="J1678" s="128" t="s">
        <v>5366</v>
      </c>
      <c r="K1678" s="133" t="s">
        <v>6976</v>
      </c>
      <c r="L1678" s="150" t="s">
        <v>6978</v>
      </c>
      <c r="M1678" s="128">
        <v>634555</v>
      </c>
      <c r="N1678" s="116" t="s">
        <v>7106</v>
      </c>
      <c r="O1678" s="20"/>
      <c r="P1678" s="20"/>
      <c r="Q1678" s="20"/>
    </row>
    <row r="1679" spans="1:17" ht="24.9" customHeight="1">
      <c r="A1679" s="20">
        <v>362</v>
      </c>
      <c r="B1679" s="20" t="s">
        <v>4320</v>
      </c>
      <c r="C1679" s="20"/>
      <c r="D1679" s="20" t="s">
        <v>3408</v>
      </c>
      <c r="E1679" s="19" t="str">
        <f>VLOOKUP(D1679,'لیست پرسنل'!$B$2:$E$1020,3,FALSE)</f>
        <v>فکورصنعت</v>
      </c>
      <c r="F1679" s="19" t="str">
        <f>VLOOKUP(D1679,'لیست پرسنل'!$B$2:$E$1020,4,FALSE)</f>
        <v>ابزار دقیق</v>
      </c>
      <c r="G1679" s="127">
        <f>VLOOKUP(D1679,'لیست پرسنل'!$B$2:$F$1020,2,FALSE)</f>
        <v>4000405</v>
      </c>
      <c r="H1679" s="126" t="s">
        <v>7081</v>
      </c>
      <c r="I1679" s="128"/>
      <c r="J1679" s="128" t="s">
        <v>5366</v>
      </c>
      <c r="K1679" s="133" t="s">
        <v>6976</v>
      </c>
      <c r="L1679" s="150" t="s">
        <v>6977</v>
      </c>
      <c r="M1679" s="128">
        <v>634556</v>
      </c>
      <c r="N1679" s="116" t="s">
        <v>7106</v>
      </c>
      <c r="O1679" s="20"/>
      <c r="P1679" s="20"/>
      <c r="Q1679" s="20"/>
    </row>
    <row r="1680" spans="1:17" ht="24.9" customHeight="1">
      <c r="A1680" s="20">
        <v>362</v>
      </c>
      <c r="B1680" s="20" t="s">
        <v>4320</v>
      </c>
      <c r="C1680" s="20"/>
      <c r="D1680" s="20" t="s">
        <v>3408</v>
      </c>
      <c r="E1680" s="19" t="str">
        <f>VLOOKUP(D1680,'لیست پرسنل'!$B$2:$E$1020,3,FALSE)</f>
        <v>فکورصنعت</v>
      </c>
      <c r="F1680" s="19" t="str">
        <f>VLOOKUP(D1680,'لیست پرسنل'!$B$2:$E$1020,4,FALSE)</f>
        <v>ابزار دقیق</v>
      </c>
      <c r="G1680" s="127">
        <f>VLOOKUP(D1680,'لیست پرسنل'!$B$2:$F$1020,2,FALSE)</f>
        <v>4000405</v>
      </c>
      <c r="H1680" s="126" t="s">
        <v>7081</v>
      </c>
      <c r="I1680" s="128"/>
      <c r="J1680" s="128" t="s">
        <v>5366</v>
      </c>
      <c r="K1680" s="128" t="s">
        <v>7688</v>
      </c>
      <c r="L1680" s="128" t="s">
        <v>7689</v>
      </c>
      <c r="M1680" s="128">
        <v>636223</v>
      </c>
      <c r="N1680" s="116" t="s">
        <v>7106</v>
      </c>
      <c r="O1680" s="20"/>
      <c r="P1680" s="20"/>
      <c r="Q1680" s="20"/>
    </row>
    <row r="1681" spans="1:17" ht="24.9" customHeight="1">
      <c r="A1681" s="20">
        <v>362</v>
      </c>
      <c r="B1681" s="20" t="s">
        <v>4320</v>
      </c>
      <c r="C1681" s="20"/>
      <c r="D1681" s="20" t="s">
        <v>3408</v>
      </c>
      <c r="E1681" s="19" t="str">
        <f>VLOOKUP(D1681,'لیست پرسنل'!$B$2:$E$1020,3,FALSE)</f>
        <v>فکورصنعت</v>
      </c>
      <c r="F1681" s="19" t="str">
        <f>VLOOKUP(D1681,'لیست پرسنل'!$B$2:$E$1020,4,FALSE)</f>
        <v>ابزار دقیق</v>
      </c>
      <c r="G1681" s="127">
        <f>VLOOKUP(D1681,'لیست پرسنل'!$B$2:$F$1020,2,FALSE)</f>
        <v>4000405</v>
      </c>
      <c r="H1681" s="126" t="s">
        <v>7081</v>
      </c>
      <c r="I1681" s="128"/>
      <c r="J1681" s="128" t="s">
        <v>5927</v>
      </c>
      <c r="K1681" s="135" t="s">
        <v>7111</v>
      </c>
      <c r="L1681" s="158"/>
      <c r="M1681" s="126" t="s">
        <v>291</v>
      </c>
      <c r="N1681" s="116"/>
      <c r="O1681" s="20"/>
      <c r="P1681" s="20"/>
      <c r="Q1681" s="20"/>
    </row>
    <row r="1682" spans="1:17" ht="24.9" customHeight="1">
      <c r="A1682" s="20">
        <v>362</v>
      </c>
      <c r="B1682" s="20" t="s">
        <v>4320</v>
      </c>
      <c r="C1682" s="20"/>
      <c r="D1682" s="20" t="s">
        <v>3408</v>
      </c>
      <c r="E1682" s="19" t="str">
        <f>VLOOKUP(D1682,'لیست پرسنل'!$B$2:$E$1020,3,FALSE)</f>
        <v>فکورصنعت</v>
      </c>
      <c r="F1682" s="19" t="str">
        <f>VLOOKUP(D1682,'لیست پرسنل'!$B$2:$E$1020,4,FALSE)</f>
        <v>ابزار دقیق</v>
      </c>
      <c r="G1682" s="127">
        <f>VLOOKUP(D1682,'لیست پرسنل'!$B$2:$F$1020,2,FALSE)</f>
        <v>4000405</v>
      </c>
      <c r="H1682" s="126" t="s">
        <v>7081</v>
      </c>
      <c r="I1682" s="128"/>
      <c r="J1682" s="128" t="s">
        <v>5927</v>
      </c>
      <c r="K1682" s="135" t="s">
        <v>7111</v>
      </c>
      <c r="L1682" s="158"/>
      <c r="M1682" s="126" t="s">
        <v>291</v>
      </c>
      <c r="N1682" s="116"/>
      <c r="O1682" s="20"/>
      <c r="P1682" s="20"/>
      <c r="Q1682" s="20"/>
    </row>
    <row r="1683" spans="1:17" ht="24.9" customHeight="1">
      <c r="A1683" s="20">
        <v>362</v>
      </c>
      <c r="B1683" s="20" t="s">
        <v>4320</v>
      </c>
      <c r="C1683" s="20"/>
      <c r="D1683" s="20" t="s">
        <v>3408</v>
      </c>
      <c r="E1683" s="19" t="str">
        <f>VLOOKUP(D1683,'لیست پرسنل'!$B$2:$E$1020,3,FALSE)</f>
        <v>فکورصنعت</v>
      </c>
      <c r="F1683" s="19" t="str">
        <f>VLOOKUP(D1683,'لیست پرسنل'!$B$2:$E$1020,4,FALSE)</f>
        <v>ابزار دقیق</v>
      </c>
      <c r="G1683" s="127">
        <f>VLOOKUP(D1683,'لیست پرسنل'!$B$2:$F$1020,2,FALSE)</f>
        <v>4000405</v>
      </c>
      <c r="H1683" s="126" t="s">
        <v>7081</v>
      </c>
      <c r="I1683" s="128"/>
      <c r="J1683" s="128" t="s">
        <v>5927</v>
      </c>
      <c r="K1683" s="135" t="s">
        <v>7111</v>
      </c>
      <c r="L1683" s="158"/>
      <c r="M1683" s="126" t="s">
        <v>291</v>
      </c>
      <c r="N1683" s="116"/>
      <c r="O1683" s="20"/>
      <c r="P1683" s="20"/>
      <c r="Q1683" s="20"/>
    </row>
    <row r="1684" spans="1:17" ht="24.9" customHeight="1">
      <c r="A1684" s="20">
        <v>362</v>
      </c>
      <c r="B1684" s="20" t="s">
        <v>4320</v>
      </c>
      <c r="C1684" s="20"/>
      <c r="D1684" s="20" t="s">
        <v>3408</v>
      </c>
      <c r="E1684" s="19" t="str">
        <f>VLOOKUP(D1684,'لیست پرسنل'!$B$2:$E$1020,3,FALSE)</f>
        <v>فکورصنعت</v>
      </c>
      <c r="F1684" s="19" t="str">
        <f>VLOOKUP(D1684,'لیست پرسنل'!$B$2:$E$1020,4,FALSE)</f>
        <v>ابزار دقیق</v>
      </c>
      <c r="G1684" s="127">
        <f>VLOOKUP(D1684,'لیست پرسنل'!$B$2:$F$1020,2,FALSE)</f>
        <v>4000405</v>
      </c>
      <c r="H1684" s="126" t="s">
        <v>7081</v>
      </c>
      <c r="I1684" s="128"/>
      <c r="J1684" s="128" t="s">
        <v>5927</v>
      </c>
      <c r="K1684" s="135" t="s">
        <v>7111</v>
      </c>
      <c r="L1684" s="158"/>
      <c r="M1684" s="126" t="s">
        <v>291</v>
      </c>
      <c r="N1684" s="116"/>
      <c r="O1684" s="20"/>
      <c r="P1684" s="20"/>
      <c r="Q1684" s="20"/>
    </row>
    <row r="1685" spans="1:17" ht="24.9" customHeight="1">
      <c r="A1685" s="20">
        <v>362</v>
      </c>
      <c r="B1685" s="20" t="s">
        <v>4320</v>
      </c>
      <c r="C1685" s="20"/>
      <c r="D1685" s="20" t="s">
        <v>3408</v>
      </c>
      <c r="E1685" s="19" t="str">
        <f>VLOOKUP(D1685,'لیست پرسنل'!$B$2:$E$1020,3,FALSE)</f>
        <v>فکورصنعت</v>
      </c>
      <c r="F1685" s="19" t="str">
        <f>VLOOKUP(D1685,'لیست پرسنل'!$B$2:$E$1020,4,FALSE)</f>
        <v>ابزار دقیق</v>
      </c>
      <c r="G1685" s="127">
        <f>VLOOKUP(D1685,'لیست پرسنل'!$B$2:$F$1020,2,FALSE)</f>
        <v>4000405</v>
      </c>
      <c r="H1685" s="126" t="s">
        <v>7081</v>
      </c>
      <c r="I1685" s="128"/>
      <c r="J1685" s="128" t="s">
        <v>5927</v>
      </c>
      <c r="K1685" s="135" t="s">
        <v>7111</v>
      </c>
      <c r="L1685" s="158"/>
      <c r="M1685" s="126" t="s">
        <v>291</v>
      </c>
      <c r="N1685" s="116"/>
      <c r="O1685" s="20"/>
      <c r="P1685" s="20"/>
      <c r="Q1685" s="20"/>
    </row>
    <row r="1686" spans="1:17" ht="24.9" customHeight="1">
      <c r="A1686" s="20">
        <v>362</v>
      </c>
      <c r="B1686" s="20" t="s">
        <v>4320</v>
      </c>
      <c r="C1686" s="20"/>
      <c r="D1686" s="20" t="s">
        <v>3408</v>
      </c>
      <c r="E1686" s="19" t="str">
        <f>VLOOKUP(D1686,'لیست پرسنل'!$B$2:$E$1020,3,FALSE)</f>
        <v>فکورصنعت</v>
      </c>
      <c r="F1686" s="19" t="str">
        <f>VLOOKUP(D1686,'لیست پرسنل'!$B$2:$E$1020,4,FALSE)</f>
        <v>ابزار دقیق</v>
      </c>
      <c r="G1686" s="127">
        <f>VLOOKUP(D1686,'لیست پرسنل'!$B$2:$F$1020,2,FALSE)</f>
        <v>4000405</v>
      </c>
      <c r="H1686" s="126" t="s">
        <v>7081</v>
      </c>
      <c r="I1686" s="128"/>
      <c r="J1686" s="128" t="s">
        <v>5927</v>
      </c>
      <c r="K1686" s="135" t="s">
        <v>7111</v>
      </c>
      <c r="L1686" s="158"/>
      <c r="M1686" s="126" t="s">
        <v>291</v>
      </c>
      <c r="N1686" s="116"/>
      <c r="O1686" s="20"/>
      <c r="P1686" s="20"/>
      <c r="Q1686" s="20"/>
    </row>
    <row r="1687" spans="1:17" ht="24.9" customHeight="1">
      <c r="A1687" s="20">
        <v>362</v>
      </c>
      <c r="B1687" s="20" t="s">
        <v>4320</v>
      </c>
      <c r="C1687" s="20"/>
      <c r="D1687" s="20" t="s">
        <v>3408</v>
      </c>
      <c r="E1687" s="19" t="str">
        <f>VLOOKUP(D1687,'لیست پرسنل'!$B$2:$E$1020,3,FALSE)</f>
        <v>فکورصنعت</v>
      </c>
      <c r="F1687" s="19" t="str">
        <f>VLOOKUP(D1687,'لیست پرسنل'!$B$2:$E$1020,4,FALSE)</f>
        <v>ابزار دقیق</v>
      </c>
      <c r="G1687" s="127">
        <f>VLOOKUP(D1687,'لیست پرسنل'!$B$2:$F$1020,2,FALSE)</f>
        <v>4000405</v>
      </c>
      <c r="H1687" s="126" t="s">
        <v>7081</v>
      </c>
      <c r="I1687" s="128"/>
      <c r="J1687" s="128" t="s">
        <v>5927</v>
      </c>
      <c r="K1687" s="135" t="s">
        <v>7111</v>
      </c>
      <c r="L1687" s="158"/>
      <c r="M1687" s="126" t="s">
        <v>291</v>
      </c>
      <c r="N1687" s="116"/>
      <c r="O1687" s="20"/>
      <c r="P1687" s="20"/>
      <c r="Q1687" s="20"/>
    </row>
    <row r="1688" spans="1:17" ht="24.9" customHeight="1">
      <c r="A1688" s="20">
        <v>362</v>
      </c>
      <c r="B1688" s="20" t="s">
        <v>4320</v>
      </c>
      <c r="C1688" s="20"/>
      <c r="D1688" s="20" t="s">
        <v>3408</v>
      </c>
      <c r="E1688" s="19" t="str">
        <f>VLOOKUP(D1688,'لیست پرسنل'!$B$2:$E$1020,3,FALSE)</f>
        <v>فکورصنعت</v>
      </c>
      <c r="F1688" s="19" t="str">
        <f>VLOOKUP(D1688,'لیست پرسنل'!$B$2:$E$1020,4,FALSE)</f>
        <v>ابزار دقیق</v>
      </c>
      <c r="G1688" s="127">
        <f>VLOOKUP(D1688,'لیست پرسنل'!$B$2:$F$1020,2,FALSE)</f>
        <v>4000405</v>
      </c>
      <c r="H1688" s="126" t="s">
        <v>7081</v>
      </c>
      <c r="I1688" s="128"/>
      <c r="J1688" s="128" t="s">
        <v>5927</v>
      </c>
      <c r="K1688" s="135" t="s">
        <v>7111</v>
      </c>
      <c r="L1688" s="158"/>
      <c r="M1688" s="126" t="s">
        <v>291</v>
      </c>
      <c r="N1688" s="116"/>
      <c r="O1688" s="20"/>
      <c r="P1688" s="20"/>
      <c r="Q1688" s="20"/>
    </row>
    <row r="1689" spans="1:17" ht="24.9" customHeight="1">
      <c r="A1689" s="20">
        <v>362</v>
      </c>
      <c r="B1689" s="20" t="s">
        <v>4320</v>
      </c>
      <c r="C1689" s="20"/>
      <c r="D1689" s="20" t="s">
        <v>3408</v>
      </c>
      <c r="E1689" s="19" t="str">
        <f>VLOOKUP(D1689,'لیست پرسنل'!$B$2:$E$1020,3,FALSE)</f>
        <v>فکورصنعت</v>
      </c>
      <c r="F1689" s="19" t="str">
        <f>VLOOKUP(D1689,'لیست پرسنل'!$B$2:$E$1020,4,FALSE)</f>
        <v>ابزار دقیق</v>
      </c>
      <c r="G1689" s="127">
        <f>VLOOKUP(D1689,'لیست پرسنل'!$B$2:$F$1020,2,FALSE)</f>
        <v>4000405</v>
      </c>
      <c r="H1689" s="126" t="s">
        <v>7081</v>
      </c>
      <c r="I1689" s="128"/>
      <c r="J1689" s="128" t="s">
        <v>5927</v>
      </c>
      <c r="K1689" s="135" t="s">
        <v>7111</v>
      </c>
      <c r="L1689" s="158"/>
      <c r="M1689" s="126" t="s">
        <v>291</v>
      </c>
      <c r="N1689" s="116"/>
      <c r="O1689" s="20"/>
      <c r="P1689" s="20"/>
      <c r="Q1689" s="20"/>
    </row>
    <row r="1690" spans="1:17" ht="24.9" customHeight="1">
      <c r="A1690" s="20">
        <v>362</v>
      </c>
      <c r="B1690" s="20" t="s">
        <v>4320</v>
      </c>
      <c r="C1690" s="20"/>
      <c r="D1690" s="20" t="s">
        <v>3408</v>
      </c>
      <c r="E1690" s="19" t="str">
        <f>VLOOKUP(D1690,'لیست پرسنل'!$B$2:$E$1020,3,FALSE)</f>
        <v>فکورصنعت</v>
      </c>
      <c r="F1690" s="19" t="str">
        <f>VLOOKUP(D1690,'لیست پرسنل'!$B$2:$E$1020,4,FALSE)</f>
        <v>ابزار دقیق</v>
      </c>
      <c r="G1690" s="127">
        <f>VLOOKUP(D1690,'لیست پرسنل'!$B$2:$F$1020,2,FALSE)</f>
        <v>4000405</v>
      </c>
      <c r="H1690" s="126" t="s">
        <v>7081</v>
      </c>
      <c r="I1690" s="128"/>
      <c r="J1690" s="128" t="s">
        <v>5927</v>
      </c>
      <c r="K1690" s="135" t="s">
        <v>7111</v>
      </c>
      <c r="L1690" s="158"/>
      <c r="M1690" s="126" t="s">
        <v>291</v>
      </c>
      <c r="N1690" s="116"/>
      <c r="O1690" s="20"/>
      <c r="P1690" s="20"/>
      <c r="Q1690" s="20"/>
    </row>
    <row r="1691" spans="1:17" ht="24.9" customHeight="1">
      <c r="A1691" s="20">
        <v>362</v>
      </c>
      <c r="B1691" s="20" t="s">
        <v>4320</v>
      </c>
      <c r="C1691" s="20"/>
      <c r="D1691" s="20" t="s">
        <v>3408</v>
      </c>
      <c r="E1691" s="19" t="str">
        <f>VLOOKUP(D1691,'لیست پرسنل'!$B$2:$E$1020,3,FALSE)</f>
        <v>فکورصنعت</v>
      </c>
      <c r="F1691" s="19" t="str">
        <f>VLOOKUP(D1691,'لیست پرسنل'!$B$2:$E$1020,4,FALSE)</f>
        <v>ابزار دقیق</v>
      </c>
      <c r="G1691" s="127">
        <f>VLOOKUP(D1691,'لیست پرسنل'!$B$2:$F$1020,2,FALSE)</f>
        <v>4000405</v>
      </c>
      <c r="H1691" s="126" t="s">
        <v>7081</v>
      </c>
      <c r="I1691" s="128"/>
      <c r="J1691" s="128" t="s">
        <v>5927</v>
      </c>
      <c r="K1691" s="135" t="s">
        <v>7111</v>
      </c>
      <c r="L1691" s="158"/>
      <c r="M1691" s="126" t="s">
        <v>291</v>
      </c>
      <c r="N1691" s="116"/>
      <c r="O1691" s="20"/>
      <c r="P1691" s="20"/>
      <c r="Q1691" s="20"/>
    </row>
    <row r="1692" spans="1:17" ht="24.9" customHeight="1">
      <c r="A1692" s="20">
        <v>362</v>
      </c>
      <c r="B1692" s="20" t="s">
        <v>4320</v>
      </c>
      <c r="C1692" s="20"/>
      <c r="D1692" s="20" t="s">
        <v>3408</v>
      </c>
      <c r="E1692" s="19" t="str">
        <f>VLOOKUP(D1692,'لیست پرسنل'!$B$2:$E$1020,3,FALSE)</f>
        <v>فکورصنعت</v>
      </c>
      <c r="F1692" s="19" t="str">
        <f>VLOOKUP(D1692,'لیست پرسنل'!$B$2:$E$1020,4,FALSE)</f>
        <v>ابزار دقیق</v>
      </c>
      <c r="G1692" s="127">
        <f>VLOOKUP(D1692,'لیست پرسنل'!$B$2:$F$1020,2,FALSE)</f>
        <v>4000405</v>
      </c>
      <c r="H1692" s="126" t="s">
        <v>7081</v>
      </c>
      <c r="I1692" s="128"/>
      <c r="J1692" s="128" t="s">
        <v>5927</v>
      </c>
      <c r="K1692" s="135" t="s">
        <v>7111</v>
      </c>
      <c r="L1692" s="158"/>
      <c r="M1692" s="126" t="s">
        <v>291</v>
      </c>
      <c r="N1692" s="116"/>
      <c r="O1692" s="20"/>
      <c r="P1692" s="20"/>
      <c r="Q1692" s="20"/>
    </row>
    <row r="1693" spans="1:17" ht="24.9" customHeight="1">
      <c r="A1693" s="20">
        <v>362</v>
      </c>
      <c r="B1693" s="20" t="s">
        <v>4320</v>
      </c>
      <c r="C1693" s="20"/>
      <c r="D1693" s="20" t="s">
        <v>3408</v>
      </c>
      <c r="E1693" s="19" t="str">
        <f>VLOOKUP(D1693,'لیست پرسنل'!$B$2:$E$1020,3,FALSE)</f>
        <v>فکورصنعت</v>
      </c>
      <c r="F1693" s="19" t="str">
        <f>VLOOKUP(D1693,'لیست پرسنل'!$B$2:$E$1020,4,FALSE)</f>
        <v>ابزار دقیق</v>
      </c>
      <c r="G1693" s="127">
        <f>VLOOKUP(D1693,'لیست پرسنل'!$B$2:$F$1020,2,FALSE)</f>
        <v>4000405</v>
      </c>
      <c r="H1693" s="126" t="s">
        <v>7081</v>
      </c>
      <c r="I1693" s="128"/>
      <c r="J1693" s="128" t="s">
        <v>5927</v>
      </c>
      <c r="K1693" s="135" t="s">
        <v>7111</v>
      </c>
      <c r="L1693" s="158"/>
      <c r="M1693" s="126" t="s">
        <v>291</v>
      </c>
      <c r="N1693" s="116"/>
      <c r="O1693" s="20"/>
      <c r="P1693" s="20"/>
      <c r="Q1693" s="20"/>
    </row>
    <row r="1694" spans="1:17" ht="24.9" customHeight="1">
      <c r="A1694" s="20">
        <v>362</v>
      </c>
      <c r="B1694" s="20" t="s">
        <v>4320</v>
      </c>
      <c r="C1694" s="20"/>
      <c r="D1694" s="20" t="s">
        <v>3408</v>
      </c>
      <c r="E1694" s="19" t="str">
        <f>VLOOKUP(D1694,'لیست پرسنل'!$B$2:$E$1020,3,FALSE)</f>
        <v>فکورصنعت</v>
      </c>
      <c r="F1694" s="19" t="str">
        <f>VLOOKUP(D1694,'لیست پرسنل'!$B$2:$E$1020,4,FALSE)</f>
        <v>ابزار دقیق</v>
      </c>
      <c r="G1694" s="127">
        <f>VLOOKUP(D1694,'لیست پرسنل'!$B$2:$F$1020,2,FALSE)</f>
        <v>4000405</v>
      </c>
      <c r="H1694" s="126" t="s">
        <v>7081</v>
      </c>
      <c r="I1694" s="128"/>
      <c r="J1694" s="128" t="s">
        <v>5927</v>
      </c>
      <c r="K1694" s="135" t="s">
        <v>7111</v>
      </c>
      <c r="L1694" s="158"/>
      <c r="M1694" s="126" t="s">
        <v>291</v>
      </c>
      <c r="N1694" s="116"/>
      <c r="O1694" s="20"/>
      <c r="P1694" s="20"/>
      <c r="Q1694" s="20"/>
    </row>
    <row r="1695" spans="1:17" ht="24.9" customHeight="1">
      <c r="A1695" s="20">
        <v>362</v>
      </c>
      <c r="B1695" s="20" t="s">
        <v>4320</v>
      </c>
      <c r="C1695" s="20"/>
      <c r="D1695" s="20" t="s">
        <v>3408</v>
      </c>
      <c r="E1695" s="19" t="str">
        <f>VLOOKUP(D1695,'لیست پرسنل'!$B$2:$E$1020,3,FALSE)</f>
        <v>فکورصنعت</v>
      </c>
      <c r="F1695" s="19" t="str">
        <f>VLOOKUP(D1695,'لیست پرسنل'!$B$2:$E$1020,4,FALSE)</f>
        <v>ابزار دقیق</v>
      </c>
      <c r="G1695" s="127">
        <f>VLOOKUP(D1695,'لیست پرسنل'!$B$2:$F$1020,2,FALSE)</f>
        <v>4000405</v>
      </c>
      <c r="H1695" s="126" t="s">
        <v>7081</v>
      </c>
      <c r="I1695" s="128"/>
      <c r="J1695" s="128" t="s">
        <v>5927</v>
      </c>
      <c r="K1695" s="135" t="s">
        <v>7111</v>
      </c>
      <c r="L1695" s="158"/>
      <c r="M1695" s="126" t="s">
        <v>291</v>
      </c>
      <c r="N1695" s="116"/>
      <c r="O1695" s="20"/>
      <c r="P1695" s="20"/>
      <c r="Q1695" s="20"/>
    </row>
    <row r="1696" spans="1:17" ht="24.9" customHeight="1">
      <c r="A1696" s="20">
        <v>362</v>
      </c>
      <c r="B1696" s="20" t="s">
        <v>4320</v>
      </c>
      <c r="C1696" s="20"/>
      <c r="D1696" s="20" t="s">
        <v>3408</v>
      </c>
      <c r="E1696" s="19" t="str">
        <f>VLOOKUP(D1696,'لیست پرسنل'!$B$2:$E$1020,3,FALSE)</f>
        <v>فکورصنعت</v>
      </c>
      <c r="F1696" s="19" t="str">
        <f>VLOOKUP(D1696,'لیست پرسنل'!$B$2:$E$1020,4,FALSE)</f>
        <v>ابزار دقیق</v>
      </c>
      <c r="G1696" s="127">
        <f>VLOOKUP(D1696,'لیست پرسنل'!$B$2:$F$1020,2,FALSE)</f>
        <v>4000405</v>
      </c>
      <c r="H1696" s="126" t="s">
        <v>7081</v>
      </c>
      <c r="I1696" s="128"/>
      <c r="J1696" s="128" t="s">
        <v>5927</v>
      </c>
      <c r="K1696" s="135" t="s">
        <v>7111</v>
      </c>
      <c r="L1696" s="158"/>
      <c r="M1696" s="126" t="s">
        <v>291</v>
      </c>
      <c r="N1696" s="116"/>
      <c r="O1696" s="20"/>
      <c r="P1696" s="20"/>
      <c r="Q1696" s="20"/>
    </row>
    <row r="1697" spans="1:17" ht="24.9" customHeight="1">
      <c r="A1697" s="20">
        <v>362</v>
      </c>
      <c r="B1697" s="20" t="s">
        <v>4320</v>
      </c>
      <c r="C1697" s="20"/>
      <c r="D1697" s="20" t="s">
        <v>3408</v>
      </c>
      <c r="E1697" s="19" t="str">
        <f>VLOOKUP(D1697,'لیست پرسنل'!$B$2:$E$1020,3,FALSE)</f>
        <v>فکورصنعت</v>
      </c>
      <c r="F1697" s="19" t="str">
        <f>VLOOKUP(D1697,'لیست پرسنل'!$B$2:$E$1020,4,FALSE)</f>
        <v>ابزار دقیق</v>
      </c>
      <c r="G1697" s="127">
        <f>VLOOKUP(D1697,'لیست پرسنل'!$B$2:$F$1020,2,FALSE)</f>
        <v>4000405</v>
      </c>
      <c r="H1697" s="126" t="s">
        <v>7081</v>
      </c>
      <c r="I1697" s="128"/>
      <c r="J1697" s="128" t="s">
        <v>5927</v>
      </c>
      <c r="K1697" s="135" t="s">
        <v>7111</v>
      </c>
      <c r="L1697" s="158"/>
      <c r="M1697" s="126" t="s">
        <v>291</v>
      </c>
      <c r="N1697" s="116"/>
      <c r="O1697" s="20"/>
      <c r="P1697" s="20"/>
      <c r="Q1697" s="20"/>
    </row>
    <row r="1698" spans="1:17" ht="24.9" customHeight="1">
      <c r="A1698" s="20">
        <v>362</v>
      </c>
      <c r="B1698" s="20" t="s">
        <v>4320</v>
      </c>
      <c r="C1698" s="20"/>
      <c r="D1698" s="20" t="s">
        <v>3408</v>
      </c>
      <c r="E1698" s="19" t="str">
        <f>VLOOKUP(D1698,'لیست پرسنل'!$B$2:$E$1020,3,FALSE)</f>
        <v>فکورصنعت</v>
      </c>
      <c r="F1698" s="19" t="str">
        <f>VLOOKUP(D1698,'لیست پرسنل'!$B$2:$E$1020,4,FALSE)</f>
        <v>ابزار دقیق</v>
      </c>
      <c r="G1698" s="127">
        <f>VLOOKUP(D1698,'لیست پرسنل'!$B$2:$F$1020,2,FALSE)</f>
        <v>4000405</v>
      </c>
      <c r="H1698" s="126" t="s">
        <v>7081</v>
      </c>
      <c r="I1698" s="128"/>
      <c r="J1698" s="128" t="s">
        <v>5927</v>
      </c>
      <c r="K1698" s="135" t="s">
        <v>7111</v>
      </c>
      <c r="L1698" s="158"/>
      <c r="M1698" s="126" t="s">
        <v>291</v>
      </c>
      <c r="N1698" s="116"/>
      <c r="O1698" s="20"/>
      <c r="P1698" s="20"/>
      <c r="Q1698" s="20"/>
    </row>
    <row r="1699" spans="1:17" ht="24.9" customHeight="1">
      <c r="A1699" s="20">
        <v>362</v>
      </c>
      <c r="B1699" s="20" t="s">
        <v>4320</v>
      </c>
      <c r="C1699" s="20"/>
      <c r="D1699" s="20" t="s">
        <v>3408</v>
      </c>
      <c r="E1699" s="19" t="str">
        <f>VLOOKUP(D1699,'لیست پرسنل'!$B$2:$E$1020,3,FALSE)</f>
        <v>فکورصنعت</v>
      </c>
      <c r="F1699" s="19" t="str">
        <f>VLOOKUP(D1699,'لیست پرسنل'!$B$2:$E$1020,4,FALSE)</f>
        <v>ابزار دقیق</v>
      </c>
      <c r="G1699" s="127">
        <f>VLOOKUP(D1699,'لیست پرسنل'!$B$2:$F$1020,2,FALSE)</f>
        <v>4000405</v>
      </c>
      <c r="H1699" s="126" t="s">
        <v>7081</v>
      </c>
      <c r="I1699" s="128"/>
      <c r="J1699" s="128" t="s">
        <v>5927</v>
      </c>
      <c r="K1699" s="135" t="s">
        <v>7111</v>
      </c>
      <c r="L1699" s="158"/>
      <c r="M1699" s="126" t="s">
        <v>291</v>
      </c>
      <c r="N1699" s="116"/>
      <c r="O1699" s="20"/>
      <c r="P1699" s="20"/>
      <c r="Q1699" s="20"/>
    </row>
    <row r="1700" spans="1:17" ht="24.9" customHeight="1">
      <c r="A1700" s="20">
        <v>362</v>
      </c>
      <c r="B1700" s="20" t="s">
        <v>4320</v>
      </c>
      <c r="C1700" s="20"/>
      <c r="D1700" s="20" t="s">
        <v>3408</v>
      </c>
      <c r="E1700" s="19" t="str">
        <f>VLOOKUP(D1700,'لیست پرسنل'!$B$2:$E$1020,3,FALSE)</f>
        <v>فکورصنعت</v>
      </c>
      <c r="F1700" s="19" t="str">
        <f>VLOOKUP(D1700,'لیست پرسنل'!$B$2:$E$1020,4,FALSE)</f>
        <v>ابزار دقیق</v>
      </c>
      <c r="G1700" s="127">
        <f>VLOOKUP(D1700,'لیست پرسنل'!$B$2:$F$1020,2,FALSE)</f>
        <v>4000405</v>
      </c>
      <c r="H1700" s="126" t="s">
        <v>7081</v>
      </c>
      <c r="I1700" s="128"/>
      <c r="J1700" s="128" t="s">
        <v>5927</v>
      </c>
      <c r="K1700" s="135" t="s">
        <v>7111</v>
      </c>
      <c r="L1700" s="158"/>
      <c r="M1700" s="126" t="s">
        <v>291</v>
      </c>
      <c r="N1700" s="116"/>
      <c r="O1700" s="20"/>
      <c r="P1700" s="20"/>
      <c r="Q1700" s="20"/>
    </row>
    <row r="1701" spans="1:17" ht="24.9" customHeight="1">
      <c r="A1701" s="20">
        <v>362</v>
      </c>
      <c r="B1701" s="20" t="s">
        <v>4320</v>
      </c>
      <c r="C1701" s="20"/>
      <c r="D1701" s="20" t="s">
        <v>3408</v>
      </c>
      <c r="E1701" s="19" t="str">
        <f>VLOOKUP(D1701,'لیست پرسنل'!$B$2:$E$1020,3,FALSE)</f>
        <v>فکورصنعت</v>
      </c>
      <c r="F1701" s="19" t="str">
        <f>VLOOKUP(D1701,'لیست پرسنل'!$B$2:$E$1020,4,FALSE)</f>
        <v>ابزار دقیق</v>
      </c>
      <c r="G1701" s="127">
        <f>VLOOKUP(D1701,'لیست پرسنل'!$B$2:$F$1020,2,FALSE)</f>
        <v>4000405</v>
      </c>
      <c r="H1701" s="126" t="s">
        <v>7081</v>
      </c>
      <c r="I1701" s="128"/>
      <c r="J1701" s="128" t="s">
        <v>5927</v>
      </c>
      <c r="K1701" s="135" t="s">
        <v>7111</v>
      </c>
      <c r="L1701" s="158"/>
      <c r="M1701" s="126" t="s">
        <v>291</v>
      </c>
      <c r="N1701" s="116"/>
      <c r="O1701" s="20"/>
      <c r="P1701" s="20"/>
      <c r="Q1701" s="20"/>
    </row>
    <row r="1702" spans="1:17" ht="24.9" customHeight="1">
      <c r="A1702" s="20">
        <v>362</v>
      </c>
      <c r="B1702" s="20" t="s">
        <v>4320</v>
      </c>
      <c r="C1702" s="20"/>
      <c r="D1702" s="20" t="s">
        <v>3408</v>
      </c>
      <c r="E1702" s="19" t="str">
        <f>VLOOKUP(D1702,'لیست پرسنل'!$B$2:$E$1020,3,FALSE)</f>
        <v>فکورصنعت</v>
      </c>
      <c r="F1702" s="19" t="str">
        <f>VLOOKUP(D1702,'لیست پرسنل'!$B$2:$E$1020,4,FALSE)</f>
        <v>ابزار دقیق</v>
      </c>
      <c r="G1702" s="127">
        <f>VLOOKUP(D1702,'لیست پرسنل'!$B$2:$F$1020,2,FALSE)</f>
        <v>4000405</v>
      </c>
      <c r="H1702" s="126" t="s">
        <v>7081</v>
      </c>
      <c r="I1702" s="128"/>
      <c r="J1702" s="128" t="s">
        <v>5927</v>
      </c>
      <c r="K1702" s="135" t="s">
        <v>7111</v>
      </c>
      <c r="L1702" s="158"/>
      <c r="M1702" s="126" t="s">
        <v>291</v>
      </c>
      <c r="N1702" s="116"/>
      <c r="O1702" s="20"/>
      <c r="P1702" s="20"/>
      <c r="Q1702" s="20"/>
    </row>
    <row r="1703" spans="1:17" ht="24.9" customHeight="1">
      <c r="A1703" s="20">
        <v>362</v>
      </c>
      <c r="B1703" s="20" t="s">
        <v>4320</v>
      </c>
      <c r="C1703" s="20"/>
      <c r="D1703" s="20" t="s">
        <v>3408</v>
      </c>
      <c r="E1703" s="19" t="str">
        <f>VLOOKUP(D1703,'لیست پرسنل'!$B$2:$E$1020,3,FALSE)</f>
        <v>فکورصنعت</v>
      </c>
      <c r="F1703" s="19" t="str">
        <f>VLOOKUP(D1703,'لیست پرسنل'!$B$2:$E$1020,4,FALSE)</f>
        <v>ابزار دقیق</v>
      </c>
      <c r="G1703" s="127">
        <f>VLOOKUP(D1703,'لیست پرسنل'!$B$2:$F$1020,2,FALSE)</f>
        <v>4000405</v>
      </c>
      <c r="H1703" s="126" t="s">
        <v>7081</v>
      </c>
      <c r="I1703" s="128"/>
      <c r="J1703" s="128" t="s">
        <v>5927</v>
      </c>
      <c r="K1703" s="135" t="s">
        <v>7111</v>
      </c>
      <c r="L1703" s="158"/>
      <c r="M1703" s="126" t="s">
        <v>291</v>
      </c>
      <c r="N1703" s="116"/>
      <c r="O1703" s="20"/>
      <c r="P1703" s="20"/>
      <c r="Q1703" s="20"/>
    </row>
    <row r="1704" spans="1:17" ht="24.9" customHeight="1">
      <c r="A1704" s="20">
        <v>362</v>
      </c>
      <c r="B1704" s="20" t="s">
        <v>4320</v>
      </c>
      <c r="C1704" s="20"/>
      <c r="D1704" s="20" t="s">
        <v>3408</v>
      </c>
      <c r="E1704" s="19" t="str">
        <f>VLOOKUP(D1704,'لیست پرسنل'!$B$2:$E$1020,3,FALSE)</f>
        <v>فکورصنعت</v>
      </c>
      <c r="F1704" s="19" t="str">
        <f>VLOOKUP(D1704,'لیست پرسنل'!$B$2:$E$1020,4,FALSE)</f>
        <v>ابزار دقیق</v>
      </c>
      <c r="G1704" s="127">
        <f>VLOOKUP(D1704,'لیست پرسنل'!$B$2:$F$1020,2,FALSE)</f>
        <v>4000405</v>
      </c>
      <c r="H1704" s="126" t="s">
        <v>7081</v>
      </c>
      <c r="I1704" s="128"/>
      <c r="J1704" s="128" t="s">
        <v>5927</v>
      </c>
      <c r="K1704" s="135" t="s">
        <v>7111</v>
      </c>
      <c r="L1704" s="158"/>
      <c r="M1704" s="126" t="s">
        <v>291</v>
      </c>
      <c r="N1704" s="116"/>
      <c r="O1704" s="20"/>
      <c r="P1704" s="20"/>
      <c r="Q1704" s="20"/>
    </row>
    <row r="1705" spans="1:17" ht="24.9" customHeight="1">
      <c r="A1705" s="20">
        <v>362</v>
      </c>
      <c r="B1705" s="20" t="s">
        <v>4320</v>
      </c>
      <c r="C1705" s="20"/>
      <c r="D1705" s="20" t="s">
        <v>3408</v>
      </c>
      <c r="E1705" s="19" t="str">
        <f>VLOOKUP(D1705,'لیست پرسنل'!$B$2:$E$1020,3,FALSE)</f>
        <v>فکورصنعت</v>
      </c>
      <c r="F1705" s="19" t="str">
        <f>VLOOKUP(D1705,'لیست پرسنل'!$B$2:$E$1020,4,FALSE)</f>
        <v>ابزار دقیق</v>
      </c>
      <c r="G1705" s="127">
        <f>VLOOKUP(D1705,'لیست پرسنل'!$B$2:$F$1020,2,FALSE)</f>
        <v>4000405</v>
      </c>
      <c r="H1705" s="126" t="s">
        <v>7081</v>
      </c>
      <c r="I1705" s="128"/>
      <c r="J1705" s="128" t="s">
        <v>5927</v>
      </c>
      <c r="K1705" s="135" t="s">
        <v>7111</v>
      </c>
      <c r="L1705" s="158"/>
      <c r="M1705" s="126" t="s">
        <v>291</v>
      </c>
      <c r="N1705" s="116"/>
      <c r="O1705" s="20"/>
      <c r="P1705" s="20"/>
      <c r="Q1705" s="20"/>
    </row>
    <row r="1706" spans="1:17" ht="24.9" customHeight="1">
      <c r="A1706" s="20">
        <v>362</v>
      </c>
      <c r="B1706" s="20" t="s">
        <v>4320</v>
      </c>
      <c r="C1706" s="20"/>
      <c r="D1706" s="20" t="s">
        <v>3408</v>
      </c>
      <c r="E1706" s="19" t="str">
        <f>VLOOKUP(D1706,'لیست پرسنل'!$B$2:$E$1020,3,FALSE)</f>
        <v>فکورصنعت</v>
      </c>
      <c r="F1706" s="19" t="str">
        <f>VLOOKUP(D1706,'لیست پرسنل'!$B$2:$E$1020,4,FALSE)</f>
        <v>ابزار دقیق</v>
      </c>
      <c r="G1706" s="127">
        <f>VLOOKUP(D1706,'لیست پرسنل'!$B$2:$F$1020,2,FALSE)</f>
        <v>4000405</v>
      </c>
      <c r="H1706" s="126" t="s">
        <v>7081</v>
      </c>
      <c r="I1706" s="128"/>
      <c r="J1706" s="128" t="s">
        <v>5927</v>
      </c>
      <c r="K1706" s="135" t="s">
        <v>7111</v>
      </c>
      <c r="L1706" s="158"/>
      <c r="M1706" s="126" t="s">
        <v>291</v>
      </c>
      <c r="N1706" s="116"/>
      <c r="O1706" s="20"/>
      <c r="P1706" s="20"/>
      <c r="Q1706" s="20"/>
    </row>
    <row r="1707" spans="1:17" ht="24.9" customHeight="1">
      <c r="A1707" s="20">
        <v>362</v>
      </c>
      <c r="B1707" s="20" t="s">
        <v>4320</v>
      </c>
      <c r="C1707" s="20"/>
      <c r="D1707" s="20" t="s">
        <v>3408</v>
      </c>
      <c r="E1707" s="19" t="str">
        <f>VLOOKUP(D1707,'لیست پرسنل'!$B$2:$E$1020,3,FALSE)</f>
        <v>فکورصنعت</v>
      </c>
      <c r="F1707" s="19" t="str">
        <f>VLOOKUP(D1707,'لیست پرسنل'!$B$2:$E$1020,4,FALSE)</f>
        <v>ابزار دقیق</v>
      </c>
      <c r="G1707" s="127">
        <f>VLOOKUP(D1707,'لیست پرسنل'!$B$2:$F$1020,2,FALSE)</f>
        <v>4000405</v>
      </c>
      <c r="H1707" s="126" t="s">
        <v>7081</v>
      </c>
      <c r="I1707" s="128"/>
      <c r="J1707" s="128" t="s">
        <v>5927</v>
      </c>
      <c r="K1707" s="135" t="s">
        <v>7111</v>
      </c>
      <c r="L1707" s="158"/>
      <c r="M1707" s="126" t="s">
        <v>291</v>
      </c>
      <c r="N1707" s="116"/>
      <c r="O1707" s="20"/>
      <c r="P1707" s="20"/>
      <c r="Q1707" s="20"/>
    </row>
    <row r="1708" spans="1:17" ht="24.9" customHeight="1">
      <c r="A1708" s="20">
        <v>362</v>
      </c>
      <c r="B1708" s="20" t="s">
        <v>4320</v>
      </c>
      <c r="C1708" s="20"/>
      <c r="D1708" s="20" t="s">
        <v>3408</v>
      </c>
      <c r="E1708" s="19" t="str">
        <f>VLOOKUP(D1708,'لیست پرسنل'!$B$2:$E$1020,3,FALSE)</f>
        <v>فکورصنعت</v>
      </c>
      <c r="F1708" s="19" t="str">
        <f>VLOOKUP(D1708,'لیست پرسنل'!$B$2:$E$1020,4,FALSE)</f>
        <v>ابزار دقیق</v>
      </c>
      <c r="G1708" s="127">
        <f>VLOOKUP(D1708,'لیست پرسنل'!$B$2:$F$1020,2,FALSE)</f>
        <v>4000405</v>
      </c>
      <c r="H1708" s="126" t="s">
        <v>7081</v>
      </c>
      <c r="I1708" s="128"/>
      <c r="J1708" s="128" t="s">
        <v>5927</v>
      </c>
      <c r="K1708" s="135" t="s">
        <v>7111</v>
      </c>
      <c r="L1708" s="158"/>
      <c r="M1708" s="126" t="s">
        <v>291</v>
      </c>
      <c r="N1708" s="116"/>
      <c r="O1708" s="20"/>
      <c r="P1708" s="20"/>
      <c r="Q1708" s="20"/>
    </row>
    <row r="1709" spans="1:17" ht="24.9" customHeight="1">
      <c r="A1709" s="20">
        <v>362</v>
      </c>
      <c r="B1709" s="20" t="s">
        <v>4320</v>
      </c>
      <c r="C1709" s="20"/>
      <c r="D1709" s="20" t="s">
        <v>3408</v>
      </c>
      <c r="E1709" s="19" t="str">
        <f>VLOOKUP(D1709,'لیست پرسنل'!$B$2:$E$1020,3,FALSE)</f>
        <v>فکورصنعت</v>
      </c>
      <c r="F1709" s="19" t="str">
        <f>VLOOKUP(D1709,'لیست پرسنل'!$B$2:$E$1020,4,FALSE)</f>
        <v>ابزار دقیق</v>
      </c>
      <c r="G1709" s="127">
        <f>VLOOKUP(D1709,'لیست پرسنل'!$B$2:$F$1020,2,FALSE)</f>
        <v>4000405</v>
      </c>
      <c r="H1709" s="126" t="s">
        <v>7081</v>
      </c>
      <c r="I1709" s="128"/>
      <c r="J1709" s="128" t="s">
        <v>3483</v>
      </c>
      <c r="K1709" s="135" t="s">
        <v>7097</v>
      </c>
      <c r="L1709" s="158"/>
      <c r="M1709" s="126" t="s">
        <v>291</v>
      </c>
      <c r="N1709" s="117"/>
      <c r="O1709" s="20"/>
      <c r="P1709" s="20"/>
      <c r="Q1709" s="20"/>
    </row>
    <row r="1710" spans="1:17" ht="24.9" customHeight="1">
      <c r="A1710" s="20">
        <v>362</v>
      </c>
      <c r="B1710" s="20" t="s">
        <v>4320</v>
      </c>
      <c r="C1710" s="20"/>
      <c r="D1710" s="20" t="s">
        <v>3408</v>
      </c>
      <c r="E1710" s="19" t="str">
        <f>VLOOKUP(D1710,'لیست پرسنل'!$B$2:$E$1020,3,FALSE)</f>
        <v>فکورصنعت</v>
      </c>
      <c r="F1710" s="19" t="str">
        <f>VLOOKUP(D1710,'لیست پرسنل'!$B$2:$E$1020,4,FALSE)</f>
        <v>ابزار دقیق</v>
      </c>
      <c r="G1710" s="127">
        <f>VLOOKUP(D1710,'لیست پرسنل'!$B$2:$F$1020,2,FALSE)</f>
        <v>4000405</v>
      </c>
      <c r="H1710" s="126" t="s">
        <v>7081</v>
      </c>
      <c r="I1710" s="128"/>
      <c r="J1710" s="128" t="s">
        <v>3483</v>
      </c>
      <c r="K1710" s="135" t="s">
        <v>7097</v>
      </c>
      <c r="L1710" s="158"/>
      <c r="M1710" s="126" t="s">
        <v>291</v>
      </c>
      <c r="N1710" s="117"/>
      <c r="O1710" s="20"/>
      <c r="P1710" s="20"/>
      <c r="Q1710" s="20"/>
    </row>
    <row r="1711" spans="1:17" ht="24.9" customHeight="1">
      <c r="A1711" s="20">
        <v>362</v>
      </c>
      <c r="B1711" s="20" t="s">
        <v>4320</v>
      </c>
      <c r="C1711" s="20"/>
      <c r="D1711" s="20" t="s">
        <v>3408</v>
      </c>
      <c r="E1711" s="19" t="str">
        <f>VLOOKUP(D1711,'لیست پرسنل'!$B$2:$E$1020,3,FALSE)</f>
        <v>فکورصنعت</v>
      </c>
      <c r="F1711" s="19" t="str">
        <f>VLOOKUP(D1711,'لیست پرسنل'!$B$2:$E$1020,4,FALSE)</f>
        <v>ابزار دقیق</v>
      </c>
      <c r="G1711" s="127">
        <f>VLOOKUP(D1711,'لیست پرسنل'!$B$2:$F$1020,2,FALSE)</f>
        <v>4000405</v>
      </c>
      <c r="H1711" s="126" t="s">
        <v>7081</v>
      </c>
      <c r="I1711" s="128"/>
      <c r="J1711" s="128" t="s">
        <v>3483</v>
      </c>
      <c r="K1711" s="135" t="s">
        <v>7097</v>
      </c>
      <c r="L1711" s="158"/>
      <c r="M1711" s="126" t="s">
        <v>291</v>
      </c>
      <c r="N1711" s="117"/>
      <c r="O1711" s="20"/>
      <c r="P1711" s="20"/>
      <c r="Q1711" s="20"/>
    </row>
    <row r="1712" spans="1:17" ht="24.9" customHeight="1">
      <c r="A1712" s="20">
        <v>362</v>
      </c>
      <c r="B1712" s="20" t="s">
        <v>4320</v>
      </c>
      <c r="C1712" s="20"/>
      <c r="D1712" s="20" t="s">
        <v>3408</v>
      </c>
      <c r="E1712" s="19" t="str">
        <f>VLOOKUP(D1712,'لیست پرسنل'!$B$2:$E$1020,3,FALSE)</f>
        <v>فکورصنعت</v>
      </c>
      <c r="F1712" s="19" t="str">
        <f>VLOOKUP(D1712,'لیست پرسنل'!$B$2:$E$1020,4,FALSE)</f>
        <v>ابزار دقیق</v>
      </c>
      <c r="G1712" s="127">
        <f>VLOOKUP(D1712,'لیست پرسنل'!$B$2:$F$1020,2,FALSE)</f>
        <v>4000405</v>
      </c>
      <c r="H1712" s="126" t="s">
        <v>7081</v>
      </c>
      <c r="I1712" s="128"/>
      <c r="J1712" s="128" t="s">
        <v>3483</v>
      </c>
      <c r="K1712" s="135" t="s">
        <v>7097</v>
      </c>
      <c r="L1712" s="158"/>
      <c r="M1712" s="126" t="s">
        <v>291</v>
      </c>
      <c r="N1712" s="117"/>
      <c r="O1712" s="20"/>
      <c r="P1712" s="20"/>
      <c r="Q1712" s="20"/>
    </row>
    <row r="1713" spans="1:17" ht="24.9" customHeight="1">
      <c r="A1713" s="20">
        <v>362</v>
      </c>
      <c r="B1713" s="20" t="s">
        <v>4320</v>
      </c>
      <c r="C1713" s="20"/>
      <c r="D1713" s="20" t="s">
        <v>3408</v>
      </c>
      <c r="E1713" s="19" t="str">
        <f>VLOOKUP(D1713,'لیست پرسنل'!$B$2:$E$1020,3,FALSE)</f>
        <v>فکورصنعت</v>
      </c>
      <c r="F1713" s="19" t="str">
        <f>VLOOKUP(D1713,'لیست پرسنل'!$B$2:$E$1020,4,FALSE)</f>
        <v>ابزار دقیق</v>
      </c>
      <c r="G1713" s="127">
        <f>VLOOKUP(D1713,'لیست پرسنل'!$B$2:$F$1020,2,FALSE)</f>
        <v>4000405</v>
      </c>
      <c r="H1713" s="126" t="s">
        <v>7081</v>
      </c>
      <c r="I1713" s="128"/>
      <c r="J1713" s="128" t="s">
        <v>3483</v>
      </c>
      <c r="K1713" s="135" t="s">
        <v>7097</v>
      </c>
      <c r="L1713" s="158"/>
      <c r="M1713" s="126" t="s">
        <v>291</v>
      </c>
      <c r="N1713" s="117"/>
      <c r="O1713" s="20"/>
      <c r="P1713" s="20"/>
      <c r="Q1713" s="20"/>
    </row>
    <row r="1714" spans="1:17" ht="24.9" customHeight="1">
      <c r="A1714" s="20">
        <v>362</v>
      </c>
      <c r="B1714" s="20" t="s">
        <v>4320</v>
      </c>
      <c r="C1714" s="20"/>
      <c r="D1714" s="20" t="s">
        <v>3408</v>
      </c>
      <c r="E1714" s="19" t="str">
        <f>VLOOKUP(D1714,'لیست پرسنل'!$B$2:$E$1020,3,FALSE)</f>
        <v>فکورصنعت</v>
      </c>
      <c r="F1714" s="19" t="str">
        <f>VLOOKUP(D1714,'لیست پرسنل'!$B$2:$E$1020,4,FALSE)</f>
        <v>ابزار دقیق</v>
      </c>
      <c r="G1714" s="127">
        <f>VLOOKUP(D1714,'لیست پرسنل'!$B$2:$F$1020,2,FALSE)</f>
        <v>4000405</v>
      </c>
      <c r="H1714" s="126" t="s">
        <v>7081</v>
      </c>
      <c r="I1714" s="128"/>
      <c r="J1714" s="128" t="s">
        <v>3476</v>
      </c>
      <c r="K1714" s="135" t="s">
        <v>7098</v>
      </c>
      <c r="L1714" s="158" t="s">
        <v>7099</v>
      </c>
      <c r="M1714" s="126" t="s">
        <v>291</v>
      </c>
      <c r="N1714" s="116" t="s">
        <v>7106</v>
      </c>
      <c r="O1714" s="20"/>
      <c r="P1714" s="20"/>
      <c r="Q1714" s="20"/>
    </row>
    <row r="1715" spans="1:17" ht="24.9" customHeight="1">
      <c r="A1715" s="20">
        <v>362</v>
      </c>
      <c r="B1715" s="20" t="s">
        <v>4320</v>
      </c>
      <c r="C1715" s="20"/>
      <c r="D1715" s="20" t="s">
        <v>3408</v>
      </c>
      <c r="E1715" s="19" t="str">
        <f>VLOOKUP(D1715,'لیست پرسنل'!$B$2:$E$1020,3,FALSE)</f>
        <v>فکورصنعت</v>
      </c>
      <c r="F1715" s="19" t="str">
        <f>VLOOKUP(D1715,'لیست پرسنل'!$B$2:$E$1020,4,FALSE)</f>
        <v>ابزار دقیق</v>
      </c>
      <c r="G1715" s="127">
        <f>VLOOKUP(D1715,'لیست پرسنل'!$B$2:$F$1020,2,FALSE)</f>
        <v>4000405</v>
      </c>
      <c r="H1715" s="126" t="s">
        <v>7081</v>
      </c>
      <c r="I1715" s="128"/>
      <c r="J1715" s="128" t="s">
        <v>3476</v>
      </c>
      <c r="K1715" s="135" t="s">
        <v>2048</v>
      </c>
      <c r="L1715" s="158" t="s">
        <v>7100</v>
      </c>
      <c r="M1715" s="139" t="s">
        <v>291</v>
      </c>
      <c r="N1715" s="116" t="s">
        <v>7106</v>
      </c>
      <c r="O1715" s="20"/>
      <c r="P1715" s="20"/>
      <c r="Q1715" s="20"/>
    </row>
    <row r="1716" spans="1:17" ht="24.9" customHeight="1">
      <c r="A1716" s="20">
        <v>362</v>
      </c>
      <c r="B1716" s="20" t="s">
        <v>4320</v>
      </c>
      <c r="C1716" s="20"/>
      <c r="D1716" s="20" t="s">
        <v>3408</v>
      </c>
      <c r="E1716" s="19" t="str">
        <f>VLOOKUP(D1716,'لیست پرسنل'!$B$2:$E$1020,3,FALSE)</f>
        <v>فکورصنعت</v>
      </c>
      <c r="F1716" s="19" t="str">
        <f>VLOOKUP(D1716,'لیست پرسنل'!$B$2:$E$1020,4,FALSE)</f>
        <v>ابزار دقیق</v>
      </c>
      <c r="G1716" s="127">
        <f>VLOOKUP(D1716,'لیست پرسنل'!$B$2:$F$1020,2,FALSE)</f>
        <v>4000405</v>
      </c>
      <c r="H1716" s="126" t="s">
        <v>7081</v>
      </c>
      <c r="I1716" s="128"/>
      <c r="J1716" s="128" t="s">
        <v>3476</v>
      </c>
      <c r="K1716" s="135" t="s">
        <v>2048</v>
      </c>
      <c r="L1716" s="158" t="s">
        <v>7101</v>
      </c>
      <c r="M1716" s="126" t="s">
        <v>291</v>
      </c>
      <c r="N1716" s="116" t="s">
        <v>7107</v>
      </c>
      <c r="O1716" s="20"/>
      <c r="P1716" s="20"/>
      <c r="Q1716" s="20"/>
    </row>
    <row r="1717" spans="1:17" ht="24.9" customHeight="1">
      <c r="A1717" s="20">
        <v>362</v>
      </c>
      <c r="B1717" s="20" t="s">
        <v>4320</v>
      </c>
      <c r="C1717" s="20"/>
      <c r="D1717" s="20" t="s">
        <v>3408</v>
      </c>
      <c r="E1717" s="19" t="str">
        <f>VLOOKUP(D1717,'لیست پرسنل'!$B$2:$E$1020,3,FALSE)</f>
        <v>فکورصنعت</v>
      </c>
      <c r="F1717" s="19" t="str">
        <f>VLOOKUP(D1717,'لیست پرسنل'!$B$2:$E$1020,4,FALSE)</f>
        <v>ابزار دقیق</v>
      </c>
      <c r="G1717" s="127">
        <f>VLOOKUP(D1717,'لیست پرسنل'!$B$2:$F$1020,2,FALSE)</f>
        <v>4000405</v>
      </c>
      <c r="H1717" s="126" t="s">
        <v>7081</v>
      </c>
      <c r="I1717" s="128"/>
      <c r="J1717" s="128" t="s">
        <v>3476</v>
      </c>
      <c r="K1717" s="135" t="s">
        <v>2048</v>
      </c>
      <c r="L1717" s="158" t="s">
        <v>7102</v>
      </c>
      <c r="M1717" s="126" t="s">
        <v>291</v>
      </c>
      <c r="N1717" s="116" t="s">
        <v>7108</v>
      </c>
      <c r="O1717" s="20"/>
      <c r="P1717" s="20"/>
      <c r="Q1717" s="20"/>
    </row>
    <row r="1718" spans="1:17" ht="24.9" customHeight="1">
      <c r="A1718" s="20">
        <v>362</v>
      </c>
      <c r="B1718" s="20" t="s">
        <v>4320</v>
      </c>
      <c r="C1718" s="20"/>
      <c r="D1718" s="20" t="s">
        <v>3408</v>
      </c>
      <c r="E1718" s="19" t="str">
        <f>VLOOKUP(D1718,'لیست پرسنل'!$B$2:$E$1020,3,FALSE)</f>
        <v>فکورصنعت</v>
      </c>
      <c r="F1718" s="19" t="str">
        <f>VLOOKUP(D1718,'لیست پرسنل'!$B$2:$E$1020,4,FALSE)</f>
        <v>ابزار دقیق</v>
      </c>
      <c r="G1718" s="127">
        <f>VLOOKUP(D1718,'لیست پرسنل'!$B$2:$F$1020,2,FALSE)</f>
        <v>4000405</v>
      </c>
      <c r="H1718" s="126" t="s">
        <v>7081</v>
      </c>
      <c r="I1718" s="128"/>
      <c r="J1718" s="128" t="s">
        <v>3476</v>
      </c>
      <c r="K1718" s="135" t="s">
        <v>2048</v>
      </c>
      <c r="L1718" s="158" t="s">
        <v>7103</v>
      </c>
      <c r="M1718" s="126" t="s">
        <v>291</v>
      </c>
      <c r="N1718" s="116" t="s">
        <v>7109</v>
      </c>
      <c r="O1718" s="20"/>
      <c r="P1718" s="20"/>
      <c r="Q1718" s="20"/>
    </row>
    <row r="1719" spans="1:17" ht="24.9" customHeight="1">
      <c r="A1719" s="20">
        <v>362</v>
      </c>
      <c r="B1719" s="20" t="s">
        <v>4320</v>
      </c>
      <c r="C1719" s="20"/>
      <c r="D1719" s="20" t="s">
        <v>3408</v>
      </c>
      <c r="E1719" s="19" t="str">
        <f>VLOOKUP(D1719,'لیست پرسنل'!$B$2:$E$1020,3,FALSE)</f>
        <v>فکورصنعت</v>
      </c>
      <c r="F1719" s="19" t="str">
        <f>VLOOKUP(D1719,'لیست پرسنل'!$B$2:$E$1020,4,FALSE)</f>
        <v>ابزار دقیق</v>
      </c>
      <c r="G1719" s="127">
        <f>VLOOKUP(D1719,'لیست پرسنل'!$B$2:$F$1020,2,FALSE)</f>
        <v>4000405</v>
      </c>
      <c r="H1719" s="126" t="s">
        <v>7081</v>
      </c>
      <c r="I1719" s="128"/>
      <c r="J1719" s="128" t="s">
        <v>3476</v>
      </c>
      <c r="K1719" s="135" t="s">
        <v>2048</v>
      </c>
      <c r="L1719" s="158" t="s">
        <v>7104</v>
      </c>
      <c r="M1719" s="126" t="s">
        <v>291</v>
      </c>
      <c r="N1719" s="116" t="s">
        <v>7110</v>
      </c>
      <c r="O1719" s="20"/>
      <c r="P1719" s="20"/>
      <c r="Q1719" s="20"/>
    </row>
    <row r="1720" spans="1:17" ht="24.9" customHeight="1">
      <c r="A1720" s="20">
        <v>362</v>
      </c>
      <c r="B1720" s="20" t="s">
        <v>4320</v>
      </c>
      <c r="C1720" s="19"/>
      <c r="D1720" s="20" t="s">
        <v>3408</v>
      </c>
      <c r="E1720" s="19" t="str">
        <f>VLOOKUP(D1720,'لیست پرسنل'!$B$2:$E$1020,3,FALSE)</f>
        <v>فکورصنعت</v>
      </c>
      <c r="F1720" s="19" t="str">
        <f>VLOOKUP(D1720,'لیست پرسنل'!$B$2:$E$1020,4,FALSE)</f>
        <v>ابزار دقیق</v>
      </c>
      <c r="G1720" s="127">
        <f>VLOOKUP(D1720,'لیست پرسنل'!$B$2:$F$1020,2,FALSE)</f>
        <v>4000405</v>
      </c>
      <c r="H1720" s="126" t="s">
        <v>6968</v>
      </c>
      <c r="I1720" s="128"/>
      <c r="J1720" s="128" t="s">
        <v>4333</v>
      </c>
      <c r="K1720" s="135" t="s">
        <v>6866</v>
      </c>
      <c r="L1720" s="158" t="s">
        <v>6867</v>
      </c>
      <c r="M1720" s="131">
        <v>634333</v>
      </c>
      <c r="N1720" s="108"/>
      <c r="O1720" s="20" t="s">
        <v>6969</v>
      </c>
      <c r="P1720" s="20"/>
      <c r="Q1720" s="20"/>
    </row>
    <row r="1721" spans="1:17" ht="24.9" customHeight="1">
      <c r="A1721" s="20">
        <v>362</v>
      </c>
      <c r="B1721" s="20" t="s">
        <v>4320</v>
      </c>
      <c r="C1721" s="19"/>
      <c r="D1721" s="20" t="s">
        <v>3408</v>
      </c>
      <c r="E1721" s="19" t="str">
        <f>VLOOKUP(D1721,'لیست پرسنل'!$B$2:$E$1020,3,FALSE)</f>
        <v>فکورصنعت</v>
      </c>
      <c r="F1721" s="19" t="str">
        <f>VLOOKUP(D1721,'لیست پرسنل'!$B$2:$E$1020,4,FALSE)</f>
        <v>ابزار دقیق</v>
      </c>
      <c r="G1721" s="127">
        <f>VLOOKUP(D1721,'لیست پرسنل'!$B$2:$F$1020,2,FALSE)</f>
        <v>4000405</v>
      </c>
      <c r="H1721" s="126" t="s">
        <v>6968</v>
      </c>
      <c r="I1721" s="128"/>
      <c r="J1721" s="128" t="s">
        <v>4333</v>
      </c>
      <c r="K1721" s="135" t="s">
        <v>6866</v>
      </c>
      <c r="L1721" s="158" t="s">
        <v>6868</v>
      </c>
      <c r="M1721" s="131">
        <v>634334</v>
      </c>
      <c r="N1721" s="117"/>
      <c r="O1721" s="20" t="s">
        <v>6969</v>
      </c>
      <c r="P1721" s="20"/>
      <c r="Q1721" s="20"/>
    </row>
    <row r="1722" spans="1:17" ht="24.9" customHeight="1">
      <c r="A1722" s="20">
        <v>362</v>
      </c>
      <c r="B1722" s="20" t="s">
        <v>4320</v>
      </c>
      <c r="C1722" s="20"/>
      <c r="D1722" s="20" t="s">
        <v>3408</v>
      </c>
      <c r="E1722" s="19" t="str">
        <f>VLOOKUP(D1722,'لیست پرسنل'!$B$2:$E$1020,3,FALSE)</f>
        <v>فکورصنعت</v>
      </c>
      <c r="F1722" s="19" t="str">
        <f>VLOOKUP(D1722,'لیست پرسنل'!$B$2:$E$1020,4,FALSE)</f>
        <v>ابزار دقیق</v>
      </c>
      <c r="G1722" s="127">
        <f>VLOOKUP(D1722,'لیست پرسنل'!$B$2:$F$1020,2,FALSE)</f>
        <v>4000405</v>
      </c>
      <c r="H1722" s="126" t="s">
        <v>7885</v>
      </c>
      <c r="I1722" s="128"/>
      <c r="J1722" s="128" t="s">
        <v>3322</v>
      </c>
      <c r="K1722" s="128" t="s">
        <v>7867</v>
      </c>
      <c r="L1722" s="150" t="s">
        <v>7868</v>
      </c>
      <c r="M1722" s="127">
        <v>636502</v>
      </c>
      <c r="N1722" s="108" t="s">
        <v>7886</v>
      </c>
      <c r="O1722" s="20"/>
      <c r="P1722" s="20"/>
      <c r="Q1722" s="20"/>
    </row>
    <row r="1723" spans="1:17" ht="24.9" customHeight="1">
      <c r="A1723" s="20">
        <v>362</v>
      </c>
      <c r="B1723" s="20" t="s">
        <v>4320</v>
      </c>
      <c r="C1723" s="20"/>
      <c r="D1723" s="20" t="s">
        <v>3408</v>
      </c>
      <c r="E1723" s="19" t="str">
        <f>VLOOKUP(D1723,'لیست پرسنل'!$B$2:$E$1020,3,FALSE)</f>
        <v>فکورصنعت</v>
      </c>
      <c r="F1723" s="19" t="str">
        <f>VLOOKUP(D1723,'لیست پرسنل'!$B$2:$E$1020,4,FALSE)</f>
        <v>ابزار دقیق</v>
      </c>
      <c r="G1723" s="127">
        <f>VLOOKUP(D1723,'لیست پرسنل'!$B$2:$F$1020,2,FALSE)</f>
        <v>4000405</v>
      </c>
      <c r="H1723" s="126" t="s">
        <v>7149</v>
      </c>
      <c r="I1723" s="128"/>
      <c r="J1723" s="126" t="s">
        <v>368</v>
      </c>
      <c r="K1723" s="128" t="s">
        <v>8248</v>
      </c>
      <c r="L1723" s="127" t="s">
        <v>2441</v>
      </c>
      <c r="M1723" s="128">
        <v>628850</v>
      </c>
      <c r="N1723" s="108"/>
      <c r="O1723" s="20" t="s">
        <v>705</v>
      </c>
      <c r="P1723" s="20"/>
      <c r="Q1723" s="20"/>
    </row>
    <row r="1724" spans="1:17" ht="24.9" customHeight="1">
      <c r="A1724" s="20">
        <v>362</v>
      </c>
      <c r="B1724" s="20" t="s">
        <v>4320</v>
      </c>
      <c r="C1724" s="20"/>
      <c r="D1724" s="20" t="s">
        <v>3489</v>
      </c>
      <c r="E1724" s="19" t="str">
        <f>VLOOKUP(D1724,'لیست پرسنل'!$B$2:$E$1020,3,FALSE)</f>
        <v>کارفرما</v>
      </c>
      <c r="F1724" s="19" t="str">
        <f>VLOOKUP(D1724,'لیست پرسنل'!$B$2:$E$1020,4,FALSE)</f>
        <v>آتش نشانی</v>
      </c>
      <c r="G1724" s="127">
        <f>VLOOKUP(D1724,'لیست پرسنل'!$B$2:$F$1020,2,FALSE)</f>
        <v>0</v>
      </c>
      <c r="H1724" s="128" t="s">
        <v>3490</v>
      </c>
      <c r="I1724" s="128"/>
      <c r="J1724" s="128" t="s">
        <v>5366</v>
      </c>
      <c r="K1724" s="128" t="s">
        <v>63</v>
      </c>
      <c r="L1724" s="128" t="s">
        <v>64</v>
      </c>
      <c r="M1724" s="128">
        <v>602425</v>
      </c>
      <c r="N1724" s="108"/>
      <c r="O1724" s="20"/>
      <c r="P1724" s="20"/>
      <c r="Q1724" s="20"/>
    </row>
    <row r="1725" spans="1:17" ht="24.9" customHeight="1">
      <c r="A1725" s="20">
        <v>362</v>
      </c>
      <c r="B1725" s="20" t="s">
        <v>4320</v>
      </c>
      <c r="C1725" s="19"/>
      <c r="D1725" s="20" t="s">
        <v>3425</v>
      </c>
      <c r="E1725" s="19" t="str">
        <f>VLOOKUP(D1725,'لیست پرسنل'!$B$2:$E$1020,3,FALSE)</f>
        <v>فکورصنعت</v>
      </c>
      <c r="F1725" s="19" t="str">
        <f>VLOOKUP(D1725,'لیست پرسنل'!$B$2:$E$1020,4,FALSE)</f>
        <v>مکانیک</v>
      </c>
      <c r="G1725" s="127">
        <f>VLOOKUP(D1725,'لیست پرسنل'!$B$2:$F$1020,2,FALSE)</f>
        <v>4010410</v>
      </c>
      <c r="H1725" s="126" t="s">
        <v>3381</v>
      </c>
      <c r="I1725" s="128"/>
      <c r="J1725" s="128" t="s">
        <v>4333</v>
      </c>
      <c r="K1725" s="135" t="s">
        <v>6862</v>
      </c>
      <c r="L1725" s="158" t="s">
        <v>6861</v>
      </c>
      <c r="M1725" s="131">
        <v>634337</v>
      </c>
      <c r="N1725" s="108"/>
      <c r="O1725" s="20"/>
      <c r="P1725" s="20"/>
      <c r="Q1725" s="20"/>
    </row>
    <row r="1726" spans="1:17" ht="24.9" customHeight="1">
      <c r="A1726" s="20">
        <v>362</v>
      </c>
      <c r="B1726" s="20" t="s">
        <v>4320</v>
      </c>
      <c r="C1726" s="19"/>
      <c r="D1726" s="20" t="s">
        <v>8</v>
      </c>
      <c r="E1726" s="19" t="str">
        <f>VLOOKUP(D1726,'لیست پرسنل'!$B$2:$E$1020,3,FALSE)</f>
        <v>فکورصنعت</v>
      </c>
      <c r="F1726" s="19" t="str">
        <f>VLOOKUP(D1726,'لیست پرسنل'!$B$2:$E$1020,4,FALSE)</f>
        <v>مالی - اداری</v>
      </c>
      <c r="G1726" s="127">
        <f>VLOOKUP(D1726,'لیست پرسنل'!$B$2:$F$1020,2,FALSE)</f>
        <v>1309</v>
      </c>
      <c r="H1726" s="126" t="s">
        <v>7374</v>
      </c>
      <c r="I1726" s="128"/>
      <c r="J1726" s="128" t="s">
        <v>3938</v>
      </c>
      <c r="K1726" s="128" t="s">
        <v>3153</v>
      </c>
      <c r="L1726" s="150"/>
      <c r="M1726" s="128">
        <v>612377</v>
      </c>
      <c r="N1726" s="108" t="s">
        <v>7465</v>
      </c>
      <c r="O1726" s="20"/>
      <c r="P1726" s="20"/>
      <c r="Q1726" s="20"/>
    </row>
    <row r="1727" spans="1:17" ht="24.9" customHeight="1">
      <c r="A1727" s="20">
        <v>362</v>
      </c>
      <c r="B1727" s="20" t="s">
        <v>4320</v>
      </c>
      <c r="C1727" s="20"/>
      <c r="D1727" s="20" t="s">
        <v>8</v>
      </c>
      <c r="E1727" s="19" t="str">
        <f>VLOOKUP(D1727,'لیست پرسنل'!$B$2:$E$1020,3,FALSE)</f>
        <v>فکورصنعت</v>
      </c>
      <c r="F1727" s="19" t="str">
        <f>VLOOKUP(D1727,'لیست پرسنل'!$B$2:$E$1020,4,FALSE)</f>
        <v>مالی - اداری</v>
      </c>
      <c r="G1727" s="127">
        <f>VLOOKUP(D1727,'لیست پرسنل'!$B$2:$F$1020,2,FALSE)</f>
        <v>1309</v>
      </c>
      <c r="H1727" s="126" t="s">
        <v>7374</v>
      </c>
      <c r="I1727" s="128"/>
      <c r="J1727" s="128" t="s">
        <v>3476</v>
      </c>
      <c r="K1727" s="128" t="s">
        <v>6184</v>
      </c>
      <c r="L1727" s="127" t="s">
        <v>6180</v>
      </c>
      <c r="M1727" s="127">
        <v>633337</v>
      </c>
      <c r="N1727" s="108" t="s">
        <v>7375</v>
      </c>
      <c r="O1727" s="20"/>
      <c r="P1727" s="20"/>
      <c r="Q1727" s="20"/>
    </row>
    <row r="1728" spans="1:17" ht="24.9" customHeight="1">
      <c r="A1728" s="20">
        <v>362</v>
      </c>
      <c r="B1728" s="20" t="s">
        <v>4320</v>
      </c>
      <c r="C1728" s="19"/>
      <c r="D1728" s="19" t="s">
        <v>8</v>
      </c>
      <c r="E1728" s="19" t="str">
        <f>VLOOKUP(D1728,'لیست پرسنل'!$B$2:$E$1020,3,FALSE)</f>
        <v>فکورصنعت</v>
      </c>
      <c r="F1728" s="19" t="str">
        <f>VLOOKUP(D1728,'لیست پرسنل'!$B$2:$E$1020,4,FALSE)</f>
        <v>مالی - اداری</v>
      </c>
      <c r="G1728" s="127">
        <f>VLOOKUP(D1728,'لیست پرسنل'!$B$2:$F$1020,2,FALSE)</f>
        <v>1309</v>
      </c>
      <c r="H1728" s="151" t="s">
        <v>4416</v>
      </c>
      <c r="I1728" s="127"/>
      <c r="J1728" s="128" t="s">
        <v>3938</v>
      </c>
      <c r="K1728" s="128" t="s">
        <v>1159</v>
      </c>
      <c r="L1728" s="151" t="s">
        <v>1161</v>
      </c>
      <c r="M1728" s="127">
        <v>622737</v>
      </c>
      <c r="N1728" s="109"/>
      <c r="O1728" s="39" t="s">
        <v>4415</v>
      </c>
      <c r="P1728" s="20"/>
      <c r="Q1728" s="20"/>
    </row>
    <row r="1729" spans="1:17" ht="24.9" customHeight="1">
      <c r="A1729" s="20">
        <v>362</v>
      </c>
      <c r="B1729" s="20" t="s">
        <v>4320</v>
      </c>
      <c r="C1729" s="19"/>
      <c r="D1729" s="20" t="s">
        <v>8</v>
      </c>
      <c r="E1729" s="19" t="str">
        <f>VLOOKUP(D1729,'لیست پرسنل'!$B$2:$E$1020,3,FALSE)</f>
        <v>فکورصنعت</v>
      </c>
      <c r="F1729" s="19" t="str">
        <f>VLOOKUP(D1729,'لیست پرسنل'!$B$2:$E$1020,4,FALSE)</f>
        <v>مالی - اداری</v>
      </c>
      <c r="G1729" s="127">
        <f>VLOOKUP(D1729,'لیست پرسنل'!$B$2:$F$1020,2,FALSE)</f>
        <v>1309</v>
      </c>
      <c r="H1729" s="126" t="s">
        <v>6013</v>
      </c>
      <c r="I1729" s="128"/>
      <c r="J1729" s="128" t="s">
        <v>3938</v>
      </c>
      <c r="K1729" s="127" t="s">
        <v>1458</v>
      </c>
      <c r="L1729" s="151" t="s">
        <v>1160</v>
      </c>
      <c r="M1729" s="127">
        <v>622738</v>
      </c>
      <c r="N1729" s="109" t="s">
        <v>7467</v>
      </c>
      <c r="O1729" s="39"/>
      <c r="P1729" s="20"/>
      <c r="Q1729" s="20"/>
    </row>
    <row r="1730" spans="1:17" ht="24.9" customHeight="1">
      <c r="A1730" s="20">
        <v>362</v>
      </c>
      <c r="B1730" s="20" t="s">
        <v>4320</v>
      </c>
      <c r="C1730" s="19"/>
      <c r="D1730" s="20" t="s">
        <v>8</v>
      </c>
      <c r="E1730" s="19" t="str">
        <f>VLOOKUP(D1730,'لیست پرسنل'!$B$2:$E$1020,3,FALSE)</f>
        <v>فکورصنعت</v>
      </c>
      <c r="F1730" s="19" t="str">
        <f>VLOOKUP(D1730,'لیست پرسنل'!$B$2:$E$1020,4,FALSE)</f>
        <v>مالی - اداری</v>
      </c>
      <c r="G1730" s="127">
        <f>VLOOKUP(D1730,'لیست پرسنل'!$B$2:$F$1020,2,FALSE)</f>
        <v>1309</v>
      </c>
      <c r="H1730" s="126" t="s">
        <v>6013</v>
      </c>
      <c r="I1730" s="128"/>
      <c r="J1730" s="128" t="s">
        <v>3938</v>
      </c>
      <c r="K1730" s="128" t="s">
        <v>1458</v>
      </c>
      <c r="L1730" s="127" t="s">
        <v>1459</v>
      </c>
      <c r="M1730" s="127">
        <v>633700</v>
      </c>
      <c r="N1730" s="109" t="s">
        <v>7466</v>
      </c>
      <c r="O1730" s="19" t="s">
        <v>6353</v>
      </c>
      <c r="P1730" s="32"/>
      <c r="Q1730" s="32"/>
    </row>
    <row r="1731" spans="1:17" ht="24.9" customHeight="1">
      <c r="A1731" s="20">
        <v>362</v>
      </c>
      <c r="B1731" s="20" t="s">
        <v>4320</v>
      </c>
      <c r="C1731" s="19"/>
      <c r="D1731" s="20" t="s">
        <v>8</v>
      </c>
      <c r="E1731" s="19" t="str">
        <f>VLOOKUP(D1731,'لیست پرسنل'!$B$2:$E$1020,3,FALSE)</f>
        <v>فکورصنعت</v>
      </c>
      <c r="F1731" s="19" t="str">
        <f>VLOOKUP(D1731,'لیست پرسنل'!$B$2:$E$1020,4,FALSE)</f>
        <v>مالی - اداری</v>
      </c>
      <c r="G1731" s="127">
        <f>VLOOKUP(D1731,'لیست پرسنل'!$B$2:$F$1020,2,FALSE)</f>
        <v>1309</v>
      </c>
      <c r="H1731" s="126" t="s">
        <v>6013</v>
      </c>
      <c r="I1731" s="128"/>
      <c r="J1731" s="128" t="s">
        <v>3938</v>
      </c>
      <c r="K1731" s="126" t="s">
        <v>6668</v>
      </c>
      <c r="L1731" s="151" t="s">
        <v>6669</v>
      </c>
      <c r="M1731" s="127">
        <v>633976</v>
      </c>
      <c r="N1731" s="109" t="s">
        <v>4937</v>
      </c>
      <c r="O1731" s="20"/>
      <c r="P1731" s="20"/>
      <c r="Q1731" s="20"/>
    </row>
    <row r="1732" spans="1:17" ht="24.9" customHeight="1">
      <c r="A1732" s="20">
        <v>362</v>
      </c>
      <c r="B1732" s="20" t="s">
        <v>4320</v>
      </c>
      <c r="C1732" s="19"/>
      <c r="D1732" s="20" t="s">
        <v>8</v>
      </c>
      <c r="E1732" s="19" t="str">
        <f>VLOOKUP(D1732,'لیست پرسنل'!$B$2:$E$1020,3,FALSE)</f>
        <v>فکورصنعت</v>
      </c>
      <c r="F1732" s="19" t="str">
        <f>VLOOKUP(D1732,'لیست پرسنل'!$B$2:$E$1020,4,FALSE)</f>
        <v>مالی - اداری</v>
      </c>
      <c r="G1732" s="127">
        <f>VLOOKUP(D1732,'لیست پرسنل'!$B$2:$F$1020,2,FALSE)</f>
        <v>1309</v>
      </c>
      <c r="H1732" s="126" t="s">
        <v>6013</v>
      </c>
      <c r="I1732" s="128"/>
      <c r="J1732" s="128" t="s">
        <v>3938</v>
      </c>
      <c r="K1732" s="126" t="s">
        <v>6668</v>
      </c>
      <c r="L1732" s="151" t="s">
        <v>6671</v>
      </c>
      <c r="M1732" s="127">
        <v>633978</v>
      </c>
      <c r="N1732" s="109" t="s">
        <v>7732</v>
      </c>
      <c r="O1732" s="20"/>
      <c r="P1732" s="20"/>
      <c r="Q1732" s="20"/>
    </row>
    <row r="1733" spans="1:17" ht="24.9" customHeight="1">
      <c r="A1733" s="20">
        <v>362</v>
      </c>
      <c r="B1733" s="20" t="s">
        <v>4320</v>
      </c>
      <c r="C1733" s="19"/>
      <c r="D1733" s="20" t="s">
        <v>8</v>
      </c>
      <c r="E1733" s="19" t="str">
        <f>VLOOKUP(D1733,'لیست پرسنل'!$B$2:$E$1020,3,FALSE)</f>
        <v>فکورصنعت</v>
      </c>
      <c r="F1733" s="19" t="str">
        <f>VLOOKUP(D1733,'لیست پرسنل'!$B$2:$E$1020,4,FALSE)</f>
        <v>مالی - اداری</v>
      </c>
      <c r="G1733" s="127">
        <f>VLOOKUP(D1733,'لیست پرسنل'!$B$2:$F$1020,2,FALSE)</f>
        <v>1309</v>
      </c>
      <c r="H1733" s="126" t="s">
        <v>6013</v>
      </c>
      <c r="I1733" s="128"/>
      <c r="J1733" s="128" t="s">
        <v>3938</v>
      </c>
      <c r="K1733" s="126" t="s">
        <v>6668</v>
      </c>
      <c r="L1733" s="151" t="s">
        <v>6672</v>
      </c>
      <c r="M1733" s="127">
        <v>633979</v>
      </c>
      <c r="N1733" s="109" t="s">
        <v>4937</v>
      </c>
      <c r="O1733" s="20"/>
      <c r="P1733" s="20"/>
      <c r="Q1733" s="20"/>
    </row>
    <row r="1734" spans="1:17" ht="24.9" customHeight="1">
      <c r="A1734" s="20">
        <v>362</v>
      </c>
      <c r="B1734" s="20" t="s">
        <v>4320</v>
      </c>
      <c r="C1734" s="19"/>
      <c r="D1734" s="20" t="s">
        <v>8</v>
      </c>
      <c r="E1734" s="19" t="str">
        <f>VLOOKUP(D1734,'لیست پرسنل'!$B$2:$E$1020,3,FALSE)</f>
        <v>فکورصنعت</v>
      </c>
      <c r="F1734" s="19" t="str">
        <f>VLOOKUP(D1734,'لیست پرسنل'!$B$2:$E$1020,4,FALSE)</f>
        <v>مالی - اداری</v>
      </c>
      <c r="G1734" s="127">
        <f>VLOOKUP(D1734,'لیست پرسنل'!$B$2:$F$1020,2,FALSE)</f>
        <v>1309</v>
      </c>
      <c r="H1734" s="126" t="s">
        <v>6013</v>
      </c>
      <c r="I1734" s="128"/>
      <c r="J1734" s="128" t="s">
        <v>3938</v>
      </c>
      <c r="K1734" s="126" t="s">
        <v>6668</v>
      </c>
      <c r="L1734" s="151" t="s">
        <v>6673</v>
      </c>
      <c r="M1734" s="127">
        <v>633980</v>
      </c>
      <c r="N1734" s="109" t="s">
        <v>6758</v>
      </c>
      <c r="O1734" s="20"/>
      <c r="P1734" s="20"/>
      <c r="Q1734" s="20"/>
    </row>
    <row r="1735" spans="1:17" ht="24.9" customHeight="1">
      <c r="A1735" s="20">
        <v>362</v>
      </c>
      <c r="B1735" s="20" t="s">
        <v>4320</v>
      </c>
      <c r="C1735" s="19"/>
      <c r="D1735" s="20" t="s">
        <v>8</v>
      </c>
      <c r="E1735" s="19" t="str">
        <f>VLOOKUP(D1735,'لیست پرسنل'!$B$2:$E$1020,3,FALSE)</f>
        <v>فکورصنعت</v>
      </c>
      <c r="F1735" s="19" t="str">
        <f>VLOOKUP(D1735,'لیست پرسنل'!$B$2:$E$1020,4,FALSE)</f>
        <v>مالی - اداری</v>
      </c>
      <c r="G1735" s="127">
        <f>VLOOKUP(D1735,'لیست پرسنل'!$B$2:$F$1020,2,FALSE)</f>
        <v>1309</v>
      </c>
      <c r="H1735" s="126" t="s">
        <v>6013</v>
      </c>
      <c r="I1735" s="128"/>
      <c r="J1735" s="128" t="s">
        <v>3938</v>
      </c>
      <c r="K1735" s="126" t="s">
        <v>6668</v>
      </c>
      <c r="L1735" s="151" t="s">
        <v>6674</v>
      </c>
      <c r="M1735" s="127">
        <v>633981</v>
      </c>
      <c r="N1735" s="109" t="s">
        <v>4937</v>
      </c>
      <c r="O1735" s="20"/>
      <c r="P1735" s="20"/>
      <c r="Q1735" s="20"/>
    </row>
    <row r="1736" spans="1:17" ht="24.9" customHeight="1">
      <c r="A1736" s="20">
        <v>362</v>
      </c>
      <c r="B1736" s="20" t="s">
        <v>4320</v>
      </c>
      <c r="C1736" s="19"/>
      <c r="D1736" s="20" t="s">
        <v>8</v>
      </c>
      <c r="E1736" s="19" t="str">
        <f>VLOOKUP(D1736,'لیست پرسنل'!$B$2:$E$1020,3,FALSE)</f>
        <v>فکورصنعت</v>
      </c>
      <c r="F1736" s="19" t="str">
        <f>VLOOKUP(D1736,'لیست پرسنل'!$B$2:$E$1020,4,FALSE)</f>
        <v>مالی - اداری</v>
      </c>
      <c r="G1736" s="127">
        <f>VLOOKUP(D1736,'لیست پرسنل'!$B$2:$F$1020,2,FALSE)</f>
        <v>1309</v>
      </c>
      <c r="H1736" s="126" t="s">
        <v>6013</v>
      </c>
      <c r="I1736" s="128"/>
      <c r="J1736" s="128" t="s">
        <v>3938</v>
      </c>
      <c r="K1736" s="126" t="s">
        <v>6668</v>
      </c>
      <c r="L1736" s="151" t="s">
        <v>6675</v>
      </c>
      <c r="M1736" s="127">
        <v>633982</v>
      </c>
      <c r="N1736" s="109" t="s">
        <v>6759</v>
      </c>
      <c r="O1736" s="20"/>
      <c r="P1736" s="20"/>
      <c r="Q1736" s="20"/>
    </row>
    <row r="1737" spans="1:17" ht="24.9" customHeight="1">
      <c r="A1737" s="20">
        <v>362</v>
      </c>
      <c r="B1737" s="20" t="s">
        <v>4320</v>
      </c>
      <c r="C1737" s="19"/>
      <c r="D1737" s="20" t="s">
        <v>8</v>
      </c>
      <c r="E1737" s="19" t="str">
        <f>VLOOKUP(D1737,'لیست پرسنل'!$B$2:$E$1020,3,FALSE)</f>
        <v>فکورصنعت</v>
      </c>
      <c r="F1737" s="19" t="str">
        <f>VLOOKUP(D1737,'لیست پرسنل'!$B$2:$E$1020,4,FALSE)</f>
        <v>مالی - اداری</v>
      </c>
      <c r="G1737" s="127">
        <f>VLOOKUP(D1737,'لیست پرسنل'!$B$2:$F$1020,2,FALSE)</f>
        <v>1309</v>
      </c>
      <c r="H1737" s="126" t="s">
        <v>6013</v>
      </c>
      <c r="I1737" s="128"/>
      <c r="J1737" s="128" t="s">
        <v>3938</v>
      </c>
      <c r="K1737" s="126" t="s">
        <v>6668</v>
      </c>
      <c r="L1737" s="151" t="s">
        <v>6676</v>
      </c>
      <c r="M1737" s="127">
        <v>633983</v>
      </c>
      <c r="N1737" s="109" t="s">
        <v>6760</v>
      </c>
      <c r="O1737" s="20"/>
      <c r="P1737" s="20"/>
      <c r="Q1737" s="20"/>
    </row>
    <row r="1738" spans="1:17" ht="24.9" customHeight="1">
      <c r="A1738" s="20">
        <v>362</v>
      </c>
      <c r="B1738" s="20" t="s">
        <v>4320</v>
      </c>
      <c r="C1738" s="19"/>
      <c r="D1738" s="20" t="s">
        <v>8</v>
      </c>
      <c r="E1738" s="19" t="str">
        <f>VLOOKUP(D1738,'لیست پرسنل'!$B$2:$E$1020,3,FALSE)</f>
        <v>فکورصنعت</v>
      </c>
      <c r="F1738" s="19" t="str">
        <f>VLOOKUP(D1738,'لیست پرسنل'!$B$2:$E$1020,4,FALSE)</f>
        <v>مالی - اداری</v>
      </c>
      <c r="G1738" s="127">
        <f>VLOOKUP(D1738,'لیست پرسنل'!$B$2:$F$1020,2,FALSE)</f>
        <v>1309</v>
      </c>
      <c r="H1738" s="126" t="s">
        <v>6013</v>
      </c>
      <c r="I1738" s="128"/>
      <c r="J1738" s="128" t="s">
        <v>3938</v>
      </c>
      <c r="K1738" s="126" t="s">
        <v>6668</v>
      </c>
      <c r="L1738" s="151" t="s">
        <v>6677</v>
      </c>
      <c r="M1738" s="127">
        <v>633984</v>
      </c>
      <c r="N1738" s="109" t="s">
        <v>4937</v>
      </c>
      <c r="O1738" s="20"/>
      <c r="P1738" s="20"/>
      <c r="Q1738" s="20"/>
    </row>
    <row r="1739" spans="1:17" ht="24.9" customHeight="1">
      <c r="A1739" s="20">
        <v>362</v>
      </c>
      <c r="B1739" s="20" t="s">
        <v>4320</v>
      </c>
      <c r="C1739" s="19"/>
      <c r="D1739" s="20" t="s">
        <v>8</v>
      </c>
      <c r="E1739" s="19" t="str">
        <f>VLOOKUP(D1739,'لیست پرسنل'!$B$2:$E$1020,3,FALSE)</f>
        <v>فکورصنعت</v>
      </c>
      <c r="F1739" s="19" t="str">
        <f>VLOOKUP(D1739,'لیست پرسنل'!$B$2:$E$1020,4,FALSE)</f>
        <v>مالی - اداری</v>
      </c>
      <c r="G1739" s="127">
        <f>VLOOKUP(D1739,'لیست پرسنل'!$B$2:$F$1020,2,FALSE)</f>
        <v>1309</v>
      </c>
      <c r="H1739" s="126" t="s">
        <v>6013</v>
      </c>
      <c r="I1739" s="128"/>
      <c r="J1739" s="128" t="s">
        <v>3938</v>
      </c>
      <c r="K1739" s="126" t="s">
        <v>6668</v>
      </c>
      <c r="L1739" s="151" t="s">
        <v>6678</v>
      </c>
      <c r="M1739" s="127">
        <v>633985</v>
      </c>
      <c r="N1739" s="109" t="s">
        <v>6761</v>
      </c>
      <c r="O1739" s="20"/>
      <c r="P1739" s="20"/>
      <c r="Q1739" s="20"/>
    </row>
    <row r="1740" spans="1:17" ht="24.9" customHeight="1">
      <c r="A1740" s="20">
        <v>362</v>
      </c>
      <c r="B1740" s="20" t="s">
        <v>4320</v>
      </c>
      <c r="C1740" s="19"/>
      <c r="D1740" s="20" t="s">
        <v>8</v>
      </c>
      <c r="E1740" s="19" t="str">
        <f>VLOOKUP(D1740,'لیست پرسنل'!$B$2:$E$1020,3,FALSE)</f>
        <v>فکورصنعت</v>
      </c>
      <c r="F1740" s="19" t="str">
        <f>VLOOKUP(D1740,'لیست پرسنل'!$B$2:$E$1020,4,FALSE)</f>
        <v>مالی - اداری</v>
      </c>
      <c r="G1740" s="127">
        <f>VLOOKUP(D1740,'لیست پرسنل'!$B$2:$F$1020,2,FALSE)</f>
        <v>1309</v>
      </c>
      <c r="H1740" s="126" t="s">
        <v>6013</v>
      </c>
      <c r="I1740" s="128"/>
      <c r="J1740" s="128" t="s">
        <v>3938</v>
      </c>
      <c r="K1740" s="126" t="s">
        <v>6668</v>
      </c>
      <c r="L1740" s="151" t="s">
        <v>6679</v>
      </c>
      <c r="M1740" s="127">
        <v>633986</v>
      </c>
      <c r="N1740" s="109" t="s">
        <v>6762</v>
      </c>
      <c r="O1740" s="20"/>
      <c r="P1740" s="20"/>
      <c r="Q1740" s="20"/>
    </row>
    <row r="1741" spans="1:17" ht="24.9" customHeight="1">
      <c r="A1741" s="20">
        <v>362</v>
      </c>
      <c r="B1741" s="20" t="s">
        <v>4320</v>
      </c>
      <c r="C1741" s="19"/>
      <c r="D1741" s="20" t="s">
        <v>8</v>
      </c>
      <c r="E1741" s="19" t="str">
        <f>VLOOKUP(D1741,'لیست پرسنل'!$B$2:$E$1020,3,FALSE)</f>
        <v>فکورصنعت</v>
      </c>
      <c r="F1741" s="19" t="str">
        <f>VLOOKUP(D1741,'لیست پرسنل'!$B$2:$E$1020,4,FALSE)</f>
        <v>مالی - اداری</v>
      </c>
      <c r="G1741" s="127">
        <f>VLOOKUP(D1741,'لیست پرسنل'!$B$2:$F$1020,2,FALSE)</f>
        <v>1309</v>
      </c>
      <c r="H1741" s="126" t="s">
        <v>6013</v>
      </c>
      <c r="I1741" s="128"/>
      <c r="J1741" s="128" t="s">
        <v>3938</v>
      </c>
      <c r="K1741" s="126" t="s">
        <v>6668</v>
      </c>
      <c r="L1741" s="151" t="s">
        <v>6680</v>
      </c>
      <c r="M1741" s="127">
        <v>633987</v>
      </c>
      <c r="N1741" s="109" t="s">
        <v>7464</v>
      </c>
      <c r="O1741" s="20"/>
      <c r="P1741" s="20"/>
      <c r="Q1741" s="20"/>
    </row>
    <row r="1742" spans="1:17" ht="24.9" customHeight="1">
      <c r="A1742" s="20">
        <v>362</v>
      </c>
      <c r="B1742" s="20" t="s">
        <v>4320</v>
      </c>
      <c r="C1742" s="19"/>
      <c r="D1742" s="20" t="s">
        <v>8</v>
      </c>
      <c r="E1742" s="19" t="str">
        <f>VLOOKUP(D1742,'لیست پرسنل'!$B$2:$E$1020,3,FALSE)</f>
        <v>فکورصنعت</v>
      </c>
      <c r="F1742" s="19" t="str">
        <f>VLOOKUP(D1742,'لیست پرسنل'!$B$2:$E$1020,4,FALSE)</f>
        <v>مالی - اداری</v>
      </c>
      <c r="G1742" s="127">
        <f>VLOOKUP(D1742,'لیست پرسنل'!$B$2:$F$1020,2,FALSE)</f>
        <v>1309</v>
      </c>
      <c r="H1742" s="126" t="s">
        <v>6013</v>
      </c>
      <c r="I1742" s="128"/>
      <c r="J1742" s="128" t="s">
        <v>3938</v>
      </c>
      <c r="K1742" s="126" t="s">
        <v>6668</v>
      </c>
      <c r="L1742" s="151" t="s">
        <v>6681</v>
      </c>
      <c r="M1742" s="127">
        <v>633988</v>
      </c>
      <c r="N1742" s="109" t="s">
        <v>4937</v>
      </c>
      <c r="O1742" s="20"/>
      <c r="P1742" s="20"/>
      <c r="Q1742" s="20"/>
    </row>
    <row r="1743" spans="1:17" ht="24.9" customHeight="1">
      <c r="A1743" s="20">
        <v>362</v>
      </c>
      <c r="B1743" s="20" t="s">
        <v>4320</v>
      </c>
      <c r="C1743" s="19"/>
      <c r="D1743" s="20" t="s">
        <v>8</v>
      </c>
      <c r="E1743" s="19" t="str">
        <f>VLOOKUP(D1743,'لیست پرسنل'!$B$2:$E$1020,3,FALSE)</f>
        <v>فکورصنعت</v>
      </c>
      <c r="F1743" s="19" t="str">
        <f>VLOOKUP(D1743,'لیست پرسنل'!$B$2:$E$1020,4,FALSE)</f>
        <v>مالی - اداری</v>
      </c>
      <c r="G1743" s="127">
        <f>VLOOKUP(D1743,'لیست پرسنل'!$B$2:$F$1020,2,FALSE)</f>
        <v>1309</v>
      </c>
      <c r="H1743" s="126" t="s">
        <v>6013</v>
      </c>
      <c r="I1743" s="128"/>
      <c r="J1743" s="128" t="s">
        <v>3938</v>
      </c>
      <c r="K1743" s="126" t="s">
        <v>6668</v>
      </c>
      <c r="L1743" s="151" t="s">
        <v>6682</v>
      </c>
      <c r="M1743" s="127">
        <v>633989</v>
      </c>
      <c r="N1743" s="109" t="s">
        <v>7251</v>
      </c>
      <c r="O1743" s="20"/>
      <c r="P1743" s="20"/>
      <c r="Q1743" s="20"/>
    </row>
    <row r="1744" spans="1:17" ht="24.9" customHeight="1">
      <c r="A1744" s="20">
        <v>362</v>
      </c>
      <c r="B1744" s="20" t="s">
        <v>4320</v>
      </c>
      <c r="C1744" s="19"/>
      <c r="D1744" s="20" t="s">
        <v>8</v>
      </c>
      <c r="E1744" s="19" t="str">
        <f>VLOOKUP(D1744,'لیست پرسنل'!$B$2:$E$1020,3,FALSE)</f>
        <v>فکورصنعت</v>
      </c>
      <c r="F1744" s="19" t="str">
        <f>VLOOKUP(D1744,'لیست پرسنل'!$B$2:$E$1020,4,FALSE)</f>
        <v>مالی - اداری</v>
      </c>
      <c r="G1744" s="127">
        <f>VLOOKUP(D1744,'لیست پرسنل'!$B$2:$F$1020,2,FALSE)</f>
        <v>1309</v>
      </c>
      <c r="H1744" s="126" t="s">
        <v>6013</v>
      </c>
      <c r="I1744" s="128"/>
      <c r="J1744" s="128" t="s">
        <v>3938</v>
      </c>
      <c r="K1744" s="126" t="s">
        <v>6668</v>
      </c>
      <c r="L1744" s="151" t="s">
        <v>6683</v>
      </c>
      <c r="M1744" s="127">
        <v>633990</v>
      </c>
      <c r="N1744" s="109" t="s">
        <v>6759</v>
      </c>
      <c r="O1744" s="20"/>
      <c r="P1744" s="20"/>
      <c r="Q1744" s="20"/>
    </row>
    <row r="1745" spans="1:17" ht="24.9" customHeight="1">
      <c r="A1745" s="20">
        <v>362</v>
      </c>
      <c r="B1745" s="20" t="s">
        <v>4320</v>
      </c>
      <c r="C1745" s="20"/>
      <c r="D1745" s="20" t="s">
        <v>9</v>
      </c>
      <c r="E1745" s="19" t="str">
        <f>VLOOKUP(D1745,'لیست پرسنل'!$B$2:$E$1020,3,FALSE)</f>
        <v>فکورصنعت</v>
      </c>
      <c r="F1745" s="19" t="str">
        <f>VLOOKUP(D1745,'لیست پرسنل'!$B$2:$E$1020,4,FALSE)</f>
        <v>کنترل پروژه</v>
      </c>
      <c r="G1745" s="127">
        <f>VLOOKUP(D1745,'لیست پرسنل'!$B$2:$F$1020,2,FALSE)</f>
        <v>5020</v>
      </c>
      <c r="H1745" s="126" t="s">
        <v>6460</v>
      </c>
      <c r="I1745" s="128"/>
      <c r="J1745" s="128" t="s">
        <v>3480</v>
      </c>
      <c r="K1745" s="135" t="s">
        <v>6467</v>
      </c>
      <c r="L1745" s="153" t="s">
        <v>6461</v>
      </c>
      <c r="M1745" s="126" t="s">
        <v>291</v>
      </c>
      <c r="N1745" s="108"/>
      <c r="O1745" s="44" t="s">
        <v>6468</v>
      </c>
      <c r="P1745" s="20"/>
      <c r="Q1745" s="20"/>
    </row>
    <row r="1746" spans="1:17" ht="24.9" customHeight="1">
      <c r="A1746" s="20">
        <v>362</v>
      </c>
      <c r="B1746" s="20" t="s">
        <v>4320</v>
      </c>
      <c r="C1746" s="20"/>
      <c r="D1746" s="20" t="s">
        <v>9</v>
      </c>
      <c r="E1746" s="19" t="str">
        <f>VLOOKUP(D1746,'لیست پرسنل'!$B$2:$E$1020,3,FALSE)</f>
        <v>فکورصنعت</v>
      </c>
      <c r="F1746" s="19" t="str">
        <f>VLOOKUP(D1746,'لیست پرسنل'!$B$2:$E$1020,4,FALSE)</f>
        <v>کنترل پروژه</v>
      </c>
      <c r="G1746" s="127">
        <f>VLOOKUP(D1746,'لیست پرسنل'!$B$2:$F$1020,2,FALSE)</f>
        <v>5020</v>
      </c>
      <c r="H1746" s="126" t="s">
        <v>6460</v>
      </c>
      <c r="I1746" s="128"/>
      <c r="J1746" s="128" t="s">
        <v>3480</v>
      </c>
      <c r="K1746" s="135" t="s">
        <v>6467</v>
      </c>
      <c r="L1746" s="153" t="s">
        <v>6463</v>
      </c>
      <c r="M1746" s="126" t="s">
        <v>291</v>
      </c>
      <c r="N1746" s="108"/>
      <c r="O1746" s="44" t="s">
        <v>6468</v>
      </c>
      <c r="P1746" s="20"/>
      <c r="Q1746" s="20"/>
    </row>
    <row r="1747" spans="1:17" ht="24.9" customHeight="1">
      <c r="A1747" s="20">
        <v>362</v>
      </c>
      <c r="B1747" s="20" t="s">
        <v>4320</v>
      </c>
      <c r="C1747" s="20"/>
      <c r="D1747" s="20" t="s">
        <v>9</v>
      </c>
      <c r="E1747" s="19" t="str">
        <f>VLOOKUP(D1747,'لیست پرسنل'!$B$2:$E$1020,3,FALSE)</f>
        <v>فکورصنعت</v>
      </c>
      <c r="F1747" s="19" t="str">
        <f>VLOOKUP(D1747,'لیست پرسنل'!$B$2:$E$1020,4,FALSE)</f>
        <v>کنترل پروژه</v>
      </c>
      <c r="G1747" s="127">
        <f>VLOOKUP(D1747,'لیست پرسنل'!$B$2:$F$1020,2,FALSE)</f>
        <v>5020</v>
      </c>
      <c r="H1747" s="126" t="s">
        <v>6460</v>
      </c>
      <c r="I1747" s="128"/>
      <c r="J1747" s="128" t="s">
        <v>3480</v>
      </c>
      <c r="K1747" s="135" t="s">
        <v>6467</v>
      </c>
      <c r="L1747" s="135" t="s">
        <v>6464</v>
      </c>
      <c r="M1747" s="126" t="s">
        <v>291</v>
      </c>
      <c r="N1747" s="108"/>
      <c r="O1747" s="44" t="s">
        <v>6468</v>
      </c>
      <c r="P1747" s="20"/>
      <c r="Q1747" s="20"/>
    </row>
    <row r="1748" spans="1:17" ht="24.9" customHeight="1">
      <c r="A1748" s="20">
        <v>362</v>
      </c>
      <c r="B1748" s="20" t="s">
        <v>4320</v>
      </c>
      <c r="C1748" s="20"/>
      <c r="D1748" s="20" t="s">
        <v>9</v>
      </c>
      <c r="E1748" s="19" t="str">
        <f>VLOOKUP(D1748,'لیست پرسنل'!$B$2:$E$1020,3,FALSE)</f>
        <v>فکورصنعت</v>
      </c>
      <c r="F1748" s="19" t="str">
        <f>VLOOKUP(D1748,'لیست پرسنل'!$B$2:$E$1020,4,FALSE)</f>
        <v>کنترل پروژه</v>
      </c>
      <c r="G1748" s="127">
        <f>VLOOKUP(D1748,'لیست پرسنل'!$B$2:$F$1020,2,FALSE)</f>
        <v>5020</v>
      </c>
      <c r="H1748" s="126" t="s">
        <v>6460</v>
      </c>
      <c r="I1748" s="128"/>
      <c r="J1748" s="128" t="s">
        <v>3480</v>
      </c>
      <c r="K1748" s="135" t="s">
        <v>6467</v>
      </c>
      <c r="L1748" s="153" t="s">
        <v>6465</v>
      </c>
      <c r="M1748" s="126" t="s">
        <v>291</v>
      </c>
      <c r="N1748" s="108"/>
      <c r="O1748" s="44" t="s">
        <v>6468</v>
      </c>
      <c r="P1748" s="20"/>
      <c r="Q1748" s="20"/>
    </row>
    <row r="1749" spans="1:17" ht="24.9" customHeight="1">
      <c r="A1749" s="20">
        <v>362</v>
      </c>
      <c r="B1749" s="20" t="s">
        <v>4320</v>
      </c>
      <c r="C1749" s="20"/>
      <c r="D1749" s="20" t="s">
        <v>9</v>
      </c>
      <c r="E1749" s="19" t="str">
        <f>VLOOKUP(D1749,'لیست پرسنل'!$B$2:$E$1020,3,FALSE)</f>
        <v>فکورصنعت</v>
      </c>
      <c r="F1749" s="19" t="str">
        <f>VLOOKUP(D1749,'لیست پرسنل'!$B$2:$E$1020,4,FALSE)</f>
        <v>کنترل پروژه</v>
      </c>
      <c r="G1749" s="127">
        <f>VLOOKUP(D1749,'لیست پرسنل'!$B$2:$F$1020,2,FALSE)</f>
        <v>5020</v>
      </c>
      <c r="H1749" s="126" t="s">
        <v>6460</v>
      </c>
      <c r="I1749" s="128"/>
      <c r="J1749" s="128" t="s">
        <v>3476</v>
      </c>
      <c r="K1749" s="135" t="s">
        <v>6466</v>
      </c>
      <c r="L1749" s="153" t="s">
        <v>6462</v>
      </c>
      <c r="M1749" s="126" t="s">
        <v>291</v>
      </c>
      <c r="N1749" s="108"/>
      <c r="O1749" s="44" t="s">
        <v>6468</v>
      </c>
      <c r="P1749" s="20"/>
      <c r="Q1749" s="20"/>
    </row>
    <row r="1750" spans="1:17" ht="24.9" customHeight="1">
      <c r="A1750" s="20">
        <v>362</v>
      </c>
      <c r="B1750" s="20" t="s">
        <v>4320</v>
      </c>
      <c r="C1750" s="19"/>
      <c r="D1750" s="19" t="s">
        <v>6998</v>
      </c>
      <c r="E1750" s="19" t="str">
        <f>VLOOKUP(D1750,'لیست پرسنل'!$B$2:$E$1020,3,FALSE)</f>
        <v>پارتاک</v>
      </c>
      <c r="F1750" s="19">
        <f>VLOOKUP(D1750,'لیست پرسنل'!$B$2:$E$1020,4,FALSE)</f>
        <v>0</v>
      </c>
      <c r="G1750" s="127">
        <f>VLOOKUP(D1750,'لیست پرسنل'!$B$2:$F$1020,2,FALSE)</f>
        <v>0</v>
      </c>
      <c r="H1750" s="127" t="s">
        <v>7000</v>
      </c>
      <c r="I1750" s="127"/>
      <c r="J1750" s="126" t="s">
        <v>368</v>
      </c>
      <c r="K1750" s="128" t="s">
        <v>2846</v>
      </c>
      <c r="L1750" s="128" t="s">
        <v>2430</v>
      </c>
      <c r="M1750" s="128">
        <v>628837</v>
      </c>
      <c r="N1750" s="108"/>
      <c r="O1750" s="20"/>
      <c r="P1750" s="20"/>
      <c r="Q1750" s="20"/>
    </row>
    <row r="1751" spans="1:17" ht="24.9" customHeight="1">
      <c r="A1751" s="20">
        <v>362</v>
      </c>
      <c r="B1751" s="20" t="s">
        <v>4320</v>
      </c>
      <c r="C1751" s="19"/>
      <c r="D1751" s="20" t="s">
        <v>5285</v>
      </c>
      <c r="E1751" s="19" t="str">
        <f>VLOOKUP(D1751,'لیست پرسنل'!$B$2:$E$1020,3,FALSE)</f>
        <v>فرزان فن اندیش</v>
      </c>
      <c r="F1751" s="19" t="str">
        <f>VLOOKUP(D1751,'لیست پرسنل'!$B$2:$E$1020,4,FALSE)</f>
        <v>هماهنگ کننده</v>
      </c>
      <c r="G1751" s="127" t="str">
        <f>VLOOKUP(D1751,'لیست پرسنل'!$B$2:$F$1020,2,FALSE)</f>
        <v>0</v>
      </c>
      <c r="H1751" s="126" t="s">
        <v>3381</v>
      </c>
      <c r="I1751" s="128"/>
      <c r="J1751" s="127" t="s">
        <v>5366</v>
      </c>
      <c r="K1751" s="128" t="s">
        <v>8235</v>
      </c>
      <c r="L1751" s="127" t="s">
        <v>644</v>
      </c>
      <c r="M1751" s="127">
        <v>614444</v>
      </c>
      <c r="N1751" s="108" t="s">
        <v>345</v>
      </c>
      <c r="O1751" s="81" t="s">
        <v>5022</v>
      </c>
      <c r="P1751" s="20"/>
      <c r="Q1751" s="20"/>
    </row>
    <row r="1752" spans="1:17" ht="24.9" customHeight="1">
      <c r="A1752" s="20">
        <v>362</v>
      </c>
      <c r="B1752" s="20" t="s">
        <v>4320</v>
      </c>
      <c r="C1752" s="20"/>
      <c r="D1752" s="20" t="s">
        <v>3494</v>
      </c>
      <c r="E1752" s="19" t="str">
        <f>VLOOKUP(D1752,'لیست پرسنل'!$B$2:$E$1020,3,FALSE)</f>
        <v>گهر کوشان سپهر</v>
      </c>
      <c r="F1752" s="19" t="str">
        <f>VLOOKUP(D1752,'لیست پرسنل'!$B$2:$E$1020,4,FALSE)</f>
        <v>نگهبان آهک</v>
      </c>
      <c r="G1752" s="127">
        <f>VLOOKUP(D1752,'لیست پرسنل'!$B$2:$F$1020,2,FALSE)</f>
        <v>20435</v>
      </c>
      <c r="H1752" s="128" t="s">
        <v>3495</v>
      </c>
      <c r="I1752" s="128"/>
      <c r="J1752" s="126" t="s">
        <v>368</v>
      </c>
      <c r="K1752" s="128" t="s">
        <v>2846</v>
      </c>
      <c r="L1752" s="127" t="s">
        <v>2403</v>
      </c>
      <c r="M1752" s="128">
        <v>628810</v>
      </c>
      <c r="N1752" s="108"/>
      <c r="O1752" s="20"/>
      <c r="P1752" s="20"/>
      <c r="Q1752" s="20"/>
    </row>
    <row r="1753" spans="1:17" ht="24.9" customHeight="1">
      <c r="A1753" s="20">
        <v>362</v>
      </c>
      <c r="B1753" s="20" t="s">
        <v>6246</v>
      </c>
      <c r="C1753" s="20"/>
      <c r="D1753" s="20" t="s">
        <v>48</v>
      </c>
      <c r="E1753" s="19" t="str">
        <f>VLOOKUP(D1753,'لیست پرسنل'!$B$2:$E$1020,3,FALSE)</f>
        <v>فکورصنعت</v>
      </c>
      <c r="F1753" s="19" t="str">
        <f>VLOOKUP(D1753,'لیست پرسنل'!$B$2:$E$1020,4,FALSE)</f>
        <v>سرپرست آی تی</v>
      </c>
      <c r="G1753" s="127">
        <f>VLOOKUP(D1753,'لیست پرسنل'!$B$2:$F$1020,2,FALSE)</f>
        <v>2210</v>
      </c>
      <c r="H1753" s="126" t="s">
        <v>6245</v>
      </c>
      <c r="I1753" s="128"/>
      <c r="J1753" s="128" t="s">
        <v>3481</v>
      </c>
      <c r="K1753" s="128" t="s">
        <v>6065</v>
      </c>
      <c r="L1753" s="150" t="s">
        <v>6068</v>
      </c>
      <c r="M1753" s="126" t="s">
        <v>291</v>
      </c>
      <c r="N1753" s="108"/>
      <c r="O1753" s="20" t="s">
        <v>6247</v>
      </c>
      <c r="P1753" s="20"/>
      <c r="Q1753" s="20"/>
    </row>
    <row r="1754" spans="1:17" ht="24.9" customHeight="1">
      <c r="A1754" s="20">
        <v>362</v>
      </c>
      <c r="B1754" s="20" t="s">
        <v>5101</v>
      </c>
      <c r="C1754" s="19" t="s">
        <v>4325</v>
      </c>
      <c r="D1754" s="19" t="s">
        <v>48</v>
      </c>
      <c r="E1754" s="19" t="str">
        <f>VLOOKUP(D1754,'لیست پرسنل'!$B$2:$E$1020,3,FALSE)</f>
        <v>فکورصنعت</v>
      </c>
      <c r="F1754" s="19" t="str">
        <f>VLOOKUP(D1754,'لیست پرسنل'!$B$2:$E$1020,4,FALSE)</f>
        <v>سرپرست آی تی</v>
      </c>
      <c r="G1754" s="127">
        <f>VLOOKUP(D1754,'لیست پرسنل'!$B$2:$F$1020,2,FALSE)</f>
        <v>2210</v>
      </c>
      <c r="H1754" s="151" t="s">
        <v>3381</v>
      </c>
      <c r="I1754" s="127"/>
      <c r="J1754" s="128" t="s">
        <v>2686</v>
      </c>
      <c r="K1754" s="128" t="s">
        <v>744</v>
      </c>
      <c r="L1754" s="151" t="s">
        <v>1421</v>
      </c>
      <c r="M1754" s="127">
        <v>609609</v>
      </c>
      <c r="N1754" s="109"/>
      <c r="O1754" s="19" t="s">
        <v>7941</v>
      </c>
      <c r="P1754" s="20" t="s">
        <v>4326</v>
      </c>
      <c r="Q1754" s="20" t="s">
        <v>7942</v>
      </c>
    </row>
    <row r="1755" spans="1:17" ht="24.9" customHeight="1">
      <c r="A1755" s="20">
        <v>362</v>
      </c>
      <c r="B1755" s="20" t="s">
        <v>5101</v>
      </c>
      <c r="C1755" s="20" t="s">
        <v>4325</v>
      </c>
      <c r="D1755" s="31" t="s">
        <v>48</v>
      </c>
      <c r="E1755" s="19" t="str">
        <f>VLOOKUP(D1755,'لیست پرسنل'!$B$2:$E$1020,3,FALSE)</f>
        <v>فکورصنعت</v>
      </c>
      <c r="F1755" s="19" t="str">
        <f>VLOOKUP(D1755,'لیست پرسنل'!$B$2:$E$1020,4,FALSE)</f>
        <v>سرپرست آی تی</v>
      </c>
      <c r="G1755" s="127">
        <f>VLOOKUP(D1755,'لیست پرسنل'!$B$2:$F$1020,2,FALSE)</f>
        <v>2210</v>
      </c>
      <c r="H1755" s="127" t="s">
        <v>8082</v>
      </c>
      <c r="I1755" s="128"/>
      <c r="J1755" s="128" t="s">
        <v>737</v>
      </c>
      <c r="K1755" s="128" t="s">
        <v>1638</v>
      </c>
      <c r="L1755" s="150" t="s">
        <v>544</v>
      </c>
      <c r="M1755" s="128">
        <v>613502</v>
      </c>
      <c r="N1755" s="108"/>
      <c r="O1755" s="20" t="s">
        <v>5635</v>
      </c>
      <c r="P1755" s="20"/>
      <c r="Q1755" s="20"/>
    </row>
    <row r="1756" spans="1:17" ht="24.9" customHeight="1">
      <c r="A1756" s="20">
        <v>362</v>
      </c>
      <c r="B1756" s="20" t="s">
        <v>5101</v>
      </c>
      <c r="C1756" s="19" t="s">
        <v>4325</v>
      </c>
      <c r="D1756" s="20" t="s">
        <v>48</v>
      </c>
      <c r="E1756" s="19" t="str">
        <f>VLOOKUP(D1756,'لیست پرسنل'!$B$2:$E$1020,3,FALSE)</f>
        <v>فکورصنعت</v>
      </c>
      <c r="F1756" s="19" t="str">
        <f>VLOOKUP(D1756,'لیست پرسنل'!$B$2:$E$1020,4,FALSE)</f>
        <v>سرپرست آی تی</v>
      </c>
      <c r="G1756" s="127">
        <f>VLOOKUP(D1756,'لیست پرسنل'!$B$2:$F$1020,2,FALSE)</f>
        <v>2210</v>
      </c>
      <c r="H1756" s="127" t="s">
        <v>8082</v>
      </c>
      <c r="I1756" s="128"/>
      <c r="J1756" s="128" t="s">
        <v>2686</v>
      </c>
      <c r="K1756" s="175" t="s">
        <v>320</v>
      </c>
      <c r="L1756" s="151" t="s">
        <v>1332</v>
      </c>
      <c r="M1756" s="128">
        <v>605733</v>
      </c>
      <c r="N1756" s="108"/>
      <c r="O1756" s="20"/>
      <c r="P1756" s="20"/>
      <c r="Q1756" s="20"/>
    </row>
    <row r="1757" spans="1:17" ht="24.9" customHeight="1">
      <c r="A1757" s="20">
        <v>362</v>
      </c>
      <c r="B1757" s="20" t="s">
        <v>4357</v>
      </c>
      <c r="C1757" s="19"/>
      <c r="D1757" s="20" t="s">
        <v>48</v>
      </c>
      <c r="E1757" s="19" t="str">
        <f>VLOOKUP(D1757,'لیست پرسنل'!$B$2:$E$1020,3,FALSE)</f>
        <v>فکورصنعت</v>
      </c>
      <c r="F1757" s="19" t="str">
        <f>VLOOKUP(D1757,'لیست پرسنل'!$B$2:$E$1020,4,FALSE)</f>
        <v>سرپرست آی تی</v>
      </c>
      <c r="G1757" s="127">
        <f>VLOOKUP(D1757,'لیست پرسنل'!$B$2:$F$1020,2,FALSE)</f>
        <v>2210</v>
      </c>
      <c r="H1757" s="126" t="s">
        <v>4289</v>
      </c>
      <c r="I1757" s="128"/>
      <c r="J1757" s="128" t="s">
        <v>3476</v>
      </c>
      <c r="K1757" s="128" t="s">
        <v>2057</v>
      </c>
      <c r="L1757" s="153" t="s">
        <v>2061</v>
      </c>
      <c r="M1757" s="127">
        <v>628106</v>
      </c>
      <c r="N1757" s="108"/>
      <c r="O1757" s="20" t="s">
        <v>705</v>
      </c>
      <c r="P1757" s="20"/>
      <c r="Q1757" s="20"/>
    </row>
    <row r="1758" spans="1:17" ht="24.9" customHeight="1">
      <c r="A1758" s="20">
        <v>362</v>
      </c>
      <c r="B1758" s="20" t="s">
        <v>4357</v>
      </c>
      <c r="C1758" s="19"/>
      <c r="D1758" s="20" t="s">
        <v>48</v>
      </c>
      <c r="E1758" s="19" t="str">
        <f>VLOOKUP(D1758,'لیست پرسنل'!$B$2:$E$1020,3,FALSE)</f>
        <v>فکورصنعت</v>
      </c>
      <c r="F1758" s="19" t="str">
        <f>VLOOKUP(D1758,'لیست پرسنل'!$B$2:$E$1020,4,FALSE)</f>
        <v>سرپرست آی تی</v>
      </c>
      <c r="G1758" s="127">
        <f>VLOOKUP(D1758,'لیست پرسنل'!$B$2:$F$1020,2,FALSE)</f>
        <v>2210</v>
      </c>
      <c r="H1758" s="126" t="s">
        <v>4289</v>
      </c>
      <c r="I1758" s="128"/>
      <c r="J1758" s="128" t="s">
        <v>3476</v>
      </c>
      <c r="K1758" s="128" t="s">
        <v>2057</v>
      </c>
      <c r="L1758" s="153" t="s">
        <v>2062</v>
      </c>
      <c r="M1758" s="127">
        <v>628119</v>
      </c>
      <c r="N1758" s="108"/>
      <c r="O1758" s="20" t="s">
        <v>705</v>
      </c>
      <c r="P1758" s="20"/>
      <c r="Q1758" s="20"/>
    </row>
    <row r="1759" spans="1:17" ht="24.9" customHeight="1">
      <c r="A1759" s="20">
        <v>362</v>
      </c>
      <c r="B1759" s="20" t="s">
        <v>4357</v>
      </c>
      <c r="C1759" s="20"/>
      <c r="D1759" s="19" t="s">
        <v>48</v>
      </c>
      <c r="E1759" s="19" t="str">
        <f>VLOOKUP(D1759,'لیست پرسنل'!$B$2:$E$1020,3,FALSE)</f>
        <v>فکورصنعت</v>
      </c>
      <c r="F1759" s="19" t="str">
        <f>VLOOKUP(D1759,'لیست پرسنل'!$B$2:$E$1020,4,FALSE)</f>
        <v>سرپرست آی تی</v>
      </c>
      <c r="G1759" s="127">
        <f>VLOOKUP(D1759,'لیست پرسنل'!$B$2:$F$1020,2,FALSE)</f>
        <v>2210</v>
      </c>
      <c r="H1759" s="128" t="s">
        <v>4250</v>
      </c>
      <c r="I1759" s="128"/>
      <c r="J1759" s="128" t="s">
        <v>571</v>
      </c>
      <c r="K1759" s="128" t="s">
        <v>571</v>
      </c>
      <c r="L1759" s="128"/>
      <c r="M1759" s="127">
        <v>606508</v>
      </c>
      <c r="N1759" s="109"/>
      <c r="O1759" s="20"/>
      <c r="P1759" s="20"/>
      <c r="Q1759" s="20"/>
    </row>
    <row r="1760" spans="1:17" ht="24.9" customHeight="1">
      <c r="A1760" s="20">
        <v>362</v>
      </c>
      <c r="B1760" s="20" t="s">
        <v>4357</v>
      </c>
      <c r="C1760" s="20"/>
      <c r="D1760" s="20" t="s">
        <v>48</v>
      </c>
      <c r="E1760" s="19" t="str">
        <f>VLOOKUP(D1760,'لیست پرسنل'!$B$2:$E$1020,3,FALSE)</f>
        <v>فکورصنعت</v>
      </c>
      <c r="F1760" s="19" t="str">
        <f>VLOOKUP(D1760,'لیست پرسنل'!$B$2:$E$1020,4,FALSE)</f>
        <v>سرپرست آی تی</v>
      </c>
      <c r="G1760" s="127">
        <f>VLOOKUP(D1760,'لیست پرسنل'!$B$2:$F$1020,2,FALSE)</f>
        <v>2210</v>
      </c>
      <c r="H1760" s="126" t="s">
        <v>5972</v>
      </c>
      <c r="I1760" s="128"/>
      <c r="J1760" s="128" t="s">
        <v>2686</v>
      </c>
      <c r="K1760" s="135" t="s">
        <v>3161</v>
      </c>
      <c r="L1760" s="154" t="s">
        <v>1711</v>
      </c>
      <c r="M1760" s="131">
        <v>615521</v>
      </c>
      <c r="N1760" s="108"/>
      <c r="O1760" s="20" t="s">
        <v>705</v>
      </c>
      <c r="P1760" s="20"/>
      <c r="Q1760" s="20"/>
    </row>
    <row r="1761" spans="1:17" ht="24.9" customHeight="1">
      <c r="A1761" s="20">
        <v>362</v>
      </c>
      <c r="B1761" s="20" t="s">
        <v>4357</v>
      </c>
      <c r="C1761" s="20"/>
      <c r="D1761" s="20" t="s">
        <v>48</v>
      </c>
      <c r="E1761" s="19" t="str">
        <f>VLOOKUP(D1761,'لیست پرسنل'!$B$2:$E$1020,3,FALSE)</f>
        <v>فکورصنعت</v>
      </c>
      <c r="F1761" s="19" t="str">
        <f>VLOOKUP(D1761,'لیست پرسنل'!$B$2:$E$1020,4,FALSE)</f>
        <v>سرپرست آی تی</v>
      </c>
      <c r="G1761" s="127">
        <f>VLOOKUP(D1761,'لیست پرسنل'!$B$2:$F$1020,2,FALSE)</f>
        <v>2210</v>
      </c>
      <c r="H1761" s="127" t="s">
        <v>8061</v>
      </c>
      <c r="I1761" s="127"/>
      <c r="J1761" s="128" t="s">
        <v>3145</v>
      </c>
      <c r="K1761" s="127" t="s">
        <v>8062</v>
      </c>
      <c r="L1761" s="127" t="s">
        <v>8063</v>
      </c>
      <c r="M1761" s="127">
        <v>636619</v>
      </c>
      <c r="N1761" s="109"/>
      <c r="O1761" s="20"/>
      <c r="P1761" s="20"/>
      <c r="Q1761" s="20"/>
    </row>
    <row r="1762" spans="1:17" ht="24.9" customHeight="1">
      <c r="A1762" s="20">
        <v>362</v>
      </c>
      <c r="B1762" s="20" t="s">
        <v>4357</v>
      </c>
      <c r="C1762" s="20"/>
      <c r="D1762" s="20" t="s">
        <v>48</v>
      </c>
      <c r="E1762" s="19" t="str">
        <f>VLOOKUP(D1762,'لیست پرسنل'!$B$2:$E$1020,3,FALSE)</f>
        <v>فکورصنعت</v>
      </c>
      <c r="F1762" s="19" t="str">
        <f>VLOOKUP(D1762,'لیست پرسنل'!$B$2:$E$1020,4,FALSE)</f>
        <v>سرپرست آی تی</v>
      </c>
      <c r="G1762" s="127">
        <f>VLOOKUP(D1762,'لیست پرسنل'!$B$2:$F$1020,2,FALSE)</f>
        <v>2210</v>
      </c>
      <c r="H1762" s="127" t="s">
        <v>8061</v>
      </c>
      <c r="I1762" s="127"/>
      <c r="J1762" s="128" t="s">
        <v>8064</v>
      </c>
      <c r="K1762" s="127" t="s">
        <v>3277</v>
      </c>
      <c r="L1762" s="127" t="s">
        <v>8065</v>
      </c>
      <c r="M1762" s="127" t="s">
        <v>291</v>
      </c>
      <c r="N1762" s="109"/>
      <c r="O1762" s="20"/>
      <c r="P1762" s="20"/>
      <c r="Q1762" s="20"/>
    </row>
    <row r="1763" spans="1:17" ht="24.9" customHeight="1">
      <c r="A1763" s="20">
        <v>362</v>
      </c>
      <c r="B1763" s="20" t="s">
        <v>4357</v>
      </c>
      <c r="C1763" s="20"/>
      <c r="D1763" s="20" t="s">
        <v>48</v>
      </c>
      <c r="E1763" s="19" t="str">
        <f>VLOOKUP(D1763,'لیست پرسنل'!$B$2:$E$1020,3,FALSE)</f>
        <v>فکورصنعت</v>
      </c>
      <c r="F1763" s="19" t="str">
        <f>VLOOKUP(D1763,'لیست پرسنل'!$B$2:$E$1020,4,FALSE)</f>
        <v>سرپرست آی تی</v>
      </c>
      <c r="G1763" s="127">
        <f>VLOOKUP(D1763,'لیست پرسنل'!$B$2:$F$1020,2,FALSE)</f>
        <v>2210</v>
      </c>
      <c r="H1763" s="126" t="s">
        <v>3482</v>
      </c>
      <c r="I1763" s="128"/>
      <c r="J1763" s="128" t="s">
        <v>3322</v>
      </c>
      <c r="K1763" s="128" t="s">
        <v>5604</v>
      </c>
      <c r="L1763" s="128" t="s">
        <v>5615</v>
      </c>
      <c r="M1763" s="126" t="s">
        <v>291</v>
      </c>
      <c r="N1763" s="108"/>
      <c r="O1763" s="19" t="s">
        <v>5616</v>
      </c>
      <c r="P1763" s="20"/>
      <c r="Q1763" s="20"/>
    </row>
    <row r="1764" spans="1:17" ht="24.9" customHeight="1">
      <c r="A1764" s="20">
        <v>362</v>
      </c>
      <c r="B1764" s="20" t="s">
        <v>4357</v>
      </c>
      <c r="C1764" s="20"/>
      <c r="D1764" s="20" t="s">
        <v>48</v>
      </c>
      <c r="E1764" s="19" t="str">
        <f>VLOOKUP(D1764,'لیست پرسنل'!$B$2:$E$1020,3,FALSE)</f>
        <v>فکورصنعت</v>
      </c>
      <c r="F1764" s="19" t="str">
        <f>VLOOKUP(D1764,'لیست پرسنل'!$B$2:$E$1020,4,FALSE)</f>
        <v>سرپرست آی تی</v>
      </c>
      <c r="G1764" s="127">
        <f>VLOOKUP(D1764,'لیست پرسنل'!$B$2:$F$1020,2,FALSE)</f>
        <v>2210</v>
      </c>
      <c r="H1764" s="126" t="s">
        <v>3482</v>
      </c>
      <c r="I1764" s="128"/>
      <c r="J1764" s="128" t="s">
        <v>3322</v>
      </c>
      <c r="K1764" s="151" t="s">
        <v>5152</v>
      </c>
      <c r="L1764" s="151" t="s">
        <v>841</v>
      </c>
      <c r="M1764" s="126" t="s">
        <v>291</v>
      </c>
      <c r="N1764" s="108"/>
      <c r="O1764" s="20" t="s">
        <v>611</v>
      </c>
      <c r="P1764" s="20"/>
      <c r="Q1764" s="20"/>
    </row>
    <row r="1765" spans="1:17" ht="24.9" customHeight="1">
      <c r="A1765" s="20">
        <v>362</v>
      </c>
      <c r="B1765" s="20" t="s">
        <v>4357</v>
      </c>
      <c r="C1765" s="20"/>
      <c r="D1765" s="19" t="s">
        <v>48</v>
      </c>
      <c r="E1765" s="19" t="str">
        <f>VLOOKUP(D1765,'لیست پرسنل'!$B$2:$E$1020,3,FALSE)</f>
        <v>فکورصنعت</v>
      </c>
      <c r="F1765" s="19" t="str">
        <f>VLOOKUP(D1765,'لیست پرسنل'!$B$2:$E$1020,4,FALSE)</f>
        <v>سرپرست آی تی</v>
      </c>
      <c r="G1765" s="127">
        <f>VLOOKUP(D1765,'لیست پرسنل'!$B$2:$F$1020,2,FALSE)</f>
        <v>2210</v>
      </c>
      <c r="H1765" s="128" t="s">
        <v>3482</v>
      </c>
      <c r="I1765" s="128"/>
      <c r="J1765" s="128" t="s">
        <v>3145</v>
      </c>
      <c r="K1765" s="128" t="s">
        <v>1858</v>
      </c>
      <c r="L1765" s="128" t="s">
        <v>1857</v>
      </c>
      <c r="M1765" s="128">
        <v>625692</v>
      </c>
      <c r="N1765" s="108"/>
      <c r="O1765" s="20"/>
      <c r="P1765" s="20"/>
      <c r="Q1765" s="20"/>
    </row>
    <row r="1766" spans="1:17" ht="24.9" customHeight="1">
      <c r="A1766" s="20">
        <v>362</v>
      </c>
      <c r="B1766" s="20" t="s">
        <v>4357</v>
      </c>
      <c r="C1766" s="20"/>
      <c r="D1766" s="19" t="s">
        <v>48</v>
      </c>
      <c r="E1766" s="19" t="str">
        <f>VLOOKUP(D1766,'لیست پرسنل'!$B$2:$E$1020,3,FALSE)</f>
        <v>فکورصنعت</v>
      </c>
      <c r="F1766" s="19" t="str">
        <f>VLOOKUP(D1766,'لیست پرسنل'!$B$2:$E$1020,4,FALSE)</f>
        <v>سرپرست آی تی</v>
      </c>
      <c r="G1766" s="127">
        <f>VLOOKUP(D1766,'لیست پرسنل'!$B$2:$F$1020,2,FALSE)</f>
        <v>2210</v>
      </c>
      <c r="H1766" s="128" t="s">
        <v>3482</v>
      </c>
      <c r="I1766" s="128"/>
      <c r="J1766" s="128" t="s">
        <v>3507</v>
      </c>
      <c r="K1766" s="128" t="s">
        <v>7087</v>
      </c>
      <c r="L1766" s="128">
        <v>16009</v>
      </c>
      <c r="M1766" s="128" t="s">
        <v>291</v>
      </c>
      <c r="N1766" s="108"/>
      <c r="O1766" s="20"/>
      <c r="P1766" s="20"/>
      <c r="Q1766" s="20"/>
    </row>
    <row r="1767" spans="1:17" ht="24.9" customHeight="1">
      <c r="A1767" s="20">
        <v>362</v>
      </c>
      <c r="B1767" s="20" t="s">
        <v>4357</v>
      </c>
      <c r="C1767" s="20"/>
      <c r="D1767" s="20" t="s">
        <v>48</v>
      </c>
      <c r="E1767" s="19" t="str">
        <f>VLOOKUP(D1767,'لیست پرسنل'!$B$2:$E$1020,3,FALSE)</f>
        <v>فکورصنعت</v>
      </c>
      <c r="F1767" s="19" t="str">
        <f>VLOOKUP(D1767,'لیست پرسنل'!$B$2:$E$1020,4,FALSE)</f>
        <v>سرپرست آی تی</v>
      </c>
      <c r="G1767" s="127">
        <f>VLOOKUP(D1767,'لیست پرسنل'!$B$2:$F$1020,2,FALSE)</f>
        <v>2210</v>
      </c>
      <c r="H1767" s="126" t="s">
        <v>3482</v>
      </c>
      <c r="I1767" s="128"/>
      <c r="J1767" s="126" t="s">
        <v>368</v>
      </c>
      <c r="K1767" s="135" t="s">
        <v>8248</v>
      </c>
      <c r="L1767" s="127" t="s">
        <v>2413</v>
      </c>
      <c r="M1767" s="128">
        <v>628820</v>
      </c>
      <c r="N1767" s="108"/>
      <c r="O1767" s="20" t="s">
        <v>705</v>
      </c>
      <c r="P1767" s="20"/>
      <c r="Q1767" s="20"/>
    </row>
    <row r="1768" spans="1:17" ht="24.9" customHeight="1">
      <c r="A1768" s="20">
        <v>362</v>
      </c>
      <c r="B1768" s="20" t="s">
        <v>4357</v>
      </c>
      <c r="C1768" s="20"/>
      <c r="D1768" s="19" t="s">
        <v>48</v>
      </c>
      <c r="E1768" s="19" t="str">
        <f>VLOOKUP(D1768,'لیست پرسنل'!$B$2:$E$1020,3,FALSE)</f>
        <v>فکورصنعت</v>
      </c>
      <c r="F1768" s="19" t="str">
        <f>VLOOKUP(D1768,'لیست پرسنل'!$B$2:$E$1020,4,FALSE)</f>
        <v>سرپرست آی تی</v>
      </c>
      <c r="G1768" s="127">
        <f>VLOOKUP(D1768,'لیست پرسنل'!$B$2:$F$1020,2,FALSE)</f>
        <v>2210</v>
      </c>
      <c r="H1768" s="128" t="s">
        <v>3482</v>
      </c>
      <c r="I1768" s="128"/>
      <c r="J1768" s="128" t="s">
        <v>3483</v>
      </c>
      <c r="K1768" s="128" t="s">
        <v>3117</v>
      </c>
      <c r="L1768" s="128"/>
      <c r="M1768" s="128">
        <v>626706</v>
      </c>
      <c r="N1768" s="108"/>
      <c r="O1768" s="20"/>
      <c r="P1768" s="20"/>
      <c r="Q1768" s="20"/>
    </row>
    <row r="1769" spans="1:17" ht="24.9" customHeight="1">
      <c r="A1769" s="20">
        <v>362</v>
      </c>
      <c r="B1769" s="20" t="s">
        <v>4357</v>
      </c>
      <c r="C1769" s="20"/>
      <c r="D1769" s="20" t="s">
        <v>48</v>
      </c>
      <c r="E1769" s="19" t="str">
        <f>VLOOKUP(D1769,'لیست پرسنل'!$B$2:$E$1020,3,FALSE)</f>
        <v>فکورصنعت</v>
      </c>
      <c r="F1769" s="19" t="str">
        <f>VLOOKUP(D1769,'لیست پرسنل'!$B$2:$E$1020,4,FALSE)</f>
        <v>سرپرست آی تی</v>
      </c>
      <c r="G1769" s="127">
        <f>VLOOKUP(D1769,'لیست پرسنل'!$B$2:$F$1020,2,FALSE)</f>
        <v>2210</v>
      </c>
      <c r="H1769" s="165" t="s">
        <v>3482</v>
      </c>
      <c r="I1769" s="128"/>
      <c r="J1769" s="128" t="s">
        <v>3285</v>
      </c>
      <c r="K1769" s="128" t="s">
        <v>1358</v>
      </c>
      <c r="L1769" s="128" t="s">
        <v>5046</v>
      </c>
      <c r="M1769" s="127" t="s">
        <v>291</v>
      </c>
      <c r="N1769" s="108"/>
      <c r="O1769" s="20"/>
      <c r="P1769" s="20"/>
      <c r="Q1769" s="20"/>
    </row>
    <row r="1770" spans="1:17" ht="24.9" customHeight="1">
      <c r="A1770" s="20">
        <v>362</v>
      </c>
      <c r="B1770" s="20" t="s">
        <v>4357</v>
      </c>
      <c r="C1770" s="20"/>
      <c r="D1770" s="19" t="s">
        <v>48</v>
      </c>
      <c r="E1770" s="19" t="str">
        <f>VLOOKUP(D1770,'لیست پرسنل'!$B$2:$E$1020,3,FALSE)</f>
        <v>فکورصنعت</v>
      </c>
      <c r="F1770" s="19" t="str">
        <f>VLOOKUP(D1770,'لیست پرسنل'!$B$2:$E$1020,4,FALSE)</f>
        <v>سرپرست آی تی</v>
      </c>
      <c r="G1770" s="127">
        <f>VLOOKUP(D1770,'لیست پرسنل'!$B$2:$F$1020,2,FALSE)</f>
        <v>2210</v>
      </c>
      <c r="H1770" s="128" t="s">
        <v>3482</v>
      </c>
      <c r="I1770" s="128"/>
      <c r="J1770" s="128" t="s">
        <v>2886</v>
      </c>
      <c r="K1770" s="128" t="s">
        <v>3118</v>
      </c>
      <c r="L1770" s="128"/>
      <c r="M1770" s="128">
        <v>625941</v>
      </c>
      <c r="N1770" s="108"/>
      <c r="O1770" s="20"/>
      <c r="P1770" s="20"/>
      <c r="Q1770" s="20"/>
    </row>
    <row r="1771" spans="1:17" ht="24.9" customHeight="1">
      <c r="A1771" s="20">
        <v>362</v>
      </c>
      <c r="B1771" s="20" t="s">
        <v>4357</v>
      </c>
      <c r="C1771" s="20"/>
      <c r="D1771" s="20" t="s">
        <v>48</v>
      </c>
      <c r="E1771" s="19" t="str">
        <f>VLOOKUP(D1771,'لیست پرسنل'!$B$2:$E$1020,3,FALSE)</f>
        <v>فکورصنعت</v>
      </c>
      <c r="F1771" s="19" t="str">
        <f>VLOOKUP(D1771,'لیست پرسنل'!$B$2:$E$1020,4,FALSE)</f>
        <v>سرپرست آی تی</v>
      </c>
      <c r="G1771" s="127">
        <f>VLOOKUP(D1771,'لیست پرسنل'!$B$2:$F$1020,2,FALSE)</f>
        <v>2210</v>
      </c>
      <c r="H1771" s="127" t="s">
        <v>3482</v>
      </c>
      <c r="I1771" s="127"/>
      <c r="J1771" s="128" t="s">
        <v>2886</v>
      </c>
      <c r="K1771" s="127" t="s">
        <v>8127</v>
      </c>
      <c r="L1771" s="127" t="s">
        <v>8128</v>
      </c>
      <c r="M1771" s="127">
        <v>636630</v>
      </c>
      <c r="N1771" s="109"/>
      <c r="O1771" s="20"/>
      <c r="P1771" s="20"/>
      <c r="Q1771" s="20"/>
    </row>
    <row r="1772" spans="1:17" ht="24.9" customHeight="1">
      <c r="A1772" s="20">
        <v>362</v>
      </c>
      <c r="B1772" s="20" t="s">
        <v>4357</v>
      </c>
      <c r="C1772" s="20"/>
      <c r="D1772" s="19" t="s">
        <v>48</v>
      </c>
      <c r="E1772" s="19" t="str">
        <f>VLOOKUP(D1772,'لیست پرسنل'!$B$2:$E$1020,3,FALSE)</f>
        <v>فکورصنعت</v>
      </c>
      <c r="F1772" s="19" t="str">
        <f>VLOOKUP(D1772,'لیست پرسنل'!$B$2:$E$1020,4,FALSE)</f>
        <v>سرپرست آی تی</v>
      </c>
      <c r="G1772" s="127">
        <f>VLOOKUP(D1772,'لیست پرسنل'!$B$2:$F$1020,2,FALSE)</f>
        <v>2210</v>
      </c>
      <c r="H1772" s="128" t="s">
        <v>3482</v>
      </c>
      <c r="I1772" s="128"/>
      <c r="J1772" s="128" t="s">
        <v>2886</v>
      </c>
      <c r="K1772" s="128" t="s">
        <v>7085</v>
      </c>
      <c r="L1772" s="128" t="s">
        <v>7086</v>
      </c>
      <c r="M1772" s="128" t="s">
        <v>291</v>
      </c>
      <c r="N1772" s="108"/>
      <c r="O1772" s="20"/>
      <c r="P1772" s="20"/>
      <c r="Q1772" s="20"/>
    </row>
    <row r="1773" spans="1:17" ht="24.9" customHeight="1">
      <c r="A1773" s="20">
        <v>362</v>
      </c>
      <c r="B1773" s="20" t="s">
        <v>4357</v>
      </c>
      <c r="C1773" s="20"/>
      <c r="D1773" s="19" t="s">
        <v>48</v>
      </c>
      <c r="E1773" s="19" t="str">
        <f>VLOOKUP(D1773,'لیست پرسنل'!$B$2:$E$1020,3,FALSE)</f>
        <v>فکورصنعت</v>
      </c>
      <c r="F1773" s="19" t="str">
        <f>VLOOKUP(D1773,'لیست پرسنل'!$B$2:$E$1020,4,FALSE)</f>
        <v>سرپرست آی تی</v>
      </c>
      <c r="G1773" s="127">
        <f>VLOOKUP(D1773,'لیست پرسنل'!$B$2:$F$1020,2,FALSE)</f>
        <v>2210</v>
      </c>
      <c r="H1773" s="128" t="s">
        <v>3482</v>
      </c>
      <c r="I1773" s="128"/>
      <c r="J1773" s="128" t="s">
        <v>2886</v>
      </c>
      <c r="K1773" s="128" t="s">
        <v>3118</v>
      </c>
      <c r="L1773" s="128"/>
      <c r="M1773" s="127" t="s">
        <v>291</v>
      </c>
      <c r="N1773" s="109"/>
      <c r="O1773" s="20"/>
      <c r="P1773" s="20"/>
      <c r="Q1773" s="20"/>
    </row>
    <row r="1774" spans="1:17" ht="24.9" customHeight="1">
      <c r="A1774" s="20">
        <v>362</v>
      </c>
      <c r="B1774" s="20" t="s">
        <v>4357</v>
      </c>
      <c r="C1774" s="20"/>
      <c r="D1774" s="20" t="s">
        <v>48</v>
      </c>
      <c r="E1774" s="19" t="str">
        <f>VLOOKUP(D1774,'لیست پرسنل'!$B$2:$E$1020,3,FALSE)</f>
        <v>فکورصنعت</v>
      </c>
      <c r="F1774" s="19" t="str">
        <f>VLOOKUP(D1774,'لیست پرسنل'!$B$2:$E$1020,4,FALSE)</f>
        <v>سرپرست آی تی</v>
      </c>
      <c r="G1774" s="127">
        <f>VLOOKUP(D1774,'لیست پرسنل'!$B$2:$F$1020,2,FALSE)</f>
        <v>2210</v>
      </c>
      <c r="H1774" s="126" t="s">
        <v>3482</v>
      </c>
      <c r="I1774" s="128"/>
      <c r="J1774" s="128" t="s">
        <v>3476</v>
      </c>
      <c r="K1774" s="128" t="s">
        <v>5579</v>
      </c>
      <c r="L1774" s="128" t="s">
        <v>5582</v>
      </c>
      <c r="M1774" s="128">
        <v>631873</v>
      </c>
      <c r="N1774" s="108"/>
      <c r="O1774" s="20" t="s">
        <v>705</v>
      </c>
      <c r="P1774" s="20"/>
      <c r="Q1774" s="20"/>
    </row>
    <row r="1775" spans="1:17" ht="24.9" customHeight="1">
      <c r="A1775" s="20">
        <v>362</v>
      </c>
      <c r="B1775" s="20" t="s">
        <v>4357</v>
      </c>
      <c r="C1775" s="20"/>
      <c r="D1775" s="19" t="s">
        <v>48</v>
      </c>
      <c r="E1775" s="19" t="str">
        <f>VLOOKUP(D1775,'لیست پرسنل'!$B$2:$E$1020,3,FALSE)</f>
        <v>فکورصنعت</v>
      </c>
      <c r="F1775" s="19" t="str">
        <f>VLOOKUP(D1775,'لیست پرسنل'!$B$2:$E$1020,4,FALSE)</f>
        <v>سرپرست آی تی</v>
      </c>
      <c r="G1775" s="127">
        <f>VLOOKUP(D1775,'لیست پرسنل'!$B$2:$F$1020,2,FALSE)</f>
        <v>2210</v>
      </c>
      <c r="H1775" s="128" t="s">
        <v>3482</v>
      </c>
      <c r="I1775" s="128"/>
      <c r="J1775" s="128" t="s">
        <v>3476</v>
      </c>
      <c r="K1775" s="128" t="s">
        <v>5963</v>
      </c>
      <c r="L1775" s="128" t="s">
        <v>7377</v>
      </c>
      <c r="M1775" s="127">
        <v>631874</v>
      </c>
      <c r="N1775" s="109"/>
      <c r="O1775" s="20"/>
      <c r="P1775" s="20"/>
      <c r="Q1775" s="20"/>
    </row>
    <row r="1776" spans="1:17" ht="24.9" customHeight="1">
      <c r="A1776" s="20">
        <v>362</v>
      </c>
      <c r="B1776" s="20" t="s">
        <v>4357</v>
      </c>
      <c r="C1776" s="20"/>
      <c r="D1776" s="20" t="s">
        <v>48</v>
      </c>
      <c r="E1776" s="19" t="str">
        <f>VLOOKUP(D1776,'لیست پرسنل'!$B$2:$E$1020,3,FALSE)</f>
        <v>فکورصنعت</v>
      </c>
      <c r="F1776" s="19" t="str">
        <f>VLOOKUP(D1776,'لیست پرسنل'!$B$2:$E$1020,4,FALSE)</f>
        <v>سرپرست آی تی</v>
      </c>
      <c r="G1776" s="127">
        <f>VLOOKUP(D1776,'لیست پرسنل'!$B$2:$F$1020,2,FALSE)</f>
        <v>2210</v>
      </c>
      <c r="H1776" s="165" t="s">
        <v>3482</v>
      </c>
      <c r="I1776" s="128"/>
      <c r="J1776" s="128" t="s">
        <v>3476</v>
      </c>
      <c r="K1776" s="128" t="s">
        <v>5041</v>
      </c>
      <c r="L1776" s="128" t="s">
        <v>5042</v>
      </c>
      <c r="M1776" s="127" t="s">
        <v>291</v>
      </c>
      <c r="N1776" s="108"/>
      <c r="O1776" s="20"/>
      <c r="P1776" s="20"/>
      <c r="Q1776" s="20"/>
    </row>
    <row r="1777" spans="1:17" ht="24.9" customHeight="1">
      <c r="A1777" s="20">
        <v>362</v>
      </c>
      <c r="B1777" s="20" t="s">
        <v>4357</v>
      </c>
      <c r="C1777" s="20"/>
      <c r="D1777" s="20" t="s">
        <v>48</v>
      </c>
      <c r="E1777" s="19" t="str">
        <f>VLOOKUP(D1777,'لیست پرسنل'!$B$2:$E$1020,3,FALSE)</f>
        <v>فکورصنعت</v>
      </c>
      <c r="F1777" s="19" t="str">
        <f>VLOOKUP(D1777,'لیست پرسنل'!$B$2:$E$1020,4,FALSE)</f>
        <v>سرپرست آی تی</v>
      </c>
      <c r="G1777" s="127">
        <f>VLOOKUP(D1777,'لیست پرسنل'!$B$2:$F$1020,2,FALSE)</f>
        <v>2210</v>
      </c>
      <c r="H1777" s="165" t="s">
        <v>3482</v>
      </c>
      <c r="I1777" s="128"/>
      <c r="J1777" s="128" t="s">
        <v>3476</v>
      </c>
      <c r="K1777" s="128" t="s">
        <v>5043</v>
      </c>
      <c r="L1777" s="128" t="s">
        <v>5044</v>
      </c>
      <c r="M1777" s="127" t="s">
        <v>291</v>
      </c>
      <c r="N1777" s="108"/>
      <c r="O1777" s="20"/>
      <c r="P1777" s="20"/>
      <c r="Q1777" s="20"/>
    </row>
    <row r="1778" spans="1:17" ht="24.9" customHeight="1">
      <c r="A1778" s="185">
        <v>362</v>
      </c>
      <c r="B1778" s="185" t="s">
        <v>4357</v>
      </c>
      <c r="C1778" s="185"/>
      <c r="D1778" s="67" t="s">
        <v>48</v>
      </c>
      <c r="E1778" s="186" t="str">
        <f>VLOOKUP(D1778,'لیست پرسنل'!$B$2:$E$1020,3,FALSE)</f>
        <v>فکورصنعت</v>
      </c>
      <c r="F1778" s="186" t="str">
        <f>VLOOKUP(D1778,'لیست پرسنل'!$B$2:$E$1020,4,FALSE)</f>
        <v>سرپرست آی تی</v>
      </c>
      <c r="G1778" s="187">
        <f>VLOOKUP(D1778,'لیست پرسنل'!$B$2:$F$1020,2,FALSE)</f>
        <v>2210</v>
      </c>
      <c r="H1778" s="200" t="s">
        <v>3482</v>
      </c>
      <c r="I1778" s="194"/>
      <c r="J1778" s="188" t="s">
        <v>3476</v>
      </c>
      <c r="K1778" s="188" t="s">
        <v>5043</v>
      </c>
      <c r="L1778" s="188" t="s">
        <v>5045</v>
      </c>
      <c r="M1778" s="190" t="s">
        <v>291</v>
      </c>
      <c r="N1778" s="198"/>
      <c r="O1778" s="185"/>
      <c r="P1778" s="185"/>
      <c r="Q1778" s="185"/>
    </row>
    <row r="1779" spans="1:17" ht="24.9" customHeight="1">
      <c r="A1779" s="20">
        <v>362</v>
      </c>
      <c r="B1779" s="20" t="s">
        <v>4357</v>
      </c>
      <c r="C1779" s="20"/>
      <c r="D1779" s="19" t="s">
        <v>48</v>
      </c>
      <c r="E1779" s="19" t="str">
        <f>VLOOKUP(D1779,'لیست پرسنل'!$B$2:$E$1020,3,FALSE)</f>
        <v>فکورصنعت</v>
      </c>
      <c r="F1779" s="19" t="str">
        <f>VLOOKUP(D1779,'لیست پرسنل'!$B$2:$E$1020,4,FALSE)</f>
        <v>سرپرست آی تی</v>
      </c>
      <c r="G1779" s="127">
        <f>VLOOKUP(D1779,'لیست پرسنل'!$B$2:$F$1020,2,FALSE)</f>
        <v>2210</v>
      </c>
      <c r="H1779" s="128" t="s">
        <v>3482</v>
      </c>
      <c r="I1779" s="128"/>
      <c r="J1779" s="128" t="s">
        <v>3476</v>
      </c>
      <c r="K1779" s="128" t="s">
        <v>7088</v>
      </c>
      <c r="L1779" s="128" t="s">
        <v>8228</v>
      </c>
      <c r="M1779" s="128" t="s">
        <v>291</v>
      </c>
      <c r="N1779" s="108"/>
      <c r="O1779" s="20"/>
      <c r="P1779" s="20"/>
      <c r="Q1779" s="20"/>
    </row>
    <row r="1780" spans="1:17" ht="24.9" customHeight="1">
      <c r="A1780" s="20">
        <v>362</v>
      </c>
      <c r="B1780" s="20" t="s">
        <v>4357</v>
      </c>
      <c r="C1780" s="20"/>
      <c r="D1780" s="19" t="s">
        <v>48</v>
      </c>
      <c r="E1780" s="19" t="str">
        <f>VLOOKUP(D1780,'لیست پرسنل'!$B$2:$E$1020,3,FALSE)</f>
        <v>فکورصنعت</v>
      </c>
      <c r="F1780" s="19" t="str">
        <f>VLOOKUP(D1780,'لیست پرسنل'!$B$2:$E$1020,4,FALSE)</f>
        <v>سرپرست آی تی</v>
      </c>
      <c r="G1780" s="127">
        <f>VLOOKUP(D1780,'لیست پرسنل'!$B$2:$F$1020,2,FALSE)</f>
        <v>2210</v>
      </c>
      <c r="H1780" s="128" t="s">
        <v>3482</v>
      </c>
      <c r="I1780" s="128"/>
      <c r="J1780" s="128" t="s">
        <v>3476</v>
      </c>
      <c r="K1780" s="128" t="s">
        <v>7088</v>
      </c>
      <c r="L1780" s="128" t="s">
        <v>8229</v>
      </c>
      <c r="M1780" s="128" t="s">
        <v>291</v>
      </c>
      <c r="N1780" s="108"/>
      <c r="O1780" s="20"/>
      <c r="P1780" s="20"/>
      <c r="Q1780" s="20"/>
    </row>
    <row r="1781" spans="1:17" ht="24.9" customHeight="1">
      <c r="A1781" s="20">
        <v>362</v>
      </c>
      <c r="B1781" s="20" t="s">
        <v>4357</v>
      </c>
      <c r="C1781" s="20"/>
      <c r="D1781" s="20" t="s">
        <v>48</v>
      </c>
      <c r="E1781" s="19" t="str">
        <f>VLOOKUP(D1781,'لیست پرسنل'!$B$2:$E$1020,3,FALSE)</f>
        <v>فکورصنعت</v>
      </c>
      <c r="F1781" s="19" t="str">
        <f>VLOOKUP(D1781,'لیست پرسنل'!$B$2:$E$1020,4,FALSE)</f>
        <v>سرپرست آی تی</v>
      </c>
      <c r="G1781" s="127">
        <f>VLOOKUP(D1781,'لیست پرسنل'!$B$2:$F$1020,2,FALSE)</f>
        <v>2210</v>
      </c>
      <c r="H1781" s="126" t="s">
        <v>3482</v>
      </c>
      <c r="I1781" s="128"/>
      <c r="J1781" s="128" t="s">
        <v>3506</v>
      </c>
      <c r="K1781" s="128" t="s">
        <v>5279</v>
      </c>
      <c r="L1781" s="128" t="s">
        <v>5280</v>
      </c>
      <c r="M1781" s="128">
        <v>630654</v>
      </c>
      <c r="N1781" s="108"/>
      <c r="O1781" s="20" t="s">
        <v>5282</v>
      </c>
      <c r="P1781" s="20"/>
      <c r="Q1781" s="20"/>
    </row>
    <row r="1782" spans="1:17" ht="24.9" customHeight="1">
      <c r="A1782" s="20">
        <v>362</v>
      </c>
      <c r="B1782" s="20" t="s">
        <v>4357</v>
      </c>
      <c r="C1782" s="19"/>
      <c r="D1782" s="19" t="s">
        <v>48</v>
      </c>
      <c r="E1782" s="19" t="str">
        <f>VLOOKUP(D1782,'لیست پرسنل'!$B$2:$E$1020,3,FALSE)</f>
        <v>فکورصنعت</v>
      </c>
      <c r="F1782" s="19" t="str">
        <f>VLOOKUP(D1782,'لیست پرسنل'!$B$2:$E$1020,4,FALSE)</f>
        <v>سرپرست آی تی</v>
      </c>
      <c r="G1782" s="127">
        <f>VLOOKUP(D1782,'لیست پرسنل'!$B$2:$F$1020,2,FALSE)</f>
        <v>2210</v>
      </c>
      <c r="H1782" s="151" t="s">
        <v>3482</v>
      </c>
      <c r="I1782" s="127"/>
      <c r="J1782" s="127" t="s">
        <v>8297</v>
      </c>
      <c r="K1782" s="128" t="s">
        <v>8300</v>
      </c>
      <c r="L1782" s="127" t="s">
        <v>8301</v>
      </c>
      <c r="M1782" s="127">
        <v>625375</v>
      </c>
      <c r="N1782" s="109" t="s">
        <v>345</v>
      </c>
      <c r="O1782" s="39"/>
      <c r="P1782" s="20"/>
      <c r="Q1782" s="20"/>
    </row>
    <row r="1783" spans="1:17" ht="24.9" customHeight="1">
      <c r="A1783" s="20">
        <v>362</v>
      </c>
      <c r="B1783" s="20" t="s">
        <v>4357</v>
      </c>
      <c r="C1783" s="19"/>
      <c r="D1783" s="19" t="s">
        <v>48</v>
      </c>
      <c r="E1783" s="19" t="str">
        <f>VLOOKUP(D1783,'لیست پرسنل'!$B$2:$E$1020,3,FALSE)</f>
        <v>فکورصنعت</v>
      </c>
      <c r="F1783" s="19" t="str">
        <f>VLOOKUP(D1783,'لیست پرسنل'!$B$2:$E$1020,4,FALSE)</f>
        <v>سرپرست آی تی</v>
      </c>
      <c r="G1783" s="127">
        <f>VLOOKUP(D1783,'لیست پرسنل'!$B$2:$F$1020,2,FALSE)</f>
        <v>2210</v>
      </c>
      <c r="H1783" s="151" t="s">
        <v>4290</v>
      </c>
      <c r="I1783" s="127"/>
      <c r="J1783" s="128" t="s">
        <v>3145</v>
      </c>
      <c r="K1783" s="128" t="s">
        <v>6207</v>
      </c>
      <c r="L1783" s="151" t="s">
        <v>6208</v>
      </c>
      <c r="M1783" s="126" t="s">
        <v>291</v>
      </c>
      <c r="N1783" s="109" t="s">
        <v>8068</v>
      </c>
      <c r="O1783" s="19" t="s">
        <v>6196</v>
      </c>
      <c r="P1783" s="20"/>
      <c r="Q1783" s="20"/>
    </row>
    <row r="1784" spans="1:17" ht="24.9" customHeight="1">
      <c r="A1784" s="20">
        <v>362</v>
      </c>
      <c r="B1784" s="20" t="s">
        <v>4357</v>
      </c>
      <c r="C1784" s="19"/>
      <c r="D1784" s="20" t="s">
        <v>48</v>
      </c>
      <c r="E1784" s="19" t="str">
        <f>VLOOKUP(D1784,'لیست پرسنل'!$B$2:$E$1020,3,FALSE)</f>
        <v>فکورصنعت</v>
      </c>
      <c r="F1784" s="19" t="str">
        <f>VLOOKUP(D1784,'لیست پرسنل'!$B$2:$E$1020,4,FALSE)</f>
        <v>سرپرست آی تی</v>
      </c>
      <c r="G1784" s="127">
        <f>VLOOKUP(D1784,'لیست پرسنل'!$B$2:$F$1020,2,FALSE)</f>
        <v>2210</v>
      </c>
      <c r="H1784" s="126" t="s">
        <v>5033</v>
      </c>
      <c r="I1784" s="128"/>
      <c r="J1784" s="128" t="s">
        <v>3476</v>
      </c>
      <c r="K1784" s="128" t="s">
        <v>731</v>
      </c>
      <c r="L1784" s="128" t="s">
        <v>971</v>
      </c>
      <c r="M1784" s="126">
        <v>623330</v>
      </c>
      <c r="N1784" s="108"/>
      <c r="O1784" s="20" t="s">
        <v>730</v>
      </c>
      <c r="P1784" s="20"/>
      <c r="Q1784" s="20"/>
    </row>
    <row r="1785" spans="1:17" ht="24.9" customHeight="1">
      <c r="A1785" s="20">
        <v>362</v>
      </c>
      <c r="B1785" s="20" t="s">
        <v>4357</v>
      </c>
      <c r="C1785" s="20"/>
      <c r="D1785" s="20" t="s">
        <v>48</v>
      </c>
      <c r="E1785" s="19" t="str">
        <f>VLOOKUP(D1785,'لیست پرسنل'!$B$2:$E$1020,3,FALSE)</f>
        <v>فکورصنعت</v>
      </c>
      <c r="F1785" s="19" t="str">
        <f>VLOOKUP(D1785,'لیست پرسنل'!$B$2:$E$1020,4,FALSE)</f>
        <v>سرپرست آی تی</v>
      </c>
      <c r="G1785" s="127">
        <f>VLOOKUP(D1785,'لیست پرسنل'!$B$2:$F$1020,2,FALSE)</f>
        <v>2210</v>
      </c>
      <c r="H1785" s="126" t="s">
        <v>5814</v>
      </c>
      <c r="I1785" s="128"/>
      <c r="J1785" s="128" t="s">
        <v>3285</v>
      </c>
      <c r="K1785" s="150" t="s">
        <v>5789</v>
      </c>
      <c r="L1785" s="150" t="s">
        <v>5790</v>
      </c>
      <c r="M1785" s="128">
        <v>632044</v>
      </c>
      <c r="N1785" s="108"/>
      <c r="O1785" s="20"/>
      <c r="P1785" s="20"/>
      <c r="Q1785" s="20"/>
    </row>
    <row r="1786" spans="1:17" ht="24.9" customHeight="1">
      <c r="A1786" s="20">
        <v>362</v>
      </c>
      <c r="B1786" s="20" t="s">
        <v>4357</v>
      </c>
      <c r="C1786" s="20"/>
      <c r="D1786" s="19" t="s">
        <v>326</v>
      </c>
      <c r="E1786" s="19" t="str">
        <f>VLOOKUP(D1786,'لیست پرسنل'!$B$2:$E$1020,3,FALSE)</f>
        <v>فکورصنعت</v>
      </c>
      <c r="F1786" s="19" t="str">
        <f>VLOOKUP(D1786,'لیست پرسنل'!$B$2:$E$1020,4,FALSE)</f>
        <v>انبار</v>
      </c>
      <c r="G1786" s="127">
        <f>VLOOKUP(D1786,'لیست پرسنل'!$B$2:$F$1020,2,FALSE)</f>
        <v>98141</v>
      </c>
      <c r="H1786" s="128" t="s">
        <v>3482</v>
      </c>
      <c r="I1786" s="128"/>
      <c r="J1786" s="128" t="s">
        <v>3484</v>
      </c>
      <c r="K1786" s="128" t="s">
        <v>3298</v>
      </c>
      <c r="L1786" s="128" t="s">
        <v>3299</v>
      </c>
      <c r="M1786" s="127">
        <v>616436</v>
      </c>
      <c r="N1786" s="109"/>
      <c r="O1786" s="20"/>
      <c r="P1786" s="20"/>
      <c r="Q1786" s="20"/>
    </row>
    <row r="1787" spans="1:17" ht="24.9" customHeight="1">
      <c r="A1787" s="20">
        <v>362</v>
      </c>
      <c r="B1787" s="20" t="s">
        <v>4357</v>
      </c>
      <c r="C1787" s="20"/>
      <c r="D1787" s="19" t="s">
        <v>326</v>
      </c>
      <c r="E1787" s="19" t="str">
        <f>VLOOKUP(D1787,'لیست پرسنل'!$B$2:$E$1020,3,FALSE)</f>
        <v>فکورصنعت</v>
      </c>
      <c r="F1787" s="19" t="str">
        <f>VLOOKUP(D1787,'لیست پرسنل'!$B$2:$E$1020,4,FALSE)</f>
        <v>انبار</v>
      </c>
      <c r="G1787" s="127">
        <f>VLOOKUP(D1787,'لیست پرسنل'!$B$2:$F$1020,2,FALSE)</f>
        <v>98141</v>
      </c>
      <c r="H1787" s="128" t="s">
        <v>3482</v>
      </c>
      <c r="I1787" s="128"/>
      <c r="J1787" s="128" t="s">
        <v>3484</v>
      </c>
      <c r="K1787" s="128" t="s">
        <v>3298</v>
      </c>
      <c r="L1787" s="128" t="s">
        <v>3299</v>
      </c>
      <c r="M1787" s="127">
        <v>616561</v>
      </c>
      <c r="N1787" s="109"/>
      <c r="O1787" s="20"/>
      <c r="P1787" s="20"/>
      <c r="Q1787" s="20"/>
    </row>
    <row r="1788" spans="1:17" ht="24.9" customHeight="1">
      <c r="A1788" s="20">
        <v>362</v>
      </c>
      <c r="B1788" s="20"/>
      <c r="C1788" s="20"/>
      <c r="D1788" s="20" t="s">
        <v>48</v>
      </c>
      <c r="E1788" s="19" t="str">
        <f>VLOOKUP(D1788,'لیست پرسنل'!$B$2:$E$1020,3,FALSE)</f>
        <v>فکورصنعت</v>
      </c>
      <c r="F1788" s="19" t="str">
        <f>VLOOKUP(D1788,'لیست پرسنل'!$B$2:$E$1020,4,FALSE)</f>
        <v>سرپرست آی تی</v>
      </c>
      <c r="G1788" s="127">
        <f>VLOOKUP(D1788,'لیست پرسنل'!$B$2:$F$1020,2,FALSE)</f>
        <v>2210</v>
      </c>
      <c r="H1788" s="127" t="s">
        <v>8574</v>
      </c>
      <c r="I1788" s="127"/>
      <c r="J1788" s="128" t="s">
        <v>8575</v>
      </c>
      <c r="K1788" s="127" t="s">
        <v>8577</v>
      </c>
      <c r="L1788" s="127" t="s">
        <v>8576</v>
      </c>
      <c r="M1788" s="127" t="s">
        <v>291</v>
      </c>
      <c r="N1788" s="109" t="s">
        <v>7502</v>
      </c>
      <c r="O1788" s="20"/>
      <c r="P1788" s="20"/>
      <c r="Q1788" s="20"/>
    </row>
    <row r="1789" spans="1:17" ht="24.9" customHeight="1">
      <c r="A1789" s="20">
        <v>362</v>
      </c>
      <c r="B1789" s="20"/>
      <c r="C1789" s="19"/>
      <c r="D1789" s="19" t="s">
        <v>48</v>
      </c>
      <c r="E1789" s="19" t="str">
        <f>VLOOKUP(D1789,'لیست پرسنل'!$B$2:$E$1020,3,FALSE)</f>
        <v>فکورصنعت</v>
      </c>
      <c r="F1789" s="19" t="str">
        <f>VLOOKUP(D1789,'لیست پرسنل'!$B$2:$E$1020,4,FALSE)</f>
        <v>سرپرست آی تی</v>
      </c>
      <c r="G1789" s="127">
        <f>VLOOKUP(D1789,'لیست پرسنل'!$B$2:$F$1020,2,FALSE)</f>
        <v>2210</v>
      </c>
      <c r="H1789" s="151"/>
      <c r="I1789" s="127"/>
      <c r="J1789" s="127" t="s">
        <v>571</v>
      </c>
      <c r="K1789" s="128" t="s">
        <v>2214</v>
      </c>
      <c r="L1789" s="158"/>
      <c r="M1789" s="129">
        <v>622517</v>
      </c>
      <c r="N1789" s="113"/>
      <c r="O1789" s="19" t="s">
        <v>8565</v>
      </c>
      <c r="P1789" s="20" t="s">
        <v>3834</v>
      </c>
      <c r="Q1789" s="20" t="s">
        <v>8564</v>
      </c>
    </row>
    <row r="1790" spans="1:17" ht="24.9" customHeight="1">
      <c r="A1790" s="20">
        <v>390</v>
      </c>
      <c r="B1790" s="20">
        <v>390</v>
      </c>
      <c r="C1790" s="20"/>
      <c r="D1790" s="20" t="s">
        <v>1254</v>
      </c>
      <c r="E1790" s="19" t="str">
        <f>VLOOKUP(D1790,'لیست پرسنل'!$B$2:$E$1020,3,FALSE)</f>
        <v>فکورصنعت</v>
      </c>
      <c r="F1790" s="19" t="str">
        <f>VLOOKUP(D1790,'لیست پرسنل'!$B$2:$E$1020,4,FALSE)</f>
        <v>برق</v>
      </c>
      <c r="G1790" s="127" t="str">
        <f>VLOOKUP(D1790,'لیست پرسنل'!$B$2:$F$1020,2,FALSE)</f>
        <v>1258</v>
      </c>
      <c r="H1790" s="127" t="s">
        <v>3660</v>
      </c>
      <c r="I1790" s="127"/>
      <c r="J1790" s="128" t="s">
        <v>3476</v>
      </c>
      <c r="K1790" s="127" t="s">
        <v>8327</v>
      </c>
      <c r="L1790" s="127" t="s">
        <v>8334</v>
      </c>
      <c r="M1790" s="127" t="s">
        <v>291</v>
      </c>
      <c r="N1790" s="109"/>
      <c r="O1790" s="20"/>
      <c r="P1790" s="20"/>
      <c r="Q1790" s="20"/>
    </row>
    <row r="1791" spans="1:17" ht="24.9" customHeight="1">
      <c r="A1791" s="20">
        <v>390</v>
      </c>
      <c r="B1791" s="20" t="s">
        <v>4355</v>
      </c>
      <c r="C1791" s="20"/>
      <c r="D1791" s="19" t="s">
        <v>48</v>
      </c>
      <c r="E1791" s="19" t="str">
        <f>VLOOKUP(D1791,'لیست پرسنل'!$B$2:$E$1020,3,FALSE)</f>
        <v>فکورصنعت</v>
      </c>
      <c r="F1791" s="19" t="str">
        <f>VLOOKUP(D1791,'لیست پرسنل'!$B$2:$E$1020,4,FALSE)</f>
        <v>سرپرست آی تی</v>
      </c>
      <c r="G1791" s="127">
        <f>VLOOKUP(D1791,'لیست پرسنل'!$B$2:$F$1020,2,FALSE)</f>
        <v>2210</v>
      </c>
      <c r="H1791" s="151" t="s">
        <v>5631</v>
      </c>
      <c r="I1791" s="159"/>
      <c r="J1791" s="159" t="s">
        <v>571</v>
      </c>
      <c r="K1791" s="159" t="s">
        <v>161</v>
      </c>
      <c r="L1791" s="151"/>
      <c r="M1791" s="127">
        <v>607049</v>
      </c>
      <c r="N1791" s="109" t="s">
        <v>7501</v>
      </c>
      <c r="O1791" s="19"/>
      <c r="P1791" s="20"/>
      <c r="Q1791" s="20"/>
    </row>
    <row r="1792" spans="1:17" ht="24.9" customHeight="1">
      <c r="A1792" s="20">
        <v>390</v>
      </c>
      <c r="B1792" s="20" t="s">
        <v>4355</v>
      </c>
      <c r="C1792" s="20"/>
      <c r="D1792" s="20" t="s">
        <v>48</v>
      </c>
      <c r="E1792" s="19" t="str">
        <f>VLOOKUP(D1792,'لیست پرسنل'!$B$2:$E$1020,3,FALSE)</f>
        <v>فکورصنعت</v>
      </c>
      <c r="F1792" s="19" t="str">
        <f>VLOOKUP(D1792,'لیست پرسنل'!$B$2:$E$1020,4,FALSE)</f>
        <v>سرپرست آی تی</v>
      </c>
      <c r="G1792" s="127">
        <f>VLOOKUP(D1792,'لیست پرسنل'!$B$2:$F$1020,2,FALSE)</f>
        <v>2210</v>
      </c>
      <c r="H1792" s="151" t="s">
        <v>5631</v>
      </c>
      <c r="I1792" s="159"/>
      <c r="J1792" s="159" t="s">
        <v>571</v>
      </c>
      <c r="K1792" s="128"/>
      <c r="L1792" s="151"/>
      <c r="M1792" s="127">
        <v>622621</v>
      </c>
      <c r="N1792" s="109"/>
      <c r="O1792" s="19" t="s">
        <v>5295</v>
      </c>
      <c r="P1792" s="20"/>
      <c r="Q1792" s="20"/>
    </row>
    <row r="1793" spans="1:17" ht="24.9" customHeight="1">
      <c r="A1793" s="20">
        <v>390</v>
      </c>
      <c r="B1793" s="20" t="s">
        <v>4355</v>
      </c>
      <c r="C1793" s="20"/>
      <c r="D1793" s="19" t="s">
        <v>48</v>
      </c>
      <c r="E1793" s="19" t="str">
        <f>VLOOKUP(D1793,'لیست پرسنل'!$B$2:$E$1020,3,FALSE)</f>
        <v>فکورصنعت</v>
      </c>
      <c r="F1793" s="19" t="str">
        <f>VLOOKUP(D1793,'لیست پرسنل'!$B$2:$E$1020,4,FALSE)</f>
        <v>سرپرست آی تی</v>
      </c>
      <c r="G1793" s="127">
        <f>VLOOKUP(D1793,'لیست پرسنل'!$B$2:$F$1020,2,FALSE)</f>
        <v>2210</v>
      </c>
      <c r="H1793" s="151" t="s">
        <v>5631</v>
      </c>
      <c r="I1793" s="159"/>
      <c r="J1793" s="128" t="s">
        <v>2686</v>
      </c>
      <c r="K1793" s="128" t="s">
        <v>531</v>
      </c>
      <c r="L1793" s="151" t="s">
        <v>1027</v>
      </c>
      <c r="M1793" s="127">
        <v>604115</v>
      </c>
      <c r="N1793" s="109" t="s">
        <v>7501</v>
      </c>
      <c r="O1793" s="19"/>
      <c r="P1793" s="20"/>
      <c r="Q1793" s="20"/>
    </row>
    <row r="1794" spans="1:17" ht="24.9" customHeight="1">
      <c r="A1794" s="20">
        <v>390</v>
      </c>
      <c r="B1794" s="20" t="s">
        <v>4355</v>
      </c>
      <c r="C1794" s="20"/>
      <c r="D1794" s="20" t="s">
        <v>48</v>
      </c>
      <c r="E1794" s="19" t="str">
        <f>VLOOKUP(D1794,'لیست پرسنل'!$B$2:$E$1020,3,FALSE)</f>
        <v>فکورصنعت</v>
      </c>
      <c r="F1794" s="19" t="str">
        <f>VLOOKUP(D1794,'لیست پرسنل'!$B$2:$E$1020,4,FALSE)</f>
        <v>سرپرست آی تی</v>
      </c>
      <c r="G1794" s="127">
        <f>VLOOKUP(D1794,'لیست پرسنل'!$B$2:$F$1020,2,FALSE)</f>
        <v>2210</v>
      </c>
      <c r="H1794" s="151" t="s">
        <v>5631</v>
      </c>
      <c r="I1794" s="159"/>
      <c r="J1794" s="128" t="s">
        <v>2686</v>
      </c>
      <c r="K1794" s="128" t="s">
        <v>332</v>
      </c>
      <c r="L1794" s="127" t="s">
        <v>1437</v>
      </c>
      <c r="M1794" s="127">
        <v>633609</v>
      </c>
      <c r="N1794" s="109"/>
      <c r="O1794" s="19" t="s">
        <v>6271</v>
      </c>
      <c r="P1794" s="32"/>
      <c r="Q1794" s="32"/>
    </row>
    <row r="1795" spans="1:17" ht="24.9" customHeight="1">
      <c r="A1795" s="20">
        <v>390</v>
      </c>
      <c r="B1795" s="20" t="s">
        <v>4355</v>
      </c>
      <c r="C1795" s="20"/>
      <c r="D1795" s="83" t="s">
        <v>3536</v>
      </c>
      <c r="E1795" s="19" t="str">
        <f>VLOOKUP(D1795,'لیست پرسنل'!$B$2:$E$1020,3,FALSE)</f>
        <v>فکورصنعت</v>
      </c>
      <c r="F1795" s="19" t="str">
        <f>VLOOKUP(D1795,'لیست پرسنل'!$B$2:$E$1020,4,FALSE)</f>
        <v>انبار</v>
      </c>
      <c r="G1795" s="127">
        <f>VLOOKUP(D1795,'لیست پرسنل'!$B$2:$F$1020,2,FALSE)</f>
        <v>1536</v>
      </c>
      <c r="H1795" s="128" t="s">
        <v>5631</v>
      </c>
      <c r="I1795" s="128"/>
      <c r="J1795" s="126" t="s">
        <v>368</v>
      </c>
      <c r="K1795" s="128" t="s">
        <v>1346</v>
      </c>
      <c r="L1795" s="128" t="s">
        <v>781</v>
      </c>
      <c r="M1795" s="128">
        <v>621034</v>
      </c>
      <c r="N1795" s="109"/>
      <c r="O1795" s="19"/>
      <c r="P1795" s="20"/>
      <c r="Q1795" s="20"/>
    </row>
    <row r="1796" spans="1:17" ht="24.9" customHeight="1">
      <c r="A1796" s="20">
        <v>390</v>
      </c>
      <c r="B1796" s="20" t="s">
        <v>4355</v>
      </c>
      <c r="C1796" s="20"/>
      <c r="D1796" s="83" t="s">
        <v>3536</v>
      </c>
      <c r="E1796" s="19" t="str">
        <f>VLOOKUP(D1796,'لیست پرسنل'!$B$2:$E$1020,3,FALSE)</f>
        <v>فکورصنعت</v>
      </c>
      <c r="F1796" s="19" t="str">
        <f>VLOOKUP(D1796,'لیست پرسنل'!$B$2:$E$1020,4,FALSE)</f>
        <v>انبار</v>
      </c>
      <c r="G1796" s="127">
        <f>VLOOKUP(D1796,'لیست پرسنل'!$B$2:$F$1020,2,FALSE)</f>
        <v>1536</v>
      </c>
      <c r="H1796" s="181" t="s">
        <v>5631</v>
      </c>
      <c r="I1796" s="159"/>
      <c r="J1796" s="159" t="s">
        <v>571</v>
      </c>
      <c r="K1796" s="128"/>
      <c r="L1796" s="151"/>
      <c r="M1796" s="127">
        <v>603295</v>
      </c>
      <c r="N1796" s="109"/>
      <c r="O1796" s="19"/>
      <c r="P1796" s="20"/>
      <c r="Q1796" s="20"/>
    </row>
    <row r="1797" spans="1:17" ht="24.9" customHeight="1">
      <c r="A1797" s="20">
        <v>390</v>
      </c>
      <c r="B1797" s="20" t="s">
        <v>4355</v>
      </c>
      <c r="C1797" s="20"/>
      <c r="D1797" s="83" t="s">
        <v>3536</v>
      </c>
      <c r="E1797" s="19" t="str">
        <f>VLOOKUP(D1797,'لیست پرسنل'!$B$2:$E$1020,3,FALSE)</f>
        <v>فکورصنعت</v>
      </c>
      <c r="F1797" s="19" t="str">
        <f>VLOOKUP(D1797,'لیست پرسنل'!$B$2:$E$1020,4,FALSE)</f>
        <v>انبار</v>
      </c>
      <c r="G1797" s="127">
        <f>VLOOKUP(D1797,'لیست پرسنل'!$B$2:$F$1020,2,FALSE)</f>
        <v>1536</v>
      </c>
      <c r="H1797" s="151" t="s">
        <v>5631</v>
      </c>
      <c r="I1797" s="159"/>
      <c r="J1797" s="159" t="s">
        <v>571</v>
      </c>
      <c r="K1797" s="128"/>
      <c r="L1797" s="151"/>
      <c r="M1797" s="127">
        <v>604777</v>
      </c>
      <c r="N1797" s="109"/>
      <c r="O1797" s="19"/>
      <c r="P1797" s="20"/>
      <c r="Q1797" s="20"/>
    </row>
    <row r="1798" spans="1:17" ht="24.9" customHeight="1">
      <c r="A1798" s="20">
        <v>390</v>
      </c>
      <c r="B1798" s="20" t="s">
        <v>4355</v>
      </c>
      <c r="C1798" s="20"/>
      <c r="D1798" s="19" t="s">
        <v>3536</v>
      </c>
      <c r="E1798" s="19" t="str">
        <f>VLOOKUP(D1798,'لیست پرسنل'!$B$2:$E$1020,3,FALSE)</f>
        <v>فکورصنعت</v>
      </c>
      <c r="F1798" s="19" t="str">
        <f>VLOOKUP(D1798,'لیست پرسنل'!$B$2:$E$1020,4,FALSE)</f>
        <v>انبار</v>
      </c>
      <c r="G1798" s="127">
        <f>VLOOKUP(D1798,'لیست پرسنل'!$B$2:$F$1020,2,FALSE)</f>
        <v>1536</v>
      </c>
      <c r="H1798" s="181" t="s">
        <v>5631</v>
      </c>
      <c r="I1798" s="159"/>
      <c r="J1798" s="159" t="s">
        <v>571</v>
      </c>
      <c r="K1798" s="159" t="s">
        <v>197</v>
      </c>
      <c r="L1798" s="151"/>
      <c r="M1798" s="127">
        <v>606686</v>
      </c>
      <c r="N1798" s="109"/>
      <c r="O1798" s="19"/>
      <c r="P1798" s="20"/>
      <c r="Q1798" s="20"/>
    </row>
    <row r="1799" spans="1:17" ht="24.9" customHeight="1">
      <c r="A1799" s="20">
        <v>390</v>
      </c>
      <c r="B1799" s="20" t="s">
        <v>4355</v>
      </c>
      <c r="C1799" s="20"/>
      <c r="D1799" s="83" t="s">
        <v>3536</v>
      </c>
      <c r="E1799" s="19" t="str">
        <f>VLOOKUP(D1799,'لیست پرسنل'!$B$2:$E$1020,3,FALSE)</f>
        <v>فکورصنعت</v>
      </c>
      <c r="F1799" s="19" t="str">
        <f>VLOOKUP(D1799,'لیست پرسنل'!$B$2:$E$1020,4,FALSE)</f>
        <v>انبار</v>
      </c>
      <c r="G1799" s="127">
        <f>VLOOKUP(D1799,'لیست پرسنل'!$B$2:$F$1020,2,FALSE)</f>
        <v>1536</v>
      </c>
      <c r="H1799" s="181" t="s">
        <v>5631</v>
      </c>
      <c r="I1799" s="159"/>
      <c r="J1799" s="159" t="s">
        <v>571</v>
      </c>
      <c r="K1799" s="128"/>
      <c r="L1799" s="151"/>
      <c r="M1799" s="127">
        <v>609565</v>
      </c>
      <c r="N1799" s="109"/>
      <c r="O1799" s="19" t="s">
        <v>6694</v>
      </c>
      <c r="P1799" s="20"/>
      <c r="Q1799" s="20"/>
    </row>
    <row r="1800" spans="1:17" ht="24.9" customHeight="1">
      <c r="A1800" s="20">
        <v>390</v>
      </c>
      <c r="B1800" s="20" t="s">
        <v>4355</v>
      </c>
      <c r="C1800" s="20"/>
      <c r="D1800" s="19" t="s">
        <v>3536</v>
      </c>
      <c r="E1800" s="19" t="str">
        <f>VLOOKUP(D1800,'لیست پرسنل'!$B$2:$E$1020,3,FALSE)</f>
        <v>فکورصنعت</v>
      </c>
      <c r="F1800" s="19" t="str">
        <f>VLOOKUP(D1800,'لیست پرسنل'!$B$2:$E$1020,4,FALSE)</f>
        <v>انبار</v>
      </c>
      <c r="G1800" s="127">
        <f>VLOOKUP(D1800,'لیست پرسنل'!$B$2:$F$1020,2,FALSE)</f>
        <v>1536</v>
      </c>
      <c r="H1800" s="181" t="s">
        <v>5631</v>
      </c>
      <c r="I1800" s="159"/>
      <c r="J1800" s="128" t="s">
        <v>2686</v>
      </c>
      <c r="K1800" s="128" t="s">
        <v>621</v>
      </c>
      <c r="L1800" s="150" t="s">
        <v>1617</v>
      </c>
      <c r="M1800" s="128">
        <v>601481</v>
      </c>
      <c r="N1800" s="108"/>
      <c r="O1800" s="20"/>
      <c r="P1800" s="20"/>
      <c r="Q1800" s="20"/>
    </row>
    <row r="1801" spans="1:17" ht="24.9" customHeight="1">
      <c r="A1801" s="20">
        <v>390</v>
      </c>
      <c r="B1801" s="20" t="s">
        <v>4355</v>
      </c>
      <c r="C1801" s="20"/>
      <c r="D1801" s="19" t="s">
        <v>3536</v>
      </c>
      <c r="E1801" s="19" t="str">
        <f>VLOOKUP(D1801,'لیست پرسنل'!$B$2:$E$1020,3,FALSE)</f>
        <v>فکورصنعت</v>
      </c>
      <c r="F1801" s="19" t="str">
        <f>VLOOKUP(D1801,'لیست پرسنل'!$B$2:$E$1020,4,FALSE)</f>
        <v>انبار</v>
      </c>
      <c r="G1801" s="127">
        <f>VLOOKUP(D1801,'لیست پرسنل'!$B$2:$F$1020,2,FALSE)</f>
        <v>1536</v>
      </c>
      <c r="H1801" s="151" t="s">
        <v>5631</v>
      </c>
      <c r="I1801" s="159"/>
      <c r="J1801" s="128" t="s">
        <v>2686</v>
      </c>
      <c r="K1801" s="128" t="s">
        <v>1215</v>
      </c>
      <c r="L1801" s="151" t="s">
        <v>1200</v>
      </c>
      <c r="M1801" s="127">
        <v>601564</v>
      </c>
      <c r="N1801" s="108"/>
      <c r="O1801" s="19"/>
      <c r="P1801" s="20"/>
      <c r="Q1801" s="20"/>
    </row>
    <row r="1802" spans="1:17" ht="24.9" customHeight="1">
      <c r="A1802" s="20">
        <v>390</v>
      </c>
      <c r="B1802" s="20" t="s">
        <v>4355</v>
      </c>
      <c r="C1802" s="20"/>
      <c r="D1802" s="19" t="s">
        <v>3536</v>
      </c>
      <c r="E1802" s="19" t="str">
        <f>VLOOKUP(D1802,'لیست پرسنل'!$B$2:$E$1020,3,FALSE)</f>
        <v>فکورصنعت</v>
      </c>
      <c r="F1802" s="19" t="str">
        <f>VLOOKUP(D1802,'لیست پرسنل'!$B$2:$E$1020,4,FALSE)</f>
        <v>انبار</v>
      </c>
      <c r="G1802" s="127">
        <f>VLOOKUP(D1802,'لیست پرسنل'!$B$2:$F$1020,2,FALSE)</f>
        <v>1536</v>
      </c>
      <c r="H1802" s="181" t="s">
        <v>5631</v>
      </c>
      <c r="I1802" s="159"/>
      <c r="J1802" s="128" t="s">
        <v>2686</v>
      </c>
      <c r="K1802" s="128" t="s">
        <v>409</v>
      </c>
      <c r="L1802" s="151" t="s">
        <v>464</v>
      </c>
      <c r="M1802" s="126">
        <v>603680</v>
      </c>
      <c r="N1802" s="109"/>
      <c r="O1802" s="19"/>
      <c r="P1802" s="20"/>
      <c r="Q1802" s="20"/>
    </row>
    <row r="1803" spans="1:17" ht="24.9" customHeight="1">
      <c r="A1803" s="20">
        <v>390</v>
      </c>
      <c r="B1803" s="20" t="s">
        <v>4355</v>
      </c>
      <c r="C1803" s="20"/>
      <c r="D1803" s="19" t="s">
        <v>3536</v>
      </c>
      <c r="E1803" s="19" t="str">
        <f>VLOOKUP(D1803,'لیست پرسنل'!$B$2:$E$1020,3,FALSE)</f>
        <v>فکورصنعت</v>
      </c>
      <c r="F1803" s="19" t="str">
        <f>VLOOKUP(D1803,'لیست پرسنل'!$B$2:$E$1020,4,FALSE)</f>
        <v>انبار</v>
      </c>
      <c r="G1803" s="127">
        <f>VLOOKUP(D1803,'لیست پرسنل'!$B$2:$F$1020,2,FALSE)</f>
        <v>1536</v>
      </c>
      <c r="H1803" s="181" t="s">
        <v>5631</v>
      </c>
      <c r="I1803" s="159"/>
      <c r="J1803" s="128" t="s">
        <v>2686</v>
      </c>
      <c r="K1803" s="128" t="s">
        <v>1216</v>
      </c>
      <c r="L1803" s="151" t="s">
        <v>1201</v>
      </c>
      <c r="M1803" s="127">
        <v>604973</v>
      </c>
      <c r="N1803" s="109"/>
      <c r="O1803" s="19"/>
      <c r="P1803" s="20"/>
      <c r="Q1803" s="20"/>
    </row>
    <row r="1804" spans="1:17" ht="24.9" customHeight="1">
      <c r="A1804" s="20">
        <v>390</v>
      </c>
      <c r="B1804" s="20" t="s">
        <v>4355</v>
      </c>
      <c r="C1804" s="20"/>
      <c r="D1804" s="83" t="s">
        <v>3536</v>
      </c>
      <c r="E1804" s="19" t="str">
        <f>VLOOKUP(D1804,'لیست پرسنل'!$B$2:$E$1020,3,FALSE)</f>
        <v>فکورصنعت</v>
      </c>
      <c r="F1804" s="19" t="str">
        <f>VLOOKUP(D1804,'لیست پرسنل'!$B$2:$E$1020,4,FALSE)</f>
        <v>انبار</v>
      </c>
      <c r="G1804" s="127">
        <f>VLOOKUP(D1804,'لیست پرسنل'!$B$2:$F$1020,2,FALSE)</f>
        <v>1536</v>
      </c>
      <c r="H1804" s="181" t="s">
        <v>5631</v>
      </c>
      <c r="I1804" s="159"/>
      <c r="J1804" s="128" t="s">
        <v>2686</v>
      </c>
      <c r="K1804" s="128" t="s">
        <v>878</v>
      </c>
      <c r="L1804" s="151" t="s">
        <v>1149</v>
      </c>
      <c r="M1804" s="127">
        <v>605605</v>
      </c>
      <c r="N1804" s="109"/>
      <c r="O1804" s="19" t="s">
        <v>6694</v>
      </c>
      <c r="P1804" s="20"/>
      <c r="Q1804" s="20"/>
    </row>
    <row r="1805" spans="1:17" ht="24.9" customHeight="1">
      <c r="A1805" s="20">
        <v>390</v>
      </c>
      <c r="B1805" s="20" t="s">
        <v>4355</v>
      </c>
      <c r="C1805" s="20"/>
      <c r="D1805" s="83" t="s">
        <v>3536</v>
      </c>
      <c r="E1805" s="19" t="str">
        <f>VLOOKUP(D1805,'لیست پرسنل'!$B$2:$E$1020,3,FALSE)</f>
        <v>فکورصنعت</v>
      </c>
      <c r="F1805" s="19" t="str">
        <f>VLOOKUP(D1805,'لیست پرسنل'!$B$2:$E$1020,4,FALSE)</f>
        <v>انبار</v>
      </c>
      <c r="G1805" s="127">
        <f>VLOOKUP(D1805,'لیست پرسنل'!$B$2:$F$1020,2,FALSE)</f>
        <v>1536</v>
      </c>
      <c r="H1805" s="151" t="s">
        <v>5631</v>
      </c>
      <c r="I1805" s="159"/>
      <c r="J1805" s="128" t="s">
        <v>2686</v>
      </c>
      <c r="K1805" s="128" t="s">
        <v>332</v>
      </c>
      <c r="L1805" s="151" t="s">
        <v>1166</v>
      </c>
      <c r="M1805" s="127">
        <v>605983</v>
      </c>
      <c r="N1805" s="109"/>
      <c r="O1805" s="19"/>
      <c r="P1805" s="20"/>
      <c r="Q1805" s="20"/>
    </row>
    <row r="1806" spans="1:17" ht="24.9" customHeight="1">
      <c r="A1806" s="20">
        <v>390</v>
      </c>
      <c r="B1806" s="20" t="s">
        <v>4355</v>
      </c>
      <c r="C1806" s="20"/>
      <c r="D1806" s="83" t="s">
        <v>3536</v>
      </c>
      <c r="E1806" s="19" t="str">
        <f>VLOOKUP(D1806,'لیست پرسنل'!$B$2:$E$1020,3,FALSE)</f>
        <v>فکورصنعت</v>
      </c>
      <c r="F1806" s="19" t="str">
        <f>VLOOKUP(D1806,'لیست پرسنل'!$B$2:$E$1020,4,FALSE)</f>
        <v>انبار</v>
      </c>
      <c r="G1806" s="127">
        <f>VLOOKUP(D1806,'لیست پرسنل'!$B$2:$F$1020,2,FALSE)</f>
        <v>1536</v>
      </c>
      <c r="H1806" s="151" t="s">
        <v>5631</v>
      </c>
      <c r="I1806" s="159"/>
      <c r="J1806" s="128" t="s">
        <v>2686</v>
      </c>
      <c r="K1806" s="128" t="s">
        <v>1215</v>
      </c>
      <c r="L1806" s="151" t="s">
        <v>1199</v>
      </c>
      <c r="M1806" s="127">
        <v>606073</v>
      </c>
      <c r="N1806" s="108"/>
      <c r="O1806" s="19"/>
      <c r="P1806" s="20"/>
      <c r="Q1806" s="20"/>
    </row>
    <row r="1807" spans="1:17" ht="24.9" customHeight="1">
      <c r="A1807" s="20">
        <v>390</v>
      </c>
      <c r="B1807" s="20" t="s">
        <v>4355</v>
      </c>
      <c r="C1807" s="20"/>
      <c r="D1807" s="83" t="s">
        <v>3536</v>
      </c>
      <c r="E1807" s="19" t="str">
        <f>VLOOKUP(D1807,'لیست پرسنل'!$B$2:$E$1020,3,FALSE)</f>
        <v>فکورصنعت</v>
      </c>
      <c r="F1807" s="19" t="str">
        <f>VLOOKUP(D1807,'لیست پرسنل'!$B$2:$E$1020,4,FALSE)</f>
        <v>انبار</v>
      </c>
      <c r="G1807" s="127">
        <f>VLOOKUP(D1807,'لیست پرسنل'!$B$2:$F$1020,2,FALSE)</f>
        <v>1536</v>
      </c>
      <c r="H1807" s="151" t="s">
        <v>5631</v>
      </c>
      <c r="I1807" s="159"/>
      <c r="J1807" s="128" t="s">
        <v>1977</v>
      </c>
      <c r="K1807" s="128" t="s">
        <v>4784</v>
      </c>
      <c r="L1807" s="128" t="s">
        <v>4792</v>
      </c>
      <c r="M1807" s="128">
        <v>629997</v>
      </c>
      <c r="N1807" s="108"/>
      <c r="O1807" s="20" t="s">
        <v>705</v>
      </c>
      <c r="P1807" s="20"/>
      <c r="Q1807" s="20"/>
    </row>
    <row r="1808" spans="1:17" ht="24.9" customHeight="1">
      <c r="A1808" s="20">
        <v>390</v>
      </c>
      <c r="B1808" s="20" t="s">
        <v>4355</v>
      </c>
      <c r="C1808" s="20"/>
      <c r="D1808" s="19" t="s">
        <v>3536</v>
      </c>
      <c r="E1808" s="19" t="str">
        <f>VLOOKUP(D1808,'لیست پرسنل'!$B$2:$E$1020,3,FALSE)</f>
        <v>فکورصنعت</v>
      </c>
      <c r="F1808" s="19" t="str">
        <f>VLOOKUP(D1808,'لیست پرسنل'!$B$2:$E$1020,4,FALSE)</f>
        <v>انبار</v>
      </c>
      <c r="G1808" s="127">
        <f>VLOOKUP(D1808,'لیست پرسنل'!$B$2:$F$1020,2,FALSE)</f>
        <v>1536</v>
      </c>
      <c r="H1808" s="128" t="s">
        <v>3708</v>
      </c>
      <c r="I1808" s="128"/>
      <c r="J1808" s="128" t="s">
        <v>3322</v>
      </c>
      <c r="K1808" s="128" t="s">
        <v>1016</v>
      </c>
      <c r="L1808" s="128">
        <v>557658011</v>
      </c>
      <c r="M1808" s="128" t="s">
        <v>291</v>
      </c>
      <c r="N1808" s="108"/>
      <c r="O1808" s="20" t="s">
        <v>3709</v>
      </c>
      <c r="P1808" s="20"/>
      <c r="Q1808" s="20"/>
    </row>
    <row r="1809" spans="1:17" ht="24.9" customHeight="1">
      <c r="A1809" s="20">
        <v>390</v>
      </c>
      <c r="B1809" s="20" t="s">
        <v>4355</v>
      </c>
      <c r="C1809" s="20"/>
      <c r="D1809" s="20" t="s">
        <v>3536</v>
      </c>
      <c r="E1809" s="19" t="str">
        <f>VLOOKUP(D1809,'لیست پرسنل'!$B$2:$E$1020,3,FALSE)</f>
        <v>فکورصنعت</v>
      </c>
      <c r="F1809" s="19" t="str">
        <f>VLOOKUP(D1809,'لیست پرسنل'!$B$2:$E$1020,4,FALSE)</f>
        <v>انبار</v>
      </c>
      <c r="G1809" s="127">
        <f>VLOOKUP(D1809,'لیست پرسنل'!$B$2:$F$1020,2,FALSE)</f>
        <v>1536</v>
      </c>
      <c r="H1809" s="128" t="s">
        <v>3708</v>
      </c>
      <c r="I1809" s="128"/>
      <c r="J1809" s="128" t="s">
        <v>3481</v>
      </c>
      <c r="K1809" s="128" t="s">
        <v>1018</v>
      </c>
      <c r="L1809" s="128"/>
      <c r="M1809" s="128" t="s">
        <v>291</v>
      </c>
      <c r="N1809" s="108"/>
      <c r="O1809" s="20" t="s">
        <v>3709</v>
      </c>
      <c r="P1809" s="20"/>
      <c r="Q1809" s="20"/>
    </row>
    <row r="1810" spans="1:17" ht="24.9" customHeight="1">
      <c r="A1810" s="20">
        <v>390</v>
      </c>
      <c r="B1810" s="20" t="s">
        <v>4355</v>
      </c>
      <c r="C1810" s="20"/>
      <c r="D1810" s="20" t="s">
        <v>3536</v>
      </c>
      <c r="E1810" s="19" t="str">
        <f>VLOOKUP(D1810,'لیست پرسنل'!$B$2:$E$1020,3,FALSE)</f>
        <v>فکورصنعت</v>
      </c>
      <c r="F1810" s="19" t="str">
        <f>VLOOKUP(D1810,'لیست پرسنل'!$B$2:$E$1020,4,FALSE)</f>
        <v>انبار</v>
      </c>
      <c r="G1810" s="127">
        <f>VLOOKUP(D1810,'لیست پرسنل'!$B$2:$F$1020,2,FALSE)</f>
        <v>1536</v>
      </c>
      <c r="H1810" s="128" t="s">
        <v>3708</v>
      </c>
      <c r="I1810" s="128"/>
      <c r="J1810" s="128" t="s">
        <v>3481</v>
      </c>
      <c r="K1810" s="128" t="s">
        <v>1019</v>
      </c>
      <c r="L1810" s="128"/>
      <c r="M1810" s="128" t="s">
        <v>291</v>
      </c>
      <c r="N1810" s="108"/>
      <c r="O1810" s="20" t="s">
        <v>3709</v>
      </c>
      <c r="P1810" s="20"/>
      <c r="Q1810" s="20"/>
    </row>
    <row r="1811" spans="1:17" ht="24.9" customHeight="1">
      <c r="A1811" s="20">
        <v>390</v>
      </c>
      <c r="B1811" s="20" t="s">
        <v>4355</v>
      </c>
      <c r="C1811" s="20"/>
      <c r="D1811" s="20" t="s">
        <v>3536</v>
      </c>
      <c r="E1811" s="19" t="str">
        <f>VLOOKUP(D1811,'لیست پرسنل'!$B$2:$E$1020,3,FALSE)</f>
        <v>فکورصنعت</v>
      </c>
      <c r="F1811" s="19" t="str">
        <f>VLOOKUP(D1811,'لیست پرسنل'!$B$2:$E$1020,4,FALSE)</f>
        <v>انبار</v>
      </c>
      <c r="G1811" s="127">
        <f>VLOOKUP(D1811,'لیست پرسنل'!$B$2:$F$1020,2,FALSE)</f>
        <v>1536</v>
      </c>
      <c r="H1811" s="128" t="s">
        <v>3708</v>
      </c>
      <c r="I1811" s="128"/>
      <c r="J1811" s="128" t="s">
        <v>3481</v>
      </c>
      <c r="K1811" s="128" t="s">
        <v>1019</v>
      </c>
      <c r="L1811" s="128"/>
      <c r="M1811" s="128" t="s">
        <v>291</v>
      </c>
      <c r="N1811" s="108"/>
      <c r="O1811" s="20" t="s">
        <v>3709</v>
      </c>
      <c r="P1811" s="20"/>
      <c r="Q1811" s="20"/>
    </row>
    <row r="1812" spans="1:17" ht="24.9" customHeight="1">
      <c r="A1812" s="20">
        <v>390</v>
      </c>
      <c r="B1812" s="20" t="s">
        <v>4355</v>
      </c>
      <c r="C1812" s="20"/>
      <c r="D1812" s="20" t="s">
        <v>3536</v>
      </c>
      <c r="E1812" s="19" t="str">
        <f>VLOOKUP(D1812,'لیست پرسنل'!$B$2:$E$1020,3,FALSE)</f>
        <v>فکورصنعت</v>
      </c>
      <c r="F1812" s="19" t="str">
        <f>VLOOKUP(D1812,'لیست پرسنل'!$B$2:$E$1020,4,FALSE)</f>
        <v>انبار</v>
      </c>
      <c r="G1812" s="127">
        <f>VLOOKUP(D1812,'لیست پرسنل'!$B$2:$F$1020,2,FALSE)</f>
        <v>1536</v>
      </c>
      <c r="H1812" s="128" t="s">
        <v>3708</v>
      </c>
      <c r="I1812" s="128"/>
      <c r="J1812" s="128" t="s">
        <v>3481</v>
      </c>
      <c r="K1812" s="128" t="s">
        <v>1019</v>
      </c>
      <c r="L1812" s="128"/>
      <c r="M1812" s="128" t="s">
        <v>291</v>
      </c>
      <c r="N1812" s="108"/>
      <c r="O1812" s="20" t="s">
        <v>3709</v>
      </c>
      <c r="P1812" s="20"/>
      <c r="Q1812" s="20"/>
    </row>
    <row r="1813" spans="1:17" ht="24.9" customHeight="1">
      <c r="A1813" s="20">
        <v>390</v>
      </c>
      <c r="B1813" s="20" t="s">
        <v>4355</v>
      </c>
      <c r="C1813" s="20"/>
      <c r="D1813" s="20" t="s">
        <v>3536</v>
      </c>
      <c r="E1813" s="19" t="str">
        <f>VLOOKUP(D1813,'لیست پرسنل'!$B$2:$E$1020,3,FALSE)</f>
        <v>فکورصنعت</v>
      </c>
      <c r="F1813" s="19" t="str">
        <f>VLOOKUP(D1813,'لیست پرسنل'!$B$2:$E$1020,4,FALSE)</f>
        <v>انبار</v>
      </c>
      <c r="G1813" s="127">
        <f>VLOOKUP(D1813,'لیست پرسنل'!$B$2:$F$1020,2,FALSE)</f>
        <v>1536</v>
      </c>
      <c r="H1813" s="128" t="s">
        <v>3708</v>
      </c>
      <c r="I1813" s="128"/>
      <c r="J1813" s="128" t="s">
        <v>3483</v>
      </c>
      <c r="K1813" s="128" t="s">
        <v>1035</v>
      </c>
      <c r="L1813" s="128"/>
      <c r="M1813" s="128" t="s">
        <v>291</v>
      </c>
      <c r="N1813" s="108"/>
      <c r="O1813" s="20" t="s">
        <v>3709</v>
      </c>
      <c r="P1813" s="20"/>
      <c r="Q1813" s="20"/>
    </row>
    <row r="1814" spans="1:17" ht="24.9" customHeight="1">
      <c r="A1814" s="20">
        <v>390</v>
      </c>
      <c r="B1814" s="20" t="s">
        <v>4355</v>
      </c>
      <c r="C1814" s="20"/>
      <c r="D1814" s="20" t="s">
        <v>3536</v>
      </c>
      <c r="E1814" s="19" t="str">
        <f>VLOOKUP(D1814,'لیست پرسنل'!$B$2:$E$1020,3,FALSE)</f>
        <v>فکورصنعت</v>
      </c>
      <c r="F1814" s="19" t="str">
        <f>VLOOKUP(D1814,'لیست پرسنل'!$B$2:$E$1020,4,FALSE)</f>
        <v>انبار</v>
      </c>
      <c r="G1814" s="127">
        <f>VLOOKUP(D1814,'لیست پرسنل'!$B$2:$F$1020,2,FALSE)</f>
        <v>1536</v>
      </c>
      <c r="H1814" s="128" t="s">
        <v>3705</v>
      </c>
      <c r="I1814" s="128"/>
      <c r="J1814" s="128" t="s">
        <v>3383</v>
      </c>
      <c r="K1814" s="128" t="s">
        <v>2560</v>
      </c>
      <c r="L1814" s="128"/>
      <c r="M1814" s="128">
        <v>624234</v>
      </c>
      <c r="N1814" s="108"/>
      <c r="O1814" s="20" t="s">
        <v>2562</v>
      </c>
      <c r="P1814" s="20"/>
      <c r="Q1814" s="20"/>
    </row>
    <row r="1815" spans="1:17" ht="24.9" customHeight="1">
      <c r="A1815" s="20">
        <v>390</v>
      </c>
      <c r="B1815" s="20" t="s">
        <v>4355</v>
      </c>
      <c r="C1815" s="20"/>
      <c r="D1815" s="20" t="s">
        <v>3536</v>
      </c>
      <c r="E1815" s="19" t="str">
        <f>VLOOKUP(D1815,'لیست پرسنل'!$B$2:$E$1020,3,FALSE)</f>
        <v>فکورصنعت</v>
      </c>
      <c r="F1815" s="19" t="str">
        <f>VLOOKUP(D1815,'لیست پرسنل'!$B$2:$E$1020,4,FALSE)</f>
        <v>انبار</v>
      </c>
      <c r="G1815" s="127">
        <f>VLOOKUP(D1815,'لیست پرسنل'!$B$2:$F$1020,2,FALSE)</f>
        <v>1536</v>
      </c>
      <c r="H1815" s="128" t="s">
        <v>3705</v>
      </c>
      <c r="I1815" s="128"/>
      <c r="J1815" s="128" t="s">
        <v>5366</v>
      </c>
      <c r="K1815" s="128" t="s">
        <v>2559</v>
      </c>
      <c r="L1815" s="128"/>
      <c r="M1815" s="128">
        <v>607204</v>
      </c>
      <c r="N1815" s="108"/>
      <c r="O1815" s="20" t="s">
        <v>2561</v>
      </c>
      <c r="P1815" s="20"/>
      <c r="Q1815" s="20"/>
    </row>
    <row r="1816" spans="1:17" ht="24.9" customHeight="1">
      <c r="A1816" s="20">
        <v>390</v>
      </c>
      <c r="B1816" s="20" t="s">
        <v>4355</v>
      </c>
      <c r="C1816" s="20"/>
      <c r="D1816" s="20" t="s">
        <v>3536</v>
      </c>
      <c r="E1816" s="19" t="str">
        <f>VLOOKUP(D1816,'لیست پرسنل'!$B$2:$E$1020,3,FALSE)</f>
        <v>فکورصنعت</v>
      </c>
      <c r="F1816" s="19" t="str">
        <f>VLOOKUP(D1816,'لیست پرسنل'!$B$2:$E$1020,4,FALSE)</f>
        <v>انبار</v>
      </c>
      <c r="G1816" s="127">
        <f>VLOOKUP(D1816,'لیست پرسنل'!$B$2:$F$1020,2,FALSE)</f>
        <v>1536</v>
      </c>
      <c r="H1816" s="128" t="s">
        <v>3705</v>
      </c>
      <c r="I1816" s="128"/>
      <c r="J1816" s="128" t="s">
        <v>3938</v>
      </c>
      <c r="K1816" s="128" t="s">
        <v>5980</v>
      </c>
      <c r="L1816" s="128" t="s">
        <v>5981</v>
      </c>
      <c r="M1816" s="128">
        <v>603159</v>
      </c>
      <c r="N1816" s="108"/>
      <c r="O1816" s="20"/>
      <c r="P1816" s="20"/>
      <c r="Q1816" s="20"/>
    </row>
    <row r="1817" spans="1:17" ht="24.9" customHeight="1">
      <c r="A1817" s="20">
        <v>390</v>
      </c>
      <c r="B1817" s="20" t="s">
        <v>4355</v>
      </c>
      <c r="C1817" s="20"/>
      <c r="D1817" s="20" t="s">
        <v>3536</v>
      </c>
      <c r="E1817" s="19" t="str">
        <f>VLOOKUP(D1817,'لیست پرسنل'!$B$2:$E$1020,3,FALSE)</f>
        <v>فکورصنعت</v>
      </c>
      <c r="F1817" s="19" t="str">
        <f>VLOOKUP(D1817,'لیست پرسنل'!$B$2:$E$1020,4,FALSE)</f>
        <v>انبار</v>
      </c>
      <c r="G1817" s="127">
        <f>VLOOKUP(D1817,'لیست پرسنل'!$B$2:$F$1020,2,FALSE)</f>
        <v>1536</v>
      </c>
      <c r="H1817" s="128" t="s">
        <v>3705</v>
      </c>
      <c r="I1817" s="128"/>
      <c r="J1817" s="128" t="s">
        <v>3938</v>
      </c>
      <c r="K1817" s="128" t="s">
        <v>5980</v>
      </c>
      <c r="L1817" s="128" t="s">
        <v>5981</v>
      </c>
      <c r="M1817" s="128">
        <v>611809</v>
      </c>
      <c r="N1817" s="108"/>
      <c r="O1817" s="20"/>
      <c r="P1817" s="20"/>
      <c r="Q1817" s="20"/>
    </row>
    <row r="1818" spans="1:17" ht="24.9" customHeight="1">
      <c r="A1818" s="20">
        <v>390</v>
      </c>
      <c r="B1818" s="20" t="s">
        <v>4355</v>
      </c>
      <c r="C1818" s="20"/>
      <c r="D1818" s="20" t="s">
        <v>3536</v>
      </c>
      <c r="E1818" s="19" t="str">
        <f>VLOOKUP(D1818,'لیست پرسنل'!$B$2:$E$1020,3,FALSE)</f>
        <v>فکورصنعت</v>
      </c>
      <c r="F1818" s="19" t="str">
        <f>VLOOKUP(D1818,'لیست پرسنل'!$B$2:$E$1020,4,FALSE)</f>
        <v>انبار</v>
      </c>
      <c r="G1818" s="127">
        <f>VLOOKUP(D1818,'لیست پرسنل'!$B$2:$F$1020,2,FALSE)</f>
        <v>1536</v>
      </c>
      <c r="H1818" s="128" t="s">
        <v>3705</v>
      </c>
      <c r="I1818" s="128"/>
      <c r="J1818" s="128" t="s">
        <v>3938</v>
      </c>
      <c r="K1818" s="128" t="s">
        <v>5980</v>
      </c>
      <c r="L1818" s="128" t="s">
        <v>5981</v>
      </c>
      <c r="M1818" s="128">
        <v>612106</v>
      </c>
      <c r="N1818" s="108"/>
      <c r="O1818" s="20"/>
      <c r="P1818" s="20"/>
      <c r="Q1818" s="20"/>
    </row>
    <row r="1819" spans="1:17" ht="24.9" customHeight="1">
      <c r="A1819" s="20">
        <v>390</v>
      </c>
      <c r="B1819" s="20" t="s">
        <v>4355</v>
      </c>
      <c r="C1819" s="20"/>
      <c r="D1819" s="20" t="s">
        <v>3536</v>
      </c>
      <c r="E1819" s="19" t="str">
        <f>VLOOKUP(D1819,'لیست پرسنل'!$B$2:$E$1020,3,FALSE)</f>
        <v>فکورصنعت</v>
      </c>
      <c r="F1819" s="19" t="str">
        <f>VLOOKUP(D1819,'لیست پرسنل'!$B$2:$E$1020,4,FALSE)</f>
        <v>انبار</v>
      </c>
      <c r="G1819" s="127">
        <f>VLOOKUP(D1819,'لیست پرسنل'!$B$2:$F$1020,2,FALSE)</f>
        <v>1536</v>
      </c>
      <c r="H1819" s="128" t="s">
        <v>3705</v>
      </c>
      <c r="I1819" s="128"/>
      <c r="J1819" s="128" t="s">
        <v>3938</v>
      </c>
      <c r="K1819" s="128" t="s">
        <v>5980</v>
      </c>
      <c r="L1819" s="128" t="s">
        <v>5981</v>
      </c>
      <c r="M1819" s="128">
        <v>613275</v>
      </c>
      <c r="N1819" s="108"/>
      <c r="O1819" s="20"/>
      <c r="P1819" s="20"/>
      <c r="Q1819" s="20"/>
    </row>
    <row r="1820" spans="1:17" ht="24.9" customHeight="1">
      <c r="A1820" s="20">
        <v>390</v>
      </c>
      <c r="B1820" s="20" t="s">
        <v>4355</v>
      </c>
      <c r="C1820" s="20"/>
      <c r="D1820" s="20" t="s">
        <v>3536</v>
      </c>
      <c r="E1820" s="19" t="str">
        <f>VLOOKUP(D1820,'لیست پرسنل'!$B$2:$E$1020,3,FALSE)</f>
        <v>فکورصنعت</v>
      </c>
      <c r="F1820" s="19" t="str">
        <f>VLOOKUP(D1820,'لیست پرسنل'!$B$2:$E$1020,4,FALSE)</f>
        <v>انبار</v>
      </c>
      <c r="G1820" s="127">
        <f>VLOOKUP(D1820,'لیست پرسنل'!$B$2:$F$1020,2,FALSE)</f>
        <v>1536</v>
      </c>
      <c r="H1820" s="128" t="s">
        <v>3705</v>
      </c>
      <c r="I1820" s="128"/>
      <c r="J1820" s="128" t="s">
        <v>571</v>
      </c>
      <c r="K1820" s="128" t="s">
        <v>571</v>
      </c>
      <c r="L1820" s="128"/>
      <c r="M1820" s="127">
        <v>609133</v>
      </c>
      <c r="N1820" s="108"/>
      <c r="O1820" s="81" t="s">
        <v>4602</v>
      </c>
      <c r="P1820" s="20"/>
      <c r="Q1820" s="20"/>
    </row>
    <row r="1821" spans="1:17" ht="24.9" customHeight="1">
      <c r="A1821" s="20">
        <v>390</v>
      </c>
      <c r="B1821" s="20" t="s">
        <v>4355</v>
      </c>
      <c r="C1821" s="20"/>
      <c r="D1821" s="20" t="s">
        <v>3536</v>
      </c>
      <c r="E1821" s="19" t="str">
        <f>VLOOKUP(D1821,'لیست پرسنل'!$B$2:$E$1020,3,FALSE)</f>
        <v>فکورصنعت</v>
      </c>
      <c r="F1821" s="19" t="str">
        <f>VLOOKUP(D1821,'لیست پرسنل'!$B$2:$E$1020,4,FALSE)</f>
        <v>انبار</v>
      </c>
      <c r="G1821" s="127">
        <f>VLOOKUP(D1821,'لیست پرسنل'!$B$2:$F$1020,2,FALSE)</f>
        <v>1536</v>
      </c>
      <c r="H1821" s="128" t="s">
        <v>3705</v>
      </c>
      <c r="I1821" s="128"/>
      <c r="J1821" s="128" t="s">
        <v>2686</v>
      </c>
      <c r="K1821" s="128" t="s">
        <v>1215</v>
      </c>
      <c r="L1821" s="128" t="s">
        <v>1208</v>
      </c>
      <c r="M1821" s="127">
        <v>605339</v>
      </c>
      <c r="N1821" s="109"/>
      <c r="O1821" s="19"/>
      <c r="P1821" s="20"/>
      <c r="Q1821" s="20"/>
    </row>
    <row r="1822" spans="1:17" ht="24.9" customHeight="1">
      <c r="A1822" s="20">
        <v>390</v>
      </c>
      <c r="B1822" s="20" t="s">
        <v>4355</v>
      </c>
      <c r="C1822" s="20"/>
      <c r="D1822" s="20" t="s">
        <v>3536</v>
      </c>
      <c r="E1822" s="19" t="str">
        <f>VLOOKUP(D1822,'لیست پرسنل'!$B$2:$E$1020,3,FALSE)</f>
        <v>فکورصنعت</v>
      </c>
      <c r="F1822" s="19" t="str">
        <f>VLOOKUP(D1822,'لیست پرسنل'!$B$2:$E$1020,4,FALSE)</f>
        <v>انبار</v>
      </c>
      <c r="G1822" s="127">
        <f>VLOOKUP(D1822,'لیست پرسنل'!$B$2:$F$1020,2,FALSE)</f>
        <v>1536</v>
      </c>
      <c r="H1822" s="128" t="s">
        <v>3660</v>
      </c>
      <c r="I1822" s="128"/>
      <c r="J1822" s="128" t="s">
        <v>2686</v>
      </c>
      <c r="K1822" s="128" t="s">
        <v>1167</v>
      </c>
      <c r="L1822" s="128" t="s">
        <v>1198</v>
      </c>
      <c r="M1822" s="127">
        <v>604310</v>
      </c>
      <c r="N1822" s="109"/>
      <c r="O1822" s="19"/>
      <c r="P1822" s="20"/>
      <c r="Q1822" s="20"/>
    </row>
    <row r="1823" spans="1:17" ht="24.9" customHeight="1">
      <c r="A1823" s="20">
        <v>390</v>
      </c>
      <c r="B1823" s="20" t="s">
        <v>4364</v>
      </c>
      <c r="C1823" s="20">
        <v>1</v>
      </c>
      <c r="D1823" s="83" t="s">
        <v>3536</v>
      </c>
      <c r="E1823" s="19" t="str">
        <f>VLOOKUP(D1823,'لیست پرسنل'!$B$2:$E$1020,3,FALSE)</f>
        <v>فکورصنعت</v>
      </c>
      <c r="F1823" s="19" t="str">
        <f>VLOOKUP(D1823,'لیست پرسنل'!$B$2:$E$1020,4,FALSE)</f>
        <v>انبار</v>
      </c>
      <c r="G1823" s="127">
        <f>VLOOKUP(D1823,'لیست پرسنل'!$B$2:$F$1020,2,FALSE)</f>
        <v>1536</v>
      </c>
      <c r="H1823" s="181" t="s">
        <v>7144</v>
      </c>
      <c r="I1823" s="159" t="s">
        <v>155</v>
      </c>
      <c r="J1823" s="159" t="s">
        <v>571</v>
      </c>
      <c r="K1823" s="128"/>
      <c r="L1823" s="151"/>
      <c r="M1823" s="127">
        <v>627734</v>
      </c>
      <c r="N1823" s="109"/>
      <c r="O1823" s="19"/>
      <c r="P1823" s="20"/>
      <c r="Q1823" s="20"/>
    </row>
    <row r="1824" spans="1:17" ht="24.9" customHeight="1">
      <c r="A1824" s="20">
        <v>390</v>
      </c>
      <c r="B1824" s="20" t="s">
        <v>4364</v>
      </c>
      <c r="C1824" s="20">
        <v>1</v>
      </c>
      <c r="D1824" s="83" t="s">
        <v>3536</v>
      </c>
      <c r="E1824" s="19" t="str">
        <f>VLOOKUP(D1824,'لیست پرسنل'!$B$2:$E$1020,3,FALSE)</f>
        <v>فکورصنعت</v>
      </c>
      <c r="F1824" s="19" t="str">
        <f>VLOOKUP(D1824,'لیست پرسنل'!$B$2:$E$1020,4,FALSE)</f>
        <v>انبار</v>
      </c>
      <c r="G1824" s="127">
        <f>VLOOKUP(D1824,'لیست پرسنل'!$B$2:$F$1020,2,FALSE)</f>
        <v>1536</v>
      </c>
      <c r="H1824" s="181" t="s">
        <v>7144</v>
      </c>
      <c r="I1824" s="159" t="s">
        <v>155</v>
      </c>
      <c r="J1824" s="128" t="s">
        <v>2686</v>
      </c>
      <c r="K1824" s="127" t="s">
        <v>2143</v>
      </c>
      <c r="L1824" s="127" t="s">
        <v>2264</v>
      </c>
      <c r="M1824" s="127">
        <v>628655</v>
      </c>
      <c r="N1824" s="108"/>
      <c r="O1824" s="20" t="s">
        <v>705</v>
      </c>
      <c r="P1824" s="20"/>
      <c r="Q1824" s="20"/>
    </row>
    <row r="1825" spans="1:17" ht="24.9" customHeight="1">
      <c r="A1825" s="20">
        <v>390</v>
      </c>
      <c r="B1825" s="20" t="s">
        <v>4364</v>
      </c>
      <c r="C1825" s="20">
        <v>2</v>
      </c>
      <c r="D1825" s="83" t="s">
        <v>3537</v>
      </c>
      <c r="E1825" s="19" t="str">
        <f>VLOOKUP(D1825,'لیست پرسنل'!$B$2:$E$1020,3,FALSE)</f>
        <v>نظارت کارفرما</v>
      </c>
      <c r="F1825" s="19" t="str">
        <f>VLOOKUP(D1825,'لیست پرسنل'!$B$2:$E$1020,4,FALSE)</f>
        <v>نظارت کارفرما</v>
      </c>
      <c r="G1825" s="127" t="str">
        <f>VLOOKUP(D1825,'لیست پرسنل'!$B$2:$F$1020,2,FALSE)</f>
        <v>0</v>
      </c>
      <c r="H1825" s="181" t="s">
        <v>3702</v>
      </c>
      <c r="I1825" s="159" t="s">
        <v>156</v>
      </c>
      <c r="J1825" s="159" t="s">
        <v>571</v>
      </c>
      <c r="K1825" s="128" t="s">
        <v>172</v>
      </c>
      <c r="L1825" s="151"/>
      <c r="M1825" s="127">
        <v>618788</v>
      </c>
      <c r="N1825" s="108"/>
      <c r="O1825" s="20"/>
      <c r="P1825" s="20"/>
      <c r="Q1825" s="20"/>
    </row>
    <row r="1826" spans="1:17" ht="24.9" customHeight="1">
      <c r="A1826" s="20">
        <v>390</v>
      </c>
      <c r="B1826" s="20" t="s">
        <v>4364</v>
      </c>
      <c r="C1826" s="20">
        <v>3</v>
      </c>
      <c r="D1826" s="20" t="s">
        <v>444</v>
      </c>
      <c r="E1826" s="19" t="str">
        <f>VLOOKUP(D1826,'لیست پرسنل'!$B$2:$E$1020,3,FALSE)</f>
        <v>فکورصنعت</v>
      </c>
      <c r="F1826" s="19" t="str">
        <f>VLOOKUP(D1826,'لیست پرسنل'!$B$2:$E$1020,4,FALSE)</f>
        <v>نظارت مکانیک</v>
      </c>
      <c r="G1826" s="127">
        <f>VLOOKUP(D1826,'لیست پرسنل'!$B$2:$F$1020,2,FALSE)</f>
        <v>991002</v>
      </c>
      <c r="H1826" s="128" t="s">
        <v>3660</v>
      </c>
      <c r="I1826" s="159" t="s">
        <v>157</v>
      </c>
      <c r="J1826" s="128" t="s">
        <v>737</v>
      </c>
      <c r="K1826" s="128" t="s">
        <v>480</v>
      </c>
      <c r="L1826" s="128" t="s">
        <v>481</v>
      </c>
      <c r="M1826" s="128">
        <v>615417</v>
      </c>
      <c r="N1826" s="108"/>
      <c r="O1826" s="20"/>
      <c r="P1826" s="20"/>
      <c r="Q1826" s="20"/>
    </row>
    <row r="1827" spans="1:17" ht="24.9" customHeight="1">
      <c r="A1827" s="20">
        <v>390</v>
      </c>
      <c r="B1827" s="20" t="s">
        <v>4364</v>
      </c>
      <c r="C1827" s="20">
        <v>3</v>
      </c>
      <c r="D1827" s="19" t="s">
        <v>444</v>
      </c>
      <c r="E1827" s="19" t="str">
        <f>VLOOKUP(D1827,'لیست پرسنل'!$B$2:$E$1020,3,FALSE)</f>
        <v>فکورصنعت</v>
      </c>
      <c r="F1827" s="19" t="str">
        <f>VLOOKUP(D1827,'لیست پرسنل'!$B$2:$E$1020,4,FALSE)</f>
        <v>نظارت مکانیک</v>
      </c>
      <c r="G1827" s="127">
        <f>VLOOKUP(D1827,'لیست پرسنل'!$B$2:$F$1020,2,FALSE)</f>
        <v>991002</v>
      </c>
      <c r="H1827" s="151" t="s">
        <v>3660</v>
      </c>
      <c r="I1827" s="159" t="s">
        <v>157</v>
      </c>
      <c r="J1827" s="126" t="s">
        <v>368</v>
      </c>
      <c r="K1827" s="128" t="s">
        <v>1346</v>
      </c>
      <c r="L1827" s="127" t="s">
        <v>783</v>
      </c>
      <c r="M1827" s="127">
        <v>621035</v>
      </c>
      <c r="N1827" s="109"/>
      <c r="O1827" s="19"/>
      <c r="P1827" s="20"/>
      <c r="Q1827" s="20"/>
    </row>
    <row r="1828" spans="1:17" ht="24.9" customHeight="1">
      <c r="A1828" s="20">
        <v>390</v>
      </c>
      <c r="B1828" s="20" t="s">
        <v>4364</v>
      </c>
      <c r="C1828" s="20">
        <v>3</v>
      </c>
      <c r="D1828" s="19" t="s">
        <v>444</v>
      </c>
      <c r="E1828" s="19" t="str">
        <f>VLOOKUP(D1828,'لیست پرسنل'!$B$2:$E$1020,3,FALSE)</f>
        <v>فکورصنعت</v>
      </c>
      <c r="F1828" s="19" t="str">
        <f>VLOOKUP(D1828,'لیست پرسنل'!$B$2:$E$1020,4,FALSE)</f>
        <v>نظارت مکانیک</v>
      </c>
      <c r="G1828" s="127">
        <f>VLOOKUP(D1828,'لیست پرسنل'!$B$2:$F$1020,2,FALSE)</f>
        <v>991002</v>
      </c>
      <c r="H1828" s="151" t="s">
        <v>3660</v>
      </c>
      <c r="I1828" s="159" t="s">
        <v>157</v>
      </c>
      <c r="J1828" s="159" t="s">
        <v>571</v>
      </c>
      <c r="K1828" s="128"/>
      <c r="L1828" s="151"/>
      <c r="M1828" s="127">
        <v>627711</v>
      </c>
      <c r="N1828" s="109"/>
      <c r="O1828" s="19"/>
      <c r="P1828" s="20"/>
      <c r="Q1828" s="20"/>
    </row>
    <row r="1829" spans="1:17" ht="24.9" customHeight="1">
      <c r="A1829" s="20">
        <v>390</v>
      </c>
      <c r="B1829" s="20" t="s">
        <v>4364</v>
      </c>
      <c r="C1829" s="20">
        <v>3</v>
      </c>
      <c r="D1829" s="19" t="s">
        <v>444</v>
      </c>
      <c r="E1829" s="19" t="str">
        <f>VLOOKUP(D1829,'لیست پرسنل'!$B$2:$E$1020,3,FALSE)</f>
        <v>فکورصنعت</v>
      </c>
      <c r="F1829" s="19" t="str">
        <f>VLOOKUP(D1829,'لیست پرسنل'!$B$2:$E$1020,4,FALSE)</f>
        <v>نظارت مکانیک</v>
      </c>
      <c r="G1829" s="127">
        <f>VLOOKUP(D1829,'لیست پرسنل'!$B$2:$F$1020,2,FALSE)</f>
        <v>991002</v>
      </c>
      <c r="H1829" s="151" t="s">
        <v>3660</v>
      </c>
      <c r="I1829" s="159" t="s">
        <v>157</v>
      </c>
      <c r="J1829" s="128" t="s">
        <v>2686</v>
      </c>
      <c r="K1829" s="127" t="s">
        <v>2143</v>
      </c>
      <c r="L1829" s="127" t="s">
        <v>2248</v>
      </c>
      <c r="M1829" s="127">
        <v>628639</v>
      </c>
      <c r="N1829" s="108"/>
      <c r="O1829" s="20" t="s">
        <v>705</v>
      </c>
      <c r="P1829" s="20"/>
      <c r="Q1829" s="20"/>
    </row>
    <row r="1830" spans="1:17" ht="24.9" customHeight="1">
      <c r="A1830" s="20">
        <v>390</v>
      </c>
      <c r="B1830" s="20" t="s">
        <v>4364</v>
      </c>
      <c r="C1830" s="20">
        <v>4</v>
      </c>
      <c r="D1830" s="20" t="s">
        <v>3539</v>
      </c>
      <c r="E1830" s="19" t="str">
        <f>VLOOKUP(D1830,'لیست پرسنل'!$B$2:$E$1020,3,FALSE)</f>
        <v>فکورصنعت</v>
      </c>
      <c r="F1830" s="19" t="str">
        <f>VLOOKUP(D1830,'لیست پرسنل'!$B$2:$E$1020,4,FALSE)</f>
        <v>مالی - اداری</v>
      </c>
      <c r="G1830" s="127">
        <f>VLOOKUP(D1830,'لیست پرسنل'!$B$2:$F$1020,2,FALSE)</f>
        <v>1901</v>
      </c>
      <c r="H1830" s="151" t="s">
        <v>3660</v>
      </c>
      <c r="I1830" s="159" t="s">
        <v>158</v>
      </c>
      <c r="J1830" s="159" t="s">
        <v>3383</v>
      </c>
      <c r="K1830" s="128" t="s">
        <v>144</v>
      </c>
      <c r="L1830" s="127" t="s">
        <v>177</v>
      </c>
      <c r="M1830" s="127">
        <v>607945</v>
      </c>
      <c r="N1830" s="109"/>
      <c r="O1830" s="19"/>
      <c r="P1830" s="20"/>
      <c r="Q1830" s="20"/>
    </row>
    <row r="1831" spans="1:17" ht="24.9" customHeight="1">
      <c r="A1831" s="20">
        <v>390</v>
      </c>
      <c r="B1831" s="20" t="s">
        <v>4364</v>
      </c>
      <c r="C1831" s="20">
        <v>4</v>
      </c>
      <c r="D1831" s="20" t="s">
        <v>3539</v>
      </c>
      <c r="E1831" s="19" t="str">
        <f>VLOOKUP(D1831,'لیست پرسنل'!$B$2:$E$1020,3,FALSE)</f>
        <v>فکورصنعت</v>
      </c>
      <c r="F1831" s="19" t="str">
        <f>VLOOKUP(D1831,'لیست پرسنل'!$B$2:$E$1020,4,FALSE)</f>
        <v>مالی - اداری</v>
      </c>
      <c r="G1831" s="127">
        <f>VLOOKUP(D1831,'لیست پرسنل'!$B$2:$F$1020,2,FALSE)</f>
        <v>1901</v>
      </c>
      <c r="H1831" s="151" t="s">
        <v>3660</v>
      </c>
      <c r="I1831" s="159" t="s">
        <v>158</v>
      </c>
      <c r="J1831" s="128" t="s">
        <v>737</v>
      </c>
      <c r="K1831" s="128" t="s">
        <v>174</v>
      </c>
      <c r="L1831" s="127" t="s">
        <v>175</v>
      </c>
      <c r="M1831" s="127">
        <v>606501</v>
      </c>
      <c r="N1831" s="109"/>
      <c r="O1831" s="19"/>
      <c r="P1831" s="20"/>
      <c r="Q1831" s="20"/>
    </row>
    <row r="1832" spans="1:17" ht="24.9" customHeight="1">
      <c r="A1832" s="20">
        <v>390</v>
      </c>
      <c r="B1832" s="20" t="s">
        <v>4364</v>
      </c>
      <c r="C1832" s="20">
        <v>4</v>
      </c>
      <c r="D1832" s="20" t="s">
        <v>3539</v>
      </c>
      <c r="E1832" s="19" t="str">
        <f>VLOOKUP(D1832,'لیست پرسنل'!$B$2:$E$1020,3,FALSE)</f>
        <v>فکورصنعت</v>
      </c>
      <c r="F1832" s="19" t="str">
        <f>VLOOKUP(D1832,'لیست پرسنل'!$B$2:$E$1020,4,FALSE)</f>
        <v>مالی - اداری</v>
      </c>
      <c r="G1832" s="127">
        <f>VLOOKUP(D1832,'لیست پرسنل'!$B$2:$F$1020,2,FALSE)</f>
        <v>1901</v>
      </c>
      <c r="H1832" s="151" t="s">
        <v>3660</v>
      </c>
      <c r="I1832" s="159" t="s">
        <v>158</v>
      </c>
      <c r="J1832" s="126" t="s">
        <v>368</v>
      </c>
      <c r="K1832" s="128" t="s">
        <v>658</v>
      </c>
      <c r="L1832" s="127" t="s">
        <v>788</v>
      </c>
      <c r="M1832" s="127">
        <v>621040</v>
      </c>
      <c r="N1832" s="109"/>
      <c r="O1832" s="19"/>
      <c r="P1832" s="20"/>
      <c r="Q1832" s="20"/>
    </row>
    <row r="1833" spans="1:17" ht="24.9" customHeight="1">
      <c r="A1833" s="20">
        <v>390</v>
      </c>
      <c r="B1833" s="20" t="s">
        <v>4364</v>
      </c>
      <c r="C1833" s="20">
        <v>4</v>
      </c>
      <c r="D1833" s="20" t="s">
        <v>3539</v>
      </c>
      <c r="E1833" s="19" t="str">
        <f>VLOOKUP(D1833,'لیست پرسنل'!$B$2:$E$1020,3,FALSE)</f>
        <v>فکورصنعت</v>
      </c>
      <c r="F1833" s="19" t="str">
        <f>VLOOKUP(D1833,'لیست پرسنل'!$B$2:$E$1020,4,FALSE)</f>
        <v>مالی - اداری</v>
      </c>
      <c r="G1833" s="127">
        <f>VLOOKUP(D1833,'لیست پرسنل'!$B$2:$F$1020,2,FALSE)</f>
        <v>1901</v>
      </c>
      <c r="H1833" s="151" t="s">
        <v>3660</v>
      </c>
      <c r="I1833" s="159" t="s">
        <v>158</v>
      </c>
      <c r="J1833" s="159" t="s">
        <v>571</v>
      </c>
      <c r="K1833" s="128"/>
      <c r="L1833" s="151"/>
      <c r="M1833" s="127">
        <v>625438</v>
      </c>
      <c r="N1833" s="109"/>
      <c r="O1833" s="19"/>
      <c r="P1833" s="20"/>
      <c r="Q1833" s="20"/>
    </row>
    <row r="1834" spans="1:17" ht="24.9" customHeight="1">
      <c r="A1834" s="20">
        <v>390</v>
      </c>
      <c r="B1834" s="20" t="s">
        <v>4364</v>
      </c>
      <c r="C1834" s="20">
        <v>4</v>
      </c>
      <c r="D1834" s="20" t="s">
        <v>3539</v>
      </c>
      <c r="E1834" s="19" t="str">
        <f>VLOOKUP(D1834,'لیست پرسنل'!$B$2:$E$1020,3,FALSE)</f>
        <v>فکورصنعت</v>
      </c>
      <c r="F1834" s="19" t="str">
        <f>VLOOKUP(D1834,'لیست پرسنل'!$B$2:$E$1020,4,FALSE)</f>
        <v>مالی - اداری</v>
      </c>
      <c r="G1834" s="127">
        <f>VLOOKUP(D1834,'لیست پرسنل'!$B$2:$F$1020,2,FALSE)</f>
        <v>1901</v>
      </c>
      <c r="H1834" s="151" t="s">
        <v>3660</v>
      </c>
      <c r="I1834" s="159" t="s">
        <v>158</v>
      </c>
      <c r="J1834" s="128" t="s">
        <v>2686</v>
      </c>
      <c r="K1834" s="128" t="s">
        <v>2143</v>
      </c>
      <c r="L1834" s="127" t="s">
        <v>2270</v>
      </c>
      <c r="M1834" s="127">
        <v>628661</v>
      </c>
      <c r="N1834" s="108"/>
      <c r="O1834" s="20" t="s">
        <v>705</v>
      </c>
      <c r="P1834" s="20"/>
      <c r="Q1834" s="20"/>
    </row>
    <row r="1835" spans="1:17" ht="24.9" customHeight="1">
      <c r="A1835" s="20">
        <v>390</v>
      </c>
      <c r="B1835" s="20" t="s">
        <v>4364</v>
      </c>
      <c r="C1835" s="20">
        <v>5</v>
      </c>
      <c r="D1835" s="83" t="s">
        <v>3540</v>
      </c>
      <c r="E1835" s="19" t="str">
        <f>VLOOKUP(D1835,'لیست پرسنل'!$B$2:$E$1020,3,FALSE)</f>
        <v>فکورصنعت</v>
      </c>
      <c r="F1835" s="19" t="str">
        <f>VLOOKUP(D1835,'لیست پرسنل'!$B$2:$E$1020,4,FALSE)</f>
        <v>انبار</v>
      </c>
      <c r="G1835" s="127">
        <f>VLOOKUP(D1835,'لیست پرسنل'!$B$2:$F$1020,2,FALSE)</f>
        <v>1902</v>
      </c>
      <c r="H1835" s="151" t="s">
        <v>3660</v>
      </c>
      <c r="I1835" s="159" t="s">
        <v>159</v>
      </c>
      <c r="J1835" s="126" t="s">
        <v>368</v>
      </c>
      <c r="K1835" s="128" t="s">
        <v>660</v>
      </c>
      <c r="L1835" s="127" t="s">
        <v>1333</v>
      </c>
      <c r="M1835" s="127">
        <v>626007</v>
      </c>
      <c r="N1835" s="109"/>
      <c r="O1835" s="19"/>
      <c r="P1835" s="20"/>
      <c r="Q1835" s="20"/>
    </row>
    <row r="1836" spans="1:17" ht="24.9" customHeight="1">
      <c r="A1836" s="20">
        <v>390</v>
      </c>
      <c r="B1836" s="20" t="s">
        <v>4364</v>
      </c>
      <c r="C1836" s="20">
        <v>5</v>
      </c>
      <c r="D1836" s="83" t="s">
        <v>3540</v>
      </c>
      <c r="E1836" s="19" t="str">
        <f>VLOOKUP(D1836,'لیست پرسنل'!$B$2:$E$1020,3,FALSE)</f>
        <v>فکورصنعت</v>
      </c>
      <c r="F1836" s="19" t="str">
        <f>VLOOKUP(D1836,'لیست پرسنل'!$B$2:$E$1020,4,FALSE)</f>
        <v>انبار</v>
      </c>
      <c r="G1836" s="127">
        <f>VLOOKUP(D1836,'لیست پرسنل'!$B$2:$F$1020,2,FALSE)</f>
        <v>1902</v>
      </c>
      <c r="H1836" s="151" t="s">
        <v>3660</v>
      </c>
      <c r="I1836" s="159" t="s">
        <v>159</v>
      </c>
      <c r="J1836" s="159" t="s">
        <v>571</v>
      </c>
      <c r="K1836" s="128"/>
      <c r="L1836" s="151"/>
      <c r="M1836" s="127">
        <v>607866</v>
      </c>
      <c r="N1836" s="109"/>
      <c r="O1836" s="19"/>
      <c r="P1836" s="20"/>
      <c r="Q1836" s="20"/>
    </row>
    <row r="1837" spans="1:17" ht="24.9" customHeight="1">
      <c r="A1837" s="20">
        <v>390</v>
      </c>
      <c r="B1837" s="20" t="s">
        <v>4364</v>
      </c>
      <c r="C1837" s="20">
        <v>5</v>
      </c>
      <c r="D1837" s="83" t="s">
        <v>3540</v>
      </c>
      <c r="E1837" s="19" t="str">
        <f>VLOOKUP(D1837,'لیست پرسنل'!$B$2:$E$1020,3,FALSE)</f>
        <v>فکورصنعت</v>
      </c>
      <c r="F1837" s="19" t="str">
        <f>VLOOKUP(D1837,'لیست پرسنل'!$B$2:$E$1020,4,FALSE)</f>
        <v>انبار</v>
      </c>
      <c r="G1837" s="127">
        <f>VLOOKUP(D1837,'لیست پرسنل'!$B$2:$F$1020,2,FALSE)</f>
        <v>1902</v>
      </c>
      <c r="H1837" s="151" t="s">
        <v>3660</v>
      </c>
      <c r="I1837" s="159" t="s">
        <v>159</v>
      </c>
      <c r="J1837" s="128" t="s">
        <v>2686</v>
      </c>
      <c r="K1837" s="128" t="s">
        <v>395</v>
      </c>
      <c r="L1837" s="151" t="s">
        <v>1202</v>
      </c>
      <c r="M1837" s="127">
        <v>608120</v>
      </c>
      <c r="N1837" s="109"/>
      <c r="O1837" s="19"/>
      <c r="P1837" s="20"/>
      <c r="Q1837" s="20"/>
    </row>
    <row r="1838" spans="1:17" ht="24.9" customHeight="1">
      <c r="A1838" s="20">
        <v>390</v>
      </c>
      <c r="B1838" s="20" t="s">
        <v>4364</v>
      </c>
      <c r="C1838" s="20">
        <v>5</v>
      </c>
      <c r="D1838" s="20" t="s">
        <v>3536</v>
      </c>
      <c r="E1838" s="19" t="str">
        <f>VLOOKUP(D1838,'لیست پرسنل'!$B$2:$E$1020,3,FALSE)</f>
        <v>فکورصنعت</v>
      </c>
      <c r="F1838" s="19" t="str">
        <f>VLOOKUP(D1838,'لیست پرسنل'!$B$2:$E$1020,4,FALSE)</f>
        <v>انبار</v>
      </c>
      <c r="G1838" s="127">
        <f>VLOOKUP(D1838,'لیست پرسنل'!$B$2:$F$1020,2,FALSE)</f>
        <v>1536</v>
      </c>
      <c r="H1838" s="151" t="s">
        <v>3660</v>
      </c>
      <c r="I1838" s="159" t="s">
        <v>159</v>
      </c>
      <c r="J1838" s="128" t="s">
        <v>737</v>
      </c>
      <c r="K1838" s="128" t="s">
        <v>179</v>
      </c>
      <c r="L1838" s="127" t="s">
        <v>180</v>
      </c>
      <c r="M1838" s="127">
        <v>607310</v>
      </c>
      <c r="N1838" s="109"/>
      <c r="O1838" s="19"/>
      <c r="P1838" s="20"/>
      <c r="Q1838" s="20"/>
    </row>
    <row r="1839" spans="1:17" ht="24.9" customHeight="1">
      <c r="A1839" s="20">
        <v>390</v>
      </c>
      <c r="B1839" s="20" t="s">
        <v>4364</v>
      </c>
      <c r="C1839" s="20">
        <v>6</v>
      </c>
      <c r="D1839" s="20" t="s">
        <v>3541</v>
      </c>
      <c r="E1839" s="19" t="str">
        <f>VLOOKUP(D1839,'لیست پرسنل'!$B$2:$E$1020,3,FALSE)</f>
        <v>فکورصنعت</v>
      </c>
      <c r="F1839" s="19" t="str">
        <f>VLOOKUP(D1839,'لیست پرسنل'!$B$2:$E$1020,4,FALSE)</f>
        <v>مدیرپروژه</v>
      </c>
      <c r="G1839" s="127">
        <f>VLOOKUP(D1839,'لیست پرسنل'!$B$2:$F$1020,2,FALSE)</f>
        <v>165</v>
      </c>
      <c r="H1839" s="151" t="s">
        <v>3660</v>
      </c>
      <c r="I1839" s="159" t="s">
        <v>160</v>
      </c>
      <c r="J1839" s="126" t="s">
        <v>368</v>
      </c>
      <c r="K1839" s="128" t="s">
        <v>1346</v>
      </c>
      <c r="L1839" s="127" t="s">
        <v>789</v>
      </c>
      <c r="M1839" s="127">
        <v>621041</v>
      </c>
      <c r="N1839" s="109"/>
      <c r="O1839" s="19"/>
      <c r="P1839" s="20"/>
      <c r="Q1839" s="20"/>
    </row>
    <row r="1840" spans="1:17" ht="24.9" customHeight="1">
      <c r="A1840" s="20">
        <v>390</v>
      </c>
      <c r="B1840" s="20" t="s">
        <v>4364</v>
      </c>
      <c r="C1840" s="20">
        <v>6</v>
      </c>
      <c r="D1840" s="20" t="s">
        <v>3541</v>
      </c>
      <c r="E1840" s="19" t="str">
        <f>VLOOKUP(D1840,'لیست پرسنل'!$B$2:$E$1020,3,FALSE)</f>
        <v>فکورصنعت</v>
      </c>
      <c r="F1840" s="19" t="str">
        <f>VLOOKUP(D1840,'لیست پرسنل'!$B$2:$E$1020,4,FALSE)</f>
        <v>مدیرپروژه</v>
      </c>
      <c r="G1840" s="127">
        <f>VLOOKUP(D1840,'لیست پرسنل'!$B$2:$F$1020,2,FALSE)</f>
        <v>165</v>
      </c>
      <c r="H1840" s="151" t="s">
        <v>3660</v>
      </c>
      <c r="I1840" s="159" t="s">
        <v>160</v>
      </c>
      <c r="J1840" s="141" t="s">
        <v>571</v>
      </c>
      <c r="K1840" s="135" t="s">
        <v>5270</v>
      </c>
      <c r="L1840" s="154" t="s">
        <v>2219</v>
      </c>
      <c r="M1840" s="131">
        <v>631125</v>
      </c>
      <c r="N1840" s="108"/>
      <c r="O1840" s="20" t="s">
        <v>705</v>
      </c>
      <c r="P1840" s="20"/>
      <c r="Q1840" s="20"/>
    </row>
    <row r="1841" spans="1:17" ht="24.9" customHeight="1">
      <c r="A1841" s="20">
        <v>390</v>
      </c>
      <c r="B1841" s="20" t="s">
        <v>4364</v>
      </c>
      <c r="C1841" s="20">
        <v>6</v>
      </c>
      <c r="D1841" s="20" t="s">
        <v>3541</v>
      </c>
      <c r="E1841" s="19" t="str">
        <f>VLOOKUP(D1841,'لیست پرسنل'!$B$2:$E$1020,3,FALSE)</f>
        <v>فکورصنعت</v>
      </c>
      <c r="F1841" s="19" t="str">
        <f>VLOOKUP(D1841,'لیست پرسنل'!$B$2:$E$1020,4,FALSE)</f>
        <v>مدیرپروژه</v>
      </c>
      <c r="G1841" s="127">
        <f>VLOOKUP(D1841,'لیست پرسنل'!$B$2:$F$1020,2,FALSE)</f>
        <v>165</v>
      </c>
      <c r="H1841" s="151" t="s">
        <v>3660</v>
      </c>
      <c r="I1841" s="159" t="s">
        <v>160</v>
      </c>
      <c r="J1841" s="128" t="s">
        <v>2686</v>
      </c>
      <c r="K1841" s="128" t="s">
        <v>5067</v>
      </c>
      <c r="L1841" s="127" t="s">
        <v>5068</v>
      </c>
      <c r="M1841" s="128">
        <v>628391</v>
      </c>
      <c r="N1841" s="108"/>
      <c r="O1841" s="20"/>
      <c r="P1841" s="20"/>
      <c r="Q1841" s="20"/>
    </row>
    <row r="1842" spans="1:17" ht="24.9" customHeight="1">
      <c r="A1842" s="20">
        <v>390</v>
      </c>
      <c r="B1842" s="20" t="s">
        <v>4364</v>
      </c>
      <c r="C1842" s="20">
        <v>9</v>
      </c>
      <c r="D1842" s="83" t="s">
        <v>3543</v>
      </c>
      <c r="E1842" s="19" t="str">
        <f>VLOOKUP(D1842,'لیست پرسنل'!$B$2:$E$1020,3,FALSE)</f>
        <v>نظارت کارفرما</v>
      </c>
      <c r="F1842" s="19" t="str">
        <f>VLOOKUP(D1842,'لیست پرسنل'!$B$2:$E$1020,4,FALSE)</f>
        <v>نظارت کارفرما</v>
      </c>
      <c r="G1842" s="127" t="str">
        <f>VLOOKUP(D1842,'لیست پرسنل'!$B$2:$F$1020,2,FALSE)</f>
        <v>0</v>
      </c>
      <c r="H1842" s="181" t="s">
        <v>3702</v>
      </c>
      <c r="I1842" s="159" t="s">
        <v>162</v>
      </c>
      <c r="J1842" s="128" t="s">
        <v>737</v>
      </c>
      <c r="K1842" s="128" t="s">
        <v>68</v>
      </c>
      <c r="L1842" s="127"/>
      <c r="M1842" s="127">
        <v>602926</v>
      </c>
      <c r="N1842" s="109"/>
      <c r="O1842" s="19"/>
      <c r="P1842" s="20"/>
      <c r="Q1842" s="20"/>
    </row>
    <row r="1843" spans="1:17" ht="24.9" customHeight="1">
      <c r="A1843" s="20">
        <v>390</v>
      </c>
      <c r="B1843" s="20" t="s">
        <v>4364</v>
      </c>
      <c r="C1843" s="20">
        <v>9</v>
      </c>
      <c r="D1843" s="83" t="s">
        <v>3543</v>
      </c>
      <c r="E1843" s="19" t="str">
        <f>VLOOKUP(D1843,'لیست پرسنل'!$B$2:$E$1020,3,FALSE)</f>
        <v>نظارت کارفرما</v>
      </c>
      <c r="F1843" s="19" t="str">
        <f>VLOOKUP(D1843,'لیست پرسنل'!$B$2:$E$1020,4,FALSE)</f>
        <v>نظارت کارفرما</v>
      </c>
      <c r="G1843" s="127" t="str">
        <f>VLOOKUP(D1843,'لیست پرسنل'!$B$2:$F$1020,2,FALSE)</f>
        <v>0</v>
      </c>
      <c r="H1843" s="181" t="s">
        <v>3702</v>
      </c>
      <c r="I1843" s="159" t="s">
        <v>162</v>
      </c>
      <c r="J1843" s="159" t="s">
        <v>571</v>
      </c>
      <c r="K1843" s="128" t="s">
        <v>470</v>
      </c>
      <c r="L1843" s="151"/>
      <c r="M1843" s="127">
        <v>618789</v>
      </c>
      <c r="N1843" s="109"/>
      <c r="O1843" s="19"/>
      <c r="P1843" s="20"/>
      <c r="Q1843" s="20"/>
    </row>
    <row r="1844" spans="1:17" ht="24.9" customHeight="1">
      <c r="A1844" s="20">
        <v>390</v>
      </c>
      <c r="B1844" s="20" t="s">
        <v>4364</v>
      </c>
      <c r="C1844" s="20">
        <v>11</v>
      </c>
      <c r="D1844" s="83" t="s">
        <v>3537</v>
      </c>
      <c r="E1844" s="19" t="str">
        <f>VLOOKUP(D1844,'لیست پرسنل'!$B$2:$E$1020,3,FALSE)</f>
        <v>نظارت کارفرما</v>
      </c>
      <c r="F1844" s="19" t="str">
        <f>VLOOKUP(D1844,'لیست پرسنل'!$B$2:$E$1020,4,FALSE)</f>
        <v>نظارت کارفرما</v>
      </c>
      <c r="G1844" s="127" t="str">
        <f>VLOOKUP(D1844,'لیست پرسنل'!$B$2:$F$1020,2,FALSE)</f>
        <v>0</v>
      </c>
      <c r="H1844" s="181" t="s">
        <v>3702</v>
      </c>
      <c r="I1844" s="159" t="s">
        <v>163</v>
      </c>
      <c r="J1844" s="159" t="s">
        <v>571</v>
      </c>
      <c r="K1844" s="128" t="s">
        <v>172</v>
      </c>
      <c r="L1844" s="151"/>
      <c r="M1844" s="127">
        <v>618790</v>
      </c>
      <c r="N1844" s="109"/>
      <c r="O1844" s="19"/>
      <c r="P1844" s="20"/>
      <c r="Q1844" s="20"/>
    </row>
    <row r="1845" spans="1:17" ht="24.9" customHeight="1">
      <c r="A1845" s="20">
        <v>390</v>
      </c>
      <c r="B1845" s="20" t="s">
        <v>4364</v>
      </c>
      <c r="C1845" s="20">
        <v>13</v>
      </c>
      <c r="D1845" s="83" t="s">
        <v>3544</v>
      </c>
      <c r="E1845" s="19" t="str">
        <f>VLOOKUP(D1845,'لیست پرسنل'!$B$2:$E$1020,3,FALSE)</f>
        <v>نظارت کارفرما</v>
      </c>
      <c r="F1845" s="19" t="str">
        <f>VLOOKUP(D1845,'لیست پرسنل'!$B$2:$E$1020,4,FALSE)</f>
        <v>مسئول دفتر نظارت-بیرق دار</v>
      </c>
      <c r="G1845" s="127" t="str">
        <f>VLOOKUP(D1845,'لیست پرسنل'!$B$2:$F$1020,2,FALSE)</f>
        <v>0</v>
      </c>
      <c r="H1845" s="181" t="s">
        <v>3702</v>
      </c>
      <c r="I1845" s="159" t="s">
        <v>164</v>
      </c>
      <c r="J1845" s="128" t="s">
        <v>737</v>
      </c>
      <c r="K1845" s="128" t="s">
        <v>171</v>
      </c>
      <c r="L1845" s="127">
        <v>83033685</v>
      </c>
      <c r="M1845" s="127">
        <v>615821</v>
      </c>
      <c r="N1845" s="109"/>
      <c r="O1845" s="19"/>
      <c r="P1845" s="20"/>
      <c r="Q1845" s="20"/>
    </row>
    <row r="1846" spans="1:17" ht="24.9" customHeight="1">
      <c r="A1846" s="20">
        <v>390</v>
      </c>
      <c r="B1846" s="20" t="s">
        <v>4364</v>
      </c>
      <c r="C1846" s="20">
        <v>13</v>
      </c>
      <c r="D1846" s="83" t="s">
        <v>3544</v>
      </c>
      <c r="E1846" s="19" t="str">
        <f>VLOOKUP(D1846,'لیست پرسنل'!$B$2:$E$1020,3,FALSE)</f>
        <v>نظارت کارفرما</v>
      </c>
      <c r="F1846" s="19" t="str">
        <f>VLOOKUP(D1846,'لیست پرسنل'!$B$2:$E$1020,4,FALSE)</f>
        <v>مسئول دفتر نظارت-بیرق دار</v>
      </c>
      <c r="G1846" s="127" t="str">
        <f>VLOOKUP(D1846,'لیست پرسنل'!$B$2:$F$1020,2,FALSE)</f>
        <v>0</v>
      </c>
      <c r="H1846" s="181" t="s">
        <v>3702</v>
      </c>
      <c r="I1846" s="159" t="s">
        <v>164</v>
      </c>
      <c r="J1846" s="159" t="s">
        <v>571</v>
      </c>
      <c r="K1846" s="128"/>
      <c r="L1846" s="151"/>
      <c r="M1846" s="127">
        <v>622485</v>
      </c>
      <c r="N1846" s="109"/>
      <c r="O1846" s="19"/>
      <c r="P1846" s="20"/>
      <c r="Q1846" s="20"/>
    </row>
    <row r="1847" spans="1:17" ht="24.9" customHeight="1">
      <c r="A1847" s="20">
        <v>390</v>
      </c>
      <c r="B1847" s="20" t="s">
        <v>4364</v>
      </c>
      <c r="C1847" s="20">
        <v>13</v>
      </c>
      <c r="D1847" s="83" t="s">
        <v>3544</v>
      </c>
      <c r="E1847" s="19" t="str">
        <f>VLOOKUP(D1847,'لیست پرسنل'!$B$2:$E$1020,3,FALSE)</f>
        <v>نظارت کارفرما</v>
      </c>
      <c r="F1847" s="19" t="str">
        <f>VLOOKUP(D1847,'لیست پرسنل'!$B$2:$E$1020,4,FALSE)</f>
        <v>مسئول دفتر نظارت-بیرق دار</v>
      </c>
      <c r="G1847" s="127" t="str">
        <f>VLOOKUP(D1847,'لیست پرسنل'!$B$2:$F$1020,2,FALSE)</f>
        <v>0</v>
      </c>
      <c r="H1847" s="181" t="s">
        <v>3702</v>
      </c>
      <c r="I1847" s="159" t="s">
        <v>164</v>
      </c>
      <c r="J1847" s="128" t="s">
        <v>2686</v>
      </c>
      <c r="K1847" s="128" t="s">
        <v>1215</v>
      </c>
      <c r="L1847" s="151" t="s">
        <v>1206</v>
      </c>
      <c r="M1847" s="127">
        <v>622605</v>
      </c>
      <c r="N1847" s="109"/>
      <c r="O1847" s="19"/>
      <c r="P1847" s="20"/>
      <c r="Q1847" s="20"/>
    </row>
    <row r="1848" spans="1:17" ht="24.9" customHeight="1">
      <c r="A1848" s="20">
        <v>390</v>
      </c>
      <c r="B1848" s="20" t="s">
        <v>4364</v>
      </c>
      <c r="C1848" s="20">
        <v>14</v>
      </c>
      <c r="D1848" s="83" t="s">
        <v>3537</v>
      </c>
      <c r="E1848" s="19" t="str">
        <f>VLOOKUP(D1848,'لیست پرسنل'!$B$2:$E$1020,3,FALSE)</f>
        <v>نظارت کارفرما</v>
      </c>
      <c r="F1848" s="19" t="str">
        <f>VLOOKUP(D1848,'لیست پرسنل'!$B$2:$E$1020,4,FALSE)</f>
        <v>نظارت کارفرما</v>
      </c>
      <c r="G1848" s="127" t="str">
        <f>VLOOKUP(D1848,'لیست پرسنل'!$B$2:$F$1020,2,FALSE)</f>
        <v>0</v>
      </c>
      <c r="H1848" s="181" t="s">
        <v>3702</v>
      </c>
      <c r="I1848" s="159" t="s">
        <v>165</v>
      </c>
      <c r="J1848" s="159" t="s">
        <v>571</v>
      </c>
      <c r="K1848" s="128" t="s">
        <v>172</v>
      </c>
      <c r="L1848" s="151" t="s">
        <v>173</v>
      </c>
      <c r="M1848" s="127">
        <v>618791</v>
      </c>
      <c r="N1848" s="109"/>
      <c r="O1848" s="19"/>
      <c r="P1848" s="20"/>
      <c r="Q1848" s="20"/>
    </row>
    <row r="1849" spans="1:17" ht="24.9" customHeight="1">
      <c r="A1849" s="20">
        <v>390</v>
      </c>
      <c r="B1849" s="20" t="s">
        <v>4364</v>
      </c>
      <c r="C1849" s="20">
        <v>15</v>
      </c>
      <c r="D1849" s="19" t="s">
        <v>3545</v>
      </c>
      <c r="E1849" s="19" t="str">
        <f>VLOOKUP(D1849,'لیست پرسنل'!$B$2:$E$1020,3,FALSE)</f>
        <v>فکورصنعت</v>
      </c>
      <c r="F1849" s="19" t="str">
        <f>VLOOKUP(D1849,'لیست پرسنل'!$B$2:$E$1020,4,FALSE)</f>
        <v>سیویل</v>
      </c>
      <c r="G1849" s="127" t="str">
        <f>VLOOKUP(D1849,'لیست پرسنل'!$B$2:$F$1020,2,FALSE)</f>
        <v>580</v>
      </c>
      <c r="H1849" s="181" t="s">
        <v>3660</v>
      </c>
      <c r="I1849" s="159" t="s">
        <v>166</v>
      </c>
      <c r="J1849" s="126" t="s">
        <v>368</v>
      </c>
      <c r="K1849" s="128" t="s">
        <v>658</v>
      </c>
      <c r="L1849" s="127" t="s">
        <v>787</v>
      </c>
      <c r="M1849" s="127">
        <v>621039</v>
      </c>
      <c r="N1849" s="109"/>
      <c r="O1849" s="19"/>
      <c r="P1849" s="20"/>
      <c r="Q1849" s="20"/>
    </row>
    <row r="1850" spans="1:17" ht="24.9" customHeight="1">
      <c r="A1850" s="20">
        <v>390</v>
      </c>
      <c r="B1850" s="20" t="s">
        <v>4364</v>
      </c>
      <c r="C1850" s="20">
        <v>15</v>
      </c>
      <c r="D1850" s="19" t="s">
        <v>3545</v>
      </c>
      <c r="E1850" s="19" t="str">
        <f>VLOOKUP(D1850,'لیست پرسنل'!$B$2:$E$1020,3,FALSE)</f>
        <v>فکورصنعت</v>
      </c>
      <c r="F1850" s="19" t="str">
        <f>VLOOKUP(D1850,'لیست پرسنل'!$B$2:$E$1020,4,FALSE)</f>
        <v>سیویل</v>
      </c>
      <c r="G1850" s="127" t="str">
        <f>VLOOKUP(D1850,'لیست پرسنل'!$B$2:$F$1020,2,FALSE)</f>
        <v>580</v>
      </c>
      <c r="H1850" s="181" t="s">
        <v>3660</v>
      </c>
      <c r="I1850" s="159" t="s">
        <v>166</v>
      </c>
      <c r="J1850" s="159" t="s">
        <v>571</v>
      </c>
      <c r="K1850" s="128"/>
      <c r="L1850" s="151"/>
      <c r="M1850" s="127">
        <v>627705</v>
      </c>
      <c r="N1850" s="109"/>
      <c r="O1850" s="19"/>
      <c r="P1850" s="20"/>
      <c r="Q1850" s="20"/>
    </row>
    <row r="1851" spans="1:17" ht="24.9" customHeight="1">
      <c r="A1851" s="20">
        <v>390</v>
      </c>
      <c r="B1851" s="20" t="s">
        <v>4364</v>
      </c>
      <c r="C1851" s="20">
        <v>15</v>
      </c>
      <c r="D1851" s="19" t="s">
        <v>3545</v>
      </c>
      <c r="E1851" s="19" t="str">
        <f>VLOOKUP(D1851,'لیست پرسنل'!$B$2:$E$1020,3,FALSE)</f>
        <v>فکورصنعت</v>
      </c>
      <c r="F1851" s="19" t="str">
        <f>VLOOKUP(D1851,'لیست پرسنل'!$B$2:$E$1020,4,FALSE)</f>
        <v>سیویل</v>
      </c>
      <c r="G1851" s="127" t="str">
        <f>VLOOKUP(D1851,'لیست پرسنل'!$B$2:$F$1020,2,FALSE)</f>
        <v>580</v>
      </c>
      <c r="H1851" s="181" t="s">
        <v>3660</v>
      </c>
      <c r="I1851" s="159" t="s">
        <v>166</v>
      </c>
      <c r="J1851" s="128" t="s">
        <v>2686</v>
      </c>
      <c r="K1851" s="128" t="s">
        <v>1215</v>
      </c>
      <c r="L1851" s="151" t="s">
        <v>1207</v>
      </c>
      <c r="M1851" s="127">
        <v>603808</v>
      </c>
      <c r="N1851" s="109"/>
      <c r="O1851" s="19"/>
      <c r="P1851" s="20"/>
      <c r="Q1851" s="20"/>
    </row>
    <row r="1852" spans="1:17" ht="24.9" customHeight="1">
      <c r="A1852" s="20">
        <v>390</v>
      </c>
      <c r="B1852" s="20" t="s">
        <v>4364</v>
      </c>
      <c r="C1852" s="20">
        <v>16</v>
      </c>
      <c r="D1852" s="83" t="s">
        <v>1254</v>
      </c>
      <c r="E1852" s="19" t="str">
        <f>VLOOKUP(D1852,'لیست پرسنل'!$B$2:$E$1020,3,FALSE)</f>
        <v>فکورصنعت</v>
      </c>
      <c r="F1852" s="19" t="str">
        <f>VLOOKUP(D1852,'لیست پرسنل'!$B$2:$E$1020,4,FALSE)</f>
        <v>برق</v>
      </c>
      <c r="G1852" s="127" t="str">
        <f>VLOOKUP(D1852,'لیست پرسنل'!$B$2:$F$1020,2,FALSE)</f>
        <v>1258</v>
      </c>
      <c r="H1852" s="181" t="s">
        <v>3660</v>
      </c>
      <c r="I1852" s="159" t="s">
        <v>167</v>
      </c>
      <c r="J1852" s="126" t="s">
        <v>368</v>
      </c>
      <c r="K1852" s="128" t="s">
        <v>658</v>
      </c>
      <c r="L1852" s="127" t="s">
        <v>786</v>
      </c>
      <c r="M1852" s="127">
        <v>621038</v>
      </c>
      <c r="N1852" s="109"/>
      <c r="O1852" s="48" t="s">
        <v>168</v>
      </c>
      <c r="P1852" s="20"/>
      <c r="Q1852" s="20"/>
    </row>
    <row r="1853" spans="1:17" ht="24.9" customHeight="1">
      <c r="A1853" s="20">
        <v>390</v>
      </c>
      <c r="B1853" s="20" t="s">
        <v>4364</v>
      </c>
      <c r="C1853" s="20">
        <v>16</v>
      </c>
      <c r="D1853" s="83" t="s">
        <v>1254</v>
      </c>
      <c r="E1853" s="19" t="str">
        <f>VLOOKUP(D1853,'لیست پرسنل'!$B$2:$E$1020,3,FALSE)</f>
        <v>فکورصنعت</v>
      </c>
      <c r="F1853" s="19" t="str">
        <f>VLOOKUP(D1853,'لیست پرسنل'!$B$2:$E$1020,4,FALSE)</f>
        <v>برق</v>
      </c>
      <c r="G1853" s="127" t="str">
        <f>VLOOKUP(D1853,'لیست پرسنل'!$B$2:$F$1020,2,FALSE)</f>
        <v>1258</v>
      </c>
      <c r="H1853" s="181" t="s">
        <v>3660</v>
      </c>
      <c r="I1853" s="159" t="s">
        <v>167</v>
      </c>
      <c r="J1853" s="128" t="s">
        <v>3480</v>
      </c>
      <c r="K1853" s="128" t="s">
        <v>3242</v>
      </c>
      <c r="L1853" s="150" t="s">
        <v>3244</v>
      </c>
      <c r="M1853" s="128">
        <v>625372</v>
      </c>
      <c r="N1853" s="108"/>
      <c r="O1853" s="20" t="s">
        <v>705</v>
      </c>
      <c r="P1853" s="20"/>
      <c r="Q1853" s="20"/>
    </row>
    <row r="1854" spans="1:17" ht="24.9" customHeight="1">
      <c r="A1854" s="20">
        <v>390</v>
      </c>
      <c r="B1854" s="20" t="s">
        <v>4364</v>
      </c>
      <c r="C1854" s="20">
        <v>16</v>
      </c>
      <c r="D1854" s="83" t="s">
        <v>1254</v>
      </c>
      <c r="E1854" s="19" t="str">
        <f>VLOOKUP(D1854,'لیست پرسنل'!$B$2:$E$1020,3,FALSE)</f>
        <v>فکورصنعت</v>
      </c>
      <c r="F1854" s="19" t="str">
        <f>VLOOKUP(D1854,'لیست پرسنل'!$B$2:$E$1020,4,FALSE)</f>
        <v>برق</v>
      </c>
      <c r="G1854" s="127" t="str">
        <f>VLOOKUP(D1854,'لیست پرسنل'!$B$2:$F$1020,2,FALSE)</f>
        <v>1258</v>
      </c>
      <c r="H1854" s="181" t="s">
        <v>3660</v>
      </c>
      <c r="I1854" s="159" t="s">
        <v>167</v>
      </c>
      <c r="J1854" s="159" t="s">
        <v>571</v>
      </c>
      <c r="K1854" s="128"/>
      <c r="L1854" s="151"/>
      <c r="M1854" s="127">
        <v>623320</v>
      </c>
      <c r="N1854" s="109"/>
      <c r="O1854" s="19"/>
      <c r="P1854" s="20"/>
      <c r="Q1854" s="20"/>
    </row>
    <row r="1855" spans="1:17" ht="24.9" customHeight="1">
      <c r="A1855" s="20">
        <v>390</v>
      </c>
      <c r="B1855" s="20" t="s">
        <v>4364</v>
      </c>
      <c r="C1855" s="20">
        <v>16</v>
      </c>
      <c r="D1855" s="83" t="s">
        <v>1254</v>
      </c>
      <c r="E1855" s="19" t="str">
        <f>VLOOKUP(D1855,'لیست پرسنل'!$B$2:$E$1020,3,FALSE)</f>
        <v>فکورصنعت</v>
      </c>
      <c r="F1855" s="19" t="str">
        <f>VLOOKUP(D1855,'لیست پرسنل'!$B$2:$E$1020,4,FALSE)</f>
        <v>برق</v>
      </c>
      <c r="G1855" s="127" t="str">
        <f>VLOOKUP(D1855,'لیست پرسنل'!$B$2:$F$1020,2,FALSE)</f>
        <v>1258</v>
      </c>
      <c r="H1855" s="181" t="s">
        <v>3660</v>
      </c>
      <c r="I1855" s="159" t="s">
        <v>167</v>
      </c>
      <c r="J1855" s="128" t="s">
        <v>2686</v>
      </c>
      <c r="K1855" s="128" t="s">
        <v>5067</v>
      </c>
      <c r="L1855" s="127" t="s">
        <v>5071</v>
      </c>
      <c r="M1855" s="128">
        <v>628393</v>
      </c>
      <c r="N1855" s="108"/>
      <c r="O1855" s="20"/>
      <c r="P1855" s="20"/>
      <c r="Q1855" s="20"/>
    </row>
    <row r="1856" spans="1:17" ht="24.9" customHeight="1">
      <c r="A1856" s="20">
        <v>390</v>
      </c>
      <c r="B1856" s="20" t="s">
        <v>4364</v>
      </c>
      <c r="C1856" s="20">
        <v>23</v>
      </c>
      <c r="D1856" s="83" t="s">
        <v>1254</v>
      </c>
      <c r="E1856" s="19" t="str">
        <f>VLOOKUP(D1856,'لیست پرسنل'!$B$2:$E$1020,3,FALSE)</f>
        <v>فکورصنعت</v>
      </c>
      <c r="F1856" s="19" t="str">
        <f>VLOOKUP(D1856,'لیست پرسنل'!$B$2:$E$1020,4,FALSE)</f>
        <v>برق</v>
      </c>
      <c r="G1856" s="127" t="str">
        <f>VLOOKUP(D1856,'لیست پرسنل'!$B$2:$F$1020,2,FALSE)</f>
        <v>1258</v>
      </c>
      <c r="H1856" s="181" t="s">
        <v>3660</v>
      </c>
      <c r="I1856" s="159" t="s">
        <v>169</v>
      </c>
      <c r="J1856" s="126" t="s">
        <v>368</v>
      </c>
      <c r="K1856" s="128" t="s">
        <v>658</v>
      </c>
      <c r="L1856" s="127" t="s">
        <v>1014</v>
      </c>
      <c r="M1856" s="127">
        <v>621043</v>
      </c>
      <c r="N1856" s="109"/>
      <c r="O1856" s="19"/>
      <c r="P1856" s="20"/>
      <c r="Q1856" s="20"/>
    </row>
    <row r="1857" spans="1:17" ht="24.9" customHeight="1">
      <c r="A1857" s="20">
        <v>390</v>
      </c>
      <c r="B1857" s="20" t="s">
        <v>4364</v>
      </c>
      <c r="C1857" s="20">
        <v>23</v>
      </c>
      <c r="D1857" s="83" t="s">
        <v>1254</v>
      </c>
      <c r="E1857" s="19" t="str">
        <f>VLOOKUP(D1857,'لیست پرسنل'!$B$2:$E$1020,3,FALSE)</f>
        <v>فکورصنعت</v>
      </c>
      <c r="F1857" s="19" t="str">
        <f>VLOOKUP(D1857,'لیست پرسنل'!$B$2:$E$1020,4,FALSE)</f>
        <v>برق</v>
      </c>
      <c r="G1857" s="127" t="str">
        <f>VLOOKUP(D1857,'لیست پرسنل'!$B$2:$F$1020,2,FALSE)</f>
        <v>1258</v>
      </c>
      <c r="H1857" s="181" t="s">
        <v>3660</v>
      </c>
      <c r="I1857" s="159" t="s">
        <v>169</v>
      </c>
      <c r="J1857" s="159" t="s">
        <v>571</v>
      </c>
      <c r="K1857" s="128"/>
      <c r="L1857" s="151"/>
      <c r="M1857" s="127">
        <v>604861</v>
      </c>
      <c r="N1857" s="109"/>
      <c r="O1857" s="19"/>
      <c r="P1857" s="20"/>
      <c r="Q1857" s="20"/>
    </row>
    <row r="1858" spans="1:17" ht="24.9" customHeight="1">
      <c r="A1858" s="20">
        <v>390</v>
      </c>
      <c r="B1858" s="20" t="s">
        <v>4364</v>
      </c>
      <c r="C1858" s="20">
        <v>23</v>
      </c>
      <c r="D1858" s="83" t="s">
        <v>1254</v>
      </c>
      <c r="E1858" s="19" t="str">
        <f>VLOOKUP(D1858,'لیست پرسنل'!$B$2:$E$1020,3,FALSE)</f>
        <v>فکورصنعت</v>
      </c>
      <c r="F1858" s="19" t="str">
        <f>VLOOKUP(D1858,'لیست پرسنل'!$B$2:$E$1020,4,FALSE)</f>
        <v>برق</v>
      </c>
      <c r="G1858" s="127" t="str">
        <f>VLOOKUP(D1858,'لیست پرسنل'!$B$2:$F$1020,2,FALSE)</f>
        <v>1258</v>
      </c>
      <c r="H1858" s="181" t="s">
        <v>3660</v>
      </c>
      <c r="I1858" s="159" t="s">
        <v>169</v>
      </c>
      <c r="J1858" s="128" t="s">
        <v>2686</v>
      </c>
      <c r="K1858" s="128" t="s">
        <v>2143</v>
      </c>
      <c r="L1858" s="127" t="s">
        <v>2259</v>
      </c>
      <c r="M1858" s="127">
        <v>628650</v>
      </c>
      <c r="N1858" s="108"/>
      <c r="O1858" s="20" t="s">
        <v>705</v>
      </c>
      <c r="P1858" s="20"/>
      <c r="Q1858" s="20"/>
    </row>
    <row r="1859" spans="1:17" ht="24.9" customHeight="1">
      <c r="A1859" s="20">
        <v>390</v>
      </c>
      <c r="B1859" s="20" t="s">
        <v>4364</v>
      </c>
      <c r="C1859" s="20">
        <v>24</v>
      </c>
      <c r="D1859" s="83" t="s">
        <v>3548</v>
      </c>
      <c r="E1859" s="19" t="str">
        <f>VLOOKUP(D1859,'لیست پرسنل'!$B$2:$E$1020,3,FALSE)</f>
        <v>گهر کوشان سپهر</v>
      </c>
      <c r="F1859" s="19" t="str">
        <f>VLOOKUP(D1859,'لیست پرسنل'!$B$2:$E$1020,4,FALSE)</f>
        <v>مسئول دفتر</v>
      </c>
      <c r="G1859" s="127">
        <f>VLOOKUP(D1859,'لیست پرسنل'!$B$2:$F$1020,2,FALSE)</f>
        <v>20186</v>
      </c>
      <c r="H1859" s="181" t="s">
        <v>3660</v>
      </c>
      <c r="I1859" s="159" t="s">
        <v>184</v>
      </c>
      <c r="J1859" s="128" t="s">
        <v>737</v>
      </c>
      <c r="K1859" s="128" t="s">
        <v>1315</v>
      </c>
      <c r="L1859" s="127">
        <v>83034035</v>
      </c>
      <c r="M1859" s="127">
        <v>620245</v>
      </c>
      <c r="N1859" s="109"/>
      <c r="O1859" s="19"/>
      <c r="P1859" s="20"/>
      <c r="Q1859" s="20"/>
    </row>
    <row r="1860" spans="1:17" ht="24.9" customHeight="1">
      <c r="A1860" s="20">
        <v>390</v>
      </c>
      <c r="B1860" s="20" t="s">
        <v>4364</v>
      </c>
      <c r="C1860" s="20">
        <v>24</v>
      </c>
      <c r="D1860" s="83" t="s">
        <v>3548</v>
      </c>
      <c r="E1860" s="19" t="str">
        <f>VLOOKUP(D1860,'لیست پرسنل'!$B$2:$E$1020,3,FALSE)</f>
        <v>گهر کوشان سپهر</v>
      </c>
      <c r="F1860" s="19" t="str">
        <f>VLOOKUP(D1860,'لیست پرسنل'!$B$2:$E$1020,4,FALSE)</f>
        <v>مسئول دفتر</v>
      </c>
      <c r="G1860" s="127">
        <f>VLOOKUP(D1860,'لیست پرسنل'!$B$2:$F$1020,2,FALSE)</f>
        <v>20186</v>
      </c>
      <c r="H1860" s="181" t="s">
        <v>3660</v>
      </c>
      <c r="I1860" s="159" t="s">
        <v>184</v>
      </c>
      <c r="J1860" s="128" t="s">
        <v>737</v>
      </c>
      <c r="K1860" s="128" t="s">
        <v>1323</v>
      </c>
      <c r="L1860" s="127" t="s">
        <v>1324</v>
      </c>
      <c r="M1860" s="127">
        <v>623784</v>
      </c>
      <c r="N1860" s="109"/>
      <c r="O1860" s="19"/>
      <c r="P1860" s="20"/>
      <c r="Q1860" s="20"/>
    </row>
    <row r="1861" spans="1:17" ht="24.9" customHeight="1">
      <c r="A1861" s="20">
        <v>390</v>
      </c>
      <c r="B1861" s="20" t="s">
        <v>4364</v>
      </c>
      <c r="C1861" s="20">
        <v>24</v>
      </c>
      <c r="D1861" s="83" t="s">
        <v>3548</v>
      </c>
      <c r="E1861" s="19" t="str">
        <f>VLOOKUP(D1861,'لیست پرسنل'!$B$2:$E$1020,3,FALSE)</f>
        <v>گهر کوشان سپهر</v>
      </c>
      <c r="F1861" s="19" t="str">
        <f>VLOOKUP(D1861,'لیست پرسنل'!$B$2:$E$1020,4,FALSE)</f>
        <v>مسئول دفتر</v>
      </c>
      <c r="G1861" s="127">
        <f>VLOOKUP(D1861,'لیست پرسنل'!$B$2:$F$1020,2,FALSE)</f>
        <v>20186</v>
      </c>
      <c r="H1861" s="181" t="s">
        <v>3660</v>
      </c>
      <c r="I1861" s="159" t="s">
        <v>184</v>
      </c>
      <c r="J1861" s="128" t="s">
        <v>737</v>
      </c>
      <c r="K1861" s="128" t="s">
        <v>2180</v>
      </c>
      <c r="L1861" s="127" t="s">
        <v>2735</v>
      </c>
      <c r="M1861" s="127">
        <v>628665</v>
      </c>
      <c r="N1861" s="109"/>
      <c r="O1861" s="19"/>
      <c r="P1861" s="20"/>
      <c r="Q1861" s="20"/>
    </row>
    <row r="1862" spans="1:17" ht="24.9" customHeight="1">
      <c r="A1862" s="20">
        <v>390</v>
      </c>
      <c r="B1862" s="20" t="s">
        <v>4364</v>
      </c>
      <c r="C1862" s="20">
        <v>24</v>
      </c>
      <c r="D1862" s="83" t="s">
        <v>3548</v>
      </c>
      <c r="E1862" s="19" t="str">
        <f>VLOOKUP(D1862,'لیست پرسنل'!$B$2:$E$1020,3,FALSE)</f>
        <v>گهر کوشان سپهر</v>
      </c>
      <c r="F1862" s="19" t="str">
        <f>VLOOKUP(D1862,'لیست پرسنل'!$B$2:$E$1020,4,FALSE)</f>
        <v>مسئول دفتر</v>
      </c>
      <c r="G1862" s="127">
        <f>VLOOKUP(D1862,'لیست پرسنل'!$B$2:$F$1020,2,FALSE)</f>
        <v>20186</v>
      </c>
      <c r="H1862" s="181" t="s">
        <v>3660</v>
      </c>
      <c r="I1862" s="159" t="s">
        <v>184</v>
      </c>
      <c r="J1862" s="126" t="s">
        <v>368</v>
      </c>
      <c r="K1862" s="128" t="s">
        <v>658</v>
      </c>
      <c r="L1862" s="128" t="s">
        <v>780</v>
      </c>
      <c r="M1862" s="128">
        <v>621033</v>
      </c>
      <c r="N1862" s="109"/>
      <c r="O1862" s="19"/>
      <c r="P1862" s="20"/>
      <c r="Q1862" s="20"/>
    </row>
    <row r="1863" spans="1:17" ht="24.9" customHeight="1">
      <c r="A1863" s="20">
        <v>390</v>
      </c>
      <c r="B1863" s="20" t="s">
        <v>4364</v>
      </c>
      <c r="C1863" s="20">
        <v>24</v>
      </c>
      <c r="D1863" s="83" t="s">
        <v>3548</v>
      </c>
      <c r="E1863" s="19" t="str">
        <f>VLOOKUP(D1863,'لیست پرسنل'!$B$2:$E$1020,3,FALSE)</f>
        <v>گهر کوشان سپهر</v>
      </c>
      <c r="F1863" s="19" t="str">
        <f>VLOOKUP(D1863,'لیست پرسنل'!$B$2:$E$1020,4,FALSE)</f>
        <v>مسئول دفتر</v>
      </c>
      <c r="G1863" s="127">
        <f>VLOOKUP(D1863,'لیست پرسنل'!$B$2:$F$1020,2,FALSE)</f>
        <v>20186</v>
      </c>
      <c r="H1863" s="181" t="s">
        <v>3660</v>
      </c>
      <c r="I1863" s="159" t="s">
        <v>184</v>
      </c>
      <c r="J1863" s="159" t="s">
        <v>571</v>
      </c>
      <c r="K1863" s="128"/>
      <c r="L1863" s="151"/>
      <c r="M1863" s="127">
        <v>604749</v>
      </c>
      <c r="N1863" s="109"/>
      <c r="O1863" s="19"/>
      <c r="P1863" s="20"/>
      <c r="Q1863" s="20"/>
    </row>
    <row r="1864" spans="1:17" ht="24.9" customHeight="1">
      <c r="A1864" s="20">
        <v>390</v>
      </c>
      <c r="B1864" s="20" t="s">
        <v>4364</v>
      </c>
      <c r="C1864" s="20">
        <v>24</v>
      </c>
      <c r="D1864" s="83" t="s">
        <v>3548</v>
      </c>
      <c r="E1864" s="19" t="str">
        <f>VLOOKUP(D1864,'لیست پرسنل'!$B$2:$E$1020,3,FALSE)</f>
        <v>گهر کوشان سپهر</v>
      </c>
      <c r="F1864" s="19" t="str">
        <f>VLOOKUP(D1864,'لیست پرسنل'!$B$2:$E$1020,4,FALSE)</f>
        <v>مسئول دفتر</v>
      </c>
      <c r="G1864" s="127">
        <f>VLOOKUP(D1864,'لیست پرسنل'!$B$2:$F$1020,2,FALSE)</f>
        <v>20186</v>
      </c>
      <c r="H1864" s="181" t="s">
        <v>3660</v>
      </c>
      <c r="I1864" s="159" t="s">
        <v>184</v>
      </c>
      <c r="J1864" s="128" t="s">
        <v>2686</v>
      </c>
      <c r="K1864" s="128" t="s">
        <v>2143</v>
      </c>
      <c r="L1864" s="127" t="s">
        <v>2228</v>
      </c>
      <c r="M1864" s="127">
        <v>628619</v>
      </c>
      <c r="N1864" s="108"/>
      <c r="O1864" s="20" t="s">
        <v>705</v>
      </c>
      <c r="P1864" s="20"/>
      <c r="Q1864" s="20"/>
    </row>
    <row r="1865" spans="1:17" ht="24.9" customHeight="1">
      <c r="A1865" s="20">
        <v>390</v>
      </c>
      <c r="B1865" s="20" t="s">
        <v>4364</v>
      </c>
      <c r="C1865" s="20">
        <v>25</v>
      </c>
      <c r="D1865" s="83" t="s">
        <v>3549</v>
      </c>
      <c r="E1865" s="19" t="str">
        <f>VLOOKUP(D1865,'لیست پرسنل'!$B$2:$E$1020,3,FALSE)</f>
        <v>فکورصنعت</v>
      </c>
      <c r="F1865" s="19" t="str">
        <f>VLOOKUP(D1865,'لیست پرسنل'!$B$2:$E$1020,4,FALSE)</f>
        <v>سیویل</v>
      </c>
      <c r="G1865" s="127">
        <f>VLOOKUP(D1865,'لیست پرسنل'!$B$2:$F$1020,2,FALSE)</f>
        <v>1770</v>
      </c>
      <c r="H1865" s="181" t="s">
        <v>3660</v>
      </c>
      <c r="I1865" s="159" t="s">
        <v>185</v>
      </c>
      <c r="J1865" s="126" t="s">
        <v>368</v>
      </c>
      <c r="K1865" s="128" t="s">
        <v>658</v>
      </c>
      <c r="L1865" s="127" t="s">
        <v>785</v>
      </c>
      <c r="M1865" s="127">
        <v>621037</v>
      </c>
      <c r="N1865" s="109"/>
      <c r="O1865" s="19"/>
      <c r="P1865" s="20"/>
      <c r="Q1865" s="20"/>
    </row>
    <row r="1866" spans="1:17" ht="24.9" customHeight="1">
      <c r="A1866" s="20">
        <v>390</v>
      </c>
      <c r="B1866" s="20" t="s">
        <v>4364</v>
      </c>
      <c r="C1866" s="20">
        <v>26</v>
      </c>
      <c r="D1866" s="19" t="s">
        <v>3546</v>
      </c>
      <c r="E1866" s="19" t="str">
        <f>VLOOKUP(D1866,'لیست پرسنل'!$B$2:$E$1020,3,FALSE)</f>
        <v>فکورصنعت</v>
      </c>
      <c r="F1866" s="19" t="str">
        <f>VLOOKUP(D1866,'لیست پرسنل'!$B$2:$E$1020,4,FALSE)</f>
        <v>مدیر سایت گلفا</v>
      </c>
      <c r="G1866" s="127">
        <f>VLOOKUP(D1866,'لیست پرسنل'!$B$2:$F$1020,2,FALSE)</f>
        <v>98137</v>
      </c>
      <c r="H1866" s="128" t="s">
        <v>3704</v>
      </c>
      <c r="I1866" s="159" t="s">
        <v>186</v>
      </c>
      <c r="J1866" s="159" t="s">
        <v>571</v>
      </c>
      <c r="K1866" s="128"/>
      <c r="L1866" s="127"/>
      <c r="M1866" s="127">
        <v>607343</v>
      </c>
      <c r="N1866" s="109"/>
      <c r="O1866" s="19" t="s">
        <v>3706</v>
      </c>
      <c r="P1866" s="20"/>
      <c r="Q1866" s="20"/>
    </row>
    <row r="1867" spans="1:17" ht="24.9" customHeight="1">
      <c r="A1867" s="20">
        <v>390</v>
      </c>
      <c r="B1867" s="20" t="s">
        <v>4364</v>
      </c>
      <c r="C1867" s="20">
        <v>27</v>
      </c>
      <c r="D1867" s="19" t="s">
        <v>450</v>
      </c>
      <c r="E1867" s="19" t="str">
        <f>VLOOKUP(D1867,'لیست پرسنل'!$B$2:$E$1020,3,FALSE)</f>
        <v>گهر کوشان سپهر</v>
      </c>
      <c r="F1867" s="19" t="str">
        <f>VLOOKUP(D1867,'لیست پرسنل'!$B$2:$E$1020,4,FALSE)</f>
        <v>پشتیبانی</v>
      </c>
      <c r="G1867" s="127">
        <f>VLOOKUP(D1867,'لیست پرسنل'!$B$2:$F$1020,2,FALSE)</f>
        <v>20192</v>
      </c>
      <c r="H1867" s="181" t="s">
        <v>3660</v>
      </c>
      <c r="I1867" s="159" t="s">
        <v>187</v>
      </c>
      <c r="J1867" s="128" t="s">
        <v>737</v>
      </c>
      <c r="K1867" s="128" t="s">
        <v>65</v>
      </c>
      <c r="L1867" s="140" t="s">
        <v>484</v>
      </c>
      <c r="M1867" s="140">
        <v>612688</v>
      </c>
      <c r="N1867" s="109"/>
      <c r="O1867" s="81"/>
      <c r="P1867" s="20"/>
      <c r="Q1867" s="20"/>
    </row>
    <row r="1868" spans="1:17" ht="24.9" customHeight="1">
      <c r="A1868" s="20">
        <v>390</v>
      </c>
      <c r="B1868" s="20" t="s">
        <v>4364</v>
      </c>
      <c r="C1868" s="20">
        <v>27</v>
      </c>
      <c r="D1868" s="19" t="s">
        <v>450</v>
      </c>
      <c r="E1868" s="19" t="str">
        <f>VLOOKUP(D1868,'لیست پرسنل'!$B$2:$E$1020,3,FALSE)</f>
        <v>گهر کوشان سپهر</v>
      </c>
      <c r="F1868" s="19" t="str">
        <f>VLOOKUP(D1868,'لیست پرسنل'!$B$2:$E$1020,4,FALSE)</f>
        <v>پشتیبانی</v>
      </c>
      <c r="G1868" s="127">
        <f>VLOOKUP(D1868,'لیست پرسنل'!$B$2:$F$1020,2,FALSE)</f>
        <v>20192</v>
      </c>
      <c r="H1868" s="181" t="s">
        <v>3660</v>
      </c>
      <c r="I1868" s="159" t="s">
        <v>187</v>
      </c>
      <c r="J1868" s="159" t="s">
        <v>571</v>
      </c>
      <c r="K1868" s="128"/>
      <c r="L1868" s="151"/>
      <c r="M1868" s="127">
        <v>607672</v>
      </c>
      <c r="N1868" s="109"/>
      <c r="O1868" s="81"/>
      <c r="P1868" s="20"/>
      <c r="Q1868" s="20"/>
    </row>
    <row r="1869" spans="1:17" ht="24.9" customHeight="1">
      <c r="A1869" s="20">
        <v>390</v>
      </c>
      <c r="B1869" s="20" t="s">
        <v>4364</v>
      </c>
      <c r="C1869" s="20">
        <v>27</v>
      </c>
      <c r="D1869" s="19" t="s">
        <v>450</v>
      </c>
      <c r="E1869" s="19" t="str">
        <f>VLOOKUP(D1869,'لیست پرسنل'!$B$2:$E$1020,3,FALSE)</f>
        <v>گهر کوشان سپهر</v>
      </c>
      <c r="F1869" s="19" t="str">
        <f>VLOOKUP(D1869,'لیست پرسنل'!$B$2:$E$1020,4,FALSE)</f>
        <v>پشتیبانی</v>
      </c>
      <c r="G1869" s="127">
        <f>VLOOKUP(D1869,'لیست پرسنل'!$B$2:$F$1020,2,FALSE)</f>
        <v>20192</v>
      </c>
      <c r="H1869" s="181" t="s">
        <v>3660</v>
      </c>
      <c r="I1869" s="159" t="s">
        <v>187</v>
      </c>
      <c r="J1869" s="128" t="s">
        <v>2686</v>
      </c>
      <c r="K1869" s="128" t="s">
        <v>1505</v>
      </c>
      <c r="L1869" s="151" t="s">
        <v>1214</v>
      </c>
      <c r="M1869" s="127">
        <v>610113</v>
      </c>
      <c r="N1869" s="109"/>
      <c r="O1869" s="19"/>
      <c r="P1869" s="20"/>
      <c r="Q1869" s="20"/>
    </row>
    <row r="1870" spans="1:17" ht="24.9" customHeight="1">
      <c r="A1870" s="20">
        <v>390</v>
      </c>
      <c r="B1870" s="20" t="s">
        <v>4364</v>
      </c>
      <c r="C1870" s="20">
        <v>28</v>
      </c>
      <c r="D1870" s="81" t="s">
        <v>3550</v>
      </c>
      <c r="E1870" s="19" t="str">
        <f>VLOOKUP(D1870,'لیست پرسنل'!$B$2:$E$1020,3,FALSE)</f>
        <v>نظارت کارفرما</v>
      </c>
      <c r="F1870" s="19" t="str">
        <f>VLOOKUP(D1870,'لیست پرسنل'!$B$2:$E$1020,4,FALSE)</f>
        <v>نظارت کارفرما</v>
      </c>
      <c r="G1870" s="127" t="str">
        <f>VLOOKUP(D1870,'لیست پرسنل'!$B$2:$F$1020,2,FALSE)</f>
        <v>0</v>
      </c>
      <c r="H1870" s="151" t="s">
        <v>3702</v>
      </c>
      <c r="I1870" s="159" t="s">
        <v>188</v>
      </c>
      <c r="J1870" s="159" t="s">
        <v>3532</v>
      </c>
      <c r="K1870" s="128" t="s">
        <v>1064</v>
      </c>
      <c r="L1870" s="127"/>
      <c r="M1870" s="127">
        <v>605692</v>
      </c>
      <c r="N1870" s="109"/>
      <c r="O1870" s="19"/>
      <c r="P1870" s="20"/>
      <c r="Q1870" s="20"/>
    </row>
    <row r="1871" spans="1:17" ht="24.9" customHeight="1">
      <c r="A1871" s="20">
        <v>390</v>
      </c>
      <c r="B1871" s="20" t="s">
        <v>4364</v>
      </c>
      <c r="C1871" s="20">
        <v>29</v>
      </c>
      <c r="D1871" s="19" t="s">
        <v>3551</v>
      </c>
      <c r="E1871" s="19" t="str">
        <f>VLOOKUP(D1871,'لیست پرسنل'!$B$2:$E$1020,3,FALSE)</f>
        <v>فکورصنعت</v>
      </c>
      <c r="F1871" s="19" t="str">
        <f>VLOOKUP(D1871,'لیست پرسنل'!$B$2:$E$1020,4,FALSE)</f>
        <v>برق</v>
      </c>
      <c r="G1871" s="127">
        <f>VLOOKUP(D1871,'لیست پرسنل'!$B$2:$F$1020,2,FALSE)</f>
        <v>1940</v>
      </c>
      <c r="H1871" s="181" t="s">
        <v>3660</v>
      </c>
      <c r="I1871" s="159" t="s">
        <v>189</v>
      </c>
      <c r="J1871" s="159" t="s">
        <v>4333</v>
      </c>
      <c r="K1871" s="128" t="s">
        <v>5815</v>
      </c>
      <c r="L1871" s="151"/>
      <c r="M1871" s="127">
        <v>613404</v>
      </c>
      <c r="N1871" s="109"/>
      <c r="O1871" s="19"/>
      <c r="P1871" s="20"/>
      <c r="Q1871" s="20"/>
    </row>
    <row r="1872" spans="1:17" ht="24.9" customHeight="1">
      <c r="A1872" s="20">
        <v>390</v>
      </c>
      <c r="B1872" s="20" t="s">
        <v>4364</v>
      </c>
      <c r="C1872" s="20">
        <v>31</v>
      </c>
      <c r="D1872" s="19" t="s">
        <v>8216</v>
      </c>
      <c r="E1872" s="19" t="e">
        <f>VLOOKUP(D1872,'لیست پرسنل'!$B$2:$E$1020,3,FALSE)</f>
        <v>#N/A</v>
      </c>
      <c r="F1872" s="19" t="e">
        <f>VLOOKUP(D1872,'لیست پرسنل'!$B$2:$E$1020,4,FALSE)</f>
        <v>#N/A</v>
      </c>
      <c r="G1872" s="127" t="e">
        <f>VLOOKUP(D1872,'لیست پرسنل'!$B$2:$F$1020,2,FALSE)</f>
        <v>#N/A</v>
      </c>
      <c r="H1872" s="181" t="s">
        <v>3660</v>
      </c>
      <c r="I1872" s="159" t="s">
        <v>190</v>
      </c>
      <c r="J1872" s="128" t="s">
        <v>737</v>
      </c>
      <c r="K1872" s="128" t="s">
        <v>1789</v>
      </c>
      <c r="L1872" s="154" t="s">
        <v>1788</v>
      </c>
      <c r="M1872" s="127">
        <v>625379</v>
      </c>
      <c r="N1872" s="109"/>
      <c r="O1872" s="19"/>
      <c r="P1872" s="20"/>
      <c r="Q1872" s="20"/>
    </row>
    <row r="1873" spans="1:17" ht="24.9" customHeight="1">
      <c r="A1873" s="20">
        <v>390</v>
      </c>
      <c r="B1873" s="20" t="s">
        <v>4364</v>
      </c>
      <c r="C1873" s="20">
        <v>31</v>
      </c>
      <c r="D1873" s="19" t="s">
        <v>8216</v>
      </c>
      <c r="E1873" s="19" t="e">
        <f>VLOOKUP(D1873,'لیست پرسنل'!$B$2:$E$1020,3,FALSE)</f>
        <v>#N/A</v>
      </c>
      <c r="F1873" s="19" t="e">
        <f>VLOOKUP(D1873,'لیست پرسنل'!$B$2:$E$1020,4,FALSE)</f>
        <v>#N/A</v>
      </c>
      <c r="G1873" s="127" t="e">
        <f>VLOOKUP(D1873,'لیست پرسنل'!$B$2:$F$1020,2,FALSE)</f>
        <v>#N/A</v>
      </c>
      <c r="H1873" s="181" t="s">
        <v>3660</v>
      </c>
      <c r="I1873" s="159" t="s">
        <v>190</v>
      </c>
      <c r="J1873" s="126" t="s">
        <v>368</v>
      </c>
      <c r="K1873" s="128" t="s">
        <v>8248</v>
      </c>
      <c r="L1873" s="127" t="s">
        <v>2325</v>
      </c>
      <c r="M1873" s="128">
        <v>628731</v>
      </c>
      <c r="N1873" s="108"/>
      <c r="O1873" s="20" t="s">
        <v>705</v>
      </c>
      <c r="P1873" s="20"/>
      <c r="Q1873" s="20"/>
    </row>
    <row r="1874" spans="1:17" ht="24.9" customHeight="1">
      <c r="A1874" s="20">
        <v>390</v>
      </c>
      <c r="B1874" s="20" t="s">
        <v>4364</v>
      </c>
      <c r="C1874" s="20">
        <v>31</v>
      </c>
      <c r="D1874" s="19" t="s">
        <v>8216</v>
      </c>
      <c r="E1874" s="19" t="e">
        <f>VLOOKUP(D1874,'لیست پرسنل'!$B$2:$E$1020,3,FALSE)</f>
        <v>#N/A</v>
      </c>
      <c r="F1874" s="19" t="e">
        <f>VLOOKUP(D1874,'لیست پرسنل'!$B$2:$E$1020,4,FALSE)</f>
        <v>#N/A</v>
      </c>
      <c r="G1874" s="127" t="e">
        <f>VLOOKUP(D1874,'لیست پرسنل'!$B$2:$F$1020,2,FALSE)</f>
        <v>#N/A</v>
      </c>
      <c r="H1874" s="181" t="s">
        <v>3660</v>
      </c>
      <c r="I1874" s="159" t="s">
        <v>190</v>
      </c>
      <c r="J1874" s="141" t="s">
        <v>571</v>
      </c>
      <c r="K1874" s="128" t="s">
        <v>6045</v>
      </c>
      <c r="L1874" s="134"/>
      <c r="M1874" s="128">
        <v>632742</v>
      </c>
      <c r="N1874" s="108"/>
      <c r="O1874" s="20"/>
      <c r="P1874" s="20"/>
      <c r="Q1874" s="20"/>
    </row>
    <row r="1875" spans="1:17" ht="24.9" customHeight="1">
      <c r="A1875" s="20">
        <v>390</v>
      </c>
      <c r="B1875" s="20" t="s">
        <v>4364</v>
      </c>
      <c r="C1875" s="20">
        <v>31</v>
      </c>
      <c r="D1875" s="19" t="s">
        <v>8216</v>
      </c>
      <c r="E1875" s="19" t="e">
        <f>VLOOKUP(D1875,'لیست پرسنل'!$B$2:$E$1020,3,FALSE)</f>
        <v>#N/A</v>
      </c>
      <c r="F1875" s="19" t="e">
        <f>VLOOKUP(D1875,'لیست پرسنل'!$B$2:$E$1020,4,FALSE)</f>
        <v>#N/A</v>
      </c>
      <c r="G1875" s="127" t="e">
        <f>VLOOKUP(D1875,'لیست پرسنل'!$B$2:$F$1020,2,FALSE)</f>
        <v>#N/A</v>
      </c>
      <c r="H1875" s="181" t="s">
        <v>3660</v>
      </c>
      <c r="I1875" s="159" t="s">
        <v>190</v>
      </c>
      <c r="J1875" s="128" t="s">
        <v>2686</v>
      </c>
      <c r="K1875" s="128" t="s">
        <v>2143</v>
      </c>
      <c r="L1875" s="127" t="s">
        <v>2234</v>
      </c>
      <c r="M1875" s="127">
        <v>628625</v>
      </c>
      <c r="N1875" s="108"/>
      <c r="O1875" s="20" t="s">
        <v>705</v>
      </c>
      <c r="P1875" s="20"/>
      <c r="Q1875" s="20"/>
    </row>
    <row r="1876" spans="1:17" ht="24.9" customHeight="1">
      <c r="A1876" s="20">
        <v>390</v>
      </c>
      <c r="B1876" s="20" t="s">
        <v>4364</v>
      </c>
      <c r="C1876" s="20">
        <v>36</v>
      </c>
      <c r="D1876" s="20" t="s">
        <v>3552</v>
      </c>
      <c r="E1876" s="19" t="str">
        <f>VLOOKUP(D1876,'لیست پرسنل'!$B$2:$E$1020,3,FALSE)</f>
        <v>نظارت کارفرما</v>
      </c>
      <c r="F1876" s="19" t="str">
        <f>VLOOKUP(D1876,'لیست پرسنل'!$B$2:$E$1020,4,FALSE)</f>
        <v>نظارت کارفرما</v>
      </c>
      <c r="G1876" s="127" t="str">
        <f>VLOOKUP(D1876,'لیست پرسنل'!$B$2:$F$1020,2,FALSE)</f>
        <v>0</v>
      </c>
      <c r="H1876" s="151" t="s">
        <v>3702</v>
      </c>
      <c r="I1876" s="159" t="s">
        <v>87</v>
      </c>
      <c r="J1876" s="159" t="s">
        <v>571</v>
      </c>
      <c r="K1876" s="128"/>
      <c r="L1876" s="151"/>
      <c r="M1876" s="127">
        <v>607048</v>
      </c>
      <c r="N1876" s="109"/>
      <c r="O1876" s="19"/>
      <c r="P1876" s="20"/>
      <c r="Q1876" s="20"/>
    </row>
    <row r="1877" spans="1:17" ht="24.9" customHeight="1">
      <c r="A1877" s="20">
        <v>390</v>
      </c>
      <c r="B1877" s="20" t="s">
        <v>4364</v>
      </c>
      <c r="C1877" s="20">
        <v>36</v>
      </c>
      <c r="D1877" s="20" t="s">
        <v>3552</v>
      </c>
      <c r="E1877" s="19" t="str">
        <f>VLOOKUP(D1877,'لیست پرسنل'!$B$2:$E$1020,3,FALSE)</f>
        <v>نظارت کارفرما</v>
      </c>
      <c r="F1877" s="19" t="str">
        <f>VLOOKUP(D1877,'لیست پرسنل'!$B$2:$E$1020,4,FALSE)</f>
        <v>نظارت کارفرما</v>
      </c>
      <c r="G1877" s="127" t="str">
        <f>VLOOKUP(D1877,'لیست پرسنل'!$B$2:$F$1020,2,FALSE)</f>
        <v>0</v>
      </c>
      <c r="H1877" s="151" t="s">
        <v>3702</v>
      </c>
      <c r="I1877" s="159" t="s">
        <v>87</v>
      </c>
      <c r="J1877" s="128" t="s">
        <v>2686</v>
      </c>
      <c r="K1877" s="128" t="s">
        <v>1504</v>
      </c>
      <c r="L1877" s="151" t="s">
        <v>1192</v>
      </c>
      <c r="M1877" s="127">
        <v>607307</v>
      </c>
      <c r="N1877" s="110"/>
      <c r="O1877" s="19"/>
      <c r="P1877" s="20"/>
      <c r="Q1877" s="20"/>
    </row>
    <row r="1878" spans="1:17" ht="24.9" customHeight="1">
      <c r="A1878" s="20">
        <v>390</v>
      </c>
      <c r="B1878" s="20" t="s">
        <v>4364</v>
      </c>
      <c r="C1878" s="20">
        <v>39</v>
      </c>
      <c r="D1878" s="19" t="s">
        <v>3553</v>
      </c>
      <c r="E1878" s="19" t="str">
        <f>VLOOKUP(D1878,'لیست پرسنل'!$B$2:$E$1020,3,FALSE)</f>
        <v>نظارت کارفرما</v>
      </c>
      <c r="F1878" s="19" t="str">
        <f>VLOOKUP(D1878,'لیست پرسنل'!$B$2:$E$1020,4,FALSE)</f>
        <v>نظارت کارفرما</v>
      </c>
      <c r="G1878" s="127" t="str">
        <f>VLOOKUP(D1878,'لیست پرسنل'!$B$2:$F$1020,2,FALSE)</f>
        <v>0</v>
      </c>
      <c r="H1878" s="151" t="s">
        <v>3702</v>
      </c>
      <c r="I1878" s="159" t="s">
        <v>193</v>
      </c>
      <c r="J1878" s="159" t="s">
        <v>571</v>
      </c>
      <c r="K1878" s="128"/>
      <c r="L1878" s="151"/>
      <c r="M1878" s="127">
        <v>606154</v>
      </c>
      <c r="N1878" s="109"/>
      <c r="O1878" s="19"/>
      <c r="P1878" s="20"/>
      <c r="Q1878" s="20"/>
    </row>
    <row r="1879" spans="1:17" ht="24.9" customHeight="1">
      <c r="A1879" s="20">
        <v>390</v>
      </c>
      <c r="B1879" s="20" t="s">
        <v>4364</v>
      </c>
      <c r="C1879" s="20">
        <v>39</v>
      </c>
      <c r="D1879" s="19" t="s">
        <v>3553</v>
      </c>
      <c r="E1879" s="19" t="str">
        <f>VLOOKUP(D1879,'لیست پرسنل'!$B$2:$E$1020,3,FALSE)</f>
        <v>نظارت کارفرما</v>
      </c>
      <c r="F1879" s="19" t="str">
        <f>VLOOKUP(D1879,'لیست پرسنل'!$B$2:$E$1020,4,FALSE)</f>
        <v>نظارت کارفرما</v>
      </c>
      <c r="G1879" s="127" t="str">
        <f>VLOOKUP(D1879,'لیست پرسنل'!$B$2:$F$1020,2,FALSE)</f>
        <v>0</v>
      </c>
      <c r="H1879" s="151" t="s">
        <v>3702</v>
      </c>
      <c r="I1879" s="159" t="s">
        <v>193</v>
      </c>
      <c r="J1879" s="128" t="s">
        <v>2686</v>
      </c>
      <c r="K1879" s="128" t="s">
        <v>1215</v>
      </c>
      <c r="L1879" s="151" t="s">
        <v>1194</v>
      </c>
      <c r="M1879" s="127">
        <v>601561</v>
      </c>
      <c r="N1879" s="109"/>
      <c r="O1879" s="19"/>
      <c r="P1879" s="20"/>
      <c r="Q1879" s="20"/>
    </row>
    <row r="1880" spans="1:17" ht="24.9" customHeight="1">
      <c r="A1880" s="20">
        <v>390</v>
      </c>
      <c r="B1880" s="20" t="s">
        <v>4364</v>
      </c>
      <c r="C1880" s="20">
        <v>40</v>
      </c>
      <c r="D1880" s="19" t="s">
        <v>3554</v>
      </c>
      <c r="E1880" s="19" t="str">
        <f>VLOOKUP(D1880,'لیست پرسنل'!$B$2:$E$1020,3,FALSE)</f>
        <v>نظارت کارفرما</v>
      </c>
      <c r="F1880" s="19" t="str">
        <f>VLOOKUP(D1880,'لیست پرسنل'!$B$2:$E$1020,4,FALSE)</f>
        <v>نظارت کارفرما</v>
      </c>
      <c r="G1880" s="127" t="str">
        <f>VLOOKUP(D1880,'لیست پرسنل'!$B$2:$F$1020,2,FALSE)</f>
        <v>0</v>
      </c>
      <c r="H1880" s="151" t="s">
        <v>3702</v>
      </c>
      <c r="I1880" s="159" t="s">
        <v>194</v>
      </c>
      <c r="J1880" s="159" t="s">
        <v>571</v>
      </c>
      <c r="K1880" s="128"/>
      <c r="L1880" s="151"/>
      <c r="M1880" s="127">
        <v>608744</v>
      </c>
      <c r="N1880" s="109"/>
      <c r="O1880" s="19"/>
      <c r="P1880" s="20"/>
      <c r="Q1880" s="20"/>
    </row>
    <row r="1881" spans="1:17" ht="24.9" customHeight="1">
      <c r="A1881" s="185">
        <v>390</v>
      </c>
      <c r="B1881" s="185" t="s">
        <v>4364</v>
      </c>
      <c r="C1881" s="185">
        <v>40</v>
      </c>
      <c r="D1881" s="208" t="s">
        <v>3554</v>
      </c>
      <c r="E1881" s="186" t="str">
        <f>VLOOKUP(D1881,'لیست پرسنل'!$B$2:$E$1020,3,FALSE)</f>
        <v>نظارت کارفرما</v>
      </c>
      <c r="F1881" s="186" t="str">
        <f>VLOOKUP(D1881,'لیست پرسنل'!$B$2:$E$1020,4,FALSE)</f>
        <v>نظارت کارفرما</v>
      </c>
      <c r="G1881" s="187" t="str">
        <f>VLOOKUP(D1881,'لیست پرسنل'!$B$2:$F$1020,2,FALSE)</f>
        <v>0</v>
      </c>
      <c r="H1881" s="206" t="s">
        <v>3702</v>
      </c>
      <c r="I1881" s="242" t="s">
        <v>194</v>
      </c>
      <c r="J1881" s="188" t="s">
        <v>2686</v>
      </c>
      <c r="K1881" s="188" t="s">
        <v>1215</v>
      </c>
      <c r="L1881" s="206" t="s">
        <v>1195</v>
      </c>
      <c r="M1881" s="190">
        <v>601565</v>
      </c>
      <c r="N1881" s="189"/>
      <c r="O1881" s="186"/>
      <c r="P1881" s="185"/>
      <c r="Q1881" s="185"/>
    </row>
    <row r="1882" spans="1:17" ht="24.9" customHeight="1">
      <c r="A1882" s="20">
        <v>390</v>
      </c>
      <c r="B1882" s="20" t="s">
        <v>4364</v>
      </c>
      <c r="C1882" s="20">
        <v>41</v>
      </c>
      <c r="D1882" s="19" t="s">
        <v>3555</v>
      </c>
      <c r="E1882" s="19" t="str">
        <f>VLOOKUP(D1882,'لیست پرسنل'!$B$2:$E$1020,3,FALSE)</f>
        <v>نظارت کارفرما</v>
      </c>
      <c r="F1882" s="19" t="str">
        <f>VLOOKUP(D1882,'لیست پرسنل'!$B$2:$E$1020,4,FALSE)</f>
        <v>نظارت کارفرما</v>
      </c>
      <c r="G1882" s="127" t="str">
        <f>VLOOKUP(D1882,'لیست پرسنل'!$B$2:$F$1020,2,FALSE)</f>
        <v>0</v>
      </c>
      <c r="H1882" s="151" t="s">
        <v>3702</v>
      </c>
      <c r="I1882" s="159" t="s">
        <v>195</v>
      </c>
      <c r="J1882" s="159" t="s">
        <v>571</v>
      </c>
      <c r="K1882" s="128"/>
      <c r="L1882" s="151"/>
      <c r="M1882" s="127">
        <v>608742</v>
      </c>
      <c r="N1882" s="109"/>
      <c r="O1882" s="19"/>
      <c r="P1882" s="20"/>
      <c r="Q1882" s="20"/>
    </row>
    <row r="1883" spans="1:17" ht="24.9" customHeight="1">
      <c r="A1883" s="20">
        <v>390</v>
      </c>
      <c r="B1883" s="20" t="s">
        <v>4364</v>
      </c>
      <c r="C1883" s="20">
        <v>41</v>
      </c>
      <c r="D1883" s="19" t="s">
        <v>3555</v>
      </c>
      <c r="E1883" s="19" t="str">
        <f>VLOOKUP(D1883,'لیست پرسنل'!$B$2:$E$1020,3,FALSE)</f>
        <v>نظارت کارفرما</v>
      </c>
      <c r="F1883" s="19" t="str">
        <f>VLOOKUP(D1883,'لیست پرسنل'!$B$2:$E$1020,4,FALSE)</f>
        <v>نظارت کارفرما</v>
      </c>
      <c r="G1883" s="127" t="str">
        <f>VLOOKUP(D1883,'لیست پرسنل'!$B$2:$F$1020,2,FALSE)</f>
        <v>0</v>
      </c>
      <c r="H1883" s="151" t="s">
        <v>3702</v>
      </c>
      <c r="I1883" s="159" t="s">
        <v>195</v>
      </c>
      <c r="J1883" s="128" t="s">
        <v>2686</v>
      </c>
      <c r="K1883" s="128" t="s">
        <v>1215</v>
      </c>
      <c r="L1883" s="151" t="s">
        <v>1196</v>
      </c>
      <c r="M1883" s="127">
        <v>607052</v>
      </c>
      <c r="N1883" s="109"/>
      <c r="O1883" s="19"/>
      <c r="P1883" s="20"/>
      <c r="Q1883" s="20"/>
    </row>
    <row r="1884" spans="1:17" ht="24.9" customHeight="1">
      <c r="A1884" s="20">
        <v>390</v>
      </c>
      <c r="B1884" s="20" t="s">
        <v>4364</v>
      </c>
      <c r="C1884" s="20">
        <v>42</v>
      </c>
      <c r="D1884" s="20" t="s">
        <v>3556</v>
      </c>
      <c r="E1884" s="19" t="str">
        <f>VLOOKUP(D1884,'لیست پرسنل'!$B$2:$E$1020,3,FALSE)</f>
        <v>فکورصنعت</v>
      </c>
      <c r="F1884" s="19" t="str">
        <f>VLOOKUP(D1884,'لیست پرسنل'!$B$2:$E$1020,4,FALSE)</f>
        <v>کنترل پروژه</v>
      </c>
      <c r="G1884" s="127">
        <f>VLOOKUP(D1884,'لیست پرسنل'!$B$2:$F$1020,2,FALSE)</f>
        <v>4001004</v>
      </c>
      <c r="H1884" s="181" t="s">
        <v>3660</v>
      </c>
      <c r="I1884" s="159" t="s">
        <v>196</v>
      </c>
      <c r="J1884" s="128" t="s">
        <v>737</v>
      </c>
      <c r="K1884" s="128" t="s">
        <v>198</v>
      </c>
      <c r="L1884" s="127" t="s">
        <v>199</v>
      </c>
      <c r="M1884" s="127">
        <v>615446</v>
      </c>
      <c r="N1884" s="109"/>
      <c r="O1884" s="19"/>
      <c r="P1884" s="20"/>
      <c r="Q1884" s="20"/>
    </row>
    <row r="1885" spans="1:17" ht="24.9" customHeight="1">
      <c r="A1885" s="20">
        <v>390</v>
      </c>
      <c r="B1885" s="20" t="s">
        <v>4364</v>
      </c>
      <c r="C1885" s="20">
        <v>42</v>
      </c>
      <c r="D1885" s="20" t="s">
        <v>3556</v>
      </c>
      <c r="E1885" s="19" t="str">
        <f>VLOOKUP(D1885,'لیست پرسنل'!$B$2:$E$1020,3,FALSE)</f>
        <v>فکورصنعت</v>
      </c>
      <c r="F1885" s="19" t="str">
        <f>VLOOKUP(D1885,'لیست پرسنل'!$B$2:$E$1020,4,FALSE)</f>
        <v>کنترل پروژه</v>
      </c>
      <c r="G1885" s="127">
        <f>VLOOKUP(D1885,'لیست پرسنل'!$B$2:$F$1020,2,FALSE)</f>
        <v>4001004</v>
      </c>
      <c r="H1885" s="181" t="s">
        <v>3660</v>
      </c>
      <c r="I1885" s="159" t="s">
        <v>196</v>
      </c>
      <c r="J1885" s="128" t="s">
        <v>737</v>
      </c>
      <c r="K1885" s="128" t="s">
        <v>707</v>
      </c>
      <c r="L1885" s="127" t="s">
        <v>708</v>
      </c>
      <c r="M1885" s="127">
        <v>623241</v>
      </c>
      <c r="N1885" s="109"/>
      <c r="O1885" s="19"/>
      <c r="P1885" s="20"/>
      <c r="Q1885" s="20"/>
    </row>
    <row r="1886" spans="1:17" ht="24.9" customHeight="1">
      <c r="A1886" s="20">
        <v>390</v>
      </c>
      <c r="B1886" s="20" t="s">
        <v>4364</v>
      </c>
      <c r="C1886" s="20">
        <v>42</v>
      </c>
      <c r="D1886" s="20" t="s">
        <v>3556</v>
      </c>
      <c r="E1886" s="19" t="str">
        <f>VLOOKUP(D1886,'لیست پرسنل'!$B$2:$E$1020,3,FALSE)</f>
        <v>فکورصنعت</v>
      </c>
      <c r="F1886" s="19" t="str">
        <f>VLOOKUP(D1886,'لیست پرسنل'!$B$2:$E$1020,4,FALSE)</f>
        <v>کنترل پروژه</v>
      </c>
      <c r="G1886" s="127">
        <f>VLOOKUP(D1886,'لیست پرسنل'!$B$2:$F$1020,2,FALSE)</f>
        <v>4001004</v>
      </c>
      <c r="H1886" s="181" t="s">
        <v>3660</v>
      </c>
      <c r="I1886" s="159" t="s">
        <v>196</v>
      </c>
      <c r="J1886" s="126" t="s">
        <v>368</v>
      </c>
      <c r="K1886" s="128" t="s">
        <v>693</v>
      </c>
      <c r="L1886" s="127" t="s">
        <v>1343</v>
      </c>
      <c r="M1886" s="127">
        <v>626002</v>
      </c>
      <c r="N1886" s="109"/>
      <c r="O1886" s="19"/>
      <c r="P1886" s="20"/>
      <c r="Q1886" s="20"/>
    </row>
    <row r="1887" spans="1:17" ht="24.9" customHeight="1">
      <c r="A1887" s="20">
        <v>390</v>
      </c>
      <c r="B1887" s="20" t="s">
        <v>4364</v>
      </c>
      <c r="C1887" s="20">
        <v>42</v>
      </c>
      <c r="D1887" s="20" t="s">
        <v>3556</v>
      </c>
      <c r="E1887" s="19" t="str">
        <f>VLOOKUP(D1887,'لیست پرسنل'!$B$2:$E$1020,3,FALSE)</f>
        <v>فکورصنعت</v>
      </c>
      <c r="F1887" s="19" t="str">
        <f>VLOOKUP(D1887,'لیست پرسنل'!$B$2:$E$1020,4,FALSE)</f>
        <v>کنترل پروژه</v>
      </c>
      <c r="G1887" s="127">
        <f>VLOOKUP(D1887,'لیست پرسنل'!$B$2:$F$1020,2,FALSE)</f>
        <v>4001004</v>
      </c>
      <c r="H1887" s="181" t="s">
        <v>3660</v>
      </c>
      <c r="I1887" s="159" t="s">
        <v>196</v>
      </c>
      <c r="J1887" s="128" t="s">
        <v>885</v>
      </c>
      <c r="K1887" s="128" t="s">
        <v>666</v>
      </c>
      <c r="L1887" s="127" t="s">
        <v>665</v>
      </c>
      <c r="M1887" s="127">
        <v>620809</v>
      </c>
      <c r="N1887" s="109"/>
      <c r="O1887" s="19"/>
      <c r="P1887" s="20"/>
      <c r="Q1887" s="20"/>
    </row>
    <row r="1888" spans="1:17" ht="24.9" customHeight="1">
      <c r="A1888" s="20">
        <v>390</v>
      </c>
      <c r="B1888" s="20" t="s">
        <v>4364</v>
      </c>
      <c r="C1888" s="20">
        <v>42</v>
      </c>
      <c r="D1888" s="20" t="s">
        <v>3556</v>
      </c>
      <c r="E1888" s="19" t="str">
        <f>VLOOKUP(D1888,'لیست پرسنل'!$B$2:$E$1020,3,FALSE)</f>
        <v>فکورصنعت</v>
      </c>
      <c r="F1888" s="19" t="str">
        <f>VLOOKUP(D1888,'لیست پرسنل'!$B$2:$E$1020,4,FALSE)</f>
        <v>کنترل پروژه</v>
      </c>
      <c r="G1888" s="127">
        <f>VLOOKUP(D1888,'لیست پرسنل'!$B$2:$F$1020,2,FALSE)</f>
        <v>4001004</v>
      </c>
      <c r="H1888" s="181" t="s">
        <v>3660</v>
      </c>
      <c r="I1888" s="159" t="s">
        <v>196</v>
      </c>
      <c r="J1888" s="159" t="s">
        <v>571</v>
      </c>
      <c r="K1888" s="128"/>
      <c r="L1888" s="151"/>
      <c r="M1888" s="127">
        <v>622548</v>
      </c>
      <c r="N1888" s="109"/>
      <c r="O1888" s="19"/>
      <c r="P1888" s="20"/>
      <c r="Q1888" s="20"/>
    </row>
    <row r="1889" spans="1:17" ht="24.9" customHeight="1">
      <c r="A1889" s="20">
        <v>390</v>
      </c>
      <c r="B1889" s="20" t="s">
        <v>4364</v>
      </c>
      <c r="C1889" s="20">
        <v>42</v>
      </c>
      <c r="D1889" s="20" t="s">
        <v>3556</v>
      </c>
      <c r="E1889" s="19" t="str">
        <f>VLOOKUP(D1889,'لیست پرسنل'!$B$2:$E$1020,3,FALSE)</f>
        <v>فکورصنعت</v>
      </c>
      <c r="F1889" s="19" t="str">
        <f>VLOOKUP(D1889,'لیست پرسنل'!$B$2:$E$1020,4,FALSE)</f>
        <v>کنترل پروژه</v>
      </c>
      <c r="G1889" s="127">
        <f>VLOOKUP(D1889,'لیست پرسنل'!$B$2:$F$1020,2,FALSE)</f>
        <v>4001004</v>
      </c>
      <c r="H1889" s="181" t="s">
        <v>3660</v>
      </c>
      <c r="I1889" s="159" t="s">
        <v>196</v>
      </c>
      <c r="J1889" s="128" t="s">
        <v>2686</v>
      </c>
      <c r="K1889" s="128" t="s">
        <v>332</v>
      </c>
      <c r="L1889" s="151" t="s">
        <v>1197</v>
      </c>
      <c r="M1889" s="127">
        <v>605734</v>
      </c>
      <c r="N1889" s="109"/>
      <c r="O1889" s="19"/>
      <c r="P1889" s="20"/>
      <c r="Q1889" s="20"/>
    </row>
    <row r="1890" spans="1:17" ht="24.9" customHeight="1">
      <c r="A1890" s="20">
        <v>390</v>
      </c>
      <c r="B1890" s="20" t="s">
        <v>4364</v>
      </c>
      <c r="C1890" s="20">
        <v>45</v>
      </c>
      <c r="D1890" s="19" t="s">
        <v>1905</v>
      </c>
      <c r="E1890" s="19" t="str">
        <f>VLOOKUP(D1890,'لیست پرسنل'!$B$2:$E$1020,3,FALSE)</f>
        <v>فکورصنعت</v>
      </c>
      <c r="F1890" s="19" t="str">
        <f>VLOOKUP(D1890,'لیست پرسنل'!$B$2:$E$1020,4,FALSE)</f>
        <v>پشتیبانی</v>
      </c>
      <c r="G1890" s="127">
        <f>VLOOKUP(D1890,'لیست پرسنل'!$B$2:$F$1020,2,FALSE)</f>
        <v>1505</v>
      </c>
      <c r="H1890" s="181" t="s">
        <v>3660</v>
      </c>
      <c r="I1890" s="159" t="s">
        <v>1259</v>
      </c>
      <c r="J1890" s="159" t="s">
        <v>571</v>
      </c>
      <c r="K1890" s="128"/>
      <c r="L1890" s="151"/>
      <c r="M1890" s="127">
        <v>625449</v>
      </c>
      <c r="N1890" s="109"/>
      <c r="O1890" s="19"/>
      <c r="P1890" s="20"/>
      <c r="Q1890" s="20"/>
    </row>
    <row r="1891" spans="1:17" ht="24.9" customHeight="1">
      <c r="A1891" s="20">
        <v>390</v>
      </c>
      <c r="B1891" s="20" t="s">
        <v>4364</v>
      </c>
      <c r="C1891" s="20">
        <v>45</v>
      </c>
      <c r="D1891" s="19" t="s">
        <v>1905</v>
      </c>
      <c r="E1891" s="19" t="str">
        <f>VLOOKUP(D1891,'لیست پرسنل'!$B$2:$E$1020,3,FALSE)</f>
        <v>فکورصنعت</v>
      </c>
      <c r="F1891" s="19" t="str">
        <f>VLOOKUP(D1891,'لیست پرسنل'!$B$2:$E$1020,4,FALSE)</f>
        <v>پشتیبانی</v>
      </c>
      <c r="G1891" s="127">
        <f>VLOOKUP(D1891,'لیست پرسنل'!$B$2:$F$1020,2,FALSE)</f>
        <v>1505</v>
      </c>
      <c r="H1891" s="181" t="s">
        <v>3660</v>
      </c>
      <c r="I1891" s="159" t="s">
        <v>1259</v>
      </c>
      <c r="J1891" s="128" t="s">
        <v>2686</v>
      </c>
      <c r="K1891" s="128" t="s">
        <v>744</v>
      </c>
      <c r="L1891" s="151" t="s">
        <v>1417</v>
      </c>
      <c r="M1891" s="127">
        <v>605844</v>
      </c>
      <c r="N1891" s="109"/>
      <c r="O1891" s="86"/>
      <c r="P1891" s="20"/>
      <c r="Q1891" s="20"/>
    </row>
    <row r="1892" spans="1:17" ht="24.9" customHeight="1">
      <c r="A1892" s="20">
        <v>390</v>
      </c>
      <c r="B1892" s="20" t="s">
        <v>4364</v>
      </c>
      <c r="C1892" s="20">
        <v>47</v>
      </c>
      <c r="D1892" s="19" t="s">
        <v>3548</v>
      </c>
      <c r="E1892" s="19" t="str">
        <f>VLOOKUP(D1892,'لیست پرسنل'!$B$2:$E$1020,3,FALSE)</f>
        <v>گهر کوشان سپهر</v>
      </c>
      <c r="F1892" s="19" t="str">
        <f>VLOOKUP(D1892,'لیست پرسنل'!$B$2:$E$1020,4,FALSE)</f>
        <v>مسئول دفتر</v>
      </c>
      <c r="G1892" s="127">
        <f>VLOOKUP(D1892,'لیست پرسنل'!$B$2:$F$1020,2,FALSE)</f>
        <v>20186</v>
      </c>
      <c r="H1892" s="151" t="s">
        <v>3660</v>
      </c>
      <c r="I1892" s="127" t="s">
        <v>4540</v>
      </c>
      <c r="J1892" s="128" t="s">
        <v>571</v>
      </c>
      <c r="K1892" s="128" t="s">
        <v>571</v>
      </c>
      <c r="L1892" s="150"/>
      <c r="M1892" s="128">
        <v>607673</v>
      </c>
      <c r="N1892" s="108"/>
      <c r="O1892" s="20" t="s">
        <v>4541</v>
      </c>
      <c r="P1892" s="20"/>
      <c r="Q1892" s="20"/>
    </row>
    <row r="1893" spans="1:17" ht="24.9" customHeight="1">
      <c r="A1893" s="20">
        <v>390</v>
      </c>
      <c r="B1893" s="20" t="s">
        <v>4364</v>
      </c>
      <c r="C1893" s="20">
        <v>47</v>
      </c>
      <c r="D1893" s="19" t="s">
        <v>3548</v>
      </c>
      <c r="E1893" s="19" t="str">
        <f>VLOOKUP(D1893,'لیست پرسنل'!$B$2:$E$1020,3,FALSE)</f>
        <v>گهر کوشان سپهر</v>
      </c>
      <c r="F1893" s="19" t="str">
        <f>VLOOKUP(D1893,'لیست پرسنل'!$B$2:$E$1020,4,FALSE)</f>
        <v>مسئول دفتر</v>
      </c>
      <c r="G1893" s="127">
        <f>VLOOKUP(D1893,'لیست پرسنل'!$B$2:$F$1020,2,FALSE)</f>
        <v>20186</v>
      </c>
      <c r="H1893" s="151" t="s">
        <v>3660</v>
      </c>
      <c r="I1893" s="127" t="s">
        <v>4540</v>
      </c>
      <c r="J1893" s="128" t="s">
        <v>2686</v>
      </c>
      <c r="K1893" s="128" t="s">
        <v>1994</v>
      </c>
      <c r="L1893" s="150" t="s">
        <v>83</v>
      </c>
      <c r="M1893" s="128">
        <v>601482</v>
      </c>
      <c r="N1893" s="108"/>
      <c r="O1893" s="20" t="s">
        <v>4541</v>
      </c>
      <c r="P1893" s="20"/>
      <c r="Q1893" s="20"/>
    </row>
    <row r="1894" spans="1:17" ht="24.9" customHeight="1">
      <c r="A1894" s="20">
        <v>390</v>
      </c>
      <c r="B1894" s="20" t="s">
        <v>4364</v>
      </c>
      <c r="C1894" s="20"/>
      <c r="D1894" s="20" t="s">
        <v>3558</v>
      </c>
      <c r="E1894" s="19" t="str">
        <f>VLOOKUP(D1894,'لیست پرسنل'!$B$2:$E$1020,3,FALSE)</f>
        <v>فکورصنعت</v>
      </c>
      <c r="F1894" s="19" t="str">
        <f>VLOOKUP(D1894,'لیست پرسنل'!$B$2:$E$1020,4,FALSE)</f>
        <v>آبدارخانه فکور</v>
      </c>
      <c r="G1894" s="127">
        <f>VLOOKUP(D1894,'لیست پرسنل'!$B$2:$F$1020,2,FALSE)</f>
        <v>1538</v>
      </c>
      <c r="H1894" s="181" t="s">
        <v>3660</v>
      </c>
      <c r="I1894" s="128"/>
      <c r="J1894" s="126" t="s">
        <v>368</v>
      </c>
      <c r="K1894" s="128" t="s">
        <v>658</v>
      </c>
      <c r="L1894" s="150" t="s">
        <v>790</v>
      </c>
      <c r="M1894" s="128">
        <v>621042</v>
      </c>
      <c r="N1894" s="108"/>
      <c r="O1894" s="20"/>
      <c r="P1894" s="20"/>
      <c r="Q1894" s="20"/>
    </row>
    <row r="1895" spans="1:17" ht="24.9" customHeight="1">
      <c r="A1895" s="20">
        <v>390</v>
      </c>
      <c r="B1895" s="20" t="s">
        <v>4364</v>
      </c>
      <c r="C1895" s="20"/>
      <c r="D1895" s="20" t="s">
        <v>3558</v>
      </c>
      <c r="E1895" s="19" t="str">
        <f>VLOOKUP(D1895,'لیست پرسنل'!$B$2:$E$1020,3,FALSE)</f>
        <v>فکورصنعت</v>
      </c>
      <c r="F1895" s="19" t="str">
        <f>VLOOKUP(D1895,'لیست پرسنل'!$B$2:$E$1020,4,FALSE)</f>
        <v>آبدارخانه فکور</v>
      </c>
      <c r="G1895" s="127">
        <f>VLOOKUP(D1895,'لیست پرسنل'!$B$2:$F$1020,2,FALSE)</f>
        <v>1538</v>
      </c>
      <c r="H1895" s="128" t="s">
        <v>6692</v>
      </c>
      <c r="I1895" s="128"/>
      <c r="J1895" s="128" t="s">
        <v>5366</v>
      </c>
      <c r="K1895" s="128" t="s">
        <v>2559</v>
      </c>
      <c r="L1895" s="128"/>
      <c r="M1895" s="128">
        <v>607203</v>
      </c>
      <c r="N1895" s="108"/>
      <c r="O1895" s="20" t="s">
        <v>6693</v>
      </c>
      <c r="P1895" s="20"/>
      <c r="Q1895" s="20"/>
    </row>
    <row r="1896" spans="1:17" ht="24.9" customHeight="1">
      <c r="A1896" s="20">
        <v>390</v>
      </c>
      <c r="B1896" s="20" t="s">
        <v>4364</v>
      </c>
      <c r="C1896" s="20"/>
      <c r="D1896" s="20" t="s">
        <v>3540</v>
      </c>
      <c r="E1896" s="19" t="str">
        <f>VLOOKUP(D1896,'لیست پرسنل'!$B$2:$E$1020,3,FALSE)</f>
        <v>فکورصنعت</v>
      </c>
      <c r="F1896" s="19" t="str">
        <f>VLOOKUP(D1896,'لیست پرسنل'!$B$2:$E$1020,4,FALSE)</f>
        <v>انبار</v>
      </c>
      <c r="G1896" s="127">
        <f>VLOOKUP(D1896,'لیست پرسنل'!$B$2:$F$1020,2,FALSE)</f>
        <v>1902</v>
      </c>
      <c r="H1896" s="128" t="s">
        <v>3713</v>
      </c>
      <c r="I1896" s="128"/>
      <c r="J1896" s="128" t="s">
        <v>3481</v>
      </c>
      <c r="K1896" s="128" t="s">
        <v>1019</v>
      </c>
      <c r="L1896" s="150"/>
      <c r="M1896" s="128" t="s">
        <v>291</v>
      </c>
      <c r="N1896" s="108" t="s">
        <v>3723</v>
      </c>
      <c r="O1896" s="20" t="s">
        <v>3714</v>
      </c>
      <c r="P1896" s="20"/>
      <c r="Q1896" s="20"/>
    </row>
    <row r="1897" spans="1:17" ht="24.9" customHeight="1">
      <c r="A1897" s="20">
        <v>390</v>
      </c>
      <c r="B1897" s="20" t="s">
        <v>4364</v>
      </c>
      <c r="C1897" s="20"/>
      <c r="D1897" s="20" t="s">
        <v>3540</v>
      </c>
      <c r="E1897" s="19" t="str">
        <f>VLOOKUP(D1897,'لیست پرسنل'!$B$2:$E$1020,3,FALSE)</f>
        <v>فکورصنعت</v>
      </c>
      <c r="F1897" s="19" t="str">
        <f>VLOOKUP(D1897,'لیست پرسنل'!$B$2:$E$1020,4,FALSE)</f>
        <v>انبار</v>
      </c>
      <c r="G1897" s="127">
        <f>VLOOKUP(D1897,'لیست پرسنل'!$B$2:$F$1020,2,FALSE)</f>
        <v>1902</v>
      </c>
      <c r="H1897" s="151" t="s">
        <v>3660</v>
      </c>
      <c r="I1897" s="128"/>
      <c r="J1897" s="128" t="s">
        <v>3480</v>
      </c>
      <c r="K1897" s="128" t="s">
        <v>1663</v>
      </c>
      <c r="L1897" s="150"/>
      <c r="M1897" s="128">
        <v>602015</v>
      </c>
      <c r="N1897" s="108" t="s">
        <v>7233</v>
      </c>
      <c r="O1897" s="20" t="s">
        <v>1662</v>
      </c>
      <c r="P1897" s="20"/>
      <c r="Q1897" s="20"/>
    </row>
    <row r="1898" spans="1:17" ht="24.9" customHeight="1">
      <c r="A1898" s="20">
        <v>390</v>
      </c>
      <c r="B1898" s="20" t="s">
        <v>4364</v>
      </c>
      <c r="C1898" s="20"/>
      <c r="D1898" s="20" t="s">
        <v>3540</v>
      </c>
      <c r="E1898" s="19" t="str">
        <f>VLOOKUP(D1898,'لیست پرسنل'!$B$2:$E$1020,3,FALSE)</f>
        <v>فکورصنعت</v>
      </c>
      <c r="F1898" s="19" t="str">
        <f>VLOOKUP(D1898,'لیست پرسنل'!$B$2:$E$1020,4,FALSE)</f>
        <v>انبار</v>
      </c>
      <c r="G1898" s="127">
        <f>VLOOKUP(D1898,'لیست پرسنل'!$B$2:$F$1020,2,FALSE)</f>
        <v>1902</v>
      </c>
      <c r="H1898" s="128" t="s">
        <v>3702</v>
      </c>
      <c r="I1898" s="128"/>
      <c r="J1898" s="128" t="s">
        <v>3481</v>
      </c>
      <c r="K1898" s="128" t="s">
        <v>1019</v>
      </c>
      <c r="L1898" s="150"/>
      <c r="M1898" s="128" t="s">
        <v>291</v>
      </c>
      <c r="N1898" s="108" t="s">
        <v>3723</v>
      </c>
      <c r="O1898" s="20" t="s">
        <v>3712</v>
      </c>
      <c r="P1898" s="20"/>
      <c r="Q1898" s="20"/>
    </row>
    <row r="1899" spans="1:17" ht="24.9" customHeight="1">
      <c r="A1899" s="20">
        <v>390</v>
      </c>
      <c r="B1899" s="20" t="s">
        <v>4364</v>
      </c>
      <c r="C1899" s="19"/>
      <c r="D1899" s="19" t="s">
        <v>3541</v>
      </c>
      <c r="E1899" s="19" t="str">
        <f>VLOOKUP(D1899,'لیست پرسنل'!$B$2:$E$1020,3,FALSE)</f>
        <v>فکورصنعت</v>
      </c>
      <c r="F1899" s="19" t="str">
        <f>VLOOKUP(D1899,'لیست پرسنل'!$B$2:$E$1020,4,FALSE)</f>
        <v>مدیرپروژه</v>
      </c>
      <c r="G1899" s="127">
        <f>VLOOKUP(D1899,'لیست پرسنل'!$B$2:$F$1020,2,FALSE)</f>
        <v>165</v>
      </c>
      <c r="H1899" s="151" t="s">
        <v>3660</v>
      </c>
      <c r="I1899" s="127"/>
      <c r="J1899" s="128" t="s">
        <v>3938</v>
      </c>
      <c r="K1899" s="128" t="s">
        <v>1159</v>
      </c>
      <c r="L1899" s="151" t="s">
        <v>1163</v>
      </c>
      <c r="M1899" s="127">
        <v>622736</v>
      </c>
      <c r="N1899" s="109"/>
      <c r="O1899" s="39" t="s">
        <v>4430</v>
      </c>
      <c r="P1899" s="20"/>
      <c r="Q1899" s="20"/>
    </row>
    <row r="1900" spans="1:17" ht="24.9" customHeight="1">
      <c r="A1900" s="20">
        <v>390</v>
      </c>
      <c r="B1900" s="20" t="s">
        <v>4364</v>
      </c>
      <c r="C1900" s="20"/>
      <c r="D1900" s="20" t="s">
        <v>3541</v>
      </c>
      <c r="E1900" s="19" t="str">
        <f>VLOOKUP(D1900,'لیست پرسنل'!$B$2:$E$1020,3,FALSE)</f>
        <v>فکورصنعت</v>
      </c>
      <c r="F1900" s="19" t="str">
        <f>VLOOKUP(D1900,'لیست پرسنل'!$B$2:$E$1020,4,FALSE)</f>
        <v>مدیرپروژه</v>
      </c>
      <c r="G1900" s="127">
        <f>VLOOKUP(D1900,'لیست پرسنل'!$B$2:$F$1020,2,FALSE)</f>
        <v>165</v>
      </c>
      <c r="H1900" s="128" t="s">
        <v>3660</v>
      </c>
      <c r="I1900" s="128"/>
      <c r="J1900" s="128" t="s">
        <v>3481</v>
      </c>
      <c r="K1900" s="128" t="s">
        <v>1015</v>
      </c>
      <c r="L1900" s="150"/>
      <c r="M1900" s="128" t="s">
        <v>291</v>
      </c>
      <c r="N1900" s="108"/>
      <c r="O1900" s="20" t="s">
        <v>3707</v>
      </c>
      <c r="P1900" s="20"/>
      <c r="Q1900" s="20"/>
    </row>
    <row r="1901" spans="1:17" ht="24.9" customHeight="1">
      <c r="A1901" s="20">
        <v>390</v>
      </c>
      <c r="B1901" s="20" t="s">
        <v>4364</v>
      </c>
      <c r="C1901" s="20"/>
      <c r="D1901" s="20" t="s">
        <v>3541</v>
      </c>
      <c r="E1901" s="19" t="str">
        <f>VLOOKUP(D1901,'لیست پرسنل'!$B$2:$E$1020,3,FALSE)</f>
        <v>فکورصنعت</v>
      </c>
      <c r="F1901" s="19" t="str">
        <f>VLOOKUP(D1901,'لیست پرسنل'!$B$2:$E$1020,4,FALSE)</f>
        <v>مدیرپروژه</v>
      </c>
      <c r="G1901" s="127">
        <f>VLOOKUP(D1901,'لیست پرسنل'!$B$2:$F$1020,2,FALSE)</f>
        <v>165</v>
      </c>
      <c r="H1901" s="128" t="s">
        <v>3660</v>
      </c>
      <c r="I1901" s="128"/>
      <c r="J1901" s="128" t="s">
        <v>3483</v>
      </c>
      <c r="K1901" s="128" t="s">
        <v>1036</v>
      </c>
      <c r="L1901" s="150"/>
      <c r="M1901" s="128" t="s">
        <v>291</v>
      </c>
      <c r="N1901" s="108"/>
      <c r="O1901" s="20" t="s">
        <v>3715</v>
      </c>
      <c r="P1901" s="20"/>
      <c r="Q1901" s="20"/>
    </row>
    <row r="1902" spans="1:17" ht="24.9" customHeight="1">
      <c r="A1902" s="20">
        <v>390</v>
      </c>
      <c r="B1902" s="20" t="s">
        <v>4364</v>
      </c>
      <c r="C1902" s="20"/>
      <c r="D1902" s="20" t="s">
        <v>3541</v>
      </c>
      <c r="E1902" s="19" t="str">
        <f>VLOOKUP(D1902,'لیست پرسنل'!$B$2:$E$1020,3,FALSE)</f>
        <v>فکورصنعت</v>
      </c>
      <c r="F1902" s="19" t="str">
        <f>VLOOKUP(D1902,'لیست پرسنل'!$B$2:$E$1020,4,FALSE)</f>
        <v>مدیرپروژه</v>
      </c>
      <c r="G1902" s="127">
        <f>VLOOKUP(D1902,'لیست پرسنل'!$B$2:$F$1020,2,FALSE)</f>
        <v>165</v>
      </c>
      <c r="H1902" s="128" t="s">
        <v>3660</v>
      </c>
      <c r="I1902" s="128"/>
      <c r="J1902" s="128" t="s">
        <v>3476</v>
      </c>
      <c r="K1902" s="128" t="s">
        <v>1023</v>
      </c>
      <c r="L1902" s="150"/>
      <c r="M1902" s="128" t="s">
        <v>291</v>
      </c>
      <c r="N1902" s="108"/>
      <c r="O1902" s="20" t="s">
        <v>3716</v>
      </c>
      <c r="P1902" s="20"/>
      <c r="Q1902" s="20"/>
    </row>
    <row r="1903" spans="1:17" ht="24.9" customHeight="1">
      <c r="A1903" s="20">
        <v>390</v>
      </c>
      <c r="B1903" s="20" t="s">
        <v>4364</v>
      </c>
      <c r="C1903" s="20"/>
      <c r="D1903" s="20" t="s">
        <v>3541</v>
      </c>
      <c r="E1903" s="19" t="str">
        <f>VLOOKUP(D1903,'لیست پرسنل'!$B$2:$E$1020,3,FALSE)</f>
        <v>فکورصنعت</v>
      </c>
      <c r="F1903" s="19" t="str">
        <f>VLOOKUP(D1903,'لیست پرسنل'!$B$2:$E$1020,4,FALSE)</f>
        <v>مدیرپروژه</v>
      </c>
      <c r="G1903" s="127">
        <f>VLOOKUP(D1903,'لیست پرسنل'!$B$2:$F$1020,2,FALSE)</f>
        <v>165</v>
      </c>
      <c r="H1903" s="128" t="s">
        <v>3660</v>
      </c>
      <c r="I1903" s="128"/>
      <c r="J1903" s="128" t="s">
        <v>3476</v>
      </c>
      <c r="K1903" s="128" t="s">
        <v>1022</v>
      </c>
      <c r="L1903" s="150"/>
      <c r="M1903" s="128" t="s">
        <v>291</v>
      </c>
      <c r="N1903" s="108"/>
      <c r="O1903" s="20" t="s">
        <v>3716</v>
      </c>
      <c r="P1903" s="20"/>
      <c r="Q1903" s="20"/>
    </row>
    <row r="1904" spans="1:17" ht="24.9" customHeight="1">
      <c r="A1904" s="20">
        <v>390</v>
      </c>
      <c r="B1904" s="20" t="s">
        <v>4364</v>
      </c>
      <c r="C1904" s="20"/>
      <c r="D1904" s="20" t="s">
        <v>3541</v>
      </c>
      <c r="E1904" s="19" t="str">
        <f>VLOOKUP(D1904,'لیست پرسنل'!$B$2:$E$1020,3,FALSE)</f>
        <v>فکورصنعت</v>
      </c>
      <c r="F1904" s="19" t="str">
        <f>VLOOKUP(D1904,'لیست پرسنل'!$B$2:$E$1020,4,FALSE)</f>
        <v>مدیرپروژه</v>
      </c>
      <c r="G1904" s="127">
        <f>VLOOKUP(D1904,'لیست پرسنل'!$B$2:$F$1020,2,FALSE)</f>
        <v>165</v>
      </c>
      <c r="H1904" s="128" t="s">
        <v>3660</v>
      </c>
      <c r="I1904" s="128"/>
      <c r="J1904" s="128" t="s">
        <v>3717</v>
      </c>
      <c r="K1904" s="128" t="s">
        <v>3718</v>
      </c>
      <c r="L1904" s="150"/>
      <c r="M1904" s="128">
        <v>605684</v>
      </c>
      <c r="N1904" s="108"/>
      <c r="O1904" s="20" t="s">
        <v>3719</v>
      </c>
      <c r="P1904" s="20"/>
      <c r="Q1904" s="20"/>
    </row>
    <row r="1905" spans="1:17" ht="24.9" customHeight="1">
      <c r="A1905" s="20">
        <v>390</v>
      </c>
      <c r="B1905" s="20" t="s">
        <v>4364</v>
      </c>
      <c r="C1905" s="20"/>
      <c r="D1905" s="19" t="s">
        <v>3557</v>
      </c>
      <c r="E1905" s="19" t="str">
        <f>VLOOKUP(D1905,'لیست پرسنل'!$B$2:$E$1020,3,FALSE)</f>
        <v>نظارت کارفرما</v>
      </c>
      <c r="F1905" s="19" t="str">
        <f>VLOOKUP(D1905,'لیست پرسنل'!$B$2:$E$1020,4,FALSE)</f>
        <v>نظارت کارفرما</v>
      </c>
      <c r="G1905" s="127" t="str">
        <f>VLOOKUP(D1905,'لیست پرسنل'!$B$2:$F$1020,2,FALSE)</f>
        <v>0</v>
      </c>
      <c r="H1905" s="151" t="s">
        <v>3702</v>
      </c>
      <c r="I1905" s="127"/>
      <c r="J1905" s="127" t="s">
        <v>753</v>
      </c>
      <c r="K1905" s="128" t="s">
        <v>482</v>
      </c>
      <c r="L1905" s="151" t="s">
        <v>483</v>
      </c>
      <c r="M1905" s="127">
        <v>613409</v>
      </c>
      <c r="N1905" s="109" t="s">
        <v>493</v>
      </c>
      <c r="O1905" s="19"/>
      <c r="P1905" s="20"/>
      <c r="Q1905" s="20"/>
    </row>
    <row r="1906" spans="1:17" ht="24.9" customHeight="1">
      <c r="A1906" s="20">
        <v>390</v>
      </c>
      <c r="B1906" s="20" t="s">
        <v>4364</v>
      </c>
      <c r="C1906" s="20"/>
      <c r="D1906" s="20" t="s">
        <v>3536</v>
      </c>
      <c r="E1906" s="19" t="str">
        <f>VLOOKUP(D1906,'لیست پرسنل'!$B$2:$E$1020,3,FALSE)</f>
        <v>فکورصنعت</v>
      </c>
      <c r="F1906" s="19" t="str">
        <f>VLOOKUP(D1906,'لیست پرسنل'!$B$2:$E$1020,4,FALSE)</f>
        <v>انبار</v>
      </c>
      <c r="G1906" s="127">
        <f>VLOOKUP(D1906,'لیست پرسنل'!$B$2:$F$1020,2,FALSE)</f>
        <v>1536</v>
      </c>
      <c r="H1906" s="128" t="s">
        <v>4406</v>
      </c>
      <c r="I1906" s="128"/>
      <c r="J1906" s="128" t="s">
        <v>3481</v>
      </c>
      <c r="K1906" s="128" t="s">
        <v>3182</v>
      </c>
      <c r="L1906" s="127"/>
      <c r="M1906" s="127">
        <v>610651</v>
      </c>
      <c r="N1906" s="109"/>
      <c r="O1906" s="19"/>
      <c r="P1906" s="19"/>
      <c r="Q1906" s="28"/>
    </row>
    <row r="1907" spans="1:17" ht="24.9" customHeight="1">
      <c r="A1907" s="20">
        <v>390</v>
      </c>
      <c r="B1907" s="20" t="s">
        <v>4364</v>
      </c>
      <c r="C1907" s="20"/>
      <c r="D1907" s="20" t="s">
        <v>3536</v>
      </c>
      <c r="E1907" s="19" t="str">
        <f>VLOOKUP(D1907,'لیست پرسنل'!$B$2:$E$1020,3,FALSE)</f>
        <v>فکورصنعت</v>
      </c>
      <c r="F1907" s="19" t="str">
        <f>VLOOKUP(D1907,'لیست پرسنل'!$B$2:$E$1020,4,FALSE)</f>
        <v>انبار</v>
      </c>
      <c r="G1907" s="127">
        <f>VLOOKUP(D1907,'لیست پرسنل'!$B$2:$F$1020,2,FALSE)</f>
        <v>1536</v>
      </c>
      <c r="H1907" s="128" t="s">
        <v>4406</v>
      </c>
      <c r="I1907" s="128"/>
      <c r="J1907" s="128" t="s">
        <v>3481</v>
      </c>
      <c r="K1907" s="128" t="s">
        <v>3182</v>
      </c>
      <c r="L1907" s="127"/>
      <c r="M1907" s="127">
        <v>610652</v>
      </c>
      <c r="N1907" s="109"/>
      <c r="O1907" s="19"/>
      <c r="P1907" s="19"/>
      <c r="Q1907" s="28"/>
    </row>
    <row r="1908" spans="1:17" ht="24.9" customHeight="1">
      <c r="A1908" s="20">
        <v>390</v>
      </c>
      <c r="B1908" s="20" t="s">
        <v>4364</v>
      </c>
      <c r="C1908" s="20"/>
      <c r="D1908" s="20" t="s">
        <v>3536</v>
      </c>
      <c r="E1908" s="19" t="str">
        <f>VLOOKUP(D1908,'لیست پرسنل'!$B$2:$E$1020,3,FALSE)</f>
        <v>فکورصنعت</v>
      </c>
      <c r="F1908" s="19" t="str">
        <f>VLOOKUP(D1908,'لیست پرسنل'!$B$2:$E$1020,4,FALSE)</f>
        <v>انبار</v>
      </c>
      <c r="G1908" s="127">
        <f>VLOOKUP(D1908,'لیست پرسنل'!$B$2:$F$1020,2,FALSE)</f>
        <v>1536</v>
      </c>
      <c r="H1908" s="128" t="s">
        <v>4406</v>
      </c>
      <c r="I1908" s="128"/>
      <c r="J1908" s="128" t="s">
        <v>3481</v>
      </c>
      <c r="K1908" s="128" t="s">
        <v>3182</v>
      </c>
      <c r="L1908" s="127"/>
      <c r="M1908" s="127">
        <v>610653</v>
      </c>
      <c r="N1908" s="109"/>
      <c r="O1908" s="19"/>
      <c r="P1908" s="19"/>
      <c r="Q1908" s="28"/>
    </row>
    <row r="1909" spans="1:17" ht="24.9" customHeight="1">
      <c r="A1909" s="20">
        <v>390</v>
      </c>
      <c r="B1909" s="20" t="s">
        <v>4364</v>
      </c>
      <c r="C1909" s="20"/>
      <c r="D1909" s="20" t="s">
        <v>3536</v>
      </c>
      <c r="E1909" s="19" t="str">
        <f>VLOOKUP(D1909,'لیست پرسنل'!$B$2:$E$1020,3,FALSE)</f>
        <v>فکورصنعت</v>
      </c>
      <c r="F1909" s="19" t="str">
        <f>VLOOKUP(D1909,'لیست پرسنل'!$B$2:$E$1020,4,FALSE)</f>
        <v>انبار</v>
      </c>
      <c r="G1909" s="127">
        <f>VLOOKUP(D1909,'لیست پرسنل'!$B$2:$F$1020,2,FALSE)</f>
        <v>1536</v>
      </c>
      <c r="H1909" s="128" t="s">
        <v>4406</v>
      </c>
      <c r="I1909" s="128"/>
      <c r="J1909" s="128" t="s">
        <v>3481</v>
      </c>
      <c r="K1909" s="128" t="s">
        <v>3182</v>
      </c>
      <c r="L1909" s="127"/>
      <c r="M1909" s="127">
        <v>610808</v>
      </c>
      <c r="N1909" s="109"/>
      <c r="O1909" s="19"/>
      <c r="P1909" s="19"/>
      <c r="Q1909" s="28"/>
    </row>
    <row r="1910" spans="1:17" ht="24.9" customHeight="1">
      <c r="A1910" s="20">
        <v>390</v>
      </c>
      <c r="B1910" s="20" t="s">
        <v>4364</v>
      </c>
      <c r="C1910" s="20"/>
      <c r="D1910" s="20" t="s">
        <v>3536</v>
      </c>
      <c r="E1910" s="19" t="str">
        <f>VLOOKUP(D1910,'لیست پرسنل'!$B$2:$E$1020,3,FALSE)</f>
        <v>فکورصنعت</v>
      </c>
      <c r="F1910" s="19" t="str">
        <f>VLOOKUP(D1910,'لیست پرسنل'!$B$2:$E$1020,4,FALSE)</f>
        <v>انبار</v>
      </c>
      <c r="G1910" s="127">
        <f>VLOOKUP(D1910,'لیست پرسنل'!$B$2:$F$1020,2,FALSE)</f>
        <v>1536</v>
      </c>
      <c r="H1910" s="128" t="s">
        <v>4406</v>
      </c>
      <c r="I1910" s="128"/>
      <c r="J1910" s="128" t="s">
        <v>3481</v>
      </c>
      <c r="K1910" s="128" t="s">
        <v>3182</v>
      </c>
      <c r="L1910" s="127"/>
      <c r="M1910" s="127">
        <v>610809</v>
      </c>
      <c r="N1910" s="109"/>
      <c r="O1910" s="19"/>
      <c r="P1910" s="19"/>
      <c r="Q1910" s="28"/>
    </row>
    <row r="1911" spans="1:17" ht="24.9" customHeight="1">
      <c r="A1911" s="20">
        <v>390</v>
      </c>
      <c r="B1911" s="20" t="s">
        <v>4364</v>
      </c>
      <c r="C1911" s="20"/>
      <c r="D1911" s="20" t="s">
        <v>3536</v>
      </c>
      <c r="E1911" s="19" t="str">
        <f>VLOOKUP(D1911,'لیست پرسنل'!$B$2:$E$1020,3,FALSE)</f>
        <v>فکورصنعت</v>
      </c>
      <c r="F1911" s="19" t="str">
        <f>VLOOKUP(D1911,'لیست پرسنل'!$B$2:$E$1020,4,FALSE)</f>
        <v>انبار</v>
      </c>
      <c r="G1911" s="127">
        <f>VLOOKUP(D1911,'لیست پرسنل'!$B$2:$F$1020,2,FALSE)</f>
        <v>1536</v>
      </c>
      <c r="H1911" s="128" t="s">
        <v>4406</v>
      </c>
      <c r="I1911" s="128"/>
      <c r="J1911" s="128" t="s">
        <v>3481</v>
      </c>
      <c r="K1911" s="128" t="s">
        <v>3182</v>
      </c>
      <c r="L1911" s="127"/>
      <c r="M1911" s="127">
        <v>612296</v>
      </c>
      <c r="N1911" s="109"/>
      <c r="O1911" s="19"/>
      <c r="P1911" s="19"/>
      <c r="Q1911" s="20"/>
    </row>
    <row r="1912" spans="1:17" ht="24.9" customHeight="1">
      <c r="A1912" s="20">
        <v>390</v>
      </c>
      <c r="B1912" s="20" t="s">
        <v>4364</v>
      </c>
      <c r="C1912" s="20"/>
      <c r="D1912" s="20" t="s">
        <v>3536</v>
      </c>
      <c r="E1912" s="19" t="str">
        <f>VLOOKUP(D1912,'لیست پرسنل'!$B$2:$E$1020,3,FALSE)</f>
        <v>فکورصنعت</v>
      </c>
      <c r="F1912" s="19" t="str">
        <f>VLOOKUP(D1912,'لیست پرسنل'!$B$2:$E$1020,4,FALSE)</f>
        <v>انبار</v>
      </c>
      <c r="G1912" s="127">
        <f>VLOOKUP(D1912,'لیست پرسنل'!$B$2:$F$1020,2,FALSE)</f>
        <v>1536</v>
      </c>
      <c r="H1912" s="128" t="s">
        <v>4406</v>
      </c>
      <c r="I1912" s="128"/>
      <c r="J1912" s="128" t="s">
        <v>3481</v>
      </c>
      <c r="K1912" s="128" t="s">
        <v>3182</v>
      </c>
      <c r="L1912" s="127"/>
      <c r="M1912" s="127">
        <v>612297</v>
      </c>
      <c r="N1912" s="109"/>
      <c r="O1912" s="19"/>
      <c r="P1912" s="19"/>
      <c r="Q1912" s="20"/>
    </row>
    <row r="1913" spans="1:17" ht="24.9" customHeight="1">
      <c r="A1913" s="20">
        <v>390</v>
      </c>
      <c r="B1913" s="20" t="s">
        <v>4364</v>
      </c>
      <c r="C1913" s="20"/>
      <c r="D1913" s="20" t="s">
        <v>3536</v>
      </c>
      <c r="E1913" s="19" t="str">
        <f>VLOOKUP(D1913,'لیست پرسنل'!$B$2:$E$1020,3,FALSE)</f>
        <v>فکورصنعت</v>
      </c>
      <c r="F1913" s="19" t="str">
        <f>VLOOKUP(D1913,'لیست پرسنل'!$B$2:$E$1020,4,FALSE)</f>
        <v>انبار</v>
      </c>
      <c r="G1913" s="127">
        <f>VLOOKUP(D1913,'لیست پرسنل'!$B$2:$F$1020,2,FALSE)</f>
        <v>1536</v>
      </c>
      <c r="H1913" s="128" t="s">
        <v>4406</v>
      </c>
      <c r="I1913" s="128"/>
      <c r="J1913" s="128" t="s">
        <v>3481</v>
      </c>
      <c r="K1913" s="128" t="s">
        <v>3182</v>
      </c>
      <c r="L1913" s="127"/>
      <c r="M1913" s="127">
        <v>614622</v>
      </c>
      <c r="N1913" s="109" t="s">
        <v>826</v>
      </c>
      <c r="O1913" s="28"/>
      <c r="P1913" s="19"/>
      <c r="Q1913" s="20"/>
    </row>
    <row r="1914" spans="1:17" ht="24.9" customHeight="1">
      <c r="A1914" s="20">
        <v>390</v>
      </c>
      <c r="B1914" s="20" t="s">
        <v>4364</v>
      </c>
      <c r="C1914" s="20"/>
      <c r="D1914" s="20" t="s">
        <v>3536</v>
      </c>
      <c r="E1914" s="19" t="str">
        <f>VLOOKUP(D1914,'لیست پرسنل'!$B$2:$E$1020,3,FALSE)</f>
        <v>فکورصنعت</v>
      </c>
      <c r="F1914" s="19" t="str">
        <f>VLOOKUP(D1914,'لیست پرسنل'!$B$2:$E$1020,4,FALSE)</f>
        <v>انبار</v>
      </c>
      <c r="G1914" s="127">
        <f>VLOOKUP(D1914,'لیست پرسنل'!$B$2:$F$1020,2,FALSE)</f>
        <v>1536</v>
      </c>
      <c r="H1914" s="128" t="s">
        <v>7142</v>
      </c>
      <c r="I1914" s="128"/>
      <c r="J1914" s="128" t="s">
        <v>3480</v>
      </c>
      <c r="K1914" s="128" t="s">
        <v>3187</v>
      </c>
      <c r="L1914" s="127"/>
      <c r="M1914" s="127">
        <v>620206</v>
      </c>
      <c r="N1914" s="109"/>
      <c r="O1914" s="19"/>
      <c r="P1914" s="19"/>
      <c r="Q1914" s="20"/>
    </row>
    <row r="1915" spans="1:17" ht="24.9" customHeight="1">
      <c r="A1915" s="20">
        <v>390</v>
      </c>
      <c r="B1915" s="20" t="s">
        <v>4364</v>
      </c>
      <c r="C1915" s="20"/>
      <c r="D1915" s="20" t="s">
        <v>3536</v>
      </c>
      <c r="E1915" s="19" t="str">
        <f>VLOOKUP(D1915,'لیست پرسنل'!$B$2:$E$1020,3,FALSE)</f>
        <v>فکورصنعت</v>
      </c>
      <c r="F1915" s="19" t="str">
        <f>VLOOKUP(D1915,'لیست پرسنل'!$B$2:$E$1020,4,FALSE)</f>
        <v>انبار</v>
      </c>
      <c r="G1915" s="127">
        <f>VLOOKUP(D1915,'لیست پرسنل'!$B$2:$F$1020,2,FALSE)</f>
        <v>1536</v>
      </c>
      <c r="H1915" s="128" t="s">
        <v>4079</v>
      </c>
      <c r="I1915" s="128"/>
      <c r="J1915" s="128" t="s">
        <v>4689</v>
      </c>
      <c r="K1915" s="128" t="s">
        <v>1068</v>
      </c>
      <c r="L1915" s="127"/>
      <c r="M1915" s="127">
        <v>623493</v>
      </c>
      <c r="N1915" s="109" t="s">
        <v>1069</v>
      </c>
      <c r="O1915" s="28"/>
      <c r="P1915" s="20"/>
      <c r="Q1915" s="20"/>
    </row>
    <row r="1916" spans="1:17" ht="24.9" customHeight="1">
      <c r="A1916" s="20">
        <v>390</v>
      </c>
      <c r="B1916" s="20" t="s">
        <v>4364</v>
      </c>
      <c r="C1916" s="20"/>
      <c r="D1916" s="19" t="s">
        <v>3536</v>
      </c>
      <c r="E1916" s="19" t="str">
        <f>VLOOKUP(D1916,'لیست پرسنل'!$B$2:$E$1020,3,FALSE)</f>
        <v>فکورصنعت</v>
      </c>
      <c r="F1916" s="19" t="str">
        <f>VLOOKUP(D1916,'لیست پرسنل'!$B$2:$E$1020,4,FALSE)</f>
        <v>انبار</v>
      </c>
      <c r="G1916" s="127">
        <f>VLOOKUP(D1916,'لیست پرسنل'!$B$2:$F$1020,2,FALSE)</f>
        <v>1536</v>
      </c>
      <c r="H1916" s="151" t="s">
        <v>3720</v>
      </c>
      <c r="I1916" s="128"/>
      <c r="J1916" s="128" t="s">
        <v>5366</v>
      </c>
      <c r="K1916" s="128" t="s">
        <v>2556</v>
      </c>
      <c r="L1916" s="128"/>
      <c r="M1916" s="128">
        <v>601166</v>
      </c>
      <c r="N1916" s="108"/>
      <c r="O1916" s="20" t="s">
        <v>2554</v>
      </c>
      <c r="P1916" s="20"/>
      <c r="Q1916" s="20"/>
    </row>
    <row r="1917" spans="1:17" ht="24.9" customHeight="1">
      <c r="A1917" s="20">
        <v>390</v>
      </c>
      <c r="B1917" s="20" t="s">
        <v>4364</v>
      </c>
      <c r="C1917" s="20"/>
      <c r="D1917" s="19" t="s">
        <v>3536</v>
      </c>
      <c r="E1917" s="19" t="str">
        <f>VLOOKUP(D1917,'لیست پرسنل'!$B$2:$E$1020,3,FALSE)</f>
        <v>فکورصنعت</v>
      </c>
      <c r="F1917" s="19" t="str">
        <f>VLOOKUP(D1917,'لیست پرسنل'!$B$2:$E$1020,4,FALSE)</f>
        <v>انبار</v>
      </c>
      <c r="G1917" s="127">
        <f>VLOOKUP(D1917,'لیست پرسنل'!$B$2:$F$1020,2,FALSE)</f>
        <v>1536</v>
      </c>
      <c r="H1917" s="151" t="s">
        <v>3720</v>
      </c>
      <c r="I1917" s="128"/>
      <c r="J1917" s="128" t="s">
        <v>5366</v>
      </c>
      <c r="K1917" s="128" t="s">
        <v>2556</v>
      </c>
      <c r="L1917" s="128"/>
      <c r="M1917" s="128">
        <v>603334</v>
      </c>
      <c r="N1917" s="108"/>
      <c r="O1917" s="20" t="s">
        <v>2555</v>
      </c>
      <c r="P1917" s="20"/>
      <c r="Q1917" s="20"/>
    </row>
    <row r="1918" spans="1:17" ht="24.9" customHeight="1">
      <c r="A1918" s="20">
        <v>390</v>
      </c>
      <c r="B1918" s="20" t="s">
        <v>4364</v>
      </c>
      <c r="C1918" s="20"/>
      <c r="D1918" s="20" t="s">
        <v>3536</v>
      </c>
      <c r="E1918" s="19" t="str">
        <f>VLOOKUP(D1918,'لیست پرسنل'!$B$2:$E$1020,3,FALSE)</f>
        <v>فکورصنعت</v>
      </c>
      <c r="F1918" s="19" t="str">
        <f>VLOOKUP(D1918,'لیست پرسنل'!$B$2:$E$1020,4,FALSE)</f>
        <v>انبار</v>
      </c>
      <c r="G1918" s="127">
        <f>VLOOKUP(D1918,'لیست پرسنل'!$B$2:$F$1020,2,FALSE)</f>
        <v>1536</v>
      </c>
      <c r="H1918" s="126" t="s">
        <v>7474</v>
      </c>
      <c r="I1918" s="128"/>
      <c r="J1918" s="128" t="s">
        <v>3476</v>
      </c>
      <c r="K1918" s="128" t="s">
        <v>1038</v>
      </c>
      <c r="L1918" s="128" t="s">
        <v>2878</v>
      </c>
      <c r="M1918" s="128">
        <v>626787</v>
      </c>
      <c r="N1918" s="108"/>
      <c r="O1918" s="20" t="s">
        <v>2881</v>
      </c>
      <c r="P1918" s="20"/>
      <c r="Q1918" s="20"/>
    </row>
    <row r="1919" spans="1:17" ht="24.9" customHeight="1">
      <c r="A1919" s="20">
        <v>390</v>
      </c>
      <c r="B1919" s="20" t="s">
        <v>4364</v>
      </c>
      <c r="C1919" s="20"/>
      <c r="D1919" s="20" t="s">
        <v>3536</v>
      </c>
      <c r="E1919" s="19" t="str">
        <f>VLOOKUP(D1919,'لیست پرسنل'!$B$2:$E$1020,3,FALSE)</f>
        <v>فکورصنعت</v>
      </c>
      <c r="F1919" s="19" t="str">
        <f>VLOOKUP(D1919,'لیست پرسنل'!$B$2:$E$1020,4,FALSE)</f>
        <v>انبار</v>
      </c>
      <c r="G1919" s="127">
        <f>VLOOKUP(D1919,'لیست پرسنل'!$B$2:$F$1020,2,FALSE)</f>
        <v>1536</v>
      </c>
      <c r="H1919" s="151" t="s">
        <v>3713</v>
      </c>
      <c r="I1919" s="128"/>
      <c r="J1919" s="128" t="s">
        <v>737</v>
      </c>
      <c r="K1919" s="128" t="s">
        <v>7861</v>
      </c>
      <c r="L1919" s="128"/>
      <c r="M1919" s="128">
        <v>636507</v>
      </c>
      <c r="N1919" s="108" t="s">
        <v>7860</v>
      </c>
      <c r="O1919" s="20"/>
      <c r="P1919" s="20"/>
      <c r="Q1919" s="20"/>
    </row>
    <row r="1920" spans="1:17" ht="24.9" customHeight="1">
      <c r="A1920" s="20">
        <v>390</v>
      </c>
      <c r="B1920" s="20" t="s">
        <v>4364</v>
      </c>
      <c r="C1920" s="20"/>
      <c r="D1920" s="20" t="s">
        <v>3536</v>
      </c>
      <c r="E1920" s="19" t="str">
        <f>VLOOKUP(D1920,'لیست پرسنل'!$B$2:$E$1020,3,FALSE)</f>
        <v>فکورصنعت</v>
      </c>
      <c r="F1920" s="19" t="str">
        <f>VLOOKUP(D1920,'لیست پرسنل'!$B$2:$E$1020,4,FALSE)</f>
        <v>انبار</v>
      </c>
      <c r="G1920" s="127">
        <f>VLOOKUP(D1920,'لیست پرسنل'!$B$2:$F$1020,2,FALSE)</f>
        <v>1536</v>
      </c>
      <c r="H1920" s="128" t="s">
        <v>7144</v>
      </c>
      <c r="I1920" s="128"/>
      <c r="J1920" s="128" t="s">
        <v>3481</v>
      </c>
      <c r="K1920" s="128" t="s">
        <v>1021</v>
      </c>
      <c r="L1920" s="150"/>
      <c r="M1920" s="128" t="s">
        <v>291</v>
      </c>
      <c r="N1920" s="108"/>
      <c r="O1920" s="20" t="s">
        <v>3709</v>
      </c>
      <c r="P1920" s="20"/>
      <c r="Q1920" s="20"/>
    </row>
    <row r="1921" spans="1:17" ht="24.9" customHeight="1">
      <c r="A1921" s="20">
        <v>390</v>
      </c>
      <c r="B1921" s="20" t="s">
        <v>4364</v>
      </c>
      <c r="C1921" s="20"/>
      <c r="D1921" s="20" t="s">
        <v>3559</v>
      </c>
      <c r="E1921" s="19" t="str">
        <f>VLOOKUP(D1921,'لیست پرسنل'!$B$2:$E$1020,3,FALSE)</f>
        <v>نظارت کارفرما</v>
      </c>
      <c r="F1921" s="19" t="str">
        <f>VLOOKUP(D1921,'لیست پرسنل'!$B$2:$E$1020,4,FALSE)</f>
        <v>نظارت کارفرما</v>
      </c>
      <c r="G1921" s="127" t="str">
        <f>VLOOKUP(D1921,'لیست پرسنل'!$B$2:$F$1020,2,FALSE)</f>
        <v>0</v>
      </c>
      <c r="H1921" s="151" t="s">
        <v>3702</v>
      </c>
      <c r="I1921" s="127"/>
      <c r="J1921" s="128" t="s">
        <v>737</v>
      </c>
      <c r="K1921" s="128" t="s">
        <v>1276</v>
      </c>
      <c r="L1921" s="128" t="s">
        <v>1277</v>
      </c>
      <c r="M1921" s="128">
        <v>632357</v>
      </c>
      <c r="N1921" s="108"/>
      <c r="O1921" s="20" t="s">
        <v>5929</v>
      </c>
      <c r="P1921" s="20"/>
      <c r="Q1921" s="20"/>
    </row>
    <row r="1922" spans="1:17" ht="24.9" customHeight="1">
      <c r="A1922" s="20">
        <v>390</v>
      </c>
      <c r="B1922" s="20" t="s">
        <v>4364</v>
      </c>
      <c r="C1922" s="20"/>
      <c r="D1922" s="20" t="s">
        <v>3559</v>
      </c>
      <c r="E1922" s="19" t="str">
        <f>VLOOKUP(D1922,'لیست پرسنل'!$B$2:$E$1020,3,FALSE)</f>
        <v>نظارت کارفرما</v>
      </c>
      <c r="F1922" s="19" t="str">
        <f>VLOOKUP(D1922,'لیست پرسنل'!$B$2:$E$1020,4,FALSE)</f>
        <v>نظارت کارفرما</v>
      </c>
      <c r="G1922" s="127" t="str">
        <f>VLOOKUP(D1922,'لیست پرسنل'!$B$2:$F$1020,2,FALSE)</f>
        <v>0</v>
      </c>
      <c r="H1922" s="151" t="s">
        <v>3702</v>
      </c>
      <c r="I1922" s="127"/>
      <c r="J1922" s="128" t="s">
        <v>2686</v>
      </c>
      <c r="K1922" s="128" t="s">
        <v>1275</v>
      </c>
      <c r="L1922" s="150" t="s">
        <v>1274</v>
      </c>
      <c r="M1922" s="128">
        <v>610562</v>
      </c>
      <c r="N1922" s="108"/>
      <c r="O1922" s="19"/>
      <c r="P1922" s="20"/>
      <c r="Q1922" s="20"/>
    </row>
    <row r="1923" spans="1:17" ht="24.9" customHeight="1">
      <c r="A1923" s="20">
        <v>390</v>
      </c>
      <c r="B1923" s="20" t="s">
        <v>4363</v>
      </c>
      <c r="C1923" s="20"/>
      <c r="D1923" s="20" t="s">
        <v>48</v>
      </c>
      <c r="E1923" s="19" t="str">
        <f>VLOOKUP(D1923,'لیست پرسنل'!$B$2:$E$1020,3,FALSE)</f>
        <v>فکورصنعت</v>
      </c>
      <c r="F1923" s="19" t="str">
        <f>VLOOKUP(D1923,'لیست پرسنل'!$B$2:$E$1020,4,FALSE)</f>
        <v>سرپرست آی تی</v>
      </c>
      <c r="G1923" s="127">
        <f>VLOOKUP(D1923,'لیست پرسنل'!$B$2:$F$1020,2,FALSE)</f>
        <v>2210</v>
      </c>
      <c r="H1923" s="128" t="s">
        <v>4304</v>
      </c>
      <c r="I1923" s="128"/>
      <c r="J1923" s="128" t="s">
        <v>3481</v>
      </c>
      <c r="K1923" s="128" t="s">
        <v>1650</v>
      </c>
      <c r="L1923" s="151"/>
      <c r="M1923" s="129">
        <v>608054</v>
      </c>
      <c r="N1923" s="108"/>
      <c r="O1923" s="20" t="s">
        <v>1651</v>
      </c>
      <c r="P1923" s="20"/>
      <c r="Q1923" s="20"/>
    </row>
    <row r="1924" spans="1:17" ht="24.9" customHeight="1">
      <c r="A1924" s="185">
        <v>390</v>
      </c>
      <c r="B1924" s="185" t="s">
        <v>4363</v>
      </c>
      <c r="C1924" s="185"/>
      <c r="D1924" s="67" t="s">
        <v>3541</v>
      </c>
      <c r="E1924" s="186" t="str">
        <f>VLOOKUP(D1924,'لیست پرسنل'!$B$2:$E$1020,3,FALSE)</f>
        <v>فکورصنعت</v>
      </c>
      <c r="F1924" s="186" t="str">
        <f>VLOOKUP(D1924,'لیست پرسنل'!$B$2:$E$1020,4,FALSE)</f>
        <v>مدیرپروژه</v>
      </c>
      <c r="G1924" s="187">
        <f>VLOOKUP(D1924,'لیست پرسنل'!$B$2:$F$1020,2,FALSE)</f>
        <v>165</v>
      </c>
      <c r="H1924" s="188" t="s">
        <v>3710</v>
      </c>
      <c r="I1924" s="194"/>
      <c r="J1924" s="188" t="s">
        <v>3481</v>
      </c>
      <c r="K1924" s="188" t="s">
        <v>1020</v>
      </c>
      <c r="L1924" s="209"/>
      <c r="M1924" s="210">
        <v>612298</v>
      </c>
      <c r="N1924" s="198"/>
      <c r="O1924" s="185" t="s">
        <v>3711</v>
      </c>
      <c r="P1924" s="185"/>
      <c r="Q1924" s="185"/>
    </row>
    <row r="1925" spans="1:17" ht="24.9" customHeight="1">
      <c r="A1925" s="20">
        <v>390</v>
      </c>
      <c r="B1925" s="20"/>
      <c r="C1925" s="19"/>
      <c r="D1925" s="19" t="s">
        <v>48</v>
      </c>
      <c r="E1925" s="19" t="str">
        <f>VLOOKUP(D1925,'لیست پرسنل'!$B$2:$E$1020,3,FALSE)</f>
        <v>فکورصنعت</v>
      </c>
      <c r="F1925" s="19" t="str">
        <f>VLOOKUP(D1925,'لیست پرسنل'!$B$2:$E$1020,4,FALSE)</f>
        <v>سرپرست آی تی</v>
      </c>
      <c r="G1925" s="127">
        <f>VLOOKUP(D1925,'لیست پرسنل'!$B$2:$F$1020,2,FALSE)</f>
        <v>2210</v>
      </c>
      <c r="H1925" s="127" t="s">
        <v>7266</v>
      </c>
      <c r="I1925" s="127"/>
      <c r="J1925" s="128" t="s">
        <v>3481</v>
      </c>
      <c r="K1925" s="128" t="s">
        <v>6165</v>
      </c>
      <c r="L1925" s="127" t="s">
        <v>7268</v>
      </c>
      <c r="M1925" s="127" t="s">
        <v>291</v>
      </c>
      <c r="N1925" s="109" t="s">
        <v>7269</v>
      </c>
      <c r="O1925" s="19"/>
      <c r="P1925" s="32"/>
      <c r="Q1925" s="32"/>
    </row>
    <row r="1926" spans="1:17" ht="24.9" customHeight="1">
      <c r="A1926" s="20">
        <v>390</v>
      </c>
      <c r="B1926" s="20"/>
      <c r="C1926" s="19"/>
      <c r="D1926" s="19" t="s">
        <v>48</v>
      </c>
      <c r="E1926" s="19" t="str">
        <f>VLOOKUP(D1926,'لیست پرسنل'!$B$2:$E$1020,3,FALSE)</f>
        <v>فکورصنعت</v>
      </c>
      <c r="F1926" s="19" t="str">
        <f>VLOOKUP(D1926,'لیست پرسنل'!$B$2:$E$1020,4,FALSE)</f>
        <v>سرپرست آی تی</v>
      </c>
      <c r="G1926" s="127">
        <f>VLOOKUP(D1926,'لیست پرسنل'!$B$2:$F$1020,2,FALSE)</f>
        <v>2210</v>
      </c>
      <c r="H1926" s="127" t="s">
        <v>7266</v>
      </c>
      <c r="I1926" s="127"/>
      <c r="J1926" s="128" t="s">
        <v>3481</v>
      </c>
      <c r="K1926" s="128" t="s">
        <v>6165</v>
      </c>
      <c r="L1926" s="127" t="s">
        <v>7270</v>
      </c>
      <c r="M1926" s="127" t="s">
        <v>291</v>
      </c>
      <c r="N1926" s="109" t="s">
        <v>7271</v>
      </c>
      <c r="O1926" s="19"/>
      <c r="P1926" s="32"/>
      <c r="Q1926" s="32"/>
    </row>
    <row r="1927" spans="1:17" ht="24.9" customHeight="1">
      <c r="A1927" s="20">
        <v>390</v>
      </c>
      <c r="B1927" s="20"/>
      <c r="C1927" s="19"/>
      <c r="D1927" s="19" t="s">
        <v>48</v>
      </c>
      <c r="E1927" s="19" t="str">
        <f>VLOOKUP(D1927,'لیست پرسنل'!$B$2:$E$1020,3,FALSE)</f>
        <v>فکورصنعت</v>
      </c>
      <c r="F1927" s="19" t="str">
        <f>VLOOKUP(D1927,'لیست پرسنل'!$B$2:$E$1020,4,FALSE)</f>
        <v>سرپرست آی تی</v>
      </c>
      <c r="G1927" s="127">
        <f>VLOOKUP(D1927,'لیست پرسنل'!$B$2:$F$1020,2,FALSE)</f>
        <v>2210</v>
      </c>
      <c r="H1927" s="127" t="s">
        <v>7266</v>
      </c>
      <c r="I1927" s="127"/>
      <c r="J1927" s="128" t="s">
        <v>3481</v>
      </c>
      <c r="K1927" s="128" t="s">
        <v>4897</v>
      </c>
      <c r="L1927" s="128" t="s">
        <v>7265</v>
      </c>
      <c r="M1927" s="127" t="s">
        <v>291</v>
      </c>
      <c r="N1927" s="109" t="s">
        <v>7267</v>
      </c>
      <c r="O1927" s="19"/>
      <c r="P1927" s="32"/>
      <c r="Q1927" s="32"/>
    </row>
    <row r="1928" spans="1:17" ht="24.9" customHeight="1">
      <c r="A1928" s="20">
        <v>392</v>
      </c>
      <c r="B1928" s="20" t="s">
        <v>4345</v>
      </c>
      <c r="C1928" s="19"/>
      <c r="D1928" s="46" t="s">
        <v>48</v>
      </c>
      <c r="E1928" s="19" t="str">
        <f>VLOOKUP(D1928,'لیست پرسنل'!$B$2:$E$1020,3,FALSE)</f>
        <v>فکورصنعت</v>
      </c>
      <c r="F1928" s="19" t="str">
        <f>VLOOKUP(D1928,'لیست پرسنل'!$B$2:$E$1020,4,FALSE)</f>
        <v>سرپرست آی تی</v>
      </c>
      <c r="G1928" s="127">
        <f>VLOOKUP(D1928,'لیست پرسنل'!$B$2:$F$1020,2,FALSE)</f>
        <v>2210</v>
      </c>
      <c r="H1928" s="128" t="s">
        <v>3847</v>
      </c>
      <c r="I1928" s="127"/>
      <c r="J1928" s="126" t="s">
        <v>571</v>
      </c>
      <c r="K1928" s="127" t="s">
        <v>2054</v>
      </c>
      <c r="L1928" s="151"/>
      <c r="M1928" s="126" t="s">
        <v>291</v>
      </c>
      <c r="N1928" s="108"/>
      <c r="O1928" s="19" t="s">
        <v>5104</v>
      </c>
      <c r="P1928" s="20"/>
      <c r="Q1928" s="20"/>
    </row>
    <row r="1929" spans="1:17" ht="24.9" customHeight="1">
      <c r="A1929" s="20">
        <v>392</v>
      </c>
      <c r="B1929" s="20" t="s">
        <v>4345</v>
      </c>
      <c r="C1929" s="19"/>
      <c r="D1929" s="46" t="s">
        <v>48</v>
      </c>
      <c r="E1929" s="19" t="str">
        <f>VLOOKUP(D1929,'لیست پرسنل'!$B$2:$E$1020,3,FALSE)</f>
        <v>فکورصنعت</v>
      </c>
      <c r="F1929" s="19" t="str">
        <f>VLOOKUP(D1929,'لیست پرسنل'!$B$2:$E$1020,4,FALSE)</f>
        <v>سرپرست آی تی</v>
      </c>
      <c r="G1929" s="127">
        <f>VLOOKUP(D1929,'لیست پرسنل'!$B$2:$F$1020,2,FALSE)</f>
        <v>2210</v>
      </c>
      <c r="H1929" s="128" t="s">
        <v>3847</v>
      </c>
      <c r="I1929" s="127"/>
      <c r="J1929" s="128" t="s">
        <v>2686</v>
      </c>
      <c r="K1929" s="127" t="s">
        <v>1387</v>
      </c>
      <c r="L1929" s="151" t="s">
        <v>1769</v>
      </c>
      <c r="M1929" s="127">
        <v>607685</v>
      </c>
      <c r="N1929" s="108"/>
      <c r="O1929" s="20"/>
      <c r="P1929" s="20"/>
      <c r="Q1929" s="20"/>
    </row>
    <row r="1930" spans="1:17" ht="24.9" customHeight="1">
      <c r="A1930" s="20">
        <v>392</v>
      </c>
      <c r="B1930" s="20" t="s">
        <v>4346</v>
      </c>
      <c r="C1930" s="20"/>
      <c r="D1930" s="46" t="s">
        <v>48</v>
      </c>
      <c r="E1930" s="19" t="str">
        <f>VLOOKUP(D1930,'لیست پرسنل'!$B$2:$E$1020,3,FALSE)</f>
        <v>فکورصنعت</v>
      </c>
      <c r="F1930" s="19" t="str">
        <f>VLOOKUP(D1930,'لیست پرسنل'!$B$2:$E$1020,4,FALSE)</f>
        <v>سرپرست آی تی</v>
      </c>
      <c r="G1930" s="127">
        <f>VLOOKUP(D1930,'لیست پرسنل'!$B$2:$F$1020,2,FALSE)</f>
        <v>2210</v>
      </c>
      <c r="H1930" s="128" t="s">
        <v>8317</v>
      </c>
      <c r="I1930" s="127"/>
      <c r="J1930" s="126" t="s">
        <v>368</v>
      </c>
      <c r="K1930" s="132" t="s">
        <v>660</v>
      </c>
      <c r="L1930" s="127" t="s">
        <v>758</v>
      </c>
      <c r="M1930" s="127">
        <v>618890</v>
      </c>
      <c r="N1930" s="109"/>
      <c r="O1930" s="19"/>
      <c r="P1930" s="20"/>
      <c r="Q1930" s="20"/>
    </row>
    <row r="1931" spans="1:17" ht="24.9" customHeight="1">
      <c r="A1931" s="20">
        <v>392</v>
      </c>
      <c r="B1931" s="20" t="s">
        <v>4346</v>
      </c>
      <c r="C1931" s="20"/>
      <c r="D1931" s="46" t="s">
        <v>48</v>
      </c>
      <c r="E1931" s="19" t="str">
        <f>VLOOKUP(D1931,'لیست پرسنل'!$B$2:$E$1020,3,FALSE)</f>
        <v>فکورصنعت</v>
      </c>
      <c r="F1931" s="19" t="str">
        <f>VLOOKUP(D1931,'لیست پرسنل'!$B$2:$E$1020,4,FALSE)</f>
        <v>سرپرست آی تی</v>
      </c>
      <c r="G1931" s="127">
        <f>VLOOKUP(D1931,'لیست پرسنل'!$B$2:$F$1020,2,FALSE)</f>
        <v>2210</v>
      </c>
      <c r="H1931" s="128" t="s">
        <v>8317</v>
      </c>
      <c r="I1931" s="127"/>
      <c r="J1931" s="126" t="s">
        <v>571</v>
      </c>
      <c r="K1931" s="127" t="s">
        <v>2053</v>
      </c>
      <c r="L1931" s="151"/>
      <c r="M1931" s="127">
        <v>621267</v>
      </c>
      <c r="N1931" s="109"/>
      <c r="O1931" s="19"/>
      <c r="P1931" s="20"/>
      <c r="Q1931" s="20"/>
    </row>
    <row r="1932" spans="1:17" ht="24.9" customHeight="1">
      <c r="A1932" s="185">
        <v>392</v>
      </c>
      <c r="B1932" s="185" t="s">
        <v>4346</v>
      </c>
      <c r="C1932" s="185"/>
      <c r="D1932" s="207" t="s">
        <v>48</v>
      </c>
      <c r="E1932" s="186" t="str">
        <f>VLOOKUP(D1932,'لیست پرسنل'!$B$2:$E$1020,3,FALSE)</f>
        <v>فکورصنعت</v>
      </c>
      <c r="F1932" s="186" t="str">
        <f>VLOOKUP(D1932,'لیست پرسنل'!$B$2:$E$1020,4,FALSE)</f>
        <v>سرپرست آی تی</v>
      </c>
      <c r="G1932" s="187">
        <f>VLOOKUP(D1932,'لیست پرسنل'!$B$2:$F$1020,2,FALSE)</f>
        <v>2210</v>
      </c>
      <c r="H1932" s="128" t="s">
        <v>8317</v>
      </c>
      <c r="I1932" s="190"/>
      <c r="J1932" s="188" t="s">
        <v>2686</v>
      </c>
      <c r="K1932" s="187" t="s">
        <v>2922</v>
      </c>
      <c r="L1932" s="206" t="s">
        <v>2994</v>
      </c>
      <c r="M1932" s="190">
        <v>626476</v>
      </c>
      <c r="N1932" s="198"/>
      <c r="O1932" s="185"/>
      <c r="P1932" s="185"/>
      <c r="Q1932" s="185"/>
    </row>
    <row r="1933" spans="1:17" ht="24.9" customHeight="1">
      <c r="A1933" s="20">
        <v>392</v>
      </c>
      <c r="B1933" s="20" t="s">
        <v>4346</v>
      </c>
      <c r="C1933" s="20"/>
      <c r="D1933" s="20" t="s">
        <v>48</v>
      </c>
      <c r="E1933" s="19" t="str">
        <f>VLOOKUP(D1933,'لیست پرسنل'!$B$2:$E$1020,3,FALSE)</f>
        <v>فکورصنعت</v>
      </c>
      <c r="F1933" s="19" t="str">
        <f>VLOOKUP(D1933,'لیست پرسنل'!$B$2:$E$1020,4,FALSE)</f>
        <v>سرپرست آی تی</v>
      </c>
      <c r="G1933" s="127">
        <f>VLOOKUP(D1933,'لیست پرسنل'!$B$2:$F$1020,2,FALSE)</f>
        <v>2210</v>
      </c>
      <c r="H1933" s="127" t="s">
        <v>3847</v>
      </c>
      <c r="I1933" s="127"/>
      <c r="J1933" s="128" t="s">
        <v>3322</v>
      </c>
      <c r="K1933" s="129" t="s">
        <v>8038</v>
      </c>
      <c r="L1933" s="127" t="s">
        <v>8270</v>
      </c>
      <c r="M1933" s="127">
        <v>636541</v>
      </c>
      <c r="N1933" s="109" t="s">
        <v>6852</v>
      </c>
      <c r="O1933" s="20"/>
      <c r="P1933" s="20"/>
      <c r="Q1933" s="20"/>
    </row>
    <row r="1934" spans="1:17" ht="24.9" customHeight="1">
      <c r="A1934" s="20">
        <v>392</v>
      </c>
      <c r="B1934" s="20" t="s">
        <v>4346</v>
      </c>
      <c r="C1934" s="20"/>
      <c r="D1934" s="20" t="s">
        <v>48</v>
      </c>
      <c r="E1934" s="19" t="str">
        <f>VLOOKUP(D1934,'لیست پرسنل'!$B$2:$E$1020,3,FALSE)</f>
        <v>فکورصنعت</v>
      </c>
      <c r="F1934" s="19" t="str">
        <f>VLOOKUP(D1934,'لیست پرسنل'!$B$2:$E$1020,4,FALSE)</f>
        <v>سرپرست آی تی</v>
      </c>
      <c r="G1934" s="127">
        <f>VLOOKUP(D1934,'لیست پرسنل'!$B$2:$F$1020,2,FALSE)</f>
        <v>2210</v>
      </c>
      <c r="H1934" s="128" t="s">
        <v>3847</v>
      </c>
      <c r="I1934" s="128"/>
      <c r="J1934" s="128" t="s">
        <v>3322</v>
      </c>
      <c r="K1934" s="128" t="s">
        <v>5725</v>
      </c>
      <c r="L1934" s="128"/>
      <c r="M1934" s="128" t="s">
        <v>291</v>
      </c>
      <c r="N1934" s="111"/>
      <c r="O1934" s="20" t="s">
        <v>5728</v>
      </c>
      <c r="P1934" s="28"/>
      <c r="Q1934" s="28"/>
    </row>
    <row r="1935" spans="1:17" ht="24.9" customHeight="1">
      <c r="A1935" s="20">
        <v>392</v>
      </c>
      <c r="B1935" s="20" t="s">
        <v>4346</v>
      </c>
      <c r="C1935" s="20"/>
      <c r="D1935" s="20" t="s">
        <v>48</v>
      </c>
      <c r="E1935" s="19" t="str">
        <f>VLOOKUP(D1935,'لیست پرسنل'!$B$2:$E$1020,3,FALSE)</f>
        <v>فکورصنعت</v>
      </c>
      <c r="F1935" s="19" t="str">
        <f>VLOOKUP(D1935,'لیست پرسنل'!$B$2:$E$1020,4,FALSE)</f>
        <v>سرپرست آی تی</v>
      </c>
      <c r="G1935" s="127">
        <f>VLOOKUP(D1935,'لیست پرسنل'!$B$2:$F$1020,2,FALSE)</f>
        <v>2210</v>
      </c>
      <c r="H1935" s="128" t="s">
        <v>3847</v>
      </c>
      <c r="I1935" s="128"/>
      <c r="J1935" s="128" t="s">
        <v>3145</v>
      </c>
      <c r="K1935" s="128" t="s">
        <v>8109</v>
      </c>
      <c r="L1935" s="128"/>
      <c r="M1935" s="128" t="s">
        <v>291</v>
      </c>
      <c r="N1935" s="111"/>
      <c r="O1935" s="20" t="s">
        <v>5728</v>
      </c>
      <c r="P1935" s="28"/>
      <c r="Q1935" s="28"/>
    </row>
    <row r="1936" spans="1:17" ht="24.9" customHeight="1">
      <c r="A1936" s="20">
        <v>392</v>
      </c>
      <c r="B1936" s="20" t="s">
        <v>4346</v>
      </c>
      <c r="C1936" s="20"/>
      <c r="D1936" s="20" t="s">
        <v>48</v>
      </c>
      <c r="E1936" s="19" t="str">
        <f>VLOOKUP(D1936,'لیست پرسنل'!$B$2:$E$1020,3,FALSE)</f>
        <v>فکورصنعت</v>
      </c>
      <c r="F1936" s="19" t="str">
        <f>VLOOKUP(D1936,'لیست پرسنل'!$B$2:$E$1020,4,FALSE)</f>
        <v>سرپرست آی تی</v>
      </c>
      <c r="G1936" s="127">
        <f>VLOOKUP(D1936,'لیست پرسنل'!$B$2:$F$1020,2,FALSE)</f>
        <v>2210</v>
      </c>
      <c r="H1936" s="128" t="s">
        <v>3847</v>
      </c>
      <c r="I1936" s="128"/>
      <c r="J1936" s="128" t="s">
        <v>3383</v>
      </c>
      <c r="K1936" s="128" t="s">
        <v>858</v>
      </c>
      <c r="L1936" s="128" t="s">
        <v>859</v>
      </c>
      <c r="M1936" s="128">
        <v>603950</v>
      </c>
      <c r="N1936" s="109"/>
      <c r="O1936" s="20"/>
      <c r="P1936" s="20"/>
      <c r="Q1936" s="20"/>
    </row>
    <row r="1937" spans="1:17" ht="24.9" customHeight="1">
      <c r="A1937" s="20">
        <v>392</v>
      </c>
      <c r="B1937" s="20" t="s">
        <v>4346</v>
      </c>
      <c r="C1937" s="20"/>
      <c r="D1937" s="20" t="s">
        <v>48</v>
      </c>
      <c r="E1937" s="19" t="str">
        <f>VLOOKUP(D1937,'لیست پرسنل'!$B$2:$E$1020,3,FALSE)</f>
        <v>فکورصنعت</v>
      </c>
      <c r="F1937" s="19" t="str">
        <f>VLOOKUP(D1937,'لیست پرسنل'!$B$2:$E$1020,4,FALSE)</f>
        <v>سرپرست آی تی</v>
      </c>
      <c r="G1937" s="127">
        <f>VLOOKUP(D1937,'لیست پرسنل'!$B$2:$F$1020,2,FALSE)</f>
        <v>2210</v>
      </c>
      <c r="H1937" s="128" t="s">
        <v>3847</v>
      </c>
      <c r="I1937" s="128"/>
      <c r="J1937" s="128" t="s">
        <v>737</v>
      </c>
      <c r="K1937" s="128" t="s">
        <v>8433</v>
      </c>
      <c r="L1937" s="128" t="s">
        <v>676</v>
      </c>
      <c r="M1937" s="128">
        <v>603771</v>
      </c>
      <c r="N1937" s="109"/>
      <c r="O1937" s="20"/>
      <c r="P1937" s="20"/>
      <c r="Q1937" s="20"/>
    </row>
    <row r="1938" spans="1:17" ht="24.9" customHeight="1">
      <c r="A1938" s="20">
        <v>392</v>
      </c>
      <c r="B1938" s="20" t="s">
        <v>4346</v>
      </c>
      <c r="C1938" s="20"/>
      <c r="D1938" s="20" t="s">
        <v>48</v>
      </c>
      <c r="E1938" s="19" t="str">
        <f>VLOOKUP(D1938,'لیست پرسنل'!$B$2:$E$1020,3,FALSE)</f>
        <v>فکورصنعت</v>
      </c>
      <c r="F1938" s="19" t="str">
        <f>VLOOKUP(D1938,'لیست پرسنل'!$B$2:$E$1020,4,FALSE)</f>
        <v>سرپرست آی تی</v>
      </c>
      <c r="G1938" s="127">
        <f>VLOOKUP(D1938,'لیست پرسنل'!$B$2:$F$1020,2,FALSE)</f>
        <v>2210</v>
      </c>
      <c r="H1938" s="128" t="s">
        <v>3847</v>
      </c>
      <c r="I1938" s="128"/>
      <c r="J1938" s="128" t="s">
        <v>737</v>
      </c>
      <c r="K1938" s="130" t="s">
        <v>8434</v>
      </c>
      <c r="L1938" s="128"/>
      <c r="M1938" s="127">
        <v>607875</v>
      </c>
      <c r="N1938" s="109"/>
      <c r="O1938" s="20"/>
      <c r="P1938" s="20"/>
      <c r="Q1938" s="20"/>
    </row>
    <row r="1939" spans="1:17" ht="24.9" customHeight="1">
      <c r="A1939" s="20">
        <v>392</v>
      </c>
      <c r="B1939" s="20" t="s">
        <v>4346</v>
      </c>
      <c r="C1939" s="20"/>
      <c r="D1939" s="20" t="s">
        <v>48</v>
      </c>
      <c r="E1939" s="19" t="str">
        <f>VLOOKUP(D1939,'لیست پرسنل'!$B$2:$E$1020,3,FALSE)</f>
        <v>فکورصنعت</v>
      </c>
      <c r="F1939" s="19" t="str">
        <f>VLOOKUP(D1939,'لیست پرسنل'!$B$2:$E$1020,4,FALSE)</f>
        <v>سرپرست آی تی</v>
      </c>
      <c r="G1939" s="127">
        <f>VLOOKUP(D1939,'لیست پرسنل'!$B$2:$F$1020,2,FALSE)</f>
        <v>2210</v>
      </c>
      <c r="H1939" s="128" t="s">
        <v>3847</v>
      </c>
      <c r="I1939" s="128"/>
      <c r="J1939" s="128" t="s">
        <v>737</v>
      </c>
      <c r="K1939" s="128" t="s">
        <v>1243</v>
      </c>
      <c r="L1939" s="128">
        <v>53034706</v>
      </c>
      <c r="M1939" s="127">
        <v>613253</v>
      </c>
      <c r="N1939" s="108" t="s">
        <v>3352</v>
      </c>
      <c r="O1939" s="20"/>
      <c r="P1939" s="20"/>
      <c r="Q1939" s="20"/>
    </row>
    <row r="1940" spans="1:17" ht="24.9" customHeight="1">
      <c r="A1940" s="20">
        <v>392</v>
      </c>
      <c r="B1940" s="20" t="s">
        <v>4346</v>
      </c>
      <c r="C1940" s="20"/>
      <c r="D1940" s="46" t="s">
        <v>48</v>
      </c>
      <c r="E1940" s="19" t="str">
        <f>VLOOKUP(D1940,'لیست پرسنل'!$B$2:$E$1020,3,FALSE)</f>
        <v>فکورصنعت</v>
      </c>
      <c r="F1940" s="19" t="str">
        <f>VLOOKUP(D1940,'لیست پرسنل'!$B$2:$E$1020,4,FALSE)</f>
        <v>سرپرست آی تی</v>
      </c>
      <c r="G1940" s="127">
        <f>VLOOKUP(D1940,'لیست پرسنل'!$B$2:$F$1020,2,FALSE)</f>
        <v>2210</v>
      </c>
      <c r="H1940" s="128" t="s">
        <v>3847</v>
      </c>
      <c r="I1940" s="127"/>
      <c r="J1940" s="128" t="s">
        <v>737</v>
      </c>
      <c r="K1940" s="127" t="s">
        <v>430</v>
      </c>
      <c r="L1940" s="127" t="s">
        <v>431</v>
      </c>
      <c r="M1940" s="127">
        <v>621347</v>
      </c>
      <c r="N1940" s="108"/>
      <c r="O1940" s="19"/>
      <c r="P1940" s="20"/>
      <c r="Q1940" s="20"/>
    </row>
    <row r="1941" spans="1:17" ht="24.9" customHeight="1">
      <c r="A1941" s="20">
        <v>392</v>
      </c>
      <c r="B1941" s="20" t="s">
        <v>4346</v>
      </c>
      <c r="C1941" s="20"/>
      <c r="D1941" s="20" t="s">
        <v>48</v>
      </c>
      <c r="E1941" s="19" t="str">
        <f>VLOOKUP(D1941,'لیست پرسنل'!$B$2:$E$1020,3,FALSE)</f>
        <v>فکورصنعت</v>
      </c>
      <c r="F1941" s="19" t="str">
        <f>VLOOKUP(D1941,'لیست پرسنل'!$B$2:$E$1020,4,FALSE)</f>
        <v>سرپرست آی تی</v>
      </c>
      <c r="G1941" s="127">
        <f>VLOOKUP(D1941,'لیست پرسنل'!$B$2:$F$1020,2,FALSE)</f>
        <v>2210</v>
      </c>
      <c r="H1941" s="128" t="s">
        <v>3847</v>
      </c>
      <c r="I1941" s="128"/>
      <c r="J1941" s="128" t="s">
        <v>737</v>
      </c>
      <c r="K1941" s="128" t="s">
        <v>8435</v>
      </c>
      <c r="L1941" s="128"/>
      <c r="M1941" s="126">
        <v>636547</v>
      </c>
      <c r="N1941" s="109"/>
      <c r="O1941" s="20"/>
      <c r="P1941" s="20"/>
      <c r="Q1941" s="20"/>
    </row>
    <row r="1942" spans="1:17" ht="24.9" customHeight="1">
      <c r="A1942" s="20">
        <v>392</v>
      </c>
      <c r="B1942" s="20" t="s">
        <v>4346</v>
      </c>
      <c r="C1942" s="20"/>
      <c r="D1942" s="20" t="s">
        <v>48</v>
      </c>
      <c r="E1942" s="19" t="str">
        <f>VLOOKUP(D1942,'لیست پرسنل'!$B$2:$E$1020,3,FALSE)</f>
        <v>فکورصنعت</v>
      </c>
      <c r="F1942" s="19" t="str">
        <f>VLOOKUP(D1942,'لیست پرسنل'!$B$2:$E$1020,4,FALSE)</f>
        <v>سرپرست آی تی</v>
      </c>
      <c r="G1942" s="127">
        <f>VLOOKUP(D1942,'لیست پرسنل'!$B$2:$F$1020,2,FALSE)</f>
        <v>2210</v>
      </c>
      <c r="H1942" s="128" t="s">
        <v>3847</v>
      </c>
      <c r="I1942" s="128"/>
      <c r="J1942" s="128" t="s">
        <v>737</v>
      </c>
      <c r="K1942" s="128" t="s">
        <v>8436</v>
      </c>
      <c r="L1942" s="128"/>
      <c r="M1942" s="126">
        <v>636548</v>
      </c>
      <c r="N1942" s="109"/>
      <c r="O1942" s="20"/>
      <c r="P1942" s="20"/>
      <c r="Q1942" s="20"/>
    </row>
    <row r="1943" spans="1:17" ht="24.9" customHeight="1">
      <c r="A1943" s="20">
        <v>392</v>
      </c>
      <c r="B1943" s="20" t="s">
        <v>4346</v>
      </c>
      <c r="C1943" s="20"/>
      <c r="D1943" s="20" t="s">
        <v>48</v>
      </c>
      <c r="E1943" s="19" t="str">
        <f>VLOOKUP(D1943,'لیست پرسنل'!$B$2:$E$1020,3,FALSE)</f>
        <v>فکورصنعت</v>
      </c>
      <c r="F1943" s="19" t="str">
        <f>VLOOKUP(D1943,'لیست پرسنل'!$B$2:$E$1020,4,FALSE)</f>
        <v>سرپرست آی تی</v>
      </c>
      <c r="G1943" s="127">
        <f>VLOOKUP(D1943,'لیست پرسنل'!$B$2:$F$1020,2,FALSE)</f>
        <v>2210</v>
      </c>
      <c r="H1943" s="128" t="s">
        <v>3847</v>
      </c>
      <c r="I1943" s="128"/>
      <c r="J1943" s="128" t="s">
        <v>737</v>
      </c>
      <c r="K1943" s="128" t="s">
        <v>8432</v>
      </c>
      <c r="L1943" s="128"/>
      <c r="M1943" s="126">
        <v>636550</v>
      </c>
      <c r="N1943" s="109"/>
      <c r="O1943" s="20"/>
      <c r="P1943" s="20"/>
      <c r="Q1943" s="20"/>
    </row>
    <row r="1944" spans="1:17" ht="24.9" customHeight="1">
      <c r="A1944" s="20">
        <v>392</v>
      </c>
      <c r="B1944" s="20" t="s">
        <v>4346</v>
      </c>
      <c r="C1944" s="20"/>
      <c r="D1944" s="20" t="s">
        <v>48</v>
      </c>
      <c r="E1944" s="19" t="str">
        <f>VLOOKUP(D1944,'لیست پرسنل'!$B$2:$E$1020,3,FALSE)</f>
        <v>فکورصنعت</v>
      </c>
      <c r="F1944" s="19" t="str">
        <f>VLOOKUP(D1944,'لیست پرسنل'!$B$2:$E$1020,4,FALSE)</f>
        <v>سرپرست آی تی</v>
      </c>
      <c r="G1944" s="127">
        <f>VLOOKUP(D1944,'لیست پرسنل'!$B$2:$F$1020,2,FALSE)</f>
        <v>2210</v>
      </c>
      <c r="H1944" s="128" t="s">
        <v>3847</v>
      </c>
      <c r="I1944" s="128"/>
      <c r="J1944" s="128" t="s">
        <v>368</v>
      </c>
      <c r="K1944" s="128" t="s">
        <v>1012</v>
      </c>
      <c r="L1944" s="128" t="s">
        <v>857</v>
      </c>
      <c r="M1944" s="128">
        <v>618866</v>
      </c>
      <c r="N1944" s="109"/>
      <c r="O1944" s="20"/>
      <c r="P1944" s="20"/>
      <c r="Q1944" s="20"/>
    </row>
    <row r="1945" spans="1:17" ht="24.9" customHeight="1">
      <c r="A1945" s="20">
        <v>392</v>
      </c>
      <c r="B1945" s="20" t="s">
        <v>4346</v>
      </c>
      <c r="C1945" s="19"/>
      <c r="D1945" s="20" t="s">
        <v>48</v>
      </c>
      <c r="E1945" s="19" t="str">
        <f>VLOOKUP(D1945,'لیست پرسنل'!$B$2:$E$1020,3,FALSE)</f>
        <v>فکورصنعت</v>
      </c>
      <c r="F1945" s="19" t="str">
        <f>VLOOKUP(D1945,'لیست پرسنل'!$B$2:$E$1020,4,FALSE)</f>
        <v>سرپرست آی تی</v>
      </c>
      <c r="G1945" s="127">
        <f>VLOOKUP(D1945,'لیست پرسنل'!$B$2:$F$1020,2,FALSE)</f>
        <v>2210</v>
      </c>
      <c r="H1945" s="128" t="s">
        <v>3847</v>
      </c>
      <c r="I1945" s="127"/>
      <c r="J1945" s="126" t="s">
        <v>368</v>
      </c>
      <c r="K1945" s="128" t="s">
        <v>693</v>
      </c>
      <c r="L1945" s="128" t="s">
        <v>763</v>
      </c>
      <c r="M1945" s="128">
        <v>618873</v>
      </c>
      <c r="N1945" s="108"/>
      <c r="O1945" s="20"/>
      <c r="P1945" s="20"/>
      <c r="Q1945" s="20"/>
    </row>
    <row r="1946" spans="1:17" ht="24.9" customHeight="1">
      <c r="A1946" s="20">
        <v>392</v>
      </c>
      <c r="B1946" s="20" t="s">
        <v>4346</v>
      </c>
      <c r="C1946" s="20"/>
      <c r="D1946" s="20" t="s">
        <v>48</v>
      </c>
      <c r="E1946" s="19" t="str">
        <f>VLOOKUP(D1946,'لیست پرسنل'!$B$2:$E$1020,3,FALSE)</f>
        <v>فکورصنعت</v>
      </c>
      <c r="F1946" s="19" t="str">
        <f>VLOOKUP(D1946,'لیست پرسنل'!$B$2:$E$1020,4,FALSE)</f>
        <v>سرپرست آی تی</v>
      </c>
      <c r="G1946" s="127">
        <f>VLOOKUP(D1946,'لیست پرسنل'!$B$2:$F$1020,2,FALSE)</f>
        <v>2210</v>
      </c>
      <c r="H1946" s="128" t="s">
        <v>3847</v>
      </c>
      <c r="I1946" s="128"/>
      <c r="J1946" s="128" t="s">
        <v>368</v>
      </c>
      <c r="K1946" s="128" t="s">
        <v>754</v>
      </c>
      <c r="L1946" s="128" t="s">
        <v>854</v>
      </c>
      <c r="M1946" s="128">
        <v>618900</v>
      </c>
      <c r="N1946" s="109"/>
      <c r="O1946" s="20"/>
      <c r="P1946" s="20"/>
      <c r="Q1946" s="20"/>
    </row>
    <row r="1947" spans="1:17" ht="24.9" customHeight="1">
      <c r="A1947" s="20">
        <v>392</v>
      </c>
      <c r="B1947" s="20" t="s">
        <v>4346</v>
      </c>
      <c r="C1947" s="20"/>
      <c r="D1947" s="20" t="s">
        <v>48</v>
      </c>
      <c r="E1947" s="19" t="str">
        <f>VLOOKUP(D1947,'لیست پرسنل'!$B$2:$E$1020,3,FALSE)</f>
        <v>فکورصنعت</v>
      </c>
      <c r="F1947" s="19" t="str">
        <f>VLOOKUP(D1947,'لیست پرسنل'!$B$2:$E$1020,4,FALSE)</f>
        <v>سرپرست آی تی</v>
      </c>
      <c r="G1947" s="127">
        <f>VLOOKUP(D1947,'لیست پرسنل'!$B$2:$F$1020,2,FALSE)</f>
        <v>2210</v>
      </c>
      <c r="H1947" s="128" t="s">
        <v>3847</v>
      </c>
      <c r="I1947" s="128"/>
      <c r="J1947" s="128" t="s">
        <v>368</v>
      </c>
      <c r="K1947" s="128" t="s">
        <v>754</v>
      </c>
      <c r="L1947" s="128" t="s">
        <v>855</v>
      </c>
      <c r="M1947" s="128">
        <v>623337</v>
      </c>
      <c r="N1947" s="109"/>
      <c r="O1947" s="20"/>
      <c r="P1947" s="20"/>
      <c r="Q1947" s="20"/>
    </row>
    <row r="1948" spans="1:17" ht="24.9" customHeight="1">
      <c r="A1948" s="20">
        <v>392</v>
      </c>
      <c r="B1948" s="20" t="s">
        <v>4346</v>
      </c>
      <c r="C1948" s="20"/>
      <c r="D1948" s="20" t="s">
        <v>48</v>
      </c>
      <c r="E1948" s="19" t="str">
        <f>VLOOKUP(D1948,'لیست پرسنل'!$B$2:$E$1020,3,FALSE)</f>
        <v>فکورصنعت</v>
      </c>
      <c r="F1948" s="19" t="str">
        <f>VLOOKUP(D1948,'لیست پرسنل'!$B$2:$E$1020,4,FALSE)</f>
        <v>سرپرست آی تی</v>
      </c>
      <c r="G1948" s="127">
        <f>VLOOKUP(D1948,'لیست پرسنل'!$B$2:$F$1020,2,FALSE)</f>
        <v>2210</v>
      </c>
      <c r="H1948" s="128" t="s">
        <v>3847</v>
      </c>
      <c r="I1948" s="128"/>
      <c r="J1948" s="128" t="s">
        <v>368</v>
      </c>
      <c r="K1948" s="128" t="s">
        <v>2846</v>
      </c>
      <c r="L1948" s="128" t="s">
        <v>7633</v>
      </c>
      <c r="M1948" s="126">
        <v>634038</v>
      </c>
      <c r="N1948" s="109"/>
      <c r="O1948" s="20"/>
      <c r="P1948" s="20"/>
      <c r="Q1948" s="20"/>
    </row>
    <row r="1949" spans="1:17" ht="24.9" customHeight="1">
      <c r="A1949" s="20">
        <v>392</v>
      </c>
      <c r="B1949" s="20" t="s">
        <v>4346</v>
      </c>
      <c r="C1949" s="20"/>
      <c r="D1949" s="20" t="s">
        <v>48</v>
      </c>
      <c r="E1949" s="19" t="str">
        <f>VLOOKUP(D1949,'لیست پرسنل'!$B$2:$E$1020,3,FALSE)</f>
        <v>فکورصنعت</v>
      </c>
      <c r="F1949" s="19" t="str">
        <f>VLOOKUP(D1949,'لیست پرسنل'!$B$2:$E$1020,4,FALSE)</f>
        <v>سرپرست آی تی</v>
      </c>
      <c r="G1949" s="127">
        <f>VLOOKUP(D1949,'لیست پرسنل'!$B$2:$F$1020,2,FALSE)</f>
        <v>2210</v>
      </c>
      <c r="H1949" s="128" t="s">
        <v>3847</v>
      </c>
      <c r="I1949" s="128"/>
      <c r="J1949" s="128" t="s">
        <v>5366</v>
      </c>
      <c r="K1949" s="128" t="s">
        <v>1073</v>
      </c>
      <c r="L1949" s="128" t="s">
        <v>3839</v>
      </c>
      <c r="M1949" s="141">
        <v>623603</v>
      </c>
      <c r="N1949" s="108"/>
      <c r="O1949" s="20" t="s">
        <v>3829</v>
      </c>
      <c r="P1949" s="20"/>
      <c r="Q1949" s="20"/>
    </row>
    <row r="1950" spans="1:17" ht="24.9" customHeight="1">
      <c r="A1950" s="20">
        <v>392</v>
      </c>
      <c r="B1950" s="20" t="s">
        <v>4346</v>
      </c>
      <c r="C1950" s="20"/>
      <c r="D1950" s="20" t="s">
        <v>48</v>
      </c>
      <c r="E1950" s="19" t="str">
        <f>VLOOKUP(D1950,'لیست پرسنل'!$B$2:$E$1020,3,FALSE)</f>
        <v>فکورصنعت</v>
      </c>
      <c r="F1950" s="19" t="str">
        <f>VLOOKUP(D1950,'لیست پرسنل'!$B$2:$E$1020,4,FALSE)</f>
        <v>سرپرست آی تی</v>
      </c>
      <c r="G1950" s="127">
        <f>VLOOKUP(D1950,'لیست پرسنل'!$B$2:$F$1020,2,FALSE)</f>
        <v>2210</v>
      </c>
      <c r="H1950" s="127" t="s">
        <v>3847</v>
      </c>
      <c r="I1950" s="127"/>
      <c r="J1950" s="128" t="s">
        <v>5927</v>
      </c>
      <c r="K1950" s="127" t="s">
        <v>8037</v>
      </c>
      <c r="L1950" s="127" t="s">
        <v>8011</v>
      </c>
      <c r="M1950" s="127" t="s">
        <v>4371</v>
      </c>
      <c r="N1950" s="109"/>
      <c r="O1950" s="20"/>
      <c r="P1950" s="20"/>
      <c r="Q1950" s="20"/>
    </row>
    <row r="1951" spans="1:17" ht="24.9" customHeight="1">
      <c r="A1951" s="20">
        <v>392</v>
      </c>
      <c r="B1951" s="20" t="s">
        <v>4346</v>
      </c>
      <c r="C1951" s="20"/>
      <c r="D1951" s="20" t="s">
        <v>48</v>
      </c>
      <c r="E1951" s="19" t="str">
        <f>VLOOKUP(D1951,'لیست پرسنل'!$B$2:$E$1020,3,FALSE)</f>
        <v>فکورصنعت</v>
      </c>
      <c r="F1951" s="19" t="str">
        <f>VLOOKUP(D1951,'لیست پرسنل'!$B$2:$E$1020,4,FALSE)</f>
        <v>سرپرست آی تی</v>
      </c>
      <c r="G1951" s="127">
        <f>VLOOKUP(D1951,'لیست پرسنل'!$B$2:$F$1020,2,FALSE)</f>
        <v>2210</v>
      </c>
      <c r="H1951" s="127" t="s">
        <v>3847</v>
      </c>
      <c r="I1951" s="127"/>
      <c r="J1951" s="128" t="s">
        <v>5927</v>
      </c>
      <c r="K1951" s="127" t="s">
        <v>8037</v>
      </c>
      <c r="L1951" s="127" t="s">
        <v>8012</v>
      </c>
      <c r="M1951" s="127" t="s">
        <v>4371</v>
      </c>
      <c r="N1951" s="109"/>
      <c r="O1951" s="20"/>
      <c r="P1951" s="20"/>
      <c r="Q1951" s="20"/>
    </row>
    <row r="1952" spans="1:17" ht="24.9" customHeight="1">
      <c r="A1952" s="20">
        <v>392</v>
      </c>
      <c r="B1952" s="20" t="s">
        <v>4346</v>
      </c>
      <c r="C1952" s="20"/>
      <c r="D1952" s="20" t="s">
        <v>48</v>
      </c>
      <c r="E1952" s="19" t="str">
        <f>VLOOKUP(D1952,'لیست پرسنل'!$B$2:$E$1020,3,FALSE)</f>
        <v>فکورصنعت</v>
      </c>
      <c r="F1952" s="19" t="str">
        <f>VLOOKUP(D1952,'لیست پرسنل'!$B$2:$E$1020,4,FALSE)</f>
        <v>سرپرست آی تی</v>
      </c>
      <c r="G1952" s="127">
        <f>VLOOKUP(D1952,'لیست پرسنل'!$B$2:$F$1020,2,FALSE)</f>
        <v>2210</v>
      </c>
      <c r="H1952" s="127" t="s">
        <v>3847</v>
      </c>
      <c r="I1952" s="127"/>
      <c r="J1952" s="128" t="s">
        <v>5927</v>
      </c>
      <c r="K1952" s="127" t="s">
        <v>8037</v>
      </c>
      <c r="L1952" s="127" t="s">
        <v>8013</v>
      </c>
      <c r="M1952" s="127" t="s">
        <v>4371</v>
      </c>
      <c r="N1952" s="109"/>
      <c r="O1952" s="20"/>
      <c r="P1952" s="20"/>
      <c r="Q1952" s="20"/>
    </row>
    <row r="1953" spans="1:17" ht="24.9" customHeight="1">
      <c r="A1953" s="20">
        <v>392</v>
      </c>
      <c r="B1953" s="20" t="s">
        <v>4346</v>
      </c>
      <c r="C1953" s="20"/>
      <c r="D1953" s="20" t="s">
        <v>48</v>
      </c>
      <c r="E1953" s="19" t="str">
        <f>VLOOKUP(D1953,'لیست پرسنل'!$B$2:$E$1020,3,FALSE)</f>
        <v>فکورصنعت</v>
      </c>
      <c r="F1953" s="19" t="str">
        <f>VLOOKUP(D1953,'لیست پرسنل'!$B$2:$E$1020,4,FALSE)</f>
        <v>سرپرست آی تی</v>
      </c>
      <c r="G1953" s="127">
        <f>VLOOKUP(D1953,'لیست پرسنل'!$B$2:$F$1020,2,FALSE)</f>
        <v>2210</v>
      </c>
      <c r="H1953" s="127" t="s">
        <v>3847</v>
      </c>
      <c r="I1953" s="127"/>
      <c r="J1953" s="128" t="s">
        <v>5927</v>
      </c>
      <c r="K1953" s="127" t="s">
        <v>8037</v>
      </c>
      <c r="L1953" s="127" t="s">
        <v>8014</v>
      </c>
      <c r="M1953" s="127" t="s">
        <v>4371</v>
      </c>
      <c r="N1953" s="109"/>
      <c r="O1953" s="20"/>
      <c r="P1953" s="20"/>
      <c r="Q1953" s="20"/>
    </row>
    <row r="1954" spans="1:17" ht="24.9" customHeight="1">
      <c r="A1954" s="20">
        <v>392</v>
      </c>
      <c r="B1954" s="20" t="s">
        <v>4346</v>
      </c>
      <c r="C1954" s="20"/>
      <c r="D1954" s="20" t="s">
        <v>48</v>
      </c>
      <c r="E1954" s="19" t="str">
        <f>VLOOKUP(D1954,'لیست پرسنل'!$B$2:$E$1020,3,FALSE)</f>
        <v>فکورصنعت</v>
      </c>
      <c r="F1954" s="19" t="str">
        <f>VLOOKUP(D1954,'لیست پرسنل'!$B$2:$E$1020,4,FALSE)</f>
        <v>سرپرست آی تی</v>
      </c>
      <c r="G1954" s="127">
        <f>VLOOKUP(D1954,'لیست پرسنل'!$B$2:$F$1020,2,FALSE)</f>
        <v>2210</v>
      </c>
      <c r="H1954" s="127" t="s">
        <v>3847</v>
      </c>
      <c r="I1954" s="127"/>
      <c r="J1954" s="128" t="s">
        <v>5927</v>
      </c>
      <c r="K1954" s="127" t="s">
        <v>8037</v>
      </c>
      <c r="L1954" s="127" t="s">
        <v>8015</v>
      </c>
      <c r="M1954" s="127" t="s">
        <v>4371</v>
      </c>
      <c r="N1954" s="109"/>
      <c r="O1954" s="20"/>
      <c r="P1954" s="20"/>
      <c r="Q1954" s="20"/>
    </row>
    <row r="1955" spans="1:17" ht="24.9" customHeight="1">
      <c r="A1955" s="20">
        <v>392</v>
      </c>
      <c r="B1955" s="20" t="s">
        <v>4346</v>
      </c>
      <c r="C1955" s="20"/>
      <c r="D1955" s="20" t="s">
        <v>48</v>
      </c>
      <c r="E1955" s="19" t="str">
        <f>VLOOKUP(D1955,'لیست پرسنل'!$B$2:$E$1020,3,FALSE)</f>
        <v>فکورصنعت</v>
      </c>
      <c r="F1955" s="19" t="str">
        <f>VLOOKUP(D1955,'لیست پرسنل'!$B$2:$E$1020,4,FALSE)</f>
        <v>سرپرست آی تی</v>
      </c>
      <c r="G1955" s="127">
        <f>VLOOKUP(D1955,'لیست پرسنل'!$B$2:$F$1020,2,FALSE)</f>
        <v>2210</v>
      </c>
      <c r="H1955" s="127" t="s">
        <v>3847</v>
      </c>
      <c r="I1955" s="127"/>
      <c r="J1955" s="128" t="s">
        <v>5927</v>
      </c>
      <c r="K1955" s="127" t="s">
        <v>8037</v>
      </c>
      <c r="L1955" s="127" t="s">
        <v>8016</v>
      </c>
      <c r="M1955" s="127" t="s">
        <v>4371</v>
      </c>
      <c r="N1955" s="109"/>
      <c r="O1955" s="20"/>
      <c r="P1955" s="20"/>
      <c r="Q1955" s="20"/>
    </row>
    <row r="1956" spans="1:17" ht="24.9" customHeight="1">
      <c r="A1956" s="20">
        <v>392</v>
      </c>
      <c r="B1956" s="20" t="s">
        <v>4346</v>
      </c>
      <c r="C1956" s="20"/>
      <c r="D1956" s="20" t="s">
        <v>48</v>
      </c>
      <c r="E1956" s="19" t="str">
        <f>VLOOKUP(D1956,'لیست پرسنل'!$B$2:$E$1020,3,FALSE)</f>
        <v>فکورصنعت</v>
      </c>
      <c r="F1956" s="19" t="str">
        <f>VLOOKUP(D1956,'لیست پرسنل'!$B$2:$E$1020,4,FALSE)</f>
        <v>سرپرست آی تی</v>
      </c>
      <c r="G1956" s="127">
        <f>VLOOKUP(D1956,'لیست پرسنل'!$B$2:$F$1020,2,FALSE)</f>
        <v>2210</v>
      </c>
      <c r="H1956" s="127" t="s">
        <v>3847</v>
      </c>
      <c r="I1956" s="127"/>
      <c r="J1956" s="128" t="s">
        <v>5927</v>
      </c>
      <c r="K1956" s="127" t="s">
        <v>8037</v>
      </c>
      <c r="L1956" s="127" t="s">
        <v>8017</v>
      </c>
      <c r="M1956" s="127" t="s">
        <v>4371</v>
      </c>
      <c r="N1956" s="109"/>
      <c r="O1956" s="20"/>
      <c r="P1956" s="20"/>
      <c r="Q1956" s="20"/>
    </row>
    <row r="1957" spans="1:17" ht="24.9" customHeight="1">
      <c r="A1957" s="20">
        <v>392</v>
      </c>
      <c r="B1957" s="20" t="s">
        <v>4346</v>
      </c>
      <c r="C1957" s="20"/>
      <c r="D1957" s="20" t="s">
        <v>48</v>
      </c>
      <c r="E1957" s="19" t="str">
        <f>VLOOKUP(D1957,'لیست پرسنل'!$B$2:$E$1020,3,FALSE)</f>
        <v>فکورصنعت</v>
      </c>
      <c r="F1957" s="19" t="str">
        <f>VLOOKUP(D1957,'لیست پرسنل'!$B$2:$E$1020,4,FALSE)</f>
        <v>سرپرست آی تی</v>
      </c>
      <c r="G1957" s="127">
        <f>VLOOKUP(D1957,'لیست پرسنل'!$B$2:$F$1020,2,FALSE)</f>
        <v>2210</v>
      </c>
      <c r="H1957" s="127" t="s">
        <v>3847</v>
      </c>
      <c r="I1957" s="127"/>
      <c r="J1957" s="128" t="s">
        <v>5927</v>
      </c>
      <c r="K1957" s="127" t="s">
        <v>8037</v>
      </c>
      <c r="L1957" s="127" t="s">
        <v>8018</v>
      </c>
      <c r="M1957" s="127" t="s">
        <v>4371</v>
      </c>
      <c r="N1957" s="109"/>
      <c r="O1957" s="20"/>
      <c r="P1957" s="20"/>
      <c r="Q1957" s="20"/>
    </row>
    <row r="1958" spans="1:17" ht="24.9" customHeight="1">
      <c r="A1958" s="20">
        <v>392</v>
      </c>
      <c r="B1958" s="20" t="s">
        <v>4346</v>
      </c>
      <c r="C1958" s="20"/>
      <c r="D1958" s="20" t="s">
        <v>48</v>
      </c>
      <c r="E1958" s="19" t="str">
        <f>VLOOKUP(D1958,'لیست پرسنل'!$B$2:$E$1020,3,FALSE)</f>
        <v>فکورصنعت</v>
      </c>
      <c r="F1958" s="19" t="str">
        <f>VLOOKUP(D1958,'لیست پرسنل'!$B$2:$E$1020,4,FALSE)</f>
        <v>سرپرست آی تی</v>
      </c>
      <c r="G1958" s="127">
        <f>VLOOKUP(D1958,'لیست پرسنل'!$B$2:$F$1020,2,FALSE)</f>
        <v>2210</v>
      </c>
      <c r="H1958" s="127" t="s">
        <v>3847</v>
      </c>
      <c r="I1958" s="127"/>
      <c r="J1958" s="128" t="s">
        <v>5927</v>
      </c>
      <c r="K1958" s="127" t="s">
        <v>8037</v>
      </c>
      <c r="L1958" s="127" t="s">
        <v>8019</v>
      </c>
      <c r="M1958" s="127" t="s">
        <v>4371</v>
      </c>
      <c r="N1958" s="109"/>
      <c r="O1958" s="20"/>
      <c r="P1958" s="20"/>
      <c r="Q1958" s="20"/>
    </row>
    <row r="1959" spans="1:17" ht="24.9" customHeight="1">
      <c r="A1959" s="20">
        <v>392</v>
      </c>
      <c r="B1959" s="20" t="s">
        <v>4346</v>
      </c>
      <c r="C1959" s="20"/>
      <c r="D1959" s="20" t="s">
        <v>48</v>
      </c>
      <c r="E1959" s="19" t="str">
        <f>VLOOKUP(D1959,'لیست پرسنل'!$B$2:$E$1020,3,FALSE)</f>
        <v>فکورصنعت</v>
      </c>
      <c r="F1959" s="19" t="str">
        <f>VLOOKUP(D1959,'لیست پرسنل'!$B$2:$E$1020,4,FALSE)</f>
        <v>سرپرست آی تی</v>
      </c>
      <c r="G1959" s="127">
        <f>VLOOKUP(D1959,'لیست پرسنل'!$B$2:$F$1020,2,FALSE)</f>
        <v>2210</v>
      </c>
      <c r="H1959" s="127" t="s">
        <v>3847</v>
      </c>
      <c r="I1959" s="127"/>
      <c r="J1959" s="128" t="s">
        <v>5927</v>
      </c>
      <c r="K1959" s="127" t="s">
        <v>8037</v>
      </c>
      <c r="L1959" s="127" t="s">
        <v>8020</v>
      </c>
      <c r="M1959" s="127" t="s">
        <v>4371</v>
      </c>
      <c r="N1959" s="109"/>
      <c r="O1959" s="20"/>
      <c r="P1959" s="20"/>
      <c r="Q1959" s="20"/>
    </row>
    <row r="1960" spans="1:17" ht="24.9" customHeight="1">
      <c r="A1960" s="20">
        <v>392</v>
      </c>
      <c r="B1960" s="20" t="s">
        <v>4346</v>
      </c>
      <c r="C1960" s="20"/>
      <c r="D1960" s="20" t="s">
        <v>48</v>
      </c>
      <c r="E1960" s="19" t="str">
        <f>VLOOKUP(D1960,'لیست پرسنل'!$B$2:$E$1020,3,FALSE)</f>
        <v>فکورصنعت</v>
      </c>
      <c r="F1960" s="19" t="str">
        <f>VLOOKUP(D1960,'لیست پرسنل'!$B$2:$E$1020,4,FALSE)</f>
        <v>سرپرست آی تی</v>
      </c>
      <c r="G1960" s="127">
        <f>VLOOKUP(D1960,'لیست پرسنل'!$B$2:$F$1020,2,FALSE)</f>
        <v>2210</v>
      </c>
      <c r="H1960" s="128" t="s">
        <v>3847</v>
      </c>
      <c r="I1960" s="128"/>
      <c r="J1960" s="128" t="s">
        <v>3481</v>
      </c>
      <c r="K1960" s="128" t="s">
        <v>5726</v>
      </c>
      <c r="L1960" s="128"/>
      <c r="M1960" s="128" t="s">
        <v>291</v>
      </c>
      <c r="N1960" s="111"/>
      <c r="O1960" s="20" t="s">
        <v>5728</v>
      </c>
      <c r="P1960" s="28"/>
      <c r="Q1960" s="28"/>
    </row>
    <row r="1961" spans="1:17" ht="24.9" customHeight="1">
      <c r="A1961" s="20">
        <v>392</v>
      </c>
      <c r="B1961" s="20" t="s">
        <v>4346</v>
      </c>
      <c r="C1961" s="20"/>
      <c r="D1961" s="20" t="s">
        <v>48</v>
      </c>
      <c r="E1961" s="19" t="str">
        <f>VLOOKUP(D1961,'لیست پرسنل'!$B$2:$E$1020,3,FALSE)</f>
        <v>فکورصنعت</v>
      </c>
      <c r="F1961" s="19" t="str">
        <f>VLOOKUP(D1961,'لیست پرسنل'!$B$2:$E$1020,4,FALSE)</f>
        <v>سرپرست آی تی</v>
      </c>
      <c r="G1961" s="127">
        <f>VLOOKUP(D1961,'لیست پرسنل'!$B$2:$F$1020,2,FALSE)</f>
        <v>2210</v>
      </c>
      <c r="H1961" s="128" t="s">
        <v>3847</v>
      </c>
      <c r="I1961" s="128"/>
      <c r="J1961" s="128" t="s">
        <v>3481</v>
      </c>
      <c r="K1961" s="128" t="s">
        <v>5726</v>
      </c>
      <c r="L1961" s="128"/>
      <c r="M1961" s="128" t="s">
        <v>291</v>
      </c>
      <c r="N1961" s="111"/>
      <c r="O1961" s="20" t="s">
        <v>5728</v>
      </c>
      <c r="P1961" s="28"/>
      <c r="Q1961" s="28"/>
    </row>
    <row r="1962" spans="1:17" ht="24.9" customHeight="1">
      <c r="A1962" s="20">
        <v>392</v>
      </c>
      <c r="B1962" s="20" t="s">
        <v>4346</v>
      </c>
      <c r="C1962" s="20"/>
      <c r="D1962" s="20" t="s">
        <v>48</v>
      </c>
      <c r="E1962" s="19" t="str">
        <f>VLOOKUP(D1962,'لیست پرسنل'!$B$2:$E$1020,3,FALSE)</f>
        <v>فکورصنعت</v>
      </c>
      <c r="F1962" s="19" t="str">
        <f>VLOOKUP(D1962,'لیست پرسنل'!$B$2:$E$1020,4,FALSE)</f>
        <v>سرپرست آی تی</v>
      </c>
      <c r="G1962" s="127">
        <f>VLOOKUP(D1962,'لیست پرسنل'!$B$2:$F$1020,2,FALSE)</f>
        <v>2210</v>
      </c>
      <c r="H1962" s="128" t="s">
        <v>3847</v>
      </c>
      <c r="I1962" s="128"/>
      <c r="J1962" s="128" t="s">
        <v>3481</v>
      </c>
      <c r="K1962" s="128" t="s">
        <v>5726</v>
      </c>
      <c r="L1962" s="128"/>
      <c r="M1962" s="128" t="s">
        <v>291</v>
      </c>
      <c r="N1962" s="111"/>
      <c r="O1962" s="20" t="s">
        <v>5728</v>
      </c>
      <c r="P1962" s="28"/>
      <c r="Q1962" s="28"/>
    </row>
    <row r="1963" spans="1:17" ht="24.9" customHeight="1">
      <c r="A1963" s="20">
        <v>392</v>
      </c>
      <c r="B1963" s="20" t="s">
        <v>4346</v>
      </c>
      <c r="C1963" s="20"/>
      <c r="D1963" s="20" t="s">
        <v>48</v>
      </c>
      <c r="E1963" s="19" t="str">
        <f>VLOOKUP(D1963,'لیست پرسنل'!$B$2:$E$1020,3,FALSE)</f>
        <v>فکورصنعت</v>
      </c>
      <c r="F1963" s="19" t="str">
        <f>VLOOKUP(D1963,'لیست پرسنل'!$B$2:$E$1020,4,FALSE)</f>
        <v>سرپرست آی تی</v>
      </c>
      <c r="G1963" s="127">
        <f>VLOOKUP(D1963,'لیست پرسنل'!$B$2:$F$1020,2,FALSE)</f>
        <v>2210</v>
      </c>
      <c r="H1963" s="128" t="s">
        <v>3847</v>
      </c>
      <c r="I1963" s="128"/>
      <c r="J1963" s="128" t="s">
        <v>3481</v>
      </c>
      <c r="K1963" s="128" t="s">
        <v>5726</v>
      </c>
      <c r="L1963" s="128"/>
      <c r="M1963" s="128" t="s">
        <v>291</v>
      </c>
      <c r="N1963" s="111"/>
      <c r="O1963" s="20" t="s">
        <v>5728</v>
      </c>
      <c r="P1963" s="28"/>
      <c r="Q1963" s="28"/>
    </row>
    <row r="1964" spans="1:17" ht="24.9" customHeight="1">
      <c r="A1964" s="20">
        <v>392</v>
      </c>
      <c r="B1964" s="20" t="s">
        <v>4346</v>
      </c>
      <c r="C1964" s="20"/>
      <c r="D1964" s="20" t="s">
        <v>48</v>
      </c>
      <c r="E1964" s="19" t="str">
        <f>VLOOKUP(D1964,'لیست پرسنل'!$B$2:$E$1020,3,FALSE)</f>
        <v>فکورصنعت</v>
      </c>
      <c r="F1964" s="19" t="str">
        <f>VLOOKUP(D1964,'لیست پرسنل'!$B$2:$E$1020,4,FALSE)</f>
        <v>سرپرست آی تی</v>
      </c>
      <c r="G1964" s="127">
        <f>VLOOKUP(D1964,'لیست پرسنل'!$B$2:$F$1020,2,FALSE)</f>
        <v>2210</v>
      </c>
      <c r="H1964" s="128" t="s">
        <v>3847</v>
      </c>
      <c r="I1964" s="128"/>
      <c r="J1964" s="128" t="s">
        <v>3481</v>
      </c>
      <c r="K1964" s="128" t="s">
        <v>5726</v>
      </c>
      <c r="L1964" s="128"/>
      <c r="M1964" s="128" t="s">
        <v>291</v>
      </c>
      <c r="N1964" s="111"/>
      <c r="O1964" s="20" t="s">
        <v>5728</v>
      </c>
      <c r="P1964" s="28"/>
      <c r="Q1964" s="28"/>
    </row>
    <row r="1965" spans="1:17" ht="24.9" customHeight="1">
      <c r="A1965" s="20">
        <v>392</v>
      </c>
      <c r="B1965" s="20" t="s">
        <v>4346</v>
      </c>
      <c r="C1965" s="20"/>
      <c r="D1965" s="20" t="s">
        <v>48</v>
      </c>
      <c r="E1965" s="19" t="str">
        <f>VLOOKUP(D1965,'لیست پرسنل'!$B$2:$E$1020,3,FALSE)</f>
        <v>فکورصنعت</v>
      </c>
      <c r="F1965" s="19" t="str">
        <f>VLOOKUP(D1965,'لیست پرسنل'!$B$2:$E$1020,4,FALSE)</f>
        <v>سرپرست آی تی</v>
      </c>
      <c r="G1965" s="127">
        <f>VLOOKUP(D1965,'لیست پرسنل'!$B$2:$F$1020,2,FALSE)</f>
        <v>2210</v>
      </c>
      <c r="H1965" s="128" t="s">
        <v>3847</v>
      </c>
      <c r="I1965" s="128"/>
      <c r="J1965" s="128" t="s">
        <v>3481</v>
      </c>
      <c r="K1965" s="128" t="s">
        <v>5726</v>
      </c>
      <c r="L1965" s="128"/>
      <c r="M1965" s="128" t="s">
        <v>291</v>
      </c>
      <c r="N1965" s="111"/>
      <c r="O1965" s="20" t="s">
        <v>5728</v>
      </c>
      <c r="P1965" s="28"/>
      <c r="Q1965" s="28"/>
    </row>
    <row r="1966" spans="1:17" ht="24.9" customHeight="1">
      <c r="A1966" s="20">
        <v>392</v>
      </c>
      <c r="B1966" s="20" t="s">
        <v>4346</v>
      </c>
      <c r="C1966" s="20"/>
      <c r="D1966" s="20" t="s">
        <v>48</v>
      </c>
      <c r="E1966" s="19" t="str">
        <f>VLOOKUP(D1966,'لیست پرسنل'!$B$2:$E$1020,3,FALSE)</f>
        <v>فکورصنعت</v>
      </c>
      <c r="F1966" s="19" t="str">
        <f>VLOOKUP(D1966,'لیست پرسنل'!$B$2:$E$1020,4,FALSE)</f>
        <v>سرپرست آی تی</v>
      </c>
      <c r="G1966" s="127">
        <f>VLOOKUP(D1966,'لیست پرسنل'!$B$2:$F$1020,2,FALSE)</f>
        <v>2210</v>
      </c>
      <c r="H1966" s="128" t="s">
        <v>3847</v>
      </c>
      <c r="I1966" s="128"/>
      <c r="J1966" s="128" t="s">
        <v>3481</v>
      </c>
      <c r="K1966" s="128" t="s">
        <v>5726</v>
      </c>
      <c r="L1966" s="128"/>
      <c r="M1966" s="128" t="s">
        <v>291</v>
      </c>
      <c r="N1966" s="111"/>
      <c r="O1966" s="20" t="s">
        <v>5728</v>
      </c>
      <c r="P1966" s="28"/>
      <c r="Q1966" s="28"/>
    </row>
    <row r="1967" spans="1:17" ht="24.9" customHeight="1">
      <c r="A1967" s="20">
        <v>392</v>
      </c>
      <c r="B1967" s="20" t="s">
        <v>4346</v>
      </c>
      <c r="C1967" s="20"/>
      <c r="D1967" s="20" t="s">
        <v>48</v>
      </c>
      <c r="E1967" s="19" t="str">
        <f>VLOOKUP(D1967,'لیست پرسنل'!$B$2:$E$1020,3,FALSE)</f>
        <v>فکورصنعت</v>
      </c>
      <c r="F1967" s="19" t="str">
        <f>VLOOKUP(D1967,'لیست پرسنل'!$B$2:$E$1020,4,FALSE)</f>
        <v>سرپرست آی تی</v>
      </c>
      <c r="G1967" s="127">
        <f>VLOOKUP(D1967,'لیست پرسنل'!$B$2:$F$1020,2,FALSE)</f>
        <v>2210</v>
      </c>
      <c r="H1967" s="128" t="s">
        <v>3847</v>
      </c>
      <c r="I1967" s="128"/>
      <c r="J1967" s="128" t="s">
        <v>3481</v>
      </c>
      <c r="K1967" s="128" t="s">
        <v>5726</v>
      </c>
      <c r="L1967" s="128"/>
      <c r="M1967" s="128" t="s">
        <v>291</v>
      </c>
      <c r="N1967" s="111"/>
      <c r="O1967" s="20" t="s">
        <v>5728</v>
      </c>
      <c r="P1967" s="28"/>
      <c r="Q1967" s="28"/>
    </row>
    <row r="1968" spans="1:17" ht="24.9" customHeight="1">
      <c r="A1968" s="20">
        <v>392</v>
      </c>
      <c r="B1968" s="20" t="s">
        <v>4346</v>
      </c>
      <c r="C1968" s="20"/>
      <c r="D1968" s="20" t="s">
        <v>48</v>
      </c>
      <c r="E1968" s="19" t="str">
        <f>VLOOKUP(D1968,'لیست پرسنل'!$B$2:$E$1020,3,FALSE)</f>
        <v>فکورصنعت</v>
      </c>
      <c r="F1968" s="19" t="str">
        <f>VLOOKUP(D1968,'لیست پرسنل'!$B$2:$E$1020,4,FALSE)</f>
        <v>سرپرست آی تی</v>
      </c>
      <c r="G1968" s="127">
        <f>VLOOKUP(D1968,'لیست پرسنل'!$B$2:$F$1020,2,FALSE)</f>
        <v>2210</v>
      </c>
      <c r="H1968" s="128" t="s">
        <v>3847</v>
      </c>
      <c r="I1968" s="128"/>
      <c r="J1968" s="128" t="s">
        <v>3481</v>
      </c>
      <c r="K1968" s="128" t="s">
        <v>5726</v>
      </c>
      <c r="L1968" s="128"/>
      <c r="M1968" s="128" t="s">
        <v>291</v>
      </c>
      <c r="N1968" s="111"/>
      <c r="O1968" s="20" t="s">
        <v>5728</v>
      </c>
      <c r="P1968" s="28"/>
      <c r="Q1968" s="28"/>
    </row>
    <row r="1969" spans="1:17" ht="24.9" customHeight="1">
      <c r="A1969" s="20">
        <v>392</v>
      </c>
      <c r="B1969" s="20" t="s">
        <v>4346</v>
      </c>
      <c r="C1969" s="20"/>
      <c r="D1969" s="20" t="s">
        <v>48</v>
      </c>
      <c r="E1969" s="19" t="str">
        <f>VLOOKUP(D1969,'لیست پرسنل'!$B$2:$E$1020,3,FALSE)</f>
        <v>فکورصنعت</v>
      </c>
      <c r="F1969" s="19" t="str">
        <f>VLOOKUP(D1969,'لیست پرسنل'!$B$2:$E$1020,4,FALSE)</f>
        <v>سرپرست آی تی</v>
      </c>
      <c r="G1969" s="127">
        <f>VLOOKUP(D1969,'لیست پرسنل'!$B$2:$F$1020,2,FALSE)</f>
        <v>2210</v>
      </c>
      <c r="H1969" s="128" t="s">
        <v>3847</v>
      </c>
      <c r="I1969" s="128"/>
      <c r="J1969" s="128" t="s">
        <v>3481</v>
      </c>
      <c r="K1969" s="128" t="s">
        <v>5726</v>
      </c>
      <c r="L1969" s="128"/>
      <c r="M1969" s="128" t="s">
        <v>291</v>
      </c>
      <c r="N1969" s="111"/>
      <c r="O1969" s="20" t="s">
        <v>5728</v>
      </c>
      <c r="P1969" s="28"/>
      <c r="Q1969" s="28"/>
    </row>
    <row r="1970" spans="1:17" ht="24.9" customHeight="1">
      <c r="A1970" s="20">
        <v>392</v>
      </c>
      <c r="B1970" s="20" t="s">
        <v>4346</v>
      </c>
      <c r="C1970" s="20"/>
      <c r="D1970" s="20" t="s">
        <v>48</v>
      </c>
      <c r="E1970" s="19" t="str">
        <f>VLOOKUP(D1970,'لیست پرسنل'!$B$2:$E$1020,3,FALSE)</f>
        <v>فکورصنعت</v>
      </c>
      <c r="F1970" s="19" t="str">
        <f>VLOOKUP(D1970,'لیست پرسنل'!$B$2:$E$1020,4,FALSE)</f>
        <v>سرپرست آی تی</v>
      </c>
      <c r="G1970" s="127">
        <f>VLOOKUP(D1970,'لیست پرسنل'!$B$2:$F$1020,2,FALSE)</f>
        <v>2210</v>
      </c>
      <c r="H1970" s="127" t="s">
        <v>3847</v>
      </c>
      <c r="I1970" s="127"/>
      <c r="J1970" s="128" t="s">
        <v>3481</v>
      </c>
      <c r="K1970" s="127" t="s">
        <v>8034</v>
      </c>
      <c r="L1970" s="127" t="s">
        <v>8021</v>
      </c>
      <c r="M1970" s="127" t="s">
        <v>4371</v>
      </c>
      <c r="N1970" s="109"/>
      <c r="O1970" s="20"/>
      <c r="P1970" s="20"/>
      <c r="Q1970" s="20"/>
    </row>
    <row r="1971" spans="1:17" ht="24.9" customHeight="1">
      <c r="A1971" s="20">
        <v>392</v>
      </c>
      <c r="B1971" s="20" t="s">
        <v>4346</v>
      </c>
      <c r="C1971" s="20"/>
      <c r="D1971" s="20" t="s">
        <v>48</v>
      </c>
      <c r="E1971" s="19" t="str">
        <f>VLOOKUP(D1971,'لیست پرسنل'!$B$2:$E$1020,3,FALSE)</f>
        <v>فکورصنعت</v>
      </c>
      <c r="F1971" s="19" t="str">
        <f>VLOOKUP(D1971,'لیست پرسنل'!$B$2:$E$1020,4,FALSE)</f>
        <v>سرپرست آی تی</v>
      </c>
      <c r="G1971" s="127">
        <f>VLOOKUP(D1971,'لیست پرسنل'!$B$2:$F$1020,2,FALSE)</f>
        <v>2210</v>
      </c>
      <c r="H1971" s="127" t="s">
        <v>3847</v>
      </c>
      <c r="I1971" s="127"/>
      <c r="J1971" s="128" t="s">
        <v>3481</v>
      </c>
      <c r="K1971" s="127" t="s">
        <v>8035</v>
      </c>
      <c r="L1971" s="127" t="s">
        <v>8023</v>
      </c>
      <c r="M1971" s="127" t="s">
        <v>4371</v>
      </c>
      <c r="N1971" s="109"/>
      <c r="O1971" s="20"/>
      <c r="P1971" s="20"/>
      <c r="Q1971" s="20"/>
    </row>
    <row r="1972" spans="1:17" ht="24.9" customHeight="1">
      <c r="A1972" s="20">
        <v>392</v>
      </c>
      <c r="B1972" s="20" t="s">
        <v>4346</v>
      </c>
      <c r="C1972" s="20"/>
      <c r="D1972" s="20" t="s">
        <v>48</v>
      </c>
      <c r="E1972" s="19" t="str">
        <f>VLOOKUP(D1972,'لیست پرسنل'!$B$2:$E$1020,3,FALSE)</f>
        <v>فکورصنعت</v>
      </c>
      <c r="F1972" s="19" t="str">
        <f>VLOOKUP(D1972,'لیست پرسنل'!$B$2:$E$1020,4,FALSE)</f>
        <v>سرپرست آی تی</v>
      </c>
      <c r="G1972" s="127">
        <f>VLOOKUP(D1972,'لیست پرسنل'!$B$2:$F$1020,2,FALSE)</f>
        <v>2210</v>
      </c>
      <c r="H1972" s="127" t="s">
        <v>3847</v>
      </c>
      <c r="I1972" s="127"/>
      <c r="J1972" s="128" t="s">
        <v>3481</v>
      </c>
      <c r="K1972" s="127" t="s">
        <v>8035</v>
      </c>
      <c r="L1972" s="127" t="s">
        <v>8024</v>
      </c>
      <c r="M1972" s="127" t="s">
        <v>4371</v>
      </c>
      <c r="N1972" s="109"/>
      <c r="O1972" s="20"/>
      <c r="P1972" s="20"/>
      <c r="Q1972" s="20"/>
    </row>
    <row r="1973" spans="1:17" ht="24.9" customHeight="1">
      <c r="A1973" s="20">
        <v>392</v>
      </c>
      <c r="B1973" s="20" t="s">
        <v>4346</v>
      </c>
      <c r="C1973" s="20"/>
      <c r="D1973" s="20" t="s">
        <v>48</v>
      </c>
      <c r="E1973" s="19" t="str">
        <f>VLOOKUP(D1973,'لیست پرسنل'!$B$2:$E$1020,3,FALSE)</f>
        <v>فکورصنعت</v>
      </c>
      <c r="F1973" s="19" t="str">
        <f>VLOOKUP(D1973,'لیست پرسنل'!$B$2:$E$1020,4,FALSE)</f>
        <v>سرپرست آی تی</v>
      </c>
      <c r="G1973" s="127">
        <f>VLOOKUP(D1973,'لیست پرسنل'!$B$2:$F$1020,2,FALSE)</f>
        <v>2210</v>
      </c>
      <c r="H1973" s="127" t="s">
        <v>3847</v>
      </c>
      <c r="I1973" s="127"/>
      <c r="J1973" s="128" t="s">
        <v>3481</v>
      </c>
      <c r="K1973" s="127" t="s">
        <v>8035</v>
      </c>
      <c r="L1973" s="127" t="s">
        <v>8025</v>
      </c>
      <c r="M1973" s="127" t="s">
        <v>4371</v>
      </c>
      <c r="N1973" s="109"/>
      <c r="O1973" s="20"/>
      <c r="P1973" s="20"/>
      <c r="Q1973" s="20"/>
    </row>
    <row r="1974" spans="1:17" ht="24.9" customHeight="1">
      <c r="A1974" s="20">
        <v>392</v>
      </c>
      <c r="B1974" s="20" t="s">
        <v>4346</v>
      </c>
      <c r="C1974" s="20"/>
      <c r="D1974" s="20" t="s">
        <v>48</v>
      </c>
      <c r="E1974" s="19" t="str">
        <f>VLOOKUP(D1974,'لیست پرسنل'!$B$2:$E$1020,3,FALSE)</f>
        <v>فکورصنعت</v>
      </c>
      <c r="F1974" s="19" t="str">
        <f>VLOOKUP(D1974,'لیست پرسنل'!$B$2:$E$1020,4,FALSE)</f>
        <v>سرپرست آی تی</v>
      </c>
      <c r="G1974" s="127">
        <f>VLOOKUP(D1974,'لیست پرسنل'!$B$2:$F$1020,2,FALSE)</f>
        <v>2210</v>
      </c>
      <c r="H1974" s="127" t="s">
        <v>3847</v>
      </c>
      <c r="I1974" s="127"/>
      <c r="J1974" s="128" t="s">
        <v>3481</v>
      </c>
      <c r="K1974" s="127" t="s">
        <v>8035</v>
      </c>
      <c r="L1974" s="127" t="s">
        <v>8026</v>
      </c>
      <c r="M1974" s="127" t="s">
        <v>4371</v>
      </c>
      <c r="N1974" s="109"/>
      <c r="O1974" s="20"/>
      <c r="P1974" s="20"/>
      <c r="Q1974" s="20"/>
    </row>
    <row r="1975" spans="1:17" ht="24.9" customHeight="1">
      <c r="A1975" s="20">
        <v>392</v>
      </c>
      <c r="B1975" s="20" t="s">
        <v>4346</v>
      </c>
      <c r="C1975" s="20"/>
      <c r="D1975" s="20" t="s">
        <v>48</v>
      </c>
      <c r="E1975" s="19" t="str">
        <f>VLOOKUP(D1975,'لیست پرسنل'!$B$2:$E$1020,3,FALSE)</f>
        <v>فکورصنعت</v>
      </c>
      <c r="F1975" s="19" t="str">
        <f>VLOOKUP(D1975,'لیست پرسنل'!$B$2:$E$1020,4,FALSE)</f>
        <v>سرپرست آی تی</v>
      </c>
      <c r="G1975" s="127">
        <f>VLOOKUP(D1975,'لیست پرسنل'!$B$2:$F$1020,2,FALSE)</f>
        <v>2210</v>
      </c>
      <c r="H1975" s="127" t="s">
        <v>3847</v>
      </c>
      <c r="I1975" s="127"/>
      <c r="J1975" s="128" t="s">
        <v>3481</v>
      </c>
      <c r="K1975" s="127" t="s">
        <v>8035</v>
      </c>
      <c r="L1975" s="127" t="s">
        <v>8027</v>
      </c>
      <c r="M1975" s="127" t="s">
        <v>4371</v>
      </c>
      <c r="N1975" s="109"/>
      <c r="O1975" s="20"/>
      <c r="P1975" s="20"/>
      <c r="Q1975" s="20"/>
    </row>
    <row r="1976" spans="1:17" ht="24.9" customHeight="1">
      <c r="A1976" s="20">
        <v>392</v>
      </c>
      <c r="B1976" s="20" t="s">
        <v>4346</v>
      </c>
      <c r="C1976" s="20"/>
      <c r="D1976" s="20" t="s">
        <v>48</v>
      </c>
      <c r="E1976" s="19" t="str">
        <f>VLOOKUP(D1976,'لیست پرسنل'!$B$2:$E$1020,3,FALSE)</f>
        <v>فکورصنعت</v>
      </c>
      <c r="F1976" s="19" t="str">
        <f>VLOOKUP(D1976,'لیست پرسنل'!$B$2:$E$1020,4,FALSE)</f>
        <v>سرپرست آی تی</v>
      </c>
      <c r="G1976" s="127">
        <f>VLOOKUP(D1976,'لیست پرسنل'!$B$2:$F$1020,2,FALSE)</f>
        <v>2210</v>
      </c>
      <c r="H1976" s="127" t="s">
        <v>3847</v>
      </c>
      <c r="I1976" s="127"/>
      <c r="J1976" s="128" t="s">
        <v>3481</v>
      </c>
      <c r="K1976" s="127" t="s">
        <v>8035</v>
      </c>
      <c r="L1976" s="127" t="s">
        <v>8028</v>
      </c>
      <c r="M1976" s="127" t="s">
        <v>4371</v>
      </c>
      <c r="N1976" s="109"/>
      <c r="O1976" s="20"/>
      <c r="P1976" s="20"/>
      <c r="Q1976" s="20"/>
    </row>
    <row r="1977" spans="1:17" ht="24.9" customHeight="1">
      <c r="A1977" s="20">
        <v>392</v>
      </c>
      <c r="B1977" s="20" t="s">
        <v>4346</v>
      </c>
      <c r="C1977" s="20"/>
      <c r="D1977" s="20" t="s">
        <v>48</v>
      </c>
      <c r="E1977" s="19" t="str">
        <f>VLOOKUP(D1977,'لیست پرسنل'!$B$2:$E$1020,3,FALSE)</f>
        <v>فکورصنعت</v>
      </c>
      <c r="F1977" s="19" t="str">
        <f>VLOOKUP(D1977,'لیست پرسنل'!$B$2:$E$1020,4,FALSE)</f>
        <v>سرپرست آی تی</v>
      </c>
      <c r="G1977" s="127">
        <f>VLOOKUP(D1977,'لیست پرسنل'!$B$2:$F$1020,2,FALSE)</f>
        <v>2210</v>
      </c>
      <c r="H1977" s="127" t="s">
        <v>3847</v>
      </c>
      <c r="I1977" s="127"/>
      <c r="J1977" s="128" t="s">
        <v>3481</v>
      </c>
      <c r="K1977" s="127" t="s">
        <v>8035</v>
      </c>
      <c r="L1977" s="127" t="s">
        <v>8029</v>
      </c>
      <c r="M1977" s="127" t="s">
        <v>4371</v>
      </c>
      <c r="N1977" s="109"/>
      <c r="O1977" s="20"/>
      <c r="P1977" s="20"/>
      <c r="Q1977" s="20"/>
    </row>
    <row r="1978" spans="1:17" ht="24.9" customHeight="1">
      <c r="A1978" s="20">
        <v>392</v>
      </c>
      <c r="B1978" s="20" t="s">
        <v>4346</v>
      </c>
      <c r="C1978" s="20"/>
      <c r="D1978" s="20" t="s">
        <v>48</v>
      </c>
      <c r="E1978" s="19" t="str">
        <f>VLOOKUP(D1978,'لیست پرسنل'!$B$2:$E$1020,3,FALSE)</f>
        <v>فکورصنعت</v>
      </c>
      <c r="F1978" s="19" t="str">
        <f>VLOOKUP(D1978,'لیست پرسنل'!$B$2:$E$1020,4,FALSE)</f>
        <v>سرپرست آی تی</v>
      </c>
      <c r="G1978" s="127">
        <f>VLOOKUP(D1978,'لیست پرسنل'!$B$2:$F$1020,2,FALSE)</f>
        <v>2210</v>
      </c>
      <c r="H1978" s="127" t="s">
        <v>3847</v>
      </c>
      <c r="I1978" s="127"/>
      <c r="J1978" s="128" t="s">
        <v>3481</v>
      </c>
      <c r="K1978" s="127" t="s">
        <v>8035</v>
      </c>
      <c r="L1978" s="127" t="s">
        <v>8030</v>
      </c>
      <c r="M1978" s="127" t="s">
        <v>4371</v>
      </c>
      <c r="N1978" s="109"/>
      <c r="O1978" s="20"/>
      <c r="P1978" s="20"/>
      <c r="Q1978" s="20"/>
    </row>
    <row r="1979" spans="1:17" ht="24.9" customHeight="1">
      <c r="A1979" s="20">
        <v>392</v>
      </c>
      <c r="B1979" s="20" t="s">
        <v>4346</v>
      </c>
      <c r="C1979" s="20"/>
      <c r="D1979" s="20" t="s">
        <v>48</v>
      </c>
      <c r="E1979" s="19" t="str">
        <f>VLOOKUP(D1979,'لیست پرسنل'!$B$2:$E$1020,3,FALSE)</f>
        <v>فکورصنعت</v>
      </c>
      <c r="F1979" s="19" t="str">
        <f>VLOOKUP(D1979,'لیست پرسنل'!$B$2:$E$1020,4,FALSE)</f>
        <v>سرپرست آی تی</v>
      </c>
      <c r="G1979" s="127">
        <f>VLOOKUP(D1979,'لیست پرسنل'!$B$2:$F$1020,2,FALSE)</f>
        <v>2210</v>
      </c>
      <c r="H1979" s="127" t="s">
        <v>3847</v>
      </c>
      <c r="I1979" s="127"/>
      <c r="J1979" s="128" t="s">
        <v>3481</v>
      </c>
      <c r="K1979" s="127" t="s">
        <v>8035</v>
      </c>
      <c r="L1979" s="127" t="s">
        <v>8031</v>
      </c>
      <c r="M1979" s="127" t="s">
        <v>4371</v>
      </c>
      <c r="N1979" s="109"/>
      <c r="O1979" s="20"/>
      <c r="P1979" s="20"/>
      <c r="Q1979" s="20"/>
    </row>
    <row r="1980" spans="1:17" ht="24.9" customHeight="1">
      <c r="A1980" s="20">
        <v>392</v>
      </c>
      <c r="B1980" s="20" t="s">
        <v>4346</v>
      </c>
      <c r="C1980" s="20"/>
      <c r="D1980" s="20" t="s">
        <v>48</v>
      </c>
      <c r="E1980" s="19" t="str">
        <f>VLOOKUP(D1980,'لیست پرسنل'!$B$2:$E$1020,3,FALSE)</f>
        <v>فکورصنعت</v>
      </c>
      <c r="F1980" s="19" t="str">
        <f>VLOOKUP(D1980,'لیست پرسنل'!$B$2:$E$1020,4,FALSE)</f>
        <v>سرپرست آی تی</v>
      </c>
      <c r="G1980" s="127">
        <f>VLOOKUP(D1980,'لیست پرسنل'!$B$2:$F$1020,2,FALSE)</f>
        <v>2210</v>
      </c>
      <c r="H1980" s="127" t="s">
        <v>3847</v>
      </c>
      <c r="I1980" s="127"/>
      <c r="J1980" s="128" t="s">
        <v>3481</v>
      </c>
      <c r="K1980" s="127" t="s">
        <v>8035</v>
      </c>
      <c r="L1980" s="127" t="s">
        <v>8032</v>
      </c>
      <c r="M1980" s="127" t="s">
        <v>4371</v>
      </c>
      <c r="N1980" s="109"/>
      <c r="O1980" s="20"/>
      <c r="P1980" s="20"/>
      <c r="Q1980" s="20"/>
    </row>
    <row r="1981" spans="1:17" ht="24.9" customHeight="1">
      <c r="A1981" s="20">
        <v>392</v>
      </c>
      <c r="B1981" s="20" t="s">
        <v>4346</v>
      </c>
      <c r="C1981" s="20"/>
      <c r="D1981" s="20" t="s">
        <v>48</v>
      </c>
      <c r="E1981" s="19" t="str">
        <f>VLOOKUP(D1981,'لیست پرسنل'!$B$2:$E$1020,3,FALSE)</f>
        <v>فکورصنعت</v>
      </c>
      <c r="F1981" s="19" t="str">
        <f>VLOOKUP(D1981,'لیست پرسنل'!$B$2:$E$1020,4,FALSE)</f>
        <v>سرپرست آی تی</v>
      </c>
      <c r="G1981" s="127">
        <f>VLOOKUP(D1981,'لیست پرسنل'!$B$2:$F$1020,2,FALSE)</f>
        <v>2210</v>
      </c>
      <c r="H1981" s="128" t="s">
        <v>3847</v>
      </c>
      <c r="I1981" s="128"/>
      <c r="J1981" s="128" t="s">
        <v>3483</v>
      </c>
      <c r="K1981" s="128" t="s">
        <v>5727</v>
      </c>
      <c r="L1981" s="128"/>
      <c r="M1981" s="128" t="s">
        <v>291</v>
      </c>
      <c r="N1981" s="111"/>
      <c r="O1981" s="20" t="s">
        <v>5728</v>
      </c>
      <c r="P1981" s="28"/>
      <c r="Q1981" s="28"/>
    </row>
    <row r="1982" spans="1:17" ht="24.9" customHeight="1">
      <c r="A1982" s="20">
        <v>392</v>
      </c>
      <c r="B1982" s="20" t="s">
        <v>4346</v>
      </c>
      <c r="C1982" s="20"/>
      <c r="D1982" s="20" t="s">
        <v>48</v>
      </c>
      <c r="E1982" s="19" t="str">
        <f>VLOOKUP(D1982,'لیست پرسنل'!$B$2:$E$1020,3,FALSE)</f>
        <v>فکورصنعت</v>
      </c>
      <c r="F1982" s="19" t="str">
        <f>VLOOKUP(D1982,'لیست پرسنل'!$B$2:$E$1020,4,FALSE)</f>
        <v>سرپرست آی تی</v>
      </c>
      <c r="G1982" s="127">
        <f>VLOOKUP(D1982,'لیست پرسنل'!$B$2:$F$1020,2,FALSE)</f>
        <v>2210</v>
      </c>
      <c r="H1982" s="128" t="s">
        <v>3847</v>
      </c>
      <c r="I1982" s="128"/>
      <c r="J1982" s="128" t="s">
        <v>3483</v>
      </c>
      <c r="K1982" s="128" t="s">
        <v>8110</v>
      </c>
      <c r="L1982" s="128"/>
      <c r="M1982" s="128" t="s">
        <v>291</v>
      </c>
      <c r="N1982" s="111"/>
      <c r="O1982" s="20" t="s">
        <v>5728</v>
      </c>
      <c r="P1982" s="28"/>
      <c r="Q1982" s="28"/>
    </row>
    <row r="1983" spans="1:17" ht="24.9" customHeight="1">
      <c r="A1983" s="20">
        <v>392</v>
      </c>
      <c r="B1983" s="20" t="s">
        <v>4346</v>
      </c>
      <c r="C1983" s="20"/>
      <c r="D1983" s="20" t="s">
        <v>48</v>
      </c>
      <c r="E1983" s="19" t="str">
        <f>VLOOKUP(D1983,'لیست پرسنل'!$B$2:$E$1020,3,FALSE)</f>
        <v>فکورصنعت</v>
      </c>
      <c r="F1983" s="19" t="str">
        <f>VLOOKUP(D1983,'لیست پرسنل'!$B$2:$E$1020,4,FALSE)</f>
        <v>سرپرست آی تی</v>
      </c>
      <c r="G1983" s="127">
        <f>VLOOKUP(D1983,'لیست پرسنل'!$B$2:$F$1020,2,FALSE)</f>
        <v>2210</v>
      </c>
      <c r="H1983" s="128" t="s">
        <v>3847</v>
      </c>
      <c r="I1983" s="128"/>
      <c r="J1983" s="128" t="s">
        <v>3483</v>
      </c>
      <c r="K1983" s="128" t="s">
        <v>8110</v>
      </c>
      <c r="L1983" s="128"/>
      <c r="M1983" s="128" t="s">
        <v>291</v>
      </c>
      <c r="N1983" s="111"/>
      <c r="O1983" s="20" t="s">
        <v>5728</v>
      </c>
      <c r="P1983" s="28"/>
      <c r="Q1983" s="28"/>
    </row>
    <row r="1984" spans="1:17" ht="24.9" customHeight="1">
      <c r="A1984" s="20">
        <v>392</v>
      </c>
      <c r="B1984" s="20" t="s">
        <v>4346</v>
      </c>
      <c r="C1984" s="20"/>
      <c r="D1984" s="20" t="s">
        <v>48</v>
      </c>
      <c r="E1984" s="19" t="str">
        <f>VLOOKUP(D1984,'لیست پرسنل'!$B$2:$E$1020,3,FALSE)</f>
        <v>فکورصنعت</v>
      </c>
      <c r="F1984" s="19" t="str">
        <f>VLOOKUP(D1984,'لیست پرسنل'!$B$2:$E$1020,4,FALSE)</f>
        <v>سرپرست آی تی</v>
      </c>
      <c r="G1984" s="127">
        <f>VLOOKUP(D1984,'لیست پرسنل'!$B$2:$F$1020,2,FALSE)</f>
        <v>2210</v>
      </c>
      <c r="H1984" s="128" t="s">
        <v>3847</v>
      </c>
      <c r="I1984" s="128"/>
      <c r="J1984" s="128" t="s">
        <v>3483</v>
      </c>
      <c r="K1984" s="128" t="s">
        <v>8110</v>
      </c>
      <c r="L1984" s="128"/>
      <c r="M1984" s="128" t="s">
        <v>291</v>
      </c>
      <c r="N1984" s="111"/>
      <c r="O1984" s="20" t="s">
        <v>5728</v>
      </c>
      <c r="P1984" s="28"/>
      <c r="Q1984" s="28"/>
    </row>
    <row r="1985" spans="1:17" ht="24.9" customHeight="1">
      <c r="A1985" s="20">
        <v>392</v>
      </c>
      <c r="B1985" s="20" t="s">
        <v>4346</v>
      </c>
      <c r="C1985" s="20"/>
      <c r="D1985" s="20" t="s">
        <v>48</v>
      </c>
      <c r="E1985" s="19" t="str">
        <f>VLOOKUP(D1985,'لیست پرسنل'!$B$2:$E$1020,3,FALSE)</f>
        <v>فکورصنعت</v>
      </c>
      <c r="F1985" s="19" t="str">
        <f>VLOOKUP(D1985,'لیست پرسنل'!$B$2:$E$1020,4,FALSE)</f>
        <v>سرپرست آی تی</v>
      </c>
      <c r="G1985" s="127">
        <f>VLOOKUP(D1985,'لیست پرسنل'!$B$2:$F$1020,2,FALSE)</f>
        <v>2210</v>
      </c>
      <c r="H1985" s="128" t="s">
        <v>3847</v>
      </c>
      <c r="I1985" s="128"/>
      <c r="J1985" s="128" t="s">
        <v>3285</v>
      </c>
      <c r="K1985" s="128" t="s">
        <v>8111</v>
      </c>
      <c r="L1985" s="128"/>
      <c r="M1985" s="128" t="s">
        <v>291</v>
      </c>
      <c r="N1985" s="111"/>
      <c r="O1985" s="20" t="s">
        <v>5728</v>
      </c>
      <c r="P1985" s="28"/>
      <c r="Q1985" s="28"/>
    </row>
    <row r="1986" spans="1:17" ht="24.9" customHeight="1">
      <c r="A1986" s="20">
        <v>392</v>
      </c>
      <c r="B1986" s="20" t="s">
        <v>4346</v>
      </c>
      <c r="C1986" s="20"/>
      <c r="D1986" s="20" t="s">
        <v>48</v>
      </c>
      <c r="E1986" s="19" t="str">
        <f>VLOOKUP(D1986,'لیست پرسنل'!$B$2:$E$1020,3,FALSE)</f>
        <v>فکورصنعت</v>
      </c>
      <c r="F1986" s="19" t="str">
        <f>VLOOKUP(D1986,'لیست پرسنل'!$B$2:$E$1020,4,FALSE)</f>
        <v>سرپرست آی تی</v>
      </c>
      <c r="G1986" s="127">
        <f>VLOOKUP(D1986,'لیست پرسنل'!$B$2:$F$1020,2,FALSE)</f>
        <v>2210</v>
      </c>
      <c r="H1986" s="128" t="s">
        <v>3847</v>
      </c>
      <c r="I1986" s="128"/>
      <c r="J1986" s="128" t="s">
        <v>3476</v>
      </c>
      <c r="K1986" s="128" t="s">
        <v>860</v>
      </c>
      <c r="L1986" s="128" t="s">
        <v>1044</v>
      </c>
      <c r="M1986" s="126" t="s">
        <v>291</v>
      </c>
      <c r="N1986" s="109"/>
      <c r="O1986" s="31" t="s">
        <v>3855</v>
      </c>
      <c r="P1986" s="20"/>
      <c r="Q1986" s="20"/>
    </row>
    <row r="1987" spans="1:17" ht="24.9" customHeight="1">
      <c r="A1987" s="20">
        <v>392</v>
      </c>
      <c r="B1987" s="20" t="s">
        <v>4346</v>
      </c>
      <c r="C1987" s="20"/>
      <c r="D1987" s="20" t="s">
        <v>48</v>
      </c>
      <c r="E1987" s="19" t="str">
        <f>VLOOKUP(D1987,'لیست پرسنل'!$B$2:$E$1020,3,FALSE)</f>
        <v>فکورصنعت</v>
      </c>
      <c r="F1987" s="19" t="str">
        <f>VLOOKUP(D1987,'لیست پرسنل'!$B$2:$E$1020,4,FALSE)</f>
        <v>سرپرست آی تی</v>
      </c>
      <c r="G1987" s="127">
        <f>VLOOKUP(D1987,'لیست پرسنل'!$B$2:$F$1020,2,FALSE)</f>
        <v>2210</v>
      </c>
      <c r="H1987" s="128" t="s">
        <v>3847</v>
      </c>
      <c r="I1987" s="128"/>
      <c r="J1987" s="128" t="s">
        <v>3476</v>
      </c>
      <c r="K1987" s="128" t="s">
        <v>8112</v>
      </c>
      <c r="L1987" s="128"/>
      <c r="M1987" s="126" t="s">
        <v>291</v>
      </c>
      <c r="N1987" s="111"/>
      <c r="O1987" s="20" t="s">
        <v>5728</v>
      </c>
      <c r="P1987" s="28"/>
      <c r="Q1987" s="28"/>
    </row>
    <row r="1988" spans="1:17" ht="24.9" customHeight="1">
      <c r="A1988" s="20">
        <v>392</v>
      </c>
      <c r="B1988" s="20" t="s">
        <v>4346</v>
      </c>
      <c r="C1988" s="20"/>
      <c r="D1988" s="20" t="s">
        <v>48</v>
      </c>
      <c r="E1988" s="19" t="str">
        <f>VLOOKUP(D1988,'لیست پرسنل'!$B$2:$E$1020,3,FALSE)</f>
        <v>فکورصنعت</v>
      </c>
      <c r="F1988" s="19" t="str">
        <f>VLOOKUP(D1988,'لیست پرسنل'!$B$2:$E$1020,4,FALSE)</f>
        <v>سرپرست آی تی</v>
      </c>
      <c r="G1988" s="127">
        <f>VLOOKUP(D1988,'لیست پرسنل'!$B$2:$F$1020,2,FALSE)</f>
        <v>2210</v>
      </c>
      <c r="H1988" s="128" t="s">
        <v>3847</v>
      </c>
      <c r="I1988" s="128"/>
      <c r="J1988" s="128" t="s">
        <v>3476</v>
      </c>
      <c r="K1988" s="128" t="s">
        <v>8112</v>
      </c>
      <c r="L1988" s="128"/>
      <c r="M1988" s="126" t="s">
        <v>291</v>
      </c>
      <c r="N1988" s="111"/>
      <c r="O1988" s="20" t="s">
        <v>5728</v>
      </c>
      <c r="P1988" s="28"/>
      <c r="Q1988" s="28"/>
    </row>
    <row r="1989" spans="1:17" ht="24.9" customHeight="1">
      <c r="A1989" s="20">
        <v>392</v>
      </c>
      <c r="B1989" s="20" t="s">
        <v>4346</v>
      </c>
      <c r="C1989" s="20"/>
      <c r="D1989" s="20" t="s">
        <v>48</v>
      </c>
      <c r="E1989" s="19" t="str">
        <f>VLOOKUP(D1989,'لیست پرسنل'!$B$2:$E$1020,3,FALSE)</f>
        <v>فکورصنعت</v>
      </c>
      <c r="F1989" s="19" t="str">
        <f>VLOOKUP(D1989,'لیست پرسنل'!$B$2:$E$1020,4,FALSE)</f>
        <v>سرپرست آی تی</v>
      </c>
      <c r="G1989" s="127">
        <f>VLOOKUP(D1989,'لیست پرسنل'!$B$2:$F$1020,2,FALSE)</f>
        <v>2210</v>
      </c>
      <c r="H1989" s="128" t="s">
        <v>3847</v>
      </c>
      <c r="I1989" s="128"/>
      <c r="J1989" s="128" t="s">
        <v>3476</v>
      </c>
      <c r="K1989" s="128" t="s">
        <v>8112</v>
      </c>
      <c r="L1989" s="128"/>
      <c r="M1989" s="126" t="s">
        <v>291</v>
      </c>
      <c r="N1989" s="111"/>
      <c r="O1989" s="20" t="s">
        <v>5728</v>
      </c>
      <c r="P1989" s="28"/>
      <c r="Q1989" s="28"/>
    </row>
    <row r="1990" spans="1:17" ht="24.9" customHeight="1">
      <c r="A1990" s="20">
        <v>392</v>
      </c>
      <c r="B1990" s="20" t="s">
        <v>4346</v>
      </c>
      <c r="C1990" s="20"/>
      <c r="D1990" s="20" t="s">
        <v>48</v>
      </c>
      <c r="E1990" s="19" t="str">
        <f>VLOOKUP(D1990,'لیست پرسنل'!$B$2:$E$1020,3,FALSE)</f>
        <v>فکورصنعت</v>
      </c>
      <c r="F1990" s="19" t="str">
        <f>VLOOKUP(D1990,'لیست پرسنل'!$B$2:$E$1020,4,FALSE)</f>
        <v>سرپرست آی تی</v>
      </c>
      <c r="G1990" s="127">
        <f>VLOOKUP(D1990,'لیست پرسنل'!$B$2:$F$1020,2,FALSE)</f>
        <v>2210</v>
      </c>
      <c r="H1990" s="128" t="s">
        <v>3847</v>
      </c>
      <c r="I1990" s="128"/>
      <c r="J1990" s="128" t="s">
        <v>3476</v>
      </c>
      <c r="K1990" s="128" t="s">
        <v>8112</v>
      </c>
      <c r="L1990" s="128"/>
      <c r="M1990" s="126" t="s">
        <v>291</v>
      </c>
      <c r="N1990" s="111"/>
      <c r="O1990" s="20" t="s">
        <v>5728</v>
      </c>
      <c r="P1990" s="28"/>
      <c r="Q1990" s="28"/>
    </row>
    <row r="1991" spans="1:17" ht="24.9" customHeight="1">
      <c r="A1991" s="20">
        <v>392</v>
      </c>
      <c r="B1991" s="20" t="s">
        <v>4346</v>
      </c>
      <c r="C1991" s="20"/>
      <c r="D1991" s="20" t="s">
        <v>48</v>
      </c>
      <c r="E1991" s="19" t="str">
        <f>VLOOKUP(D1991,'لیست پرسنل'!$B$2:$E$1020,3,FALSE)</f>
        <v>فکورصنعت</v>
      </c>
      <c r="F1991" s="19" t="str">
        <f>VLOOKUP(D1991,'لیست پرسنل'!$B$2:$E$1020,4,FALSE)</f>
        <v>سرپرست آی تی</v>
      </c>
      <c r="G1991" s="127">
        <f>VLOOKUP(D1991,'لیست پرسنل'!$B$2:$F$1020,2,FALSE)</f>
        <v>2210</v>
      </c>
      <c r="H1991" s="128" t="s">
        <v>3847</v>
      </c>
      <c r="I1991" s="128"/>
      <c r="J1991" s="128" t="s">
        <v>3476</v>
      </c>
      <c r="K1991" s="128" t="s">
        <v>8112</v>
      </c>
      <c r="L1991" s="128"/>
      <c r="M1991" s="126" t="s">
        <v>291</v>
      </c>
      <c r="N1991" s="111"/>
      <c r="O1991" s="20" t="s">
        <v>5728</v>
      </c>
      <c r="P1991" s="28"/>
      <c r="Q1991" s="28"/>
    </row>
    <row r="1992" spans="1:17" ht="24.9" customHeight="1">
      <c r="A1992" s="20">
        <v>392</v>
      </c>
      <c r="B1992" s="20" t="s">
        <v>4346</v>
      </c>
      <c r="C1992" s="20"/>
      <c r="D1992" s="20" t="s">
        <v>48</v>
      </c>
      <c r="E1992" s="19" t="str">
        <f>VLOOKUP(D1992,'لیست پرسنل'!$B$2:$E$1020,3,FALSE)</f>
        <v>فکورصنعت</v>
      </c>
      <c r="F1992" s="19" t="str">
        <f>VLOOKUP(D1992,'لیست پرسنل'!$B$2:$E$1020,4,FALSE)</f>
        <v>سرپرست آی تی</v>
      </c>
      <c r="G1992" s="127">
        <f>VLOOKUP(D1992,'لیست پرسنل'!$B$2:$F$1020,2,FALSE)</f>
        <v>2210</v>
      </c>
      <c r="H1992" s="127" t="s">
        <v>3847</v>
      </c>
      <c r="I1992" s="127"/>
      <c r="J1992" s="128" t="s">
        <v>3476</v>
      </c>
      <c r="K1992" s="127" t="s">
        <v>8036</v>
      </c>
      <c r="L1992" s="127" t="s">
        <v>8003</v>
      </c>
      <c r="M1992" s="127" t="s">
        <v>4371</v>
      </c>
      <c r="N1992" s="109"/>
      <c r="O1992" s="20"/>
      <c r="P1992" s="20"/>
      <c r="Q1992" s="20"/>
    </row>
    <row r="1993" spans="1:17" ht="24.9" customHeight="1">
      <c r="A1993" s="20">
        <v>392</v>
      </c>
      <c r="B1993" s="20" t="s">
        <v>4346</v>
      </c>
      <c r="C1993" s="20"/>
      <c r="D1993" s="20" t="s">
        <v>48</v>
      </c>
      <c r="E1993" s="19" t="str">
        <f>VLOOKUP(D1993,'لیست پرسنل'!$B$2:$E$1020,3,FALSE)</f>
        <v>فکورصنعت</v>
      </c>
      <c r="F1993" s="19" t="str">
        <f>VLOOKUP(D1993,'لیست پرسنل'!$B$2:$E$1020,4,FALSE)</f>
        <v>سرپرست آی تی</v>
      </c>
      <c r="G1993" s="127">
        <f>VLOOKUP(D1993,'لیست پرسنل'!$B$2:$F$1020,2,FALSE)</f>
        <v>2210</v>
      </c>
      <c r="H1993" s="127" t="s">
        <v>3847</v>
      </c>
      <c r="I1993" s="127"/>
      <c r="J1993" s="128" t="s">
        <v>3476</v>
      </c>
      <c r="K1993" s="127" t="s">
        <v>8036</v>
      </c>
      <c r="L1993" s="127" t="s">
        <v>8004</v>
      </c>
      <c r="M1993" s="127" t="s">
        <v>4371</v>
      </c>
      <c r="N1993" s="109"/>
      <c r="O1993" s="20"/>
      <c r="P1993" s="20"/>
      <c r="Q1993" s="20"/>
    </row>
    <row r="1994" spans="1:17" ht="24.9" customHeight="1">
      <c r="A1994" s="20">
        <v>392</v>
      </c>
      <c r="B1994" s="20" t="s">
        <v>4346</v>
      </c>
      <c r="C1994" s="20"/>
      <c r="D1994" s="20" t="s">
        <v>48</v>
      </c>
      <c r="E1994" s="19" t="str">
        <f>VLOOKUP(D1994,'لیست پرسنل'!$B$2:$E$1020,3,FALSE)</f>
        <v>فکورصنعت</v>
      </c>
      <c r="F1994" s="19" t="str">
        <f>VLOOKUP(D1994,'لیست پرسنل'!$B$2:$E$1020,4,FALSE)</f>
        <v>سرپرست آی تی</v>
      </c>
      <c r="G1994" s="127">
        <f>VLOOKUP(D1994,'لیست پرسنل'!$B$2:$F$1020,2,FALSE)</f>
        <v>2210</v>
      </c>
      <c r="H1994" s="127" t="s">
        <v>3847</v>
      </c>
      <c r="I1994" s="127"/>
      <c r="J1994" s="128" t="s">
        <v>3476</v>
      </c>
      <c r="K1994" s="127" t="s">
        <v>8036</v>
      </c>
      <c r="L1994" s="127" t="s">
        <v>8005</v>
      </c>
      <c r="M1994" s="127" t="s">
        <v>4371</v>
      </c>
      <c r="N1994" s="109"/>
      <c r="O1994" s="20"/>
      <c r="P1994" s="20"/>
      <c r="Q1994" s="20"/>
    </row>
    <row r="1995" spans="1:17" ht="24.9" customHeight="1">
      <c r="A1995" s="20">
        <v>392</v>
      </c>
      <c r="B1995" s="20" t="s">
        <v>4346</v>
      </c>
      <c r="C1995" s="20"/>
      <c r="D1995" s="20" t="s">
        <v>48</v>
      </c>
      <c r="E1995" s="19" t="str">
        <f>VLOOKUP(D1995,'لیست پرسنل'!$B$2:$E$1020,3,FALSE)</f>
        <v>فکورصنعت</v>
      </c>
      <c r="F1995" s="19" t="str">
        <f>VLOOKUP(D1995,'لیست پرسنل'!$B$2:$E$1020,4,FALSE)</f>
        <v>سرپرست آی تی</v>
      </c>
      <c r="G1995" s="127">
        <f>VLOOKUP(D1995,'لیست پرسنل'!$B$2:$F$1020,2,FALSE)</f>
        <v>2210</v>
      </c>
      <c r="H1995" s="127" t="s">
        <v>3847</v>
      </c>
      <c r="I1995" s="127"/>
      <c r="J1995" s="128" t="s">
        <v>3476</v>
      </c>
      <c r="K1995" s="127" t="s">
        <v>8036</v>
      </c>
      <c r="L1995" s="127" t="s">
        <v>8006</v>
      </c>
      <c r="M1995" s="127" t="s">
        <v>4371</v>
      </c>
      <c r="N1995" s="109"/>
      <c r="O1995" s="20"/>
      <c r="P1995" s="20"/>
      <c r="Q1995" s="20"/>
    </row>
    <row r="1996" spans="1:17" ht="24.9" customHeight="1">
      <c r="A1996" s="20">
        <v>392</v>
      </c>
      <c r="B1996" s="20" t="s">
        <v>4346</v>
      </c>
      <c r="C1996" s="20"/>
      <c r="D1996" s="20" t="s">
        <v>48</v>
      </c>
      <c r="E1996" s="19" t="str">
        <f>VLOOKUP(D1996,'لیست پرسنل'!$B$2:$E$1020,3,FALSE)</f>
        <v>فکورصنعت</v>
      </c>
      <c r="F1996" s="19" t="str">
        <f>VLOOKUP(D1996,'لیست پرسنل'!$B$2:$E$1020,4,FALSE)</f>
        <v>سرپرست آی تی</v>
      </c>
      <c r="G1996" s="127">
        <f>VLOOKUP(D1996,'لیست پرسنل'!$B$2:$F$1020,2,FALSE)</f>
        <v>2210</v>
      </c>
      <c r="H1996" s="127" t="s">
        <v>3847</v>
      </c>
      <c r="I1996" s="127"/>
      <c r="J1996" s="128" t="s">
        <v>3476</v>
      </c>
      <c r="K1996" s="127" t="s">
        <v>8036</v>
      </c>
      <c r="L1996" s="127" t="s">
        <v>8007</v>
      </c>
      <c r="M1996" s="127" t="s">
        <v>4371</v>
      </c>
      <c r="N1996" s="109"/>
      <c r="O1996" s="20"/>
      <c r="P1996" s="20"/>
      <c r="Q1996" s="20"/>
    </row>
    <row r="1997" spans="1:17" ht="24.9" customHeight="1">
      <c r="A1997" s="20">
        <v>392</v>
      </c>
      <c r="B1997" s="20" t="s">
        <v>4346</v>
      </c>
      <c r="C1997" s="20"/>
      <c r="D1997" s="20" t="s">
        <v>48</v>
      </c>
      <c r="E1997" s="19" t="str">
        <f>VLOOKUP(D1997,'لیست پرسنل'!$B$2:$E$1020,3,FALSE)</f>
        <v>فکورصنعت</v>
      </c>
      <c r="F1997" s="19" t="str">
        <f>VLOOKUP(D1997,'لیست پرسنل'!$B$2:$E$1020,4,FALSE)</f>
        <v>سرپرست آی تی</v>
      </c>
      <c r="G1997" s="127">
        <f>VLOOKUP(D1997,'لیست پرسنل'!$B$2:$F$1020,2,FALSE)</f>
        <v>2210</v>
      </c>
      <c r="H1997" s="127" t="s">
        <v>3847</v>
      </c>
      <c r="I1997" s="127"/>
      <c r="J1997" s="128" t="s">
        <v>3476</v>
      </c>
      <c r="K1997" s="127" t="s">
        <v>8036</v>
      </c>
      <c r="L1997" s="127" t="s">
        <v>8008</v>
      </c>
      <c r="M1997" s="127" t="s">
        <v>4371</v>
      </c>
      <c r="N1997" s="109"/>
      <c r="O1997" s="20"/>
      <c r="P1997" s="20"/>
      <c r="Q1997" s="20"/>
    </row>
    <row r="1998" spans="1:17" ht="24.9" customHeight="1">
      <c r="A1998" s="20">
        <v>392</v>
      </c>
      <c r="B1998" s="20" t="s">
        <v>4346</v>
      </c>
      <c r="C1998" s="20"/>
      <c r="D1998" s="20" t="s">
        <v>48</v>
      </c>
      <c r="E1998" s="19" t="str">
        <f>VLOOKUP(D1998,'لیست پرسنل'!$B$2:$E$1020,3,FALSE)</f>
        <v>فکورصنعت</v>
      </c>
      <c r="F1998" s="19" t="str">
        <f>VLOOKUP(D1998,'لیست پرسنل'!$B$2:$E$1020,4,FALSE)</f>
        <v>سرپرست آی تی</v>
      </c>
      <c r="G1998" s="127">
        <f>VLOOKUP(D1998,'لیست پرسنل'!$B$2:$F$1020,2,FALSE)</f>
        <v>2210</v>
      </c>
      <c r="H1998" s="127" t="s">
        <v>3847</v>
      </c>
      <c r="I1998" s="127"/>
      <c r="J1998" s="128" t="s">
        <v>3476</v>
      </c>
      <c r="K1998" s="127" t="s">
        <v>8036</v>
      </c>
      <c r="L1998" s="127" t="s">
        <v>8009</v>
      </c>
      <c r="M1998" s="127" t="s">
        <v>4371</v>
      </c>
      <c r="N1998" s="109"/>
      <c r="O1998" s="20"/>
      <c r="P1998" s="20"/>
      <c r="Q1998" s="20"/>
    </row>
    <row r="1999" spans="1:17" ht="24.9" customHeight="1">
      <c r="A1999" s="20">
        <v>392</v>
      </c>
      <c r="B1999" s="20" t="s">
        <v>4346</v>
      </c>
      <c r="C1999" s="20"/>
      <c r="D1999" s="20" t="s">
        <v>48</v>
      </c>
      <c r="E1999" s="19" t="str">
        <f>VLOOKUP(D1999,'لیست پرسنل'!$B$2:$E$1020,3,FALSE)</f>
        <v>فکورصنعت</v>
      </c>
      <c r="F1999" s="19" t="str">
        <f>VLOOKUP(D1999,'لیست پرسنل'!$B$2:$E$1020,4,FALSE)</f>
        <v>سرپرست آی تی</v>
      </c>
      <c r="G1999" s="127">
        <f>VLOOKUP(D1999,'لیست پرسنل'!$B$2:$F$1020,2,FALSE)</f>
        <v>2210</v>
      </c>
      <c r="H1999" s="127" t="s">
        <v>3847</v>
      </c>
      <c r="I1999" s="127"/>
      <c r="J1999" s="128" t="s">
        <v>3476</v>
      </c>
      <c r="K1999" s="127" t="s">
        <v>8036</v>
      </c>
      <c r="L1999" s="127" t="s">
        <v>8010</v>
      </c>
      <c r="M1999" s="127" t="s">
        <v>4371</v>
      </c>
      <c r="N1999" s="109"/>
      <c r="O1999" s="20"/>
      <c r="P1999" s="20"/>
      <c r="Q1999" s="20"/>
    </row>
    <row r="2000" spans="1:17" ht="24.9" customHeight="1">
      <c r="A2000" s="20">
        <v>392</v>
      </c>
      <c r="B2000" s="20" t="s">
        <v>4346</v>
      </c>
      <c r="C2000" s="20"/>
      <c r="D2000" s="20" t="s">
        <v>48</v>
      </c>
      <c r="E2000" s="19" t="str">
        <f>VLOOKUP(D2000,'لیست پرسنل'!$B$2:$E$1020,3,FALSE)</f>
        <v>فکورصنعت</v>
      </c>
      <c r="F2000" s="19" t="str">
        <f>VLOOKUP(D2000,'لیست پرسنل'!$B$2:$E$1020,4,FALSE)</f>
        <v>سرپرست آی تی</v>
      </c>
      <c r="G2000" s="127">
        <f>VLOOKUP(D2000,'لیست پرسنل'!$B$2:$F$1020,2,FALSE)</f>
        <v>2210</v>
      </c>
      <c r="H2000" s="128" t="s">
        <v>3847</v>
      </c>
      <c r="I2000" s="128"/>
      <c r="J2000" s="126" t="s">
        <v>571</v>
      </c>
      <c r="K2000" s="126" t="s">
        <v>615</v>
      </c>
      <c r="L2000" s="151"/>
      <c r="M2000" s="128">
        <v>603484</v>
      </c>
      <c r="N2000" s="108"/>
      <c r="O2000" s="20"/>
      <c r="P2000" s="20"/>
      <c r="Q2000" s="20"/>
    </row>
    <row r="2001" spans="1:17" ht="24.9" customHeight="1">
      <c r="A2001" s="20">
        <v>392</v>
      </c>
      <c r="B2001" s="20" t="s">
        <v>4346</v>
      </c>
      <c r="C2001" s="19"/>
      <c r="D2001" s="20" t="s">
        <v>48</v>
      </c>
      <c r="E2001" s="19" t="str">
        <f>VLOOKUP(D2001,'لیست پرسنل'!$B$2:$E$1020,3,FALSE)</f>
        <v>فکورصنعت</v>
      </c>
      <c r="F2001" s="19" t="str">
        <f>VLOOKUP(D2001,'لیست پرسنل'!$B$2:$E$1020,4,FALSE)</f>
        <v>سرپرست آی تی</v>
      </c>
      <c r="G2001" s="127">
        <f>VLOOKUP(D2001,'لیست پرسنل'!$B$2:$F$1020,2,FALSE)</f>
        <v>2210</v>
      </c>
      <c r="H2001" s="128" t="s">
        <v>3847</v>
      </c>
      <c r="I2001" s="127"/>
      <c r="J2001" s="126" t="s">
        <v>571</v>
      </c>
      <c r="K2001" s="127"/>
      <c r="L2001" s="151"/>
      <c r="M2001" s="128">
        <v>604175</v>
      </c>
      <c r="N2001" s="108"/>
      <c r="O2001" s="20"/>
      <c r="P2001" s="20"/>
      <c r="Q2001" s="20"/>
    </row>
    <row r="2002" spans="1:17" ht="24.9" customHeight="1">
      <c r="A2002" s="20">
        <v>392</v>
      </c>
      <c r="B2002" s="20" t="s">
        <v>4346</v>
      </c>
      <c r="C2002" s="19"/>
      <c r="D2002" s="46" t="s">
        <v>48</v>
      </c>
      <c r="E2002" s="19" t="str">
        <f>VLOOKUP(D2002,'لیست پرسنل'!$B$2:$E$1020,3,FALSE)</f>
        <v>فکورصنعت</v>
      </c>
      <c r="F2002" s="19" t="str">
        <f>VLOOKUP(D2002,'لیست پرسنل'!$B$2:$E$1020,4,FALSE)</f>
        <v>سرپرست آی تی</v>
      </c>
      <c r="G2002" s="127">
        <f>VLOOKUP(D2002,'لیست پرسنل'!$B$2:$F$1020,2,FALSE)</f>
        <v>2210</v>
      </c>
      <c r="H2002" s="128" t="s">
        <v>3847</v>
      </c>
      <c r="I2002" s="126"/>
      <c r="J2002" s="126" t="s">
        <v>571</v>
      </c>
      <c r="K2002" s="127" t="s">
        <v>2054</v>
      </c>
      <c r="L2002" s="151"/>
      <c r="M2002" s="127">
        <v>604751</v>
      </c>
      <c r="N2002" s="109"/>
      <c r="O2002" s="19"/>
      <c r="P2002" s="20"/>
      <c r="Q2002" s="20"/>
    </row>
    <row r="2003" spans="1:17" ht="24.9" customHeight="1">
      <c r="A2003" s="20">
        <v>392</v>
      </c>
      <c r="B2003" s="20" t="s">
        <v>4346</v>
      </c>
      <c r="C2003" s="20"/>
      <c r="D2003" s="20" t="s">
        <v>48</v>
      </c>
      <c r="E2003" s="19" t="str">
        <f>VLOOKUP(D2003,'لیست پرسنل'!$B$2:$E$1020,3,FALSE)</f>
        <v>فکورصنعت</v>
      </c>
      <c r="F2003" s="19" t="str">
        <f>VLOOKUP(D2003,'لیست پرسنل'!$B$2:$E$1020,4,FALSE)</f>
        <v>سرپرست آی تی</v>
      </c>
      <c r="G2003" s="127">
        <f>VLOOKUP(D2003,'لیست پرسنل'!$B$2:$F$1020,2,FALSE)</f>
        <v>2210</v>
      </c>
      <c r="H2003" s="128" t="s">
        <v>3847</v>
      </c>
      <c r="I2003" s="128"/>
      <c r="J2003" s="126" t="s">
        <v>571</v>
      </c>
      <c r="K2003" s="127"/>
      <c r="L2003" s="151"/>
      <c r="M2003" s="127">
        <v>604858</v>
      </c>
      <c r="N2003" s="109"/>
      <c r="O2003" s="19"/>
      <c r="P2003" s="20"/>
      <c r="Q2003" s="20"/>
    </row>
    <row r="2004" spans="1:17" ht="24.9" customHeight="1">
      <c r="A2004" s="20">
        <v>392</v>
      </c>
      <c r="B2004" s="20" t="s">
        <v>4346</v>
      </c>
      <c r="C2004" s="19"/>
      <c r="D2004" s="46" t="s">
        <v>48</v>
      </c>
      <c r="E2004" s="19" t="str">
        <f>VLOOKUP(D2004,'لیست پرسنل'!$B$2:$E$1020,3,FALSE)</f>
        <v>فکورصنعت</v>
      </c>
      <c r="F2004" s="19" t="str">
        <f>VLOOKUP(D2004,'لیست پرسنل'!$B$2:$E$1020,4,FALSE)</f>
        <v>سرپرست آی تی</v>
      </c>
      <c r="G2004" s="127">
        <f>VLOOKUP(D2004,'لیست پرسنل'!$B$2:$F$1020,2,FALSE)</f>
        <v>2210</v>
      </c>
      <c r="H2004" s="128" t="s">
        <v>3847</v>
      </c>
      <c r="I2004" s="126"/>
      <c r="J2004" s="126" t="s">
        <v>571</v>
      </c>
      <c r="K2004" s="127"/>
      <c r="L2004" s="127"/>
      <c r="M2004" s="127">
        <v>607355</v>
      </c>
      <c r="N2004" s="109"/>
      <c r="O2004" s="19"/>
      <c r="P2004" s="20"/>
      <c r="Q2004" s="20"/>
    </row>
    <row r="2005" spans="1:17" ht="24.9" customHeight="1">
      <c r="A2005" s="20">
        <v>392</v>
      </c>
      <c r="B2005" s="20" t="s">
        <v>4346</v>
      </c>
      <c r="C2005" s="20"/>
      <c r="D2005" s="20" t="s">
        <v>48</v>
      </c>
      <c r="E2005" s="19" t="str">
        <f>VLOOKUP(D2005,'لیست پرسنل'!$B$2:$E$1020,3,FALSE)</f>
        <v>فکورصنعت</v>
      </c>
      <c r="F2005" s="19" t="str">
        <f>VLOOKUP(D2005,'لیست پرسنل'!$B$2:$E$1020,4,FALSE)</f>
        <v>سرپرست آی تی</v>
      </c>
      <c r="G2005" s="127">
        <f>VLOOKUP(D2005,'لیست پرسنل'!$B$2:$F$1020,2,FALSE)</f>
        <v>2210</v>
      </c>
      <c r="H2005" s="128" t="s">
        <v>3847</v>
      </c>
      <c r="I2005" s="128"/>
      <c r="J2005" s="126" t="s">
        <v>571</v>
      </c>
      <c r="K2005" s="141"/>
      <c r="L2005" s="151"/>
      <c r="M2005" s="128">
        <v>609501</v>
      </c>
      <c r="N2005" s="108"/>
      <c r="O2005" s="20"/>
      <c r="P2005" s="20"/>
      <c r="Q2005" s="20"/>
    </row>
    <row r="2006" spans="1:17" ht="24.9" customHeight="1">
      <c r="A2006" s="20">
        <v>392</v>
      </c>
      <c r="B2006" s="20" t="s">
        <v>4346</v>
      </c>
      <c r="C2006" s="20"/>
      <c r="D2006" s="20" t="s">
        <v>48</v>
      </c>
      <c r="E2006" s="19" t="str">
        <f>VLOOKUP(D2006,'لیست پرسنل'!$B$2:$E$1020,3,FALSE)</f>
        <v>فکورصنعت</v>
      </c>
      <c r="F2006" s="19" t="str">
        <f>VLOOKUP(D2006,'لیست پرسنل'!$B$2:$E$1020,4,FALSE)</f>
        <v>سرپرست آی تی</v>
      </c>
      <c r="G2006" s="127">
        <f>VLOOKUP(D2006,'لیست پرسنل'!$B$2:$F$1020,2,FALSE)</f>
        <v>2210</v>
      </c>
      <c r="H2006" s="128" t="s">
        <v>3847</v>
      </c>
      <c r="I2006" s="128"/>
      <c r="J2006" s="128" t="s">
        <v>571</v>
      </c>
      <c r="K2006" s="128"/>
      <c r="L2006" s="128"/>
      <c r="M2006" s="127">
        <v>609503</v>
      </c>
      <c r="N2006" s="109"/>
      <c r="O2006" s="19"/>
      <c r="P2006" s="20"/>
      <c r="Q2006" s="20"/>
    </row>
    <row r="2007" spans="1:17" ht="24.9" customHeight="1">
      <c r="A2007" s="20">
        <v>392</v>
      </c>
      <c r="B2007" s="20" t="s">
        <v>4346</v>
      </c>
      <c r="C2007" s="19"/>
      <c r="D2007" s="20" t="s">
        <v>48</v>
      </c>
      <c r="E2007" s="19" t="str">
        <f>VLOOKUP(D2007,'لیست پرسنل'!$B$2:$E$1020,3,FALSE)</f>
        <v>فکورصنعت</v>
      </c>
      <c r="F2007" s="19" t="str">
        <f>VLOOKUP(D2007,'لیست پرسنل'!$B$2:$E$1020,4,FALSE)</f>
        <v>سرپرست آی تی</v>
      </c>
      <c r="G2007" s="127">
        <f>VLOOKUP(D2007,'لیست پرسنل'!$B$2:$F$1020,2,FALSE)</f>
        <v>2210</v>
      </c>
      <c r="H2007" s="128" t="s">
        <v>3847</v>
      </c>
      <c r="I2007" s="127"/>
      <c r="J2007" s="126" t="s">
        <v>571</v>
      </c>
      <c r="K2007" s="135"/>
      <c r="L2007" s="154"/>
      <c r="M2007" s="127">
        <v>618816</v>
      </c>
      <c r="N2007" s="109"/>
      <c r="O2007" s="69"/>
      <c r="P2007" s="20"/>
      <c r="Q2007" s="20"/>
    </row>
    <row r="2008" spans="1:17" ht="24.9" customHeight="1">
      <c r="A2008" s="20">
        <v>392</v>
      </c>
      <c r="B2008" s="20" t="s">
        <v>4346</v>
      </c>
      <c r="C2008" s="19"/>
      <c r="D2008" s="19" t="s">
        <v>48</v>
      </c>
      <c r="E2008" s="19" t="str">
        <f>VLOOKUP(D2008,'لیست پرسنل'!$B$2:$E$1020,3,FALSE)</f>
        <v>فکورصنعت</v>
      </c>
      <c r="F2008" s="19" t="str">
        <f>VLOOKUP(D2008,'لیست پرسنل'!$B$2:$E$1020,4,FALSE)</f>
        <v>سرپرست آی تی</v>
      </c>
      <c r="G2008" s="127">
        <f>VLOOKUP(D2008,'لیست پرسنل'!$B$2:$F$1020,2,FALSE)</f>
        <v>2210</v>
      </c>
      <c r="H2008" s="151" t="s">
        <v>3847</v>
      </c>
      <c r="I2008" s="127"/>
      <c r="J2008" s="127" t="s">
        <v>571</v>
      </c>
      <c r="K2008" s="128"/>
      <c r="L2008" s="154"/>
      <c r="M2008" s="127">
        <v>625457</v>
      </c>
      <c r="N2008" s="109"/>
      <c r="O2008" s="20"/>
      <c r="P2008" s="20"/>
      <c r="Q2008" s="20"/>
    </row>
    <row r="2009" spans="1:17" ht="24.9" customHeight="1">
      <c r="A2009" s="20">
        <v>392</v>
      </c>
      <c r="B2009" s="20" t="s">
        <v>4346</v>
      </c>
      <c r="C2009" s="19"/>
      <c r="D2009" s="20" t="s">
        <v>48</v>
      </c>
      <c r="E2009" s="19" t="str">
        <f>VLOOKUP(D2009,'لیست پرسنل'!$B$2:$E$1020,3,FALSE)</f>
        <v>فکورصنعت</v>
      </c>
      <c r="F2009" s="19" t="str">
        <f>VLOOKUP(D2009,'لیست پرسنل'!$B$2:$E$1020,4,FALSE)</f>
        <v>سرپرست آی تی</v>
      </c>
      <c r="G2009" s="127">
        <f>VLOOKUP(D2009,'لیست پرسنل'!$B$2:$F$1020,2,FALSE)</f>
        <v>2210</v>
      </c>
      <c r="H2009" s="128" t="s">
        <v>3847</v>
      </c>
      <c r="I2009" s="127"/>
      <c r="J2009" s="126" t="s">
        <v>571</v>
      </c>
      <c r="K2009" s="127" t="s">
        <v>5059</v>
      </c>
      <c r="L2009" s="151"/>
      <c r="M2009" s="127">
        <v>632148</v>
      </c>
      <c r="N2009" s="90"/>
      <c r="O2009" s="20" t="s">
        <v>5967</v>
      </c>
      <c r="P2009" s="20"/>
      <c r="Q2009" s="20"/>
    </row>
    <row r="2010" spans="1:17" ht="24.9" customHeight="1">
      <c r="A2010" s="20">
        <v>392</v>
      </c>
      <c r="B2010" s="20" t="s">
        <v>4346</v>
      </c>
      <c r="C2010" s="20"/>
      <c r="D2010" s="20" t="s">
        <v>48</v>
      </c>
      <c r="E2010" s="19" t="str">
        <f>VLOOKUP(D2010,'لیست پرسنل'!$B$2:$E$1020,3,FALSE)</f>
        <v>فکورصنعت</v>
      </c>
      <c r="F2010" s="19" t="str">
        <f>VLOOKUP(D2010,'لیست پرسنل'!$B$2:$E$1020,4,FALSE)</f>
        <v>سرپرست آی تی</v>
      </c>
      <c r="G2010" s="127">
        <f>VLOOKUP(D2010,'لیست پرسنل'!$B$2:$F$1020,2,FALSE)</f>
        <v>2210</v>
      </c>
      <c r="H2010" s="128" t="s">
        <v>3847</v>
      </c>
      <c r="I2010" s="127"/>
      <c r="J2010" s="126" t="s">
        <v>571</v>
      </c>
      <c r="K2010" s="127" t="s">
        <v>5266</v>
      </c>
      <c r="L2010" s="151"/>
      <c r="M2010" s="127">
        <v>632149</v>
      </c>
      <c r="N2010" s="109"/>
      <c r="O2010" s="20" t="s">
        <v>5970</v>
      </c>
      <c r="P2010" s="20"/>
      <c r="Q2010" s="20"/>
    </row>
    <row r="2011" spans="1:17" ht="24.9" customHeight="1">
      <c r="A2011" s="20">
        <v>392</v>
      </c>
      <c r="B2011" s="20" t="s">
        <v>4346</v>
      </c>
      <c r="C2011" s="20"/>
      <c r="D2011" s="20" t="s">
        <v>48</v>
      </c>
      <c r="E2011" s="19" t="str">
        <f>VLOOKUP(D2011,'لیست پرسنل'!$B$2:$E$1020,3,FALSE)</f>
        <v>فکورصنعت</v>
      </c>
      <c r="F2011" s="19" t="str">
        <f>VLOOKUP(D2011,'لیست پرسنل'!$B$2:$E$1020,4,FALSE)</f>
        <v>سرپرست آی تی</v>
      </c>
      <c r="G2011" s="127">
        <f>VLOOKUP(D2011,'لیست پرسنل'!$B$2:$F$1020,2,FALSE)</f>
        <v>2210</v>
      </c>
      <c r="H2011" s="128" t="s">
        <v>3847</v>
      </c>
      <c r="I2011" s="128"/>
      <c r="J2011" s="128" t="s">
        <v>571</v>
      </c>
      <c r="K2011" s="128" t="s">
        <v>7617</v>
      </c>
      <c r="L2011" s="128"/>
      <c r="M2011" s="126">
        <v>636103</v>
      </c>
      <c r="N2011" s="109"/>
      <c r="O2011" s="20"/>
      <c r="P2011" s="20"/>
      <c r="Q2011" s="20"/>
    </row>
    <row r="2012" spans="1:17" ht="24.9" customHeight="1">
      <c r="A2012" s="20">
        <v>392</v>
      </c>
      <c r="B2012" s="20" t="s">
        <v>4346</v>
      </c>
      <c r="C2012" s="20"/>
      <c r="D2012" s="20" t="s">
        <v>48</v>
      </c>
      <c r="E2012" s="19" t="str">
        <f>VLOOKUP(D2012,'لیست پرسنل'!$B$2:$E$1020,3,FALSE)</f>
        <v>فکورصنعت</v>
      </c>
      <c r="F2012" s="19" t="str">
        <f>VLOOKUP(D2012,'لیست پرسنل'!$B$2:$E$1020,4,FALSE)</f>
        <v>سرپرست آی تی</v>
      </c>
      <c r="G2012" s="127">
        <f>VLOOKUP(D2012,'لیست پرسنل'!$B$2:$F$1020,2,FALSE)</f>
        <v>2210</v>
      </c>
      <c r="H2012" s="128" t="s">
        <v>3847</v>
      </c>
      <c r="I2012" s="128"/>
      <c r="J2012" s="128" t="s">
        <v>571</v>
      </c>
      <c r="K2012" s="128" t="s">
        <v>7617</v>
      </c>
      <c r="L2012" s="128"/>
      <c r="M2012" s="126">
        <v>636106</v>
      </c>
      <c r="N2012" s="109"/>
      <c r="O2012" s="20"/>
      <c r="P2012" s="20"/>
      <c r="Q2012" s="20"/>
    </row>
    <row r="2013" spans="1:17" ht="24.9" customHeight="1">
      <c r="A2013" s="20">
        <v>392</v>
      </c>
      <c r="B2013" s="20" t="s">
        <v>4346</v>
      </c>
      <c r="C2013" s="20"/>
      <c r="D2013" s="20" t="s">
        <v>48</v>
      </c>
      <c r="E2013" s="19" t="str">
        <f>VLOOKUP(D2013,'لیست پرسنل'!$B$2:$E$1020,3,FALSE)</f>
        <v>فکورصنعت</v>
      </c>
      <c r="F2013" s="19" t="str">
        <f>VLOOKUP(D2013,'لیست پرسنل'!$B$2:$E$1020,4,FALSE)</f>
        <v>سرپرست آی تی</v>
      </c>
      <c r="G2013" s="127">
        <f>VLOOKUP(D2013,'لیست پرسنل'!$B$2:$F$1020,2,FALSE)</f>
        <v>2210</v>
      </c>
      <c r="H2013" s="128" t="s">
        <v>3847</v>
      </c>
      <c r="I2013" s="128"/>
      <c r="J2013" s="128" t="s">
        <v>571</v>
      </c>
      <c r="K2013" s="128" t="s">
        <v>410</v>
      </c>
      <c r="L2013" s="128"/>
      <c r="M2013" s="126" t="s">
        <v>291</v>
      </c>
      <c r="N2013" s="109"/>
      <c r="O2013" s="20"/>
      <c r="P2013" s="20"/>
      <c r="Q2013" s="20"/>
    </row>
    <row r="2014" spans="1:17" ht="24.9" customHeight="1">
      <c r="A2014" s="20">
        <v>392</v>
      </c>
      <c r="B2014" s="20" t="s">
        <v>4346</v>
      </c>
      <c r="C2014" s="20"/>
      <c r="D2014" s="20" t="s">
        <v>48</v>
      </c>
      <c r="E2014" s="19" t="str">
        <f>VLOOKUP(D2014,'لیست پرسنل'!$B$2:$E$1020,3,FALSE)</f>
        <v>فکورصنعت</v>
      </c>
      <c r="F2014" s="19" t="str">
        <f>VLOOKUP(D2014,'لیست پرسنل'!$B$2:$E$1020,4,FALSE)</f>
        <v>سرپرست آی تی</v>
      </c>
      <c r="G2014" s="127">
        <f>VLOOKUP(D2014,'لیست پرسنل'!$B$2:$F$1020,2,FALSE)</f>
        <v>2210</v>
      </c>
      <c r="H2014" s="128" t="s">
        <v>3847</v>
      </c>
      <c r="I2014" s="128"/>
      <c r="J2014" s="128" t="s">
        <v>571</v>
      </c>
      <c r="K2014" s="128" t="s">
        <v>410</v>
      </c>
      <c r="L2014" s="128"/>
      <c r="M2014" s="126" t="s">
        <v>291</v>
      </c>
      <c r="N2014" s="109"/>
      <c r="O2014" s="20"/>
      <c r="P2014" s="20"/>
      <c r="Q2014" s="20"/>
    </row>
    <row r="2015" spans="1:17" ht="24.9" customHeight="1">
      <c r="A2015" s="20">
        <v>392</v>
      </c>
      <c r="B2015" s="20" t="s">
        <v>4346</v>
      </c>
      <c r="C2015" s="19"/>
      <c r="D2015" s="46" t="s">
        <v>48</v>
      </c>
      <c r="E2015" s="19" t="str">
        <f>VLOOKUP(D2015,'لیست پرسنل'!$B$2:$E$1020,3,FALSE)</f>
        <v>فکورصنعت</v>
      </c>
      <c r="F2015" s="19" t="str">
        <f>VLOOKUP(D2015,'لیست پرسنل'!$B$2:$E$1020,4,FALSE)</f>
        <v>سرپرست آی تی</v>
      </c>
      <c r="G2015" s="127">
        <f>VLOOKUP(D2015,'لیست پرسنل'!$B$2:$F$1020,2,FALSE)</f>
        <v>2210</v>
      </c>
      <c r="H2015" s="128" t="s">
        <v>3847</v>
      </c>
      <c r="I2015" s="126"/>
      <c r="J2015" s="128" t="s">
        <v>2686</v>
      </c>
      <c r="K2015" s="127" t="s">
        <v>89</v>
      </c>
      <c r="L2015" s="151" t="s">
        <v>220</v>
      </c>
      <c r="M2015" s="127">
        <v>602519</v>
      </c>
      <c r="N2015" s="108"/>
      <c r="O2015" s="20"/>
      <c r="P2015" s="20"/>
      <c r="Q2015" s="20"/>
    </row>
    <row r="2016" spans="1:17" ht="24.9" customHeight="1">
      <c r="A2016" s="20">
        <v>392</v>
      </c>
      <c r="B2016" s="20" t="s">
        <v>4346</v>
      </c>
      <c r="C2016" s="20"/>
      <c r="D2016" s="20" t="s">
        <v>48</v>
      </c>
      <c r="E2016" s="19" t="str">
        <f>VLOOKUP(D2016,'لیست پرسنل'!$B$2:$E$1020,3,FALSE)</f>
        <v>فکورصنعت</v>
      </c>
      <c r="F2016" s="19" t="str">
        <f>VLOOKUP(D2016,'لیست پرسنل'!$B$2:$E$1020,4,FALSE)</f>
        <v>سرپرست آی تی</v>
      </c>
      <c r="G2016" s="127">
        <f>VLOOKUP(D2016,'لیست پرسنل'!$B$2:$F$1020,2,FALSE)</f>
        <v>2210</v>
      </c>
      <c r="H2016" s="128" t="s">
        <v>3847</v>
      </c>
      <c r="I2016" s="128"/>
      <c r="J2016" s="128" t="s">
        <v>2686</v>
      </c>
      <c r="K2016" s="127" t="s">
        <v>320</v>
      </c>
      <c r="L2016" s="151" t="s">
        <v>1434</v>
      </c>
      <c r="M2016" s="127">
        <v>602638</v>
      </c>
      <c r="N2016" s="108"/>
      <c r="O2016" s="20"/>
      <c r="P2016" s="20"/>
      <c r="Q2016" s="20"/>
    </row>
    <row r="2017" spans="1:17" ht="24.9" customHeight="1">
      <c r="A2017" s="20">
        <v>392</v>
      </c>
      <c r="B2017" s="20" t="s">
        <v>4346</v>
      </c>
      <c r="C2017" s="20"/>
      <c r="D2017" s="20" t="s">
        <v>48</v>
      </c>
      <c r="E2017" s="19" t="str">
        <f>VLOOKUP(D2017,'لیست پرسنل'!$B$2:$E$1020,3,FALSE)</f>
        <v>فکورصنعت</v>
      </c>
      <c r="F2017" s="19" t="str">
        <f>VLOOKUP(D2017,'لیست پرسنل'!$B$2:$E$1020,4,FALSE)</f>
        <v>سرپرست آی تی</v>
      </c>
      <c r="G2017" s="127">
        <f>VLOOKUP(D2017,'لیست پرسنل'!$B$2:$F$1020,2,FALSE)</f>
        <v>2210</v>
      </c>
      <c r="H2017" s="128" t="s">
        <v>3847</v>
      </c>
      <c r="I2017" s="128"/>
      <c r="J2017" s="128" t="s">
        <v>2686</v>
      </c>
      <c r="K2017" s="127" t="s">
        <v>332</v>
      </c>
      <c r="L2017" s="151" t="s">
        <v>3887</v>
      </c>
      <c r="M2017" s="127">
        <v>603173</v>
      </c>
      <c r="N2017" s="108"/>
      <c r="O2017" s="20"/>
      <c r="P2017" s="19"/>
      <c r="Q2017" s="19"/>
    </row>
    <row r="2018" spans="1:17" ht="24.9" customHeight="1">
      <c r="A2018" s="20">
        <v>392</v>
      </c>
      <c r="B2018" s="20" t="s">
        <v>4346</v>
      </c>
      <c r="C2018" s="20"/>
      <c r="D2018" s="20" t="s">
        <v>48</v>
      </c>
      <c r="E2018" s="19" t="str">
        <f>VLOOKUP(D2018,'لیست پرسنل'!$B$2:$E$1020,3,FALSE)</f>
        <v>فکورصنعت</v>
      </c>
      <c r="F2018" s="19" t="str">
        <f>VLOOKUP(D2018,'لیست پرسنل'!$B$2:$E$1020,4,FALSE)</f>
        <v>سرپرست آی تی</v>
      </c>
      <c r="G2018" s="127">
        <f>VLOOKUP(D2018,'لیست پرسنل'!$B$2:$F$1020,2,FALSE)</f>
        <v>2210</v>
      </c>
      <c r="H2018" s="128" t="s">
        <v>3847</v>
      </c>
      <c r="I2018" s="128"/>
      <c r="J2018" s="128" t="s">
        <v>2686</v>
      </c>
      <c r="K2018" s="127" t="s">
        <v>332</v>
      </c>
      <c r="L2018" s="151" t="s">
        <v>1007</v>
      </c>
      <c r="M2018" s="127">
        <v>603356</v>
      </c>
      <c r="N2018" s="108"/>
      <c r="O2018" s="19"/>
      <c r="P2018" s="19"/>
      <c r="Q2018" s="19"/>
    </row>
    <row r="2019" spans="1:17" ht="24.9" customHeight="1">
      <c r="A2019" s="20">
        <v>392</v>
      </c>
      <c r="B2019" s="20" t="s">
        <v>4346</v>
      </c>
      <c r="C2019" s="20"/>
      <c r="D2019" s="20" t="s">
        <v>48</v>
      </c>
      <c r="E2019" s="19" t="str">
        <f>VLOOKUP(D2019,'لیست پرسنل'!$B$2:$E$1020,3,FALSE)</f>
        <v>فکورصنعت</v>
      </c>
      <c r="F2019" s="19" t="str">
        <f>VLOOKUP(D2019,'لیست پرسنل'!$B$2:$E$1020,4,FALSE)</f>
        <v>سرپرست آی تی</v>
      </c>
      <c r="G2019" s="127">
        <f>VLOOKUP(D2019,'لیست پرسنل'!$B$2:$F$1020,2,FALSE)</f>
        <v>2210</v>
      </c>
      <c r="H2019" s="128" t="s">
        <v>3847</v>
      </c>
      <c r="I2019" s="128"/>
      <c r="J2019" s="128" t="s">
        <v>2686</v>
      </c>
      <c r="K2019" s="128" t="s">
        <v>509</v>
      </c>
      <c r="L2019" s="128" t="s">
        <v>1010</v>
      </c>
      <c r="M2019" s="126">
        <v>604291</v>
      </c>
      <c r="N2019" s="109"/>
      <c r="O2019" s="20" t="s">
        <v>851</v>
      </c>
      <c r="P2019" s="20"/>
      <c r="Q2019" s="20"/>
    </row>
    <row r="2020" spans="1:17" ht="24.9" customHeight="1">
      <c r="A2020" s="20">
        <v>392</v>
      </c>
      <c r="B2020" s="20" t="s">
        <v>4346</v>
      </c>
      <c r="C2020" s="20"/>
      <c r="D2020" s="20" t="s">
        <v>48</v>
      </c>
      <c r="E2020" s="19" t="str">
        <f>VLOOKUP(D2020,'لیست پرسنل'!$B$2:$E$1020,3,FALSE)</f>
        <v>فکورصنعت</v>
      </c>
      <c r="F2020" s="19" t="str">
        <f>VLOOKUP(D2020,'لیست پرسنل'!$B$2:$E$1020,4,FALSE)</f>
        <v>سرپرست آی تی</v>
      </c>
      <c r="G2020" s="127">
        <f>VLOOKUP(D2020,'لیست پرسنل'!$B$2:$F$1020,2,FALSE)</f>
        <v>2210</v>
      </c>
      <c r="H2020" s="128" t="s">
        <v>3847</v>
      </c>
      <c r="I2020" s="128"/>
      <c r="J2020" s="128" t="s">
        <v>2686</v>
      </c>
      <c r="K2020" s="141" t="s">
        <v>320</v>
      </c>
      <c r="L2020" s="151" t="s">
        <v>3816</v>
      </c>
      <c r="M2020" s="127">
        <v>605840</v>
      </c>
      <c r="N2020" s="108"/>
      <c r="O2020" s="20"/>
      <c r="P2020" s="20"/>
      <c r="Q2020" s="20"/>
    </row>
    <row r="2021" spans="1:17" ht="24.9" customHeight="1">
      <c r="A2021" s="20">
        <v>392</v>
      </c>
      <c r="B2021" s="20" t="s">
        <v>4346</v>
      </c>
      <c r="C2021" s="19"/>
      <c r="D2021" s="19" t="s">
        <v>48</v>
      </c>
      <c r="E2021" s="19" t="str">
        <f>VLOOKUP(D2021,'لیست پرسنل'!$B$2:$E$1020,3,FALSE)</f>
        <v>فکورصنعت</v>
      </c>
      <c r="F2021" s="19" t="str">
        <f>VLOOKUP(D2021,'لیست پرسنل'!$B$2:$E$1020,4,FALSE)</f>
        <v>سرپرست آی تی</v>
      </c>
      <c r="G2021" s="127">
        <f>VLOOKUP(D2021,'لیست پرسنل'!$B$2:$F$1020,2,FALSE)</f>
        <v>2210</v>
      </c>
      <c r="H2021" s="151" t="s">
        <v>3847</v>
      </c>
      <c r="I2021" s="127"/>
      <c r="J2021" s="128" t="s">
        <v>2686</v>
      </c>
      <c r="K2021" s="128" t="s">
        <v>744</v>
      </c>
      <c r="L2021" s="151" t="s">
        <v>1229</v>
      </c>
      <c r="M2021" s="127">
        <v>607269</v>
      </c>
      <c r="N2021" s="109"/>
      <c r="O2021" s="86"/>
      <c r="P2021" s="20"/>
      <c r="Q2021" s="20"/>
    </row>
    <row r="2022" spans="1:17" ht="24.9" customHeight="1">
      <c r="A2022" s="20">
        <v>392</v>
      </c>
      <c r="B2022" s="20" t="s">
        <v>4346</v>
      </c>
      <c r="C2022" s="19"/>
      <c r="D2022" s="46" t="s">
        <v>48</v>
      </c>
      <c r="E2022" s="19" t="str">
        <f>VLOOKUP(D2022,'لیست پرسنل'!$B$2:$E$1020,3,FALSE)</f>
        <v>فکورصنعت</v>
      </c>
      <c r="F2022" s="19" t="str">
        <f>VLOOKUP(D2022,'لیست پرسنل'!$B$2:$E$1020,4,FALSE)</f>
        <v>سرپرست آی تی</v>
      </c>
      <c r="G2022" s="127">
        <f>VLOOKUP(D2022,'لیست پرسنل'!$B$2:$F$1020,2,FALSE)</f>
        <v>2210</v>
      </c>
      <c r="H2022" s="128" t="s">
        <v>3847</v>
      </c>
      <c r="I2022" s="126"/>
      <c r="J2022" s="128" t="s">
        <v>2686</v>
      </c>
      <c r="K2022" s="127" t="s">
        <v>3811</v>
      </c>
      <c r="L2022" s="127" t="s">
        <v>437</v>
      </c>
      <c r="M2022" s="127">
        <v>607348</v>
      </c>
      <c r="N2022" s="108"/>
      <c r="O2022" s="20"/>
      <c r="P2022" s="20"/>
      <c r="Q2022" s="20"/>
    </row>
    <row r="2023" spans="1:17" ht="24.9" customHeight="1">
      <c r="A2023" s="20">
        <v>392</v>
      </c>
      <c r="B2023" s="20" t="s">
        <v>4346</v>
      </c>
      <c r="C2023" s="20"/>
      <c r="D2023" s="20" t="s">
        <v>48</v>
      </c>
      <c r="E2023" s="19" t="str">
        <f>VLOOKUP(D2023,'لیست پرسنل'!$B$2:$E$1020,3,FALSE)</f>
        <v>فکورصنعت</v>
      </c>
      <c r="F2023" s="19" t="str">
        <f>VLOOKUP(D2023,'لیست پرسنل'!$B$2:$E$1020,4,FALSE)</f>
        <v>سرپرست آی تی</v>
      </c>
      <c r="G2023" s="127">
        <f>VLOOKUP(D2023,'لیست پرسنل'!$B$2:$F$1020,2,FALSE)</f>
        <v>2210</v>
      </c>
      <c r="H2023" s="128" t="s">
        <v>3847</v>
      </c>
      <c r="I2023" s="127"/>
      <c r="J2023" s="128" t="s">
        <v>2686</v>
      </c>
      <c r="K2023" s="128" t="s">
        <v>3813</v>
      </c>
      <c r="L2023" s="150" t="s">
        <v>1110</v>
      </c>
      <c r="M2023" s="128">
        <v>610901</v>
      </c>
      <c r="N2023" s="108"/>
      <c r="O2023" s="20"/>
      <c r="P2023" s="20"/>
      <c r="Q2023" s="20"/>
    </row>
    <row r="2024" spans="1:17" ht="24.9" customHeight="1">
      <c r="A2024" s="20">
        <v>392</v>
      </c>
      <c r="B2024" s="20" t="s">
        <v>4346</v>
      </c>
      <c r="C2024" s="20"/>
      <c r="D2024" s="20" t="s">
        <v>48</v>
      </c>
      <c r="E2024" s="19" t="str">
        <f>VLOOKUP(D2024,'لیست پرسنل'!$B$2:$E$1020,3,FALSE)</f>
        <v>فکورصنعت</v>
      </c>
      <c r="F2024" s="19" t="str">
        <f>VLOOKUP(D2024,'لیست پرسنل'!$B$2:$E$1020,4,FALSE)</f>
        <v>سرپرست آی تی</v>
      </c>
      <c r="G2024" s="127">
        <f>VLOOKUP(D2024,'لیست پرسنل'!$B$2:$F$1020,2,FALSE)</f>
        <v>2210</v>
      </c>
      <c r="H2024" s="128" t="s">
        <v>3847</v>
      </c>
      <c r="I2024" s="128"/>
      <c r="J2024" s="128" t="s">
        <v>2686</v>
      </c>
      <c r="K2024" s="128" t="s">
        <v>371</v>
      </c>
      <c r="L2024" s="128" t="s">
        <v>1700</v>
      </c>
      <c r="M2024" s="127">
        <v>618638</v>
      </c>
      <c r="N2024" s="108"/>
      <c r="O2024" s="20"/>
      <c r="P2024" s="20"/>
      <c r="Q2024" s="20"/>
    </row>
    <row r="2025" spans="1:17" ht="24.9" customHeight="1">
      <c r="A2025" s="20">
        <v>392</v>
      </c>
      <c r="B2025" s="20" t="s">
        <v>4346</v>
      </c>
      <c r="C2025" s="20"/>
      <c r="D2025" s="20" t="s">
        <v>48</v>
      </c>
      <c r="E2025" s="19" t="str">
        <f>VLOOKUP(D2025,'لیست پرسنل'!$B$2:$E$1020,3,FALSE)</f>
        <v>فکورصنعت</v>
      </c>
      <c r="F2025" s="19" t="str">
        <f>VLOOKUP(D2025,'لیست پرسنل'!$B$2:$E$1020,4,FALSE)</f>
        <v>سرپرست آی تی</v>
      </c>
      <c r="G2025" s="127">
        <f>VLOOKUP(D2025,'لیست پرسنل'!$B$2:$F$1020,2,FALSE)</f>
        <v>2210</v>
      </c>
      <c r="H2025" s="128" t="s">
        <v>3847</v>
      </c>
      <c r="I2025" s="128"/>
      <c r="J2025" s="128" t="s">
        <v>2686</v>
      </c>
      <c r="K2025" s="127" t="s">
        <v>371</v>
      </c>
      <c r="L2025" s="151" t="s">
        <v>4252</v>
      </c>
      <c r="M2025" s="127">
        <v>618918</v>
      </c>
      <c r="N2025" s="108"/>
      <c r="O2025" s="20"/>
      <c r="P2025" s="20"/>
      <c r="Q2025" s="20"/>
    </row>
    <row r="2026" spans="1:17" ht="24.9" customHeight="1">
      <c r="A2026" s="20">
        <v>392</v>
      </c>
      <c r="B2026" s="20" t="s">
        <v>4346</v>
      </c>
      <c r="C2026" s="20"/>
      <c r="D2026" s="20" t="s">
        <v>48</v>
      </c>
      <c r="E2026" s="19" t="str">
        <f>VLOOKUP(D2026,'لیست پرسنل'!$B$2:$E$1020,3,FALSE)</f>
        <v>فکورصنعت</v>
      </c>
      <c r="F2026" s="19" t="str">
        <f>VLOOKUP(D2026,'لیست پرسنل'!$B$2:$E$1020,4,FALSE)</f>
        <v>سرپرست آی تی</v>
      </c>
      <c r="G2026" s="127">
        <f>VLOOKUP(D2026,'لیست پرسنل'!$B$2:$F$1020,2,FALSE)</f>
        <v>2210</v>
      </c>
      <c r="H2026" s="128" t="s">
        <v>3847</v>
      </c>
      <c r="I2026" s="128"/>
      <c r="J2026" s="128" t="s">
        <v>2686</v>
      </c>
      <c r="K2026" s="128" t="s">
        <v>7618</v>
      </c>
      <c r="L2026" s="128" t="s">
        <v>7622</v>
      </c>
      <c r="M2026" s="126">
        <v>636090</v>
      </c>
      <c r="N2026" s="109"/>
      <c r="O2026" s="20"/>
      <c r="P2026" s="20"/>
      <c r="Q2026" s="20"/>
    </row>
    <row r="2027" spans="1:17" ht="24.9" customHeight="1">
      <c r="A2027" s="20">
        <v>392</v>
      </c>
      <c r="B2027" s="20" t="s">
        <v>4346</v>
      </c>
      <c r="C2027" s="20"/>
      <c r="D2027" s="20" t="s">
        <v>48</v>
      </c>
      <c r="E2027" s="19" t="str">
        <f>VLOOKUP(D2027,'لیست پرسنل'!$B$2:$E$1020,3,FALSE)</f>
        <v>فکورصنعت</v>
      </c>
      <c r="F2027" s="19" t="str">
        <f>VLOOKUP(D2027,'لیست پرسنل'!$B$2:$E$1020,4,FALSE)</f>
        <v>سرپرست آی تی</v>
      </c>
      <c r="G2027" s="127">
        <f>VLOOKUP(D2027,'لیست پرسنل'!$B$2:$F$1020,2,FALSE)</f>
        <v>2210</v>
      </c>
      <c r="H2027" s="128" t="s">
        <v>3847</v>
      </c>
      <c r="I2027" s="128"/>
      <c r="J2027" s="128" t="s">
        <v>2686</v>
      </c>
      <c r="K2027" s="128" t="s">
        <v>7618</v>
      </c>
      <c r="L2027" s="128" t="s">
        <v>7628</v>
      </c>
      <c r="M2027" s="126">
        <v>636091</v>
      </c>
      <c r="N2027" s="109"/>
      <c r="O2027" s="20"/>
      <c r="P2027" s="20"/>
      <c r="Q2027" s="20"/>
    </row>
    <row r="2028" spans="1:17" ht="24.9" customHeight="1">
      <c r="A2028" s="20">
        <v>392</v>
      </c>
      <c r="B2028" s="20" t="s">
        <v>4346</v>
      </c>
      <c r="C2028" s="20"/>
      <c r="D2028" s="20" t="s">
        <v>48</v>
      </c>
      <c r="E2028" s="19" t="str">
        <f>VLOOKUP(D2028,'لیست پرسنل'!$B$2:$E$1020,3,FALSE)</f>
        <v>فکورصنعت</v>
      </c>
      <c r="F2028" s="19" t="str">
        <f>VLOOKUP(D2028,'لیست پرسنل'!$B$2:$E$1020,4,FALSE)</f>
        <v>سرپرست آی تی</v>
      </c>
      <c r="G2028" s="127">
        <f>VLOOKUP(D2028,'لیست پرسنل'!$B$2:$F$1020,2,FALSE)</f>
        <v>2210</v>
      </c>
      <c r="H2028" s="128" t="s">
        <v>3847</v>
      </c>
      <c r="I2028" s="128"/>
      <c r="J2028" s="128" t="s">
        <v>2686</v>
      </c>
      <c r="K2028" s="128" t="s">
        <v>7618</v>
      </c>
      <c r="L2028" s="128" t="s">
        <v>7625</v>
      </c>
      <c r="M2028" s="126">
        <v>636092</v>
      </c>
      <c r="N2028" s="109"/>
      <c r="O2028" s="20"/>
      <c r="P2028" s="20"/>
      <c r="Q2028" s="20"/>
    </row>
    <row r="2029" spans="1:17" ht="24.9" customHeight="1">
      <c r="A2029" s="20">
        <v>392</v>
      </c>
      <c r="B2029" s="20" t="s">
        <v>4346</v>
      </c>
      <c r="C2029" s="20"/>
      <c r="D2029" s="20" t="s">
        <v>48</v>
      </c>
      <c r="E2029" s="19" t="str">
        <f>VLOOKUP(D2029,'لیست پرسنل'!$B$2:$E$1020,3,FALSE)</f>
        <v>فکورصنعت</v>
      </c>
      <c r="F2029" s="19" t="str">
        <f>VLOOKUP(D2029,'لیست پرسنل'!$B$2:$E$1020,4,FALSE)</f>
        <v>سرپرست آی تی</v>
      </c>
      <c r="G2029" s="127">
        <f>VLOOKUP(D2029,'لیست پرسنل'!$B$2:$F$1020,2,FALSE)</f>
        <v>2210</v>
      </c>
      <c r="H2029" s="128" t="s">
        <v>3847</v>
      </c>
      <c r="I2029" s="128"/>
      <c r="J2029" s="128" t="s">
        <v>2686</v>
      </c>
      <c r="K2029" s="128" t="s">
        <v>7618</v>
      </c>
      <c r="L2029" s="128" t="s">
        <v>7627</v>
      </c>
      <c r="M2029" s="126">
        <v>636093</v>
      </c>
      <c r="N2029" s="109"/>
      <c r="O2029" s="20"/>
      <c r="P2029" s="20"/>
      <c r="Q2029" s="20"/>
    </row>
    <row r="2030" spans="1:17" ht="24.9" customHeight="1">
      <c r="A2030" s="20">
        <v>392</v>
      </c>
      <c r="B2030" s="20" t="s">
        <v>4346</v>
      </c>
      <c r="C2030" s="20"/>
      <c r="D2030" s="20" t="s">
        <v>48</v>
      </c>
      <c r="E2030" s="19" t="str">
        <f>VLOOKUP(D2030,'لیست پرسنل'!$B$2:$E$1020,3,FALSE)</f>
        <v>فکورصنعت</v>
      </c>
      <c r="F2030" s="19" t="str">
        <f>VLOOKUP(D2030,'لیست پرسنل'!$B$2:$E$1020,4,FALSE)</f>
        <v>سرپرست آی تی</v>
      </c>
      <c r="G2030" s="127">
        <f>VLOOKUP(D2030,'لیست پرسنل'!$B$2:$F$1020,2,FALSE)</f>
        <v>2210</v>
      </c>
      <c r="H2030" s="128" t="s">
        <v>3847</v>
      </c>
      <c r="I2030" s="128"/>
      <c r="J2030" s="128" t="s">
        <v>2686</v>
      </c>
      <c r="K2030" s="128" t="s">
        <v>7618</v>
      </c>
      <c r="L2030" s="128" t="s">
        <v>7626</v>
      </c>
      <c r="M2030" s="126">
        <v>636094</v>
      </c>
      <c r="N2030" s="109"/>
      <c r="O2030" s="20"/>
      <c r="P2030" s="20"/>
      <c r="Q2030" s="20"/>
    </row>
    <row r="2031" spans="1:17" ht="24.9" customHeight="1">
      <c r="A2031" s="20">
        <v>392</v>
      </c>
      <c r="B2031" s="20" t="s">
        <v>4346</v>
      </c>
      <c r="C2031" s="20"/>
      <c r="D2031" s="20" t="s">
        <v>48</v>
      </c>
      <c r="E2031" s="19" t="str">
        <f>VLOOKUP(D2031,'لیست پرسنل'!$B$2:$E$1020,3,FALSE)</f>
        <v>فکورصنعت</v>
      </c>
      <c r="F2031" s="19" t="str">
        <f>VLOOKUP(D2031,'لیست پرسنل'!$B$2:$E$1020,4,FALSE)</f>
        <v>سرپرست آی تی</v>
      </c>
      <c r="G2031" s="127">
        <f>VLOOKUP(D2031,'لیست پرسنل'!$B$2:$F$1020,2,FALSE)</f>
        <v>2210</v>
      </c>
      <c r="H2031" s="128" t="s">
        <v>3847</v>
      </c>
      <c r="I2031" s="128"/>
      <c r="J2031" s="128" t="s">
        <v>2686</v>
      </c>
      <c r="K2031" s="128" t="s">
        <v>7618</v>
      </c>
      <c r="L2031" s="128" t="s">
        <v>7623</v>
      </c>
      <c r="M2031" s="126">
        <v>636095</v>
      </c>
      <c r="N2031" s="109"/>
      <c r="O2031" s="20"/>
      <c r="P2031" s="20"/>
      <c r="Q2031" s="20"/>
    </row>
    <row r="2032" spans="1:17" ht="24.9" customHeight="1">
      <c r="A2032" s="20">
        <v>392</v>
      </c>
      <c r="B2032" s="20" t="s">
        <v>4346</v>
      </c>
      <c r="C2032" s="20"/>
      <c r="D2032" s="20" t="s">
        <v>48</v>
      </c>
      <c r="E2032" s="19" t="str">
        <f>VLOOKUP(D2032,'لیست پرسنل'!$B$2:$E$1020,3,FALSE)</f>
        <v>فکورصنعت</v>
      </c>
      <c r="F2032" s="19" t="str">
        <f>VLOOKUP(D2032,'لیست پرسنل'!$B$2:$E$1020,4,FALSE)</f>
        <v>سرپرست آی تی</v>
      </c>
      <c r="G2032" s="127">
        <f>VLOOKUP(D2032,'لیست پرسنل'!$B$2:$F$1020,2,FALSE)</f>
        <v>2210</v>
      </c>
      <c r="H2032" s="128" t="s">
        <v>3847</v>
      </c>
      <c r="I2032" s="128"/>
      <c r="J2032" s="128" t="s">
        <v>2686</v>
      </c>
      <c r="K2032" s="128" t="s">
        <v>7618</v>
      </c>
      <c r="L2032" s="128" t="s">
        <v>7624</v>
      </c>
      <c r="M2032" s="126">
        <v>636098</v>
      </c>
      <c r="N2032" s="109"/>
      <c r="O2032" s="20"/>
      <c r="P2032" s="20"/>
      <c r="Q2032" s="20"/>
    </row>
    <row r="2033" spans="1:17" ht="24.9" customHeight="1">
      <c r="A2033" s="20">
        <v>392</v>
      </c>
      <c r="B2033" s="20" t="s">
        <v>4346</v>
      </c>
      <c r="C2033" s="20"/>
      <c r="D2033" s="20" t="s">
        <v>48</v>
      </c>
      <c r="E2033" s="19" t="str">
        <f>VLOOKUP(D2033,'لیست پرسنل'!$B$2:$E$1020,3,FALSE)</f>
        <v>فکورصنعت</v>
      </c>
      <c r="F2033" s="19" t="str">
        <f>VLOOKUP(D2033,'لیست پرسنل'!$B$2:$E$1020,4,FALSE)</f>
        <v>سرپرست آی تی</v>
      </c>
      <c r="G2033" s="127">
        <f>VLOOKUP(D2033,'لیست پرسنل'!$B$2:$F$1020,2,FALSE)</f>
        <v>2210</v>
      </c>
      <c r="H2033" s="128" t="s">
        <v>3847</v>
      </c>
      <c r="I2033" s="128"/>
      <c r="J2033" s="128" t="s">
        <v>2686</v>
      </c>
      <c r="K2033" s="128" t="s">
        <v>5314</v>
      </c>
      <c r="L2033" s="128"/>
      <c r="M2033" s="126">
        <v>636546</v>
      </c>
      <c r="N2033" s="109"/>
      <c r="O2033" s="20"/>
      <c r="P2033" s="20"/>
      <c r="Q2033" s="20"/>
    </row>
    <row r="2034" spans="1:17" ht="24.9" customHeight="1">
      <c r="A2034" s="20">
        <v>392</v>
      </c>
      <c r="B2034" s="20" t="s">
        <v>4346</v>
      </c>
      <c r="C2034" s="19"/>
      <c r="D2034" s="19" t="s">
        <v>48</v>
      </c>
      <c r="E2034" s="19" t="str">
        <f>VLOOKUP(D2034,'لیست پرسنل'!$B$2:$E$1020,3,FALSE)</f>
        <v>فکورصنعت</v>
      </c>
      <c r="F2034" s="19" t="str">
        <f>VLOOKUP(D2034,'لیست پرسنل'!$B$2:$E$1020,4,FALSE)</f>
        <v>سرپرست آی تی</v>
      </c>
      <c r="G2034" s="127">
        <f>VLOOKUP(D2034,'لیست پرسنل'!$B$2:$F$1020,2,FALSE)</f>
        <v>2210</v>
      </c>
      <c r="H2034" s="151" t="s">
        <v>8076</v>
      </c>
      <c r="I2034" s="127"/>
      <c r="J2034" s="128" t="s">
        <v>2686</v>
      </c>
      <c r="K2034" s="128" t="s">
        <v>744</v>
      </c>
      <c r="L2034" s="151" t="s">
        <v>2193</v>
      </c>
      <c r="M2034" s="132">
        <v>611444</v>
      </c>
      <c r="N2034" s="108"/>
      <c r="O2034" s="89"/>
      <c r="P2034" s="20"/>
      <c r="Q2034" s="20"/>
    </row>
    <row r="2035" spans="1:17" ht="24.9" customHeight="1">
      <c r="A2035" s="20">
        <v>392</v>
      </c>
      <c r="B2035" s="20" t="s">
        <v>4347</v>
      </c>
      <c r="C2035" s="19">
        <v>1</v>
      </c>
      <c r="D2035" s="46" t="s">
        <v>202</v>
      </c>
      <c r="E2035" s="19" t="str">
        <f>VLOOKUP(D2035,'لیست پرسنل'!$B$2:$E$1020,3,FALSE)</f>
        <v>فکورصنعت</v>
      </c>
      <c r="F2035" s="19" t="str">
        <f>VLOOKUP(D2035,'لیست پرسنل'!$B$2:$E$1020,4,FALSE)</f>
        <v>ایمنی</v>
      </c>
      <c r="G2035" s="127" t="str">
        <f>VLOOKUP(D2035,'لیست پرسنل'!$B$2:$F$1020,2,FALSE)</f>
        <v>6301</v>
      </c>
      <c r="H2035" s="128" t="s">
        <v>3798</v>
      </c>
      <c r="I2035" s="126" t="s">
        <v>205</v>
      </c>
      <c r="J2035" s="128" t="s">
        <v>737</v>
      </c>
      <c r="K2035" s="127" t="s">
        <v>8437</v>
      </c>
      <c r="L2035" s="127" t="s">
        <v>423</v>
      </c>
      <c r="M2035" s="128">
        <v>621345</v>
      </c>
      <c r="N2035" s="109"/>
      <c r="O2035" s="19"/>
      <c r="P2035" s="20"/>
      <c r="Q2035" s="20"/>
    </row>
    <row r="2036" spans="1:17" ht="24.9" customHeight="1">
      <c r="A2036" s="20">
        <v>392</v>
      </c>
      <c r="B2036" s="20" t="s">
        <v>4347</v>
      </c>
      <c r="C2036" s="19">
        <v>1</v>
      </c>
      <c r="D2036" s="46" t="s">
        <v>202</v>
      </c>
      <c r="E2036" s="19" t="str">
        <f>VLOOKUP(D2036,'لیست پرسنل'!$B$2:$E$1020,3,FALSE)</f>
        <v>فکورصنعت</v>
      </c>
      <c r="F2036" s="19" t="str">
        <f>VLOOKUP(D2036,'لیست پرسنل'!$B$2:$E$1020,4,FALSE)</f>
        <v>ایمنی</v>
      </c>
      <c r="G2036" s="127" t="str">
        <f>VLOOKUP(D2036,'لیست پرسنل'!$B$2:$F$1020,2,FALSE)</f>
        <v>6301</v>
      </c>
      <c r="H2036" s="128" t="s">
        <v>3798</v>
      </c>
      <c r="I2036" s="126" t="s">
        <v>205</v>
      </c>
      <c r="J2036" s="126" t="s">
        <v>368</v>
      </c>
      <c r="K2036" s="132" t="s">
        <v>660</v>
      </c>
      <c r="L2036" s="127" t="s">
        <v>669</v>
      </c>
      <c r="M2036" s="127">
        <v>618891</v>
      </c>
      <c r="N2036" s="109"/>
      <c r="O2036" s="19"/>
      <c r="P2036" s="20"/>
      <c r="Q2036" s="20"/>
    </row>
    <row r="2037" spans="1:17" ht="24.9" customHeight="1">
      <c r="A2037" s="20">
        <v>392</v>
      </c>
      <c r="B2037" s="20" t="s">
        <v>4347</v>
      </c>
      <c r="C2037" s="19">
        <v>1</v>
      </c>
      <c r="D2037" s="46" t="s">
        <v>202</v>
      </c>
      <c r="E2037" s="19" t="str">
        <f>VLOOKUP(D2037,'لیست پرسنل'!$B$2:$E$1020,3,FALSE)</f>
        <v>فکورصنعت</v>
      </c>
      <c r="F2037" s="19" t="str">
        <f>VLOOKUP(D2037,'لیست پرسنل'!$B$2:$E$1020,4,FALSE)</f>
        <v>ایمنی</v>
      </c>
      <c r="G2037" s="127" t="str">
        <f>VLOOKUP(D2037,'لیست پرسنل'!$B$2:$F$1020,2,FALSE)</f>
        <v>6301</v>
      </c>
      <c r="H2037" s="128" t="s">
        <v>3798</v>
      </c>
      <c r="I2037" s="126" t="s">
        <v>205</v>
      </c>
      <c r="J2037" s="128" t="s">
        <v>571</v>
      </c>
      <c r="K2037" s="128" t="s">
        <v>6588</v>
      </c>
      <c r="L2037" s="127"/>
      <c r="M2037" s="127">
        <v>631999</v>
      </c>
      <c r="N2037" s="109"/>
      <c r="O2037" s="19"/>
      <c r="P2037" s="32"/>
      <c r="Q2037" s="32"/>
    </row>
    <row r="2038" spans="1:17" ht="24.9" customHeight="1">
      <c r="A2038" s="20">
        <v>392</v>
      </c>
      <c r="B2038" s="20" t="s">
        <v>4347</v>
      </c>
      <c r="C2038" s="19">
        <v>1</v>
      </c>
      <c r="D2038" s="46" t="s">
        <v>202</v>
      </c>
      <c r="E2038" s="19" t="str">
        <f>VLOOKUP(D2038,'لیست پرسنل'!$B$2:$E$1020,3,FALSE)</f>
        <v>فکورصنعت</v>
      </c>
      <c r="F2038" s="19" t="str">
        <f>VLOOKUP(D2038,'لیست پرسنل'!$B$2:$E$1020,4,FALSE)</f>
        <v>ایمنی</v>
      </c>
      <c r="G2038" s="127" t="str">
        <f>VLOOKUP(D2038,'لیست پرسنل'!$B$2:$F$1020,2,FALSE)</f>
        <v>6301</v>
      </c>
      <c r="H2038" s="128" t="s">
        <v>3798</v>
      </c>
      <c r="I2038" s="126" t="s">
        <v>205</v>
      </c>
      <c r="J2038" s="128" t="s">
        <v>2686</v>
      </c>
      <c r="K2038" s="127" t="s">
        <v>2922</v>
      </c>
      <c r="L2038" s="151" t="s">
        <v>3065</v>
      </c>
      <c r="M2038" s="127">
        <v>626549</v>
      </c>
      <c r="N2038" s="108"/>
      <c r="O2038" s="20"/>
      <c r="P2038" s="20"/>
      <c r="Q2038" s="20"/>
    </row>
    <row r="2039" spans="1:17" ht="24.9" customHeight="1">
      <c r="A2039" s="20">
        <v>392</v>
      </c>
      <c r="B2039" s="20" t="s">
        <v>4347</v>
      </c>
      <c r="C2039" s="19">
        <v>1</v>
      </c>
      <c r="D2039" s="46" t="s">
        <v>202</v>
      </c>
      <c r="E2039" s="19" t="str">
        <f>VLOOKUP(D2039,'لیست پرسنل'!$B$2:$E$1020,3,FALSE)</f>
        <v>فکورصنعت</v>
      </c>
      <c r="F2039" s="19" t="str">
        <f>VLOOKUP(D2039,'لیست پرسنل'!$B$2:$E$1020,4,FALSE)</f>
        <v>ایمنی</v>
      </c>
      <c r="G2039" s="127" t="str">
        <f>VLOOKUP(D2039,'لیست پرسنل'!$B$2:$F$1020,2,FALSE)</f>
        <v>6301</v>
      </c>
      <c r="H2039" s="128" t="s">
        <v>3798</v>
      </c>
      <c r="I2039" s="126" t="s">
        <v>205</v>
      </c>
      <c r="J2039" s="127" t="s">
        <v>753</v>
      </c>
      <c r="K2039" s="128" t="s">
        <v>3810</v>
      </c>
      <c r="L2039" s="150" t="s">
        <v>1479</v>
      </c>
      <c r="M2039" s="128">
        <v>611971</v>
      </c>
      <c r="N2039" s="109"/>
      <c r="O2039" s="19"/>
      <c r="P2039" s="20"/>
      <c r="Q2039" s="20"/>
    </row>
    <row r="2040" spans="1:17" ht="24.9" customHeight="1">
      <c r="A2040" s="185">
        <v>392</v>
      </c>
      <c r="B2040" s="185" t="s">
        <v>4347</v>
      </c>
      <c r="C2040" s="186">
        <v>2</v>
      </c>
      <c r="D2040" s="207" t="s">
        <v>3769</v>
      </c>
      <c r="E2040" s="186" t="str">
        <f>VLOOKUP(D2040,'لیست پرسنل'!$B$2:$E$1020,3,FALSE)</f>
        <v>فکورصنعت</v>
      </c>
      <c r="F2040" s="186" t="str">
        <f>VLOOKUP(D2040,'لیست پرسنل'!$B$2:$E$1020,4,FALSE)</f>
        <v>مسئول دفتر مدیر سایت</v>
      </c>
      <c r="G2040" s="187">
        <f>VLOOKUP(D2040,'لیست پرسنل'!$B$2:$F$1020,2,FALSE)</f>
        <v>4010803</v>
      </c>
      <c r="H2040" s="188" t="s">
        <v>3798</v>
      </c>
      <c r="I2040" s="220" t="s">
        <v>206</v>
      </c>
      <c r="J2040" s="188" t="s">
        <v>737</v>
      </c>
      <c r="K2040" s="187" t="s">
        <v>8438</v>
      </c>
      <c r="L2040" s="187" t="s">
        <v>426</v>
      </c>
      <c r="M2040" s="190">
        <v>621013</v>
      </c>
      <c r="N2040" s="189"/>
      <c r="O2040" s="186"/>
      <c r="P2040" s="185"/>
      <c r="Q2040" s="185"/>
    </row>
    <row r="2041" spans="1:17" ht="24.9" customHeight="1">
      <c r="A2041" s="20">
        <v>392</v>
      </c>
      <c r="B2041" s="20" t="s">
        <v>4347</v>
      </c>
      <c r="C2041" s="19">
        <v>2</v>
      </c>
      <c r="D2041" s="46" t="s">
        <v>3769</v>
      </c>
      <c r="E2041" s="19" t="str">
        <f>VLOOKUP(D2041,'لیست پرسنل'!$B$2:$E$1020,3,FALSE)</f>
        <v>فکورصنعت</v>
      </c>
      <c r="F2041" s="19" t="str">
        <f>VLOOKUP(D2041,'لیست پرسنل'!$B$2:$E$1020,4,FALSE)</f>
        <v>مسئول دفتر مدیر سایت</v>
      </c>
      <c r="G2041" s="127">
        <f>VLOOKUP(D2041,'لیست پرسنل'!$B$2:$F$1020,2,FALSE)</f>
        <v>4010803</v>
      </c>
      <c r="H2041" s="128" t="s">
        <v>3798</v>
      </c>
      <c r="I2041" s="126" t="s">
        <v>206</v>
      </c>
      <c r="J2041" s="126" t="s">
        <v>368</v>
      </c>
      <c r="K2041" s="132" t="s">
        <v>1435</v>
      </c>
      <c r="L2041" s="127" t="s">
        <v>1436</v>
      </c>
      <c r="M2041" s="127">
        <v>618898</v>
      </c>
      <c r="N2041" s="109"/>
      <c r="O2041" s="19"/>
      <c r="P2041" s="20"/>
      <c r="Q2041" s="20"/>
    </row>
    <row r="2042" spans="1:17" ht="24.9" customHeight="1">
      <c r="A2042" s="20">
        <v>392</v>
      </c>
      <c r="B2042" s="20" t="s">
        <v>4347</v>
      </c>
      <c r="C2042" s="19">
        <v>2</v>
      </c>
      <c r="D2042" s="46" t="s">
        <v>3769</v>
      </c>
      <c r="E2042" s="19" t="str">
        <f>VLOOKUP(D2042,'لیست پرسنل'!$B$2:$E$1020,3,FALSE)</f>
        <v>فکورصنعت</v>
      </c>
      <c r="F2042" s="19" t="str">
        <f>VLOOKUP(D2042,'لیست پرسنل'!$B$2:$E$1020,4,FALSE)</f>
        <v>مسئول دفتر مدیر سایت</v>
      </c>
      <c r="G2042" s="127">
        <f>VLOOKUP(D2042,'لیست پرسنل'!$B$2:$F$1020,2,FALSE)</f>
        <v>4010803</v>
      </c>
      <c r="H2042" s="128" t="s">
        <v>3798</v>
      </c>
      <c r="I2042" s="126" t="s">
        <v>206</v>
      </c>
      <c r="J2042" s="128" t="s">
        <v>2686</v>
      </c>
      <c r="K2042" s="128" t="s">
        <v>7618</v>
      </c>
      <c r="L2042" s="128" t="s">
        <v>7620</v>
      </c>
      <c r="M2042" s="126">
        <v>636097</v>
      </c>
      <c r="N2042" s="109"/>
      <c r="O2042" s="20"/>
      <c r="P2042" s="20"/>
      <c r="Q2042" s="20"/>
    </row>
    <row r="2043" spans="1:17" ht="24.9" customHeight="1">
      <c r="A2043" s="20">
        <v>392</v>
      </c>
      <c r="B2043" s="20" t="s">
        <v>4347</v>
      </c>
      <c r="C2043" s="20">
        <v>2</v>
      </c>
      <c r="D2043" s="20" t="s">
        <v>3769</v>
      </c>
      <c r="E2043" s="19" t="str">
        <f>VLOOKUP(D2043,'لیست پرسنل'!$B$2:$E$1020,3,FALSE)</f>
        <v>فکورصنعت</v>
      </c>
      <c r="F2043" s="19" t="str">
        <f>VLOOKUP(D2043,'لیست پرسنل'!$B$2:$E$1020,4,FALSE)</f>
        <v>مسئول دفتر مدیر سایت</v>
      </c>
      <c r="G2043" s="127">
        <f>VLOOKUP(D2043,'لیست پرسنل'!$B$2:$F$1020,2,FALSE)</f>
        <v>4010803</v>
      </c>
      <c r="H2043" s="126" t="s">
        <v>8071</v>
      </c>
      <c r="I2043" s="128" t="s">
        <v>206</v>
      </c>
      <c r="J2043" s="141" t="s">
        <v>571</v>
      </c>
      <c r="K2043" s="128" t="s">
        <v>6045</v>
      </c>
      <c r="L2043" s="134" t="s">
        <v>206</v>
      </c>
      <c r="M2043" s="127">
        <v>632746</v>
      </c>
      <c r="N2043" s="108"/>
      <c r="O2043" s="20"/>
      <c r="P2043" s="20"/>
      <c r="Q2043" s="20"/>
    </row>
    <row r="2044" spans="1:17" ht="24.9" customHeight="1">
      <c r="A2044" s="20">
        <v>392</v>
      </c>
      <c r="B2044" s="20" t="s">
        <v>4347</v>
      </c>
      <c r="C2044" s="19">
        <v>4</v>
      </c>
      <c r="D2044" s="46" t="s">
        <v>203</v>
      </c>
      <c r="E2044" s="19" t="str">
        <f>VLOOKUP(D2044,'لیست پرسنل'!$B$2:$E$1020,3,FALSE)</f>
        <v>فکورصنعت</v>
      </c>
      <c r="F2044" s="19" t="str">
        <f>VLOOKUP(D2044,'لیست پرسنل'!$B$2:$E$1020,4,FALSE)</f>
        <v>سرپرست نظارت و اجرای سایت</v>
      </c>
      <c r="G2044" s="127" t="str">
        <f>VLOOKUP(D2044,'لیست پرسنل'!$B$2:$F$1020,2,FALSE)</f>
        <v>98120</v>
      </c>
      <c r="H2044" s="128" t="s">
        <v>3798</v>
      </c>
      <c r="I2044" s="126" t="s">
        <v>207</v>
      </c>
      <c r="J2044" s="128" t="s">
        <v>737</v>
      </c>
      <c r="K2044" s="127" t="s">
        <v>8437</v>
      </c>
      <c r="L2044" s="127" t="s">
        <v>428</v>
      </c>
      <c r="M2044" s="127">
        <v>621344</v>
      </c>
      <c r="N2044" s="109"/>
      <c r="O2044" s="19"/>
      <c r="P2044" s="20"/>
      <c r="Q2044" s="20"/>
    </row>
    <row r="2045" spans="1:17" ht="24.9" customHeight="1">
      <c r="A2045" s="20">
        <v>392</v>
      </c>
      <c r="B2045" s="20" t="s">
        <v>4347</v>
      </c>
      <c r="C2045" s="19">
        <v>4</v>
      </c>
      <c r="D2045" s="46" t="s">
        <v>203</v>
      </c>
      <c r="E2045" s="19" t="str">
        <f>VLOOKUP(D2045,'لیست پرسنل'!$B$2:$E$1020,3,FALSE)</f>
        <v>فکورصنعت</v>
      </c>
      <c r="F2045" s="19" t="str">
        <f>VLOOKUP(D2045,'لیست پرسنل'!$B$2:$E$1020,4,FALSE)</f>
        <v>سرپرست نظارت و اجرای سایت</v>
      </c>
      <c r="G2045" s="127" t="str">
        <f>VLOOKUP(D2045,'لیست پرسنل'!$B$2:$F$1020,2,FALSE)</f>
        <v>98120</v>
      </c>
      <c r="H2045" s="128" t="s">
        <v>3798</v>
      </c>
      <c r="I2045" s="126" t="s">
        <v>207</v>
      </c>
      <c r="J2045" s="126" t="s">
        <v>368</v>
      </c>
      <c r="K2045" s="132" t="s">
        <v>660</v>
      </c>
      <c r="L2045" s="127" t="s">
        <v>759</v>
      </c>
      <c r="M2045" s="127">
        <v>618894</v>
      </c>
      <c r="N2045" s="109"/>
      <c r="O2045" s="19"/>
      <c r="P2045" s="20"/>
      <c r="Q2045" s="20"/>
    </row>
    <row r="2046" spans="1:17" ht="24.9" customHeight="1">
      <c r="A2046" s="20">
        <v>392</v>
      </c>
      <c r="B2046" s="20" t="s">
        <v>4347</v>
      </c>
      <c r="C2046" s="19">
        <v>4</v>
      </c>
      <c r="D2046" s="46" t="s">
        <v>203</v>
      </c>
      <c r="E2046" s="19" t="str">
        <f>VLOOKUP(D2046,'لیست پرسنل'!$B$2:$E$1020,3,FALSE)</f>
        <v>فکورصنعت</v>
      </c>
      <c r="F2046" s="19" t="str">
        <f>VLOOKUP(D2046,'لیست پرسنل'!$B$2:$E$1020,4,FALSE)</f>
        <v>سرپرست نظارت و اجرای سایت</v>
      </c>
      <c r="G2046" s="127" t="str">
        <f>VLOOKUP(D2046,'لیست پرسنل'!$B$2:$F$1020,2,FALSE)</f>
        <v>98120</v>
      </c>
      <c r="H2046" s="128" t="s">
        <v>3798</v>
      </c>
      <c r="I2046" s="126" t="s">
        <v>207</v>
      </c>
      <c r="J2046" s="126" t="s">
        <v>571</v>
      </c>
      <c r="K2046" s="127" t="s">
        <v>2219</v>
      </c>
      <c r="L2046" s="151"/>
      <c r="M2046" s="127">
        <v>627733</v>
      </c>
      <c r="N2046" s="109"/>
      <c r="O2046" s="19"/>
      <c r="P2046" s="20"/>
      <c r="Q2046" s="20"/>
    </row>
    <row r="2047" spans="1:17" ht="24.9" customHeight="1">
      <c r="A2047" s="20">
        <v>392</v>
      </c>
      <c r="B2047" s="20" t="s">
        <v>4347</v>
      </c>
      <c r="C2047" s="19">
        <v>4</v>
      </c>
      <c r="D2047" s="46" t="s">
        <v>203</v>
      </c>
      <c r="E2047" s="19" t="str">
        <f>VLOOKUP(D2047,'لیست پرسنل'!$B$2:$E$1020,3,FALSE)</f>
        <v>فکورصنعت</v>
      </c>
      <c r="F2047" s="19" t="str">
        <f>VLOOKUP(D2047,'لیست پرسنل'!$B$2:$E$1020,4,FALSE)</f>
        <v>سرپرست نظارت و اجرای سایت</v>
      </c>
      <c r="G2047" s="127" t="str">
        <f>VLOOKUP(D2047,'لیست پرسنل'!$B$2:$F$1020,2,FALSE)</f>
        <v>98120</v>
      </c>
      <c r="H2047" s="128" t="s">
        <v>3798</v>
      </c>
      <c r="I2047" s="126" t="s">
        <v>207</v>
      </c>
      <c r="J2047" s="127" t="s">
        <v>5618</v>
      </c>
      <c r="K2047" s="127" t="s">
        <v>7602</v>
      </c>
      <c r="L2047" s="128" t="s">
        <v>7616</v>
      </c>
      <c r="M2047" s="128">
        <v>636055</v>
      </c>
      <c r="N2047" s="108"/>
      <c r="O2047" s="20"/>
      <c r="P2047" s="20"/>
      <c r="Q2047" s="20"/>
    </row>
    <row r="2048" spans="1:17" ht="24.9" customHeight="1">
      <c r="A2048" s="20">
        <v>392</v>
      </c>
      <c r="B2048" s="20" t="s">
        <v>4347</v>
      </c>
      <c r="C2048" s="19">
        <v>5</v>
      </c>
      <c r="D2048" s="46" t="s">
        <v>1278</v>
      </c>
      <c r="E2048" s="19" t="str">
        <f>VLOOKUP(D2048,'لیست پرسنل'!$B$2:$E$1020,3,FALSE)</f>
        <v>فکورصنعت</v>
      </c>
      <c r="F2048" s="19" t="str">
        <f>VLOOKUP(D2048,'لیست پرسنل'!$B$2:$E$1020,4,FALSE)</f>
        <v>مدیریت پروژه</v>
      </c>
      <c r="G2048" s="127" t="str">
        <f>VLOOKUP(D2048,'لیست پرسنل'!$B$2:$F$1020,2,FALSE)</f>
        <v>590</v>
      </c>
      <c r="H2048" s="128" t="s">
        <v>3798</v>
      </c>
      <c r="I2048" s="126" t="s">
        <v>208</v>
      </c>
      <c r="J2048" s="126" t="s">
        <v>368</v>
      </c>
      <c r="K2048" s="132" t="s">
        <v>754</v>
      </c>
      <c r="L2048" s="127" t="s">
        <v>755</v>
      </c>
      <c r="M2048" s="127">
        <v>618899</v>
      </c>
      <c r="N2048" s="109"/>
      <c r="O2048" s="19"/>
      <c r="P2048" s="20"/>
      <c r="Q2048" s="20"/>
    </row>
    <row r="2049" spans="1:17" ht="24.9" customHeight="1">
      <c r="A2049" s="20">
        <v>392</v>
      </c>
      <c r="B2049" s="20" t="s">
        <v>4347</v>
      </c>
      <c r="C2049" s="19">
        <v>5</v>
      </c>
      <c r="D2049" s="46" t="s">
        <v>1278</v>
      </c>
      <c r="E2049" s="19" t="str">
        <f>VLOOKUP(D2049,'لیست پرسنل'!$B$2:$E$1020,3,FALSE)</f>
        <v>فکورصنعت</v>
      </c>
      <c r="F2049" s="19" t="str">
        <f>VLOOKUP(D2049,'لیست پرسنل'!$B$2:$E$1020,4,FALSE)</f>
        <v>مدیریت پروژه</v>
      </c>
      <c r="G2049" s="127" t="str">
        <f>VLOOKUP(D2049,'لیست پرسنل'!$B$2:$F$1020,2,FALSE)</f>
        <v>590</v>
      </c>
      <c r="H2049" s="128" t="s">
        <v>3798</v>
      </c>
      <c r="I2049" s="126" t="s">
        <v>208</v>
      </c>
      <c r="J2049" s="126" t="s">
        <v>5366</v>
      </c>
      <c r="K2049" s="127" t="s">
        <v>434</v>
      </c>
      <c r="L2049" s="127" t="s">
        <v>435</v>
      </c>
      <c r="M2049" s="127">
        <v>618908</v>
      </c>
      <c r="N2049" s="109"/>
      <c r="O2049" s="19"/>
      <c r="P2049" s="20"/>
      <c r="Q2049" s="20"/>
    </row>
    <row r="2050" spans="1:17" ht="24.9" customHeight="1">
      <c r="A2050" s="20">
        <v>392</v>
      </c>
      <c r="B2050" s="20" t="s">
        <v>4347</v>
      </c>
      <c r="C2050" s="19">
        <v>5</v>
      </c>
      <c r="D2050" s="46" t="s">
        <v>1278</v>
      </c>
      <c r="E2050" s="19" t="str">
        <f>VLOOKUP(D2050,'لیست پرسنل'!$B$2:$E$1020,3,FALSE)</f>
        <v>فکورصنعت</v>
      </c>
      <c r="F2050" s="19" t="str">
        <f>VLOOKUP(D2050,'لیست پرسنل'!$B$2:$E$1020,4,FALSE)</f>
        <v>مدیریت پروژه</v>
      </c>
      <c r="G2050" s="127" t="str">
        <f>VLOOKUP(D2050,'لیست پرسنل'!$B$2:$F$1020,2,FALSE)</f>
        <v>590</v>
      </c>
      <c r="H2050" s="128" t="s">
        <v>3798</v>
      </c>
      <c r="I2050" s="126" t="s">
        <v>208</v>
      </c>
      <c r="J2050" s="126" t="s">
        <v>571</v>
      </c>
      <c r="K2050" s="135"/>
      <c r="L2050" s="154"/>
      <c r="M2050" s="127">
        <v>608427</v>
      </c>
      <c r="N2050" s="109" t="s">
        <v>7233</v>
      </c>
      <c r="O2050" s="19"/>
      <c r="P2050" s="20"/>
      <c r="Q2050" s="20"/>
    </row>
    <row r="2051" spans="1:17" ht="24.9" customHeight="1">
      <c r="A2051" s="20">
        <v>392</v>
      </c>
      <c r="B2051" s="20" t="s">
        <v>4347</v>
      </c>
      <c r="C2051" s="19">
        <v>5</v>
      </c>
      <c r="D2051" s="46" t="s">
        <v>1278</v>
      </c>
      <c r="E2051" s="19" t="str">
        <f>VLOOKUP(D2051,'لیست پرسنل'!$B$2:$E$1020,3,FALSE)</f>
        <v>فکورصنعت</v>
      </c>
      <c r="F2051" s="19" t="str">
        <f>VLOOKUP(D2051,'لیست پرسنل'!$B$2:$E$1020,4,FALSE)</f>
        <v>مدیریت پروژه</v>
      </c>
      <c r="G2051" s="127" t="str">
        <f>VLOOKUP(D2051,'لیست پرسنل'!$B$2:$F$1020,2,FALSE)</f>
        <v>590</v>
      </c>
      <c r="H2051" s="128" t="s">
        <v>3798</v>
      </c>
      <c r="I2051" s="126" t="s">
        <v>208</v>
      </c>
      <c r="J2051" s="128" t="s">
        <v>2686</v>
      </c>
      <c r="K2051" s="135" t="s">
        <v>3224</v>
      </c>
      <c r="L2051" s="154" t="s">
        <v>3223</v>
      </c>
      <c r="M2051" s="127">
        <v>628444</v>
      </c>
      <c r="N2051" s="108"/>
      <c r="O2051" s="20"/>
      <c r="P2051" s="20"/>
      <c r="Q2051" s="20"/>
    </row>
    <row r="2052" spans="1:17" ht="24.9" customHeight="1">
      <c r="A2052" s="20">
        <v>392</v>
      </c>
      <c r="B2052" s="20" t="s">
        <v>4347</v>
      </c>
      <c r="C2052" s="19">
        <v>6</v>
      </c>
      <c r="D2052" s="46" t="s">
        <v>204</v>
      </c>
      <c r="E2052" s="19" t="str">
        <f>VLOOKUP(D2052,'لیست پرسنل'!$B$2:$E$1020,3,FALSE)</f>
        <v>فکورصنعت</v>
      </c>
      <c r="F2052" s="19" t="str">
        <f>VLOOKUP(D2052,'لیست پرسنل'!$B$2:$E$1020,4,FALSE)</f>
        <v>سرپرست فنی پروژه</v>
      </c>
      <c r="G2052" s="127">
        <f>VLOOKUP(D2052,'لیست پرسنل'!$B$2:$F$1020,2,FALSE)</f>
        <v>349</v>
      </c>
      <c r="H2052" s="128" t="s">
        <v>3798</v>
      </c>
      <c r="I2052" s="126" t="s">
        <v>209</v>
      </c>
      <c r="J2052" s="126" t="s">
        <v>368</v>
      </c>
      <c r="K2052" s="128" t="s">
        <v>693</v>
      </c>
      <c r="L2052" s="128"/>
      <c r="M2052" s="127">
        <v>618892</v>
      </c>
      <c r="N2052" s="109"/>
      <c r="O2052" s="19"/>
      <c r="P2052" s="20"/>
      <c r="Q2052" s="20"/>
    </row>
    <row r="2053" spans="1:17" ht="24.9" customHeight="1">
      <c r="A2053" s="20">
        <v>392</v>
      </c>
      <c r="B2053" s="20" t="s">
        <v>4347</v>
      </c>
      <c r="C2053" s="19">
        <v>6</v>
      </c>
      <c r="D2053" s="46" t="s">
        <v>204</v>
      </c>
      <c r="E2053" s="19" t="str">
        <f>VLOOKUP(D2053,'لیست پرسنل'!$B$2:$E$1020,3,FALSE)</f>
        <v>فکورصنعت</v>
      </c>
      <c r="F2053" s="19" t="str">
        <f>VLOOKUP(D2053,'لیست پرسنل'!$B$2:$E$1020,4,FALSE)</f>
        <v>سرپرست فنی پروژه</v>
      </c>
      <c r="G2053" s="127">
        <f>VLOOKUP(D2053,'لیست پرسنل'!$B$2:$F$1020,2,FALSE)</f>
        <v>349</v>
      </c>
      <c r="H2053" s="128" t="s">
        <v>3798</v>
      </c>
      <c r="I2053" s="126" t="s">
        <v>209</v>
      </c>
      <c r="J2053" s="128" t="s">
        <v>571</v>
      </c>
      <c r="K2053" s="128" t="s">
        <v>7617</v>
      </c>
      <c r="L2053" s="128"/>
      <c r="M2053" s="126">
        <v>636109</v>
      </c>
      <c r="N2053" s="109"/>
      <c r="O2053" s="20"/>
      <c r="P2053" s="20"/>
      <c r="Q2053" s="20"/>
    </row>
    <row r="2054" spans="1:17" ht="24.9" customHeight="1">
      <c r="A2054" s="20">
        <v>392</v>
      </c>
      <c r="B2054" s="20" t="s">
        <v>4347</v>
      </c>
      <c r="C2054" s="19">
        <v>6</v>
      </c>
      <c r="D2054" s="46" t="s">
        <v>204</v>
      </c>
      <c r="E2054" s="19" t="str">
        <f>VLOOKUP(D2054,'لیست پرسنل'!$B$2:$E$1020,3,FALSE)</f>
        <v>فکورصنعت</v>
      </c>
      <c r="F2054" s="19" t="str">
        <f>VLOOKUP(D2054,'لیست پرسنل'!$B$2:$E$1020,4,FALSE)</f>
        <v>سرپرست فنی پروژه</v>
      </c>
      <c r="G2054" s="127">
        <f>VLOOKUP(D2054,'لیست پرسنل'!$B$2:$F$1020,2,FALSE)</f>
        <v>349</v>
      </c>
      <c r="H2054" s="128" t="s">
        <v>3798</v>
      </c>
      <c r="I2054" s="126" t="s">
        <v>209</v>
      </c>
      <c r="J2054" s="128" t="s">
        <v>2686</v>
      </c>
      <c r="K2054" s="128" t="s">
        <v>7927</v>
      </c>
      <c r="L2054" s="128" t="s">
        <v>7928</v>
      </c>
      <c r="M2054" s="126">
        <v>636544</v>
      </c>
      <c r="N2054" s="109"/>
      <c r="O2054" s="20"/>
      <c r="P2054" s="20"/>
      <c r="Q2054" s="20"/>
    </row>
    <row r="2055" spans="1:17" ht="24.9" customHeight="1">
      <c r="A2055" s="20">
        <v>392</v>
      </c>
      <c r="B2055" s="20" t="s">
        <v>4347</v>
      </c>
      <c r="C2055" s="19">
        <v>7</v>
      </c>
      <c r="D2055" s="46" t="s">
        <v>1299</v>
      </c>
      <c r="E2055" s="19" t="str">
        <f>VLOOKUP(D2055,'لیست پرسنل'!$B$2:$E$1020,3,FALSE)</f>
        <v>فکورصنعت</v>
      </c>
      <c r="F2055" s="19" t="str">
        <f>VLOOKUP(D2055,'لیست پرسنل'!$B$2:$E$1020,4,FALSE)</f>
        <v>مسئول امور مالی</v>
      </c>
      <c r="G2055" s="127">
        <f>VLOOKUP(D2055,'لیست پرسنل'!$B$2:$F$1020,2,FALSE)</f>
        <v>6308</v>
      </c>
      <c r="H2055" s="128" t="s">
        <v>3798</v>
      </c>
      <c r="I2055" s="126" t="s">
        <v>210</v>
      </c>
      <c r="J2055" s="128" t="s">
        <v>737</v>
      </c>
      <c r="K2055" s="127" t="s">
        <v>8437</v>
      </c>
      <c r="L2055" s="127" t="s">
        <v>429</v>
      </c>
      <c r="M2055" s="127">
        <v>621343</v>
      </c>
      <c r="N2055" s="109"/>
      <c r="O2055" s="19"/>
      <c r="P2055" s="20"/>
      <c r="Q2055" s="20"/>
    </row>
    <row r="2056" spans="1:17" ht="24.9" customHeight="1">
      <c r="A2056" s="20">
        <v>392</v>
      </c>
      <c r="B2056" s="20" t="s">
        <v>4347</v>
      </c>
      <c r="C2056" s="19">
        <v>7</v>
      </c>
      <c r="D2056" s="46" t="s">
        <v>1299</v>
      </c>
      <c r="E2056" s="19" t="str">
        <f>VLOOKUP(D2056,'لیست پرسنل'!$B$2:$E$1020,3,FALSE)</f>
        <v>فکورصنعت</v>
      </c>
      <c r="F2056" s="19" t="str">
        <f>VLOOKUP(D2056,'لیست پرسنل'!$B$2:$E$1020,4,FALSE)</f>
        <v>مسئول امور مالی</v>
      </c>
      <c r="G2056" s="127">
        <f>VLOOKUP(D2056,'لیست پرسنل'!$B$2:$F$1020,2,FALSE)</f>
        <v>6308</v>
      </c>
      <c r="H2056" s="128" t="s">
        <v>3798</v>
      </c>
      <c r="I2056" s="126" t="s">
        <v>210</v>
      </c>
      <c r="J2056" s="126" t="s">
        <v>368</v>
      </c>
      <c r="K2056" s="132" t="s">
        <v>660</v>
      </c>
      <c r="L2056" s="127" t="s">
        <v>757</v>
      </c>
      <c r="M2056" s="127">
        <v>618889</v>
      </c>
      <c r="N2056" s="109"/>
      <c r="O2056" s="19"/>
      <c r="P2056" s="20"/>
      <c r="Q2056" s="20"/>
    </row>
    <row r="2057" spans="1:17" ht="24.9" customHeight="1">
      <c r="A2057" s="20">
        <v>392</v>
      </c>
      <c r="B2057" s="20" t="s">
        <v>4347</v>
      </c>
      <c r="C2057" s="19">
        <v>7</v>
      </c>
      <c r="D2057" s="46" t="s">
        <v>1299</v>
      </c>
      <c r="E2057" s="19" t="str">
        <f>VLOOKUP(D2057,'لیست پرسنل'!$B$2:$E$1020,3,FALSE)</f>
        <v>فکورصنعت</v>
      </c>
      <c r="F2057" s="19" t="str">
        <f>VLOOKUP(D2057,'لیست پرسنل'!$B$2:$E$1020,4,FALSE)</f>
        <v>مسئول امور مالی</v>
      </c>
      <c r="G2057" s="127">
        <f>VLOOKUP(D2057,'لیست پرسنل'!$B$2:$F$1020,2,FALSE)</f>
        <v>6308</v>
      </c>
      <c r="H2057" s="128" t="s">
        <v>3798</v>
      </c>
      <c r="I2057" s="126" t="s">
        <v>210</v>
      </c>
      <c r="J2057" s="128" t="s">
        <v>3938</v>
      </c>
      <c r="K2057" s="128" t="s">
        <v>3153</v>
      </c>
      <c r="L2057" s="150"/>
      <c r="M2057" s="128">
        <v>612107</v>
      </c>
      <c r="N2057" s="109"/>
      <c r="O2057" s="19" t="s">
        <v>3154</v>
      </c>
      <c r="P2057" s="20"/>
      <c r="Q2057" s="20"/>
    </row>
    <row r="2058" spans="1:17" ht="24.9" customHeight="1">
      <c r="A2058" s="20">
        <v>392</v>
      </c>
      <c r="B2058" s="20" t="s">
        <v>4347</v>
      </c>
      <c r="C2058" s="19">
        <v>7</v>
      </c>
      <c r="D2058" s="46" t="s">
        <v>1299</v>
      </c>
      <c r="E2058" s="19" t="str">
        <f>VLOOKUP(D2058,'لیست پرسنل'!$B$2:$E$1020,3,FALSE)</f>
        <v>فکورصنعت</v>
      </c>
      <c r="F2058" s="19" t="str">
        <f>VLOOKUP(D2058,'لیست پرسنل'!$B$2:$E$1020,4,FALSE)</f>
        <v>مسئول امور مالی</v>
      </c>
      <c r="G2058" s="127">
        <f>VLOOKUP(D2058,'لیست پرسنل'!$B$2:$F$1020,2,FALSE)</f>
        <v>6308</v>
      </c>
      <c r="H2058" s="128" t="s">
        <v>3798</v>
      </c>
      <c r="I2058" s="126" t="s">
        <v>210</v>
      </c>
      <c r="J2058" s="141" t="s">
        <v>571</v>
      </c>
      <c r="K2058" s="127" t="s">
        <v>5320</v>
      </c>
      <c r="L2058" s="128"/>
      <c r="M2058" s="132">
        <v>631488</v>
      </c>
      <c r="N2058" s="108"/>
      <c r="O2058" s="19"/>
      <c r="P2058" s="20"/>
      <c r="Q2058" s="20"/>
    </row>
    <row r="2059" spans="1:17" ht="24.9" customHeight="1">
      <c r="A2059" s="20">
        <v>392</v>
      </c>
      <c r="B2059" s="20" t="s">
        <v>4347</v>
      </c>
      <c r="C2059" s="19">
        <v>7</v>
      </c>
      <c r="D2059" s="46" t="s">
        <v>1299</v>
      </c>
      <c r="E2059" s="19" t="str">
        <f>VLOOKUP(D2059,'لیست پرسنل'!$B$2:$E$1020,3,FALSE)</f>
        <v>فکورصنعت</v>
      </c>
      <c r="F2059" s="19" t="str">
        <f>VLOOKUP(D2059,'لیست پرسنل'!$B$2:$E$1020,4,FALSE)</f>
        <v>مسئول امور مالی</v>
      </c>
      <c r="G2059" s="127">
        <f>VLOOKUP(D2059,'لیست پرسنل'!$B$2:$F$1020,2,FALSE)</f>
        <v>6308</v>
      </c>
      <c r="H2059" s="128" t="s">
        <v>3798</v>
      </c>
      <c r="I2059" s="126" t="s">
        <v>210</v>
      </c>
      <c r="J2059" s="128" t="s">
        <v>2686</v>
      </c>
      <c r="K2059" s="127" t="s">
        <v>2143</v>
      </c>
      <c r="L2059" s="127" t="s">
        <v>2260</v>
      </c>
      <c r="M2059" s="127">
        <v>628651</v>
      </c>
      <c r="N2059" s="108"/>
      <c r="O2059" s="20" t="s">
        <v>705</v>
      </c>
      <c r="P2059" s="20"/>
      <c r="Q2059" s="20"/>
    </row>
    <row r="2060" spans="1:17" ht="24.9" customHeight="1">
      <c r="A2060" s="20">
        <v>392</v>
      </c>
      <c r="B2060" s="20" t="s">
        <v>4347</v>
      </c>
      <c r="C2060" s="20">
        <v>8</v>
      </c>
      <c r="D2060" s="20" t="s">
        <v>850</v>
      </c>
      <c r="E2060" s="19" t="str">
        <f>VLOOKUP(D2060,'لیست پرسنل'!$B$2:$E$1020,3,FALSE)</f>
        <v>فکورصنعت</v>
      </c>
      <c r="F2060" s="19" t="str">
        <f>VLOOKUP(D2060,'لیست پرسنل'!$B$2:$E$1020,4,FALSE)</f>
        <v>مدیر سایت</v>
      </c>
      <c r="G2060" s="127" t="str">
        <f>VLOOKUP(D2060,'لیست پرسنل'!$B$2:$F$1020,2,FALSE)</f>
        <v>775</v>
      </c>
      <c r="H2060" s="128" t="s">
        <v>7929</v>
      </c>
      <c r="I2060" s="128" t="s">
        <v>211</v>
      </c>
      <c r="J2060" s="128" t="s">
        <v>571</v>
      </c>
      <c r="K2060" s="128" t="s">
        <v>7617</v>
      </c>
      <c r="L2060" s="128"/>
      <c r="M2060" s="126">
        <v>636105</v>
      </c>
      <c r="N2060" s="108" t="s">
        <v>7929</v>
      </c>
      <c r="O2060" s="20"/>
      <c r="P2060" s="20"/>
      <c r="Q2060" s="20"/>
    </row>
    <row r="2061" spans="1:17" ht="24.9" customHeight="1">
      <c r="A2061" s="20">
        <v>392</v>
      </c>
      <c r="B2061" s="20" t="s">
        <v>4347</v>
      </c>
      <c r="C2061" s="20">
        <v>8</v>
      </c>
      <c r="D2061" s="20" t="s">
        <v>850</v>
      </c>
      <c r="E2061" s="19" t="str">
        <f>VLOOKUP(D2061,'لیست پرسنل'!$B$2:$E$1020,3,FALSE)</f>
        <v>فکورصنعت</v>
      </c>
      <c r="F2061" s="19" t="str">
        <f>VLOOKUP(D2061,'لیست پرسنل'!$B$2:$E$1020,4,FALSE)</f>
        <v>مدیر سایت</v>
      </c>
      <c r="G2061" s="127" t="str">
        <f>VLOOKUP(D2061,'لیست پرسنل'!$B$2:$F$1020,2,FALSE)</f>
        <v>775</v>
      </c>
      <c r="H2061" s="128" t="s">
        <v>7929</v>
      </c>
      <c r="I2061" s="128" t="s">
        <v>211</v>
      </c>
      <c r="J2061" s="128" t="s">
        <v>2686</v>
      </c>
      <c r="K2061" s="128" t="s">
        <v>7927</v>
      </c>
      <c r="L2061" s="128" t="s">
        <v>7930</v>
      </c>
      <c r="M2061" s="126">
        <v>636545</v>
      </c>
      <c r="N2061" s="108"/>
      <c r="O2061" s="20" t="s">
        <v>5728</v>
      </c>
      <c r="P2061" s="20"/>
      <c r="Q2061" s="20"/>
    </row>
    <row r="2062" spans="1:17" ht="24.9" customHeight="1">
      <c r="A2062" s="20">
        <v>392</v>
      </c>
      <c r="B2062" s="20" t="s">
        <v>4347</v>
      </c>
      <c r="C2062" s="19">
        <v>9</v>
      </c>
      <c r="D2062" s="46" t="s">
        <v>5769</v>
      </c>
      <c r="E2062" s="19" t="str">
        <f>VLOOKUP(D2062,'لیست پرسنل'!$B$2:$E$1020,3,FALSE)</f>
        <v>فکورصنعت</v>
      </c>
      <c r="F2062" s="19" t="str">
        <f>VLOOKUP(D2062,'لیست پرسنل'!$B$2:$E$1020,4,FALSE)</f>
        <v>مالی - اداری</v>
      </c>
      <c r="G2062" s="127" t="str">
        <f>VLOOKUP(D2062,'لیست پرسنل'!$B$2:$F$1020,2,FALSE)</f>
        <v>4020714</v>
      </c>
      <c r="H2062" s="128" t="s">
        <v>3798</v>
      </c>
      <c r="I2062" s="126" t="s">
        <v>212</v>
      </c>
      <c r="J2062" s="128" t="s">
        <v>3383</v>
      </c>
      <c r="K2062" s="135" t="s">
        <v>5797</v>
      </c>
      <c r="L2062" s="135" t="s">
        <v>5796</v>
      </c>
      <c r="M2062" s="128">
        <v>631961</v>
      </c>
      <c r="N2062" s="111"/>
      <c r="O2062" s="20"/>
      <c r="P2062" s="28"/>
      <c r="Q2062" s="28"/>
    </row>
    <row r="2063" spans="1:17" ht="24.9" customHeight="1">
      <c r="A2063" s="20">
        <v>392</v>
      </c>
      <c r="B2063" s="20" t="s">
        <v>4347</v>
      </c>
      <c r="C2063" s="19">
        <v>9</v>
      </c>
      <c r="D2063" s="46" t="s">
        <v>5769</v>
      </c>
      <c r="E2063" s="19" t="str">
        <f>VLOOKUP(D2063,'لیست پرسنل'!$B$2:$E$1020,3,FALSE)</f>
        <v>فکورصنعت</v>
      </c>
      <c r="F2063" s="19" t="str">
        <f>VLOOKUP(D2063,'لیست پرسنل'!$B$2:$E$1020,4,FALSE)</f>
        <v>مالی - اداری</v>
      </c>
      <c r="G2063" s="127" t="str">
        <f>VLOOKUP(D2063,'لیست پرسنل'!$B$2:$F$1020,2,FALSE)</f>
        <v>4020714</v>
      </c>
      <c r="H2063" s="128" t="s">
        <v>3798</v>
      </c>
      <c r="I2063" s="126" t="s">
        <v>212</v>
      </c>
      <c r="J2063" s="126" t="s">
        <v>368</v>
      </c>
      <c r="K2063" s="135" t="s">
        <v>8248</v>
      </c>
      <c r="L2063" s="127" t="s">
        <v>2518</v>
      </c>
      <c r="M2063" s="128">
        <v>628930</v>
      </c>
      <c r="N2063" s="108"/>
      <c r="O2063" s="20" t="s">
        <v>705</v>
      </c>
      <c r="P2063" s="20"/>
      <c r="Q2063" s="20"/>
    </row>
    <row r="2064" spans="1:17" ht="24.9" customHeight="1">
      <c r="A2064" s="20">
        <v>392</v>
      </c>
      <c r="B2064" s="20" t="s">
        <v>4347</v>
      </c>
      <c r="C2064" s="19">
        <v>9</v>
      </c>
      <c r="D2064" s="46" t="s">
        <v>5769</v>
      </c>
      <c r="E2064" s="19" t="str">
        <f>VLOOKUP(D2064,'لیست پرسنل'!$B$2:$E$1020,3,FALSE)</f>
        <v>فکورصنعت</v>
      </c>
      <c r="F2064" s="19" t="str">
        <f>VLOOKUP(D2064,'لیست پرسنل'!$B$2:$E$1020,4,FALSE)</f>
        <v>مالی - اداری</v>
      </c>
      <c r="G2064" s="127" t="str">
        <f>VLOOKUP(D2064,'لیست پرسنل'!$B$2:$F$1020,2,FALSE)</f>
        <v>4020714</v>
      </c>
      <c r="H2064" s="128" t="s">
        <v>3798</v>
      </c>
      <c r="I2064" s="126" t="s">
        <v>212</v>
      </c>
      <c r="J2064" s="141" t="s">
        <v>571</v>
      </c>
      <c r="K2064" s="135" t="s">
        <v>1951</v>
      </c>
      <c r="L2064" s="159" t="s">
        <v>2219</v>
      </c>
      <c r="M2064" s="127">
        <v>627717</v>
      </c>
      <c r="N2064" s="108"/>
      <c r="O2064" s="20" t="s">
        <v>705</v>
      </c>
      <c r="P2064" s="20"/>
      <c r="Q2064" s="20"/>
    </row>
    <row r="2065" spans="1:17" ht="24.9" customHeight="1">
      <c r="A2065" s="20">
        <v>392</v>
      </c>
      <c r="B2065" s="20" t="s">
        <v>4347</v>
      </c>
      <c r="C2065" s="20">
        <v>9</v>
      </c>
      <c r="D2065" s="20" t="s">
        <v>5769</v>
      </c>
      <c r="E2065" s="19" t="str">
        <f>VLOOKUP(D2065,'لیست پرسنل'!$B$2:$E$1020,3,FALSE)</f>
        <v>فکورصنعت</v>
      </c>
      <c r="F2065" s="19" t="str">
        <f>VLOOKUP(D2065,'لیست پرسنل'!$B$2:$E$1020,4,FALSE)</f>
        <v>مالی - اداری</v>
      </c>
      <c r="G2065" s="127" t="str">
        <f>VLOOKUP(D2065,'لیست پرسنل'!$B$2:$F$1020,2,FALSE)</f>
        <v>4020714</v>
      </c>
      <c r="H2065" s="128" t="s">
        <v>3798</v>
      </c>
      <c r="I2065" s="127" t="s">
        <v>212</v>
      </c>
      <c r="J2065" s="128" t="s">
        <v>5618</v>
      </c>
      <c r="K2065" s="127" t="s">
        <v>8526</v>
      </c>
      <c r="L2065" s="127" t="s">
        <v>8527</v>
      </c>
      <c r="M2065" s="127">
        <v>637104</v>
      </c>
      <c r="N2065" s="109"/>
      <c r="O2065" s="20" t="s">
        <v>8529</v>
      </c>
      <c r="P2065" s="20"/>
      <c r="Q2065" s="20"/>
    </row>
    <row r="2066" spans="1:17" ht="24.9" customHeight="1">
      <c r="A2066" s="20">
        <v>392</v>
      </c>
      <c r="B2066" s="20" t="s">
        <v>4347</v>
      </c>
      <c r="C2066" s="19">
        <v>10</v>
      </c>
      <c r="D2066" s="46" t="s">
        <v>442</v>
      </c>
      <c r="E2066" s="19" t="str">
        <f>VLOOKUP(D2066,'لیست پرسنل'!$B$2:$E$1020,3,FALSE)</f>
        <v>فکورصنعت</v>
      </c>
      <c r="F2066" s="19" t="str">
        <f>VLOOKUP(D2066,'لیست پرسنل'!$B$2:$E$1020,4,FALSE)</f>
        <v>نظارت سازه</v>
      </c>
      <c r="G2066" s="127" t="str">
        <f>VLOOKUP(D2066,'لیست پرسنل'!$B$2:$F$1020,2,FALSE)</f>
        <v>6307</v>
      </c>
      <c r="H2066" s="128" t="s">
        <v>3798</v>
      </c>
      <c r="I2066" s="126" t="s">
        <v>213</v>
      </c>
      <c r="J2066" s="128" t="s">
        <v>737</v>
      </c>
      <c r="K2066" s="127" t="s">
        <v>8439</v>
      </c>
      <c r="L2066" s="151" t="s">
        <v>945</v>
      </c>
      <c r="M2066" s="127">
        <v>608539</v>
      </c>
      <c r="N2066" s="90"/>
      <c r="O2066" s="20"/>
      <c r="P2066" s="20"/>
      <c r="Q2066" s="20"/>
    </row>
    <row r="2067" spans="1:17" ht="24.9" customHeight="1">
      <c r="A2067" s="20">
        <v>392</v>
      </c>
      <c r="B2067" s="20" t="s">
        <v>4347</v>
      </c>
      <c r="C2067" s="19">
        <v>10</v>
      </c>
      <c r="D2067" s="46" t="s">
        <v>442</v>
      </c>
      <c r="E2067" s="19" t="str">
        <f>VLOOKUP(D2067,'لیست پرسنل'!$B$2:$E$1020,3,FALSE)</f>
        <v>فکورصنعت</v>
      </c>
      <c r="F2067" s="19" t="str">
        <f>VLOOKUP(D2067,'لیست پرسنل'!$B$2:$E$1020,4,FALSE)</f>
        <v>نظارت سازه</v>
      </c>
      <c r="G2067" s="127" t="str">
        <f>VLOOKUP(D2067,'لیست پرسنل'!$B$2:$F$1020,2,FALSE)</f>
        <v>6307</v>
      </c>
      <c r="H2067" s="128" t="s">
        <v>3798</v>
      </c>
      <c r="I2067" s="126" t="s">
        <v>213</v>
      </c>
      <c r="J2067" s="126" t="s">
        <v>368</v>
      </c>
      <c r="K2067" s="128" t="s">
        <v>693</v>
      </c>
      <c r="L2067" s="128" t="s">
        <v>768</v>
      </c>
      <c r="M2067" s="127">
        <v>618872</v>
      </c>
      <c r="N2067" s="109"/>
      <c r="O2067" s="19"/>
      <c r="P2067" s="20"/>
      <c r="Q2067" s="20"/>
    </row>
    <row r="2068" spans="1:17" ht="24.9" customHeight="1">
      <c r="A2068" s="20">
        <v>392</v>
      </c>
      <c r="B2068" s="20" t="s">
        <v>4347</v>
      </c>
      <c r="C2068" s="19">
        <v>10</v>
      </c>
      <c r="D2068" s="46" t="s">
        <v>442</v>
      </c>
      <c r="E2068" s="19" t="str">
        <f>VLOOKUP(D2068,'لیست پرسنل'!$B$2:$E$1020,3,FALSE)</f>
        <v>فکورصنعت</v>
      </c>
      <c r="F2068" s="19" t="str">
        <f>VLOOKUP(D2068,'لیست پرسنل'!$B$2:$E$1020,4,FALSE)</f>
        <v>نظارت سازه</v>
      </c>
      <c r="G2068" s="127" t="str">
        <f>VLOOKUP(D2068,'لیست پرسنل'!$B$2:$F$1020,2,FALSE)</f>
        <v>6307</v>
      </c>
      <c r="H2068" s="128" t="s">
        <v>3798</v>
      </c>
      <c r="I2068" s="126" t="s">
        <v>213</v>
      </c>
      <c r="J2068" s="126" t="s">
        <v>571</v>
      </c>
      <c r="K2068" s="127"/>
      <c r="L2068" s="151"/>
      <c r="M2068" s="127">
        <v>627729</v>
      </c>
      <c r="N2068" s="109"/>
      <c r="O2068" s="19"/>
      <c r="P2068" s="20"/>
      <c r="Q2068" s="20"/>
    </row>
    <row r="2069" spans="1:17" ht="24.9" customHeight="1">
      <c r="A2069" s="20">
        <v>392</v>
      </c>
      <c r="B2069" s="20" t="s">
        <v>4347</v>
      </c>
      <c r="C2069" s="19">
        <v>10</v>
      </c>
      <c r="D2069" s="46" t="s">
        <v>442</v>
      </c>
      <c r="E2069" s="19" t="str">
        <f>VLOOKUP(D2069,'لیست پرسنل'!$B$2:$E$1020,3,FALSE)</f>
        <v>فکورصنعت</v>
      </c>
      <c r="F2069" s="19" t="str">
        <f>VLOOKUP(D2069,'لیست پرسنل'!$B$2:$E$1020,4,FALSE)</f>
        <v>نظارت سازه</v>
      </c>
      <c r="G2069" s="127" t="str">
        <f>VLOOKUP(D2069,'لیست پرسنل'!$B$2:$F$1020,2,FALSE)</f>
        <v>6307</v>
      </c>
      <c r="H2069" s="128" t="s">
        <v>3798</v>
      </c>
      <c r="I2069" s="126" t="s">
        <v>213</v>
      </c>
      <c r="J2069" s="128" t="s">
        <v>2686</v>
      </c>
      <c r="K2069" s="127" t="s">
        <v>137</v>
      </c>
      <c r="L2069" s="151" t="s">
        <v>224</v>
      </c>
      <c r="M2069" s="127">
        <v>609138</v>
      </c>
      <c r="N2069" s="108"/>
      <c r="O2069" s="20"/>
      <c r="P2069" s="20"/>
      <c r="Q2069" s="20"/>
    </row>
    <row r="2070" spans="1:17" ht="24.9" customHeight="1">
      <c r="A2070" s="20">
        <v>392</v>
      </c>
      <c r="B2070" s="20" t="s">
        <v>4347</v>
      </c>
      <c r="C2070" s="19">
        <v>11</v>
      </c>
      <c r="D2070" s="46" t="s">
        <v>3844</v>
      </c>
      <c r="E2070" s="19" t="str">
        <f>VLOOKUP(D2070,'لیست پرسنل'!$B$2:$E$1020,3,FALSE)</f>
        <v>فکورصنعت</v>
      </c>
      <c r="F2070" s="19" t="str">
        <f>VLOOKUP(D2070,'لیست پرسنل'!$B$2:$E$1020,4,FALSE)</f>
        <v>انبار</v>
      </c>
      <c r="G2070" s="127" t="str">
        <f>VLOOKUP(D2070,'لیست پرسنل'!$B$2:$F$1020,2,FALSE)</f>
        <v>784</v>
      </c>
      <c r="H2070" s="128" t="s">
        <v>8440</v>
      </c>
      <c r="I2070" s="126" t="s">
        <v>214</v>
      </c>
      <c r="J2070" s="128" t="s">
        <v>737</v>
      </c>
      <c r="K2070" s="127" t="s">
        <v>8439</v>
      </c>
      <c r="L2070" s="127" t="s">
        <v>1841</v>
      </c>
      <c r="M2070" s="127">
        <v>608615</v>
      </c>
      <c r="N2070" s="109"/>
      <c r="O2070" s="19"/>
      <c r="P2070" s="20"/>
      <c r="Q2070" s="20"/>
    </row>
    <row r="2071" spans="1:17" ht="24.9" customHeight="1">
      <c r="A2071" s="20">
        <v>392</v>
      </c>
      <c r="B2071" s="20" t="s">
        <v>4347</v>
      </c>
      <c r="C2071" s="19">
        <v>11</v>
      </c>
      <c r="D2071" s="46" t="s">
        <v>3844</v>
      </c>
      <c r="E2071" s="19" t="str">
        <f>VLOOKUP(D2071,'لیست پرسنل'!$B$2:$E$1020,3,FALSE)</f>
        <v>فکورصنعت</v>
      </c>
      <c r="F2071" s="19" t="str">
        <f>VLOOKUP(D2071,'لیست پرسنل'!$B$2:$E$1020,4,FALSE)</f>
        <v>انبار</v>
      </c>
      <c r="G2071" s="127" t="str">
        <f>VLOOKUP(D2071,'لیست پرسنل'!$B$2:$F$1020,2,FALSE)</f>
        <v>784</v>
      </c>
      <c r="H2071" s="128" t="s">
        <v>3798</v>
      </c>
      <c r="I2071" s="126" t="s">
        <v>214</v>
      </c>
      <c r="J2071" s="128" t="s">
        <v>737</v>
      </c>
      <c r="K2071" s="127" t="s">
        <v>8441</v>
      </c>
      <c r="L2071" s="127">
        <v>56000300</v>
      </c>
      <c r="M2071" s="127">
        <v>600728</v>
      </c>
      <c r="N2071" s="109"/>
      <c r="O2071" s="69"/>
      <c r="P2071" s="20"/>
      <c r="Q2071" s="20"/>
    </row>
    <row r="2072" spans="1:17" ht="24.9" customHeight="1">
      <c r="A2072" s="20">
        <v>392</v>
      </c>
      <c r="B2072" s="20" t="s">
        <v>4347</v>
      </c>
      <c r="C2072" s="19">
        <v>11</v>
      </c>
      <c r="D2072" s="46" t="s">
        <v>3844</v>
      </c>
      <c r="E2072" s="19" t="str">
        <f>VLOOKUP(D2072,'لیست پرسنل'!$B$2:$E$1020,3,FALSE)</f>
        <v>فکورصنعت</v>
      </c>
      <c r="F2072" s="19" t="str">
        <f>VLOOKUP(D2072,'لیست پرسنل'!$B$2:$E$1020,4,FALSE)</f>
        <v>انبار</v>
      </c>
      <c r="G2072" s="127" t="str">
        <f>VLOOKUP(D2072,'لیست پرسنل'!$B$2:$F$1020,2,FALSE)</f>
        <v>784</v>
      </c>
      <c r="H2072" s="128" t="s">
        <v>3798</v>
      </c>
      <c r="I2072" s="126" t="s">
        <v>214</v>
      </c>
      <c r="J2072" s="128" t="s">
        <v>737</v>
      </c>
      <c r="K2072" s="142" t="s">
        <v>8437</v>
      </c>
      <c r="L2072" s="142" t="s">
        <v>671</v>
      </c>
      <c r="M2072" s="142">
        <v>621342</v>
      </c>
      <c r="N2072" s="109"/>
      <c r="O2072" s="69"/>
      <c r="P2072" s="20"/>
      <c r="Q2072" s="20"/>
    </row>
    <row r="2073" spans="1:17" ht="24.9" customHeight="1">
      <c r="A2073" s="20">
        <v>392</v>
      </c>
      <c r="B2073" s="20" t="s">
        <v>4347</v>
      </c>
      <c r="C2073" s="19">
        <v>11</v>
      </c>
      <c r="D2073" s="46" t="s">
        <v>3844</v>
      </c>
      <c r="E2073" s="19" t="str">
        <f>VLOOKUP(D2073,'لیست پرسنل'!$B$2:$E$1020,3,FALSE)</f>
        <v>فکورصنعت</v>
      </c>
      <c r="F2073" s="19" t="str">
        <f>VLOOKUP(D2073,'لیست پرسنل'!$B$2:$E$1020,4,FALSE)</f>
        <v>انبار</v>
      </c>
      <c r="G2073" s="127" t="str">
        <f>VLOOKUP(D2073,'لیست پرسنل'!$B$2:$F$1020,2,FALSE)</f>
        <v>784</v>
      </c>
      <c r="H2073" s="128" t="s">
        <v>3798</v>
      </c>
      <c r="I2073" s="126" t="s">
        <v>214</v>
      </c>
      <c r="J2073" s="126" t="s">
        <v>368</v>
      </c>
      <c r="K2073" s="132" t="s">
        <v>660</v>
      </c>
      <c r="L2073" s="127"/>
      <c r="M2073" s="127">
        <v>618893</v>
      </c>
      <c r="N2073" s="109"/>
      <c r="O2073" s="69"/>
      <c r="P2073" s="20"/>
      <c r="Q2073" s="20"/>
    </row>
    <row r="2074" spans="1:17" ht="24.9" customHeight="1">
      <c r="A2074" s="20">
        <v>392</v>
      </c>
      <c r="B2074" s="20" t="s">
        <v>4347</v>
      </c>
      <c r="C2074" s="19">
        <v>11</v>
      </c>
      <c r="D2074" s="46" t="s">
        <v>3844</v>
      </c>
      <c r="E2074" s="19" t="str">
        <f>VLOOKUP(D2074,'لیست پرسنل'!$B$2:$E$1020,3,FALSE)</f>
        <v>فکورصنعت</v>
      </c>
      <c r="F2074" s="19" t="str">
        <f>VLOOKUP(D2074,'لیست پرسنل'!$B$2:$E$1020,4,FALSE)</f>
        <v>انبار</v>
      </c>
      <c r="G2074" s="127" t="str">
        <f>VLOOKUP(D2074,'لیست پرسنل'!$B$2:$F$1020,2,FALSE)</f>
        <v>784</v>
      </c>
      <c r="H2074" s="128" t="s">
        <v>3798</v>
      </c>
      <c r="I2074" s="126" t="s">
        <v>214</v>
      </c>
      <c r="J2074" s="128" t="s">
        <v>571</v>
      </c>
      <c r="K2074" s="128" t="s">
        <v>7617</v>
      </c>
      <c r="L2074" s="128"/>
      <c r="M2074" s="126">
        <v>636112</v>
      </c>
      <c r="N2074" s="109"/>
      <c r="O2074" s="20"/>
      <c r="P2074" s="20"/>
      <c r="Q2074" s="20"/>
    </row>
    <row r="2075" spans="1:17" ht="24.9" customHeight="1">
      <c r="A2075" s="20">
        <v>392</v>
      </c>
      <c r="B2075" s="20" t="s">
        <v>4347</v>
      </c>
      <c r="C2075" s="19">
        <v>11</v>
      </c>
      <c r="D2075" s="46" t="s">
        <v>3844</v>
      </c>
      <c r="E2075" s="19" t="str">
        <f>VLOOKUP(D2075,'لیست پرسنل'!$B$2:$E$1020,3,FALSE)</f>
        <v>فکورصنعت</v>
      </c>
      <c r="F2075" s="19" t="str">
        <f>VLOOKUP(D2075,'لیست پرسنل'!$B$2:$E$1020,4,FALSE)</f>
        <v>انبار</v>
      </c>
      <c r="G2075" s="127" t="str">
        <f>VLOOKUP(D2075,'لیست پرسنل'!$B$2:$F$1020,2,FALSE)</f>
        <v>784</v>
      </c>
      <c r="H2075" s="128" t="s">
        <v>3798</v>
      </c>
      <c r="I2075" s="126" t="s">
        <v>214</v>
      </c>
      <c r="J2075" s="128" t="s">
        <v>2686</v>
      </c>
      <c r="K2075" s="135" t="s">
        <v>332</v>
      </c>
      <c r="L2075" s="154" t="s">
        <v>1894</v>
      </c>
      <c r="M2075" s="128">
        <v>604876</v>
      </c>
      <c r="N2075" s="108"/>
      <c r="O2075" s="20"/>
      <c r="P2075" s="20"/>
      <c r="Q2075" s="20"/>
    </row>
    <row r="2076" spans="1:17" ht="24.9" customHeight="1">
      <c r="A2076" s="20">
        <v>392</v>
      </c>
      <c r="B2076" s="20" t="s">
        <v>4347</v>
      </c>
      <c r="C2076" s="19">
        <v>12</v>
      </c>
      <c r="D2076" s="20" t="s">
        <v>7150</v>
      </c>
      <c r="E2076" s="19" t="str">
        <f>VLOOKUP(D2076,'لیست پرسنل'!$B$2:$E$1020,3,FALSE)</f>
        <v>آهن مهام</v>
      </c>
      <c r="F2076" s="19" t="str">
        <f>VLOOKUP(D2076,'لیست پرسنل'!$B$2:$E$1020,4,FALSE)</f>
        <v>نقشه برداری</v>
      </c>
      <c r="G2076" s="127">
        <f>VLOOKUP(D2076,'لیست پرسنل'!$B$2:$F$1020,2,FALSE)</f>
        <v>20915</v>
      </c>
      <c r="H2076" s="128" t="s">
        <v>3798</v>
      </c>
      <c r="I2076" s="126" t="s">
        <v>7641</v>
      </c>
      <c r="J2076" s="128" t="s">
        <v>368</v>
      </c>
      <c r="K2076" s="128" t="s">
        <v>2846</v>
      </c>
      <c r="L2076" s="127" t="s">
        <v>6634</v>
      </c>
      <c r="M2076" s="127">
        <v>634007</v>
      </c>
      <c r="N2076" s="109"/>
      <c r="O2076" s="19"/>
      <c r="P2076" s="32"/>
      <c r="Q2076" s="32"/>
    </row>
    <row r="2077" spans="1:17" ht="24.9" customHeight="1">
      <c r="A2077" s="20">
        <v>392</v>
      </c>
      <c r="B2077" s="20" t="s">
        <v>4347</v>
      </c>
      <c r="C2077" s="19">
        <v>12</v>
      </c>
      <c r="D2077" s="20" t="s">
        <v>7150</v>
      </c>
      <c r="E2077" s="19" t="str">
        <f>VLOOKUP(D2077,'لیست پرسنل'!$B$2:$E$1020,3,FALSE)</f>
        <v>آهن مهام</v>
      </c>
      <c r="F2077" s="19" t="str">
        <f>VLOOKUP(D2077,'لیست پرسنل'!$B$2:$E$1020,4,FALSE)</f>
        <v>نقشه برداری</v>
      </c>
      <c r="G2077" s="127">
        <f>VLOOKUP(D2077,'لیست پرسنل'!$B$2:$F$1020,2,FALSE)</f>
        <v>20915</v>
      </c>
      <c r="H2077" s="128" t="s">
        <v>3798</v>
      </c>
      <c r="I2077" s="126" t="s">
        <v>7641</v>
      </c>
      <c r="J2077" s="128" t="s">
        <v>571</v>
      </c>
      <c r="K2077" s="128" t="s">
        <v>6588</v>
      </c>
      <c r="L2077" s="127"/>
      <c r="M2077" s="127">
        <v>632002</v>
      </c>
      <c r="N2077" s="109"/>
      <c r="O2077" s="19"/>
      <c r="P2077" s="32"/>
      <c r="Q2077" s="32"/>
    </row>
    <row r="2078" spans="1:17" ht="24.9" customHeight="1">
      <c r="A2078" s="20">
        <v>392</v>
      </c>
      <c r="B2078" s="20" t="s">
        <v>4347</v>
      </c>
      <c r="C2078" s="19">
        <v>12</v>
      </c>
      <c r="D2078" s="20" t="s">
        <v>7150</v>
      </c>
      <c r="E2078" s="19" t="str">
        <f>VLOOKUP(D2078,'لیست پرسنل'!$B$2:$E$1020,3,FALSE)</f>
        <v>آهن مهام</v>
      </c>
      <c r="F2078" s="19" t="str">
        <f>VLOOKUP(D2078,'لیست پرسنل'!$B$2:$E$1020,4,FALSE)</f>
        <v>نقشه برداری</v>
      </c>
      <c r="G2078" s="127">
        <f>VLOOKUP(D2078,'لیست پرسنل'!$B$2:$F$1020,2,FALSE)</f>
        <v>20915</v>
      </c>
      <c r="H2078" s="128" t="s">
        <v>3798</v>
      </c>
      <c r="I2078" s="126" t="s">
        <v>7641</v>
      </c>
      <c r="J2078" s="128" t="s">
        <v>2686</v>
      </c>
      <c r="K2078" s="128" t="s">
        <v>6589</v>
      </c>
      <c r="L2078" s="127" t="s">
        <v>6625</v>
      </c>
      <c r="M2078" s="127">
        <v>633997</v>
      </c>
      <c r="N2078" s="109"/>
      <c r="O2078" s="19"/>
      <c r="P2078" s="32"/>
      <c r="Q2078" s="32"/>
    </row>
    <row r="2079" spans="1:17" ht="24.9" customHeight="1">
      <c r="A2079" s="20">
        <v>392</v>
      </c>
      <c r="B2079" s="20" t="s">
        <v>4347</v>
      </c>
      <c r="C2079" s="19">
        <v>13</v>
      </c>
      <c r="D2079" s="46" t="s">
        <v>850</v>
      </c>
      <c r="E2079" s="19" t="str">
        <f>VLOOKUP(D2079,'لیست پرسنل'!$B$2:$E$1020,3,FALSE)</f>
        <v>فکورصنعت</v>
      </c>
      <c r="F2079" s="19" t="str">
        <f>VLOOKUP(D2079,'لیست پرسنل'!$B$2:$E$1020,4,FALSE)</f>
        <v>مدیر سایت</v>
      </c>
      <c r="G2079" s="127" t="str">
        <f>VLOOKUP(D2079,'لیست پرسنل'!$B$2:$F$1020,2,FALSE)</f>
        <v>775</v>
      </c>
      <c r="H2079" s="128" t="s">
        <v>3860</v>
      </c>
      <c r="I2079" s="126" t="s">
        <v>215</v>
      </c>
      <c r="J2079" s="126" t="s">
        <v>571</v>
      </c>
      <c r="K2079" s="128"/>
      <c r="L2079" s="128"/>
      <c r="M2079" s="127">
        <v>606509</v>
      </c>
      <c r="N2079" s="108"/>
      <c r="O2079" s="19"/>
      <c r="P2079" s="20"/>
      <c r="Q2079" s="20"/>
    </row>
    <row r="2080" spans="1:17" ht="24.9" customHeight="1">
      <c r="A2080" s="20">
        <v>392</v>
      </c>
      <c r="B2080" s="20" t="s">
        <v>4347</v>
      </c>
      <c r="C2080" s="19">
        <v>14</v>
      </c>
      <c r="D2080" s="46" t="s">
        <v>850</v>
      </c>
      <c r="E2080" s="19" t="str">
        <f>VLOOKUP(D2080,'لیست پرسنل'!$B$2:$E$1020,3,FALSE)</f>
        <v>فکورصنعت</v>
      </c>
      <c r="F2080" s="19" t="str">
        <f>VLOOKUP(D2080,'لیست پرسنل'!$B$2:$E$1020,4,FALSE)</f>
        <v>مدیر سایت</v>
      </c>
      <c r="G2080" s="127" t="str">
        <f>VLOOKUP(D2080,'لیست پرسنل'!$B$2:$F$1020,2,FALSE)</f>
        <v>775</v>
      </c>
      <c r="H2080" s="128" t="s">
        <v>3798</v>
      </c>
      <c r="I2080" s="126" t="s">
        <v>420</v>
      </c>
      <c r="J2080" s="126" t="s">
        <v>368</v>
      </c>
      <c r="K2080" s="132" t="s">
        <v>754</v>
      </c>
      <c r="L2080" s="127" t="s">
        <v>756</v>
      </c>
      <c r="M2080" s="127">
        <v>618896</v>
      </c>
      <c r="N2080" s="109"/>
      <c r="O2080" s="19"/>
      <c r="P2080" s="20"/>
      <c r="Q2080" s="20"/>
    </row>
    <row r="2081" spans="1:17" ht="24.9" customHeight="1">
      <c r="A2081" s="20">
        <v>392</v>
      </c>
      <c r="B2081" s="20" t="s">
        <v>4347</v>
      </c>
      <c r="C2081" s="19">
        <v>14</v>
      </c>
      <c r="D2081" s="46" t="s">
        <v>850</v>
      </c>
      <c r="E2081" s="19" t="str">
        <f>VLOOKUP(D2081,'لیست پرسنل'!$B$2:$E$1020,3,FALSE)</f>
        <v>فکورصنعت</v>
      </c>
      <c r="F2081" s="19" t="str">
        <f>VLOOKUP(D2081,'لیست پرسنل'!$B$2:$E$1020,4,FALSE)</f>
        <v>مدیر سایت</v>
      </c>
      <c r="G2081" s="127" t="str">
        <f>VLOOKUP(D2081,'لیست پرسنل'!$B$2:$F$1020,2,FALSE)</f>
        <v>775</v>
      </c>
      <c r="H2081" s="128" t="s">
        <v>3798</v>
      </c>
      <c r="I2081" s="126" t="s">
        <v>420</v>
      </c>
      <c r="J2081" s="126" t="s">
        <v>571</v>
      </c>
      <c r="K2081" s="127"/>
      <c r="L2081" s="160"/>
      <c r="M2081" s="127">
        <v>627719</v>
      </c>
      <c r="N2081" s="109"/>
      <c r="O2081" s="19"/>
      <c r="P2081" s="20"/>
      <c r="Q2081" s="20"/>
    </row>
    <row r="2082" spans="1:17" ht="24.9" customHeight="1">
      <c r="A2082" s="20">
        <v>392</v>
      </c>
      <c r="B2082" s="20" t="s">
        <v>4347</v>
      </c>
      <c r="C2082" s="19">
        <v>14</v>
      </c>
      <c r="D2082" s="46" t="s">
        <v>850</v>
      </c>
      <c r="E2082" s="19" t="str">
        <f>VLOOKUP(D2082,'لیست پرسنل'!$B$2:$E$1020,3,FALSE)</f>
        <v>فکورصنعت</v>
      </c>
      <c r="F2082" s="19" t="str">
        <f>VLOOKUP(D2082,'لیست پرسنل'!$B$2:$E$1020,4,FALSE)</f>
        <v>مدیر سایت</v>
      </c>
      <c r="G2082" s="127" t="str">
        <f>VLOOKUP(D2082,'لیست پرسنل'!$B$2:$F$1020,2,FALSE)</f>
        <v>775</v>
      </c>
      <c r="H2082" s="128" t="s">
        <v>3798</v>
      </c>
      <c r="I2082" s="126" t="s">
        <v>420</v>
      </c>
      <c r="J2082" s="128" t="s">
        <v>2686</v>
      </c>
      <c r="K2082" s="127" t="s">
        <v>3224</v>
      </c>
      <c r="L2082" s="151" t="s">
        <v>3221</v>
      </c>
      <c r="M2082" s="127">
        <v>628453</v>
      </c>
      <c r="N2082" s="108"/>
      <c r="O2082" s="20"/>
      <c r="P2082" s="20"/>
      <c r="Q2082" s="20"/>
    </row>
    <row r="2083" spans="1:17" ht="24.9" customHeight="1">
      <c r="A2083" s="20">
        <v>392</v>
      </c>
      <c r="B2083" s="20" t="s">
        <v>4347</v>
      </c>
      <c r="C2083" s="19">
        <v>15</v>
      </c>
      <c r="D2083" s="46" t="s">
        <v>3769</v>
      </c>
      <c r="E2083" s="19" t="str">
        <f>VLOOKUP(D2083,'لیست پرسنل'!$B$2:$E$1020,3,FALSE)</f>
        <v>فکورصنعت</v>
      </c>
      <c r="F2083" s="19" t="str">
        <f>VLOOKUP(D2083,'لیست پرسنل'!$B$2:$E$1020,4,FALSE)</f>
        <v>مسئول دفتر مدیر سایت</v>
      </c>
      <c r="G2083" s="127">
        <f>VLOOKUP(D2083,'لیست پرسنل'!$B$2:$F$1020,2,FALSE)</f>
        <v>4010803</v>
      </c>
      <c r="H2083" s="128" t="s">
        <v>3858</v>
      </c>
      <c r="I2083" s="126" t="s">
        <v>421</v>
      </c>
      <c r="J2083" s="126" t="s">
        <v>5366</v>
      </c>
      <c r="K2083" s="127" t="s">
        <v>440</v>
      </c>
      <c r="L2083" s="127" t="s">
        <v>441</v>
      </c>
      <c r="M2083" s="127">
        <v>618905</v>
      </c>
      <c r="N2083" s="109"/>
      <c r="O2083" s="19"/>
      <c r="P2083" s="20"/>
      <c r="Q2083" s="20"/>
    </row>
    <row r="2084" spans="1:17" ht="24.9" customHeight="1">
      <c r="A2084" s="20">
        <v>392</v>
      </c>
      <c r="B2084" s="20" t="s">
        <v>4347</v>
      </c>
      <c r="C2084" s="19">
        <v>15</v>
      </c>
      <c r="D2084" s="46" t="s">
        <v>3769</v>
      </c>
      <c r="E2084" s="19" t="str">
        <f>VLOOKUP(D2084,'لیست پرسنل'!$B$2:$E$1020,3,FALSE)</f>
        <v>فکورصنعت</v>
      </c>
      <c r="F2084" s="19" t="str">
        <f>VLOOKUP(D2084,'لیست پرسنل'!$B$2:$E$1020,4,FALSE)</f>
        <v>مسئول دفتر مدیر سایت</v>
      </c>
      <c r="G2084" s="127">
        <f>VLOOKUP(D2084,'لیست پرسنل'!$B$2:$F$1020,2,FALSE)</f>
        <v>4010803</v>
      </c>
      <c r="H2084" s="128" t="s">
        <v>3858</v>
      </c>
      <c r="I2084" s="126" t="s">
        <v>421</v>
      </c>
      <c r="J2084" s="126" t="s">
        <v>5366</v>
      </c>
      <c r="K2084" s="127" t="s">
        <v>7713</v>
      </c>
      <c r="L2084" s="127" t="s">
        <v>7714</v>
      </c>
      <c r="M2084" s="127">
        <v>631323</v>
      </c>
      <c r="N2084" s="109"/>
      <c r="O2084" s="19"/>
      <c r="P2084" s="20"/>
      <c r="Q2084" s="20"/>
    </row>
    <row r="2085" spans="1:17" ht="24.9" customHeight="1">
      <c r="A2085" s="20">
        <v>392</v>
      </c>
      <c r="B2085" s="20" t="s">
        <v>4347</v>
      </c>
      <c r="C2085" s="19">
        <v>15</v>
      </c>
      <c r="D2085" s="46" t="s">
        <v>3769</v>
      </c>
      <c r="E2085" s="19" t="str">
        <f>VLOOKUP(D2085,'لیست پرسنل'!$B$2:$E$1020,3,FALSE)</f>
        <v>فکورصنعت</v>
      </c>
      <c r="F2085" s="19" t="str">
        <f>VLOOKUP(D2085,'لیست پرسنل'!$B$2:$E$1020,4,FALSE)</f>
        <v>مسئول دفتر مدیر سایت</v>
      </c>
      <c r="G2085" s="127">
        <f>VLOOKUP(D2085,'لیست پرسنل'!$B$2:$F$1020,2,FALSE)</f>
        <v>4010803</v>
      </c>
      <c r="H2085" s="128" t="s">
        <v>3858</v>
      </c>
      <c r="I2085" s="126" t="s">
        <v>421</v>
      </c>
      <c r="J2085" s="128" t="s">
        <v>571</v>
      </c>
      <c r="K2085" s="128"/>
      <c r="L2085" s="128"/>
      <c r="M2085" s="127">
        <v>623624</v>
      </c>
      <c r="N2085" s="109"/>
      <c r="O2085" s="20" t="s">
        <v>5291</v>
      </c>
      <c r="P2085" s="20"/>
      <c r="Q2085" s="20"/>
    </row>
    <row r="2086" spans="1:17" ht="24.9" customHeight="1">
      <c r="A2086" s="20">
        <v>392</v>
      </c>
      <c r="B2086" s="20" t="s">
        <v>4347</v>
      </c>
      <c r="C2086" s="19">
        <v>15</v>
      </c>
      <c r="D2086" s="46" t="s">
        <v>3769</v>
      </c>
      <c r="E2086" s="19" t="str">
        <f>VLOOKUP(D2086,'لیست پرسنل'!$B$2:$E$1020,3,FALSE)</f>
        <v>فکورصنعت</v>
      </c>
      <c r="F2086" s="19" t="str">
        <f>VLOOKUP(D2086,'لیست پرسنل'!$B$2:$E$1020,4,FALSE)</f>
        <v>مسئول دفتر مدیر سایت</v>
      </c>
      <c r="G2086" s="127">
        <f>VLOOKUP(D2086,'لیست پرسنل'!$B$2:$F$1020,2,FALSE)</f>
        <v>4010803</v>
      </c>
      <c r="H2086" s="128" t="s">
        <v>3858</v>
      </c>
      <c r="I2086" s="126" t="s">
        <v>421</v>
      </c>
      <c r="J2086" s="128" t="s">
        <v>2686</v>
      </c>
      <c r="K2086" s="127" t="s">
        <v>8113</v>
      </c>
      <c r="L2086" s="151" t="s">
        <v>3878</v>
      </c>
      <c r="M2086" s="127">
        <v>607710</v>
      </c>
      <c r="N2086" s="108"/>
      <c r="O2086" s="19"/>
      <c r="P2086" s="19"/>
      <c r="Q2086" s="19"/>
    </row>
    <row r="2087" spans="1:17" ht="24.9" customHeight="1">
      <c r="A2087" s="20">
        <v>392</v>
      </c>
      <c r="B2087" s="20" t="s">
        <v>4347</v>
      </c>
      <c r="C2087" s="19">
        <v>15</v>
      </c>
      <c r="D2087" s="46" t="s">
        <v>3769</v>
      </c>
      <c r="E2087" s="19" t="str">
        <f>VLOOKUP(D2087,'لیست پرسنل'!$B$2:$E$1020,3,FALSE)</f>
        <v>فکورصنعت</v>
      </c>
      <c r="F2087" s="19" t="str">
        <f>VLOOKUP(D2087,'لیست پرسنل'!$B$2:$E$1020,4,FALSE)</f>
        <v>مسئول دفتر مدیر سایت</v>
      </c>
      <c r="G2087" s="127">
        <f>VLOOKUP(D2087,'لیست پرسنل'!$B$2:$F$1020,2,FALSE)</f>
        <v>4010803</v>
      </c>
      <c r="H2087" s="128" t="s">
        <v>3858</v>
      </c>
      <c r="I2087" s="126" t="s">
        <v>421</v>
      </c>
      <c r="J2087" s="128" t="s">
        <v>1977</v>
      </c>
      <c r="K2087" s="127" t="s">
        <v>438</v>
      </c>
      <c r="L2087" s="127" t="s">
        <v>439</v>
      </c>
      <c r="M2087" s="127">
        <v>615581</v>
      </c>
      <c r="N2087" s="109"/>
      <c r="O2087" s="19"/>
      <c r="P2087" s="20"/>
      <c r="Q2087" s="20"/>
    </row>
    <row r="2088" spans="1:17" ht="24.9" customHeight="1">
      <c r="A2088" s="20">
        <v>392</v>
      </c>
      <c r="B2088" s="20" t="s">
        <v>4347</v>
      </c>
      <c r="C2088" s="19">
        <v>16</v>
      </c>
      <c r="D2088" s="46" t="s">
        <v>1278</v>
      </c>
      <c r="E2088" s="19" t="str">
        <f>VLOOKUP(D2088,'لیست پرسنل'!$B$2:$E$1020,3,FALSE)</f>
        <v>فکورصنعت</v>
      </c>
      <c r="F2088" s="19" t="str">
        <f>VLOOKUP(D2088,'لیست پرسنل'!$B$2:$E$1020,4,FALSE)</f>
        <v>مدیریت پروژه</v>
      </c>
      <c r="G2088" s="127" t="str">
        <f>VLOOKUP(D2088,'لیست پرسنل'!$B$2:$F$1020,2,FALSE)</f>
        <v>590</v>
      </c>
      <c r="H2088" s="128" t="s">
        <v>3859</v>
      </c>
      <c r="I2088" s="126" t="s">
        <v>422</v>
      </c>
      <c r="J2088" s="126" t="s">
        <v>5366</v>
      </c>
      <c r="K2088" s="127" t="s">
        <v>1040</v>
      </c>
      <c r="L2088" s="127" t="s">
        <v>1041</v>
      </c>
      <c r="M2088" s="127">
        <v>618907</v>
      </c>
      <c r="N2088" s="108"/>
      <c r="O2088" s="19"/>
      <c r="P2088" s="20"/>
      <c r="Q2088" s="20"/>
    </row>
    <row r="2089" spans="1:17" ht="24.9" customHeight="1">
      <c r="A2089" s="20">
        <v>392</v>
      </c>
      <c r="B2089" s="20" t="s">
        <v>4347</v>
      </c>
      <c r="C2089" s="19">
        <v>16</v>
      </c>
      <c r="D2089" s="46" t="s">
        <v>1278</v>
      </c>
      <c r="E2089" s="19" t="str">
        <f>VLOOKUP(D2089,'لیست پرسنل'!$B$2:$E$1020,3,FALSE)</f>
        <v>فکورصنعت</v>
      </c>
      <c r="F2089" s="19" t="str">
        <f>VLOOKUP(D2089,'لیست پرسنل'!$B$2:$E$1020,4,FALSE)</f>
        <v>مدیریت پروژه</v>
      </c>
      <c r="G2089" s="127" t="str">
        <f>VLOOKUP(D2089,'لیست پرسنل'!$B$2:$F$1020,2,FALSE)</f>
        <v>590</v>
      </c>
      <c r="H2089" s="128" t="s">
        <v>3859</v>
      </c>
      <c r="I2089" s="126" t="s">
        <v>422</v>
      </c>
      <c r="J2089" s="126" t="s">
        <v>571</v>
      </c>
      <c r="K2089" s="128"/>
      <c r="L2089" s="127"/>
      <c r="M2089" s="128">
        <v>607775</v>
      </c>
      <c r="N2089" s="108"/>
      <c r="O2089" s="20"/>
      <c r="P2089" s="20"/>
      <c r="Q2089" s="20"/>
    </row>
    <row r="2090" spans="1:17" ht="24.9" customHeight="1">
      <c r="A2090" s="20">
        <v>392</v>
      </c>
      <c r="B2090" s="20" t="s">
        <v>4347</v>
      </c>
      <c r="C2090" s="19">
        <v>16</v>
      </c>
      <c r="D2090" s="46" t="s">
        <v>1278</v>
      </c>
      <c r="E2090" s="19" t="str">
        <f>VLOOKUP(D2090,'لیست پرسنل'!$B$2:$E$1020,3,FALSE)</f>
        <v>فکورصنعت</v>
      </c>
      <c r="F2090" s="19" t="str">
        <f>VLOOKUP(D2090,'لیست پرسنل'!$B$2:$E$1020,4,FALSE)</f>
        <v>مدیریت پروژه</v>
      </c>
      <c r="G2090" s="127" t="str">
        <f>VLOOKUP(D2090,'لیست پرسنل'!$B$2:$F$1020,2,FALSE)</f>
        <v>590</v>
      </c>
      <c r="H2090" s="128" t="s">
        <v>3859</v>
      </c>
      <c r="I2090" s="126" t="s">
        <v>422</v>
      </c>
      <c r="J2090" s="128" t="s">
        <v>1977</v>
      </c>
      <c r="K2090" s="127" t="s">
        <v>438</v>
      </c>
      <c r="L2090" s="140"/>
      <c r="M2090" s="126" t="s">
        <v>291</v>
      </c>
      <c r="N2090" s="108"/>
      <c r="O2090" s="20"/>
      <c r="P2090" s="20"/>
      <c r="Q2090" s="20"/>
    </row>
    <row r="2091" spans="1:17" ht="24.9" customHeight="1">
      <c r="A2091" s="20">
        <v>392</v>
      </c>
      <c r="B2091" s="20" t="s">
        <v>4347</v>
      </c>
      <c r="C2091" s="19">
        <v>17</v>
      </c>
      <c r="D2091" s="20" t="s">
        <v>3800</v>
      </c>
      <c r="E2091" s="19" t="str">
        <f>VLOOKUP(D2091,'لیست پرسنل'!$B$2:$E$1020,3,FALSE)</f>
        <v>فکورصنعت</v>
      </c>
      <c r="F2091" s="19" t="str">
        <f>VLOOKUP(D2091,'لیست پرسنل'!$B$2:$E$1020,4,FALSE)</f>
        <v>سرپرست انبار</v>
      </c>
      <c r="G2091" s="127" t="str">
        <f>VLOOKUP(D2091,'لیست پرسنل'!$B$2:$F$1020,2,FALSE)</f>
        <v>3754</v>
      </c>
      <c r="H2091" s="128" t="s">
        <v>3798</v>
      </c>
      <c r="I2091" s="126" t="s">
        <v>582</v>
      </c>
      <c r="J2091" s="126" t="s">
        <v>368</v>
      </c>
      <c r="K2091" s="128" t="s">
        <v>693</v>
      </c>
      <c r="L2091" s="128" t="s">
        <v>3292</v>
      </c>
      <c r="M2091" s="127">
        <v>618864</v>
      </c>
      <c r="N2091" s="109"/>
      <c r="O2091" s="19"/>
      <c r="P2091" s="20"/>
      <c r="Q2091" s="20"/>
    </row>
    <row r="2092" spans="1:17" ht="24.9" customHeight="1">
      <c r="A2092" s="20">
        <v>392</v>
      </c>
      <c r="B2092" s="20" t="s">
        <v>4347</v>
      </c>
      <c r="C2092" s="19">
        <v>17</v>
      </c>
      <c r="D2092" s="20" t="s">
        <v>3800</v>
      </c>
      <c r="E2092" s="19" t="str">
        <f>VLOOKUP(D2092,'لیست پرسنل'!$B$2:$E$1020,3,FALSE)</f>
        <v>فکورصنعت</v>
      </c>
      <c r="F2092" s="19" t="str">
        <f>VLOOKUP(D2092,'لیست پرسنل'!$B$2:$E$1020,4,FALSE)</f>
        <v>سرپرست انبار</v>
      </c>
      <c r="G2092" s="127" t="str">
        <f>VLOOKUP(D2092,'لیست پرسنل'!$B$2:$F$1020,2,FALSE)</f>
        <v>3754</v>
      </c>
      <c r="H2092" s="128" t="s">
        <v>3798</v>
      </c>
      <c r="I2092" s="127" t="s">
        <v>582</v>
      </c>
      <c r="J2092" s="126" t="s">
        <v>5366</v>
      </c>
      <c r="K2092" s="127" t="s">
        <v>1073</v>
      </c>
      <c r="L2092" s="127" t="s">
        <v>3838</v>
      </c>
      <c r="M2092" s="127">
        <v>623602</v>
      </c>
      <c r="N2092" s="109"/>
      <c r="O2092" s="19" t="s">
        <v>3812</v>
      </c>
      <c r="P2092" s="20"/>
      <c r="Q2092" s="20"/>
    </row>
    <row r="2093" spans="1:17" ht="24.9" customHeight="1">
      <c r="A2093" s="20">
        <v>392</v>
      </c>
      <c r="B2093" s="20" t="s">
        <v>4347</v>
      </c>
      <c r="C2093" s="19">
        <v>17</v>
      </c>
      <c r="D2093" s="20" t="s">
        <v>3800</v>
      </c>
      <c r="E2093" s="19" t="str">
        <f>VLOOKUP(D2093,'لیست پرسنل'!$B$2:$E$1020,3,FALSE)</f>
        <v>فکورصنعت</v>
      </c>
      <c r="F2093" s="19" t="str">
        <f>VLOOKUP(D2093,'لیست پرسنل'!$B$2:$E$1020,4,FALSE)</f>
        <v>سرپرست انبار</v>
      </c>
      <c r="G2093" s="127" t="str">
        <f>VLOOKUP(D2093,'لیست پرسنل'!$B$2:$F$1020,2,FALSE)</f>
        <v>3754</v>
      </c>
      <c r="H2093" s="128" t="s">
        <v>3798</v>
      </c>
      <c r="I2093" s="126" t="s">
        <v>582</v>
      </c>
      <c r="J2093" s="126" t="s">
        <v>571</v>
      </c>
      <c r="K2093" s="134" t="s">
        <v>2219</v>
      </c>
      <c r="L2093" s="150"/>
      <c r="M2093" s="127">
        <v>628126</v>
      </c>
      <c r="N2093" s="109"/>
      <c r="O2093" s="19"/>
      <c r="P2093" s="20"/>
      <c r="Q2093" s="20"/>
    </row>
    <row r="2094" spans="1:17" ht="24.9" customHeight="1">
      <c r="A2094" s="20">
        <v>392</v>
      </c>
      <c r="B2094" s="20" t="s">
        <v>4347</v>
      </c>
      <c r="C2094" s="19">
        <v>17</v>
      </c>
      <c r="D2094" s="20" t="s">
        <v>3800</v>
      </c>
      <c r="E2094" s="19" t="str">
        <f>VLOOKUP(D2094,'لیست پرسنل'!$B$2:$E$1020,3,FALSE)</f>
        <v>فکورصنعت</v>
      </c>
      <c r="F2094" s="19" t="str">
        <f>VLOOKUP(D2094,'لیست پرسنل'!$B$2:$E$1020,4,FALSE)</f>
        <v>سرپرست انبار</v>
      </c>
      <c r="G2094" s="127" t="str">
        <f>VLOOKUP(D2094,'لیست پرسنل'!$B$2:$F$1020,2,FALSE)</f>
        <v>3754</v>
      </c>
      <c r="H2094" s="128" t="s">
        <v>3798</v>
      </c>
      <c r="I2094" s="126" t="s">
        <v>582</v>
      </c>
      <c r="J2094" s="128" t="s">
        <v>2686</v>
      </c>
      <c r="K2094" s="128" t="s">
        <v>6589</v>
      </c>
      <c r="L2094" s="127" t="s">
        <v>6626</v>
      </c>
      <c r="M2094" s="127">
        <v>633998</v>
      </c>
      <c r="N2094" s="109"/>
      <c r="O2094" s="19"/>
      <c r="P2094" s="32"/>
      <c r="Q2094" s="32"/>
    </row>
    <row r="2095" spans="1:17" ht="24.9" customHeight="1">
      <c r="A2095" s="20">
        <v>392</v>
      </c>
      <c r="B2095" s="20" t="s">
        <v>4347</v>
      </c>
      <c r="C2095" s="20">
        <v>18</v>
      </c>
      <c r="D2095" s="20" t="s">
        <v>3801</v>
      </c>
      <c r="E2095" s="19" t="str">
        <f>VLOOKUP(D2095,'لیست پرسنل'!$B$2:$E$1020,3,FALSE)</f>
        <v>فکورصنعت</v>
      </c>
      <c r="F2095" s="19" t="str">
        <f>VLOOKUP(D2095,'لیست پرسنل'!$B$2:$E$1020,4,FALSE)</f>
        <v>ایمنی</v>
      </c>
      <c r="G2095" s="127">
        <f>VLOOKUP(D2095,'لیست پرسنل'!$B$2:$F$1020,2,FALSE)</f>
        <v>800</v>
      </c>
      <c r="H2095" s="126" t="s">
        <v>3798</v>
      </c>
      <c r="I2095" s="127" t="s">
        <v>7398</v>
      </c>
      <c r="J2095" s="128" t="s">
        <v>368</v>
      </c>
      <c r="K2095" s="128" t="s">
        <v>2846</v>
      </c>
      <c r="L2095" s="128" t="s">
        <v>7638</v>
      </c>
      <c r="M2095" s="126">
        <v>634016</v>
      </c>
      <c r="N2095" s="109"/>
      <c r="O2095" s="20"/>
      <c r="P2095" s="20"/>
      <c r="Q2095" s="20"/>
    </row>
    <row r="2096" spans="1:17" ht="24.9" customHeight="1">
      <c r="A2096" s="20">
        <v>392</v>
      </c>
      <c r="B2096" s="20" t="s">
        <v>4347</v>
      </c>
      <c r="C2096" s="20">
        <v>18</v>
      </c>
      <c r="D2096" s="20" t="s">
        <v>3801</v>
      </c>
      <c r="E2096" s="19" t="str">
        <f>VLOOKUP(D2096,'لیست پرسنل'!$B$2:$E$1020,3,FALSE)</f>
        <v>فکورصنعت</v>
      </c>
      <c r="F2096" s="19" t="str">
        <f>VLOOKUP(D2096,'لیست پرسنل'!$B$2:$E$1020,4,FALSE)</f>
        <v>ایمنی</v>
      </c>
      <c r="G2096" s="127">
        <f>VLOOKUP(D2096,'لیست پرسنل'!$B$2:$F$1020,2,FALSE)</f>
        <v>800</v>
      </c>
      <c r="H2096" s="126" t="s">
        <v>3798</v>
      </c>
      <c r="I2096" s="127" t="s">
        <v>7398</v>
      </c>
      <c r="J2096" s="128" t="s">
        <v>571</v>
      </c>
      <c r="K2096" s="128" t="s">
        <v>6588</v>
      </c>
      <c r="L2096" s="127"/>
      <c r="M2096" s="127">
        <v>631992</v>
      </c>
      <c r="N2096" s="109"/>
      <c r="O2096" s="19"/>
      <c r="P2096" s="32"/>
      <c r="Q2096" s="32"/>
    </row>
    <row r="2097" spans="1:17" ht="24.9" customHeight="1">
      <c r="A2097" s="20">
        <v>392</v>
      </c>
      <c r="B2097" s="20" t="s">
        <v>4347</v>
      </c>
      <c r="C2097" s="20">
        <v>18</v>
      </c>
      <c r="D2097" s="20" t="s">
        <v>3801</v>
      </c>
      <c r="E2097" s="19" t="str">
        <f>VLOOKUP(D2097,'لیست پرسنل'!$B$2:$E$1020,3,FALSE)</f>
        <v>فکورصنعت</v>
      </c>
      <c r="F2097" s="19" t="str">
        <f>VLOOKUP(D2097,'لیست پرسنل'!$B$2:$E$1020,4,FALSE)</f>
        <v>ایمنی</v>
      </c>
      <c r="G2097" s="127">
        <f>VLOOKUP(D2097,'لیست پرسنل'!$B$2:$F$1020,2,FALSE)</f>
        <v>800</v>
      </c>
      <c r="H2097" s="126" t="s">
        <v>3798</v>
      </c>
      <c r="I2097" s="127" t="s">
        <v>7398</v>
      </c>
      <c r="J2097" s="128" t="s">
        <v>2686</v>
      </c>
      <c r="K2097" s="128" t="s">
        <v>6589</v>
      </c>
      <c r="L2097" s="127" t="s">
        <v>6618</v>
      </c>
      <c r="M2097" s="127">
        <v>633991</v>
      </c>
      <c r="N2097" s="109"/>
      <c r="O2097" s="19"/>
      <c r="P2097" s="32"/>
      <c r="Q2097" s="32"/>
    </row>
    <row r="2098" spans="1:17" ht="24.9" customHeight="1">
      <c r="A2098" s="20">
        <v>392</v>
      </c>
      <c r="B2098" s="20" t="s">
        <v>4347</v>
      </c>
      <c r="C2098" s="20">
        <v>19</v>
      </c>
      <c r="D2098" s="19" t="s">
        <v>202</v>
      </c>
      <c r="E2098" s="19" t="str">
        <f>VLOOKUP(D2098,'لیست پرسنل'!$B$2:$E$1020,3,FALSE)</f>
        <v>فکورصنعت</v>
      </c>
      <c r="F2098" s="19" t="str">
        <f>VLOOKUP(D2098,'لیست پرسنل'!$B$2:$E$1020,4,FALSE)</f>
        <v>ایمنی</v>
      </c>
      <c r="G2098" s="127" t="str">
        <f>VLOOKUP(D2098,'لیست پرسنل'!$B$2:$F$1020,2,FALSE)</f>
        <v>6301</v>
      </c>
      <c r="H2098" s="128" t="s">
        <v>3798</v>
      </c>
      <c r="I2098" s="127" t="s">
        <v>616</v>
      </c>
      <c r="J2098" s="126" t="s">
        <v>368</v>
      </c>
      <c r="K2098" s="128" t="s">
        <v>693</v>
      </c>
      <c r="L2098" s="150" t="s">
        <v>762</v>
      </c>
      <c r="M2098" s="128">
        <v>618881</v>
      </c>
      <c r="N2098" s="108" t="s">
        <v>2857</v>
      </c>
      <c r="O2098" s="20"/>
      <c r="P2098" s="20"/>
      <c r="Q2098" s="20"/>
    </row>
    <row r="2099" spans="1:17" ht="24.9" customHeight="1">
      <c r="A2099" s="20">
        <v>392</v>
      </c>
      <c r="B2099" s="20" t="s">
        <v>4347</v>
      </c>
      <c r="C2099" s="20">
        <v>19</v>
      </c>
      <c r="D2099" s="19" t="s">
        <v>202</v>
      </c>
      <c r="E2099" s="19" t="str">
        <f>VLOOKUP(D2099,'لیست پرسنل'!$B$2:$E$1020,3,FALSE)</f>
        <v>فکورصنعت</v>
      </c>
      <c r="F2099" s="19" t="str">
        <f>VLOOKUP(D2099,'لیست پرسنل'!$B$2:$E$1020,4,FALSE)</f>
        <v>ایمنی</v>
      </c>
      <c r="G2099" s="127" t="str">
        <f>VLOOKUP(D2099,'لیست پرسنل'!$B$2:$F$1020,2,FALSE)</f>
        <v>6301</v>
      </c>
      <c r="H2099" s="128" t="s">
        <v>3798</v>
      </c>
      <c r="I2099" s="127" t="s">
        <v>616</v>
      </c>
      <c r="J2099" s="151" t="s">
        <v>5366</v>
      </c>
      <c r="K2099" s="128" t="s">
        <v>3308</v>
      </c>
      <c r="L2099" s="151"/>
      <c r="M2099" s="141">
        <v>619107</v>
      </c>
      <c r="N2099" s="108"/>
      <c r="O2099" s="20"/>
      <c r="P2099" s="20"/>
      <c r="Q2099" s="20"/>
    </row>
    <row r="2100" spans="1:17" ht="24.9" customHeight="1">
      <c r="A2100" s="20">
        <v>392</v>
      </c>
      <c r="B2100" s="20" t="s">
        <v>4347</v>
      </c>
      <c r="C2100" s="20">
        <v>19</v>
      </c>
      <c r="D2100" s="19" t="s">
        <v>202</v>
      </c>
      <c r="E2100" s="19" t="str">
        <f>VLOOKUP(D2100,'لیست پرسنل'!$B$2:$E$1020,3,FALSE)</f>
        <v>فکورصنعت</v>
      </c>
      <c r="F2100" s="19" t="str">
        <f>VLOOKUP(D2100,'لیست پرسنل'!$B$2:$E$1020,4,FALSE)</f>
        <v>ایمنی</v>
      </c>
      <c r="G2100" s="127" t="str">
        <f>VLOOKUP(D2100,'لیست پرسنل'!$B$2:$F$1020,2,FALSE)</f>
        <v>6301</v>
      </c>
      <c r="H2100" s="128" t="s">
        <v>3798</v>
      </c>
      <c r="I2100" s="127" t="s">
        <v>616</v>
      </c>
      <c r="J2100" s="126" t="s">
        <v>571</v>
      </c>
      <c r="K2100" s="127"/>
      <c r="L2100" s="151"/>
      <c r="M2100" s="128">
        <v>602411</v>
      </c>
      <c r="N2100" s="108" t="s">
        <v>7233</v>
      </c>
      <c r="O2100" s="20"/>
      <c r="P2100" s="20"/>
      <c r="Q2100" s="20"/>
    </row>
    <row r="2101" spans="1:17" ht="24.9" customHeight="1">
      <c r="A2101" s="20">
        <v>392</v>
      </c>
      <c r="B2101" s="20" t="s">
        <v>4347</v>
      </c>
      <c r="C2101" s="20">
        <v>19</v>
      </c>
      <c r="D2101" s="19" t="s">
        <v>202</v>
      </c>
      <c r="E2101" s="19" t="str">
        <f>VLOOKUP(D2101,'لیست پرسنل'!$B$2:$E$1020,3,FALSE)</f>
        <v>فکورصنعت</v>
      </c>
      <c r="F2101" s="19" t="str">
        <f>VLOOKUP(D2101,'لیست پرسنل'!$B$2:$E$1020,4,FALSE)</f>
        <v>ایمنی</v>
      </c>
      <c r="G2101" s="127" t="str">
        <f>VLOOKUP(D2101,'لیست پرسنل'!$B$2:$F$1020,2,FALSE)</f>
        <v>6301</v>
      </c>
      <c r="H2101" s="128" t="s">
        <v>3798</v>
      </c>
      <c r="I2101" s="127" t="s">
        <v>616</v>
      </c>
      <c r="J2101" s="128" t="s">
        <v>2686</v>
      </c>
      <c r="K2101" s="127" t="s">
        <v>3814</v>
      </c>
      <c r="L2101" s="151" t="s">
        <v>549</v>
      </c>
      <c r="M2101" s="128">
        <v>610114</v>
      </c>
      <c r="N2101" s="108" t="s">
        <v>2857</v>
      </c>
      <c r="O2101" s="20"/>
      <c r="P2101" s="20"/>
      <c r="Q2101" s="20"/>
    </row>
    <row r="2102" spans="1:17" ht="24.9" customHeight="1">
      <c r="A2102" s="20">
        <v>392</v>
      </c>
      <c r="B2102" s="20" t="s">
        <v>4347</v>
      </c>
      <c r="C2102" s="19">
        <v>22</v>
      </c>
      <c r="D2102" s="19" t="s">
        <v>424</v>
      </c>
      <c r="E2102" s="19" t="str">
        <f>VLOOKUP(D2102,'لیست پرسنل'!$B$2:$E$1020,3,FALSE)</f>
        <v>فکورصنعت</v>
      </c>
      <c r="F2102" s="19" t="str">
        <f>VLOOKUP(D2102,'لیست پرسنل'!$B$2:$E$1020,4,FALSE)</f>
        <v>پشتیبانی</v>
      </c>
      <c r="G2102" s="127">
        <f>VLOOKUP(D2102,'لیست پرسنل'!$B$2:$F$1020,2,FALSE)</f>
        <v>6302</v>
      </c>
      <c r="H2102" s="128" t="s">
        <v>3817</v>
      </c>
      <c r="I2102" s="127" t="s">
        <v>691</v>
      </c>
      <c r="J2102" s="126" t="s">
        <v>571</v>
      </c>
      <c r="K2102" s="127"/>
      <c r="L2102" s="151"/>
      <c r="M2102" s="127">
        <v>601496</v>
      </c>
      <c r="N2102" s="109"/>
      <c r="O2102" s="20"/>
      <c r="P2102" s="20"/>
      <c r="Q2102" s="20"/>
    </row>
    <row r="2103" spans="1:17" ht="24.9" customHeight="1">
      <c r="A2103" s="20">
        <v>392</v>
      </c>
      <c r="B2103" s="20" t="s">
        <v>4347</v>
      </c>
      <c r="C2103" s="19">
        <v>22</v>
      </c>
      <c r="D2103" s="19" t="s">
        <v>424</v>
      </c>
      <c r="E2103" s="19" t="str">
        <f>VLOOKUP(D2103,'لیست پرسنل'!$B$2:$E$1020,3,FALSE)</f>
        <v>فکورصنعت</v>
      </c>
      <c r="F2103" s="19" t="str">
        <f>VLOOKUP(D2103,'لیست پرسنل'!$B$2:$E$1020,4,FALSE)</f>
        <v>پشتیبانی</v>
      </c>
      <c r="G2103" s="127">
        <f>VLOOKUP(D2103,'لیست پرسنل'!$B$2:$F$1020,2,FALSE)</f>
        <v>6302</v>
      </c>
      <c r="H2103" s="128" t="s">
        <v>3817</v>
      </c>
      <c r="I2103" s="127" t="s">
        <v>691</v>
      </c>
      <c r="J2103" s="128" t="s">
        <v>2686</v>
      </c>
      <c r="K2103" s="127" t="s">
        <v>621</v>
      </c>
      <c r="L2103" s="151" t="s">
        <v>1862</v>
      </c>
      <c r="M2103" s="127">
        <v>613923</v>
      </c>
      <c r="N2103" s="108"/>
      <c r="O2103" s="20"/>
      <c r="P2103" s="20"/>
      <c r="Q2103" s="20"/>
    </row>
    <row r="2104" spans="1:17" ht="24.9" customHeight="1">
      <c r="A2104" s="20">
        <v>392</v>
      </c>
      <c r="B2104" s="20" t="s">
        <v>4347</v>
      </c>
      <c r="C2104" s="20">
        <v>23</v>
      </c>
      <c r="D2104" s="46" t="s">
        <v>769</v>
      </c>
      <c r="E2104" s="19" t="str">
        <f>VLOOKUP(D2104,'لیست پرسنل'!$B$2:$E$1020,3,FALSE)</f>
        <v>فکورصنعت</v>
      </c>
      <c r="F2104" s="19" t="str">
        <f>VLOOKUP(D2104,'لیست پرسنل'!$B$2:$E$1020,4,FALSE)</f>
        <v>کنترل پروژه</v>
      </c>
      <c r="G2104" s="127" t="str">
        <f>VLOOKUP(D2104,'لیست پرسنل'!$B$2:$F$1020,2,FALSE)</f>
        <v>6305</v>
      </c>
      <c r="H2104" s="128" t="s">
        <v>3798</v>
      </c>
      <c r="I2104" s="127" t="s">
        <v>778</v>
      </c>
      <c r="J2104" s="128" t="s">
        <v>737</v>
      </c>
      <c r="K2104" s="127" t="s">
        <v>221</v>
      </c>
      <c r="L2104" s="127" t="s">
        <v>222</v>
      </c>
      <c r="M2104" s="127">
        <v>601598</v>
      </c>
      <c r="N2104" s="108"/>
      <c r="O2104" s="19"/>
      <c r="P2104" s="20"/>
      <c r="Q2104" s="20"/>
    </row>
    <row r="2105" spans="1:17" ht="24.9" customHeight="1">
      <c r="A2105" s="20">
        <v>392</v>
      </c>
      <c r="B2105" s="20" t="s">
        <v>4347</v>
      </c>
      <c r="C2105" s="20">
        <v>23</v>
      </c>
      <c r="D2105" s="46" t="s">
        <v>769</v>
      </c>
      <c r="E2105" s="19" t="str">
        <f>VLOOKUP(D2105,'لیست پرسنل'!$B$2:$E$1020,3,FALSE)</f>
        <v>فکورصنعت</v>
      </c>
      <c r="F2105" s="19" t="str">
        <f>VLOOKUP(D2105,'لیست پرسنل'!$B$2:$E$1020,4,FALSE)</f>
        <v>کنترل پروژه</v>
      </c>
      <c r="G2105" s="127" t="str">
        <f>VLOOKUP(D2105,'لیست پرسنل'!$B$2:$F$1020,2,FALSE)</f>
        <v>6305</v>
      </c>
      <c r="H2105" s="128" t="s">
        <v>3798</v>
      </c>
      <c r="I2105" s="127" t="s">
        <v>778</v>
      </c>
      <c r="J2105" s="128" t="s">
        <v>737</v>
      </c>
      <c r="K2105" s="128" t="s">
        <v>8442</v>
      </c>
      <c r="L2105" s="128" t="s">
        <v>7690</v>
      </c>
      <c r="M2105" s="127">
        <v>636024</v>
      </c>
      <c r="N2105" s="108"/>
      <c r="O2105" s="20"/>
      <c r="P2105" s="20"/>
      <c r="Q2105" s="20"/>
    </row>
    <row r="2106" spans="1:17" ht="24.9" customHeight="1">
      <c r="A2106" s="20">
        <v>392</v>
      </c>
      <c r="B2106" s="20" t="s">
        <v>4347</v>
      </c>
      <c r="C2106" s="20">
        <v>23</v>
      </c>
      <c r="D2106" s="46" t="s">
        <v>769</v>
      </c>
      <c r="E2106" s="19" t="str">
        <f>VLOOKUP(D2106,'لیست پرسنل'!$B$2:$E$1020,3,FALSE)</f>
        <v>فکورصنعت</v>
      </c>
      <c r="F2106" s="19" t="str">
        <f>VLOOKUP(D2106,'لیست پرسنل'!$B$2:$E$1020,4,FALSE)</f>
        <v>کنترل پروژه</v>
      </c>
      <c r="G2106" s="127" t="str">
        <f>VLOOKUP(D2106,'لیست پرسنل'!$B$2:$F$1020,2,FALSE)</f>
        <v>6305</v>
      </c>
      <c r="H2106" s="128" t="s">
        <v>3798</v>
      </c>
      <c r="I2106" s="127" t="s">
        <v>778</v>
      </c>
      <c r="J2106" s="128" t="s">
        <v>737</v>
      </c>
      <c r="K2106" s="128" t="s">
        <v>8443</v>
      </c>
      <c r="L2106" s="128" t="s">
        <v>7780</v>
      </c>
      <c r="M2106" s="127">
        <v>636025</v>
      </c>
      <c r="N2106" s="108"/>
      <c r="O2106" s="20"/>
      <c r="P2106" s="20"/>
      <c r="Q2106" s="20"/>
    </row>
    <row r="2107" spans="1:17" ht="24.9" customHeight="1">
      <c r="A2107" s="20">
        <v>392</v>
      </c>
      <c r="B2107" s="20" t="s">
        <v>4347</v>
      </c>
      <c r="C2107" s="20">
        <v>23</v>
      </c>
      <c r="D2107" s="46" t="s">
        <v>769</v>
      </c>
      <c r="E2107" s="19" t="str">
        <f>VLOOKUP(D2107,'لیست پرسنل'!$B$2:$E$1020,3,FALSE)</f>
        <v>فکورصنعت</v>
      </c>
      <c r="F2107" s="19" t="str">
        <f>VLOOKUP(D2107,'لیست پرسنل'!$B$2:$E$1020,4,FALSE)</f>
        <v>کنترل پروژه</v>
      </c>
      <c r="G2107" s="127" t="str">
        <f>VLOOKUP(D2107,'لیست پرسنل'!$B$2:$F$1020,2,FALSE)</f>
        <v>6305</v>
      </c>
      <c r="H2107" s="128" t="s">
        <v>3798</v>
      </c>
      <c r="I2107" s="127" t="s">
        <v>778</v>
      </c>
      <c r="J2107" s="126" t="s">
        <v>368</v>
      </c>
      <c r="K2107" s="132" t="s">
        <v>660</v>
      </c>
      <c r="L2107" s="127" t="s">
        <v>760</v>
      </c>
      <c r="M2107" s="127">
        <v>618895</v>
      </c>
      <c r="N2107" s="108"/>
      <c r="O2107" s="19"/>
      <c r="P2107" s="20"/>
      <c r="Q2107" s="20"/>
    </row>
    <row r="2108" spans="1:17" ht="24.9" customHeight="1">
      <c r="A2108" s="20">
        <v>392</v>
      </c>
      <c r="B2108" s="20" t="s">
        <v>4347</v>
      </c>
      <c r="C2108" s="20">
        <v>23</v>
      </c>
      <c r="D2108" s="46" t="s">
        <v>769</v>
      </c>
      <c r="E2108" s="19" t="str">
        <f>VLOOKUP(D2108,'لیست پرسنل'!$B$2:$E$1020,3,FALSE)</f>
        <v>فکورصنعت</v>
      </c>
      <c r="F2108" s="19" t="str">
        <f>VLOOKUP(D2108,'لیست پرسنل'!$B$2:$E$1020,4,FALSE)</f>
        <v>کنترل پروژه</v>
      </c>
      <c r="G2108" s="127" t="str">
        <f>VLOOKUP(D2108,'لیست پرسنل'!$B$2:$F$1020,2,FALSE)</f>
        <v>6305</v>
      </c>
      <c r="H2108" s="128" t="s">
        <v>3798</v>
      </c>
      <c r="I2108" s="127" t="s">
        <v>778</v>
      </c>
      <c r="J2108" s="128" t="s">
        <v>885</v>
      </c>
      <c r="K2108" s="128" t="s">
        <v>3141</v>
      </c>
      <c r="L2108" s="150" t="s">
        <v>3151</v>
      </c>
      <c r="M2108" s="128">
        <v>620805</v>
      </c>
      <c r="N2108" s="108"/>
      <c r="O2108" s="19"/>
      <c r="P2108" s="20"/>
      <c r="Q2108" s="20"/>
    </row>
    <row r="2109" spans="1:17" ht="24.9" customHeight="1">
      <c r="A2109" s="20">
        <v>392</v>
      </c>
      <c r="B2109" s="20" t="s">
        <v>4347</v>
      </c>
      <c r="C2109" s="20">
        <v>23</v>
      </c>
      <c r="D2109" s="46" t="s">
        <v>769</v>
      </c>
      <c r="E2109" s="19" t="str">
        <f>VLOOKUP(D2109,'لیست پرسنل'!$B$2:$E$1020,3,FALSE)</f>
        <v>فکورصنعت</v>
      </c>
      <c r="F2109" s="19" t="str">
        <f>VLOOKUP(D2109,'لیست پرسنل'!$B$2:$E$1020,4,FALSE)</f>
        <v>کنترل پروژه</v>
      </c>
      <c r="G2109" s="127" t="str">
        <f>VLOOKUP(D2109,'لیست پرسنل'!$B$2:$F$1020,2,FALSE)</f>
        <v>6305</v>
      </c>
      <c r="H2109" s="128" t="s">
        <v>3798</v>
      </c>
      <c r="I2109" s="127" t="s">
        <v>778</v>
      </c>
      <c r="J2109" s="128" t="s">
        <v>885</v>
      </c>
      <c r="K2109" s="128" t="s">
        <v>3297</v>
      </c>
      <c r="L2109" s="128"/>
      <c r="M2109" s="128">
        <v>620835</v>
      </c>
      <c r="N2109" s="108"/>
      <c r="O2109" s="19"/>
      <c r="P2109" s="20"/>
      <c r="Q2109" s="20"/>
    </row>
    <row r="2110" spans="1:17" ht="24.9" customHeight="1">
      <c r="A2110" s="20">
        <v>392</v>
      </c>
      <c r="B2110" s="20" t="s">
        <v>4347</v>
      </c>
      <c r="C2110" s="20">
        <v>23</v>
      </c>
      <c r="D2110" s="46" t="s">
        <v>769</v>
      </c>
      <c r="E2110" s="19" t="str">
        <f>VLOOKUP(D2110,'لیست پرسنل'!$B$2:$E$1020,3,FALSE)</f>
        <v>فکورصنعت</v>
      </c>
      <c r="F2110" s="19" t="str">
        <f>VLOOKUP(D2110,'لیست پرسنل'!$B$2:$E$1020,4,FALSE)</f>
        <v>کنترل پروژه</v>
      </c>
      <c r="G2110" s="127" t="str">
        <f>VLOOKUP(D2110,'لیست پرسنل'!$B$2:$F$1020,2,FALSE)</f>
        <v>6305</v>
      </c>
      <c r="H2110" s="128" t="s">
        <v>3798</v>
      </c>
      <c r="I2110" s="127" t="s">
        <v>778</v>
      </c>
      <c r="J2110" s="126" t="s">
        <v>571</v>
      </c>
      <c r="K2110" s="127"/>
      <c r="L2110" s="151"/>
      <c r="M2110" s="128">
        <v>627726</v>
      </c>
      <c r="N2110" s="108"/>
      <c r="O2110" s="19"/>
      <c r="P2110" s="20"/>
      <c r="Q2110" s="20"/>
    </row>
    <row r="2111" spans="1:17" ht="24.9" customHeight="1">
      <c r="A2111" s="20">
        <v>392</v>
      </c>
      <c r="B2111" s="20" t="s">
        <v>4347</v>
      </c>
      <c r="C2111" s="20">
        <v>23</v>
      </c>
      <c r="D2111" s="20" t="s">
        <v>769</v>
      </c>
      <c r="E2111" s="19" t="str">
        <f>VLOOKUP(D2111,'لیست پرسنل'!$B$2:$E$1020,3,FALSE)</f>
        <v>فکورصنعت</v>
      </c>
      <c r="F2111" s="19" t="str">
        <f>VLOOKUP(D2111,'لیست پرسنل'!$B$2:$E$1020,4,FALSE)</f>
        <v>کنترل پروژه</v>
      </c>
      <c r="G2111" s="127" t="str">
        <f>VLOOKUP(D2111,'لیست پرسنل'!$B$2:$F$1020,2,FALSE)</f>
        <v>6305</v>
      </c>
      <c r="H2111" s="128" t="s">
        <v>7974</v>
      </c>
      <c r="I2111" s="128" t="s">
        <v>778</v>
      </c>
      <c r="J2111" s="128" t="s">
        <v>2686</v>
      </c>
      <c r="K2111" s="128" t="s">
        <v>7618</v>
      </c>
      <c r="L2111" s="128" t="s">
        <v>7621</v>
      </c>
      <c r="M2111" s="126">
        <v>636099</v>
      </c>
      <c r="N2111" s="109"/>
      <c r="O2111" s="20"/>
      <c r="P2111" s="20"/>
      <c r="Q2111" s="20"/>
    </row>
    <row r="2112" spans="1:17" ht="24.9" customHeight="1">
      <c r="A2112" s="20">
        <v>392</v>
      </c>
      <c r="B2112" s="20" t="s">
        <v>4347</v>
      </c>
      <c r="C2112" s="20">
        <v>25</v>
      </c>
      <c r="D2112" s="20" t="s">
        <v>3805</v>
      </c>
      <c r="E2112" s="19" t="str">
        <f>VLOOKUP(D2112,'لیست پرسنل'!$B$2:$E$1020,3,FALSE)</f>
        <v>خوشنام نیرو</v>
      </c>
      <c r="F2112" s="19" t="str">
        <f>VLOOKUP(D2112,'لیست پرسنل'!$B$2:$E$1020,4,FALSE)</f>
        <v>انبار</v>
      </c>
      <c r="G2112" s="127" t="str">
        <f>VLOOKUP(D2112,'لیست پرسنل'!$B$2:$F$1020,2,FALSE)</f>
        <v>0</v>
      </c>
      <c r="H2112" s="128" t="s">
        <v>3798</v>
      </c>
      <c r="I2112" s="127" t="s">
        <v>1037</v>
      </c>
      <c r="J2112" s="126" t="s">
        <v>368</v>
      </c>
      <c r="K2112" s="128" t="s">
        <v>658</v>
      </c>
      <c r="L2112" s="128" t="s">
        <v>2530</v>
      </c>
      <c r="M2112" s="127">
        <v>621766</v>
      </c>
      <c r="N2112" s="109"/>
      <c r="O2112" s="19"/>
      <c r="P2112" s="20"/>
      <c r="Q2112" s="20"/>
    </row>
    <row r="2113" spans="1:17" ht="24.9" customHeight="1">
      <c r="A2113" s="20">
        <v>392</v>
      </c>
      <c r="B2113" s="20" t="s">
        <v>4347</v>
      </c>
      <c r="C2113" s="20">
        <v>25</v>
      </c>
      <c r="D2113" s="20" t="s">
        <v>3805</v>
      </c>
      <c r="E2113" s="19" t="str">
        <f>VLOOKUP(D2113,'لیست پرسنل'!$B$2:$E$1020,3,FALSE)</f>
        <v>خوشنام نیرو</v>
      </c>
      <c r="F2113" s="19" t="str">
        <f>VLOOKUP(D2113,'لیست پرسنل'!$B$2:$E$1020,4,FALSE)</f>
        <v>انبار</v>
      </c>
      <c r="G2113" s="127" t="str">
        <f>VLOOKUP(D2113,'لیست پرسنل'!$B$2:$F$1020,2,FALSE)</f>
        <v>0</v>
      </c>
      <c r="H2113" s="151" t="s">
        <v>3798</v>
      </c>
      <c r="I2113" s="128" t="s">
        <v>1037</v>
      </c>
      <c r="J2113" s="141" t="s">
        <v>571</v>
      </c>
      <c r="K2113" s="135" t="s">
        <v>5782</v>
      </c>
      <c r="L2113" s="154" t="s">
        <v>2219</v>
      </c>
      <c r="M2113" s="127">
        <v>632052</v>
      </c>
      <c r="N2113" s="108" t="s">
        <v>769</v>
      </c>
      <c r="O2113" s="20"/>
      <c r="P2113" s="20"/>
      <c r="Q2113" s="20"/>
    </row>
    <row r="2114" spans="1:17" ht="24.9" customHeight="1">
      <c r="A2114" s="20">
        <v>392</v>
      </c>
      <c r="B2114" s="20" t="s">
        <v>4347</v>
      </c>
      <c r="C2114" s="20">
        <v>25</v>
      </c>
      <c r="D2114" s="20" t="s">
        <v>3805</v>
      </c>
      <c r="E2114" s="19" t="str">
        <f>VLOOKUP(D2114,'لیست پرسنل'!$B$2:$E$1020,3,FALSE)</f>
        <v>خوشنام نیرو</v>
      </c>
      <c r="F2114" s="19" t="str">
        <f>VLOOKUP(D2114,'لیست پرسنل'!$B$2:$E$1020,4,FALSE)</f>
        <v>انبار</v>
      </c>
      <c r="G2114" s="127" t="str">
        <f>VLOOKUP(D2114,'لیست پرسنل'!$B$2:$F$1020,2,FALSE)</f>
        <v>0</v>
      </c>
      <c r="H2114" s="128" t="s">
        <v>3798</v>
      </c>
      <c r="I2114" s="127" t="s">
        <v>1037</v>
      </c>
      <c r="J2114" s="128" t="s">
        <v>2686</v>
      </c>
      <c r="K2114" s="127" t="s">
        <v>2922</v>
      </c>
      <c r="L2114" s="151" t="s">
        <v>3030</v>
      </c>
      <c r="M2114" s="127">
        <v>626513</v>
      </c>
      <c r="N2114" s="108"/>
      <c r="O2114" s="20"/>
      <c r="P2114" s="20"/>
      <c r="Q2114" s="20"/>
    </row>
    <row r="2115" spans="1:17" ht="24.9" customHeight="1">
      <c r="A2115" s="20">
        <v>392</v>
      </c>
      <c r="B2115" s="20" t="s">
        <v>4347</v>
      </c>
      <c r="C2115" s="20">
        <v>26</v>
      </c>
      <c r="D2115" s="20" t="s">
        <v>3806</v>
      </c>
      <c r="E2115" s="19" t="str">
        <f>VLOOKUP(D2115,'لیست پرسنل'!$B$2:$E$1020,3,FALSE)</f>
        <v>فکورصنعت</v>
      </c>
      <c r="F2115" s="19" t="str">
        <f>VLOOKUP(D2115,'لیست پرسنل'!$B$2:$E$1020,4,FALSE)</f>
        <v>کنترل پروژه</v>
      </c>
      <c r="G2115" s="127" t="str">
        <f>VLOOKUP(D2115,'لیست پرسنل'!$B$2:$F$1020,2,FALSE)</f>
        <v>98122</v>
      </c>
      <c r="H2115" s="128" t="s">
        <v>3798</v>
      </c>
      <c r="I2115" s="127" t="s">
        <v>1090</v>
      </c>
      <c r="J2115" s="127" t="s">
        <v>3818</v>
      </c>
      <c r="K2115" s="127" t="s">
        <v>3349</v>
      </c>
      <c r="L2115" s="127" t="s">
        <v>3350</v>
      </c>
      <c r="M2115" s="126" t="s">
        <v>291</v>
      </c>
      <c r="N2115" s="109"/>
      <c r="O2115" s="19"/>
      <c r="P2115" s="20"/>
      <c r="Q2115" s="20"/>
    </row>
    <row r="2116" spans="1:17" ht="24.9" customHeight="1">
      <c r="A2116" s="20">
        <v>392</v>
      </c>
      <c r="B2116" s="20" t="s">
        <v>4347</v>
      </c>
      <c r="C2116" s="20">
        <v>27</v>
      </c>
      <c r="D2116" s="20" t="s">
        <v>1291</v>
      </c>
      <c r="E2116" s="19" t="str">
        <f>VLOOKUP(D2116,'لیست پرسنل'!$B$2:$E$1020,3,FALSE)</f>
        <v>فکورصنعت</v>
      </c>
      <c r="F2116" s="19" t="str">
        <f>VLOOKUP(D2116,'لیست پرسنل'!$B$2:$E$1020,4,FALSE)</f>
        <v>نظارت مکانیک</v>
      </c>
      <c r="G2116" s="127">
        <f>VLOOKUP(D2116,'لیست پرسنل'!$B$2:$F$1020,2,FALSE)</f>
        <v>98142</v>
      </c>
      <c r="H2116" s="128" t="s">
        <v>3798</v>
      </c>
      <c r="I2116" s="127" t="s">
        <v>1125</v>
      </c>
      <c r="J2116" s="126" t="s">
        <v>368</v>
      </c>
      <c r="K2116" s="128" t="s">
        <v>693</v>
      </c>
      <c r="L2116" s="128" t="s">
        <v>1292</v>
      </c>
      <c r="M2116" s="128">
        <v>618871</v>
      </c>
      <c r="N2116" s="108"/>
      <c r="O2116" s="20"/>
      <c r="P2116" s="20"/>
      <c r="Q2116" s="20"/>
    </row>
    <row r="2117" spans="1:17" ht="24.9" customHeight="1">
      <c r="A2117" s="20">
        <v>392</v>
      </c>
      <c r="B2117" s="20" t="s">
        <v>4347</v>
      </c>
      <c r="C2117" s="20">
        <v>27</v>
      </c>
      <c r="D2117" s="20" t="s">
        <v>1291</v>
      </c>
      <c r="E2117" s="19" t="str">
        <f>VLOOKUP(D2117,'لیست پرسنل'!$B$2:$E$1020,3,FALSE)</f>
        <v>فکورصنعت</v>
      </c>
      <c r="F2117" s="19" t="str">
        <f>VLOOKUP(D2117,'لیست پرسنل'!$B$2:$E$1020,4,FALSE)</f>
        <v>نظارت مکانیک</v>
      </c>
      <c r="G2117" s="127">
        <f>VLOOKUP(D2117,'لیست پرسنل'!$B$2:$F$1020,2,FALSE)</f>
        <v>98142</v>
      </c>
      <c r="H2117" s="128" t="s">
        <v>3798</v>
      </c>
      <c r="I2117" s="127" t="s">
        <v>1125</v>
      </c>
      <c r="J2117" s="126" t="s">
        <v>571</v>
      </c>
      <c r="K2117" s="127"/>
      <c r="L2117" s="151"/>
      <c r="M2117" s="128">
        <v>624102</v>
      </c>
      <c r="N2117" s="108"/>
      <c r="O2117" s="20"/>
      <c r="P2117" s="20"/>
      <c r="Q2117" s="20"/>
    </row>
    <row r="2118" spans="1:17" ht="24.9" customHeight="1">
      <c r="A2118" s="20">
        <v>392</v>
      </c>
      <c r="B2118" s="20" t="s">
        <v>4347</v>
      </c>
      <c r="C2118" s="20">
        <v>27</v>
      </c>
      <c r="D2118" s="20" t="s">
        <v>1291</v>
      </c>
      <c r="E2118" s="19" t="str">
        <f>VLOOKUP(D2118,'لیست پرسنل'!$B$2:$E$1020,3,FALSE)</f>
        <v>فکورصنعت</v>
      </c>
      <c r="F2118" s="19" t="str">
        <f>VLOOKUP(D2118,'لیست پرسنل'!$B$2:$E$1020,4,FALSE)</f>
        <v>نظارت مکانیک</v>
      </c>
      <c r="G2118" s="127">
        <f>VLOOKUP(D2118,'لیست پرسنل'!$B$2:$F$1020,2,FALSE)</f>
        <v>98142</v>
      </c>
      <c r="H2118" s="128" t="s">
        <v>3798</v>
      </c>
      <c r="I2118" s="127" t="s">
        <v>1125</v>
      </c>
      <c r="J2118" s="128" t="s">
        <v>2686</v>
      </c>
      <c r="K2118" s="127" t="s">
        <v>2922</v>
      </c>
      <c r="L2118" s="151" t="s">
        <v>3014</v>
      </c>
      <c r="M2118" s="127">
        <v>626497</v>
      </c>
      <c r="N2118" s="108"/>
      <c r="O2118" s="20"/>
      <c r="P2118" s="20"/>
      <c r="Q2118" s="20"/>
    </row>
    <row r="2119" spans="1:17" ht="24.9" customHeight="1">
      <c r="A2119" s="20">
        <v>392</v>
      </c>
      <c r="B2119" s="20" t="s">
        <v>4347</v>
      </c>
      <c r="C2119" s="19">
        <v>28</v>
      </c>
      <c r="D2119" s="20" t="s">
        <v>6787</v>
      </c>
      <c r="E2119" s="19" t="str">
        <f>VLOOKUP(D2119,'لیست پرسنل'!$B$2:$E$1020,3,FALSE)</f>
        <v>آرمين نويد آپادانا</v>
      </c>
      <c r="F2119" s="19" t="str">
        <f>VLOOKUP(D2119,'لیست پرسنل'!$B$2:$E$1020,4,FALSE)</f>
        <v>سرپرست حراست</v>
      </c>
      <c r="G2119" s="127">
        <f>VLOOKUP(D2119,'لیست پرسنل'!$B$2:$F$1020,2,FALSE)</f>
        <v>100162</v>
      </c>
      <c r="H2119" s="128" t="s">
        <v>7640</v>
      </c>
      <c r="I2119" s="127" t="s">
        <v>1126</v>
      </c>
      <c r="J2119" s="126" t="s">
        <v>368</v>
      </c>
      <c r="K2119" s="128" t="s">
        <v>2846</v>
      </c>
      <c r="L2119" s="150" t="s">
        <v>1758</v>
      </c>
      <c r="M2119" s="128">
        <v>625688</v>
      </c>
      <c r="N2119" s="108" t="s">
        <v>6788</v>
      </c>
      <c r="O2119" s="20"/>
      <c r="P2119" s="20"/>
      <c r="Q2119" s="20"/>
    </row>
    <row r="2120" spans="1:17" ht="24.9" customHeight="1">
      <c r="A2120" s="20">
        <v>392</v>
      </c>
      <c r="B2120" s="20" t="s">
        <v>4347</v>
      </c>
      <c r="C2120" s="19">
        <v>28</v>
      </c>
      <c r="D2120" s="20" t="s">
        <v>6787</v>
      </c>
      <c r="E2120" s="19" t="str">
        <f>VLOOKUP(D2120,'لیست پرسنل'!$B$2:$E$1020,3,FALSE)</f>
        <v>آرمين نويد آپادانا</v>
      </c>
      <c r="F2120" s="19" t="str">
        <f>VLOOKUP(D2120,'لیست پرسنل'!$B$2:$E$1020,4,FALSE)</f>
        <v>سرپرست حراست</v>
      </c>
      <c r="G2120" s="127">
        <f>VLOOKUP(D2120,'لیست پرسنل'!$B$2:$F$1020,2,FALSE)</f>
        <v>100162</v>
      </c>
      <c r="H2120" s="128" t="s">
        <v>7640</v>
      </c>
      <c r="I2120" s="127" t="s">
        <v>1126</v>
      </c>
      <c r="J2120" s="127" t="s">
        <v>5366</v>
      </c>
      <c r="K2120" s="128" t="s">
        <v>2533</v>
      </c>
      <c r="L2120" s="128" t="s">
        <v>2532</v>
      </c>
      <c r="M2120" s="128">
        <v>605033</v>
      </c>
      <c r="N2120" s="108"/>
      <c r="O2120" s="20"/>
      <c r="P2120" s="20"/>
      <c r="Q2120" s="20"/>
    </row>
    <row r="2121" spans="1:17" ht="24.9" customHeight="1">
      <c r="A2121" s="20">
        <v>392</v>
      </c>
      <c r="B2121" s="20" t="s">
        <v>4347</v>
      </c>
      <c r="C2121" s="19">
        <v>28</v>
      </c>
      <c r="D2121" s="20" t="s">
        <v>6787</v>
      </c>
      <c r="E2121" s="19" t="str">
        <f>VLOOKUP(D2121,'لیست پرسنل'!$B$2:$E$1020,3,FALSE)</f>
        <v>آرمين نويد آپادانا</v>
      </c>
      <c r="F2121" s="19" t="str">
        <f>VLOOKUP(D2121,'لیست پرسنل'!$B$2:$E$1020,4,FALSE)</f>
        <v>سرپرست حراست</v>
      </c>
      <c r="G2121" s="127">
        <f>VLOOKUP(D2121,'لیست پرسنل'!$B$2:$F$1020,2,FALSE)</f>
        <v>100162</v>
      </c>
      <c r="H2121" s="128" t="s">
        <v>7640</v>
      </c>
      <c r="I2121" s="127" t="s">
        <v>1126</v>
      </c>
      <c r="J2121" s="128" t="s">
        <v>571</v>
      </c>
      <c r="K2121" s="128" t="s">
        <v>7617</v>
      </c>
      <c r="L2121" s="128"/>
      <c r="M2121" s="126">
        <v>636111</v>
      </c>
      <c r="N2121" s="109"/>
      <c r="O2121" s="20"/>
      <c r="P2121" s="20"/>
      <c r="Q2121" s="20"/>
    </row>
    <row r="2122" spans="1:17" ht="24.9" customHeight="1">
      <c r="A2122" s="20">
        <v>392</v>
      </c>
      <c r="B2122" s="20" t="s">
        <v>4347</v>
      </c>
      <c r="C2122" s="20">
        <v>28</v>
      </c>
      <c r="D2122" s="17" t="s">
        <v>6787</v>
      </c>
      <c r="E2122" s="19" t="str">
        <f>VLOOKUP(D2122,'لیست پرسنل'!$B$2:$E$1020,3,FALSE)</f>
        <v>آرمين نويد آپادانا</v>
      </c>
      <c r="F2122" s="19" t="str">
        <f>VLOOKUP(D2122,'لیست پرسنل'!$B$2:$E$1020,4,FALSE)</f>
        <v>سرپرست حراست</v>
      </c>
      <c r="G2122" s="127">
        <f>VLOOKUP(D2122,'لیست پرسنل'!$B$2:$F$1020,2,FALSE)</f>
        <v>100162</v>
      </c>
      <c r="H2122" s="127" t="s">
        <v>7984</v>
      </c>
      <c r="I2122" s="127"/>
      <c r="J2122" s="128" t="s">
        <v>3481</v>
      </c>
      <c r="K2122" s="127" t="s">
        <v>7980</v>
      </c>
      <c r="L2122" s="127" t="s">
        <v>7979</v>
      </c>
      <c r="M2122" s="128" t="s">
        <v>4371</v>
      </c>
      <c r="N2122" s="109" t="s">
        <v>850</v>
      </c>
      <c r="O2122" s="20" t="s">
        <v>7982</v>
      </c>
      <c r="P2122" s="20"/>
      <c r="Q2122" s="20"/>
    </row>
    <row r="2123" spans="1:17" ht="24.9" customHeight="1">
      <c r="A2123" s="20">
        <v>392</v>
      </c>
      <c r="B2123" s="20" t="s">
        <v>4347</v>
      </c>
      <c r="C2123" s="20">
        <v>28</v>
      </c>
      <c r="D2123" s="17" t="s">
        <v>6787</v>
      </c>
      <c r="E2123" s="19" t="str">
        <f>VLOOKUP(D2123,'لیست پرسنل'!$B$2:$E$1020,3,FALSE)</f>
        <v>آرمين نويد آپادانا</v>
      </c>
      <c r="F2123" s="19" t="str">
        <f>VLOOKUP(D2123,'لیست پرسنل'!$B$2:$E$1020,4,FALSE)</f>
        <v>سرپرست حراست</v>
      </c>
      <c r="G2123" s="127">
        <f>VLOOKUP(D2123,'لیست پرسنل'!$B$2:$F$1020,2,FALSE)</f>
        <v>100162</v>
      </c>
      <c r="H2123" s="127" t="s">
        <v>7983</v>
      </c>
      <c r="I2123" s="127"/>
      <c r="J2123" s="128" t="s">
        <v>3481</v>
      </c>
      <c r="K2123" s="127" t="s">
        <v>7980</v>
      </c>
      <c r="L2123" s="127" t="s">
        <v>7978</v>
      </c>
      <c r="M2123" s="128" t="s">
        <v>4371</v>
      </c>
      <c r="N2123" s="109" t="s">
        <v>850</v>
      </c>
      <c r="O2123" s="20" t="s">
        <v>7981</v>
      </c>
      <c r="P2123" s="20"/>
      <c r="Q2123" s="20"/>
    </row>
    <row r="2124" spans="1:17" ht="24.9" customHeight="1">
      <c r="A2124" s="20">
        <v>392</v>
      </c>
      <c r="B2124" s="20" t="s">
        <v>4347</v>
      </c>
      <c r="C2124" s="19">
        <v>29</v>
      </c>
      <c r="D2124" s="20" t="s">
        <v>3857</v>
      </c>
      <c r="E2124" s="19" t="str">
        <f>VLOOKUP(D2124,'لیست پرسنل'!$B$2:$E$1020,3,FALSE)</f>
        <v>فکورصنعت</v>
      </c>
      <c r="F2124" s="19" t="str">
        <f>VLOOKUP(D2124,'لیست پرسنل'!$B$2:$E$1020,4,FALSE)</f>
        <v>نظارت مکانیک</v>
      </c>
      <c r="G2124" s="127">
        <f>VLOOKUP(D2124,'لیست پرسنل'!$B$2:$F$1020,2,FALSE)</f>
        <v>736</v>
      </c>
      <c r="H2124" s="128" t="s">
        <v>3798</v>
      </c>
      <c r="I2124" s="127" t="s">
        <v>1344</v>
      </c>
      <c r="J2124" s="128" t="s">
        <v>737</v>
      </c>
      <c r="K2124" s="128" t="s">
        <v>8432</v>
      </c>
      <c r="L2124" s="127" t="s">
        <v>7924</v>
      </c>
      <c r="M2124" s="128">
        <v>636551</v>
      </c>
      <c r="N2124" s="108"/>
      <c r="O2124" s="20" t="s">
        <v>7925</v>
      </c>
      <c r="P2124" s="20"/>
      <c r="Q2124" s="20"/>
    </row>
    <row r="2125" spans="1:17" ht="24.9" customHeight="1">
      <c r="A2125" s="20">
        <v>392</v>
      </c>
      <c r="B2125" s="20" t="s">
        <v>4347</v>
      </c>
      <c r="C2125" s="19">
        <v>29</v>
      </c>
      <c r="D2125" s="20" t="s">
        <v>3857</v>
      </c>
      <c r="E2125" s="19" t="str">
        <f>VLOOKUP(D2125,'لیست پرسنل'!$B$2:$E$1020,3,FALSE)</f>
        <v>فکورصنعت</v>
      </c>
      <c r="F2125" s="19" t="str">
        <f>VLOOKUP(D2125,'لیست پرسنل'!$B$2:$E$1020,4,FALSE)</f>
        <v>نظارت مکانیک</v>
      </c>
      <c r="G2125" s="127">
        <f>VLOOKUP(D2125,'لیست پرسنل'!$B$2:$F$1020,2,FALSE)</f>
        <v>736</v>
      </c>
      <c r="H2125" s="128" t="s">
        <v>3798</v>
      </c>
      <c r="I2125" s="127" t="s">
        <v>1344</v>
      </c>
      <c r="J2125" s="126" t="s">
        <v>368</v>
      </c>
      <c r="K2125" s="128" t="s">
        <v>1346</v>
      </c>
      <c r="L2125" s="128" t="s">
        <v>3351</v>
      </c>
      <c r="M2125" s="128">
        <v>621754</v>
      </c>
      <c r="N2125" s="90"/>
      <c r="O2125" s="20"/>
      <c r="P2125" s="20"/>
      <c r="Q2125" s="20"/>
    </row>
    <row r="2126" spans="1:17" ht="24.9" customHeight="1">
      <c r="A2126" s="20">
        <v>392</v>
      </c>
      <c r="B2126" s="20" t="s">
        <v>4347</v>
      </c>
      <c r="C2126" s="19">
        <v>29</v>
      </c>
      <c r="D2126" s="20" t="s">
        <v>3857</v>
      </c>
      <c r="E2126" s="19" t="str">
        <f>VLOOKUP(D2126,'لیست پرسنل'!$B$2:$E$1020,3,FALSE)</f>
        <v>فکورصنعت</v>
      </c>
      <c r="F2126" s="19" t="str">
        <f>VLOOKUP(D2126,'لیست پرسنل'!$B$2:$E$1020,4,FALSE)</f>
        <v>نظارت مکانیک</v>
      </c>
      <c r="G2126" s="127">
        <f>VLOOKUP(D2126,'لیست پرسنل'!$B$2:$F$1020,2,FALSE)</f>
        <v>736</v>
      </c>
      <c r="H2126" s="128" t="s">
        <v>3798</v>
      </c>
      <c r="I2126" s="127" t="s">
        <v>1344</v>
      </c>
      <c r="J2126" s="141" t="s">
        <v>571</v>
      </c>
      <c r="K2126" s="128" t="s">
        <v>1951</v>
      </c>
      <c r="L2126" s="128"/>
      <c r="M2126" s="128">
        <v>629902</v>
      </c>
      <c r="N2126" s="108"/>
      <c r="O2126" s="20" t="s">
        <v>705</v>
      </c>
      <c r="P2126" s="20"/>
      <c r="Q2126" s="20"/>
    </row>
    <row r="2127" spans="1:17" ht="24.9" customHeight="1">
      <c r="A2127" s="20">
        <v>392</v>
      </c>
      <c r="B2127" s="20" t="s">
        <v>4347</v>
      </c>
      <c r="C2127" s="19">
        <v>29</v>
      </c>
      <c r="D2127" s="20" t="s">
        <v>3857</v>
      </c>
      <c r="E2127" s="19" t="str">
        <f>VLOOKUP(D2127,'لیست پرسنل'!$B$2:$E$1020,3,FALSE)</f>
        <v>فکورصنعت</v>
      </c>
      <c r="F2127" s="19" t="str">
        <f>VLOOKUP(D2127,'لیست پرسنل'!$B$2:$E$1020,4,FALSE)</f>
        <v>نظارت مکانیک</v>
      </c>
      <c r="G2127" s="127">
        <f>VLOOKUP(D2127,'لیست پرسنل'!$B$2:$F$1020,2,FALSE)</f>
        <v>736</v>
      </c>
      <c r="H2127" s="128" t="s">
        <v>3798</v>
      </c>
      <c r="I2127" s="127" t="s">
        <v>1344</v>
      </c>
      <c r="J2127" s="128" t="s">
        <v>2686</v>
      </c>
      <c r="K2127" s="128" t="s">
        <v>2922</v>
      </c>
      <c r="L2127" s="127" t="s">
        <v>3086</v>
      </c>
      <c r="M2127" s="128">
        <v>626570</v>
      </c>
      <c r="N2127" s="108"/>
      <c r="O2127" s="20" t="s">
        <v>705</v>
      </c>
      <c r="P2127" s="20"/>
      <c r="Q2127" s="20"/>
    </row>
    <row r="2128" spans="1:17" ht="24.9" customHeight="1">
      <c r="A2128" s="20">
        <v>392</v>
      </c>
      <c r="B2128" s="20" t="s">
        <v>4347</v>
      </c>
      <c r="C2128" s="20">
        <v>30</v>
      </c>
      <c r="D2128" s="46" t="s">
        <v>424</v>
      </c>
      <c r="E2128" s="19" t="str">
        <f>VLOOKUP(D2128,'لیست پرسنل'!$B$2:$E$1020,3,FALSE)</f>
        <v>فکورصنعت</v>
      </c>
      <c r="F2128" s="19" t="str">
        <f>VLOOKUP(D2128,'لیست پرسنل'!$B$2:$E$1020,4,FALSE)</f>
        <v>پشتیبانی</v>
      </c>
      <c r="G2128" s="127">
        <f>VLOOKUP(D2128,'لیست پرسنل'!$B$2:$F$1020,2,FALSE)</f>
        <v>6302</v>
      </c>
      <c r="H2128" s="128" t="s">
        <v>3798</v>
      </c>
      <c r="I2128" s="127" t="s">
        <v>1430</v>
      </c>
      <c r="J2128" s="127" t="s">
        <v>3383</v>
      </c>
      <c r="K2128" s="127" t="s">
        <v>432</v>
      </c>
      <c r="L2128" s="127" t="s">
        <v>433</v>
      </c>
      <c r="M2128" s="127">
        <v>621346</v>
      </c>
      <c r="N2128" s="109"/>
      <c r="O2128" s="19"/>
      <c r="P2128" s="20"/>
      <c r="Q2128" s="20"/>
    </row>
    <row r="2129" spans="1:17" ht="24.9" customHeight="1">
      <c r="A2129" s="20">
        <v>392</v>
      </c>
      <c r="B2129" s="20" t="s">
        <v>4347</v>
      </c>
      <c r="C2129" s="20">
        <v>30</v>
      </c>
      <c r="D2129" s="46" t="s">
        <v>424</v>
      </c>
      <c r="E2129" s="19" t="str">
        <f>VLOOKUP(D2129,'لیست پرسنل'!$B$2:$E$1020,3,FALSE)</f>
        <v>فکورصنعت</v>
      </c>
      <c r="F2129" s="19" t="str">
        <f>VLOOKUP(D2129,'لیست پرسنل'!$B$2:$E$1020,4,FALSE)</f>
        <v>پشتیبانی</v>
      </c>
      <c r="G2129" s="127">
        <f>VLOOKUP(D2129,'لیست پرسنل'!$B$2:$F$1020,2,FALSE)</f>
        <v>6302</v>
      </c>
      <c r="H2129" s="128" t="s">
        <v>3798</v>
      </c>
      <c r="I2129" s="127" t="s">
        <v>1430</v>
      </c>
      <c r="J2129" s="126" t="s">
        <v>571</v>
      </c>
      <c r="K2129" s="127"/>
      <c r="L2129" s="151"/>
      <c r="M2129" s="127">
        <v>605336</v>
      </c>
      <c r="N2129" s="109"/>
      <c r="O2129" s="19"/>
      <c r="P2129" s="20"/>
      <c r="Q2129" s="20"/>
    </row>
    <row r="2130" spans="1:17" ht="24.9" customHeight="1">
      <c r="A2130" s="20">
        <v>392</v>
      </c>
      <c r="B2130" s="20" t="s">
        <v>4347</v>
      </c>
      <c r="C2130" s="20">
        <v>30</v>
      </c>
      <c r="D2130" s="46" t="s">
        <v>424</v>
      </c>
      <c r="E2130" s="19" t="str">
        <f>VLOOKUP(D2130,'لیست پرسنل'!$B$2:$E$1020,3,FALSE)</f>
        <v>فکورصنعت</v>
      </c>
      <c r="F2130" s="19" t="str">
        <f>VLOOKUP(D2130,'لیست پرسنل'!$B$2:$E$1020,4,FALSE)</f>
        <v>پشتیبانی</v>
      </c>
      <c r="G2130" s="127">
        <f>VLOOKUP(D2130,'لیست پرسنل'!$B$2:$F$1020,2,FALSE)</f>
        <v>6302</v>
      </c>
      <c r="H2130" s="128" t="s">
        <v>3798</v>
      </c>
      <c r="I2130" s="127" t="s">
        <v>1430</v>
      </c>
      <c r="J2130" s="128" t="s">
        <v>2686</v>
      </c>
      <c r="K2130" s="127" t="s">
        <v>137</v>
      </c>
      <c r="L2130" s="127" t="s">
        <v>223</v>
      </c>
      <c r="M2130" s="127">
        <v>602469</v>
      </c>
      <c r="N2130" s="109"/>
      <c r="O2130" s="20"/>
      <c r="P2130" s="20"/>
      <c r="Q2130" s="20"/>
    </row>
    <row r="2131" spans="1:17" ht="24.9" customHeight="1">
      <c r="A2131" s="20">
        <v>392</v>
      </c>
      <c r="B2131" s="20" t="s">
        <v>4347</v>
      </c>
      <c r="C2131" s="20">
        <v>30</v>
      </c>
      <c r="D2131" s="20" t="s">
        <v>424</v>
      </c>
      <c r="E2131" s="19" t="str">
        <f>VLOOKUP(D2131,'لیست پرسنل'!$B$2:$E$1020,3,FALSE)</f>
        <v>فکورصنعت</v>
      </c>
      <c r="F2131" s="19" t="str">
        <f>VLOOKUP(D2131,'لیست پرسنل'!$B$2:$E$1020,4,FALSE)</f>
        <v>پشتیبانی</v>
      </c>
      <c r="G2131" s="127">
        <f>VLOOKUP(D2131,'لیست پرسنل'!$B$2:$F$1020,2,FALSE)</f>
        <v>6302</v>
      </c>
      <c r="H2131" s="128" t="s">
        <v>7977</v>
      </c>
      <c r="I2131" s="128" t="s">
        <v>1430</v>
      </c>
      <c r="J2131" s="128" t="s">
        <v>368</v>
      </c>
      <c r="K2131" s="128" t="s">
        <v>2846</v>
      </c>
      <c r="L2131" s="128" t="s">
        <v>7632</v>
      </c>
      <c r="M2131" s="126">
        <v>634039</v>
      </c>
      <c r="N2131" s="109"/>
      <c r="O2131" s="20"/>
      <c r="P2131" s="20"/>
      <c r="Q2131" s="20"/>
    </row>
    <row r="2132" spans="1:17" ht="24.9" customHeight="1">
      <c r="A2132" s="20">
        <v>392</v>
      </c>
      <c r="B2132" s="20" t="s">
        <v>4347</v>
      </c>
      <c r="C2132" s="20">
        <v>33</v>
      </c>
      <c r="D2132" s="46" t="s">
        <v>3519</v>
      </c>
      <c r="E2132" s="19" t="str">
        <f>VLOOKUP(D2132,'لیست پرسنل'!$B$2:$E$1020,3,FALSE)</f>
        <v>فکورصنعت</v>
      </c>
      <c r="F2132" s="19" t="str">
        <f>VLOOKUP(D2132,'لیست پرسنل'!$B$2:$E$1020,4,FALSE)</f>
        <v>نظارت برق</v>
      </c>
      <c r="G2132" s="127" t="str">
        <f>VLOOKUP(D2132,'لیست پرسنل'!$B$2:$F$1020,2,FALSE)</f>
        <v>772</v>
      </c>
      <c r="H2132" s="128" t="s">
        <v>3798</v>
      </c>
      <c r="I2132" s="127" t="s">
        <v>4971</v>
      </c>
      <c r="J2132" s="128" t="s">
        <v>737</v>
      </c>
      <c r="K2132" s="127" t="s">
        <v>65</v>
      </c>
      <c r="L2132" s="127" t="s">
        <v>427</v>
      </c>
      <c r="M2132" s="127">
        <v>619968</v>
      </c>
      <c r="N2132" s="109"/>
      <c r="O2132" s="19"/>
      <c r="P2132" s="20"/>
      <c r="Q2132" s="20"/>
    </row>
    <row r="2133" spans="1:17" ht="24.9" customHeight="1">
      <c r="A2133" s="20">
        <v>392</v>
      </c>
      <c r="B2133" s="20" t="s">
        <v>4347</v>
      </c>
      <c r="C2133" s="20">
        <v>33</v>
      </c>
      <c r="D2133" s="20" t="s">
        <v>3519</v>
      </c>
      <c r="E2133" s="19" t="str">
        <f>VLOOKUP(D2133,'لیست پرسنل'!$B$2:$E$1020,3,FALSE)</f>
        <v>فکورصنعت</v>
      </c>
      <c r="F2133" s="19" t="str">
        <f>VLOOKUP(D2133,'لیست پرسنل'!$B$2:$E$1020,4,FALSE)</f>
        <v>نظارت برق</v>
      </c>
      <c r="G2133" s="127" t="str">
        <f>VLOOKUP(D2133,'لیست پرسنل'!$B$2:$F$1020,2,FALSE)</f>
        <v>772</v>
      </c>
      <c r="H2133" s="126" t="s">
        <v>3798</v>
      </c>
      <c r="I2133" s="128" t="s">
        <v>4971</v>
      </c>
      <c r="J2133" s="126" t="s">
        <v>368</v>
      </c>
      <c r="K2133" s="135" t="s">
        <v>8248</v>
      </c>
      <c r="L2133" s="127" t="s">
        <v>2326</v>
      </c>
      <c r="M2133" s="128">
        <v>628732</v>
      </c>
      <c r="N2133" s="108"/>
      <c r="O2133" s="20" t="s">
        <v>705</v>
      </c>
      <c r="P2133" s="20"/>
      <c r="Q2133" s="20"/>
    </row>
    <row r="2134" spans="1:17" ht="24.9" customHeight="1">
      <c r="A2134" s="20">
        <v>392</v>
      </c>
      <c r="B2134" s="20" t="s">
        <v>4347</v>
      </c>
      <c r="C2134" s="20">
        <v>33</v>
      </c>
      <c r="D2134" s="20" t="s">
        <v>3519</v>
      </c>
      <c r="E2134" s="19" t="str">
        <f>VLOOKUP(D2134,'لیست پرسنل'!$B$2:$E$1020,3,FALSE)</f>
        <v>فکورصنعت</v>
      </c>
      <c r="F2134" s="19" t="str">
        <f>VLOOKUP(D2134,'لیست پرسنل'!$B$2:$E$1020,4,FALSE)</f>
        <v>نظارت برق</v>
      </c>
      <c r="G2134" s="127" t="str">
        <f>VLOOKUP(D2134,'لیست پرسنل'!$B$2:$F$1020,2,FALSE)</f>
        <v>772</v>
      </c>
      <c r="H2134" s="126" t="s">
        <v>3798</v>
      </c>
      <c r="I2134" s="128" t="s">
        <v>4971</v>
      </c>
      <c r="J2134" s="141" t="s">
        <v>571</v>
      </c>
      <c r="K2134" s="135" t="s">
        <v>1951</v>
      </c>
      <c r="L2134" s="165" t="s">
        <v>2219</v>
      </c>
      <c r="M2134" s="128">
        <v>629915</v>
      </c>
      <c r="N2134" s="108"/>
      <c r="O2134" s="20" t="s">
        <v>705</v>
      </c>
      <c r="P2134" s="20"/>
      <c r="Q2134" s="20"/>
    </row>
    <row r="2135" spans="1:17" ht="24.9" customHeight="1">
      <c r="A2135" s="20">
        <v>392</v>
      </c>
      <c r="B2135" s="20" t="s">
        <v>4347</v>
      </c>
      <c r="C2135" s="20">
        <v>33</v>
      </c>
      <c r="D2135" s="20" t="s">
        <v>3519</v>
      </c>
      <c r="E2135" s="19" t="str">
        <f>VLOOKUP(D2135,'لیست پرسنل'!$B$2:$E$1020,3,FALSE)</f>
        <v>فکورصنعت</v>
      </c>
      <c r="F2135" s="19" t="str">
        <f>VLOOKUP(D2135,'لیست پرسنل'!$B$2:$E$1020,4,FALSE)</f>
        <v>نظارت برق</v>
      </c>
      <c r="G2135" s="127" t="str">
        <f>VLOOKUP(D2135,'لیست پرسنل'!$B$2:$F$1020,2,FALSE)</f>
        <v>772</v>
      </c>
      <c r="H2135" s="126" t="s">
        <v>3798</v>
      </c>
      <c r="I2135" s="128" t="s">
        <v>4971</v>
      </c>
      <c r="J2135" s="128" t="s">
        <v>2686</v>
      </c>
      <c r="K2135" s="128" t="s">
        <v>2922</v>
      </c>
      <c r="L2135" s="127" t="s">
        <v>2977</v>
      </c>
      <c r="M2135" s="128">
        <v>626458</v>
      </c>
      <c r="N2135" s="108"/>
      <c r="O2135" s="20" t="s">
        <v>705</v>
      </c>
      <c r="P2135" s="20"/>
      <c r="Q2135" s="20"/>
    </row>
    <row r="2136" spans="1:17" ht="24.9" customHeight="1">
      <c r="A2136" s="20">
        <v>392</v>
      </c>
      <c r="B2136" s="20" t="s">
        <v>4347</v>
      </c>
      <c r="C2136" s="20">
        <v>34</v>
      </c>
      <c r="D2136" s="20" t="s">
        <v>7715</v>
      </c>
      <c r="E2136" s="19" t="str">
        <f>VLOOKUP(D2136,'لیست پرسنل'!$B$2:$E$1020,3,FALSE)</f>
        <v>فکورصنعت</v>
      </c>
      <c r="F2136" s="19" t="str">
        <f>VLOOKUP(D2136,'لیست پرسنل'!$B$2:$E$1020,4,FALSE)</f>
        <v>دفتر فنی</v>
      </c>
      <c r="G2136" s="127">
        <f>VLOOKUP(D2136,'لیست پرسنل'!$B$2:$F$1020,2,FALSE)</f>
        <v>4040112</v>
      </c>
      <c r="H2136" s="128" t="s">
        <v>3798</v>
      </c>
      <c r="I2136" s="128" t="s">
        <v>7716</v>
      </c>
      <c r="J2136" s="128" t="s">
        <v>737</v>
      </c>
      <c r="K2136" s="128" t="s">
        <v>8444</v>
      </c>
      <c r="L2136" s="128" t="s">
        <v>7926</v>
      </c>
      <c r="M2136" s="127">
        <v>636549</v>
      </c>
      <c r="N2136" s="108"/>
      <c r="O2136" s="20"/>
      <c r="P2136" s="20"/>
      <c r="Q2136" s="20"/>
    </row>
    <row r="2137" spans="1:17" ht="24.9" customHeight="1">
      <c r="A2137" s="20">
        <v>392</v>
      </c>
      <c r="B2137" s="20" t="s">
        <v>4347</v>
      </c>
      <c r="C2137" s="20">
        <v>34</v>
      </c>
      <c r="D2137" s="20" t="s">
        <v>7715</v>
      </c>
      <c r="E2137" s="19" t="str">
        <f>VLOOKUP(D2137,'لیست پرسنل'!$B$2:$E$1020,3,FALSE)</f>
        <v>فکورصنعت</v>
      </c>
      <c r="F2137" s="19" t="str">
        <f>VLOOKUP(D2137,'لیست پرسنل'!$B$2:$E$1020,4,FALSE)</f>
        <v>دفتر فنی</v>
      </c>
      <c r="G2137" s="127">
        <f>VLOOKUP(D2137,'لیست پرسنل'!$B$2:$F$1020,2,FALSE)</f>
        <v>4040112</v>
      </c>
      <c r="H2137" s="128" t="s">
        <v>3798</v>
      </c>
      <c r="I2137" s="128" t="s">
        <v>7716</v>
      </c>
      <c r="J2137" s="128" t="s">
        <v>368</v>
      </c>
      <c r="K2137" s="128" t="s">
        <v>2846</v>
      </c>
      <c r="L2137" s="128" t="s">
        <v>7629</v>
      </c>
      <c r="M2137" s="126">
        <v>634024</v>
      </c>
      <c r="N2137" s="109"/>
      <c r="O2137" s="20"/>
      <c r="P2137" s="20"/>
      <c r="Q2137" s="20"/>
    </row>
    <row r="2138" spans="1:17" ht="24.9" customHeight="1">
      <c r="A2138" s="20">
        <v>392</v>
      </c>
      <c r="B2138" s="20" t="s">
        <v>4347</v>
      </c>
      <c r="C2138" s="20">
        <v>34</v>
      </c>
      <c r="D2138" s="20" t="s">
        <v>7715</v>
      </c>
      <c r="E2138" s="19" t="str">
        <f>VLOOKUP(D2138,'لیست پرسنل'!$B$2:$E$1020,3,FALSE)</f>
        <v>فکورصنعت</v>
      </c>
      <c r="F2138" s="19" t="str">
        <f>VLOOKUP(D2138,'لیست پرسنل'!$B$2:$E$1020,4,FALSE)</f>
        <v>دفتر فنی</v>
      </c>
      <c r="G2138" s="127">
        <f>VLOOKUP(D2138,'لیست پرسنل'!$B$2:$F$1020,2,FALSE)</f>
        <v>4040112</v>
      </c>
      <c r="H2138" s="128" t="s">
        <v>3798</v>
      </c>
      <c r="I2138" s="128" t="s">
        <v>7716</v>
      </c>
      <c r="J2138" s="128" t="s">
        <v>571</v>
      </c>
      <c r="K2138" s="128" t="s">
        <v>7617</v>
      </c>
      <c r="L2138" s="128"/>
      <c r="M2138" s="126">
        <v>636110</v>
      </c>
      <c r="N2138" s="109"/>
      <c r="O2138" s="20"/>
      <c r="P2138" s="20"/>
      <c r="Q2138" s="20"/>
    </row>
    <row r="2139" spans="1:17" ht="24.9" customHeight="1">
      <c r="A2139" s="20">
        <v>392</v>
      </c>
      <c r="B2139" s="20" t="s">
        <v>4347</v>
      </c>
      <c r="C2139" s="20">
        <v>34</v>
      </c>
      <c r="D2139" s="20" t="s">
        <v>7715</v>
      </c>
      <c r="E2139" s="19" t="str">
        <f>VLOOKUP(D2139,'لیست پرسنل'!$B$2:$E$1020,3,FALSE)</f>
        <v>فکورصنعت</v>
      </c>
      <c r="F2139" s="19" t="str">
        <f>VLOOKUP(D2139,'لیست پرسنل'!$B$2:$E$1020,4,FALSE)</f>
        <v>دفتر فنی</v>
      </c>
      <c r="G2139" s="127">
        <f>VLOOKUP(D2139,'لیست پرسنل'!$B$2:$F$1020,2,FALSE)</f>
        <v>4040112</v>
      </c>
      <c r="H2139" s="128" t="s">
        <v>3798</v>
      </c>
      <c r="I2139" s="128" t="s">
        <v>7716</v>
      </c>
      <c r="J2139" s="128" t="s">
        <v>2686</v>
      </c>
      <c r="K2139" s="128" t="s">
        <v>890</v>
      </c>
      <c r="L2139" s="128" t="s">
        <v>1885</v>
      </c>
      <c r="M2139" s="127">
        <v>607706</v>
      </c>
      <c r="N2139" s="108"/>
      <c r="O2139" s="20"/>
      <c r="P2139" s="20"/>
      <c r="Q2139" s="20"/>
    </row>
    <row r="2140" spans="1:17" ht="24.9" customHeight="1">
      <c r="A2140" s="20">
        <v>392</v>
      </c>
      <c r="B2140" s="20" t="s">
        <v>4347</v>
      </c>
      <c r="C2140" s="20">
        <v>35</v>
      </c>
      <c r="D2140" s="20" t="s">
        <v>850</v>
      </c>
      <c r="E2140" s="19" t="str">
        <f>VLOOKUP(D2140,'لیست پرسنل'!$B$2:$E$1020,3,FALSE)</f>
        <v>فکورصنعت</v>
      </c>
      <c r="F2140" s="19" t="str">
        <f>VLOOKUP(D2140,'لیست پرسنل'!$B$2:$E$1020,4,FALSE)</f>
        <v>مدیر سایت</v>
      </c>
      <c r="G2140" s="127" t="str">
        <f>VLOOKUP(D2140,'لیست پرسنل'!$B$2:$F$1020,2,FALSE)</f>
        <v>775</v>
      </c>
      <c r="H2140" s="128" t="s">
        <v>7719</v>
      </c>
      <c r="I2140" s="128" t="s">
        <v>7718</v>
      </c>
      <c r="J2140" s="126" t="s">
        <v>5366</v>
      </c>
      <c r="K2140" s="127" t="s">
        <v>434</v>
      </c>
      <c r="L2140" s="127" t="s">
        <v>436</v>
      </c>
      <c r="M2140" s="127">
        <v>618909</v>
      </c>
      <c r="N2140" s="109"/>
      <c r="O2140" s="19"/>
      <c r="P2140" s="20"/>
      <c r="Q2140" s="20"/>
    </row>
    <row r="2141" spans="1:17" ht="24.9" customHeight="1">
      <c r="A2141" s="20">
        <v>392</v>
      </c>
      <c r="B2141" s="20" t="s">
        <v>4347</v>
      </c>
      <c r="C2141" s="20">
        <v>35</v>
      </c>
      <c r="D2141" s="20" t="s">
        <v>850</v>
      </c>
      <c r="E2141" s="19" t="str">
        <f>VLOOKUP(D2141,'لیست پرسنل'!$B$2:$E$1020,3,FALSE)</f>
        <v>فکورصنعت</v>
      </c>
      <c r="F2141" s="19" t="str">
        <f>VLOOKUP(D2141,'لیست پرسنل'!$B$2:$E$1020,4,FALSE)</f>
        <v>مدیر سایت</v>
      </c>
      <c r="G2141" s="127" t="str">
        <f>VLOOKUP(D2141,'لیست پرسنل'!$B$2:$F$1020,2,FALSE)</f>
        <v>775</v>
      </c>
      <c r="H2141" s="128" t="s">
        <v>7719</v>
      </c>
      <c r="I2141" s="128" t="s">
        <v>7718</v>
      </c>
      <c r="J2141" s="128" t="s">
        <v>571</v>
      </c>
      <c r="K2141" s="128" t="s">
        <v>7617</v>
      </c>
      <c r="L2141" s="128" t="s">
        <v>7696</v>
      </c>
      <c r="M2141" s="126">
        <v>636107</v>
      </c>
      <c r="N2141" s="109" t="s">
        <v>7697</v>
      </c>
      <c r="O2141" s="20"/>
      <c r="P2141" s="20"/>
      <c r="Q2141" s="20"/>
    </row>
    <row r="2142" spans="1:17" ht="24.9" customHeight="1">
      <c r="A2142" s="20">
        <v>392</v>
      </c>
      <c r="B2142" s="20" t="s">
        <v>4347</v>
      </c>
      <c r="C2142" s="20">
        <v>36</v>
      </c>
      <c r="D2142" s="20" t="s">
        <v>7778</v>
      </c>
      <c r="E2142" s="19" t="str">
        <f>VLOOKUP(D2142,'لیست پرسنل'!$B$2:$E$1020,3,FALSE)</f>
        <v>فکورصنعت</v>
      </c>
      <c r="F2142" s="19" t="str">
        <f>VLOOKUP(D2142,'لیست پرسنل'!$B$2:$E$1020,4,FALSE)</f>
        <v>سیویل</v>
      </c>
      <c r="G2142" s="127">
        <f>VLOOKUP(D2142,'لیست پرسنل'!$B$2:$F$1020,2,FALSE)</f>
        <v>4040202</v>
      </c>
      <c r="H2142" s="128" t="s">
        <v>3798</v>
      </c>
      <c r="I2142" s="128" t="s">
        <v>7779</v>
      </c>
      <c r="J2142" s="128" t="s">
        <v>368</v>
      </c>
      <c r="K2142" s="128" t="s">
        <v>2846</v>
      </c>
      <c r="L2142" s="128" t="s">
        <v>7637</v>
      </c>
      <c r="M2142" s="126">
        <v>634031</v>
      </c>
      <c r="N2142" s="109"/>
      <c r="O2142" s="20"/>
      <c r="P2142" s="20"/>
      <c r="Q2142" s="20"/>
    </row>
    <row r="2143" spans="1:17" ht="24.9" customHeight="1">
      <c r="A2143" s="20">
        <v>392</v>
      </c>
      <c r="B2143" s="20" t="s">
        <v>4347</v>
      </c>
      <c r="C2143" s="20">
        <v>36</v>
      </c>
      <c r="D2143" s="20" t="s">
        <v>7778</v>
      </c>
      <c r="E2143" s="19" t="str">
        <f>VLOOKUP(D2143,'لیست پرسنل'!$B$2:$E$1020,3,FALSE)</f>
        <v>فکورصنعت</v>
      </c>
      <c r="F2143" s="19" t="str">
        <f>VLOOKUP(D2143,'لیست پرسنل'!$B$2:$E$1020,4,FALSE)</f>
        <v>سیویل</v>
      </c>
      <c r="G2143" s="127">
        <f>VLOOKUP(D2143,'لیست پرسنل'!$B$2:$F$1020,2,FALSE)</f>
        <v>4040202</v>
      </c>
      <c r="H2143" s="128" t="s">
        <v>3798</v>
      </c>
      <c r="I2143" s="128" t="s">
        <v>7779</v>
      </c>
      <c r="J2143" s="128" t="s">
        <v>571</v>
      </c>
      <c r="K2143" s="128" t="s">
        <v>7617</v>
      </c>
      <c r="L2143" s="128"/>
      <c r="M2143" s="126">
        <v>636104</v>
      </c>
      <c r="N2143" s="109"/>
      <c r="O2143" s="20"/>
      <c r="P2143" s="20"/>
      <c r="Q2143" s="20"/>
    </row>
    <row r="2144" spans="1:17" ht="24.9" customHeight="1">
      <c r="A2144" s="20">
        <v>392</v>
      </c>
      <c r="B2144" s="20" t="s">
        <v>4347</v>
      </c>
      <c r="C2144" s="20">
        <v>36</v>
      </c>
      <c r="D2144" s="20" t="s">
        <v>7778</v>
      </c>
      <c r="E2144" s="19" t="str">
        <f>VLOOKUP(D2144,'لیست پرسنل'!$B$2:$E$1020,3,FALSE)</f>
        <v>فکورصنعت</v>
      </c>
      <c r="F2144" s="19" t="str">
        <f>VLOOKUP(D2144,'لیست پرسنل'!$B$2:$E$1020,4,FALSE)</f>
        <v>سیویل</v>
      </c>
      <c r="G2144" s="127">
        <f>VLOOKUP(D2144,'لیست پرسنل'!$B$2:$F$1020,2,FALSE)</f>
        <v>4040202</v>
      </c>
      <c r="H2144" s="128" t="s">
        <v>3798</v>
      </c>
      <c r="I2144" s="128" t="s">
        <v>7779</v>
      </c>
      <c r="J2144" s="128" t="s">
        <v>2686</v>
      </c>
      <c r="K2144" s="128" t="s">
        <v>7618</v>
      </c>
      <c r="L2144" s="128" t="s">
        <v>7619</v>
      </c>
      <c r="M2144" s="126">
        <v>636096</v>
      </c>
      <c r="N2144" s="109"/>
      <c r="O2144" s="20"/>
      <c r="P2144" s="20"/>
      <c r="Q2144" s="20"/>
    </row>
    <row r="2145" spans="1:17" ht="24.9" customHeight="1">
      <c r="A2145" s="20">
        <v>392</v>
      </c>
      <c r="B2145" s="20" t="s">
        <v>4347</v>
      </c>
      <c r="C2145" s="20">
        <v>37</v>
      </c>
      <c r="D2145" s="20" t="s">
        <v>504</v>
      </c>
      <c r="E2145" s="19" t="str">
        <f>VLOOKUP(D2145,'لیست پرسنل'!$B$2:$E$1020,3,FALSE)</f>
        <v>فکورصنعت</v>
      </c>
      <c r="F2145" s="19" t="str">
        <f>VLOOKUP(D2145,'لیست پرسنل'!$B$2:$E$1020,4,FALSE)</f>
        <v>نظارت سازه</v>
      </c>
      <c r="G2145" s="127">
        <f>VLOOKUP(D2145,'لیست پرسنل'!$B$2:$F$1020,2,FALSE)</f>
        <v>988</v>
      </c>
      <c r="H2145" s="128" t="s">
        <v>7975</v>
      </c>
      <c r="I2145" s="128" t="s">
        <v>7976</v>
      </c>
      <c r="J2145" s="128" t="s">
        <v>368</v>
      </c>
      <c r="K2145" s="128" t="s">
        <v>2846</v>
      </c>
      <c r="L2145" s="128" t="s">
        <v>7631</v>
      </c>
      <c r="M2145" s="126">
        <v>634040</v>
      </c>
      <c r="N2145" s="109"/>
      <c r="O2145" s="20"/>
      <c r="P2145" s="20"/>
      <c r="Q2145" s="20"/>
    </row>
    <row r="2146" spans="1:17" ht="24.9" customHeight="1">
      <c r="A2146" s="20">
        <v>392</v>
      </c>
      <c r="B2146" s="20" t="s">
        <v>4347</v>
      </c>
      <c r="C2146" s="20">
        <v>37</v>
      </c>
      <c r="D2146" s="20" t="s">
        <v>504</v>
      </c>
      <c r="E2146" s="19" t="str">
        <f>VLOOKUP(D2146,'لیست پرسنل'!$B$2:$E$1020,3,FALSE)</f>
        <v>فکورصنعت</v>
      </c>
      <c r="F2146" s="19" t="str">
        <f>VLOOKUP(D2146,'لیست پرسنل'!$B$2:$E$1020,4,FALSE)</f>
        <v>نظارت سازه</v>
      </c>
      <c r="G2146" s="127">
        <f>VLOOKUP(D2146,'لیست پرسنل'!$B$2:$F$1020,2,FALSE)</f>
        <v>988</v>
      </c>
      <c r="H2146" s="128" t="s">
        <v>7975</v>
      </c>
      <c r="I2146" s="128" t="s">
        <v>7976</v>
      </c>
      <c r="J2146" s="128" t="s">
        <v>571</v>
      </c>
      <c r="K2146" s="128" t="s">
        <v>7617</v>
      </c>
      <c r="L2146" s="128"/>
      <c r="M2146" s="126">
        <v>636108</v>
      </c>
      <c r="N2146" s="109"/>
      <c r="O2146" s="20"/>
      <c r="P2146" s="20"/>
      <c r="Q2146" s="20"/>
    </row>
    <row r="2147" spans="1:17" ht="24.9" customHeight="1">
      <c r="A2147" s="20">
        <v>392</v>
      </c>
      <c r="B2147" s="20" t="s">
        <v>4347</v>
      </c>
      <c r="C2147" s="19">
        <v>37</v>
      </c>
      <c r="D2147" s="46" t="s">
        <v>504</v>
      </c>
      <c r="E2147" s="19" t="str">
        <f>VLOOKUP(D2147,'لیست پرسنل'!$B$2:$E$1020,3,FALSE)</f>
        <v>فکورصنعت</v>
      </c>
      <c r="F2147" s="19" t="str">
        <f>VLOOKUP(D2147,'لیست پرسنل'!$B$2:$E$1020,4,FALSE)</f>
        <v>نظارت سازه</v>
      </c>
      <c r="G2147" s="127">
        <f>VLOOKUP(D2147,'لیست پرسنل'!$B$2:$F$1020,2,FALSE)</f>
        <v>988</v>
      </c>
      <c r="H2147" s="128" t="s">
        <v>7975</v>
      </c>
      <c r="I2147" s="127" t="s">
        <v>7976</v>
      </c>
      <c r="J2147" s="128" t="s">
        <v>2686</v>
      </c>
      <c r="K2147" s="127" t="s">
        <v>2922</v>
      </c>
      <c r="L2147" s="151" t="s">
        <v>3040</v>
      </c>
      <c r="M2147" s="127">
        <v>626524</v>
      </c>
      <c r="N2147" s="109"/>
      <c r="O2147" s="20"/>
      <c r="P2147" s="20"/>
      <c r="Q2147" s="20"/>
    </row>
    <row r="2148" spans="1:17" ht="24.9" customHeight="1">
      <c r="A2148" s="20">
        <v>392</v>
      </c>
      <c r="B2148" s="20" t="s">
        <v>4347</v>
      </c>
      <c r="C2148" s="20">
        <v>39</v>
      </c>
      <c r="D2148" s="46" t="s">
        <v>5121</v>
      </c>
      <c r="E2148" s="19" t="str">
        <f>VLOOKUP(D2148,'لیست پرسنل'!$B$2:$E$1020,3,FALSE)</f>
        <v>فکورصنعت</v>
      </c>
      <c r="F2148" s="19" t="str">
        <f>VLOOKUP(D2148,'لیست پرسنل'!$B$2:$E$1020,4,FALSE)</f>
        <v>متالوژی ومواد</v>
      </c>
      <c r="G2148" s="127" t="str">
        <f>VLOOKUP(D2148,'لیست پرسنل'!$B$2:$F$1020,2,FALSE)</f>
        <v>4020601</v>
      </c>
      <c r="H2148" s="128" t="s">
        <v>8073</v>
      </c>
      <c r="I2148" s="127" t="s">
        <v>8072</v>
      </c>
      <c r="J2148" s="126" t="s">
        <v>368</v>
      </c>
      <c r="K2148" s="128" t="s">
        <v>2846</v>
      </c>
      <c r="L2148" s="127" t="s">
        <v>4616</v>
      </c>
      <c r="M2148" s="127">
        <v>629833</v>
      </c>
      <c r="N2148" s="109"/>
      <c r="O2148" s="20" t="s">
        <v>705</v>
      </c>
      <c r="P2148" s="19"/>
      <c r="Q2148" s="28"/>
    </row>
    <row r="2149" spans="1:17" ht="24.9" customHeight="1">
      <c r="A2149" s="20">
        <v>392</v>
      </c>
      <c r="B2149" s="20" t="s">
        <v>4347</v>
      </c>
      <c r="C2149" s="20">
        <v>39</v>
      </c>
      <c r="D2149" s="46" t="s">
        <v>5121</v>
      </c>
      <c r="E2149" s="19" t="str">
        <f>VLOOKUP(D2149,'لیست پرسنل'!$B$2:$E$1020,3,FALSE)</f>
        <v>فکورصنعت</v>
      </c>
      <c r="F2149" s="19" t="str">
        <f>VLOOKUP(D2149,'لیست پرسنل'!$B$2:$E$1020,4,FALSE)</f>
        <v>متالوژی ومواد</v>
      </c>
      <c r="G2149" s="127" t="str">
        <f>VLOOKUP(D2149,'لیست پرسنل'!$B$2:$F$1020,2,FALSE)</f>
        <v>4020601</v>
      </c>
      <c r="H2149" s="128" t="s">
        <v>8073</v>
      </c>
      <c r="I2149" s="127" t="s">
        <v>8072</v>
      </c>
      <c r="J2149" s="128" t="s">
        <v>571</v>
      </c>
      <c r="K2149" s="128" t="s">
        <v>2219</v>
      </c>
      <c r="L2149" s="127"/>
      <c r="M2149" s="127">
        <v>629966</v>
      </c>
      <c r="N2149" s="109"/>
      <c r="O2149" s="19" t="s">
        <v>705</v>
      </c>
      <c r="P2149" s="19"/>
      <c r="Q2149" s="28"/>
    </row>
    <row r="2150" spans="1:17" ht="24.9" customHeight="1">
      <c r="A2150" s="20">
        <v>392</v>
      </c>
      <c r="B2150" s="20" t="s">
        <v>4347</v>
      </c>
      <c r="C2150" s="20">
        <v>39</v>
      </c>
      <c r="D2150" s="46" t="s">
        <v>5121</v>
      </c>
      <c r="E2150" s="19" t="str">
        <f>VLOOKUP(D2150,'لیست پرسنل'!$B$2:$E$1020,3,FALSE)</f>
        <v>فکورصنعت</v>
      </c>
      <c r="F2150" s="19" t="str">
        <f>VLOOKUP(D2150,'لیست پرسنل'!$B$2:$E$1020,4,FALSE)</f>
        <v>متالوژی ومواد</v>
      </c>
      <c r="G2150" s="127" t="str">
        <f>VLOOKUP(D2150,'لیست پرسنل'!$B$2:$F$1020,2,FALSE)</f>
        <v>4020601</v>
      </c>
      <c r="H2150" s="128" t="s">
        <v>8073</v>
      </c>
      <c r="I2150" s="127" t="s">
        <v>8072</v>
      </c>
      <c r="J2150" s="128" t="s">
        <v>2686</v>
      </c>
      <c r="K2150" s="128" t="s">
        <v>2143</v>
      </c>
      <c r="L2150" s="127" t="s">
        <v>2244</v>
      </c>
      <c r="M2150" s="127">
        <v>628635</v>
      </c>
      <c r="N2150" s="108"/>
      <c r="O2150" s="20" t="s">
        <v>705</v>
      </c>
      <c r="P2150" s="20"/>
      <c r="Q2150" s="20"/>
    </row>
    <row r="2151" spans="1:17" ht="24.9" customHeight="1">
      <c r="A2151" s="20">
        <v>392</v>
      </c>
      <c r="B2151" s="20" t="s">
        <v>4347</v>
      </c>
      <c r="C2151" s="20">
        <v>40</v>
      </c>
      <c r="D2151" s="20" t="s">
        <v>850</v>
      </c>
      <c r="E2151" s="19" t="str">
        <f>VLOOKUP(D2151,'لیست پرسنل'!$B$2:$E$1020,3,FALSE)</f>
        <v>فکورصنعت</v>
      </c>
      <c r="F2151" s="19" t="str">
        <f>VLOOKUP(D2151,'لیست پرسنل'!$B$2:$E$1020,4,FALSE)</f>
        <v>مدیر سایت</v>
      </c>
      <c r="G2151" s="127" t="str">
        <f>VLOOKUP(D2151,'لیست پرسنل'!$B$2:$F$1020,2,FALSE)</f>
        <v>775</v>
      </c>
      <c r="H2151" s="128" t="s">
        <v>8074</v>
      </c>
      <c r="I2151" s="128" t="s">
        <v>8075</v>
      </c>
      <c r="J2151" s="128" t="s">
        <v>368</v>
      </c>
      <c r="K2151" s="128" t="s">
        <v>2846</v>
      </c>
      <c r="L2151" s="128" t="s">
        <v>7636</v>
      </c>
      <c r="M2151" s="126">
        <v>634032</v>
      </c>
      <c r="N2151" s="109"/>
      <c r="O2151" s="20"/>
      <c r="P2151" s="20"/>
      <c r="Q2151" s="20"/>
    </row>
    <row r="2152" spans="1:17" ht="24.9" customHeight="1">
      <c r="A2152" s="20">
        <v>392</v>
      </c>
      <c r="B2152" s="20" t="s">
        <v>4347</v>
      </c>
      <c r="C2152" s="20">
        <v>40</v>
      </c>
      <c r="D2152" s="20" t="s">
        <v>850</v>
      </c>
      <c r="E2152" s="19" t="str">
        <f>VLOOKUP(D2152,'لیست پرسنل'!$B$2:$E$1020,3,FALSE)</f>
        <v>فکورصنعت</v>
      </c>
      <c r="F2152" s="19" t="str">
        <f>VLOOKUP(D2152,'لیست پرسنل'!$B$2:$E$1020,4,FALSE)</f>
        <v>مدیر سایت</v>
      </c>
      <c r="G2152" s="127" t="str">
        <f>VLOOKUP(D2152,'لیست پرسنل'!$B$2:$F$1020,2,FALSE)</f>
        <v>775</v>
      </c>
      <c r="H2152" s="126" t="s">
        <v>8074</v>
      </c>
      <c r="I2152" s="128" t="s">
        <v>8075</v>
      </c>
      <c r="J2152" s="141" t="s">
        <v>571</v>
      </c>
      <c r="K2152" s="128" t="s">
        <v>2067</v>
      </c>
      <c r="L2152" s="159" t="s">
        <v>8075</v>
      </c>
      <c r="M2152" s="127">
        <v>628607</v>
      </c>
      <c r="N2152" s="108"/>
      <c r="O2152" s="19" t="s">
        <v>705</v>
      </c>
      <c r="P2152" s="20"/>
      <c r="Q2152" s="20"/>
    </row>
    <row r="2153" spans="1:17" ht="24.9" customHeight="1">
      <c r="A2153" s="20">
        <v>392</v>
      </c>
      <c r="B2153" s="20" t="s">
        <v>4347</v>
      </c>
      <c r="C2153" s="20">
        <v>40</v>
      </c>
      <c r="D2153" s="20" t="s">
        <v>850</v>
      </c>
      <c r="E2153" s="19" t="str">
        <f>VLOOKUP(D2153,'لیست پرسنل'!$B$2:$E$1020,3,FALSE)</f>
        <v>فکورصنعت</v>
      </c>
      <c r="F2153" s="19" t="str">
        <f>VLOOKUP(D2153,'لیست پرسنل'!$B$2:$E$1020,4,FALSE)</f>
        <v>مدیر سایت</v>
      </c>
      <c r="G2153" s="127" t="str">
        <f>VLOOKUP(D2153,'لیست پرسنل'!$B$2:$F$1020,2,FALSE)</f>
        <v>775</v>
      </c>
      <c r="H2153" s="126" t="s">
        <v>8074</v>
      </c>
      <c r="I2153" s="128" t="s">
        <v>8075</v>
      </c>
      <c r="J2153" s="128" t="s">
        <v>2686</v>
      </c>
      <c r="K2153" s="128" t="s">
        <v>744</v>
      </c>
      <c r="L2153" s="151" t="s">
        <v>2194</v>
      </c>
      <c r="M2153" s="132">
        <v>603304</v>
      </c>
      <c r="N2153" s="108"/>
      <c r="O2153" s="20"/>
      <c r="P2153" s="20"/>
      <c r="Q2153" s="20"/>
    </row>
    <row r="2154" spans="1:17" ht="24.9" customHeight="1">
      <c r="A2154" s="20">
        <v>392</v>
      </c>
      <c r="B2154" s="20" t="s">
        <v>4347</v>
      </c>
      <c r="C2154" s="19"/>
      <c r="D2154" s="19" t="s">
        <v>3845</v>
      </c>
      <c r="E2154" s="19" t="str">
        <f>VLOOKUP(D2154,'لیست پرسنل'!$B$2:$E$1020,3,FALSE)</f>
        <v>پیمانکار ساخت خوابگاه</v>
      </c>
      <c r="F2154" s="19" t="str">
        <f>VLOOKUP(D2154,'لیست پرسنل'!$B$2:$E$1020,4,FALSE)</f>
        <v>خوابگاه</v>
      </c>
      <c r="G2154" s="127" t="str">
        <f>VLOOKUP(D2154,'لیست پرسنل'!$B$2:$F$1020,2,FALSE)</f>
        <v>0</v>
      </c>
      <c r="H2154" s="128" t="s">
        <v>3853</v>
      </c>
      <c r="I2154" s="127"/>
      <c r="J2154" s="128" t="s">
        <v>737</v>
      </c>
      <c r="K2154" s="130" t="s">
        <v>8445</v>
      </c>
      <c r="L2154" s="128"/>
      <c r="M2154" s="128">
        <v>622476</v>
      </c>
      <c r="N2154" s="109"/>
      <c r="O2154" s="20"/>
      <c r="P2154" s="20"/>
      <c r="Q2154" s="20"/>
    </row>
    <row r="2155" spans="1:17" ht="24.9" customHeight="1">
      <c r="A2155" s="20">
        <v>392</v>
      </c>
      <c r="B2155" s="20" t="s">
        <v>4347</v>
      </c>
      <c r="C2155" s="19"/>
      <c r="D2155" s="19" t="s">
        <v>3845</v>
      </c>
      <c r="E2155" s="19" t="str">
        <f>VLOOKUP(D2155,'لیست پرسنل'!$B$2:$E$1020,3,FALSE)</f>
        <v>پیمانکار ساخت خوابگاه</v>
      </c>
      <c r="F2155" s="19" t="str">
        <f>VLOOKUP(D2155,'لیست پرسنل'!$B$2:$E$1020,4,FALSE)</f>
        <v>خوابگاه</v>
      </c>
      <c r="G2155" s="127" t="str">
        <f>VLOOKUP(D2155,'لیست پرسنل'!$B$2:$F$1020,2,FALSE)</f>
        <v>0</v>
      </c>
      <c r="H2155" s="128" t="s">
        <v>3853</v>
      </c>
      <c r="I2155" s="127"/>
      <c r="J2155" s="127" t="s">
        <v>3313</v>
      </c>
      <c r="K2155" s="130" t="s">
        <v>3274</v>
      </c>
      <c r="L2155" s="128"/>
      <c r="M2155" s="127">
        <v>621981</v>
      </c>
      <c r="N2155" s="109"/>
      <c r="O2155" s="20"/>
      <c r="P2155" s="20"/>
      <c r="Q2155" s="20"/>
    </row>
    <row r="2156" spans="1:17" ht="24.9" customHeight="1">
      <c r="A2156" s="20">
        <v>392</v>
      </c>
      <c r="B2156" s="20" t="s">
        <v>4347</v>
      </c>
      <c r="C2156" s="20"/>
      <c r="D2156" s="77" t="s">
        <v>424</v>
      </c>
      <c r="E2156" s="19" t="str">
        <f>VLOOKUP(D2156,'لیست پرسنل'!$B$2:$E$1020,3,FALSE)</f>
        <v>فکورصنعت</v>
      </c>
      <c r="F2156" s="19" t="str">
        <f>VLOOKUP(D2156,'لیست پرسنل'!$B$2:$E$1020,4,FALSE)</f>
        <v>پشتیبانی</v>
      </c>
      <c r="G2156" s="127">
        <f>VLOOKUP(D2156,'لیست پرسنل'!$B$2:$F$1020,2,FALSE)</f>
        <v>6302</v>
      </c>
      <c r="H2156" s="182" t="s">
        <v>3817</v>
      </c>
      <c r="I2156" s="128"/>
      <c r="J2156" s="128" t="s">
        <v>3532</v>
      </c>
      <c r="K2156" s="128" t="s">
        <v>3310</v>
      </c>
      <c r="L2156" s="151" t="s">
        <v>2155</v>
      </c>
      <c r="M2156" s="128">
        <v>628280</v>
      </c>
      <c r="N2156" s="108"/>
      <c r="O2156" s="20" t="s">
        <v>2144</v>
      </c>
      <c r="P2156" s="20"/>
      <c r="Q2156" s="20"/>
    </row>
    <row r="2157" spans="1:17" ht="24.9" customHeight="1">
      <c r="A2157" s="20">
        <v>392</v>
      </c>
      <c r="B2157" s="20" t="s">
        <v>4347</v>
      </c>
      <c r="C2157" s="20"/>
      <c r="D2157" s="77" t="s">
        <v>424</v>
      </c>
      <c r="E2157" s="19" t="str">
        <f>VLOOKUP(D2157,'لیست پرسنل'!$B$2:$E$1020,3,FALSE)</f>
        <v>فکورصنعت</v>
      </c>
      <c r="F2157" s="19" t="str">
        <f>VLOOKUP(D2157,'لیست پرسنل'!$B$2:$E$1020,4,FALSE)</f>
        <v>پشتیبانی</v>
      </c>
      <c r="G2157" s="127">
        <f>VLOOKUP(D2157,'لیست پرسنل'!$B$2:$F$1020,2,FALSE)</f>
        <v>6302</v>
      </c>
      <c r="H2157" s="182" t="s">
        <v>3817</v>
      </c>
      <c r="I2157" s="128"/>
      <c r="J2157" s="128" t="s">
        <v>3532</v>
      </c>
      <c r="K2157" s="128" t="s">
        <v>3310</v>
      </c>
      <c r="L2157" s="151" t="s">
        <v>2154</v>
      </c>
      <c r="M2157" s="128">
        <v>628281</v>
      </c>
      <c r="N2157" s="108"/>
      <c r="O2157" s="20" t="s">
        <v>2145</v>
      </c>
      <c r="P2157" s="20"/>
      <c r="Q2157" s="20"/>
    </row>
    <row r="2158" spans="1:17" ht="24.9" customHeight="1">
      <c r="A2158" s="20">
        <v>392</v>
      </c>
      <c r="B2158" s="20" t="s">
        <v>4347</v>
      </c>
      <c r="C2158" s="20"/>
      <c r="D2158" s="77" t="s">
        <v>424</v>
      </c>
      <c r="E2158" s="19" t="str">
        <f>VLOOKUP(D2158,'لیست پرسنل'!$B$2:$E$1020,3,FALSE)</f>
        <v>فکورصنعت</v>
      </c>
      <c r="F2158" s="19" t="str">
        <f>VLOOKUP(D2158,'لیست پرسنل'!$B$2:$E$1020,4,FALSE)</f>
        <v>پشتیبانی</v>
      </c>
      <c r="G2158" s="127">
        <f>VLOOKUP(D2158,'لیست پرسنل'!$B$2:$F$1020,2,FALSE)</f>
        <v>6302</v>
      </c>
      <c r="H2158" s="182" t="s">
        <v>3817</v>
      </c>
      <c r="I2158" s="128"/>
      <c r="J2158" s="128" t="s">
        <v>3532</v>
      </c>
      <c r="K2158" s="128" t="s">
        <v>3310</v>
      </c>
      <c r="L2158" s="151" t="s">
        <v>2156</v>
      </c>
      <c r="M2158" s="128">
        <v>628282</v>
      </c>
      <c r="N2158" s="108"/>
      <c r="O2158" s="20" t="s">
        <v>2146</v>
      </c>
      <c r="P2158" s="20"/>
      <c r="Q2158" s="20"/>
    </row>
    <row r="2159" spans="1:17" ht="24.9" customHeight="1">
      <c r="A2159" s="20">
        <v>392</v>
      </c>
      <c r="B2159" s="20" t="s">
        <v>4347</v>
      </c>
      <c r="C2159" s="20"/>
      <c r="D2159" s="77" t="s">
        <v>424</v>
      </c>
      <c r="E2159" s="19" t="str">
        <f>VLOOKUP(D2159,'لیست پرسنل'!$B$2:$E$1020,3,FALSE)</f>
        <v>فکورصنعت</v>
      </c>
      <c r="F2159" s="19" t="str">
        <f>VLOOKUP(D2159,'لیست پرسنل'!$B$2:$E$1020,4,FALSE)</f>
        <v>پشتیبانی</v>
      </c>
      <c r="G2159" s="127">
        <f>VLOOKUP(D2159,'لیست پرسنل'!$B$2:$F$1020,2,FALSE)</f>
        <v>6302</v>
      </c>
      <c r="H2159" s="182" t="s">
        <v>3817</v>
      </c>
      <c r="I2159" s="128"/>
      <c r="J2159" s="128" t="s">
        <v>3532</v>
      </c>
      <c r="K2159" s="128" t="s">
        <v>3310</v>
      </c>
      <c r="L2159" s="151"/>
      <c r="M2159" s="128">
        <v>628283</v>
      </c>
      <c r="N2159" s="108"/>
      <c r="O2159" s="20" t="s">
        <v>2147</v>
      </c>
      <c r="P2159" s="20"/>
      <c r="Q2159" s="20"/>
    </row>
    <row r="2160" spans="1:17" ht="24.9" customHeight="1">
      <c r="A2160" s="20">
        <v>392</v>
      </c>
      <c r="B2160" s="20" t="s">
        <v>4347</v>
      </c>
      <c r="C2160" s="20"/>
      <c r="D2160" s="77" t="s">
        <v>424</v>
      </c>
      <c r="E2160" s="19" t="str">
        <f>VLOOKUP(D2160,'لیست پرسنل'!$B$2:$E$1020,3,FALSE)</f>
        <v>فکورصنعت</v>
      </c>
      <c r="F2160" s="19" t="str">
        <f>VLOOKUP(D2160,'لیست پرسنل'!$B$2:$E$1020,4,FALSE)</f>
        <v>پشتیبانی</v>
      </c>
      <c r="G2160" s="127">
        <f>VLOOKUP(D2160,'لیست پرسنل'!$B$2:$F$1020,2,FALSE)</f>
        <v>6302</v>
      </c>
      <c r="H2160" s="182" t="s">
        <v>3817</v>
      </c>
      <c r="I2160" s="128"/>
      <c r="J2160" s="128" t="s">
        <v>3532</v>
      </c>
      <c r="K2160" s="128" t="s">
        <v>3310</v>
      </c>
      <c r="L2160" s="151"/>
      <c r="M2160" s="128">
        <v>628285</v>
      </c>
      <c r="N2160" s="108"/>
      <c r="O2160" s="20" t="s">
        <v>2152</v>
      </c>
      <c r="P2160" s="20"/>
      <c r="Q2160" s="20"/>
    </row>
    <row r="2161" spans="1:17" ht="24.9" customHeight="1">
      <c r="A2161" s="20">
        <v>392</v>
      </c>
      <c r="B2161" s="20" t="s">
        <v>4347</v>
      </c>
      <c r="C2161" s="20"/>
      <c r="D2161" s="77" t="s">
        <v>424</v>
      </c>
      <c r="E2161" s="19" t="str">
        <f>VLOOKUP(D2161,'لیست پرسنل'!$B$2:$E$1020,3,FALSE)</f>
        <v>فکورصنعت</v>
      </c>
      <c r="F2161" s="19" t="str">
        <f>VLOOKUP(D2161,'لیست پرسنل'!$B$2:$E$1020,4,FALSE)</f>
        <v>پشتیبانی</v>
      </c>
      <c r="G2161" s="127">
        <f>VLOOKUP(D2161,'لیست پرسنل'!$B$2:$F$1020,2,FALSE)</f>
        <v>6302</v>
      </c>
      <c r="H2161" s="182" t="s">
        <v>3817</v>
      </c>
      <c r="I2161" s="128"/>
      <c r="J2161" s="128" t="s">
        <v>3532</v>
      </c>
      <c r="K2161" s="128" t="s">
        <v>3310</v>
      </c>
      <c r="L2161" s="151"/>
      <c r="M2161" s="128">
        <v>628286</v>
      </c>
      <c r="N2161" s="108"/>
      <c r="O2161" s="20" t="s">
        <v>2148</v>
      </c>
      <c r="P2161" s="20"/>
      <c r="Q2161" s="20"/>
    </row>
    <row r="2162" spans="1:17" ht="24.9" customHeight="1">
      <c r="A2162" s="20">
        <v>392</v>
      </c>
      <c r="B2162" s="20" t="s">
        <v>4347</v>
      </c>
      <c r="C2162" s="20"/>
      <c r="D2162" s="77" t="s">
        <v>424</v>
      </c>
      <c r="E2162" s="19" t="str">
        <f>VLOOKUP(D2162,'لیست پرسنل'!$B$2:$E$1020,3,FALSE)</f>
        <v>فکورصنعت</v>
      </c>
      <c r="F2162" s="19" t="str">
        <f>VLOOKUP(D2162,'لیست پرسنل'!$B$2:$E$1020,4,FALSE)</f>
        <v>پشتیبانی</v>
      </c>
      <c r="G2162" s="127">
        <f>VLOOKUP(D2162,'لیست پرسنل'!$B$2:$F$1020,2,FALSE)</f>
        <v>6302</v>
      </c>
      <c r="H2162" s="182" t="s">
        <v>3817</v>
      </c>
      <c r="I2162" s="128"/>
      <c r="J2162" s="128" t="s">
        <v>3532</v>
      </c>
      <c r="K2162" s="128" t="s">
        <v>3310</v>
      </c>
      <c r="L2162" s="151"/>
      <c r="M2162" s="128">
        <v>628287</v>
      </c>
      <c r="N2162" s="108"/>
      <c r="O2162" s="20" t="s">
        <v>2149</v>
      </c>
      <c r="P2162" s="20"/>
      <c r="Q2162" s="20"/>
    </row>
    <row r="2163" spans="1:17" ht="24.9" customHeight="1">
      <c r="A2163" s="20">
        <v>392</v>
      </c>
      <c r="B2163" s="20" t="s">
        <v>4347</v>
      </c>
      <c r="C2163" s="20"/>
      <c r="D2163" s="77" t="s">
        <v>424</v>
      </c>
      <c r="E2163" s="19" t="str">
        <f>VLOOKUP(D2163,'لیست پرسنل'!$B$2:$E$1020,3,FALSE)</f>
        <v>فکورصنعت</v>
      </c>
      <c r="F2163" s="19" t="str">
        <f>VLOOKUP(D2163,'لیست پرسنل'!$B$2:$E$1020,4,FALSE)</f>
        <v>پشتیبانی</v>
      </c>
      <c r="G2163" s="127">
        <f>VLOOKUP(D2163,'لیست پرسنل'!$B$2:$F$1020,2,FALSE)</f>
        <v>6302</v>
      </c>
      <c r="H2163" s="182" t="s">
        <v>3817</v>
      </c>
      <c r="I2163" s="128"/>
      <c r="J2163" s="128" t="s">
        <v>3532</v>
      </c>
      <c r="K2163" s="128" t="s">
        <v>3310</v>
      </c>
      <c r="L2163" s="151"/>
      <c r="M2163" s="128">
        <v>628288</v>
      </c>
      <c r="N2163" s="108"/>
      <c r="O2163" s="20" t="s">
        <v>2149</v>
      </c>
      <c r="P2163" s="20"/>
      <c r="Q2163" s="20"/>
    </row>
    <row r="2164" spans="1:17" ht="24.9" customHeight="1">
      <c r="A2164" s="20">
        <v>392</v>
      </c>
      <c r="B2164" s="20" t="s">
        <v>4347</v>
      </c>
      <c r="C2164" s="20"/>
      <c r="D2164" s="77" t="s">
        <v>424</v>
      </c>
      <c r="E2164" s="19" t="str">
        <f>VLOOKUP(D2164,'لیست پرسنل'!$B$2:$E$1020,3,FALSE)</f>
        <v>فکورصنعت</v>
      </c>
      <c r="F2164" s="19" t="str">
        <f>VLOOKUP(D2164,'لیست پرسنل'!$B$2:$E$1020,4,FALSE)</f>
        <v>پشتیبانی</v>
      </c>
      <c r="G2164" s="127">
        <f>VLOOKUP(D2164,'لیست پرسنل'!$B$2:$F$1020,2,FALSE)</f>
        <v>6302</v>
      </c>
      <c r="H2164" s="182" t="s">
        <v>3817</v>
      </c>
      <c r="I2164" s="128"/>
      <c r="J2164" s="128" t="s">
        <v>3532</v>
      </c>
      <c r="K2164" s="128" t="s">
        <v>3310</v>
      </c>
      <c r="L2164" s="151"/>
      <c r="M2164" s="128">
        <v>628289</v>
      </c>
      <c r="N2164" s="108"/>
      <c r="O2164" s="20" t="s">
        <v>2150</v>
      </c>
      <c r="P2164" s="20"/>
      <c r="Q2164" s="20"/>
    </row>
    <row r="2165" spans="1:17" ht="24.9" customHeight="1">
      <c r="A2165" s="20">
        <v>392</v>
      </c>
      <c r="B2165" s="20" t="s">
        <v>4347</v>
      </c>
      <c r="C2165" s="20"/>
      <c r="D2165" s="77" t="s">
        <v>424</v>
      </c>
      <c r="E2165" s="19" t="str">
        <f>VLOOKUP(D2165,'لیست پرسنل'!$B$2:$E$1020,3,FALSE)</f>
        <v>فکورصنعت</v>
      </c>
      <c r="F2165" s="19" t="str">
        <f>VLOOKUP(D2165,'لیست پرسنل'!$B$2:$E$1020,4,FALSE)</f>
        <v>پشتیبانی</v>
      </c>
      <c r="G2165" s="127">
        <f>VLOOKUP(D2165,'لیست پرسنل'!$B$2:$F$1020,2,FALSE)</f>
        <v>6302</v>
      </c>
      <c r="H2165" s="182" t="s">
        <v>3817</v>
      </c>
      <c r="I2165" s="128"/>
      <c r="J2165" s="128" t="s">
        <v>3532</v>
      </c>
      <c r="K2165" s="128" t="s">
        <v>3310</v>
      </c>
      <c r="L2165" s="151" t="s">
        <v>2153</v>
      </c>
      <c r="M2165" s="128">
        <v>628290</v>
      </c>
      <c r="N2165" s="108"/>
      <c r="O2165" s="20" t="s">
        <v>2151</v>
      </c>
      <c r="P2165" s="20"/>
      <c r="Q2165" s="20"/>
    </row>
    <row r="2166" spans="1:17" ht="24.9" customHeight="1">
      <c r="A2166" s="20">
        <v>392</v>
      </c>
      <c r="B2166" s="20" t="s">
        <v>4347</v>
      </c>
      <c r="C2166" s="20"/>
      <c r="D2166" s="77" t="s">
        <v>424</v>
      </c>
      <c r="E2166" s="19" t="str">
        <f>VLOOKUP(D2166,'لیست پرسنل'!$B$2:$E$1020,3,FALSE)</f>
        <v>فکورصنعت</v>
      </c>
      <c r="F2166" s="19" t="str">
        <f>VLOOKUP(D2166,'لیست پرسنل'!$B$2:$E$1020,4,FALSE)</f>
        <v>پشتیبانی</v>
      </c>
      <c r="G2166" s="127">
        <f>VLOOKUP(D2166,'لیست پرسنل'!$B$2:$F$1020,2,FALSE)</f>
        <v>6302</v>
      </c>
      <c r="H2166" s="182" t="s">
        <v>3817</v>
      </c>
      <c r="I2166" s="128"/>
      <c r="J2166" s="128" t="s">
        <v>3532</v>
      </c>
      <c r="K2166" s="128" t="s">
        <v>3310</v>
      </c>
      <c r="L2166" s="151"/>
      <c r="M2166" s="128">
        <v>628291</v>
      </c>
      <c r="N2166" s="108"/>
      <c r="O2166" s="20" t="s">
        <v>2152</v>
      </c>
      <c r="P2166" s="20"/>
      <c r="Q2166" s="20"/>
    </row>
    <row r="2167" spans="1:17" ht="24.9" customHeight="1">
      <c r="A2167" s="20">
        <v>392</v>
      </c>
      <c r="B2167" s="20" t="s">
        <v>4347</v>
      </c>
      <c r="C2167" s="20"/>
      <c r="D2167" s="77" t="s">
        <v>424</v>
      </c>
      <c r="E2167" s="19" t="str">
        <f>VLOOKUP(D2167,'لیست پرسنل'!$B$2:$E$1020,3,FALSE)</f>
        <v>فکورصنعت</v>
      </c>
      <c r="F2167" s="19" t="str">
        <f>VLOOKUP(D2167,'لیست پرسنل'!$B$2:$E$1020,4,FALSE)</f>
        <v>پشتیبانی</v>
      </c>
      <c r="G2167" s="127">
        <f>VLOOKUP(D2167,'لیست پرسنل'!$B$2:$F$1020,2,FALSE)</f>
        <v>6302</v>
      </c>
      <c r="H2167" s="182" t="s">
        <v>3817</v>
      </c>
      <c r="I2167" s="128"/>
      <c r="J2167" s="128" t="s">
        <v>3532</v>
      </c>
      <c r="K2167" s="128" t="s">
        <v>3310</v>
      </c>
      <c r="L2167" s="151"/>
      <c r="M2167" s="128">
        <v>628292</v>
      </c>
      <c r="N2167" s="108"/>
      <c r="O2167" s="20" t="s">
        <v>2152</v>
      </c>
      <c r="P2167" s="20"/>
      <c r="Q2167" s="20"/>
    </row>
    <row r="2168" spans="1:17" ht="24.9" customHeight="1">
      <c r="A2168" s="20">
        <v>392</v>
      </c>
      <c r="B2168" s="20" t="s">
        <v>4347</v>
      </c>
      <c r="C2168" s="20"/>
      <c r="D2168" s="77" t="s">
        <v>424</v>
      </c>
      <c r="E2168" s="19" t="str">
        <f>VLOOKUP(D2168,'لیست پرسنل'!$B$2:$E$1020,3,FALSE)</f>
        <v>فکورصنعت</v>
      </c>
      <c r="F2168" s="19" t="str">
        <f>VLOOKUP(D2168,'لیست پرسنل'!$B$2:$E$1020,4,FALSE)</f>
        <v>پشتیبانی</v>
      </c>
      <c r="G2168" s="127">
        <f>VLOOKUP(D2168,'لیست پرسنل'!$B$2:$F$1020,2,FALSE)</f>
        <v>6302</v>
      </c>
      <c r="H2168" s="182" t="s">
        <v>3817</v>
      </c>
      <c r="I2168" s="128"/>
      <c r="J2168" s="128" t="s">
        <v>3532</v>
      </c>
      <c r="K2168" s="128" t="s">
        <v>3310</v>
      </c>
      <c r="L2168" s="151"/>
      <c r="M2168" s="128">
        <v>628293</v>
      </c>
      <c r="N2168" s="108"/>
      <c r="O2168" s="20" t="s">
        <v>2152</v>
      </c>
      <c r="P2168" s="20"/>
      <c r="Q2168" s="20"/>
    </row>
    <row r="2169" spans="1:17" ht="24.9" customHeight="1">
      <c r="A2169" s="20">
        <v>392</v>
      </c>
      <c r="B2169" s="20" t="s">
        <v>4347</v>
      </c>
      <c r="C2169" s="20"/>
      <c r="D2169" s="77" t="s">
        <v>424</v>
      </c>
      <c r="E2169" s="19" t="str">
        <f>VLOOKUP(D2169,'لیست پرسنل'!$B$2:$E$1020,3,FALSE)</f>
        <v>فکورصنعت</v>
      </c>
      <c r="F2169" s="19" t="str">
        <f>VLOOKUP(D2169,'لیست پرسنل'!$B$2:$E$1020,4,FALSE)</f>
        <v>پشتیبانی</v>
      </c>
      <c r="G2169" s="127">
        <f>VLOOKUP(D2169,'لیست پرسنل'!$B$2:$F$1020,2,FALSE)</f>
        <v>6302</v>
      </c>
      <c r="H2169" s="182" t="s">
        <v>3817</v>
      </c>
      <c r="I2169" s="128"/>
      <c r="J2169" s="128" t="s">
        <v>3532</v>
      </c>
      <c r="K2169" s="128" t="s">
        <v>3310</v>
      </c>
      <c r="L2169" s="151"/>
      <c r="M2169" s="128">
        <v>628294</v>
      </c>
      <c r="N2169" s="108"/>
      <c r="O2169" s="20" t="s">
        <v>2152</v>
      </c>
      <c r="P2169" s="20"/>
      <c r="Q2169" s="20"/>
    </row>
    <row r="2170" spans="1:17" ht="24.9" customHeight="1">
      <c r="A2170" s="20">
        <v>392</v>
      </c>
      <c r="B2170" s="20" t="s">
        <v>4347</v>
      </c>
      <c r="C2170" s="20"/>
      <c r="D2170" s="77" t="s">
        <v>424</v>
      </c>
      <c r="E2170" s="19" t="str">
        <f>VLOOKUP(D2170,'لیست پرسنل'!$B$2:$E$1020,3,FALSE)</f>
        <v>فکورصنعت</v>
      </c>
      <c r="F2170" s="19" t="str">
        <f>VLOOKUP(D2170,'لیست پرسنل'!$B$2:$E$1020,4,FALSE)</f>
        <v>پشتیبانی</v>
      </c>
      <c r="G2170" s="127">
        <f>VLOOKUP(D2170,'لیست پرسنل'!$B$2:$F$1020,2,FALSE)</f>
        <v>6302</v>
      </c>
      <c r="H2170" s="182" t="s">
        <v>3817</v>
      </c>
      <c r="I2170" s="128"/>
      <c r="J2170" s="128" t="s">
        <v>3532</v>
      </c>
      <c r="K2170" s="128" t="s">
        <v>3310</v>
      </c>
      <c r="L2170" s="151"/>
      <c r="M2170" s="128">
        <v>628329</v>
      </c>
      <c r="N2170" s="108"/>
      <c r="O2170" s="20" t="s">
        <v>2152</v>
      </c>
      <c r="P2170" s="20"/>
      <c r="Q2170" s="20"/>
    </row>
    <row r="2171" spans="1:17" ht="24.9" customHeight="1">
      <c r="A2171" s="20">
        <v>392</v>
      </c>
      <c r="B2171" s="20" t="s">
        <v>4347</v>
      </c>
      <c r="C2171" s="20"/>
      <c r="D2171" s="77" t="s">
        <v>424</v>
      </c>
      <c r="E2171" s="19" t="str">
        <f>VLOOKUP(D2171,'لیست پرسنل'!$B$2:$E$1020,3,FALSE)</f>
        <v>فکورصنعت</v>
      </c>
      <c r="F2171" s="19" t="str">
        <f>VLOOKUP(D2171,'لیست پرسنل'!$B$2:$E$1020,4,FALSE)</f>
        <v>پشتیبانی</v>
      </c>
      <c r="G2171" s="127">
        <f>VLOOKUP(D2171,'لیست پرسنل'!$B$2:$F$1020,2,FALSE)</f>
        <v>6302</v>
      </c>
      <c r="H2171" s="182" t="s">
        <v>3817</v>
      </c>
      <c r="I2171" s="128"/>
      <c r="J2171" s="151" t="s">
        <v>5366</v>
      </c>
      <c r="K2171" s="128" t="s">
        <v>3308</v>
      </c>
      <c r="L2171" s="151"/>
      <c r="M2171" s="141">
        <v>611244</v>
      </c>
      <c r="N2171" s="108"/>
      <c r="O2171" s="20"/>
      <c r="P2171" s="20"/>
      <c r="Q2171" s="20"/>
    </row>
    <row r="2172" spans="1:17" ht="24.9" customHeight="1">
      <c r="A2172" s="20">
        <v>392</v>
      </c>
      <c r="B2172" s="20" t="s">
        <v>4347</v>
      </c>
      <c r="C2172" s="20"/>
      <c r="D2172" s="77" t="s">
        <v>424</v>
      </c>
      <c r="E2172" s="19" t="str">
        <f>VLOOKUP(D2172,'لیست پرسنل'!$B$2:$E$1020,3,FALSE)</f>
        <v>فکورصنعت</v>
      </c>
      <c r="F2172" s="19" t="str">
        <f>VLOOKUP(D2172,'لیست پرسنل'!$B$2:$E$1020,4,FALSE)</f>
        <v>پشتیبانی</v>
      </c>
      <c r="G2172" s="127">
        <f>VLOOKUP(D2172,'لیست پرسنل'!$B$2:$F$1020,2,FALSE)</f>
        <v>6302</v>
      </c>
      <c r="H2172" s="182" t="s">
        <v>3817</v>
      </c>
      <c r="I2172" s="128"/>
      <c r="J2172" s="151" t="s">
        <v>5366</v>
      </c>
      <c r="K2172" s="128" t="s">
        <v>3827</v>
      </c>
      <c r="L2172" s="128"/>
      <c r="M2172" s="128">
        <v>617921</v>
      </c>
      <c r="N2172" s="112"/>
      <c r="O2172" s="77" t="s">
        <v>1301</v>
      </c>
      <c r="P2172" s="20"/>
      <c r="Q2172" s="20"/>
    </row>
    <row r="2173" spans="1:17" ht="24.9" customHeight="1">
      <c r="A2173" s="20">
        <v>392</v>
      </c>
      <c r="B2173" s="20" t="s">
        <v>4347</v>
      </c>
      <c r="C2173" s="20"/>
      <c r="D2173" s="77" t="s">
        <v>424</v>
      </c>
      <c r="E2173" s="19" t="str">
        <f>VLOOKUP(D2173,'لیست پرسنل'!$B$2:$E$1020,3,FALSE)</f>
        <v>فکورصنعت</v>
      </c>
      <c r="F2173" s="19" t="str">
        <f>VLOOKUP(D2173,'لیست پرسنل'!$B$2:$E$1020,4,FALSE)</f>
        <v>پشتیبانی</v>
      </c>
      <c r="G2173" s="127">
        <f>VLOOKUP(D2173,'لیست پرسنل'!$B$2:$F$1020,2,FALSE)</f>
        <v>6302</v>
      </c>
      <c r="H2173" s="182" t="s">
        <v>3817</v>
      </c>
      <c r="I2173" s="128"/>
      <c r="J2173" s="151" t="s">
        <v>5366</v>
      </c>
      <c r="K2173" s="128" t="s">
        <v>3308</v>
      </c>
      <c r="L2173" s="151"/>
      <c r="M2173" s="141">
        <v>619861</v>
      </c>
      <c r="N2173" s="108"/>
      <c r="O2173" s="20"/>
      <c r="P2173" s="20"/>
      <c r="Q2173" s="20"/>
    </row>
    <row r="2174" spans="1:17" ht="24.9" customHeight="1">
      <c r="A2174" s="20">
        <v>392</v>
      </c>
      <c r="B2174" s="20" t="s">
        <v>4347</v>
      </c>
      <c r="C2174" s="20"/>
      <c r="D2174" s="77" t="s">
        <v>424</v>
      </c>
      <c r="E2174" s="19" t="str">
        <f>VLOOKUP(D2174,'لیست پرسنل'!$B$2:$E$1020,3,FALSE)</f>
        <v>فکورصنعت</v>
      </c>
      <c r="F2174" s="19" t="str">
        <f>VLOOKUP(D2174,'لیست پرسنل'!$B$2:$E$1020,4,FALSE)</f>
        <v>پشتیبانی</v>
      </c>
      <c r="G2174" s="127">
        <f>VLOOKUP(D2174,'لیست پرسنل'!$B$2:$F$1020,2,FALSE)</f>
        <v>6302</v>
      </c>
      <c r="H2174" s="182" t="s">
        <v>3817</v>
      </c>
      <c r="I2174" s="128"/>
      <c r="J2174" s="151" t="s">
        <v>5366</v>
      </c>
      <c r="K2174" s="128" t="s">
        <v>3308</v>
      </c>
      <c r="L2174" s="151"/>
      <c r="M2174" s="141">
        <v>619864</v>
      </c>
      <c r="N2174" s="108"/>
      <c r="O2174" s="20"/>
      <c r="P2174" s="20"/>
      <c r="Q2174" s="20"/>
    </row>
    <row r="2175" spans="1:17" ht="24.9" customHeight="1">
      <c r="A2175" s="20">
        <v>392</v>
      </c>
      <c r="B2175" s="20" t="s">
        <v>4347</v>
      </c>
      <c r="C2175" s="20"/>
      <c r="D2175" s="77" t="s">
        <v>424</v>
      </c>
      <c r="E2175" s="19" t="str">
        <f>VLOOKUP(D2175,'لیست پرسنل'!$B$2:$E$1020,3,FALSE)</f>
        <v>فکورصنعت</v>
      </c>
      <c r="F2175" s="19" t="str">
        <f>VLOOKUP(D2175,'لیست پرسنل'!$B$2:$E$1020,4,FALSE)</f>
        <v>پشتیبانی</v>
      </c>
      <c r="G2175" s="127">
        <f>VLOOKUP(D2175,'لیست پرسنل'!$B$2:$F$1020,2,FALSE)</f>
        <v>6302</v>
      </c>
      <c r="H2175" s="182" t="s">
        <v>3817</v>
      </c>
      <c r="I2175" s="128"/>
      <c r="J2175" s="151" t="s">
        <v>5366</v>
      </c>
      <c r="K2175" s="128" t="s">
        <v>3308</v>
      </c>
      <c r="L2175" s="151"/>
      <c r="M2175" s="141">
        <v>619866</v>
      </c>
      <c r="N2175" s="108"/>
      <c r="O2175" s="20"/>
      <c r="P2175" s="20"/>
      <c r="Q2175" s="20"/>
    </row>
    <row r="2176" spans="1:17" ht="24.9" customHeight="1">
      <c r="A2176" s="20">
        <v>392</v>
      </c>
      <c r="B2176" s="20" t="s">
        <v>4347</v>
      </c>
      <c r="C2176" s="20"/>
      <c r="D2176" s="77" t="s">
        <v>424</v>
      </c>
      <c r="E2176" s="19" t="str">
        <f>VLOOKUP(D2176,'لیست پرسنل'!$B$2:$E$1020,3,FALSE)</f>
        <v>فکورصنعت</v>
      </c>
      <c r="F2176" s="19" t="str">
        <f>VLOOKUP(D2176,'لیست پرسنل'!$B$2:$E$1020,4,FALSE)</f>
        <v>پشتیبانی</v>
      </c>
      <c r="G2176" s="127">
        <f>VLOOKUP(D2176,'لیست پرسنل'!$B$2:$F$1020,2,FALSE)</f>
        <v>6302</v>
      </c>
      <c r="H2176" s="182" t="s">
        <v>3817</v>
      </c>
      <c r="I2176" s="128"/>
      <c r="J2176" s="151" t="s">
        <v>5366</v>
      </c>
      <c r="K2176" s="128" t="s">
        <v>3308</v>
      </c>
      <c r="L2176" s="151"/>
      <c r="M2176" s="141">
        <v>619871</v>
      </c>
      <c r="N2176" s="108"/>
      <c r="O2176" s="20"/>
      <c r="P2176" s="20"/>
      <c r="Q2176" s="20"/>
    </row>
    <row r="2177" spans="1:17" ht="24.9" customHeight="1">
      <c r="A2177" s="20">
        <v>392</v>
      </c>
      <c r="B2177" s="20" t="s">
        <v>4347</v>
      </c>
      <c r="C2177" s="20"/>
      <c r="D2177" s="77" t="s">
        <v>424</v>
      </c>
      <c r="E2177" s="19" t="str">
        <f>VLOOKUP(D2177,'لیست پرسنل'!$B$2:$E$1020,3,FALSE)</f>
        <v>فکورصنعت</v>
      </c>
      <c r="F2177" s="19" t="str">
        <f>VLOOKUP(D2177,'لیست پرسنل'!$B$2:$E$1020,4,FALSE)</f>
        <v>پشتیبانی</v>
      </c>
      <c r="G2177" s="127">
        <f>VLOOKUP(D2177,'لیست پرسنل'!$B$2:$F$1020,2,FALSE)</f>
        <v>6302</v>
      </c>
      <c r="H2177" s="182" t="s">
        <v>3817</v>
      </c>
      <c r="I2177" s="128"/>
      <c r="J2177" s="151" t="s">
        <v>5366</v>
      </c>
      <c r="K2177" s="128" t="s">
        <v>1310</v>
      </c>
      <c r="L2177" s="128"/>
      <c r="M2177" s="128">
        <v>620886</v>
      </c>
      <c r="N2177" s="118" t="s">
        <v>1305</v>
      </c>
      <c r="O2177" s="28"/>
      <c r="P2177" s="20"/>
      <c r="Q2177" s="20"/>
    </row>
    <row r="2178" spans="1:17" ht="24.9" customHeight="1">
      <c r="A2178" s="20">
        <v>392</v>
      </c>
      <c r="B2178" s="20" t="s">
        <v>4347</v>
      </c>
      <c r="C2178" s="20"/>
      <c r="D2178" s="77" t="s">
        <v>424</v>
      </c>
      <c r="E2178" s="19" t="str">
        <f>VLOOKUP(D2178,'لیست پرسنل'!$B$2:$E$1020,3,FALSE)</f>
        <v>فکورصنعت</v>
      </c>
      <c r="F2178" s="19" t="str">
        <f>VLOOKUP(D2178,'لیست پرسنل'!$B$2:$E$1020,4,FALSE)</f>
        <v>پشتیبانی</v>
      </c>
      <c r="G2178" s="127">
        <f>VLOOKUP(D2178,'لیست پرسنل'!$B$2:$F$1020,2,FALSE)</f>
        <v>6302</v>
      </c>
      <c r="H2178" s="182" t="s">
        <v>3817</v>
      </c>
      <c r="I2178" s="128"/>
      <c r="J2178" s="151" t="s">
        <v>5366</v>
      </c>
      <c r="K2178" s="128" t="s">
        <v>1310</v>
      </c>
      <c r="L2178" s="151"/>
      <c r="M2178" s="128">
        <v>620887</v>
      </c>
      <c r="N2178" s="118" t="s">
        <v>1306</v>
      </c>
      <c r="O2178" s="28"/>
      <c r="P2178" s="20"/>
      <c r="Q2178" s="20"/>
    </row>
    <row r="2179" spans="1:17" ht="24.9" customHeight="1">
      <c r="A2179" s="20">
        <v>392</v>
      </c>
      <c r="B2179" s="20" t="s">
        <v>4347</v>
      </c>
      <c r="C2179" s="20"/>
      <c r="D2179" s="77" t="s">
        <v>424</v>
      </c>
      <c r="E2179" s="19" t="str">
        <f>VLOOKUP(D2179,'لیست پرسنل'!$B$2:$E$1020,3,FALSE)</f>
        <v>فکورصنعت</v>
      </c>
      <c r="F2179" s="19" t="str">
        <f>VLOOKUP(D2179,'لیست پرسنل'!$B$2:$E$1020,4,FALSE)</f>
        <v>پشتیبانی</v>
      </c>
      <c r="G2179" s="127">
        <f>VLOOKUP(D2179,'لیست پرسنل'!$B$2:$F$1020,2,FALSE)</f>
        <v>6302</v>
      </c>
      <c r="H2179" s="182" t="s">
        <v>3817</v>
      </c>
      <c r="I2179" s="128"/>
      <c r="J2179" s="151" t="s">
        <v>5366</v>
      </c>
      <c r="K2179" s="128" t="s">
        <v>3308</v>
      </c>
      <c r="L2179" s="151"/>
      <c r="M2179" s="141">
        <v>622377</v>
      </c>
      <c r="N2179" s="108"/>
      <c r="O2179" s="20"/>
      <c r="P2179" s="20"/>
      <c r="Q2179" s="20"/>
    </row>
    <row r="2180" spans="1:17" ht="24.9" customHeight="1">
      <c r="A2180" s="20">
        <v>392</v>
      </c>
      <c r="B2180" s="20" t="s">
        <v>4347</v>
      </c>
      <c r="C2180" s="20"/>
      <c r="D2180" s="77" t="s">
        <v>424</v>
      </c>
      <c r="E2180" s="19" t="str">
        <f>VLOOKUP(D2180,'لیست پرسنل'!$B$2:$E$1020,3,FALSE)</f>
        <v>فکورصنعت</v>
      </c>
      <c r="F2180" s="19" t="str">
        <f>VLOOKUP(D2180,'لیست پرسنل'!$B$2:$E$1020,4,FALSE)</f>
        <v>پشتیبانی</v>
      </c>
      <c r="G2180" s="127">
        <f>VLOOKUP(D2180,'لیست پرسنل'!$B$2:$F$1020,2,FALSE)</f>
        <v>6302</v>
      </c>
      <c r="H2180" s="182" t="s">
        <v>3817</v>
      </c>
      <c r="I2180" s="128"/>
      <c r="J2180" s="151" t="s">
        <v>5366</v>
      </c>
      <c r="K2180" s="128" t="s">
        <v>3828</v>
      </c>
      <c r="L2180" s="151"/>
      <c r="M2180" s="128">
        <v>622627</v>
      </c>
      <c r="N2180" s="118" t="s">
        <v>1307</v>
      </c>
      <c r="O2180" s="28"/>
      <c r="P2180" s="20"/>
      <c r="Q2180" s="20"/>
    </row>
    <row r="2181" spans="1:17" ht="24.9" customHeight="1">
      <c r="A2181" s="20">
        <v>392</v>
      </c>
      <c r="B2181" s="20" t="s">
        <v>4347</v>
      </c>
      <c r="C2181" s="20"/>
      <c r="D2181" s="77" t="s">
        <v>424</v>
      </c>
      <c r="E2181" s="19" t="str">
        <f>VLOOKUP(D2181,'لیست پرسنل'!$B$2:$E$1020,3,FALSE)</f>
        <v>فکورصنعت</v>
      </c>
      <c r="F2181" s="19" t="str">
        <f>VLOOKUP(D2181,'لیست پرسنل'!$B$2:$E$1020,4,FALSE)</f>
        <v>پشتیبانی</v>
      </c>
      <c r="G2181" s="127">
        <f>VLOOKUP(D2181,'لیست پرسنل'!$B$2:$F$1020,2,FALSE)</f>
        <v>6302</v>
      </c>
      <c r="H2181" s="128" t="s">
        <v>3817</v>
      </c>
      <c r="I2181" s="128"/>
      <c r="J2181" s="128" t="s">
        <v>5366</v>
      </c>
      <c r="K2181" s="127" t="s">
        <v>1074</v>
      </c>
      <c r="L2181" s="151" t="s">
        <v>8101</v>
      </c>
      <c r="M2181" s="127">
        <v>623604</v>
      </c>
      <c r="N2181" s="108"/>
      <c r="O2181" s="19" t="s">
        <v>3856</v>
      </c>
      <c r="P2181" s="20"/>
      <c r="Q2181" s="20"/>
    </row>
    <row r="2182" spans="1:17" ht="24.9" customHeight="1">
      <c r="A2182" s="20">
        <v>392</v>
      </c>
      <c r="B2182" s="20" t="s">
        <v>4347</v>
      </c>
      <c r="C2182" s="20"/>
      <c r="D2182" s="77" t="s">
        <v>424</v>
      </c>
      <c r="E2182" s="19" t="str">
        <f>VLOOKUP(D2182,'لیست پرسنل'!$B$2:$E$1020,3,FALSE)</f>
        <v>فکورصنعت</v>
      </c>
      <c r="F2182" s="19" t="str">
        <f>VLOOKUP(D2182,'لیست پرسنل'!$B$2:$E$1020,4,FALSE)</f>
        <v>پشتیبانی</v>
      </c>
      <c r="G2182" s="127">
        <f>VLOOKUP(D2182,'لیست پرسنل'!$B$2:$F$1020,2,FALSE)</f>
        <v>6302</v>
      </c>
      <c r="H2182" s="128" t="s">
        <v>3817</v>
      </c>
      <c r="I2182" s="128"/>
      <c r="J2182" s="128" t="s">
        <v>5366</v>
      </c>
      <c r="K2182" s="126" t="s">
        <v>1670</v>
      </c>
      <c r="L2182" s="151"/>
      <c r="M2182" s="134">
        <v>625348</v>
      </c>
      <c r="N2182" s="108"/>
      <c r="O2182" s="20"/>
      <c r="P2182" s="20"/>
      <c r="Q2182" s="20"/>
    </row>
    <row r="2183" spans="1:17" ht="24.9" customHeight="1">
      <c r="A2183" s="20">
        <v>392</v>
      </c>
      <c r="B2183" s="20" t="s">
        <v>4347</v>
      </c>
      <c r="C2183" s="20"/>
      <c r="D2183" s="77" t="s">
        <v>424</v>
      </c>
      <c r="E2183" s="19" t="str">
        <f>VLOOKUP(D2183,'لیست پرسنل'!$B$2:$E$1020,3,FALSE)</f>
        <v>فکورصنعت</v>
      </c>
      <c r="F2183" s="19" t="str">
        <f>VLOOKUP(D2183,'لیست پرسنل'!$B$2:$E$1020,4,FALSE)</f>
        <v>پشتیبانی</v>
      </c>
      <c r="G2183" s="127">
        <f>VLOOKUP(D2183,'لیست پرسنل'!$B$2:$F$1020,2,FALSE)</f>
        <v>6302</v>
      </c>
      <c r="H2183" s="128" t="s">
        <v>3817</v>
      </c>
      <c r="I2183" s="128"/>
      <c r="J2183" s="128" t="s">
        <v>5366</v>
      </c>
      <c r="K2183" s="127" t="s">
        <v>1671</v>
      </c>
      <c r="L2183" s="151"/>
      <c r="M2183" s="138">
        <v>625349</v>
      </c>
      <c r="N2183" s="108"/>
      <c r="O2183" s="20"/>
      <c r="P2183" s="20"/>
      <c r="Q2183" s="20"/>
    </row>
    <row r="2184" spans="1:17" ht="24.9" customHeight="1">
      <c r="A2184" s="20">
        <v>392</v>
      </c>
      <c r="B2184" s="20" t="s">
        <v>4347</v>
      </c>
      <c r="C2184" s="20"/>
      <c r="D2184" s="77" t="s">
        <v>424</v>
      </c>
      <c r="E2184" s="19" t="str">
        <f>VLOOKUP(D2184,'لیست پرسنل'!$B$2:$E$1020,3,FALSE)</f>
        <v>فکورصنعت</v>
      </c>
      <c r="F2184" s="19" t="str">
        <f>VLOOKUP(D2184,'لیست پرسنل'!$B$2:$E$1020,4,FALSE)</f>
        <v>پشتیبانی</v>
      </c>
      <c r="G2184" s="127">
        <f>VLOOKUP(D2184,'لیست پرسنل'!$B$2:$F$1020,2,FALSE)</f>
        <v>6302</v>
      </c>
      <c r="H2184" s="128" t="s">
        <v>3817</v>
      </c>
      <c r="I2184" s="128"/>
      <c r="J2184" s="128" t="s">
        <v>5366</v>
      </c>
      <c r="K2184" s="127" t="s">
        <v>1671</v>
      </c>
      <c r="L2184" s="151"/>
      <c r="M2184" s="127">
        <v>625350</v>
      </c>
      <c r="N2184" s="108"/>
      <c r="O2184" s="20"/>
      <c r="P2184" s="20"/>
      <c r="Q2184" s="20"/>
    </row>
    <row r="2185" spans="1:17" ht="24.9" customHeight="1">
      <c r="A2185" s="20">
        <v>392</v>
      </c>
      <c r="B2185" s="20" t="s">
        <v>4347</v>
      </c>
      <c r="C2185" s="20"/>
      <c r="D2185" s="77" t="s">
        <v>424</v>
      </c>
      <c r="E2185" s="19" t="str">
        <f>VLOOKUP(D2185,'لیست پرسنل'!$B$2:$E$1020,3,FALSE)</f>
        <v>فکورصنعت</v>
      </c>
      <c r="F2185" s="19" t="str">
        <f>VLOOKUP(D2185,'لیست پرسنل'!$B$2:$E$1020,4,FALSE)</f>
        <v>پشتیبانی</v>
      </c>
      <c r="G2185" s="127">
        <f>VLOOKUP(D2185,'لیست پرسنل'!$B$2:$F$1020,2,FALSE)</f>
        <v>6302</v>
      </c>
      <c r="H2185" s="128" t="s">
        <v>3817</v>
      </c>
      <c r="I2185" s="128"/>
      <c r="J2185" s="128" t="s">
        <v>5366</v>
      </c>
      <c r="K2185" s="127" t="s">
        <v>1671</v>
      </c>
      <c r="L2185" s="151"/>
      <c r="M2185" s="127">
        <v>625351</v>
      </c>
      <c r="N2185" s="108"/>
      <c r="O2185" s="20"/>
      <c r="P2185" s="20"/>
      <c r="Q2185" s="20"/>
    </row>
    <row r="2186" spans="1:17" ht="24.9" customHeight="1">
      <c r="A2186" s="20">
        <v>392</v>
      </c>
      <c r="B2186" s="20" t="s">
        <v>4347</v>
      </c>
      <c r="C2186" s="20"/>
      <c r="D2186" s="77" t="s">
        <v>424</v>
      </c>
      <c r="E2186" s="19" t="str">
        <f>VLOOKUP(D2186,'لیست پرسنل'!$B$2:$E$1020,3,FALSE)</f>
        <v>فکورصنعت</v>
      </c>
      <c r="F2186" s="19" t="str">
        <f>VLOOKUP(D2186,'لیست پرسنل'!$B$2:$E$1020,4,FALSE)</f>
        <v>پشتیبانی</v>
      </c>
      <c r="G2186" s="127">
        <f>VLOOKUP(D2186,'لیست پرسنل'!$B$2:$F$1020,2,FALSE)</f>
        <v>6302</v>
      </c>
      <c r="H2186" s="128" t="s">
        <v>3817</v>
      </c>
      <c r="I2186" s="128"/>
      <c r="J2186" s="128" t="s">
        <v>5366</v>
      </c>
      <c r="K2186" s="127" t="s">
        <v>1671</v>
      </c>
      <c r="L2186" s="151"/>
      <c r="M2186" s="127">
        <v>625352</v>
      </c>
      <c r="N2186" s="108"/>
      <c r="O2186" s="20"/>
      <c r="P2186" s="20"/>
      <c r="Q2186" s="20"/>
    </row>
    <row r="2187" spans="1:17" ht="24.9" customHeight="1">
      <c r="A2187" s="20">
        <v>392</v>
      </c>
      <c r="B2187" s="20" t="s">
        <v>4347</v>
      </c>
      <c r="C2187" s="20"/>
      <c r="D2187" s="77" t="s">
        <v>424</v>
      </c>
      <c r="E2187" s="19" t="str">
        <f>VLOOKUP(D2187,'لیست پرسنل'!$B$2:$E$1020,3,FALSE)</f>
        <v>فکورصنعت</v>
      </c>
      <c r="F2187" s="19" t="str">
        <f>VLOOKUP(D2187,'لیست پرسنل'!$B$2:$E$1020,4,FALSE)</f>
        <v>پشتیبانی</v>
      </c>
      <c r="G2187" s="127">
        <f>VLOOKUP(D2187,'لیست پرسنل'!$B$2:$F$1020,2,FALSE)</f>
        <v>6302</v>
      </c>
      <c r="H2187" s="182" t="s">
        <v>3817</v>
      </c>
      <c r="I2187" s="128"/>
      <c r="J2187" s="151" t="s">
        <v>5366</v>
      </c>
      <c r="K2187" s="128" t="s">
        <v>1309</v>
      </c>
      <c r="L2187" s="151"/>
      <c r="M2187" s="126" t="s">
        <v>291</v>
      </c>
      <c r="N2187" s="108" t="s">
        <v>1308</v>
      </c>
      <c r="O2187" s="28"/>
      <c r="P2187" s="20"/>
      <c r="Q2187" s="20"/>
    </row>
    <row r="2188" spans="1:17" ht="24.9" customHeight="1">
      <c r="A2188" s="20">
        <v>392</v>
      </c>
      <c r="B2188" s="20" t="s">
        <v>4347</v>
      </c>
      <c r="C2188" s="20"/>
      <c r="D2188" s="77" t="s">
        <v>424</v>
      </c>
      <c r="E2188" s="19" t="str">
        <f>VLOOKUP(D2188,'لیست پرسنل'!$B$2:$E$1020,3,FALSE)</f>
        <v>فکورصنعت</v>
      </c>
      <c r="F2188" s="19" t="str">
        <f>VLOOKUP(D2188,'لیست پرسنل'!$B$2:$E$1020,4,FALSE)</f>
        <v>پشتیبانی</v>
      </c>
      <c r="G2188" s="127">
        <f>VLOOKUP(D2188,'لیست پرسنل'!$B$2:$F$1020,2,FALSE)</f>
        <v>6302</v>
      </c>
      <c r="H2188" s="182" t="s">
        <v>3817</v>
      </c>
      <c r="I2188" s="128"/>
      <c r="J2188" s="128" t="s">
        <v>3938</v>
      </c>
      <c r="K2188" s="128" t="s">
        <v>2544</v>
      </c>
      <c r="L2188" s="151" t="s">
        <v>2071</v>
      </c>
      <c r="M2188" s="128">
        <v>612687</v>
      </c>
      <c r="N2188" s="108"/>
      <c r="O2188" s="20" t="s">
        <v>2545</v>
      </c>
      <c r="P2188" s="20"/>
      <c r="Q2188" s="20"/>
    </row>
    <row r="2189" spans="1:17" ht="24.9" customHeight="1">
      <c r="A2189" s="20">
        <v>392</v>
      </c>
      <c r="B2189" s="20" t="s">
        <v>4347</v>
      </c>
      <c r="C2189" s="20"/>
      <c r="D2189" s="77" t="s">
        <v>424</v>
      </c>
      <c r="E2189" s="19" t="str">
        <f>VLOOKUP(D2189,'لیست پرسنل'!$B$2:$E$1020,3,FALSE)</f>
        <v>فکورصنعت</v>
      </c>
      <c r="F2189" s="19" t="str">
        <f>VLOOKUP(D2189,'لیست پرسنل'!$B$2:$E$1020,4,FALSE)</f>
        <v>پشتیبانی</v>
      </c>
      <c r="G2189" s="127">
        <f>VLOOKUP(D2189,'لیست پرسنل'!$B$2:$F$1020,2,FALSE)</f>
        <v>6302</v>
      </c>
      <c r="H2189" s="182" t="s">
        <v>3817</v>
      </c>
      <c r="I2189" s="128"/>
      <c r="J2189" s="128" t="s">
        <v>3483</v>
      </c>
      <c r="K2189" s="128" t="s">
        <v>2543</v>
      </c>
      <c r="L2189" s="151"/>
      <c r="M2189" s="126" t="s">
        <v>291</v>
      </c>
      <c r="N2189" s="108"/>
      <c r="O2189" s="20"/>
      <c r="P2189" s="20"/>
      <c r="Q2189" s="20"/>
    </row>
    <row r="2190" spans="1:17" ht="24.9" customHeight="1">
      <c r="A2190" s="20">
        <v>392</v>
      </c>
      <c r="B2190" s="20" t="s">
        <v>4347</v>
      </c>
      <c r="C2190" s="20"/>
      <c r="D2190" s="77" t="s">
        <v>424</v>
      </c>
      <c r="E2190" s="19" t="str">
        <f>VLOOKUP(D2190,'لیست پرسنل'!$B$2:$E$1020,3,FALSE)</f>
        <v>فکورصنعت</v>
      </c>
      <c r="F2190" s="19" t="str">
        <f>VLOOKUP(D2190,'لیست پرسنل'!$B$2:$E$1020,4,FALSE)</f>
        <v>پشتیبانی</v>
      </c>
      <c r="G2190" s="127">
        <f>VLOOKUP(D2190,'لیست پرسنل'!$B$2:$F$1020,2,FALSE)</f>
        <v>6302</v>
      </c>
      <c r="H2190" s="182" t="s">
        <v>3817</v>
      </c>
      <c r="I2190" s="128"/>
      <c r="J2190" s="128" t="s">
        <v>3285</v>
      </c>
      <c r="K2190" s="128" t="s">
        <v>844</v>
      </c>
      <c r="L2190" s="151" t="s">
        <v>2537</v>
      </c>
      <c r="M2190" s="128">
        <v>625681</v>
      </c>
      <c r="N2190" s="108"/>
      <c r="O2190" s="20"/>
      <c r="P2190" s="20"/>
      <c r="Q2190" s="20"/>
    </row>
    <row r="2191" spans="1:17" ht="24.9" customHeight="1">
      <c r="A2191" s="20">
        <v>392</v>
      </c>
      <c r="B2191" s="20" t="s">
        <v>4347</v>
      </c>
      <c r="C2191" s="20"/>
      <c r="D2191" s="77" t="s">
        <v>424</v>
      </c>
      <c r="E2191" s="19" t="str">
        <f>VLOOKUP(D2191,'لیست پرسنل'!$B$2:$E$1020,3,FALSE)</f>
        <v>فکورصنعت</v>
      </c>
      <c r="F2191" s="19" t="str">
        <f>VLOOKUP(D2191,'لیست پرسنل'!$B$2:$E$1020,4,FALSE)</f>
        <v>پشتیبانی</v>
      </c>
      <c r="G2191" s="127">
        <f>VLOOKUP(D2191,'لیست پرسنل'!$B$2:$F$1020,2,FALSE)</f>
        <v>6302</v>
      </c>
      <c r="H2191" s="182" t="s">
        <v>3817</v>
      </c>
      <c r="I2191" s="128"/>
      <c r="J2191" s="128" t="s">
        <v>3476</v>
      </c>
      <c r="K2191" s="128" t="s">
        <v>2538</v>
      </c>
      <c r="L2191" s="151"/>
      <c r="M2191" s="128">
        <v>627193</v>
      </c>
      <c r="N2191" s="108"/>
      <c r="O2191" s="20"/>
      <c r="P2191" s="20"/>
      <c r="Q2191" s="20"/>
    </row>
    <row r="2192" spans="1:17" ht="24.9" customHeight="1">
      <c r="A2192" s="20">
        <v>392</v>
      </c>
      <c r="B2192" s="20" t="s">
        <v>4347</v>
      </c>
      <c r="C2192" s="20"/>
      <c r="D2192" s="77" t="s">
        <v>424</v>
      </c>
      <c r="E2192" s="19" t="str">
        <f>VLOOKUP(D2192,'لیست پرسنل'!$B$2:$E$1020,3,FALSE)</f>
        <v>فکورصنعت</v>
      </c>
      <c r="F2192" s="19" t="str">
        <f>VLOOKUP(D2192,'لیست پرسنل'!$B$2:$E$1020,4,FALSE)</f>
        <v>پشتیبانی</v>
      </c>
      <c r="G2192" s="127">
        <f>VLOOKUP(D2192,'لیست پرسنل'!$B$2:$F$1020,2,FALSE)</f>
        <v>6302</v>
      </c>
      <c r="H2192" s="182" t="s">
        <v>3817</v>
      </c>
      <c r="I2192" s="128"/>
      <c r="J2192" s="128" t="s">
        <v>3476</v>
      </c>
      <c r="K2192" s="128" t="s">
        <v>2539</v>
      </c>
      <c r="L2192" s="151" t="s">
        <v>2542</v>
      </c>
      <c r="M2192" s="128">
        <v>628935</v>
      </c>
      <c r="N2192" s="108"/>
      <c r="O2192" s="20"/>
      <c r="P2192" s="20"/>
      <c r="Q2192" s="20"/>
    </row>
    <row r="2193" spans="1:17" ht="24.9" customHeight="1">
      <c r="A2193" s="20">
        <v>392</v>
      </c>
      <c r="B2193" s="20" t="s">
        <v>4347</v>
      </c>
      <c r="C2193" s="20"/>
      <c r="D2193" s="77" t="s">
        <v>424</v>
      </c>
      <c r="E2193" s="19" t="str">
        <f>VLOOKUP(D2193,'لیست پرسنل'!$B$2:$E$1020,3,FALSE)</f>
        <v>فکورصنعت</v>
      </c>
      <c r="F2193" s="19" t="str">
        <f>VLOOKUP(D2193,'لیست پرسنل'!$B$2:$E$1020,4,FALSE)</f>
        <v>پشتیبانی</v>
      </c>
      <c r="G2193" s="127">
        <f>VLOOKUP(D2193,'لیست پرسنل'!$B$2:$F$1020,2,FALSE)</f>
        <v>6302</v>
      </c>
      <c r="H2193" s="182" t="s">
        <v>3817</v>
      </c>
      <c r="I2193" s="128"/>
      <c r="J2193" s="128" t="s">
        <v>3476</v>
      </c>
      <c r="K2193" s="128" t="s">
        <v>2539</v>
      </c>
      <c r="L2193" s="151" t="s">
        <v>2540</v>
      </c>
      <c r="M2193" s="128">
        <v>628937</v>
      </c>
      <c r="N2193" s="108"/>
      <c r="O2193" s="20"/>
      <c r="P2193" s="20"/>
      <c r="Q2193" s="20"/>
    </row>
    <row r="2194" spans="1:17" ht="24.9" customHeight="1">
      <c r="A2194" s="20">
        <v>392</v>
      </c>
      <c r="B2194" s="20" t="s">
        <v>4347</v>
      </c>
      <c r="C2194" s="20"/>
      <c r="D2194" s="77" t="s">
        <v>424</v>
      </c>
      <c r="E2194" s="19" t="str">
        <f>VLOOKUP(D2194,'لیست پرسنل'!$B$2:$E$1020,3,FALSE)</f>
        <v>فکورصنعت</v>
      </c>
      <c r="F2194" s="19" t="str">
        <f>VLOOKUP(D2194,'لیست پرسنل'!$B$2:$E$1020,4,FALSE)</f>
        <v>پشتیبانی</v>
      </c>
      <c r="G2194" s="127">
        <f>VLOOKUP(D2194,'لیست پرسنل'!$B$2:$F$1020,2,FALSE)</f>
        <v>6302</v>
      </c>
      <c r="H2194" s="182" t="s">
        <v>3817</v>
      </c>
      <c r="I2194" s="128"/>
      <c r="J2194" s="128" t="s">
        <v>3476</v>
      </c>
      <c r="K2194" s="128" t="s">
        <v>5114</v>
      </c>
      <c r="L2194" s="151" t="s">
        <v>2541</v>
      </c>
      <c r="M2194" s="128">
        <v>628939</v>
      </c>
      <c r="N2194" s="108"/>
      <c r="O2194" s="20"/>
      <c r="P2194" s="20"/>
      <c r="Q2194" s="20"/>
    </row>
    <row r="2195" spans="1:17" ht="24.9" customHeight="1">
      <c r="A2195" s="20">
        <v>392</v>
      </c>
      <c r="B2195" s="77" t="s">
        <v>4347</v>
      </c>
      <c r="C2195" s="77"/>
      <c r="D2195" s="77" t="s">
        <v>424</v>
      </c>
      <c r="E2195" s="19" t="str">
        <f>VLOOKUP(D2195,'لیست پرسنل'!$B$2:$E$1020,3,FALSE)</f>
        <v>فکورصنعت</v>
      </c>
      <c r="F2195" s="19" t="str">
        <f>VLOOKUP(D2195,'لیست پرسنل'!$B$2:$E$1020,4,FALSE)</f>
        <v>پشتیبانی</v>
      </c>
      <c r="G2195" s="127">
        <f>VLOOKUP(D2195,'لیست پرسنل'!$B$2:$F$1020,2,FALSE)</f>
        <v>6302</v>
      </c>
      <c r="H2195" s="128" t="s">
        <v>4467</v>
      </c>
      <c r="I2195" s="128"/>
      <c r="J2195" s="128" t="s">
        <v>5366</v>
      </c>
      <c r="K2195" s="127" t="s">
        <v>4455</v>
      </c>
      <c r="L2195" s="151"/>
      <c r="M2195" s="128">
        <v>621883</v>
      </c>
      <c r="N2195" s="108"/>
      <c r="O2195" s="84" t="s">
        <v>4456</v>
      </c>
      <c r="P2195" s="20"/>
      <c r="Q2195" s="20"/>
    </row>
    <row r="2196" spans="1:17" ht="24.9" customHeight="1">
      <c r="A2196" s="20">
        <v>392</v>
      </c>
      <c r="B2196" s="20" t="s">
        <v>4347</v>
      </c>
      <c r="C2196" s="20"/>
      <c r="D2196" s="20" t="s">
        <v>3800</v>
      </c>
      <c r="E2196" s="19" t="str">
        <f>VLOOKUP(D2196,'لیست پرسنل'!$B$2:$E$1020,3,FALSE)</f>
        <v>فکورصنعت</v>
      </c>
      <c r="F2196" s="19" t="str">
        <f>VLOOKUP(D2196,'لیست پرسنل'!$B$2:$E$1020,4,FALSE)</f>
        <v>سرپرست انبار</v>
      </c>
      <c r="G2196" s="127" t="str">
        <f>VLOOKUP(D2196,'لیست پرسنل'!$B$2:$F$1020,2,FALSE)</f>
        <v>3754</v>
      </c>
      <c r="H2196" s="128" t="s">
        <v>4454</v>
      </c>
      <c r="I2196" s="128"/>
      <c r="J2196" s="128" t="s">
        <v>1967</v>
      </c>
      <c r="K2196" s="127" t="s">
        <v>2682</v>
      </c>
      <c r="L2196" s="128"/>
      <c r="M2196" s="128">
        <v>613126</v>
      </c>
      <c r="N2196" s="108"/>
      <c r="O2196" s="32" t="s">
        <v>2676</v>
      </c>
      <c r="P2196" s="20"/>
      <c r="Q2196" s="20"/>
    </row>
    <row r="2197" spans="1:17" ht="24.9" customHeight="1">
      <c r="A2197" s="20">
        <v>392</v>
      </c>
      <c r="B2197" s="20" t="s">
        <v>4347</v>
      </c>
      <c r="C2197" s="20"/>
      <c r="D2197" s="20" t="s">
        <v>3800</v>
      </c>
      <c r="E2197" s="19" t="str">
        <f>VLOOKUP(D2197,'لیست پرسنل'!$B$2:$E$1020,3,FALSE)</f>
        <v>فکورصنعت</v>
      </c>
      <c r="F2197" s="19" t="str">
        <f>VLOOKUP(D2197,'لیست پرسنل'!$B$2:$E$1020,4,FALSE)</f>
        <v>سرپرست انبار</v>
      </c>
      <c r="G2197" s="127" t="str">
        <f>VLOOKUP(D2197,'لیست پرسنل'!$B$2:$F$1020,2,FALSE)</f>
        <v>3754</v>
      </c>
      <c r="H2197" s="128" t="s">
        <v>3824</v>
      </c>
      <c r="I2197" s="128"/>
      <c r="J2197" s="128" t="s">
        <v>3481</v>
      </c>
      <c r="K2197" s="128" t="s">
        <v>3337</v>
      </c>
      <c r="L2197" s="128"/>
      <c r="M2197" s="128" t="s">
        <v>291</v>
      </c>
      <c r="N2197" s="108"/>
      <c r="O2197" s="20" t="s">
        <v>3825</v>
      </c>
      <c r="P2197" s="20"/>
      <c r="Q2197" s="20"/>
    </row>
    <row r="2198" spans="1:17" ht="24.9" customHeight="1">
      <c r="A2198" s="20">
        <v>392</v>
      </c>
      <c r="B2198" s="20" t="s">
        <v>4347</v>
      </c>
      <c r="C2198" s="20"/>
      <c r="D2198" s="20" t="s">
        <v>3800</v>
      </c>
      <c r="E2198" s="19" t="str">
        <f>VLOOKUP(D2198,'لیست پرسنل'!$B$2:$E$1020,3,FALSE)</f>
        <v>فکورصنعت</v>
      </c>
      <c r="F2198" s="19" t="str">
        <f>VLOOKUP(D2198,'لیست پرسنل'!$B$2:$E$1020,4,FALSE)</f>
        <v>سرپرست انبار</v>
      </c>
      <c r="G2198" s="127" t="str">
        <f>VLOOKUP(D2198,'لیست پرسنل'!$B$2:$F$1020,2,FALSE)</f>
        <v>3754</v>
      </c>
      <c r="H2198" s="128" t="s">
        <v>3824</v>
      </c>
      <c r="I2198" s="128"/>
      <c r="J2198" s="128" t="s">
        <v>3481</v>
      </c>
      <c r="K2198" s="128" t="s">
        <v>3336</v>
      </c>
      <c r="L2198" s="128"/>
      <c r="M2198" s="128" t="s">
        <v>291</v>
      </c>
      <c r="N2198" s="108"/>
      <c r="O2198" s="20" t="s">
        <v>3825</v>
      </c>
      <c r="P2198" s="20"/>
      <c r="Q2198" s="20"/>
    </row>
    <row r="2199" spans="1:17" ht="24.9" customHeight="1">
      <c r="A2199" s="20">
        <v>392</v>
      </c>
      <c r="B2199" s="20" t="s">
        <v>4347</v>
      </c>
      <c r="C2199" s="20"/>
      <c r="D2199" s="20" t="s">
        <v>3800</v>
      </c>
      <c r="E2199" s="19" t="str">
        <f>VLOOKUP(D2199,'لیست پرسنل'!$B$2:$E$1020,3,FALSE)</f>
        <v>فکورصنعت</v>
      </c>
      <c r="F2199" s="19" t="str">
        <f>VLOOKUP(D2199,'لیست پرسنل'!$B$2:$E$1020,4,FALSE)</f>
        <v>سرپرست انبار</v>
      </c>
      <c r="G2199" s="127" t="str">
        <f>VLOOKUP(D2199,'لیست پرسنل'!$B$2:$F$1020,2,FALSE)</f>
        <v>3754</v>
      </c>
      <c r="H2199" s="128" t="s">
        <v>3824</v>
      </c>
      <c r="I2199" s="128"/>
      <c r="J2199" s="128" t="s">
        <v>3481</v>
      </c>
      <c r="K2199" s="128" t="s">
        <v>3336</v>
      </c>
      <c r="L2199" s="128"/>
      <c r="M2199" s="128" t="s">
        <v>291</v>
      </c>
      <c r="N2199" s="108"/>
      <c r="O2199" s="20" t="s">
        <v>3825</v>
      </c>
      <c r="P2199" s="20"/>
      <c r="Q2199" s="20"/>
    </row>
    <row r="2200" spans="1:17" ht="24.9" customHeight="1">
      <c r="A2200" s="20">
        <v>392</v>
      </c>
      <c r="B2200" s="20" t="s">
        <v>4347</v>
      </c>
      <c r="C2200" s="20"/>
      <c r="D2200" s="20" t="s">
        <v>3800</v>
      </c>
      <c r="E2200" s="19" t="str">
        <f>VLOOKUP(D2200,'لیست پرسنل'!$B$2:$E$1020,3,FALSE)</f>
        <v>فکورصنعت</v>
      </c>
      <c r="F2200" s="19" t="str">
        <f>VLOOKUP(D2200,'لیست پرسنل'!$B$2:$E$1020,4,FALSE)</f>
        <v>سرپرست انبار</v>
      </c>
      <c r="G2200" s="127" t="str">
        <f>VLOOKUP(D2200,'لیست پرسنل'!$B$2:$F$1020,2,FALSE)</f>
        <v>3754</v>
      </c>
      <c r="H2200" s="128" t="s">
        <v>3824</v>
      </c>
      <c r="I2200" s="128"/>
      <c r="J2200" s="128" t="s">
        <v>3481</v>
      </c>
      <c r="K2200" s="128" t="s">
        <v>3336</v>
      </c>
      <c r="L2200" s="128"/>
      <c r="M2200" s="128" t="s">
        <v>291</v>
      </c>
      <c r="N2200" s="112"/>
      <c r="O2200" s="20" t="s">
        <v>3825</v>
      </c>
      <c r="P2200" s="20"/>
      <c r="Q2200" s="20"/>
    </row>
    <row r="2201" spans="1:17" ht="24.9" customHeight="1">
      <c r="A2201" s="20">
        <v>392</v>
      </c>
      <c r="B2201" s="20" t="s">
        <v>4347</v>
      </c>
      <c r="C2201" s="20"/>
      <c r="D2201" s="20" t="s">
        <v>3800</v>
      </c>
      <c r="E2201" s="19" t="str">
        <f>VLOOKUP(D2201,'لیست پرسنل'!$B$2:$E$1020,3,FALSE)</f>
        <v>فکورصنعت</v>
      </c>
      <c r="F2201" s="19" t="str">
        <f>VLOOKUP(D2201,'لیست پرسنل'!$B$2:$E$1020,4,FALSE)</f>
        <v>سرپرست انبار</v>
      </c>
      <c r="G2201" s="127" t="str">
        <f>VLOOKUP(D2201,'لیست پرسنل'!$B$2:$F$1020,2,FALSE)</f>
        <v>3754</v>
      </c>
      <c r="H2201" s="128" t="s">
        <v>3824</v>
      </c>
      <c r="I2201" s="128"/>
      <c r="J2201" s="128" t="s">
        <v>3481</v>
      </c>
      <c r="K2201" s="128" t="s">
        <v>3336</v>
      </c>
      <c r="L2201" s="128"/>
      <c r="M2201" s="128" t="s">
        <v>291</v>
      </c>
      <c r="N2201" s="112"/>
      <c r="O2201" s="20" t="s">
        <v>3825</v>
      </c>
      <c r="P2201" s="20"/>
      <c r="Q2201" s="20"/>
    </row>
    <row r="2202" spans="1:17" ht="24.9" customHeight="1">
      <c r="A2202" s="20">
        <v>392</v>
      </c>
      <c r="B2202" s="20" t="s">
        <v>4347</v>
      </c>
      <c r="C2202" s="20"/>
      <c r="D2202" s="20" t="s">
        <v>3800</v>
      </c>
      <c r="E2202" s="19" t="str">
        <f>VLOOKUP(D2202,'لیست پرسنل'!$B$2:$E$1020,3,FALSE)</f>
        <v>فکورصنعت</v>
      </c>
      <c r="F2202" s="19" t="str">
        <f>VLOOKUP(D2202,'لیست پرسنل'!$B$2:$E$1020,4,FALSE)</f>
        <v>سرپرست انبار</v>
      </c>
      <c r="G2202" s="127" t="str">
        <f>VLOOKUP(D2202,'لیست پرسنل'!$B$2:$F$1020,2,FALSE)</f>
        <v>3754</v>
      </c>
      <c r="H2202" s="128" t="s">
        <v>3824</v>
      </c>
      <c r="I2202" s="128"/>
      <c r="J2202" s="151" t="s">
        <v>3476</v>
      </c>
      <c r="K2202" s="128" t="s">
        <v>3338</v>
      </c>
      <c r="L2202" s="128"/>
      <c r="M2202" s="128" t="s">
        <v>291</v>
      </c>
      <c r="N2202" s="108"/>
      <c r="O2202" s="20" t="s">
        <v>3825</v>
      </c>
      <c r="P2202" s="20"/>
      <c r="Q2202" s="20"/>
    </row>
    <row r="2203" spans="1:17" ht="24.9" customHeight="1">
      <c r="A2203" s="20">
        <v>392</v>
      </c>
      <c r="B2203" s="20" t="s">
        <v>4347</v>
      </c>
      <c r="C2203" s="20"/>
      <c r="D2203" s="20" t="s">
        <v>3800</v>
      </c>
      <c r="E2203" s="19" t="str">
        <f>VLOOKUP(D2203,'لیست پرسنل'!$B$2:$E$1020,3,FALSE)</f>
        <v>فکورصنعت</v>
      </c>
      <c r="F2203" s="19" t="str">
        <f>VLOOKUP(D2203,'لیست پرسنل'!$B$2:$E$1020,4,FALSE)</f>
        <v>سرپرست انبار</v>
      </c>
      <c r="G2203" s="127" t="str">
        <f>VLOOKUP(D2203,'لیست پرسنل'!$B$2:$F$1020,2,FALSE)</f>
        <v>3754</v>
      </c>
      <c r="H2203" s="128" t="s">
        <v>3824</v>
      </c>
      <c r="I2203" s="128"/>
      <c r="J2203" s="151" t="s">
        <v>3476</v>
      </c>
      <c r="K2203" s="128" t="s">
        <v>3338</v>
      </c>
      <c r="L2203" s="128"/>
      <c r="M2203" s="128" t="s">
        <v>291</v>
      </c>
      <c r="N2203" s="108"/>
      <c r="O2203" s="20" t="s">
        <v>3825</v>
      </c>
      <c r="P2203" s="20"/>
      <c r="Q2203" s="20"/>
    </row>
    <row r="2204" spans="1:17" ht="24.9" customHeight="1">
      <c r="A2204" s="20">
        <v>392</v>
      </c>
      <c r="B2204" s="20" t="s">
        <v>4347</v>
      </c>
      <c r="C2204" s="20"/>
      <c r="D2204" s="20" t="s">
        <v>3800</v>
      </c>
      <c r="E2204" s="19" t="str">
        <f>VLOOKUP(D2204,'لیست پرسنل'!$B$2:$E$1020,3,FALSE)</f>
        <v>فکورصنعت</v>
      </c>
      <c r="F2204" s="19" t="str">
        <f>VLOOKUP(D2204,'لیست پرسنل'!$B$2:$E$1020,4,FALSE)</f>
        <v>سرپرست انبار</v>
      </c>
      <c r="G2204" s="127" t="str">
        <f>VLOOKUP(D2204,'لیست پرسنل'!$B$2:$F$1020,2,FALSE)</f>
        <v>3754</v>
      </c>
      <c r="H2204" s="128" t="s">
        <v>3824</v>
      </c>
      <c r="I2204" s="128"/>
      <c r="J2204" s="151" t="s">
        <v>3476</v>
      </c>
      <c r="K2204" s="128" t="s">
        <v>3338</v>
      </c>
      <c r="L2204" s="128"/>
      <c r="M2204" s="128" t="s">
        <v>291</v>
      </c>
      <c r="N2204" s="108"/>
      <c r="O2204" s="20" t="s">
        <v>3825</v>
      </c>
      <c r="P2204" s="20"/>
      <c r="Q2204" s="20"/>
    </row>
    <row r="2205" spans="1:17" ht="24.9" customHeight="1">
      <c r="A2205" s="20">
        <v>392</v>
      </c>
      <c r="B2205" s="20" t="s">
        <v>4347</v>
      </c>
      <c r="C2205" s="20"/>
      <c r="D2205" s="20" t="s">
        <v>3800</v>
      </c>
      <c r="E2205" s="19" t="str">
        <f>VLOOKUP(D2205,'لیست پرسنل'!$B$2:$E$1020,3,FALSE)</f>
        <v>فکورصنعت</v>
      </c>
      <c r="F2205" s="19" t="str">
        <f>VLOOKUP(D2205,'لیست پرسنل'!$B$2:$E$1020,4,FALSE)</f>
        <v>سرپرست انبار</v>
      </c>
      <c r="G2205" s="127" t="str">
        <f>VLOOKUP(D2205,'لیست پرسنل'!$B$2:$F$1020,2,FALSE)</f>
        <v>3754</v>
      </c>
      <c r="H2205" s="128" t="s">
        <v>3824</v>
      </c>
      <c r="I2205" s="128"/>
      <c r="J2205" s="151" t="s">
        <v>3476</v>
      </c>
      <c r="K2205" s="128" t="s">
        <v>3338</v>
      </c>
      <c r="L2205" s="128"/>
      <c r="M2205" s="128" t="s">
        <v>291</v>
      </c>
      <c r="N2205" s="108"/>
      <c r="O2205" s="20" t="s">
        <v>3825</v>
      </c>
      <c r="P2205" s="20"/>
      <c r="Q2205" s="20"/>
    </row>
    <row r="2206" spans="1:17" ht="24.9" customHeight="1">
      <c r="A2206" s="20">
        <v>392</v>
      </c>
      <c r="B2206" s="20" t="s">
        <v>4347</v>
      </c>
      <c r="C2206" s="20"/>
      <c r="D2206" s="20" t="s">
        <v>3800</v>
      </c>
      <c r="E2206" s="19" t="str">
        <f>VLOOKUP(D2206,'لیست پرسنل'!$B$2:$E$1020,3,FALSE)</f>
        <v>فکورصنعت</v>
      </c>
      <c r="F2206" s="19" t="str">
        <f>VLOOKUP(D2206,'لیست پرسنل'!$B$2:$E$1020,4,FALSE)</f>
        <v>سرپرست انبار</v>
      </c>
      <c r="G2206" s="127" t="str">
        <f>VLOOKUP(D2206,'لیست پرسنل'!$B$2:$F$1020,2,FALSE)</f>
        <v>3754</v>
      </c>
      <c r="H2206" s="128" t="s">
        <v>3824</v>
      </c>
      <c r="I2206" s="128"/>
      <c r="J2206" s="151" t="s">
        <v>3476</v>
      </c>
      <c r="K2206" s="128" t="s">
        <v>3338</v>
      </c>
      <c r="L2206" s="128"/>
      <c r="M2206" s="128" t="s">
        <v>291</v>
      </c>
      <c r="N2206" s="108"/>
      <c r="O2206" s="20" t="s">
        <v>3825</v>
      </c>
      <c r="P2206" s="20"/>
      <c r="Q2206" s="20"/>
    </row>
    <row r="2207" spans="1:17" ht="24.9" customHeight="1">
      <c r="A2207" s="20">
        <v>392</v>
      </c>
      <c r="B2207" s="20" t="s">
        <v>4347</v>
      </c>
      <c r="C2207" s="20"/>
      <c r="D2207" s="20" t="s">
        <v>3800</v>
      </c>
      <c r="E2207" s="19" t="str">
        <f>VLOOKUP(D2207,'لیست پرسنل'!$B$2:$E$1020,3,FALSE)</f>
        <v>فکورصنعت</v>
      </c>
      <c r="F2207" s="19" t="str">
        <f>VLOOKUP(D2207,'لیست پرسنل'!$B$2:$E$1020,4,FALSE)</f>
        <v>سرپرست انبار</v>
      </c>
      <c r="G2207" s="127" t="str">
        <f>VLOOKUP(D2207,'لیست پرسنل'!$B$2:$F$1020,2,FALSE)</f>
        <v>3754</v>
      </c>
      <c r="H2207" s="128" t="s">
        <v>3824</v>
      </c>
      <c r="I2207" s="128"/>
      <c r="J2207" s="151" t="s">
        <v>3476</v>
      </c>
      <c r="K2207" s="128" t="s">
        <v>3338</v>
      </c>
      <c r="L2207" s="128"/>
      <c r="M2207" s="126" t="s">
        <v>291</v>
      </c>
      <c r="N2207" s="108"/>
      <c r="O2207" s="20" t="s">
        <v>3825</v>
      </c>
      <c r="P2207" s="20"/>
      <c r="Q2207" s="20"/>
    </row>
    <row r="2208" spans="1:17" ht="24.9" customHeight="1">
      <c r="A2208" s="20">
        <v>392</v>
      </c>
      <c r="B2208" s="20" t="s">
        <v>4347</v>
      </c>
      <c r="C2208" s="20"/>
      <c r="D2208" s="20" t="s">
        <v>3800</v>
      </c>
      <c r="E2208" s="19" t="str">
        <f>VLOOKUP(D2208,'لیست پرسنل'!$B$2:$E$1020,3,FALSE)</f>
        <v>فکورصنعت</v>
      </c>
      <c r="F2208" s="19" t="str">
        <f>VLOOKUP(D2208,'لیست پرسنل'!$B$2:$E$1020,4,FALSE)</f>
        <v>سرپرست انبار</v>
      </c>
      <c r="G2208" s="127" t="str">
        <f>VLOOKUP(D2208,'لیست پرسنل'!$B$2:$F$1020,2,FALSE)</f>
        <v>3754</v>
      </c>
      <c r="H2208" s="128" t="s">
        <v>3820</v>
      </c>
      <c r="I2208" s="127"/>
      <c r="J2208" s="128" t="s">
        <v>737</v>
      </c>
      <c r="K2208" s="128" t="s">
        <v>8446</v>
      </c>
      <c r="L2208" s="150" t="s">
        <v>1924</v>
      </c>
      <c r="M2208" s="128">
        <v>609575</v>
      </c>
      <c r="N2208" s="108"/>
      <c r="O2208" s="20" t="s">
        <v>3821</v>
      </c>
      <c r="P2208" s="20"/>
      <c r="Q2208" s="20"/>
    </row>
    <row r="2209" spans="1:17" ht="24.9" customHeight="1">
      <c r="A2209" s="20">
        <v>392</v>
      </c>
      <c r="B2209" s="20" t="s">
        <v>4347</v>
      </c>
      <c r="C2209" s="19"/>
      <c r="D2209" s="20" t="s">
        <v>3844</v>
      </c>
      <c r="E2209" s="19" t="str">
        <f>VLOOKUP(D2209,'لیست پرسنل'!$B$2:$E$1020,3,FALSE)</f>
        <v>فکورصنعت</v>
      </c>
      <c r="F2209" s="19" t="str">
        <f>VLOOKUP(D2209,'لیست پرسنل'!$B$2:$E$1020,4,FALSE)</f>
        <v>انبار</v>
      </c>
      <c r="G2209" s="127" t="str">
        <f>VLOOKUP(D2209,'لیست پرسنل'!$B$2:$F$1020,2,FALSE)</f>
        <v>784</v>
      </c>
      <c r="H2209" s="126" t="s">
        <v>3852</v>
      </c>
      <c r="I2209" s="127"/>
      <c r="J2209" s="127" t="s">
        <v>1967</v>
      </c>
      <c r="K2209" s="130" t="s">
        <v>5029</v>
      </c>
      <c r="L2209" s="128"/>
      <c r="M2209" s="127">
        <v>614237</v>
      </c>
      <c r="N2209" s="109"/>
      <c r="O2209" s="20"/>
      <c r="P2209" s="20"/>
      <c r="Q2209" s="20"/>
    </row>
    <row r="2210" spans="1:17" ht="24.9" customHeight="1">
      <c r="A2210" s="20">
        <v>392</v>
      </c>
      <c r="B2210" s="20" t="s">
        <v>4347</v>
      </c>
      <c r="C2210" s="19"/>
      <c r="D2210" s="19" t="s">
        <v>3844</v>
      </c>
      <c r="E2210" s="19" t="str">
        <f>VLOOKUP(D2210,'لیست پرسنل'!$B$2:$E$1020,3,FALSE)</f>
        <v>فکورصنعت</v>
      </c>
      <c r="F2210" s="19" t="str">
        <f>VLOOKUP(D2210,'لیست پرسنل'!$B$2:$E$1020,4,FALSE)</f>
        <v>انبار</v>
      </c>
      <c r="G2210" s="127" t="str">
        <f>VLOOKUP(D2210,'لیست پرسنل'!$B$2:$F$1020,2,FALSE)</f>
        <v>784</v>
      </c>
      <c r="H2210" s="126" t="s">
        <v>3852</v>
      </c>
      <c r="I2210" s="127"/>
      <c r="J2210" s="128" t="s">
        <v>3480</v>
      </c>
      <c r="K2210" s="127" t="s">
        <v>3272</v>
      </c>
      <c r="L2210" s="127" t="s">
        <v>3317</v>
      </c>
      <c r="M2210" s="127">
        <v>613973</v>
      </c>
      <c r="N2210" s="109"/>
      <c r="O2210" s="20"/>
      <c r="P2210" s="20"/>
      <c r="Q2210" s="20"/>
    </row>
    <row r="2211" spans="1:17" ht="24.9" customHeight="1">
      <c r="A2211" s="185">
        <v>392</v>
      </c>
      <c r="B2211" s="185" t="s">
        <v>4347</v>
      </c>
      <c r="C2211" s="185"/>
      <c r="D2211" s="67" t="s">
        <v>3844</v>
      </c>
      <c r="E2211" s="186" t="str">
        <f>VLOOKUP(D2211,'لیست پرسنل'!$B$2:$E$1020,3,FALSE)</f>
        <v>فکورصنعت</v>
      </c>
      <c r="F2211" s="186" t="str">
        <f>VLOOKUP(D2211,'لیست پرسنل'!$B$2:$E$1020,4,FALSE)</f>
        <v>انبار</v>
      </c>
      <c r="G2211" s="187" t="str">
        <f>VLOOKUP(D2211,'لیست پرسنل'!$B$2:$F$1020,2,FALSE)</f>
        <v>784</v>
      </c>
      <c r="H2211" s="187" t="s">
        <v>8147</v>
      </c>
      <c r="I2211" s="190"/>
      <c r="J2211" s="188" t="s">
        <v>5927</v>
      </c>
      <c r="K2211" s="187" t="s">
        <v>8148</v>
      </c>
      <c r="L2211" s="187" t="s">
        <v>8149</v>
      </c>
      <c r="M2211" s="190" t="s">
        <v>291</v>
      </c>
      <c r="N2211" s="189"/>
      <c r="O2211" s="185"/>
      <c r="P2211" s="185"/>
      <c r="Q2211" s="185"/>
    </row>
    <row r="2212" spans="1:17" ht="24.9" customHeight="1">
      <c r="A2212" s="20">
        <v>392</v>
      </c>
      <c r="B2212" s="20" t="s">
        <v>4347</v>
      </c>
      <c r="C2212" s="20"/>
      <c r="D2212" s="20" t="s">
        <v>3844</v>
      </c>
      <c r="E2212" s="19" t="str">
        <f>VLOOKUP(D2212,'لیست پرسنل'!$B$2:$E$1020,3,FALSE)</f>
        <v>فکورصنعت</v>
      </c>
      <c r="F2212" s="19" t="str">
        <f>VLOOKUP(D2212,'لیست پرسنل'!$B$2:$E$1020,4,FALSE)</f>
        <v>انبار</v>
      </c>
      <c r="G2212" s="127" t="str">
        <f>VLOOKUP(D2212,'لیست پرسنل'!$B$2:$F$1020,2,FALSE)</f>
        <v>784</v>
      </c>
      <c r="H2212" s="127" t="s">
        <v>8147</v>
      </c>
      <c r="I2212" s="127"/>
      <c r="J2212" s="128" t="s">
        <v>5927</v>
      </c>
      <c r="K2212" s="127" t="s">
        <v>8148</v>
      </c>
      <c r="L2212" s="127" t="s">
        <v>8150</v>
      </c>
      <c r="M2212" s="127" t="s">
        <v>291</v>
      </c>
      <c r="N2212" s="109"/>
      <c r="O2212" s="20"/>
      <c r="P2212" s="20"/>
      <c r="Q2212" s="20"/>
    </row>
    <row r="2213" spans="1:17" ht="24.9" customHeight="1">
      <c r="A2213" s="20">
        <v>392</v>
      </c>
      <c r="B2213" s="20" t="s">
        <v>4347</v>
      </c>
      <c r="C2213" s="20"/>
      <c r="D2213" s="20" t="s">
        <v>3844</v>
      </c>
      <c r="E2213" s="19" t="str">
        <f>VLOOKUP(D2213,'لیست پرسنل'!$B$2:$E$1020,3,FALSE)</f>
        <v>فکورصنعت</v>
      </c>
      <c r="F2213" s="19" t="str">
        <f>VLOOKUP(D2213,'لیست پرسنل'!$B$2:$E$1020,4,FALSE)</f>
        <v>انبار</v>
      </c>
      <c r="G2213" s="127" t="str">
        <f>VLOOKUP(D2213,'لیست پرسنل'!$B$2:$F$1020,2,FALSE)</f>
        <v>784</v>
      </c>
      <c r="H2213" s="127" t="s">
        <v>8147</v>
      </c>
      <c r="I2213" s="127"/>
      <c r="J2213" s="128" t="s">
        <v>5927</v>
      </c>
      <c r="K2213" s="127" t="s">
        <v>8148</v>
      </c>
      <c r="L2213" s="127" t="s">
        <v>8151</v>
      </c>
      <c r="M2213" s="127" t="s">
        <v>291</v>
      </c>
      <c r="N2213" s="109"/>
      <c r="O2213" s="20"/>
      <c r="P2213" s="20"/>
      <c r="Q2213" s="20"/>
    </row>
    <row r="2214" spans="1:17" ht="24.9" customHeight="1">
      <c r="A2214" s="20">
        <v>392</v>
      </c>
      <c r="B2214" s="20" t="s">
        <v>4347</v>
      </c>
      <c r="C2214" s="20"/>
      <c r="D2214" s="20" t="s">
        <v>3844</v>
      </c>
      <c r="E2214" s="19" t="str">
        <f>VLOOKUP(D2214,'لیست پرسنل'!$B$2:$E$1020,3,FALSE)</f>
        <v>فکورصنعت</v>
      </c>
      <c r="F2214" s="19" t="str">
        <f>VLOOKUP(D2214,'لیست پرسنل'!$B$2:$E$1020,4,FALSE)</f>
        <v>انبار</v>
      </c>
      <c r="G2214" s="127" t="str">
        <f>VLOOKUP(D2214,'لیست پرسنل'!$B$2:$F$1020,2,FALSE)</f>
        <v>784</v>
      </c>
      <c r="H2214" s="127" t="s">
        <v>8147</v>
      </c>
      <c r="I2214" s="127"/>
      <c r="J2214" s="128" t="s">
        <v>5927</v>
      </c>
      <c r="K2214" s="127" t="s">
        <v>8148</v>
      </c>
      <c r="L2214" s="127" t="s">
        <v>8152</v>
      </c>
      <c r="M2214" s="127" t="s">
        <v>291</v>
      </c>
      <c r="N2214" s="109"/>
      <c r="O2214" s="20"/>
      <c r="P2214" s="20"/>
      <c r="Q2214" s="20"/>
    </row>
    <row r="2215" spans="1:17" ht="24.9" customHeight="1">
      <c r="A2215" s="20">
        <v>392</v>
      </c>
      <c r="B2215" s="20" t="s">
        <v>4347</v>
      </c>
      <c r="C2215" s="20"/>
      <c r="D2215" s="20" t="s">
        <v>3844</v>
      </c>
      <c r="E2215" s="19" t="str">
        <f>VLOOKUP(D2215,'لیست پرسنل'!$B$2:$E$1020,3,FALSE)</f>
        <v>فکورصنعت</v>
      </c>
      <c r="F2215" s="19" t="str">
        <f>VLOOKUP(D2215,'لیست پرسنل'!$B$2:$E$1020,4,FALSE)</f>
        <v>انبار</v>
      </c>
      <c r="G2215" s="127" t="str">
        <f>VLOOKUP(D2215,'لیست پرسنل'!$B$2:$F$1020,2,FALSE)</f>
        <v>784</v>
      </c>
      <c r="H2215" s="127" t="s">
        <v>8147</v>
      </c>
      <c r="I2215" s="127"/>
      <c r="J2215" s="128" t="s">
        <v>5927</v>
      </c>
      <c r="K2215" s="127" t="s">
        <v>8148</v>
      </c>
      <c r="L2215" s="127" t="s">
        <v>8153</v>
      </c>
      <c r="M2215" s="127" t="s">
        <v>291</v>
      </c>
      <c r="N2215" s="109"/>
      <c r="O2215" s="20"/>
      <c r="P2215" s="20"/>
      <c r="Q2215" s="20"/>
    </row>
    <row r="2216" spans="1:17" ht="24.9" customHeight="1">
      <c r="A2216" s="20">
        <v>392</v>
      </c>
      <c r="B2216" s="20" t="s">
        <v>4347</v>
      </c>
      <c r="C2216" s="20"/>
      <c r="D2216" s="20" t="s">
        <v>3844</v>
      </c>
      <c r="E2216" s="19" t="str">
        <f>VLOOKUP(D2216,'لیست پرسنل'!$B$2:$E$1020,3,FALSE)</f>
        <v>فکورصنعت</v>
      </c>
      <c r="F2216" s="19" t="str">
        <f>VLOOKUP(D2216,'لیست پرسنل'!$B$2:$E$1020,4,FALSE)</f>
        <v>انبار</v>
      </c>
      <c r="G2216" s="127" t="str">
        <f>VLOOKUP(D2216,'لیست پرسنل'!$B$2:$F$1020,2,FALSE)</f>
        <v>784</v>
      </c>
      <c r="H2216" s="127" t="s">
        <v>8147</v>
      </c>
      <c r="I2216" s="127"/>
      <c r="J2216" s="128" t="s">
        <v>5927</v>
      </c>
      <c r="K2216" s="127" t="s">
        <v>8148</v>
      </c>
      <c r="L2216" s="127" t="s">
        <v>8154</v>
      </c>
      <c r="M2216" s="127" t="s">
        <v>291</v>
      </c>
      <c r="N2216" s="109"/>
      <c r="O2216" s="20"/>
      <c r="P2216" s="20"/>
      <c r="Q2216" s="20"/>
    </row>
    <row r="2217" spans="1:17" ht="24.9" customHeight="1">
      <c r="A2217" s="20">
        <v>392</v>
      </c>
      <c r="B2217" s="20" t="s">
        <v>4347</v>
      </c>
      <c r="C2217" s="20"/>
      <c r="D2217" s="20" t="s">
        <v>3844</v>
      </c>
      <c r="E2217" s="19" t="str">
        <f>VLOOKUP(D2217,'لیست پرسنل'!$B$2:$E$1020,3,FALSE)</f>
        <v>فکورصنعت</v>
      </c>
      <c r="F2217" s="19" t="str">
        <f>VLOOKUP(D2217,'لیست پرسنل'!$B$2:$E$1020,4,FALSE)</f>
        <v>انبار</v>
      </c>
      <c r="G2217" s="127" t="str">
        <f>VLOOKUP(D2217,'لیست پرسنل'!$B$2:$F$1020,2,FALSE)</f>
        <v>784</v>
      </c>
      <c r="H2217" s="127" t="s">
        <v>8147</v>
      </c>
      <c r="I2217" s="127"/>
      <c r="J2217" s="128" t="s">
        <v>5927</v>
      </c>
      <c r="K2217" s="127" t="s">
        <v>8148</v>
      </c>
      <c r="L2217" s="127" t="s">
        <v>8155</v>
      </c>
      <c r="M2217" s="127" t="s">
        <v>291</v>
      </c>
      <c r="N2217" s="109"/>
      <c r="O2217" s="20"/>
      <c r="P2217" s="20"/>
      <c r="Q2217" s="20"/>
    </row>
    <row r="2218" spans="1:17" ht="24.9" customHeight="1">
      <c r="A2218" s="20">
        <v>392</v>
      </c>
      <c r="B2218" s="20" t="s">
        <v>4347</v>
      </c>
      <c r="C2218" s="20"/>
      <c r="D2218" s="20" t="s">
        <v>3844</v>
      </c>
      <c r="E2218" s="19" t="str">
        <f>VLOOKUP(D2218,'لیست پرسنل'!$B$2:$E$1020,3,FALSE)</f>
        <v>فکورصنعت</v>
      </c>
      <c r="F2218" s="19" t="str">
        <f>VLOOKUP(D2218,'لیست پرسنل'!$B$2:$E$1020,4,FALSE)</f>
        <v>انبار</v>
      </c>
      <c r="G2218" s="127" t="str">
        <f>VLOOKUP(D2218,'لیست پرسنل'!$B$2:$F$1020,2,FALSE)</f>
        <v>784</v>
      </c>
      <c r="H2218" s="127" t="s">
        <v>8147</v>
      </c>
      <c r="I2218" s="127"/>
      <c r="J2218" s="128" t="s">
        <v>5927</v>
      </c>
      <c r="K2218" s="127" t="s">
        <v>8148</v>
      </c>
      <c r="L2218" s="127" t="s">
        <v>8156</v>
      </c>
      <c r="M2218" s="127" t="s">
        <v>291</v>
      </c>
      <c r="N2218" s="109"/>
      <c r="O2218" s="20"/>
      <c r="P2218" s="20"/>
      <c r="Q2218" s="20"/>
    </row>
    <row r="2219" spans="1:17" ht="24.9" customHeight="1">
      <c r="A2219" s="20">
        <v>392</v>
      </c>
      <c r="B2219" s="20" t="s">
        <v>4347</v>
      </c>
      <c r="C2219" s="20"/>
      <c r="D2219" s="20" t="s">
        <v>3844</v>
      </c>
      <c r="E2219" s="19" t="str">
        <f>VLOOKUP(D2219,'لیست پرسنل'!$B$2:$E$1020,3,FALSE)</f>
        <v>فکورصنعت</v>
      </c>
      <c r="F2219" s="19" t="str">
        <f>VLOOKUP(D2219,'لیست پرسنل'!$B$2:$E$1020,4,FALSE)</f>
        <v>انبار</v>
      </c>
      <c r="G2219" s="127" t="str">
        <f>VLOOKUP(D2219,'لیست پرسنل'!$B$2:$F$1020,2,FALSE)</f>
        <v>784</v>
      </c>
      <c r="H2219" s="127" t="s">
        <v>8147</v>
      </c>
      <c r="I2219" s="127"/>
      <c r="J2219" s="128" t="s">
        <v>5927</v>
      </c>
      <c r="K2219" s="127" t="s">
        <v>8148</v>
      </c>
      <c r="L2219" s="127" t="s">
        <v>8157</v>
      </c>
      <c r="M2219" s="127" t="s">
        <v>291</v>
      </c>
      <c r="N2219" s="109"/>
      <c r="O2219" s="20"/>
      <c r="P2219" s="20"/>
      <c r="Q2219" s="20"/>
    </row>
    <row r="2220" spans="1:17" ht="24.9" customHeight="1">
      <c r="A2220" s="20">
        <v>392</v>
      </c>
      <c r="B2220" s="20" t="s">
        <v>4347</v>
      </c>
      <c r="C2220" s="20"/>
      <c r="D2220" s="20" t="s">
        <v>3844</v>
      </c>
      <c r="E2220" s="19" t="str">
        <f>VLOOKUP(D2220,'لیست پرسنل'!$B$2:$E$1020,3,FALSE)</f>
        <v>فکورصنعت</v>
      </c>
      <c r="F2220" s="19" t="str">
        <f>VLOOKUP(D2220,'لیست پرسنل'!$B$2:$E$1020,4,FALSE)</f>
        <v>انبار</v>
      </c>
      <c r="G2220" s="127" t="str">
        <f>VLOOKUP(D2220,'لیست پرسنل'!$B$2:$F$1020,2,FALSE)</f>
        <v>784</v>
      </c>
      <c r="H2220" s="127" t="s">
        <v>8147</v>
      </c>
      <c r="I2220" s="127"/>
      <c r="J2220" s="128" t="s">
        <v>5927</v>
      </c>
      <c r="K2220" s="127" t="s">
        <v>8148</v>
      </c>
      <c r="L2220" s="127" t="s">
        <v>8158</v>
      </c>
      <c r="M2220" s="127" t="s">
        <v>291</v>
      </c>
      <c r="N2220" s="109"/>
      <c r="O2220" s="20"/>
      <c r="P2220" s="20"/>
      <c r="Q2220" s="20"/>
    </row>
    <row r="2221" spans="1:17" ht="24.9" customHeight="1">
      <c r="A2221" s="20">
        <v>392</v>
      </c>
      <c r="B2221" s="20" t="s">
        <v>4347</v>
      </c>
      <c r="C2221" s="20"/>
      <c r="D2221" s="20" t="s">
        <v>3844</v>
      </c>
      <c r="E2221" s="19" t="str">
        <f>VLOOKUP(D2221,'لیست پرسنل'!$B$2:$E$1020,3,FALSE)</f>
        <v>فکورصنعت</v>
      </c>
      <c r="F2221" s="19" t="str">
        <f>VLOOKUP(D2221,'لیست پرسنل'!$B$2:$E$1020,4,FALSE)</f>
        <v>انبار</v>
      </c>
      <c r="G2221" s="127" t="str">
        <f>VLOOKUP(D2221,'لیست پرسنل'!$B$2:$F$1020,2,FALSE)</f>
        <v>784</v>
      </c>
      <c r="H2221" s="127" t="s">
        <v>8147</v>
      </c>
      <c r="I2221" s="127"/>
      <c r="J2221" s="128" t="s">
        <v>3481</v>
      </c>
      <c r="K2221" s="127" t="s">
        <v>8161</v>
      </c>
      <c r="L2221" s="127" t="s">
        <v>8159</v>
      </c>
      <c r="M2221" s="127" t="s">
        <v>291</v>
      </c>
      <c r="N2221" s="109"/>
      <c r="O2221" s="20"/>
      <c r="P2221" s="20"/>
      <c r="Q2221" s="20"/>
    </row>
    <row r="2222" spans="1:17" ht="24.9" customHeight="1">
      <c r="A2222" s="20">
        <v>392</v>
      </c>
      <c r="B2222" s="20" t="s">
        <v>4347</v>
      </c>
      <c r="C2222" s="20"/>
      <c r="D2222" s="20" t="s">
        <v>3844</v>
      </c>
      <c r="E2222" s="19" t="str">
        <f>VLOOKUP(D2222,'لیست پرسنل'!$B$2:$E$1020,3,FALSE)</f>
        <v>فکورصنعت</v>
      </c>
      <c r="F2222" s="19" t="str">
        <f>VLOOKUP(D2222,'لیست پرسنل'!$B$2:$E$1020,4,FALSE)</f>
        <v>انبار</v>
      </c>
      <c r="G2222" s="127" t="str">
        <f>VLOOKUP(D2222,'لیست پرسنل'!$B$2:$F$1020,2,FALSE)</f>
        <v>784</v>
      </c>
      <c r="H2222" s="127" t="s">
        <v>8147</v>
      </c>
      <c r="I2222" s="127"/>
      <c r="J2222" s="128" t="s">
        <v>3481</v>
      </c>
      <c r="K2222" s="127" t="s">
        <v>8161</v>
      </c>
      <c r="L2222" s="127" t="s">
        <v>8160</v>
      </c>
      <c r="M2222" s="127" t="s">
        <v>291</v>
      </c>
      <c r="N2222" s="109"/>
      <c r="O2222" s="20"/>
      <c r="P2222" s="20"/>
      <c r="Q2222" s="20"/>
    </row>
    <row r="2223" spans="1:17" ht="24.9" customHeight="1">
      <c r="A2223" s="20">
        <v>392</v>
      </c>
      <c r="B2223" s="20" t="s">
        <v>4347</v>
      </c>
      <c r="C2223" s="20"/>
      <c r="D2223" s="20" t="s">
        <v>3844</v>
      </c>
      <c r="E2223" s="19" t="str">
        <f>VLOOKUP(D2223,'لیست پرسنل'!$B$2:$E$1020,3,FALSE)</f>
        <v>فکورصنعت</v>
      </c>
      <c r="F2223" s="19" t="str">
        <f>VLOOKUP(D2223,'لیست پرسنل'!$B$2:$E$1020,4,FALSE)</f>
        <v>انبار</v>
      </c>
      <c r="G2223" s="127" t="str">
        <f>VLOOKUP(D2223,'لیست پرسنل'!$B$2:$F$1020,2,FALSE)</f>
        <v>784</v>
      </c>
      <c r="H2223" s="127" t="s">
        <v>8147</v>
      </c>
      <c r="I2223" s="127"/>
      <c r="J2223" s="128" t="s">
        <v>3481</v>
      </c>
      <c r="K2223" s="127" t="s">
        <v>8161</v>
      </c>
      <c r="L2223" s="127" t="s">
        <v>8217</v>
      </c>
      <c r="M2223" s="127" t="s">
        <v>291</v>
      </c>
      <c r="N2223" s="109"/>
      <c r="O2223" s="20"/>
      <c r="P2223" s="20"/>
      <c r="Q2223" s="20"/>
    </row>
    <row r="2224" spans="1:17" ht="24.9" customHeight="1">
      <c r="A2224" s="20">
        <v>392</v>
      </c>
      <c r="B2224" s="20" t="s">
        <v>4347</v>
      </c>
      <c r="C2224" s="20"/>
      <c r="D2224" s="20" t="s">
        <v>3844</v>
      </c>
      <c r="E2224" s="19" t="str">
        <f>VLOOKUP(D2224,'لیست پرسنل'!$B$2:$E$1020,3,FALSE)</f>
        <v>فکورصنعت</v>
      </c>
      <c r="F2224" s="19" t="str">
        <f>VLOOKUP(D2224,'لیست پرسنل'!$B$2:$E$1020,4,FALSE)</f>
        <v>انبار</v>
      </c>
      <c r="G2224" s="127" t="str">
        <f>VLOOKUP(D2224,'لیست پرسنل'!$B$2:$F$1020,2,FALSE)</f>
        <v>784</v>
      </c>
      <c r="H2224" s="127" t="s">
        <v>8147</v>
      </c>
      <c r="I2224" s="127"/>
      <c r="J2224" s="128" t="s">
        <v>3481</v>
      </c>
      <c r="K2224" s="127" t="s">
        <v>8161</v>
      </c>
      <c r="L2224" s="127" t="s">
        <v>8218</v>
      </c>
      <c r="M2224" s="127" t="s">
        <v>291</v>
      </c>
      <c r="N2224" s="109"/>
      <c r="O2224" s="20"/>
      <c r="P2224" s="20"/>
      <c r="Q2224" s="20"/>
    </row>
    <row r="2225" spans="1:17" ht="24.9" customHeight="1">
      <c r="A2225" s="20">
        <v>392</v>
      </c>
      <c r="B2225" s="20" t="s">
        <v>4347</v>
      </c>
      <c r="C2225" s="20"/>
      <c r="D2225" s="20" t="s">
        <v>3844</v>
      </c>
      <c r="E2225" s="19" t="str">
        <f>VLOOKUP(D2225,'لیست پرسنل'!$B$2:$E$1020,3,FALSE)</f>
        <v>فکورصنعت</v>
      </c>
      <c r="F2225" s="19" t="str">
        <f>VLOOKUP(D2225,'لیست پرسنل'!$B$2:$E$1020,4,FALSE)</f>
        <v>انبار</v>
      </c>
      <c r="G2225" s="127" t="str">
        <f>VLOOKUP(D2225,'لیست پرسنل'!$B$2:$F$1020,2,FALSE)</f>
        <v>784</v>
      </c>
      <c r="H2225" s="127" t="s">
        <v>8147</v>
      </c>
      <c r="I2225" s="127"/>
      <c r="J2225" s="128" t="s">
        <v>3481</v>
      </c>
      <c r="K2225" s="127" t="s">
        <v>8161</v>
      </c>
      <c r="L2225" s="127" t="s">
        <v>8219</v>
      </c>
      <c r="M2225" s="127" t="s">
        <v>291</v>
      </c>
      <c r="N2225" s="109"/>
      <c r="O2225" s="20"/>
      <c r="P2225" s="20"/>
      <c r="Q2225" s="20"/>
    </row>
    <row r="2226" spans="1:17" ht="24.9" customHeight="1">
      <c r="A2226" s="20">
        <v>392</v>
      </c>
      <c r="B2226" s="20" t="s">
        <v>4347</v>
      </c>
      <c r="C2226" s="20"/>
      <c r="D2226" s="20" t="s">
        <v>3844</v>
      </c>
      <c r="E2226" s="19" t="str">
        <f>VLOOKUP(D2226,'لیست پرسنل'!$B$2:$E$1020,3,FALSE)</f>
        <v>فکورصنعت</v>
      </c>
      <c r="F2226" s="19" t="str">
        <f>VLOOKUP(D2226,'لیست پرسنل'!$B$2:$E$1020,4,FALSE)</f>
        <v>انبار</v>
      </c>
      <c r="G2226" s="127" t="str">
        <f>VLOOKUP(D2226,'لیست پرسنل'!$B$2:$F$1020,2,FALSE)</f>
        <v>784</v>
      </c>
      <c r="H2226" s="127" t="s">
        <v>8147</v>
      </c>
      <c r="I2226" s="127"/>
      <c r="J2226" s="128" t="s">
        <v>3481</v>
      </c>
      <c r="K2226" s="127" t="s">
        <v>8034</v>
      </c>
      <c r="L2226" s="127" t="s">
        <v>8022</v>
      </c>
      <c r="M2226" s="127" t="s">
        <v>4371</v>
      </c>
      <c r="N2226" s="109"/>
      <c r="O2226" s="20"/>
      <c r="P2226" s="20"/>
      <c r="Q2226" s="20"/>
    </row>
    <row r="2227" spans="1:17" ht="24.9" customHeight="1">
      <c r="A2227" s="20">
        <v>392</v>
      </c>
      <c r="B2227" s="20" t="s">
        <v>4347</v>
      </c>
      <c r="C2227" s="20"/>
      <c r="D2227" s="77" t="s">
        <v>850</v>
      </c>
      <c r="E2227" s="19" t="str">
        <f>VLOOKUP(D2227,'لیست پرسنل'!$B$2:$E$1020,3,FALSE)</f>
        <v>فکورصنعت</v>
      </c>
      <c r="F2227" s="19" t="str">
        <f>VLOOKUP(D2227,'لیست پرسنل'!$B$2:$E$1020,4,FALSE)</f>
        <v>مدیر سایت</v>
      </c>
      <c r="G2227" s="127" t="str">
        <f>VLOOKUP(D2227,'لیست پرسنل'!$B$2:$F$1020,2,FALSE)</f>
        <v>775</v>
      </c>
      <c r="H2227" s="128" t="s">
        <v>3831</v>
      </c>
      <c r="I2227" s="128"/>
      <c r="J2227" s="151" t="s">
        <v>5366</v>
      </c>
      <c r="K2227" s="128" t="s">
        <v>1304</v>
      </c>
      <c r="L2227" s="128"/>
      <c r="M2227" s="128">
        <v>618911</v>
      </c>
      <c r="N2227" s="108"/>
      <c r="O2227" s="20"/>
      <c r="P2227" s="20"/>
      <c r="Q2227" s="20"/>
    </row>
    <row r="2228" spans="1:17" ht="24.9" customHeight="1">
      <c r="A2228" s="20">
        <v>392</v>
      </c>
      <c r="B2228" s="20" t="s">
        <v>4347</v>
      </c>
      <c r="C2228" s="20"/>
      <c r="D2228" s="77" t="s">
        <v>850</v>
      </c>
      <c r="E2228" s="19" t="str">
        <f>VLOOKUP(D2228,'لیست پرسنل'!$B$2:$E$1020,3,FALSE)</f>
        <v>فکورصنعت</v>
      </c>
      <c r="F2228" s="19" t="str">
        <f>VLOOKUP(D2228,'لیست پرسنل'!$B$2:$E$1020,4,FALSE)</f>
        <v>مدیر سایت</v>
      </c>
      <c r="G2228" s="127" t="str">
        <f>VLOOKUP(D2228,'لیست پرسنل'!$B$2:$F$1020,2,FALSE)</f>
        <v>775</v>
      </c>
      <c r="H2228" s="128" t="s">
        <v>3830</v>
      </c>
      <c r="I2228" s="128"/>
      <c r="J2228" s="151" t="s">
        <v>5366</v>
      </c>
      <c r="K2228" s="128" t="s">
        <v>1303</v>
      </c>
      <c r="L2228" s="128"/>
      <c r="M2228" s="128">
        <v>618910</v>
      </c>
      <c r="N2228" s="108"/>
      <c r="O2228" s="20"/>
      <c r="P2228" s="20"/>
      <c r="Q2228" s="20"/>
    </row>
    <row r="2229" spans="1:17" ht="24.9" customHeight="1">
      <c r="A2229" s="20">
        <v>392</v>
      </c>
      <c r="B2229" s="20" t="s">
        <v>4347</v>
      </c>
      <c r="C2229" s="20"/>
      <c r="D2229" s="46" t="s">
        <v>850</v>
      </c>
      <c r="E2229" s="19" t="str">
        <f>VLOOKUP(D2229,'لیست پرسنل'!$B$2:$E$1020,3,FALSE)</f>
        <v>فکورصنعت</v>
      </c>
      <c r="F2229" s="19" t="str">
        <f>VLOOKUP(D2229,'لیست پرسنل'!$B$2:$E$1020,4,FALSE)</f>
        <v>مدیر سایت</v>
      </c>
      <c r="G2229" s="127" t="str">
        <f>VLOOKUP(D2229,'لیست پرسنل'!$B$2:$F$1020,2,FALSE)</f>
        <v>775</v>
      </c>
      <c r="H2229" s="151" t="s">
        <v>3819</v>
      </c>
      <c r="I2229" s="127"/>
      <c r="J2229" s="126" t="s">
        <v>368</v>
      </c>
      <c r="K2229" s="128" t="s">
        <v>693</v>
      </c>
      <c r="L2229" s="150"/>
      <c r="M2229" s="128">
        <v>618887</v>
      </c>
      <c r="N2229" s="108"/>
      <c r="O2229" s="20"/>
      <c r="P2229" s="20"/>
      <c r="Q2229" s="20"/>
    </row>
    <row r="2230" spans="1:17" ht="24.9" customHeight="1">
      <c r="A2230" s="20">
        <v>392</v>
      </c>
      <c r="B2230" s="20" t="s">
        <v>4347</v>
      </c>
      <c r="C2230" s="19"/>
      <c r="D2230" s="20" t="s">
        <v>850</v>
      </c>
      <c r="E2230" s="19" t="str">
        <f>VLOOKUP(D2230,'لیست پرسنل'!$B$2:$E$1020,3,FALSE)</f>
        <v>فکورصنعت</v>
      </c>
      <c r="F2230" s="19" t="str">
        <f>VLOOKUP(D2230,'لیست پرسنل'!$B$2:$E$1020,4,FALSE)</f>
        <v>مدیر سایت</v>
      </c>
      <c r="G2230" s="127" t="str">
        <f>VLOOKUP(D2230,'لیست پرسنل'!$B$2:$F$1020,2,FALSE)</f>
        <v>775</v>
      </c>
      <c r="H2230" s="126" t="s">
        <v>3798</v>
      </c>
      <c r="I2230" s="127"/>
      <c r="J2230" s="127" t="s">
        <v>3322</v>
      </c>
      <c r="K2230" s="130" t="s">
        <v>3267</v>
      </c>
      <c r="L2230" s="128"/>
      <c r="M2230" s="127">
        <v>620506</v>
      </c>
      <c r="N2230" s="109"/>
      <c r="O2230" s="20" t="s">
        <v>3273</v>
      </c>
      <c r="P2230" s="20"/>
      <c r="Q2230" s="20"/>
    </row>
    <row r="2231" spans="1:17" ht="24.9" customHeight="1">
      <c r="A2231" s="20">
        <v>392</v>
      </c>
      <c r="B2231" s="20" t="s">
        <v>4347</v>
      </c>
      <c r="C2231" s="19"/>
      <c r="D2231" s="20" t="s">
        <v>850</v>
      </c>
      <c r="E2231" s="19" t="str">
        <f>VLOOKUP(D2231,'لیست پرسنل'!$B$2:$E$1020,3,FALSE)</f>
        <v>فکورصنعت</v>
      </c>
      <c r="F2231" s="19" t="str">
        <f>VLOOKUP(D2231,'لیست پرسنل'!$B$2:$E$1020,4,FALSE)</f>
        <v>مدیر سایت</v>
      </c>
      <c r="G2231" s="127" t="str">
        <f>VLOOKUP(D2231,'لیست پرسنل'!$B$2:$F$1020,2,FALSE)</f>
        <v>775</v>
      </c>
      <c r="H2231" s="126" t="s">
        <v>3798</v>
      </c>
      <c r="I2231" s="127"/>
      <c r="J2231" s="128" t="s">
        <v>3480</v>
      </c>
      <c r="K2231" s="130" t="s">
        <v>3266</v>
      </c>
      <c r="L2231" s="128"/>
      <c r="M2231" s="127">
        <v>612867</v>
      </c>
      <c r="N2231" s="109"/>
      <c r="O2231" s="20" t="s">
        <v>3273</v>
      </c>
      <c r="P2231" s="20"/>
      <c r="Q2231" s="20"/>
    </row>
    <row r="2232" spans="1:17" ht="24.9" customHeight="1">
      <c r="A2232" s="20">
        <v>392</v>
      </c>
      <c r="B2232" s="20" t="s">
        <v>4347</v>
      </c>
      <c r="C2232" s="20"/>
      <c r="D2232" s="20" t="s">
        <v>850</v>
      </c>
      <c r="E2232" s="19" t="str">
        <f>VLOOKUP(D2232,'لیست پرسنل'!$B$2:$E$1020,3,FALSE)</f>
        <v>فکورصنعت</v>
      </c>
      <c r="F2232" s="19" t="str">
        <f>VLOOKUP(D2232,'لیست پرسنل'!$B$2:$E$1020,4,FALSE)</f>
        <v>مدیر سایت</v>
      </c>
      <c r="G2232" s="127" t="str">
        <f>VLOOKUP(D2232,'لیست پرسنل'!$B$2:$F$1020,2,FALSE)</f>
        <v>775</v>
      </c>
      <c r="H2232" s="128" t="s">
        <v>3798</v>
      </c>
      <c r="I2232" s="128"/>
      <c r="J2232" s="128" t="s">
        <v>3143</v>
      </c>
      <c r="K2232" s="128" t="s">
        <v>4733</v>
      </c>
      <c r="L2232" s="127"/>
      <c r="M2232" s="127">
        <v>626833</v>
      </c>
      <c r="N2232" s="111"/>
      <c r="O2232" s="20" t="s">
        <v>3273</v>
      </c>
      <c r="P2232" s="20"/>
      <c r="Q2232" s="20"/>
    </row>
    <row r="2233" spans="1:17" ht="24.9" customHeight="1">
      <c r="A2233" s="20">
        <v>392</v>
      </c>
      <c r="B2233" s="20" t="s">
        <v>4347</v>
      </c>
      <c r="C2233" s="20"/>
      <c r="D2233" s="20" t="s">
        <v>850</v>
      </c>
      <c r="E2233" s="19" t="str">
        <f>VLOOKUP(D2233,'لیست پرسنل'!$B$2:$E$1020,3,FALSE)</f>
        <v>فکورصنعت</v>
      </c>
      <c r="F2233" s="19" t="str">
        <f>VLOOKUP(D2233,'لیست پرسنل'!$B$2:$E$1020,4,FALSE)</f>
        <v>مدیر سایت</v>
      </c>
      <c r="G2233" s="127" t="str">
        <f>VLOOKUP(D2233,'لیست پرسنل'!$B$2:$F$1020,2,FALSE)</f>
        <v>775</v>
      </c>
      <c r="H2233" s="128" t="s">
        <v>3798</v>
      </c>
      <c r="I2233" s="128"/>
      <c r="J2233" s="128" t="s">
        <v>3143</v>
      </c>
      <c r="K2233" s="128" t="s">
        <v>4733</v>
      </c>
      <c r="L2233" s="127"/>
      <c r="M2233" s="127">
        <v>626834</v>
      </c>
      <c r="O2233" s="20" t="s">
        <v>3273</v>
      </c>
      <c r="P2233" s="20"/>
      <c r="Q2233" s="20"/>
    </row>
    <row r="2234" spans="1:17" ht="24.9" customHeight="1">
      <c r="A2234" s="20">
        <v>392</v>
      </c>
      <c r="B2234" s="20" t="s">
        <v>4347</v>
      </c>
      <c r="C2234" s="19"/>
      <c r="D2234" s="20" t="s">
        <v>850</v>
      </c>
      <c r="E2234" s="19" t="str">
        <f>VLOOKUP(D2234,'لیست پرسنل'!$B$2:$E$1020,3,FALSE)</f>
        <v>فکورصنعت</v>
      </c>
      <c r="F2234" s="19" t="str">
        <f>VLOOKUP(D2234,'لیست پرسنل'!$B$2:$E$1020,4,FALSE)</f>
        <v>مدیر سایت</v>
      </c>
      <c r="G2234" s="127" t="str">
        <f>VLOOKUP(D2234,'لیست پرسنل'!$B$2:$F$1020,2,FALSE)</f>
        <v>775</v>
      </c>
      <c r="H2234" s="126" t="s">
        <v>3798</v>
      </c>
      <c r="I2234" s="127"/>
      <c r="J2234" s="127" t="s">
        <v>5927</v>
      </c>
      <c r="K2234" s="130" t="s">
        <v>3264</v>
      </c>
      <c r="L2234" s="128"/>
      <c r="M2234" s="127">
        <v>601377</v>
      </c>
      <c r="N2234" s="110"/>
      <c r="O2234" s="20" t="s">
        <v>3273</v>
      </c>
      <c r="P2234" s="20"/>
      <c r="Q2234" s="20"/>
    </row>
    <row r="2235" spans="1:17" ht="24.9" customHeight="1">
      <c r="A2235" s="20">
        <v>392</v>
      </c>
      <c r="B2235" s="20" t="s">
        <v>4347</v>
      </c>
      <c r="C2235" s="19"/>
      <c r="D2235" s="20" t="s">
        <v>850</v>
      </c>
      <c r="E2235" s="19" t="str">
        <f>VLOOKUP(D2235,'لیست پرسنل'!$B$2:$E$1020,3,FALSE)</f>
        <v>فکورصنعت</v>
      </c>
      <c r="F2235" s="19" t="str">
        <f>VLOOKUP(D2235,'لیست پرسنل'!$B$2:$E$1020,4,FALSE)</f>
        <v>مدیر سایت</v>
      </c>
      <c r="G2235" s="127" t="str">
        <f>VLOOKUP(D2235,'لیست پرسنل'!$B$2:$F$1020,2,FALSE)</f>
        <v>775</v>
      </c>
      <c r="H2235" s="126" t="s">
        <v>3798</v>
      </c>
      <c r="I2235" s="127"/>
      <c r="J2235" s="127" t="s">
        <v>5927</v>
      </c>
      <c r="K2235" s="130" t="s">
        <v>3264</v>
      </c>
      <c r="L2235" s="128"/>
      <c r="M2235" s="127">
        <v>601378</v>
      </c>
      <c r="N2235" s="109"/>
      <c r="O2235" s="20" t="s">
        <v>3273</v>
      </c>
      <c r="P2235" s="20"/>
      <c r="Q2235" s="20"/>
    </row>
    <row r="2236" spans="1:17" ht="24.9" customHeight="1">
      <c r="A2236" s="20">
        <v>392</v>
      </c>
      <c r="B2236" s="20" t="s">
        <v>4347</v>
      </c>
      <c r="C2236" s="19"/>
      <c r="D2236" s="20" t="s">
        <v>850</v>
      </c>
      <c r="E2236" s="19" t="str">
        <f>VLOOKUP(D2236,'لیست پرسنل'!$B$2:$E$1020,3,FALSE)</f>
        <v>فکورصنعت</v>
      </c>
      <c r="F2236" s="19" t="str">
        <f>VLOOKUP(D2236,'لیست پرسنل'!$B$2:$E$1020,4,FALSE)</f>
        <v>مدیر سایت</v>
      </c>
      <c r="G2236" s="127" t="str">
        <f>VLOOKUP(D2236,'لیست پرسنل'!$B$2:$F$1020,2,FALSE)</f>
        <v>775</v>
      </c>
      <c r="H2236" s="126" t="s">
        <v>3798</v>
      </c>
      <c r="I2236" s="127"/>
      <c r="J2236" s="127" t="s">
        <v>5927</v>
      </c>
      <c r="K2236" s="130" t="s">
        <v>3265</v>
      </c>
      <c r="L2236" s="128"/>
      <c r="M2236" s="127">
        <v>604253</v>
      </c>
      <c r="N2236" s="109"/>
      <c r="O2236" s="20" t="s">
        <v>3273</v>
      </c>
      <c r="P2236" s="20"/>
      <c r="Q2236" s="20"/>
    </row>
    <row r="2237" spans="1:17" ht="24.9" customHeight="1">
      <c r="A2237" s="20">
        <v>392</v>
      </c>
      <c r="B2237" s="20" t="s">
        <v>4347</v>
      </c>
      <c r="C2237" s="19"/>
      <c r="D2237" s="20" t="s">
        <v>850</v>
      </c>
      <c r="E2237" s="19" t="str">
        <f>VLOOKUP(D2237,'لیست پرسنل'!$B$2:$E$1020,3,FALSE)</f>
        <v>فکورصنعت</v>
      </c>
      <c r="F2237" s="19" t="str">
        <f>VLOOKUP(D2237,'لیست پرسنل'!$B$2:$E$1020,4,FALSE)</f>
        <v>مدیر سایت</v>
      </c>
      <c r="G2237" s="127" t="str">
        <f>VLOOKUP(D2237,'لیست پرسنل'!$B$2:$F$1020,2,FALSE)</f>
        <v>775</v>
      </c>
      <c r="H2237" s="126" t="s">
        <v>3798</v>
      </c>
      <c r="I2237" s="127"/>
      <c r="J2237" s="127" t="s">
        <v>5927</v>
      </c>
      <c r="K2237" s="130" t="s">
        <v>3265</v>
      </c>
      <c r="L2237" s="128"/>
      <c r="M2237" s="127">
        <v>604254</v>
      </c>
      <c r="N2237" s="109"/>
      <c r="O2237" s="20" t="s">
        <v>3273</v>
      </c>
      <c r="P2237" s="20"/>
      <c r="Q2237" s="20"/>
    </row>
    <row r="2238" spans="1:17" ht="24.9" customHeight="1">
      <c r="A2238" s="20">
        <v>392</v>
      </c>
      <c r="B2238" s="20" t="s">
        <v>4347</v>
      </c>
      <c r="C2238" s="19"/>
      <c r="D2238" s="20" t="s">
        <v>850</v>
      </c>
      <c r="E2238" s="19" t="str">
        <f>VLOOKUP(D2238,'لیست پرسنل'!$B$2:$E$1020,3,FALSE)</f>
        <v>فکورصنعت</v>
      </c>
      <c r="F2238" s="19" t="str">
        <f>VLOOKUP(D2238,'لیست پرسنل'!$B$2:$E$1020,4,FALSE)</f>
        <v>مدیر سایت</v>
      </c>
      <c r="G2238" s="127" t="str">
        <f>VLOOKUP(D2238,'لیست پرسنل'!$B$2:$F$1020,2,FALSE)</f>
        <v>775</v>
      </c>
      <c r="H2238" s="126" t="s">
        <v>3798</v>
      </c>
      <c r="I2238" s="127"/>
      <c r="J2238" s="127" t="s">
        <v>5927</v>
      </c>
      <c r="K2238" s="130" t="s">
        <v>3265</v>
      </c>
      <c r="L2238" s="128"/>
      <c r="M2238" s="127">
        <v>604255</v>
      </c>
      <c r="N2238" s="109"/>
      <c r="O2238" s="20" t="s">
        <v>3273</v>
      </c>
      <c r="P2238" s="20"/>
      <c r="Q2238" s="20"/>
    </row>
    <row r="2239" spans="1:17" ht="24.9" customHeight="1">
      <c r="A2239" s="20">
        <v>392</v>
      </c>
      <c r="B2239" s="20" t="s">
        <v>4347</v>
      </c>
      <c r="C2239" s="19"/>
      <c r="D2239" s="20" t="s">
        <v>850</v>
      </c>
      <c r="E2239" s="19" t="str">
        <f>VLOOKUP(D2239,'لیست پرسنل'!$B$2:$E$1020,3,FALSE)</f>
        <v>فکورصنعت</v>
      </c>
      <c r="F2239" s="19" t="str">
        <f>VLOOKUP(D2239,'لیست پرسنل'!$B$2:$E$1020,4,FALSE)</f>
        <v>مدیر سایت</v>
      </c>
      <c r="G2239" s="127" t="str">
        <f>VLOOKUP(D2239,'لیست پرسنل'!$B$2:$F$1020,2,FALSE)</f>
        <v>775</v>
      </c>
      <c r="H2239" s="126" t="s">
        <v>3798</v>
      </c>
      <c r="I2239" s="127"/>
      <c r="J2239" s="127" t="s">
        <v>5927</v>
      </c>
      <c r="K2239" s="130" t="s">
        <v>3265</v>
      </c>
      <c r="L2239" s="128"/>
      <c r="M2239" s="127">
        <v>604256</v>
      </c>
      <c r="N2239" s="109"/>
      <c r="O2239" s="20" t="s">
        <v>3273</v>
      </c>
      <c r="P2239" s="20"/>
      <c r="Q2239" s="20"/>
    </row>
    <row r="2240" spans="1:17" ht="24.9" customHeight="1">
      <c r="A2240" s="20">
        <v>392</v>
      </c>
      <c r="B2240" s="20" t="s">
        <v>4347</v>
      </c>
      <c r="C2240" s="19"/>
      <c r="D2240" s="20" t="s">
        <v>850</v>
      </c>
      <c r="E2240" s="19" t="str">
        <f>VLOOKUP(D2240,'لیست پرسنل'!$B$2:$E$1020,3,FALSE)</f>
        <v>فکورصنعت</v>
      </c>
      <c r="F2240" s="19" t="str">
        <f>VLOOKUP(D2240,'لیست پرسنل'!$B$2:$E$1020,4,FALSE)</f>
        <v>مدیر سایت</v>
      </c>
      <c r="G2240" s="127" t="str">
        <f>VLOOKUP(D2240,'لیست پرسنل'!$B$2:$F$1020,2,FALSE)</f>
        <v>775</v>
      </c>
      <c r="H2240" s="126" t="s">
        <v>3798</v>
      </c>
      <c r="I2240" s="127"/>
      <c r="J2240" s="127" t="s">
        <v>5927</v>
      </c>
      <c r="K2240" s="130" t="s">
        <v>3265</v>
      </c>
      <c r="L2240" s="128"/>
      <c r="M2240" s="127">
        <v>604257</v>
      </c>
      <c r="N2240" s="109"/>
      <c r="O2240" s="20" t="s">
        <v>3273</v>
      </c>
      <c r="P2240" s="20"/>
      <c r="Q2240" s="20"/>
    </row>
    <row r="2241" spans="1:17" ht="24.9" customHeight="1">
      <c r="A2241" s="20">
        <v>392</v>
      </c>
      <c r="B2241" s="20" t="s">
        <v>4347</v>
      </c>
      <c r="C2241" s="19"/>
      <c r="D2241" s="20" t="s">
        <v>850</v>
      </c>
      <c r="E2241" s="19" t="str">
        <f>VLOOKUP(D2241,'لیست پرسنل'!$B$2:$E$1020,3,FALSE)</f>
        <v>فکورصنعت</v>
      </c>
      <c r="F2241" s="19" t="str">
        <f>VLOOKUP(D2241,'لیست پرسنل'!$B$2:$E$1020,4,FALSE)</f>
        <v>مدیر سایت</v>
      </c>
      <c r="G2241" s="127" t="str">
        <f>VLOOKUP(D2241,'لیست پرسنل'!$B$2:$F$1020,2,FALSE)</f>
        <v>775</v>
      </c>
      <c r="H2241" s="126" t="s">
        <v>3798</v>
      </c>
      <c r="I2241" s="127"/>
      <c r="J2241" s="127" t="s">
        <v>5927</v>
      </c>
      <c r="K2241" s="130" t="s">
        <v>3265</v>
      </c>
      <c r="L2241" s="128"/>
      <c r="M2241" s="127">
        <v>606817</v>
      </c>
      <c r="N2241" s="109"/>
      <c r="O2241" s="20" t="s">
        <v>3273</v>
      </c>
      <c r="P2241" s="20"/>
      <c r="Q2241" s="20"/>
    </row>
    <row r="2242" spans="1:17" ht="24.9" customHeight="1">
      <c r="A2242" s="20">
        <v>392</v>
      </c>
      <c r="B2242" s="20" t="s">
        <v>4347</v>
      </c>
      <c r="C2242" s="19"/>
      <c r="D2242" s="20" t="s">
        <v>850</v>
      </c>
      <c r="E2242" s="19" t="str">
        <f>VLOOKUP(D2242,'لیست پرسنل'!$B$2:$E$1020,3,FALSE)</f>
        <v>فکورصنعت</v>
      </c>
      <c r="F2242" s="19" t="str">
        <f>VLOOKUP(D2242,'لیست پرسنل'!$B$2:$E$1020,4,FALSE)</f>
        <v>مدیر سایت</v>
      </c>
      <c r="G2242" s="127" t="str">
        <f>VLOOKUP(D2242,'لیست پرسنل'!$B$2:$F$1020,2,FALSE)</f>
        <v>775</v>
      </c>
      <c r="H2242" s="126" t="s">
        <v>3798</v>
      </c>
      <c r="I2242" s="127"/>
      <c r="J2242" s="127" t="s">
        <v>5927</v>
      </c>
      <c r="K2242" s="130" t="s">
        <v>3265</v>
      </c>
      <c r="L2242" s="128"/>
      <c r="M2242" s="127">
        <v>610373</v>
      </c>
      <c r="N2242" s="109"/>
      <c r="O2242" s="20" t="s">
        <v>3273</v>
      </c>
      <c r="P2242" s="20"/>
      <c r="Q2242" s="20"/>
    </row>
    <row r="2243" spans="1:17" ht="24.9" customHeight="1">
      <c r="A2243" s="20">
        <v>392</v>
      </c>
      <c r="B2243" s="20" t="s">
        <v>4347</v>
      </c>
      <c r="C2243" s="19"/>
      <c r="D2243" s="20" t="s">
        <v>850</v>
      </c>
      <c r="E2243" s="19" t="str">
        <f>VLOOKUP(D2243,'لیست پرسنل'!$B$2:$E$1020,3,FALSE)</f>
        <v>فکورصنعت</v>
      </c>
      <c r="F2243" s="19" t="str">
        <f>VLOOKUP(D2243,'لیست پرسنل'!$B$2:$E$1020,4,FALSE)</f>
        <v>مدیر سایت</v>
      </c>
      <c r="G2243" s="127" t="str">
        <f>VLOOKUP(D2243,'لیست پرسنل'!$B$2:$F$1020,2,FALSE)</f>
        <v>775</v>
      </c>
      <c r="H2243" s="126" t="s">
        <v>3798</v>
      </c>
      <c r="I2243" s="127"/>
      <c r="J2243" s="127" t="s">
        <v>5927</v>
      </c>
      <c r="K2243" s="130" t="s">
        <v>3265</v>
      </c>
      <c r="L2243" s="128"/>
      <c r="M2243" s="127">
        <v>610374</v>
      </c>
      <c r="N2243" s="109"/>
      <c r="O2243" s="20" t="s">
        <v>3273</v>
      </c>
      <c r="P2243" s="20"/>
      <c r="Q2243" s="20"/>
    </row>
    <row r="2244" spans="1:17" ht="24.9" customHeight="1">
      <c r="A2244" s="20">
        <v>392</v>
      </c>
      <c r="B2244" s="20" t="s">
        <v>4347</v>
      </c>
      <c r="C2244" s="19"/>
      <c r="D2244" s="20" t="s">
        <v>850</v>
      </c>
      <c r="E2244" s="19" t="str">
        <f>VLOOKUP(D2244,'لیست پرسنل'!$B$2:$E$1020,3,FALSE)</f>
        <v>فکورصنعت</v>
      </c>
      <c r="F2244" s="19" t="str">
        <f>VLOOKUP(D2244,'لیست پرسنل'!$B$2:$E$1020,4,FALSE)</f>
        <v>مدیر سایت</v>
      </c>
      <c r="G2244" s="127" t="str">
        <f>VLOOKUP(D2244,'لیست پرسنل'!$B$2:$F$1020,2,FALSE)</f>
        <v>775</v>
      </c>
      <c r="H2244" s="126" t="s">
        <v>3798</v>
      </c>
      <c r="I2244" s="127"/>
      <c r="J2244" s="127" t="s">
        <v>5927</v>
      </c>
      <c r="K2244" s="130" t="s">
        <v>3265</v>
      </c>
      <c r="L2244" s="128"/>
      <c r="M2244" s="127">
        <v>610375</v>
      </c>
      <c r="N2244" s="109"/>
      <c r="O2244" s="20" t="s">
        <v>3273</v>
      </c>
      <c r="P2244" s="20"/>
      <c r="Q2244" s="20"/>
    </row>
    <row r="2245" spans="1:17" ht="24.9" customHeight="1">
      <c r="A2245" s="20">
        <v>392</v>
      </c>
      <c r="B2245" s="20" t="s">
        <v>4347</v>
      </c>
      <c r="C2245" s="19"/>
      <c r="D2245" s="20" t="s">
        <v>850</v>
      </c>
      <c r="E2245" s="19" t="str">
        <f>VLOOKUP(D2245,'لیست پرسنل'!$B$2:$E$1020,3,FALSE)</f>
        <v>فکورصنعت</v>
      </c>
      <c r="F2245" s="19" t="str">
        <f>VLOOKUP(D2245,'لیست پرسنل'!$B$2:$E$1020,4,FALSE)</f>
        <v>مدیر سایت</v>
      </c>
      <c r="G2245" s="127" t="str">
        <f>VLOOKUP(D2245,'لیست پرسنل'!$B$2:$F$1020,2,FALSE)</f>
        <v>775</v>
      </c>
      <c r="H2245" s="126" t="s">
        <v>3798</v>
      </c>
      <c r="I2245" s="127"/>
      <c r="J2245" s="127" t="s">
        <v>5927</v>
      </c>
      <c r="K2245" s="130" t="s">
        <v>3265</v>
      </c>
      <c r="L2245" s="128"/>
      <c r="M2245" s="127">
        <v>610376</v>
      </c>
      <c r="N2245" s="109"/>
      <c r="O2245" s="20" t="s">
        <v>3273</v>
      </c>
      <c r="P2245" s="20"/>
      <c r="Q2245" s="20"/>
    </row>
    <row r="2246" spans="1:17" ht="24.9" customHeight="1">
      <c r="A2246" s="20">
        <v>392</v>
      </c>
      <c r="B2246" s="20" t="s">
        <v>4347</v>
      </c>
      <c r="C2246" s="19"/>
      <c r="D2246" s="20" t="s">
        <v>850</v>
      </c>
      <c r="E2246" s="19" t="str">
        <f>VLOOKUP(D2246,'لیست پرسنل'!$B$2:$E$1020,3,FALSE)</f>
        <v>فکورصنعت</v>
      </c>
      <c r="F2246" s="19" t="str">
        <f>VLOOKUP(D2246,'لیست پرسنل'!$B$2:$E$1020,4,FALSE)</f>
        <v>مدیر سایت</v>
      </c>
      <c r="G2246" s="127" t="str">
        <f>VLOOKUP(D2246,'لیست پرسنل'!$B$2:$F$1020,2,FALSE)</f>
        <v>775</v>
      </c>
      <c r="H2246" s="126" t="s">
        <v>3798</v>
      </c>
      <c r="I2246" s="127"/>
      <c r="J2246" s="127" t="s">
        <v>5927</v>
      </c>
      <c r="K2246" s="130" t="s">
        <v>3265</v>
      </c>
      <c r="L2246" s="128"/>
      <c r="M2246" s="127">
        <v>610377</v>
      </c>
      <c r="N2246" s="109"/>
      <c r="O2246" s="20" t="s">
        <v>3273</v>
      </c>
      <c r="P2246" s="20"/>
      <c r="Q2246" s="20"/>
    </row>
    <row r="2247" spans="1:17" ht="24.9" customHeight="1">
      <c r="A2247" s="20">
        <v>392</v>
      </c>
      <c r="B2247" s="20" t="s">
        <v>4347</v>
      </c>
      <c r="C2247" s="19"/>
      <c r="D2247" s="20" t="s">
        <v>850</v>
      </c>
      <c r="E2247" s="19" t="str">
        <f>VLOOKUP(D2247,'لیست پرسنل'!$B$2:$E$1020,3,FALSE)</f>
        <v>فکورصنعت</v>
      </c>
      <c r="F2247" s="19" t="str">
        <f>VLOOKUP(D2247,'لیست پرسنل'!$B$2:$E$1020,4,FALSE)</f>
        <v>مدیر سایت</v>
      </c>
      <c r="G2247" s="127" t="str">
        <f>VLOOKUP(D2247,'لیست پرسنل'!$B$2:$F$1020,2,FALSE)</f>
        <v>775</v>
      </c>
      <c r="H2247" s="126" t="s">
        <v>3798</v>
      </c>
      <c r="I2247" s="127"/>
      <c r="J2247" s="127" t="s">
        <v>5927</v>
      </c>
      <c r="K2247" s="130" t="s">
        <v>3270</v>
      </c>
      <c r="L2247" s="128"/>
      <c r="M2247" s="127">
        <v>620515</v>
      </c>
      <c r="N2247" s="109"/>
      <c r="O2247" s="20" t="s">
        <v>3273</v>
      </c>
      <c r="P2247" s="20"/>
      <c r="Q2247" s="20"/>
    </row>
    <row r="2248" spans="1:17" ht="24.9" customHeight="1">
      <c r="A2248" s="20">
        <v>392</v>
      </c>
      <c r="B2248" s="20" t="s">
        <v>4347</v>
      </c>
      <c r="C2248" s="19"/>
      <c r="D2248" s="20" t="s">
        <v>850</v>
      </c>
      <c r="E2248" s="19" t="str">
        <f>VLOOKUP(D2248,'لیست پرسنل'!$B$2:$E$1020,3,FALSE)</f>
        <v>فکورصنعت</v>
      </c>
      <c r="F2248" s="19" t="str">
        <f>VLOOKUP(D2248,'لیست پرسنل'!$B$2:$E$1020,4,FALSE)</f>
        <v>مدیر سایت</v>
      </c>
      <c r="G2248" s="127" t="str">
        <f>VLOOKUP(D2248,'لیست پرسنل'!$B$2:$F$1020,2,FALSE)</f>
        <v>775</v>
      </c>
      <c r="H2248" s="126" t="s">
        <v>3798</v>
      </c>
      <c r="I2248" s="127"/>
      <c r="J2248" s="127" t="s">
        <v>5927</v>
      </c>
      <c r="K2248" s="130" t="s">
        <v>3271</v>
      </c>
      <c r="L2248" s="128"/>
      <c r="M2248" s="127">
        <v>620516</v>
      </c>
      <c r="N2248" s="109"/>
      <c r="O2248" s="20" t="s">
        <v>3273</v>
      </c>
      <c r="P2248" s="20"/>
      <c r="Q2248" s="20"/>
    </row>
    <row r="2249" spans="1:17" ht="24.9" customHeight="1">
      <c r="A2249" s="20">
        <v>392</v>
      </c>
      <c r="B2249" s="20" t="s">
        <v>4347</v>
      </c>
      <c r="C2249" s="19"/>
      <c r="D2249" s="20" t="s">
        <v>850</v>
      </c>
      <c r="E2249" s="19" t="str">
        <f>VLOOKUP(D2249,'لیست پرسنل'!$B$2:$E$1020,3,FALSE)</f>
        <v>فکورصنعت</v>
      </c>
      <c r="F2249" s="19" t="str">
        <f>VLOOKUP(D2249,'لیست پرسنل'!$B$2:$E$1020,4,FALSE)</f>
        <v>مدیر سایت</v>
      </c>
      <c r="G2249" s="127" t="str">
        <f>VLOOKUP(D2249,'لیست پرسنل'!$B$2:$F$1020,2,FALSE)</f>
        <v>775</v>
      </c>
      <c r="H2249" s="126" t="s">
        <v>3798</v>
      </c>
      <c r="I2249" s="127"/>
      <c r="J2249" s="127" t="s">
        <v>5927</v>
      </c>
      <c r="K2249" s="130" t="s">
        <v>3271</v>
      </c>
      <c r="L2249" s="128"/>
      <c r="M2249" s="127">
        <v>620517</v>
      </c>
      <c r="N2249" s="109"/>
      <c r="O2249" s="20" t="s">
        <v>3273</v>
      </c>
      <c r="P2249" s="20"/>
      <c r="Q2249" s="20"/>
    </row>
    <row r="2250" spans="1:17" ht="24.9" customHeight="1">
      <c r="A2250" s="20">
        <v>392</v>
      </c>
      <c r="B2250" s="20" t="s">
        <v>4347</v>
      </c>
      <c r="C2250" s="19"/>
      <c r="D2250" s="20" t="s">
        <v>850</v>
      </c>
      <c r="E2250" s="19" t="str">
        <f>VLOOKUP(D2250,'لیست پرسنل'!$B$2:$E$1020,3,FALSE)</f>
        <v>فکورصنعت</v>
      </c>
      <c r="F2250" s="19" t="str">
        <f>VLOOKUP(D2250,'لیست پرسنل'!$B$2:$E$1020,4,FALSE)</f>
        <v>مدیر سایت</v>
      </c>
      <c r="G2250" s="127" t="str">
        <f>VLOOKUP(D2250,'لیست پرسنل'!$B$2:$F$1020,2,FALSE)</f>
        <v>775</v>
      </c>
      <c r="H2250" s="126" t="s">
        <v>3798</v>
      </c>
      <c r="I2250" s="127"/>
      <c r="J2250" s="127" t="s">
        <v>5927</v>
      </c>
      <c r="K2250" s="130" t="s">
        <v>3271</v>
      </c>
      <c r="L2250" s="128"/>
      <c r="M2250" s="127">
        <v>620518</v>
      </c>
      <c r="N2250" s="109"/>
      <c r="O2250" s="20" t="s">
        <v>3273</v>
      </c>
      <c r="P2250" s="20"/>
      <c r="Q2250" s="20"/>
    </row>
    <row r="2251" spans="1:17" ht="24.9" customHeight="1">
      <c r="A2251" s="20">
        <v>392</v>
      </c>
      <c r="B2251" s="20" t="s">
        <v>4347</v>
      </c>
      <c r="C2251" s="19"/>
      <c r="D2251" s="20" t="s">
        <v>850</v>
      </c>
      <c r="E2251" s="19" t="str">
        <f>VLOOKUP(D2251,'لیست پرسنل'!$B$2:$E$1020,3,FALSE)</f>
        <v>فکورصنعت</v>
      </c>
      <c r="F2251" s="19" t="str">
        <f>VLOOKUP(D2251,'لیست پرسنل'!$B$2:$E$1020,4,FALSE)</f>
        <v>مدیر سایت</v>
      </c>
      <c r="G2251" s="127" t="str">
        <f>VLOOKUP(D2251,'لیست پرسنل'!$B$2:$F$1020,2,FALSE)</f>
        <v>775</v>
      </c>
      <c r="H2251" s="126" t="s">
        <v>3798</v>
      </c>
      <c r="I2251" s="127"/>
      <c r="J2251" s="127" t="s">
        <v>5927</v>
      </c>
      <c r="K2251" s="130" t="s">
        <v>3271</v>
      </c>
      <c r="L2251" s="128"/>
      <c r="M2251" s="127">
        <v>620519</v>
      </c>
      <c r="N2251" s="109"/>
      <c r="O2251" s="20" t="s">
        <v>3273</v>
      </c>
      <c r="P2251" s="20"/>
      <c r="Q2251" s="20"/>
    </row>
    <row r="2252" spans="1:17" ht="24.9" customHeight="1">
      <c r="A2252" s="20">
        <v>392</v>
      </c>
      <c r="B2252" s="20" t="s">
        <v>4347</v>
      </c>
      <c r="C2252" s="19"/>
      <c r="D2252" s="20" t="s">
        <v>850</v>
      </c>
      <c r="E2252" s="19" t="str">
        <f>VLOOKUP(D2252,'لیست پرسنل'!$B$2:$E$1020,3,FALSE)</f>
        <v>فکورصنعت</v>
      </c>
      <c r="F2252" s="19" t="str">
        <f>VLOOKUP(D2252,'لیست پرسنل'!$B$2:$E$1020,4,FALSE)</f>
        <v>مدیر سایت</v>
      </c>
      <c r="G2252" s="127" t="str">
        <f>VLOOKUP(D2252,'لیست پرسنل'!$B$2:$F$1020,2,FALSE)</f>
        <v>775</v>
      </c>
      <c r="H2252" s="126" t="s">
        <v>3798</v>
      </c>
      <c r="I2252" s="127"/>
      <c r="J2252" s="127" t="s">
        <v>5927</v>
      </c>
      <c r="K2252" s="130" t="s">
        <v>3271</v>
      </c>
      <c r="L2252" s="128"/>
      <c r="M2252" s="127">
        <v>620520</v>
      </c>
      <c r="N2252" s="109"/>
      <c r="O2252" s="20" t="s">
        <v>3273</v>
      </c>
      <c r="P2252" s="20"/>
      <c r="Q2252" s="20"/>
    </row>
    <row r="2253" spans="1:17" ht="24.9" customHeight="1">
      <c r="A2253" s="20">
        <v>392</v>
      </c>
      <c r="B2253" s="20" t="s">
        <v>4347</v>
      </c>
      <c r="C2253" s="19"/>
      <c r="D2253" s="20" t="s">
        <v>850</v>
      </c>
      <c r="E2253" s="19" t="str">
        <f>VLOOKUP(D2253,'لیست پرسنل'!$B$2:$E$1020,3,FALSE)</f>
        <v>فکورصنعت</v>
      </c>
      <c r="F2253" s="19" t="str">
        <f>VLOOKUP(D2253,'لیست پرسنل'!$B$2:$E$1020,4,FALSE)</f>
        <v>مدیر سایت</v>
      </c>
      <c r="G2253" s="127" t="str">
        <f>VLOOKUP(D2253,'لیست پرسنل'!$B$2:$F$1020,2,FALSE)</f>
        <v>775</v>
      </c>
      <c r="H2253" s="126" t="s">
        <v>3798</v>
      </c>
      <c r="I2253" s="127"/>
      <c r="J2253" s="127" t="s">
        <v>5927</v>
      </c>
      <c r="K2253" s="130" t="s">
        <v>3271</v>
      </c>
      <c r="L2253" s="128"/>
      <c r="M2253" s="127">
        <v>620521</v>
      </c>
      <c r="N2253" s="109"/>
      <c r="O2253" s="20" t="s">
        <v>3273</v>
      </c>
      <c r="P2253" s="20"/>
      <c r="Q2253" s="20"/>
    </row>
    <row r="2254" spans="1:17" ht="24.9" customHeight="1">
      <c r="A2254" s="20">
        <v>392</v>
      </c>
      <c r="B2254" s="20" t="s">
        <v>4347</v>
      </c>
      <c r="C2254" s="19"/>
      <c r="D2254" s="20" t="s">
        <v>850</v>
      </c>
      <c r="E2254" s="19" t="str">
        <f>VLOOKUP(D2254,'لیست پرسنل'!$B$2:$E$1020,3,FALSE)</f>
        <v>فکورصنعت</v>
      </c>
      <c r="F2254" s="19" t="str">
        <f>VLOOKUP(D2254,'لیست پرسنل'!$B$2:$E$1020,4,FALSE)</f>
        <v>مدیر سایت</v>
      </c>
      <c r="G2254" s="127" t="str">
        <f>VLOOKUP(D2254,'لیست پرسنل'!$B$2:$F$1020,2,FALSE)</f>
        <v>775</v>
      </c>
      <c r="H2254" s="126" t="s">
        <v>3798</v>
      </c>
      <c r="I2254" s="127"/>
      <c r="J2254" s="127" t="s">
        <v>5927</v>
      </c>
      <c r="K2254" s="130" t="s">
        <v>3271</v>
      </c>
      <c r="L2254" s="128"/>
      <c r="M2254" s="127">
        <v>620522</v>
      </c>
      <c r="N2254" s="109"/>
      <c r="O2254" s="20" t="s">
        <v>3273</v>
      </c>
      <c r="P2254" s="20"/>
      <c r="Q2254" s="20"/>
    </row>
    <row r="2255" spans="1:17" ht="24.9" customHeight="1">
      <c r="A2255" s="20">
        <v>392</v>
      </c>
      <c r="B2255" s="20" t="s">
        <v>4347</v>
      </c>
      <c r="C2255" s="19"/>
      <c r="D2255" s="20" t="s">
        <v>850</v>
      </c>
      <c r="E2255" s="19" t="str">
        <f>VLOOKUP(D2255,'لیست پرسنل'!$B$2:$E$1020,3,FALSE)</f>
        <v>فکورصنعت</v>
      </c>
      <c r="F2255" s="19" t="str">
        <f>VLOOKUP(D2255,'لیست پرسنل'!$B$2:$E$1020,4,FALSE)</f>
        <v>مدیر سایت</v>
      </c>
      <c r="G2255" s="127" t="str">
        <f>VLOOKUP(D2255,'لیست پرسنل'!$B$2:$F$1020,2,FALSE)</f>
        <v>775</v>
      </c>
      <c r="H2255" s="126" t="s">
        <v>3798</v>
      </c>
      <c r="I2255" s="127"/>
      <c r="J2255" s="127" t="s">
        <v>5927</v>
      </c>
      <c r="K2255" s="130" t="s">
        <v>3271</v>
      </c>
      <c r="L2255" s="128"/>
      <c r="M2255" s="127">
        <v>620523</v>
      </c>
      <c r="N2255" s="109"/>
      <c r="O2255" s="20" t="s">
        <v>3273</v>
      </c>
      <c r="P2255" s="20"/>
      <c r="Q2255" s="20"/>
    </row>
    <row r="2256" spans="1:17" ht="24.9" customHeight="1">
      <c r="A2256" s="20">
        <v>392</v>
      </c>
      <c r="B2256" s="20" t="s">
        <v>4347</v>
      </c>
      <c r="C2256" s="19"/>
      <c r="D2256" s="20" t="s">
        <v>850</v>
      </c>
      <c r="E2256" s="19" t="str">
        <f>VLOOKUP(D2256,'لیست پرسنل'!$B$2:$E$1020,3,FALSE)</f>
        <v>فکورصنعت</v>
      </c>
      <c r="F2256" s="19" t="str">
        <f>VLOOKUP(D2256,'لیست پرسنل'!$B$2:$E$1020,4,FALSE)</f>
        <v>مدیر سایت</v>
      </c>
      <c r="G2256" s="127" t="str">
        <f>VLOOKUP(D2256,'لیست پرسنل'!$B$2:$F$1020,2,FALSE)</f>
        <v>775</v>
      </c>
      <c r="H2256" s="126" t="s">
        <v>3798</v>
      </c>
      <c r="I2256" s="127"/>
      <c r="J2256" s="128" t="s">
        <v>3481</v>
      </c>
      <c r="K2256" s="130" t="s">
        <v>3268</v>
      </c>
      <c r="L2256" s="128"/>
      <c r="M2256" s="127">
        <v>620507</v>
      </c>
      <c r="N2256" s="109"/>
      <c r="O2256" s="20" t="s">
        <v>3273</v>
      </c>
      <c r="P2256" s="20"/>
      <c r="Q2256" s="20"/>
    </row>
    <row r="2257" spans="1:17" ht="24.9" customHeight="1">
      <c r="A2257" s="20">
        <v>392</v>
      </c>
      <c r="B2257" s="20" t="s">
        <v>4347</v>
      </c>
      <c r="C2257" s="19"/>
      <c r="D2257" s="20" t="s">
        <v>850</v>
      </c>
      <c r="E2257" s="19" t="str">
        <f>VLOOKUP(D2257,'لیست پرسنل'!$B$2:$E$1020,3,FALSE)</f>
        <v>فکورصنعت</v>
      </c>
      <c r="F2257" s="19" t="str">
        <f>VLOOKUP(D2257,'لیست پرسنل'!$B$2:$E$1020,4,FALSE)</f>
        <v>مدیر سایت</v>
      </c>
      <c r="G2257" s="127" t="str">
        <f>VLOOKUP(D2257,'لیست پرسنل'!$B$2:$F$1020,2,FALSE)</f>
        <v>775</v>
      </c>
      <c r="H2257" s="126" t="s">
        <v>3798</v>
      </c>
      <c r="I2257" s="127"/>
      <c r="J2257" s="128" t="s">
        <v>3481</v>
      </c>
      <c r="K2257" s="130" t="s">
        <v>3268</v>
      </c>
      <c r="L2257" s="128"/>
      <c r="M2257" s="127">
        <v>620508</v>
      </c>
      <c r="N2257" s="109"/>
      <c r="O2257" s="20" t="s">
        <v>3273</v>
      </c>
      <c r="P2257" s="20"/>
      <c r="Q2257" s="20"/>
    </row>
    <row r="2258" spans="1:17" ht="24.9" customHeight="1">
      <c r="A2258" s="20">
        <v>392</v>
      </c>
      <c r="B2258" s="20" t="s">
        <v>4347</v>
      </c>
      <c r="C2258" s="19"/>
      <c r="D2258" s="20" t="s">
        <v>850</v>
      </c>
      <c r="E2258" s="19" t="str">
        <f>VLOOKUP(D2258,'لیست پرسنل'!$B$2:$E$1020,3,FALSE)</f>
        <v>فکورصنعت</v>
      </c>
      <c r="F2258" s="19" t="str">
        <f>VLOOKUP(D2258,'لیست پرسنل'!$B$2:$E$1020,4,FALSE)</f>
        <v>مدیر سایت</v>
      </c>
      <c r="G2258" s="127" t="str">
        <f>VLOOKUP(D2258,'لیست پرسنل'!$B$2:$F$1020,2,FALSE)</f>
        <v>775</v>
      </c>
      <c r="H2258" s="126" t="s">
        <v>3798</v>
      </c>
      <c r="I2258" s="127"/>
      <c r="J2258" s="128" t="s">
        <v>3481</v>
      </c>
      <c r="K2258" s="130" t="s">
        <v>3268</v>
      </c>
      <c r="L2258" s="128"/>
      <c r="M2258" s="127">
        <v>620509</v>
      </c>
      <c r="N2258" s="109"/>
      <c r="O2258" s="20" t="s">
        <v>3273</v>
      </c>
      <c r="P2258" s="20"/>
      <c r="Q2258" s="20"/>
    </row>
    <row r="2259" spans="1:17" ht="24.9" customHeight="1">
      <c r="A2259" s="20">
        <v>392</v>
      </c>
      <c r="B2259" s="20" t="s">
        <v>4347</v>
      </c>
      <c r="C2259" s="19"/>
      <c r="D2259" s="20" t="s">
        <v>850</v>
      </c>
      <c r="E2259" s="19" t="str">
        <f>VLOOKUP(D2259,'لیست پرسنل'!$B$2:$E$1020,3,FALSE)</f>
        <v>فکورصنعت</v>
      </c>
      <c r="F2259" s="19" t="str">
        <f>VLOOKUP(D2259,'لیست پرسنل'!$B$2:$E$1020,4,FALSE)</f>
        <v>مدیر سایت</v>
      </c>
      <c r="G2259" s="127" t="str">
        <f>VLOOKUP(D2259,'لیست پرسنل'!$B$2:$F$1020,2,FALSE)</f>
        <v>775</v>
      </c>
      <c r="H2259" s="126" t="s">
        <v>3798</v>
      </c>
      <c r="I2259" s="127"/>
      <c r="J2259" s="128" t="s">
        <v>3481</v>
      </c>
      <c r="K2259" s="130" t="s">
        <v>3268</v>
      </c>
      <c r="L2259" s="128"/>
      <c r="M2259" s="127">
        <v>620510</v>
      </c>
      <c r="N2259" s="109"/>
      <c r="O2259" s="20" t="s">
        <v>3273</v>
      </c>
      <c r="P2259" s="20"/>
      <c r="Q2259" s="20"/>
    </row>
    <row r="2260" spans="1:17" ht="24.9" customHeight="1">
      <c r="A2260" s="20">
        <v>392</v>
      </c>
      <c r="B2260" s="20" t="s">
        <v>4347</v>
      </c>
      <c r="C2260" s="19"/>
      <c r="D2260" s="20" t="s">
        <v>850</v>
      </c>
      <c r="E2260" s="19" t="str">
        <f>VLOOKUP(D2260,'لیست پرسنل'!$B$2:$E$1020,3,FALSE)</f>
        <v>فکورصنعت</v>
      </c>
      <c r="F2260" s="19" t="str">
        <f>VLOOKUP(D2260,'لیست پرسنل'!$B$2:$E$1020,4,FALSE)</f>
        <v>مدیر سایت</v>
      </c>
      <c r="G2260" s="127" t="str">
        <f>VLOOKUP(D2260,'لیست پرسنل'!$B$2:$F$1020,2,FALSE)</f>
        <v>775</v>
      </c>
      <c r="H2260" s="126" t="s">
        <v>3798</v>
      </c>
      <c r="I2260" s="127"/>
      <c r="J2260" s="128" t="s">
        <v>3481</v>
      </c>
      <c r="K2260" s="130" t="s">
        <v>3269</v>
      </c>
      <c r="L2260" s="128"/>
      <c r="M2260" s="127">
        <v>620511</v>
      </c>
      <c r="N2260" s="109"/>
      <c r="O2260" s="20" t="s">
        <v>3273</v>
      </c>
      <c r="P2260" s="20"/>
      <c r="Q2260" s="20"/>
    </row>
    <row r="2261" spans="1:17" ht="24.9" customHeight="1">
      <c r="A2261" s="20">
        <v>392</v>
      </c>
      <c r="B2261" s="20" t="s">
        <v>4347</v>
      </c>
      <c r="C2261" s="20"/>
      <c r="D2261" s="20" t="s">
        <v>850</v>
      </c>
      <c r="E2261" s="19" t="str">
        <f>VLOOKUP(D2261,'لیست پرسنل'!$B$2:$E$1020,3,FALSE)</f>
        <v>فکورصنعت</v>
      </c>
      <c r="F2261" s="19" t="str">
        <f>VLOOKUP(D2261,'لیست پرسنل'!$B$2:$E$1020,4,FALSE)</f>
        <v>مدیر سایت</v>
      </c>
      <c r="G2261" s="127" t="str">
        <f>VLOOKUP(D2261,'لیست پرسنل'!$B$2:$F$1020,2,FALSE)</f>
        <v>775</v>
      </c>
      <c r="H2261" s="128" t="s">
        <v>4467</v>
      </c>
      <c r="I2261" s="128"/>
      <c r="J2261" s="128" t="s">
        <v>1967</v>
      </c>
      <c r="K2261" s="127" t="s">
        <v>2685</v>
      </c>
      <c r="L2261" s="151"/>
      <c r="M2261" s="128">
        <v>619969</v>
      </c>
      <c r="N2261" s="108"/>
      <c r="O2261" s="84" t="s">
        <v>4458</v>
      </c>
      <c r="P2261" s="20"/>
      <c r="Q2261" s="20"/>
    </row>
    <row r="2262" spans="1:17" ht="24.9" customHeight="1">
      <c r="A2262" s="20">
        <v>392</v>
      </c>
      <c r="B2262" s="20" t="s">
        <v>4347</v>
      </c>
      <c r="C2262" s="20"/>
      <c r="D2262" s="20" t="s">
        <v>850</v>
      </c>
      <c r="E2262" s="19" t="str">
        <f>VLOOKUP(D2262,'لیست پرسنل'!$B$2:$E$1020,3,FALSE)</f>
        <v>فکورصنعت</v>
      </c>
      <c r="F2262" s="19" t="str">
        <f>VLOOKUP(D2262,'لیست پرسنل'!$B$2:$E$1020,4,FALSE)</f>
        <v>مدیر سایت</v>
      </c>
      <c r="G2262" s="127" t="str">
        <f>VLOOKUP(D2262,'لیست پرسنل'!$B$2:$F$1020,2,FALSE)</f>
        <v>775</v>
      </c>
      <c r="H2262" s="128" t="s">
        <v>3822</v>
      </c>
      <c r="I2262" s="127"/>
      <c r="J2262" s="128" t="s">
        <v>3481</v>
      </c>
      <c r="K2262" s="130" t="s">
        <v>3188</v>
      </c>
      <c r="L2262" s="150"/>
      <c r="M2262" s="128">
        <v>620217</v>
      </c>
      <c r="N2262" s="108"/>
      <c r="O2262" s="20" t="s">
        <v>3823</v>
      </c>
      <c r="P2262" s="20"/>
      <c r="Q2262" s="20"/>
    </row>
    <row r="2263" spans="1:17" ht="24.9" customHeight="1">
      <c r="A2263" s="20">
        <v>392</v>
      </c>
      <c r="B2263" s="20" t="s">
        <v>4347</v>
      </c>
      <c r="C2263" s="19"/>
      <c r="D2263" s="19" t="s">
        <v>7216</v>
      </c>
      <c r="E2263" s="19" t="str">
        <f>VLOOKUP(D2263,'لیست پرسنل'!$B$2:$E$1020,3,FALSE)</f>
        <v>فکورصنعت</v>
      </c>
      <c r="F2263" s="19" t="str">
        <f>VLOOKUP(D2263,'لیست پرسنل'!$B$2:$E$1020,4,FALSE)</f>
        <v>کارمند اداری و پشتیبانی</v>
      </c>
      <c r="G2263" s="127">
        <f>VLOOKUP(D2263,'لیست پرسنل'!$B$2:$F$1020,2,FALSE)</f>
        <v>4020715</v>
      </c>
      <c r="H2263" s="128" t="s">
        <v>3850</v>
      </c>
      <c r="I2263" s="127"/>
      <c r="J2263" s="127" t="s">
        <v>3476</v>
      </c>
      <c r="K2263" s="128" t="s">
        <v>1038</v>
      </c>
      <c r="L2263" s="128"/>
      <c r="M2263" s="134">
        <v>618951</v>
      </c>
      <c r="N2263" s="110"/>
      <c r="O2263" s="20"/>
      <c r="P2263" s="20"/>
      <c r="Q2263" s="20"/>
    </row>
    <row r="2264" spans="1:17" ht="24.9" customHeight="1">
      <c r="A2264" s="20">
        <v>392</v>
      </c>
      <c r="B2264" s="20" t="s">
        <v>4348</v>
      </c>
      <c r="C2264" s="19">
        <v>1</v>
      </c>
      <c r="D2264" s="20" t="s">
        <v>777</v>
      </c>
      <c r="E2264" s="19" t="str">
        <f>VLOOKUP(D2264,'لیست پرسنل'!$B$2:$E$1020,3,FALSE)</f>
        <v>مشاور و کارفرما</v>
      </c>
      <c r="F2264" s="19" t="str">
        <f>VLOOKUP(D2264,'لیست پرسنل'!$B$2:$E$1020,4,FALSE)</f>
        <v>کارفرما</v>
      </c>
      <c r="G2264" s="127">
        <f>VLOOKUP(D2264,'لیست پرسنل'!$B$2:$F$1020,2,FALSE)</f>
        <v>0</v>
      </c>
      <c r="H2264" s="127" t="s">
        <v>3898</v>
      </c>
      <c r="I2264" s="126" t="s">
        <v>225</v>
      </c>
      <c r="J2264" s="126" t="s">
        <v>3383</v>
      </c>
      <c r="K2264" s="127" t="s">
        <v>336</v>
      </c>
      <c r="L2264" s="127" t="s">
        <v>366</v>
      </c>
      <c r="M2264" s="127">
        <v>621011</v>
      </c>
      <c r="N2264" s="110"/>
      <c r="O2264" s="19"/>
      <c r="P2264" s="19"/>
      <c r="Q2264" s="19"/>
    </row>
    <row r="2265" spans="1:17" ht="24.9" customHeight="1">
      <c r="A2265" s="20">
        <v>392</v>
      </c>
      <c r="B2265" s="20" t="s">
        <v>4348</v>
      </c>
      <c r="C2265" s="19">
        <v>1</v>
      </c>
      <c r="D2265" s="20" t="s">
        <v>777</v>
      </c>
      <c r="E2265" s="19" t="str">
        <f>VLOOKUP(D2265,'لیست پرسنل'!$B$2:$E$1020,3,FALSE)</f>
        <v>مشاور و کارفرما</v>
      </c>
      <c r="F2265" s="19" t="str">
        <f>VLOOKUP(D2265,'لیست پرسنل'!$B$2:$E$1020,4,FALSE)</f>
        <v>کارفرما</v>
      </c>
      <c r="G2265" s="127">
        <f>VLOOKUP(D2265,'لیست پرسنل'!$B$2:$F$1020,2,FALSE)</f>
        <v>0</v>
      </c>
      <c r="H2265" s="127" t="s">
        <v>3898</v>
      </c>
      <c r="I2265" s="126" t="s">
        <v>225</v>
      </c>
      <c r="J2265" s="128" t="s">
        <v>737</v>
      </c>
      <c r="K2265" s="127" t="s">
        <v>8447</v>
      </c>
      <c r="L2265" s="127" t="s">
        <v>367</v>
      </c>
      <c r="M2265" s="127">
        <v>621015</v>
      </c>
      <c r="N2265" s="109"/>
      <c r="O2265" s="19"/>
      <c r="P2265" s="19"/>
      <c r="Q2265" s="19"/>
    </row>
    <row r="2266" spans="1:17" ht="24.9" customHeight="1">
      <c r="A2266" s="20">
        <v>392</v>
      </c>
      <c r="B2266" s="20" t="s">
        <v>4348</v>
      </c>
      <c r="C2266" s="19">
        <v>1</v>
      </c>
      <c r="D2266" s="20" t="s">
        <v>777</v>
      </c>
      <c r="E2266" s="19" t="str">
        <f>VLOOKUP(D2266,'لیست پرسنل'!$B$2:$E$1020,3,FALSE)</f>
        <v>مشاور و کارفرما</v>
      </c>
      <c r="F2266" s="19" t="str">
        <f>VLOOKUP(D2266,'لیست پرسنل'!$B$2:$E$1020,4,FALSE)</f>
        <v>کارفرما</v>
      </c>
      <c r="G2266" s="127">
        <f>VLOOKUP(D2266,'لیست پرسنل'!$B$2:$F$1020,2,FALSE)</f>
        <v>0</v>
      </c>
      <c r="H2266" s="127" t="s">
        <v>3898</v>
      </c>
      <c r="I2266" s="126" t="s">
        <v>225</v>
      </c>
      <c r="J2266" s="126" t="s">
        <v>368</v>
      </c>
      <c r="K2266" s="127" t="s">
        <v>3875</v>
      </c>
      <c r="L2266" s="127"/>
      <c r="M2266" s="127">
        <v>618867</v>
      </c>
      <c r="N2266" s="109"/>
      <c r="O2266" s="19"/>
      <c r="P2266" s="19"/>
      <c r="Q2266" s="19"/>
    </row>
    <row r="2267" spans="1:17" ht="24.9" customHeight="1">
      <c r="A2267" s="20">
        <v>392</v>
      </c>
      <c r="B2267" s="20" t="s">
        <v>4348</v>
      </c>
      <c r="C2267" s="19">
        <v>1</v>
      </c>
      <c r="D2267" s="20" t="s">
        <v>777</v>
      </c>
      <c r="E2267" s="19" t="str">
        <f>VLOOKUP(D2267,'لیست پرسنل'!$B$2:$E$1020,3,FALSE)</f>
        <v>مشاور و کارفرما</v>
      </c>
      <c r="F2267" s="19" t="str">
        <f>VLOOKUP(D2267,'لیست پرسنل'!$B$2:$E$1020,4,FALSE)</f>
        <v>کارفرما</v>
      </c>
      <c r="G2267" s="127">
        <f>VLOOKUP(D2267,'لیست پرسنل'!$B$2:$F$1020,2,FALSE)</f>
        <v>0</v>
      </c>
      <c r="H2267" s="127" t="s">
        <v>3898</v>
      </c>
      <c r="I2267" s="126" t="s">
        <v>225</v>
      </c>
      <c r="J2267" s="126" t="s">
        <v>368</v>
      </c>
      <c r="K2267" s="127" t="s">
        <v>3875</v>
      </c>
      <c r="L2267" s="127"/>
      <c r="M2267" s="127">
        <v>618897</v>
      </c>
      <c r="N2267" s="109"/>
      <c r="O2267" s="19"/>
      <c r="P2267" s="19"/>
      <c r="Q2267" s="19"/>
    </row>
    <row r="2268" spans="1:17" ht="24.9" customHeight="1">
      <c r="A2268" s="20">
        <v>392</v>
      </c>
      <c r="B2268" s="20" t="s">
        <v>4348</v>
      </c>
      <c r="C2268" s="19">
        <v>1</v>
      </c>
      <c r="D2268" s="20" t="s">
        <v>777</v>
      </c>
      <c r="E2268" s="19" t="str">
        <f>VLOOKUP(D2268,'لیست پرسنل'!$B$2:$E$1020,3,FALSE)</f>
        <v>مشاور و کارفرما</v>
      </c>
      <c r="F2268" s="19" t="str">
        <f>VLOOKUP(D2268,'لیست پرسنل'!$B$2:$E$1020,4,FALSE)</f>
        <v>کارفرما</v>
      </c>
      <c r="G2268" s="127">
        <f>VLOOKUP(D2268,'لیست پرسنل'!$B$2:$F$1020,2,FALSE)</f>
        <v>0</v>
      </c>
      <c r="H2268" s="127" t="s">
        <v>3898</v>
      </c>
      <c r="I2268" s="126" t="s">
        <v>225</v>
      </c>
      <c r="J2268" s="126" t="s">
        <v>571</v>
      </c>
      <c r="K2268" s="128"/>
      <c r="L2268" s="128"/>
      <c r="M2268" s="127">
        <v>610540</v>
      </c>
      <c r="N2268" s="109"/>
      <c r="O2268" s="19"/>
      <c r="P2268" s="19"/>
      <c r="Q2268" s="19"/>
    </row>
    <row r="2269" spans="1:17" ht="24.9" customHeight="1">
      <c r="A2269" s="20">
        <v>392</v>
      </c>
      <c r="B2269" s="20" t="s">
        <v>4348</v>
      </c>
      <c r="C2269" s="19">
        <v>1</v>
      </c>
      <c r="D2269" s="20" t="s">
        <v>777</v>
      </c>
      <c r="E2269" s="19" t="str">
        <f>VLOOKUP(D2269,'لیست پرسنل'!$B$2:$E$1020,3,FALSE)</f>
        <v>مشاور و کارفرما</v>
      </c>
      <c r="F2269" s="19" t="str">
        <f>VLOOKUP(D2269,'لیست پرسنل'!$B$2:$E$1020,4,FALSE)</f>
        <v>کارفرما</v>
      </c>
      <c r="G2269" s="127">
        <f>VLOOKUP(D2269,'لیست پرسنل'!$B$2:$F$1020,2,FALSE)</f>
        <v>0</v>
      </c>
      <c r="H2269" s="127" t="s">
        <v>3898</v>
      </c>
      <c r="I2269" s="126" t="s">
        <v>225</v>
      </c>
      <c r="J2269" s="128" t="s">
        <v>2686</v>
      </c>
      <c r="K2269" s="127" t="s">
        <v>320</v>
      </c>
      <c r="L2269" s="151" t="s">
        <v>3874</v>
      </c>
      <c r="M2269" s="127">
        <v>611436</v>
      </c>
      <c r="N2269" s="108"/>
      <c r="O2269" s="20"/>
      <c r="P2269" s="20"/>
      <c r="Q2269" s="20"/>
    </row>
    <row r="2270" spans="1:17" ht="24.9" customHeight="1">
      <c r="A2270" s="20">
        <v>392</v>
      </c>
      <c r="B2270" s="20" t="s">
        <v>4348</v>
      </c>
      <c r="C2270" s="19">
        <v>2</v>
      </c>
      <c r="D2270" s="20" t="s">
        <v>369</v>
      </c>
      <c r="E2270" s="19" t="str">
        <f>VLOOKUP(D2270,'لیست پرسنل'!$B$2:$E$1020,3,FALSE)</f>
        <v>مشاور و کارفرما</v>
      </c>
      <c r="F2270" s="19" t="str">
        <f>VLOOKUP(D2270,'لیست پرسنل'!$B$2:$E$1020,4,FALSE)</f>
        <v>کارفرما</v>
      </c>
      <c r="G2270" s="127">
        <f>VLOOKUP(D2270,'لیست پرسنل'!$B$2:$F$1020,2,FALSE)</f>
        <v>0</v>
      </c>
      <c r="H2270" s="127" t="s">
        <v>3898</v>
      </c>
      <c r="I2270" s="126" t="s">
        <v>226</v>
      </c>
      <c r="J2270" s="126" t="s">
        <v>368</v>
      </c>
      <c r="K2270" s="127" t="s">
        <v>3875</v>
      </c>
      <c r="L2270" s="127"/>
      <c r="M2270" s="127">
        <v>618877</v>
      </c>
      <c r="N2270" s="109"/>
      <c r="O2270" s="19"/>
      <c r="P2270" s="19"/>
      <c r="Q2270" s="19"/>
    </row>
    <row r="2271" spans="1:17" ht="24.9" customHeight="1">
      <c r="A2271" s="20">
        <v>392</v>
      </c>
      <c r="B2271" s="20" t="s">
        <v>4348</v>
      </c>
      <c r="C2271" s="19">
        <v>2</v>
      </c>
      <c r="D2271" s="20" t="s">
        <v>369</v>
      </c>
      <c r="E2271" s="19" t="str">
        <f>VLOOKUP(D2271,'لیست پرسنل'!$B$2:$E$1020,3,FALSE)</f>
        <v>مشاور و کارفرما</v>
      </c>
      <c r="F2271" s="19" t="str">
        <f>VLOOKUP(D2271,'لیست پرسنل'!$B$2:$E$1020,4,FALSE)</f>
        <v>کارفرما</v>
      </c>
      <c r="G2271" s="127">
        <f>VLOOKUP(D2271,'لیست پرسنل'!$B$2:$F$1020,2,FALSE)</f>
        <v>0</v>
      </c>
      <c r="H2271" s="127" t="s">
        <v>3898</v>
      </c>
      <c r="I2271" s="126" t="s">
        <v>226</v>
      </c>
      <c r="J2271" s="126" t="s">
        <v>571</v>
      </c>
      <c r="K2271" s="127"/>
      <c r="L2271" s="151"/>
      <c r="M2271" s="127">
        <v>618818</v>
      </c>
      <c r="N2271" s="109"/>
      <c r="O2271" s="19"/>
      <c r="P2271" s="19"/>
      <c r="Q2271" s="19"/>
    </row>
    <row r="2272" spans="1:17" ht="24.9" customHeight="1">
      <c r="A2272" s="20">
        <v>392</v>
      </c>
      <c r="B2272" s="20" t="s">
        <v>4348</v>
      </c>
      <c r="C2272" s="19">
        <v>2</v>
      </c>
      <c r="D2272" s="20" t="s">
        <v>369</v>
      </c>
      <c r="E2272" s="19" t="str">
        <f>VLOOKUP(D2272,'لیست پرسنل'!$B$2:$E$1020,3,FALSE)</f>
        <v>مشاور و کارفرما</v>
      </c>
      <c r="F2272" s="19" t="str">
        <f>VLOOKUP(D2272,'لیست پرسنل'!$B$2:$E$1020,4,FALSE)</f>
        <v>کارفرما</v>
      </c>
      <c r="G2272" s="127">
        <f>VLOOKUP(D2272,'لیست پرسنل'!$B$2:$F$1020,2,FALSE)</f>
        <v>0</v>
      </c>
      <c r="H2272" s="127" t="s">
        <v>3898</v>
      </c>
      <c r="I2272" s="126" t="s">
        <v>226</v>
      </c>
      <c r="J2272" s="128" t="s">
        <v>2686</v>
      </c>
      <c r="K2272" s="127" t="s">
        <v>370</v>
      </c>
      <c r="L2272" s="151" t="s">
        <v>3876</v>
      </c>
      <c r="M2272" s="127">
        <v>618817</v>
      </c>
      <c r="N2272" s="108"/>
      <c r="O2272" s="20"/>
      <c r="P2272" s="19"/>
      <c r="Q2272" s="19"/>
    </row>
    <row r="2273" spans="1:17" ht="24.9" customHeight="1">
      <c r="A2273" s="20">
        <v>392</v>
      </c>
      <c r="B2273" s="20" t="s">
        <v>4348</v>
      </c>
      <c r="C2273" s="19">
        <v>3</v>
      </c>
      <c r="D2273" s="20" t="s">
        <v>3897</v>
      </c>
      <c r="E2273" s="19" t="e">
        <f>VLOOKUP(D2273,'لیست پرسنل'!$B$2:$E$1020,3,FALSE)</f>
        <v>#N/A</v>
      </c>
      <c r="F2273" s="19" t="e">
        <f>VLOOKUP(D2273,'لیست پرسنل'!$B$2:$E$1020,4,FALSE)</f>
        <v>#N/A</v>
      </c>
      <c r="G2273" s="127" t="e">
        <f>VLOOKUP(D2273,'لیست پرسنل'!$B$2:$F$1020,2,FALSE)</f>
        <v>#N/A</v>
      </c>
      <c r="H2273" s="127" t="s">
        <v>3898</v>
      </c>
      <c r="I2273" s="126" t="s">
        <v>227</v>
      </c>
      <c r="J2273" s="126" t="s">
        <v>571</v>
      </c>
      <c r="K2273" s="127"/>
      <c r="L2273" s="151"/>
      <c r="M2273" s="127">
        <v>618820</v>
      </c>
      <c r="N2273" s="109"/>
      <c r="O2273" s="20" t="s">
        <v>3896</v>
      </c>
      <c r="P2273" s="19"/>
      <c r="Q2273" s="19"/>
    </row>
    <row r="2274" spans="1:17" ht="24.9" customHeight="1">
      <c r="A2274" s="20">
        <v>392</v>
      </c>
      <c r="B2274" s="20" t="s">
        <v>4348</v>
      </c>
      <c r="C2274" s="19">
        <v>3</v>
      </c>
      <c r="D2274" s="20" t="s">
        <v>3897</v>
      </c>
      <c r="E2274" s="19" t="e">
        <f>VLOOKUP(D2274,'لیست پرسنل'!$B$2:$E$1020,3,FALSE)</f>
        <v>#N/A</v>
      </c>
      <c r="F2274" s="19" t="e">
        <f>VLOOKUP(D2274,'لیست پرسنل'!$B$2:$E$1020,4,FALSE)</f>
        <v>#N/A</v>
      </c>
      <c r="G2274" s="127" t="e">
        <f>VLOOKUP(D2274,'لیست پرسنل'!$B$2:$F$1020,2,FALSE)</f>
        <v>#N/A</v>
      </c>
      <c r="H2274" s="127" t="s">
        <v>3898</v>
      </c>
      <c r="I2274" s="126" t="s">
        <v>227</v>
      </c>
      <c r="J2274" s="128" t="s">
        <v>2686</v>
      </c>
      <c r="K2274" s="127" t="s">
        <v>371</v>
      </c>
      <c r="L2274" s="151" t="s">
        <v>3877</v>
      </c>
      <c r="M2274" s="127">
        <v>618821</v>
      </c>
      <c r="N2274" s="108"/>
      <c r="O2274" s="20" t="s">
        <v>3896</v>
      </c>
      <c r="P2274" s="19"/>
      <c r="Q2274" s="19"/>
    </row>
    <row r="2275" spans="1:17" ht="24.9" customHeight="1">
      <c r="A2275" s="20">
        <v>392</v>
      </c>
      <c r="B2275" s="20" t="s">
        <v>4348</v>
      </c>
      <c r="C2275" s="19">
        <v>4</v>
      </c>
      <c r="D2275" s="20" t="s">
        <v>372</v>
      </c>
      <c r="E2275" s="19" t="str">
        <f>VLOOKUP(D2275,'لیست پرسنل'!$B$2:$E$1020,3,FALSE)</f>
        <v>مشاور و کارفرما</v>
      </c>
      <c r="F2275" s="19" t="str">
        <f>VLOOKUP(D2275,'لیست پرسنل'!$B$2:$E$1020,4,FALSE)</f>
        <v>کارفرما</v>
      </c>
      <c r="G2275" s="127">
        <f>VLOOKUP(D2275,'لیست پرسنل'!$B$2:$F$1020,2,FALSE)</f>
        <v>0</v>
      </c>
      <c r="H2275" s="127" t="s">
        <v>3898</v>
      </c>
      <c r="I2275" s="126" t="s">
        <v>228</v>
      </c>
      <c r="J2275" s="126" t="s">
        <v>571</v>
      </c>
      <c r="K2275" s="127"/>
      <c r="L2275" s="151"/>
      <c r="M2275" s="127">
        <v>605170</v>
      </c>
      <c r="N2275" s="109"/>
      <c r="O2275" s="19"/>
      <c r="P2275" s="19"/>
      <c r="Q2275" s="19"/>
    </row>
    <row r="2276" spans="1:17" ht="24.9" customHeight="1">
      <c r="A2276" s="20">
        <v>392</v>
      </c>
      <c r="B2276" s="20" t="s">
        <v>4348</v>
      </c>
      <c r="C2276" s="19">
        <v>5</v>
      </c>
      <c r="D2276" s="20" t="s">
        <v>234</v>
      </c>
      <c r="E2276" s="19" t="str">
        <f>VLOOKUP(D2276,'لیست پرسنل'!$B$2:$E$1020,3,FALSE)</f>
        <v>مشاور و کارفرما</v>
      </c>
      <c r="F2276" s="19" t="str">
        <f>VLOOKUP(D2276,'لیست پرسنل'!$B$2:$E$1020,4,FALSE)</f>
        <v>کارفرما</v>
      </c>
      <c r="G2276" s="127">
        <f>VLOOKUP(D2276,'لیست پرسنل'!$B$2:$F$1020,2,FALSE)</f>
        <v>0</v>
      </c>
      <c r="H2276" s="127" t="s">
        <v>3898</v>
      </c>
      <c r="I2276" s="126" t="s">
        <v>229</v>
      </c>
      <c r="J2276" s="126" t="s">
        <v>368</v>
      </c>
      <c r="K2276" s="127" t="s">
        <v>660</v>
      </c>
      <c r="L2276" s="127" t="s">
        <v>1150</v>
      </c>
      <c r="M2276" s="127">
        <v>618878</v>
      </c>
      <c r="N2276" s="109"/>
      <c r="O2276" s="19"/>
      <c r="P2276" s="19"/>
      <c r="Q2276" s="19"/>
    </row>
    <row r="2277" spans="1:17" ht="24.9" customHeight="1">
      <c r="A2277" s="20">
        <v>392</v>
      </c>
      <c r="B2277" s="20" t="s">
        <v>4348</v>
      </c>
      <c r="C2277" s="19">
        <v>5</v>
      </c>
      <c r="D2277" s="20" t="s">
        <v>234</v>
      </c>
      <c r="E2277" s="19" t="str">
        <f>VLOOKUP(D2277,'لیست پرسنل'!$B$2:$E$1020,3,FALSE)</f>
        <v>مشاور و کارفرما</v>
      </c>
      <c r="F2277" s="19" t="str">
        <f>VLOOKUP(D2277,'لیست پرسنل'!$B$2:$E$1020,4,FALSE)</f>
        <v>کارفرما</v>
      </c>
      <c r="G2277" s="127">
        <f>VLOOKUP(D2277,'لیست پرسنل'!$B$2:$F$1020,2,FALSE)</f>
        <v>0</v>
      </c>
      <c r="H2277" s="127" t="s">
        <v>3898</v>
      </c>
      <c r="I2277" s="126" t="s">
        <v>229</v>
      </c>
      <c r="J2277" s="126" t="s">
        <v>571</v>
      </c>
      <c r="K2277" s="127"/>
      <c r="L2277" s="151"/>
      <c r="M2277" s="127">
        <v>607857</v>
      </c>
      <c r="N2277" s="109"/>
      <c r="O2277" s="19"/>
      <c r="P2277" s="19"/>
      <c r="Q2277" s="19"/>
    </row>
    <row r="2278" spans="1:17" ht="24.9" customHeight="1">
      <c r="A2278" s="20">
        <v>392</v>
      </c>
      <c r="B2278" s="20" t="s">
        <v>4348</v>
      </c>
      <c r="C2278" s="19">
        <v>5</v>
      </c>
      <c r="D2278" s="20" t="s">
        <v>234</v>
      </c>
      <c r="E2278" s="19" t="str">
        <f>VLOOKUP(D2278,'لیست پرسنل'!$B$2:$E$1020,3,FALSE)</f>
        <v>مشاور و کارفرما</v>
      </c>
      <c r="F2278" s="19" t="str">
        <f>VLOOKUP(D2278,'لیست پرسنل'!$B$2:$E$1020,4,FALSE)</f>
        <v>کارفرما</v>
      </c>
      <c r="G2278" s="127">
        <f>VLOOKUP(D2278,'لیست پرسنل'!$B$2:$F$1020,2,FALSE)</f>
        <v>0</v>
      </c>
      <c r="H2278" s="127" t="s">
        <v>3898</v>
      </c>
      <c r="I2278" s="126" t="s">
        <v>229</v>
      </c>
      <c r="J2278" s="128" t="s">
        <v>2686</v>
      </c>
      <c r="K2278" s="127" t="s">
        <v>235</v>
      </c>
      <c r="L2278" s="151" t="s">
        <v>3879</v>
      </c>
      <c r="M2278" s="127">
        <v>618921</v>
      </c>
      <c r="N2278" s="108"/>
      <c r="O2278" s="20"/>
      <c r="P2278" s="19"/>
      <c r="Q2278" s="19"/>
    </row>
    <row r="2279" spans="1:17" ht="24.9" customHeight="1">
      <c r="A2279" s="20">
        <v>392</v>
      </c>
      <c r="B2279" s="20" t="s">
        <v>4348</v>
      </c>
      <c r="C2279" s="19">
        <v>6</v>
      </c>
      <c r="D2279" s="20" t="s">
        <v>236</v>
      </c>
      <c r="E2279" s="19" t="str">
        <f>VLOOKUP(D2279,'لیست پرسنل'!$B$2:$E$1020,3,FALSE)</f>
        <v>مشاور و کارفرما</v>
      </c>
      <c r="F2279" s="19" t="str">
        <f>VLOOKUP(D2279,'لیست پرسنل'!$B$2:$E$1020,4,FALSE)</f>
        <v>کارفرما</v>
      </c>
      <c r="G2279" s="127">
        <f>VLOOKUP(D2279,'لیست پرسنل'!$B$2:$F$1020,2,FALSE)</f>
        <v>0</v>
      </c>
      <c r="H2279" s="127" t="s">
        <v>3898</v>
      </c>
      <c r="I2279" s="126" t="s">
        <v>230</v>
      </c>
      <c r="J2279" s="126" t="s">
        <v>368</v>
      </c>
      <c r="K2279" s="127" t="s">
        <v>3875</v>
      </c>
      <c r="L2279" s="127"/>
      <c r="M2279" s="127">
        <v>618882</v>
      </c>
      <c r="N2279" s="109"/>
      <c r="O2279" s="19"/>
      <c r="P2279" s="19"/>
      <c r="Q2279" s="19"/>
    </row>
    <row r="2280" spans="1:17" ht="24.9" customHeight="1">
      <c r="A2280" s="20">
        <v>392</v>
      </c>
      <c r="B2280" s="20" t="s">
        <v>4348</v>
      </c>
      <c r="C2280" s="19">
        <v>6</v>
      </c>
      <c r="D2280" s="20" t="s">
        <v>236</v>
      </c>
      <c r="E2280" s="19" t="str">
        <f>VLOOKUP(D2280,'لیست پرسنل'!$B$2:$E$1020,3,FALSE)</f>
        <v>مشاور و کارفرما</v>
      </c>
      <c r="F2280" s="19" t="str">
        <f>VLOOKUP(D2280,'لیست پرسنل'!$B$2:$E$1020,4,FALSE)</f>
        <v>کارفرما</v>
      </c>
      <c r="G2280" s="127">
        <f>VLOOKUP(D2280,'لیست پرسنل'!$B$2:$F$1020,2,FALSE)</f>
        <v>0</v>
      </c>
      <c r="H2280" s="127" t="s">
        <v>3898</v>
      </c>
      <c r="I2280" s="126" t="s">
        <v>230</v>
      </c>
      <c r="J2280" s="126" t="s">
        <v>571</v>
      </c>
      <c r="K2280" s="135"/>
      <c r="L2280" s="154"/>
      <c r="M2280" s="127">
        <v>622499</v>
      </c>
      <c r="N2280" s="109"/>
      <c r="O2280" s="19"/>
      <c r="P2280" s="19"/>
      <c r="Q2280" s="19"/>
    </row>
    <row r="2281" spans="1:17" ht="24.9" customHeight="1">
      <c r="A2281" s="20">
        <v>392</v>
      </c>
      <c r="B2281" s="20" t="s">
        <v>4348</v>
      </c>
      <c r="C2281" s="19">
        <v>6</v>
      </c>
      <c r="D2281" s="20" t="s">
        <v>236</v>
      </c>
      <c r="E2281" s="19" t="str">
        <f>VLOOKUP(D2281,'لیست پرسنل'!$B$2:$E$1020,3,FALSE)</f>
        <v>مشاور و کارفرما</v>
      </c>
      <c r="F2281" s="19" t="str">
        <f>VLOOKUP(D2281,'لیست پرسنل'!$B$2:$E$1020,4,FALSE)</f>
        <v>کارفرما</v>
      </c>
      <c r="G2281" s="127">
        <f>VLOOKUP(D2281,'لیست پرسنل'!$B$2:$F$1020,2,FALSE)</f>
        <v>0</v>
      </c>
      <c r="H2281" s="127" t="s">
        <v>3898</v>
      </c>
      <c r="I2281" s="126" t="s">
        <v>230</v>
      </c>
      <c r="J2281" s="128" t="s">
        <v>2686</v>
      </c>
      <c r="K2281" s="135" t="s">
        <v>320</v>
      </c>
      <c r="L2281" s="154" t="s">
        <v>1882</v>
      </c>
      <c r="M2281" s="127">
        <v>605224</v>
      </c>
      <c r="N2281" s="108"/>
      <c r="O2281" s="20"/>
      <c r="P2281" s="19"/>
      <c r="Q2281" s="19"/>
    </row>
    <row r="2282" spans="1:17" ht="24.9" customHeight="1">
      <c r="A2282" s="20">
        <v>392</v>
      </c>
      <c r="B2282" s="20" t="s">
        <v>4348</v>
      </c>
      <c r="C2282" s="19">
        <v>7</v>
      </c>
      <c r="D2282" s="20" t="s">
        <v>3863</v>
      </c>
      <c r="E2282" s="19" t="str">
        <f>VLOOKUP(D2282,'لیست پرسنل'!$B$2:$E$1020,3,FALSE)</f>
        <v>مشاور و کارفرما</v>
      </c>
      <c r="F2282" s="19" t="str">
        <f>VLOOKUP(D2282,'لیست پرسنل'!$B$2:$E$1020,4,FALSE)</f>
        <v>مسئول دفتر مدیرعامل</v>
      </c>
      <c r="G2282" s="127">
        <f>VLOOKUP(D2282,'لیست پرسنل'!$B$2:$F$1020,2,FALSE)</f>
        <v>0</v>
      </c>
      <c r="H2282" s="127" t="s">
        <v>3898</v>
      </c>
      <c r="I2282" s="126" t="s">
        <v>231</v>
      </c>
      <c r="J2282" s="126" t="s">
        <v>571</v>
      </c>
      <c r="K2282" s="127"/>
      <c r="L2282" s="151"/>
      <c r="M2282" s="127">
        <v>601680</v>
      </c>
      <c r="N2282" s="109" t="s">
        <v>7233</v>
      </c>
      <c r="O2282" s="19"/>
      <c r="P2282" s="19"/>
      <c r="Q2282" s="19"/>
    </row>
    <row r="2283" spans="1:17" ht="24.9" customHeight="1">
      <c r="A2283" s="20">
        <v>392</v>
      </c>
      <c r="B2283" s="20" t="s">
        <v>4348</v>
      </c>
      <c r="C2283" s="19">
        <v>7</v>
      </c>
      <c r="D2283" s="20" t="s">
        <v>3863</v>
      </c>
      <c r="E2283" s="19" t="str">
        <f>VLOOKUP(D2283,'لیست پرسنل'!$B$2:$E$1020,3,FALSE)</f>
        <v>مشاور و کارفرما</v>
      </c>
      <c r="F2283" s="19" t="str">
        <f>VLOOKUP(D2283,'لیست پرسنل'!$B$2:$E$1020,4,FALSE)</f>
        <v>مسئول دفتر مدیرعامل</v>
      </c>
      <c r="G2283" s="127">
        <f>VLOOKUP(D2283,'لیست پرسنل'!$B$2:$F$1020,2,FALSE)</f>
        <v>0</v>
      </c>
      <c r="H2283" s="127" t="s">
        <v>3898</v>
      </c>
      <c r="I2283" s="126" t="s">
        <v>231</v>
      </c>
      <c r="J2283" s="128" t="s">
        <v>2686</v>
      </c>
      <c r="K2283" s="127" t="s">
        <v>332</v>
      </c>
      <c r="L2283" s="151" t="s">
        <v>3880</v>
      </c>
      <c r="M2283" s="127">
        <v>603301</v>
      </c>
      <c r="N2283" s="108"/>
      <c r="O2283" s="19"/>
      <c r="P2283" s="19"/>
      <c r="Q2283" s="19"/>
    </row>
    <row r="2284" spans="1:17" ht="24.9" customHeight="1">
      <c r="A2284" s="20">
        <v>392</v>
      </c>
      <c r="B2284" s="20" t="s">
        <v>4348</v>
      </c>
      <c r="C2284" s="19">
        <v>8</v>
      </c>
      <c r="D2284" s="20" t="s">
        <v>3864</v>
      </c>
      <c r="E2284" s="19" t="str">
        <f>VLOOKUP(D2284,'لیست پرسنل'!$B$2:$E$1020,3,FALSE)</f>
        <v>مشاور و کارفرما</v>
      </c>
      <c r="F2284" s="19" t="str">
        <f>VLOOKUP(D2284,'لیست پرسنل'!$B$2:$E$1020,4,FALSE)</f>
        <v>حراست</v>
      </c>
      <c r="G2284" s="127">
        <f>VLOOKUP(D2284,'لیست پرسنل'!$B$2:$F$1020,2,FALSE)</f>
        <v>0</v>
      </c>
      <c r="H2284" s="127" t="s">
        <v>3898</v>
      </c>
      <c r="I2284" s="126" t="s">
        <v>232</v>
      </c>
      <c r="J2284" s="126" t="s">
        <v>571</v>
      </c>
      <c r="K2284" s="127"/>
      <c r="L2284" s="151"/>
      <c r="M2284" s="128">
        <v>622489</v>
      </c>
      <c r="N2284" s="108"/>
      <c r="O2284" s="19"/>
      <c r="P2284" s="19"/>
      <c r="Q2284" s="19"/>
    </row>
    <row r="2285" spans="1:17" ht="24.9" customHeight="1">
      <c r="A2285" s="20">
        <v>392</v>
      </c>
      <c r="B2285" s="20" t="s">
        <v>4348</v>
      </c>
      <c r="C2285" s="19">
        <v>8</v>
      </c>
      <c r="D2285" s="20" t="s">
        <v>3864</v>
      </c>
      <c r="E2285" s="19" t="str">
        <f>VLOOKUP(D2285,'لیست پرسنل'!$B$2:$E$1020,3,FALSE)</f>
        <v>مشاور و کارفرما</v>
      </c>
      <c r="F2285" s="19" t="str">
        <f>VLOOKUP(D2285,'لیست پرسنل'!$B$2:$E$1020,4,FALSE)</f>
        <v>حراست</v>
      </c>
      <c r="G2285" s="127">
        <f>VLOOKUP(D2285,'لیست پرسنل'!$B$2:$F$1020,2,FALSE)</f>
        <v>0</v>
      </c>
      <c r="H2285" s="127" t="s">
        <v>3898</v>
      </c>
      <c r="I2285" s="126" t="s">
        <v>232</v>
      </c>
      <c r="J2285" s="128" t="s">
        <v>2686</v>
      </c>
      <c r="K2285" s="127" t="s">
        <v>235</v>
      </c>
      <c r="L2285" s="151" t="s">
        <v>3881</v>
      </c>
      <c r="M2285" s="127">
        <v>618920</v>
      </c>
      <c r="N2285" s="108"/>
      <c r="O2285" s="19"/>
      <c r="P2285" s="19"/>
      <c r="Q2285" s="19"/>
    </row>
    <row r="2286" spans="1:17" ht="24.9" customHeight="1">
      <c r="A2286" s="20">
        <v>392</v>
      </c>
      <c r="B2286" s="20" t="s">
        <v>4348</v>
      </c>
      <c r="C2286" s="19">
        <v>9</v>
      </c>
      <c r="D2286" s="20" t="s">
        <v>238</v>
      </c>
      <c r="E2286" s="19" t="str">
        <f>VLOOKUP(D2286,'لیست پرسنل'!$B$2:$E$1020,3,FALSE)</f>
        <v>مشاور و کارفرما</v>
      </c>
      <c r="F2286" s="19" t="str">
        <f>VLOOKUP(D2286,'لیست پرسنل'!$B$2:$E$1020,4,FALSE)</f>
        <v>کارفرما</v>
      </c>
      <c r="G2286" s="127">
        <f>VLOOKUP(D2286,'لیست پرسنل'!$B$2:$F$1020,2,FALSE)</f>
        <v>0</v>
      </c>
      <c r="H2286" s="127" t="s">
        <v>3898</v>
      </c>
      <c r="I2286" s="126" t="s">
        <v>239</v>
      </c>
      <c r="J2286" s="126" t="s">
        <v>368</v>
      </c>
      <c r="K2286" s="127" t="s">
        <v>3875</v>
      </c>
      <c r="L2286" s="127"/>
      <c r="M2286" s="127">
        <v>618875</v>
      </c>
      <c r="N2286" s="109"/>
      <c r="O2286" s="19"/>
      <c r="P2286" s="19"/>
      <c r="Q2286" s="19"/>
    </row>
    <row r="2287" spans="1:17" ht="24.9" customHeight="1">
      <c r="A2287" s="20">
        <v>392</v>
      </c>
      <c r="B2287" s="20" t="s">
        <v>4348</v>
      </c>
      <c r="C2287" s="19">
        <v>9</v>
      </c>
      <c r="D2287" s="20" t="s">
        <v>238</v>
      </c>
      <c r="E2287" s="19" t="str">
        <f>VLOOKUP(D2287,'لیست پرسنل'!$B$2:$E$1020,3,FALSE)</f>
        <v>مشاور و کارفرما</v>
      </c>
      <c r="F2287" s="19" t="str">
        <f>VLOOKUP(D2287,'لیست پرسنل'!$B$2:$E$1020,4,FALSE)</f>
        <v>کارفرما</v>
      </c>
      <c r="G2287" s="127">
        <f>VLOOKUP(D2287,'لیست پرسنل'!$B$2:$F$1020,2,FALSE)</f>
        <v>0</v>
      </c>
      <c r="H2287" s="127" t="s">
        <v>3898</v>
      </c>
      <c r="I2287" s="126" t="s">
        <v>239</v>
      </c>
      <c r="J2287" s="126" t="s">
        <v>571</v>
      </c>
      <c r="K2287" s="127"/>
      <c r="L2287" s="151"/>
      <c r="M2287" s="127">
        <v>604096</v>
      </c>
      <c r="N2287" s="109"/>
      <c r="O2287" s="19"/>
      <c r="P2287" s="19"/>
      <c r="Q2287" s="19"/>
    </row>
    <row r="2288" spans="1:17" ht="24.9" customHeight="1">
      <c r="A2288" s="20">
        <v>392</v>
      </c>
      <c r="B2288" s="20" t="s">
        <v>4348</v>
      </c>
      <c r="C2288" s="19">
        <v>9</v>
      </c>
      <c r="D2288" s="20" t="s">
        <v>238</v>
      </c>
      <c r="E2288" s="19" t="str">
        <f>VLOOKUP(D2288,'لیست پرسنل'!$B$2:$E$1020,3,FALSE)</f>
        <v>مشاور و کارفرما</v>
      </c>
      <c r="F2288" s="19" t="str">
        <f>VLOOKUP(D2288,'لیست پرسنل'!$B$2:$E$1020,4,FALSE)</f>
        <v>کارفرما</v>
      </c>
      <c r="G2288" s="127">
        <f>VLOOKUP(D2288,'لیست پرسنل'!$B$2:$F$1020,2,FALSE)</f>
        <v>0</v>
      </c>
      <c r="H2288" s="127" t="s">
        <v>3898</v>
      </c>
      <c r="I2288" s="126" t="s">
        <v>239</v>
      </c>
      <c r="J2288" s="128" t="s">
        <v>2686</v>
      </c>
      <c r="K2288" s="127" t="s">
        <v>240</v>
      </c>
      <c r="L2288" s="151" t="s">
        <v>3882</v>
      </c>
      <c r="M2288" s="127">
        <v>618923</v>
      </c>
      <c r="N2288" s="108"/>
      <c r="O2288" s="20"/>
      <c r="P2288" s="19"/>
      <c r="Q2288" s="19"/>
    </row>
    <row r="2289" spans="1:17" ht="24.9" customHeight="1">
      <c r="A2289" s="20">
        <v>392</v>
      </c>
      <c r="B2289" s="20" t="s">
        <v>4348</v>
      </c>
      <c r="C2289" s="19">
        <v>10</v>
      </c>
      <c r="D2289" s="20" t="s">
        <v>373</v>
      </c>
      <c r="E2289" s="19" t="str">
        <f>VLOOKUP(D2289,'لیست پرسنل'!$B$2:$E$1020,3,FALSE)</f>
        <v>مشاور و کارفرما</v>
      </c>
      <c r="F2289" s="19" t="str">
        <f>VLOOKUP(D2289,'لیست پرسنل'!$B$2:$E$1020,4,FALSE)</f>
        <v>کارفرما</v>
      </c>
      <c r="G2289" s="127">
        <f>VLOOKUP(D2289,'لیست پرسنل'!$B$2:$F$1020,2,FALSE)</f>
        <v>0</v>
      </c>
      <c r="H2289" s="127" t="s">
        <v>3898</v>
      </c>
      <c r="I2289" s="126" t="s">
        <v>241</v>
      </c>
      <c r="J2289" s="126" t="s">
        <v>571</v>
      </c>
      <c r="K2289" s="127"/>
      <c r="L2289" s="151"/>
      <c r="M2289" s="127">
        <v>604331</v>
      </c>
      <c r="N2289" s="109" t="s">
        <v>7290</v>
      </c>
      <c r="O2289" s="19"/>
      <c r="P2289" s="19"/>
      <c r="Q2289" s="19"/>
    </row>
    <row r="2290" spans="1:17" ht="24.9" customHeight="1">
      <c r="A2290" s="20">
        <v>392</v>
      </c>
      <c r="B2290" s="20" t="s">
        <v>4348</v>
      </c>
      <c r="C2290" s="19">
        <v>10</v>
      </c>
      <c r="D2290" s="20" t="s">
        <v>373</v>
      </c>
      <c r="E2290" s="19" t="str">
        <f>VLOOKUP(D2290,'لیست پرسنل'!$B$2:$E$1020,3,FALSE)</f>
        <v>مشاور و کارفرما</v>
      </c>
      <c r="F2290" s="19" t="str">
        <f>VLOOKUP(D2290,'لیست پرسنل'!$B$2:$E$1020,4,FALSE)</f>
        <v>کارفرما</v>
      </c>
      <c r="G2290" s="127">
        <f>VLOOKUP(D2290,'لیست پرسنل'!$B$2:$F$1020,2,FALSE)</f>
        <v>0</v>
      </c>
      <c r="H2290" s="127" t="s">
        <v>3898</v>
      </c>
      <c r="I2290" s="126" t="s">
        <v>241</v>
      </c>
      <c r="J2290" s="128" t="s">
        <v>2686</v>
      </c>
      <c r="K2290" s="127" t="s">
        <v>233</v>
      </c>
      <c r="L2290" s="151" t="s">
        <v>3883</v>
      </c>
      <c r="M2290" s="127">
        <v>618919</v>
      </c>
      <c r="N2290" s="108"/>
      <c r="O2290" s="19"/>
      <c r="P2290" s="19"/>
      <c r="Q2290" s="19"/>
    </row>
    <row r="2291" spans="1:17" ht="24.9" customHeight="1">
      <c r="A2291" s="20">
        <v>392</v>
      </c>
      <c r="B2291" s="20" t="s">
        <v>4348</v>
      </c>
      <c r="C2291" s="19">
        <v>11</v>
      </c>
      <c r="D2291" s="20" t="s">
        <v>374</v>
      </c>
      <c r="E2291" s="19" t="str">
        <f>VLOOKUP(D2291,'لیست پرسنل'!$B$2:$E$1020,3,FALSE)</f>
        <v>مشاور و کارفرما</v>
      </c>
      <c r="F2291" s="19" t="str">
        <f>VLOOKUP(D2291,'لیست پرسنل'!$B$2:$E$1020,4,FALSE)</f>
        <v>کارفرما</v>
      </c>
      <c r="G2291" s="127">
        <f>VLOOKUP(D2291,'لیست پرسنل'!$B$2:$F$1020,2,FALSE)</f>
        <v>0</v>
      </c>
      <c r="H2291" s="127" t="s">
        <v>3898</v>
      </c>
      <c r="I2291" s="126" t="s">
        <v>242</v>
      </c>
      <c r="J2291" s="126" t="s">
        <v>368</v>
      </c>
      <c r="K2291" s="127" t="s">
        <v>660</v>
      </c>
      <c r="L2291" s="127" t="s">
        <v>2528</v>
      </c>
      <c r="M2291" s="128">
        <v>618883</v>
      </c>
      <c r="N2291" s="109"/>
      <c r="O2291" s="20"/>
      <c r="P2291" s="19"/>
      <c r="Q2291" s="19"/>
    </row>
    <row r="2292" spans="1:17" ht="24.9" customHeight="1">
      <c r="A2292" s="20">
        <v>392</v>
      </c>
      <c r="B2292" s="20" t="s">
        <v>4348</v>
      </c>
      <c r="C2292" s="19">
        <v>11</v>
      </c>
      <c r="D2292" s="20" t="s">
        <v>374</v>
      </c>
      <c r="E2292" s="19" t="str">
        <f>VLOOKUP(D2292,'لیست پرسنل'!$B$2:$E$1020,3,FALSE)</f>
        <v>مشاور و کارفرما</v>
      </c>
      <c r="F2292" s="19" t="str">
        <f>VLOOKUP(D2292,'لیست پرسنل'!$B$2:$E$1020,4,FALSE)</f>
        <v>کارفرما</v>
      </c>
      <c r="G2292" s="127">
        <f>VLOOKUP(D2292,'لیست پرسنل'!$B$2:$F$1020,2,FALSE)</f>
        <v>0</v>
      </c>
      <c r="H2292" s="127" t="s">
        <v>3898</v>
      </c>
      <c r="I2292" s="126" t="s">
        <v>242</v>
      </c>
      <c r="J2292" s="126" t="s">
        <v>571</v>
      </c>
      <c r="K2292" s="127"/>
      <c r="L2292" s="151"/>
      <c r="M2292" s="127">
        <v>609675</v>
      </c>
      <c r="N2292" s="109" t="s">
        <v>7233</v>
      </c>
      <c r="O2292" s="20"/>
      <c r="P2292" s="19"/>
      <c r="Q2292" s="19"/>
    </row>
    <row r="2293" spans="1:17" ht="24.9" customHeight="1">
      <c r="A2293" s="20">
        <v>392</v>
      </c>
      <c r="B2293" s="20" t="s">
        <v>4348</v>
      </c>
      <c r="C2293" s="19">
        <v>11</v>
      </c>
      <c r="D2293" s="20" t="s">
        <v>374</v>
      </c>
      <c r="E2293" s="19" t="str">
        <f>VLOOKUP(D2293,'لیست پرسنل'!$B$2:$E$1020,3,FALSE)</f>
        <v>مشاور و کارفرما</v>
      </c>
      <c r="F2293" s="19" t="str">
        <f>VLOOKUP(D2293,'لیست پرسنل'!$B$2:$E$1020,4,FALSE)</f>
        <v>کارفرما</v>
      </c>
      <c r="G2293" s="127">
        <f>VLOOKUP(D2293,'لیست پرسنل'!$B$2:$F$1020,2,FALSE)</f>
        <v>0</v>
      </c>
      <c r="H2293" s="127" t="s">
        <v>3898</v>
      </c>
      <c r="I2293" s="126" t="s">
        <v>242</v>
      </c>
      <c r="J2293" s="128" t="s">
        <v>2686</v>
      </c>
      <c r="K2293" s="127" t="s">
        <v>233</v>
      </c>
      <c r="L2293" s="151" t="s">
        <v>3884</v>
      </c>
      <c r="M2293" s="127">
        <v>618819</v>
      </c>
      <c r="N2293" s="108"/>
      <c r="O2293" s="20"/>
      <c r="P2293" s="19"/>
      <c r="Q2293" s="19"/>
    </row>
    <row r="2294" spans="1:17" ht="24.9" customHeight="1">
      <c r="A2294" s="20">
        <v>392</v>
      </c>
      <c r="B2294" s="20" t="s">
        <v>4348</v>
      </c>
      <c r="C2294" s="19">
        <v>12</v>
      </c>
      <c r="D2294" s="20" t="s">
        <v>375</v>
      </c>
      <c r="E2294" s="19" t="str">
        <f>VLOOKUP(D2294,'لیست پرسنل'!$B$2:$E$1020,3,FALSE)</f>
        <v>مشاور و کارفرما</v>
      </c>
      <c r="F2294" s="19" t="str">
        <f>VLOOKUP(D2294,'لیست پرسنل'!$B$2:$E$1020,4,FALSE)</f>
        <v>کارفرما</v>
      </c>
      <c r="G2294" s="127">
        <f>VLOOKUP(D2294,'لیست پرسنل'!$B$2:$F$1020,2,FALSE)</f>
        <v>0</v>
      </c>
      <c r="H2294" s="127" t="s">
        <v>3898</v>
      </c>
      <c r="I2294" s="126" t="s">
        <v>376</v>
      </c>
      <c r="J2294" s="126" t="s">
        <v>368</v>
      </c>
      <c r="K2294" s="127" t="s">
        <v>3875</v>
      </c>
      <c r="L2294" s="127"/>
      <c r="M2294" s="128">
        <v>623335</v>
      </c>
      <c r="N2294" s="108"/>
      <c r="O2294" s="20"/>
      <c r="P2294" s="19"/>
      <c r="Q2294" s="19"/>
    </row>
    <row r="2295" spans="1:17" ht="24.9" customHeight="1">
      <c r="A2295" s="20">
        <v>392</v>
      </c>
      <c r="B2295" s="20" t="s">
        <v>4348</v>
      </c>
      <c r="C2295" s="19">
        <v>12</v>
      </c>
      <c r="D2295" s="20" t="s">
        <v>375</v>
      </c>
      <c r="E2295" s="19" t="str">
        <f>VLOOKUP(D2295,'لیست پرسنل'!$B$2:$E$1020,3,FALSE)</f>
        <v>مشاور و کارفرما</v>
      </c>
      <c r="F2295" s="19" t="str">
        <f>VLOOKUP(D2295,'لیست پرسنل'!$B$2:$E$1020,4,FALSE)</f>
        <v>کارفرما</v>
      </c>
      <c r="G2295" s="127">
        <f>VLOOKUP(D2295,'لیست پرسنل'!$B$2:$F$1020,2,FALSE)</f>
        <v>0</v>
      </c>
      <c r="H2295" s="127" t="s">
        <v>3898</v>
      </c>
      <c r="I2295" s="126" t="s">
        <v>376</v>
      </c>
      <c r="J2295" s="126" t="s">
        <v>368</v>
      </c>
      <c r="K2295" s="127" t="s">
        <v>3875</v>
      </c>
      <c r="L2295" s="127"/>
      <c r="M2295" s="127">
        <v>623336</v>
      </c>
      <c r="N2295" s="108"/>
      <c r="O2295" s="20"/>
      <c r="P2295" s="19"/>
      <c r="Q2295" s="19"/>
    </row>
    <row r="2296" spans="1:17" ht="24.9" customHeight="1">
      <c r="A2296" s="20">
        <v>392</v>
      </c>
      <c r="B2296" s="20" t="s">
        <v>4348</v>
      </c>
      <c r="C2296" s="19">
        <v>12</v>
      </c>
      <c r="D2296" s="20" t="s">
        <v>375</v>
      </c>
      <c r="E2296" s="19" t="str">
        <f>VLOOKUP(D2296,'لیست پرسنل'!$B$2:$E$1020,3,FALSE)</f>
        <v>مشاور و کارفرما</v>
      </c>
      <c r="F2296" s="19" t="str">
        <f>VLOOKUP(D2296,'لیست پرسنل'!$B$2:$E$1020,4,FALSE)</f>
        <v>کارفرما</v>
      </c>
      <c r="G2296" s="127">
        <f>VLOOKUP(D2296,'لیست پرسنل'!$B$2:$F$1020,2,FALSE)</f>
        <v>0</v>
      </c>
      <c r="H2296" s="127" t="s">
        <v>3898</v>
      </c>
      <c r="I2296" s="126" t="s">
        <v>376</v>
      </c>
      <c r="J2296" s="126" t="s">
        <v>571</v>
      </c>
      <c r="K2296" s="127"/>
      <c r="L2296" s="151"/>
      <c r="M2296" s="128">
        <v>622482</v>
      </c>
      <c r="N2296" s="108"/>
      <c r="O2296" s="20"/>
      <c r="P2296" s="19"/>
      <c r="Q2296" s="19"/>
    </row>
    <row r="2297" spans="1:17" ht="24.9" customHeight="1">
      <c r="A2297" s="20">
        <v>392</v>
      </c>
      <c r="B2297" s="20" t="s">
        <v>4348</v>
      </c>
      <c r="C2297" s="19">
        <v>12</v>
      </c>
      <c r="D2297" s="20" t="s">
        <v>375</v>
      </c>
      <c r="E2297" s="19" t="str">
        <f>VLOOKUP(D2297,'لیست پرسنل'!$B$2:$E$1020,3,FALSE)</f>
        <v>مشاور و کارفرما</v>
      </c>
      <c r="F2297" s="19" t="str">
        <f>VLOOKUP(D2297,'لیست پرسنل'!$B$2:$E$1020,4,FALSE)</f>
        <v>کارفرما</v>
      </c>
      <c r="G2297" s="127">
        <f>VLOOKUP(D2297,'لیست پرسنل'!$B$2:$F$1020,2,FALSE)</f>
        <v>0</v>
      </c>
      <c r="H2297" s="127" t="s">
        <v>3898</v>
      </c>
      <c r="I2297" s="126" t="s">
        <v>376</v>
      </c>
      <c r="J2297" s="128" t="s">
        <v>2686</v>
      </c>
      <c r="K2297" s="127" t="s">
        <v>332</v>
      </c>
      <c r="L2297" s="151" t="s">
        <v>3885</v>
      </c>
      <c r="M2297" s="127">
        <v>604097</v>
      </c>
      <c r="N2297" s="108"/>
      <c r="O2297" s="20"/>
      <c r="P2297" s="20"/>
      <c r="Q2297" s="20"/>
    </row>
    <row r="2298" spans="1:17" ht="24.9" customHeight="1">
      <c r="A2298" s="20">
        <v>392</v>
      </c>
      <c r="B2298" s="20" t="s">
        <v>4348</v>
      </c>
      <c r="C2298" s="19">
        <v>13</v>
      </c>
      <c r="D2298" s="20" t="s">
        <v>381</v>
      </c>
      <c r="E2298" s="19" t="str">
        <f>VLOOKUP(D2298,'لیست پرسنل'!$B$2:$E$1020,3,FALSE)</f>
        <v>مشاور و کارفرما</v>
      </c>
      <c r="F2298" s="19" t="str">
        <f>VLOOKUP(D2298,'لیست پرسنل'!$B$2:$E$1020,4,FALSE)</f>
        <v>کارفرما</v>
      </c>
      <c r="G2298" s="127">
        <f>VLOOKUP(D2298,'لیست پرسنل'!$B$2:$F$1020,2,FALSE)</f>
        <v>0</v>
      </c>
      <c r="H2298" s="127" t="s">
        <v>3898</v>
      </c>
      <c r="I2298" s="126" t="s">
        <v>377</v>
      </c>
      <c r="J2298" s="126" t="s">
        <v>368</v>
      </c>
      <c r="K2298" s="127" t="s">
        <v>3875</v>
      </c>
      <c r="L2298" s="127"/>
      <c r="M2298" s="127">
        <v>618863</v>
      </c>
      <c r="N2298" s="108"/>
      <c r="O2298" s="19"/>
      <c r="P2298" s="19"/>
      <c r="Q2298" s="19"/>
    </row>
    <row r="2299" spans="1:17" ht="24.9" customHeight="1">
      <c r="A2299" s="20">
        <v>392</v>
      </c>
      <c r="B2299" s="20" t="s">
        <v>4348</v>
      </c>
      <c r="C2299" s="19">
        <v>13</v>
      </c>
      <c r="D2299" s="20" t="s">
        <v>381</v>
      </c>
      <c r="E2299" s="19" t="str">
        <f>VLOOKUP(D2299,'لیست پرسنل'!$B$2:$E$1020,3,FALSE)</f>
        <v>مشاور و کارفرما</v>
      </c>
      <c r="F2299" s="19" t="str">
        <f>VLOOKUP(D2299,'لیست پرسنل'!$B$2:$E$1020,4,FALSE)</f>
        <v>کارفرما</v>
      </c>
      <c r="G2299" s="127">
        <f>VLOOKUP(D2299,'لیست پرسنل'!$B$2:$F$1020,2,FALSE)</f>
        <v>0</v>
      </c>
      <c r="H2299" s="127" t="s">
        <v>3898</v>
      </c>
      <c r="I2299" s="126" t="s">
        <v>377</v>
      </c>
      <c r="J2299" s="126" t="s">
        <v>571</v>
      </c>
      <c r="K2299" s="127"/>
      <c r="L2299" s="151"/>
      <c r="M2299" s="128">
        <v>622483</v>
      </c>
      <c r="N2299" s="108"/>
      <c r="O2299" s="19"/>
      <c r="P2299" s="19"/>
      <c r="Q2299" s="19"/>
    </row>
    <row r="2300" spans="1:17" ht="24.9" customHeight="1">
      <c r="A2300" s="20">
        <v>392</v>
      </c>
      <c r="B2300" s="20" t="s">
        <v>4348</v>
      </c>
      <c r="C2300" s="19">
        <v>13</v>
      </c>
      <c r="D2300" s="20" t="s">
        <v>381</v>
      </c>
      <c r="E2300" s="19" t="str">
        <f>VLOOKUP(D2300,'لیست پرسنل'!$B$2:$E$1020,3,FALSE)</f>
        <v>مشاور و کارفرما</v>
      </c>
      <c r="F2300" s="19" t="str">
        <f>VLOOKUP(D2300,'لیست پرسنل'!$B$2:$E$1020,4,FALSE)</f>
        <v>کارفرما</v>
      </c>
      <c r="G2300" s="127">
        <f>VLOOKUP(D2300,'لیست پرسنل'!$B$2:$F$1020,2,FALSE)</f>
        <v>0</v>
      </c>
      <c r="H2300" s="127" t="s">
        <v>3898</v>
      </c>
      <c r="I2300" s="126" t="s">
        <v>377</v>
      </c>
      <c r="J2300" s="128" t="s">
        <v>2686</v>
      </c>
      <c r="K2300" s="127" t="s">
        <v>332</v>
      </c>
      <c r="L2300" s="151" t="s">
        <v>3886</v>
      </c>
      <c r="M2300" s="127">
        <v>605732</v>
      </c>
      <c r="N2300" s="108"/>
      <c r="O2300" s="20"/>
      <c r="P2300" s="19"/>
      <c r="Q2300" s="19"/>
    </row>
    <row r="2301" spans="1:17" ht="24.9" customHeight="1">
      <c r="A2301" s="20">
        <v>392</v>
      </c>
      <c r="B2301" s="20" t="s">
        <v>4348</v>
      </c>
      <c r="C2301" s="19">
        <v>14</v>
      </c>
      <c r="D2301" s="20" t="s">
        <v>7705</v>
      </c>
      <c r="E2301" s="19" t="str">
        <f>VLOOKUP(D2301,'لیست پرسنل'!$B$2:$E$1020,3,FALSE)</f>
        <v>مشاور و کارفرما</v>
      </c>
      <c r="F2301" s="19" t="str">
        <f>VLOOKUP(D2301,'لیست پرسنل'!$B$2:$E$1020,4,FALSE)</f>
        <v>رئیس نظارت</v>
      </c>
      <c r="G2301" s="127">
        <f>VLOOKUP(D2301,'لیست پرسنل'!$B$2:$F$1020,2,FALSE)</f>
        <v>0</v>
      </c>
      <c r="H2301" s="127" t="s">
        <v>3898</v>
      </c>
      <c r="I2301" s="126" t="s">
        <v>378</v>
      </c>
      <c r="J2301" s="126" t="s">
        <v>368</v>
      </c>
      <c r="K2301" s="127" t="s">
        <v>3875</v>
      </c>
      <c r="L2301" s="127"/>
      <c r="M2301" s="127">
        <v>618870</v>
      </c>
      <c r="N2301" s="108"/>
      <c r="O2301" s="19"/>
      <c r="P2301" s="19"/>
      <c r="Q2301" s="19"/>
    </row>
    <row r="2302" spans="1:17" ht="24.9" customHeight="1">
      <c r="A2302" s="20">
        <v>392</v>
      </c>
      <c r="B2302" s="20" t="s">
        <v>4348</v>
      </c>
      <c r="C2302" s="19">
        <v>14</v>
      </c>
      <c r="D2302" s="20" t="s">
        <v>7705</v>
      </c>
      <c r="E2302" s="19" t="str">
        <f>VLOOKUP(D2302,'لیست پرسنل'!$B$2:$E$1020,3,FALSE)</f>
        <v>مشاور و کارفرما</v>
      </c>
      <c r="F2302" s="19" t="str">
        <f>VLOOKUP(D2302,'لیست پرسنل'!$B$2:$E$1020,4,FALSE)</f>
        <v>رئیس نظارت</v>
      </c>
      <c r="G2302" s="127">
        <f>VLOOKUP(D2302,'لیست پرسنل'!$B$2:$F$1020,2,FALSE)</f>
        <v>0</v>
      </c>
      <c r="H2302" s="127" t="s">
        <v>3898</v>
      </c>
      <c r="I2302" s="126" t="s">
        <v>378</v>
      </c>
      <c r="J2302" s="126" t="s">
        <v>571</v>
      </c>
      <c r="K2302" s="127"/>
      <c r="L2302" s="151"/>
      <c r="M2302" s="128">
        <v>604331</v>
      </c>
      <c r="N2302" s="109" t="s">
        <v>7290</v>
      </c>
      <c r="O2302" s="19"/>
      <c r="P2302" s="19"/>
      <c r="Q2302" s="19"/>
    </row>
    <row r="2303" spans="1:17" ht="24.9" customHeight="1">
      <c r="A2303" s="20">
        <v>392</v>
      </c>
      <c r="B2303" s="20" t="s">
        <v>4348</v>
      </c>
      <c r="C2303" s="19">
        <v>14</v>
      </c>
      <c r="D2303" s="20" t="s">
        <v>7705</v>
      </c>
      <c r="E2303" s="19" t="str">
        <f>VLOOKUP(D2303,'لیست پرسنل'!$B$2:$E$1020,3,FALSE)</f>
        <v>مشاور و کارفرما</v>
      </c>
      <c r="F2303" s="19" t="str">
        <f>VLOOKUP(D2303,'لیست پرسنل'!$B$2:$E$1020,4,FALSE)</f>
        <v>رئیس نظارت</v>
      </c>
      <c r="G2303" s="127">
        <f>VLOOKUP(D2303,'لیست پرسنل'!$B$2:$F$1020,2,FALSE)</f>
        <v>0</v>
      </c>
      <c r="H2303" s="127" t="s">
        <v>3898</v>
      </c>
      <c r="I2303" s="126" t="s">
        <v>378</v>
      </c>
      <c r="J2303" s="128" t="s">
        <v>2686</v>
      </c>
      <c r="K2303" s="127" t="s">
        <v>332</v>
      </c>
      <c r="L2303" s="151" t="s">
        <v>1237</v>
      </c>
      <c r="M2303" s="127">
        <v>606570</v>
      </c>
      <c r="N2303" s="108"/>
      <c r="O2303" s="20"/>
      <c r="P2303" s="20"/>
      <c r="Q2303" s="20"/>
    </row>
    <row r="2304" spans="1:17" ht="24.9" customHeight="1">
      <c r="A2304" s="20">
        <v>392</v>
      </c>
      <c r="B2304" s="20" t="s">
        <v>4348</v>
      </c>
      <c r="C2304" s="19">
        <v>15</v>
      </c>
      <c r="D2304" s="20" t="s">
        <v>485</v>
      </c>
      <c r="E2304" s="19" t="str">
        <f>VLOOKUP(D2304,'لیست پرسنل'!$B$2:$E$1020,3,FALSE)</f>
        <v>مشاور و کارفرما</v>
      </c>
      <c r="F2304" s="19" t="str">
        <f>VLOOKUP(D2304,'لیست پرسنل'!$B$2:$E$1020,4,FALSE)</f>
        <v>کارفرما</v>
      </c>
      <c r="G2304" s="127">
        <f>VLOOKUP(D2304,'لیست پرسنل'!$B$2:$F$1020,2,FALSE)</f>
        <v>0</v>
      </c>
      <c r="H2304" s="127" t="s">
        <v>3898</v>
      </c>
      <c r="I2304" s="126" t="s">
        <v>379</v>
      </c>
      <c r="J2304" s="126" t="s">
        <v>368</v>
      </c>
      <c r="K2304" s="127" t="s">
        <v>3875</v>
      </c>
      <c r="L2304" s="127"/>
      <c r="M2304" s="127">
        <v>618874</v>
      </c>
      <c r="N2304" s="108"/>
      <c r="O2304" s="94"/>
      <c r="P2304" s="19"/>
      <c r="Q2304" s="19"/>
    </row>
    <row r="2305" spans="1:17" ht="24.9" customHeight="1">
      <c r="A2305" s="20">
        <v>392</v>
      </c>
      <c r="B2305" s="20" t="s">
        <v>4348</v>
      </c>
      <c r="C2305" s="19">
        <v>15</v>
      </c>
      <c r="D2305" s="20" t="s">
        <v>485</v>
      </c>
      <c r="E2305" s="19" t="str">
        <f>VLOOKUP(D2305,'لیست پرسنل'!$B$2:$E$1020,3,FALSE)</f>
        <v>مشاور و کارفرما</v>
      </c>
      <c r="F2305" s="19" t="str">
        <f>VLOOKUP(D2305,'لیست پرسنل'!$B$2:$E$1020,4,FALSE)</f>
        <v>کارفرما</v>
      </c>
      <c r="G2305" s="127">
        <f>VLOOKUP(D2305,'لیست پرسنل'!$B$2:$F$1020,2,FALSE)</f>
        <v>0</v>
      </c>
      <c r="H2305" s="127" t="s">
        <v>3898</v>
      </c>
      <c r="I2305" s="126" t="s">
        <v>379</v>
      </c>
      <c r="J2305" s="126" t="s">
        <v>571</v>
      </c>
      <c r="K2305" s="127"/>
      <c r="L2305" s="151"/>
      <c r="M2305" s="128">
        <v>622484</v>
      </c>
      <c r="N2305" s="108"/>
      <c r="O2305" s="94"/>
      <c r="P2305" s="19"/>
      <c r="Q2305" s="19"/>
    </row>
    <row r="2306" spans="1:17" ht="24.9" customHeight="1">
      <c r="A2306" s="20">
        <v>392</v>
      </c>
      <c r="B2306" s="20" t="s">
        <v>4348</v>
      </c>
      <c r="C2306" s="19">
        <v>15</v>
      </c>
      <c r="D2306" s="20" t="s">
        <v>485</v>
      </c>
      <c r="E2306" s="19" t="str">
        <f>VLOOKUP(D2306,'لیست پرسنل'!$B$2:$E$1020,3,FALSE)</f>
        <v>مشاور و کارفرما</v>
      </c>
      <c r="F2306" s="19" t="str">
        <f>VLOOKUP(D2306,'لیست پرسنل'!$B$2:$E$1020,4,FALSE)</f>
        <v>کارفرما</v>
      </c>
      <c r="G2306" s="127">
        <f>VLOOKUP(D2306,'لیست پرسنل'!$B$2:$F$1020,2,FALSE)</f>
        <v>0</v>
      </c>
      <c r="H2306" s="127" t="s">
        <v>3898</v>
      </c>
      <c r="I2306" s="126" t="s">
        <v>379</v>
      </c>
      <c r="J2306" s="128" t="s">
        <v>2686</v>
      </c>
      <c r="K2306" s="127" t="s">
        <v>332</v>
      </c>
      <c r="L2306" s="151" t="s">
        <v>3888</v>
      </c>
      <c r="M2306" s="127">
        <v>610964</v>
      </c>
      <c r="N2306" s="108" t="s">
        <v>7233</v>
      </c>
      <c r="O2306" s="20"/>
      <c r="P2306" s="19"/>
      <c r="Q2306" s="19"/>
    </row>
    <row r="2307" spans="1:17" ht="24.9" customHeight="1">
      <c r="A2307" s="20">
        <v>392</v>
      </c>
      <c r="B2307" s="20" t="s">
        <v>4348</v>
      </c>
      <c r="C2307" s="19">
        <v>16</v>
      </c>
      <c r="D2307" s="20" t="s">
        <v>383</v>
      </c>
      <c r="E2307" s="19" t="str">
        <f>VLOOKUP(D2307,'لیست پرسنل'!$B$2:$E$1020,3,FALSE)</f>
        <v>مشاور و کارفرما</v>
      </c>
      <c r="F2307" s="19" t="str">
        <f>VLOOKUP(D2307,'لیست پرسنل'!$B$2:$E$1020,4,FALSE)</f>
        <v>کارفرما</v>
      </c>
      <c r="G2307" s="127">
        <f>VLOOKUP(D2307,'لیست پرسنل'!$B$2:$F$1020,2,FALSE)</f>
        <v>0</v>
      </c>
      <c r="H2307" s="127" t="s">
        <v>3898</v>
      </c>
      <c r="I2307" s="126" t="s">
        <v>380</v>
      </c>
      <c r="J2307" s="126" t="s">
        <v>3889</v>
      </c>
      <c r="K2307" s="127" t="s">
        <v>384</v>
      </c>
      <c r="L2307" s="151" t="s">
        <v>385</v>
      </c>
      <c r="M2307" s="127">
        <v>616801</v>
      </c>
      <c r="N2307" s="108"/>
      <c r="O2307" s="20"/>
      <c r="P2307" s="19"/>
      <c r="Q2307" s="19"/>
    </row>
    <row r="2308" spans="1:17" ht="24.9" customHeight="1">
      <c r="A2308" s="20">
        <v>392</v>
      </c>
      <c r="B2308" s="20" t="s">
        <v>4348</v>
      </c>
      <c r="C2308" s="19">
        <v>16</v>
      </c>
      <c r="D2308" s="20" t="s">
        <v>383</v>
      </c>
      <c r="E2308" s="19" t="str">
        <f>VLOOKUP(D2308,'لیست پرسنل'!$B$2:$E$1020,3,FALSE)</f>
        <v>مشاور و کارفرما</v>
      </c>
      <c r="F2308" s="19" t="str">
        <f>VLOOKUP(D2308,'لیست پرسنل'!$B$2:$E$1020,4,FALSE)</f>
        <v>کارفرما</v>
      </c>
      <c r="G2308" s="127">
        <f>VLOOKUP(D2308,'لیست پرسنل'!$B$2:$F$1020,2,FALSE)</f>
        <v>0</v>
      </c>
      <c r="H2308" s="127" t="s">
        <v>3898</v>
      </c>
      <c r="I2308" s="126" t="s">
        <v>380</v>
      </c>
      <c r="J2308" s="126" t="s">
        <v>368</v>
      </c>
      <c r="K2308" s="127" t="s">
        <v>3875</v>
      </c>
      <c r="L2308" s="127"/>
      <c r="M2308" s="127">
        <v>618862</v>
      </c>
      <c r="N2308" s="109"/>
      <c r="O2308" s="19"/>
      <c r="P2308" s="19"/>
      <c r="Q2308" s="19"/>
    </row>
    <row r="2309" spans="1:17" ht="24.9" customHeight="1">
      <c r="A2309" s="20">
        <v>392</v>
      </c>
      <c r="B2309" s="20" t="s">
        <v>4348</v>
      </c>
      <c r="C2309" s="19">
        <v>17</v>
      </c>
      <c r="D2309" s="20" t="s">
        <v>552</v>
      </c>
      <c r="E2309" s="19" t="str">
        <f>VLOOKUP(D2309,'لیست پرسنل'!$B$2:$E$1020,3,FALSE)</f>
        <v>مشاور و کارفرما</v>
      </c>
      <c r="F2309" s="19" t="str">
        <f>VLOOKUP(D2309,'لیست پرسنل'!$B$2:$E$1020,4,FALSE)</f>
        <v>کارفرما</v>
      </c>
      <c r="G2309" s="127">
        <f>VLOOKUP(D2309,'لیست پرسنل'!$B$2:$F$1020,2,FALSE)</f>
        <v>0</v>
      </c>
      <c r="H2309" s="127" t="s">
        <v>3898</v>
      </c>
      <c r="I2309" s="126" t="s">
        <v>551</v>
      </c>
      <c r="J2309" s="126" t="s">
        <v>571</v>
      </c>
      <c r="K2309" s="127"/>
      <c r="L2309" s="151"/>
      <c r="M2309" s="127">
        <v>606684</v>
      </c>
      <c r="N2309" s="109"/>
      <c r="O2309" s="81"/>
      <c r="P2309" s="81"/>
      <c r="Q2309" s="81"/>
    </row>
    <row r="2310" spans="1:17" ht="24.9" customHeight="1">
      <c r="A2310" s="20">
        <v>392</v>
      </c>
      <c r="B2310" s="20" t="s">
        <v>4348</v>
      </c>
      <c r="C2310" s="19">
        <v>17</v>
      </c>
      <c r="D2310" s="20" t="s">
        <v>552</v>
      </c>
      <c r="E2310" s="19" t="str">
        <f>VLOOKUP(D2310,'لیست پرسنل'!$B$2:$E$1020,3,FALSE)</f>
        <v>مشاور و کارفرما</v>
      </c>
      <c r="F2310" s="19" t="str">
        <f>VLOOKUP(D2310,'لیست پرسنل'!$B$2:$E$1020,4,FALSE)</f>
        <v>کارفرما</v>
      </c>
      <c r="G2310" s="127">
        <f>VLOOKUP(D2310,'لیست پرسنل'!$B$2:$F$1020,2,FALSE)</f>
        <v>0</v>
      </c>
      <c r="H2310" s="127" t="s">
        <v>3898</v>
      </c>
      <c r="I2310" s="126" t="s">
        <v>551</v>
      </c>
      <c r="J2310" s="128" t="s">
        <v>2686</v>
      </c>
      <c r="K2310" s="127" t="s">
        <v>332</v>
      </c>
      <c r="L2310" s="151" t="s">
        <v>3890</v>
      </c>
      <c r="M2310" s="143">
        <v>604884</v>
      </c>
      <c r="N2310" s="108"/>
      <c r="O2310" s="81"/>
      <c r="P2310" s="81"/>
      <c r="Q2310" s="81"/>
    </row>
    <row r="2311" spans="1:17" ht="24.9" customHeight="1">
      <c r="A2311" s="20">
        <v>392</v>
      </c>
      <c r="B2311" s="20" t="s">
        <v>4348</v>
      </c>
      <c r="C2311" s="19">
        <v>18</v>
      </c>
      <c r="D2311" s="20" t="s">
        <v>687</v>
      </c>
      <c r="E2311" s="19" t="str">
        <f>VLOOKUP(D2311,'لیست پرسنل'!$B$2:$E$1020,3,FALSE)</f>
        <v>مشاور و کارفرما</v>
      </c>
      <c r="F2311" s="19" t="str">
        <f>VLOOKUP(D2311,'لیست پرسنل'!$B$2:$E$1020,4,FALSE)</f>
        <v>کارفرما</v>
      </c>
      <c r="G2311" s="127">
        <f>VLOOKUP(D2311,'لیست پرسنل'!$B$2:$F$1020,2,FALSE)</f>
        <v>0</v>
      </c>
      <c r="H2311" s="127" t="s">
        <v>3898</v>
      </c>
      <c r="I2311" s="126" t="s">
        <v>686</v>
      </c>
      <c r="J2311" s="126" t="s">
        <v>571</v>
      </c>
      <c r="K2311" s="127"/>
      <c r="L2311" s="151"/>
      <c r="M2311" s="127">
        <v>622498</v>
      </c>
      <c r="N2311" s="109"/>
      <c r="O2311" s="19"/>
      <c r="P2311" s="19"/>
      <c r="Q2311" s="19"/>
    </row>
    <row r="2312" spans="1:17" ht="24.9" customHeight="1">
      <c r="A2312" s="20">
        <v>392</v>
      </c>
      <c r="B2312" s="20" t="s">
        <v>4348</v>
      </c>
      <c r="C2312" s="19">
        <v>18</v>
      </c>
      <c r="D2312" s="20" t="s">
        <v>687</v>
      </c>
      <c r="E2312" s="19" t="str">
        <f>VLOOKUP(D2312,'لیست پرسنل'!$B$2:$E$1020,3,FALSE)</f>
        <v>مشاور و کارفرما</v>
      </c>
      <c r="F2312" s="19" t="str">
        <f>VLOOKUP(D2312,'لیست پرسنل'!$B$2:$E$1020,4,FALSE)</f>
        <v>کارفرما</v>
      </c>
      <c r="G2312" s="127">
        <f>VLOOKUP(D2312,'لیست پرسنل'!$B$2:$F$1020,2,FALSE)</f>
        <v>0</v>
      </c>
      <c r="H2312" s="127" t="s">
        <v>3898</v>
      </c>
      <c r="I2312" s="126" t="s">
        <v>686</v>
      </c>
      <c r="J2312" s="128" t="s">
        <v>2686</v>
      </c>
      <c r="K2312" s="127" t="s">
        <v>688</v>
      </c>
      <c r="L2312" s="151" t="s">
        <v>3891</v>
      </c>
      <c r="M2312" s="127">
        <v>608621</v>
      </c>
      <c r="N2312" s="108"/>
      <c r="O2312" s="19"/>
      <c r="P2312" s="19"/>
      <c r="Q2312" s="19"/>
    </row>
    <row r="2313" spans="1:17" ht="24.9" customHeight="1">
      <c r="A2313" s="20">
        <v>392</v>
      </c>
      <c r="B2313" s="20" t="s">
        <v>4348</v>
      </c>
      <c r="C2313" s="19">
        <v>19</v>
      </c>
      <c r="D2313" s="20" t="s">
        <v>7705</v>
      </c>
      <c r="E2313" s="19" t="str">
        <f>VLOOKUP(D2313,'لیست پرسنل'!$B$2:$E$1020,3,FALSE)</f>
        <v>مشاور و کارفرما</v>
      </c>
      <c r="F2313" s="19" t="str">
        <f>VLOOKUP(D2313,'لیست پرسنل'!$B$2:$E$1020,4,FALSE)</f>
        <v>رئیس نظارت</v>
      </c>
      <c r="G2313" s="127">
        <f>VLOOKUP(D2313,'لیست پرسنل'!$B$2:$F$1020,2,FALSE)</f>
        <v>0</v>
      </c>
      <c r="H2313" s="127" t="s">
        <v>3898</v>
      </c>
      <c r="I2313" s="127" t="s">
        <v>689</v>
      </c>
      <c r="J2313" s="126" t="s">
        <v>571</v>
      </c>
      <c r="K2313" s="127"/>
      <c r="L2313" s="151"/>
      <c r="M2313" s="127">
        <v>622497</v>
      </c>
      <c r="N2313" s="109"/>
      <c r="O2313" s="19"/>
      <c r="P2313" s="19"/>
      <c r="Q2313" s="19"/>
    </row>
    <row r="2314" spans="1:17" ht="24.9" customHeight="1">
      <c r="A2314" s="20">
        <v>392</v>
      </c>
      <c r="B2314" s="20" t="s">
        <v>4348</v>
      </c>
      <c r="C2314" s="19">
        <v>19</v>
      </c>
      <c r="D2314" s="20" t="s">
        <v>7705</v>
      </c>
      <c r="E2314" s="19" t="str">
        <f>VLOOKUP(D2314,'لیست پرسنل'!$B$2:$E$1020,3,FALSE)</f>
        <v>مشاور و کارفرما</v>
      </c>
      <c r="F2314" s="19" t="str">
        <f>VLOOKUP(D2314,'لیست پرسنل'!$B$2:$E$1020,4,FALSE)</f>
        <v>رئیس نظارت</v>
      </c>
      <c r="G2314" s="127">
        <f>VLOOKUP(D2314,'لیست پرسنل'!$B$2:$F$1020,2,FALSE)</f>
        <v>0</v>
      </c>
      <c r="H2314" s="127" t="s">
        <v>3898</v>
      </c>
      <c r="I2314" s="127" t="s">
        <v>689</v>
      </c>
      <c r="J2314" s="128" t="s">
        <v>2686</v>
      </c>
      <c r="K2314" s="128" t="s">
        <v>364</v>
      </c>
      <c r="L2314" s="128" t="s">
        <v>1345</v>
      </c>
      <c r="M2314" s="127">
        <v>632402</v>
      </c>
      <c r="N2314" s="108"/>
      <c r="O2314" s="20" t="s">
        <v>5969</v>
      </c>
      <c r="P2314" s="20"/>
      <c r="Q2314" s="20"/>
    </row>
    <row r="2315" spans="1:17" ht="24.9" customHeight="1">
      <c r="A2315" s="20">
        <v>392</v>
      </c>
      <c r="B2315" s="20" t="s">
        <v>4348</v>
      </c>
      <c r="C2315" s="19">
        <v>20</v>
      </c>
      <c r="D2315" s="20" t="s">
        <v>3867</v>
      </c>
      <c r="E2315" s="19" t="str">
        <f>VLOOKUP(D2315,'لیست پرسنل'!$B$2:$E$1020,3,FALSE)</f>
        <v>مشاور و کارفرما</v>
      </c>
      <c r="F2315" s="19" t="str">
        <f>VLOOKUP(D2315,'لیست پرسنل'!$B$2:$E$1020,4,FALSE)</f>
        <v>سالن کنفرانس نظارت کارفرما</v>
      </c>
      <c r="G2315" s="127">
        <f>VLOOKUP(D2315,'لیست پرسنل'!$B$2:$F$1020,2,FALSE)</f>
        <v>0</v>
      </c>
      <c r="H2315" s="127" t="s">
        <v>3832</v>
      </c>
      <c r="I2315" s="127" t="s">
        <v>1111</v>
      </c>
      <c r="J2315" s="127" t="s">
        <v>5366</v>
      </c>
      <c r="K2315" s="127" t="s">
        <v>1113</v>
      </c>
      <c r="L2315" s="151" t="s">
        <v>1112</v>
      </c>
      <c r="M2315" s="127">
        <v>617957</v>
      </c>
      <c r="N2315" s="108"/>
      <c r="O2315" s="20"/>
      <c r="P2315" s="19"/>
      <c r="Q2315" s="19"/>
    </row>
    <row r="2316" spans="1:17" ht="24.9" customHeight="1">
      <c r="A2316" s="20">
        <v>392</v>
      </c>
      <c r="B2316" s="20" t="s">
        <v>4348</v>
      </c>
      <c r="C2316" s="19">
        <v>20</v>
      </c>
      <c r="D2316" s="20" t="s">
        <v>3867</v>
      </c>
      <c r="E2316" s="19" t="str">
        <f>VLOOKUP(D2316,'لیست پرسنل'!$B$2:$E$1020,3,FALSE)</f>
        <v>مشاور و کارفرما</v>
      </c>
      <c r="F2316" s="19" t="str">
        <f>VLOOKUP(D2316,'لیست پرسنل'!$B$2:$E$1020,4,FALSE)</f>
        <v>سالن کنفرانس نظارت کارفرما</v>
      </c>
      <c r="G2316" s="127">
        <f>VLOOKUP(D2316,'لیست پرسنل'!$B$2:$F$1020,2,FALSE)</f>
        <v>0</v>
      </c>
      <c r="H2316" s="127" t="s">
        <v>3832</v>
      </c>
      <c r="I2316" s="127" t="s">
        <v>1111</v>
      </c>
      <c r="J2316" s="127" t="s">
        <v>571</v>
      </c>
      <c r="K2316" s="127"/>
      <c r="L2316" s="151"/>
      <c r="M2316" s="127">
        <v>603690</v>
      </c>
      <c r="N2316" s="109"/>
      <c r="O2316" s="19"/>
      <c r="P2316" s="19"/>
      <c r="Q2316" s="19"/>
    </row>
    <row r="2317" spans="1:17" ht="24.9" customHeight="1">
      <c r="A2317" s="20">
        <v>392</v>
      </c>
      <c r="B2317" s="20" t="s">
        <v>4348</v>
      </c>
      <c r="C2317" s="19">
        <v>20</v>
      </c>
      <c r="D2317" s="20" t="s">
        <v>3867</v>
      </c>
      <c r="E2317" s="19" t="str">
        <f>VLOOKUP(D2317,'لیست پرسنل'!$B$2:$E$1020,3,FALSE)</f>
        <v>مشاور و کارفرما</v>
      </c>
      <c r="F2317" s="19" t="str">
        <f>VLOOKUP(D2317,'لیست پرسنل'!$B$2:$E$1020,4,FALSE)</f>
        <v>سالن کنفرانس نظارت کارفرما</v>
      </c>
      <c r="G2317" s="127">
        <f>VLOOKUP(D2317,'لیست پرسنل'!$B$2:$F$1020,2,FALSE)</f>
        <v>0</v>
      </c>
      <c r="H2317" s="127" t="s">
        <v>3832</v>
      </c>
      <c r="I2317" s="127" t="s">
        <v>1111</v>
      </c>
      <c r="J2317" s="128" t="s">
        <v>1977</v>
      </c>
      <c r="K2317" s="141" t="s">
        <v>438</v>
      </c>
      <c r="L2317" s="151" t="s">
        <v>591</v>
      </c>
      <c r="M2317" s="127">
        <v>620784</v>
      </c>
      <c r="N2317" s="109"/>
      <c r="O2317" s="19"/>
      <c r="P2317" s="19"/>
      <c r="Q2317" s="19"/>
    </row>
    <row r="2318" spans="1:17" ht="24.9" customHeight="1">
      <c r="A2318" s="20">
        <v>392</v>
      </c>
      <c r="B2318" s="20" t="s">
        <v>4348</v>
      </c>
      <c r="C2318" s="19">
        <v>21</v>
      </c>
      <c r="D2318" s="20" t="s">
        <v>3865</v>
      </c>
      <c r="E2318" s="19" t="str">
        <f>VLOOKUP(D2318,'لیست پرسنل'!$B$2:$E$1020,3,FALSE)</f>
        <v>مشاور و کارفرما</v>
      </c>
      <c r="F2318" s="19" t="str">
        <f>VLOOKUP(D2318,'لیست پرسنل'!$B$2:$E$1020,4,FALSE)</f>
        <v>مدیر پروژه کارفرما</v>
      </c>
      <c r="G2318" s="127">
        <f>VLOOKUP(D2318,'لیست پرسنل'!$B$2:$F$1020,2,FALSE)</f>
        <v>0</v>
      </c>
      <c r="H2318" s="127" t="s">
        <v>3898</v>
      </c>
      <c r="I2318" s="127" t="s">
        <v>1168</v>
      </c>
      <c r="J2318" s="126" t="s">
        <v>3889</v>
      </c>
      <c r="K2318" s="127" t="s">
        <v>1169</v>
      </c>
      <c r="L2318" s="151" t="s">
        <v>1170</v>
      </c>
      <c r="M2318" s="127">
        <v>618845</v>
      </c>
      <c r="N2318" s="108"/>
      <c r="O2318" s="20" t="s">
        <v>3895</v>
      </c>
      <c r="P2318" s="19"/>
      <c r="Q2318" s="19"/>
    </row>
    <row r="2319" spans="1:17" ht="24.9" customHeight="1">
      <c r="A2319" s="20">
        <v>392</v>
      </c>
      <c r="B2319" s="20" t="s">
        <v>4348</v>
      </c>
      <c r="C2319" s="19">
        <v>21</v>
      </c>
      <c r="D2319" s="20" t="s">
        <v>3865</v>
      </c>
      <c r="E2319" s="19" t="str">
        <f>VLOOKUP(D2319,'لیست پرسنل'!$B$2:$E$1020,3,FALSE)</f>
        <v>مشاور و کارفرما</v>
      </c>
      <c r="F2319" s="19" t="str">
        <f>VLOOKUP(D2319,'لیست پرسنل'!$B$2:$E$1020,4,FALSE)</f>
        <v>مدیر پروژه کارفرما</v>
      </c>
      <c r="G2319" s="127">
        <f>VLOOKUP(D2319,'لیست پرسنل'!$B$2:$F$1020,2,FALSE)</f>
        <v>0</v>
      </c>
      <c r="H2319" s="127" t="s">
        <v>3898</v>
      </c>
      <c r="I2319" s="127" t="s">
        <v>1168</v>
      </c>
      <c r="J2319" s="126" t="s">
        <v>368</v>
      </c>
      <c r="K2319" s="127" t="s">
        <v>3875</v>
      </c>
      <c r="L2319" s="127"/>
      <c r="M2319" s="127">
        <v>618886</v>
      </c>
      <c r="N2319" s="109"/>
      <c r="O2319" s="19"/>
      <c r="P2319" s="19"/>
      <c r="Q2319" s="19"/>
    </row>
    <row r="2320" spans="1:17" ht="24.9" customHeight="1">
      <c r="A2320" s="20">
        <v>392</v>
      </c>
      <c r="B2320" s="20" t="s">
        <v>4348</v>
      </c>
      <c r="C2320" s="19"/>
      <c r="D2320" s="20" t="s">
        <v>777</v>
      </c>
      <c r="E2320" s="19" t="str">
        <f>VLOOKUP(D2320,'لیست پرسنل'!$B$2:$E$1020,3,FALSE)</f>
        <v>مشاور و کارفرما</v>
      </c>
      <c r="F2320" s="19" t="str">
        <f>VLOOKUP(D2320,'لیست پرسنل'!$B$2:$E$1020,4,FALSE)</f>
        <v>کارفرما</v>
      </c>
      <c r="G2320" s="127">
        <f>VLOOKUP(D2320,'لیست پرسنل'!$B$2:$F$1020,2,FALSE)</f>
        <v>0</v>
      </c>
      <c r="H2320" s="127" t="s">
        <v>3894</v>
      </c>
      <c r="I2320" s="127"/>
      <c r="J2320" s="126" t="s">
        <v>368</v>
      </c>
      <c r="K2320" s="127" t="s">
        <v>3875</v>
      </c>
      <c r="L2320" s="127" t="s">
        <v>856</v>
      </c>
      <c r="M2320" s="127">
        <v>618869</v>
      </c>
      <c r="N2320" s="108"/>
      <c r="O2320" s="20"/>
      <c r="P2320" s="19"/>
      <c r="Q2320" s="20"/>
    </row>
    <row r="2321" spans="1:17" ht="24.9" customHeight="1">
      <c r="A2321" s="20">
        <v>392</v>
      </c>
      <c r="B2321" s="20" t="s">
        <v>4348</v>
      </c>
      <c r="C2321" s="19"/>
      <c r="D2321" s="20" t="s">
        <v>3873</v>
      </c>
      <c r="E2321" s="19" t="str">
        <f>VLOOKUP(D2321,'لیست پرسنل'!$B$2:$E$1020,3,FALSE)</f>
        <v>مشاور و کارفرما</v>
      </c>
      <c r="F2321" s="19" t="str">
        <f>VLOOKUP(D2321,'لیست پرسنل'!$B$2:$E$1020,4,FALSE)</f>
        <v>امور مالی کارفرما</v>
      </c>
      <c r="G2321" s="127">
        <f>VLOOKUP(D2321,'لیست پرسنل'!$B$2:$F$1020,2,FALSE)</f>
        <v>0</v>
      </c>
      <c r="H2321" s="127" t="s">
        <v>3898</v>
      </c>
      <c r="I2321" s="127"/>
      <c r="J2321" s="126" t="s">
        <v>368</v>
      </c>
      <c r="K2321" s="127" t="s">
        <v>3875</v>
      </c>
      <c r="L2321" s="127"/>
      <c r="M2321" s="127">
        <v>618884</v>
      </c>
      <c r="N2321" s="108"/>
      <c r="O2321" s="19" t="s">
        <v>386</v>
      </c>
      <c r="P2321" s="19"/>
      <c r="Q2321" s="20"/>
    </row>
    <row r="2322" spans="1:17" ht="24.9" customHeight="1">
      <c r="A2322" s="20">
        <v>392</v>
      </c>
      <c r="B2322" s="20" t="s">
        <v>4348</v>
      </c>
      <c r="C2322" s="19"/>
      <c r="D2322" s="19" t="s">
        <v>8224</v>
      </c>
      <c r="E2322" s="19" t="str">
        <f>VLOOKUP(D2322,'لیست پرسنل'!$B$2:$E$1020,3,FALSE)</f>
        <v>گهر فرزانگان خرامه</v>
      </c>
      <c r="F2322" s="19" t="str">
        <f>VLOOKUP(D2322,'لیست پرسنل'!$B$2:$E$1020,4,FALSE)</f>
        <v>نظارت</v>
      </c>
      <c r="G2322" s="127">
        <f>VLOOKUP(D2322,'لیست پرسنل'!$B$2:$F$1020,2,FALSE)</f>
        <v>0</v>
      </c>
      <c r="H2322" s="151" t="s">
        <v>8226</v>
      </c>
      <c r="I2322" s="127"/>
      <c r="J2322" s="126" t="s">
        <v>368</v>
      </c>
      <c r="K2322" s="128" t="s">
        <v>2846</v>
      </c>
      <c r="L2322" s="128" t="s">
        <v>2473</v>
      </c>
      <c r="M2322" s="128">
        <v>628883</v>
      </c>
      <c r="N2322" s="108" t="s">
        <v>850</v>
      </c>
      <c r="O2322" s="19"/>
      <c r="P2322" s="20"/>
      <c r="Q2322" s="20"/>
    </row>
    <row r="2323" spans="1:17" ht="24.9" customHeight="1">
      <c r="A2323" s="20">
        <v>392</v>
      </c>
      <c r="B2323" s="20" t="s">
        <v>4348</v>
      </c>
      <c r="C2323" s="19"/>
      <c r="D2323" s="20" t="s">
        <v>237</v>
      </c>
      <c r="E2323" s="19" t="str">
        <f>VLOOKUP(D2323,'لیست پرسنل'!$B$2:$E$1020,3,FALSE)</f>
        <v>مشاور و کارفرما</v>
      </c>
      <c r="F2323" s="19" t="str">
        <f>VLOOKUP(D2323,'لیست پرسنل'!$B$2:$E$1020,4,FALSE)</f>
        <v>کارفرما</v>
      </c>
      <c r="G2323" s="127">
        <f>VLOOKUP(D2323,'لیست پرسنل'!$B$2:$F$1020,2,FALSE)</f>
        <v>0</v>
      </c>
      <c r="H2323" s="127" t="s">
        <v>3898</v>
      </c>
      <c r="I2323" s="126"/>
      <c r="J2323" s="126" t="s">
        <v>368</v>
      </c>
      <c r="K2323" s="127" t="s">
        <v>3875</v>
      </c>
      <c r="L2323" s="127"/>
      <c r="M2323" s="127">
        <v>618861</v>
      </c>
      <c r="N2323" s="108"/>
      <c r="O2323" s="19" t="s">
        <v>386</v>
      </c>
      <c r="P2323" s="19"/>
      <c r="Q2323" s="19"/>
    </row>
    <row r="2324" spans="1:17" ht="24.9" customHeight="1">
      <c r="A2324" s="20">
        <v>392</v>
      </c>
      <c r="B2324" s="20" t="s">
        <v>4348</v>
      </c>
      <c r="C2324" s="20"/>
      <c r="D2324" s="20" t="s">
        <v>8223</v>
      </c>
      <c r="E2324" s="19" t="str">
        <f>VLOOKUP(D2324,'لیست پرسنل'!$B$2:$E$1020,3,FALSE)</f>
        <v>گهر فرزانگان خرامه</v>
      </c>
      <c r="F2324" s="19" t="str">
        <f>VLOOKUP(D2324,'لیست پرسنل'!$B$2:$E$1020,4,FALSE)</f>
        <v>نظارت</v>
      </c>
      <c r="G2324" s="127">
        <f>VLOOKUP(D2324,'لیست پرسنل'!$B$2:$F$1020,2,FALSE)</f>
        <v>0</v>
      </c>
      <c r="H2324" s="128" t="s">
        <v>8226</v>
      </c>
      <c r="I2324" s="128"/>
      <c r="J2324" s="128" t="s">
        <v>368</v>
      </c>
      <c r="K2324" s="128" t="s">
        <v>2846</v>
      </c>
      <c r="L2324" s="128" t="s">
        <v>7630</v>
      </c>
      <c r="M2324" s="126">
        <v>634025</v>
      </c>
      <c r="N2324" s="109" t="s">
        <v>850</v>
      </c>
      <c r="O2324" s="20"/>
      <c r="P2324" s="20"/>
      <c r="Q2324" s="20"/>
    </row>
    <row r="2325" spans="1:17" ht="24.9" customHeight="1">
      <c r="A2325" s="20">
        <v>392</v>
      </c>
      <c r="B2325" s="20" t="s">
        <v>4348</v>
      </c>
      <c r="C2325" s="19"/>
      <c r="D2325" s="20" t="s">
        <v>387</v>
      </c>
      <c r="E2325" s="19" t="str">
        <f>VLOOKUP(D2325,'لیست پرسنل'!$B$2:$E$1020,3,FALSE)</f>
        <v>مشاور و کارفرما</v>
      </c>
      <c r="F2325" s="19" t="str">
        <f>VLOOKUP(D2325,'لیست پرسنل'!$B$2:$E$1020,4,FALSE)</f>
        <v>کارفرما</v>
      </c>
      <c r="G2325" s="127">
        <f>VLOOKUP(D2325,'لیست پرسنل'!$B$2:$F$1020,2,FALSE)</f>
        <v>0</v>
      </c>
      <c r="H2325" s="127" t="s">
        <v>3898</v>
      </c>
      <c r="I2325" s="126"/>
      <c r="J2325" s="126" t="s">
        <v>368</v>
      </c>
      <c r="K2325" s="127" t="s">
        <v>3875</v>
      </c>
      <c r="L2325" s="127"/>
      <c r="M2325" s="127">
        <v>618876</v>
      </c>
      <c r="N2325" s="108"/>
      <c r="O2325" s="19" t="s">
        <v>386</v>
      </c>
      <c r="P2325" s="19"/>
      <c r="Q2325" s="19"/>
    </row>
    <row r="2326" spans="1:17" ht="24.9" customHeight="1">
      <c r="A2326" s="20">
        <v>392</v>
      </c>
      <c r="B2326" s="20" t="s">
        <v>4348</v>
      </c>
      <c r="C2326" s="20"/>
      <c r="D2326" s="20" t="s">
        <v>8222</v>
      </c>
      <c r="E2326" s="19" t="str">
        <f>VLOOKUP(D2326,'لیست پرسنل'!$B$2:$E$1020,3,FALSE)</f>
        <v>گهر فرزانگان خرامه</v>
      </c>
      <c r="F2326" s="19" t="str">
        <f>VLOOKUP(D2326,'لیست پرسنل'!$B$2:$E$1020,4,FALSE)</f>
        <v>نظارت</v>
      </c>
      <c r="G2326" s="127">
        <f>VLOOKUP(D2326,'لیست پرسنل'!$B$2:$F$1020,2,FALSE)</f>
        <v>0</v>
      </c>
      <c r="H2326" s="128" t="s">
        <v>8226</v>
      </c>
      <c r="I2326" s="128"/>
      <c r="J2326" s="128" t="s">
        <v>368</v>
      </c>
      <c r="K2326" s="128" t="s">
        <v>2846</v>
      </c>
      <c r="L2326" s="128" t="s">
        <v>7635</v>
      </c>
      <c r="M2326" s="126">
        <v>634034</v>
      </c>
      <c r="N2326" s="109" t="s">
        <v>850</v>
      </c>
      <c r="O2326" s="20"/>
      <c r="P2326" s="20"/>
      <c r="Q2326" s="20"/>
    </row>
    <row r="2327" spans="1:17" ht="24.9" customHeight="1">
      <c r="A2327" s="20">
        <v>392</v>
      </c>
      <c r="B2327" s="20" t="s">
        <v>4348</v>
      </c>
      <c r="C2327" s="20"/>
      <c r="D2327" s="20" t="s">
        <v>3870</v>
      </c>
      <c r="E2327" s="19" t="str">
        <f>VLOOKUP(D2327,'لیست پرسنل'!$B$2:$E$1020,3,FALSE)</f>
        <v>مشاور و کارفرما</v>
      </c>
      <c r="F2327" s="19" t="str">
        <f>VLOOKUP(D2327,'لیست پرسنل'!$B$2:$E$1020,4,FALSE)</f>
        <v xml:space="preserve">هیئت مدیره کارفرما </v>
      </c>
      <c r="G2327" s="127">
        <f>VLOOKUP(D2327,'لیست پرسنل'!$B$2:$F$1020,2,FALSE)</f>
        <v>0</v>
      </c>
      <c r="H2327" s="127" t="s">
        <v>3898</v>
      </c>
      <c r="I2327" s="151"/>
      <c r="J2327" s="126" t="s">
        <v>368</v>
      </c>
      <c r="K2327" s="150" t="s">
        <v>2846</v>
      </c>
      <c r="L2327" s="150" t="s">
        <v>1495</v>
      </c>
      <c r="M2327" s="128">
        <v>625119</v>
      </c>
      <c r="N2327" s="108"/>
      <c r="O2327" s="20"/>
      <c r="P2327" s="20"/>
      <c r="Q2327" s="20"/>
    </row>
    <row r="2328" spans="1:17" ht="24.9" customHeight="1">
      <c r="A2328" s="20">
        <v>392</v>
      </c>
      <c r="B2328" s="20" t="s">
        <v>4348</v>
      </c>
      <c r="C2328" s="20"/>
      <c r="D2328" s="20" t="s">
        <v>4644</v>
      </c>
      <c r="E2328" s="19" t="str">
        <f>VLOOKUP(D2328,'لیست پرسنل'!$B$2:$E$1020,3,FALSE)</f>
        <v>مشاور و کارفرما</v>
      </c>
      <c r="F2328" s="19" t="str">
        <f>VLOOKUP(D2328,'لیست پرسنل'!$B$2:$E$1020,4,FALSE)</f>
        <v>حراست کارفرما</v>
      </c>
      <c r="G2328" s="127">
        <f>VLOOKUP(D2328,'لیست پرسنل'!$B$2:$F$1020,2,FALSE)</f>
        <v>0</v>
      </c>
      <c r="H2328" s="127" t="s">
        <v>3898</v>
      </c>
      <c r="I2328" s="128"/>
      <c r="J2328" s="126" t="s">
        <v>368</v>
      </c>
      <c r="K2328" s="135" t="s">
        <v>8248</v>
      </c>
      <c r="L2328" s="127" t="s">
        <v>2491</v>
      </c>
      <c r="M2328" s="128">
        <v>628903</v>
      </c>
      <c r="N2328" s="108"/>
      <c r="O2328" s="20" t="s">
        <v>705</v>
      </c>
      <c r="P2328" s="20"/>
      <c r="Q2328" s="20"/>
    </row>
    <row r="2329" spans="1:17" ht="24.9" customHeight="1">
      <c r="A2329" s="20">
        <v>392</v>
      </c>
      <c r="B2329" s="20" t="s">
        <v>4348</v>
      </c>
      <c r="C2329" s="20"/>
      <c r="D2329" s="20" t="s">
        <v>4644</v>
      </c>
      <c r="E2329" s="19" t="str">
        <f>VLOOKUP(D2329,'لیست پرسنل'!$B$2:$E$1020,3,FALSE)</f>
        <v>مشاور و کارفرما</v>
      </c>
      <c r="F2329" s="19" t="str">
        <f>VLOOKUP(D2329,'لیست پرسنل'!$B$2:$E$1020,4,FALSE)</f>
        <v>حراست کارفرما</v>
      </c>
      <c r="G2329" s="127">
        <f>VLOOKUP(D2329,'لیست پرسنل'!$B$2:$F$1020,2,FALSE)</f>
        <v>0</v>
      </c>
      <c r="H2329" s="128" t="s">
        <v>8226</v>
      </c>
      <c r="I2329" s="128"/>
      <c r="J2329" s="128" t="s">
        <v>368</v>
      </c>
      <c r="K2329" s="128" t="s">
        <v>2846</v>
      </c>
      <c r="L2329" s="128" t="s">
        <v>7634</v>
      </c>
      <c r="M2329" s="126">
        <v>634037</v>
      </c>
      <c r="N2329" s="109" t="s">
        <v>850</v>
      </c>
      <c r="O2329" s="20"/>
      <c r="P2329" s="20"/>
      <c r="Q2329" s="20"/>
    </row>
    <row r="2330" spans="1:17" ht="24.9" customHeight="1">
      <c r="A2330" s="20">
        <v>392</v>
      </c>
      <c r="B2330" s="20" t="s">
        <v>4348</v>
      </c>
      <c r="C2330" s="19"/>
      <c r="D2330" s="20" t="s">
        <v>850</v>
      </c>
      <c r="E2330" s="19" t="str">
        <f>VLOOKUP(D2330,'لیست پرسنل'!$B$2:$E$1020,3,FALSE)</f>
        <v>فکورصنعت</v>
      </c>
      <c r="F2330" s="19" t="str">
        <f>VLOOKUP(D2330,'لیست پرسنل'!$B$2:$E$1020,4,FALSE)</f>
        <v>مدیر سایت</v>
      </c>
      <c r="G2330" s="127" t="str">
        <f>VLOOKUP(D2330,'لیست پرسنل'!$B$2:$F$1020,2,FALSE)</f>
        <v>775</v>
      </c>
      <c r="H2330" s="127" t="s">
        <v>3849</v>
      </c>
      <c r="I2330" s="127"/>
      <c r="J2330" s="127" t="s">
        <v>3476</v>
      </c>
      <c r="K2330" s="128" t="s">
        <v>1038</v>
      </c>
      <c r="L2330" s="128"/>
      <c r="M2330" s="134">
        <v>618950</v>
      </c>
      <c r="N2330" s="109"/>
      <c r="O2330" s="20"/>
      <c r="P2330" s="20"/>
      <c r="Q2330" s="20"/>
    </row>
    <row r="2331" spans="1:17" ht="24.9" customHeight="1">
      <c r="A2331" s="20">
        <v>392</v>
      </c>
      <c r="B2331" s="20" t="s">
        <v>4348</v>
      </c>
      <c r="C2331" s="19"/>
      <c r="D2331" s="20" t="s">
        <v>850</v>
      </c>
      <c r="E2331" s="19" t="str">
        <f>VLOOKUP(D2331,'لیست پرسنل'!$B$2:$E$1020,3,FALSE)</f>
        <v>فکورصنعت</v>
      </c>
      <c r="F2331" s="19" t="str">
        <f>VLOOKUP(D2331,'لیست پرسنل'!$B$2:$E$1020,4,FALSE)</f>
        <v>مدیر سایت</v>
      </c>
      <c r="G2331" s="127" t="str">
        <f>VLOOKUP(D2331,'لیست پرسنل'!$B$2:$F$1020,2,FALSE)</f>
        <v>775</v>
      </c>
      <c r="H2331" s="127" t="s">
        <v>3848</v>
      </c>
      <c r="I2331" s="127"/>
      <c r="J2331" s="127" t="s">
        <v>3476</v>
      </c>
      <c r="K2331" s="128" t="s">
        <v>1039</v>
      </c>
      <c r="L2331" s="128"/>
      <c r="M2331" s="134">
        <v>618948</v>
      </c>
      <c r="N2331" s="109"/>
      <c r="O2331" s="20"/>
      <c r="P2331" s="20"/>
      <c r="Q2331" s="20"/>
    </row>
    <row r="2332" spans="1:17" ht="24.9" customHeight="1">
      <c r="A2332" s="20">
        <v>392</v>
      </c>
      <c r="B2332" s="20" t="s">
        <v>4348</v>
      </c>
      <c r="C2332" s="20"/>
      <c r="D2332" s="20" t="s">
        <v>850</v>
      </c>
      <c r="E2332" s="19" t="str">
        <f>VLOOKUP(D2332,'لیست پرسنل'!$B$2:$E$1020,3,FALSE)</f>
        <v>فکورصنعت</v>
      </c>
      <c r="F2332" s="19" t="str">
        <f>VLOOKUP(D2332,'لیست پرسنل'!$B$2:$E$1020,4,FALSE)</f>
        <v>مدیر سایت</v>
      </c>
      <c r="G2332" s="127" t="str">
        <f>VLOOKUP(D2332,'لیست پرسنل'!$B$2:$F$1020,2,FALSE)</f>
        <v>775</v>
      </c>
      <c r="H2332" s="127" t="s">
        <v>3899</v>
      </c>
      <c r="I2332" s="127"/>
      <c r="J2332" s="127" t="s">
        <v>3476</v>
      </c>
      <c r="K2332" s="127" t="s">
        <v>1447</v>
      </c>
      <c r="L2332" s="149" t="s">
        <v>1448</v>
      </c>
      <c r="M2332" s="135">
        <v>631563</v>
      </c>
      <c r="N2332" s="108"/>
      <c r="O2332" s="20" t="s">
        <v>5536</v>
      </c>
      <c r="P2332" s="20"/>
      <c r="Q2332" s="20"/>
    </row>
    <row r="2333" spans="1:17" ht="24.9" customHeight="1">
      <c r="A2333" s="20">
        <v>392</v>
      </c>
      <c r="B2333" s="20" t="s">
        <v>4348</v>
      </c>
      <c r="C2333" s="19"/>
      <c r="D2333" s="20" t="s">
        <v>850</v>
      </c>
      <c r="E2333" s="19" t="str">
        <f>VLOOKUP(D2333,'لیست پرسنل'!$B$2:$E$1020,3,FALSE)</f>
        <v>فکورصنعت</v>
      </c>
      <c r="F2333" s="19" t="str">
        <f>VLOOKUP(D2333,'لیست پرسنل'!$B$2:$E$1020,4,FALSE)</f>
        <v>مدیر سایت</v>
      </c>
      <c r="G2333" s="127" t="str">
        <f>VLOOKUP(D2333,'لیست پرسنل'!$B$2:$F$1020,2,FALSE)</f>
        <v>775</v>
      </c>
      <c r="H2333" s="127" t="s">
        <v>3851</v>
      </c>
      <c r="I2333" s="127"/>
      <c r="J2333" s="127" t="s">
        <v>3483</v>
      </c>
      <c r="K2333" s="128" t="s">
        <v>3262</v>
      </c>
      <c r="L2333" s="128"/>
      <c r="M2333" s="134">
        <v>619963</v>
      </c>
      <c r="N2333" s="109"/>
      <c r="O2333" s="20"/>
      <c r="P2333" s="20"/>
      <c r="Q2333" s="20"/>
    </row>
    <row r="2334" spans="1:17" ht="24.9" customHeight="1">
      <c r="A2334" s="20">
        <v>392</v>
      </c>
      <c r="B2334" s="20" t="s">
        <v>4348</v>
      </c>
      <c r="C2334" s="19"/>
      <c r="D2334" s="20" t="s">
        <v>850</v>
      </c>
      <c r="E2334" s="19" t="str">
        <f>VLOOKUP(D2334,'لیست پرسنل'!$B$2:$E$1020,3,FALSE)</f>
        <v>فکورصنعت</v>
      </c>
      <c r="F2334" s="19" t="str">
        <f>VLOOKUP(D2334,'لیست پرسنل'!$B$2:$E$1020,4,FALSE)</f>
        <v>مدیر سایت</v>
      </c>
      <c r="G2334" s="127" t="str">
        <f>VLOOKUP(D2334,'لیست پرسنل'!$B$2:$F$1020,2,FALSE)</f>
        <v>775</v>
      </c>
      <c r="H2334" s="127" t="s">
        <v>3851</v>
      </c>
      <c r="I2334" s="127"/>
      <c r="J2334" s="127" t="s">
        <v>3476</v>
      </c>
      <c r="K2334" s="130" t="s">
        <v>3263</v>
      </c>
      <c r="L2334" s="128"/>
      <c r="M2334" s="127">
        <v>620512</v>
      </c>
      <c r="N2334" s="109"/>
      <c r="O2334" s="20"/>
      <c r="P2334" s="20"/>
      <c r="Q2334" s="20"/>
    </row>
    <row r="2335" spans="1:17" ht="24.9" customHeight="1">
      <c r="A2335" s="20">
        <v>392</v>
      </c>
      <c r="B2335" s="20" t="s">
        <v>4348</v>
      </c>
      <c r="C2335" s="19"/>
      <c r="D2335" s="20" t="s">
        <v>850</v>
      </c>
      <c r="E2335" s="19" t="str">
        <f>VLOOKUP(D2335,'لیست پرسنل'!$B$2:$E$1020,3,FALSE)</f>
        <v>فکورصنعت</v>
      </c>
      <c r="F2335" s="19" t="str">
        <f>VLOOKUP(D2335,'لیست پرسنل'!$B$2:$E$1020,4,FALSE)</f>
        <v>مدیر سایت</v>
      </c>
      <c r="G2335" s="127" t="str">
        <f>VLOOKUP(D2335,'لیست پرسنل'!$B$2:$F$1020,2,FALSE)</f>
        <v>775</v>
      </c>
      <c r="H2335" s="127" t="s">
        <v>3851</v>
      </c>
      <c r="I2335" s="127"/>
      <c r="J2335" s="127" t="s">
        <v>3476</v>
      </c>
      <c r="K2335" s="130" t="s">
        <v>3263</v>
      </c>
      <c r="L2335" s="128"/>
      <c r="M2335" s="127">
        <v>620513</v>
      </c>
      <c r="N2335" s="109"/>
      <c r="O2335" s="20"/>
      <c r="P2335" s="20"/>
      <c r="Q2335" s="20"/>
    </row>
    <row r="2336" spans="1:17" ht="24.9" customHeight="1">
      <c r="A2336" s="20">
        <v>392</v>
      </c>
      <c r="B2336" s="20" t="s">
        <v>4348</v>
      </c>
      <c r="C2336" s="19"/>
      <c r="D2336" s="20" t="s">
        <v>850</v>
      </c>
      <c r="E2336" s="19" t="str">
        <f>VLOOKUP(D2336,'لیست پرسنل'!$B$2:$E$1020,3,FALSE)</f>
        <v>فکورصنعت</v>
      </c>
      <c r="F2336" s="19" t="str">
        <f>VLOOKUP(D2336,'لیست پرسنل'!$B$2:$E$1020,4,FALSE)</f>
        <v>مدیر سایت</v>
      </c>
      <c r="G2336" s="127" t="str">
        <f>VLOOKUP(D2336,'لیست پرسنل'!$B$2:$F$1020,2,FALSE)</f>
        <v>775</v>
      </c>
      <c r="H2336" s="127" t="s">
        <v>3851</v>
      </c>
      <c r="I2336" s="127"/>
      <c r="J2336" s="127" t="s">
        <v>3476</v>
      </c>
      <c r="K2336" s="130" t="s">
        <v>3263</v>
      </c>
      <c r="L2336" s="128"/>
      <c r="M2336" s="127">
        <v>620514</v>
      </c>
      <c r="N2336" s="109"/>
      <c r="O2336" s="20"/>
      <c r="P2336" s="20"/>
      <c r="Q2336" s="20"/>
    </row>
    <row r="2337" spans="1:17" ht="24.9" customHeight="1">
      <c r="A2337" s="20">
        <v>392</v>
      </c>
      <c r="B2337" s="20" t="s">
        <v>4348</v>
      </c>
      <c r="C2337" s="20"/>
      <c r="D2337" s="20" t="s">
        <v>3872</v>
      </c>
      <c r="E2337" s="19" t="str">
        <f>VLOOKUP(D2337,'لیست پرسنل'!$B$2:$E$1020,3,FALSE)</f>
        <v>مشاور و کارفرما</v>
      </c>
      <c r="F2337" s="19" t="str">
        <f>VLOOKUP(D2337,'لیست پرسنل'!$B$2:$E$1020,4,FALSE)</f>
        <v>آبدارخانه مشاور کارفرما</v>
      </c>
      <c r="G2337" s="127">
        <f>VLOOKUP(D2337,'لیست پرسنل'!$B$2:$F$1020,2,FALSE)</f>
        <v>0</v>
      </c>
      <c r="H2337" s="127" t="s">
        <v>3898</v>
      </c>
      <c r="I2337" s="151"/>
      <c r="J2337" s="126" t="s">
        <v>368</v>
      </c>
      <c r="K2337" s="150" t="s">
        <v>2846</v>
      </c>
      <c r="L2337" s="150" t="s">
        <v>1499</v>
      </c>
      <c r="M2337" s="128">
        <v>625123</v>
      </c>
      <c r="N2337" s="108"/>
      <c r="O2337" s="20"/>
      <c r="P2337" s="20"/>
      <c r="Q2337" s="20"/>
    </row>
    <row r="2338" spans="1:17" ht="24.9" customHeight="1">
      <c r="A2338" s="20">
        <v>392</v>
      </c>
      <c r="B2338" s="20" t="s">
        <v>4348</v>
      </c>
      <c r="C2338" s="20"/>
      <c r="D2338" s="20" t="s">
        <v>8227</v>
      </c>
      <c r="E2338" s="19" t="str">
        <f>VLOOKUP(D2338,'لیست پرسنل'!$B$2:$E$1020,3,FALSE)</f>
        <v>گهر فرزانگان خرامه</v>
      </c>
      <c r="F2338" s="19" t="str">
        <f>VLOOKUP(D2338,'لیست پرسنل'!$B$2:$E$1020,4,FALSE)</f>
        <v>نظارت</v>
      </c>
      <c r="G2338" s="127">
        <f>VLOOKUP(D2338,'لیست پرسنل'!$B$2:$F$1020,2,FALSE)</f>
        <v>0</v>
      </c>
      <c r="H2338" s="126" t="s">
        <v>8226</v>
      </c>
      <c r="I2338" s="128"/>
      <c r="J2338" s="126" t="s">
        <v>368</v>
      </c>
      <c r="K2338" s="135" t="s">
        <v>8248</v>
      </c>
      <c r="L2338" s="127" t="s">
        <v>2347</v>
      </c>
      <c r="M2338" s="128">
        <v>628753</v>
      </c>
      <c r="N2338" s="108" t="s">
        <v>850</v>
      </c>
      <c r="O2338" s="20" t="s">
        <v>705</v>
      </c>
      <c r="P2338" s="20"/>
      <c r="Q2338" s="20"/>
    </row>
    <row r="2339" spans="1:17" ht="24.9" customHeight="1">
      <c r="A2339" s="20">
        <v>392</v>
      </c>
      <c r="B2339" s="20" t="s">
        <v>4348</v>
      </c>
      <c r="C2339" s="19"/>
      <c r="D2339" s="20" t="s">
        <v>388</v>
      </c>
      <c r="E2339" s="19" t="str">
        <f>VLOOKUP(D2339,'لیست پرسنل'!$B$2:$E$1020,3,FALSE)</f>
        <v>مشاور و کارفرما</v>
      </c>
      <c r="F2339" s="19" t="str">
        <f>VLOOKUP(D2339,'لیست پرسنل'!$B$2:$E$1020,4,FALSE)</f>
        <v>کارفرما</v>
      </c>
      <c r="G2339" s="127">
        <f>VLOOKUP(D2339,'لیست پرسنل'!$B$2:$F$1020,2,FALSE)</f>
        <v>0</v>
      </c>
      <c r="H2339" s="127" t="s">
        <v>3898</v>
      </c>
      <c r="I2339" s="126"/>
      <c r="J2339" s="126" t="s">
        <v>368</v>
      </c>
      <c r="K2339" s="127" t="s">
        <v>3875</v>
      </c>
      <c r="L2339" s="127"/>
      <c r="M2339" s="127">
        <v>618868</v>
      </c>
      <c r="N2339" s="108"/>
      <c r="O2339" s="19" t="s">
        <v>386</v>
      </c>
      <c r="P2339" s="19"/>
      <c r="Q2339" s="19"/>
    </row>
    <row r="2340" spans="1:17" ht="24.9" customHeight="1">
      <c r="A2340" s="20">
        <v>392</v>
      </c>
      <c r="B2340" s="20" t="s">
        <v>4351</v>
      </c>
      <c r="C2340" s="20">
        <v>60</v>
      </c>
      <c r="D2340" s="20" t="s">
        <v>6787</v>
      </c>
      <c r="E2340" s="19" t="str">
        <f>VLOOKUP(D2340,'لیست پرسنل'!$B$2:$E$1020,3,FALSE)</f>
        <v>آرمين نويد آپادانا</v>
      </c>
      <c r="F2340" s="19" t="str">
        <f>VLOOKUP(D2340,'لیست پرسنل'!$B$2:$E$1020,4,FALSE)</f>
        <v>سرپرست حراست</v>
      </c>
      <c r="G2340" s="127">
        <f>VLOOKUP(D2340,'لیست پرسنل'!$B$2:$F$1020,2,FALSE)</f>
        <v>100162</v>
      </c>
      <c r="H2340" s="127" t="s">
        <v>8518</v>
      </c>
      <c r="I2340" s="127" t="s">
        <v>8486</v>
      </c>
      <c r="J2340" s="128" t="s">
        <v>737</v>
      </c>
      <c r="K2340" s="127" t="s">
        <v>8521</v>
      </c>
      <c r="L2340" s="127" t="s">
        <v>8522</v>
      </c>
      <c r="M2340" s="127">
        <v>637103</v>
      </c>
      <c r="N2340" s="109" t="s">
        <v>850</v>
      </c>
      <c r="O2340" s="20" t="s">
        <v>8529</v>
      </c>
      <c r="P2340" s="20"/>
      <c r="Q2340" s="20"/>
    </row>
    <row r="2341" spans="1:17" ht="24.9" customHeight="1">
      <c r="A2341" s="20">
        <v>392</v>
      </c>
      <c r="B2341" s="20" t="s">
        <v>4351</v>
      </c>
      <c r="C2341" s="20">
        <v>60</v>
      </c>
      <c r="D2341" s="20" t="s">
        <v>6787</v>
      </c>
      <c r="E2341" s="19" t="str">
        <f>VLOOKUP(D2341,'لیست پرسنل'!$B$2:$E$1020,3,FALSE)</f>
        <v>آرمين نويد آپادانا</v>
      </c>
      <c r="F2341" s="19" t="str">
        <f>VLOOKUP(D2341,'لیست پرسنل'!$B$2:$E$1020,4,FALSE)</f>
        <v>سرپرست حراست</v>
      </c>
      <c r="G2341" s="127">
        <f>VLOOKUP(D2341,'لیست پرسنل'!$B$2:$F$1020,2,FALSE)</f>
        <v>100162</v>
      </c>
      <c r="H2341" s="127" t="s">
        <v>8518</v>
      </c>
      <c r="I2341" s="127" t="s">
        <v>8486</v>
      </c>
      <c r="J2341" s="128" t="s">
        <v>571</v>
      </c>
      <c r="K2341" s="127" t="s">
        <v>8523</v>
      </c>
      <c r="L2341" s="127" t="s">
        <v>8486</v>
      </c>
      <c r="M2341" s="127">
        <v>637101</v>
      </c>
      <c r="N2341" s="109" t="s">
        <v>850</v>
      </c>
      <c r="O2341" s="20" t="s">
        <v>8529</v>
      </c>
      <c r="P2341" s="20"/>
      <c r="Q2341" s="20"/>
    </row>
    <row r="2342" spans="1:17" ht="24.9" customHeight="1">
      <c r="A2342" s="185">
        <v>392</v>
      </c>
      <c r="B2342" s="185" t="s">
        <v>4351</v>
      </c>
      <c r="C2342" s="185">
        <v>60</v>
      </c>
      <c r="D2342" s="67" t="s">
        <v>6787</v>
      </c>
      <c r="E2342" s="186" t="str">
        <f>VLOOKUP(D2342,'لیست پرسنل'!$B$2:$E$1020,3,FALSE)</f>
        <v>آرمين نويد آپادانا</v>
      </c>
      <c r="F2342" s="186" t="str">
        <f>VLOOKUP(D2342,'لیست پرسنل'!$B$2:$E$1020,4,FALSE)</f>
        <v>سرپرست حراست</v>
      </c>
      <c r="G2342" s="187">
        <f>VLOOKUP(D2342,'لیست پرسنل'!$B$2:$F$1020,2,FALSE)</f>
        <v>100162</v>
      </c>
      <c r="H2342" s="187" t="s">
        <v>8518</v>
      </c>
      <c r="I2342" s="190" t="s">
        <v>8486</v>
      </c>
      <c r="J2342" s="188" t="s">
        <v>5618</v>
      </c>
      <c r="K2342" s="187" t="s">
        <v>8519</v>
      </c>
      <c r="L2342" s="187" t="s">
        <v>8520</v>
      </c>
      <c r="M2342" s="190">
        <v>637102</v>
      </c>
      <c r="N2342" s="189" t="s">
        <v>850</v>
      </c>
      <c r="O2342" s="185" t="s">
        <v>8529</v>
      </c>
      <c r="P2342" s="185"/>
      <c r="Q2342" s="185"/>
    </row>
    <row r="2343" spans="1:17" ht="24.9" customHeight="1">
      <c r="A2343" s="20">
        <v>392</v>
      </c>
      <c r="B2343" s="20" t="s">
        <v>4360</v>
      </c>
      <c r="C2343" s="19"/>
      <c r="D2343" s="19" t="s">
        <v>48</v>
      </c>
      <c r="E2343" s="19" t="str">
        <f>VLOOKUP(D2343,'لیست پرسنل'!$B$2:$E$1020,3,FALSE)</f>
        <v>فکورصنعت</v>
      </c>
      <c r="F2343" s="19" t="str">
        <f>VLOOKUP(D2343,'لیست پرسنل'!$B$2:$E$1020,4,FALSE)</f>
        <v>سرپرست آی تی</v>
      </c>
      <c r="G2343" s="127">
        <f>VLOOKUP(D2343,'لیست پرسنل'!$B$2:$F$1020,2,FALSE)</f>
        <v>2210</v>
      </c>
      <c r="H2343" s="126" t="s">
        <v>3846</v>
      </c>
      <c r="I2343" s="127"/>
      <c r="J2343" s="127" t="s">
        <v>3285</v>
      </c>
      <c r="K2343" s="128" t="s">
        <v>861</v>
      </c>
      <c r="L2343" s="128"/>
      <c r="M2343" s="144">
        <v>621063</v>
      </c>
      <c r="N2343" s="109"/>
      <c r="O2343" s="20" t="s">
        <v>3276</v>
      </c>
      <c r="P2343" s="20"/>
      <c r="Q2343" s="20"/>
    </row>
    <row r="2344" spans="1:17" ht="24.9" customHeight="1">
      <c r="A2344" s="20">
        <v>392</v>
      </c>
      <c r="B2344" s="20" t="s">
        <v>4360</v>
      </c>
      <c r="C2344" s="19"/>
      <c r="D2344" s="19" t="s">
        <v>48</v>
      </c>
      <c r="E2344" s="19" t="str">
        <f>VLOOKUP(D2344,'لیست پرسنل'!$B$2:$E$1020,3,FALSE)</f>
        <v>فکورصنعت</v>
      </c>
      <c r="F2344" s="19" t="str">
        <f>VLOOKUP(D2344,'لیست پرسنل'!$B$2:$E$1020,4,FALSE)</f>
        <v>سرپرست آی تی</v>
      </c>
      <c r="G2344" s="127">
        <f>VLOOKUP(D2344,'لیست پرسنل'!$B$2:$F$1020,2,FALSE)</f>
        <v>2210</v>
      </c>
      <c r="H2344" s="126" t="s">
        <v>3846</v>
      </c>
      <c r="I2344" s="127"/>
      <c r="J2344" s="127" t="s">
        <v>2886</v>
      </c>
      <c r="K2344" s="128" t="s">
        <v>862</v>
      </c>
      <c r="L2344" s="128"/>
      <c r="M2344" s="134" t="s">
        <v>291</v>
      </c>
      <c r="N2344" s="109"/>
      <c r="O2344" s="20"/>
      <c r="P2344" s="20"/>
      <c r="Q2344" s="20"/>
    </row>
    <row r="2345" spans="1:17" ht="24.9" customHeight="1">
      <c r="A2345" s="20">
        <v>392</v>
      </c>
      <c r="B2345" s="20" t="s">
        <v>4360</v>
      </c>
      <c r="C2345" s="19"/>
      <c r="D2345" s="19" t="s">
        <v>48</v>
      </c>
      <c r="E2345" s="19" t="str">
        <f>VLOOKUP(D2345,'لیست پرسنل'!$B$2:$E$1020,3,FALSE)</f>
        <v>فکورصنعت</v>
      </c>
      <c r="F2345" s="19" t="str">
        <f>VLOOKUP(D2345,'لیست پرسنل'!$B$2:$E$1020,4,FALSE)</f>
        <v>سرپرست آی تی</v>
      </c>
      <c r="G2345" s="127">
        <f>VLOOKUP(D2345,'لیست پرسنل'!$B$2:$F$1020,2,FALSE)</f>
        <v>2210</v>
      </c>
      <c r="H2345" s="126" t="s">
        <v>3846</v>
      </c>
      <c r="I2345" s="127"/>
      <c r="J2345" s="127" t="s">
        <v>3476</v>
      </c>
      <c r="K2345" s="128" t="s">
        <v>860</v>
      </c>
      <c r="L2345" s="128"/>
      <c r="M2345" s="128">
        <v>622577</v>
      </c>
      <c r="N2345" s="109"/>
      <c r="O2345" s="20"/>
      <c r="P2345" s="20"/>
      <c r="Q2345" s="20"/>
    </row>
    <row r="2346" spans="1:17" ht="24.9" customHeight="1">
      <c r="A2346" s="20">
        <v>392</v>
      </c>
      <c r="B2346" s="20" t="s">
        <v>4360</v>
      </c>
      <c r="C2346" s="20"/>
      <c r="D2346" s="20" t="s">
        <v>48</v>
      </c>
      <c r="E2346" s="19" t="str">
        <f>VLOOKUP(D2346,'لیست پرسنل'!$B$2:$E$1020,3,FALSE)</f>
        <v>فکورصنعت</v>
      </c>
      <c r="F2346" s="19" t="str">
        <f>VLOOKUP(D2346,'لیست پرسنل'!$B$2:$E$1020,4,FALSE)</f>
        <v>سرپرست آی تی</v>
      </c>
      <c r="G2346" s="127">
        <f>VLOOKUP(D2346,'لیست پرسنل'!$B$2:$F$1020,2,FALSE)</f>
        <v>2210</v>
      </c>
      <c r="H2346" s="128" t="s">
        <v>3846</v>
      </c>
      <c r="I2346" s="128"/>
      <c r="J2346" s="128" t="s">
        <v>3476</v>
      </c>
      <c r="K2346" s="128" t="s">
        <v>731</v>
      </c>
      <c r="L2346" s="128" t="s">
        <v>3229</v>
      </c>
      <c r="M2346" s="126">
        <v>622822</v>
      </c>
      <c r="N2346" s="108"/>
      <c r="O2346" s="20"/>
      <c r="P2346" s="20"/>
      <c r="Q2346" s="20"/>
    </row>
    <row r="2347" spans="1:17" ht="24.9" customHeight="1">
      <c r="A2347" s="20">
        <v>392</v>
      </c>
      <c r="B2347" s="20" t="s">
        <v>4360</v>
      </c>
      <c r="C2347" s="19"/>
      <c r="D2347" s="19" t="s">
        <v>48</v>
      </c>
      <c r="E2347" s="19" t="str">
        <f>VLOOKUP(D2347,'لیست پرسنل'!$B$2:$E$1020,3,FALSE)</f>
        <v>فکورصنعت</v>
      </c>
      <c r="F2347" s="19" t="str">
        <f>VLOOKUP(D2347,'لیست پرسنل'!$B$2:$E$1020,4,FALSE)</f>
        <v>سرپرست آی تی</v>
      </c>
      <c r="G2347" s="127">
        <f>VLOOKUP(D2347,'لیست پرسنل'!$B$2:$F$1020,2,FALSE)</f>
        <v>2210</v>
      </c>
      <c r="H2347" s="126" t="s">
        <v>3846</v>
      </c>
      <c r="I2347" s="127"/>
      <c r="J2347" s="127" t="s">
        <v>3476</v>
      </c>
      <c r="K2347" s="128" t="s">
        <v>863</v>
      </c>
      <c r="L2347" s="128" t="s">
        <v>7383</v>
      </c>
      <c r="M2347" s="134" t="s">
        <v>291</v>
      </c>
      <c r="N2347" s="109"/>
      <c r="O2347" s="20"/>
      <c r="P2347" s="20"/>
      <c r="Q2347" s="20"/>
    </row>
    <row r="2348" spans="1:17" ht="24.9" customHeight="1">
      <c r="A2348" s="20">
        <v>392</v>
      </c>
      <c r="B2348" s="20" t="s">
        <v>4360</v>
      </c>
      <c r="C2348" s="19"/>
      <c r="D2348" s="20" t="s">
        <v>850</v>
      </c>
      <c r="E2348" s="19" t="str">
        <f>VLOOKUP(D2348,'لیست پرسنل'!$B$2:$E$1020,3,FALSE)</f>
        <v>فکورصنعت</v>
      </c>
      <c r="F2348" s="19" t="str">
        <f>VLOOKUP(D2348,'لیست پرسنل'!$B$2:$E$1020,4,FALSE)</f>
        <v>مدیر سایت</v>
      </c>
      <c r="G2348" s="127" t="str">
        <f>VLOOKUP(D2348,'لیست پرسنل'!$B$2:$F$1020,2,FALSE)</f>
        <v>775</v>
      </c>
      <c r="H2348" s="126" t="s">
        <v>3846</v>
      </c>
      <c r="I2348" s="127"/>
      <c r="J2348" s="127" t="s">
        <v>907</v>
      </c>
      <c r="K2348" s="128" t="s">
        <v>865</v>
      </c>
      <c r="L2348" s="128"/>
      <c r="M2348" s="127">
        <v>301735</v>
      </c>
      <c r="N2348" s="109"/>
      <c r="O2348" s="20"/>
      <c r="P2348" s="20"/>
      <c r="Q2348" s="20"/>
    </row>
    <row r="2349" spans="1:17" ht="24.9" customHeight="1">
      <c r="A2349" s="185">
        <v>392</v>
      </c>
      <c r="B2349" s="20"/>
      <c r="C2349" s="20"/>
      <c r="D2349" s="20" t="s">
        <v>3800</v>
      </c>
      <c r="E2349" s="19" t="str">
        <f>VLOOKUP(D2349,'لیست پرسنل'!$B$2:$E$1020,3,FALSE)</f>
        <v>فکورصنعت</v>
      </c>
      <c r="F2349" s="19" t="str">
        <f>VLOOKUP(D2349,'لیست پرسنل'!$B$2:$E$1020,4,FALSE)</f>
        <v>سرپرست انبار</v>
      </c>
      <c r="G2349" s="127" t="str">
        <f>VLOOKUP(D2349,'لیست پرسنل'!$B$2:$F$1020,2,FALSE)</f>
        <v>3754</v>
      </c>
      <c r="H2349" s="127" t="s">
        <v>8524</v>
      </c>
      <c r="I2349" s="127"/>
      <c r="J2349" s="128" t="s">
        <v>8525</v>
      </c>
      <c r="K2349" s="127" t="s">
        <v>8528</v>
      </c>
      <c r="L2349" s="127">
        <v>1120484</v>
      </c>
      <c r="M2349" s="127">
        <v>636528</v>
      </c>
      <c r="N2349" s="109"/>
      <c r="O2349" s="20" t="s">
        <v>8529</v>
      </c>
      <c r="P2349" s="20"/>
      <c r="Q2349" s="20"/>
    </row>
    <row r="2350" spans="1:17" ht="24.9" customHeight="1">
      <c r="A2350" s="20">
        <v>394</v>
      </c>
      <c r="B2350" s="20" t="s">
        <v>4376</v>
      </c>
      <c r="C2350" s="20">
        <v>7</v>
      </c>
      <c r="D2350" s="79" t="s">
        <v>127</v>
      </c>
      <c r="E2350" s="19" t="str">
        <f>VLOOKUP(D2350,'لیست پرسنل'!$B$2:$E$1020,3,FALSE)</f>
        <v>فکورصنعت</v>
      </c>
      <c r="F2350" s="19" t="str">
        <f>VLOOKUP(D2350,'لیست پرسنل'!$B$2:$E$1020,4,FALSE)</f>
        <v>انبار</v>
      </c>
      <c r="G2350" s="127">
        <f>VLOOKUP(D2350,'لیست پرسنل'!$B$2:$F$1020,2,FALSE)</f>
        <v>1348</v>
      </c>
      <c r="H2350" s="128" t="s">
        <v>3510</v>
      </c>
      <c r="I2350" s="159" t="s">
        <v>133</v>
      </c>
      <c r="J2350" s="128" t="s">
        <v>737</v>
      </c>
      <c r="K2350" s="128" t="s">
        <v>141</v>
      </c>
      <c r="L2350" s="127" t="s">
        <v>142</v>
      </c>
      <c r="M2350" s="127">
        <v>618517</v>
      </c>
      <c r="N2350" s="109"/>
      <c r="O2350" s="20"/>
      <c r="P2350" s="20"/>
      <c r="Q2350" s="20"/>
    </row>
    <row r="2351" spans="1:17" ht="24.9" customHeight="1">
      <c r="A2351" s="20">
        <v>394</v>
      </c>
      <c r="B2351" s="20" t="s">
        <v>4376</v>
      </c>
      <c r="C2351" s="20">
        <v>8</v>
      </c>
      <c r="D2351" s="83" t="s">
        <v>128</v>
      </c>
      <c r="E2351" s="19" t="str">
        <f>VLOOKUP(D2351,'لیست پرسنل'!$B$2:$E$1020,3,FALSE)</f>
        <v>فکورصنعت</v>
      </c>
      <c r="F2351" s="19" t="str">
        <f>VLOOKUP(D2351,'لیست پرسنل'!$B$2:$E$1020,4,FALSE)</f>
        <v>مالی - اداری</v>
      </c>
      <c r="G2351" s="127">
        <f>VLOOKUP(D2351,'لیست پرسنل'!$B$2:$F$1020,2,FALSE)</f>
        <v>1573</v>
      </c>
      <c r="H2351" s="128" t="s">
        <v>3510</v>
      </c>
      <c r="I2351" s="159" t="s">
        <v>134</v>
      </c>
      <c r="J2351" s="126" t="s">
        <v>368</v>
      </c>
      <c r="K2351" s="128" t="s">
        <v>693</v>
      </c>
      <c r="L2351" s="167"/>
      <c r="M2351" s="127">
        <v>622814</v>
      </c>
      <c r="N2351" s="109"/>
      <c r="O2351" s="20"/>
      <c r="P2351" s="20"/>
      <c r="Q2351" s="20"/>
    </row>
    <row r="2352" spans="1:17" ht="24.9" customHeight="1">
      <c r="A2352" s="20">
        <v>394</v>
      </c>
      <c r="B2352" s="20" t="s">
        <v>4376</v>
      </c>
      <c r="C2352" s="20">
        <v>8</v>
      </c>
      <c r="D2352" s="83" t="s">
        <v>128</v>
      </c>
      <c r="E2352" s="19" t="str">
        <f>VLOOKUP(D2352,'لیست پرسنل'!$B$2:$E$1020,3,FALSE)</f>
        <v>فکورصنعت</v>
      </c>
      <c r="F2352" s="19" t="str">
        <f>VLOOKUP(D2352,'لیست پرسنل'!$B$2:$E$1020,4,FALSE)</f>
        <v>مالی - اداری</v>
      </c>
      <c r="G2352" s="127">
        <f>VLOOKUP(D2352,'لیست پرسنل'!$B$2:$F$1020,2,FALSE)</f>
        <v>1573</v>
      </c>
      <c r="H2352" s="128" t="s">
        <v>3510</v>
      </c>
      <c r="I2352" s="159" t="s">
        <v>134</v>
      </c>
      <c r="J2352" s="128" t="s">
        <v>571</v>
      </c>
      <c r="K2352" s="128" t="s">
        <v>2054</v>
      </c>
      <c r="L2352" s="151"/>
      <c r="M2352" s="127">
        <v>608425</v>
      </c>
      <c r="N2352" s="109" t="s">
        <v>3523</v>
      </c>
      <c r="O2352" s="20"/>
      <c r="P2352" s="20"/>
      <c r="Q2352" s="20"/>
    </row>
    <row r="2353" spans="1:17" ht="24.9" customHeight="1">
      <c r="A2353" s="20">
        <v>394</v>
      </c>
      <c r="B2353" s="20" t="s">
        <v>4376</v>
      </c>
      <c r="C2353" s="20">
        <v>8</v>
      </c>
      <c r="D2353" s="83" t="s">
        <v>128</v>
      </c>
      <c r="E2353" s="19" t="str">
        <f>VLOOKUP(D2353,'لیست پرسنل'!$B$2:$E$1020,3,FALSE)</f>
        <v>فکورصنعت</v>
      </c>
      <c r="F2353" s="19" t="str">
        <f>VLOOKUP(D2353,'لیست پرسنل'!$B$2:$E$1020,4,FALSE)</f>
        <v>مالی - اداری</v>
      </c>
      <c r="G2353" s="127">
        <f>VLOOKUP(D2353,'لیست پرسنل'!$B$2:$F$1020,2,FALSE)</f>
        <v>1573</v>
      </c>
      <c r="H2353" s="128" t="s">
        <v>3510</v>
      </c>
      <c r="I2353" s="159" t="s">
        <v>134</v>
      </c>
      <c r="J2353" s="128" t="s">
        <v>2686</v>
      </c>
      <c r="K2353" s="128" t="s">
        <v>320</v>
      </c>
      <c r="L2353" s="151" t="s">
        <v>2187</v>
      </c>
      <c r="M2353" s="127">
        <v>605982</v>
      </c>
      <c r="N2353" s="109"/>
      <c r="O2353" s="20"/>
      <c r="P2353" s="20"/>
      <c r="Q2353" s="20"/>
    </row>
    <row r="2354" spans="1:17" ht="24.9" customHeight="1">
      <c r="A2354" s="20">
        <v>394</v>
      </c>
      <c r="B2354" s="20" t="s">
        <v>4376</v>
      </c>
      <c r="C2354" s="20">
        <v>21</v>
      </c>
      <c r="D2354" s="79" t="s">
        <v>3523</v>
      </c>
      <c r="E2354" s="19" t="str">
        <f>VLOOKUP(D2354,'لیست پرسنل'!$B$2:$E$1020,3,FALSE)</f>
        <v>فکورصنعت</v>
      </c>
      <c r="F2354" s="19" t="str">
        <f>VLOOKUP(D2354,'لیست پرسنل'!$B$2:$E$1020,4,FALSE)</f>
        <v>مکانیک</v>
      </c>
      <c r="G2354" s="127">
        <f>VLOOKUP(D2354,'لیست پرسنل'!$B$2:$F$1020,2,FALSE)</f>
        <v>4000515</v>
      </c>
      <c r="H2354" s="128" t="s">
        <v>3510</v>
      </c>
      <c r="I2354" s="128" t="s">
        <v>709</v>
      </c>
      <c r="J2354" s="126" t="s">
        <v>368</v>
      </c>
      <c r="K2354" s="128" t="s">
        <v>682</v>
      </c>
      <c r="L2354" s="127"/>
      <c r="M2354" s="127">
        <v>622815</v>
      </c>
      <c r="N2354" s="109"/>
      <c r="O2354" s="20"/>
      <c r="P2354" s="20"/>
      <c r="Q2354" s="20"/>
    </row>
    <row r="2355" spans="1:17" ht="24.9" customHeight="1">
      <c r="A2355" s="20">
        <v>394</v>
      </c>
      <c r="B2355" s="20" t="s">
        <v>4376</v>
      </c>
      <c r="C2355" s="20">
        <v>21</v>
      </c>
      <c r="D2355" s="79" t="s">
        <v>3523</v>
      </c>
      <c r="E2355" s="19" t="str">
        <f>VLOOKUP(D2355,'لیست پرسنل'!$B$2:$E$1020,3,FALSE)</f>
        <v>فکورصنعت</v>
      </c>
      <c r="F2355" s="19" t="str">
        <f>VLOOKUP(D2355,'لیست پرسنل'!$B$2:$E$1020,4,FALSE)</f>
        <v>مکانیک</v>
      </c>
      <c r="G2355" s="127">
        <f>VLOOKUP(D2355,'لیست پرسنل'!$B$2:$F$1020,2,FALSE)</f>
        <v>4000515</v>
      </c>
      <c r="H2355" s="128" t="s">
        <v>3510</v>
      </c>
      <c r="I2355" s="128" t="s">
        <v>709</v>
      </c>
      <c r="J2355" s="128" t="s">
        <v>571</v>
      </c>
      <c r="K2355" s="128" t="s">
        <v>709</v>
      </c>
      <c r="L2355" s="151"/>
      <c r="M2355" s="127">
        <v>622532</v>
      </c>
      <c r="N2355" s="109"/>
      <c r="O2355" s="20" t="s">
        <v>5299</v>
      </c>
      <c r="P2355" s="20"/>
      <c r="Q2355" s="20"/>
    </row>
    <row r="2356" spans="1:17" ht="24.9" customHeight="1">
      <c r="A2356" s="20">
        <v>394</v>
      </c>
      <c r="B2356" s="20" t="s">
        <v>4376</v>
      </c>
      <c r="C2356" s="20">
        <v>26</v>
      </c>
      <c r="D2356" s="20" t="s">
        <v>3527</v>
      </c>
      <c r="E2356" s="19" t="str">
        <f>VLOOKUP(D2356,'لیست پرسنل'!$B$2:$E$1020,3,FALSE)</f>
        <v>فکورصنعت</v>
      </c>
      <c r="F2356" s="19" t="str">
        <f>VLOOKUP(D2356,'لیست پرسنل'!$B$2:$E$1020,4,FALSE)</f>
        <v>مدیر پروژه</v>
      </c>
      <c r="G2356" s="127" t="str">
        <f>VLOOKUP(D2356,'لیست پرسنل'!$B$2:$F$1020,2,FALSE)</f>
        <v>472</v>
      </c>
      <c r="H2356" s="128" t="s">
        <v>3510</v>
      </c>
      <c r="I2356" s="128" t="s">
        <v>1114</v>
      </c>
      <c r="J2356" s="128" t="s">
        <v>4331</v>
      </c>
      <c r="K2356" s="128" t="s">
        <v>3348</v>
      </c>
      <c r="L2356" s="127"/>
      <c r="M2356" s="134" t="s">
        <v>291</v>
      </c>
      <c r="N2356" s="109"/>
      <c r="O2356" s="20"/>
      <c r="P2356" s="20"/>
      <c r="Q2356" s="20"/>
    </row>
    <row r="2357" spans="1:17" ht="24.9" customHeight="1">
      <c r="A2357" s="20">
        <v>394</v>
      </c>
      <c r="B2357" s="20" t="s">
        <v>4376</v>
      </c>
      <c r="C2357" s="20">
        <v>27</v>
      </c>
      <c r="D2357" s="20" t="s">
        <v>444</v>
      </c>
      <c r="E2357" s="19" t="str">
        <f>VLOOKUP(D2357,'لیست پرسنل'!$B$2:$E$1020,3,FALSE)</f>
        <v>فکورصنعت</v>
      </c>
      <c r="F2357" s="19" t="str">
        <f>VLOOKUP(D2357,'لیست پرسنل'!$B$2:$E$1020,4,FALSE)</f>
        <v>نظارت مکانیک</v>
      </c>
      <c r="G2357" s="127">
        <f>VLOOKUP(D2357,'لیست پرسنل'!$B$2:$F$1020,2,FALSE)</f>
        <v>991002</v>
      </c>
      <c r="H2357" s="128" t="s">
        <v>3510</v>
      </c>
      <c r="I2357" s="128" t="s">
        <v>1263</v>
      </c>
      <c r="J2357" s="128" t="s">
        <v>737</v>
      </c>
      <c r="K2357" s="128" t="s">
        <v>2724</v>
      </c>
      <c r="L2357" s="127" t="s">
        <v>460</v>
      </c>
      <c r="M2357" s="127">
        <v>618513</v>
      </c>
      <c r="N2357" s="109"/>
      <c r="O2357" s="81" t="s">
        <v>3535</v>
      </c>
      <c r="P2357" s="20"/>
      <c r="Q2357" s="20"/>
    </row>
    <row r="2358" spans="1:17" ht="24.9" customHeight="1">
      <c r="A2358" s="20">
        <v>394</v>
      </c>
      <c r="B2358" s="20" t="s">
        <v>4376</v>
      </c>
      <c r="C2358" s="20"/>
      <c r="D2358" s="79" t="s">
        <v>3514</v>
      </c>
      <c r="E2358" s="19" t="str">
        <f>VLOOKUP(D2358,'لیست پرسنل'!$B$2:$E$1020,3,FALSE)</f>
        <v>نظارت کارفرما</v>
      </c>
      <c r="F2358" s="19" t="str">
        <f>VLOOKUP(D2358,'لیست پرسنل'!$B$2:$E$1020,4,FALSE)</f>
        <v>نظارت کارفرما</v>
      </c>
      <c r="G2358" s="127" t="str">
        <f>VLOOKUP(D2358,'لیست پرسنل'!$B$2:$F$1020,2,FALSE)</f>
        <v>0</v>
      </c>
      <c r="H2358" s="128" t="s">
        <v>3513</v>
      </c>
      <c r="I2358" s="159" t="s">
        <v>131</v>
      </c>
      <c r="J2358" s="128" t="s">
        <v>2686</v>
      </c>
      <c r="K2358" s="128" t="s">
        <v>137</v>
      </c>
      <c r="L2358" s="151" t="s">
        <v>2715</v>
      </c>
      <c r="M2358" s="134" t="s">
        <v>291</v>
      </c>
      <c r="N2358" s="109"/>
      <c r="O2358" s="20"/>
      <c r="P2358" s="20"/>
      <c r="Q2358" s="20"/>
    </row>
    <row r="2359" spans="1:17" ht="24.9" customHeight="1">
      <c r="A2359" s="20">
        <v>394</v>
      </c>
      <c r="B2359" s="20" t="s">
        <v>4376</v>
      </c>
      <c r="C2359" s="20"/>
      <c r="D2359" s="20" t="s">
        <v>3523</v>
      </c>
      <c r="E2359" s="19" t="str">
        <f>VLOOKUP(D2359,'لیست پرسنل'!$B$2:$E$1020,3,FALSE)</f>
        <v>فکورصنعت</v>
      </c>
      <c r="F2359" s="19" t="str">
        <f>VLOOKUP(D2359,'لیست پرسنل'!$B$2:$E$1020,4,FALSE)</f>
        <v>مکانیک</v>
      </c>
      <c r="G2359" s="127">
        <f>VLOOKUP(D2359,'لیست پرسنل'!$B$2:$F$1020,2,FALSE)</f>
        <v>4000515</v>
      </c>
      <c r="H2359" s="128" t="s">
        <v>3510</v>
      </c>
      <c r="I2359" s="128"/>
      <c r="J2359" s="128" t="s">
        <v>3532</v>
      </c>
      <c r="K2359" s="128" t="s">
        <v>2106</v>
      </c>
      <c r="L2359" s="127" t="s">
        <v>2721</v>
      </c>
      <c r="M2359" s="126">
        <v>621159</v>
      </c>
      <c r="N2359" s="115"/>
      <c r="O2359" s="20" t="s">
        <v>3533</v>
      </c>
      <c r="P2359" s="20"/>
      <c r="Q2359" s="20"/>
    </row>
    <row r="2360" spans="1:17" ht="24.9" customHeight="1">
      <c r="A2360" s="20">
        <v>394</v>
      </c>
      <c r="B2360" s="20" t="s">
        <v>4376</v>
      </c>
      <c r="C2360" s="20"/>
      <c r="D2360" s="79" t="s">
        <v>3523</v>
      </c>
      <c r="E2360" s="19" t="str">
        <f>VLOOKUP(D2360,'لیست پرسنل'!$B$2:$E$1020,3,FALSE)</f>
        <v>فکورصنعت</v>
      </c>
      <c r="F2360" s="19" t="str">
        <f>VLOOKUP(D2360,'لیست پرسنل'!$B$2:$E$1020,4,FALSE)</f>
        <v>مکانیک</v>
      </c>
      <c r="G2360" s="127">
        <f>VLOOKUP(D2360,'لیست پرسنل'!$B$2:$F$1020,2,FALSE)</f>
        <v>4000515</v>
      </c>
      <c r="H2360" s="128" t="s">
        <v>3513</v>
      </c>
      <c r="I2360" s="128" t="s">
        <v>605</v>
      </c>
      <c r="J2360" s="128" t="s">
        <v>2686</v>
      </c>
      <c r="K2360" s="128" t="s">
        <v>89</v>
      </c>
      <c r="L2360" s="151" t="s">
        <v>146</v>
      </c>
      <c r="M2360" s="127">
        <v>602472</v>
      </c>
      <c r="N2360" s="109"/>
      <c r="O2360" s="20"/>
      <c r="P2360" s="20"/>
      <c r="Q2360" s="20"/>
    </row>
    <row r="2361" spans="1:17" ht="24.9" customHeight="1">
      <c r="A2361" s="20">
        <v>394</v>
      </c>
      <c r="B2361" s="20" t="s">
        <v>4376</v>
      </c>
      <c r="C2361" s="20"/>
      <c r="D2361" s="20" t="s">
        <v>127</v>
      </c>
      <c r="E2361" s="19" t="str">
        <f>VLOOKUP(D2361,'لیست پرسنل'!$B$2:$E$1020,3,FALSE)</f>
        <v>فکورصنعت</v>
      </c>
      <c r="F2361" s="19" t="str">
        <f>VLOOKUP(D2361,'لیست پرسنل'!$B$2:$E$1020,4,FALSE)</f>
        <v>انبار</v>
      </c>
      <c r="G2361" s="127">
        <f>VLOOKUP(D2361,'لیست پرسنل'!$B$2:$F$1020,2,FALSE)</f>
        <v>1348</v>
      </c>
      <c r="H2361" s="128" t="s">
        <v>4404</v>
      </c>
      <c r="I2361" s="128"/>
      <c r="J2361" s="128" t="s">
        <v>1967</v>
      </c>
      <c r="K2361" s="128" t="s">
        <v>2684</v>
      </c>
      <c r="L2361" s="128"/>
      <c r="M2361" s="128">
        <v>606489</v>
      </c>
      <c r="N2361" s="108"/>
      <c r="O2361" s="32"/>
      <c r="P2361" s="20"/>
      <c r="Q2361" s="20"/>
    </row>
    <row r="2362" spans="1:17" ht="24.9" customHeight="1">
      <c r="A2362" s="20">
        <v>394</v>
      </c>
      <c r="B2362" s="20" t="s">
        <v>4376</v>
      </c>
      <c r="C2362" s="20"/>
      <c r="D2362" s="20" t="s">
        <v>127</v>
      </c>
      <c r="E2362" s="19" t="str">
        <f>VLOOKUP(D2362,'لیست پرسنل'!$B$2:$E$1020,3,FALSE)</f>
        <v>فکورصنعت</v>
      </c>
      <c r="F2362" s="19" t="str">
        <f>VLOOKUP(D2362,'لیست پرسنل'!$B$2:$E$1020,4,FALSE)</f>
        <v>انبار</v>
      </c>
      <c r="G2362" s="127">
        <f>VLOOKUP(D2362,'لیست پرسنل'!$B$2:$F$1020,2,FALSE)</f>
        <v>1348</v>
      </c>
      <c r="H2362" s="128" t="s">
        <v>4404</v>
      </c>
      <c r="I2362" s="128"/>
      <c r="J2362" s="128" t="s">
        <v>5366</v>
      </c>
      <c r="K2362" s="128" t="s">
        <v>2622</v>
      </c>
      <c r="L2362" s="128"/>
      <c r="M2362" s="128">
        <v>612403</v>
      </c>
      <c r="N2362" s="108"/>
      <c r="O2362" s="32" t="s">
        <v>2676</v>
      </c>
      <c r="P2362" s="20"/>
      <c r="Q2362" s="20"/>
    </row>
    <row r="2363" spans="1:17" ht="24.9" customHeight="1">
      <c r="A2363" s="20">
        <v>394</v>
      </c>
      <c r="B2363" s="20" t="s">
        <v>4376</v>
      </c>
      <c r="C2363" s="20"/>
      <c r="D2363" s="20" t="s">
        <v>127</v>
      </c>
      <c r="E2363" s="19" t="str">
        <f>VLOOKUP(D2363,'لیست پرسنل'!$B$2:$E$1020,3,FALSE)</f>
        <v>فکورصنعت</v>
      </c>
      <c r="F2363" s="19" t="str">
        <f>VLOOKUP(D2363,'لیست پرسنل'!$B$2:$E$1020,4,FALSE)</f>
        <v>انبار</v>
      </c>
      <c r="G2363" s="127">
        <f>VLOOKUP(D2363,'لیست پرسنل'!$B$2:$F$1020,2,FALSE)</f>
        <v>1348</v>
      </c>
      <c r="H2363" s="128" t="s">
        <v>4404</v>
      </c>
      <c r="I2363" s="128"/>
      <c r="J2363" s="128" t="s">
        <v>3480</v>
      </c>
      <c r="K2363" s="128" t="s">
        <v>3330</v>
      </c>
      <c r="L2363" s="127"/>
      <c r="M2363" s="127">
        <v>627885</v>
      </c>
      <c r="N2363" s="109"/>
      <c r="O2363" s="19"/>
      <c r="P2363" s="19"/>
      <c r="Q2363" s="28"/>
    </row>
    <row r="2364" spans="1:17" ht="24.9" customHeight="1">
      <c r="A2364" s="20">
        <v>394</v>
      </c>
      <c r="B2364" s="20" t="s">
        <v>4376</v>
      </c>
      <c r="C2364" s="20"/>
      <c r="D2364" s="20" t="s">
        <v>127</v>
      </c>
      <c r="E2364" s="19" t="str">
        <f>VLOOKUP(D2364,'لیست پرسنل'!$B$2:$E$1020,3,FALSE)</f>
        <v>فکورصنعت</v>
      </c>
      <c r="F2364" s="19" t="str">
        <f>VLOOKUP(D2364,'لیست پرسنل'!$B$2:$E$1020,4,FALSE)</f>
        <v>انبار</v>
      </c>
      <c r="G2364" s="127">
        <f>VLOOKUP(D2364,'لیست پرسنل'!$B$2:$F$1020,2,FALSE)</f>
        <v>1348</v>
      </c>
      <c r="H2364" s="128" t="s">
        <v>4404</v>
      </c>
      <c r="I2364" s="128"/>
      <c r="J2364" s="128" t="s">
        <v>3480</v>
      </c>
      <c r="K2364" s="128" t="s">
        <v>3330</v>
      </c>
      <c r="L2364" s="127"/>
      <c r="M2364" s="127">
        <v>627886</v>
      </c>
      <c r="N2364" s="109"/>
      <c r="O2364" s="19"/>
      <c r="P2364" s="19"/>
      <c r="Q2364" s="28"/>
    </row>
    <row r="2365" spans="1:17" ht="24.9" customHeight="1">
      <c r="A2365" s="20">
        <v>394</v>
      </c>
      <c r="B2365" s="20" t="s">
        <v>4376</v>
      </c>
      <c r="C2365" s="20"/>
      <c r="D2365" s="20" t="s">
        <v>127</v>
      </c>
      <c r="E2365" s="19" t="str">
        <f>VLOOKUP(D2365,'لیست پرسنل'!$B$2:$E$1020,3,FALSE)</f>
        <v>فکورصنعت</v>
      </c>
      <c r="F2365" s="19" t="str">
        <f>VLOOKUP(D2365,'لیست پرسنل'!$B$2:$E$1020,4,FALSE)</f>
        <v>انبار</v>
      </c>
      <c r="G2365" s="127">
        <f>VLOOKUP(D2365,'لیست پرسنل'!$B$2:$F$1020,2,FALSE)</f>
        <v>1348</v>
      </c>
      <c r="H2365" s="128" t="s">
        <v>4404</v>
      </c>
      <c r="I2365" s="128"/>
      <c r="J2365" s="128" t="s">
        <v>3480</v>
      </c>
      <c r="K2365" s="128" t="s">
        <v>3330</v>
      </c>
      <c r="L2365" s="127"/>
      <c r="M2365" s="127">
        <v>627887</v>
      </c>
      <c r="N2365" s="109"/>
      <c r="O2365" s="19"/>
      <c r="P2365" s="19"/>
      <c r="Q2365" s="28"/>
    </row>
    <row r="2366" spans="1:17" ht="24.9" customHeight="1">
      <c r="A2366" s="20">
        <v>394</v>
      </c>
      <c r="B2366" s="20" t="s">
        <v>4376</v>
      </c>
      <c r="C2366" s="20"/>
      <c r="D2366" s="20" t="s">
        <v>127</v>
      </c>
      <c r="E2366" s="19" t="str">
        <f>VLOOKUP(D2366,'لیست پرسنل'!$B$2:$E$1020,3,FALSE)</f>
        <v>فکورصنعت</v>
      </c>
      <c r="F2366" s="19" t="str">
        <f>VLOOKUP(D2366,'لیست پرسنل'!$B$2:$E$1020,4,FALSE)</f>
        <v>انبار</v>
      </c>
      <c r="G2366" s="127">
        <f>VLOOKUP(D2366,'لیست پرسنل'!$B$2:$F$1020,2,FALSE)</f>
        <v>1348</v>
      </c>
      <c r="H2366" s="128" t="s">
        <v>4404</v>
      </c>
      <c r="I2366" s="128"/>
      <c r="J2366" s="128" t="s">
        <v>3480</v>
      </c>
      <c r="K2366" s="128" t="s">
        <v>3330</v>
      </c>
      <c r="L2366" s="127"/>
      <c r="M2366" s="127">
        <v>627888</v>
      </c>
      <c r="N2366" s="109"/>
      <c r="O2366" s="19"/>
      <c r="P2366" s="19"/>
      <c r="Q2366" s="28"/>
    </row>
    <row r="2367" spans="1:17" ht="24.9" customHeight="1">
      <c r="A2367" s="20">
        <v>394</v>
      </c>
      <c r="B2367" s="20" t="s">
        <v>4376</v>
      </c>
      <c r="C2367" s="20"/>
      <c r="D2367" s="20" t="s">
        <v>127</v>
      </c>
      <c r="E2367" s="19" t="str">
        <f>VLOOKUP(D2367,'لیست پرسنل'!$B$2:$E$1020,3,FALSE)</f>
        <v>فکورصنعت</v>
      </c>
      <c r="F2367" s="19" t="str">
        <f>VLOOKUP(D2367,'لیست پرسنل'!$B$2:$E$1020,4,FALSE)</f>
        <v>انبار</v>
      </c>
      <c r="G2367" s="127">
        <f>VLOOKUP(D2367,'لیست پرسنل'!$B$2:$F$1020,2,FALSE)</f>
        <v>1348</v>
      </c>
      <c r="H2367" s="128" t="s">
        <v>4404</v>
      </c>
      <c r="I2367" s="128"/>
      <c r="J2367" s="128" t="s">
        <v>3480</v>
      </c>
      <c r="K2367" s="128" t="s">
        <v>3331</v>
      </c>
      <c r="L2367" s="127"/>
      <c r="M2367" s="127">
        <v>627889</v>
      </c>
      <c r="N2367" s="109"/>
      <c r="O2367" s="19"/>
      <c r="P2367" s="19"/>
      <c r="Q2367" s="28"/>
    </row>
    <row r="2368" spans="1:17" ht="24.9" customHeight="1">
      <c r="A2368" s="20">
        <v>394</v>
      </c>
      <c r="B2368" s="20" t="s">
        <v>4376</v>
      </c>
      <c r="C2368" s="20"/>
      <c r="D2368" s="20" t="s">
        <v>127</v>
      </c>
      <c r="E2368" s="19" t="str">
        <f>VLOOKUP(D2368,'لیست پرسنل'!$B$2:$E$1020,3,FALSE)</f>
        <v>فکورصنعت</v>
      </c>
      <c r="F2368" s="19" t="str">
        <f>VLOOKUP(D2368,'لیست پرسنل'!$B$2:$E$1020,4,FALSE)</f>
        <v>انبار</v>
      </c>
      <c r="G2368" s="127">
        <f>VLOOKUP(D2368,'لیست پرسنل'!$B$2:$F$1020,2,FALSE)</f>
        <v>1348</v>
      </c>
      <c r="H2368" s="128" t="s">
        <v>4404</v>
      </c>
      <c r="I2368" s="128"/>
      <c r="J2368" s="128" t="s">
        <v>3480</v>
      </c>
      <c r="K2368" s="128" t="s">
        <v>3332</v>
      </c>
      <c r="L2368" s="127"/>
      <c r="M2368" s="127">
        <v>627890</v>
      </c>
      <c r="N2368" s="109"/>
      <c r="O2368" s="19"/>
      <c r="P2368" s="19"/>
      <c r="Q2368" s="28"/>
    </row>
    <row r="2369" spans="1:17" ht="24.9" customHeight="1">
      <c r="A2369" s="20">
        <v>394</v>
      </c>
      <c r="B2369" s="20" t="s">
        <v>4376</v>
      </c>
      <c r="C2369" s="20"/>
      <c r="D2369" s="20" t="s">
        <v>127</v>
      </c>
      <c r="E2369" s="19" t="str">
        <f>VLOOKUP(D2369,'لیست پرسنل'!$B$2:$E$1020,3,FALSE)</f>
        <v>فکورصنعت</v>
      </c>
      <c r="F2369" s="19" t="str">
        <f>VLOOKUP(D2369,'لیست پرسنل'!$B$2:$E$1020,4,FALSE)</f>
        <v>انبار</v>
      </c>
      <c r="G2369" s="127">
        <f>VLOOKUP(D2369,'لیست پرسنل'!$B$2:$F$1020,2,FALSE)</f>
        <v>1348</v>
      </c>
      <c r="H2369" s="128" t="s">
        <v>4404</v>
      </c>
      <c r="I2369" s="128"/>
      <c r="J2369" s="128" t="s">
        <v>3480</v>
      </c>
      <c r="K2369" s="128" t="s">
        <v>3332</v>
      </c>
      <c r="L2369" s="127"/>
      <c r="M2369" s="127">
        <v>627891</v>
      </c>
      <c r="N2369" s="109"/>
      <c r="O2369" s="19"/>
      <c r="P2369" s="19"/>
      <c r="Q2369" s="28"/>
    </row>
    <row r="2370" spans="1:17" ht="24.9" customHeight="1">
      <c r="A2370" s="20">
        <v>394</v>
      </c>
      <c r="B2370" s="20" t="s">
        <v>4376</v>
      </c>
      <c r="C2370" s="20"/>
      <c r="D2370" s="20" t="s">
        <v>127</v>
      </c>
      <c r="E2370" s="19" t="str">
        <f>VLOOKUP(D2370,'لیست پرسنل'!$B$2:$E$1020,3,FALSE)</f>
        <v>فکورصنعت</v>
      </c>
      <c r="F2370" s="19" t="str">
        <f>VLOOKUP(D2370,'لیست پرسنل'!$B$2:$E$1020,4,FALSE)</f>
        <v>انبار</v>
      </c>
      <c r="G2370" s="127">
        <f>VLOOKUP(D2370,'لیست پرسنل'!$B$2:$F$1020,2,FALSE)</f>
        <v>1348</v>
      </c>
      <c r="H2370" s="128" t="s">
        <v>4404</v>
      </c>
      <c r="I2370" s="128"/>
      <c r="J2370" s="128" t="s">
        <v>3481</v>
      </c>
      <c r="K2370" s="128" t="s">
        <v>4273</v>
      </c>
      <c r="L2370" s="127" t="s">
        <v>4274</v>
      </c>
      <c r="M2370" s="127" t="s">
        <v>4371</v>
      </c>
      <c r="N2370" s="109"/>
      <c r="O2370" s="19" t="s">
        <v>4405</v>
      </c>
      <c r="P2370" s="19"/>
      <c r="Q2370" s="28"/>
    </row>
    <row r="2371" spans="1:17" ht="24.9" customHeight="1">
      <c r="A2371" s="20">
        <v>394</v>
      </c>
      <c r="B2371" s="20" t="s">
        <v>4376</v>
      </c>
      <c r="C2371" s="20"/>
      <c r="D2371" s="20" t="s">
        <v>127</v>
      </c>
      <c r="E2371" s="19" t="str">
        <f>VLOOKUP(D2371,'لیست پرسنل'!$B$2:$E$1020,3,FALSE)</f>
        <v>فکورصنعت</v>
      </c>
      <c r="F2371" s="19" t="str">
        <f>VLOOKUP(D2371,'لیست پرسنل'!$B$2:$E$1020,4,FALSE)</f>
        <v>انبار</v>
      </c>
      <c r="G2371" s="127">
        <f>VLOOKUP(D2371,'لیست پرسنل'!$B$2:$F$1020,2,FALSE)</f>
        <v>1348</v>
      </c>
      <c r="H2371" s="128" t="s">
        <v>4404</v>
      </c>
      <c r="I2371" s="128"/>
      <c r="J2371" s="128" t="s">
        <v>3481</v>
      </c>
      <c r="K2371" s="128" t="s">
        <v>4277</v>
      </c>
      <c r="L2371" s="127" t="s">
        <v>4278</v>
      </c>
      <c r="M2371" s="127" t="s">
        <v>4371</v>
      </c>
      <c r="N2371" s="109"/>
      <c r="O2371" s="19" t="s">
        <v>4405</v>
      </c>
      <c r="P2371" s="19"/>
      <c r="Q2371" s="28"/>
    </row>
    <row r="2372" spans="1:17" ht="24.9" customHeight="1">
      <c r="A2372" s="20">
        <v>394</v>
      </c>
      <c r="B2372" s="20" t="s">
        <v>4376</v>
      </c>
      <c r="C2372" s="20"/>
      <c r="D2372" s="20" t="s">
        <v>127</v>
      </c>
      <c r="E2372" s="19" t="str">
        <f>VLOOKUP(D2372,'لیست پرسنل'!$B$2:$E$1020,3,FALSE)</f>
        <v>فکورصنعت</v>
      </c>
      <c r="F2372" s="19" t="str">
        <f>VLOOKUP(D2372,'لیست پرسنل'!$B$2:$E$1020,4,FALSE)</f>
        <v>انبار</v>
      </c>
      <c r="G2372" s="127">
        <f>VLOOKUP(D2372,'لیست پرسنل'!$B$2:$F$1020,2,FALSE)</f>
        <v>1348</v>
      </c>
      <c r="H2372" s="128" t="s">
        <v>4404</v>
      </c>
      <c r="I2372" s="128"/>
      <c r="J2372" s="128" t="s">
        <v>2686</v>
      </c>
      <c r="K2372" s="128" t="s">
        <v>1547</v>
      </c>
      <c r="L2372" s="128"/>
      <c r="M2372" s="128">
        <v>602539</v>
      </c>
      <c r="N2372" s="108"/>
      <c r="O2372" s="95"/>
      <c r="P2372" s="20"/>
      <c r="Q2372" s="20"/>
    </row>
    <row r="2373" spans="1:17" ht="24.9" customHeight="1">
      <c r="A2373" s="20">
        <v>394</v>
      </c>
      <c r="B2373" s="20" t="s">
        <v>4376</v>
      </c>
      <c r="C2373" s="20"/>
      <c r="D2373" s="20" t="s">
        <v>127</v>
      </c>
      <c r="E2373" s="19" t="str">
        <f>VLOOKUP(D2373,'لیست پرسنل'!$B$2:$E$1020,3,FALSE)</f>
        <v>فکورصنعت</v>
      </c>
      <c r="F2373" s="19" t="str">
        <f>VLOOKUP(D2373,'لیست پرسنل'!$B$2:$E$1020,4,FALSE)</f>
        <v>انبار</v>
      </c>
      <c r="G2373" s="127">
        <f>VLOOKUP(D2373,'لیست پرسنل'!$B$2:$F$1020,2,FALSE)</f>
        <v>1348</v>
      </c>
      <c r="H2373" s="128" t="s">
        <v>3534</v>
      </c>
      <c r="I2373" s="128"/>
      <c r="J2373" s="128" t="s">
        <v>1967</v>
      </c>
      <c r="K2373" s="128" t="s">
        <v>2719</v>
      </c>
      <c r="L2373" s="128"/>
      <c r="M2373" s="128">
        <v>602534</v>
      </c>
      <c r="N2373" s="108"/>
      <c r="O2373" s="20" t="s">
        <v>2716</v>
      </c>
      <c r="P2373" s="20"/>
      <c r="Q2373" s="20"/>
    </row>
    <row r="2374" spans="1:17" ht="24.9" customHeight="1">
      <c r="A2374" s="20">
        <v>394</v>
      </c>
      <c r="B2374" s="20" t="s">
        <v>4376</v>
      </c>
      <c r="C2374" s="20"/>
      <c r="D2374" s="20" t="s">
        <v>127</v>
      </c>
      <c r="E2374" s="19" t="str">
        <f>VLOOKUP(D2374,'لیست پرسنل'!$B$2:$E$1020,3,FALSE)</f>
        <v>فکورصنعت</v>
      </c>
      <c r="F2374" s="19" t="str">
        <f>VLOOKUP(D2374,'لیست پرسنل'!$B$2:$E$1020,4,FALSE)</f>
        <v>انبار</v>
      </c>
      <c r="G2374" s="127">
        <f>VLOOKUP(D2374,'لیست پرسنل'!$B$2:$F$1020,2,FALSE)</f>
        <v>1348</v>
      </c>
      <c r="H2374" s="128" t="s">
        <v>3534</v>
      </c>
      <c r="I2374" s="128"/>
      <c r="J2374" s="128" t="s">
        <v>1967</v>
      </c>
      <c r="K2374" s="128" t="s">
        <v>2719</v>
      </c>
      <c r="L2374" s="128"/>
      <c r="M2374" s="128">
        <v>605758</v>
      </c>
      <c r="N2374" s="108"/>
      <c r="O2374" s="20" t="s">
        <v>2716</v>
      </c>
      <c r="P2374" s="20"/>
      <c r="Q2374" s="20"/>
    </row>
    <row r="2375" spans="1:17" ht="24.9" customHeight="1">
      <c r="A2375" s="20">
        <v>394</v>
      </c>
      <c r="B2375" s="20" t="s">
        <v>4376</v>
      </c>
      <c r="C2375" s="20"/>
      <c r="D2375" s="20" t="s">
        <v>127</v>
      </c>
      <c r="E2375" s="19" t="str">
        <f>VLOOKUP(D2375,'لیست پرسنل'!$B$2:$E$1020,3,FALSE)</f>
        <v>فکورصنعت</v>
      </c>
      <c r="F2375" s="19" t="str">
        <f>VLOOKUP(D2375,'لیست پرسنل'!$B$2:$E$1020,4,FALSE)</f>
        <v>انبار</v>
      </c>
      <c r="G2375" s="127">
        <f>VLOOKUP(D2375,'لیست پرسنل'!$B$2:$F$1020,2,FALSE)</f>
        <v>1348</v>
      </c>
      <c r="H2375" s="128" t="s">
        <v>3534</v>
      </c>
      <c r="I2375" s="128"/>
      <c r="J2375" s="128" t="s">
        <v>1967</v>
      </c>
      <c r="K2375" s="128" t="s">
        <v>2717</v>
      </c>
      <c r="L2375" s="128"/>
      <c r="M2375" s="128">
        <v>607276</v>
      </c>
      <c r="N2375" s="108"/>
      <c r="O2375" s="20" t="s">
        <v>2716</v>
      </c>
      <c r="P2375" s="20"/>
      <c r="Q2375" s="20"/>
    </row>
    <row r="2376" spans="1:17" ht="24.9" customHeight="1">
      <c r="A2376" s="20">
        <v>394</v>
      </c>
      <c r="B2376" s="20" t="s">
        <v>4376</v>
      </c>
      <c r="C2376" s="20"/>
      <c r="D2376" s="20" t="s">
        <v>127</v>
      </c>
      <c r="E2376" s="19" t="str">
        <f>VLOOKUP(D2376,'لیست پرسنل'!$B$2:$E$1020,3,FALSE)</f>
        <v>فکورصنعت</v>
      </c>
      <c r="F2376" s="19" t="str">
        <f>VLOOKUP(D2376,'لیست پرسنل'!$B$2:$E$1020,4,FALSE)</f>
        <v>انبار</v>
      </c>
      <c r="G2376" s="127">
        <f>VLOOKUP(D2376,'لیست پرسنل'!$B$2:$F$1020,2,FALSE)</f>
        <v>1348</v>
      </c>
      <c r="H2376" s="128" t="s">
        <v>3534</v>
      </c>
      <c r="I2376" s="128"/>
      <c r="J2376" s="128" t="s">
        <v>1967</v>
      </c>
      <c r="K2376" s="128" t="s">
        <v>2718</v>
      </c>
      <c r="L2376" s="128"/>
      <c r="M2376" s="128">
        <v>609429</v>
      </c>
      <c r="N2376" s="108" t="s">
        <v>7233</v>
      </c>
      <c r="O2376" s="20" t="s">
        <v>2716</v>
      </c>
      <c r="P2376" s="20"/>
      <c r="Q2376" s="20"/>
    </row>
    <row r="2377" spans="1:17" ht="24.9" customHeight="1">
      <c r="A2377" s="20">
        <v>394</v>
      </c>
      <c r="B2377" s="20" t="s">
        <v>4376</v>
      </c>
      <c r="C2377" s="20"/>
      <c r="D2377" s="20" t="s">
        <v>127</v>
      </c>
      <c r="E2377" s="19" t="str">
        <f>VLOOKUP(D2377,'لیست پرسنل'!$B$2:$E$1020,3,FALSE)</f>
        <v>فکورصنعت</v>
      </c>
      <c r="F2377" s="19" t="str">
        <f>VLOOKUP(D2377,'لیست پرسنل'!$B$2:$E$1020,4,FALSE)</f>
        <v>انبار</v>
      </c>
      <c r="G2377" s="127">
        <f>VLOOKUP(D2377,'لیست پرسنل'!$B$2:$F$1020,2,FALSE)</f>
        <v>1348</v>
      </c>
      <c r="H2377" s="128" t="s">
        <v>3534</v>
      </c>
      <c r="I2377" s="128"/>
      <c r="J2377" s="128" t="s">
        <v>1967</v>
      </c>
      <c r="K2377" s="128" t="s">
        <v>2720</v>
      </c>
      <c r="L2377" s="128"/>
      <c r="M2377" s="127" t="s">
        <v>291</v>
      </c>
      <c r="N2377" s="109"/>
      <c r="O2377" s="20" t="s">
        <v>2716</v>
      </c>
      <c r="P2377" s="20"/>
      <c r="Q2377" s="20"/>
    </row>
    <row r="2378" spans="1:17" ht="24.9" customHeight="1">
      <c r="A2378" s="20">
        <v>394</v>
      </c>
      <c r="B2378" s="20" t="s">
        <v>4376</v>
      </c>
      <c r="C2378" s="20"/>
      <c r="D2378" s="20" t="s">
        <v>127</v>
      </c>
      <c r="E2378" s="19" t="str">
        <f>VLOOKUP(D2378,'لیست پرسنل'!$B$2:$E$1020,3,FALSE)</f>
        <v>فکورصنعت</v>
      </c>
      <c r="F2378" s="19" t="str">
        <f>VLOOKUP(D2378,'لیست پرسنل'!$B$2:$E$1020,4,FALSE)</f>
        <v>انبار</v>
      </c>
      <c r="G2378" s="127">
        <f>VLOOKUP(D2378,'لیست پرسنل'!$B$2:$F$1020,2,FALSE)</f>
        <v>1348</v>
      </c>
      <c r="H2378" s="128" t="s">
        <v>3534</v>
      </c>
      <c r="I2378" s="128"/>
      <c r="J2378" s="128" t="s">
        <v>1967</v>
      </c>
      <c r="K2378" s="128" t="s">
        <v>2720</v>
      </c>
      <c r="L2378" s="128"/>
      <c r="M2378" s="127" t="s">
        <v>291</v>
      </c>
      <c r="N2378" s="109"/>
      <c r="O2378" s="20" t="s">
        <v>2716</v>
      </c>
      <c r="P2378" s="20"/>
      <c r="Q2378" s="20"/>
    </row>
    <row r="2379" spans="1:17" ht="24.9" customHeight="1">
      <c r="A2379" s="20">
        <v>394</v>
      </c>
      <c r="B2379" s="20" t="s">
        <v>4376</v>
      </c>
      <c r="C2379" s="20"/>
      <c r="D2379" s="20" t="s">
        <v>127</v>
      </c>
      <c r="E2379" s="19" t="str">
        <f>VLOOKUP(D2379,'لیست پرسنل'!$B$2:$E$1020,3,FALSE)</f>
        <v>فکورصنعت</v>
      </c>
      <c r="F2379" s="19" t="str">
        <f>VLOOKUP(D2379,'لیست پرسنل'!$B$2:$E$1020,4,FALSE)</f>
        <v>انبار</v>
      </c>
      <c r="G2379" s="127">
        <f>VLOOKUP(D2379,'لیست پرسنل'!$B$2:$F$1020,2,FALSE)</f>
        <v>1348</v>
      </c>
      <c r="H2379" s="128" t="s">
        <v>3534</v>
      </c>
      <c r="I2379" s="128"/>
      <c r="J2379" s="128" t="s">
        <v>1967</v>
      </c>
      <c r="K2379" s="128" t="s">
        <v>2720</v>
      </c>
      <c r="L2379" s="128"/>
      <c r="M2379" s="127" t="s">
        <v>291</v>
      </c>
      <c r="N2379" s="109"/>
      <c r="O2379" s="20" t="s">
        <v>2716</v>
      </c>
      <c r="P2379" s="20"/>
      <c r="Q2379" s="20"/>
    </row>
    <row r="2380" spans="1:17" ht="24.9" customHeight="1">
      <c r="A2380" s="20">
        <v>394</v>
      </c>
      <c r="B2380" s="20" t="s">
        <v>4376</v>
      </c>
      <c r="C2380" s="81"/>
      <c r="D2380" s="20" t="s">
        <v>127</v>
      </c>
      <c r="E2380" s="19" t="str">
        <f>VLOOKUP(D2380,'لیست پرسنل'!$B$2:$E$1020,3,FALSE)</f>
        <v>فکورصنعت</v>
      </c>
      <c r="F2380" s="19" t="str">
        <f>VLOOKUP(D2380,'لیست پرسنل'!$B$2:$E$1020,4,FALSE)</f>
        <v>انبار</v>
      </c>
      <c r="G2380" s="127">
        <f>VLOOKUP(D2380,'لیست پرسنل'!$B$2:$F$1020,2,FALSE)</f>
        <v>1348</v>
      </c>
      <c r="H2380" s="151" t="s">
        <v>3534</v>
      </c>
      <c r="I2380" s="128"/>
      <c r="J2380" s="128" t="s">
        <v>5366</v>
      </c>
      <c r="K2380" s="128" t="s">
        <v>2622</v>
      </c>
      <c r="L2380" s="128"/>
      <c r="M2380" s="145">
        <v>612401</v>
      </c>
      <c r="N2380" s="108"/>
      <c r="O2380" s="96" t="s">
        <v>3908</v>
      </c>
      <c r="P2380" s="20"/>
      <c r="Q2380" s="20"/>
    </row>
    <row r="2381" spans="1:17" ht="24.9" customHeight="1">
      <c r="A2381" s="20">
        <v>394</v>
      </c>
      <c r="B2381" s="20" t="s">
        <v>4376</v>
      </c>
      <c r="C2381" s="20"/>
      <c r="D2381" s="20" t="s">
        <v>127</v>
      </c>
      <c r="E2381" s="19" t="str">
        <f>VLOOKUP(D2381,'لیست پرسنل'!$B$2:$E$1020,3,FALSE)</f>
        <v>فکورصنعت</v>
      </c>
      <c r="F2381" s="19" t="str">
        <f>VLOOKUP(D2381,'لیست پرسنل'!$B$2:$E$1020,4,FALSE)</f>
        <v>انبار</v>
      </c>
      <c r="G2381" s="127">
        <f>VLOOKUP(D2381,'لیست پرسنل'!$B$2:$F$1020,2,FALSE)</f>
        <v>1348</v>
      </c>
      <c r="H2381" s="128" t="s">
        <v>3510</v>
      </c>
      <c r="I2381" s="159" t="s">
        <v>135</v>
      </c>
      <c r="J2381" s="128" t="s">
        <v>737</v>
      </c>
      <c r="K2381" s="128" t="s">
        <v>2723</v>
      </c>
      <c r="L2381" s="127" t="s">
        <v>466</v>
      </c>
      <c r="M2381" s="134" t="s">
        <v>291</v>
      </c>
      <c r="N2381" s="109"/>
      <c r="O2381" s="20"/>
      <c r="P2381" s="20"/>
      <c r="Q2381" s="20"/>
    </row>
    <row r="2382" spans="1:17" ht="24.9" customHeight="1">
      <c r="A2382" s="20">
        <v>394</v>
      </c>
      <c r="B2382" s="20" t="s">
        <v>4376</v>
      </c>
      <c r="C2382" s="20"/>
      <c r="D2382" s="79" t="s">
        <v>127</v>
      </c>
      <c r="E2382" s="19" t="str">
        <f>VLOOKUP(D2382,'لیست پرسنل'!$B$2:$E$1020,3,FALSE)</f>
        <v>فکورصنعت</v>
      </c>
      <c r="F2382" s="19" t="str">
        <f>VLOOKUP(D2382,'لیست پرسنل'!$B$2:$E$1020,4,FALSE)</f>
        <v>انبار</v>
      </c>
      <c r="G2382" s="127">
        <f>VLOOKUP(D2382,'لیست پرسنل'!$B$2:$F$1020,2,FALSE)</f>
        <v>1348</v>
      </c>
      <c r="H2382" s="128" t="s">
        <v>3510</v>
      </c>
      <c r="I2382" s="128" t="s">
        <v>445</v>
      </c>
      <c r="J2382" s="126" t="s">
        <v>368</v>
      </c>
      <c r="K2382" s="128" t="s">
        <v>693</v>
      </c>
      <c r="L2382" s="127"/>
      <c r="M2382" s="127">
        <v>622817</v>
      </c>
      <c r="N2382" s="109"/>
      <c r="O2382" s="20"/>
      <c r="P2382" s="20"/>
      <c r="Q2382" s="20"/>
    </row>
    <row r="2383" spans="1:17" ht="24.9" customHeight="1">
      <c r="A2383" s="20">
        <v>394</v>
      </c>
      <c r="B2383" s="20" t="s">
        <v>4376</v>
      </c>
      <c r="C2383" s="20"/>
      <c r="D2383" s="79" t="s">
        <v>127</v>
      </c>
      <c r="E2383" s="19" t="str">
        <f>VLOOKUP(D2383,'لیست پرسنل'!$B$2:$E$1020,3,FALSE)</f>
        <v>فکورصنعت</v>
      </c>
      <c r="F2383" s="19" t="str">
        <f>VLOOKUP(D2383,'لیست پرسنل'!$B$2:$E$1020,4,FALSE)</f>
        <v>انبار</v>
      </c>
      <c r="G2383" s="127">
        <f>VLOOKUP(D2383,'لیست پرسنل'!$B$2:$F$1020,2,FALSE)</f>
        <v>1348</v>
      </c>
      <c r="H2383" s="128" t="s">
        <v>3510</v>
      </c>
      <c r="I2383" s="159" t="s">
        <v>585</v>
      </c>
      <c r="J2383" s="128" t="s">
        <v>571</v>
      </c>
      <c r="K2383" s="128"/>
      <c r="L2383" s="151"/>
      <c r="M2383" s="127">
        <v>606678</v>
      </c>
      <c r="N2383" s="109"/>
      <c r="O2383" s="20"/>
      <c r="P2383" s="20"/>
      <c r="Q2383" s="20"/>
    </row>
    <row r="2384" spans="1:17" ht="24.9" customHeight="1">
      <c r="A2384" s="20">
        <v>394</v>
      </c>
      <c r="B2384" s="20" t="s">
        <v>4376</v>
      </c>
      <c r="C2384" s="20"/>
      <c r="D2384" s="79" t="s">
        <v>127</v>
      </c>
      <c r="E2384" s="19" t="str">
        <f>VLOOKUP(D2384,'لیست پرسنل'!$B$2:$E$1020,3,FALSE)</f>
        <v>فکورصنعت</v>
      </c>
      <c r="F2384" s="19" t="str">
        <f>VLOOKUP(D2384,'لیست پرسنل'!$B$2:$E$1020,4,FALSE)</f>
        <v>انبار</v>
      </c>
      <c r="G2384" s="127">
        <f>VLOOKUP(D2384,'لیست پرسنل'!$B$2:$F$1020,2,FALSE)</f>
        <v>1348</v>
      </c>
      <c r="H2384" s="128" t="s">
        <v>3510</v>
      </c>
      <c r="I2384" s="128" t="s">
        <v>604</v>
      </c>
      <c r="J2384" s="128" t="s">
        <v>2686</v>
      </c>
      <c r="K2384" s="128" t="s">
        <v>332</v>
      </c>
      <c r="L2384" s="151" t="s">
        <v>6440</v>
      </c>
      <c r="M2384" s="127">
        <v>603246</v>
      </c>
      <c r="N2384" s="109"/>
      <c r="O2384" s="20"/>
      <c r="P2384" s="20"/>
      <c r="Q2384" s="20"/>
    </row>
    <row r="2385" spans="1:17" ht="24.9" customHeight="1">
      <c r="A2385" s="20">
        <v>394</v>
      </c>
      <c r="B2385" s="20" t="s">
        <v>4376</v>
      </c>
      <c r="C2385" s="20"/>
      <c r="D2385" s="79" t="s">
        <v>127</v>
      </c>
      <c r="E2385" s="19" t="str">
        <f>VLOOKUP(D2385,'لیست پرسنل'!$B$2:$E$1020,3,FALSE)</f>
        <v>فکورصنعت</v>
      </c>
      <c r="F2385" s="19" t="str">
        <f>VLOOKUP(D2385,'لیست پرسنل'!$B$2:$E$1020,4,FALSE)</f>
        <v>انبار</v>
      </c>
      <c r="G2385" s="127">
        <f>VLOOKUP(D2385,'لیست پرسنل'!$B$2:$F$1020,2,FALSE)</f>
        <v>1348</v>
      </c>
      <c r="H2385" s="128" t="s">
        <v>3510</v>
      </c>
      <c r="I2385" s="159" t="s">
        <v>122</v>
      </c>
      <c r="J2385" s="128" t="s">
        <v>737</v>
      </c>
      <c r="K2385" s="128" t="s">
        <v>41</v>
      </c>
      <c r="L2385" s="127" t="s">
        <v>136</v>
      </c>
      <c r="M2385" s="127">
        <v>603817</v>
      </c>
      <c r="N2385" s="109"/>
      <c r="O2385" s="20"/>
      <c r="P2385" s="20"/>
      <c r="Q2385" s="20"/>
    </row>
    <row r="2386" spans="1:17" ht="24.9" customHeight="1">
      <c r="A2386" s="20">
        <v>362</v>
      </c>
      <c r="B2386" s="20" t="s">
        <v>4345</v>
      </c>
      <c r="C2386" s="20"/>
      <c r="D2386" s="79" t="s">
        <v>48</v>
      </c>
      <c r="E2386" s="19" t="str">
        <f>VLOOKUP(D2386,'لیست پرسنل'!$B$2:$E$1020,3,FALSE)</f>
        <v>فکورصنعت</v>
      </c>
      <c r="F2386" s="19" t="str">
        <f>VLOOKUP(D2386,'لیست پرسنل'!$B$2:$E$1020,4,FALSE)</f>
        <v>سرپرست آی تی</v>
      </c>
      <c r="G2386" s="127">
        <f>VLOOKUP(D2386,'لیست پرسنل'!$B$2:$F$1020,2,FALSE)</f>
        <v>2210</v>
      </c>
      <c r="H2386" s="128" t="s">
        <v>4290</v>
      </c>
      <c r="I2386" s="159"/>
      <c r="J2386" s="128" t="s">
        <v>885</v>
      </c>
      <c r="K2386" s="128" t="s">
        <v>3511</v>
      </c>
      <c r="L2386" s="127"/>
      <c r="M2386" s="127">
        <v>605253</v>
      </c>
      <c r="N2386" s="109"/>
      <c r="O2386" s="20"/>
      <c r="P2386" s="20"/>
      <c r="Q2386" s="20"/>
    </row>
    <row r="2387" spans="1:17" ht="24.9" customHeight="1">
      <c r="A2387" s="20">
        <v>394</v>
      </c>
      <c r="B2387" s="20" t="s">
        <v>4376</v>
      </c>
      <c r="C2387" s="20"/>
      <c r="D2387" s="79" t="s">
        <v>127</v>
      </c>
      <c r="E2387" s="19" t="str">
        <f>VLOOKUP(D2387,'لیست پرسنل'!$B$2:$E$1020,3,FALSE)</f>
        <v>فکورصنعت</v>
      </c>
      <c r="F2387" s="19" t="str">
        <f>VLOOKUP(D2387,'لیست پرسنل'!$B$2:$E$1020,4,FALSE)</f>
        <v>انبار</v>
      </c>
      <c r="G2387" s="127">
        <f>VLOOKUP(D2387,'لیست پرسنل'!$B$2:$F$1020,2,FALSE)</f>
        <v>1348</v>
      </c>
      <c r="H2387" s="128" t="s">
        <v>3510</v>
      </c>
      <c r="I2387" s="159" t="s">
        <v>132</v>
      </c>
      <c r="J2387" s="128" t="s">
        <v>571</v>
      </c>
      <c r="K2387" s="128"/>
      <c r="L2387" s="151"/>
      <c r="M2387" s="127">
        <v>604971</v>
      </c>
      <c r="N2387" s="109"/>
      <c r="O2387" s="20"/>
      <c r="P2387" s="20"/>
      <c r="Q2387" s="20"/>
    </row>
    <row r="2388" spans="1:17" ht="24.9" customHeight="1">
      <c r="A2388" s="20">
        <v>394</v>
      </c>
      <c r="B2388" s="20" t="s">
        <v>4376</v>
      </c>
      <c r="C2388" s="20"/>
      <c r="D2388" s="79" t="s">
        <v>127</v>
      </c>
      <c r="E2388" s="19" t="str">
        <f>VLOOKUP(D2388,'لیست پرسنل'!$B$2:$E$1020,3,FALSE)</f>
        <v>فکورصنعت</v>
      </c>
      <c r="F2388" s="19" t="str">
        <f>VLOOKUP(D2388,'لیست پرسنل'!$B$2:$E$1020,4,FALSE)</f>
        <v>انبار</v>
      </c>
      <c r="G2388" s="127">
        <f>VLOOKUP(D2388,'لیست پرسنل'!$B$2:$F$1020,2,FALSE)</f>
        <v>1348</v>
      </c>
      <c r="H2388" s="128" t="s">
        <v>3513</v>
      </c>
      <c r="I2388" s="159" t="s">
        <v>130</v>
      </c>
      <c r="J2388" s="128" t="s">
        <v>2686</v>
      </c>
      <c r="K2388" s="128" t="s">
        <v>137</v>
      </c>
      <c r="L2388" s="151" t="s">
        <v>138</v>
      </c>
      <c r="M2388" s="127">
        <v>622616</v>
      </c>
      <c r="N2388" s="109"/>
      <c r="O2388" s="20"/>
      <c r="P2388" s="20"/>
      <c r="Q2388" s="20"/>
    </row>
    <row r="2389" spans="1:17" ht="24.9" customHeight="1">
      <c r="A2389" s="20">
        <v>394</v>
      </c>
      <c r="B2389" s="20" t="s">
        <v>4376</v>
      </c>
      <c r="C2389" s="20"/>
      <c r="D2389" s="83" t="s">
        <v>128</v>
      </c>
      <c r="E2389" s="19" t="str">
        <f>VLOOKUP(D2389,'لیست پرسنل'!$B$2:$E$1020,3,FALSE)</f>
        <v>فکورصنعت</v>
      </c>
      <c r="F2389" s="19" t="str">
        <f>VLOOKUP(D2389,'لیست پرسنل'!$B$2:$E$1020,4,FALSE)</f>
        <v>مالی - اداری</v>
      </c>
      <c r="G2389" s="127">
        <f>VLOOKUP(D2389,'لیست پرسنل'!$B$2:$F$1020,2,FALSE)</f>
        <v>1573</v>
      </c>
      <c r="H2389" s="126" t="s">
        <v>3510</v>
      </c>
      <c r="I2389" s="128"/>
      <c r="J2389" s="128" t="s">
        <v>3938</v>
      </c>
      <c r="K2389" s="128" t="s">
        <v>1097</v>
      </c>
      <c r="L2389" s="150" t="s">
        <v>901</v>
      </c>
      <c r="M2389" s="128">
        <v>623448</v>
      </c>
      <c r="N2389" s="108"/>
      <c r="O2389" s="20" t="s">
        <v>1096</v>
      </c>
      <c r="P2389" s="20"/>
      <c r="Q2389" s="20"/>
    </row>
    <row r="2390" spans="1:17" ht="24.9" customHeight="1">
      <c r="A2390" s="20">
        <v>394</v>
      </c>
      <c r="B2390" s="20" t="s">
        <v>4376</v>
      </c>
      <c r="C2390" s="20"/>
      <c r="D2390" s="79" t="s">
        <v>3515</v>
      </c>
      <c r="E2390" s="19" t="str">
        <f>VLOOKUP(D2390,'لیست پرسنل'!$B$2:$E$1020,3,FALSE)</f>
        <v>فکورصنعت</v>
      </c>
      <c r="F2390" s="19" t="str">
        <f>VLOOKUP(D2390,'لیست پرسنل'!$B$2:$E$1020,4,FALSE)</f>
        <v>ایمنی</v>
      </c>
      <c r="G2390" s="127">
        <f>VLOOKUP(D2390,'لیست پرسنل'!$B$2:$F$1020,2,FALSE)</f>
        <v>5024</v>
      </c>
      <c r="H2390" s="128" t="s">
        <v>3510</v>
      </c>
      <c r="I2390" s="159"/>
      <c r="J2390" s="128" t="s">
        <v>4722</v>
      </c>
      <c r="K2390" s="128" t="s">
        <v>583</v>
      </c>
      <c r="L2390" s="127" t="s">
        <v>584</v>
      </c>
      <c r="M2390" s="127" t="s">
        <v>291</v>
      </c>
      <c r="N2390" s="109"/>
      <c r="O2390" s="20"/>
      <c r="P2390" s="20"/>
      <c r="Q2390" s="20"/>
    </row>
    <row r="2391" spans="1:17" ht="24.9" customHeight="1">
      <c r="A2391" s="20">
        <v>394</v>
      </c>
      <c r="B2391" s="20" t="s">
        <v>4376</v>
      </c>
      <c r="C2391" s="20"/>
      <c r="D2391" s="19" t="s">
        <v>3528</v>
      </c>
      <c r="E2391" s="19" t="str">
        <f>VLOOKUP(D2391,'لیست پرسنل'!$B$2:$E$1020,3,FALSE)</f>
        <v>فکورصنعت</v>
      </c>
      <c r="F2391" s="19" t="str">
        <f>VLOOKUP(D2391,'لیست پرسنل'!$B$2:$E$1020,4,FALSE)</f>
        <v>آبدارخانه فکور</v>
      </c>
      <c r="G2391" s="127">
        <f>VLOOKUP(D2391,'لیست پرسنل'!$B$2:$F$1020,2,FALSE)</f>
        <v>1507</v>
      </c>
      <c r="H2391" s="128" t="s">
        <v>3510</v>
      </c>
      <c r="I2391" s="128"/>
      <c r="J2391" s="126" t="s">
        <v>368</v>
      </c>
      <c r="K2391" s="128" t="s">
        <v>693</v>
      </c>
      <c r="L2391" s="127"/>
      <c r="M2391" s="127">
        <v>622820</v>
      </c>
      <c r="N2391" s="109"/>
      <c r="O2391" s="20"/>
      <c r="P2391" s="20"/>
      <c r="Q2391" s="20"/>
    </row>
    <row r="2392" spans="1:17" ht="24.9" customHeight="1">
      <c r="A2392" s="20">
        <v>430</v>
      </c>
      <c r="B2392" s="20" t="s">
        <v>4907</v>
      </c>
      <c r="C2392" s="20"/>
      <c r="D2392" s="19" t="s">
        <v>2141</v>
      </c>
      <c r="E2392" s="19" t="str">
        <f>VLOOKUP(D2392,'لیست پرسنل'!$B$2:$E$1020,3,FALSE)</f>
        <v>فکورصنعت</v>
      </c>
      <c r="F2392" s="19" t="str">
        <f>VLOOKUP(D2392,'لیست پرسنل'!$B$2:$E$1020,4,FALSE)</f>
        <v>سرپرست پشتیبانی</v>
      </c>
      <c r="G2392" s="127">
        <f>VLOOKUP(D2392,'لیست پرسنل'!$B$2:$F$1020,2,FALSE)</f>
        <v>1826</v>
      </c>
      <c r="H2392" s="128" t="s">
        <v>4877</v>
      </c>
      <c r="I2392" s="128"/>
      <c r="J2392" s="128" t="s">
        <v>3496</v>
      </c>
      <c r="K2392" s="128" t="s">
        <v>987</v>
      </c>
      <c r="L2392" s="150" t="s">
        <v>5258</v>
      </c>
      <c r="M2392" s="128" t="s">
        <v>291</v>
      </c>
      <c r="N2392" s="109" t="s">
        <v>6543</v>
      </c>
      <c r="O2392" s="20"/>
      <c r="P2392" s="20"/>
      <c r="Q2392" s="20"/>
    </row>
    <row r="2393" spans="1:17" ht="24.9" customHeight="1">
      <c r="A2393" s="20">
        <v>430</v>
      </c>
      <c r="B2393" s="20" t="s">
        <v>4907</v>
      </c>
      <c r="C2393" s="20"/>
      <c r="D2393" s="19" t="s">
        <v>2141</v>
      </c>
      <c r="E2393" s="19" t="str">
        <f>VLOOKUP(D2393,'لیست پرسنل'!$B$2:$E$1020,3,FALSE)</f>
        <v>فکورصنعت</v>
      </c>
      <c r="F2393" s="19" t="str">
        <f>VLOOKUP(D2393,'لیست پرسنل'!$B$2:$E$1020,4,FALSE)</f>
        <v>سرپرست پشتیبانی</v>
      </c>
      <c r="G2393" s="127">
        <f>VLOOKUP(D2393,'لیست پرسنل'!$B$2:$F$1020,2,FALSE)</f>
        <v>1826</v>
      </c>
      <c r="H2393" s="128" t="s">
        <v>4877</v>
      </c>
      <c r="I2393" s="128"/>
      <c r="J2393" s="128" t="s">
        <v>3496</v>
      </c>
      <c r="K2393" s="128" t="s">
        <v>987</v>
      </c>
      <c r="L2393" s="150" t="s">
        <v>5263</v>
      </c>
      <c r="M2393" s="128" t="s">
        <v>291</v>
      </c>
      <c r="N2393" s="109" t="s">
        <v>6543</v>
      </c>
      <c r="O2393" s="20"/>
      <c r="P2393" s="20"/>
      <c r="Q2393" s="20"/>
    </row>
    <row r="2394" spans="1:17" ht="24.9" customHeight="1">
      <c r="A2394" s="20">
        <v>430</v>
      </c>
      <c r="B2394" s="20" t="s">
        <v>4907</v>
      </c>
      <c r="C2394" s="20"/>
      <c r="D2394" s="20" t="s">
        <v>2141</v>
      </c>
      <c r="E2394" s="19" t="str">
        <f>VLOOKUP(D2394,'لیست پرسنل'!$B$2:$E$1020,3,FALSE)</f>
        <v>فکورصنعت</v>
      </c>
      <c r="F2394" s="19" t="str">
        <f>VLOOKUP(D2394,'لیست پرسنل'!$B$2:$E$1020,4,FALSE)</f>
        <v>سرپرست پشتیبانی</v>
      </c>
      <c r="G2394" s="127">
        <f>VLOOKUP(D2394,'لیست پرسنل'!$B$2:$F$1020,2,FALSE)</f>
        <v>1826</v>
      </c>
      <c r="H2394" s="128" t="s">
        <v>4877</v>
      </c>
      <c r="I2394" s="128"/>
      <c r="J2394" s="128" t="s">
        <v>3481</v>
      </c>
      <c r="K2394" s="128" t="s">
        <v>5256</v>
      </c>
      <c r="L2394" s="127" t="s">
        <v>5255</v>
      </c>
      <c r="M2394" s="127">
        <v>43001819</v>
      </c>
      <c r="N2394" s="109" t="s">
        <v>6543</v>
      </c>
      <c r="O2394" s="19" t="s">
        <v>5257</v>
      </c>
      <c r="P2394" s="32"/>
      <c r="Q2394" s="32"/>
    </row>
    <row r="2395" spans="1:17" ht="24.9" customHeight="1">
      <c r="A2395" s="185">
        <v>438</v>
      </c>
      <c r="B2395" s="185" t="s">
        <v>4354</v>
      </c>
      <c r="C2395" s="185"/>
      <c r="D2395" s="208" t="s">
        <v>48</v>
      </c>
      <c r="E2395" s="186" t="str">
        <f>VLOOKUP(D2395,'لیست پرسنل'!$B$2:$E$1020,3,FALSE)</f>
        <v>فکورصنعت</v>
      </c>
      <c r="F2395" s="186" t="str">
        <f>VLOOKUP(D2395,'لیست پرسنل'!$B$2:$E$1020,4,FALSE)</f>
        <v>سرپرست آی تی</v>
      </c>
      <c r="G2395" s="187">
        <f>VLOOKUP(D2395,'لیست پرسنل'!$B$2:$F$1020,2,FALSE)</f>
        <v>2210</v>
      </c>
      <c r="H2395" s="187" t="s">
        <v>4783</v>
      </c>
      <c r="I2395" s="190" t="s">
        <v>7074</v>
      </c>
      <c r="J2395" s="188" t="s">
        <v>571</v>
      </c>
      <c r="K2395" s="188" t="s">
        <v>3784</v>
      </c>
      <c r="L2395" s="206"/>
      <c r="M2395" s="190">
        <v>629418</v>
      </c>
      <c r="N2395" s="189"/>
      <c r="O2395" s="246" t="s">
        <v>4701</v>
      </c>
      <c r="P2395" s="185"/>
      <c r="Q2395" s="185"/>
    </row>
    <row r="2396" spans="1:17" ht="24.9" customHeight="1">
      <c r="A2396" s="20">
        <v>438</v>
      </c>
      <c r="B2396" s="20" t="s">
        <v>4354</v>
      </c>
      <c r="C2396" s="20"/>
      <c r="D2396" s="20" t="s">
        <v>48</v>
      </c>
      <c r="E2396" s="19" t="str">
        <f>VLOOKUP(D2396,'لیست پرسنل'!$B$2:$E$1020,3,FALSE)</f>
        <v>فکورصنعت</v>
      </c>
      <c r="F2396" s="19" t="str">
        <f>VLOOKUP(D2396,'لیست پرسنل'!$B$2:$E$1020,4,FALSE)</f>
        <v>سرپرست آی تی</v>
      </c>
      <c r="G2396" s="127">
        <f>VLOOKUP(D2396,'لیست پرسنل'!$B$2:$F$1020,2,FALSE)</f>
        <v>2210</v>
      </c>
      <c r="H2396" s="127" t="s">
        <v>4783</v>
      </c>
      <c r="I2396" s="127" t="s">
        <v>7550</v>
      </c>
      <c r="J2396" s="128" t="s">
        <v>2686</v>
      </c>
      <c r="K2396" s="127" t="s">
        <v>332</v>
      </c>
      <c r="L2396" s="151" t="s">
        <v>664</v>
      </c>
      <c r="M2396" s="127">
        <v>604877</v>
      </c>
      <c r="N2396" s="109"/>
      <c r="O2396" s="20"/>
      <c r="P2396" s="20"/>
      <c r="Q2396" s="20"/>
    </row>
    <row r="2397" spans="1:17" ht="24.9" customHeight="1">
      <c r="A2397" s="20">
        <v>438</v>
      </c>
      <c r="B2397" s="20" t="s">
        <v>4354</v>
      </c>
      <c r="C2397" s="20"/>
      <c r="D2397" s="20" t="s">
        <v>48</v>
      </c>
      <c r="E2397" s="19" t="str">
        <f>VLOOKUP(D2397,'لیست پرسنل'!$B$2:$E$1020,3,FALSE)</f>
        <v>فکورصنعت</v>
      </c>
      <c r="F2397" s="19" t="str">
        <f>VLOOKUP(D2397,'لیست پرسنل'!$B$2:$E$1020,4,FALSE)</f>
        <v>سرپرست آی تی</v>
      </c>
      <c r="G2397" s="127">
        <f>VLOOKUP(D2397,'لیست پرسنل'!$B$2:$F$1020,2,FALSE)</f>
        <v>2210</v>
      </c>
      <c r="H2397" s="126" t="s">
        <v>4783</v>
      </c>
      <c r="I2397" s="127"/>
      <c r="J2397" s="128" t="s">
        <v>3322</v>
      </c>
      <c r="K2397" s="127" t="s">
        <v>6933</v>
      </c>
      <c r="L2397" s="151" t="s">
        <v>6934</v>
      </c>
      <c r="M2397" s="127">
        <v>632489</v>
      </c>
      <c r="N2397" s="108"/>
      <c r="O2397" s="20"/>
      <c r="P2397" s="20"/>
      <c r="Q2397" s="20"/>
    </row>
    <row r="2398" spans="1:17" ht="24.9" customHeight="1">
      <c r="A2398" s="20">
        <v>438</v>
      </c>
      <c r="B2398" s="20" t="s">
        <v>4354</v>
      </c>
      <c r="C2398" s="20"/>
      <c r="D2398" s="20" t="s">
        <v>48</v>
      </c>
      <c r="E2398" s="19" t="str">
        <f>VLOOKUP(D2398,'لیست پرسنل'!$B$2:$E$1020,3,FALSE)</f>
        <v>فکورصنعت</v>
      </c>
      <c r="F2398" s="19" t="str">
        <f>VLOOKUP(D2398,'لیست پرسنل'!$B$2:$E$1020,4,FALSE)</f>
        <v>سرپرست آی تی</v>
      </c>
      <c r="G2398" s="127">
        <f>VLOOKUP(D2398,'لیست پرسنل'!$B$2:$F$1020,2,FALSE)</f>
        <v>2210</v>
      </c>
      <c r="H2398" s="128" t="s">
        <v>4783</v>
      </c>
      <c r="I2398" s="128"/>
      <c r="J2398" s="128" t="s">
        <v>907</v>
      </c>
      <c r="K2398" s="128" t="s">
        <v>7810</v>
      </c>
      <c r="L2398" s="128"/>
      <c r="M2398" s="135">
        <v>623383</v>
      </c>
      <c r="N2398" s="108"/>
      <c r="O2398" s="20"/>
      <c r="P2398" s="20"/>
      <c r="Q2398" s="20"/>
    </row>
    <row r="2399" spans="1:17" ht="24.9" customHeight="1">
      <c r="A2399" s="20">
        <v>438</v>
      </c>
      <c r="B2399" s="20" t="s">
        <v>4354</v>
      </c>
      <c r="C2399" s="20"/>
      <c r="D2399" s="20" t="s">
        <v>48</v>
      </c>
      <c r="E2399" s="19" t="str">
        <f>VLOOKUP(D2399,'لیست پرسنل'!$B$2:$E$1020,3,FALSE)</f>
        <v>فکورصنعت</v>
      </c>
      <c r="F2399" s="19" t="str">
        <f>VLOOKUP(D2399,'لیست پرسنل'!$B$2:$E$1020,4,FALSE)</f>
        <v>سرپرست آی تی</v>
      </c>
      <c r="G2399" s="127">
        <f>VLOOKUP(D2399,'لیست پرسنل'!$B$2:$F$1020,2,FALSE)</f>
        <v>2210</v>
      </c>
      <c r="H2399" s="128" t="s">
        <v>4783</v>
      </c>
      <c r="I2399" s="128"/>
      <c r="J2399" s="128" t="s">
        <v>3383</v>
      </c>
      <c r="K2399" s="128" t="s">
        <v>140</v>
      </c>
      <c r="L2399" s="127" t="s">
        <v>147</v>
      </c>
      <c r="M2399" s="127">
        <v>600149</v>
      </c>
      <c r="N2399" s="109" t="s">
        <v>3523</v>
      </c>
      <c r="O2399" s="20"/>
      <c r="P2399" s="20"/>
      <c r="Q2399" s="20"/>
    </row>
    <row r="2400" spans="1:17" ht="24.9" customHeight="1">
      <c r="A2400" s="20">
        <v>438</v>
      </c>
      <c r="B2400" s="20" t="s">
        <v>4354</v>
      </c>
      <c r="C2400" s="20"/>
      <c r="D2400" s="20" t="s">
        <v>48</v>
      </c>
      <c r="E2400" s="19" t="str">
        <f>VLOOKUP(D2400,'لیست پرسنل'!$B$2:$E$1020,3,FALSE)</f>
        <v>فکورصنعت</v>
      </c>
      <c r="F2400" s="19" t="str">
        <f>VLOOKUP(D2400,'لیست پرسنل'!$B$2:$E$1020,4,FALSE)</f>
        <v>سرپرست آی تی</v>
      </c>
      <c r="G2400" s="127">
        <f>VLOOKUP(D2400,'لیست پرسنل'!$B$2:$F$1020,2,FALSE)</f>
        <v>2210</v>
      </c>
      <c r="H2400" s="127" t="s">
        <v>4783</v>
      </c>
      <c r="I2400" s="127"/>
      <c r="J2400" s="128" t="s">
        <v>737</v>
      </c>
      <c r="K2400" s="128" t="s">
        <v>639</v>
      </c>
      <c r="L2400" s="151" t="s">
        <v>635</v>
      </c>
      <c r="M2400" s="126">
        <v>600507</v>
      </c>
      <c r="N2400" s="109"/>
      <c r="O2400" s="20"/>
      <c r="P2400" s="31"/>
      <c r="Q2400" s="31"/>
    </row>
    <row r="2401" spans="1:17" ht="24.9" customHeight="1">
      <c r="A2401" s="20">
        <v>438</v>
      </c>
      <c r="B2401" s="20" t="s">
        <v>4354</v>
      </c>
      <c r="C2401" s="20"/>
      <c r="D2401" s="20" t="s">
        <v>48</v>
      </c>
      <c r="E2401" s="19" t="str">
        <f>VLOOKUP(D2401,'لیست پرسنل'!$B$2:$E$1020,3,FALSE)</f>
        <v>فکورصنعت</v>
      </c>
      <c r="F2401" s="19" t="str">
        <f>VLOOKUP(D2401,'لیست پرسنل'!$B$2:$E$1020,4,FALSE)</f>
        <v>سرپرست آی تی</v>
      </c>
      <c r="G2401" s="127">
        <f>VLOOKUP(D2401,'لیست پرسنل'!$B$2:$F$1020,2,FALSE)</f>
        <v>2210</v>
      </c>
      <c r="H2401" s="128" t="s">
        <v>4783</v>
      </c>
      <c r="I2401" s="128"/>
      <c r="J2401" s="128" t="s">
        <v>737</v>
      </c>
      <c r="K2401" s="128" t="s">
        <v>41</v>
      </c>
      <c r="L2401" s="128" t="s">
        <v>283</v>
      </c>
      <c r="M2401" s="127">
        <v>601600</v>
      </c>
      <c r="N2401" s="108"/>
      <c r="O2401" s="20"/>
      <c r="P2401" s="19"/>
      <c r="Q2401" s="19"/>
    </row>
    <row r="2402" spans="1:17" ht="24.9" customHeight="1">
      <c r="A2402" s="20">
        <v>438</v>
      </c>
      <c r="B2402" s="20" t="s">
        <v>4354</v>
      </c>
      <c r="C2402" s="20"/>
      <c r="D2402" s="20" t="s">
        <v>48</v>
      </c>
      <c r="E2402" s="19" t="str">
        <f>VLOOKUP(D2402,'لیست پرسنل'!$B$2:$E$1020,3,FALSE)</f>
        <v>فکورصنعت</v>
      </c>
      <c r="F2402" s="19" t="str">
        <f>VLOOKUP(D2402,'لیست پرسنل'!$B$2:$E$1020,4,FALSE)</f>
        <v>سرپرست آی تی</v>
      </c>
      <c r="G2402" s="127">
        <f>VLOOKUP(D2402,'لیست پرسنل'!$B$2:$F$1020,2,FALSE)</f>
        <v>2210</v>
      </c>
      <c r="H2402" s="128" t="s">
        <v>4783</v>
      </c>
      <c r="I2402" s="128"/>
      <c r="J2402" s="128" t="s">
        <v>737</v>
      </c>
      <c r="K2402" s="128" t="s">
        <v>81</v>
      </c>
      <c r="L2402" s="127" t="s">
        <v>139</v>
      </c>
      <c r="M2402" s="127">
        <v>608420</v>
      </c>
      <c r="N2402" s="109"/>
      <c r="O2402" s="20" t="s">
        <v>5328</v>
      </c>
      <c r="P2402" s="20"/>
      <c r="Q2402" s="20"/>
    </row>
    <row r="2403" spans="1:17" ht="24.9" customHeight="1">
      <c r="A2403" s="20">
        <v>438</v>
      </c>
      <c r="B2403" s="20" t="s">
        <v>4354</v>
      </c>
      <c r="C2403" s="20"/>
      <c r="D2403" s="20" t="s">
        <v>48</v>
      </c>
      <c r="E2403" s="19" t="str">
        <f>VLOOKUP(D2403,'لیست پرسنل'!$B$2:$E$1020,3,FALSE)</f>
        <v>فکورصنعت</v>
      </c>
      <c r="F2403" s="19" t="str">
        <f>VLOOKUP(D2403,'لیست پرسنل'!$B$2:$E$1020,4,FALSE)</f>
        <v>سرپرست آی تی</v>
      </c>
      <c r="G2403" s="127">
        <f>VLOOKUP(D2403,'لیست پرسنل'!$B$2:$F$1020,2,FALSE)</f>
        <v>2210</v>
      </c>
      <c r="H2403" s="128" t="s">
        <v>4783</v>
      </c>
      <c r="I2403" s="128"/>
      <c r="J2403" s="128" t="s">
        <v>737</v>
      </c>
      <c r="K2403" s="128" t="s">
        <v>140</v>
      </c>
      <c r="L2403" s="127" t="s">
        <v>459</v>
      </c>
      <c r="M2403" s="127">
        <v>609508</v>
      </c>
      <c r="N2403" s="109"/>
      <c r="O2403" s="20"/>
      <c r="P2403" s="20"/>
      <c r="Q2403" s="20"/>
    </row>
    <row r="2404" spans="1:17" ht="24.9" customHeight="1">
      <c r="A2404" s="20">
        <v>438</v>
      </c>
      <c r="B2404" s="20" t="s">
        <v>4354</v>
      </c>
      <c r="C2404" s="20"/>
      <c r="D2404" s="20" t="s">
        <v>48</v>
      </c>
      <c r="E2404" s="19" t="str">
        <f>VLOOKUP(D2404,'لیست پرسنل'!$B$2:$E$1020,3,FALSE)</f>
        <v>فکورصنعت</v>
      </c>
      <c r="F2404" s="19" t="str">
        <f>VLOOKUP(D2404,'لیست پرسنل'!$B$2:$E$1020,4,FALSE)</f>
        <v>سرپرست آی تی</v>
      </c>
      <c r="G2404" s="127">
        <f>VLOOKUP(D2404,'لیست پرسنل'!$B$2:$F$1020,2,FALSE)</f>
        <v>2210</v>
      </c>
      <c r="H2404" s="128" t="s">
        <v>4783</v>
      </c>
      <c r="I2404" s="128"/>
      <c r="J2404" s="128" t="s">
        <v>737</v>
      </c>
      <c r="K2404" s="128" t="s">
        <v>81</v>
      </c>
      <c r="L2404" s="127" t="s">
        <v>143</v>
      </c>
      <c r="M2404" s="127">
        <v>618644</v>
      </c>
      <c r="N2404" s="109"/>
      <c r="O2404" s="20" t="s">
        <v>4322</v>
      </c>
      <c r="P2404" s="20"/>
      <c r="Q2404" s="20"/>
    </row>
    <row r="2405" spans="1:17" ht="24.9" customHeight="1">
      <c r="A2405" s="20">
        <v>438</v>
      </c>
      <c r="B2405" s="20" t="s">
        <v>4354</v>
      </c>
      <c r="C2405" s="20"/>
      <c r="D2405" s="20" t="s">
        <v>48</v>
      </c>
      <c r="E2405" s="19" t="str">
        <f>VLOOKUP(D2405,'لیست پرسنل'!$B$2:$E$1020,3,FALSE)</f>
        <v>فکورصنعت</v>
      </c>
      <c r="F2405" s="19" t="str">
        <f>VLOOKUP(D2405,'لیست پرسنل'!$B$2:$E$1020,4,FALSE)</f>
        <v>سرپرست آی تی</v>
      </c>
      <c r="G2405" s="127">
        <f>VLOOKUP(D2405,'لیست پرسنل'!$B$2:$F$1020,2,FALSE)</f>
        <v>2210</v>
      </c>
      <c r="H2405" s="128" t="s">
        <v>4783</v>
      </c>
      <c r="I2405" s="128"/>
      <c r="J2405" s="128" t="s">
        <v>737</v>
      </c>
      <c r="K2405" s="128" t="s">
        <v>4673</v>
      </c>
      <c r="L2405" s="127" t="s">
        <v>4687</v>
      </c>
      <c r="M2405" s="127">
        <v>634087</v>
      </c>
      <c r="N2405" s="109"/>
      <c r="O2405" s="19" t="s">
        <v>6704</v>
      </c>
      <c r="P2405" s="32"/>
      <c r="Q2405" s="32"/>
    </row>
    <row r="2406" spans="1:17" ht="24.9" customHeight="1">
      <c r="A2406" s="20">
        <v>438</v>
      </c>
      <c r="B2406" s="20" t="s">
        <v>4354</v>
      </c>
      <c r="C2406" s="20"/>
      <c r="D2406" s="20" t="s">
        <v>48</v>
      </c>
      <c r="E2406" s="19" t="str">
        <f>VLOOKUP(D2406,'لیست پرسنل'!$B$2:$E$1020,3,FALSE)</f>
        <v>فکورصنعت</v>
      </c>
      <c r="F2406" s="19" t="str">
        <f>VLOOKUP(D2406,'لیست پرسنل'!$B$2:$E$1020,4,FALSE)</f>
        <v>سرپرست آی تی</v>
      </c>
      <c r="G2406" s="127">
        <f>VLOOKUP(D2406,'لیست پرسنل'!$B$2:$F$1020,2,FALSE)</f>
        <v>2210</v>
      </c>
      <c r="H2406" s="128" t="s">
        <v>4783</v>
      </c>
      <c r="I2406" s="128"/>
      <c r="J2406" s="128" t="s">
        <v>737</v>
      </c>
      <c r="K2406" s="128" t="s">
        <v>8114</v>
      </c>
      <c r="L2406" s="127" t="s">
        <v>447</v>
      </c>
      <c r="M2406" s="127">
        <v>10000932</v>
      </c>
      <c r="N2406" s="109"/>
      <c r="O2406" s="20"/>
      <c r="P2406" s="20"/>
      <c r="Q2406" s="20"/>
    </row>
    <row r="2407" spans="1:17" ht="24.9" customHeight="1">
      <c r="A2407" s="20">
        <v>438</v>
      </c>
      <c r="B2407" s="20" t="s">
        <v>4354</v>
      </c>
      <c r="C2407" s="20"/>
      <c r="D2407" s="20" t="s">
        <v>48</v>
      </c>
      <c r="E2407" s="19" t="str">
        <f>VLOOKUP(D2407,'لیست پرسنل'!$B$2:$E$1020,3,FALSE)</f>
        <v>فکورصنعت</v>
      </c>
      <c r="F2407" s="19" t="str">
        <f>VLOOKUP(D2407,'لیست پرسنل'!$B$2:$E$1020,4,FALSE)</f>
        <v>سرپرست آی تی</v>
      </c>
      <c r="G2407" s="127">
        <f>VLOOKUP(D2407,'لیست پرسنل'!$B$2:$F$1020,2,FALSE)</f>
        <v>2210</v>
      </c>
      <c r="H2407" s="128" t="s">
        <v>4783</v>
      </c>
      <c r="I2407" s="128"/>
      <c r="J2407" s="128" t="s">
        <v>4734</v>
      </c>
      <c r="K2407" s="128" t="s">
        <v>4734</v>
      </c>
      <c r="L2407" s="128"/>
      <c r="M2407" s="127">
        <v>629409</v>
      </c>
      <c r="N2407" s="111"/>
      <c r="O2407" s="20"/>
      <c r="P2407" s="20"/>
      <c r="Q2407" s="20"/>
    </row>
    <row r="2408" spans="1:17" ht="24.9" customHeight="1">
      <c r="A2408" s="20">
        <v>438</v>
      </c>
      <c r="B2408" s="20" t="s">
        <v>4354</v>
      </c>
      <c r="C2408" s="20"/>
      <c r="D2408" s="20" t="s">
        <v>48</v>
      </c>
      <c r="E2408" s="19" t="str">
        <f>VLOOKUP(D2408,'لیست پرسنل'!$B$2:$E$1020,3,FALSE)</f>
        <v>فکورصنعت</v>
      </c>
      <c r="F2408" s="19" t="str">
        <f>VLOOKUP(D2408,'لیست پرسنل'!$B$2:$E$1020,4,FALSE)</f>
        <v>سرپرست آی تی</v>
      </c>
      <c r="G2408" s="127">
        <f>VLOOKUP(D2408,'لیست پرسنل'!$B$2:$F$1020,2,FALSE)</f>
        <v>2210</v>
      </c>
      <c r="H2408" s="127" t="s">
        <v>4783</v>
      </c>
      <c r="I2408" s="127"/>
      <c r="J2408" s="126" t="s">
        <v>368</v>
      </c>
      <c r="K2408" s="128" t="s">
        <v>2846</v>
      </c>
      <c r="L2408" s="126"/>
      <c r="M2408" s="126">
        <v>618888</v>
      </c>
      <c r="N2408" s="109"/>
      <c r="O2408" s="31"/>
      <c r="P2408" s="20"/>
      <c r="Q2408" s="20"/>
    </row>
    <row r="2409" spans="1:17" ht="24.9" customHeight="1">
      <c r="A2409" s="20">
        <v>438</v>
      </c>
      <c r="B2409" s="20" t="s">
        <v>4354</v>
      </c>
      <c r="C2409" s="20"/>
      <c r="D2409" s="20" t="s">
        <v>48</v>
      </c>
      <c r="E2409" s="19" t="str">
        <f>VLOOKUP(D2409,'لیست پرسنل'!$B$2:$E$1020,3,FALSE)</f>
        <v>فکورصنعت</v>
      </c>
      <c r="F2409" s="19" t="str">
        <f>VLOOKUP(D2409,'لیست پرسنل'!$B$2:$E$1020,4,FALSE)</f>
        <v>سرپرست آی تی</v>
      </c>
      <c r="G2409" s="127">
        <f>VLOOKUP(D2409,'لیست پرسنل'!$B$2:$F$1020,2,FALSE)</f>
        <v>2210</v>
      </c>
      <c r="H2409" s="128" t="s">
        <v>4783</v>
      </c>
      <c r="I2409" s="128"/>
      <c r="J2409" s="128" t="s">
        <v>368</v>
      </c>
      <c r="K2409" s="128" t="s">
        <v>1817</v>
      </c>
      <c r="L2409" s="128" t="s">
        <v>1873</v>
      </c>
      <c r="M2409" s="127">
        <v>621759</v>
      </c>
      <c r="N2409" s="108"/>
      <c r="O2409" s="20"/>
      <c r="P2409" s="20"/>
      <c r="Q2409" s="20"/>
    </row>
    <row r="2410" spans="1:17" ht="24.9" customHeight="1">
      <c r="A2410" s="20">
        <v>438</v>
      </c>
      <c r="B2410" s="20" t="s">
        <v>4354</v>
      </c>
      <c r="C2410" s="20"/>
      <c r="D2410" s="20" t="s">
        <v>48</v>
      </c>
      <c r="E2410" s="19" t="str">
        <f>VLOOKUP(D2410,'لیست پرسنل'!$B$2:$E$1020,3,FALSE)</f>
        <v>فکورصنعت</v>
      </c>
      <c r="F2410" s="19" t="str">
        <f>VLOOKUP(D2410,'لیست پرسنل'!$B$2:$E$1020,4,FALSE)</f>
        <v>سرپرست آی تی</v>
      </c>
      <c r="G2410" s="127">
        <f>VLOOKUP(D2410,'لیست پرسنل'!$B$2:$F$1020,2,FALSE)</f>
        <v>2210</v>
      </c>
      <c r="H2410" s="128" t="s">
        <v>4783</v>
      </c>
      <c r="I2410" s="128"/>
      <c r="J2410" s="126" t="s">
        <v>368</v>
      </c>
      <c r="K2410" s="128" t="s">
        <v>693</v>
      </c>
      <c r="L2410" s="167"/>
      <c r="M2410" s="127">
        <v>622813</v>
      </c>
      <c r="N2410" s="109"/>
      <c r="O2410" s="20"/>
      <c r="P2410" s="20"/>
      <c r="Q2410" s="20"/>
    </row>
    <row r="2411" spans="1:17" ht="24.9" customHeight="1">
      <c r="A2411" s="20">
        <v>438</v>
      </c>
      <c r="B2411" s="20" t="s">
        <v>4354</v>
      </c>
      <c r="C2411" s="20"/>
      <c r="D2411" s="20" t="s">
        <v>48</v>
      </c>
      <c r="E2411" s="19" t="str">
        <f>VLOOKUP(D2411,'لیست پرسنل'!$B$2:$E$1020,3,FALSE)</f>
        <v>فکورصنعت</v>
      </c>
      <c r="F2411" s="19" t="str">
        <f>VLOOKUP(D2411,'لیست پرسنل'!$B$2:$E$1020,4,FALSE)</f>
        <v>سرپرست آی تی</v>
      </c>
      <c r="G2411" s="127">
        <f>VLOOKUP(D2411,'لیست پرسنل'!$B$2:$F$1020,2,FALSE)</f>
        <v>2210</v>
      </c>
      <c r="H2411" s="128" t="s">
        <v>4783</v>
      </c>
      <c r="I2411" s="128"/>
      <c r="J2411" s="126" t="s">
        <v>368</v>
      </c>
      <c r="K2411" s="128" t="s">
        <v>682</v>
      </c>
      <c r="L2411" s="127"/>
      <c r="M2411" s="127">
        <v>622819</v>
      </c>
      <c r="N2411" s="109"/>
      <c r="O2411" s="20"/>
      <c r="P2411" s="20"/>
      <c r="Q2411" s="20"/>
    </row>
    <row r="2412" spans="1:17" ht="24.9" customHeight="1">
      <c r="A2412" s="20">
        <v>438</v>
      </c>
      <c r="B2412" s="20" t="s">
        <v>4354</v>
      </c>
      <c r="C2412" s="20"/>
      <c r="D2412" s="20" t="s">
        <v>48</v>
      </c>
      <c r="E2412" s="19" t="str">
        <f>VLOOKUP(D2412,'لیست پرسنل'!$B$2:$E$1020,3,FALSE)</f>
        <v>فکورصنعت</v>
      </c>
      <c r="F2412" s="19" t="str">
        <f>VLOOKUP(D2412,'لیست پرسنل'!$B$2:$E$1020,4,FALSE)</f>
        <v>سرپرست آی تی</v>
      </c>
      <c r="G2412" s="127">
        <f>VLOOKUP(D2412,'لیست پرسنل'!$B$2:$F$1020,2,FALSE)</f>
        <v>2210</v>
      </c>
      <c r="H2412" s="128" t="s">
        <v>4783</v>
      </c>
      <c r="I2412" s="128"/>
      <c r="J2412" s="126" t="s">
        <v>368</v>
      </c>
      <c r="K2412" s="128" t="s">
        <v>2846</v>
      </c>
      <c r="L2412" s="128"/>
      <c r="M2412" s="128">
        <v>623218</v>
      </c>
      <c r="N2412" s="109"/>
      <c r="O2412" s="20"/>
      <c r="P2412" s="20"/>
      <c r="Q2412" s="19"/>
    </row>
    <row r="2413" spans="1:17" ht="24.9" customHeight="1">
      <c r="A2413" s="20">
        <v>438</v>
      </c>
      <c r="B2413" s="20" t="s">
        <v>4354</v>
      </c>
      <c r="C2413" s="20"/>
      <c r="D2413" s="19" t="s">
        <v>48</v>
      </c>
      <c r="E2413" s="19" t="str">
        <f>VLOOKUP(D2413,'لیست پرسنل'!$B$2:$E$1020,3,FALSE)</f>
        <v>فکورصنعت</v>
      </c>
      <c r="F2413" s="19" t="str">
        <f>VLOOKUP(D2413,'لیست پرسنل'!$B$2:$E$1020,4,FALSE)</f>
        <v>سرپرست آی تی</v>
      </c>
      <c r="G2413" s="127">
        <f>VLOOKUP(D2413,'لیست پرسنل'!$B$2:$F$1020,2,FALSE)</f>
        <v>2210</v>
      </c>
      <c r="H2413" s="127" t="s">
        <v>4783</v>
      </c>
      <c r="I2413" s="128"/>
      <c r="J2413" s="126" t="s">
        <v>368</v>
      </c>
      <c r="K2413" s="127" t="s">
        <v>2846</v>
      </c>
      <c r="L2413" s="128" t="s">
        <v>1863</v>
      </c>
      <c r="M2413" s="128">
        <v>623227</v>
      </c>
      <c r="N2413" s="119"/>
      <c r="O2413" s="20"/>
      <c r="P2413" s="20"/>
      <c r="Q2413" s="20"/>
    </row>
    <row r="2414" spans="1:17" ht="24.9" customHeight="1">
      <c r="A2414" s="20">
        <v>438</v>
      </c>
      <c r="B2414" s="20" t="s">
        <v>4354</v>
      </c>
      <c r="C2414" s="20"/>
      <c r="D2414" s="20" t="s">
        <v>48</v>
      </c>
      <c r="E2414" s="19" t="str">
        <f>VLOOKUP(D2414,'لیست پرسنل'!$B$2:$E$1020,3,FALSE)</f>
        <v>فکورصنعت</v>
      </c>
      <c r="F2414" s="19" t="str">
        <f>VLOOKUP(D2414,'لیست پرسنل'!$B$2:$E$1020,4,FALSE)</f>
        <v>سرپرست آی تی</v>
      </c>
      <c r="G2414" s="127">
        <f>VLOOKUP(D2414,'لیست پرسنل'!$B$2:$F$1020,2,FALSE)</f>
        <v>2210</v>
      </c>
      <c r="H2414" s="128" t="s">
        <v>4783</v>
      </c>
      <c r="I2414" s="128"/>
      <c r="J2414" s="128" t="s">
        <v>368</v>
      </c>
      <c r="K2414" s="128" t="s">
        <v>2846</v>
      </c>
      <c r="L2414" s="128" t="s">
        <v>1492</v>
      </c>
      <c r="M2414" s="128">
        <v>625116</v>
      </c>
      <c r="N2414" s="108"/>
      <c r="O2414" s="46"/>
      <c r="P2414" s="20"/>
      <c r="Q2414" s="20"/>
    </row>
    <row r="2415" spans="1:17" ht="24.9" customHeight="1">
      <c r="A2415" s="20">
        <v>438</v>
      </c>
      <c r="B2415" s="20" t="s">
        <v>4354</v>
      </c>
      <c r="C2415" s="20"/>
      <c r="D2415" s="20" t="s">
        <v>48</v>
      </c>
      <c r="E2415" s="19" t="str">
        <f>VLOOKUP(D2415,'لیست پرسنل'!$B$2:$E$1020,3,FALSE)</f>
        <v>فکورصنعت</v>
      </c>
      <c r="F2415" s="19" t="str">
        <f>VLOOKUP(D2415,'لیست پرسنل'!$B$2:$E$1020,4,FALSE)</f>
        <v>سرپرست آی تی</v>
      </c>
      <c r="G2415" s="127">
        <f>VLOOKUP(D2415,'لیست پرسنل'!$B$2:$F$1020,2,FALSE)</f>
        <v>2210</v>
      </c>
      <c r="H2415" s="128" t="s">
        <v>4783</v>
      </c>
      <c r="I2415" s="128"/>
      <c r="J2415" s="126" t="s">
        <v>368</v>
      </c>
      <c r="K2415" s="128" t="s">
        <v>2846</v>
      </c>
      <c r="L2415" s="127" t="s">
        <v>4765</v>
      </c>
      <c r="M2415" s="127">
        <v>633710</v>
      </c>
      <c r="N2415" s="109"/>
      <c r="O2415" s="19" t="s">
        <v>6255</v>
      </c>
      <c r="P2415" s="32"/>
      <c r="Q2415" s="32"/>
    </row>
    <row r="2416" spans="1:17" ht="24.9" customHeight="1">
      <c r="A2416" s="20">
        <v>438</v>
      </c>
      <c r="B2416" s="20" t="s">
        <v>4354</v>
      </c>
      <c r="C2416" s="20"/>
      <c r="D2416" s="20" t="s">
        <v>48</v>
      </c>
      <c r="E2416" s="19" t="str">
        <f>VLOOKUP(D2416,'لیست پرسنل'!$B$2:$E$1020,3,FALSE)</f>
        <v>فکورصنعت</v>
      </c>
      <c r="F2416" s="19" t="str">
        <f>VLOOKUP(D2416,'لیست پرسنل'!$B$2:$E$1020,4,FALSE)</f>
        <v>سرپرست آی تی</v>
      </c>
      <c r="G2416" s="127">
        <f>VLOOKUP(D2416,'لیست پرسنل'!$B$2:$F$1020,2,FALSE)</f>
        <v>2210</v>
      </c>
      <c r="H2416" s="128" t="s">
        <v>4783</v>
      </c>
      <c r="I2416" s="128"/>
      <c r="J2416" s="126" t="s">
        <v>368</v>
      </c>
      <c r="K2416" s="128" t="s">
        <v>2846</v>
      </c>
      <c r="L2416" s="127" t="s">
        <v>1362</v>
      </c>
      <c r="M2416" s="127">
        <v>633713</v>
      </c>
      <c r="N2416" s="109"/>
      <c r="O2416" s="19" t="s">
        <v>6361</v>
      </c>
      <c r="P2416" s="32"/>
      <c r="Q2416" s="32"/>
    </row>
    <row r="2417" spans="1:17" ht="24.9" customHeight="1">
      <c r="A2417" s="20">
        <v>438</v>
      </c>
      <c r="B2417" s="20" t="s">
        <v>4354</v>
      </c>
      <c r="C2417" s="20"/>
      <c r="D2417" s="20" t="s">
        <v>48</v>
      </c>
      <c r="E2417" s="19" t="str">
        <f>VLOOKUP(D2417,'لیست پرسنل'!$B$2:$E$1020,3,FALSE)</f>
        <v>فکورصنعت</v>
      </c>
      <c r="F2417" s="19" t="str">
        <f>VLOOKUP(D2417,'لیست پرسنل'!$B$2:$E$1020,4,FALSE)</f>
        <v>سرپرست آی تی</v>
      </c>
      <c r="G2417" s="127">
        <f>VLOOKUP(D2417,'لیست پرسنل'!$B$2:$F$1020,2,FALSE)</f>
        <v>2210</v>
      </c>
      <c r="H2417" s="128" t="s">
        <v>4783</v>
      </c>
      <c r="I2417" s="128"/>
      <c r="J2417" s="126" t="s">
        <v>368</v>
      </c>
      <c r="K2417" s="128" t="s">
        <v>2846</v>
      </c>
      <c r="L2417" s="127" t="s">
        <v>466</v>
      </c>
      <c r="M2417" s="127">
        <v>633716</v>
      </c>
      <c r="N2417" s="109"/>
      <c r="O2417" s="19" t="s">
        <v>6364</v>
      </c>
      <c r="P2417" s="32"/>
      <c r="Q2417" s="32"/>
    </row>
    <row r="2418" spans="1:17" ht="24.9" customHeight="1">
      <c r="A2418" s="20">
        <v>438</v>
      </c>
      <c r="B2418" s="20" t="s">
        <v>4354</v>
      </c>
      <c r="C2418" s="20"/>
      <c r="D2418" s="20" t="s">
        <v>48</v>
      </c>
      <c r="E2418" s="19" t="str">
        <f>VLOOKUP(D2418,'لیست پرسنل'!$B$2:$E$1020,3,FALSE)</f>
        <v>فکورصنعت</v>
      </c>
      <c r="F2418" s="19" t="str">
        <f>VLOOKUP(D2418,'لیست پرسنل'!$B$2:$E$1020,4,FALSE)</f>
        <v>سرپرست آی تی</v>
      </c>
      <c r="G2418" s="127">
        <f>VLOOKUP(D2418,'لیست پرسنل'!$B$2:$F$1020,2,FALSE)</f>
        <v>2210</v>
      </c>
      <c r="H2418" s="128" t="s">
        <v>4783</v>
      </c>
      <c r="I2418" s="128"/>
      <c r="J2418" s="126" t="s">
        <v>368</v>
      </c>
      <c r="K2418" s="128" t="s">
        <v>2846</v>
      </c>
      <c r="L2418" s="127" t="s">
        <v>4670</v>
      </c>
      <c r="M2418" s="127">
        <v>633719</v>
      </c>
      <c r="N2418" s="109"/>
      <c r="O2418" s="19" t="s">
        <v>6367</v>
      </c>
      <c r="P2418" s="32"/>
      <c r="Q2418" s="32"/>
    </row>
    <row r="2419" spans="1:17" ht="24.9" customHeight="1">
      <c r="A2419" s="20">
        <v>438</v>
      </c>
      <c r="B2419" s="20" t="s">
        <v>4354</v>
      </c>
      <c r="C2419" s="20"/>
      <c r="D2419" s="20" t="s">
        <v>48</v>
      </c>
      <c r="E2419" s="19" t="str">
        <f>VLOOKUP(D2419,'لیست پرسنل'!$B$2:$E$1020,3,FALSE)</f>
        <v>فکورصنعت</v>
      </c>
      <c r="F2419" s="19" t="str">
        <f>VLOOKUP(D2419,'لیست پرسنل'!$B$2:$E$1020,4,FALSE)</f>
        <v>سرپرست آی تی</v>
      </c>
      <c r="G2419" s="127">
        <f>VLOOKUP(D2419,'لیست پرسنل'!$B$2:$F$1020,2,FALSE)</f>
        <v>2210</v>
      </c>
      <c r="H2419" s="128" t="s">
        <v>4783</v>
      </c>
      <c r="I2419" s="128"/>
      <c r="J2419" s="126" t="s">
        <v>368</v>
      </c>
      <c r="K2419" s="128" t="s">
        <v>2846</v>
      </c>
      <c r="L2419" s="127" t="s">
        <v>1367</v>
      </c>
      <c r="M2419" s="127">
        <v>633745</v>
      </c>
      <c r="N2419" s="109"/>
      <c r="O2419" s="19" t="s">
        <v>6400</v>
      </c>
      <c r="P2419" s="32"/>
      <c r="Q2419" s="32"/>
    </row>
    <row r="2420" spans="1:17" ht="24.9" customHeight="1">
      <c r="A2420" s="20">
        <v>438</v>
      </c>
      <c r="B2420" s="20" t="s">
        <v>4354</v>
      </c>
      <c r="C2420" s="20"/>
      <c r="D2420" s="20" t="s">
        <v>48</v>
      </c>
      <c r="E2420" s="19" t="str">
        <f>VLOOKUP(D2420,'لیست پرسنل'!$B$2:$E$1020,3,FALSE)</f>
        <v>فکورصنعت</v>
      </c>
      <c r="F2420" s="19" t="str">
        <f>VLOOKUP(D2420,'لیست پرسنل'!$B$2:$E$1020,4,FALSE)</f>
        <v>سرپرست آی تی</v>
      </c>
      <c r="G2420" s="127">
        <f>VLOOKUP(D2420,'لیست پرسنل'!$B$2:$F$1020,2,FALSE)</f>
        <v>2210</v>
      </c>
      <c r="H2420" s="128" t="s">
        <v>4783</v>
      </c>
      <c r="I2420" s="128"/>
      <c r="J2420" s="126" t="s">
        <v>368</v>
      </c>
      <c r="K2420" s="128" t="s">
        <v>2846</v>
      </c>
      <c r="L2420" s="127" t="s">
        <v>4669</v>
      </c>
      <c r="M2420" s="127">
        <v>633748</v>
      </c>
      <c r="N2420" s="109"/>
      <c r="O2420" s="19" t="s">
        <v>6403</v>
      </c>
      <c r="P2420" s="32"/>
      <c r="Q2420" s="32"/>
    </row>
    <row r="2421" spans="1:17" ht="24.9" customHeight="1">
      <c r="A2421" s="20">
        <v>438</v>
      </c>
      <c r="B2421" s="20" t="s">
        <v>4354</v>
      </c>
      <c r="C2421" s="20"/>
      <c r="D2421" s="20" t="s">
        <v>48</v>
      </c>
      <c r="E2421" s="19" t="str">
        <f>VLOOKUP(D2421,'لیست پرسنل'!$B$2:$E$1020,3,FALSE)</f>
        <v>فکورصنعت</v>
      </c>
      <c r="F2421" s="19" t="str">
        <f>VLOOKUP(D2421,'لیست پرسنل'!$B$2:$E$1020,4,FALSE)</f>
        <v>سرپرست آی تی</v>
      </c>
      <c r="G2421" s="127">
        <f>VLOOKUP(D2421,'لیست پرسنل'!$B$2:$F$1020,2,FALSE)</f>
        <v>2210</v>
      </c>
      <c r="H2421" s="128" t="s">
        <v>4783</v>
      </c>
      <c r="I2421" s="128"/>
      <c r="J2421" s="126" t="s">
        <v>368</v>
      </c>
      <c r="K2421" s="128" t="s">
        <v>2846</v>
      </c>
      <c r="L2421" s="127" t="s">
        <v>4668</v>
      </c>
      <c r="M2421" s="127">
        <v>633766</v>
      </c>
      <c r="N2421" s="109"/>
      <c r="O2421" s="19" t="s">
        <v>6413</v>
      </c>
      <c r="P2421" s="32"/>
      <c r="Q2421" s="32"/>
    </row>
    <row r="2422" spans="1:17" ht="24.9" customHeight="1">
      <c r="A2422" s="20">
        <v>438</v>
      </c>
      <c r="B2422" s="20" t="s">
        <v>4354</v>
      </c>
      <c r="C2422" s="20"/>
      <c r="D2422" s="20" t="s">
        <v>48</v>
      </c>
      <c r="E2422" s="19" t="str">
        <f>VLOOKUP(D2422,'لیست پرسنل'!$B$2:$E$1020,3,FALSE)</f>
        <v>فکورصنعت</v>
      </c>
      <c r="F2422" s="19" t="str">
        <f>VLOOKUP(D2422,'لیست پرسنل'!$B$2:$E$1020,4,FALSE)</f>
        <v>سرپرست آی تی</v>
      </c>
      <c r="G2422" s="127">
        <f>VLOOKUP(D2422,'لیست پرسنل'!$B$2:$F$1020,2,FALSE)</f>
        <v>2210</v>
      </c>
      <c r="H2422" s="128" t="s">
        <v>4783</v>
      </c>
      <c r="I2422" s="128"/>
      <c r="J2422" s="126" t="s">
        <v>368</v>
      </c>
      <c r="K2422" s="128" t="s">
        <v>2846</v>
      </c>
      <c r="L2422" s="127" t="s">
        <v>4847</v>
      </c>
      <c r="M2422" s="127">
        <v>633767</v>
      </c>
      <c r="N2422" s="109"/>
      <c r="O2422" s="19" t="s">
        <v>6414</v>
      </c>
      <c r="P2422" s="32"/>
      <c r="Q2422" s="32"/>
    </row>
    <row r="2423" spans="1:17" ht="24.9" customHeight="1">
      <c r="A2423" s="20">
        <v>438</v>
      </c>
      <c r="B2423" s="20" t="s">
        <v>4354</v>
      </c>
      <c r="C2423" s="20"/>
      <c r="D2423" s="20" t="s">
        <v>48</v>
      </c>
      <c r="E2423" s="19" t="str">
        <f>VLOOKUP(D2423,'لیست پرسنل'!$B$2:$E$1020,3,FALSE)</f>
        <v>فکورصنعت</v>
      </c>
      <c r="F2423" s="19" t="str">
        <f>VLOOKUP(D2423,'لیست پرسنل'!$B$2:$E$1020,4,FALSE)</f>
        <v>سرپرست آی تی</v>
      </c>
      <c r="G2423" s="127">
        <f>VLOOKUP(D2423,'لیست پرسنل'!$B$2:$F$1020,2,FALSE)</f>
        <v>2210</v>
      </c>
      <c r="H2423" s="126" t="s">
        <v>4783</v>
      </c>
      <c r="I2423" s="128"/>
      <c r="J2423" s="128" t="s">
        <v>368</v>
      </c>
      <c r="K2423" s="128" t="s">
        <v>7890</v>
      </c>
      <c r="L2423" s="151" t="s">
        <v>7896</v>
      </c>
      <c r="M2423" s="128" t="s">
        <v>291</v>
      </c>
      <c r="N2423" s="109"/>
      <c r="O2423" s="19" t="s">
        <v>7903</v>
      </c>
      <c r="P2423" s="32"/>
      <c r="Q2423" s="32"/>
    </row>
    <row r="2424" spans="1:17" ht="24.9" customHeight="1">
      <c r="A2424" s="20">
        <v>438</v>
      </c>
      <c r="B2424" s="20" t="s">
        <v>4354</v>
      </c>
      <c r="C2424" s="20"/>
      <c r="D2424" s="20" t="s">
        <v>48</v>
      </c>
      <c r="E2424" s="19" t="str">
        <f>VLOOKUP(D2424,'لیست پرسنل'!$B$2:$E$1020,3,FALSE)</f>
        <v>فکورصنعت</v>
      </c>
      <c r="F2424" s="19" t="str">
        <f>VLOOKUP(D2424,'لیست پرسنل'!$B$2:$E$1020,4,FALSE)</f>
        <v>سرپرست آی تی</v>
      </c>
      <c r="G2424" s="127">
        <f>VLOOKUP(D2424,'لیست پرسنل'!$B$2:$F$1020,2,FALSE)</f>
        <v>2210</v>
      </c>
      <c r="H2424" s="126" t="s">
        <v>4783</v>
      </c>
      <c r="I2424" s="128"/>
      <c r="J2424" s="128" t="s">
        <v>368</v>
      </c>
      <c r="K2424" s="128" t="s">
        <v>1272</v>
      </c>
      <c r="L2424" s="151" t="s">
        <v>7897</v>
      </c>
      <c r="M2424" s="128" t="s">
        <v>291</v>
      </c>
      <c r="N2424" s="109"/>
      <c r="O2424" s="19" t="s">
        <v>7903</v>
      </c>
      <c r="P2424" s="32"/>
      <c r="Q2424" s="32"/>
    </row>
    <row r="2425" spans="1:17" ht="24.9" customHeight="1">
      <c r="A2425" s="20">
        <v>438</v>
      </c>
      <c r="B2425" s="20" t="s">
        <v>4354</v>
      </c>
      <c r="C2425" s="20"/>
      <c r="D2425" s="20" t="s">
        <v>48</v>
      </c>
      <c r="E2425" s="19" t="str">
        <f>VLOOKUP(D2425,'لیست پرسنل'!$B$2:$E$1020,3,FALSE)</f>
        <v>فکورصنعت</v>
      </c>
      <c r="F2425" s="19" t="str">
        <f>VLOOKUP(D2425,'لیست پرسنل'!$B$2:$E$1020,4,FALSE)</f>
        <v>سرپرست آی تی</v>
      </c>
      <c r="G2425" s="127">
        <f>VLOOKUP(D2425,'لیست پرسنل'!$B$2:$F$1020,2,FALSE)</f>
        <v>2210</v>
      </c>
      <c r="H2425" s="126" t="s">
        <v>4783</v>
      </c>
      <c r="I2425" s="128"/>
      <c r="J2425" s="128" t="s">
        <v>368</v>
      </c>
      <c r="K2425" s="128" t="s">
        <v>7891</v>
      </c>
      <c r="L2425" s="151" t="s">
        <v>7898</v>
      </c>
      <c r="M2425" s="128" t="s">
        <v>291</v>
      </c>
      <c r="N2425" s="109"/>
      <c r="O2425" s="19" t="s">
        <v>7903</v>
      </c>
      <c r="P2425" s="32"/>
      <c r="Q2425" s="32"/>
    </row>
    <row r="2426" spans="1:17" ht="24.9" customHeight="1">
      <c r="A2426" s="20">
        <v>438</v>
      </c>
      <c r="B2426" s="20" t="s">
        <v>4354</v>
      </c>
      <c r="C2426" s="20"/>
      <c r="D2426" s="20" t="s">
        <v>48</v>
      </c>
      <c r="E2426" s="19" t="str">
        <f>VLOOKUP(D2426,'لیست پرسنل'!$B$2:$E$1020,3,FALSE)</f>
        <v>فکورصنعت</v>
      </c>
      <c r="F2426" s="19" t="str">
        <f>VLOOKUP(D2426,'لیست پرسنل'!$B$2:$E$1020,4,FALSE)</f>
        <v>سرپرست آی تی</v>
      </c>
      <c r="G2426" s="127">
        <f>VLOOKUP(D2426,'لیست پرسنل'!$B$2:$F$1020,2,FALSE)</f>
        <v>2210</v>
      </c>
      <c r="H2426" s="126" t="s">
        <v>4783</v>
      </c>
      <c r="I2426" s="128"/>
      <c r="J2426" s="128" t="s">
        <v>368</v>
      </c>
      <c r="K2426" s="128" t="s">
        <v>7891</v>
      </c>
      <c r="L2426" s="151" t="s">
        <v>7899</v>
      </c>
      <c r="M2426" s="128" t="s">
        <v>291</v>
      </c>
      <c r="N2426" s="109"/>
      <c r="O2426" s="19" t="s">
        <v>7903</v>
      </c>
      <c r="P2426" s="32"/>
      <c r="Q2426" s="32"/>
    </row>
    <row r="2427" spans="1:17" ht="24.9" customHeight="1">
      <c r="A2427" s="20">
        <v>438</v>
      </c>
      <c r="B2427" s="20" t="s">
        <v>4354</v>
      </c>
      <c r="C2427" s="20"/>
      <c r="D2427" s="20" t="s">
        <v>48</v>
      </c>
      <c r="E2427" s="19" t="str">
        <f>VLOOKUP(D2427,'لیست پرسنل'!$B$2:$E$1020,3,FALSE)</f>
        <v>فکورصنعت</v>
      </c>
      <c r="F2427" s="19" t="str">
        <f>VLOOKUP(D2427,'لیست پرسنل'!$B$2:$E$1020,4,FALSE)</f>
        <v>سرپرست آی تی</v>
      </c>
      <c r="G2427" s="127">
        <f>VLOOKUP(D2427,'لیست پرسنل'!$B$2:$F$1020,2,FALSE)</f>
        <v>2210</v>
      </c>
      <c r="H2427" s="126" t="s">
        <v>4783</v>
      </c>
      <c r="I2427" s="128"/>
      <c r="J2427" s="128" t="s">
        <v>368</v>
      </c>
      <c r="K2427" s="128" t="s">
        <v>7891</v>
      </c>
      <c r="L2427" s="151" t="s">
        <v>7900</v>
      </c>
      <c r="M2427" s="128" t="s">
        <v>291</v>
      </c>
      <c r="N2427" s="109"/>
      <c r="O2427" s="19" t="s">
        <v>7903</v>
      </c>
      <c r="P2427" s="32"/>
      <c r="Q2427" s="32"/>
    </row>
    <row r="2428" spans="1:17" ht="24.9" customHeight="1">
      <c r="A2428" s="20">
        <v>438</v>
      </c>
      <c r="B2428" s="20" t="s">
        <v>4354</v>
      </c>
      <c r="C2428" s="20"/>
      <c r="D2428" s="20" t="s">
        <v>48</v>
      </c>
      <c r="E2428" s="19" t="str">
        <f>VLOOKUP(D2428,'لیست پرسنل'!$B$2:$E$1020,3,FALSE)</f>
        <v>فکورصنعت</v>
      </c>
      <c r="F2428" s="19" t="str">
        <f>VLOOKUP(D2428,'لیست پرسنل'!$B$2:$E$1020,4,FALSE)</f>
        <v>سرپرست آی تی</v>
      </c>
      <c r="G2428" s="127">
        <f>VLOOKUP(D2428,'لیست پرسنل'!$B$2:$F$1020,2,FALSE)</f>
        <v>2210</v>
      </c>
      <c r="H2428" s="126" t="s">
        <v>4783</v>
      </c>
      <c r="I2428" s="128"/>
      <c r="J2428" s="128" t="s">
        <v>368</v>
      </c>
      <c r="K2428" s="128" t="s">
        <v>7891</v>
      </c>
      <c r="L2428" s="151" t="s">
        <v>7901</v>
      </c>
      <c r="M2428" s="128" t="s">
        <v>291</v>
      </c>
      <c r="N2428" s="109"/>
      <c r="O2428" s="19" t="s">
        <v>7903</v>
      </c>
      <c r="P2428" s="32"/>
      <c r="Q2428" s="32"/>
    </row>
    <row r="2429" spans="1:17" ht="24.9" customHeight="1">
      <c r="A2429" s="20">
        <v>438</v>
      </c>
      <c r="B2429" s="20" t="s">
        <v>4354</v>
      </c>
      <c r="C2429" s="20"/>
      <c r="D2429" s="20" t="s">
        <v>48</v>
      </c>
      <c r="E2429" s="19" t="str">
        <f>VLOOKUP(D2429,'لیست پرسنل'!$B$2:$E$1020,3,FALSE)</f>
        <v>فکورصنعت</v>
      </c>
      <c r="F2429" s="19" t="str">
        <f>VLOOKUP(D2429,'لیست پرسنل'!$B$2:$E$1020,4,FALSE)</f>
        <v>سرپرست آی تی</v>
      </c>
      <c r="G2429" s="127">
        <f>VLOOKUP(D2429,'لیست پرسنل'!$B$2:$F$1020,2,FALSE)</f>
        <v>2210</v>
      </c>
      <c r="H2429" s="126" t="s">
        <v>4783</v>
      </c>
      <c r="I2429" s="128"/>
      <c r="J2429" s="128" t="s">
        <v>368</v>
      </c>
      <c r="K2429" s="128" t="s">
        <v>7891</v>
      </c>
      <c r="L2429" s="151" t="s">
        <v>7902</v>
      </c>
      <c r="M2429" s="128" t="s">
        <v>291</v>
      </c>
      <c r="N2429" s="109"/>
      <c r="O2429" s="19" t="s">
        <v>7903</v>
      </c>
      <c r="P2429" s="32"/>
      <c r="Q2429" s="32"/>
    </row>
    <row r="2430" spans="1:17" ht="24.9" customHeight="1">
      <c r="A2430" s="20">
        <v>438</v>
      </c>
      <c r="B2430" s="20" t="s">
        <v>4354</v>
      </c>
      <c r="C2430" s="20"/>
      <c r="D2430" s="20" t="s">
        <v>48</v>
      </c>
      <c r="E2430" s="19" t="str">
        <f>VLOOKUP(D2430,'لیست پرسنل'!$B$2:$E$1020,3,FALSE)</f>
        <v>فکورصنعت</v>
      </c>
      <c r="F2430" s="19" t="str">
        <f>VLOOKUP(D2430,'لیست پرسنل'!$B$2:$E$1020,4,FALSE)</f>
        <v>سرپرست آی تی</v>
      </c>
      <c r="G2430" s="127">
        <f>VLOOKUP(D2430,'لیست پرسنل'!$B$2:$F$1020,2,FALSE)</f>
        <v>2210</v>
      </c>
      <c r="H2430" s="126" t="s">
        <v>4783</v>
      </c>
      <c r="I2430" s="128"/>
      <c r="J2430" s="128" t="s">
        <v>3938</v>
      </c>
      <c r="K2430" s="128" t="s">
        <v>2544</v>
      </c>
      <c r="L2430" s="151" t="s">
        <v>7895</v>
      </c>
      <c r="M2430" s="128" t="s">
        <v>291</v>
      </c>
      <c r="N2430" s="109"/>
      <c r="O2430" s="19" t="s">
        <v>7903</v>
      </c>
      <c r="P2430" s="32"/>
      <c r="Q2430" s="32"/>
    </row>
    <row r="2431" spans="1:17" ht="24.9" customHeight="1">
      <c r="A2431" s="20">
        <v>438</v>
      </c>
      <c r="B2431" s="20" t="s">
        <v>4354</v>
      </c>
      <c r="C2431" s="20"/>
      <c r="D2431" s="20" t="s">
        <v>48</v>
      </c>
      <c r="E2431" s="19" t="str">
        <f>VLOOKUP(D2431,'لیست پرسنل'!$B$2:$E$1020,3,FALSE)</f>
        <v>فکورصنعت</v>
      </c>
      <c r="F2431" s="19" t="str">
        <f>VLOOKUP(D2431,'لیست پرسنل'!$B$2:$E$1020,4,FALSE)</f>
        <v>سرپرست آی تی</v>
      </c>
      <c r="G2431" s="127">
        <f>VLOOKUP(D2431,'لیست پرسنل'!$B$2:$F$1020,2,FALSE)</f>
        <v>2210</v>
      </c>
      <c r="H2431" s="126" t="s">
        <v>4783</v>
      </c>
      <c r="I2431" s="127"/>
      <c r="J2431" s="128" t="s">
        <v>5927</v>
      </c>
      <c r="K2431" s="127" t="s">
        <v>4999</v>
      </c>
      <c r="L2431" s="127" t="s">
        <v>6938</v>
      </c>
      <c r="M2431" s="127" t="s">
        <v>4371</v>
      </c>
      <c r="N2431" s="108"/>
      <c r="O2431" s="20"/>
      <c r="P2431" s="20"/>
      <c r="Q2431" s="20"/>
    </row>
    <row r="2432" spans="1:17" ht="24.9" customHeight="1">
      <c r="A2432" s="20">
        <v>438</v>
      </c>
      <c r="B2432" s="20" t="s">
        <v>4354</v>
      </c>
      <c r="C2432" s="20"/>
      <c r="D2432" s="20" t="s">
        <v>48</v>
      </c>
      <c r="E2432" s="19" t="str">
        <f>VLOOKUP(D2432,'لیست پرسنل'!$B$2:$E$1020,3,FALSE)</f>
        <v>فکورصنعت</v>
      </c>
      <c r="F2432" s="19" t="str">
        <f>VLOOKUP(D2432,'لیست پرسنل'!$B$2:$E$1020,4,FALSE)</f>
        <v>سرپرست آی تی</v>
      </c>
      <c r="G2432" s="127">
        <f>VLOOKUP(D2432,'لیست پرسنل'!$B$2:$F$1020,2,FALSE)</f>
        <v>2210</v>
      </c>
      <c r="H2432" s="126" t="s">
        <v>4783</v>
      </c>
      <c r="I2432" s="127"/>
      <c r="J2432" s="128" t="s">
        <v>5927</v>
      </c>
      <c r="K2432" s="127" t="s">
        <v>4999</v>
      </c>
      <c r="L2432" s="127" t="s">
        <v>6939</v>
      </c>
      <c r="M2432" s="127" t="s">
        <v>4371</v>
      </c>
      <c r="N2432" s="108"/>
      <c r="O2432" s="20"/>
      <c r="P2432" s="20"/>
      <c r="Q2432" s="20"/>
    </row>
    <row r="2433" spans="1:17" ht="24.9" customHeight="1">
      <c r="A2433" s="20">
        <v>438</v>
      </c>
      <c r="B2433" s="20" t="s">
        <v>4354</v>
      </c>
      <c r="C2433" s="20"/>
      <c r="D2433" s="20" t="s">
        <v>48</v>
      </c>
      <c r="E2433" s="19" t="str">
        <f>VLOOKUP(D2433,'لیست پرسنل'!$B$2:$E$1020,3,FALSE)</f>
        <v>فکورصنعت</v>
      </c>
      <c r="F2433" s="19" t="str">
        <f>VLOOKUP(D2433,'لیست پرسنل'!$B$2:$E$1020,4,FALSE)</f>
        <v>سرپرست آی تی</v>
      </c>
      <c r="G2433" s="127">
        <f>VLOOKUP(D2433,'لیست پرسنل'!$B$2:$F$1020,2,FALSE)</f>
        <v>2210</v>
      </c>
      <c r="H2433" s="126" t="s">
        <v>4783</v>
      </c>
      <c r="I2433" s="127"/>
      <c r="J2433" s="128" t="s">
        <v>5927</v>
      </c>
      <c r="K2433" s="127" t="s">
        <v>6935</v>
      </c>
      <c r="L2433" s="127" t="s">
        <v>6940</v>
      </c>
      <c r="M2433" s="127" t="s">
        <v>4371</v>
      </c>
      <c r="N2433" s="108"/>
      <c r="O2433" s="20"/>
      <c r="P2433" s="20"/>
      <c r="Q2433" s="20"/>
    </row>
    <row r="2434" spans="1:17" ht="24.9" customHeight="1">
      <c r="A2434" s="20">
        <v>438</v>
      </c>
      <c r="B2434" s="20" t="s">
        <v>4354</v>
      </c>
      <c r="C2434" s="20"/>
      <c r="D2434" s="20" t="s">
        <v>48</v>
      </c>
      <c r="E2434" s="19" t="str">
        <f>VLOOKUP(D2434,'لیست پرسنل'!$B$2:$E$1020,3,FALSE)</f>
        <v>فکورصنعت</v>
      </c>
      <c r="F2434" s="19" t="str">
        <f>VLOOKUP(D2434,'لیست پرسنل'!$B$2:$E$1020,4,FALSE)</f>
        <v>سرپرست آی تی</v>
      </c>
      <c r="G2434" s="127">
        <f>VLOOKUP(D2434,'لیست پرسنل'!$B$2:$F$1020,2,FALSE)</f>
        <v>2210</v>
      </c>
      <c r="H2434" s="126" t="s">
        <v>4783</v>
      </c>
      <c r="I2434" s="127"/>
      <c r="J2434" s="128" t="s">
        <v>5927</v>
      </c>
      <c r="K2434" s="127" t="s">
        <v>6936</v>
      </c>
      <c r="L2434" s="127" t="s">
        <v>6941</v>
      </c>
      <c r="M2434" s="127" t="s">
        <v>4371</v>
      </c>
      <c r="N2434" s="108"/>
      <c r="O2434" s="20"/>
      <c r="P2434" s="20"/>
      <c r="Q2434" s="20"/>
    </row>
    <row r="2435" spans="1:17" ht="24.9" customHeight="1">
      <c r="A2435" s="20">
        <v>438</v>
      </c>
      <c r="B2435" s="20" t="s">
        <v>4354</v>
      </c>
      <c r="C2435" s="20"/>
      <c r="D2435" s="20" t="s">
        <v>48</v>
      </c>
      <c r="E2435" s="19" t="str">
        <f>VLOOKUP(D2435,'لیست پرسنل'!$B$2:$E$1020,3,FALSE)</f>
        <v>فکورصنعت</v>
      </c>
      <c r="F2435" s="19" t="str">
        <f>VLOOKUP(D2435,'لیست پرسنل'!$B$2:$E$1020,4,FALSE)</f>
        <v>سرپرست آی تی</v>
      </c>
      <c r="G2435" s="127">
        <f>VLOOKUP(D2435,'لیست پرسنل'!$B$2:$F$1020,2,FALSE)</f>
        <v>2210</v>
      </c>
      <c r="H2435" s="126" t="s">
        <v>4783</v>
      </c>
      <c r="I2435" s="127"/>
      <c r="J2435" s="128" t="s">
        <v>5927</v>
      </c>
      <c r="K2435" s="127" t="s">
        <v>6935</v>
      </c>
      <c r="L2435" s="127" t="s">
        <v>6942</v>
      </c>
      <c r="M2435" s="127" t="s">
        <v>4371</v>
      </c>
      <c r="N2435" s="108"/>
      <c r="O2435" s="20"/>
      <c r="P2435" s="20"/>
      <c r="Q2435" s="20"/>
    </row>
    <row r="2436" spans="1:17" ht="24.9" customHeight="1">
      <c r="A2436" s="20">
        <v>438</v>
      </c>
      <c r="B2436" s="20" t="s">
        <v>4354</v>
      </c>
      <c r="C2436" s="20"/>
      <c r="D2436" s="20" t="s">
        <v>48</v>
      </c>
      <c r="E2436" s="19" t="str">
        <f>VLOOKUP(D2436,'لیست پرسنل'!$B$2:$E$1020,3,FALSE)</f>
        <v>فکورصنعت</v>
      </c>
      <c r="F2436" s="19" t="str">
        <f>VLOOKUP(D2436,'لیست پرسنل'!$B$2:$E$1020,4,FALSE)</f>
        <v>سرپرست آی تی</v>
      </c>
      <c r="G2436" s="127">
        <f>VLOOKUP(D2436,'لیست پرسنل'!$B$2:$F$1020,2,FALSE)</f>
        <v>2210</v>
      </c>
      <c r="H2436" s="126" t="s">
        <v>4783</v>
      </c>
      <c r="I2436" s="127"/>
      <c r="J2436" s="128" t="s">
        <v>5927</v>
      </c>
      <c r="K2436" s="127" t="s">
        <v>6935</v>
      </c>
      <c r="L2436" s="127" t="s">
        <v>6943</v>
      </c>
      <c r="M2436" s="127" t="s">
        <v>4371</v>
      </c>
      <c r="N2436" s="108"/>
      <c r="O2436" s="20"/>
      <c r="P2436" s="20"/>
      <c r="Q2436" s="20"/>
    </row>
    <row r="2437" spans="1:17" ht="24.9" customHeight="1">
      <c r="A2437" s="20">
        <v>438</v>
      </c>
      <c r="B2437" s="20" t="s">
        <v>4354</v>
      </c>
      <c r="C2437" s="20"/>
      <c r="D2437" s="20" t="s">
        <v>48</v>
      </c>
      <c r="E2437" s="19" t="str">
        <f>VLOOKUP(D2437,'لیست پرسنل'!$B$2:$E$1020,3,FALSE)</f>
        <v>فکورصنعت</v>
      </c>
      <c r="F2437" s="19" t="str">
        <f>VLOOKUP(D2437,'لیست پرسنل'!$B$2:$E$1020,4,FALSE)</f>
        <v>سرپرست آی تی</v>
      </c>
      <c r="G2437" s="127">
        <f>VLOOKUP(D2437,'لیست پرسنل'!$B$2:$F$1020,2,FALSE)</f>
        <v>2210</v>
      </c>
      <c r="H2437" s="126" t="s">
        <v>4783</v>
      </c>
      <c r="I2437" s="127"/>
      <c r="J2437" s="128" t="s">
        <v>5927</v>
      </c>
      <c r="K2437" s="127" t="s">
        <v>6935</v>
      </c>
      <c r="L2437" s="127" t="s">
        <v>6944</v>
      </c>
      <c r="M2437" s="127" t="s">
        <v>4371</v>
      </c>
      <c r="N2437" s="108"/>
      <c r="O2437" s="20"/>
      <c r="P2437" s="20"/>
      <c r="Q2437" s="20"/>
    </row>
    <row r="2438" spans="1:17" ht="24.9" customHeight="1">
      <c r="A2438" s="20">
        <v>438</v>
      </c>
      <c r="B2438" s="20" t="s">
        <v>4354</v>
      </c>
      <c r="C2438" s="20"/>
      <c r="D2438" s="20" t="s">
        <v>48</v>
      </c>
      <c r="E2438" s="19" t="str">
        <f>VLOOKUP(D2438,'لیست پرسنل'!$B$2:$E$1020,3,FALSE)</f>
        <v>فکورصنعت</v>
      </c>
      <c r="F2438" s="19" t="str">
        <f>VLOOKUP(D2438,'لیست پرسنل'!$B$2:$E$1020,4,FALSE)</f>
        <v>سرپرست آی تی</v>
      </c>
      <c r="G2438" s="127">
        <f>VLOOKUP(D2438,'لیست پرسنل'!$B$2:$F$1020,2,FALSE)</f>
        <v>2210</v>
      </c>
      <c r="H2438" s="126" t="s">
        <v>4783</v>
      </c>
      <c r="I2438" s="127"/>
      <c r="J2438" s="128" t="s">
        <v>5927</v>
      </c>
      <c r="K2438" s="127" t="s">
        <v>6935</v>
      </c>
      <c r="L2438" s="127" t="s">
        <v>6945</v>
      </c>
      <c r="M2438" s="127" t="s">
        <v>4371</v>
      </c>
      <c r="N2438" s="108"/>
      <c r="O2438" s="20"/>
      <c r="P2438" s="20"/>
      <c r="Q2438" s="20"/>
    </row>
    <row r="2439" spans="1:17" ht="24.9" customHeight="1">
      <c r="A2439" s="20">
        <v>438</v>
      </c>
      <c r="B2439" s="20" t="s">
        <v>4354</v>
      </c>
      <c r="C2439" s="20"/>
      <c r="D2439" s="20" t="s">
        <v>48</v>
      </c>
      <c r="E2439" s="19" t="str">
        <f>VLOOKUP(D2439,'لیست پرسنل'!$B$2:$E$1020,3,FALSE)</f>
        <v>فکورصنعت</v>
      </c>
      <c r="F2439" s="19" t="str">
        <f>VLOOKUP(D2439,'لیست پرسنل'!$B$2:$E$1020,4,FALSE)</f>
        <v>سرپرست آی تی</v>
      </c>
      <c r="G2439" s="127">
        <f>VLOOKUP(D2439,'لیست پرسنل'!$B$2:$F$1020,2,FALSE)</f>
        <v>2210</v>
      </c>
      <c r="H2439" s="126" t="s">
        <v>4783</v>
      </c>
      <c r="I2439" s="127"/>
      <c r="J2439" s="128" t="s">
        <v>5927</v>
      </c>
      <c r="K2439" s="127" t="s">
        <v>6936</v>
      </c>
      <c r="L2439" s="127" t="s">
        <v>6946</v>
      </c>
      <c r="M2439" s="127" t="s">
        <v>4371</v>
      </c>
      <c r="N2439" s="108"/>
      <c r="O2439" s="20"/>
      <c r="P2439" s="20"/>
      <c r="Q2439" s="20"/>
    </row>
    <row r="2440" spans="1:17" ht="24.9" customHeight="1">
      <c r="A2440" s="20">
        <v>438</v>
      </c>
      <c r="B2440" s="20" t="s">
        <v>4354</v>
      </c>
      <c r="C2440" s="20"/>
      <c r="D2440" s="20" t="s">
        <v>48</v>
      </c>
      <c r="E2440" s="19" t="str">
        <f>VLOOKUP(D2440,'لیست پرسنل'!$B$2:$E$1020,3,FALSE)</f>
        <v>فکورصنعت</v>
      </c>
      <c r="F2440" s="19" t="str">
        <f>VLOOKUP(D2440,'لیست پرسنل'!$B$2:$E$1020,4,FALSE)</f>
        <v>سرپرست آی تی</v>
      </c>
      <c r="G2440" s="127">
        <f>VLOOKUP(D2440,'لیست پرسنل'!$B$2:$F$1020,2,FALSE)</f>
        <v>2210</v>
      </c>
      <c r="H2440" s="126" t="s">
        <v>4783</v>
      </c>
      <c r="I2440" s="127"/>
      <c r="J2440" s="128" t="s">
        <v>5927</v>
      </c>
      <c r="K2440" s="127" t="s">
        <v>6935</v>
      </c>
      <c r="L2440" s="127" t="s">
        <v>6947</v>
      </c>
      <c r="M2440" s="127" t="s">
        <v>4371</v>
      </c>
      <c r="N2440" s="108"/>
      <c r="O2440" s="20"/>
      <c r="P2440" s="20"/>
      <c r="Q2440" s="20"/>
    </row>
    <row r="2441" spans="1:17" ht="24.9" customHeight="1">
      <c r="A2441" s="20">
        <v>438</v>
      </c>
      <c r="B2441" s="20" t="s">
        <v>4354</v>
      </c>
      <c r="C2441" s="20"/>
      <c r="D2441" s="20" t="s">
        <v>48</v>
      </c>
      <c r="E2441" s="19" t="str">
        <f>VLOOKUP(D2441,'لیست پرسنل'!$B$2:$E$1020,3,FALSE)</f>
        <v>فکورصنعت</v>
      </c>
      <c r="F2441" s="19" t="str">
        <f>VLOOKUP(D2441,'لیست پرسنل'!$B$2:$E$1020,4,FALSE)</f>
        <v>سرپرست آی تی</v>
      </c>
      <c r="G2441" s="127">
        <f>VLOOKUP(D2441,'لیست پرسنل'!$B$2:$F$1020,2,FALSE)</f>
        <v>2210</v>
      </c>
      <c r="H2441" s="126" t="s">
        <v>4783</v>
      </c>
      <c r="I2441" s="127"/>
      <c r="J2441" s="128" t="s">
        <v>5927</v>
      </c>
      <c r="K2441" s="127" t="s">
        <v>6935</v>
      </c>
      <c r="L2441" s="127" t="s">
        <v>6948</v>
      </c>
      <c r="M2441" s="127" t="s">
        <v>4371</v>
      </c>
      <c r="N2441" s="108"/>
      <c r="O2441" s="20"/>
      <c r="P2441" s="20"/>
      <c r="Q2441" s="20"/>
    </row>
    <row r="2442" spans="1:17" ht="24.9" customHeight="1">
      <c r="A2442" s="20">
        <v>438</v>
      </c>
      <c r="B2442" s="20" t="s">
        <v>4354</v>
      </c>
      <c r="C2442" s="20"/>
      <c r="D2442" s="20" t="s">
        <v>48</v>
      </c>
      <c r="E2442" s="19" t="str">
        <f>VLOOKUP(D2442,'لیست پرسنل'!$B$2:$E$1020,3,FALSE)</f>
        <v>فکورصنعت</v>
      </c>
      <c r="F2442" s="19" t="str">
        <f>VLOOKUP(D2442,'لیست پرسنل'!$B$2:$E$1020,4,FALSE)</f>
        <v>سرپرست آی تی</v>
      </c>
      <c r="G2442" s="127">
        <f>VLOOKUP(D2442,'لیست پرسنل'!$B$2:$F$1020,2,FALSE)</f>
        <v>2210</v>
      </c>
      <c r="H2442" s="126" t="s">
        <v>4783</v>
      </c>
      <c r="I2442" s="127"/>
      <c r="J2442" s="128" t="s">
        <v>5927</v>
      </c>
      <c r="K2442" s="127" t="s">
        <v>6937</v>
      </c>
      <c r="L2442" s="127" t="s">
        <v>6937</v>
      </c>
      <c r="M2442" s="127" t="s">
        <v>4371</v>
      </c>
      <c r="N2442" s="108"/>
      <c r="O2442" s="20"/>
      <c r="P2442" s="20"/>
      <c r="Q2442" s="20"/>
    </row>
    <row r="2443" spans="1:17" ht="24.9" customHeight="1">
      <c r="A2443" s="20">
        <v>438</v>
      </c>
      <c r="B2443" s="20" t="s">
        <v>4354</v>
      </c>
      <c r="C2443" s="20"/>
      <c r="D2443" s="20" t="s">
        <v>48</v>
      </c>
      <c r="E2443" s="19" t="str">
        <f>VLOOKUP(D2443,'لیست پرسنل'!$B$2:$E$1020,3,FALSE)</f>
        <v>فکورصنعت</v>
      </c>
      <c r="F2443" s="19" t="str">
        <f>VLOOKUP(D2443,'لیست پرسنل'!$B$2:$E$1020,4,FALSE)</f>
        <v>سرپرست آی تی</v>
      </c>
      <c r="G2443" s="127">
        <f>VLOOKUP(D2443,'لیست پرسنل'!$B$2:$F$1020,2,FALSE)</f>
        <v>2210</v>
      </c>
      <c r="H2443" s="128" t="s">
        <v>4783</v>
      </c>
      <c r="I2443" s="128"/>
      <c r="J2443" s="128" t="s">
        <v>3481</v>
      </c>
      <c r="K2443" s="128" t="s">
        <v>5256</v>
      </c>
      <c r="L2443" s="127"/>
      <c r="M2443" s="127" t="s">
        <v>291</v>
      </c>
      <c r="N2443" s="109"/>
      <c r="O2443" s="19" t="s">
        <v>6542</v>
      </c>
      <c r="P2443" s="32"/>
      <c r="Q2443" s="32"/>
    </row>
    <row r="2444" spans="1:17" ht="24.9" customHeight="1">
      <c r="A2444" s="20">
        <v>438</v>
      </c>
      <c r="B2444" s="20" t="s">
        <v>4354</v>
      </c>
      <c r="C2444" s="20"/>
      <c r="D2444" s="20" t="s">
        <v>48</v>
      </c>
      <c r="E2444" s="19" t="str">
        <f>VLOOKUP(D2444,'لیست پرسنل'!$B$2:$E$1020,3,FALSE)</f>
        <v>فکورصنعت</v>
      </c>
      <c r="F2444" s="19" t="str">
        <f>VLOOKUP(D2444,'لیست پرسنل'!$B$2:$E$1020,4,FALSE)</f>
        <v>سرپرست آی تی</v>
      </c>
      <c r="G2444" s="127">
        <f>VLOOKUP(D2444,'لیست پرسنل'!$B$2:$F$1020,2,FALSE)</f>
        <v>2210</v>
      </c>
      <c r="H2444" s="128" t="s">
        <v>4783</v>
      </c>
      <c r="I2444" s="128"/>
      <c r="J2444" s="128" t="s">
        <v>3481</v>
      </c>
      <c r="K2444" s="128" t="s">
        <v>5256</v>
      </c>
      <c r="L2444" s="127"/>
      <c r="M2444" s="127" t="s">
        <v>291</v>
      </c>
      <c r="N2444" s="109"/>
      <c r="O2444" s="19"/>
      <c r="P2444" s="32"/>
      <c r="Q2444" s="32"/>
    </row>
    <row r="2445" spans="1:17" ht="24.9" customHeight="1">
      <c r="A2445" s="20">
        <v>438</v>
      </c>
      <c r="B2445" s="20" t="s">
        <v>4354</v>
      </c>
      <c r="C2445" s="20"/>
      <c r="D2445" s="20" t="s">
        <v>48</v>
      </c>
      <c r="E2445" s="19" t="str">
        <f>VLOOKUP(D2445,'لیست پرسنل'!$B$2:$E$1020,3,FALSE)</f>
        <v>فکورصنعت</v>
      </c>
      <c r="F2445" s="19" t="str">
        <f>VLOOKUP(D2445,'لیست پرسنل'!$B$2:$E$1020,4,FALSE)</f>
        <v>سرپرست آی تی</v>
      </c>
      <c r="G2445" s="127">
        <f>VLOOKUP(D2445,'لیست پرسنل'!$B$2:$F$1020,2,FALSE)</f>
        <v>2210</v>
      </c>
      <c r="H2445" s="128" t="s">
        <v>4783</v>
      </c>
      <c r="I2445" s="128"/>
      <c r="J2445" s="128" t="s">
        <v>3481</v>
      </c>
      <c r="K2445" s="128" t="s">
        <v>6203</v>
      </c>
      <c r="L2445" s="150" t="s">
        <v>6202</v>
      </c>
      <c r="M2445" s="127" t="s">
        <v>291</v>
      </c>
      <c r="N2445" s="108"/>
      <c r="O2445" s="20"/>
      <c r="P2445" s="20"/>
      <c r="Q2445" s="20"/>
    </row>
    <row r="2446" spans="1:17" ht="24.9" customHeight="1">
      <c r="A2446" s="20">
        <v>438</v>
      </c>
      <c r="B2446" s="20" t="s">
        <v>4354</v>
      </c>
      <c r="C2446" s="20"/>
      <c r="D2446" s="20" t="s">
        <v>48</v>
      </c>
      <c r="E2446" s="19" t="str">
        <f>VLOOKUP(D2446,'لیست پرسنل'!$B$2:$E$1020,3,FALSE)</f>
        <v>فکورصنعت</v>
      </c>
      <c r="F2446" s="19" t="str">
        <f>VLOOKUP(D2446,'لیست پرسنل'!$B$2:$E$1020,4,FALSE)</f>
        <v>سرپرست آی تی</v>
      </c>
      <c r="G2446" s="127">
        <f>VLOOKUP(D2446,'لیست پرسنل'!$B$2:$F$1020,2,FALSE)</f>
        <v>2210</v>
      </c>
      <c r="H2446" s="128" t="s">
        <v>4783</v>
      </c>
      <c r="I2446" s="128"/>
      <c r="J2446" s="128" t="s">
        <v>3481</v>
      </c>
      <c r="K2446" s="128" t="s">
        <v>3336</v>
      </c>
      <c r="L2446" s="127"/>
      <c r="M2446" s="127" t="s">
        <v>291</v>
      </c>
      <c r="N2446" s="109"/>
      <c r="O2446" s="19" t="s">
        <v>6541</v>
      </c>
      <c r="P2446" s="32"/>
      <c r="Q2446" s="32"/>
    </row>
    <row r="2447" spans="1:17" ht="24.9" customHeight="1">
      <c r="A2447" s="20">
        <v>438</v>
      </c>
      <c r="B2447" s="20" t="s">
        <v>4354</v>
      </c>
      <c r="C2447" s="20"/>
      <c r="D2447" s="20" t="s">
        <v>48</v>
      </c>
      <c r="E2447" s="19" t="str">
        <f>VLOOKUP(D2447,'لیست پرسنل'!$B$2:$E$1020,3,FALSE)</f>
        <v>فکورصنعت</v>
      </c>
      <c r="F2447" s="19" t="str">
        <f>VLOOKUP(D2447,'لیست پرسنل'!$B$2:$E$1020,4,FALSE)</f>
        <v>سرپرست آی تی</v>
      </c>
      <c r="G2447" s="127">
        <f>VLOOKUP(D2447,'لیست پرسنل'!$B$2:$F$1020,2,FALSE)</f>
        <v>2210</v>
      </c>
      <c r="H2447" s="128" t="s">
        <v>4783</v>
      </c>
      <c r="I2447" s="128"/>
      <c r="J2447" s="128" t="s">
        <v>3481</v>
      </c>
      <c r="K2447" s="128" t="s">
        <v>3336</v>
      </c>
      <c r="L2447" s="127"/>
      <c r="M2447" s="127" t="s">
        <v>291</v>
      </c>
      <c r="N2447" s="109"/>
      <c r="O2447" s="19" t="s">
        <v>4864</v>
      </c>
      <c r="P2447" s="32"/>
      <c r="Q2447" s="32"/>
    </row>
    <row r="2448" spans="1:17" ht="24.9" customHeight="1">
      <c r="A2448" s="20">
        <v>438</v>
      </c>
      <c r="B2448" s="20" t="s">
        <v>4354</v>
      </c>
      <c r="C2448" s="20"/>
      <c r="D2448" s="20" t="s">
        <v>48</v>
      </c>
      <c r="E2448" s="19" t="str">
        <f>VLOOKUP(D2448,'لیست پرسنل'!$B$2:$E$1020,3,FALSE)</f>
        <v>فکورصنعت</v>
      </c>
      <c r="F2448" s="19" t="str">
        <f>VLOOKUP(D2448,'لیست پرسنل'!$B$2:$E$1020,4,FALSE)</f>
        <v>سرپرست آی تی</v>
      </c>
      <c r="G2448" s="127">
        <f>VLOOKUP(D2448,'لیست پرسنل'!$B$2:$F$1020,2,FALSE)</f>
        <v>2210</v>
      </c>
      <c r="H2448" s="128" t="s">
        <v>4783</v>
      </c>
      <c r="I2448" s="128"/>
      <c r="J2448" s="128" t="s">
        <v>3481</v>
      </c>
      <c r="K2448" s="128" t="s">
        <v>3336</v>
      </c>
      <c r="L2448" s="127"/>
      <c r="M2448" s="127" t="s">
        <v>291</v>
      </c>
      <c r="N2448" s="109"/>
      <c r="O2448" s="19" t="s">
        <v>4864</v>
      </c>
      <c r="P2448" s="32"/>
      <c r="Q2448" s="32"/>
    </row>
    <row r="2449" spans="1:17" ht="24.9" customHeight="1">
      <c r="A2449" s="20">
        <v>438</v>
      </c>
      <c r="B2449" s="20" t="s">
        <v>4354</v>
      </c>
      <c r="C2449" s="20"/>
      <c r="D2449" s="20" t="s">
        <v>48</v>
      </c>
      <c r="E2449" s="19" t="str">
        <f>VLOOKUP(D2449,'لیست پرسنل'!$B$2:$E$1020,3,FALSE)</f>
        <v>فکورصنعت</v>
      </c>
      <c r="F2449" s="19" t="str">
        <f>VLOOKUP(D2449,'لیست پرسنل'!$B$2:$E$1020,4,FALSE)</f>
        <v>سرپرست آی تی</v>
      </c>
      <c r="G2449" s="127">
        <f>VLOOKUP(D2449,'لیست پرسنل'!$B$2:$F$1020,2,FALSE)</f>
        <v>2210</v>
      </c>
      <c r="H2449" s="128" t="s">
        <v>4783</v>
      </c>
      <c r="I2449" s="128"/>
      <c r="J2449" s="128" t="s">
        <v>3481</v>
      </c>
      <c r="K2449" s="128" t="s">
        <v>3336</v>
      </c>
      <c r="L2449" s="127"/>
      <c r="M2449" s="127" t="s">
        <v>291</v>
      </c>
      <c r="N2449" s="109"/>
      <c r="O2449" s="19" t="s">
        <v>4864</v>
      </c>
      <c r="P2449" s="32"/>
      <c r="Q2449" s="32"/>
    </row>
    <row r="2450" spans="1:17" ht="24.9" customHeight="1">
      <c r="A2450" s="20">
        <v>438</v>
      </c>
      <c r="B2450" s="20" t="s">
        <v>4354</v>
      </c>
      <c r="C2450" s="20"/>
      <c r="D2450" s="20" t="s">
        <v>48</v>
      </c>
      <c r="E2450" s="19" t="str">
        <f>VLOOKUP(D2450,'لیست پرسنل'!$B$2:$E$1020,3,FALSE)</f>
        <v>فکورصنعت</v>
      </c>
      <c r="F2450" s="19" t="str">
        <f>VLOOKUP(D2450,'لیست پرسنل'!$B$2:$E$1020,4,FALSE)</f>
        <v>سرپرست آی تی</v>
      </c>
      <c r="G2450" s="127">
        <f>VLOOKUP(D2450,'لیست پرسنل'!$B$2:$F$1020,2,FALSE)</f>
        <v>2210</v>
      </c>
      <c r="H2450" s="128" t="s">
        <v>4783</v>
      </c>
      <c r="I2450" s="128"/>
      <c r="J2450" s="128" t="s">
        <v>3481</v>
      </c>
      <c r="K2450" s="128" t="s">
        <v>3336</v>
      </c>
      <c r="L2450" s="127"/>
      <c r="M2450" s="127" t="s">
        <v>291</v>
      </c>
      <c r="N2450" s="109"/>
      <c r="O2450" s="19" t="s">
        <v>4864</v>
      </c>
      <c r="P2450" s="32"/>
      <c r="Q2450" s="32"/>
    </row>
    <row r="2451" spans="1:17" ht="24.9" customHeight="1">
      <c r="A2451" s="20">
        <v>438</v>
      </c>
      <c r="B2451" s="20" t="s">
        <v>4354</v>
      </c>
      <c r="C2451" s="20"/>
      <c r="D2451" s="20" t="s">
        <v>48</v>
      </c>
      <c r="E2451" s="19" t="str">
        <f>VLOOKUP(D2451,'لیست پرسنل'!$B$2:$E$1020,3,FALSE)</f>
        <v>فکورصنعت</v>
      </c>
      <c r="F2451" s="19" t="str">
        <f>VLOOKUP(D2451,'لیست پرسنل'!$B$2:$E$1020,4,FALSE)</f>
        <v>سرپرست آی تی</v>
      </c>
      <c r="G2451" s="127">
        <f>VLOOKUP(D2451,'لیست پرسنل'!$B$2:$F$1020,2,FALSE)</f>
        <v>2210</v>
      </c>
      <c r="H2451" s="128" t="s">
        <v>4783</v>
      </c>
      <c r="I2451" s="128"/>
      <c r="J2451" s="128" t="s">
        <v>3481</v>
      </c>
      <c r="K2451" s="128" t="s">
        <v>3336</v>
      </c>
      <c r="L2451" s="127"/>
      <c r="M2451" s="127" t="s">
        <v>291</v>
      </c>
      <c r="N2451" s="109"/>
      <c r="O2451" s="19" t="s">
        <v>4864</v>
      </c>
      <c r="P2451" s="32"/>
      <c r="Q2451" s="32"/>
    </row>
    <row r="2452" spans="1:17" ht="24.9" customHeight="1">
      <c r="A2452" s="20">
        <v>438</v>
      </c>
      <c r="B2452" s="20" t="s">
        <v>4354</v>
      </c>
      <c r="C2452" s="20"/>
      <c r="D2452" s="20" t="s">
        <v>48</v>
      </c>
      <c r="E2452" s="19" t="str">
        <f>VLOOKUP(D2452,'لیست پرسنل'!$B$2:$E$1020,3,FALSE)</f>
        <v>فکورصنعت</v>
      </c>
      <c r="F2452" s="19" t="str">
        <f>VLOOKUP(D2452,'لیست پرسنل'!$B$2:$E$1020,4,FALSE)</f>
        <v>سرپرست آی تی</v>
      </c>
      <c r="G2452" s="127">
        <f>VLOOKUP(D2452,'لیست پرسنل'!$B$2:$F$1020,2,FALSE)</f>
        <v>2210</v>
      </c>
      <c r="H2452" s="128" t="s">
        <v>4783</v>
      </c>
      <c r="I2452" s="128"/>
      <c r="J2452" s="128" t="s">
        <v>3481</v>
      </c>
      <c r="K2452" s="128" t="s">
        <v>3336</v>
      </c>
      <c r="L2452" s="127"/>
      <c r="M2452" s="127" t="s">
        <v>291</v>
      </c>
      <c r="N2452" s="109"/>
      <c r="O2452" s="19" t="s">
        <v>4864</v>
      </c>
      <c r="P2452" s="32"/>
      <c r="Q2452" s="32"/>
    </row>
    <row r="2453" spans="1:17" ht="24.9" customHeight="1">
      <c r="A2453" s="20">
        <v>438</v>
      </c>
      <c r="B2453" s="20" t="s">
        <v>4354</v>
      </c>
      <c r="C2453" s="20"/>
      <c r="D2453" s="20" t="s">
        <v>48</v>
      </c>
      <c r="E2453" s="19" t="str">
        <f>VLOOKUP(D2453,'لیست پرسنل'!$B$2:$E$1020,3,FALSE)</f>
        <v>فکورصنعت</v>
      </c>
      <c r="F2453" s="19" t="str">
        <f>VLOOKUP(D2453,'لیست پرسنل'!$B$2:$E$1020,4,FALSE)</f>
        <v>سرپرست آی تی</v>
      </c>
      <c r="G2453" s="127">
        <f>VLOOKUP(D2453,'لیست پرسنل'!$B$2:$F$1020,2,FALSE)</f>
        <v>2210</v>
      </c>
      <c r="H2453" s="128" t="s">
        <v>4783</v>
      </c>
      <c r="I2453" s="128"/>
      <c r="J2453" s="128" t="s">
        <v>3481</v>
      </c>
      <c r="K2453" s="128" t="s">
        <v>3336</v>
      </c>
      <c r="L2453" s="127"/>
      <c r="M2453" s="127" t="s">
        <v>291</v>
      </c>
      <c r="N2453" s="109"/>
      <c r="O2453" s="19" t="s">
        <v>4864</v>
      </c>
      <c r="P2453" s="32"/>
      <c r="Q2453" s="32"/>
    </row>
    <row r="2454" spans="1:17" ht="24.9" customHeight="1">
      <c r="A2454" s="20">
        <v>438</v>
      </c>
      <c r="B2454" s="20" t="s">
        <v>4354</v>
      </c>
      <c r="C2454" s="20"/>
      <c r="D2454" s="20" t="s">
        <v>48</v>
      </c>
      <c r="E2454" s="19" t="str">
        <f>VLOOKUP(D2454,'لیست پرسنل'!$B$2:$E$1020,3,FALSE)</f>
        <v>فکورصنعت</v>
      </c>
      <c r="F2454" s="19" t="str">
        <f>VLOOKUP(D2454,'لیست پرسنل'!$B$2:$E$1020,4,FALSE)</f>
        <v>سرپرست آی تی</v>
      </c>
      <c r="G2454" s="127">
        <f>VLOOKUP(D2454,'لیست پرسنل'!$B$2:$F$1020,2,FALSE)</f>
        <v>2210</v>
      </c>
      <c r="H2454" s="128" t="s">
        <v>4783</v>
      </c>
      <c r="I2454" s="128"/>
      <c r="J2454" s="128" t="s">
        <v>3481</v>
      </c>
      <c r="K2454" s="128" t="s">
        <v>3336</v>
      </c>
      <c r="L2454" s="127"/>
      <c r="M2454" s="127" t="s">
        <v>291</v>
      </c>
      <c r="N2454" s="109"/>
      <c r="O2454" s="19" t="s">
        <v>4864</v>
      </c>
      <c r="P2454" s="32"/>
      <c r="Q2454" s="32"/>
    </row>
    <row r="2455" spans="1:17" ht="24.9" customHeight="1">
      <c r="A2455" s="20">
        <v>438</v>
      </c>
      <c r="B2455" s="20" t="s">
        <v>4354</v>
      </c>
      <c r="C2455" s="20"/>
      <c r="D2455" s="20" t="s">
        <v>48</v>
      </c>
      <c r="E2455" s="19" t="str">
        <f>VLOOKUP(D2455,'لیست پرسنل'!$B$2:$E$1020,3,FALSE)</f>
        <v>فکورصنعت</v>
      </c>
      <c r="F2455" s="19" t="str">
        <f>VLOOKUP(D2455,'لیست پرسنل'!$B$2:$E$1020,4,FALSE)</f>
        <v>سرپرست آی تی</v>
      </c>
      <c r="G2455" s="127">
        <f>VLOOKUP(D2455,'لیست پرسنل'!$B$2:$F$1020,2,FALSE)</f>
        <v>2210</v>
      </c>
      <c r="H2455" s="128" t="s">
        <v>4783</v>
      </c>
      <c r="I2455" s="128"/>
      <c r="J2455" s="128" t="s">
        <v>3481</v>
      </c>
      <c r="K2455" s="128" t="s">
        <v>3336</v>
      </c>
      <c r="L2455" s="127"/>
      <c r="M2455" s="127" t="s">
        <v>291</v>
      </c>
      <c r="N2455" s="109"/>
      <c r="O2455" s="19" t="s">
        <v>4864</v>
      </c>
      <c r="P2455" s="32"/>
      <c r="Q2455" s="32"/>
    </row>
    <row r="2456" spans="1:17" ht="24.9" customHeight="1">
      <c r="A2456" s="20">
        <v>438</v>
      </c>
      <c r="B2456" s="20" t="s">
        <v>4354</v>
      </c>
      <c r="C2456" s="20"/>
      <c r="D2456" s="20" t="s">
        <v>48</v>
      </c>
      <c r="E2456" s="19" t="str">
        <f>VLOOKUP(D2456,'لیست پرسنل'!$B$2:$E$1020,3,FALSE)</f>
        <v>فکورصنعت</v>
      </c>
      <c r="F2456" s="19" t="str">
        <f>VLOOKUP(D2456,'لیست پرسنل'!$B$2:$E$1020,4,FALSE)</f>
        <v>سرپرست آی تی</v>
      </c>
      <c r="G2456" s="127">
        <f>VLOOKUP(D2456,'لیست پرسنل'!$B$2:$F$1020,2,FALSE)</f>
        <v>2210</v>
      </c>
      <c r="H2456" s="128" t="s">
        <v>4783</v>
      </c>
      <c r="I2456" s="128"/>
      <c r="J2456" s="128" t="s">
        <v>3483</v>
      </c>
      <c r="K2456" s="128" t="s">
        <v>919</v>
      </c>
      <c r="L2456" s="128"/>
      <c r="M2456" s="127">
        <v>611566</v>
      </c>
      <c r="N2456" s="108"/>
      <c r="O2456" s="20" t="s">
        <v>1242</v>
      </c>
      <c r="P2456" s="20"/>
      <c r="Q2456" s="20"/>
    </row>
    <row r="2457" spans="1:17" ht="24.9" customHeight="1">
      <c r="A2457" s="20">
        <v>438</v>
      </c>
      <c r="B2457" s="20" t="s">
        <v>4354</v>
      </c>
      <c r="C2457" s="20"/>
      <c r="D2457" s="20" t="s">
        <v>48</v>
      </c>
      <c r="E2457" s="19" t="str">
        <f>VLOOKUP(D2457,'لیست پرسنل'!$B$2:$E$1020,3,FALSE)</f>
        <v>فکورصنعت</v>
      </c>
      <c r="F2457" s="19" t="str">
        <f>VLOOKUP(D2457,'لیست پرسنل'!$B$2:$E$1020,4,FALSE)</f>
        <v>سرپرست آی تی</v>
      </c>
      <c r="G2457" s="127">
        <f>VLOOKUP(D2457,'لیست پرسنل'!$B$2:$F$1020,2,FALSE)</f>
        <v>2210</v>
      </c>
      <c r="H2457" s="126" t="s">
        <v>4783</v>
      </c>
      <c r="I2457" s="127"/>
      <c r="J2457" s="128" t="s">
        <v>3285</v>
      </c>
      <c r="K2457" s="127" t="s">
        <v>2056</v>
      </c>
      <c r="L2457" s="153" t="s">
        <v>2060</v>
      </c>
      <c r="M2457" s="127">
        <v>628117</v>
      </c>
      <c r="N2457" s="108"/>
      <c r="O2457" s="20" t="s">
        <v>705</v>
      </c>
      <c r="P2457" s="19"/>
      <c r="Q2457" s="20"/>
    </row>
    <row r="2458" spans="1:17" ht="24.9" customHeight="1">
      <c r="A2458" s="20">
        <v>438</v>
      </c>
      <c r="B2458" s="20" t="s">
        <v>4354</v>
      </c>
      <c r="C2458" s="20"/>
      <c r="D2458" s="20" t="s">
        <v>48</v>
      </c>
      <c r="E2458" s="19" t="str">
        <f>VLOOKUP(D2458,'لیست پرسنل'!$B$2:$E$1020,3,FALSE)</f>
        <v>فکورصنعت</v>
      </c>
      <c r="F2458" s="19" t="str">
        <f>VLOOKUP(D2458,'لیست پرسنل'!$B$2:$E$1020,4,FALSE)</f>
        <v>سرپرست آی تی</v>
      </c>
      <c r="G2458" s="127">
        <f>VLOOKUP(D2458,'لیست پرسنل'!$B$2:$F$1020,2,FALSE)</f>
        <v>2210</v>
      </c>
      <c r="H2458" s="126" t="s">
        <v>4783</v>
      </c>
      <c r="I2458" s="127"/>
      <c r="J2458" s="128" t="s">
        <v>3476</v>
      </c>
      <c r="K2458" s="128" t="s">
        <v>4814</v>
      </c>
      <c r="L2458" s="128" t="s">
        <v>4815</v>
      </c>
      <c r="M2458" s="128">
        <v>629768</v>
      </c>
      <c r="N2458" s="108"/>
      <c r="O2458" s="20"/>
      <c r="P2458" s="20"/>
      <c r="Q2458" s="20"/>
    </row>
    <row r="2459" spans="1:17" ht="24.9" customHeight="1">
      <c r="A2459" s="20">
        <v>438</v>
      </c>
      <c r="B2459" s="20" t="s">
        <v>4354</v>
      </c>
      <c r="C2459" s="20"/>
      <c r="D2459" s="20" t="s">
        <v>48</v>
      </c>
      <c r="E2459" s="19" t="str">
        <f>VLOOKUP(D2459,'لیست پرسنل'!$B$2:$E$1020,3,FALSE)</f>
        <v>فکورصنعت</v>
      </c>
      <c r="F2459" s="19" t="str">
        <f>VLOOKUP(D2459,'لیست پرسنل'!$B$2:$E$1020,4,FALSE)</f>
        <v>سرپرست آی تی</v>
      </c>
      <c r="G2459" s="127">
        <f>VLOOKUP(D2459,'لیست پرسنل'!$B$2:$F$1020,2,FALSE)</f>
        <v>2210</v>
      </c>
      <c r="H2459" s="126" t="s">
        <v>4783</v>
      </c>
      <c r="I2459" s="128"/>
      <c r="J2459" s="128" t="s">
        <v>3476</v>
      </c>
      <c r="K2459" s="128" t="s">
        <v>6184</v>
      </c>
      <c r="L2459" s="127" t="s">
        <v>6177</v>
      </c>
      <c r="M2459" s="127">
        <v>633335</v>
      </c>
      <c r="N2459" s="108"/>
      <c r="O2459" s="20"/>
      <c r="P2459" s="20"/>
      <c r="Q2459" s="20"/>
    </row>
    <row r="2460" spans="1:17" ht="24.9" customHeight="1">
      <c r="A2460" s="20">
        <v>438</v>
      </c>
      <c r="B2460" s="20" t="s">
        <v>4354</v>
      </c>
      <c r="C2460" s="20"/>
      <c r="D2460" s="20" t="s">
        <v>48</v>
      </c>
      <c r="E2460" s="19" t="str">
        <f>VLOOKUP(D2460,'لیست پرسنل'!$B$2:$E$1020,3,FALSE)</f>
        <v>فکورصنعت</v>
      </c>
      <c r="F2460" s="19" t="str">
        <f>VLOOKUP(D2460,'لیست پرسنل'!$B$2:$E$1020,4,FALSE)</f>
        <v>سرپرست آی تی</v>
      </c>
      <c r="G2460" s="127">
        <f>VLOOKUP(D2460,'لیست پرسنل'!$B$2:$F$1020,2,FALSE)</f>
        <v>2210</v>
      </c>
      <c r="H2460" s="128" t="s">
        <v>4783</v>
      </c>
      <c r="I2460" s="128"/>
      <c r="J2460" s="128" t="s">
        <v>3476</v>
      </c>
      <c r="K2460" s="128" t="s">
        <v>4868</v>
      </c>
      <c r="L2460" s="127" t="s">
        <v>4869</v>
      </c>
      <c r="M2460" s="127">
        <v>633689</v>
      </c>
      <c r="N2460" s="109"/>
      <c r="O2460" s="19" t="s">
        <v>6345</v>
      </c>
      <c r="P2460" s="32"/>
      <c r="Q2460" s="32"/>
    </row>
    <row r="2461" spans="1:17" ht="24.9" customHeight="1">
      <c r="A2461" s="20">
        <v>438</v>
      </c>
      <c r="B2461" s="20" t="s">
        <v>4354</v>
      </c>
      <c r="C2461" s="20"/>
      <c r="D2461" s="20" t="s">
        <v>48</v>
      </c>
      <c r="E2461" s="19" t="str">
        <f>VLOOKUP(D2461,'لیست پرسنل'!$B$2:$E$1020,3,FALSE)</f>
        <v>فکورصنعت</v>
      </c>
      <c r="F2461" s="19" t="str">
        <f>VLOOKUP(D2461,'لیست پرسنل'!$B$2:$E$1020,4,FALSE)</f>
        <v>سرپرست آی تی</v>
      </c>
      <c r="G2461" s="127">
        <f>VLOOKUP(D2461,'لیست پرسنل'!$B$2:$F$1020,2,FALSE)</f>
        <v>2210</v>
      </c>
      <c r="H2461" s="127" t="s">
        <v>4783</v>
      </c>
      <c r="I2461" s="127"/>
      <c r="J2461" s="128" t="s">
        <v>571</v>
      </c>
      <c r="K2461" s="127" t="s">
        <v>3784</v>
      </c>
      <c r="L2461" s="151"/>
      <c r="M2461" s="127">
        <v>600615</v>
      </c>
      <c r="N2461" s="109"/>
      <c r="O2461" s="20"/>
      <c r="P2461" s="19"/>
      <c r="Q2461" s="19"/>
    </row>
    <row r="2462" spans="1:17" ht="24.9" customHeight="1">
      <c r="A2462" s="20">
        <v>438</v>
      </c>
      <c r="B2462" s="20" t="s">
        <v>4354</v>
      </c>
      <c r="C2462" s="20"/>
      <c r="D2462" s="19" t="s">
        <v>48</v>
      </c>
      <c r="E2462" s="19" t="str">
        <f>VLOOKUP(D2462,'لیست پرسنل'!$B$2:$E$1020,3,FALSE)</f>
        <v>فکورصنعت</v>
      </c>
      <c r="F2462" s="19" t="str">
        <f>VLOOKUP(D2462,'لیست پرسنل'!$B$2:$E$1020,4,FALSE)</f>
        <v>سرپرست آی تی</v>
      </c>
      <c r="G2462" s="127">
        <f>VLOOKUP(D2462,'لیست پرسنل'!$B$2:$F$1020,2,FALSE)</f>
        <v>2210</v>
      </c>
      <c r="H2462" s="128" t="s">
        <v>4783</v>
      </c>
      <c r="I2462" s="127"/>
      <c r="J2462" s="128" t="s">
        <v>571</v>
      </c>
      <c r="K2462" s="128" t="s">
        <v>2054</v>
      </c>
      <c r="L2462" s="128"/>
      <c r="M2462" s="127">
        <v>601735</v>
      </c>
      <c r="N2462" s="109"/>
      <c r="O2462" s="20"/>
      <c r="P2462" s="20"/>
      <c r="Q2462" s="19"/>
    </row>
    <row r="2463" spans="1:17" ht="24.9" customHeight="1">
      <c r="A2463" s="20">
        <v>438</v>
      </c>
      <c r="B2463" s="20" t="s">
        <v>4354</v>
      </c>
      <c r="C2463" s="20"/>
      <c r="D2463" s="20" t="s">
        <v>48</v>
      </c>
      <c r="E2463" s="19" t="str">
        <f>VLOOKUP(D2463,'لیست پرسنل'!$B$2:$E$1020,3,FALSE)</f>
        <v>فکورصنعت</v>
      </c>
      <c r="F2463" s="19" t="str">
        <f>VLOOKUP(D2463,'لیست پرسنل'!$B$2:$E$1020,4,FALSE)</f>
        <v>سرپرست آی تی</v>
      </c>
      <c r="G2463" s="127">
        <f>VLOOKUP(D2463,'لیست پرسنل'!$B$2:$F$1020,2,FALSE)</f>
        <v>2210</v>
      </c>
      <c r="H2463" s="126" t="s">
        <v>4783</v>
      </c>
      <c r="I2463" s="127"/>
      <c r="J2463" s="128" t="s">
        <v>571</v>
      </c>
      <c r="K2463" s="176"/>
      <c r="L2463" s="168"/>
      <c r="M2463" s="134">
        <v>601872</v>
      </c>
      <c r="N2463" s="120"/>
      <c r="O2463" s="20"/>
      <c r="P2463" s="20"/>
      <c r="Q2463" s="20"/>
    </row>
    <row r="2464" spans="1:17" ht="24.9" customHeight="1">
      <c r="A2464" s="20">
        <v>438</v>
      </c>
      <c r="B2464" s="20" t="s">
        <v>4354</v>
      </c>
      <c r="C2464" s="20"/>
      <c r="D2464" s="83" t="s">
        <v>48</v>
      </c>
      <c r="E2464" s="19" t="str">
        <f>VLOOKUP(D2464,'لیست پرسنل'!$B$2:$E$1020,3,FALSE)</f>
        <v>فکورصنعت</v>
      </c>
      <c r="F2464" s="19" t="str">
        <f>VLOOKUP(D2464,'لیست پرسنل'!$B$2:$E$1020,4,FALSE)</f>
        <v>سرپرست آی تی</v>
      </c>
      <c r="G2464" s="127">
        <f>VLOOKUP(D2464,'لیست پرسنل'!$B$2:$F$1020,2,FALSE)</f>
        <v>2210</v>
      </c>
      <c r="H2464" s="128" t="s">
        <v>4783</v>
      </c>
      <c r="I2464" s="159"/>
      <c r="J2464" s="128" t="s">
        <v>571</v>
      </c>
      <c r="K2464" s="127" t="s">
        <v>2054</v>
      </c>
      <c r="L2464" s="151"/>
      <c r="M2464" s="127">
        <v>603209</v>
      </c>
      <c r="N2464" s="109"/>
      <c r="O2464" s="20"/>
      <c r="P2464" s="20"/>
      <c r="Q2464" s="36"/>
    </row>
    <row r="2465" spans="1:17" ht="24.9" customHeight="1">
      <c r="A2465" s="20">
        <v>438</v>
      </c>
      <c r="B2465" s="20" t="s">
        <v>4354</v>
      </c>
      <c r="C2465" s="20"/>
      <c r="D2465" s="20" t="s">
        <v>48</v>
      </c>
      <c r="E2465" s="19" t="str">
        <f>VLOOKUP(D2465,'لیست پرسنل'!$B$2:$E$1020,3,FALSE)</f>
        <v>فکورصنعت</v>
      </c>
      <c r="F2465" s="19" t="str">
        <f>VLOOKUP(D2465,'لیست پرسنل'!$B$2:$E$1020,4,FALSE)</f>
        <v>سرپرست آی تی</v>
      </c>
      <c r="G2465" s="127">
        <f>VLOOKUP(D2465,'لیست پرسنل'!$B$2:$F$1020,2,FALSE)</f>
        <v>2210</v>
      </c>
      <c r="H2465" s="128" t="s">
        <v>4783</v>
      </c>
      <c r="I2465" s="128"/>
      <c r="J2465" s="128" t="s">
        <v>571</v>
      </c>
      <c r="K2465" s="159" t="s">
        <v>133</v>
      </c>
      <c r="L2465" s="151"/>
      <c r="M2465" s="127">
        <v>603212</v>
      </c>
      <c r="N2465" s="109"/>
      <c r="O2465" s="20"/>
      <c r="P2465" s="20"/>
      <c r="Q2465" s="20"/>
    </row>
    <row r="2466" spans="1:17" ht="24.9" customHeight="1">
      <c r="A2466" s="20">
        <v>438</v>
      </c>
      <c r="B2466" s="20" t="s">
        <v>4354</v>
      </c>
      <c r="C2466" s="20"/>
      <c r="D2466" s="20" t="s">
        <v>48</v>
      </c>
      <c r="E2466" s="19" t="str">
        <f>VLOOKUP(D2466,'لیست پرسنل'!$B$2:$E$1020,3,FALSE)</f>
        <v>فکورصنعت</v>
      </c>
      <c r="F2466" s="19" t="str">
        <f>VLOOKUP(D2466,'لیست پرسنل'!$B$2:$E$1020,4,FALSE)</f>
        <v>سرپرست آی تی</v>
      </c>
      <c r="G2466" s="127">
        <f>VLOOKUP(D2466,'لیست پرسنل'!$B$2:$F$1020,2,FALSE)</f>
        <v>2210</v>
      </c>
      <c r="H2466" s="128" t="s">
        <v>4783</v>
      </c>
      <c r="I2466" s="128"/>
      <c r="J2466" s="141" t="s">
        <v>571</v>
      </c>
      <c r="K2466" s="131" t="s">
        <v>1513</v>
      </c>
      <c r="L2466" s="153" t="s">
        <v>3784</v>
      </c>
      <c r="M2466" s="131">
        <v>603297</v>
      </c>
      <c r="N2466" s="108"/>
      <c r="O2466" s="19" t="s">
        <v>4933</v>
      </c>
      <c r="P2466" s="20"/>
      <c r="Q2466" s="20"/>
    </row>
    <row r="2467" spans="1:17" ht="24.9" customHeight="1">
      <c r="A2467" s="20">
        <v>438</v>
      </c>
      <c r="B2467" s="20" t="s">
        <v>4354</v>
      </c>
      <c r="C2467" s="20"/>
      <c r="D2467" s="20" t="s">
        <v>48</v>
      </c>
      <c r="E2467" s="19" t="str">
        <f>VLOOKUP(D2467,'لیست پرسنل'!$B$2:$E$1020,3,FALSE)</f>
        <v>فکورصنعت</v>
      </c>
      <c r="F2467" s="19" t="str">
        <f>VLOOKUP(D2467,'لیست پرسنل'!$B$2:$E$1020,4,FALSE)</f>
        <v>سرپرست آی تی</v>
      </c>
      <c r="G2467" s="127">
        <f>VLOOKUP(D2467,'لیست پرسنل'!$B$2:$F$1020,2,FALSE)</f>
        <v>2210</v>
      </c>
      <c r="H2467" s="128" t="s">
        <v>4783</v>
      </c>
      <c r="I2467" s="128"/>
      <c r="J2467" s="128" t="s">
        <v>571</v>
      </c>
      <c r="K2467" s="128" t="s">
        <v>6205</v>
      </c>
      <c r="L2467" s="128"/>
      <c r="M2467" s="128">
        <v>603350</v>
      </c>
      <c r="N2467" s="108"/>
      <c r="O2467" s="20"/>
      <c r="P2467" s="20"/>
      <c r="Q2467" s="39"/>
    </row>
    <row r="2468" spans="1:17" ht="24.9" customHeight="1">
      <c r="A2468" s="20">
        <v>438</v>
      </c>
      <c r="B2468" s="20" t="s">
        <v>4354</v>
      </c>
      <c r="C2468" s="20"/>
      <c r="D2468" s="20" t="s">
        <v>48</v>
      </c>
      <c r="E2468" s="19" t="str">
        <f>VLOOKUP(D2468,'لیست پرسنل'!$B$2:$E$1020,3,FALSE)</f>
        <v>فکورصنعت</v>
      </c>
      <c r="F2468" s="19" t="str">
        <f>VLOOKUP(D2468,'لیست پرسنل'!$B$2:$E$1020,4,FALSE)</f>
        <v>سرپرست آی تی</v>
      </c>
      <c r="G2468" s="127">
        <f>VLOOKUP(D2468,'لیست پرسنل'!$B$2:$F$1020,2,FALSE)</f>
        <v>2210</v>
      </c>
      <c r="H2468" s="128" t="s">
        <v>4783</v>
      </c>
      <c r="I2468" s="128"/>
      <c r="J2468" s="128" t="s">
        <v>571</v>
      </c>
      <c r="K2468" s="128"/>
      <c r="L2468" s="151"/>
      <c r="M2468" s="127">
        <v>604304</v>
      </c>
      <c r="N2468" s="109"/>
      <c r="O2468" s="20"/>
      <c r="P2468" s="20"/>
      <c r="Q2468" s="20"/>
    </row>
    <row r="2469" spans="1:17" ht="24.9" customHeight="1">
      <c r="A2469" s="20">
        <v>438</v>
      </c>
      <c r="B2469" s="20" t="s">
        <v>4354</v>
      </c>
      <c r="C2469" s="20"/>
      <c r="D2469" s="20" t="s">
        <v>48</v>
      </c>
      <c r="E2469" s="19" t="str">
        <f>VLOOKUP(D2469,'لیست پرسنل'!$B$2:$E$1020,3,FALSE)</f>
        <v>فکورصنعت</v>
      </c>
      <c r="F2469" s="19" t="str">
        <f>VLOOKUP(D2469,'لیست پرسنل'!$B$2:$E$1020,4,FALSE)</f>
        <v>سرپرست آی تی</v>
      </c>
      <c r="G2469" s="127">
        <f>VLOOKUP(D2469,'لیست پرسنل'!$B$2:$F$1020,2,FALSE)</f>
        <v>2210</v>
      </c>
      <c r="H2469" s="128" t="s">
        <v>4783</v>
      </c>
      <c r="I2469" s="128"/>
      <c r="J2469" s="128" t="s">
        <v>571</v>
      </c>
      <c r="K2469" s="128" t="s">
        <v>446</v>
      </c>
      <c r="L2469" s="151"/>
      <c r="M2469" s="127">
        <v>605219</v>
      </c>
      <c r="N2469" s="109" t="s">
        <v>3523</v>
      </c>
      <c r="O2469" s="20"/>
      <c r="P2469" s="20"/>
      <c r="Q2469" s="20"/>
    </row>
    <row r="2470" spans="1:17" ht="24.9" customHeight="1">
      <c r="A2470" s="20">
        <v>438</v>
      </c>
      <c r="B2470" s="20" t="s">
        <v>4354</v>
      </c>
      <c r="C2470" s="20"/>
      <c r="D2470" s="20" t="s">
        <v>48</v>
      </c>
      <c r="E2470" s="19" t="str">
        <f>VLOOKUP(D2470,'لیست پرسنل'!$B$2:$E$1020,3,FALSE)</f>
        <v>فکورصنعت</v>
      </c>
      <c r="F2470" s="19" t="str">
        <f>VLOOKUP(D2470,'لیست پرسنل'!$B$2:$E$1020,4,FALSE)</f>
        <v>سرپرست آی تی</v>
      </c>
      <c r="G2470" s="127">
        <f>VLOOKUP(D2470,'لیست پرسنل'!$B$2:$F$1020,2,FALSE)</f>
        <v>2210</v>
      </c>
      <c r="H2470" s="128" t="s">
        <v>4783</v>
      </c>
      <c r="I2470" s="128"/>
      <c r="J2470" s="128" t="s">
        <v>571</v>
      </c>
      <c r="K2470" s="128" t="s">
        <v>571</v>
      </c>
      <c r="L2470" s="128"/>
      <c r="M2470" s="128">
        <v>605813</v>
      </c>
      <c r="N2470" s="108"/>
      <c r="O2470" s="46"/>
      <c r="P2470" s="20"/>
      <c r="Q2470" s="20"/>
    </row>
    <row r="2471" spans="1:17" ht="24.9" customHeight="1">
      <c r="A2471" s="20">
        <v>438</v>
      </c>
      <c r="B2471" s="20" t="s">
        <v>4354</v>
      </c>
      <c r="C2471" s="20"/>
      <c r="D2471" s="20" t="s">
        <v>48</v>
      </c>
      <c r="E2471" s="19" t="str">
        <f>VLOOKUP(D2471,'لیست پرسنل'!$B$2:$E$1020,3,FALSE)</f>
        <v>فکورصنعت</v>
      </c>
      <c r="F2471" s="19" t="str">
        <f>VLOOKUP(D2471,'لیست پرسنل'!$B$2:$E$1020,4,FALSE)</f>
        <v>سرپرست آی تی</v>
      </c>
      <c r="G2471" s="127">
        <f>VLOOKUP(D2471,'لیست پرسنل'!$B$2:$F$1020,2,FALSE)</f>
        <v>2210</v>
      </c>
      <c r="H2471" s="128" t="s">
        <v>4783</v>
      </c>
      <c r="I2471" s="128"/>
      <c r="J2471" s="128" t="s">
        <v>571</v>
      </c>
      <c r="K2471" s="128" t="s">
        <v>3960</v>
      </c>
      <c r="L2471" s="128"/>
      <c r="M2471" s="128">
        <v>606045</v>
      </c>
      <c r="N2471" s="108"/>
      <c r="O2471" s="20"/>
      <c r="P2471" s="20"/>
      <c r="Q2471" s="20"/>
    </row>
    <row r="2472" spans="1:17" ht="24.9" customHeight="1">
      <c r="A2472" s="20">
        <v>438</v>
      </c>
      <c r="B2472" s="20" t="s">
        <v>4354</v>
      </c>
      <c r="C2472" s="20"/>
      <c r="D2472" s="20" t="s">
        <v>48</v>
      </c>
      <c r="E2472" s="19" t="str">
        <f>VLOOKUP(D2472,'لیست پرسنل'!$B$2:$E$1020,3,FALSE)</f>
        <v>فکورصنعت</v>
      </c>
      <c r="F2472" s="19" t="str">
        <f>VLOOKUP(D2472,'لیست پرسنل'!$B$2:$E$1020,4,FALSE)</f>
        <v>سرپرست آی تی</v>
      </c>
      <c r="G2472" s="127">
        <f>VLOOKUP(D2472,'لیست پرسنل'!$B$2:$F$1020,2,FALSE)</f>
        <v>2210</v>
      </c>
      <c r="H2472" s="126" t="s">
        <v>4783</v>
      </c>
      <c r="I2472" s="127"/>
      <c r="J2472" s="128" t="s">
        <v>571</v>
      </c>
      <c r="K2472" s="127" t="s">
        <v>3784</v>
      </c>
      <c r="L2472" s="127" t="s">
        <v>6932</v>
      </c>
      <c r="M2472" s="127">
        <v>606608</v>
      </c>
      <c r="N2472" s="110"/>
      <c r="O2472" s="19"/>
      <c r="P2472" s="20"/>
      <c r="Q2472" s="20"/>
    </row>
    <row r="2473" spans="1:17" ht="24.9" customHeight="1">
      <c r="A2473" s="20">
        <v>438</v>
      </c>
      <c r="B2473" s="20" t="s">
        <v>4354</v>
      </c>
      <c r="C2473" s="20"/>
      <c r="D2473" s="20" t="s">
        <v>48</v>
      </c>
      <c r="E2473" s="19" t="str">
        <f>VLOOKUP(D2473,'لیست پرسنل'!$B$2:$E$1020,3,FALSE)</f>
        <v>فکورصنعت</v>
      </c>
      <c r="F2473" s="19" t="str">
        <f>VLOOKUP(D2473,'لیست پرسنل'!$B$2:$E$1020,4,FALSE)</f>
        <v>سرپرست آی تی</v>
      </c>
      <c r="G2473" s="127">
        <f>VLOOKUP(D2473,'لیست پرسنل'!$B$2:$F$1020,2,FALSE)</f>
        <v>2210</v>
      </c>
      <c r="H2473" s="128" t="s">
        <v>4783</v>
      </c>
      <c r="I2473" s="128"/>
      <c r="J2473" s="128" t="s">
        <v>571</v>
      </c>
      <c r="K2473" s="127" t="s">
        <v>7249</v>
      </c>
      <c r="L2473" s="127" t="s">
        <v>7054</v>
      </c>
      <c r="M2473" s="127">
        <v>607491</v>
      </c>
      <c r="N2473" s="109"/>
      <c r="O2473" s="20"/>
      <c r="P2473" s="20"/>
      <c r="Q2473" s="19"/>
    </row>
    <row r="2474" spans="1:17" ht="24.9" customHeight="1">
      <c r="A2474" s="20">
        <v>438</v>
      </c>
      <c r="B2474" s="20" t="s">
        <v>4354</v>
      </c>
      <c r="C2474" s="20"/>
      <c r="D2474" s="20" t="s">
        <v>48</v>
      </c>
      <c r="E2474" s="19" t="str">
        <f>VLOOKUP(D2474,'لیست پرسنل'!$B$2:$E$1020,3,FALSE)</f>
        <v>فکورصنعت</v>
      </c>
      <c r="F2474" s="19" t="str">
        <f>VLOOKUP(D2474,'لیست پرسنل'!$B$2:$E$1020,4,FALSE)</f>
        <v>سرپرست آی تی</v>
      </c>
      <c r="G2474" s="127">
        <f>VLOOKUP(D2474,'لیست پرسنل'!$B$2:$F$1020,2,FALSE)</f>
        <v>2210</v>
      </c>
      <c r="H2474" s="126" t="s">
        <v>4783</v>
      </c>
      <c r="I2474" s="127"/>
      <c r="J2474" s="127" t="s">
        <v>571</v>
      </c>
      <c r="K2474" s="127" t="s">
        <v>2054</v>
      </c>
      <c r="L2474" s="158"/>
      <c r="M2474" s="127">
        <v>608761</v>
      </c>
      <c r="N2474" s="109"/>
      <c r="O2474" s="19"/>
      <c r="P2474" s="20"/>
      <c r="Q2474" s="20"/>
    </row>
    <row r="2475" spans="1:17" ht="24.9" customHeight="1">
      <c r="A2475" s="20">
        <v>438</v>
      </c>
      <c r="B2475" s="20" t="s">
        <v>4354</v>
      </c>
      <c r="C2475" s="20"/>
      <c r="D2475" s="20" t="s">
        <v>48</v>
      </c>
      <c r="E2475" s="19" t="str">
        <f>VLOOKUP(D2475,'لیست پرسنل'!$B$2:$E$1020,3,FALSE)</f>
        <v>فکورصنعت</v>
      </c>
      <c r="F2475" s="19" t="str">
        <f>VLOOKUP(D2475,'لیست پرسنل'!$B$2:$E$1020,4,FALSE)</f>
        <v>سرپرست آی تی</v>
      </c>
      <c r="G2475" s="127">
        <f>VLOOKUP(D2475,'لیست پرسنل'!$B$2:$F$1020,2,FALSE)</f>
        <v>2210</v>
      </c>
      <c r="H2475" s="128" t="s">
        <v>4783</v>
      </c>
      <c r="I2475" s="128"/>
      <c r="J2475" s="128" t="s">
        <v>571</v>
      </c>
      <c r="K2475" s="128" t="s">
        <v>571</v>
      </c>
      <c r="L2475" s="128" t="s">
        <v>1872</v>
      </c>
      <c r="M2475" s="127">
        <v>609496</v>
      </c>
      <c r="N2475" s="108"/>
      <c r="O2475" s="20"/>
      <c r="P2475" s="20"/>
      <c r="Q2475" s="20"/>
    </row>
    <row r="2476" spans="1:17" ht="24.9" customHeight="1">
      <c r="A2476" s="20">
        <v>438</v>
      </c>
      <c r="B2476" s="20" t="s">
        <v>4354</v>
      </c>
      <c r="C2476" s="20"/>
      <c r="D2476" s="20" t="s">
        <v>48</v>
      </c>
      <c r="E2476" s="19" t="str">
        <f>VLOOKUP(D2476,'لیست پرسنل'!$B$2:$E$1020,3,FALSE)</f>
        <v>فکورصنعت</v>
      </c>
      <c r="F2476" s="19" t="str">
        <f>VLOOKUP(D2476,'لیست پرسنل'!$B$2:$E$1020,4,FALSE)</f>
        <v>سرپرست آی تی</v>
      </c>
      <c r="G2476" s="127">
        <f>VLOOKUP(D2476,'لیست پرسنل'!$B$2:$F$1020,2,FALSE)</f>
        <v>2210</v>
      </c>
      <c r="H2476" s="127" t="s">
        <v>4783</v>
      </c>
      <c r="I2476" s="127"/>
      <c r="J2476" s="128" t="s">
        <v>571</v>
      </c>
      <c r="K2476" s="126" t="s">
        <v>571</v>
      </c>
      <c r="L2476" s="127" t="s">
        <v>743</v>
      </c>
      <c r="M2476" s="127">
        <v>610977</v>
      </c>
      <c r="N2476" s="109"/>
      <c r="O2476" s="31"/>
      <c r="P2476" s="20"/>
      <c r="Q2476" s="20"/>
    </row>
    <row r="2477" spans="1:17" ht="24.9" customHeight="1">
      <c r="A2477" s="20">
        <v>438</v>
      </c>
      <c r="B2477" s="20" t="s">
        <v>4354</v>
      </c>
      <c r="C2477" s="20"/>
      <c r="D2477" s="20" t="s">
        <v>48</v>
      </c>
      <c r="E2477" s="19" t="str">
        <f>VLOOKUP(D2477,'لیست پرسنل'!$B$2:$E$1020,3,FALSE)</f>
        <v>فکورصنعت</v>
      </c>
      <c r="F2477" s="19" t="str">
        <f>VLOOKUP(D2477,'لیست پرسنل'!$B$2:$E$1020,4,FALSE)</f>
        <v>سرپرست آی تی</v>
      </c>
      <c r="G2477" s="127">
        <f>VLOOKUP(D2477,'لیست پرسنل'!$B$2:$F$1020,2,FALSE)</f>
        <v>2210</v>
      </c>
      <c r="H2477" s="127" t="s">
        <v>4783</v>
      </c>
      <c r="I2477" s="127"/>
      <c r="J2477" s="128" t="s">
        <v>571</v>
      </c>
      <c r="K2477" s="127"/>
      <c r="L2477" s="151"/>
      <c r="M2477" s="127">
        <v>622508</v>
      </c>
      <c r="N2477" s="109"/>
      <c r="O2477" s="20"/>
      <c r="P2477" s="20"/>
      <c r="Q2477" s="20"/>
    </row>
    <row r="2478" spans="1:17" ht="24.9" customHeight="1">
      <c r="A2478" s="20">
        <v>438</v>
      </c>
      <c r="B2478" s="20" t="s">
        <v>4354</v>
      </c>
      <c r="C2478" s="20"/>
      <c r="D2478" s="20" t="s">
        <v>48</v>
      </c>
      <c r="E2478" s="19" t="str">
        <f>VLOOKUP(D2478,'لیست پرسنل'!$B$2:$E$1020,3,FALSE)</f>
        <v>فکورصنعت</v>
      </c>
      <c r="F2478" s="19" t="str">
        <f>VLOOKUP(D2478,'لیست پرسنل'!$B$2:$E$1020,4,FALSE)</f>
        <v>سرپرست آی تی</v>
      </c>
      <c r="G2478" s="127">
        <f>VLOOKUP(D2478,'لیست پرسنل'!$B$2:$F$1020,2,FALSE)</f>
        <v>2210</v>
      </c>
      <c r="H2478" s="127" t="s">
        <v>4783</v>
      </c>
      <c r="I2478" s="127"/>
      <c r="J2478" s="128" t="s">
        <v>571</v>
      </c>
      <c r="K2478" s="127" t="s">
        <v>2219</v>
      </c>
      <c r="L2478" s="127" t="s">
        <v>663</v>
      </c>
      <c r="M2478" s="127">
        <v>622524</v>
      </c>
      <c r="N2478" s="109"/>
      <c r="O2478" s="20" t="s">
        <v>3943</v>
      </c>
      <c r="P2478" s="31"/>
      <c r="Q2478" s="31"/>
    </row>
    <row r="2479" spans="1:17" ht="24.9" customHeight="1">
      <c r="A2479" s="20">
        <v>438</v>
      </c>
      <c r="B2479" s="20" t="s">
        <v>4354</v>
      </c>
      <c r="C2479" s="20"/>
      <c r="D2479" s="20" t="s">
        <v>48</v>
      </c>
      <c r="E2479" s="19" t="str">
        <f>VLOOKUP(D2479,'لیست پرسنل'!$B$2:$E$1020,3,FALSE)</f>
        <v>فکورصنعت</v>
      </c>
      <c r="F2479" s="19" t="str">
        <f>VLOOKUP(D2479,'لیست پرسنل'!$B$2:$E$1020,4,FALSE)</f>
        <v>سرپرست آی تی</v>
      </c>
      <c r="G2479" s="127">
        <f>VLOOKUP(D2479,'لیست پرسنل'!$B$2:$F$1020,2,FALSE)</f>
        <v>2210</v>
      </c>
      <c r="H2479" s="127" t="s">
        <v>4783</v>
      </c>
      <c r="I2479" s="127"/>
      <c r="J2479" s="159" t="s">
        <v>571</v>
      </c>
      <c r="K2479" s="159" t="s">
        <v>5438</v>
      </c>
      <c r="L2479" s="151"/>
      <c r="M2479" s="127">
        <v>622546</v>
      </c>
      <c r="N2479" s="109"/>
      <c r="O2479" s="19" t="s">
        <v>5298</v>
      </c>
      <c r="P2479" s="20"/>
      <c r="Q2479" s="20"/>
    </row>
    <row r="2480" spans="1:17" ht="24.9" customHeight="1">
      <c r="A2480" s="20">
        <v>438</v>
      </c>
      <c r="B2480" s="20" t="s">
        <v>4354</v>
      </c>
      <c r="C2480" s="20"/>
      <c r="D2480" s="20" t="s">
        <v>48</v>
      </c>
      <c r="E2480" s="19" t="str">
        <f>VLOOKUP(D2480,'لیست پرسنل'!$B$2:$E$1020,3,FALSE)</f>
        <v>فکورصنعت</v>
      </c>
      <c r="F2480" s="19" t="str">
        <f>VLOOKUP(D2480,'لیست پرسنل'!$B$2:$E$1020,4,FALSE)</f>
        <v>سرپرست آی تی</v>
      </c>
      <c r="G2480" s="127">
        <f>VLOOKUP(D2480,'لیست پرسنل'!$B$2:$F$1020,2,FALSE)</f>
        <v>2210</v>
      </c>
      <c r="H2480" s="128" t="s">
        <v>4783</v>
      </c>
      <c r="I2480" s="128"/>
      <c r="J2480" s="128" t="s">
        <v>571</v>
      </c>
      <c r="K2480" s="128" t="s">
        <v>1640</v>
      </c>
      <c r="L2480" s="128"/>
      <c r="M2480" s="127">
        <v>629411</v>
      </c>
      <c r="N2480" s="108"/>
      <c r="O2480" s="20" t="s">
        <v>4702</v>
      </c>
      <c r="P2480" s="20"/>
      <c r="Q2480" s="20"/>
    </row>
    <row r="2481" spans="1:17" ht="24.9" customHeight="1">
      <c r="A2481" s="20">
        <v>438</v>
      </c>
      <c r="B2481" s="20" t="s">
        <v>4354</v>
      </c>
      <c r="C2481" s="20"/>
      <c r="D2481" s="20" t="s">
        <v>48</v>
      </c>
      <c r="E2481" s="19" t="str">
        <f>VLOOKUP(D2481,'لیست پرسنل'!$B$2:$E$1020,3,FALSE)</f>
        <v>فکورصنعت</v>
      </c>
      <c r="F2481" s="19" t="str">
        <f>VLOOKUP(D2481,'لیست پرسنل'!$B$2:$E$1020,4,FALSE)</f>
        <v>سرپرست آی تی</v>
      </c>
      <c r="G2481" s="127">
        <f>VLOOKUP(D2481,'لیست پرسنل'!$B$2:$F$1020,2,FALSE)</f>
        <v>2210</v>
      </c>
      <c r="H2481" s="128" t="s">
        <v>4783</v>
      </c>
      <c r="I2481" s="128"/>
      <c r="J2481" s="128" t="s">
        <v>571</v>
      </c>
      <c r="K2481" s="128" t="s">
        <v>5320</v>
      </c>
      <c r="L2481" s="128"/>
      <c r="M2481" s="132">
        <v>631494</v>
      </c>
      <c r="N2481" s="108"/>
      <c r="O2481" s="19"/>
      <c r="P2481" s="20"/>
      <c r="Q2481" s="20"/>
    </row>
    <row r="2482" spans="1:17" ht="24.9" customHeight="1">
      <c r="A2482" s="20">
        <v>438</v>
      </c>
      <c r="B2482" s="20" t="s">
        <v>4354</v>
      </c>
      <c r="C2482" s="20"/>
      <c r="D2482" s="20" t="s">
        <v>48</v>
      </c>
      <c r="E2482" s="19" t="str">
        <f>VLOOKUP(D2482,'لیست پرسنل'!$B$2:$E$1020,3,FALSE)</f>
        <v>فکورصنعت</v>
      </c>
      <c r="F2482" s="19" t="str">
        <f>VLOOKUP(D2482,'لیست پرسنل'!$B$2:$E$1020,4,FALSE)</f>
        <v>سرپرست آی تی</v>
      </c>
      <c r="G2482" s="127">
        <f>VLOOKUP(D2482,'لیست پرسنل'!$B$2:$F$1020,2,FALSE)</f>
        <v>2210</v>
      </c>
      <c r="H2482" s="128" t="s">
        <v>4783</v>
      </c>
      <c r="I2482" s="128"/>
      <c r="J2482" s="128" t="s">
        <v>571</v>
      </c>
      <c r="K2482" s="127"/>
      <c r="L2482" s="151"/>
      <c r="M2482" s="127">
        <v>632378</v>
      </c>
      <c r="N2482" s="109"/>
      <c r="O2482" s="20" t="s">
        <v>5938</v>
      </c>
      <c r="P2482" s="20"/>
      <c r="Q2482" s="20"/>
    </row>
    <row r="2483" spans="1:17" ht="24.9" customHeight="1">
      <c r="A2483" s="20">
        <v>438</v>
      </c>
      <c r="B2483" s="20" t="s">
        <v>4354</v>
      </c>
      <c r="C2483" s="20"/>
      <c r="D2483" s="20" t="s">
        <v>48</v>
      </c>
      <c r="E2483" s="19" t="str">
        <f>VLOOKUP(D2483,'لیست پرسنل'!$B$2:$E$1020,3,FALSE)</f>
        <v>فکورصنعت</v>
      </c>
      <c r="F2483" s="19" t="str">
        <f>VLOOKUP(D2483,'لیست پرسنل'!$B$2:$E$1020,4,FALSE)</f>
        <v>سرپرست آی تی</v>
      </c>
      <c r="G2483" s="127">
        <f>VLOOKUP(D2483,'لیست پرسنل'!$B$2:$F$1020,2,FALSE)</f>
        <v>2210</v>
      </c>
      <c r="H2483" s="126" t="s">
        <v>4783</v>
      </c>
      <c r="I2483" s="128"/>
      <c r="J2483" s="128" t="s">
        <v>571</v>
      </c>
      <c r="K2483" s="128" t="s">
        <v>571</v>
      </c>
      <c r="L2483" s="127"/>
      <c r="M2483" s="128" t="s">
        <v>291</v>
      </c>
      <c r="N2483" s="109"/>
      <c r="O2483" s="19" t="s">
        <v>7903</v>
      </c>
      <c r="P2483" s="32"/>
      <c r="Q2483" s="32"/>
    </row>
    <row r="2484" spans="1:17" ht="24.9" customHeight="1">
      <c r="A2484" s="20">
        <v>438</v>
      </c>
      <c r="B2484" s="20" t="s">
        <v>4354</v>
      </c>
      <c r="C2484" s="20"/>
      <c r="D2484" s="20" t="s">
        <v>48</v>
      </c>
      <c r="E2484" s="19" t="str">
        <f>VLOOKUP(D2484,'لیست پرسنل'!$B$2:$E$1020,3,FALSE)</f>
        <v>فکورصنعت</v>
      </c>
      <c r="F2484" s="19" t="str">
        <f>VLOOKUP(D2484,'لیست پرسنل'!$B$2:$E$1020,4,FALSE)</f>
        <v>سرپرست آی تی</v>
      </c>
      <c r="G2484" s="127">
        <f>VLOOKUP(D2484,'لیست پرسنل'!$B$2:$F$1020,2,FALSE)</f>
        <v>2210</v>
      </c>
      <c r="H2484" s="126" t="s">
        <v>4783</v>
      </c>
      <c r="I2484" s="128"/>
      <c r="J2484" s="128" t="s">
        <v>571</v>
      </c>
      <c r="K2484" s="128" t="s">
        <v>571</v>
      </c>
      <c r="L2484" s="127"/>
      <c r="M2484" s="128" t="s">
        <v>291</v>
      </c>
      <c r="N2484" s="109"/>
      <c r="O2484" s="19" t="s">
        <v>7903</v>
      </c>
      <c r="P2484" s="32"/>
      <c r="Q2484" s="32"/>
    </row>
    <row r="2485" spans="1:17" ht="24.9" customHeight="1">
      <c r="A2485" s="20">
        <v>438</v>
      </c>
      <c r="B2485" s="20" t="s">
        <v>4354</v>
      </c>
      <c r="C2485" s="20"/>
      <c r="D2485" s="20" t="s">
        <v>48</v>
      </c>
      <c r="E2485" s="19" t="str">
        <f>VLOOKUP(D2485,'لیست پرسنل'!$B$2:$E$1020,3,FALSE)</f>
        <v>فکورصنعت</v>
      </c>
      <c r="F2485" s="19" t="str">
        <f>VLOOKUP(D2485,'لیست پرسنل'!$B$2:$E$1020,4,FALSE)</f>
        <v>سرپرست آی تی</v>
      </c>
      <c r="G2485" s="127">
        <f>VLOOKUP(D2485,'لیست پرسنل'!$B$2:$F$1020,2,FALSE)</f>
        <v>2210</v>
      </c>
      <c r="H2485" s="126" t="s">
        <v>4783</v>
      </c>
      <c r="I2485" s="128"/>
      <c r="J2485" s="128" t="s">
        <v>571</v>
      </c>
      <c r="K2485" s="128" t="s">
        <v>571</v>
      </c>
      <c r="L2485" s="127"/>
      <c r="M2485" s="128" t="s">
        <v>291</v>
      </c>
      <c r="N2485" s="109"/>
      <c r="O2485" s="19" t="s">
        <v>7903</v>
      </c>
      <c r="P2485" s="32"/>
      <c r="Q2485" s="32"/>
    </row>
    <row r="2486" spans="1:17" ht="24.9" customHeight="1">
      <c r="A2486" s="20">
        <v>438</v>
      </c>
      <c r="B2486" s="20" t="s">
        <v>4354</v>
      </c>
      <c r="C2486" s="20"/>
      <c r="D2486" s="20" t="s">
        <v>48</v>
      </c>
      <c r="E2486" s="19" t="str">
        <f>VLOOKUP(D2486,'لیست پرسنل'!$B$2:$E$1020,3,FALSE)</f>
        <v>فکورصنعت</v>
      </c>
      <c r="F2486" s="19" t="str">
        <f>VLOOKUP(D2486,'لیست پرسنل'!$B$2:$E$1020,4,FALSE)</f>
        <v>سرپرست آی تی</v>
      </c>
      <c r="G2486" s="127">
        <f>VLOOKUP(D2486,'لیست پرسنل'!$B$2:$F$1020,2,FALSE)</f>
        <v>2210</v>
      </c>
      <c r="H2486" s="126" t="s">
        <v>4783</v>
      </c>
      <c r="I2486" s="128"/>
      <c r="J2486" s="128" t="s">
        <v>571</v>
      </c>
      <c r="K2486" s="128" t="s">
        <v>571</v>
      </c>
      <c r="L2486" s="127"/>
      <c r="M2486" s="128" t="s">
        <v>291</v>
      </c>
      <c r="N2486" s="109"/>
      <c r="O2486" s="19" t="s">
        <v>7903</v>
      </c>
      <c r="P2486" s="32"/>
      <c r="Q2486" s="32"/>
    </row>
    <row r="2487" spans="1:17" ht="24.9" customHeight="1">
      <c r="A2487" s="20">
        <v>438</v>
      </c>
      <c r="B2487" s="20" t="s">
        <v>4354</v>
      </c>
      <c r="C2487" s="20"/>
      <c r="D2487" s="20" t="s">
        <v>48</v>
      </c>
      <c r="E2487" s="19" t="str">
        <f>VLOOKUP(D2487,'لیست پرسنل'!$B$2:$E$1020,3,FALSE)</f>
        <v>فکورصنعت</v>
      </c>
      <c r="F2487" s="19" t="str">
        <f>VLOOKUP(D2487,'لیست پرسنل'!$B$2:$E$1020,4,FALSE)</f>
        <v>سرپرست آی تی</v>
      </c>
      <c r="G2487" s="127">
        <f>VLOOKUP(D2487,'لیست پرسنل'!$B$2:$F$1020,2,FALSE)</f>
        <v>2210</v>
      </c>
      <c r="H2487" s="126" t="s">
        <v>4783</v>
      </c>
      <c r="I2487" s="128"/>
      <c r="J2487" s="128" t="s">
        <v>571</v>
      </c>
      <c r="K2487" s="128" t="s">
        <v>571</v>
      </c>
      <c r="L2487" s="127"/>
      <c r="M2487" s="128" t="s">
        <v>291</v>
      </c>
      <c r="N2487" s="109"/>
      <c r="O2487" s="19" t="s">
        <v>7903</v>
      </c>
      <c r="P2487" s="32"/>
      <c r="Q2487" s="32"/>
    </row>
    <row r="2488" spans="1:17" ht="24.9" customHeight="1">
      <c r="A2488" s="20">
        <v>438</v>
      </c>
      <c r="B2488" s="20" t="s">
        <v>4354</v>
      </c>
      <c r="C2488" s="20"/>
      <c r="D2488" s="20" t="s">
        <v>48</v>
      </c>
      <c r="E2488" s="19" t="str">
        <f>VLOOKUP(D2488,'لیست پرسنل'!$B$2:$E$1020,3,FALSE)</f>
        <v>فکورصنعت</v>
      </c>
      <c r="F2488" s="19" t="str">
        <f>VLOOKUP(D2488,'لیست پرسنل'!$B$2:$E$1020,4,FALSE)</f>
        <v>سرپرست آی تی</v>
      </c>
      <c r="G2488" s="127">
        <f>VLOOKUP(D2488,'لیست پرسنل'!$B$2:$F$1020,2,FALSE)</f>
        <v>2210</v>
      </c>
      <c r="H2488" s="126" t="s">
        <v>4783</v>
      </c>
      <c r="I2488" s="128"/>
      <c r="J2488" s="128" t="s">
        <v>571</v>
      </c>
      <c r="K2488" s="128" t="s">
        <v>571</v>
      </c>
      <c r="L2488" s="127"/>
      <c r="M2488" s="128" t="s">
        <v>291</v>
      </c>
      <c r="N2488" s="109"/>
      <c r="O2488" s="19" t="s">
        <v>7903</v>
      </c>
      <c r="P2488" s="32"/>
      <c r="Q2488" s="32"/>
    </row>
    <row r="2489" spans="1:17" ht="24.9" customHeight="1">
      <c r="A2489" s="20">
        <v>438</v>
      </c>
      <c r="B2489" s="20" t="s">
        <v>4354</v>
      </c>
      <c r="C2489" s="20"/>
      <c r="D2489" s="20" t="s">
        <v>48</v>
      </c>
      <c r="E2489" s="19" t="str">
        <f>VLOOKUP(D2489,'لیست پرسنل'!$B$2:$E$1020,3,FALSE)</f>
        <v>فکورصنعت</v>
      </c>
      <c r="F2489" s="19" t="str">
        <f>VLOOKUP(D2489,'لیست پرسنل'!$B$2:$E$1020,4,FALSE)</f>
        <v>سرپرست آی تی</v>
      </c>
      <c r="G2489" s="127">
        <f>VLOOKUP(D2489,'لیست پرسنل'!$B$2:$F$1020,2,FALSE)</f>
        <v>2210</v>
      </c>
      <c r="H2489" s="126" t="s">
        <v>4783</v>
      </c>
      <c r="I2489" s="128"/>
      <c r="J2489" s="128" t="s">
        <v>571</v>
      </c>
      <c r="K2489" s="128" t="s">
        <v>571</v>
      </c>
      <c r="L2489" s="127"/>
      <c r="M2489" s="128" t="s">
        <v>291</v>
      </c>
      <c r="N2489" s="109"/>
      <c r="O2489" s="19" t="s">
        <v>7903</v>
      </c>
      <c r="P2489" s="32"/>
      <c r="Q2489" s="32"/>
    </row>
    <row r="2490" spans="1:17" ht="24.9" customHeight="1">
      <c r="A2490" s="20">
        <v>438</v>
      </c>
      <c r="B2490" s="20" t="s">
        <v>4354</v>
      </c>
      <c r="C2490" s="20"/>
      <c r="D2490" s="20" t="s">
        <v>48</v>
      </c>
      <c r="E2490" s="19" t="str">
        <f>VLOOKUP(D2490,'لیست پرسنل'!$B$2:$E$1020,3,FALSE)</f>
        <v>فکورصنعت</v>
      </c>
      <c r="F2490" s="19" t="str">
        <f>VLOOKUP(D2490,'لیست پرسنل'!$B$2:$E$1020,4,FALSE)</f>
        <v>سرپرست آی تی</v>
      </c>
      <c r="G2490" s="127">
        <f>VLOOKUP(D2490,'لیست پرسنل'!$B$2:$F$1020,2,FALSE)</f>
        <v>2210</v>
      </c>
      <c r="H2490" s="128" t="s">
        <v>4783</v>
      </c>
      <c r="I2490" s="128"/>
      <c r="J2490" s="126" t="s">
        <v>571</v>
      </c>
      <c r="K2490" s="128" t="s">
        <v>7657</v>
      </c>
      <c r="L2490" s="127"/>
      <c r="M2490" s="127" t="s">
        <v>4371</v>
      </c>
      <c r="N2490" s="109"/>
      <c r="O2490" s="19"/>
      <c r="P2490" s="32"/>
      <c r="Q2490" s="32"/>
    </row>
    <row r="2491" spans="1:17" ht="24.9" customHeight="1">
      <c r="A2491" s="20">
        <v>438</v>
      </c>
      <c r="B2491" s="20" t="s">
        <v>4354</v>
      </c>
      <c r="C2491" s="20"/>
      <c r="D2491" s="20" t="s">
        <v>48</v>
      </c>
      <c r="E2491" s="19" t="str">
        <f>VLOOKUP(D2491,'لیست پرسنل'!$B$2:$E$1020,3,FALSE)</f>
        <v>فکورصنعت</v>
      </c>
      <c r="F2491" s="19" t="str">
        <f>VLOOKUP(D2491,'لیست پرسنل'!$B$2:$E$1020,4,FALSE)</f>
        <v>سرپرست آی تی</v>
      </c>
      <c r="G2491" s="127">
        <f>VLOOKUP(D2491,'لیست پرسنل'!$B$2:$F$1020,2,FALSE)</f>
        <v>2210</v>
      </c>
      <c r="H2491" s="126" t="s">
        <v>4783</v>
      </c>
      <c r="I2491" s="128"/>
      <c r="J2491" s="128" t="s">
        <v>5618</v>
      </c>
      <c r="K2491" s="128" t="s">
        <v>7888</v>
      </c>
      <c r="L2491" s="127" t="s">
        <v>7892</v>
      </c>
      <c r="M2491" s="128" t="s">
        <v>291</v>
      </c>
      <c r="N2491" s="109"/>
      <c r="O2491" s="19" t="s">
        <v>7903</v>
      </c>
      <c r="P2491" s="32"/>
      <c r="Q2491" s="32"/>
    </row>
    <row r="2492" spans="1:17" ht="24.9" customHeight="1">
      <c r="A2492" s="20">
        <v>438</v>
      </c>
      <c r="B2492" s="20" t="s">
        <v>4354</v>
      </c>
      <c r="C2492" s="20"/>
      <c r="D2492" s="20" t="s">
        <v>48</v>
      </c>
      <c r="E2492" s="19" t="str">
        <f>VLOOKUP(D2492,'لیست پرسنل'!$B$2:$E$1020,3,FALSE)</f>
        <v>فکورصنعت</v>
      </c>
      <c r="F2492" s="19" t="str">
        <f>VLOOKUP(D2492,'لیست پرسنل'!$B$2:$E$1020,4,FALSE)</f>
        <v>سرپرست آی تی</v>
      </c>
      <c r="G2492" s="127">
        <f>VLOOKUP(D2492,'لیست پرسنل'!$B$2:$F$1020,2,FALSE)</f>
        <v>2210</v>
      </c>
      <c r="H2492" s="126" t="s">
        <v>4783</v>
      </c>
      <c r="I2492" s="128"/>
      <c r="J2492" s="128" t="s">
        <v>5618</v>
      </c>
      <c r="K2492" s="128" t="s">
        <v>7888</v>
      </c>
      <c r="L2492" s="127" t="s">
        <v>7893</v>
      </c>
      <c r="M2492" s="128" t="s">
        <v>291</v>
      </c>
      <c r="N2492" s="109"/>
      <c r="O2492" s="19" t="s">
        <v>7903</v>
      </c>
      <c r="P2492" s="32"/>
      <c r="Q2492" s="32"/>
    </row>
    <row r="2493" spans="1:17" ht="24.9" customHeight="1">
      <c r="A2493" s="20">
        <v>438</v>
      </c>
      <c r="B2493" s="20" t="s">
        <v>4354</v>
      </c>
      <c r="C2493" s="20"/>
      <c r="D2493" s="20" t="s">
        <v>48</v>
      </c>
      <c r="E2493" s="19" t="str">
        <f>VLOOKUP(D2493,'لیست پرسنل'!$B$2:$E$1020,3,FALSE)</f>
        <v>فکورصنعت</v>
      </c>
      <c r="F2493" s="19" t="str">
        <f>VLOOKUP(D2493,'لیست پرسنل'!$B$2:$E$1020,4,FALSE)</f>
        <v>سرپرست آی تی</v>
      </c>
      <c r="G2493" s="127">
        <f>VLOOKUP(D2493,'لیست پرسنل'!$B$2:$F$1020,2,FALSE)</f>
        <v>2210</v>
      </c>
      <c r="H2493" s="126" t="s">
        <v>4783</v>
      </c>
      <c r="I2493" s="128"/>
      <c r="J2493" s="128" t="s">
        <v>5618</v>
      </c>
      <c r="K2493" s="128" t="s">
        <v>7889</v>
      </c>
      <c r="L2493" s="127" t="s">
        <v>7894</v>
      </c>
      <c r="M2493" s="128" t="s">
        <v>291</v>
      </c>
      <c r="N2493" s="109"/>
      <c r="O2493" s="19" t="s">
        <v>7903</v>
      </c>
      <c r="P2493" s="32"/>
      <c r="Q2493" s="32"/>
    </row>
    <row r="2494" spans="1:17" ht="24.9" customHeight="1">
      <c r="A2494" s="20">
        <v>438</v>
      </c>
      <c r="B2494" s="20" t="s">
        <v>4354</v>
      </c>
      <c r="C2494" s="20"/>
      <c r="D2494" s="20" t="s">
        <v>48</v>
      </c>
      <c r="E2494" s="19" t="str">
        <f>VLOOKUP(D2494,'لیست پرسنل'!$B$2:$E$1020,3,FALSE)</f>
        <v>فکورصنعت</v>
      </c>
      <c r="F2494" s="19" t="str">
        <f>VLOOKUP(D2494,'لیست پرسنل'!$B$2:$E$1020,4,FALSE)</f>
        <v>سرپرست آی تی</v>
      </c>
      <c r="G2494" s="127">
        <f>VLOOKUP(D2494,'لیست پرسنل'!$B$2:$F$1020,2,FALSE)</f>
        <v>2210</v>
      </c>
      <c r="H2494" s="128" t="s">
        <v>4783</v>
      </c>
      <c r="I2494" s="128"/>
      <c r="J2494" s="128" t="s">
        <v>2686</v>
      </c>
      <c r="K2494" s="127" t="s">
        <v>320</v>
      </c>
      <c r="L2494" s="151" t="s">
        <v>3303</v>
      </c>
      <c r="M2494" s="127">
        <v>602432</v>
      </c>
      <c r="N2494" s="108"/>
      <c r="O2494" s="20"/>
      <c r="P2494" s="20"/>
      <c r="Q2494" s="20"/>
    </row>
    <row r="2495" spans="1:17" ht="24.9" customHeight="1">
      <c r="A2495" s="20">
        <v>438</v>
      </c>
      <c r="B2495" s="20" t="s">
        <v>4354</v>
      </c>
      <c r="C2495" s="20"/>
      <c r="D2495" s="20" t="s">
        <v>48</v>
      </c>
      <c r="E2495" s="19" t="str">
        <f>VLOOKUP(D2495,'لیست پرسنل'!$B$2:$E$1020,3,FALSE)</f>
        <v>فکورصنعت</v>
      </c>
      <c r="F2495" s="19" t="str">
        <f>VLOOKUP(D2495,'لیست پرسنل'!$B$2:$E$1020,4,FALSE)</f>
        <v>سرپرست آی تی</v>
      </c>
      <c r="G2495" s="127">
        <f>VLOOKUP(D2495,'لیست پرسنل'!$B$2:$F$1020,2,FALSE)</f>
        <v>2210</v>
      </c>
      <c r="H2495" s="126" t="s">
        <v>4783</v>
      </c>
      <c r="I2495" s="127"/>
      <c r="J2495" s="128" t="s">
        <v>2686</v>
      </c>
      <c r="K2495" s="127" t="s">
        <v>332</v>
      </c>
      <c r="L2495" s="151" t="s">
        <v>1227</v>
      </c>
      <c r="M2495" s="127">
        <v>603807</v>
      </c>
      <c r="N2495" s="108"/>
      <c r="O2495" s="20"/>
      <c r="P2495" s="20"/>
      <c r="Q2495" s="20"/>
    </row>
    <row r="2496" spans="1:17" ht="24.9" customHeight="1">
      <c r="A2496" s="20">
        <v>438</v>
      </c>
      <c r="B2496" s="20" t="s">
        <v>4354</v>
      </c>
      <c r="C2496" s="20"/>
      <c r="D2496" s="20" t="s">
        <v>48</v>
      </c>
      <c r="E2496" s="19" t="str">
        <f>VLOOKUP(D2496,'لیست پرسنل'!$B$2:$E$1020,3,FALSE)</f>
        <v>فکورصنعت</v>
      </c>
      <c r="F2496" s="19" t="str">
        <f>VLOOKUP(D2496,'لیست پرسنل'!$B$2:$E$1020,4,FALSE)</f>
        <v>سرپرست آی تی</v>
      </c>
      <c r="G2496" s="127">
        <f>VLOOKUP(D2496,'لیست پرسنل'!$B$2:$F$1020,2,FALSE)</f>
        <v>2210</v>
      </c>
      <c r="H2496" s="128" t="s">
        <v>4783</v>
      </c>
      <c r="I2496" s="128"/>
      <c r="J2496" s="128" t="s">
        <v>2686</v>
      </c>
      <c r="K2496" s="128" t="s">
        <v>1745</v>
      </c>
      <c r="L2496" s="154" t="s">
        <v>1697</v>
      </c>
      <c r="M2496" s="127">
        <v>606142</v>
      </c>
      <c r="N2496" s="109"/>
      <c r="O2496" s="20"/>
      <c r="P2496" s="20"/>
      <c r="Q2496" s="20"/>
    </row>
    <row r="2497" spans="1:17" ht="24.9" customHeight="1">
      <c r="A2497" s="20">
        <v>438</v>
      </c>
      <c r="B2497" s="20" t="s">
        <v>4354</v>
      </c>
      <c r="C2497" s="20"/>
      <c r="D2497" s="20" t="s">
        <v>48</v>
      </c>
      <c r="E2497" s="19" t="str">
        <f>VLOOKUP(D2497,'لیست پرسنل'!$B$2:$E$1020,3,FALSE)</f>
        <v>فکورصنعت</v>
      </c>
      <c r="F2497" s="19" t="str">
        <f>VLOOKUP(D2497,'لیست پرسنل'!$B$2:$E$1020,4,FALSE)</f>
        <v>سرپرست آی تی</v>
      </c>
      <c r="G2497" s="127">
        <f>VLOOKUP(D2497,'لیست پرسنل'!$B$2:$F$1020,2,FALSE)</f>
        <v>2210</v>
      </c>
      <c r="H2497" s="128" t="s">
        <v>4783</v>
      </c>
      <c r="I2497" s="128"/>
      <c r="J2497" s="128" t="s">
        <v>2686</v>
      </c>
      <c r="K2497" s="128" t="s">
        <v>744</v>
      </c>
      <c r="L2497" s="128" t="s">
        <v>3929</v>
      </c>
      <c r="M2497" s="127">
        <v>606520</v>
      </c>
      <c r="N2497" s="108"/>
      <c r="O2497" s="20"/>
      <c r="P2497" s="20"/>
      <c r="Q2497" s="20"/>
    </row>
    <row r="2498" spans="1:17" ht="24.9" customHeight="1">
      <c r="A2498" s="20">
        <v>438</v>
      </c>
      <c r="B2498" s="20" t="s">
        <v>4354</v>
      </c>
      <c r="C2498" s="20"/>
      <c r="D2498" s="20" t="s">
        <v>48</v>
      </c>
      <c r="E2498" s="19" t="str">
        <f>VLOOKUP(D2498,'لیست پرسنل'!$B$2:$E$1020,3,FALSE)</f>
        <v>فکورصنعت</v>
      </c>
      <c r="F2498" s="19" t="str">
        <f>VLOOKUP(D2498,'لیست پرسنل'!$B$2:$E$1020,4,FALSE)</f>
        <v>سرپرست آی تی</v>
      </c>
      <c r="G2498" s="127">
        <f>VLOOKUP(D2498,'لیست پرسنل'!$B$2:$F$1020,2,FALSE)</f>
        <v>2210</v>
      </c>
      <c r="H2498" s="126" t="s">
        <v>4783</v>
      </c>
      <c r="I2498" s="127"/>
      <c r="J2498" s="128" t="s">
        <v>2686</v>
      </c>
      <c r="K2498" s="127" t="s">
        <v>332</v>
      </c>
      <c r="L2498" s="151" t="s">
        <v>1226</v>
      </c>
      <c r="M2498" s="127">
        <v>606569</v>
      </c>
      <c r="N2498" s="108"/>
      <c r="O2498" s="20"/>
      <c r="P2498" s="20"/>
      <c r="Q2498" s="20"/>
    </row>
    <row r="2499" spans="1:17" ht="24.9" customHeight="1">
      <c r="A2499" s="20">
        <v>438</v>
      </c>
      <c r="B2499" s="20" t="s">
        <v>4354</v>
      </c>
      <c r="C2499" s="20"/>
      <c r="D2499" s="20" t="s">
        <v>48</v>
      </c>
      <c r="E2499" s="19" t="str">
        <f>VLOOKUP(D2499,'لیست پرسنل'!$B$2:$E$1020,3,FALSE)</f>
        <v>فکورصنعت</v>
      </c>
      <c r="F2499" s="19" t="str">
        <f>VLOOKUP(D2499,'لیست پرسنل'!$B$2:$E$1020,4,FALSE)</f>
        <v>سرپرست آی تی</v>
      </c>
      <c r="G2499" s="127">
        <f>VLOOKUP(D2499,'لیست پرسنل'!$B$2:$F$1020,2,FALSE)</f>
        <v>2210</v>
      </c>
      <c r="H2499" s="128" t="s">
        <v>4783</v>
      </c>
      <c r="I2499" s="128"/>
      <c r="J2499" s="128" t="s">
        <v>2686</v>
      </c>
      <c r="K2499" s="128" t="s">
        <v>289</v>
      </c>
      <c r="L2499" s="128" t="s">
        <v>315</v>
      </c>
      <c r="M2499" s="127">
        <v>607270</v>
      </c>
      <c r="N2499" s="108"/>
      <c r="O2499" s="20"/>
      <c r="P2499" s="20"/>
      <c r="Q2499" s="20"/>
    </row>
    <row r="2500" spans="1:17" ht="24.9" customHeight="1">
      <c r="A2500" s="20">
        <v>438</v>
      </c>
      <c r="B2500" s="20" t="s">
        <v>4354</v>
      </c>
      <c r="C2500" s="20"/>
      <c r="D2500" s="20" t="s">
        <v>48</v>
      </c>
      <c r="E2500" s="19" t="str">
        <f>VLOOKUP(D2500,'لیست پرسنل'!$B$2:$E$1020,3,FALSE)</f>
        <v>فکورصنعت</v>
      </c>
      <c r="F2500" s="19" t="str">
        <f>VLOOKUP(D2500,'لیست پرسنل'!$B$2:$E$1020,4,FALSE)</f>
        <v>سرپرست آی تی</v>
      </c>
      <c r="G2500" s="127">
        <f>VLOOKUP(D2500,'لیست پرسنل'!$B$2:$F$1020,2,FALSE)</f>
        <v>2210</v>
      </c>
      <c r="H2500" s="128" t="s">
        <v>4783</v>
      </c>
      <c r="I2500" s="128"/>
      <c r="J2500" s="128" t="s">
        <v>2686</v>
      </c>
      <c r="K2500" s="128" t="s">
        <v>1388</v>
      </c>
      <c r="L2500" s="150" t="s">
        <v>1411</v>
      </c>
      <c r="M2500" s="128">
        <v>607700</v>
      </c>
      <c r="N2500" s="108"/>
      <c r="O2500" s="66"/>
      <c r="P2500" s="20"/>
      <c r="Q2500" s="20"/>
    </row>
    <row r="2501" spans="1:17" ht="24.9" customHeight="1">
      <c r="A2501" s="20">
        <v>438</v>
      </c>
      <c r="B2501" s="20" t="s">
        <v>4354</v>
      </c>
      <c r="C2501" s="20"/>
      <c r="D2501" s="20" t="s">
        <v>48</v>
      </c>
      <c r="E2501" s="19" t="str">
        <f>VLOOKUP(D2501,'لیست پرسنل'!$B$2:$E$1020,3,FALSE)</f>
        <v>فکورصنعت</v>
      </c>
      <c r="F2501" s="19" t="str">
        <f>VLOOKUP(D2501,'لیست پرسنل'!$B$2:$E$1020,4,FALSE)</f>
        <v>سرپرست آی تی</v>
      </c>
      <c r="G2501" s="127">
        <f>VLOOKUP(D2501,'لیست پرسنل'!$B$2:$F$1020,2,FALSE)</f>
        <v>2210</v>
      </c>
      <c r="H2501" s="128" t="s">
        <v>4783</v>
      </c>
      <c r="I2501" s="128"/>
      <c r="J2501" s="128" t="s">
        <v>2686</v>
      </c>
      <c r="K2501" s="128" t="s">
        <v>457</v>
      </c>
      <c r="L2501" s="151" t="s">
        <v>298</v>
      </c>
      <c r="M2501" s="127">
        <v>607874</v>
      </c>
      <c r="N2501" s="109" t="s">
        <v>3523</v>
      </c>
      <c r="O2501" s="20"/>
      <c r="P2501" s="20"/>
      <c r="Q2501" s="20"/>
    </row>
    <row r="2502" spans="1:17" ht="24.9" customHeight="1">
      <c r="A2502" s="20">
        <v>438</v>
      </c>
      <c r="B2502" s="20" t="s">
        <v>4354</v>
      </c>
      <c r="C2502" s="20"/>
      <c r="D2502" s="20" t="s">
        <v>48</v>
      </c>
      <c r="E2502" s="19" t="str">
        <f>VLOOKUP(D2502,'لیست پرسنل'!$B$2:$E$1020,3,FALSE)</f>
        <v>فکورصنعت</v>
      </c>
      <c r="F2502" s="19" t="str">
        <f>VLOOKUP(D2502,'لیست پرسنل'!$B$2:$E$1020,4,FALSE)</f>
        <v>سرپرست آی تی</v>
      </c>
      <c r="G2502" s="127">
        <f>VLOOKUP(D2502,'لیست پرسنل'!$B$2:$F$1020,2,FALSE)</f>
        <v>2210</v>
      </c>
      <c r="H2502" s="128" t="s">
        <v>4783</v>
      </c>
      <c r="I2502" s="128"/>
      <c r="J2502" s="128" t="s">
        <v>2686</v>
      </c>
      <c r="K2502" s="127" t="s">
        <v>890</v>
      </c>
      <c r="L2502" s="151" t="s">
        <v>1413</v>
      </c>
      <c r="M2502" s="127">
        <v>608003</v>
      </c>
      <c r="N2502" s="108"/>
      <c r="O2502" s="20" t="s">
        <v>4128</v>
      </c>
      <c r="P2502" s="20"/>
      <c r="Q2502" s="20"/>
    </row>
    <row r="2503" spans="1:17" ht="24.9" customHeight="1">
      <c r="A2503" s="20">
        <v>438</v>
      </c>
      <c r="B2503" s="20" t="s">
        <v>4354</v>
      </c>
      <c r="C2503" s="20"/>
      <c r="D2503" s="20" t="s">
        <v>48</v>
      </c>
      <c r="E2503" s="19" t="str">
        <f>VLOOKUP(D2503,'لیست پرسنل'!$B$2:$E$1020,3,FALSE)</f>
        <v>فکورصنعت</v>
      </c>
      <c r="F2503" s="19" t="str">
        <f>VLOOKUP(D2503,'لیست پرسنل'!$B$2:$E$1020,4,FALSE)</f>
        <v>سرپرست آی تی</v>
      </c>
      <c r="G2503" s="127">
        <f>VLOOKUP(D2503,'لیست پرسنل'!$B$2:$F$1020,2,FALSE)</f>
        <v>2210</v>
      </c>
      <c r="H2503" s="128" t="s">
        <v>4783</v>
      </c>
      <c r="I2503" s="128"/>
      <c r="J2503" s="128" t="s">
        <v>2686</v>
      </c>
      <c r="K2503" s="128" t="s">
        <v>455</v>
      </c>
      <c r="L2503" s="151" t="s">
        <v>2189</v>
      </c>
      <c r="M2503" s="128">
        <v>608773</v>
      </c>
      <c r="N2503" s="108"/>
      <c r="O2503" s="79"/>
      <c r="P2503" s="20"/>
      <c r="Q2503" s="20"/>
    </row>
    <row r="2504" spans="1:17" ht="24.9" customHeight="1">
      <c r="A2504" s="20">
        <v>438</v>
      </c>
      <c r="B2504" s="20" t="s">
        <v>4354</v>
      </c>
      <c r="C2504" s="20"/>
      <c r="D2504" s="20" t="s">
        <v>48</v>
      </c>
      <c r="E2504" s="19" t="str">
        <f>VLOOKUP(D2504,'لیست پرسنل'!$B$2:$E$1020,3,FALSE)</f>
        <v>فکورصنعت</v>
      </c>
      <c r="F2504" s="19" t="str">
        <f>VLOOKUP(D2504,'لیست پرسنل'!$B$2:$E$1020,4,FALSE)</f>
        <v>سرپرست آی تی</v>
      </c>
      <c r="G2504" s="127">
        <f>VLOOKUP(D2504,'لیست پرسنل'!$B$2:$F$1020,2,FALSE)</f>
        <v>2210</v>
      </c>
      <c r="H2504" s="128" t="s">
        <v>4783</v>
      </c>
      <c r="I2504" s="128"/>
      <c r="J2504" s="128" t="s">
        <v>2686</v>
      </c>
      <c r="K2504" s="128" t="s">
        <v>560</v>
      </c>
      <c r="L2504" s="128" t="s">
        <v>1268</v>
      </c>
      <c r="M2504" s="128">
        <v>609715</v>
      </c>
      <c r="N2504" s="108" t="s">
        <v>7233</v>
      </c>
      <c r="O2504" s="20"/>
      <c r="P2504" s="20"/>
      <c r="Q2504" s="20"/>
    </row>
    <row r="2505" spans="1:17" ht="24.9" customHeight="1">
      <c r="A2505" s="20">
        <v>438</v>
      </c>
      <c r="B2505" s="20" t="s">
        <v>4354</v>
      </c>
      <c r="C2505" s="20"/>
      <c r="D2505" s="20" t="s">
        <v>48</v>
      </c>
      <c r="E2505" s="19" t="str">
        <f>VLOOKUP(D2505,'لیست پرسنل'!$B$2:$E$1020,3,FALSE)</f>
        <v>فکورصنعت</v>
      </c>
      <c r="F2505" s="19" t="str">
        <f>VLOOKUP(D2505,'لیست پرسنل'!$B$2:$E$1020,4,FALSE)</f>
        <v>سرپرست آی تی</v>
      </c>
      <c r="G2505" s="127">
        <f>VLOOKUP(D2505,'لیست پرسنل'!$B$2:$F$1020,2,FALSE)</f>
        <v>2210</v>
      </c>
      <c r="H2505" s="128" t="s">
        <v>4783</v>
      </c>
      <c r="I2505" s="128"/>
      <c r="J2505" s="128" t="s">
        <v>2686</v>
      </c>
      <c r="K2505" s="128" t="s">
        <v>852</v>
      </c>
      <c r="L2505" s="151" t="s">
        <v>2185</v>
      </c>
      <c r="M2505" s="127">
        <v>622608</v>
      </c>
      <c r="N2505" s="109"/>
      <c r="O2505" s="20"/>
      <c r="P2505" s="20"/>
      <c r="Q2505" s="20"/>
    </row>
    <row r="2506" spans="1:17" ht="24.9" customHeight="1">
      <c r="A2506" s="20">
        <v>438</v>
      </c>
      <c r="B2506" s="20" t="s">
        <v>4354</v>
      </c>
      <c r="C2506" s="20"/>
      <c r="D2506" s="20" t="s">
        <v>48</v>
      </c>
      <c r="E2506" s="19" t="str">
        <f>VLOOKUP(D2506,'لیست پرسنل'!$B$2:$E$1020,3,FALSE)</f>
        <v>فکورصنعت</v>
      </c>
      <c r="F2506" s="19" t="str">
        <f>VLOOKUP(D2506,'لیست پرسنل'!$B$2:$E$1020,4,FALSE)</f>
        <v>سرپرست آی تی</v>
      </c>
      <c r="G2506" s="127">
        <f>VLOOKUP(D2506,'لیست پرسنل'!$B$2:$F$1020,2,FALSE)</f>
        <v>2210</v>
      </c>
      <c r="H2506" s="126" t="s">
        <v>4783</v>
      </c>
      <c r="I2506" s="128"/>
      <c r="J2506" s="128" t="s">
        <v>2686</v>
      </c>
      <c r="K2506" s="128" t="s">
        <v>2922</v>
      </c>
      <c r="L2506" s="127" t="s">
        <v>2962</v>
      </c>
      <c r="M2506" s="128">
        <v>626443</v>
      </c>
      <c r="N2506" s="108"/>
      <c r="O2506" s="20" t="s">
        <v>705</v>
      </c>
      <c r="P2506" s="20"/>
      <c r="Q2506" s="20"/>
    </row>
    <row r="2507" spans="1:17" ht="24.9" customHeight="1">
      <c r="A2507" s="20">
        <v>438</v>
      </c>
      <c r="B2507" s="20" t="s">
        <v>4354</v>
      </c>
      <c r="C2507" s="20"/>
      <c r="D2507" s="20" t="s">
        <v>48</v>
      </c>
      <c r="E2507" s="19" t="str">
        <f>VLOOKUP(D2507,'لیست پرسنل'!$B$2:$E$1020,3,FALSE)</f>
        <v>فکورصنعت</v>
      </c>
      <c r="F2507" s="19" t="str">
        <f>VLOOKUP(D2507,'لیست پرسنل'!$B$2:$E$1020,4,FALSE)</f>
        <v>سرپرست آی تی</v>
      </c>
      <c r="G2507" s="127">
        <f>VLOOKUP(D2507,'لیست پرسنل'!$B$2:$F$1020,2,FALSE)</f>
        <v>2210</v>
      </c>
      <c r="H2507" s="127" t="s">
        <v>4783</v>
      </c>
      <c r="I2507" s="127"/>
      <c r="J2507" s="128" t="s">
        <v>2686</v>
      </c>
      <c r="K2507" s="128" t="s">
        <v>5067</v>
      </c>
      <c r="L2507" s="127" t="s">
        <v>5073</v>
      </c>
      <c r="M2507" s="128">
        <v>628345</v>
      </c>
      <c r="N2507" s="108"/>
      <c r="O2507" s="20"/>
      <c r="P2507" s="20"/>
      <c r="Q2507" s="20"/>
    </row>
    <row r="2508" spans="1:17" ht="24.9" customHeight="1">
      <c r="A2508" s="20">
        <v>438</v>
      </c>
      <c r="B2508" s="20" t="s">
        <v>4354</v>
      </c>
      <c r="C2508" s="20"/>
      <c r="D2508" s="20" t="s">
        <v>48</v>
      </c>
      <c r="E2508" s="19" t="str">
        <f>VLOOKUP(D2508,'لیست پرسنل'!$B$2:$E$1020,3,FALSE)</f>
        <v>فکورصنعت</v>
      </c>
      <c r="F2508" s="19" t="str">
        <f>VLOOKUP(D2508,'لیست پرسنل'!$B$2:$E$1020,4,FALSE)</f>
        <v>سرپرست آی تی</v>
      </c>
      <c r="G2508" s="127">
        <f>VLOOKUP(D2508,'لیست پرسنل'!$B$2:$F$1020,2,FALSE)</f>
        <v>2210</v>
      </c>
      <c r="H2508" s="128" t="s">
        <v>4783</v>
      </c>
      <c r="I2508" s="128"/>
      <c r="J2508" s="128" t="s">
        <v>2686</v>
      </c>
      <c r="K2508" s="128" t="s">
        <v>721</v>
      </c>
      <c r="L2508" s="128" t="s">
        <v>1983</v>
      </c>
      <c r="M2508" s="127">
        <v>633615</v>
      </c>
      <c r="N2508" s="109"/>
      <c r="O2508" s="19" t="s">
        <v>6276</v>
      </c>
      <c r="P2508" s="32"/>
      <c r="Q2508" s="32"/>
    </row>
    <row r="2509" spans="1:17" ht="24.9" customHeight="1">
      <c r="A2509" s="20">
        <v>438</v>
      </c>
      <c r="B2509" s="20" t="s">
        <v>4354</v>
      </c>
      <c r="C2509" s="20"/>
      <c r="D2509" s="20" t="s">
        <v>48</v>
      </c>
      <c r="E2509" s="19" t="str">
        <f>VLOOKUP(D2509,'لیست پرسنل'!$B$2:$E$1020,3,FALSE)</f>
        <v>فکورصنعت</v>
      </c>
      <c r="F2509" s="19" t="str">
        <f>VLOOKUP(D2509,'لیست پرسنل'!$B$2:$E$1020,4,FALSE)</f>
        <v>سرپرست آی تی</v>
      </c>
      <c r="G2509" s="127">
        <f>VLOOKUP(D2509,'لیست پرسنل'!$B$2:$F$1020,2,FALSE)</f>
        <v>2210</v>
      </c>
      <c r="H2509" s="128" t="s">
        <v>4783</v>
      </c>
      <c r="I2509" s="128"/>
      <c r="J2509" s="128" t="s">
        <v>2686</v>
      </c>
      <c r="K2509" s="128" t="s">
        <v>721</v>
      </c>
      <c r="L2509" s="128" t="s">
        <v>1984</v>
      </c>
      <c r="M2509" s="127">
        <v>633639</v>
      </c>
      <c r="N2509" s="109"/>
      <c r="O2509" s="19" t="s">
        <v>6301</v>
      </c>
      <c r="P2509" s="32"/>
      <c r="Q2509" s="32"/>
    </row>
    <row r="2510" spans="1:17" ht="24.9" customHeight="1">
      <c r="A2510" s="20">
        <v>438</v>
      </c>
      <c r="B2510" s="20" t="s">
        <v>4354</v>
      </c>
      <c r="C2510" s="20"/>
      <c r="D2510" s="20" t="s">
        <v>48</v>
      </c>
      <c r="E2510" s="19" t="str">
        <f>VLOOKUP(D2510,'لیست پرسنل'!$B$2:$E$1020,3,FALSE)</f>
        <v>فکورصنعت</v>
      </c>
      <c r="F2510" s="19" t="str">
        <f>VLOOKUP(D2510,'لیست پرسنل'!$B$2:$E$1020,4,FALSE)</f>
        <v>سرپرست آی تی</v>
      </c>
      <c r="G2510" s="127">
        <f>VLOOKUP(D2510,'لیست پرسنل'!$B$2:$F$1020,2,FALSE)</f>
        <v>2210</v>
      </c>
      <c r="H2510" s="128" t="s">
        <v>4783</v>
      </c>
      <c r="I2510" s="128"/>
      <c r="J2510" s="128" t="s">
        <v>2686</v>
      </c>
      <c r="K2510" s="128" t="s">
        <v>890</v>
      </c>
      <c r="L2510" s="128" t="s">
        <v>1590</v>
      </c>
      <c r="M2510" s="127">
        <v>633640</v>
      </c>
      <c r="N2510" s="109"/>
      <c r="O2510" s="19" t="s">
        <v>6300</v>
      </c>
      <c r="P2510" s="32"/>
      <c r="Q2510" s="32"/>
    </row>
    <row r="2511" spans="1:17" ht="24.9" customHeight="1">
      <c r="A2511" s="20">
        <v>438</v>
      </c>
      <c r="B2511" s="20" t="s">
        <v>4354</v>
      </c>
      <c r="C2511" s="20"/>
      <c r="D2511" s="20" t="s">
        <v>48</v>
      </c>
      <c r="E2511" s="19" t="str">
        <f>VLOOKUP(D2511,'لیست پرسنل'!$B$2:$E$1020,3,FALSE)</f>
        <v>فکورصنعت</v>
      </c>
      <c r="F2511" s="19" t="str">
        <f>VLOOKUP(D2511,'لیست پرسنل'!$B$2:$E$1020,4,FALSE)</f>
        <v>سرپرست آی تی</v>
      </c>
      <c r="G2511" s="127">
        <f>VLOOKUP(D2511,'لیست پرسنل'!$B$2:$F$1020,2,FALSE)</f>
        <v>2210</v>
      </c>
      <c r="H2511" s="128" t="s">
        <v>4783</v>
      </c>
      <c r="I2511" s="128"/>
      <c r="J2511" s="128" t="s">
        <v>2686</v>
      </c>
      <c r="K2511" s="128" t="s">
        <v>890</v>
      </c>
      <c r="L2511" s="128" t="s">
        <v>4900</v>
      </c>
      <c r="M2511" s="127">
        <v>633641</v>
      </c>
      <c r="N2511" s="109"/>
      <c r="O2511" s="19" t="s">
        <v>6302</v>
      </c>
      <c r="P2511" s="32"/>
      <c r="Q2511" s="32"/>
    </row>
    <row r="2512" spans="1:17" ht="24.9" customHeight="1">
      <c r="A2512" s="20">
        <v>438</v>
      </c>
      <c r="B2512" s="20" t="s">
        <v>4354</v>
      </c>
      <c r="C2512" s="20"/>
      <c r="D2512" s="20" t="s">
        <v>48</v>
      </c>
      <c r="E2512" s="19" t="str">
        <f>VLOOKUP(D2512,'لیست پرسنل'!$B$2:$E$1020,3,FALSE)</f>
        <v>فکورصنعت</v>
      </c>
      <c r="F2512" s="19" t="str">
        <f>VLOOKUP(D2512,'لیست پرسنل'!$B$2:$E$1020,4,FALSE)</f>
        <v>سرپرست آی تی</v>
      </c>
      <c r="G2512" s="127">
        <f>VLOOKUP(D2512,'لیست پرسنل'!$B$2:$F$1020,2,FALSE)</f>
        <v>2210</v>
      </c>
      <c r="H2512" s="126" t="s">
        <v>4783</v>
      </c>
      <c r="I2512" s="128"/>
      <c r="J2512" s="128" t="s">
        <v>2686</v>
      </c>
      <c r="K2512" s="128" t="s">
        <v>890</v>
      </c>
      <c r="L2512" s="150" t="s">
        <v>4906</v>
      </c>
      <c r="M2512" s="127">
        <v>633642</v>
      </c>
      <c r="N2512" s="109"/>
      <c r="O2512" s="19" t="s">
        <v>6303</v>
      </c>
      <c r="P2512" s="32"/>
      <c r="Q2512" s="32"/>
    </row>
    <row r="2513" spans="1:17" ht="24.9" customHeight="1">
      <c r="A2513" s="20">
        <v>438</v>
      </c>
      <c r="B2513" s="20" t="s">
        <v>4354</v>
      </c>
      <c r="C2513" s="20"/>
      <c r="D2513" s="20" t="s">
        <v>48</v>
      </c>
      <c r="E2513" s="19" t="str">
        <f>VLOOKUP(D2513,'لیست پرسنل'!$B$2:$E$1020,3,FALSE)</f>
        <v>فکورصنعت</v>
      </c>
      <c r="F2513" s="19" t="str">
        <f>VLOOKUP(D2513,'لیست پرسنل'!$B$2:$E$1020,4,FALSE)</f>
        <v>سرپرست آی تی</v>
      </c>
      <c r="G2513" s="127">
        <f>VLOOKUP(D2513,'لیست پرسنل'!$B$2:$F$1020,2,FALSE)</f>
        <v>2210</v>
      </c>
      <c r="H2513" s="128" t="s">
        <v>4783</v>
      </c>
      <c r="I2513" s="128"/>
      <c r="J2513" s="128" t="s">
        <v>2686</v>
      </c>
      <c r="K2513" s="128" t="s">
        <v>890</v>
      </c>
      <c r="L2513" s="151" t="s">
        <v>2201</v>
      </c>
      <c r="M2513" s="127">
        <v>634086</v>
      </c>
      <c r="N2513" s="109"/>
      <c r="O2513" s="19" t="s">
        <v>6707</v>
      </c>
      <c r="P2513" s="32"/>
      <c r="Q2513" s="32"/>
    </row>
    <row r="2514" spans="1:17" ht="24.9" customHeight="1">
      <c r="A2514" s="20">
        <v>438</v>
      </c>
      <c r="B2514" s="20" t="s">
        <v>4354</v>
      </c>
      <c r="C2514" s="20"/>
      <c r="D2514" s="20" t="s">
        <v>48</v>
      </c>
      <c r="E2514" s="19" t="str">
        <f>VLOOKUP(D2514,'لیست پرسنل'!$B$2:$E$1020,3,FALSE)</f>
        <v>فکورصنعت</v>
      </c>
      <c r="F2514" s="19" t="str">
        <f>VLOOKUP(D2514,'لیست پرسنل'!$B$2:$E$1020,4,FALSE)</f>
        <v>سرپرست آی تی</v>
      </c>
      <c r="G2514" s="127">
        <f>VLOOKUP(D2514,'لیست پرسنل'!$B$2:$F$1020,2,FALSE)</f>
        <v>2210</v>
      </c>
      <c r="H2514" s="127" t="s">
        <v>4783</v>
      </c>
      <c r="I2514" s="127"/>
      <c r="J2514" s="128" t="s">
        <v>1977</v>
      </c>
      <c r="K2514" s="128" t="s">
        <v>438</v>
      </c>
      <c r="L2514" s="151" t="s">
        <v>592</v>
      </c>
      <c r="M2514" s="127">
        <v>620785</v>
      </c>
      <c r="N2514" s="109"/>
      <c r="O2514" s="20"/>
      <c r="P2514" s="31"/>
      <c r="Q2514" s="31"/>
    </row>
    <row r="2515" spans="1:17" ht="24.9" customHeight="1">
      <c r="A2515" s="20">
        <v>438</v>
      </c>
      <c r="B2515" s="20" t="s">
        <v>4354</v>
      </c>
      <c r="C2515" s="20"/>
      <c r="D2515" s="20" t="s">
        <v>48</v>
      </c>
      <c r="E2515" s="19" t="str">
        <f>VLOOKUP(D2515,'لیست پرسنل'!$B$2:$E$1020,3,FALSE)</f>
        <v>فکورصنعت</v>
      </c>
      <c r="F2515" s="19" t="str">
        <f>VLOOKUP(D2515,'لیست پرسنل'!$B$2:$E$1020,4,FALSE)</f>
        <v>سرپرست آی تی</v>
      </c>
      <c r="G2515" s="127">
        <f>VLOOKUP(D2515,'لیست پرسنل'!$B$2:$F$1020,2,FALSE)</f>
        <v>2210</v>
      </c>
      <c r="H2515" s="128" t="s">
        <v>4783</v>
      </c>
      <c r="I2515" s="128"/>
      <c r="J2515" s="128" t="s">
        <v>753</v>
      </c>
      <c r="K2515" s="128" t="s">
        <v>1311</v>
      </c>
      <c r="L2515" s="128" t="s">
        <v>1312</v>
      </c>
      <c r="M2515" s="127">
        <v>629413</v>
      </c>
      <c r="N2515" s="119"/>
      <c r="O2515" s="20" t="s">
        <v>4699</v>
      </c>
      <c r="P2515" s="20"/>
      <c r="Q2515" s="20"/>
    </row>
    <row r="2516" spans="1:17" ht="24.9" customHeight="1">
      <c r="A2516" s="20">
        <v>438</v>
      </c>
      <c r="B2516" s="20" t="s">
        <v>4354</v>
      </c>
      <c r="C2516" s="20"/>
      <c r="D2516" s="20" t="s">
        <v>48</v>
      </c>
      <c r="E2516" s="19" t="str">
        <f>VLOOKUP(D2516,'لیست پرسنل'!$B$2:$E$1020,3,FALSE)</f>
        <v>فکورصنعت</v>
      </c>
      <c r="F2516" s="19" t="str">
        <f>VLOOKUP(D2516,'لیست پرسنل'!$B$2:$E$1020,4,FALSE)</f>
        <v>سرپرست آی تی</v>
      </c>
      <c r="G2516" s="127">
        <f>VLOOKUP(D2516,'لیست پرسنل'!$B$2:$F$1020,2,FALSE)</f>
        <v>2210</v>
      </c>
      <c r="H2516" s="151" t="s">
        <v>8145</v>
      </c>
      <c r="I2516" s="128"/>
      <c r="J2516" s="128" t="s">
        <v>3322</v>
      </c>
      <c r="K2516" s="134" t="s">
        <v>3250</v>
      </c>
      <c r="L2516" s="134">
        <v>640698553</v>
      </c>
      <c r="M2516" s="134">
        <v>615019</v>
      </c>
      <c r="N2516" s="108"/>
      <c r="O2516" s="20"/>
      <c r="P2516" s="20"/>
      <c r="Q2516" s="20"/>
    </row>
    <row r="2517" spans="1:17" ht="24.9" customHeight="1">
      <c r="A2517" s="20">
        <v>438</v>
      </c>
      <c r="B2517" s="20" t="s">
        <v>4354</v>
      </c>
      <c r="C2517" s="20"/>
      <c r="D2517" s="20" t="s">
        <v>48</v>
      </c>
      <c r="E2517" s="19" t="str">
        <f>VLOOKUP(D2517,'لیست پرسنل'!$B$2:$E$1020,3,FALSE)</f>
        <v>فکورصنعت</v>
      </c>
      <c r="F2517" s="19" t="str">
        <f>VLOOKUP(D2517,'لیست پرسنل'!$B$2:$E$1020,4,FALSE)</f>
        <v>سرپرست آی تی</v>
      </c>
      <c r="G2517" s="127">
        <f>VLOOKUP(D2517,'لیست پرسنل'!$B$2:$F$1020,2,FALSE)</f>
        <v>2210</v>
      </c>
      <c r="H2517" s="151" t="s">
        <v>8145</v>
      </c>
      <c r="I2517" s="127"/>
      <c r="J2517" s="128" t="s">
        <v>571</v>
      </c>
      <c r="K2517" s="128" t="s">
        <v>5270</v>
      </c>
      <c r="L2517" s="128" t="s">
        <v>2219</v>
      </c>
      <c r="M2517" s="131">
        <v>631117</v>
      </c>
      <c r="N2517" s="108"/>
      <c r="O2517" s="20" t="s">
        <v>705</v>
      </c>
      <c r="P2517" s="20"/>
      <c r="Q2517" s="20"/>
    </row>
    <row r="2518" spans="1:17" ht="24.9" customHeight="1">
      <c r="A2518" s="20">
        <v>438</v>
      </c>
      <c r="B2518" s="20" t="s">
        <v>4354</v>
      </c>
      <c r="C2518" s="20"/>
      <c r="D2518" s="20" t="s">
        <v>48</v>
      </c>
      <c r="E2518" s="19" t="str">
        <f>VLOOKUP(D2518,'لیست پرسنل'!$B$2:$E$1020,3,FALSE)</f>
        <v>فکورصنعت</v>
      </c>
      <c r="F2518" s="19" t="str">
        <f>VLOOKUP(D2518,'لیست پرسنل'!$B$2:$E$1020,4,FALSE)</f>
        <v>سرپرست آی تی</v>
      </c>
      <c r="G2518" s="127">
        <f>VLOOKUP(D2518,'لیست پرسنل'!$B$2:$F$1020,2,FALSE)</f>
        <v>2210</v>
      </c>
      <c r="H2518" s="151" t="s">
        <v>8145</v>
      </c>
      <c r="I2518" s="127"/>
      <c r="J2518" s="128" t="s">
        <v>2686</v>
      </c>
      <c r="K2518" s="126" t="s">
        <v>3670</v>
      </c>
      <c r="L2518" s="152" t="s">
        <v>287</v>
      </c>
      <c r="M2518" s="126">
        <v>615047</v>
      </c>
      <c r="N2518" s="108"/>
      <c r="O2518" s="20"/>
      <c r="P2518" s="20"/>
      <c r="Q2518" s="20"/>
    </row>
    <row r="2519" spans="1:17" ht="24.9" customHeight="1">
      <c r="A2519" s="20">
        <v>438</v>
      </c>
      <c r="B2519" s="20" t="s">
        <v>7051</v>
      </c>
      <c r="C2519" s="20">
        <v>2</v>
      </c>
      <c r="D2519" s="20" t="s">
        <v>3913</v>
      </c>
      <c r="E2519" s="19" t="str">
        <f>VLOOKUP(D2519,'لیست پرسنل'!$B$2:$E$1020,3,FALSE)</f>
        <v>گهر کوشان سپهر</v>
      </c>
      <c r="F2519" s="19" t="str">
        <f>VLOOKUP(D2519,'لیست پرسنل'!$B$2:$E$1020,4,FALSE)</f>
        <v>نگهبانی</v>
      </c>
      <c r="G2519" s="127">
        <f>VLOOKUP(D2519,'لیست پرسنل'!$B$2:$F$1020,2,FALSE)</f>
        <v>20446</v>
      </c>
      <c r="H2519" s="127" t="s">
        <v>3925</v>
      </c>
      <c r="I2519" s="127" t="s">
        <v>7052</v>
      </c>
      <c r="J2519" s="128" t="s">
        <v>368</v>
      </c>
      <c r="K2519" s="128" t="s">
        <v>8248</v>
      </c>
      <c r="L2519" s="128" t="s">
        <v>2306</v>
      </c>
      <c r="M2519" s="127">
        <v>628712</v>
      </c>
      <c r="N2519" s="108"/>
      <c r="O2519" s="20" t="s">
        <v>705</v>
      </c>
      <c r="P2519" s="20"/>
      <c r="Q2519" s="20"/>
    </row>
    <row r="2520" spans="1:17" ht="24.9" customHeight="1">
      <c r="A2520" s="20">
        <v>438</v>
      </c>
      <c r="B2520" s="20" t="s">
        <v>7051</v>
      </c>
      <c r="C2520" s="20">
        <v>3</v>
      </c>
      <c r="D2520" s="20" t="s">
        <v>7478</v>
      </c>
      <c r="E2520" s="19" t="str">
        <f>VLOOKUP(D2520,'لیست پرسنل'!$B$2:$E$1020,3,FALSE)</f>
        <v>گهر کوشان سپهر</v>
      </c>
      <c r="F2520" s="19" t="str">
        <f>VLOOKUP(D2520,'لیست پرسنل'!$B$2:$E$1020,4,FALSE)</f>
        <v>نظارت معماری</v>
      </c>
      <c r="G2520" s="127">
        <f>VLOOKUP(D2520,'لیست پرسنل'!$B$2:$F$1020,2,FALSE)</f>
        <v>20986</v>
      </c>
      <c r="H2520" s="127" t="s">
        <v>3925</v>
      </c>
      <c r="I2520" s="127" t="s">
        <v>7053</v>
      </c>
      <c r="J2520" s="126" t="s">
        <v>368</v>
      </c>
      <c r="K2520" s="128" t="s">
        <v>2846</v>
      </c>
      <c r="L2520" s="128"/>
      <c r="M2520" s="128">
        <v>623219</v>
      </c>
      <c r="N2520" s="109"/>
      <c r="O2520" s="20"/>
      <c r="P2520" s="20"/>
      <c r="Q2520" s="20"/>
    </row>
    <row r="2521" spans="1:17" ht="24.9" customHeight="1">
      <c r="A2521" s="20">
        <v>438</v>
      </c>
      <c r="B2521" s="20" t="s">
        <v>7051</v>
      </c>
      <c r="C2521" s="20">
        <v>3</v>
      </c>
      <c r="D2521" s="20" t="s">
        <v>7478</v>
      </c>
      <c r="E2521" s="19" t="str">
        <f>VLOOKUP(D2521,'لیست پرسنل'!$B$2:$E$1020,3,FALSE)</f>
        <v>گهر کوشان سپهر</v>
      </c>
      <c r="F2521" s="19" t="str">
        <f>VLOOKUP(D2521,'لیست پرسنل'!$B$2:$E$1020,4,FALSE)</f>
        <v>نظارت معماری</v>
      </c>
      <c r="G2521" s="127">
        <f>VLOOKUP(D2521,'لیست پرسنل'!$B$2:$F$1020,2,FALSE)</f>
        <v>20986</v>
      </c>
      <c r="H2521" s="127" t="s">
        <v>3925</v>
      </c>
      <c r="I2521" s="127" t="s">
        <v>7053</v>
      </c>
      <c r="J2521" s="128" t="s">
        <v>571</v>
      </c>
      <c r="K2521" s="127" t="s">
        <v>571</v>
      </c>
      <c r="L2521" s="151"/>
      <c r="M2521" s="127">
        <v>625446</v>
      </c>
      <c r="N2521" s="109"/>
      <c r="O2521" s="20"/>
      <c r="P2521" s="20"/>
      <c r="Q2521" s="20"/>
    </row>
    <row r="2522" spans="1:17" ht="24.9" customHeight="1">
      <c r="A2522" s="20">
        <v>438</v>
      </c>
      <c r="B2522" s="20" t="s">
        <v>7051</v>
      </c>
      <c r="C2522" s="20">
        <v>3</v>
      </c>
      <c r="D2522" s="20" t="s">
        <v>7478</v>
      </c>
      <c r="E2522" s="19" t="str">
        <f>VLOOKUP(D2522,'لیست پرسنل'!$B$2:$E$1020,3,FALSE)</f>
        <v>گهر کوشان سپهر</v>
      </c>
      <c r="F2522" s="19" t="str">
        <f>VLOOKUP(D2522,'لیست پرسنل'!$B$2:$E$1020,4,FALSE)</f>
        <v>نظارت معماری</v>
      </c>
      <c r="G2522" s="127">
        <f>VLOOKUP(D2522,'لیست پرسنل'!$B$2:$F$1020,2,FALSE)</f>
        <v>20986</v>
      </c>
      <c r="H2522" s="127" t="s">
        <v>3925</v>
      </c>
      <c r="I2522" s="127" t="s">
        <v>7053</v>
      </c>
      <c r="J2522" s="128" t="s">
        <v>2686</v>
      </c>
      <c r="K2522" s="128" t="s">
        <v>2143</v>
      </c>
      <c r="L2522" s="128" t="s">
        <v>2242</v>
      </c>
      <c r="M2522" s="127">
        <v>628633</v>
      </c>
      <c r="N2522" s="108"/>
      <c r="O2522" s="20" t="s">
        <v>705</v>
      </c>
      <c r="P2522" s="20"/>
      <c r="Q2522" s="20"/>
    </row>
    <row r="2523" spans="1:17" ht="24.9" customHeight="1">
      <c r="A2523" s="20">
        <v>438</v>
      </c>
      <c r="B2523" s="20" t="s">
        <v>7051</v>
      </c>
      <c r="C2523" s="20">
        <v>4</v>
      </c>
      <c r="D2523" s="20" t="s">
        <v>7341</v>
      </c>
      <c r="E2523" s="19" t="str">
        <f>VLOOKUP(D2523,'لیست پرسنل'!$B$2:$E$1020,3,FALSE)</f>
        <v>فکورصنعت</v>
      </c>
      <c r="F2523" s="19" t="str">
        <f>VLOOKUP(D2523,'لیست پرسنل'!$B$2:$E$1020,4,FALSE)</f>
        <v>مدیر سایت</v>
      </c>
      <c r="G2523" s="127">
        <f>VLOOKUP(D2523,'لیست پرسنل'!$B$2:$F$1020,2,FALSE)</f>
        <v>586</v>
      </c>
      <c r="H2523" s="126" t="s">
        <v>3925</v>
      </c>
      <c r="I2523" s="128" t="s">
        <v>7054</v>
      </c>
      <c r="J2523" s="128" t="s">
        <v>737</v>
      </c>
      <c r="K2523" s="128" t="s">
        <v>5660</v>
      </c>
      <c r="L2523" s="151" t="s">
        <v>7583</v>
      </c>
      <c r="M2523" s="127">
        <v>636064</v>
      </c>
      <c r="N2523" s="109"/>
      <c r="O2523" s="19"/>
      <c r="P2523" s="32"/>
      <c r="Q2523" s="32"/>
    </row>
    <row r="2524" spans="1:17" ht="24.9" customHeight="1">
      <c r="A2524" s="20">
        <v>438</v>
      </c>
      <c r="B2524" s="20" t="s">
        <v>7051</v>
      </c>
      <c r="C2524" s="20">
        <v>4</v>
      </c>
      <c r="D2524" s="20" t="s">
        <v>7341</v>
      </c>
      <c r="E2524" s="19" t="str">
        <f>VLOOKUP(D2524,'لیست پرسنل'!$B$2:$E$1020,3,FALSE)</f>
        <v>فکورصنعت</v>
      </c>
      <c r="F2524" s="19" t="str">
        <f>VLOOKUP(D2524,'لیست پرسنل'!$B$2:$E$1020,4,FALSE)</f>
        <v>مدیر سایت</v>
      </c>
      <c r="G2524" s="127">
        <f>VLOOKUP(D2524,'لیست پرسنل'!$B$2:$F$1020,2,FALSE)</f>
        <v>586</v>
      </c>
      <c r="H2524" s="126" t="s">
        <v>3925</v>
      </c>
      <c r="I2524" s="128" t="s">
        <v>7054</v>
      </c>
      <c r="J2524" s="128" t="s">
        <v>368</v>
      </c>
      <c r="K2524" s="128" t="s">
        <v>8248</v>
      </c>
      <c r="L2524" s="128" t="s">
        <v>2514</v>
      </c>
      <c r="M2524" s="128">
        <v>628926</v>
      </c>
      <c r="N2524" s="108"/>
      <c r="O2524" s="20" t="s">
        <v>705</v>
      </c>
      <c r="P2524" s="20"/>
      <c r="Q2524" s="20"/>
    </row>
    <row r="2525" spans="1:17" ht="24.9" customHeight="1">
      <c r="A2525" s="20">
        <v>438</v>
      </c>
      <c r="B2525" s="20" t="s">
        <v>7051</v>
      </c>
      <c r="C2525" s="20">
        <v>4</v>
      </c>
      <c r="D2525" s="20" t="s">
        <v>7341</v>
      </c>
      <c r="E2525" s="19" t="str">
        <f>VLOOKUP(D2525,'لیست پرسنل'!$B$2:$E$1020,3,FALSE)</f>
        <v>فکورصنعت</v>
      </c>
      <c r="F2525" s="19" t="str">
        <f>VLOOKUP(D2525,'لیست پرسنل'!$B$2:$E$1020,4,FALSE)</f>
        <v>مدیر سایت</v>
      </c>
      <c r="G2525" s="127">
        <f>VLOOKUP(D2525,'لیست پرسنل'!$B$2:$F$1020,2,FALSE)</f>
        <v>586</v>
      </c>
      <c r="H2525" s="126" t="s">
        <v>3925</v>
      </c>
      <c r="I2525" s="128" t="s">
        <v>7054</v>
      </c>
      <c r="J2525" s="141" t="s">
        <v>571</v>
      </c>
      <c r="K2525" s="128" t="s">
        <v>6045</v>
      </c>
      <c r="L2525" s="134"/>
      <c r="M2525" s="127">
        <v>632750</v>
      </c>
      <c r="N2525" s="108"/>
      <c r="O2525" s="20"/>
      <c r="P2525" s="20"/>
      <c r="Q2525" s="20"/>
    </row>
    <row r="2526" spans="1:17" ht="24.9" customHeight="1">
      <c r="A2526" s="20">
        <v>438</v>
      </c>
      <c r="B2526" s="20" t="s">
        <v>7051</v>
      </c>
      <c r="C2526" s="20">
        <v>4</v>
      </c>
      <c r="D2526" s="20" t="s">
        <v>7341</v>
      </c>
      <c r="E2526" s="19" t="str">
        <f>VLOOKUP(D2526,'لیست پرسنل'!$B$2:$E$1020,3,FALSE)</f>
        <v>فکورصنعت</v>
      </c>
      <c r="F2526" s="19" t="str">
        <f>VLOOKUP(D2526,'لیست پرسنل'!$B$2:$E$1020,4,FALSE)</f>
        <v>مدیر سایت</v>
      </c>
      <c r="G2526" s="127">
        <f>VLOOKUP(D2526,'لیست پرسنل'!$B$2:$F$1020,2,FALSE)</f>
        <v>586</v>
      </c>
      <c r="H2526" s="126" t="s">
        <v>3925</v>
      </c>
      <c r="I2526" s="128" t="s">
        <v>7054</v>
      </c>
      <c r="J2526" s="128" t="s">
        <v>2686</v>
      </c>
      <c r="K2526" s="128" t="s">
        <v>890</v>
      </c>
      <c r="L2526" s="151" t="s">
        <v>1592</v>
      </c>
      <c r="M2526" s="127">
        <v>633606</v>
      </c>
      <c r="N2526" s="109"/>
      <c r="O2526" s="19" t="s">
        <v>6268</v>
      </c>
      <c r="P2526" s="32"/>
      <c r="Q2526" s="32"/>
    </row>
    <row r="2527" spans="1:17" ht="24.9" customHeight="1">
      <c r="A2527" s="20">
        <v>438</v>
      </c>
      <c r="B2527" s="20" t="s">
        <v>7051</v>
      </c>
      <c r="C2527" s="20">
        <v>5</v>
      </c>
      <c r="D2527" s="20" t="s">
        <v>6814</v>
      </c>
      <c r="E2527" s="19" t="str">
        <f>VLOOKUP(D2527,'لیست پرسنل'!$B$2:$E$1020,3,FALSE)</f>
        <v>نقشه برداری</v>
      </c>
      <c r="F2527" s="19" t="str">
        <f>VLOOKUP(D2527,'لیست پرسنل'!$B$2:$E$1020,4,FALSE)</f>
        <v>نقشه برداری</v>
      </c>
      <c r="G2527" s="127" t="str">
        <f>VLOOKUP(D2527,'لیست پرسنل'!$B$2:$F$1020,2,FALSE)</f>
        <v>0</v>
      </c>
      <c r="H2527" s="127" t="s">
        <v>3925</v>
      </c>
      <c r="I2527" s="127" t="s">
        <v>7055</v>
      </c>
      <c r="J2527" s="126" t="s">
        <v>368</v>
      </c>
      <c r="K2527" s="134" t="s">
        <v>658</v>
      </c>
      <c r="L2527" s="134" t="s">
        <v>507</v>
      </c>
      <c r="M2527" s="128">
        <v>620861</v>
      </c>
      <c r="N2527" s="109"/>
      <c r="O2527" s="20"/>
      <c r="P2527" s="20"/>
      <c r="Q2527" s="19"/>
    </row>
    <row r="2528" spans="1:17" ht="24.9" customHeight="1">
      <c r="A2528" s="20">
        <v>438</v>
      </c>
      <c r="B2528" s="20" t="s">
        <v>7051</v>
      </c>
      <c r="C2528" s="20">
        <v>5</v>
      </c>
      <c r="D2528" s="20" t="s">
        <v>6814</v>
      </c>
      <c r="E2528" s="19" t="str">
        <f>VLOOKUP(D2528,'لیست پرسنل'!$B$2:$E$1020,3,FALSE)</f>
        <v>نقشه برداری</v>
      </c>
      <c r="F2528" s="19" t="str">
        <f>VLOOKUP(D2528,'لیست پرسنل'!$B$2:$E$1020,4,FALSE)</f>
        <v>نقشه برداری</v>
      </c>
      <c r="G2528" s="127" t="str">
        <f>VLOOKUP(D2528,'لیست پرسنل'!$B$2:$F$1020,2,FALSE)</f>
        <v>0</v>
      </c>
      <c r="H2528" s="127" t="s">
        <v>3925</v>
      </c>
      <c r="I2528" s="127" t="s">
        <v>7055</v>
      </c>
      <c r="J2528" s="128" t="s">
        <v>571</v>
      </c>
      <c r="K2528" s="128" t="s">
        <v>3691</v>
      </c>
      <c r="L2528" s="127"/>
      <c r="M2528" s="127">
        <v>634091</v>
      </c>
      <c r="N2528" s="109"/>
      <c r="O2528" s="19" t="s">
        <v>6708</v>
      </c>
      <c r="P2528" s="32"/>
      <c r="Q2528" s="32"/>
    </row>
    <row r="2529" spans="1:17" ht="24.9" customHeight="1">
      <c r="A2529" s="20">
        <v>438</v>
      </c>
      <c r="B2529" s="20" t="s">
        <v>7051</v>
      </c>
      <c r="C2529" s="20">
        <v>5</v>
      </c>
      <c r="D2529" s="20" t="s">
        <v>6814</v>
      </c>
      <c r="E2529" s="19" t="str">
        <f>VLOOKUP(D2529,'لیست پرسنل'!$B$2:$E$1020,3,FALSE)</f>
        <v>نقشه برداری</v>
      </c>
      <c r="F2529" s="19" t="str">
        <f>VLOOKUP(D2529,'لیست پرسنل'!$B$2:$E$1020,4,FALSE)</f>
        <v>نقشه برداری</v>
      </c>
      <c r="G2529" s="127" t="str">
        <f>VLOOKUP(D2529,'لیست پرسنل'!$B$2:$F$1020,2,FALSE)</f>
        <v>0</v>
      </c>
      <c r="H2529" s="127" t="s">
        <v>3925</v>
      </c>
      <c r="I2529" s="127" t="s">
        <v>7055</v>
      </c>
      <c r="J2529" s="128" t="s">
        <v>2686</v>
      </c>
      <c r="K2529" s="175" t="s">
        <v>1262</v>
      </c>
      <c r="L2529" s="151" t="s">
        <v>1261</v>
      </c>
      <c r="M2529" s="127">
        <v>604286</v>
      </c>
      <c r="N2529" s="108"/>
      <c r="O2529" s="20"/>
      <c r="P2529" s="20"/>
      <c r="Q2529" s="19"/>
    </row>
    <row r="2530" spans="1:17" ht="24.9" customHeight="1">
      <c r="A2530" s="20">
        <v>438</v>
      </c>
      <c r="B2530" s="20" t="s">
        <v>7051</v>
      </c>
      <c r="C2530" s="20">
        <v>6</v>
      </c>
      <c r="D2530" s="20" t="s">
        <v>125</v>
      </c>
      <c r="E2530" s="19" t="str">
        <f>VLOOKUP(D2530,'لیست پرسنل'!$B$2:$E$1020,3,FALSE)</f>
        <v>فکورصنعت</v>
      </c>
      <c r="F2530" s="19" t="str">
        <f>VLOOKUP(D2530,'لیست پرسنل'!$B$2:$E$1020,4,FALSE)</f>
        <v>کنترل پروژه</v>
      </c>
      <c r="G2530" s="127">
        <f>VLOOKUP(D2530,'لیست پرسنل'!$B$2:$F$1020,2,FALSE)</f>
        <v>932</v>
      </c>
      <c r="H2530" s="127" t="s">
        <v>3925</v>
      </c>
      <c r="I2530" s="127" t="s">
        <v>7056</v>
      </c>
      <c r="J2530" s="128" t="s">
        <v>737</v>
      </c>
      <c r="K2530" s="128" t="s">
        <v>1295</v>
      </c>
      <c r="L2530" s="128" t="s">
        <v>1294</v>
      </c>
      <c r="M2530" s="128">
        <v>624187</v>
      </c>
      <c r="N2530" s="109"/>
      <c r="O2530" s="19"/>
      <c r="P2530" s="20"/>
      <c r="Q2530" s="20"/>
    </row>
    <row r="2531" spans="1:17" ht="24.9" customHeight="1">
      <c r="A2531" s="20">
        <v>438</v>
      </c>
      <c r="B2531" s="20" t="s">
        <v>7051</v>
      </c>
      <c r="C2531" s="20">
        <v>6</v>
      </c>
      <c r="D2531" s="20" t="s">
        <v>125</v>
      </c>
      <c r="E2531" s="19" t="str">
        <f>VLOOKUP(D2531,'لیست پرسنل'!$B$2:$E$1020,3,FALSE)</f>
        <v>فکورصنعت</v>
      </c>
      <c r="F2531" s="19" t="str">
        <f>VLOOKUP(D2531,'لیست پرسنل'!$B$2:$E$1020,4,FALSE)</f>
        <v>کنترل پروژه</v>
      </c>
      <c r="G2531" s="127">
        <f>VLOOKUP(D2531,'لیست پرسنل'!$B$2:$F$1020,2,FALSE)</f>
        <v>932</v>
      </c>
      <c r="H2531" s="127" t="s">
        <v>3925</v>
      </c>
      <c r="I2531" s="127" t="s">
        <v>7056</v>
      </c>
      <c r="J2531" s="126" t="s">
        <v>368</v>
      </c>
      <c r="K2531" s="127" t="s">
        <v>1272</v>
      </c>
      <c r="L2531" s="127" t="s">
        <v>1273</v>
      </c>
      <c r="M2531" s="127">
        <v>622562</v>
      </c>
      <c r="N2531" s="109"/>
      <c r="O2531" s="19"/>
      <c r="P2531" s="20"/>
      <c r="Q2531" s="20"/>
    </row>
    <row r="2532" spans="1:17" ht="24.9" customHeight="1">
      <c r="A2532" s="20">
        <v>438</v>
      </c>
      <c r="B2532" s="20" t="s">
        <v>7051</v>
      </c>
      <c r="C2532" s="20">
        <v>6</v>
      </c>
      <c r="D2532" s="79" t="s">
        <v>125</v>
      </c>
      <c r="E2532" s="19" t="str">
        <f>VLOOKUP(D2532,'لیست پرسنل'!$B$2:$E$1020,3,FALSE)</f>
        <v>فکورصنعت</v>
      </c>
      <c r="F2532" s="19" t="str">
        <f>VLOOKUP(D2532,'لیست پرسنل'!$B$2:$E$1020,4,FALSE)</f>
        <v>کنترل پروژه</v>
      </c>
      <c r="G2532" s="127">
        <f>VLOOKUP(D2532,'لیست پرسنل'!$B$2:$F$1020,2,FALSE)</f>
        <v>932</v>
      </c>
      <c r="H2532" s="127" t="s">
        <v>3925</v>
      </c>
      <c r="I2532" s="127" t="s">
        <v>7056</v>
      </c>
      <c r="J2532" s="128" t="s">
        <v>885</v>
      </c>
      <c r="K2532" s="128" t="s">
        <v>3189</v>
      </c>
      <c r="L2532" s="128"/>
      <c r="M2532" s="128">
        <v>620810</v>
      </c>
      <c r="N2532" s="109"/>
      <c r="O2532" s="19"/>
      <c r="P2532" s="20"/>
      <c r="Q2532" s="20"/>
    </row>
    <row r="2533" spans="1:17" ht="24.9" customHeight="1">
      <c r="A2533" s="20">
        <v>438</v>
      </c>
      <c r="B2533" s="20" t="s">
        <v>7051</v>
      </c>
      <c r="C2533" s="20">
        <v>6</v>
      </c>
      <c r="D2533" s="79" t="s">
        <v>125</v>
      </c>
      <c r="E2533" s="19" t="str">
        <f>VLOOKUP(D2533,'لیست پرسنل'!$B$2:$E$1020,3,FALSE)</f>
        <v>فکورصنعت</v>
      </c>
      <c r="F2533" s="19" t="str">
        <f>VLOOKUP(D2533,'لیست پرسنل'!$B$2:$E$1020,4,FALSE)</f>
        <v>کنترل پروژه</v>
      </c>
      <c r="G2533" s="127">
        <f>VLOOKUP(D2533,'لیست پرسنل'!$B$2:$F$1020,2,FALSE)</f>
        <v>932</v>
      </c>
      <c r="H2533" s="127" t="s">
        <v>3925</v>
      </c>
      <c r="I2533" s="127" t="s">
        <v>7056</v>
      </c>
      <c r="J2533" s="141" t="s">
        <v>571</v>
      </c>
      <c r="K2533" s="127" t="s">
        <v>5320</v>
      </c>
      <c r="L2533" s="128"/>
      <c r="M2533" s="132">
        <v>631492</v>
      </c>
      <c r="N2533" s="108"/>
      <c r="O2533" s="19"/>
      <c r="P2533" s="20"/>
      <c r="Q2533" s="20"/>
    </row>
    <row r="2534" spans="1:17" ht="24.9" customHeight="1">
      <c r="A2534" s="20">
        <v>438</v>
      </c>
      <c r="B2534" s="20" t="s">
        <v>7051</v>
      </c>
      <c r="C2534" s="20">
        <v>6</v>
      </c>
      <c r="D2534" s="20" t="s">
        <v>125</v>
      </c>
      <c r="E2534" s="19" t="str">
        <f>VLOOKUP(D2534,'لیست پرسنل'!$B$2:$E$1020,3,FALSE)</f>
        <v>فکورصنعت</v>
      </c>
      <c r="F2534" s="19" t="str">
        <f>VLOOKUP(D2534,'لیست پرسنل'!$B$2:$E$1020,4,FALSE)</f>
        <v>کنترل پروژه</v>
      </c>
      <c r="G2534" s="127">
        <f>VLOOKUP(D2534,'لیست پرسنل'!$B$2:$F$1020,2,FALSE)</f>
        <v>932</v>
      </c>
      <c r="H2534" s="127" t="s">
        <v>3925</v>
      </c>
      <c r="I2534" s="127" t="s">
        <v>7056</v>
      </c>
      <c r="J2534" s="128" t="s">
        <v>2686</v>
      </c>
      <c r="K2534" s="127" t="s">
        <v>2143</v>
      </c>
      <c r="L2534" s="128" t="s">
        <v>2233</v>
      </c>
      <c r="M2534" s="127">
        <v>628624</v>
      </c>
      <c r="N2534" s="108"/>
      <c r="O2534" s="20" t="s">
        <v>705</v>
      </c>
      <c r="P2534" s="20"/>
      <c r="Q2534" s="20"/>
    </row>
    <row r="2535" spans="1:17" ht="24.9" customHeight="1">
      <c r="A2535" s="20">
        <v>438</v>
      </c>
      <c r="B2535" s="20" t="s">
        <v>7051</v>
      </c>
      <c r="C2535" s="20">
        <v>7</v>
      </c>
      <c r="D2535" s="20" t="s">
        <v>7148</v>
      </c>
      <c r="E2535" s="19" t="str">
        <f>VLOOKUP(D2535,'لیست پرسنل'!$B$2:$E$1020,3,FALSE)</f>
        <v>فکورصنعت</v>
      </c>
      <c r="F2535" s="19" t="str">
        <f>VLOOKUP(D2535,'لیست پرسنل'!$B$2:$E$1020,4,FALSE)</f>
        <v>مدیر پروژه مرکز تحقیقات</v>
      </c>
      <c r="G2535" s="127">
        <f>VLOOKUP(D2535,'لیست پرسنل'!$B$2:$F$1020,2,FALSE)</f>
        <v>113</v>
      </c>
      <c r="H2535" s="127" t="s">
        <v>3925</v>
      </c>
      <c r="I2535" s="127" t="s">
        <v>7057</v>
      </c>
      <c r="J2535" s="126" t="s">
        <v>368</v>
      </c>
      <c r="K2535" s="128" t="s">
        <v>660</v>
      </c>
      <c r="L2535" s="128" t="s">
        <v>1183</v>
      </c>
      <c r="M2535" s="128">
        <v>626000</v>
      </c>
      <c r="N2535" s="109"/>
      <c r="O2535" s="20"/>
      <c r="P2535" s="19"/>
      <c r="Q2535" s="19"/>
    </row>
    <row r="2536" spans="1:17" ht="24.9" customHeight="1">
      <c r="A2536" s="20">
        <v>438</v>
      </c>
      <c r="B2536" s="20" t="s">
        <v>7051</v>
      </c>
      <c r="C2536" s="20">
        <v>7</v>
      </c>
      <c r="D2536" s="20" t="s">
        <v>7148</v>
      </c>
      <c r="E2536" s="19" t="str">
        <f>VLOOKUP(D2536,'لیست پرسنل'!$B$2:$E$1020,3,FALSE)</f>
        <v>فکورصنعت</v>
      </c>
      <c r="F2536" s="19" t="str">
        <f>VLOOKUP(D2536,'لیست پرسنل'!$B$2:$E$1020,4,FALSE)</f>
        <v>مدیر پروژه مرکز تحقیقات</v>
      </c>
      <c r="G2536" s="127">
        <f>VLOOKUP(D2536,'لیست پرسنل'!$B$2:$F$1020,2,FALSE)</f>
        <v>113</v>
      </c>
      <c r="H2536" s="127" t="s">
        <v>3925</v>
      </c>
      <c r="I2536" s="127" t="s">
        <v>7057</v>
      </c>
      <c r="J2536" s="141" t="s">
        <v>571</v>
      </c>
      <c r="K2536" s="131" t="s">
        <v>2067</v>
      </c>
      <c r="L2536" s="159" t="s">
        <v>2219</v>
      </c>
      <c r="M2536" s="127">
        <v>628602</v>
      </c>
      <c r="N2536" s="108"/>
      <c r="O2536" s="19" t="s">
        <v>705</v>
      </c>
      <c r="P2536" s="20"/>
      <c r="Q2536" s="20"/>
    </row>
    <row r="2537" spans="1:17" ht="24.9" customHeight="1">
      <c r="A2537" s="20">
        <v>438</v>
      </c>
      <c r="B2537" s="20" t="s">
        <v>7051</v>
      </c>
      <c r="C2537" s="20">
        <v>7</v>
      </c>
      <c r="D2537" s="20" t="s">
        <v>7148</v>
      </c>
      <c r="E2537" s="19" t="str">
        <f>VLOOKUP(D2537,'لیست پرسنل'!$B$2:$E$1020,3,FALSE)</f>
        <v>فکورصنعت</v>
      </c>
      <c r="F2537" s="19" t="str">
        <f>VLOOKUP(D2537,'لیست پرسنل'!$B$2:$E$1020,4,FALSE)</f>
        <v>مدیر پروژه مرکز تحقیقات</v>
      </c>
      <c r="G2537" s="127">
        <f>VLOOKUP(D2537,'لیست پرسنل'!$B$2:$F$1020,2,FALSE)</f>
        <v>113</v>
      </c>
      <c r="H2537" s="127" t="s">
        <v>3925</v>
      </c>
      <c r="I2537" s="127" t="s">
        <v>7057</v>
      </c>
      <c r="J2537" s="128" t="s">
        <v>2686</v>
      </c>
      <c r="K2537" s="128" t="s">
        <v>5067</v>
      </c>
      <c r="L2537" s="127" t="s">
        <v>5072</v>
      </c>
      <c r="M2537" s="128">
        <v>628370</v>
      </c>
      <c r="N2537" s="108"/>
      <c r="O2537" s="20"/>
      <c r="P2537" s="20"/>
      <c r="Q2537" s="20"/>
    </row>
    <row r="2538" spans="1:17" ht="24.9" customHeight="1">
      <c r="A2538" s="20">
        <v>438</v>
      </c>
      <c r="B2538" s="20" t="s">
        <v>7051</v>
      </c>
      <c r="C2538" s="20">
        <v>8</v>
      </c>
      <c r="D2538" s="20" t="s">
        <v>443</v>
      </c>
      <c r="E2538" s="19" t="str">
        <f>VLOOKUP(D2538,'لیست پرسنل'!$B$2:$E$1020,3,FALSE)</f>
        <v>فکورصنعت</v>
      </c>
      <c r="F2538" s="19" t="str">
        <f>VLOOKUP(D2538,'لیست پرسنل'!$B$2:$E$1020,4,FALSE)</f>
        <v>نظارت سازه</v>
      </c>
      <c r="G2538" s="127">
        <f>VLOOKUP(D2538,'لیست پرسنل'!$B$2:$F$1020,2,FALSE)</f>
        <v>2219</v>
      </c>
      <c r="H2538" s="127" t="s">
        <v>3925</v>
      </c>
      <c r="I2538" s="127" t="s">
        <v>7058</v>
      </c>
      <c r="J2538" s="126" t="s">
        <v>368</v>
      </c>
      <c r="K2538" s="134" t="s">
        <v>2846</v>
      </c>
      <c r="L2538" s="128" t="s">
        <v>1267</v>
      </c>
      <c r="M2538" s="128">
        <v>623226</v>
      </c>
      <c r="N2538" s="109"/>
      <c r="O2538" s="20"/>
      <c r="P2538" s="20"/>
      <c r="Q2538" s="20"/>
    </row>
    <row r="2539" spans="1:17" ht="24.9" customHeight="1">
      <c r="A2539" s="20">
        <v>438</v>
      </c>
      <c r="B2539" s="20" t="s">
        <v>7051</v>
      </c>
      <c r="C2539" s="20">
        <v>8</v>
      </c>
      <c r="D2539" s="20" t="s">
        <v>443</v>
      </c>
      <c r="E2539" s="19" t="str">
        <f>VLOOKUP(D2539,'لیست پرسنل'!$B$2:$E$1020,3,FALSE)</f>
        <v>فکورصنعت</v>
      </c>
      <c r="F2539" s="19" t="str">
        <f>VLOOKUP(D2539,'لیست پرسنل'!$B$2:$E$1020,4,FALSE)</f>
        <v>نظارت سازه</v>
      </c>
      <c r="G2539" s="127">
        <f>VLOOKUP(D2539,'لیست پرسنل'!$B$2:$F$1020,2,FALSE)</f>
        <v>2219</v>
      </c>
      <c r="H2539" s="127" t="s">
        <v>3925</v>
      </c>
      <c r="I2539" s="127" t="s">
        <v>7058</v>
      </c>
      <c r="J2539" s="128" t="s">
        <v>571</v>
      </c>
      <c r="K2539" s="135" t="s">
        <v>2219</v>
      </c>
      <c r="L2539" s="151"/>
      <c r="M2539" s="127">
        <v>627876</v>
      </c>
      <c r="N2539" s="109"/>
      <c r="O2539" s="20"/>
      <c r="P2539" s="20"/>
      <c r="Q2539" s="20"/>
    </row>
    <row r="2540" spans="1:17" ht="24.9" customHeight="1">
      <c r="A2540" s="20">
        <v>438</v>
      </c>
      <c r="B2540" s="20" t="s">
        <v>7051</v>
      </c>
      <c r="C2540" s="20">
        <v>8</v>
      </c>
      <c r="D2540" s="20" t="s">
        <v>443</v>
      </c>
      <c r="E2540" s="19" t="str">
        <f>VLOOKUP(D2540,'لیست پرسنل'!$B$2:$E$1020,3,FALSE)</f>
        <v>فکورصنعت</v>
      </c>
      <c r="F2540" s="19" t="str">
        <f>VLOOKUP(D2540,'لیست پرسنل'!$B$2:$E$1020,4,FALSE)</f>
        <v>نظارت سازه</v>
      </c>
      <c r="G2540" s="127">
        <f>VLOOKUP(D2540,'لیست پرسنل'!$B$2:$F$1020,2,FALSE)</f>
        <v>2219</v>
      </c>
      <c r="H2540" s="127" t="s">
        <v>3925</v>
      </c>
      <c r="I2540" s="127" t="s">
        <v>7058</v>
      </c>
      <c r="J2540" s="128" t="s">
        <v>2686</v>
      </c>
      <c r="K2540" s="128" t="s">
        <v>2922</v>
      </c>
      <c r="L2540" s="127" t="s">
        <v>3114</v>
      </c>
      <c r="M2540" s="128">
        <v>626598</v>
      </c>
      <c r="N2540" s="108"/>
      <c r="O2540" s="20" t="s">
        <v>705</v>
      </c>
      <c r="P2540" s="20"/>
      <c r="Q2540" s="20"/>
    </row>
    <row r="2541" spans="1:17" ht="24.9" customHeight="1">
      <c r="A2541" s="185">
        <v>438</v>
      </c>
      <c r="B2541" s="185" t="s">
        <v>7051</v>
      </c>
      <c r="C2541" s="185">
        <v>9</v>
      </c>
      <c r="D2541" s="67" t="s">
        <v>3912</v>
      </c>
      <c r="E2541" s="186" t="str">
        <f>VLOOKUP(D2541,'لیست پرسنل'!$B$2:$E$1020,3,FALSE)</f>
        <v>فکورصنعت</v>
      </c>
      <c r="F2541" s="186" t="str">
        <f>VLOOKUP(D2541,'لیست پرسنل'!$B$2:$E$1020,4,FALSE)</f>
        <v>مسئول دفتر</v>
      </c>
      <c r="G2541" s="187">
        <f>VLOOKUP(D2541,'لیست پرسنل'!$B$2:$F$1020,2,FALSE)</f>
        <v>20405</v>
      </c>
      <c r="H2541" s="195" t="s">
        <v>8134</v>
      </c>
      <c r="I2541" s="190" t="s">
        <v>7059</v>
      </c>
      <c r="J2541" s="188" t="s">
        <v>3383</v>
      </c>
      <c r="K2541" s="188" t="s">
        <v>1329</v>
      </c>
      <c r="L2541" s="188" t="s">
        <v>1328</v>
      </c>
      <c r="M2541" s="194">
        <v>621256</v>
      </c>
      <c r="N2541" s="189"/>
      <c r="O2541" s="186"/>
      <c r="P2541" s="185"/>
      <c r="Q2541" s="185"/>
    </row>
    <row r="2542" spans="1:17" ht="24.9" customHeight="1">
      <c r="A2542" s="20">
        <v>438</v>
      </c>
      <c r="B2542" s="20" t="s">
        <v>7051</v>
      </c>
      <c r="C2542" s="20">
        <v>9</v>
      </c>
      <c r="D2542" s="20" t="s">
        <v>3912</v>
      </c>
      <c r="E2542" s="19" t="str">
        <f>VLOOKUP(D2542,'لیست پرسنل'!$B$2:$E$1020,3,FALSE)</f>
        <v>فکورصنعت</v>
      </c>
      <c r="F2542" s="19" t="str">
        <f>VLOOKUP(D2542,'لیست پرسنل'!$B$2:$E$1020,4,FALSE)</f>
        <v>مسئول دفتر</v>
      </c>
      <c r="G2542" s="127">
        <f>VLOOKUP(D2542,'لیست پرسنل'!$B$2:$F$1020,2,FALSE)</f>
        <v>20405</v>
      </c>
      <c r="H2542" s="126" t="s">
        <v>8134</v>
      </c>
      <c r="I2542" s="127" t="s">
        <v>7059</v>
      </c>
      <c r="J2542" s="128" t="s">
        <v>737</v>
      </c>
      <c r="K2542" s="128" t="s">
        <v>5219</v>
      </c>
      <c r="L2542" s="127" t="s">
        <v>5215</v>
      </c>
      <c r="M2542" s="128">
        <v>629931</v>
      </c>
      <c r="N2542" s="108"/>
      <c r="O2542" s="20"/>
      <c r="P2542" s="20"/>
      <c r="Q2542" s="20"/>
    </row>
    <row r="2543" spans="1:17" ht="24.9" customHeight="1">
      <c r="A2543" s="20">
        <v>438</v>
      </c>
      <c r="B2543" s="20" t="s">
        <v>7051</v>
      </c>
      <c r="C2543" s="20">
        <v>9</v>
      </c>
      <c r="D2543" s="20" t="s">
        <v>3912</v>
      </c>
      <c r="E2543" s="19" t="str">
        <f>VLOOKUP(D2543,'لیست پرسنل'!$B$2:$E$1020,3,FALSE)</f>
        <v>فکورصنعت</v>
      </c>
      <c r="F2543" s="19" t="str">
        <f>VLOOKUP(D2543,'لیست پرسنل'!$B$2:$E$1020,4,FALSE)</f>
        <v>مسئول دفتر</v>
      </c>
      <c r="G2543" s="127">
        <f>VLOOKUP(D2543,'لیست پرسنل'!$B$2:$F$1020,2,FALSE)</f>
        <v>20405</v>
      </c>
      <c r="H2543" s="126" t="s">
        <v>8134</v>
      </c>
      <c r="I2543" s="127" t="s">
        <v>7059</v>
      </c>
      <c r="J2543" s="126" t="s">
        <v>368</v>
      </c>
      <c r="K2543" s="128" t="s">
        <v>2846</v>
      </c>
      <c r="L2543" s="128"/>
      <c r="M2543" s="128">
        <v>623223</v>
      </c>
      <c r="N2543" s="109"/>
      <c r="O2543" s="19"/>
      <c r="P2543" s="20"/>
      <c r="Q2543" s="20"/>
    </row>
    <row r="2544" spans="1:17" ht="24.9" customHeight="1">
      <c r="A2544" s="20">
        <v>438</v>
      </c>
      <c r="B2544" s="20" t="s">
        <v>7051</v>
      </c>
      <c r="C2544" s="20">
        <v>9</v>
      </c>
      <c r="D2544" s="20" t="s">
        <v>3912</v>
      </c>
      <c r="E2544" s="19" t="str">
        <f>VLOOKUP(D2544,'لیست پرسنل'!$B$2:$E$1020,3,FALSE)</f>
        <v>فکورصنعت</v>
      </c>
      <c r="F2544" s="19" t="str">
        <f>VLOOKUP(D2544,'لیست پرسنل'!$B$2:$E$1020,4,FALSE)</f>
        <v>مسئول دفتر</v>
      </c>
      <c r="G2544" s="127">
        <f>VLOOKUP(D2544,'لیست پرسنل'!$B$2:$F$1020,2,FALSE)</f>
        <v>20405</v>
      </c>
      <c r="H2544" s="126" t="s">
        <v>8134</v>
      </c>
      <c r="I2544" s="127" t="s">
        <v>7059</v>
      </c>
      <c r="J2544" s="141" t="s">
        <v>571</v>
      </c>
      <c r="K2544" s="128"/>
      <c r="L2544" s="154" t="s">
        <v>2219</v>
      </c>
      <c r="M2544" s="131">
        <v>631115</v>
      </c>
      <c r="N2544" s="108"/>
      <c r="O2544" s="20" t="s">
        <v>705</v>
      </c>
      <c r="P2544" s="20"/>
      <c r="Q2544" s="20"/>
    </row>
    <row r="2545" spans="1:17" ht="24.9" customHeight="1">
      <c r="A2545" s="20">
        <v>438</v>
      </c>
      <c r="B2545" s="20" t="s">
        <v>7051</v>
      </c>
      <c r="C2545" s="20">
        <v>9</v>
      </c>
      <c r="D2545" s="20" t="s">
        <v>3912</v>
      </c>
      <c r="E2545" s="19" t="str">
        <f>VLOOKUP(D2545,'لیست پرسنل'!$B$2:$E$1020,3,FALSE)</f>
        <v>فکورصنعت</v>
      </c>
      <c r="F2545" s="19" t="str">
        <f>VLOOKUP(D2545,'لیست پرسنل'!$B$2:$E$1020,4,FALSE)</f>
        <v>مسئول دفتر</v>
      </c>
      <c r="G2545" s="127">
        <f>VLOOKUP(D2545,'لیست پرسنل'!$B$2:$F$1020,2,FALSE)</f>
        <v>20405</v>
      </c>
      <c r="H2545" s="126" t="s">
        <v>8134</v>
      </c>
      <c r="I2545" s="127" t="s">
        <v>7059</v>
      </c>
      <c r="J2545" s="128" t="s">
        <v>2686</v>
      </c>
      <c r="K2545" s="127" t="s">
        <v>2143</v>
      </c>
      <c r="L2545" s="127" t="s">
        <v>2237</v>
      </c>
      <c r="M2545" s="132">
        <v>628628</v>
      </c>
      <c r="N2545" s="108"/>
      <c r="O2545" s="20" t="s">
        <v>705</v>
      </c>
      <c r="P2545" s="20"/>
      <c r="Q2545" s="20"/>
    </row>
    <row r="2546" spans="1:17" ht="24.9" customHeight="1">
      <c r="A2546" s="20">
        <v>438</v>
      </c>
      <c r="B2546" s="20" t="s">
        <v>7051</v>
      </c>
      <c r="C2546" s="20">
        <v>9</v>
      </c>
      <c r="D2546" s="20" t="s">
        <v>3912</v>
      </c>
      <c r="E2546" s="19" t="str">
        <f>VLOOKUP(D2546,'لیست پرسنل'!$B$2:$E$1020,3,FALSE)</f>
        <v>فکورصنعت</v>
      </c>
      <c r="F2546" s="19" t="str">
        <f>VLOOKUP(D2546,'لیست پرسنل'!$B$2:$E$1020,4,FALSE)</f>
        <v>مسئول دفتر</v>
      </c>
      <c r="G2546" s="127">
        <f>VLOOKUP(D2546,'لیست پرسنل'!$B$2:$F$1020,2,FALSE)</f>
        <v>20405</v>
      </c>
      <c r="H2546" s="126" t="s">
        <v>8134</v>
      </c>
      <c r="I2546" s="127" t="s">
        <v>7059</v>
      </c>
      <c r="J2546" s="128" t="s">
        <v>1977</v>
      </c>
      <c r="K2546" s="128" t="s">
        <v>8249</v>
      </c>
      <c r="L2546" s="150" t="s">
        <v>3231</v>
      </c>
      <c r="M2546" s="128">
        <v>625373</v>
      </c>
      <c r="N2546" s="109"/>
      <c r="O2546" s="19"/>
      <c r="P2546" s="20"/>
      <c r="Q2546" s="20"/>
    </row>
    <row r="2547" spans="1:17" ht="24.9" customHeight="1">
      <c r="A2547" s="20">
        <v>438</v>
      </c>
      <c r="B2547" s="20" t="s">
        <v>7051</v>
      </c>
      <c r="C2547" s="20">
        <v>10</v>
      </c>
      <c r="D2547" s="20" t="s">
        <v>3509</v>
      </c>
      <c r="E2547" s="19" t="str">
        <f>VLOOKUP(D2547,'لیست پرسنل'!$B$2:$E$1020,3,FALSE)</f>
        <v>فکورصنعت</v>
      </c>
      <c r="F2547" s="19" t="str">
        <f>VLOOKUP(D2547,'لیست پرسنل'!$B$2:$E$1020,4,FALSE)</f>
        <v>مدیر سایت مرکز تحقیقات</v>
      </c>
      <c r="G2547" s="127">
        <f>VLOOKUP(D2547,'لیست پرسنل'!$B$2:$F$1020,2,FALSE)</f>
        <v>513</v>
      </c>
      <c r="H2547" s="127" t="s">
        <v>3934</v>
      </c>
      <c r="I2547" s="127" t="s">
        <v>7060</v>
      </c>
      <c r="J2547" s="126" t="s">
        <v>368</v>
      </c>
      <c r="K2547" s="127" t="s">
        <v>2846</v>
      </c>
      <c r="L2547" s="127" t="s">
        <v>2407</v>
      </c>
      <c r="M2547" s="127">
        <v>628814</v>
      </c>
      <c r="N2547" s="108" t="s">
        <v>3912</v>
      </c>
      <c r="O2547" s="20"/>
      <c r="P2547" s="20"/>
      <c r="Q2547" s="20"/>
    </row>
    <row r="2548" spans="1:17" ht="24.9" customHeight="1">
      <c r="A2548" s="20">
        <v>438</v>
      </c>
      <c r="B2548" s="20" t="s">
        <v>7051</v>
      </c>
      <c r="C2548" s="20">
        <v>10</v>
      </c>
      <c r="D2548" s="20" t="s">
        <v>3509</v>
      </c>
      <c r="E2548" s="19" t="str">
        <f>VLOOKUP(D2548,'لیست پرسنل'!$B$2:$E$1020,3,FALSE)</f>
        <v>فکورصنعت</v>
      </c>
      <c r="F2548" s="19" t="str">
        <f>VLOOKUP(D2548,'لیست پرسنل'!$B$2:$E$1020,4,FALSE)</f>
        <v>مدیر سایت مرکز تحقیقات</v>
      </c>
      <c r="G2548" s="127">
        <f>VLOOKUP(D2548,'لیست پرسنل'!$B$2:$F$1020,2,FALSE)</f>
        <v>513</v>
      </c>
      <c r="H2548" s="127" t="s">
        <v>3934</v>
      </c>
      <c r="I2548" s="127" t="s">
        <v>7060</v>
      </c>
      <c r="J2548" s="128" t="s">
        <v>5366</v>
      </c>
      <c r="K2548" s="127" t="s">
        <v>1959</v>
      </c>
      <c r="L2548" s="127" t="s">
        <v>1958</v>
      </c>
      <c r="M2548" s="127">
        <v>625113</v>
      </c>
      <c r="N2548" s="108"/>
      <c r="O2548" s="20"/>
      <c r="P2548" s="20"/>
      <c r="Q2548" s="20"/>
    </row>
    <row r="2549" spans="1:17" ht="24.9" customHeight="1">
      <c r="A2549" s="20">
        <v>438</v>
      </c>
      <c r="B2549" s="20" t="s">
        <v>7051</v>
      </c>
      <c r="C2549" s="20">
        <v>10</v>
      </c>
      <c r="D2549" s="20" t="s">
        <v>3509</v>
      </c>
      <c r="E2549" s="19" t="str">
        <f>VLOOKUP(D2549,'لیست پرسنل'!$B$2:$E$1020,3,FALSE)</f>
        <v>فکورصنعت</v>
      </c>
      <c r="F2549" s="19" t="str">
        <f>VLOOKUP(D2549,'لیست پرسنل'!$B$2:$E$1020,4,FALSE)</f>
        <v>مدیر سایت مرکز تحقیقات</v>
      </c>
      <c r="G2549" s="127">
        <f>VLOOKUP(D2549,'لیست پرسنل'!$B$2:$F$1020,2,FALSE)</f>
        <v>513</v>
      </c>
      <c r="H2549" s="127" t="s">
        <v>3934</v>
      </c>
      <c r="I2549" s="127" t="s">
        <v>7060</v>
      </c>
      <c r="J2549" s="128" t="s">
        <v>5366</v>
      </c>
      <c r="K2549" s="127" t="s">
        <v>4653</v>
      </c>
      <c r="L2549" s="127" t="s">
        <v>4654</v>
      </c>
      <c r="M2549" s="127">
        <v>626768</v>
      </c>
      <c r="N2549" s="109"/>
      <c r="O2549" s="20" t="s">
        <v>6980</v>
      </c>
      <c r="P2549" s="20"/>
      <c r="Q2549" s="20"/>
    </row>
    <row r="2550" spans="1:17" ht="24.9" customHeight="1">
      <c r="A2550" s="20">
        <v>438</v>
      </c>
      <c r="B2550" s="20" t="s">
        <v>7051</v>
      </c>
      <c r="C2550" s="20">
        <v>10</v>
      </c>
      <c r="D2550" s="20" t="s">
        <v>3509</v>
      </c>
      <c r="E2550" s="19" t="str">
        <f>VLOOKUP(D2550,'لیست پرسنل'!$B$2:$E$1020,3,FALSE)</f>
        <v>فکورصنعت</v>
      </c>
      <c r="F2550" s="19" t="str">
        <f>VLOOKUP(D2550,'لیست پرسنل'!$B$2:$E$1020,4,FALSE)</f>
        <v>مدیر سایت مرکز تحقیقات</v>
      </c>
      <c r="G2550" s="127">
        <f>VLOOKUP(D2550,'لیست پرسنل'!$B$2:$F$1020,2,FALSE)</f>
        <v>513</v>
      </c>
      <c r="H2550" s="127" t="s">
        <v>3934</v>
      </c>
      <c r="I2550" s="127" t="s">
        <v>7060</v>
      </c>
      <c r="J2550" s="127" t="s">
        <v>571</v>
      </c>
      <c r="K2550" s="127" t="s">
        <v>5523</v>
      </c>
      <c r="L2550" s="158" t="s">
        <v>5522</v>
      </c>
      <c r="M2550" s="127">
        <v>629790</v>
      </c>
      <c r="N2550" s="109"/>
      <c r="O2550" s="19"/>
      <c r="P2550" s="20"/>
      <c r="Q2550" s="20"/>
    </row>
    <row r="2551" spans="1:17" ht="24.9" customHeight="1">
      <c r="A2551" s="20">
        <v>438</v>
      </c>
      <c r="B2551" s="20" t="s">
        <v>7051</v>
      </c>
      <c r="C2551" s="20">
        <v>10</v>
      </c>
      <c r="D2551" s="20" t="s">
        <v>3509</v>
      </c>
      <c r="E2551" s="19" t="str">
        <f>VLOOKUP(D2551,'لیست پرسنل'!$B$2:$E$1020,3,FALSE)</f>
        <v>فکورصنعت</v>
      </c>
      <c r="F2551" s="19" t="str">
        <f>VLOOKUP(D2551,'لیست پرسنل'!$B$2:$E$1020,4,FALSE)</f>
        <v>مدیر سایت مرکز تحقیقات</v>
      </c>
      <c r="G2551" s="127">
        <f>VLOOKUP(D2551,'لیست پرسنل'!$B$2:$F$1020,2,FALSE)</f>
        <v>513</v>
      </c>
      <c r="H2551" s="127" t="s">
        <v>3934</v>
      </c>
      <c r="I2551" s="127" t="s">
        <v>7060</v>
      </c>
      <c r="J2551" s="128" t="s">
        <v>2686</v>
      </c>
      <c r="K2551" s="128" t="s">
        <v>890</v>
      </c>
      <c r="L2551" s="128" t="s">
        <v>4902</v>
      </c>
      <c r="M2551" s="127">
        <v>633629</v>
      </c>
      <c r="N2551" s="109"/>
      <c r="O2551" s="19" t="s">
        <v>6290</v>
      </c>
      <c r="P2551" s="32"/>
      <c r="Q2551" s="32"/>
    </row>
    <row r="2552" spans="1:17" ht="24.9" customHeight="1">
      <c r="A2552" s="20">
        <v>438</v>
      </c>
      <c r="B2552" s="20" t="s">
        <v>7051</v>
      </c>
      <c r="C2552" s="20">
        <v>11</v>
      </c>
      <c r="D2552" s="20" t="s">
        <v>8456</v>
      </c>
      <c r="E2552" s="19" t="str">
        <f>VLOOKUP(D2552,'لیست پرسنل'!$B$2:$E$1020,3,FALSE)</f>
        <v>فکورصنعت</v>
      </c>
      <c r="F2552" s="19" t="str">
        <f>VLOOKUP(D2552,'لیست پرسنل'!$B$2:$E$1020,4,FALSE)</f>
        <v>سرپرست پشتیبانی سایت,مسئول انتظامات</v>
      </c>
      <c r="G2552" s="127" t="str">
        <f>VLOOKUP(D2552,'لیست پرسنل'!$B$2:$F$1020,2,FALSE)</f>
        <v>4001207</v>
      </c>
      <c r="H2552" s="127" t="s">
        <v>3925</v>
      </c>
      <c r="I2552" s="127" t="s">
        <v>7061</v>
      </c>
      <c r="J2552" s="128" t="s">
        <v>2686</v>
      </c>
      <c r="K2552" s="128" t="s">
        <v>2922</v>
      </c>
      <c r="L2552" s="127" t="s">
        <v>2965</v>
      </c>
      <c r="M2552" s="128">
        <v>626446</v>
      </c>
      <c r="N2552" s="108"/>
      <c r="O2552" s="20" t="s">
        <v>705</v>
      </c>
      <c r="P2552" s="20"/>
      <c r="Q2552" s="20"/>
    </row>
    <row r="2553" spans="1:17" ht="24.9" customHeight="1">
      <c r="A2553" s="20">
        <v>438</v>
      </c>
      <c r="B2553" s="20" t="s">
        <v>7051</v>
      </c>
      <c r="C2553" s="20">
        <v>11</v>
      </c>
      <c r="D2553" s="20" t="s">
        <v>8456</v>
      </c>
      <c r="E2553" s="19" t="str">
        <f>VLOOKUP(D2553,'لیست پرسنل'!$B$2:$E$1020,3,FALSE)</f>
        <v>فکورصنعت</v>
      </c>
      <c r="F2553" s="19" t="str">
        <f>VLOOKUP(D2553,'لیست پرسنل'!$B$2:$E$1020,4,FALSE)</f>
        <v>سرپرست پشتیبانی سایت,مسئول انتظامات</v>
      </c>
      <c r="G2553" s="127" t="str">
        <f>VLOOKUP(D2553,'لیست پرسنل'!$B$2:$F$1020,2,FALSE)</f>
        <v>4001207</v>
      </c>
      <c r="H2553" s="127" t="s">
        <v>3925</v>
      </c>
      <c r="I2553" s="127" t="s">
        <v>7061</v>
      </c>
      <c r="J2553" s="141" t="s">
        <v>737</v>
      </c>
      <c r="K2553" s="135" t="s">
        <v>5781</v>
      </c>
      <c r="L2553" s="154" t="s">
        <v>5780</v>
      </c>
      <c r="M2553" s="131">
        <v>632057</v>
      </c>
      <c r="N2553" s="108"/>
      <c r="O2553" s="20"/>
      <c r="P2553" s="20"/>
      <c r="Q2553" s="20"/>
    </row>
    <row r="2554" spans="1:17" ht="24.9" customHeight="1">
      <c r="A2554" s="20">
        <v>438</v>
      </c>
      <c r="B2554" s="20" t="s">
        <v>7051</v>
      </c>
      <c r="C2554" s="20">
        <v>11</v>
      </c>
      <c r="D2554" s="20" t="s">
        <v>8456</v>
      </c>
      <c r="E2554" s="19" t="str">
        <f>VLOOKUP(D2554,'لیست پرسنل'!$B$2:$E$1020,3,FALSE)</f>
        <v>فکورصنعت</v>
      </c>
      <c r="F2554" s="19" t="str">
        <f>VLOOKUP(D2554,'لیست پرسنل'!$B$2:$E$1020,4,FALSE)</f>
        <v>سرپرست پشتیبانی سایت,مسئول انتظامات</v>
      </c>
      <c r="G2554" s="127" t="str">
        <f>VLOOKUP(D2554,'لیست پرسنل'!$B$2:$F$1020,2,FALSE)</f>
        <v>4001207</v>
      </c>
      <c r="H2554" s="127" t="s">
        <v>3925</v>
      </c>
      <c r="I2554" s="127" t="s">
        <v>7061</v>
      </c>
      <c r="J2554" s="126" t="s">
        <v>368</v>
      </c>
      <c r="K2554" s="127" t="s">
        <v>660</v>
      </c>
      <c r="L2554" s="127"/>
      <c r="M2554" s="128">
        <v>626003</v>
      </c>
      <c r="N2554" s="109"/>
      <c r="O2554" s="20"/>
      <c r="P2554" s="20"/>
      <c r="Q2554" s="20"/>
    </row>
    <row r="2555" spans="1:17" ht="24.9" customHeight="1">
      <c r="A2555" s="20">
        <v>438</v>
      </c>
      <c r="B2555" s="20" t="s">
        <v>7051</v>
      </c>
      <c r="C2555" s="20">
        <v>11</v>
      </c>
      <c r="D2555" s="20" t="s">
        <v>8456</v>
      </c>
      <c r="E2555" s="19" t="str">
        <f>VLOOKUP(D2555,'لیست پرسنل'!$B$2:$E$1020,3,FALSE)</f>
        <v>فکورصنعت</v>
      </c>
      <c r="F2555" s="19" t="str">
        <f>VLOOKUP(D2555,'لیست پرسنل'!$B$2:$E$1020,4,FALSE)</f>
        <v>سرپرست پشتیبانی سایت,مسئول انتظامات</v>
      </c>
      <c r="G2555" s="127" t="str">
        <f>VLOOKUP(D2555,'لیست پرسنل'!$B$2:$F$1020,2,FALSE)</f>
        <v>4001207</v>
      </c>
      <c r="H2555" s="127" t="s">
        <v>3925</v>
      </c>
      <c r="I2555" s="127" t="s">
        <v>7061</v>
      </c>
      <c r="J2555" s="128" t="s">
        <v>571</v>
      </c>
      <c r="K2555" s="127"/>
      <c r="L2555" s="151"/>
      <c r="M2555" s="127">
        <v>627728</v>
      </c>
      <c r="N2555" s="109"/>
      <c r="O2555" s="20"/>
      <c r="P2555" s="20"/>
      <c r="Q2555" s="20"/>
    </row>
    <row r="2556" spans="1:17" ht="24.9" customHeight="1">
      <c r="A2556" s="20">
        <v>438</v>
      </c>
      <c r="B2556" s="20" t="s">
        <v>7051</v>
      </c>
      <c r="C2556" s="20">
        <v>12</v>
      </c>
      <c r="D2556" s="83" t="s">
        <v>126</v>
      </c>
      <c r="E2556" s="19" t="str">
        <f>VLOOKUP(D2556,'لیست پرسنل'!$B$2:$E$1020,3,FALSE)</f>
        <v>فکورصنعت</v>
      </c>
      <c r="F2556" s="19" t="str">
        <f>VLOOKUP(D2556,'لیست پرسنل'!$B$2:$E$1020,4,FALSE)</f>
        <v>پشتیبانی</v>
      </c>
      <c r="G2556" s="127">
        <f>VLOOKUP(D2556,'لیست پرسنل'!$B$2:$F$1020,2,FALSE)</f>
        <v>1301</v>
      </c>
      <c r="H2556" s="128" t="s">
        <v>3925</v>
      </c>
      <c r="I2556" s="159" t="s">
        <v>7062</v>
      </c>
      <c r="J2556" s="126" t="s">
        <v>368</v>
      </c>
      <c r="K2556" s="135" t="s">
        <v>8248</v>
      </c>
      <c r="L2556" s="127" t="s">
        <v>2313</v>
      </c>
      <c r="M2556" s="128">
        <v>628719</v>
      </c>
      <c r="N2556" s="108"/>
      <c r="O2556" s="20" t="s">
        <v>705</v>
      </c>
      <c r="P2556" s="20"/>
      <c r="Q2556" s="20"/>
    </row>
    <row r="2557" spans="1:17" ht="24.9" customHeight="1">
      <c r="A2557" s="20">
        <v>438</v>
      </c>
      <c r="B2557" s="20" t="s">
        <v>7051</v>
      </c>
      <c r="C2557" s="20">
        <v>12</v>
      </c>
      <c r="D2557" s="83" t="s">
        <v>126</v>
      </c>
      <c r="E2557" s="19" t="str">
        <f>VLOOKUP(D2557,'لیست پرسنل'!$B$2:$E$1020,3,FALSE)</f>
        <v>فکورصنعت</v>
      </c>
      <c r="F2557" s="19" t="str">
        <f>VLOOKUP(D2557,'لیست پرسنل'!$B$2:$E$1020,4,FALSE)</f>
        <v>پشتیبانی</v>
      </c>
      <c r="G2557" s="127">
        <f>VLOOKUP(D2557,'لیست پرسنل'!$B$2:$F$1020,2,FALSE)</f>
        <v>1301</v>
      </c>
      <c r="H2557" s="128" t="s">
        <v>3925</v>
      </c>
      <c r="I2557" s="159" t="s">
        <v>7062</v>
      </c>
      <c r="J2557" s="128" t="s">
        <v>571</v>
      </c>
      <c r="K2557" s="128" t="s">
        <v>3784</v>
      </c>
      <c r="L2557" s="151"/>
      <c r="M2557" s="127">
        <v>605768</v>
      </c>
      <c r="N2557" s="109"/>
      <c r="O2557" s="20"/>
      <c r="P2557" s="20"/>
      <c r="Q2557" s="20"/>
    </row>
    <row r="2558" spans="1:17" ht="24.9" customHeight="1">
      <c r="A2558" s="20">
        <v>438</v>
      </c>
      <c r="B2558" s="20" t="s">
        <v>7051</v>
      </c>
      <c r="C2558" s="20">
        <v>12</v>
      </c>
      <c r="D2558" s="83" t="s">
        <v>126</v>
      </c>
      <c r="E2558" s="19" t="str">
        <f>VLOOKUP(D2558,'لیست پرسنل'!$B$2:$E$1020,3,FALSE)</f>
        <v>فکورصنعت</v>
      </c>
      <c r="F2558" s="19" t="str">
        <f>VLOOKUP(D2558,'لیست پرسنل'!$B$2:$E$1020,4,FALSE)</f>
        <v>پشتیبانی</v>
      </c>
      <c r="G2558" s="127">
        <f>VLOOKUP(D2558,'لیست پرسنل'!$B$2:$F$1020,2,FALSE)</f>
        <v>1301</v>
      </c>
      <c r="H2558" s="128" t="s">
        <v>3925</v>
      </c>
      <c r="I2558" s="159" t="s">
        <v>7062</v>
      </c>
      <c r="J2558" s="128" t="s">
        <v>2686</v>
      </c>
      <c r="K2558" s="128" t="s">
        <v>1388</v>
      </c>
      <c r="L2558" s="151" t="s">
        <v>2181</v>
      </c>
      <c r="M2558" s="127">
        <v>603579</v>
      </c>
      <c r="N2558" s="109"/>
      <c r="O2558" s="20"/>
      <c r="P2558" s="20"/>
      <c r="Q2558" s="20"/>
    </row>
    <row r="2559" spans="1:17" ht="24.9" customHeight="1">
      <c r="A2559" s="20">
        <v>438</v>
      </c>
      <c r="B2559" s="20" t="s">
        <v>7051</v>
      </c>
      <c r="C2559" s="20">
        <v>13</v>
      </c>
      <c r="D2559" s="20" t="s">
        <v>13</v>
      </c>
      <c r="E2559" s="19" t="str">
        <f>VLOOKUP(D2559,'لیست پرسنل'!$B$2:$E$1020,3,FALSE)</f>
        <v>فکورصنعت</v>
      </c>
      <c r="F2559" s="19" t="str">
        <f>VLOOKUP(D2559,'لیست پرسنل'!$B$2:$E$1020,4,FALSE)</f>
        <v>ابزار دقیق</v>
      </c>
      <c r="G2559" s="127">
        <f>VLOOKUP(D2559,'لیست پرسنل'!$B$2:$F$1020,2,FALSE)</f>
        <v>4500</v>
      </c>
      <c r="H2559" s="127" t="s">
        <v>8589</v>
      </c>
      <c r="I2559" s="127" t="s">
        <v>8588</v>
      </c>
      <c r="J2559" s="126" t="s">
        <v>368</v>
      </c>
      <c r="K2559" s="135" t="s">
        <v>8248</v>
      </c>
      <c r="L2559" s="127" t="s">
        <v>2328</v>
      </c>
      <c r="M2559" s="128">
        <v>628734</v>
      </c>
      <c r="N2559" s="108"/>
      <c r="O2559" s="20" t="s">
        <v>705</v>
      </c>
      <c r="P2559" s="20"/>
      <c r="Q2559" s="20"/>
    </row>
    <row r="2560" spans="1:17" ht="24.9" customHeight="1">
      <c r="A2560" s="20">
        <v>438</v>
      </c>
      <c r="B2560" s="20" t="s">
        <v>7051</v>
      </c>
      <c r="C2560" s="20">
        <v>13</v>
      </c>
      <c r="D2560" s="20" t="s">
        <v>13</v>
      </c>
      <c r="E2560" s="19" t="str">
        <f>VLOOKUP(D2560,'لیست پرسنل'!$B$2:$E$1020,3,FALSE)</f>
        <v>فکورصنعت</v>
      </c>
      <c r="F2560" s="19" t="str">
        <f>VLOOKUP(D2560,'لیست پرسنل'!$B$2:$E$1020,4,FALSE)</f>
        <v>ابزار دقیق</v>
      </c>
      <c r="G2560" s="127">
        <f>VLOOKUP(D2560,'لیست پرسنل'!$B$2:$F$1020,2,FALSE)</f>
        <v>4500</v>
      </c>
      <c r="H2560" s="127" t="s">
        <v>8589</v>
      </c>
      <c r="I2560" s="127" t="s">
        <v>8588</v>
      </c>
      <c r="J2560" s="141" t="s">
        <v>571</v>
      </c>
      <c r="K2560" s="127" t="s">
        <v>5320</v>
      </c>
      <c r="L2560" s="127"/>
      <c r="M2560" s="132">
        <v>631489</v>
      </c>
      <c r="N2560" s="108"/>
      <c r="O2560" s="19"/>
      <c r="P2560" s="20"/>
      <c r="Q2560" s="20"/>
    </row>
    <row r="2561" spans="1:17" ht="24.9" customHeight="1">
      <c r="A2561" s="20">
        <v>438</v>
      </c>
      <c r="B2561" s="20" t="s">
        <v>7051</v>
      </c>
      <c r="C2561" s="20">
        <v>13</v>
      </c>
      <c r="D2561" s="20" t="s">
        <v>13</v>
      </c>
      <c r="E2561" s="19" t="str">
        <f>VLOOKUP(D2561,'لیست پرسنل'!$B$2:$E$1020,3,FALSE)</f>
        <v>فکورصنعت</v>
      </c>
      <c r="F2561" s="19" t="str">
        <f>VLOOKUP(D2561,'لیست پرسنل'!$B$2:$E$1020,4,FALSE)</f>
        <v>ابزار دقیق</v>
      </c>
      <c r="G2561" s="127">
        <f>VLOOKUP(D2561,'لیست پرسنل'!$B$2:$F$1020,2,FALSE)</f>
        <v>4500</v>
      </c>
      <c r="H2561" s="127" t="s">
        <v>8589</v>
      </c>
      <c r="I2561" s="127" t="s">
        <v>8588</v>
      </c>
      <c r="J2561" s="128" t="s">
        <v>2686</v>
      </c>
      <c r="K2561" s="128" t="s">
        <v>721</v>
      </c>
      <c r="L2561" s="127" t="s">
        <v>1609</v>
      </c>
      <c r="M2561" s="127">
        <v>634092</v>
      </c>
      <c r="N2561" s="109"/>
      <c r="O2561" s="19" t="s">
        <v>6709</v>
      </c>
      <c r="P2561" s="32"/>
      <c r="Q2561" s="32"/>
    </row>
    <row r="2562" spans="1:17" ht="24.9" customHeight="1">
      <c r="A2562" s="20">
        <v>438</v>
      </c>
      <c r="B2562" s="20" t="s">
        <v>7051</v>
      </c>
      <c r="C2562" s="20">
        <v>14</v>
      </c>
      <c r="D2562" s="20" t="s">
        <v>389</v>
      </c>
      <c r="E2562" s="19" t="str">
        <f>VLOOKUP(D2562,'لیست پرسنل'!$B$2:$E$1020,3,FALSE)</f>
        <v>فکورصنعت</v>
      </c>
      <c r="F2562" s="19" t="str">
        <f>VLOOKUP(D2562,'لیست پرسنل'!$B$2:$E$1020,4,FALSE)</f>
        <v>اداری</v>
      </c>
      <c r="G2562" s="127" t="str">
        <f>VLOOKUP(D2562,'لیست پرسنل'!$B$2:$F$1020,2,FALSE)</f>
        <v>1512</v>
      </c>
      <c r="H2562" s="127" t="s">
        <v>3925</v>
      </c>
      <c r="I2562" s="127" t="s">
        <v>7063</v>
      </c>
      <c r="J2562" s="128" t="s">
        <v>3383</v>
      </c>
      <c r="K2562" s="127" t="s">
        <v>7219</v>
      </c>
      <c r="L2562" s="127" t="s">
        <v>7218</v>
      </c>
      <c r="M2562" s="127">
        <v>635790</v>
      </c>
      <c r="N2562" s="108"/>
      <c r="O2562" s="20"/>
      <c r="P2562" s="20"/>
      <c r="Q2562" s="20"/>
    </row>
    <row r="2563" spans="1:17" ht="24.9" customHeight="1">
      <c r="A2563" s="20">
        <v>438</v>
      </c>
      <c r="B2563" s="20" t="s">
        <v>7051</v>
      </c>
      <c r="C2563" s="20">
        <v>14</v>
      </c>
      <c r="D2563" s="20" t="s">
        <v>389</v>
      </c>
      <c r="E2563" s="19" t="str">
        <f>VLOOKUP(D2563,'لیست پرسنل'!$B$2:$E$1020,3,FALSE)</f>
        <v>فکورصنعت</v>
      </c>
      <c r="F2563" s="19" t="str">
        <f>VLOOKUP(D2563,'لیست پرسنل'!$B$2:$E$1020,4,FALSE)</f>
        <v>اداری</v>
      </c>
      <c r="G2563" s="127" t="str">
        <f>VLOOKUP(D2563,'لیست پرسنل'!$B$2:$F$1020,2,FALSE)</f>
        <v>1512</v>
      </c>
      <c r="H2563" s="127" t="s">
        <v>3925</v>
      </c>
      <c r="I2563" s="127" t="s">
        <v>7063</v>
      </c>
      <c r="J2563" s="128" t="s">
        <v>737</v>
      </c>
      <c r="K2563" s="128" t="s">
        <v>113</v>
      </c>
      <c r="L2563" s="127" t="s">
        <v>114</v>
      </c>
      <c r="M2563" s="127">
        <v>602962</v>
      </c>
      <c r="N2563" s="109"/>
      <c r="O2563" s="19"/>
      <c r="P2563" s="19"/>
      <c r="Q2563" s="20"/>
    </row>
    <row r="2564" spans="1:17" ht="24.9" customHeight="1">
      <c r="A2564" s="20">
        <v>438</v>
      </c>
      <c r="B2564" s="20" t="s">
        <v>7051</v>
      </c>
      <c r="C2564" s="20">
        <v>14</v>
      </c>
      <c r="D2564" s="20" t="s">
        <v>389</v>
      </c>
      <c r="E2564" s="19" t="str">
        <f>VLOOKUP(D2564,'لیست پرسنل'!$B$2:$E$1020,3,FALSE)</f>
        <v>فکورصنعت</v>
      </c>
      <c r="F2564" s="19" t="str">
        <f>VLOOKUP(D2564,'لیست پرسنل'!$B$2:$E$1020,4,FALSE)</f>
        <v>اداری</v>
      </c>
      <c r="G2564" s="127" t="str">
        <f>VLOOKUP(D2564,'لیست پرسنل'!$B$2:$F$1020,2,FALSE)</f>
        <v>1512</v>
      </c>
      <c r="H2564" s="127" t="s">
        <v>3925</v>
      </c>
      <c r="I2564" s="127" t="s">
        <v>7063</v>
      </c>
      <c r="J2564" s="126" t="s">
        <v>368</v>
      </c>
      <c r="K2564" s="128" t="s">
        <v>2846</v>
      </c>
      <c r="L2564" s="127"/>
      <c r="M2564" s="128">
        <v>623221</v>
      </c>
      <c r="N2564" s="109"/>
      <c r="O2564" s="20"/>
      <c r="P2564" s="20"/>
      <c r="Q2564" s="20"/>
    </row>
    <row r="2565" spans="1:17" ht="24.9" customHeight="1">
      <c r="A2565" s="20">
        <v>438</v>
      </c>
      <c r="B2565" s="20" t="s">
        <v>7051</v>
      </c>
      <c r="C2565" s="20">
        <v>14</v>
      </c>
      <c r="D2565" s="20" t="s">
        <v>389</v>
      </c>
      <c r="E2565" s="19" t="str">
        <f>VLOOKUP(D2565,'لیست پرسنل'!$B$2:$E$1020,3,FALSE)</f>
        <v>فکورصنعت</v>
      </c>
      <c r="F2565" s="19" t="str">
        <f>VLOOKUP(D2565,'لیست پرسنل'!$B$2:$E$1020,4,FALSE)</f>
        <v>اداری</v>
      </c>
      <c r="G2565" s="127" t="str">
        <f>VLOOKUP(D2565,'لیست پرسنل'!$B$2:$F$1020,2,FALSE)</f>
        <v>1512</v>
      </c>
      <c r="H2565" s="127" t="s">
        <v>3925</v>
      </c>
      <c r="I2565" s="127" t="s">
        <v>7063</v>
      </c>
      <c r="J2565" s="128" t="s">
        <v>571</v>
      </c>
      <c r="K2565" s="127"/>
      <c r="L2565" s="151"/>
      <c r="M2565" s="127">
        <v>624580</v>
      </c>
      <c r="N2565" s="109"/>
      <c r="O2565" s="20"/>
      <c r="P2565" s="20"/>
      <c r="Q2565" s="20"/>
    </row>
    <row r="2566" spans="1:17" ht="24.9" customHeight="1">
      <c r="A2566" s="20">
        <v>438</v>
      </c>
      <c r="B2566" s="20" t="s">
        <v>7051</v>
      </c>
      <c r="C2566" s="20">
        <v>14</v>
      </c>
      <c r="D2566" s="20" t="s">
        <v>389</v>
      </c>
      <c r="E2566" s="19" t="str">
        <f>VLOOKUP(D2566,'لیست پرسنل'!$B$2:$E$1020,3,FALSE)</f>
        <v>فکورصنعت</v>
      </c>
      <c r="F2566" s="19" t="str">
        <f>VLOOKUP(D2566,'لیست پرسنل'!$B$2:$E$1020,4,FALSE)</f>
        <v>اداری</v>
      </c>
      <c r="G2566" s="127" t="str">
        <f>VLOOKUP(D2566,'لیست پرسنل'!$B$2:$F$1020,2,FALSE)</f>
        <v>1512</v>
      </c>
      <c r="H2566" s="127" t="s">
        <v>3925</v>
      </c>
      <c r="I2566" s="127" t="s">
        <v>7063</v>
      </c>
      <c r="J2566" s="128" t="s">
        <v>2686</v>
      </c>
      <c r="K2566" s="128" t="s">
        <v>332</v>
      </c>
      <c r="L2566" s="128" t="s">
        <v>1288</v>
      </c>
      <c r="M2566" s="127">
        <v>609578</v>
      </c>
      <c r="N2566" s="108"/>
      <c r="O2566" s="20"/>
      <c r="P2566" s="20"/>
      <c r="Q2566" s="20"/>
    </row>
    <row r="2567" spans="1:17" ht="24.9" customHeight="1">
      <c r="A2567" s="20">
        <v>438</v>
      </c>
      <c r="B2567" s="20" t="s">
        <v>7051</v>
      </c>
      <c r="C2567" s="20">
        <v>15</v>
      </c>
      <c r="D2567" s="20" t="s">
        <v>3923</v>
      </c>
      <c r="E2567" s="19" t="str">
        <f>VLOOKUP(D2567,'لیست پرسنل'!$B$2:$E$1020,3,FALSE)</f>
        <v>فکورصنعت</v>
      </c>
      <c r="F2567" s="19" t="str">
        <f>VLOOKUP(D2567,'لیست پرسنل'!$B$2:$E$1020,4,FALSE)</f>
        <v>سیویل</v>
      </c>
      <c r="G2567" s="127">
        <f>VLOOKUP(D2567,'لیست پرسنل'!$B$2:$F$1020,2,FALSE)</f>
        <v>4010205</v>
      </c>
      <c r="H2567" s="127" t="s">
        <v>3925</v>
      </c>
      <c r="I2567" s="128" t="s">
        <v>7064</v>
      </c>
      <c r="J2567" s="126" t="s">
        <v>368</v>
      </c>
      <c r="K2567" s="135" t="s">
        <v>8248</v>
      </c>
      <c r="L2567" s="127" t="s">
        <v>2504</v>
      </c>
      <c r="M2567" s="128">
        <v>628916</v>
      </c>
      <c r="N2567" s="108"/>
      <c r="O2567" s="20" t="s">
        <v>705</v>
      </c>
      <c r="P2567" s="20"/>
      <c r="Q2567" s="20"/>
    </row>
    <row r="2568" spans="1:17" ht="24.9" customHeight="1">
      <c r="A2568" s="20">
        <v>438</v>
      </c>
      <c r="B2568" s="20" t="s">
        <v>7051</v>
      </c>
      <c r="C2568" s="20">
        <v>15</v>
      </c>
      <c r="D2568" s="20" t="s">
        <v>3923</v>
      </c>
      <c r="E2568" s="19" t="str">
        <f>VLOOKUP(D2568,'لیست پرسنل'!$B$2:$E$1020,3,FALSE)</f>
        <v>فکورصنعت</v>
      </c>
      <c r="F2568" s="19" t="str">
        <f>VLOOKUP(D2568,'لیست پرسنل'!$B$2:$E$1020,4,FALSE)</f>
        <v>سیویل</v>
      </c>
      <c r="G2568" s="127">
        <f>VLOOKUP(D2568,'لیست پرسنل'!$B$2:$F$1020,2,FALSE)</f>
        <v>4010205</v>
      </c>
      <c r="H2568" s="127" t="s">
        <v>3925</v>
      </c>
      <c r="I2568" s="128" t="s">
        <v>7064</v>
      </c>
      <c r="J2568" s="128" t="s">
        <v>571</v>
      </c>
      <c r="K2568" s="134"/>
      <c r="L2568" s="151"/>
      <c r="M2568" s="127">
        <v>607681</v>
      </c>
      <c r="N2568" s="109"/>
      <c r="O2568" s="20"/>
      <c r="P2568" s="20"/>
      <c r="Q2568" s="20"/>
    </row>
    <row r="2569" spans="1:17" ht="24.9" customHeight="1">
      <c r="A2569" s="20">
        <v>438</v>
      </c>
      <c r="B2569" s="20" t="s">
        <v>7051</v>
      </c>
      <c r="C2569" s="20">
        <v>15</v>
      </c>
      <c r="D2569" s="20" t="s">
        <v>3923</v>
      </c>
      <c r="E2569" s="19" t="str">
        <f>VLOOKUP(D2569,'لیست پرسنل'!$B$2:$E$1020,3,FALSE)</f>
        <v>فکورصنعت</v>
      </c>
      <c r="F2569" s="19" t="str">
        <f>VLOOKUP(D2569,'لیست پرسنل'!$B$2:$E$1020,4,FALSE)</f>
        <v>سیویل</v>
      </c>
      <c r="G2569" s="127">
        <f>VLOOKUP(D2569,'لیست پرسنل'!$B$2:$F$1020,2,FALSE)</f>
        <v>4010205</v>
      </c>
      <c r="H2569" s="127" t="s">
        <v>3925</v>
      </c>
      <c r="I2569" s="128" t="s">
        <v>7064</v>
      </c>
      <c r="J2569" s="128" t="s">
        <v>2686</v>
      </c>
      <c r="K2569" s="128" t="s">
        <v>2922</v>
      </c>
      <c r="L2569" s="128" t="s">
        <v>2967</v>
      </c>
      <c r="M2569" s="128">
        <v>626448</v>
      </c>
      <c r="N2569" s="108"/>
      <c r="O2569" s="20" t="s">
        <v>705</v>
      </c>
      <c r="P2569" s="20"/>
      <c r="Q2569" s="20"/>
    </row>
    <row r="2570" spans="1:17" ht="24.9" customHeight="1">
      <c r="A2570" s="20">
        <v>438</v>
      </c>
      <c r="B2570" s="20" t="s">
        <v>7051</v>
      </c>
      <c r="C2570" s="20">
        <v>16</v>
      </c>
      <c r="D2570" s="20" t="s">
        <v>7985</v>
      </c>
      <c r="E2570" s="19" t="str">
        <f>VLOOKUP(D2570,'لیست پرسنل'!$B$2:$E$1020,3,FALSE)</f>
        <v>فکور صنعت</v>
      </c>
      <c r="F2570" s="19" t="str">
        <f>VLOOKUP(D2570,'لیست پرسنل'!$B$2:$E$1020,4,FALSE)</f>
        <v>کنترل پروژه</v>
      </c>
      <c r="G2570" s="127">
        <f>VLOOKUP(D2570,'لیست پرسنل'!$B$2:$F$1020,2,FALSE)</f>
        <v>4031105</v>
      </c>
      <c r="H2570" s="126" t="s">
        <v>7986</v>
      </c>
      <c r="I2570" s="128" t="s">
        <v>7065</v>
      </c>
      <c r="J2570" s="126" t="s">
        <v>368</v>
      </c>
      <c r="K2570" s="134" t="s">
        <v>658</v>
      </c>
      <c r="L2570" s="134" t="s">
        <v>518</v>
      </c>
      <c r="M2570" s="128">
        <v>620859</v>
      </c>
      <c r="N2570" s="109"/>
      <c r="O2570" s="20"/>
      <c r="P2570" s="20"/>
      <c r="Q2570" s="36"/>
    </row>
    <row r="2571" spans="1:17" ht="24.9" customHeight="1">
      <c r="A2571" s="20">
        <v>438</v>
      </c>
      <c r="B2571" s="20" t="s">
        <v>7051</v>
      </c>
      <c r="C2571" s="20">
        <v>16</v>
      </c>
      <c r="D2571" s="20" t="s">
        <v>7985</v>
      </c>
      <c r="E2571" s="19" t="str">
        <f>VLOOKUP(D2571,'لیست پرسنل'!$B$2:$E$1020,3,FALSE)</f>
        <v>فکور صنعت</v>
      </c>
      <c r="F2571" s="19" t="str">
        <f>VLOOKUP(D2571,'لیست پرسنل'!$B$2:$E$1020,4,FALSE)</f>
        <v>کنترل پروژه</v>
      </c>
      <c r="G2571" s="127">
        <f>VLOOKUP(D2571,'لیست پرسنل'!$B$2:$F$1020,2,FALSE)</f>
        <v>4031105</v>
      </c>
      <c r="H2571" s="126" t="s">
        <v>7986</v>
      </c>
      <c r="I2571" s="128" t="s">
        <v>7065</v>
      </c>
      <c r="J2571" s="141" t="s">
        <v>571</v>
      </c>
      <c r="K2571" s="127" t="s">
        <v>5320</v>
      </c>
      <c r="L2571" s="127" t="s">
        <v>7065</v>
      </c>
      <c r="M2571" s="132">
        <v>631491</v>
      </c>
      <c r="N2571" s="108"/>
      <c r="O2571" s="19"/>
      <c r="P2571" s="20"/>
      <c r="Q2571" s="20"/>
    </row>
    <row r="2572" spans="1:17" ht="24.9" customHeight="1">
      <c r="A2572" s="20">
        <v>438</v>
      </c>
      <c r="B2572" s="20" t="s">
        <v>7051</v>
      </c>
      <c r="C2572" s="19">
        <v>16</v>
      </c>
      <c r="D2572" s="19" t="s">
        <v>7985</v>
      </c>
      <c r="E2572" s="19" t="str">
        <f>VLOOKUP(D2572,'لیست پرسنل'!$B$2:$E$1020,3,FALSE)</f>
        <v>فکور صنعت</v>
      </c>
      <c r="F2572" s="19" t="str">
        <f>VLOOKUP(D2572,'لیست پرسنل'!$B$2:$E$1020,4,FALSE)</f>
        <v>کنترل پروژه</v>
      </c>
      <c r="G2572" s="127">
        <f>VLOOKUP(D2572,'لیست پرسنل'!$B$2:$F$1020,2,FALSE)</f>
        <v>4031105</v>
      </c>
      <c r="H2572" s="126" t="s">
        <v>7986</v>
      </c>
      <c r="I2572" s="127" t="s">
        <v>7065</v>
      </c>
      <c r="J2572" s="128" t="s">
        <v>2686</v>
      </c>
      <c r="K2572" s="128" t="s">
        <v>2922</v>
      </c>
      <c r="L2572" s="128" t="s">
        <v>2972</v>
      </c>
      <c r="M2572" s="128">
        <v>626453</v>
      </c>
      <c r="N2572" s="109" t="s">
        <v>6840</v>
      </c>
      <c r="O2572" s="20" t="s">
        <v>705</v>
      </c>
      <c r="P2572" s="20"/>
      <c r="Q2572" s="20"/>
    </row>
    <row r="2573" spans="1:17" ht="24.9" customHeight="1">
      <c r="A2573" s="20">
        <v>438</v>
      </c>
      <c r="B2573" s="20" t="s">
        <v>7051</v>
      </c>
      <c r="C2573" s="20">
        <v>17</v>
      </c>
      <c r="D2573" s="20" t="s">
        <v>3924</v>
      </c>
      <c r="E2573" s="19" t="str">
        <f>VLOOKUP(D2573,'لیست پرسنل'!$B$2:$E$1020,3,FALSE)</f>
        <v>فکورصنعت</v>
      </c>
      <c r="F2573" s="19" t="str">
        <f>VLOOKUP(D2573,'لیست پرسنل'!$B$2:$E$1020,4,FALSE)</f>
        <v>سیویل</v>
      </c>
      <c r="G2573" s="127">
        <f>VLOOKUP(D2573,'لیست پرسنل'!$B$2:$F$1020,2,FALSE)</f>
        <v>567</v>
      </c>
      <c r="H2573" s="127" t="s">
        <v>3925</v>
      </c>
      <c r="I2573" s="127" t="s">
        <v>7066</v>
      </c>
      <c r="J2573" s="126" t="s">
        <v>368</v>
      </c>
      <c r="K2573" s="134" t="s">
        <v>658</v>
      </c>
      <c r="L2573" s="134" t="s">
        <v>1776</v>
      </c>
      <c r="M2573" s="128">
        <v>621758</v>
      </c>
      <c r="N2573" s="109"/>
      <c r="O2573" s="20"/>
      <c r="P2573" s="20"/>
      <c r="Q2573" s="20"/>
    </row>
    <row r="2574" spans="1:17" ht="24.9" customHeight="1">
      <c r="A2574" s="20">
        <v>438</v>
      </c>
      <c r="B2574" s="20" t="s">
        <v>7051</v>
      </c>
      <c r="C2574" s="20">
        <v>17</v>
      </c>
      <c r="D2574" s="20" t="s">
        <v>3924</v>
      </c>
      <c r="E2574" s="19" t="str">
        <f>VLOOKUP(D2574,'لیست پرسنل'!$B$2:$E$1020,3,FALSE)</f>
        <v>فکورصنعت</v>
      </c>
      <c r="F2574" s="19" t="str">
        <f>VLOOKUP(D2574,'لیست پرسنل'!$B$2:$E$1020,4,FALSE)</f>
        <v>سیویل</v>
      </c>
      <c r="G2574" s="127">
        <f>VLOOKUP(D2574,'لیست پرسنل'!$B$2:$F$1020,2,FALSE)</f>
        <v>567</v>
      </c>
      <c r="H2574" s="127" t="s">
        <v>3925</v>
      </c>
      <c r="I2574" s="127" t="s">
        <v>7066</v>
      </c>
      <c r="J2574" s="127" t="s">
        <v>571</v>
      </c>
      <c r="K2574" s="127" t="s">
        <v>2219</v>
      </c>
      <c r="L2574" s="151"/>
      <c r="M2574" s="128">
        <v>624633</v>
      </c>
      <c r="N2574" s="108"/>
      <c r="O2574" s="20"/>
      <c r="P2574" s="20"/>
      <c r="Q2574" s="20"/>
    </row>
    <row r="2575" spans="1:17" ht="24.9" customHeight="1">
      <c r="A2575" s="20">
        <v>438</v>
      </c>
      <c r="B2575" s="20" t="s">
        <v>7051</v>
      </c>
      <c r="C2575" s="20">
        <v>17</v>
      </c>
      <c r="D2575" s="20" t="s">
        <v>3924</v>
      </c>
      <c r="E2575" s="19" t="str">
        <f>VLOOKUP(D2575,'لیست پرسنل'!$B$2:$E$1020,3,FALSE)</f>
        <v>فکورصنعت</v>
      </c>
      <c r="F2575" s="19" t="str">
        <f>VLOOKUP(D2575,'لیست پرسنل'!$B$2:$E$1020,4,FALSE)</f>
        <v>سیویل</v>
      </c>
      <c r="G2575" s="127">
        <f>VLOOKUP(D2575,'لیست پرسنل'!$B$2:$F$1020,2,FALSE)</f>
        <v>567</v>
      </c>
      <c r="H2575" s="127" t="s">
        <v>3925</v>
      </c>
      <c r="I2575" s="127" t="s">
        <v>7066</v>
      </c>
      <c r="J2575" s="128" t="s">
        <v>2686</v>
      </c>
      <c r="K2575" s="127" t="s">
        <v>2143</v>
      </c>
      <c r="L2575" s="127" t="s">
        <v>2258</v>
      </c>
      <c r="M2575" s="127">
        <v>628649</v>
      </c>
      <c r="N2575" s="108"/>
      <c r="O2575" s="20" t="s">
        <v>705</v>
      </c>
      <c r="P2575" s="20"/>
      <c r="Q2575" s="20"/>
    </row>
    <row r="2576" spans="1:17" ht="24.9" customHeight="1">
      <c r="A2576" s="20">
        <v>438</v>
      </c>
      <c r="B2576" s="20" t="s">
        <v>7051</v>
      </c>
      <c r="C2576" s="20">
        <v>18</v>
      </c>
      <c r="D2576" s="20" t="s">
        <v>4125</v>
      </c>
      <c r="E2576" s="19" t="str">
        <f>VLOOKUP(D2576,'لیست پرسنل'!$B$2:$E$1020,3,FALSE)</f>
        <v>فکورصنعت</v>
      </c>
      <c r="F2576" s="19" t="str">
        <f>VLOOKUP(D2576,'لیست پرسنل'!$B$2:$E$1020,4,FALSE)</f>
        <v>نظارت معماری</v>
      </c>
      <c r="G2576" s="127">
        <f>VLOOKUP(D2576,'لیست پرسنل'!$B$2:$F$1020,2,FALSE)</f>
        <v>4020101</v>
      </c>
      <c r="H2576" s="127" t="s">
        <v>3925</v>
      </c>
      <c r="I2576" s="128" t="s">
        <v>7067</v>
      </c>
      <c r="J2576" s="128" t="s">
        <v>737</v>
      </c>
      <c r="K2576" s="135" t="s">
        <v>4570</v>
      </c>
      <c r="L2576" s="151" t="s">
        <v>4569</v>
      </c>
      <c r="M2576" s="128">
        <v>629526</v>
      </c>
      <c r="N2576" s="108"/>
      <c r="O2576" s="20"/>
      <c r="P2576" s="20"/>
      <c r="Q2576" s="20"/>
    </row>
    <row r="2577" spans="1:17" ht="24.9" customHeight="1">
      <c r="A2577" s="20">
        <v>438</v>
      </c>
      <c r="B2577" s="20" t="s">
        <v>7051</v>
      </c>
      <c r="C2577" s="20">
        <v>18</v>
      </c>
      <c r="D2577" s="20" t="s">
        <v>4125</v>
      </c>
      <c r="E2577" s="19" t="str">
        <f>VLOOKUP(D2577,'لیست پرسنل'!$B$2:$E$1020,3,FALSE)</f>
        <v>فکورصنعت</v>
      </c>
      <c r="F2577" s="19" t="str">
        <f>VLOOKUP(D2577,'لیست پرسنل'!$B$2:$E$1020,4,FALSE)</f>
        <v>نظارت معماری</v>
      </c>
      <c r="G2577" s="127">
        <f>VLOOKUP(D2577,'لیست پرسنل'!$B$2:$F$1020,2,FALSE)</f>
        <v>4020101</v>
      </c>
      <c r="H2577" s="127" t="s">
        <v>3925</v>
      </c>
      <c r="I2577" s="128" t="s">
        <v>7067</v>
      </c>
      <c r="J2577" s="141" t="s">
        <v>5433</v>
      </c>
      <c r="K2577" s="135" t="s">
        <v>5431</v>
      </c>
      <c r="L2577" s="169" t="s">
        <v>5520</v>
      </c>
      <c r="M2577" s="128">
        <v>631590</v>
      </c>
      <c r="N2577" s="108"/>
      <c r="O2577" s="19"/>
      <c r="P2577" s="20"/>
      <c r="Q2577" s="20"/>
    </row>
    <row r="2578" spans="1:17" ht="24.9" customHeight="1">
      <c r="A2578" s="20">
        <v>438</v>
      </c>
      <c r="B2578" s="20" t="s">
        <v>7051</v>
      </c>
      <c r="C2578" s="20">
        <v>18</v>
      </c>
      <c r="D2578" s="20" t="s">
        <v>4125</v>
      </c>
      <c r="E2578" s="19" t="str">
        <f>VLOOKUP(D2578,'لیست پرسنل'!$B$2:$E$1020,3,FALSE)</f>
        <v>فکورصنعت</v>
      </c>
      <c r="F2578" s="19" t="str">
        <f>VLOOKUP(D2578,'لیست پرسنل'!$B$2:$E$1020,4,FALSE)</f>
        <v>نظارت معماری</v>
      </c>
      <c r="G2578" s="127">
        <f>VLOOKUP(D2578,'لیست پرسنل'!$B$2:$F$1020,2,FALSE)</f>
        <v>4020101</v>
      </c>
      <c r="H2578" s="127" t="s">
        <v>3925</v>
      </c>
      <c r="I2578" s="128" t="s">
        <v>7067</v>
      </c>
      <c r="J2578" s="126" t="s">
        <v>368</v>
      </c>
      <c r="K2578" s="127" t="s">
        <v>2846</v>
      </c>
      <c r="L2578" s="151" t="s">
        <v>3230</v>
      </c>
      <c r="M2578" s="128">
        <v>622565</v>
      </c>
      <c r="N2578" s="108"/>
      <c r="O2578" s="20" t="s">
        <v>4127</v>
      </c>
      <c r="P2578" s="20"/>
      <c r="Q2578" s="20"/>
    </row>
    <row r="2579" spans="1:17" ht="24.9" customHeight="1">
      <c r="A2579" s="20">
        <v>438</v>
      </c>
      <c r="B2579" s="20" t="s">
        <v>7051</v>
      </c>
      <c r="C2579" s="20">
        <v>18</v>
      </c>
      <c r="D2579" s="20" t="s">
        <v>4125</v>
      </c>
      <c r="E2579" s="19" t="str">
        <f>VLOOKUP(D2579,'لیست پرسنل'!$B$2:$E$1020,3,FALSE)</f>
        <v>فکورصنعت</v>
      </c>
      <c r="F2579" s="19" t="str">
        <f>VLOOKUP(D2579,'لیست پرسنل'!$B$2:$E$1020,4,FALSE)</f>
        <v>نظارت معماری</v>
      </c>
      <c r="G2579" s="127">
        <f>VLOOKUP(D2579,'لیست پرسنل'!$B$2:$F$1020,2,FALSE)</f>
        <v>4020101</v>
      </c>
      <c r="H2579" s="127" t="s">
        <v>3925</v>
      </c>
      <c r="I2579" s="128" t="s">
        <v>7067</v>
      </c>
      <c r="J2579" s="128" t="s">
        <v>571</v>
      </c>
      <c r="K2579" s="127" t="s">
        <v>3226</v>
      </c>
      <c r="L2579" s="128"/>
      <c r="M2579" s="128">
        <v>628577</v>
      </c>
      <c r="N2579" s="119"/>
      <c r="O2579" s="20"/>
      <c r="P2579" s="20"/>
      <c r="Q2579" s="20"/>
    </row>
    <row r="2580" spans="1:17" ht="24.9" customHeight="1">
      <c r="A2580" s="20">
        <v>438</v>
      </c>
      <c r="B2580" s="20" t="s">
        <v>7051</v>
      </c>
      <c r="C2580" s="20">
        <v>18</v>
      </c>
      <c r="D2580" s="20" t="s">
        <v>4125</v>
      </c>
      <c r="E2580" s="19" t="str">
        <f>VLOOKUP(D2580,'لیست پرسنل'!$B$2:$E$1020,3,FALSE)</f>
        <v>فکورصنعت</v>
      </c>
      <c r="F2580" s="19" t="str">
        <f>VLOOKUP(D2580,'لیست پرسنل'!$B$2:$E$1020,4,FALSE)</f>
        <v>نظارت معماری</v>
      </c>
      <c r="G2580" s="127">
        <f>VLOOKUP(D2580,'لیست پرسنل'!$B$2:$F$1020,2,FALSE)</f>
        <v>4020101</v>
      </c>
      <c r="H2580" s="127" t="s">
        <v>3925</v>
      </c>
      <c r="I2580" s="128" t="s">
        <v>7067</v>
      </c>
      <c r="J2580" s="128" t="s">
        <v>2686</v>
      </c>
      <c r="K2580" s="128" t="s">
        <v>2922</v>
      </c>
      <c r="L2580" s="127" t="s">
        <v>3063</v>
      </c>
      <c r="M2580" s="128">
        <v>626547</v>
      </c>
      <c r="N2580" s="108"/>
      <c r="O2580" s="20" t="s">
        <v>705</v>
      </c>
      <c r="P2580" s="20"/>
      <c r="Q2580" s="20"/>
    </row>
    <row r="2581" spans="1:17" ht="24.9" customHeight="1">
      <c r="A2581" s="20">
        <v>438</v>
      </c>
      <c r="B2581" s="20" t="s">
        <v>7051</v>
      </c>
      <c r="C2581" s="20">
        <v>19</v>
      </c>
      <c r="D2581" s="20" t="s">
        <v>4485</v>
      </c>
      <c r="E2581" s="19" t="str">
        <f>VLOOKUP(D2581,'لیست پرسنل'!$B$2:$E$1020,3,FALSE)</f>
        <v>فکورصنعت</v>
      </c>
      <c r="F2581" s="19" t="str">
        <f>VLOOKUP(D2581,'لیست پرسنل'!$B$2:$E$1020,4,FALSE)</f>
        <v>مکانیک</v>
      </c>
      <c r="G2581" s="127" t="str">
        <f>VLOOKUP(D2581,'لیست پرسنل'!$B$2:$F$1020,2,FALSE)</f>
        <v>4020303</v>
      </c>
      <c r="H2581" s="127" t="s">
        <v>3925</v>
      </c>
      <c r="I2581" s="127" t="s">
        <v>7068</v>
      </c>
      <c r="J2581" s="141" t="s">
        <v>5433</v>
      </c>
      <c r="K2581" s="135" t="s">
        <v>5431</v>
      </c>
      <c r="L2581" s="169" t="s">
        <v>5432</v>
      </c>
      <c r="M2581" s="128">
        <v>631591</v>
      </c>
      <c r="N2581" s="108"/>
      <c r="O2581" s="19"/>
      <c r="P2581" s="20"/>
      <c r="Q2581" s="20"/>
    </row>
    <row r="2582" spans="1:17" ht="24.9" customHeight="1">
      <c r="A2582" s="20">
        <v>438</v>
      </c>
      <c r="B2582" s="20" t="s">
        <v>7051</v>
      </c>
      <c r="C2582" s="20">
        <v>19</v>
      </c>
      <c r="D2582" s="20" t="s">
        <v>4485</v>
      </c>
      <c r="E2582" s="19" t="str">
        <f>VLOOKUP(D2582,'لیست پرسنل'!$B$2:$E$1020,3,FALSE)</f>
        <v>فکورصنعت</v>
      </c>
      <c r="F2582" s="19" t="str">
        <f>VLOOKUP(D2582,'لیست پرسنل'!$B$2:$E$1020,4,FALSE)</f>
        <v>مکانیک</v>
      </c>
      <c r="G2582" s="127" t="str">
        <f>VLOOKUP(D2582,'لیست پرسنل'!$B$2:$F$1020,2,FALSE)</f>
        <v>4020303</v>
      </c>
      <c r="H2582" s="127" t="s">
        <v>3925</v>
      </c>
      <c r="I2582" s="127" t="s">
        <v>7068</v>
      </c>
      <c r="J2582" s="126" t="s">
        <v>368</v>
      </c>
      <c r="K2582" s="135" t="s">
        <v>8248</v>
      </c>
      <c r="L2582" s="127" t="s">
        <v>2444</v>
      </c>
      <c r="M2582" s="128">
        <v>628853</v>
      </c>
      <c r="N2582" s="108"/>
      <c r="O2582" s="20" t="s">
        <v>705</v>
      </c>
      <c r="P2582" s="20"/>
      <c r="Q2582" s="20"/>
    </row>
    <row r="2583" spans="1:17" ht="24.9" customHeight="1">
      <c r="A2583" s="20">
        <v>438</v>
      </c>
      <c r="B2583" s="20" t="s">
        <v>7051</v>
      </c>
      <c r="C2583" s="20">
        <v>19</v>
      </c>
      <c r="D2583" s="20" t="s">
        <v>4485</v>
      </c>
      <c r="E2583" s="19" t="str">
        <f>VLOOKUP(D2583,'لیست پرسنل'!$B$2:$E$1020,3,FALSE)</f>
        <v>فکورصنعت</v>
      </c>
      <c r="F2583" s="19" t="str">
        <f>VLOOKUP(D2583,'لیست پرسنل'!$B$2:$E$1020,4,FALSE)</f>
        <v>مکانیک</v>
      </c>
      <c r="G2583" s="127" t="str">
        <f>VLOOKUP(D2583,'لیست پرسنل'!$B$2:$F$1020,2,FALSE)</f>
        <v>4020303</v>
      </c>
      <c r="H2583" s="127" t="s">
        <v>3925</v>
      </c>
      <c r="I2583" s="127" t="s">
        <v>7068</v>
      </c>
      <c r="J2583" s="141" t="s">
        <v>571</v>
      </c>
      <c r="K2583" s="135" t="s">
        <v>1951</v>
      </c>
      <c r="L2583" s="165" t="s">
        <v>2219</v>
      </c>
      <c r="M2583" s="128">
        <v>629903</v>
      </c>
      <c r="N2583" s="108"/>
      <c r="O2583" s="19" t="s">
        <v>705</v>
      </c>
      <c r="P2583" s="20"/>
      <c r="Q2583" s="20"/>
    </row>
    <row r="2584" spans="1:17" ht="24.9" customHeight="1">
      <c r="A2584" s="20">
        <v>438</v>
      </c>
      <c r="B2584" s="20" t="s">
        <v>7051</v>
      </c>
      <c r="C2584" s="20">
        <v>19</v>
      </c>
      <c r="D2584" s="20" t="s">
        <v>4485</v>
      </c>
      <c r="E2584" s="19" t="str">
        <f>VLOOKUP(D2584,'لیست پرسنل'!$B$2:$E$1020,3,FALSE)</f>
        <v>فکورصنعت</v>
      </c>
      <c r="F2584" s="19" t="str">
        <f>VLOOKUP(D2584,'لیست پرسنل'!$B$2:$E$1020,4,FALSE)</f>
        <v>مکانیک</v>
      </c>
      <c r="G2584" s="127" t="str">
        <f>VLOOKUP(D2584,'لیست پرسنل'!$B$2:$F$1020,2,FALSE)</f>
        <v>4020303</v>
      </c>
      <c r="H2584" s="127" t="s">
        <v>3925</v>
      </c>
      <c r="I2584" s="127" t="s">
        <v>7068</v>
      </c>
      <c r="J2584" s="128" t="s">
        <v>2686</v>
      </c>
      <c r="K2584" s="128" t="s">
        <v>2922</v>
      </c>
      <c r="L2584" s="127" t="s">
        <v>3093</v>
      </c>
      <c r="M2584" s="128">
        <v>626577</v>
      </c>
      <c r="N2584" s="108"/>
      <c r="O2584" s="66" t="s">
        <v>705</v>
      </c>
      <c r="P2584" s="20"/>
      <c r="Q2584" s="20"/>
    </row>
    <row r="2585" spans="1:17" ht="24.9" customHeight="1">
      <c r="A2585" s="20">
        <v>438</v>
      </c>
      <c r="B2585" s="20" t="s">
        <v>7051</v>
      </c>
      <c r="C2585" s="20">
        <v>20</v>
      </c>
      <c r="D2585" s="20" t="s">
        <v>3913</v>
      </c>
      <c r="E2585" s="19" t="str">
        <f>VLOOKUP(D2585,'لیست پرسنل'!$B$2:$E$1020,3,FALSE)</f>
        <v>گهر کوشان سپهر</v>
      </c>
      <c r="F2585" s="19" t="str">
        <f>VLOOKUP(D2585,'لیست پرسنل'!$B$2:$E$1020,4,FALSE)</f>
        <v>نگهبانی</v>
      </c>
      <c r="G2585" s="127">
        <f>VLOOKUP(D2585,'لیست پرسنل'!$B$2:$F$1020,2,FALSE)</f>
        <v>20446</v>
      </c>
      <c r="H2585" s="127" t="s">
        <v>3925</v>
      </c>
      <c r="I2585" s="127" t="s">
        <v>7069</v>
      </c>
      <c r="J2585" s="128" t="s">
        <v>5366</v>
      </c>
      <c r="K2585" s="127" t="s">
        <v>2756</v>
      </c>
      <c r="L2585" s="163" t="s">
        <v>2755</v>
      </c>
      <c r="M2585" s="132">
        <v>601475</v>
      </c>
      <c r="N2585" s="108"/>
      <c r="O2585" s="97"/>
      <c r="P2585" s="20"/>
      <c r="Q2585" s="20"/>
    </row>
    <row r="2586" spans="1:17" ht="24.9" customHeight="1">
      <c r="A2586" s="20">
        <v>438</v>
      </c>
      <c r="B2586" s="20" t="s">
        <v>7051</v>
      </c>
      <c r="C2586" s="20">
        <v>20</v>
      </c>
      <c r="D2586" s="19" t="s">
        <v>3913</v>
      </c>
      <c r="E2586" s="19" t="str">
        <f>VLOOKUP(D2586,'لیست پرسنل'!$B$2:$E$1020,3,FALSE)</f>
        <v>گهر کوشان سپهر</v>
      </c>
      <c r="F2586" s="19" t="str">
        <f>VLOOKUP(D2586,'لیست پرسنل'!$B$2:$E$1020,4,FALSE)</f>
        <v>نگهبانی</v>
      </c>
      <c r="G2586" s="127">
        <f>VLOOKUP(D2586,'لیست پرسنل'!$B$2:$F$1020,2,FALSE)</f>
        <v>20446</v>
      </c>
      <c r="H2586" s="127" t="s">
        <v>3925</v>
      </c>
      <c r="I2586" s="127" t="s">
        <v>7069</v>
      </c>
      <c r="J2586" s="141" t="s">
        <v>571</v>
      </c>
      <c r="K2586" s="135" t="s">
        <v>1951</v>
      </c>
      <c r="L2586" s="165" t="s">
        <v>2219</v>
      </c>
      <c r="M2586" s="128">
        <v>629918</v>
      </c>
      <c r="N2586" s="108"/>
      <c r="O2586" s="20" t="s">
        <v>705</v>
      </c>
      <c r="P2586" s="20"/>
      <c r="Q2586" s="20"/>
    </row>
    <row r="2587" spans="1:17" ht="24.9" customHeight="1">
      <c r="A2587" s="20">
        <v>438</v>
      </c>
      <c r="B2587" s="20" t="s">
        <v>7051</v>
      </c>
      <c r="C2587" s="20">
        <v>22</v>
      </c>
      <c r="D2587" s="19" t="s">
        <v>97</v>
      </c>
      <c r="E2587" s="19" t="str">
        <f>VLOOKUP(D2587,'لیست پرسنل'!$B$2:$E$1020,3,FALSE)</f>
        <v>فکورصنعت</v>
      </c>
      <c r="F2587" s="19" t="str">
        <f>VLOOKUP(D2587,'لیست پرسنل'!$B$2:$E$1020,4,FALSE)</f>
        <v>ایمنی</v>
      </c>
      <c r="G2587" s="127">
        <f>VLOOKUP(D2587,'لیست پرسنل'!$B$2:$F$1020,2,FALSE)</f>
        <v>991</v>
      </c>
      <c r="H2587" s="127" t="s">
        <v>3925</v>
      </c>
      <c r="I2587" s="127" t="s">
        <v>7070</v>
      </c>
      <c r="J2587" s="128" t="s">
        <v>737</v>
      </c>
      <c r="K2587" s="128" t="s">
        <v>892</v>
      </c>
      <c r="L2587" s="128" t="s">
        <v>1052</v>
      </c>
      <c r="M2587" s="128">
        <v>623630</v>
      </c>
      <c r="N2587" s="109"/>
      <c r="O2587" s="19" t="s">
        <v>5300</v>
      </c>
      <c r="P2587" s="20"/>
      <c r="Q2587" s="20"/>
    </row>
    <row r="2588" spans="1:17" ht="24.9" customHeight="1">
      <c r="A2588" s="20">
        <v>438</v>
      </c>
      <c r="B2588" s="20" t="s">
        <v>7051</v>
      </c>
      <c r="C2588" s="20">
        <v>22</v>
      </c>
      <c r="D2588" s="19" t="s">
        <v>97</v>
      </c>
      <c r="E2588" s="19" t="str">
        <f>VLOOKUP(D2588,'لیست پرسنل'!$B$2:$E$1020,3,FALSE)</f>
        <v>فکورصنعت</v>
      </c>
      <c r="F2588" s="19" t="str">
        <f>VLOOKUP(D2588,'لیست پرسنل'!$B$2:$E$1020,4,FALSE)</f>
        <v>ایمنی</v>
      </c>
      <c r="G2588" s="127">
        <f>VLOOKUP(D2588,'لیست پرسنل'!$B$2:$F$1020,2,FALSE)</f>
        <v>991</v>
      </c>
      <c r="H2588" s="127" t="s">
        <v>3925</v>
      </c>
      <c r="I2588" s="127" t="s">
        <v>7070</v>
      </c>
      <c r="J2588" s="126" t="s">
        <v>368</v>
      </c>
      <c r="K2588" s="135" t="s">
        <v>8248</v>
      </c>
      <c r="L2588" s="127" t="s">
        <v>2445</v>
      </c>
      <c r="M2588" s="128">
        <v>628854</v>
      </c>
      <c r="N2588" s="108"/>
      <c r="O2588" s="20" t="s">
        <v>705</v>
      </c>
      <c r="P2588" s="20"/>
      <c r="Q2588" s="20"/>
    </row>
    <row r="2589" spans="1:17" ht="24.9" customHeight="1">
      <c r="A2589" s="20">
        <v>438</v>
      </c>
      <c r="B2589" s="20" t="s">
        <v>7051</v>
      </c>
      <c r="C2589" s="20">
        <v>22</v>
      </c>
      <c r="D2589" s="19" t="s">
        <v>97</v>
      </c>
      <c r="E2589" s="19" t="str">
        <f>VLOOKUP(D2589,'لیست پرسنل'!$B$2:$E$1020,3,FALSE)</f>
        <v>فکورصنعت</v>
      </c>
      <c r="F2589" s="19" t="str">
        <f>VLOOKUP(D2589,'لیست پرسنل'!$B$2:$E$1020,4,FALSE)</f>
        <v>ایمنی</v>
      </c>
      <c r="G2589" s="127">
        <f>VLOOKUP(D2589,'لیست پرسنل'!$B$2:$F$1020,2,FALSE)</f>
        <v>991</v>
      </c>
      <c r="H2589" s="127" t="s">
        <v>3925</v>
      </c>
      <c r="I2589" s="127" t="s">
        <v>7070</v>
      </c>
      <c r="J2589" s="128" t="s">
        <v>5366</v>
      </c>
      <c r="K2589" s="128" t="s">
        <v>4964</v>
      </c>
      <c r="L2589" s="127" t="s">
        <v>4961</v>
      </c>
      <c r="M2589" s="128">
        <v>630677</v>
      </c>
      <c r="N2589" s="108"/>
      <c r="O2589" s="20" t="s">
        <v>5633</v>
      </c>
      <c r="P2589" s="20"/>
      <c r="Q2589" s="20"/>
    </row>
    <row r="2590" spans="1:17" ht="24.9" customHeight="1">
      <c r="A2590" s="20">
        <v>438</v>
      </c>
      <c r="B2590" s="20" t="s">
        <v>7051</v>
      </c>
      <c r="C2590" s="20">
        <v>22</v>
      </c>
      <c r="D2590" s="19" t="s">
        <v>97</v>
      </c>
      <c r="E2590" s="19" t="str">
        <f>VLOOKUP(D2590,'لیست پرسنل'!$B$2:$E$1020,3,FALSE)</f>
        <v>فکورصنعت</v>
      </c>
      <c r="F2590" s="19" t="str">
        <f>VLOOKUP(D2590,'لیست پرسنل'!$B$2:$E$1020,4,FALSE)</f>
        <v>ایمنی</v>
      </c>
      <c r="G2590" s="127">
        <f>VLOOKUP(D2590,'لیست پرسنل'!$B$2:$F$1020,2,FALSE)</f>
        <v>991</v>
      </c>
      <c r="H2590" s="127" t="s">
        <v>3925</v>
      </c>
      <c r="I2590" s="127" t="s">
        <v>7070</v>
      </c>
      <c r="J2590" s="128" t="s">
        <v>2686</v>
      </c>
      <c r="K2590" s="127" t="s">
        <v>332</v>
      </c>
      <c r="L2590" s="151" t="s">
        <v>1102</v>
      </c>
      <c r="M2590" s="127">
        <v>603558</v>
      </c>
      <c r="N2590" s="108"/>
      <c r="O2590" s="20"/>
      <c r="P2590" s="20"/>
      <c r="Q2590" s="20"/>
    </row>
    <row r="2591" spans="1:17" ht="24.9" customHeight="1">
      <c r="A2591" s="185">
        <v>438</v>
      </c>
      <c r="B2591" s="185" t="s">
        <v>7051</v>
      </c>
      <c r="C2591" s="185">
        <v>22</v>
      </c>
      <c r="D2591" s="67" t="s">
        <v>97</v>
      </c>
      <c r="E2591" s="186" t="str">
        <f>VLOOKUP(D2591,'لیست پرسنل'!$B$2:$E$1020,3,FALSE)</f>
        <v>فکورصنعت</v>
      </c>
      <c r="F2591" s="186" t="str">
        <f>VLOOKUP(D2591,'لیست پرسنل'!$B$2:$E$1020,4,FALSE)</f>
        <v>ایمنی</v>
      </c>
      <c r="G2591" s="187">
        <f>VLOOKUP(D2591,'لیست پرسنل'!$B$2:$F$1020,2,FALSE)</f>
        <v>991</v>
      </c>
      <c r="H2591" s="188" t="s">
        <v>8356</v>
      </c>
      <c r="I2591" s="194" t="s">
        <v>7070</v>
      </c>
      <c r="J2591" s="188" t="s">
        <v>571</v>
      </c>
      <c r="K2591" s="187" t="s">
        <v>3226</v>
      </c>
      <c r="L2591" s="188"/>
      <c r="M2591" s="194">
        <v>627721</v>
      </c>
      <c r="N2591" s="214"/>
      <c r="O2591" s="185"/>
      <c r="P2591" s="185"/>
      <c r="Q2591" s="185"/>
    </row>
    <row r="2592" spans="1:17" ht="24.9" customHeight="1">
      <c r="A2592" s="20">
        <v>438</v>
      </c>
      <c r="B2592" s="20" t="s">
        <v>7051</v>
      </c>
      <c r="C2592" s="20">
        <v>23</v>
      </c>
      <c r="D2592" s="19" t="s">
        <v>659</v>
      </c>
      <c r="E2592" s="19" t="str">
        <f>VLOOKUP(D2592,'لیست پرسنل'!$B$2:$E$1020,3,FALSE)</f>
        <v>فکورصنعت</v>
      </c>
      <c r="F2592" s="19" t="str">
        <f>VLOOKUP(D2592,'لیست پرسنل'!$B$2:$E$1020,4,FALSE)</f>
        <v>مالی - اداری</v>
      </c>
      <c r="G2592" s="127">
        <f>VLOOKUP(D2592,'لیست پرسنل'!$B$2:$F$1020,2,FALSE)</f>
        <v>4030504</v>
      </c>
      <c r="H2592" s="127" t="s">
        <v>3925</v>
      </c>
      <c r="I2592" s="127" t="s">
        <v>7071</v>
      </c>
      <c r="J2592" s="128" t="s">
        <v>3383</v>
      </c>
      <c r="K2592" s="127" t="s">
        <v>432</v>
      </c>
      <c r="L2592" s="127" t="s">
        <v>1777</v>
      </c>
      <c r="M2592" s="127">
        <v>620732</v>
      </c>
      <c r="N2592" s="109"/>
      <c r="O2592" s="20" t="s">
        <v>5436</v>
      </c>
      <c r="P2592" s="20"/>
      <c r="Q2592" s="20"/>
    </row>
    <row r="2593" spans="1:17" ht="24.9" customHeight="1">
      <c r="A2593" s="20">
        <v>438</v>
      </c>
      <c r="B2593" s="20" t="s">
        <v>7051</v>
      </c>
      <c r="C2593" s="20">
        <v>23</v>
      </c>
      <c r="D2593" s="19" t="s">
        <v>659</v>
      </c>
      <c r="E2593" s="19" t="str">
        <f>VLOOKUP(D2593,'لیست پرسنل'!$B$2:$E$1020,3,FALSE)</f>
        <v>فکورصنعت</v>
      </c>
      <c r="F2593" s="19" t="str">
        <f>VLOOKUP(D2593,'لیست پرسنل'!$B$2:$E$1020,4,FALSE)</f>
        <v>مالی - اداری</v>
      </c>
      <c r="G2593" s="127">
        <f>VLOOKUP(D2593,'لیست پرسنل'!$B$2:$F$1020,2,FALSE)</f>
        <v>4030504</v>
      </c>
      <c r="H2593" s="127" t="s">
        <v>3925</v>
      </c>
      <c r="I2593" s="127" t="s">
        <v>7071</v>
      </c>
      <c r="J2593" s="128" t="s">
        <v>737</v>
      </c>
      <c r="K2593" s="128" t="s">
        <v>1907</v>
      </c>
      <c r="L2593" s="127" t="s">
        <v>779</v>
      </c>
      <c r="M2593" s="127">
        <v>623239</v>
      </c>
      <c r="N2593" s="109"/>
      <c r="O2593" s="28"/>
      <c r="P2593" s="20"/>
      <c r="Q2593" s="20"/>
    </row>
    <row r="2594" spans="1:17" ht="24.9" customHeight="1">
      <c r="A2594" s="20">
        <v>438</v>
      </c>
      <c r="B2594" s="20" t="s">
        <v>7051</v>
      </c>
      <c r="C2594" s="20">
        <v>23</v>
      </c>
      <c r="D2594" s="19" t="s">
        <v>659</v>
      </c>
      <c r="E2594" s="19" t="str">
        <f>VLOOKUP(D2594,'لیست پرسنل'!$B$2:$E$1020,3,FALSE)</f>
        <v>فکورصنعت</v>
      </c>
      <c r="F2594" s="19" t="str">
        <f>VLOOKUP(D2594,'لیست پرسنل'!$B$2:$E$1020,4,FALSE)</f>
        <v>مالی - اداری</v>
      </c>
      <c r="G2594" s="127">
        <f>VLOOKUP(D2594,'لیست پرسنل'!$B$2:$F$1020,2,FALSE)</f>
        <v>4030504</v>
      </c>
      <c r="H2594" s="127" t="s">
        <v>3925</v>
      </c>
      <c r="I2594" s="127" t="s">
        <v>7071</v>
      </c>
      <c r="J2594" s="126" t="s">
        <v>368</v>
      </c>
      <c r="K2594" s="135" t="s">
        <v>8248</v>
      </c>
      <c r="L2594" s="127" t="s">
        <v>2288</v>
      </c>
      <c r="M2594" s="128">
        <v>628693</v>
      </c>
      <c r="N2594" s="108"/>
      <c r="O2594" s="20" t="s">
        <v>705</v>
      </c>
      <c r="P2594" s="20"/>
      <c r="Q2594" s="20"/>
    </row>
    <row r="2595" spans="1:17" ht="24.9" customHeight="1">
      <c r="A2595" s="20">
        <v>438</v>
      </c>
      <c r="B2595" s="20" t="s">
        <v>7051</v>
      </c>
      <c r="C2595" s="20">
        <v>23</v>
      </c>
      <c r="D2595" s="19" t="s">
        <v>659</v>
      </c>
      <c r="E2595" s="19" t="str">
        <f>VLOOKUP(D2595,'لیست پرسنل'!$B$2:$E$1020,3,FALSE)</f>
        <v>فکورصنعت</v>
      </c>
      <c r="F2595" s="19" t="str">
        <f>VLOOKUP(D2595,'لیست پرسنل'!$B$2:$E$1020,4,FALSE)</f>
        <v>مالی - اداری</v>
      </c>
      <c r="G2595" s="127">
        <f>VLOOKUP(D2595,'لیست پرسنل'!$B$2:$F$1020,2,FALSE)</f>
        <v>4030504</v>
      </c>
      <c r="H2595" s="127" t="s">
        <v>3925</v>
      </c>
      <c r="I2595" s="127" t="s">
        <v>7071</v>
      </c>
      <c r="J2595" s="141" t="s">
        <v>571</v>
      </c>
      <c r="K2595" s="127"/>
      <c r="L2595" s="165" t="s">
        <v>2219</v>
      </c>
      <c r="M2595" s="128">
        <v>629719</v>
      </c>
      <c r="N2595" s="108"/>
      <c r="O2595" s="20" t="s">
        <v>705</v>
      </c>
      <c r="P2595" s="20"/>
      <c r="Q2595" s="20"/>
    </row>
    <row r="2596" spans="1:17" ht="24.9" customHeight="1">
      <c r="A2596" s="20">
        <v>438</v>
      </c>
      <c r="B2596" s="20" t="s">
        <v>7051</v>
      </c>
      <c r="C2596" s="20">
        <v>23</v>
      </c>
      <c r="D2596" s="19" t="s">
        <v>659</v>
      </c>
      <c r="E2596" s="19" t="str">
        <f>VLOOKUP(D2596,'لیست پرسنل'!$B$2:$E$1020,3,FALSE)</f>
        <v>فکورصنعت</v>
      </c>
      <c r="F2596" s="19" t="str">
        <f>VLOOKUP(D2596,'لیست پرسنل'!$B$2:$E$1020,4,FALSE)</f>
        <v>مالی - اداری</v>
      </c>
      <c r="G2596" s="127">
        <f>VLOOKUP(D2596,'لیست پرسنل'!$B$2:$F$1020,2,FALSE)</f>
        <v>4030504</v>
      </c>
      <c r="H2596" s="127" t="s">
        <v>3925</v>
      </c>
      <c r="I2596" s="127" t="s">
        <v>7071</v>
      </c>
      <c r="J2596" s="128" t="s">
        <v>2686</v>
      </c>
      <c r="K2596" s="127" t="s">
        <v>2143</v>
      </c>
      <c r="L2596" s="128" t="s">
        <v>2238</v>
      </c>
      <c r="M2596" s="127">
        <v>628629</v>
      </c>
      <c r="N2596" s="108"/>
      <c r="O2596" s="20" t="s">
        <v>705</v>
      </c>
      <c r="P2596" s="20"/>
      <c r="Q2596" s="20"/>
    </row>
    <row r="2597" spans="1:17" ht="24.9" customHeight="1">
      <c r="A2597" s="20">
        <v>438</v>
      </c>
      <c r="B2597" s="20" t="s">
        <v>7051</v>
      </c>
      <c r="C2597" s="20">
        <v>24</v>
      </c>
      <c r="D2597" s="20" t="s">
        <v>5117</v>
      </c>
      <c r="E2597" s="19" t="str">
        <f>VLOOKUP(D2597,'لیست پرسنل'!$B$2:$E$1020,3,FALSE)</f>
        <v>فکورصنعت</v>
      </c>
      <c r="F2597" s="19" t="str">
        <f>VLOOKUP(D2597,'لیست پرسنل'!$B$2:$E$1020,4,FALSE)</f>
        <v>مکانیک</v>
      </c>
      <c r="G2597" s="127">
        <f>VLOOKUP(D2597,'لیست پرسنل'!$B$2:$F$1020,2,FALSE)</f>
        <v>4001210</v>
      </c>
      <c r="H2597" s="127" t="s">
        <v>3925</v>
      </c>
      <c r="I2597" s="128" t="s">
        <v>7072</v>
      </c>
      <c r="J2597" s="126" t="s">
        <v>368</v>
      </c>
      <c r="K2597" s="135" t="s">
        <v>8248</v>
      </c>
      <c r="L2597" s="127" t="s">
        <v>2310</v>
      </c>
      <c r="M2597" s="128">
        <v>628716</v>
      </c>
      <c r="N2597" s="108"/>
      <c r="O2597" s="20" t="s">
        <v>705</v>
      </c>
      <c r="P2597" s="20"/>
      <c r="Q2597" s="20"/>
    </row>
    <row r="2598" spans="1:17" ht="24.9" customHeight="1">
      <c r="A2598" s="20">
        <v>438</v>
      </c>
      <c r="B2598" s="20" t="s">
        <v>7051</v>
      </c>
      <c r="C2598" s="20">
        <v>24</v>
      </c>
      <c r="D2598" s="20" t="s">
        <v>5117</v>
      </c>
      <c r="E2598" s="19" t="str">
        <f>VLOOKUP(D2598,'لیست پرسنل'!$B$2:$E$1020,3,FALSE)</f>
        <v>فکورصنعت</v>
      </c>
      <c r="F2598" s="19" t="str">
        <f>VLOOKUP(D2598,'لیست پرسنل'!$B$2:$E$1020,4,FALSE)</f>
        <v>مکانیک</v>
      </c>
      <c r="G2598" s="127">
        <f>VLOOKUP(D2598,'لیست پرسنل'!$B$2:$F$1020,2,FALSE)</f>
        <v>4001210</v>
      </c>
      <c r="H2598" s="127" t="s">
        <v>3925</v>
      </c>
      <c r="I2598" s="128" t="s">
        <v>7072</v>
      </c>
      <c r="J2598" s="141" t="s">
        <v>571</v>
      </c>
      <c r="K2598" s="135" t="s">
        <v>1951</v>
      </c>
      <c r="L2598" s="165" t="s">
        <v>2219</v>
      </c>
      <c r="M2598" s="137">
        <v>629701</v>
      </c>
      <c r="N2598" s="108"/>
      <c r="O2598" s="20" t="s">
        <v>705</v>
      </c>
      <c r="P2598" s="20"/>
      <c r="Q2598" s="20"/>
    </row>
    <row r="2599" spans="1:17" ht="24.9" customHeight="1">
      <c r="A2599" s="20">
        <v>438</v>
      </c>
      <c r="B2599" s="20" t="s">
        <v>7051</v>
      </c>
      <c r="C2599" s="20">
        <v>24</v>
      </c>
      <c r="D2599" s="20" t="s">
        <v>5117</v>
      </c>
      <c r="E2599" s="19" t="str">
        <f>VLOOKUP(D2599,'لیست پرسنل'!$B$2:$E$1020,3,FALSE)</f>
        <v>فکورصنعت</v>
      </c>
      <c r="F2599" s="19" t="str">
        <f>VLOOKUP(D2599,'لیست پرسنل'!$B$2:$E$1020,4,FALSE)</f>
        <v>مکانیک</v>
      </c>
      <c r="G2599" s="127">
        <f>VLOOKUP(D2599,'لیست پرسنل'!$B$2:$F$1020,2,FALSE)</f>
        <v>4001210</v>
      </c>
      <c r="H2599" s="127" t="s">
        <v>3925</v>
      </c>
      <c r="I2599" s="128" t="s">
        <v>7072</v>
      </c>
      <c r="J2599" s="128" t="s">
        <v>2686</v>
      </c>
      <c r="K2599" s="127" t="s">
        <v>408</v>
      </c>
      <c r="L2599" s="151" t="s">
        <v>1182</v>
      </c>
      <c r="M2599" s="127">
        <v>604323</v>
      </c>
      <c r="N2599" s="108"/>
      <c r="O2599" s="20"/>
      <c r="P2599" s="20"/>
      <c r="Q2599" s="20"/>
    </row>
    <row r="2600" spans="1:17" ht="24.9" customHeight="1">
      <c r="A2600" s="20">
        <v>438</v>
      </c>
      <c r="B2600" s="20" t="s">
        <v>7051</v>
      </c>
      <c r="C2600" s="19">
        <v>25</v>
      </c>
      <c r="D2600" s="20" t="s">
        <v>5372</v>
      </c>
      <c r="E2600" s="19" t="str">
        <f>VLOOKUP(D2600,'لیست پرسنل'!$B$2:$E$1020,3,FALSE)</f>
        <v>فکورصنعت</v>
      </c>
      <c r="F2600" s="19" t="str">
        <f>VLOOKUP(D2600,'لیست پرسنل'!$B$2:$E$1020,4,FALSE)</f>
        <v>برق</v>
      </c>
      <c r="G2600" s="127">
        <f>VLOOKUP(D2600,'لیست پرسنل'!$B$2:$F$1020,2,FALSE)</f>
        <v>2708</v>
      </c>
      <c r="H2600" s="127" t="s">
        <v>3925</v>
      </c>
      <c r="I2600" s="127" t="s">
        <v>7073</v>
      </c>
      <c r="J2600" s="126" t="s">
        <v>368</v>
      </c>
      <c r="K2600" s="135" t="s">
        <v>8248</v>
      </c>
      <c r="L2600" s="127" t="s">
        <v>2500</v>
      </c>
      <c r="M2600" s="128">
        <v>628912</v>
      </c>
      <c r="N2600" s="108"/>
      <c r="O2600" s="20" t="s">
        <v>705</v>
      </c>
      <c r="P2600" s="20"/>
      <c r="Q2600" s="20"/>
    </row>
    <row r="2601" spans="1:17" ht="24.9" customHeight="1">
      <c r="A2601" s="20">
        <v>438</v>
      </c>
      <c r="B2601" s="20" t="s">
        <v>7051</v>
      </c>
      <c r="C2601" s="19">
        <v>25</v>
      </c>
      <c r="D2601" s="20" t="s">
        <v>5372</v>
      </c>
      <c r="E2601" s="19" t="str">
        <f>VLOOKUP(D2601,'لیست پرسنل'!$B$2:$E$1020,3,FALSE)</f>
        <v>فکورصنعت</v>
      </c>
      <c r="F2601" s="19" t="str">
        <f>VLOOKUP(D2601,'لیست پرسنل'!$B$2:$E$1020,4,FALSE)</f>
        <v>برق</v>
      </c>
      <c r="G2601" s="127">
        <f>VLOOKUP(D2601,'لیست پرسنل'!$B$2:$F$1020,2,FALSE)</f>
        <v>2708</v>
      </c>
      <c r="H2601" s="127" t="s">
        <v>3925</v>
      </c>
      <c r="I2601" s="127" t="s">
        <v>7073</v>
      </c>
      <c r="J2601" s="141" t="s">
        <v>571</v>
      </c>
      <c r="K2601" s="135" t="s">
        <v>5270</v>
      </c>
      <c r="L2601" s="154" t="s">
        <v>2219</v>
      </c>
      <c r="M2601" s="131">
        <v>631111</v>
      </c>
      <c r="N2601" s="108"/>
      <c r="O2601" s="20" t="s">
        <v>705</v>
      </c>
      <c r="P2601" s="20"/>
      <c r="Q2601" s="20"/>
    </row>
    <row r="2602" spans="1:17" ht="24.9" customHeight="1">
      <c r="A2602" s="20">
        <v>438</v>
      </c>
      <c r="B2602" s="20" t="s">
        <v>7051</v>
      </c>
      <c r="C2602" s="19">
        <v>25</v>
      </c>
      <c r="D2602" s="20" t="s">
        <v>5372</v>
      </c>
      <c r="E2602" s="19" t="str">
        <f>VLOOKUP(D2602,'لیست پرسنل'!$B$2:$E$1020,3,FALSE)</f>
        <v>فکورصنعت</v>
      </c>
      <c r="F2602" s="19" t="str">
        <f>VLOOKUP(D2602,'لیست پرسنل'!$B$2:$E$1020,4,FALSE)</f>
        <v>برق</v>
      </c>
      <c r="G2602" s="127">
        <f>VLOOKUP(D2602,'لیست پرسنل'!$B$2:$F$1020,2,FALSE)</f>
        <v>2708</v>
      </c>
      <c r="H2602" s="127" t="s">
        <v>3925</v>
      </c>
      <c r="I2602" s="127" t="s">
        <v>7073</v>
      </c>
      <c r="J2602" s="128" t="s">
        <v>2686</v>
      </c>
      <c r="K2602" s="127" t="s">
        <v>2143</v>
      </c>
      <c r="L2602" s="127" t="s">
        <v>2245</v>
      </c>
      <c r="M2602" s="127">
        <v>628636</v>
      </c>
      <c r="N2602" s="108"/>
      <c r="O2602" s="20" t="s">
        <v>705</v>
      </c>
      <c r="P2602" s="20"/>
      <c r="Q2602" s="20"/>
    </row>
    <row r="2603" spans="1:17" ht="24.9" customHeight="1">
      <c r="A2603" s="20">
        <v>438</v>
      </c>
      <c r="B2603" s="20" t="s">
        <v>7051</v>
      </c>
      <c r="C2603" s="20">
        <v>25</v>
      </c>
      <c r="D2603" s="19" t="s">
        <v>97</v>
      </c>
      <c r="E2603" s="19" t="str">
        <f>VLOOKUP(D2603,'لیست پرسنل'!$B$2:$E$1020,3,FALSE)</f>
        <v>فکورصنعت</v>
      </c>
      <c r="F2603" s="19" t="str">
        <f>VLOOKUP(D2603,'لیست پرسنل'!$B$2:$E$1020,4,FALSE)</f>
        <v>ایمنی</v>
      </c>
      <c r="G2603" s="127">
        <f>VLOOKUP(D2603,'لیست پرسنل'!$B$2:$F$1020,2,FALSE)</f>
        <v>991</v>
      </c>
      <c r="H2603" s="127" t="s">
        <v>5350</v>
      </c>
      <c r="I2603" s="127" t="s">
        <v>7073</v>
      </c>
      <c r="J2603" s="128" t="s">
        <v>571</v>
      </c>
      <c r="K2603" s="127" t="s">
        <v>2054</v>
      </c>
      <c r="L2603" s="127"/>
      <c r="M2603" s="127">
        <v>605603</v>
      </c>
      <c r="N2603" s="109"/>
      <c r="O2603" s="20"/>
      <c r="P2603" s="20"/>
      <c r="Q2603" s="20"/>
    </row>
    <row r="2604" spans="1:17" ht="24.9" customHeight="1">
      <c r="A2604" s="20">
        <v>438</v>
      </c>
      <c r="B2604" s="20" t="s">
        <v>7051</v>
      </c>
      <c r="C2604" s="20">
        <v>27</v>
      </c>
      <c r="D2604" s="19" t="s">
        <v>4600</v>
      </c>
      <c r="E2604" s="19" t="str">
        <f>VLOOKUP(D2604,'لیست پرسنل'!$B$2:$E$1020,3,FALSE)</f>
        <v>فکورصنعت</v>
      </c>
      <c r="F2604" s="19" t="str">
        <f>VLOOKUP(D2604,'لیست پرسنل'!$B$2:$E$1020,4,FALSE)</f>
        <v>انبار</v>
      </c>
      <c r="G2604" s="127">
        <f>VLOOKUP(D2604,'لیست پرسنل'!$B$2:$F$1020,2,FALSE)</f>
        <v>1251</v>
      </c>
      <c r="H2604" s="127" t="s">
        <v>3925</v>
      </c>
      <c r="I2604" s="127" t="s">
        <v>7074</v>
      </c>
      <c r="J2604" s="128" t="s">
        <v>737</v>
      </c>
      <c r="K2604" s="128" t="s">
        <v>962</v>
      </c>
      <c r="L2604" s="150" t="s">
        <v>565</v>
      </c>
      <c r="M2604" s="128">
        <v>621191</v>
      </c>
      <c r="N2604" s="109"/>
      <c r="O2604" s="20" t="s">
        <v>3935</v>
      </c>
      <c r="P2604" s="20"/>
      <c r="Q2604" s="36"/>
    </row>
    <row r="2605" spans="1:17" ht="24.9" customHeight="1">
      <c r="A2605" s="20">
        <v>438</v>
      </c>
      <c r="B2605" s="20" t="s">
        <v>7051</v>
      </c>
      <c r="C2605" s="20">
        <v>27</v>
      </c>
      <c r="D2605" s="19" t="s">
        <v>4600</v>
      </c>
      <c r="E2605" s="19" t="str">
        <f>VLOOKUP(D2605,'لیست پرسنل'!$B$2:$E$1020,3,FALSE)</f>
        <v>فکورصنعت</v>
      </c>
      <c r="F2605" s="19" t="str">
        <f>VLOOKUP(D2605,'لیست پرسنل'!$B$2:$E$1020,4,FALSE)</f>
        <v>انبار</v>
      </c>
      <c r="G2605" s="127">
        <f>VLOOKUP(D2605,'لیست پرسنل'!$B$2:$F$1020,2,FALSE)</f>
        <v>1251</v>
      </c>
      <c r="H2605" s="127" t="s">
        <v>3925</v>
      </c>
      <c r="I2605" s="127" t="s">
        <v>7074</v>
      </c>
      <c r="J2605" s="126" t="s">
        <v>368</v>
      </c>
      <c r="K2605" s="135" t="s">
        <v>8248</v>
      </c>
      <c r="L2605" s="127" t="s">
        <v>2506</v>
      </c>
      <c r="M2605" s="128">
        <v>628918</v>
      </c>
      <c r="N2605" s="108"/>
      <c r="O2605" s="20" t="s">
        <v>705</v>
      </c>
      <c r="P2605" s="20"/>
      <c r="Q2605" s="20"/>
    </row>
    <row r="2606" spans="1:17" ht="24.9" customHeight="1">
      <c r="A2606" s="20">
        <v>438</v>
      </c>
      <c r="B2606" s="20" t="s">
        <v>7051</v>
      </c>
      <c r="C2606" s="20">
        <v>27</v>
      </c>
      <c r="D2606" s="20" t="s">
        <v>4600</v>
      </c>
      <c r="E2606" s="19" t="str">
        <f>VLOOKUP(D2606,'لیست پرسنل'!$B$2:$E$1020,3,FALSE)</f>
        <v>فکورصنعت</v>
      </c>
      <c r="F2606" s="19" t="str">
        <f>VLOOKUP(D2606,'لیست پرسنل'!$B$2:$E$1020,4,FALSE)</f>
        <v>انبار</v>
      </c>
      <c r="G2606" s="127">
        <f>VLOOKUP(D2606,'لیست پرسنل'!$B$2:$F$1020,2,FALSE)</f>
        <v>1251</v>
      </c>
      <c r="H2606" s="127" t="s">
        <v>3925</v>
      </c>
      <c r="I2606" s="127" t="s">
        <v>7074</v>
      </c>
      <c r="J2606" s="127" t="s">
        <v>571</v>
      </c>
      <c r="K2606" s="127"/>
      <c r="L2606" s="128"/>
      <c r="M2606" s="127">
        <v>632452</v>
      </c>
      <c r="N2606" s="109"/>
      <c r="O2606" s="20"/>
      <c r="P2606" s="20"/>
      <c r="Q2606" s="20"/>
    </row>
    <row r="2607" spans="1:17" ht="24.9" customHeight="1">
      <c r="A2607" s="20">
        <v>438</v>
      </c>
      <c r="B2607" s="20" t="s">
        <v>7051</v>
      </c>
      <c r="C2607" s="20">
        <v>27</v>
      </c>
      <c r="D2607" s="19" t="s">
        <v>4600</v>
      </c>
      <c r="E2607" s="19" t="str">
        <f>VLOOKUP(D2607,'لیست پرسنل'!$B$2:$E$1020,3,FALSE)</f>
        <v>فکورصنعت</v>
      </c>
      <c r="F2607" s="19" t="str">
        <f>VLOOKUP(D2607,'لیست پرسنل'!$B$2:$E$1020,4,FALSE)</f>
        <v>انبار</v>
      </c>
      <c r="G2607" s="127">
        <f>VLOOKUP(D2607,'لیست پرسنل'!$B$2:$F$1020,2,FALSE)</f>
        <v>1251</v>
      </c>
      <c r="H2607" s="127" t="s">
        <v>3925</v>
      </c>
      <c r="I2607" s="127" t="s">
        <v>7074</v>
      </c>
      <c r="J2607" s="128" t="s">
        <v>2686</v>
      </c>
      <c r="K2607" s="128" t="s">
        <v>890</v>
      </c>
      <c r="L2607" s="151" t="s">
        <v>1408</v>
      </c>
      <c r="M2607" s="127">
        <v>606046</v>
      </c>
      <c r="N2607" s="108"/>
      <c r="O2607" s="20"/>
      <c r="P2607" s="20"/>
      <c r="Q2607" s="20"/>
    </row>
    <row r="2608" spans="1:17" ht="24.9" customHeight="1">
      <c r="A2608" s="20">
        <v>438</v>
      </c>
      <c r="B2608" s="20" t="s">
        <v>7051</v>
      </c>
      <c r="C2608" s="20">
        <v>28</v>
      </c>
      <c r="D2608" s="83" t="s">
        <v>3509</v>
      </c>
      <c r="E2608" s="19" t="str">
        <f>VLOOKUP(D2608,'لیست پرسنل'!$B$2:$E$1020,3,FALSE)</f>
        <v>فکورصنعت</v>
      </c>
      <c r="F2608" s="19" t="str">
        <f>VLOOKUP(D2608,'لیست پرسنل'!$B$2:$E$1020,4,FALSE)</f>
        <v>مدیر سایت مرکز تحقیقات</v>
      </c>
      <c r="G2608" s="127">
        <f>VLOOKUP(D2608,'لیست پرسنل'!$B$2:$F$1020,2,FALSE)</f>
        <v>513</v>
      </c>
      <c r="H2608" s="127" t="s">
        <v>3925</v>
      </c>
      <c r="I2608" s="159" t="s">
        <v>7075</v>
      </c>
      <c r="J2608" s="126" t="s">
        <v>368</v>
      </c>
      <c r="K2608" s="128" t="s">
        <v>682</v>
      </c>
      <c r="L2608" s="127" t="s">
        <v>683</v>
      </c>
      <c r="M2608" s="127">
        <v>622812</v>
      </c>
      <c r="N2608" s="109"/>
      <c r="O2608" s="20"/>
      <c r="P2608" s="20"/>
      <c r="Q2608" s="20"/>
    </row>
    <row r="2609" spans="1:17" ht="24.9" customHeight="1">
      <c r="A2609" s="20">
        <v>438</v>
      </c>
      <c r="B2609" s="20" t="s">
        <v>7051</v>
      </c>
      <c r="C2609" s="20">
        <v>28</v>
      </c>
      <c r="D2609" s="83" t="s">
        <v>3509</v>
      </c>
      <c r="E2609" s="19" t="str">
        <f>VLOOKUP(D2609,'لیست پرسنل'!$B$2:$E$1020,3,FALSE)</f>
        <v>فکورصنعت</v>
      </c>
      <c r="F2609" s="19" t="str">
        <f>VLOOKUP(D2609,'لیست پرسنل'!$B$2:$E$1020,4,FALSE)</f>
        <v>مدیر سایت مرکز تحقیقات</v>
      </c>
      <c r="G2609" s="127">
        <f>VLOOKUP(D2609,'لیست پرسنل'!$B$2:$F$1020,2,FALSE)</f>
        <v>513</v>
      </c>
      <c r="H2609" s="127" t="s">
        <v>3925</v>
      </c>
      <c r="I2609" s="159" t="s">
        <v>7075</v>
      </c>
      <c r="J2609" s="141" t="s">
        <v>571</v>
      </c>
      <c r="K2609" s="131" t="s">
        <v>2067</v>
      </c>
      <c r="L2609" s="159" t="s">
        <v>2219</v>
      </c>
      <c r="M2609" s="127">
        <v>628600</v>
      </c>
      <c r="N2609" s="108"/>
      <c r="O2609" s="19" t="s">
        <v>705</v>
      </c>
      <c r="P2609" s="20"/>
      <c r="Q2609" s="20"/>
    </row>
    <row r="2610" spans="1:17" ht="24.9" customHeight="1">
      <c r="A2610" s="20">
        <v>438</v>
      </c>
      <c r="B2610" s="20" t="s">
        <v>7051</v>
      </c>
      <c r="C2610" s="20">
        <v>28</v>
      </c>
      <c r="D2610" s="83" t="s">
        <v>3509</v>
      </c>
      <c r="E2610" s="19" t="str">
        <f>VLOOKUP(D2610,'لیست پرسنل'!$B$2:$E$1020,3,FALSE)</f>
        <v>فکورصنعت</v>
      </c>
      <c r="F2610" s="19" t="str">
        <f>VLOOKUP(D2610,'لیست پرسنل'!$B$2:$E$1020,4,FALSE)</f>
        <v>مدیر سایت مرکز تحقیقات</v>
      </c>
      <c r="G2610" s="127">
        <f>VLOOKUP(D2610,'لیست پرسنل'!$B$2:$F$1020,2,FALSE)</f>
        <v>513</v>
      </c>
      <c r="H2610" s="127" t="s">
        <v>3925</v>
      </c>
      <c r="I2610" s="159" t="s">
        <v>7075</v>
      </c>
      <c r="J2610" s="128" t="s">
        <v>2686</v>
      </c>
      <c r="K2610" s="128" t="s">
        <v>2922</v>
      </c>
      <c r="L2610" s="127" t="s">
        <v>3061</v>
      </c>
      <c r="M2610" s="128">
        <v>626545</v>
      </c>
      <c r="N2610" s="108"/>
      <c r="O2610" s="20" t="s">
        <v>705</v>
      </c>
      <c r="P2610" s="20"/>
      <c r="Q2610" s="20"/>
    </row>
    <row r="2611" spans="1:17" ht="24.9" customHeight="1">
      <c r="A2611" s="20">
        <v>438</v>
      </c>
      <c r="B2611" s="20" t="s">
        <v>7051</v>
      </c>
      <c r="C2611" s="20">
        <v>28</v>
      </c>
      <c r="D2611" s="83" t="s">
        <v>3509</v>
      </c>
      <c r="E2611" s="19" t="str">
        <f>VLOOKUP(D2611,'لیست پرسنل'!$B$2:$E$1020,3,FALSE)</f>
        <v>فکورصنعت</v>
      </c>
      <c r="F2611" s="19" t="str">
        <f>VLOOKUP(D2611,'لیست پرسنل'!$B$2:$E$1020,4,FALSE)</f>
        <v>مدیر سایت مرکز تحقیقات</v>
      </c>
      <c r="G2611" s="127">
        <f>VLOOKUP(D2611,'لیست پرسنل'!$B$2:$F$1020,2,FALSE)</f>
        <v>513</v>
      </c>
      <c r="H2611" s="127" t="s">
        <v>3925</v>
      </c>
      <c r="I2611" s="159" t="s">
        <v>7075</v>
      </c>
      <c r="J2611" s="128" t="s">
        <v>3313</v>
      </c>
      <c r="K2611" s="129" t="s">
        <v>6888</v>
      </c>
      <c r="L2611" s="150" t="s">
        <v>6887</v>
      </c>
      <c r="M2611" s="128" t="s">
        <v>291</v>
      </c>
      <c r="N2611" s="108"/>
      <c r="O2611" s="88"/>
      <c r="P2611" s="20"/>
      <c r="Q2611" s="20"/>
    </row>
    <row r="2612" spans="1:17" ht="24.9" customHeight="1">
      <c r="A2612" s="20">
        <v>438</v>
      </c>
      <c r="B2612" s="20" t="s">
        <v>7051</v>
      </c>
      <c r="C2612" s="20">
        <v>29</v>
      </c>
      <c r="D2612" s="19" t="s">
        <v>79</v>
      </c>
      <c r="E2612" s="19" t="str">
        <f>VLOOKUP(D2612,'لیست پرسنل'!$B$2:$E$1020,3,FALSE)</f>
        <v>فکورصنعت</v>
      </c>
      <c r="F2612" s="19" t="str">
        <f>VLOOKUP(D2612,'لیست پرسنل'!$B$2:$E$1020,4,FALSE)</f>
        <v>مسئول کنترل مدارک</v>
      </c>
      <c r="G2612" s="127" t="str">
        <f>VLOOKUP(D2612,'لیست پرسنل'!$B$2:$F$1020,2,FALSE)</f>
        <v>1766</v>
      </c>
      <c r="H2612" s="181" t="s">
        <v>3925</v>
      </c>
      <c r="I2612" s="159" t="s">
        <v>7076</v>
      </c>
      <c r="J2612" s="128" t="s">
        <v>737</v>
      </c>
      <c r="K2612" s="128" t="s">
        <v>478</v>
      </c>
      <c r="L2612" s="128" t="s">
        <v>479</v>
      </c>
      <c r="M2612" s="128">
        <v>615477</v>
      </c>
      <c r="N2612" s="109"/>
      <c r="O2612" s="20"/>
      <c r="P2612" s="20"/>
      <c r="Q2612" s="20"/>
    </row>
    <row r="2613" spans="1:17" ht="24.9" customHeight="1">
      <c r="A2613" s="20">
        <v>438</v>
      </c>
      <c r="B2613" s="20" t="s">
        <v>7051</v>
      </c>
      <c r="C2613" s="20">
        <v>29</v>
      </c>
      <c r="D2613" s="19" t="s">
        <v>79</v>
      </c>
      <c r="E2613" s="19" t="str">
        <f>VLOOKUP(D2613,'لیست پرسنل'!$B$2:$E$1020,3,FALSE)</f>
        <v>فکورصنعت</v>
      </c>
      <c r="F2613" s="19" t="str">
        <f>VLOOKUP(D2613,'لیست پرسنل'!$B$2:$E$1020,4,FALSE)</f>
        <v>مسئول کنترل مدارک</v>
      </c>
      <c r="G2613" s="127" t="str">
        <f>VLOOKUP(D2613,'لیست پرسنل'!$B$2:$F$1020,2,FALSE)</f>
        <v>1766</v>
      </c>
      <c r="H2613" s="181" t="s">
        <v>3925</v>
      </c>
      <c r="I2613" s="159" t="s">
        <v>7076</v>
      </c>
      <c r="J2613" s="126" t="s">
        <v>368</v>
      </c>
      <c r="K2613" s="128" t="s">
        <v>1476</v>
      </c>
      <c r="L2613" s="127" t="s">
        <v>1475</v>
      </c>
      <c r="M2613" s="127">
        <v>622569</v>
      </c>
      <c r="N2613" s="109"/>
      <c r="O2613" s="20"/>
      <c r="P2613" s="20"/>
      <c r="Q2613" s="20"/>
    </row>
    <row r="2614" spans="1:17" ht="24.9" customHeight="1">
      <c r="A2614" s="20">
        <v>438</v>
      </c>
      <c r="B2614" s="20" t="s">
        <v>7051</v>
      </c>
      <c r="C2614" s="20">
        <v>29</v>
      </c>
      <c r="D2614" s="19" t="s">
        <v>79</v>
      </c>
      <c r="E2614" s="19" t="str">
        <f>VLOOKUP(D2614,'لیست پرسنل'!$B$2:$E$1020,3,FALSE)</f>
        <v>فکورصنعت</v>
      </c>
      <c r="F2614" s="19" t="str">
        <f>VLOOKUP(D2614,'لیست پرسنل'!$B$2:$E$1020,4,FALSE)</f>
        <v>مسئول کنترل مدارک</v>
      </c>
      <c r="G2614" s="127" t="str">
        <f>VLOOKUP(D2614,'لیست پرسنل'!$B$2:$F$1020,2,FALSE)</f>
        <v>1766</v>
      </c>
      <c r="H2614" s="181" t="s">
        <v>3925</v>
      </c>
      <c r="I2614" s="159" t="s">
        <v>7076</v>
      </c>
      <c r="J2614" s="159" t="s">
        <v>571</v>
      </c>
      <c r="K2614" s="128"/>
      <c r="L2614" s="154"/>
      <c r="M2614" s="127">
        <v>627693</v>
      </c>
      <c r="N2614" s="109"/>
      <c r="O2614" s="20"/>
      <c r="P2614" s="20"/>
      <c r="Q2614" s="20"/>
    </row>
    <row r="2615" spans="1:17" ht="24.9" customHeight="1">
      <c r="A2615" s="20">
        <v>438</v>
      </c>
      <c r="B2615" s="20" t="s">
        <v>7051</v>
      </c>
      <c r="C2615" s="20">
        <v>29</v>
      </c>
      <c r="D2615" s="19" t="s">
        <v>79</v>
      </c>
      <c r="E2615" s="19" t="str">
        <f>VLOOKUP(D2615,'لیست پرسنل'!$B$2:$E$1020,3,FALSE)</f>
        <v>فکورصنعت</v>
      </c>
      <c r="F2615" s="19" t="str">
        <f>VLOOKUP(D2615,'لیست پرسنل'!$B$2:$E$1020,4,FALSE)</f>
        <v>مسئول کنترل مدارک</v>
      </c>
      <c r="G2615" s="127" t="str">
        <f>VLOOKUP(D2615,'لیست پرسنل'!$B$2:$F$1020,2,FALSE)</f>
        <v>1766</v>
      </c>
      <c r="H2615" s="181" t="s">
        <v>3925</v>
      </c>
      <c r="I2615" s="159" t="s">
        <v>7076</v>
      </c>
      <c r="J2615" s="128" t="s">
        <v>2686</v>
      </c>
      <c r="K2615" s="128" t="s">
        <v>2922</v>
      </c>
      <c r="L2615" s="127" t="s">
        <v>3091</v>
      </c>
      <c r="M2615" s="128">
        <v>626575</v>
      </c>
      <c r="N2615" s="108"/>
      <c r="O2615" s="20" t="s">
        <v>705</v>
      </c>
      <c r="P2615" s="20"/>
      <c r="Q2615" s="20"/>
    </row>
    <row r="2616" spans="1:17" ht="24.9" customHeight="1">
      <c r="A2616" s="20">
        <v>438</v>
      </c>
      <c r="B2616" s="20" t="s">
        <v>7051</v>
      </c>
      <c r="C2616" s="19">
        <v>30</v>
      </c>
      <c r="D2616" s="20" t="s">
        <v>3509</v>
      </c>
      <c r="E2616" s="19" t="str">
        <f>VLOOKUP(D2616,'لیست پرسنل'!$B$2:$E$1020,3,FALSE)</f>
        <v>فکورصنعت</v>
      </c>
      <c r="F2616" s="19" t="str">
        <f>VLOOKUP(D2616,'لیست پرسنل'!$B$2:$E$1020,4,FALSE)</f>
        <v>مدیر سایت مرکز تحقیقات</v>
      </c>
      <c r="G2616" s="127">
        <f>VLOOKUP(D2616,'لیست پرسنل'!$B$2:$F$1020,2,FALSE)</f>
        <v>513</v>
      </c>
      <c r="H2616" s="126" t="s">
        <v>5770</v>
      </c>
      <c r="I2616" s="128" t="s">
        <v>7077</v>
      </c>
      <c r="J2616" s="126" t="s">
        <v>368</v>
      </c>
      <c r="K2616" s="135" t="s">
        <v>8248</v>
      </c>
      <c r="L2616" s="127" t="s">
        <v>2318</v>
      </c>
      <c r="M2616" s="128">
        <v>628724</v>
      </c>
      <c r="N2616" s="108"/>
      <c r="O2616" s="20" t="s">
        <v>5771</v>
      </c>
      <c r="P2616" s="20"/>
      <c r="Q2616" s="20"/>
    </row>
    <row r="2617" spans="1:17" ht="24.9" customHeight="1">
      <c r="A2617" s="20">
        <v>438</v>
      </c>
      <c r="B2617" s="20" t="s">
        <v>7051</v>
      </c>
      <c r="C2617" s="19">
        <v>30</v>
      </c>
      <c r="D2617" s="20" t="s">
        <v>3509</v>
      </c>
      <c r="E2617" s="19" t="str">
        <f>VLOOKUP(D2617,'لیست پرسنل'!$B$2:$E$1020,3,FALSE)</f>
        <v>فکورصنعت</v>
      </c>
      <c r="F2617" s="19" t="str">
        <f>VLOOKUP(D2617,'لیست پرسنل'!$B$2:$E$1020,4,FALSE)</f>
        <v>مدیر سایت مرکز تحقیقات</v>
      </c>
      <c r="G2617" s="127">
        <f>VLOOKUP(D2617,'لیست پرسنل'!$B$2:$F$1020,2,FALSE)</f>
        <v>513</v>
      </c>
      <c r="H2617" s="126" t="s">
        <v>5770</v>
      </c>
      <c r="I2617" s="128" t="s">
        <v>7077</v>
      </c>
      <c r="J2617" s="141" t="s">
        <v>571</v>
      </c>
      <c r="K2617" s="135" t="s">
        <v>5270</v>
      </c>
      <c r="L2617" s="154" t="s">
        <v>2219</v>
      </c>
      <c r="M2617" s="131">
        <v>631119</v>
      </c>
      <c r="N2617" s="108"/>
      <c r="O2617" s="20" t="s">
        <v>5771</v>
      </c>
      <c r="P2617" s="20"/>
      <c r="Q2617" s="20"/>
    </row>
    <row r="2618" spans="1:17" ht="24.9" customHeight="1">
      <c r="A2618" s="20">
        <v>438</v>
      </c>
      <c r="B2618" s="20" t="s">
        <v>7051</v>
      </c>
      <c r="C2618" s="19">
        <v>30</v>
      </c>
      <c r="D2618" s="20" t="s">
        <v>3509</v>
      </c>
      <c r="E2618" s="19" t="str">
        <f>VLOOKUP(D2618,'لیست پرسنل'!$B$2:$E$1020,3,FALSE)</f>
        <v>فکورصنعت</v>
      </c>
      <c r="F2618" s="19" t="str">
        <f>VLOOKUP(D2618,'لیست پرسنل'!$B$2:$E$1020,4,FALSE)</f>
        <v>مدیر سایت مرکز تحقیقات</v>
      </c>
      <c r="G2618" s="127">
        <f>VLOOKUP(D2618,'لیست پرسنل'!$B$2:$F$1020,2,FALSE)</f>
        <v>513</v>
      </c>
      <c r="H2618" s="126" t="s">
        <v>5770</v>
      </c>
      <c r="I2618" s="128" t="s">
        <v>7077</v>
      </c>
      <c r="J2618" s="128" t="s">
        <v>2686</v>
      </c>
      <c r="K2618" s="134" t="s">
        <v>332</v>
      </c>
      <c r="L2618" s="151" t="s">
        <v>1415</v>
      </c>
      <c r="M2618" s="127">
        <v>604092</v>
      </c>
      <c r="N2618" s="108"/>
      <c r="O2618" s="20" t="s">
        <v>5771</v>
      </c>
      <c r="P2618" s="20"/>
      <c r="Q2618" s="20"/>
    </row>
    <row r="2619" spans="1:17" ht="24.9" customHeight="1">
      <c r="A2619" s="20">
        <v>438</v>
      </c>
      <c r="B2619" s="20" t="s">
        <v>7051</v>
      </c>
      <c r="C2619" s="20">
        <v>31</v>
      </c>
      <c r="D2619" s="20" t="s">
        <v>7653</v>
      </c>
      <c r="E2619" s="19" t="str">
        <f>VLOOKUP(D2619,'لیست پرسنل'!$B$2:$E$1020,3,FALSE)</f>
        <v>گهر کوشان سپهر</v>
      </c>
      <c r="F2619" s="19" t="str">
        <f>VLOOKUP(D2619,'لیست پرسنل'!$B$2:$E$1020,4,FALSE)</f>
        <v>معماری</v>
      </c>
      <c r="G2619" s="127">
        <f>VLOOKUP(D2619,'لیست پرسنل'!$B$2:$F$1020,2,FALSE)</f>
        <v>20991</v>
      </c>
      <c r="H2619" s="128" t="s">
        <v>3925</v>
      </c>
      <c r="I2619" s="128" t="s">
        <v>7658</v>
      </c>
      <c r="J2619" s="126" t="s">
        <v>737</v>
      </c>
      <c r="K2619" s="128" t="s">
        <v>7661</v>
      </c>
      <c r="L2619" s="127" t="s">
        <v>7663</v>
      </c>
      <c r="M2619" s="127" t="s">
        <v>4371</v>
      </c>
      <c r="N2619" s="109"/>
      <c r="O2619" s="19"/>
      <c r="P2619" s="32"/>
      <c r="Q2619" s="32"/>
    </row>
    <row r="2620" spans="1:17" ht="24.9" customHeight="1">
      <c r="A2620" s="20">
        <v>438</v>
      </c>
      <c r="B2620" s="20" t="s">
        <v>7051</v>
      </c>
      <c r="C2620" s="20">
        <v>31</v>
      </c>
      <c r="D2620" s="20" t="s">
        <v>7653</v>
      </c>
      <c r="E2620" s="19" t="str">
        <f>VLOOKUP(D2620,'لیست پرسنل'!$B$2:$E$1020,3,FALSE)</f>
        <v>گهر کوشان سپهر</v>
      </c>
      <c r="F2620" s="19" t="str">
        <f>VLOOKUP(D2620,'لیست پرسنل'!$B$2:$E$1020,4,FALSE)</f>
        <v>معماری</v>
      </c>
      <c r="G2620" s="127">
        <f>VLOOKUP(D2620,'لیست پرسنل'!$B$2:$F$1020,2,FALSE)</f>
        <v>20991</v>
      </c>
      <c r="H2620" s="128" t="s">
        <v>3925</v>
      </c>
      <c r="I2620" s="128" t="s">
        <v>7658</v>
      </c>
      <c r="J2620" s="126" t="s">
        <v>368</v>
      </c>
      <c r="K2620" s="128" t="s">
        <v>2846</v>
      </c>
      <c r="L2620" s="127" t="s">
        <v>1364</v>
      </c>
      <c r="M2620" s="127">
        <v>633715</v>
      </c>
      <c r="N2620" s="109"/>
      <c r="O2620" s="19" t="s">
        <v>6363</v>
      </c>
      <c r="P2620" s="32"/>
      <c r="Q2620" s="32"/>
    </row>
    <row r="2621" spans="1:17" ht="24.9" customHeight="1">
      <c r="A2621" s="20">
        <v>438</v>
      </c>
      <c r="B2621" s="20" t="s">
        <v>7051</v>
      </c>
      <c r="C2621" s="20">
        <v>31</v>
      </c>
      <c r="D2621" s="20" t="s">
        <v>7653</v>
      </c>
      <c r="E2621" s="19" t="str">
        <f>VLOOKUP(D2621,'لیست پرسنل'!$B$2:$E$1020,3,FALSE)</f>
        <v>گهر کوشان سپهر</v>
      </c>
      <c r="F2621" s="19" t="str">
        <f>VLOOKUP(D2621,'لیست پرسنل'!$B$2:$E$1020,4,FALSE)</f>
        <v>معماری</v>
      </c>
      <c r="G2621" s="127">
        <f>VLOOKUP(D2621,'لیست پرسنل'!$B$2:$F$1020,2,FALSE)</f>
        <v>20991</v>
      </c>
      <c r="H2621" s="128" t="s">
        <v>3925</v>
      </c>
      <c r="I2621" s="128" t="s">
        <v>7658</v>
      </c>
      <c r="J2621" s="126" t="s">
        <v>571</v>
      </c>
      <c r="K2621" s="128" t="s">
        <v>7659</v>
      </c>
      <c r="L2621" s="127"/>
      <c r="M2621" s="127" t="s">
        <v>4371</v>
      </c>
      <c r="N2621" s="109"/>
      <c r="O2621" s="19"/>
      <c r="P2621" s="32"/>
      <c r="Q2621" s="32"/>
    </row>
    <row r="2622" spans="1:17" ht="24.9" customHeight="1">
      <c r="A2622" s="20">
        <v>438</v>
      </c>
      <c r="B2622" s="20" t="s">
        <v>7051</v>
      </c>
      <c r="C2622" s="20">
        <v>31</v>
      </c>
      <c r="D2622" s="20" t="s">
        <v>7653</v>
      </c>
      <c r="E2622" s="19" t="str">
        <f>VLOOKUP(D2622,'لیست پرسنل'!$B$2:$E$1020,3,FALSE)</f>
        <v>گهر کوشان سپهر</v>
      </c>
      <c r="F2622" s="19" t="str">
        <f>VLOOKUP(D2622,'لیست پرسنل'!$B$2:$E$1020,4,FALSE)</f>
        <v>معماری</v>
      </c>
      <c r="G2622" s="127">
        <f>VLOOKUP(D2622,'لیست پرسنل'!$B$2:$F$1020,2,FALSE)</f>
        <v>20991</v>
      </c>
      <c r="H2622" s="128" t="s">
        <v>3925</v>
      </c>
      <c r="I2622" s="128" t="s">
        <v>7658</v>
      </c>
      <c r="J2622" s="126" t="s">
        <v>5618</v>
      </c>
      <c r="K2622" s="128" t="s">
        <v>7660</v>
      </c>
      <c r="L2622" s="127" t="s">
        <v>7662</v>
      </c>
      <c r="M2622" s="127" t="s">
        <v>4371</v>
      </c>
      <c r="N2622" s="109"/>
      <c r="O2622" s="19"/>
      <c r="P2622" s="32"/>
      <c r="Q2622" s="32"/>
    </row>
    <row r="2623" spans="1:17" ht="24.9" customHeight="1">
      <c r="A2623" s="20">
        <v>438</v>
      </c>
      <c r="B2623" s="20" t="s">
        <v>7051</v>
      </c>
      <c r="C2623" s="20">
        <v>34</v>
      </c>
      <c r="D2623" s="19" t="s">
        <v>2141</v>
      </c>
      <c r="E2623" s="19" t="str">
        <f>VLOOKUP(D2623,'لیست پرسنل'!$B$2:$E$1020,3,FALSE)</f>
        <v>فکورصنعت</v>
      </c>
      <c r="F2623" s="19" t="str">
        <f>VLOOKUP(D2623,'لیست پرسنل'!$B$2:$E$1020,4,FALSE)</f>
        <v>سرپرست پشتیبانی</v>
      </c>
      <c r="G2623" s="127">
        <f>VLOOKUP(D2623,'لیست پرسنل'!$B$2:$F$1020,2,FALSE)</f>
        <v>1826</v>
      </c>
      <c r="H2623" s="127" t="s">
        <v>3925</v>
      </c>
      <c r="I2623" s="128" t="s">
        <v>7078</v>
      </c>
      <c r="J2623" s="126" t="s">
        <v>368</v>
      </c>
      <c r="K2623" s="134" t="s">
        <v>2846</v>
      </c>
      <c r="L2623" s="151" t="s">
        <v>1500</v>
      </c>
      <c r="M2623" s="128">
        <v>625124</v>
      </c>
      <c r="N2623" s="109"/>
      <c r="O2623" s="20"/>
      <c r="P2623" s="20"/>
      <c r="Q2623" s="20"/>
    </row>
    <row r="2624" spans="1:17" ht="24.9" customHeight="1">
      <c r="A2624" s="20">
        <v>438</v>
      </c>
      <c r="B2624" s="20" t="s">
        <v>7051</v>
      </c>
      <c r="C2624" s="20">
        <v>34</v>
      </c>
      <c r="D2624" s="19" t="s">
        <v>2141</v>
      </c>
      <c r="E2624" s="19" t="str">
        <f>VLOOKUP(D2624,'لیست پرسنل'!$B$2:$E$1020,3,FALSE)</f>
        <v>فکورصنعت</v>
      </c>
      <c r="F2624" s="19" t="str">
        <f>VLOOKUP(D2624,'لیست پرسنل'!$B$2:$E$1020,4,FALSE)</f>
        <v>سرپرست پشتیبانی</v>
      </c>
      <c r="G2624" s="127">
        <f>VLOOKUP(D2624,'لیست پرسنل'!$B$2:$F$1020,2,FALSE)</f>
        <v>1826</v>
      </c>
      <c r="H2624" s="127" t="s">
        <v>3925</v>
      </c>
      <c r="I2624" s="128" t="s">
        <v>7078</v>
      </c>
      <c r="J2624" s="128" t="s">
        <v>571</v>
      </c>
      <c r="K2624" s="128"/>
      <c r="L2624" s="127"/>
      <c r="M2624" s="127">
        <v>634089</v>
      </c>
      <c r="N2624" s="109"/>
      <c r="O2624" s="19" t="s">
        <v>6705</v>
      </c>
      <c r="P2624" s="32"/>
      <c r="Q2624" s="32"/>
    </row>
    <row r="2625" spans="1:17" ht="24.9" customHeight="1">
      <c r="A2625" s="20">
        <v>438</v>
      </c>
      <c r="B2625" s="20" t="s">
        <v>7051</v>
      </c>
      <c r="C2625" s="20">
        <v>34</v>
      </c>
      <c r="D2625" s="19" t="s">
        <v>2141</v>
      </c>
      <c r="E2625" s="19" t="str">
        <f>VLOOKUP(D2625,'لیست پرسنل'!$B$2:$E$1020,3,FALSE)</f>
        <v>فکورصنعت</v>
      </c>
      <c r="F2625" s="19" t="str">
        <f>VLOOKUP(D2625,'لیست پرسنل'!$B$2:$E$1020,4,FALSE)</f>
        <v>سرپرست پشتیبانی</v>
      </c>
      <c r="G2625" s="127">
        <f>VLOOKUP(D2625,'لیست پرسنل'!$B$2:$F$1020,2,FALSE)</f>
        <v>1826</v>
      </c>
      <c r="H2625" s="127" t="s">
        <v>3925</v>
      </c>
      <c r="I2625" s="128" t="s">
        <v>7078</v>
      </c>
      <c r="J2625" s="128" t="s">
        <v>2686</v>
      </c>
      <c r="K2625" s="127" t="s">
        <v>2143</v>
      </c>
      <c r="L2625" s="127" t="s">
        <v>2227</v>
      </c>
      <c r="M2625" s="127">
        <v>628618</v>
      </c>
      <c r="N2625" s="108"/>
      <c r="O2625" s="20" t="s">
        <v>705</v>
      </c>
      <c r="P2625" s="20"/>
      <c r="Q2625" s="20"/>
    </row>
    <row r="2626" spans="1:17" ht="24.9" customHeight="1">
      <c r="A2626" s="20">
        <v>438</v>
      </c>
      <c r="B2626" s="20" t="s">
        <v>7051</v>
      </c>
      <c r="C2626" s="20">
        <v>36</v>
      </c>
      <c r="D2626" s="20" t="s">
        <v>127</v>
      </c>
      <c r="E2626" s="19" t="str">
        <f>VLOOKUP(D2626,'لیست پرسنل'!$B$2:$E$1020,3,FALSE)</f>
        <v>فکورصنعت</v>
      </c>
      <c r="F2626" s="19" t="str">
        <f>VLOOKUP(D2626,'لیست پرسنل'!$B$2:$E$1020,4,FALSE)</f>
        <v>انبار</v>
      </c>
      <c r="G2626" s="127">
        <f>VLOOKUP(D2626,'لیست پرسنل'!$B$2:$F$1020,2,FALSE)</f>
        <v>1348</v>
      </c>
      <c r="H2626" s="128" t="s">
        <v>3925</v>
      </c>
      <c r="I2626" s="128" t="s">
        <v>7587</v>
      </c>
      <c r="J2626" s="128" t="s">
        <v>737</v>
      </c>
      <c r="K2626" s="128" t="s">
        <v>6039</v>
      </c>
      <c r="L2626" s="134" t="s">
        <v>6040</v>
      </c>
      <c r="M2626" s="128">
        <v>631756</v>
      </c>
      <c r="N2626" s="108"/>
      <c r="O2626" s="20" t="s">
        <v>6048</v>
      </c>
      <c r="P2626" s="20"/>
      <c r="Q2626" s="20"/>
    </row>
    <row r="2627" spans="1:17" ht="24.9" customHeight="1">
      <c r="A2627" s="20">
        <v>438</v>
      </c>
      <c r="B2627" s="20" t="s">
        <v>7051</v>
      </c>
      <c r="C2627" s="20">
        <v>36</v>
      </c>
      <c r="D2627" s="20" t="s">
        <v>127</v>
      </c>
      <c r="E2627" s="19" t="str">
        <f>VLOOKUP(D2627,'لیست پرسنل'!$B$2:$E$1020,3,FALSE)</f>
        <v>فکورصنعت</v>
      </c>
      <c r="F2627" s="19" t="str">
        <f>VLOOKUP(D2627,'لیست پرسنل'!$B$2:$E$1020,4,FALSE)</f>
        <v>انبار</v>
      </c>
      <c r="G2627" s="127">
        <f>VLOOKUP(D2627,'لیست پرسنل'!$B$2:$F$1020,2,FALSE)</f>
        <v>1348</v>
      </c>
      <c r="H2627" s="128" t="s">
        <v>3925</v>
      </c>
      <c r="I2627" s="128" t="s">
        <v>7587</v>
      </c>
      <c r="J2627" s="126" t="s">
        <v>368</v>
      </c>
      <c r="K2627" s="128" t="s">
        <v>2846</v>
      </c>
      <c r="L2627" s="151" t="s">
        <v>7588</v>
      </c>
      <c r="M2627" s="128">
        <v>622563</v>
      </c>
      <c r="N2627" s="109"/>
      <c r="O2627" s="20"/>
      <c r="P2627" s="31"/>
      <c r="Q2627" s="31"/>
    </row>
    <row r="2628" spans="1:17" ht="24.9" customHeight="1">
      <c r="A2628" s="20">
        <v>438</v>
      </c>
      <c r="B2628" s="20" t="s">
        <v>7051</v>
      </c>
      <c r="C2628" s="20">
        <v>36</v>
      </c>
      <c r="D2628" s="20" t="s">
        <v>127</v>
      </c>
      <c r="E2628" s="19" t="str">
        <f>VLOOKUP(D2628,'لیست پرسنل'!$B$2:$E$1020,3,FALSE)</f>
        <v>فکورصنعت</v>
      </c>
      <c r="F2628" s="19" t="str">
        <f>VLOOKUP(D2628,'لیست پرسنل'!$B$2:$E$1020,4,FALSE)</f>
        <v>انبار</v>
      </c>
      <c r="G2628" s="127">
        <f>VLOOKUP(D2628,'لیست پرسنل'!$B$2:$F$1020,2,FALSE)</f>
        <v>1348</v>
      </c>
      <c r="H2628" s="128" t="s">
        <v>3925</v>
      </c>
      <c r="I2628" s="128" t="s">
        <v>7587</v>
      </c>
      <c r="J2628" s="128" t="s">
        <v>571</v>
      </c>
      <c r="K2628" s="128"/>
      <c r="L2628" s="127"/>
      <c r="M2628" s="127">
        <v>634090</v>
      </c>
      <c r="N2628" s="110"/>
      <c r="O2628" s="19" t="s">
        <v>6706</v>
      </c>
      <c r="P2628" s="32"/>
      <c r="Q2628" s="32"/>
    </row>
    <row r="2629" spans="1:17" ht="24.9" customHeight="1">
      <c r="A2629" s="20">
        <v>438</v>
      </c>
      <c r="B2629" s="20" t="s">
        <v>7051</v>
      </c>
      <c r="C2629" s="20">
        <v>36</v>
      </c>
      <c r="D2629" s="20" t="s">
        <v>127</v>
      </c>
      <c r="E2629" s="19" t="str">
        <f>VLOOKUP(D2629,'لیست پرسنل'!$B$2:$E$1020,3,FALSE)</f>
        <v>فکورصنعت</v>
      </c>
      <c r="F2629" s="19" t="str">
        <f>VLOOKUP(D2629,'لیست پرسنل'!$B$2:$E$1020,4,FALSE)</f>
        <v>انبار</v>
      </c>
      <c r="G2629" s="127">
        <f>VLOOKUP(D2629,'لیست پرسنل'!$B$2:$F$1020,2,FALSE)</f>
        <v>1348</v>
      </c>
      <c r="H2629" s="128" t="s">
        <v>3925</v>
      </c>
      <c r="I2629" s="128" t="s">
        <v>7587</v>
      </c>
      <c r="J2629" s="128" t="s">
        <v>2686</v>
      </c>
      <c r="K2629" s="128" t="s">
        <v>2922</v>
      </c>
      <c r="L2629" s="127" t="s">
        <v>3016</v>
      </c>
      <c r="M2629" s="128">
        <v>626499</v>
      </c>
      <c r="N2629" s="108"/>
      <c r="O2629" s="20" t="s">
        <v>705</v>
      </c>
      <c r="P2629" s="20"/>
      <c r="Q2629" s="20"/>
    </row>
    <row r="2630" spans="1:17" ht="24.9" customHeight="1">
      <c r="A2630" s="20">
        <v>438</v>
      </c>
      <c r="B2630" s="20" t="s">
        <v>7051</v>
      </c>
      <c r="C2630" s="20">
        <v>37</v>
      </c>
      <c r="D2630" s="20" t="s">
        <v>7652</v>
      </c>
      <c r="E2630" s="19" t="str">
        <f>VLOOKUP(D2630,'لیست پرسنل'!$B$2:$E$1020,3,FALSE)</f>
        <v>گهر کوشان سپهر</v>
      </c>
      <c r="F2630" s="19" t="str">
        <f>VLOOKUP(D2630,'لیست پرسنل'!$B$2:$E$1020,4,FALSE)</f>
        <v>نظارت مکانیک</v>
      </c>
      <c r="G2630" s="127">
        <f>VLOOKUP(D2630,'لیست پرسنل'!$B$2:$F$1020,2,FALSE)</f>
        <v>20992</v>
      </c>
      <c r="H2630" s="128" t="s">
        <v>8002</v>
      </c>
      <c r="I2630" s="128" t="s">
        <v>7654</v>
      </c>
      <c r="J2630" s="126" t="s">
        <v>368</v>
      </c>
      <c r="K2630" s="128" t="s">
        <v>2846</v>
      </c>
      <c r="L2630" s="127" t="s">
        <v>1365</v>
      </c>
      <c r="M2630" s="127">
        <v>633721</v>
      </c>
      <c r="N2630" s="108" t="s">
        <v>3509</v>
      </c>
      <c r="O2630" s="19" t="s">
        <v>6369</v>
      </c>
      <c r="P2630" s="32"/>
      <c r="Q2630" s="32"/>
    </row>
    <row r="2631" spans="1:17" ht="24.9" customHeight="1">
      <c r="A2631" s="20">
        <v>438</v>
      </c>
      <c r="B2631" s="20" t="s">
        <v>7051</v>
      </c>
      <c r="C2631" s="20">
        <v>37</v>
      </c>
      <c r="D2631" s="20" t="s">
        <v>7652</v>
      </c>
      <c r="E2631" s="19" t="str">
        <f>VLOOKUP(D2631,'لیست پرسنل'!$B$2:$E$1020,3,FALSE)</f>
        <v>گهر کوشان سپهر</v>
      </c>
      <c r="F2631" s="19" t="str">
        <f>VLOOKUP(D2631,'لیست پرسنل'!$B$2:$E$1020,4,FALSE)</f>
        <v>نظارت مکانیک</v>
      </c>
      <c r="G2631" s="127">
        <f>VLOOKUP(D2631,'لیست پرسنل'!$B$2:$F$1020,2,FALSE)</f>
        <v>20992</v>
      </c>
      <c r="H2631" s="128" t="s">
        <v>8002</v>
      </c>
      <c r="I2631" s="128" t="s">
        <v>7654</v>
      </c>
      <c r="J2631" s="128" t="s">
        <v>571</v>
      </c>
      <c r="K2631" s="128" t="s">
        <v>2219</v>
      </c>
      <c r="L2631" s="150" t="s">
        <v>7654</v>
      </c>
      <c r="M2631" s="128">
        <v>624586</v>
      </c>
      <c r="N2631" s="108" t="s">
        <v>3509</v>
      </c>
      <c r="O2631" s="20"/>
      <c r="P2631" s="20"/>
      <c r="Q2631" s="20"/>
    </row>
    <row r="2632" spans="1:17" ht="24.9" customHeight="1">
      <c r="A2632" s="20">
        <v>438</v>
      </c>
      <c r="B2632" s="20" t="s">
        <v>7051</v>
      </c>
      <c r="C2632" s="20">
        <v>37</v>
      </c>
      <c r="D2632" s="20" t="s">
        <v>7652</v>
      </c>
      <c r="E2632" s="19" t="str">
        <f>VLOOKUP(D2632,'لیست پرسنل'!$B$2:$E$1020,3,FALSE)</f>
        <v>گهر کوشان سپهر</v>
      </c>
      <c r="F2632" s="19" t="str">
        <f>VLOOKUP(D2632,'لیست پرسنل'!$B$2:$E$1020,4,FALSE)</f>
        <v>نظارت مکانیک</v>
      </c>
      <c r="G2632" s="127">
        <f>VLOOKUP(D2632,'لیست پرسنل'!$B$2:$F$1020,2,FALSE)</f>
        <v>20992</v>
      </c>
      <c r="H2632" s="128" t="s">
        <v>8002</v>
      </c>
      <c r="I2632" s="128" t="s">
        <v>7654</v>
      </c>
      <c r="J2632" s="126" t="s">
        <v>5618</v>
      </c>
      <c r="K2632" s="128" t="s">
        <v>7656</v>
      </c>
      <c r="L2632" s="127" t="s">
        <v>7655</v>
      </c>
      <c r="M2632" s="127" t="s">
        <v>4371</v>
      </c>
      <c r="N2632" s="108" t="s">
        <v>3509</v>
      </c>
      <c r="O2632" s="19"/>
      <c r="P2632" s="32"/>
      <c r="Q2632" s="32"/>
    </row>
    <row r="2633" spans="1:17" ht="24.9" customHeight="1">
      <c r="A2633" s="20">
        <v>438</v>
      </c>
      <c r="B2633" s="20" t="s">
        <v>7051</v>
      </c>
      <c r="C2633" s="20"/>
      <c r="D2633" s="20" t="s">
        <v>8456</v>
      </c>
      <c r="E2633" s="19" t="str">
        <f>VLOOKUP(D2633,'لیست پرسنل'!$B$2:$E$1020,3,FALSE)</f>
        <v>فکورصنعت</v>
      </c>
      <c r="F2633" s="19" t="str">
        <f>VLOOKUP(D2633,'لیست پرسنل'!$B$2:$E$1020,4,FALSE)</f>
        <v>سرپرست پشتیبانی سایت,مسئول انتظامات</v>
      </c>
      <c r="G2633" s="127" t="str">
        <f>VLOOKUP(D2633,'لیست پرسنل'!$B$2:$F$1020,2,FALSE)</f>
        <v>4001207</v>
      </c>
      <c r="H2633" s="127" t="s">
        <v>7710</v>
      </c>
      <c r="I2633" s="128"/>
      <c r="J2633" s="126" t="s">
        <v>368</v>
      </c>
      <c r="K2633" s="128" t="s">
        <v>2846</v>
      </c>
      <c r="L2633" s="128" t="s">
        <v>1098</v>
      </c>
      <c r="M2633" s="128">
        <v>623224</v>
      </c>
      <c r="N2633" s="119"/>
      <c r="O2633" s="20"/>
      <c r="P2633" s="20"/>
      <c r="Q2633" s="20"/>
    </row>
    <row r="2634" spans="1:17" ht="24.9" customHeight="1">
      <c r="A2634" s="20">
        <v>438</v>
      </c>
      <c r="B2634" s="20" t="s">
        <v>7051</v>
      </c>
      <c r="C2634" s="20"/>
      <c r="D2634" s="20" t="s">
        <v>8456</v>
      </c>
      <c r="E2634" s="19" t="str">
        <f>VLOOKUP(D2634,'لیست پرسنل'!$B$2:$E$1020,3,FALSE)</f>
        <v>فکورصنعت</v>
      </c>
      <c r="F2634" s="19" t="str">
        <f>VLOOKUP(D2634,'لیست پرسنل'!$B$2:$E$1020,4,FALSE)</f>
        <v>سرپرست پشتیبانی سایت,مسئول انتظامات</v>
      </c>
      <c r="G2634" s="127" t="str">
        <f>VLOOKUP(D2634,'لیست پرسنل'!$B$2:$F$1020,2,FALSE)</f>
        <v>4001207</v>
      </c>
      <c r="H2634" s="126" t="s">
        <v>7147</v>
      </c>
      <c r="I2634" s="128"/>
      <c r="J2634" s="128" t="s">
        <v>3938</v>
      </c>
      <c r="K2634" s="127" t="s">
        <v>1458</v>
      </c>
      <c r="L2634" s="150" t="s">
        <v>4428</v>
      </c>
      <c r="M2634" s="132">
        <v>624919</v>
      </c>
      <c r="N2634" s="108"/>
      <c r="O2634" s="19"/>
      <c r="P2634" s="20"/>
      <c r="Q2634" s="20"/>
    </row>
    <row r="2635" spans="1:17" ht="24.9" customHeight="1">
      <c r="A2635" s="20">
        <v>438</v>
      </c>
      <c r="B2635" s="20" t="s">
        <v>7051</v>
      </c>
      <c r="C2635" s="20"/>
      <c r="D2635" s="20" t="s">
        <v>8456</v>
      </c>
      <c r="E2635" s="19" t="str">
        <f>VLOOKUP(D2635,'لیست پرسنل'!$B$2:$E$1020,3,FALSE)</f>
        <v>فکورصنعت</v>
      </c>
      <c r="F2635" s="19" t="str">
        <f>VLOOKUP(D2635,'لیست پرسنل'!$B$2:$E$1020,4,FALSE)</f>
        <v>سرپرست پشتیبانی سایت,مسئول انتظامات</v>
      </c>
      <c r="G2635" s="127" t="str">
        <f>VLOOKUP(D2635,'لیست پرسنل'!$B$2:$F$1020,2,FALSE)</f>
        <v>4001207</v>
      </c>
      <c r="H2635" s="127" t="s">
        <v>3937</v>
      </c>
      <c r="I2635" s="127"/>
      <c r="J2635" s="128" t="s">
        <v>737</v>
      </c>
      <c r="K2635" s="134" t="s">
        <v>246</v>
      </c>
      <c r="L2635" s="134" t="s">
        <v>247</v>
      </c>
      <c r="M2635" s="134">
        <v>604606</v>
      </c>
      <c r="N2635" s="108"/>
      <c r="O2635" s="46"/>
      <c r="P2635" s="20"/>
      <c r="Q2635" s="20"/>
    </row>
    <row r="2636" spans="1:17" ht="24.9" customHeight="1">
      <c r="A2636" s="20">
        <v>438</v>
      </c>
      <c r="B2636" s="20" t="s">
        <v>7051</v>
      </c>
      <c r="C2636" s="20"/>
      <c r="D2636" s="20" t="s">
        <v>8456</v>
      </c>
      <c r="E2636" s="19" t="str">
        <f>VLOOKUP(D2636,'لیست پرسنل'!$B$2:$E$1020,3,FALSE)</f>
        <v>فکورصنعت</v>
      </c>
      <c r="F2636" s="19" t="str">
        <f>VLOOKUP(D2636,'لیست پرسنل'!$B$2:$E$1020,4,FALSE)</f>
        <v>سرپرست پشتیبانی سایت,مسئول انتظامات</v>
      </c>
      <c r="G2636" s="127" t="str">
        <f>VLOOKUP(D2636,'لیست پرسنل'!$B$2:$F$1020,2,FALSE)</f>
        <v>4001207</v>
      </c>
      <c r="H2636" s="127" t="s">
        <v>3937</v>
      </c>
      <c r="I2636" s="128"/>
      <c r="J2636" s="128" t="s">
        <v>3938</v>
      </c>
      <c r="K2636" s="128" t="s">
        <v>655</v>
      </c>
      <c r="L2636" s="128" t="s">
        <v>836</v>
      </c>
      <c r="M2636" s="128">
        <v>621367</v>
      </c>
      <c r="N2636" s="108"/>
      <c r="O2636" s="20" t="s">
        <v>3939</v>
      </c>
      <c r="P2636" s="20"/>
      <c r="Q2636" s="20"/>
    </row>
    <row r="2637" spans="1:17" ht="24.9" customHeight="1">
      <c r="A2637" s="20">
        <v>438</v>
      </c>
      <c r="B2637" s="20" t="s">
        <v>7051</v>
      </c>
      <c r="C2637" s="20"/>
      <c r="D2637" s="20" t="s">
        <v>3913</v>
      </c>
      <c r="E2637" s="19" t="str">
        <f>VLOOKUP(D2637,'لیست پرسنل'!$B$2:$E$1020,3,FALSE)</f>
        <v>گهر کوشان سپهر</v>
      </c>
      <c r="F2637" s="19" t="str">
        <f>VLOOKUP(D2637,'لیست پرسنل'!$B$2:$E$1020,4,FALSE)</f>
        <v>نگهبانی</v>
      </c>
      <c r="G2637" s="127">
        <f>VLOOKUP(D2637,'لیست پرسنل'!$B$2:$F$1020,2,FALSE)</f>
        <v>20446</v>
      </c>
      <c r="H2637" s="127" t="s">
        <v>3925</v>
      </c>
      <c r="I2637" s="128"/>
      <c r="J2637" s="127" t="s">
        <v>5927</v>
      </c>
      <c r="K2637" s="127" t="s">
        <v>6793</v>
      </c>
      <c r="L2637" s="170" t="s">
        <v>4957</v>
      </c>
      <c r="M2637" s="128" t="s">
        <v>291</v>
      </c>
      <c r="N2637" s="108" t="s">
        <v>3273</v>
      </c>
      <c r="O2637" s="36"/>
      <c r="P2637" s="20"/>
      <c r="Q2637" s="20"/>
    </row>
    <row r="2638" spans="1:17" ht="24.9" customHeight="1">
      <c r="A2638" s="20">
        <v>438</v>
      </c>
      <c r="B2638" s="20" t="s">
        <v>7051</v>
      </c>
      <c r="C2638" s="20"/>
      <c r="D2638" s="20" t="s">
        <v>3913</v>
      </c>
      <c r="E2638" s="19" t="str">
        <f>VLOOKUP(D2638,'لیست پرسنل'!$B$2:$E$1020,3,FALSE)</f>
        <v>گهر کوشان سپهر</v>
      </c>
      <c r="F2638" s="19" t="str">
        <f>VLOOKUP(D2638,'لیست پرسنل'!$B$2:$E$1020,4,FALSE)</f>
        <v>نگهبانی</v>
      </c>
      <c r="G2638" s="127">
        <f>VLOOKUP(D2638,'لیست پرسنل'!$B$2:$F$1020,2,FALSE)</f>
        <v>20446</v>
      </c>
      <c r="H2638" s="127" t="s">
        <v>3925</v>
      </c>
      <c r="I2638" s="128"/>
      <c r="J2638" s="127" t="s">
        <v>5927</v>
      </c>
      <c r="K2638" s="127" t="s">
        <v>6793</v>
      </c>
      <c r="L2638" s="170" t="s">
        <v>6792</v>
      </c>
      <c r="M2638" s="128" t="s">
        <v>291</v>
      </c>
      <c r="N2638" s="108" t="s">
        <v>3273</v>
      </c>
      <c r="O2638" s="36"/>
      <c r="P2638" s="20"/>
      <c r="Q2638" s="20"/>
    </row>
    <row r="2639" spans="1:17" ht="24.9" customHeight="1">
      <c r="A2639" s="20">
        <v>438</v>
      </c>
      <c r="B2639" s="20" t="s">
        <v>7051</v>
      </c>
      <c r="C2639" s="20"/>
      <c r="D2639" s="20" t="s">
        <v>3913</v>
      </c>
      <c r="E2639" s="19" t="str">
        <f>VLOOKUP(D2639,'لیست پرسنل'!$B$2:$E$1020,3,FALSE)</f>
        <v>گهر کوشان سپهر</v>
      </c>
      <c r="F2639" s="19" t="str">
        <f>VLOOKUP(D2639,'لیست پرسنل'!$B$2:$E$1020,4,FALSE)</f>
        <v>نگهبانی</v>
      </c>
      <c r="G2639" s="127">
        <f>VLOOKUP(D2639,'لیست پرسنل'!$B$2:$F$1020,2,FALSE)</f>
        <v>20446</v>
      </c>
      <c r="H2639" s="127" t="s">
        <v>3925</v>
      </c>
      <c r="I2639" s="128"/>
      <c r="J2639" s="127" t="s">
        <v>5927</v>
      </c>
      <c r="K2639" s="127" t="s">
        <v>4744</v>
      </c>
      <c r="L2639" s="128" t="s">
        <v>6789</v>
      </c>
      <c r="M2639" s="128" t="s">
        <v>291</v>
      </c>
      <c r="N2639" s="108" t="s">
        <v>3273</v>
      </c>
      <c r="O2639" s="36"/>
      <c r="P2639" s="20"/>
      <c r="Q2639" s="20"/>
    </row>
    <row r="2640" spans="1:17" ht="24.9" customHeight="1">
      <c r="A2640" s="20">
        <v>438</v>
      </c>
      <c r="B2640" s="20" t="s">
        <v>7051</v>
      </c>
      <c r="C2640" s="20"/>
      <c r="D2640" s="20" t="s">
        <v>3913</v>
      </c>
      <c r="E2640" s="19" t="str">
        <f>VLOOKUP(D2640,'لیست پرسنل'!$B$2:$E$1020,3,FALSE)</f>
        <v>گهر کوشان سپهر</v>
      </c>
      <c r="F2640" s="19" t="str">
        <f>VLOOKUP(D2640,'لیست پرسنل'!$B$2:$E$1020,4,FALSE)</f>
        <v>نگهبانی</v>
      </c>
      <c r="G2640" s="127">
        <f>VLOOKUP(D2640,'لیست پرسنل'!$B$2:$F$1020,2,FALSE)</f>
        <v>20446</v>
      </c>
      <c r="H2640" s="127" t="s">
        <v>3925</v>
      </c>
      <c r="I2640" s="128"/>
      <c r="J2640" s="127" t="s">
        <v>5927</v>
      </c>
      <c r="K2640" s="127" t="s">
        <v>4744</v>
      </c>
      <c r="L2640" s="128" t="s">
        <v>6790</v>
      </c>
      <c r="M2640" s="128" t="s">
        <v>291</v>
      </c>
      <c r="N2640" s="108" t="s">
        <v>3273</v>
      </c>
      <c r="O2640" s="36"/>
      <c r="P2640" s="20"/>
      <c r="Q2640" s="20"/>
    </row>
    <row r="2641" spans="1:17" ht="24.9" customHeight="1">
      <c r="A2641" s="20">
        <v>438</v>
      </c>
      <c r="B2641" s="20" t="s">
        <v>7051</v>
      </c>
      <c r="C2641" s="20"/>
      <c r="D2641" s="20" t="s">
        <v>3913</v>
      </c>
      <c r="E2641" s="19" t="str">
        <f>VLOOKUP(D2641,'لیست پرسنل'!$B$2:$E$1020,3,FALSE)</f>
        <v>گهر کوشان سپهر</v>
      </c>
      <c r="F2641" s="19" t="str">
        <f>VLOOKUP(D2641,'لیست پرسنل'!$B$2:$E$1020,4,FALSE)</f>
        <v>نگهبانی</v>
      </c>
      <c r="G2641" s="127">
        <f>VLOOKUP(D2641,'لیست پرسنل'!$B$2:$F$1020,2,FALSE)</f>
        <v>20446</v>
      </c>
      <c r="H2641" s="127" t="s">
        <v>3925</v>
      </c>
      <c r="I2641" s="128"/>
      <c r="J2641" s="127" t="s">
        <v>5927</v>
      </c>
      <c r="K2641" s="127" t="s">
        <v>4744</v>
      </c>
      <c r="L2641" s="128" t="s">
        <v>6791</v>
      </c>
      <c r="M2641" s="128" t="s">
        <v>291</v>
      </c>
      <c r="N2641" s="108" t="s">
        <v>3273</v>
      </c>
      <c r="O2641" s="36"/>
      <c r="P2641" s="20"/>
      <c r="Q2641" s="20"/>
    </row>
    <row r="2642" spans="1:17" ht="24.9" customHeight="1">
      <c r="A2642" s="20">
        <v>438</v>
      </c>
      <c r="B2642" s="20" t="s">
        <v>7051</v>
      </c>
      <c r="C2642" s="20"/>
      <c r="D2642" s="20" t="s">
        <v>48</v>
      </c>
      <c r="E2642" s="19" t="str">
        <f>VLOOKUP(D2642,'لیست پرسنل'!$B$2:$E$1020,3,FALSE)</f>
        <v>فکورصنعت</v>
      </c>
      <c r="F2642" s="19" t="str">
        <f>VLOOKUP(D2642,'لیست پرسنل'!$B$2:$E$1020,4,FALSE)</f>
        <v>سرپرست آی تی</v>
      </c>
      <c r="G2642" s="127">
        <f>VLOOKUP(D2642,'لیست پرسنل'!$B$2:$F$1020,2,FALSE)</f>
        <v>2210</v>
      </c>
      <c r="H2642" s="128" t="s">
        <v>3925</v>
      </c>
      <c r="I2642" s="128"/>
      <c r="J2642" s="128" t="s">
        <v>3532</v>
      </c>
      <c r="K2642" s="128" t="s">
        <v>4735</v>
      </c>
      <c r="L2642" s="128" t="s">
        <v>4736</v>
      </c>
      <c r="M2642" s="127">
        <v>629412</v>
      </c>
      <c r="N2642" s="111"/>
      <c r="O2642" s="20"/>
      <c r="P2642" s="20"/>
      <c r="Q2642" s="20"/>
    </row>
    <row r="2643" spans="1:17" ht="24.9" customHeight="1">
      <c r="A2643" s="20">
        <v>438</v>
      </c>
      <c r="B2643" s="20" t="s">
        <v>7051</v>
      </c>
      <c r="C2643" s="20"/>
      <c r="D2643" s="20" t="s">
        <v>48</v>
      </c>
      <c r="E2643" s="19" t="str">
        <f>VLOOKUP(D2643,'لیست پرسنل'!$B$2:$E$1020,3,FALSE)</f>
        <v>فکورصنعت</v>
      </c>
      <c r="F2643" s="19" t="str">
        <f>VLOOKUP(D2643,'لیست پرسنل'!$B$2:$E$1020,4,FALSE)</f>
        <v>سرپرست آی تی</v>
      </c>
      <c r="G2643" s="127">
        <f>VLOOKUP(D2643,'لیست پرسنل'!$B$2:$F$1020,2,FALSE)</f>
        <v>2210</v>
      </c>
      <c r="H2643" s="127" t="s">
        <v>3925</v>
      </c>
      <c r="I2643" s="128"/>
      <c r="J2643" s="126" t="s">
        <v>368</v>
      </c>
      <c r="K2643" s="127" t="s">
        <v>2846</v>
      </c>
      <c r="L2643" s="151" t="s">
        <v>1391</v>
      </c>
      <c r="M2643" s="128">
        <v>624658</v>
      </c>
      <c r="N2643" s="108"/>
      <c r="O2643" s="32" t="s">
        <v>1586</v>
      </c>
      <c r="P2643" s="20"/>
      <c r="Q2643" s="20"/>
    </row>
    <row r="2644" spans="1:17" ht="24.9" customHeight="1">
      <c r="A2644" s="20">
        <v>438</v>
      </c>
      <c r="B2644" s="20" t="s">
        <v>7051</v>
      </c>
      <c r="C2644" s="82"/>
      <c r="D2644" s="20" t="s">
        <v>48</v>
      </c>
      <c r="E2644" s="19" t="str">
        <f>VLOOKUP(D2644,'لیست پرسنل'!$B$2:$E$1020,3,FALSE)</f>
        <v>فکورصنعت</v>
      </c>
      <c r="F2644" s="19" t="str">
        <f>VLOOKUP(D2644,'لیست پرسنل'!$B$2:$E$1020,4,FALSE)</f>
        <v>سرپرست آی تی</v>
      </c>
      <c r="G2644" s="127">
        <f>VLOOKUP(D2644,'لیست پرسنل'!$B$2:$F$1020,2,FALSE)</f>
        <v>2210</v>
      </c>
      <c r="H2644" s="127" t="s">
        <v>3925</v>
      </c>
      <c r="I2644" s="180"/>
      <c r="J2644" s="128" t="s">
        <v>3481</v>
      </c>
      <c r="K2644" s="127" t="s">
        <v>4396</v>
      </c>
      <c r="L2644" s="127" t="s">
        <v>5588</v>
      </c>
      <c r="M2644" s="127">
        <v>620214</v>
      </c>
      <c r="N2644" s="109"/>
      <c r="O2644" s="19" t="s">
        <v>4400</v>
      </c>
      <c r="P2644" s="19"/>
      <c r="Q2644" s="28"/>
    </row>
    <row r="2645" spans="1:17" ht="24.9" customHeight="1">
      <c r="A2645" s="20">
        <v>438</v>
      </c>
      <c r="B2645" s="20" t="s">
        <v>7051</v>
      </c>
      <c r="C2645" s="19"/>
      <c r="D2645" s="19" t="s">
        <v>5853</v>
      </c>
      <c r="E2645" s="19" t="str">
        <f>VLOOKUP(D2645,'لیست پرسنل'!$B$2:$E$1020,3,FALSE)</f>
        <v>آفتاب کویر</v>
      </c>
      <c r="F2645" s="19" t="str">
        <f>VLOOKUP(D2645,'لیست پرسنل'!$B$2:$E$1020,4,FALSE)</f>
        <v>پیمانکار</v>
      </c>
      <c r="G2645" s="127" t="str">
        <f>VLOOKUP(D2645,'لیست پرسنل'!$B$2:$F$1020,2,FALSE)</f>
        <v>0</v>
      </c>
      <c r="H2645" s="151" t="s">
        <v>5836</v>
      </c>
      <c r="I2645" s="127"/>
      <c r="J2645" s="127" t="s">
        <v>571</v>
      </c>
      <c r="K2645" s="135" t="s">
        <v>2054</v>
      </c>
      <c r="L2645" s="154"/>
      <c r="M2645" s="127">
        <v>605423</v>
      </c>
      <c r="N2645" s="109"/>
      <c r="O2645" s="19"/>
      <c r="P2645" s="20"/>
      <c r="Q2645" s="20"/>
    </row>
    <row r="2646" spans="1:17" ht="24.9" customHeight="1">
      <c r="A2646" s="20">
        <v>438</v>
      </c>
      <c r="B2646" s="20" t="s">
        <v>7051</v>
      </c>
      <c r="C2646" s="19"/>
      <c r="D2646" s="19" t="s">
        <v>5853</v>
      </c>
      <c r="E2646" s="19" t="str">
        <f>VLOOKUP(D2646,'لیست پرسنل'!$B$2:$E$1020,3,FALSE)</f>
        <v>آفتاب کویر</v>
      </c>
      <c r="F2646" s="19" t="str">
        <f>VLOOKUP(D2646,'لیست پرسنل'!$B$2:$E$1020,4,FALSE)</f>
        <v>پیمانکار</v>
      </c>
      <c r="G2646" s="127" t="str">
        <f>VLOOKUP(D2646,'لیست پرسنل'!$B$2:$F$1020,2,FALSE)</f>
        <v>0</v>
      </c>
      <c r="H2646" s="151" t="s">
        <v>5836</v>
      </c>
      <c r="I2646" s="127"/>
      <c r="J2646" s="127" t="s">
        <v>571</v>
      </c>
      <c r="K2646" s="127" t="s">
        <v>3697</v>
      </c>
      <c r="L2646" s="151"/>
      <c r="M2646" s="127">
        <v>608745</v>
      </c>
      <c r="N2646" s="109"/>
      <c r="O2646" s="20"/>
      <c r="P2646" s="20"/>
      <c r="Q2646" s="20"/>
    </row>
    <row r="2647" spans="1:17" ht="24.9" customHeight="1">
      <c r="A2647" s="20">
        <v>438</v>
      </c>
      <c r="B2647" s="20" t="s">
        <v>7051</v>
      </c>
      <c r="C2647" s="19"/>
      <c r="D2647" s="19" t="s">
        <v>5853</v>
      </c>
      <c r="E2647" s="19" t="str">
        <f>VLOOKUP(D2647,'لیست پرسنل'!$B$2:$E$1020,3,FALSE)</f>
        <v>آفتاب کویر</v>
      </c>
      <c r="F2647" s="19" t="str">
        <f>VLOOKUP(D2647,'لیست پرسنل'!$B$2:$E$1020,4,FALSE)</f>
        <v>پیمانکار</v>
      </c>
      <c r="G2647" s="127" t="str">
        <f>VLOOKUP(D2647,'لیست پرسنل'!$B$2:$F$1020,2,FALSE)</f>
        <v>0</v>
      </c>
      <c r="H2647" s="151" t="s">
        <v>5836</v>
      </c>
      <c r="I2647" s="127"/>
      <c r="J2647" s="128" t="s">
        <v>2686</v>
      </c>
      <c r="K2647" s="127" t="s">
        <v>746</v>
      </c>
      <c r="L2647" s="151" t="s">
        <v>3933</v>
      </c>
      <c r="M2647" s="127">
        <v>608004</v>
      </c>
      <c r="N2647" s="108"/>
      <c r="O2647" s="20"/>
      <c r="P2647" s="20"/>
      <c r="Q2647" s="20"/>
    </row>
    <row r="2648" spans="1:17" ht="24.9" customHeight="1">
      <c r="A2648" s="20">
        <v>438</v>
      </c>
      <c r="B2648" s="20" t="s">
        <v>7051</v>
      </c>
      <c r="C2648" s="19"/>
      <c r="D2648" s="19" t="s">
        <v>5853</v>
      </c>
      <c r="E2648" s="19" t="str">
        <f>VLOOKUP(D2648,'لیست پرسنل'!$B$2:$E$1020,3,FALSE)</f>
        <v>آفتاب کویر</v>
      </c>
      <c r="F2648" s="19" t="str">
        <f>VLOOKUP(D2648,'لیست پرسنل'!$B$2:$E$1020,4,FALSE)</f>
        <v>پیمانکار</v>
      </c>
      <c r="G2648" s="127" t="str">
        <f>VLOOKUP(D2648,'لیست پرسنل'!$B$2:$F$1020,2,FALSE)</f>
        <v>0</v>
      </c>
      <c r="H2648" s="151" t="s">
        <v>5836</v>
      </c>
      <c r="I2648" s="127"/>
      <c r="J2648" s="128" t="s">
        <v>2686</v>
      </c>
      <c r="K2648" s="135" t="s">
        <v>332</v>
      </c>
      <c r="L2648" s="151" t="s">
        <v>1238</v>
      </c>
      <c r="M2648" s="128">
        <v>613928</v>
      </c>
      <c r="N2648" s="108"/>
      <c r="O2648" s="20"/>
      <c r="P2648" s="20"/>
      <c r="Q2648" s="20"/>
    </row>
    <row r="2649" spans="1:17" ht="24.9" customHeight="1">
      <c r="A2649" s="20">
        <v>438</v>
      </c>
      <c r="B2649" s="20" t="s">
        <v>7051</v>
      </c>
      <c r="C2649" s="20"/>
      <c r="D2649" s="20" t="s">
        <v>7905</v>
      </c>
      <c r="E2649" s="19" t="str">
        <f>VLOOKUP(D2649,'لیست پرسنل'!$B$2:$E$1020,3,FALSE)</f>
        <v>گهر کوشان سپهر</v>
      </c>
      <c r="F2649" s="19" t="str">
        <f>VLOOKUP(D2649,'لیست پرسنل'!$B$2:$E$1020,4,FALSE)</f>
        <v>پشتیبانی</v>
      </c>
      <c r="G2649" s="127">
        <f>VLOOKUP(D2649,'لیست پرسنل'!$B$2:$F$1020,2,FALSE)</f>
        <v>20928</v>
      </c>
      <c r="H2649" s="128" t="s">
        <v>3925</v>
      </c>
      <c r="I2649" s="128"/>
      <c r="J2649" s="126" t="s">
        <v>368</v>
      </c>
      <c r="K2649" s="128" t="s">
        <v>693</v>
      </c>
      <c r="L2649" s="127"/>
      <c r="M2649" s="127">
        <v>622816</v>
      </c>
      <c r="N2649" s="109"/>
      <c r="O2649" s="20"/>
      <c r="P2649" s="20"/>
      <c r="Q2649" s="20"/>
    </row>
    <row r="2650" spans="1:17" ht="24.9" customHeight="1">
      <c r="A2650" s="20">
        <v>438</v>
      </c>
      <c r="B2650" s="20" t="s">
        <v>7051</v>
      </c>
      <c r="C2650" s="20"/>
      <c r="D2650" s="20" t="s">
        <v>3509</v>
      </c>
      <c r="E2650" s="19" t="str">
        <f>VLOOKUP(D2650,'لیست پرسنل'!$B$2:$E$1020,3,FALSE)</f>
        <v>فکورصنعت</v>
      </c>
      <c r="F2650" s="19" t="str">
        <f>VLOOKUP(D2650,'لیست پرسنل'!$B$2:$E$1020,4,FALSE)</f>
        <v>مدیر سایت مرکز تحقیقات</v>
      </c>
      <c r="G2650" s="127">
        <f>VLOOKUP(D2650,'لیست پرسنل'!$B$2:$F$1020,2,FALSE)</f>
        <v>513</v>
      </c>
      <c r="H2650" s="127" t="s">
        <v>4073</v>
      </c>
      <c r="I2650" s="128"/>
      <c r="J2650" s="128" t="s">
        <v>737</v>
      </c>
      <c r="K2650" s="128" t="s">
        <v>1219</v>
      </c>
      <c r="L2650" s="151" t="s">
        <v>1220</v>
      </c>
      <c r="M2650" s="128">
        <v>624110</v>
      </c>
      <c r="N2650" s="108" t="s">
        <v>1838</v>
      </c>
      <c r="O2650" s="20" t="s">
        <v>4072</v>
      </c>
      <c r="P2650" s="20"/>
      <c r="Q2650" s="20"/>
    </row>
    <row r="2651" spans="1:17" ht="24.9" customHeight="1">
      <c r="A2651" s="20">
        <v>438</v>
      </c>
      <c r="B2651" s="20" t="s">
        <v>7051</v>
      </c>
      <c r="C2651" s="20"/>
      <c r="D2651" s="20" t="s">
        <v>3509</v>
      </c>
      <c r="E2651" s="19" t="str">
        <f>VLOOKUP(D2651,'لیست پرسنل'!$B$2:$E$1020,3,FALSE)</f>
        <v>فکورصنعت</v>
      </c>
      <c r="F2651" s="19" t="str">
        <f>VLOOKUP(D2651,'لیست پرسنل'!$B$2:$E$1020,4,FALSE)</f>
        <v>مدیر سایت مرکز تحقیقات</v>
      </c>
      <c r="G2651" s="127">
        <f>VLOOKUP(D2651,'لیست پرسنل'!$B$2:$F$1020,2,FALSE)</f>
        <v>513</v>
      </c>
      <c r="H2651" s="126" t="s">
        <v>3934</v>
      </c>
      <c r="I2651" s="128"/>
      <c r="J2651" s="128" t="s">
        <v>3532</v>
      </c>
      <c r="K2651" s="128" t="s">
        <v>2087</v>
      </c>
      <c r="L2651" s="128" t="s">
        <v>2127</v>
      </c>
      <c r="M2651" s="128">
        <v>628321</v>
      </c>
      <c r="N2651" s="108"/>
      <c r="O2651" s="20" t="s">
        <v>6496</v>
      </c>
      <c r="P2651" s="20"/>
      <c r="Q2651" s="20"/>
    </row>
    <row r="2652" spans="1:17" ht="24.9" customHeight="1">
      <c r="A2652" s="20">
        <v>438</v>
      </c>
      <c r="B2652" s="20" t="s">
        <v>7051</v>
      </c>
      <c r="C2652" s="20"/>
      <c r="D2652" s="20" t="s">
        <v>3509</v>
      </c>
      <c r="E2652" s="19" t="str">
        <f>VLOOKUP(D2652,'لیست پرسنل'!$B$2:$E$1020,3,FALSE)</f>
        <v>فکورصنعت</v>
      </c>
      <c r="F2652" s="19" t="str">
        <f>VLOOKUP(D2652,'لیست پرسنل'!$B$2:$E$1020,4,FALSE)</f>
        <v>مدیر سایت مرکز تحقیقات</v>
      </c>
      <c r="G2652" s="127">
        <f>VLOOKUP(D2652,'لیست پرسنل'!$B$2:$F$1020,2,FALSE)</f>
        <v>513</v>
      </c>
      <c r="H2652" s="127" t="s">
        <v>3925</v>
      </c>
      <c r="I2652" s="128"/>
      <c r="J2652" s="128" t="s">
        <v>3322</v>
      </c>
      <c r="K2652" s="127" t="s">
        <v>4741</v>
      </c>
      <c r="L2652" s="127"/>
      <c r="M2652" s="127">
        <v>630500</v>
      </c>
      <c r="N2652" s="111"/>
      <c r="O2652" s="20" t="s">
        <v>4746</v>
      </c>
      <c r="P2652" s="20"/>
      <c r="Q2652" s="20"/>
    </row>
    <row r="2653" spans="1:17" ht="24.9" customHeight="1">
      <c r="A2653" s="20">
        <v>438</v>
      </c>
      <c r="B2653" s="20" t="s">
        <v>7051</v>
      </c>
      <c r="C2653" s="20"/>
      <c r="D2653" s="20" t="s">
        <v>3509</v>
      </c>
      <c r="E2653" s="19" t="str">
        <f>VLOOKUP(D2653,'لیست پرسنل'!$B$2:$E$1020,3,FALSE)</f>
        <v>فکورصنعت</v>
      </c>
      <c r="F2653" s="19" t="str">
        <f>VLOOKUP(D2653,'لیست پرسنل'!$B$2:$E$1020,4,FALSE)</f>
        <v>مدیر سایت مرکز تحقیقات</v>
      </c>
      <c r="G2653" s="127">
        <f>VLOOKUP(D2653,'لیست پرسنل'!$B$2:$F$1020,2,FALSE)</f>
        <v>513</v>
      </c>
      <c r="H2653" s="127" t="s">
        <v>3925</v>
      </c>
      <c r="I2653" s="128"/>
      <c r="J2653" s="128" t="s">
        <v>3143</v>
      </c>
      <c r="K2653" s="128" t="s">
        <v>2077</v>
      </c>
      <c r="L2653" s="128" t="s">
        <v>1482</v>
      </c>
      <c r="M2653" s="128">
        <v>626135</v>
      </c>
      <c r="N2653" s="108"/>
      <c r="O2653" s="36" t="s">
        <v>1667</v>
      </c>
      <c r="P2653" s="20"/>
      <c r="Q2653" s="20"/>
    </row>
    <row r="2654" spans="1:17" ht="24.9" customHeight="1">
      <c r="A2654" s="20">
        <v>438</v>
      </c>
      <c r="B2654" s="20" t="s">
        <v>7051</v>
      </c>
      <c r="C2654" s="20"/>
      <c r="D2654" s="20" t="s">
        <v>3509</v>
      </c>
      <c r="E2654" s="19" t="str">
        <f>VLOOKUP(D2654,'لیست پرسنل'!$B$2:$E$1020,3,FALSE)</f>
        <v>فکورصنعت</v>
      </c>
      <c r="F2654" s="19" t="str">
        <f>VLOOKUP(D2654,'لیست پرسنل'!$B$2:$E$1020,4,FALSE)</f>
        <v>مدیر سایت مرکز تحقیقات</v>
      </c>
      <c r="G2654" s="127">
        <f>VLOOKUP(D2654,'لیست پرسنل'!$B$2:$F$1020,2,FALSE)</f>
        <v>513</v>
      </c>
      <c r="H2654" s="127" t="s">
        <v>3925</v>
      </c>
      <c r="I2654" s="128"/>
      <c r="J2654" s="128" t="s">
        <v>3143</v>
      </c>
      <c r="K2654" s="128" t="s">
        <v>2077</v>
      </c>
      <c r="L2654" s="128" t="s">
        <v>1481</v>
      </c>
      <c r="M2654" s="128">
        <v>626136</v>
      </c>
      <c r="N2654" s="108"/>
      <c r="O2654" s="36" t="s">
        <v>1667</v>
      </c>
      <c r="P2654" s="20"/>
      <c r="Q2654" s="20"/>
    </row>
    <row r="2655" spans="1:17" ht="24.9" customHeight="1">
      <c r="A2655" s="20">
        <v>438</v>
      </c>
      <c r="B2655" s="20" t="s">
        <v>7051</v>
      </c>
      <c r="C2655" s="20"/>
      <c r="D2655" s="20" t="s">
        <v>3509</v>
      </c>
      <c r="E2655" s="19" t="str">
        <f>VLOOKUP(D2655,'لیست پرسنل'!$B$2:$E$1020,3,FALSE)</f>
        <v>فکورصنعت</v>
      </c>
      <c r="F2655" s="19" t="str">
        <f>VLOOKUP(D2655,'لیست پرسنل'!$B$2:$E$1020,4,FALSE)</f>
        <v>مدیر سایت مرکز تحقیقات</v>
      </c>
      <c r="G2655" s="127">
        <f>VLOOKUP(D2655,'لیست پرسنل'!$B$2:$F$1020,2,FALSE)</f>
        <v>513</v>
      </c>
      <c r="H2655" s="127" t="s">
        <v>3925</v>
      </c>
      <c r="I2655" s="128"/>
      <c r="J2655" s="127" t="s">
        <v>5927</v>
      </c>
      <c r="K2655" s="128" t="s">
        <v>1668</v>
      </c>
      <c r="L2655" s="128" t="s">
        <v>1666</v>
      </c>
      <c r="M2655" s="128">
        <v>620209</v>
      </c>
      <c r="N2655" s="108"/>
      <c r="O2655" s="36" t="s">
        <v>1667</v>
      </c>
      <c r="P2655" s="20"/>
      <c r="Q2655" s="20"/>
    </row>
    <row r="2656" spans="1:17" ht="24.9" customHeight="1">
      <c r="A2656" s="20">
        <v>438</v>
      </c>
      <c r="B2656" s="20" t="s">
        <v>7051</v>
      </c>
      <c r="C2656" s="20"/>
      <c r="D2656" s="20" t="s">
        <v>3509</v>
      </c>
      <c r="E2656" s="19" t="str">
        <f>VLOOKUP(D2656,'لیست پرسنل'!$B$2:$E$1020,3,FALSE)</f>
        <v>فکورصنعت</v>
      </c>
      <c r="F2656" s="19" t="str">
        <f>VLOOKUP(D2656,'لیست پرسنل'!$B$2:$E$1020,4,FALSE)</f>
        <v>مدیر سایت مرکز تحقیقات</v>
      </c>
      <c r="G2656" s="127">
        <f>VLOOKUP(D2656,'لیست پرسنل'!$B$2:$F$1020,2,FALSE)</f>
        <v>513</v>
      </c>
      <c r="H2656" s="127" t="s">
        <v>3925</v>
      </c>
      <c r="I2656" s="128"/>
      <c r="J2656" s="127" t="s">
        <v>5927</v>
      </c>
      <c r="K2656" s="140" t="s">
        <v>4002</v>
      </c>
      <c r="L2656" s="140" t="s">
        <v>4003</v>
      </c>
      <c r="M2656" s="140">
        <v>629484</v>
      </c>
      <c r="N2656" s="108" t="s">
        <v>4326</v>
      </c>
      <c r="O2656" s="36" t="s">
        <v>4414</v>
      </c>
      <c r="P2656" s="20"/>
      <c r="Q2656" s="20"/>
    </row>
    <row r="2657" spans="1:17" ht="24.9" customHeight="1">
      <c r="A2657" s="20">
        <v>438</v>
      </c>
      <c r="B2657" s="20" t="s">
        <v>7051</v>
      </c>
      <c r="C2657" s="20"/>
      <c r="D2657" s="20" t="s">
        <v>3509</v>
      </c>
      <c r="E2657" s="19" t="str">
        <f>VLOOKUP(D2657,'لیست پرسنل'!$B$2:$E$1020,3,FALSE)</f>
        <v>فکورصنعت</v>
      </c>
      <c r="F2657" s="19" t="str">
        <f>VLOOKUP(D2657,'لیست پرسنل'!$B$2:$E$1020,4,FALSE)</f>
        <v>مدیر سایت مرکز تحقیقات</v>
      </c>
      <c r="G2657" s="127">
        <f>VLOOKUP(D2657,'لیست پرسنل'!$B$2:$F$1020,2,FALSE)</f>
        <v>513</v>
      </c>
      <c r="H2657" s="127" t="s">
        <v>3925</v>
      </c>
      <c r="I2657" s="128"/>
      <c r="J2657" s="127" t="s">
        <v>5927</v>
      </c>
      <c r="K2657" s="127" t="s">
        <v>4744</v>
      </c>
      <c r="L2657" s="127"/>
      <c r="M2657" s="127">
        <v>630515</v>
      </c>
      <c r="N2657" s="111"/>
      <c r="O2657" s="20" t="s">
        <v>4746</v>
      </c>
      <c r="P2657" s="20"/>
      <c r="Q2657" s="20"/>
    </row>
    <row r="2658" spans="1:17" ht="24.9" customHeight="1">
      <c r="A2658" s="20">
        <v>438</v>
      </c>
      <c r="B2658" s="20" t="s">
        <v>7051</v>
      </c>
      <c r="C2658" s="20"/>
      <c r="D2658" s="20" t="s">
        <v>3509</v>
      </c>
      <c r="E2658" s="19" t="str">
        <f>VLOOKUP(D2658,'لیست پرسنل'!$B$2:$E$1020,3,FALSE)</f>
        <v>فکورصنعت</v>
      </c>
      <c r="F2658" s="19" t="str">
        <f>VLOOKUP(D2658,'لیست پرسنل'!$B$2:$E$1020,4,FALSE)</f>
        <v>مدیر سایت مرکز تحقیقات</v>
      </c>
      <c r="G2658" s="127">
        <f>VLOOKUP(D2658,'لیست پرسنل'!$B$2:$F$1020,2,FALSE)</f>
        <v>513</v>
      </c>
      <c r="H2658" s="127" t="s">
        <v>3925</v>
      </c>
      <c r="I2658" s="128"/>
      <c r="J2658" s="127" t="s">
        <v>5927</v>
      </c>
      <c r="K2658" s="127" t="s">
        <v>4744</v>
      </c>
      <c r="L2658" s="127"/>
      <c r="M2658" s="127">
        <v>630516</v>
      </c>
      <c r="N2658" s="111"/>
      <c r="O2658" s="20" t="s">
        <v>4746</v>
      </c>
      <c r="P2658" s="20"/>
      <c r="Q2658" s="20"/>
    </row>
    <row r="2659" spans="1:17" ht="24.9" customHeight="1">
      <c r="A2659" s="20">
        <v>438</v>
      </c>
      <c r="B2659" s="20" t="s">
        <v>7051</v>
      </c>
      <c r="C2659" s="20"/>
      <c r="D2659" s="20" t="s">
        <v>3509</v>
      </c>
      <c r="E2659" s="19" t="str">
        <f>VLOOKUP(D2659,'لیست پرسنل'!$B$2:$E$1020,3,FALSE)</f>
        <v>فکورصنعت</v>
      </c>
      <c r="F2659" s="19" t="str">
        <f>VLOOKUP(D2659,'لیست پرسنل'!$B$2:$E$1020,4,FALSE)</f>
        <v>مدیر سایت مرکز تحقیقات</v>
      </c>
      <c r="G2659" s="127">
        <f>VLOOKUP(D2659,'لیست پرسنل'!$B$2:$F$1020,2,FALSE)</f>
        <v>513</v>
      </c>
      <c r="H2659" s="127" t="s">
        <v>3925</v>
      </c>
      <c r="I2659" s="128"/>
      <c r="J2659" s="127" t="s">
        <v>5927</v>
      </c>
      <c r="K2659" s="127" t="s">
        <v>4744</v>
      </c>
      <c r="L2659" s="127"/>
      <c r="M2659" s="127">
        <v>630517</v>
      </c>
      <c r="N2659" s="111"/>
      <c r="O2659" s="20" t="s">
        <v>4746</v>
      </c>
      <c r="P2659" s="20"/>
      <c r="Q2659" s="20"/>
    </row>
    <row r="2660" spans="1:17" ht="24.9" customHeight="1">
      <c r="A2660" s="20">
        <v>438</v>
      </c>
      <c r="B2660" s="20" t="s">
        <v>7051</v>
      </c>
      <c r="C2660" s="20"/>
      <c r="D2660" s="20" t="s">
        <v>3509</v>
      </c>
      <c r="E2660" s="19" t="str">
        <f>VLOOKUP(D2660,'لیست پرسنل'!$B$2:$E$1020,3,FALSE)</f>
        <v>فکورصنعت</v>
      </c>
      <c r="F2660" s="19" t="str">
        <f>VLOOKUP(D2660,'لیست پرسنل'!$B$2:$E$1020,4,FALSE)</f>
        <v>مدیر سایت مرکز تحقیقات</v>
      </c>
      <c r="G2660" s="127">
        <f>VLOOKUP(D2660,'لیست پرسنل'!$B$2:$F$1020,2,FALSE)</f>
        <v>513</v>
      </c>
      <c r="H2660" s="127" t="s">
        <v>3925</v>
      </c>
      <c r="I2660" s="128"/>
      <c r="J2660" s="127" t="s">
        <v>5927</v>
      </c>
      <c r="K2660" s="127" t="s">
        <v>4744</v>
      </c>
      <c r="L2660" s="127"/>
      <c r="M2660" s="127">
        <v>630518</v>
      </c>
      <c r="N2660" s="111"/>
      <c r="O2660" s="20" t="s">
        <v>4746</v>
      </c>
      <c r="P2660" s="20"/>
      <c r="Q2660" s="20"/>
    </row>
    <row r="2661" spans="1:17" ht="24.9" customHeight="1">
      <c r="A2661" s="20">
        <v>438</v>
      </c>
      <c r="B2661" s="20" t="s">
        <v>7051</v>
      </c>
      <c r="C2661" s="20"/>
      <c r="D2661" s="20" t="s">
        <v>3509</v>
      </c>
      <c r="E2661" s="19" t="str">
        <f>VLOOKUP(D2661,'لیست پرسنل'!$B$2:$E$1020,3,FALSE)</f>
        <v>فکورصنعت</v>
      </c>
      <c r="F2661" s="19" t="str">
        <f>VLOOKUP(D2661,'لیست پرسنل'!$B$2:$E$1020,4,FALSE)</f>
        <v>مدیر سایت مرکز تحقیقات</v>
      </c>
      <c r="G2661" s="127">
        <f>VLOOKUP(D2661,'لیست پرسنل'!$B$2:$F$1020,2,FALSE)</f>
        <v>513</v>
      </c>
      <c r="H2661" s="127" t="s">
        <v>3925</v>
      </c>
      <c r="I2661" s="128"/>
      <c r="J2661" s="127" t="s">
        <v>5927</v>
      </c>
      <c r="K2661" s="127" t="s">
        <v>4744</v>
      </c>
      <c r="L2661" s="127"/>
      <c r="M2661" s="127">
        <v>630519</v>
      </c>
      <c r="N2661" s="111"/>
      <c r="O2661" s="20" t="s">
        <v>4746</v>
      </c>
      <c r="P2661" s="20"/>
      <c r="Q2661" s="20"/>
    </row>
    <row r="2662" spans="1:17" ht="24.9" customHeight="1">
      <c r="A2662" s="20">
        <v>438</v>
      </c>
      <c r="B2662" s="20" t="s">
        <v>7051</v>
      </c>
      <c r="C2662" s="20"/>
      <c r="D2662" s="20" t="s">
        <v>3509</v>
      </c>
      <c r="E2662" s="19" t="str">
        <f>VLOOKUP(D2662,'لیست پرسنل'!$B$2:$E$1020,3,FALSE)</f>
        <v>فکورصنعت</v>
      </c>
      <c r="F2662" s="19" t="str">
        <f>VLOOKUP(D2662,'لیست پرسنل'!$B$2:$E$1020,4,FALSE)</f>
        <v>مدیر سایت مرکز تحقیقات</v>
      </c>
      <c r="G2662" s="127">
        <f>VLOOKUP(D2662,'لیست پرسنل'!$B$2:$F$1020,2,FALSE)</f>
        <v>513</v>
      </c>
      <c r="H2662" s="127" t="s">
        <v>3925</v>
      </c>
      <c r="I2662" s="128"/>
      <c r="J2662" s="127" t="s">
        <v>5927</v>
      </c>
      <c r="K2662" s="127" t="s">
        <v>4744</v>
      </c>
      <c r="L2662" s="127"/>
      <c r="M2662" s="127">
        <v>630520</v>
      </c>
      <c r="N2662" s="111"/>
      <c r="O2662" s="20" t="s">
        <v>4746</v>
      </c>
      <c r="P2662" s="20"/>
      <c r="Q2662" s="20"/>
    </row>
    <row r="2663" spans="1:17" ht="24.9" customHeight="1">
      <c r="A2663" s="20">
        <v>438</v>
      </c>
      <c r="B2663" s="20" t="s">
        <v>7051</v>
      </c>
      <c r="C2663" s="20"/>
      <c r="D2663" s="20" t="s">
        <v>3509</v>
      </c>
      <c r="E2663" s="19" t="str">
        <f>VLOOKUP(D2663,'لیست پرسنل'!$B$2:$E$1020,3,FALSE)</f>
        <v>فکورصنعت</v>
      </c>
      <c r="F2663" s="19" t="str">
        <f>VLOOKUP(D2663,'لیست پرسنل'!$B$2:$E$1020,4,FALSE)</f>
        <v>مدیر سایت مرکز تحقیقات</v>
      </c>
      <c r="G2663" s="127">
        <f>VLOOKUP(D2663,'لیست پرسنل'!$B$2:$F$1020,2,FALSE)</f>
        <v>513</v>
      </c>
      <c r="H2663" s="127" t="s">
        <v>3925</v>
      </c>
      <c r="I2663" s="128"/>
      <c r="J2663" s="127" t="s">
        <v>5927</v>
      </c>
      <c r="K2663" s="127" t="s">
        <v>4744</v>
      </c>
      <c r="L2663" s="127"/>
      <c r="M2663" s="127">
        <v>630521</v>
      </c>
      <c r="N2663" s="111"/>
      <c r="O2663" s="20" t="s">
        <v>4746</v>
      </c>
      <c r="P2663" s="20"/>
      <c r="Q2663" s="20"/>
    </row>
    <row r="2664" spans="1:17" ht="24.9" customHeight="1">
      <c r="A2664" s="20">
        <v>438</v>
      </c>
      <c r="B2664" s="20" t="s">
        <v>7051</v>
      </c>
      <c r="C2664" s="20"/>
      <c r="D2664" s="20" t="s">
        <v>3509</v>
      </c>
      <c r="E2664" s="19" t="str">
        <f>VLOOKUP(D2664,'لیست پرسنل'!$B$2:$E$1020,3,FALSE)</f>
        <v>فکورصنعت</v>
      </c>
      <c r="F2664" s="19" t="str">
        <f>VLOOKUP(D2664,'لیست پرسنل'!$B$2:$E$1020,4,FALSE)</f>
        <v>مدیر سایت مرکز تحقیقات</v>
      </c>
      <c r="G2664" s="127">
        <f>VLOOKUP(D2664,'لیست پرسنل'!$B$2:$F$1020,2,FALSE)</f>
        <v>513</v>
      </c>
      <c r="H2664" s="127" t="s">
        <v>3925</v>
      </c>
      <c r="I2664" s="128"/>
      <c r="J2664" s="127" t="s">
        <v>5927</v>
      </c>
      <c r="K2664" s="127" t="s">
        <v>4744</v>
      </c>
      <c r="L2664" s="127"/>
      <c r="M2664" s="127">
        <v>630522</v>
      </c>
      <c r="N2664" s="111"/>
      <c r="O2664" s="20" t="s">
        <v>4746</v>
      </c>
      <c r="P2664" s="20"/>
      <c r="Q2664" s="20"/>
    </row>
    <row r="2665" spans="1:17" ht="24.9" customHeight="1">
      <c r="A2665" s="20">
        <v>438</v>
      </c>
      <c r="B2665" s="20" t="s">
        <v>7051</v>
      </c>
      <c r="C2665" s="20"/>
      <c r="D2665" s="20" t="s">
        <v>3509</v>
      </c>
      <c r="E2665" s="19" t="str">
        <f>VLOOKUP(D2665,'لیست پرسنل'!$B$2:$E$1020,3,FALSE)</f>
        <v>فکورصنعت</v>
      </c>
      <c r="F2665" s="19" t="str">
        <f>VLOOKUP(D2665,'لیست پرسنل'!$B$2:$E$1020,4,FALSE)</f>
        <v>مدیر سایت مرکز تحقیقات</v>
      </c>
      <c r="G2665" s="127">
        <f>VLOOKUP(D2665,'لیست پرسنل'!$B$2:$F$1020,2,FALSE)</f>
        <v>513</v>
      </c>
      <c r="H2665" s="127" t="s">
        <v>3925</v>
      </c>
      <c r="I2665" s="128"/>
      <c r="J2665" s="127" t="s">
        <v>5927</v>
      </c>
      <c r="K2665" s="127" t="s">
        <v>4744</v>
      </c>
      <c r="L2665" s="127"/>
      <c r="M2665" s="127">
        <v>630523</v>
      </c>
      <c r="N2665" s="111"/>
      <c r="O2665" s="20" t="s">
        <v>4746</v>
      </c>
      <c r="P2665" s="20"/>
      <c r="Q2665" s="20"/>
    </row>
    <row r="2666" spans="1:17" ht="24.9" customHeight="1">
      <c r="A2666" s="20">
        <v>438</v>
      </c>
      <c r="B2666" s="20" t="s">
        <v>7051</v>
      </c>
      <c r="C2666" s="20"/>
      <c r="D2666" s="20" t="s">
        <v>3509</v>
      </c>
      <c r="E2666" s="19" t="str">
        <f>VLOOKUP(D2666,'لیست پرسنل'!$B$2:$E$1020,3,FALSE)</f>
        <v>فکورصنعت</v>
      </c>
      <c r="F2666" s="19" t="str">
        <f>VLOOKUP(D2666,'لیست پرسنل'!$B$2:$E$1020,4,FALSE)</f>
        <v>مدیر سایت مرکز تحقیقات</v>
      </c>
      <c r="G2666" s="127">
        <f>VLOOKUP(D2666,'لیست پرسنل'!$B$2:$F$1020,2,FALSE)</f>
        <v>513</v>
      </c>
      <c r="H2666" s="127" t="s">
        <v>3925</v>
      </c>
      <c r="I2666" s="128"/>
      <c r="J2666" s="127" t="s">
        <v>5927</v>
      </c>
      <c r="K2666" s="211" t="s">
        <v>4744</v>
      </c>
      <c r="L2666" s="127"/>
      <c r="M2666" s="127">
        <v>630524</v>
      </c>
      <c r="N2666" s="111"/>
      <c r="O2666" s="20" t="s">
        <v>4746</v>
      </c>
      <c r="P2666" s="20"/>
      <c r="Q2666" s="20"/>
    </row>
    <row r="2667" spans="1:17" ht="24.9" customHeight="1">
      <c r="A2667" s="20">
        <v>438</v>
      </c>
      <c r="B2667" s="20" t="s">
        <v>7051</v>
      </c>
      <c r="C2667" s="20"/>
      <c r="D2667" s="20" t="s">
        <v>3509</v>
      </c>
      <c r="E2667" s="19" t="str">
        <f>VLOOKUP(D2667,'لیست پرسنل'!$B$2:$E$1020,3,FALSE)</f>
        <v>فکورصنعت</v>
      </c>
      <c r="F2667" s="19" t="str">
        <f>VLOOKUP(D2667,'لیست پرسنل'!$B$2:$E$1020,4,FALSE)</f>
        <v>مدیر سایت مرکز تحقیقات</v>
      </c>
      <c r="G2667" s="127">
        <f>VLOOKUP(D2667,'لیست پرسنل'!$B$2:$F$1020,2,FALSE)</f>
        <v>513</v>
      </c>
      <c r="H2667" s="127" t="s">
        <v>3925</v>
      </c>
      <c r="I2667" s="128"/>
      <c r="J2667" s="127" t="s">
        <v>5927</v>
      </c>
      <c r="K2667" s="127" t="s">
        <v>4744</v>
      </c>
      <c r="L2667" s="127"/>
      <c r="M2667" s="127">
        <v>630525</v>
      </c>
      <c r="N2667" s="111"/>
      <c r="O2667" s="20" t="s">
        <v>4746</v>
      </c>
      <c r="P2667" s="20"/>
      <c r="Q2667" s="20"/>
    </row>
    <row r="2668" spans="1:17" ht="24.9" customHeight="1">
      <c r="A2668" s="20">
        <v>438</v>
      </c>
      <c r="B2668" s="20" t="s">
        <v>7051</v>
      </c>
      <c r="C2668" s="20"/>
      <c r="D2668" s="20" t="s">
        <v>3509</v>
      </c>
      <c r="E2668" s="19" t="str">
        <f>VLOOKUP(D2668,'لیست پرسنل'!$B$2:$E$1020,3,FALSE)</f>
        <v>فکورصنعت</v>
      </c>
      <c r="F2668" s="19" t="str">
        <f>VLOOKUP(D2668,'لیست پرسنل'!$B$2:$E$1020,4,FALSE)</f>
        <v>مدیر سایت مرکز تحقیقات</v>
      </c>
      <c r="G2668" s="127">
        <f>VLOOKUP(D2668,'لیست پرسنل'!$B$2:$F$1020,2,FALSE)</f>
        <v>513</v>
      </c>
      <c r="H2668" s="127" t="s">
        <v>3925</v>
      </c>
      <c r="I2668" s="128"/>
      <c r="J2668" s="127" t="s">
        <v>5927</v>
      </c>
      <c r="K2668" s="127" t="s">
        <v>4744</v>
      </c>
      <c r="L2668" s="127"/>
      <c r="M2668" s="127">
        <v>630526</v>
      </c>
      <c r="N2668" s="111"/>
      <c r="O2668" s="20" t="s">
        <v>4746</v>
      </c>
      <c r="P2668" s="20"/>
      <c r="Q2668" s="20"/>
    </row>
    <row r="2669" spans="1:17" ht="24.9" customHeight="1">
      <c r="A2669" s="20">
        <v>438</v>
      </c>
      <c r="B2669" s="20" t="s">
        <v>7051</v>
      </c>
      <c r="C2669" s="20"/>
      <c r="D2669" s="20" t="s">
        <v>3509</v>
      </c>
      <c r="E2669" s="19" t="str">
        <f>VLOOKUP(D2669,'لیست پرسنل'!$B$2:$E$1020,3,FALSE)</f>
        <v>فکورصنعت</v>
      </c>
      <c r="F2669" s="19" t="str">
        <f>VLOOKUP(D2669,'لیست پرسنل'!$B$2:$E$1020,4,FALSE)</f>
        <v>مدیر سایت مرکز تحقیقات</v>
      </c>
      <c r="G2669" s="127">
        <f>VLOOKUP(D2669,'لیست پرسنل'!$B$2:$F$1020,2,FALSE)</f>
        <v>513</v>
      </c>
      <c r="H2669" s="127" t="s">
        <v>3925</v>
      </c>
      <c r="I2669" s="128"/>
      <c r="J2669" s="127" t="s">
        <v>5927</v>
      </c>
      <c r="K2669" s="127" t="s">
        <v>4744</v>
      </c>
      <c r="L2669" s="127"/>
      <c r="M2669" s="127">
        <v>630527</v>
      </c>
      <c r="N2669" s="111"/>
      <c r="O2669" s="20" t="s">
        <v>4746</v>
      </c>
      <c r="P2669" s="20"/>
      <c r="Q2669" s="20"/>
    </row>
    <row r="2670" spans="1:17" ht="24.9" customHeight="1">
      <c r="A2670" s="20">
        <v>438</v>
      </c>
      <c r="B2670" s="20" t="s">
        <v>7051</v>
      </c>
      <c r="C2670" s="20"/>
      <c r="D2670" s="20" t="s">
        <v>3509</v>
      </c>
      <c r="E2670" s="19" t="str">
        <f>VLOOKUP(D2670,'لیست پرسنل'!$B$2:$E$1020,3,FALSE)</f>
        <v>فکورصنعت</v>
      </c>
      <c r="F2670" s="19" t="str">
        <f>VLOOKUP(D2670,'لیست پرسنل'!$B$2:$E$1020,4,FALSE)</f>
        <v>مدیر سایت مرکز تحقیقات</v>
      </c>
      <c r="G2670" s="127">
        <f>VLOOKUP(D2670,'لیست پرسنل'!$B$2:$F$1020,2,FALSE)</f>
        <v>513</v>
      </c>
      <c r="H2670" s="127" t="s">
        <v>3925</v>
      </c>
      <c r="I2670" s="128"/>
      <c r="J2670" s="128" t="s">
        <v>3481</v>
      </c>
      <c r="K2670" s="127" t="s">
        <v>1403</v>
      </c>
      <c r="L2670" s="128"/>
      <c r="M2670" s="128">
        <v>620215</v>
      </c>
      <c r="N2670" s="108"/>
      <c r="O2670" s="36" t="s">
        <v>3257</v>
      </c>
      <c r="P2670" s="20"/>
      <c r="Q2670" s="20"/>
    </row>
    <row r="2671" spans="1:17" ht="24.9" customHeight="1">
      <c r="A2671" s="20">
        <v>438</v>
      </c>
      <c r="B2671" s="20" t="s">
        <v>7051</v>
      </c>
      <c r="C2671" s="20"/>
      <c r="D2671" s="20" t="s">
        <v>3509</v>
      </c>
      <c r="E2671" s="19" t="str">
        <f>VLOOKUP(D2671,'لیست پرسنل'!$B$2:$E$1020,3,FALSE)</f>
        <v>فکورصنعت</v>
      </c>
      <c r="F2671" s="19" t="str">
        <f>VLOOKUP(D2671,'لیست پرسنل'!$B$2:$E$1020,4,FALSE)</f>
        <v>مدیر سایت مرکز تحقیقات</v>
      </c>
      <c r="G2671" s="127">
        <f>VLOOKUP(D2671,'لیست پرسنل'!$B$2:$F$1020,2,FALSE)</f>
        <v>513</v>
      </c>
      <c r="H2671" s="127" t="s">
        <v>3925</v>
      </c>
      <c r="I2671" s="128"/>
      <c r="J2671" s="128" t="s">
        <v>3481</v>
      </c>
      <c r="K2671" s="127" t="s">
        <v>5592</v>
      </c>
      <c r="L2671" s="127" t="s">
        <v>5593</v>
      </c>
      <c r="M2671" s="127">
        <v>630507</v>
      </c>
      <c r="N2671" s="111"/>
      <c r="O2671" s="20" t="s">
        <v>4746</v>
      </c>
      <c r="P2671" s="20"/>
      <c r="Q2671" s="20"/>
    </row>
    <row r="2672" spans="1:17" ht="24.9" customHeight="1">
      <c r="A2672" s="20">
        <v>438</v>
      </c>
      <c r="B2672" s="20" t="s">
        <v>7051</v>
      </c>
      <c r="C2672" s="20"/>
      <c r="D2672" s="20" t="s">
        <v>3509</v>
      </c>
      <c r="E2672" s="19" t="str">
        <f>VLOOKUP(D2672,'لیست پرسنل'!$B$2:$E$1020,3,FALSE)</f>
        <v>فکورصنعت</v>
      </c>
      <c r="F2672" s="19" t="str">
        <f>VLOOKUP(D2672,'لیست پرسنل'!$B$2:$E$1020,4,FALSE)</f>
        <v>مدیر سایت مرکز تحقیقات</v>
      </c>
      <c r="G2672" s="127">
        <f>VLOOKUP(D2672,'لیست پرسنل'!$B$2:$F$1020,2,FALSE)</f>
        <v>513</v>
      </c>
      <c r="H2672" s="127" t="s">
        <v>3925</v>
      </c>
      <c r="I2672" s="128"/>
      <c r="J2672" s="128" t="s">
        <v>3481</v>
      </c>
      <c r="K2672" s="127" t="s">
        <v>4743</v>
      </c>
      <c r="L2672" s="127" t="s">
        <v>5591</v>
      </c>
      <c r="M2672" s="127">
        <v>630508</v>
      </c>
      <c r="N2672" s="111"/>
      <c r="O2672" s="20" t="s">
        <v>4746</v>
      </c>
      <c r="P2672" s="20"/>
      <c r="Q2672" s="20"/>
    </row>
    <row r="2673" spans="1:17" ht="24.9" customHeight="1">
      <c r="A2673" s="20">
        <v>438</v>
      </c>
      <c r="B2673" s="20" t="s">
        <v>7051</v>
      </c>
      <c r="C2673" s="20"/>
      <c r="D2673" s="20" t="s">
        <v>3509</v>
      </c>
      <c r="E2673" s="19" t="str">
        <f>VLOOKUP(D2673,'لیست پرسنل'!$B$2:$E$1020,3,FALSE)</f>
        <v>فکورصنعت</v>
      </c>
      <c r="F2673" s="19" t="str">
        <f>VLOOKUP(D2673,'لیست پرسنل'!$B$2:$E$1020,4,FALSE)</f>
        <v>مدیر سایت مرکز تحقیقات</v>
      </c>
      <c r="G2673" s="127">
        <f>VLOOKUP(D2673,'لیست پرسنل'!$B$2:$F$1020,2,FALSE)</f>
        <v>513</v>
      </c>
      <c r="H2673" s="127" t="s">
        <v>3925</v>
      </c>
      <c r="I2673" s="128"/>
      <c r="J2673" s="128" t="s">
        <v>3481</v>
      </c>
      <c r="K2673" s="127" t="s">
        <v>4743</v>
      </c>
      <c r="L2673" s="127" t="s">
        <v>5590</v>
      </c>
      <c r="M2673" s="127">
        <v>630509</v>
      </c>
      <c r="N2673" s="111"/>
      <c r="O2673" s="20" t="s">
        <v>4746</v>
      </c>
      <c r="P2673" s="20"/>
      <c r="Q2673" s="20"/>
    </row>
    <row r="2674" spans="1:17" ht="24.9" customHeight="1">
      <c r="A2674" s="20">
        <v>438</v>
      </c>
      <c r="B2674" s="20" t="s">
        <v>7051</v>
      </c>
      <c r="C2674" s="20"/>
      <c r="D2674" s="20" t="s">
        <v>3509</v>
      </c>
      <c r="E2674" s="19" t="str">
        <f>VLOOKUP(D2674,'لیست پرسنل'!$B$2:$E$1020,3,FALSE)</f>
        <v>فکورصنعت</v>
      </c>
      <c r="F2674" s="19" t="str">
        <f>VLOOKUP(D2674,'لیست پرسنل'!$B$2:$E$1020,4,FALSE)</f>
        <v>مدیر سایت مرکز تحقیقات</v>
      </c>
      <c r="G2674" s="127">
        <f>VLOOKUP(D2674,'لیست پرسنل'!$B$2:$F$1020,2,FALSE)</f>
        <v>513</v>
      </c>
      <c r="H2674" s="127" t="s">
        <v>3925</v>
      </c>
      <c r="I2674" s="128"/>
      <c r="J2674" s="128" t="s">
        <v>3481</v>
      </c>
      <c r="K2674" s="127" t="s">
        <v>4743</v>
      </c>
      <c r="L2674" s="127" t="s">
        <v>5589</v>
      </c>
      <c r="M2674" s="127">
        <v>630510</v>
      </c>
      <c r="N2674" s="111"/>
      <c r="O2674" s="20" t="s">
        <v>4746</v>
      </c>
      <c r="P2674" s="20"/>
      <c r="Q2674" s="20"/>
    </row>
    <row r="2675" spans="1:17" ht="24.9" customHeight="1">
      <c r="A2675" s="20">
        <v>438</v>
      </c>
      <c r="B2675" s="20" t="s">
        <v>7051</v>
      </c>
      <c r="C2675" s="20"/>
      <c r="D2675" s="20" t="s">
        <v>3509</v>
      </c>
      <c r="E2675" s="19" t="str">
        <f>VLOOKUP(D2675,'لیست پرسنل'!$B$2:$E$1020,3,FALSE)</f>
        <v>فکورصنعت</v>
      </c>
      <c r="F2675" s="19" t="str">
        <f>VLOOKUP(D2675,'لیست پرسنل'!$B$2:$E$1020,4,FALSE)</f>
        <v>مدیر سایت مرکز تحقیقات</v>
      </c>
      <c r="G2675" s="127">
        <f>VLOOKUP(D2675,'لیست پرسنل'!$B$2:$F$1020,2,FALSE)</f>
        <v>513</v>
      </c>
      <c r="H2675" s="127" t="s">
        <v>3925</v>
      </c>
      <c r="I2675" s="128"/>
      <c r="J2675" s="128" t="s">
        <v>3481</v>
      </c>
      <c r="K2675" s="127" t="s">
        <v>4743</v>
      </c>
      <c r="L2675" s="127"/>
      <c r="M2675" s="127">
        <v>630511</v>
      </c>
      <c r="N2675" s="111"/>
      <c r="O2675" s="20" t="s">
        <v>4746</v>
      </c>
      <c r="P2675" s="20"/>
      <c r="Q2675" s="20"/>
    </row>
    <row r="2676" spans="1:17" ht="24.9" customHeight="1">
      <c r="A2676" s="20">
        <v>438</v>
      </c>
      <c r="B2676" s="20" t="s">
        <v>7051</v>
      </c>
      <c r="C2676" s="20"/>
      <c r="D2676" s="20" t="s">
        <v>3509</v>
      </c>
      <c r="E2676" s="19" t="str">
        <f>VLOOKUP(D2676,'لیست پرسنل'!$B$2:$E$1020,3,FALSE)</f>
        <v>فکورصنعت</v>
      </c>
      <c r="F2676" s="19" t="str">
        <f>VLOOKUP(D2676,'لیست پرسنل'!$B$2:$E$1020,4,FALSE)</f>
        <v>مدیر سایت مرکز تحقیقات</v>
      </c>
      <c r="G2676" s="127">
        <f>VLOOKUP(D2676,'لیست پرسنل'!$B$2:$F$1020,2,FALSE)</f>
        <v>513</v>
      </c>
      <c r="H2676" s="127" t="s">
        <v>3925</v>
      </c>
      <c r="I2676" s="128"/>
      <c r="J2676" s="128" t="s">
        <v>3481</v>
      </c>
      <c r="K2676" s="127" t="s">
        <v>4743</v>
      </c>
      <c r="L2676" s="127" t="s">
        <v>5587</v>
      </c>
      <c r="M2676" s="127">
        <v>630512</v>
      </c>
      <c r="N2676" s="111"/>
      <c r="O2676" s="20" t="s">
        <v>4746</v>
      </c>
      <c r="P2676" s="20"/>
      <c r="Q2676" s="20"/>
    </row>
    <row r="2677" spans="1:17" ht="24.9" customHeight="1">
      <c r="A2677" s="20">
        <v>438</v>
      </c>
      <c r="B2677" s="20" t="s">
        <v>7051</v>
      </c>
      <c r="C2677" s="20"/>
      <c r="D2677" s="20" t="s">
        <v>3509</v>
      </c>
      <c r="E2677" s="19" t="str">
        <f>VLOOKUP(D2677,'لیست پرسنل'!$B$2:$E$1020,3,FALSE)</f>
        <v>فکورصنعت</v>
      </c>
      <c r="F2677" s="19" t="str">
        <f>VLOOKUP(D2677,'لیست پرسنل'!$B$2:$E$1020,4,FALSE)</f>
        <v>مدیر سایت مرکز تحقیقات</v>
      </c>
      <c r="G2677" s="127">
        <f>VLOOKUP(D2677,'لیست پرسنل'!$B$2:$F$1020,2,FALSE)</f>
        <v>513</v>
      </c>
      <c r="H2677" s="127" t="s">
        <v>3925</v>
      </c>
      <c r="I2677" s="128"/>
      <c r="J2677" s="128" t="s">
        <v>3481</v>
      </c>
      <c r="K2677" s="127" t="s">
        <v>4743</v>
      </c>
      <c r="L2677" s="127"/>
      <c r="M2677" s="127">
        <v>630513</v>
      </c>
      <c r="N2677" s="111"/>
      <c r="O2677" s="20" t="s">
        <v>4746</v>
      </c>
      <c r="P2677" s="20"/>
      <c r="Q2677" s="20"/>
    </row>
    <row r="2678" spans="1:17" ht="24.9" customHeight="1">
      <c r="A2678" s="20">
        <v>438</v>
      </c>
      <c r="B2678" s="20" t="s">
        <v>7051</v>
      </c>
      <c r="C2678" s="20"/>
      <c r="D2678" s="20" t="s">
        <v>3509</v>
      </c>
      <c r="E2678" s="19" t="str">
        <f>VLOOKUP(D2678,'لیست پرسنل'!$B$2:$E$1020,3,FALSE)</f>
        <v>فکورصنعت</v>
      </c>
      <c r="F2678" s="19" t="str">
        <f>VLOOKUP(D2678,'لیست پرسنل'!$B$2:$E$1020,4,FALSE)</f>
        <v>مدیر سایت مرکز تحقیقات</v>
      </c>
      <c r="G2678" s="127">
        <f>VLOOKUP(D2678,'لیست پرسنل'!$B$2:$F$1020,2,FALSE)</f>
        <v>513</v>
      </c>
      <c r="H2678" s="127" t="s">
        <v>3925</v>
      </c>
      <c r="I2678" s="128"/>
      <c r="J2678" s="128" t="s">
        <v>3481</v>
      </c>
      <c r="K2678" s="127" t="s">
        <v>4743</v>
      </c>
      <c r="L2678" s="127"/>
      <c r="M2678" s="127">
        <v>630514</v>
      </c>
      <c r="N2678" s="111"/>
      <c r="O2678" s="20" t="s">
        <v>4746</v>
      </c>
      <c r="P2678" s="20"/>
      <c r="Q2678" s="20"/>
    </row>
    <row r="2679" spans="1:17" ht="24.9" customHeight="1">
      <c r="A2679" s="20">
        <v>438</v>
      </c>
      <c r="B2679" s="20" t="s">
        <v>7051</v>
      </c>
      <c r="C2679" s="20"/>
      <c r="D2679" s="20" t="s">
        <v>3509</v>
      </c>
      <c r="E2679" s="19" t="str">
        <f>VLOOKUP(D2679,'لیست پرسنل'!$B$2:$E$1020,3,FALSE)</f>
        <v>فکورصنعت</v>
      </c>
      <c r="F2679" s="19" t="str">
        <f>VLOOKUP(D2679,'لیست پرسنل'!$B$2:$E$1020,4,FALSE)</f>
        <v>مدیر سایت مرکز تحقیقات</v>
      </c>
      <c r="G2679" s="127">
        <f>VLOOKUP(D2679,'لیست پرسنل'!$B$2:$F$1020,2,FALSE)</f>
        <v>513</v>
      </c>
      <c r="H2679" s="127" t="s">
        <v>3925</v>
      </c>
      <c r="I2679" s="128"/>
      <c r="J2679" s="128" t="s">
        <v>3476</v>
      </c>
      <c r="K2679" s="127" t="s">
        <v>4740</v>
      </c>
      <c r="L2679" s="127"/>
      <c r="M2679" s="127">
        <v>630501</v>
      </c>
      <c r="N2679" s="111"/>
      <c r="O2679" s="20" t="s">
        <v>4746</v>
      </c>
      <c r="P2679" s="20"/>
      <c r="Q2679" s="20"/>
    </row>
    <row r="2680" spans="1:17" ht="24.9" customHeight="1">
      <c r="A2680" s="20">
        <v>438</v>
      </c>
      <c r="B2680" s="20" t="s">
        <v>7051</v>
      </c>
      <c r="C2680" s="20"/>
      <c r="D2680" s="20" t="s">
        <v>3509</v>
      </c>
      <c r="E2680" s="19" t="str">
        <f>VLOOKUP(D2680,'لیست پرسنل'!$B$2:$E$1020,3,FALSE)</f>
        <v>فکورصنعت</v>
      </c>
      <c r="F2680" s="19" t="str">
        <f>VLOOKUP(D2680,'لیست پرسنل'!$B$2:$E$1020,4,FALSE)</f>
        <v>مدیر سایت مرکز تحقیقات</v>
      </c>
      <c r="G2680" s="127">
        <f>VLOOKUP(D2680,'لیست پرسنل'!$B$2:$F$1020,2,FALSE)</f>
        <v>513</v>
      </c>
      <c r="H2680" s="127" t="s">
        <v>3925</v>
      </c>
      <c r="I2680" s="128"/>
      <c r="J2680" s="128" t="s">
        <v>3476</v>
      </c>
      <c r="K2680" s="127" t="s">
        <v>4740</v>
      </c>
      <c r="L2680" s="127"/>
      <c r="M2680" s="127">
        <v>630502</v>
      </c>
      <c r="N2680" s="111"/>
      <c r="O2680" s="20" t="s">
        <v>4746</v>
      </c>
      <c r="P2680" s="20"/>
      <c r="Q2680" s="20"/>
    </row>
    <row r="2681" spans="1:17" ht="24.9" customHeight="1">
      <c r="A2681" s="20">
        <v>438</v>
      </c>
      <c r="B2681" s="20" t="s">
        <v>7051</v>
      </c>
      <c r="C2681" s="20"/>
      <c r="D2681" s="20" t="s">
        <v>3509</v>
      </c>
      <c r="E2681" s="19" t="str">
        <f>VLOOKUP(D2681,'لیست پرسنل'!$B$2:$E$1020,3,FALSE)</f>
        <v>فکورصنعت</v>
      </c>
      <c r="F2681" s="19" t="str">
        <f>VLOOKUP(D2681,'لیست پرسنل'!$B$2:$E$1020,4,FALSE)</f>
        <v>مدیر سایت مرکز تحقیقات</v>
      </c>
      <c r="G2681" s="127">
        <f>VLOOKUP(D2681,'لیست پرسنل'!$B$2:$F$1020,2,FALSE)</f>
        <v>513</v>
      </c>
      <c r="H2681" s="127" t="s">
        <v>3925</v>
      </c>
      <c r="I2681" s="128"/>
      <c r="J2681" s="128" t="s">
        <v>3476</v>
      </c>
      <c r="K2681" s="127" t="s">
        <v>4740</v>
      </c>
      <c r="L2681" s="127"/>
      <c r="M2681" s="127">
        <v>630503</v>
      </c>
      <c r="N2681" s="111"/>
      <c r="O2681" s="20" t="s">
        <v>4746</v>
      </c>
      <c r="P2681" s="20"/>
      <c r="Q2681" s="20"/>
    </row>
    <row r="2682" spans="1:17" ht="24.9" customHeight="1">
      <c r="A2682" s="20">
        <v>438</v>
      </c>
      <c r="B2682" s="20" t="s">
        <v>7051</v>
      </c>
      <c r="C2682" s="20"/>
      <c r="D2682" s="20" t="s">
        <v>3509</v>
      </c>
      <c r="E2682" s="19" t="str">
        <f>VLOOKUP(D2682,'لیست پرسنل'!$B$2:$E$1020,3,FALSE)</f>
        <v>فکورصنعت</v>
      </c>
      <c r="F2682" s="19" t="str">
        <f>VLOOKUP(D2682,'لیست پرسنل'!$B$2:$E$1020,4,FALSE)</f>
        <v>مدیر سایت مرکز تحقیقات</v>
      </c>
      <c r="G2682" s="127">
        <f>VLOOKUP(D2682,'لیست پرسنل'!$B$2:$F$1020,2,FALSE)</f>
        <v>513</v>
      </c>
      <c r="H2682" s="127" t="s">
        <v>3925</v>
      </c>
      <c r="I2682" s="128"/>
      <c r="J2682" s="128" t="s">
        <v>3476</v>
      </c>
      <c r="K2682" s="127" t="s">
        <v>4740</v>
      </c>
      <c r="L2682" s="127"/>
      <c r="M2682" s="127">
        <v>630504</v>
      </c>
      <c r="N2682" s="111"/>
      <c r="O2682" s="20" t="s">
        <v>4746</v>
      </c>
      <c r="P2682" s="20"/>
      <c r="Q2682" s="20"/>
    </row>
    <row r="2683" spans="1:17" ht="24.9" customHeight="1">
      <c r="A2683" s="20">
        <v>438</v>
      </c>
      <c r="B2683" s="20" t="s">
        <v>7051</v>
      </c>
      <c r="C2683" s="20"/>
      <c r="D2683" s="20" t="s">
        <v>3509</v>
      </c>
      <c r="E2683" s="19" t="str">
        <f>VLOOKUP(D2683,'لیست پرسنل'!$B$2:$E$1020,3,FALSE)</f>
        <v>فکورصنعت</v>
      </c>
      <c r="F2683" s="19" t="str">
        <f>VLOOKUP(D2683,'لیست پرسنل'!$B$2:$E$1020,4,FALSE)</f>
        <v>مدیر سایت مرکز تحقیقات</v>
      </c>
      <c r="G2683" s="127">
        <f>VLOOKUP(D2683,'لیست پرسنل'!$B$2:$F$1020,2,FALSE)</f>
        <v>513</v>
      </c>
      <c r="H2683" s="127" t="s">
        <v>3925</v>
      </c>
      <c r="I2683" s="128"/>
      <c r="J2683" s="128" t="s">
        <v>3476</v>
      </c>
      <c r="K2683" s="127" t="s">
        <v>4740</v>
      </c>
      <c r="L2683" s="127"/>
      <c r="M2683" s="127">
        <v>630505</v>
      </c>
      <c r="N2683" s="111"/>
      <c r="O2683" s="20" t="s">
        <v>4746</v>
      </c>
      <c r="P2683" s="20"/>
      <c r="Q2683" s="20"/>
    </row>
    <row r="2684" spans="1:17" ht="24.9" customHeight="1">
      <c r="A2684" s="20">
        <v>438</v>
      </c>
      <c r="B2684" s="20" t="s">
        <v>7051</v>
      </c>
      <c r="C2684" s="20"/>
      <c r="D2684" s="20" t="s">
        <v>3509</v>
      </c>
      <c r="E2684" s="19" t="str">
        <f>VLOOKUP(D2684,'لیست پرسنل'!$B$2:$E$1020,3,FALSE)</f>
        <v>فکورصنعت</v>
      </c>
      <c r="F2684" s="19" t="str">
        <f>VLOOKUP(D2684,'لیست پرسنل'!$B$2:$E$1020,4,FALSE)</f>
        <v>مدیر سایت مرکز تحقیقات</v>
      </c>
      <c r="G2684" s="127">
        <f>VLOOKUP(D2684,'لیست پرسنل'!$B$2:$F$1020,2,FALSE)</f>
        <v>513</v>
      </c>
      <c r="H2684" s="127" t="s">
        <v>3925</v>
      </c>
      <c r="I2684" s="128"/>
      <c r="J2684" s="128" t="s">
        <v>3476</v>
      </c>
      <c r="K2684" s="127" t="s">
        <v>4740</v>
      </c>
      <c r="L2684" s="127"/>
      <c r="M2684" s="127">
        <v>630506</v>
      </c>
      <c r="N2684" s="111"/>
      <c r="O2684" s="20" t="s">
        <v>4746</v>
      </c>
      <c r="P2684" s="20"/>
      <c r="Q2684" s="20"/>
    </row>
    <row r="2685" spans="1:17" ht="24.9" customHeight="1">
      <c r="A2685" s="20">
        <v>438</v>
      </c>
      <c r="B2685" s="20" t="s">
        <v>7051</v>
      </c>
      <c r="C2685" s="20"/>
      <c r="D2685" s="20" t="s">
        <v>3509</v>
      </c>
      <c r="E2685" s="19" t="str">
        <f>VLOOKUP(D2685,'لیست پرسنل'!$B$2:$E$1020,3,FALSE)</f>
        <v>فکورصنعت</v>
      </c>
      <c r="F2685" s="19" t="str">
        <f>VLOOKUP(D2685,'لیست پرسنل'!$B$2:$E$1020,4,FALSE)</f>
        <v>مدیر سایت مرکز تحقیقات</v>
      </c>
      <c r="G2685" s="127">
        <f>VLOOKUP(D2685,'لیست پرسنل'!$B$2:$F$1020,2,FALSE)</f>
        <v>513</v>
      </c>
      <c r="H2685" s="126" t="s">
        <v>6494</v>
      </c>
      <c r="I2685" s="128"/>
      <c r="J2685" s="128" t="s">
        <v>3532</v>
      </c>
      <c r="K2685" s="128" t="s">
        <v>4802</v>
      </c>
      <c r="L2685" s="128" t="s">
        <v>5575</v>
      </c>
      <c r="M2685" s="128">
        <v>631871</v>
      </c>
      <c r="N2685" s="108"/>
      <c r="O2685" s="20" t="s">
        <v>6495</v>
      </c>
      <c r="P2685" s="20"/>
      <c r="Q2685" s="20"/>
    </row>
    <row r="2686" spans="1:17" ht="24.9" customHeight="1">
      <c r="A2686" s="20">
        <v>438</v>
      </c>
      <c r="B2686" s="20" t="s">
        <v>7051</v>
      </c>
      <c r="C2686" s="20"/>
      <c r="D2686" s="20" t="s">
        <v>3926</v>
      </c>
      <c r="E2686" s="19" t="str">
        <f>VLOOKUP(D2686,'لیست پرسنل'!$B$2:$E$1020,3,FALSE)</f>
        <v>فکورصنعت</v>
      </c>
      <c r="F2686" s="19" t="str">
        <f>VLOOKUP(D2686,'لیست پرسنل'!$B$2:$E$1020,4,FALSE)</f>
        <v>مالی - اداری</v>
      </c>
      <c r="G2686" s="127">
        <f>VLOOKUP(D2686,'لیست پرسنل'!$B$2:$F$1020,2,FALSE)</f>
        <v>1526</v>
      </c>
      <c r="H2686" s="127" t="s">
        <v>3925</v>
      </c>
      <c r="I2686" s="128"/>
      <c r="J2686" s="128" t="s">
        <v>1967</v>
      </c>
      <c r="K2686" s="127" t="s">
        <v>2692</v>
      </c>
      <c r="L2686" s="128"/>
      <c r="M2686" s="128">
        <v>627846</v>
      </c>
      <c r="N2686" s="108"/>
      <c r="O2686" s="32" t="s">
        <v>4462</v>
      </c>
      <c r="P2686" s="20"/>
      <c r="Q2686" s="20"/>
    </row>
    <row r="2687" spans="1:17" ht="24.9" customHeight="1">
      <c r="A2687" s="20">
        <v>438</v>
      </c>
      <c r="B2687" s="20" t="s">
        <v>4361</v>
      </c>
      <c r="C2687" s="20"/>
      <c r="D2687" s="32" t="s">
        <v>48</v>
      </c>
      <c r="E2687" s="19" t="str">
        <f>VLOOKUP(D2687,'لیست پرسنل'!$B$2:$E$1020,3,FALSE)</f>
        <v>فکورصنعت</v>
      </c>
      <c r="F2687" s="19" t="str">
        <f>VLOOKUP(D2687,'لیست پرسنل'!$B$2:$E$1020,4,FALSE)</f>
        <v>سرپرست آی تی</v>
      </c>
      <c r="G2687" s="127">
        <f>VLOOKUP(D2687,'لیست پرسنل'!$B$2:$F$1020,2,FALSE)</f>
        <v>2210</v>
      </c>
      <c r="H2687" s="128" t="s">
        <v>3940</v>
      </c>
      <c r="I2687" s="128"/>
      <c r="J2687" s="128" t="s">
        <v>3145</v>
      </c>
      <c r="K2687" s="128" t="s">
        <v>1879</v>
      </c>
      <c r="L2687" s="154" t="s">
        <v>1880</v>
      </c>
      <c r="M2687" s="128">
        <v>625137</v>
      </c>
      <c r="N2687" s="108"/>
      <c r="O2687" s="20" t="s">
        <v>3941</v>
      </c>
      <c r="P2687" s="20"/>
      <c r="Q2687" s="20"/>
    </row>
    <row r="2688" spans="1:17" ht="24.9" customHeight="1">
      <c r="A2688" s="20">
        <v>438</v>
      </c>
      <c r="B2688" s="20" t="s">
        <v>4361</v>
      </c>
      <c r="C2688" s="19"/>
      <c r="D2688" s="20" t="s">
        <v>48</v>
      </c>
      <c r="E2688" s="19" t="str">
        <f>VLOOKUP(D2688,'لیست پرسنل'!$B$2:$E$1020,3,FALSE)</f>
        <v>فکورصنعت</v>
      </c>
      <c r="F2688" s="19" t="str">
        <f>VLOOKUP(D2688,'لیست پرسنل'!$B$2:$E$1020,4,FALSE)</f>
        <v>سرپرست آی تی</v>
      </c>
      <c r="G2688" s="127">
        <f>VLOOKUP(D2688,'لیست پرسنل'!$B$2:$F$1020,2,FALSE)</f>
        <v>2210</v>
      </c>
      <c r="H2688" s="126" t="s">
        <v>3940</v>
      </c>
      <c r="I2688" s="128"/>
      <c r="J2688" s="128" t="s">
        <v>3483</v>
      </c>
      <c r="K2688" s="128" t="s">
        <v>6821</v>
      </c>
      <c r="L2688" s="150"/>
      <c r="M2688" s="127">
        <v>634083</v>
      </c>
      <c r="N2688" s="108"/>
      <c r="O2688" s="20"/>
      <c r="P2688" s="20"/>
      <c r="Q2688" s="20"/>
    </row>
    <row r="2689" spans="1:17" ht="24.9" customHeight="1">
      <c r="A2689" s="20">
        <v>438</v>
      </c>
      <c r="B2689" s="20" t="s">
        <v>4361</v>
      </c>
      <c r="C2689" s="20"/>
      <c r="D2689" s="32" t="s">
        <v>48</v>
      </c>
      <c r="E2689" s="19" t="str">
        <f>VLOOKUP(D2689,'لیست پرسنل'!$B$2:$E$1020,3,FALSE)</f>
        <v>فکورصنعت</v>
      </c>
      <c r="F2689" s="19" t="str">
        <f>VLOOKUP(D2689,'لیست پرسنل'!$B$2:$E$1020,4,FALSE)</f>
        <v>سرپرست آی تی</v>
      </c>
      <c r="G2689" s="127">
        <f>VLOOKUP(D2689,'لیست پرسنل'!$B$2:$F$1020,2,FALSE)</f>
        <v>2210</v>
      </c>
      <c r="H2689" s="128" t="s">
        <v>3940</v>
      </c>
      <c r="I2689" s="128"/>
      <c r="J2689" s="128" t="s">
        <v>3285</v>
      </c>
      <c r="K2689" s="128" t="s">
        <v>654</v>
      </c>
      <c r="L2689" s="154" t="s">
        <v>1729</v>
      </c>
      <c r="M2689" s="128">
        <v>625680</v>
      </c>
      <c r="N2689" s="108"/>
      <c r="O2689" s="20" t="s">
        <v>3941</v>
      </c>
      <c r="P2689" s="20"/>
      <c r="Q2689" s="20"/>
    </row>
    <row r="2690" spans="1:17" ht="24.9" customHeight="1">
      <c r="A2690" s="20">
        <v>438</v>
      </c>
      <c r="B2690" s="20" t="s">
        <v>4361</v>
      </c>
      <c r="C2690" s="20"/>
      <c r="D2690" s="32" t="s">
        <v>48</v>
      </c>
      <c r="E2690" s="19" t="str">
        <f>VLOOKUP(D2690,'لیست پرسنل'!$B$2:$E$1020,3,FALSE)</f>
        <v>فکورصنعت</v>
      </c>
      <c r="F2690" s="19" t="str">
        <f>VLOOKUP(D2690,'لیست پرسنل'!$B$2:$E$1020,4,FALSE)</f>
        <v>سرپرست آی تی</v>
      </c>
      <c r="G2690" s="127">
        <f>VLOOKUP(D2690,'لیست پرسنل'!$B$2:$F$1020,2,FALSE)</f>
        <v>2210</v>
      </c>
      <c r="H2690" s="128" t="s">
        <v>3940</v>
      </c>
      <c r="I2690" s="128"/>
      <c r="J2690" s="128" t="s">
        <v>3476</v>
      </c>
      <c r="K2690" s="128" t="s">
        <v>1580</v>
      </c>
      <c r="L2690" s="128" t="s">
        <v>1581</v>
      </c>
      <c r="M2690" s="128" t="s">
        <v>291</v>
      </c>
      <c r="N2690" s="108"/>
      <c r="O2690" s="20" t="s">
        <v>3941</v>
      </c>
      <c r="P2690" s="20"/>
      <c r="Q2690" s="20"/>
    </row>
    <row r="2691" spans="1:17" ht="24.9" customHeight="1">
      <c r="A2691" s="20">
        <v>438</v>
      </c>
      <c r="B2691" s="20" t="s">
        <v>4361</v>
      </c>
      <c r="C2691" s="20"/>
      <c r="D2691" s="20" t="s">
        <v>48</v>
      </c>
      <c r="E2691" s="19" t="str">
        <f>VLOOKUP(D2691,'لیست پرسنل'!$B$2:$E$1020,3,FALSE)</f>
        <v>فکورصنعت</v>
      </c>
      <c r="F2691" s="19" t="str">
        <f>VLOOKUP(D2691,'لیست پرسنل'!$B$2:$E$1020,4,FALSE)</f>
        <v>سرپرست آی تی</v>
      </c>
      <c r="G2691" s="127">
        <f>VLOOKUP(D2691,'لیست پرسنل'!$B$2:$F$1020,2,FALSE)</f>
        <v>2210</v>
      </c>
      <c r="H2691" s="128" t="s">
        <v>3940</v>
      </c>
      <c r="I2691" s="128"/>
      <c r="J2691" s="128" t="s">
        <v>3506</v>
      </c>
      <c r="K2691" s="128" t="s">
        <v>3506</v>
      </c>
      <c r="L2691" s="128"/>
      <c r="M2691" s="127">
        <v>631875</v>
      </c>
      <c r="N2691" s="108"/>
      <c r="O2691" s="20"/>
      <c r="P2691" s="20"/>
      <c r="Q2691" s="20"/>
    </row>
    <row r="2692" spans="1:17" ht="24.9" customHeight="1">
      <c r="A2692" s="20">
        <v>438</v>
      </c>
      <c r="B2692" s="20" t="s">
        <v>4361</v>
      </c>
      <c r="C2692" s="20"/>
      <c r="D2692" s="20" t="s">
        <v>48</v>
      </c>
      <c r="E2692" s="19" t="str">
        <f>VLOOKUP(D2692,'لیست پرسنل'!$B$2:$E$1020,3,FALSE)</f>
        <v>فکورصنعت</v>
      </c>
      <c r="F2692" s="19" t="str">
        <f>VLOOKUP(D2692,'لیست پرسنل'!$B$2:$E$1020,4,FALSE)</f>
        <v>سرپرست آی تی</v>
      </c>
      <c r="G2692" s="127">
        <f>VLOOKUP(D2692,'لیست پرسنل'!$B$2:$F$1020,2,FALSE)</f>
        <v>2210</v>
      </c>
      <c r="H2692" s="128" t="s">
        <v>3940</v>
      </c>
      <c r="I2692" s="128"/>
      <c r="J2692" s="128" t="s">
        <v>571</v>
      </c>
      <c r="K2692" s="128" t="s">
        <v>1350</v>
      </c>
      <c r="L2692" s="128" t="s">
        <v>1351</v>
      </c>
      <c r="M2692" s="128">
        <v>608426</v>
      </c>
      <c r="N2692" s="119"/>
      <c r="O2692" s="20" t="s">
        <v>3941</v>
      </c>
      <c r="P2692" s="20"/>
      <c r="Q2692" s="20"/>
    </row>
    <row r="2693" spans="1:17" ht="24.9" customHeight="1">
      <c r="A2693" s="20">
        <v>438</v>
      </c>
      <c r="B2693" s="20" t="s">
        <v>4361</v>
      </c>
      <c r="C2693" s="20"/>
      <c r="D2693" s="20" t="s">
        <v>48</v>
      </c>
      <c r="E2693" s="19" t="str">
        <f>VLOOKUP(D2693,'لیست پرسنل'!$B$2:$E$1020,3,FALSE)</f>
        <v>فکورصنعت</v>
      </c>
      <c r="F2693" s="19" t="str">
        <f>VLOOKUP(D2693,'لیست پرسنل'!$B$2:$E$1020,4,FALSE)</f>
        <v>سرپرست آی تی</v>
      </c>
      <c r="G2693" s="127">
        <f>VLOOKUP(D2693,'لیست پرسنل'!$B$2:$F$1020,2,FALSE)</f>
        <v>2210</v>
      </c>
      <c r="H2693" s="126" t="s">
        <v>7376</v>
      </c>
      <c r="I2693" s="128"/>
      <c r="J2693" s="128" t="s">
        <v>3476</v>
      </c>
      <c r="K2693" s="128" t="s">
        <v>6184</v>
      </c>
      <c r="L2693" s="127" t="s">
        <v>6183</v>
      </c>
      <c r="M2693" s="127">
        <v>633331</v>
      </c>
      <c r="N2693" s="108"/>
      <c r="O2693" s="20"/>
      <c r="P2693" s="20"/>
      <c r="Q2693" s="20"/>
    </row>
    <row r="2694" spans="1:17" ht="24.9" customHeight="1">
      <c r="A2694" s="20">
        <v>439</v>
      </c>
      <c r="B2694" s="20" t="s">
        <v>4350</v>
      </c>
      <c r="C2694" s="20"/>
      <c r="D2694" s="20" t="s">
        <v>3728</v>
      </c>
      <c r="E2694" s="19" t="str">
        <f>VLOOKUP(D2694,'لیست پرسنل'!$B$2:$E$1020,3,FALSE)</f>
        <v>فکورصنعت</v>
      </c>
      <c r="F2694" s="19" t="str">
        <f>VLOOKUP(D2694,'لیست پرسنل'!$B$2:$E$1020,4,FALSE)</f>
        <v>مدیر سایت</v>
      </c>
      <c r="G2694" s="127">
        <f>VLOOKUP(D2694,'لیست پرسنل'!$B$2:$F$1020,2,FALSE)</f>
        <v>483</v>
      </c>
      <c r="H2694" s="128" t="s">
        <v>5171</v>
      </c>
      <c r="I2694" s="128"/>
      <c r="J2694" s="128" t="s">
        <v>3532</v>
      </c>
      <c r="K2694" s="128" t="s">
        <v>5161</v>
      </c>
      <c r="L2694" s="128" t="s">
        <v>5175</v>
      </c>
      <c r="M2694" s="128">
        <v>631129</v>
      </c>
      <c r="N2694" s="108"/>
      <c r="O2694" s="28"/>
      <c r="P2694" s="20"/>
      <c r="Q2694" s="20"/>
    </row>
    <row r="2695" spans="1:17" ht="24.9" customHeight="1">
      <c r="A2695" s="20">
        <v>439</v>
      </c>
      <c r="B2695" s="20" t="s">
        <v>4350</v>
      </c>
      <c r="C2695" s="20"/>
      <c r="D2695" s="20" t="s">
        <v>3728</v>
      </c>
      <c r="E2695" s="19" t="str">
        <f>VLOOKUP(D2695,'لیست پرسنل'!$B$2:$E$1020,3,FALSE)</f>
        <v>فکورصنعت</v>
      </c>
      <c r="F2695" s="19" t="str">
        <f>VLOOKUP(D2695,'لیست پرسنل'!$B$2:$E$1020,4,FALSE)</f>
        <v>مدیر سایت</v>
      </c>
      <c r="G2695" s="127">
        <f>VLOOKUP(D2695,'لیست پرسنل'!$B$2:$F$1020,2,FALSE)</f>
        <v>483</v>
      </c>
      <c r="H2695" s="128" t="s">
        <v>5171</v>
      </c>
      <c r="I2695" s="128"/>
      <c r="J2695" s="128" t="s">
        <v>3532</v>
      </c>
      <c r="K2695" s="128" t="s">
        <v>5161</v>
      </c>
      <c r="L2695" s="128" t="s">
        <v>5174</v>
      </c>
      <c r="M2695" s="128">
        <v>631130</v>
      </c>
      <c r="N2695" s="108"/>
      <c r="O2695" s="28"/>
      <c r="P2695" s="20"/>
      <c r="Q2695" s="20"/>
    </row>
    <row r="2696" spans="1:17" ht="24.9" customHeight="1">
      <c r="A2696" s="20">
        <v>439</v>
      </c>
      <c r="B2696" s="20" t="s">
        <v>4350</v>
      </c>
      <c r="C2696" s="20"/>
      <c r="D2696" s="20" t="s">
        <v>3728</v>
      </c>
      <c r="E2696" s="19" t="str">
        <f>VLOOKUP(D2696,'لیست پرسنل'!$B$2:$E$1020,3,FALSE)</f>
        <v>فکورصنعت</v>
      </c>
      <c r="F2696" s="19" t="str">
        <f>VLOOKUP(D2696,'لیست پرسنل'!$B$2:$E$1020,4,FALSE)</f>
        <v>مدیر سایت</v>
      </c>
      <c r="G2696" s="127">
        <f>VLOOKUP(D2696,'لیست پرسنل'!$B$2:$F$1020,2,FALSE)</f>
        <v>483</v>
      </c>
      <c r="H2696" s="128" t="s">
        <v>5171</v>
      </c>
      <c r="I2696" s="128"/>
      <c r="J2696" s="128" t="s">
        <v>3481</v>
      </c>
      <c r="K2696" s="128" t="s">
        <v>5160</v>
      </c>
      <c r="L2696" s="128" t="s">
        <v>5172</v>
      </c>
      <c r="M2696" s="128">
        <v>631120</v>
      </c>
      <c r="N2696" s="108"/>
      <c r="O2696" s="28"/>
      <c r="P2696" s="20"/>
      <c r="Q2696" s="20"/>
    </row>
    <row r="2697" spans="1:17" ht="24.9" customHeight="1">
      <c r="A2697" s="20">
        <v>439</v>
      </c>
      <c r="B2697" s="20" t="s">
        <v>4350</v>
      </c>
      <c r="C2697" s="20"/>
      <c r="D2697" s="20" t="s">
        <v>3728</v>
      </c>
      <c r="E2697" s="19" t="str">
        <f>VLOOKUP(D2697,'لیست پرسنل'!$B$2:$E$1020,3,FALSE)</f>
        <v>فکورصنعت</v>
      </c>
      <c r="F2697" s="19" t="str">
        <f>VLOOKUP(D2697,'لیست پرسنل'!$B$2:$E$1020,4,FALSE)</f>
        <v>مدیر سایت</v>
      </c>
      <c r="G2697" s="127">
        <f>VLOOKUP(D2697,'لیست پرسنل'!$B$2:$F$1020,2,FALSE)</f>
        <v>483</v>
      </c>
      <c r="H2697" s="128" t="s">
        <v>5171</v>
      </c>
      <c r="I2697" s="128"/>
      <c r="J2697" s="128" t="s">
        <v>3481</v>
      </c>
      <c r="K2697" s="128" t="s">
        <v>5160</v>
      </c>
      <c r="L2697" s="128" t="s">
        <v>5173</v>
      </c>
      <c r="M2697" s="128">
        <v>631133</v>
      </c>
      <c r="N2697" s="108"/>
      <c r="O2697" s="28"/>
      <c r="P2697" s="20"/>
      <c r="Q2697" s="20"/>
    </row>
    <row r="2698" spans="1:17" ht="24.9" customHeight="1">
      <c r="A2698" s="20">
        <v>439</v>
      </c>
      <c r="B2698" s="20" t="s">
        <v>4350</v>
      </c>
      <c r="C2698" s="20"/>
      <c r="D2698" s="20" t="s">
        <v>48</v>
      </c>
      <c r="E2698" s="19" t="str">
        <f>VLOOKUP(D2698,'لیست پرسنل'!$B$2:$E$1020,3,FALSE)</f>
        <v>فکورصنعت</v>
      </c>
      <c r="F2698" s="19" t="str">
        <f>VLOOKUP(D2698,'لیست پرسنل'!$B$2:$E$1020,4,FALSE)</f>
        <v>سرپرست آی تی</v>
      </c>
      <c r="G2698" s="127">
        <f>VLOOKUP(D2698,'لیست پرسنل'!$B$2:$F$1020,2,FALSE)</f>
        <v>2210</v>
      </c>
      <c r="H2698" s="128" t="s">
        <v>4212</v>
      </c>
      <c r="I2698" s="128"/>
      <c r="J2698" s="128" t="s">
        <v>3383</v>
      </c>
      <c r="K2698" s="128" t="s">
        <v>391</v>
      </c>
      <c r="L2698" s="128" t="s">
        <v>1385</v>
      </c>
      <c r="M2698" s="128">
        <v>610456</v>
      </c>
      <c r="N2698" s="108"/>
      <c r="O2698" s="20" t="s">
        <v>1386</v>
      </c>
      <c r="P2698" s="20"/>
      <c r="Q2698" s="20"/>
    </row>
    <row r="2699" spans="1:17" ht="24.9" customHeight="1">
      <c r="A2699" s="20">
        <v>439</v>
      </c>
      <c r="B2699" s="20" t="s">
        <v>4350</v>
      </c>
      <c r="C2699" s="20"/>
      <c r="D2699" s="20" t="s">
        <v>48</v>
      </c>
      <c r="E2699" s="19" t="str">
        <f>VLOOKUP(D2699,'لیست پرسنل'!$B$2:$E$1020,3,FALSE)</f>
        <v>فکورصنعت</v>
      </c>
      <c r="F2699" s="19" t="str">
        <f>VLOOKUP(D2699,'لیست پرسنل'!$B$2:$E$1020,4,FALSE)</f>
        <v>سرپرست آی تی</v>
      </c>
      <c r="G2699" s="127">
        <f>VLOOKUP(D2699,'لیست پرسنل'!$B$2:$F$1020,2,FALSE)</f>
        <v>2210</v>
      </c>
      <c r="H2699" s="128" t="s">
        <v>4212</v>
      </c>
      <c r="I2699" s="128"/>
      <c r="J2699" s="128" t="s">
        <v>737</v>
      </c>
      <c r="K2699" s="128" t="s">
        <v>1930</v>
      </c>
      <c r="L2699" s="128" t="s">
        <v>1929</v>
      </c>
      <c r="M2699" s="142">
        <v>600801</v>
      </c>
      <c r="N2699" s="108"/>
      <c r="O2699" s="20"/>
      <c r="P2699" s="20"/>
      <c r="Q2699" s="20"/>
    </row>
    <row r="2700" spans="1:17" ht="24.9" customHeight="1">
      <c r="A2700" s="20">
        <v>439</v>
      </c>
      <c r="B2700" s="20" t="s">
        <v>4350</v>
      </c>
      <c r="C2700" s="19"/>
      <c r="D2700" s="20" t="s">
        <v>48</v>
      </c>
      <c r="E2700" s="19" t="str">
        <f>VLOOKUP(D2700,'لیست پرسنل'!$B$2:$E$1020,3,FALSE)</f>
        <v>فکورصنعت</v>
      </c>
      <c r="F2700" s="19" t="str">
        <f>VLOOKUP(D2700,'لیست پرسنل'!$B$2:$E$1020,4,FALSE)</f>
        <v>سرپرست آی تی</v>
      </c>
      <c r="G2700" s="127">
        <f>VLOOKUP(D2700,'لیست پرسنل'!$B$2:$F$1020,2,FALSE)</f>
        <v>2210</v>
      </c>
      <c r="H2700" s="127" t="s">
        <v>4212</v>
      </c>
      <c r="I2700" s="126"/>
      <c r="J2700" s="128" t="s">
        <v>737</v>
      </c>
      <c r="K2700" s="127" t="s">
        <v>962</v>
      </c>
      <c r="L2700" s="127" t="s">
        <v>963</v>
      </c>
      <c r="M2700" s="128">
        <v>623599</v>
      </c>
      <c r="N2700" s="108"/>
      <c r="O2700" s="20" t="s">
        <v>3750</v>
      </c>
      <c r="P2700" s="20"/>
      <c r="Q2700" s="20"/>
    </row>
    <row r="2701" spans="1:17" ht="24.9" customHeight="1">
      <c r="A2701" s="20">
        <v>439</v>
      </c>
      <c r="B2701" s="20" t="s">
        <v>4350</v>
      </c>
      <c r="C2701" s="20"/>
      <c r="D2701" s="31" t="s">
        <v>48</v>
      </c>
      <c r="E2701" s="19" t="str">
        <f>VLOOKUP(D2701,'لیست پرسنل'!$B$2:$E$1020,3,FALSE)</f>
        <v>فکورصنعت</v>
      </c>
      <c r="F2701" s="19" t="str">
        <f>VLOOKUP(D2701,'لیست پرسنل'!$B$2:$E$1020,4,FALSE)</f>
        <v>سرپرست آی تی</v>
      </c>
      <c r="G2701" s="127">
        <f>VLOOKUP(D2701,'لیست پرسنل'!$B$2:$F$1020,2,FALSE)</f>
        <v>2210</v>
      </c>
      <c r="H2701" s="127" t="s">
        <v>8593</v>
      </c>
      <c r="I2701" s="127"/>
      <c r="J2701" s="126" t="s">
        <v>368</v>
      </c>
      <c r="K2701" s="128" t="s">
        <v>2846</v>
      </c>
      <c r="L2701" s="127" t="s">
        <v>1397</v>
      </c>
      <c r="M2701" s="127">
        <v>624659</v>
      </c>
      <c r="N2701" s="109"/>
      <c r="O2701" s="20" t="s">
        <v>3757</v>
      </c>
      <c r="P2701" s="20"/>
      <c r="Q2701" s="20"/>
    </row>
    <row r="2702" spans="1:17" ht="24.9" customHeight="1">
      <c r="A2702" s="20">
        <v>439</v>
      </c>
      <c r="B2702" s="20" t="s">
        <v>4350</v>
      </c>
      <c r="C2702" s="20"/>
      <c r="D2702" s="20" t="s">
        <v>48</v>
      </c>
      <c r="E2702" s="19" t="str">
        <f>VLOOKUP(D2702,'لیست پرسنل'!$B$2:$E$1020,3,FALSE)</f>
        <v>فکورصنعت</v>
      </c>
      <c r="F2702" s="19" t="str">
        <f>VLOOKUP(D2702,'لیست پرسنل'!$B$2:$E$1020,4,FALSE)</f>
        <v>سرپرست آی تی</v>
      </c>
      <c r="G2702" s="127">
        <f>VLOOKUP(D2702,'لیست پرسنل'!$B$2:$F$1020,2,FALSE)</f>
        <v>2210</v>
      </c>
      <c r="H2702" s="128" t="s">
        <v>4212</v>
      </c>
      <c r="I2702" s="128"/>
      <c r="J2702" s="126" t="s">
        <v>368</v>
      </c>
      <c r="K2702" s="128" t="s">
        <v>2846</v>
      </c>
      <c r="L2702" s="127" t="s">
        <v>1501</v>
      </c>
      <c r="M2702" s="127">
        <v>625125</v>
      </c>
      <c r="N2702" s="109"/>
      <c r="O2702" s="19"/>
      <c r="P2702" s="20"/>
      <c r="Q2702" s="20"/>
    </row>
    <row r="2703" spans="1:17" ht="24.9" customHeight="1">
      <c r="A2703" s="20">
        <v>439</v>
      </c>
      <c r="B2703" s="20" t="s">
        <v>4350</v>
      </c>
      <c r="C2703" s="19"/>
      <c r="D2703" s="19" t="s">
        <v>48</v>
      </c>
      <c r="E2703" s="19" t="str">
        <f>VLOOKUP(D2703,'لیست پرسنل'!$B$2:$E$1020,3,FALSE)</f>
        <v>فکورصنعت</v>
      </c>
      <c r="F2703" s="19" t="str">
        <f>VLOOKUP(D2703,'لیست پرسنل'!$B$2:$E$1020,4,FALSE)</f>
        <v>سرپرست آی تی</v>
      </c>
      <c r="G2703" s="127">
        <f>VLOOKUP(D2703,'لیست پرسنل'!$B$2:$F$1020,2,FALSE)</f>
        <v>2210</v>
      </c>
      <c r="H2703" s="127" t="s">
        <v>4212</v>
      </c>
      <c r="I2703" s="126"/>
      <c r="J2703" s="128" t="s">
        <v>3938</v>
      </c>
      <c r="K2703" s="128" t="s">
        <v>4227</v>
      </c>
      <c r="L2703" s="128">
        <v>52800012</v>
      </c>
      <c r="M2703" s="128">
        <v>613406</v>
      </c>
      <c r="N2703" s="108"/>
      <c r="O2703" s="20" t="s">
        <v>4225</v>
      </c>
      <c r="P2703" s="20"/>
      <c r="Q2703" s="20"/>
    </row>
    <row r="2704" spans="1:17" ht="24.9" customHeight="1">
      <c r="A2704" s="20">
        <v>439</v>
      </c>
      <c r="B2704" s="20" t="s">
        <v>4350</v>
      </c>
      <c r="C2704" s="20"/>
      <c r="D2704" s="20" t="s">
        <v>48</v>
      </c>
      <c r="E2704" s="19" t="str">
        <f>VLOOKUP(D2704,'لیست پرسنل'!$B$2:$E$1020,3,FALSE)</f>
        <v>فکورصنعت</v>
      </c>
      <c r="F2704" s="19" t="str">
        <f>VLOOKUP(D2704,'لیست پرسنل'!$B$2:$E$1020,4,FALSE)</f>
        <v>سرپرست آی تی</v>
      </c>
      <c r="G2704" s="127">
        <f>VLOOKUP(D2704,'لیست پرسنل'!$B$2:$F$1020,2,FALSE)</f>
        <v>2210</v>
      </c>
      <c r="H2704" s="128" t="s">
        <v>4212</v>
      </c>
      <c r="I2704" s="128"/>
      <c r="J2704" s="128" t="s">
        <v>571</v>
      </c>
      <c r="K2704" s="128" t="s">
        <v>6474</v>
      </c>
      <c r="L2704" s="128"/>
      <c r="M2704" s="128">
        <v>600657</v>
      </c>
      <c r="N2704" s="108"/>
      <c r="O2704" s="20"/>
      <c r="P2704" s="20"/>
      <c r="Q2704" s="20"/>
    </row>
    <row r="2705" spans="1:17" ht="24.9" customHeight="1">
      <c r="A2705" s="20">
        <v>439</v>
      </c>
      <c r="B2705" s="20" t="s">
        <v>4350</v>
      </c>
      <c r="C2705" s="20"/>
      <c r="D2705" s="20" t="s">
        <v>48</v>
      </c>
      <c r="E2705" s="19" t="str">
        <f>VLOOKUP(D2705,'لیست پرسنل'!$B$2:$E$1020,3,FALSE)</f>
        <v>فکورصنعت</v>
      </c>
      <c r="F2705" s="19" t="str">
        <f>VLOOKUP(D2705,'لیست پرسنل'!$B$2:$E$1020,4,FALSE)</f>
        <v>سرپرست آی تی</v>
      </c>
      <c r="G2705" s="127">
        <f>VLOOKUP(D2705,'لیست پرسنل'!$B$2:$F$1020,2,FALSE)</f>
        <v>2210</v>
      </c>
      <c r="H2705" s="128" t="s">
        <v>4212</v>
      </c>
      <c r="I2705" s="128"/>
      <c r="J2705" s="128" t="s">
        <v>571</v>
      </c>
      <c r="K2705" s="128"/>
      <c r="L2705" s="128"/>
      <c r="M2705" s="127">
        <v>603294</v>
      </c>
      <c r="N2705" s="109"/>
      <c r="O2705" s="19"/>
      <c r="P2705" s="20"/>
      <c r="Q2705" s="20"/>
    </row>
    <row r="2706" spans="1:17" ht="24.9" customHeight="1">
      <c r="A2706" s="20">
        <v>439</v>
      </c>
      <c r="B2706" s="20" t="s">
        <v>4350</v>
      </c>
      <c r="C2706" s="20"/>
      <c r="D2706" s="20" t="s">
        <v>48</v>
      </c>
      <c r="E2706" s="19" t="str">
        <f>VLOOKUP(D2706,'لیست پرسنل'!$B$2:$E$1020,3,FALSE)</f>
        <v>فکورصنعت</v>
      </c>
      <c r="F2706" s="19" t="str">
        <f>VLOOKUP(D2706,'لیست پرسنل'!$B$2:$E$1020,4,FALSE)</f>
        <v>سرپرست آی تی</v>
      </c>
      <c r="G2706" s="127">
        <f>VLOOKUP(D2706,'لیست پرسنل'!$B$2:$F$1020,2,FALSE)</f>
        <v>2210</v>
      </c>
      <c r="H2706" s="128" t="s">
        <v>4212</v>
      </c>
      <c r="I2706" s="128"/>
      <c r="J2706" s="128" t="s">
        <v>571</v>
      </c>
      <c r="K2706" s="128" t="s">
        <v>571</v>
      </c>
      <c r="L2706" s="128"/>
      <c r="M2706" s="128">
        <v>603582</v>
      </c>
      <c r="N2706" s="108"/>
      <c r="O2706" s="20"/>
      <c r="P2706" s="20"/>
      <c r="Q2706" s="20"/>
    </row>
    <row r="2707" spans="1:17" ht="24.9" customHeight="1">
      <c r="A2707" s="20">
        <v>439</v>
      </c>
      <c r="B2707" s="20" t="s">
        <v>4350</v>
      </c>
      <c r="C2707" s="19"/>
      <c r="D2707" s="19" t="s">
        <v>48</v>
      </c>
      <c r="E2707" s="19" t="str">
        <f>VLOOKUP(D2707,'لیست پرسنل'!$B$2:$E$1020,3,FALSE)</f>
        <v>فکورصنعت</v>
      </c>
      <c r="F2707" s="19" t="str">
        <f>VLOOKUP(D2707,'لیست پرسنل'!$B$2:$E$1020,4,FALSE)</f>
        <v>سرپرست آی تی</v>
      </c>
      <c r="G2707" s="127">
        <f>VLOOKUP(D2707,'لیست پرسنل'!$B$2:$F$1020,2,FALSE)</f>
        <v>2210</v>
      </c>
      <c r="H2707" s="127" t="s">
        <v>4212</v>
      </c>
      <c r="I2707" s="126"/>
      <c r="J2707" s="128" t="s">
        <v>571</v>
      </c>
      <c r="K2707" s="127"/>
      <c r="L2707" s="164"/>
      <c r="M2707" s="127">
        <v>603933</v>
      </c>
      <c r="N2707" s="109"/>
      <c r="O2707" s="20" t="s">
        <v>3757</v>
      </c>
      <c r="P2707" s="20"/>
      <c r="Q2707" s="20"/>
    </row>
    <row r="2708" spans="1:17" ht="24.9" customHeight="1">
      <c r="A2708" s="20">
        <v>439</v>
      </c>
      <c r="B2708" s="20" t="s">
        <v>4350</v>
      </c>
      <c r="C2708" s="20"/>
      <c r="D2708" s="20" t="s">
        <v>48</v>
      </c>
      <c r="E2708" s="19" t="str">
        <f>VLOOKUP(D2708,'لیست پرسنل'!$B$2:$E$1020,3,FALSE)</f>
        <v>فکورصنعت</v>
      </c>
      <c r="F2708" s="19" t="str">
        <f>VLOOKUP(D2708,'لیست پرسنل'!$B$2:$E$1020,4,FALSE)</f>
        <v>سرپرست آی تی</v>
      </c>
      <c r="G2708" s="127">
        <f>VLOOKUP(D2708,'لیست پرسنل'!$B$2:$F$1020,2,FALSE)</f>
        <v>2210</v>
      </c>
      <c r="H2708" s="128" t="s">
        <v>4212</v>
      </c>
      <c r="I2708" s="128"/>
      <c r="J2708" s="128" t="s">
        <v>571</v>
      </c>
      <c r="K2708" s="128"/>
      <c r="L2708" s="128"/>
      <c r="M2708" s="127">
        <v>604089</v>
      </c>
      <c r="N2708" s="109"/>
      <c r="O2708" s="19"/>
      <c r="P2708" s="20"/>
      <c r="Q2708" s="20"/>
    </row>
    <row r="2709" spans="1:17" ht="24.9" customHeight="1">
      <c r="A2709" s="20">
        <v>439</v>
      </c>
      <c r="B2709" s="20" t="s">
        <v>4350</v>
      </c>
      <c r="C2709" s="20"/>
      <c r="D2709" s="20" t="s">
        <v>48</v>
      </c>
      <c r="E2709" s="19" t="str">
        <f>VLOOKUP(D2709,'لیست پرسنل'!$B$2:$E$1020,3,FALSE)</f>
        <v>فکورصنعت</v>
      </c>
      <c r="F2709" s="19" t="str">
        <f>VLOOKUP(D2709,'لیست پرسنل'!$B$2:$E$1020,4,FALSE)</f>
        <v>سرپرست آی تی</v>
      </c>
      <c r="G2709" s="127">
        <f>VLOOKUP(D2709,'لیست پرسنل'!$B$2:$F$1020,2,FALSE)</f>
        <v>2210</v>
      </c>
      <c r="H2709" s="128" t="s">
        <v>4212</v>
      </c>
      <c r="I2709" s="128"/>
      <c r="J2709" s="128" t="s">
        <v>571</v>
      </c>
      <c r="K2709" s="128" t="s">
        <v>957</v>
      </c>
      <c r="L2709" s="128"/>
      <c r="M2709" s="128">
        <v>607861</v>
      </c>
      <c r="N2709" s="108"/>
      <c r="O2709" s="28"/>
      <c r="P2709" s="20"/>
      <c r="Q2709" s="20"/>
    </row>
    <row r="2710" spans="1:17" ht="24.9" customHeight="1">
      <c r="A2710" s="20">
        <v>439</v>
      </c>
      <c r="B2710" s="20" t="s">
        <v>4350</v>
      </c>
      <c r="C2710" s="19"/>
      <c r="D2710" s="20" t="s">
        <v>48</v>
      </c>
      <c r="E2710" s="19" t="str">
        <f>VLOOKUP(D2710,'لیست پرسنل'!$B$2:$E$1020,3,FALSE)</f>
        <v>فکورصنعت</v>
      </c>
      <c r="F2710" s="19" t="str">
        <f>VLOOKUP(D2710,'لیست پرسنل'!$B$2:$E$1020,4,FALSE)</f>
        <v>سرپرست آی تی</v>
      </c>
      <c r="G2710" s="127">
        <f>VLOOKUP(D2710,'لیست پرسنل'!$B$2:$F$1020,2,FALSE)</f>
        <v>2210</v>
      </c>
      <c r="H2710" s="127" t="s">
        <v>4212</v>
      </c>
      <c r="I2710" s="126"/>
      <c r="J2710" s="128" t="s">
        <v>571</v>
      </c>
      <c r="K2710" s="126" t="s">
        <v>1121</v>
      </c>
      <c r="L2710" s="150"/>
      <c r="M2710" s="127">
        <v>608759</v>
      </c>
      <c r="N2710" s="109"/>
      <c r="O2710" s="19"/>
      <c r="P2710" s="20"/>
      <c r="Q2710" s="20"/>
    </row>
    <row r="2711" spans="1:17" ht="24.9" customHeight="1">
      <c r="A2711" s="20">
        <v>439</v>
      </c>
      <c r="B2711" s="20" t="s">
        <v>4350</v>
      </c>
      <c r="C2711" s="20"/>
      <c r="D2711" s="20" t="s">
        <v>48</v>
      </c>
      <c r="E2711" s="19" t="str">
        <f>VLOOKUP(D2711,'لیست پرسنل'!$B$2:$E$1020,3,FALSE)</f>
        <v>فکورصنعت</v>
      </c>
      <c r="F2711" s="19" t="str">
        <f>VLOOKUP(D2711,'لیست پرسنل'!$B$2:$E$1020,4,FALSE)</f>
        <v>سرپرست آی تی</v>
      </c>
      <c r="G2711" s="127">
        <f>VLOOKUP(D2711,'لیست پرسنل'!$B$2:$F$1020,2,FALSE)</f>
        <v>2210</v>
      </c>
      <c r="H2711" s="128" t="s">
        <v>4212</v>
      </c>
      <c r="I2711" s="128"/>
      <c r="J2711" s="128" t="s">
        <v>571</v>
      </c>
      <c r="K2711" s="128" t="s">
        <v>571</v>
      </c>
      <c r="L2711" s="128"/>
      <c r="M2711" s="128">
        <v>609002</v>
      </c>
      <c r="N2711" s="108"/>
      <c r="O2711" s="20"/>
      <c r="P2711" s="20"/>
      <c r="Q2711" s="20"/>
    </row>
    <row r="2712" spans="1:17" ht="24.9" customHeight="1">
      <c r="A2712" s="20">
        <v>439</v>
      </c>
      <c r="B2712" s="20" t="s">
        <v>4350</v>
      </c>
      <c r="C2712" s="20"/>
      <c r="D2712" s="20" t="s">
        <v>48</v>
      </c>
      <c r="E2712" s="19" t="str">
        <f>VLOOKUP(D2712,'لیست پرسنل'!$B$2:$E$1020,3,FALSE)</f>
        <v>فکورصنعت</v>
      </c>
      <c r="F2712" s="19" t="str">
        <f>VLOOKUP(D2712,'لیست پرسنل'!$B$2:$E$1020,4,FALSE)</f>
        <v>سرپرست آی تی</v>
      </c>
      <c r="G2712" s="127">
        <f>VLOOKUP(D2712,'لیست پرسنل'!$B$2:$F$1020,2,FALSE)</f>
        <v>2210</v>
      </c>
      <c r="H2712" s="128" t="s">
        <v>4212</v>
      </c>
      <c r="I2712" s="128"/>
      <c r="J2712" s="128" t="s">
        <v>571</v>
      </c>
      <c r="K2712" s="128" t="s">
        <v>571</v>
      </c>
      <c r="L2712" s="128"/>
      <c r="M2712" s="128">
        <v>610488</v>
      </c>
      <c r="N2712" s="108"/>
      <c r="O2712" s="20"/>
      <c r="P2712" s="20"/>
      <c r="Q2712" s="20"/>
    </row>
    <row r="2713" spans="1:17" ht="24.9" customHeight="1">
      <c r="A2713" s="20">
        <v>439</v>
      </c>
      <c r="B2713" s="20" t="s">
        <v>4350</v>
      </c>
      <c r="C2713" s="19"/>
      <c r="D2713" s="20" t="s">
        <v>48</v>
      </c>
      <c r="E2713" s="19" t="str">
        <f>VLOOKUP(D2713,'لیست پرسنل'!$B$2:$E$1020,3,FALSE)</f>
        <v>فکورصنعت</v>
      </c>
      <c r="F2713" s="19" t="str">
        <f>VLOOKUP(D2713,'لیست پرسنل'!$B$2:$E$1020,4,FALSE)</f>
        <v>سرپرست آی تی</v>
      </c>
      <c r="G2713" s="127">
        <f>VLOOKUP(D2713,'لیست پرسنل'!$B$2:$F$1020,2,FALSE)</f>
        <v>2210</v>
      </c>
      <c r="H2713" s="127" t="s">
        <v>4212</v>
      </c>
      <c r="I2713" s="126"/>
      <c r="J2713" s="128" t="s">
        <v>571</v>
      </c>
      <c r="K2713" s="128"/>
      <c r="L2713" s="128"/>
      <c r="M2713" s="128">
        <v>623614</v>
      </c>
      <c r="N2713" s="108"/>
      <c r="O2713" s="19" t="s">
        <v>3747</v>
      </c>
      <c r="P2713" s="20"/>
      <c r="Q2713" s="20"/>
    </row>
    <row r="2714" spans="1:17" ht="24.9" customHeight="1">
      <c r="A2714" s="20">
        <v>439</v>
      </c>
      <c r="B2714" s="20" t="s">
        <v>4350</v>
      </c>
      <c r="C2714" s="20"/>
      <c r="D2714" s="20" t="s">
        <v>48</v>
      </c>
      <c r="E2714" s="19" t="str">
        <f>VLOOKUP(D2714,'لیست پرسنل'!$B$2:$E$1020,3,FALSE)</f>
        <v>فکورصنعت</v>
      </c>
      <c r="F2714" s="19" t="str">
        <f>VLOOKUP(D2714,'لیست پرسنل'!$B$2:$E$1020,4,FALSE)</f>
        <v>سرپرست آی تی</v>
      </c>
      <c r="G2714" s="127">
        <f>VLOOKUP(D2714,'لیست پرسنل'!$B$2:$F$1020,2,FALSE)</f>
        <v>2210</v>
      </c>
      <c r="H2714" s="128" t="s">
        <v>4212</v>
      </c>
      <c r="I2714" s="128"/>
      <c r="J2714" s="128" t="s">
        <v>571</v>
      </c>
      <c r="K2714" s="155"/>
      <c r="L2714" s="128"/>
      <c r="M2714" s="142">
        <v>632369</v>
      </c>
      <c r="N2714" s="108"/>
      <c r="O2714" s="19" t="s">
        <v>5902</v>
      </c>
      <c r="P2714" s="20"/>
      <c r="Q2714" s="20"/>
    </row>
    <row r="2715" spans="1:17" ht="24.9" customHeight="1">
      <c r="A2715" s="20">
        <v>439</v>
      </c>
      <c r="B2715" s="20" t="s">
        <v>4350</v>
      </c>
      <c r="C2715" s="20"/>
      <c r="D2715" s="20" t="s">
        <v>48</v>
      </c>
      <c r="E2715" s="19" t="str">
        <f>VLOOKUP(D2715,'لیست پرسنل'!$B$2:$E$1020,3,FALSE)</f>
        <v>فکورصنعت</v>
      </c>
      <c r="F2715" s="19" t="str">
        <f>VLOOKUP(D2715,'لیست پرسنل'!$B$2:$E$1020,4,FALSE)</f>
        <v>سرپرست آی تی</v>
      </c>
      <c r="G2715" s="127">
        <f>VLOOKUP(D2715,'لیست پرسنل'!$B$2:$F$1020,2,FALSE)</f>
        <v>2210</v>
      </c>
      <c r="H2715" s="128" t="s">
        <v>4212</v>
      </c>
      <c r="I2715" s="128"/>
      <c r="J2715" s="128" t="s">
        <v>571</v>
      </c>
      <c r="K2715" s="128" t="s">
        <v>7675</v>
      </c>
      <c r="L2715" s="128" t="s">
        <v>2219</v>
      </c>
      <c r="M2715" s="128">
        <v>636114</v>
      </c>
      <c r="N2715" s="108"/>
      <c r="O2715" s="20"/>
      <c r="P2715" s="20"/>
      <c r="Q2715" s="20"/>
    </row>
    <row r="2716" spans="1:17" ht="24.9" customHeight="1">
      <c r="A2716" s="20">
        <v>439</v>
      </c>
      <c r="B2716" s="20" t="s">
        <v>4350</v>
      </c>
      <c r="C2716" s="20"/>
      <c r="D2716" s="20" t="s">
        <v>48</v>
      </c>
      <c r="E2716" s="19" t="str">
        <f>VLOOKUP(D2716,'لیست پرسنل'!$B$2:$E$1020,3,FALSE)</f>
        <v>فکورصنعت</v>
      </c>
      <c r="F2716" s="19" t="str">
        <f>VLOOKUP(D2716,'لیست پرسنل'!$B$2:$E$1020,4,FALSE)</f>
        <v>سرپرست آی تی</v>
      </c>
      <c r="G2716" s="127">
        <f>VLOOKUP(D2716,'لیست پرسنل'!$B$2:$F$1020,2,FALSE)</f>
        <v>2210</v>
      </c>
      <c r="H2716" s="128" t="s">
        <v>4212</v>
      </c>
      <c r="I2716" s="128"/>
      <c r="J2716" s="128" t="s">
        <v>571</v>
      </c>
      <c r="K2716" s="128" t="s">
        <v>571</v>
      </c>
      <c r="L2716" s="128"/>
      <c r="M2716" s="128" t="s">
        <v>291</v>
      </c>
      <c r="N2716" s="108"/>
      <c r="O2716" s="20" t="s">
        <v>7214</v>
      </c>
      <c r="P2716" s="20"/>
      <c r="Q2716" s="20"/>
    </row>
    <row r="2717" spans="1:17" ht="24.9" customHeight="1">
      <c r="A2717" s="20">
        <v>439</v>
      </c>
      <c r="B2717" s="20" t="s">
        <v>4350</v>
      </c>
      <c r="C2717" s="19"/>
      <c r="D2717" s="19" t="s">
        <v>48</v>
      </c>
      <c r="E2717" s="19" t="str">
        <f>VLOOKUP(D2717,'لیست پرسنل'!$B$2:$E$1020,3,FALSE)</f>
        <v>فکورصنعت</v>
      </c>
      <c r="F2717" s="19" t="str">
        <f>VLOOKUP(D2717,'لیست پرسنل'!$B$2:$E$1020,4,FALSE)</f>
        <v>سرپرست آی تی</v>
      </c>
      <c r="G2717" s="127">
        <f>VLOOKUP(D2717,'لیست پرسنل'!$B$2:$F$1020,2,FALSE)</f>
        <v>2210</v>
      </c>
      <c r="H2717" s="127" t="s">
        <v>4212</v>
      </c>
      <c r="I2717" s="126"/>
      <c r="J2717" s="128" t="s">
        <v>2686</v>
      </c>
      <c r="K2717" s="128" t="s">
        <v>364</v>
      </c>
      <c r="L2717" s="151" t="s">
        <v>961</v>
      </c>
      <c r="M2717" s="128">
        <v>623618</v>
      </c>
      <c r="N2717" s="109"/>
      <c r="O2717" s="19" t="s">
        <v>3758</v>
      </c>
      <c r="P2717" s="20"/>
      <c r="Q2717" s="20"/>
    </row>
    <row r="2718" spans="1:17" ht="24.9" customHeight="1">
      <c r="A2718" s="20">
        <v>439</v>
      </c>
      <c r="B2718" s="20" t="s">
        <v>4350</v>
      </c>
      <c r="C2718" s="20"/>
      <c r="D2718" s="20" t="s">
        <v>48</v>
      </c>
      <c r="E2718" s="19" t="str">
        <f>VLOOKUP(D2718,'لیست پرسنل'!$B$2:$E$1020,3,FALSE)</f>
        <v>فکورصنعت</v>
      </c>
      <c r="F2718" s="19" t="str">
        <f>VLOOKUP(D2718,'لیست پرسنل'!$B$2:$E$1020,4,FALSE)</f>
        <v>سرپرست آی تی</v>
      </c>
      <c r="G2718" s="127">
        <f>VLOOKUP(D2718,'لیست پرسنل'!$B$2:$F$1020,2,FALSE)</f>
        <v>2210</v>
      </c>
      <c r="H2718" s="128" t="s">
        <v>4212</v>
      </c>
      <c r="I2718" s="128"/>
      <c r="J2718" s="128" t="s">
        <v>2686</v>
      </c>
      <c r="K2718" s="128" t="s">
        <v>2922</v>
      </c>
      <c r="L2718" s="128" t="s">
        <v>3023</v>
      </c>
      <c r="M2718" s="128">
        <v>626506</v>
      </c>
      <c r="N2718" s="108"/>
      <c r="O2718" s="20" t="s">
        <v>705</v>
      </c>
      <c r="P2718" s="20"/>
      <c r="Q2718" s="20"/>
    </row>
    <row r="2719" spans="1:17" ht="24.9" customHeight="1">
      <c r="A2719" s="20">
        <v>439</v>
      </c>
      <c r="B2719" s="20" t="s">
        <v>4350</v>
      </c>
      <c r="C2719" s="20"/>
      <c r="D2719" s="20" t="s">
        <v>48</v>
      </c>
      <c r="E2719" s="19" t="str">
        <f>VLOOKUP(D2719,'لیست پرسنل'!$B$2:$E$1020,3,FALSE)</f>
        <v>فکورصنعت</v>
      </c>
      <c r="F2719" s="19" t="str">
        <f>VLOOKUP(D2719,'لیست پرسنل'!$B$2:$E$1020,4,FALSE)</f>
        <v>سرپرست آی تی</v>
      </c>
      <c r="G2719" s="127">
        <f>VLOOKUP(D2719,'لیست پرسنل'!$B$2:$F$1020,2,FALSE)</f>
        <v>2210</v>
      </c>
      <c r="H2719" s="128" t="s">
        <v>4212</v>
      </c>
      <c r="I2719" s="128"/>
      <c r="J2719" s="128" t="s">
        <v>2686</v>
      </c>
      <c r="K2719" s="128" t="s">
        <v>5808</v>
      </c>
      <c r="L2719" s="128"/>
      <c r="M2719" s="142">
        <v>632383</v>
      </c>
      <c r="N2719" s="108"/>
      <c r="O2719" s="19" t="s">
        <v>5901</v>
      </c>
      <c r="P2719" s="20"/>
      <c r="Q2719" s="20"/>
    </row>
    <row r="2720" spans="1:17" ht="24.9" customHeight="1">
      <c r="A2720" s="20">
        <v>439</v>
      </c>
      <c r="B2720" s="20" t="s">
        <v>4350</v>
      </c>
      <c r="C2720" s="20"/>
      <c r="D2720" s="20" t="s">
        <v>48</v>
      </c>
      <c r="E2720" s="19" t="str">
        <f>VLOOKUP(D2720,'لیست پرسنل'!$B$2:$E$1020,3,FALSE)</f>
        <v>فکورصنعت</v>
      </c>
      <c r="F2720" s="19" t="str">
        <f>VLOOKUP(D2720,'لیست پرسنل'!$B$2:$E$1020,4,FALSE)</f>
        <v>سرپرست آی تی</v>
      </c>
      <c r="G2720" s="127">
        <f>VLOOKUP(D2720,'لیست پرسنل'!$B$2:$F$1020,2,FALSE)</f>
        <v>2210</v>
      </c>
      <c r="H2720" s="128" t="s">
        <v>4212</v>
      </c>
      <c r="I2720" s="128"/>
      <c r="J2720" s="128" t="s">
        <v>2686</v>
      </c>
      <c r="K2720" s="128" t="s">
        <v>7364</v>
      </c>
      <c r="L2720" s="127" t="s">
        <v>7365</v>
      </c>
      <c r="M2720" s="127">
        <v>635889</v>
      </c>
      <c r="N2720" s="109"/>
      <c r="O2720" s="19"/>
      <c r="P2720" s="32"/>
      <c r="Q2720" s="32"/>
    </row>
    <row r="2721" spans="1:17" ht="24.9" customHeight="1">
      <c r="A2721" s="20">
        <v>439</v>
      </c>
      <c r="B2721" s="20" t="s">
        <v>4350</v>
      </c>
      <c r="C2721" s="20"/>
      <c r="D2721" s="20" t="s">
        <v>48</v>
      </c>
      <c r="E2721" s="19" t="str">
        <f>VLOOKUP(D2721,'لیست پرسنل'!$B$2:$E$1020,3,FALSE)</f>
        <v>فکورصنعت</v>
      </c>
      <c r="F2721" s="19" t="str">
        <f>VLOOKUP(D2721,'لیست پرسنل'!$B$2:$E$1020,4,FALSE)</f>
        <v>سرپرست آی تی</v>
      </c>
      <c r="G2721" s="127">
        <f>VLOOKUP(D2721,'لیست پرسنل'!$B$2:$F$1020,2,FALSE)</f>
        <v>2210</v>
      </c>
      <c r="H2721" s="128" t="s">
        <v>4212</v>
      </c>
      <c r="I2721" s="128"/>
      <c r="J2721" s="128" t="s">
        <v>2686</v>
      </c>
      <c r="K2721" s="128" t="s">
        <v>7674</v>
      </c>
      <c r="L2721" s="128" t="s">
        <v>7677</v>
      </c>
      <c r="M2721" s="128">
        <v>636101</v>
      </c>
      <c r="N2721" s="108"/>
      <c r="O2721" s="20"/>
      <c r="P2721" s="20"/>
      <c r="Q2721" s="20"/>
    </row>
    <row r="2722" spans="1:17" ht="24.9" customHeight="1">
      <c r="A2722" s="20">
        <v>439</v>
      </c>
      <c r="B2722" s="20" t="s">
        <v>4350</v>
      </c>
      <c r="C2722" s="20"/>
      <c r="D2722" s="20" t="s">
        <v>48</v>
      </c>
      <c r="E2722" s="19" t="str">
        <f>VLOOKUP(D2722,'لیست پرسنل'!$B$2:$E$1020,3,FALSE)</f>
        <v>فکورصنعت</v>
      </c>
      <c r="F2722" s="19" t="str">
        <f>VLOOKUP(D2722,'لیست پرسنل'!$B$2:$E$1020,4,FALSE)</f>
        <v>سرپرست آی تی</v>
      </c>
      <c r="G2722" s="127">
        <f>VLOOKUP(D2722,'لیست پرسنل'!$B$2:$F$1020,2,FALSE)</f>
        <v>2210</v>
      </c>
      <c r="H2722" s="128" t="s">
        <v>4212</v>
      </c>
      <c r="I2722" s="128"/>
      <c r="J2722" s="128" t="s">
        <v>2686</v>
      </c>
      <c r="K2722" s="128" t="s">
        <v>7674</v>
      </c>
      <c r="L2722" s="128" t="s">
        <v>7676</v>
      </c>
      <c r="M2722" s="128">
        <v>636102</v>
      </c>
      <c r="N2722" s="108"/>
      <c r="O2722" s="20"/>
      <c r="P2722" s="20"/>
      <c r="Q2722" s="20"/>
    </row>
    <row r="2723" spans="1:17" ht="24.9" customHeight="1">
      <c r="A2723" s="20">
        <v>439</v>
      </c>
      <c r="B2723" s="20" t="s">
        <v>4349</v>
      </c>
      <c r="C2723" s="19">
        <v>1</v>
      </c>
      <c r="D2723" s="20" t="s">
        <v>3728</v>
      </c>
      <c r="E2723" s="19" t="str">
        <f>VLOOKUP(D2723,'لیست پرسنل'!$B$2:$E$1020,3,FALSE)</f>
        <v>فکورصنعت</v>
      </c>
      <c r="F2723" s="19" t="str">
        <f>VLOOKUP(D2723,'لیست پرسنل'!$B$2:$E$1020,4,FALSE)</f>
        <v>مدیر سایت</v>
      </c>
      <c r="G2723" s="127">
        <f>VLOOKUP(D2723,'لیست پرسنل'!$B$2:$F$1020,2,FALSE)</f>
        <v>483</v>
      </c>
      <c r="H2723" s="127" t="s">
        <v>3745</v>
      </c>
      <c r="I2723" s="128" t="s">
        <v>927</v>
      </c>
      <c r="J2723" s="126" t="s">
        <v>368</v>
      </c>
      <c r="K2723" s="128" t="s">
        <v>797</v>
      </c>
      <c r="L2723" s="127"/>
      <c r="M2723" s="128">
        <v>623424</v>
      </c>
      <c r="N2723" s="108"/>
      <c r="O2723" s="69"/>
      <c r="P2723" s="20"/>
      <c r="Q2723" s="20"/>
    </row>
    <row r="2724" spans="1:17" ht="24.9" customHeight="1">
      <c r="A2724" s="20">
        <v>439</v>
      </c>
      <c r="B2724" s="20" t="s">
        <v>4349</v>
      </c>
      <c r="C2724" s="19">
        <v>1</v>
      </c>
      <c r="D2724" s="20" t="s">
        <v>3728</v>
      </c>
      <c r="E2724" s="19" t="str">
        <f>VLOOKUP(D2724,'لیست پرسنل'!$B$2:$E$1020,3,FALSE)</f>
        <v>فکورصنعت</v>
      </c>
      <c r="F2724" s="19" t="str">
        <f>VLOOKUP(D2724,'لیست پرسنل'!$B$2:$E$1020,4,FALSE)</f>
        <v>مدیر سایت</v>
      </c>
      <c r="G2724" s="127">
        <f>VLOOKUP(D2724,'لیست پرسنل'!$B$2:$F$1020,2,FALSE)</f>
        <v>483</v>
      </c>
      <c r="H2724" s="127" t="s">
        <v>3745</v>
      </c>
      <c r="I2724" s="128" t="s">
        <v>927</v>
      </c>
      <c r="J2724" s="128" t="s">
        <v>5366</v>
      </c>
      <c r="K2724" s="128" t="s">
        <v>1628</v>
      </c>
      <c r="L2724" s="128" t="s">
        <v>1630</v>
      </c>
      <c r="M2724" s="128">
        <v>625108</v>
      </c>
      <c r="N2724" s="108"/>
      <c r="O2724" s="69"/>
      <c r="P2724" s="20"/>
      <c r="Q2724" s="20"/>
    </row>
    <row r="2725" spans="1:17" ht="24.9" customHeight="1">
      <c r="A2725" s="185">
        <v>439</v>
      </c>
      <c r="B2725" s="185" t="s">
        <v>4349</v>
      </c>
      <c r="C2725" s="186">
        <v>1</v>
      </c>
      <c r="D2725" s="67" t="s">
        <v>3728</v>
      </c>
      <c r="E2725" s="186" t="str">
        <f>VLOOKUP(D2725,'لیست پرسنل'!$B$2:$E$1020,3,FALSE)</f>
        <v>فکورصنعت</v>
      </c>
      <c r="F2725" s="186" t="str">
        <f>VLOOKUP(D2725,'لیست پرسنل'!$B$2:$E$1020,4,FALSE)</f>
        <v>مدیر سایت</v>
      </c>
      <c r="G2725" s="187">
        <f>VLOOKUP(D2725,'لیست پرسنل'!$B$2:$F$1020,2,FALSE)</f>
        <v>483</v>
      </c>
      <c r="H2725" s="187" t="s">
        <v>3745</v>
      </c>
      <c r="I2725" s="194" t="s">
        <v>927</v>
      </c>
      <c r="J2725" s="188" t="s">
        <v>571</v>
      </c>
      <c r="K2725" s="187"/>
      <c r="L2725" s="187"/>
      <c r="M2725" s="194">
        <v>625432</v>
      </c>
      <c r="N2725" s="198"/>
      <c r="O2725" s="224"/>
      <c r="P2725" s="185"/>
      <c r="Q2725" s="185"/>
    </row>
    <row r="2726" spans="1:17" ht="24.9" customHeight="1">
      <c r="A2726" s="20">
        <v>439</v>
      </c>
      <c r="B2726" s="20" t="s">
        <v>4349</v>
      </c>
      <c r="C2726" s="19">
        <v>1</v>
      </c>
      <c r="D2726" s="20" t="s">
        <v>3728</v>
      </c>
      <c r="E2726" s="19" t="str">
        <f>VLOOKUP(D2726,'لیست پرسنل'!$B$2:$E$1020,3,FALSE)</f>
        <v>فکورصنعت</v>
      </c>
      <c r="F2726" s="19" t="str">
        <f>VLOOKUP(D2726,'لیست پرسنل'!$B$2:$E$1020,4,FALSE)</f>
        <v>مدیر سایت</v>
      </c>
      <c r="G2726" s="127">
        <f>VLOOKUP(D2726,'لیست پرسنل'!$B$2:$F$1020,2,FALSE)</f>
        <v>483</v>
      </c>
      <c r="H2726" s="127" t="s">
        <v>3745</v>
      </c>
      <c r="I2726" s="128" t="s">
        <v>927</v>
      </c>
      <c r="J2726" s="128" t="s">
        <v>2686</v>
      </c>
      <c r="K2726" s="127" t="s">
        <v>2868</v>
      </c>
      <c r="L2726" s="127" t="s">
        <v>2870</v>
      </c>
      <c r="M2726" s="128">
        <v>628446</v>
      </c>
      <c r="N2726" s="108"/>
      <c r="O2726" s="20"/>
      <c r="P2726" s="20"/>
      <c r="Q2726" s="20"/>
    </row>
    <row r="2727" spans="1:17" ht="24.9" customHeight="1">
      <c r="A2727" s="20">
        <v>439</v>
      </c>
      <c r="B2727" s="20" t="s">
        <v>4349</v>
      </c>
      <c r="C2727" s="20">
        <v>2</v>
      </c>
      <c r="D2727" s="31" t="s">
        <v>3729</v>
      </c>
      <c r="E2727" s="19" t="str">
        <f>VLOOKUP(D2727,'لیست پرسنل'!$B$2:$E$1020,3,FALSE)</f>
        <v>فکورصنعت</v>
      </c>
      <c r="F2727" s="19" t="str">
        <f>VLOOKUP(D2727,'لیست پرسنل'!$B$2:$E$1020,4,FALSE)</f>
        <v>برق</v>
      </c>
      <c r="G2727" s="127">
        <f>VLOOKUP(D2727,'لیست پرسنل'!$B$2:$F$1020,2,FALSE)</f>
        <v>787</v>
      </c>
      <c r="H2727" s="127" t="s">
        <v>3745</v>
      </c>
      <c r="I2727" s="127" t="s">
        <v>7472</v>
      </c>
      <c r="J2727" s="126" t="s">
        <v>368</v>
      </c>
      <c r="K2727" s="128" t="s">
        <v>798</v>
      </c>
      <c r="L2727" s="127" t="s">
        <v>6689</v>
      </c>
      <c r="M2727" s="142">
        <v>623430</v>
      </c>
      <c r="N2727" s="109"/>
      <c r="O2727" s="69" t="s">
        <v>6688</v>
      </c>
      <c r="P2727" s="20"/>
      <c r="Q2727" s="20"/>
    </row>
    <row r="2728" spans="1:17" ht="24.9" customHeight="1">
      <c r="A2728" s="20">
        <v>439</v>
      </c>
      <c r="B2728" s="20" t="s">
        <v>4349</v>
      </c>
      <c r="C2728" s="20">
        <v>2</v>
      </c>
      <c r="D2728" s="31" t="s">
        <v>3729</v>
      </c>
      <c r="E2728" s="19" t="str">
        <f>VLOOKUP(D2728,'لیست پرسنل'!$B$2:$E$1020,3,FALSE)</f>
        <v>فکورصنعت</v>
      </c>
      <c r="F2728" s="19" t="str">
        <f>VLOOKUP(D2728,'لیست پرسنل'!$B$2:$E$1020,4,FALSE)</f>
        <v>برق</v>
      </c>
      <c r="G2728" s="127">
        <f>VLOOKUP(D2728,'لیست پرسنل'!$B$2:$F$1020,2,FALSE)</f>
        <v>787</v>
      </c>
      <c r="H2728" s="127" t="s">
        <v>3745</v>
      </c>
      <c r="I2728" s="127" t="s">
        <v>7472</v>
      </c>
      <c r="J2728" s="128" t="s">
        <v>571</v>
      </c>
      <c r="K2728" s="128"/>
      <c r="L2728" s="128"/>
      <c r="M2728" s="127">
        <v>625430</v>
      </c>
      <c r="N2728" s="109"/>
      <c r="O2728" s="69" t="s">
        <v>6688</v>
      </c>
      <c r="P2728" s="20"/>
      <c r="Q2728" s="20"/>
    </row>
    <row r="2729" spans="1:17" ht="24.9" customHeight="1">
      <c r="A2729" s="20">
        <v>439</v>
      </c>
      <c r="B2729" s="20" t="s">
        <v>4349</v>
      </c>
      <c r="C2729" s="20">
        <v>2</v>
      </c>
      <c r="D2729" s="31" t="s">
        <v>3729</v>
      </c>
      <c r="E2729" s="19" t="str">
        <f>VLOOKUP(D2729,'لیست پرسنل'!$B$2:$E$1020,3,FALSE)</f>
        <v>فکورصنعت</v>
      </c>
      <c r="F2729" s="19" t="str">
        <f>VLOOKUP(D2729,'لیست پرسنل'!$B$2:$E$1020,4,FALSE)</f>
        <v>برق</v>
      </c>
      <c r="G2729" s="127">
        <f>VLOOKUP(D2729,'لیست پرسنل'!$B$2:$F$1020,2,FALSE)</f>
        <v>787</v>
      </c>
      <c r="H2729" s="127" t="s">
        <v>3745</v>
      </c>
      <c r="I2729" s="127" t="s">
        <v>7472</v>
      </c>
      <c r="J2729" s="128" t="s">
        <v>2686</v>
      </c>
      <c r="K2729" s="128" t="s">
        <v>2922</v>
      </c>
      <c r="L2729" s="128" t="s">
        <v>2921</v>
      </c>
      <c r="M2729" s="128">
        <v>626435</v>
      </c>
      <c r="N2729" s="108"/>
      <c r="O2729" s="69" t="s">
        <v>6688</v>
      </c>
      <c r="P2729" s="20"/>
      <c r="Q2729" s="20"/>
    </row>
    <row r="2730" spans="1:17" ht="24.9" customHeight="1">
      <c r="A2730" s="20">
        <v>439</v>
      </c>
      <c r="B2730" s="20" t="s">
        <v>4349</v>
      </c>
      <c r="C2730" s="19">
        <v>3</v>
      </c>
      <c r="D2730" s="31" t="s">
        <v>3730</v>
      </c>
      <c r="E2730" s="19" t="str">
        <f>VLOOKUP(D2730,'لیست پرسنل'!$B$2:$E$1020,3,FALSE)</f>
        <v>فکورصنعت</v>
      </c>
      <c r="F2730" s="19" t="str">
        <f>VLOOKUP(D2730,'لیست پرسنل'!$B$2:$E$1020,4,FALSE)</f>
        <v>سیویل</v>
      </c>
      <c r="G2730" s="127">
        <f>VLOOKUP(D2730,'لیست پرسنل'!$B$2:$F$1020,2,FALSE)</f>
        <v>770</v>
      </c>
      <c r="H2730" s="127" t="s">
        <v>3745</v>
      </c>
      <c r="I2730" s="126" t="s">
        <v>928</v>
      </c>
      <c r="J2730" s="126" t="s">
        <v>368</v>
      </c>
      <c r="K2730" s="128" t="s">
        <v>798</v>
      </c>
      <c r="L2730" s="128"/>
      <c r="M2730" s="142">
        <v>623425</v>
      </c>
      <c r="N2730" s="108"/>
      <c r="O2730" s="69"/>
      <c r="P2730" s="20"/>
      <c r="Q2730" s="20"/>
    </row>
    <row r="2731" spans="1:17" ht="24.9" customHeight="1">
      <c r="A2731" s="20">
        <v>439</v>
      </c>
      <c r="B2731" s="20" t="s">
        <v>4349</v>
      </c>
      <c r="C2731" s="19">
        <v>3</v>
      </c>
      <c r="D2731" s="31" t="s">
        <v>3730</v>
      </c>
      <c r="E2731" s="19" t="str">
        <f>VLOOKUP(D2731,'لیست پرسنل'!$B$2:$E$1020,3,FALSE)</f>
        <v>فکورصنعت</v>
      </c>
      <c r="F2731" s="19" t="str">
        <f>VLOOKUP(D2731,'لیست پرسنل'!$B$2:$E$1020,4,FALSE)</f>
        <v>سیویل</v>
      </c>
      <c r="G2731" s="127">
        <f>VLOOKUP(D2731,'لیست پرسنل'!$B$2:$F$1020,2,FALSE)</f>
        <v>770</v>
      </c>
      <c r="H2731" s="127" t="s">
        <v>3745</v>
      </c>
      <c r="I2731" s="126" t="s">
        <v>928</v>
      </c>
      <c r="J2731" s="128" t="s">
        <v>571</v>
      </c>
      <c r="K2731" s="128"/>
      <c r="L2731" s="128"/>
      <c r="M2731" s="128">
        <v>625450</v>
      </c>
      <c r="N2731" s="108"/>
      <c r="O2731" s="69"/>
      <c r="P2731" s="20"/>
      <c r="Q2731" s="20"/>
    </row>
    <row r="2732" spans="1:17" ht="24.9" customHeight="1">
      <c r="A2732" s="20">
        <v>439</v>
      </c>
      <c r="B2732" s="20" t="s">
        <v>4349</v>
      </c>
      <c r="C2732" s="19">
        <v>3</v>
      </c>
      <c r="D2732" s="31" t="s">
        <v>3730</v>
      </c>
      <c r="E2732" s="19" t="str">
        <f>VLOOKUP(D2732,'لیست پرسنل'!$B$2:$E$1020,3,FALSE)</f>
        <v>فکورصنعت</v>
      </c>
      <c r="F2732" s="19" t="str">
        <f>VLOOKUP(D2732,'لیست پرسنل'!$B$2:$E$1020,4,FALSE)</f>
        <v>سیویل</v>
      </c>
      <c r="G2732" s="127">
        <f>VLOOKUP(D2732,'لیست پرسنل'!$B$2:$F$1020,2,FALSE)</f>
        <v>770</v>
      </c>
      <c r="H2732" s="127" t="s">
        <v>3745</v>
      </c>
      <c r="I2732" s="126" t="s">
        <v>928</v>
      </c>
      <c r="J2732" s="128" t="s">
        <v>2686</v>
      </c>
      <c r="K2732" s="128" t="s">
        <v>2922</v>
      </c>
      <c r="L2732" s="128" t="s">
        <v>3090</v>
      </c>
      <c r="M2732" s="142">
        <v>626574</v>
      </c>
      <c r="N2732" s="108"/>
      <c r="O2732" s="20"/>
      <c r="P2732" s="20"/>
      <c r="Q2732" s="20"/>
    </row>
    <row r="2733" spans="1:17" ht="24.9" customHeight="1">
      <c r="A2733" s="20">
        <v>439</v>
      </c>
      <c r="B2733" s="20" t="s">
        <v>4349</v>
      </c>
      <c r="C2733" s="19">
        <v>5</v>
      </c>
      <c r="D2733" s="31" t="s">
        <v>3732</v>
      </c>
      <c r="E2733" s="19" t="str">
        <f>VLOOKUP(D2733,'لیست پرسنل'!$B$2:$E$1020,3,FALSE)</f>
        <v>فکورصنعت</v>
      </c>
      <c r="F2733" s="19" t="str">
        <f>VLOOKUP(D2733,'لیست پرسنل'!$B$2:$E$1020,4,FALSE)</f>
        <v>سیویل</v>
      </c>
      <c r="G2733" s="127" t="str">
        <f>VLOOKUP(D2733,'لیست پرسنل'!$B$2:$F$1020,2,FALSE)</f>
        <v>4000808</v>
      </c>
      <c r="H2733" s="127" t="s">
        <v>3745</v>
      </c>
      <c r="I2733" s="126" t="s">
        <v>929</v>
      </c>
      <c r="J2733" s="128" t="s">
        <v>737</v>
      </c>
      <c r="K2733" s="134" t="s">
        <v>1952</v>
      </c>
      <c r="L2733" s="164" t="s">
        <v>3678</v>
      </c>
      <c r="M2733" s="127">
        <v>628109</v>
      </c>
      <c r="N2733" s="109"/>
      <c r="O2733" s="69"/>
      <c r="P2733" s="20"/>
      <c r="Q2733" s="20"/>
    </row>
    <row r="2734" spans="1:17" ht="24.9" customHeight="1">
      <c r="A2734" s="20">
        <v>439</v>
      </c>
      <c r="B2734" s="20" t="s">
        <v>4349</v>
      </c>
      <c r="C2734" s="19">
        <v>5</v>
      </c>
      <c r="D2734" s="31" t="s">
        <v>3732</v>
      </c>
      <c r="E2734" s="19" t="str">
        <f>VLOOKUP(D2734,'لیست پرسنل'!$B$2:$E$1020,3,FALSE)</f>
        <v>فکورصنعت</v>
      </c>
      <c r="F2734" s="19" t="str">
        <f>VLOOKUP(D2734,'لیست پرسنل'!$B$2:$E$1020,4,FALSE)</f>
        <v>سیویل</v>
      </c>
      <c r="G2734" s="127" t="str">
        <f>VLOOKUP(D2734,'لیست پرسنل'!$B$2:$F$1020,2,FALSE)</f>
        <v>4000808</v>
      </c>
      <c r="H2734" s="127" t="s">
        <v>3745</v>
      </c>
      <c r="I2734" s="126" t="s">
        <v>929</v>
      </c>
      <c r="J2734" s="126" t="s">
        <v>368</v>
      </c>
      <c r="K2734" s="128" t="s">
        <v>798</v>
      </c>
      <c r="L2734" s="127"/>
      <c r="M2734" s="142">
        <v>623431</v>
      </c>
      <c r="N2734" s="109"/>
      <c r="O2734" s="69"/>
      <c r="P2734" s="20"/>
      <c r="Q2734" s="20"/>
    </row>
    <row r="2735" spans="1:17" ht="24.9" customHeight="1">
      <c r="A2735" s="20">
        <v>439</v>
      </c>
      <c r="B2735" s="20" t="s">
        <v>4349</v>
      </c>
      <c r="C2735" s="20">
        <v>5</v>
      </c>
      <c r="D2735" s="31" t="s">
        <v>3732</v>
      </c>
      <c r="E2735" s="19" t="str">
        <f>VLOOKUP(D2735,'لیست پرسنل'!$B$2:$E$1020,3,FALSE)</f>
        <v>فکورصنعت</v>
      </c>
      <c r="F2735" s="19" t="str">
        <f>VLOOKUP(D2735,'لیست پرسنل'!$B$2:$E$1020,4,FALSE)</f>
        <v>سیویل</v>
      </c>
      <c r="G2735" s="127" t="str">
        <f>VLOOKUP(D2735,'لیست پرسنل'!$B$2:$F$1020,2,FALSE)</f>
        <v>4000808</v>
      </c>
      <c r="H2735" s="127" t="s">
        <v>3745</v>
      </c>
      <c r="I2735" s="128" t="s">
        <v>929</v>
      </c>
      <c r="J2735" s="128" t="s">
        <v>571</v>
      </c>
      <c r="K2735" s="128" t="s">
        <v>571</v>
      </c>
      <c r="L2735" s="128" t="s">
        <v>2219</v>
      </c>
      <c r="M2735" s="128">
        <v>625443</v>
      </c>
      <c r="N2735" s="108"/>
      <c r="O2735" s="20"/>
      <c r="P2735" s="20"/>
      <c r="Q2735" s="20"/>
    </row>
    <row r="2736" spans="1:17" ht="24.9" customHeight="1">
      <c r="A2736" s="20">
        <v>439</v>
      </c>
      <c r="B2736" s="20" t="s">
        <v>4349</v>
      </c>
      <c r="C2736" s="19">
        <v>5</v>
      </c>
      <c r="D2736" s="31" t="s">
        <v>3732</v>
      </c>
      <c r="E2736" s="19" t="str">
        <f>VLOOKUP(D2736,'لیست پرسنل'!$B$2:$E$1020,3,FALSE)</f>
        <v>فکورصنعت</v>
      </c>
      <c r="F2736" s="19" t="str">
        <f>VLOOKUP(D2736,'لیست پرسنل'!$B$2:$E$1020,4,FALSE)</f>
        <v>سیویل</v>
      </c>
      <c r="G2736" s="127" t="str">
        <f>VLOOKUP(D2736,'لیست پرسنل'!$B$2:$F$1020,2,FALSE)</f>
        <v>4000808</v>
      </c>
      <c r="H2736" s="127" t="s">
        <v>3745</v>
      </c>
      <c r="I2736" s="126" t="s">
        <v>929</v>
      </c>
      <c r="J2736" s="128" t="s">
        <v>2686</v>
      </c>
      <c r="K2736" s="128" t="s">
        <v>7674</v>
      </c>
      <c r="L2736" s="128" t="s">
        <v>7682</v>
      </c>
      <c r="M2736" s="128">
        <v>636100</v>
      </c>
      <c r="N2736" s="108"/>
      <c r="O2736" s="20"/>
      <c r="P2736" s="20"/>
      <c r="Q2736" s="20"/>
    </row>
    <row r="2737" spans="1:17" ht="24.9" customHeight="1">
      <c r="A2737" s="20">
        <v>439</v>
      </c>
      <c r="B2737" s="20" t="s">
        <v>4349</v>
      </c>
      <c r="C2737" s="19">
        <v>6</v>
      </c>
      <c r="D2737" s="20" t="s">
        <v>3733</v>
      </c>
      <c r="E2737" s="19" t="str">
        <f>VLOOKUP(D2737,'لیست پرسنل'!$B$2:$E$1020,3,FALSE)</f>
        <v>فکورصنعت</v>
      </c>
      <c r="F2737" s="19" t="str">
        <f>VLOOKUP(D2737,'لیست پرسنل'!$B$2:$E$1020,4,FALSE)</f>
        <v>اداری - پشتیبانی</v>
      </c>
      <c r="G2737" s="127">
        <f>VLOOKUP(D2737,'لیست پرسنل'!$B$2:$F$1020,2,FALSE)</f>
        <v>4000809</v>
      </c>
      <c r="H2737" s="127" t="s">
        <v>3745</v>
      </c>
      <c r="I2737" s="126" t="s">
        <v>935</v>
      </c>
      <c r="J2737" s="128" t="s">
        <v>737</v>
      </c>
      <c r="K2737" s="127" t="s">
        <v>932</v>
      </c>
      <c r="L2737" s="150" t="s">
        <v>894</v>
      </c>
      <c r="M2737" s="128">
        <v>623606</v>
      </c>
      <c r="N2737" s="108"/>
      <c r="O2737" s="20" t="s">
        <v>3763</v>
      </c>
      <c r="P2737" s="20"/>
      <c r="Q2737" s="20"/>
    </row>
    <row r="2738" spans="1:17" ht="24.9" customHeight="1">
      <c r="A2738" s="20">
        <v>439</v>
      </c>
      <c r="B2738" s="20" t="s">
        <v>4349</v>
      </c>
      <c r="C2738" s="19">
        <v>6</v>
      </c>
      <c r="D2738" s="20" t="s">
        <v>3733</v>
      </c>
      <c r="E2738" s="19" t="str">
        <f>VLOOKUP(D2738,'لیست پرسنل'!$B$2:$E$1020,3,FALSE)</f>
        <v>فکورصنعت</v>
      </c>
      <c r="F2738" s="19" t="str">
        <f>VLOOKUP(D2738,'لیست پرسنل'!$B$2:$E$1020,4,FALSE)</f>
        <v>اداری - پشتیبانی</v>
      </c>
      <c r="G2738" s="127">
        <f>VLOOKUP(D2738,'لیست پرسنل'!$B$2:$F$1020,2,FALSE)</f>
        <v>4000809</v>
      </c>
      <c r="H2738" s="127" t="s">
        <v>3745</v>
      </c>
      <c r="I2738" s="126" t="s">
        <v>935</v>
      </c>
      <c r="J2738" s="126" t="s">
        <v>368</v>
      </c>
      <c r="K2738" s="128" t="s">
        <v>798</v>
      </c>
      <c r="L2738" s="127"/>
      <c r="M2738" s="142">
        <v>623427</v>
      </c>
      <c r="N2738" s="108"/>
      <c r="O2738" s="69"/>
      <c r="P2738" s="20"/>
      <c r="Q2738" s="20"/>
    </row>
    <row r="2739" spans="1:17" ht="24.9" customHeight="1">
      <c r="A2739" s="20">
        <v>439</v>
      </c>
      <c r="B2739" s="20" t="s">
        <v>4349</v>
      </c>
      <c r="C2739" s="19">
        <v>6</v>
      </c>
      <c r="D2739" s="20" t="s">
        <v>3733</v>
      </c>
      <c r="E2739" s="19" t="str">
        <f>VLOOKUP(D2739,'لیست پرسنل'!$B$2:$E$1020,3,FALSE)</f>
        <v>فکورصنعت</v>
      </c>
      <c r="F2739" s="19" t="str">
        <f>VLOOKUP(D2739,'لیست پرسنل'!$B$2:$E$1020,4,FALSE)</f>
        <v>اداری - پشتیبانی</v>
      </c>
      <c r="G2739" s="127">
        <f>VLOOKUP(D2739,'لیست پرسنل'!$B$2:$F$1020,2,FALSE)</f>
        <v>4000809</v>
      </c>
      <c r="H2739" s="127" t="s">
        <v>3745</v>
      </c>
      <c r="I2739" s="126" t="s">
        <v>935</v>
      </c>
      <c r="J2739" s="128" t="s">
        <v>3938</v>
      </c>
      <c r="K2739" s="128" t="s">
        <v>2544</v>
      </c>
      <c r="L2739" s="128"/>
      <c r="M2739" s="128">
        <v>623447</v>
      </c>
      <c r="N2739" s="108"/>
      <c r="O2739" s="20" t="s">
        <v>3154</v>
      </c>
      <c r="P2739" s="20"/>
      <c r="Q2739" s="20"/>
    </row>
    <row r="2740" spans="1:17" ht="24.9" customHeight="1">
      <c r="A2740" s="20">
        <v>439</v>
      </c>
      <c r="B2740" s="20" t="s">
        <v>4349</v>
      </c>
      <c r="C2740" s="19">
        <v>6</v>
      </c>
      <c r="D2740" s="20" t="s">
        <v>3733</v>
      </c>
      <c r="E2740" s="19" t="str">
        <f>VLOOKUP(D2740,'لیست پرسنل'!$B$2:$E$1020,3,FALSE)</f>
        <v>فکورصنعت</v>
      </c>
      <c r="F2740" s="19" t="str">
        <f>VLOOKUP(D2740,'لیست پرسنل'!$B$2:$E$1020,4,FALSE)</f>
        <v>اداری - پشتیبانی</v>
      </c>
      <c r="G2740" s="127">
        <f>VLOOKUP(D2740,'لیست پرسنل'!$B$2:$F$1020,2,FALSE)</f>
        <v>4000809</v>
      </c>
      <c r="H2740" s="127" t="s">
        <v>3745</v>
      </c>
      <c r="I2740" s="126" t="s">
        <v>935</v>
      </c>
      <c r="J2740" s="128" t="s">
        <v>571</v>
      </c>
      <c r="K2740" s="128" t="s">
        <v>7675</v>
      </c>
      <c r="L2740" s="127" t="s">
        <v>2219</v>
      </c>
      <c r="M2740" s="127">
        <v>633645</v>
      </c>
      <c r="N2740" s="109"/>
      <c r="O2740" s="19" t="s">
        <v>6306</v>
      </c>
      <c r="P2740" s="32"/>
      <c r="Q2740" s="32"/>
    </row>
    <row r="2741" spans="1:17" ht="24.9" customHeight="1">
      <c r="A2741" s="20">
        <v>439</v>
      </c>
      <c r="B2741" s="20" t="s">
        <v>4349</v>
      </c>
      <c r="C2741" s="19">
        <v>6</v>
      </c>
      <c r="D2741" s="20" t="s">
        <v>3733</v>
      </c>
      <c r="E2741" s="19" t="str">
        <f>VLOOKUP(D2741,'لیست پرسنل'!$B$2:$E$1020,3,FALSE)</f>
        <v>فکورصنعت</v>
      </c>
      <c r="F2741" s="19" t="str">
        <f>VLOOKUP(D2741,'لیست پرسنل'!$B$2:$E$1020,4,FALSE)</f>
        <v>اداری - پشتیبانی</v>
      </c>
      <c r="G2741" s="127">
        <f>VLOOKUP(D2741,'لیست پرسنل'!$B$2:$F$1020,2,FALSE)</f>
        <v>4000809</v>
      </c>
      <c r="H2741" s="127" t="s">
        <v>3745</v>
      </c>
      <c r="I2741" s="126" t="s">
        <v>935</v>
      </c>
      <c r="J2741" s="128" t="s">
        <v>2686</v>
      </c>
      <c r="K2741" s="128" t="s">
        <v>2922</v>
      </c>
      <c r="L2741" s="128" t="s">
        <v>3041</v>
      </c>
      <c r="M2741" s="128">
        <v>626525</v>
      </c>
      <c r="N2741" s="108"/>
      <c r="O2741" s="20"/>
      <c r="P2741" s="20"/>
      <c r="Q2741" s="20"/>
    </row>
    <row r="2742" spans="1:17" ht="24.9" customHeight="1">
      <c r="A2742" s="20">
        <v>439</v>
      </c>
      <c r="B2742" s="20" t="s">
        <v>4349</v>
      </c>
      <c r="C2742" s="19">
        <v>7</v>
      </c>
      <c r="D2742" s="20" t="s">
        <v>3734</v>
      </c>
      <c r="E2742" s="19" t="str">
        <f>VLOOKUP(D2742,'لیست پرسنل'!$B$2:$E$1020,3,FALSE)</f>
        <v>فکورصنعت</v>
      </c>
      <c r="F2742" s="19" t="str">
        <f>VLOOKUP(D2742,'لیست پرسنل'!$B$2:$E$1020,4,FALSE)</f>
        <v>ایمنی</v>
      </c>
      <c r="G2742" s="127">
        <f>VLOOKUP(D2742,'لیست پرسنل'!$B$2:$F$1020,2,FALSE)</f>
        <v>991104</v>
      </c>
      <c r="H2742" s="127" t="s">
        <v>3745</v>
      </c>
      <c r="I2742" s="126" t="s">
        <v>956</v>
      </c>
      <c r="J2742" s="128" t="s">
        <v>3383</v>
      </c>
      <c r="K2742" s="127" t="s">
        <v>5392</v>
      </c>
      <c r="L2742" s="150" t="s">
        <v>5391</v>
      </c>
      <c r="M2742" s="128">
        <v>627188</v>
      </c>
      <c r="N2742" s="108"/>
      <c r="O2742" s="20"/>
      <c r="P2742" s="20"/>
      <c r="Q2742" s="20"/>
    </row>
    <row r="2743" spans="1:17" ht="24.9" customHeight="1">
      <c r="A2743" s="20">
        <v>439</v>
      </c>
      <c r="B2743" s="20" t="s">
        <v>4349</v>
      </c>
      <c r="C2743" s="19">
        <v>7</v>
      </c>
      <c r="D2743" s="20" t="s">
        <v>3734</v>
      </c>
      <c r="E2743" s="19" t="str">
        <f>VLOOKUP(D2743,'لیست پرسنل'!$B$2:$E$1020,3,FALSE)</f>
        <v>فکورصنعت</v>
      </c>
      <c r="F2743" s="19" t="str">
        <f>VLOOKUP(D2743,'لیست پرسنل'!$B$2:$E$1020,4,FALSE)</f>
        <v>ایمنی</v>
      </c>
      <c r="G2743" s="127">
        <f>VLOOKUP(D2743,'لیست پرسنل'!$B$2:$F$1020,2,FALSE)</f>
        <v>991104</v>
      </c>
      <c r="H2743" s="127" t="s">
        <v>3745</v>
      </c>
      <c r="I2743" s="126" t="s">
        <v>956</v>
      </c>
      <c r="J2743" s="128" t="s">
        <v>737</v>
      </c>
      <c r="K2743" s="127" t="s">
        <v>960</v>
      </c>
      <c r="L2743" s="127" t="s">
        <v>710</v>
      </c>
      <c r="M2743" s="127">
        <v>623240</v>
      </c>
      <c r="N2743" s="109"/>
      <c r="O2743" s="19"/>
      <c r="P2743" s="20"/>
      <c r="Q2743" s="20"/>
    </row>
    <row r="2744" spans="1:17" ht="24.9" customHeight="1">
      <c r="A2744" s="20">
        <v>439</v>
      </c>
      <c r="B2744" s="20" t="s">
        <v>4349</v>
      </c>
      <c r="C2744" s="19">
        <v>7</v>
      </c>
      <c r="D2744" s="20" t="s">
        <v>3734</v>
      </c>
      <c r="E2744" s="19" t="str">
        <f>VLOOKUP(D2744,'لیست پرسنل'!$B$2:$E$1020,3,FALSE)</f>
        <v>فکورصنعت</v>
      </c>
      <c r="F2744" s="19" t="str">
        <f>VLOOKUP(D2744,'لیست پرسنل'!$B$2:$E$1020,4,FALSE)</f>
        <v>ایمنی</v>
      </c>
      <c r="G2744" s="127">
        <f>VLOOKUP(D2744,'لیست پرسنل'!$B$2:$F$1020,2,FALSE)</f>
        <v>991104</v>
      </c>
      <c r="H2744" s="127" t="s">
        <v>3745</v>
      </c>
      <c r="I2744" s="126" t="s">
        <v>956</v>
      </c>
      <c r="J2744" s="126" t="s">
        <v>368</v>
      </c>
      <c r="K2744" s="128" t="s">
        <v>798</v>
      </c>
      <c r="L2744" s="127"/>
      <c r="M2744" s="142">
        <v>623429</v>
      </c>
      <c r="N2744" s="109"/>
      <c r="O2744" s="19"/>
      <c r="P2744" s="20"/>
      <c r="Q2744" s="20"/>
    </row>
    <row r="2745" spans="1:17" ht="24.9" customHeight="1">
      <c r="A2745" s="20">
        <v>439</v>
      </c>
      <c r="B2745" s="20" t="s">
        <v>4349</v>
      </c>
      <c r="C2745" s="19">
        <v>7</v>
      </c>
      <c r="D2745" s="20" t="s">
        <v>3734</v>
      </c>
      <c r="E2745" s="19" t="str">
        <f>VLOOKUP(D2745,'لیست پرسنل'!$B$2:$E$1020,3,FALSE)</f>
        <v>فکورصنعت</v>
      </c>
      <c r="F2745" s="19" t="str">
        <f>VLOOKUP(D2745,'لیست پرسنل'!$B$2:$E$1020,4,FALSE)</f>
        <v>ایمنی</v>
      </c>
      <c r="G2745" s="127">
        <f>VLOOKUP(D2745,'لیست پرسنل'!$B$2:$F$1020,2,FALSE)</f>
        <v>991104</v>
      </c>
      <c r="H2745" s="127" t="s">
        <v>3745</v>
      </c>
      <c r="I2745" s="126" t="s">
        <v>956</v>
      </c>
      <c r="J2745" s="128" t="s">
        <v>571</v>
      </c>
      <c r="K2745" s="128" t="s">
        <v>2067</v>
      </c>
      <c r="L2745" s="128" t="s">
        <v>2219</v>
      </c>
      <c r="M2745" s="127">
        <v>628583</v>
      </c>
      <c r="N2745" s="108"/>
      <c r="O2745" s="20" t="s">
        <v>705</v>
      </c>
      <c r="P2745" s="20"/>
      <c r="Q2745" s="20"/>
    </row>
    <row r="2746" spans="1:17" ht="24.9" customHeight="1">
      <c r="A2746" s="20">
        <v>439</v>
      </c>
      <c r="B2746" s="20" t="s">
        <v>4349</v>
      </c>
      <c r="C2746" s="19">
        <v>7</v>
      </c>
      <c r="D2746" s="20" t="s">
        <v>3734</v>
      </c>
      <c r="E2746" s="19" t="str">
        <f>VLOOKUP(D2746,'لیست پرسنل'!$B$2:$E$1020,3,FALSE)</f>
        <v>فکورصنعت</v>
      </c>
      <c r="F2746" s="19" t="str">
        <f>VLOOKUP(D2746,'لیست پرسنل'!$B$2:$E$1020,4,FALSE)</f>
        <v>ایمنی</v>
      </c>
      <c r="G2746" s="127">
        <f>VLOOKUP(D2746,'لیست پرسنل'!$B$2:$F$1020,2,FALSE)</f>
        <v>991104</v>
      </c>
      <c r="H2746" s="127" t="s">
        <v>3745</v>
      </c>
      <c r="I2746" s="126" t="s">
        <v>956</v>
      </c>
      <c r="J2746" s="128" t="s">
        <v>2686</v>
      </c>
      <c r="K2746" s="128" t="s">
        <v>2922</v>
      </c>
      <c r="L2746" s="128" t="s">
        <v>2946</v>
      </c>
      <c r="M2746" s="142">
        <v>626426</v>
      </c>
      <c r="N2746" s="108"/>
      <c r="O2746" s="20"/>
      <c r="P2746" s="20"/>
      <c r="Q2746" s="20"/>
    </row>
    <row r="2747" spans="1:17" ht="24.9" customHeight="1">
      <c r="A2747" s="20">
        <v>439</v>
      </c>
      <c r="B2747" s="20" t="s">
        <v>4349</v>
      </c>
      <c r="C2747" s="19">
        <v>7</v>
      </c>
      <c r="D2747" s="20" t="s">
        <v>3734</v>
      </c>
      <c r="E2747" s="19" t="str">
        <f>VLOOKUP(D2747,'لیست پرسنل'!$B$2:$E$1020,3,FALSE)</f>
        <v>فکورصنعت</v>
      </c>
      <c r="F2747" s="19" t="str">
        <f>VLOOKUP(D2747,'لیست پرسنل'!$B$2:$E$1020,4,FALSE)</f>
        <v>ایمنی</v>
      </c>
      <c r="G2747" s="127">
        <f>VLOOKUP(D2747,'لیست پرسنل'!$B$2:$F$1020,2,FALSE)</f>
        <v>991104</v>
      </c>
      <c r="H2747" s="127" t="s">
        <v>3745</v>
      </c>
      <c r="I2747" s="126" t="s">
        <v>956</v>
      </c>
      <c r="J2747" s="128" t="s">
        <v>3388</v>
      </c>
      <c r="K2747" s="128" t="s">
        <v>7404</v>
      </c>
      <c r="L2747" s="150" t="s">
        <v>7407</v>
      </c>
      <c r="M2747" s="142">
        <v>635996</v>
      </c>
      <c r="N2747" s="108"/>
      <c r="O2747" s="20" t="s">
        <v>7408</v>
      </c>
      <c r="P2747" s="20"/>
      <c r="Q2747" s="20"/>
    </row>
    <row r="2748" spans="1:17" ht="24.9" customHeight="1">
      <c r="A2748" s="20">
        <v>439</v>
      </c>
      <c r="B2748" s="20" t="s">
        <v>4349</v>
      </c>
      <c r="C2748" s="19">
        <v>7</v>
      </c>
      <c r="D2748" s="20" t="s">
        <v>3734</v>
      </c>
      <c r="E2748" s="19" t="str">
        <f>VLOOKUP(D2748,'لیست پرسنل'!$B$2:$E$1020,3,FALSE)</f>
        <v>فکورصنعت</v>
      </c>
      <c r="F2748" s="19" t="str">
        <f>VLOOKUP(D2748,'لیست پرسنل'!$B$2:$E$1020,4,FALSE)</f>
        <v>ایمنی</v>
      </c>
      <c r="G2748" s="127">
        <f>VLOOKUP(D2748,'لیست پرسنل'!$B$2:$F$1020,2,FALSE)</f>
        <v>991104</v>
      </c>
      <c r="H2748" s="127" t="s">
        <v>3745</v>
      </c>
      <c r="I2748" s="126" t="s">
        <v>956</v>
      </c>
      <c r="J2748" s="128" t="s">
        <v>3388</v>
      </c>
      <c r="K2748" s="128" t="s">
        <v>7405</v>
      </c>
      <c r="L2748" s="150" t="s">
        <v>7406</v>
      </c>
      <c r="M2748" s="142">
        <v>635997</v>
      </c>
      <c r="N2748" s="108"/>
      <c r="O2748" s="20" t="s">
        <v>7409</v>
      </c>
      <c r="P2748" s="20"/>
      <c r="Q2748" s="20"/>
    </row>
    <row r="2749" spans="1:17" ht="24.9" customHeight="1">
      <c r="A2749" s="20">
        <v>439</v>
      </c>
      <c r="B2749" s="20" t="s">
        <v>4349</v>
      </c>
      <c r="C2749" s="20">
        <v>8</v>
      </c>
      <c r="D2749" s="20" t="s">
        <v>3746</v>
      </c>
      <c r="E2749" s="19" t="str">
        <f>VLOOKUP(D2749,'لیست پرسنل'!$B$2:$E$1020,3,FALSE)</f>
        <v>گهر کوشان سپهر</v>
      </c>
      <c r="F2749" s="19" t="str">
        <f>VLOOKUP(D2749,'لیست پرسنل'!$B$2:$E$1020,4,FALSE)</f>
        <v>اداری</v>
      </c>
      <c r="G2749" s="127" t="str">
        <f>VLOOKUP(D2749,'لیست پرسنل'!$B$2:$F$1020,2,FALSE)</f>
        <v>20583</v>
      </c>
      <c r="H2749" s="127" t="s">
        <v>3745</v>
      </c>
      <c r="I2749" s="128" t="s">
        <v>957</v>
      </c>
      <c r="J2749" s="126" t="s">
        <v>368</v>
      </c>
      <c r="K2749" s="142" t="s">
        <v>5049</v>
      </c>
      <c r="L2749" s="127" t="s">
        <v>6129</v>
      </c>
      <c r="M2749" s="142">
        <v>623426</v>
      </c>
      <c r="N2749" s="108"/>
      <c r="O2749" s="28"/>
      <c r="P2749" s="20"/>
      <c r="Q2749" s="20"/>
    </row>
    <row r="2750" spans="1:17" ht="24.9" customHeight="1">
      <c r="A2750" s="20">
        <v>439</v>
      </c>
      <c r="B2750" s="20" t="s">
        <v>4349</v>
      </c>
      <c r="C2750" s="20">
        <v>8</v>
      </c>
      <c r="D2750" s="20" t="s">
        <v>3746</v>
      </c>
      <c r="E2750" s="19" t="str">
        <f>VLOOKUP(D2750,'لیست پرسنل'!$B$2:$E$1020,3,FALSE)</f>
        <v>گهر کوشان سپهر</v>
      </c>
      <c r="F2750" s="19" t="str">
        <f>VLOOKUP(D2750,'لیست پرسنل'!$B$2:$E$1020,4,FALSE)</f>
        <v>اداری</v>
      </c>
      <c r="G2750" s="127" t="str">
        <f>VLOOKUP(D2750,'لیست پرسنل'!$B$2:$F$1020,2,FALSE)</f>
        <v>20583</v>
      </c>
      <c r="H2750" s="127" t="s">
        <v>3745</v>
      </c>
      <c r="I2750" s="128" t="s">
        <v>957</v>
      </c>
      <c r="J2750" s="128" t="s">
        <v>571</v>
      </c>
      <c r="K2750" s="128"/>
      <c r="L2750" s="128"/>
      <c r="M2750" s="127">
        <v>623613</v>
      </c>
      <c r="N2750" s="109"/>
      <c r="O2750" s="19" t="s">
        <v>3756</v>
      </c>
      <c r="P2750" s="20"/>
      <c r="Q2750" s="20"/>
    </row>
    <row r="2751" spans="1:17" ht="24.9" customHeight="1">
      <c r="A2751" s="20">
        <v>439</v>
      </c>
      <c r="B2751" s="20" t="s">
        <v>4349</v>
      </c>
      <c r="C2751" s="20">
        <v>8</v>
      </c>
      <c r="D2751" s="20" t="s">
        <v>3746</v>
      </c>
      <c r="E2751" s="19" t="str">
        <f>VLOOKUP(D2751,'لیست پرسنل'!$B$2:$E$1020,3,FALSE)</f>
        <v>گهر کوشان سپهر</v>
      </c>
      <c r="F2751" s="19" t="str">
        <f>VLOOKUP(D2751,'لیست پرسنل'!$B$2:$E$1020,4,FALSE)</f>
        <v>اداری</v>
      </c>
      <c r="G2751" s="127" t="str">
        <f>VLOOKUP(D2751,'لیست پرسنل'!$B$2:$F$1020,2,FALSE)</f>
        <v>20583</v>
      </c>
      <c r="H2751" s="127" t="s">
        <v>3745</v>
      </c>
      <c r="I2751" s="128" t="s">
        <v>957</v>
      </c>
      <c r="J2751" s="128" t="s">
        <v>2686</v>
      </c>
      <c r="K2751" s="127" t="s">
        <v>332</v>
      </c>
      <c r="L2751" s="164" t="s">
        <v>1123</v>
      </c>
      <c r="M2751" s="134">
        <v>603169</v>
      </c>
      <c r="N2751" s="108"/>
      <c r="O2751" s="20" t="s">
        <v>3757</v>
      </c>
      <c r="P2751" s="20"/>
      <c r="Q2751" s="20"/>
    </row>
    <row r="2752" spans="1:17" ht="24.9" customHeight="1">
      <c r="A2752" s="20">
        <v>439</v>
      </c>
      <c r="B2752" s="20" t="s">
        <v>4349</v>
      </c>
      <c r="C2752" s="19">
        <v>9</v>
      </c>
      <c r="D2752" s="31" t="s">
        <v>3736</v>
      </c>
      <c r="E2752" s="19" t="str">
        <f>VLOOKUP(D2752,'لیست پرسنل'!$B$2:$E$1020,3,FALSE)</f>
        <v>فکورصنعت</v>
      </c>
      <c r="F2752" s="19" t="str">
        <f>VLOOKUP(D2752,'لیست پرسنل'!$B$2:$E$1020,4,FALSE)</f>
        <v>انبار</v>
      </c>
      <c r="G2752" s="127">
        <f>VLOOKUP(D2752,'لیست پرسنل'!$B$2:$F$1020,2,FALSE)</f>
        <v>769</v>
      </c>
      <c r="H2752" s="127" t="s">
        <v>3745</v>
      </c>
      <c r="I2752" s="126" t="s">
        <v>958</v>
      </c>
      <c r="J2752" s="128" t="s">
        <v>737</v>
      </c>
      <c r="K2752" s="127" t="s">
        <v>1377</v>
      </c>
      <c r="L2752" s="127" t="s">
        <v>1378</v>
      </c>
      <c r="M2752" s="127">
        <v>624642</v>
      </c>
      <c r="N2752" s="108"/>
      <c r="O2752" s="20"/>
      <c r="P2752" s="20"/>
      <c r="Q2752" s="20"/>
    </row>
    <row r="2753" spans="1:17" ht="24.9" customHeight="1">
      <c r="A2753" s="20">
        <v>439</v>
      </c>
      <c r="B2753" s="20" t="s">
        <v>4349</v>
      </c>
      <c r="C2753" s="19">
        <v>9</v>
      </c>
      <c r="D2753" s="31" t="s">
        <v>3736</v>
      </c>
      <c r="E2753" s="19" t="str">
        <f>VLOOKUP(D2753,'لیست پرسنل'!$B$2:$E$1020,3,FALSE)</f>
        <v>فکورصنعت</v>
      </c>
      <c r="F2753" s="19" t="str">
        <f>VLOOKUP(D2753,'لیست پرسنل'!$B$2:$E$1020,4,FALSE)</f>
        <v>انبار</v>
      </c>
      <c r="G2753" s="127">
        <f>VLOOKUP(D2753,'لیست پرسنل'!$B$2:$F$1020,2,FALSE)</f>
        <v>769</v>
      </c>
      <c r="H2753" s="127" t="s">
        <v>3745</v>
      </c>
      <c r="I2753" s="126" t="s">
        <v>958</v>
      </c>
      <c r="J2753" s="126" t="s">
        <v>368</v>
      </c>
      <c r="K2753" s="128" t="s">
        <v>798</v>
      </c>
      <c r="L2753" s="127"/>
      <c r="M2753" s="142">
        <v>623428</v>
      </c>
      <c r="N2753" s="108"/>
      <c r="O2753" s="20"/>
      <c r="P2753" s="20"/>
      <c r="Q2753" s="20"/>
    </row>
    <row r="2754" spans="1:17" ht="24.9" customHeight="1">
      <c r="A2754" s="20">
        <v>439</v>
      </c>
      <c r="B2754" s="20" t="s">
        <v>4349</v>
      </c>
      <c r="C2754" s="19">
        <v>9</v>
      </c>
      <c r="D2754" s="31" t="s">
        <v>3736</v>
      </c>
      <c r="E2754" s="19" t="str">
        <f>VLOOKUP(D2754,'لیست پرسنل'!$B$2:$E$1020,3,FALSE)</f>
        <v>فکورصنعت</v>
      </c>
      <c r="F2754" s="19" t="str">
        <f>VLOOKUP(D2754,'لیست پرسنل'!$B$2:$E$1020,4,FALSE)</f>
        <v>انبار</v>
      </c>
      <c r="G2754" s="127">
        <f>VLOOKUP(D2754,'لیست پرسنل'!$B$2:$F$1020,2,FALSE)</f>
        <v>769</v>
      </c>
      <c r="H2754" s="127" t="s">
        <v>3745</v>
      </c>
      <c r="I2754" s="126" t="s">
        <v>958</v>
      </c>
      <c r="J2754" s="128" t="s">
        <v>571</v>
      </c>
      <c r="K2754" s="128"/>
      <c r="L2754" s="128"/>
      <c r="M2754" s="128">
        <v>623615</v>
      </c>
      <c r="N2754" s="108"/>
      <c r="O2754" s="20" t="s">
        <v>3749</v>
      </c>
      <c r="P2754" s="20"/>
      <c r="Q2754" s="20"/>
    </row>
    <row r="2755" spans="1:17" ht="24.9" customHeight="1">
      <c r="A2755" s="20">
        <v>439</v>
      </c>
      <c r="B2755" s="20" t="s">
        <v>4349</v>
      </c>
      <c r="C2755" s="19">
        <v>9</v>
      </c>
      <c r="D2755" s="20" t="s">
        <v>3736</v>
      </c>
      <c r="E2755" s="19" t="str">
        <f>VLOOKUP(D2755,'لیست پرسنل'!$B$2:$E$1020,3,FALSE)</f>
        <v>فکورصنعت</v>
      </c>
      <c r="F2755" s="19" t="str">
        <f>VLOOKUP(D2755,'لیست پرسنل'!$B$2:$E$1020,4,FALSE)</f>
        <v>انبار</v>
      </c>
      <c r="G2755" s="127">
        <f>VLOOKUP(D2755,'لیست پرسنل'!$B$2:$F$1020,2,FALSE)</f>
        <v>769</v>
      </c>
      <c r="H2755" s="127" t="s">
        <v>3745</v>
      </c>
      <c r="I2755" s="126" t="s">
        <v>958</v>
      </c>
      <c r="J2755" s="128" t="s">
        <v>2686</v>
      </c>
      <c r="K2755" s="128" t="s">
        <v>2922</v>
      </c>
      <c r="L2755" s="128" t="s">
        <v>3055</v>
      </c>
      <c r="M2755" s="142">
        <v>626539</v>
      </c>
      <c r="N2755" s="108"/>
      <c r="O2755" s="20"/>
      <c r="P2755" s="20"/>
      <c r="Q2755" s="20"/>
    </row>
    <row r="2756" spans="1:17" ht="24.9" customHeight="1">
      <c r="A2756" s="20">
        <v>439</v>
      </c>
      <c r="B2756" s="20" t="s">
        <v>4349</v>
      </c>
      <c r="C2756" s="20">
        <v>10</v>
      </c>
      <c r="D2756" s="20" t="s">
        <v>7935</v>
      </c>
      <c r="E2756" s="19" t="str">
        <f>VLOOKUP(D2756,'لیست پرسنل'!$B$2:$E$1020,3,FALSE)</f>
        <v>گهر کوشان سپهر</v>
      </c>
      <c r="F2756" s="19" t="str">
        <f>VLOOKUP(D2756,'لیست پرسنل'!$B$2:$E$1020,4,FALSE)</f>
        <v>ایمنی</v>
      </c>
      <c r="G2756" s="127">
        <f>VLOOKUP(D2756,'لیست پرسنل'!$B$2:$F$1020,2,FALSE)</f>
        <v>21035</v>
      </c>
      <c r="H2756" s="128" t="s">
        <v>3745</v>
      </c>
      <c r="I2756" s="128" t="s">
        <v>1121</v>
      </c>
      <c r="J2756" s="128" t="s">
        <v>368</v>
      </c>
      <c r="K2756" s="128" t="s">
        <v>2846</v>
      </c>
      <c r="L2756" s="128" t="s">
        <v>4759</v>
      </c>
      <c r="M2756" s="127">
        <v>633758</v>
      </c>
      <c r="N2756" s="109"/>
      <c r="O2756" s="19" t="s">
        <v>6380</v>
      </c>
      <c r="P2756" s="32"/>
      <c r="Q2756" s="32"/>
    </row>
    <row r="2757" spans="1:17" ht="24.9" customHeight="1">
      <c r="A2757" s="20">
        <v>439</v>
      </c>
      <c r="B2757" s="20" t="s">
        <v>4349</v>
      </c>
      <c r="C2757" s="20">
        <v>10</v>
      </c>
      <c r="D2757" s="20" t="s">
        <v>7935</v>
      </c>
      <c r="E2757" s="19" t="str">
        <f>VLOOKUP(D2757,'لیست پرسنل'!$B$2:$E$1020,3,FALSE)</f>
        <v>گهر کوشان سپهر</v>
      </c>
      <c r="F2757" s="19" t="str">
        <f>VLOOKUP(D2757,'لیست پرسنل'!$B$2:$E$1020,4,FALSE)</f>
        <v>ایمنی</v>
      </c>
      <c r="G2757" s="127">
        <f>VLOOKUP(D2757,'لیست پرسنل'!$B$2:$F$1020,2,FALSE)</f>
        <v>21035</v>
      </c>
      <c r="H2757" s="128" t="s">
        <v>3745</v>
      </c>
      <c r="I2757" s="127" t="s">
        <v>1121</v>
      </c>
      <c r="J2757" s="128" t="s">
        <v>5366</v>
      </c>
      <c r="K2757" s="127" t="s">
        <v>8555</v>
      </c>
      <c r="L2757" s="127" t="s">
        <v>8556</v>
      </c>
      <c r="M2757" s="127">
        <v>637819</v>
      </c>
      <c r="N2757" s="109" t="s">
        <v>8506</v>
      </c>
      <c r="O2757" s="20" t="s">
        <v>8557</v>
      </c>
      <c r="P2757" s="20"/>
      <c r="Q2757" s="20"/>
    </row>
    <row r="2758" spans="1:17" ht="24.9" customHeight="1">
      <c r="A2758" s="20">
        <v>439</v>
      </c>
      <c r="B2758" s="20" t="s">
        <v>4349</v>
      </c>
      <c r="C2758" s="20">
        <v>10</v>
      </c>
      <c r="D2758" s="20" t="s">
        <v>7935</v>
      </c>
      <c r="E2758" s="19" t="str">
        <f>VLOOKUP(D2758,'لیست پرسنل'!$B$2:$E$1020,3,FALSE)</f>
        <v>گهر کوشان سپهر</v>
      </c>
      <c r="F2758" s="19" t="str">
        <f>VLOOKUP(D2758,'لیست پرسنل'!$B$2:$E$1020,4,FALSE)</f>
        <v>ایمنی</v>
      </c>
      <c r="G2758" s="127">
        <f>VLOOKUP(D2758,'لیست پرسنل'!$B$2:$F$1020,2,FALSE)</f>
        <v>21035</v>
      </c>
      <c r="H2758" s="128" t="s">
        <v>3745</v>
      </c>
      <c r="I2758" s="128" t="s">
        <v>1121</v>
      </c>
      <c r="J2758" s="128" t="s">
        <v>571</v>
      </c>
      <c r="K2758" s="128" t="s">
        <v>7675</v>
      </c>
      <c r="L2758" s="150"/>
      <c r="M2758" s="128">
        <v>636115</v>
      </c>
      <c r="N2758" s="108"/>
      <c r="O2758" s="20"/>
      <c r="P2758" s="20"/>
      <c r="Q2758" s="20"/>
    </row>
    <row r="2759" spans="1:17" ht="24.9" customHeight="1">
      <c r="A2759" s="20">
        <v>439</v>
      </c>
      <c r="B2759" s="20" t="s">
        <v>4349</v>
      </c>
      <c r="C2759" s="20">
        <v>10</v>
      </c>
      <c r="D2759" s="20" t="s">
        <v>7935</v>
      </c>
      <c r="E2759" s="19" t="str">
        <f>VLOOKUP(D2759,'لیست پرسنل'!$B$2:$E$1020,3,FALSE)</f>
        <v>گهر کوشان سپهر</v>
      </c>
      <c r="F2759" s="19" t="str">
        <f>VLOOKUP(D2759,'لیست پرسنل'!$B$2:$E$1020,4,FALSE)</f>
        <v>ایمنی</v>
      </c>
      <c r="G2759" s="127">
        <f>VLOOKUP(D2759,'لیست پرسنل'!$B$2:$F$1020,2,FALSE)</f>
        <v>21035</v>
      </c>
      <c r="H2759" s="128" t="s">
        <v>3745</v>
      </c>
      <c r="I2759" s="128" t="s">
        <v>1121</v>
      </c>
      <c r="J2759" s="128" t="s">
        <v>2686</v>
      </c>
      <c r="K2759" s="134" t="s">
        <v>2920</v>
      </c>
      <c r="L2759" s="164" t="s">
        <v>1701</v>
      </c>
      <c r="M2759" s="134">
        <v>618634</v>
      </c>
      <c r="N2759" s="108"/>
      <c r="O2759" s="20"/>
      <c r="P2759" s="20"/>
      <c r="Q2759" s="20"/>
    </row>
    <row r="2760" spans="1:17" ht="24.9" customHeight="1">
      <c r="A2760" s="20">
        <v>439</v>
      </c>
      <c r="B2760" s="20" t="s">
        <v>4349</v>
      </c>
      <c r="C2760" s="20">
        <v>10</v>
      </c>
      <c r="D2760" s="20" t="s">
        <v>7935</v>
      </c>
      <c r="E2760" s="19" t="str">
        <f>VLOOKUP(D2760,'لیست پرسنل'!$B$2:$E$1020,3,FALSE)</f>
        <v>گهر کوشان سپهر</v>
      </c>
      <c r="F2760" s="19" t="str">
        <f>VLOOKUP(D2760,'لیست پرسنل'!$B$2:$E$1020,4,FALSE)</f>
        <v>ایمنی</v>
      </c>
      <c r="G2760" s="127">
        <f>VLOOKUP(D2760,'لیست پرسنل'!$B$2:$F$1020,2,FALSE)</f>
        <v>21035</v>
      </c>
      <c r="H2760" s="128" t="s">
        <v>3745</v>
      </c>
      <c r="I2760" s="127" t="s">
        <v>1121</v>
      </c>
      <c r="J2760" s="128" t="s">
        <v>8297</v>
      </c>
      <c r="K2760" s="129" t="s">
        <v>8553</v>
      </c>
      <c r="L2760" s="127" t="s">
        <v>8554</v>
      </c>
      <c r="M2760" s="127">
        <v>637818</v>
      </c>
      <c r="N2760" s="109" t="s">
        <v>8506</v>
      </c>
      <c r="O2760" s="20" t="s">
        <v>8557</v>
      </c>
      <c r="P2760" s="20"/>
      <c r="Q2760" s="20"/>
    </row>
    <row r="2761" spans="1:17" ht="24.9" customHeight="1">
      <c r="A2761" s="20">
        <v>439</v>
      </c>
      <c r="B2761" s="20" t="s">
        <v>4349</v>
      </c>
      <c r="C2761" s="19">
        <v>11</v>
      </c>
      <c r="D2761" s="20" t="s">
        <v>7865</v>
      </c>
      <c r="E2761" s="19" t="str">
        <f>VLOOKUP(D2761,'لیست پرسنل'!$B$2:$E$1020,3,FALSE)</f>
        <v>گهر کوشان سپهر</v>
      </c>
      <c r="F2761" s="19" t="str">
        <f>VLOOKUP(D2761,'لیست پرسنل'!$B$2:$E$1020,4,FALSE)</f>
        <v>مسئول دفتر</v>
      </c>
      <c r="G2761" s="127">
        <f>VLOOKUP(D2761,'لیست پرسنل'!$B$2:$F$1020,2,FALSE)</f>
        <v>21034</v>
      </c>
      <c r="H2761" s="127" t="s">
        <v>3745</v>
      </c>
      <c r="I2761" s="126" t="s">
        <v>1122</v>
      </c>
      <c r="J2761" s="126" t="s">
        <v>3383</v>
      </c>
      <c r="K2761" s="127" t="s">
        <v>1932</v>
      </c>
      <c r="L2761" s="127" t="s">
        <v>1933</v>
      </c>
      <c r="M2761" s="127">
        <v>627675</v>
      </c>
      <c r="N2761" s="108" t="s">
        <v>3728</v>
      </c>
      <c r="O2761" s="20"/>
      <c r="P2761" s="20"/>
      <c r="Q2761" s="20"/>
    </row>
    <row r="2762" spans="1:17" ht="24.9" customHeight="1">
      <c r="A2762" s="20">
        <v>439</v>
      </c>
      <c r="B2762" s="20" t="s">
        <v>4349</v>
      </c>
      <c r="C2762" s="19">
        <v>11</v>
      </c>
      <c r="D2762" s="20" t="s">
        <v>7865</v>
      </c>
      <c r="E2762" s="19" t="str">
        <f>VLOOKUP(D2762,'لیست پرسنل'!$B$2:$E$1020,3,FALSE)</f>
        <v>گهر کوشان سپهر</v>
      </c>
      <c r="F2762" s="19" t="str">
        <f>VLOOKUP(D2762,'لیست پرسنل'!$B$2:$E$1020,4,FALSE)</f>
        <v>مسئول دفتر</v>
      </c>
      <c r="G2762" s="127">
        <f>VLOOKUP(D2762,'لیست پرسنل'!$B$2:$F$1020,2,FALSE)</f>
        <v>21034</v>
      </c>
      <c r="H2762" s="127" t="s">
        <v>3745</v>
      </c>
      <c r="I2762" s="126" t="s">
        <v>1122</v>
      </c>
      <c r="J2762" s="128" t="s">
        <v>737</v>
      </c>
      <c r="K2762" s="127" t="s">
        <v>1377</v>
      </c>
      <c r="L2762" s="128" t="s">
        <v>1381</v>
      </c>
      <c r="M2762" s="128">
        <v>624641</v>
      </c>
      <c r="N2762" s="108" t="s">
        <v>3728</v>
      </c>
      <c r="O2762" s="20"/>
      <c r="P2762" s="20"/>
      <c r="Q2762" s="20"/>
    </row>
    <row r="2763" spans="1:17" ht="24.9" customHeight="1">
      <c r="A2763" s="20">
        <v>439</v>
      </c>
      <c r="B2763" s="20" t="s">
        <v>4349</v>
      </c>
      <c r="C2763" s="19">
        <v>11</v>
      </c>
      <c r="D2763" s="20" t="s">
        <v>7865</v>
      </c>
      <c r="E2763" s="19" t="str">
        <f>VLOOKUP(D2763,'لیست پرسنل'!$B$2:$E$1020,3,FALSE)</f>
        <v>گهر کوشان سپهر</v>
      </c>
      <c r="F2763" s="19" t="str">
        <f>VLOOKUP(D2763,'لیست پرسنل'!$B$2:$E$1020,4,FALSE)</f>
        <v>مسئول دفتر</v>
      </c>
      <c r="G2763" s="127">
        <f>VLOOKUP(D2763,'لیست پرسنل'!$B$2:$F$1020,2,FALSE)</f>
        <v>21034</v>
      </c>
      <c r="H2763" s="127" t="s">
        <v>3745</v>
      </c>
      <c r="I2763" s="126" t="s">
        <v>1122</v>
      </c>
      <c r="J2763" s="126" t="s">
        <v>368</v>
      </c>
      <c r="K2763" s="128" t="s">
        <v>2846</v>
      </c>
      <c r="L2763" s="128" t="s">
        <v>1822</v>
      </c>
      <c r="M2763" s="128">
        <v>625908</v>
      </c>
      <c r="N2763" s="108" t="s">
        <v>3728</v>
      </c>
      <c r="O2763" s="20"/>
      <c r="P2763" s="20"/>
      <c r="Q2763" s="20"/>
    </row>
    <row r="2764" spans="1:17" ht="24.9" customHeight="1">
      <c r="A2764" s="20">
        <v>439</v>
      </c>
      <c r="B2764" s="20" t="s">
        <v>4349</v>
      </c>
      <c r="C2764" s="19">
        <v>11</v>
      </c>
      <c r="D2764" s="20" t="s">
        <v>7865</v>
      </c>
      <c r="E2764" s="19" t="str">
        <f>VLOOKUP(D2764,'لیست پرسنل'!$B$2:$E$1020,3,FALSE)</f>
        <v>گهر کوشان سپهر</v>
      </c>
      <c r="F2764" s="19" t="str">
        <f>VLOOKUP(D2764,'لیست پرسنل'!$B$2:$E$1020,4,FALSE)</f>
        <v>مسئول دفتر</v>
      </c>
      <c r="G2764" s="127">
        <f>VLOOKUP(D2764,'لیست پرسنل'!$B$2:$F$1020,2,FALSE)</f>
        <v>21034</v>
      </c>
      <c r="H2764" s="127" t="s">
        <v>3745</v>
      </c>
      <c r="I2764" s="126" t="s">
        <v>1122</v>
      </c>
      <c r="J2764" s="141" t="s">
        <v>571</v>
      </c>
      <c r="K2764" s="135" t="s">
        <v>1951</v>
      </c>
      <c r="L2764" s="159" t="s">
        <v>2219</v>
      </c>
      <c r="M2764" s="127">
        <v>627718</v>
      </c>
      <c r="N2764" s="108" t="s">
        <v>3728</v>
      </c>
      <c r="O2764" s="20" t="s">
        <v>705</v>
      </c>
      <c r="P2764" s="20"/>
      <c r="Q2764" s="20"/>
    </row>
    <row r="2765" spans="1:17" ht="24.9" customHeight="1">
      <c r="A2765" s="20">
        <v>439</v>
      </c>
      <c r="B2765" s="20" t="s">
        <v>4349</v>
      </c>
      <c r="C2765" s="19">
        <v>11</v>
      </c>
      <c r="D2765" s="20" t="s">
        <v>7865</v>
      </c>
      <c r="E2765" s="19" t="str">
        <f>VLOOKUP(D2765,'لیست پرسنل'!$B$2:$E$1020,3,FALSE)</f>
        <v>گهر کوشان سپهر</v>
      </c>
      <c r="F2765" s="19" t="str">
        <f>VLOOKUP(D2765,'لیست پرسنل'!$B$2:$E$1020,4,FALSE)</f>
        <v>مسئول دفتر</v>
      </c>
      <c r="G2765" s="127">
        <f>VLOOKUP(D2765,'لیست پرسنل'!$B$2:$F$1020,2,FALSE)</f>
        <v>21034</v>
      </c>
      <c r="H2765" s="127" t="s">
        <v>3745</v>
      </c>
      <c r="I2765" s="126" t="s">
        <v>1122</v>
      </c>
      <c r="J2765" s="128" t="s">
        <v>2686</v>
      </c>
      <c r="K2765" s="128" t="s">
        <v>2922</v>
      </c>
      <c r="L2765" s="128" t="s">
        <v>3057</v>
      </c>
      <c r="M2765" s="128">
        <v>626541</v>
      </c>
      <c r="N2765" s="108" t="s">
        <v>3728</v>
      </c>
      <c r="O2765" s="20"/>
      <c r="P2765" s="20"/>
      <c r="Q2765" s="20"/>
    </row>
    <row r="2766" spans="1:17" ht="24.9" customHeight="1">
      <c r="A2766" s="20">
        <v>439</v>
      </c>
      <c r="B2766" s="20" t="s">
        <v>4349</v>
      </c>
      <c r="C2766" s="20">
        <v>11</v>
      </c>
      <c r="D2766" s="20" t="s">
        <v>7865</v>
      </c>
      <c r="E2766" s="19" t="str">
        <f>VLOOKUP(D2766,'لیست پرسنل'!$B$2:$E$1020,3,FALSE)</f>
        <v>گهر کوشان سپهر</v>
      </c>
      <c r="F2766" s="19" t="str">
        <f>VLOOKUP(D2766,'لیست پرسنل'!$B$2:$E$1020,4,FALSE)</f>
        <v>مسئول دفتر</v>
      </c>
      <c r="G2766" s="127">
        <f>VLOOKUP(D2766,'لیست پرسنل'!$B$2:$F$1020,2,FALSE)</f>
        <v>21034</v>
      </c>
      <c r="H2766" s="127" t="s">
        <v>3745</v>
      </c>
      <c r="I2766" s="128" t="s">
        <v>1122</v>
      </c>
      <c r="J2766" s="128" t="s">
        <v>1977</v>
      </c>
      <c r="K2766" s="126" t="s">
        <v>3242</v>
      </c>
      <c r="L2766" s="151" t="s">
        <v>3243</v>
      </c>
      <c r="M2766" s="136">
        <v>625374</v>
      </c>
      <c r="N2766" s="108" t="s">
        <v>3728</v>
      </c>
      <c r="O2766" s="20" t="s">
        <v>3765</v>
      </c>
      <c r="P2766" s="20"/>
      <c r="Q2766" s="20"/>
    </row>
    <row r="2767" spans="1:17" ht="24.9" customHeight="1">
      <c r="A2767" s="20">
        <v>439</v>
      </c>
      <c r="B2767" s="20" t="s">
        <v>4349</v>
      </c>
      <c r="C2767" s="19">
        <v>13</v>
      </c>
      <c r="D2767" s="20" t="s">
        <v>7366</v>
      </c>
      <c r="E2767" s="19" t="str">
        <f>VLOOKUP(D2767,'لیست پرسنل'!$B$2:$E$1020,3,FALSE)</f>
        <v>گهر کوشان سپهر</v>
      </c>
      <c r="F2767" s="19" t="str">
        <f>VLOOKUP(D2767,'لیست پرسنل'!$B$2:$E$1020,4,FALSE)</f>
        <v>بهداری</v>
      </c>
      <c r="G2767" s="127">
        <f>VLOOKUP(D2767,'لیست پرسنل'!$B$2:$F$1020,2,FALSE)</f>
        <v>0</v>
      </c>
      <c r="H2767" s="127" t="s">
        <v>7368</v>
      </c>
      <c r="I2767" s="126" t="s">
        <v>7367</v>
      </c>
      <c r="J2767" s="128" t="s">
        <v>571</v>
      </c>
      <c r="K2767" s="128"/>
      <c r="L2767" s="128"/>
      <c r="M2767" s="127">
        <v>602436</v>
      </c>
      <c r="N2767" s="109"/>
      <c r="O2767" s="19"/>
      <c r="P2767" s="20"/>
      <c r="Q2767" s="20"/>
    </row>
    <row r="2768" spans="1:17" ht="24.9" customHeight="1">
      <c r="A2768" s="20">
        <v>439</v>
      </c>
      <c r="B2768" s="20" t="s">
        <v>4349</v>
      </c>
      <c r="C2768" s="19">
        <v>13</v>
      </c>
      <c r="D2768" s="20" t="s">
        <v>7366</v>
      </c>
      <c r="E2768" s="19" t="str">
        <f>VLOOKUP(D2768,'لیست پرسنل'!$B$2:$E$1020,3,FALSE)</f>
        <v>گهر کوشان سپهر</v>
      </c>
      <c r="F2768" s="19" t="str">
        <f>VLOOKUP(D2768,'لیست پرسنل'!$B$2:$E$1020,4,FALSE)</f>
        <v>بهداری</v>
      </c>
      <c r="G2768" s="127">
        <f>VLOOKUP(D2768,'لیست پرسنل'!$B$2:$F$1020,2,FALSE)</f>
        <v>0</v>
      </c>
      <c r="H2768" s="127" t="s">
        <v>7368</v>
      </c>
      <c r="I2768" s="126" t="s">
        <v>7367</v>
      </c>
      <c r="J2768" s="128" t="s">
        <v>2686</v>
      </c>
      <c r="K2768" s="134" t="s">
        <v>332</v>
      </c>
      <c r="L2768" s="164" t="s">
        <v>1636</v>
      </c>
      <c r="M2768" s="134">
        <v>609755</v>
      </c>
      <c r="N2768" s="108" t="s">
        <v>6053</v>
      </c>
      <c r="O2768" s="20"/>
      <c r="P2768" s="20"/>
      <c r="Q2768" s="20"/>
    </row>
    <row r="2769" spans="1:17" ht="24.9" customHeight="1">
      <c r="A2769" s="20">
        <v>439</v>
      </c>
      <c r="B2769" s="20" t="s">
        <v>4349</v>
      </c>
      <c r="C2769" s="20">
        <v>13</v>
      </c>
      <c r="D2769" s="20" t="s">
        <v>7366</v>
      </c>
      <c r="E2769" s="19" t="str">
        <f>VLOOKUP(D2769,'لیست پرسنل'!$B$2:$E$1020,3,FALSE)</f>
        <v>گهر کوشان سپهر</v>
      </c>
      <c r="F2769" s="19" t="str">
        <f>VLOOKUP(D2769,'لیست پرسنل'!$B$2:$E$1020,4,FALSE)</f>
        <v>بهداری</v>
      </c>
      <c r="G2769" s="127">
        <f>VLOOKUP(D2769,'لیست پرسنل'!$B$2:$F$1020,2,FALSE)</f>
        <v>0</v>
      </c>
      <c r="H2769" s="128" t="s">
        <v>7368</v>
      </c>
      <c r="I2769" s="128"/>
      <c r="J2769" s="128" t="s">
        <v>2686</v>
      </c>
      <c r="K2769" s="127" t="s">
        <v>332</v>
      </c>
      <c r="L2769" s="150" t="s">
        <v>1124</v>
      </c>
      <c r="M2769" s="128">
        <v>604976</v>
      </c>
      <c r="N2769" s="108" t="s">
        <v>8506</v>
      </c>
      <c r="O2769" s="19"/>
      <c r="P2769" s="20"/>
      <c r="Q2769" s="20"/>
    </row>
    <row r="2770" spans="1:17" ht="24.9" customHeight="1">
      <c r="A2770" s="20">
        <v>439</v>
      </c>
      <c r="B2770" s="20" t="s">
        <v>4349</v>
      </c>
      <c r="C2770" s="19">
        <v>14</v>
      </c>
      <c r="D2770" s="31" t="s">
        <v>3739</v>
      </c>
      <c r="E2770" s="19" t="str">
        <f>VLOOKUP(D2770,'لیست پرسنل'!$B$2:$E$1020,3,FALSE)</f>
        <v>فکورصنعت</v>
      </c>
      <c r="F2770" s="19" t="str">
        <f>VLOOKUP(D2770,'لیست پرسنل'!$B$2:$E$1020,4,FALSE)</f>
        <v>مدیر پروژه</v>
      </c>
      <c r="G2770" s="127">
        <f>VLOOKUP(D2770,'لیست پرسنل'!$B$2:$F$1020,2,FALSE)</f>
        <v>579</v>
      </c>
      <c r="H2770" s="127" t="s">
        <v>3745</v>
      </c>
      <c r="I2770" s="126" t="s">
        <v>1368</v>
      </c>
      <c r="J2770" s="126" t="s">
        <v>368</v>
      </c>
      <c r="K2770" s="128" t="s">
        <v>797</v>
      </c>
      <c r="L2770" s="127" t="s">
        <v>1380</v>
      </c>
      <c r="M2770" s="142">
        <v>623423</v>
      </c>
      <c r="N2770" s="109"/>
      <c r="O2770" s="69"/>
      <c r="P2770" s="20"/>
      <c r="Q2770" s="20"/>
    </row>
    <row r="2771" spans="1:17" ht="24.9" customHeight="1">
      <c r="A2771" s="20">
        <v>439</v>
      </c>
      <c r="B2771" s="20" t="s">
        <v>4349</v>
      </c>
      <c r="C2771" s="19">
        <v>14</v>
      </c>
      <c r="D2771" s="31" t="s">
        <v>3739</v>
      </c>
      <c r="E2771" s="19" t="str">
        <f>VLOOKUP(D2771,'لیست پرسنل'!$B$2:$E$1020,3,FALSE)</f>
        <v>فکورصنعت</v>
      </c>
      <c r="F2771" s="19" t="str">
        <f>VLOOKUP(D2771,'لیست پرسنل'!$B$2:$E$1020,4,FALSE)</f>
        <v>مدیر پروژه</v>
      </c>
      <c r="G2771" s="127">
        <f>VLOOKUP(D2771,'لیست پرسنل'!$B$2:$F$1020,2,FALSE)</f>
        <v>579</v>
      </c>
      <c r="H2771" s="127" t="s">
        <v>3745</v>
      </c>
      <c r="I2771" s="126" t="s">
        <v>1368</v>
      </c>
      <c r="J2771" s="126" t="s">
        <v>5366</v>
      </c>
      <c r="K2771" s="128" t="s">
        <v>1628</v>
      </c>
      <c r="L2771" s="128" t="s">
        <v>1629</v>
      </c>
      <c r="M2771" s="128">
        <v>625106</v>
      </c>
      <c r="N2771" s="109"/>
      <c r="O2771" s="69"/>
      <c r="P2771" s="20"/>
      <c r="Q2771" s="20"/>
    </row>
    <row r="2772" spans="1:17" ht="24.9" customHeight="1">
      <c r="A2772" s="20">
        <v>439</v>
      </c>
      <c r="B2772" s="20" t="s">
        <v>4349</v>
      </c>
      <c r="C2772" s="19">
        <v>14</v>
      </c>
      <c r="D2772" s="31" t="s">
        <v>3739</v>
      </c>
      <c r="E2772" s="19" t="str">
        <f>VLOOKUP(D2772,'لیست پرسنل'!$B$2:$E$1020,3,FALSE)</f>
        <v>فکورصنعت</v>
      </c>
      <c r="F2772" s="19" t="str">
        <f>VLOOKUP(D2772,'لیست پرسنل'!$B$2:$E$1020,4,FALSE)</f>
        <v>مدیر پروژه</v>
      </c>
      <c r="G2772" s="127">
        <f>VLOOKUP(D2772,'لیست پرسنل'!$B$2:$F$1020,2,FALSE)</f>
        <v>579</v>
      </c>
      <c r="H2772" s="127" t="s">
        <v>3745</v>
      </c>
      <c r="I2772" s="126" t="s">
        <v>1368</v>
      </c>
      <c r="J2772" s="128" t="s">
        <v>571</v>
      </c>
      <c r="K2772" s="127"/>
      <c r="L2772" s="151"/>
      <c r="M2772" s="127">
        <v>624106</v>
      </c>
      <c r="N2772" s="109"/>
      <c r="O2772" s="69"/>
      <c r="P2772" s="20"/>
      <c r="Q2772" s="20"/>
    </row>
    <row r="2773" spans="1:17" ht="24.9" customHeight="1">
      <c r="A2773" s="20">
        <v>439</v>
      </c>
      <c r="B2773" s="20" t="s">
        <v>4349</v>
      </c>
      <c r="C2773" s="19">
        <v>14</v>
      </c>
      <c r="D2773" s="31" t="s">
        <v>3739</v>
      </c>
      <c r="E2773" s="19" t="str">
        <f>VLOOKUP(D2773,'لیست پرسنل'!$B$2:$E$1020,3,FALSE)</f>
        <v>فکورصنعت</v>
      </c>
      <c r="F2773" s="19" t="str">
        <f>VLOOKUP(D2773,'لیست پرسنل'!$B$2:$E$1020,4,FALSE)</f>
        <v>مدیر پروژه</v>
      </c>
      <c r="G2773" s="127">
        <f>VLOOKUP(D2773,'لیست پرسنل'!$B$2:$F$1020,2,FALSE)</f>
        <v>579</v>
      </c>
      <c r="H2773" s="127" t="s">
        <v>3745</v>
      </c>
      <c r="I2773" s="126" t="s">
        <v>1368</v>
      </c>
      <c r="J2773" s="128" t="s">
        <v>2686</v>
      </c>
      <c r="K2773" s="127" t="s">
        <v>2868</v>
      </c>
      <c r="L2773" s="151" t="s">
        <v>2869</v>
      </c>
      <c r="M2773" s="134">
        <v>628449</v>
      </c>
      <c r="N2773" s="108"/>
      <c r="O2773" s="20"/>
      <c r="P2773" s="20"/>
      <c r="Q2773" s="20"/>
    </row>
    <row r="2774" spans="1:17" ht="24.9" customHeight="1">
      <c r="A2774" s="20">
        <v>439</v>
      </c>
      <c r="B2774" s="20" t="s">
        <v>4349</v>
      </c>
      <c r="C2774" s="19">
        <v>15</v>
      </c>
      <c r="D2774" s="20" t="s">
        <v>3728</v>
      </c>
      <c r="E2774" s="19" t="str">
        <f>VLOOKUP(D2774,'لیست پرسنل'!$B$2:$E$1020,3,FALSE)</f>
        <v>فکورصنعت</v>
      </c>
      <c r="F2774" s="19" t="str">
        <f>VLOOKUP(D2774,'لیست پرسنل'!$B$2:$E$1020,4,FALSE)</f>
        <v>مدیر سایت</v>
      </c>
      <c r="G2774" s="127">
        <f>VLOOKUP(D2774,'لیست پرسنل'!$B$2:$F$1020,2,FALSE)</f>
        <v>483</v>
      </c>
      <c r="H2774" s="127" t="s">
        <v>3745</v>
      </c>
      <c r="I2774" s="126" t="s">
        <v>1369</v>
      </c>
      <c r="J2774" s="126" t="s">
        <v>368</v>
      </c>
      <c r="K2774" s="127" t="s">
        <v>2846</v>
      </c>
      <c r="L2774" s="127" t="s">
        <v>1379</v>
      </c>
      <c r="M2774" s="127">
        <v>624654</v>
      </c>
      <c r="N2774" s="109"/>
      <c r="O2774" s="19"/>
      <c r="P2774" s="20"/>
      <c r="Q2774" s="20"/>
    </row>
    <row r="2775" spans="1:17" ht="24.9" customHeight="1">
      <c r="A2775" s="20">
        <v>439</v>
      </c>
      <c r="B2775" s="20" t="s">
        <v>4349</v>
      </c>
      <c r="C2775" s="19">
        <v>15</v>
      </c>
      <c r="D2775" s="20" t="s">
        <v>3728</v>
      </c>
      <c r="E2775" s="19" t="str">
        <f>VLOOKUP(D2775,'لیست پرسنل'!$B$2:$E$1020,3,FALSE)</f>
        <v>فکورصنعت</v>
      </c>
      <c r="F2775" s="19" t="str">
        <f>VLOOKUP(D2775,'لیست پرسنل'!$B$2:$E$1020,4,FALSE)</f>
        <v>مدیر سایت</v>
      </c>
      <c r="G2775" s="127">
        <f>VLOOKUP(D2775,'لیست پرسنل'!$B$2:$F$1020,2,FALSE)</f>
        <v>483</v>
      </c>
      <c r="H2775" s="127" t="s">
        <v>3745</v>
      </c>
      <c r="I2775" s="126" t="s">
        <v>1369</v>
      </c>
      <c r="J2775" s="128" t="s">
        <v>571</v>
      </c>
      <c r="K2775" s="127"/>
      <c r="L2775" s="164"/>
      <c r="M2775" s="127">
        <v>624104</v>
      </c>
      <c r="N2775" s="109"/>
      <c r="O2775" s="19"/>
      <c r="P2775" s="20"/>
      <c r="Q2775" s="20"/>
    </row>
    <row r="2776" spans="1:17" ht="24.9" customHeight="1">
      <c r="A2776" s="20">
        <v>439</v>
      </c>
      <c r="B2776" s="20" t="s">
        <v>4349</v>
      </c>
      <c r="C2776" s="19">
        <v>15</v>
      </c>
      <c r="D2776" s="20" t="s">
        <v>3728</v>
      </c>
      <c r="E2776" s="19" t="str">
        <f>VLOOKUP(D2776,'لیست پرسنل'!$B$2:$E$1020,3,FALSE)</f>
        <v>فکورصنعت</v>
      </c>
      <c r="F2776" s="19" t="str">
        <f>VLOOKUP(D2776,'لیست پرسنل'!$B$2:$E$1020,4,FALSE)</f>
        <v>مدیر سایت</v>
      </c>
      <c r="G2776" s="127">
        <f>VLOOKUP(D2776,'لیست پرسنل'!$B$2:$F$1020,2,FALSE)</f>
        <v>483</v>
      </c>
      <c r="H2776" s="127" t="s">
        <v>3745</v>
      </c>
      <c r="I2776" s="126" t="s">
        <v>1369</v>
      </c>
      <c r="J2776" s="128" t="s">
        <v>2686</v>
      </c>
      <c r="K2776" s="127" t="s">
        <v>332</v>
      </c>
      <c r="L2776" s="164" t="s">
        <v>1370</v>
      </c>
      <c r="M2776" s="134">
        <v>605817</v>
      </c>
      <c r="N2776" s="108"/>
      <c r="O2776" s="31" t="s">
        <v>3752</v>
      </c>
      <c r="P2776" s="20"/>
      <c r="Q2776" s="20"/>
    </row>
    <row r="2777" spans="1:17" ht="24.9" customHeight="1">
      <c r="A2777" s="20">
        <v>439</v>
      </c>
      <c r="B2777" s="20" t="s">
        <v>4349</v>
      </c>
      <c r="C2777" s="19">
        <v>16</v>
      </c>
      <c r="D2777" s="31" t="s">
        <v>3740</v>
      </c>
      <c r="E2777" s="19" t="str">
        <f>VLOOKUP(D2777,'لیست پرسنل'!$B$2:$E$1020,3,FALSE)</f>
        <v>فکورصنعت</v>
      </c>
      <c r="F2777" s="19" t="str">
        <f>VLOOKUP(D2777,'لیست پرسنل'!$B$2:$E$1020,4,FALSE)</f>
        <v>نظارت مکانیک</v>
      </c>
      <c r="G2777" s="127">
        <f>VLOOKUP(D2777,'لیست پرسنل'!$B$2:$F$1020,2,FALSE)</f>
        <v>4000507</v>
      </c>
      <c r="H2777" s="127" t="s">
        <v>3745</v>
      </c>
      <c r="I2777" s="126" t="s">
        <v>1395</v>
      </c>
      <c r="J2777" s="126" t="s">
        <v>368</v>
      </c>
      <c r="K2777" s="128" t="s">
        <v>2846</v>
      </c>
      <c r="L2777" s="128" t="s">
        <v>1398</v>
      </c>
      <c r="M2777" s="128">
        <v>624660</v>
      </c>
      <c r="N2777" s="109"/>
      <c r="O2777" s="20"/>
      <c r="P2777" s="20"/>
      <c r="Q2777" s="20"/>
    </row>
    <row r="2778" spans="1:17" ht="24.9" customHeight="1">
      <c r="A2778" s="20">
        <v>439</v>
      </c>
      <c r="B2778" s="20" t="s">
        <v>4349</v>
      </c>
      <c r="C2778" s="19">
        <v>16</v>
      </c>
      <c r="D2778" s="31" t="s">
        <v>3740</v>
      </c>
      <c r="E2778" s="19" t="str">
        <f>VLOOKUP(D2778,'لیست پرسنل'!$B$2:$E$1020,3,FALSE)</f>
        <v>فکورصنعت</v>
      </c>
      <c r="F2778" s="19" t="str">
        <f>VLOOKUP(D2778,'لیست پرسنل'!$B$2:$E$1020,4,FALSE)</f>
        <v>نظارت مکانیک</v>
      </c>
      <c r="G2778" s="127">
        <f>VLOOKUP(D2778,'لیست پرسنل'!$B$2:$F$1020,2,FALSE)</f>
        <v>4000507</v>
      </c>
      <c r="H2778" s="127" t="s">
        <v>3745</v>
      </c>
      <c r="I2778" s="126" t="s">
        <v>1395</v>
      </c>
      <c r="J2778" s="128" t="s">
        <v>571</v>
      </c>
      <c r="K2778" s="128"/>
      <c r="L2778" s="150"/>
      <c r="M2778" s="127">
        <v>622531</v>
      </c>
      <c r="N2778" s="109"/>
      <c r="O2778" s="20" t="s">
        <v>5290</v>
      </c>
      <c r="P2778" s="20"/>
      <c r="Q2778" s="20"/>
    </row>
    <row r="2779" spans="1:17" ht="24.9" customHeight="1">
      <c r="A2779" s="20">
        <v>439</v>
      </c>
      <c r="B2779" s="20" t="s">
        <v>4349</v>
      </c>
      <c r="C2779" s="20">
        <v>16</v>
      </c>
      <c r="D2779" s="31" t="s">
        <v>3740</v>
      </c>
      <c r="E2779" s="19" t="str">
        <f>VLOOKUP(D2779,'لیست پرسنل'!$B$2:$E$1020,3,FALSE)</f>
        <v>فکورصنعت</v>
      </c>
      <c r="F2779" s="19" t="str">
        <f>VLOOKUP(D2779,'لیست پرسنل'!$B$2:$E$1020,4,FALSE)</f>
        <v>نظارت مکانیک</v>
      </c>
      <c r="G2779" s="127">
        <f>VLOOKUP(D2779,'لیست پرسنل'!$B$2:$F$1020,2,FALSE)</f>
        <v>4000507</v>
      </c>
      <c r="H2779" s="127" t="s">
        <v>3745</v>
      </c>
      <c r="I2779" s="128" t="s">
        <v>1395</v>
      </c>
      <c r="J2779" s="128" t="s">
        <v>2686</v>
      </c>
      <c r="K2779" s="128" t="s">
        <v>2922</v>
      </c>
      <c r="L2779" s="128" t="s">
        <v>4010</v>
      </c>
      <c r="M2779" s="136">
        <v>626414</v>
      </c>
      <c r="N2779" s="108"/>
      <c r="O2779" s="20"/>
      <c r="P2779" s="20"/>
      <c r="Q2779" s="20"/>
    </row>
    <row r="2780" spans="1:17" ht="24.9" customHeight="1">
      <c r="A2780" s="20">
        <v>439</v>
      </c>
      <c r="B2780" s="20" t="s">
        <v>4349</v>
      </c>
      <c r="C2780" s="20">
        <v>17</v>
      </c>
      <c r="D2780" s="20" t="s">
        <v>3731</v>
      </c>
      <c r="E2780" s="19" t="str">
        <f>VLOOKUP(D2780,'لیست پرسنل'!$B$2:$E$1020,3,FALSE)</f>
        <v>فکورصنعت</v>
      </c>
      <c r="F2780" s="19" t="str">
        <f>VLOOKUP(D2780,'لیست پرسنل'!$B$2:$E$1020,4,FALSE)</f>
        <v>کنترل پروژه</v>
      </c>
      <c r="G2780" s="127">
        <f>VLOOKUP(D2780,'لیست پرسنل'!$B$2:$F$1020,2,FALSE)</f>
        <v>4000807</v>
      </c>
      <c r="H2780" s="128" t="s">
        <v>7363</v>
      </c>
      <c r="I2780" s="128" t="s">
        <v>7410</v>
      </c>
      <c r="J2780" s="126" t="s">
        <v>3383</v>
      </c>
      <c r="K2780" s="127" t="s">
        <v>1634</v>
      </c>
      <c r="L2780" s="127">
        <v>56074361</v>
      </c>
      <c r="M2780" s="127">
        <v>624640</v>
      </c>
      <c r="N2780" s="109"/>
      <c r="O2780" s="69"/>
      <c r="P2780" s="20"/>
      <c r="Q2780" s="20"/>
    </row>
    <row r="2781" spans="1:17" ht="24.9" customHeight="1">
      <c r="A2781" s="20">
        <v>439</v>
      </c>
      <c r="B2781" s="20" t="s">
        <v>4349</v>
      </c>
      <c r="C2781" s="20">
        <v>17</v>
      </c>
      <c r="D2781" s="20" t="s">
        <v>3731</v>
      </c>
      <c r="E2781" s="19" t="str">
        <f>VLOOKUP(D2781,'لیست پرسنل'!$B$2:$E$1020,3,FALSE)</f>
        <v>فکورصنعت</v>
      </c>
      <c r="F2781" s="19" t="str">
        <f>VLOOKUP(D2781,'لیست پرسنل'!$B$2:$E$1020,4,FALSE)</f>
        <v>کنترل پروژه</v>
      </c>
      <c r="G2781" s="127">
        <f>VLOOKUP(D2781,'لیست پرسنل'!$B$2:$F$1020,2,FALSE)</f>
        <v>4000807</v>
      </c>
      <c r="H2781" s="128" t="s">
        <v>7363</v>
      </c>
      <c r="I2781" s="128" t="s">
        <v>7410</v>
      </c>
      <c r="J2781" s="126" t="s">
        <v>3383</v>
      </c>
      <c r="K2781" s="127" t="s">
        <v>1635</v>
      </c>
      <c r="L2781" s="127">
        <v>52537569</v>
      </c>
      <c r="M2781" s="128" t="s">
        <v>291</v>
      </c>
      <c r="N2781" s="109"/>
      <c r="O2781" s="69"/>
      <c r="P2781" s="20"/>
      <c r="Q2781" s="20"/>
    </row>
    <row r="2782" spans="1:17" ht="24.9" customHeight="1">
      <c r="A2782" s="20">
        <v>439</v>
      </c>
      <c r="B2782" s="20" t="s">
        <v>4349</v>
      </c>
      <c r="C2782" s="20">
        <v>17</v>
      </c>
      <c r="D2782" s="20" t="s">
        <v>3731</v>
      </c>
      <c r="E2782" s="19" t="str">
        <f>VLOOKUP(D2782,'لیست پرسنل'!$B$2:$E$1020,3,FALSE)</f>
        <v>فکورصنعت</v>
      </c>
      <c r="F2782" s="19" t="str">
        <f>VLOOKUP(D2782,'لیست پرسنل'!$B$2:$E$1020,4,FALSE)</f>
        <v>کنترل پروژه</v>
      </c>
      <c r="G2782" s="127">
        <f>VLOOKUP(D2782,'لیست پرسنل'!$B$2:$F$1020,2,FALSE)</f>
        <v>4000807</v>
      </c>
      <c r="H2782" s="128" t="s">
        <v>7363</v>
      </c>
      <c r="I2782" s="128" t="s">
        <v>7410</v>
      </c>
      <c r="J2782" s="128" t="s">
        <v>737</v>
      </c>
      <c r="K2782" s="132" t="s">
        <v>1382</v>
      </c>
      <c r="L2782" s="127" t="s">
        <v>1383</v>
      </c>
      <c r="M2782" s="127">
        <v>617943</v>
      </c>
      <c r="N2782" s="109"/>
      <c r="O2782" s="69"/>
      <c r="P2782" s="20"/>
      <c r="Q2782" s="20"/>
    </row>
    <row r="2783" spans="1:17" ht="24.9" customHeight="1">
      <c r="A2783" s="20">
        <v>439</v>
      </c>
      <c r="B2783" s="20" t="s">
        <v>4349</v>
      </c>
      <c r="C2783" s="20">
        <v>17</v>
      </c>
      <c r="D2783" s="20" t="s">
        <v>3731</v>
      </c>
      <c r="E2783" s="19" t="str">
        <f>VLOOKUP(D2783,'لیست پرسنل'!$B$2:$E$1020,3,FALSE)</f>
        <v>فکورصنعت</v>
      </c>
      <c r="F2783" s="19" t="str">
        <f>VLOOKUP(D2783,'لیست پرسنل'!$B$2:$E$1020,4,FALSE)</f>
        <v>کنترل پروژه</v>
      </c>
      <c r="G2783" s="127">
        <f>VLOOKUP(D2783,'لیست پرسنل'!$B$2:$F$1020,2,FALSE)</f>
        <v>4000807</v>
      </c>
      <c r="H2783" s="128" t="s">
        <v>7363</v>
      </c>
      <c r="I2783" s="128" t="s">
        <v>7410</v>
      </c>
      <c r="J2783" s="126" t="s">
        <v>368</v>
      </c>
      <c r="K2783" s="128" t="s">
        <v>798</v>
      </c>
      <c r="L2783" s="127"/>
      <c r="M2783" s="142">
        <v>623432</v>
      </c>
      <c r="N2783" s="109"/>
      <c r="O2783" s="69"/>
      <c r="P2783" s="20"/>
      <c r="Q2783" s="20"/>
    </row>
    <row r="2784" spans="1:17" ht="24.9" customHeight="1">
      <c r="A2784" s="20">
        <v>439</v>
      </c>
      <c r="B2784" s="20" t="s">
        <v>4349</v>
      </c>
      <c r="C2784" s="20">
        <v>17</v>
      </c>
      <c r="D2784" s="20" t="s">
        <v>3731</v>
      </c>
      <c r="E2784" s="19" t="str">
        <f>VLOOKUP(D2784,'لیست پرسنل'!$B$2:$E$1020,3,FALSE)</f>
        <v>فکورصنعت</v>
      </c>
      <c r="F2784" s="19" t="str">
        <f>VLOOKUP(D2784,'لیست پرسنل'!$B$2:$E$1020,4,FALSE)</f>
        <v>کنترل پروژه</v>
      </c>
      <c r="G2784" s="127">
        <f>VLOOKUP(D2784,'لیست پرسنل'!$B$2:$F$1020,2,FALSE)</f>
        <v>4000807</v>
      </c>
      <c r="H2784" s="128" t="s">
        <v>7363</v>
      </c>
      <c r="I2784" s="128" t="s">
        <v>7410</v>
      </c>
      <c r="J2784" s="126" t="s">
        <v>3692</v>
      </c>
      <c r="K2784" s="127" t="s">
        <v>1384</v>
      </c>
      <c r="L2784" s="127">
        <v>13023732</v>
      </c>
      <c r="M2784" s="127">
        <v>624643</v>
      </c>
      <c r="N2784" s="109"/>
      <c r="O2784" s="69"/>
      <c r="P2784" s="20"/>
      <c r="Q2784" s="20"/>
    </row>
    <row r="2785" spans="1:17" ht="24.9" customHeight="1">
      <c r="A2785" s="20">
        <v>439</v>
      </c>
      <c r="B2785" s="20" t="s">
        <v>4349</v>
      </c>
      <c r="C2785" s="20">
        <v>17</v>
      </c>
      <c r="D2785" s="20" t="s">
        <v>3731</v>
      </c>
      <c r="E2785" s="19" t="str">
        <f>VLOOKUP(D2785,'لیست پرسنل'!$B$2:$E$1020,3,FALSE)</f>
        <v>فکورصنعت</v>
      </c>
      <c r="F2785" s="19" t="str">
        <f>VLOOKUP(D2785,'لیست پرسنل'!$B$2:$E$1020,4,FALSE)</f>
        <v>کنترل پروژه</v>
      </c>
      <c r="G2785" s="127">
        <f>VLOOKUP(D2785,'لیست پرسنل'!$B$2:$F$1020,2,FALSE)</f>
        <v>4000807</v>
      </c>
      <c r="H2785" s="128" t="s">
        <v>7363</v>
      </c>
      <c r="I2785" s="128" t="s">
        <v>7410</v>
      </c>
      <c r="J2785" s="128" t="s">
        <v>885</v>
      </c>
      <c r="K2785" s="128" t="s">
        <v>885</v>
      </c>
      <c r="L2785" s="150"/>
      <c r="M2785" s="128">
        <v>619003</v>
      </c>
      <c r="N2785" s="108"/>
      <c r="O2785" s="20" t="s">
        <v>4297</v>
      </c>
      <c r="P2785" s="20"/>
      <c r="Q2785" s="20"/>
    </row>
    <row r="2786" spans="1:17" ht="24.9" customHeight="1">
      <c r="A2786" s="20">
        <v>439</v>
      </c>
      <c r="B2786" s="20" t="s">
        <v>4349</v>
      </c>
      <c r="C2786" s="20">
        <v>17</v>
      </c>
      <c r="D2786" s="20" t="s">
        <v>3731</v>
      </c>
      <c r="E2786" s="19" t="str">
        <f>VLOOKUP(D2786,'لیست پرسنل'!$B$2:$E$1020,3,FALSE)</f>
        <v>فکورصنعت</v>
      </c>
      <c r="F2786" s="19" t="str">
        <f>VLOOKUP(D2786,'لیست پرسنل'!$B$2:$E$1020,4,FALSE)</f>
        <v>کنترل پروژه</v>
      </c>
      <c r="G2786" s="127">
        <f>VLOOKUP(D2786,'لیست پرسنل'!$B$2:$F$1020,2,FALSE)</f>
        <v>4000807</v>
      </c>
      <c r="H2786" s="128" t="s">
        <v>7363</v>
      </c>
      <c r="I2786" s="128" t="s">
        <v>7410</v>
      </c>
      <c r="J2786" s="128" t="s">
        <v>885</v>
      </c>
      <c r="K2786" s="127" t="s">
        <v>3137</v>
      </c>
      <c r="L2786" s="151" t="s">
        <v>3138</v>
      </c>
      <c r="M2786" s="127">
        <v>620806</v>
      </c>
      <c r="N2786" s="109"/>
      <c r="O2786" s="69"/>
      <c r="P2786" s="20"/>
      <c r="Q2786" s="20"/>
    </row>
    <row r="2787" spans="1:17" ht="24.9" customHeight="1">
      <c r="A2787" s="20">
        <v>439</v>
      </c>
      <c r="B2787" s="20" t="s">
        <v>4349</v>
      </c>
      <c r="C2787" s="20">
        <v>17</v>
      </c>
      <c r="D2787" s="20" t="s">
        <v>3731</v>
      </c>
      <c r="E2787" s="19" t="str">
        <f>VLOOKUP(D2787,'لیست پرسنل'!$B$2:$E$1020,3,FALSE)</f>
        <v>فکورصنعت</v>
      </c>
      <c r="F2787" s="19" t="str">
        <f>VLOOKUP(D2787,'لیست پرسنل'!$B$2:$E$1020,4,FALSE)</f>
        <v>کنترل پروژه</v>
      </c>
      <c r="G2787" s="127">
        <f>VLOOKUP(D2787,'لیست پرسنل'!$B$2:$F$1020,2,FALSE)</f>
        <v>4000807</v>
      </c>
      <c r="H2787" s="128" t="s">
        <v>7363</v>
      </c>
      <c r="I2787" s="128" t="s">
        <v>7410</v>
      </c>
      <c r="J2787" s="128" t="s">
        <v>571</v>
      </c>
      <c r="K2787" s="128"/>
      <c r="L2787" s="128"/>
      <c r="M2787" s="127">
        <v>625433</v>
      </c>
      <c r="N2787" s="109"/>
      <c r="O2787" s="69"/>
      <c r="P2787" s="20"/>
      <c r="Q2787" s="20"/>
    </row>
    <row r="2788" spans="1:17" ht="24.9" customHeight="1">
      <c r="A2788" s="20">
        <v>439</v>
      </c>
      <c r="B2788" s="20" t="s">
        <v>4349</v>
      </c>
      <c r="C2788" s="20">
        <v>17</v>
      </c>
      <c r="D2788" s="20" t="s">
        <v>3731</v>
      </c>
      <c r="E2788" s="19" t="str">
        <f>VLOOKUP(D2788,'لیست پرسنل'!$B$2:$E$1020,3,FALSE)</f>
        <v>فکورصنعت</v>
      </c>
      <c r="F2788" s="19" t="str">
        <f>VLOOKUP(D2788,'لیست پرسنل'!$B$2:$E$1020,4,FALSE)</f>
        <v>کنترل پروژه</v>
      </c>
      <c r="G2788" s="127">
        <f>VLOOKUP(D2788,'لیست پرسنل'!$B$2:$F$1020,2,FALSE)</f>
        <v>4000807</v>
      </c>
      <c r="H2788" s="128" t="s">
        <v>7363</v>
      </c>
      <c r="I2788" s="128" t="s">
        <v>7410</v>
      </c>
      <c r="J2788" s="128" t="s">
        <v>2686</v>
      </c>
      <c r="K2788" s="128" t="s">
        <v>2922</v>
      </c>
      <c r="L2788" s="128" t="s">
        <v>2959</v>
      </c>
      <c r="M2788" s="128">
        <v>626440</v>
      </c>
      <c r="N2788" s="108"/>
      <c r="O2788" s="20"/>
      <c r="P2788" s="20"/>
      <c r="Q2788" s="20"/>
    </row>
    <row r="2789" spans="1:17" ht="24.9" customHeight="1">
      <c r="A2789" s="20">
        <v>439</v>
      </c>
      <c r="B2789" s="20" t="s">
        <v>4349</v>
      </c>
      <c r="C2789" s="19">
        <v>19</v>
      </c>
      <c r="D2789" s="20" t="s">
        <v>3728</v>
      </c>
      <c r="E2789" s="19" t="str">
        <f>VLOOKUP(D2789,'لیست پرسنل'!$B$2:$E$1020,3,FALSE)</f>
        <v>فکورصنعت</v>
      </c>
      <c r="F2789" s="19" t="str">
        <f>VLOOKUP(D2789,'لیست پرسنل'!$B$2:$E$1020,4,FALSE)</f>
        <v>مدیر سایت</v>
      </c>
      <c r="G2789" s="127">
        <f>VLOOKUP(D2789,'لیست پرسنل'!$B$2:$F$1020,2,FALSE)</f>
        <v>483</v>
      </c>
      <c r="H2789" s="127" t="s">
        <v>3754</v>
      </c>
      <c r="I2789" s="126" t="s">
        <v>1622</v>
      </c>
      <c r="J2789" s="126" t="s">
        <v>1976</v>
      </c>
      <c r="K2789" s="134" t="s">
        <v>7416</v>
      </c>
      <c r="L2789" s="164"/>
      <c r="M2789" s="127">
        <v>634909</v>
      </c>
      <c r="N2789" s="108"/>
      <c r="O2789" s="20"/>
      <c r="P2789" s="20"/>
      <c r="Q2789" s="20"/>
    </row>
    <row r="2790" spans="1:17" ht="24.9" customHeight="1">
      <c r="A2790" s="20">
        <v>439</v>
      </c>
      <c r="B2790" s="20" t="s">
        <v>4349</v>
      </c>
      <c r="C2790" s="19">
        <v>19</v>
      </c>
      <c r="D2790" s="20" t="s">
        <v>3728</v>
      </c>
      <c r="E2790" s="19" t="str">
        <f>VLOOKUP(D2790,'لیست پرسنل'!$B$2:$E$1020,3,FALSE)</f>
        <v>فکورصنعت</v>
      </c>
      <c r="F2790" s="19" t="str">
        <f>VLOOKUP(D2790,'لیست پرسنل'!$B$2:$E$1020,4,FALSE)</f>
        <v>مدیر سایت</v>
      </c>
      <c r="G2790" s="127">
        <f>VLOOKUP(D2790,'لیست پرسنل'!$B$2:$F$1020,2,FALSE)</f>
        <v>483</v>
      </c>
      <c r="H2790" s="127" t="s">
        <v>3754</v>
      </c>
      <c r="I2790" s="126" t="s">
        <v>1622</v>
      </c>
      <c r="J2790" s="126" t="s">
        <v>1976</v>
      </c>
      <c r="K2790" s="134" t="s">
        <v>7416</v>
      </c>
      <c r="L2790" s="164"/>
      <c r="M2790" s="127">
        <v>634910</v>
      </c>
      <c r="N2790" s="108"/>
      <c r="O2790" s="20"/>
      <c r="P2790" s="20"/>
      <c r="Q2790" s="20"/>
    </row>
    <row r="2791" spans="1:17" ht="24.9" customHeight="1">
      <c r="A2791" s="20">
        <v>439</v>
      </c>
      <c r="B2791" s="20" t="s">
        <v>4349</v>
      </c>
      <c r="C2791" s="19">
        <v>19</v>
      </c>
      <c r="D2791" s="20" t="s">
        <v>3728</v>
      </c>
      <c r="E2791" s="19" t="str">
        <f>VLOOKUP(D2791,'لیست پرسنل'!$B$2:$E$1020,3,FALSE)</f>
        <v>فکورصنعت</v>
      </c>
      <c r="F2791" s="19" t="str">
        <f>VLOOKUP(D2791,'لیست پرسنل'!$B$2:$E$1020,4,FALSE)</f>
        <v>مدیر سایت</v>
      </c>
      <c r="G2791" s="127">
        <f>VLOOKUP(D2791,'لیست پرسنل'!$B$2:$F$1020,2,FALSE)</f>
        <v>483</v>
      </c>
      <c r="H2791" s="127" t="s">
        <v>3754</v>
      </c>
      <c r="I2791" s="126" t="s">
        <v>1622</v>
      </c>
      <c r="J2791" s="126" t="s">
        <v>5366</v>
      </c>
      <c r="K2791" s="134" t="s">
        <v>1626</v>
      </c>
      <c r="L2791" s="164" t="s">
        <v>1625</v>
      </c>
      <c r="M2791" s="134">
        <v>624925</v>
      </c>
      <c r="N2791" s="109"/>
      <c r="O2791" s="20" t="s">
        <v>3755</v>
      </c>
      <c r="P2791" s="20"/>
      <c r="Q2791" s="20"/>
    </row>
    <row r="2792" spans="1:17" ht="24.9" customHeight="1">
      <c r="A2792" s="20">
        <v>439</v>
      </c>
      <c r="B2792" s="20" t="s">
        <v>4349</v>
      </c>
      <c r="C2792" s="19">
        <v>19</v>
      </c>
      <c r="D2792" s="20" t="s">
        <v>3728</v>
      </c>
      <c r="E2792" s="19" t="str">
        <f>VLOOKUP(D2792,'لیست پرسنل'!$B$2:$E$1020,3,FALSE)</f>
        <v>فکورصنعت</v>
      </c>
      <c r="F2792" s="19" t="str">
        <f>VLOOKUP(D2792,'لیست پرسنل'!$B$2:$E$1020,4,FALSE)</f>
        <v>مدیر سایت</v>
      </c>
      <c r="G2792" s="127">
        <f>VLOOKUP(D2792,'لیست پرسنل'!$B$2:$F$1020,2,FALSE)</f>
        <v>483</v>
      </c>
      <c r="H2792" s="127" t="s">
        <v>3754</v>
      </c>
      <c r="I2792" s="126" t="s">
        <v>1622</v>
      </c>
      <c r="J2792" s="126" t="s">
        <v>5366</v>
      </c>
      <c r="K2792" s="134" t="s">
        <v>1626</v>
      </c>
      <c r="L2792" s="127" t="s">
        <v>1627</v>
      </c>
      <c r="M2792" s="127">
        <v>626137</v>
      </c>
      <c r="N2792" s="109"/>
      <c r="O2792" s="20" t="s">
        <v>3755</v>
      </c>
      <c r="P2792" s="20"/>
      <c r="Q2792" s="20"/>
    </row>
    <row r="2793" spans="1:17" ht="24.9" customHeight="1">
      <c r="A2793" s="20">
        <v>439</v>
      </c>
      <c r="B2793" s="20" t="s">
        <v>4349</v>
      </c>
      <c r="C2793" s="19">
        <v>19</v>
      </c>
      <c r="D2793" s="20" t="s">
        <v>3728</v>
      </c>
      <c r="E2793" s="19" t="str">
        <f>VLOOKUP(D2793,'لیست پرسنل'!$B$2:$E$1020,3,FALSE)</f>
        <v>فکورصنعت</v>
      </c>
      <c r="F2793" s="19" t="str">
        <f>VLOOKUP(D2793,'لیست پرسنل'!$B$2:$E$1020,4,FALSE)</f>
        <v>مدیر سایت</v>
      </c>
      <c r="G2793" s="127">
        <f>VLOOKUP(D2793,'لیست پرسنل'!$B$2:$F$1020,2,FALSE)</f>
        <v>483</v>
      </c>
      <c r="H2793" s="127" t="s">
        <v>3754</v>
      </c>
      <c r="I2793" s="126" t="s">
        <v>1622</v>
      </c>
      <c r="J2793" s="126" t="s">
        <v>571</v>
      </c>
      <c r="K2793" s="134" t="s">
        <v>5267</v>
      </c>
      <c r="L2793" s="164"/>
      <c r="M2793" s="127">
        <v>625674</v>
      </c>
      <c r="N2793" s="108"/>
      <c r="O2793" s="20" t="s">
        <v>3755</v>
      </c>
      <c r="P2793" s="20"/>
      <c r="Q2793" s="20"/>
    </row>
    <row r="2794" spans="1:17" ht="24.9" customHeight="1">
      <c r="A2794" s="20">
        <v>439</v>
      </c>
      <c r="B2794" s="20" t="s">
        <v>4349</v>
      </c>
      <c r="C2794" s="19">
        <v>19</v>
      </c>
      <c r="D2794" s="20" t="s">
        <v>3728</v>
      </c>
      <c r="E2794" s="19" t="str">
        <f>VLOOKUP(D2794,'لیست پرسنل'!$B$2:$E$1020,3,FALSE)</f>
        <v>فکورصنعت</v>
      </c>
      <c r="F2794" s="19" t="str">
        <f>VLOOKUP(D2794,'لیست پرسنل'!$B$2:$E$1020,4,FALSE)</f>
        <v>مدیر سایت</v>
      </c>
      <c r="G2794" s="127">
        <f>VLOOKUP(D2794,'لیست پرسنل'!$B$2:$F$1020,2,FALSE)</f>
        <v>483</v>
      </c>
      <c r="H2794" s="127" t="s">
        <v>3754</v>
      </c>
      <c r="I2794" s="126" t="s">
        <v>1622</v>
      </c>
      <c r="J2794" s="128" t="s">
        <v>2686</v>
      </c>
      <c r="K2794" s="127" t="s">
        <v>332</v>
      </c>
      <c r="L2794" s="164" t="s">
        <v>1372</v>
      </c>
      <c r="M2794" s="134">
        <v>606151</v>
      </c>
      <c r="N2794" s="108"/>
      <c r="O2794" s="20" t="s">
        <v>3755</v>
      </c>
      <c r="P2794" s="20"/>
      <c r="Q2794" s="20"/>
    </row>
    <row r="2795" spans="1:17" ht="24.9" customHeight="1">
      <c r="A2795" s="20">
        <v>439</v>
      </c>
      <c r="B2795" s="20" t="s">
        <v>4349</v>
      </c>
      <c r="C2795" s="19">
        <v>19</v>
      </c>
      <c r="D2795" s="20" t="s">
        <v>3728</v>
      </c>
      <c r="E2795" s="19" t="str">
        <f>VLOOKUP(D2795,'لیست پرسنل'!$B$2:$E$1020,3,FALSE)</f>
        <v>فکورصنعت</v>
      </c>
      <c r="F2795" s="19" t="str">
        <f>VLOOKUP(D2795,'لیست پرسنل'!$B$2:$E$1020,4,FALSE)</f>
        <v>مدیر سایت</v>
      </c>
      <c r="G2795" s="127">
        <f>VLOOKUP(D2795,'لیست پرسنل'!$B$2:$F$1020,2,FALSE)</f>
        <v>483</v>
      </c>
      <c r="H2795" s="127" t="s">
        <v>3754</v>
      </c>
      <c r="I2795" s="126" t="s">
        <v>1622</v>
      </c>
      <c r="J2795" s="126" t="s">
        <v>7411</v>
      </c>
      <c r="K2795" s="134" t="s">
        <v>7415</v>
      </c>
      <c r="L2795" s="164"/>
      <c r="M2795" s="127">
        <v>634908</v>
      </c>
      <c r="N2795" s="108"/>
      <c r="O2795" s="20"/>
      <c r="P2795" s="20"/>
      <c r="Q2795" s="20"/>
    </row>
    <row r="2796" spans="1:17" ht="24.9" customHeight="1">
      <c r="A2796" s="20">
        <v>439</v>
      </c>
      <c r="B2796" s="20" t="s">
        <v>4349</v>
      </c>
      <c r="C2796" s="19">
        <v>19</v>
      </c>
      <c r="D2796" s="20" t="s">
        <v>3728</v>
      </c>
      <c r="E2796" s="19" t="str">
        <f>VLOOKUP(D2796,'لیست پرسنل'!$B$2:$E$1020,3,FALSE)</f>
        <v>فکورصنعت</v>
      </c>
      <c r="F2796" s="19" t="str">
        <f>VLOOKUP(D2796,'لیست پرسنل'!$B$2:$E$1020,4,FALSE)</f>
        <v>مدیر سایت</v>
      </c>
      <c r="G2796" s="127">
        <f>VLOOKUP(D2796,'لیست پرسنل'!$B$2:$F$1020,2,FALSE)</f>
        <v>483</v>
      </c>
      <c r="H2796" s="127" t="s">
        <v>3754</v>
      </c>
      <c r="I2796" s="126" t="s">
        <v>1622</v>
      </c>
      <c r="J2796" s="126" t="s">
        <v>7333</v>
      </c>
      <c r="K2796" s="134" t="s">
        <v>7413</v>
      </c>
      <c r="L2796" s="164"/>
      <c r="M2796" s="127">
        <v>634906</v>
      </c>
      <c r="N2796" s="108"/>
      <c r="O2796" s="20"/>
      <c r="P2796" s="20"/>
      <c r="Q2796" s="20"/>
    </row>
    <row r="2797" spans="1:17" ht="24.9" customHeight="1">
      <c r="A2797" s="20">
        <v>439</v>
      </c>
      <c r="B2797" s="20" t="s">
        <v>4349</v>
      </c>
      <c r="C2797" s="19">
        <v>19</v>
      </c>
      <c r="D2797" s="20" t="s">
        <v>3728</v>
      </c>
      <c r="E2797" s="19" t="str">
        <f>VLOOKUP(D2797,'لیست پرسنل'!$B$2:$E$1020,3,FALSE)</f>
        <v>فکورصنعت</v>
      </c>
      <c r="F2797" s="19" t="str">
        <f>VLOOKUP(D2797,'لیست پرسنل'!$B$2:$E$1020,4,FALSE)</f>
        <v>مدیر سایت</v>
      </c>
      <c r="G2797" s="127">
        <f>VLOOKUP(D2797,'لیست پرسنل'!$B$2:$F$1020,2,FALSE)</f>
        <v>483</v>
      </c>
      <c r="H2797" s="127" t="s">
        <v>3754</v>
      </c>
      <c r="I2797" s="126" t="s">
        <v>1622</v>
      </c>
      <c r="J2797" s="126" t="s">
        <v>4719</v>
      </c>
      <c r="K2797" s="134" t="s">
        <v>7412</v>
      </c>
      <c r="L2797" s="164"/>
      <c r="M2797" s="127">
        <v>634896</v>
      </c>
      <c r="N2797" s="108"/>
      <c r="O2797" s="20"/>
      <c r="P2797" s="20"/>
      <c r="Q2797" s="20"/>
    </row>
    <row r="2798" spans="1:17" ht="24.9" customHeight="1">
      <c r="A2798" s="20">
        <v>439</v>
      </c>
      <c r="B2798" s="20" t="s">
        <v>4349</v>
      </c>
      <c r="C2798" s="19">
        <v>19</v>
      </c>
      <c r="D2798" s="20" t="s">
        <v>3728</v>
      </c>
      <c r="E2798" s="19" t="str">
        <f>VLOOKUP(D2798,'لیست پرسنل'!$B$2:$E$1020,3,FALSE)</f>
        <v>فکورصنعت</v>
      </c>
      <c r="F2798" s="19" t="str">
        <f>VLOOKUP(D2798,'لیست پرسنل'!$B$2:$E$1020,4,FALSE)</f>
        <v>مدیر سایت</v>
      </c>
      <c r="G2798" s="127">
        <f>VLOOKUP(D2798,'لیست پرسنل'!$B$2:$F$1020,2,FALSE)</f>
        <v>483</v>
      </c>
      <c r="H2798" s="127" t="s">
        <v>3754</v>
      </c>
      <c r="I2798" s="126" t="s">
        <v>1622</v>
      </c>
      <c r="J2798" s="126" t="s">
        <v>4719</v>
      </c>
      <c r="K2798" s="134" t="s">
        <v>7412</v>
      </c>
      <c r="L2798" s="164"/>
      <c r="M2798" s="127">
        <v>634897</v>
      </c>
      <c r="N2798" s="108"/>
      <c r="O2798" s="20"/>
      <c r="P2798" s="20"/>
      <c r="Q2798" s="20"/>
    </row>
    <row r="2799" spans="1:17" ht="24.9" customHeight="1">
      <c r="A2799" s="20">
        <v>439</v>
      </c>
      <c r="B2799" s="20" t="s">
        <v>4349</v>
      </c>
      <c r="C2799" s="19">
        <v>19</v>
      </c>
      <c r="D2799" s="20" t="s">
        <v>3728</v>
      </c>
      <c r="E2799" s="19" t="str">
        <f>VLOOKUP(D2799,'لیست پرسنل'!$B$2:$E$1020,3,FALSE)</f>
        <v>فکورصنعت</v>
      </c>
      <c r="F2799" s="19" t="str">
        <f>VLOOKUP(D2799,'لیست پرسنل'!$B$2:$E$1020,4,FALSE)</f>
        <v>مدیر سایت</v>
      </c>
      <c r="G2799" s="127">
        <f>VLOOKUP(D2799,'لیست پرسنل'!$B$2:$F$1020,2,FALSE)</f>
        <v>483</v>
      </c>
      <c r="H2799" s="127" t="s">
        <v>3754</v>
      </c>
      <c r="I2799" s="126" t="s">
        <v>1622</v>
      </c>
      <c r="J2799" s="126" t="s">
        <v>4719</v>
      </c>
      <c r="K2799" s="134" t="s">
        <v>7412</v>
      </c>
      <c r="L2799" s="164"/>
      <c r="M2799" s="127">
        <v>634898</v>
      </c>
      <c r="N2799" s="108"/>
      <c r="O2799" s="20"/>
      <c r="P2799" s="20"/>
      <c r="Q2799" s="20"/>
    </row>
    <row r="2800" spans="1:17" ht="24.9" customHeight="1">
      <c r="A2800" s="20">
        <v>439</v>
      </c>
      <c r="B2800" s="20" t="s">
        <v>4349</v>
      </c>
      <c r="C2800" s="19">
        <v>19</v>
      </c>
      <c r="D2800" s="20" t="s">
        <v>3728</v>
      </c>
      <c r="E2800" s="19" t="str">
        <f>VLOOKUP(D2800,'لیست پرسنل'!$B$2:$E$1020,3,FALSE)</f>
        <v>فکورصنعت</v>
      </c>
      <c r="F2800" s="19" t="str">
        <f>VLOOKUP(D2800,'لیست پرسنل'!$B$2:$E$1020,4,FALSE)</f>
        <v>مدیر سایت</v>
      </c>
      <c r="G2800" s="127">
        <f>VLOOKUP(D2800,'لیست پرسنل'!$B$2:$F$1020,2,FALSE)</f>
        <v>483</v>
      </c>
      <c r="H2800" s="127" t="s">
        <v>3754</v>
      </c>
      <c r="I2800" s="126" t="s">
        <v>1622</v>
      </c>
      <c r="J2800" s="126" t="s">
        <v>4719</v>
      </c>
      <c r="K2800" s="134" t="s">
        <v>7412</v>
      </c>
      <c r="L2800" s="164"/>
      <c r="M2800" s="127">
        <v>634899</v>
      </c>
      <c r="N2800" s="108"/>
      <c r="O2800" s="20"/>
      <c r="P2800" s="20"/>
      <c r="Q2800" s="20"/>
    </row>
    <row r="2801" spans="1:17" ht="24.9" customHeight="1">
      <c r="A2801" s="20">
        <v>439</v>
      </c>
      <c r="B2801" s="20" t="s">
        <v>4349</v>
      </c>
      <c r="C2801" s="19">
        <v>19</v>
      </c>
      <c r="D2801" s="20" t="s">
        <v>3728</v>
      </c>
      <c r="E2801" s="19" t="str">
        <f>VLOOKUP(D2801,'لیست پرسنل'!$B$2:$E$1020,3,FALSE)</f>
        <v>فکورصنعت</v>
      </c>
      <c r="F2801" s="19" t="str">
        <f>VLOOKUP(D2801,'لیست پرسنل'!$B$2:$E$1020,4,FALSE)</f>
        <v>مدیر سایت</v>
      </c>
      <c r="G2801" s="127">
        <f>VLOOKUP(D2801,'لیست پرسنل'!$B$2:$F$1020,2,FALSE)</f>
        <v>483</v>
      </c>
      <c r="H2801" s="127" t="s">
        <v>3754</v>
      </c>
      <c r="I2801" s="126" t="s">
        <v>1622</v>
      </c>
      <c r="J2801" s="126" t="s">
        <v>4719</v>
      </c>
      <c r="K2801" s="134" t="s">
        <v>7412</v>
      </c>
      <c r="L2801" s="164"/>
      <c r="M2801" s="127">
        <v>634900</v>
      </c>
      <c r="N2801" s="108"/>
      <c r="O2801" s="20"/>
      <c r="P2801" s="20"/>
      <c r="Q2801" s="20"/>
    </row>
    <row r="2802" spans="1:17" ht="24.9" customHeight="1">
      <c r="A2802" s="20">
        <v>439</v>
      </c>
      <c r="B2802" s="20" t="s">
        <v>4349</v>
      </c>
      <c r="C2802" s="19">
        <v>19</v>
      </c>
      <c r="D2802" s="20" t="s">
        <v>3728</v>
      </c>
      <c r="E2802" s="19" t="str">
        <f>VLOOKUP(D2802,'لیست پرسنل'!$B$2:$E$1020,3,FALSE)</f>
        <v>فکورصنعت</v>
      </c>
      <c r="F2802" s="19" t="str">
        <f>VLOOKUP(D2802,'لیست پرسنل'!$B$2:$E$1020,4,FALSE)</f>
        <v>مدیر سایت</v>
      </c>
      <c r="G2802" s="127">
        <f>VLOOKUP(D2802,'لیست پرسنل'!$B$2:$F$1020,2,FALSE)</f>
        <v>483</v>
      </c>
      <c r="H2802" s="127" t="s">
        <v>3754</v>
      </c>
      <c r="I2802" s="126" t="s">
        <v>1622</v>
      </c>
      <c r="J2802" s="126" t="s">
        <v>4719</v>
      </c>
      <c r="K2802" s="134" t="s">
        <v>7412</v>
      </c>
      <c r="L2802" s="164"/>
      <c r="M2802" s="127">
        <v>634901</v>
      </c>
      <c r="N2802" s="108"/>
      <c r="O2802" s="20"/>
      <c r="P2802" s="20"/>
      <c r="Q2802" s="20"/>
    </row>
    <row r="2803" spans="1:17" ht="24.9" customHeight="1">
      <c r="A2803" s="20">
        <v>439</v>
      </c>
      <c r="B2803" s="20" t="s">
        <v>4349</v>
      </c>
      <c r="C2803" s="19">
        <v>19</v>
      </c>
      <c r="D2803" s="20" t="s">
        <v>3728</v>
      </c>
      <c r="E2803" s="19" t="str">
        <f>VLOOKUP(D2803,'لیست پرسنل'!$B$2:$E$1020,3,FALSE)</f>
        <v>فکورصنعت</v>
      </c>
      <c r="F2803" s="19" t="str">
        <f>VLOOKUP(D2803,'لیست پرسنل'!$B$2:$E$1020,4,FALSE)</f>
        <v>مدیر سایت</v>
      </c>
      <c r="G2803" s="127">
        <f>VLOOKUP(D2803,'لیست پرسنل'!$B$2:$F$1020,2,FALSE)</f>
        <v>483</v>
      </c>
      <c r="H2803" s="127" t="s">
        <v>3754</v>
      </c>
      <c r="I2803" s="126" t="s">
        <v>1622</v>
      </c>
      <c r="J2803" s="126" t="s">
        <v>4719</v>
      </c>
      <c r="K2803" s="134" t="s">
        <v>7412</v>
      </c>
      <c r="L2803" s="164"/>
      <c r="M2803" s="127">
        <v>634902</v>
      </c>
      <c r="N2803" s="108"/>
      <c r="O2803" s="20"/>
      <c r="P2803" s="20"/>
      <c r="Q2803" s="20"/>
    </row>
    <row r="2804" spans="1:17" ht="24.9" customHeight="1">
      <c r="A2804" s="20">
        <v>439</v>
      </c>
      <c r="B2804" s="20" t="s">
        <v>4349</v>
      </c>
      <c r="C2804" s="19">
        <v>19</v>
      </c>
      <c r="D2804" s="20" t="s">
        <v>3728</v>
      </c>
      <c r="E2804" s="19" t="str">
        <f>VLOOKUP(D2804,'لیست پرسنل'!$B$2:$E$1020,3,FALSE)</f>
        <v>فکورصنعت</v>
      </c>
      <c r="F2804" s="19" t="str">
        <f>VLOOKUP(D2804,'لیست پرسنل'!$B$2:$E$1020,4,FALSE)</f>
        <v>مدیر سایت</v>
      </c>
      <c r="G2804" s="127">
        <f>VLOOKUP(D2804,'لیست پرسنل'!$B$2:$F$1020,2,FALSE)</f>
        <v>483</v>
      </c>
      <c r="H2804" s="127" t="s">
        <v>3754</v>
      </c>
      <c r="I2804" s="126" t="s">
        <v>1622</v>
      </c>
      <c r="J2804" s="126" t="s">
        <v>4719</v>
      </c>
      <c r="K2804" s="134" t="s">
        <v>7412</v>
      </c>
      <c r="L2804" s="164"/>
      <c r="M2804" s="127">
        <v>634903</v>
      </c>
      <c r="N2804" s="108"/>
      <c r="O2804" s="20"/>
      <c r="P2804" s="20"/>
      <c r="Q2804" s="20"/>
    </row>
    <row r="2805" spans="1:17" ht="24.9" customHeight="1">
      <c r="A2805" s="20">
        <v>439</v>
      </c>
      <c r="B2805" s="20" t="s">
        <v>4349</v>
      </c>
      <c r="C2805" s="19">
        <v>19</v>
      </c>
      <c r="D2805" s="20" t="s">
        <v>3728</v>
      </c>
      <c r="E2805" s="19" t="str">
        <f>VLOOKUP(D2805,'لیست پرسنل'!$B$2:$E$1020,3,FALSE)</f>
        <v>فکورصنعت</v>
      </c>
      <c r="F2805" s="19" t="str">
        <f>VLOOKUP(D2805,'لیست پرسنل'!$B$2:$E$1020,4,FALSE)</f>
        <v>مدیر سایت</v>
      </c>
      <c r="G2805" s="127">
        <f>VLOOKUP(D2805,'لیست پرسنل'!$B$2:$F$1020,2,FALSE)</f>
        <v>483</v>
      </c>
      <c r="H2805" s="127" t="s">
        <v>3754</v>
      </c>
      <c r="I2805" s="126" t="s">
        <v>1622</v>
      </c>
      <c r="J2805" s="126" t="s">
        <v>4719</v>
      </c>
      <c r="K2805" s="134" t="s">
        <v>7412</v>
      </c>
      <c r="L2805" s="164"/>
      <c r="M2805" s="127">
        <v>634904</v>
      </c>
      <c r="N2805" s="108"/>
      <c r="O2805" s="20"/>
      <c r="P2805" s="20"/>
      <c r="Q2805" s="20"/>
    </row>
    <row r="2806" spans="1:17" ht="24.9" customHeight="1">
      <c r="A2806" s="20">
        <v>439</v>
      </c>
      <c r="B2806" s="20" t="s">
        <v>4349</v>
      </c>
      <c r="C2806" s="19">
        <v>19</v>
      </c>
      <c r="D2806" s="20" t="s">
        <v>3728</v>
      </c>
      <c r="E2806" s="19" t="str">
        <f>VLOOKUP(D2806,'لیست پرسنل'!$B$2:$E$1020,3,FALSE)</f>
        <v>فکورصنعت</v>
      </c>
      <c r="F2806" s="19" t="str">
        <f>VLOOKUP(D2806,'لیست پرسنل'!$B$2:$E$1020,4,FALSE)</f>
        <v>مدیر سایت</v>
      </c>
      <c r="G2806" s="127">
        <f>VLOOKUP(D2806,'لیست پرسنل'!$B$2:$F$1020,2,FALSE)</f>
        <v>483</v>
      </c>
      <c r="H2806" s="127" t="s">
        <v>3754</v>
      </c>
      <c r="I2806" s="126" t="s">
        <v>1622</v>
      </c>
      <c r="J2806" s="126" t="s">
        <v>4719</v>
      </c>
      <c r="K2806" s="134" t="s">
        <v>7412</v>
      </c>
      <c r="L2806" s="164"/>
      <c r="M2806" s="127">
        <v>634905</v>
      </c>
      <c r="N2806" s="108"/>
      <c r="O2806" s="20"/>
      <c r="P2806" s="20"/>
      <c r="Q2806" s="20"/>
    </row>
    <row r="2807" spans="1:17" ht="24.9" customHeight="1">
      <c r="A2807" s="20">
        <v>439</v>
      </c>
      <c r="B2807" s="20" t="s">
        <v>4349</v>
      </c>
      <c r="C2807" s="19">
        <v>19</v>
      </c>
      <c r="D2807" s="20" t="s">
        <v>3728</v>
      </c>
      <c r="E2807" s="19" t="str">
        <f>VLOOKUP(D2807,'لیست پرسنل'!$B$2:$E$1020,3,FALSE)</f>
        <v>فکورصنعت</v>
      </c>
      <c r="F2807" s="19" t="str">
        <f>VLOOKUP(D2807,'لیست پرسنل'!$B$2:$E$1020,4,FALSE)</f>
        <v>مدیر سایت</v>
      </c>
      <c r="G2807" s="127">
        <f>VLOOKUP(D2807,'لیست پرسنل'!$B$2:$F$1020,2,FALSE)</f>
        <v>483</v>
      </c>
      <c r="H2807" s="127" t="s">
        <v>3754</v>
      </c>
      <c r="I2807" s="126" t="s">
        <v>1622</v>
      </c>
      <c r="J2807" s="126" t="s">
        <v>4719</v>
      </c>
      <c r="K2807" s="134" t="s">
        <v>7417</v>
      </c>
      <c r="L2807" s="164"/>
      <c r="M2807" s="127">
        <v>634911</v>
      </c>
      <c r="N2807" s="108"/>
      <c r="O2807" s="20"/>
      <c r="P2807" s="20"/>
      <c r="Q2807" s="20"/>
    </row>
    <row r="2808" spans="1:17" ht="24.9" customHeight="1">
      <c r="A2808" s="20">
        <v>439</v>
      </c>
      <c r="B2808" s="20" t="s">
        <v>4349</v>
      </c>
      <c r="C2808" s="19">
        <v>19</v>
      </c>
      <c r="D2808" s="20" t="s">
        <v>3728</v>
      </c>
      <c r="E2808" s="19" t="str">
        <f>VLOOKUP(D2808,'لیست پرسنل'!$B$2:$E$1020,3,FALSE)</f>
        <v>فکورصنعت</v>
      </c>
      <c r="F2808" s="19" t="str">
        <f>VLOOKUP(D2808,'لیست پرسنل'!$B$2:$E$1020,4,FALSE)</f>
        <v>مدیر سایت</v>
      </c>
      <c r="G2808" s="127">
        <f>VLOOKUP(D2808,'لیست پرسنل'!$B$2:$F$1020,2,FALSE)</f>
        <v>483</v>
      </c>
      <c r="H2808" s="127" t="s">
        <v>3754</v>
      </c>
      <c r="I2808" s="126" t="s">
        <v>1622</v>
      </c>
      <c r="J2808" s="126" t="s">
        <v>4719</v>
      </c>
      <c r="K2808" s="134" t="s">
        <v>7412</v>
      </c>
      <c r="L2808" s="164"/>
      <c r="M2808" s="127">
        <v>635090</v>
      </c>
      <c r="N2808" s="108"/>
      <c r="O2808" s="20"/>
      <c r="P2808" s="20"/>
      <c r="Q2808" s="20"/>
    </row>
    <row r="2809" spans="1:17" ht="24.9" customHeight="1">
      <c r="A2809" s="20">
        <v>439</v>
      </c>
      <c r="B2809" s="20" t="s">
        <v>4349</v>
      </c>
      <c r="C2809" s="19">
        <v>19</v>
      </c>
      <c r="D2809" s="20" t="s">
        <v>3728</v>
      </c>
      <c r="E2809" s="19" t="str">
        <f>VLOOKUP(D2809,'لیست پرسنل'!$B$2:$E$1020,3,FALSE)</f>
        <v>فکورصنعت</v>
      </c>
      <c r="F2809" s="19" t="str">
        <f>VLOOKUP(D2809,'لیست پرسنل'!$B$2:$E$1020,4,FALSE)</f>
        <v>مدیر سایت</v>
      </c>
      <c r="G2809" s="127">
        <f>VLOOKUP(D2809,'لیست پرسنل'!$B$2:$F$1020,2,FALSE)</f>
        <v>483</v>
      </c>
      <c r="H2809" s="127" t="s">
        <v>3754</v>
      </c>
      <c r="I2809" s="126" t="s">
        <v>1622</v>
      </c>
      <c r="J2809" s="126" t="s">
        <v>4719</v>
      </c>
      <c r="K2809" s="134" t="s">
        <v>7412</v>
      </c>
      <c r="L2809" s="164"/>
      <c r="M2809" s="127">
        <v>635091</v>
      </c>
      <c r="N2809" s="108"/>
      <c r="O2809" s="20"/>
      <c r="P2809" s="20"/>
      <c r="Q2809" s="20"/>
    </row>
    <row r="2810" spans="1:17" ht="24.9" customHeight="1">
      <c r="A2810" s="20">
        <v>439</v>
      </c>
      <c r="B2810" s="20" t="s">
        <v>4349</v>
      </c>
      <c r="C2810" s="19">
        <v>19</v>
      </c>
      <c r="D2810" s="20" t="s">
        <v>3728</v>
      </c>
      <c r="E2810" s="19" t="str">
        <f>VLOOKUP(D2810,'لیست پرسنل'!$B$2:$E$1020,3,FALSE)</f>
        <v>فکورصنعت</v>
      </c>
      <c r="F2810" s="19" t="str">
        <f>VLOOKUP(D2810,'لیست پرسنل'!$B$2:$E$1020,4,FALSE)</f>
        <v>مدیر سایت</v>
      </c>
      <c r="G2810" s="127">
        <f>VLOOKUP(D2810,'لیست پرسنل'!$B$2:$F$1020,2,FALSE)</f>
        <v>483</v>
      </c>
      <c r="H2810" s="127" t="s">
        <v>3754</v>
      </c>
      <c r="I2810" s="126" t="s">
        <v>1622</v>
      </c>
      <c r="J2810" s="126" t="s">
        <v>4719</v>
      </c>
      <c r="K2810" s="134" t="s">
        <v>7412</v>
      </c>
      <c r="L2810" s="164"/>
      <c r="M2810" s="127">
        <v>635092</v>
      </c>
      <c r="N2810" s="108"/>
      <c r="O2810" s="20"/>
      <c r="P2810" s="20"/>
      <c r="Q2810" s="20"/>
    </row>
    <row r="2811" spans="1:17" ht="24.9" customHeight="1">
      <c r="A2811" s="20">
        <v>439</v>
      </c>
      <c r="B2811" s="20" t="s">
        <v>4349</v>
      </c>
      <c r="C2811" s="19">
        <v>19</v>
      </c>
      <c r="D2811" s="20" t="s">
        <v>3728</v>
      </c>
      <c r="E2811" s="19" t="str">
        <f>VLOOKUP(D2811,'لیست پرسنل'!$B$2:$E$1020,3,FALSE)</f>
        <v>فکورصنعت</v>
      </c>
      <c r="F2811" s="19" t="str">
        <f>VLOOKUP(D2811,'لیست پرسنل'!$B$2:$E$1020,4,FALSE)</f>
        <v>مدیر سایت</v>
      </c>
      <c r="G2811" s="127">
        <f>VLOOKUP(D2811,'لیست پرسنل'!$B$2:$F$1020,2,FALSE)</f>
        <v>483</v>
      </c>
      <c r="H2811" s="127" t="s">
        <v>3754</v>
      </c>
      <c r="I2811" s="126" t="s">
        <v>1622</v>
      </c>
      <c r="J2811" s="126" t="s">
        <v>5473</v>
      </c>
      <c r="K2811" s="134" t="s">
        <v>7414</v>
      </c>
      <c r="L2811" s="164"/>
      <c r="M2811" s="127">
        <v>634907</v>
      </c>
      <c r="N2811" s="108"/>
      <c r="O2811" s="20"/>
      <c r="P2811" s="20"/>
      <c r="Q2811" s="20"/>
    </row>
    <row r="2812" spans="1:17" ht="24.9" customHeight="1">
      <c r="A2812" s="20">
        <v>439</v>
      </c>
      <c r="B2812" s="20" t="s">
        <v>4349</v>
      </c>
      <c r="C2812" s="20">
        <v>22</v>
      </c>
      <c r="D2812" s="20" t="s">
        <v>48</v>
      </c>
      <c r="E2812" s="19" t="str">
        <f>VLOOKUP(D2812,'لیست پرسنل'!$B$2:$E$1020,3,FALSE)</f>
        <v>فکورصنعت</v>
      </c>
      <c r="F2812" s="19" t="str">
        <f>VLOOKUP(D2812,'لیست پرسنل'!$B$2:$E$1020,4,FALSE)</f>
        <v>سرپرست آی تی</v>
      </c>
      <c r="G2812" s="127">
        <f>VLOOKUP(D2812,'لیست پرسنل'!$B$2:$F$1020,2,FALSE)</f>
        <v>2210</v>
      </c>
      <c r="H2812" s="128" t="s">
        <v>7473</v>
      </c>
      <c r="I2812" s="128" t="s">
        <v>1621</v>
      </c>
      <c r="J2812" s="128" t="s">
        <v>571</v>
      </c>
      <c r="K2812" s="128" t="s">
        <v>571</v>
      </c>
      <c r="L2812" s="128"/>
      <c r="M2812" s="128">
        <v>604868</v>
      </c>
      <c r="N2812" s="108"/>
      <c r="O2812" s="20"/>
      <c r="P2812" s="20"/>
      <c r="Q2812" s="20"/>
    </row>
    <row r="2813" spans="1:17" ht="24.9" customHeight="1">
      <c r="A2813" s="20">
        <v>439</v>
      </c>
      <c r="B2813" s="20" t="s">
        <v>4349</v>
      </c>
      <c r="C2813" s="20">
        <v>22</v>
      </c>
      <c r="D2813" s="20" t="s">
        <v>48</v>
      </c>
      <c r="E2813" s="19" t="str">
        <f>VLOOKUP(D2813,'لیست پرسنل'!$B$2:$E$1020,3,FALSE)</f>
        <v>فکورصنعت</v>
      </c>
      <c r="F2813" s="19" t="str">
        <f>VLOOKUP(D2813,'لیست پرسنل'!$B$2:$E$1020,4,FALSE)</f>
        <v>سرپرست آی تی</v>
      </c>
      <c r="G2813" s="127">
        <f>VLOOKUP(D2813,'لیست پرسنل'!$B$2:$F$1020,2,FALSE)</f>
        <v>2210</v>
      </c>
      <c r="H2813" s="128" t="s">
        <v>7473</v>
      </c>
      <c r="I2813" s="128" t="s">
        <v>1621</v>
      </c>
      <c r="J2813" s="128" t="s">
        <v>2686</v>
      </c>
      <c r="K2813" s="128" t="s">
        <v>622</v>
      </c>
      <c r="L2813" s="128" t="s">
        <v>930</v>
      </c>
      <c r="M2813" s="128">
        <v>623616</v>
      </c>
      <c r="N2813" s="108"/>
      <c r="O2813" s="20" t="s">
        <v>3753</v>
      </c>
      <c r="P2813" s="20"/>
      <c r="Q2813" s="20"/>
    </row>
    <row r="2814" spans="1:17" ht="24.9" customHeight="1">
      <c r="A2814" s="20">
        <v>439</v>
      </c>
      <c r="B2814" s="20" t="s">
        <v>4349</v>
      </c>
      <c r="C2814" s="19">
        <v>23</v>
      </c>
      <c r="D2814" s="19" t="s">
        <v>2824</v>
      </c>
      <c r="E2814" s="19" t="str">
        <f>VLOOKUP(D2814,'لیست پرسنل'!$B$2:$E$1020,3,FALSE)</f>
        <v>فکورصنعت</v>
      </c>
      <c r="F2814" s="19" t="str">
        <f>VLOOKUP(D2814,'لیست پرسنل'!$B$2:$E$1020,4,FALSE)</f>
        <v>مکانیک</v>
      </c>
      <c r="G2814" s="127">
        <f>VLOOKUP(D2814,'لیست پرسنل'!$B$2:$F$1020,2,FALSE)</f>
        <v>4000303</v>
      </c>
      <c r="H2814" s="151" t="s">
        <v>3745</v>
      </c>
      <c r="I2814" s="127" t="s">
        <v>8259</v>
      </c>
      <c r="J2814" s="126" t="s">
        <v>368</v>
      </c>
      <c r="K2814" s="128" t="s">
        <v>2846</v>
      </c>
      <c r="L2814" s="128" t="s">
        <v>2390</v>
      </c>
      <c r="M2814" s="128">
        <v>628797</v>
      </c>
      <c r="N2814" s="108"/>
      <c r="O2814" s="20"/>
      <c r="P2814" s="20"/>
      <c r="Q2814" s="20"/>
    </row>
    <row r="2815" spans="1:17" ht="24.9" customHeight="1">
      <c r="A2815" s="20">
        <v>439</v>
      </c>
      <c r="B2815" s="20" t="s">
        <v>4349</v>
      </c>
      <c r="C2815" s="19">
        <v>23</v>
      </c>
      <c r="D2815" s="19" t="s">
        <v>2824</v>
      </c>
      <c r="E2815" s="19" t="str">
        <f>VLOOKUP(D2815,'لیست پرسنل'!$B$2:$E$1020,3,FALSE)</f>
        <v>فکورصنعت</v>
      </c>
      <c r="F2815" s="19" t="str">
        <f>VLOOKUP(D2815,'لیست پرسنل'!$B$2:$E$1020,4,FALSE)</f>
        <v>مکانیک</v>
      </c>
      <c r="G2815" s="127">
        <f>VLOOKUP(D2815,'لیست پرسنل'!$B$2:$F$1020,2,FALSE)</f>
        <v>4000303</v>
      </c>
      <c r="H2815" s="151" t="s">
        <v>3745</v>
      </c>
      <c r="I2815" s="127" t="s">
        <v>8259</v>
      </c>
      <c r="J2815" s="127" t="s">
        <v>571</v>
      </c>
      <c r="K2815" s="128" t="s">
        <v>8106</v>
      </c>
      <c r="L2815" s="128"/>
      <c r="M2815" s="132">
        <v>632476</v>
      </c>
      <c r="N2815" s="111"/>
      <c r="O2815" s="19"/>
      <c r="P2815" s="20"/>
      <c r="Q2815" s="20"/>
    </row>
    <row r="2816" spans="1:17" ht="24.9" customHeight="1">
      <c r="A2816" s="20">
        <v>439</v>
      </c>
      <c r="B2816" s="20" t="s">
        <v>4349</v>
      </c>
      <c r="C2816" s="19">
        <v>23</v>
      </c>
      <c r="D2816" s="19" t="s">
        <v>2824</v>
      </c>
      <c r="E2816" s="19" t="str">
        <f>VLOOKUP(D2816,'لیست پرسنل'!$B$2:$E$1020,3,FALSE)</f>
        <v>فکورصنعت</v>
      </c>
      <c r="F2816" s="19" t="str">
        <f>VLOOKUP(D2816,'لیست پرسنل'!$B$2:$E$1020,4,FALSE)</f>
        <v>مکانیک</v>
      </c>
      <c r="G2816" s="127">
        <f>VLOOKUP(D2816,'لیست پرسنل'!$B$2:$F$1020,2,FALSE)</f>
        <v>4000303</v>
      </c>
      <c r="H2816" s="151" t="s">
        <v>3745</v>
      </c>
      <c r="I2816" s="127" t="s">
        <v>8259</v>
      </c>
      <c r="J2816" s="128" t="s">
        <v>2686</v>
      </c>
      <c r="K2816" s="128" t="s">
        <v>2922</v>
      </c>
      <c r="L2816" s="127" t="s">
        <v>3038</v>
      </c>
      <c r="M2816" s="128">
        <v>626521</v>
      </c>
      <c r="N2816" s="108"/>
      <c r="O2816" s="20" t="s">
        <v>705</v>
      </c>
      <c r="P2816" s="20"/>
      <c r="Q2816" s="20"/>
    </row>
    <row r="2817" spans="1:17" ht="24.9" customHeight="1">
      <c r="A2817" s="20">
        <v>439</v>
      </c>
      <c r="B2817" s="20" t="s">
        <v>4349</v>
      </c>
      <c r="C2817" s="20"/>
      <c r="D2817" s="19" t="s">
        <v>3728</v>
      </c>
      <c r="E2817" s="19" t="str">
        <f>VLOOKUP(D2817,'لیست پرسنل'!$B$2:$E$1020,3,FALSE)</f>
        <v>فکورصنعت</v>
      </c>
      <c r="F2817" s="19" t="str">
        <f>VLOOKUP(D2817,'لیست پرسنل'!$B$2:$E$1020,4,FALSE)</f>
        <v>مدیر سایت</v>
      </c>
      <c r="G2817" s="127">
        <f>VLOOKUP(D2817,'لیست پرسنل'!$B$2:$F$1020,2,FALSE)</f>
        <v>483</v>
      </c>
      <c r="H2817" s="127" t="s">
        <v>6839</v>
      </c>
      <c r="I2817" s="128"/>
      <c r="J2817" s="126" t="s">
        <v>5927</v>
      </c>
      <c r="K2817" s="128" t="s">
        <v>6835</v>
      </c>
      <c r="L2817" s="128" t="s">
        <v>6836</v>
      </c>
      <c r="M2817" s="128" t="s">
        <v>291</v>
      </c>
      <c r="N2817" s="109"/>
      <c r="O2817" s="19"/>
      <c r="P2817" s="32"/>
      <c r="Q2817" s="32"/>
    </row>
    <row r="2818" spans="1:17" ht="24.9" customHeight="1">
      <c r="A2818" s="20">
        <v>439</v>
      </c>
      <c r="B2818" s="20" t="s">
        <v>4349</v>
      </c>
      <c r="C2818" s="20"/>
      <c r="D2818" s="44" t="s">
        <v>3728</v>
      </c>
      <c r="E2818" s="19" t="str">
        <f>VLOOKUP(D2818,'لیست پرسنل'!$B$2:$E$1020,3,FALSE)</f>
        <v>فکورصنعت</v>
      </c>
      <c r="F2818" s="19" t="str">
        <f>VLOOKUP(D2818,'لیست پرسنل'!$B$2:$E$1020,4,FALSE)</f>
        <v>مدیر سایت</v>
      </c>
      <c r="G2818" s="127">
        <f>VLOOKUP(D2818,'لیست پرسنل'!$B$2:$F$1020,2,FALSE)</f>
        <v>483</v>
      </c>
      <c r="H2818" s="127" t="s">
        <v>3745</v>
      </c>
      <c r="I2818" s="128"/>
      <c r="J2818" s="128" t="s">
        <v>3322</v>
      </c>
      <c r="K2818" s="128" t="s">
        <v>3837</v>
      </c>
      <c r="L2818" s="128"/>
      <c r="M2818" s="128">
        <v>626791</v>
      </c>
      <c r="N2818" s="108"/>
      <c r="O2818" s="20" t="s">
        <v>1667</v>
      </c>
      <c r="P2818" s="20"/>
      <c r="Q2818" s="20"/>
    </row>
    <row r="2819" spans="1:17" ht="24.9" customHeight="1">
      <c r="A2819" s="20">
        <v>439</v>
      </c>
      <c r="B2819" s="20" t="s">
        <v>4349</v>
      </c>
      <c r="C2819" s="20"/>
      <c r="D2819" s="44" t="s">
        <v>3728</v>
      </c>
      <c r="E2819" s="19" t="str">
        <f>VLOOKUP(D2819,'لیست پرسنل'!$B$2:$E$1020,3,FALSE)</f>
        <v>فکورصنعت</v>
      </c>
      <c r="F2819" s="19" t="str">
        <f>VLOOKUP(D2819,'لیست پرسنل'!$B$2:$E$1020,4,FALSE)</f>
        <v>مدیر سایت</v>
      </c>
      <c r="G2819" s="127">
        <f>VLOOKUP(D2819,'لیست پرسنل'!$B$2:$F$1020,2,FALSE)</f>
        <v>483</v>
      </c>
      <c r="H2819" s="127" t="s">
        <v>3745</v>
      </c>
      <c r="I2819" s="128"/>
      <c r="J2819" s="128" t="s">
        <v>3767</v>
      </c>
      <c r="K2819" s="135" t="s">
        <v>6490</v>
      </c>
      <c r="L2819" s="128"/>
      <c r="M2819" s="128">
        <v>626795</v>
      </c>
      <c r="N2819" s="108"/>
      <c r="O2819" s="20" t="s">
        <v>1667</v>
      </c>
      <c r="P2819" s="20"/>
      <c r="Q2819" s="20"/>
    </row>
    <row r="2820" spans="1:17" ht="24.9" customHeight="1">
      <c r="A2820" s="20">
        <v>439</v>
      </c>
      <c r="B2820" s="20" t="s">
        <v>4349</v>
      </c>
      <c r="C2820" s="20"/>
      <c r="D2820" s="44" t="s">
        <v>3728</v>
      </c>
      <c r="E2820" s="19" t="str">
        <f>VLOOKUP(D2820,'لیست پرسنل'!$B$2:$E$1020,3,FALSE)</f>
        <v>فکورصنعت</v>
      </c>
      <c r="F2820" s="19" t="str">
        <f>VLOOKUP(D2820,'لیست پرسنل'!$B$2:$E$1020,4,FALSE)</f>
        <v>مدیر سایت</v>
      </c>
      <c r="G2820" s="127">
        <f>VLOOKUP(D2820,'لیست پرسنل'!$B$2:$F$1020,2,FALSE)</f>
        <v>483</v>
      </c>
      <c r="H2820" s="127" t="s">
        <v>3745</v>
      </c>
      <c r="I2820" s="128"/>
      <c r="J2820" s="128" t="s">
        <v>3767</v>
      </c>
      <c r="K2820" s="135" t="s">
        <v>6490</v>
      </c>
      <c r="L2820" s="128"/>
      <c r="M2820" s="128">
        <v>626796</v>
      </c>
      <c r="N2820" s="108"/>
      <c r="O2820" s="20" t="s">
        <v>1667</v>
      </c>
      <c r="P2820" s="20"/>
      <c r="Q2820" s="20"/>
    </row>
    <row r="2821" spans="1:17" ht="24.9" customHeight="1">
      <c r="A2821" s="20">
        <v>439</v>
      </c>
      <c r="B2821" s="20" t="s">
        <v>4349</v>
      </c>
      <c r="C2821" s="20"/>
      <c r="D2821" s="44" t="s">
        <v>3728</v>
      </c>
      <c r="E2821" s="19" t="str">
        <f>VLOOKUP(D2821,'لیست پرسنل'!$B$2:$E$1020,3,FALSE)</f>
        <v>فکورصنعت</v>
      </c>
      <c r="F2821" s="19" t="str">
        <f>VLOOKUP(D2821,'لیست پرسنل'!$B$2:$E$1020,4,FALSE)</f>
        <v>مدیر سایت</v>
      </c>
      <c r="G2821" s="127">
        <f>VLOOKUP(D2821,'لیست پرسنل'!$B$2:$F$1020,2,FALSE)</f>
        <v>483</v>
      </c>
      <c r="H2821" s="127" t="s">
        <v>3745</v>
      </c>
      <c r="I2821" s="128"/>
      <c r="J2821" s="128" t="s">
        <v>3767</v>
      </c>
      <c r="K2821" s="135" t="s">
        <v>6490</v>
      </c>
      <c r="L2821" s="128"/>
      <c r="M2821" s="128">
        <v>626797</v>
      </c>
      <c r="N2821" s="108"/>
      <c r="O2821" s="20" t="s">
        <v>1667</v>
      </c>
      <c r="P2821" s="20"/>
      <c r="Q2821" s="20"/>
    </row>
    <row r="2822" spans="1:17" ht="24.9" customHeight="1">
      <c r="A2822" s="20">
        <v>439</v>
      </c>
      <c r="B2822" s="20" t="s">
        <v>4349</v>
      </c>
      <c r="C2822" s="20"/>
      <c r="D2822" s="44" t="s">
        <v>3728</v>
      </c>
      <c r="E2822" s="19" t="str">
        <f>VLOOKUP(D2822,'لیست پرسنل'!$B$2:$E$1020,3,FALSE)</f>
        <v>فکورصنعت</v>
      </c>
      <c r="F2822" s="19" t="str">
        <f>VLOOKUP(D2822,'لیست پرسنل'!$B$2:$E$1020,4,FALSE)</f>
        <v>مدیر سایت</v>
      </c>
      <c r="G2822" s="127">
        <f>VLOOKUP(D2822,'لیست پرسنل'!$B$2:$F$1020,2,FALSE)</f>
        <v>483</v>
      </c>
      <c r="H2822" s="127" t="s">
        <v>3745</v>
      </c>
      <c r="I2822" s="128"/>
      <c r="J2822" s="128" t="s">
        <v>3143</v>
      </c>
      <c r="K2822" s="135" t="s">
        <v>5844</v>
      </c>
      <c r="L2822" s="128" t="s">
        <v>3273</v>
      </c>
      <c r="M2822" s="128">
        <v>626792</v>
      </c>
      <c r="N2822" s="108"/>
      <c r="O2822" s="20" t="s">
        <v>1667</v>
      </c>
      <c r="P2822" s="20"/>
      <c r="Q2822" s="20"/>
    </row>
    <row r="2823" spans="1:17" ht="24.9" customHeight="1">
      <c r="A2823" s="20">
        <v>439</v>
      </c>
      <c r="B2823" s="20" t="s">
        <v>4349</v>
      </c>
      <c r="C2823" s="20"/>
      <c r="D2823" s="44" t="s">
        <v>3728</v>
      </c>
      <c r="E2823" s="19" t="str">
        <f>VLOOKUP(D2823,'لیست پرسنل'!$B$2:$E$1020,3,FALSE)</f>
        <v>فکورصنعت</v>
      </c>
      <c r="F2823" s="19" t="str">
        <f>VLOOKUP(D2823,'لیست پرسنل'!$B$2:$E$1020,4,FALSE)</f>
        <v>مدیر سایت</v>
      </c>
      <c r="G2823" s="127">
        <f>VLOOKUP(D2823,'لیست پرسنل'!$B$2:$F$1020,2,FALSE)</f>
        <v>483</v>
      </c>
      <c r="H2823" s="127" t="s">
        <v>3745</v>
      </c>
      <c r="I2823" s="128"/>
      <c r="J2823" s="128" t="s">
        <v>3143</v>
      </c>
      <c r="K2823" s="135" t="s">
        <v>5844</v>
      </c>
      <c r="L2823" s="128" t="s">
        <v>3273</v>
      </c>
      <c r="M2823" s="128">
        <v>626793</v>
      </c>
      <c r="N2823" s="108"/>
      <c r="O2823" s="20" t="s">
        <v>1667</v>
      </c>
      <c r="P2823" s="20"/>
      <c r="Q2823" s="20"/>
    </row>
    <row r="2824" spans="1:17" ht="24.9" customHeight="1">
      <c r="A2824" s="20">
        <v>439</v>
      </c>
      <c r="B2824" s="20" t="s">
        <v>4349</v>
      </c>
      <c r="C2824" s="20"/>
      <c r="D2824" s="44" t="s">
        <v>3728</v>
      </c>
      <c r="E2824" s="19" t="str">
        <f>VLOOKUP(D2824,'لیست پرسنل'!$B$2:$E$1020,3,FALSE)</f>
        <v>فکورصنعت</v>
      </c>
      <c r="F2824" s="19" t="str">
        <f>VLOOKUP(D2824,'لیست پرسنل'!$B$2:$E$1020,4,FALSE)</f>
        <v>مدیر سایت</v>
      </c>
      <c r="G2824" s="127">
        <f>VLOOKUP(D2824,'لیست پرسنل'!$B$2:$F$1020,2,FALSE)</f>
        <v>483</v>
      </c>
      <c r="H2824" s="127" t="s">
        <v>3745</v>
      </c>
      <c r="I2824" s="128"/>
      <c r="J2824" s="128" t="s">
        <v>3143</v>
      </c>
      <c r="K2824" s="135" t="s">
        <v>5844</v>
      </c>
      <c r="L2824" s="128" t="s">
        <v>3273</v>
      </c>
      <c r="M2824" s="128">
        <v>626794</v>
      </c>
      <c r="N2824" s="108"/>
      <c r="O2824" s="20" t="s">
        <v>1667</v>
      </c>
      <c r="P2824" s="20"/>
      <c r="Q2824" s="20"/>
    </row>
    <row r="2825" spans="1:17" ht="24.9" customHeight="1">
      <c r="A2825" s="20">
        <v>439</v>
      </c>
      <c r="B2825" s="20" t="s">
        <v>4349</v>
      </c>
      <c r="C2825" s="20"/>
      <c r="D2825" s="20" t="s">
        <v>3728</v>
      </c>
      <c r="E2825" s="19" t="str">
        <f>VLOOKUP(D2825,'لیست پرسنل'!$B$2:$E$1020,3,FALSE)</f>
        <v>فکورصنعت</v>
      </c>
      <c r="F2825" s="19" t="str">
        <f>VLOOKUP(D2825,'لیست پرسنل'!$B$2:$E$1020,4,FALSE)</f>
        <v>مدیر سایت</v>
      </c>
      <c r="G2825" s="127">
        <f>VLOOKUP(D2825,'لیست پرسنل'!$B$2:$F$1020,2,FALSE)</f>
        <v>483</v>
      </c>
      <c r="H2825" s="127" t="s">
        <v>3761</v>
      </c>
      <c r="I2825" s="128"/>
      <c r="J2825" s="128" t="s">
        <v>3496</v>
      </c>
      <c r="K2825" s="128" t="s">
        <v>1444</v>
      </c>
      <c r="L2825" s="128" t="s">
        <v>1445</v>
      </c>
      <c r="M2825" s="128" t="s">
        <v>291</v>
      </c>
      <c r="N2825" s="108"/>
      <c r="O2825" s="20" t="s">
        <v>3833</v>
      </c>
      <c r="P2825" s="20"/>
      <c r="Q2825" s="20"/>
    </row>
    <row r="2826" spans="1:17" ht="24.9" customHeight="1">
      <c r="A2826" s="20">
        <v>439</v>
      </c>
      <c r="B2826" s="20" t="s">
        <v>4349</v>
      </c>
      <c r="C2826" s="20"/>
      <c r="D2826" s="20" t="s">
        <v>3728</v>
      </c>
      <c r="E2826" s="19" t="str">
        <f>VLOOKUP(D2826,'لیست پرسنل'!$B$2:$E$1020,3,FALSE)</f>
        <v>فکورصنعت</v>
      </c>
      <c r="F2826" s="19" t="str">
        <f>VLOOKUP(D2826,'لیست پرسنل'!$B$2:$E$1020,4,FALSE)</f>
        <v>مدیر سایت</v>
      </c>
      <c r="G2826" s="127">
        <f>VLOOKUP(D2826,'لیست پرسنل'!$B$2:$F$1020,2,FALSE)</f>
        <v>483</v>
      </c>
      <c r="H2826" s="127" t="s">
        <v>3761</v>
      </c>
      <c r="I2826" s="179"/>
      <c r="J2826" s="179" t="s">
        <v>3285</v>
      </c>
      <c r="K2826" s="128" t="s">
        <v>1511</v>
      </c>
      <c r="L2826" s="128" t="s">
        <v>1512</v>
      </c>
      <c r="M2826" s="128">
        <v>610648</v>
      </c>
      <c r="N2826" s="108"/>
      <c r="O2826" s="80" t="s">
        <v>3764</v>
      </c>
      <c r="P2826" s="20"/>
      <c r="Q2826" s="20"/>
    </row>
    <row r="2827" spans="1:17" ht="24.9" customHeight="1">
      <c r="A2827" s="20">
        <v>439</v>
      </c>
      <c r="B2827" s="20" t="s">
        <v>4349</v>
      </c>
      <c r="C2827" s="20"/>
      <c r="D2827" s="20" t="s">
        <v>3736</v>
      </c>
      <c r="E2827" s="19" t="str">
        <f>VLOOKUP(D2827,'لیست پرسنل'!$B$2:$E$1020,3,FALSE)</f>
        <v>فکورصنعت</v>
      </c>
      <c r="F2827" s="19" t="str">
        <f>VLOOKUP(D2827,'لیست پرسنل'!$B$2:$E$1020,4,FALSE)</f>
        <v>انبار</v>
      </c>
      <c r="G2827" s="127">
        <f>VLOOKUP(D2827,'لیست پرسنل'!$B$2:$F$1020,2,FALSE)</f>
        <v>769</v>
      </c>
      <c r="H2827" s="127" t="s">
        <v>3766</v>
      </c>
      <c r="I2827" s="128"/>
      <c r="J2827" s="128" t="s">
        <v>3532</v>
      </c>
      <c r="K2827" s="128" t="s">
        <v>1941</v>
      </c>
      <c r="L2827" s="128" t="s">
        <v>1940</v>
      </c>
      <c r="M2827" s="128">
        <v>628105</v>
      </c>
      <c r="N2827" s="108"/>
      <c r="O2827" s="20" t="s">
        <v>1942</v>
      </c>
      <c r="P2827" s="20"/>
      <c r="Q2827" s="20"/>
    </row>
    <row r="2828" spans="1:17" ht="24.9" customHeight="1">
      <c r="A2828" s="20">
        <v>439</v>
      </c>
      <c r="B2828" s="20" t="s">
        <v>4349</v>
      </c>
      <c r="C2828" s="20"/>
      <c r="D2828" s="20" t="s">
        <v>3736</v>
      </c>
      <c r="E2828" s="19" t="str">
        <f>VLOOKUP(D2828,'لیست پرسنل'!$B$2:$E$1020,3,FALSE)</f>
        <v>فکورصنعت</v>
      </c>
      <c r="F2828" s="19" t="str">
        <f>VLOOKUP(D2828,'لیست پرسنل'!$B$2:$E$1020,4,FALSE)</f>
        <v>انبار</v>
      </c>
      <c r="G2828" s="127">
        <f>VLOOKUP(D2828,'لیست پرسنل'!$B$2:$F$1020,2,FALSE)</f>
        <v>769</v>
      </c>
      <c r="H2828" s="127" t="s">
        <v>3766</v>
      </c>
      <c r="I2828" s="128"/>
      <c r="J2828" s="128" t="s">
        <v>3532</v>
      </c>
      <c r="K2828" s="128" t="s">
        <v>1941</v>
      </c>
      <c r="L2828" s="128" t="s">
        <v>1936</v>
      </c>
      <c r="M2828" s="128">
        <v>628141</v>
      </c>
      <c r="N2828" s="108"/>
      <c r="O2828" s="20" t="s">
        <v>1942</v>
      </c>
      <c r="P2828" s="20"/>
      <c r="Q2828" s="20"/>
    </row>
    <row r="2829" spans="1:17" ht="24.9" customHeight="1">
      <c r="A2829" s="20">
        <v>439</v>
      </c>
      <c r="B2829" s="20" t="s">
        <v>4349</v>
      </c>
      <c r="C2829" s="20"/>
      <c r="D2829" s="20" t="s">
        <v>3736</v>
      </c>
      <c r="E2829" s="19" t="str">
        <f>VLOOKUP(D2829,'لیست پرسنل'!$B$2:$E$1020,3,FALSE)</f>
        <v>فکورصنعت</v>
      </c>
      <c r="F2829" s="19" t="str">
        <f>VLOOKUP(D2829,'لیست پرسنل'!$B$2:$E$1020,4,FALSE)</f>
        <v>انبار</v>
      </c>
      <c r="G2829" s="127">
        <f>VLOOKUP(D2829,'لیست پرسنل'!$B$2:$F$1020,2,FALSE)</f>
        <v>769</v>
      </c>
      <c r="H2829" s="127" t="s">
        <v>3766</v>
      </c>
      <c r="I2829" s="128"/>
      <c r="J2829" s="128" t="s">
        <v>3532</v>
      </c>
      <c r="K2829" s="128" t="s">
        <v>1941</v>
      </c>
      <c r="L2829" s="128" t="s">
        <v>1937</v>
      </c>
      <c r="M2829" s="128">
        <v>628142</v>
      </c>
      <c r="N2829" s="108"/>
      <c r="O2829" s="20" t="s">
        <v>1942</v>
      </c>
      <c r="P2829" s="20"/>
      <c r="Q2829" s="20"/>
    </row>
    <row r="2830" spans="1:17" ht="24.9" customHeight="1">
      <c r="A2830" s="20">
        <v>439</v>
      </c>
      <c r="B2830" s="20" t="s">
        <v>4349</v>
      </c>
      <c r="C2830" s="20"/>
      <c r="D2830" s="20" t="s">
        <v>3736</v>
      </c>
      <c r="E2830" s="19" t="str">
        <f>VLOOKUP(D2830,'لیست پرسنل'!$B$2:$E$1020,3,FALSE)</f>
        <v>فکورصنعت</v>
      </c>
      <c r="F2830" s="19" t="str">
        <f>VLOOKUP(D2830,'لیست پرسنل'!$B$2:$E$1020,4,FALSE)</f>
        <v>انبار</v>
      </c>
      <c r="G2830" s="127">
        <f>VLOOKUP(D2830,'لیست پرسنل'!$B$2:$F$1020,2,FALSE)</f>
        <v>769</v>
      </c>
      <c r="H2830" s="127" t="s">
        <v>3766</v>
      </c>
      <c r="I2830" s="128"/>
      <c r="J2830" s="128" t="s">
        <v>3532</v>
      </c>
      <c r="K2830" s="128" t="s">
        <v>1941</v>
      </c>
      <c r="L2830" s="128" t="s">
        <v>1938</v>
      </c>
      <c r="M2830" s="128">
        <v>628143</v>
      </c>
      <c r="N2830" s="108"/>
      <c r="O2830" s="20" t="s">
        <v>1942</v>
      </c>
      <c r="P2830" s="20"/>
      <c r="Q2830" s="20"/>
    </row>
    <row r="2831" spans="1:17" ht="24.9" customHeight="1">
      <c r="A2831" s="20">
        <v>439</v>
      </c>
      <c r="B2831" s="20" t="s">
        <v>4349</v>
      </c>
      <c r="C2831" s="20"/>
      <c r="D2831" s="20" t="s">
        <v>3736</v>
      </c>
      <c r="E2831" s="19" t="str">
        <f>VLOOKUP(D2831,'لیست پرسنل'!$B$2:$E$1020,3,FALSE)</f>
        <v>فکورصنعت</v>
      </c>
      <c r="F2831" s="19" t="str">
        <f>VLOOKUP(D2831,'لیست پرسنل'!$B$2:$E$1020,4,FALSE)</f>
        <v>انبار</v>
      </c>
      <c r="G2831" s="127">
        <f>VLOOKUP(D2831,'لیست پرسنل'!$B$2:$F$1020,2,FALSE)</f>
        <v>769</v>
      </c>
      <c r="H2831" s="127" t="s">
        <v>3766</v>
      </c>
      <c r="I2831" s="128"/>
      <c r="J2831" s="128" t="s">
        <v>3532</v>
      </c>
      <c r="K2831" s="128" t="s">
        <v>1941</v>
      </c>
      <c r="L2831" s="128" t="s">
        <v>1939</v>
      </c>
      <c r="M2831" s="128">
        <v>628144</v>
      </c>
      <c r="N2831" s="108"/>
      <c r="O2831" s="20" t="s">
        <v>1942</v>
      </c>
      <c r="P2831" s="20"/>
      <c r="Q2831" s="20"/>
    </row>
    <row r="2832" spans="1:17" ht="24.9" customHeight="1">
      <c r="A2832" s="20">
        <v>439</v>
      </c>
      <c r="B2832" s="20" t="s">
        <v>4349</v>
      </c>
      <c r="C2832" s="20"/>
      <c r="D2832" s="20" t="s">
        <v>3736</v>
      </c>
      <c r="E2832" s="19" t="str">
        <f>VLOOKUP(D2832,'لیست پرسنل'!$B$2:$E$1020,3,FALSE)</f>
        <v>فکورصنعت</v>
      </c>
      <c r="F2832" s="19" t="str">
        <f>VLOOKUP(D2832,'لیست پرسنل'!$B$2:$E$1020,4,FALSE)</f>
        <v>انبار</v>
      </c>
      <c r="G2832" s="127">
        <f>VLOOKUP(D2832,'لیست پرسنل'!$B$2:$F$1020,2,FALSE)</f>
        <v>769</v>
      </c>
      <c r="H2832" s="127" t="s">
        <v>3766</v>
      </c>
      <c r="I2832" s="127"/>
      <c r="J2832" s="127" t="s">
        <v>5366</v>
      </c>
      <c r="K2832" s="127" t="s">
        <v>4448</v>
      </c>
      <c r="L2832" s="127"/>
      <c r="M2832" s="127">
        <v>623692</v>
      </c>
      <c r="N2832" s="109"/>
      <c r="O2832" s="20" t="s">
        <v>7046</v>
      </c>
      <c r="P2832" s="20"/>
      <c r="Q2832" s="20"/>
    </row>
    <row r="2833" spans="1:17" ht="24.9" customHeight="1">
      <c r="A2833" s="20">
        <v>439</v>
      </c>
      <c r="B2833" s="20" t="s">
        <v>4349</v>
      </c>
      <c r="C2833" s="20"/>
      <c r="D2833" s="20" t="s">
        <v>3736</v>
      </c>
      <c r="E2833" s="19" t="str">
        <f>VLOOKUP(D2833,'لیست پرسنل'!$B$2:$E$1020,3,FALSE)</f>
        <v>فکورصنعت</v>
      </c>
      <c r="F2833" s="19" t="str">
        <f>VLOOKUP(D2833,'لیست پرسنل'!$B$2:$E$1020,4,FALSE)</f>
        <v>انبار</v>
      </c>
      <c r="G2833" s="127">
        <f>VLOOKUP(D2833,'لیست پرسنل'!$B$2:$F$1020,2,FALSE)</f>
        <v>769</v>
      </c>
      <c r="H2833" s="128" t="s">
        <v>3766</v>
      </c>
      <c r="I2833" s="128"/>
      <c r="J2833" s="128" t="s">
        <v>5366</v>
      </c>
      <c r="K2833" s="127" t="s">
        <v>4448</v>
      </c>
      <c r="L2833" s="128"/>
      <c r="M2833" s="128">
        <v>623693</v>
      </c>
      <c r="N2833" s="108"/>
      <c r="O2833" s="84" t="s">
        <v>2704</v>
      </c>
      <c r="P2833" s="20"/>
      <c r="Q2833" s="20"/>
    </row>
    <row r="2834" spans="1:17" ht="24.9" customHeight="1">
      <c r="A2834" s="20">
        <v>439</v>
      </c>
      <c r="B2834" s="20" t="s">
        <v>4349</v>
      </c>
      <c r="C2834" s="20"/>
      <c r="D2834" s="20" t="s">
        <v>3736</v>
      </c>
      <c r="E2834" s="19" t="str">
        <f>VLOOKUP(D2834,'لیست پرسنل'!$B$2:$E$1020,3,FALSE)</f>
        <v>فکورصنعت</v>
      </c>
      <c r="F2834" s="19" t="str">
        <f>VLOOKUP(D2834,'لیست پرسنل'!$B$2:$E$1020,4,FALSE)</f>
        <v>انبار</v>
      </c>
      <c r="G2834" s="127">
        <f>VLOOKUP(D2834,'لیست پرسنل'!$B$2:$F$1020,2,FALSE)</f>
        <v>769</v>
      </c>
      <c r="H2834" s="128" t="s">
        <v>3766</v>
      </c>
      <c r="I2834" s="128"/>
      <c r="J2834" s="128" t="s">
        <v>5366</v>
      </c>
      <c r="K2834" s="127" t="s">
        <v>4448</v>
      </c>
      <c r="L2834" s="128"/>
      <c r="M2834" s="128">
        <v>623694</v>
      </c>
      <c r="N2834" s="108"/>
      <c r="O2834" s="84" t="s">
        <v>2704</v>
      </c>
      <c r="P2834" s="20"/>
      <c r="Q2834" s="20"/>
    </row>
    <row r="2835" spans="1:17" ht="24.9" customHeight="1">
      <c r="A2835" s="20">
        <v>439</v>
      </c>
      <c r="B2835" s="20" t="s">
        <v>4349</v>
      </c>
      <c r="C2835" s="20"/>
      <c r="D2835" s="20" t="s">
        <v>3736</v>
      </c>
      <c r="E2835" s="19" t="str">
        <f>VLOOKUP(D2835,'لیست پرسنل'!$B$2:$E$1020,3,FALSE)</f>
        <v>فکورصنعت</v>
      </c>
      <c r="F2835" s="19" t="str">
        <f>VLOOKUP(D2835,'لیست پرسنل'!$B$2:$E$1020,4,FALSE)</f>
        <v>انبار</v>
      </c>
      <c r="G2835" s="127">
        <f>VLOOKUP(D2835,'لیست پرسنل'!$B$2:$F$1020,2,FALSE)</f>
        <v>769</v>
      </c>
      <c r="H2835" s="128" t="s">
        <v>3766</v>
      </c>
      <c r="I2835" s="128"/>
      <c r="J2835" s="128" t="s">
        <v>5366</v>
      </c>
      <c r="K2835" s="127" t="s">
        <v>4448</v>
      </c>
      <c r="L2835" s="128"/>
      <c r="M2835" s="128">
        <v>623695</v>
      </c>
      <c r="N2835" s="108"/>
      <c r="O2835" s="84" t="s">
        <v>2704</v>
      </c>
      <c r="P2835" s="20"/>
      <c r="Q2835" s="20"/>
    </row>
    <row r="2836" spans="1:17" ht="24.9" customHeight="1">
      <c r="A2836" s="20">
        <v>439</v>
      </c>
      <c r="B2836" s="20" t="s">
        <v>4349</v>
      </c>
      <c r="C2836" s="20"/>
      <c r="D2836" s="20" t="s">
        <v>3736</v>
      </c>
      <c r="E2836" s="19" t="str">
        <f>VLOOKUP(D2836,'لیست پرسنل'!$B$2:$E$1020,3,FALSE)</f>
        <v>فکورصنعت</v>
      </c>
      <c r="F2836" s="19" t="str">
        <f>VLOOKUP(D2836,'لیست پرسنل'!$B$2:$E$1020,4,FALSE)</f>
        <v>انبار</v>
      </c>
      <c r="G2836" s="127">
        <f>VLOOKUP(D2836,'لیست پرسنل'!$B$2:$F$1020,2,FALSE)</f>
        <v>769</v>
      </c>
      <c r="H2836" s="128" t="s">
        <v>3766</v>
      </c>
      <c r="I2836" s="128"/>
      <c r="J2836" s="128" t="s">
        <v>5366</v>
      </c>
      <c r="K2836" s="127" t="s">
        <v>4449</v>
      </c>
      <c r="L2836" s="128"/>
      <c r="M2836" s="128">
        <v>623696</v>
      </c>
      <c r="N2836" s="108"/>
      <c r="O2836" s="84" t="s">
        <v>2704</v>
      </c>
      <c r="P2836" s="20"/>
      <c r="Q2836" s="20"/>
    </row>
    <row r="2837" spans="1:17" ht="24.9" customHeight="1">
      <c r="A2837" s="20">
        <v>439</v>
      </c>
      <c r="B2837" s="20" t="s">
        <v>4349</v>
      </c>
      <c r="C2837" s="20"/>
      <c r="D2837" s="20" t="s">
        <v>3736</v>
      </c>
      <c r="E2837" s="19" t="str">
        <f>VLOOKUP(D2837,'لیست پرسنل'!$B$2:$E$1020,3,FALSE)</f>
        <v>فکورصنعت</v>
      </c>
      <c r="F2837" s="19" t="str">
        <f>VLOOKUP(D2837,'لیست پرسنل'!$B$2:$E$1020,4,FALSE)</f>
        <v>انبار</v>
      </c>
      <c r="G2837" s="127">
        <f>VLOOKUP(D2837,'لیست پرسنل'!$B$2:$F$1020,2,FALSE)</f>
        <v>769</v>
      </c>
      <c r="H2837" s="128" t="s">
        <v>3766</v>
      </c>
      <c r="I2837" s="128"/>
      <c r="J2837" s="128" t="s">
        <v>5366</v>
      </c>
      <c r="K2837" s="127" t="s">
        <v>4449</v>
      </c>
      <c r="L2837" s="128"/>
      <c r="M2837" s="128">
        <v>623697</v>
      </c>
      <c r="N2837" s="108"/>
      <c r="O2837" s="84" t="s">
        <v>2704</v>
      </c>
      <c r="P2837" s="20"/>
      <c r="Q2837" s="20"/>
    </row>
    <row r="2838" spans="1:17" ht="24.9" customHeight="1">
      <c r="A2838" s="20">
        <v>439</v>
      </c>
      <c r="B2838" s="20" t="s">
        <v>4349</v>
      </c>
      <c r="C2838" s="20"/>
      <c r="D2838" s="20" t="s">
        <v>3736</v>
      </c>
      <c r="E2838" s="19" t="str">
        <f>VLOOKUP(D2838,'لیست پرسنل'!$B$2:$E$1020,3,FALSE)</f>
        <v>فکورصنعت</v>
      </c>
      <c r="F2838" s="19" t="str">
        <f>VLOOKUP(D2838,'لیست پرسنل'!$B$2:$E$1020,4,FALSE)</f>
        <v>انبار</v>
      </c>
      <c r="G2838" s="127">
        <f>VLOOKUP(D2838,'لیست پرسنل'!$B$2:$F$1020,2,FALSE)</f>
        <v>769</v>
      </c>
      <c r="H2838" s="127" t="s">
        <v>3766</v>
      </c>
      <c r="I2838" s="128"/>
      <c r="J2838" s="128" t="s">
        <v>3476</v>
      </c>
      <c r="K2838" s="128" t="s">
        <v>1943</v>
      </c>
      <c r="L2838" s="128" t="s">
        <v>1944</v>
      </c>
      <c r="M2838" s="128">
        <v>627192</v>
      </c>
      <c r="N2838" s="108"/>
      <c r="O2838" s="20" t="s">
        <v>1945</v>
      </c>
      <c r="P2838" s="20"/>
      <c r="Q2838" s="20"/>
    </row>
    <row r="2839" spans="1:17" ht="24.9" customHeight="1">
      <c r="A2839" s="20">
        <v>439</v>
      </c>
      <c r="B2839" s="20" t="s">
        <v>4349</v>
      </c>
      <c r="C2839" s="20"/>
      <c r="D2839" s="20" t="s">
        <v>3736</v>
      </c>
      <c r="E2839" s="19" t="str">
        <f>VLOOKUP(D2839,'لیست پرسنل'!$B$2:$E$1020,3,FALSE)</f>
        <v>فکورصنعت</v>
      </c>
      <c r="F2839" s="19" t="str">
        <f>VLOOKUP(D2839,'لیست پرسنل'!$B$2:$E$1020,4,FALSE)</f>
        <v>انبار</v>
      </c>
      <c r="G2839" s="127">
        <f>VLOOKUP(D2839,'لیست پرسنل'!$B$2:$F$1020,2,FALSE)</f>
        <v>769</v>
      </c>
      <c r="H2839" s="128" t="s">
        <v>3766</v>
      </c>
      <c r="I2839" s="128"/>
      <c r="J2839" s="128" t="s">
        <v>5304</v>
      </c>
      <c r="K2839" s="135" t="s">
        <v>5305</v>
      </c>
      <c r="L2839" s="154"/>
      <c r="M2839" s="128">
        <v>613189</v>
      </c>
      <c r="N2839" s="108"/>
      <c r="O2839" s="20"/>
      <c r="P2839" s="20"/>
      <c r="Q2839" s="20"/>
    </row>
    <row r="2840" spans="1:17" ht="24.9" customHeight="1">
      <c r="A2840" s="20">
        <v>439</v>
      </c>
      <c r="B2840" s="20" t="s">
        <v>4349</v>
      </c>
      <c r="C2840" s="20"/>
      <c r="D2840" s="20" t="s">
        <v>3736</v>
      </c>
      <c r="E2840" s="19" t="str">
        <f>VLOOKUP(D2840,'لیست پرسنل'!$B$2:$E$1020,3,FALSE)</f>
        <v>فکورصنعت</v>
      </c>
      <c r="F2840" s="19" t="str">
        <f>VLOOKUP(D2840,'لیست پرسنل'!$B$2:$E$1020,4,FALSE)</f>
        <v>انبار</v>
      </c>
      <c r="G2840" s="127">
        <f>VLOOKUP(D2840,'لیست پرسنل'!$B$2:$F$1020,2,FALSE)</f>
        <v>769</v>
      </c>
      <c r="H2840" s="128" t="s">
        <v>3766</v>
      </c>
      <c r="I2840" s="128"/>
      <c r="J2840" s="128" t="s">
        <v>5304</v>
      </c>
      <c r="K2840" s="135" t="s">
        <v>5305</v>
      </c>
      <c r="L2840" s="154"/>
      <c r="M2840" s="128">
        <v>613303</v>
      </c>
      <c r="N2840" s="108"/>
      <c r="O2840" s="20"/>
      <c r="P2840" s="20"/>
      <c r="Q2840" s="20"/>
    </row>
    <row r="2841" spans="1:17" ht="24.9" customHeight="1">
      <c r="A2841" s="20">
        <v>439</v>
      </c>
      <c r="B2841" s="20" t="s">
        <v>4349</v>
      </c>
      <c r="C2841" s="20"/>
      <c r="D2841" s="20" t="s">
        <v>3736</v>
      </c>
      <c r="E2841" s="19" t="str">
        <f>VLOOKUP(D2841,'لیست پرسنل'!$B$2:$E$1020,3,FALSE)</f>
        <v>فکورصنعت</v>
      </c>
      <c r="F2841" s="19" t="str">
        <f>VLOOKUP(D2841,'لیست پرسنل'!$B$2:$E$1020,4,FALSE)</f>
        <v>انبار</v>
      </c>
      <c r="G2841" s="127">
        <f>VLOOKUP(D2841,'لیست پرسنل'!$B$2:$F$1020,2,FALSE)</f>
        <v>769</v>
      </c>
      <c r="H2841" s="128" t="s">
        <v>3766</v>
      </c>
      <c r="I2841" s="128"/>
      <c r="J2841" s="128" t="s">
        <v>5304</v>
      </c>
      <c r="K2841" s="135" t="s">
        <v>5305</v>
      </c>
      <c r="L2841" s="154"/>
      <c r="M2841" s="128">
        <v>623658</v>
      </c>
      <c r="N2841" s="108"/>
      <c r="O2841" s="20"/>
      <c r="P2841" s="20"/>
      <c r="Q2841" s="20"/>
    </row>
    <row r="2842" spans="1:17" ht="24.9" customHeight="1">
      <c r="A2842" s="20">
        <v>439</v>
      </c>
      <c r="B2842" s="20" t="s">
        <v>4349</v>
      </c>
      <c r="C2842" s="20"/>
      <c r="D2842" s="20" t="s">
        <v>3746</v>
      </c>
      <c r="E2842" s="19" t="str">
        <f>VLOOKUP(D2842,'لیست پرسنل'!$B$2:$E$1020,3,FALSE)</f>
        <v>گهر کوشان سپهر</v>
      </c>
      <c r="F2842" s="19" t="str">
        <f>VLOOKUP(D2842,'لیست پرسنل'!$B$2:$E$1020,4,FALSE)</f>
        <v>اداری</v>
      </c>
      <c r="G2842" s="127" t="str">
        <f>VLOOKUP(D2842,'لیست پرسنل'!$B$2:$F$1020,2,FALSE)</f>
        <v>20583</v>
      </c>
      <c r="H2842" s="127" t="s">
        <v>6128</v>
      </c>
      <c r="I2842" s="128"/>
      <c r="J2842" s="126" t="s">
        <v>368</v>
      </c>
      <c r="K2842" s="128" t="s">
        <v>1373</v>
      </c>
      <c r="L2842" s="128" t="s">
        <v>1376</v>
      </c>
      <c r="M2842" s="128">
        <v>626008</v>
      </c>
      <c r="N2842" s="108"/>
      <c r="O2842" s="20"/>
      <c r="P2842" s="20"/>
      <c r="Q2842" s="20"/>
    </row>
    <row r="2843" spans="1:17" ht="24.9" customHeight="1">
      <c r="A2843" s="20">
        <v>439</v>
      </c>
      <c r="B2843" s="20" t="s">
        <v>4349</v>
      </c>
      <c r="C2843" s="19"/>
      <c r="D2843" s="20" t="s">
        <v>3993</v>
      </c>
      <c r="E2843" s="19" t="str">
        <f>VLOOKUP(D2843,'لیست پرسنل'!$B$2:$E$1020,3,FALSE)</f>
        <v xml:space="preserve">شرکت برسو </v>
      </c>
      <c r="F2843" s="19" t="str">
        <f>VLOOKUP(D2843,'لیست پرسنل'!$B$2:$E$1020,4,FALSE)</f>
        <v>نظارت کارفرما</v>
      </c>
      <c r="G2843" s="127">
        <f>VLOOKUP(D2843,'لیست پرسنل'!$B$2:$F$1020,2,FALSE)</f>
        <v>0</v>
      </c>
      <c r="H2843" s="127" t="s">
        <v>4583</v>
      </c>
      <c r="I2843" s="128"/>
      <c r="J2843" s="128" t="s">
        <v>737</v>
      </c>
      <c r="K2843" s="128" t="s">
        <v>2728</v>
      </c>
      <c r="L2843" s="126" t="s">
        <v>2727</v>
      </c>
      <c r="M2843" s="128">
        <v>628111</v>
      </c>
      <c r="N2843" s="108"/>
      <c r="O2843" s="20"/>
      <c r="P2843" s="20"/>
      <c r="Q2843" s="20"/>
    </row>
    <row r="2844" spans="1:17" ht="24.9" customHeight="1">
      <c r="A2844" s="20">
        <v>439</v>
      </c>
      <c r="B2844" s="20" t="s">
        <v>4359</v>
      </c>
      <c r="C2844" s="20"/>
      <c r="D2844" s="19" t="s">
        <v>3728</v>
      </c>
      <c r="E2844" s="19" t="str">
        <f>VLOOKUP(D2844,'لیست پرسنل'!$B$2:$E$1020,3,FALSE)</f>
        <v>فکورصنعت</v>
      </c>
      <c r="F2844" s="19" t="str">
        <f>VLOOKUP(D2844,'لیست پرسنل'!$B$2:$E$1020,4,FALSE)</f>
        <v>مدیر سایت</v>
      </c>
      <c r="G2844" s="127">
        <f>VLOOKUP(D2844,'لیست پرسنل'!$B$2:$F$1020,2,FALSE)</f>
        <v>483</v>
      </c>
      <c r="H2844" s="127" t="s">
        <v>5502</v>
      </c>
      <c r="I2844" s="128"/>
      <c r="J2844" s="126" t="s">
        <v>3322</v>
      </c>
      <c r="K2844" s="128" t="s">
        <v>6831</v>
      </c>
      <c r="L2844" s="128" t="s">
        <v>6834</v>
      </c>
      <c r="M2844" s="127">
        <v>633845</v>
      </c>
      <c r="N2844" s="109"/>
      <c r="O2844" s="19"/>
      <c r="P2844" s="32"/>
      <c r="Q2844" s="32"/>
    </row>
    <row r="2845" spans="1:17" ht="24.9" customHeight="1">
      <c r="A2845" s="20">
        <v>439</v>
      </c>
      <c r="B2845" s="20" t="s">
        <v>4359</v>
      </c>
      <c r="C2845" s="20"/>
      <c r="D2845" s="20" t="s">
        <v>48</v>
      </c>
      <c r="E2845" s="19" t="str">
        <f>VLOOKUP(D2845,'لیست پرسنل'!$B$2:$E$1020,3,FALSE)</f>
        <v>فکورصنعت</v>
      </c>
      <c r="F2845" s="19" t="str">
        <f>VLOOKUP(D2845,'لیست پرسنل'!$B$2:$E$1020,4,FALSE)</f>
        <v>سرپرست آی تی</v>
      </c>
      <c r="G2845" s="127">
        <f>VLOOKUP(D2845,'لیست پرسنل'!$B$2:$F$1020,2,FALSE)</f>
        <v>2210</v>
      </c>
      <c r="H2845" s="128" t="s">
        <v>3762</v>
      </c>
      <c r="I2845" s="128"/>
      <c r="J2845" s="128" t="s">
        <v>3145</v>
      </c>
      <c r="K2845" s="128" t="s">
        <v>7470</v>
      </c>
      <c r="L2845" s="128" t="s">
        <v>7471</v>
      </c>
      <c r="M2845" s="128" t="s">
        <v>291</v>
      </c>
      <c r="N2845" s="108"/>
      <c r="O2845" s="20"/>
      <c r="P2845" s="20"/>
      <c r="Q2845" s="20"/>
    </row>
    <row r="2846" spans="1:17" ht="24.9" customHeight="1">
      <c r="A2846" s="20">
        <v>439</v>
      </c>
      <c r="B2846" s="20" t="s">
        <v>4359</v>
      </c>
      <c r="C2846" s="20"/>
      <c r="D2846" s="20" t="s">
        <v>48</v>
      </c>
      <c r="E2846" s="19" t="str">
        <f>VLOOKUP(D2846,'لیست پرسنل'!$B$2:$E$1020,3,FALSE)</f>
        <v>فکورصنعت</v>
      </c>
      <c r="F2846" s="19" t="str">
        <f>VLOOKUP(D2846,'لیست پرسنل'!$B$2:$E$1020,4,FALSE)</f>
        <v>سرپرست آی تی</v>
      </c>
      <c r="G2846" s="127">
        <f>VLOOKUP(D2846,'لیست پرسنل'!$B$2:$F$1020,2,FALSE)</f>
        <v>2210</v>
      </c>
      <c r="H2846" s="128" t="s">
        <v>3762</v>
      </c>
      <c r="I2846" s="128"/>
      <c r="J2846" s="128" t="s">
        <v>3496</v>
      </c>
      <c r="K2846" s="128" t="s">
        <v>1444</v>
      </c>
      <c r="L2846" s="128" t="s">
        <v>1446</v>
      </c>
      <c r="M2846" s="128" t="s">
        <v>291</v>
      </c>
      <c r="N2846" s="108"/>
      <c r="O2846" s="20" t="s">
        <v>3833</v>
      </c>
      <c r="P2846" s="20"/>
      <c r="Q2846" s="20"/>
    </row>
    <row r="2847" spans="1:17" ht="24.9" customHeight="1">
      <c r="A2847" s="20">
        <v>439</v>
      </c>
      <c r="B2847" s="20" t="s">
        <v>4359</v>
      </c>
      <c r="C2847" s="20"/>
      <c r="D2847" s="20" t="s">
        <v>48</v>
      </c>
      <c r="E2847" s="19" t="str">
        <f>VLOOKUP(D2847,'لیست پرسنل'!$B$2:$E$1020,3,FALSE)</f>
        <v>فکورصنعت</v>
      </c>
      <c r="F2847" s="19" t="str">
        <f>VLOOKUP(D2847,'لیست پرسنل'!$B$2:$E$1020,4,FALSE)</f>
        <v>سرپرست آی تی</v>
      </c>
      <c r="G2847" s="127">
        <f>VLOOKUP(D2847,'لیست پرسنل'!$B$2:$F$1020,2,FALSE)</f>
        <v>2210</v>
      </c>
      <c r="H2847" s="128" t="s">
        <v>3759</v>
      </c>
      <c r="I2847" s="128"/>
      <c r="J2847" s="128" t="s">
        <v>3481</v>
      </c>
      <c r="K2847" s="128" t="s">
        <v>840</v>
      </c>
      <c r="L2847" s="128" t="s">
        <v>1003</v>
      </c>
      <c r="M2847" s="128" t="s">
        <v>291</v>
      </c>
      <c r="N2847" s="108"/>
      <c r="O2847" s="20" t="s">
        <v>1439</v>
      </c>
      <c r="P2847" s="20"/>
      <c r="Q2847" s="20"/>
    </row>
    <row r="2848" spans="1:17" ht="24.9" customHeight="1">
      <c r="A2848" s="20">
        <v>439</v>
      </c>
      <c r="B2848" s="20" t="s">
        <v>4359</v>
      </c>
      <c r="C2848" s="20"/>
      <c r="D2848" s="20" t="s">
        <v>48</v>
      </c>
      <c r="E2848" s="19" t="str">
        <f>VLOOKUP(D2848,'لیست پرسنل'!$B$2:$E$1020,3,FALSE)</f>
        <v>فکورصنعت</v>
      </c>
      <c r="F2848" s="19" t="str">
        <f>VLOOKUP(D2848,'لیست پرسنل'!$B$2:$E$1020,4,FALSE)</f>
        <v>سرپرست آی تی</v>
      </c>
      <c r="G2848" s="127">
        <f>VLOOKUP(D2848,'لیست پرسنل'!$B$2:$F$1020,2,FALSE)</f>
        <v>2210</v>
      </c>
      <c r="H2848" s="128" t="s">
        <v>3759</v>
      </c>
      <c r="I2848" s="128"/>
      <c r="J2848" s="128" t="s">
        <v>3481</v>
      </c>
      <c r="K2848" s="128" t="s">
        <v>1002</v>
      </c>
      <c r="L2848" s="128" t="s">
        <v>1001</v>
      </c>
      <c r="M2848" s="128" t="s">
        <v>291</v>
      </c>
      <c r="N2848" s="108"/>
      <c r="O2848" s="20" t="s">
        <v>1439</v>
      </c>
      <c r="P2848" s="20"/>
      <c r="Q2848" s="20"/>
    </row>
    <row r="2849" spans="1:17" ht="24.9" customHeight="1">
      <c r="A2849" s="20">
        <v>439</v>
      </c>
      <c r="B2849" s="20" t="s">
        <v>4359</v>
      </c>
      <c r="C2849" s="20"/>
      <c r="D2849" s="20" t="s">
        <v>48</v>
      </c>
      <c r="E2849" s="19" t="str">
        <f>VLOOKUP(D2849,'لیست پرسنل'!$B$2:$E$1020,3,FALSE)</f>
        <v>فکورصنعت</v>
      </c>
      <c r="F2849" s="19" t="str">
        <f>VLOOKUP(D2849,'لیست پرسنل'!$B$2:$E$1020,4,FALSE)</f>
        <v>سرپرست آی تی</v>
      </c>
      <c r="G2849" s="127">
        <f>VLOOKUP(D2849,'لیست پرسنل'!$B$2:$F$1020,2,FALSE)</f>
        <v>2210</v>
      </c>
      <c r="H2849" s="128" t="s">
        <v>3759</v>
      </c>
      <c r="I2849" s="128"/>
      <c r="J2849" s="128" t="s">
        <v>3483</v>
      </c>
      <c r="K2849" s="128" t="s">
        <v>799</v>
      </c>
      <c r="L2849" s="128"/>
      <c r="M2849" s="142">
        <v>623349</v>
      </c>
      <c r="N2849" s="108"/>
      <c r="O2849" s="20" t="s">
        <v>1439</v>
      </c>
      <c r="P2849" s="20"/>
      <c r="Q2849" s="20"/>
    </row>
    <row r="2850" spans="1:17" ht="24.9" customHeight="1">
      <c r="A2850" s="20">
        <v>439</v>
      </c>
      <c r="B2850" s="20" t="s">
        <v>4359</v>
      </c>
      <c r="C2850" s="20"/>
      <c r="D2850" s="20" t="s">
        <v>48</v>
      </c>
      <c r="E2850" s="19" t="str">
        <f>VLOOKUP(D2850,'لیست پرسنل'!$B$2:$E$1020,3,FALSE)</f>
        <v>فکورصنعت</v>
      </c>
      <c r="F2850" s="19" t="str">
        <f>VLOOKUP(D2850,'لیست پرسنل'!$B$2:$E$1020,4,FALSE)</f>
        <v>سرپرست آی تی</v>
      </c>
      <c r="G2850" s="127">
        <f>VLOOKUP(D2850,'لیست پرسنل'!$B$2:$F$1020,2,FALSE)</f>
        <v>2210</v>
      </c>
      <c r="H2850" s="128" t="s">
        <v>3759</v>
      </c>
      <c r="I2850" s="128"/>
      <c r="J2850" s="128" t="s">
        <v>3285</v>
      </c>
      <c r="K2850" s="128" t="s">
        <v>800</v>
      </c>
      <c r="L2850" s="128"/>
      <c r="M2850" s="142">
        <v>623350</v>
      </c>
      <c r="N2850" s="108"/>
      <c r="O2850" s="20" t="s">
        <v>1439</v>
      </c>
      <c r="P2850" s="20"/>
      <c r="Q2850" s="20"/>
    </row>
    <row r="2851" spans="1:17" ht="24.9" customHeight="1">
      <c r="A2851" s="20">
        <v>439</v>
      </c>
      <c r="B2851" s="20" t="s">
        <v>4359</v>
      </c>
      <c r="C2851" s="20"/>
      <c r="D2851" s="20" t="s">
        <v>48</v>
      </c>
      <c r="E2851" s="19" t="str">
        <f>VLOOKUP(D2851,'لیست پرسنل'!$B$2:$E$1020,3,FALSE)</f>
        <v>فکورصنعت</v>
      </c>
      <c r="F2851" s="19" t="str">
        <f>VLOOKUP(D2851,'لیست پرسنل'!$B$2:$E$1020,4,FALSE)</f>
        <v>سرپرست آی تی</v>
      </c>
      <c r="G2851" s="127">
        <f>VLOOKUP(D2851,'لیست پرسنل'!$B$2:$F$1020,2,FALSE)</f>
        <v>2210</v>
      </c>
      <c r="H2851" s="128" t="s">
        <v>3759</v>
      </c>
      <c r="I2851" s="128"/>
      <c r="J2851" s="128" t="s">
        <v>2886</v>
      </c>
      <c r="K2851" s="128" t="s">
        <v>1632</v>
      </c>
      <c r="L2851" s="128" t="s">
        <v>1633</v>
      </c>
      <c r="M2851" s="128" t="s">
        <v>291</v>
      </c>
      <c r="N2851" s="108"/>
      <c r="O2851" s="20" t="s">
        <v>1439</v>
      </c>
      <c r="P2851" s="20"/>
      <c r="Q2851" s="20"/>
    </row>
    <row r="2852" spans="1:17" ht="24.9" customHeight="1">
      <c r="A2852" s="20">
        <v>439</v>
      </c>
      <c r="B2852" s="20" t="s">
        <v>4359</v>
      </c>
      <c r="C2852" s="20"/>
      <c r="D2852" s="20" t="s">
        <v>48</v>
      </c>
      <c r="E2852" s="19" t="str">
        <f>VLOOKUP(D2852,'لیست پرسنل'!$B$2:$E$1020,3,FALSE)</f>
        <v>فکورصنعت</v>
      </c>
      <c r="F2852" s="19" t="str">
        <f>VLOOKUP(D2852,'لیست پرسنل'!$B$2:$E$1020,4,FALSE)</f>
        <v>سرپرست آی تی</v>
      </c>
      <c r="G2852" s="127">
        <f>VLOOKUP(D2852,'لیست پرسنل'!$B$2:$F$1020,2,FALSE)</f>
        <v>2210</v>
      </c>
      <c r="H2852" s="128" t="s">
        <v>3759</v>
      </c>
      <c r="I2852" s="128"/>
      <c r="J2852" s="128" t="s">
        <v>3476</v>
      </c>
      <c r="K2852" s="128" t="s">
        <v>1631</v>
      </c>
      <c r="L2852" s="128" t="s">
        <v>1401</v>
      </c>
      <c r="M2852" s="128" t="s">
        <v>291</v>
      </c>
      <c r="N2852" s="108"/>
      <c r="O2852" s="20" t="s">
        <v>1439</v>
      </c>
      <c r="P2852" s="20"/>
      <c r="Q2852" s="20"/>
    </row>
    <row r="2853" spans="1:17" ht="24.9" customHeight="1">
      <c r="A2853" s="20">
        <v>439</v>
      </c>
      <c r="B2853" s="20" t="s">
        <v>4359</v>
      </c>
      <c r="C2853" s="20"/>
      <c r="D2853" s="20" t="s">
        <v>48</v>
      </c>
      <c r="E2853" s="19" t="str">
        <f>VLOOKUP(D2853,'لیست پرسنل'!$B$2:$E$1020,3,FALSE)</f>
        <v>فکورصنعت</v>
      </c>
      <c r="F2853" s="19" t="str">
        <f>VLOOKUP(D2853,'لیست پرسنل'!$B$2:$E$1020,4,FALSE)</f>
        <v>سرپرست آی تی</v>
      </c>
      <c r="G2853" s="127">
        <f>VLOOKUP(D2853,'لیست پرسنل'!$B$2:$F$1020,2,FALSE)</f>
        <v>2210</v>
      </c>
      <c r="H2853" s="128" t="s">
        <v>3759</v>
      </c>
      <c r="I2853" s="128"/>
      <c r="J2853" s="128" t="s">
        <v>3506</v>
      </c>
      <c r="K2853" s="128" t="s">
        <v>7468</v>
      </c>
      <c r="L2853" s="128" t="s">
        <v>7469</v>
      </c>
      <c r="M2853" s="142">
        <v>631877</v>
      </c>
      <c r="N2853" s="108"/>
      <c r="O2853" s="20"/>
      <c r="P2853" s="20"/>
      <c r="Q2853" s="20"/>
    </row>
    <row r="2854" spans="1:17" ht="24.9" customHeight="1">
      <c r="A2854" s="20">
        <v>439</v>
      </c>
      <c r="B2854" s="20" t="s">
        <v>4359</v>
      </c>
      <c r="C2854" s="19"/>
      <c r="D2854" s="20" t="s">
        <v>48</v>
      </c>
      <c r="E2854" s="19" t="str">
        <f>VLOOKUP(D2854,'لیست پرسنل'!$B$2:$E$1020,3,FALSE)</f>
        <v>فکورصنعت</v>
      </c>
      <c r="F2854" s="19" t="str">
        <f>VLOOKUP(D2854,'لیست پرسنل'!$B$2:$E$1020,4,FALSE)</f>
        <v>سرپرست آی تی</v>
      </c>
      <c r="G2854" s="127">
        <f>VLOOKUP(D2854,'لیست پرسنل'!$B$2:$F$1020,2,FALSE)</f>
        <v>2210</v>
      </c>
      <c r="H2854" s="128" t="s">
        <v>5502</v>
      </c>
      <c r="I2854" s="126"/>
      <c r="J2854" s="128" t="s">
        <v>3476</v>
      </c>
      <c r="K2854" s="128" t="s">
        <v>5394</v>
      </c>
      <c r="L2854" s="150" t="s">
        <v>5393</v>
      </c>
      <c r="M2854" s="128">
        <v>631526</v>
      </c>
      <c r="N2854" s="108"/>
      <c r="O2854" s="20" t="s">
        <v>5503</v>
      </c>
      <c r="P2854" s="20"/>
      <c r="Q2854" s="20"/>
    </row>
    <row r="2855" spans="1:17" ht="24.9" customHeight="1">
      <c r="A2855" s="20">
        <v>439</v>
      </c>
      <c r="B2855" s="20"/>
      <c r="C2855" s="20"/>
      <c r="D2855" s="20" t="s">
        <v>8475</v>
      </c>
      <c r="E2855" s="19" t="str">
        <f>VLOOKUP(D2855,'لیست پرسنل'!$B$2:$E$1020,3,FALSE)</f>
        <v>گهر کوشان سپهر</v>
      </c>
      <c r="F2855" s="19" t="str">
        <f>VLOOKUP(D2855,'لیست پرسنل'!$B$2:$E$1020,4,FALSE)</f>
        <v>حراست</v>
      </c>
      <c r="G2855" s="127">
        <f>VLOOKUP(D2855,'لیست پرسنل'!$B$2:$F$1020,2,FALSE)</f>
        <v>20872</v>
      </c>
      <c r="H2855" s="127" t="s">
        <v>8504</v>
      </c>
      <c r="I2855" s="127"/>
      <c r="J2855" s="128" t="s">
        <v>571</v>
      </c>
      <c r="K2855" s="127" t="s">
        <v>8505</v>
      </c>
      <c r="L2855" s="127"/>
      <c r="M2855" s="127">
        <v>637816</v>
      </c>
      <c r="N2855" s="109" t="s">
        <v>8506</v>
      </c>
      <c r="O2855" s="20"/>
      <c r="P2855" s="20"/>
      <c r="Q2855" s="20"/>
    </row>
    <row r="2856" spans="1:17" ht="24.9" customHeight="1">
      <c r="A2856" s="20">
        <v>439</v>
      </c>
      <c r="B2856" s="20"/>
      <c r="C2856" s="20"/>
      <c r="D2856" s="20" t="s">
        <v>8475</v>
      </c>
      <c r="E2856" s="19" t="str">
        <f>VLOOKUP(D2856,'لیست پرسنل'!$B$2:$E$1020,3,FALSE)</f>
        <v>گهر کوشان سپهر</v>
      </c>
      <c r="F2856" s="19" t="str">
        <f>VLOOKUP(D2856,'لیست پرسنل'!$B$2:$E$1020,4,FALSE)</f>
        <v>حراست</v>
      </c>
      <c r="G2856" s="127">
        <f>VLOOKUP(D2856,'لیست پرسنل'!$B$2:$F$1020,2,FALSE)</f>
        <v>20872</v>
      </c>
      <c r="H2856" s="127" t="s">
        <v>8504</v>
      </c>
      <c r="I2856" s="127"/>
      <c r="J2856" s="128" t="s">
        <v>5618</v>
      </c>
      <c r="K2856" s="127" t="s">
        <v>8507</v>
      </c>
      <c r="L2856" s="127" t="s">
        <v>8508</v>
      </c>
      <c r="M2856" s="127">
        <v>637777</v>
      </c>
      <c r="N2856" s="109" t="s">
        <v>8506</v>
      </c>
      <c r="O2856" s="20"/>
      <c r="P2856" s="20"/>
      <c r="Q2856" s="20"/>
    </row>
    <row r="2857" spans="1:17" ht="24.9" customHeight="1">
      <c r="A2857" s="20">
        <v>439</v>
      </c>
      <c r="B2857" s="20"/>
      <c r="C2857" s="20"/>
      <c r="D2857" s="20" t="s">
        <v>8475</v>
      </c>
      <c r="E2857" s="19" t="str">
        <f>VLOOKUP(D2857,'لیست پرسنل'!$B$2:$E$1020,3,FALSE)</f>
        <v>گهر کوشان سپهر</v>
      </c>
      <c r="F2857" s="19" t="str">
        <f>VLOOKUP(D2857,'لیست پرسنل'!$B$2:$E$1020,4,FALSE)</f>
        <v>حراست</v>
      </c>
      <c r="G2857" s="127">
        <f>VLOOKUP(D2857,'لیست پرسنل'!$B$2:$F$1020,2,FALSE)</f>
        <v>20872</v>
      </c>
      <c r="H2857" s="127" t="s">
        <v>8476</v>
      </c>
      <c r="I2857" s="127"/>
      <c r="J2857" s="128" t="s">
        <v>571</v>
      </c>
      <c r="K2857" s="127"/>
      <c r="L2857" s="127"/>
      <c r="M2857" s="128" t="s">
        <v>4371</v>
      </c>
      <c r="N2857" s="109"/>
      <c r="O2857" s="20"/>
      <c r="P2857" s="20"/>
      <c r="Q2857" s="20"/>
    </row>
    <row r="2858" spans="1:17" ht="24.9" customHeight="1">
      <c r="A2858" s="20">
        <v>439</v>
      </c>
      <c r="B2858" s="20"/>
      <c r="C2858" s="20"/>
      <c r="D2858" s="20" t="s">
        <v>8475</v>
      </c>
      <c r="E2858" s="19" t="str">
        <f>VLOOKUP(D2858,'لیست پرسنل'!$B$2:$E$1020,3,FALSE)</f>
        <v>گهر کوشان سپهر</v>
      </c>
      <c r="F2858" s="19" t="str">
        <f>VLOOKUP(D2858,'لیست پرسنل'!$B$2:$E$1020,4,FALSE)</f>
        <v>حراست</v>
      </c>
      <c r="G2858" s="127">
        <f>VLOOKUP(D2858,'لیست پرسنل'!$B$2:$F$1020,2,FALSE)</f>
        <v>20872</v>
      </c>
      <c r="H2858" s="127" t="s">
        <v>8476</v>
      </c>
      <c r="I2858" s="127"/>
      <c r="J2858" s="128" t="s">
        <v>5618</v>
      </c>
      <c r="K2858" s="127" t="s">
        <v>8477</v>
      </c>
      <c r="L2858" s="127"/>
      <c r="M2858" s="128" t="s">
        <v>4371</v>
      </c>
      <c r="N2858" s="109"/>
      <c r="O2858" s="20"/>
      <c r="P2858" s="20"/>
      <c r="Q2858" s="20"/>
    </row>
    <row r="2859" spans="1:17" ht="24.9" customHeight="1">
      <c r="A2859" s="20">
        <v>456</v>
      </c>
      <c r="B2859" s="20" t="s">
        <v>7165</v>
      </c>
      <c r="C2859" s="20"/>
      <c r="D2859" s="19" t="s">
        <v>48</v>
      </c>
      <c r="E2859" s="19" t="str">
        <f>VLOOKUP(D2859,'لیست پرسنل'!$B$2:$E$1020,3,FALSE)</f>
        <v>فکورصنعت</v>
      </c>
      <c r="F2859" s="19" t="str">
        <f>VLOOKUP(D2859,'لیست پرسنل'!$B$2:$E$1020,4,FALSE)</f>
        <v>سرپرست آی تی</v>
      </c>
      <c r="G2859" s="127">
        <f>VLOOKUP(D2859,'لیست پرسنل'!$B$2:$F$1020,2,FALSE)</f>
        <v>2210</v>
      </c>
      <c r="H2859" s="127" t="s">
        <v>7164</v>
      </c>
      <c r="I2859" s="128"/>
      <c r="J2859" s="126" t="s">
        <v>368</v>
      </c>
      <c r="K2859" s="128" t="s">
        <v>5983</v>
      </c>
      <c r="L2859" s="128" t="s">
        <v>6113</v>
      </c>
      <c r="M2859" s="128">
        <v>632504</v>
      </c>
      <c r="N2859" s="111"/>
      <c r="O2859" s="20"/>
      <c r="P2859" s="20"/>
      <c r="Q2859" s="20"/>
    </row>
    <row r="2860" spans="1:17" ht="24.9" customHeight="1">
      <c r="A2860" s="20">
        <v>456</v>
      </c>
      <c r="B2860" s="20" t="s">
        <v>7165</v>
      </c>
      <c r="C2860" s="20"/>
      <c r="D2860" s="19" t="s">
        <v>48</v>
      </c>
      <c r="E2860" s="19" t="str">
        <f>VLOOKUP(D2860,'لیست پرسنل'!$B$2:$E$1020,3,FALSE)</f>
        <v>فکورصنعت</v>
      </c>
      <c r="F2860" s="19" t="str">
        <f>VLOOKUP(D2860,'لیست پرسنل'!$B$2:$E$1020,4,FALSE)</f>
        <v>سرپرست آی تی</v>
      </c>
      <c r="G2860" s="127">
        <f>VLOOKUP(D2860,'لیست پرسنل'!$B$2:$F$1020,2,FALSE)</f>
        <v>2210</v>
      </c>
      <c r="H2860" s="127" t="s">
        <v>7164</v>
      </c>
      <c r="I2860" s="128"/>
      <c r="J2860" s="126" t="s">
        <v>368</v>
      </c>
      <c r="K2860" s="128" t="s">
        <v>5983</v>
      </c>
      <c r="L2860" s="128"/>
      <c r="M2860" s="128">
        <v>632505</v>
      </c>
      <c r="N2860" s="111"/>
      <c r="O2860" s="20"/>
      <c r="P2860" s="20"/>
      <c r="Q2860" s="20"/>
    </row>
    <row r="2861" spans="1:17" ht="24.9" customHeight="1">
      <c r="A2861" s="20">
        <v>456</v>
      </c>
      <c r="B2861" s="20" t="s">
        <v>7165</v>
      </c>
      <c r="C2861" s="20"/>
      <c r="D2861" s="19" t="s">
        <v>48</v>
      </c>
      <c r="E2861" s="19" t="str">
        <f>VLOOKUP(D2861,'لیست پرسنل'!$B$2:$E$1020,3,FALSE)</f>
        <v>فکورصنعت</v>
      </c>
      <c r="F2861" s="19" t="str">
        <f>VLOOKUP(D2861,'لیست پرسنل'!$B$2:$E$1020,4,FALSE)</f>
        <v>سرپرست آی تی</v>
      </c>
      <c r="G2861" s="127">
        <f>VLOOKUP(D2861,'لیست پرسنل'!$B$2:$F$1020,2,FALSE)</f>
        <v>2210</v>
      </c>
      <c r="H2861" s="127" t="s">
        <v>7164</v>
      </c>
      <c r="I2861" s="128"/>
      <c r="J2861" s="126" t="s">
        <v>368</v>
      </c>
      <c r="K2861" s="128" t="s">
        <v>5983</v>
      </c>
      <c r="L2861" s="128" t="s">
        <v>6114</v>
      </c>
      <c r="M2861" s="128">
        <v>632506</v>
      </c>
      <c r="N2861" s="111"/>
      <c r="O2861" s="20"/>
      <c r="P2861" s="20"/>
      <c r="Q2861" s="20"/>
    </row>
    <row r="2862" spans="1:17" ht="24.9" customHeight="1">
      <c r="A2862" s="20">
        <v>456</v>
      </c>
      <c r="B2862" s="20" t="s">
        <v>7165</v>
      </c>
      <c r="C2862" s="20"/>
      <c r="D2862" s="19" t="s">
        <v>48</v>
      </c>
      <c r="E2862" s="19" t="str">
        <f>VLOOKUP(D2862,'لیست پرسنل'!$B$2:$E$1020,3,FALSE)</f>
        <v>فکورصنعت</v>
      </c>
      <c r="F2862" s="19" t="str">
        <f>VLOOKUP(D2862,'لیست پرسنل'!$B$2:$E$1020,4,FALSE)</f>
        <v>سرپرست آی تی</v>
      </c>
      <c r="G2862" s="127">
        <f>VLOOKUP(D2862,'لیست پرسنل'!$B$2:$F$1020,2,FALSE)</f>
        <v>2210</v>
      </c>
      <c r="H2862" s="127" t="s">
        <v>7164</v>
      </c>
      <c r="I2862" s="128"/>
      <c r="J2862" s="126" t="s">
        <v>368</v>
      </c>
      <c r="K2862" s="128" t="s">
        <v>5983</v>
      </c>
      <c r="L2862" s="128" t="s">
        <v>6115</v>
      </c>
      <c r="M2862" s="128">
        <v>632507</v>
      </c>
      <c r="N2862" s="111"/>
      <c r="O2862" s="20"/>
      <c r="P2862" s="20"/>
      <c r="Q2862" s="20"/>
    </row>
    <row r="2863" spans="1:17" ht="24.9" customHeight="1">
      <c r="A2863" s="20">
        <v>456</v>
      </c>
      <c r="B2863" s="20" t="s">
        <v>7165</v>
      </c>
      <c r="C2863" s="20"/>
      <c r="D2863" s="19" t="s">
        <v>48</v>
      </c>
      <c r="E2863" s="19" t="str">
        <f>VLOOKUP(D2863,'لیست پرسنل'!$B$2:$E$1020,3,FALSE)</f>
        <v>فکورصنعت</v>
      </c>
      <c r="F2863" s="19" t="str">
        <f>VLOOKUP(D2863,'لیست پرسنل'!$B$2:$E$1020,4,FALSE)</f>
        <v>سرپرست آی تی</v>
      </c>
      <c r="G2863" s="127">
        <f>VLOOKUP(D2863,'لیست پرسنل'!$B$2:$F$1020,2,FALSE)</f>
        <v>2210</v>
      </c>
      <c r="H2863" s="127" t="s">
        <v>7164</v>
      </c>
      <c r="I2863" s="128"/>
      <c r="J2863" s="126" t="s">
        <v>3481</v>
      </c>
      <c r="K2863" s="128" t="s">
        <v>7369</v>
      </c>
      <c r="L2863" s="127" t="s">
        <v>7429</v>
      </c>
      <c r="M2863" s="128" t="s">
        <v>291</v>
      </c>
      <c r="N2863" s="109"/>
      <c r="O2863" s="19"/>
      <c r="P2863" s="32"/>
      <c r="Q2863" s="32"/>
    </row>
    <row r="2864" spans="1:17" ht="24.9" customHeight="1">
      <c r="A2864" s="20">
        <v>456</v>
      </c>
      <c r="B2864" s="20" t="s">
        <v>7165</v>
      </c>
      <c r="C2864" s="20"/>
      <c r="D2864" s="19" t="s">
        <v>48</v>
      </c>
      <c r="E2864" s="19" t="str">
        <f>VLOOKUP(D2864,'لیست پرسنل'!$B$2:$E$1020,3,FALSE)</f>
        <v>فکورصنعت</v>
      </c>
      <c r="F2864" s="19" t="str">
        <f>VLOOKUP(D2864,'لیست پرسنل'!$B$2:$E$1020,4,FALSE)</f>
        <v>سرپرست آی تی</v>
      </c>
      <c r="G2864" s="127">
        <f>VLOOKUP(D2864,'لیست پرسنل'!$B$2:$F$1020,2,FALSE)</f>
        <v>2210</v>
      </c>
      <c r="H2864" s="127" t="s">
        <v>7164</v>
      </c>
      <c r="I2864" s="128"/>
      <c r="J2864" s="126" t="s">
        <v>3481</v>
      </c>
      <c r="K2864" s="128" t="s">
        <v>7369</v>
      </c>
      <c r="L2864" s="127" t="s">
        <v>7428</v>
      </c>
      <c r="M2864" s="128" t="s">
        <v>291</v>
      </c>
      <c r="N2864" s="109"/>
      <c r="O2864" s="19"/>
      <c r="P2864" s="32"/>
      <c r="Q2864" s="32"/>
    </row>
    <row r="2865" spans="1:17" ht="24.9" customHeight="1">
      <c r="A2865" s="20">
        <v>456</v>
      </c>
      <c r="B2865" s="20" t="s">
        <v>7165</v>
      </c>
      <c r="C2865" s="20"/>
      <c r="D2865" s="19" t="s">
        <v>48</v>
      </c>
      <c r="E2865" s="19" t="str">
        <f>VLOOKUP(D2865,'لیست پرسنل'!$B$2:$E$1020,3,FALSE)</f>
        <v>فکورصنعت</v>
      </c>
      <c r="F2865" s="19" t="str">
        <f>VLOOKUP(D2865,'لیست پرسنل'!$B$2:$E$1020,4,FALSE)</f>
        <v>سرپرست آی تی</v>
      </c>
      <c r="G2865" s="127">
        <f>VLOOKUP(D2865,'لیست پرسنل'!$B$2:$F$1020,2,FALSE)</f>
        <v>2210</v>
      </c>
      <c r="H2865" s="127" t="s">
        <v>7164</v>
      </c>
      <c r="I2865" s="128"/>
      <c r="J2865" s="126" t="s">
        <v>3285</v>
      </c>
      <c r="K2865" s="128" t="s">
        <v>5622</v>
      </c>
      <c r="L2865" s="128"/>
      <c r="M2865" s="128">
        <v>620976</v>
      </c>
      <c r="N2865" s="108"/>
      <c r="O2865" s="20"/>
      <c r="P2865" s="20"/>
      <c r="Q2865" s="20"/>
    </row>
    <row r="2866" spans="1:17" ht="24.9" customHeight="1">
      <c r="A2866" s="20">
        <v>456</v>
      </c>
      <c r="B2866" s="20" t="s">
        <v>7165</v>
      </c>
      <c r="C2866" s="20"/>
      <c r="D2866" s="20" t="s">
        <v>48</v>
      </c>
      <c r="E2866" s="19" t="str">
        <f>VLOOKUP(D2866,'لیست پرسنل'!$B$2:$E$1020,3,FALSE)</f>
        <v>فکورصنعت</v>
      </c>
      <c r="F2866" s="19" t="str">
        <f>VLOOKUP(D2866,'لیست پرسنل'!$B$2:$E$1020,4,FALSE)</f>
        <v>سرپرست آی تی</v>
      </c>
      <c r="G2866" s="127">
        <f>VLOOKUP(D2866,'لیست پرسنل'!$B$2:$F$1020,2,FALSE)</f>
        <v>2210</v>
      </c>
      <c r="H2866" s="127" t="s">
        <v>7164</v>
      </c>
      <c r="I2866" s="128"/>
      <c r="J2866" s="126" t="s">
        <v>3476</v>
      </c>
      <c r="K2866" s="128" t="s">
        <v>5627</v>
      </c>
      <c r="L2866" s="128" t="s">
        <v>7274</v>
      </c>
      <c r="M2866" s="128">
        <v>621271</v>
      </c>
      <c r="N2866" s="108"/>
      <c r="O2866" s="20"/>
      <c r="P2866" s="20"/>
      <c r="Q2866" s="20"/>
    </row>
    <row r="2867" spans="1:17" ht="24.9" customHeight="1">
      <c r="A2867" s="20">
        <v>456</v>
      </c>
      <c r="B2867" s="20" t="s">
        <v>7165</v>
      </c>
      <c r="C2867" s="20"/>
      <c r="D2867" s="20" t="s">
        <v>48</v>
      </c>
      <c r="E2867" s="19" t="str">
        <f>VLOOKUP(D2867,'لیست پرسنل'!$B$2:$E$1020,3,FALSE)</f>
        <v>فکورصنعت</v>
      </c>
      <c r="F2867" s="19" t="str">
        <f>VLOOKUP(D2867,'لیست پرسنل'!$B$2:$E$1020,4,FALSE)</f>
        <v>سرپرست آی تی</v>
      </c>
      <c r="G2867" s="127">
        <f>VLOOKUP(D2867,'لیست پرسنل'!$B$2:$F$1020,2,FALSE)</f>
        <v>2210</v>
      </c>
      <c r="H2867" s="127" t="s">
        <v>7164</v>
      </c>
      <c r="I2867" s="128"/>
      <c r="J2867" s="126" t="s">
        <v>3476</v>
      </c>
      <c r="K2867" s="128" t="s">
        <v>7272</v>
      </c>
      <c r="L2867" s="128"/>
      <c r="M2867" s="128">
        <v>627170</v>
      </c>
      <c r="N2867" s="108"/>
      <c r="O2867" s="20"/>
      <c r="P2867" s="20"/>
      <c r="Q2867" s="20"/>
    </row>
    <row r="2868" spans="1:17" ht="24.9" customHeight="1">
      <c r="A2868" s="20">
        <v>456</v>
      </c>
      <c r="B2868" s="20" t="s">
        <v>7165</v>
      </c>
      <c r="C2868" s="20"/>
      <c r="D2868" s="20" t="s">
        <v>48</v>
      </c>
      <c r="E2868" s="19" t="str">
        <f>VLOOKUP(D2868,'لیست پرسنل'!$B$2:$E$1020,3,FALSE)</f>
        <v>فکورصنعت</v>
      </c>
      <c r="F2868" s="19" t="str">
        <f>VLOOKUP(D2868,'لیست پرسنل'!$B$2:$E$1020,4,FALSE)</f>
        <v>سرپرست آی تی</v>
      </c>
      <c r="G2868" s="127">
        <f>VLOOKUP(D2868,'لیست پرسنل'!$B$2:$F$1020,2,FALSE)</f>
        <v>2210</v>
      </c>
      <c r="H2868" s="127" t="s">
        <v>7164</v>
      </c>
      <c r="I2868" s="128"/>
      <c r="J2868" s="126" t="s">
        <v>3476</v>
      </c>
      <c r="K2868" s="128" t="s">
        <v>7272</v>
      </c>
      <c r="L2868" s="128"/>
      <c r="M2868" s="128">
        <v>627173</v>
      </c>
      <c r="N2868" s="108"/>
      <c r="O2868" s="20"/>
      <c r="P2868" s="20"/>
      <c r="Q2868" s="20"/>
    </row>
    <row r="2869" spans="1:17" ht="24.9" customHeight="1">
      <c r="A2869" s="20">
        <v>456</v>
      </c>
      <c r="B2869" s="20" t="s">
        <v>7165</v>
      </c>
      <c r="C2869" s="19"/>
      <c r="D2869" s="20" t="s">
        <v>48</v>
      </c>
      <c r="E2869" s="19" t="str">
        <f>VLOOKUP(D2869,'لیست پرسنل'!$B$2:$E$1020,3,FALSE)</f>
        <v>فکورصنعت</v>
      </c>
      <c r="F2869" s="19" t="str">
        <f>VLOOKUP(D2869,'لیست پرسنل'!$B$2:$E$1020,4,FALSE)</f>
        <v>سرپرست آی تی</v>
      </c>
      <c r="G2869" s="127">
        <f>VLOOKUP(D2869,'لیست پرسنل'!$B$2:$F$1020,2,FALSE)</f>
        <v>2210</v>
      </c>
      <c r="H2869" s="127" t="s">
        <v>7164</v>
      </c>
      <c r="I2869" s="126"/>
      <c r="J2869" s="128" t="s">
        <v>2686</v>
      </c>
      <c r="K2869" s="128" t="s">
        <v>624</v>
      </c>
      <c r="L2869" s="164" t="s">
        <v>2526</v>
      </c>
      <c r="M2869" s="134">
        <v>622612</v>
      </c>
      <c r="N2869" s="108"/>
      <c r="O2869" s="20" t="s">
        <v>5293</v>
      </c>
      <c r="P2869" s="20"/>
      <c r="Q2869" s="20"/>
    </row>
    <row r="2870" spans="1:17" ht="24.9" customHeight="1">
      <c r="A2870" s="20">
        <v>456</v>
      </c>
      <c r="B2870" s="20" t="s">
        <v>7165</v>
      </c>
      <c r="C2870" s="20"/>
      <c r="D2870" s="20" t="s">
        <v>48</v>
      </c>
      <c r="E2870" s="19" t="str">
        <f>VLOOKUP(D2870,'لیست پرسنل'!$B$2:$E$1020,3,FALSE)</f>
        <v>فکورصنعت</v>
      </c>
      <c r="F2870" s="19" t="str">
        <f>VLOOKUP(D2870,'لیست پرسنل'!$B$2:$E$1020,4,FALSE)</f>
        <v>سرپرست آی تی</v>
      </c>
      <c r="G2870" s="127">
        <f>VLOOKUP(D2870,'لیست پرسنل'!$B$2:$F$1020,2,FALSE)</f>
        <v>2210</v>
      </c>
      <c r="H2870" s="127" t="s">
        <v>7164</v>
      </c>
      <c r="I2870" s="127"/>
      <c r="J2870" s="128" t="s">
        <v>1977</v>
      </c>
      <c r="K2870" s="127" t="s">
        <v>8348</v>
      </c>
      <c r="L2870" s="127"/>
      <c r="M2870" s="127" t="s">
        <v>8349</v>
      </c>
      <c r="N2870" s="109"/>
      <c r="O2870" s="20"/>
      <c r="P2870" s="20"/>
      <c r="Q2870" s="20"/>
    </row>
    <row r="2871" spans="1:17" ht="24.9" customHeight="1">
      <c r="A2871" s="20">
        <v>456</v>
      </c>
      <c r="B2871" s="20" t="s">
        <v>7165</v>
      </c>
      <c r="C2871" s="20"/>
      <c r="D2871" s="20" t="s">
        <v>48</v>
      </c>
      <c r="E2871" s="19" t="str">
        <f>VLOOKUP(D2871,'لیست پرسنل'!$B$2:$E$1020,3,FALSE)</f>
        <v>فکورصنعت</v>
      </c>
      <c r="F2871" s="19" t="str">
        <f>VLOOKUP(D2871,'لیست پرسنل'!$B$2:$E$1020,4,FALSE)</f>
        <v>سرپرست آی تی</v>
      </c>
      <c r="G2871" s="127">
        <f>VLOOKUP(D2871,'لیست پرسنل'!$B$2:$F$1020,2,FALSE)</f>
        <v>2210</v>
      </c>
      <c r="H2871" s="127" t="s">
        <v>7164</v>
      </c>
      <c r="I2871" s="127"/>
      <c r="J2871" s="128" t="s">
        <v>1977</v>
      </c>
      <c r="K2871" s="127" t="s">
        <v>8348</v>
      </c>
      <c r="L2871" s="127"/>
      <c r="M2871" s="127" t="s">
        <v>8352</v>
      </c>
      <c r="N2871" s="109"/>
      <c r="O2871" s="20"/>
      <c r="P2871" s="20"/>
      <c r="Q2871" s="20"/>
    </row>
    <row r="2872" spans="1:17" ht="24.9" customHeight="1">
      <c r="A2872" s="20">
        <v>456</v>
      </c>
      <c r="B2872" s="20" t="s">
        <v>7165</v>
      </c>
      <c r="C2872" s="20"/>
      <c r="D2872" s="20" t="s">
        <v>48</v>
      </c>
      <c r="E2872" s="19" t="str">
        <f>VLOOKUP(D2872,'لیست پرسنل'!$B$2:$E$1020,3,FALSE)</f>
        <v>فکورصنعت</v>
      </c>
      <c r="F2872" s="19" t="str">
        <f>VLOOKUP(D2872,'لیست پرسنل'!$B$2:$E$1020,4,FALSE)</f>
        <v>سرپرست آی تی</v>
      </c>
      <c r="G2872" s="127">
        <f>VLOOKUP(D2872,'لیست پرسنل'!$B$2:$F$1020,2,FALSE)</f>
        <v>2210</v>
      </c>
      <c r="H2872" s="127" t="s">
        <v>7164</v>
      </c>
      <c r="I2872" s="127"/>
      <c r="J2872" s="128" t="s">
        <v>1977</v>
      </c>
      <c r="K2872" s="127" t="s">
        <v>8350</v>
      </c>
      <c r="L2872" s="127"/>
      <c r="M2872" s="127" t="s">
        <v>8351</v>
      </c>
      <c r="N2872" s="109"/>
      <c r="O2872" s="20"/>
      <c r="P2872" s="20"/>
      <c r="Q2872" s="20"/>
    </row>
    <row r="2873" spans="1:17" ht="24.9" customHeight="1">
      <c r="A2873" s="20">
        <v>456</v>
      </c>
      <c r="B2873" s="20" t="s">
        <v>7165</v>
      </c>
      <c r="C2873" s="20"/>
      <c r="D2873" s="20" t="s">
        <v>48</v>
      </c>
      <c r="E2873" s="19" t="str">
        <f>VLOOKUP(D2873,'لیست پرسنل'!$B$2:$E$1020,3,FALSE)</f>
        <v>فکورصنعت</v>
      </c>
      <c r="F2873" s="19" t="str">
        <f>VLOOKUP(D2873,'لیست پرسنل'!$B$2:$E$1020,4,FALSE)</f>
        <v>سرپرست آی تی</v>
      </c>
      <c r="G2873" s="127">
        <f>VLOOKUP(D2873,'لیست پرسنل'!$B$2:$F$1020,2,FALSE)</f>
        <v>2210</v>
      </c>
      <c r="H2873" s="127" t="s">
        <v>7164</v>
      </c>
      <c r="I2873" s="127"/>
      <c r="J2873" s="128" t="s">
        <v>1977</v>
      </c>
      <c r="K2873" s="127" t="s">
        <v>8182</v>
      </c>
      <c r="L2873" s="127"/>
      <c r="M2873" s="127" t="s">
        <v>8347</v>
      </c>
      <c r="N2873" s="109"/>
      <c r="O2873" s="20"/>
      <c r="P2873" s="20"/>
      <c r="Q2873" s="20"/>
    </row>
    <row r="2874" spans="1:17" ht="24.9" customHeight="1">
      <c r="A2874" s="20">
        <v>456</v>
      </c>
      <c r="B2874" s="20" t="s">
        <v>7165</v>
      </c>
      <c r="C2874" s="20"/>
      <c r="D2874" s="20" t="s">
        <v>48</v>
      </c>
      <c r="E2874" s="19" t="str">
        <f>VLOOKUP(D2874,'لیست پرسنل'!$B$2:$E$1020,3,FALSE)</f>
        <v>فکورصنعت</v>
      </c>
      <c r="F2874" s="19" t="str">
        <f>VLOOKUP(D2874,'لیست پرسنل'!$B$2:$E$1020,4,FALSE)</f>
        <v>سرپرست آی تی</v>
      </c>
      <c r="G2874" s="127">
        <f>VLOOKUP(D2874,'لیست پرسنل'!$B$2:$F$1020,2,FALSE)</f>
        <v>2210</v>
      </c>
      <c r="H2874" s="127" t="s">
        <v>7164</v>
      </c>
      <c r="I2874" s="127"/>
      <c r="J2874" s="128" t="s">
        <v>1977</v>
      </c>
      <c r="K2874" s="127" t="s">
        <v>8353</v>
      </c>
      <c r="L2874" s="127"/>
      <c r="M2874" s="127" t="s">
        <v>8354</v>
      </c>
      <c r="N2874" s="109"/>
      <c r="O2874" s="20"/>
      <c r="P2874" s="20"/>
      <c r="Q2874" s="20"/>
    </row>
    <row r="2875" spans="1:17" ht="24.9" customHeight="1">
      <c r="A2875" s="20">
        <v>456</v>
      </c>
      <c r="B2875" s="20" t="s">
        <v>7165</v>
      </c>
      <c r="C2875" s="20"/>
      <c r="D2875" s="19" t="s">
        <v>5643</v>
      </c>
      <c r="E2875" s="19" t="str">
        <f>VLOOKUP(D2875,'لیست پرسنل'!$B$2:$E$1020,3,FALSE)</f>
        <v>فکورصنعت</v>
      </c>
      <c r="F2875" s="19" t="str">
        <f>VLOOKUP(D2875,'لیست پرسنل'!$B$2:$E$1020,4,FALSE)</f>
        <v>مسئول دفتر</v>
      </c>
      <c r="G2875" s="127">
        <f>VLOOKUP(D2875,'لیست پرسنل'!$B$2:$F$1020,2,FALSE)</f>
        <v>7009</v>
      </c>
      <c r="H2875" s="127" t="s">
        <v>7164</v>
      </c>
      <c r="I2875" s="128"/>
      <c r="J2875" s="128" t="s">
        <v>368</v>
      </c>
      <c r="K2875" s="128" t="s">
        <v>2846</v>
      </c>
      <c r="L2875" s="128" t="s">
        <v>4751</v>
      </c>
      <c r="M2875" s="127">
        <v>633727</v>
      </c>
      <c r="N2875" s="109"/>
      <c r="O2875" s="19" t="s">
        <v>6388</v>
      </c>
      <c r="P2875" s="32"/>
      <c r="Q2875" s="32"/>
    </row>
    <row r="2876" spans="1:17" ht="24.9" customHeight="1">
      <c r="A2876" s="20">
        <v>456</v>
      </c>
      <c r="B2876" s="20" t="s">
        <v>7165</v>
      </c>
      <c r="C2876" s="20"/>
      <c r="D2876" s="19" t="s">
        <v>5643</v>
      </c>
      <c r="E2876" s="19" t="str">
        <f>VLOOKUP(D2876,'لیست پرسنل'!$B$2:$E$1020,3,FALSE)</f>
        <v>فکورصنعت</v>
      </c>
      <c r="F2876" s="19" t="str">
        <f>VLOOKUP(D2876,'لیست پرسنل'!$B$2:$E$1020,4,FALSE)</f>
        <v>مسئول دفتر</v>
      </c>
      <c r="G2876" s="127">
        <f>VLOOKUP(D2876,'لیست پرسنل'!$B$2:$F$1020,2,FALSE)</f>
        <v>7009</v>
      </c>
      <c r="H2876" s="127" t="s">
        <v>7164</v>
      </c>
      <c r="I2876" s="128"/>
      <c r="J2876" s="128" t="s">
        <v>368</v>
      </c>
      <c r="K2876" s="128" t="s">
        <v>2846</v>
      </c>
      <c r="L2876" s="128" t="s">
        <v>4758</v>
      </c>
      <c r="M2876" s="127">
        <v>633732</v>
      </c>
      <c r="N2876" s="109"/>
      <c r="O2876" s="19" t="s">
        <v>6379</v>
      </c>
      <c r="P2876" s="32"/>
      <c r="Q2876" s="32"/>
    </row>
    <row r="2877" spans="1:17" ht="24.9" customHeight="1">
      <c r="A2877" s="20">
        <v>456</v>
      </c>
      <c r="B2877" s="20" t="s">
        <v>7165</v>
      </c>
      <c r="C2877" s="20"/>
      <c r="D2877" s="19" t="s">
        <v>5643</v>
      </c>
      <c r="E2877" s="19" t="str">
        <f>VLOOKUP(D2877,'لیست پرسنل'!$B$2:$E$1020,3,FALSE)</f>
        <v>فکورصنعت</v>
      </c>
      <c r="F2877" s="19" t="str">
        <f>VLOOKUP(D2877,'لیست پرسنل'!$B$2:$E$1020,4,FALSE)</f>
        <v>مسئول دفتر</v>
      </c>
      <c r="G2877" s="127">
        <f>VLOOKUP(D2877,'لیست پرسنل'!$B$2:$F$1020,2,FALSE)</f>
        <v>7009</v>
      </c>
      <c r="H2877" s="127" t="s">
        <v>7164</v>
      </c>
      <c r="I2877" s="128"/>
      <c r="J2877" s="128" t="s">
        <v>2686</v>
      </c>
      <c r="K2877" s="128" t="s">
        <v>721</v>
      </c>
      <c r="L2877" s="128" t="s">
        <v>1986</v>
      </c>
      <c r="M2877" s="127">
        <v>633627</v>
      </c>
      <c r="N2877" s="109" t="s">
        <v>6487</v>
      </c>
      <c r="O2877" s="19" t="s">
        <v>6288</v>
      </c>
      <c r="P2877" s="32"/>
      <c r="Q2877" s="32"/>
    </row>
    <row r="2878" spans="1:17" ht="24.9" customHeight="1">
      <c r="A2878" s="20">
        <v>456</v>
      </c>
      <c r="B2878" s="20" t="s">
        <v>5675</v>
      </c>
      <c r="C2878" s="20">
        <v>2</v>
      </c>
      <c r="D2878" s="19" t="s">
        <v>5641</v>
      </c>
      <c r="E2878" s="19" t="str">
        <f>VLOOKUP(D2878,'لیست پرسنل'!$B$2:$E$1020,3,FALSE)</f>
        <v>فکورصنعت</v>
      </c>
      <c r="F2878" s="19" t="str">
        <f>VLOOKUP(D2878,'لیست پرسنل'!$B$2:$E$1020,4,FALSE)</f>
        <v>رئیس سایت</v>
      </c>
      <c r="G2878" s="127">
        <f>VLOOKUP(D2878,'لیست پرسنل'!$B$2:$F$1020,2,FALSE)</f>
        <v>4020802</v>
      </c>
      <c r="H2878" s="127" t="s">
        <v>5821</v>
      </c>
      <c r="I2878" s="127" t="s">
        <v>6714</v>
      </c>
      <c r="J2878" s="126" t="s">
        <v>368</v>
      </c>
      <c r="K2878" s="128" t="s">
        <v>5750</v>
      </c>
      <c r="L2878" s="128" t="s">
        <v>5749</v>
      </c>
      <c r="M2878" s="128">
        <v>632009</v>
      </c>
      <c r="N2878" s="111"/>
      <c r="O2878" s="20"/>
      <c r="P2878" s="20"/>
      <c r="Q2878" s="20"/>
    </row>
    <row r="2879" spans="1:17" ht="24.9" customHeight="1">
      <c r="A2879" s="20">
        <v>456</v>
      </c>
      <c r="B2879" s="20" t="s">
        <v>5675</v>
      </c>
      <c r="C2879" s="20">
        <v>2</v>
      </c>
      <c r="D2879" s="19" t="s">
        <v>5641</v>
      </c>
      <c r="E2879" s="19" t="str">
        <f>VLOOKUP(D2879,'لیست پرسنل'!$B$2:$E$1020,3,FALSE)</f>
        <v>فکورصنعت</v>
      </c>
      <c r="F2879" s="19" t="str">
        <f>VLOOKUP(D2879,'لیست پرسنل'!$B$2:$E$1020,4,FALSE)</f>
        <v>رئیس سایت</v>
      </c>
      <c r="G2879" s="127">
        <f>VLOOKUP(D2879,'لیست پرسنل'!$B$2:$F$1020,2,FALSE)</f>
        <v>4020802</v>
      </c>
      <c r="H2879" s="127" t="s">
        <v>5821</v>
      </c>
      <c r="I2879" s="127" t="s">
        <v>6714</v>
      </c>
      <c r="J2879" s="127" t="s">
        <v>571</v>
      </c>
      <c r="K2879" s="127" t="s">
        <v>5645</v>
      </c>
      <c r="L2879" s="127"/>
      <c r="M2879" s="127">
        <v>625915</v>
      </c>
      <c r="N2879" s="109"/>
      <c r="O2879" s="20"/>
      <c r="P2879" s="28"/>
      <c r="Q2879" s="28"/>
    </row>
    <row r="2880" spans="1:17" ht="24.9" customHeight="1">
      <c r="A2880" s="20">
        <v>456</v>
      </c>
      <c r="B2880" s="20" t="s">
        <v>5675</v>
      </c>
      <c r="C2880" s="20">
        <v>2</v>
      </c>
      <c r="D2880" s="20" t="s">
        <v>5641</v>
      </c>
      <c r="E2880" s="19" t="str">
        <f>VLOOKUP(D2880,'لیست پرسنل'!$B$2:$E$1020,3,FALSE)</f>
        <v>فکورصنعت</v>
      </c>
      <c r="F2880" s="19" t="str">
        <f>VLOOKUP(D2880,'لیست پرسنل'!$B$2:$E$1020,4,FALSE)</f>
        <v>رئیس سایت</v>
      </c>
      <c r="G2880" s="127">
        <f>VLOOKUP(D2880,'لیست پرسنل'!$B$2:$F$1020,2,FALSE)</f>
        <v>4020802</v>
      </c>
      <c r="H2880" s="127" t="s">
        <v>5821</v>
      </c>
      <c r="I2880" s="128" t="s">
        <v>6714</v>
      </c>
      <c r="J2880" s="126" t="s">
        <v>5618</v>
      </c>
      <c r="K2880" s="128" t="s">
        <v>7561</v>
      </c>
      <c r="L2880" s="128" t="s">
        <v>7723</v>
      </c>
      <c r="M2880" s="128">
        <v>636307</v>
      </c>
      <c r="N2880" s="108"/>
      <c r="O2880" s="20"/>
      <c r="P2880" s="20"/>
      <c r="Q2880" s="20"/>
    </row>
    <row r="2881" spans="1:17" ht="24.9" customHeight="1">
      <c r="A2881" s="20">
        <v>456</v>
      </c>
      <c r="B2881" s="20" t="s">
        <v>5675</v>
      </c>
      <c r="C2881" s="20">
        <v>3</v>
      </c>
      <c r="D2881" s="19" t="s">
        <v>5642</v>
      </c>
      <c r="E2881" s="19" t="str">
        <f>VLOOKUP(D2881,'لیست پرسنل'!$B$2:$E$1020,3,FALSE)</f>
        <v>فکورصنعت</v>
      </c>
      <c r="F2881" s="19" t="str">
        <f>VLOOKUP(D2881,'لیست پرسنل'!$B$2:$E$1020,4,FALSE)</f>
        <v>نقشه برداری</v>
      </c>
      <c r="G2881" s="127">
        <f>VLOOKUP(D2881,'لیست پرسنل'!$B$2:$F$1020,2,FALSE)</f>
        <v>4020807</v>
      </c>
      <c r="H2881" s="127" t="s">
        <v>5821</v>
      </c>
      <c r="I2881" s="127" t="s">
        <v>6715</v>
      </c>
      <c r="J2881" s="127" t="s">
        <v>368</v>
      </c>
      <c r="K2881" s="127" t="s">
        <v>2846</v>
      </c>
      <c r="L2881" s="127" t="s">
        <v>5651</v>
      </c>
      <c r="M2881" s="127">
        <v>632015</v>
      </c>
      <c r="N2881" s="109"/>
      <c r="O2881" s="20"/>
      <c r="P2881" s="28"/>
      <c r="Q2881" s="28"/>
    </row>
    <row r="2882" spans="1:17" ht="24.9" customHeight="1">
      <c r="A2882" s="20">
        <v>456</v>
      </c>
      <c r="B2882" s="20" t="s">
        <v>5675</v>
      </c>
      <c r="C2882" s="20">
        <v>3</v>
      </c>
      <c r="D2882" s="19" t="s">
        <v>5642</v>
      </c>
      <c r="E2882" s="19" t="str">
        <f>VLOOKUP(D2882,'لیست پرسنل'!$B$2:$E$1020,3,FALSE)</f>
        <v>فکورصنعت</v>
      </c>
      <c r="F2882" s="19" t="str">
        <f>VLOOKUP(D2882,'لیست پرسنل'!$B$2:$E$1020,4,FALSE)</f>
        <v>نقشه برداری</v>
      </c>
      <c r="G2882" s="127">
        <f>VLOOKUP(D2882,'لیست پرسنل'!$B$2:$F$1020,2,FALSE)</f>
        <v>4020807</v>
      </c>
      <c r="H2882" s="127" t="s">
        <v>5821</v>
      </c>
      <c r="I2882" s="127" t="s">
        <v>6715</v>
      </c>
      <c r="J2882" s="126" t="s">
        <v>571</v>
      </c>
      <c r="K2882" s="127" t="s">
        <v>6142</v>
      </c>
      <c r="L2882" s="127"/>
      <c r="M2882" s="127">
        <v>619883</v>
      </c>
      <c r="N2882" s="109"/>
      <c r="O2882" s="20"/>
      <c r="P2882" s="28"/>
      <c r="Q2882" s="28"/>
    </row>
    <row r="2883" spans="1:17" ht="24.9" customHeight="1">
      <c r="A2883" s="20">
        <v>456</v>
      </c>
      <c r="B2883" s="20" t="s">
        <v>5675</v>
      </c>
      <c r="C2883" s="20">
        <v>3</v>
      </c>
      <c r="D2883" s="20" t="s">
        <v>5642</v>
      </c>
      <c r="E2883" s="19" t="str">
        <f>VLOOKUP(D2883,'لیست پرسنل'!$B$2:$E$1020,3,FALSE)</f>
        <v>فکورصنعت</v>
      </c>
      <c r="F2883" s="19" t="str">
        <f>VLOOKUP(D2883,'لیست پرسنل'!$B$2:$E$1020,4,FALSE)</f>
        <v>نقشه برداری</v>
      </c>
      <c r="G2883" s="127">
        <f>VLOOKUP(D2883,'لیست پرسنل'!$B$2:$F$1020,2,FALSE)</f>
        <v>4020807</v>
      </c>
      <c r="H2883" s="127" t="s">
        <v>5821</v>
      </c>
      <c r="I2883" s="127" t="s">
        <v>6715</v>
      </c>
      <c r="J2883" s="128" t="s">
        <v>5618</v>
      </c>
      <c r="K2883" s="127" t="s">
        <v>8339</v>
      </c>
      <c r="L2883" s="127" t="s">
        <v>8341</v>
      </c>
      <c r="M2883" s="127">
        <v>636952</v>
      </c>
      <c r="N2883" s="109"/>
      <c r="O2883" s="20"/>
      <c r="P2883" s="20"/>
      <c r="Q2883" s="20"/>
    </row>
    <row r="2884" spans="1:17" ht="24.9" customHeight="1">
      <c r="A2884" s="20">
        <v>456</v>
      </c>
      <c r="B2884" s="20" t="s">
        <v>5675</v>
      </c>
      <c r="C2884" s="20">
        <v>4</v>
      </c>
      <c r="D2884" s="19" t="s">
        <v>7686</v>
      </c>
      <c r="E2884" s="19" t="str">
        <f>VLOOKUP(D2884,'لیست پرسنل'!$B$2:$E$1020,3,FALSE)</f>
        <v>فکورصنعت</v>
      </c>
      <c r="F2884" s="19" t="str">
        <f>VLOOKUP(D2884,'لیست پرسنل'!$B$2:$E$1020,4,FALSE)</f>
        <v>سیویل</v>
      </c>
      <c r="G2884" s="127">
        <f>VLOOKUP(D2884,'لیست پرسنل'!$B$2:$F$1020,2,FALSE)</f>
        <v>4031203</v>
      </c>
      <c r="H2884" s="127" t="s">
        <v>5821</v>
      </c>
      <c r="I2884" s="127" t="s">
        <v>6716</v>
      </c>
      <c r="J2884" s="127" t="s">
        <v>368</v>
      </c>
      <c r="K2884" s="127" t="s">
        <v>2846</v>
      </c>
      <c r="L2884" s="127" t="s">
        <v>5652</v>
      </c>
      <c r="M2884" s="127">
        <v>632014</v>
      </c>
      <c r="N2884" s="109"/>
      <c r="O2884" s="20"/>
      <c r="P2884" s="28"/>
      <c r="Q2884" s="28"/>
    </row>
    <row r="2885" spans="1:17" ht="24.9" customHeight="1">
      <c r="A2885" s="20">
        <v>456</v>
      </c>
      <c r="B2885" s="20" t="s">
        <v>5675</v>
      </c>
      <c r="C2885" s="20">
        <v>4</v>
      </c>
      <c r="D2885" s="19" t="s">
        <v>7686</v>
      </c>
      <c r="E2885" s="19" t="str">
        <f>VLOOKUP(D2885,'لیست پرسنل'!$B$2:$E$1020,3,FALSE)</f>
        <v>فکورصنعت</v>
      </c>
      <c r="F2885" s="19" t="str">
        <f>VLOOKUP(D2885,'لیست پرسنل'!$B$2:$E$1020,4,FALSE)</f>
        <v>سیویل</v>
      </c>
      <c r="G2885" s="127">
        <f>VLOOKUP(D2885,'لیست پرسنل'!$B$2:$F$1020,2,FALSE)</f>
        <v>4031203</v>
      </c>
      <c r="H2885" s="127" t="s">
        <v>5821</v>
      </c>
      <c r="I2885" s="127" t="s">
        <v>6716</v>
      </c>
      <c r="J2885" s="128" t="s">
        <v>571</v>
      </c>
      <c r="K2885" s="128" t="s">
        <v>4771</v>
      </c>
      <c r="L2885" s="128"/>
      <c r="M2885" s="127">
        <v>633668</v>
      </c>
      <c r="N2885" s="109"/>
      <c r="O2885" s="19" t="s">
        <v>6326</v>
      </c>
      <c r="P2885" s="32"/>
      <c r="Q2885" s="32"/>
    </row>
    <row r="2886" spans="1:17" ht="24.9" customHeight="1">
      <c r="A2886" s="20">
        <v>456</v>
      </c>
      <c r="B2886" s="20" t="s">
        <v>5675</v>
      </c>
      <c r="C2886" s="20">
        <v>4</v>
      </c>
      <c r="D2886" s="20" t="s">
        <v>7686</v>
      </c>
      <c r="E2886" s="19" t="str">
        <f>VLOOKUP(D2886,'لیست پرسنل'!$B$2:$E$1020,3,FALSE)</f>
        <v>فکورصنعت</v>
      </c>
      <c r="F2886" s="19" t="str">
        <f>VLOOKUP(D2886,'لیست پرسنل'!$B$2:$E$1020,4,FALSE)</f>
        <v>سیویل</v>
      </c>
      <c r="G2886" s="127">
        <f>VLOOKUP(D2886,'لیست پرسنل'!$B$2:$F$1020,2,FALSE)</f>
        <v>4031203</v>
      </c>
      <c r="H2886" s="127" t="s">
        <v>5821</v>
      </c>
      <c r="I2886" s="127" t="s">
        <v>6716</v>
      </c>
      <c r="J2886" s="128" t="s">
        <v>5618</v>
      </c>
      <c r="K2886" s="127"/>
      <c r="L2886" s="127" t="s">
        <v>8491</v>
      </c>
      <c r="M2886" s="127">
        <v>637848</v>
      </c>
      <c r="N2886" s="109"/>
      <c r="O2886" s="20"/>
      <c r="P2886" s="20"/>
      <c r="Q2886" s="20"/>
    </row>
    <row r="2887" spans="1:17" ht="24.75" customHeight="1">
      <c r="A2887" s="20">
        <v>456</v>
      </c>
      <c r="B2887" s="20" t="s">
        <v>5675</v>
      </c>
      <c r="C2887" s="20">
        <v>4</v>
      </c>
      <c r="D2887" s="20" t="s">
        <v>7686</v>
      </c>
      <c r="E2887" s="19" t="str">
        <f>VLOOKUP(D2887,'لیست پرسنل'!$B$2:$E$1020,3,FALSE)</f>
        <v>فکورصنعت</v>
      </c>
      <c r="F2887" s="19" t="str">
        <f>VLOOKUP(D2887,'لیست پرسنل'!$B$2:$E$1020,4,FALSE)</f>
        <v>سیویل</v>
      </c>
      <c r="G2887" s="127">
        <f>VLOOKUP(D2887,'لیست پرسنل'!$B$2:$F$1020,2,FALSE)</f>
        <v>4031203</v>
      </c>
      <c r="H2887" s="127" t="s">
        <v>5821</v>
      </c>
      <c r="I2887" s="127" t="s">
        <v>6716</v>
      </c>
      <c r="J2887" s="128" t="s">
        <v>5618</v>
      </c>
      <c r="K2887" s="127"/>
      <c r="L2887" s="127" t="s">
        <v>8490</v>
      </c>
      <c r="M2887" s="127">
        <v>637851</v>
      </c>
      <c r="N2887" s="109"/>
      <c r="O2887" s="20"/>
      <c r="P2887" s="20"/>
      <c r="Q2887" s="20"/>
    </row>
    <row r="2888" spans="1:17" ht="24.75" customHeight="1">
      <c r="A2888" s="20">
        <v>456</v>
      </c>
      <c r="B2888" s="20" t="s">
        <v>5675</v>
      </c>
      <c r="C2888" s="20">
        <v>5</v>
      </c>
      <c r="D2888" s="19" t="s">
        <v>3387</v>
      </c>
      <c r="E2888" s="19" t="str">
        <f>VLOOKUP(D2888,'لیست پرسنل'!$B$2:$E$1020,3,FALSE)</f>
        <v>فکورصنعت</v>
      </c>
      <c r="F2888" s="19" t="str">
        <f>VLOOKUP(D2888,'لیست پرسنل'!$B$2:$E$1020,4,FALSE)</f>
        <v>ایمنی</v>
      </c>
      <c r="G2888" s="127">
        <f>VLOOKUP(D2888,'لیست پرسنل'!$B$2:$F$1020,2,FALSE)</f>
        <v>4000512</v>
      </c>
      <c r="H2888" s="127" t="s">
        <v>5821</v>
      </c>
      <c r="I2888" s="127" t="s">
        <v>6717</v>
      </c>
      <c r="J2888" s="127" t="s">
        <v>737</v>
      </c>
      <c r="K2888" s="127" t="s">
        <v>5654</v>
      </c>
      <c r="L2888" s="127" t="s">
        <v>5655</v>
      </c>
      <c r="M2888" s="127">
        <v>632358</v>
      </c>
      <c r="N2888" s="109"/>
      <c r="O2888" s="20" t="s">
        <v>5897</v>
      </c>
      <c r="P2888" s="28"/>
      <c r="Q2888" s="28"/>
    </row>
    <row r="2889" spans="1:17" ht="24.75" customHeight="1">
      <c r="A2889" s="20">
        <v>456</v>
      </c>
      <c r="B2889" s="20" t="s">
        <v>5675</v>
      </c>
      <c r="C2889" s="20">
        <v>5</v>
      </c>
      <c r="D2889" s="19" t="s">
        <v>3387</v>
      </c>
      <c r="E2889" s="19" t="str">
        <f>VLOOKUP(D2889,'لیست پرسنل'!$B$2:$E$1020,3,FALSE)</f>
        <v>فکورصنعت</v>
      </c>
      <c r="F2889" s="19" t="str">
        <f>VLOOKUP(D2889,'لیست پرسنل'!$B$2:$E$1020,4,FALSE)</f>
        <v>ایمنی</v>
      </c>
      <c r="G2889" s="127">
        <f>VLOOKUP(D2889,'لیست پرسنل'!$B$2:$F$1020,2,FALSE)</f>
        <v>4000512</v>
      </c>
      <c r="H2889" s="127" t="s">
        <v>5821</v>
      </c>
      <c r="I2889" s="127" t="s">
        <v>6717</v>
      </c>
      <c r="J2889" s="127" t="s">
        <v>368</v>
      </c>
      <c r="K2889" s="127" t="s">
        <v>2846</v>
      </c>
      <c r="L2889" s="127" t="s">
        <v>5653</v>
      </c>
      <c r="M2889" s="127">
        <v>632013</v>
      </c>
      <c r="N2889" s="109"/>
      <c r="O2889" s="20" t="s">
        <v>5676</v>
      </c>
      <c r="P2889" s="28"/>
      <c r="Q2889" s="28"/>
    </row>
    <row r="2890" spans="1:17" ht="24.9" customHeight="1">
      <c r="A2890" s="20">
        <v>456</v>
      </c>
      <c r="B2890" s="20" t="s">
        <v>5675</v>
      </c>
      <c r="C2890" s="20">
        <v>5</v>
      </c>
      <c r="D2890" s="19" t="s">
        <v>3387</v>
      </c>
      <c r="E2890" s="19" t="str">
        <f>VLOOKUP(D2890,'لیست پرسنل'!$B$2:$E$1020,3,FALSE)</f>
        <v>فکورصنعت</v>
      </c>
      <c r="F2890" s="19" t="str">
        <f>VLOOKUP(D2890,'لیست پرسنل'!$B$2:$E$1020,4,FALSE)</f>
        <v>ایمنی</v>
      </c>
      <c r="G2890" s="127">
        <f>VLOOKUP(D2890,'لیست پرسنل'!$B$2:$F$1020,2,FALSE)</f>
        <v>4000512</v>
      </c>
      <c r="H2890" s="127" t="s">
        <v>5821</v>
      </c>
      <c r="I2890" s="127" t="s">
        <v>6717</v>
      </c>
      <c r="J2890" s="127" t="s">
        <v>571</v>
      </c>
      <c r="K2890" s="127" t="s">
        <v>4771</v>
      </c>
      <c r="L2890" s="127"/>
      <c r="M2890" s="127">
        <v>609567</v>
      </c>
      <c r="N2890" s="109"/>
      <c r="O2890" s="20"/>
      <c r="P2890" s="28"/>
      <c r="Q2890" s="28"/>
    </row>
    <row r="2891" spans="1:17" ht="24.9" customHeight="1">
      <c r="A2891" s="20">
        <v>456</v>
      </c>
      <c r="B2891" s="20" t="s">
        <v>5675</v>
      </c>
      <c r="C2891" s="20">
        <v>5</v>
      </c>
      <c r="D2891" s="19" t="s">
        <v>3387</v>
      </c>
      <c r="E2891" s="19" t="str">
        <f>VLOOKUP(D2891,'لیست پرسنل'!$B$2:$E$1020,3,FALSE)</f>
        <v>فکورصنعت</v>
      </c>
      <c r="F2891" s="19" t="str">
        <f>VLOOKUP(D2891,'لیست پرسنل'!$B$2:$E$1020,4,FALSE)</f>
        <v>ایمنی</v>
      </c>
      <c r="G2891" s="127">
        <f>VLOOKUP(D2891,'لیست پرسنل'!$B$2:$F$1020,2,FALSE)</f>
        <v>4000512</v>
      </c>
      <c r="H2891" s="127" t="s">
        <v>5821</v>
      </c>
      <c r="I2891" s="127" t="s">
        <v>6717</v>
      </c>
      <c r="J2891" s="128" t="s">
        <v>2686</v>
      </c>
      <c r="K2891" s="128" t="s">
        <v>890</v>
      </c>
      <c r="L2891" s="151" t="s">
        <v>4903</v>
      </c>
      <c r="M2891" s="127">
        <v>633603</v>
      </c>
      <c r="N2891" s="109"/>
      <c r="O2891" s="19" t="s">
        <v>6265</v>
      </c>
      <c r="P2891" s="32"/>
      <c r="Q2891" s="32"/>
    </row>
    <row r="2892" spans="1:17" ht="24.9" customHeight="1">
      <c r="A2892" s="20">
        <v>456</v>
      </c>
      <c r="B2892" s="20" t="s">
        <v>5675</v>
      </c>
      <c r="C2892" s="20">
        <v>6</v>
      </c>
      <c r="D2892" s="19" t="s">
        <v>5643</v>
      </c>
      <c r="E2892" s="19" t="str">
        <f>VLOOKUP(D2892,'لیست پرسنل'!$B$2:$E$1020,3,FALSE)</f>
        <v>فکورصنعت</v>
      </c>
      <c r="F2892" s="19" t="str">
        <f>VLOOKUP(D2892,'لیست پرسنل'!$B$2:$E$1020,4,FALSE)</f>
        <v>مسئول دفتر</v>
      </c>
      <c r="G2892" s="127">
        <f>VLOOKUP(D2892,'لیست پرسنل'!$B$2:$F$1020,2,FALSE)</f>
        <v>7009</v>
      </c>
      <c r="H2892" s="127" t="s">
        <v>5821</v>
      </c>
      <c r="I2892" s="127" t="s">
        <v>6718</v>
      </c>
      <c r="J2892" s="127" t="s">
        <v>3383</v>
      </c>
      <c r="K2892" s="128" t="s">
        <v>7556</v>
      </c>
      <c r="L2892" s="127" t="s">
        <v>7557</v>
      </c>
      <c r="M2892" s="127">
        <v>636011</v>
      </c>
      <c r="N2892" s="109"/>
      <c r="O2892" s="19"/>
      <c r="P2892" s="32"/>
      <c r="Q2892" s="32"/>
    </row>
    <row r="2893" spans="1:17" ht="24.9" customHeight="1">
      <c r="A2893" s="20">
        <v>456</v>
      </c>
      <c r="B2893" s="20" t="s">
        <v>5675</v>
      </c>
      <c r="C2893" s="20">
        <v>6</v>
      </c>
      <c r="D2893" s="19" t="s">
        <v>5643</v>
      </c>
      <c r="E2893" s="19" t="str">
        <f>VLOOKUP(D2893,'لیست پرسنل'!$B$2:$E$1020,3,FALSE)</f>
        <v>فکورصنعت</v>
      </c>
      <c r="F2893" s="19" t="str">
        <f>VLOOKUP(D2893,'لیست پرسنل'!$B$2:$E$1020,4,FALSE)</f>
        <v>مسئول دفتر</v>
      </c>
      <c r="G2893" s="127">
        <f>VLOOKUP(D2893,'لیست پرسنل'!$B$2:$F$1020,2,FALSE)</f>
        <v>7009</v>
      </c>
      <c r="H2893" s="127" t="s">
        <v>5821</v>
      </c>
      <c r="I2893" s="127" t="s">
        <v>6718</v>
      </c>
      <c r="J2893" s="127" t="s">
        <v>737</v>
      </c>
      <c r="K2893" s="127" t="s">
        <v>5657</v>
      </c>
      <c r="L2893" s="127" t="s">
        <v>5658</v>
      </c>
      <c r="M2893" s="127">
        <v>632360</v>
      </c>
      <c r="N2893" s="109"/>
      <c r="O2893" s="20" t="s">
        <v>5904</v>
      </c>
      <c r="P2893" s="28"/>
      <c r="Q2893" s="28"/>
    </row>
    <row r="2894" spans="1:17" ht="24.9" customHeight="1">
      <c r="A2894" s="20">
        <v>456</v>
      </c>
      <c r="B2894" s="20" t="s">
        <v>5675</v>
      </c>
      <c r="C2894" s="20">
        <v>6</v>
      </c>
      <c r="D2894" s="19" t="s">
        <v>5643</v>
      </c>
      <c r="E2894" s="19" t="str">
        <f>VLOOKUP(D2894,'لیست پرسنل'!$B$2:$E$1020,3,FALSE)</f>
        <v>فکورصنعت</v>
      </c>
      <c r="F2894" s="19" t="str">
        <f>VLOOKUP(D2894,'لیست پرسنل'!$B$2:$E$1020,4,FALSE)</f>
        <v>مسئول دفتر</v>
      </c>
      <c r="G2894" s="127">
        <f>VLOOKUP(D2894,'لیست پرسنل'!$B$2:$F$1020,2,FALSE)</f>
        <v>7009</v>
      </c>
      <c r="H2894" s="127" t="s">
        <v>5821</v>
      </c>
      <c r="I2894" s="127" t="s">
        <v>6718</v>
      </c>
      <c r="J2894" s="128" t="s">
        <v>3409</v>
      </c>
      <c r="K2894" s="128" t="s">
        <v>2169</v>
      </c>
      <c r="L2894" s="127" t="s">
        <v>2168</v>
      </c>
      <c r="M2894" s="127">
        <v>633797</v>
      </c>
      <c r="N2894" s="109" t="s">
        <v>7332</v>
      </c>
      <c r="O2894" s="19" t="s">
        <v>6418</v>
      </c>
      <c r="P2894" s="32"/>
      <c r="Q2894" s="32"/>
    </row>
    <row r="2895" spans="1:17" ht="24.9" customHeight="1">
      <c r="A2895" s="20">
        <v>456</v>
      </c>
      <c r="B2895" s="20" t="s">
        <v>5675</v>
      </c>
      <c r="C2895" s="20">
        <v>6</v>
      </c>
      <c r="D2895" s="19" t="s">
        <v>5643</v>
      </c>
      <c r="E2895" s="19" t="str">
        <f>VLOOKUP(D2895,'لیست پرسنل'!$B$2:$E$1020,3,FALSE)</f>
        <v>فکورصنعت</v>
      </c>
      <c r="F2895" s="19" t="str">
        <f>VLOOKUP(D2895,'لیست پرسنل'!$B$2:$E$1020,4,FALSE)</f>
        <v>مسئول دفتر</v>
      </c>
      <c r="G2895" s="127">
        <f>VLOOKUP(D2895,'لیست پرسنل'!$B$2:$F$1020,2,FALSE)</f>
        <v>7009</v>
      </c>
      <c r="H2895" s="127" t="s">
        <v>5821</v>
      </c>
      <c r="I2895" s="127" t="s">
        <v>6718</v>
      </c>
      <c r="J2895" s="126" t="s">
        <v>368</v>
      </c>
      <c r="K2895" s="128" t="s">
        <v>2846</v>
      </c>
      <c r="L2895" s="150" t="s">
        <v>6111</v>
      </c>
      <c r="M2895" s="128">
        <v>632502</v>
      </c>
      <c r="N2895" s="109"/>
      <c r="O2895" s="20"/>
      <c r="P2895" s="20"/>
      <c r="Q2895" s="20"/>
    </row>
    <row r="2896" spans="1:17" ht="24.9" customHeight="1">
      <c r="A2896" s="20">
        <v>456</v>
      </c>
      <c r="B2896" s="20" t="s">
        <v>5675</v>
      </c>
      <c r="C2896" s="20">
        <v>6</v>
      </c>
      <c r="D2896" s="19" t="s">
        <v>5643</v>
      </c>
      <c r="E2896" s="19" t="str">
        <f>VLOOKUP(D2896,'لیست پرسنل'!$B$2:$E$1020,3,FALSE)</f>
        <v>فکورصنعت</v>
      </c>
      <c r="F2896" s="19" t="str">
        <f>VLOOKUP(D2896,'لیست پرسنل'!$B$2:$E$1020,4,FALSE)</f>
        <v>مسئول دفتر</v>
      </c>
      <c r="G2896" s="127">
        <f>VLOOKUP(D2896,'لیست پرسنل'!$B$2:$F$1020,2,FALSE)</f>
        <v>7009</v>
      </c>
      <c r="H2896" s="127" t="s">
        <v>5821</v>
      </c>
      <c r="I2896" s="127" t="s">
        <v>6718</v>
      </c>
      <c r="J2896" s="128" t="s">
        <v>571</v>
      </c>
      <c r="K2896" s="128" t="s">
        <v>4771</v>
      </c>
      <c r="L2896" s="128"/>
      <c r="M2896" s="127">
        <v>633673</v>
      </c>
      <c r="N2896" s="109"/>
      <c r="O2896" s="19" t="s">
        <v>6322</v>
      </c>
      <c r="P2896" s="32"/>
      <c r="Q2896" s="32"/>
    </row>
    <row r="2897" spans="1:17" ht="24.9" customHeight="1">
      <c r="A2897" s="20">
        <v>456</v>
      </c>
      <c r="B2897" s="20" t="s">
        <v>5675</v>
      </c>
      <c r="C2897" s="20">
        <v>6</v>
      </c>
      <c r="D2897" s="19" t="s">
        <v>5643</v>
      </c>
      <c r="E2897" s="19" t="str">
        <f>VLOOKUP(D2897,'لیست پرسنل'!$B$2:$E$1020,3,FALSE)</f>
        <v>فکورصنعت</v>
      </c>
      <c r="F2897" s="19" t="str">
        <f>VLOOKUP(D2897,'لیست پرسنل'!$B$2:$E$1020,4,FALSE)</f>
        <v>مسئول دفتر</v>
      </c>
      <c r="G2897" s="127">
        <f>VLOOKUP(D2897,'لیست پرسنل'!$B$2:$F$1020,2,FALSE)</f>
        <v>7009</v>
      </c>
      <c r="H2897" s="127" t="s">
        <v>5821</v>
      </c>
      <c r="I2897" s="211" t="s">
        <v>6718</v>
      </c>
      <c r="J2897" s="126" t="s">
        <v>2686</v>
      </c>
      <c r="K2897" s="128" t="s">
        <v>2143</v>
      </c>
      <c r="L2897" s="128" t="s">
        <v>4767</v>
      </c>
      <c r="M2897" s="127">
        <v>633616</v>
      </c>
      <c r="N2897" s="109"/>
      <c r="O2897" s="19" t="s">
        <v>6277</v>
      </c>
      <c r="P2897" s="32"/>
      <c r="Q2897" s="32"/>
    </row>
    <row r="2898" spans="1:17" ht="24.9" customHeight="1">
      <c r="A2898" s="20">
        <v>456</v>
      </c>
      <c r="B2898" s="20" t="s">
        <v>5675</v>
      </c>
      <c r="C2898" s="20">
        <v>7</v>
      </c>
      <c r="D2898" s="19" t="s">
        <v>2611</v>
      </c>
      <c r="E2898" s="19" t="str">
        <f>VLOOKUP(D2898,'لیست پرسنل'!$B$2:$E$1020,3,FALSE)</f>
        <v>فکورصنعت</v>
      </c>
      <c r="F2898" s="19" t="str">
        <f>VLOOKUP(D2898,'لیست پرسنل'!$B$2:$E$1020,4,FALSE)</f>
        <v>مالی</v>
      </c>
      <c r="G2898" s="127">
        <f>VLOOKUP(D2898,'لیست پرسنل'!$B$2:$F$1020,2,FALSE)</f>
        <v>7005</v>
      </c>
      <c r="H2898" s="127" t="s">
        <v>5821</v>
      </c>
      <c r="I2898" s="211" t="s">
        <v>6719</v>
      </c>
      <c r="J2898" s="127" t="s">
        <v>3383</v>
      </c>
      <c r="K2898" s="127" t="s">
        <v>5659</v>
      </c>
      <c r="L2898" s="151" t="s">
        <v>5670</v>
      </c>
      <c r="M2898" s="127">
        <v>632352</v>
      </c>
      <c r="N2898" s="109"/>
      <c r="O2898" s="20" t="s">
        <v>5903</v>
      </c>
      <c r="P2898" s="28"/>
      <c r="Q2898" s="28"/>
    </row>
    <row r="2899" spans="1:17" ht="24.9" customHeight="1">
      <c r="A2899" s="20">
        <v>456</v>
      </c>
      <c r="B2899" s="20" t="s">
        <v>5675</v>
      </c>
      <c r="C2899" s="20">
        <v>7</v>
      </c>
      <c r="D2899" s="19" t="s">
        <v>2611</v>
      </c>
      <c r="E2899" s="19" t="str">
        <f>VLOOKUP(D2899,'لیست پرسنل'!$B$2:$E$1020,3,FALSE)</f>
        <v>فکورصنعت</v>
      </c>
      <c r="F2899" s="19" t="str">
        <f>VLOOKUP(D2899,'لیست پرسنل'!$B$2:$E$1020,4,FALSE)</f>
        <v>مالی</v>
      </c>
      <c r="G2899" s="127">
        <f>VLOOKUP(D2899,'لیست پرسنل'!$B$2:$F$1020,2,FALSE)</f>
        <v>7005</v>
      </c>
      <c r="H2899" s="127" t="s">
        <v>5821</v>
      </c>
      <c r="I2899" s="127" t="s">
        <v>6719</v>
      </c>
      <c r="J2899" s="127" t="s">
        <v>737</v>
      </c>
      <c r="K2899" s="127" t="s">
        <v>5654</v>
      </c>
      <c r="L2899" s="127" t="s">
        <v>5669</v>
      </c>
      <c r="M2899" s="127">
        <v>632359</v>
      </c>
      <c r="N2899" s="109"/>
      <c r="O2899" s="20" t="s">
        <v>5900</v>
      </c>
      <c r="P2899" s="28"/>
      <c r="Q2899" s="28"/>
    </row>
    <row r="2900" spans="1:17" ht="24.9" customHeight="1">
      <c r="A2900" s="20">
        <v>456</v>
      </c>
      <c r="B2900" s="20" t="s">
        <v>5675</v>
      </c>
      <c r="C2900" s="20">
        <v>7</v>
      </c>
      <c r="D2900" s="19" t="s">
        <v>2611</v>
      </c>
      <c r="E2900" s="19" t="str">
        <f>VLOOKUP(D2900,'لیست پرسنل'!$B$2:$E$1020,3,FALSE)</f>
        <v>فکورصنعت</v>
      </c>
      <c r="F2900" s="19" t="str">
        <f>VLOOKUP(D2900,'لیست پرسنل'!$B$2:$E$1020,4,FALSE)</f>
        <v>مالی</v>
      </c>
      <c r="G2900" s="127">
        <f>VLOOKUP(D2900,'لیست پرسنل'!$B$2:$F$1020,2,FALSE)</f>
        <v>7005</v>
      </c>
      <c r="H2900" s="127" t="s">
        <v>5821</v>
      </c>
      <c r="I2900" s="127" t="s">
        <v>6719</v>
      </c>
      <c r="J2900" s="127" t="s">
        <v>368</v>
      </c>
      <c r="K2900" s="127" t="s">
        <v>5664</v>
      </c>
      <c r="L2900" s="127" t="s">
        <v>5668</v>
      </c>
      <c r="M2900" s="127">
        <v>621760</v>
      </c>
      <c r="N2900" s="109"/>
      <c r="O2900" s="20"/>
      <c r="P2900" s="28"/>
      <c r="Q2900" s="28"/>
    </row>
    <row r="2901" spans="1:17" ht="24.9" customHeight="1">
      <c r="A2901" s="20">
        <v>456</v>
      </c>
      <c r="B2901" s="20" t="s">
        <v>5675</v>
      </c>
      <c r="C2901" s="20">
        <v>7</v>
      </c>
      <c r="D2901" s="19" t="s">
        <v>2611</v>
      </c>
      <c r="E2901" s="19" t="str">
        <f>VLOOKUP(D2901,'لیست پرسنل'!$B$2:$E$1020,3,FALSE)</f>
        <v>فکورصنعت</v>
      </c>
      <c r="F2901" s="19" t="str">
        <f>VLOOKUP(D2901,'لیست پرسنل'!$B$2:$E$1020,4,FALSE)</f>
        <v>مالی</v>
      </c>
      <c r="G2901" s="127">
        <f>VLOOKUP(D2901,'لیست پرسنل'!$B$2:$F$1020,2,FALSE)</f>
        <v>7005</v>
      </c>
      <c r="H2901" s="127" t="s">
        <v>5821</v>
      </c>
      <c r="I2901" s="127" t="s">
        <v>6719</v>
      </c>
      <c r="J2901" s="128" t="s">
        <v>571</v>
      </c>
      <c r="K2901" s="128" t="s">
        <v>2219</v>
      </c>
      <c r="L2901" s="128"/>
      <c r="M2901" s="127">
        <v>633663</v>
      </c>
      <c r="N2901" s="109"/>
      <c r="O2901" s="19" t="s">
        <v>6330</v>
      </c>
      <c r="P2901" s="32"/>
      <c r="Q2901" s="32"/>
    </row>
    <row r="2902" spans="1:17" ht="24.9" customHeight="1">
      <c r="A2902" s="20">
        <v>456</v>
      </c>
      <c r="B2902" s="20" t="s">
        <v>5675</v>
      </c>
      <c r="C2902" s="20">
        <v>7</v>
      </c>
      <c r="D2902" s="19" t="s">
        <v>2611</v>
      </c>
      <c r="E2902" s="19" t="str">
        <f>VLOOKUP(D2902,'لیست پرسنل'!$B$2:$E$1020,3,FALSE)</f>
        <v>فکورصنعت</v>
      </c>
      <c r="F2902" s="19" t="str">
        <f>VLOOKUP(D2902,'لیست پرسنل'!$B$2:$E$1020,4,FALSE)</f>
        <v>مالی</v>
      </c>
      <c r="G2902" s="127">
        <f>VLOOKUP(D2902,'لیست پرسنل'!$B$2:$F$1020,2,FALSE)</f>
        <v>7005</v>
      </c>
      <c r="H2902" s="127" t="s">
        <v>5821</v>
      </c>
      <c r="I2902" s="127" t="s">
        <v>6719</v>
      </c>
      <c r="J2902" s="128" t="s">
        <v>2686</v>
      </c>
      <c r="K2902" s="128" t="s">
        <v>371</v>
      </c>
      <c r="L2902" s="127" t="s">
        <v>4846</v>
      </c>
      <c r="M2902" s="127">
        <v>633605</v>
      </c>
      <c r="N2902" s="109"/>
      <c r="O2902" s="19" t="s">
        <v>6267</v>
      </c>
      <c r="P2902" s="32"/>
      <c r="Q2902" s="32"/>
    </row>
    <row r="2903" spans="1:17" ht="24.9" customHeight="1">
      <c r="A2903" s="20">
        <v>456</v>
      </c>
      <c r="B2903" s="20" t="s">
        <v>5675</v>
      </c>
      <c r="C2903" s="19">
        <v>8</v>
      </c>
      <c r="D2903" s="20" t="s">
        <v>3741</v>
      </c>
      <c r="E2903" s="19" t="str">
        <f>VLOOKUP(D2903,'لیست پرسنل'!$B$2:$E$1020,3,FALSE)</f>
        <v>فکورصنعت</v>
      </c>
      <c r="F2903" s="19" t="str">
        <f>VLOOKUP(D2903,'لیست پرسنل'!$B$2:$E$1020,4,FALSE)</f>
        <v>انبار</v>
      </c>
      <c r="G2903" s="127">
        <f>VLOOKUP(D2903,'لیست پرسنل'!$B$2:$F$1020,2,FALSE)</f>
        <v>7007</v>
      </c>
      <c r="H2903" s="127" t="s">
        <v>5821</v>
      </c>
      <c r="I2903" s="126" t="s">
        <v>6720</v>
      </c>
      <c r="J2903" s="126" t="s">
        <v>368</v>
      </c>
      <c r="K2903" s="128" t="s">
        <v>2846</v>
      </c>
      <c r="L2903" s="128" t="s">
        <v>1741</v>
      </c>
      <c r="M2903" s="128">
        <v>625909</v>
      </c>
      <c r="N2903" s="109"/>
      <c r="O2903" s="20"/>
      <c r="P2903" s="20"/>
      <c r="Q2903" s="20"/>
    </row>
    <row r="2904" spans="1:17" ht="24.9" customHeight="1">
      <c r="A2904" s="20">
        <v>456</v>
      </c>
      <c r="B2904" s="20" t="s">
        <v>5675</v>
      </c>
      <c r="C2904" s="19">
        <v>8</v>
      </c>
      <c r="D2904" s="20" t="s">
        <v>3741</v>
      </c>
      <c r="E2904" s="19" t="str">
        <f>VLOOKUP(D2904,'لیست پرسنل'!$B$2:$E$1020,3,FALSE)</f>
        <v>فکورصنعت</v>
      </c>
      <c r="F2904" s="19" t="str">
        <f>VLOOKUP(D2904,'لیست پرسنل'!$B$2:$E$1020,4,FALSE)</f>
        <v>انبار</v>
      </c>
      <c r="G2904" s="127">
        <f>VLOOKUP(D2904,'لیست پرسنل'!$B$2:$F$1020,2,FALSE)</f>
        <v>7007</v>
      </c>
      <c r="H2904" s="127" t="s">
        <v>5821</v>
      </c>
      <c r="I2904" s="126" t="s">
        <v>6720</v>
      </c>
      <c r="J2904" s="128" t="s">
        <v>571</v>
      </c>
      <c r="K2904" s="127"/>
      <c r="L2904" s="151"/>
      <c r="M2904" s="127">
        <v>607858</v>
      </c>
      <c r="N2904" s="109"/>
      <c r="O2904" s="20"/>
      <c r="P2904" s="20"/>
      <c r="Q2904" s="20"/>
    </row>
    <row r="2905" spans="1:17" ht="24.9" customHeight="1">
      <c r="A2905" s="20">
        <v>456</v>
      </c>
      <c r="B2905" s="20" t="s">
        <v>5675</v>
      </c>
      <c r="C2905" s="20">
        <v>8</v>
      </c>
      <c r="D2905" s="19" t="s">
        <v>3741</v>
      </c>
      <c r="E2905" s="19" t="str">
        <f>VLOOKUP(D2905,'لیست پرسنل'!$B$2:$E$1020,3,FALSE)</f>
        <v>فکورصنعت</v>
      </c>
      <c r="F2905" s="19" t="str">
        <f>VLOOKUP(D2905,'لیست پرسنل'!$B$2:$E$1020,4,FALSE)</f>
        <v>انبار</v>
      </c>
      <c r="G2905" s="127">
        <f>VLOOKUP(D2905,'لیست پرسنل'!$B$2:$F$1020,2,FALSE)</f>
        <v>7007</v>
      </c>
      <c r="H2905" s="127" t="s">
        <v>5821</v>
      </c>
      <c r="I2905" s="128" t="s">
        <v>6720</v>
      </c>
      <c r="J2905" s="128" t="s">
        <v>2686</v>
      </c>
      <c r="K2905" s="128" t="s">
        <v>2143</v>
      </c>
      <c r="L2905" s="128" t="s">
        <v>4769</v>
      </c>
      <c r="M2905" s="127">
        <v>633620</v>
      </c>
      <c r="N2905" s="109"/>
      <c r="O2905" s="19" t="s">
        <v>6281</v>
      </c>
      <c r="P2905" s="32"/>
      <c r="Q2905" s="32"/>
    </row>
    <row r="2906" spans="1:17" ht="24.9" customHeight="1">
      <c r="A2906" s="20">
        <v>456</v>
      </c>
      <c r="B2906" s="20" t="s">
        <v>5675</v>
      </c>
      <c r="C2906" s="20">
        <v>9</v>
      </c>
      <c r="D2906" s="19" t="s">
        <v>5975</v>
      </c>
      <c r="E2906" s="19" t="str">
        <f>VLOOKUP(D2906,'لیست پرسنل'!$B$2:$E$1020,3,FALSE)</f>
        <v>فکورصنعت</v>
      </c>
      <c r="F2906" s="19" t="str">
        <f>VLOOKUP(D2906,'لیست پرسنل'!$B$2:$E$1020,4,FALSE)</f>
        <v>حراست</v>
      </c>
      <c r="G2906" s="127">
        <f>VLOOKUP(D2906,'لیست پرسنل'!$B$2:$F$1020,2,FALSE)</f>
        <v>4021106</v>
      </c>
      <c r="H2906" s="127" t="s">
        <v>5821</v>
      </c>
      <c r="I2906" s="128" t="s">
        <v>6721</v>
      </c>
      <c r="J2906" s="126" t="s">
        <v>737</v>
      </c>
      <c r="K2906" s="128" t="s">
        <v>4153</v>
      </c>
      <c r="L2906" s="150" t="s">
        <v>5751</v>
      </c>
      <c r="M2906" s="128">
        <v>632356</v>
      </c>
      <c r="N2906" s="108"/>
      <c r="O2906" s="20" t="s">
        <v>5879</v>
      </c>
      <c r="P2906" s="20"/>
      <c r="Q2906" s="20"/>
    </row>
    <row r="2907" spans="1:17" ht="24.9" customHeight="1">
      <c r="A2907" s="20">
        <v>456</v>
      </c>
      <c r="B2907" s="20" t="s">
        <v>5675</v>
      </c>
      <c r="C2907" s="20">
        <v>9</v>
      </c>
      <c r="D2907" s="19" t="s">
        <v>5975</v>
      </c>
      <c r="E2907" s="19" t="str">
        <f>VLOOKUP(D2907,'لیست پرسنل'!$B$2:$E$1020,3,FALSE)</f>
        <v>فکورصنعت</v>
      </c>
      <c r="F2907" s="19" t="str">
        <f>VLOOKUP(D2907,'لیست پرسنل'!$B$2:$E$1020,4,FALSE)</f>
        <v>حراست</v>
      </c>
      <c r="G2907" s="127">
        <f>VLOOKUP(D2907,'لیست پرسنل'!$B$2:$F$1020,2,FALSE)</f>
        <v>4021106</v>
      </c>
      <c r="H2907" s="127" t="s">
        <v>5821</v>
      </c>
      <c r="I2907" s="128" t="s">
        <v>6721</v>
      </c>
      <c r="J2907" s="126" t="s">
        <v>368</v>
      </c>
      <c r="K2907" s="128" t="s">
        <v>2846</v>
      </c>
      <c r="L2907" s="155"/>
      <c r="M2907" s="128">
        <v>632501</v>
      </c>
      <c r="N2907" s="111"/>
      <c r="O2907" s="20"/>
      <c r="P2907" s="20"/>
      <c r="Q2907" s="20"/>
    </row>
    <row r="2908" spans="1:17" ht="24.9" customHeight="1">
      <c r="A2908" s="20">
        <v>456</v>
      </c>
      <c r="B2908" s="20" t="s">
        <v>5675</v>
      </c>
      <c r="C2908" s="20">
        <v>9</v>
      </c>
      <c r="D2908" s="19" t="s">
        <v>5975</v>
      </c>
      <c r="E2908" s="19" t="str">
        <f>VLOOKUP(D2908,'لیست پرسنل'!$B$2:$E$1020,3,FALSE)</f>
        <v>فکورصنعت</v>
      </c>
      <c r="F2908" s="19" t="str">
        <f>VLOOKUP(D2908,'لیست پرسنل'!$B$2:$E$1020,4,FALSE)</f>
        <v>حراست</v>
      </c>
      <c r="G2908" s="127">
        <f>VLOOKUP(D2908,'لیست پرسنل'!$B$2:$F$1020,2,FALSE)</f>
        <v>4021106</v>
      </c>
      <c r="H2908" s="127" t="s">
        <v>5821</v>
      </c>
      <c r="I2908" s="128" t="s">
        <v>6721</v>
      </c>
      <c r="J2908" s="126" t="s">
        <v>571</v>
      </c>
      <c r="K2908" s="128" t="s">
        <v>5619</v>
      </c>
      <c r="L2908" s="150"/>
      <c r="M2908" s="128">
        <v>632379</v>
      </c>
      <c r="N2908" s="108"/>
      <c r="O2908" s="20" t="s">
        <v>5891</v>
      </c>
      <c r="P2908" s="20"/>
      <c r="Q2908" s="20"/>
    </row>
    <row r="2909" spans="1:17" ht="24.9" customHeight="1">
      <c r="A2909" s="20">
        <v>456</v>
      </c>
      <c r="B2909" s="20" t="s">
        <v>5675</v>
      </c>
      <c r="C2909" s="20">
        <v>9</v>
      </c>
      <c r="D2909" s="19" t="s">
        <v>5975</v>
      </c>
      <c r="E2909" s="19" t="str">
        <f>VLOOKUP(D2909,'لیست پرسنل'!$B$2:$E$1020,3,FALSE)</f>
        <v>فکورصنعت</v>
      </c>
      <c r="F2909" s="19" t="str">
        <f>VLOOKUP(D2909,'لیست پرسنل'!$B$2:$E$1020,4,FALSE)</f>
        <v>حراست</v>
      </c>
      <c r="G2909" s="127">
        <f>VLOOKUP(D2909,'لیست پرسنل'!$B$2:$F$1020,2,FALSE)</f>
        <v>4021106</v>
      </c>
      <c r="H2909" s="127" t="s">
        <v>5821</v>
      </c>
      <c r="I2909" s="128" t="s">
        <v>6721</v>
      </c>
      <c r="J2909" s="126" t="s">
        <v>2686</v>
      </c>
      <c r="K2909" s="128" t="s">
        <v>564</v>
      </c>
      <c r="L2909" s="150" t="s">
        <v>5738</v>
      </c>
      <c r="M2909" s="128">
        <v>607873</v>
      </c>
      <c r="N2909" s="108"/>
      <c r="O2909" s="20"/>
      <c r="P2909" s="20"/>
      <c r="Q2909" s="20"/>
    </row>
    <row r="2910" spans="1:17" ht="24.9" customHeight="1">
      <c r="A2910" s="20">
        <v>456</v>
      </c>
      <c r="B2910" s="20" t="s">
        <v>5675</v>
      </c>
      <c r="C2910" s="20">
        <v>10</v>
      </c>
      <c r="D2910" s="19" t="s">
        <v>3737</v>
      </c>
      <c r="E2910" s="19" t="str">
        <f>VLOOKUP(D2910,'لیست پرسنل'!$B$2:$E$1020,3,FALSE)</f>
        <v>فکورصنعت</v>
      </c>
      <c r="F2910" s="19" t="str">
        <f>VLOOKUP(D2910,'لیست پرسنل'!$B$2:$E$1020,4,FALSE)</f>
        <v>انبار</v>
      </c>
      <c r="G2910" s="127" t="str">
        <f>VLOOKUP(D2910,'لیست پرسنل'!$B$2:$F$1020,2,FALSE)</f>
        <v>4021110</v>
      </c>
      <c r="H2910" s="127" t="s">
        <v>5821</v>
      </c>
      <c r="I2910" s="126" t="s">
        <v>6722</v>
      </c>
      <c r="J2910" s="127" t="s">
        <v>3383</v>
      </c>
      <c r="K2910" s="128" t="s">
        <v>5859</v>
      </c>
      <c r="L2910" s="128" t="s">
        <v>6126</v>
      </c>
      <c r="M2910" s="128">
        <v>632436</v>
      </c>
      <c r="N2910" s="109"/>
      <c r="O2910" s="20"/>
      <c r="P2910" s="28"/>
      <c r="Q2910" s="28"/>
    </row>
    <row r="2911" spans="1:17" ht="24.9" customHeight="1">
      <c r="A2911" s="20">
        <v>456</v>
      </c>
      <c r="B2911" s="20" t="s">
        <v>5675</v>
      </c>
      <c r="C2911" s="20">
        <v>10</v>
      </c>
      <c r="D2911" s="19" t="s">
        <v>3737</v>
      </c>
      <c r="E2911" s="19" t="str">
        <f>VLOOKUP(D2911,'لیست پرسنل'!$B$2:$E$1020,3,FALSE)</f>
        <v>فکورصنعت</v>
      </c>
      <c r="F2911" s="19" t="str">
        <f>VLOOKUP(D2911,'لیست پرسنل'!$B$2:$E$1020,4,FALSE)</f>
        <v>انبار</v>
      </c>
      <c r="G2911" s="127" t="str">
        <f>VLOOKUP(D2911,'لیست پرسنل'!$B$2:$F$1020,2,FALSE)</f>
        <v>4021110</v>
      </c>
      <c r="H2911" s="127" t="s">
        <v>5821</v>
      </c>
      <c r="I2911" s="126" t="s">
        <v>6722</v>
      </c>
      <c r="J2911" s="126" t="s">
        <v>737</v>
      </c>
      <c r="K2911" s="128" t="s">
        <v>6092</v>
      </c>
      <c r="L2911" s="128" t="s">
        <v>6081</v>
      </c>
      <c r="M2911" s="128">
        <v>632832</v>
      </c>
      <c r="N2911" s="111"/>
      <c r="O2911" s="20"/>
      <c r="P2911" s="20"/>
      <c r="Q2911" s="20"/>
    </row>
    <row r="2912" spans="1:17" ht="24.9" customHeight="1">
      <c r="A2912" s="20">
        <v>456</v>
      </c>
      <c r="B2912" s="20" t="s">
        <v>5675</v>
      </c>
      <c r="C2912" s="20">
        <v>10</v>
      </c>
      <c r="D2912" s="19" t="s">
        <v>3737</v>
      </c>
      <c r="E2912" s="19" t="str">
        <f>VLOOKUP(D2912,'لیست پرسنل'!$B$2:$E$1020,3,FALSE)</f>
        <v>فکورصنعت</v>
      </c>
      <c r="F2912" s="19" t="str">
        <f>VLOOKUP(D2912,'لیست پرسنل'!$B$2:$E$1020,4,FALSE)</f>
        <v>انبار</v>
      </c>
      <c r="G2912" s="127" t="str">
        <f>VLOOKUP(D2912,'لیست پرسنل'!$B$2:$F$1020,2,FALSE)</f>
        <v>4021110</v>
      </c>
      <c r="H2912" s="127" t="s">
        <v>5821</v>
      </c>
      <c r="I2912" s="126" t="s">
        <v>6722</v>
      </c>
      <c r="J2912" s="126" t="s">
        <v>368</v>
      </c>
      <c r="K2912" s="128" t="s">
        <v>2846</v>
      </c>
      <c r="L2912" s="128" t="s">
        <v>6125</v>
      </c>
      <c r="M2912" s="128">
        <v>632499</v>
      </c>
      <c r="N2912" s="111"/>
      <c r="O2912" s="20"/>
      <c r="P2912" s="20"/>
      <c r="Q2912" s="20"/>
    </row>
    <row r="2913" spans="1:17" ht="24.9" customHeight="1">
      <c r="A2913" s="20">
        <v>456</v>
      </c>
      <c r="B2913" s="20" t="s">
        <v>5675</v>
      </c>
      <c r="C2913" s="20">
        <v>10</v>
      </c>
      <c r="D2913" s="19" t="s">
        <v>3737</v>
      </c>
      <c r="E2913" s="19" t="str">
        <f>VLOOKUP(D2913,'لیست پرسنل'!$B$2:$E$1020,3,FALSE)</f>
        <v>فکورصنعت</v>
      </c>
      <c r="F2913" s="19" t="str">
        <f>VLOOKUP(D2913,'لیست پرسنل'!$B$2:$E$1020,4,FALSE)</f>
        <v>انبار</v>
      </c>
      <c r="G2913" s="127" t="str">
        <f>VLOOKUP(D2913,'لیست پرسنل'!$B$2:$F$1020,2,FALSE)</f>
        <v>4021110</v>
      </c>
      <c r="H2913" s="127" t="s">
        <v>5821</v>
      </c>
      <c r="I2913" s="126" t="s">
        <v>6722</v>
      </c>
      <c r="J2913" s="128" t="s">
        <v>571</v>
      </c>
      <c r="K2913" s="128" t="s">
        <v>2219</v>
      </c>
      <c r="L2913" s="127"/>
      <c r="M2913" s="127">
        <v>633679</v>
      </c>
      <c r="N2913" s="109"/>
      <c r="O2913" s="19" t="s">
        <v>6338</v>
      </c>
      <c r="P2913" s="32"/>
      <c r="Q2913" s="32"/>
    </row>
    <row r="2914" spans="1:17" ht="24.9" customHeight="1">
      <c r="A2914" s="20">
        <v>456</v>
      </c>
      <c r="B2914" s="20" t="s">
        <v>5675</v>
      </c>
      <c r="C2914" s="20">
        <v>10</v>
      </c>
      <c r="D2914" s="19" t="s">
        <v>3737</v>
      </c>
      <c r="E2914" s="19" t="str">
        <f>VLOOKUP(D2914,'لیست پرسنل'!$B$2:$E$1020,3,FALSE)</f>
        <v>فکورصنعت</v>
      </c>
      <c r="F2914" s="19" t="str">
        <f>VLOOKUP(D2914,'لیست پرسنل'!$B$2:$E$1020,4,FALSE)</f>
        <v>انبار</v>
      </c>
      <c r="G2914" s="127" t="str">
        <f>VLOOKUP(D2914,'لیست پرسنل'!$B$2:$F$1020,2,FALSE)</f>
        <v>4021110</v>
      </c>
      <c r="H2914" s="127" t="s">
        <v>5821</v>
      </c>
      <c r="I2914" s="126" t="s">
        <v>6722</v>
      </c>
      <c r="J2914" s="128" t="s">
        <v>2686</v>
      </c>
      <c r="K2914" s="128" t="s">
        <v>890</v>
      </c>
      <c r="L2914" s="151" t="s">
        <v>3686</v>
      </c>
      <c r="M2914" s="127">
        <v>633636</v>
      </c>
      <c r="N2914" s="109"/>
      <c r="O2914" s="19" t="s">
        <v>6297</v>
      </c>
      <c r="P2914" s="32"/>
      <c r="Q2914" s="32"/>
    </row>
    <row r="2915" spans="1:17" ht="24.9" customHeight="1">
      <c r="A2915" s="20">
        <v>456</v>
      </c>
      <c r="B2915" s="20" t="s">
        <v>5675</v>
      </c>
      <c r="C2915" s="20">
        <v>11</v>
      </c>
      <c r="D2915" s="19" t="s">
        <v>48</v>
      </c>
      <c r="E2915" s="19" t="str">
        <f>VLOOKUP(D2915,'لیست پرسنل'!$B$2:$E$1020,3,FALSE)</f>
        <v>فکورصنعت</v>
      </c>
      <c r="F2915" s="19" t="str">
        <f>VLOOKUP(D2915,'لیست پرسنل'!$B$2:$E$1020,4,FALSE)</f>
        <v>سرپرست آی تی</v>
      </c>
      <c r="G2915" s="127">
        <f>VLOOKUP(D2915,'لیست پرسنل'!$B$2:$F$1020,2,FALSE)</f>
        <v>2210</v>
      </c>
      <c r="H2915" s="127" t="s">
        <v>5821</v>
      </c>
      <c r="I2915" s="126" t="s">
        <v>7320</v>
      </c>
      <c r="J2915" s="126" t="s">
        <v>368</v>
      </c>
      <c r="K2915" s="128" t="s">
        <v>2846</v>
      </c>
      <c r="L2915" s="127" t="s">
        <v>3370</v>
      </c>
      <c r="M2915" s="127">
        <v>633744</v>
      </c>
      <c r="N2915" s="109"/>
      <c r="O2915" s="19" t="s">
        <v>6399</v>
      </c>
      <c r="P2915" s="32"/>
      <c r="Q2915" s="32"/>
    </row>
    <row r="2916" spans="1:17" ht="24.9" customHeight="1">
      <c r="A2916" s="20">
        <v>456</v>
      </c>
      <c r="B2916" s="20" t="s">
        <v>5675</v>
      </c>
      <c r="C2916" s="20">
        <v>11</v>
      </c>
      <c r="D2916" s="19" t="s">
        <v>48</v>
      </c>
      <c r="E2916" s="19" t="str">
        <f>VLOOKUP(D2916,'لیست پرسنل'!$B$2:$E$1020,3,FALSE)</f>
        <v>فکورصنعت</v>
      </c>
      <c r="F2916" s="19" t="str">
        <f>VLOOKUP(D2916,'لیست پرسنل'!$B$2:$E$1020,4,FALSE)</f>
        <v>سرپرست آی تی</v>
      </c>
      <c r="G2916" s="127">
        <f>VLOOKUP(D2916,'لیست پرسنل'!$B$2:$F$1020,2,FALSE)</f>
        <v>2210</v>
      </c>
      <c r="H2916" s="127" t="s">
        <v>5821</v>
      </c>
      <c r="I2916" s="126" t="s">
        <v>7320</v>
      </c>
      <c r="J2916" s="127" t="s">
        <v>571</v>
      </c>
      <c r="K2916" s="127" t="s">
        <v>5645</v>
      </c>
      <c r="L2916" s="127"/>
      <c r="M2916" s="127">
        <v>623924</v>
      </c>
      <c r="N2916" s="109"/>
      <c r="O2916" s="20"/>
      <c r="P2916" s="28"/>
      <c r="Q2916" s="28"/>
    </row>
    <row r="2917" spans="1:17" ht="24.9" customHeight="1">
      <c r="A2917" s="20">
        <v>456</v>
      </c>
      <c r="B2917" s="20" t="s">
        <v>5675</v>
      </c>
      <c r="C2917" s="20">
        <v>11</v>
      </c>
      <c r="D2917" s="19" t="s">
        <v>48</v>
      </c>
      <c r="E2917" s="19" t="str">
        <f>VLOOKUP(D2917,'لیست پرسنل'!$B$2:$E$1020,3,FALSE)</f>
        <v>فکورصنعت</v>
      </c>
      <c r="F2917" s="19" t="str">
        <f>VLOOKUP(D2917,'لیست پرسنل'!$B$2:$E$1020,4,FALSE)</f>
        <v>سرپرست آی تی</v>
      </c>
      <c r="G2917" s="127">
        <f>VLOOKUP(D2917,'لیست پرسنل'!$B$2:$F$1020,2,FALSE)</f>
        <v>2210</v>
      </c>
      <c r="H2917" s="127" t="s">
        <v>5821</v>
      </c>
      <c r="I2917" s="126" t="s">
        <v>7320</v>
      </c>
      <c r="J2917" s="126" t="s">
        <v>2686</v>
      </c>
      <c r="K2917" s="128" t="s">
        <v>621</v>
      </c>
      <c r="L2917" s="150" t="s">
        <v>5739</v>
      </c>
      <c r="M2917" s="128">
        <v>632382</v>
      </c>
      <c r="N2917" s="119"/>
      <c r="O2917" s="20" t="s">
        <v>5886</v>
      </c>
      <c r="P2917" s="20"/>
      <c r="Q2917" s="20"/>
    </row>
    <row r="2918" spans="1:17" ht="24.9" customHeight="1">
      <c r="A2918" s="20">
        <v>456</v>
      </c>
      <c r="B2918" s="20" t="s">
        <v>5675</v>
      </c>
      <c r="C2918" s="20">
        <v>12</v>
      </c>
      <c r="D2918" s="19" t="s">
        <v>6238</v>
      </c>
      <c r="E2918" s="19" t="str">
        <f>VLOOKUP(D2918,'لیست پرسنل'!$B$2:$E$1020,3,FALSE)</f>
        <v>گهر کوشان سپهر</v>
      </c>
      <c r="F2918" s="19" t="str">
        <f>VLOOKUP(D2918,'لیست پرسنل'!$B$2:$E$1020,4,FALSE)</f>
        <v>اجرا-برق</v>
      </c>
      <c r="G2918" s="127">
        <f>VLOOKUP(D2918,'لیست پرسنل'!$B$2:$F$1020,2,FALSE)</f>
        <v>20790</v>
      </c>
      <c r="H2918" s="127" t="s">
        <v>5821</v>
      </c>
      <c r="I2918" s="128" t="s">
        <v>6723</v>
      </c>
      <c r="J2918" s="126" t="s">
        <v>368</v>
      </c>
      <c r="K2918" s="128" t="s">
        <v>2846</v>
      </c>
      <c r="L2918" s="150" t="s">
        <v>6110</v>
      </c>
      <c r="M2918" s="128">
        <v>632500</v>
      </c>
      <c r="N2918" s="111"/>
      <c r="O2918" s="20"/>
      <c r="P2918" s="20"/>
      <c r="Q2918" s="20"/>
    </row>
    <row r="2919" spans="1:17" ht="24.9" customHeight="1">
      <c r="A2919" s="20">
        <v>456</v>
      </c>
      <c r="B2919" s="20" t="s">
        <v>5675</v>
      </c>
      <c r="C2919" s="20">
        <v>12</v>
      </c>
      <c r="D2919" s="19" t="s">
        <v>6238</v>
      </c>
      <c r="E2919" s="19" t="str">
        <f>VLOOKUP(D2919,'لیست پرسنل'!$B$2:$E$1020,3,FALSE)</f>
        <v>گهر کوشان سپهر</v>
      </c>
      <c r="F2919" s="19" t="str">
        <f>VLOOKUP(D2919,'لیست پرسنل'!$B$2:$E$1020,4,FALSE)</f>
        <v>اجرا-برق</v>
      </c>
      <c r="G2919" s="127">
        <f>VLOOKUP(D2919,'لیست پرسنل'!$B$2:$F$1020,2,FALSE)</f>
        <v>20790</v>
      </c>
      <c r="H2919" s="127" t="s">
        <v>5821</v>
      </c>
      <c r="I2919" s="128" t="s">
        <v>6723</v>
      </c>
      <c r="J2919" s="127" t="s">
        <v>571</v>
      </c>
      <c r="K2919" s="127" t="s">
        <v>5645</v>
      </c>
      <c r="L2919" s="127"/>
      <c r="M2919" s="127">
        <v>628551</v>
      </c>
      <c r="N2919" s="109"/>
      <c r="O2919" s="20"/>
      <c r="P2919" s="28"/>
      <c r="Q2919" s="28"/>
    </row>
    <row r="2920" spans="1:17" ht="24.9" customHeight="1">
      <c r="A2920" s="20">
        <v>456</v>
      </c>
      <c r="B2920" s="20" t="s">
        <v>5675</v>
      </c>
      <c r="C2920" s="20">
        <v>12</v>
      </c>
      <c r="D2920" s="19" t="s">
        <v>6238</v>
      </c>
      <c r="E2920" s="19" t="str">
        <f>VLOOKUP(D2920,'لیست پرسنل'!$B$2:$E$1020,3,FALSE)</f>
        <v>گهر کوشان سپهر</v>
      </c>
      <c r="F2920" s="19" t="str">
        <f>VLOOKUP(D2920,'لیست پرسنل'!$B$2:$E$1020,4,FALSE)</f>
        <v>اجرا-برق</v>
      </c>
      <c r="G2920" s="127">
        <f>VLOOKUP(D2920,'لیست پرسنل'!$B$2:$F$1020,2,FALSE)</f>
        <v>20790</v>
      </c>
      <c r="H2920" s="127" t="s">
        <v>5821</v>
      </c>
      <c r="I2920" s="128" t="s">
        <v>6723</v>
      </c>
      <c r="J2920" s="128" t="s">
        <v>2686</v>
      </c>
      <c r="K2920" s="128" t="s">
        <v>371</v>
      </c>
      <c r="L2920" s="127" t="s">
        <v>2903</v>
      </c>
      <c r="M2920" s="127">
        <v>633630</v>
      </c>
      <c r="N2920" s="109"/>
      <c r="O2920" s="85" t="s">
        <v>6291</v>
      </c>
      <c r="P2920" s="32"/>
      <c r="Q2920" s="32"/>
    </row>
    <row r="2921" spans="1:17" ht="24.9" customHeight="1">
      <c r="A2921" s="20">
        <v>456</v>
      </c>
      <c r="B2921" s="20" t="s">
        <v>5675</v>
      </c>
      <c r="C2921" s="20">
        <v>13</v>
      </c>
      <c r="D2921" s="19" t="s">
        <v>6239</v>
      </c>
      <c r="E2921" s="19" t="str">
        <f>VLOOKUP(D2921,'لیست پرسنل'!$B$2:$E$1020,3,FALSE)</f>
        <v>گهر کوشان سپهر</v>
      </c>
      <c r="F2921" s="19" t="str">
        <f>VLOOKUP(D2921,'لیست پرسنل'!$B$2:$E$1020,4,FALSE)</f>
        <v>اجرا-مکانیک</v>
      </c>
      <c r="G2921" s="127">
        <f>VLOOKUP(D2921,'لیست پرسنل'!$B$2:$F$1020,2,FALSE)</f>
        <v>20789</v>
      </c>
      <c r="H2921" s="127" t="s">
        <v>5821</v>
      </c>
      <c r="I2921" s="128" t="s">
        <v>6724</v>
      </c>
      <c r="J2921" s="126" t="s">
        <v>368</v>
      </c>
      <c r="K2921" s="128" t="s">
        <v>2846</v>
      </c>
      <c r="L2921" s="127" t="s">
        <v>4664</v>
      </c>
      <c r="M2921" s="127">
        <v>633717</v>
      </c>
      <c r="N2921" s="109"/>
      <c r="O2921" s="19" t="s">
        <v>6365</v>
      </c>
      <c r="P2921" s="32"/>
      <c r="Q2921" s="32"/>
    </row>
    <row r="2922" spans="1:17" ht="24.9" customHeight="1">
      <c r="A2922" s="20">
        <v>456</v>
      </c>
      <c r="B2922" s="20" t="s">
        <v>5675</v>
      </c>
      <c r="C2922" s="20">
        <v>13</v>
      </c>
      <c r="D2922" s="19" t="s">
        <v>6239</v>
      </c>
      <c r="E2922" s="19" t="str">
        <f>VLOOKUP(D2922,'لیست پرسنل'!$B$2:$E$1020,3,FALSE)</f>
        <v>گهر کوشان سپهر</v>
      </c>
      <c r="F2922" s="19" t="str">
        <f>VLOOKUP(D2922,'لیست پرسنل'!$B$2:$E$1020,4,FALSE)</f>
        <v>اجرا-مکانیک</v>
      </c>
      <c r="G2922" s="127">
        <f>VLOOKUP(D2922,'لیست پرسنل'!$B$2:$F$1020,2,FALSE)</f>
        <v>20789</v>
      </c>
      <c r="H2922" s="127" t="s">
        <v>5821</v>
      </c>
      <c r="I2922" s="128" t="s">
        <v>6724</v>
      </c>
      <c r="J2922" s="128" t="s">
        <v>571</v>
      </c>
      <c r="K2922" s="128" t="s">
        <v>2219</v>
      </c>
      <c r="L2922" s="128"/>
      <c r="M2922" s="127">
        <v>633667</v>
      </c>
      <c r="N2922" s="109"/>
      <c r="O2922" s="19" t="s">
        <v>6332</v>
      </c>
      <c r="P2922" s="32"/>
      <c r="Q2922" s="32"/>
    </row>
    <row r="2923" spans="1:17" ht="24.9" customHeight="1">
      <c r="A2923" s="20">
        <v>456</v>
      </c>
      <c r="B2923" s="20" t="s">
        <v>5675</v>
      </c>
      <c r="C2923" s="20">
        <v>13</v>
      </c>
      <c r="D2923" s="19" t="s">
        <v>6239</v>
      </c>
      <c r="E2923" s="19" t="str">
        <f>VLOOKUP(D2923,'لیست پرسنل'!$B$2:$E$1020,3,FALSE)</f>
        <v>گهر کوشان سپهر</v>
      </c>
      <c r="F2923" s="19" t="str">
        <f>VLOOKUP(D2923,'لیست پرسنل'!$B$2:$E$1020,4,FALSE)</f>
        <v>اجرا-مکانیک</v>
      </c>
      <c r="G2923" s="127">
        <f>VLOOKUP(D2923,'لیست پرسنل'!$B$2:$F$1020,2,FALSE)</f>
        <v>20789</v>
      </c>
      <c r="H2923" s="127" t="s">
        <v>5821</v>
      </c>
      <c r="I2923" s="128" t="s">
        <v>6724</v>
      </c>
      <c r="J2923" s="128" t="s">
        <v>2686</v>
      </c>
      <c r="K2923" s="128" t="s">
        <v>371</v>
      </c>
      <c r="L2923" s="127" t="s">
        <v>1352</v>
      </c>
      <c r="M2923" s="127">
        <v>633632</v>
      </c>
      <c r="N2923" s="109"/>
      <c r="O2923" s="19" t="s">
        <v>6293</v>
      </c>
      <c r="P2923" s="32"/>
      <c r="Q2923" s="32"/>
    </row>
    <row r="2924" spans="1:17" ht="24.9" customHeight="1">
      <c r="A2924" s="20">
        <v>456</v>
      </c>
      <c r="B2924" s="20" t="s">
        <v>5675</v>
      </c>
      <c r="C2924" s="20">
        <v>14</v>
      </c>
      <c r="D2924" s="19" t="s">
        <v>5975</v>
      </c>
      <c r="E2924" s="19" t="str">
        <f>VLOOKUP(D2924,'لیست پرسنل'!$B$2:$E$1020,3,FALSE)</f>
        <v>فکورصنعت</v>
      </c>
      <c r="F2924" s="19" t="str">
        <f>VLOOKUP(D2924,'لیست پرسنل'!$B$2:$E$1020,4,FALSE)</f>
        <v>حراست</v>
      </c>
      <c r="G2924" s="127">
        <f>VLOOKUP(D2924,'لیست پرسنل'!$B$2:$F$1020,2,FALSE)</f>
        <v>4021106</v>
      </c>
      <c r="H2924" s="127" t="s">
        <v>5821</v>
      </c>
      <c r="I2924" s="128" t="s">
        <v>6725</v>
      </c>
      <c r="J2924" s="127" t="s">
        <v>368</v>
      </c>
      <c r="K2924" s="127" t="s">
        <v>2846</v>
      </c>
      <c r="L2924" s="127" t="s">
        <v>5656</v>
      </c>
      <c r="M2924" s="127">
        <v>632012</v>
      </c>
      <c r="N2924" s="109"/>
      <c r="O2924" s="20"/>
      <c r="P2924" s="28"/>
      <c r="Q2924" s="28"/>
    </row>
    <row r="2925" spans="1:17" ht="24.9" customHeight="1">
      <c r="A2925" s="20">
        <v>456</v>
      </c>
      <c r="B2925" s="20" t="s">
        <v>5675</v>
      </c>
      <c r="C2925" s="20">
        <v>14</v>
      </c>
      <c r="D2925" s="19" t="s">
        <v>5975</v>
      </c>
      <c r="E2925" s="19" t="str">
        <f>VLOOKUP(D2925,'لیست پرسنل'!$B$2:$E$1020,3,FALSE)</f>
        <v>فکورصنعت</v>
      </c>
      <c r="F2925" s="19" t="str">
        <f>VLOOKUP(D2925,'لیست پرسنل'!$B$2:$E$1020,4,FALSE)</f>
        <v>حراست</v>
      </c>
      <c r="G2925" s="127">
        <f>VLOOKUP(D2925,'لیست پرسنل'!$B$2:$F$1020,2,FALSE)</f>
        <v>4021106</v>
      </c>
      <c r="H2925" s="127" t="s">
        <v>5821</v>
      </c>
      <c r="I2925" s="128" t="s">
        <v>6725</v>
      </c>
      <c r="J2925" s="128" t="s">
        <v>571</v>
      </c>
      <c r="K2925" s="128" t="s">
        <v>2615</v>
      </c>
      <c r="L2925" s="150"/>
      <c r="M2925" s="128">
        <v>620240</v>
      </c>
      <c r="N2925" s="108" t="s">
        <v>2607</v>
      </c>
      <c r="O2925" s="20"/>
      <c r="P2925" s="20"/>
      <c r="Q2925" s="20"/>
    </row>
    <row r="2926" spans="1:17" ht="24.9" customHeight="1">
      <c r="A2926" s="20">
        <v>456</v>
      </c>
      <c r="B2926" s="20" t="s">
        <v>5675</v>
      </c>
      <c r="C2926" s="20">
        <v>14</v>
      </c>
      <c r="D2926" s="19" t="s">
        <v>5975</v>
      </c>
      <c r="E2926" s="19" t="str">
        <f>VLOOKUP(D2926,'لیست پرسنل'!$B$2:$E$1020,3,FALSE)</f>
        <v>فکورصنعت</v>
      </c>
      <c r="F2926" s="19" t="str">
        <f>VLOOKUP(D2926,'لیست پرسنل'!$B$2:$E$1020,4,FALSE)</f>
        <v>حراست</v>
      </c>
      <c r="G2926" s="127">
        <f>VLOOKUP(D2926,'لیست پرسنل'!$B$2:$F$1020,2,FALSE)</f>
        <v>4021106</v>
      </c>
      <c r="H2926" s="127" t="s">
        <v>5821</v>
      </c>
      <c r="I2926" s="128" t="s">
        <v>6725</v>
      </c>
      <c r="J2926" s="126" t="s">
        <v>5618</v>
      </c>
      <c r="K2926" s="128" t="s">
        <v>5741</v>
      </c>
      <c r="L2926" s="150" t="s">
        <v>5740</v>
      </c>
      <c r="M2926" s="128">
        <v>632396</v>
      </c>
      <c r="N2926" s="108"/>
      <c r="O2926" s="20" t="s">
        <v>5889</v>
      </c>
      <c r="P2926" s="20"/>
      <c r="Q2926" s="20"/>
    </row>
    <row r="2927" spans="1:17" ht="24.9" customHeight="1">
      <c r="A2927" s="20">
        <v>456</v>
      </c>
      <c r="B2927" s="20" t="s">
        <v>5675</v>
      </c>
      <c r="C2927" s="20">
        <v>15</v>
      </c>
      <c r="D2927" s="19" t="s">
        <v>6235</v>
      </c>
      <c r="E2927" s="19" t="str">
        <f>VLOOKUP(D2927,'لیست پرسنل'!$B$2:$E$1020,3,FALSE)</f>
        <v>فکورصنعت</v>
      </c>
      <c r="F2927" s="19" t="str">
        <f>VLOOKUP(D2927,'لیست پرسنل'!$B$2:$E$1020,4,FALSE)</f>
        <v>کنترل پروژه</v>
      </c>
      <c r="G2927" s="127">
        <f>VLOOKUP(D2927,'لیست پرسنل'!$B$2:$F$1020,2,FALSE)</f>
        <v>1938</v>
      </c>
      <c r="H2927" s="127" t="s">
        <v>5821</v>
      </c>
      <c r="I2927" s="127" t="s">
        <v>6726</v>
      </c>
      <c r="J2927" s="127" t="s">
        <v>737</v>
      </c>
      <c r="K2927" s="127" t="s">
        <v>5662</v>
      </c>
      <c r="L2927" s="127" t="s">
        <v>5663</v>
      </c>
      <c r="M2927" s="127">
        <v>631574</v>
      </c>
      <c r="N2927" s="109"/>
      <c r="O2927" s="20"/>
      <c r="P2927" s="28"/>
      <c r="Q2927" s="28"/>
    </row>
    <row r="2928" spans="1:17" ht="24.9" customHeight="1">
      <c r="A2928" s="20">
        <v>456</v>
      </c>
      <c r="B2928" s="20" t="s">
        <v>5675</v>
      </c>
      <c r="C2928" s="20">
        <v>15</v>
      </c>
      <c r="D2928" s="19" t="s">
        <v>6235</v>
      </c>
      <c r="E2928" s="19" t="str">
        <f>VLOOKUP(D2928,'لیست پرسنل'!$B$2:$E$1020,3,FALSE)</f>
        <v>فکورصنعت</v>
      </c>
      <c r="F2928" s="19" t="str">
        <f>VLOOKUP(D2928,'لیست پرسنل'!$B$2:$E$1020,4,FALSE)</f>
        <v>کنترل پروژه</v>
      </c>
      <c r="G2928" s="127">
        <f>VLOOKUP(D2928,'لیست پرسنل'!$B$2:$F$1020,2,FALSE)</f>
        <v>1938</v>
      </c>
      <c r="H2928" s="127" t="s">
        <v>5821</v>
      </c>
      <c r="I2928" s="127" t="s">
        <v>6726</v>
      </c>
      <c r="J2928" s="127" t="s">
        <v>368</v>
      </c>
      <c r="K2928" s="127" t="s">
        <v>2846</v>
      </c>
      <c r="L2928" s="127" t="s">
        <v>5650</v>
      </c>
      <c r="M2928" s="127">
        <v>632011</v>
      </c>
      <c r="N2928" s="109"/>
      <c r="O2928" s="20"/>
      <c r="P2928" s="28"/>
      <c r="Q2928" s="28"/>
    </row>
    <row r="2929" spans="1:17" ht="24.9" customHeight="1">
      <c r="A2929" s="20">
        <v>456</v>
      </c>
      <c r="B2929" s="20" t="s">
        <v>5675</v>
      </c>
      <c r="C2929" s="20">
        <v>15</v>
      </c>
      <c r="D2929" s="19" t="s">
        <v>6235</v>
      </c>
      <c r="E2929" s="19" t="str">
        <f>VLOOKUP(D2929,'لیست پرسنل'!$B$2:$E$1020,3,FALSE)</f>
        <v>فکورصنعت</v>
      </c>
      <c r="F2929" s="19" t="str">
        <f>VLOOKUP(D2929,'لیست پرسنل'!$B$2:$E$1020,4,FALSE)</f>
        <v>کنترل پروژه</v>
      </c>
      <c r="G2929" s="127">
        <f>VLOOKUP(D2929,'لیست پرسنل'!$B$2:$F$1020,2,FALSE)</f>
        <v>1938</v>
      </c>
      <c r="H2929" s="127" t="s">
        <v>5821</v>
      </c>
      <c r="I2929" s="127" t="s">
        <v>6726</v>
      </c>
      <c r="J2929" s="128" t="s">
        <v>885</v>
      </c>
      <c r="K2929" s="128" t="s">
        <v>6237</v>
      </c>
      <c r="L2929" s="150" t="s">
        <v>6236</v>
      </c>
      <c r="M2929" s="128">
        <v>632518</v>
      </c>
      <c r="N2929" s="109"/>
      <c r="O2929" s="20"/>
      <c r="P2929" s="28"/>
      <c r="Q2929" s="28"/>
    </row>
    <row r="2930" spans="1:17" ht="24.9" customHeight="1">
      <c r="A2930" s="20">
        <v>456</v>
      </c>
      <c r="B2930" s="20" t="s">
        <v>5675</v>
      </c>
      <c r="C2930" s="20">
        <v>15</v>
      </c>
      <c r="D2930" s="19" t="s">
        <v>6235</v>
      </c>
      <c r="E2930" s="19" t="str">
        <f>VLOOKUP(D2930,'لیست پرسنل'!$B$2:$E$1020,3,FALSE)</f>
        <v>فکورصنعت</v>
      </c>
      <c r="F2930" s="19" t="str">
        <f>VLOOKUP(D2930,'لیست پرسنل'!$B$2:$E$1020,4,FALSE)</f>
        <v>کنترل پروژه</v>
      </c>
      <c r="G2930" s="127">
        <f>VLOOKUP(D2930,'لیست پرسنل'!$B$2:$F$1020,2,FALSE)</f>
        <v>1938</v>
      </c>
      <c r="H2930" s="127" t="s">
        <v>5821</v>
      </c>
      <c r="I2930" s="127" t="s">
        <v>6726</v>
      </c>
      <c r="J2930" s="128" t="s">
        <v>885</v>
      </c>
      <c r="K2930" s="128" t="s">
        <v>7177</v>
      </c>
      <c r="L2930" s="150" t="s">
        <v>7176</v>
      </c>
      <c r="M2930" s="128">
        <v>635228</v>
      </c>
      <c r="N2930" s="109"/>
      <c r="O2930" s="20"/>
      <c r="P2930" s="28"/>
      <c r="Q2930" s="28"/>
    </row>
    <row r="2931" spans="1:17" ht="24.9" customHeight="1">
      <c r="A2931" s="20">
        <v>456</v>
      </c>
      <c r="B2931" s="20" t="s">
        <v>5675</v>
      </c>
      <c r="C2931" s="20">
        <v>15</v>
      </c>
      <c r="D2931" s="19" t="s">
        <v>6235</v>
      </c>
      <c r="E2931" s="19" t="str">
        <f>VLOOKUP(D2931,'لیست پرسنل'!$B$2:$E$1020,3,FALSE)</f>
        <v>فکورصنعت</v>
      </c>
      <c r="F2931" s="19" t="str">
        <f>VLOOKUP(D2931,'لیست پرسنل'!$B$2:$E$1020,4,FALSE)</f>
        <v>کنترل پروژه</v>
      </c>
      <c r="G2931" s="127">
        <f>VLOOKUP(D2931,'لیست پرسنل'!$B$2:$F$1020,2,FALSE)</f>
        <v>1938</v>
      </c>
      <c r="H2931" s="127" t="s">
        <v>5821</v>
      </c>
      <c r="I2931" s="127" t="s">
        <v>6726</v>
      </c>
      <c r="J2931" s="127" t="s">
        <v>571</v>
      </c>
      <c r="K2931" s="128" t="s">
        <v>5801</v>
      </c>
      <c r="L2931" s="128"/>
      <c r="M2931" s="128">
        <v>632159</v>
      </c>
      <c r="N2931" s="109"/>
      <c r="O2931" s="20"/>
      <c r="P2931" s="28"/>
      <c r="Q2931" s="28"/>
    </row>
    <row r="2932" spans="1:17" ht="24.9" customHeight="1">
      <c r="A2932" s="20">
        <v>456</v>
      </c>
      <c r="B2932" s="20" t="s">
        <v>5675</v>
      </c>
      <c r="C2932" s="20">
        <v>15</v>
      </c>
      <c r="D2932" s="19" t="s">
        <v>6235</v>
      </c>
      <c r="E2932" s="19" t="str">
        <f>VLOOKUP(D2932,'لیست پرسنل'!$B$2:$E$1020,3,FALSE)</f>
        <v>فکورصنعت</v>
      </c>
      <c r="F2932" s="19" t="str">
        <f>VLOOKUP(D2932,'لیست پرسنل'!$B$2:$E$1020,4,FALSE)</f>
        <v>کنترل پروژه</v>
      </c>
      <c r="G2932" s="127">
        <f>VLOOKUP(D2932,'لیست پرسنل'!$B$2:$F$1020,2,FALSE)</f>
        <v>1938</v>
      </c>
      <c r="H2932" s="127" t="s">
        <v>5821</v>
      </c>
      <c r="I2932" s="127" t="s">
        <v>6726</v>
      </c>
      <c r="J2932" s="127" t="s">
        <v>5618</v>
      </c>
      <c r="K2932" s="128" t="s">
        <v>5802</v>
      </c>
      <c r="L2932" s="150" t="s">
        <v>6102</v>
      </c>
      <c r="M2932" s="128">
        <v>632180</v>
      </c>
      <c r="N2932" s="109"/>
      <c r="O2932" s="20"/>
      <c r="P2932" s="28"/>
      <c r="Q2932" s="28"/>
    </row>
    <row r="2933" spans="1:17" ht="24.9" customHeight="1">
      <c r="A2933" s="20">
        <v>456</v>
      </c>
      <c r="B2933" s="20" t="s">
        <v>5675</v>
      </c>
      <c r="C2933" s="20">
        <v>16</v>
      </c>
      <c r="D2933" s="19" t="s">
        <v>6764</v>
      </c>
      <c r="E2933" s="19" t="str">
        <f>VLOOKUP(D2933,'لیست پرسنل'!$B$2:$E$1020,3,FALSE)</f>
        <v>گهر کوشان سپهر</v>
      </c>
      <c r="F2933" s="19" t="str">
        <f>VLOOKUP(D2933,'لیست پرسنل'!$B$2:$E$1020,4,FALSE)</f>
        <v>پشتیبانی</v>
      </c>
      <c r="G2933" s="127">
        <f>VLOOKUP(D2933,'لیست پرسنل'!$B$2:$F$1020,2,FALSE)</f>
        <v>20775</v>
      </c>
      <c r="H2933" s="127" t="s">
        <v>5821</v>
      </c>
      <c r="I2933" s="128" t="s">
        <v>6765</v>
      </c>
      <c r="J2933" s="126" t="s">
        <v>368</v>
      </c>
      <c r="K2933" s="128" t="s">
        <v>2846</v>
      </c>
      <c r="L2933" s="127" t="s">
        <v>4854</v>
      </c>
      <c r="M2933" s="127">
        <v>633747</v>
      </c>
      <c r="N2933" s="109"/>
      <c r="O2933" s="19" t="s">
        <v>6402</v>
      </c>
      <c r="P2933" s="32"/>
      <c r="Q2933" s="32"/>
    </row>
    <row r="2934" spans="1:17" ht="24.9" customHeight="1">
      <c r="A2934" s="20">
        <v>456</v>
      </c>
      <c r="B2934" s="20" t="s">
        <v>5675</v>
      </c>
      <c r="C2934" s="20">
        <v>16</v>
      </c>
      <c r="D2934" s="19" t="s">
        <v>6764</v>
      </c>
      <c r="E2934" s="19" t="str">
        <f>VLOOKUP(D2934,'لیست پرسنل'!$B$2:$E$1020,3,FALSE)</f>
        <v>گهر کوشان سپهر</v>
      </c>
      <c r="F2934" s="19" t="str">
        <f>VLOOKUP(D2934,'لیست پرسنل'!$B$2:$E$1020,4,FALSE)</f>
        <v>پشتیبانی</v>
      </c>
      <c r="G2934" s="127">
        <f>VLOOKUP(D2934,'لیست پرسنل'!$B$2:$F$1020,2,FALSE)</f>
        <v>20775</v>
      </c>
      <c r="H2934" s="127" t="s">
        <v>5821</v>
      </c>
      <c r="I2934" s="128" t="s">
        <v>6765</v>
      </c>
      <c r="J2934" s="126" t="s">
        <v>571</v>
      </c>
      <c r="K2934" s="128" t="s">
        <v>7717</v>
      </c>
      <c r="L2934" s="128"/>
      <c r="M2934" s="128">
        <v>636300</v>
      </c>
      <c r="N2934" s="108"/>
      <c r="O2934" s="20"/>
      <c r="P2934" s="20"/>
      <c r="Q2934" s="20"/>
    </row>
    <row r="2935" spans="1:17" ht="24.9" customHeight="1">
      <c r="A2935" s="20">
        <v>456</v>
      </c>
      <c r="B2935" s="20" t="s">
        <v>5675</v>
      </c>
      <c r="C2935" s="20">
        <v>16</v>
      </c>
      <c r="D2935" s="19" t="s">
        <v>6764</v>
      </c>
      <c r="E2935" s="19" t="str">
        <f>VLOOKUP(D2935,'لیست پرسنل'!$B$2:$E$1020,3,FALSE)</f>
        <v>گهر کوشان سپهر</v>
      </c>
      <c r="F2935" s="19" t="str">
        <f>VLOOKUP(D2935,'لیست پرسنل'!$B$2:$E$1020,4,FALSE)</f>
        <v>پشتیبانی</v>
      </c>
      <c r="G2935" s="127">
        <f>VLOOKUP(D2935,'لیست پرسنل'!$B$2:$F$1020,2,FALSE)</f>
        <v>20775</v>
      </c>
      <c r="H2935" s="127" t="s">
        <v>5821</v>
      </c>
      <c r="I2935" s="128" t="s">
        <v>6765</v>
      </c>
      <c r="J2935" s="126" t="s">
        <v>5618</v>
      </c>
      <c r="K2935" s="128" t="s">
        <v>7561</v>
      </c>
      <c r="L2935" s="128" t="s">
        <v>7725</v>
      </c>
      <c r="M2935" s="128">
        <v>636309</v>
      </c>
      <c r="N2935" s="108"/>
      <c r="O2935" s="20"/>
      <c r="P2935" s="20"/>
      <c r="Q2935" s="20"/>
    </row>
    <row r="2936" spans="1:17" ht="24.9" customHeight="1">
      <c r="A2936" s="20">
        <v>456</v>
      </c>
      <c r="B2936" s="20" t="s">
        <v>5675</v>
      </c>
      <c r="C2936" s="20">
        <v>17</v>
      </c>
      <c r="D2936" s="31" t="s">
        <v>3744</v>
      </c>
      <c r="E2936" s="19" t="str">
        <f>VLOOKUP(D2936,'لیست پرسنل'!$B$2:$E$1020,3,FALSE)</f>
        <v>فکورصنعت</v>
      </c>
      <c r="F2936" s="19" t="str">
        <f>VLOOKUP(D2936,'لیست پرسنل'!$B$2:$E$1020,4,FALSE)</f>
        <v>ایمنی</v>
      </c>
      <c r="G2936" s="127">
        <f>VLOOKUP(D2936,'لیست پرسنل'!$B$2:$F$1020,2,FALSE)</f>
        <v>990804</v>
      </c>
      <c r="H2936" s="127" t="s">
        <v>5821</v>
      </c>
      <c r="I2936" s="127" t="s">
        <v>6734</v>
      </c>
      <c r="J2936" s="126" t="s">
        <v>368</v>
      </c>
      <c r="K2936" s="128" t="s">
        <v>2846</v>
      </c>
      <c r="L2936" s="127" t="s">
        <v>1498</v>
      </c>
      <c r="M2936" s="127">
        <v>625122</v>
      </c>
      <c r="N2936" s="109"/>
      <c r="O2936" s="19"/>
      <c r="P2936" s="20"/>
      <c r="Q2936" s="20"/>
    </row>
    <row r="2937" spans="1:17" ht="24.9" customHeight="1">
      <c r="A2937" s="20">
        <v>456</v>
      </c>
      <c r="B2937" s="20" t="s">
        <v>5675</v>
      </c>
      <c r="C2937" s="20">
        <v>17</v>
      </c>
      <c r="D2937" s="31" t="s">
        <v>3744</v>
      </c>
      <c r="E2937" s="19" t="str">
        <f>VLOOKUP(D2937,'لیست پرسنل'!$B$2:$E$1020,3,FALSE)</f>
        <v>فکورصنعت</v>
      </c>
      <c r="F2937" s="19" t="str">
        <f>VLOOKUP(D2937,'لیست پرسنل'!$B$2:$E$1020,4,FALSE)</f>
        <v>ایمنی</v>
      </c>
      <c r="G2937" s="127">
        <f>VLOOKUP(D2937,'لیست پرسنل'!$B$2:$F$1020,2,FALSE)</f>
        <v>990804</v>
      </c>
      <c r="H2937" s="127" t="s">
        <v>5821</v>
      </c>
      <c r="I2937" s="127" t="s">
        <v>6734</v>
      </c>
      <c r="J2937" s="128" t="s">
        <v>571</v>
      </c>
      <c r="K2937" s="128" t="s">
        <v>2219</v>
      </c>
      <c r="L2937" s="127"/>
      <c r="M2937" s="127">
        <v>633681</v>
      </c>
      <c r="N2937" s="109"/>
      <c r="O2937" s="19" t="s">
        <v>6340</v>
      </c>
      <c r="P2937" s="32"/>
      <c r="Q2937" s="32"/>
    </row>
    <row r="2938" spans="1:17" ht="24.9" customHeight="1">
      <c r="A2938" s="20">
        <v>456</v>
      </c>
      <c r="B2938" s="20" t="s">
        <v>5675</v>
      </c>
      <c r="C2938" s="20">
        <v>17</v>
      </c>
      <c r="D2938" s="31" t="s">
        <v>3744</v>
      </c>
      <c r="E2938" s="19" t="str">
        <f>VLOOKUP(D2938,'لیست پرسنل'!$B$2:$E$1020,3,FALSE)</f>
        <v>فکورصنعت</v>
      </c>
      <c r="F2938" s="19" t="str">
        <f>VLOOKUP(D2938,'لیست پرسنل'!$B$2:$E$1020,4,FALSE)</f>
        <v>ایمنی</v>
      </c>
      <c r="G2938" s="127">
        <f>VLOOKUP(D2938,'لیست پرسنل'!$B$2:$F$1020,2,FALSE)</f>
        <v>990804</v>
      </c>
      <c r="H2938" s="127" t="s">
        <v>5821</v>
      </c>
      <c r="I2938" s="127" t="s">
        <v>6734</v>
      </c>
      <c r="J2938" s="128" t="s">
        <v>2686</v>
      </c>
      <c r="K2938" s="128" t="s">
        <v>2922</v>
      </c>
      <c r="L2938" s="128" t="s">
        <v>2998</v>
      </c>
      <c r="M2938" s="142">
        <v>626480</v>
      </c>
      <c r="N2938" s="108"/>
      <c r="O2938" s="20"/>
      <c r="P2938" s="20"/>
      <c r="Q2938" s="20"/>
    </row>
    <row r="2939" spans="1:17" ht="24.9" customHeight="1">
      <c r="A2939" s="20">
        <v>456</v>
      </c>
      <c r="B2939" s="20" t="s">
        <v>5675</v>
      </c>
      <c r="C2939" s="20">
        <v>18</v>
      </c>
      <c r="D2939" s="19" t="s">
        <v>6731</v>
      </c>
      <c r="E2939" s="19" t="str">
        <f>VLOOKUP(D2939,'لیست پرسنل'!$B$2:$E$1020,3,FALSE)</f>
        <v>فکورصنعت</v>
      </c>
      <c r="F2939" s="19" t="str">
        <f>VLOOKUP(D2939,'لیست پرسنل'!$B$2:$E$1020,4,FALSE)</f>
        <v>سیویل</v>
      </c>
      <c r="G2939" s="127">
        <f>VLOOKUP(D2939,'لیست پرسنل'!$B$2:$F$1020,2,FALSE)</f>
        <v>4000603</v>
      </c>
      <c r="H2939" s="127" t="s">
        <v>5821</v>
      </c>
      <c r="I2939" s="127" t="s">
        <v>6732</v>
      </c>
      <c r="J2939" s="126" t="s">
        <v>368</v>
      </c>
      <c r="K2939" s="128" t="s">
        <v>2846</v>
      </c>
      <c r="L2939" s="127" t="s">
        <v>5013</v>
      </c>
      <c r="M2939" s="127">
        <v>633750</v>
      </c>
      <c r="N2939" s="109"/>
      <c r="O2939" s="19" t="s">
        <v>6405</v>
      </c>
      <c r="P2939" s="32"/>
      <c r="Q2939" s="32"/>
    </row>
    <row r="2940" spans="1:17" ht="24.9" customHeight="1">
      <c r="A2940" s="20">
        <v>456</v>
      </c>
      <c r="B2940" s="20" t="s">
        <v>5675</v>
      </c>
      <c r="C2940" s="20">
        <v>18</v>
      </c>
      <c r="D2940" s="19" t="s">
        <v>6731</v>
      </c>
      <c r="E2940" s="19" t="str">
        <f>VLOOKUP(D2940,'لیست پرسنل'!$B$2:$E$1020,3,FALSE)</f>
        <v>فکورصنعت</v>
      </c>
      <c r="F2940" s="19" t="str">
        <f>VLOOKUP(D2940,'لیست پرسنل'!$B$2:$E$1020,4,FALSE)</f>
        <v>سیویل</v>
      </c>
      <c r="G2940" s="127">
        <f>VLOOKUP(D2940,'لیست پرسنل'!$B$2:$F$1020,2,FALSE)</f>
        <v>4000603</v>
      </c>
      <c r="H2940" s="127" t="s">
        <v>5821</v>
      </c>
      <c r="I2940" s="127" t="s">
        <v>6732</v>
      </c>
      <c r="J2940" s="127" t="s">
        <v>571</v>
      </c>
      <c r="K2940" s="128" t="s">
        <v>5801</v>
      </c>
      <c r="L2940" s="128"/>
      <c r="M2940" s="128">
        <v>632154</v>
      </c>
      <c r="N2940" s="109"/>
      <c r="O2940" s="20"/>
      <c r="P2940" s="28"/>
      <c r="Q2940" s="28"/>
    </row>
    <row r="2941" spans="1:17" ht="24.9" customHeight="1">
      <c r="A2941" s="20">
        <v>456</v>
      </c>
      <c r="B2941" s="20" t="s">
        <v>5675</v>
      </c>
      <c r="C2941" s="20">
        <v>18</v>
      </c>
      <c r="D2941" s="19" t="s">
        <v>6731</v>
      </c>
      <c r="E2941" s="19" t="str">
        <f>VLOOKUP(D2941,'لیست پرسنل'!$B$2:$E$1020,3,FALSE)</f>
        <v>فکورصنعت</v>
      </c>
      <c r="F2941" s="19" t="str">
        <f>VLOOKUP(D2941,'لیست پرسنل'!$B$2:$E$1020,4,FALSE)</f>
        <v>سیویل</v>
      </c>
      <c r="G2941" s="127">
        <f>VLOOKUP(D2941,'لیست پرسنل'!$B$2:$F$1020,2,FALSE)</f>
        <v>4000603</v>
      </c>
      <c r="H2941" s="127" t="s">
        <v>5821</v>
      </c>
      <c r="I2941" s="127" t="s">
        <v>6732</v>
      </c>
      <c r="J2941" s="127" t="s">
        <v>2686</v>
      </c>
      <c r="K2941" s="127" t="s">
        <v>5646</v>
      </c>
      <c r="L2941" s="151" t="s">
        <v>2179</v>
      </c>
      <c r="M2941" s="127">
        <v>605843</v>
      </c>
      <c r="N2941" s="109" t="s">
        <v>6449</v>
      </c>
      <c r="O2941" s="20" t="s">
        <v>5676</v>
      </c>
      <c r="P2941" s="28"/>
      <c r="Q2941" s="28"/>
    </row>
    <row r="2942" spans="1:17" ht="24.9" customHeight="1">
      <c r="A2942" s="20">
        <v>456</v>
      </c>
      <c r="B2942" s="20" t="s">
        <v>5675</v>
      </c>
      <c r="C2942" s="20">
        <v>19</v>
      </c>
      <c r="D2942" s="31" t="s">
        <v>382</v>
      </c>
      <c r="E2942" s="19" t="str">
        <f>VLOOKUP(D2942,'لیست پرسنل'!$B$2:$E$1020,3,FALSE)</f>
        <v>فکورصنعت</v>
      </c>
      <c r="F2942" s="19" t="str">
        <f>VLOOKUP(D2942,'لیست پرسنل'!$B$2:$E$1020,4,FALSE)</f>
        <v>سیویل</v>
      </c>
      <c r="G2942" s="127">
        <f>VLOOKUP(D2942,'لیست پرسنل'!$B$2:$F$1020,2,FALSE)</f>
        <v>4001101</v>
      </c>
      <c r="H2942" s="127" t="s">
        <v>5821</v>
      </c>
      <c r="I2942" s="127" t="s">
        <v>6733</v>
      </c>
      <c r="J2942" s="127" t="s">
        <v>737</v>
      </c>
      <c r="K2942" s="127" t="s">
        <v>5660</v>
      </c>
      <c r="L2942" s="127" t="s">
        <v>5661</v>
      </c>
      <c r="M2942" s="127">
        <v>631573</v>
      </c>
      <c r="N2942" s="109"/>
      <c r="O2942" s="20"/>
      <c r="P2942" s="28"/>
      <c r="Q2942" s="28"/>
    </row>
    <row r="2943" spans="1:17" ht="24.9" customHeight="1">
      <c r="A2943" s="20">
        <v>456</v>
      </c>
      <c r="B2943" s="20" t="s">
        <v>5675</v>
      </c>
      <c r="C2943" s="20">
        <v>20</v>
      </c>
      <c r="D2943" s="19" t="s">
        <v>5975</v>
      </c>
      <c r="E2943" s="19" t="str">
        <f>VLOOKUP(D2943,'لیست پرسنل'!$B$2:$E$1020,3,FALSE)</f>
        <v>فکورصنعت</v>
      </c>
      <c r="F2943" s="19" t="str">
        <f>VLOOKUP(D2943,'لیست پرسنل'!$B$2:$E$1020,4,FALSE)</f>
        <v>حراست</v>
      </c>
      <c r="G2943" s="127">
        <f>VLOOKUP(D2943,'لیست پرسنل'!$B$2:$F$1020,2,FALSE)</f>
        <v>4021106</v>
      </c>
      <c r="H2943" s="127" t="s">
        <v>7764</v>
      </c>
      <c r="I2943" s="128" t="s">
        <v>7763</v>
      </c>
      <c r="J2943" s="128" t="s">
        <v>5366</v>
      </c>
      <c r="K2943" s="128" t="s">
        <v>7767</v>
      </c>
      <c r="L2943" s="128" t="s">
        <v>7766</v>
      </c>
      <c r="M2943" s="128">
        <v>613421</v>
      </c>
      <c r="N2943" s="108" t="s">
        <v>7765</v>
      </c>
      <c r="O2943" s="20"/>
      <c r="P2943" s="20"/>
      <c r="Q2943" s="20"/>
    </row>
    <row r="2944" spans="1:17" ht="24.9" customHeight="1">
      <c r="A2944" s="20">
        <v>456</v>
      </c>
      <c r="B2944" s="20" t="s">
        <v>5675</v>
      </c>
      <c r="C2944" s="20">
        <v>20</v>
      </c>
      <c r="D2944" s="19" t="s">
        <v>5975</v>
      </c>
      <c r="E2944" s="19" t="str">
        <f>VLOOKUP(D2944,'لیست پرسنل'!$B$2:$E$1020,3,FALSE)</f>
        <v>فکورصنعت</v>
      </c>
      <c r="F2944" s="19" t="str">
        <f>VLOOKUP(D2944,'لیست پرسنل'!$B$2:$E$1020,4,FALSE)</f>
        <v>حراست</v>
      </c>
      <c r="G2944" s="127">
        <f>VLOOKUP(D2944,'لیست پرسنل'!$B$2:$F$1020,2,FALSE)</f>
        <v>4021106</v>
      </c>
      <c r="H2944" s="127" t="s">
        <v>7764</v>
      </c>
      <c r="I2944" s="128" t="s">
        <v>7763</v>
      </c>
      <c r="J2944" s="126" t="s">
        <v>571</v>
      </c>
      <c r="K2944" s="128" t="s">
        <v>7717</v>
      </c>
      <c r="L2944" s="128"/>
      <c r="M2944" s="128">
        <v>636304</v>
      </c>
      <c r="N2944" s="108" t="s">
        <v>7765</v>
      </c>
      <c r="O2944" s="20"/>
      <c r="P2944" s="20"/>
      <c r="Q2944" s="20"/>
    </row>
    <row r="2945" spans="1:17" ht="24.9" customHeight="1">
      <c r="A2945" s="20">
        <v>456</v>
      </c>
      <c r="B2945" s="20" t="s">
        <v>5675</v>
      </c>
      <c r="C2945" s="20">
        <v>21</v>
      </c>
      <c r="D2945" s="20" t="s">
        <v>7768</v>
      </c>
      <c r="E2945" s="19" t="str">
        <f>VLOOKUP(D2945,'لیست پرسنل'!$B$2:$E$1020,3,FALSE)</f>
        <v>گهر کوشان سپهر</v>
      </c>
      <c r="F2945" s="19" t="str">
        <f>VLOOKUP(D2945,'لیست پرسنل'!$B$2:$E$1020,4,FALSE)</f>
        <v>بهداری</v>
      </c>
      <c r="G2945" s="127">
        <f>VLOOKUP(D2945,'لیست پرسنل'!$B$2:$F$1020,2,FALSE)</f>
        <v>20966</v>
      </c>
      <c r="H2945" s="127" t="s">
        <v>7770</v>
      </c>
      <c r="I2945" s="128" t="s">
        <v>7769</v>
      </c>
      <c r="J2945" s="126" t="s">
        <v>368</v>
      </c>
      <c r="K2945" s="128" t="s">
        <v>2846</v>
      </c>
      <c r="L2945" s="127" t="s">
        <v>4666</v>
      </c>
      <c r="M2945" s="127">
        <v>633709</v>
      </c>
      <c r="N2945" s="109"/>
      <c r="O2945" s="19" t="s">
        <v>6253</v>
      </c>
      <c r="P2945" s="32"/>
      <c r="Q2945" s="32"/>
    </row>
    <row r="2946" spans="1:17" ht="24.9" customHeight="1">
      <c r="A2946" s="20">
        <v>456</v>
      </c>
      <c r="B2946" s="20" t="s">
        <v>5675</v>
      </c>
      <c r="C2946" s="20">
        <v>21</v>
      </c>
      <c r="D2946" s="20" t="s">
        <v>7768</v>
      </c>
      <c r="E2946" s="19" t="str">
        <f>VLOOKUP(D2946,'لیست پرسنل'!$B$2:$E$1020,3,FALSE)</f>
        <v>گهر کوشان سپهر</v>
      </c>
      <c r="F2946" s="19" t="str">
        <f>VLOOKUP(D2946,'لیست پرسنل'!$B$2:$E$1020,4,FALSE)</f>
        <v>بهداری</v>
      </c>
      <c r="G2946" s="127">
        <f>VLOOKUP(D2946,'لیست پرسنل'!$B$2:$F$1020,2,FALSE)</f>
        <v>20966</v>
      </c>
      <c r="H2946" s="127" t="s">
        <v>7770</v>
      </c>
      <c r="I2946" s="128" t="s">
        <v>7769</v>
      </c>
      <c r="J2946" s="127" t="s">
        <v>571</v>
      </c>
      <c r="K2946" s="127" t="s">
        <v>4771</v>
      </c>
      <c r="L2946" s="127"/>
      <c r="M2946" s="127">
        <v>632377</v>
      </c>
      <c r="N2946" s="109"/>
      <c r="O2946" s="20" t="s">
        <v>5905</v>
      </c>
      <c r="P2946" s="28"/>
      <c r="Q2946" s="28"/>
    </row>
    <row r="2947" spans="1:17" ht="24.9" customHeight="1">
      <c r="A2947" s="20">
        <v>456</v>
      </c>
      <c r="B2947" s="20" t="s">
        <v>5675</v>
      </c>
      <c r="C2947" s="20">
        <v>21</v>
      </c>
      <c r="D2947" s="20" t="s">
        <v>7768</v>
      </c>
      <c r="E2947" s="19" t="str">
        <f>VLOOKUP(D2947,'لیست پرسنل'!$B$2:$E$1020,3,FALSE)</f>
        <v>گهر کوشان سپهر</v>
      </c>
      <c r="F2947" s="19" t="str">
        <f>VLOOKUP(D2947,'لیست پرسنل'!$B$2:$E$1020,4,FALSE)</f>
        <v>بهداری</v>
      </c>
      <c r="G2947" s="127">
        <f>VLOOKUP(D2947,'لیست پرسنل'!$B$2:$F$1020,2,FALSE)</f>
        <v>20966</v>
      </c>
      <c r="H2947" s="127" t="s">
        <v>7770</v>
      </c>
      <c r="I2947" s="128" t="s">
        <v>7769</v>
      </c>
      <c r="J2947" s="126" t="s">
        <v>5618</v>
      </c>
      <c r="K2947" s="128" t="s">
        <v>5742</v>
      </c>
      <c r="L2947" s="150" t="s">
        <v>5743</v>
      </c>
      <c r="M2947" s="128">
        <v>632392</v>
      </c>
      <c r="N2947" s="108"/>
      <c r="O2947" s="20" t="s">
        <v>5890</v>
      </c>
      <c r="P2947" s="20"/>
      <c r="Q2947" s="20"/>
    </row>
    <row r="2948" spans="1:17" ht="24.9" customHeight="1">
      <c r="A2948" s="20">
        <v>456</v>
      </c>
      <c r="B2948" s="20" t="s">
        <v>5675</v>
      </c>
      <c r="C2948" s="20">
        <v>22</v>
      </c>
      <c r="D2948" s="19" t="s">
        <v>4042</v>
      </c>
      <c r="E2948" s="19" t="str">
        <f>VLOOKUP(D2948,'لیست پرسنل'!$B$2:$E$1020,3,FALSE)</f>
        <v>فکورصنعت</v>
      </c>
      <c r="F2948" s="19" t="str">
        <f>VLOOKUP(D2948,'لیست پرسنل'!$B$2:$E$1020,4,FALSE)</f>
        <v>تحقیق و توسعه فکور</v>
      </c>
      <c r="G2948" s="127">
        <f>VLOOKUP(D2948,'لیست پرسنل'!$B$2:$F$1020,2,FALSE)</f>
        <v>0</v>
      </c>
      <c r="H2948" s="127" t="s">
        <v>5821</v>
      </c>
      <c r="I2948" s="128" t="s">
        <v>7427</v>
      </c>
      <c r="J2948" s="126" t="s">
        <v>368</v>
      </c>
      <c r="K2948" s="128" t="s">
        <v>2846</v>
      </c>
      <c r="L2948" s="127" t="s">
        <v>2202</v>
      </c>
      <c r="M2948" s="127">
        <v>633743</v>
      </c>
      <c r="N2948" s="109"/>
      <c r="O2948" s="19" t="s">
        <v>6398</v>
      </c>
      <c r="P2948" s="32"/>
      <c r="Q2948" s="32"/>
    </row>
    <row r="2949" spans="1:17" ht="24.9" customHeight="1">
      <c r="A2949" s="20">
        <v>456</v>
      </c>
      <c r="B2949" s="20" t="s">
        <v>5675</v>
      </c>
      <c r="C2949" s="20">
        <v>22</v>
      </c>
      <c r="D2949" s="19" t="s">
        <v>4042</v>
      </c>
      <c r="E2949" s="19" t="str">
        <f>VLOOKUP(D2949,'لیست پرسنل'!$B$2:$E$1020,3,FALSE)</f>
        <v>فکورصنعت</v>
      </c>
      <c r="F2949" s="19" t="str">
        <f>VLOOKUP(D2949,'لیست پرسنل'!$B$2:$E$1020,4,FALSE)</f>
        <v>تحقیق و توسعه فکور</v>
      </c>
      <c r="G2949" s="127">
        <f>VLOOKUP(D2949,'لیست پرسنل'!$B$2:$F$1020,2,FALSE)</f>
        <v>0</v>
      </c>
      <c r="H2949" s="127" t="s">
        <v>5821</v>
      </c>
      <c r="I2949" s="128" t="s">
        <v>7427</v>
      </c>
      <c r="J2949" s="128" t="s">
        <v>571</v>
      </c>
      <c r="K2949" s="128"/>
      <c r="L2949" s="128"/>
      <c r="M2949" s="127">
        <v>623788</v>
      </c>
      <c r="N2949" s="109"/>
      <c r="O2949" s="31"/>
      <c r="P2949" s="19"/>
      <c r="Q2949" s="19"/>
    </row>
    <row r="2950" spans="1:17" ht="24.9" customHeight="1">
      <c r="A2950" s="20">
        <v>456</v>
      </c>
      <c r="B2950" s="20" t="s">
        <v>5675</v>
      </c>
      <c r="C2950" s="20">
        <v>22</v>
      </c>
      <c r="D2950" s="19" t="s">
        <v>4042</v>
      </c>
      <c r="E2950" s="19" t="str">
        <f>VLOOKUP(D2950,'لیست پرسنل'!$B$2:$E$1020,3,FALSE)</f>
        <v>فکورصنعت</v>
      </c>
      <c r="F2950" s="19" t="str">
        <f>VLOOKUP(D2950,'لیست پرسنل'!$B$2:$E$1020,4,FALSE)</f>
        <v>تحقیق و توسعه فکور</v>
      </c>
      <c r="G2950" s="127">
        <f>VLOOKUP(D2950,'لیست پرسنل'!$B$2:$F$1020,2,FALSE)</f>
        <v>0</v>
      </c>
      <c r="H2950" s="127" t="s">
        <v>5821</v>
      </c>
      <c r="I2950" s="128" t="s">
        <v>7427</v>
      </c>
      <c r="J2950" s="128" t="s">
        <v>4333</v>
      </c>
      <c r="K2950" s="127" t="s">
        <v>7162</v>
      </c>
      <c r="L2950" s="152"/>
      <c r="M2950" s="126">
        <v>625157</v>
      </c>
      <c r="N2950" s="108"/>
      <c r="O2950" s="31"/>
      <c r="P2950" s="19"/>
      <c r="Q2950" s="19"/>
    </row>
    <row r="2951" spans="1:17" ht="24.9" customHeight="1">
      <c r="A2951" s="20">
        <v>456</v>
      </c>
      <c r="B2951" s="20" t="s">
        <v>5675</v>
      </c>
      <c r="C2951" s="20">
        <v>22</v>
      </c>
      <c r="D2951" s="19" t="s">
        <v>4042</v>
      </c>
      <c r="E2951" s="19" t="str">
        <f>VLOOKUP(D2951,'لیست پرسنل'!$B$2:$E$1020,3,FALSE)</f>
        <v>فکورصنعت</v>
      </c>
      <c r="F2951" s="19" t="str">
        <f>VLOOKUP(D2951,'لیست پرسنل'!$B$2:$E$1020,4,FALSE)</f>
        <v>تحقیق و توسعه فکور</v>
      </c>
      <c r="G2951" s="127">
        <f>VLOOKUP(D2951,'لیست پرسنل'!$B$2:$F$1020,2,FALSE)</f>
        <v>0</v>
      </c>
      <c r="H2951" s="127" t="s">
        <v>5821</v>
      </c>
      <c r="I2951" s="128" t="s">
        <v>7427</v>
      </c>
      <c r="J2951" s="128" t="s">
        <v>2686</v>
      </c>
      <c r="K2951" s="128" t="s">
        <v>332</v>
      </c>
      <c r="L2951" s="128" t="s">
        <v>1233</v>
      </c>
      <c r="M2951" s="126">
        <v>603688</v>
      </c>
      <c r="N2951" s="108"/>
      <c r="O2951" s="20"/>
      <c r="P2951" s="20"/>
      <c r="Q2951" s="20"/>
    </row>
    <row r="2952" spans="1:17" ht="24.9" customHeight="1">
      <c r="A2952" s="20">
        <v>456</v>
      </c>
      <c r="B2952" s="20" t="s">
        <v>5675</v>
      </c>
      <c r="C2952" s="20">
        <v>23</v>
      </c>
      <c r="D2952" s="19" t="s">
        <v>7681</v>
      </c>
      <c r="E2952" s="19" t="str">
        <f>VLOOKUP(D2952,'لیست پرسنل'!$B$2:$E$1020,3,FALSE)</f>
        <v>فکورصنعت</v>
      </c>
      <c r="F2952" s="19" t="str">
        <f>VLOOKUP(D2952,'لیست پرسنل'!$B$2:$E$1020,4,FALSE)</f>
        <v>کنترل پروژه</v>
      </c>
      <c r="G2952" s="127">
        <f>VLOOKUP(D2952,'لیست پرسنل'!$B$2:$F$1020,2,FALSE)</f>
        <v>4031206</v>
      </c>
      <c r="H2952" s="127" t="s">
        <v>5821</v>
      </c>
      <c r="I2952" s="128" t="s">
        <v>7680</v>
      </c>
      <c r="J2952" s="128" t="s">
        <v>368</v>
      </c>
      <c r="K2952" s="128" t="s">
        <v>2846</v>
      </c>
      <c r="L2952" s="128" t="s">
        <v>4764</v>
      </c>
      <c r="M2952" s="127">
        <v>633738</v>
      </c>
      <c r="N2952" s="109"/>
      <c r="O2952" s="19" t="s">
        <v>6382</v>
      </c>
      <c r="P2952" s="32"/>
      <c r="Q2952" s="32"/>
    </row>
    <row r="2953" spans="1:17" ht="24.9" customHeight="1">
      <c r="A2953" s="20">
        <v>456</v>
      </c>
      <c r="B2953" s="20" t="s">
        <v>5675</v>
      </c>
      <c r="C2953" s="20">
        <v>23</v>
      </c>
      <c r="D2953" s="19" t="s">
        <v>7681</v>
      </c>
      <c r="E2953" s="19" t="str">
        <f>VLOOKUP(D2953,'لیست پرسنل'!$B$2:$E$1020,3,FALSE)</f>
        <v>فکورصنعت</v>
      </c>
      <c r="F2953" s="19" t="str">
        <f>VLOOKUP(D2953,'لیست پرسنل'!$B$2:$E$1020,4,FALSE)</f>
        <v>کنترل پروژه</v>
      </c>
      <c r="G2953" s="127">
        <f>VLOOKUP(D2953,'لیست پرسنل'!$B$2:$F$1020,2,FALSE)</f>
        <v>4031206</v>
      </c>
      <c r="H2953" s="127" t="s">
        <v>5821</v>
      </c>
      <c r="I2953" s="128" t="s">
        <v>7680</v>
      </c>
      <c r="J2953" s="126" t="s">
        <v>571</v>
      </c>
      <c r="K2953" s="128" t="s">
        <v>3691</v>
      </c>
      <c r="L2953" s="127"/>
      <c r="M2953" s="127">
        <v>633649</v>
      </c>
      <c r="N2953" s="109"/>
      <c r="O2953" s="19" t="s">
        <v>6310</v>
      </c>
      <c r="P2953" s="32"/>
      <c r="Q2953" s="32"/>
    </row>
    <row r="2954" spans="1:17" ht="24.9" customHeight="1">
      <c r="A2954" s="20">
        <v>456</v>
      </c>
      <c r="B2954" s="20" t="s">
        <v>5675</v>
      </c>
      <c r="C2954" s="20">
        <v>23</v>
      </c>
      <c r="D2954" s="19" t="s">
        <v>7681</v>
      </c>
      <c r="E2954" s="19" t="str">
        <f>VLOOKUP(D2954,'لیست پرسنل'!$B$2:$E$1020,3,FALSE)</f>
        <v>فکورصنعت</v>
      </c>
      <c r="F2954" s="19" t="str">
        <f>VLOOKUP(D2954,'لیست پرسنل'!$B$2:$E$1020,4,FALSE)</f>
        <v>کنترل پروژه</v>
      </c>
      <c r="G2954" s="127">
        <f>VLOOKUP(D2954,'لیست پرسنل'!$B$2:$F$1020,2,FALSE)</f>
        <v>4031206</v>
      </c>
      <c r="H2954" s="127" t="s">
        <v>5821</v>
      </c>
      <c r="I2954" s="128" t="s">
        <v>7680</v>
      </c>
      <c r="J2954" s="127" t="s">
        <v>2686</v>
      </c>
      <c r="K2954" s="127" t="s">
        <v>5646</v>
      </c>
      <c r="L2954" s="151" t="s">
        <v>2199</v>
      </c>
      <c r="M2954" s="127">
        <v>608771</v>
      </c>
      <c r="N2954" s="109"/>
      <c r="O2954" s="20" t="s">
        <v>5676</v>
      </c>
      <c r="P2954" s="28"/>
      <c r="Q2954" s="28"/>
    </row>
    <row r="2955" spans="1:17" ht="24.9" customHeight="1">
      <c r="A2955" s="20">
        <v>456</v>
      </c>
      <c r="B2955" s="20" t="s">
        <v>5675</v>
      </c>
      <c r="C2955" s="20">
        <v>24</v>
      </c>
      <c r="D2955" s="20" t="s">
        <v>1451</v>
      </c>
      <c r="E2955" s="19" t="str">
        <f>VLOOKUP(D2955,'لیست پرسنل'!$B$2:$E$1020,3,FALSE)</f>
        <v>فکورصنعت</v>
      </c>
      <c r="F2955" s="19" t="str">
        <f>VLOOKUP(D2955,'لیست پرسنل'!$B$2:$E$1020,4,FALSE)</f>
        <v>سرپرست نظارت و اجرای سایت</v>
      </c>
      <c r="G2955" s="127">
        <f>VLOOKUP(D2955,'لیست پرسنل'!$B$2:$F$1020,2,FALSE)</f>
        <v>788</v>
      </c>
      <c r="H2955" s="127" t="s">
        <v>5821</v>
      </c>
      <c r="I2955" s="128" t="s">
        <v>7762</v>
      </c>
      <c r="J2955" s="128" t="s">
        <v>368</v>
      </c>
      <c r="K2955" s="128" t="s">
        <v>2846</v>
      </c>
      <c r="L2955" s="128" t="s">
        <v>2910</v>
      </c>
      <c r="M2955" s="127">
        <v>633762</v>
      </c>
      <c r="N2955" s="109"/>
      <c r="O2955" s="19" t="s">
        <v>6410</v>
      </c>
      <c r="P2955" s="32"/>
      <c r="Q2955" s="32"/>
    </row>
    <row r="2956" spans="1:17" ht="24.9" customHeight="1">
      <c r="A2956" s="20">
        <v>456</v>
      </c>
      <c r="B2956" s="20" t="s">
        <v>5675</v>
      </c>
      <c r="C2956" s="20">
        <v>24</v>
      </c>
      <c r="D2956" s="20" t="s">
        <v>1451</v>
      </c>
      <c r="E2956" s="19" t="str">
        <f>VLOOKUP(D2956,'لیست پرسنل'!$B$2:$E$1020,3,FALSE)</f>
        <v>فکورصنعت</v>
      </c>
      <c r="F2956" s="19" t="str">
        <f>VLOOKUP(D2956,'لیست پرسنل'!$B$2:$E$1020,4,FALSE)</f>
        <v>سرپرست نظارت و اجرای سایت</v>
      </c>
      <c r="G2956" s="127">
        <f>VLOOKUP(D2956,'لیست پرسنل'!$B$2:$F$1020,2,FALSE)</f>
        <v>788</v>
      </c>
      <c r="H2956" s="127" t="s">
        <v>5821</v>
      </c>
      <c r="I2956" s="128" t="s">
        <v>7762</v>
      </c>
      <c r="J2956" s="126" t="s">
        <v>571</v>
      </c>
      <c r="K2956" s="128" t="s">
        <v>7717</v>
      </c>
      <c r="L2956" s="128"/>
      <c r="M2956" s="128">
        <v>636301</v>
      </c>
      <c r="N2956" s="108"/>
      <c r="O2956" s="20"/>
      <c r="P2956" s="20"/>
      <c r="Q2956" s="20"/>
    </row>
    <row r="2957" spans="1:17" ht="24.9" customHeight="1">
      <c r="A2957" s="20">
        <v>456</v>
      </c>
      <c r="B2957" s="20" t="s">
        <v>5675</v>
      </c>
      <c r="C2957" s="20">
        <v>24</v>
      </c>
      <c r="D2957" s="20" t="s">
        <v>1451</v>
      </c>
      <c r="E2957" s="19" t="str">
        <f>VLOOKUP(D2957,'لیست پرسنل'!$B$2:$E$1020,3,FALSE)</f>
        <v>فکورصنعت</v>
      </c>
      <c r="F2957" s="19" t="str">
        <f>VLOOKUP(D2957,'لیست پرسنل'!$B$2:$E$1020,4,FALSE)</f>
        <v>سرپرست نظارت و اجرای سایت</v>
      </c>
      <c r="G2957" s="127">
        <f>VLOOKUP(D2957,'لیست پرسنل'!$B$2:$F$1020,2,FALSE)</f>
        <v>788</v>
      </c>
      <c r="H2957" s="127" t="s">
        <v>5821</v>
      </c>
      <c r="I2957" s="128" t="s">
        <v>7762</v>
      </c>
      <c r="J2957" s="126" t="s">
        <v>5618</v>
      </c>
      <c r="K2957" s="128" t="s">
        <v>7561</v>
      </c>
      <c r="L2957" s="128" t="s">
        <v>7728</v>
      </c>
      <c r="M2957" s="128">
        <v>636312</v>
      </c>
      <c r="N2957" s="108"/>
      <c r="O2957" s="20"/>
      <c r="P2957" s="20"/>
      <c r="Q2957" s="20"/>
    </row>
    <row r="2958" spans="1:17" ht="24.9" customHeight="1">
      <c r="A2958" s="20">
        <v>456</v>
      </c>
      <c r="B2958" s="20" t="s">
        <v>5675</v>
      </c>
      <c r="C2958" s="20">
        <v>25</v>
      </c>
      <c r="D2958" s="20" t="s">
        <v>7965</v>
      </c>
      <c r="E2958" s="19" t="str">
        <f>VLOOKUP(D2958,'لیست پرسنل'!$B$2:$E$1020,3,FALSE)</f>
        <v>فکورصنعت</v>
      </c>
      <c r="F2958" s="19" t="str">
        <f>VLOOKUP(D2958,'لیست پرسنل'!$B$2:$E$1020,4,FALSE)</f>
        <v>کارشناس دفتر فنی سیویل</v>
      </c>
      <c r="G2958" s="127">
        <f>VLOOKUP(D2958,'لیست پرسنل'!$B$2:$F$1020,2,FALSE)</f>
        <v>4040401</v>
      </c>
      <c r="H2958" s="127" t="s">
        <v>5821</v>
      </c>
      <c r="I2958" s="128" t="s">
        <v>7966</v>
      </c>
      <c r="J2958" s="128" t="s">
        <v>368</v>
      </c>
      <c r="K2958" s="128" t="s">
        <v>2846</v>
      </c>
      <c r="L2958" s="128" t="s">
        <v>4872</v>
      </c>
      <c r="M2958" s="127">
        <v>633731</v>
      </c>
      <c r="N2958" s="109"/>
      <c r="O2958" s="19" t="s">
        <v>6387</v>
      </c>
      <c r="P2958" s="32"/>
      <c r="Q2958" s="32"/>
    </row>
    <row r="2959" spans="1:17" ht="24.9" customHeight="1">
      <c r="A2959" s="20">
        <v>456</v>
      </c>
      <c r="B2959" s="20" t="s">
        <v>5675</v>
      </c>
      <c r="C2959" s="20">
        <v>25</v>
      </c>
      <c r="D2959" s="20" t="s">
        <v>7965</v>
      </c>
      <c r="E2959" s="19" t="str">
        <f>VLOOKUP(D2959,'لیست پرسنل'!$B$2:$E$1020,3,FALSE)</f>
        <v>فکورصنعت</v>
      </c>
      <c r="F2959" s="19" t="str">
        <f>VLOOKUP(D2959,'لیست پرسنل'!$B$2:$E$1020,4,FALSE)</f>
        <v>کارشناس دفتر فنی سیویل</v>
      </c>
      <c r="G2959" s="127">
        <f>VLOOKUP(D2959,'لیست پرسنل'!$B$2:$F$1020,2,FALSE)</f>
        <v>4040401</v>
      </c>
      <c r="H2959" s="127" t="s">
        <v>5821</v>
      </c>
      <c r="I2959" s="128" t="s">
        <v>7966</v>
      </c>
      <c r="J2959" s="126" t="s">
        <v>571</v>
      </c>
      <c r="K2959" s="128" t="s">
        <v>7717</v>
      </c>
      <c r="L2959" s="128"/>
      <c r="M2959" s="128">
        <v>636303</v>
      </c>
      <c r="N2959" s="108"/>
      <c r="O2959" s="20"/>
      <c r="P2959" s="20"/>
      <c r="Q2959" s="20"/>
    </row>
    <row r="2960" spans="1:17" ht="24.9" customHeight="1">
      <c r="A2960" s="20">
        <v>456</v>
      </c>
      <c r="B2960" s="20" t="s">
        <v>5675</v>
      </c>
      <c r="C2960" s="20">
        <v>25</v>
      </c>
      <c r="D2960" s="20" t="s">
        <v>7965</v>
      </c>
      <c r="E2960" s="19" t="str">
        <f>VLOOKUP(D2960,'لیست پرسنل'!$B$2:$E$1020,3,FALSE)</f>
        <v>فکورصنعت</v>
      </c>
      <c r="F2960" s="19" t="str">
        <f>VLOOKUP(D2960,'لیست پرسنل'!$B$2:$E$1020,4,FALSE)</f>
        <v>کارشناس دفتر فنی سیویل</v>
      </c>
      <c r="G2960" s="127">
        <f>VLOOKUP(D2960,'لیست پرسنل'!$B$2:$F$1020,2,FALSE)</f>
        <v>4040401</v>
      </c>
      <c r="H2960" s="127" t="s">
        <v>5821</v>
      </c>
      <c r="I2960" s="127" t="s">
        <v>7966</v>
      </c>
      <c r="J2960" s="128" t="s">
        <v>5618</v>
      </c>
      <c r="K2960" s="127"/>
      <c r="L2960" s="127" t="s">
        <v>8492</v>
      </c>
      <c r="M2960" s="127">
        <v>637847</v>
      </c>
      <c r="N2960" s="109"/>
      <c r="O2960" s="20"/>
      <c r="P2960" s="20"/>
      <c r="Q2960" s="20"/>
    </row>
    <row r="2961" spans="1:17" ht="24.9" customHeight="1">
      <c r="A2961" s="20">
        <v>456</v>
      </c>
      <c r="B2961" s="20" t="s">
        <v>5675</v>
      </c>
      <c r="C2961" s="20">
        <v>25</v>
      </c>
      <c r="D2961" s="20" t="s">
        <v>7965</v>
      </c>
      <c r="E2961" s="19" t="str">
        <f>VLOOKUP(D2961,'لیست پرسنل'!$B$2:$E$1020,3,FALSE)</f>
        <v>فکورصنعت</v>
      </c>
      <c r="F2961" s="19" t="str">
        <f>VLOOKUP(D2961,'لیست پرسنل'!$B$2:$E$1020,4,FALSE)</f>
        <v>کارشناس دفتر فنی سیویل</v>
      </c>
      <c r="G2961" s="127">
        <f>VLOOKUP(D2961,'لیست پرسنل'!$B$2:$F$1020,2,FALSE)</f>
        <v>4040401</v>
      </c>
      <c r="H2961" s="127" t="s">
        <v>5821</v>
      </c>
      <c r="I2961" s="127" t="s">
        <v>7966</v>
      </c>
      <c r="J2961" s="128" t="s">
        <v>5618</v>
      </c>
      <c r="K2961" s="127"/>
      <c r="L2961" s="127" t="s">
        <v>8493</v>
      </c>
      <c r="M2961" s="127">
        <v>637849</v>
      </c>
      <c r="N2961" s="109"/>
      <c r="O2961" s="20"/>
      <c r="P2961" s="20"/>
      <c r="Q2961" s="20"/>
    </row>
    <row r="2962" spans="1:17" ht="24.9" customHeight="1">
      <c r="A2962" s="20">
        <v>456</v>
      </c>
      <c r="B2962" s="20" t="s">
        <v>5675</v>
      </c>
      <c r="C2962" s="20">
        <v>26</v>
      </c>
      <c r="D2962" s="19" t="s">
        <v>3541</v>
      </c>
      <c r="E2962" s="19" t="str">
        <f>VLOOKUP(D2962,'لیست پرسنل'!$B$2:$E$1020,3,FALSE)</f>
        <v>فکورصنعت</v>
      </c>
      <c r="F2962" s="19" t="str">
        <f>VLOOKUP(D2962,'لیست پرسنل'!$B$2:$E$1020,4,FALSE)</f>
        <v>مدیرپروژه</v>
      </c>
      <c r="G2962" s="127">
        <f>VLOOKUP(D2962,'لیست پرسنل'!$B$2:$F$1020,2,FALSE)</f>
        <v>165</v>
      </c>
      <c r="H2962" s="127" t="s">
        <v>7163</v>
      </c>
      <c r="I2962" s="127" t="s">
        <v>8340</v>
      </c>
      <c r="J2962" s="127" t="s">
        <v>368</v>
      </c>
      <c r="K2962" s="127" t="s">
        <v>5647</v>
      </c>
      <c r="L2962" s="127" t="s">
        <v>5648</v>
      </c>
      <c r="M2962" s="127">
        <v>632010</v>
      </c>
      <c r="N2962" s="109" t="s">
        <v>5643</v>
      </c>
      <c r="O2962" s="20"/>
      <c r="P2962" s="28"/>
      <c r="Q2962" s="28"/>
    </row>
    <row r="2963" spans="1:17" ht="24.9" customHeight="1">
      <c r="A2963" s="20">
        <v>456</v>
      </c>
      <c r="B2963" s="20" t="s">
        <v>5675</v>
      </c>
      <c r="C2963" s="20">
        <v>26</v>
      </c>
      <c r="D2963" s="20" t="s">
        <v>3541</v>
      </c>
      <c r="E2963" s="19" t="str">
        <f>VLOOKUP(D2963,'لیست پرسنل'!$B$2:$E$1020,3,FALSE)</f>
        <v>فکورصنعت</v>
      </c>
      <c r="F2963" s="19" t="str">
        <f>VLOOKUP(D2963,'لیست پرسنل'!$B$2:$E$1020,4,FALSE)</f>
        <v>مدیرپروژه</v>
      </c>
      <c r="G2963" s="127">
        <f>VLOOKUP(D2963,'لیست پرسنل'!$B$2:$F$1020,2,FALSE)</f>
        <v>165</v>
      </c>
      <c r="H2963" s="127" t="s">
        <v>7163</v>
      </c>
      <c r="I2963" s="127" t="s">
        <v>8340</v>
      </c>
      <c r="J2963" s="128" t="s">
        <v>571</v>
      </c>
      <c r="K2963" s="127" t="s">
        <v>8338</v>
      </c>
      <c r="L2963" s="127"/>
      <c r="M2963" s="127">
        <v>636951</v>
      </c>
      <c r="N2963" s="109" t="s">
        <v>5643</v>
      </c>
      <c r="O2963" s="20"/>
      <c r="P2963" s="20"/>
      <c r="Q2963" s="20"/>
    </row>
    <row r="2964" spans="1:17" ht="24.9" customHeight="1">
      <c r="A2964" s="20">
        <v>456</v>
      </c>
      <c r="B2964" s="20" t="s">
        <v>5675</v>
      </c>
      <c r="C2964" s="20">
        <v>26</v>
      </c>
      <c r="D2964" s="20" t="s">
        <v>3541</v>
      </c>
      <c r="E2964" s="19" t="str">
        <f>VLOOKUP(D2964,'لیست پرسنل'!$B$2:$E$1020,3,FALSE)</f>
        <v>فکورصنعت</v>
      </c>
      <c r="F2964" s="19" t="str">
        <f>VLOOKUP(D2964,'لیست پرسنل'!$B$2:$E$1020,4,FALSE)</f>
        <v>مدیرپروژه</v>
      </c>
      <c r="G2964" s="127">
        <f>VLOOKUP(D2964,'لیست پرسنل'!$B$2:$F$1020,2,FALSE)</f>
        <v>165</v>
      </c>
      <c r="H2964" s="127" t="s">
        <v>7163</v>
      </c>
      <c r="I2964" s="127" t="s">
        <v>8340</v>
      </c>
      <c r="J2964" s="126" t="s">
        <v>5618</v>
      </c>
      <c r="K2964" s="128" t="s">
        <v>7561</v>
      </c>
      <c r="L2964" s="128" t="s">
        <v>7727</v>
      </c>
      <c r="M2964" s="128">
        <v>636311</v>
      </c>
      <c r="N2964" s="109" t="s">
        <v>5643</v>
      </c>
      <c r="O2964" s="20"/>
      <c r="P2964" s="20"/>
      <c r="Q2964" s="20"/>
    </row>
    <row r="2965" spans="1:17" ht="24.9" customHeight="1">
      <c r="A2965" s="20">
        <v>456</v>
      </c>
      <c r="B2965" s="20" t="s">
        <v>5675</v>
      </c>
      <c r="C2965" s="20">
        <v>27</v>
      </c>
      <c r="D2965" s="19" t="s">
        <v>8342</v>
      </c>
      <c r="E2965" s="19" t="str">
        <f>VLOOKUP(D2965,'لیست پرسنل'!$B$2:$E$1020,3,FALSE)</f>
        <v>گهر کوشان سپهر</v>
      </c>
      <c r="F2965" s="19" t="str">
        <f>VLOOKUP(D2965,'لیست پرسنل'!$B$2:$E$1020,4,FALSE)</f>
        <v>کارشناس دفتر فنی سیویل</v>
      </c>
      <c r="G2965" s="127">
        <f>VLOOKUP(D2965,'لیست پرسنل'!$B$2:$F$1020,2,FALSE)</f>
        <v>21081</v>
      </c>
      <c r="H2965" s="127" t="s">
        <v>5821</v>
      </c>
      <c r="I2965" s="128" t="s">
        <v>8343</v>
      </c>
      <c r="J2965" s="128" t="s">
        <v>368</v>
      </c>
      <c r="K2965" s="128" t="s">
        <v>2846</v>
      </c>
      <c r="L2965" s="128" t="s">
        <v>4754</v>
      </c>
      <c r="M2965" s="127">
        <v>633726</v>
      </c>
      <c r="N2965" s="109" t="s">
        <v>5643</v>
      </c>
      <c r="O2965" s="19" t="s">
        <v>6374</v>
      </c>
      <c r="P2965" s="32"/>
      <c r="Q2965" s="32"/>
    </row>
    <row r="2966" spans="1:17" ht="24.9" customHeight="1">
      <c r="A2966" s="20">
        <v>456</v>
      </c>
      <c r="B2966" s="20" t="s">
        <v>5675</v>
      </c>
      <c r="C2966" s="20">
        <v>27</v>
      </c>
      <c r="D2966" s="20" t="s">
        <v>8342</v>
      </c>
      <c r="E2966" s="19" t="str">
        <f>VLOOKUP(D2966,'لیست پرسنل'!$B$2:$E$1020,3,FALSE)</f>
        <v>گهر کوشان سپهر</v>
      </c>
      <c r="F2966" s="19" t="str">
        <f>VLOOKUP(D2966,'لیست پرسنل'!$B$2:$E$1020,4,FALSE)</f>
        <v>کارشناس دفتر فنی سیویل</v>
      </c>
      <c r="G2966" s="127">
        <f>VLOOKUP(D2966,'لیست پرسنل'!$B$2:$F$1020,2,FALSE)</f>
        <v>21081</v>
      </c>
      <c r="H2966" s="127" t="s">
        <v>5821</v>
      </c>
      <c r="I2966" s="127" t="s">
        <v>8343</v>
      </c>
      <c r="J2966" s="128" t="s">
        <v>571</v>
      </c>
      <c r="K2966" s="127" t="s">
        <v>8338</v>
      </c>
      <c r="L2966" s="127"/>
      <c r="M2966" s="127">
        <v>636950</v>
      </c>
      <c r="N2966" s="109" t="s">
        <v>5641</v>
      </c>
      <c r="O2966" s="20"/>
      <c r="P2966" s="20"/>
      <c r="Q2966" s="20"/>
    </row>
    <row r="2967" spans="1:17" ht="24.9" customHeight="1">
      <c r="A2967" s="20">
        <v>456</v>
      </c>
      <c r="B2967" s="20" t="s">
        <v>5675</v>
      </c>
      <c r="C2967" s="20">
        <v>27</v>
      </c>
      <c r="D2967" s="19" t="s">
        <v>8342</v>
      </c>
      <c r="E2967" s="19" t="str">
        <f>VLOOKUP(D2967,'لیست پرسنل'!$B$2:$E$1020,3,FALSE)</f>
        <v>گهر کوشان سپهر</v>
      </c>
      <c r="F2967" s="19" t="str">
        <f>VLOOKUP(D2967,'لیست پرسنل'!$B$2:$E$1020,4,FALSE)</f>
        <v>کارشناس دفتر فنی سیویل</v>
      </c>
      <c r="G2967" s="127">
        <f>VLOOKUP(D2967,'لیست پرسنل'!$B$2:$F$1020,2,FALSE)</f>
        <v>21081</v>
      </c>
      <c r="H2967" s="127" t="s">
        <v>5821</v>
      </c>
      <c r="I2967" s="128" t="s">
        <v>8343</v>
      </c>
      <c r="J2967" s="128" t="s">
        <v>2686</v>
      </c>
      <c r="K2967" s="128" t="s">
        <v>2143</v>
      </c>
      <c r="L2967" s="128" t="s">
        <v>4770</v>
      </c>
      <c r="M2967" s="127">
        <v>633619</v>
      </c>
      <c r="N2967" s="109" t="s">
        <v>5641</v>
      </c>
      <c r="O2967" s="19" t="s">
        <v>6282</v>
      </c>
      <c r="P2967" s="32"/>
      <c r="Q2967" s="32"/>
    </row>
    <row r="2968" spans="1:17" ht="24.9" customHeight="1">
      <c r="A2968" s="20">
        <v>456</v>
      </c>
      <c r="B2968" s="20" t="s">
        <v>5675</v>
      </c>
      <c r="C2968" s="20">
        <v>29</v>
      </c>
      <c r="D2968" s="19" t="s">
        <v>8471</v>
      </c>
      <c r="E2968" s="19" t="str">
        <f>VLOOKUP(D2968,'لیست پرسنل'!$B$2:$E$1020,3,FALSE)</f>
        <v>گهر کوشان سپهر</v>
      </c>
      <c r="F2968" s="19" t="str">
        <f>VLOOKUP(D2968,'لیست پرسنل'!$B$2:$E$1020,4,FALSE)</f>
        <v>نقشه برداری</v>
      </c>
      <c r="G2968" s="127">
        <f>VLOOKUP(D2968,'لیست پرسنل'!$B$2:$F$1020,2,FALSE)</f>
        <v>21086</v>
      </c>
      <c r="H2968" s="127" t="s">
        <v>5639</v>
      </c>
      <c r="I2968" s="128" t="s">
        <v>8473</v>
      </c>
      <c r="J2968" s="126" t="s">
        <v>571</v>
      </c>
      <c r="K2968" s="128"/>
      <c r="L2968" s="127"/>
      <c r="M2968" s="127">
        <v>633682</v>
      </c>
      <c r="N2968" s="109"/>
      <c r="O2968" s="19" t="s">
        <v>6341</v>
      </c>
      <c r="P2968" s="32"/>
      <c r="Q2968" s="32"/>
    </row>
    <row r="2969" spans="1:17" ht="24.9" customHeight="1">
      <c r="A2969" s="20">
        <v>456</v>
      </c>
      <c r="B2969" s="20" t="s">
        <v>5675</v>
      </c>
      <c r="C2969" s="20">
        <v>29</v>
      </c>
      <c r="D2969" s="20" t="s">
        <v>8471</v>
      </c>
      <c r="E2969" s="19" t="str">
        <f>VLOOKUP(D2969,'لیست پرسنل'!$B$2:$E$1020,3,FALSE)</f>
        <v>گهر کوشان سپهر</v>
      </c>
      <c r="F2969" s="19" t="str">
        <f>VLOOKUP(D2969,'لیست پرسنل'!$B$2:$E$1020,4,FALSE)</f>
        <v>نقشه برداری</v>
      </c>
      <c r="G2969" s="127">
        <f>VLOOKUP(D2969,'لیست پرسنل'!$B$2:$F$1020,2,FALSE)</f>
        <v>21086</v>
      </c>
      <c r="H2969" s="127" t="s">
        <v>5639</v>
      </c>
      <c r="I2969" s="127" t="s">
        <v>8473</v>
      </c>
      <c r="J2969" s="128" t="s">
        <v>5618</v>
      </c>
      <c r="K2969" s="127" t="s">
        <v>8339</v>
      </c>
      <c r="L2969" s="127" t="s">
        <v>8474</v>
      </c>
      <c r="M2969" s="127">
        <v>636956</v>
      </c>
      <c r="N2969" s="109"/>
      <c r="O2969" s="20"/>
      <c r="P2969" s="20"/>
      <c r="Q2969" s="20"/>
    </row>
    <row r="2970" spans="1:17" ht="24.9" customHeight="1">
      <c r="A2970" s="20">
        <v>456</v>
      </c>
      <c r="B2970" s="20" t="s">
        <v>5675</v>
      </c>
      <c r="C2970" s="20">
        <v>31</v>
      </c>
      <c r="D2970" s="20" t="s">
        <v>8582</v>
      </c>
      <c r="E2970" s="19" t="str">
        <f>VLOOKUP(D2970,'لیست پرسنل'!$B$2:$E$1020,3,FALSE)</f>
        <v>گهر کوشان سپهر</v>
      </c>
      <c r="F2970" s="19" t="str">
        <f>VLOOKUP(D2970,'لیست پرسنل'!$B$2:$E$1020,4,FALSE)</f>
        <v>انبار</v>
      </c>
      <c r="G2970" s="127">
        <f>VLOOKUP(D2970,'لیست پرسنل'!$B$2:$F$1020,2,FALSE)</f>
        <v>21099</v>
      </c>
      <c r="H2970" s="127" t="s">
        <v>8584</v>
      </c>
      <c r="I2970" s="127" t="s">
        <v>8585</v>
      </c>
      <c r="J2970" s="128" t="s">
        <v>571</v>
      </c>
      <c r="K2970" s="127" t="s">
        <v>2219</v>
      </c>
      <c r="L2970" s="127"/>
      <c r="M2970" s="127">
        <v>621770</v>
      </c>
      <c r="N2970" s="109" t="s">
        <v>5641</v>
      </c>
      <c r="O2970" s="20"/>
      <c r="P2970" s="20"/>
      <c r="Q2970" s="20"/>
    </row>
    <row r="2971" spans="1:17" ht="24.9" customHeight="1">
      <c r="A2971" s="20">
        <v>456</v>
      </c>
      <c r="B2971" s="20" t="s">
        <v>5675</v>
      </c>
      <c r="C2971" s="20">
        <v>31</v>
      </c>
      <c r="D2971" s="20" t="s">
        <v>8582</v>
      </c>
      <c r="E2971" s="19" t="str">
        <f>VLOOKUP(D2971,'لیست پرسنل'!$B$2:$E$1020,3,FALSE)</f>
        <v>گهر کوشان سپهر</v>
      </c>
      <c r="F2971" s="19" t="str">
        <f>VLOOKUP(D2971,'لیست پرسنل'!$B$2:$E$1020,4,FALSE)</f>
        <v>انبار</v>
      </c>
      <c r="G2971" s="127">
        <f>VLOOKUP(D2971,'لیست پرسنل'!$B$2:$F$1020,2,FALSE)</f>
        <v>21099</v>
      </c>
      <c r="H2971" s="127" t="s">
        <v>8584</v>
      </c>
      <c r="I2971" s="127" t="s">
        <v>8585</v>
      </c>
      <c r="J2971" s="128" t="s">
        <v>2686</v>
      </c>
      <c r="K2971" s="127" t="s">
        <v>8586</v>
      </c>
      <c r="L2971" s="127" t="s">
        <v>8587</v>
      </c>
      <c r="M2971" s="127">
        <v>637853</v>
      </c>
      <c r="N2971" s="110" t="s">
        <v>5641</v>
      </c>
      <c r="O2971" s="20"/>
      <c r="P2971" s="20"/>
      <c r="Q2971" s="20"/>
    </row>
    <row r="2972" spans="1:17" ht="24.9" customHeight="1">
      <c r="A2972" s="20">
        <v>456</v>
      </c>
      <c r="B2972" s="20" t="s">
        <v>5675</v>
      </c>
      <c r="C2972" s="20"/>
      <c r="D2972" s="20" t="s">
        <v>48</v>
      </c>
      <c r="E2972" s="19" t="str">
        <f>VLOOKUP(D2972,'لیست پرسنل'!$B$2:$E$1020,3,FALSE)</f>
        <v>فکورصنعت</v>
      </c>
      <c r="F2972" s="19" t="str">
        <f>VLOOKUP(D2972,'لیست پرسنل'!$B$2:$E$1020,4,FALSE)</f>
        <v>سرپرست آی تی</v>
      </c>
      <c r="G2972" s="127">
        <f>VLOOKUP(D2972,'لیست پرسنل'!$B$2:$F$1020,2,FALSE)</f>
        <v>2210</v>
      </c>
      <c r="H2972" s="127" t="s">
        <v>7449</v>
      </c>
      <c r="I2972" s="128"/>
      <c r="J2972" s="126" t="s">
        <v>3476</v>
      </c>
      <c r="K2972" s="128" t="s">
        <v>7126</v>
      </c>
      <c r="L2972" s="128"/>
      <c r="M2972" s="128">
        <v>632881</v>
      </c>
      <c r="N2972" s="108"/>
      <c r="O2972" s="20"/>
      <c r="P2972" s="20"/>
      <c r="Q2972" s="20"/>
    </row>
    <row r="2973" spans="1:17" ht="24.9" customHeight="1">
      <c r="A2973" s="20">
        <v>456</v>
      </c>
      <c r="B2973" s="20" t="s">
        <v>5675</v>
      </c>
      <c r="C2973" s="20"/>
      <c r="D2973" s="20" t="s">
        <v>48</v>
      </c>
      <c r="E2973" s="19" t="str">
        <f>VLOOKUP(D2973,'لیست پرسنل'!$B$2:$E$1020,3,FALSE)</f>
        <v>فکورصنعت</v>
      </c>
      <c r="F2973" s="19" t="str">
        <f>VLOOKUP(D2973,'لیست پرسنل'!$B$2:$E$1020,4,FALSE)</f>
        <v>سرپرست آی تی</v>
      </c>
      <c r="G2973" s="127">
        <f>VLOOKUP(D2973,'لیست پرسنل'!$B$2:$F$1020,2,FALSE)</f>
        <v>2210</v>
      </c>
      <c r="H2973" s="128" t="s">
        <v>7453</v>
      </c>
      <c r="I2973" s="128"/>
      <c r="J2973" s="128" t="s">
        <v>3532</v>
      </c>
      <c r="K2973" s="128" t="s">
        <v>5208</v>
      </c>
      <c r="L2973" s="128"/>
      <c r="M2973" s="133">
        <v>633780</v>
      </c>
      <c r="N2973" s="109"/>
      <c r="O2973" s="19" t="s">
        <v>7232</v>
      </c>
      <c r="P2973" s="32"/>
      <c r="Q2973" s="32"/>
    </row>
    <row r="2974" spans="1:17" ht="24.9" customHeight="1">
      <c r="A2974" s="20">
        <v>456</v>
      </c>
      <c r="B2974" s="20" t="s">
        <v>5675</v>
      </c>
      <c r="C2974" s="20"/>
      <c r="D2974" s="19" t="s">
        <v>6739</v>
      </c>
      <c r="E2974" s="19" t="str">
        <f>VLOOKUP(D2974,'لیست پرسنل'!$B$2:$E$1020,3,FALSE)</f>
        <v>گهر کوشان سپهر</v>
      </c>
      <c r="F2974" s="19" t="str">
        <f>VLOOKUP(D2974,'لیست پرسنل'!$B$2:$E$1020,4,FALSE)</f>
        <v>ترانسپورت</v>
      </c>
      <c r="G2974" s="127">
        <f>VLOOKUP(D2974,'لیست پرسنل'!$B$2:$F$1020,2,FALSE)</f>
        <v>20767</v>
      </c>
      <c r="H2974" s="127" t="s">
        <v>6741</v>
      </c>
      <c r="I2974" s="128"/>
      <c r="J2974" s="126" t="s">
        <v>368</v>
      </c>
      <c r="K2974" s="128" t="s">
        <v>2846</v>
      </c>
      <c r="L2974" s="127" t="s">
        <v>2166</v>
      </c>
      <c r="M2974" s="127">
        <v>633741</v>
      </c>
      <c r="N2974" s="109"/>
      <c r="O2974" s="19" t="s">
        <v>6445</v>
      </c>
      <c r="P2974" s="32"/>
      <c r="Q2974" s="32"/>
    </row>
    <row r="2975" spans="1:17" ht="24.9" customHeight="1">
      <c r="A2975" s="20">
        <v>456</v>
      </c>
      <c r="B2975" s="20" t="s">
        <v>5675</v>
      </c>
      <c r="C2975" s="20"/>
      <c r="D2975" s="20" t="s">
        <v>8499</v>
      </c>
      <c r="E2975" s="19" t="str">
        <f>VLOOKUP(D2975,'لیست پرسنل'!$B$2:$E$1020,3,FALSE)</f>
        <v>پیمانکاری جمالپور</v>
      </c>
      <c r="F2975" s="19">
        <f>VLOOKUP(D2975,'لیست پرسنل'!$B$2:$E$1020,4,FALSE)</f>
        <v>0</v>
      </c>
      <c r="G2975" s="127">
        <f>VLOOKUP(D2975,'لیست پرسنل'!$B$2:$F$1020,2,FALSE)</f>
        <v>0</v>
      </c>
      <c r="H2975" s="127" t="s">
        <v>8500</v>
      </c>
      <c r="I2975" s="127"/>
      <c r="J2975" s="128" t="s">
        <v>571</v>
      </c>
      <c r="K2975" s="127"/>
      <c r="L2975" s="127"/>
      <c r="M2975" s="127">
        <v>624721</v>
      </c>
      <c r="N2975" s="109" t="s">
        <v>5641</v>
      </c>
      <c r="O2975" s="20"/>
      <c r="P2975" s="20"/>
      <c r="Q2975" s="20"/>
    </row>
    <row r="2976" spans="1:17" ht="30" customHeight="1">
      <c r="A2976" s="20">
        <v>456</v>
      </c>
      <c r="B2976" s="20" t="s">
        <v>5675</v>
      </c>
      <c r="C2976" s="20"/>
      <c r="D2976" s="19" t="s">
        <v>8499</v>
      </c>
      <c r="E2976" s="19" t="str">
        <f>VLOOKUP(D2976,'لیست پرسنل'!$B$2:$E$1020,3,FALSE)</f>
        <v>پیمانکاری جمالپور</v>
      </c>
      <c r="F2976" s="19">
        <f>VLOOKUP(D2976,'لیست پرسنل'!$B$2:$E$1020,4,FALSE)</f>
        <v>0</v>
      </c>
      <c r="G2976" s="127">
        <f>VLOOKUP(D2976,'لیست پرسنل'!$B$2:$F$1020,2,FALSE)</f>
        <v>0</v>
      </c>
      <c r="H2976" s="127" t="s">
        <v>8501</v>
      </c>
      <c r="I2976" s="127"/>
      <c r="J2976" s="127" t="s">
        <v>2686</v>
      </c>
      <c r="K2976" s="127" t="s">
        <v>5646</v>
      </c>
      <c r="L2976" s="151" t="s">
        <v>5673</v>
      </c>
      <c r="M2976" s="127">
        <v>604328</v>
      </c>
      <c r="N2976" s="109" t="s">
        <v>5641</v>
      </c>
      <c r="O2976" s="20"/>
      <c r="P2976" s="28"/>
      <c r="Q2976" s="28"/>
    </row>
    <row r="2977" spans="1:17" ht="24.9" customHeight="1">
      <c r="A2977" s="20">
        <v>456</v>
      </c>
      <c r="B2977" s="20" t="s">
        <v>5675</v>
      </c>
      <c r="C2977" s="20"/>
      <c r="D2977" s="20" t="s">
        <v>5641</v>
      </c>
      <c r="E2977" s="19" t="str">
        <f>VLOOKUP(D2977,'لیست پرسنل'!$B$2:$E$1020,3,FALSE)</f>
        <v>فکورصنعت</v>
      </c>
      <c r="F2977" s="19" t="str">
        <f>VLOOKUP(D2977,'لیست پرسنل'!$B$2:$E$1020,4,FALSE)</f>
        <v>رئیس سایت</v>
      </c>
      <c r="G2977" s="127">
        <f>VLOOKUP(D2977,'لیست پرسنل'!$B$2:$F$1020,2,FALSE)</f>
        <v>4020802</v>
      </c>
      <c r="H2977" s="127" t="s">
        <v>8325</v>
      </c>
      <c r="I2977" s="127"/>
      <c r="J2977" s="128" t="s">
        <v>3143</v>
      </c>
      <c r="K2977" s="127" t="s">
        <v>8326</v>
      </c>
      <c r="L2977" s="127" t="s">
        <v>8320</v>
      </c>
      <c r="M2977" s="127" t="s">
        <v>291</v>
      </c>
      <c r="N2977" s="109"/>
      <c r="O2977" s="20"/>
      <c r="P2977" s="20"/>
      <c r="Q2977" s="20"/>
    </row>
    <row r="2978" spans="1:17" ht="24.9" customHeight="1">
      <c r="A2978" s="20">
        <v>456</v>
      </c>
      <c r="B2978" s="20" t="s">
        <v>5675</v>
      </c>
      <c r="C2978" s="20"/>
      <c r="D2978" s="19" t="s">
        <v>5641</v>
      </c>
      <c r="E2978" s="19" t="str">
        <f>VLOOKUP(D2978,'لیست پرسنل'!$B$2:$E$1020,3,FALSE)</f>
        <v>فکورصنعت</v>
      </c>
      <c r="F2978" s="19" t="str">
        <f>VLOOKUP(D2978,'لیست پرسنل'!$B$2:$E$1020,4,FALSE)</f>
        <v>رئیس سایت</v>
      </c>
      <c r="G2978" s="127">
        <f>VLOOKUP(D2978,'لیست پرسنل'!$B$2:$F$1020,2,FALSE)</f>
        <v>4020802</v>
      </c>
      <c r="H2978" s="127" t="s">
        <v>7584</v>
      </c>
      <c r="I2978" s="128"/>
      <c r="J2978" s="128" t="s">
        <v>737</v>
      </c>
      <c r="K2978" s="128" t="s">
        <v>2605</v>
      </c>
      <c r="L2978" s="150"/>
      <c r="M2978" s="128">
        <v>627662</v>
      </c>
      <c r="N2978" s="108" t="s">
        <v>7585</v>
      </c>
      <c r="O2978" s="20"/>
      <c r="P2978" s="20"/>
      <c r="Q2978" s="20"/>
    </row>
    <row r="2979" spans="1:17" ht="24.9" customHeight="1">
      <c r="A2979" s="20">
        <v>456</v>
      </c>
      <c r="B2979" s="20" t="s">
        <v>5675</v>
      </c>
      <c r="C2979" s="20"/>
      <c r="D2979" s="20" t="s">
        <v>5641</v>
      </c>
      <c r="E2979" s="19" t="str">
        <f>VLOOKUP(D2979,'لیست پرسنل'!$B$2:$E$1020,3,FALSE)</f>
        <v>فکورصنعت</v>
      </c>
      <c r="F2979" s="19" t="str">
        <f>VLOOKUP(D2979,'لیست پرسنل'!$B$2:$E$1020,4,FALSE)</f>
        <v>رئیس سایت</v>
      </c>
      <c r="G2979" s="127">
        <f>VLOOKUP(D2979,'لیست پرسنل'!$B$2:$F$1020,2,FALSE)</f>
        <v>4020802</v>
      </c>
      <c r="H2979" s="127" t="s">
        <v>8498</v>
      </c>
      <c r="I2979" s="127"/>
      <c r="J2979" s="128" t="s">
        <v>571</v>
      </c>
      <c r="K2979" s="127"/>
      <c r="L2979" s="127"/>
      <c r="M2979" s="127">
        <v>628259</v>
      </c>
      <c r="N2979" s="109"/>
      <c r="O2979" s="20"/>
      <c r="P2979" s="20"/>
      <c r="Q2979" s="20"/>
    </row>
    <row r="2980" spans="1:17" ht="24.9" customHeight="1">
      <c r="A2980" s="20">
        <v>456</v>
      </c>
      <c r="B2980" s="20" t="s">
        <v>5675</v>
      </c>
      <c r="C2980" s="20"/>
      <c r="D2980" s="19" t="s">
        <v>5641</v>
      </c>
      <c r="E2980" s="19" t="str">
        <f>VLOOKUP(D2980,'لیست پرسنل'!$B$2:$E$1020,3,FALSE)</f>
        <v>فکورصنعت</v>
      </c>
      <c r="F2980" s="19" t="str">
        <f>VLOOKUP(D2980,'لیست پرسنل'!$B$2:$E$1020,4,FALSE)</f>
        <v>رئیس سایت</v>
      </c>
      <c r="G2980" s="127">
        <f>VLOOKUP(D2980,'لیست پرسنل'!$B$2:$F$1020,2,FALSE)</f>
        <v>4020802</v>
      </c>
      <c r="H2980" s="127" t="s">
        <v>8498</v>
      </c>
      <c r="I2980" s="127"/>
      <c r="J2980" s="127" t="s">
        <v>2686</v>
      </c>
      <c r="K2980" s="127" t="s">
        <v>5646</v>
      </c>
      <c r="L2980" s="151" t="s">
        <v>5672</v>
      </c>
      <c r="M2980" s="127">
        <v>604882</v>
      </c>
      <c r="N2980" s="109"/>
      <c r="O2980" s="20"/>
      <c r="P2980" s="28"/>
      <c r="Q2980" s="28"/>
    </row>
    <row r="2981" spans="1:17" ht="24.9" customHeight="1">
      <c r="A2981" s="20">
        <v>456</v>
      </c>
      <c r="B2981" s="20" t="s">
        <v>5675</v>
      </c>
      <c r="C2981" s="20"/>
      <c r="D2981" s="20" t="s">
        <v>5641</v>
      </c>
      <c r="E2981" s="19" t="str">
        <f>VLOOKUP(D2981,'لیست پرسنل'!$B$2:$E$1020,3,FALSE)</f>
        <v>فکورصنعت</v>
      </c>
      <c r="F2981" s="19" t="str">
        <f>VLOOKUP(D2981,'لیست پرسنل'!$B$2:$E$1020,4,FALSE)</f>
        <v>رئیس سایت</v>
      </c>
      <c r="G2981" s="127">
        <f>VLOOKUP(D2981,'لیست پرسنل'!$B$2:$F$1020,2,FALSE)</f>
        <v>4020802</v>
      </c>
      <c r="H2981" s="128" t="s">
        <v>7454</v>
      </c>
      <c r="I2981" s="128"/>
      <c r="J2981" s="128" t="s">
        <v>5366</v>
      </c>
      <c r="K2981" s="128" t="s">
        <v>8237</v>
      </c>
      <c r="L2981" s="127"/>
      <c r="M2981" s="127">
        <v>635663</v>
      </c>
      <c r="N2981" s="109"/>
      <c r="O2981" s="19"/>
      <c r="P2981" s="32"/>
      <c r="Q2981" s="32"/>
    </row>
    <row r="2982" spans="1:17" ht="24.9" customHeight="1">
      <c r="A2982" s="20">
        <v>456</v>
      </c>
      <c r="B2982" s="20" t="s">
        <v>5675</v>
      </c>
      <c r="C2982" s="20"/>
      <c r="D2982" s="19" t="s">
        <v>5641</v>
      </c>
      <c r="E2982" s="19" t="str">
        <f>VLOOKUP(D2982,'لیست پرسنل'!$B$2:$E$1020,3,FALSE)</f>
        <v>فکورصنعت</v>
      </c>
      <c r="F2982" s="19" t="str">
        <f>VLOOKUP(D2982,'لیست پرسنل'!$B$2:$E$1020,4,FALSE)</f>
        <v>رئیس سایت</v>
      </c>
      <c r="G2982" s="127">
        <f>VLOOKUP(D2982,'لیست پرسنل'!$B$2:$F$1020,2,FALSE)</f>
        <v>4020802</v>
      </c>
      <c r="H2982" s="127" t="s">
        <v>8322</v>
      </c>
      <c r="I2982" s="128"/>
      <c r="J2982" s="126" t="s">
        <v>3476</v>
      </c>
      <c r="K2982" s="128" t="s">
        <v>7294</v>
      </c>
      <c r="L2982" s="128" t="s">
        <v>7298</v>
      </c>
      <c r="M2982" s="128">
        <v>635951</v>
      </c>
      <c r="N2982" s="109" t="s">
        <v>7311</v>
      </c>
      <c r="O2982" s="19"/>
      <c r="P2982" s="32"/>
      <c r="Q2982" s="32"/>
    </row>
    <row r="2983" spans="1:17" ht="24.9" customHeight="1">
      <c r="A2983" s="20">
        <v>456</v>
      </c>
      <c r="B2983" s="20" t="s">
        <v>5675</v>
      </c>
      <c r="C2983" s="20"/>
      <c r="D2983" s="19" t="s">
        <v>5641</v>
      </c>
      <c r="E2983" s="19" t="str">
        <f>VLOOKUP(D2983,'لیست پرسنل'!$B$2:$E$1020,3,FALSE)</f>
        <v>فکورصنعت</v>
      </c>
      <c r="F2983" s="19" t="str">
        <f>VLOOKUP(D2983,'لیست پرسنل'!$B$2:$E$1020,4,FALSE)</f>
        <v>رئیس سایت</v>
      </c>
      <c r="G2983" s="127">
        <f>VLOOKUP(D2983,'لیست پرسنل'!$B$2:$F$1020,2,FALSE)</f>
        <v>4020802</v>
      </c>
      <c r="H2983" s="127" t="s">
        <v>7887</v>
      </c>
      <c r="I2983" s="128"/>
      <c r="J2983" s="126" t="s">
        <v>5927</v>
      </c>
      <c r="K2983" s="128" t="s">
        <v>7329</v>
      </c>
      <c r="L2983" s="128"/>
      <c r="M2983" s="128" t="s">
        <v>291</v>
      </c>
      <c r="N2983" s="109" t="s">
        <v>7330</v>
      </c>
      <c r="O2983" s="19"/>
      <c r="P2983" s="32"/>
      <c r="Q2983" s="32"/>
    </row>
    <row r="2984" spans="1:17" ht="24.9" customHeight="1">
      <c r="A2984" s="20">
        <v>456</v>
      </c>
      <c r="B2984" s="20" t="s">
        <v>5675</v>
      </c>
      <c r="C2984" s="20"/>
      <c r="D2984" s="19" t="s">
        <v>5641</v>
      </c>
      <c r="E2984" s="19" t="str">
        <f>VLOOKUP(D2984,'لیست پرسنل'!$B$2:$E$1020,3,FALSE)</f>
        <v>فکورصنعت</v>
      </c>
      <c r="F2984" s="19" t="str">
        <f>VLOOKUP(D2984,'لیست پرسنل'!$B$2:$E$1020,4,FALSE)</f>
        <v>رئیس سایت</v>
      </c>
      <c r="G2984" s="127">
        <f>VLOOKUP(D2984,'لیست پرسنل'!$B$2:$F$1020,2,FALSE)</f>
        <v>4020802</v>
      </c>
      <c r="H2984" s="127" t="s">
        <v>7887</v>
      </c>
      <c r="I2984" s="128"/>
      <c r="J2984" s="126" t="s">
        <v>5927</v>
      </c>
      <c r="K2984" s="128" t="s">
        <v>7329</v>
      </c>
      <c r="L2984" s="128"/>
      <c r="M2984" s="128" t="s">
        <v>291</v>
      </c>
      <c r="N2984" s="109" t="s">
        <v>7330</v>
      </c>
      <c r="O2984" s="19"/>
      <c r="P2984" s="32"/>
      <c r="Q2984" s="32"/>
    </row>
    <row r="2985" spans="1:17" ht="24.9" customHeight="1">
      <c r="A2985" s="20">
        <v>456</v>
      </c>
      <c r="B2985" s="20" t="s">
        <v>5675</v>
      </c>
      <c r="C2985" s="20"/>
      <c r="D2985" s="19" t="s">
        <v>5641</v>
      </c>
      <c r="E2985" s="19" t="str">
        <f>VLOOKUP(D2985,'لیست پرسنل'!$B$2:$E$1020,3,FALSE)</f>
        <v>فکورصنعت</v>
      </c>
      <c r="F2985" s="19" t="str">
        <f>VLOOKUP(D2985,'لیست پرسنل'!$B$2:$E$1020,4,FALSE)</f>
        <v>رئیس سایت</v>
      </c>
      <c r="G2985" s="127">
        <f>VLOOKUP(D2985,'لیست پرسنل'!$B$2:$F$1020,2,FALSE)</f>
        <v>4020802</v>
      </c>
      <c r="H2985" s="127" t="s">
        <v>7887</v>
      </c>
      <c r="I2985" s="128"/>
      <c r="J2985" s="126" t="s">
        <v>5927</v>
      </c>
      <c r="K2985" s="128" t="s">
        <v>7329</v>
      </c>
      <c r="L2985" s="128"/>
      <c r="M2985" s="128" t="s">
        <v>291</v>
      </c>
      <c r="N2985" s="109" t="s">
        <v>7330</v>
      </c>
      <c r="O2985" s="19"/>
      <c r="P2985" s="32"/>
      <c r="Q2985" s="32"/>
    </row>
    <row r="2986" spans="1:17" ht="24.9" customHeight="1">
      <c r="A2986" s="20">
        <v>456</v>
      </c>
      <c r="B2986" s="20" t="s">
        <v>5675</v>
      </c>
      <c r="C2986" s="20"/>
      <c r="D2986" s="19" t="s">
        <v>5641</v>
      </c>
      <c r="E2986" s="19" t="str">
        <f>VLOOKUP(D2986,'لیست پرسنل'!$B$2:$E$1020,3,FALSE)</f>
        <v>فکورصنعت</v>
      </c>
      <c r="F2986" s="19" t="str">
        <f>VLOOKUP(D2986,'لیست پرسنل'!$B$2:$E$1020,4,FALSE)</f>
        <v>رئیس سایت</v>
      </c>
      <c r="G2986" s="127">
        <f>VLOOKUP(D2986,'لیست پرسنل'!$B$2:$F$1020,2,FALSE)</f>
        <v>4020802</v>
      </c>
      <c r="H2986" s="127" t="s">
        <v>7887</v>
      </c>
      <c r="I2986" s="128"/>
      <c r="J2986" s="126" t="s">
        <v>5927</v>
      </c>
      <c r="K2986" s="128" t="s">
        <v>7329</v>
      </c>
      <c r="L2986" s="128"/>
      <c r="M2986" s="128" t="s">
        <v>291</v>
      </c>
      <c r="N2986" s="109" t="s">
        <v>7330</v>
      </c>
      <c r="O2986" s="19"/>
      <c r="P2986" s="32"/>
      <c r="Q2986" s="32"/>
    </row>
    <row r="2987" spans="1:17" ht="24.9" customHeight="1">
      <c r="A2987" s="20">
        <v>456</v>
      </c>
      <c r="B2987" s="20" t="s">
        <v>5675</v>
      </c>
      <c r="C2987" s="20"/>
      <c r="D2987" s="19" t="s">
        <v>5641</v>
      </c>
      <c r="E2987" s="19" t="str">
        <f>VLOOKUP(D2987,'لیست پرسنل'!$B$2:$E$1020,3,FALSE)</f>
        <v>فکورصنعت</v>
      </c>
      <c r="F2987" s="19" t="str">
        <f>VLOOKUP(D2987,'لیست پرسنل'!$B$2:$E$1020,4,FALSE)</f>
        <v>رئیس سایت</v>
      </c>
      <c r="G2987" s="127">
        <f>VLOOKUP(D2987,'لیست پرسنل'!$B$2:$F$1020,2,FALSE)</f>
        <v>4020802</v>
      </c>
      <c r="H2987" s="127" t="s">
        <v>7887</v>
      </c>
      <c r="I2987" s="128"/>
      <c r="J2987" s="126" t="s">
        <v>5927</v>
      </c>
      <c r="K2987" s="128" t="s">
        <v>7329</v>
      </c>
      <c r="L2987" s="128"/>
      <c r="M2987" s="128" t="s">
        <v>291</v>
      </c>
      <c r="N2987" s="109" t="s">
        <v>7330</v>
      </c>
      <c r="O2987" s="19"/>
      <c r="P2987" s="32"/>
      <c r="Q2987" s="32"/>
    </row>
    <row r="2988" spans="1:17" ht="24.9" customHeight="1">
      <c r="A2988" s="20">
        <v>456</v>
      </c>
      <c r="B2988" s="20" t="s">
        <v>5675</v>
      </c>
      <c r="C2988" s="20"/>
      <c r="D2988" s="19" t="s">
        <v>5641</v>
      </c>
      <c r="E2988" s="19" t="str">
        <f>VLOOKUP(D2988,'لیست پرسنل'!$B$2:$E$1020,3,FALSE)</f>
        <v>فکورصنعت</v>
      </c>
      <c r="F2988" s="19" t="str">
        <f>VLOOKUP(D2988,'لیست پرسنل'!$B$2:$E$1020,4,FALSE)</f>
        <v>رئیس سایت</v>
      </c>
      <c r="G2988" s="127">
        <f>VLOOKUP(D2988,'لیست پرسنل'!$B$2:$F$1020,2,FALSE)</f>
        <v>4020802</v>
      </c>
      <c r="H2988" s="127" t="s">
        <v>7887</v>
      </c>
      <c r="I2988" s="128"/>
      <c r="J2988" s="126" t="s">
        <v>5927</v>
      </c>
      <c r="K2988" s="128" t="s">
        <v>7329</v>
      </c>
      <c r="L2988" s="128"/>
      <c r="M2988" s="128" t="s">
        <v>291</v>
      </c>
      <c r="N2988" s="109" t="s">
        <v>7330</v>
      </c>
      <c r="O2988" s="19"/>
      <c r="P2988" s="32"/>
      <c r="Q2988" s="32"/>
    </row>
    <row r="2989" spans="1:17" ht="24.9" customHeight="1">
      <c r="A2989" s="20">
        <v>456</v>
      </c>
      <c r="B2989" s="20" t="s">
        <v>5675</v>
      </c>
      <c r="C2989" s="20"/>
      <c r="D2989" s="19" t="s">
        <v>5641</v>
      </c>
      <c r="E2989" s="19" t="str">
        <f>VLOOKUP(D2989,'لیست پرسنل'!$B$2:$E$1020,3,FALSE)</f>
        <v>فکورصنعت</v>
      </c>
      <c r="F2989" s="19" t="str">
        <f>VLOOKUP(D2989,'لیست پرسنل'!$B$2:$E$1020,4,FALSE)</f>
        <v>رئیس سایت</v>
      </c>
      <c r="G2989" s="127">
        <f>VLOOKUP(D2989,'لیست پرسنل'!$B$2:$F$1020,2,FALSE)</f>
        <v>4020802</v>
      </c>
      <c r="H2989" s="127" t="s">
        <v>7887</v>
      </c>
      <c r="I2989" s="128"/>
      <c r="J2989" s="126" t="s">
        <v>5927</v>
      </c>
      <c r="K2989" s="128" t="s">
        <v>7329</v>
      </c>
      <c r="L2989" s="128"/>
      <c r="M2989" s="128" t="s">
        <v>291</v>
      </c>
      <c r="N2989" s="109" t="s">
        <v>7330</v>
      </c>
      <c r="O2989" s="19"/>
      <c r="P2989" s="32"/>
      <c r="Q2989" s="32"/>
    </row>
    <row r="2990" spans="1:17" ht="24.9" customHeight="1">
      <c r="A2990" s="20">
        <v>456</v>
      </c>
      <c r="B2990" s="20" t="s">
        <v>5675</v>
      </c>
      <c r="C2990" s="20"/>
      <c r="D2990" s="19" t="s">
        <v>5641</v>
      </c>
      <c r="E2990" s="19" t="str">
        <f>VLOOKUP(D2990,'لیست پرسنل'!$B$2:$E$1020,3,FALSE)</f>
        <v>فکورصنعت</v>
      </c>
      <c r="F2990" s="19" t="str">
        <f>VLOOKUP(D2990,'لیست پرسنل'!$B$2:$E$1020,4,FALSE)</f>
        <v>رئیس سایت</v>
      </c>
      <c r="G2990" s="127">
        <f>VLOOKUP(D2990,'لیست پرسنل'!$B$2:$F$1020,2,FALSE)</f>
        <v>4020802</v>
      </c>
      <c r="H2990" s="127" t="s">
        <v>7887</v>
      </c>
      <c r="I2990" s="128"/>
      <c r="J2990" s="126" t="s">
        <v>5927</v>
      </c>
      <c r="K2990" s="128" t="s">
        <v>7329</v>
      </c>
      <c r="L2990" s="128"/>
      <c r="M2990" s="128" t="s">
        <v>291</v>
      </c>
      <c r="N2990" s="109" t="s">
        <v>7330</v>
      </c>
      <c r="O2990" s="19"/>
      <c r="P2990" s="32"/>
      <c r="Q2990" s="32"/>
    </row>
    <row r="2991" spans="1:17" ht="24.9" customHeight="1">
      <c r="A2991" s="20">
        <v>456</v>
      </c>
      <c r="B2991" s="20" t="s">
        <v>5675</v>
      </c>
      <c r="C2991" s="20"/>
      <c r="D2991" s="19" t="s">
        <v>5641</v>
      </c>
      <c r="E2991" s="19" t="str">
        <f>VLOOKUP(D2991,'لیست پرسنل'!$B$2:$E$1020,3,FALSE)</f>
        <v>فکورصنعت</v>
      </c>
      <c r="F2991" s="19" t="str">
        <f>VLOOKUP(D2991,'لیست پرسنل'!$B$2:$E$1020,4,FALSE)</f>
        <v>رئیس سایت</v>
      </c>
      <c r="G2991" s="127">
        <f>VLOOKUP(D2991,'لیست پرسنل'!$B$2:$F$1020,2,FALSE)</f>
        <v>4020802</v>
      </c>
      <c r="H2991" s="127" t="s">
        <v>7887</v>
      </c>
      <c r="I2991" s="128"/>
      <c r="J2991" s="126" t="s">
        <v>5927</v>
      </c>
      <c r="K2991" s="128" t="s">
        <v>7329</v>
      </c>
      <c r="L2991" s="128"/>
      <c r="M2991" s="128" t="s">
        <v>291</v>
      </c>
      <c r="N2991" s="109" t="s">
        <v>7330</v>
      </c>
      <c r="O2991" s="19"/>
      <c r="P2991" s="32"/>
      <c r="Q2991" s="32"/>
    </row>
    <row r="2992" spans="1:17" ht="24.9" customHeight="1">
      <c r="A2992" s="20">
        <v>456</v>
      </c>
      <c r="B2992" s="20" t="s">
        <v>5675</v>
      </c>
      <c r="C2992" s="20"/>
      <c r="D2992" s="19" t="s">
        <v>5641</v>
      </c>
      <c r="E2992" s="19" t="str">
        <f>VLOOKUP(D2992,'لیست پرسنل'!$B$2:$E$1020,3,FALSE)</f>
        <v>فکورصنعت</v>
      </c>
      <c r="F2992" s="19" t="str">
        <f>VLOOKUP(D2992,'لیست پرسنل'!$B$2:$E$1020,4,FALSE)</f>
        <v>رئیس سایت</v>
      </c>
      <c r="G2992" s="127">
        <f>VLOOKUP(D2992,'لیست پرسنل'!$B$2:$F$1020,2,FALSE)</f>
        <v>4020802</v>
      </c>
      <c r="H2992" s="127" t="s">
        <v>7887</v>
      </c>
      <c r="I2992" s="128"/>
      <c r="J2992" s="126" t="s">
        <v>5927</v>
      </c>
      <c r="K2992" s="128" t="s">
        <v>7329</v>
      </c>
      <c r="L2992" s="128"/>
      <c r="M2992" s="128" t="s">
        <v>291</v>
      </c>
      <c r="N2992" s="109" t="s">
        <v>7330</v>
      </c>
      <c r="O2992" s="19"/>
      <c r="P2992" s="32"/>
      <c r="Q2992" s="32"/>
    </row>
    <row r="2993" spans="1:17" ht="24.9" customHeight="1">
      <c r="A2993" s="20">
        <v>456</v>
      </c>
      <c r="B2993" s="20" t="s">
        <v>5675</v>
      </c>
      <c r="C2993" s="20"/>
      <c r="D2993" s="19" t="s">
        <v>5641</v>
      </c>
      <c r="E2993" s="19" t="str">
        <f>VLOOKUP(D2993,'لیست پرسنل'!$B$2:$E$1020,3,FALSE)</f>
        <v>فکورصنعت</v>
      </c>
      <c r="F2993" s="19" t="str">
        <f>VLOOKUP(D2993,'لیست پرسنل'!$B$2:$E$1020,4,FALSE)</f>
        <v>رئیس سایت</v>
      </c>
      <c r="G2993" s="127">
        <f>VLOOKUP(D2993,'لیست پرسنل'!$B$2:$F$1020,2,FALSE)</f>
        <v>4020802</v>
      </c>
      <c r="H2993" s="127" t="s">
        <v>7887</v>
      </c>
      <c r="I2993" s="128"/>
      <c r="J2993" s="126" t="s">
        <v>5927</v>
      </c>
      <c r="K2993" s="128" t="s">
        <v>7329</v>
      </c>
      <c r="L2993" s="128"/>
      <c r="M2993" s="128" t="s">
        <v>291</v>
      </c>
      <c r="N2993" s="109" t="s">
        <v>7330</v>
      </c>
      <c r="O2993" s="19"/>
      <c r="P2993" s="32"/>
      <c r="Q2993" s="32"/>
    </row>
    <row r="2994" spans="1:17" ht="24.9" customHeight="1">
      <c r="A2994" s="20">
        <v>456</v>
      </c>
      <c r="B2994" s="20" t="s">
        <v>5675</v>
      </c>
      <c r="C2994" s="20"/>
      <c r="D2994" s="19" t="s">
        <v>5641</v>
      </c>
      <c r="E2994" s="19" t="str">
        <f>VLOOKUP(D2994,'لیست پرسنل'!$B$2:$E$1020,3,FALSE)</f>
        <v>فکورصنعت</v>
      </c>
      <c r="F2994" s="19" t="str">
        <f>VLOOKUP(D2994,'لیست پرسنل'!$B$2:$E$1020,4,FALSE)</f>
        <v>رئیس سایت</v>
      </c>
      <c r="G2994" s="127">
        <f>VLOOKUP(D2994,'لیست پرسنل'!$B$2:$F$1020,2,FALSE)</f>
        <v>4020802</v>
      </c>
      <c r="H2994" s="127" t="s">
        <v>7887</v>
      </c>
      <c r="I2994" s="128"/>
      <c r="J2994" s="126" t="s">
        <v>5927</v>
      </c>
      <c r="K2994" s="128" t="s">
        <v>7329</v>
      </c>
      <c r="L2994" s="128"/>
      <c r="M2994" s="128" t="s">
        <v>291</v>
      </c>
      <c r="N2994" s="109" t="s">
        <v>7330</v>
      </c>
      <c r="O2994" s="19"/>
      <c r="P2994" s="32"/>
      <c r="Q2994" s="32"/>
    </row>
    <row r="2995" spans="1:17" ht="24.9" customHeight="1">
      <c r="A2995" s="20">
        <v>456</v>
      </c>
      <c r="B2995" s="20" t="s">
        <v>5675</v>
      </c>
      <c r="C2995" s="20"/>
      <c r="D2995" s="19" t="s">
        <v>5641</v>
      </c>
      <c r="E2995" s="19" t="str">
        <f>VLOOKUP(D2995,'لیست پرسنل'!$B$2:$E$1020,3,FALSE)</f>
        <v>فکورصنعت</v>
      </c>
      <c r="F2995" s="19" t="str">
        <f>VLOOKUP(D2995,'لیست پرسنل'!$B$2:$E$1020,4,FALSE)</f>
        <v>رئیس سایت</v>
      </c>
      <c r="G2995" s="127">
        <f>VLOOKUP(D2995,'لیست پرسنل'!$B$2:$F$1020,2,FALSE)</f>
        <v>4020802</v>
      </c>
      <c r="H2995" s="127" t="s">
        <v>7887</v>
      </c>
      <c r="I2995" s="128"/>
      <c r="J2995" s="126" t="s">
        <v>5927</v>
      </c>
      <c r="K2995" s="128" t="s">
        <v>7329</v>
      </c>
      <c r="L2995" s="128"/>
      <c r="M2995" s="128" t="s">
        <v>291</v>
      </c>
      <c r="N2995" s="109" t="s">
        <v>7330</v>
      </c>
      <c r="O2995" s="19"/>
      <c r="P2995" s="32"/>
      <c r="Q2995" s="32"/>
    </row>
    <row r="2996" spans="1:17" ht="24.9" customHeight="1">
      <c r="A2996" s="20">
        <v>456</v>
      </c>
      <c r="B2996" s="20" t="s">
        <v>5675</v>
      </c>
      <c r="C2996" s="20"/>
      <c r="D2996" s="19" t="s">
        <v>5641</v>
      </c>
      <c r="E2996" s="19" t="str">
        <f>VLOOKUP(D2996,'لیست پرسنل'!$B$2:$E$1020,3,FALSE)</f>
        <v>فکورصنعت</v>
      </c>
      <c r="F2996" s="19" t="str">
        <f>VLOOKUP(D2996,'لیست پرسنل'!$B$2:$E$1020,4,FALSE)</f>
        <v>رئیس سایت</v>
      </c>
      <c r="G2996" s="127">
        <f>VLOOKUP(D2996,'لیست پرسنل'!$B$2:$F$1020,2,FALSE)</f>
        <v>4020802</v>
      </c>
      <c r="H2996" s="127" t="s">
        <v>7887</v>
      </c>
      <c r="I2996" s="128"/>
      <c r="J2996" s="126" t="s">
        <v>5927</v>
      </c>
      <c r="K2996" s="128" t="s">
        <v>7329</v>
      </c>
      <c r="L2996" s="128"/>
      <c r="M2996" s="128" t="s">
        <v>291</v>
      </c>
      <c r="N2996" s="109" t="s">
        <v>7330</v>
      </c>
      <c r="O2996" s="19"/>
      <c r="P2996" s="32"/>
      <c r="Q2996" s="32"/>
    </row>
    <row r="2997" spans="1:17" ht="24.9" customHeight="1">
      <c r="A2997" s="20">
        <v>456</v>
      </c>
      <c r="B2997" s="20" t="s">
        <v>5675</v>
      </c>
      <c r="C2997" s="20"/>
      <c r="D2997" s="19" t="s">
        <v>5641</v>
      </c>
      <c r="E2997" s="19" t="str">
        <f>VLOOKUP(D2997,'لیست پرسنل'!$B$2:$E$1020,3,FALSE)</f>
        <v>فکورصنعت</v>
      </c>
      <c r="F2997" s="19" t="str">
        <f>VLOOKUP(D2997,'لیست پرسنل'!$B$2:$E$1020,4,FALSE)</f>
        <v>رئیس سایت</v>
      </c>
      <c r="G2997" s="127">
        <f>VLOOKUP(D2997,'لیست پرسنل'!$B$2:$F$1020,2,FALSE)</f>
        <v>4020802</v>
      </c>
      <c r="H2997" s="127" t="s">
        <v>7887</v>
      </c>
      <c r="I2997" s="128"/>
      <c r="J2997" s="126" t="s">
        <v>5927</v>
      </c>
      <c r="K2997" s="128" t="s">
        <v>7329</v>
      </c>
      <c r="L2997" s="128"/>
      <c r="M2997" s="128" t="s">
        <v>291</v>
      </c>
      <c r="N2997" s="109" t="s">
        <v>7330</v>
      </c>
      <c r="O2997" s="19"/>
      <c r="P2997" s="32"/>
      <c r="Q2997" s="32"/>
    </row>
    <row r="2998" spans="1:17" ht="24.9" customHeight="1">
      <c r="A2998" s="20">
        <v>456</v>
      </c>
      <c r="B2998" s="20" t="s">
        <v>5675</v>
      </c>
      <c r="C2998" s="20"/>
      <c r="D2998" s="19" t="s">
        <v>5641</v>
      </c>
      <c r="E2998" s="19" t="str">
        <f>VLOOKUP(D2998,'لیست پرسنل'!$B$2:$E$1020,3,FALSE)</f>
        <v>فکورصنعت</v>
      </c>
      <c r="F2998" s="19" t="str">
        <f>VLOOKUP(D2998,'لیست پرسنل'!$B$2:$E$1020,4,FALSE)</f>
        <v>رئیس سایت</v>
      </c>
      <c r="G2998" s="127">
        <f>VLOOKUP(D2998,'لیست پرسنل'!$B$2:$F$1020,2,FALSE)</f>
        <v>4020802</v>
      </c>
      <c r="H2998" s="127" t="s">
        <v>7887</v>
      </c>
      <c r="I2998" s="128"/>
      <c r="J2998" s="126" t="s">
        <v>5927</v>
      </c>
      <c r="K2998" s="128" t="s">
        <v>7329</v>
      </c>
      <c r="L2998" s="128"/>
      <c r="M2998" s="128" t="s">
        <v>291</v>
      </c>
      <c r="N2998" s="109" t="s">
        <v>7330</v>
      </c>
      <c r="O2998" s="19"/>
      <c r="P2998" s="32"/>
      <c r="Q2998" s="32"/>
    </row>
    <row r="2999" spans="1:17" ht="24.9" customHeight="1">
      <c r="A2999" s="20">
        <v>456</v>
      </c>
      <c r="B2999" s="20" t="s">
        <v>5675</v>
      </c>
      <c r="C2999" s="20"/>
      <c r="D2999" s="19" t="s">
        <v>5641</v>
      </c>
      <c r="E2999" s="19" t="str">
        <f>VLOOKUP(D2999,'لیست پرسنل'!$B$2:$E$1020,3,FALSE)</f>
        <v>فکورصنعت</v>
      </c>
      <c r="F2999" s="19" t="str">
        <f>VLOOKUP(D2999,'لیست پرسنل'!$B$2:$E$1020,4,FALSE)</f>
        <v>رئیس سایت</v>
      </c>
      <c r="G2999" s="127">
        <f>VLOOKUP(D2999,'لیست پرسنل'!$B$2:$F$1020,2,FALSE)</f>
        <v>4020802</v>
      </c>
      <c r="H2999" s="127" t="s">
        <v>7887</v>
      </c>
      <c r="I2999" s="128"/>
      <c r="J2999" s="126" t="s">
        <v>3481</v>
      </c>
      <c r="K2999" s="128" t="s">
        <v>7431</v>
      </c>
      <c r="L2999" s="128" t="s">
        <v>7432</v>
      </c>
      <c r="M2999" s="128" t="s">
        <v>291</v>
      </c>
      <c r="N2999" s="109" t="s">
        <v>7330</v>
      </c>
      <c r="O2999" s="19"/>
      <c r="P2999" s="32"/>
      <c r="Q2999" s="32"/>
    </row>
    <row r="3000" spans="1:17" ht="24.9" customHeight="1">
      <c r="A3000" s="20">
        <v>456</v>
      </c>
      <c r="B3000" s="20" t="s">
        <v>5675</v>
      </c>
      <c r="C3000" s="20"/>
      <c r="D3000" s="19" t="s">
        <v>5641</v>
      </c>
      <c r="E3000" s="19" t="str">
        <f>VLOOKUP(D3000,'لیست پرسنل'!$B$2:$E$1020,3,FALSE)</f>
        <v>فکورصنعت</v>
      </c>
      <c r="F3000" s="19" t="str">
        <f>VLOOKUP(D3000,'لیست پرسنل'!$B$2:$E$1020,4,FALSE)</f>
        <v>رئیس سایت</v>
      </c>
      <c r="G3000" s="127">
        <f>VLOOKUP(D3000,'لیست پرسنل'!$B$2:$F$1020,2,FALSE)</f>
        <v>4020802</v>
      </c>
      <c r="H3000" s="127" t="s">
        <v>7887</v>
      </c>
      <c r="I3000" s="128"/>
      <c r="J3000" s="126" t="s">
        <v>3481</v>
      </c>
      <c r="K3000" s="128" t="s">
        <v>7431</v>
      </c>
      <c r="L3000" s="128" t="s">
        <v>7433</v>
      </c>
      <c r="M3000" s="128" t="s">
        <v>291</v>
      </c>
      <c r="N3000" s="109" t="s">
        <v>7330</v>
      </c>
      <c r="O3000" s="19"/>
      <c r="P3000" s="32"/>
      <c r="Q3000" s="32"/>
    </row>
    <row r="3001" spans="1:17" ht="24.9" customHeight="1">
      <c r="A3001" s="20">
        <v>456</v>
      </c>
      <c r="B3001" s="20" t="s">
        <v>5675</v>
      </c>
      <c r="C3001" s="20"/>
      <c r="D3001" s="19" t="s">
        <v>5641</v>
      </c>
      <c r="E3001" s="19" t="str">
        <f>VLOOKUP(D3001,'لیست پرسنل'!$B$2:$E$1020,3,FALSE)</f>
        <v>فکورصنعت</v>
      </c>
      <c r="F3001" s="19" t="str">
        <f>VLOOKUP(D3001,'لیست پرسنل'!$B$2:$E$1020,4,FALSE)</f>
        <v>رئیس سایت</v>
      </c>
      <c r="G3001" s="127">
        <f>VLOOKUP(D3001,'لیست پرسنل'!$B$2:$F$1020,2,FALSE)</f>
        <v>4020802</v>
      </c>
      <c r="H3001" s="127" t="s">
        <v>7887</v>
      </c>
      <c r="I3001" s="128"/>
      <c r="J3001" s="126" t="s">
        <v>3481</v>
      </c>
      <c r="K3001" s="128" t="s">
        <v>7431</v>
      </c>
      <c r="L3001" s="128" t="s">
        <v>7434</v>
      </c>
      <c r="M3001" s="128" t="s">
        <v>291</v>
      </c>
      <c r="N3001" s="109" t="s">
        <v>7330</v>
      </c>
      <c r="O3001" s="19"/>
      <c r="P3001" s="32"/>
      <c r="Q3001" s="32"/>
    </row>
    <row r="3002" spans="1:17" ht="24.9" customHeight="1">
      <c r="A3002" s="20">
        <v>456</v>
      </c>
      <c r="B3002" s="20" t="s">
        <v>5675</v>
      </c>
      <c r="C3002" s="20"/>
      <c r="D3002" s="19" t="s">
        <v>5641</v>
      </c>
      <c r="E3002" s="19" t="str">
        <f>VLOOKUP(D3002,'لیست پرسنل'!$B$2:$E$1020,3,FALSE)</f>
        <v>فکورصنعت</v>
      </c>
      <c r="F3002" s="19" t="str">
        <f>VLOOKUP(D3002,'لیست پرسنل'!$B$2:$E$1020,4,FALSE)</f>
        <v>رئیس سایت</v>
      </c>
      <c r="G3002" s="127">
        <f>VLOOKUP(D3002,'لیست پرسنل'!$B$2:$F$1020,2,FALSE)</f>
        <v>4020802</v>
      </c>
      <c r="H3002" s="127" t="s">
        <v>7887</v>
      </c>
      <c r="I3002" s="128"/>
      <c r="J3002" s="126" t="s">
        <v>3481</v>
      </c>
      <c r="K3002" s="128" t="s">
        <v>7431</v>
      </c>
      <c r="L3002" s="128" t="s">
        <v>7435</v>
      </c>
      <c r="M3002" s="128" t="s">
        <v>291</v>
      </c>
      <c r="N3002" s="109" t="s">
        <v>7330</v>
      </c>
      <c r="O3002" s="19"/>
      <c r="P3002" s="32"/>
      <c r="Q3002" s="32"/>
    </row>
    <row r="3003" spans="1:17" ht="24.9" customHeight="1">
      <c r="A3003" s="20">
        <v>456</v>
      </c>
      <c r="B3003" s="20" t="s">
        <v>5675</v>
      </c>
      <c r="C3003" s="20"/>
      <c r="D3003" s="19" t="s">
        <v>5641</v>
      </c>
      <c r="E3003" s="19" t="str">
        <f>VLOOKUP(D3003,'لیست پرسنل'!$B$2:$E$1020,3,FALSE)</f>
        <v>فکورصنعت</v>
      </c>
      <c r="F3003" s="19" t="str">
        <f>VLOOKUP(D3003,'لیست پرسنل'!$B$2:$E$1020,4,FALSE)</f>
        <v>رئیس سایت</v>
      </c>
      <c r="G3003" s="127">
        <f>VLOOKUP(D3003,'لیست پرسنل'!$B$2:$F$1020,2,FALSE)</f>
        <v>4020802</v>
      </c>
      <c r="H3003" s="127" t="s">
        <v>7887</v>
      </c>
      <c r="I3003" s="128"/>
      <c r="J3003" s="126" t="s">
        <v>3481</v>
      </c>
      <c r="K3003" s="128" t="s">
        <v>7431</v>
      </c>
      <c r="L3003" s="128" t="s">
        <v>7436</v>
      </c>
      <c r="M3003" s="128" t="s">
        <v>291</v>
      </c>
      <c r="N3003" s="109" t="s">
        <v>7330</v>
      </c>
      <c r="O3003" s="19"/>
      <c r="P3003" s="32"/>
      <c r="Q3003" s="32"/>
    </row>
    <row r="3004" spans="1:17" ht="24.9" customHeight="1">
      <c r="A3004" s="20">
        <v>456</v>
      </c>
      <c r="B3004" s="20" t="s">
        <v>5675</v>
      </c>
      <c r="C3004" s="20"/>
      <c r="D3004" s="19" t="s">
        <v>5641</v>
      </c>
      <c r="E3004" s="19" t="str">
        <f>VLOOKUP(D3004,'لیست پرسنل'!$B$2:$E$1020,3,FALSE)</f>
        <v>فکورصنعت</v>
      </c>
      <c r="F3004" s="19" t="str">
        <f>VLOOKUP(D3004,'لیست پرسنل'!$B$2:$E$1020,4,FALSE)</f>
        <v>رئیس سایت</v>
      </c>
      <c r="G3004" s="127">
        <f>VLOOKUP(D3004,'لیست پرسنل'!$B$2:$F$1020,2,FALSE)</f>
        <v>4020802</v>
      </c>
      <c r="H3004" s="127" t="s">
        <v>7887</v>
      </c>
      <c r="I3004" s="128"/>
      <c r="J3004" s="126" t="s">
        <v>3481</v>
      </c>
      <c r="K3004" s="128" t="s">
        <v>7431</v>
      </c>
      <c r="L3004" s="128" t="s">
        <v>7437</v>
      </c>
      <c r="M3004" s="128" t="s">
        <v>291</v>
      </c>
      <c r="N3004" s="109" t="s">
        <v>7330</v>
      </c>
      <c r="O3004" s="19"/>
      <c r="P3004" s="32"/>
      <c r="Q3004" s="32"/>
    </row>
    <row r="3005" spans="1:17" ht="24.9" customHeight="1">
      <c r="A3005" s="20">
        <v>456</v>
      </c>
      <c r="B3005" s="20" t="s">
        <v>5675</v>
      </c>
      <c r="C3005" s="20"/>
      <c r="D3005" s="19" t="s">
        <v>5641</v>
      </c>
      <c r="E3005" s="19" t="str">
        <f>VLOOKUP(D3005,'لیست پرسنل'!$B$2:$E$1020,3,FALSE)</f>
        <v>فکورصنعت</v>
      </c>
      <c r="F3005" s="19" t="str">
        <f>VLOOKUP(D3005,'لیست پرسنل'!$B$2:$E$1020,4,FALSE)</f>
        <v>رئیس سایت</v>
      </c>
      <c r="G3005" s="127">
        <f>VLOOKUP(D3005,'لیست پرسنل'!$B$2:$F$1020,2,FALSE)</f>
        <v>4020802</v>
      </c>
      <c r="H3005" s="127" t="s">
        <v>7887</v>
      </c>
      <c r="I3005" s="128"/>
      <c r="J3005" s="126" t="s">
        <v>3481</v>
      </c>
      <c r="K3005" s="128" t="s">
        <v>7431</v>
      </c>
      <c r="L3005" s="128" t="s">
        <v>7438</v>
      </c>
      <c r="M3005" s="128" t="s">
        <v>291</v>
      </c>
      <c r="N3005" s="109" t="s">
        <v>7330</v>
      </c>
      <c r="O3005" s="19"/>
      <c r="P3005" s="32"/>
      <c r="Q3005" s="32"/>
    </row>
    <row r="3006" spans="1:17" ht="24.9" customHeight="1">
      <c r="A3006" s="20">
        <v>456</v>
      </c>
      <c r="B3006" s="20" t="s">
        <v>5675</v>
      </c>
      <c r="C3006" s="20"/>
      <c r="D3006" s="19" t="s">
        <v>5641</v>
      </c>
      <c r="E3006" s="19" t="str">
        <f>VLOOKUP(D3006,'لیست پرسنل'!$B$2:$E$1020,3,FALSE)</f>
        <v>فکورصنعت</v>
      </c>
      <c r="F3006" s="19" t="str">
        <f>VLOOKUP(D3006,'لیست پرسنل'!$B$2:$E$1020,4,FALSE)</f>
        <v>رئیس سایت</v>
      </c>
      <c r="G3006" s="127">
        <f>VLOOKUP(D3006,'لیست پرسنل'!$B$2:$F$1020,2,FALSE)</f>
        <v>4020802</v>
      </c>
      <c r="H3006" s="127" t="s">
        <v>7887</v>
      </c>
      <c r="I3006" s="128"/>
      <c r="J3006" s="126" t="s">
        <v>3481</v>
      </c>
      <c r="K3006" s="128" t="s">
        <v>7431</v>
      </c>
      <c r="L3006" s="128" t="s">
        <v>7439</v>
      </c>
      <c r="M3006" s="128" t="s">
        <v>291</v>
      </c>
      <c r="N3006" s="109" t="s">
        <v>7330</v>
      </c>
      <c r="O3006" s="19"/>
      <c r="P3006" s="32"/>
      <c r="Q3006" s="32"/>
    </row>
    <row r="3007" spans="1:17" ht="24.9" customHeight="1">
      <c r="A3007" s="20">
        <v>456</v>
      </c>
      <c r="B3007" s="20" t="s">
        <v>5675</v>
      </c>
      <c r="C3007" s="20"/>
      <c r="D3007" s="19" t="s">
        <v>5641</v>
      </c>
      <c r="E3007" s="19" t="str">
        <f>VLOOKUP(D3007,'لیست پرسنل'!$B$2:$E$1020,3,FALSE)</f>
        <v>فکورصنعت</v>
      </c>
      <c r="F3007" s="19" t="str">
        <f>VLOOKUP(D3007,'لیست پرسنل'!$B$2:$E$1020,4,FALSE)</f>
        <v>رئیس سایت</v>
      </c>
      <c r="G3007" s="127">
        <f>VLOOKUP(D3007,'لیست پرسنل'!$B$2:$F$1020,2,FALSE)</f>
        <v>4020802</v>
      </c>
      <c r="H3007" s="127" t="s">
        <v>7887</v>
      </c>
      <c r="I3007" s="128"/>
      <c r="J3007" s="126" t="s">
        <v>3481</v>
      </c>
      <c r="K3007" s="128" t="s">
        <v>7431</v>
      </c>
      <c r="L3007" s="128" t="s">
        <v>7440</v>
      </c>
      <c r="M3007" s="128" t="s">
        <v>291</v>
      </c>
      <c r="N3007" s="109" t="s">
        <v>7330</v>
      </c>
      <c r="O3007" s="19"/>
      <c r="P3007" s="32"/>
      <c r="Q3007" s="32"/>
    </row>
    <row r="3008" spans="1:17" ht="24.9" customHeight="1">
      <c r="A3008" s="20">
        <v>456</v>
      </c>
      <c r="B3008" s="20" t="s">
        <v>5675</v>
      </c>
      <c r="C3008" s="20"/>
      <c r="D3008" s="19" t="s">
        <v>5641</v>
      </c>
      <c r="E3008" s="19" t="str">
        <f>VLOOKUP(D3008,'لیست پرسنل'!$B$2:$E$1020,3,FALSE)</f>
        <v>فکورصنعت</v>
      </c>
      <c r="F3008" s="19" t="str">
        <f>VLOOKUP(D3008,'لیست پرسنل'!$B$2:$E$1020,4,FALSE)</f>
        <v>رئیس سایت</v>
      </c>
      <c r="G3008" s="127">
        <f>VLOOKUP(D3008,'لیست پرسنل'!$B$2:$F$1020,2,FALSE)</f>
        <v>4020802</v>
      </c>
      <c r="H3008" s="127" t="s">
        <v>7887</v>
      </c>
      <c r="I3008" s="128"/>
      <c r="J3008" s="126" t="s">
        <v>3481</v>
      </c>
      <c r="K3008" s="128" t="s">
        <v>7431</v>
      </c>
      <c r="L3008" s="128" t="s">
        <v>7443</v>
      </c>
      <c r="M3008" s="128" t="s">
        <v>291</v>
      </c>
      <c r="N3008" s="109" t="s">
        <v>7330</v>
      </c>
      <c r="O3008" s="19"/>
      <c r="P3008" s="32"/>
      <c r="Q3008" s="32"/>
    </row>
    <row r="3009" spans="1:17" ht="24.9" customHeight="1">
      <c r="A3009" s="20">
        <v>456</v>
      </c>
      <c r="B3009" s="20" t="s">
        <v>5675</v>
      </c>
      <c r="C3009" s="20"/>
      <c r="D3009" s="19" t="s">
        <v>5641</v>
      </c>
      <c r="E3009" s="19" t="str">
        <f>VLOOKUP(D3009,'لیست پرسنل'!$B$2:$E$1020,3,FALSE)</f>
        <v>فکورصنعت</v>
      </c>
      <c r="F3009" s="19" t="str">
        <f>VLOOKUP(D3009,'لیست پرسنل'!$B$2:$E$1020,4,FALSE)</f>
        <v>رئیس سایت</v>
      </c>
      <c r="G3009" s="127">
        <f>VLOOKUP(D3009,'لیست پرسنل'!$B$2:$F$1020,2,FALSE)</f>
        <v>4020802</v>
      </c>
      <c r="H3009" s="127" t="s">
        <v>7887</v>
      </c>
      <c r="I3009" s="128"/>
      <c r="J3009" s="126" t="s">
        <v>3481</v>
      </c>
      <c r="K3009" s="128" t="s">
        <v>7431</v>
      </c>
      <c r="L3009" s="128" t="s">
        <v>7444</v>
      </c>
      <c r="M3009" s="128" t="s">
        <v>291</v>
      </c>
      <c r="N3009" s="109" t="s">
        <v>7330</v>
      </c>
      <c r="O3009" s="19"/>
      <c r="P3009" s="32"/>
      <c r="Q3009" s="32"/>
    </row>
    <row r="3010" spans="1:17" ht="24.9" customHeight="1">
      <c r="A3010" s="20">
        <v>456</v>
      </c>
      <c r="B3010" s="20" t="s">
        <v>5675</v>
      </c>
      <c r="C3010" s="20"/>
      <c r="D3010" s="19" t="s">
        <v>5641</v>
      </c>
      <c r="E3010" s="19" t="str">
        <f>VLOOKUP(D3010,'لیست پرسنل'!$B$2:$E$1020,3,FALSE)</f>
        <v>فکورصنعت</v>
      </c>
      <c r="F3010" s="19" t="str">
        <f>VLOOKUP(D3010,'لیست پرسنل'!$B$2:$E$1020,4,FALSE)</f>
        <v>رئیس سایت</v>
      </c>
      <c r="G3010" s="127">
        <f>VLOOKUP(D3010,'لیست پرسنل'!$B$2:$F$1020,2,FALSE)</f>
        <v>4020802</v>
      </c>
      <c r="H3010" s="127" t="s">
        <v>7887</v>
      </c>
      <c r="I3010" s="128"/>
      <c r="J3010" s="126" t="s">
        <v>3481</v>
      </c>
      <c r="K3010" s="128" t="s">
        <v>7431</v>
      </c>
      <c r="L3010" s="128" t="s">
        <v>7445</v>
      </c>
      <c r="M3010" s="128" t="s">
        <v>291</v>
      </c>
      <c r="N3010" s="109" t="s">
        <v>7330</v>
      </c>
      <c r="O3010" s="19"/>
      <c r="P3010" s="32"/>
      <c r="Q3010" s="32"/>
    </row>
    <row r="3011" spans="1:17" ht="24.9" customHeight="1">
      <c r="A3011" s="20">
        <v>456</v>
      </c>
      <c r="B3011" s="20" t="s">
        <v>5675</v>
      </c>
      <c r="C3011" s="20"/>
      <c r="D3011" s="19" t="s">
        <v>5641</v>
      </c>
      <c r="E3011" s="19" t="str">
        <f>VLOOKUP(D3011,'لیست پرسنل'!$B$2:$E$1020,3,FALSE)</f>
        <v>فکورصنعت</v>
      </c>
      <c r="F3011" s="19" t="str">
        <f>VLOOKUP(D3011,'لیست پرسنل'!$B$2:$E$1020,4,FALSE)</f>
        <v>رئیس سایت</v>
      </c>
      <c r="G3011" s="127">
        <f>VLOOKUP(D3011,'لیست پرسنل'!$B$2:$F$1020,2,FALSE)</f>
        <v>4020802</v>
      </c>
      <c r="H3011" s="127" t="s">
        <v>7887</v>
      </c>
      <c r="I3011" s="128"/>
      <c r="J3011" s="126" t="s">
        <v>3481</v>
      </c>
      <c r="K3011" s="128" t="s">
        <v>7431</v>
      </c>
      <c r="L3011" s="128" t="s">
        <v>7446</v>
      </c>
      <c r="M3011" s="128" t="s">
        <v>291</v>
      </c>
      <c r="N3011" s="109" t="s">
        <v>7330</v>
      </c>
      <c r="O3011" s="19"/>
      <c r="P3011" s="32"/>
      <c r="Q3011" s="32"/>
    </row>
    <row r="3012" spans="1:17" ht="24.9" customHeight="1">
      <c r="A3012" s="20">
        <v>456</v>
      </c>
      <c r="B3012" s="20" t="s">
        <v>5675</v>
      </c>
      <c r="C3012" s="20"/>
      <c r="D3012" s="19" t="s">
        <v>5641</v>
      </c>
      <c r="E3012" s="19" t="str">
        <f>VLOOKUP(D3012,'لیست پرسنل'!$B$2:$E$1020,3,FALSE)</f>
        <v>فکورصنعت</v>
      </c>
      <c r="F3012" s="19" t="str">
        <f>VLOOKUP(D3012,'لیست پرسنل'!$B$2:$E$1020,4,FALSE)</f>
        <v>رئیس سایت</v>
      </c>
      <c r="G3012" s="127">
        <f>VLOOKUP(D3012,'لیست پرسنل'!$B$2:$F$1020,2,FALSE)</f>
        <v>4020802</v>
      </c>
      <c r="H3012" s="127" t="s">
        <v>7887</v>
      </c>
      <c r="I3012" s="128"/>
      <c r="J3012" s="126" t="s">
        <v>3476</v>
      </c>
      <c r="K3012" s="128" t="s">
        <v>7294</v>
      </c>
      <c r="L3012" s="128" t="s">
        <v>7310</v>
      </c>
      <c r="M3012" s="128">
        <v>635949</v>
      </c>
      <c r="N3012" s="109" t="s">
        <v>7311</v>
      </c>
      <c r="O3012" s="19"/>
      <c r="P3012" s="32"/>
      <c r="Q3012" s="32"/>
    </row>
    <row r="3013" spans="1:17" ht="24.9" customHeight="1">
      <c r="A3013" s="20">
        <v>456</v>
      </c>
      <c r="B3013" s="20" t="s">
        <v>5675</v>
      </c>
      <c r="C3013" s="20"/>
      <c r="D3013" s="19" t="s">
        <v>5641</v>
      </c>
      <c r="E3013" s="19" t="str">
        <f>VLOOKUP(D3013,'لیست پرسنل'!$B$2:$E$1020,3,FALSE)</f>
        <v>فکورصنعت</v>
      </c>
      <c r="F3013" s="19" t="str">
        <f>VLOOKUP(D3013,'لیست پرسنل'!$B$2:$E$1020,4,FALSE)</f>
        <v>رئیس سایت</v>
      </c>
      <c r="G3013" s="127">
        <f>VLOOKUP(D3013,'لیست پرسنل'!$B$2:$F$1020,2,FALSE)</f>
        <v>4020802</v>
      </c>
      <c r="H3013" s="127" t="s">
        <v>7887</v>
      </c>
      <c r="I3013" s="128"/>
      <c r="J3013" s="126" t="s">
        <v>3476</v>
      </c>
      <c r="K3013" s="128" t="s">
        <v>7294</v>
      </c>
      <c r="L3013" s="128" t="s">
        <v>7299</v>
      </c>
      <c r="M3013" s="128">
        <v>635950</v>
      </c>
      <c r="N3013" s="109" t="s">
        <v>7311</v>
      </c>
      <c r="O3013" s="19"/>
      <c r="P3013" s="32"/>
      <c r="Q3013" s="32"/>
    </row>
    <row r="3014" spans="1:17" ht="24.9" customHeight="1">
      <c r="A3014" s="20">
        <v>456</v>
      </c>
      <c r="B3014" s="20" t="s">
        <v>5675</v>
      </c>
      <c r="C3014" s="20"/>
      <c r="D3014" s="19" t="s">
        <v>5641</v>
      </c>
      <c r="E3014" s="19" t="str">
        <f>VLOOKUP(D3014,'لیست پرسنل'!$B$2:$E$1020,3,FALSE)</f>
        <v>فکورصنعت</v>
      </c>
      <c r="F3014" s="19" t="str">
        <f>VLOOKUP(D3014,'لیست پرسنل'!$B$2:$E$1020,4,FALSE)</f>
        <v>رئیس سایت</v>
      </c>
      <c r="G3014" s="127">
        <f>VLOOKUP(D3014,'لیست پرسنل'!$B$2:$F$1020,2,FALSE)</f>
        <v>4020802</v>
      </c>
      <c r="H3014" s="127" t="s">
        <v>7887</v>
      </c>
      <c r="I3014" s="128"/>
      <c r="J3014" s="126" t="s">
        <v>3476</v>
      </c>
      <c r="K3014" s="128" t="s">
        <v>7294</v>
      </c>
      <c r="L3014" s="128" t="s">
        <v>7305</v>
      </c>
      <c r="M3014" s="128">
        <v>635952</v>
      </c>
      <c r="N3014" s="109" t="s">
        <v>7311</v>
      </c>
      <c r="O3014" s="19"/>
      <c r="P3014" s="32"/>
      <c r="Q3014" s="32"/>
    </row>
    <row r="3015" spans="1:17" ht="24.9" customHeight="1">
      <c r="A3015" s="20">
        <v>456</v>
      </c>
      <c r="B3015" s="20" t="s">
        <v>5675</v>
      </c>
      <c r="C3015" s="20"/>
      <c r="D3015" s="19" t="s">
        <v>5641</v>
      </c>
      <c r="E3015" s="19" t="str">
        <f>VLOOKUP(D3015,'لیست پرسنل'!$B$2:$E$1020,3,FALSE)</f>
        <v>فکورصنعت</v>
      </c>
      <c r="F3015" s="19" t="str">
        <f>VLOOKUP(D3015,'لیست پرسنل'!$B$2:$E$1020,4,FALSE)</f>
        <v>رئیس سایت</v>
      </c>
      <c r="G3015" s="127">
        <f>VLOOKUP(D3015,'لیست پرسنل'!$B$2:$F$1020,2,FALSE)</f>
        <v>4020802</v>
      </c>
      <c r="H3015" s="127" t="s">
        <v>7887</v>
      </c>
      <c r="I3015" s="128"/>
      <c r="J3015" s="126" t="s">
        <v>3476</v>
      </c>
      <c r="K3015" s="128" t="s">
        <v>7294</v>
      </c>
      <c r="L3015" s="128" t="s">
        <v>7301</v>
      </c>
      <c r="M3015" s="128">
        <v>635953</v>
      </c>
      <c r="N3015" s="109" t="s">
        <v>7311</v>
      </c>
      <c r="O3015" s="19"/>
      <c r="P3015" s="32"/>
      <c r="Q3015" s="32"/>
    </row>
    <row r="3016" spans="1:17" ht="24.9" customHeight="1">
      <c r="A3016" s="20">
        <v>456</v>
      </c>
      <c r="B3016" s="20" t="s">
        <v>5675</v>
      </c>
      <c r="C3016" s="20"/>
      <c r="D3016" s="19" t="s">
        <v>5641</v>
      </c>
      <c r="E3016" s="19" t="str">
        <f>VLOOKUP(D3016,'لیست پرسنل'!$B$2:$E$1020,3,FALSE)</f>
        <v>فکورصنعت</v>
      </c>
      <c r="F3016" s="19" t="str">
        <f>VLOOKUP(D3016,'لیست پرسنل'!$B$2:$E$1020,4,FALSE)</f>
        <v>رئیس سایت</v>
      </c>
      <c r="G3016" s="127">
        <f>VLOOKUP(D3016,'لیست پرسنل'!$B$2:$F$1020,2,FALSE)</f>
        <v>4020802</v>
      </c>
      <c r="H3016" s="127" t="s">
        <v>7887</v>
      </c>
      <c r="I3016" s="128"/>
      <c r="J3016" s="126" t="s">
        <v>3476</v>
      </c>
      <c r="K3016" s="128" t="s">
        <v>7294</v>
      </c>
      <c r="L3016" s="128" t="s">
        <v>7308</v>
      </c>
      <c r="M3016" s="128">
        <v>635954</v>
      </c>
      <c r="N3016" s="109" t="s">
        <v>7311</v>
      </c>
      <c r="O3016" s="19"/>
      <c r="P3016" s="32"/>
      <c r="Q3016" s="32"/>
    </row>
    <row r="3017" spans="1:17" ht="24.9" customHeight="1">
      <c r="A3017" s="20">
        <v>456</v>
      </c>
      <c r="B3017" s="20" t="s">
        <v>5675</v>
      </c>
      <c r="C3017" s="20"/>
      <c r="D3017" s="19" t="s">
        <v>5641</v>
      </c>
      <c r="E3017" s="19" t="str">
        <f>VLOOKUP(D3017,'لیست پرسنل'!$B$2:$E$1020,3,FALSE)</f>
        <v>فکورصنعت</v>
      </c>
      <c r="F3017" s="19" t="str">
        <f>VLOOKUP(D3017,'لیست پرسنل'!$B$2:$E$1020,4,FALSE)</f>
        <v>رئیس سایت</v>
      </c>
      <c r="G3017" s="127">
        <f>VLOOKUP(D3017,'لیست پرسنل'!$B$2:$F$1020,2,FALSE)</f>
        <v>4020802</v>
      </c>
      <c r="H3017" s="127" t="s">
        <v>7887</v>
      </c>
      <c r="I3017" s="128"/>
      <c r="J3017" s="126" t="s">
        <v>3476</v>
      </c>
      <c r="K3017" s="128" t="s">
        <v>7294</v>
      </c>
      <c r="L3017" s="128" t="s">
        <v>7307</v>
      </c>
      <c r="M3017" s="128">
        <v>635955</v>
      </c>
      <c r="N3017" s="109" t="s">
        <v>7311</v>
      </c>
      <c r="O3017" s="19"/>
      <c r="P3017" s="32"/>
      <c r="Q3017" s="32"/>
    </row>
    <row r="3018" spans="1:17" ht="24.9" customHeight="1">
      <c r="A3018" s="20">
        <v>456</v>
      </c>
      <c r="B3018" s="20" t="s">
        <v>5675</v>
      </c>
      <c r="C3018" s="20"/>
      <c r="D3018" s="19" t="s">
        <v>5641</v>
      </c>
      <c r="E3018" s="19" t="str">
        <f>VLOOKUP(D3018,'لیست پرسنل'!$B$2:$E$1020,3,FALSE)</f>
        <v>فکورصنعت</v>
      </c>
      <c r="F3018" s="19" t="str">
        <f>VLOOKUP(D3018,'لیست پرسنل'!$B$2:$E$1020,4,FALSE)</f>
        <v>رئیس سایت</v>
      </c>
      <c r="G3018" s="127">
        <f>VLOOKUP(D3018,'لیست پرسنل'!$B$2:$F$1020,2,FALSE)</f>
        <v>4020802</v>
      </c>
      <c r="H3018" s="127" t="s">
        <v>7887</v>
      </c>
      <c r="I3018" s="128"/>
      <c r="J3018" s="126" t="s">
        <v>3476</v>
      </c>
      <c r="K3018" s="128" t="s">
        <v>7294</v>
      </c>
      <c r="L3018" s="128" t="s">
        <v>7306</v>
      </c>
      <c r="M3018" s="128">
        <v>635956</v>
      </c>
      <c r="N3018" s="109" t="s">
        <v>7311</v>
      </c>
      <c r="O3018" s="19"/>
      <c r="P3018" s="32"/>
      <c r="Q3018" s="32"/>
    </row>
    <row r="3019" spans="1:17" ht="24.9" customHeight="1">
      <c r="A3019" s="20">
        <v>456</v>
      </c>
      <c r="B3019" s="20" t="s">
        <v>5675</v>
      </c>
      <c r="C3019" s="20"/>
      <c r="D3019" s="19" t="s">
        <v>5641</v>
      </c>
      <c r="E3019" s="19" t="str">
        <f>VLOOKUP(D3019,'لیست پرسنل'!$B$2:$E$1020,3,FALSE)</f>
        <v>فکورصنعت</v>
      </c>
      <c r="F3019" s="19" t="str">
        <f>VLOOKUP(D3019,'لیست پرسنل'!$B$2:$E$1020,4,FALSE)</f>
        <v>رئیس سایت</v>
      </c>
      <c r="G3019" s="127">
        <f>VLOOKUP(D3019,'لیست پرسنل'!$B$2:$F$1020,2,FALSE)</f>
        <v>4020802</v>
      </c>
      <c r="H3019" s="127" t="s">
        <v>7887</v>
      </c>
      <c r="I3019" s="128"/>
      <c r="J3019" s="126" t="s">
        <v>3476</v>
      </c>
      <c r="K3019" s="128" t="s">
        <v>7294</v>
      </c>
      <c r="L3019" s="128" t="s">
        <v>7309</v>
      </c>
      <c r="M3019" s="128">
        <v>635957</v>
      </c>
      <c r="N3019" s="109" t="s">
        <v>7311</v>
      </c>
      <c r="O3019" s="19"/>
      <c r="P3019" s="32"/>
      <c r="Q3019" s="32"/>
    </row>
    <row r="3020" spans="1:17" ht="24.9" customHeight="1">
      <c r="A3020" s="20">
        <v>456</v>
      </c>
      <c r="B3020" s="20" t="s">
        <v>5675</v>
      </c>
      <c r="C3020" s="20"/>
      <c r="D3020" s="19" t="s">
        <v>5641</v>
      </c>
      <c r="E3020" s="19" t="str">
        <f>VLOOKUP(D3020,'لیست پرسنل'!$B$2:$E$1020,3,FALSE)</f>
        <v>فکورصنعت</v>
      </c>
      <c r="F3020" s="19" t="str">
        <f>VLOOKUP(D3020,'لیست پرسنل'!$B$2:$E$1020,4,FALSE)</f>
        <v>رئیس سایت</v>
      </c>
      <c r="G3020" s="127">
        <f>VLOOKUP(D3020,'لیست پرسنل'!$B$2:$F$1020,2,FALSE)</f>
        <v>4020802</v>
      </c>
      <c r="H3020" s="127" t="s">
        <v>7887</v>
      </c>
      <c r="I3020" s="128"/>
      <c r="J3020" s="126" t="s">
        <v>3476</v>
      </c>
      <c r="K3020" s="128" t="s">
        <v>7294</v>
      </c>
      <c r="L3020" s="128" t="s">
        <v>7296</v>
      </c>
      <c r="M3020" s="128">
        <v>635958</v>
      </c>
      <c r="N3020" s="109" t="s">
        <v>7311</v>
      </c>
      <c r="O3020" s="19"/>
      <c r="P3020" s="32"/>
      <c r="Q3020" s="32"/>
    </row>
    <row r="3021" spans="1:17" ht="24.9" customHeight="1">
      <c r="A3021" s="20">
        <v>456</v>
      </c>
      <c r="B3021" s="20" t="s">
        <v>5675</v>
      </c>
      <c r="C3021" s="20"/>
      <c r="D3021" s="19" t="s">
        <v>5641</v>
      </c>
      <c r="E3021" s="19" t="str">
        <f>VLOOKUP(D3021,'لیست پرسنل'!$B$2:$E$1020,3,FALSE)</f>
        <v>فکورصنعت</v>
      </c>
      <c r="F3021" s="19" t="str">
        <f>VLOOKUP(D3021,'لیست پرسنل'!$B$2:$E$1020,4,FALSE)</f>
        <v>رئیس سایت</v>
      </c>
      <c r="G3021" s="127">
        <f>VLOOKUP(D3021,'لیست پرسنل'!$B$2:$F$1020,2,FALSE)</f>
        <v>4020802</v>
      </c>
      <c r="H3021" s="127" t="s">
        <v>7887</v>
      </c>
      <c r="I3021" s="128"/>
      <c r="J3021" s="126" t="s">
        <v>3476</v>
      </c>
      <c r="K3021" s="128" t="s">
        <v>7294</v>
      </c>
      <c r="L3021" s="128" t="s">
        <v>7300</v>
      </c>
      <c r="M3021" s="128">
        <v>635959</v>
      </c>
      <c r="N3021" s="109" t="s">
        <v>7311</v>
      </c>
      <c r="O3021" s="19"/>
      <c r="P3021" s="32"/>
      <c r="Q3021" s="32"/>
    </row>
    <row r="3022" spans="1:17" ht="24.9" customHeight="1">
      <c r="A3022" s="20">
        <v>456</v>
      </c>
      <c r="B3022" s="20" t="s">
        <v>5675</v>
      </c>
      <c r="C3022" s="20"/>
      <c r="D3022" s="19" t="s">
        <v>5641</v>
      </c>
      <c r="E3022" s="19" t="str">
        <f>VLOOKUP(D3022,'لیست پرسنل'!$B$2:$E$1020,3,FALSE)</f>
        <v>فکورصنعت</v>
      </c>
      <c r="F3022" s="19" t="str">
        <f>VLOOKUP(D3022,'لیست پرسنل'!$B$2:$E$1020,4,FALSE)</f>
        <v>رئیس سایت</v>
      </c>
      <c r="G3022" s="127">
        <f>VLOOKUP(D3022,'لیست پرسنل'!$B$2:$F$1020,2,FALSE)</f>
        <v>4020802</v>
      </c>
      <c r="H3022" s="127" t="s">
        <v>7887</v>
      </c>
      <c r="I3022" s="128"/>
      <c r="J3022" s="126" t="s">
        <v>3476</v>
      </c>
      <c r="K3022" s="128" t="s">
        <v>7294</v>
      </c>
      <c r="L3022" s="128" t="s">
        <v>7303</v>
      </c>
      <c r="M3022" s="128">
        <v>635960</v>
      </c>
      <c r="N3022" s="109" t="s">
        <v>7311</v>
      </c>
      <c r="O3022" s="19"/>
      <c r="P3022" s="32"/>
      <c r="Q3022" s="32"/>
    </row>
    <row r="3023" spans="1:17" ht="24.9" customHeight="1">
      <c r="A3023" s="20">
        <v>456</v>
      </c>
      <c r="B3023" s="20" t="s">
        <v>5675</v>
      </c>
      <c r="C3023" s="20"/>
      <c r="D3023" s="19" t="s">
        <v>5641</v>
      </c>
      <c r="E3023" s="19" t="str">
        <f>VLOOKUP(D3023,'لیست پرسنل'!$B$2:$E$1020,3,FALSE)</f>
        <v>فکورصنعت</v>
      </c>
      <c r="F3023" s="19" t="str">
        <f>VLOOKUP(D3023,'لیست پرسنل'!$B$2:$E$1020,4,FALSE)</f>
        <v>رئیس سایت</v>
      </c>
      <c r="G3023" s="127">
        <f>VLOOKUP(D3023,'لیست پرسنل'!$B$2:$F$1020,2,FALSE)</f>
        <v>4020802</v>
      </c>
      <c r="H3023" s="127" t="s">
        <v>7887</v>
      </c>
      <c r="I3023" s="128"/>
      <c r="J3023" s="126" t="s">
        <v>3476</v>
      </c>
      <c r="K3023" s="128" t="s">
        <v>7294</v>
      </c>
      <c r="L3023" s="128" t="s">
        <v>7304</v>
      </c>
      <c r="M3023" s="128">
        <v>635961</v>
      </c>
      <c r="N3023" s="109" t="s">
        <v>7311</v>
      </c>
      <c r="O3023" s="19"/>
      <c r="P3023" s="32"/>
      <c r="Q3023" s="32"/>
    </row>
    <row r="3024" spans="1:17" ht="24.9" customHeight="1">
      <c r="A3024" s="20">
        <v>456</v>
      </c>
      <c r="B3024" s="20" t="s">
        <v>5675</v>
      </c>
      <c r="C3024" s="20"/>
      <c r="D3024" s="19" t="s">
        <v>5641</v>
      </c>
      <c r="E3024" s="19" t="str">
        <f>VLOOKUP(D3024,'لیست پرسنل'!$B$2:$E$1020,3,FALSE)</f>
        <v>فکورصنعت</v>
      </c>
      <c r="F3024" s="19" t="str">
        <f>VLOOKUP(D3024,'لیست پرسنل'!$B$2:$E$1020,4,FALSE)</f>
        <v>رئیس سایت</v>
      </c>
      <c r="G3024" s="127">
        <f>VLOOKUP(D3024,'لیست پرسنل'!$B$2:$F$1020,2,FALSE)</f>
        <v>4020802</v>
      </c>
      <c r="H3024" s="127" t="s">
        <v>7887</v>
      </c>
      <c r="I3024" s="128"/>
      <c r="J3024" s="126" t="s">
        <v>3476</v>
      </c>
      <c r="K3024" s="128" t="s">
        <v>7294</v>
      </c>
      <c r="L3024" s="128" t="s">
        <v>7297</v>
      </c>
      <c r="M3024" s="128">
        <v>635962</v>
      </c>
      <c r="N3024" s="109" t="s">
        <v>7311</v>
      </c>
      <c r="O3024" s="19"/>
      <c r="P3024" s="32"/>
      <c r="Q3024" s="32"/>
    </row>
    <row r="3025" spans="1:17" ht="24.9" customHeight="1">
      <c r="A3025" s="20">
        <v>456</v>
      </c>
      <c r="B3025" s="20" t="s">
        <v>5675</v>
      </c>
      <c r="C3025" s="20"/>
      <c r="D3025" s="19" t="s">
        <v>5641</v>
      </c>
      <c r="E3025" s="19" t="str">
        <f>VLOOKUP(D3025,'لیست پرسنل'!$B$2:$E$1020,3,FALSE)</f>
        <v>فکورصنعت</v>
      </c>
      <c r="F3025" s="19" t="str">
        <f>VLOOKUP(D3025,'لیست پرسنل'!$B$2:$E$1020,4,FALSE)</f>
        <v>رئیس سایت</v>
      </c>
      <c r="G3025" s="127">
        <f>VLOOKUP(D3025,'لیست پرسنل'!$B$2:$F$1020,2,FALSE)</f>
        <v>4020802</v>
      </c>
      <c r="H3025" s="127" t="s">
        <v>7887</v>
      </c>
      <c r="I3025" s="128"/>
      <c r="J3025" s="126" t="s">
        <v>3476</v>
      </c>
      <c r="K3025" s="128" t="s">
        <v>7294</v>
      </c>
      <c r="L3025" s="128" t="s">
        <v>7302</v>
      </c>
      <c r="M3025" s="128">
        <v>635963</v>
      </c>
      <c r="N3025" s="109" t="s">
        <v>7311</v>
      </c>
      <c r="O3025" s="19"/>
      <c r="P3025" s="32"/>
      <c r="Q3025" s="32"/>
    </row>
    <row r="3026" spans="1:17" ht="24.9" customHeight="1">
      <c r="A3026" s="185">
        <v>456</v>
      </c>
      <c r="B3026" s="185" t="s">
        <v>5675</v>
      </c>
      <c r="C3026" s="185"/>
      <c r="D3026" s="67" t="s">
        <v>5641</v>
      </c>
      <c r="E3026" s="186" t="str">
        <f>VLOOKUP(D3026,'لیست پرسنل'!$B$2:$E$1020,3,FALSE)</f>
        <v>فکورصنعت</v>
      </c>
      <c r="F3026" s="186" t="str">
        <f>VLOOKUP(D3026,'لیست پرسنل'!$B$2:$E$1020,4,FALSE)</f>
        <v>رئیس سایت</v>
      </c>
      <c r="G3026" s="187">
        <f>VLOOKUP(D3026,'لیست پرسنل'!$B$2:$F$1020,2,FALSE)</f>
        <v>4020802</v>
      </c>
      <c r="H3026" s="187" t="s">
        <v>8324</v>
      </c>
      <c r="I3026" s="190"/>
      <c r="J3026" s="188" t="s">
        <v>3143</v>
      </c>
      <c r="K3026" s="187" t="s">
        <v>8326</v>
      </c>
      <c r="L3026" s="187" t="s">
        <v>8318</v>
      </c>
      <c r="M3026" s="190" t="s">
        <v>291</v>
      </c>
      <c r="N3026" s="189"/>
      <c r="O3026" s="185"/>
      <c r="P3026" s="185"/>
      <c r="Q3026" s="185"/>
    </row>
    <row r="3027" spans="1:17" ht="24.9" customHeight="1">
      <c r="A3027" s="20">
        <v>456</v>
      </c>
      <c r="B3027" s="20" t="s">
        <v>5675</v>
      </c>
      <c r="C3027" s="20"/>
      <c r="D3027" s="20" t="s">
        <v>5641</v>
      </c>
      <c r="E3027" s="19" t="str">
        <f>VLOOKUP(D3027,'لیست پرسنل'!$B$2:$E$1020,3,FALSE)</f>
        <v>فکورصنعت</v>
      </c>
      <c r="F3027" s="19" t="str">
        <f>VLOOKUP(D3027,'لیست پرسنل'!$B$2:$E$1020,4,FALSE)</f>
        <v>رئیس سایت</v>
      </c>
      <c r="G3027" s="127">
        <f>VLOOKUP(D3027,'لیست پرسنل'!$B$2:$F$1020,2,FALSE)</f>
        <v>4020802</v>
      </c>
      <c r="H3027" s="127" t="s">
        <v>8324</v>
      </c>
      <c r="I3027" s="127"/>
      <c r="J3027" s="128" t="s">
        <v>3481</v>
      </c>
      <c r="K3027" s="127" t="s">
        <v>8321</v>
      </c>
      <c r="L3027" s="127"/>
      <c r="M3027" s="127" t="s">
        <v>291</v>
      </c>
      <c r="N3027" s="109"/>
      <c r="O3027" s="20"/>
      <c r="P3027" s="20"/>
      <c r="Q3027" s="20"/>
    </row>
    <row r="3028" spans="1:17" ht="24.9" customHeight="1">
      <c r="A3028" s="20">
        <v>456</v>
      </c>
      <c r="B3028" s="20" t="s">
        <v>5675</v>
      </c>
      <c r="C3028" s="20"/>
      <c r="D3028" s="20" t="s">
        <v>5641</v>
      </c>
      <c r="E3028" s="19" t="str">
        <f>VLOOKUP(D3028,'لیست پرسنل'!$B$2:$E$1020,3,FALSE)</f>
        <v>فکورصنعت</v>
      </c>
      <c r="F3028" s="19" t="str">
        <f>VLOOKUP(D3028,'لیست پرسنل'!$B$2:$E$1020,4,FALSE)</f>
        <v>رئیس سایت</v>
      </c>
      <c r="G3028" s="127">
        <f>VLOOKUP(D3028,'لیست پرسنل'!$B$2:$F$1020,2,FALSE)</f>
        <v>4020802</v>
      </c>
      <c r="H3028" s="127" t="s">
        <v>8323</v>
      </c>
      <c r="I3028" s="127"/>
      <c r="J3028" s="128" t="s">
        <v>3143</v>
      </c>
      <c r="K3028" s="127" t="s">
        <v>8326</v>
      </c>
      <c r="L3028" s="127" t="s">
        <v>8319</v>
      </c>
      <c r="M3028" s="127" t="s">
        <v>291</v>
      </c>
      <c r="N3028" s="109"/>
      <c r="O3028" s="20"/>
      <c r="P3028" s="20"/>
      <c r="Q3028" s="20"/>
    </row>
    <row r="3029" spans="1:17" ht="24.9" customHeight="1">
      <c r="A3029" s="20">
        <v>456</v>
      </c>
      <c r="B3029" s="20" t="s">
        <v>5675</v>
      </c>
      <c r="C3029" s="20"/>
      <c r="D3029" s="20" t="s">
        <v>5641</v>
      </c>
      <c r="E3029" s="19" t="str">
        <f>VLOOKUP(D3029,'لیست پرسنل'!$B$2:$E$1020,3,FALSE)</f>
        <v>فکورصنعت</v>
      </c>
      <c r="F3029" s="19" t="str">
        <f>VLOOKUP(D3029,'لیست پرسنل'!$B$2:$E$1020,4,FALSE)</f>
        <v>رئیس سایت</v>
      </c>
      <c r="G3029" s="127">
        <f>VLOOKUP(D3029,'لیست پرسنل'!$B$2:$F$1020,2,FALSE)</f>
        <v>4020802</v>
      </c>
      <c r="H3029" s="127" t="s">
        <v>8323</v>
      </c>
      <c r="I3029" s="127"/>
      <c r="J3029" s="128" t="s">
        <v>3481</v>
      </c>
      <c r="K3029" s="127" t="s">
        <v>8321</v>
      </c>
      <c r="L3029" s="127"/>
      <c r="M3029" s="127" t="s">
        <v>291</v>
      </c>
      <c r="N3029" s="109"/>
      <c r="O3029" s="20"/>
      <c r="P3029" s="20"/>
      <c r="Q3029" s="20"/>
    </row>
    <row r="3030" spans="1:17" ht="24.9" customHeight="1">
      <c r="A3030" s="20">
        <v>456</v>
      </c>
      <c r="B3030" s="20" t="s">
        <v>5675</v>
      </c>
      <c r="C3030" s="20"/>
      <c r="D3030" s="19" t="s">
        <v>3737</v>
      </c>
      <c r="E3030" s="19" t="str">
        <f>VLOOKUP(D3030,'لیست پرسنل'!$B$2:$E$1020,3,FALSE)</f>
        <v>فکورصنعت</v>
      </c>
      <c r="F3030" s="19" t="str">
        <f>VLOOKUP(D3030,'لیست پرسنل'!$B$2:$E$1020,4,FALSE)</f>
        <v>انبار</v>
      </c>
      <c r="G3030" s="127" t="str">
        <f>VLOOKUP(D3030,'لیست پرسنل'!$B$2:$F$1020,2,FALSE)</f>
        <v>4021110</v>
      </c>
      <c r="H3030" s="127" t="s">
        <v>7876</v>
      </c>
      <c r="I3030" s="128"/>
      <c r="J3030" s="128" t="s">
        <v>5366</v>
      </c>
      <c r="K3030" s="128" t="s">
        <v>2617</v>
      </c>
      <c r="L3030" s="128"/>
      <c r="M3030" s="128">
        <v>611245</v>
      </c>
      <c r="N3030" s="108"/>
      <c r="O3030" s="20"/>
      <c r="P3030" s="20"/>
      <c r="Q3030" s="20"/>
    </row>
    <row r="3031" spans="1:17" ht="24.9" customHeight="1">
      <c r="A3031" s="20">
        <v>456</v>
      </c>
      <c r="B3031" s="20" t="s">
        <v>5675</v>
      </c>
      <c r="C3031" s="20"/>
      <c r="D3031" s="19" t="s">
        <v>3737</v>
      </c>
      <c r="E3031" s="19" t="str">
        <f>VLOOKUP(D3031,'لیست پرسنل'!$B$2:$E$1020,3,FALSE)</f>
        <v>فکورصنعت</v>
      </c>
      <c r="F3031" s="19" t="str">
        <f>VLOOKUP(D3031,'لیست پرسنل'!$B$2:$E$1020,4,FALSE)</f>
        <v>انبار</v>
      </c>
      <c r="G3031" s="127" t="str">
        <f>VLOOKUP(D3031,'لیست پرسنل'!$B$2:$F$1020,2,FALSE)</f>
        <v>4021110</v>
      </c>
      <c r="H3031" s="127" t="s">
        <v>7876</v>
      </c>
      <c r="I3031" s="128"/>
      <c r="J3031" s="128" t="s">
        <v>5366</v>
      </c>
      <c r="K3031" s="128" t="s">
        <v>2618</v>
      </c>
      <c r="L3031" s="128"/>
      <c r="M3031" s="128">
        <v>613422</v>
      </c>
      <c r="N3031" s="111"/>
      <c r="O3031" s="20"/>
      <c r="P3031" s="20"/>
      <c r="Q3031" s="20"/>
    </row>
    <row r="3032" spans="1:17" ht="24.9" customHeight="1">
      <c r="A3032" s="20">
        <v>456</v>
      </c>
      <c r="B3032" s="20" t="s">
        <v>5675</v>
      </c>
      <c r="C3032" s="20"/>
      <c r="D3032" s="19" t="s">
        <v>3737</v>
      </c>
      <c r="E3032" s="19" t="str">
        <f>VLOOKUP(D3032,'لیست پرسنل'!$B$2:$E$1020,3,FALSE)</f>
        <v>فکورصنعت</v>
      </c>
      <c r="F3032" s="19" t="str">
        <f>VLOOKUP(D3032,'لیست پرسنل'!$B$2:$E$1020,4,FALSE)</f>
        <v>انبار</v>
      </c>
      <c r="G3032" s="127" t="str">
        <f>VLOOKUP(D3032,'لیست پرسنل'!$B$2:$F$1020,2,FALSE)</f>
        <v>4021110</v>
      </c>
      <c r="H3032" s="127" t="s">
        <v>7876</v>
      </c>
      <c r="I3032" s="128"/>
      <c r="J3032" s="128" t="s">
        <v>5366</v>
      </c>
      <c r="K3032" s="128" t="s">
        <v>2619</v>
      </c>
      <c r="L3032" s="128"/>
      <c r="M3032" s="128">
        <v>613945</v>
      </c>
      <c r="N3032" s="108"/>
      <c r="O3032" s="20"/>
      <c r="P3032" s="20"/>
      <c r="Q3032" s="20"/>
    </row>
    <row r="3033" spans="1:17" ht="24.9" customHeight="1">
      <c r="A3033" s="20">
        <v>456</v>
      </c>
      <c r="B3033" s="20" t="s">
        <v>5675</v>
      </c>
      <c r="C3033" s="20"/>
      <c r="D3033" s="19" t="s">
        <v>3737</v>
      </c>
      <c r="E3033" s="19" t="str">
        <f>VLOOKUP(D3033,'لیست پرسنل'!$B$2:$E$1020,3,FALSE)</f>
        <v>فکورصنعت</v>
      </c>
      <c r="F3033" s="19" t="str">
        <f>VLOOKUP(D3033,'لیست پرسنل'!$B$2:$E$1020,4,FALSE)</f>
        <v>انبار</v>
      </c>
      <c r="G3033" s="127" t="str">
        <f>VLOOKUP(D3033,'لیست پرسنل'!$B$2:$F$1020,2,FALSE)</f>
        <v>4021110</v>
      </c>
      <c r="H3033" s="127" t="s">
        <v>7876</v>
      </c>
      <c r="I3033" s="128"/>
      <c r="J3033" s="128" t="s">
        <v>5366</v>
      </c>
      <c r="K3033" s="128" t="s">
        <v>2618</v>
      </c>
      <c r="L3033" s="128"/>
      <c r="M3033" s="128">
        <v>614434</v>
      </c>
      <c r="N3033" s="108"/>
      <c r="O3033" s="20"/>
      <c r="P3033" s="20"/>
      <c r="Q3033" s="20"/>
    </row>
    <row r="3034" spans="1:17" ht="24.9" customHeight="1">
      <c r="A3034" s="20">
        <v>456</v>
      </c>
      <c r="B3034" s="20" t="s">
        <v>5675</v>
      </c>
      <c r="C3034" s="20"/>
      <c r="D3034" s="19" t="s">
        <v>3737</v>
      </c>
      <c r="E3034" s="19" t="str">
        <f>VLOOKUP(D3034,'لیست پرسنل'!$B$2:$E$1020,3,FALSE)</f>
        <v>فکورصنعت</v>
      </c>
      <c r="F3034" s="19" t="str">
        <f>VLOOKUP(D3034,'لیست پرسنل'!$B$2:$E$1020,4,FALSE)</f>
        <v>انبار</v>
      </c>
      <c r="G3034" s="127" t="str">
        <f>VLOOKUP(D3034,'لیست پرسنل'!$B$2:$F$1020,2,FALSE)</f>
        <v>4021110</v>
      </c>
      <c r="H3034" s="128" t="s">
        <v>7424</v>
      </c>
      <c r="I3034" s="128"/>
      <c r="J3034" s="128" t="s">
        <v>5366</v>
      </c>
      <c r="K3034" s="128" t="s">
        <v>4850</v>
      </c>
      <c r="L3034" s="127" t="s">
        <v>4851</v>
      </c>
      <c r="M3034" s="127">
        <v>633702</v>
      </c>
      <c r="N3034" s="109" t="s">
        <v>7423</v>
      </c>
      <c r="O3034" s="19" t="s">
        <v>6355</v>
      </c>
      <c r="P3034" s="32"/>
      <c r="Q3034" s="32"/>
    </row>
    <row r="3035" spans="1:17" ht="24.9" customHeight="1">
      <c r="A3035" s="20">
        <v>456</v>
      </c>
      <c r="B3035" s="20" t="s">
        <v>5675</v>
      </c>
      <c r="C3035" s="20"/>
      <c r="D3035" s="19" t="s">
        <v>3737</v>
      </c>
      <c r="E3035" s="19" t="str">
        <f>VLOOKUP(D3035,'لیست پرسنل'!$B$2:$E$1020,3,FALSE)</f>
        <v>فکورصنعت</v>
      </c>
      <c r="F3035" s="19" t="str">
        <f>VLOOKUP(D3035,'لیست پرسنل'!$B$2:$E$1020,4,FALSE)</f>
        <v>انبار</v>
      </c>
      <c r="G3035" s="127" t="str">
        <f>VLOOKUP(D3035,'لیست پرسنل'!$B$2:$F$1020,2,FALSE)</f>
        <v>4021110</v>
      </c>
      <c r="H3035" s="127" t="s">
        <v>7158</v>
      </c>
      <c r="I3035" s="128"/>
      <c r="J3035" s="128" t="s">
        <v>5366</v>
      </c>
      <c r="K3035" s="128" t="s">
        <v>4052</v>
      </c>
      <c r="L3035" s="128"/>
      <c r="M3035" s="128">
        <v>612494</v>
      </c>
      <c r="N3035" s="108"/>
      <c r="O3035" s="20"/>
      <c r="P3035" s="20"/>
      <c r="Q3035" s="20"/>
    </row>
    <row r="3036" spans="1:17" ht="24.9" customHeight="1">
      <c r="A3036" s="20">
        <v>456</v>
      </c>
      <c r="B3036" s="20" t="s">
        <v>5675</v>
      </c>
      <c r="C3036" s="20"/>
      <c r="D3036" s="19" t="s">
        <v>3737</v>
      </c>
      <c r="E3036" s="19" t="str">
        <f>VLOOKUP(D3036,'لیست پرسنل'!$B$2:$E$1020,3,FALSE)</f>
        <v>فکورصنعت</v>
      </c>
      <c r="F3036" s="19" t="str">
        <f>VLOOKUP(D3036,'لیست پرسنل'!$B$2:$E$1020,4,FALSE)</f>
        <v>انبار</v>
      </c>
      <c r="G3036" s="127" t="str">
        <f>VLOOKUP(D3036,'لیست پرسنل'!$B$2:$F$1020,2,FALSE)</f>
        <v>4021110</v>
      </c>
      <c r="H3036" s="127" t="s">
        <v>7158</v>
      </c>
      <c r="I3036" s="128"/>
      <c r="J3036" s="128" t="s">
        <v>5366</v>
      </c>
      <c r="K3036" s="128" t="s">
        <v>7879</v>
      </c>
      <c r="L3036" s="128"/>
      <c r="M3036" s="128">
        <v>632889</v>
      </c>
      <c r="N3036" s="108"/>
      <c r="O3036" s="20"/>
      <c r="P3036" s="20"/>
      <c r="Q3036" s="20"/>
    </row>
    <row r="3037" spans="1:17" ht="24.9" customHeight="1">
      <c r="A3037" s="185">
        <v>456</v>
      </c>
      <c r="B3037" s="185" t="s">
        <v>5675</v>
      </c>
      <c r="C3037" s="185"/>
      <c r="D3037" s="208" t="s">
        <v>3737</v>
      </c>
      <c r="E3037" s="186" t="str">
        <f>VLOOKUP(D3037,'لیست پرسنل'!$B$2:$E$1020,3,FALSE)</f>
        <v>فکورصنعت</v>
      </c>
      <c r="F3037" s="186" t="str">
        <f>VLOOKUP(D3037,'لیست پرسنل'!$B$2:$E$1020,4,FALSE)</f>
        <v>انبار</v>
      </c>
      <c r="G3037" s="187" t="str">
        <f>VLOOKUP(D3037,'لیست پرسنل'!$B$2:$F$1020,2,FALSE)</f>
        <v>4021110</v>
      </c>
      <c r="H3037" s="187" t="s">
        <v>7158</v>
      </c>
      <c r="I3037" s="194"/>
      <c r="J3037" s="188" t="s">
        <v>5366</v>
      </c>
      <c r="K3037" s="188" t="s">
        <v>7879</v>
      </c>
      <c r="L3037" s="188"/>
      <c r="M3037" s="194">
        <v>632890</v>
      </c>
      <c r="N3037" s="198"/>
      <c r="O3037" s="185"/>
      <c r="P3037" s="185"/>
      <c r="Q3037" s="185"/>
    </row>
    <row r="3038" spans="1:17" ht="24.9" customHeight="1">
      <c r="A3038" s="20">
        <v>456</v>
      </c>
      <c r="B3038" s="20" t="s">
        <v>5675</v>
      </c>
      <c r="C3038" s="20"/>
      <c r="D3038" s="19" t="s">
        <v>3737</v>
      </c>
      <c r="E3038" s="19" t="str">
        <f>VLOOKUP(D3038,'لیست پرسنل'!$B$2:$E$1020,3,FALSE)</f>
        <v>فکورصنعت</v>
      </c>
      <c r="F3038" s="19" t="str">
        <f>VLOOKUP(D3038,'لیست پرسنل'!$B$2:$E$1020,4,FALSE)</f>
        <v>انبار</v>
      </c>
      <c r="G3038" s="127" t="str">
        <f>VLOOKUP(D3038,'لیست پرسنل'!$B$2:$F$1020,2,FALSE)</f>
        <v>4021110</v>
      </c>
      <c r="H3038" s="127" t="s">
        <v>7158</v>
      </c>
      <c r="I3038" s="128"/>
      <c r="J3038" s="128" t="s">
        <v>5366</v>
      </c>
      <c r="K3038" s="128" t="s">
        <v>7879</v>
      </c>
      <c r="L3038" s="128"/>
      <c r="M3038" s="128">
        <v>632891</v>
      </c>
      <c r="N3038" s="108"/>
      <c r="O3038" s="20"/>
      <c r="P3038" s="20"/>
      <c r="Q3038" s="20"/>
    </row>
    <row r="3039" spans="1:17" ht="24.9" customHeight="1">
      <c r="A3039" s="20">
        <v>456</v>
      </c>
      <c r="B3039" s="20" t="s">
        <v>5675</v>
      </c>
      <c r="C3039" s="20"/>
      <c r="D3039" s="19" t="s">
        <v>3737</v>
      </c>
      <c r="E3039" s="19" t="str">
        <f>VLOOKUP(D3039,'لیست پرسنل'!$B$2:$E$1020,3,FALSE)</f>
        <v>فکورصنعت</v>
      </c>
      <c r="F3039" s="19" t="str">
        <f>VLOOKUP(D3039,'لیست پرسنل'!$B$2:$E$1020,4,FALSE)</f>
        <v>انبار</v>
      </c>
      <c r="G3039" s="127" t="str">
        <f>VLOOKUP(D3039,'لیست پرسنل'!$B$2:$F$1020,2,FALSE)</f>
        <v>4021110</v>
      </c>
      <c r="H3039" s="127" t="s">
        <v>7158</v>
      </c>
      <c r="I3039" s="128"/>
      <c r="J3039" s="128" t="s">
        <v>5366</v>
      </c>
      <c r="K3039" s="128" t="s">
        <v>7879</v>
      </c>
      <c r="L3039" s="128"/>
      <c r="M3039" s="128">
        <v>632892</v>
      </c>
      <c r="N3039" s="108"/>
      <c r="O3039" s="20"/>
      <c r="P3039" s="20"/>
      <c r="Q3039" s="20"/>
    </row>
    <row r="3040" spans="1:17" ht="24.9" customHeight="1">
      <c r="A3040" s="20">
        <v>456</v>
      </c>
      <c r="B3040" s="20" t="s">
        <v>5675</v>
      </c>
      <c r="C3040" s="20"/>
      <c r="D3040" s="19" t="s">
        <v>3737</v>
      </c>
      <c r="E3040" s="19" t="str">
        <f>VLOOKUP(D3040,'لیست پرسنل'!$B$2:$E$1020,3,FALSE)</f>
        <v>فکورصنعت</v>
      </c>
      <c r="F3040" s="19" t="str">
        <f>VLOOKUP(D3040,'لیست پرسنل'!$B$2:$E$1020,4,FALSE)</f>
        <v>انبار</v>
      </c>
      <c r="G3040" s="127" t="str">
        <f>VLOOKUP(D3040,'لیست پرسنل'!$B$2:$F$1020,2,FALSE)</f>
        <v>4021110</v>
      </c>
      <c r="H3040" s="127" t="s">
        <v>7158</v>
      </c>
      <c r="I3040" s="128"/>
      <c r="J3040" s="128" t="s">
        <v>5366</v>
      </c>
      <c r="K3040" s="128" t="s">
        <v>7879</v>
      </c>
      <c r="L3040" s="128"/>
      <c r="M3040" s="128">
        <v>632893</v>
      </c>
      <c r="N3040" s="108"/>
      <c r="O3040" s="20"/>
      <c r="P3040" s="20"/>
      <c r="Q3040" s="20"/>
    </row>
    <row r="3041" spans="1:17" ht="24.9" customHeight="1">
      <c r="A3041" s="20">
        <v>456</v>
      </c>
      <c r="B3041" s="20" t="s">
        <v>5675</v>
      </c>
      <c r="C3041" s="20"/>
      <c r="D3041" s="19" t="s">
        <v>3737</v>
      </c>
      <c r="E3041" s="19" t="str">
        <f>VLOOKUP(D3041,'لیست پرسنل'!$B$2:$E$1020,3,FALSE)</f>
        <v>فکورصنعت</v>
      </c>
      <c r="F3041" s="19" t="str">
        <f>VLOOKUP(D3041,'لیست پرسنل'!$B$2:$E$1020,4,FALSE)</f>
        <v>انبار</v>
      </c>
      <c r="G3041" s="127" t="str">
        <f>VLOOKUP(D3041,'لیست پرسنل'!$B$2:$F$1020,2,FALSE)</f>
        <v>4021110</v>
      </c>
      <c r="H3041" s="127" t="s">
        <v>7158</v>
      </c>
      <c r="I3041" s="128"/>
      <c r="J3041" s="128" t="s">
        <v>5366</v>
      </c>
      <c r="K3041" s="128" t="s">
        <v>7879</v>
      </c>
      <c r="L3041" s="128"/>
      <c r="M3041" s="128">
        <v>632894</v>
      </c>
      <c r="N3041" s="108"/>
      <c r="O3041" s="20"/>
      <c r="P3041" s="20"/>
      <c r="Q3041" s="20"/>
    </row>
    <row r="3042" spans="1:17" ht="24.9" customHeight="1">
      <c r="A3042" s="20">
        <v>456</v>
      </c>
      <c r="B3042" s="20" t="s">
        <v>5675</v>
      </c>
      <c r="C3042" s="20"/>
      <c r="D3042" s="19" t="s">
        <v>3737</v>
      </c>
      <c r="E3042" s="19" t="str">
        <f>VLOOKUP(D3042,'لیست پرسنل'!$B$2:$E$1020,3,FALSE)</f>
        <v>فکورصنعت</v>
      </c>
      <c r="F3042" s="19" t="str">
        <f>VLOOKUP(D3042,'لیست پرسنل'!$B$2:$E$1020,4,FALSE)</f>
        <v>انبار</v>
      </c>
      <c r="G3042" s="127" t="str">
        <f>VLOOKUP(D3042,'لیست پرسنل'!$B$2:$F$1020,2,FALSE)</f>
        <v>4021110</v>
      </c>
      <c r="H3042" s="127" t="s">
        <v>7158</v>
      </c>
      <c r="I3042" s="128"/>
      <c r="J3042" s="128" t="s">
        <v>5366</v>
      </c>
      <c r="K3042" s="128" t="s">
        <v>7879</v>
      </c>
      <c r="L3042" s="128"/>
      <c r="M3042" s="128">
        <v>632895</v>
      </c>
      <c r="N3042" s="108"/>
      <c r="O3042" s="20"/>
      <c r="P3042" s="20"/>
      <c r="Q3042" s="20"/>
    </row>
    <row r="3043" spans="1:17" ht="24.9" customHeight="1">
      <c r="A3043" s="20">
        <v>456</v>
      </c>
      <c r="B3043" s="20" t="s">
        <v>5675</v>
      </c>
      <c r="C3043" s="20"/>
      <c r="D3043" s="19" t="s">
        <v>3737</v>
      </c>
      <c r="E3043" s="19" t="str">
        <f>VLOOKUP(D3043,'لیست پرسنل'!$B$2:$E$1020,3,FALSE)</f>
        <v>فکورصنعت</v>
      </c>
      <c r="F3043" s="19" t="str">
        <f>VLOOKUP(D3043,'لیست پرسنل'!$B$2:$E$1020,4,FALSE)</f>
        <v>انبار</v>
      </c>
      <c r="G3043" s="127" t="str">
        <f>VLOOKUP(D3043,'لیست پرسنل'!$B$2:$F$1020,2,FALSE)</f>
        <v>4021110</v>
      </c>
      <c r="H3043" s="127" t="s">
        <v>7158</v>
      </c>
      <c r="I3043" s="128"/>
      <c r="J3043" s="128" t="s">
        <v>5366</v>
      </c>
      <c r="K3043" s="128" t="s">
        <v>7879</v>
      </c>
      <c r="L3043" s="128"/>
      <c r="M3043" s="128">
        <v>632896</v>
      </c>
      <c r="N3043" s="108"/>
      <c r="O3043" s="20"/>
      <c r="P3043" s="20"/>
      <c r="Q3043" s="20"/>
    </row>
    <row r="3044" spans="1:17" ht="24.9" customHeight="1">
      <c r="A3044" s="20">
        <v>456</v>
      </c>
      <c r="B3044" s="20" t="s">
        <v>5675</v>
      </c>
      <c r="C3044" s="20"/>
      <c r="D3044" s="19" t="s">
        <v>3737</v>
      </c>
      <c r="E3044" s="19" t="str">
        <f>VLOOKUP(D3044,'لیست پرسنل'!$B$2:$E$1020,3,FALSE)</f>
        <v>فکورصنعت</v>
      </c>
      <c r="F3044" s="19" t="str">
        <f>VLOOKUP(D3044,'لیست پرسنل'!$B$2:$E$1020,4,FALSE)</f>
        <v>انبار</v>
      </c>
      <c r="G3044" s="127" t="str">
        <f>VLOOKUP(D3044,'لیست پرسنل'!$B$2:$F$1020,2,FALSE)</f>
        <v>4021110</v>
      </c>
      <c r="H3044" s="127" t="s">
        <v>7158</v>
      </c>
      <c r="I3044" s="126"/>
      <c r="J3044" s="128" t="s">
        <v>5304</v>
      </c>
      <c r="K3044" s="128" t="s">
        <v>5997</v>
      </c>
      <c r="L3044" s="151"/>
      <c r="M3044" s="127">
        <v>609652</v>
      </c>
      <c r="N3044" s="109"/>
      <c r="O3044" s="19"/>
      <c r="P3044" s="32"/>
      <c r="Q3044" s="32"/>
    </row>
    <row r="3045" spans="1:17" ht="24.9" customHeight="1">
      <c r="A3045" s="20">
        <v>456</v>
      </c>
      <c r="B3045" s="20" t="s">
        <v>5675</v>
      </c>
      <c r="C3045" s="20"/>
      <c r="D3045" s="19" t="s">
        <v>3737</v>
      </c>
      <c r="E3045" s="19" t="str">
        <f>VLOOKUP(D3045,'لیست پرسنل'!$B$2:$E$1020,3,FALSE)</f>
        <v>فکورصنعت</v>
      </c>
      <c r="F3045" s="19" t="str">
        <f>VLOOKUP(D3045,'لیست پرسنل'!$B$2:$E$1020,4,FALSE)</f>
        <v>انبار</v>
      </c>
      <c r="G3045" s="127" t="str">
        <f>VLOOKUP(D3045,'لیست پرسنل'!$B$2:$F$1020,2,FALSE)</f>
        <v>4021110</v>
      </c>
      <c r="H3045" s="127" t="s">
        <v>5821</v>
      </c>
      <c r="I3045" s="128"/>
      <c r="J3045" s="128" t="s">
        <v>5366</v>
      </c>
      <c r="K3045" s="128" t="s">
        <v>8238</v>
      </c>
      <c r="L3045" s="127" t="s">
        <v>6985</v>
      </c>
      <c r="M3045" s="127">
        <v>634473</v>
      </c>
      <c r="N3045" s="109" t="s">
        <v>6990</v>
      </c>
      <c r="O3045" s="19"/>
      <c r="P3045" s="32"/>
      <c r="Q3045" s="32"/>
    </row>
    <row r="3046" spans="1:17" ht="24.9" customHeight="1">
      <c r="A3046" s="20">
        <v>456</v>
      </c>
      <c r="B3046" s="20" t="s">
        <v>5675</v>
      </c>
      <c r="C3046" s="20"/>
      <c r="D3046" s="19" t="s">
        <v>3737</v>
      </c>
      <c r="E3046" s="19" t="str">
        <f>VLOOKUP(D3046,'لیست پرسنل'!$B$2:$E$1020,3,FALSE)</f>
        <v>فکورصنعت</v>
      </c>
      <c r="F3046" s="19" t="str">
        <f>VLOOKUP(D3046,'لیست پرسنل'!$B$2:$E$1020,4,FALSE)</f>
        <v>انبار</v>
      </c>
      <c r="G3046" s="127" t="str">
        <f>VLOOKUP(D3046,'لیست پرسنل'!$B$2:$F$1020,2,FALSE)</f>
        <v>4021110</v>
      </c>
      <c r="H3046" s="127" t="s">
        <v>5821</v>
      </c>
      <c r="I3046" s="128"/>
      <c r="J3046" s="128" t="s">
        <v>5366</v>
      </c>
      <c r="K3046" s="128" t="s">
        <v>8238</v>
      </c>
      <c r="L3046" s="127" t="s">
        <v>6986</v>
      </c>
      <c r="M3046" s="127">
        <v>634474</v>
      </c>
      <c r="N3046" s="109" t="s">
        <v>6990</v>
      </c>
      <c r="O3046" s="19"/>
      <c r="P3046" s="32"/>
      <c r="Q3046" s="32"/>
    </row>
    <row r="3047" spans="1:17" ht="24.9" customHeight="1">
      <c r="A3047" s="20">
        <v>456</v>
      </c>
      <c r="B3047" s="20" t="s">
        <v>5675</v>
      </c>
      <c r="C3047" s="20"/>
      <c r="D3047" s="19" t="s">
        <v>3737</v>
      </c>
      <c r="E3047" s="19" t="str">
        <f>VLOOKUP(D3047,'لیست پرسنل'!$B$2:$E$1020,3,FALSE)</f>
        <v>فکورصنعت</v>
      </c>
      <c r="F3047" s="19" t="str">
        <f>VLOOKUP(D3047,'لیست پرسنل'!$B$2:$E$1020,4,FALSE)</f>
        <v>انبار</v>
      </c>
      <c r="G3047" s="127" t="str">
        <f>VLOOKUP(D3047,'لیست پرسنل'!$B$2:$F$1020,2,FALSE)</f>
        <v>4021110</v>
      </c>
      <c r="H3047" s="127" t="s">
        <v>5821</v>
      </c>
      <c r="I3047" s="128"/>
      <c r="J3047" s="128" t="s">
        <v>5366</v>
      </c>
      <c r="K3047" s="128" t="s">
        <v>8238</v>
      </c>
      <c r="L3047" s="127" t="s">
        <v>6987</v>
      </c>
      <c r="M3047" s="127">
        <v>634475</v>
      </c>
      <c r="N3047" s="109" t="s">
        <v>6991</v>
      </c>
      <c r="O3047" s="19"/>
      <c r="P3047" s="32"/>
      <c r="Q3047" s="32"/>
    </row>
    <row r="3048" spans="1:17" ht="24.9" customHeight="1">
      <c r="A3048" s="20">
        <v>456</v>
      </c>
      <c r="B3048" s="20" t="s">
        <v>5675</v>
      </c>
      <c r="C3048" s="20"/>
      <c r="D3048" s="19" t="s">
        <v>3737</v>
      </c>
      <c r="E3048" s="19" t="str">
        <f>VLOOKUP(D3048,'لیست پرسنل'!$B$2:$E$1020,3,FALSE)</f>
        <v>فکورصنعت</v>
      </c>
      <c r="F3048" s="19" t="str">
        <f>VLOOKUP(D3048,'لیست پرسنل'!$B$2:$E$1020,4,FALSE)</f>
        <v>انبار</v>
      </c>
      <c r="G3048" s="127" t="str">
        <f>VLOOKUP(D3048,'لیست پرسنل'!$B$2:$F$1020,2,FALSE)</f>
        <v>4021110</v>
      </c>
      <c r="H3048" s="127" t="s">
        <v>5821</v>
      </c>
      <c r="I3048" s="128"/>
      <c r="J3048" s="128" t="s">
        <v>5366</v>
      </c>
      <c r="K3048" s="128" t="s">
        <v>8238</v>
      </c>
      <c r="L3048" s="127" t="s">
        <v>6988</v>
      </c>
      <c r="M3048" s="127">
        <v>634476</v>
      </c>
      <c r="N3048" s="109" t="s">
        <v>6991</v>
      </c>
      <c r="O3048" s="19"/>
      <c r="P3048" s="32"/>
      <c r="Q3048" s="32"/>
    </row>
    <row r="3049" spans="1:17" ht="24.9" customHeight="1">
      <c r="A3049" s="20">
        <v>456</v>
      </c>
      <c r="B3049" s="20" t="s">
        <v>5675</v>
      </c>
      <c r="C3049" s="20"/>
      <c r="D3049" s="19" t="s">
        <v>3737</v>
      </c>
      <c r="E3049" s="19" t="str">
        <f>VLOOKUP(D3049,'لیست پرسنل'!$B$2:$E$1020,3,FALSE)</f>
        <v>فکورصنعت</v>
      </c>
      <c r="F3049" s="19" t="str">
        <f>VLOOKUP(D3049,'لیست پرسنل'!$B$2:$E$1020,4,FALSE)</f>
        <v>انبار</v>
      </c>
      <c r="G3049" s="127" t="str">
        <f>VLOOKUP(D3049,'لیست پرسنل'!$B$2:$F$1020,2,FALSE)</f>
        <v>4021110</v>
      </c>
      <c r="H3049" s="127" t="s">
        <v>5821</v>
      </c>
      <c r="I3049" s="128"/>
      <c r="J3049" s="128" t="s">
        <v>5366</v>
      </c>
      <c r="K3049" s="128" t="s">
        <v>8238</v>
      </c>
      <c r="L3049" s="127" t="s">
        <v>6989</v>
      </c>
      <c r="M3049" s="127">
        <v>634477</v>
      </c>
      <c r="N3049" s="109" t="s">
        <v>6991</v>
      </c>
      <c r="O3049" s="19"/>
      <c r="P3049" s="32"/>
      <c r="Q3049" s="32"/>
    </row>
    <row r="3050" spans="1:17" ht="24.9" customHeight="1">
      <c r="A3050" s="20">
        <v>456</v>
      </c>
      <c r="B3050" s="20" t="s">
        <v>5675</v>
      </c>
      <c r="C3050" s="20"/>
      <c r="D3050" s="19" t="s">
        <v>3737</v>
      </c>
      <c r="E3050" s="19" t="str">
        <f>VLOOKUP(D3050,'لیست پرسنل'!$B$2:$E$1020,3,FALSE)</f>
        <v>فکورصنعت</v>
      </c>
      <c r="F3050" s="19" t="str">
        <f>VLOOKUP(D3050,'لیست پرسنل'!$B$2:$E$1020,4,FALSE)</f>
        <v>انبار</v>
      </c>
      <c r="G3050" s="127" t="str">
        <f>VLOOKUP(D3050,'لیست پرسنل'!$B$2:$F$1020,2,FALSE)</f>
        <v>4021110</v>
      </c>
      <c r="H3050" s="127" t="s">
        <v>5821</v>
      </c>
      <c r="I3050" s="128"/>
      <c r="J3050" s="128" t="s">
        <v>3285</v>
      </c>
      <c r="K3050" s="128" t="s">
        <v>1358</v>
      </c>
      <c r="L3050" s="127" t="s">
        <v>1359</v>
      </c>
      <c r="M3050" s="127">
        <v>633695</v>
      </c>
      <c r="N3050" s="109" t="s">
        <v>48</v>
      </c>
      <c r="O3050" s="19" t="s">
        <v>6349</v>
      </c>
      <c r="P3050" s="32"/>
      <c r="Q3050" s="32"/>
    </row>
    <row r="3051" spans="1:17" ht="24.9" customHeight="1">
      <c r="A3051" s="20">
        <v>456</v>
      </c>
      <c r="B3051" s="20" t="s">
        <v>5675</v>
      </c>
      <c r="C3051" s="20"/>
      <c r="D3051" s="19" t="s">
        <v>3737</v>
      </c>
      <c r="E3051" s="19" t="str">
        <f>VLOOKUP(D3051,'لیست پرسنل'!$B$2:$E$1020,3,FALSE)</f>
        <v>فکورصنعت</v>
      </c>
      <c r="F3051" s="19" t="str">
        <f>VLOOKUP(D3051,'لیست پرسنل'!$B$2:$E$1020,4,FALSE)</f>
        <v>انبار</v>
      </c>
      <c r="G3051" s="127" t="str">
        <f>VLOOKUP(D3051,'لیست پرسنل'!$B$2:$F$1020,2,FALSE)</f>
        <v>4021110</v>
      </c>
      <c r="H3051" s="127" t="s">
        <v>5821</v>
      </c>
      <c r="I3051" s="128"/>
      <c r="J3051" s="128" t="s">
        <v>3476</v>
      </c>
      <c r="K3051" s="128" t="s">
        <v>4229</v>
      </c>
      <c r="L3051" s="127" t="s">
        <v>4871</v>
      </c>
      <c r="M3051" s="127">
        <v>633688</v>
      </c>
      <c r="N3051" s="109" t="s">
        <v>48</v>
      </c>
      <c r="O3051" s="19" t="s">
        <v>6344</v>
      </c>
      <c r="P3051" s="32"/>
      <c r="Q3051" s="32"/>
    </row>
    <row r="3052" spans="1:17" ht="24.9" customHeight="1">
      <c r="A3052" s="20">
        <v>456</v>
      </c>
      <c r="B3052" s="20" t="s">
        <v>5675</v>
      </c>
      <c r="C3052" s="20"/>
      <c r="D3052" s="19" t="s">
        <v>3737</v>
      </c>
      <c r="E3052" s="19" t="str">
        <f>VLOOKUP(D3052,'لیست پرسنل'!$B$2:$E$1020,3,FALSE)</f>
        <v>فکورصنعت</v>
      </c>
      <c r="F3052" s="19" t="str">
        <f>VLOOKUP(D3052,'لیست پرسنل'!$B$2:$E$1020,4,FALSE)</f>
        <v>انبار</v>
      </c>
      <c r="G3052" s="127" t="str">
        <f>VLOOKUP(D3052,'لیست پرسنل'!$B$2:$F$1020,2,FALSE)</f>
        <v>4021110</v>
      </c>
      <c r="H3052" s="127" t="s">
        <v>5821</v>
      </c>
      <c r="I3052" s="128"/>
      <c r="J3052" s="128" t="s">
        <v>3476</v>
      </c>
      <c r="K3052" s="128" t="s">
        <v>4844</v>
      </c>
      <c r="L3052" s="128" t="s">
        <v>4845</v>
      </c>
      <c r="M3052" s="127">
        <v>633690</v>
      </c>
      <c r="N3052" s="109" t="s">
        <v>48</v>
      </c>
      <c r="O3052" s="19"/>
      <c r="P3052" s="32"/>
      <c r="Q3052" s="32"/>
    </row>
    <row r="3053" spans="1:17" ht="24.9" customHeight="1">
      <c r="A3053" s="20">
        <v>456</v>
      </c>
      <c r="B3053" s="20" t="s">
        <v>5675</v>
      </c>
      <c r="C3053" s="20"/>
      <c r="D3053" s="19" t="s">
        <v>3737</v>
      </c>
      <c r="E3053" s="19" t="str">
        <f>VLOOKUP(D3053,'لیست پرسنل'!$B$2:$E$1020,3,FALSE)</f>
        <v>فکورصنعت</v>
      </c>
      <c r="F3053" s="19" t="str">
        <f>VLOOKUP(D3053,'لیست پرسنل'!$B$2:$E$1020,4,FALSE)</f>
        <v>انبار</v>
      </c>
      <c r="G3053" s="127" t="str">
        <f>VLOOKUP(D3053,'لیست پرسنل'!$B$2:$F$1020,2,FALSE)</f>
        <v>4021110</v>
      </c>
      <c r="H3053" s="127" t="s">
        <v>5821</v>
      </c>
      <c r="I3053" s="128"/>
      <c r="J3053" s="128" t="s">
        <v>3476</v>
      </c>
      <c r="K3053" s="128" t="s">
        <v>4844</v>
      </c>
      <c r="L3053" s="128"/>
      <c r="M3053" s="127">
        <v>633691</v>
      </c>
      <c r="N3053" s="109" t="s">
        <v>48</v>
      </c>
      <c r="O3053" s="19"/>
      <c r="P3053" s="32"/>
      <c r="Q3053" s="32"/>
    </row>
    <row r="3054" spans="1:17" ht="24.9" customHeight="1">
      <c r="A3054" s="20">
        <v>456</v>
      </c>
      <c r="B3054" s="20" t="s">
        <v>5675</v>
      </c>
      <c r="C3054" s="20"/>
      <c r="D3054" s="19" t="s">
        <v>3737</v>
      </c>
      <c r="E3054" s="19" t="str">
        <f>VLOOKUP(D3054,'لیست پرسنل'!$B$2:$E$1020,3,FALSE)</f>
        <v>فکورصنعت</v>
      </c>
      <c r="F3054" s="19" t="str">
        <f>VLOOKUP(D3054,'لیست پرسنل'!$B$2:$E$1020,4,FALSE)</f>
        <v>انبار</v>
      </c>
      <c r="G3054" s="127" t="str">
        <f>VLOOKUP(D3054,'لیست پرسنل'!$B$2:$F$1020,2,FALSE)</f>
        <v>4021110</v>
      </c>
      <c r="H3054" s="127" t="s">
        <v>5821</v>
      </c>
      <c r="I3054" s="128"/>
      <c r="J3054" s="128" t="s">
        <v>3476</v>
      </c>
      <c r="K3054" s="128" t="s">
        <v>3353</v>
      </c>
      <c r="L3054" s="128" t="s">
        <v>5437</v>
      </c>
      <c r="M3054" s="127">
        <v>633692</v>
      </c>
      <c r="N3054" s="109" t="s">
        <v>48</v>
      </c>
      <c r="O3054" s="19" t="s">
        <v>6346</v>
      </c>
      <c r="P3054" s="32"/>
      <c r="Q3054" s="32"/>
    </row>
    <row r="3055" spans="1:17" ht="24.9" customHeight="1">
      <c r="A3055" s="20">
        <v>456</v>
      </c>
      <c r="B3055" s="20" t="s">
        <v>5675</v>
      </c>
      <c r="C3055" s="20"/>
      <c r="D3055" s="19" t="s">
        <v>3737</v>
      </c>
      <c r="E3055" s="19" t="str">
        <f>VLOOKUP(D3055,'لیست پرسنل'!$B$2:$E$1020,3,FALSE)</f>
        <v>فکورصنعت</v>
      </c>
      <c r="F3055" s="19" t="str">
        <f>VLOOKUP(D3055,'لیست پرسنل'!$B$2:$E$1020,4,FALSE)</f>
        <v>انبار</v>
      </c>
      <c r="G3055" s="127" t="str">
        <f>VLOOKUP(D3055,'لیست پرسنل'!$B$2:$F$1020,2,FALSE)</f>
        <v>4021110</v>
      </c>
      <c r="H3055" s="127" t="s">
        <v>5821</v>
      </c>
      <c r="I3055" s="128"/>
      <c r="J3055" s="128" t="s">
        <v>3476</v>
      </c>
      <c r="K3055" s="128" t="s">
        <v>4844</v>
      </c>
      <c r="L3055" s="127"/>
      <c r="M3055" s="127">
        <v>633693</v>
      </c>
      <c r="N3055" s="109" t="s">
        <v>48</v>
      </c>
      <c r="O3055" s="19" t="s">
        <v>6347</v>
      </c>
      <c r="P3055" s="32"/>
      <c r="Q3055" s="32"/>
    </row>
    <row r="3056" spans="1:17" ht="24.9" customHeight="1">
      <c r="A3056" s="20">
        <v>456</v>
      </c>
      <c r="B3056" s="20" t="s">
        <v>5675</v>
      </c>
      <c r="C3056" s="20"/>
      <c r="D3056" s="19" t="s">
        <v>8495</v>
      </c>
      <c r="E3056" s="19" t="str">
        <f>VLOOKUP(D3056,'لیست پرسنل'!$B$2:$E$1020,3,FALSE)</f>
        <v>گهر کوشان سپهر</v>
      </c>
      <c r="F3056" s="19" t="str">
        <f>VLOOKUP(D3056,'لیست پرسنل'!$B$2:$E$1020,4,FALSE)</f>
        <v>کارشناس نظارت سیویل و معماری</v>
      </c>
      <c r="G3056" s="127">
        <f>VLOOKUP(D3056,'لیست پرسنل'!$B$2:$F$1020,2,FALSE)</f>
        <v>21093</v>
      </c>
      <c r="H3056" s="127" t="s">
        <v>8497</v>
      </c>
      <c r="I3056" s="128"/>
      <c r="J3056" s="126" t="s">
        <v>368</v>
      </c>
      <c r="K3056" s="128" t="s">
        <v>2846</v>
      </c>
      <c r="L3056" s="127" t="s">
        <v>4675</v>
      </c>
      <c r="M3056" s="127">
        <v>633749</v>
      </c>
      <c r="N3056" s="109" t="s">
        <v>5641</v>
      </c>
      <c r="O3056" s="19" t="s">
        <v>6404</v>
      </c>
      <c r="P3056" s="32"/>
      <c r="Q3056" s="32"/>
    </row>
    <row r="3057" spans="1:17" ht="24.9" customHeight="1">
      <c r="A3057" s="20">
        <v>456</v>
      </c>
      <c r="B3057" s="20" t="s">
        <v>5675</v>
      </c>
      <c r="C3057" s="20"/>
      <c r="D3057" s="20" t="s">
        <v>8495</v>
      </c>
      <c r="E3057" s="19" t="str">
        <f>VLOOKUP(D3057,'لیست پرسنل'!$B$2:$E$1020,3,FALSE)</f>
        <v>گهر کوشان سپهر</v>
      </c>
      <c r="F3057" s="19" t="str">
        <f>VLOOKUP(D3057,'لیست پرسنل'!$B$2:$E$1020,4,FALSE)</f>
        <v>کارشناس نظارت سیویل و معماری</v>
      </c>
      <c r="G3057" s="127">
        <f>VLOOKUP(D3057,'لیست پرسنل'!$B$2:$F$1020,2,FALSE)</f>
        <v>21093</v>
      </c>
      <c r="H3057" s="127" t="s">
        <v>5821</v>
      </c>
      <c r="I3057" s="127"/>
      <c r="J3057" s="128" t="s">
        <v>571</v>
      </c>
      <c r="K3057" s="127"/>
      <c r="L3057" s="127"/>
      <c r="M3057" s="127">
        <v>628556</v>
      </c>
      <c r="N3057" s="109" t="s">
        <v>5641</v>
      </c>
      <c r="O3057" s="20"/>
      <c r="P3057" s="20"/>
      <c r="Q3057" s="20"/>
    </row>
    <row r="3058" spans="1:17" ht="24.9" customHeight="1">
      <c r="A3058" s="20">
        <v>456</v>
      </c>
      <c r="B3058" s="20" t="s">
        <v>5675</v>
      </c>
      <c r="C3058" s="20"/>
      <c r="D3058" s="20" t="s">
        <v>8495</v>
      </c>
      <c r="E3058" s="19" t="str">
        <f>VLOOKUP(D3058,'لیست پرسنل'!$B$2:$E$1020,3,FALSE)</f>
        <v>گهر کوشان سپهر</v>
      </c>
      <c r="F3058" s="19" t="str">
        <f>VLOOKUP(D3058,'لیست پرسنل'!$B$2:$E$1020,4,FALSE)</f>
        <v>کارشناس نظارت سیویل و معماری</v>
      </c>
      <c r="G3058" s="127">
        <f>VLOOKUP(D3058,'لیست پرسنل'!$B$2:$F$1020,2,FALSE)</f>
        <v>21093</v>
      </c>
      <c r="H3058" s="127" t="s">
        <v>5821</v>
      </c>
      <c r="I3058" s="127"/>
      <c r="J3058" s="128" t="s">
        <v>5618</v>
      </c>
      <c r="K3058" s="127"/>
      <c r="L3058" s="127" t="s">
        <v>8494</v>
      </c>
      <c r="M3058" s="127">
        <v>637852</v>
      </c>
      <c r="N3058" s="109" t="s">
        <v>5641</v>
      </c>
      <c r="O3058" s="20"/>
      <c r="P3058" s="20"/>
      <c r="Q3058" s="20"/>
    </row>
    <row r="3059" spans="1:17" ht="24.9" customHeight="1">
      <c r="A3059" s="20">
        <v>456</v>
      </c>
      <c r="B3059" s="20" t="s">
        <v>5675</v>
      </c>
      <c r="C3059" s="20"/>
      <c r="D3059" s="19" t="s">
        <v>7878</v>
      </c>
      <c r="E3059" s="19" t="e">
        <f>VLOOKUP(D3059,'لیست پرسنل'!$B$2:$E$1020,3,FALSE)</f>
        <v>#N/A</v>
      </c>
      <c r="F3059" s="19" t="e">
        <f>VLOOKUP(D3059,'لیست پرسنل'!$B$2:$E$1020,4,FALSE)</f>
        <v>#N/A</v>
      </c>
      <c r="G3059" s="127" t="e">
        <f>VLOOKUP(D3059,'لیست پرسنل'!$B$2:$F$1020,2,FALSE)</f>
        <v>#N/A</v>
      </c>
      <c r="H3059" s="127" t="s">
        <v>7877</v>
      </c>
      <c r="I3059" s="128"/>
      <c r="J3059" s="128" t="s">
        <v>5366</v>
      </c>
      <c r="K3059" s="128" t="s">
        <v>2618</v>
      </c>
      <c r="L3059" s="128"/>
      <c r="M3059" s="128">
        <v>614443</v>
      </c>
      <c r="N3059" s="108" t="s">
        <v>5641</v>
      </c>
      <c r="O3059" s="20"/>
      <c r="P3059" s="20"/>
      <c r="Q3059" s="20"/>
    </row>
    <row r="3060" spans="1:17" ht="24.9" customHeight="1">
      <c r="A3060" s="20">
        <v>456</v>
      </c>
      <c r="B3060" s="20" t="s">
        <v>5675</v>
      </c>
      <c r="C3060" s="20"/>
      <c r="D3060" s="19" t="s">
        <v>5975</v>
      </c>
      <c r="E3060" s="19" t="str">
        <f>VLOOKUP(D3060,'لیست پرسنل'!$B$2:$E$1020,3,FALSE)</f>
        <v>فکورصنعت</v>
      </c>
      <c r="F3060" s="19" t="str">
        <f>VLOOKUP(D3060,'لیست پرسنل'!$B$2:$E$1020,4,FALSE)</f>
        <v>حراست</v>
      </c>
      <c r="G3060" s="127">
        <f>VLOOKUP(D3060,'لیست پرسنل'!$B$2:$F$1020,2,FALSE)</f>
        <v>4021106</v>
      </c>
      <c r="H3060" s="127" t="s">
        <v>7451</v>
      </c>
      <c r="I3060" s="127"/>
      <c r="J3060" s="128" t="s">
        <v>5366</v>
      </c>
      <c r="K3060" s="128" t="s">
        <v>4052</v>
      </c>
      <c r="L3060" s="128"/>
      <c r="M3060" s="128">
        <v>612495</v>
      </c>
      <c r="N3060" s="108"/>
      <c r="O3060" s="20"/>
      <c r="P3060" s="20"/>
      <c r="Q3060" s="20"/>
    </row>
    <row r="3061" spans="1:17" ht="24.9" customHeight="1">
      <c r="A3061" s="20">
        <v>456</v>
      </c>
      <c r="B3061" s="20" t="s">
        <v>5675</v>
      </c>
      <c r="C3061" s="20"/>
      <c r="D3061" s="19" t="s">
        <v>5975</v>
      </c>
      <c r="E3061" s="19" t="str">
        <f>VLOOKUP(D3061,'لیست پرسنل'!$B$2:$E$1020,3,FALSE)</f>
        <v>فکورصنعت</v>
      </c>
      <c r="F3061" s="19" t="str">
        <f>VLOOKUP(D3061,'لیست پرسنل'!$B$2:$E$1020,4,FALSE)</f>
        <v>حراست</v>
      </c>
      <c r="G3061" s="127">
        <f>VLOOKUP(D3061,'لیست پرسنل'!$B$2:$F$1020,2,FALSE)</f>
        <v>4021106</v>
      </c>
      <c r="H3061" s="127" t="s">
        <v>7400</v>
      </c>
      <c r="I3061" s="128"/>
      <c r="J3061" s="126" t="s">
        <v>368</v>
      </c>
      <c r="K3061" s="128" t="s">
        <v>2846</v>
      </c>
      <c r="L3061" s="127" t="s">
        <v>1363</v>
      </c>
      <c r="M3061" s="127">
        <v>633765</v>
      </c>
      <c r="N3061" s="109"/>
      <c r="O3061" s="19" t="s">
        <v>6412</v>
      </c>
      <c r="P3061" s="32"/>
      <c r="Q3061" s="32"/>
    </row>
    <row r="3062" spans="1:17" ht="24.9" customHeight="1">
      <c r="A3062" s="20">
        <v>456</v>
      </c>
      <c r="B3062" s="20" t="s">
        <v>5675</v>
      </c>
      <c r="C3062" s="20"/>
      <c r="D3062" s="19" t="s">
        <v>5643</v>
      </c>
      <c r="E3062" s="19" t="str">
        <f>VLOOKUP(D3062,'لیست پرسنل'!$B$2:$E$1020,3,FALSE)</f>
        <v>فکورصنعت</v>
      </c>
      <c r="F3062" s="19" t="str">
        <f>VLOOKUP(D3062,'لیست پرسنل'!$B$2:$E$1020,4,FALSE)</f>
        <v>مسئول دفتر</v>
      </c>
      <c r="G3062" s="127">
        <f>VLOOKUP(D3062,'لیست پرسنل'!$B$2:$F$1020,2,FALSE)</f>
        <v>7009</v>
      </c>
      <c r="H3062" s="127" t="s">
        <v>7448</v>
      </c>
      <c r="I3062" s="128"/>
      <c r="J3062" s="126" t="s">
        <v>3481</v>
      </c>
      <c r="K3062" s="128" t="s">
        <v>7431</v>
      </c>
      <c r="L3062" s="128" t="s">
        <v>7442</v>
      </c>
      <c r="M3062" s="128" t="s">
        <v>291</v>
      </c>
      <c r="N3062" s="109"/>
      <c r="O3062" s="19"/>
      <c r="P3062" s="32"/>
      <c r="Q3062" s="32"/>
    </row>
    <row r="3063" spans="1:17" ht="24.9" customHeight="1">
      <c r="A3063" s="20">
        <v>456</v>
      </c>
      <c r="B3063" s="20" t="s">
        <v>5675</v>
      </c>
      <c r="C3063" s="20"/>
      <c r="D3063" s="20" t="s">
        <v>5643</v>
      </c>
      <c r="E3063" s="19" t="str">
        <f>VLOOKUP(D3063,'لیست پرسنل'!$B$2:$E$1020,3,FALSE)</f>
        <v>فکورصنعت</v>
      </c>
      <c r="F3063" s="19" t="str">
        <f>VLOOKUP(D3063,'لیست پرسنل'!$B$2:$E$1020,4,FALSE)</f>
        <v>مسئول دفتر</v>
      </c>
      <c r="G3063" s="127">
        <f>VLOOKUP(D3063,'لیست پرسنل'!$B$2:$F$1020,2,FALSE)</f>
        <v>7009</v>
      </c>
      <c r="H3063" s="128" t="s">
        <v>7426</v>
      </c>
      <c r="I3063" s="128"/>
      <c r="J3063" s="128" t="s">
        <v>5366</v>
      </c>
      <c r="K3063" s="128" t="s">
        <v>4850</v>
      </c>
      <c r="L3063" s="127" t="s">
        <v>4852</v>
      </c>
      <c r="M3063" s="127">
        <v>633703</v>
      </c>
      <c r="N3063" s="109" t="s">
        <v>7425</v>
      </c>
      <c r="O3063" s="19" t="s">
        <v>6356</v>
      </c>
      <c r="P3063" s="32"/>
      <c r="Q3063" s="32"/>
    </row>
    <row r="3064" spans="1:17" ht="24.9" customHeight="1">
      <c r="A3064" s="20">
        <v>456</v>
      </c>
      <c r="B3064" s="20" t="s">
        <v>5675</v>
      </c>
      <c r="C3064" s="20"/>
      <c r="D3064" s="20" t="s">
        <v>5643</v>
      </c>
      <c r="E3064" s="19" t="str">
        <f>VLOOKUP(D3064,'لیست پرسنل'!$B$2:$E$1020,3,FALSE)</f>
        <v>فکورصنعت</v>
      </c>
      <c r="F3064" s="19" t="str">
        <f>VLOOKUP(D3064,'لیست پرسنل'!$B$2:$E$1020,4,FALSE)</f>
        <v>مسئول دفتر</v>
      </c>
      <c r="G3064" s="127">
        <f>VLOOKUP(D3064,'لیست پرسنل'!$B$2:$F$1020,2,FALSE)</f>
        <v>7009</v>
      </c>
      <c r="H3064" s="128" t="s">
        <v>7422</v>
      </c>
      <c r="I3064" s="128"/>
      <c r="J3064" s="128" t="s">
        <v>5366</v>
      </c>
      <c r="K3064" s="128" t="s">
        <v>4850</v>
      </c>
      <c r="L3064" s="127" t="s">
        <v>4853</v>
      </c>
      <c r="M3064" s="127">
        <v>633701</v>
      </c>
      <c r="N3064" s="109" t="s">
        <v>7421</v>
      </c>
      <c r="O3064" s="19" t="s">
        <v>6354</v>
      </c>
      <c r="P3064" s="32"/>
      <c r="Q3064" s="32"/>
    </row>
    <row r="3065" spans="1:17" ht="24.9" customHeight="1">
      <c r="A3065" s="20">
        <v>456</v>
      </c>
      <c r="B3065" s="20" t="s">
        <v>5675</v>
      </c>
      <c r="C3065" s="20"/>
      <c r="D3065" s="19" t="s">
        <v>5643</v>
      </c>
      <c r="E3065" s="19" t="str">
        <f>VLOOKUP(D3065,'لیست پرسنل'!$B$2:$E$1020,3,FALSE)</f>
        <v>فکورصنعت</v>
      </c>
      <c r="F3065" s="19" t="str">
        <f>VLOOKUP(D3065,'لیست پرسنل'!$B$2:$E$1020,4,FALSE)</f>
        <v>مسئول دفتر</v>
      </c>
      <c r="G3065" s="127">
        <f>VLOOKUP(D3065,'لیست پرسنل'!$B$2:$F$1020,2,FALSE)</f>
        <v>7009</v>
      </c>
      <c r="H3065" s="127" t="s">
        <v>7452</v>
      </c>
      <c r="I3065" s="128"/>
      <c r="J3065" s="126" t="s">
        <v>368</v>
      </c>
      <c r="K3065" s="128" t="s">
        <v>2606</v>
      </c>
      <c r="L3065" s="128" t="s">
        <v>5748</v>
      </c>
      <c r="M3065" s="128">
        <v>621756</v>
      </c>
      <c r="N3065" s="108"/>
      <c r="O3065" s="20"/>
      <c r="P3065" s="20"/>
      <c r="Q3065" s="20"/>
    </row>
    <row r="3066" spans="1:17" ht="24.9" customHeight="1">
      <c r="A3066" s="20">
        <v>456</v>
      </c>
      <c r="B3066" s="20" t="s">
        <v>5675</v>
      </c>
      <c r="C3066" s="20"/>
      <c r="D3066" s="19" t="s">
        <v>5643</v>
      </c>
      <c r="E3066" s="19" t="str">
        <f>VLOOKUP(D3066,'لیست پرسنل'!$B$2:$E$1020,3,FALSE)</f>
        <v>فکورصنعت</v>
      </c>
      <c r="F3066" s="19" t="str">
        <f>VLOOKUP(D3066,'لیست پرسنل'!$B$2:$E$1020,4,FALSE)</f>
        <v>مسئول دفتر</v>
      </c>
      <c r="G3066" s="127">
        <f>VLOOKUP(D3066,'لیست پرسنل'!$B$2:$F$1020,2,FALSE)</f>
        <v>7009</v>
      </c>
      <c r="H3066" s="127" t="s">
        <v>7450</v>
      </c>
      <c r="I3066" s="128"/>
      <c r="J3066" s="126" t="s">
        <v>3532</v>
      </c>
      <c r="K3066" s="128" t="s">
        <v>6095</v>
      </c>
      <c r="L3066" s="128" t="s">
        <v>6084</v>
      </c>
      <c r="M3066" s="128">
        <v>632822</v>
      </c>
      <c r="N3066" s="111"/>
      <c r="O3066" s="20"/>
      <c r="P3066" s="20"/>
      <c r="Q3066" s="20"/>
    </row>
    <row r="3067" spans="1:17" ht="24.9" customHeight="1">
      <c r="A3067" s="20">
        <v>456</v>
      </c>
      <c r="B3067" s="20" t="s">
        <v>5675</v>
      </c>
      <c r="C3067" s="20"/>
      <c r="D3067" s="19" t="s">
        <v>5643</v>
      </c>
      <c r="E3067" s="19" t="str">
        <f>VLOOKUP(D3067,'لیست پرسنل'!$B$2:$E$1020,3,FALSE)</f>
        <v>فکورصنعت</v>
      </c>
      <c r="F3067" s="19" t="str">
        <f>VLOOKUP(D3067,'لیست پرسنل'!$B$2:$E$1020,4,FALSE)</f>
        <v>مسئول دفتر</v>
      </c>
      <c r="G3067" s="127">
        <f>VLOOKUP(D3067,'لیست پرسنل'!$B$2:$F$1020,2,FALSE)</f>
        <v>7009</v>
      </c>
      <c r="H3067" s="127" t="s">
        <v>7450</v>
      </c>
      <c r="I3067" s="128"/>
      <c r="J3067" s="126" t="s">
        <v>3532</v>
      </c>
      <c r="K3067" s="128" t="s">
        <v>6095</v>
      </c>
      <c r="L3067" s="128" t="s">
        <v>6085</v>
      </c>
      <c r="M3067" s="128">
        <v>632823</v>
      </c>
      <c r="N3067" s="111"/>
      <c r="O3067" s="20"/>
      <c r="P3067" s="20"/>
      <c r="Q3067" s="20"/>
    </row>
    <row r="3068" spans="1:17" ht="24.9" customHeight="1">
      <c r="A3068" s="20">
        <v>456</v>
      </c>
      <c r="B3068" s="20" t="s">
        <v>5675</v>
      </c>
      <c r="C3068" s="20"/>
      <c r="D3068" s="19" t="s">
        <v>5643</v>
      </c>
      <c r="E3068" s="19" t="str">
        <f>VLOOKUP(D3068,'لیست پرسنل'!$B$2:$E$1020,3,FALSE)</f>
        <v>فکورصنعت</v>
      </c>
      <c r="F3068" s="19" t="str">
        <f>VLOOKUP(D3068,'لیست پرسنل'!$B$2:$E$1020,4,FALSE)</f>
        <v>مسئول دفتر</v>
      </c>
      <c r="G3068" s="127">
        <f>VLOOKUP(D3068,'لیست پرسنل'!$B$2:$F$1020,2,FALSE)</f>
        <v>7009</v>
      </c>
      <c r="H3068" s="127" t="s">
        <v>7450</v>
      </c>
      <c r="I3068" s="128"/>
      <c r="J3068" s="126" t="s">
        <v>3532</v>
      </c>
      <c r="K3068" s="128" t="s">
        <v>6095</v>
      </c>
      <c r="L3068" s="128" t="s">
        <v>6086</v>
      </c>
      <c r="M3068" s="128">
        <v>632824</v>
      </c>
      <c r="N3068" s="111"/>
      <c r="O3068" s="20"/>
      <c r="P3068" s="20"/>
      <c r="Q3068" s="20"/>
    </row>
    <row r="3069" spans="1:17" ht="24.9" customHeight="1">
      <c r="A3069" s="20">
        <v>456</v>
      </c>
      <c r="B3069" s="20" t="s">
        <v>5675</v>
      </c>
      <c r="C3069" s="20"/>
      <c r="D3069" s="19" t="s">
        <v>5643</v>
      </c>
      <c r="E3069" s="19" t="str">
        <f>VLOOKUP(D3069,'لیست پرسنل'!$B$2:$E$1020,3,FALSE)</f>
        <v>فکورصنعت</v>
      </c>
      <c r="F3069" s="19" t="str">
        <f>VLOOKUP(D3069,'لیست پرسنل'!$B$2:$E$1020,4,FALSE)</f>
        <v>مسئول دفتر</v>
      </c>
      <c r="G3069" s="127">
        <f>VLOOKUP(D3069,'لیست پرسنل'!$B$2:$F$1020,2,FALSE)</f>
        <v>7009</v>
      </c>
      <c r="H3069" s="127" t="s">
        <v>7450</v>
      </c>
      <c r="I3069" s="128"/>
      <c r="J3069" s="126" t="s">
        <v>3532</v>
      </c>
      <c r="K3069" s="128" t="s">
        <v>6095</v>
      </c>
      <c r="L3069" s="128" t="s">
        <v>6087</v>
      </c>
      <c r="M3069" s="128">
        <v>632825</v>
      </c>
      <c r="N3069" s="111"/>
      <c r="O3069" s="20"/>
      <c r="P3069" s="20"/>
      <c r="Q3069" s="20"/>
    </row>
    <row r="3070" spans="1:17" ht="24.9" customHeight="1">
      <c r="A3070" s="20">
        <v>456</v>
      </c>
      <c r="B3070" s="20" t="s">
        <v>5675</v>
      </c>
      <c r="C3070" s="20"/>
      <c r="D3070" s="19" t="s">
        <v>5643</v>
      </c>
      <c r="E3070" s="19" t="str">
        <f>VLOOKUP(D3070,'لیست پرسنل'!$B$2:$E$1020,3,FALSE)</f>
        <v>فکورصنعت</v>
      </c>
      <c r="F3070" s="19" t="str">
        <f>VLOOKUP(D3070,'لیست پرسنل'!$B$2:$E$1020,4,FALSE)</f>
        <v>مسئول دفتر</v>
      </c>
      <c r="G3070" s="127">
        <f>VLOOKUP(D3070,'لیست پرسنل'!$B$2:$F$1020,2,FALSE)</f>
        <v>7009</v>
      </c>
      <c r="H3070" s="127" t="s">
        <v>7450</v>
      </c>
      <c r="I3070" s="128"/>
      <c r="J3070" s="126" t="s">
        <v>3532</v>
      </c>
      <c r="K3070" s="128" t="s">
        <v>6095</v>
      </c>
      <c r="L3070" s="128" t="s">
        <v>6088</v>
      </c>
      <c r="M3070" s="128">
        <v>632826</v>
      </c>
      <c r="N3070" s="111"/>
      <c r="O3070" s="20"/>
      <c r="P3070" s="20"/>
      <c r="Q3070" s="20"/>
    </row>
    <row r="3071" spans="1:17" ht="24.9" customHeight="1">
      <c r="A3071" s="20">
        <v>456</v>
      </c>
      <c r="B3071" s="20" t="s">
        <v>5675</v>
      </c>
      <c r="C3071" s="20"/>
      <c r="D3071" s="19" t="s">
        <v>5643</v>
      </c>
      <c r="E3071" s="19" t="str">
        <f>VLOOKUP(D3071,'لیست پرسنل'!$B$2:$E$1020,3,FALSE)</f>
        <v>فکورصنعت</v>
      </c>
      <c r="F3071" s="19" t="str">
        <f>VLOOKUP(D3071,'لیست پرسنل'!$B$2:$E$1020,4,FALSE)</f>
        <v>مسئول دفتر</v>
      </c>
      <c r="G3071" s="127">
        <f>VLOOKUP(D3071,'لیست پرسنل'!$B$2:$F$1020,2,FALSE)</f>
        <v>7009</v>
      </c>
      <c r="H3071" s="127" t="s">
        <v>7450</v>
      </c>
      <c r="I3071" s="128"/>
      <c r="J3071" s="126" t="s">
        <v>3532</v>
      </c>
      <c r="K3071" s="128" t="s">
        <v>6095</v>
      </c>
      <c r="L3071" s="128" t="s">
        <v>6089</v>
      </c>
      <c r="M3071" s="128">
        <v>632827</v>
      </c>
      <c r="N3071" s="111"/>
      <c r="O3071" s="20"/>
      <c r="P3071" s="20"/>
      <c r="Q3071" s="20"/>
    </row>
    <row r="3072" spans="1:17" ht="24.9" customHeight="1">
      <c r="A3072" s="20">
        <v>456</v>
      </c>
      <c r="B3072" s="20" t="s">
        <v>5675</v>
      </c>
      <c r="C3072" s="20"/>
      <c r="D3072" s="19" t="s">
        <v>5643</v>
      </c>
      <c r="E3072" s="19" t="str">
        <f>VLOOKUP(D3072,'لیست پرسنل'!$B$2:$E$1020,3,FALSE)</f>
        <v>فکورصنعت</v>
      </c>
      <c r="F3072" s="19" t="str">
        <f>VLOOKUP(D3072,'لیست پرسنل'!$B$2:$E$1020,4,FALSE)</f>
        <v>مسئول دفتر</v>
      </c>
      <c r="G3072" s="127">
        <f>VLOOKUP(D3072,'لیست پرسنل'!$B$2:$F$1020,2,FALSE)</f>
        <v>7009</v>
      </c>
      <c r="H3072" s="127" t="s">
        <v>7158</v>
      </c>
      <c r="I3072" s="128"/>
      <c r="J3072" s="126" t="s">
        <v>571</v>
      </c>
      <c r="K3072" s="128" t="s">
        <v>5620</v>
      </c>
      <c r="L3072" s="150"/>
      <c r="M3072" s="128">
        <v>632367</v>
      </c>
      <c r="N3072" s="108" t="s">
        <v>5641</v>
      </c>
      <c r="O3072" s="20" t="s">
        <v>5884</v>
      </c>
      <c r="P3072" s="20"/>
      <c r="Q3072" s="20"/>
    </row>
    <row r="3073" spans="1:17" ht="24.9" customHeight="1">
      <c r="A3073" s="20">
        <v>456</v>
      </c>
      <c r="B3073" s="20" t="s">
        <v>5675</v>
      </c>
      <c r="C3073" s="20"/>
      <c r="D3073" s="19" t="s">
        <v>5643</v>
      </c>
      <c r="E3073" s="19" t="str">
        <f>VLOOKUP(D3073,'لیست پرسنل'!$B$2:$E$1020,3,FALSE)</f>
        <v>فکورصنعت</v>
      </c>
      <c r="F3073" s="19" t="str">
        <f>VLOOKUP(D3073,'لیست پرسنل'!$B$2:$E$1020,4,FALSE)</f>
        <v>مسئول دفتر</v>
      </c>
      <c r="G3073" s="127">
        <f>VLOOKUP(D3073,'لیست پرسنل'!$B$2:$F$1020,2,FALSE)</f>
        <v>7009</v>
      </c>
      <c r="H3073" s="127" t="s">
        <v>7158</v>
      </c>
      <c r="I3073" s="128"/>
      <c r="J3073" s="128" t="s">
        <v>5304</v>
      </c>
      <c r="K3073" s="128" t="s">
        <v>7159</v>
      </c>
      <c r="L3073" s="128"/>
      <c r="M3073" s="128">
        <v>620194</v>
      </c>
      <c r="N3073" s="108"/>
      <c r="O3073" s="20"/>
      <c r="P3073" s="20"/>
      <c r="Q3073" s="20"/>
    </row>
    <row r="3074" spans="1:17" ht="24.9" customHeight="1">
      <c r="A3074" s="20">
        <v>456</v>
      </c>
      <c r="B3074" s="20" t="s">
        <v>5675</v>
      </c>
      <c r="C3074" s="20"/>
      <c r="D3074" s="19" t="s">
        <v>5643</v>
      </c>
      <c r="E3074" s="19" t="str">
        <f>VLOOKUP(D3074,'لیست پرسنل'!$B$2:$E$1020,3,FALSE)</f>
        <v>فکورصنعت</v>
      </c>
      <c r="F3074" s="19" t="str">
        <f>VLOOKUP(D3074,'لیست پرسنل'!$B$2:$E$1020,4,FALSE)</f>
        <v>مسئول دفتر</v>
      </c>
      <c r="G3074" s="127">
        <f>VLOOKUP(D3074,'لیست پرسنل'!$B$2:$F$1020,2,FALSE)</f>
        <v>7009</v>
      </c>
      <c r="H3074" s="127" t="s">
        <v>7158</v>
      </c>
      <c r="I3074" s="128"/>
      <c r="J3074" s="126" t="s">
        <v>2686</v>
      </c>
      <c r="K3074" s="128" t="s">
        <v>2616</v>
      </c>
      <c r="L3074" s="150"/>
      <c r="M3074" s="128">
        <v>620241</v>
      </c>
      <c r="N3074" s="108" t="s">
        <v>5641</v>
      </c>
      <c r="O3074" s="20"/>
      <c r="P3074" s="20"/>
      <c r="Q3074" s="20"/>
    </row>
    <row r="3075" spans="1:17" ht="24.9" customHeight="1">
      <c r="A3075" s="20">
        <v>456</v>
      </c>
      <c r="B3075" s="20" t="s">
        <v>5675</v>
      </c>
      <c r="C3075" s="20"/>
      <c r="D3075" s="19" t="s">
        <v>5643</v>
      </c>
      <c r="E3075" s="19" t="str">
        <f>VLOOKUP(D3075,'لیست پرسنل'!$B$2:$E$1020,3,FALSE)</f>
        <v>فکورصنعت</v>
      </c>
      <c r="F3075" s="19" t="str">
        <f>VLOOKUP(D3075,'لیست پرسنل'!$B$2:$E$1020,4,FALSE)</f>
        <v>مسئول دفتر</v>
      </c>
      <c r="G3075" s="127">
        <f>VLOOKUP(D3075,'لیست پرسنل'!$B$2:$F$1020,2,FALSE)</f>
        <v>7009</v>
      </c>
      <c r="H3075" s="127" t="s">
        <v>7158</v>
      </c>
      <c r="I3075" s="128"/>
      <c r="J3075" s="126" t="s">
        <v>3313</v>
      </c>
      <c r="K3075" s="128" t="s">
        <v>965</v>
      </c>
      <c r="L3075" s="150"/>
      <c r="M3075" s="128">
        <v>605370</v>
      </c>
      <c r="N3075" s="108"/>
      <c r="O3075" s="20"/>
      <c r="P3075" s="20"/>
      <c r="Q3075" s="20"/>
    </row>
    <row r="3076" spans="1:17" ht="24.9" customHeight="1">
      <c r="A3076" s="20">
        <v>456</v>
      </c>
      <c r="B3076" s="20" t="s">
        <v>5675</v>
      </c>
      <c r="C3076" s="20"/>
      <c r="D3076" s="19" t="s">
        <v>5643</v>
      </c>
      <c r="E3076" s="19" t="str">
        <f>VLOOKUP(D3076,'لیست پرسنل'!$B$2:$E$1020,3,FALSE)</f>
        <v>فکورصنعت</v>
      </c>
      <c r="F3076" s="19" t="str">
        <f>VLOOKUP(D3076,'لیست پرسنل'!$B$2:$E$1020,4,FALSE)</f>
        <v>مسئول دفتر</v>
      </c>
      <c r="G3076" s="127">
        <f>VLOOKUP(D3076,'لیست پرسنل'!$B$2:$F$1020,2,FALSE)</f>
        <v>7009</v>
      </c>
      <c r="H3076" s="127" t="s">
        <v>7158</v>
      </c>
      <c r="I3076" s="128"/>
      <c r="J3076" s="126" t="s">
        <v>3313</v>
      </c>
      <c r="K3076" s="128" t="s">
        <v>3313</v>
      </c>
      <c r="L3076" s="150"/>
      <c r="M3076" s="128">
        <v>607504</v>
      </c>
      <c r="N3076" s="108"/>
      <c r="O3076" s="20"/>
      <c r="P3076" s="20"/>
      <c r="Q3076" s="20"/>
    </row>
    <row r="3077" spans="1:17" ht="24.9" customHeight="1">
      <c r="A3077" s="20">
        <v>456</v>
      </c>
      <c r="B3077" s="20" t="s">
        <v>5675</v>
      </c>
      <c r="C3077" s="20"/>
      <c r="D3077" s="19" t="s">
        <v>5643</v>
      </c>
      <c r="E3077" s="19" t="str">
        <f>VLOOKUP(D3077,'لیست پرسنل'!$B$2:$E$1020,3,FALSE)</f>
        <v>فکورصنعت</v>
      </c>
      <c r="F3077" s="19" t="str">
        <f>VLOOKUP(D3077,'لیست پرسنل'!$B$2:$E$1020,4,FALSE)</f>
        <v>مسئول دفتر</v>
      </c>
      <c r="G3077" s="127">
        <f>VLOOKUP(D3077,'لیست پرسنل'!$B$2:$F$1020,2,FALSE)</f>
        <v>7009</v>
      </c>
      <c r="H3077" s="127" t="s">
        <v>7158</v>
      </c>
      <c r="I3077" s="128"/>
      <c r="J3077" s="126" t="s">
        <v>3313</v>
      </c>
      <c r="K3077" s="128" t="s">
        <v>5623</v>
      </c>
      <c r="L3077" s="150"/>
      <c r="M3077" s="128">
        <v>620741</v>
      </c>
      <c r="N3077" s="108"/>
      <c r="O3077" s="20"/>
      <c r="P3077" s="20"/>
      <c r="Q3077" s="20"/>
    </row>
    <row r="3078" spans="1:17" ht="24.9" customHeight="1">
      <c r="A3078" s="20">
        <v>456</v>
      </c>
      <c r="B3078" s="20" t="s">
        <v>5675</v>
      </c>
      <c r="C3078" s="20"/>
      <c r="D3078" s="20" t="s">
        <v>5643</v>
      </c>
      <c r="E3078" s="19" t="str">
        <f>VLOOKUP(D3078,'لیست پرسنل'!$B$2:$E$1020,3,FALSE)</f>
        <v>فکورصنعت</v>
      </c>
      <c r="F3078" s="19" t="str">
        <f>VLOOKUP(D3078,'لیست پرسنل'!$B$2:$E$1020,4,FALSE)</f>
        <v>مسئول دفتر</v>
      </c>
      <c r="G3078" s="127">
        <f>VLOOKUP(D3078,'لیست پرسنل'!$B$2:$F$1020,2,FALSE)</f>
        <v>7009</v>
      </c>
      <c r="H3078" s="128" t="s">
        <v>7399</v>
      </c>
      <c r="I3078" s="128"/>
      <c r="J3078" s="128" t="s">
        <v>4721</v>
      </c>
      <c r="K3078" s="128" t="s">
        <v>7401</v>
      </c>
      <c r="L3078" s="127"/>
      <c r="M3078" s="127">
        <v>633789</v>
      </c>
      <c r="N3078" s="109"/>
      <c r="O3078" s="19" t="s">
        <v>6435</v>
      </c>
      <c r="P3078" s="32"/>
      <c r="Q3078" s="32"/>
    </row>
    <row r="3079" spans="1:17" ht="24.9" customHeight="1">
      <c r="A3079" s="20">
        <v>456</v>
      </c>
      <c r="B3079" s="20" t="s">
        <v>5675</v>
      </c>
      <c r="C3079" s="20"/>
      <c r="D3079" s="20" t="s">
        <v>5643</v>
      </c>
      <c r="E3079" s="19" t="str">
        <f>VLOOKUP(D3079,'لیست پرسنل'!$B$2:$E$1020,3,FALSE)</f>
        <v>فکورصنعت</v>
      </c>
      <c r="F3079" s="19" t="str">
        <f>VLOOKUP(D3079,'لیست پرسنل'!$B$2:$E$1020,4,FALSE)</f>
        <v>مسئول دفتر</v>
      </c>
      <c r="G3079" s="127">
        <f>VLOOKUP(D3079,'لیست پرسنل'!$B$2:$F$1020,2,FALSE)</f>
        <v>7009</v>
      </c>
      <c r="H3079" s="128" t="s">
        <v>7399</v>
      </c>
      <c r="I3079" s="128"/>
      <c r="J3079" s="128" t="s">
        <v>4721</v>
      </c>
      <c r="K3079" s="128" t="s">
        <v>7402</v>
      </c>
      <c r="L3079" s="127"/>
      <c r="M3079" s="127" t="s">
        <v>291</v>
      </c>
      <c r="N3079" s="108"/>
      <c r="O3079" s="19"/>
      <c r="P3079" s="20"/>
      <c r="Q3079" s="20"/>
    </row>
    <row r="3080" spans="1:17" ht="24.9" customHeight="1">
      <c r="A3080" s="20">
        <v>456</v>
      </c>
      <c r="B3080" s="20" t="s">
        <v>5675</v>
      </c>
      <c r="C3080" s="20"/>
      <c r="D3080" s="20" t="s">
        <v>5643</v>
      </c>
      <c r="E3080" s="19" t="str">
        <f>VLOOKUP(D3080,'لیست پرسنل'!$B$2:$E$1020,3,FALSE)</f>
        <v>فکورصنعت</v>
      </c>
      <c r="F3080" s="19" t="str">
        <f>VLOOKUP(D3080,'لیست پرسنل'!$B$2:$E$1020,4,FALSE)</f>
        <v>مسئول دفتر</v>
      </c>
      <c r="G3080" s="127">
        <f>VLOOKUP(D3080,'لیست پرسنل'!$B$2:$F$1020,2,FALSE)</f>
        <v>7009</v>
      </c>
      <c r="H3080" s="128" t="s">
        <v>7399</v>
      </c>
      <c r="I3080" s="128"/>
      <c r="J3080" s="128" t="s">
        <v>1976</v>
      </c>
      <c r="K3080" s="128" t="s">
        <v>5472</v>
      </c>
      <c r="L3080" s="127"/>
      <c r="M3080" s="127" t="s">
        <v>4371</v>
      </c>
      <c r="N3080" s="109" t="s">
        <v>7332</v>
      </c>
      <c r="O3080" s="19"/>
      <c r="P3080" s="32"/>
      <c r="Q3080" s="32"/>
    </row>
    <row r="3081" spans="1:17" ht="24.9" customHeight="1">
      <c r="A3081" s="20">
        <v>456</v>
      </c>
      <c r="B3081" s="20" t="s">
        <v>5675</v>
      </c>
      <c r="C3081" s="20"/>
      <c r="D3081" s="20" t="s">
        <v>5643</v>
      </c>
      <c r="E3081" s="19" t="str">
        <f>VLOOKUP(D3081,'لیست پرسنل'!$B$2:$E$1020,3,FALSE)</f>
        <v>فکورصنعت</v>
      </c>
      <c r="F3081" s="19" t="str">
        <f>VLOOKUP(D3081,'لیست پرسنل'!$B$2:$E$1020,4,FALSE)</f>
        <v>مسئول دفتر</v>
      </c>
      <c r="G3081" s="127">
        <f>VLOOKUP(D3081,'لیست پرسنل'!$B$2:$F$1020,2,FALSE)</f>
        <v>7009</v>
      </c>
      <c r="H3081" s="128" t="s">
        <v>7399</v>
      </c>
      <c r="I3081" s="128"/>
      <c r="J3081" s="128" t="s">
        <v>1976</v>
      </c>
      <c r="K3081" s="128" t="s">
        <v>5472</v>
      </c>
      <c r="L3081" s="127"/>
      <c r="M3081" s="127" t="s">
        <v>4371</v>
      </c>
      <c r="N3081" s="109" t="s">
        <v>7332</v>
      </c>
      <c r="O3081" s="19"/>
      <c r="P3081" s="32"/>
      <c r="Q3081" s="32"/>
    </row>
    <row r="3082" spans="1:17" ht="24.9" customHeight="1">
      <c r="A3082" s="20">
        <v>456</v>
      </c>
      <c r="B3082" s="20" t="s">
        <v>5675</v>
      </c>
      <c r="C3082" s="20"/>
      <c r="D3082" s="20" t="s">
        <v>5643</v>
      </c>
      <c r="E3082" s="19" t="str">
        <f>VLOOKUP(D3082,'لیست پرسنل'!$B$2:$E$1020,3,FALSE)</f>
        <v>فکورصنعت</v>
      </c>
      <c r="F3082" s="19" t="str">
        <f>VLOOKUP(D3082,'لیست پرسنل'!$B$2:$E$1020,4,FALSE)</f>
        <v>مسئول دفتر</v>
      </c>
      <c r="G3082" s="127">
        <f>VLOOKUP(D3082,'لیست پرسنل'!$B$2:$F$1020,2,FALSE)</f>
        <v>7009</v>
      </c>
      <c r="H3082" s="128" t="s">
        <v>7399</v>
      </c>
      <c r="I3082" s="128"/>
      <c r="J3082" s="128" t="s">
        <v>3483</v>
      </c>
      <c r="K3082" s="128" t="s">
        <v>1457</v>
      </c>
      <c r="L3082" s="127" t="s">
        <v>6879</v>
      </c>
      <c r="M3082" s="127">
        <v>633699</v>
      </c>
      <c r="N3082" s="109" t="s">
        <v>7332</v>
      </c>
      <c r="O3082" s="19"/>
      <c r="P3082" s="32"/>
      <c r="Q3082" s="32"/>
    </row>
    <row r="3083" spans="1:17" ht="24.9" customHeight="1">
      <c r="A3083" s="20">
        <v>456</v>
      </c>
      <c r="B3083" s="20" t="s">
        <v>5675</v>
      </c>
      <c r="C3083" s="20"/>
      <c r="D3083" s="20" t="s">
        <v>5643</v>
      </c>
      <c r="E3083" s="19" t="str">
        <f>VLOOKUP(D3083,'لیست پرسنل'!$B$2:$E$1020,3,FALSE)</f>
        <v>فکورصنعت</v>
      </c>
      <c r="F3083" s="19" t="str">
        <f>VLOOKUP(D3083,'لیست پرسنل'!$B$2:$E$1020,4,FALSE)</f>
        <v>مسئول دفتر</v>
      </c>
      <c r="G3083" s="127">
        <f>VLOOKUP(D3083,'لیست پرسنل'!$B$2:$F$1020,2,FALSE)</f>
        <v>7009</v>
      </c>
      <c r="H3083" s="128" t="s">
        <v>7399</v>
      </c>
      <c r="I3083" s="128"/>
      <c r="J3083" s="128" t="s">
        <v>571</v>
      </c>
      <c r="K3083" s="128" t="s">
        <v>4876</v>
      </c>
      <c r="L3083" s="128"/>
      <c r="M3083" s="127">
        <v>633794</v>
      </c>
      <c r="N3083" s="109" t="s">
        <v>7332</v>
      </c>
      <c r="O3083" s="19" t="s">
        <v>6438</v>
      </c>
      <c r="P3083" s="32"/>
      <c r="Q3083" s="32"/>
    </row>
    <row r="3084" spans="1:17" ht="24.9" customHeight="1">
      <c r="A3084" s="20">
        <v>456</v>
      </c>
      <c r="B3084" s="20" t="s">
        <v>5675</v>
      </c>
      <c r="C3084" s="20"/>
      <c r="D3084" s="20" t="s">
        <v>5643</v>
      </c>
      <c r="E3084" s="19" t="str">
        <f>VLOOKUP(D3084,'لیست پرسنل'!$B$2:$E$1020,3,FALSE)</f>
        <v>فکورصنعت</v>
      </c>
      <c r="F3084" s="19" t="str">
        <f>VLOOKUP(D3084,'لیست پرسنل'!$B$2:$E$1020,4,FALSE)</f>
        <v>مسئول دفتر</v>
      </c>
      <c r="G3084" s="127">
        <f>VLOOKUP(D3084,'لیست پرسنل'!$B$2:$F$1020,2,FALSE)</f>
        <v>7009</v>
      </c>
      <c r="H3084" s="128" t="s">
        <v>7399</v>
      </c>
      <c r="I3084" s="128"/>
      <c r="J3084" s="127" t="s">
        <v>2686</v>
      </c>
      <c r="K3084" s="127" t="s">
        <v>5646</v>
      </c>
      <c r="L3084" s="151" t="s">
        <v>5671</v>
      </c>
      <c r="M3084" s="127">
        <v>605849</v>
      </c>
      <c r="N3084" s="109"/>
      <c r="O3084" s="20"/>
      <c r="P3084" s="28"/>
      <c r="Q3084" s="28"/>
    </row>
    <row r="3085" spans="1:17" ht="24.9" customHeight="1">
      <c r="A3085" s="20">
        <v>456</v>
      </c>
      <c r="B3085" s="20" t="s">
        <v>5675</v>
      </c>
      <c r="C3085" s="20"/>
      <c r="D3085" s="20" t="s">
        <v>5643</v>
      </c>
      <c r="E3085" s="19" t="str">
        <f>VLOOKUP(D3085,'لیست پرسنل'!$B$2:$E$1020,3,FALSE)</f>
        <v>فکورصنعت</v>
      </c>
      <c r="F3085" s="19" t="str">
        <f>VLOOKUP(D3085,'لیست پرسنل'!$B$2:$E$1020,4,FALSE)</f>
        <v>مسئول دفتر</v>
      </c>
      <c r="G3085" s="127">
        <f>VLOOKUP(D3085,'لیست پرسنل'!$B$2:$F$1020,2,FALSE)</f>
        <v>7009</v>
      </c>
      <c r="H3085" s="128" t="s">
        <v>7399</v>
      </c>
      <c r="I3085" s="128"/>
      <c r="J3085" s="128" t="s">
        <v>7333</v>
      </c>
      <c r="K3085" s="128" t="s">
        <v>5478</v>
      </c>
      <c r="L3085" s="127" t="s">
        <v>6910</v>
      </c>
      <c r="M3085" s="128" t="s">
        <v>291</v>
      </c>
      <c r="N3085" s="109" t="s">
        <v>7332</v>
      </c>
      <c r="O3085" s="19"/>
      <c r="P3085" s="32"/>
      <c r="Q3085" s="32"/>
    </row>
    <row r="3086" spans="1:17" ht="24.9" customHeight="1">
      <c r="A3086" s="20">
        <v>456</v>
      </c>
      <c r="B3086" s="20" t="s">
        <v>5675</v>
      </c>
      <c r="C3086" s="20"/>
      <c r="D3086" s="20" t="s">
        <v>5643</v>
      </c>
      <c r="E3086" s="19" t="str">
        <f>VLOOKUP(D3086,'لیست پرسنل'!$B$2:$E$1020,3,FALSE)</f>
        <v>فکورصنعت</v>
      </c>
      <c r="F3086" s="19" t="str">
        <f>VLOOKUP(D3086,'لیست پرسنل'!$B$2:$E$1020,4,FALSE)</f>
        <v>مسئول دفتر</v>
      </c>
      <c r="G3086" s="127">
        <f>VLOOKUP(D3086,'لیست پرسنل'!$B$2:$F$1020,2,FALSE)</f>
        <v>7009</v>
      </c>
      <c r="H3086" s="128" t="s">
        <v>7399</v>
      </c>
      <c r="I3086" s="128"/>
      <c r="J3086" s="128" t="s">
        <v>4719</v>
      </c>
      <c r="K3086" s="128" t="s">
        <v>5476</v>
      </c>
      <c r="L3086" s="127"/>
      <c r="M3086" s="128" t="s">
        <v>291</v>
      </c>
      <c r="N3086" s="109" t="s">
        <v>7332</v>
      </c>
      <c r="O3086" s="19"/>
      <c r="P3086" s="32"/>
      <c r="Q3086" s="32"/>
    </row>
    <row r="3087" spans="1:17" ht="24.9" customHeight="1">
      <c r="A3087" s="20">
        <v>456</v>
      </c>
      <c r="B3087" s="20" t="s">
        <v>5675</v>
      </c>
      <c r="C3087" s="20"/>
      <c r="D3087" s="20" t="s">
        <v>5643</v>
      </c>
      <c r="E3087" s="19" t="str">
        <f>VLOOKUP(D3087,'لیست پرسنل'!$B$2:$E$1020,3,FALSE)</f>
        <v>فکورصنعت</v>
      </c>
      <c r="F3087" s="19" t="str">
        <f>VLOOKUP(D3087,'لیست پرسنل'!$B$2:$E$1020,4,FALSE)</f>
        <v>مسئول دفتر</v>
      </c>
      <c r="G3087" s="127">
        <f>VLOOKUP(D3087,'لیست پرسنل'!$B$2:$F$1020,2,FALSE)</f>
        <v>7009</v>
      </c>
      <c r="H3087" s="128" t="s">
        <v>7399</v>
      </c>
      <c r="I3087" s="128"/>
      <c r="J3087" s="128" t="s">
        <v>4719</v>
      </c>
      <c r="K3087" s="128" t="s">
        <v>5476</v>
      </c>
      <c r="L3087" s="127"/>
      <c r="M3087" s="128" t="s">
        <v>291</v>
      </c>
      <c r="N3087" s="109" t="s">
        <v>7332</v>
      </c>
      <c r="O3087" s="19"/>
      <c r="P3087" s="32"/>
      <c r="Q3087" s="32"/>
    </row>
    <row r="3088" spans="1:17" ht="24.9" customHeight="1">
      <c r="A3088" s="20">
        <v>456</v>
      </c>
      <c r="B3088" s="20" t="s">
        <v>5675</v>
      </c>
      <c r="C3088" s="20"/>
      <c r="D3088" s="20" t="s">
        <v>5643</v>
      </c>
      <c r="E3088" s="19" t="str">
        <f>VLOOKUP(D3088,'لیست پرسنل'!$B$2:$E$1020,3,FALSE)</f>
        <v>فکورصنعت</v>
      </c>
      <c r="F3088" s="19" t="str">
        <f>VLOOKUP(D3088,'لیست پرسنل'!$B$2:$E$1020,4,FALSE)</f>
        <v>مسئول دفتر</v>
      </c>
      <c r="G3088" s="127">
        <f>VLOOKUP(D3088,'لیست پرسنل'!$B$2:$F$1020,2,FALSE)</f>
        <v>7009</v>
      </c>
      <c r="H3088" s="128" t="s">
        <v>7399</v>
      </c>
      <c r="I3088" s="128"/>
      <c r="J3088" s="128" t="s">
        <v>4719</v>
      </c>
      <c r="K3088" s="128" t="s">
        <v>5476</v>
      </c>
      <c r="L3088" s="127"/>
      <c r="M3088" s="128" t="s">
        <v>291</v>
      </c>
      <c r="N3088" s="109" t="s">
        <v>7332</v>
      </c>
      <c r="O3088" s="19"/>
      <c r="P3088" s="32"/>
      <c r="Q3088" s="32"/>
    </row>
    <row r="3089" spans="1:17" ht="24.9" customHeight="1">
      <c r="A3089" s="20">
        <v>456</v>
      </c>
      <c r="B3089" s="20" t="s">
        <v>5675</v>
      </c>
      <c r="C3089" s="20"/>
      <c r="D3089" s="20" t="s">
        <v>5643</v>
      </c>
      <c r="E3089" s="19" t="str">
        <f>VLOOKUP(D3089,'لیست پرسنل'!$B$2:$E$1020,3,FALSE)</f>
        <v>فکورصنعت</v>
      </c>
      <c r="F3089" s="19" t="str">
        <f>VLOOKUP(D3089,'لیست پرسنل'!$B$2:$E$1020,4,FALSE)</f>
        <v>مسئول دفتر</v>
      </c>
      <c r="G3089" s="127">
        <f>VLOOKUP(D3089,'لیست پرسنل'!$B$2:$F$1020,2,FALSE)</f>
        <v>7009</v>
      </c>
      <c r="H3089" s="128" t="s">
        <v>7399</v>
      </c>
      <c r="I3089" s="128"/>
      <c r="J3089" s="128" t="s">
        <v>4719</v>
      </c>
      <c r="K3089" s="128" t="s">
        <v>5476</v>
      </c>
      <c r="L3089" s="127"/>
      <c r="M3089" s="128" t="s">
        <v>291</v>
      </c>
      <c r="N3089" s="109" t="s">
        <v>7332</v>
      </c>
      <c r="O3089" s="19"/>
      <c r="P3089" s="32"/>
      <c r="Q3089" s="32"/>
    </row>
    <row r="3090" spans="1:17" ht="24.9" customHeight="1">
      <c r="A3090" s="20">
        <v>456</v>
      </c>
      <c r="B3090" s="20" t="s">
        <v>5675</v>
      </c>
      <c r="C3090" s="20"/>
      <c r="D3090" s="20" t="s">
        <v>5643</v>
      </c>
      <c r="E3090" s="19" t="str">
        <f>VLOOKUP(D3090,'لیست پرسنل'!$B$2:$E$1020,3,FALSE)</f>
        <v>فکورصنعت</v>
      </c>
      <c r="F3090" s="19" t="str">
        <f>VLOOKUP(D3090,'لیست پرسنل'!$B$2:$E$1020,4,FALSE)</f>
        <v>مسئول دفتر</v>
      </c>
      <c r="G3090" s="127">
        <f>VLOOKUP(D3090,'لیست پرسنل'!$B$2:$F$1020,2,FALSE)</f>
        <v>7009</v>
      </c>
      <c r="H3090" s="128" t="s">
        <v>7399</v>
      </c>
      <c r="I3090" s="128"/>
      <c r="J3090" s="128" t="s">
        <v>4719</v>
      </c>
      <c r="K3090" s="128" t="s">
        <v>5476</v>
      </c>
      <c r="L3090" s="127"/>
      <c r="M3090" s="128" t="s">
        <v>291</v>
      </c>
      <c r="N3090" s="109" t="s">
        <v>7332</v>
      </c>
      <c r="O3090" s="19"/>
      <c r="P3090" s="32"/>
      <c r="Q3090" s="32"/>
    </row>
    <row r="3091" spans="1:17" ht="24.9" customHeight="1">
      <c r="A3091" s="20">
        <v>456</v>
      </c>
      <c r="B3091" s="20" t="s">
        <v>5675</v>
      </c>
      <c r="C3091" s="20"/>
      <c r="D3091" s="20" t="s">
        <v>5643</v>
      </c>
      <c r="E3091" s="19" t="str">
        <f>VLOOKUP(D3091,'لیست پرسنل'!$B$2:$E$1020,3,FALSE)</f>
        <v>فکورصنعت</v>
      </c>
      <c r="F3091" s="19" t="str">
        <f>VLOOKUP(D3091,'لیست پرسنل'!$B$2:$E$1020,4,FALSE)</f>
        <v>مسئول دفتر</v>
      </c>
      <c r="G3091" s="127">
        <f>VLOOKUP(D3091,'لیست پرسنل'!$B$2:$F$1020,2,FALSE)</f>
        <v>7009</v>
      </c>
      <c r="H3091" s="128" t="s">
        <v>7399</v>
      </c>
      <c r="I3091" s="128"/>
      <c r="J3091" s="128" t="s">
        <v>4719</v>
      </c>
      <c r="K3091" s="128" t="s">
        <v>5476</v>
      </c>
      <c r="L3091" s="127"/>
      <c r="M3091" s="128" t="s">
        <v>291</v>
      </c>
      <c r="N3091" s="109" t="s">
        <v>7332</v>
      </c>
      <c r="O3091" s="19"/>
      <c r="P3091" s="32"/>
      <c r="Q3091" s="32"/>
    </row>
    <row r="3092" spans="1:17" ht="24.9" customHeight="1">
      <c r="A3092" s="20">
        <v>456</v>
      </c>
      <c r="B3092" s="20" t="s">
        <v>5675</v>
      </c>
      <c r="C3092" s="20"/>
      <c r="D3092" s="20" t="s">
        <v>5643</v>
      </c>
      <c r="E3092" s="19" t="str">
        <f>VLOOKUP(D3092,'لیست پرسنل'!$B$2:$E$1020,3,FALSE)</f>
        <v>فکورصنعت</v>
      </c>
      <c r="F3092" s="19" t="str">
        <f>VLOOKUP(D3092,'لیست پرسنل'!$B$2:$E$1020,4,FALSE)</f>
        <v>مسئول دفتر</v>
      </c>
      <c r="G3092" s="127">
        <f>VLOOKUP(D3092,'لیست پرسنل'!$B$2:$F$1020,2,FALSE)</f>
        <v>7009</v>
      </c>
      <c r="H3092" s="128" t="s">
        <v>7399</v>
      </c>
      <c r="I3092" s="128"/>
      <c r="J3092" s="128" t="s">
        <v>4719</v>
      </c>
      <c r="K3092" s="128" t="s">
        <v>5476</v>
      </c>
      <c r="L3092" s="127"/>
      <c r="M3092" s="128" t="s">
        <v>291</v>
      </c>
      <c r="N3092" s="109" t="s">
        <v>7332</v>
      </c>
      <c r="O3092" s="19"/>
      <c r="P3092" s="32"/>
      <c r="Q3092" s="32"/>
    </row>
    <row r="3093" spans="1:17" ht="24.9" customHeight="1">
      <c r="A3093" s="20">
        <v>456</v>
      </c>
      <c r="B3093" s="20" t="s">
        <v>5675</v>
      </c>
      <c r="C3093" s="20"/>
      <c r="D3093" s="20" t="s">
        <v>5643</v>
      </c>
      <c r="E3093" s="19" t="str">
        <f>VLOOKUP(D3093,'لیست پرسنل'!$B$2:$E$1020,3,FALSE)</f>
        <v>فکورصنعت</v>
      </c>
      <c r="F3093" s="19" t="str">
        <f>VLOOKUP(D3093,'لیست پرسنل'!$B$2:$E$1020,4,FALSE)</f>
        <v>مسئول دفتر</v>
      </c>
      <c r="G3093" s="127">
        <f>VLOOKUP(D3093,'لیست پرسنل'!$B$2:$F$1020,2,FALSE)</f>
        <v>7009</v>
      </c>
      <c r="H3093" s="128" t="s">
        <v>7399</v>
      </c>
      <c r="I3093" s="128"/>
      <c r="J3093" s="128" t="s">
        <v>4719</v>
      </c>
      <c r="K3093" s="128" t="s">
        <v>5476</v>
      </c>
      <c r="L3093" s="127"/>
      <c r="M3093" s="128" t="s">
        <v>291</v>
      </c>
      <c r="N3093" s="109" t="s">
        <v>7332</v>
      </c>
      <c r="O3093" s="19"/>
      <c r="P3093" s="32"/>
      <c r="Q3093" s="32"/>
    </row>
    <row r="3094" spans="1:17" ht="24.9" customHeight="1">
      <c r="A3094" s="20">
        <v>456</v>
      </c>
      <c r="B3094" s="20" t="s">
        <v>5675</v>
      </c>
      <c r="C3094" s="20"/>
      <c r="D3094" s="20" t="s">
        <v>5643</v>
      </c>
      <c r="E3094" s="19" t="str">
        <f>VLOOKUP(D3094,'لیست پرسنل'!$B$2:$E$1020,3,FALSE)</f>
        <v>فکورصنعت</v>
      </c>
      <c r="F3094" s="19" t="str">
        <f>VLOOKUP(D3094,'لیست پرسنل'!$B$2:$E$1020,4,FALSE)</f>
        <v>مسئول دفتر</v>
      </c>
      <c r="G3094" s="127">
        <f>VLOOKUP(D3094,'لیست پرسنل'!$B$2:$F$1020,2,FALSE)</f>
        <v>7009</v>
      </c>
      <c r="H3094" s="128" t="s">
        <v>7399</v>
      </c>
      <c r="I3094" s="128"/>
      <c r="J3094" s="128" t="s">
        <v>4719</v>
      </c>
      <c r="K3094" s="128" t="s">
        <v>5476</v>
      </c>
      <c r="L3094" s="127"/>
      <c r="M3094" s="128" t="s">
        <v>291</v>
      </c>
      <c r="N3094" s="109" t="s">
        <v>7332</v>
      </c>
      <c r="O3094" s="19"/>
      <c r="P3094" s="32"/>
      <c r="Q3094" s="32"/>
    </row>
    <row r="3095" spans="1:17" ht="24.9" customHeight="1">
      <c r="A3095" s="20">
        <v>456</v>
      </c>
      <c r="B3095" s="20" t="s">
        <v>5675</v>
      </c>
      <c r="C3095" s="20"/>
      <c r="D3095" s="20" t="s">
        <v>5643</v>
      </c>
      <c r="E3095" s="19" t="str">
        <f>VLOOKUP(D3095,'لیست پرسنل'!$B$2:$E$1020,3,FALSE)</f>
        <v>فکورصنعت</v>
      </c>
      <c r="F3095" s="19" t="str">
        <f>VLOOKUP(D3095,'لیست پرسنل'!$B$2:$E$1020,4,FALSE)</f>
        <v>مسئول دفتر</v>
      </c>
      <c r="G3095" s="127">
        <f>VLOOKUP(D3095,'لیست پرسنل'!$B$2:$F$1020,2,FALSE)</f>
        <v>7009</v>
      </c>
      <c r="H3095" s="128" t="s">
        <v>7399</v>
      </c>
      <c r="I3095" s="128"/>
      <c r="J3095" s="128" t="s">
        <v>4719</v>
      </c>
      <c r="K3095" s="128" t="s">
        <v>5477</v>
      </c>
      <c r="L3095" s="127"/>
      <c r="M3095" s="128" t="s">
        <v>291</v>
      </c>
      <c r="N3095" s="109" t="s">
        <v>7332</v>
      </c>
      <c r="O3095" s="19"/>
      <c r="P3095" s="32"/>
      <c r="Q3095" s="32"/>
    </row>
    <row r="3096" spans="1:17" ht="24.9" customHeight="1">
      <c r="A3096" s="20">
        <v>456</v>
      </c>
      <c r="B3096" s="20" t="s">
        <v>5675</v>
      </c>
      <c r="C3096" s="20"/>
      <c r="D3096" s="20" t="s">
        <v>5643</v>
      </c>
      <c r="E3096" s="19" t="str">
        <f>VLOOKUP(D3096,'لیست پرسنل'!$B$2:$E$1020,3,FALSE)</f>
        <v>فکورصنعت</v>
      </c>
      <c r="F3096" s="19" t="str">
        <f>VLOOKUP(D3096,'لیست پرسنل'!$B$2:$E$1020,4,FALSE)</f>
        <v>مسئول دفتر</v>
      </c>
      <c r="G3096" s="127">
        <f>VLOOKUP(D3096,'لیست پرسنل'!$B$2:$F$1020,2,FALSE)</f>
        <v>7009</v>
      </c>
      <c r="H3096" s="128" t="s">
        <v>7399</v>
      </c>
      <c r="I3096" s="128"/>
      <c r="J3096" s="128" t="s">
        <v>4719</v>
      </c>
      <c r="K3096" s="128" t="s">
        <v>5475</v>
      </c>
      <c r="L3096" s="127"/>
      <c r="M3096" s="147" t="s">
        <v>291</v>
      </c>
      <c r="N3096" s="109" t="s">
        <v>7332</v>
      </c>
      <c r="O3096" s="19"/>
      <c r="P3096" s="32"/>
      <c r="Q3096" s="32"/>
    </row>
    <row r="3097" spans="1:17" ht="24.9" customHeight="1">
      <c r="A3097" s="20">
        <v>456</v>
      </c>
      <c r="B3097" s="20" t="s">
        <v>5675</v>
      </c>
      <c r="C3097" s="20"/>
      <c r="D3097" s="20" t="s">
        <v>5643</v>
      </c>
      <c r="E3097" s="19" t="str">
        <f>VLOOKUP(D3097,'لیست پرسنل'!$B$2:$E$1020,3,FALSE)</f>
        <v>فکورصنعت</v>
      </c>
      <c r="F3097" s="19" t="str">
        <f>VLOOKUP(D3097,'لیست پرسنل'!$B$2:$E$1020,4,FALSE)</f>
        <v>مسئول دفتر</v>
      </c>
      <c r="G3097" s="127">
        <f>VLOOKUP(D3097,'لیست پرسنل'!$B$2:$F$1020,2,FALSE)</f>
        <v>7009</v>
      </c>
      <c r="H3097" s="128" t="s">
        <v>7399</v>
      </c>
      <c r="I3097" s="128"/>
      <c r="J3097" s="128" t="s">
        <v>5473</v>
      </c>
      <c r="K3097" s="128" t="s">
        <v>5474</v>
      </c>
      <c r="L3097" s="127"/>
      <c r="M3097" s="128" t="s">
        <v>291</v>
      </c>
      <c r="N3097" s="109" t="s">
        <v>7332</v>
      </c>
      <c r="O3097" s="19"/>
      <c r="P3097" s="32"/>
      <c r="Q3097" s="32"/>
    </row>
    <row r="3098" spans="1:17" ht="24.9" customHeight="1">
      <c r="A3098" s="20">
        <v>456</v>
      </c>
      <c r="B3098" s="20" t="s">
        <v>5675</v>
      </c>
      <c r="C3098" s="20"/>
      <c r="D3098" s="19" t="s">
        <v>5643</v>
      </c>
      <c r="E3098" s="19" t="str">
        <f>VLOOKUP(D3098,'لیست پرسنل'!$B$2:$E$1020,3,FALSE)</f>
        <v>فکورصنعت</v>
      </c>
      <c r="F3098" s="19" t="str">
        <f>VLOOKUP(D3098,'لیست پرسنل'!$B$2:$E$1020,4,FALSE)</f>
        <v>مسئول دفتر</v>
      </c>
      <c r="G3098" s="127">
        <f>VLOOKUP(D3098,'لیست پرسنل'!$B$2:$F$1020,2,FALSE)</f>
        <v>7009</v>
      </c>
      <c r="H3098" s="127" t="s">
        <v>6838</v>
      </c>
      <c r="I3098" s="128"/>
      <c r="J3098" s="126" t="s">
        <v>5927</v>
      </c>
      <c r="K3098" s="128" t="s">
        <v>7403</v>
      </c>
      <c r="L3098" s="128" t="s">
        <v>6833</v>
      </c>
      <c r="M3098" s="128" t="s">
        <v>291</v>
      </c>
      <c r="N3098" s="109"/>
      <c r="O3098" s="19"/>
      <c r="P3098" s="32"/>
      <c r="Q3098" s="32"/>
    </row>
    <row r="3099" spans="1:17" ht="24.9" customHeight="1">
      <c r="A3099" s="20">
        <v>456</v>
      </c>
      <c r="B3099" s="20" t="s">
        <v>5675</v>
      </c>
      <c r="C3099" s="20"/>
      <c r="D3099" s="19" t="s">
        <v>5643</v>
      </c>
      <c r="E3099" s="19" t="str">
        <f>VLOOKUP(D3099,'لیست پرسنل'!$B$2:$E$1020,3,FALSE)</f>
        <v>فکورصنعت</v>
      </c>
      <c r="F3099" s="19" t="str">
        <f>VLOOKUP(D3099,'لیست پرسنل'!$B$2:$E$1020,4,FALSE)</f>
        <v>مسئول دفتر</v>
      </c>
      <c r="G3099" s="127">
        <f>VLOOKUP(D3099,'لیست پرسنل'!$B$2:$F$1020,2,FALSE)</f>
        <v>7009</v>
      </c>
      <c r="H3099" s="127" t="s">
        <v>7447</v>
      </c>
      <c r="I3099" s="128"/>
      <c r="J3099" s="126" t="s">
        <v>3481</v>
      </c>
      <c r="K3099" s="128" t="s">
        <v>7431</v>
      </c>
      <c r="L3099" s="128" t="s">
        <v>7441</v>
      </c>
      <c r="M3099" s="147" t="s">
        <v>291</v>
      </c>
      <c r="N3099" s="109"/>
      <c r="O3099" s="19"/>
      <c r="P3099" s="32"/>
      <c r="Q3099" s="32"/>
    </row>
    <row r="3100" spans="1:17" ht="24.9" customHeight="1">
      <c r="A3100" s="20">
        <v>456</v>
      </c>
      <c r="B3100" s="20" t="s">
        <v>5675</v>
      </c>
      <c r="C3100" s="20"/>
      <c r="D3100" s="19" t="s">
        <v>5643</v>
      </c>
      <c r="E3100" s="19" t="str">
        <f>VLOOKUP(D3100,'لیست پرسنل'!$B$2:$E$1020,3,FALSE)</f>
        <v>فکورصنعت</v>
      </c>
      <c r="F3100" s="19" t="str">
        <f>VLOOKUP(D3100,'لیست پرسنل'!$B$2:$E$1020,4,FALSE)</f>
        <v>مسئول دفتر</v>
      </c>
      <c r="G3100" s="127">
        <f>VLOOKUP(D3100,'لیست پرسنل'!$B$2:$F$1020,2,FALSE)</f>
        <v>7009</v>
      </c>
      <c r="H3100" s="127" t="s">
        <v>7400</v>
      </c>
      <c r="I3100" s="128"/>
      <c r="J3100" s="126" t="s">
        <v>3481</v>
      </c>
      <c r="K3100" s="128" t="s">
        <v>3336</v>
      </c>
      <c r="L3100" s="128"/>
      <c r="M3100" s="128" t="s">
        <v>291</v>
      </c>
      <c r="N3100" s="109"/>
      <c r="O3100" s="19" t="s">
        <v>6536</v>
      </c>
      <c r="P3100" s="32"/>
      <c r="Q3100" s="32"/>
    </row>
    <row r="3101" spans="1:17" ht="24.9" customHeight="1">
      <c r="A3101" s="20">
        <v>456</v>
      </c>
      <c r="B3101" s="20" t="s">
        <v>5675</v>
      </c>
      <c r="C3101" s="20"/>
      <c r="D3101" s="19" t="s">
        <v>5643</v>
      </c>
      <c r="E3101" s="19" t="str">
        <f>VLOOKUP(D3101,'لیست پرسنل'!$B$2:$E$1020,3,FALSE)</f>
        <v>فکورصنعت</v>
      </c>
      <c r="F3101" s="19" t="str">
        <f>VLOOKUP(D3101,'لیست پرسنل'!$B$2:$E$1020,4,FALSE)</f>
        <v>مسئول دفتر</v>
      </c>
      <c r="G3101" s="127">
        <f>VLOOKUP(D3101,'لیست پرسنل'!$B$2:$F$1020,2,FALSE)</f>
        <v>7009</v>
      </c>
      <c r="H3101" s="127" t="s">
        <v>5821</v>
      </c>
      <c r="I3101" s="128"/>
      <c r="J3101" s="126" t="s">
        <v>3532</v>
      </c>
      <c r="K3101" s="128" t="s">
        <v>5624</v>
      </c>
      <c r="L3101" s="128"/>
      <c r="M3101" s="128">
        <v>621553</v>
      </c>
      <c r="N3101" s="108"/>
      <c r="O3101" s="20"/>
      <c r="P3101" s="20"/>
      <c r="Q3101" s="20"/>
    </row>
    <row r="3102" spans="1:17" ht="24.9" customHeight="1">
      <c r="A3102" s="20">
        <v>456</v>
      </c>
      <c r="B3102" s="20" t="s">
        <v>5675</v>
      </c>
      <c r="C3102" s="20"/>
      <c r="D3102" s="19" t="s">
        <v>5643</v>
      </c>
      <c r="E3102" s="19" t="str">
        <f>VLOOKUP(D3102,'لیست پرسنل'!$B$2:$E$1020,3,FALSE)</f>
        <v>فکورصنعت</v>
      </c>
      <c r="F3102" s="19" t="str">
        <f>VLOOKUP(D3102,'لیست پرسنل'!$B$2:$E$1020,4,FALSE)</f>
        <v>مسئول دفتر</v>
      </c>
      <c r="G3102" s="127">
        <f>VLOOKUP(D3102,'لیست پرسنل'!$B$2:$F$1020,2,FALSE)</f>
        <v>7009</v>
      </c>
      <c r="H3102" s="127" t="s">
        <v>5821</v>
      </c>
      <c r="I3102" s="128"/>
      <c r="J3102" s="126" t="s">
        <v>3532</v>
      </c>
      <c r="K3102" s="128" t="s">
        <v>7127</v>
      </c>
      <c r="L3102" s="128"/>
      <c r="M3102" s="147">
        <v>632853</v>
      </c>
      <c r="N3102" s="108"/>
      <c r="O3102" s="20"/>
      <c r="P3102" s="20"/>
      <c r="Q3102" s="20"/>
    </row>
    <row r="3103" spans="1:17" ht="24.9" customHeight="1">
      <c r="A3103" s="20">
        <v>456</v>
      </c>
      <c r="B3103" s="20" t="s">
        <v>5675</v>
      </c>
      <c r="C3103" s="20"/>
      <c r="D3103" s="19" t="s">
        <v>5643</v>
      </c>
      <c r="E3103" s="19" t="str">
        <f>VLOOKUP(D3103,'لیست پرسنل'!$B$2:$E$1020,3,FALSE)</f>
        <v>فکورصنعت</v>
      </c>
      <c r="F3103" s="19" t="str">
        <f>VLOOKUP(D3103,'لیست پرسنل'!$B$2:$E$1020,4,FALSE)</f>
        <v>مسئول دفتر</v>
      </c>
      <c r="G3103" s="127">
        <f>VLOOKUP(D3103,'لیست پرسنل'!$B$2:$F$1020,2,FALSE)</f>
        <v>7009</v>
      </c>
      <c r="H3103" s="127" t="s">
        <v>5821</v>
      </c>
      <c r="I3103" s="128"/>
      <c r="J3103" s="126" t="s">
        <v>4398</v>
      </c>
      <c r="K3103" s="128" t="s">
        <v>5625</v>
      </c>
      <c r="L3103" s="128"/>
      <c r="M3103" s="147">
        <v>632362</v>
      </c>
      <c r="N3103" s="108"/>
      <c r="O3103" s="20" t="s">
        <v>5880</v>
      </c>
      <c r="P3103" s="20"/>
      <c r="Q3103" s="20"/>
    </row>
    <row r="3104" spans="1:17" ht="24.9" customHeight="1">
      <c r="A3104" s="20">
        <v>456</v>
      </c>
      <c r="B3104" s="20" t="s">
        <v>5675</v>
      </c>
      <c r="C3104" s="20"/>
      <c r="D3104" s="19" t="s">
        <v>5643</v>
      </c>
      <c r="E3104" s="19" t="str">
        <f>VLOOKUP(D3104,'لیست پرسنل'!$B$2:$E$1020,3,FALSE)</f>
        <v>فکورصنعت</v>
      </c>
      <c r="F3104" s="19" t="str">
        <f>VLOOKUP(D3104,'لیست پرسنل'!$B$2:$E$1020,4,FALSE)</f>
        <v>مسئول دفتر</v>
      </c>
      <c r="G3104" s="127">
        <f>VLOOKUP(D3104,'لیست پرسنل'!$B$2:$F$1020,2,FALSE)</f>
        <v>7009</v>
      </c>
      <c r="H3104" s="127" t="s">
        <v>5821</v>
      </c>
      <c r="I3104" s="128"/>
      <c r="J3104" s="128" t="s">
        <v>5366</v>
      </c>
      <c r="K3104" s="128" t="s">
        <v>2614</v>
      </c>
      <c r="L3104" s="128"/>
      <c r="M3104" s="128">
        <v>619116</v>
      </c>
      <c r="N3104" s="108"/>
      <c r="O3104" s="20"/>
      <c r="P3104" s="20"/>
      <c r="Q3104" s="20"/>
    </row>
    <row r="3105" spans="1:17" ht="24.9" customHeight="1">
      <c r="A3105" s="20">
        <v>456</v>
      </c>
      <c r="B3105" s="20" t="s">
        <v>5675</v>
      </c>
      <c r="C3105" s="20"/>
      <c r="D3105" s="19" t="s">
        <v>5643</v>
      </c>
      <c r="E3105" s="19" t="str">
        <f>VLOOKUP(D3105,'لیست پرسنل'!$B$2:$E$1020,3,FALSE)</f>
        <v>فکورصنعت</v>
      </c>
      <c r="F3105" s="19" t="str">
        <f>VLOOKUP(D3105,'لیست پرسنل'!$B$2:$E$1020,4,FALSE)</f>
        <v>مسئول دفتر</v>
      </c>
      <c r="G3105" s="127">
        <f>VLOOKUP(D3105,'لیست پرسنل'!$B$2:$F$1020,2,FALSE)</f>
        <v>7009</v>
      </c>
      <c r="H3105" s="127" t="s">
        <v>5821</v>
      </c>
      <c r="I3105" s="128"/>
      <c r="J3105" s="128" t="s">
        <v>3938</v>
      </c>
      <c r="K3105" s="128" t="s">
        <v>5628</v>
      </c>
      <c r="L3105" s="128"/>
      <c r="M3105" s="128" t="s">
        <v>291</v>
      </c>
      <c r="N3105" s="108"/>
      <c r="O3105" s="20"/>
      <c r="P3105" s="20"/>
      <c r="Q3105" s="20"/>
    </row>
    <row r="3106" spans="1:17" ht="24.9" customHeight="1">
      <c r="A3106" s="20">
        <v>456</v>
      </c>
      <c r="B3106" s="20" t="s">
        <v>5675</v>
      </c>
      <c r="C3106" s="20"/>
      <c r="D3106" s="19" t="s">
        <v>5643</v>
      </c>
      <c r="E3106" s="19" t="str">
        <f>VLOOKUP(D3106,'لیست پرسنل'!$B$2:$E$1020,3,FALSE)</f>
        <v>فکورصنعت</v>
      </c>
      <c r="F3106" s="19" t="str">
        <f>VLOOKUP(D3106,'لیست پرسنل'!$B$2:$E$1020,4,FALSE)</f>
        <v>مسئول دفتر</v>
      </c>
      <c r="G3106" s="127">
        <f>VLOOKUP(D3106,'لیست پرسنل'!$B$2:$F$1020,2,FALSE)</f>
        <v>7009</v>
      </c>
      <c r="H3106" s="127" t="s">
        <v>5821</v>
      </c>
      <c r="I3106" s="128"/>
      <c r="J3106" s="126" t="s">
        <v>3481</v>
      </c>
      <c r="K3106" s="128" t="s">
        <v>3336</v>
      </c>
      <c r="L3106" s="128"/>
      <c r="M3106" s="128" t="s">
        <v>291</v>
      </c>
      <c r="N3106" s="109"/>
      <c r="O3106" s="19" t="s">
        <v>6537</v>
      </c>
      <c r="P3106" s="32"/>
      <c r="Q3106" s="32"/>
    </row>
    <row r="3107" spans="1:17" ht="24.9" customHeight="1">
      <c r="A3107" s="20">
        <v>456</v>
      </c>
      <c r="B3107" s="20" t="s">
        <v>5675</v>
      </c>
      <c r="C3107" s="20"/>
      <c r="D3107" s="19" t="s">
        <v>5643</v>
      </c>
      <c r="E3107" s="19" t="str">
        <f>VLOOKUP(D3107,'لیست پرسنل'!$B$2:$E$1020,3,FALSE)</f>
        <v>فکورصنعت</v>
      </c>
      <c r="F3107" s="19" t="str">
        <f>VLOOKUP(D3107,'لیست پرسنل'!$B$2:$E$1020,4,FALSE)</f>
        <v>مسئول دفتر</v>
      </c>
      <c r="G3107" s="127">
        <f>VLOOKUP(D3107,'لیست پرسنل'!$B$2:$F$1020,2,FALSE)</f>
        <v>7009</v>
      </c>
      <c r="H3107" s="127" t="s">
        <v>5821</v>
      </c>
      <c r="I3107" s="128"/>
      <c r="J3107" s="126" t="s">
        <v>5617</v>
      </c>
      <c r="K3107" s="128" t="s">
        <v>5621</v>
      </c>
      <c r="L3107" s="128"/>
      <c r="M3107" s="128">
        <v>3010390</v>
      </c>
      <c r="N3107" s="108"/>
      <c r="O3107" s="20"/>
      <c r="P3107" s="20"/>
      <c r="Q3107" s="20"/>
    </row>
    <row r="3108" spans="1:17" ht="24.9" customHeight="1">
      <c r="A3108" s="20">
        <v>456</v>
      </c>
      <c r="B3108" s="20" t="s">
        <v>5675</v>
      </c>
      <c r="C3108" s="20"/>
      <c r="D3108" s="19" t="s">
        <v>5643</v>
      </c>
      <c r="E3108" s="19" t="str">
        <f>VLOOKUP(D3108,'لیست پرسنل'!$B$2:$E$1020,3,FALSE)</f>
        <v>فکورصنعت</v>
      </c>
      <c r="F3108" s="19" t="str">
        <f>VLOOKUP(D3108,'لیست پرسنل'!$B$2:$E$1020,4,FALSE)</f>
        <v>مسئول دفتر</v>
      </c>
      <c r="G3108" s="127">
        <f>VLOOKUP(D3108,'لیست پرسنل'!$B$2:$F$1020,2,FALSE)</f>
        <v>7009</v>
      </c>
      <c r="H3108" s="127" t="s">
        <v>5821</v>
      </c>
      <c r="I3108" s="127"/>
      <c r="J3108" s="127" t="s">
        <v>1977</v>
      </c>
      <c r="K3108" s="127" t="s">
        <v>8250</v>
      </c>
      <c r="L3108" s="127" t="s">
        <v>5649</v>
      </c>
      <c r="M3108" s="128" t="s">
        <v>291</v>
      </c>
      <c r="N3108" s="109" t="s">
        <v>6449</v>
      </c>
      <c r="O3108" s="20"/>
      <c r="P3108" s="28"/>
      <c r="Q3108" s="28"/>
    </row>
    <row r="3109" spans="1:17" ht="24.9" customHeight="1">
      <c r="A3109" s="20">
        <v>456</v>
      </c>
      <c r="B3109" s="20" t="s">
        <v>6551</v>
      </c>
      <c r="C3109" s="20">
        <v>1</v>
      </c>
      <c r="D3109" s="19" t="s">
        <v>7123</v>
      </c>
      <c r="E3109" s="19" t="str">
        <f>VLOOKUP(D3109,'لیست پرسنل'!$B$2:$E$1020,3,FALSE)</f>
        <v>پیسیکو</v>
      </c>
      <c r="F3109" s="19" t="str">
        <f>VLOOKUP(D3109,'لیست پرسنل'!$B$2:$E$1020,4,FALSE)</f>
        <v>MC</v>
      </c>
      <c r="G3109" s="127">
        <f>VLOOKUP(D3109,'لیست پرسنل'!$B$2:$F$1020,2,FALSE)</f>
        <v>0</v>
      </c>
      <c r="H3109" s="127" t="s">
        <v>6221</v>
      </c>
      <c r="I3109" s="127" t="s">
        <v>6550</v>
      </c>
      <c r="J3109" s="127" t="s">
        <v>571</v>
      </c>
      <c r="K3109" s="128" t="s">
        <v>5801</v>
      </c>
      <c r="L3109" s="128"/>
      <c r="M3109" s="128">
        <v>632156</v>
      </c>
      <c r="N3109" s="109"/>
      <c r="O3109" s="20"/>
      <c r="P3109" s="28"/>
      <c r="Q3109" s="28"/>
    </row>
    <row r="3110" spans="1:17" ht="24.9" customHeight="1">
      <c r="A3110" s="20">
        <v>456</v>
      </c>
      <c r="B3110" s="20" t="s">
        <v>6551</v>
      </c>
      <c r="C3110" s="20">
        <v>1</v>
      </c>
      <c r="D3110" s="19" t="s">
        <v>7123</v>
      </c>
      <c r="E3110" s="19" t="str">
        <f>VLOOKUP(D3110,'لیست پرسنل'!$B$2:$E$1020,3,FALSE)</f>
        <v>پیسیکو</v>
      </c>
      <c r="F3110" s="19" t="str">
        <f>VLOOKUP(D3110,'لیست پرسنل'!$B$2:$E$1020,4,FALSE)</f>
        <v>MC</v>
      </c>
      <c r="G3110" s="127">
        <f>VLOOKUP(D3110,'لیست پرسنل'!$B$2:$F$1020,2,FALSE)</f>
        <v>0</v>
      </c>
      <c r="H3110" s="127" t="s">
        <v>6221</v>
      </c>
      <c r="I3110" s="127" t="s">
        <v>6550</v>
      </c>
      <c r="J3110" s="127" t="s">
        <v>5618</v>
      </c>
      <c r="K3110" s="128" t="s">
        <v>5802</v>
      </c>
      <c r="L3110" s="150" t="s">
        <v>6103</v>
      </c>
      <c r="M3110" s="128">
        <v>632181</v>
      </c>
      <c r="N3110" s="109"/>
      <c r="O3110" s="20"/>
      <c r="P3110" s="28"/>
      <c r="Q3110" s="28"/>
    </row>
    <row r="3111" spans="1:17" ht="24.9" customHeight="1">
      <c r="A3111" s="20">
        <v>456</v>
      </c>
      <c r="B3111" s="20" t="s">
        <v>6551</v>
      </c>
      <c r="C3111" s="20">
        <v>2</v>
      </c>
      <c r="D3111" s="19" t="s">
        <v>7122</v>
      </c>
      <c r="E3111" s="19" t="str">
        <f>VLOOKUP(D3111,'لیست پرسنل'!$B$2:$E$1020,3,FALSE)</f>
        <v>پیسیکو</v>
      </c>
      <c r="F3111" s="19" t="str">
        <f>VLOOKUP(D3111,'لیست پرسنل'!$B$2:$E$1020,4,FALSE)</f>
        <v>MC</v>
      </c>
      <c r="G3111" s="127">
        <f>VLOOKUP(D3111,'لیست پرسنل'!$B$2:$F$1020,2,FALSE)</f>
        <v>0</v>
      </c>
      <c r="H3111" s="127" t="s">
        <v>6221</v>
      </c>
      <c r="I3111" s="127" t="s">
        <v>6552</v>
      </c>
      <c r="J3111" s="126" t="s">
        <v>3532</v>
      </c>
      <c r="K3111" s="128" t="s">
        <v>7127</v>
      </c>
      <c r="L3111" s="128"/>
      <c r="M3111" s="128">
        <v>632850</v>
      </c>
      <c r="N3111" s="108"/>
      <c r="O3111" s="20"/>
      <c r="P3111" s="20"/>
      <c r="Q3111" s="20"/>
    </row>
    <row r="3112" spans="1:17" ht="24.9" customHeight="1">
      <c r="A3112" s="20">
        <v>456</v>
      </c>
      <c r="B3112" s="20" t="s">
        <v>6551</v>
      </c>
      <c r="C3112" s="20">
        <v>2</v>
      </c>
      <c r="D3112" s="19" t="s">
        <v>7122</v>
      </c>
      <c r="E3112" s="19" t="str">
        <f>VLOOKUP(D3112,'لیست پرسنل'!$B$2:$E$1020,3,FALSE)</f>
        <v>پیسیکو</v>
      </c>
      <c r="F3112" s="19" t="str">
        <f>VLOOKUP(D3112,'لیست پرسنل'!$B$2:$E$1020,4,FALSE)</f>
        <v>MC</v>
      </c>
      <c r="G3112" s="127">
        <f>VLOOKUP(D3112,'لیست پرسنل'!$B$2:$F$1020,2,FALSE)</f>
        <v>0</v>
      </c>
      <c r="H3112" s="127" t="s">
        <v>6221</v>
      </c>
      <c r="I3112" s="127" t="s">
        <v>6552</v>
      </c>
      <c r="J3112" s="126" t="s">
        <v>368</v>
      </c>
      <c r="K3112" s="128" t="s">
        <v>2846</v>
      </c>
      <c r="L3112" s="150" t="s">
        <v>6108</v>
      </c>
      <c r="M3112" s="128">
        <v>632496</v>
      </c>
      <c r="N3112" s="111"/>
      <c r="O3112" s="20"/>
      <c r="P3112" s="20"/>
      <c r="Q3112" s="20"/>
    </row>
    <row r="3113" spans="1:17" ht="24.9" customHeight="1">
      <c r="A3113" s="20">
        <v>456</v>
      </c>
      <c r="B3113" s="20" t="s">
        <v>6551</v>
      </c>
      <c r="C3113" s="20">
        <v>2</v>
      </c>
      <c r="D3113" s="19" t="s">
        <v>7122</v>
      </c>
      <c r="E3113" s="19" t="str">
        <f>VLOOKUP(D3113,'لیست پرسنل'!$B$2:$E$1020,3,FALSE)</f>
        <v>پیسیکو</v>
      </c>
      <c r="F3113" s="19" t="str">
        <f>VLOOKUP(D3113,'لیست پرسنل'!$B$2:$E$1020,4,FALSE)</f>
        <v>MC</v>
      </c>
      <c r="G3113" s="127">
        <f>VLOOKUP(D3113,'لیست پرسنل'!$B$2:$F$1020,2,FALSE)</f>
        <v>0</v>
      </c>
      <c r="H3113" s="127" t="s">
        <v>6221</v>
      </c>
      <c r="I3113" s="127" t="s">
        <v>6552</v>
      </c>
      <c r="J3113" s="127" t="s">
        <v>571</v>
      </c>
      <c r="K3113" s="128" t="s">
        <v>5801</v>
      </c>
      <c r="L3113" s="128"/>
      <c r="M3113" s="128">
        <v>632157</v>
      </c>
      <c r="N3113" s="109"/>
      <c r="O3113" s="20"/>
      <c r="P3113" s="28"/>
      <c r="Q3113" s="28"/>
    </row>
    <row r="3114" spans="1:17" ht="24.9" customHeight="1">
      <c r="A3114" s="20">
        <v>456</v>
      </c>
      <c r="B3114" s="20" t="s">
        <v>6551</v>
      </c>
      <c r="C3114" s="20">
        <v>2</v>
      </c>
      <c r="D3114" s="19" t="s">
        <v>7122</v>
      </c>
      <c r="E3114" s="19" t="str">
        <f>VLOOKUP(D3114,'لیست پرسنل'!$B$2:$E$1020,3,FALSE)</f>
        <v>پیسیکو</v>
      </c>
      <c r="F3114" s="19" t="str">
        <f>VLOOKUP(D3114,'لیست پرسنل'!$B$2:$E$1020,4,FALSE)</f>
        <v>MC</v>
      </c>
      <c r="G3114" s="127">
        <f>VLOOKUP(D3114,'لیست پرسنل'!$B$2:$F$1020,2,FALSE)</f>
        <v>0</v>
      </c>
      <c r="H3114" s="127" t="s">
        <v>6221</v>
      </c>
      <c r="I3114" s="127" t="s">
        <v>6552</v>
      </c>
      <c r="J3114" s="127" t="s">
        <v>5618</v>
      </c>
      <c r="K3114" s="128" t="s">
        <v>5802</v>
      </c>
      <c r="L3114" s="150" t="s">
        <v>6100</v>
      </c>
      <c r="M3114" s="128">
        <v>632178</v>
      </c>
      <c r="N3114" s="109"/>
      <c r="O3114" s="20"/>
      <c r="P3114" s="28"/>
      <c r="Q3114" s="28"/>
    </row>
    <row r="3115" spans="1:17" ht="24.9" customHeight="1">
      <c r="A3115" s="20">
        <v>456</v>
      </c>
      <c r="B3115" s="20" t="s">
        <v>6551</v>
      </c>
      <c r="C3115" s="20">
        <v>3</v>
      </c>
      <c r="D3115" s="19" t="s">
        <v>7455</v>
      </c>
      <c r="E3115" s="19" t="str">
        <f>VLOOKUP(D3115,'لیست پرسنل'!$B$2:$E$1020,3,FALSE)</f>
        <v>کارفرما</v>
      </c>
      <c r="F3115" s="19" t="str">
        <f>VLOOKUP(D3115,'لیست پرسنل'!$B$2:$E$1020,4,FALSE)</f>
        <v>کارفرما</v>
      </c>
      <c r="G3115" s="127">
        <f>VLOOKUP(D3115,'لیست پرسنل'!$B$2:$F$1020,2,FALSE)</f>
        <v>0</v>
      </c>
      <c r="H3115" s="127" t="s">
        <v>6554</v>
      </c>
      <c r="I3115" s="127" t="s">
        <v>6574</v>
      </c>
      <c r="J3115" s="126" t="s">
        <v>368</v>
      </c>
      <c r="K3115" s="128" t="s">
        <v>2846</v>
      </c>
      <c r="L3115" s="150" t="s">
        <v>6112</v>
      </c>
      <c r="M3115" s="128">
        <v>632503</v>
      </c>
      <c r="N3115" s="111"/>
      <c r="O3115" s="20"/>
      <c r="P3115" s="20"/>
      <c r="Q3115" s="20"/>
    </row>
    <row r="3116" spans="1:17" ht="24.9" customHeight="1">
      <c r="A3116" s="20">
        <v>456</v>
      </c>
      <c r="B3116" s="20" t="s">
        <v>6551</v>
      </c>
      <c r="C3116" s="20">
        <v>3</v>
      </c>
      <c r="D3116" s="19" t="s">
        <v>7455</v>
      </c>
      <c r="E3116" s="19" t="str">
        <f>VLOOKUP(D3116,'لیست پرسنل'!$B$2:$E$1020,3,FALSE)</f>
        <v>کارفرما</v>
      </c>
      <c r="F3116" s="19" t="str">
        <f>VLOOKUP(D3116,'لیست پرسنل'!$B$2:$E$1020,4,FALSE)</f>
        <v>کارفرما</v>
      </c>
      <c r="G3116" s="127">
        <f>VLOOKUP(D3116,'لیست پرسنل'!$B$2:$F$1020,2,FALSE)</f>
        <v>0</v>
      </c>
      <c r="H3116" s="127" t="s">
        <v>6554</v>
      </c>
      <c r="I3116" s="127" t="s">
        <v>6574</v>
      </c>
      <c r="J3116" s="127" t="s">
        <v>571</v>
      </c>
      <c r="K3116" s="128" t="s">
        <v>5801</v>
      </c>
      <c r="L3116" s="128"/>
      <c r="M3116" s="128">
        <v>632158</v>
      </c>
      <c r="N3116" s="109"/>
      <c r="O3116" s="20"/>
      <c r="P3116" s="28"/>
      <c r="Q3116" s="28"/>
    </row>
    <row r="3117" spans="1:17" ht="24.9" customHeight="1">
      <c r="A3117" s="20">
        <v>456</v>
      </c>
      <c r="B3117" s="20" t="s">
        <v>6551</v>
      </c>
      <c r="C3117" s="20">
        <v>3</v>
      </c>
      <c r="D3117" s="19" t="s">
        <v>7455</v>
      </c>
      <c r="E3117" s="19" t="str">
        <f>VLOOKUP(D3117,'لیست پرسنل'!$B$2:$E$1020,3,FALSE)</f>
        <v>کارفرما</v>
      </c>
      <c r="F3117" s="19" t="str">
        <f>VLOOKUP(D3117,'لیست پرسنل'!$B$2:$E$1020,4,FALSE)</f>
        <v>کارفرما</v>
      </c>
      <c r="G3117" s="127">
        <f>VLOOKUP(D3117,'لیست پرسنل'!$B$2:$F$1020,2,FALSE)</f>
        <v>0</v>
      </c>
      <c r="H3117" s="127" t="s">
        <v>6554</v>
      </c>
      <c r="I3117" s="127" t="s">
        <v>6574</v>
      </c>
      <c r="J3117" s="127" t="s">
        <v>5618</v>
      </c>
      <c r="K3117" s="128" t="s">
        <v>5802</v>
      </c>
      <c r="L3117" s="150" t="s">
        <v>6096</v>
      </c>
      <c r="M3117" s="128">
        <v>632174</v>
      </c>
      <c r="N3117" s="109"/>
      <c r="O3117" s="20"/>
      <c r="P3117" s="28"/>
      <c r="Q3117" s="28"/>
    </row>
    <row r="3118" spans="1:17" ht="24.9" customHeight="1">
      <c r="A3118" s="20">
        <v>456</v>
      </c>
      <c r="B3118" s="20" t="s">
        <v>6551</v>
      </c>
      <c r="C3118" s="20">
        <v>4</v>
      </c>
      <c r="D3118" s="19" t="s">
        <v>7124</v>
      </c>
      <c r="E3118" s="19" t="str">
        <f>VLOOKUP(D3118,'لیست پرسنل'!$B$2:$E$1020,3,FALSE)</f>
        <v>کارفرما</v>
      </c>
      <c r="F3118" s="19" t="str">
        <f>VLOOKUP(D3118,'لیست پرسنل'!$B$2:$E$1020,4,FALSE)</f>
        <v>کارفرما</v>
      </c>
      <c r="G3118" s="127">
        <f>VLOOKUP(D3118,'لیست پرسنل'!$B$2:$F$1020,2,FALSE)</f>
        <v>0</v>
      </c>
      <c r="H3118" s="127" t="s">
        <v>6554</v>
      </c>
      <c r="I3118" s="127" t="s">
        <v>6553</v>
      </c>
      <c r="J3118" s="126" t="s">
        <v>368</v>
      </c>
      <c r="K3118" s="128" t="s">
        <v>2846</v>
      </c>
      <c r="L3118" s="150" t="s">
        <v>6109</v>
      </c>
      <c r="M3118" s="128">
        <v>632497</v>
      </c>
      <c r="N3118" s="111"/>
      <c r="O3118" s="20"/>
      <c r="P3118" s="20"/>
      <c r="Q3118" s="20"/>
    </row>
    <row r="3119" spans="1:17" ht="24.9" customHeight="1">
      <c r="A3119" s="20">
        <v>456</v>
      </c>
      <c r="B3119" s="20" t="s">
        <v>6551</v>
      </c>
      <c r="C3119" s="20">
        <v>4</v>
      </c>
      <c r="D3119" s="19" t="s">
        <v>7124</v>
      </c>
      <c r="E3119" s="19" t="str">
        <f>VLOOKUP(D3119,'لیست پرسنل'!$B$2:$E$1020,3,FALSE)</f>
        <v>کارفرما</v>
      </c>
      <c r="F3119" s="19" t="str">
        <f>VLOOKUP(D3119,'لیست پرسنل'!$B$2:$E$1020,4,FALSE)</f>
        <v>کارفرما</v>
      </c>
      <c r="G3119" s="127">
        <f>VLOOKUP(D3119,'لیست پرسنل'!$B$2:$F$1020,2,FALSE)</f>
        <v>0</v>
      </c>
      <c r="H3119" s="127" t="s">
        <v>6554</v>
      </c>
      <c r="I3119" s="127" t="s">
        <v>6553</v>
      </c>
      <c r="J3119" s="127" t="s">
        <v>571</v>
      </c>
      <c r="K3119" s="128" t="s">
        <v>5801</v>
      </c>
      <c r="L3119" s="128"/>
      <c r="M3119" s="128">
        <v>632152</v>
      </c>
      <c r="N3119" s="109" t="s">
        <v>6555</v>
      </c>
      <c r="O3119" s="20"/>
      <c r="P3119" s="28"/>
      <c r="Q3119" s="28"/>
    </row>
    <row r="3120" spans="1:17" ht="24.9" customHeight="1">
      <c r="A3120" s="20">
        <v>456</v>
      </c>
      <c r="B3120" s="20" t="s">
        <v>6551</v>
      </c>
      <c r="C3120" s="20">
        <v>4</v>
      </c>
      <c r="D3120" s="19" t="s">
        <v>7124</v>
      </c>
      <c r="E3120" s="19" t="str">
        <f>VLOOKUP(D3120,'لیست پرسنل'!$B$2:$E$1020,3,FALSE)</f>
        <v>کارفرما</v>
      </c>
      <c r="F3120" s="19" t="str">
        <f>VLOOKUP(D3120,'لیست پرسنل'!$B$2:$E$1020,4,FALSE)</f>
        <v>کارفرما</v>
      </c>
      <c r="G3120" s="127">
        <f>VLOOKUP(D3120,'لیست پرسنل'!$B$2:$F$1020,2,FALSE)</f>
        <v>0</v>
      </c>
      <c r="H3120" s="127" t="s">
        <v>6554</v>
      </c>
      <c r="I3120" s="127" t="s">
        <v>6553</v>
      </c>
      <c r="J3120" s="127" t="s">
        <v>5618</v>
      </c>
      <c r="K3120" s="128" t="s">
        <v>5802</v>
      </c>
      <c r="L3120" s="150" t="s">
        <v>6099</v>
      </c>
      <c r="M3120" s="128">
        <v>632177</v>
      </c>
      <c r="N3120" s="109" t="s">
        <v>6555</v>
      </c>
      <c r="O3120" s="20"/>
      <c r="P3120" s="28"/>
      <c r="Q3120" s="28"/>
    </row>
    <row r="3121" spans="1:17" ht="24.9" customHeight="1">
      <c r="A3121" s="20">
        <v>456</v>
      </c>
      <c r="B3121" s="20" t="s">
        <v>6551</v>
      </c>
      <c r="C3121" s="20">
        <v>5</v>
      </c>
      <c r="D3121" s="19" t="s">
        <v>7459</v>
      </c>
      <c r="E3121" s="19" t="str">
        <f>VLOOKUP(D3121,'لیست پرسنل'!$B$2:$E$1020,3,FALSE)</f>
        <v>پیسیکو</v>
      </c>
      <c r="F3121" s="19" t="str">
        <f>VLOOKUP(D3121,'لیست پرسنل'!$B$2:$E$1020,4,FALSE)</f>
        <v>MC</v>
      </c>
      <c r="G3121" s="127">
        <f>VLOOKUP(D3121,'لیست پرسنل'!$B$2:$F$1020,2,FALSE)</f>
        <v>0</v>
      </c>
      <c r="H3121" s="127" t="s">
        <v>6571</v>
      </c>
      <c r="I3121" s="127" t="s">
        <v>6556</v>
      </c>
      <c r="J3121" s="126" t="s">
        <v>3383</v>
      </c>
      <c r="K3121" s="128" t="s">
        <v>6090</v>
      </c>
      <c r="L3121" s="128" t="s">
        <v>6077</v>
      </c>
      <c r="M3121" s="127">
        <v>632828</v>
      </c>
      <c r="N3121" s="111"/>
      <c r="O3121" s="20"/>
      <c r="P3121" s="20"/>
      <c r="Q3121" s="20"/>
    </row>
    <row r="3122" spans="1:17" ht="24.9" customHeight="1">
      <c r="A3122" s="20">
        <v>456</v>
      </c>
      <c r="B3122" s="20" t="s">
        <v>6551</v>
      </c>
      <c r="C3122" s="20">
        <v>5</v>
      </c>
      <c r="D3122" s="19" t="s">
        <v>7459</v>
      </c>
      <c r="E3122" s="19" t="str">
        <f>VLOOKUP(D3122,'لیست پرسنل'!$B$2:$E$1020,3,FALSE)</f>
        <v>پیسیکو</v>
      </c>
      <c r="F3122" s="19" t="str">
        <f>VLOOKUP(D3122,'لیست پرسنل'!$B$2:$E$1020,4,FALSE)</f>
        <v>MC</v>
      </c>
      <c r="G3122" s="127">
        <f>VLOOKUP(D3122,'لیست پرسنل'!$B$2:$F$1020,2,FALSE)</f>
        <v>0</v>
      </c>
      <c r="H3122" s="127" t="s">
        <v>6571</v>
      </c>
      <c r="I3122" s="127" t="s">
        <v>6556</v>
      </c>
      <c r="J3122" s="126" t="s">
        <v>737</v>
      </c>
      <c r="K3122" s="128" t="s">
        <v>5662</v>
      </c>
      <c r="L3122" s="128" t="s">
        <v>6083</v>
      </c>
      <c r="M3122" s="128">
        <v>632440</v>
      </c>
      <c r="N3122" s="111"/>
      <c r="O3122" s="20"/>
      <c r="P3122" s="20"/>
      <c r="Q3122" s="20"/>
    </row>
    <row r="3123" spans="1:17" ht="24.9" customHeight="1">
      <c r="A3123" s="20">
        <v>456</v>
      </c>
      <c r="B3123" s="20" t="s">
        <v>6551</v>
      </c>
      <c r="C3123" s="20">
        <v>5</v>
      </c>
      <c r="D3123" s="19" t="s">
        <v>7459</v>
      </c>
      <c r="E3123" s="19" t="str">
        <f>VLOOKUP(D3123,'لیست پرسنل'!$B$2:$E$1020,3,FALSE)</f>
        <v>پیسیکو</v>
      </c>
      <c r="F3123" s="19" t="str">
        <f>VLOOKUP(D3123,'لیست پرسنل'!$B$2:$E$1020,4,FALSE)</f>
        <v>MC</v>
      </c>
      <c r="G3123" s="127">
        <f>VLOOKUP(D3123,'لیست پرسنل'!$B$2:$F$1020,2,FALSE)</f>
        <v>0</v>
      </c>
      <c r="H3123" s="127" t="s">
        <v>6571</v>
      </c>
      <c r="I3123" s="127" t="s">
        <v>6556</v>
      </c>
      <c r="J3123" s="128" t="s">
        <v>737</v>
      </c>
      <c r="K3123" s="128" t="s">
        <v>1603</v>
      </c>
      <c r="L3123" s="127" t="s">
        <v>1602</v>
      </c>
      <c r="M3123" s="127">
        <v>633774</v>
      </c>
      <c r="N3123" s="109"/>
      <c r="O3123" s="19" t="s">
        <v>6422</v>
      </c>
      <c r="P3123" s="32"/>
      <c r="Q3123" s="32"/>
    </row>
    <row r="3124" spans="1:17" ht="24.9" customHeight="1">
      <c r="A3124" s="20">
        <v>456</v>
      </c>
      <c r="B3124" s="20" t="s">
        <v>6551</v>
      </c>
      <c r="C3124" s="20">
        <v>5</v>
      </c>
      <c r="D3124" s="19" t="s">
        <v>7459</v>
      </c>
      <c r="E3124" s="19" t="str">
        <f>VLOOKUP(D3124,'لیست پرسنل'!$B$2:$E$1020,3,FALSE)</f>
        <v>پیسیکو</v>
      </c>
      <c r="F3124" s="19" t="str">
        <f>VLOOKUP(D3124,'لیست پرسنل'!$B$2:$E$1020,4,FALSE)</f>
        <v>MC</v>
      </c>
      <c r="G3124" s="127">
        <f>VLOOKUP(D3124,'لیست پرسنل'!$B$2:$F$1020,2,FALSE)</f>
        <v>0</v>
      </c>
      <c r="H3124" s="127" t="s">
        <v>6571</v>
      </c>
      <c r="I3124" s="127" t="s">
        <v>6556</v>
      </c>
      <c r="J3124" s="126" t="s">
        <v>737</v>
      </c>
      <c r="K3124" s="128" t="s">
        <v>7562</v>
      </c>
      <c r="L3124" s="128"/>
      <c r="M3124" s="128">
        <v>636009</v>
      </c>
      <c r="N3124" s="109"/>
      <c r="O3124" s="19"/>
      <c r="P3124" s="32"/>
      <c r="Q3124" s="32"/>
    </row>
    <row r="3125" spans="1:17" ht="24.9" customHeight="1">
      <c r="A3125" s="20">
        <v>456</v>
      </c>
      <c r="B3125" s="20" t="s">
        <v>6551</v>
      </c>
      <c r="C3125" s="20">
        <v>5</v>
      </c>
      <c r="D3125" s="19" t="s">
        <v>7459</v>
      </c>
      <c r="E3125" s="19" t="str">
        <f>VLOOKUP(D3125,'لیست پرسنل'!$B$2:$E$1020,3,FALSE)</f>
        <v>پیسیکو</v>
      </c>
      <c r="F3125" s="19" t="str">
        <f>VLOOKUP(D3125,'لیست پرسنل'!$B$2:$E$1020,4,FALSE)</f>
        <v>MC</v>
      </c>
      <c r="G3125" s="127">
        <f>VLOOKUP(D3125,'لیست پرسنل'!$B$2:$F$1020,2,FALSE)</f>
        <v>0</v>
      </c>
      <c r="H3125" s="127" t="s">
        <v>6571</v>
      </c>
      <c r="I3125" s="127" t="s">
        <v>6556</v>
      </c>
      <c r="J3125" s="126" t="s">
        <v>368</v>
      </c>
      <c r="K3125" s="128" t="s">
        <v>2846</v>
      </c>
      <c r="L3125" s="127" t="s">
        <v>2895</v>
      </c>
      <c r="M3125" s="127">
        <v>633723</v>
      </c>
      <c r="N3125" s="109"/>
      <c r="O3125" s="19" t="s">
        <v>6371</v>
      </c>
      <c r="P3125" s="32"/>
      <c r="Q3125" s="32"/>
    </row>
    <row r="3126" spans="1:17" ht="24.9" customHeight="1">
      <c r="A3126" s="20">
        <v>456</v>
      </c>
      <c r="B3126" s="20" t="s">
        <v>6551</v>
      </c>
      <c r="C3126" s="20">
        <v>5</v>
      </c>
      <c r="D3126" s="19" t="s">
        <v>7459</v>
      </c>
      <c r="E3126" s="19" t="str">
        <f>VLOOKUP(D3126,'لیست پرسنل'!$B$2:$E$1020,3,FALSE)</f>
        <v>پیسیکو</v>
      </c>
      <c r="F3126" s="19" t="str">
        <f>VLOOKUP(D3126,'لیست پرسنل'!$B$2:$E$1020,4,FALSE)</f>
        <v>MC</v>
      </c>
      <c r="G3126" s="127">
        <f>VLOOKUP(D3126,'لیست پرسنل'!$B$2:$F$1020,2,FALSE)</f>
        <v>0</v>
      </c>
      <c r="H3126" s="127" t="s">
        <v>6571</v>
      </c>
      <c r="I3126" s="127" t="s">
        <v>6556</v>
      </c>
      <c r="J3126" s="127" t="s">
        <v>571</v>
      </c>
      <c r="K3126" s="128" t="s">
        <v>5801</v>
      </c>
      <c r="L3126" s="128"/>
      <c r="M3126" s="128">
        <v>632151</v>
      </c>
      <c r="N3126" s="109"/>
      <c r="O3126" s="20"/>
      <c r="P3126" s="28"/>
      <c r="Q3126" s="28"/>
    </row>
    <row r="3127" spans="1:17" ht="24.9" customHeight="1">
      <c r="A3127" s="20">
        <v>456</v>
      </c>
      <c r="B3127" s="20" t="s">
        <v>6551</v>
      </c>
      <c r="C3127" s="20">
        <v>5</v>
      </c>
      <c r="D3127" s="19" t="s">
        <v>7459</v>
      </c>
      <c r="E3127" s="19" t="str">
        <f>VLOOKUP(D3127,'لیست پرسنل'!$B$2:$E$1020,3,FALSE)</f>
        <v>پیسیکو</v>
      </c>
      <c r="F3127" s="19" t="str">
        <f>VLOOKUP(D3127,'لیست پرسنل'!$B$2:$E$1020,4,FALSE)</f>
        <v>MC</v>
      </c>
      <c r="G3127" s="127">
        <f>VLOOKUP(D3127,'لیست پرسنل'!$B$2:$F$1020,2,FALSE)</f>
        <v>0</v>
      </c>
      <c r="H3127" s="127" t="s">
        <v>6571</v>
      </c>
      <c r="I3127" s="127" t="s">
        <v>6556</v>
      </c>
      <c r="J3127" s="127" t="s">
        <v>5618</v>
      </c>
      <c r="K3127" s="128" t="s">
        <v>5802</v>
      </c>
      <c r="L3127" s="150" t="s">
        <v>6098</v>
      </c>
      <c r="M3127" s="128">
        <v>632176</v>
      </c>
      <c r="N3127" s="109"/>
      <c r="O3127" s="20"/>
      <c r="P3127" s="28"/>
      <c r="Q3127" s="28"/>
    </row>
    <row r="3128" spans="1:17" ht="24.9" customHeight="1">
      <c r="A3128" s="20">
        <v>456</v>
      </c>
      <c r="B3128" s="20" t="s">
        <v>6551</v>
      </c>
      <c r="C3128" s="20">
        <v>6</v>
      </c>
      <c r="D3128" s="19" t="s">
        <v>7462</v>
      </c>
      <c r="E3128" s="19" t="str">
        <f>VLOOKUP(D3128,'لیست پرسنل'!$B$2:$E$1020,3,FALSE)</f>
        <v>پیسیکو</v>
      </c>
      <c r="F3128" s="19" t="str">
        <f>VLOOKUP(D3128,'لیست پرسنل'!$B$2:$E$1020,4,FALSE)</f>
        <v>MC</v>
      </c>
      <c r="G3128" s="127">
        <f>VLOOKUP(D3128,'لیست پرسنل'!$B$2:$F$1020,2,FALSE)</f>
        <v>0</v>
      </c>
      <c r="H3128" s="127" t="s">
        <v>6571</v>
      </c>
      <c r="I3128" s="127" t="s">
        <v>6557</v>
      </c>
      <c r="J3128" s="126" t="s">
        <v>368</v>
      </c>
      <c r="K3128" s="128" t="s">
        <v>2846</v>
      </c>
      <c r="L3128" s="127" t="s">
        <v>2163</v>
      </c>
      <c r="M3128" s="127">
        <v>633722</v>
      </c>
      <c r="N3128" s="109"/>
      <c r="O3128" s="19" t="s">
        <v>6370</v>
      </c>
      <c r="P3128" s="32"/>
      <c r="Q3128" s="32"/>
    </row>
    <row r="3129" spans="1:17" ht="24.9" customHeight="1">
      <c r="A3129" s="20">
        <v>456</v>
      </c>
      <c r="B3129" s="20" t="s">
        <v>6551</v>
      </c>
      <c r="C3129" s="20">
        <v>6</v>
      </c>
      <c r="D3129" s="19" t="s">
        <v>7462</v>
      </c>
      <c r="E3129" s="19" t="str">
        <f>VLOOKUP(D3129,'لیست پرسنل'!$B$2:$E$1020,3,FALSE)</f>
        <v>پیسیکو</v>
      </c>
      <c r="F3129" s="19" t="str">
        <f>VLOOKUP(D3129,'لیست پرسنل'!$B$2:$E$1020,4,FALSE)</f>
        <v>MC</v>
      </c>
      <c r="G3129" s="127">
        <f>VLOOKUP(D3129,'لیست پرسنل'!$B$2:$F$1020,2,FALSE)</f>
        <v>0</v>
      </c>
      <c r="H3129" s="127" t="s">
        <v>6571</v>
      </c>
      <c r="I3129" s="127" t="s">
        <v>6557</v>
      </c>
      <c r="J3129" s="128" t="s">
        <v>571</v>
      </c>
      <c r="K3129" s="128" t="s">
        <v>2219</v>
      </c>
      <c r="L3129" s="127"/>
      <c r="M3129" s="127">
        <v>633650</v>
      </c>
      <c r="N3129" s="109"/>
      <c r="O3129" s="19" t="s">
        <v>6311</v>
      </c>
      <c r="P3129" s="32"/>
      <c r="Q3129" s="32"/>
    </row>
    <row r="3130" spans="1:17" ht="24.9" customHeight="1">
      <c r="A3130" s="20">
        <v>456</v>
      </c>
      <c r="B3130" s="20" t="s">
        <v>6551</v>
      </c>
      <c r="C3130" s="20">
        <v>6</v>
      </c>
      <c r="D3130" s="19" t="s">
        <v>7462</v>
      </c>
      <c r="E3130" s="19" t="str">
        <f>VLOOKUP(D3130,'لیست پرسنل'!$B$2:$E$1020,3,FALSE)</f>
        <v>پیسیکو</v>
      </c>
      <c r="F3130" s="19" t="str">
        <f>VLOOKUP(D3130,'لیست پرسنل'!$B$2:$E$1020,4,FALSE)</f>
        <v>MC</v>
      </c>
      <c r="G3130" s="127">
        <f>VLOOKUP(D3130,'لیست پرسنل'!$B$2:$F$1020,2,FALSE)</f>
        <v>0</v>
      </c>
      <c r="H3130" s="127" t="s">
        <v>6571</v>
      </c>
      <c r="I3130" s="127" t="s">
        <v>6557</v>
      </c>
      <c r="J3130" s="127" t="s">
        <v>5618</v>
      </c>
      <c r="K3130" s="128" t="s">
        <v>5802</v>
      </c>
      <c r="L3130" s="150" t="s">
        <v>6097</v>
      </c>
      <c r="M3130" s="128">
        <v>632175</v>
      </c>
      <c r="N3130" s="109"/>
      <c r="O3130" s="20"/>
      <c r="P3130" s="28"/>
      <c r="Q3130" s="28"/>
    </row>
    <row r="3131" spans="1:17" ht="24.9" customHeight="1">
      <c r="A3131" s="20">
        <v>456</v>
      </c>
      <c r="B3131" s="20" t="s">
        <v>6551</v>
      </c>
      <c r="C3131" s="20">
        <v>7</v>
      </c>
      <c r="D3131" s="19" t="s">
        <v>7456</v>
      </c>
      <c r="E3131" s="19" t="str">
        <f>VLOOKUP(D3131,'لیست پرسنل'!$B$2:$E$1020,3,FALSE)</f>
        <v>پیسیکو</v>
      </c>
      <c r="F3131" s="19" t="str">
        <f>VLOOKUP(D3131,'لیست پرسنل'!$B$2:$E$1020,4,FALSE)</f>
        <v>MC</v>
      </c>
      <c r="G3131" s="127">
        <f>VLOOKUP(D3131,'لیست پرسنل'!$B$2:$F$1020,2,FALSE)</f>
        <v>0</v>
      </c>
      <c r="H3131" s="127" t="s">
        <v>6571</v>
      </c>
      <c r="I3131" s="127" t="s">
        <v>6573</v>
      </c>
      <c r="J3131" s="126" t="s">
        <v>368</v>
      </c>
      <c r="K3131" s="128" t="s">
        <v>2846</v>
      </c>
      <c r="L3131" s="150" t="s">
        <v>6106</v>
      </c>
      <c r="M3131" s="128">
        <v>632494</v>
      </c>
      <c r="N3131" s="111"/>
      <c r="O3131" s="20"/>
      <c r="P3131" s="20"/>
      <c r="Q3131" s="20"/>
    </row>
    <row r="3132" spans="1:17" ht="24.9" customHeight="1">
      <c r="A3132" s="20">
        <v>456</v>
      </c>
      <c r="B3132" s="20" t="s">
        <v>6551</v>
      </c>
      <c r="C3132" s="20">
        <v>7</v>
      </c>
      <c r="D3132" s="19" t="s">
        <v>7456</v>
      </c>
      <c r="E3132" s="19" t="str">
        <f>VLOOKUP(D3132,'لیست پرسنل'!$B$2:$E$1020,3,FALSE)</f>
        <v>پیسیکو</v>
      </c>
      <c r="F3132" s="19" t="str">
        <f>VLOOKUP(D3132,'لیست پرسنل'!$B$2:$E$1020,4,FALSE)</f>
        <v>MC</v>
      </c>
      <c r="G3132" s="127">
        <f>VLOOKUP(D3132,'لیست پرسنل'!$B$2:$F$1020,2,FALSE)</f>
        <v>0</v>
      </c>
      <c r="H3132" s="127" t="s">
        <v>6571</v>
      </c>
      <c r="I3132" s="127" t="s">
        <v>6573</v>
      </c>
      <c r="J3132" s="127" t="s">
        <v>571</v>
      </c>
      <c r="K3132" s="128" t="s">
        <v>5801</v>
      </c>
      <c r="L3132" s="128"/>
      <c r="M3132" s="128">
        <v>632155</v>
      </c>
      <c r="N3132" s="109"/>
      <c r="O3132" s="20"/>
      <c r="P3132" s="28"/>
      <c r="Q3132" s="28"/>
    </row>
    <row r="3133" spans="1:17" ht="24.9" customHeight="1">
      <c r="A3133" s="20">
        <v>456</v>
      </c>
      <c r="B3133" s="20" t="s">
        <v>6551</v>
      </c>
      <c r="C3133" s="20">
        <v>7</v>
      </c>
      <c r="D3133" s="19" t="s">
        <v>7456</v>
      </c>
      <c r="E3133" s="19" t="str">
        <f>VLOOKUP(D3133,'لیست پرسنل'!$B$2:$E$1020,3,FALSE)</f>
        <v>پیسیکو</v>
      </c>
      <c r="F3133" s="19" t="str">
        <f>VLOOKUP(D3133,'لیست پرسنل'!$B$2:$E$1020,4,FALSE)</f>
        <v>MC</v>
      </c>
      <c r="G3133" s="127">
        <f>VLOOKUP(D3133,'لیست پرسنل'!$B$2:$F$1020,2,FALSE)</f>
        <v>0</v>
      </c>
      <c r="H3133" s="127" t="s">
        <v>6571</v>
      </c>
      <c r="I3133" s="127" t="s">
        <v>6573</v>
      </c>
      <c r="J3133" s="127" t="s">
        <v>5618</v>
      </c>
      <c r="K3133" s="128" t="s">
        <v>5802</v>
      </c>
      <c r="L3133" s="150" t="s">
        <v>6104</v>
      </c>
      <c r="M3133" s="128">
        <v>632182</v>
      </c>
      <c r="N3133" s="109"/>
      <c r="O3133" s="20"/>
      <c r="P3133" s="28"/>
      <c r="Q3133" s="28"/>
    </row>
    <row r="3134" spans="1:17" ht="24.9" customHeight="1">
      <c r="A3134" s="20">
        <v>456</v>
      </c>
      <c r="B3134" s="20" t="s">
        <v>6551</v>
      </c>
      <c r="C3134" s="20">
        <v>8</v>
      </c>
      <c r="D3134" s="19" t="s">
        <v>7121</v>
      </c>
      <c r="E3134" s="19" t="str">
        <f>VLOOKUP(D3134,'لیست پرسنل'!$B$2:$E$1020,3,FALSE)</f>
        <v>ارکان تدبیر</v>
      </c>
      <c r="F3134" s="19" t="str">
        <f>VLOOKUP(D3134,'لیست پرسنل'!$B$2:$E$1020,4,FALSE)</f>
        <v>نظارت</v>
      </c>
      <c r="G3134" s="127">
        <f>VLOOKUP(D3134,'لیست پرسنل'!$B$2:$F$1020,2,FALSE)</f>
        <v>1470035</v>
      </c>
      <c r="H3134" s="127" t="s">
        <v>6571</v>
      </c>
      <c r="I3134" s="127" t="s">
        <v>6572</v>
      </c>
      <c r="J3134" s="126" t="s">
        <v>737</v>
      </c>
      <c r="K3134" s="128" t="s">
        <v>6092</v>
      </c>
      <c r="L3134" s="128" t="s">
        <v>6080</v>
      </c>
      <c r="M3134" s="128">
        <v>632831</v>
      </c>
      <c r="N3134" s="111"/>
      <c r="O3134" s="20"/>
      <c r="P3134" s="20"/>
      <c r="Q3134" s="20"/>
    </row>
    <row r="3135" spans="1:17" ht="24.9" customHeight="1">
      <c r="A3135" s="20">
        <v>456</v>
      </c>
      <c r="B3135" s="20" t="s">
        <v>6551</v>
      </c>
      <c r="C3135" s="20">
        <v>8</v>
      </c>
      <c r="D3135" s="19" t="s">
        <v>7121</v>
      </c>
      <c r="E3135" s="19" t="str">
        <f>VLOOKUP(D3135,'لیست پرسنل'!$B$2:$E$1020,3,FALSE)</f>
        <v>ارکان تدبیر</v>
      </c>
      <c r="F3135" s="19" t="str">
        <f>VLOOKUP(D3135,'لیست پرسنل'!$B$2:$E$1020,4,FALSE)</f>
        <v>نظارت</v>
      </c>
      <c r="G3135" s="127">
        <f>VLOOKUP(D3135,'لیست پرسنل'!$B$2:$F$1020,2,FALSE)</f>
        <v>1470035</v>
      </c>
      <c r="H3135" s="127" t="s">
        <v>6571</v>
      </c>
      <c r="I3135" s="127" t="s">
        <v>6572</v>
      </c>
      <c r="J3135" s="126" t="s">
        <v>368</v>
      </c>
      <c r="K3135" s="128" t="s">
        <v>2846</v>
      </c>
      <c r="L3135" s="128"/>
      <c r="M3135" s="128">
        <v>632498</v>
      </c>
      <c r="N3135" s="111"/>
      <c r="O3135" s="20"/>
      <c r="P3135" s="20"/>
      <c r="Q3135" s="20"/>
    </row>
    <row r="3136" spans="1:17" ht="24.9" customHeight="1">
      <c r="A3136" s="20">
        <v>456</v>
      </c>
      <c r="B3136" s="20" t="s">
        <v>6551</v>
      </c>
      <c r="C3136" s="20">
        <v>8</v>
      </c>
      <c r="D3136" s="19" t="s">
        <v>7121</v>
      </c>
      <c r="E3136" s="19" t="str">
        <f>VLOOKUP(D3136,'لیست پرسنل'!$B$2:$E$1020,3,FALSE)</f>
        <v>ارکان تدبیر</v>
      </c>
      <c r="F3136" s="19" t="str">
        <f>VLOOKUP(D3136,'لیست پرسنل'!$B$2:$E$1020,4,FALSE)</f>
        <v>نظارت</v>
      </c>
      <c r="G3136" s="127">
        <f>VLOOKUP(D3136,'لیست پرسنل'!$B$2:$F$1020,2,FALSE)</f>
        <v>1470035</v>
      </c>
      <c r="H3136" s="127" t="s">
        <v>6571</v>
      </c>
      <c r="I3136" s="127" t="s">
        <v>6572</v>
      </c>
      <c r="J3136" s="128" t="s">
        <v>5366</v>
      </c>
      <c r="K3136" s="128" t="s">
        <v>8239</v>
      </c>
      <c r="L3136" s="127"/>
      <c r="M3136" s="127">
        <v>635668</v>
      </c>
      <c r="N3136" s="109" t="s">
        <v>7195</v>
      </c>
      <c r="O3136" s="19"/>
      <c r="P3136" s="32"/>
      <c r="Q3136" s="32"/>
    </row>
    <row r="3137" spans="1:17" ht="24.9" customHeight="1">
      <c r="A3137" s="20">
        <v>456</v>
      </c>
      <c r="B3137" s="20" t="s">
        <v>6551</v>
      </c>
      <c r="C3137" s="20">
        <v>8</v>
      </c>
      <c r="D3137" s="19" t="s">
        <v>7121</v>
      </c>
      <c r="E3137" s="19" t="str">
        <f>VLOOKUP(D3137,'لیست پرسنل'!$B$2:$E$1020,3,FALSE)</f>
        <v>ارکان تدبیر</v>
      </c>
      <c r="F3137" s="19" t="str">
        <f>VLOOKUP(D3137,'لیست پرسنل'!$B$2:$E$1020,4,FALSE)</f>
        <v>نظارت</v>
      </c>
      <c r="G3137" s="127">
        <f>VLOOKUP(D3137,'لیست پرسنل'!$B$2:$F$1020,2,FALSE)</f>
        <v>1470035</v>
      </c>
      <c r="H3137" s="127" t="s">
        <v>6571</v>
      </c>
      <c r="I3137" s="127" t="s">
        <v>6572</v>
      </c>
      <c r="J3137" s="127" t="s">
        <v>571</v>
      </c>
      <c r="K3137" s="128" t="s">
        <v>5801</v>
      </c>
      <c r="L3137" s="128"/>
      <c r="M3137" s="128">
        <v>632160</v>
      </c>
      <c r="N3137" s="109"/>
      <c r="O3137" s="20"/>
      <c r="P3137" s="28"/>
      <c r="Q3137" s="28"/>
    </row>
    <row r="3138" spans="1:17" ht="24.9" customHeight="1">
      <c r="A3138" s="20">
        <v>456</v>
      </c>
      <c r="B3138" s="20" t="s">
        <v>6551</v>
      </c>
      <c r="C3138" s="20">
        <v>8</v>
      </c>
      <c r="D3138" s="19" t="s">
        <v>7121</v>
      </c>
      <c r="E3138" s="19" t="str">
        <f>VLOOKUP(D3138,'لیست پرسنل'!$B$2:$E$1020,3,FALSE)</f>
        <v>ارکان تدبیر</v>
      </c>
      <c r="F3138" s="19" t="str">
        <f>VLOOKUP(D3138,'لیست پرسنل'!$B$2:$E$1020,4,FALSE)</f>
        <v>نظارت</v>
      </c>
      <c r="G3138" s="127">
        <f>VLOOKUP(D3138,'لیست پرسنل'!$B$2:$F$1020,2,FALSE)</f>
        <v>1470035</v>
      </c>
      <c r="H3138" s="127" t="s">
        <v>6571</v>
      </c>
      <c r="I3138" s="127" t="s">
        <v>6572</v>
      </c>
      <c r="J3138" s="127" t="s">
        <v>5618</v>
      </c>
      <c r="K3138" s="128" t="s">
        <v>5802</v>
      </c>
      <c r="L3138" s="150" t="s">
        <v>6101</v>
      </c>
      <c r="M3138" s="128">
        <v>632179</v>
      </c>
      <c r="N3138" s="109"/>
      <c r="O3138" s="20"/>
      <c r="P3138" s="28"/>
      <c r="Q3138" s="28"/>
    </row>
    <row r="3139" spans="1:17" ht="24.9" customHeight="1">
      <c r="A3139" s="20">
        <v>456</v>
      </c>
      <c r="B3139" s="20" t="s">
        <v>6551</v>
      </c>
      <c r="C3139" s="20">
        <v>11</v>
      </c>
      <c r="D3139" s="19" t="s">
        <v>7564</v>
      </c>
      <c r="E3139" s="19" t="str">
        <f>VLOOKUP(D3139,'لیست پرسنل'!$B$2:$E$1020,3,FALSE)</f>
        <v>ارکان تدبیر</v>
      </c>
      <c r="F3139" s="19" t="str">
        <f>VLOOKUP(D3139,'لیست پرسنل'!$B$2:$E$1020,4,FALSE)</f>
        <v>نظارت</v>
      </c>
      <c r="G3139" s="127">
        <f>VLOOKUP(D3139,'لیست پرسنل'!$B$2:$F$1020,2,FALSE)</f>
        <v>0</v>
      </c>
      <c r="H3139" s="127" t="s">
        <v>6571</v>
      </c>
      <c r="I3139" s="128" t="s">
        <v>7590</v>
      </c>
      <c r="J3139" s="127" t="s">
        <v>571</v>
      </c>
      <c r="K3139" s="128" t="s">
        <v>7559</v>
      </c>
      <c r="L3139" s="128"/>
      <c r="M3139" s="128">
        <v>627142</v>
      </c>
      <c r="N3139" s="109"/>
      <c r="O3139" s="19"/>
      <c r="P3139" s="32"/>
      <c r="Q3139" s="32"/>
    </row>
    <row r="3140" spans="1:17" ht="24.9" customHeight="1">
      <c r="A3140" s="20">
        <v>456</v>
      </c>
      <c r="B3140" s="20" t="s">
        <v>6551</v>
      </c>
      <c r="C3140" s="20">
        <v>11</v>
      </c>
      <c r="D3140" s="19" t="s">
        <v>7564</v>
      </c>
      <c r="E3140" s="19" t="str">
        <f>VLOOKUP(D3140,'لیست پرسنل'!$B$2:$E$1020,3,FALSE)</f>
        <v>ارکان تدبیر</v>
      </c>
      <c r="F3140" s="19" t="str">
        <f>VLOOKUP(D3140,'لیست پرسنل'!$B$2:$E$1020,4,FALSE)</f>
        <v>نظارت</v>
      </c>
      <c r="G3140" s="127">
        <f>VLOOKUP(D3140,'لیست پرسنل'!$B$2:$F$1020,2,FALSE)</f>
        <v>0</v>
      </c>
      <c r="H3140" s="127" t="s">
        <v>6571</v>
      </c>
      <c r="I3140" s="128" t="s">
        <v>7590</v>
      </c>
      <c r="J3140" s="128" t="s">
        <v>2686</v>
      </c>
      <c r="K3140" s="128" t="s">
        <v>7561</v>
      </c>
      <c r="L3140" s="128"/>
      <c r="M3140" s="128">
        <v>636015</v>
      </c>
      <c r="N3140" s="109"/>
      <c r="O3140" s="19"/>
      <c r="P3140" s="32"/>
      <c r="Q3140" s="32"/>
    </row>
    <row r="3141" spans="1:17" ht="24.9" customHeight="1">
      <c r="A3141" s="20">
        <v>456</v>
      </c>
      <c r="B3141" s="20" t="s">
        <v>6551</v>
      </c>
      <c r="C3141" s="20">
        <v>12</v>
      </c>
      <c r="D3141" s="19" t="s">
        <v>7565</v>
      </c>
      <c r="E3141" s="19" t="str">
        <f>VLOOKUP(D3141,'لیست پرسنل'!$B$2:$E$1020,3,FALSE)</f>
        <v>ارکان تدبیر</v>
      </c>
      <c r="F3141" s="19" t="str">
        <f>VLOOKUP(D3141,'لیست پرسنل'!$B$2:$E$1020,4,FALSE)</f>
        <v>نظارت</v>
      </c>
      <c r="G3141" s="127">
        <f>VLOOKUP(D3141,'لیست پرسنل'!$B$2:$F$1020,2,FALSE)</f>
        <v>0</v>
      </c>
      <c r="H3141" s="127" t="s">
        <v>6571</v>
      </c>
      <c r="I3141" s="128" t="s">
        <v>7591</v>
      </c>
      <c r="J3141" s="127" t="s">
        <v>571</v>
      </c>
      <c r="K3141" s="128" t="s">
        <v>7559</v>
      </c>
      <c r="L3141" s="128"/>
      <c r="M3141" s="128">
        <v>633671</v>
      </c>
      <c r="N3141" s="109"/>
      <c r="O3141" s="19" t="s">
        <v>6334</v>
      </c>
      <c r="P3141" s="32"/>
      <c r="Q3141" s="32"/>
    </row>
    <row r="3142" spans="1:17" ht="24.9" customHeight="1">
      <c r="A3142" s="20">
        <v>456</v>
      </c>
      <c r="B3142" s="20" t="s">
        <v>6551</v>
      </c>
      <c r="C3142" s="20">
        <v>12</v>
      </c>
      <c r="D3142" s="19" t="s">
        <v>7565</v>
      </c>
      <c r="E3142" s="19" t="str">
        <f>VLOOKUP(D3142,'لیست پرسنل'!$B$2:$E$1020,3,FALSE)</f>
        <v>ارکان تدبیر</v>
      </c>
      <c r="F3142" s="19" t="str">
        <f>VLOOKUP(D3142,'لیست پرسنل'!$B$2:$E$1020,4,FALSE)</f>
        <v>نظارت</v>
      </c>
      <c r="G3142" s="127">
        <f>VLOOKUP(D3142,'لیست پرسنل'!$B$2:$F$1020,2,FALSE)</f>
        <v>0</v>
      </c>
      <c r="H3142" s="127" t="s">
        <v>6571</v>
      </c>
      <c r="I3142" s="128" t="s">
        <v>7591</v>
      </c>
      <c r="J3142" s="128" t="s">
        <v>2686</v>
      </c>
      <c r="K3142" s="128" t="s">
        <v>7561</v>
      </c>
      <c r="L3142" s="128"/>
      <c r="M3142" s="128">
        <v>636012</v>
      </c>
      <c r="N3142" s="109"/>
      <c r="O3142" s="19"/>
      <c r="P3142" s="32"/>
      <c r="Q3142" s="32"/>
    </row>
    <row r="3143" spans="1:17" ht="24.9" customHeight="1">
      <c r="A3143" s="20">
        <v>456</v>
      </c>
      <c r="B3143" s="20" t="s">
        <v>6551</v>
      </c>
      <c r="C3143" s="20"/>
      <c r="D3143" s="19" t="s">
        <v>7461</v>
      </c>
      <c r="E3143" s="19" t="str">
        <f>VLOOKUP(D3143,'لیست پرسنل'!$B$2:$E$1020,3,FALSE)</f>
        <v>پیسیکو</v>
      </c>
      <c r="F3143" s="19" t="str">
        <f>VLOOKUP(D3143,'لیست پرسنل'!$B$2:$E$1020,4,FALSE)</f>
        <v>MC</v>
      </c>
      <c r="G3143" s="127">
        <f>VLOOKUP(D3143,'لیست پرسنل'!$B$2:$F$1020,2,FALSE)</f>
        <v>0</v>
      </c>
      <c r="H3143" s="127" t="s">
        <v>6571</v>
      </c>
      <c r="I3143" s="127"/>
      <c r="J3143" s="126" t="s">
        <v>368</v>
      </c>
      <c r="K3143" s="128" t="s">
        <v>2846</v>
      </c>
      <c r="L3143" s="150" t="s">
        <v>6107</v>
      </c>
      <c r="M3143" s="128">
        <v>632495</v>
      </c>
      <c r="N3143" s="111"/>
      <c r="O3143" s="20"/>
      <c r="P3143" s="20"/>
      <c r="Q3143" s="20"/>
    </row>
    <row r="3144" spans="1:17" ht="24.9" customHeight="1">
      <c r="A3144" s="20">
        <v>456</v>
      </c>
      <c r="B3144" s="20" t="s">
        <v>6551</v>
      </c>
      <c r="C3144" s="20"/>
      <c r="D3144" s="19" t="s">
        <v>7461</v>
      </c>
      <c r="E3144" s="19" t="str">
        <f>VLOOKUP(D3144,'لیست پرسنل'!$B$2:$E$1020,3,FALSE)</f>
        <v>پیسیکو</v>
      </c>
      <c r="F3144" s="19" t="str">
        <f>VLOOKUP(D3144,'لیست پرسنل'!$B$2:$E$1020,4,FALSE)</f>
        <v>MC</v>
      </c>
      <c r="G3144" s="127">
        <f>VLOOKUP(D3144,'لیست پرسنل'!$B$2:$F$1020,2,FALSE)</f>
        <v>0</v>
      </c>
      <c r="H3144" s="127" t="s">
        <v>6571</v>
      </c>
      <c r="I3144" s="128"/>
      <c r="J3144" s="128" t="s">
        <v>571</v>
      </c>
      <c r="K3144" s="128" t="s">
        <v>4771</v>
      </c>
      <c r="L3144" s="128"/>
      <c r="M3144" s="127">
        <v>633675</v>
      </c>
      <c r="N3144" s="109"/>
      <c r="O3144" s="19" t="s">
        <v>6333</v>
      </c>
      <c r="P3144" s="32"/>
      <c r="Q3144" s="32"/>
    </row>
    <row r="3145" spans="1:17" ht="24.9" customHeight="1">
      <c r="A3145" s="20">
        <v>456</v>
      </c>
      <c r="B3145" s="20" t="s">
        <v>6551</v>
      </c>
      <c r="C3145" s="20"/>
      <c r="D3145" s="19" t="s">
        <v>7461</v>
      </c>
      <c r="E3145" s="19" t="str">
        <f>VLOOKUP(D3145,'لیست پرسنل'!$B$2:$E$1020,3,FALSE)</f>
        <v>پیسیکو</v>
      </c>
      <c r="F3145" s="19" t="str">
        <f>VLOOKUP(D3145,'لیست پرسنل'!$B$2:$E$1020,4,FALSE)</f>
        <v>MC</v>
      </c>
      <c r="G3145" s="127">
        <f>VLOOKUP(D3145,'لیست پرسنل'!$B$2:$F$1020,2,FALSE)</f>
        <v>0</v>
      </c>
      <c r="H3145" s="127" t="s">
        <v>6571</v>
      </c>
      <c r="I3145" s="127"/>
      <c r="J3145" s="127" t="s">
        <v>5618</v>
      </c>
      <c r="K3145" s="128" t="s">
        <v>5802</v>
      </c>
      <c r="L3145" s="150" t="s">
        <v>6105</v>
      </c>
      <c r="M3145" s="128">
        <v>632183</v>
      </c>
      <c r="N3145" s="109"/>
      <c r="O3145" s="20"/>
      <c r="P3145" s="28"/>
      <c r="Q3145" s="28"/>
    </row>
    <row r="3146" spans="1:17" ht="24.9" customHeight="1">
      <c r="A3146" s="20">
        <v>456</v>
      </c>
      <c r="B3146" s="20" t="s">
        <v>6551</v>
      </c>
      <c r="C3146" s="20"/>
      <c r="D3146" s="19" t="s">
        <v>7563</v>
      </c>
      <c r="E3146" s="19" t="str">
        <f>VLOOKUP(D3146,'لیست پرسنل'!$B$2:$E$1020,3,FALSE)</f>
        <v>ارکان تدبیر</v>
      </c>
      <c r="F3146" s="19" t="str">
        <f>VLOOKUP(D3146,'لیست پرسنل'!$B$2:$E$1020,4,FALSE)</f>
        <v>نظارت</v>
      </c>
      <c r="G3146" s="127">
        <f>VLOOKUP(D3146,'لیست پرسنل'!$B$2:$F$1020,2,FALSE)</f>
        <v>0</v>
      </c>
      <c r="H3146" s="127" t="s">
        <v>6571</v>
      </c>
      <c r="I3146" s="128"/>
      <c r="J3146" s="127" t="s">
        <v>571</v>
      </c>
      <c r="K3146" s="128" t="s">
        <v>7559</v>
      </c>
      <c r="L3146" s="128"/>
      <c r="M3146" s="128">
        <v>625928</v>
      </c>
      <c r="N3146" s="109"/>
      <c r="O3146" s="19"/>
      <c r="P3146" s="32"/>
      <c r="Q3146" s="32"/>
    </row>
    <row r="3147" spans="1:17" ht="24.9" customHeight="1">
      <c r="A3147" s="20">
        <v>456</v>
      </c>
      <c r="B3147" s="20" t="s">
        <v>6551</v>
      </c>
      <c r="C3147" s="20"/>
      <c r="D3147" s="19" t="s">
        <v>7563</v>
      </c>
      <c r="E3147" s="19" t="str">
        <f>VLOOKUP(D3147,'لیست پرسنل'!$B$2:$E$1020,3,FALSE)</f>
        <v>ارکان تدبیر</v>
      </c>
      <c r="F3147" s="19" t="str">
        <f>VLOOKUP(D3147,'لیست پرسنل'!$B$2:$E$1020,4,FALSE)</f>
        <v>نظارت</v>
      </c>
      <c r="G3147" s="127">
        <f>VLOOKUP(D3147,'لیست پرسنل'!$B$2:$F$1020,2,FALSE)</f>
        <v>0</v>
      </c>
      <c r="H3147" s="127" t="s">
        <v>6571</v>
      </c>
      <c r="I3147" s="128"/>
      <c r="J3147" s="128" t="s">
        <v>2686</v>
      </c>
      <c r="K3147" s="128" t="s">
        <v>7561</v>
      </c>
      <c r="L3147" s="128"/>
      <c r="M3147" s="128">
        <v>636014</v>
      </c>
      <c r="N3147" s="109"/>
      <c r="O3147" s="19"/>
      <c r="P3147" s="32"/>
      <c r="Q3147" s="32"/>
    </row>
    <row r="3148" spans="1:17" ht="24.9" customHeight="1">
      <c r="A3148" s="20">
        <v>456</v>
      </c>
      <c r="B3148" s="20" t="s">
        <v>6551</v>
      </c>
      <c r="C3148" s="20"/>
      <c r="D3148" s="20" t="s">
        <v>8165</v>
      </c>
      <c r="E3148" s="19" t="str">
        <f>VLOOKUP(D3148,'لیست پرسنل'!$B$2:$E$1020,3,FALSE)</f>
        <v>ارکان تدبیر صنایع</v>
      </c>
      <c r="F3148" s="19" t="str">
        <f>VLOOKUP(D3148,'لیست پرسنل'!$B$2:$E$1020,4,FALSE)</f>
        <v>نظارت</v>
      </c>
      <c r="G3148" s="127">
        <f>VLOOKUP(D3148,'لیست پرسنل'!$B$2:$F$1020,2,FALSE)</f>
        <v>0</v>
      </c>
      <c r="H3148" s="127" t="s">
        <v>8167</v>
      </c>
      <c r="I3148" s="128"/>
      <c r="J3148" s="126" t="s">
        <v>571</v>
      </c>
      <c r="K3148" s="128" t="s">
        <v>7717</v>
      </c>
      <c r="L3148" s="128"/>
      <c r="M3148" s="128">
        <v>636302</v>
      </c>
      <c r="N3148" s="108" t="s">
        <v>5641</v>
      </c>
      <c r="O3148" s="20"/>
      <c r="P3148" s="20"/>
      <c r="Q3148" s="20"/>
    </row>
    <row r="3149" spans="1:17" ht="24.9" customHeight="1">
      <c r="A3149" s="20">
        <v>456</v>
      </c>
      <c r="B3149" s="20" t="s">
        <v>6551</v>
      </c>
      <c r="C3149" s="20"/>
      <c r="D3149" s="20" t="s">
        <v>8165</v>
      </c>
      <c r="E3149" s="19" t="str">
        <f>VLOOKUP(D3149,'لیست پرسنل'!$B$2:$E$1020,3,FALSE)</f>
        <v>ارکان تدبیر صنایع</v>
      </c>
      <c r="F3149" s="19" t="str">
        <f>VLOOKUP(D3149,'لیست پرسنل'!$B$2:$E$1020,4,FALSE)</f>
        <v>نظارت</v>
      </c>
      <c r="G3149" s="127">
        <f>VLOOKUP(D3149,'لیست پرسنل'!$B$2:$F$1020,2,FALSE)</f>
        <v>0</v>
      </c>
      <c r="H3149" s="127" t="s">
        <v>8167</v>
      </c>
      <c r="I3149" s="128"/>
      <c r="J3149" s="126" t="s">
        <v>571</v>
      </c>
      <c r="K3149" s="128" t="s">
        <v>7717</v>
      </c>
      <c r="L3149" s="128"/>
      <c r="M3149" s="128">
        <v>636305</v>
      </c>
      <c r="N3149" s="108" t="s">
        <v>5641</v>
      </c>
      <c r="O3149" s="20"/>
      <c r="P3149" s="20"/>
      <c r="Q3149" s="20"/>
    </row>
    <row r="3150" spans="1:17" ht="24.9" customHeight="1">
      <c r="A3150" s="20">
        <v>456</v>
      </c>
      <c r="B3150" s="20" t="s">
        <v>6551</v>
      </c>
      <c r="C3150" s="20"/>
      <c r="D3150" s="20" t="s">
        <v>8165</v>
      </c>
      <c r="E3150" s="19" t="str">
        <f>VLOOKUP(D3150,'لیست پرسنل'!$B$2:$E$1020,3,FALSE)</f>
        <v>ارکان تدبیر صنایع</v>
      </c>
      <c r="F3150" s="19" t="str">
        <f>VLOOKUP(D3150,'لیست پرسنل'!$B$2:$E$1020,4,FALSE)</f>
        <v>نظارت</v>
      </c>
      <c r="G3150" s="127">
        <f>VLOOKUP(D3150,'لیست پرسنل'!$B$2:$F$1020,2,FALSE)</f>
        <v>0</v>
      </c>
      <c r="H3150" s="127" t="s">
        <v>8167</v>
      </c>
      <c r="I3150" s="128"/>
      <c r="J3150" s="126" t="s">
        <v>5618</v>
      </c>
      <c r="K3150" s="128" t="s">
        <v>7561</v>
      </c>
      <c r="L3150" s="128" t="s">
        <v>7724</v>
      </c>
      <c r="M3150" s="128">
        <v>636308</v>
      </c>
      <c r="N3150" s="108" t="s">
        <v>5641</v>
      </c>
      <c r="O3150" s="20"/>
      <c r="P3150" s="20"/>
      <c r="Q3150" s="20"/>
    </row>
    <row r="3151" spans="1:17" ht="24.9" customHeight="1">
      <c r="A3151" s="20">
        <v>456</v>
      </c>
      <c r="B3151" s="20" t="s">
        <v>6551</v>
      </c>
      <c r="C3151" s="20"/>
      <c r="D3151" s="20" t="s">
        <v>8165</v>
      </c>
      <c r="E3151" s="19" t="str">
        <f>VLOOKUP(D3151,'لیست پرسنل'!$B$2:$E$1020,3,FALSE)</f>
        <v>ارکان تدبیر صنایع</v>
      </c>
      <c r="F3151" s="19" t="str">
        <f>VLOOKUP(D3151,'لیست پرسنل'!$B$2:$E$1020,4,FALSE)</f>
        <v>نظارت</v>
      </c>
      <c r="G3151" s="127">
        <f>VLOOKUP(D3151,'لیست پرسنل'!$B$2:$F$1020,2,FALSE)</f>
        <v>0</v>
      </c>
      <c r="H3151" s="127" t="s">
        <v>8167</v>
      </c>
      <c r="I3151" s="128"/>
      <c r="J3151" s="126" t="s">
        <v>5618</v>
      </c>
      <c r="K3151" s="128" t="s">
        <v>7561</v>
      </c>
      <c r="L3151" s="128" t="s">
        <v>7726</v>
      </c>
      <c r="M3151" s="128">
        <v>636310</v>
      </c>
      <c r="N3151" s="108" t="s">
        <v>5641</v>
      </c>
      <c r="O3151" s="20"/>
      <c r="P3151" s="20"/>
      <c r="Q3151" s="20"/>
    </row>
    <row r="3152" spans="1:17" ht="24.9" customHeight="1">
      <c r="A3152" s="20">
        <v>456</v>
      </c>
      <c r="B3152" s="20" t="s">
        <v>6551</v>
      </c>
      <c r="C3152" s="20"/>
      <c r="D3152" s="19" t="s">
        <v>7463</v>
      </c>
      <c r="E3152" s="19" t="str">
        <f>VLOOKUP(D3152,'لیست پرسنل'!$B$2:$E$1020,3,FALSE)</f>
        <v>پیسیکو</v>
      </c>
      <c r="F3152" s="19" t="str">
        <f>VLOOKUP(D3152,'لیست پرسنل'!$B$2:$E$1020,4,FALSE)</f>
        <v>MC</v>
      </c>
      <c r="G3152" s="127">
        <f>VLOOKUP(D3152,'لیست پرسنل'!$B$2:$F$1020,2,FALSE)</f>
        <v>0</v>
      </c>
      <c r="H3152" s="127" t="s">
        <v>6571</v>
      </c>
      <c r="I3152" s="128"/>
      <c r="J3152" s="126" t="s">
        <v>368</v>
      </c>
      <c r="K3152" s="128" t="s">
        <v>2846</v>
      </c>
      <c r="L3152" s="127" t="s">
        <v>2896</v>
      </c>
      <c r="M3152" s="127">
        <v>633724</v>
      </c>
      <c r="N3152" s="109"/>
      <c r="O3152" s="19" t="s">
        <v>6372</v>
      </c>
      <c r="P3152" s="32"/>
      <c r="Q3152" s="32"/>
    </row>
    <row r="3153" spans="1:17" ht="24.9" customHeight="1">
      <c r="A3153" s="20">
        <v>456</v>
      </c>
      <c r="B3153" s="20" t="s">
        <v>6551</v>
      </c>
      <c r="C3153" s="20"/>
      <c r="D3153" s="20" t="s">
        <v>7463</v>
      </c>
      <c r="E3153" s="19" t="str">
        <f>VLOOKUP(D3153,'لیست پرسنل'!$B$2:$E$1020,3,FALSE)</f>
        <v>پیسیکو</v>
      </c>
      <c r="F3153" s="19" t="str">
        <f>VLOOKUP(D3153,'لیست پرسنل'!$B$2:$E$1020,4,FALSE)</f>
        <v>MC</v>
      </c>
      <c r="G3153" s="127">
        <f>VLOOKUP(D3153,'لیست پرسنل'!$B$2:$F$1020,2,FALSE)</f>
        <v>0</v>
      </c>
      <c r="H3153" s="127" t="s">
        <v>6571</v>
      </c>
      <c r="I3153" s="128"/>
      <c r="J3153" s="128" t="s">
        <v>5366</v>
      </c>
      <c r="K3153" s="128" t="s">
        <v>8240</v>
      </c>
      <c r="L3153" s="127"/>
      <c r="M3153" s="127">
        <v>635662</v>
      </c>
      <c r="N3153" s="109"/>
      <c r="O3153" s="19"/>
      <c r="P3153" s="32"/>
      <c r="Q3153" s="32"/>
    </row>
    <row r="3154" spans="1:17" ht="24.9" customHeight="1">
      <c r="A3154" s="20">
        <v>456</v>
      </c>
      <c r="B3154" s="20" t="s">
        <v>6551</v>
      </c>
      <c r="C3154" s="20"/>
      <c r="D3154" s="19" t="s">
        <v>7463</v>
      </c>
      <c r="E3154" s="19" t="str">
        <f>VLOOKUP(D3154,'لیست پرسنل'!$B$2:$E$1020,3,FALSE)</f>
        <v>پیسیکو</v>
      </c>
      <c r="F3154" s="19" t="str">
        <f>VLOOKUP(D3154,'لیست پرسنل'!$B$2:$E$1020,4,FALSE)</f>
        <v>MC</v>
      </c>
      <c r="G3154" s="127">
        <f>VLOOKUP(D3154,'لیست پرسنل'!$B$2:$F$1020,2,FALSE)</f>
        <v>0</v>
      </c>
      <c r="H3154" s="127" t="s">
        <v>6571</v>
      </c>
      <c r="I3154" s="127"/>
      <c r="J3154" s="127" t="s">
        <v>571</v>
      </c>
      <c r="K3154" s="128" t="s">
        <v>5801</v>
      </c>
      <c r="L3154" s="128"/>
      <c r="M3154" s="128">
        <v>632153</v>
      </c>
      <c r="N3154" s="109"/>
      <c r="O3154" s="20"/>
      <c r="P3154" s="28"/>
      <c r="Q3154" s="28"/>
    </row>
    <row r="3155" spans="1:17" ht="24.9" customHeight="1">
      <c r="A3155" s="20">
        <v>456</v>
      </c>
      <c r="B3155" s="20" t="s">
        <v>6551</v>
      </c>
      <c r="C3155" s="20"/>
      <c r="D3155" s="19" t="s">
        <v>7463</v>
      </c>
      <c r="E3155" s="19" t="str">
        <f>VLOOKUP(D3155,'لیست پرسنل'!$B$2:$E$1020,3,FALSE)</f>
        <v>پیسیکو</v>
      </c>
      <c r="F3155" s="19" t="str">
        <f>VLOOKUP(D3155,'لیست پرسنل'!$B$2:$E$1020,4,FALSE)</f>
        <v>MC</v>
      </c>
      <c r="G3155" s="127">
        <f>VLOOKUP(D3155,'لیست پرسنل'!$B$2:$F$1020,2,FALSE)</f>
        <v>0</v>
      </c>
      <c r="H3155" s="127" t="s">
        <v>6571</v>
      </c>
      <c r="I3155" s="128"/>
      <c r="J3155" s="128" t="s">
        <v>2686</v>
      </c>
      <c r="K3155" s="128" t="s">
        <v>2143</v>
      </c>
      <c r="L3155" s="128" t="s">
        <v>4768</v>
      </c>
      <c r="M3155" s="128">
        <v>633617</v>
      </c>
      <c r="N3155" s="109"/>
      <c r="O3155" s="19" t="s">
        <v>6278</v>
      </c>
      <c r="P3155" s="32"/>
      <c r="Q3155" s="32"/>
    </row>
    <row r="3156" spans="1:17" ht="24.9" customHeight="1">
      <c r="A3156" s="20">
        <v>456</v>
      </c>
      <c r="B3156" s="20" t="s">
        <v>6551</v>
      </c>
      <c r="C3156" s="20"/>
      <c r="D3156" s="19" t="s">
        <v>5641</v>
      </c>
      <c r="E3156" s="19" t="str">
        <f>VLOOKUP(D3156,'لیست پرسنل'!$B$2:$E$1020,3,FALSE)</f>
        <v>فکورصنعت</v>
      </c>
      <c r="F3156" s="19" t="str">
        <f>VLOOKUP(D3156,'لیست پرسنل'!$B$2:$E$1020,4,FALSE)</f>
        <v>رئیس سایت</v>
      </c>
      <c r="G3156" s="127">
        <f>VLOOKUP(D3156,'لیست پرسنل'!$B$2:$F$1020,2,FALSE)</f>
        <v>4020802</v>
      </c>
      <c r="H3156" s="128" t="s">
        <v>7199</v>
      </c>
      <c r="I3156" s="128"/>
      <c r="J3156" s="126" t="s">
        <v>3481</v>
      </c>
      <c r="K3156" s="128" t="s">
        <v>7369</v>
      </c>
      <c r="L3156" s="127"/>
      <c r="M3156" s="128" t="s">
        <v>291</v>
      </c>
      <c r="N3156" s="109" t="s">
        <v>7200</v>
      </c>
      <c r="O3156" s="19"/>
      <c r="P3156" s="32"/>
      <c r="Q3156" s="32"/>
    </row>
    <row r="3157" spans="1:17" ht="24.9" customHeight="1">
      <c r="A3157" s="20">
        <v>456</v>
      </c>
      <c r="B3157" s="20" t="s">
        <v>6551</v>
      </c>
      <c r="C3157" s="20"/>
      <c r="D3157" s="20" t="s">
        <v>5641</v>
      </c>
      <c r="E3157" s="19" t="str">
        <f>VLOOKUP(D3157,'لیست پرسنل'!$B$2:$E$1020,3,FALSE)</f>
        <v>فکورصنعت</v>
      </c>
      <c r="F3157" s="19" t="str">
        <f>VLOOKUP(D3157,'لیست پرسنل'!$B$2:$E$1020,4,FALSE)</f>
        <v>رئیس سایت</v>
      </c>
      <c r="G3157" s="127">
        <f>VLOOKUP(D3157,'لیست پرسنل'!$B$2:$F$1020,2,FALSE)</f>
        <v>4020802</v>
      </c>
      <c r="H3157" s="128" t="s">
        <v>6554</v>
      </c>
      <c r="I3157" s="128"/>
      <c r="J3157" s="128" t="s">
        <v>5366</v>
      </c>
      <c r="K3157" s="128" t="s">
        <v>8239</v>
      </c>
      <c r="L3157" s="127"/>
      <c r="M3157" s="128">
        <v>635667</v>
      </c>
      <c r="N3157" s="109" t="s">
        <v>7194</v>
      </c>
      <c r="O3157" s="19"/>
      <c r="P3157" s="32"/>
      <c r="Q3157" s="32"/>
    </row>
    <row r="3158" spans="1:17" ht="24.9" customHeight="1">
      <c r="A3158" s="20">
        <v>456</v>
      </c>
      <c r="B3158" s="20" t="s">
        <v>6551</v>
      </c>
      <c r="C3158" s="20"/>
      <c r="D3158" s="20" t="s">
        <v>5641</v>
      </c>
      <c r="E3158" s="19" t="str">
        <f>VLOOKUP(D3158,'لیست پرسنل'!$B$2:$E$1020,3,FALSE)</f>
        <v>فکورصنعت</v>
      </c>
      <c r="F3158" s="19" t="str">
        <f>VLOOKUP(D3158,'لیست پرسنل'!$B$2:$E$1020,4,FALSE)</f>
        <v>رئیس سایت</v>
      </c>
      <c r="G3158" s="127">
        <f>VLOOKUP(D3158,'لیست پرسنل'!$B$2:$F$1020,2,FALSE)</f>
        <v>4020802</v>
      </c>
      <c r="H3158" s="128" t="s">
        <v>6554</v>
      </c>
      <c r="I3158" s="128"/>
      <c r="J3158" s="128" t="s">
        <v>5366</v>
      </c>
      <c r="K3158" s="128" t="s">
        <v>8240</v>
      </c>
      <c r="L3158" s="127"/>
      <c r="M3158" s="127">
        <v>635669</v>
      </c>
      <c r="N3158" s="109" t="s">
        <v>7197</v>
      </c>
      <c r="O3158" s="19"/>
      <c r="P3158" s="32"/>
      <c r="Q3158" s="32"/>
    </row>
    <row r="3159" spans="1:17" ht="24.9" customHeight="1">
      <c r="A3159" s="20">
        <v>456</v>
      </c>
      <c r="B3159" s="20" t="s">
        <v>6551</v>
      </c>
      <c r="C3159" s="20"/>
      <c r="D3159" s="20" t="s">
        <v>5641</v>
      </c>
      <c r="E3159" s="19" t="str">
        <f>VLOOKUP(D3159,'لیست پرسنل'!$B$2:$E$1020,3,FALSE)</f>
        <v>فکورصنعت</v>
      </c>
      <c r="F3159" s="19" t="str">
        <f>VLOOKUP(D3159,'لیست پرسنل'!$B$2:$E$1020,4,FALSE)</f>
        <v>رئیس سایت</v>
      </c>
      <c r="G3159" s="127">
        <f>VLOOKUP(D3159,'لیست پرسنل'!$B$2:$F$1020,2,FALSE)</f>
        <v>4020802</v>
      </c>
      <c r="H3159" s="128" t="s">
        <v>7457</v>
      </c>
      <c r="I3159" s="128"/>
      <c r="J3159" s="128" t="s">
        <v>5366</v>
      </c>
      <c r="K3159" s="128" t="s">
        <v>8241</v>
      </c>
      <c r="L3159" s="127"/>
      <c r="M3159" s="127">
        <v>635664</v>
      </c>
      <c r="N3159" s="109" t="s">
        <v>7458</v>
      </c>
      <c r="O3159" s="19"/>
      <c r="P3159" s="32"/>
      <c r="Q3159" s="32"/>
    </row>
    <row r="3160" spans="1:17" ht="24.9" customHeight="1">
      <c r="A3160" s="20">
        <v>456</v>
      </c>
      <c r="B3160" s="20" t="s">
        <v>6551</v>
      </c>
      <c r="C3160" s="20"/>
      <c r="D3160" s="20" t="s">
        <v>5641</v>
      </c>
      <c r="E3160" s="19" t="str">
        <f>VLOOKUP(D3160,'لیست پرسنل'!$B$2:$E$1020,3,FALSE)</f>
        <v>فکورصنعت</v>
      </c>
      <c r="F3160" s="19" t="str">
        <f>VLOOKUP(D3160,'لیست پرسنل'!$B$2:$E$1020,4,FALSE)</f>
        <v>رئیس سایت</v>
      </c>
      <c r="G3160" s="127">
        <f>VLOOKUP(D3160,'لیست پرسنل'!$B$2:$F$1020,2,FALSE)</f>
        <v>4020802</v>
      </c>
      <c r="H3160" s="128" t="s">
        <v>7460</v>
      </c>
      <c r="I3160" s="128"/>
      <c r="J3160" s="128" t="s">
        <v>5366</v>
      </c>
      <c r="K3160" s="128" t="s">
        <v>8239</v>
      </c>
      <c r="L3160" s="127"/>
      <c r="M3160" s="127">
        <v>635665</v>
      </c>
      <c r="N3160" s="109" t="s">
        <v>7196</v>
      </c>
      <c r="O3160" s="19"/>
      <c r="P3160" s="32"/>
      <c r="Q3160" s="32"/>
    </row>
    <row r="3161" spans="1:17" ht="24.9" customHeight="1">
      <c r="A3161" s="20">
        <v>456</v>
      </c>
      <c r="B3161" s="20" t="s">
        <v>6551</v>
      </c>
      <c r="C3161" s="20"/>
      <c r="D3161" s="19" t="s">
        <v>7123</v>
      </c>
      <c r="E3161" s="19" t="str">
        <f>VLOOKUP(D3161,'لیست پرسنل'!$B$2:$E$1020,3,FALSE)</f>
        <v>پیسیکو</v>
      </c>
      <c r="F3161" s="19" t="str">
        <f>VLOOKUP(D3161,'لیست پرسنل'!$B$2:$E$1020,4,FALSE)</f>
        <v>MC</v>
      </c>
      <c r="G3161" s="127">
        <f>VLOOKUP(D3161,'لیست پرسنل'!$B$2:$F$1020,2,FALSE)</f>
        <v>0</v>
      </c>
      <c r="H3161" s="127" t="s">
        <v>6571</v>
      </c>
      <c r="I3161" s="128"/>
      <c r="J3161" s="126" t="s">
        <v>737</v>
      </c>
      <c r="K3161" s="128" t="s">
        <v>6094</v>
      </c>
      <c r="L3161" s="128">
        <v>35045891</v>
      </c>
      <c r="M3161" s="128">
        <v>632834</v>
      </c>
      <c r="N3161" s="111"/>
      <c r="O3161" s="20"/>
      <c r="P3161" s="20"/>
      <c r="Q3161" s="20"/>
    </row>
    <row r="3162" spans="1:17" ht="24.9" customHeight="1">
      <c r="A3162" s="20">
        <v>456</v>
      </c>
      <c r="B3162" s="20" t="s">
        <v>6551</v>
      </c>
      <c r="C3162" s="20"/>
      <c r="D3162" s="19" t="s">
        <v>7123</v>
      </c>
      <c r="E3162" s="19" t="str">
        <f>VLOOKUP(D3162,'لیست پرسنل'!$B$2:$E$1020,3,FALSE)</f>
        <v>پیسیکو</v>
      </c>
      <c r="F3162" s="19" t="str">
        <f>VLOOKUP(D3162,'لیست پرسنل'!$B$2:$E$1020,4,FALSE)</f>
        <v>MC</v>
      </c>
      <c r="G3162" s="127">
        <f>VLOOKUP(D3162,'لیست پرسنل'!$B$2:$F$1020,2,FALSE)</f>
        <v>0</v>
      </c>
      <c r="H3162" s="127" t="s">
        <v>6571</v>
      </c>
      <c r="I3162" s="128"/>
      <c r="J3162" s="128" t="s">
        <v>737</v>
      </c>
      <c r="K3162" s="128" t="s">
        <v>1491</v>
      </c>
      <c r="L3162" s="127" t="s">
        <v>1490</v>
      </c>
      <c r="M3162" s="127">
        <v>633772</v>
      </c>
      <c r="N3162" s="109"/>
      <c r="O3162" s="19" t="s">
        <v>6420</v>
      </c>
      <c r="P3162" s="32"/>
      <c r="Q3162" s="32"/>
    </row>
    <row r="3163" spans="1:17" ht="24.9" customHeight="1">
      <c r="A3163" s="20">
        <v>456</v>
      </c>
      <c r="B3163" s="20" t="s">
        <v>6551</v>
      </c>
      <c r="C3163" s="20"/>
      <c r="D3163" s="19" t="s">
        <v>7123</v>
      </c>
      <c r="E3163" s="19" t="str">
        <f>VLOOKUP(D3163,'لیست پرسنل'!$B$2:$E$1020,3,FALSE)</f>
        <v>پیسیکو</v>
      </c>
      <c r="F3163" s="19" t="str">
        <f>VLOOKUP(D3163,'لیست پرسنل'!$B$2:$E$1020,4,FALSE)</f>
        <v>MC</v>
      </c>
      <c r="G3163" s="127">
        <f>VLOOKUP(D3163,'لیست پرسنل'!$B$2:$F$1020,2,FALSE)</f>
        <v>0</v>
      </c>
      <c r="H3163" s="127" t="s">
        <v>6571</v>
      </c>
      <c r="I3163" s="128"/>
      <c r="J3163" s="126" t="s">
        <v>368</v>
      </c>
      <c r="K3163" s="128" t="s">
        <v>2846</v>
      </c>
      <c r="L3163" s="127" t="s">
        <v>4857</v>
      </c>
      <c r="M3163" s="127">
        <v>633714</v>
      </c>
      <c r="N3163" s="109"/>
      <c r="O3163" s="19" t="s">
        <v>6362</v>
      </c>
      <c r="P3163" s="32"/>
      <c r="Q3163" s="32"/>
    </row>
    <row r="3164" spans="1:17" ht="24.9" customHeight="1">
      <c r="A3164" s="20">
        <v>456</v>
      </c>
      <c r="B3164" s="20" t="s">
        <v>6551</v>
      </c>
      <c r="C3164" s="20"/>
      <c r="D3164" s="20" t="s">
        <v>7124</v>
      </c>
      <c r="E3164" s="19" t="str">
        <f>VLOOKUP(D3164,'لیست پرسنل'!$B$2:$E$1020,3,FALSE)</f>
        <v>کارفرما</v>
      </c>
      <c r="F3164" s="19" t="str">
        <f>VLOOKUP(D3164,'لیست پرسنل'!$B$2:$E$1020,4,FALSE)</f>
        <v>کارفرما</v>
      </c>
      <c r="G3164" s="127">
        <f>VLOOKUP(D3164,'لیست پرسنل'!$B$2:$F$1020,2,FALSE)</f>
        <v>0</v>
      </c>
      <c r="H3164" s="128" t="s">
        <v>7371</v>
      </c>
      <c r="I3164" s="128"/>
      <c r="J3164" s="126" t="s">
        <v>3481</v>
      </c>
      <c r="K3164" s="128" t="s">
        <v>7369</v>
      </c>
      <c r="L3164" s="128" t="s">
        <v>7370</v>
      </c>
      <c r="M3164" s="128" t="s">
        <v>291</v>
      </c>
      <c r="N3164" s="109" t="s">
        <v>7372</v>
      </c>
      <c r="O3164" s="19"/>
      <c r="P3164" s="32"/>
      <c r="Q3164" s="32"/>
    </row>
    <row r="3165" spans="1:17" ht="24.9" customHeight="1">
      <c r="A3165" s="20">
        <v>456</v>
      </c>
      <c r="B3165" s="20" t="s">
        <v>6551</v>
      </c>
      <c r="C3165" s="20"/>
      <c r="D3165" s="19" t="s">
        <v>7124</v>
      </c>
      <c r="E3165" s="19" t="str">
        <f>VLOOKUP(D3165,'لیست پرسنل'!$B$2:$E$1020,3,FALSE)</f>
        <v>کارفرما</v>
      </c>
      <c r="F3165" s="19" t="str">
        <f>VLOOKUP(D3165,'لیست پرسنل'!$B$2:$E$1020,4,FALSE)</f>
        <v>کارفرما</v>
      </c>
      <c r="G3165" s="127">
        <f>VLOOKUP(D3165,'لیست پرسنل'!$B$2:$F$1020,2,FALSE)</f>
        <v>0</v>
      </c>
      <c r="H3165" s="127" t="s">
        <v>6554</v>
      </c>
      <c r="I3165" s="128"/>
      <c r="J3165" s="126" t="s">
        <v>737</v>
      </c>
      <c r="K3165" s="128" t="s">
        <v>6091</v>
      </c>
      <c r="L3165" s="128" t="s">
        <v>6079</v>
      </c>
      <c r="M3165" s="128">
        <v>632830</v>
      </c>
      <c r="N3165" s="111"/>
      <c r="O3165" s="20"/>
      <c r="P3165" s="20"/>
      <c r="Q3165" s="20"/>
    </row>
    <row r="3166" spans="1:17" ht="24.9" customHeight="1">
      <c r="A3166" s="20">
        <v>456</v>
      </c>
      <c r="B3166" s="20" t="s">
        <v>6551</v>
      </c>
      <c r="C3166" s="20"/>
      <c r="D3166" s="19" t="s">
        <v>7124</v>
      </c>
      <c r="E3166" s="19" t="str">
        <f>VLOOKUP(D3166,'لیست پرسنل'!$B$2:$E$1020,3,FALSE)</f>
        <v>کارفرما</v>
      </c>
      <c r="F3166" s="19" t="str">
        <f>VLOOKUP(D3166,'لیست پرسنل'!$B$2:$E$1020,4,FALSE)</f>
        <v>کارفرما</v>
      </c>
      <c r="G3166" s="127">
        <f>VLOOKUP(D3166,'لیست پرسنل'!$B$2:$F$1020,2,FALSE)</f>
        <v>0</v>
      </c>
      <c r="H3166" s="127" t="s">
        <v>6554</v>
      </c>
      <c r="I3166" s="128"/>
      <c r="J3166" s="126" t="s">
        <v>737</v>
      </c>
      <c r="K3166" s="128" t="s">
        <v>6093</v>
      </c>
      <c r="L3166" s="128" t="s">
        <v>6082</v>
      </c>
      <c r="M3166" s="128">
        <v>632833</v>
      </c>
      <c r="N3166" s="111"/>
      <c r="O3166" s="20"/>
      <c r="P3166" s="20"/>
      <c r="Q3166" s="20"/>
    </row>
    <row r="3167" spans="1:17" ht="24.9" customHeight="1">
      <c r="A3167" s="20">
        <v>456</v>
      </c>
      <c r="B3167" s="20" t="s">
        <v>6551</v>
      </c>
      <c r="C3167" s="20"/>
      <c r="D3167" s="19" t="s">
        <v>7124</v>
      </c>
      <c r="E3167" s="19" t="str">
        <f>VLOOKUP(D3167,'لیست پرسنل'!$B$2:$E$1020,3,FALSE)</f>
        <v>کارفرما</v>
      </c>
      <c r="F3167" s="19" t="str">
        <f>VLOOKUP(D3167,'لیست پرسنل'!$B$2:$E$1020,4,FALSE)</f>
        <v>کارفرما</v>
      </c>
      <c r="G3167" s="127">
        <f>VLOOKUP(D3167,'لیست پرسنل'!$B$2:$F$1020,2,FALSE)</f>
        <v>0</v>
      </c>
      <c r="H3167" s="128" t="s">
        <v>6554</v>
      </c>
      <c r="I3167" s="128"/>
      <c r="J3167" s="128" t="s">
        <v>5366</v>
      </c>
      <c r="K3167" s="128" t="s">
        <v>8239</v>
      </c>
      <c r="L3167" s="127"/>
      <c r="M3167" s="127">
        <v>635666</v>
      </c>
      <c r="N3167" s="109" t="s">
        <v>7198</v>
      </c>
      <c r="O3167" s="19"/>
      <c r="P3167" s="32"/>
      <c r="Q3167" s="32"/>
    </row>
    <row r="3168" spans="1:17" ht="24.9" customHeight="1">
      <c r="A3168" s="20">
        <v>456</v>
      </c>
      <c r="B3168" s="20" t="s">
        <v>6551</v>
      </c>
      <c r="C3168" s="20"/>
      <c r="D3168" s="20" t="s">
        <v>7121</v>
      </c>
      <c r="E3168" s="19" t="str">
        <f>VLOOKUP(D3168,'لیست پرسنل'!$B$2:$E$1020,3,FALSE)</f>
        <v>ارکان تدبیر</v>
      </c>
      <c r="F3168" s="19" t="str">
        <f>VLOOKUP(D3168,'لیست پرسنل'!$B$2:$E$1020,4,FALSE)</f>
        <v>نظارت</v>
      </c>
      <c r="G3168" s="127">
        <f>VLOOKUP(D3168,'لیست پرسنل'!$B$2:$F$1020,2,FALSE)</f>
        <v>1470035</v>
      </c>
      <c r="H3168" s="127" t="s">
        <v>8167</v>
      </c>
      <c r="I3168" s="127"/>
      <c r="J3168" s="128" t="s">
        <v>737</v>
      </c>
      <c r="K3168" s="127" t="s">
        <v>8313</v>
      </c>
      <c r="L3168" s="127" t="s">
        <v>8312</v>
      </c>
      <c r="M3168" s="127">
        <v>636957</v>
      </c>
      <c r="N3168" s="109" t="s">
        <v>5641</v>
      </c>
      <c r="O3168" s="20"/>
      <c r="P3168" s="20"/>
      <c r="Q3168" s="20"/>
    </row>
    <row r="3169" spans="1:17" ht="24.9" customHeight="1">
      <c r="A3169" s="20">
        <v>456</v>
      </c>
      <c r="B3169" s="20" t="s">
        <v>6551</v>
      </c>
      <c r="C3169" s="20"/>
      <c r="D3169" s="20" t="s">
        <v>7121</v>
      </c>
      <c r="E3169" s="19" t="str">
        <f>VLOOKUP(D3169,'لیست پرسنل'!$B$2:$E$1020,3,FALSE)</f>
        <v>ارکان تدبیر</v>
      </c>
      <c r="F3169" s="19" t="str">
        <f>VLOOKUP(D3169,'لیست پرسنل'!$B$2:$E$1020,4,FALSE)</f>
        <v>نظارت</v>
      </c>
      <c r="G3169" s="127">
        <f>VLOOKUP(D3169,'لیست پرسنل'!$B$2:$F$1020,2,FALSE)</f>
        <v>1470035</v>
      </c>
      <c r="H3169" s="127" t="s">
        <v>8167</v>
      </c>
      <c r="I3169" s="127"/>
      <c r="J3169" s="128" t="s">
        <v>737</v>
      </c>
      <c r="K3169" s="127" t="s">
        <v>8313</v>
      </c>
      <c r="L3169" s="127" t="s">
        <v>8311</v>
      </c>
      <c r="M3169" s="127">
        <v>636958</v>
      </c>
      <c r="N3169" s="109" t="s">
        <v>5641</v>
      </c>
      <c r="O3169" s="20"/>
      <c r="P3169" s="20"/>
      <c r="Q3169" s="20"/>
    </row>
    <row r="3170" spans="1:17" ht="24.9" customHeight="1">
      <c r="A3170" s="20">
        <v>456</v>
      </c>
      <c r="B3170" s="20" t="s">
        <v>6551</v>
      </c>
      <c r="C3170" s="20"/>
      <c r="D3170" s="20" t="s">
        <v>7121</v>
      </c>
      <c r="E3170" s="19" t="str">
        <f>VLOOKUP(D3170,'لیست پرسنل'!$B$2:$E$1020,3,FALSE)</f>
        <v>ارکان تدبیر</v>
      </c>
      <c r="F3170" s="19" t="str">
        <f>VLOOKUP(D3170,'لیست پرسنل'!$B$2:$E$1020,4,FALSE)</f>
        <v>نظارت</v>
      </c>
      <c r="G3170" s="127">
        <f>VLOOKUP(D3170,'لیست پرسنل'!$B$2:$F$1020,2,FALSE)</f>
        <v>1470035</v>
      </c>
      <c r="H3170" s="127" t="s">
        <v>8167</v>
      </c>
      <c r="I3170" s="127"/>
      <c r="J3170" s="128" t="s">
        <v>571</v>
      </c>
      <c r="K3170" s="127" t="s">
        <v>8314</v>
      </c>
      <c r="L3170" s="127"/>
      <c r="M3170" s="127">
        <v>636947</v>
      </c>
      <c r="N3170" s="109" t="s">
        <v>5641</v>
      </c>
      <c r="O3170" s="20"/>
      <c r="P3170" s="20"/>
      <c r="Q3170" s="20"/>
    </row>
    <row r="3171" spans="1:17" ht="24.9" customHeight="1">
      <c r="A3171" s="20">
        <v>456</v>
      </c>
      <c r="B3171" s="20" t="s">
        <v>6551</v>
      </c>
      <c r="C3171" s="20"/>
      <c r="D3171" s="20" t="s">
        <v>7121</v>
      </c>
      <c r="E3171" s="19" t="str">
        <f>VLOOKUP(D3171,'لیست پرسنل'!$B$2:$E$1020,3,FALSE)</f>
        <v>ارکان تدبیر</v>
      </c>
      <c r="F3171" s="19" t="str">
        <f>VLOOKUP(D3171,'لیست پرسنل'!$B$2:$E$1020,4,FALSE)</f>
        <v>نظارت</v>
      </c>
      <c r="G3171" s="127">
        <f>VLOOKUP(D3171,'لیست پرسنل'!$B$2:$F$1020,2,FALSE)</f>
        <v>1470035</v>
      </c>
      <c r="H3171" s="127" t="s">
        <v>8167</v>
      </c>
      <c r="I3171" s="127"/>
      <c r="J3171" s="128" t="s">
        <v>571</v>
      </c>
      <c r="K3171" s="127" t="s">
        <v>8314</v>
      </c>
      <c r="L3171" s="127"/>
      <c r="M3171" s="127">
        <v>636948</v>
      </c>
      <c r="N3171" s="109" t="s">
        <v>5641</v>
      </c>
      <c r="O3171" s="20"/>
      <c r="P3171" s="20"/>
      <c r="Q3171" s="20"/>
    </row>
    <row r="3172" spans="1:17" ht="24.9" customHeight="1">
      <c r="A3172" s="20">
        <v>456</v>
      </c>
      <c r="B3172" s="20" t="s">
        <v>6551</v>
      </c>
      <c r="C3172" s="20"/>
      <c r="D3172" s="20" t="s">
        <v>7121</v>
      </c>
      <c r="E3172" s="19" t="str">
        <f>VLOOKUP(D3172,'لیست پرسنل'!$B$2:$E$1020,3,FALSE)</f>
        <v>ارکان تدبیر</v>
      </c>
      <c r="F3172" s="19" t="str">
        <f>VLOOKUP(D3172,'لیست پرسنل'!$B$2:$E$1020,4,FALSE)</f>
        <v>نظارت</v>
      </c>
      <c r="G3172" s="127">
        <f>VLOOKUP(D3172,'لیست پرسنل'!$B$2:$F$1020,2,FALSE)</f>
        <v>1470035</v>
      </c>
      <c r="H3172" s="127" t="s">
        <v>8167</v>
      </c>
      <c r="I3172" s="127"/>
      <c r="J3172" s="128" t="s">
        <v>571</v>
      </c>
      <c r="K3172" s="127" t="s">
        <v>8314</v>
      </c>
      <c r="L3172" s="127"/>
      <c r="M3172" s="127">
        <v>636949</v>
      </c>
      <c r="N3172" s="109" t="s">
        <v>5641</v>
      </c>
      <c r="O3172" s="20"/>
      <c r="P3172" s="20"/>
      <c r="Q3172" s="20"/>
    </row>
    <row r="3173" spans="1:17" ht="24.9" customHeight="1">
      <c r="A3173" s="20">
        <v>456</v>
      </c>
      <c r="B3173" s="20" t="s">
        <v>6551</v>
      </c>
      <c r="C3173" s="20"/>
      <c r="D3173" s="20" t="s">
        <v>7121</v>
      </c>
      <c r="E3173" s="19" t="str">
        <f>VLOOKUP(D3173,'لیست پرسنل'!$B$2:$E$1020,3,FALSE)</f>
        <v>ارکان تدبیر</v>
      </c>
      <c r="F3173" s="19" t="str">
        <f>VLOOKUP(D3173,'لیست پرسنل'!$B$2:$E$1020,4,FALSE)</f>
        <v>نظارت</v>
      </c>
      <c r="G3173" s="127">
        <f>VLOOKUP(D3173,'لیست پرسنل'!$B$2:$F$1020,2,FALSE)</f>
        <v>1470035</v>
      </c>
      <c r="H3173" s="127" t="s">
        <v>8167</v>
      </c>
      <c r="I3173" s="127"/>
      <c r="J3173" s="128" t="s">
        <v>8310</v>
      </c>
      <c r="K3173" s="127" t="s">
        <v>8315</v>
      </c>
      <c r="L3173" s="127" t="s">
        <v>8309</v>
      </c>
      <c r="M3173" s="127">
        <v>636953</v>
      </c>
      <c r="N3173" s="109" t="s">
        <v>5641</v>
      </c>
      <c r="O3173" s="20"/>
      <c r="P3173" s="20"/>
      <c r="Q3173" s="20"/>
    </row>
    <row r="3174" spans="1:17" ht="24.9" customHeight="1">
      <c r="A3174" s="20">
        <v>456</v>
      </c>
      <c r="B3174" s="20" t="s">
        <v>6551</v>
      </c>
      <c r="C3174" s="20"/>
      <c r="D3174" s="20" t="s">
        <v>7121</v>
      </c>
      <c r="E3174" s="19" t="str">
        <f>VLOOKUP(D3174,'لیست پرسنل'!$B$2:$E$1020,3,FALSE)</f>
        <v>ارکان تدبیر</v>
      </c>
      <c r="F3174" s="19" t="str">
        <f>VLOOKUP(D3174,'لیست پرسنل'!$B$2:$E$1020,4,FALSE)</f>
        <v>نظارت</v>
      </c>
      <c r="G3174" s="127">
        <f>VLOOKUP(D3174,'لیست پرسنل'!$B$2:$F$1020,2,FALSE)</f>
        <v>1470035</v>
      </c>
      <c r="H3174" s="127" t="s">
        <v>8167</v>
      </c>
      <c r="I3174" s="127"/>
      <c r="J3174" s="128" t="s">
        <v>8310</v>
      </c>
      <c r="K3174" s="127" t="s">
        <v>8315</v>
      </c>
      <c r="L3174" s="127" t="s">
        <v>8307</v>
      </c>
      <c r="M3174" s="127">
        <v>636954</v>
      </c>
      <c r="N3174" s="109" t="s">
        <v>5641</v>
      </c>
      <c r="O3174" s="20"/>
      <c r="P3174" s="20"/>
      <c r="Q3174" s="20"/>
    </row>
    <row r="3175" spans="1:17" ht="24.9" customHeight="1">
      <c r="A3175" s="20">
        <v>456</v>
      </c>
      <c r="B3175" s="20" t="s">
        <v>6551</v>
      </c>
      <c r="C3175" s="20"/>
      <c r="D3175" s="20" t="s">
        <v>7121</v>
      </c>
      <c r="E3175" s="19" t="str">
        <f>VLOOKUP(D3175,'لیست پرسنل'!$B$2:$E$1020,3,FALSE)</f>
        <v>ارکان تدبیر</v>
      </c>
      <c r="F3175" s="19" t="str">
        <f>VLOOKUP(D3175,'لیست پرسنل'!$B$2:$E$1020,4,FALSE)</f>
        <v>نظارت</v>
      </c>
      <c r="G3175" s="127">
        <f>VLOOKUP(D3175,'لیست پرسنل'!$B$2:$F$1020,2,FALSE)</f>
        <v>1470035</v>
      </c>
      <c r="H3175" s="127" t="s">
        <v>8167</v>
      </c>
      <c r="I3175" s="127"/>
      <c r="J3175" s="128" t="s">
        <v>8310</v>
      </c>
      <c r="K3175" s="127" t="s">
        <v>8315</v>
      </c>
      <c r="L3175" s="127" t="s">
        <v>8308</v>
      </c>
      <c r="M3175" s="127">
        <v>636955</v>
      </c>
      <c r="N3175" s="109" t="s">
        <v>5641</v>
      </c>
      <c r="O3175" s="20"/>
      <c r="P3175" s="20"/>
      <c r="Q3175" s="20"/>
    </row>
    <row r="3176" spans="1:17" ht="24.9" customHeight="1">
      <c r="A3176" s="20">
        <v>456</v>
      </c>
      <c r="B3176" s="20" t="s">
        <v>6551</v>
      </c>
      <c r="C3176" s="20"/>
      <c r="D3176" s="19" t="s">
        <v>7558</v>
      </c>
      <c r="E3176" s="19" t="str">
        <f>VLOOKUP(D3176,'لیست پرسنل'!$B$2:$E$1020,3,FALSE)</f>
        <v>کارفرما</v>
      </c>
      <c r="F3176" s="19" t="str">
        <f>VLOOKUP(D3176,'لیست پرسنل'!$B$2:$E$1020,4,FALSE)</f>
        <v>کارفرما</v>
      </c>
      <c r="G3176" s="127">
        <f>VLOOKUP(D3176,'لیست پرسنل'!$B$2:$F$1020,2,FALSE)</f>
        <v>0</v>
      </c>
      <c r="H3176" s="127" t="s">
        <v>6554</v>
      </c>
      <c r="I3176" s="128"/>
      <c r="J3176" s="126" t="s">
        <v>737</v>
      </c>
      <c r="K3176" s="128" t="s">
        <v>7560</v>
      </c>
      <c r="L3176" s="128"/>
      <c r="M3176" s="128">
        <v>636010</v>
      </c>
      <c r="N3176" s="109"/>
      <c r="O3176" s="19"/>
      <c r="P3176" s="32"/>
      <c r="Q3176" s="32"/>
    </row>
    <row r="3177" spans="1:17" ht="24.9" customHeight="1">
      <c r="A3177" s="20">
        <v>456</v>
      </c>
      <c r="B3177" s="20" t="s">
        <v>6551</v>
      </c>
      <c r="C3177" s="20"/>
      <c r="D3177" s="19" t="s">
        <v>7558</v>
      </c>
      <c r="E3177" s="19" t="str">
        <f>VLOOKUP(D3177,'لیست پرسنل'!$B$2:$E$1020,3,FALSE)</f>
        <v>کارفرما</v>
      </c>
      <c r="F3177" s="19" t="str">
        <f>VLOOKUP(D3177,'لیست پرسنل'!$B$2:$E$1020,4,FALSE)</f>
        <v>کارفرما</v>
      </c>
      <c r="G3177" s="127">
        <f>VLOOKUP(D3177,'لیست پرسنل'!$B$2:$F$1020,2,FALSE)</f>
        <v>0</v>
      </c>
      <c r="H3177" s="127" t="s">
        <v>6554</v>
      </c>
      <c r="I3177" s="128"/>
      <c r="J3177" s="127" t="s">
        <v>571</v>
      </c>
      <c r="K3177" s="128" t="s">
        <v>7559</v>
      </c>
      <c r="L3177" s="128"/>
      <c r="M3177" s="128">
        <v>625925</v>
      </c>
      <c r="N3177" s="109"/>
      <c r="O3177" s="19"/>
      <c r="P3177" s="32"/>
      <c r="Q3177" s="32"/>
    </row>
    <row r="3178" spans="1:17" ht="24.9" customHeight="1">
      <c r="A3178" s="20">
        <v>456</v>
      </c>
      <c r="B3178" s="20" t="s">
        <v>6551</v>
      </c>
      <c r="C3178" s="20"/>
      <c r="D3178" s="19" t="s">
        <v>7558</v>
      </c>
      <c r="E3178" s="19" t="str">
        <f>VLOOKUP(D3178,'لیست پرسنل'!$B$2:$E$1020,3,FALSE)</f>
        <v>کارفرما</v>
      </c>
      <c r="F3178" s="19" t="str">
        <f>VLOOKUP(D3178,'لیست پرسنل'!$B$2:$E$1020,4,FALSE)</f>
        <v>کارفرما</v>
      </c>
      <c r="G3178" s="127">
        <f>VLOOKUP(D3178,'لیست پرسنل'!$B$2:$F$1020,2,FALSE)</f>
        <v>0</v>
      </c>
      <c r="H3178" s="127" t="s">
        <v>6554</v>
      </c>
      <c r="I3178" s="128"/>
      <c r="J3178" s="128" t="s">
        <v>2686</v>
      </c>
      <c r="K3178" s="128" t="s">
        <v>7561</v>
      </c>
      <c r="L3178" s="128"/>
      <c r="M3178" s="128">
        <v>636013</v>
      </c>
      <c r="N3178" s="109"/>
      <c r="O3178" s="19"/>
      <c r="P3178" s="32"/>
      <c r="Q3178" s="32"/>
    </row>
    <row r="3179" spans="1:17" ht="24.9" customHeight="1">
      <c r="A3179" s="20">
        <v>456</v>
      </c>
      <c r="B3179" s="20" t="s">
        <v>6551</v>
      </c>
      <c r="C3179" s="20"/>
      <c r="D3179" s="19" t="s">
        <v>5643</v>
      </c>
      <c r="E3179" s="19" t="str">
        <f>VLOOKUP(D3179,'لیست پرسنل'!$B$2:$E$1020,3,FALSE)</f>
        <v>فکورصنعت</v>
      </c>
      <c r="F3179" s="19" t="str">
        <f>VLOOKUP(D3179,'لیست پرسنل'!$B$2:$E$1020,4,FALSE)</f>
        <v>مسئول دفتر</v>
      </c>
      <c r="G3179" s="127">
        <f>VLOOKUP(D3179,'لیست پرسنل'!$B$2:$F$1020,2,FALSE)</f>
        <v>7009</v>
      </c>
      <c r="H3179" s="127" t="s">
        <v>6837</v>
      </c>
      <c r="I3179" s="128"/>
      <c r="J3179" s="126" t="s">
        <v>3532</v>
      </c>
      <c r="K3179" s="128" t="s">
        <v>5624</v>
      </c>
      <c r="L3179" s="128"/>
      <c r="M3179" s="127">
        <v>621552</v>
      </c>
      <c r="N3179" s="108"/>
      <c r="O3179" s="20"/>
      <c r="P3179" s="20"/>
      <c r="Q3179" s="20"/>
    </row>
    <row r="3180" spans="1:17" ht="24.9" customHeight="1">
      <c r="A3180" s="20">
        <v>456</v>
      </c>
      <c r="B3180" s="20" t="s">
        <v>6551</v>
      </c>
      <c r="C3180" s="20"/>
      <c r="D3180" s="19" t="s">
        <v>5643</v>
      </c>
      <c r="E3180" s="19" t="str">
        <f>VLOOKUP(D3180,'لیست پرسنل'!$B$2:$E$1020,3,FALSE)</f>
        <v>فکورصنعت</v>
      </c>
      <c r="F3180" s="19" t="str">
        <f>VLOOKUP(D3180,'لیست پرسنل'!$B$2:$E$1020,4,FALSE)</f>
        <v>مسئول دفتر</v>
      </c>
      <c r="G3180" s="127">
        <f>VLOOKUP(D3180,'لیست پرسنل'!$B$2:$F$1020,2,FALSE)</f>
        <v>7009</v>
      </c>
      <c r="H3180" s="127" t="s">
        <v>6837</v>
      </c>
      <c r="I3180" s="128"/>
      <c r="J3180" s="126" t="s">
        <v>3532</v>
      </c>
      <c r="K3180" s="128" t="s">
        <v>6095</v>
      </c>
      <c r="L3180" s="128" t="s">
        <v>6829</v>
      </c>
      <c r="M3180" s="127">
        <v>634345</v>
      </c>
      <c r="N3180" s="109"/>
      <c r="O3180" s="19"/>
      <c r="P3180" s="32"/>
      <c r="Q3180" s="32"/>
    </row>
    <row r="3181" spans="1:17" ht="24.9" customHeight="1">
      <c r="A3181" s="20">
        <v>456</v>
      </c>
      <c r="B3181" s="20" t="s">
        <v>6551</v>
      </c>
      <c r="C3181" s="20"/>
      <c r="D3181" s="19" t="s">
        <v>5643</v>
      </c>
      <c r="E3181" s="19" t="str">
        <f>VLOOKUP(D3181,'لیست پرسنل'!$B$2:$E$1020,3,FALSE)</f>
        <v>فکورصنعت</v>
      </c>
      <c r="F3181" s="19" t="str">
        <f>VLOOKUP(D3181,'لیست پرسنل'!$B$2:$E$1020,4,FALSE)</f>
        <v>مسئول دفتر</v>
      </c>
      <c r="G3181" s="127">
        <f>VLOOKUP(D3181,'لیست پرسنل'!$B$2:$F$1020,2,FALSE)</f>
        <v>7009</v>
      </c>
      <c r="H3181" s="127" t="s">
        <v>6837</v>
      </c>
      <c r="I3181" s="128"/>
      <c r="J3181" s="126" t="s">
        <v>3532</v>
      </c>
      <c r="K3181" s="128" t="s">
        <v>6095</v>
      </c>
      <c r="L3181" s="128" t="s">
        <v>6830</v>
      </c>
      <c r="M3181" s="127">
        <v>634346</v>
      </c>
      <c r="N3181" s="109"/>
      <c r="O3181" s="19"/>
      <c r="P3181" s="32"/>
      <c r="Q3181" s="32"/>
    </row>
    <row r="3182" spans="1:17" ht="24.9" customHeight="1">
      <c r="A3182" s="20">
        <v>456</v>
      </c>
      <c r="B3182" s="20" t="s">
        <v>6551</v>
      </c>
      <c r="C3182" s="20"/>
      <c r="D3182" s="19" t="s">
        <v>5643</v>
      </c>
      <c r="E3182" s="19" t="str">
        <f>VLOOKUP(D3182,'لیست پرسنل'!$B$2:$E$1020,3,FALSE)</f>
        <v>فکورصنعت</v>
      </c>
      <c r="F3182" s="19" t="str">
        <f>VLOOKUP(D3182,'لیست پرسنل'!$B$2:$E$1020,4,FALSE)</f>
        <v>مسئول دفتر</v>
      </c>
      <c r="G3182" s="127">
        <f>VLOOKUP(D3182,'لیست پرسنل'!$B$2:$F$1020,2,FALSE)</f>
        <v>7009</v>
      </c>
      <c r="H3182" s="127" t="s">
        <v>6825</v>
      </c>
      <c r="I3182" s="128"/>
      <c r="J3182" s="126" t="s">
        <v>3532</v>
      </c>
      <c r="K3182" s="128" t="s">
        <v>6095</v>
      </c>
      <c r="L3182" s="128" t="s">
        <v>6826</v>
      </c>
      <c r="M3182" s="127">
        <v>634342</v>
      </c>
      <c r="N3182" s="109"/>
      <c r="O3182" s="19"/>
      <c r="P3182" s="32"/>
      <c r="Q3182" s="32"/>
    </row>
    <row r="3183" spans="1:17" ht="24.9" customHeight="1">
      <c r="A3183" s="20">
        <v>456</v>
      </c>
      <c r="B3183" s="20" t="s">
        <v>6551</v>
      </c>
      <c r="C3183" s="20"/>
      <c r="D3183" s="19" t="s">
        <v>5643</v>
      </c>
      <c r="E3183" s="19" t="str">
        <f>VLOOKUP(D3183,'لیست پرسنل'!$B$2:$E$1020,3,FALSE)</f>
        <v>فکورصنعت</v>
      </c>
      <c r="F3183" s="19" t="str">
        <f>VLOOKUP(D3183,'لیست پرسنل'!$B$2:$E$1020,4,FALSE)</f>
        <v>مسئول دفتر</v>
      </c>
      <c r="G3183" s="127">
        <f>VLOOKUP(D3183,'لیست پرسنل'!$B$2:$F$1020,2,FALSE)</f>
        <v>7009</v>
      </c>
      <c r="H3183" s="127" t="s">
        <v>6825</v>
      </c>
      <c r="I3183" s="128"/>
      <c r="J3183" s="126" t="s">
        <v>3532</v>
      </c>
      <c r="K3183" s="128" t="s">
        <v>6095</v>
      </c>
      <c r="L3183" s="128" t="s">
        <v>6827</v>
      </c>
      <c r="M3183" s="127">
        <v>634343</v>
      </c>
      <c r="N3183" s="109"/>
      <c r="O3183" s="19"/>
      <c r="P3183" s="32"/>
      <c r="Q3183" s="32"/>
    </row>
    <row r="3184" spans="1:17" ht="24.9" customHeight="1">
      <c r="A3184" s="20">
        <v>456</v>
      </c>
      <c r="B3184" s="20" t="s">
        <v>6551</v>
      </c>
      <c r="C3184" s="20"/>
      <c r="D3184" s="19" t="s">
        <v>5643</v>
      </c>
      <c r="E3184" s="19" t="str">
        <f>VLOOKUP(D3184,'لیست پرسنل'!$B$2:$E$1020,3,FALSE)</f>
        <v>فکورصنعت</v>
      </c>
      <c r="F3184" s="19" t="str">
        <f>VLOOKUP(D3184,'لیست پرسنل'!$B$2:$E$1020,4,FALSE)</f>
        <v>مسئول دفتر</v>
      </c>
      <c r="G3184" s="127">
        <f>VLOOKUP(D3184,'لیست پرسنل'!$B$2:$F$1020,2,FALSE)</f>
        <v>7009</v>
      </c>
      <c r="H3184" s="127" t="s">
        <v>6825</v>
      </c>
      <c r="I3184" s="128"/>
      <c r="J3184" s="126" t="s">
        <v>3532</v>
      </c>
      <c r="K3184" s="128" t="s">
        <v>6095</v>
      </c>
      <c r="L3184" s="128" t="s">
        <v>6828</v>
      </c>
      <c r="M3184" s="127">
        <v>634344</v>
      </c>
      <c r="N3184" s="109"/>
      <c r="O3184" s="19"/>
      <c r="P3184" s="32"/>
      <c r="Q3184" s="32"/>
    </row>
    <row r="3185" spans="1:17" ht="24.9" customHeight="1">
      <c r="A3185" s="20">
        <v>456</v>
      </c>
      <c r="B3185" s="20" t="s">
        <v>6551</v>
      </c>
      <c r="C3185" s="20"/>
      <c r="D3185" s="19" t="s">
        <v>5643</v>
      </c>
      <c r="E3185" s="19" t="str">
        <f>VLOOKUP(D3185,'لیست پرسنل'!$B$2:$E$1020,3,FALSE)</f>
        <v>فکورصنعت</v>
      </c>
      <c r="F3185" s="19" t="str">
        <f>VLOOKUP(D3185,'لیست پرسنل'!$B$2:$E$1020,4,FALSE)</f>
        <v>مسئول دفتر</v>
      </c>
      <c r="G3185" s="127">
        <f>VLOOKUP(D3185,'لیست پرسنل'!$B$2:$F$1020,2,FALSE)</f>
        <v>7009</v>
      </c>
      <c r="H3185" s="127" t="s">
        <v>6825</v>
      </c>
      <c r="I3185" s="128"/>
      <c r="J3185" s="126" t="s">
        <v>3481</v>
      </c>
      <c r="K3185" s="128" t="s">
        <v>8316</v>
      </c>
      <c r="L3185" s="128"/>
      <c r="M3185" s="128">
        <v>616582</v>
      </c>
      <c r="N3185" s="112"/>
      <c r="O3185" s="20"/>
      <c r="P3185" s="20"/>
      <c r="Q3185" s="20"/>
    </row>
    <row r="3186" spans="1:17" ht="24.9" customHeight="1">
      <c r="A3186" s="20">
        <v>456</v>
      </c>
      <c r="B3186" s="20" t="s">
        <v>6551</v>
      </c>
      <c r="C3186" s="20"/>
      <c r="D3186" s="19" t="s">
        <v>6218</v>
      </c>
      <c r="E3186" s="19" t="str">
        <f>VLOOKUP(D3186,'لیست پرسنل'!$B$2:$E$1020,3,FALSE)</f>
        <v>ارکان تدبیر</v>
      </c>
      <c r="F3186" s="19" t="str">
        <f>VLOOKUP(D3186,'لیست پرسنل'!$B$2:$E$1020,4,FALSE)</f>
        <v>مشاور</v>
      </c>
      <c r="G3186" s="127">
        <f>VLOOKUP(D3186,'لیست پرسنل'!$B$2:$F$1020,2,FALSE)</f>
        <v>0</v>
      </c>
      <c r="H3186" s="127" t="s">
        <v>6221</v>
      </c>
      <c r="I3186" s="128"/>
      <c r="J3186" s="126" t="s">
        <v>3383</v>
      </c>
      <c r="K3186" s="128" t="s">
        <v>6090</v>
      </c>
      <c r="L3186" s="128" t="s">
        <v>6078</v>
      </c>
      <c r="M3186" s="128">
        <v>632829</v>
      </c>
      <c r="N3186" s="111"/>
      <c r="O3186" s="20"/>
      <c r="P3186" s="20"/>
      <c r="Q3186" s="20"/>
    </row>
    <row r="3187" spans="1:17" ht="24.9" customHeight="1">
      <c r="A3187" s="20">
        <v>456</v>
      </c>
      <c r="B3187" s="20" t="s">
        <v>6551</v>
      </c>
      <c r="C3187" s="20"/>
      <c r="D3187" s="19" t="s">
        <v>7566</v>
      </c>
      <c r="E3187" s="19" t="str">
        <f>VLOOKUP(D3187,'لیست پرسنل'!$B$2:$E$1020,3,FALSE)</f>
        <v>ارکان تدبیر</v>
      </c>
      <c r="F3187" s="19" t="str">
        <f>VLOOKUP(D3187,'لیست پرسنل'!$B$2:$E$1020,4,FALSE)</f>
        <v>نظارت</v>
      </c>
      <c r="G3187" s="127">
        <f>VLOOKUP(D3187,'لیست پرسنل'!$B$2:$F$1020,2,FALSE)</f>
        <v>0</v>
      </c>
      <c r="H3187" s="127" t="s">
        <v>6571</v>
      </c>
      <c r="I3187" s="128"/>
      <c r="J3187" s="127" t="s">
        <v>571</v>
      </c>
      <c r="K3187" s="128" t="s">
        <v>7559</v>
      </c>
      <c r="L3187" s="128"/>
      <c r="M3187" s="128">
        <v>627912</v>
      </c>
      <c r="N3187" s="109"/>
      <c r="O3187" s="19"/>
      <c r="P3187" s="32"/>
      <c r="Q3187" s="32"/>
    </row>
    <row r="3188" spans="1:17" ht="24.9" customHeight="1">
      <c r="A3188" s="20">
        <v>456</v>
      </c>
      <c r="B3188" s="20" t="s">
        <v>6551</v>
      </c>
      <c r="C3188" s="20"/>
      <c r="D3188" s="19" t="s">
        <v>7566</v>
      </c>
      <c r="E3188" s="19" t="str">
        <f>VLOOKUP(D3188,'لیست پرسنل'!$B$2:$E$1020,3,FALSE)</f>
        <v>ارکان تدبیر</v>
      </c>
      <c r="F3188" s="19" t="str">
        <f>VLOOKUP(D3188,'لیست پرسنل'!$B$2:$E$1020,4,FALSE)</f>
        <v>نظارت</v>
      </c>
      <c r="G3188" s="127">
        <f>VLOOKUP(D3188,'لیست پرسنل'!$B$2:$F$1020,2,FALSE)</f>
        <v>0</v>
      </c>
      <c r="H3188" s="127" t="s">
        <v>6571</v>
      </c>
      <c r="I3188" s="128"/>
      <c r="J3188" s="128" t="s">
        <v>2686</v>
      </c>
      <c r="K3188" s="128" t="s">
        <v>7561</v>
      </c>
      <c r="L3188" s="128"/>
      <c r="M3188" s="128">
        <v>636016</v>
      </c>
      <c r="N3188" s="109"/>
      <c r="O3188" s="19"/>
      <c r="P3188" s="32"/>
      <c r="Q3188" s="32"/>
    </row>
    <row r="3189" spans="1:17" ht="24.9" customHeight="1">
      <c r="A3189" s="20">
        <v>456</v>
      </c>
      <c r="B3189" s="20" t="s">
        <v>6607</v>
      </c>
      <c r="C3189" s="20"/>
      <c r="D3189" s="20" t="s">
        <v>48</v>
      </c>
      <c r="E3189" s="19" t="str">
        <f>VLOOKUP(D3189,'لیست پرسنل'!$B$2:$E$1020,3,FALSE)</f>
        <v>فکورصنعت</v>
      </c>
      <c r="F3189" s="19" t="str">
        <f>VLOOKUP(D3189,'لیست پرسنل'!$B$2:$E$1020,4,FALSE)</f>
        <v>سرپرست آی تی</v>
      </c>
      <c r="G3189" s="127">
        <f>VLOOKUP(D3189,'لیست پرسنل'!$B$2:$F$1020,2,FALSE)</f>
        <v>2210</v>
      </c>
      <c r="H3189" s="127" t="s">
        <v>6608</v>
      </c>
      <c r="I3189" s="128"/>
      <c r="J3189" s="128" t="s">
        <v>2886</v>
      </c>
      <c r="K3189" s="128" t="s">
        <v>3354</v>
      </c>
      <c r="L3189" s="127"/>
      <c r="M3189" s="127">
        <v>633694</v>
      </c>
      <c r="N3189" s="109"/>
      <c r="O3189" s="19" t="s">
        <v>6348</v>
      </c>
      <c r="P3189" s="32"/>
      <c r="Q3189" s="32"/>
    </row>
    <row r="3190" spans="1:17" ht="24.9" customHeight="1">
      <c r="A3190" s="20">
        <v>456</v>
      </c>
      <c r="B3190" s="20" t="s">
        <v>6607</v>
      </c>
      <c r="C3190" s="20"/>
      <c r="D3190" s="20" t="s">
        <v>48</v>
      </c>
      <c r="E3190" s="19" t="str">
        <f>VLOOKUP(D3190,'لیست پرسنل'!$B$2:$E$1020,3,FALSE)</f>
        <v>فکورصنعت</v>
      </c>
      <c r="F3190" s="19" t="str">
        <f>VLOOKUP(D3190,'لیست پرسنل'!$B$2:$E$1020,4,FALSE)</f>
        <v>سرپرست آی تی</v>
      </c>
      <c r="G3190" s="127">
        <f>VLOOKUP(D3190,'لیست پرسنل'!$B$2:$F$1020,2,FALSE)</f>
        <v>2210</v>
      </c>
      <c r="H3190" s="127" t="s">
        <v>6608</v>
      </c>
      <c r="I3190" s="128"/>
      <c r="J3190" s="126" t="s">
        <v>3476</v>
      </c>
      <c r="K3190" s="128" t="s">
        <v>7126</v>
      </c>
      <c r="L3190" s="128" t="s">
        <v>7273</v>
      </c>
      <c r="M3190" s="128">
        <v>632879</v>
      </c>
      <c r="N3190" s="108"/>
      <c r="O3190" s="20"/>
      <c r="P3190" s="20"/>
      <c r="Q3190" s="20"/>
    </row>
    <row r="3191" spans="1:17" ht="24.9" customHeight="1">
      <c r="A3191" s="20">
        <v>456</v>
      </c>
      <c r="B3191" s="20" t="s">
        <v>6607</v>
      </c>
      <c r="C3191" s="20"/>
      <c r="D3191" s="20" t="s">
        <v>48</v>
      </c>
      <c r="E3191" s="19" t="str">
        <f>VLOOKUP(D3191,'لیست پرسنل'!$B$2:$E$1020,3,FALSE)</f>
        <v>فکورصنعت</v>
      </c>
      <c r="F3191" s="19" t="str">
        <f>VLOOKUP(D3191,'لیست پرسنل'!$B$2:$E$1020,4,FALSE)</f>
        <v>سرپرست آی تی</v>
      </c>
      <c r="G3191" s="127">
        <f>VLOOKUP(D3191,'لیست پرسنل'!$B$2:$F$1020,2,FALSE)</f>
        <v>2210</v>
      </c>
      <c r="H3191" s="128" t="s">
        <v>6608</v>
      </c>
      <c r="I3191" s="128"/>
      <c r="J3191" s="128" t="s">
        <v>3476</v>
      </c>
      <c r="K3191" s="128" t="s">
        <v>7166</v>
      </c>
      <c r="L3191" s="127"/>
      <c r="M3191" s="127">
        <v>632882</v>
      </c>
      <c r="N3191" s="109"/>
      <c r="O3191" s="19"/>
      <c r="P3191" s="32"/>
      <c r="Q3191" s="32"/>
    </row>
    <row r="3192" spans="1:17" ht="24.9" customHeight="1">
      <c r="A3192" s="20">
        <v>456</v>
      </c>
      <c r="B3192" s="20" t="s">
        <v>6607</v>
      </c>
      <c r="C3192" s="20"/>
      <c r="D3192" s="20" t="s">
        <v>48</v>
      </c>
      <c r="E3192" s="19" t="str">
        <f>VLOOKUP(D3192,'لیست پرسنل'!$B$2:$E$1020,3,FALSE)</f>
        <v>فکورصنعت</v>
      </c>
      <c r="F3192" s="19" t="str">
        <f>VLOOKUP(D3192,'لیست پرسنل'!$B$2:$E$1020,4,FALSE)</f>
        <v>سرپرست آی تی</v>
      </c>
      <c r="G3192" s="127">
        <f>VLOOKUP(D3192,'لیست پرسنل'!$B$2:$F$1020,2,FALSE)</f>
        <v>2210</v>
      </c>
      <c r="H3192" s="128" t="s">
        <v>6608</v>
      </c>
      <c r="I3192" s="128"/>
      <c r="J3192" s="128" t="s">
        <v>3476</v>
      </c>
      <c r="K3192" s="128" t="s">
        <v>6590</v>
      </c>
      <c r="L3192" s="127"/>
      <c r="M3192" s="127">
        <v>632884</v>
      </c>
      <c r="N3192" s="109"/>
      <c r="O3192" s="19"/>
      <c r="P3192" s="32"/>
      <c r="Q3192" s="32"/>
    </row>
    <row r="3193" spans="1:17" ht="24.9" customHeight="1">
      <c r="A3193" s="20">
        <v>456</v>
      </c>
      <c r="B3193" s="20" t="s">
        <v>6607</v>
      </c>
      <c r="C3193" s="20"/>
      <c r="D3193" s="19" t="s">
        <v>5641</v>
      </c>
      <c r="E3193" s="19" t="str">
        <f>VLOOKUP(D3193,'لیست پرسنل'!$B$2:$E$1020,3,FALSE)</f>
        <v>فکورصنعت</v>
      </c>
      <c r="F3193" s="19" t="str">
        <f>VLOOKUP(D3193,'لیست پرسنل'!$B$2:$E$1020,4,FALSE)</f>
        <v>رئیس سایت</v>
      </c>
      <c r="G3193" s="127">
        <f>VLOOKUP(D3193,'لیست پرسنل'!$B$2:$F$1020,2,FALSE)</f>
        <v>4020802</v>
      </c>
      <c r="H3193" s="127" t="s">
        <v>6608</v>
      </c>
      <c r="I3193" s="128"/>
      <c r="J3193" s="126" t="s">
        <v>3322</v>
      </c>
      <c r="K3193" s="128" t="s">
        <v>7324</v>
      </c>
      <c r="L3193" s="128" t="s">
        <v>7295</v>
      </c>
      <c r="M3193" s="128">
        <v>635890</v>
      </c>
      <c r="N3193" s="109" t="s">
        <v>7311</v>
      </c>
      <c r="O3193" s="19"/>
      <c r="P3193" s="32"/>
      <c r="Q3193" s="32"/>
    </row>
    <row r="3194" spans="1:17" ht="24.9" customHeight="1">
      <c r="A3194" s="20">
        <v>456</v>
      </c>
      <c r="B3194" s="20" t="s">
        <v>6607</v>
      </c>
      <c r="C3194" s="20"/>
      <c r="D3194" s="19" t="s">
        <v>5643</v>
      </c>
      <c r="E3194" s="19" t="str">
        <f>VLOOKUP(D3194,'لیست پرسنل'!$B$2:$E$1020,3,FALSE)</f>
        <v>فکورصنعت</v>
      </c>
      <c r="F3194" s="19" t="str">
        <f>VLOOKUP(D3194,'لیست پرسنل'!$B$2:$E$1020,4,FALSE)</f>
        <v>مسئول دفتر</v>
      </c>
      <c r="G3194" s="127">
        <f>VLOOKUP(D3194,'لیست پرسنل'!$B$2:$F$1020,2,FALSE)</f>
        <v>7009</v>
      </c>
      <c r="H3194" s="127" t="s">
        <v>6608</v>
      </c>
      <c r="I3194" s="128"/>
      <c r="J3194" s="126" t="s">
        <v>3322</v>
      </c>
      <c r="K3194" s="128" t="s">
        <v>6831</v>
      </c>
      <c r="L3194" s="128" t="s">
        <v>6832</v>
      </c>
      <c r="M3194" s="127">
        <v>633846</v>
      </c>
      <c r="N3194" s="109"/>
      <c r="O3194" s="19"/>
      <c r="P3194" s="32"/>
      <c r="Q3194" s="32"/>
    </row>
    <row r="3195" spans="1:17" ht="24.9" customHeight="1">
      <c r="A3195" s="20">
        <v>456</v>
      </c>
      <c r="B3195" s="20" t="s">
        <v>6607</v>
      </c>
      <c r="C3195" s="20"/>
      <c r="D3195" s="19" t="s">
        <v>5643</v>
      </c>
      <c r="E3195" s="19" t="str">
        <f>VLOOKUP(D3195,'لیست پرسنل'!$B$2:$E$1020,3,FALSE)</f>
        <v>فکورصنعت</v>
      </c>
      <c r="F3195" s="19" t="str">
        <f>VLOOKUP(D3195,'لیست پرسنل'!$B$2:$E$1020,4,FALSE)</f>
        <v>مسئول دفتر</v>
      </c>
      <c r="G3195" s="127">
        <f>VLOOKUP(D3195,'لیست پرسنل'!$B$2:$F$1020,2,FALSE)</f>
        <v>7009</v>
      </c>
      <c r="H3195" s="127" t="s">
        <v>6608</v>
      </c>
      <c r="I3195" s="128"/>
      <c r="J3195" s="128" t="s">
        <v>3145</v>
      </c>
      <c r="K3195" s="128" t="s">
        <v>4774</v>
      </c>
      <c r="L3195" s="128" t="s">
        <v>4775</v>
      </c>
      <c r="M3195" s="127">
        <v>633790</v>
      </c>
      <c r="N3195" s="109"/>
      <c r="O3195" s="19" t="s">
        <v>6436</v>
      </c>
      <c r="P3195" s="32"/>
      <c r="Q3195" s="32"/>
    </row>
    <row r="3196" spans="1:17" ht="24.9" customHeight="1">
      <c r="A3196" s="20">
        <v>456</v>
      </c>
      <c r="B3196" s="20" t="s">
        <v>6607</v>
      </c>
      <c r="C3196" s="20"/>
      <c r="D3196" s="19" t="s">
        <v>5643</v>
      </c>
      <c r="E3196" s="19" t="str">
        <f>VLOOKUP(D3196,'لیست پرسنل'!$B$2:$E$1020,3,FALSE)</f>
        <v>فکورصنعت</v>
      </c>
      <c r="F3196" s="19" t="str">
        <f>VLOOKUP(D3196,'لیست پرسنل'!$B$2:$E$1020,4,FALSE)</f>
        <v>مسئول دفتر</v>
      </c>
      <c r="G3196" s="127">
        <f>VLOOKUP(D3196,'لیست پرسنل'!$B$2:$F$1020,2,FALSE)</f>
        <v>7009</v>
      </c>
      <c r="H3196" s="127" t="s">
        <v>6608</v>
      </c>
      <c r="I3196" s="128"/>
      <c r="J3196" s="126" t="s">
        <v>3483</v>
      </c>
      <c r="K3196" s="128" t="s">
        <v>5626</v>
      </c>
      <c r="L3196" s="128"/>
      <c r="M3196" s="128">
        <v>621265</v>
      </c>
      <c r="N3196" s="108"/>
      <c r="O3196" s="20"/>
      <c r="P3196" s="20"/>
      <c r="Q3196" s="20"/>
    </row>
    <row r="3197" spans="1:17" ht="24.9" customHeight="1">
      <c r="A3197" s="20">
        <v>456</v>
      </c>
      <c r="B3197" s="20" t="s">
        <v>6607</v>
      </c>
      <c r="C3197" s="20"/>
      <c r="D3197" s="19" t="s">
        <v>5643</v>
      </c>
      <c r="E3197" s="19" t="str">
        <f>VLOOKUP(D3197,'لیست پرسنل'!$B$2:$E$1020,3,FALSE)</f>
        <v>فکورصنعت</v>
      </c>
      <c r="F3197" s="19" t="str">
        <f>VLOOKUP(D3197,'لیست پرسنل'!$B$2:$E$1020,4,FALSE)</f>
        <v>مسئول دفتر</v>
      </c>
      <c r="G3197" s="127">
        <f>VLOOKUP(D3197,'لیست پرسنل'!$B$2:$F$1020,2,FALSE)</f>
        <v>7009</v>
      </c>
      <c r="H3197" s="127" t="s">
        <v>6608</v>
      </c>
      <c r="I3197" s="128"/>
      <c r="J3197" s="126" t="s">
        <v>3285</v>
      </c>
      <c r="K3197" s="128" t="s">
        <v>1358</v>
      </c>
      <c r="L3197" s="128"/>
      <c r="M3197" s="128">
        <v>632888</v>
      </c>
      <c r="N3197" s="108"/>
      <c r="O3197" s="20"/>
      <c r="P3197" s="20"/>
      <c r="Q3197" s="20"/>
    </row>
    <row r="3198" spans="1:17" ht="24.9" customHeight="1">
      <c r="A3198" s="20">
        <v>461</v>
      </c>
      <c r="B3198" s="20" t="s">
        <v>4352</v>
      </c>
      <c r="C3198" s="20"/>
      <c r="D3198" s="20" t="s">
        <v>48</v>
      </c>
      <c r="E3198" s="19" t="str">
        <f>VLOOKUP(D3198,'لیست پرسنل'!$B$2:$E$1020,3,FALSE)</f>
        <v>فکورصنعت</v>
      </c>
      <c r="F3198" s="19" t="str">
        <f>VLOOKUP(D3198,'لیست پرسنل'!$B$2:$E$1020,4,FALSE)</f>
        <v>سرپرست آی تی</v>
      </c>
      <c r="G3198" s="127">
        <f>VLOOKUP(D3198,'لیست پرسنل'!$B$2:$F$1020,2,FALSE)</f>
        <v>2210</v>
      </c>
      <c r="H3198" s="126" t="s">
        <v>7993</v>
      </c>
      <c r="I3198" s="128"/>
      <c r="J3198" s="128" t="s">
        <v>2686</v>
      </c>
      <c r="K3198" s="128" t="s">
        <v>890</v>
      </c>
      <c r="L3198" s="152" t="s">
        <v>5212</v>
      </c>
      <c r="M3198" s="126">
        <v>608124</v>
      </c>
      <c r="N3198" s="115"/>
      <c r="O3198" s="86"/>
      <c r="P3198" s="20"/>
      <c r="Q3198" s="20"/>
    </row>
    <row r="3199" spans="1:17" ht="24.9" customHeight="1">
      <c r="A3199" s="20">
        <v>461</v>
      </c>
      <c r="B3199" s="20" t="s">
        <v>4352</v>
      </c>
      <c r="C3199" s="19"/>
      <c r="D3199" s="19" t="s">
        <v>48</v>
      </c>
      <c r="E3199" s="19" t="str">
        <f>VLOOKUP(D3199,'لیست پرسنل'!$B$2:$E$1020,3,FALSE)</f>
        <v>فکورصنعت</v>
      </c>
      <c r="F3199" s="19" t="str">
        <f>VLOOKUP(D3199,'لیست پرسنل'!$B$2:$E$1020,4,FALSE)</f>
        <v>سرپرست آی تی</v>
      </c>
      <c r="G3199" s="127">
        <f>VLOOKUP(D3199,'لیست پرسنل'!$B$2:$F$1020,2,FALSE)</f>
        <v>2210</v>
      </c>
      <c r="H3199" s="151" t="s">
        <v>8141</v>
      </c>
      <c r="I3199" s="127"/>
      <c r="J3199" s="141" t="s">
        <v>571</v>
      </c>
      <c r="K3199" s="128" t="s">
        <v>8449</v>
      </c>
      <c r="L3199" s="159" t="s">
        <v>8448</v>
      </c>
      <c r="M3199" s="127">
        <v>628576</v>
      </c>
      <c r="N3199" s="108"/>
      <c r="O3199" s="20" t="s">
        <v>705</v>
      </c>
      <c r="P3199" s="20"/>
      <c r="Q3199" s="20"/>
    </row>
    <row r="3200" spans="1:17" ht="24.9" customHeight="1">
      <c r="A3200" s="20">
        <v>461</v>
      </c>
      <c r="B3200" s="20" t="s">
        <v>4352</v>
      </c>
      <c r="C3200" s="20"/>
      <c r="D3200" s="20" t="s">
        <v>48</v>
      </c>
      <c r="E3200" s="19" t="str">
        <f>VLOOKUP(D3200,'لیست پرسنل'!$B$2:$E$1020,3,FALSE)</f>
        <v>فکورصنعت</v>
      </c>
      <c r="F3200" s="19" t="str">
        <f>VLOOKUP(D3200,'لیست پرسنل'!$B$2:$E$1020,4,FALSE)</f>
        <v>سرپرست آی تی</v>
      </c>
      <c r="G3200" s="127">
        <f>VLOOKUP(D3200,'لیست پرسنل'!$B$2:$F$1020,2,FALSE)</f>
        <v>2210</v>
      </c>
      <c r="H3200" s="128" t="s">
        <v>3996</v>
      </c>
      <c r="I3200" s="128"/>
      <c r="J3200" s="128" t="s">
        <v>4313</v>
      </c>
      <c r="K3200" s="128" t="s">
        <v>993</v>
      </c>
      <c r="L3200" s="127" t="s">
        <v>1145</v>
      </c>
      <c r="M3200" s="127">
        <v>612773</v>
      </c>
      <c r="N3200" s="109"/>
      <c r="O3200" s="19" t="s">
        <v>4387</v>
      </c>
      <c r="P3200" s="19"/>
      <c r="Q3200" s="28"/>
    </row>
    <row r="3201" spans="1:17" ht="24.9" customHeight="1">
      <c r="A3201" s="20">
        <v>461</v>
      </c>
      <c r="B3201" s="20" t="s">
        <v>4352</v>
      </c>
      <c r="C3201" s="20"/>
      <c r="D3201" s="20" t="s">
        <v>48</v>
      </c>
      <c r="E3201" s="19" t="str">
        <f>VLOOKUP(D3201,'لیست پرسنل'!$B$2:$E$1020,3,FALSE)</f>
        <v>فکورصنعت</v>
      </c>
      <c r="F3201" s="19" t="str">
        <f>VLOOKUP(D3201,'لیست پرسنل'!$B$2:$E$1020,4,FALSE)</f>
        <v>سرپرست آی تی</v>
      </c>
      <c r="G3201" s="127">
        <f>VLOOKUP(D3201,'لیست پرسنل'!$B$2:$F$1020,2,FALSE)</f>
        <v>2210</v>
      </c>
      <c r="H3201" s="128" t="s">
        <v>3996</v>
      </c>
      <c r="I3201" s="128"/>
      <c r="J3201" s="128" t="s">
        <v>3322</v>
      </c>
      <c r="K3201" s="128" t="s">
        <v>3498</v>
      </c>
      <c r="L3201" s="127">
        <v>466768111</v>
      </c>
      <c r="M3201" s="128">
        <v>611721</v>
      </c>
      <c r="N3201" s="108"/>
      <c r="O3201" s="20" t="s">
        <v>4390</v>
      </c>
      <c r="P3201" s="20"/>
      <c r="Q3201" s="20"/>
    </row>
    <row r="3202" spans="1:17" ht="24.9" customHeight="1">
      <c r="A3202" s="20">
        <v>461</v>
      </c>
      <c r="B3202" s="20" t="s">
        <v>4352</v>
      </c>
      <c r="C3202" s="20"/>
      <c r="D3202" s="20" t="s">
        <v>48</v>
      </c>
      <c r="E3202" s="19" t="str">
        <f>VLOOKUP(D3202,'لیست پرسنل'!$B$2:$E$1020,3,FALSE)</f>
        <v>فکورصنعت</v>
      </c>
      <c r="F3202" s="19" t="str">
        <f>VLOOKUP(D3202,'لیست پرسنل'!$B$2:$E$1020,4,FALSE)</f>
        <v>سرپرست آی تی</v>
      </c>
      <c r="G3202" s="127">
        <f>VLOOKUP(D3202,'لیست پرسنل'!$B$2:$F$1020,2,FALSE)</f>
        <v>2210</v>
      </c>
      <c r="H3202" s="128" t="s">
        <v>3996</v>
      </c>
      <c r="I3202" s="128"/>
      <c r="J3202" s="128" t="s">
        <v>3383</v>
      </c>
      <c r="K3202" s="128" t="s">
        <v>391</v>
      </c>
      <c r="L3202" s="128" t="s">
        <v>392</v>
      </c>
      <c r="M3202" s="127">
        <v>610913</v>
      </c>
      <c r="N3202" s="109"/>
      <c r="O3202" s="19" t="s">
        <v>4387</v>
      </c>
      <c r="P3202" s="19"/>
      <c r="Q3202" s="28"/>
    </row>
    <row r="3203" spans="1:17" ht="24.9" customHeight="1">
      <c r="A3203" s="20">
        <v>461</v>
      </c>
      <c r="B3203" s="20" t="s">
        <v>4352</v>
      </c>
      <c r="C3203" s="20"/>
      <c r="D3203" s="20" t="s">
        <v>48</v>
      </c>
      <c r="E3203" s="19" t="str">
        <f>VLOOKUP(D3203,'لیست پرسنل'!$B$2:$E$1020,3,FALSE)</f>
        <v>فکورصنعت</v>
      </c>
      <c r="F3203" s="19" t="str">
        <f>VLOOKUP(D3203,'لیست پرسنل'!$B$2:$E$1020,4,FALSE)</f>
        <v>سرپرست آی تی</v>
      </c>
      <c r="G3203" s="127">
        <f>VLOOKUP(D3203,'لیست پرسنل'!$B$2:$F$1020,2,FALSE)</f>
        <v>2210</v>
      </c>
      <c r="H3203" s="128" t="s">
        <v>3996</v>
      </c>
      <c r="I3203" s="128"/>
      <c r="J3203" s="128" t="s">
        <v>3383</v>
      </c>
      <c r="K3203" s="128" t="s">
        <v>2131</v>
      </c>
      <c r="L3203" s="150" t="s">
        <v>2738</v>
      </c>
      <c r="M3203" s="128">
        <v>627699</v>
      </c>
      <c r="N3203" s="108" t="s">
        <v>6852</v>
      </c>
      <c r="O3203" s="19" t="s">
        <v>705</v>
      </c>
      <c r="P3203" s="20"/>
      <c r="Q3203" s="20"/>
    </row>
    <row r="3204" spans="1:17" ht="24.9" customHeight="1">
      <c r="A3204" s="20">
        <v>461</v>
      </c>
      <c r="B3204" s="20" t="s">
        <v>4352</v>
      </c>
      <c r="C3204" s="20"/>
      <c r="D3204" s="20" t="s">
        <v>48</v>
      </c>
      <c r="E3204" s="19" t="str">
        <f>VLOOKUP(D3204,'لیست پرسنل'!$B$2:$E$1020,3,FALSE)</f>
        <v>فکورصنعت</v>
      </c>
      <c r="F3204" s="19" t="str">
        <f>VLOOKUP(D3204,'لیست پرسنل'!$B$2:$E$1020,4,FALSE)</f>
        <v>سرپرست آی تی</v>
      </c>
      <c r="G3204" s="127">
        <f>VLOOKUP(D3204,'لیست پرسنل'!$B$2:$F$1020,2,FALSE)</f>
        <v>2210</v>
      </c>
      <c r="H3204" s="128" t="s">
        <v>3996</v>
      </c>
      <c r="I3204" s="128"/>
      <c r="J3204" s="128" t="s">
        <v>3383</v>
      </c>
      <c r="K3204" s="128" t="s">
        <v>5383</v>
      </c>
      <c r="L3204" s="128" t="s">
        <v>5382</v>
      </c>
      <c r="M3204" s="128">
        <v>631506</v>
      </c>
      <c r="N3204" s="108"/>
      <c r="O3204" s="20"/>
      <c r="P3204" s="20"/>
      <c r="Q3204" s="20"/>
    </row>
    <row r="3205" spans="1:17" ht="24.9" customHeight="1">
      <c r="A3205" s="20">
        <v>461</v>
      </c>
      <c r="B3205" s="20" t="s">
        <v>4352</v>
      </c>
      <c r="C3205" s="20"/>
      <c r="D3205" s="20" t="s">
        <v>48</v>
      </c>
      <c r="E3205" s="19" t="str">
        <f>VLOOKUP(D3205,'لیست پرسنل'!$B$2:$E$1020,3,FALSE)</f>
        <v>فکورصنعت</v>
      </c>
      <c r="F3205" s="19" t="str">
        <f>VLOOKUP(D3205,'لیست پرسنل'!$B$2:$E$1020,4,FALSE)</f>
        <v>سرپرست آی تی</v>
      </c>
      <c r="G3205" s="127">
        <f>VLOOKUP(D3205,'لیست پرسنل'!$B$2:$F$1020,2,FALSE)</f>
        <v>2210</v>
      </c>
      <c r="H3205" s="128" t="s">
        <v>3996</v>
      </c>
      <c r="I3205" s="128"/>
      <c r="J3205" s="128" t="s">
        <v>923</v>
      </c>
      <c r="K3205" s="128" t="s">
        <v>923</v>
      </c>
      <c r="L3205" s="128"/>
      <c r="M3205" s="127">
        <v>400014</v>
      </c>
      <c r="N3205" s="111"/>
      <c r="O3205" s="20"/>
      <c r="P3205" s="20"/>
      <c r="Q3205" s="20"/>
    </row>
    <row r="3206" spans="1:17" ht="24.9" customHeight="1">
      <c r="A3206" s="20">
        <v>461</v>
      </c>
      <c r="B3206" s="20" t="s">
        <v>4352</v>
      </c>
      <c r="C3206" s="19"/>
      <c r="D3206" s="31" t="s">
        <v>48</v>
      </c>
      <c r="E3206" s="19" t="str">
        <f>VLOOKUP(D3206,'لیست پرسنل'!$B$2:$E$1020,3,FALSE)</f>
        <v>فکورصنعت</v>
      </c>
      <c r="F3206" s="19" t="str">
        <f>VLOOKUP(D3206,'لیست پرسنل'!$B$2:$E$1020,4,FALSE)</f>
        <v>سرپرست آی تی</v>
      </c>
      <c r="G3206" s="127">
        <f>VLOOKUP(D3206,'لیست پرسنل'!$B$2:$F$1020,2,FALSE)</f>
        <v>2210</v>
      </c>
      <c r="H3206" s="126" t="s">
        <v>3996</v>
      </c>
      <c r="I3206" s="126"/>
      <c r="J3206" s="128" t="s">
        <v>737</v>
      </c>
      <c r="K3206" s="135" t="s">
        <v>6696</v>
      </c>
      <c r="L3206" s="154" t="s">
        <v>6697</v>
      </c>
      <c r="M3206" s="128">
        <v>612696</v>
      </c>
      <c r="N3206" s="108"/>
      <c r="O3206" s="20"/>
      <c r="P3206" s="20"/>
      <c r="Q3206" s="20"/>
    </row>
    <row r="3207" spans="1:17" ht="24.9" customHeight="1">
      <c r="A3207" s="20">
        <v>461</v>
      </c>
      <c r="B3207" s="20" t="s">
        <v>4352</v>
      </c>
      <c r="C3207" s="20"/>
      <c r="D3207" s="20" t="s">
        <v>48</v>
      </c>
      <c r="E3207" s="19" t="str">
        <f>VLOOKUP(D3207,'لیست پرسنل'!$B$2:$E$1020,3,FALSE)</f>
        <v>فکورصنعت</v>
      </c>
      <c r="F3207" s="19" t="str">
        <f>VLOOKUP(D3207,'لیست پرسنل'!$B$2:$E$1020,4,FALSE)</f>
        <v>سرپرست آی تی</v>
      </c>
      <c r="G3207" s="127">
        <f>VLOOKUP(D3207,'لیست پرسنل'!$B$2:$F$1020,2,FALSE)</f>
        <v>2210</v>
      </c>
      <c r="H3207" s="128" t="s">
        <v>3996</v>
      </c>
      <c r="I3207" s="128"/>
      <c r="J3207" s="128" t="s">
        <v>737</v>
      </c>
      <c r="K3207" s="128" t="s">
        <v>932</v>
      </c>
      <c r="L3207" s="128" t="s">
        <v>5224</v>
      </c>
      <c r="M3207" s="128">
        <v>614202</v>
      </c>
      <c r="N3207" s="108"/>
      <c r="O3207" s="20" t="s">
        <v>5225</v>
      </c>
      <c r="P3207" s="20"/>
      <c r="Q3207" s="20"/>
    </row>
    <row r="3208" spans="1:17" ht="24.9" customHeight="1">
      <c r="A3208" s="20">
        <v>461</v>
      </c>
      <c r="B3208" s="20" t="s">
        <v>4352</v>
      </c>
      <c r="C3208" s="20"/>
      <c r="D3208" s="20" t="s">
        <v>48</v>
      </c>
      <c r="E3208" s="19" t="str">
        <f>VLOOKUP(D3208,'لیست پرسنل'!$B$2:$E$1020,3,FALSE)</f>
        <v>فکورصنعت</v>
      </c>
      <c r="F3208" s="19" t="str">
        <f>VLOOKUP(D3208,'لیست پرسنل'!$B$2:$E$1020,4,FALSE)</f>
        <v>سرپرست آی تی</v>
      </c>
      <c r="G3208" s="127">
        <f>VLOOKUP(D3208,'لیست پرسنل'!$B$2:$F$1020,2,FALSE)</f>
        <v>2210</v>
      </c>
      <c r="H3208" s="128" t="s">
        <v>3996</v>
      </c>
      <c r="I3208" s="128"/>
      <c r="J3208" s="128" t="s">
        <v>737</v>
      </c>
      <c r="K3208" s="127" t="s">
        <v>545</v>
      </c>
      <c r="L3208" s="127" t="s">
        <v>546</v>
      </c>
      <c r="M3208" s="131">
        <v>615815</v>
      </c>
      <c r="N3208" s="108"/>
      <c r="O3208" s="19" t="s">
        <v>611</v>
      </c>
      <c r="P3208" s="20"/>
      <c r="Q3208" s="20"/>
    </row>
    <row r="3209" spans="1:17" ht="24.9" customHeight="1">
      <c r="A3209" s="20">
        <v>461</v>
      </c>
      <c r="B3209" s="20" t="s">
        <v>4352</v>
      </c>
      <c r="C3209" s="19"/>
      <c r="D3209" s="20" t="s">
        <v>48</v>
      </c>
      <c r="E3209" s="19" t="str">
        <f>VLOOKUP(D3209,'لیست پرسنل'!$B$2:$E$1020,3,FALSE)</f>
        <v>فکورصنعت</v>
      </c>
      <c r="F3209" s="19" t="str">
        <f>VLOOKUP(D3209,'لیست پرسنل'!$B$2:$E$1020,4,FALSE)</f>
        <v>سرپرست آی تی</v>
      </c>
      <c r="G3209" s="127">
        <f>VLOOKUP(D3209,'لیست پرسنل'!$B$2:$F$1020,2,FALSE)</f>
        <v>2210</v>
      </c>
      <c r="H3209" s="128" t="s">
        <v>3996</v>
      </c>
      <c r="I3209" s="128"/>
      <c r="J3209" s="128" t="s">
        <v>737</v>
      </c>
      <c r="K3209" s="128" t="s">
        <v>892</v>
      </c>
      <c r="L3209" s="128" t="s">
        <v>515</v>
      </c>
      <c r="M3209" s="134">
        <v>622511</v>
      </c>
      <c r="N3209" s="108"/>
      <c r="O3209" s="46" t="s">
        <v>5812</v>
      </c>
      <c r="P3209" s="20"/>
      <c r="Q3209" s="20"/>
    </row>
    <row r="3210" spans="1:17" ht="24.9" customHeight="1">
      <c r="A3210" s="20">
        <v>461</v>
      </c>
      <c r="B3210" s="20" t="s">
        <v>4352</v>
      </c>
      <c r="C3210" s="20"/>
      <c r="D3210" s="20" t="s">
        <v>48</v>
      </c>
      <c r="E3210" s="19" t="str">
        <f>VLOOKUP(D3210,'لیست پرسنل'!$B$2:$E$1020,3,FALSE)</f>
        <v>فکورصنعت</v>
      </c>
      <c r="F3210" s="19" t="str">
        <f>VLOOKUP(D3210,'لیست پرسنل'!$B$2:$E$1020,4,FALSE)</f>
        <v>سرپرست آی تی</v>
      </c>
      <c r="G3210" s="127">
        <f>VLOOKUP(D3210,'لیست پرسنل'!$B$2:$F$1020,2,FALSE)</f>
        <v>2210</v>
      </c>
      <c r="H3210" s="128" t="s">
        <v>3996</v>
      </c>
      <c r="I3210" s="128"/>
      <c r="J3210" s="128" t="s">
        <v>737</v>
      </c>
      <c r="K3210" s="128" t="s">
        <v>4630</v>
      </c>
      <c r="L3210" s="128" t="s">
        <v>4631</v>
      </c>
      <c r="M3210" s="127">
        <v>629894</v>
      </c>
      <c r="N3210" s="109"/>
      <c r="O3210" s="19" t="s">
        <v>705</v>
      </c>
      <c r="P3210" s="19"/>
      <c r="Q3210" s="28"/>
    </row>
    <row r="3211" spans="1:17" ht="24.9" customHeight="1">
      <c r="A3211" s="20">
        <v>461</v>
      </c>
      <c r="B3211" s="20" t="s">
        <v>4352</v>
      </c>
      <c r="C3211" s="19"/>
      <c r="D3211" s="31" t="s">
        <v>48</v>
      </c>
      <c r="E3211" s="19" t="str">
        <f>VLOOKUP(D3211,'لیست پرسنل'!$B$2:$E$1020,3,FALSE)</f>
        <v>فکورصنعت</v>
      </c>
      <c r="F3211" s="19" t="str">
        <f>VLOOKUP(D3211,'لیست پرسنل'!$B$2:$E$1020,4,FALSE)</f>
        <v>سرپرست آی تی</v>
      </c>
      <c r="G3211" s="127">
        <f>VLOOKUP(D3211,'لیست پرسنل'!$B$2:$F$1020,2,FALSE)</f>
        <v>2210</v>
      </c>
      <c r="H3211" s="126" t="s">
        <v>3996</v>
      </c>
      <c r="I3211" s="126"/>
      <c r="J3211" s="128" t="s">
        <v>737</v>
      </c>
      <c r="K3211" s="128" t="s">
        <v>1354</v>
      </c>
      <c r="L3211" s="127" t="s">
        <v>4860</v>
      </c>
      <c r="M3211" s="127">
        <v>633777</v>
      </c>
      <c r="N3211" s="109"/>
      <c r="O3211" s="19" t="s">
        <v>6425</v>
      </c>
      <c r="P3211" s="32"/>
      <c r="Q3211" s="32"/>
    </row>
    <row r="3212" spans="1:17" ht="24.9" customHeight="1">
      <c r="A3212" s="20">
        <v>461</v>
      </c>
      <c r="B3212" s="20" t="s">
        <v>4352</v>
      </c>
      <c r="C3212" s="20"/>
      <c r="D3212" s="20" t="s">
        <v>48</v>
      </c>
      <c r="E3212" s="19" t="str">
        <f>VLOOKUP(D3212,'لیست پرسنل'!$B$2:$E$1020,3,FALSE)</f>
        <v>فکورصنعت</v>
      </c>
      <c r="F3212" s="19" t="str">
        <f>VLOOKUP(D3212,'لیست پرسنل'!$B$2:$E$1020,4,FALSE)</f>
        <v>سرپرست آی تی</v>
      </c>
      <c r="G3212" s="127">
        <f>VLOOKUP(D3212,'لیست پرسنل'!$B$2:$F$1020,2,FALSE)</f>
        <v>2210</v>
      </c>
      <c r="H3212" s="128" t="s">
        <v>3996</v>
      </c>
      <c r="I3212" s="128"/>
      <c r="J3212" s="128" t="s">
        <v>737</v>
      </c>
      <c r="K3212" s="128" t="s">
        <v>879</v>
      </c>
      <c r="L3212" s="128">
        <v>13006274</v>
      </c>
      <c r="M3212" s="128" t="s">
        <v>291</v>
      </c>
      <c r="N3212" s="109"/>
      <c r="O3212" s="19" t="s">
        <v>4401</v>
      </c>
      <c r="P3212" s="19"/>
      <c r="Q3212" s="28"/>
    </row>
    <row r="3213" spans="1:17" ht="24.9" customHeight="1">
      <c r="A3213" s="20">
        <v>461</v>
      </c>
      <c r="B3213" s="20" t="s">
        <v>4352</v>
      </c>
      <c r="C3213" s="20"/>
      <c r="D3213" s="20" t="s">
        <v>48</v>
      </c>
      <c r="E3213" s="19" t="str">
        <f>VLOOKUP(D3213,'لیست پرسنل'!$B$2:$E$1020,3,FALSE)</f>
        <v>فکورصنعت</v>
      </c>
      <c r="F3213" s="19" t="str">
        <f>VLOOKUP(D3213,'لیست پرسنل'!$B$2:$E$1020,4,FALSE)</f>
        <v>سرپرست آی تی</v>
      </c>
      <c r="G3213" s="127">
        <f>VLOOKUP(D3213,'لیست پرسنل'!$B$2:$F$1020,2,FALSE)</f>
        <v>2210</v>
      </c>
      <c r="H3213" s="128" t="s">
        <v>3996</v>
      </c>
      <c r="I3213" s="128"/>
      <c r="J3213" s="128" t="s">
        <v>737</v>
      </c>
      <c r="K3213" s="128" t="s">
        <v>2023</v>
      </c>
      <c r="L3213" s="128" t="s">
        <v>4011</v>
      </c>
      <c r="M3213" s="128" t="s">
        <v>291</v>
      </c>
      <c r="N3213" s="108"/>
      <c r="O3213" s="20" t="s">
        <v>4012</v>
      </c>
      <c r="P3213" s="20"/>
      <c r="Q3213" s="20"/>
    </row>
    <row r="3214" spans="1:17" ht="24.9" customHeight="1">
      <c r="A3214" s="20">
        <v>461</v>
      </c>
      <c r="B3214" s="20" t="s">
        <v>4352</v>
      </c>
      <c r="C3214" s="20"/>
      <c r="D3214" s="20" t="s">
        <v>48</v>
      </c>
      <c r="E3214" s="19" t="str">
        <f>VLOOKUP(D3214,'لیست پرسنل'!$B$2:$E$1020,3,FALSE)</f>
        <v>فکورصنعت</v>
      </c>
      <c r="F3214" s="19" t="str">
        <f>VLOOKUP(D3214,'لیست پرسنل'!$B$2:$E$1020,4,FALSE)</f>
        <v>سرپرست آی تی</v>
      </c>
      <c r="G3214" s="127">
        <f>VLOOKUP(D3214,'لیست پرسنل'!$B$2:$F$1020,2,FALSE)</f>
        <v>2210</v>
      </c>
      <c r="H3214" s="128" t="s">
        <v>3996</v>
      </c>
      <c r="I3214" s="128"/>
      <c r="J3214" s="128" t="s">
        <v>4398</v>
      </c>
      <c r="K3214" s="128" t="s">
        <v>4393</v>
      </c>
      <c r="L3214" s="128" t="s">
        <v>4394</v>
      </c>
      <c r="M3214" s="127">
        <v>611808</v>
      </c>
      <c r="N3214" s="109"/>
      <c r="O3214" s="19" t="s">
        <v>4387</v>
      </c>
      <c r="P3214" s="19"/>
      <c r="Q3214" s="28"/>
    </row>
    <row r="3215" spans="1:17" ht="24.9" customHeight="1">
      <c r="A3215" s="20">
        <v>461</v>
      </c>
      <c r="B3215" s="20" t="s">
        <v>4352</v>
      </c>
      <c r="C3215" s="20"/>
      <c r="D3215" s="20" t="s">
        <v>48</v>
      </c>
      <c r="E3215" s="19" t="str">
        <f>VLOOKUP(D3215,'لیست پرسنل'!$B$2:$E$1020,3,FALSE)</f>
        <v>فکورصنعت</v>
      </c>
      <c r="F3215" s="19" t="str">
        <f>VLOOKUP(D3215,'لیست پرسنل'!$B$2:$E$1020,4,FALSE)</f>
        <v>سرپرست آی تی</v>
      </c>
      <c r="G3215" s="127">
        <f>VLOOKUP(D3215,'لیست پرسنل'!$B$2:$F$1020,2,FALSE)</f>
        <v>2210</v>
      </c>
      <c r="H3215" s="128" t="s">
        <v>3996</v>
      </c>
      <c r="I3215" s="128"/>
      <c r="J3215" s="128" t="s">
        <v>1967</v>
      </c>
      <c r="K3215" s="128" t="s">
        <v>650</v>
      </c>
      <c r="L3215" s="128"/>
      <c r="M3215" s="127">
        <v>600308</v>
      </c>
      <c r="N3215" s="109"/>
      <c r="O3215" s="19" t="s">
        <v>4387</v>
      </c>
      <c r="P3215" s="19"/>
      <c r="Q3215" s="28"/>
    </row>
    <row r="3216" spans="1:17" ht="24.9" customHeight="1">
      <c r="A3216" s="20">
        <v>461</v>
      </c>
      <c r="B3216" s="20" t="s">
        <v>4352</v>
      </c>
      <c r="C3216" s="20"/>
      <c r="D3216" s="20" t="s">
        <v>48</v>
      </c>
      <c r="E3216" s="19" t="str">
        <f>VLOOKUP(D3216,'لیست پرسنل'!$B$2:$E$1020,3,FALSE)</f>
        <v>فکورصنعت</v>
      </c>
      <c r="F3216" s="19" t="str">
        <f>VLOOKUP(D3216,'لیست پرسنل'!$B$2:$E$1020,4,FALSE)</f>
        <v>سرپرست آی تی</v>
      </c>
      <c r="G3216" s="127">
        <f>VLOOKUP(D3216,'لیست پرسنل'!$B$2:$F$1020,2,FALSE)</f>
        <v>2210</v>
      </c>
      <c r="H3216" s="128" t="s">
        <v>3996</v>
      </c>
      <c r="I3216" s="128"/>
      <c r="J3216" s="128" t="s">
        <v>1967</v>
      </c>
      <c r="K3216" s="128" t="s">
        <v>650</v>
      </c>
      <c r="L3216" s="128"/>
      <c r="M3216" s="127">
        <v>607587</v>
      </c>
      <c r="N3216" s="109"/>
      <c r="O3216" s="19" t="s">
        <v>4387</v>
      </c>
      <c r="P3216" s="19"/>
      <c r="Q3216" s="28"/>
    </row>
    <row r="3217" spans="1:17" ht="24.9" customHeight="1">
      <c r="A3217" s="20">
        <v>461</v>
      </c>
      <c r="B3217" s="20" t="s">
        <v>4352</v>
      </c>
      <c r="C3217" s="20"/>
      <c r="D3217" s="20" t="s">
        <v>48</v>
      </c>
      <c r="E3217" s="19" t="str">
        <f>VLOOKUP(D3217,'لیست پرسنل'!$B$2:$E$1020,3,FALSE)</f>
        <v>فکورصنعت</v>
      </c>
      <c r="F3217" s="19" t="str">
        <f>VLOOKUP(D3217,'لیست پرسنل'!$B$2:$E$1020,4,FALSE)</f>
        <v>سرپرست آی تی</v>
      </c>
      <c r="G3217" s="127">
        <f>VLOOKUP(D3217,'لیست پرسنل'!$B$2:$F$1020,2,FALSE)</f>
        <v>2210</v>
      </c>
      <c r="H3217" s="128" t="s">
        <v>3996</v>
      </c>
      <c r="I3217" s="128"/>
      <c r="J3217" s="128" t="s">
        <v>1967</v>
      </c>
      <c r="K3217" s="128" t="s">
        <v>662</v>
      </c>
      <c r="L3217" s="128"/>
      <c r="M3217" s="127">
        <v>610354</v>
      </c>
      <c r="N3217" s="109"/>
      <c r="O3217" s="19" t="s">
        <v>4387</v>
      </c>
      <c r="P3217" s="19"/>
      <c r="Q3217" s="28"/>
    </row>
    <row r="3218" spans="1:17" ht="24.9" customHeight="1">
      <c r="A3218" s="20">
        <v>461</v>
      </c>
      <c r="B3218" s="20" t="s">
        <v>4352</v>
      </c>
      <c r="C3218" s="20"/>
      <c r="D3218" s="20" t="s">
        <v>48</v>
      </c>
      <c r="E3218" s="19" t="str">
        <f>VLOOKUP(D3218,'لیست پرسنل'!$B$2:$E$1020,3,FALSE)</f>
        <v>فکورصنعت</v>
      </c>
      <c r="F3218" s="19" t="str">
        <f>VLOOKUP(D3218,'لیست پرسنل'!$B$2:$E$1020,4,FALSE)</f>
        <v>سرپرست آی تی</v>
      </c>
      <c r="G3218" s="127">
        <f>VLOOKUP(D3218,'لیست پرسنل'!$B$2:$F$1020,2,FALSE)</f>
        <v>2210</v>
      </c>
      <c r="H3218" s="128" t="s">
        <v>3996</v>
      </c>
      <c r="I3218" s="128"/>
      <c r="J3218" s="128" t="s">
        <v>368</v>
      </c>
      <c r="K3218" s="128" t="s">
        <v>2848</v>
      </c>
      <c r="L3218" s="128" t="s">
        <v>4426</v>
      </c>
      <c r="M3218" s="127">
        <v>622556</v>
      </c>
      <c r="N3218" s="109"/>
      <c r="O3218" s="19"/>
      <c r="P3218" s="19"/>
      <c r="Q3218" s="20"/>
    </row>
    <row r="3219" spans="1:17" ht="24.9" customHeight="1">
      <c r="A3219" s="20">
        <v>461</v>
      </c>
      <c r="B3219" s="20" t="s">
        <v>4352</v>
      </c>
      <c r="C3219" s="19"/>
      <c r="D3219" s="19" t="s">
        <v>48</v>
      </c>
      <c r="E3219" s="19" t="str">
        <f>VLOOKUP(D3219,'لیست پرسنل'!$B$2:$E$1020,3,FALSE)</f>
        <v>فکورصنعت</v>
      </c>
      <c r="F3219" s="19" t="str">
        <f>VLOOKUP(D3219,'لیست پرسنل'!$B$2:$E$1020,4,FALSE)</f>
        <v>سرپرست آی تی</v>
      </c>
      <c r="G3219" s="127">
        <f>VLOOKUP(D3219,'لیست پرسنل'!$B$2:$F$1020,2,FALSE)</f>
        <v>2210</v>
      </c>
      <c r="H3219" s="151" t="s">
        <v>3996</v>
      </c>
      <c r="I3219" s="127"/>
      <c r="J3219" s="126" t="s">
        <v>368</v>
      </c>
      <c r="K3219" s="128" t="s">
        <v>2759</v>
      </c>
      <c r="L3219" s="151" t="s">
        <v>8146</v>
      </c>
      <c r="M3219" s="127">
        <v>622558</v>
      </c>
      <c r="N3219" s="109"/>
      <c r="O3219" s="20"/>
      <c r="P3219" s="20"/>
      <c r="Q3219" s="20"/>
    </row>
    <row r="3220" spans="1:17" ht="24.9" customHeight="1">
      <c r="A3220" s="20">
        <v>461</v>
      </c>
      <c r="B3220" s="20" t="s">
        <v>4352</v>
      </c>
      <c r="C3220" s="20"/>
      <c r="D3220" s="20" t="s">
        <v>48</v>
      </c>
      <c r="E3220" s="19" t="str">
        <f>VLOOKUP(D3220,'لیست پرسنل'!$B$2:$E$1020,3,FALSE)</f>
        <v>فکورصنعت</v>
      </c>
      <c r="F3220" s="19" t="str">
        <f>VLOOKUP(D3220,'لیست پرسنل'!$B$2:$E$1020,4,FALSE)</f>
        <v>سرپرست آی تی</v>
      </c>
      <c r="G3220" s="127">
        <f>VLOOKUP(D3220,'لیست پرسنل'!$B$2:$F$1020,2,FALSE)</f>
        <v>2210</v>
      </c>
      <c r="H3220" s="128" t="s">
        <v>3996</v>
      </c>
      <c r="I3220" s="128"/>
      <c r="J3220" s="128" t="s">
        <v>368</v>
      </c>
      <c r="K3220" s="128" t="s">
        <v>1147</v>
      </c>
      <c r="L3220" s="128"/>
      <c r="M3220" s="127">
        <v>622824</v>
      </c>
      <c r="N3220" s="109"/>
      <c r="O3220" s="19" t="s">
        <v>4384</v>
      </c>
      <c r="P3220" s="19"/>
      <c r="Q3220" s="20"/>
    </row>
    <row r="3221" spans="1:17" ht="24.9" customHeight="1">
      <c r="A3221" s="20">
        <v>461</v>
      </c>
      <c r="B3221" s="20" t="s">
        <v>4352</v>
      </c>
      <c r="C3221" s="20"/>
      <c r="D3221" s="20" t="s">
        <v>48</v>
      </c>
      <c r="E3221" s="19" t="str">
        <f>VLOOKUP(D3221,'لیست پرسنل'!$B$2:$E$1020,3,FALSE)</f>
        <v>فکورصنعت</v>
      </c>
      <c r="F3221" s="19" t="str">
        <f>VLOOKUP(D3221,'لیست پرسنل'!$B$2:$E$1020,4,FALSE)</f>
        <v>سرپرست آی تی</v>
      </c>
      <c r="G3221" s="127">
        <f>VLOOKUP(D3221,'لیست پرسنل'!$B$2:$F$1020,2,FALSE)</f>
        <v>2210</v>
      </c>
      <c r="H3221" s="128" t="s">
        <v>3996</v>
      </c>
      <c r="I3221" s="128"/>
      <c r="J3221" s="128" t="s">
        <v>368</v>
      </c>
      <c r="K3221" s="128" t="s">
        <v>1147</v>
      </c>
      <c r="L3221" s="128" t="s">
        <v>970</v>
      </c>
      <c r="M3221" s="127">
        <v>622825</v>
      </c>
      <c r="N3221" s="109"/>
      <c r="O3221" s="19" t="s">
        <v>4383</v>
      </c>
      <c r="P3221" s="19"/>
      <c r="Q3221" s="20"/>
    </row>
    <row r="3222" spans="1:17" ht="24.9" customHeight="1">
      <c r="A3222" s="20">
        <v>461</v>
      </c>
      <c r="B3222" s="20" t="s">
        <v>4352</v>
      </c>
      <c r="C3222" s="20"/>
      <c r="D3222" s="20" t="s">
        <v>48</v>
      </c>
      <c r="E3222" s="19" t="str">
        <f>VLOOKUP(D3222,'لیست پرسنل'!$B$2:$E$1020,3,FALSE)</f>
        <v>فکورصنعت</v>
      </c>
      <c r="F3222" s="19" t="str">
        <f>VLOOKUP(D3222,'لیست پرسنل'!$B$2:$E$1020,4,FALSE)</f>
        <v>سرپرست آی تی</v>
      </c>
      <c r="G3222" s="127">
        <f>VLOOKUP(D3222,'لیست پرسنل'!$B$2:$F$1020,2,FALSE)</f>
        <v>2210</v>
      </c>
      <c r="H3222" s="151" t="s">
        <v>3996</v>
      </c>
      <c r="I3222" s="128"/>
      <c r="J3222" s="126" t="s">
        <v>368</v>
      </c>
      <c r="K3222" s="128" t="s">
        <v>2846</v>
      </c>
      <c r="L3222" s="128" t="s">
        <v>2398</v>
      </c>
      <c r="M3222" s="128">
        <v>628805</v>
      </c>
      <c r="N3222" s="108"/>
      <c r="O3222" s="20"/>
      <c r="P3222" s="20"/>
      <c r="Q3222" s="20"/>
    </row>
    <row r="3223" spans="1:17" ht="24.9" customHeight="1">
      <c r="A3223" s="20">
        <v>461</v>
      </c>
      <c r="B3223" s="20" t="s">
        <v>4352</v>
      </c>
      <c r="C3223" s="19"/>
      <c r="D3223" s="19" t="s">
        <v>48</v>
      </c>
      <c r="E3223" s="19" t="str">
        <f>VLOOKUP(D3223,'لیست پرسنل'!$B$2:$E$1020,3,FALSE)</f>
        <v>فکورصنعت</v>
      </c>
      <c r="F3223" s="19" t="str">
        <f>VLOOKUP(D3223,'لیست پرسنل'!$B$2:$E$1020,4,FALSE)</f>
        <v>سرپرست آی تی</v>
      </c>
      <c r="G3223" s="127">
        <f>VLOOKUP(D3223,'لیست پرسنل'!$B$2:$F$1020,2,FALSE)</f>
        <v>2210</v>
      </c>
      <c r="H3223" s="151" t="s">
        <v>3996</v>
      </c>
      <c r="I3223" s="127"/>
      <c r="J3223" s="126" t="s">
        <v>368</v>
      </c>
      <c r="K3223" s="128" t="s">
        <v>2846</v>
      </c>
      <c r="L3223" s="127" t="s">
        <v>2431</v>
      </c>
      <c r="M3223" s="128">
        <v>628838</v>
      </c>
      <c r="N3223" s="108"/>
      <c r="O3223" s="20" t="s">
        <v>705</v>
      </c>
      <c r="P3223" s="20"/>
      <c r="Q3223" s="20"/>
    </row>
    <row r="3224" spans="1:17" ht="24.9" customHeight="1">
      <c r="A3224" s="20">
        <v>461</v>
      </c>
      <c r="B3224" s="20" t="s">
        <v>4352</v>
      </c>
      <c r="C3224" s="20"/>
      <c r="D3224" s="20" t="s">
        <v>48</v>
      </c>
      <c r="E3224" s="19" t="str">
        <f>VLOOKUP(D3224,'لیست پرسنل'!$B$2:$E$1020,3,FALSE)</f>
        <v>فکورصنعت</v>
      </c>
      <c r="F3224" s="19" t="str">
        <f>VLOOKUP(D3224,'لیست پرسنل'!$B$2:$E$1020,4,FALSE)</f>
        <v>سرپرست آی تی</v>
      </c>
      <c r="G3224" s="127">
        <f>VLOOKUP(D3224,'لیست پرسنل'!$B$2:$F$1020,2,FALSE)</f>
        <v>2210</v>
      </c>
      <c r="H3224" s="128" t="s">
        <v>3996</v>
      </c>
      <c r="I3224" s="128"/>
      <c r="J3224" s="128" t="s">
        <v>368</v>
      </c>
      <c r="K3224" s="128" t="s">
        <v>2846</v>
      </c>
      <c r="L3224" s="128" t="s">
        <v>4776</v>
      </c>
      <c r="M3224" s="127">
        <v>633725</v>
      </c>
      <c r="N3224" s="109"/>
      <c r="O3224" s="19" t="s">
        <v>6373</v>
      </c>
      <c r="P3224" s="32"/>
      <c r="Q3224" s="32"/>
    </row>
    <row r="3225" spans="1:17" ht="24.9" customHeight="1">
      <c r="A3225" s="20">
        <v>461</v>
      </c>
      <c r="B3225" s="20" t="s">
        <v>4352</v>
      </c>
      <c r="C3225" s="20"/>
      <c r="D3225" s="20" t="s">
        <v>48</v>
      </c>
      <c r="E3225" s="19" t="str">
        <f>VLOOKUP(D3225,'لیست پرسنل'!$B$2:$E$1020,3,FALSE)</f>
        <v>فکورصنعت</v>
      </c>
      <c r="F3225" s="19" t="str">
        <f>VLOOKUP(D3225,'لیست پرسنل'!$B$2:$E$1020,4,FALSE)</f>
        <v>سرپرست آی تی</v>
      </c>
      <c r="G3225" s="127">
        <f>VLOOKUP(D3225,'لیست پرسنل'!$B$2:$F$1020,2,FALSE)</f>
        <v>2210</v>
      </c>
      <c r="H3225" s="128" t="s">
        <v>3996</v>
      </c>
      <c r="I3225" s="128"/>
      <c r="J3225" s="128" t="s">
        <v>368</v>
      </c>
      <c r="K3225" s="128" t="s">
        <v>2846</v>
      </c>
      <c r="L3225" s="128" t="s">
        <v>4867</v>
      </c>
      <c r="M3225" s="127">
        <v>633763</v>
      </c>
      <c r="N3225" s="109"/>
      <c r="O3225" s="19" t="s">
        <v>6377</v>
      </c>
      <c r="P3225" s="32"/>
      <c r="Q3225" s="32"/>
    </row>
    <row r="3226" spans="1:17" ht="24.9" customHeight="1">
      <c r="A3226" s="20">
        <v>461</v>
      </c>
      <c r="B3226" s="20" t="s">
        <v>4352</v>
      </c>
      <c r="C3226" s="19"/>
      <c r="D3226" s="19" t="s">
        <v>48</v>
      </c>
      <c r="E3226" s="19" t="str">
        <f>VLOOKUP(D3226,'لیست پرسنل'!$B$2:$E$1020,3,FALSE)</f>
        <v>فکورصنعت</v>
      </c>
      <c r="F3226" s="19" t="str">
        <f>VLOOKUP(D3226,'لیست پرسنل'!$B$2:$E$1020,4,FALSE)</f>
        <v>سرپرست آی تی</v>
      </c>
      <c r="G3226" s="127">
        <f>VLOOKUP(D3226,'لیست پرسنل'!$B$2:$F$1020,2,FALSE)</f>
        <v>2210</v>
      </c>
      <c r="H3226" s="151" t="s">
        <v>3996</v>
      </c>
      <c r="I3226" s="127"/>
      <c r="J3226" s="128" t="s">
        <v>5366</v>
      </c>
      <c r="K3226" s="128" t="s">
        <v>4858</v>
      </c>
      <c r="L3226" s="127" t="s">
        <v>4859</v>
      </c>
      <c r="M3226" s="127">
        <v>633705</v>
      </c>
      <c r="N3226" s="109"/>
      <c r="O3226" s="19" t="s">
        <v>6357</v>
      </c>
      <c r="P3226" s="32"/>
      <c r="Q3226" s="32"/>
    </row>
    <row r="3227" spans="1:17" ht="24.9" customHeight="1">
      <c r="A3227" s="20">
        <v>461</v>
      </c>
      <c r="B3227" s="20" t="s">
        <v>4352</v>
      </c>
      <c r="C3227" s="19"/>
      <c r="D3227" s="19" t="s">
        <v>48</v>
      </c>
      <c r="E3227" s="19" t="str">
        <f>VLOOKUP(D3227,'لیست پرسنل'!$B$2:$E$1020,3,FALSE)</f>
        <v>فکورصنعت</v>
      </c>
      <c r="F3227" s="19" t="str">
        <f>VLOOKUP(D3227,'لیست پرسنل'!$B$2:$E$1020,4,FALSE)</f>
        <v>سرپرست آی تی</v>
      </c>
      <c r="G3227" s="127">
        <f>VLOOKUP(D3227,'لیست پرسنل'!$B$2:$F$1020,2,FALSE)</f>
        <v>2210</v>
      </c>
      <c r="H3227" s="151" t="s">
        <v>3996</v>
      </c>
      <c r="I3227" s="127"/>
      <c r="J3227" s="128" t="s">
        <v>5366</v>
      </c>
      <c r="K3227" s="128" t="s">
        <v>1613</v>
      </c>
      <c r="L3227" s="128" t="s">
        <v>1611</v>
      </c>
      <c r="M3227" s="127">
        <v>633706</v>
      </c>
      <c r="N3227" s="109"/>
      <c r="O3227" s="19" t="s">
        <v>6359</v>
      </c>
      <c r="P3227" s="32"/>
      <c r="Q3227" s="32"/>
    </row>
    <row r="3228" spans="1:17" ht="24.9" customHeight="1">
      <c r="A3228" s="20">
        <v>461</v>
      </c>
      <c r="B3228" s="20" t="s">
        <v>4351</v>
      </c>
      <c r="C3228" s="20">
        <v>1</v>
      </c>
      <c r="D3228" s="20" t="s">
        <v>8346</v>
      </c>
      <c r="E3228" s="19" t="str">
        <f>VLOOKUP(D3228,'لیست پرسنل'!$B$2:$E$1020,3,FALSE)</f>
        <v>آهن مهام</v>
      </c>
      <c r="F3228" s="19" t="str">
        <f>VLOOKUP(D3228,'لیست پرسنل'!$B$2:$E$1020,4,FALSE)</f>
        <v>سرپرست حراست</v>
      </c>
      <c r="G3228" s="127">
        <f>VLOOKUP(D3228,'لیست پرسنل'!$B$2:$F$1020,2,FALSE)</f>
        <v>20957</v>
      </c>
      <c r="H3228" s="151" t="s">
        <v>7050</v>
      </c>
      <c r="I3228" s="127" t="s">
        <v>1794</v>
      </c>
      <c r="J3228" s="128" t="s">
        <v>5927</v>
      </c>
      <c r="K3228" s="127" t="s">
        <v>8452</v>
      </c>
      <c r="L3228" s="127" t="s">
        <v>8453</v>
      </c>
      <c r="M3228" s="127">
        <v>637008</v>
      </c>
      <c r="N3228" s="109" t="s">
        <v>3982</v>
      </c>
      <c r="O3228" s="20" t="s">
        <v>8594</v>
      </c>
      <c r="P3228" s="20"/>
      <c r="Q3228" s="20"/>
    </row>
    <row r="3229" spans="1:17" ht="24.9" customHeight="1">
      <c r="A3229" s="20">
        <v>461</v>
      </c>
      <c r="B3229" s="20" t="s">
        <v>4352</v>
      </c>
      <c r="C3229" s="20"/>
      <c r="D3229" s="20" t="s">
        <v>48</v>
      </c>
      <c r="E3229" s="19" t="str">
        <f>VLOOKUP(D3229,'لیست پرسنل'!$B$2:$E$1020,3,FALSE)</f>
        <v>فکورصنعت</v>
      </c>
      <c r="F3229" s="19" t="str">
        <f>VLOOKUP(D3229,'لیست پرسنل'!$B$2:$E$1020,4,FALSE)</f>
        <v>سرپرست آی تی</v>
      </c>
      <c r="G3229" s="127">
        <f>VLOOKUP(D3229,'لیست پرسنل'!$B$2:$F$1020,2,FALSE)</f>
        <v>2210</v>
      </c>
      <c r="H3229" s="128" t="s">
        <v>3996</v>
      </c>
      <c r="I3229" s="128"/>
      <c r="J3229" s="128" t="s">
        <v>2689</v>
      </c>
      <c r="K3229" s="128" t="s">
        <v>2651</v>
      </c>
      <c r="L3229" s="128" t="s">
        <v>4388</v>
      </c>
      <c r="M3229" s="145">
        <v>607448</v>
      </c>
      <c r="N3229" s="122"/>
      <c r="O3229" s="20" t="s">
        <v>4387</v>
      </c>
      <c r="P3229" s="20"/>
      <c r="Q3229" s="20"/>
    </row>
    <row r="3230" spans="1:17" ht="24.9" customHeight="1">
      <c r="A3230" s="20">
        <v>461</v>
      </c>
      <c r="B3230" s="20" t="s">
        <v>4352</v>
      </c>
      <c r="C3230" s="20"/>
      <c r="D3230" s="20" t="s">
        <v>48</v>
      </c>
      <c r="E3230" s="19" t="str">
        <f>VLOOKUP(D3230,'لیست پرسنل'!$B$2:$E$1020,3,FALSE)</f>
        <v>فکورصنعت</v>
      </c>
      <c r="F3230" s="19" t="str">
        <f>VLOOKUP(D3230,'لیست پرسنل'!$B$2:$E$1020,4,FALSE)</f>
        <v>سرپرست آی تی</v>
      </c>
      <c r="G3230" s="127">
        <f>VLOOKUP(D3230,'لیست پرسنل'!$B$2:$F$1020,2,FALSE)</f>
        <v>2210</v>
      </c>
      <c r="H3230" s="128" t="s">
        <v>3996</v>
      </c>
      <c r="I3230" s="128"/>
      <c r="J3230" s="128" t="s">
        <v>2689</v>
      </c>
      <c r="K3230" s="128" t="s">
        <v>4386</v>
      </c>
      <c r="L3230" s="128" t="s">
        <v>4385</v>
      </c>
      <c r="M3230" s="126">
        <v>607638</v>
      </c>
      <c r="N3230" s="109"/>
      <c r="O3230" s="19" t="s">
        <v>4387</v>
      </c>
      <c r="P3230" s="19"/>
      <c r="Q3230" s="28"/>
    </row>
    <row r="3231" spans="1:17" ht="24.9" customHeight="1">
      <c r="A3231" s="20">
        <v>461</v>
      </c>
      <c r="B3231" s="20" t="s">
        <v>4352</v>
      </c>
      <c r="C3231" s="20"/>
      <c r="D3231" s="20" t="s">
        <v>48</v>
      </c>
      <c r="E3231" s="19" t="str">
        <f>VLOOKUP(D3231,'لیست پرسنل'!$B$2:$E$1020,3,FALSE)</f>
        <v>فکورصنعت</v>
      </c>
      <c r="F3231" s="19" t="str">
        <f>VLOOKUP(D3231,'لیست پرسنل'!$B$2:$E$1020,4,FALSE)</f>
        <v>سرپرست آی تی</v>
      </c>
      <c r="G3231" s="127">
        <f>VLOOKUP(D3231,'لیست پرسنل'!$B$2:$F$1020,2,FALSE)</f>
        <v>2210</v>
      </c>
      <c r="H3231" s="128" t="s">
        <v>3996</v>
      </c>
      <c r="I3231" s="128"/>
      <c r="J3231" s="128" t="s">
        <v>2689</v>
      </c>
      <c r="K3231" s="128" t="s">
        <v>2751</v>
      </c>
      <c r="L3231" s="128" t="s">
        <v>4389</v>
      </c>
      <c r="M3231" s="126">
        <v>614007</v>
      </c>
      <c r="N3231" s="109"/>
      <c r="O3231" s="19" t="s">
        <v>4387</v>
      </c>
      <c r="P3231" s="19"/>
      <c r="Q3231" s="28"/>
    </row>
    <row r="3232" spans="1:17" ht="24.9" customHeight="1">
      <c r="A3232" s="20">
        <v>461</v>
      </c>
      <c r="B3232" s="20" t="s">
        <v>4352</v>
      </c>
      <c r="C3232" s="20"/>
      <c r="D3232" s="20" t="s">
        <v>48</v>
      </c>
      <c r="E3232" s="19" t="str">
        <f>VLOOKUP(D3232,'لیست پرسنل'!$B$2:$E$1020,3,FALSE)</f>
        <v>فکورصنعت</v>
      </c>
      <c r="F3232" s="19" t="str">
        <f>VLOOKUP(D3232,'لیست پرسنل'!$B$2:$E$1020,4,FALSE)</f>
        <v>سرپرست آی تی</v>
      </c>
      <c r="G3232" s="127">
        <f>VLOOKUP(D3232,'لیست پرسنل'!$B$2:$F$1020,2,FALSE)</f>
        <v>2210</v>
      </c>
      <c r="H3232" s="128" t="s">
        <v>3996</v>
      </c>
      <c r="I3232" s="128"/>
      <c r="J3232" s="128" t="s">
        <v>2886</v>
      </c>
      <c r="K3232" s="128" t="s">
        <v>985</v>
      </c>
      <c r="L3232" s="128"/>
      <c r="M3232" s="128" t="s">
        <v>291</v>
      </c>
      <c r="N3232" s="108"/>
      <c r="O3232" s="20"/>
      <c r="P3232" s="20"/>
      <c r="Q3232" s="20"/>
    </row>
    <row r="3233" spans="1:17" ht="24.9" customHeight="1">
      <c r="A3233" s="20">
        <v>461</v>
      </c>
      <c r="B3233" s="20" t="s">
        <v>4352</v>
      </c>
      <c r="C3233" s="19"/>
      <c r="D3233" s="20" t="s">
        <v>48</v>
      </c>
      <c r="E3233" s="19" t="str">
        <f>VLOOKUP(D3233,'لیست پرسنل'!$B$2:$E$1020,3,FALSE)</f>
        <v>فکورصنعت</v>
      </c>
      <c r="F3233" s="19" t="str">
        <f>VLOOKUP(D3233,'لیست پرسنل'!$B$2:$E$1020,4,FALSE)</f>
        <v>سرپرست آی تی</v>
      </c>
      <c r="G3233" s="127">
        <f>VLOOKUP(D3233,'لیست پرسنل'!$B$2:$F$1020,2,FALSE)</f>
        <v>2210</v>
      </c>
      <c r="H3233" s="128" t="s">
        <v>3996</v>
      </c>
      <c r="I3233" s="128"/>
      <c r="J3233" s="128" t="s">
        <v>3476</v>
      </c>
      <c r="K3233" s="128" t="s">
        <v>2048</v>
      </c>
      <c r="L3233" s="128" t="s">
        <v>2049</v>
      </c>
      <c r="M3233" s="128">
        <v>610223</v>
      </c>
      <c r="N3233" s="108"/>
      <c r="O3233" s="20" t="s">
        <v>697</v>
      </c>
      <c r="P3233" s="20"/>
      <c r="Q3233" s="20"/>
    </row>
    <row r="3234" spans="1:17" ht="24.9" customHeight="1">
      <c r="A3234" s="20">
        <v>461</v>
      </c>
      <c r="B3234" s="20" t="s">
        <v>4352</v>
      </c>
      <c r="C3234" s="20"/>
      <c r="D3234" s="20" t="s">
        <v>48</v>
      </c>
      <c r="E3234" s="19" t="str">
        <f>VLOOKUP(D3234,'لیست پرسنل'!$B$2:$E$1020,3,FALSE)</f>
        <v>فکورصنعت</v>
      </c>
      <c r="F3234" s="19" t="str">
        <f>VLOOKUP(D3234,'لیست پرسنل'!$B$2:$E$1020,4,FALSE)</f>
        <v>سرپرست آی تی</v>
      </c>
      <c r="G3234" s="127">
        <f>VLOOKUP(D3234,'لیست پرسنل'!$B$2:$F$1020,2,FALSE)</f>
        <v>2210</v>
      </c>
      <c r="H3234" s="128" t="s">
        <v>3996</v>
      </c>
      <c r="I3234" s="128"/>
      <c r="J3234" s="128" t="s">
        <v>3476</v>
      </c>
      <c r="K3234" s="128" t="s">
        <v>6447</v>
      </c>
      <c r="L3234" s="128" t="s">
        <v>4165</v>
      </c>
      <c r="M3234" s="128">
        <v>621270</v>
      </c>
      <c r="N3234" s="108"/>
      <c r="O3234" s="20" t="s">
        <v>4148</v>
      </c>
      <c r="P3234" s="20"/>
      <c r="Q3234" s="20"/>
    </row>
    <row r="3235" spans="1:17" ht="24.9" customHeight="1">
      <c r="A3235" s="20">
        <v>461</v>
      </c>
      <c r="B3235" s="20" t="s">
        <v>4352</v>
      </c>
      <c r="C3235" s="20"/>
      <c r="D3235" s="20" t="s">
        <v>48</v>
      </c>
      <c r="E3235" s="19" t="str">
        <f>VLOOKUP(D3235,'لیست پرسنل'!$B$2:$E$1020,3,FALSE)</f>
        <v>فکورصنعت</v>
      </c>
      <c r="F3235" s="19" t="str">
        <f>VLOOKUP(D3235,'لیست پرسنل'!$B$2:$E$1020,4,FALSE)</f>
        <v>سرپرست آی تی</v>
      </c>
      <c r="G3235" s="127">
        <f>VLOOKUP(D3235,'لیست پرسنل'!$B$2:$F$1020,2,FALSE)</f>
        <v>2210</v>
      </c>
      <c r="H3235" s="128" t="s">
        <v>3996</v>
      </c>
      <c r="I3235" s="128"/>
      <c r="J3235" s="128" t="s">
        <v>3476</v>
      </c>
      <c r="K3235" s="128" t="s">
        <v>4801</v>
      </c>
      <c r="L3235" s="128" t="s">
        <v>4798</v>
      </c>
      <c r="M3235" s="128">
        <v>630674</v>
      </c>
      <c r="N3235" s="108"/>
      <c r="O3235" s="20"/>
      <c r="P3235" s="20"/>
      <c r="Q3235" s="20"/>
    </row>
    <row r="3236" spans="1:17" ht="24.9" customHeight="1">
      <c r="A3236" s="185">
        <v>461</v>
      </c>
      <c r="B3236" s="185" t="s">
        <v>4352</v>
      </c>
      <c r="C3236" s="185"/>
      <c r="D3236" s="67" t="s">
        <v>48</v>
      </c>
      <c r="E3236" s="186" t="str">
        <f>VLOOKUP(D3236,'لیست پرسنل'!$B$2:$E$1020,3,FALSE)</f>
        <v>فکورصنعت</v>
      </c>
      <c r="F3236" s="186" t="str">
        <f>VLOOKUP(D3236,'لیست پرسنل'!$B$2:$E$1020,4,FALSE)</f>
        <v>سرپرست آی تی</v>
      </c>
      <c r="G3236" s="187">
        <f>VLOOKUP(D3236,'لیست پرسنل'!$B$2:$F$1020,2,FALSE)</f>
        <v>2210</v>
      </c>
      <c r="H3236" s="188" t="s">
        <v>3996</v>
      </c>
      <c r="I3236" s="194"/>
      <c r="J3236" s="188" t="s">
        <v>571</v>
      </c>
      <c r="K3236" s="188" t="s">
        <v>3784</v>
      </c>
      <c r="L3236" s="188"/>
      <c r="M3236" s="190">
        <v>601497</v>
      </c>
      <c r="N3236" s="189"/>
      <c r="O3236" s="186" t="s">
        <v>4381</v>
      </c>
      <c r="P3236" s="186"/>
      <c r="Q3236" s="185"/>
    </row>
    <row r="3237" spans="1:17" ht="24.9" customHeight="1">
      <c r="A3237" s="20">
        <v>461</v>
      </c>
      <c r="B3237" s="20" t="s">
        <v>4352</v>
      </c>
      <c r="C3237" s="20"/>
      <c r="D3237" s="20" t="s">
        <v>48</v>
      </c>
      <c r="E3237" s="19" t="str">
        <f>VLOOKUP(D3237,'لیست پرسنل'!$B$2:$E$1020,3,FALSE)</f>
        <v>فکورصنعت</v>
      </c>
      <c r="F3237" s="19" t="str">
        <f>VLOOKUP(D3237,'لیست پرسنل'!$B$2:$E$1020,4,FALSE)</f>
        <v>سرپرست آی تی</v>
      </c>
      <c r="G3237" s="127">
        <f>VLOOKUP(D3237,'لیست پرسنل'!$B$2:$F$1020,2,FALSE)</f>
        <v>2210</v>
      </c>
      <c r="H3237" s="128" t="s">
        <v>3996</v>
      </c>
      <c r="I3237" s="128"/>
      <c r="J3237" s="128" t="s">
        <v>571</v>
      </c>
      <c r="K3237" s="128" t="s">
        <v>410</v>
      </c>
      <c r="L3237" s="128" t="s">
        <v>192</v>
      </c>
      <c r="M3237" s="127">
        <v>603354</v>
      </c>
      <c r="N3237" s="109"/>
      <c r="O3237" s="48" t="s">
        <v>4395</v>
      </c>
      <c r="P3237" s="19"/>
      <c r="Q3237" s="28"/>
    </row>
    <row r="3238" spans="1:17" ht="24.9" customHeight="1">
      <c r="A3238" s="20">
        <v>461</v>
      </c>
      <c r="B3238" s="20" t="s">
        <v>4352</v>
      </c>
      <c r="C3238" s="19"/>
      <c r="D3238" s="46" t="s">
        <v>48</v>
      </c>
      <c r="E3238" s="19" t="str">
        <f>VLOOKUP(D3238,'لیست پرسنل'!$B$2:$E$1020,3,FALSE)</f>
        <v>فکورصنعت</v>
      </c>
      <c r="F3238" s="19" t="str">
        <f>VLOOKUP(D3238,'لیست پرسنل'!$B$2:$E$1020,4,FALSE)</f>
        <v>سرپرست آی تی</v>
      </c>
      <c r="G3238" s="127">
        <f>VLOOKUP(D3238,'لیست پرسنل'!$B$2:$F$1020,2,FALSE)</f>
        <v>2210</v>
      </c>
      <c r="H3238" s="128" t="s">
        <v>3996</v>
      </c>
      <c r="I3238" s="128"/>
      <c r="J3238" s="128" t="s">
        <v>571</v>
      </c>
      <c r="K3238" s="128" t="s">
        <v>2054</v>
      </c>
      <c r="L3238" s="126"/>
      <c r="M3238" s="128">
        <v>603570</v>
      </c>
      <c r="N3238" s="108"/>
      <c r="O3238" s="20"/>
      <c r="P3238" s="20"/>
      <c r="Q3238" s="20"/>
    </row>
    <row r="3239" spans="1:17" ht="24.9" customHeight="1">
      <c r="A3239" s="20">
        <v>461</v>
      </c>
      <c r="B3239" s="20" t="s">
        <v>4352</v>
      </c>
      <c r="C3239" s="20"/>
      <c r="D3239" s="20" t="s">
        <v>48</v>
      </c>
      <c r="E3239" s="19" t="str">
        <f>VLOOKUP(D3239,'لیست پرسنل'!$B$2:$E$1020,3,FALSE)</f>
        <v>فکورصنعت</v>
      </c>
      <c r="F3239" s="19" t="str">
        <f>VLOOKUP(D3239,'لیست پرسنل'!$B$2:$E$1020,4,FALSE)</f>
        <v>سرپرست آی تی</v>
      </c>
      <c r="G3239" s="127">
        <f>VLOOKUP(D3239,'لیست پرسنل'!$B$2:$F$1020,2,FALSE)</f>
        <v>2210</v>
      </c>
      <c r="H3239" s="128" t="s">
        <v>3996</v>
      </c>
      <c r="I3239" s="128"/>
      <c r="J3239" s="128" t="s">
        <v>571</v>
      </c>
      <c r="K3239" s="128" t="s">
        <v>3784</v>
      </c>
      <c r="L3239" s="128"/>
      <c r="M3239" s="127">
        <v>604303</v>
      </c>
      <c r="N3239" s="109"/>
      <c r="O3239" s="19"/>
      <c r="P3239" s="20"/>
      <c r="Q3239" s="20"/>
    </row>
    <row r="3240" spans="1:17" ht="24.9" customHeight="1">
      <c r="A3240" s="20">
        <v>461</v>
      </c>
      <c r="B3240" s="20" t="s">
        <v>4352</v>
      </c>
      <c r="C3240" s="19"/>
      <c r="D3240" s="31" t="s">
        <v>48</v>
      </c>
      <c r="E3240" s="19" t="str">
        <f>VLOOKUP(D3240,'لیست پرسنل'!$B$2:$E$1020,3,FALSE)</f>
        <v>فکورصنعت</v>
      </c>
      <c r="F3240" s="19" t="str">
        <f>VLOOKUP(D3240,'لیست پرسنل'!$B$2:$E$1020,4,FALSE)</f>
        <v>سرپرست آی تی</v>
      </c>
      <c r="G3240" s="127">
        <f>VLOOKUP(D3240,'لیست پرسنل'!$B$2:$F$1020,2,FALSE)</f>
        <v>2210</v>
      </c>
      <c r="H3240" s="127" t="s">
        <v>3996</v>
      </c>
      <c r="I3240" s="126"/>
      <c r="J3240" s="128" t="s">
        <v>571</v>
      </c>
      <c r="K3240" s="134"/>
      <c r="L3240" s="164"/>
      <c r="M3240" s="127">
        <v>605408</v>
      </c>
      <c r="N3240" s="109"/>
      <c r="O3240" s="19" t="s">
        <v>6688</v>
      </c>
      <c r="P3240" s="20"/>
      <c r="Q3240" s="20"/>
    </row>
    <row r="3241" spans="1:17" ht="24.9" customHeight="1">
      <c r="A3241" s="20">
        <v>461</v>
      </c>
      <c r="B3241" s="20" t="s">
        <v>4352</v>
      </c>
      <c r="C3241" s="20"/>
      <c r="D3241" s="20" t="s">
        <v>48</v>
      </c>
      <c r="E3241" s="19" t="str">
        <f>VLOOKUP(D3241,'لیست پرسنل'!$B$2:$E$1020,3,FALSE)</f>
        <v>فکورصنعت</v>
      </c>
      <c r="F3241" s="19" t="str">
        <f>VLOOKUP(D3241,'لیست پرسنل'!$B$2:$E$1020,4,FALSE)</f>
        <v>سرپرست آی تی</v>
      </c>
      <c r="G3241" s="127">
        <f>VLOOKUP(D3241,'لیست پرسنل'!$B$2:$F$1020,2,FALSE)</f>
        <v>2210</v>
      </c>
      <c r="H3241" s="128" t="s">
        <v>3996</v>
      </c>
      <c r="I3241" s="128"/>
      <c r="J3241" s="128" t="s">
        <v>571</v>
      </c>
      <c r="K3241" s="128"/>
      <c r="L3241" s="128"/>
      <c r="M3241" s="128">
        <v>607675</v>
      </c>
      <c r="N3241" s="108"/>
      <c r="O3241" s="20" t="s">
        <v>5225</v>
      </c>
      <c r="P3241" s="20"/>
      <c r="Q3241" s="20"/>
    </row>
    <row r="3242" spans="1:17" ht="24.9" customHeight="1">
      <c r="A3242" s="20">
        <v>461</v>
      </c>
      <c r="B3242" s="20" t="s">
        <v>4352</v>
      </c>
      <c r="C3242" s="19"/>
      <c r="D3242" s="20" t="s">
        <v>48</v>
      </c>
      <c r="E3242" s="19" t="str">
        <f>VLOOKUP(D3242,'لیست پرسنل'!$B$2:$E$1020,3,FALSE)</f>
        <v>فکورصنعت</v>
      </c>
      <c r="F3242" s="19" t="str">
        <f>VLOOKUP(D3242,'لیست پرسنل'!$B$2:$E$1020,4,FALSE)</f>
        <v>سرپرست آی تی</v>
      </c>
      <c r="G3242" s="127">
        <f>VLOOKUP(D3242,'لیست پرسنل'!$B$2:$F$1020,2,FALSE)</f>
        <v>2210</v>
      </c>
      <c r="H3242" s="128" t="s">
        <v>3996</v>
      </c>
      <c r="I3242" s="128"/>
      <c r="J3242" s="128" t="s">
        <v>571</v>
      </c>
      <c r="K3242" s="128"/>
      <c r="L3242" s="151"/>
      <c r="M3242" s="128">
        <v>608106</v>
      </c>
      <c r="N3242" s="108"/>
      <c r="O3242" s="20"/>
      <c r="P3242" s="20"/>
      <c r="Q3242" s="20"/>
    </row>
    <row r="3243" spans="1:17" ht="24.9" customHeight="1">
      <c r="A3243" s="20">
        <v>461</v>
      </c>
      <c r="B3243" s="20" t="s">
        <v>4352</v>
      </c>
      <c r="C3243" s="20"/>
      <c r="D3243" s="20" t="s">
        <v>48</v>
      </c>
      <c r="E3243" s="19" t="str">
        <f>VLOOKUP(D3243,'لیست پرسنل'!$B$2:$E$1020,3,FALSE)</f>
        <v>فکورصنعت</v>
      </c>
      <c r="F3243" s="19" t="str">
        <f>VLOOKUP(D3243,'لیست پرسنل'!$B$2:$E$1020,4,FALSE)</f>
        <v>سرپرست آی تی</v>
      </c>
      <c r="G3243" s="127">
        <f>VLOOKUP(D3243,'لیست پرسنل'!$B$2:$F$1020,2,FALSE)</f>
        <v>2210</v>
      </c>
      <c r="H3243" s="128" t="s">
        <v>3996</v>
      </c>
      <c r="I3243" s="128"/>
      <c r="J3243" s="128" t="s">
        <v>571</v>
      </c>
      <c r="K3243" s="128" t="s">
        <v>410</v>
      </c>
      <c r="L3243" s="128" t="s">
        <v>77</v>
      </c>
      <c r="M3243" s="127">
        <v>609707</v>
      </c>
      <c r="N3243" s="109"/>
      <c r="O3243" s="19" t="s">
        <v>4387</v>
      </c>
      <c r="P3243" s="19"/>
      <c r="Q3243" s="28"/>
    </row>
    <row r="3244" spans="1:17" ht="24.9" customHeight="1">
      <c r="A3244" s="20">
        <v>461</v>
      </c>
      <c r="B3244" s="20" t="s">
        <v>4351</v>
      </c>
      <c r="C3244" s="19">
        <v>1</v>
      </c>
      <c r="D3244" s="19" t="s">
        <v>8346</v>
      </c>
      <c r="E3244" s="19" t="str">
        <f>VLOOKUP(D3244,'لیست پرسنل'!$B$2:$E$1020,3,FALSE)</f>
        <v>آهن مهام</v>
      </c>
      <c r="F3244" s="19" t="str">
        <f>VLOOKUP(D3244,'لیست پرسنل'!$B$2:$E$1020,4,FALSE)</f>
        <v>سرپرست حراست</v>
      </c>
      <c r="G3244" s="127">
        <f>VLOOKUP(D3244,'لیست پرسنل'!$B$2:$F$1020,2,FALSE)</f>
        <v>20957</v>
      </c>
      <c r="H3244" s="151" t="s">
        <v>7050</v>
      </c>
      <c r="I3244" s="127" t="s">
        <v>1794</v>
      </c>
      <c r="J3244" s="127" t="s">
        <v>571</v>
      </c>
      <c r="K3244" s="128" t="s">
        <v>2219</v>
      </c>
      <c r="L3244" s="151"/>
      <c r="M3244" s="127">
        <v>627881</v>
      </c>
      <c r="N3244" s="109" t="s">
        <v>3982</v>
      </c>
      <c r="O3244" s="19" t="s">
        <v>8594</v>
      </c>
      <c r="P3244" s="20"/>
      <c r="Q3244" s="20"/>
    </row>
    <row r="3245" spans="1:17" ht="24.9" customHeight="1">
      <c r="A3245" s="20">
        <v>461</v>
      </c>
      <c r="B3245" s="20" t="s">
        <v>4352</v>
      </c>
      <c r="C3245" s="19"/>
      <c r="D3245" s="19" t="s">
        <v>48</v>
      </c>
      <c r="E3245" s="19" t="str">
        <f>VLOOKUP(D3245,'لیست پرسنل'!$B$2:$E$1020,3,FALSE)</f>
        <v>فکورصنعت</v>
      </c>
      <c r="F3245" s="19" t="str">
        <f>VLOOKUP(D3245,'لیست پرسنل'!$B$2:$E$1020,4,FALSE)</f>
        <v>سرپرست آی تی</v>
      </c>
      <c r="G3245" s="127">
        <f>VLOOKUP(D3245,'لیست پرسنل'!$B$2:$F$1020,2,FALSE)</f>
        <v>2210</v>
      </c>
      <c r="H3245" s="151" t="s">
        <v>3996</v>
      </c>
      <c r="I3245" s="127"/>
      <c r="J3245" s="127" t="s">
        <v>571</v>
      </c>
      <c r="K3245" s="128" t="s">
        <v>2219</v>
      </c>
      <c r="L3245" s="127" t="s">
        <v>7997</v>
      </c>
      <c r="M3245" s="127">
        <v>628136</v>
      </c>
      <c r="N3245" s="111"/>
      <c r="O3245" s="20"/>
      <c r="P3245" s="20"/>
      <c r="Q3245" s="20"/>
    </row>
    <row r="3246" spans="1:17" ht="24.9" customHeight="1">
      <c r="A3246" s="20">
        <v>461</v>
      </c>
      <c r="B3246" s="20" t="s">
        <v>4352</v>
      </c>
      <c r="C3246" s="20"/>
      <c r="D3246" s="20" t="s">
        <v>48</v>
      </c>
      <c r="E3246" s="19" t="str">
        <f>VLOOKUP(D3246,'لیست پرسنل'!$B$2:$E$1020,3,FALSE)</f>
        <v>فکورصنعت</v>
      </c>
      <c r="F3246" s="19" t="str">
        <f>VLOOKUP(D3246,'لیست پرسنل'!$B$2:$E$1020,4,FALSE)</f>
        <v>سرپرست آی تی</v>
      </c>
      <c r="G3246" s="127">
        <f>VLOOKUP(D3246,'لیست پرسنل'!$B$2:$F$1020,2,FALSE)</f>
        <v>2210</v>
      </c>
      <c r="H3246" s="126" t="s">
        <v>3996</v>
      </c>
      <c r="I3246" s="128"/>
      <c r="J3246" s="141" t="s">
        <v>571</v>
      </c>
      <c r="K3246" s="135" t="s">
        <v>2219</v>
      </c>
      <c r="L3246" s="154" t="s">
        <v>5782</v>
      </c>
      <c r="M3246" s="131">
        <v>632053</v>
      </c>
      <c r="N3246" s="108"/>
      <c r="O3246" s="20"/>
      <c r="P3246" s="20"/>
      <c r="Q3246" s="20"/>
    </row>
    <row r="3247" spans="1:17" ht="24.9" customHeight="1">
      <c r="A3247" s="20">
        <v>461</v>
      </c>
      <c r="B3247" s="20" t="s">
        <v>4352</v>
      </c>
      <c r="C3247" s="20"/>
      <c r="D3247" s="20" t="s">
        <v>48</v>
      </c>
      <c r="E3247" s="19" t="str">
        <f>VLOOKUP(D3247,'لیست پرسنل'!$B$2:$E$1020,3,FALSE)</f>
        <v>فکورصنعت</v>
      </c>
      <c r="F3247" s="19" t="str">
        <f>VLOOKUP(D3247,'لیست پرسنل'!$B$2:$E$1020,4,FALSE)</f>
        <v>سرپرست آی تی</v>
      </c>
      <c r="G3247" s="127">
        <f>VLOOKUP(D3247,'لیست پرسنل'!$B$2:$F$1020,2,FALSE)</f>
        <v>2210</v>
      </c>
      <c r="H3247" s="128" t="s">
        <v>3996</v>
      </c>
      <c r="I3247" s="128"/>
      <c r="J3247" s="128" t="s">
        <v>5618</v>
      </c>
      <c r="K3247" s="128" t="s">
        <v>7204</v>
      </c>
      <c r="L3247" s="127" t="s">
        <v>7205</v>
      </c>
      <c r="M3247" s="127">
        <v>635880</v>
      </c>
      <c r="N3247" s="109"/>
      <c r="O3247" s="19"/>
      <c r="P3247" s="32"/>
      <c r="Q3247" s="32"/>
    </row>
    <row r="3248" spans="1:17" ht="24.9" customHeight="1">
      <c r="A3248" s="20">
        <v>461</v>
      </c>
      <c r="B3248" s="20" t="s">
        <v>4352</v>
      </c>
      <c r="C3248" s="20"/>
      <c r="D3248" s="20" t="s">
        <v>48</v>
      </c>
      <c r="E3248" s="19" t="str">
        <f>VLOOKUP(D3248,'لیست پرسنل'!$B$2:$E$1020,3,FALSE)</f>
        <v>فکورصنعت</v>
      </c>
      <c r="F3248" s="19" t="str">
        <f>VLOOKUP(D3248,'لیست پرسنل'!$B$2:$E$1020,4,FALSE)</f>
        <v>سرپرست آی تی</v>
      </c>
      <c r="G3248" s="127">
        <f>VLOOKUP(D3248,'لیست پرسنل'!$B$2:$F$1020,2,FALSE)</f>
        <v>2210</v>
      </c>
      <c r="H3248" s="128" t="s">
        <v>3996</v>
      </c>
      <c r="I3248" s="128"/>
      <c r="J3248" s="128" t="s">
        <v>5618</v>
      </c>
      <c r="K3248" s="128" t="s">
        <v>7204</v>
      </c>
      <c r="L3248" s="127" t="s">
        <v>7206</v>
      </c>
      <c r="M3248" s="127">
        <v>635881</v>
      </c>
      <c r="N3248" s="109"/>
      <c r="O3248" s="19"/>
      <c r="P3248" s="32"/>
      <c r="Q3248" s="32"/>
    </row>
    <row r="3249" spans="1:17" ht="24.9" customHeight="1">
      <c r="A3249" s="20">
        <v>461</v>
      </c>
      <c r="B3249" s="20" t="s">
        <v>4352</v>
      </c>
      <c r="C3249" s="20"/>
      <c r="D3249" s="20" t="s">
        <v>48</v>
      </c>
      <c r="E3249" s="19" t="str">
        <f>VLOOKUP(D3249,'لیست پرسنل'!$B$2:$E$1020,3,FALSE)</f>
        <v>فکورصنعت</v>
      </c>
      <c r="F3249" s="19" t="str">
        <f>VLOOKUP(D3249,'لیست پرسنل'!$B$2:$E$1020,4,FALSE)</f>
        <v>سرپرست آی تی</v>
      </c>
      <c r="G3249" s="127">
        <f>VLOOKUP(D3249,'لیست پرسنل'!$B$2:$F$1020,2,FALSE)</f>
        <v>2210</v>
      </c>
      <c r="H3249" s="128" t="s">
        <v>3996</v>
      </c>
      <c r="I3249" s="128"/>
      <c r="J3249" s="128" t="s">
        <v>5618</v>
      </c>
      <c r="K3249" s="128" t="s">
        <v>7204</v>
      </c>
      <c r="L3249" s="127" t="s">
        <v>7207</v>
      </c>
      <c r="M3249" s="127">
        <v>635882</v>
      </c>
      <c r="N3249" s="109"/>
      <c r="O3249" s="19"/>
      <c r="P3249" s="32"/>
      <c r="Q3249" s="32"/>
    </row>
    <row r="3250" spans="1:17" ht="24.9" customHeight="1">
      <c r="A3250" s="20">
        <v>461</v>
      </c>
      <c r="B3250" s="20" t="s">
        <v>4352</v>
      </c>
      <c r="C3250" s="20"/>
      <c r="D3250" s="20" t="s">
        <v>48</v>
      </c>
      <c r="E3250" s="19" t="str">
        <f>VLOOKUP(D3250,'لیست پرسنل'!$B$2:$E$1020,3,FALSE)</f>
        <v>فکورصنعت</v>
      </c>
      <c r="F3250" s="19" t="str">
        <f>VLOOKUP(D3250,'لیست پرسنل'!$B$2:$E$1020,4,FALSE)</f>
        <v>سرپرست آی تی</v>
      </c>
      <c r="G3250" s="127">
        <f>VLOOKUP(D3250,'لیست پرسنل'!$B$2:$F$1020,2,FALSE)</f>
        <v>2210</v>
      </c>
      <c r="H3250" s="128" t="s">
        <v>3996</v>
      </c>
      <c r="I3250" s="128"/>
      <c r="J3250" s="128" t="s">
        <v>2686</v>
      </c>
      <c r="K3250" s="128" t="s">
        <v>1246</v>
      </c>
      <c r="L3250" s="128" t="s">
        <v>67</v>
      </c>
      <c r="M3250" s="127">
        <v>603822</v>
      </c>
      <c r="N3250" s="109"/>
      <c r="O3250" s="19" t="s">
        <v>4387</v>
      </c>
      <c r="P3250" s="19"/>
      <c r="Q3250" s="28"/>
    </row>
    <row r="3251" spans="1:17" ht="24.9" customHeight="1">
      <c r="A3251" s="20">
        <v>461</v>
      </c>
      <c r="B3251" s="20" t="s">
        <v>4352</v>
      </c>
      <c r="C3251" s="19"/>
      <c r="D3251" s="20" t="s">
        <v>48</v>
      </c>
      <c r="E3251" s="19" t="str">
        <f>VLOOKUP(D3251,'لیست پرسنل'!$B$2:$E$1020,3,FALSE)</f>
        <v>فکورصنعت</v>
      </c>
      <c r="F3251" s="19" t="str">
        <f>VLOOKUP(D3251,'لیست پرسنل'!$B$2:$E$1020,4,FALSE)</f>
        <v>سرپرست آی تی</v>
      </c>
      <c r="G3251" s="127">
        <f>VLOOKUP(D3251,'لیست پرسنل'!$B$2:$F$1020,2,FALSE)</f>
        <v>2210</v>
      </c>
      <c r="H3251" s="128" t="s">
        <v>3996</v>
      </c>
      <c r="I3251" s="128"/>
      <c r="J3251" s="128" t="s">
        <v>2686</v>
      </c>
      <c r="K3251" s="128" t="s">
        <v>562</v>
      </c>
      <c r="L3251" s="151" t="s">
        <v>1213</v>
      </c>
      <c r="M3251" s="128">
        <v>606438</v>
      </c>
      <c r="N3251" s="108"/>
      <c r="O3251" s="20"/>
      <c r="P3251" s="20"/>
      <c r="Q3251" s="20"/>
    </row>
    <row r="3252" spans="1:17" ht="24.9" customHeight="1">
      <c r="A3252" s="20">
        <v>461</v>
      </c>
      <c r="B3252" s="20" t="s">
        <v>4352</v>
      </c>
      <c r="C3252" s="20"/>
      <c r="D3252" s="20" t="s">
        <v>48</v>
      </c>
      <c r="E3252" s="19" t="str">
        <f>VLOOKUP(D3252,'لیست پرسنل'!$B$2:$E$1020,3,FALSE)</f>
        <v>فکورصنعت</v>
      </c>
      <c r="F3252" s="19" t="str">
        <f>VLOOKUP(D3252,'لیست پرسنل'!$B$2:$E$1020,4,FALSE)</f>
        <v>سرپرست آی تی</v>
      </c>
      <c r="G3252" s="127">
        <f>VLOOKUP(D3252,'لیست پرسنل'!$B$2:$F$1020,2,FALSE)</f>
        <v>2210</v>
      </c>
      <c r="H3252" s="128" t="s">
        <v>3996</v>
      </c>
      <c r="I3252" s="128"/>
      <c r="J3252" s="128" t="s">
        <v>2686</v>
      </c>
      <c r="K3252" s="128" t="s">
        <v>497</v>
      </c>
      <c r="L3252" s="128" t="s">
        <v>498</v>
      </c>
      <c r="M3252" s="126">
        <v>607053</v>
      </c>
      <c r="N3252" s="109"/>
      <c r="O3252" s="19" t="s">
        <v>4387</v>
      </c>
      <c r="P3252" s="19"/>
      <c r="Q3252" s="28"/>
    </row>
    <row r="3253" spans="1:17" ht="24.9" customHeight="1">
      <c r="A3253" s="20">
        <v>461</v>
      </c>
      <c r="B3253" s="20" t="s">
        <v>4352</v>
      </c>
      <c r="C3253" s="20"/>
      <c r="D3253" s="20" t="s">
        <v>48</v>
      </c>
      <c r="E3253" s="19" t="str">
        <f>VLOOKUP(D3253,'لیست پرسنل'!$B$2:$E$1020,3,FALSE)</f>
        <v>فکورصنعت</v>
      </c>
      <c r="F3253" s="19" t="str">
        <f>VLOOKUP(D3253,'لیست پرسنل'!$B$2:$E$1020,4,FALSE)</f>
        <v>سرپرست آی تی</v>
      </c>
      <c r="G3253" s="127">
        <f>VLOOKUP(D3253,'لیست پرسنل'!$B$2:$F$1020,2,FALSE)</f>
        <v>2210</v>
      </c>
      <c r="H3253" s="126" t="s">
        <v>3996</v>
      </c>
      <c r="I3253" s="128"/>
      <c r="J3253" s="128" t="s">
        <v>2686</v>
      </c>
      <c r="K3253" s="128" t="s">
        <v>890</v>
      </c>
      <c r="L3253" s="151" t="s">
        <v>3240</v>
      </c>
      <c r="M3253" s="127">
        <v>608128</v>
      </c>
      <c r="N3253" s="109"/>
      <c r="O3253" s="86"/>
      <c r="P3253" s="20"/>
      <c r="Q3253" s="20"/>
    </row>
    <row r="3254" spans="1:17" ht="24.9" customHeight="1">
      <c r="A3254" s="20">
        <v>461</v>
      </c>
      <c r="B3254" s="20" t="s">
        <v>4352</v>
      </c>
      <c r="C3254" s="20"/>
      <c r="D3254" s="20" t="s">
        <v>48</v>
      </c>
      <c r="E3254" s="19" t="str">
        <f>VLOOKUP(D3254,'لیست پرسنل'!$B$2:$E$1020,3,FALSE)</f>
        <v>فکورصنعت</v>
      </c>
      <c r="F3254" s="19" t="str">
        <f>VLOOKUP(D3254,'لیست پرسنل'!$B$2:$E$1020,4,FALSE)</f>
        <v>سرپرست آی تی</v>
      </c>
      <c r="G3254" s="127">
        <f>VLOOKUP(D3254,'لیست پرسنل'!$B$2:$F$1020,2,FALSE)</f>
        <v>2210</v>
      </c>
      <c r="H3254" s="128" t="s">
        <v>3996</v>
      </c>
      <c r="I3254" s="128"/>
      <c r="J3254" s="128" t="s">
        <v>2686</v>
      </c>
      <c r="K3254" s="128" t="s">
        <v>2081</v>
      </c>
      <c r="L3254" s="128" t="s">
        <v>2083</v>
      </c>
      <c r="M3254" s="128">
        <v>611437</v>
      </c>
      <c r="N3254" s="108"/>
      <c r="O3254" s="20" t="s">
        <v>705</v>
      </c>
      <c r="P3254" s="20"/>
      <c r="Q3254" s="20"/>
    </row>
    <row r="3255" spans="1:17" ht="24.9" customHeight="1">
      <c r="A3255" s="20">
        <v>461</v>
      </c>
      <c r="B3255" s="20" t="s">
        <v>4352</v>
      </c>
      <c r="C3255" s="19"/>
      <c r="D3255" s="20" t="s">
        <v>48</v>
      </c>
      <c r="E3255" s="19" t="str">
        <f>VLOOKUP(D3255,'لیست پرسنل'!$B$2:$E$1020,3,FALSE)</f>
        <v>فکورصنعت</v>
      </c>
      <c r="F3255" s="19" t="str">
        <f>VLOOKUP(D3255,'لیست پرسنل'!$B$2:$E$1020,4,FALSE)</f>
        <v>سرپرست آی تی</v>
      </c>
      <c r="G3255" s="127">
        <f>VLOOKUP(D3255,'لیست پرسنل'!$B$2:$F$1020,2,FALSE)</f>
        <v>2210</v>
      </c>
      <c r="H3255" s="128" t="s">
        <v>3996</v>
      </c>
      <c r="I3255" s="128"/>
      <c r="J3255" s="128" t="s">
        <v>2686</v>
      </c>
      <c r="K3255" s="128" t="s">
        <v>320</v>
      </c>
      <c r="L3255" s="152" t="s">
        <v>1891</v>
      </c>
      <c r="M3255" s="128">
        <v>618637</v>
      </c>
      <c r="N3255" s="108"/>
      <c r="O3255" s="20"/>
      <c r="P3255" s="20"/>
      <c r="Q3255" s="20"/>
    </row>
    <row r="3256" spans="1:17" ht="24.9" customHeight="1">
      <c r="A3256" s="20">
        <v>461</v>
      </c>
      <c r="B3256" s="20" t="s">
        <v>4352</v>
      </c>
      <c r="C3256" s="19"/>
      <c r="D3256" s="19" t="s">
        <v>48</v>
      </c>
      <c r="E3256" s="19" t="str">
        <f>VLOOKUP(D3256,'لیست پرسنل'!$B$2:$E$1020,3,FALSE)</f>
        <v>فکورصنعت</v>
      </c>
      <c r="F3256" s="19" t="str">
        <f>VLOOKUP(D3256,'لیست پرسنل'!$B$2:$E$1020,4,FALSE)</f>
        <v>سرپرست آی تی</v>
      </c>
      <c r="G3256" s="127">
        <f>VLOOKUP(D3256,'لیست پرسنل'!$B$2:$F$1020,2,FALSE)</f>
        <v>2210</v>
      </c>
      <c r="H3256" s="151" t="s">
        <v>3996</v>
      </c>
      <c r="I3256" s="127"/>
      <c r="J3256" s="128" t="s">
        <v>2686</v>
      </c>
      <c r="K3256" s="128" t="s">
        <v>371</v>
      </c>
      <c r="L3256" s="151" t="s">
        <v>1698</v>
      </c>
      <c r="M3256" s="127">
        <v>618745</v>
      </c>
      <c r="N3256" s="109"/>
      <c r="O3256" s="86"/>
      <c r="P3256" s="20"/>
      <c r="Q3256" s="20"/>
    </row>
    <row r="3257" spans="1:17" ht="24.9" customHeight="1">
      <c r="A3257" s="185">
        <v>461</v>
      </c>
      <c r="B3257" s="185" t="s">
        <v>4352</v>
      </c>
      <c r="C3257" s="186"/>
      <c r="D3257" s="208" t="s">
        <v>48</v>
      </c>
      <c r="E3257" s="186" t="str">
        <f>VLOOKUP(D3257,'لیست پرسنل'!$B$2:$E$1020,3,FALSE)</f>
        <v>فکورصنعت</v>
      </c>
      <c r="F3257" s="186" t="str">
        <f>VLOOKUP(D3257,'لیست پرسنل'!$B$2:$E$1020,4,FALSE)</f>
        <v>سرپرست آی تی</v>
      </c>
      <c r="G3257" s="187">
        <f>VLOOKUP(D3257,'لیست پرسنل'!$B$2:$F$1020,2,FALSE)</f>
        <v>2210</v>
      </c>
      <c r="H3257" s="206" t="s">
        <v>3996</v>
      </c>
      <c r="I3257" s="190"/>
      <c r="J3257" s="188" t="s">
        <v>2686</v>
      </c>
      <c r="K3257" s="188" t="s">
        <v>2922</v>
      </c>
      <c r="L3257" s="187" t="s">
        <v>3037</v>
      </c>
      <c r="M3257" s="194">
        <v>626520</v>
      </c>
      <c r="N3257" s="225"/>
      <c r="O3257" s="185" t="s">
        <v>705</v>
      </c>
      <c r="P3257" s="185"/>
      <c r="Q3257" s="185"/>
    </row>
    <row r="3258" spans="1:17" ht="24.9" customHeight="1">
      <c r="A3258" s="20">
        <v>461</v>
      </c>
      <c r="B3258" s="20" t="s">
        <v>4352</v>
      </c>
      <c r="C3258" s="20"/>
      <c r="D3258" s="20" t="s">
        <v>48</v>
      </c>
      <c r="E3258" s="19" t="str">
        <f>VLOOKUP(D3258,'لیست پرسنل'!$B$2:$E$1020,3,FALSE)</f>
        <v>فکورصنعت</v>
      </c>
      <c r="F3258" s="19" t="str">
        <f>VLOOKUP(D3258,'لیست پرسنل'!$B$2:$E$1020,4,FALSE)</f>
        <v>سرپرست آی تی</v>
      </c>
      <c r="G3258" s="127">
        <f>VLOOKUP(D3258,'لیست پرسنل'!$B$2:$F$1020,2,FALSE)</f>
        <v>2210</v>
      </c>
      <c r="H3258" s="128" t="s">
        <v>3996</v>
      </c>
      <c r="I3258" s="128"/>
      <c r="J3258" s="128" t="s">
        <v>3313</v>
      </c>
      <c r="K3258" s="128" t="s">
        <v>5442</v>
      </c>
      <c r="L3258" s="128" t="s">
        <v>5443</v>
      </c>
      <c r="M3258" s="127">
        <v>617844</v>
      </c>
      <c r="N3258" s="109"/>
      <c r="O3258" s="19"/>
      <c r="P3258" s="19"/>
      <c r="Q3258" s="20"/>
    </row>
    <row r="3259" spans="1:17" ht="24.9" customHeight="1">
      <c r="A3259" s="20">
        <v>461</v>
      </c>
      <c r="B3259" s="20" t="s">
        <v>4352</v>
      </c>
      <c r="C3259" s="20"/>
      <c r="D3259" s="20" t="s">
        <v>48</v>
      </c>
      <c r="E3259" s="19" t="str">
        <f>VLOOKUP(D3259,'لیست پرسنل'!$B$2:$E$1020,3,FALSE)</f>
        <v>فکورصنعت</v>
      </c>
      <c r="F3259" s="19" t="str">
        <f>VLOOKUP(D3259,'لیست پرسنل'!$B$2:$E$1020,4,FALSE)</f>
        <v>سرپرست آی تی</v>
      </c>
      <c r="G3259" s="127">
        <f>VLOOKUP(D3259,'لیست پرسنل'!$B$2:$F$1020,2,FALSE)</f>
        <v>2210</v>
      </c>
      <c r="H3259" s="128" t="s">
        <v>3996</v>
      </c>
      <c r="I3259" s="128"/>
      <c r="J3259" s="128" t="s">
        <v>1977</v>
      </c>
      <c r="K3259" s="128" t="s">
        <v>4784</v>
      </c>
      <c r="L3259" s="128" t="s">
        <v>4786</v>
      </c>
      <c r="M3259" s="128">
        <v>629991</v>
      </c>
      <c r="N3259" s="108"/>
      <c r="O3259" s="20" t="s">
        <v>705</v>
      </c>
      <c r="P3259" s="20"/>
      <c r="Q3259" s="20"/>
    </row>
    <row r="3260" spans="1:17" ht="24.9" customHeight="1">
      <c r="A3260" s="20">
        <v>461</v>
      </c>
      <c r="B3260" s="20" t="s">
        <v>4352</v>
      </c>
      <c r="C3260" s="19"/>
      <c r="D3260" s="20" t="s">
        <v>48</v>
      </c>
      <c r="E3260" s="19" t="str">
        <f>VLOOKUP(D3260,'لیست پرسنل'!$B$2:$E$1020,3,FALSE)</f>
        <v>فکورصنعت</v>
      </c>
      <c r="F3260" s="19" t="str">
        <f>VLOOKUP(D3260,'لیست پرسنل'!$B$2:$E$1020,4,FALSE)</f>
        <v>سرپرست آی تی</v>
      </c>
      <c r="G3260" s="127">
        <f>VLOOKUP(D3260,'لیست پرسنل'!$B$2:$F$1020,2,FALSE)</f>
        <v>2210</v>
      </c>
      <c r="H3260" s="128" t="s">
        <v>8595</v>
      </c>
      <c r="I3260" s="128"/>
      <c r="J3260" s="128" t="s">
        <v>571</v>
      </c>
      <c r="K3260" s="128"/>
      <c r="L3260" s="150"/>
      <c r="M3260" s="128">
        <v>604968</v>
      </c>
      <c r="N3260" s="108"/>
      <c r="O3260" s="20"/>
      <c r="P3260" s="20"/>
      <c r="Q3260" s="20"/>
    </row>
    <row r="3261" spans="1:17" ht="24.9" customHeight="1">
      <c r="A3261" s="20">
        <v>461</v>
      </c>
      <c r="B3261" s="20" t="s">
        <v>4351</v>
      </c>
      <c r="C3261" s="19">
        <v>1</v>
      </c>
      <c r="D3261" s="20" t="s">
        <v>3967</v>
      </c>
      <c r="E3261" s="19" t="str">
        <f>VLOOKUP(D3261,'لیست پرسنل'!$B$2:$E$1020,3,FALSE)</f>
        <v>گهر کوشان سپهر</v>
      </c>
      <c r="F3261" s="19" t="str">
        <f>VLOOKUP(D3261,'لیست پرسنل'!$B$2:$E$1020,4,FALSE)</f>
        <v>حراست</v>
      </c>
      <c r="G3261" s="127">
        <f>VLOOKUP(D3261,'لیست پرسنل'!$B$2:$F$1020,2,FALSE)</f>
        <v>20439</v>
      </c>
      <c r="H3261" s="128" t="s">
        <v>7050</v>
      </c>
      <c r="I3261" s="128" t="s">
        <v>1794</v>
      </c>
      <c r="J3261" s="128" t="s">
        <v>2686</v>
      </c>
      <c r="K3261" s="128" t="s">
        <v>852</v>
      </c>
      <c r="L3261" s="150" t="s">
        <v>1203</v>
      </c>
      <c r="M3261" s="128">
        <v>601525</v>
      </c>
      <c r="N3261" s="108"/>
      <c r="O3261" s="20"/>
      <c r="P3261" s="20"/>
      <c r="Q3261" s="20"/>
    </row>
    <row r="3262" spans="1:17" ht="24.9" customHeight="1">
      <c r="A3262" s="20">
        <v>461</v>
      </c>
      <c r="B3262" s="20" t="s">
        <v>4351</v>
      </c>
      <c r="C3262" s="19">
        <v>2</v>
      </c>
      <c r="D3262" s="20" t="s">
        <v>3981</v>
      </c>
      <c r="E3262" s="19" t="str">
        <f>VLOOKUP(D3262,'لیست پرسنل'!$B$2:$E$1020,3,FALSE)</f>
        <v>گهر کوشان سپهر</v>
      </c>
      <c r="F3262" s="19" t="str">
        <f>VLOOKUP(D3262,'لیست پرسنل'!$B$2:$E$1020,4,FALSE)</f>
        <v>انبار</v>
      </c>
      <c r="G3262" s="127" t="str">
        <f>VLOOKUP(D3262,'لیست پرسنل'!$B$2:$F$1020,2,FALSE)</f>
        <v>20377</v>
      </c>
      <c r="H3262" s="128" t="s">
        <v>4071</v>
      </c>
      <c r="I3262" s="128" t="s">
        <v>1795</v>
      </c>
      <c r="J3262" s="126" t="s">
        <v>368</v>
      </c>
      <c r="K3262" s="128" t="s">
        <v>2846</v>
      </c>
      <c r="L3262" s="127" t="s">
        <v>4622</v>
      </c>
      <c r="M3262" s="127">
        <v>629839</v>
      </c>
      <c r="N3262" s="109"/>
      <c r="O3262" s="20" t="s">
        <v>705</v>
      </c>
      <c r="P3262" s="19"/>
      <c r="Q3262" s="28"/>
    </row>
    <row r="3263" spans="1:17" ht="24.9" customHeight="1">
      <c r="A3263" s="20">
        <v>461</v>
      </c>
      <c r="B3263" s="20" t="s">
        <v>4351</v>
      </c>
      <c r="C3263" s="19">
        <v>2</v>
      </c>
      <c r="D3263" s="20" t="s">
        <v>3981</v>
      </c>
      <c r="E3263" s="19" t="str">
        <f>VLOOKUP(D3263,'لیست پرسنل'!$B$2:$E$1020,3,FALSE)</f>
        <v>گهر کوشان سپهر</v>
      </c>
      <c r="F3263" s="19" t="str">
        <f>VLOOKUP(D3263,'لیست پرسنل'!$B$2:$E$1020,4,FALSE)</f>
        <v>انبار</v>
      </c>
      <c r="G3263" s="127" t="str">
        <f>VLOOKUP(D3263,'لیست پرسنل'!$B$2:$F$1020,2,FALSE)</f>
        <v>20377</v>
      </c>
      <c r="H3263" s="128" t="s">
        <v>4071</v>
      </c>
      <c r="I3263" s="128" t="s">
        <v>1795</v>
      </c>
      <c r="J3263" s="128" t="s">
        <v>571</v>
      </c>
      <c r="K3263" s="128" t="s">
        <v>2219</v>
      </c>
      <c r="L3263" s="127"/>
      <c r="M3263" s="127">
        <v>629967</v>
      </c>
      <c r="N3263" s="109"/>
      <c r="O3263" s="19" t="s">
        <v>705</v>
      </c>
      <c r="P3263" s="19"/>
      <c r="Q3263" s="28"/>
    </row>
    <row r="3264" spans="1:17" ht="24.9" customHeight="1">
      <c r="A3264" s="20">
        <v>461</v>
      </c>
      <c r="B3264" s="20" t="s">
        <v>4351</v>
      </c>
      <c r="C3264" s="19">
        <v>2</v>
      </c>
      <c r="D3264" s="20" t="s">
        <v>3981</v>
      </c>
      <c r="E3264" s="19" t="str">
        <f>VLOOKUP(D3264,'لیست پرسنل'!$B$2:$E$1020,3,FALSE)</f>
        <v>گهر کوشان سپهر</v>
      </c>
      <c r="F3264" s="19" t="str">
        <f>VLOOKUP(D3264,'لیست پرسنل'!$B$2:$E$1020,4,FALSE)</f>
        <v>انبار</v>
      </c>
      <c r="G3264" s="127" t="str">
        <f>VLOOKUP(D3264,'لیست پرسنل'!$B$2:$F$1020,2,FALSE)</f>
        <v>20377</v>
      </c>
      <c r="H3264" s="128" t="s">
        <v>4071</v>
      </c>
      <c r="I3264" s="128" t="s">
        <v>1795</v>
      </c>
      <c r="J3264" s="128" t="s">
        <v>2686</v>
      </c>
      <c r="K3264" s="128" t="s">
        <v>2739</v>
      </c>
      <c r="L3264" s="128" t="s">
        <v>2744</v>
      </c>
      <c r="M3264" s="128">
        <v>626523</v>
      </c>
      <c r="N3264" s="108"/>
      <c r="O3264" s="20"/>
      <c r="P3264" s="20"/>
      <c r="Q3264" s="20"/>
    </row>
    <row r="3265" spans="1:17" ht="24.9" customHeight="1">
      <c r="A3265" s="20">
        <v>461</v>
      </c>
      <c r="B3265" s="20" t="s">
        <v>4351</v>
      </c>
      <c r="C3265" s="19">
        <v>3</v>
      </c>
      <c r="D3265" s="20" t="s">
        <v>2016</v>
      </c>
      <c r="E3265" s="19" t="str">
        <f>VLOOKUP(D3265,'لیست پرسنل'!$B$2:$E$1020,3,FALSE)</f>
        <v>فکورصنعت</v>
      </c>
      <c r="F3265" s="19" t="str">
        <f>VLOOKUP(D3265,'لیست پرسنل'!$B$2:$E$1020,4,FALSE)</f>
        <v>کارشناس نظارت سازه</v>
      </c>
      <c r="G3265" s="127">
        <f>VLOOKUP(D3265,'لیست پرسنل'!$B$2:$F$1020,2,FALSE)</f>
        <v>498</v>
      </c>
      <c r="H3265" s="128" t="s">
        <v>4071</v>
      </c>
      <c r="I3265" s="128" t="s">
        <v>2005</v>
      </c>
      <c r="J3265" s="128" t="s">
        <v>737</v>
      </c>
      <c r="K3265" s="128" t="s">
        <v>399</v>
      </c>
      <c r="L3265" s="128" t="s">
        <v>400</v>
      </c>
      <c r="M3265" s="128">
        <v>609507</v>
      </c>
      <c r="N3265" s="108"/>
      <c r="O3265" s="20"/>
      <c r="P3265" s="20"/>
      <c r="Q3265" s="20"/>
    </row>
    <row r="3266" spans="1:17" ht="24.9" customHeight="1">
      <c r="A3266" s="20">
        <v>461</v>
      </c>
      <c r="B3266" s="20" t="s">
        <v>4351</v>
      </c>
      <c r="C3266" s="19">
        <v>3</v>
      </c>
      <c r="D3266" s="20" t="s">
        <v>2016</v>
      </c>
      <c r="E3266" s="19" t="str">
        <f>VLOOKUP(D3266,'لیست پرسنل'!$B$2:$E$1020,3,FALSE)</f>
        <v>فکورصنعت</v>
      </c>
      <c r="F3266" s="19" t="str">
        <f>VLOOKUP(D3266,'لیست پرسنل'!$B$2:$E$1020,4,FALSE)</f>
        <v>کارشناس نظارت سازه</v>
      </c>
      <c r="G3266" s="127">
        <f>VLOOKUP(D3266,'لیست پرسنل'!$B$2:$F$1020,2,FALSE)</f>
        <v>498</v>
      </c>
      <c r="H3266" s="128" t="s">
        <v>4071</v>
      </c>
      <c r="I3266" s="128" t="s">
        <v>2005</v>
      </c>
      <c r="J3266" s="126" t="s">
        <v>368</v>
      </c>
      <c r="K3266" s="128" t="s">
        <v>2846</v>
      </c>
      <c r="L3266" s="128" t="s">
        <v>2018</v>
      </c>
      <c r="M3266" s="128">
        <v>627199</v>
      </c>
      <c r="N3266" s="108"/>
      <c r="O3266" s="20"/>
      <c r="P3266" s="20"/>
      <c r="Q3266" s="20"/>
    </row>
    <row r="3267" spans="1:17" ht="24.9" customHeight="1">
      <c r="A3267" s="20">
        <v>461</v>
      </c>
      <c r="B3267" s="20" t="s">
        <v>4351</v>
      </c>
      <c r="C3267" s="19">
        <v>3</v>
      </c>
      <c r="D3267" s="20" t="s">
        <v>2016</v>
      </c>
      <c r="E3267" s="19" t="str">
        <f>VLOOKUP(D3267,'لیست پرسنل'!$B$2:$E$1020,3,FALSE)</f>
        <v>فکورصنعت</v>
      </c>
      <c r="F3267" s="19" t="str">
        <f>VLOOKUP(D3267,'لیست پرسنل'!$B$2:$E$1020,4,FALSE)</f>
        <v>کارشناس نظارت سازه</v>
      </c>
      <c r="G3267" s="127">
        <f>VLOOKUP(D3267,'لیست پرسنل'!$B$2:$F$1020,2,FALSE)</f>
        <v>498</v>
      </c>
      <c r="H3267" s="128" t="s">
        <v>4071</v>
      </c>
      <c r="I3267" s="128" t="s">
        <v>2005</v>
      </c>
      <c r="J3267" s="128" t="s">
        <v>571</v>
      </c>
      <c r="K3267" s="128"/>
      <c r="L3267" s="152"/>
      <c r="M3267" s="128">
        <v>625439</v>
      </c>
      <c r="N3267" s="108"/>
      <c r="O3267" s="20"/>
      <c r="P3267" s="20"/>
      <c r="Q3267" s="20"/>
    </row>
    <row r="3268" spans="1:17" ht="24.9" customHeight="1">
      <c r="A3268" s="20">
        <v>461</v>
      </c>
      <c r="B3268" s="20" t="s">
        <v>4351</v>
      </c>
      <c r="C3268" s="19">
        <v>3</v>
      </c>
      <c r="D3268" s="20" t="s">
        <v>2016</v>
      </c>
      <c r="E3268" s="19" t="str">
        <f>VLOOKUP(D3268,'لیست پرسنل'!$B$2:$E$1020,3,FALSE)</f>
        <v>فکورصنعت</v>
      </c>
      <c r="F3268" s="19" t="str">
        <f>VLOOKUP(D3268,'لیست پرسنل'!$B$2:$E$1020,4,FALSE)</f>
        <v>کارشناس نظارت سازه</v>
      </c>
      <c r="G3268" s="127">
        <f>VLOOKUP(D3268,'لیست پرسنل'!$B$2:$F$1020,2,FALSE)</f>
        <v>498</v>
      </c>
      <c r="H3268" s="128" t="s">
        <v>4071</v>
      </c>
      <c r="I3268" s="128" t="s">
        <v>2005</v>
      </c>
      <c r="J3268" s="128" t="s">
        <v>2686</v>
      </c>
      <c r="K3268" s="128" t="s">
        <v>2922</v>
      </c>
      <c r="L3268" s="127" t="s">
        <v>3046</v>
      </c>
      <c r="M3268" s="128">
        <v>626530</v>
      </c>
      <c r="N3268" s="108"/>
      <c r="O3268" s="20"/>
      <c r="P3268" s="20"/>
      <c r="Q3268" s="20"/>
    </row>
    <row r="3269" spans="1:17" ht="24.9" customHeight="1">
      <c r="A3269" s="20">
        <v>461</v>
      </c>
      <c r="B3269" s="20" t="s">
        <v>4351</v>
      </c>
      <c r="C3269" s="19">
        <v>4</v>
      </c>
      <c r="D3269" s="19" t="s">
        <v>7862</v>
      </c>
      <c r="E3269" s="19" t="str">
        <f>VLOOKUP(D3269,'لیست پرسنل'!$B$2:$E$1020,3,FALSE)</f>
        <v>آهن مهام</v>
      </c>
      <c r="F3269" s="19" t="str">
        <f>VLOOKUP(D3269,'لیست پرسنل'!$B$2:$E$1020,4,FALSE)</f>
        <v xml:space="preserve">نظارت مکانیک </v>
      </c>
      <c r="G3269" s="127">
        <f>VLOOKUP(D3269,'لیست پرسنل'!$B$2:$F$1020,2,FALSE)</f>
        <v>21032</v>
      </c>
      <c r="H3269" s="126" t="s">
        <v>4071</v>
      </c>
      <c r="I3269" s="128" t="s">
        <v>2006</v>
      </c>
      <c r="J3269" s="128" t="s">
        <v>368</v>
      </c>
      <c r="K3269" s="128" t="s">
        <v>2846</v>
      </c>
      <c r="L3269" s="128" t="s">
        <v>2161</v>
      </c>
      <c r="M3269" s="127">
        <v>633759</v>
      </c>
      <c r="N3269" s="109"/>
      <c r="O3269" s="19" t="s">
        <v>6408</v>
      </c>
      <c r="P3269" s="32"/>
      <c r="Q3269" s="32"/>
    </row>
    <row r="3270" spans="1:17" ht="24.9" customHeight="1">
      <c r="A3270" s="20">
        <v>461</v>
      </c>
      <c r="B3270" s="20" t="s">
        <v>4351</v>
      </c>
      <c r="C3270" s="19">
        <v>4</v>
      </c>
      <c r="D3270" s="19" t="s">
        <v>7862</v>
      </c>
      <c r="E3270" s="19" t="str">
        <f>VLOOKUP(D3270,'لیست پرسنل'!$B$2:$E$1020,3,FALSE)</f>
        <v>آهن مهام</v>
      </c>
      <c r="F3270" s="19" t="str">
        <f>VLOOKUP(D3270,'لیست پرسنل'!$B$2:$E$1020,4,FALSE)</f>
        <v xml:space="preserve">نظارت مکانیک </v>
      </c>
      <c r="G3270" s="127">
        <f>VLOOKUP(D3270,'لیست پرسنل'!$B$2:$F$1020,2,FALSE)</f>
        <v>21032</v>
      </c>
      <c r="H3270" s="126" t="s">
        <v>4071</v>
      </c>
      <c r="I3270" s="128" t="s">
        <v>2006</v>
      </c>
      <c r="J3270" s="127" t="s">
        <v>571</v>
      </c>
      <c r="K3270" s="128" t="s">
        <v>2219</v>
      </c>
      <c r="L3270" s="128" t="s">
        <v>2006</v>
      </c>
      <c r="M3270" s="127">
        <v>628597</v>
      </c>
      <c r="N3270" s="109"/>
      <c r="O3270" s="20"/>
      <c r="P3270" s="20"/>
      <c r="Q3270" s="20"/>
    </row>
    <row r="3271" spans="1:17" ht="24.9" customHeight="1">
      <c r="A3271" s="20">
        <v>461</v>
      </c>
      <c r="B3271" s="20" t="s">
        <v>4351</v>
      </c>
      <c r="C3271" s="19">
        <v>4</v>
      </c>
      <c r="D3271" s="19" t="s">
        <v>7862</v>
      </c>
      <c r="E3271" s="19" t="str">
        <f>VLOOKUP(D3271,'لیست پرسنل'!$B$2:$E$1020,3,FALSE)</f>
        <v>آهن مهام</v>
      </c>
      <c r="F3271" s="19" t="str">
        <f>VLOOKUP(D3271,'لیست پرسنل'!$B$2:$E$1020,4,FALSE)</f>
        <v xml:space="preserve">نظارت مکانیک </v>
      </c>
      <c r="G3271" s="127">
        <f>VLOOKUP(D3271,'لیست پرسنل'!$B$2:$F$1020,2,FALSE)</f>
        <v>21032</v>
      </c>
      <c r="H3271" s="126" t="s">
        <v>4071</v>
      </c>
      <c r="I3271" s="128" t="s">
        <v>2006</v>
      </c>
      <c r="J3271" s="128" t="s">
        <v>2686</v>
      </c>
      <c r="K3271" s="128" t="s">
        <v>2922</v>
      </c>
      <c r="L3271" s="127" t="s">
        <v>3097</v>
      </c>
      <c r="M3271" s="128">
        <v>626581</v>
      </c>
      <c r="N3271" s="108"/>
      <c r="O3271" s="20" t="s">
        <v>705</v>
      </c>
      <c r="P3271" s="20"/>
      <c r="Q3271" s="20"/>
    </row>
    <row r="3272" spans="1:17" ht="24.9" customHeight="1">
      <c r="A3272" s="20">
        <v>461</v>
      </c>
      <c r="B3272" s="20" t="s">
        <v>4351</v>
      </c>
      <c r="C3272" s="19">
        <v>5</v>
      </c>
      <c r="D3272" s="20" t="s">
        <v>3982</v>
      </c>
      <c r="E3272" s="19" t="str">
        <f>VLOOKUP(D3272,'لیست پرسنل'!$B$2:$E$1020,3,FALSE)</f>
        <v>فکورصنعت</v>
      </c>
      <c r="F3272" s="19" t="str">
        <f>VLOOKUP(D3272,'لیست پرسنل'!$B$2:$E$1020,4,FALSE)</f>
        <v>مدیر سایت</v>
      </c>
      <c r="G3272" s="127">
        <f>VLOOKUP(D3272,'لیست پرسنل'!$B$2:$F$1020,2,FALSE)</f>
        <v>2701</v>
      </c>
      <c r="H3272" s="128" t="s">
        <v>4071</v>
      </c>
      <c r="I3272" s="128" t="s">
        <v>2007</v>
      </c>
      <c r="J3272" s="128" t="s">
        <v>737</v>
      </c>
      <c r="K3272" s="128" t="s">
        <v>2023</v>
      </c>
      <c r="L3272" s="128" t="s">
        <v>2022</v>
      </c>
      <c r="M3272" s="128">
        <v>627690</v>
      </c>
      <c r="N3272" s="108"/>
      <c r="O3272" s="20"/>
      <c r="P3272" s="20"/>
      <c r="Q3272" s="20"/>
    </row>
    <row r="3273" spans="1:17" ht="24.9" customHeight="1">
      <c r="A3273" s="20">
        <v>461</v>
      </c>
      <c r="B3273" s="20" t="s">
        <v>4351</v>
      </c>
      <c r="C3273" s="19">
        <v>5</v>
      </c>
      <c r="D3273" s="20" t="s">
        <v>3982</v>
      </c>
      <c r="E3273" s="19" t="str">
        <f>VLOOKUP(D3273,'لیست پرسنل'!$B$2:$E$1020,3,FALSE)</f>
        <v>فکورصنعت</v>
      </c>
      <c r="F3273" s="19" t="str">
        <f>VLOOKUP(D3273,'لیست پرسنل'!$B$2:$E$1020,4,FALSE)</f>
        <v>مدیر سایت</v>
      </c>
      <c r="G3273" s="127">
        <f>VLOOKUP(D3273,'لیست پرسنل'!$B$2:$F$1020,2,FALSE)</f>
        <v>2701</v>
      </c>
      <c r="H3273" s="128" t="s">
        <v>4071</v>
      </c>
      <c r="I3273" s="128" t="s">
        <v>2007</v>
      </c>
      <c r="J3273" s="126" t="s">
        <v>368</v>
      </c>
      <c r="K3273" s="128" t="s">
        <v>2846</v>
      </c>
      <c r="L3273" s="127" t="s">
        <v>2455</v>
      </c>
      <c r="M3273" s="128">
        <v>628864</v>
      </c>
      <c r="N3273" s="108"/>
      <c r="O3273" s="20"/>
      <c r="P3273" s="20"/>
      <c r="Q3273" s="20"/>
    </row>
    <row r="3274" spans="1:17" ht="24.9" customHeight="1">
      <c r="A3274" s="20">
        <v>461</v>
      </c>
      <c r="B3274" s="20" t="s">
        <v>4351</v>
      </c>
      <c r="C3274" s="19">
        <v>5</v>
      </c>
      <c r="D3274" s="20" t="s">
        <v>3982</v>
      </c>
      <c r="E3274" s="19" t="str">
        <f>VLOOKUP(D3274,'لیست پرسنل'!$B$2:$E$1020,3,FALSE)</f>
        <v>فکورصنعت</v>
      </c>
      <c r="F3274" s="19" t="str">
        <f>VLOOKUP(D3274,'لیست پرسنل'!$B$2:$E$1020,4,FALSE)</f>
        <v>مدیر سایت</v>
      </c>
      <c r="G3274" s="127">
        <f>VLOOKUP(D3274,'لیست پرسنل'!$B$2:$F$1020,2,FALSE)</f>
        <v>2701</v>
      </c>
      <c r="H3274" s="128" t="s">
        <v>4071</v>
      </c>
      <c r="I3274" s="128" t="s">
        <v>2007</v>
      </c>
      <c r="J3274" s="128" t="s">
        <v>571</v>
      </c>
      <c r="K3274" s="128" t="s">
        <v>2219</v>
      </c>
      <c r="L3274" s="152"/>
      <c r="M3274" s="128">
        <v>627706</v>
      </c>
      <c r="N3274" s="108"/>
      <c r="O3274" s="20"/>
      <c r="P3274" s="20"/>
      <c r="Q3274" s="20"/>
    </row>
    <row r="3275" spans="1:17" ht="24.9" customHeight="1">
      <c r="A3275" s="20">
        <v>461</v>
      </c>
      <c r="B3275" s="20" t="s">
        <v>4351</v>
      </c>
      <c r="C3275" s="19">
        <v>5</v>
      </c>
      <c r="D3275" s="20" t="s">
        <v>3982</v>
      </c>
      <c r="E3275" s="19" t="str">
        <f>VLOOKUP(D3275,'لیست پرسنل'!$B$2:$E$1020,3,FALSE)</f>
        <v>فکورصنعت</v>
      </c>
      <c r="F3275" s="19" t="str">
        <f>VLOOKUP(D3275,'لیست پرسنل'!$B$2:$E$1020,4,FALSE)</f>
        <v>مدیر سایت</v>
      </c>
      <c r="G3275" s="127">
        <f>VLOOKUP(D3275,'لیست پرسنل'!$B$2:$F$1020,2,FALSE)</f>
        <v>2701</v>
      </c>
      <c r="H3275" s="128" t="s">
        <v>4071</v>
      </c>
      <c r="I3275" s="128" t="s">
        <v>2007</v>
      </c>
      <c r="J3275" s="128" t="s">
        <v>5618</v>
      </c>
      <c r="K3275" s="128" t="s">
        <v>7204</v>
      </c>
      <c r="L3275" s="127" t="s">
        <v>7210</v>
      </c>
      <c r="M3275" s="127">
        <v>635885</v>
      </c>
      <c r="N3275" s="109"/>
      <c r="O3275" s="19"/>
      <c r="P3275" s="32"/>
      <c r="Q3275" s="32"/>
    </row>
    <row r="3276" spans="1:17" ht="24.9" customHeight="1">
      <c r="A3276" s="20">
        <v>461</v>
      </c>
      <c r="B3276" s="20" t="s">
        <v>4351</v>
      </c>
      <c r="C3276" s="20">
        <v>6</v>
      </c>
      <c r="D3276" s="20" t="s">
        <v>6152</v>
      </c>
      <c r="E3276" s="19" t="str">
        <f>VLOOKUP(D3276,'لیست پرسنل'!$B$2:$E$1020,3,FALSE)</f>
        <v>فکورصنعت</v>
      </c>
      <c r="F3276" s="19" t="str">
        <f>VLOOKUP(D3276,'لیست پرسنل'!$B$2:$E$1020,4,FALSE)</f>
        <v>سرپرست اجرا</v>
      </c>
      <c r="G3276" s="127" t="str">
        <f>VLOOKUP(D3276,'لیست پرسنل'!$B$2:$F$1020,2,FALSE)</f>
        <v>4021201</v>
      </c>
      <c r="H3276" s="128" t="s">
        <v>4071</v>
      </c>
      <c r="I3276" s="128" t="s">
        <v>2008</v>
      </c>
      <c r="J3276" s="128" t="s">
        <v>737</v>
      </c>
      <c r="K3276" s="128" t="s">
        <v>3681</v>
      </c>
      <c r="L3276" s="127" t="s">
        <v>3680</v>
      </c>
      <c r="M3276" s="127">
        <v>633776</v>
      </c>
      <c r="N3276" s="109"/>
      <c r="O3276" s="19" t="s">
        <v>6424</v>
      </c>
      <c r="P3276" s="32"/>
      <c r="Q3276" s="32"/>
    </row>
    <row r="3277" spans="1:17" ht="24.9" customHeight="1">
      <c r="A3277" s="20">
        <v>461</v>
      </c>
      <c r="B3277" s="20" t="s">
        <v>4351</v>
      </c>
      <c r="C3277" s="20">
        <v>6</v>
      </c>
      <c r="D3277" s="20" t="s">
        <v>6152</v>
      </c>
      <c r="E3277" s="19" t="str">
        <f>VLOOKUP(D3277,'لیست پرسنل'!$B$2:$E$1020,3,FALSE)</f>
        <v>فکورصنعت</v>
      </c>
      <c r="F3277" s="19" t="str">
        <f>VLOOKUP(D3277,'لیست پرسنل'!$B$2:$E$1020,4,FALSE)</f>
        <v>سرپرست اجرا</v>
      </c>
      <c r="G3277" s="127" t="str">
        <f>VLOOKUP(D3277,'لیست پرسنل'!$B$2:$F$1020,2,FALSE)</f>
        <v>4021201</v>
      </c>
      <c r="H3277" s="128" t="s">
        <v>4071</v>
      </c>
      <c r="I3277" s="128" t="s">
        <v>2008</v>
      </c>
      <c r="J3277" s="128" t="s">
        <v>368</v>
      </c>
      <c r="K3277" s="128" t="s">
        <v>8248</v>
      </c>
      <c r="L3277" s="128" t="s">
        <v>2308</v>
      </c>
      <c r="M3277" s="128">
        <v>628714</v>
      </c>
      <c r="N3277" s="108"/>
      <c r="O3277" s="20" t="s">
        <v>705</v>
      </c>
      <c r="P3277" s="20"/>
      <c r="Q3277" s="20"/>
    </row>
    <row r="3278" spans="1:17" ht="24.9" customHeight="1">
      <c r="A3278" s="20">
        <v>461</v>
      </c>
      <c r="B3278" s="20" t="s">
        <v>4351</v>
      </c>
      <c r="C3278" s="20">
        <v>6</v>
      </c>
      <c r="D3278" s="20" t="s">
        <v>6152</v>
      </c>
      <c r="E3278" s="19" t="str">
        <f>VLOOKUP(D3278,'لیست پرسنل'!$B$2:$E$1020,3,FALSE)</f>
        <v>فکورصنعت</v>
      </c>
      <c r="F3278" s="19" t="str">
        <f>VLOOKUP(D3278,'لیست پرسنل'!$B$2:$E$1020,4,FALSE)</f>
        <v>سرپرست اجرا</v>
      </c>
      <c r="G3278" s="127" t="str">
        <f>VLOOKUP(D3278,'لیست پرسنل'!$B$2:$F$1020,2,FALSE)</f>
        <v>4021201</v>
      </c>
      <c r="H3278" s="128" t="s">
        <v>4071</v>
      </c>
      <c r="I3278" s="128" t="s">
        <v>2008</v>
      </c>
      <c r="J3278" s="128" t="s">
        <v>571</v>
      </c>
      <c r="K3278" s="128" t="s">
        <v>2008</v>
      </c>
      <c r="L3278" s="128"/>
      <c r="M3278" s="128">
        <v>627695</v>
      </c>
      <c r="N3278" s="108"/>
      <c r="O3278" s="20"/>
      <c r="P3278" s="20"/>
      <c r="Q3278" s="20"/>
    </row>
    <row r="3279" spans="1:17" ht="24.9" customHeight="1">
      <c r="A3279" s="20">
        <v>461</v>
      </c>
      <c r="B3279" s="20" t="s">
        <v>4351</v>
      </c>
      <c r="C3279" s="20">
        <v>6</v>
      </c>
      <c r="D3279" s="20" t="s">
        <v>6152</v>
      </c>
      <c r="E3279" s="19" t="str">
        <f>VLOOKUP(D3279,'لیست پرسنل'!$B$2:$E$1020,3,FALSE)</f>
        <v>فکورصنعت</v>
      </c>
      <c r="F3279" s="19" t="str">
        <f>VLOOKUP(D3279,'لیست پرسنل'!$B$2:$E$1020,4,FALSE)</f>
        <v>سرپرست اجرا</v>
      </c>
      <c r="G3279" s="127" t="str">
        <f>VLOOKUP(D3279,'لیست پرسنل'!$B$2:$F$1020,2,FALSE)</f>
        <v>4021201</v>
      </c>
      <c r="H3279" s="128" t="s">
        <v>4071</v>
      </c>
      <c r="I3279" s="128" t="s">
        <v>2008</v>
      </c>
      <c r="J3279" s="128" t="s">
        <v>2686</v>
      </c>
      <c r="K3279" s="128" t="s">
        <v>2143</v>
      </c>
      <c r="L3279" s="128" t="s">
        <v>2253</v>
      </c>
      <c r="M3279" s="127">
        <v>628644</v>
      </c>
      <c r="N3279" s="108"/>
      <c r="O3279" s="20" t="s">
        <v>705</v>
      </c>
      <c r="P3279" s="20"/>
      <c r="Q3279" s="20"/>
    </row>
    <row r="3280" spans="1:17" ht="24.9" customHeight="1">
      <c r="A3280" s="20">
        <v>461</v>
      </c>
      <c r="B3280" s="20" t="s">
        <v>4351</v>
      </c>
      <c r="C3280" s="20">
        <v>6</v>
      </c>
      <c r="D3280" s="20" t="s">
        <v>6152</v>
      </c>
      <c r="E3280" s="19" t="str">
        <f>VLOOKUP(D3280,'لیست پرسنل'!$B$2:$E$1020,3,FALSE)</f>
        <v>فکورصنعت</v>
      </c>
      <c r="F3280" s="19" t="str">
        <f>VLOOKUP(D3280,'لیست پرسنل'!$B$2:$E$1020,4,FALSE)</f>
        <v>سرپرست اجرا</v>
      </c>
      <c r="G3280" s="127" t="str">
        <f>VLOOKUP(D3280,'لیست پرسنل'!$B$2:$F$1020,2,FALSE)</f>
        <v>4021201</v>
      </c>
      <c r="H3280" s="128" t="s">
        <v>4071</v>
      </c>
      <c r="I3280" s="128" t="s">
        <v>2008</v>
      </c>
      <c r="J3280" s="128" t="s">
        <v>2686</v>
      </c>
      <c r="K3280" s="128" t="s">
        <v>890</v>
      </c>
      <c r="L3280" s="127" t="s">
        <v>1356</v>
      </c>
      <c r="M3280" s="127">
        <v>633599</v>
      </c>
      <c r="N3280" s="109" t="s">
        <v>7419</v>
      </c>
      <c r="O3280" s="19" t="s">
        <v>6261</v>
      </c>
      <c r="P3280" s="32"/>
      <c r="Q3280" s="32"/>
    </row>
    <row r="3281" spans="1:17" ht="24.9" customHeight="1">
      <c r="A3281" s="20">
        <v>461</v>
      </c>
      <c r="B3281" s="20" t="s">
        <v>4351</v>
      </c>
      <c r="C3281" s="19">
        <v>7</v>
      </c>
      <c r="D3281" s="20" t="s">
        <v>3983</v>
      </c>
      <c r="E3281" s="19" t="str">
        <f>VLOOKUP(D3281,'لیست پرسنل'!$B$2:$E$1020,3,FALSE)</f>
        <v>فکورصنعت</v>
      </c>
      <c r="F3281" s="19" t="str">
        <f>VLOOKUP(D3281,'لیست پرسنل'!$B$2:$E$1020,4,FALSE)</f>
        <v>کنترل پروژه</v>
      </c>
      <c r="G3281" s="127" t="str">
        <f>VLOOKUP(D3281,'لیست پرسنل'!$B$2:$F$1020,2,FALSE)</f>
        <v>946</v>
      </c>
      <c r="H3281" s="128" t="s">
        <v>4071</v>
      </c>
      <c r="I3281" s="128" t="s">
        <v>2009</v>
      </c>
      <c r="J3281" s="128" t="s">
        <v>737</v>
      </c>
      <c r="K3281" s="128" t="s">
        <v>2027</v>
      </c>
      <c r="L3281" s="128" t="s">
        <v>2026</v>
      </c>
      <c r="M3281" s="128">
        <v>628113</v>
      </c>
      <c r="N3281" s="108"/>
      <c r="O3281" s="20"/>
      <c r="P3281" s="20"/>
      <c r="Q3281" s="20"/>
    </row>
    <row r="3282" spans="1:17" ht="24.9" customHeight="1">
      <c r="A3282" s="20">
        <v>461</v>
      </c>
      <c r="B3282" s="20" t="s">
        <v>4351</v>
      </c>
      <c r="C3282" s="19">
        <v>7</v>
      </c>
      <c r="D3282" s="20" t="s">
        <v>3983</v>
      </c>
      <c r="E3282" s="19" t="str">
        <f>VLOOKUP(D3282,'لیست پرسنل'!$B$2:$E$1020,3,FALSE)</f>
        <v>فکورصنعت</v>
      </c>
      <c r="F3282" s="19" t="str">
        <f>VLOOKUP(D3282,'لیست پرسنل'!$B$2:$E$1020,4,FALSE)</f>
        <v>کنترل پروژه</v>
      </c>
      <c r="G3282" s="127" t="str">
        <f>VLOOKUP(D3282,'لیست پرسنل'!$B$2:$F$1020,2,FALSE)</f>
        <v>946</v>
      </c>
      <c r="H3282" s="128" t="s">
        <v>4071</v>
      </c>
      <c r="I3282" s="128" t="s">
        <v>2009</v>
      </c>
      <c r="J3282" s="126" t="s">
        <v>368</v>
      </c>
      <c r="K3282" s="128" t="s">
        <v>2846</v>
      </c>
      <c r="L3282" s="128" t="s">
        <v>1737</v>
      </c>
      <c r="M3282" s="128">
        <v>625697</v>
      </c>
      <c r="N3282" s="108"/>
      <c r="O3282" s="20"/>
      <c r="P3282" s="20"/>
      <c r="Q3282" s="20"/>
    </row>
    <row r="3283" spans="1:17" ht="24.9" customHeight="1">
      <c r="A3283" s="20">
        <v>461</v>
      </c>
      <c r="B3283" s="20" t="s">
        <v>4351</v>
      </c>
      <c r="C3283" s="19">
        <v>7</v>
      </c>
      <c r="D3283" s="20" t="s">
        <v>3983</v>
      </c>
      <c r="E3283" s="19" t="str">
        <f>VLOOKUP(D3283,'لیست پرسنل'!$B$2:$E$1020,3,FALSE)</f>
        <v>فکورصنعت</v>
      </c>
      <c r="F3283" s="19" t="str">
        <f>VLOOKUP(D3283,'لیست پرسنل'!$B$2:$E$1020,4,FALSE)</f>
        <v>کنترل پروژه</v>
      </c>
      <c r="G3283" s="127" t="str">
        <f>VLOOKUP(D3283,'لیست پرسنل'!$B$2:$F$1020,2,FALSE)</f>
        <v>946</v>
      </c>
      <c r="H3283" s="128" t="s">
        <v>4071</v>
      </c>
      <c r="I3283" s="128" t="s">
        <v>2009</v>
      </c>
      <c r="J3283" s="128" t="s">
        <v>885</v>
      </c>
      <c r="K3283" s="128" t="s">
        <v>5106</v>
      </c>
      <c r="L3283" s="128"/>
      <c r="M3283" s="128">
        <v>613589</v>
      </c>
      <c r="N3283" s="108"/>
      <c r="O3283" s="20"/>
      <c r="P3283" s="20"/>
      <c r="Q3283" s="20"/>
    </row>
    <row r="3284" spans="1:17" ht="24.9" customHeight="1">
      <c r="A3284" s="20">
        <v>461</v>
      </c>
      <c r="B3284" s="20" t="s">
        <v>4351</v>
      </c>
      <c r="C3284" s="19">
        <v>7</v>
      </c>
      <c r="D3284" s="20" t="s">
        <v>3983</v>
      </c>
      <c r="E3284" s="19" t="str">
        <f>VLOOKUP(D3284,'لیست پرسنل'!$B$2:$E$1020,3,FALSE)</f>
        <v>فکورصنعت</v>
      </c>
      <c r="F3284" s="19" t="str">
        <f>VLOOKUP(D3284,'لیست پرسنل'!$B$2:$E$1020,4,FALSE)</f>
        <v>کنترل پروژه</v>
      </c>
      <c r="G3284" s="127" t="str">
        <f>VLOOKUP(D3284,'لیست پرسنل'!$B$2:$F$1020,2,FALSE)</f>
        <v>946</v>
      </c>
      <c r="H3284" s="128" t="s">
        <v>4071</v>
      </c>
      <c r="I3284" s="128" t="s">
        <v>2009</v>
      </c>
      <c r="J3284" s="128" t="s">
        <v>885</v>
      </c>
      <c r="K3284" s="128" t="s">
        <v>7079</v>
      </c>
      <c r="L3284" s="171" t="s">
        <v>3143</v>
      </c>
      <c r="M3284" s="127">
        <v>620803</v>
      </c>
      <c r="N3284" s="108" t="s">
        <v>5107</v>
      </c>
      <c r="O3284" s="19" t="s">
        <v>4777</v>
      </c>
      <c r="P3284" s="20" t="s">
        <v>4339</v>
      </c>
      <c r="Q3284" s="24" t="s">
        <v>4778</v>
      </c>
    </row>
    <row r="3285" spans="1:17" ht="24.9" customHeight="1">
      <c r="A3285" s="20">
        <v>461</v>
      </c>
      <c r="B3285" s="20" t="s">
        <v>4351</v>
      </c>
      <c r="C3285" s="19">
        <v>7</v>
      </c>
      <c r="D3285" s="20" t="s">
        <v>3983</v>
      </c>
      <c r="E3285" s="19" t="str">
        <f>VLOOKUP(D3285,'لیست پرسنل'!$B$2:$E$1020,3,FALSE)</f>
        <v>فکورصنعت</v>
      </c>
      <c r="F3285" s="19" t="str">
        <f>VLOOKUP(D3285,'لیست پرسنل'!$B$2:$E$1020,4,FALSE)</f>
        <v>کنترل پروژه</v>
      </c>
      <c r="G3285" s="127" t="str">
        <f>VLOOKUP(D3285,'لیست پرسنل'!$B$2:$F$1020,2,FALSE)</f>
        <v>946</v>
      </c>
      <c r="H3285" s="128" t="s">
        <v>4071</v>
      </c>
      <c r="I3285" s="128" t="s">
        <v>2009</v>
      </c>
      <c r="J3285" s="128" t="s">
        <v>571</v>
      </c>
      <c r="K3285" s="128"/>
      <c r="L3285" s="152"/>
      <c r="M3285" s="128">
        <v>625423</v>
      </c>
      <c r="N3285" s="108"/>
      <c r="O3285" s="20"/>
      <c r="P3285" s="20"/>
      <c r="Q3285" s="20"/>
    </row>
    <row r="3286" spans="1:17" ht="24.9" customHeight="1">
      <c r="A3286" s="20">
        <v>461</v>
      </c>
      <c r="B3286" s="20" t="s">
        <v>4351</v>
      </c>
      <c r="C3286" s="19">
        <v>7</v>
      </c>
      <c r="D3286" s="20" t="s">
        <v>3983</v>
      </c>
      <c r="E3286" s="19" t="str">
        <f>VLOOKUP(D3286,'لیست پرسنل'!$B$2:$E$1020,3,FALSE)</f>
        <v>فکورصنعت</v>
      </c>
      <c r="F3286" s="19" t="str">
        <f>VLOOKUP(D3286,'لیست پرسنل'!$B$2:$E$1020,4,FALSE)</f>
        <v>کنترل پروژه</v>
      </c>
      <c r="G3286" s="127" t="str">
        <f>VLOOKUP(D3286,'لیست پرسنل'!$B$2:$F$1020,2,FALSE)</f>
        <v>946</v>
      </c>
      <c r="H3286" s="128" t="s">
        <v>4071</v>
      </c>
      <c r="I3286" s="128" t="s">
        <v>2009</v>
      </c>
      <c r="J3286" s="128" t="s">
        <v>2686</v>
      </c>
      <c r="K3286" s="128" t="s">
        <v>2143</v>
      </c>
      <c r="L3286" s="127" t="s">
        <v>2236</v>
      </c>
      <c r="M3286" s="127">
        <v>628627</v>
      </c>
      <c r="N3286" s="108"/>
      <c r="O3286" s="20" t="s">
        <v>705</v>
      </c>
      <c r="P3286" s="20"/>
      <c r="Q3286" s="20"/>
    </row>
    <row r="3287" spans="1:17" ht="24.9" customHeight="1">
      <c r="A3287" s="20">
        <v>461</v>
      </c>
      <c r="B3287" s="20" t="s">
        <v>4351</v>
      </c>
      <c r="C3287" s="19">
        <v>8</v>
      </c>
      <c r="D3287" s="20" t="s">
        <v>7291</v>
      </c>
      <c r="E3287" s="19" t="e">
        <f>VLOOKUP(D3287,'لیست پرسنل'!$B$2:$E$1020,3,FALSE)</f>
        <v>#N/A</v>
      </c>
      <c r="F3287" s="19" t="e">
        <f>VLOOKUP(D3287,'لیست پرسنل'!$B$2:$E$1020,4,FALSE)</f>
        <v>#N/A</v>
      </c>
      <c r="G3287" s="127" t="e">
        <f>VLOOKUP(D3287,'لیست پرسنل'!$B$2:$F$1020,2,FALSE)</f>
        <v>#N/A</v>
      </c>
      <c r="H3287" s="128" t="s">
        <v>4071</v>
      </c>
      <c r="I3287" s="128" t="s">
        <v>2010</v>
      </c>
      <c r="J3287" s="126" t="s">
        <v>368</v>
      </c>
      <c r="K3287" s="128" t="s">
        <v>1373</v>
      </c>
      <c r="L3287" s="151" t="s">
        <v>1375</v>
      </c>
      <c r="M3287" s="128">
        <v>626009</v>
      </c>
      <c r="N3287" s="108"/>
      <c r="O3287" s="20"/>
      <c r="P3287" s="44"/>
      <c r="Q3287" s="20"/>
    </row>
    <row r="3288" spans="1:17" ht="24.9" customHeight="1">
      <c r="A3288" s="20">
        <v>461</v>
      </c>
      <c r="B3288" s="20" t="s">
        <v>4351</v>
      </c>
      <c r="C3288" s="19">
        <v>8</v>
      </c>
      <c r="D3288" s="20" t="s">
        <v>7291</v>
      </c>
      <c r="E3288" s="19" t="e">
        <f>VLOOKUP(D3288,'لیست پرسنل'!$B$2:$E$1020,3,FALSE)</f>
        <v>#N/A</v>
      </c>
      <c r="F3288" s="19" t="e">
        <f>VLOOKUP(D3288,'لیست پرسنل'!$B$2:$E$1020,4,FALSE)</f>
        <v>#N/A</v>
      </c>
      <c r="G3288" s="127" t="e">
        <f>VLOOKUP(D3288,'لیست پرسنل'!$B$2:$F$1020,2,FALSE)</f>
        <v>#N/A</v>
      </c>
      <c r="H3288" s="128" t="s">
        <v>4071</v>
      </c>
      <c r="I3288" s="128" t="s">
        <v>2010</v>
      </c>
      <c r="J3288" s="128" t="s">
        <v>571</v>
      </c>
      <c r="K3288" s="128" t="s">
        <v>2219</v>
      </c>
      <c r="L3288" s="152"/>
      <c r="M3288" s="128">
        <v>628585</v>
      </c>
      <c r="N3288" s="108"/>
      <c r="O3288" s="20"/>
      <c r="P3288" s="20"/>
      <c r="Q3288" s="20"/>
    </row>
    <row r="3289" spans="1:17" ht="24.9" customHeight="1">
      <c r="A3289" s="20">
        <v>461</v>
      </c>
      <c r="B3289" s="20" t="s">
        <v>4351</v>
      </c>
      <c r="C3289" s="19">
        <v>8</v>
      </c>
      <c r="D3289" s="20" t="s">
        <v>7291</v>
      </c>
      <c r="E3289" s="19" t="e">
        <f>VLOOKUP(D3289,'لیست پرسنل'!$B$2:$E$1020,3,FALSE)</f>
        <v>#N/A</v>
      </c>
      <c r="F3289" s="19" t="e">
        <f>VLOOKUP(D3289,'لیست پرسنل'!$B$2:$E$1020,4,FALSE)</f>
        <v>#N/A</v>
      </c>
      <c r="G3289" s="127" t="e">
        <f>VLOOKUP(D3289,'لیست پرسنل'!$B$2:$F$1020,2,FALSE)</f>
        <v>#N/A</v>
      </c>
      <c r="H3289" s="128" t="s">
        <v>4071</v>
      </c>
      <c r="I3289" s="128" t="s">
        <v>2010</v>
      </c>
      <c r="J3289" s="128" t="s">
        <v>2686</v>
      </c>
      <c r="K3289" s="128" t="s">
        <v>2143</v>
      </c>
      <c r="L3289" s="127" t="s">
        <v>2269</v>
      </c>
      <c r="M3289" s="127">
        <v>628660</v>
      </c>
      <c r="N3289" s="108"/>
      <c r="O3289" s="20" t="s">
        <v>705</v>
      </c>
      <c r="P3289" s="20"/>
      <c r="Q3289" s="20"/>
    </row>
    <row r="3290" spans="1:17" ht="24.9" customHeight="1">
      <c r="A3290" s="20">
        <v>461</v>
      </c>
      <c r="B3290" s="20" t="s">
        <v>4351</v>
      </c>
      <c r="C3290" s="19">
        <v>9</v>
      </c>
      <c r="D3290" s="20" t="s">
        <v>2051</v>
      </c>
      <c r="E3290" s="19" t="str">
        <f>VLOOKUP(D3290,'لیست پرسنل'!$B$2:$E$1020,3,FALSE)</f>
        <v>فکورصنعت</v>
      </c>
      <c r="F3290" s="19" t="str">
        <f>VLOOKUP(D3290,'لیست پرسنل'!$B$2:$E$1020,4,FALSE)</f>
        <v>انبار</v>
      </c>
      <c r="G3290" s="127">
        <f>VLOOKUP(D3290,'لیست پرسنل'!$B$2:$F$1020,2,FALSE)</f>
        <v>3771</v>
      </c>
      <c r="H3290" s="128" t="s">
        <v>4071</v>
      </c>
      <c r="I3290" s="128" t="s">
        <v>2011</v>
      </c>
      <c r="J3290" s="128" t="s">
        <v>737</v>
      </c>
      <c r="K3290" s="128" t="s">
        <v>4926</v>
      </c>
      <c r="L3290" s="151" t="s">
        <v>4925</v>
      </c>
      <c r="M3290" s="128">
        <v>601892</v>
      </c>
      <c r="N3290" s="108"/>
      <c r="O3290" s="28"/>
      <c r="P3290" s="20"/>
      <c r="Q3290" s="20"/>
    </row>
    <row r="3291" spans="1:17" ht="24.9" customHeight="1">
      <c r="A3291" s="20">
        <v>461</v>
      </c>
      <c r="B3291" s="20" t="s">
        <v>4351</v>
      </c>
      <c r="C3291" s="19">
        <v>9</v>
      </c>
      <c r="D3291" s="20" t="s">
        <v>2051</v>
      </c>
      <c r="E3291" s="19" t="str">
        <f>VLOOKUP(D3291,'لیست پرسنل'!$B$2:$E$1020,3,FALSE)</f>
        <v>فکورصنعت</v>
      </c>
      <c r="F3291" s="19" t="str">
        <f>VLOOKUP(D3291,'لیست پرسنل'!$B$2:$E$1020,4,FALSE)</f>
        <v>انبار</v>
      </c>
      <c r="G3291" s="127">
        <f>VLOOKUP(D3291,'لیست پرسنل'!$B$2:$F$1020,2,FALSE)</f>
        <v>3771</v>
      </c>
      <c r="H3291" s="128" t="s">
        <v>4071</v>
      </c>
      <c r="I3291" s="128" t="s">
        <v>2011</v>
      </c>
      <c r="J3291" s="128" t="s">
        <v>737</v>
      </c>
      <c r="K3291" s="128" t="s">
        <v>4630</v>
      </c>
      <c r="L3291" s="127" t="s">
        <v>4633</v>
      </c>
      <c r="M3291" s="127">
        <v>629893</v>
      </c>
      <c r="N3291" s="109"/>
      <c r="O3291" s="19" t="s">
        <v>705</v>
      </c>
      <c r="P3291" s="19"/>
      <c r="Q3291" s="28"/>
    </row>
    <row r="3292" spans="1:17" ht="24.9" customHeight="1">
      <c r="A3292" s="20">
        <v>461</v>
      </c>
      <c r="B3292" s="20" t="s">
        <v>4351</v>
      </c>
      <c r="C3292" s="19">
        <v>9</v>
      </c>
      <c r="D3292" s="20" t="s">
        <v>2051</v>
      </c>
      <c r="E3292" s="19" t="str">
        <f>VLOOKUP(D3292,'لیست پرسنل'!$B$2:$E$1020,3,FALSE)</f>
        <v>فکورصنعت</v>
      </c>
      <c r="F3292" s="19" t="str">
        <f>VLOOKUP(D3292,'لیست پرسنل'!$B$2:$E$1020,4,FALSE)</f>
        <v>انبار</v>
      </c>
      <c r="G3292" s="127">
        <f>VLOOKUP(D3292,'لیست پرسنل'!$B$2:$F$1020,2,FALSE)</f>
        <v>3771</v>
      </c>
      <c r="H3292" s="128" t="s">
        <v>4071</v>
      </c>
      <c r="I3292" s="128" t="s">
        <v>2011</v>
      </c>
      <c r="J3292" s="126" t="s">
        <v>368</v>
      </c>
      <c r="K3292" s="128" t="s">
        <v>2846</v>
      </c>
      <c r="L3292" s="128" t="s">
        <v>2025</v>
      </c>
      <c r="M3292" s="128">
        <v>627197</v>
      </c>
      <c r="N3292" s="108"/>
      <c r="O3292" s="46"/>
      <c r="P3292" s="20"/>
      <c r="Q3292" s="20"/>
    </row>
    <row r="3293" spans="1:17" ht="24.9" customHeight="1">
      <c r="A3293" s="20">
        <v>461</v>
      </c>
      <c r="B3293" s="20" t="s">
        <v>4351</v>
      </c>
      <c r="C3293" s="19">
        <v>9</v>
      </c>
      <c r="D3293" s="20" t="s">
        <v>2051</v>
      </c>
      <c r="E3293" s="19" t="str">
        <f>VLOOKUP(D3293,'لیست پرسنل'!$B$2:$E$1020,3,FALSE)</f>
        <v>فکورصنعت</v>
      </c>
      <c r="F3293" s="19" t="str">
        <f>VLOOKUP(D3293,'لیست پرسنل'!$B$2:$E$1020,4,FALSE)</f>
        <v>انبار</v>
      </c>
      <c r="G3293" s="127">
        <f>VLOOKUP(D3293,'لیست پرسنل'!$B$2:$F$1020,2,FALSE)</f>
        <v>3771</v>
      </c>
      <c r="H3293" s="128" t="s">
        <v>4071</v>
      </c>
      <c r="I3293" s="128" t="s">
        <v>2011</v>
      </c>
      <c r="J3293" s="128" t="s">
        <v>571</v>
      </c>
      <c r="K3293" s="128"/>
      <c r="L3293" s="151"/>
      <c r="M3293" s="128">
        <v>627715</v>
      </c>
      <c r="N3293" s="108"/>
      <c r="O3293" s="46"/>
      <c r="P3293" s="20"/>
      <c r="Q3293" s="20"/>
    </row>
    <row r="3294" spans="1:17" ht="24.9" customHeight="1">
      <c r="A3294" s="20">
        <v>461</v>
      </c>
      <c r="B3294" s="20" t="s">
        <v>4351</v>
      </c>
      <c r="C3294" s="19">
        <v>9</v>
      </c>
      <c r="D3294" s="20" t="s">
        <v>2051</v>
      </c>
      <c r="E3294" s="19" t="str">
        <f>VLOOKUP(D3294,'لیست پرسنل'!$B$2:$E$1020,3,FALSE)</f>
        <v>فکورصنعت</v>
      </c>
      <c r="F3294" s="19" t="str">
        <f>VLOOKUP(D3294,'لیست پرسنل'!$B$2:$E$1020,4,FALSE)</f>
        <v>انبار</v>
      </c>
      <c r="G3294" s="127">
        <f>VLOOKUP(D3294,'لیست پرسنل'!$B$2:$F$1020,2,FALSE)</f>
        <v>3771</v>
      </c>
      <c r="H3294" s="128" t="s">
        <v>4071</v>
      </c>
      <c r="I3294" s="128" t="s">
        <v>2011</v>
      </c>
      <c r="J3294" s="128" t="s">
        <v>2686</v>
      </c>
      <c r="K3294" s="128" t="s">
        <v>2922</v>
      </c>
      <c r="L3294" s="128" t="s">
        <v>2927</v>
      </c>
      <c r="M3294" s="128">
        <v>626404</v>
      </c>
      <c r="N3294" s="108"/>
      <c r="O3294" s="20" t="s">
        <v>705</v>
      </c>
      <c r="P3294" s="20"/>
      <c r="Q3294" s="20"/>
    </row>
    <row r="3295" spans="1:17" ht="24.9" customHeight="1">
      <c r="A3295" s="20">
        <v>461</v>
      </c>
      <c r="B3295" s="20" t="s">
        <v>4351</v>
      </c>
      <c r="C3295" s="19">
        <v>10</v>
      </c>
      <c r="D3295" s="20" t="s">
        <v>3974</v>
      </c>
      <c r="E3295" s="19" t="str">
        <f>VLOOKUP(D3295,'لیست پرسنل'!$B$2:$E$1020,3,FALSE)</f>
        <v>فکورصنعت</v>
      </c>
      <c r="F3295" s="19" t="str">
        <f>VLOOKUP(D3295,'لیست پرسنل'!$B$2:$E$1020,4,FALSE)</f>
        <v>مالی - اداری</v>
      </c>
      <c r="G3295" s="127">
        <f>VLOOKUP(D3295,'لیست پرسنل'!$B$2:$F$1020,2,FALSE)</f>
        <v>3801</v>
      </c>
      <c r="H3295" s="128" t="s">
        <v>4071</v>
      </c>
      <c r="I3295" s="128" t="s">
        <v>2012</v>
      </c>
      <c r="J3295" s="128" t="s">
        <v>737</v>
      </c>
      <c r="K3295" s="128" t="s">
        <v>1748</v>
      </c>
      <c r="L3295" s="128" t="s">
        <v>1687</v>
      </c>
      <c r="M3295" s="128">
        <v>625359</v>
      </c>
      <c r="N3295" s="108"/>
      <c r="O3295" s="20"/>
      <c r="P3295" s="44"/>
      <c r="Q3295" s="20"/>
    </row>
    <row r="3296" spans="1:17" ht="24.9" customHeight="1">
      <c r="A3296" s="20">
        <v>461</v>
      </c>
      <c r="B3296" s="20" t="s">
        <v>4351</v>
      </c>
      <c r="C3296" s="19">
        <v>10</v>
      </c>
      <c r="D3296" s="20" t="s">
        <v>3974</v>
      </c>
      <c r="E3296" s="19" t="str">
        <f>VLOOKUP(D3296,'لیست پرسنل'!$B$2:$E$1020,3,FALSE)</f>
        <v>فکورصنعت</v>
      </c>
      <c r="F3296" s="19" t="str">
        <f>VLOOKUP(D3296,'لیست پرسنل'!$B$2:$E$1020,4,FALSE)</f>
        <v>مالی - اداری</v>
      </c>
      <c r="G3296" s="127">
        <f>VLOOKUP(D3296,'لیست پرسنل'!$B$2:$F$1020,2,FALSE)</f>
        <v>3801</v>
      </c>
      <c r="H3296" s="128" t="s">
        <v>4071</v>
      </c>
      <c r="I3296" s="128" t="s">
        <v>2012</v>
      </c>
      <c r="J3296" s="126" t="s">
        <v>368</v>
      </c>
      <c r="K3296" s="128" t="s">
        <v>8248</v>
      </c>
      <c r="L3296" s="127" t="s">
        <v>2448</v>
      </c>
      <c r="M3296" s="128">
        <v>628857</v>
      </c>
      <c r="N3296" s="108"/>
      <c r="O3296" s="20"/>
      <c r="P3296" s="20"/>
      <c r="Q3296" s="20"/>
    </row>
    <row r="3297" spans="1:17" ht="24.9" customHeight="1">
      <c r="A3297" s="20">
        <v>461</v>
      </c>
      <c r="B3297" s="20" t="s">
        <v>4351</v>
      </c>
      <c r="C3297" s="19">
        <v>10</v>
      </c>
      <c r="D3297" s="20" t="s">
        <v>3974</v>
      </c>
      <c r="E3297" s="19" t="str">
        <f>VLOOKUP(D3297,'لیست پرسنل'!$B$2:$E$1020,3,FALSE)</f>
        <v>فکورصنعت</v>
      </c>
      <c r="F3297" s="19" t="str">
        <f>VLOOKUP(D3297,'لیست پرسنل'!$B$2:$E$1020,4,FALSE)</f>
        <v>مالی - اداری</v>
      </c>
      <c r="G3297" s="127">
        <f>VLOOKUP(D3297,'لیست پرسنل'!$B$2:$F$1020,2,FALSE)</f>
        <v>3801</v>
      </c>
      <c r="H3297" s="128" t="s">
        <v>4071</v>
      </c>
      <c r="I3297" s="128" t="s">
        <v>2012</v>
      </c>
      <c r="J3297" s="128" t="s">
        <v>3994</v>
      </c>
      <c r="K3297" s="128" t="s">
        <v>2888</v>
      </c>
      <c r="L3297" s="128" t="s">
        <v>2889</v>
      </c>
      <c r="M3297" s="128">
        <v>613674</v>
      </c>
      <c r="N3297" s="108"/>
      <c r="O3297" s="20"/>
      <c r="P3297" s="20"/>
      <c r="Q3297" s="20"/>
    </row>
    <row r="3298" spans="1:17" ht="24.9" customHeight="1">
      <c r="A3298" s="20">
        <v>461</v>
      </c>
      <c r="B3298" s="20" t="s">
        <v>4351</v>
      </c>
      <c r="C3298" s="19">
        <v>10</v>
      </c>
      <c r="D3298" s="20" t="s">
        <v>3974</v>
      </c>
      <c r="E3298" s="19" t="str">
        <f>VLOOKUP(D3298,'لیست پرسنل'!$B$2:$E$1020,3,FALSE)</f>
        <v>فکورصنعت</v>
      </c>
      <c r="F3298" s="19" t="str">
        <f>VLOOKUP(D3298,'لیست پرسنل'!$B$2:$E$1020,4,FALSE)</f>
        <v>مالی - اداری</v>
      </c>
      <c r="G3298" s="127">
        <f>VLOOKUP(D3298,'لیست پرسنل'!$B$2:$F$1020,2,FALSE)</f>
        <v>3801</v>
      </c>
      <c r="H3298" s="128" t="s">
        <v>4071</v>
      </c>
      <c r="I3298" s="128" t="s">
        <v>2012</v>
      </c>
      <c r="J3298" s="128" t="s">
        <v>571</v>
      </c>
      <c r="K3298" s="128" t="s">
        <v>571</v>
      </c>
      <c r="L3298" s="128" t="s">
        <v>2219</v>
      </c>
      <c r="M3298" s="127">
        <v>627879</v>
      </c>
      <c r="N3298" s="108"/>
      <c r="O3298" s="20"/>
      <c r="P3298" s="20"/>
      <c r="Q3298" s="20"/>
    </row>
    <row r="3299" spans="1:17" ht="24.9" customHeight="1">
      <c r="A3299" s="20">
        <v>461</v>
      </c>
      <c r="B3299" s="20" t="s">
        <v>4351</v>
      </c>
      <c r="C3299" s="19">
        <v>10</v>
      </c>
      <c r="D3299" s="20" t="s">
        <v>3974</v>
      </c>
      <c r="E3299" s="19" t="str">
        <f>VLOOKUP(D3299,'لیست پرسنل'!$B$2:$E$1020,3,FALSE)</f>
        <v>فکورصنعت</v>
      </c>
      <c r="F3299" s="19" t="str">
        <f>VLOOKUP(D3299,'لیست پرسنل'!$B$2:$E$1020,4,FALSE)</f>
        <v>مالی - اداری</v>
      </c>
      <c r="G3299" s="127">
        <f>VLOOKUP(D3299,'لیست پرسنل'!$B$2:$F$1020,2,FALSE)</f>
        <v>3801</v>
      </c>
      <c r="H3299" s="128" t="s">
        <v>4071</v>
      </c>
      <c r="I3299" s="128" t="s">
        <v>2012</v>
      </c>
      <c r="J3299" s="128" t="s">
        <v>2686</v>
      </c>
      <c r="K3299" s="128" t="s">
        <v>2143</v>
      </c>
      <c r="L3299" s="127" t="s">
        <v>2251</v>
      </c>
      <c r="M3299" s="127">
        <v>628642</v>
      </c>
      <c r="N3299" s="108"/>
      <c r="O3299" s="20" t="s">
        <v>705</v>
      </c>
      <c r="P3299" s="20"/>
      <c r="Q3299" s="20"/>
    </row>
    <row r="3300" spans="1:17" ht="24.9" customHeight="1">
      <c r="A3300" s="20">
        <v>461</v>
      </c>
      <c r="B3300" s="20" t="s">
        <v>4351</v>
      </c>
      <c r="C3300" s="19">
        <v>11</v>
      </c>
      <c r="D3300" s="20" t="s">
        <v>390</v>
      </c>
      <c r="E3300" s="19" t="str">
        <f>VLOOKUP(D3300,'لیست پرسنل'!$B$2:$E$1020,3,FALSE)</f>
        <v>فکورصنعت</v>
      </c>
      <c r="F3300" s="19" t="str">
        <f>VLOOKUP(D3300,'لیست پرسنل'!$B$2:$E$1020,4,FALSE)</f>
        <v>ایمنی</v>
      </c>
      <c r="G3300" s="127">
        <f>VLOOKUP(D3300,'لیست پرسنل'!$B$2:$F$1020,2,FALSE)</f>
        <v>935</v>
      </c>
      <c r="H3300" s="128" t="s">
        <v>4071</v>
      </c>
      <c r="I3300" s="128" t="s">
        <v>2013</v>
      </c>
      <c r="J3300" s="126" t="s">
        <v>368</v>
      </c>
      <c r="K3300" s="128" t="s">
        <v>2846</v>
      </c>
      <c r="L3300" s="128" t="s">
        <v>2032</v>
      </c>
      <c r="M3300" s="128">
        <v>627203</v>
      </c>
      <c r="N3300" s="108"/>
      <c r="O3300" s="19">
        <v>11</v>
      </c>
      <c r="P3300" s="20"/>
      <c r="Q3300" s="20"/>
    </row>
    <row r="3301" spans="1:17" ht="24.9" customHeight="1">
      <c r="A3301" s="20">
        <v>461</v>
      </c>
      <c r="B3301" s="20" t="s">
        <v>4351</v>
      </c>
      <c r="C3301" s="19">
        <v>11</v>
      </c>
      <c r="D3301" s="20" t="s">
        <v>390</v>
      </c>
      <c r="E3301" s="19" t="str">
        <f>VLOOKUP(D3301,'لیست پرسنل'!$B$2:$E$1020,3,FALSE)</f>
        <v>فکورصنعت</v>
      </c>
      <c r="F3301" s="19" t="str">
        <f>VLOOKUP(D3301,'لیست پرسنل'!$B$2:$E$1020,4,FALSE)</f>
        <v>ایمنی</v>
      </c>
      <c r="G3301" s="127">
        <f>VLOOKUP(D3301,'لیست پرسنل'!$B$2:$F$1020,2,FALSE)</f>
        <v>935</v>
      </c>
      <c r="H3301" s="128" t="s">
        <v>4071</v>
      </c>
      <c r="I3301" s="128" t="s">
        <v>2013</v>
      </c>
      <c r="J3301" s="128" t="s">
        <v>571</v>
      </c>
      <c r="K3301" s="128" t="s">
        <v>2219</v>
      </c>
      <c r="L3301" s="128"/>
      <c r="M3301" s="128">
        <v>627731</v>
      </c>
      <c r="N3301" s="108"/>
      <c r="O3301" s="19">
        <v>11</v>
      </c>
      <c r="P3301" s="20"/>
      <c r="Q3301" s="20"/>
    </row>
    <row r="3302" spans="1:17" ht="24.9" customHeight="1">
      <c r="A3302" s="20">
        <v>461</v>
      </c>
      <c r="B3302" s="20" t="s">
        <v>4351</v>
      </c>
      <c r="C3302" s="19">
        <v>11</v>
      </c>
      <c r="D3302" s="20" t="s">
        <v>390</v>
      </c>
      <c r="E3302" s="19" t="str">
        <f>VLOOKUP(D3302,'لیست پرسنل'!$B$2:$E$1020,3,FALSE)</f>
        <v>فکورصنعت</v>
      </c>
      <c r="F3302" s="19" t="str">
        <f>VLOOKUP(D3302,'لیست پرسنل'!$B$2:$E$1020,4,FALSE)</f>
        <v>ایمنی</v>
      </c>
      <c r="G3302" s="127">
        <f>VLOOKUP(D3302,'لیست پرسنل'!$B$2:$F$1020,2,FALSE)</f>
        <v>935</v>
      </c>
      <c r="H3302" s="128" t="s">
        <v>4071</v>
      </c>
      <c r="I3302" s="128" t="s">
        <v>2013</v>
      </c>
      <c r="J3302" s="128" t="s">
        <v>2686</v>
      </c>
      <c r="K3302" s="128" t="s">
        <v>2922</v>
      </c>
      <c r="L3302" s="127" t="s">
        <v>2976</v>
      </c>
      <c r="M3302" s="128">
        <v>626457</v>
      </c>
      <c r="N3302" s="108"/>
      <c r="O3302" s="20" t="s">
        <v>705</v>
      </c>
      <c r="P3302" s="20"/>
      <c r="Q3302" s="20"/>
    </row>
    <row r="3303" spans="1:17" ht="24.9" customHeight="1">
      <c r="A3303" s="20">
        <v>461</v>
      </c>
      <c r="B3303" s="20" t="s">
        <v>4351</v>
      </c>
      <c r="C3303" s="19">
        <v>12</v>
      </c>
      <c r="D3303" s="20" t="s">
        <v>2051</v>
      </c>
      <c r="E3303" s="19" t="str">
        <f>VLOOKUP(D3303,'لیست پرسنل'!$B$2:$E$1020,3,FALSE)</f>
        <v>فکورصنعت</v>
      </c>
      <c r="F3303" s="19" t="str">
        <f>VLOOKUP(D3303,'لیست پرسنل'!$B$2:$E$1020,4,FALSE)</f>
        <v>انبار</v>
      </c>
      <c r="G3303" s="127">
        <f>VLOOKUP(D3303,'لیست پرسنل'!$B$2:$F$1020,2,FALSE)</f>
        <v>3771</v>
      </c>
      <c r="H3303" s="128" t="s">
        <v>4609</v>
      </c>
      <c r="I3303" s="128" t="s">
        <v>2014</v>
      </c>
      <c r="J3303" s="128" t="s">
        <v>5366</v>
      </c>
      <c r="K3303" s="128" t="s">
        <v>2034</v>
      </c>
      <c r="L3303" s="152" t="s">
        <v>2033</v>
      </c>
      <c r="M3303" s="128">
        <v>628134</v>
      </c>
      <c r="N3303" s="108"/>
      <c r="O3303" s="20"/>
      <c r="P3303" s="20"/>
      <c r="Q3303" s="20"/>
    </row>
    <row r="3304" spans="1:17" ht="24.9" customHeight="1">
      <c r="A3304" s="20">
        <v>461</v>
      </c>
      <c r="B3304" s="20" t="s">
        <v>4351</v>
      </c>
      <c r="C3304" s="19">
        <v>12</v>
      </c>
      <c r="D3304" s="20" t="s">
        <v>2051</v>
      </c>
      <c r="E3304" s="19" t="str">
        <f>VLOOKUP(D3304,'لیست پرسنل'!$B$2:$E$1020,3,FALSE)</f>
        <v>فکورصنعت</v>
      </c>
      <c r="F3304" s="19" t="str">
        <f>VLOOKUP(D3304,'لیست پرسنل'!$B$2:$E$1020,4,FALSE)</f>
        <v>انبار</v>
      </c>
      <c r="G3304" s="127">
        <f>VLOOKUP(D3304,'لیست پرسنل'!$B$2:$F$1020,2,FALSE)</f>
        <v>3771</v>
      </c>
      <c r="H3304" s="128" t="s">
        <v>4609</v>
      </c>
      <c r="I3304" s="128" t="s">
        <v>2014</v>
      </c>
      <c r="J3304" s="128" t="s">
        <v>5366</v>
      </c>
      <c r="K3304" s="128" t="s">
        <v>4915</v>
      </c>
      <c r="L3304" s="151" t="s">
        <v>4914</v>
      </c>
      <c r="M3304" s="128">
        <v>630208</v>
      </c>
      <c r="N3304" s="108"/>
      <c r="O3304" s="93" t="s">
        <v>4924</v>
      </c>
      <c r="P3304" s="20"/>
      <c r="Q3304" s="20"/>
    </row>
    <row r="3305" spans="1:17" ht="24.9" customHeight="1">
      <c r="A3305" s="20">
        <v>461</v>
      </c>
      <c r="B3305" s="20" t="s">
        <v>4351</v>
      </c>
      <c r="C3305" s="19">
        <v>12</v>
      </c>
      <c r="D3305" s="20" t="s">
        <v>2051</v>
      </c>
      <c r="E3305" s="19" t="str">
        <f>VLOOKUP(D3305,'لیست پرسنل'!$B$2:$E$1020,3,FALSE)</f>
        <v>فکورصنعت</v>
      </c>
      <c r="F3305" s="19" t="str">
        <f>VLOOKUP(D3305,'لیست پرسنل'!$B$2:$E$1020,4,FALSE)</f>
        <v>انبار</v>
      </c>
      <c r="G3305" s="127">
        <f>VLOOKUP(D3305,'لیست پرسنل'!$B$2:$F$1020,2,FALSE)</f>
        <v>3771</v>
      </c>
      <c r="H3305" s="128" t="s">
        <v>4609</v>
      </c>
      <c r="I3305" s="128" t="s">
        <v>2014</v>
      </c>
      <c r="J3305" s="128" t="s">
        <v>571</v>
      </c>
      <c r="K3305" s="128" t="s">
        <v>5009</v>
      </c>
      <c r="L3305" s="152"/>
      <c r="M3305" s="128">
        <v>606359</v>
      </c>
      <c r="N3305" s="108"/>
      <c r="O3305" s="20"/>
      <c r="P3305" s="20"/>
      <c r="Q3305" s="20"/>
    </row>
    <row r="3306" spans="1:17" ht="24.9" customHeight="1">
      <c r="A3306" s="20">
        <v>461</v>
      </c>
      <c r="B3306" s="20" t="s">
        <v>4351</v>
      </c>
      <c r="C3306" s="19">
        <v>12</v>
      </c>
      <c r="D3306" s="20" t="s">
        <v>2051</v>
      </c>
      <c r="E3306" s="19" t="str">
        <f>VLOOKUP(D3306,'لیست پرسنل'!$B$2:$E$1020,3,FALSE)</f>
        <v>فکورصنعت</v>
      </c>
      <c r="F3306" s="19" t="str">
        <f>VLOOKUP(D3306,'لیست پرسنل'!$B$2:$E$1020,4,FALSE)</f>
        <v>انبار</v>
      </c>
      <c r="G3306" s="127">
        <f>VLOOKUP(D3306,'لیست پرسنل'!$B$2:$F$1020,2,FALSE)</f>
        <v>3771</v>
      </c>
      <c r="H3306" s="128" t="s">
        <v>4609</v>
      </c>
      <c r="I3306" s="128" t="s">
        <v>2014</v>
      </c>
      <c r="J3306" s="128" t="s">
        <v>571</v>
      </c>
      <c r="K3306" s="128" t="s">
        <v>2219</v>
      </c>
      <c r="L3306" s="127"/>
      <c r="M3306" s="127">
        <v>629963</v>
      </c>
      <c r="N3306" s="109"/>
      <c r="O3306" s="19" t="s">
        <v>705</v>
      </c>
      <c r="P3306" s="19"/>
      <c r="Q3306" s="28"/>
    </row>
    <row r="3307" spans="1:17" ht="24.9" customHeight="1">
      <c r="A3307" s="20">
        <v>461</v>
      </c>
      <c r="B3307" s="20" t="s">
        <v>4351</v>
      </c>
      <c r="C3307" s="19">
        <v>12</v>
      </c>
      <c r="D3307" s="20" t="s">
        <v>2051</v>
      </c>
      <c r="E3307" s="19" t="str">
        <f>VLOOKUP(D3307,'لیست پرسنل'!$B$2:$E$1020,3,FALSE)</f>
        <v>فکورصنعت</v>
      </c>
      <c r="F3307" s="19" t="str">
        <f>VLOOKUP(D3307,'لیست پرسنل'!$B$2:$E$1020,4,FALSE)</f>
        <v>انبار</v>
      </c>
      <c r="G3307" s="127">
        <f>VLOOKUP(D3307,'لیست پرسنل'!$B$2:$F$1020,2,FALSE)</f>
        <v>3771</v>
      </c>
      <c r="H3307" s="128" t="s">
        <v>4609</v>
      </c>
      <c r="I3307" s="128" t="s">
        <v>2014</v>
      </c>
      <c r="J3307" s="128" t="s">
        <v>1977</v>
      </c>
      <c r="K3307" s="128" t="s">
        <v>438</v>
      </c>
      <c r="L3307" s="127" t="s">
        <v>4591</v>
      </c>
      <c r="M3307" s="127">
        <v>615583</v>
      </c>
      <c r="N3307" s="108" t="s">
        <v>7373</v>
      </c>
      <c r="O3307" s="20"/>
      <c r="P3307" s="20"/>
      <c r="Q3307" s="20"/>
    </row>
    <row r="3308" spans="1:17" ht="24.9" customHeight="1">
      <c r="A3308" s="20">
        <v>461</v>
      </c>
      <c r="B3308" s="20" t="s">
        <v>4351</v>
      </c>
      <c r="C3308" s="19">
        <v>13</v>
      </c>
      <c r="D3308" s="20" t="s">
        <v>5236</v>
      </c>
      <c r="E3308" s="19" t="str">
        <f>VLOOKUP(D3308,'لیست پرسنل'!$B$2:$E$1020,3,FALSE)</f>
        <v>فکورصنعت</v>
      </c>
      <c r="F3308" s="19" t="str">
        <f>VLOOKUP(D3308,'لیست پرسنل'!$B$2:$E$1020,4,FALSE)</f>
        <v>مدیر پروژه</v>
      </c>
      <c r="G3308" s="127">
        <f>VLOOKUP(D3308,'لیست پرسنل'!$B$2:$F$1020,2,FALSE)</f>
        <v>0</v>
      </c>
      <c r="H3308" s="128" t="s">
        <v>4071</v>
      </c>
      <c r="I3308" s="128" t="s">
        <v>2015</v>
      </c>
      <c r="J3308" s="126" t="s">
        <v>368</v>
      </c>
      <c r="K3308" s="128" t="s">
        <v>2846</v>
      </c>
      <c r="L3308" s="128" t="s">
        <v>2134</v>
      </c>
      <c r="M3308" s="128">
        <v>628841</v>
      </c>
      <c r="N3308" s="108"/>
      <c r="O3308" s="20"/>
      <c r="P3308" s="20"/>
      <c r="Q3308" s="20"/>
    </row>
    <row r="3309" spans="1:17" ht="24.9" customHeight="1">
      <c r="A3309" s="20">
        <v>461</v>
      </c>
      <c r="B3309" s="20" t="s">
        <v>4351</v>
      </c>
      <c r="C3309" s="19">
        <v>13</v>
      </c>
      <c r="D3309" s="20" t="s">
        <v>5236</v>
      </c>
      <c r="E3309" s="19" t="str">
        <f>VLOOKUP(D3309,'لیست پرسنل'!$B$2:$E$1020,3,FALSE)</f>
        <v>فکورصنعت</v>
      </c>
      <c r="F3309" s="19" t="str">
        <f>VLOOKUP(D3309,'لیست پرسنل'!$B$2:$E$1020,4,FALSE)</f>
        <v>مدیر پروژه</v>
      </c>
      <c r="G3309" s="127">
        <f>VLOOKUP(D3309,'لیست پرسنل'!$B$2:$F$1020,2,FALSE)</f>
        <v>0</v>
      </c>
      <c r="H3309" s="128" t="s">
        <v>4071</v>
      </c>
      <c r="I3309" s="128" t="s">
        <v>2015</v>
      </c>
      <c r="J3309" s="128" t="s">
        <v>5366</v>
      </c>
      <c r="K3309" s="128" t="s">
        <v>1866</v>
      </c>
      <c r="L3309" s="151" t="s">
        <v>1864</v>
      </c>
      <c r="M3309" s="131">
        <v>616254</v>
      </c>
      <c r="N3309" s="108" t="s">
        <v>2714</v>
      </c>
      <c r="O3309" s="20" t="s">
        <v>705</v>
      </c>
      <c r="P3309" s="20"/>
      <c r="Q3309" s="20"/>
    </row>
    <row r="3310" spans="1:17" ht="24.9" customHeight="1">
      <c r="A3310" s="20">
        <v>461</v>
      </c>
      <c r="B3310" s="20" t="s">
        <v>4351</v>
      </c>
      <c r="C3310" s="19">
        <v>13</v>
      </c>
      <c r="D3310" s="20" t="s">
        <v>5236</v>
      </c>
      <c r="E3310" s="19" t="str">
        <f>VLOOKUP(D3310,'لیست پرسنل'!$B$2:$E$1020,3,FALSE)</f>
        <v>فکورصنعت</v>
      </c>
      <c r="F3310" s="19" t="str">
        <f>VLOOKUP(D3310,'لیست پرسنل'!$B$2:$E$1020,4,FALSE)</f>
        <v>مدیر پروژه</v>
      </c>
      <c r="G3310" s="127">
        <f>VLOOKUP(D3310,'لیست پرسنل'!$B$2:$F$1020,2,FALSE)</f>
        <v>0</v>
      </c>
      <c r="H3310" s="128" t="s">
        <v>4071</v>
      </c>
      <c r="I3310" s="128" t="s">
        <v>2015</v>
      </c>
      <c r="J3310" s="128" t="s">
        <v>571</v>
      </c>
      <c r="K3310" s="128"/>
      <c r="L3310" s="151"/>
      <c r="M3310" s="128">
        <v>625451</v>
      </c>
      <c r="N3310" s="108"/>
      <c r="O3310" s="20"/>
      <c r="P3310" s="20"/>
      <c r="Q3310" s="20"/>
    </row>
    <row r="3311" spans="1:17" ht="24.9" customHeight="1">
      <c r="A3311" s="20">
        <v>461</v>
      </c>
      <c r="B3311" s="20" t="s">
        <v>4351</v>
      </c>
      <c r="C3311" s="19">
        <v>13</v>
      </c>
      <c r="D3311" s="20" t="s">
        <v>5236</v>
      </c>
      <c r="E3311" s="19" t="str">
        <f>VLOOKUP(D3311,'لیست پرسنل'!$B$2:$E$1020,3,FALSE)</f>
        <v>فکورصنعت</v>
      </c>
      <c r="F3311" s="19" t="str">
        <f>VLOOKUP(D3311,'لیست پرسنل'!$B$2:$E$1020,4,FALSE)</f>
        <v>مدیر پروژه</v>
      </c>
      <c r="G3311" s="127">
        <f>VLOOKUP(D3311,'لیست پرسنل'!$B$2:$F$1020,2,FALSE)</f>
        <v>0</v>
      </c>
      <c r="H3311" s="128" t="s">
        <v>4071</v>
      </c>
      <c r="I3311" s="128" t="s">
        <v>2015</v>
      </c>
      <c r="J3311" s="128" t="s">
        <v>2686</v>
      </c>
      <c r="K3311" s="128" t="s">
        <v>2739</v>
      </c>
      <c r="L3311" s="151" t="s">
        <v>2746</v>
      </c>
      <c r="M3311" s="128">
        <v>626489</v>
      </c>
      <c r="N3311" s="108"/>
      <c r="O3311" s="20"/>
      <c r="P3311" s="20"/>
      <c r="Q3311" s="20"/>
    </row>
    <row r="3312" spans="1:17" ht="24.9" customHeight="1">
      <c r="A3312" s="20">
        <v>461</v>
      </c>
      <c r="B3312" s="20" t="s">
        <v>4351</v>
      </c>
      <c r="C3312" s="19">
        <v>14</v>
      </c>
      <c r="D3312" s="20" t="s">
        <v>3515</v>
      </c>
      <c r="E3312" s="19" t="str">
        <f>VLOOKUP(D3312,'لیست پرسنل'!$B$2:$E$1020,3,FALSE)</f>
        <v>فکورصنعت</v>
      </c>
      <c r="F3312" s="19" t="str">
        <f>VLOOKUP(D3312,'لیست پرسنل'!$B$2:$E$1020,4,FALSE)</f>
        <v>ایمنی</v>
      </c>
      <c r="G3312" s="127">
        <f>VLOOKUP(D3312,'لیست پرسنل'!$B$2:$F$1020,2,FALSE)</f>
        <v>5024</v>
      </c>
      <c r="H3312" s="128" t="s">
        <v>4071</v>
      </c>
      <c r="I3312" s="128" t="s">
        <v>2730</v>
      </c>
      <c r="J3312" s="126" t="s">
        <v>368</v>
      </c>
      <c r="K3312" s="128" t="s">
        <v>2846</v>
      </c>
      <c r="L3312" s="128" t="s">
        <v>2434</v>
      </c>
      <c r="M3312" s="128">
        <v>628842</v>
      </c>
      <c r="N3312" s="108"/>
      <c r="O3312" s="20"/>
      <c r="P3312" s="20"/>
      <c r="Q3312" s="20"/>
    </row>
    <row r="3313" spans="1:17" ht="24.9" customHeight="1">
      <c r="A3313" s="20">
        <v>461</v>
      </c>
      <c r="B3313" s="20" t="s">
        <v>4351</v>
      </c>
      <c r="C3313" s="19">
        <v>14</v>
      </c>
      <c r="D3313" s="20" t="s">
        <v>3515</v>
      </c>
      <c r="E3313" s="19" t="str">
        <f>VLOOKUP(D3313,'لیست پرسنل'!$B$2:$E$1020,3,FALSE)</f>
        <v>فکورصنعت</v>
      </c>
      <c r="F3313" s="19" t="str">
        <f>VLOOKUP(D3313,'لیست پرسنل'!$B$2:$E$1020,4,FALSE)</f>
        <v>ایمنی</v>
      </c>
      <c r="G3313" s="127">
        <f>VLOOKUP(D3313,'لیست پرسنل'!$B$2:$F$1020,2,FALSE)</f>
        <v>5024</v>
      </c>
      <c r="H3313" s="128" t="s">
        <v>4071</v>
      </c>
      <c r="I3313" s="128" t="s">
        <v>2730</v>
      </c>
      <c r="J3313" s="128" t="s">
        <v>571</v>
      </c>
      <c r="K3313" s="128" t="s">
        <v>571</v>
      </c>
      <c r="L3313" s="128" t="s">
        <v>2219</v>
      </c>
      <c r="M3313" s="127">
        <v>627720</v>
      </c>
      <c r="N3313" s="108"/>
      <c r="O3313" s="20"/>
      <c r="P3313" s="20"/>
      <c r="Q3313" s="20"/>
    </row>
    <row r="3314" spans="1:17" ht="24.9" customHeight="1">
      <c r="A3314" s="20">
        <v>461</v>
      </c>
      <c r="B3314" s="20" t="s">
        <v>4351</v>
      </c>
      <c r="C3314" s="19">
        <v>14</v>
      </c>
      <c r="D3314" s="20" t="s">
        <v>3515</v>
      </c>
      <c r="E3314" s="19" t="str">
        <f>VLOOKUP(D3314,'لیست پرسنل'!$B$2:$E$1020,3,FALSE)</f>
        <v>فکورصنعت</v>
      </c>
      <c r="F3314" s="19" t="str">
        <f>VLOOKUP(D3314,'لیست پرسنل'!$B$2:$E$1020,4,FALSE)</f>
        <v>ایمنی</v>
      </c>
      <c r="G3314" s="127">
        <f>VLOOKUP(D3314,'لیست پرسنل'!$B$2:$F$1020,2,FALSE)</f>
        <v>5024</v>
      </c>
      <c r="H3314" s="128" t="s">
        <v>4071</v>
      </c>
      <c r="I3314" s="128" t="s">
        <v>2730</v>
      </c>
      <c r="J3314" s="128" t="s">
        <v>2686</v>
      </c>
      <c r="K3314" s="128" t="s">
        <v>2143</v>
      </c>
      <c r="L3314" s="128" t="s">
        <v>2268</v>
      </c>
      <c r="M3314" s="127">
        <v>628659</v>
      </c>
      <c r="N3314" s="108"/>
      <c r="O3314" s="20" t="s">
        <v>705</v>
      </c>
      <c r="P3314" s="20"/>
      <c r="Q3314" s="20"/>
    </row>
    <row r="3315" spans="1:17" ht="24.9" customHeight="1">
      <c r="A3315" s="20">
        <v>461</v>
      </c>
      <c r="B3315" s="20" t="s">
        <v>4351</v>
      </c>
      <c r="C3315" s="19">
        <v>15</v>
      </c>
      <c r="D3315" s="20" t="s">
        <v>3501</v>
      </c>
      <c r="E3315" s="19" t="str">
        <f>VLOOKUP(D3315,'لیست پرسنل'!$B$2:$E$1020,3,FALSE)</f>
        <v>فکورصنعت</v>
      </c>
      <c r="F3315" s="19" t="str">
        <f>VLOOKUP(D3315,'لیست پرسنل'!$B$2:$E$1020,4,FALSE)</f>
        <v>دفتر فنی</v>
      </c>
      <c r="G3315" s="127" t="str">
        <f>VLOOKUP(D3315,'لیست پرسنل'!$B$2:$F$1020,2,FALSE)</f>
        <v>4020904</v>
      </c>
      <c r="H3315" s="128" t="s">
        <v>4071</v>
      </c>
      <c r="I3315" s="128" t="s">
        <v>2217</v>
      </c>
      <c r="J3315" s="126" t="s">
        <v>368</v>
      </c>
      <c r="K3315" s="128" t="s">
        <v>2846</v>
      </c>
      <c r="L3315" s="127" t="s">
        <v>2432</v>
      </c>
      <c r="M3315" s="128">
        <v>628839</v>
      </c>
      <c r="N3315" s="108"/>
      <c r="O3315" s="20"/>
      <c r="P3315" s="20"/>
      <c r="Q3315" s="20"/>
    </row>
    <row r="3316" spans="1:17" ht="24.9" customHeight="1">
      <c r="A3316" s="20">
        <v>461</v>
      </c>
      <c r="B3316" s="20" t="s">
        <v>4351</v>
      </c>
      <c r="C3316" s="19">
        <v>15</v>
      </c>
      <c r="D3316" s="20" t="s">
        <v>3501</v>
      </c>
      <c r="E3316" s="19" t="str">
        <f>VLOOKUP(D3316,'لیست پرسنل'!$B$2:$E$1020,3,FALSE)</f>
        <v>فکورصنعت</v>
      </c>
      <c r="F3316" s="19" t="str">
        <f>VLOOKUP(D3316,'لیست پرسنل'!$B$2:$E$1020,4,FALSE)</f>
        <v>دفتر فنی</v>
      </c>
      <c r="G3316" s="127" t="str">
        <f>VLOOKUP(D3316,'لیست پرسنل'!$B$2:$F$1020,2,FALSE)</f>
        <v>4020904</v>
      </c>
      <c r="H3316" s="128" t="s">
        <v>4071</v>
      </c>
      <c r="I3316" s="128" t="s">
        <v>2217</v>
      </c>
      <c r="J3316" s="128" t="s">
        <v>571</v>
      </c>
      <c r="K3316" s="128" t="s">
        <v>5768</v>
      </c>
      <c r="L3316" s="128"/>
      <c r="M3316" s="126">
        <v>632133</v>
      </c>
      <c r="N3316" s="111"/>
      <c r="O3316" s="28"/>
      <c r="P3316" s="28"/>
      <c r="Q3316" s="28"/>
    </row>
    <row r="3317" spans="1:17" ht="24.9" customHeight="1">
      <c r="A3317" s="20">
        <v>461</v>
      </c>
      <c r="B3317" s="20" t="s">
        <v>4351</v>
      </c>
      <c r="C3317" s="19">
        <v>15</v>
      </c>
      <c r="D3317" s="20" t="s">
        <v>3501</v>
      </c>
      <c r="E3317" s="19" t="str">
        <f>VLOOKUP(D3317,'لیست پرسنل'!$B$2:$E$1020,3,FALSE)</f>
        <v>فکورصنعت</v>
      </c>
      <c r="F3317" s="19" t="str">
        <f>VLOOKUP(D3317,'لیست پرسنل'!$B$2:$E$1020,4,FALSE)</f>
        <v>دفتر فنی</v>
      </c>
      <c r="G3317" s="127" t="str">
        <f>VLOOKUP(D3317,'لیست پرسنل'!$B$2:$F$1020,2,FALSE)</f>
        <v>4020904</v>
      </c>
      <c r="H3317" s="128" t="s">
        <v>4071</v>
      </c>
      <c r="I3317" s="128" t="s">
        <v>2217</v>
      </c>
      <c r="J3317" s="128" t="s">
        <v>2686</v>
      </c>
      <c r="K3317" s="128" t="s">
        <v>2739</v>
      </c>
      <c r="L3317" s="152" t="s">
        <v>2740</v>
      </c>
      <c r="M3317" s="127">
        <v>626463</v>
      </c>
      <c r="N3317" s="108"/>
      <c r="O3317" s="20"/>
      <c r="P3317" s="20"/>
      <c r="Q3317" s="20"/>
    </row>
    <row r="3318" spans="1:17" ht="24.9" customHeight="1">
      <c r="A3318" s="20">
        <v>461</v>
      </c>
      <c r="B3318" s="20" t="s">
        <v>4351</v>
      </c>
      <c r="C3318" s="20">
        <v>16</v>
      </c>
      <c r="D3318" s="20" t="s">
        <v>2731</v>
      </c>
      <c r="E3318" s="19" t="str">
        <f>VLOOKUP(D3318,'لیست پرسنل'!$B$2:$E$1020,3,FALSE)</f>
        <v>فکورصنعت</v>
      </c>
      <c r="F3318" s="19" t="str">
        <f>VLOOKUP(D3318,'لیست پرسنل'!$B$2:$E$1020,4,FALSE)</f>
        <v>کنترل پروژه</v>
      </c>
      <c r="G3318" s="127" t="str">
        <f>VLOOKUP(D3318,'لیست پرسنل'!$B$2:$F$1020,2,FALSE)</f>
        <v>4000505</v>
      </c>
      <c r="H3318" s="127" t="s">
        <v>3968</v>
      </c>
      <c r="I3318" s="128" t="s">
        <v>2732</v>
      </c>
      <c r="J3318" s="128" t="s">
        <v>3383</v>
      </c>
      <c r="K3318" s="127" t="s">
        <v>8479</v>
      </c>
      <c r="L3318" s="127" t="s">
        <v>8478</v>
      </c>
      <c r="M3318" s="127">
        <v>637073</v>
      </c>
      <c r="N3318" s="109"/>
      <c r="O3318" s="20"/>
      <c r="P3318" s="20"/>
      <c r="Q3318" s="20"/>
    </row>
    <row r="3319" spans="1:17" ht="24.9" customHeight="1">
      <c r="A3319" s="20">
        <v>461</v>
      </c>
      <c r="B3319" s="20" t="s">
        <v>4351</v>
      </c>
      <c r="C3319" s="19">
        <v>16</v>
      </c>
      <c r="D3319" s="20" t="s">
        <v>2731</v>
      </c>
      <c r="E3319" s="19" t="str">
        <f>VLOOKUP(D3319,'لیست پرسنل'!$B$2:$E$1020,3,FALSE)</f>
        <v>فکورصنعت</v>
      </c>
      <c r="F3319" s="19" t="str">
        <f>VLOOKUP(D3319,'لیست پرسنل'!$B$2:$E$1020,4,FALSE)</f>
        <v>کنترل پروژه</v>
      </c>
      <c r="G3319" s="127" t="str">
        <f>VLOOKUP(D3319,'لیست پرسنل'!$B$2:$F$1020,2,FALSE)</f>
        <v>4000505</v>
      </c>
      <c r="H3319" s="128" t="s">
        <v>4071</v>
      </c>
      <c r="I3319" s="128" t="s">
        <v>2732</v>
      </c>
      <c r="J3319" s="128" t="s">
        <v>737</v>
      </c>
      <c r="K3319" s="128" t="s">
        <v>171</v>
      </c>
      <c r="L3319" s="128">
        <v>13024983</v>
      </c>
      <c r="M3319" s="128">
        <v>627689</v>
      </c>
      <c r="N3319" s="108"/>
      <c r="O3319" s="20"/>
      <c r="P3319" s="20"/>
      <c r="Q3319" s="20"/>
    </row>
    <row r="3320" spans="1:17" ht="24.9" customHeight="1">
      <c r="A3320" s="20">
        <v>461</v>
      </c>
      <c r="B3320" s="20" t="s">
        <v>4351</v>
      </c>
      <c r="C3320" s="19">
        <v>16</v>
      </c>
      <c r="D3320" s="20" t="s">
        <v>2731</v>
      </c>
      <c r="E3320" s="19" t="str">
        <f>VLOOKUP(D3320,'لیست پرسنل'!$B$2:$E$1020,3,FALSE)</f>
        <v>فکورصنعت</v>
      </c>
      <c r="F3320" s="19" t="str">
        <f>VLOOKUP(D3320,'لیست پرسنل'!$B$2:$E$1020,4,FALSE)</f>
        <v>کنترل پروژه</v>
      </c>
      <c r="G3320" s="127" t="str">
        <f>VLOOKUP(D3320,'لیست پرسنل'!$B$2:$F$1020,2,FALSE)</f>
        <v>4000505</v>
      </c>
      <c r="H3320" s="128" t="s">
        <v>4071</v>
      </c>
      <c r="I3320" s="128" t="s">
        <v>2732</v>
      </c>
      <c r="J3320" s="126" t="s">
        <v>368</v>
      </c>
      <c r="K3320" s="128" t="s">
        <v>693</v>
      </c>
      <c r="L3320" s="128" t="s">
        <v>694</v>
      </c>
      <c r="M3320" s="128">
        <v>618865</v>
      </c>
      <c r="N3320" s="108"/>
      <c r="O3320" s="20"/>
      <c r="P3320" s="20"/>
      <c r="Q3320" s="20"/>
    </row>
    <row r="3321" spans="1:17" ht="24.9" customHeight="1">
      <c r="A3321" s="20">
        <v>461</v>
      </c>
      <c r="B3321" s="20" t="s">
        <v>4351</v>
      </c>
      <c r="C3321" s="19">
        <v>16</v>
      </c>
      <c r="D3321" s="20" t="s">
        <v>2731</v>
      </c>
      <c r="E3321" s="19" t="str">
        <f>VLOOKUP(D3321,'لیست پرسنل'!$B$2:$E$1020,3,FALSE)</f>
        <v>فکورصنعت</v>
      </c>
      <c r="F3321" s="19" t="str">
        <f>VLOOKUP(D3321,'لیست پرسنل'!$B$2:$E$1020,4,FALSE)</f>
        <v>کنترل پروژه</v>
      </c>
      <c r="G3321" s="127" t="str">
        <f>VLOOKUP(D3321,'لیست پرسنل'!$B$2:$F$1020,2,FALSE)</f>
        <v>4000505</v>
      </c>
      <c r="H3321" s="128" t="s">
        <v>4071</v>
      </c>
      <c r="I3321" s="128" t="s">
        <v>2732</v>
      </c>
      <c r="J3321" s="128" t="s">
        <v>571</v>
      </c>
      <c r="K3321" s="128" t="s">
        <v>2219</v>
      </c>
      <c r="L3321" s="151"/>
      <c r="M3321" s="128">
        <v>626205</v>
      </c>
      <c r="N3321" s="108"/>
      <c r="O3321" s="20"/>
      <c r="P3321" s="20"/>
      <c r="Q3321" s="20"/>
    </row>
    <row r="3322" spans="1:17" ht="24.9" customHeight="1">
      <c r="A3322" s="20">
        <v>461</v>
      </c>
      <c r="B3322" s="20" t="s">
        <v>4351</v>
      </c>
      <c r="C3322" s="19">
        <v>16</v>
      </c>
      <c r="D3322" s="20" t="s">
        <v>2731</v>
      </c>
      <c r="E3322" s="19" t="str">
        <f>VLOOKUP(D3322,'لیست پرسنل'!$B$2:$E$1020,3,FALSE)</f>
        <v>فکورصنعت</v>
      </c>
      <c r="F3322" s="19" t="str">
        <f>VLOOKUP(D3322,'لیست پرسنل'!$B$2:$E$1020,4,FALSE)</f>
        <v>کنترل پروژه</v>
      </c>
      <c r="G3322" s="127" t="str">
        <f>VLOOKUP(D3322,'لیست پرسنل'!$B$2:$F$1020,2,FALSE)</f>
        <v>4000505</v>
      </c>
      <c r="H3322" s="128" t="s">
        <v>4071</v>
      </c>
      <c r="I3322" s="128" t="s">
        <v>2732</v>
      </c>
      <c r="J3322" s="128" t="s">
        <v>2686</v>
      </c>
      <c r="K3322" s="128" t="s">
        <v>2739</v>
      </c>
      <c r="L3322" s="127" t="s">
        <v>3004</v>
      </c>
      <c r="M3322" s="128">
        <v>626486</v>
      </c>
      <c r="N3322" s="108"/>
      <c r="O3322" s="20"/>
      <c r="P3322" s="20"/>
      <c r="Q3322" s="20"/>
    </row>
    <row r="3323" spans="1:17" ht="24.9" customHeight="1">
      <c r="A3323" s="20">
        <v>461</v>
      </c>
      <c r="B3323" s="20" t="s">
        <v>4351</v>
      </c>
      <c r="C3323" s="19">
        <v>17</v>
      </c>
      <c r="D3323" s="20" t="s">
        <v>2734</v>
      </c>
      <c r="E3323" s="19" t="str">
        <f>VLOOKUP(D3323,'لیست پرسنل'!$B$2:$E$1020,3,FALSE)</f>
        <v>فکورصنعت</v>
      </c>
      <c r="F3323" s="19" t="str">
        <f>VLOOKUP(D3323,'لیست پرسنل'!$B$2:$E$1020,4,FALSE)</f>
        <v>دفتر فنی سیویل</v>
      </c>
      <c r="G3323" s="127" t="str">
        <f>VLOOKUP(D3323,'لیست پرسنل'!$B$2:$F$1020,2,FALSE)</f>
        <v>4011005</v>
      </c>
      <c r="H3323" s="128" t="s">
        <v>4071</v>
      </c>
      <c r="I3323" s="128" t="s">
        <v>2733</v>
      </c>
      <c r="J3323" s="126" t="s">
        <v>368</v>
      </c>
      <c r="K3323" s="128" t="s">
        <v>2846</v>
      </c>
      <c r="L3323" s="127" t="s">
        <v>2449</v>
      </c>
      <c r="M3323" s="128">
        <v>628858</v>
      </c>
      <c r="N3323" s="108"/>
      <c r="O3323" s="20"/>
      <c r="P3323" s="20"/>
      <c r="Q3323" s="20"/>
    </row>
    <row r="3324" spans="1:17" ht="24.9" customHeight="1">
      <c r="A3324" s="20">
        <v>461</v>
      </c>
      <c r="B3324" s="20" t="s">
        <v>4351</v>
      </c>
      <c r="C3324" s="19">
        <v>17</v>
      </c>
      <c r="D3324" s="20" t="s">
        <v>2734</v>
      </c>
      <c r="E3324" s="19" t="str">
        <f>VLOOKUP(D3324,'لیست پرسنل'!$B$2:$E$1020,3,FALSE)</f>
        <v>فکورصنعت</v>
      </c>
      <c r="F3324" s="19" t="str">
        <f>VLOOKUP(D3324,'لیست پرسنل'!$B$2:$E$1020,4,FALSE)</f>
        <v>دفتر فنی سیویل</v>
      </c>
      <c r="G3324" s="127" t="str">
        <f>VLOOKUP(D3324,'لیست پرسنل'!$B$2:$F$1020,2,FALSE)</f>
        <v>4011005</v>
      </c>
      <c r="H3324" s="128" t="s">
        <v>4071</v>
      </c>
      <c r="I3324" s="128" t="s">
        <v>2733</v>
      </c>
      <c r="J3324" s="128" t="s">
        <v>571</v>
      </c>
      <c r="K3324" s="128"/>
      <c r="L3324" s="152"/>
      <c r="M3324" s="128">
        <v>627713</v>
      </c>
      <c r="N3324" s="108"/>
      <c r="O3324" s="20"/>
      <c r="P3324" s="20"/>
      <c r="Q3324" s="20"/>
    </row>
    <row r="3325" spans="1:17" ht="24.75" customHeight="1">
      <c r="A3325" s="20">
        <v>461</v>
      </c>
      <c r="B3325" s="20" t="s">
        <v>4351</v>
      </c>
      <c r="C3325" s="19">
        <v>17</v>
      </c>
      <c r="D3325" s="20" t="s">
        <v>2734</v>
      </c>
      <c r="E3325" s="19" t="str">
        <f>VLOOKUP(D3325,'لیست پرسنل'!$B$2:$E$1020,3,FALSE)</f>
        <v>فکورصنعت</v>
      </c>
      <c r="F3325" s="19" t="str">
        <f>VLOOKUP(D3325,'لیست پرسنل'!$B$2:$E$1020,4,FALSE)</f>
        <v>دفتر فنی سیویل</v>
      </c>
      <c r="G3325" s="127" t="str">
        <f>VLOOKUP(D3325,'لیست پرسنل'!$B$2:$F$1020,2,FALSE)</f>
        <v>4011005</v>
      </c>
      <c r="H3325" s="128" t="s">
        <v>4071</v>
      </c>
      <c r="I3325" s="128" t="s">
        <v>2733</v>
      </c>
      <c r="J3325" s="128" t="s">
        <v>2686</v>
      </c>
      <c r="K3325" s="128" t="s">
        <v>2143</v>
      </c>
      <c r="L3325" s="127" t="s">
        <v>2229</v>
      </c>
      <c r="M3325" s="127">
        <v>628620</v>
      </c>
      <c r="N3325" s="108"/>
      <c r="O3325" s="20" t="s">
        <v>705</v>
      </c>
      <c r="P3325" s="20"/>
      <c r="Q3325" s="20"/>
    </row>
    <row r="3326" spans="1:17" ht="24.9" customHeight="1">
      <c r="A3326" s="20">
        <v>461</v>
      </c>
      <c r="B3326" s="20" t="s">
        <v>4351</v>
      </c>
      <c r="C3326" s="19">
        <v>18</v>
      </c>
      <c r="D3326" s="20" t="s">
        <v>3985</v>
      </c>
      <c r="E3326" s="19" t="str">
        <f>VLOOKUP(D3326,'لیست پرسنل'!$B$2:$E$1020,3,FALSE)</f>
        <v>فکورصنعت</v>
      </c>
      <c r="F3326" s="19" t="str">
        <f>VLOOKUP(D3326,'لیست پرسنل'!$B$2:$E$1020,4,FALSE)</f>
        <v xml:space="preserve"> ایمنی</v>
      </c>
      <c r="G3326" s="127" t="str">
        <f>VLOOKUP(D3326,'لیست پرسنل'!$B$2:$F$1020,2,FALSE)</f>
        <v>4011010</v>
      </c>
      <c r="H3326" s="128" t="s">
        <v>4607</v>
      </c>
      <c r="I3326" s="128" t="s">
        <v>2743</v>
      </c>
      <c r="J3326" s="128" t="s">
        <v>571</v>
      </c>
      <c r="K3326" s="128"/>
      <c r="L3326" s="128"/>
      <c r="M3326" s="128">
        <v>609702</v>
      </c>
      <c r="N3326" s="108"/>
      <c r="O3326" s="20"/>
      <c r="P3326" s="20"/>
      <c r="Q3326" s="20"/>
    </row>
    <row r="3327" spans="1:17" ht="24.9" customHeight="1">
      <c r="A3327" s="20">
        <v>461</v>
      </c>
      <c r="B3327" s="20" t="s">
        <v>4351</v>
      </c>
      <c r="C3327" s="19">
        <v>18</v>
      </c>
      <c r="D3327" s="20" t="s">
        <v>3985</v>
      </c>
      <c r="E3327" s="19" t="str">
        <f>VLOOKUP(D3327,'لیست پرسنل'!$B$2:$E$1020,3,FALSE)</f>
        <v>فکورصنعت</v>
      </c>
      <c r="F3327" s="19" t="str">
        <f>VLOOKUP(D3327,'لیست پرسنل'!$B$2:$E$1020,4,FALSE)</f>
        <v xml:space="preserve"> ایمنی</v>
      </c>
      <c r="G3327" s="127" t="str">
        <f>VLOOKUP(D3327,'لیست پرسنل'!$B$2:$F$1020,2,FALSE)</f>
        <v>4011010</v>
      </c>
      <c r="H3327" s="128" t="s">
        <v>4607</v>
      </c>
      <c r="I3327" s="128" t="s">
        <v>2743</v>
      </c>
      <c r="J3327" s="127" t="s">
        <v>753</v>
      </c>
      <c r="K3327" s="128" t="s">
        <v>118</v>
      </c>
      <c r="L3327" s="128" t="s">
        <v>119</v>
      </c>
      <c r="M3327" s="128">
        <v>607743</v>
      </c>
      <c r="N3327" s="108"/>
      <c r="O3327" s="20"/>
      <c r="P3327" s="20"/>
      <c r="Q3327" s="20"/>
    </row>
    <row r="3328" spans="1:17" ht="24.9" customHeight="1">
      <c r="A3328" s="20">
        <v>461</v>
      </c>
      <c r="B3328" s="20" t="s">
        <v>4351</v>
      </c>
      <c r="C3328" s="19">
        <v>19</v>
      </c>
      <c r="D3328" s="20" t="s">
        <v>2911</v>
      </c>
      <c r="E3328" s="19" t="str">
        <f>VLOOKUP(D3328,'لیست پرسنل'!$B$2:$E$1020,3,FALSE)</f>
        <v>فکورصنعت</v>
      </c>
      <c r="F3328" s="19" t="str">
        <f>VLOOKUP(D3328,'لیست پرسنل'!$B$2:$E$1020,4,FALSE)</f>
        <v>دفتر فنی سیویل</v>
      </c>
      <c r="G3328" s="127" t="str">
        <f>VLOOKUP(D3328,'لیست پرسنل'!$B$2:$F$1020,2,FALSE)</f>
        <v xml:space="preserve">9566 </v>
      </c>
      <c r="H3328" s="128" t="s">
        <v>4071</v>
      </c>
      <c r="I3328" s="128" t="s">
        <v>2912</v>
      </c>
      <c r="J3328" s="126" t="s">
        <v>368</v>
      </c>
      <c r="K3328" s="128" t="s">
        <v>8248</v>
      </c>
      <c r="L3328" s="128" t="s">
        <v>2447</v>
      </c>
      <c r="M3328" s="128">
        <v>628856</v>
      </c>
      <c r="N3328" s="108"/>
      <c r="O3328" s="20"/>
      <c r="P3328" s="20"/>
      <c r="Q3328" s="20"/>
    </row>
    <row r="3329" spans="1:17" ht="24.9" customHeight="1">
      <c r="A3329" s="20">
        <v>461</v>
      </c>
      <c r="B3329" s="20" t="s">
        <v>4351</v>
      </c>
      <c r="C3329" s="19">
        <v>19</v>
      </c>
      <c r="D3329" s="20" t="s">
        <v>2911</v>
      </c>
      <c r="E3329" s="19" t="str">
        <f>VLOOKUP(D3329,'لیست پرسنل'!$B$2:$E$1020,3,FALSE)</f>
        <v>فکورصنعت</v>
      </c>
      <c r="F3329" s="19" t="str">
        <f>VLOOKUP(D3329,'لیست پرسنل'!$B$2:$E$1020,4,FALSE)</f>
        <v>دفتر فنی سیویل</v>
      </c>
      <c r="G3329" s="127" t="str">
        <f>VLOOKUP(D3329,'لیست پرسنل'!$B$2:$F$1020,2,FALSE)</f>
        <v xml:space="preserve">9566 </v>
      </c>
      <c r="H3329" s="128" t="s">
        <v>4071</v>
      </c>
      <c r="I3329" s="128" t="s">
        <v>2912</v>
      </c>
      <c r="J3329" s="128" t="s">
        <v>571</v>
      </c>
      <c r="K3329" s="128"/>
      <c r="L3329" s="128"/>
      <c r="M3329" s="128">
        <v>627694</v>
      </c>
      <c r="N3329" s="108"/>
      <c r="O3329" s="20"/>
      <c r="P3329" s="20"/>
      <c r="Q3329" s="20"/>
    </row>
    <row r="3330" spans="1:17" ht="24.9" customHeight="1">
      <c r="A3330" s="20">
        <v>461</v>
      </c>
      <c r="B3330" s="20" t="s">
        <v>4351</v>
      </c>
      <c r="C3330" s="19">
        <v>19</v>
      </c>
      <c r="D3330" s="20" t="s">
        <v>2911</v>
      </c>
      <c r="E3330" s="19" t="str">
        <f>VLOOKUP(D3330,'لیست پرسنل'!$B$2:$E$1020,3,FALSE)</f>
        <v>فکورصنعت</v>
      </c>
      <c r="F3330" s="19" t="str">
        <f>VLOOKUP(D3330,'لیست پرسنل'!$B$2:$E$1020,4,FALSE)</f>
        <v>دفتر فنی سیویل</v>
      </c>
      <c r="G3330" s="127" t="str">
        <f>VLOOKUP(D3330,'لیست پرسنل'!$B$2:$F$1020,2,FALSE)</f>
        <v xml:space="preserve">9566 </v>
      </c>
      <c r="H3330" s="128" t="s">
        <v>4071</v>
      </c>
      <c r="I3330" s="128" t="s">
        <v>2912</v>
      </c>
      <c r="J3330" s="128" t="s">
        <v>2686</v>
      </c>
      <c r="K3330" s="128" t="s">
        <v>2143</v>
      </c>
      <c r="L3330" s="127" t="s">
        <v>2243</v>
      </c>
      <c r="M3330" s="127">
        <v>628634</v>
      </c>
      <c r="N3330" s="108"/>
      <c r="O3330" s="20" t="s">
        <v>705</v>
      </c>
      <c r="P3330" s="20"/>
      <c r="Q3330" s="20"/>
    </row>
    <row r="3331" spans="1:17" ht="24.9" customHeight="1">
      <c r="A3331" s="20">
        <v>461</v>
      </c>
      <c r="B3331" s="20" t="s">
        <v>4351</v>
      </c>
      <c r="C3331" s="19">
        <v>20</v>
      </c>
      <c r="D3331" s="20" t="s">
        <v>3985</v>
      </c>
      <c r="E3331" s="19" t="str">
        <f>VLOOKUP(D3331,'لیست پرسنل'!$B$2:$E$1020,3,FALSE)</f>
        <v>فکورصنعت</v>
      </c>
      <c r="F3331" s="19" t="str">
        <f>VLOOKUP(D3331,'لیست پرسنل'!$B$2:$E$1020,4,FALSE)</f>
        <v xml:space="preserve"> ایمنی</v>
      </c>
      <c r="G3331" s="127" t="str">
        <f>VLOOKUP(D3331,'لیست پرسنل'!$B$2:$F$1020,2,FALSE)</f>
        <v>4011010</v>
      </c>
      <c r="H3331" s="128" t="s">
        <v>4071</v>
      </c>
      <c r="I3331" s="128" t="s">
        <v>2914</v>
      </c>
      <c r="J3331" s="128" t="s">
        <v>737</v>
      </c>
      <c r="K3331" s="128" t="s">
        <v>4630</v>
      </c>
      <c r="L3331" s="127" t="s">
        <v>4632</v>
      </c>
      <c r="M3331" s="127">
        <v>629895</v>
      </c>
      <c r="N3331" s="109"/>
      <c r="O3331" s="19" t="s">
        <v>705</v>
      </c>
      <c r="P3331" s="19"/>
      <c r="Q3331" s="28"/>
    </row>
    <row r="3332" spans="1:17" ht="24.9" customHeight="1">
      <c r="A3332" s="20">
        <v>461</v>
      </c>
      <c r="B3332" s="20" t="s">
        <v>4351</v>
      </c>
      <c r="C3332" s="19">
        <v>20</v>
      </c>
      <c r="D3332" s="20" t="s">
        <v>3985</v>
      </c>
      <c r="E3332" s="19" t="str">
        <f>VLOOKUP(D3332,'لیست پرسنل'!$B$2:$E$1020,3,FALSE)</f>
        <v>فکورصنعت</v>
      </c>
      <c r="F3332" s="19" t="str">
        <f>VLOOKUP(D3332,'لیست پرسنل'!$B$2:$E$1020,4,FALSE)</f>
        <v xml:space="preserve"> ایمنی</v>
      </c>
      <c r="G3332" s="127" t="str">
        <f>VLOOKUP(D3332,'لیست پرسنل'!$B$2:$F$1020,2,FALSE)</f>
        <v>4011010</v>
      </c>
      <c r="H3332" s="128" t="s">
        <v>4071</v>
      </c>
      <c r="I3332" s="128" t="s">
        <v>2914</v>
      </c>
      <c r="J3332" s="126" t="s">
        <v>368</v>
      </c>
      <c r="K3332" s="128" t="s">
        <v>8248</v>
      </c>
      <c r="L3332" s="128" t="s">
        <v>2454</v>
      </c>
      <c r="M3332" s="128">
        <v>628863</v>
      </c>
      <c r="N3332" s="108"/>
      <c r="O3332" s="20"/>
      <c r="P3332" s="20"/>
      <c r="Q3332" s="20"/>
    </row>
    <row r="3333" spans="1:17" ht="24.9" customHeight="1">
      <c r="A3333" s="20">
        <v>461</v>
      </c>
      <c r="B3333" s="20" t="s">
        <v>4351</v>
      </c>
      <c r="C3333" s="19">
        <v>20</v>
      </c>
      <c r="D3333" s="20" t="s">
        <v>3985</v>
      </c>
      <c r="E3333" s="19" t="str">
        <f>VLOOKUP(D3333,'لیست پرسنل'!$B$2:$E$1020,3,FALSE)</f>
        <v>فکورصنعت</v>
      </c>
      <c r="F3333" s="19" t="str">
        <f>VLOOKUP(D3333,'لیست پرسنل'!$B$2:$E$1020,4,FALSE)</f>
        <v xml:space="preserve"> ایمنی</v>
      </c>
      <c r="G3333" s="127" t="str">
        <f>VLOOKUP(D3333,'لیست پرسنل'!$B$2:$F$1020,2,FALSE)</f>
        <v>4011010</v>
      </c>
      <c r="H3333" s="128" t="s">
        <v>4071</v>
      </c>
      <c r="I3333" s="128" t="s">
        <v>2914</v>
      </c>
      <c r="J3333" s="128" t="s">
        <v>571</v>
      </c>
      <c r="K3333" s="128" t="s">
        <v>2219</v>
      </c>
      <c r="L3333" s="128"/>
      <c r="M3333" s="128">
        <v>628592</v>
      </c>
      <c r="N3333" s="108"/>
      <c r="O3333" s="20"/>
      <c r="P3333" s="20"/>
      <c r="Q3333" s="20"/>
    </row>
    <row r="3334" spans="1:17" ht="24.9" customHeight="1">
      <c r="A3334" s="20">
        <v>461</v>
      </c>
      <c r="B3334" s="20" t="s">
        <v>4351</v>
      </c>
      <c r="C3334" s="19">
        <v>20</v>
      </c>
      <c r="D3334" s="20" t="s">
        <v>3985</v>
      </c>
      <c r="E3334" s="19" t="str">
        <f>VLOOKUP(D3334,'لیست پرسنل'!$B$2:$E$1020,3,FALSE)</f>
        <v>فکورصنعت</v>
      </c>
      <c r="F3334" s="19" t="str">
        <f>VLOOKUP(D3334,'لیست پرسنل'!$B$2:$E$1020,4,FALSE)</f>
        <v xml:space="preserve"> ایمنی</v>
      </c>
      <c r="G3334" s="127" t="str">
        <f>VLOOKUP(D3334,'لیست پرسنل'!$B$2:$F$1020,2,FALSE)</f>
        <v>4011010</v>
      </c>
      <c r="H3334" s="128" t="s">
        <v>4071</v>
      </c>
      <c r="I3334" s="128" t="s">
        <v>2914</v>
      </c>
      <c r="J3334" s="128" t="s">
        <v>2686</v>
      </c>
      <c r="K3334" s="128" t="s">
        <v>2143</v>
      </c>
      <c r="L3334" s="127" t="s">
        <v>2272</v>
      </c>
      <c r="M3334" s="127">
        <v>628663</v>
      </c>
      <c r="N3334" s="108"/>
      <c r="O3334" s="20" t="s">
        <v>705</v>
      </c>
      <c r="P3334" s="20"/>
      <c r="Q3334" s="20"/>
    </row>
    <row r="3335" spans="1:17" ht="24.9" customHeight="1">
      <c r="A3335" s="20">
        <v>461</v>
      </c>
      <c r="B3335" s="20" t="s">
        <v>4351</v>
      </c>
      <c r="C3335" s="19">
        <v>21</v>
      </c>
      <c r="D3335" s="20" t="s">
        <v>7325</v>
      </c>
      <c r="E3335" s="19" t="str">
        <f>VLOOKUP(D3335,'لیست پرسنل'!$B$2:$E$1020,3,FALSE)</f>
        <v>دریا پی نقشه آزما</v>
      </c>
      <c r="F3335" s="19" t="str">
        <f>VLOOKUP(D3335,'لیست پرسنل'!$B$2:$E$1020,4,FALSE)</f>
        <v>آزمایشگاه بتن</v>
      </c>
      <c r="G3335" s="127" t="str">
        <f>VLOOKUP(D3335,'لیست پرسنل'!$B$2:$F$1020,2,FALSE)</f>
        <v>0</v>
      </c>
      <c r="H3335" s="128" t="s">
        <v>4071</v>
      </c>
      <c r="I3335" s="128" t="s">
        <v>7328</v>
      </c>
      <c r="J3335" s="128" t="s">
        <v>737</v>
      </c>
      <c r="K3335" s="128" t="s">
        <v>675</v>
      </c>
      <c r="L3335" s="128" t="s">
        <v>674</v>
      </c>
      <c r="M3335" s="128">
        <v>612686</v>
      </c>
      <c r="N3335" s="108"/>
      <c r="O3335" s="20"/>
      <c r="P3335" s="20"/>
      <c r="Q3335" s="20"/>
    </row>
    <row r="3336" spans="1:17" ht="24.9" customHeight="1">
      <c r="A3336" s="20">
        <v>461</v>
      </c>
      <c r="B3336" s="20" t="s">
        <v>4351</v>
      </c>
      <c r="C3336" s="19">
        <v>21</v>
      </c>
      <c r="D3336" s="20" t="s">
        <v>7325</v>
      </c>
      <c r="E3336" s="19" t="str">
        <f>VLOOKUP(D3336,'لیست پرسنل'!$B$2:$E$1020,3,FALSE)</f>
        <v>دریا پی نقشه آزما</v>
      </c>
      <c r="F3336" s="19" t="str">
        <f>VLOOKUP(D3336,'لیست پرسنل'!$B$2:$E$1020,4,FALSE)</f>
        <v>آزمایشگاه بتن</v>
      </c>
      <c r="G3336" s="127" t="str">
        <f>VLOOKUP(D3336,'لیست پرسنل'!$B$2:$F$1020,2,FALSE)</f>
        <v>0</v>
      </c>
      <c r="H3336" s="128" t="s">
        <v>4071</v>
      </c>
      <c r="I3336" s="128" t="s">
        <v>7328</v>
      </c>
      <c r="J3336" s="128" t="s">
        <v>3481</v>
      </c>
      <c r="K3336" s="128" t="s">
        <v>7379</v>
      </c>
      <c r="L3336" s="128"/>
      <c r="M3336" s="127" t="s">
        <v>291</v>
      </c>
      <c r="N3336" s="108" t="s">
        <v>7378</v>
      </c>
      <c r="O3336" s="20"/>
      <c r="P3336" s="20"/>
      <c r="Q3336" s="20"/>
    </row>
    <row r="3337" spans="1:17" ht="24.9" customHeight="1">
      <c r="A3337" s="20">
        <v>461</v>
      </c>
      <c r="B3337" s="20" t="s">
        <v>4351</v>
      </c>
      <c r="C3337" s="19">
        <v>21</v>
      </c>
      <c r="D3337" s="20" t="s">
        <v>7325</v>
      </c>
      <c r="E3337" s="19" t="str">
        <f>VLOOKUP(D3337,'لیست پرسنل'!$B$2:$E$1020,3,FALSE)</f>
        <v>دریا پی نقشه آزما</v>
      </c>
      <c r="F3337" s="19" t="str">
        <f>VLOOKUP(D3337,'لیست پرسنل'!$B$2:$E$1020,4,FALSE)</f>
        <v>آزمایشگاه بتن</v>
      </c>
      <c r="G3337" s="127" t="str">
        <f>VLOOKUP(D3337,'لیست پرسنل'!$B$2:$F$1020,2,FALSE)</f>
        <v>0</v>
      </c>
      <c r="H3337" s="128" t="s">
        <v>4071</v>
      </c>
      <c r="I3337" s="128" t="s">
        <v>7328</v>
      </c>
      <c r="J3337" s="128" t="s">
        <v>571</v>
      </c>
      <c r="K3337" s="128"/>
      <c r="L3337" s="127"/>
      <c r="M3337" s="127">
        <v>633644</v>
      </c>
      <c r="N3337" s="109"/>
      <c r="O3337" s="19" t="s">
        <v>6305</v>
      </c>
      <c r="P3337" s="32"/>
      <c r="Q3337" s="32"/>
    </row>
    <row r="3338" spans="1:17" ht="24.9" customHeight="1">
      <c r="A3338" s="20">
        <v>461</v>
      </c>
      <c r="B3338" s="20" t="s">
        <v>4351</v>
      </c>
      <c r="C3338" s="19">
        <v>21</v>
      </c>
      <c r="D3338" s="20" t="s">
        <v>7325</v>
      </c>
      <c r="E3338" s="19" t="str">
        <f>VLOOKUP(D3338,'لیست پرسنل'!$B$2:$E$1020,3,FALSE)</f>
        <v>دریا پی نقشه آزما</v>
      </c>
      <c r="F3338" s="19" t="str">
        <f>VLOOKUP(D3338,'لیست پرسنل'!$B$2:$E$1020,4,FALSE)</f>
        <v>آزمایشگاه بتن</v>
      </c>
      <c r="G3338" s="127" t="str">
        <f>VLOOKUP(D3338,'لیست پرسنل'!$B$2:$F$1020,2,FALSE)</f>
        <v>0</v>
      </c>
      <c r="H3338" s="128" t="s">
        <v>4071</v>
      </c>
      <c r="I3338" s="128" t="s">
        <v>7328</v>
      </c>
      <c r="J3338" s="128" t="s">
        <v>2686</v>
      </c>
      <c r="K3338" s="128" t="s">
        <v>320</v>
      </c>
      <c r="L3338" s="128" t="s">
        <v>2068</v>
      </c>
      <c r="M3338" s="127">
        <v>603578</v>
      </c>
      <c r="N3338" s="108"/>
      <c r="O3338" s="20"/>
      <c r="P3338" s="20"/>
      <c r="Q3338" s="20"/>
    </row>
    <row r="3339" spans="1:17" ht="24.9" customHeight="1">
      <c r="A3339" s="20">
        <v>461</v>
      </c>
      <c r="B3339" s="20" t="s">
        <v>4351</v>
      </c>
      <c r="C3339" s="19">
        <v>23</v>
      </c>
      <c r="D3339" s="20" t="s">
        <v>3987</v>
      </c>
      <c r="E3339" s="19" t="str">
        <f>VLOOKUP(D3339,'لیست پرسنل'!$B$2:$E$1020,3,FALSE)</f>
        <v>فکورصنعت</v>
      </c>
      <c r="F3339" s="19" t="str">
        <f>VLOOKUP(D3339,'لیست پرسنل'!$B$2:$E$1020,4,FALSE)</f>
        <v>سرپرست نقشه برداری</v>
      </c>
      <c r="G3339" s="127" t="str">
        <f>VLOOKUP(D3339,'لیست پرسنل'!$B$2:$F$1020,2,FALSE)</f>
        <v>4021203</v>
      </c>
      <c r="H3339" s="128" t="s">
        <v>4071</v>
      </c>
      <c r="I3339" s="172" t="s">
        <v>3216</v>
      </c>
      <c r="J3339" s="126" t="s">
        <v>368</v>
      </c>
      <c r="K3339" s="128" t="s">
        <v>8248</v>
      </c>
      <c r="L3339" s="127" t="s">
        <v>2343</v>
      </c>
      <c r="M3339" s="128">
        <v>628749</v>
      </c>
      <c r="N3339" s="108"/>
      <c r="O3339" s="20"/>
      <c r="P3339" s="20"/>
      <c r="Q3339" s="20"/>
    </row>
    <row r="3340" spans="1:17" ht="24.9" customHeight="1">
      <c r="A3340" s="20">
        <v>461</v>
      </c>
      <c r="B3340" s="20" t="s">
        <v>4351</v>
      </c>
      <c r="C3340" s="19">
        <v>23</v>
      </c>
      <c r="D3340" s="20" t="s">
        <v>3987</v>
      </c>
      <c r="E3340" s="19" t="str">
        <f>VLOOKUP(D3340,'لیست پرسنل'!$B$2:$E$1020,3,FALSE)</f>
        <v>فکورصنعت</v>
      </c>
      <c r="F3340" s="19" t="str">
        <f>VLOOKUP(D3340,'لیست پرسنل'!$B$2:$E$1020,4,FALSE)</f>
        <v>سرپرست نقشه برداری</v>
      </c>
      <c r="G3340" s="127" t="str">
        <f>VLOOKUP(D3340,'لیست پرسنل'!$B$2:$F$1020,2,FALSE)</f>
        <v>4021203</v>
      </c>
      <c r="H3340" s="128" t="s">
        <v>4071</v>
      </c>
      <c r="I3340" s="128" t="s">
        <v>3216</v>
      </c>
      <c r="J3340" s="128" t="s">
        <v>571</v>
      </c>
      <c r="K3340" s="128"/>
      <c r="L3340" s="154"/>
      <c r="M3340" s="128">
        <v>627722</v>
      </c>
      <c r="N3340" s="108"/>
      <c r="O3340" s="20"/>
      <c r="P3340" s="20"/>
      <c r="Q3340" s="20"/>
    </row>
    <row r="3341" spans="1:17" ht="24.9" customHeight="1">
      <c r="A3341" s="20">
        <v>461</v>
      </c>
      <c r="B3341" s="20" t="s">
        <v>4351</v>
      </c>
      <c r="C3341" s="19">
        <v>23</v>
      </c>
      <c r="D3341" s="20" t="s">
        <v>3987</v>
      </c>
      <c r="E3341" s="19" t="str">
        <f>VLOOKUP(D3341,'لیست پرسنل'!$B$2:$E$1020,3,FALSE)</f>
        <v>فکورصنعت</v>
      </c>
      <c r="F3341" s="19" t="str">
        <f>VLOOKUP(D3341,'لیست پرسنل'!$B$2:$E$1020,4,FALSE)</f>
        <v>سرپرست نقشه برداری</v>
      </c>
      <c r="G3341" s="127" t="str">
        <f>VLOOKUP(D3341,'لیست پرسنل'!$B$2:$F$1020,2,FALSE)</f>
        <v>4021203</v>
      </c>
      <c r="H3341" s="128" t="s">
        <v>4071</v>
      </c>
      <c r="I3341" s="128" t="s">
        <v>3216</v>
      </c>
      <c r="J3341" s="128" t="s">
        <v>2686</v>
      </c>
      <c r="K3341" s="128" t="s">
        <v>320</v>
      </c>
      <c r="L3341" s="154" t="s">
        <v>1887</v>
      </c>
      <c r="M3341" s="128">
        <v>603166</v>
      </c>
      <c r="N3341" s="108"/>
      <c r="O3341" s="20"/>
      <c r="P3341" s="20"/>
      <c r="Q3341" s="20"/>
    </row>
    <row r="3342" spans="1:17" ht="24.9" customHeight="1">
      <c r="A3342" s="20">
        <v>461</v>
      </c>
      <c r="B3342" s="20" t="s">
        <v>4351</v>
      </c>
      <c r="C3342" s="19">
        <v>24</v>
      </c>
      <c r="D3342" s="20" t="s">
        <v>3988</v>
      </c>
      <c r="E3342" s="19" t="str">
        <f>VLOOKUP(D3342,'لیست پرسنل'!$B$2:$E$1020,3,FALSE)</f>
        <v>گهر کوشان سپهر</v>
      </c>
      <c r="F3342" s="19" t="str">
        <f>VLOOKUP(D3342,'لیست پرسنل'!$B$2:$E$1020,4,FALSE)</f>
        <v>حراست</v>
      </c>
      <c r="G3342" s="127">
        <f>VLOOKUP(D3342,'لیست پرسنل'!$B$2:$F$1020,2,FALSE)</f>
        <v>20538</v>
      </c>
      <c r="H3342" s="128" t="s">
        <v>4608</v>
      </c>
      <c r="I3342" s="128" t="s">
        <v>3217</v>
      </c>
      <c r="J3342" s="126" t="s">
        <v>368</v>
      </c>
      <c r="K3342" s="128" t="s">
        <v>8248</v>
      </c>
      <c r="L3342" s="127" t="s">
        <v>2435</v>
      </c>
      <c r="M3342" s="128">
        <v>628844</v>
      </c>
      <c r="N3342" s="108"/>
      <c r="O3342" s="20" t="s">
        <v>4520</v>
      </c>
      <c r="P3342" s="20"/>
      <c r="Q3342" s="20"/>
    </row>
    <row r="3343" spans="1:17" ht="24.9" customHeight="1">
      <c r="A3343" s="20">
        <v>461</v>
      </c>
      <c r="B3343" s="20" t="s">
        <v>4351</v>
      </c>
      <c r="C3343" s="20">
        <v>24</v>
      </c>
      <c r="D3343" s="20" t="s">
        <v>3988</v>
      </c>
      <c r="E3343" s="19" t="str">
        <f>VLOOKUP(D3343,'لیست پرسنل'!$B$2:$E$1020,3,FALSE)</f>
        <v>گهر کوشان سپهر</v>
      </c>
      <c r="F3343" s="19" t="str">
        <f>VLOOKUP(D3343,'لیست پرسنل'!$B$2:$E$1020,4,FALSE)</f>
        <v>حراست</v>
      </c>
      <c r="G3343" s="127">
        <f>VLOOKUP(D3343,'لیست پرسنل'!$B$2:$F$1020,2,FALSE)</f>
        <v>20538</v>
      </c>
      <c r="H3343" s="128" t="s">
        <v>4071</v>
      </c>
      <c r="I3343" s="128" t="s">
        <v>3217</v>
      </c>
      <c r="J3343" s="126" t="s">
        <v>368</v>
      </c>
      <c r="K3343" s="128" t="s">
        <v>2846</v>
      </c>
      <c r="L3343" s="128" t="s">
        <v>2451</v>
      </c>
      <c r="M3343" s="128">
        <v>628860</v>
      </c>
      <c r="N3343" s="108"/>
      <c r="O3343" s="20"/>
      <c r="P3343" s="20"/>
      <c r="Q3343" s="20"/>
    </row>
    <row r="3344" spans="1:17" ht="24.9" customHeight="1">
      <c r="A3344" s="20">
        <v>461</v>
      </c>
      <c r="B3344" s="20" t="s">
        <v>4351</v>
      </c>
      <c r="C3344" s="82">
        <v>24</v>
      </c>
      <c r="D3344" s="20" t="s">
        <v>7117</v>
      </c>
      <c r="E3344" s="19" t="str">
        <f>VLOOKUP(D3344,'لیست پرسنل'!$B$2:$E$1020,3,FALSE)</f>
        <v>آهن مهام</v>
      </c>
      <c r="F3344" s="19" t="str">
        <f>VLOOKUP(D3344,'لیست پرسنل'!$B$2:$E$1020,4,FALSE)</f>
        <v>مسئول دفتر</v>
      </c>
      <c r="G3344" s="127" t="str">
        <f>VLOOKUP(D3344,'لیست پرسنل'!$B$2:$F$1020,2,FALSE)</f>
        <v>0</v>
      </c>
      <c r="H3344" s="128" t="s">
        <v>4071</v>
      </c>
      <c r="I3344" s="128" t="s">
        <v>3217</v>
      </c>
      <c r="J3344" s="128" t="s">
        <v>737</v>
      </c>
      <c r="K3344" s="128" t="s">
        <v>2031</v>
      </c>
      <c r="L3344" s="128" t="s">
        <v>2030</v>
      </c>
      <c r="M3344" s="128">
        <v>627691</v>
      </c>
      <c r="N3344" s="108"/>
      <c r="O3344" s="20"/>
      <c r="P3344" s="20"/>
      <c r="Q3344" s="20"/>
    </row>
    <row r="3345" spans="1:17" ht="24.9" customHeight="1">
      <c r="A3345" s="20">
        <v>461</v>
      </c>
      <c r="B3345" s="20" t="s">
        <v>4351</v>
      </c>
      <c r="C3345" s="82">
        <v>24</v>
      </c>
      <c r="D3345" s="20" t="s">
        <v>7117</v>
      </c>
      <c r="E3345" s="19" t="str">
        <f>VLOOKUP(D3345,'لیست پرسنل'!$B$2:$E$1020,3,FALSE)</f>
        <v>آهن مهام</v>
      </c>
      <c r="F3345" s="19" t="str">
        <f>VLOOKUP(D3345,'لیست پرسنل'!$B$2:$E$1020,4,FALSE)</f>
        <v>مسئول دفتر</v>
      </c>
      <c r="G3345" s="127" t="str">
        <f>VLOOKUP(D3345,'لیست پرسنل'!$B$2:$F$1020,2,FALSE)</f>
        <v>0</v>
      </c>
      <c r="H3345" s="128" t="s">
        <v>4071</v>
      </c>
      <c r="I3345" s="128" t="s">
        <v>3217</v>
      </c>
      <c r="J3345" s="126" t="s">
        <v>368</v>
      </c>
      <c r="K3345" s="128" t="s">
        <v>2846</v>
      </c>
      <c r="L3345" s="127" t="s">
        <v>4623</v>
      </c>
      <c r="M3345" s="127">
        <v>629840</v>
      </c>
      <c r="N3345" s="109"/>
      <c r="O3345" s="20" t="s">
        <v>705</v>
      </c>
      <c r="P3345" s="19"/>
      <c r="Q3345" s="28"/>
    </row>
    <row r="3346" spans="1:17" ht="24.9" customHeight="1">
      <c r="A3346" s="20">
        <v>461</v>
      </c>
      <c r="B3346" s="20" t="s">
        <v>4351</v>
      </c>
      <c r="C3346" s="82">
        <v>24</v>
      </c>
      <c r="D3346" s="20" t="s">
        <v>7117</v>
      </c>
      <c r="E3346" s="19" t="str">
        <f>VLOOKUP(D3346,'لیست پرسنل'!$B$2:$E$1020,3,FALSE)</f>
        <v>آهن مهام</v>
      </c>
      <c r="F3346" s="19" t="str">
        <f>VLOOKUP(D3346,'لیست پرسنل'!$B$2:$E$1020,4,FALSE)</f>
        <v>مسئول دفتر</v>
      </c>
      <c r="G3346" s="127" t="str">
        <f>VLOOKUP(D3346,'لیست پرسنل'!$B$2:$F$1020,2,FALSE)</f>
        <v>0</v>
      </c>
      <c r="H3346" s="128" t="s">
        <v>4071</v>
      </c>
      <c r="I3346" s="128" t="s">
        <v>3217</v>
      </c>
      <c r="J3346" s="128" t="s">
        <v>571</v>
      </c>
      <c r="K3346" s="128" t="s">
        <v>2219</v>
      </c>
      <c r="L3346" s="127"/>
      <c r="M3346" s="127">
        <v>629962</v>
      </c>
      <c r="N3346" s="109"/>
      <c r="O3346" s="19" t="s">
        <v>705</v>
      </c>
      <c r="P3346" s="19"/>
      <c r="Q3346" s="28"/>
    </row>
    <row r="3347" spans="1:17" ht="24.9" customHeight="1">
      <c r="A3347" s="20">
        <v>461</v>
      </c>
      <c r="B3347" s="20" t="s">
        <v>4351</v>
      </c>
      <c r="C3347" s="82">
        <v>24</v>
      </c>
      <c r="D3347" s="20" t="s">
        <v>7117</v>
      </c>
      <c r="E3347" s="19" t="str">
        <f>VLOOKUP(D3347,'لیست پرسنل'!$B$2:$E$1020,3,FALSE)</f>
        <v>آهن مهام</v>
      </c>
      <c r="F3347" s="19" t="str">
        <f>VLOOKUP(D3347,'لیست پرسنل'!$B$2:$E$1020,4,FALSE)</f>
        <v>مسئول دفتر</v>
      </c>
      <c r="G3347" s="127" t="str">
        <f>VLOOKUP(D3347,'لیست پرسنل'!$B$2:$F$1020,2,FALSE)</f>
        <v>0</v>
      </c>
      <c r="H3347" s="128" t="s">
        <v>4071</v>
      </c>
      <c r="I3347" s="128" t="s">
        <v>3217</v>
      </c>
      <c r="J3347" s="128" t="s">
        <v>2686</v>
      </c>
      <c r="K3347" s="128" t="s">
        <v>2143</v>
      </c>
      <c r="L3347" s="127" t="s">
        <v>2231</v>
      </c>
      <c r="M3347" s="127">
        <v>628622</v>
      </c>
      <c r="N3347" s="108"/>
      <c r="O3347" s="20" t="s">
        <v>705</v>
      </c>
      <c r="P3347" s="20"/>
      <c r="Q3347" s="20"/>
    </row>
    <row r="3348" spans="1:17" ht="24.9" customHeight="1">
      <c r="A3348" s="20">
        <v>461</v>
      </c>
      <c r="B3348" s="20" t="s">
        <v>4351</v>
      </c>
      <c r="C3348" s="20">
        <v>25</v>
      </c>
      <c r="D3348" s="19" t="s">
        <v>4579</v>
      </c>
      <c r="E3348" s="19" t="str">
        <f>VLOOKUP(D3348,'لیست پرسنل'!$B$2:$E$1020,3,FALSE)</f>
        <v>فکورصنعت</v>
      </c>
      <c r="F3348" s="19" t="str">
        <f>VLOOKUP(D3348,'لیست پرسنل'!$B$2:$E$1020,4,FALSE)</f>
        <v>کنترل کیفیت</v>
      </c>
      <c r="G3348" s="127" t="str">
        <f>VLOOKUP(D3348,'لیست پرسنل'!$B$2:$F$1020,2,FALSE)</f>
        <v>4020308</v>
      </c>
      <c r="H3348" s="126" t="s">
        <v>4071</v>
      </c>
      <c r="I3348" s="128" t="s">
        <v>4581</v>
      </c>
      <c r="J3348" s="126" t="s">
        <v>368</v>
      </c>
      <c r="K3348" s="128" t="s">
        <v>2846</v>
      </c>
      <c r="L3348" s="128" t="s">
        <v>3148</v>
      </c>
      <c r="M3348" s="128">
        <v>627205</v>
      </c>
      <c r="N3348" s="108"/>
      <c r="O3348" s="20"/>
      <c r="P3348" s="20"/>
      <c r="Q3348" s="20"/>
    </row>
    <row r="3349" spans="1:17" ht="24.9" customHeight="1">
      <c r="A3349" s="20">
        <v>461</v>
      </c>
      <c r="B3349" s="20" t="s">
        <v>4351</v>
      </c>
      <c r="C3349" s="20">
        <v>25</v>
      </c>
      <c r="D3349" s="19" t="s">
        <v>4579</v>
      </c>
      <c r="E3349" s="19" t="str">
        <f>VLOOKUP(D3349,'لیست پرسنل'!$B$2:$E$1020,3,FALSE)</f>
        <v>فکورصنعت</v>
      </c>
      <c r="F3349" s="19" t="str">
        <f>VLOOKUP(D3349,'لیست پرسنل'!$B$2:$E$1020,4,FALSE)</f>
        <v>کنترل کیفیت</v>
      </c>
      <c r="G3349" s="127" t="str">
        <f>VLOOKUP(D3349,'لیست پرسنل'!$B$2:$F$1020,2,FALSE)</f>
        <v>4020308</v>
      </c>
      <c r="H3349" s="126" t="s">
        <v>4071</v>
      </c>
      <c r="I3349" s="128" t="s">
        <v>4581</v>
      </c>
      <c r="J3349" s="141" t="s">
        <v>571</v>
      </c>
      <c r="K3349" s="128" t="s">
        <v>1951</v>
      </c>
      <c r="L3349" s="165" t="s">
        <v>2219</v>
      </c>
      <c r="M3349" s="128">
        <v>629916</v>
      </c>
      <c r="N3349" s="108"/>
      <c r="O3349" s="19" t="s">
        <v>705</v>
      </c>
      <c r="P3349" s="20"/>
      <c r="Q3349" s="20"/>
    </row>
    <row r="3350" spans="1:17" ht="24.9" customHeight="1">
      <c r="A3350" s="20">
        <v>461</v>
      </c>
      <c r="B3350" s="20" t="s">
        <v>4351</v>
      </c>
      <c r="C3350" s="20">
        <v>25</v>
      </c>
      <c r="D3350" s="19" t="s">
        <v>4579</v>
      </c>
      <c r="E3350" s="19" t="str">
        <f>VLOOKUP(D3350,'لیست پرسنل'!$B$2:$E$1020,3,FALSE)</f>
        <v>فکورصنعت</v>
      </c>
      <c r="F3350" s="19" t="str">
        <f>VLOOKUP(D3350,'لیست پرسنل'!$B$2:$E$1020,4,FALSE)</f>
        <v>کنترل کیفیت</v>
      </c>
      <c r="G3350" s="127" t="str">
        <f>VLOOKUP(D3350,'لیست پرسنل'!$B$2:$F$1020,2,FALSE)</f>
        <v>4020308</v>
      </c>
      <c r="H3350" s="126" t="s">
        <v>4071</v>
      </c>
      <c r="I3350" s="128" t="s">
        <v>4581</v>
      </c>
      <c r="J3350" s="128" t="s">
        <v>2686</v>
      </c>
      <c r="K3350" s="128" t="s">
        <v>2143</v>
      </c>
      <c r="L3350" s="127" t="s">
        <v>2273</v>
      </c>
      <c r="M3350" s="127">
        <v>628664</v>
      </c>
      <c r="N3350" s="108"/>
      <c r="O3350" s="20" t="s">
        <v>705</v>
      </c>
      <c r="P3350" s="20"/>
      <c r="Q3350" s="20"/>
    </row>
    <row r="3351" spans="1:17" ht="24.9" customHeight="1">
      <c r="A3351" s="20">
        <v>461</v>
      </c>
      <c r="B3351" s="20" t="s">
        <v>4351</v>
      </c>
      <c r="C3351" s="19">
        <v>28</v>
      </c>
      <c r="D3351" s="19" t="s">
        <v>3131</v>
      </c>
      <c r="E3351" s="19" t="str">
        <f>VLOOKUP(D3351,'لیست پرسنل'!$B$2:$E$1020,3,FALSE)</f>
        <v>فکورصنعت</v>
      </c>
      <c r="F3351" s="19" t="str">
        <f>VLOOKUP(D3351,'لیست پرسنل'!$B$2:$E$1020,4,FALSE)</f>
        <v>سیویل</v>
      </c>
      <c r="G3351" s="127">
        <f>VLOOKUP(D3351,'لیست پرسنل'!$B$2:$F$1020,2,FALSE)</f>
        <v>4000502</v>
      </c>
      <c r="H3351" s="128" t="s">
        <v>4071</v>
      </c>
      <c r="I3351" s="128" t="s">
        <v>4795</v>
      </c>
      <c r="J3351" s="126" t="s">
        <v>368</v>
      </c>
      <c r="K3351" s="128" t="s">
        <v>8248</v>
      </c>
      <c r="L3351" s="127" t="s">
        <v>2342</v>
      </c>
      <c r="M3351" s="128">
        <v>628748</v>
      </c>
      <c r="N3351" s="108"/>
      <c r="O3351" s="19"/>
      <c r="P3351" s="20"/>
      <c r="Q3351" s="20"/>
    </row>
    <row r="3352" spans="1:17" ht="24.9" customHeight="1">
      <c r="A3352" s="20">
        <v>461</v>
      </c>
      <c r="B3352" s="20" t="s">
        <v>4351</v>
      </c>
      <c r="C3352" s="19">
        <v>28</v>
      </c>
      <c r="D3352" s="19" t="s">
        <v>3131</v>
      </c>
      <c r="E3352" s="19" t="str">
        <f>VLOOKUP(D3352,'لیست پرسنل'!$B$2:$E$1020,3,FALSE)</f>
        <v>فکورصنعت</v>
      </c>
      <c r="F3352" s="19" t="str">
        <f>VLOOKUP(D3352,'لیست پرسنل'!$B$2:$E$1020,4,FALSE)</f>
        <v>سیویل</v>
      </c>
      <c r="G3352" s="127">
        <f>VLOOKUP(D3352,'لیست پرسنل'!$B$2:$F$1020,2,FALSE)</f>
        <v>4000502</v>
      </c>
      <c r="H3352" s="128" t="s">
        <v>4071</v>
      </c>
      <c r="I3352" s="126" t="s">
        <v>4795</v>
      </c>
      <c r="J3352" s="128" t="s">
        <v>571</v>
      </c>
      <c r="K3352" s="128"/>
      <c r="L3352" s="128"/>
      <c r="M3352" s="127">
        <v>622611</v>
      </c>
      <c r="N3352" s="109"/>
      <c r="O3352" s="19" t="s">
        <v>5292</v>
      </c>
      <c r="P3352" s="20"/>
      <c r="Q3352" s="20"/>
    </row>
    <row r="3353" spans="1:17" ht="24.9" customHeight="1">
      <c r="A3353" s="20">
        <v>461</v>
      </c>
      <c r="B3353" s="20" t="s">
        <v>4351</v>
      </c>
      <c r="C3353" s="19">
        <v>28</v>
      </c>
      <c r="D3353" s="19" t="s">
        <v>3131</v>
      </c>
      <c r="E3353" s="19" t="str">
        <f>VLOOKUP(D3353,'لیست پرسنل'!$B$2:$E$1020,3,FALSE)</f>
        <v>فکورصنعت</v>
      </c>
      <c r="F3353" s="19" t="str">
        <f>VLOOKUP(D3353,'لیست پرسنل'!$B$2:$E$1020,4,FALSE)</f>
        <v>سیویل</v>
      </c>
      <c r="G3353" s="127">
        <f>VLOOKUP(D3353,'لیست پرسنل'!$B$2:$F$1020,2,FALSE)</f>
        <v>4000502</v>
      </c>
      <c r="H3353" s="128" t="s">
        <v>4071</v>
      </c>
      <c r="I3353" s="126" t="s">
        <v>4795</v>
      </c>
      <c r="J3353" s="128" t="s">
        <v>2686</v>
      </c>
      <c r="K3353" s="128" t="s">
        <v>2922</v>
      </c>
      <c r="L3353" s="128" t="s">
        <v>2939</v>
      </c>
      <c r="M3353" s="128">
        <v>626417</v>
      </c>
      <c r="N3353" s="108"/>
      <c r="O3353" s="20"/>
      <c r="P3353" s="20"/>
      <c r="Q3353" s="20"/>
    </row>
    <row r="3354" spans="1:17" ht="24.9" customHeight="1">
      <c r="A3354" s="20">
        <v>461</v>
      </c>
      <c r="B3354" s="20" t="s">
        <v>4351</v>
      </c>
      <c r="C3354" s="20">
        <v>29</v>
      </c>
      <c r="D3354" s="83" t="s">
        <v>397</v>
      </c>
      <c r="E3354" s="19" t="str">
        <f>VLOOKUP(D3354,'لیست پرسنل'!$B$2:$E$1020,3,FALSE)</f>
        <v>فکورصنعت</v>
      </c>
      <c r="F3354" s="19" t="str">
        <f>VLOOKUP(D3354,'لیست پرسنل'!$B$2:$E$1020,4,FALSE)</f>
        <v>پایپینگ</v>
      </c>
      <c r="G3354" s="127" t="str">
        <f>VLOOKUP(D3354,'لیست پرسنل'!$B$2:$F$1020,2,FALSE)</f>
        <v>990504</v>
      </c>
      <c r="H3354" s="128" t="s">
        <v>4071</v>
      </c>
      <c r="I3354" s="127" t="s">
        <v>5008</v>
      </c>
      <c r="J3354" s="126" t="s">
        <v>368</v>
      </c>
      <c r="K3354" s="128" t="s">
        <v>2846</v>
      </c>
      <c r="L3354" s="127" t="s">
        <v>4615</v>
      </c>
      <c r="M3354" s="127">
        <v>629832</v>
      </c>
      <c r="N3354" s="109"/>
      <c r="O3354" s="20" t="s">
        <v>705</v>
      </c>
      <c r="P3354" s="19"/>
      <c r="Q3354" s="28"/>
    </row>
    <row r="3355" spans="1:17" ht="24.9" customHeight="1">
      <c r="A3355" s="20">
        <v>461</v>
      </c>
      <c r="B3355" s="20" t="s">
        <v>4351</v>
      </c>
      <c r="C3355" s="20">
        <v>29</v>
      </c>
      <c r="D3355" s="83" t="s">
        <v>397</v>
      </c>
      <c r="E3355" s="19" t="str">
        <f>VLOOKUP(D3355,'لیست پرسنل'!$B$2:$E$1020,3,FALSE)</f>
        <v>فکورصنعت</v>
      </c>
      <c r="F3355" s="19" t="str">
        <f>VLOOKUP(D3355,'لیست پرسنل'!$B$2:$E$1020,4,FALSE)</f>
        <v>پایپینگ</v>
      </c>
      <c r="G3355" s="127" t="str">
        <f>VLOOKUP(D3355,'لیست پرسنل'!$B$2:$F$1020,2,FALSE)</f>
        <v>990504</v>
      </c>
      <c r="H3355" s="128" t="s">
        <v>4071</v>
      </c>
      <c r="I3355" s="127" t="s">
        <v>5008</v>
      </c>
      <c r="J3355" s="126" t="s">
        <v>571</v>
      </c>
      <c r="K3355" s="128" t="s">
        <v>2219</v>
      </c>
      <c r="L3355" s="244"/>
      <c r="M3355" s="138">
        <v>632141</v>
      </c>
      <c r="N3355" s="109"/>
      <c r="O3355" s="19"/>
      <c r="P3355" s="20"/>
      <c r="Q3355" s="20"/>
    </row>
    <row r="3356" spans="1:17" ht="24.9" customHeight="1">
      <c r="A3356" s="20">
        <v>461</v>
      </c>
      <c r="B3356" s="20" t="s">
        <v>4351</v>
      </c>
      <c r="C3356" s="20">
        <v>29</v>
      </c>
      <c r="D3356" s="83" t="s">
        <v>397</v>
      </c>
      <c r="E3356" s="19" t="str">
        <f>VLOOKUP(D3356,'لیست پرسنل'!$B$2:$E$1020,3,FALSE)</f>
        <v>فکورصنعت</v>
      </c>
      <c r="F3356" s="19" t="str">
        <f>VLOOKUP(D3356,'لیست پرسنل'!$B$2:$E$1020,4,FALSE)</f>
        <v>پایپینگ</v>
      </c>
      <c r="G3356" s="127" t="str">
        <f>VLOOKUP(D3356,'لیست پرسنل'!$B$2:$F$1020,2,FALSE)</f>
        <v>990504</v>
      </c>
      <c r="H3356" s="128" t="s">
        <v>4071</v>
      </c>
      <c r="I3356" s="127" t="s">
        <v>5008</v>
      </c>
      <c r="J3356" s="128" t="s">
        <v>2686</v>
      </c>
      <c r="K3356" s="128" t="s">
        <v>2922</v>
      </c>
      <c r="L3356" s="128" t="s">
        <v>2953</v>
      </c>
      <c r="M3356" s="128">
        <v>626433</v>
      </c>
      <c r="N3356" s="108"/>
      <c r="O3356" s="20" t="s">
        <v>705</v>
      </c>
      <c r="P3356" s="20"/>
      <c r="Q3356" s="20"/>
    </row>
    <row r="3357" spans="1:17" ht="24.9" customHeight="1">
      <c r="A3357" s="20">
        <v>461</v>
      </c>
      <c r="B3357" s="20" t="s">
        <v>4351</v>
      </c>
      <c r="C3357" s="19">
        <v>31</v>
      </c>
      <c r="D3357" s="46" t="s">
        <v>5063</v>
      </c>
      <c r="E3357" s="19" t="str">
        <f>VLOOKUP(D3357,'لیست پرسنل'!$B$2:$E$1020,3,FALSE)</f>
        <v>آهن مهام</v>
      </c>
      <c r="F3357" s="19" t="str">
        <f>VLOOKUP(D3357,'لیست پرسنل'!$B$2:$E$1020,4,FALSE)</f>
        <v>سیویل</v>
      </c>
      <c r="G3357" s="127">
        <f>VLOOKUP(D3357,'لیست پرسنل'!$B$2:$F$1020,2,FALSE)</f>
        <v>20695</v>
      </c>
      <c r="H3357" s="126" t="s">
        <v>4071</v>
      </c>
      <c r="I3357" s="127" t="s">
        <v>5064</v>
      </c>
      <c r="J3357" s="126" t="s">
        <v>368</v>
      </c>
      <c r="K3357" s="128" t="s">
        <v>2846</v>
      </c>
      <c r="L3357" s="127" t="s">
        <v>4620</v>
      </c>
      <c r="M3357" s="127">
        <v>629837</v>
      </c>
      <c r="N3357" s="109"/>
      <c r="O3357" s="20" t="s">
        <v>705</v>
      </c>
      <c r="P3357" s="19"/>
      <c r="Q3357" s="28"/>
    </row>
    <row r="3358" spans="1:17" ht="24.9" customHeight="1">
      <c r="A3358" s="20">
        <v>461</v>
      </c>
      <c r="B3358" s="20" t="s">
        <v>4351</v>
      </c>
      <c r="C3358" s="19">
        <v>31</v>
      </c>
      <c r="D3358" s="46" t="s">
        <v>5063</v>
      </c>
      <c r="E3358" s="19" t="str">
        <f>VLOOKUP(D3358,'لیست پرسنل'!$B$2:$E$1020,3,FALSE)</f>
        <v>آهن مهام</v>
      </c>
      <c r="F3358" s="19" t="str">
        <f>VLOOKUP(D3358,'لیست پرسنل'!$B$2:$E$1020,4,FALSE)</f>
        <v>سیویل</v>
      </c>
      <c r="G3358" s="127">
        <f>VLOOKUP(D3358,'لیست پرسنل'!$B$2:$F$1020,2,FALSE)</f>
        <v>20695</v>
      </c>
      <c r="H3358" s="126" t="s">
        <v>4071</v>
      </c>
      <c r="I3358" s="127" t="s">
        <v>5064</v>
      </c>
      <c r="J3358" s="128" t="s">
        <v>571</v>
      </c>
      <c r="K3358" s="128" t="s">
        <v>2219</v>
      </c>
      <c r="L3358" s="127"/>
      <c r="M3358" s="127">
        <v>629964</v>
      </c>
      <c r="N3358" s="109"/>
      <c r="O3358" s="19" t="s">
        <v>705</v>
      </c>
      <c r="P3358" s="19"/>
      <c r="Q3358" s="28"/>
    </row>
    <row r="3359" spans="1:17" ht="24.9" customHeight="1">
      <c r="A3359" s="20">
        <v>461</v>
      </c>
      <c r="B3359" s="20" t="s">
        <v>4351</v>
      </c>
      <c r="C3359" s="19">
        <v>31</v>
      </c>
      <c r="D3359" s="46" t="s">
        <v>5063</v>
      </c>
      <c r="E3359" s="19" t="str">
        <f>VLOOKUP(D3359,'لیست پرسنل'!$B$2:$E$1020,3,FALSE)</f>
        <v>آهن مهام</v>
      </c>
      <c r="F3359" s="19" t="str">
        <f>VLOOKUP(D3359,'لیست پرسنل'!$B$2:$E$1020,4,FALSE)</f>
        <v>سیویل</v>
      </c>
      <c r="G3359" s="127">
        <f>VLOOKUP(D3359,'لیست پرسنل'!$B$2:$F$1020,2,FALSE)</f>
        <v>20695</v>
      </c>
      <c r="H3359" s="126" t="s">
        <v>4071</v>
      </c>
      <c r="I3359" s="127" t="s">
        <v>5064</v>
      </c>
      <c r="J3359" s="128" t="s">
        <v>2686</v>
      </c>
      <c r="K3359" s="128" t="s">
        <v>2143</v>
      </c>
      <c r="L3359" s="127" t="s">
        <v>2255</v>
      </c>
      <c r="M3359" s="127">
        <v>628646</v>
      </c>
      <c r="N3359" s="108"/>
      <c r="O3359" s="20" t="s">
        <v>705</v>
      </c>
      <c r="P3359" s="20"/>
      <c r="Q3359" s="20"/>
    </row>
    <row r="3360" spans="1:17" ht="24.9" customHeight="1">
      <c r="A3360" s="20">
        <v>461</v>
      </c>
      <c r="B3360" s="20" t="s">
        <v>4351</v>
      </c>
      <c r="C3360" s="20">
        <v>32</v>
      </c>
      <c r="D3360" s="20" t="s">
        <v>8303</v>
      </c>
      <c r="E3360" s="19" t="str">
        <f>VLOOKUP(D3360,'لیست پرسنل'!$B$2:$E$1020,3,FALSE)</f>
        <v>آهن مهام</v>
      </c>
      <c r="F3360" s="19" t="str">
        <f>VLOOKUP(D3360,'لیست پرسنل'!$B$2:$E$1020,4,FALSE)</f>
        <v>حراست</v>
      </c>
      <c r="G3360" s="127">
        <f>VLOOKUP(D3360,'لیست پرسنل'!$B$2:$F$1020,2,FALSE)</f>
        <v>0</v>
      </c>
      <c r="H3360" s="128" t="s">
        <v>8264</v>
      </c>
      <c r="I3360" s="128" t="s">
        <v>5087</v>
      </c>
      <c r="J3360" s="128" t="s">
        <v>368</v>
      </c>
      <c r="K3360" s="128" t="s">
        <v>2846</v>
      </c>
      <c r="L3360" s="128" t="s">
        <v>2512</v>
      </c>
      <c r="M3360" s="128">
        <v>628924</v>
      </c>
      <c r="N3360" s="108"/>
      <c r="O3360" s="20" t="s">
        <v>705</v>
      </c>
      <c r="P3360" s="20"/>
      <c r="Q3360" s="20"/>
    </row>
    <row r="3361" spans="1:17" ht="24.9" customHeight="1">
      <c r="A3361" s="20">
        <v>461</v>
      </c>
      <c r="B3361" s="20" t="s">
        <v>4351</v>
      </c>
      <c r="C3361" s="20">
        <v>32</v>
      </c>
      <c r="D3361" s="20" t="s">
        <v>8303</v>
      </c>
      <c r="E3361" s="19" t="str">
        <f>VLOOKUP(D3361,'لیست پرسنل'!$B$2:$E$1020,3,FALSE)</f>
        <v>آهن مهام</v>
      </c>
      <c r="F3361" s="19" t="str">
        <f>VLOOKUP(D3361,'لیست پرسنل'!$B$2:$E$1020,4,FALSE)</f>
        <v>حراست</v>
      </c>
      <c r="G3361" s="127">
        <f>VLOOKUP(D3361,'لیست پرسنل'!$B$2:$F$1020,2,FALSE)</f>
        <v>0</v>
      </c>
      <c r="H3361" s="127" t="s">
        <v>8264</v>
      </c>
      <c r="I3361" s="127" t="s">
        <v>5087</v>
      </c>
      <c r="J3361" s="128" t="s">
        <v>8304</v>
      </c>
      <c r="K3361" s="127" t="s">
        <v>8305</v>
      </c>
      <c r="L3361" s="127" t="s">
        <v>8306</v>
      </c>
      <c r="M3361" s="127">
        <v>636886</v>
      </c>
      <c r="N3361" s="109"/>
      <c r="O3361" s="20"/>
      <c r="P3361" s="20"/>
      <c r="Q3361" s="20"/>
    </row>
    <row r="3362" spans="1:17" ht="24.9" customHeight="1">
      <c r="A3362" s="20">
        <v>461</v>
      </c>
      <c r="B3362" s="20" t="s">
        <v>4351</v>
      </c>
      <c r="C3362" s="19">
        <v>32</v>
      </c>
      <c r="D3362" s="20" t="s">
        <v>8303</v>
      </c>
      <c r="E3362" s="19" t="str">
        <f>VLOOKUP(D3362,'لیست پرسنل'!$B$2:$E$1020,3,FALSE)</f>
        <v>آهن مهام</v>
      </c>
      <c r="F3362" s="19" t="str">
        <f>VLOOKUP(D3362,'لیست پرسنل'!$B$2:$E$1020,4,FALSE)</f>
        <v>حراست</v>
      </c>
      <c r="G3362" s="127">
        <f>VLOOKUP(D3362,'لیست پرسنل'!$B$2:$F$1020,2,FALSE)</f>
        <v>0</v>
      </c>
      <c r="H3362" s="128" t="s">
        <v>8264</v>
      </c>
      <c r="I3362" s="128" t="s">
        <v>5087</v>
      </c>
      <c r="J3362" s="141" t="s">
        <v>571</v>
      </c>
      <c r="K3362" s="128" t="s">
        <v>1951</v>
      </c>
      <c r="L3362" s="165" t="s">
        <v>2219</v>
      </c>
      <c r="M3362" s="128">
        <v>629908</v>
      </c>
      <c r="N3362" s="108"/>
      <c r="O3362" s="20" t="s">
        <v>705</v>
      </c>
      <c r="P3362" s="20"/>
      <c r="Q3362" s="20"/>
    </row>
    <row r="3363" spans="1:17" ht="24" customHeight="1">
      <c r="A3363" s="20">
        <v>461</v>
      </c>
      <c r="B3363" s="20" t="s">
        <v>4351</v>
      </c>
      <c r="C3363" s="19">
        <v>32</v>
      </c>
      <c r="D3363" s="20" t="s">
        <v>8303</v>
      </c>
      <c r="E3363" s="19" t="str">
        <f>VLOOKUP(D3363,'لیست پرسنل'!$B$2:$E$1020,3,FALSE)</f>
        <v>آهن مهام</v>
      </c>
      <c r="F3363" s="19" t="str">
        <f>VLOOKUP(D3363,'لیست پرسنل'!$B$2:$E$1020,4,FALSE)</f>
        <v>حراست</v>
      </c>
      <c r="G3363" s="127">
        <f>VLOOKUP(D3363,'لیست پرسنل'!$B$2:$F$1020,2,FALSE)</f>
        <v>0</v>
      </c>
      <c r="H3363" s="128" t="s">
        <v>8264</v>
      </c>
      <c r="I3363" s="127" t="s">
        <v>5087</v>
      </c>
      <c r="J3363" s="128" t="s">
        <v>2686</v>
      </c>
      <c r="K3363" s="128" t="s">
        <v>890</v>
      </c>
      <c r="L3363" s="151" t="s">
        <v>3795</v>
      </c>
      <c r="M3363" s="127">
        <v>608123</v>
      </c>
      <c r="N3363" s="109"/>
      <c r="O3363" s="19"/>
      <c r="P3363" s="20"/>
      <c r="Q3363" s="20"/>
    </row>
    <row r="3364" spans="1:17" ht="26.25" customHeight="1">
      <c r="A3364" s="20">
        <v>461</v>
      </c>
      <c r="B3364" s="20" t="s">
        <v>4351</v>
      </c>
      <c r="C3364" s="20">
        <v>32</v>
      </c>
      <c r="D3364" s="20" t="s">
        <v>8346</v>
      </c>
      <c r="E3364" s="19" t="str">
        <f>VLOOKUP(D3364,'لیست پرسنل'!$B$2:$E$1020,3,FALSE)</f>
        <v>آهن مهام</v>
      </c>
      <c r="F3364" s="19" t="str">
        <f>VLOOKUP(D3364,'لیست پرسنل'!$B$2:$E$1020,4,FALSE)</f>
        <v>سرپرست حراست</v>
      </c>
      <c r="G3364" s="127">
        <f>VLOOKUP(D3364,'لیست پرسنل'!$B$2:$F$1020,2,FALSE)</f>
        <v>20957</v>
      </c>
      <c r="H3364" s="128" t="s">
        <v>8264</v>
      </c>
      <c r="I3364" s="128" t="s">
        <v>5087</v>
      </c>
      <c r="J3364" s="128" t="s">
        <v>5366</v>
      </c>
      <c r="K3364" s="128" t="s">
        <v>5546</v>
      </c>
      <c r="L3364" s="127" t="s">
        <v>5552</v>
      </c>
      <c r="M3364" s="128">
        <v>615719</v>
      </c>
      <c r="N3364" s="108"/>
      <c r="O3364" s="20"/>
      <c r="P3364" s="20"/>
      <c r="Q3364" s="20"/>
    </row>
    <row r="3365" spans="1:17" ht="24.9" customHeight="1">
      <c r="A3365" s="20">
        <v>461</v>
      </c>
      <c r="B3365" s="20" t="s">
        <v>4351</v>
      </c>
      <c r="C3365" s="19">
        <v>34</v>
      </c>
      <c r="D3365" s="20" t="s">
        <v>6823</v>
      </c>
      <c r="E3365" s="19" t="str">
        <f>VLOOKUP(D3365,'لیست پرسنل'!$B$2:$E$1020,3,FALSE)</f>
        <v>آهن مهام</v>
      </c>
      <c r="F3365" s="19" t="str">
        <f>VLOOKUP(D3365,'لیست پرسنل'!$B$2:$E$1020,4,FALSE)</f>
        <v>سیویل</v>
      </c>
      <c r="G3365" s="127" t="str">
        <f>VLOOKUP(D3365,'لیست پرسنل'!$B$2:$F$1020,2,FALSE)</f>
        <v>0</v>
      </c>
      <c r="H3365" s="126" t="s">
        <v>4071</v>
      </c>
      <c r="I3365" s="127" t="s">
        <v>5795</v>
      </c>
      <c r="J3365" s="126" t="s">
        <v>368</v>
      </c>
      <c r="K3365" s="135" t="s">
        <v>8248</v>
      </c>
      <c r="L3365" s="127" t="s">
        <v>2301</v>
      </c>
      <c r="M3365" s="128">
        <v>628707</v>
      </c>
      <c r="N3365" s="108"/>
      <c r="O3365" s="20" t="s">
        <v>705</v>
      </c>
      <c r="P3365" s="20"/>
      <c r="Q3365" s="20"/>
    </row>
    <row r="3366" spans="1:17" ht="24.9" customHeight="1">
      <c r="A3366" s="20">
        <v>461</v>
      </c>
      <c r="B3366" s="20" t="s">
        <v>4351</v>
      </c>
      <c r="C3366" s="19">
        <v>34</v>
      </c>
      <c r="D3366" s="20" t="s">
        <v>6823</v>
      </c>
      <c r="E3366" s="19" t="str">
        <f>VLOOKUP(D3366,'لیست پرسنل'!$B$2:$E$1020,3,FALSE)</f>
        <v>آهن مهام</v>
      </c>
      <c r="F3366" s="19" t="str">
        <f>VLOOKUP(D3366,'لیست پرسنل'!$B$2:$E$1020,4,FALSE)</f>
        <v>سیویل</v>
      </c>
      <c r="G3366" s="127" t="str">
        <f>VLOOKUP(D3366,'لیست پرسنل'!$B$2:$F$1020,2,FALSE)</f>
        <v>0</v>
      </c>
      <c r="H3366" s="126" t="s">
        <v>4071</v>
      </c>
      <c r="I3366" s="127" t="s">
        <v>5795</v>
      </c>
      <c r="J3366" s="126" t="s">
        <v>571</v>
      </c>
      <c r="K3366" s="126" t="s">
        <v>5768</v>
      </c>
      <c r="L3366" s="126"/>
      <c r="M3366" s="126">
        <v>632132</v>
      </c>
      <c r="N3366" s="111"/>
      <c r="O3366" s="20"/>
      <c r="P3366" s="28"/>
      <c r="Q3366" s="28"/>
    </row>
    <row r="3367" spans="1:17" ht="24.9" customHeight="1">
      <c r="A3367" s="20">
        <v>461</v>
      </c>
      <c r="B3367" s="20" t="s">
        <v>4351</v>
      </c>
      <c r="C3367" s="19">
        <v>34</v>
      </c>
      <c r="D3367" s="20" t="s">
        <v>6823</v>
      </c>
      <c r="E3367" s="19" t="str">
        <f>VLOOKUP(D3367,'لیست پرسنل'!$B$2:$E$1020,3,FALSE)</f>
        <v>آهن مهام</v>
      </c>
      <c r="F3367" s="19" t="str">
        <f>VLOOKUP(D3367,'لیست پرسنل'!$B$2:$E$1020,4,FALSE)</f>
        <v>سیویل</v>
      </c>
      <c r="G3367" s="127" t="str">
        <f>VLOOKUP(D3367,'لیست پرسنل'!$B$2:$F$1020,2,FALSE)</f>
        <v>0</v>
      </c>
      <c r="H3367" s="126" t="s">
        <v>4071</v>
      </c>
      <c r="I3367" s="127" t="s">
        <v>5795</v>
      </c>
      <c r="J3367" s="128" t="s">
        <v>2686</v>
      </c>
      <c r="K3367" s="127" t="s">
        <v>2143</v>
      </c>
      <c r="L3367" s="127" t="s">
        <v>2241</v>
      </c>
      <c r="M3367" s="127">
        <v>628632</v>
      </c>
      <c r="N3367" s="108"/>
      <c r="O3367" s="20" t="s">
        <v>705</v>
      </c>
      <c r="P3367" s="20"/>
      <c r="Q3367" s="20"/>
    </row>
    <row r="3368" spans="1:17" ht="24.9" customHeight="1">
      <c r="A3368" s="20">
        <v>461</v>
      </c>
      <c r="B3368" s="20" t="s">
        <v>4351</v>
      </c>
      <c r="C3368" s="20">
        <v>35</v>
      </c>
      <c r="D3368" s="20" t="s">
        <v>6075</v>
      </c>
      <c r="E3368" s="19" t="str">
        <f>VLOOKUP(D3368,'لیست پرسنل'!$B$2:$E$1020,3,FALSE)</f>
        <v>آهن مهام</v>
      </c>
      <c r="F3368" s="19" t="str">
        <f>VLOOKUP(D3368,'لیست پرسنل'!$B$2:$E$1020,4,FALSE)</f>
        <v>سیویل</v>
      </c>
      <c r="G3368" s="127" t="str">
        <f>VLOOKUP(D3368,'لیست پرسنل'!$B$2:$F$1020,2,FALSE)</f>
        <v>20811</v>
      </c>
      <c r="H3368" s="128" t="s">
        <v>4071</v>
      </c>
      <c r="I3368" s="128" t="s">
        <v>6076</v>
      </c>
      <c r="J3368" s="128" t="s">
        <v>368</v>
      </c>
      <c r="K3368" s="128" t="s">
        <v>2846</v>
      </c>
      <c r="L3368" s="128" t="s">
        <v>2330</v>
      </c>
      <c r="M3368" s="128">
        <v>628736</v>
      </c>
      <c r="N3368" s="108"/>
      <c r="O3368" s="20" t="s">
        <v>705</v>
      </c>
      <c r="P3368" s="20"/>
      <c r="Q3368" s="20"/>
    </row>
    <row r="3369" spans="1:17" ht="24.9" customHeight="1">
      <c r="A3369" s="20">
        <v>461</v>
      </c>
      <c r="B3369" s="20" t="s">
        <v>4351</v>
      </c>
      <c r="C3369" s="20">
        <v>35</v>
      </c>
      <c r="D3369" s="20" t="s">
        <v>6075</v>
      </c>
      <c r="E3369" s="19" t="str">
        <f>VLOOKUP(D3369,'لیست پرسنل'!$B$2:$E$1020,3,FALSE)</f>
        <v>آهن مهام</v>
      </c>
      <c r="F3369" s="19" t="str">
        <f>VLOOKUP(D3369,'لیست پرسنل'!$B$2:$E$1020,4,FALSE)</f>
        <v>سیویل</v>
      </c>
      <c r="G3369" s="127" t="str">
        <f>VLOOKUP(D3369,'لیست پرسنل'!$B$2:$F$1020,2,FALSE)</f>
        <v>20811</v>
      </c>
      <c r="H3369" s="128" t="s">
        <v>4071</v>
      </c>
      <c r="I3369" s="128" t="s">
        <v>6076</v>
      </c>
      <c r="J3369" s="128" t="s">
        <v>571</v>
      </c>
      <c r="K3369" s="128" t="s">
        <v>5768</v>
      </c>
      <c r="L3369" s="128"/>
      <c r="M3369" s="126">
        <v>632140</v>
      </c>
      <c r="N3369" s="111"/>
      <c r="O3369" s="28"/>
      <c r="P3369" s="28"/>
      <c r="Q3369" s="28"/>
    </row>
    <row r="3370" spans="1:17" ht="24.9" customHeight="1">
      <c r="A3370" s="20">
        <v>461</v>
      </c>
      <c r="B3370" s="20" t="s">
        <v>4351</v>
      </c>
      <c r="C3370" s="20">
        <v>35</v>
      </c>
      <c r="D3370" s="20" t="s">
        <v>6075</v>
      </c>
      <c r="E3370" s="19" t="str">
        <f>VLOOKUP(D3370,'لیست پرسنل'!$B$2:$E$1020,3,FALSE)</f>
        <v>آهن مهام</v>
      </c>
      <c r="F3370" s="19" t="str">
        <f>VLOOKUP(D3370,'لیست پرسنل'!$B$2:$E$1020,4,FALSE)</f>
        <v>سیویل</v>
      </c>
      <c r="G3370" s="127" t="str">
        <f>VLOOKUP(D3370,'لیست پرسنل'!$B$2:$F$1020,2,FALSE)</f>
        <v>20811</v>
      </c>
      <c r="H3370" s="128" t="s">
        <v>4071</v>
      </c>
      <c r="I3370" s="128" t="s">
        <v>6076</v>
      </c>
      <c r="J3370" s="128" t="s">
        <v>2686</v>
      </c>
      <c r="K3370" s="128" t="s">
        <v>2143</v>
      </c>
      <c r="L3370" s="150" t="s">
        <v>2271</v>
      </c>
      <c r="M3370" s="127">
        <v>628662</v>
      </c>
      <c r="N3370" s="108"/>
      <c r="O3370" s="20" t="s">
        <v>705</v>
      </c>
      <c r="P3370" s="20"/>
      <c r="Q3370" s="20"/>
    </row>
    <row r="3371" spans="1:17" ht="24.9" customHeight="1">
      <c r="A3371" s="20">
        <v>461</v>
      </c>
      <c r="B3371" s="20" t="s">
        <v>4351</v>
      </c>
      <c r="C3371" s="20">
        <v>36</v>
      </c>
      <c r="D3371" s="20" t="s">
        <v>2051</v>
      </c>
      <c r="E3371" s="19" t="str">
        <f>VLOOKUP(D3371,'لیست پرسنل'!$B$2:$E$1020,3,FALSE)</f>
        <v>فکورصنعت</v>
      </c>
      <c r="F3371" s="19" t="str">
        <f>VLOOKUP(D3371,'لیست پرسنل'!$B$2:$E$1020,4,FALSE)</f>
        <v>انبار</v>
      </c>
      <c r="G3371" s="127">
        <f>VLOOKUP(D3371,'لیست پرسنل'!$B$2:$F$1020,2,FALSE)</f>
        <v>3771</v>
      </c>
      <c r="H3371" s="128" t="s">
        <v>4071</v>
      </c>
      <c r="I3371" s="128" t="s">
        <v>6150</v>
      </c>
      <c r="J3371" s="128" t="s">
        <v>571</v>
      </c>
      <c r="K3371" s="128" t="s">
        <v>2219</v>
      </c>
      <c r="L3371" s="128" t="s">
        <v>6151</v>
      </c>
      <c r="M3371" s="128">
        <v>627732</v>
      </c>
      <c r="N3371" s="108" t="s">
        <v>6151</v>
      </c>
      <c r="O3371" s="20"/>
      <c r="P3371" s="20"/>
      <c r="Q3371" s="20"/>
    </row>
    <row r="3372" spans="1:17" ht="24.9" customHeight="1">
      <c r="A3372" s="20">
        <v>461</v>
      </c>
      <c r="B3372" s="20" t="s">
        <v>4351</v>
      </c>
      <c r="C3372" s="20">
        <v>36</v>
      </c>
      <c r="D3372" s="20" t="s">
        <v>2051</v>
      </c>
      <c r="E3372" s="19" t="str">
        <f>VLOOKUP(D3372,'لیست پرسنل'!$B$2:$E$1020,3,FALSE)</f>
        <v>فکورصنعت</v>
      </c>
      <c r="F3372" s="19" t="str">
        <f>VLOOKUP(D3372,'لیست پرسنل'!$B$2:$E$1020,4,FALSE)</f>
        <v>انبار</v>
      </c>
      <c r="G3372" s="127">
        <f>VLOOKUP(D3372,'لیست پرسنل'!$B$2:$F$1020,2,FALSE)</f>
        <v>3771</v>
      </c>
      <c r="H3372" s="128" t="s">
        <v>4071</v>
      </c>
      <c r="I3372" s="128" t="s">
        <v>6150</v>
      </c>
      <c r="J3372" s="128" t="s">
        <v>2686</v>
      </c>
      <c r="K3372" s="128" t="s">
        <v>1388</v>
      </c>
      <c r="L3372" s="128" t="s">
        <v>6151</v>
      </c>
      <c r="M3372" s="128">
        <v>609081</v>
      </c>
      <c r="N3372" s="108" t="s">
        <v>7233</v>
      </c>
      <c r="O3372" s="19">
        <v>11</v>
      </c>
      <c r="P3372" s="20"/>
      <c r="Q3372" s="20"/>
    </row>
    <row r="3373" spans="1:17" ht="24.9" customHeight="1">
      <c r="A3373" s="20">
        <v>461</v>
      </c>
      <c r="B3373" s="20" t="s">
        <v>4351</v>
      </c>
      <c r="C3373" s="20">
        <v>37</v>
      </c>
      <c r="D3373" s="20" t="s">
        <v>6729</v>
      </c>
      <c r="E3373" s="19" t="str">
        <f>VLOOKUP(D3373,'لیست پرسنل'!$B$2:$E$1020,3,FALSE)</f>
        <v>کرمان آهن مهام</v>
      </c>
      <c r="F3373" s="19" t="str">
        <f>VLOOKUP(D3373,'لیست پرسنل'!$B$2:$E$1020,4,FALSE)</f>
        <v>مسئول دفتر</v>
      </c>
      <c r="G3373" s="127" t="str">
        <f>VLOOKUP(D3373,'لیست پرسنل'!$B$2:$F$1020,2,FALSE)</f>
        <v>20732</v>
      </c>
      <c r="H3373" s="128" t="s">
        <v>4071</v>
      </c>
      <c r="I3373" s="128" t="s">
        <v>6160</v>
      </c>
      <c r="J3373" s="128" t="s">
        <v>368</v>
      </c>
      <c r="K3373" s="128" t="s">
        <v>2846</v>
      </c>
      <c r="L3373" s="128" t="s">
        <v>2028</v>
      </c>
      <c r="M3373" s="128">
        <v>625696</v>
      </c>
      <c r="N3373" s="108"/>
      <c r="O3373" s="20"/>
      <c r="P3373" s="20"/>
      <c r="Q3373" s="20"/>
    </row>
    <row r="3374" spans="1:17" ht="24.9" customHeight="1">
      <c r="A3374" s="20">
        <v>461</v>
      </c>
      <c r="B3374" s="20" t="s">
        <v>4351</v>
      </c>
      <c r="C3374" s="20">
        <v>37</v>
      </c>
      <c r="D3374" s="20" t="s">
        <v>6729</v>
      </c>
      <c r="E3374" s="19" t="str">
        <f>VLOOKUP(D3374,'لیست پرسنل'!$B$2:$E$1020,3,FALSE)</f>
        <v>کرمان آهن مهام</v>
      </c>
      <c r="F3374" s="19" t="str">
        <f>VLOOKUP(D3374,'لیست پرسنل'!$B$2:$E$1020,4,FALSE)</f>
        <v>مسئول دفتر</v>
      </c>
      <c r="G3374" s="127" t="str">
        <f>VLOOKUP(D3374,'لیست پرسنل'!$B$2:$F$1020,2,FALSE)</f>
        <v>20732</v>
      </c>
      <c r="H3374" s="128" t="s">
        <v>4071</v>
      </c>
      <c r="I3374" s="128" t="s">
        <v>6160</v>
      </c>
      <c r="J3374" s="128" t="s">
        <v>571</v>
      </c>
      <c r="K3374" s="128" t="s">
        <v>5768</v>
      </c>
      <c r="L3374" s="128"/>
      <c r="M3374" s="126">
        <v>632127</v>
      </c>
      <c r="N3374" s="111"/>
      <c r="O3374" s="28"/>
      <c r="P3374" s="28"/>
      <c r="Q3374" s="28"/>
    </row>
    <row r="3375" spans="1:17" ht="24.9" customHeight="1">
      <c r="A3375" s="20">
        <v>461</v>
      </c>
      <c r="B3375" s="20" t="s">
        <v>4351</v>
      </c>
      <c r="C3375" s="20">
        <v>37</v>
      </c>
      <c r="D3375" s="20" t="s">
        <v>6729</v>
      </c>
      <c r="E3375" s="19" t="str">
        <f>VLOOKUP(D3375,'لیست پرسنل'!$B$2:$E$1020,3,FALSE)</f>
        <v>کرمان آهن مهام</v>
      </c>
      <c r="F3375" s="19" t="str">
        <f>VLOOKUP(D3375,'لیست پرسنل'!$B$2:$E$1020,4,FALSE)</f>
        <v>مسئول دفتر</v>
      </c>
      <c r="G3375" s="127" t="str">
        <f>VLOOKUP(D3375,'لیست پرسنل'!$B$2:$F$1020,2,FALSE)</f>
        <v>20732</v>
      </c>
      <c r="H3375" s="128" t="s">
        <v>4071</v>
      </c>
      <c r="I3375" s="128" t="s">
        <v>6160</v>
      </c>
      <c r="J3375" s="128" t="s">
        <v>2686</v>
      </c>
      <c r="K3375" s="128" t="s">
        <v>2922</v>
      </c>
      <c r="L3375" s="128" t="s">
        <v>2961</v>
      </c>
      <c r="M3375" s="128">
        <v>626442</v>
      </c>
      <c r="N3375" s="108"/>
      <c r="O3375" s="20" t="s">
        <v>705</v>
      </c>
      <c r="P3375" s="20"/>
      <c r="Q3375" s="20"/>
    </row>
    <row r="3376" spans="1:17" ht="24.9" customHeight="1">
      <c r="A3376" s="20">
        <v>461</v>
      </c>
      <c r="B3376" s="20" t="s">
        <v>4351</v>
      </c>
      <c r="C3376" s="19">
        <v>38</v>
      </c>
      <c r="D3376" s="20" t="s">
        <v>6563</v>
      </c>
      <c r="E3376" s="19" t="str">
        <f>VLOOKUP(D3376,'لیست پرسنل'!$B$2:$E$1020,3,FALSE)</f>
        <v>فکورصنعت</v>
      </c>
      <c r="F3376" s="19" t="str">
        <f>VLOOKUP(D3376,'لیست پرسنل'!$B$2:$E$1020,4,FALSE)</f>
        <v>مکانیک</v>
      </c>
      <c r="G3376" s="127" t="str">
        <f>VLOOKUP(D3376,'لیست پرسنل'!$B$2:$F$1020,2,FALSE)</f>
        <v>4030304</v>
      </c>
      <c r="H3376" s="126" t="s">
        <v>4071</v>
      </c>
      <c r="I3376" s="128" t="s">
        <v>6564</v>
      </c>
      <c r="J3376" s="128" t="s">
        <v>368</v>
      </c>
      <c r="K3376" s="128" t="s">
        <v>2846</v>
      </c>
      <c r="L3376" s="128" t="s">
        <v>4749</v>
      </c>
      <c r="M3376" s="127">
        <v>633729</v>
      </c>
      <c r="N3376" s="109"/>
      <c r="O3376" s="19" t="s">
        <v>6393</v>
      </c>
      <c r="P3376" s="32"/>
      <c r="Q3376" s="32"/>
    </row>
    <row r="3377" spans="1:17" ht="24.9" customHeight="1">
      <c r="A3377" s="20">
        <v>461</v>
      </c>
      <c r="B3377" s="20" t="s">
        <v>4351</v>
      </c>
      <c r="C3377" s="19">
        <v>38</v>
      </c>
      <c r="D3377" s="20" t="s">
        <v>6563</v>
      </c>
      <c r="E3377" s="19" t="str">
        <f>VLOOKUP(D3377,'لیست پرسنل'!$B$2:$E$1020,3,FALSE)</f>
        <v>فکورصنعت</v>
      </c>
      <c r="F3377" s="19" t="str">
        <f>VLOOKUP(D3377,'لیست پرسنل'!$B$2:$E$1020,4,FALSE)</f>
        <v>مکانیک</v>
      </c>
      <c r="G3377" s="127" t="str">
        <f>VLOOKUP(D3377,'لیست پرسنل'!$B$2:$F$1020,2,FALSE)</f>
        <v>4030304</v>
      </c>
      <c r="H3377" s="126" t="s">
        <v>4071</v>
      </c>
      <c r="I3377" s="128" t="s">
        <v>6564</v>
      </c>
      <c r="J3377" s="128" t="s">
        <v>571</v>
      </c>
      <c r="K3377" s="128" t="s">
        <v>5768</v>
      </c>
      <c r="L3377" s="128"/>
      <c r="M3377" s="126">
        <v>632134</v>
      </c>
      <c r="N3377" s="111"/>
      <c r="O3377" s="28"/>
      <c r="P3377" s="28"/>
      <c r="Q3377" s="28"/>
    </row>
    <row r="3378" spans="1:17" ht="24.9" customHeight="1">
      <c r="A3378" s="20">
        <v>461</v>
      </c>
      <c r="B3378" s="20" t="s">
        <v>4351</v>
      </c>
      <c r="C3378" s="19">
        <v>38</v>
      </c>
      <c r="D3378" s="20" t="s">
        <v>6563</v>
      </c>
      <c r="E3378" s="19" t="str">
        <f>VLOOKUP(D3378,'لیست پرسنل'!$B$2:$E$1020,3,FALSE)</f>
        <v>فکورصنعت</v>
      </c>
      <c r="F3378" s="19" t="str">
        <f>VLOOKUP(D3378,'لیست پرسنل'!$B$2:$E$1020,4,FALSE)</f>
        <v>مکانیک</v>
      </c>
      <c r="G3378" s="127" t="str">
        <f>VLOOKUP(D3378,'لیست پرسنل'!$B$2:$F$1020,2,FALSE)</f>
        <v>4030304</v>
      </c>
      <c r="H3378" s="126" t="s">
        <v>4071</v>
      </c>
      <c r="I3378" s="128" t="s">
        <v>6564</v>
      </c>
      <c r="J3378" s="128" t="s">
        <v>2686</v>
      </c>
      <c r="K3378" s="128" t="s">
        <v>2922</v>
      </c>
      <c r="L3378" s="127" t="s">
        <v>3085</v>
      </c>
      <c r="M3378" s="128">
        <v>626569</v>
      </c>
      <c r="N3378" s="108"/>
      <c r="O3378" s="20" t="s">
        <v>705</v>
      </c>
      <c r="P3378" s="20"/>
      <c r="Q3378" s="20"/>
    </row>
    <row r="3379" spans="1:17" ht="24.9" customHeight="1">
      <c r="A3379" s="20">
        <v>461</v>
      </c>
      <c r="B3379" s="20" t="s">
        <v>4351</v>
      </c>
      <c r="C3379" s="20">
        <v>39</v>
      </c>
      <c r="D3379" s="20" t="s">
        <v>2890</v>
      </c>
      <c r="E3379" s="19" t="str">
        <f>VLOOKUP(D3379,'لیست پرسنل'!$B$2:$E$1020,3,FALSE)</f>
        <v>فکورصنعت</v>
      </c>
      <c r="F3379" s="19" t="str">
        <f>VLOOKUP(D3379,'لیست پرسنل'!$B$2:$E$1020,4,FALSE)</f>
        <v>QC</v>
      </c>
      <c r="G3379" s="127">
        <f>VLOOKUP(D3379,'لیست پرسنل'!$B$2:$F$1020,2,FALSE)</f>
        <v>4011009</v>
      </c>
      <c r="H3379" s="128" t="s">
        <v>4071</v>
      </c>
      <c r="I3379" s="128" t="s">
        <v>6686</v>
      </c>
      <c r="J3379" s="128" t="s">
        <v>737</v>
      </c>
      <c r="K3379" s="128" t="s">
        <v>557</v>
      </c>
      <c r="L3379" s="142" t="s">
        <v>830</v>
      </c>
      <c r="M3379" s="128">
        <v>601503</v>
      </c>
      <c r="N3379" s="108"/>
      <c r="O3379" s="19"/>
      <c r="P3379" s="20"/>
      <c r="Q3379" s="20"/>
    </row>
    <row r="3380" spans="1:17" ht="24.9" customHeight="1">
      <c r="A3380" s="20">
        <v>461</v>
      </c>
      <c r="B3380" s="20" t="s">
        <v>4351</v>
      </c>
      <c r="C3380" s="20">
        <v>39</v>
      </c>
      <c r="D3380" s="20" t="s">
        <v>2890</v>
      </c>
      <c r="E3380" s="19" t="str">
        <f>VLOOKUP(D3380,'لیست پرسنل'!$B$2:$E$1020,3,FALSE)</f>
        <v>فکورصنعت</v>
      </c>
      <c r="F3380" s="19" t="str">
        <f>VLOOKUP(D3380,'لیست پرسنل'!$B$2:$E$1020,4,FALSE)</f>
        <v>QC</v>
      </c>
      <c r="G3380" s="127">
        <f>VLOOKUP(D3380,'لیست پرسنل'!$B$2:$F$1020,2,FALSE)</f>
        <v>4011009</v>
      </c>
      <c r="H3380" s="128" t="s">
        <v>4071</v>
      </c>
      <c r="I3380" s="128" t="s">
        <v>6686</v>
      </c>
      <c r="J3380" s="128" t="s">
        <v>368</v>
      </c>
      <c r="K3380" s="128" t="s">
        <v>2846</v>
      </c>
      <c r="L3380" s="128" t="s">
        <v>4761</v>
      </c>
      <c r="M3380" s="127">
        <v>633760</v>
      </c>
      <c r="N3380" s="109"/>
      <c r="O3380" s="19" t="s">
        <v>6378</v>
      </c>
      <c r="P3380" s="32"/>
      <c r="Q3380" s="32"/>
    </row>
    <row r="3381" spans="1:17" ht="24.9" customHeight="1">
      <c r="A3381" s="20">
        <v>461</v>
      </c>
      <c r="B3381" s="20" t="s">
        <v>4351</v>
      </c>
      <c r="C3381" s="20">
        <v>39</v>
      </c>
      <c r="D3381" s="20" t="s">
        <v>2890</v>
      </c>
      <c r="E3381" s="19" t="str">
        <f>VLOOKUP(D3381,'لیست پرسنل'!$B$2:$E$1020,3,FALSE)</f>
        <v>فکورصنعت</v>
      </c>
      <c r="F3381" s="19" t="str">
        <f>VLOOKUP(D3381,'لیست پرسنل'!$B$2:$E$1020,4,FALSE)</f>
        <v>QC</v>
      </c>
      <c r="G3381" s="127">
        <f>VLOOKUP(D3381,'لیست پرسنل'!$B$2:$F$1020,2,FALSE)</f>
        <v>4011009</v>
      </c>
      <c r="H3381" s="128" t="s">
        <v>4071</v>
      </c>
      <c r="I3381" s="128" t="s">
        <v>6686</v>
      </c>
      <c r="J3381" s="128" t="s">
        <v>571</v>
      </c>
      <c r="K3381" s="128" t="s">
        <v>4771</v>
      </c>
      <c r="L3381" s="127"/>
      <c r="M3381" s="127">
        <v>633654</v>
      </c>
      <c r="N3381" s="109"/>
      <c r="O3381" s="19" t="s">
        <v>6315</v>
      </c>
      <c r="P3381" s="32"/>
      <c r="Q3381" s="32"/>
    </row>
    <row r="3382" spans="1:17" ht="24.9" customHeight="1">
      <c r="A3382" s="20">
        <v>461</v>
      </c>
      <c r="B3382" s="20" t="s">
        <v>4351</v>
      </c>
      <c r="C3382" s="20">
        <v>39</v>
      </c>
      <c r="D3382" s="20" t="s">
        <v>2890</v>
      </c>
      <c r="E3382" s="19" t="str">
        <f>VLOOKUP(D3382,'لیست پرسنل'!$B$2:$E$1020,3,FALSE)</f>
        <v>فکورصنعت</v>
      </c>
      <c r="F3382" s="19" t="str">
        <f>VLOOKUP(D3382,'لیست پرسنل'!$B$2:$E$1020,4,FALSE)</f>
        <v>QC</v>
      </c>
      <c r="G3382" s="127">
        <f>VLOOKUP(D3382,'لیست پرسنل'!$B$2:$F$1020,2,FALSE)</f>
        <v>4011009</v>
      </c>
      <c r="H3382" s="128" t="s">
        <v>4071</v>
      </c>
      <c r="I3382" s="128" t="s">
        <v>6686</v>
      </c>
      <c r="J3382" s="128" t="s">
        <v>2686</v>
      </c>
      <c r="K3382" s="128" t="s">
        <v>2922</v>
      </c>
      <c r="L3382" s="128" t="s">
        <v>2974</v>
      </c>
      <c r="M3382" s="128">
        <v>626455</v>
      </c>
      <c r="N3382" s="108"/>
      <c r="O3382" s="20" t="s">
        <v>705</v>
      </c>
      <c r="P3382" s="20"/>
      <c r="Q3382" s="20"/>
    </row>
    <row r="3383" spans="1:17" ht="24.9" customHeight="1">
      <c r="A3383" s="20">
        <v>461</v>
      </c>
      <c r="B3383" s="20" t="s">
        <v>4351</v>
      </c>
      <c r="C3383" s="19">
        <v>40</v>
      </c>
      <c r="D3383" s="31" t="s">
        <v>7875</v>
      </c>
      <c r="E3383" s="19" t="str">
        <f>VLOOKUP(D3383,'لیست پرسنل'!$B$2:$E$1020,3,FALSE)</f>
        <v>فکورصنعت</v>
      </c>
      <c r="F3383" s="19" t="str">
        <f>VLOOKUP(D3383,'لیست پرسنل'!$B$2:$E$1020,4,FALSE)</f>
        <v>نظارت مکانیک</v>
      </c>
      <c r="G3383" s="127">
        <f>VLOOKUP(D3383,'لیست پرسنل'!$B$2:$F$1020,2,FALSE)</f>
        <v>4031209</v>
      </c>
      <c r="H3383" s="127" t="s">
        <v>4071</v>
      </c>
      <c r="I3383" s="126" t="s">
        <v>6691</v>
      </c>
      <c r="J3383" s="128" t="s">
        <v>737</v>
      </c>
      <c r="K3383" s="132" t="s">
        <v>1624</v>
      </c>
      <c r="L3383" s="127" t="s">
        <v>559</v>
      </c>
      <c r="M3383" s="127">
        <v>609148</v>
      </c>
      <c r="N3383" s="109"/>
      <c r="O3383" s="69" t="s">
        <v>6688</v>
      </c>
      <c r="P3383" s="20"/>
      <c r="Q3383" s="20"/>
    </row>
    <row r="3384" spans="1:17" ht="24.9" customHeight="1">
      <c r="A3384" s="20">
        <v>461</v>
      </c>
      <c r="B3384" s="20" t="s">
        <v>4351</v>
      </c>
      <c r="C3384" s="19">
        <v>40</v>
      </c>
      <c r="D3384" s="31" t="s">
        <v>7875</v>
      </c>
      <c r="E3384" s="19" t="str">
        <f>VLOOKUP(D3384,'لیست پرسنل'!$B$2:$E$1020,3,FALSE)</f>
        <v>فکورصنعت</v>
      </c>
      <c r="F3384" s="19" t="str">
        <f>VLOOKUP(D3384,'لیست پرسنل'!$B$2:$E$1020,4,FALSE)</f>
        <v>نظارت مکانیک</v>
      </c>
      <c r="G3384" s="127">
        <f>VLOOKUP(D3384,'لیست پرسنل'!$B$2:$F$1020,2,FALSE)</f>
        <v>4031209</v>
      </c>
      <c r="H3384" s="127" t="s">
        <v>4071</v>
      </c>
      <c r="I3384" s="126" t="s">
        <v>6691</v>
      </c>
      <c r="J3384" s="126" t="s">
        <v>368</v>
      </c>
      <c r="K3384" s="128" t="s">
        <v>2846</v>
      </c>
      <c r="L3384" s="151" t="s">
        <v>1497</v>
      </c>
      <c r="M3384" s="127">
        <v>625121</v>
      </c>
      <c r="N3384" s="109"/>
      <c r="O3384" s="69" t="s">
        <v>6688</v>
      </c>
      <c r="P3384" s="20"/>
      <c r="Q3384" s="20"/>
    </row>
    <row r="3385" spans="1:17" ht="24.9" customHeight="1">
      <c r="A3385" s="20">
        <v>461</v>
      </c>
      <c r="B3385" s="20" t="s">
        <v>4351</v>
      </c>
      <c r="C3385" s="19">
        <v>40</v>
      </c>
      <c r="D3385" s="31" t="s">
        <v>7875</v>
      </c>
      <c r="E3385" s="19" t="str">
        <f>VLOOKUP(D3385,'لیست پرسنل'!$B$2:$E$1020,3,FALSE)</f>
        <v>فکورصنعت</v>
      </c>
      <c r="F3385" s="19" t="str">
        <f>VLOOKUP(D3385,'لیست پرسنل'!$B$2:$E$1020,4,FALSE)</f>
        <v>نظارت مکانیک</v>
      </c>
      <c r="G3385" s="127">
        <f>VLOOKUP(D3385,'لیست پرسنل'!$B$2:$F$1020,2,FALSE)</f>
        <v>4031209</v>
      </c>
      <c r="H3385" s="127" t="s">
        <v>4071</v>
      </c>
      <c r="I3385" s="126" t="s">
        <v>6691</v>
      </c>
      <c r="J3385" s="141" t="s">
        <v>571</v>
      </c>
      <c r="K3385" s="135" t="s">
        <v>1951</v>
      </c>
      <c r="L3385" s="159" t="s">
        <v>2219</v>
      </c>
      <c r="M3385" s="127">
        <v>627697</v>
      </c>
      <c r="N3385" s="108"/>
      <c r="O3385" s="69" t="s">
        <v>6688</v>
      </c>
      <c r="P3385" s="20"/>
      <c r="Q3385" s="20"/>
    </row>
    <row r="3386" spans="1:17" ht="24.9" customHeight="1">
      <c r="A3386" s="20">
        <v>461</v>
      </c>
      <c r="B3386" s="20" t="s">
        <v>4351</v>
      </c>
      <c r="C3386" s="19">
        <v>40</v>
      </c>
      <c r="D3386" s="31" t="s">
        <v>7875</v>
      </c>
      <c r="E3386" s="19" t="str">
        <f>VLOOKUP(D3386,'لیست پرسنل'!$B$2:$E$1020,3,FALSE)</f>
        <v>فکورصنعت</v>
      </c>
      <c r="F3386" s="19" t="str">
        <f>VLOOKUP(D3386,'لیست پرسنل'!$B$2:$E$1020,4,FALSE)</f>
        <v>نظارت مکانیک</v>
      </c>
      <c r="G3386" s="127">
        <f>VLOOKUP(D3386,'لیست پرسنل'!$B$2:$F$1020,2,FALSE)</f>
        <v>4031209</v>
      </c>
      <c r="H3386" s="127" t="s">
        <v>4071</v>
      </c>
      <c r="I3386" s="126" t="s">
        <v>6691</v>
      </c>
      <c r="J3386" s="128" t="s">
        <v>2686</v>
      </c>
      <c r="K3386" s="128" t="s">
        <v>2922</v>
      </c>
      <c r="L3386" s="128" t="s">
        <v>3111</v>
      </c>
      <c r="M3386" s="142">
        <v>626595</v>
      </c>
      <c r="N3386" s="108"/>
      <c r="O3386" s="69" t="s">
        <v>6688</v>
      </c>
      <c r="P3386" s="20"/>
      <c r="Q3386" s="20"/>
    </row>
    <row r="3387" spans="1:17" ht="24.9" customHeight="1">
      <c r="A3387" s="20">
        <v>461</v>
      </c>
      <c r="B3387" s="20" t="s">
        <v>4351</v>
      </c>
      <c r="C3387" s="19">
        <v>42</v>
      </c>
      <c r="D3387" s="31" t="s">
        <v>3742</v>
      </c>
      <c r="E3387" s="19" t="str">
        <f>VLOOKUP(D3387,'لیست پرسنل'!$B$2:$E$1020,3,FALSE)</f>
        <v>فکورصنعت</v>
      </c>
      <c r="F3387" s="19" t="str">
        <f>VLOOKUP(D3387,'لیست پرسنل'!$B$2:$E$1020,4,FALSE)</f>
        <v>برق</v>
      </c>
      <c r="G3387" s="127">
        <f>VLOOKUP(D3387,'لیست پرسنل'!$B$2:$F$1020,2,FALSE)</f>
        <v>808</v>
      </c>
      <c r="H3387" s="127" t="s">
        <v>4071</v>
      </c>
      <c r="I3387" s="126" t="s">
        <v>6690</v>
      </c>
      <c r="J3387" s="128" t="s">
        <v>737</v>
      </c>
      <c r="K3387" s="132" t="s">
        <v>3751</v>
      </c>
      <c r="L3387" s="127" t="s">
        <v>59</v>
      </c>
      <c r="M3387" s="127">
        <v>603485</v>
      </c>
      <c r="N3387" s="109"/>
      <c r="O3387" s="19" t="s">
        <v>5024</v>
      </c>
      <c r="P3387" s="20"/>
      <c r="Q3387" s="20"/>
    </row>
    <row r="3388" spans="1:17" ht="24.9" customHeight="1">
      <c r="A3388" s="20">
        <v>461</v>
      </c>
      <c r="B3388" s="20" t="s">
        <v>4351</v>
      </c>
      <c r="C3388" s="19">
        <v>42</v>
      </c>
      <c r="D3388" s="31" t="s">
        <v>3742</v>
      </c>
      <c r="E3388" s="19" t="str">
        <f>VLOOKUP(D3388,'لیست پرسنل'!$B$2:$E$1020,3,FALSE)</f>
        <v>فکورصنعت</v>
      </c>
      <c r="F3388" s="19" t="str">
        <f>VLOOKUP(D3388,'لیست پرسنل'!$B$2:$E$1020,4,FALSE)</f>
        <v>برق</v>
      </c>
      <c r="G3388" s="127">
        <f>VLOOKUP(D3388,'لیست پرسنل'!$B$2:$F$1020,2,FALSE)</f>
        <v>808</v>
      </c>
      <c r="H3388" s="127" t="s">
        <v>4071</v>
      </c>
      <c r="I3388" s="126" t="s">
        <v>6690</v>
      </c>
      <c r="J3388" s="126" t="s">
        <v>368</v>
      </c>
      <c r="K3388" s="128" t="s">
        <v>2846</v>
      </c>
      <c r="L3388" s="150" t="s">
        <v>1494</v>
      </c>
      <c r="M3388" s="127">
        <v>625118</v>
      </c>
      <c r="N3388" s="109"/>
      <c r="O3388" s="19"/>
      <c r="P3388" s="20"/>
      <c r="Q3388" s="20"/>
    </row>
    <row r="3389" spans="1:17" ht="24.9" customHeight="1">
      <c r="A3389" s="20">
        <v>461</v>
      </c>
      <c r="B3389" s="20" t="s">
        <v>4351</v>
      </c>
      <c r="C3389" s="19">
        <v>42</v>
      </c>
      <c r="D3389" s="31" t="s">
        <v>3742</v>
      </c>
      <c r="E3389" s="19" t="str">
        <f>VLOOKUP(D3389,'لیست پرسنل'!$B$2:$E$1020,3,FALSE)</f>
        <v>فکورصنعت</v>
      </c>
      <c r="F3389" s="19" t="str">
        <f>VLOOKUP(D3389,'لیست پرسنل'!$B$2:$E$1020,4,FALSE)</f>
        <v>برق</v>
      </c>
      <c r="G3389" s="127">
        <f>VLOOKUP(D3389,'لیست پرسنل'!$B$2:$F$1020,2,FALSE)</f>
        <v>808</v>
      </c>
      <c r="H3389" s="127" t="s">
        <v>4071</v>
      </c>
      <c r="I3389" s="126" t="s">
        <v>6690</v>
      </c>
      <c r="J3389" s="128" t="s">
        <v>571</v>
      </c>
      <c r="K3389" s="128"/>
      <c r="L3389" s="127"/>
      <c r="M3389" s="127">
        <v>633646</v>
      </c>
      <c r="N3389" s="109"/>
      <c r="O3389" s="19" t="s">
        <v>6307</v>
      </c>
      <c r="P3389" s="32"/>
      <c r="Q3389" s="32"/>
    </row>
    <row r="3390" spans="1:17" ht="24.9" customHeight="1">
      <c r="A3390" s="20">
        <v>461</v>
      </c>
      <c r="B3390" s="20" t="s">
        <v>4351</v>
      </c>
      <c r="C3390" s="19">
        <v>42</v>
      </c>
      <c r="D3390" s="31" t="s">
        <v>3742</v>
      </c>
      <c r="E3390" s="19" t="str">
        <f>VLOOKUP(D3390,'لیست پرسنل'!$B$2:$E$1020,3,FALSE)</f>
        <v>فکورصنعت</v>
      </c>
      <c r="F3390" s="19" t="str">
        <f>VLOOKUP(D3390,'لیست پرسنل'!$B$2:$E$1020,4,FALSE)</f>
        <v>برق</v>
      </c>
      <c r="G3390" s="127">
        <f>VLOOKUP(D3390,'لیست پرسنل'!$B$2:$F$1020,2,FALSE)</f>
        <v>808</v>
      </c>
      <c r="H3390" s="127" t="s">
        <v>4071</v>
      </c>
      <c r="I3390" s="126" t="s">
        <v>6690</v>
      </c>
      <c r="J3390" s="128" t="s">
        <v>2686</v>
      </c>
      <c r="K3390" s="128" t="s">
        <v>2922</v>
      </c>
      <c r="L3390" s="128" t="s">
        <v>2936</v>
      </c>
      <c r="M3390" s="128">
        <v>626413</v>
      </c>
      <c r="N3390" s="108"/>
      <c r="O3390" s="19" t="s">
        <v>705</v>
      </c>
      <c r="P3390" s="20"/>
      <c r="Q3390" s="20"/>
    </row>
    <row r="3391" spans="1:17" ht="24.9" customHeight="1">
      <c r="A3391" s="20">
        <v>461</v>
      </c>
      <c r="B3391" s="20" t="s">
        <v>4351</v>
      </c>
      <c r="C3391" s="20">
        <v>43</v>
      </c>
      <c r="D3391" s="19" t="s">
        <v>4603</v>
      </c>
      <c r="E3391" s="19" t="str">
        <f>VLOOKUP(D3391,'لیست پرسنل'!$B$2:$E$1020,3,FALSE)</f>
        <v>فکورصنعت</v>
      </c>
      <c r="F3391" s="19" t="str">
        <f>VLOOKUP(D3391,'لیست پرسنل'!$B$2:$E$1020,4,FALSE)</f>
        <v>سیویل</v>
      </c>
      <c r="G3391" s="127">
        <f>VLOOKUP(D3391,'لیست پرسنل'!$B$2:$F$1020,2,FALSE)</f>
        <v>1770</v>
      </c>
      <c r="H3391" s="181" t="s">
        <v>4071</v>
      </c>
      <c r="I3391" s="159" t="s">
        <v>6695</v>
      </c>
      <c r="J3391" s="128" t="s">
        <v>368</v>
      </c>
      <c r="K3391" s="128" t="s">
        <v>2846</v>
      </c>
      <c r="L3391" s="128" t="s">
        <v>2908</v>
      </c>
      <c r="M3391" s="127">
        <v>633752</v>
      </c>
      <c r="N3391" s="109"/>
      <c r="O3391" s="19" t="s">
        <v>6407</v>
      </c>
      <c r="P3391" s="32"/>
      <c r="Q3391" s="32"/>
    </row>
    <row r="3392" spans="1:17" ht="24.9" customHeight="1">
      <c r="A3392" s="20">
        <v>461</v>
      </c>
      <c r="B3392" s="20" t="s">
        <v>4351</v>
      </c>
      <c r="C3392" s="20">
        <v>43</v>
      </c>
      <c r="D3392" s="19" t="s">
        <v>4603</v>
      </c>
      <c r="E3392" s="19" t="str">
        <f>VLOOKUP(D3392,'لیست پرسنل'!$B$2:$E$1020,3,FALSE)</f>
        <v>فکورصنعت</v>
      </c>
      <c r="F3392" s="19" t="str">
        <f>VLOOKUP(D3392,'لیست پرسنل'!$B$2:$E$1020,4,FALSE)</f>
        <v>سیویل</v>
      </c>
      <c r="G3392" s="127">
        <f>VLOOKUP(D3392,'لیست پرسنل'!$B$2:$F$1020,2,FALSE)</f>
        <v>1770</v>
      </c>
      <c r="H3392" s="181" t="s">
        <v>4071</v>
      </c>
      <c r="I3392" s="159" t="s">
        <v>6695</v>
      </c>
      <c r="J3392" s="159" t="s">
        <v>571</v>
      </c>
      <c r="K3392" s="159"/>
      <c r="L3392" s="151"/>
      <c r="M3392" s="127">
        <v>624109</v>
      </c>
      <c r="N3392" s="109"/>
      <c r="O3392" s="19"/>
      <c r="P3392" s="20"/>
      <c r="Q3392" s="20"/>
    </row>
    <row r="3393" spans="1:17" ht="24.9" customHeight="1">
      <c r="A3393" s="20">
        <v>461</v>
      </c>
      <c r="B3393" s="20" t="s">
        <v>4351</v>
      </c>
      <c r="C3393" s="20">
        <v>43</v>
      </c>
      <c r="D3393" s="19" t="s">
        <v>4603</v>
      </c>
      <c r="E3393" s="19" t="str">
        <f>VLOOKUP(D3393,'لیست پرسنل'!$B$2:$E$1020,3,FALSE)</f>
        <v>فکورصنعت</v>
      </c>
      <c r="F3393" s="19" t="str">
        <f>VLOOKUP(D3393,'لیست پرسنل'!$B$2:$E$1020,4,FALSE)</f>
        <v>سیویل</v>
      </c>
      <c r="G3393" s="127">
        <f>VLOOKUP(D3393,'لیست پرسنل'!$B$2:$F$1020,2,FALSE)</f>
        <v>1770</v>
      </c>
      <c r="H3393" s="181" t="s">
        <v>4071</v>
      </c>
      <c r="I3393" s="159" t="s">
        <v>6695</v>
      </c>
      <c r="J3393" s="128" t="s">
        <v>2686</v>
      </c>
      <c r="K3393" s="128" t="s">
        <v>332</v>
      </c>
      <c r="L3393" s="151" t="s">
        <v>1881</v>
      </c>
      <c r="M3393" s="128">
        <v>603561</v>
      </c>
      <c r="N3393" s="108"/>
      <c r="O3393" s="20"/>
      <c r="P3393" s="20"/>
      <c r="Q3393" s="20"/>
    </row>
    <row r="3394" spans="1:17" ht="24.9" customHeight="1">
      <c r="A3394" s="20">
        <v>461</v>
      </c>
      <c r="B3394" s="20" t="s">
        <v>4351</v>
      </c>
      <c r="C3394" s="20">
        <v>44</v>
      </c>
      <c r="D3394" s="20" t="s">
        <v>6895</v>
      </c>
      <c r="E3394" s="19" t="str">
        <f>VLOOKUP(D3394,'لیست پرسنل'!$B$2:$E$1020,3,FALSE)</f>
        <v>آهن مهام</v>
      </c>
      <c r="F3394" s="19" t="str">
        <f>VLOOKUP(D3394,'لیست پرسنل'!$B$2:$E$1020,4,FALSE)</f>
        <v>سیویل</v>
      </c>
      <c r="G3394" s="127" t="str">
        <f>VLOOKUP(D3394,'لیست پرسنل'!$B$2:$F$1020,2,FALSE)</f>
        <v>0</v>
      </c>
      <c r="H3394" s="128" t="s">
        <v>4071</v>
      </c>
      <c r="I3394" s="128" t="s">
        <v>6896</v>
      </c>
      <c r="J3394" s="128" t="s">
        <v>571</v>
      </c>
      <c r="K3394" s="128" t="s">
        <v>4771</v>
      </c>
      <c r="L3394" s="128"/>
      <c r="M3394" s="127">
        <v>633670</v>
      </c>
      <c r="N3394" s="109" t="s">
        <v>3982</v>
      </c>
      <c r="O3394" s="19" t="s">
        <v>6328</v>
      </c>
      <c r="P3394" s="32"/>
      <c r="Q3394" s="32"/>
    </row>
    <row r="3395" spans="1:17" ht="24.9" customHeight="1">
      <c r="A3395" s="20">
        <v>461</v>
      </c>
      <c r="B3395" s="20" t="s">
        <v>4351</v>
      </c>
      <c r="C3395" s="20">
        <v>44</v>
      </c>
      <c r="D3395" s="20" t="s">
        <v>6895</v>
      </c>
      <c r="E3395" s="19" t="str">
        <f>VLOOKUP(D3395,'لیست پرسنل'!$B$2:$E$1020,3,FALSE)</f>
        <v>آهن مهام</v>
      </c>
      <c r="F3395" s="19" t="str">
        <f>VLOOKUP(D3395,'لیست پرسنل'!$B$2:$E$1020,4,FALSE)</f>
        <v>سیویل</v>
      </c>
      <c r="G3395" s="127" t="str">
        <f>VLOOKUP(D3395,'لیست پرسنل'!$B$2:$F$1020,2,FALSE)</f>
        <v>0</v>
      </c>
      <c r="H3395" s="130" t="s">
        <v>4071</v>
      </c>
      <c r="I3395" s="128" t="s">
        <v>8133</v>
      </c>
      <c r="J3395" s="128" t="s">
        <v>2686</v>
      </c>
      <c r="K3395" s="128" t="s">
        <v>2922</v>
      </c>
      <c r="L3395" s="127" t="s">
        <v>3008</v>
      </c>
      <c r="M3395" s="127">
        <v>626491</v>
      </c>
      <c r="N3395" s="109" t="s">
        <v>3982</v>
      </c>
      <c r="O3395" s="20" t="s">
        <v>705</v>
      </c>
      <c r="P3395" s="20"/>
      <c r="Q3395" s="20"/>
    </row>
    <row r="3396" spans="1:17" ht="24.9" customHeight="1">
      <c r="A3396" s="20">
        <v>461</v>
      </c>
      <c r="B3396" s="20" t="s">
        <v>4351</v>
      </c>
      <c r="C3396" s="20">
        <v>45</v>
      </c>
      <c r="D3396" s="20" t="s">
        <v>3551</v>
      </c>
      <c r="E3396" s="19" t="str">
        <f>VLOOKUP(D3396,'لیست پرسنل'!$B$2:$E$1020,3,FALSE)</f>
        <v>فکورصنعت</v>
      </c>
      <c r="F3396" s="19" t="str">
        <f>VLOOKUP(D3396,'لیست پرسنل'!$B$2:$E$1020,4,FALSE)</f>
        <v>برق</v>
      </c>
      <c r="G3396" s="127">
        <f>VLOOKUP(D3396,'لیست پرسنل'!$B$2:$F$1020,2,FALSE)</f>
        <v>1940</v>
      </c>
      <c r="H3396" s="128" t="s">
        <v>4071</v>
      </c>
      <c r="I3396" s="128" t="s">
        <v>6897</v>
      </c>
      <c r="J3396" s="128" t="s">
        <v>368</v>
      </c>
      <c r="K3396" s="128" t="s">
        <v>1373</v>
      </c>
      <c r="L3396" s="128" t="s">
        <v>1374</v>
      </c>
      <c r="M3396" s="128">
        <v>626001</v>
      </c>
      <c r="N3396" s="108"/>
      <c r="O3396" s="20"/>
      <c r="P3396" s="20"/>
      <c r="Q3396" s="20"/>
    </row>
    <row r="3397" spans="1:17" ht="24.9" customHeight="1">
      <c r="A3397" s="20">
        <v>461</v>
      </c>
      <c r="B3397" s="20" t="s">
        <v>4351</v>
      </c>
      <c r="C3397" s="20">
        <v>45</v>
      </c>
      <c r="D3397" s="20" t="s">
        <v>3551</v>
      </c>
      <c r="E3397" s="19" t="str">
        <f>VLOOKUP(D3397,'لیست پرسنل'!$B$2:$E$1020,3,FALSE)</f>
        <v>فکورصنعت</v>
      </c>
      <c r="F3397" s="19" t="str">
        <f>VLOOKUP(D3397,'لیست پرسنل'!$B$2:$E$1020,4,FALSE)</f>
        <v>برق</v>
      </c>
      <c r="G3397" s="127">
        <f>VLOOKUP(D3397,'لیست پرسنل'!$B$2:$F$1020,2,FALSE)</f>
        <v>1940</v>
      </c>
      <c r="H3397" s="128" t="s">
        <v>4071</v>
      </c>
      <c r="I3397" s="128" t="s">
        <v>6897</v>
      </c>
      <c r="J3397" s="128" t="s">
        <v>571</v>
      </c>
      <c r="K3397" s="128" t="s">
        <v>4771</v>
      </c>
      <c r="L3397" s="128"/>
      <c r="M3397" s="127">
        <v>633661</v>
      </c>
      <c r="N3397" s="109"/>
      <c r="O3397" s="19" t="s">
        <v>6319</v>
      </c>
      <c r="P3397" s="32"/>
      <c r="Q3397" s="32"/>
    </row>
    <row r="3398" spans="1:17" ht="24.9" customHeight="1">
      <c r="A3398" s="20">
        <v>461</v>
      </c>
      <c r="B3398" s="20" t="s">
        <v>4351</v>
      </c>
      <c r="C3398" s="20">
        <v>45</v>
      </c>
      <c r="D3398" s="20" t="s">
        <v>3551</v>
      </c>
      <c r="E3398" s="19" t="str">
        <f>VLOOKUP(D3398,'لیست پرسنل'!$B$2:$E$1020,3,FALSE)</f>
        <v>فکورصنعت</v>
      </c>
      <c r="F3398" s="19" t="str">
        <f>VLOOKUP(D3398,'لیست پرسنل'!$B$2:$E$1020,4,FALSE)</f>
        <v>برق</v>
      </c>
      <c r="G3398" s="127">
        <f>VLOOKUP(D3398,'لیست پرسنل'!$B$2:$F$1020,2,FALSE)</f>
        <v>1940</v>
      </c>
      <c r="H3398" s="128" t="s">
        <v>4071</v>
      </c>
      <c r="I3398" s="128" t="s">
        <v>6897</v>
      </c>
      <c r="J3398" s="128" t="s">
        <v>5618</v>
      </c>
      <c r="K3398" s="128" t="s">
        <v>7204</v>
      </c>
      <c r="L3398" s="127" t="s">
        <v>7208</v>
      </c>
      <c r="M3398" s="127">
        <v>635883</v>
      </c>
      <c r="N3398" s="109"/>
      <c r="O3398" s="19"/>
      <c r="P3398" s="32"/>
      <c r="Q3398" s="32"/>
    </row>
    <row r="3399" spans="1:17" ht="24.9" customHeight="1">
      <c r="A3399" s="185">
        <v>461</v>
      </c>
      <c r="B3399" s="185" t="s">
        <v>4351</v>
      </c>
      <c r="C3399" s="185">
        <v>46</v>
      </c>
      <c r="D3399" s="67" t="s">
        <v>7911</v>
      </c>
      <c r="E3399" s="186" t="str">
        <f>VLOOKUP(D3399,'لیست پرسنل'!$B$2:$E$1020,3,FALSE)</f>
        <v>آهن مهام</v>
      </c>
      <c r="F3399" s="186" t="str">
        <f>VLOOKUP(D3399,'لیست پرسنل'!$B$2:$E$1020,4,FALSE)</f>
        <v>مکانیک</v>
      </c>
      <c r="G3399" s="187">
        <f>VLOOKUP(D3399,'لیست پرسنل'!$B$2:$F$1020,2,FALSE)</f>
        <v>20996</v>
      </c>
      <c r="H3399" s="188" t="s">
        <v>4071</v>
      </c>
      <c r="I3399" s="194" t="s">
        <v>7113</v>
      </c>
      <c r="J3399" s="188" t="s">
        <v>368</v>
      </c>
      <c r="K3399" s="188" t="s">
        <v>2846</v>
      </c>
      <c r="L3399" s="188" t="s">
        <v>4750</v>
      </c>
      <c r="M3399" s="190">
        <v>633734</v>
      </c>
      <c r="N3399" s="189"/>
      <c r="O3399" s="186" t="s">
        <v>6386</v>
      </c>
      <c r="P3399" s="196"/>
      <c r="Q3399" s="196"/>
    </row>
    <row r="3400" spans="1:17" ht="24.9" customHeight="1">
      <c r="A3400" s="20">
        <v>461</v>
      </c>
      <c r="B3400" s="20" t="s">
        <v>4351</v>
      </c>
      <c r="C3400" s="20">
        <v>46</v>
      </c>
      <c r="D3400" s="20" t="s">
        <v>7911</v>
      </c>
      <c r="E3400" s="19" t="str">
        <f>VLOOKUP(D3400,'لیست پرسنل'!$B$2:$E$1020,3,FALSE)</f>
        <v>آهن مهام</v>
      </c>
      <c r="F3400" s="19" t="str">
        <f>VLOOKUP(D3400,'لیست پرسنل'!$B$2:$E$1020,4,FALSE)</f>
        <v>مکانیک</v>
      </c>
      <c r="G3400" s="127">
        <f>VLOOKUP(D3400,'لیست پرسنل'!$B$2:$F$1020,2,FALSE)</f>
        <v>20996</v>
      </c>
      <c r="H3400" s="128" t="s">
        <v>4071</v>
      </c>
      <c r="I3400" s="128" t="s">
        <v>7113</v>
      </c>
      <c r="J3400" s="128" t="s">
        <v>571</v>
      </c>
      <c r="K3400" s="128" t="s">
        <v>5768</v>
      </c>
      <c r="L3400" s="128"/>
      <c r="M3400" s="126">
        <v>632129</v>
      </c>
      <c r="N3400" s="111"/>
      <c r="O3400" s="28"/>
      <c r="P3400" s="28"/>
      <c r="Q3400" s="28"/>
    </row>
    <row r="3401" spans="1:17" ht="24.9" customHeight="1">
      <c r="A3401" s="20">
        <v>461</v>
      </c>
      <c r="B3401" s="20" t="s">
        <v>4351</v>
      </c>
      <c r="C3401" s="20">
        <v>46</v>
      </c>
      <c r="D3401" s="20" t="s">
        <v>7911</v>
      </c>
      <c r="E3401" s="19" t="str">
        <f>VLOOKUP(D3401,'لیست پرسنل'!$B$2:$E$1020,3,FALSE)</f>
        <v>آهن مهام</v>
      </c>
      <c r="F3401" s="19" t="str">
        <f>VLOOKUP(D3401,'لیست پرسنل'!$B$2:$E$1020,4,FALSE)</f>
        <v>مکانیک</v>
      </c>
      <c r="G3401" s="127">
        <f>VLOOKUP(D3401,'لیست پرسنل'!$B$2:$F$1020,2,FALSE)</f>
        <v>20996</v>
      </c>
      <c r="H3401" s="128" t="s">
        <v>4071</v>
      </c>
      <c r="I3401" s="128" t="s">
        <v>7113</v>
      </c>
      <c r="J3401" s="128" t="s">
        <v>2686</v>
      </c>
      <c r="K3401" s="128" t="s">
        <v>332</v>
      </c>
      <c r="L3401" s="150" t="s">
        <v>6784</v>
      </c>
      <c r="M3401" s="128">
        <v>605439</v>
      </c>
      <c r="N3401" s="108"/>
      <c r="O3401" s="20" t="s">
        <v>4380</v>
      </c>
      <c r="P3401" s="20"/>
      <c r="Q3401" s="20"/>
    </row>
    <row r="3402" spans="1:17" ht="24.9" customHeight="1">
      <c r="A3402" s="185">
        <v>461</v>
      </c>
      <c r="B3402" s="185" t="s">
        <v>4351</v>
      </c>
      <c r="C3402" s="185">
        <v>47</v>
      </c>
      <c r="D3402" s="67" t="s">
        <v>7119</v>
      </c>
      <c r="E3402" s="186" t="str">
        <f>VLOOKUP(D3402,'لیست پرسنل'!$B$2:$E$1020,3,FALSE)</f>
        <v>آهن مهام</v>
      </c>
      <c r="F3402" s="186" t="str">
        <f>VLOOKUP(D3402,'لیست پرسنل'!$B$2:$E$1020,4,FALSE)</f>
        <v>نظارت مکانیک</v>
      </c>
      <c r="G3402" s="187" t="str">
        <f>VLOOKUP(D3402,'لیست پرسنل'!$B$2:$F$1020,2,FALSE)</f>
        <v>20882</v>
      </c>
      <c r="H3402" s="188" t="s">
        <v>4071</v>
      </c>
      <c r="I3402" s="194" t="s">
        <v>7118</v>
      </c>
      <c r="J3402" s="188" t="s">
        <v>368</v>
      </c>
      <c r="K3402" s="188" t="s">
        <v>2846</v>
      </c>
      <c r="L3402" s="188" t="s">
        <v>4843</v>
      </c>
      <c r="M3402" s="190">
        <v>633730</v>
      </c>
      <c r="N3402" s="189"/>
      <c r="O3402" s="186" t="s">
        <v>6375</v>
      </c>
      <c r="P3402" s="196"/>
      <c r="Q3402" s="196"/>
    </row>
    <row r="3403" spans="1:17" ht="24.9" customHeight="1">
      <c r="A3403" s="20">
        <v>461</v>
      </c>
      <c r="B3403" s="20" t="s">
        <v>4351</v>
      </c>
      <c r="C3403" s="20">
        <v>47</v>
      </c>
      <c r="D3403" s="20" t="s">
        <v>7119</v>
      </c>
      <c r="E3403" s="19" t="str">
        <f>VLOOKUP(D3403,'لیست پرسنل'!$B$2:$E$1020,3,FALSE)</f>
        <v>آهن مهام</v>
      </c>
      <c r="F3403" s="19" t="str">
        <f>VLOOKUP(D3403,'لیست پرسنل'!$B$2:$E$1020,4,FALSE)</f>
        <v>نظارت مکانیک</v>
      </c>
      <c r="G3403" s="127" t="str">
        <f>VLOOKUP(D3403,'لیست پرسنل'!$B$2:$F$1020,2,FALSE)</f>
        <v>20882</v>
      </c>
      <c r="H3403" s="128" t="s">
        <v>4071</v>
      </c>
      <c r="I3403" s="128" t="s">
        <v>7118</v>
      </c>
      <c r="J3403" s="141" t="s">
        <v>571</v>
      </c>
      <c r="K3403" s="128" t="s">
        <v>6045</v>
      </c>
      <c r="L3403" s="134"/>
      <c r="M3403" s="127">
        <v>632748</v>
      </c>
      <c r="N3403" s="108"/>
      <c r="O3403" s="20"/>
      <c r="P3403" s="20"/>
      <c r="Q3403" s="20"/>
    </row>
    <row r="3404" spans="1:17" ht="24.9" customHeight="1">
      <c r="A3404" s="20">
        <v>461</v>
      </c>
      <c r="B3404" s="20" t="s">
        <v>4351</v>
      </c>
      <c r="C3404" s="20">
        <v>47</v>
      </c>
      <c r="D3404" s="20" t="s">
        <v>7119</v>
      </c>
      <c r="E3404" s="19" t="str">
        <f>VLOOKUP(D3404,'لیست پرسنل'!$B$2:$E$1020,3,FALSE)</f>
        <v>آهن مهام</v>
      </c>
      <c r="F3404" s="19" t="str">
        <f>VLOOKUP(D3404,'لیست پرسنل'!$B$2:$E$1020,4,FALSE)</f>
        <v>نظارت مکانیک</v>
      </c>
      <c r="G3404" s="127" t="str">
        <f>VLOOKUP(D3404,'لیست پرسنل'!$B$2:$F$1020,2,FALSE)</f>
        <v>20882</v>
      </c>
      <c r="H3404" s="128" t="s">
        <v>4071</v>
      </c>
      <c r="I3404" s="128" t="s">
        <v>7118</v>
      </c>
      <c r="J3404" s="128" t="s">
        <v>2686</v>
      </c>
      <c r="K3404" s="128" t="s">
        <v>890</v>
      </c>
      <c r="L3404" s="127" t="s">
        <v>1355</v>
      </c>
      <c r="M3404" s="127">
        <v>633613</v>
      </c>
      <c r="N3404" s="109"/>
      <c r="O3404" s="19" t="s">
        <v>6274</v>
      </c>
      <c r="P3404" s="32"/>
      <c r="Q3404" s="32"/>
    </row>
    <row r="3405" spans="1:17" ht="24.9" customHeight="1">
      <c r="A3405" s="20">
        <v>461</v>
      </c>
      <c r="B3405" s="20" t="s">
        <v>4351</v>
      </c>
      <c r="C3405" s="19">
        <v>48</v>
      </c>
      <c r="D3405" s="19" t="s">
        <v>7500</v>
      </c>
      <c r="E3405" s="19" t="str">
        <f>VLOOKUP(D3405,'لیست پرسنل'!$B$2:$E$1020,3,FALSE)</f>
        <v>فکورصنعت</v>
      </c>
      <c r="F3405" s="19" t="str">
        <f>VLOOKUP(D3405,'لیست پرسنل'!$B$2:$E$1020,4,FALSE)</f>
        <v>مکانیک</v>
      </c>
      <c r="G3405" s="127">
        <f>VLOOKUP(D3405,'لیست پرسنل'!$B$2:$F$1020,2,FALSE)</f>
        <v>4031009</v>
      </c>
      <c r="H3405" s="128" t="s">
        <v>4071</v>
      </c>
      <c r="I3405" s="128" t="s">
        <v>7499</v>
      </c>
      <c r="J3405" s="128" t="s">
        <v>368</v>
      </c>
      <c r="K3405" s="128" t="s">
        <v>2846</v>
      </c>
      <c r="L3405" s="128" t="s">
        <v>4755</v>
      </c>
      <c r="M3405" s="127">
        <v>633754</v>
      </c>
      <c r="N3405" s="109"/>
      <c r="O3405" s="19" t="s">
        <v>6376</v>
      </c>
      <c r="P3405" s="32"/>
      <c r="Q3405" s="32"/>
    </row>
    <row r="3406" spans="1:17" ht="24.9" customHeight="1">
      <c r="A3406" s="20">
        <v>461</v>
      </c>
      <c r="B3406" s="20" t="s">
        <v>4351</v>
      </c>
      <c r="C3406" s="19">
        <v>48</v>
      </c>
      <c r="D3406" s="19" t="s">
        <v>7500</v>
      </c>
      <c r="E3406" s="19" t="str">
        <f>VLOOKUP(D3406,'لیست پرسنل'!$B$2:$E$1020,3,FALSE)</f>
        <v>فکورصنعت</v>
      </c>
      <c r="F3406" s="19" t="str">
        <f>VLOOKUP(D3406,'لیست پرسنل'!$B$2:$E$1020,4,FALSE)</f>
        <v>مکانیک</v>
      </c>
      <c r="G3406" s="127">
        <f>VLOOKUP(D3406,'لیست پرسنل'!$B$2:$F$1020,2,FALSE)</f>
        <v>4031009</v>
      </c>
      <c r="H3406" s="128" t="s">
        <v>4071</v>
      </c>
      <c r="I3406" s="128" t="s">
        <v>7499</v>
      </c>
      <c r="J3406" s="128" t="s">
        <v>571</v>
      </c>
      <c r="K3406" s="128"/>
      <c r="L3406" s="151"/>
      <c r="M3406" s="128">
        <v>628130</v>
      </c>
      <c r="N3406" s="108"/>
      <c r="O3406" s="20"/>
      <c r="P3406" s="20"/>
      <c r="Q3406" s="20"/>
    </row>
    <row r="3407" spans="1:17" ht="24.9" customHeight="1">
      <c r="A3407" s="20">
        <v>461</v>
      </c>
      <c r="B3407" s="20" t="s">
        <v>4351</v>
      </c>
      <c r="C3407" s="19">
        <v>48</v>
      </c>
      <c r="D3407" s="19" t="s">
        <v>7500</v>
      </c>
      <c r="E3407" s="19" t="str">
        <f>VLOOKUP(D3407,'لیست پرسنل'!$B$2:$E$1020,3,FALSE)</f>
        <v>فکورصنعت</v>
      </c>
      <c r="F3407" s="19" t="str">
        <f>VLOOKUP(D3407,'لیست پرسنل'!$B$2:$E$1020,4,FALSE)</f>
        <v>مکانیک</v>
      </c>
      <c r="G3407" s="127">
        <f>VLOOKUP(D3407,'لیست پرسنل'!$B$2:$F$1020,2,FALSE)</f>
        <v>4031009</v>
      </c>
      <c r="H3407" s="128" t="s">
        <v>4071</v>
      </c>
      <c r="I3407" s="128" t="s">
        <v>7499</v>
      </c>
      <c r="J3407" s="128" t="s">
        <v>2686</v>
      </c>
      <c r="K3407" s="128" t="s">
        <v>2143</v>
      </c>
      <c r="L3407" s="128" t="s">
        <v>2225</v>
      </c>
      <c r="M3407" s="127">
        <v>628616</v>
      </c>
      <c r="N3407" s="108"/>
      <c r="O3407" s="20" t="s">
        <v>705</v>
      </c>
      <c r="P3407" s="20"/>
      <c r="Q3407" s="20"/>
    </row>
    <row r="3408" spans="1:17" ht="24.9" customHeight="1">
      <c r="A3408" s="20">
        <v>461</v>
      </c>
      <c r="B3408" s="20" t="s">
        <v>4351</v>
      </c>
      <c r="C3408" s="20">
        <v>49</v>
      </c>
      <c r="D3408" s="20" t="s">
        <v>7580</v>
      </c>
      <c r="E3408" s="19" t="str">
        <f>VLOOKUP(D3408,'لیست پرسنل'!$B$2:$E$1020,3,FALSE)</f>
        <v>آهن مهام</v>
      </c>
      <c r="F3408" s="19" t="str">
        <f>VLOOKUP(D3408,'لیست پرسنل'!$B$2:$E$1020,4,FALSE)</f>
        <v>نظارت مکانیک</v>
      </c>
      <c r="G3408" s="127">
        <f>VLOOKUP(D3408,'لیست پرسنل'!$B$2:$F$1020,2,FALSE)</f>
        <v>20883</v>
      </c>
      <c r="H3408" s="128" t="s">
        <v>4071</v>
      </c>
      <c r="I3408" s="128" t="s">
        <v>7581</v>
      </c>
      <c r="J3408" s="128" t="s">
        <v>368</v>
      </c>
      <c r="K3408" s="128" t="s">
        <v>2846</v>
      </c>
      <c r="L3408" s="128" t="s">
        <v>2907</v>
      </c>
      <c r="M3408" s="127">
        <v>633751</v>
      </c>
      <c r="N3408" s="109"/>
      <c r="O3408" s="19" t="s">
        <v>6406</v>
      </c>
      <c r="P3408" s="32"/>
      <c r="Q3408" s="32"/>
    </row>
    <row r="3409" spans="1:17" ht="24.9" customHeight="1">
      <c r="A3409" s="20">
        <v>461</v>
      </c>
      <c r="B3409" s="20" t="s">
        <v>4351</v>
      </c>
      <c r="C3409" s="20">
        <v>49</v>
      </c>
      <c r="D3409" s="20" t="s">
        <v>7580</v>
      </c>
      <c r="E3409" s="19" t="str">
        <f>VLOOKUP(D3409,'لیست پرسنل'!$B$2:$E$1020,3,FALSE)</f>
        <v>آهن مهام</v>
      </c>
      <c r="F3409" s="19" t="str">
        <f>VLOOKUP(D3409,'لیست پرسنل'!$B$2:$E$1020,4,FALSE)</f>
        <v>نظارت مکانیک</v>
      </c>
      <c r="G3409" s="127">
        <f>VLOOKUP(D3409,'لیست پرسنل'!$B$2:$F$1020,2,FALSE)</f>
        <v>20883</v>
      </c>
      <c r="H3409" s="128" t="s">
        <v>4071</v>
      </c>
      <c r="I3409" s="128" t="s">
        <v>7581</v>
      </c>
      <c r="J3409" s="128" t="s">
        <v>571</v>
      </c>
      <c r="K3409" s="128" t="s">
        <v>7212</v>
      </c>
      <c r="L3409" s="127"/>
      <c r="M3409" s="127">
        <v>635099</v>
      </c>
      <c r="N3409" s="109"/>
      <c r="O3409" s="19"/>
      <c r="P3409" s="32"/>
      <c r="Q3409" s="32"/>
    </row>
    <row r="3410" spans="1:17" ht="24.9" customHeight="1">
      <c r="A3410" s="20">
        <v>461</v>
      </c>
      <c r="B3410" s="20" t="s">
        <v>4351</v>
      </c>
      <c r="C3410" s="20">
        <v>49</v>
      </c>
      <c r="D3410" s="20" t="s">
        <v>7580</v>
      </c>
      <c r="E3410" s="19" t="str">
        <f>VLOOKUP(D3410,'لیست پرسنل'!$B$2:$E$1020,3,FALSE)</f>
        <v>آهن مهام</v>
      </c>
      <c r="F3410" s="19" t="str">
        <f>VLOOKUP(D3410,'لیست پرسنل'!$B$2:$E$1020,4,FALSE)</f>
        <v>نظارت مکانیک</v>
      </c>
      <c r="G3410" s="127">
        <f>VLOOKUP(D3410,'لیست پرسنل'!$B$2:$F$1020,2,FALSE)</f>
        <v>20883</v>
      </c>
      <c r="H3410" s="128" t="s">
        <v>4071</v>
      </c>
      <c r="I3410" s="128" t="s">
        <v>7581</v>
      </c>
      <c r="J3410" s="128" t="s">
        <v>5618</v>
      </c>
      <c r="K3410" s="128" t="s">
        <v>7204</v>
      </c>
      <c r="L3410" s="127" t="s">
        <v>7211</v>
      </c>
      <c r="M3410" s="127">
        <v>635886</v>
      </c>
      <c r="N3410" s="109"/>
      <c r="O3410" s="19"/>
      <c r="P3410" s="32"/>
      <c r="Q3410" s="32"/>
    </row>
    <row r="3411" spans="1:17" ht="24.9" customHeight="1">
      <c r="A3411" s="20">
        <v>461</v>
      </c>
      <c r="B3411" s="20" t="s">
        <v>4351</v>
      </c>
      <c r="C3411" s="20">
        <v>50</v>
      </c>
      <c r="D3411" s="20" t="s">
        <v>7651</v>
      </c>
      <c r="E3411" s="19" t="str">
        <f>VLOOKUP(D3411,'لیست پرسنل'!$B$2:$E$1020,3,FALSE)</f>
        <v>آهن مهام</v>
      </c>
      <c r="F3411" s="19" t="str">
        <f>VLOOKUP(D3411,'لیست پرسنل'!$B$2:$E$1020,4,FALSE)</f>
        <v>انبار</v>
      </c>
      <c r="G3411" s="127">
        <f>VLOOKUP(D3411,'لیست پرسنل'!$B$2:$F$1020,2,FALSE)</f>
        <v>20540</v>
      </c>
      <c r="H3411" s="128" t="s">
        <v>4071</v>
      </c>
      <c r="I3411" s="128" t="s">
        <v>7650</v>
      </c>
      <c r="J3411" s="128" t="s">
        <v>571</v>
      </c>
      <c r="K3411" s="128" t="s">
        <v>7212</v>
      </c>
      <c r="L3411" s="127"/>
      <c r="M3411" s="127">
        <v>635094</v>
      </c>
      <c r="N3411" s="109"/>
      <c r="O3411" s="19"/>
      <c r="P3411" s="32"/>
      <c r="Q3411" s="32"/>
    </row>
    <row r="3412" spans="1:17" ht="24.9" customHeight="1">
      <c r="A3412" s="20">
        <v>461</v>
      </c>
      <c r="B3412" s="20" t="s">
        <v>4351</v>
      </c>
      <c r="C3412" s="20">
        <v>50</v>
      </c>
      <c r="D3412" s="20" t="s">
        <v>7651</v>
      </c>
      <c r="E3412" s="19" t="str">
        <f>VLOOKUP(D3412,'لیست پرسنل'!$B$2:$E$1020,3,FALSE)</f>
        <v>آهن مهام</v>
      </c>
      <c r="F3412" s="19" t="str">
        <f>VLOOKUP(D3412,'لیست پرسنل'!$B$2:$E$1020,4,FALSE)</f>
        <v>انبار</v>
      </c>
      <c r="G3412" s="127">
        <f>VLOOKUP(D3412,'لیست پرسنل'!$B$2:$F$1020,2,FALSE)</f>
        <v>20540</v>
      </c>
      <c r="H3412" s="128" t="s">
        <v>4071</v>
      </c>
      <c r="I3412" s="128" t="s">
        <v>7650</v>
      </c>
      <c r="J3412" s="128" t="s">
        <v>2686</v>
      </c>
      <c r="K3412" s="128" t="s">
        <v>522</v>
      </c>
      <c r="L3412" s="151" t="s">
        <v>1284</v>
      </c>
      <c r="M3412" s="128">
        <v>605350</v>
      </c>
      <c r="N3412" s="108"/>
      <c r="O3412" s="20"/>
      <c r="P3412" s="20"/>
      <c r="Q3412" s="20"/>
    </row>
    <row r="3413" spans="1:17" ht="24.9" customHeight="1">
      <c r="A3413" s="20">
        <v>461</v>
      </c>
      <c r="B3413" s="20" t="s">
        <v>4351</v>
      </c>
      <c r="C3413" s="20">
        <v>51</v>
      </c>
      <c r="D3413" s="20" t="s">
        <v>7693</v>
      </c>
      <c r="E3413" s="19" t="str">
        <f>VLOOKUP(D3413,'لیست پرسنل'!$B$2:$E$1020,3,FALSE)</f>
        <v>فکورصنعت</v>
      </c>
      <c r="F3413" s="19" t="str">
        <f>VLOOKUP(D3413,'لیست پرسنل'!$B$2:$E$1020,4,FALSE)</f>
        <v>پاپینگ</v>
      </c>
      <c r="G3413" s="127">
        <f>VLOOKUP(D3413,'لیست پرسنل'!$B$2:$F$1020,2,FALSE)</f>
        <v>4031210</v>
      </c>
      <c r="H3413" s="128" t="s">
        <v>4071</v>
      </c>
      <c r="I3413" s="128" t="s">
        <v>7694</v>
      </c>
      <c r="J3413" s="128" t="s">
        <v>368</v>
      </c>
      <c r="K3413" s="128" t="s">
        <v>2846</v>
      </c>
      <c r="L3413" s="128" t="s">
        <v>4762</v>
      </c>
      <c r="M3413" s="127">
        <v>633761</v>
      </c>
      <c r="N3413" s="109"/>
      <c r="O3413" s="19" t="s">
        <v>6389</v>
      </c>
      <c r="P3413" s="32"/>
      <c r="Q3413" s="32"/>
    </row>
    <row r="3414" spans="1:17" ht="24.9" customHeight="1">
      <c r="A3414" s="20">
        <v>461</v>
      </c>
      <c r="B3414" s="20" t="s">
        <v>4351</v>
      </c>
      <c r="C3414" s="20">
        <v>51</v>
      </c>
      <c r="D3414" s="20" t="s">
        <v>7693</v>
      </c>
      <c r="E3414" s="19" t="str">
        <f>VLOOKUP(D3414,'لیست پرسنل'!$B$2:$E$1020,3,FALSE)</f>
        <v>فکورصنعت</v>
      </c>
      <c r="F3414" s="19" t="str">
        <f>VLOOKUP(D3414,'لیست پرسنل'!$B$2:$E$1020,4,FALSE)</f>
        <v>پاپینگ</v>
      </c>
      <c r="G3414" s="127">
        <f>VLOOKUP(D3414,'لیست پرسنل'!$B$2:$F$1020,2,FALSE)</f>
        <v>4031210</v>
      </c>
      <c r="H3414" s="128" t="s">
        <v>4071</v>
      </c>
      <c r="I3414" s="128" t="s">
        <v>7694</v>
      </c>
      <c r="J3414" s="128" t="s">
        <v>571</v>
      </c>
      <c r="K3414" s="128" t="s">
        <v>7212</v>
      </c>
      <c r="L3414" s="127"/>
      <c r="M3414" s="127">
        <v>635096</v>
      </c>
      <c r="N3414" s="109"/>
      <c r="O3414" s="19"/>
      <c r="P3414" s="32"/>
      <c r="Q3414" s="32"/>
    </row>
    <row r="3415" spans="1:17" ht="24.75" customHeight="1">
      <c r="A3415" s="20">
        <v>461</v>
      </c>
      <c r="B3415" s="20" t="s">
        <v>4351</v>
      </c>
      <c r="C3415" s="20">
        <v>51</v>
      </c>
      <c r="D3415" s="20" t="s">
        <v>7693</v>
      </c>
      <c r="E3415" s="19" t="str">
        <f>VLOOKUP(D3415,'لیست پرسنل'!$B$2:$E$1020,3,FALSE)</f>
        <v>فکورصنعت</v>
      </c>
      <c r="F3415" s="19" t="str">
        <f>VLOOKUP(D3415,'لیست پرسنل'!$B$2:$E$1020,4,FALSE)</f>
        <v>پاپینگ</v>
      </c>
      <c r="G3415" s="127">
        <f>VLOOKUP(D3415,'لیست پرسنل'!$B$2:$F$1020,2,FALSE)</f>
        <v>4031210</v>
      </c>
      <c r="H3415" s="128" t="s">
        <v>4071</v>
      </c>
      <c r="I3415" s="128" t="s">
        <v>7694</v>
      </c>
      <c r="J3415" s="128" t="s">
        <v>5618</v>
      </c>
      <c r="K3415" s="128" t="s">
        <v>7204</v>
      </c>
      <c r="L3415" s="127" t="s">
        <v>7209</v>
      </c>
      <c r="M3415" s="127">
        <v>635884</v>
      </c>
      <c r="N3415" s="109"/>
      <c r="O3415" s="19"/>
      <c r="P3415" s="32"/>
      <c r="Q3415" s="32"/>
    </row>
    <row r="3416" spans="1:17" ht="24.9" customHeight="1">
      <c r="A3416" s="20">
        <v>461</v>
      </c>
      <c r="B3416" s="20" t="s">
        <v>4351</v>
      </c>
      <c r="C3416" s="20">
        <v>52</v>
      </c>
      <c r="D3416" s="20" t="s">
        <v>3740</v>
      </c>
      <c r="E3416" s="19" t="str">
        <f>VLOOKUP(D3416,'لیست پرسنل'!$B$2:$E$1020,3,FALSE)</f>
        <v>فکورصنعت</v>
      </c>
      <c r="F3416" s="19" t="str">
        <f>VLOOKUP(D3416,'لیست پرسنل'!$B$2:$E$1020,4,FALSE)</f>
        <v>نظارت مکانیک</v>
      </c>
      <c r="G3416" s="127">
        <f>VLOOKUP(D3416,'لیست پرسنل'!$B$2:$F$1020,2,FALSE)</f>
        <v>4000507</v>
      </c>
      <c r="H3416" s="126" t="s">
        <v>4071</v>
      </c>
      <c r="I3416" s="128" t="s">
        <v>7794</v>
      </c>
      <c r="J3416" s="126" t="s">
        <v>368</v>
      </c>
      <c r="K3416" s="128" t="s">
        <v>2846</v>
      </c>
      <c r="L3416" s="128" t="s">
        <v>2424</v>
      </c>
      <c r="M3416" s="128">
        <v>628831</v>
      </c>
      <c r="N3416" s="108"/>
      <c r="O3416" s="20"/>
      <c r="P3416" s="20"/>
      <c r="Q3416" s="20"/>
    </row>
    <row r="3417" spans="1:17" ht="24.9" customHeight="1">
      <c r="A3417" s="20">
        <v>461</v>
      </c>
      <c r="B3417" s="20" t="s">
        <v>4351</v>
      </c>
      <c r="C3417" s="20">
        <v>52</v>
      </c>
      <c r="D3417" s="20" t="s">
        <v>3740</v>
      </c>
      <c r="E3417" s="19" t="str">
        <f>VLOOKUP(D3417,'لیست پرسنل'!$B$2:$E$1020,3,FALSE)</f>
        <v>فکورصنعت</v>
      </c>
      <c r="F3417" s="19" t="str">
        <f>VLOOKUP(D3417,'لیست پرسنل'!$B$2:$E$1020,4,FALSE)</f>
        <v>نظارت مکانیک</v>
      </c>
      <c r="G3417" s="127">
        <f>VLOOKUP(D3417,'لیست پرسنل'!$B$2:$F$1020,2,FALSE)</f>
        <v>4000507</v>
      </c>
      <c r="H3417" s="126" t="s">
        <v>4071</v>
      </c>
      <c r="I3417" s="128" t="s">
        <v>7794</v>
      </c>
      <c r="J3417" s="141" t="s">
        <v>571</v>
      </c>
      <c r="K3417" s="128" t="s">
        <v>3116</v>
      </c>
      <c r="L3417" s="128"/>
      <c r="M3417" s="128">
        <v>628137</v>
      </c>
      <c r="N3417" s="108"/>
      <c r="O3417" s="20" t="s">
        <v>705</v>
      </c>
      <c r="P3417" s="20"/>
      <c r="Q3417" s="20"/>
    </row>
    <row r="3418" spans="1:17" ht="24.9" customHeight="1">
      <c r="A3418" s="20">
        <v>461</v>
      </c>
      <c r="B3418" s="20" t="s">
        <v>4351</v>
      </c>
      <c r="C3418" s="19">
        <v>52</v>
      </c>
      <c r="D3418" s="19" t="s">
        <v>3740</v>
      </c>
      <c r="E3418" s="19" t="str">
        <f>VLOOKUP(D3418,'لیست پرسنل'!$B$2:$E$1020,3,FALSE)</f>
        <v>فکورصنعت</v>
      </c>
      <c r="F3418" s="19" t="str">
        <f>VLOOKUP(D3418,'لیست پرسنل'!$B$2:$E$1020,4,FALSE)</f>
        <v>نظارت مکانیک</v>
      </c>
      <c r="G3418" s="127">
        <f>VLOOKUP(D3418,'لیست پرسنل'!$B$2:$F$1020,2,FALSE)</f>
        <v>4000507</v>
      </c>
      <c r="H3418" s="126" t="s">
        <v>4071</v>
      </c>
      <c r="I3418" s="127" t="s">
        <v>7794</v>
      </c>
      <c r="J3418" s="128" t="s">
        <v>2686</v>
      </c>
      <c r="K3418" s="128" t="s">
        <v>2922</v>
      </c>
      <c r="L3418" s="127" t="s">
        <v>3098</v>
      </c>
      <c r="M3418" s="128">
        <v>626582</v>
      </c>
      <c r="N3418" s="108"/>
      <c r="O3418" s="20" t="s">
        <v>705</v>
      </c>
      <c r="P3418" s="20"/>
      <c r="Q3418" s="20"/>
    </row>
    <row r="3419" spans="1:17" ht="24.9" customHeight="1">
      <c r="A3419" s="20">
        <v>461</v>
      </c>
      <c r="B3419" s="20" t="s">
        <v>4351</v>
      </c>
      <c r="C3419" s="20">
        <v>53</v>
      </c>
      <c r="D3419" s="20" t="s">
        <v>7795</v>
      </c>
      <c r="E3419" s="19" t="str">
        <f>VLOOKUP(D3419,'لیست پرسنل'!$B$2:$E$1020,3,FALSE)</f>
        <v>فکورصنعت</v>
      </c>
      <c r="F3419" s="19" t="str">
        <f>VLOOKUP(D3419,'لیست پرسنل'!$B$2:$E$1020,4,FALSE)</f>
        <v>مکانیک</v>
      </c>
      <c r="G3419" s="127">
        <f>VLOOKUP(D3419,'لیست پرسنل'!$B$2:$F$1020,2,FALSE)</f>
        <v>0</v>
      </c>
      <c r="H3419" s="128" t="s">
        <v>4071</v>
      </c>
      <c r="I3419" s="128" t="s">
        <v>7796</v>
      </c>
      <c r="J3419" s="128" t="s">
        <v>368</v>
      </c>
      <c r="K3419" s="128" t="s">
        <v>2846</v>
      </c>
      <c r="L3419" s="128" t="s">
        <v>4865</v>
      </c>
      <c r="M3419" s="127">
        <v>633735</v>
      </c>
      <c r="N3419" s="109"/>
      <c r="O3419" s="19" t="s">
        <v>6384</v>
      </c>
      <c r="P3419" s="32"/>
      <c r="Q3419" s="32"/>
    </row>
    <row r="3420" spans="1:17" ht="24.9" customHeight="1">
      <c r="A3420" s="20">
        <v>461</v>
      </c>
      <c r="B3420" s="20" t="s">
        <v>4351</v>
      </c>
      <c r="C3420" s="20">
        <v>53</v>
      </c>
      <c r="D3420" s="20" t="s">
        <v>7795</v>
      </c>
      <c r="E3420" s="19" t="str">
        <f>VLOOKUP(D3420,'لیست پرسنل'!$B$2:$E$1020,3,FALSE)</f>
        <v>فکورصنعت</v>
      </c>
      <c r="F3420" s="19" t="str">
        <f>VLOOKUP(D3420,'لیست پرسنل'!$B$2:$E$1020,4,FALSE)</f>
        <v>مکانیک</v>
      </c>
      <c r="G3420" s="127">
        <f>VLOOKUP(D3420,'لیست پرسنل'!$B$2:$F$1020,2,FALSE)</f>
        <v>0</v>
      </c>
      <c r="H3420" s="128" t="s">
        <v>4071</v>
      </c>
      <c r="I3420" s="128" t="s">
        <v>7796</v>
      </c>
      <c r="J3420" s="128" t="s">
        <v>571</v>
      </c>
      <c r="K3420" s="128" t="s">
        <v>7212</v>
      </c>
      <c r="L3420" s="127"/>
      <c r="M3420" s="127">
        <v>635098</v>
      </c>
      <c r="N3420" s="109"/>
      <c r="O3420" s="19"/>
      <c r="P3420" s="32"/>
      <c r="Q3420" s="32"/>
    </row>
    <row r="3421" spans="1:17" ht="24.9" customHeight="1">
      <c r="A3421" s="20">
        <v>461</v>
      </c>
      <c r="B3421" s="20" t="s">
        <v>4351</v>
      </c>
      <c r="C3421" s="20">
        <v>53</v>
      </c>
      <c r="D3421" s="20" t="s">
        <v>7795</v>
      </c>
      <c r="E3421" s="19" t="str">
        <f>VLOOKUP(D3421,'لیست پرسنل'!$B$2:$E$1020,3,FALSE)</f>
        <v>فکورصنعت</v>
      </c>
      <c r="F3421" s="19" t="str">
        <f>VLOOKUP(D3421,'لیست پرسنل'!$B$2:$E$1020,4,FALSE)</f>
        <v>مکانیک</v>
      </c>
      <c r="G3421" s="127">
        <f>VLOOKUP(D3421,'لیست پرسنل'!$B$2:$F$1020,2,FALSE)</f>
        <v>0</v>
      </c>
      <c r="H3421" s="128" t="s">
        <v>4071</v>
      </c>
      <c r="I3421" s="128" t="s">
        <v>7796</v>
      </c>
      <c r="J3421" s="128" t="s">
        <v>2686</v>
      </c>
      <c r="K3421" s="128" t="s">
        <v>2922</v>
      </c>
      <c r="L3421" s="127" t="s">
        <v>2979</v>
      </c>
      <c r="M3421" s="127">
        <v>626460</v>
      </c>
      <c r="N3421" s="109"/>
      <c r="O3421" s="86"/>
      <c r="P3421" s="20"/>
      <c r="Q3421" s="20"/>
    </row>
    <row r="3422" spans="1:17" ht="24.9" customHeight="1">
      <c r="A3422" s="20">
        <v>461</v>
      </c>
      <c r="B3422" s="20" t="s">
        <v>4351</v>
      </c>
      <c r="C3422" s="19">
        <v>54</v>
      </c>
      <c r="D3422" s="19" t="s">
        <v>331</v>
      </c>
      <c r="E3422" s="19" t="str">
        <f>VLOOKUP(D3422,'لیست پرسنل'!$B$2:$E$1020,3,FALSE)</f>
        <v>فکورصنعت</v>
      </c>
      <c r="F3422" s="19" t="str">
        <f>VLOOKUP(D3422,'لیست پرسنل'!$B$2:$E$1020,4,FALSE)</f>
        <v>سرپرست واحد تصفیه آب</v>
      </c>
      <c r="G3422" s="127">
        <f>VLOOKUP(D3422,'لیست پرسنل'!$B$2:$F$1020,2,FALSE)</f>
        <v>990704</v>
      </c>
      <c r="H3422" s="151" t="s">
        <v>4071</v>
      </c>
      <c r="I3422" s="127" t="s">
        <v>7874</v>
      </c>
      <c r="J3422" s="128" t="s">
        <v>368</v>
      </c>
      <c r="K3422" s="128" t="s">
        <v>2846</v>
      </c>
      <c r="L3422" s="128" t="s">
        <v>4757</v>
      </c>
      <c r="M3422" s="138">
        <v>633737</v>
      </c>
      <c r="N3422" s="109"/>
      <c r="O3422" s="19" t="s">
        <v>6394</v>
      </c>
      <c r="P3422" s="32"/>
      <c r="Q3422" s="32"/>
    </row>
    <row r="3423" spans="1:17" ht="24.9" customHeight="1">
      <c r="A3423" s="20">
        <v>461</v>
      </c>
      <c r="B3423" s="20" t="s">
        <v>4351</v>
      </c>
      <c r="C3423" s="19">
        <v>54</v>
      </c>
      <c r="D3423" s="19" t="s">
        <v>331</v>
      </c>
      <c r="E3423" s="19" t="str">
        <f>VLOOKUP(D3423,'لیست پرسنل'!$B$2:$E$1020,3,FALSE)</f>
        <v>فکورصنعت</v>
      </c>
      <c r="F3423" s="19" t="str">
        <f>VLOOKUP(D3423,'لیست پرسنل'!$B$2:$E$1020,4,FALSE)</f>
        <v>سرپرست واحد تصفیه آب</v>
      </c>
      <c r="G3423" s="127">
        <f>VLOOKUP(D3423,'لیست پرسنل'!$B$2:$F$1020,2,FALSE)</f>
        <v>990704</v>
      </c>
      <c r="H3423" s="151" t="s">
        <v>4071</v>
      </c>
      <c r="I3423" s="127" t="s">
        <v>7874</v>
      </c>
      <c r="J3423" s="127" t="s">
        <v>571</v>
      </c>
      <c r="K3423" s="128"/>
      <c r="L3423" s="151"/>
      <c r="M3423" s="138">
        <v>624634</v>
      </c>
      <c r="N3423" s="109"/>
      <c r="O3423" s="19"/>
      <c r="P3423" s="20"/>
      <c r="Q3423" s="20"/>
    </row>
    <row r="3424" spans="1:17" ht="24.9" customHeight="1">
      <c r="A3424" s="20">
        <v>461</v>
      </c>
      <c r="B3424" s="20" t="s">
        <v>4351</v>
      </c>
      <c r="C3424" s="19">
        <v>54</v>
      </c>
      <c r="D3424" s="19" t="s">
        <v>331</v>
      </c>
      <c r="E3424" s="19" t="str">
        <f>VLOOKUP(D3424,'لیست پرسنل'!$B$2:$E$1020,3,FALSE)</f>
        <v>فکورصنعت</v>
      </c>
      <c r="F3424" s="19" t="str">
        <f>VLOOKUP(D3424,'لیست پرسنل'!$B$2:$E$1020,4,FALSE)</f>
        <v>سرپرست واحد تصفیه آب</v>
      </c>
      <c r="G3424" s="127">
        <f>VLOOKUP(D3424,'لیست پرسنل'!$B$2:$F$1020,2,FALSE)</f>
        <v>990704</v>
      </c>
      <c r="H3424" s="151" t="s">
        <v>4071</v>
      </c>
      <c r="I3424" s="127" t="s">
        <v>7874</v>
      </c>
      <c r="J3424" s="128" t="s">
        <v>2686</v>
      </c>
      <c r="K3424" s="128" t="s">
        <v>2922</v>
      </c>
      <c r="L3424" s="151" t="s">
        <v>3080</v>
      </c>
      <c r="M3424" s="127">
        <v>626564</v>
      </c>
      <c r="N3424" s="109"/>
      <c r="O3424" s="86"/>
      <c r="P3424" s="20"/>
      <c r="Q3424" s="20"/>
    </row>
    <row r="3425" spans="1:17" ht="24.9" customHeight="1">
      <c r="A3425" s="20">
        <v>461</v>
      </c>
      <c r="B3425" s="20" t="s">
        <v>4351</v>
      </c>
      <c r="C3425" s="20">
        <v>57</v>
      </c>
      <c r="D3425" s="20" t="s">
        <v>6152</v>
      </c>
      <c r="E3425" s="19" t="str">
        <f>VLOOKUP(D3425,'لیست پرسنل'!$B$2:$E$1020,3,FALSE)</f>
        <v>فکورصنعت</v>
      </c>
      <c r="F3425" s="19" t="str">
        <f>VLOOKUP(D3425,'لیست پرسنل'!$B$2:$E$1020,4,FALSE)</f>
        <v>سرپرست اجرا</v>
      </c>
      <c r="G3425" s="127" t="str">
        <f>VLOOKUP(D3425,'لیست پرسنل'!$B$2:$F$1020,2,FALSE)</f>
        <v>4021201</v>
      </c>
      <c r="H3425" s="128" t="s">
        <v>8135</v>
      </c>
      <c r="I3425" s="128" t="s">
        <v>8139</v>
      </c>
      <c r="J3425" s="128" t="s">
        <v>3532</v>
      </c>
      <c r="K3425" s="128" t="s">
        <v>4802</v>
      </c>
      <c r="L3425" s="128" t="s">
        <v>5574</v>
      </c>
      <c r="M3425" s="128">
        <v>631870</v>
      </c>
      <c r="N3425" s="108"/>
      <c r="O3425" s="20" t="s">
        <v>705</v>
      </c>
      <c r="P3425" s="20"/>
      <c r="Q3425" s="20"/>
    </row>
    <row r="3426" spans="1:17" ht="24.9" customHeight="1">
      <c r="A3426" s="20">
        <v>461</v>
      </c>
      <c r="B3426" s="20" t="s">
        <v>4351</v>
      </c>
      <c r="C3426" s="20">
        <v>57</v>
      </c>
      <c r="D3426" s="19" t="s">
        <v>6152</v>
      </c>
      <c r="E3426" s="19" t="str">
        <f>VLOOKUP(D3426,'لیست پرسنل'!$B$2:$E$1020,3,FALSE)</f>
        <v>فکورصنعت</v>
      </c>
      <c r="F3426" s="19" t="str">
        <f>VLOOKUP(D3426,'لیست پرسنل'!$B$2:$E$1020,4,FALSE)</f>
        <v>سرپرست اجرا</v>
      </c>
      <c r="G3426" s="127" t="str">
        <f>VLOOKUP(D3426,'لیست پرسنل'!$B$2:$F$1020,2,FALSE)</f>
        <v>4021201</v>
      </c>
      <c r="H3426" s="128" t="s">
        <v>8135</v>
      </c>
      <c r="I3426" s="128" t="s">
        <v>8139</v>
      </c>
      <c r="J3426" s="126" t="s">
        <v>368</v>
      </c>
      <c r="K3426" s="128" t="s">
        <v>8248</v>
      </c>
      <c r="L3426" s="127" t="s">
        <v>2499</v>
      </c>
      <c r="M3426" s="128">
        <v>628911</v>
      </c>
      <c r="N3426" s="112"/>
      <c r="O3426" s="20" t="s">
        <v>705</v>
      </c>
      <c r="P3426" s="20"/>
      <c r="Q3426" s="20"/>
    </row>
    <row r="3427" spans="1:17" ht="24.9" customHeight="1">
      <c r="A3427" s="20">
        <v>461</v>
      </c>
      <c r="B3427" s="20" t="s">
        <v>4351</v>
      </c>
      <c r="C3427" s="20">
        <v>57</v>
      </c>
      <c r="D3427" s="20" t="s">
        <v>6152</v>
      </c>
      <c r="E3427" s="19" t="str">
        <f>VLOOKUP(D3427,'لیست پرسنل'!$B$2:$E$1020,3,FALSE)</f>
        <v>فکورصنعت</v>
      </c>
      <c r="F3427" s="19" t="str">
        <f>VLOOKUP(D3427,'لیست پرسنل'!$B$2:$E$1020,4,FALSE)</f>
        <v>سرپرست اجرا</v>
      </c>
      <c r="G3427" s="127" t="str">
        <f>VLOOKUP(D3427,'لیست پرسنل'!$B$2:$F$1020,2,FALSE)</f>
        <v>4021201</v>
      </c>
      <c r="H3427" s="128" t="s">
        <v>8135</v>
      </c>
      <c r="I3427" s="128" t="s">
        <v>8139</v>
      </c>
      <c r="J3427" s="128" t="s">
        <v>368</v>
      </c>
      <c r="K3427" s="128" t="s">
        <v>2846</v>
      </c>
      <c r="L3427" s="128" t="s">
        <v>2891</v>
      </c>
      <c r="M3427" s="127">
        <v>633753</v>
      </c>
      <c r="N3427" s="110"/>
      <c r="O3427" s="19" t="s">
        <v>6409</v>
      </c>
      <c r="P3427" s="32"/>
      <c r="Q3427" s="32"/>
    </row>
    <row r="3428" spans="1:17" ht="24.9" customHeight="1">
      <c r="A3428" s="20">
        <v>461</v>
      </c>
      <c r="B3428" s="20" t="s">
        <v>4351</v>
      </c>
      <c r="C3428" s="20">
        <v>57</v>
      </c>
      <c r="D3428" s="20" t="s">
        <v>6152</v>
      </c>
      <c r="E3428" s="19" t="str">
        <f>VLOOKUP(D3428,'لیست پرسنل'!$B$2:$E$1020,3,FALSE)</f>
        <v>فکورصنعت</v>
      </c>
      <c r="F3428" s="19" t="str">
        <f>VLOOKUP(D3428,'لیست پرسنل'!$B$2:$E$1020,4,FALSE)</f>
        <v>سرپرست اجرا</v>
      </c>
      <c r="G3428" s="127" t="str">
        <f>VLOOKUP(D3428,'لیست پرسنل'!$B$2:$F$1020,2,FALSE)</f>
        <v>4021201</v>
      </c>
      <c r="H3428" s="128" t="s">
        <v>8135</v>
      </c>
      <c r="I3428" s="128" t="s">
        <v>8139</v>
      </c>
      <c r="J3428" s="128" t="s">
        <v>5366</v>
      </c>
      <c r="K3428" s="128" t="s">
        <v>4921</v>
      </c>
      <c r="L3428" s="151" t="s">
        <v>4920</v>
      </c>
      <c r="M3428" s="128">
        <v>629898</v>
      </c>
      <c r="N3428" s="108"/>
      <c r="O3428" s="93" t="s">
        <v>5518</v>
      </c>
      <c r="P3428" s="20"/>
      <c r="Q3428" s="20"/>
    </row>
    <row r="3429" spans="1:17" ht="24.9" customHeight="1">
      <c r="A3429" s="20">
        <v>461</v>
      </c>
      <c r="B3429" s="20" t="s">
        <v>4351</v>
      </c>
      <c r="C3429" s="20">
        <v>57</v>
      </c>
      <c r="D3429" s="20" t="s">
        <v>6152</v>
      </c>
      <c r="E3429" s="19" t="str">
        <f>VLOOKUP(D3429,'لیست پرسنل'!$B$2:$E$1020,3,FALSE)</f>
        <v>فکورصنعت</v>
      </c>
      <c r="F3429" s="19" t="str">
        <f>VLOOKUP(D3429,'لیست پرسنل'!$B$2:$E$1020,4,FALSE)</f>
        <v>سرپرست اجرا</v>
      </c>
      <c r="G3429" s="127" t="str">
        <f>VLOOKUP(D3429,'لیست پرسنل'!$B$2:$F$1020,2,FALSE)</f>
        <v>4021201</v>
      </c>
      <c r="H3429" s="128" t="s">
        <v>8135</v>
      </c>
      <c r="I3429" s="128" t="s">
        <v>8139</v>
      </c>
      <c r="J3429" s="128" t="s">
        <v>3476</v>
      </c>
      <c r="K3429" s="128" t="s">
        <v>6184</v>
      </c>
      <c r="L3429" s="127" t="s">
        <v>6179</v>
      </c>
      <c r="M3429" s="127">
        <v>633329</v>
      </c>
      <c r="N3429" s="108"/>
      <c r="O3429" s="20"/>
      <c r="P3429" s="20"/>
      <c r="Q3429" s="20"/>
    </row>
    <row r="3430" spans="1:17" ht="24.9" customHeight="1">
      <c r="A3430" s="20">
        <v>461</v>
      </c>
      <c r="B3430" s="20" t="s">
        <v>4351</v>
      </c>
      <c r="C3430" s="20">
        <v>57</v>
      </c>
      <c r="D3430" s="19" t="s">
        <v>6152</v>
      </c>
      <c r="E3430" s="19" t="str">
        <f>VLOOKUP(D3430,'لیست پرسنل'!$B$2:$E$1020,3,FALSE)</f>
        <v>فکورصنعت</v>
      </c>
      <c r="F3430" s="19" t="str">
        <f>VLOOKUP(D3430,'لیست پرسنل'!$B$2:$E$1020,4,FALSE)</f>
        <v>سرپرست اجرا</v>
      </c>
      <c r="G3430" s="127" t="str">
        <f>VLOOKUP(D3430,'لیست پرسنل'!$B$2:$F$1020,2,FALSE)</f>
        <v>4021201</v>
      </c>
      <c r="H3430" s="128" t="s">
        <v>8135</v>
      </c>
      <c r="I3430" s="128" t="s">
        <v>8139</v>
      </c>
      <c r="J3430" s="141" t="s">
        <v>571</v>
      </c>
      <c r="K3430" s="135" t="s">
        <v>5270</v>
      </c>
      <c r="L3430" s="154" t="s">
        <v>2219</v>
      </c>
      <c r="M3430" s="131">
        <v>631113</v>
      </c>
      <c r="N3430" s="108"/>
      <c r="O3430" s="20" t="s">
        <v>705</v>
      </c>
      <c r="P3430" s="20"/>
      <c r="Q3430" s="20"/>
    </row>
    <row r="3431" spans="1:17" ht="24.9" customHeight="1">
      <c r="A3431" s="20">
        <v>461</v>
      </c>
      <c r="B3431" s="20" t="s">
        <v>4351</v>
      </c>
      <c r="C3431" s="20">
        <v>57</v>
      </c>
      <c r="D3431" s="20" t="s">
        <v>6152</v>
      </c>
      <c r="E3431" s="19" t="str">
        <f>VLOOKUP(D3431,'لیست پرسنل'!$B$2:$E$1020,3,FALSE)</f>
        <v>فکورصنعت</v>
      </c>
      <c r="F3431" s="19" t="str">
        <f>VLOOKUP(D3431,'لیست پرسنل'!$B$2:$E$1020,4,FALSE)</f>
        <v>سرپرست اجرا</v>
      </c>
      <c r="G3431" s="127" t="str">
        <f>VLOOKUP(D3431,'لیست پرسنل'!$B$2:$F$1020,2,FALSE)</f>
        <v>4021201</v>
      </c>
      <c r="H3431" s="128" t="s">
        <v>8135</v>
      </c>
      <c r="I3431" s="128" t="s">
        <v>8139</v>
      </c>
      <c r="J3431" s="128" t="s">
        <v>2686</v>
      </c>
      <c r="K3431" s="128" t="s">
        <v>890</v>
      </c>
      <c r="L3431" s="127" t="s">
        <v>1489</v>
      </c>
      <c r="M3431" s="127">
        <v>633631</v>
      </c>
      <c r="N3431" s="109"/>
      <c r="O3431" s="19" t="s">
        <v>6292</v>
      </c>
      <c r="P3431" s="32"/>
      <c r="Q3431" s="32"/>
    </row>
    <row r="3432" spans="1:17" ht="24.9" customHeight="1">
      <c r="A3432" s="20">
        <v>461</v>
      </c>
      <c r="B3432" s="20" t="s">
        <v>4351</v>
      </c>
      <c r="C3432" s="20">
        <v>57</v>
      </c>
      <c r="D3432" s="20" t="s">
        <v>6152</v>
      </c>
      <c r="E3432" s="19" t="str">
        <f>VLOOKUP(D3432,'لیست پرسنل'!$B$2:$E$1020,3,FALSE)</f>
        <v>فکورصنعت</v>
      </c>
      <c r="F3432" s="19" t="str">
        <f>VLOOKUP(D3432,'لیست پرسنل'!$B$2:$E$1020,4,FALSE)</f>
        <v>سرپرست اجرا</v>
      </c>
      <c r="G3432" s="127" t="str">
        <f>VLOOKUP(D3432,'لیست پرسنل'!$B$2:$F$1020,2,FALSE)</f>
        <v>4021201</v>
      </c>
      <c r="H3432" s="127" t="s">
        <v>8136</v>
      </c>
      <c r="I3432" s="128" t="s">
        <v>8139</v>
      </c>
      <c r="J3432" s="128" t="s">
        <v>3481</v>
      </c>
      <c r="K3432" s="127" t="s">
        <v>7980</v>
      </c>
      <c r="L3432" s="127" t="s">
        <v>8138</v>
      </c>
      <c r="M3432" s="127" t="s">
        <v>291</v>
      </c>
      <c r="N3432" s="109"/>
      <c r="O3432" s="20"/>
      <c r="P3432" s="20"/>
      <c r="Q3432" s="20"/>
    </row>
    <row r="3433" spans="1:17" ht="24.9" customHeight="1">
      <c r="A3433" s="20">
        <v>461</v>
      </c>
      <c r="B3433" s="20" t="s">
        <v>4351</v>
      </c>
      <c r="C3433" s="20">
        <v>58</v>
      </c>
      <c r="D3433" s="20" t="s">
        <v>8049</v>
      </c>
      <c r="E3433" s="19" t="str">
        <f>VLOOKUP(D3433,'لیست پرسنل'!$B$2:$E$1020,3,FALSE)</f>
        <v>آهن مهام</v>
      </c>
      <c r="F3433" s="19" t="str">
        <f>VLOOKUP(D3433,'لیست پرسنل'!$B$2:$E$1020,4,FALSE)</f>
        <v>مسئول دفتر مدیر سایت</v>
      </c>
      <c r="G3433" s="127">
        <f>VLOOKUP(D3433,'لیست پرسنل'!$B$2:$F$1020,2,FALSE)</f>
        <v>21060</v>
      </c>
      <c r="H3433" s="128" t="s">
        <v>8140</v>
      </c>
      <c r="I3433" s="128" t="s">
        <v>8050</v>
      </c>
      <c r="J3433" s="126" t="s">
        <v>368</v>
      </c>
      <c r="K3433" s="128" t="s">
        <v>2846</v>
      </c>
      <c r="L3433" s="128" t="s">
        <v>2019</v>
      </c>
      <c r="M3433" s="128">
        <v>627201</v>
      </c>
      <c r="N3433" s="108" t="s">
        <v>3982</v>
      </c>
      <c r="O3433" s="20" t="s">
        <v>2006</v>
      </c>
      <c r="P3433" s="20"/>
      <c r="Q3433" s="20"/>
    </row>
    <row r="3434" spans="1:17" ht="24.9" customHeight="1">
      <c r="A3434" s="20">
        <v>461</v>
      </c>
      <c r="B3434" s="20" t="s">
        <v>4351</v>
      </c>
      <c r="C3434" s="19">
        <v>58</v>
      </c>
      <c r="D3434" s="20" t="s">
        <v>8049</v>
      </c>
      <c r="E3434" s="19" t="str">
        <f>VLOOKUP(D3434,'لیست پرسنل'!$B$2:$E$1020,3,FALSE)</f>
        <v>آهن مهام</v>
      </c>
      <c r="F3434" s="19" t="str">
        <f>VLOOKUP(D3434,'لیست پرسنل'!$B$2:$E$1020,4,FALSE)</f>
        <v>مسئول دفتر مدیر سایت</v>
      </c>
      <c r="G3434" s="127">
        <f>VLOOKUP(D3434,'لیست پرسنل'!$B$2:$F$1020,2,FALSE)</f>
        <v>21060</v>
      </c>
      <c r="H3434" s="128" t="s">
        <v>8140</v>
      </c>
      <c r="I3434" s="128" t="s">
        <v>8050</v>
      </c>
      <c r="J3434" s="128" t="s">
        <v>571</v>
      </c>
      <c r="K3434" s="128" t="s">
        <v>2219</v>
      </c>
      <c r="L3434" s="128"/>
      <c r="M3434" s="127">
        <v>629965</v>
      </c>
      <c r="N3434" s="109" t="s">
        <v>3982</v>
      </c>
      <c r="O3434" s="19" t="s">
        <v>705</v>
      </c>
      <c r="P3434" s="19"/>
      <c r="Q3434" s="28"/>
    </row>
    <row r="3435" spans="1:17" ht="24.9" customHeight="1">
      <c r="A3435" s="20">
        <v>461</v>
      </c>
      <c r="B3435" s="20" t="s">
        <v>4351</v>
      </c>
      <c r="C3435" s="19">
        <v>58</v>
      </c>
      <c r="D3435" s="20" t="s">
        <v>8049</v>
      </c>
      <c r="E3435" s="19" t="str">
        <f>VLOOKUP(D3435,'لیست پرسنل'!$B$2:$E$1020,3,FALSE)</f>
        <v>آهن مهام</v>
      </c>
      <c r="F3435" s="19" t="str">
        <f>VLOOKUP(D3435,'لیست پرسنل'!$B$2:$E$1020,4,FALSE)</f>
        <v>مسئول دفتر مدیر سایت</v>
      </c>
      <c r="G3435" s="127">
        <f>VLOOKUP(D3435,'لیست پرسنل'!$B$2:$F$1020,2,FALSE)</f>
        <v>21060</v>
      </c>
      <c r="H3435" s="128" t="s">
        <v>8140</v>
      </c>
      <c r="I3435" s="128" t="s">
        <v>8050</v>
      </c>
      <c r="J3435" s="128" t="s">
        <v>2686</v>
      </c>
      <c r="K3435" s="128" t="s">
        <v>2739</v>
      </c>
      <c r="L3435" s="152" t="s">
        <v>2745</v>
      </c>
      <c r="M3435" s="128">
        <v>626423</v>
      </c>
      <c r="N3435" s="108" t="s">
        <v>3982</v>
      </c>
      <c r="O3435" s="20"/>
      <c r="P3435" s="20"/>
      <c r="Q3435" s="20"/>
    </row>
    <row r="3436" spans="1:17" ht="24.9" customHeight="1">
      <c r="A3436" s="20">
        <v>461</v>
      </c>
      <c r="B3436" s="20" t="s">
        <v>4351</v>
      </c>
      <c r="C3436" s="19">
        <v>59</v>
      </c>
      <c r="D3436" s="46" t="s">
        <v>48</v>
      </c>
      <c r="E3436" s="19" t="str">
        <f>VLOOKUP(D3436,'لیست پرسنل'!$B$2:$E$1020,3,FALSE)</f>
        <v>فکورصنعت</v>
      </c>
      <c r="F3436" s="19" t="str">
        <f>VLOOKUP(D3436,'لیست پرسنل'!$B$2:$E$1020,4,FALSE)</f>
        <v>سرپرست آی تی</v>
      </c>
      <c r="G3436" s="127">
        <f>VLOOKUP(D3436,'لیست پرسنل'!$B$2:$F$1020,2,FALSE)</f>
        <v>2210</v>
      </c>
      <c r="H3436" s="128" t="s">
        <v>3995</v>
      </c>
      <c r="I3436" s="128" t="s">
        <v>8263</v>
      </c>
      <c r="J3436" s="126" t="s">
        <v>368</v>
      </c>
      <c r="K3436" s="128" t="s">
        <v>8248</v>
      </c>
      <c r="L3436" s="127" t="s">
        <v>2437</v>
      </c>
      <c r="M3436" s="128">
        <v>628846</v>
      </c>
      <c r="N3436" s="108"/>
      <c r="O3436" s="20" t="s">
        <v>705</v>
      </c>
      <c r="P3436" s="20"/>
      <c r="Q3436" s="20"/>
    </row>
    <row r="3437" spans="1:17" ht="24.9" customHeight="1">
      <c r="A3437" s="20">
        <v>461</v>
      </c>
      <c r="B3437" s="20" t="s">
        <v>4351</v>
      </c>
      <c r="C3437" s="20">
        <v>59</v>
      </c>
      <c r="D3437" s="20" t="s">
        <v>48</v>
      </c>
      <c r="E3437" s="19" t="str">
        <f>VLOOKUP(D3437,'لیست پرسنل'!$B$2:$E$1020,3,FALSE)</f>
        <v>فکورصنعت</v>
      </c>
      <c r="F3437" s="19" t="str">
        <f>VLOOKUP(D3437,'لیست پرسنل'!$B$2:$E$1020,4,FALSE)</f>
        <v>سرپرست آی تی</v>
      </c>
      <c r="G3437" s="127">
        <f>VLOOKUP(D3437,'لیست پرسنل'!$B$2:$F$1020,2,FALSE)</f>
        <v>2210</v>
      </c>
      <c r="H3437" s="128" t="s">
        <v>3995</v>
      </c>
      <c r="I3437" s="128" t="s">
        <v>8263</v>
      </c>
      <c r="J3437" s="128" t="s">
        <v>571</v>
      </c>
      <c r="K3437" s="128" t="s">
        <v>5768</v>
      </c>
      <c r="L3437" s="128"/>
      <c r="M3437" s="126">
        <v>632136</v>
      </c>
      <c r="N3437" s="111"/>
      <c r="O3437" s="20"/>
      <c r="P3437" s="28"/>
      <c r="Q3437" s="28"/>
    </row>
    <row r="3438" spans="1:17" ht="24.9" customHeight="1">
      <c r="A3438" s="20">
        <v>461</v>
      </c>
      <c r="B3438" s="20" t="s">
        <v>4351</v>
      </c>
      <c r="C3438" s="19">
        <v>60</v>
      </c>
      <c r="D3438" s="19" t="s">
        <v>8346</v>
      </c>
      <c r="E3438" s="19" t="str">
        <f>VLOOKUP(D3438,'لیست پرسنل'!$B$2:$E$1020,3,FALSE)</f>
        <v>آهن مهام</v>
      </c>
      <c r="F3438" s="19" t="str">
        <f>VLOOKUP(D3438,'لیست پرسنل'!$B$2:$E$1020,4,FALSE)</f>
        <v>سرپرست حراست</v>
      </c>
      <c r="G3438" s="127">
        <f>VLOOKUP(D3438,'لیست پرسنل'!$B$2:$F$1020,2,FALSE)</f>
        <v>20957</v>
      </c>
      <c r="H3438" s="151" t="s">
        <v>8485</v>
      </c>
      <c r="I3438" s="127" t="s">
        <v>8486</v>
      </c>
      <c r="J3438" s="127" t="s">
        <v>571</v>
      </c>
      <c r="K3438" s="128" t="s">
        <v>2219</v>
      </c>
      <c r="L3438" s="127" t="s">
        <v>8486</v>
      </c>
      <c r="M3438" s="127">
        <v>628611</v>
      </c>
      <c r="N3438" s="109" t="s">
        <v>8484</v>
      </c>
      <c r="O3438" s="19"/>
      <c r="P3438" s="20"/>
      <c r="Q3438" s="20"/>
    </row>
    <row r="3439" spans="1:17" ht="24.9" customHeight="1">
      <c r="A3439" s="20">
        <v>461</v>
      </c>
      <c r="B3439" s="20" t="s">
        <v>4351</v>
      </c>
      <c r="C3439" s="19">
        <v>60</v>
      </c>
      <c r="D3439" s="19" t="s">
        <v>8346</v>
      </c>
      <c r="E3439" s="19" t="str">
        <f>VLOOKUP(D3439,'لیست پرسنل'!$B$2:$E$1020,3,FALSE)</f>
        <v>آهن مهام</v>
      </c>
      <c r="F3439" s="19" t="str">
        <f>VLOOKUP(D3439,'لیست پرسنل'!$B$2:$E$1020,4,FALSE)</f>
        <v>سرپرست حراست</v>
      </c>
      <c r="G3439" s="127">
        <f>VLOOKUP(D3439,'لیست پرسنل'!$B$2:$F$1020,2,FALSE)</f>
        <v>20957</v>
      </c>
      <c r="H3439" s="151" t="s">
        <v>8485</v>
      </c>
      <c r="I3439" s="127" t="s">
        <v>8486</v>
      </c>
      <c r="J3439" s="128" t="s">
        <v>2686</v>
      </c>
      <c r="K3439" s="128" t="s">
        <v>218</v>
      </c>
      <c r="L3439" s="151" t="s">
        <v>219</v>
      </c>
      <c r="M3439" s="127">
        <v>602637</v>
      </c>
      <c r="N3439" s="109" t="s">
        <v>3982</v>
      </c>
      <c r="O3439" s="39"/>
      <c r="P3439" s="20"/>
      <c r="Q3439" s="20"/>
    </row>
    <row r="3440" spans="1:17" ht="24.9" customHeight="1">
      <c r="A3440" s="20">
        <v>461</v>
      </c>
      <c r="B3440" s="20" t="s">
        <v>4351</v>
      </c>
      <c r="C3440" s="20"/>
      <c r="D3440" s="20" t="s">
        <v>48</v>
      </c>
      <c r="E3440" s="19" t="str">
        <f>VLOOKUP(D3440,'لیست پرسنل'!$B$2:$E$1020,3,FALSE)</f>
        <v>فکورصنعت</v>
      </c>
      <c r="F3440" s="19" t="str">
        <f>VLOOKUP(D3440,'لیست پرسنل'!$B$2:$E$1020,4,FALSE)</f>
        <v>سرپرست آی تی</v>
      </c>
      <c r="G3440" s="127">
        <f>VLOOKUP(D3440,'لیست پرسنل'!$B$2:$F$1020,2,FALSE)</f>
        <v>2210</v>
      </c>
      <c r="H3440" s="127" t="s">
        <v>8137</v>
      </c>
      <c r="I3440" s="127"/>
      <c r="J3440" s="128" t="s">
        <v>3481</v>
      </c>
      <c r="K3440" s="127" t="s">
        <v>7980</v>
      </c>
      <c r="L3440" s="127" t="s">
        <v>2019</v>
      </c>
      <c r="M3440" s="127" t="s">
        <v>291</v>
      </c>
      <c r="N3440" s="109"/>
      <c r="O3440" s="20"/>
      <c r="P3440" s="20"/>
      <c r="Q3440" s="20"/>
    </row>
    <row r="3441" spans="1:17" ht="24.9" customHeight="1">
      <c r="A3441" s="20">
        <v>461</v>
      </c>
      <c r="B3441" s="20" t="s">
        <v>4351</v>
      </c>
      <c r="C3441" s="19"/>
      <c r="D3441" s="20" t="s">
        <v>2051</v>
      </c>
      <c r="E3441" s="19" t="str">
        <f>VLOOKUP(D3441,'لیست پرسنل'!$B$2:$E$1020,3,FALSE)</f>
        <v>فکورصنعت</v>
      </c>
      <c r="F3441" s="19" t="str">
        <f>VLOOKUP(D3441,'لیست پرسنل'!$B$2:$E$1020,4,FALSE)</f>
        <v>انبار</v>
      </c>
      <c r="G3441" s="127">
        <f>VLOOKUP(D3441,'لیست پرسنل'!$B$2:$F$1020,2,FALSE)</f>
        <v>3771</v>
      </c>
      <c r="H3441" s="126" t="s">
        <v>4911</v>
      </c>
      <c r="I3441" s="128"/>
      <c r="J3441" s="128" t="s">
        <v>5364</v>
      </c>
      <c r="K3441" s="135" t="s">
        <v>4923</v>
      </c>
      <c r="L3441" s="154" t="s">
        <v>5829</v>
      </c>
      <c r="M3441" s="128" t="s">
        <v>291</v>
      </c>
      <c r="N3441" s="108"/>
      <c r="O3441" s="93" t="s">
        <v>4924</v>
      </c>
      <c r="P3441" s="20"/>
      <c r="Q3441" s="20"/>
    </row>
    <row r="3442" spans="1:17" ht="24.9" customHeight="1">
      <c r="A3442" s="20">
        <v>461</v>
      </c>
      <c r="B3442" s="20" t="s">
        <v>4351</v>
      </c>
      <c r="C3442" s="19"/>
      <c r="D3442" s="20" t="s">
        <v>2051</v>
      </c>
      <c r="E3442" s="19" t="str">
        <f>VLOOKUP(D3442,'لیست پرسنل'!$B$2:$E$1020,3,FALSE)</f>
        <v>فکورصنعت</v>
      </c>
      <c r="F3442" s="19" t="str">
        <f>VLOOKUP(D3442,'لیست پرسنل'!$B$2:$E$1020,4,FALSE)</f>
        <v>انبار</v>
      </c>
      <c r="G3442" s="127">
        <f>VLOOKUP(D3442,'لیست پرسنل'!$B$2:$F$1020,2,FALSE)</f>
        <v>3771</v>
      </c>
      <c r="H3442" s="126" t="s">
        <v>4911</v>
      </c>
      <c r="I3442" s="128"/>
      <c r="J3442" s="128" t="s">
        <v>5364</v>
      </c>
      <c r="K3442" s="128" t="s">
        <v>4922</v>
      </c>
      <c r="L3442" s="151" t="s">
        <v>5829</v>
      </c>
      <c r="M3442" s="128" t="s">
        <v>291</v>
      </c>
      <c r="N3442" s="108"/>
      <c r="O3442" s="93" t="s">
        <v>4924</v>
      </c>
      <c r="P3442" s="20"/>
      <c r="Q3442" s="20"/>
    </row>
    <row r="3443" spans="1:17" ht="24.9" customHeight="1">
      <c r="A3443" s="20">
        <v>461</v>
      </c>
      <c r="B3443" s="20" t="s">
        <v>4351</v>
      </c>
      <c r="C3443" s="19"/>
      <c r="D3443" s="20" t="s">
        <v>2051</v>
      </c>
      <c r="E3443" s="19" t="str">
        <f>VLOOKUP(D3443,'لیست پرسنل'!$B$2:$E$1020,3,FALSE)</f>
        <v>فکورصنعت</v>
      </c>
      <c r="F3443" s="19" t="str">
        <f>VLOOKUP(D3443,'لیست پرسنل'!$B$2:$E$1020,4,FALSE)</f>
        <v>انبار</v>
      </c>
      <c r="G3443" s="127">
        <f>VLOOKUP(D3443,'لیست پرسنل'!$B$2:$F$1020,2,FALSE)</f>
        <v>3771</v>
      </c>
      <c r="H3443" s="126" t="s">
        <v>4911</v>
      </c>
      <c r="I3443" s="128"/>
      <c r="J3443" s="128" t="s">
        <v>5364</v>
      </c>
      <c r="K3443" s="128" t="s">
        <v>4922</v>
      </c>
      <c r="L3443" s="151" t="s">
        <v>5829</v>
      </c>
      <c r="M3443" s="128" t="s">
        <v>291</v>
      </c>
      <c r="N3443" s="108"/>
      <c r="O3443" s="93" t="s">
        <v>4924</v>
      </c>
      <c r="P3443" s="20"/>
      <c r="Q3443" s="20"/>
    </row>
    <row r="3444" spans="1:17" ht="24.9" customHeight="1">
      <c r="A3444" s="20">
        <v>461</v>
      </c>
      <c r="B3444" s="20" t="s">
        <v>4351</v>
      </c>
      <c r="C3444" s="19"/>
      <c r="D3444" s="20" t="s">
        <v>2051</v>
      </c>
      <c r="E3444" s="19" t="str">
        <f>VLOOKUP(D3444,'لیست پرسنل'!$B$2:$E$1020,3,FALSE)</f>
        <v>فکورصنعت</v>
      </c>
      <c r="F3444" s="19" t="str">
        <f>VLOOKUP(D3444,'لیست پرسنل'!$B$2:$E$1020,4,FALSE)</f>
        <v>انبار</v>
      </c>
      <c r="G3444" s="127">
        <f>VLOOKUP(D3444,'لیست پرسنل'!$B$2:$F$1020,2,FALSE)</f>
        <v>3771</v>
      </c>
      <c r="H3444" s="126" t="s">
        <v>4911</v>
      </c>
      <c r="I3444" s="128"/>
      <c r="J3444" s="128" t="s">
        <v>5364</v>
      </c>
      <c r="K3444" s="128" t="s">
        <v>4922</v>
      </c>
      <c r="L3444" s="151" t="s">
        <v>5829</v>
      </c>
      <c r="M3444" s="128" t="s">
        <v>291</v>
      </c>
      <c r="N3444" s="108"/>
      <c r="O3444" s="93" t="s">
        <v>4924</v>
      </c>
      <c r="P3444" s="20"/>
      <c r="Q3444" s="20"/>
    </row>
    <row r="3445" spans="1:17" ht="24.9" customHeight="1">
      <c r="A3445" s="20">
        <v>461</v>
      </c>
      <c r="B3445" s="20" t="s">
        <v>4351</v>
      </c>
      <c r="C3445" s="19"/>
      <c r="D3445" s="20" t="s">
        <v>2051</v>
      </c>
      <c r="E3445" s="19" t="str">
        <f>VLOOKUP(D3445,'لیست پرسنل'!$B$2:$E$1020,3,FALSE)</f>
        <v>فکورصنعت</v>
      </c>
      <c r="F3445" s="19" t="str">
        <f>VLOOKUP(D3445,'لیست پرسنل'!$B$2:$E$1020,4,FALSE)</f>
        <v>انبار</v>
      </c>
      <c r="G3445" s="127">
        <f>VLOOKUP(D3445,'لیست پرسنل'!$B$2:$F$1020,2,FALSE)</f>
        <v>3771</v>
      </c>
      <c r="H3445" s="126" t="s">
        <v>4911</v>
      </c>
      <c r="I3445" s="128"/>
      <c r="J3445" s="128" t="s">
        <v>5364</v>
      </c>
      <c r="K3445" s="128" t="s">
        <v>4922</v>
      </c>
      <c r="L3445" s="151" t="s">
        <v>5829</v>
      </c>
      <c r="M3445" s="128" t="s">
        <v>291</v>
      </c>
      <c r="N3445" s="108"/>
      <c r="O3445" s="93" t="s">
        <v>4924</v>
      </c>
      <c r="P3445" s="20"/>
      <c r="Q3445" s="20"/>
    </row>
    <row r="3446" spans="1:17" ht="24.9" customHeight="1">
      <c r="A3446" s="20">
        <v>461</v>
      </c>
      <c r="B3446" s="20" t="s">
        <v>4351</v>
      </c>
      <c r="C3446" s="19"/>
      <c r="D3446" s="20" t="s">
        <v>2051</v>
      </c>
      <c r="E3446" s="19" t="str">
        <f>VLOOKUP(D3446,'لیست پرسنل'!$B$2:$E$1020,3,FALSE)</f>
        <v>فکورصنعت</v>
      </c>
      <c r="F3446" s="19" t="str">
        <f>VLOOKUP(D3446,'لیست پرسنل'!$B$2:$E$1020,4,FALSE)</f>
        <v>انبار</v>
      </c>
      <c r="G3446" s="127">
        <f>VLOOKUP(D3446,'لیست پرسنل'!$B$2:$F$1020,2,FALSE)</f>
        <v>3771</v>
      </c>
      <c r="H3446" s="126" t="s">
        <v>4911</v>
      </c>
      <c r="I3446" s="128"/>
      <c r="J3446" s="128" t="s">
        <v>5364</v>
      </c>
      <c r="K3446" s="128" t="s">
        <v>4922</v>
      </c>
      <c r="L3446" s="151" t="s">
        <v>5829</v>
      </c>
      <c r="M3446" s="128" t="s">
        <v>291</v>
      </c>
      <c r="N3446" s="108"/>
      <c r="O3446" s="93" t="s">
        <v>4924</v>
      </c>
      <c r="P3446" s="20"/>
      <c r="Q3446" s="20"/>
    </row>
    <row r="3447" spans="1:17" ht="24.9" customHeight="1">
      <c r="A3447" s="20">
        <v>461</v>
      </c>
      <c r="B3447" s="20" t="s">
        <v>4351</v>
      </c>
      <c r="C3447" s="19"/>
      <c r="D3447" s="20" t="s">
        <v>2051</v>
      </c>
      <c r="E3447" s="19" t="str">
        <f>VLOOKUP(D3447,'لیست پرسنل'!$B$2:$E$1020,3,FALSE)</f>
        <v>فکورصنعت</v>
      </c>
      <c r="F3447" s="19" t="str">
        <f>VLOOKUP(D3447,'لیست پرسنل'!$B$2:$E$1020,4,FALSE)</f>
        <v>انبار</v>
      </c>
      <c r="G3447" s="127">
        <f>VLOOKUP(D3447,'لیست پرسنل'!$B$2:$F$1020,2,FALSE)</f>
        <v>3771</v>
      </c>
      <c r="H3447" s="126" t="s">
        <v>4911</v>
      </c>
      <c r="I3447" s="128"/>
      <c r="J3447" s="128" t="s">
        <v>5364</v>
      </c>
      <c r="K3447" s="128" t="s">
        <v>4922</v>
      </c>
      <c r="L3447" s="151" t="s">
        <v>5829</v>
      </c>
      <c r="M3447" s="137" t="s">
        <v>291</v>
      </c>
      <c r="N3447" s="108"/>
      <c r="O3447" s="93" t="s">
        <v>4924</v>
      </c>
      <c r="P3447" s="20"/>
      <c r="Q3447" s="20"/>
    </row>
    <row r="3448" spans="1:17" ht="24.9" customHeight="1">
      <c r="A3448" s="20">
        <v>461</v>
      </c>
      <c r="B3448" s="20" t="s">
        <v>4351</v>
      </c>
      <c r="C3448" s="19"/>
      <c r="D3448" s="20" t="s">
        <v>2051</v>
      </c>
      <c r="E3448" s="19" t="str">
        <f>VLOOKUP(D3448,'لیست پرسنل'!$B$2:$E$1020,3,FALSE)</f>
        <v>فکورصنعت</v>
      </c>
      <c r="F3448" s="19" t="str">
        <f>VLOOKUP(D3448,'لیست پرسنل'!$B$2:$E$1020,4,FALSE)</f>
        <v>انبار</v>
      </c>
      <c r="G3448" s="127">
        <f>VLOOKUP(D3448,'لیست پرسنل'!$B$2:$F$1020,2,FALSE)</f>
        <v>3771</v>
      </c>
      <c r="H3448" s="126" t="s">
        <v>4911</v>
      </c>
      <c r="I3448" s="128"/>
      <c r="J3448" s="128" t="s">
        <v>5364</v>
      </c>
      <c r="K3448" s="128" t="s">
        <v>4922</v>
      </c>
      <c r="L3448" s="151" t="s">
        <v>5829</v>
      </c>
      <c r="M3448" s="128" t="s">
        <v>291</v>
      </c>
      <c r="N3448" s="108"/>
      <c r="O3448" s="93" t="s">
        <v>4924</v>
      </c>
      <c r="P3448" s="20"/>
      <c r="Q3448" s="20"/>
    </row>
    <row r="3449" spans="1:17" ht="24.9" customHeight="1">
      <c r="A3449" s="20">
        <v>461</v>
      </c>
      <c r="B3449" s="20" t="s">
        <v>4351</v>
      </c>
      <c r="C3449" s="19"/>
      <c r="D3449" s="20" t="s">
        <v>2051</v>
      </c>
      <c r="E3449" s="19" t="str">
        <f>VLOOKUP(D3449,'لیست پرسنل'!$B$2:$E$1020,3,FALSE)</f>
        <v>فکورصنعت</v>
      </c>
      <c r="F3449" s="19" t="str">
        <f>VLOOKUP(D3449,'لیست پرسنل'!$B$2:$E$1020,4,FALSE)</f>
        <v>انبار</v>
      </c>
      <c r="G3449" s="127">
        <f>VLOOKUP(D3449,'لیست پرسنل'!$B$2:$F$1020,2,FALSE)</f>
        <v>3771</v>
      </c>
      <c r="H3449" s="126" t="s">
        <v>4911</v>
      </c>
      <c r="I3449" s="128"/>
      <c r="J3449" s="128" t="s">
        <v>5364</v>
      </c>
      <c r="K3449" s="128" t="s">
        <v>4922</v>
      </c>
      <c r="L3449" s="151" t="s">
        <v>5829</v>
      </c>
      <c r="M3449" s="128" t="s">
        <v>291</v>
      </c>
      <c r="N3449" s="108"/>
      <c r="O3449" s="93" t="s">
        <v>4924</v>
      </c>
      <c r="P3449" s="20"/>
      <c r="Q3449" s="20"/>
    </row>
    <row r="3450" spans="1:17" ht="24.9" customHeight="1">
      <c r="A3450" s="20">
        <v>461</v>
      </c>
      <c r="B3450" s="20" t="s">
        <v>4351</v>
      </c>
      <c r="C3450" s="19"/>
      <c r="D3450" s="20" t="s">
        <v>2051</v>
      </c>
      <c r="E3450" s="19" t="str">
        <f>VLOOKUP(D3450,'لیست پرسنل'!$B$2:$E$1020,3,FALSE)</f>
        <v>فکورصنعت</v>
      </c>
      <c r="F3450" s="19" t="str">
        <f>VLOOKUP(D3450,'لیست پرسنل'!$B$2:$E$1020,4,FALSE)</f>
        <v>انبار</v>
      </c>
      <c r="G3450" s="127">
        <f>VLOOKUP(D3450,'لیست پرسنل'!$B$2:$F$1020,2,FALSE)</f>
        <v>3771</v>
      </c>
      <c r="H3450" s="126" t="s">
        <v>4911</v>
      </c>
      <c r="I3450" s="128"/>
      <c r="J3450" s="128" t="s">
        <v>5364</v>
      </c>
      <c r="K3450" s="128" t="s">
        <v>4922</v>
      </c>
      <c r="L3450" s="151" t="s">
        <v>5829</v>
      </c>
      <c r="M3450" s="128" t="s">
        <v>291</v>
      </c>
      <c r="N3450" s="108"/>
      <c r="O3450" s="93" t="s">
        <v>4924</v>
      </c>
      <c r="P3450" s="20"/>
      <c r="Q3450" s="20"/>
    </row>
    <row r="3451" spans="1:17" ht="24.9" customHeight="1">
      <c r="A3451" s="20">
        <v>461</v>
      </c>
      <c r="B3451" s="20" t="s">
        <v>4351</v>
      </c>
      <c r="C3451" s="19"/>
      <c r="D3451" s="20" t="s">
        <v>2051</v>
      </c>
      <c r="E3451" s="19" t="str">
        <f>VLOOKUP(D3451,'لیست پرسنل'!$B$2:$E$1020,3,FALSE)</f>
        <v>فکورصنعت</v>
      </c>
      <c r="F3451" s="19" t="str">
        <f>VLOOKUP(D3451,'لیست پرسنل'!$B$2:$E$1020,4,FALSE)</f>
        <v>انبار</v>
      </c>
      <c r="G3451" s="127">
        <f>VLOOKUP(D3451,'لیست پرسنل'!$B$2:$F$1020,2,FALSE)</f>
        <v>3771</v>
      </c>
      <c r="H3451" s="126" t="s">
        <v>4911</v>
      </c>
      <c r="I3451" s="128"/>
      <c r="J3451" s="128" t="s">
        <v>5364</v>
      </c>
      <c r="K3451" s="128" t="s">
        <v>4922</v>
      </c>
      <c r="L3451" s="151" t="s">
        <v>5829</v>
      </c>
      <c r="M3451" s="128" t="s">
        <v>291</v>
      </c>
      <c r="N3451" s="108"/>
      <c r="O3451" s="93" t="s">
        <v>4924</v>
      </c>
      <c r="P3451" s="20"/>
      <c r="Q3451" s="20"/>
    </row>
    <row r="3452" spans="1:17" ht="24.9" customHeight="1">
      <c r="A3452" s="20">
        <v>461</v>
      </c>
      <c r="B3452" s="20" t="s">
        <v>4351</v>
      </c>
      <c r="C3452" s="19"/>
      <c r="D3452" s="20" t="s">
        <v>2051</v>
      </c>
      <c r="E3452" s="19" t="str">
        <f>VLOOKUP(D3452,'لیست پرسنل'!$B$2:$E$1020,3,FALSE)</f>
        <v>فکورصنعت</v>
      </c>
      <c r="F3452" s="19" t="str">
        <f>VLOOKUP(D3452,'لیست پرسنل'!$B$2:$E$1020,4,FALSE)</f>
        <v>انبار</v>
      </c>
      <c r="G3452" s="127">
        <f>VLOOKUP(D3452,'لیست پرسنل'!$B$2:$F$1020,2,FALSE)</f>
        <v>3771</v>
      </c>
      <c r="H3452" s="126" t="s">
        <v>4911</v>
      </c>
      <c r="I3452" s="128"/>
      <c r="J3452" s="128" t="s">
        <v>5364</v>
      </c>
      <c r="K3452" s="128" t="s">
        <v>4922</v>
      </c>
      <c r="L3452" s="151" t="s">
        <v>5829</v>
      </c>
      <c r="M3452" s="128" t="s">
        <v>291</v>
      </c>
      <c r="N3452" s="108"/>
      <c r="O3452" s="93" t="s">
        <v>4924</v>
      </c>
      <c r="P3452" s="20"/>
      <c r="Q3452" s="20"/>
    </row>
    <row r="3453" spans="1:17" ht="24.9" customHeight="1">
      <c r="A3453" s="20">
        <v>461</v>
      </c>
      <c r="B3453" s="20" t="s">
        <v>4351</v>
      </c>
      <c r="C3453" s="19"/>
      <c r="D3453" s="20" t="s">
        <v>2051</v>
      </c>
      <c r="E3453" s="19" t="str">
        <f>VLOOKUP(D3453,'لیست پرسنل'!$B$2:$E$1020,3,FALSE)</f>
        <v>فکورصنعت</v>
      </c>
      <c r="F3453" s="19" t="str">
        <f>VLOOKUP(D3453,'لیست پرسنل'!$B$2:$E$1020,4,FALSE)</f>
        <v>انبار</v>
      </c>
      <c r="G3453" s="127">
        <f>VLOOKUP(D3453,'لیست پرسنل'!$B$2:$F$1020,2,FALSE)</f>
        <v>3771</v>
      </c>
      <c r="H3453" s="126" t="s">
        <v>4911</v>
      </c>
      <c r="I3453" s="128"/>
      <c r="J3453" s="128" t="s">
        <v>5364</v>
      </c>
      <c r="K3453" s="128" t="s">
        <v>4922</v>
      </c>
      <c r="L3453" s="151" t="s">
        <v>5829</v>
      </c>
      <c r="M3453" s="128" t="s">
        <v>291</v>
      </c>
      <c r="N3453" s="108"/>
      <c r="O3453" s="93" t="s">
        <v>4924</v>
      </c>
      <c r="P3453" s="20"/>
      <c r="Q3453" s="20"/>
    </row>
    <row r="3454" spans="1:17" ht="24.9" customHeight="1">
      <c r="A3454" s="20">
        <v>461</v>
      </c>
      <c r="B3454" s="20" t="s">
        <v>4351</v>
      </c>
      <c r="C3454" s="19"/>
      <c r="D3454" s="20" t="s">
        <v>2051</v>
      </c>
      <c r="E3454" s="19" t="str">
        <f>VLOOKUP(D3454,'لیست پرسنل'!$B$2:$E$1020,3,FALSE)</f>
        <v>فکورصنعت</v>
      </c>
      <c r="F3454" s="19" t="str">
        <f>VLOOKUP(D3454,'لیست پرسنل'!$B$2:$E$1020,4,FALSE)</f>
        <v>انبار</v>
      </c>
      <c r="G3454" s="127">
        <f>VLOOKUP(D3454,'لیست پرسنل'!$B$2:$F$1020,2,FALSE)</f>
        <v>3771</v>
      </c>
      <c r="H3454" s="126" t="s">
        <v>4911</v>
      </c>
      <c r="I3454" s="128"/>
      <c r="J3454" s="128" t="s">
        <v>5364</v>
      </c>
      <c r="K3454" s="128" t="s">
        <v>4922</v>
      </c>
      <c r="L3454" s="151" t="s">
        <v>5829</v>
      </c>
      <c r="M3454" s="128" t="s">
        <v>291</v>
      </c>
      <c r="N3454" s="108"/>
      <c r="O3454" s="93" t="s">
        <v>4924</v>
      </c>
      <c r="P3454" s="20"/>
      <c r="Q3454" s="20"/>
    </row>
    <row r="3455" spans="1:17" ht="24.9" customHeight="1">
      <c r="A3455" s="20">
        <v>461</v>
      </c>
      <c r="B3455" s="20" t="s">
        <v>4351</v>
      </c>
      <c r="C3455" s="19"/>
      <c r="D3455" s="20" t="s">
        <v>2051</v>
      </c>
      <c r="E3455" s="19" t="str">
        <f>VLOOKUP(D3455,'لیست پرسنل'!$B$2:$E$1020,3,FALSE)</f>
        <v>فکورصنعت</v>
      </c>
      <c r="F3455" s="19" t="str">
        <f>VLOOKUP(D3455,'لیست پرسنل'!$B$2:$E$1020,4,FALSE)</f>
        <v>انبار</v>
      </c>
      <c r="G3455" s="127">
        <f>VLOOKUP(D3455,'لیست پرسنل'!$B$2:$F$1020,2,FALSE)</f>
        <v>3771</v>
      </c>
      <c r="H3455" s="126" t="s">
        <v>4911</v>
      </c>
      <c r="I3455" s="128"/>
      <c r="J3455" s="128" t="s">
        <v>5364</v>
      </c>
      <c r="K3455" s="128" t="s">
        <v>4922</v>
      </c>
      <c r="L3455" s="151" t="s">
        <v>5829</v>
      </c>
      <c r="M3455" s="128" t="s">
        <v>291</v>
      </c>
      <c r="N3455" s="108"/>
      <c r="O3455" s="93" t="s">
        <v>4924</v>
      </c>
      <c r="P3455" s="20"/>
      <c r="Q3455" s="20"/>
    </row>
    <row r="3456" spans="1:17" ht="24.9" customHeight="1">
      <c r="A3456" s="20">
        <v>461</v>
      </c>
      <c r="B3456" s="20" t="s">
        <v>4351</v>
      </c>
      <c r="C3456" s="19"/>
      <c r="D3456" s="20" t="s">
        <v>2051</v>
      </c>
      <c r="E3456" s="19" t="str">
        <f>VLOOKUP(D3456,'لیست پرسنل'!$B$2:$E$1020,3,FALSE)</f>
        <v>فکورصنعت</v>
      </c>
      <c r="F3456" s="19" t="str">
        <f>VLOOKUP(D3456,'لیست پرسنل'!$B$2:$E$1020,4,FALSE)</f>
        <v>انبار</v>
      </c>
      <c r="G3456" s="127">
        <f>VLOOKUP(D3456,'لیست پرسنل'!$B$2:$F$1020,2,FALSE)</f>
        <v>3771</v>
      </c>
      <c r="H3456" s="126" t="s">
        <v>4911</v>
      </c>
      <c r="I3456" s="128"/>
      <c r="J3456" s="128" t="s">
        <v>5364</v>
      </c>
      <c r="K3456" s="128" t="s">
        <v>4922</v>
      </c>
      <c r="L3456" s="151" t="s">
        <v>5829</v>
      </c>
      <c r="M3456" s="128" t="s">
        <v>291</v>
      </c>
      <c r="N3456" s="108"/>
      <c r="O3456" s="93" t="s">
        <v>4924</v>
      </c>
      <c r="P3456" s="20"/>
      <c r="Q3456" s="20"/>
    </row>
    <row r="3457" spans="1:17" ht="24.9" customHeight="1">
      <c r="A3457" s="20">
        <v>461</v>
      </c>
      <c r="B3457" s="20" t="s">
        <v>4351</v>
      </c>
      <c r="C3457" s="19"/>
      <c r="D3457" s="20" t="s">
        <v>2051</v>
      </c>
      <c r="E3457" s="19" t="str">
        <f>VLOOKUP(D3457,'لیست پرسنل'!$B$2:$E$1020,3,FALSE)</f>
        <v>فکورصنعت</v>
      </c>
      <c r="F3457" s="19" t="str">
        <f>VLOOKUP(D3457,'لیست پرسنل'!$B$2:$E$1020,4,FALSE)</f>
        <v>انبار</v>
      </c>
      <c r="G3457" s="127">
        <f>VLOOKUP(D3457,'لیست پرسنل'!$B$2:$F$1020,2,FALSE)</f>
        <v>3771</v>
      </c>
      <c r="H3457" s="126" t="s">
        <v>4911</v>
      </c>
      <c r="I3457" s="128"/>
      <c r="J3457" s="128" t="s">
        <v>5364</v>
      </c>
      <c r="K3457" s="128" t="s">
        <v>4922</v>
      </c>
      <c r="L3457" s="151" t="s">
        <v>5829</v>
      </c>
      <c r="M3457" s="128" t="s">
        <v>291</v>
      </c>
      <c r="N3457" s="108"/>
      <c r="O3457" s="93" t="s">
        <v>4924</v>
      </c>
      <c r="P3457" s="20"/>
      <c r="Q3457" s="20"/>
    </row>
    <row r="3458" spans="1:17" ht="24.9" customHeight="1">
      <c r="A3458" s="20">
        <v>461</v>
      </c>
      <c r="B3458" s="20" t="s">
        <v>4351</v>
      </c>
      <c r="C3458" s="19"/>
      <c r="D3458" s="20" t="s">
        <v>2051</v>
      </c>
      <c r="E3458" s="19" t="str">
        <f>VLOOKUP(D3458,'لیست پرسنل'!$B$2:$E$1020,3,FALSE)</f>
        <v>فکورصنعت</v>
      </c>
      <c r="F3458" s="19" t="str">
        <f>VLOOKUP(D3458,'لیست پرسنل'!$B$2:$E$1020,4,FALSE)</f>
        <v>انبار</v>
      </c>
      <c r="G3458" s="127">
        <f>VLOOKUP(D3458,'لیست پرسنل'!$B$2:$F$1020,2,FALSE)</f>
        <v>3771</v>
      </c>
      <c r="H3458" s="126" t="s">
        <v>4911</v>
      </c>
      <c r="I3458" s="128"/>
      <c r="J3458" s="128" t="s">
        <v>5364</v>
      </c>
      <c r="K3458" s="128" t="s">
        <v>4922</v>
      </c>
      <c r="L3458" s="151" t="s">
        <v>5829</v>
      </c>
      <c r="M3458" s="128" t="s">
        <v>291</v>
      </c>
      <c r="N3458" s="108"/>
      <c r="O3458" s="93" t="s">
        <v>4924</v>
      </c>
      <c r="P3458" s="20"/>
      <c r="Q3458" s="20"/>
    </row>
    <row r="3459" spans="1:17" ht="24.9" customHeight="1">
      <c r="A3459" s="20">
        <v>461</v>
      </c>
      <c r="B3459" s="20" t="s">
        <v>4351</v>
      </c>
      <c r="C3459" s="19"/>
      <c r="D3459" s="20" t="s">
        <v>2051</v>
      </c>
      <c r="E3459" s="19" t="str">
        <f>VLOOKUP(D3459,'لیست پرسنل'!$B$2:$E$1020,3,FALSE)</f>
        <v>فکورصنعت</v>
      </c>
      <c r="F3459" s="19" t="str">
        <f>VLOOKUP(D3459,'لیست پرسنل'!$B$2:$E$1020,4,FALSE)</f>
        <v>انبار</v>
      </c>
      <c r="G3459" s="127">
        <f>VLOOKUP(D3459,'لیست پرسنل'!$B$2:$F$1020,2,FALSE)</f>
        <v>3771</v>
      </c>
      <c r="H3459" s="126" t="s">
        <v>4911</v>
      </c>
      <c r="I3459" s="128"/>
      <c r="J3459" s="128" t="s">
        <v>5364</v>
      </c>
      <c r="K3459" s="128" t="s">
        <v>4922</v>
      </c>
      <c r="L3459" s="151" t="s">
        <v>5829</v>
      </c>
      <c r="M3459" s="128" t="s">
        <v>291</v>
      </c>
      <c r="N3459" s="108"/>
      <c r="O3459" s="93" t="s">
        <v>4924</v>
      </c>
      <c r="P3459" s="20"/>
      <c r="Q3459" s="20"/>
    </row>
    <row r="3460" spans="1:17" ht="24.9" customHeight="1">
      <c r="A3460" s="20">
        <v>461</v>
      </c>
      <c r="B3460" s="20" t="s">
        <v>4351</v>
      </c>
      <c r="C3460" s="19"/>
      <c r="D3460" s="20" t="s">
        <v>2051</v>
      </c>
      <c r="E3460" s="19" t="str">
        <f>VLOOKUP(D3460,'لیست پرسنل'!$B$2:$E$1020,3,FALSE)</f>
        <v>فکورصنعت</v>
      </c>
      <c r="F3460" s="19" t="str">
        <f>VLOOKUP(D3460,'لیست پرسنل'!$B$2:$E$1020,4,FALSE)</f>
        <v>انبار</v>
      </c>
      <c r="G3460" s="127">
        <f>VLOOKUP(D3460,'لیست پرسنل'!$B$2:$F$1020,2,FALSE)</f>
        <v>3771</v>
      </c>
      <c r="H3460" s="126" t="s">
        <v>4911</v>
      </c>
      <c r="I3460" s="128"/>
      <c r="J3460" s="128" t="s">
        <v>5364</v>
      </c>
      <c r="K3460" s="128" t="s">
        <v>4922</v>
      </c>
      <c r="L3460" s="151" t="s">
        <v>5829</v>
      </c>
      <c r="M3460" s="128" t="s">
        <v>291</v>
      </c>
      <c r="N3460" s="108"/>
      <c r="O3460" s="93" t="s">
        <v>4924</v>
      </c>
      <c r="P3460" s="20"/>
      <c r="Q3460" s="20"/>
    </row>
    <row r="3461" spans="1:17" ht="24.9" customHeight="1">
      <c r="A3461" s="20">
        <v>461</v>
      </c>
      <c r="B3461" s="20" t="s">
        <v>4351</v>
      </c>
      <c r="C3461" s="19"/>
      <c r="D3461" s="20" t="s">
        <v>2051</v>
      </c>
      <c r="E3461" s="19" t="str">
        <f>VLOOKUP(D3461,'لیست پرسنل'!$B$2:$E$1020,3,FALSE)</f>
        <v>فکورصنعت</v>
      </c>
      <c r="F3461" s="19" t="str">
        <f>VLOOKUP(D3461,'لیست پرسنل'!$B$2:$E$1020,4,FALSE)</f>
        <v>انبار</v>
      </c>
      <c r="G3461" s="127">
        <f>VLOOKUP(D3461,'لیست پرسنل'!$B$2:$F$1020,2,FALSE)</f>
        <v>3771</v>
      </c>
      <c r="H3461" s="126" t="s">
        <v>4911</v>
      </c>
      <c r="I3461" s="128"/>
      <c r="J3461" s="128" t="s">
        <v>5364</v>
      </c>
      <c r="K3461" s="128" t="s">
        <v>4922</v>
      </c>
      <c r="L3461" s="151" t="s">
        <v>5829</v>
      </c>
      <c r="M3461" s="128" t="s">
        <v>291</v>
      </c>
      <c r="N3461" s="108"/>
      <c r="O3461" s="93" t="s">
        <v>4924</v>
      </c>
      <c r="P3461" s="20"/>
      <c r="Q3461" s="20"/>
    </row>
    <row r="3462" spans="1:17" ht="24.9" customHeight="1">
      <c r="A3462" s="20">
        <v>461</v>
      </c>
      <c r="B3462" s="20" t="s">
        <v>4351</v>
      </c>
      <c r="C3462" s="20"/>
      <c r="D3462" s="20" t="s">
        <v>2051</v>
      </c>
      <c r="E3462" s="19" t="str">
        <f>VLOOKUP(D3462,'لیست پرسنل'!$B$2:$E$1020,3,FALSE)</f>
        <v>فکورصنعت</v>
      </c>
      <c r="F3462" s="19" t="str">
        <f>VLOOKUP(D3462,'لیست پرسنل'!$B$2:$E$1020,4,FALSE)</f>
        <v>انبار</v>
      </c>
      <c r="G3462" s="127">
        <f>VLOOKUP(D3462,'لیست پرسنل'!$B$2:$F$1020,2,FALSE)</f>
        <v>3771</v>
      </c>
      <c r="H3462" s="128" t="s">
        <v>7005</v>
      </c>
      <c r="I3462" s="128"/>
      <c r="J3462" s="128" t="s">
        <v>5366</v>
      </c>
      <c r="K3462" s="127" t="s">
        <v>4435</v>
      </c>
      <c r="L3462" s="151" t="s">
        <v>7006</v>
      </c>
      <c r="M3462" s="134">
        <v>623302</v>
      </c>
      <c r="N3462" s="108" t="s">
        <v>6815</v>
      </c>
      <c r="O3462" s="32" t="s">
        <v>2676</v>
      </c>
      <c r="P3462" s="20"/>
      <c r="Q3462" s="20"/>
    </row>
    <row r="3463" spans="1:17" ht="24.9" customHeight="1">
      <c r="A3463" s="20">
        <v>461</v>
      </c>
      <c r="B3463" s="20" t="s">
        <v>4351</v>
      </c>
      <c r="C3463" s="19"/>
      <c r="D3463" s="20" t="s">
        <v>2051</v>
      </c>
      <c r="E3463" s="19" t="str">
        <f>VLOOKUP(D3463,'لیست پرسنل'!$B$2:$E$1020,3,FALSE)</f>
        <v>فکورصنعت</v>
      </c>
      <c r="F3463" s="19" t="str">
        <f>VLOOKUP(D3463,'لیست پرسنل'!$B$2:$E$1020,4,FALSE)</f>
        <v>انبار</v>
      </c>
      <c r="G3463" s="127">
        <f>VLOOKUP(D3463,'لیست پرسنل'!$B$2:$F$1020,2,FALSE)</f>
        <v>3771</v>
      </c>
      <c r="H3463" s="128" t="s">
        <v>7004</v>
      </c>
      <c r="I3463" s="128"/>
      <c r="J3463" s="128" t="s">
        <v>5366</v>
      </c>
      <c r="K3463" s="128" t="s">
        <v>8242</v>
      </c>
      <c r="L3463" s="127"/>
      <c r="M3463" s="127">
        <v>634316</v>
      </c>
      <c r="N3463" s="109"/>
      <c r="O3463" s="19"/>
      <c r="P3463" s="32"/>
      <c r="Q3463" s="32"/>
    </row>
    <row r="3464" spans="1:17" ht="24.9" customHeight="1">
      <c r="A3464" s="20">
        <v>461</v>
      </c>
      <c r="B3464" s="20" t="s">
        <v>4351</v>
      </c>
      <c r="C3464" s="19"/>
      <c r="D3464" s="19" t="s">
        <v>2051</v>
      </c>
      <c r="E3464" s="19" t="str">
        <f>VLOOKUP(D3464,'لیست پرسنل'!$B$2:$E$1020,3,FALSE)</f>
        <v>فکورصنعت</v>
      </c>
      <c r="F3464" s="19" t="str">
        <f>VLOOKUP(D3464,'لیست پرسنل'!$B$2:$E$1020,4,FALSE)</f>
        <v>انبار</v>
      </c>
      <c r="G3464" s="127">
        <f>VLOOKUP(D3464,'لیست پرسنل'!$B$2:$F$1020,2,FALSE)</f>
        <v>3771</v>
      </c>
      <c r="H3464" s="126" t="s">
        <v>7172</v>
      </c>
      <c r="I3464" s="128"/>
      <c r="J3464" s="128" t="s">
        <v>3532</v>
      </c>
      <c r="K3464" s="128" t="s">
        <v>5208</v>
      </c>
      <c r="L3464" s="128" t="s">
        <v>7173</v>
      </c>
      <c r="M3464" s="133">
        <v>633783</v>
      </c>
      <c r="N3464" s="109" t="s">
        <v>2051</v>
      </c>
      <c r="O3464" s="19" t="s">
        <v>6429</v>
      </c>
      <c r="P3464" s="32"/>
      <c r="Q3464" s="32"/>
    </row>
    <row r="3465" spans="1:17" ht="24.9" customHeight="1">
      <c r="A3465" s="20">
        <v>461</v>
      </c>
      <c r="B3465" s="20" t="s">
        <v>4351</v>
      </c>
      <c r="C3465" s="19"/>
      <c r="D3465" s="20" t="s">
        <v>2051</v>
      </c>
      <c r="E3465" s="19" t="str">
        <f>VLOOKUP(D3465,'لیست پرسنل'!$B$2:$E$1020,3,FALSE)</f>
        <v>فکورصنعت</v>
      </c>
      <c r="F3465" s="19" t="str">
        <f>VLOOKUP(D3465,'لیست پرسنل'!$B$2:$E$1020,4,FALSE)</f>
        <v>انبار</v>
      </c>
      <c r="G3465" s="127">
        <f>VLOOKUP(D3465,'لیست پرسنل'!$B$2:$F$1020,2,FALSE)</f>
        <v>3771</v>
      </c>
      <c r="H3465" s="126" t="s">
        <v>4324</v>
      </c>
      <c r="I3465" s="128"/>
      <c r="J3465" s="128" t="s">
        <v>3532</v>
      </c>
      <c r="K3465" s="128" t="s">
        <v>2087</v>
      </c>
      <c r="L3465" s="151" t="s">
        <v>2112</v>
      </c>
      <c r="M3465" s="128">
        <v>628306</v>
      </c>
      <c r="N3465" s="108" t="s">
        <v>4555</v>
      </c>
      <c r="O3465" s="28"/>
      <c r="P3465" s="20"/>
      <c r="Q3465" s="20"/>
    </row>
    <row r="3466" spans="1:17" ht="24.9" customHeight="1">
      <c r="A3466" s="20">
        <v>461</v>
      </c>
      <c r="B3466" s="20" t="s">
        <v>4351</v>
      </c>
      <c r="C3466" s="19"/>
      <c r="D3466" s="20" t="s">
        <v>2051</v>
      </c>
      <c r="E3466" s="19" t="str">
        <f>VLOOKUP(D3466,'لیست پرسنل'!$B$2:$E$1020,3,FALSE)</f>
        <v>فکورصنعت</v>
      </c>
      <c r="F3466" s="19" t="str">
        <f>VLOOKUP(D3466,'لیست پرسنل'!$B$2:$E$1020,4,FALSE)</f>
        <v>انبار</v>
      </c>
      <c r="G3466" s="127">
        <f>VLOOKUP(D3466,'لیست پرسنل'!$B$2:$F$1020,2,FALSE)</f>
        <v>3771</v>
      </c>
      <c r="H3466" s="126" t="s">
        <v>4324</v>
      </c>
      <c r="I3466" s="128"/>
      <c r="J3466" s="128" t="s">
        <v>3532</v>
      </c>
      <c r="K3466" s="128" t="s">
        <v>2087</v>
      </c>
      <c r="L3466" s="151" t="s">
        <v>2113</v>
      </c>
      <c r="M3466" s="128">
        <v>628307</v>
      </c>
      <c r="N3466" s="108" t="s">
        <v>4556</v>
      </c>
      <c r="O3466" s="28"/>
      <c r="P3466" s="20"/>
      <c r="Q3466" s="20"/>
    </row>
    <row r="3467" spans="1:17" ht="24.9" customHeight="1">
      <c r="A3467" s="20">
        <v>461</v>
      </c>
      <c r="B3467" s="20" t="s">
        <v>4351</v>
      </c>
      <c r="C3467" s="19"/>
      <c r="D3467" s="20" t="s">
        <v>2051</v>
      </c>
      <c r="E3467" s="19" t="str">
        <f>VLOOKUP(D3467,'لیست پرسنل'!$B$2:$E$1020,3,FALSE)</f>
        <v>فکورصنعت</v>
      </c>
      <c r="F3467" s="19" t="str">
        <f>VLOOKUP(D3467,'لیست پرسنل'!$B$2:$E$1020,4,FALSE)</f>
        <v>انبار</v>
      </c>
      <c r="G3467" s="127">
        <f>VLOOKUP(D3467,'لیست پرسنل'!$B$2:$F$1020,2,FALSE)</f>
        <v>3771</v>
      </c>
      <c r="H3467" s="126" t="s">
        <v>4324</v>
      </c>
      <c r="I3467" s="128"/>
      <c r="J3467" s="128" t="s">
        <v>3532</v>
      </c>
      <c r="K3467" s="128" t="s">
        <v>2087</v>
      </c>
      <c r="L3467" s="151" t="s">
        <v>2114</v>
      </c>
      <c r="M3467" s="128">
        <v>628308</v>
      </c>
      <c r="N3467" s="108" t="s">
        <v>4557</v>
      </c>
      <c r="O3467" s="28"/>
      <c r="P3467" s="20"/>
      <c r="Q3467" s="20"/>
    </row>
    <row r="3468" spans="1:17" ht="24.9" customHeight="1">
      <c r="A3468" s="20">
        <v>461</v>
      </c>
      <c r="B3468" s="20" t="s">
        <v>4351</v>
      </c>
      <c r="C3468" s="19"/>
      <c r="D3468" s="20" t="s">
        <v>2051</v>
      </c>
      <c r="E3468" s="19" t="str">
        <f>VLOOKUP(D3468,'لیست پرسنل'!$B$2:$E$1020,3,FALSE)</f>
        <v>فکورصنعت</v>
      </c>
      <c r="F3468" s="19" t="str">
        <f>VLOOKUP(D3468,'لیست پرسنل'!$B$2:$E$1020,4,FALSE)</f>
        <v>انبار</v>
      </c>
      <c r="G3468" s="127">
        <f>VLOOKUP(D3468,'لیست پرسنل'!$B$2:$F$1020,2,FALSE)</f>
        <v>3771</v>
      </c>
      <c r="H3468" s="126" t="s">
        <v>4324</v>
      </c>
      <c r="I3468" s="128"/>
      <c r="J3468" s="128" t="s">
        <v>3532</v>
      </c>
      <c r="K3468" s="128" t="s">
        <v>2087</v>
      </c>
      <c r="L3468" s="151" t="s">
        <v>2115</v>
      </c>
      <c r="M3468" s="128">
        <v>628309</v>
      </c>
      <c r="N3468" s="108" t="s">
        <v>4558</v>
      </c>
      <c r="O3468" s="28"/>
      <c r="P3468" s="20"/>
      <c r="Q3468" s="20"/>
    </row>
    <row r="3469" spans="1:17" ht="24.9" customHeight="1">
      <c r="A3469" s="20">
        <v>461</v>
      </c>
      <c r="B3469" s="20" t="s">
        <v>4351</v>
      </c>
      <c r="C3469" s="19"/>
      <c r="D3469" s="20" t="s">
        <v>2051</v>
      </c>
      <c r="E3469" s="19" t="str">
        <f>VLOOKUP(D3469,'لیست پرسنل'!$B$2:$E$1020,3,FALSE)</f>
        <v>فکورصنعت</v>
      </c>
      <c r="F3469" s="19" t="str">
        <f>VLOOKUP(D3469,'لیست پرسنل'!$B$2:$E$1020,4,FALSE)</f>
        <v>انبار</v>
      </c>
      <c r="G3469" s="127">
        <f>VLOOKUP(D3469,'لیست پرسنل'!$B$2:$F$1020,2,FALSE)</f>
        <v>3771</v>
      </c>
      <c r="H3469" s="126" t="s">
        <v>4324</v>
      </c>
      <c r="I3469" s="128"/>
      <c r="J3469" s="128" t="s">
        <v>3532</v>
      </c>
      <c r="K3469" s="128" t="s">
        <v>2087</v>
      </c>
      <c r="L3469" s="151" t="s">
        <v>2116</v>
      </c>
      <c r="M3469" s="128">
        <v>628310</v>
      </c>
      <c r="N3469" s="108" t="s">
        <v>4559</v>
      </c>
      <c r="O3469" s="28"/>
      <c r="P3469" s="20"/>
      <c r="Q3469" s="20"/>
    </row>
    <row r="3470" spans="1:17" ht="24.9" customHeight="1">
      <c r="A3470" s="20">
        <v>461</v>
      </c>
      <c r="B3470" s="20" t="s">
        <v>4351</v>
      </c>
      <c r="C3470" s="19"/>
      <c r="D3470" s="20" t="s">
        <v>2051</v>
      </c>
      <c r="E3470" s="19" t="str">
        <f>VLOOKUP(D3470,'لیست پرسنل'!$B$2:$E$1020,3,FALSE)</f>
        <v>فکورصنعت</v>
      </c>
      <c r="F3470" s="19" t="str">
        <f>VLOOKUP(D3470,'لیست پرسنل'!$B$2:$E$1020,4,FALSE)</f>
        <v>انبار</v>
      </c>
      <c r="G3470" s="127">
        <f>VLOOKUP(D3470,'لیست پرسنل'!$B$2:$F$1020,2,FALSE)</f>
        <v>3771</v>
      </c>
      <c r="H3470" s="126" t="s">
        <v>4324</v>
      </c>
      <c r="I3470" s="128"/>
      <c r="J3470" s="128" t="s">
        <v>3532</v>
      </c>
      <c r="K3470" s="128" t="s">
        <v>2087</v>
      </c>
      <c r="L3470" s="151" t="s">
        <v>2117</v>
      </c>
      <c r="M3470" s="128">
        <v>628311</v>
      </c>
      <c r="N3470" s="108" t="s">
        <v>4560</v>
      </c>
      <c r="O3470" s="28"/>
      <c r="P3470" s="20"/>
      <c r="Q3470" s="20"/>
    </row>
    <row r="3471" spans="1:17" ht="24.9" customHeight="1">
      <c r="A3471" s="20">
        <v>461</v>
      </c>
      <c r="B3471" s="20" t="s">
        <v>4351</v>
      </c>
      <c r="C3471" s="19"/>
      <c r="D3471" s="20" t="s">
        <v>2051</v>
      </c>
      <c r="E3471" s="19" t="str">
        <f>VLOOKUP(D3471,'لیست پرسنل'!$B$2:$E$1020,3,FALSE)</f>
        <v>فکورصنعت</v>
      </c>
      <c r="F3471" s="19" t="str">
        <f>VLOOKUP(D3471,'لیست پرسنل'!$B$2:$E$1020,4,FALSE)</f>
        <v>انبار</v>
      </c>
      <c r="G3471" s="127">
        <f>VLOOKUP(D3471,'لیست پرسنل'!$B$2:$F$1020,2,FALSE)</f>
        <v>3771</v>
      </c>
      <c r="H3471" s="126" t="s">
        <v>4324</v>
      </c>
      <c r="I3471" s="128"/>
      <c r="J3471" s="128" t="s">
        <v>3532</v>
      </c>
      <c r="K3471" s="128" t="s">
        <v>2087</v>
      </c>
      <c r="L3471" s="151" t="s">
        <v>2118</v>
      </c>
      <c r="M3471" s="128">
        <v>628312</v>
      </c>
      <c r="N3471" s="108" t="s">
        <v>4561</v>
      </c>
      <c r="O3471" s="28"/>
      <c r="P3471" s="20"/>
      <c r="Q3471" s="20"/>
    </row>
    <row r="3472" spans="1:17" ht="24.9" customHeight="1">
      <c r="A3472" s="20">
        <v>461</v>
      </c>
      <c r="B3472" s="20" t="s">
        <v>4351</v>
      </c>
      <c r="C3472" s="19"/>
      <c r="D3472" s="20" t="s">
        <v>2051</v>
      </c>
      <c r="E3472" s="19" t="str">
        <f>VLOOKUP(D3472,'لیست پرسنل'!$B$2:$E$1020,3,FALSE)</f>
        <v>فکورصنعت</v>
      </c>
      <c r="F3472" s="19" t="str">
        <f>VLOOKUP(D3472,'لیست پرسنل'!$B$2:$E$1020,4,FALSE)</f>
        <v>انبار</v>
      </c>
      <c r="G3472" s="127">
        <f>VLOOKUP(D3472,'لیست پرسنل'!$B$2:$F$1020,2,FALSE)</f>
        <v>3771</v>
      </c>
      <c r="H3472" s="126" t="s">
        <v>4324</v>
      </c>
      <c r="I3472" s="128"/>
      <c r="J3472" s="128" t="s">
        <v>3532</v>
      </c>
      <c r="K3472" s="128" t="s">
        <v>2087</v>
      </c>
      <c r="L3472" s="151" t="s">
        <v>2119</v>
      </c>
      <c r="M3472" s="128">
        <v>628313</v>
      </c>
      <c r="N3472" s="108" t="s">
        <v>4562</v>
      </c>
      <c r="O3472" s="28"/>
      <c r="P3472" s="20"/>
      <c r="Q3472" s="20"/>
    </row>
    <row r="3473" spans="1:17" ht="24.9" customHeight="1">
      <c r="A3473" s="20">
        <v>461</v>
      </c>
      <c r="B3473" s="20" t="s">
        <v>4351</v>
      </c>
      <c r="C3473" s="19"/>
      <c r="D3473" s="20" t="s">
        <v>2051</v>
      </c>
      <c r="E3473" s="19" t="str">
        <f>VLOOKUP(D3473,'لیست پرسنل'!$B$2:$E$1020,3,FALSE)</f>
        <v>فکورصنعت</v>
      </c>
      <c r="F3473" s="19" t="str">
        <f>VLOOKUP(D3473,'لیست پرسنل'!$B$2:$E$1020,4,FALSE)</f>
        <v>انبار</v>
      </c>
      <c r="G3473" s="127">
        <f>VLOOKUP(D3473,'لیست پرسنل'!$B$2:$F$1020,2,FALSE)</f>
        <v>3771</v>
      </c>
      <c r="H3473" s="126" t="s">
        <v>4324</v>
      </c>
      <c r="I3473" s="128"/>
      <c r="J3473" s="128" t="s">
        <v>3532</v>
      </c>
      <c r="K3473" s="128" t="s">
        <v>2087</v>
      </c>
      <c r="L3473" s="151" t="s">
        <v>2122</v>
      </c>
      <c r="M3473" s="128">
        <v>628316</v>
      </c>
      <c r="N3473" s="108" t="s">
        <v>4553</v>
      </c>
      <c r="O3473" s="28"/>
      <c r="P3473" s="20"/>
      <c r="Q3473" s="20"/>
    </row>
    <row r="3474" spans="1:17" ht="24.9" customHeight="1">
      <c r="A3474" s="20">
        <v>461</v>
      </c>
      <c r="B3474" s="20" t="s">
        <v>4351</v>
      </c>
      <c r="C3474" s="19"/>
      <c r="D3474" s="20" t="s">
        <v>2051</v>
      </c>
      <c r="E3474" s="19" t="str">
        <f>VLOOKUP(D3474,'لیست پرسنل'!$B$2:$E$1020,3,FALSE)</f>
        <v>فکورصنعت</v>
      </c>
      <c r="F3474" s="19" t="str">
        <f>VLOOKUP(D3474,'لیست پرسنل'!$B$2:$E$1020,4,FALSE)</f>
        <v>انبار</v>
      </c>
      <c r="G3474" s="127">
        <f>VLOOKUP(D3474,'لیست پرسنل'!$B$2:$F$1020,2,FALSE)</f>
        <v>3771</v>
      </c>
      <c r="H3474" s="126" t="s">
        <v>4324</v>
      </c>
      <c r="I3474" s="128"/>
      <c r="J3474" s="128" t="s">
        <v>3532</v>
      </c>
      <c r="K3474" s="128" t="s">
        <v>2087</v>
      </c>
      <c r="L3474" s="151" t="s">
        <v>2123</v>
      </c>
      <c r="M3474" s="128">
        <v>628317</v>
      </c>
      <c r="N3474" s="108" t="s">
        <v>4552</v>
      </c>
      <c r="O3474" s="28"/>
      <c r="P3474" s="20"/>
      <c r="Q3474" s="20"/>
    </row>
    <row r="3475" spans="1:17" ht="24.9" customHeight="1">
      <c r="A3475" s="20">
        <v>461</v>
      </c>
      <c r="B3475" s="20" t="s">
        <v>4351</v>
      </c>
      <c r="C3475" s="19"/>
      <c r="D3475" s="20" t="s">
        <v>2051</v>
      </c>
      <c r="E3475" s="19" t="str">
        <f>VLOOKUP(D3475,'لیست پرسنل'!$B$2:$E$1020,3,FALSE)</f>
        <v>فکورصنعت</v>
      </c>
      <c r="F3475" s="19" t="str">
        <f>VLOOKUP(D3475,'لیست پرسنل'!$B$2:$E$1020,4,FALSE)</f>
        <v>انبار</v>
      </c>
      <c r="G3475" s="127">
        <f>VLOOKUP(D3475,'لیست پرسنل'!$B$2:$F$1020,2,FALSE)</f>
        <v>3771</v>
      </c>
      <c r="H3475" s="126" t="s">
        <v>4324</v>
      </c>
      <c r="I3475" s="128"/>
      <c r="J3475" s="128" t="s">
        <v>3532</v>
      </c>
      <c r="K3475" s="128" t="s">
        <v>2087</v>
      </c>
      <c r="L3475" s="151" t="s">
        <v>2129</v>
      </c>
      <c r="M3475" s="128">
        <v>628326</v>
      </c>
      <c r="N3475" s="108" t="s">
        <v>4554</v>
      </c>
      <c r="O3475" s="28"/>
      <c r="P3475" s="20"/>
      <c r="Q3475" s="20"/>
    </row>
    <row r="3476" spans="1:17" ht="24.9" customHeight="1">
      <c r="A3476" s="20">
        <v>461</v>
      </c>
      <c r="B3476" s="20" t="s">
        <v>4351</v>
      </c>
      <c r="C3476" s="19"/>
      <c r="D3476" s="20" t="s">
        <v>2051</v>
      </c>
      <c r="E3476" s="19" t="str">
        <f>VLOOKUP(D3476,'لیست پرسنل'!$B$2:$E$1020,3,FALSE)</f>
        <v>فکورصنعت</v>
      </c>
      <c r="F3476" s="19" t="str">
        <f>VLOOKUP(D3476,'لیست پرسنل'!$B$2:$E$1020,4,FALSE)</f>
        <v>انبار</v>
      </c>
      <c r="G3476" s="127">
        <f>VLOOKUP(D3476,'لیست پرسنل'!$B$2:$F$1020,2,FALSE)</f>
        <v>3771</v>
      </c>
      <c r="H3476" s="126" t="s">
        <v>4324</v>
      </c>
      <c r="I3476" s="128"/>
      <c r="J3476" s="128" t="s">
        <v>5366</v>
      </c>
      <c r="K3476" s="128" t="s">
        <v>2570</v>
      </c>
      <c r="L3476" s="151"/>
      <c r="M3476" s="130">
        <v>607928</v>
      </c>
      <c r="N3476" s="108"/>
      <c r="O3476" s="20" t="s">
        <v>5369</v>
      </c>
      <c r="P3476" s="20"/>
      <c r="Q3476" s="20"/>
    </row>
    <row r="3477" spans="1:17" ht="24.9" customHeight="1">
      <c r="A3477" s="20">
        <v>461</v>
      </c>
      <c r="B3477" s="20" t="s">
        <v>4351</v>
      </c>
      <c r="C3477" s="20"/>
      <c r="D3477" s="20" t="s">
        <v>2051</v>
      </c>
      <c r="E3477" s="19" t="str">
        <f>VLOOKUP(D3477,'لیست پرسنل'!$B$2:$E$1020,3,FALSE)</f>
        <v>فکورصنعت</v>
      </c>
      <c r="F3477" s="19" t="str">
        <f>VLOOKUP(D3477,'لیست پرسنل'!$B$2:$E$1020,4,FALSE)</f>
        <v>انبار</v>
      </c>
      <c r="G3477" s="127">
        <f>VLOOKUP(D3477,'لیست پرسنل'!$B$2:$F$1020,2,FALSE)</f>
        <v>3771</v>
      </c>
      <c r="H3477" s="128" t="s">
        <v>4324</v>
      </c>
      <c r="I3477" s="128"/>
      <c r="J3477" s="128" t="s">
        <v>5366</v>
      </c>
      <c r="K3477" s="128" t="s">
        <v>4453</v>
      </c>
      <c r="L3477" s="151"/>
      <c r="M3477" s="128">
        <v>611711</v>
      </c>
      <c r="N3477" s="120" t="s">
        <v>2705</v>
      </c>
      <c r="O3477" s="28"/>
      <c r="P3477" s="20"/>
      <c r="Q3477" s="20"/>
    </row>
    <row r="3478" spans="1:17" ht="24.9" customHeight="1">
      <c r="A3478" s="20">
        <v>461</v>
      </c>
      <c r="B3478" s="20" t="s">
        <v>4351</v>
      </c>
      <c r="C3478" s="19"/>
      <c r="D3478" s="20" t="s">
        <v>2051</v>
      </c>
      <c r="E3478" s="19" t="str">
        <f>VLOOKUP(D3478,'لیست پرسنل'!$B$2:$E$1020,3,FALSE)</f>
        <v>فکورصنعت</v>
      </c>
      <c r="F3478" s="19" t="str">
        <f>VLOOKUP(D3478,'لیست پرسنل'!$B$2:$E$1020,4,FALSE)</f>
        <v>انبار</v>
      </c>
      <c r="G3478" s="127">
        <f>VLOOKUP(D3478,'لیست پرسنل'!$B$2:$F$1020,2,FALSE)</f>
        <v>3771</v>
      </c>
      <c r="H3478" s="126" t="s">
        <v>4324</v>
      </c>
      <c r="I3478" s="128"/>
      <c r="J3478" s="128" t="s">
        <v>5366</v>
      </c>
      <c r="K3478" s="128" t="s">
        <v>2573</v>
      </c>
      <c r="L3478" s="151"/>
      <c r="M3478" s="130">
        <v>613135</v>
      </c>
      <c r="N3478" s="108"/>
      <c r="O3478" s="20" t="s">
        <v>5369</v>
      </c>
      <c r="P3478" s="20"/>
      <c r="Q3478" s="20"/>
    </row>
    <row r="3479" spans="1:17" ht="24.9" customHeight="1">
      <c r="A3479" s="20">
        <v>461</v>
      </c>
      <c r="B3479" s="20" t="s">
        <v>4351</v>
      </c>
      <c r="C3479" s="19"/>
      <c r="D3479" s="20" t="s">
        <v>2051</v>
      </c>
      <c r="E3479" s="19" t="str">
        <f>VLOOKUP(D3479,'لیست پرسنل'!$B$2:$E$1020,3,FALSE)</f>
        <v>فکورصنعت</v>
      </c>
      <c r="F3479" s="19" t="str">
        <f>VLOOKUP(D3479,'لیست پرسنل'!$B$2:$E$1020,4,FALSE)</f>
        <v>انبار</v>
      </c>
      <c r="G3479" s="127">
        <f>VLOOKUP(D3479,'لیست پرسنل'!$B$2:$F$1020,2,FALSE)</f>
        <v>3771</v>
      </c>
      <c r="H3479" s="126" t="s">
        <v>4324</v>
      </c>
      <c r="I3479" s="128"/>
      <c r="J3479" s="128" t="s">
        <v>5366</v>
      </c>
      <c r="K3479" s="128" t="s">
        <v>5370</v>
      </c>
      <c r="L3479" s="127"/>
      <c r="M3479" s="127">
        <v>630226</v>
      </c>
      <c r="N3479" s="109"/>
      <c r="O3479" s="19"/>
      <c r="P3479" s="32"/>
      <c r="Q3479" s="32"/>
    </row>
    <row r="3480" spans="1:17" ht="24.9" customHeight="1">
      <c r="A3480" s="20">
        <v>461</v>
      </c>
      <c r="B3480" s="20" t="s">
        <v>4351</v>
      </c>
      <c r="C3480" s="19"/>
      <c r="D3480" s="20" t="s">
        <v>2051</v>
      </c>
      <c r="E3480" s="19" t="str">
        <f>VLOOKUP(D3480,'لیست پرسنل'!$B$2:$E$1020,3,FALSE)</f>
        <v>فکورصنعت</v>
      </c>
      <c r="F3480" s="19" t="str">
        <f>VLOOKUP(D3480,'لیست پرسنل'!$B$2:$E$1020,4,FALSE)</f>
        <v>انبار</v>
      </c>
      <c r="G3480" s="127">
        <f>VLOOKUP(D3480,'لیست پرسنل'!$B$2:$F$1020,2,FALSE)</f>
        <v>3771</v>
      </c>
      <c r="H3480" s="126" t="s">
        <v>4324</v>
      </c>
      <c r="I3480" s="128"/>
      <c r="J3480" s="128" t="s">
        <v>5366</v>
      </c>
      <c r="K3480" s="128" t="s">
        <v>5370</v>
      </c>
      <c r="L3480" s="127"/>
      <c r="M3480" s="127">
        <v>630227</v>
      </c>
      <c r="N3480" s="109"/>
      <c r="O3480" s="19"/>
      <c r="P3480" s="32"/>
      <c r="Q3480" s="32"/>
    </row>
    <row r="3481" spans="1:17" ht="24.9" customHeight="1">
      <c r="A3481" s="20">
        <v>461</v>
      </c>
      <c r="B3481" s="20" t="s">
        <v>4351</v>
      </c>
      <c r="C3481" s="19"/>
      <c r="D3481" s="20" t="s">
        <v>2051</v>
      </c>
      <c r="E3481" s="19" t="str">
        <f>VLOOKUP(D3481,'لیست پرسنل'!$B$2:$E$1020,3,FALSE)</f>
        <v>فکورصنعت</v>
      </c>
      <c r="F3481" s="19" t="str">
        <f>VLOOKUP(D3481,'لیست پرسنل'!$B$2:$E$1020,4,FALSE)</f>
        <v>انبار</v>
      </c>
      <c r="G3481" s="127">
        <f>VLOOKUP(D3481,'لیست پرسنل'!$B$2:$F$1020,2,FALSE)</f>
        <v>3771</v>
      </c>
      <c r="H3481" s="126" t="s">
        <v>4324</v>
      </c>
      <c r="I3481" s="128"/>
      <c r="J3481" s="128" t="s">
        <v>5366</v>
      </c>
      <c r="K3481" s="128" t="s">
        <v>5370</v>
      </c>
      <c r="L3481" s="127"/>
      <c r="M3481" s="127">
        <v>630228</v>
      </c>
      <c r="N3481" s="109"/>
      <c r="O3481" s="19"/>
      <c r="P3481" s="32"/>
      <c r="Q3481" s="32"/>
    </row>
    <row r="3482" spans="1:17" ht="24.9" customHeight="1">
      <c r="A3482" s="20">
        <v>461</v>
      </c>
      <c r="B3482" s="20" t="s">
        <v>4351</v>
      </c>
      <c r="C3482" s="19"/>
      <c r="D3482" s="20" t="s">
        <v>2051</v>
      </c>
      <c r="E3482" s="19" t="str">
        <f>VLOOKUP(D3482,'لیست پرسنل'!$B$2:$E$1020,3,FALSE)</f>
        <v>فکورصنعت</v>
      </c>
      <c r="F3482" s="19" t="str">
        <f>VLOOKUP(D3482,'لیست پرسنل'!$B$2:$E$1020,4,FALSE)</f>
        <v>انبار</v>
      </c>
      <c r="G3482" s="127">
        <f>VLOOKUP(D3482,'لیست پرسنل'!$B$2:$F$1020,2,FALSE)</f>
        <v>3771</v>
      </c>
      <c r="H3482" s="126" t="s">
        <v>4324</v>
      </c>
      <c r="I3482" s="128"/>
      <c r="J3482" s="128" t="s">
        <v>5366</v>
      </c>
      <c r="K3482" s="128" t="s">
        <v>5370</v>
      </c>
      <c r="L3482" s="127"/>
      <c r="M3482" s="127">
        <v>630229</v>
      </c>
      <c r="N3482" s="109"/>
      <c r="O3482" s="19"/>
      <c r="P3482" s="32"/>
      <c r="Q3482" s="32"/>
    </row>
    <row r="3483" spans="1:17" ht="24.9" customHeight="1">
      <c r="A3483" s="20">
        <v>461</v>
      </c>
      <c r="B3483" s="20" t="s">
        <v>4351</v>
      </c>
      <c r="C3483" s="19"/>
      <c r="D3483" s="20" t="s">
        <v>2051</v>
      </c>
      <c r="E3483" s="19" t="str">
        <f>VLOOKUP(D3483,'لیست پرسنل'!$B$2:$E$1020,3,FALSE)</f>
        <v>فکورصنعت</v>
      </c>
      <c r="F3483" s="19" t="str">
        <f>VLOOKUP(D3483,'لیست پرسنل'!$B$2:$E$1020,4,FALSE)</f>
        <v>انبار</v>
      </c>
      <c r="G3483" s="127">
        <f>VLOOKUP(D3483,'لیست پرسنل'!$B$2:$F$1020,2,FALSE)</f>
        <v>3771</v>
      </c>
      <c r="H3483" s="126" t="s">
        <v>4324</v>
      </c>
      <c r="I3483" s="128"/>
      <c r="J3483" s="128" t="s">
        <v>5366</v>
      </c>
      <c r="K3483" s="128" t="s">
        <v>5370</v>
      </c>
      <c r="L3483" s="127"/>
      <c r="M3483" s="127">
        <v>630230</v>
      </c>
      <c r="N3483" s="109"/>
      <c r="O3483" s="19"/>
      <c r="P3483" s="32"/>
      <c r="Q3483" s="32"/>
    </row>
    <row r="3484" spans="1:17" ht="24.9" customHeight="1">
      <c r="A3484" s="20">
        <v>461</v>
      </c>
      <c r="B3484" s="20" t="s">
        <v>4351</v>
      </c>
      <c r="C3484" s="19"/>
      <c r="D3484" s="20" t="s">
        <v>2051</v>
      </c>
      <c r="E3484" s="19" t="str">
        <f>VLOOKUP(D3484,'لیست پرسنل'!$B$2:$E$1020,3,FALSE)</f>
        <v>فکورصنعت</v>
      </c>
      <c r="F3484" s="19" t="str">
        <f>VLOOKUP(D3484,'لیست پرسنل'!$B$2:$E$1020,4,FALSE)</f>
        <v>انبار</v>
      </c>
      <c r="G3484" s="127">
        <f>VLOOKUP(D3484,'لیست پرسنل'!$B$2:$F$1020,2,FALSE)</f>
        <v>3771</v>
      </c>
      <c r="H3484" s="126" t="s">
        <v>4324</v>
      </c>
      <c r="I3484" s="128"/>
      <c r="J3484" s="128" t="s">
        <v>5366</v>
      </c>
      <c r="K3484" s="128" t="s">
        <v>5370</v>
      </c>
      <c r="L3484" s="127"/>
      <c r="M3484" s="127">
        <v>630231</v>
      </c>
      <c r="N3484" s="109"/>
      <c r="O3484" s="19"/>
      <c r="P3484" s="32"/>
      <c r="Q3484" s="32"/>
    </row>
    <row r="3485" spans="1:17" ht="24.9" customHeight="1">
      <c r="A3485" s="20">
        <v>461</v>
      </c>
      <c r="B3485" s="20" t="s">
        <v>4351</v>
      </c>
      <c r="C3485" s="19"/>
      <c r="D3485" s="20" t="s">
        <v>2051</v>
      </c>
      <c r="E3485" s="19" t="str">
        <f>VLOOKUP(D3485,'لیست پرسنل'!$B$2:$E$1020,3,FALSE)</f>
        <v>فکورصنعت</v>
      </c>
      <c r="F3485" s="19" t="str">
        <f>VLOOKUP(D3485,'لیست پرسنل'!$B$2:$E$1020,4,FALSE)</f>
        <v>انبار</v>
      </c>
      <c r="G3485" s="127">
        <f>VLOOKUP(D3485,'لیست پرسنل'!$B$2:$F$1020,2,FALSE)</f>
        <v>3771</v>
      </c>
      <c r="H3485" s="126" t="s">
        <v>4324</v>
      </c>
      <c r="I3485" s="128"/>
      <c r="J3485" s="128" t="s">
        <v>5366</v>
      </c>
      <c r="K3485" s="128" t="s">
        <v>5370</v>
      </c>
      <c r="L3485" s="127"/>
      <c r="M3485" s="127">
        <v>630232</v>
      </c>
      <c r="N3485" s="111"/>
      <c r="O3485" s="28"/>
      <c r="P3485" s="28"/>
      <c r="Q3485" s="28"/>
    </row>
    <row r="3486" spans="1:17" ht="24.9" customHeight="1">
      <c r="A3486" s="20">
        <v>461</v>
      </c>
      <c r="B3486" s="20" t="s">
        <v>4351</v>
      </c>
      <c r="C3486" s="19"/>
      <c r="D3486" s="20" t="s">
        <v>2051</v>
      </c>
      <c r="E3486" s="19" t="str">
        <f>VLOOKUP(D3486,'لیست پرسنل'!$B$2:$E$1020,3,FALSE)</f>
        <v>فکورصنعت</v>
      </c>
      <c r="F3486" s="19" t="str">
        <f>VLOOKUP(D3486,'لیست پرسنل'!$B$2:$E$1020,4,FALSE)</f>
        <v>انبار</v>
      </c>
      <c r="G3486" s="127">
        <f>VLOOKUP(D3486,'لیست پرسنل'!$B$2:$F$1020,2,FALSE)</f>
        <v>3771</v>
      </c>
      <c r="H3486" s="126" t="s">
        <v>4324</v>
      </c>
      <c r="I3486" s="128"/>
      <c r="J3486" s="128" t="s">
        <v>5366</v>
      </c>
      <c r="K3486" s="128" t="s">
        <v>5370</v>
      </c>
      <c r="L3486" s="127"/>
      <c r="M3486" s="127">
        <v>630233</v>
      </c>
      <c r="N3486" s="111"/>
      <c r="O3486" s="28"/>
      <c r="P3486" s="28"/>
      <c r="Q3486" s="28"/>
    </row>
    <row r="3487" spans="1:17" ht="24.9" customHeight="1">
      <c r="A3487" s="20">
        <v>461</v>
      </c>
      <c r="B3487" s="20" t="s">
        <v>4351</v>
      </c>
      <c r="C3487" s="19"/>
      <c r="D3487" s="20" t="s">
        <v>2051</v>
      </c>
      <c r="E3487" s="19" t="str">
        <f>VLOOKUP(D3487,'لیست پرسنل'!$B$2:$E$1020,3,FALSE)</f>
        <v>فکورصنعت</v>
      </c>
      <c r="F3487" s="19" t="str">
        <f>VLOOKUP(D3487,'لیست پرسنل'!$B$2:$E$1020,4,FALSE)</f>
        <v>انبار</v>
      </c>
      <c r="G3487" s="127">
        <f>VLOOKUP(D3487,'لیست پرسنل'!$B$2:$F$1020,2,FALSE)</f>
        <v>3771</v>
      </c>
      <c r="H3487" s="126" t="s">
        <v>4324</v>
      </c>
      <c r="I3487" s="128"/>
      <c r="J3487" s="128" t="s">
        <v>5366</v>
      </c>
      <c r="K3487" s="128" t="s">
        <v>5370</v>
      </c>
      <c r="L3487" s="127"/>
      <c r="M3487" s="127">
        <v>631213</v>
      </c>
      <c r="N3487" s="111"/>
      <c r="O3487" s="28"/>
      <c r="P3487" s="28"/>
      <c r="Q3487" s="28"/>
    </row>
    <row r="3488" spans="1:17" ht="24.9" customHeight="1">
      <c r="A3488" s="20">
        <v>461</v>
      </c>
      <c r="B3488" s="20" t="s">
        <v>4351</v>
      </c>
      <c r="C3488" s="19"/>
      <c r="D3488" s="20" t="s">
        <v>2051</v>
      </c>
      <c r="E3488" s="19" t="str">
        <f>VLOOKUP(D3488,'لیست پرسنل'!$B$2:$E$1020,3,FALSE)</f>
        <v>فکورصنعت</v>
      </c>
      <c r="F3488" s="19" t="str">
        <f>VLOOKUP(D3488,'لیست پرسنل'!$B$2:$E$1020,4,FALSE)</f>
        <v>انبار</v>
      </c>
      <c r="G3488" s="127">
        <f>VLOOKUP(D3488,'لیست پرسنل'!$B$2:$F$1020,2,FALSE)</f>
        <v>3771</v>
      </c>
      <c r="H3488" s="126" t="s">
        <v>4324</v>
      </c>
      <c r="I3488" s="128"/>
      <c r="J3488" s="128" t="s">
        <v>5366</v>
      </c>
      <c r="K3488" s="128" t="s">
        <v>5370</v>
      </c>
      <c r="L3488" s="127"/>
      <c r="M3488" s="127">
        <v>631214</v>
      </c>
      <c r="N3488" s="111"/>
      <c r="O3488" s="28"/>
      <c r="P3488" s="28"/>
      <c r="Q3488" s="28"/>
    </row>
    <row r="3489" spans="1:17" ht="24.9" customHeight="1">
      <c r="A3489" s="20">
        <v>461</v>
      </c>
      <c r="B3489" s="20" t="s">
        <v>4351</v>
      </c>
      <c r="C3489" s="19"/>
      <c r="D3489" s="20" t="s">
        <v>2051</v>
      </c>
      <c r="E3489" s="19" t="str">
        <f>VLOOKUP(D3489,'لیست پرسنل'!$B$2:$E$1020,3,FALSE)</f>
        <v>فکورصنعت</v>
      </c>
      <c r="F3489" s="19" t="str">
        <f>VLOOKUP(D3489,'لیست پرسنل'!$B$2:$E$1020,4,FALSE)</f>
        <v>انبار</v>
      </c>
      <c r="G3489" s="127">
        <f>VLOOKUP(D3489,'لیست پرسنل'!$B$2:$F$1020,2,FALSE)</f>
        <v>3771</v>
      </c>
      <c r="H3489" s="126" t="s">
        <v>4324</v>
      </c>
      <c r="I3489" s="128"/>
      <c r="J3489" s="128" t="s">
        <v>5366</v>
      </c>
      <c r="K3489" s="128" t="s">
        <v>5370</v>
      </c>
      <c r="L3489" s="127"/>
      <c r="M3489" s="127">
        <v>631215</v>
      </c>
      <c r="N3489" s="111"/>
      <c r="O3489" s="28"/>
      <c r="P3489" s="28"/>
      <c r="Q3489" s="28"/>
    </row>
    <row r="3490" spans="1:17" ht="24.9" customHeight="1">
      <c r="A3490" s="20">
        <v>461</v>
      </c>
      <c r="B3490" s="20" t="s">
        <v>4351</v>
      </c>
      <c r="C3490" s="19"/>
      <c r="D3490" s="20" t="s">
        <v>2051</v>
      </c>
      <c r="E3490" s="19" t="str">
        <f>VLOOKUP(D3490,'لیست پرسنل'!$B$2:$E$1020,3,FALSE)</f>
        <v>فکورصنعت</v>
      </c>
      <c r="F3490" s="19" t="str">
        <f>VLOOKUP(D3490,'لیست پرسنل'!$B$2:$E$1020,4,FALSE)</f>
        <v>انبار</v>
      </c>
      <c r="G3490" s="127">
        <f>VLOOKUP(D3490,'لیست پرسنل'!$B$2:$F$1020,2,FALSE)</f>
        <v>3771</v>
      </c>
      <c r="H3490" s="126" t="s">
        <v>4324</v>
      </c>
      <c r="I3490" s="128"/>
      <c r="J3490" s="128" t="s">
        <v>5366</v>
      </c>
      <c r="K3490" s="128" t="s">
        <v>5370</v>
      </c>
      <c r="L3490" s="127"/>
      <c r="M3490" s="127">
        <v>631216</v>
      </c>
      <c r="N3490" s="111"/>
      <c r="O3490" s="28"/>
      <c r="P3490" s="28"/>
      <c r="Q3490" s="28"/>
    </row>
    <row r="3491" spans="1:17" ht="24.9" customHeight="1">
      <c r="A3491" s="20">
        <v>461</v>
      </c>
      <c r="B3491" s="20" t="s">
        <v>4351</v>
      </c>
      <c r="C3491" s="19"/>
      <c r="D3491" s="20" t="s">
        <v>2051</v>
      </c>
      <c r="E3491" s="19" t="str">
        <f>VLOOKUP(D3491,'لیست پرسنل'!$B$2:$E$1020,3,FALSE)</f>
        <v>فکورصنعت</v>
      </c>
      <c r="F3491" s="19" t="str">
        <f>VLOOKUP(D3491,'لیست پرسنل'!$B$2:$E$1020,4,FALSE)</f>
        <v>انبار</v>
      </c>
      <c r="G3491" s="127">
        <f>VLOOKUP(D3491,'لیست پرسنل'!$B$2:$F$1020,2,FALSE)</f>
        <v>3771</v>
      </c>
      <c r="H3491" s="126" t="s">
        <v>4324</v>
      </c>
      <c r="I3491" s="128"/>
      <c r="J3491" s="128" t="s">
        <v>5366</v>
      </c>
      <c r="K3491" s="128" t="s">
        <v>5370</v>
      </c>
      <c r="L3491" s="127"/>
      <c r="M3491" s="127">
        <v>631217</v>
      </c>
      <c r="N3491" s="111"/>
      <c r="O3491" s="28"/>
      <c r="P3491" s="28"/>
      <c r="Q3491" s="28"/>
    </row>
    <row r="3492" spans="1:17" ht="24.9" customHeight="1">
      <c r="A3492" s="20">
        <v>461</v>
      </c>
      <c r="B3492" s="20" t="s">
        <v>4351</v>
      </c>
      <c r="C3492" s="19"/>
      <c r="D3492" s="20" t="s">
        <v>2051</v>
      </c>
      <c r="E3492" s="19" t="str">
        <f>VLOOKUP(D3492,'لیست پرسنل'!$B$2:$E$1020,3,FALSE)</f>
        <v>فکورصنعت</v>
      </c>
      <c r="F3492" s="19" t="str">
        <f>VLOOKUP(D3492,'لیست پرسنل'!$B$2:$E$1020,4,FALSE)</f>
        <v>انبار</v>
      </c>
      <c r="G3492" s="127">
        <f>VLOOKUP(D3492,'لیست پرسنل'!$B$2:$F$1020,2,FALSE)</f>
        <v>3771</v>
      </c>
      <c r="H3492" s="126" t="s">
        <v>4324</v>
      </c>
      <c r="I3492" s="128"/>
      <c r="J3492" s="127" t="s">
        <v>5303</v>
      </c>
      <c r="K3492" s="128" t="s">
        <v>5305</v>
      </c>
      <c r="L3492" s="127"/>
      <c r="M3492" s="127">
        <v>626826</v>
      </c>
      <c r="N3492" s="111"/>
      <c r="O3492" s="28"/>
      <c r="P3492" s="28"/>
      <c r="Q3492" s="28"/>
    </row>
    <row r="3493" spans="1:17" ht="24.9" customHeight="1">
      <c r="A3493" s="20">
        <v>461</v>
      </c>
      <c r="B3493" s="20" t="s">
        <v>4351</v>
      </c>
      <c r="C3493" s="19"/>
      <c r="D3493" s="20" t="s">
        <v>2051</v>
      </c>
      <c r="E3493" s="19" t="str">
        <f>VLOOKUP(D3493,'لیست پرسنل'!$B$2:$E$1020,3,FALSE)</f>
        <v>فکورصنعت</v>
      </c>
      <c r="F3493" s="19" t="str">
        <f>VLOOKUP(D3493,'لیست پرسنل'!$B$2:$E$1020,4,FALSE)</f>
        <v>انبار</v>
      </c>
      <c r="G3493" s="127">
        <f>VLOOKUP(D3493,'لیست پرسنل'!$B$2:$F$1020,2,FALSE)</f>
        <v>3771</v>
      </c>
      <c r="H3493" s="126" t="s">
        <v>4324</v>
      </c>
      <c r="I3493" s="128"/>
      <c r="J3493" s="127" t="s">
        <v>5303</v>
      </c>
      <c r="K3493" s="128" t="s">
        <v>5305</v>
      </c>
      <c r="L3493" s="127"/>
      <c r="M3493" s="127">
        <v>626827</v>
      </c>
      <c r="N3493" s="111"/>
      <c r="O3493" s="28"/>
      <c r="P3493" s="28"/>
      <c r="Q3493" s="28"/>
    </row>
    <row r="3494" spans="1:17" ht="24.9" customHeight="1">
      <c r="A3494" s="20">
        <v>461</v>
      </c>
      <c r="B3494" s="20" t="s">
        <v>4351</v>
      </c>
      <c r="C3494" s="19"/>
      <c r="D3494" s="32" t="s">
        <v>2051</v>
      </c>
      <c r="E3494" s="19" t="str">
        <f>VLOOKUP(D3494,'لیست پرسنل'!$B$2:$E$1020,3,FALSE)</f>
        <v>فکورصنعت</v>
      </c>
      <c r="F3494" s="19" t="str">
        <f>VLOOKUP(D3494,'لیست پرسنل'!$B$2:$E$1020,4,FALSE)</f>
        <v>انبار</v>
      </c>
      <c r="G3494" s="127">
        <f>VLOOKUP(D3494,'لیست پرسنل'!$B$2:$F$1020,2,FALSE)</f>
        <v>3771</v>
      </c>
      <c r="H3494" s="128" t="s">
        <v>6813</v>
      </c>
      <c r="I3494" s="128"/>
      <c r="J3494" s="128" t="s">
        <v>3532</v>
      </c>
      <c r="K3494" s="128" t="s">
        <v>2087</v>
      </c>
      <c r="L3494" s="128" t="s">
        <v>2086</v>
      </c>
      <c r="M3494" s="128">
        <v>628324</v>
      </c>
      <c r="N3494" s="108" t="s">
        <v>2714</v>
      </c>
      <c r="O3494" s="46" t="s">
        <v>3999</v>
      </c>
      <c r="P3494" s="20"/>
      <c r="Q3494" s="20"/>
    </row>
    <row r="3495" spans="1:17" ht="24.9" customHeight="1">
      <c r="A3495" s="20">
        <v>461</v>
      </c>
      <c r="B3495" s="20" t="s">
        <v>4351</v>
      </c>
      <c r="C3495" s="19"/>
      <c r="D3495" s="20" t="s">
        <v>2051</v>
      </c>
      <c r="E3495" s="19" t="str">
        <f>VLOOKUP(D3495,'لیست پرسنل'!$B$2:$E$1020,3,FALSE)</f>
        <v>فکورصنعت</v>
      </c>
      <c r="F3495" s="19" t="str">
        <f>VLOOKUP(D3495,'لیست پرسنل'!$B$2:$E$1020,4,FALSE)</f>
        <v>انبار</v>
      </c>
      <c r="G3495" s="127">
        <f>VLOOKUP(D3495,'لیست پرسنل'!$B$2:$F$1020,2,FALSE)</f>
        <v>3771</v>
      </c>
      <c r="H3495" s="126" t="s">
        <v>4927</v>
      </c>
      <c r="I3495" s="128"/>
      <c r="J3495" s="128" t="s">
        <v>3322</v>
      </c>
      <c r="K3495" s="128" t="s">
        <v>4930</v>
      </c>
      <c r="L3495" s="151"/>
      <c r="M3495" s="127" t="s">
        <v>291</v>
      </c>
      <c r="N3495" s="108" t="s">
        <v>4931</v>
      </c>
      <c r="O3495" s="28"/>
      <c r="P3495" s="20"/>
      <c r="Q3495" s="20"/>
    </row>
    <row r="3496" spans="1:17" ht="24.9" customHeight="1">
      <c r="A3496" s="20">
        <v>461</v>
      </c>
      <c r="B3496" s="20" t="s">
        <v>4351</v>
      </c>
      <c r="C3496" s="19"/>
      <c r="D3496" s="20" t="s">
        <v>2051</v>
      </c>
      <c r="E3496" s="19" t="str">
        <f>VLOOKUP(D3496,'لیست پرسنل'!$B$2:$E$1020,3,FALSE)</f>
        <v>فکورصنعت</v>
      </c>
      <c r="F3496" s="19" t="str">
        <f>VLOOKUP(D3496,'لیست پرسنل'!$B$2:$E$1020,4,FALSE)</f>
        <v>انبار</v>
      </c>
      <c r="G3496" s="127">
        <f>VLOOKUP(D3496,'لیست پرسنل'!$B$2:$F$1020,2,FALSE)</f>
        <v>3771</v>
      </c>
      <c r="H3496" s="126" t="s">
        <v>4927</v>
      </c>
      <c r="I3496" s="128"/>
      <c r="J3496" s="128" t="s">
        <v>3483</v>
      </c>
      <c r="K3496" s="128" t="s">
        <v>4932</v>
      </c>
      <c r="L3496" s="151"/>
      <c r="M3496" s="127" t="s">
        <v>291</v>
      </c>
      <c r="N3496" s="108"/>
      <c r="O3496" s="28"/>
      <c r="P3496" s="20"/>
      <c r="Q3496" s="20"/>
    </row>
    <row r="3497" spans="1:17" ht="24.9" customHeight="1">
      <c r="A3497" s="20">
        <v>461</v>
      </c>
      <c r="B3497" s="20" t="s">
        <v>4351</v>
      </c>
      <c r="C3497" s="19"/>
      <c r="D3497" s="20" t="s">
        <v>2051</v>
      </c>
      <c r="E3497" s="19" t="str">
        <f>VLOOKUP(D3497,'لیست پرسنل'!$B$2:$E$1020,3,FALSE)</f>
        <v>فکورصنعت</v>
      </c>
      <c r="F3497" s="19" t="str">
        <f>VLOOKUP(D3497,'لیست پرسنل'!$B$2:$E$1020,4,FALSE)</f>
        <v>انبار</v>
      </c>
      <c r="G3497" s="127">
        <f>VLOOKUP(D3497,'لیست پرسنل'!$B$2:$F$1020,2,FALSE)</f>
        <v>3771</v>
      </c>
      <c r="H3497" s="126" t="s">
        <v>4927</v>
      </c>
      <c r="I3497" s="128"/>
      <c r="J3497" s="128" t="s">
        <v>3285</v>
      </c>
      <c r="K3497" s="128" t="s">
        <v>2056</v>
      </c>
      <c r="L3497" s="151" t="s">
        <v>2058</v>
      </c>
      <c r="M3497" s="128">
        <v>628116</v>
      </c>
      <c r="N3497" s="108" t="s">
        <v>3901</v>
      </c>
      <c r="O3497" s="28"/>
      <c r="P3497" s="20"/>
      <c r="Q3497" s="20"/>
    </row>
    <row r="3498" spans="1:17" ht="24.9" customHeight="1">
      <c r="A3498" s="20">
        <v>461</v>
      </c>
      <c r="B3498" s="20" t="s">
        <v>4351</v>
      </c>
      <c r="C3498" s="19"/>
      <c r="D3498" s="20" t="s">
        <v>2051</v>
      </c>
      <c r="E3498" s="19" t="str">
        <f>VLOOKUP(D3498,'لیست پرسنل'!$B$2:$E$1020,3,FALSE)</f>
        <v>فکورصنعت</v>
      </c>
      <c r="F3498" s="19" t="str">
        <f>VLOOKUP(D3498,'لیست پرسنل'!$B$2:$E$1020,4,FALSE)</f>
        <v>انبار</v>
      </c>
      <c r="G3498" s="127">
        <f>VLOOKUP(D3498,'لیست پرسنل'!$B$2:$F$1020,2,FALSE)</f>
        <v>3771</v>
      </c>
      <c r="H3498" s="126" t="s">
        <v>4927</v>
      </c>
      <c r="I3498" s="128"/>
      <c r="J3498" s="128" t="s">
        <v>3476</v>
      </c>
      <c r="K3498" s="128" t="s">
        <v>2872</v>
      </c>
      <c r="L3498" s="128" t="s">
        <v>2874</v>
      </c>
      <c r="M3498" s="128">
        <v>626783</v>
      </c>
      <c r="N3498" s="108"/>
      <c r="O3498" s="20" t="s">
        <v>3901</v>
      </c>
      <c r="P3498" s="20"/>
      <c r="Q3498" s="20"/>
    </row>
    <row r="3499" spans="1:17" ht="24.9" customHeight="1">
      <c r="A3499" s="20">
        <v>461</v>
      </c>
      <c r="B3499" s="20" t="s">
        <v>4351</v>
      </c>
      <c r="C3499" s="19"/>
      <c r="D3499" s="19" t="s">
        <v>2051</v>
      </c>
      <c r="E3499" s="19" t="str">
        <f>VLOOKUP(D3499,'لیست پرسنل'!$B$2:$E$1020,3,FALSE)</f>
        <v>فکورصنعت</v>
      </c>
      <c r="F3499" s="19" t="str">
        <f>VLOOKUP(D3499,'لیست پرسنل'!$B$2:$E$1020,4,FALSE)</f>
        <v>انبار</v>
      </c>
      <c r="G3499" s="127">
        <f>VLOOKUP(D3499,'لیست پرسنل'!$B$2:$F$1020,2,FALSE)</f>
        <v>3771</v>
      </c>
      <c r="H3499" s="151" t="s">
        <v>4609</v>
      </c>
      <c r="I3499" s="127"/>
      <c r="J3499" s="128" t="s">
        <v>5565</v>
      </c>
      <c r="K3499" s="128" t="s">
        <v>5566</v>
      </c>
      <c r="L3499" s="160"/>
      <c r="M3499" s="127" t="s">
        <v>291</v>
      </c>
      <c r="N3499" s="109"/>
      <c r="O3499" s="93" t="s">
        <v>5518</v>
      </c>
      <c r="P3499" s="20"/>
      <c r="Q3499" s="20"/>
    </row>
    <row r="3500" spans="1:17" ht="24.9" customHeight="1">
      <c r="A3500" s="20">
        <v>461</v>
      </c>
      <c r="B3500" s="20" t="s">
        <v>4351</v>
      </c>
      <c r="C3500" s="19"/>
      <c r="D3500" s="19" t="s">
        <v>2051</v>
      </c>
      <c r="E3500" s="19" t="str">
        <f>VLOOKUP(D3500,'لیست پرسنل'!$B$2:$E$1020,3,FALSE)</f>
        <v>فکورصنعت</v>
      </c>
      <c r="F3500" s="19" t="str">
        <f>VLOOKUP(D3500,'لیست پرسنل'!$B$2:$E$1020,4,FALSE)</f>
        <v>انبار</v>
      </c>
      <c r="G3500" s="127">
        <f>VLOOKUP(D3500,'لیست پرسنل'!$B$2:$F$1020,2,FALSE)</f>
        <v>3771</v>
      </c>
      <c r="H3500" s="151" t="s">
        <v>4609</v>
      </c>
      <c r="I3500" s="127"/>
      <c r="J3500" s="128" t="s">
        <v>5565</v>
      </c>
      <c r="K3500" s="128" t="s">
        <v>5564</v>
      </c>
      <c r="L3500" s="160"/>
      <c r="M3500" s="127" t="s">
        <v>291</v>
      </c>
      <c r="N3500" s="109"/>
      <c r="O3500" s="93" t="s">
        <v>5518</v>
      </c>
      <c r="P3500" s="20"/>
      <c r="Q3500" s="20"/>
    </row>
    <row r="3501" spans="1:17" ht="24.9" customHeight="1">
      <c r="A3501" s="20">
        <v>461</v>
      </c>
      <c r="B3501" s="20" t="s">
        <v>4351</v>
      </c>
      <c r="C3501" s="19"/>
      <c r="D3501" s="19" t="s">
        <v>2051</v>
      </c>
      <c r="E3501" s="19" t="str">
        <f>VLOOKUP(D3501,'لیست پرسنل'!$B$2:$E$1020,3,FALSE)</f>
        <v>فکورصنعت</v>
      </c>
      <c r="F3501" s="19" t="str">
        <f>VLOOKUP(D3501,'لیست پرسنل'!$B$2:$E$1020,4,FALSE)</f>
        <v>انبار</v>
      </c>
      <c r="G3501" s="127">
        <f>VLOOKUP(D3501,'لیست پرسنل'!$B$2:$F$1020,2,FALSE)</f>
        <v>3771</v>
      </c>
      <c r="H3501" s="151" t="s">
        <v>4609</v>
      </c>
      <c r="I3501" s="127"/>
      <c r="J3501" s="128" t="s">
        <v>1976</v>
      </c>
      <c r="K3501" s="128" t="s">
        <v>5561</v>
      </c>
      <c r="L3501" s="160">
        <v>2091</v>
      </c>
      <c r="M3501" s="127" t="s">
        <v>291</v>
      </c>
      <c r="N3501" s="109"/>
      <c r="O3501" s="93" t="s">
        <v>5518</v>
      </c>
      <c r="P3501" s="20"/>
      <c r="Q3501" s="20"/>
    </row>
    <row r="3502" spans="1:17" ht="24.9" customHeight="1">
      <c r="A3502" s="20">
        <v>461</v>
      </c>
      <c r="B3502" s="20" t="s">
        <v>4351</v>
      </c>
      <c r="C3502" s="19"/>
      <c r="D3502" s="19" t="s">
        <v>2051</v>
      </c>
      <c r="E3502" s="19" t="str">
        <f>VLOOKUP(D3502,'لیست پرسنل'!$B$2:$E$1020,3,FALSE)</f>
        <v>فکورصنعت</v>
      </c>
      <c r="F3502" s="19" t="str">
        <f>VLOOKUP(D3502,'لیست پرسنل'!$B$2:$E$1020,4,FALSE)</f>
        <v>انبار</v>
      </c>
      <c r="G3502" s="127">
        <f>VLOOKUP(D3502,'لیست پرسنل'!$B$2:$F$1020,2,FALSE)</f>
        <v>3771</v>
      </c>
      <c r="H3502" s="151" t="s">
        <v>4609</v>
      </c>
      <c r="I3502" s="127"/>
      <c r="J3502" s="128" t="s">
        <v>1976</v>
      </c>
      <c r="K3502" s="128" t="s">
        <v>5561</v>
      </c>
      <c r="L3502" s="160">
        <v>2092</v>
      </c>
      <c r="M3502" s="127" t="s">
        <v>291</v>
      </c>
      <c r="N3502" s="109"/>
      <c r="O3502" s="93" t="s">
        <v>5518</v>
      </c>
      <c r="P3502" s="20"/>
      <c r="Q3502" s="20"/>
    </row>
    <row r="3503" spans="1:17" ht="24.9" customHeight="1">
      <c r="A3503" s="20">
        <v>461</v>
      </c>
      <c r="B3503" s="20" t="s">
        <v>4351</v>
      </c>
      <c r="C3503" s="19"/>
      <c r="D3503" s="20" t="s">
        <v>2051</v>
      </c>
      <c r="E3503" s="19" t="str">
        <f>VLOOKUP(D3503,'لیست پرسنل'!$B$2:$E$1020,3,FALSE)</f>
        <v>فکورصنعت</v>
      </c>
      <c r="F3503" s="19" t="str">
        <f>VLOOKUP(D3503,'لیست پرسنل'!$B$2:$E$1020,4,FALSE)</f>
        <v>انبار</v>
      </c>
      <c r="G3503" s="127">
        <f>VLOOKUP(D3503,'لیست پرسنل'!$B$2:$F$1020,2,FALSE)</f>
        <v>3771</v>
      </c>
      <c r="H3503" s="126" t="s">
        <v>4609</v>
      </c>
      <c r="I3503" s="128"/>
      <c r="J3503" s="128" t="s">
        <v>5366</v>
      </c>
      <c r="K3503" s="128" t="s">
        <v>4913</v>
      </c>
      <c r="L3503" s="151" t="s">
        <v>4912</v>
      </c>
      <c r="M3503" s="128">
        <v>630207</v>
      </c>
      <c r="N3503" s="108"/>
      <c r="O3503" s="93" t="s">
        <v>5518</v>
      </c>
      <c r="P3503" s="20"/>
      <c r="Q3503" s="20"/>
    </row>
    <row r="3504" spans="1:17" ht="24.9" customHeight="1">
      <c r="A3504" s="20">
        <v>461</v>
      </c>
      <c r="B3504" s="20" t="s">
        <v>4351</v>
      </c>
      <c r="C3504" s="19"/>
      <c r="D3504" s="20" t="s">
        <v>2051</v>
      </c>
      <c r="E3504" s="19" t="str">
        <f>VLOOKUP(D3504,'لیست پرسنل'!$B$2:$E$1020,3,FALSE)</f>
        <v>فکورصنعت</v>
      </c>
      <c r="F3504" s="19" t="str">
        <f>VLOOKUP(D3504,'لیست پرسنل'!$B$2:$E$1020,4,FALSE)</f>
        <v>انبار</v>
      </c>
      <c r="G3504" s="127">
        <f>VLOOKUP(D3504,'لیست پرسنل'!$B$2:$F$1020,2,FALSE)</f>
        <v>3771</v>
      </c>
      <c r="H3504" s="126" t="s">
        <v>4609</v>
      </c>
      <c r="I3504" s="128"/>
      <c r="J3504" s="128" t="s">
        <v>5366</v>
      </c>
      <c r="K3504" s="128" t="s">
        <v>4917</v>
      </c>
      <c r="L3504" s="151" t="s">
        <v>4916</v>
      </c>
      <c r="M3504" s="128">
        <v>630209</v>
      </c>
      <c r="N3504" s="108"/>
      <c r="O3504" s="93" t="s">
        <v>5518</v>
      </c>
      <c r="P3504" s="20"/>
      <c r="Q3504" s="20"/>
    </row>
    <row r="3505" spans="1:17" ht="24.9" customHeight="1">
      <c r="A3505" s="20">
        <v>461</v>
      </c>
      <c r="B3505" s="20" t="s">
        <v>4351</v>
      </c>
      <c r="C3505" s="19"/>
      <c r="D3505" s="20" t="s">
        <v>2051</v>
      </c>
      <c r="E3505" s="19" t="str">
        <f>VLOOKUP(D3505,'لیست پرسنل'!$B$2:$E$1020,3,FALSE)</f>
        <v>فکورصنعت</v>
      </c>
      <c r="F3505" s="19" t="str">
        <f>VLOOKUP(D3505,'لیست پرسنل'!$B$2:$E$1020,4,FALSE)</f>
        <v>انبار</v>
      </c>
      <c r="G3505" s="127">
        <f>VLOOKUP(D3505,'لیست پرسنل'!$B$2:$F$1020,2,FALSE)</f>
        <v>3771</v>
      </c>
      <c r="H3505" s="126" t="s">
        <v>4609</v>
      </c>
      <c r="I3505" s="128"/>
      <c r="J3505" s="128" t="s">
        <v>5366</v>
      </c>
      <c r="K3505" s="128" t="s">
        <v>4965</v>
      </c>
      <c r="L3505" s="151" t="s">
        <v>4970</v>
      </c>
      <c r="M3505" s="127">
        <v>630680</v>
      </c>
      <c r="N3505" s="108"/>
      <c r="O3505" s="93" t="s">
        <v>5518</v>
      </c>
      <c r="P3505" s="20"/>
      <c r="Q3505" s="20"/>
    </row>
    <row r="3506" spans="1:17" ht="24.9" customHeight="1">
      <c r="A3506" s="20">
        <v>461</v>
      </c>
      <c r="B3506" s="20" t="s">
        <v>4351</v>
      </c>
      <c r="C3506" s="19"/>
      <c r="D3506" s="19" t="s">
        <v>2051</v>
      </c>
      <c r="E3506" s="19" t="str">
        <f>VLOOKUP(D3506,'لیست پرسنل'!$B$2:$E$1020,3,FALSE)</f>
        <v>فکورصنعت</v>
      </c>
      <c r="F3506" s="19" t="str">
        <f>VLOOKUP(D3506,'لیست پرسنل'!$B$2:$E$1020,4,FALSE)</f>
        <v>انبار</v>
      </c>
      <c r="G3506" s="127">
        <f>VLOOKUP(D3506,'لیست پرسنل'!$B$2:$F$1020,2,FALSE)</f>
        <v>3771</v>
      </c>
      <c r="H3506" s="151" t="s">
        <v>4609</v>
      </c>
      <c r="I3506" s="127"/>
      <c r="J3506" s="128" t="s">
        <v>5366</v>
      </c>
      <c r="K3506" s="128" t="s">
        <v>5558</v>
      </c>
      <c r="L3506" s="160" t="s">
        <v>5557</v>
      </c>
      <c r="M3506" s="127">
        <v>631848</v>
      </c>
      <c r="N3506" s="109"/>
      <c r="O3506" s="93" t="s">
        <v>5518</v>
      </c>
      <c r="P3506" s="20"/>
      <c r="Q3506" s="20"/>
    </row>
    <row r="3507" spans="1:17" ht="24.9" customHeight="1">
      <c r="A3507" s="20">
        <v>461</v>
      </c>
      <c r="B3507" s="20" t="s">
        <v>4351</v>
      </c>
      <c r="C3507" s="19"/>
      <c r="D3507" s="20" t="s">
        <v>2051</v>
      </c>
      <c r="E3507" s="19" t="str">
        <f>VLOOKUP(D3507,'لیست پرسنل'!$B$2:$E$1020,3,FALSE)</f>
        <v>فکورصنعت</v>
      </c>
      <c r="F3507" s="19" t="str">
        <f>VLOOKUP(D3507,'لیست پرسنل'!$B$2:$E$1020,4,FALSE)</f>
        <v>انبار</v>
      </c>
      <c r="G3507" s="127">
        <f>VLOOKUP(D3507,'لیست پرسنل'!$B$2:$F$1020,2,FALSE)</f>
        <v>3771</v>
      </c>
      <c r="H3507" s="126" t="s">
        <v>4609</v>
      </c>
      <c r="I3507" s="128"/>
      <c r="J3507" s="128" t="s">
        <v>3483</v>
      </c>
      <c r="K3507" s="128" t="s">
        <v>4528</v>
      </c>
      <c r="L3507" s="128"/>
      <c r="M3507" s="128">
        <v>629773</v>
      </c>
      <c r="N3507" s="108"/>
      <c r="O3507" s="20" t="s">
        <v>5519</v>
      </c>
      <c r="P3507" s="20"/>
      <c r="Q3507" s="20"/>
    </row>
    <row r="3508" spans="1:17" ht="24.9" customHeight="1">
      <c r="A3508" s="20">
        <v>461</v>
      </c>
      <c r="B3508" s="20" t="s">
        <v>4351</v>
      </c>
      <c r="C3508" s="19"/>
      <c r="D3508" s="19" t="s">
        <v>2051</v>
      </c>
      <c r="E3508" s="19" t="str">
        <f>VLOOKUP(D3508,'لیست پرسنل'!$B$2:$E$1020,3,FALSE)</f>
        <v>فکورصنعت</v>
      </c>
      <c r="F3508" s="19" t="str">
        <f>VLOOKUP(D3508,'لیست پرسنل'!$B$2:$E$1020,4,FALSE)</f>
        <v>انبار</v>
      </c>
      <c r="G3508" s="127">
        <f>VLOOKUP(D3508,'لیست پرسنل'!$B$2:$F$1020,2,FALSE)</f>
        <v>3771</v>
      </c>
      <c r="H3508" s="151" t="s">
        <v>4609</v>
      </c>
      <c r="I3508" s="127"/>
      <c r="J3508" s="128" t="s">
        <v>3476</v>
      </c>
      <c r="K3508" s="128" t="s">
        <v>5562</v>
      </c>
      <c r="L3508" s="160" t="s">
        <v>5563</v>
      </c>
      <c r="M3508" s="127" t="s">
        <v>291</v>
      </c>
      <c r="N3508" s="109"/>
      <c r="O3508" s="93" t="s">
        <v>5518</v>
      </c>
      <c r="P3508" s="20"/>
      <c r="Q3508" s="20"/>
    </row>
    <row r="3509" spans="1:17" ht="24.9" customHeight="1">
      <c r="A3509" s="20">
        <v>461</v>
      </c>
      <c r="B3509" s="20" t="s">
        <v>4351</v>
      </c>
      <c r="C3509" s="19"/>
      <c r="D3509" s="20" t="s">
        <v>2051</v>
      </c>
      <c r="E3509" s="19" t="str">
        <f>VLOOKUP(D3509,'لیست پرسنل'!$B$2:$E$1020,3,FALSE)</f>
        <v>فکورصنعت</v>
      </c>
      <c r="F3509" s="19" t="str">
        <f>VLOOKUP(D3509,'لیست پرسنل'!$B$2:$E$1020,4,FALSE)</f>
        <v>انبار</v>
      </c>
      <c r="G3509" s="127">
        <f>VLOOKUP(D3509,'لیست پرسنل'!$B$2:$F$1020,2,FALSE)</f>
        <v>3771</v>
      </c>
      <c r="H3509" s="126" t="s">
        <v>4609</v>
      </c>
      <c r="I3509" s="128"/>
      <c r="J3509" s="128" t="s">
        <v>571</v>
      </c>
      <c r="K3509" s="128" t="s">
        <v>4919</v>
      </c>
      <c r="L3509" s="151" t="s">
        <v>4918</v>
      </c>
      <c r="M3509" s="128">
        <v>629791</v>
      </c>
      <c r="N3509" s="112"/>
      <c r="O3509" s="93" t="s">
        <v>5518</v>
      </c>
      <c r="P3509" s="20"/>
      <c r="Q3509" s="20"/>
    </row>
    <row r="3510" spans="1:17" ht="24.9" customHeight="1">
      <c r="A3510" s="20">
        <v>461</v>
      </c>
      <c r="B3510" s="20" t="s">
        <v>4351</v>
      </c>
      <c r="C3510" s="19"/>
      <c r="D3510" s="19" t="s">
        <v>2051</v>
      </c>
      <c r="E3510" s="19" t="str">
        <f>VLOOKUP(D3510,'لیست پرسنل'!$B$2:$E$1020,3,FALSE)</f>
        <v>فکورصنعت</v>
      </c>
      <c r="F3510" s="19" t="str">
        <f>VLOOKUP(D3510,'لیست پرسنل'!$B$2:$E$1020,4,FALSE)</f>
        <v>انبار</v>
      </c>
      <c r="G3510" s="127">
        <f>VLOOKUP(D3510,'لیست پرسنل'!$B$2:$F$1020,2,FALSE)</f>
        <v>3771</v>
      </c>
      <c r="H3510" s="151" t="s">
        <v>4609</v>
      </c>
      <c r="I3510" s="127"/>
      <c r="J3510" s="128" t="s">
        <v>4719</v>
      </c>
      <c r="K3510" s="128" t="s">
        <v>5560</v>
      </c>
      <c r="L3510" s="160">
        <v>903</v>
      </c>
      <c r="M3510" s="127" t="s">
        <v>291</v>
      </c>
      <c r="N3510" s="109"/>
      <c r="O3510" s="93" t="s">
        <v>5518</v>
      </c>
      <c r="P3510" s="20"/>
      <c r="Q3510" s="20"/>
    </row>
    <row r="3511" spans="1:17" ht="24.9" customHeight="1">
      <c r="A3511" s="20">
        <v>461</v>
      </c>
      <c r="B3511" s="20" t="s">
        <v>4351</v>
      </c>
      <c r="C3511" s="19"/>
      <c r="D3511" s="20" t="s">
        <v>2051</v>
      </c>
      <c r="E3511" s="19" t="str">
        <f>VLOOKUP(D3511,'لیست پرسنل'!$B$2:$E$1020,3,FALSE)</f>
        <v>فکورصنعت</v>
      </c>
      <c r="F3511" s="19" t="str">
        <f>VLOOKUP(D3511,'لیست پرسنل'!$B$2:$E$1020,4,FALSE)</f>
        <v>انبار</v>
      </c>
      <c r="G3511" s="127">
        <f>VLOOKUP(D3511,'لیست پرسنل'!$B$2:$F$1020,2,FALSE)</f>
        <v>3771</v>
      </c>
      <c r="H3511" s="151" t="s">
        <v>4609</v>
      </c>
      <c r="I3511" s="127"/>
      <c r="J3511" s="128" t="s">
        <v>5473</v>
      </c>
      <c r="K3511" s="128" t="s">
        <v>5559</v>
      </c>
      <c r="L3511" s="160">
        <v>58</v>
      </c>
      <c r="M3511" s="127" t="s">
        <v>291</v>
      </c>
      <c r="N3511" s="109"/>
      <c r="O3511" s="93" t="s">
        <v>5518</v>
      </c>
      <c r="P3511" s="20"/>
      <c r="Q3511" s="20"/>
    </row>
    <row r="3512" spans="1:17" ht="24.9" customHeight="1">
      <c r="A3512" s="20">
        <v>461</v>
      </c>
      <c r="B3512" s="20" t="s">
        <v>4351</v>
      </c>
      <c r="C3512" s="19"/>
      <c r="D3512" s="20" t="s">
        <v>2051</v>
      </c>
      <c r="E3512" s="19" t="str">
        <f>VLOOKUP(D3512,'لیست پرسنل'!$B$2:$E$1020,3,FALSE)</f>
        <v>فکورصنعت</v>
      </c>
      <c r="F3512" s="19" t="str">
        <f>VLOOKUP(D3512,'لیست پرسنل'!$B$2:$E$1020,4,FALSE)</f>
        <v>انبار</v>
      </c>
      <c r="G3512" s="127">
        <f>VLOOKUP(D3512,'لیست پرسنل'!$B$2:$F$1020,2,FALSE)</f>
        <v>3771</v>
      </c>
      <c r="H3512" s="128" t="s">
        <v>4071</v>
      </c>
      <c r="I3512" s="128"/>
      <c r="J3512" s="128" t="s">
        <v>2678</v>
      </c>
      <c r="K3512" s="128" t="s">
        <v>4444</v>
      </c>
      <c r="L3512" s="128"/>
      <c r="M3512" s="128">
        <v>614204</v>
      </c>
      <c r="N3512" s="108"/>
      <c r="O3512" s="95"/>
      <c r="P3512" s="20"/>
      <c r="Q3512" s="20"/>
    </row>
    <row r="3513" spans="1:17" ht="24.9" customHeight="1">
      <c r="A3513" s="20">
        <v>461</v>
      </c>
      <c r="B3513" s="20" t="s">
        <v>4351</v>
      </c>
      <c r="C3513" s="19"/>
      <c r="D3513" s="20" t="s">
        <v>2051</v>
      </c>
      <c r="E3513" s="19" t="str">
        <f>VLOOKUP(D3513,'لیست پرسنل'!$B$2:$E$1020,3,FALSE)</f>
        <v>فکورصنعت</v>
      </c>
      <c r="F3513" s="19" t="str">
        <f>VLOOKUP(D3513,'لیست پرسنل'!$B$2:$E$1020,4,FALSE)</f>
        <v>انبار</v>
      </c>
      <c r="G3513" s="127">
        <f>VLOOKUP(D3513,'لیست پرسنل'!$B$2:$F$1020,2,FALSE)</f>
        <v>3771</v>
      </c>
      <c r="H3513" s="128" t="s">
        <v>5729</v>
      </c>
      <c r="I3513" s="128"/>
      <c r="J3513" s="126" t="s">
        <v>368</v>
      </c>
      <c r="K3513" s="128" t="s">
        <v>693</v>
      </c>
      <c r="L3513" s="127" t="s">
        <v>2158</v>
      </c>
      <c r="M3513" s="127">
        <v>618879</v>
      </c>
      <c r="N3513" s="109"/>
      <c r="O3513" s="19"/>
      <c r="P3513" s="20"/>
      <c r="Q3513" s="20"/>
    </row>
    <row r="3514" spans="1:17" ht="24.9" customHeight="1">
      <c r="A3514" s="20">
        <v>461</v>
      </c>
      <c r="B3514" s="20" t="s">
        <v>4351</v>
      </c>
      <c r="C3514" s="19"/>
      <c r="D3514" s="20" t="s">
        <v>3988</v>
      </c>
      <c r="E3514" s="19" t="str">
        <f>VLOOKUP(D3514,'لیست پرسنل'!$B$2:$E$1020,3,FALSE)</f>
        <v>گهر کوشان سپهر</v>
      </c>
      <c r="F3514" s="19" t="str">
        <f>VLOOKUP(D3514,'لیست پرسنل'!$B$2:$E$1020,4,FALSE)</f>
        <v>حراست</v>
      </c>
      <c r="G3514" s="127">
        <f>VLOOKUP(D3514,'لیست پرسنل'!$B$2:$F$1020,2,FALSE)</f>
        <v>20538</v>
      </c>
      <c r="H3514" s="126" t="s">
        <v>4714</v>
      </c>
      <c r="I3514" s="128"/>
      <c r="J3514" s="128" t="s">
        <v>3480</v>
      </c>
      <c r="K3514" s="128" t="s">
        <v>997</v>
      </c>
      <c r="L3514" s="127"/>
      <c r="M3514" s="126">
        <v>621554</v>
      </c>
      <c r="N3514" s="108"/>
      <c r="O3514" s="20" t="s">
        <v>4521</v>
      </c>
      <c r="P3514" s="20"/>
      <c r="Q3514" s="20"/>
    </row>
    <row r="3515" spans="1:17" ht="24.9" customHeight="1">
      <c r="A3515" s="20">
        <v>461</v>
      </c>
      <c r="B3515" s="20" t="s">
        <v>4351</v>
      </c>
      <c r="C3515" s="19"/>
      <c r="D3515" s="20" t="s">
        <v>3988</v>
      </c>
      <c r="E3515" s="19" t="str">
        <f>VLOOKUP(D3515,'لیست پرسنل'!$B$2:$E$1020,3,FALSE)</f>
        <v>گهر کوشان سپهر</v>
      </c>
      <c r="F3515" s="19" t="str">
        <f>VLOOKUP(D3515,'لیست پرسنل'!$B$2:$E$1020,4,FALSE)</f>
        <v>حراست</v>
      </c>
      <c r="G3515" s="127">
        <f>VLOOKUP(D3515,'لیست پرسنل'!$B$2:$F$1020,2,FALSE)</f>
        <v>20538</v>
      </c>
      <c r="H3515" s="126" t="s">
        <v>4714</v>
      </c>
      <c r="I3515" s="128"/>
      <c r="J3515" s="128" t="s">
        <v>3480</v>
      </c>
      <c r="K3515" s="128" t="s">
        <v>997</v>
      </c>
      <c r="L3515" s="127"/>
      <c r="M3515" s="126">
        <v>621555</v>
      </c>
      <c r="N3515" s="108"/>
      <c r="O3515" s="20" t="s">
        <v>4521</v>
      </c>
      <c r="P3515" s="20"/>
      <c r="Q3515" s="20"/>
    </row>
    <row r="3516" spans="1:17" ht="24.9" customHeight="1">
      <c r="A3516" s="20">
        <v>461</v>
      </c>
      <c r="B3516" s="20" t="s">
        <v>4351</v>
      </c>
      <c r="C3516" s="19"/>
      <c r="D3516" s="20" t="s">
        <v>3988</v>
      </c>
      <c r="E3516" s="19" t="str">
        <f>VLOOKUP(D3516,'لیست پرسنل'!$B$2:$E$1020,3,FALSE)</f>
        <v>گهر کوشان سپهر</v>
      </c>
      <c r="F3516" s="19" t="str">
        <f>VLOOKUP(D3516,'لیست پرسنل'!$B$2:$E$1020,4,FALSE)</f>
        <v>حراست</v>
      </c>
      <c r="G3516" s="127">
        <f>VLOOKUP(D3516,'لیست پرسنل'!$B$2:$F$1020,2,FALSE)</f>
        <v>20538</v>
      </c>
      <c r="H3516" s="126" t="s">
        <v>4714</v>
      </c>
      <c r="I3516" s="128"/>
      <c r="J3516" s="128" t="s">
        <v>3480</v>
      </c>
      <c r="K3516" s="128" t="s">
        <v>997</v>
      </c>
      <c r="L3516" s="127"/>
      <c r="M3516" s="126">
        <v>621556</v>
      </c>
      <c r="N3516" s="108"/>
      <c r="O3516" s="20" t="s">
        <v>4521</v>
      </c>
      <c r="P3516" s="20"/>
      <c r="Q3516" s="20"/>
    </row>
    <row r="3517" spans="1:17" ht="24.9" customHeight="1">
      <c r="A3517" s="20">
        <v>461</v>
      </c>
      <c r="B3517" s="20" t="s">
        <v>4351</v>
      </c>
      <c r="C3517" s="19"/>
      <c r="D3517" s="20" t="s">
        <v>3988</v>
      </c>
      <c r="E3517" s="19" t="str">
        <f>VLOOKUP(D3517,'لیست پرسنل'!$B$2:$E$1020,3,FALSE)</f>
        <v>گهر کوشان سپهر</v>
      </c>
      <c r="F3517" s="19" t="str">
        <f>VLOOKUP(D3517,'لیست پرسنل'!$B$2:$E$1020,4,FALSE)</f>
        <v>حراست</v>
      </c>
      <c r="G3517" s="127">
        <f>VLOOKUP(D3517,'لیست پرسنل'!$B$2:$F$1020,2,FALSE)</f>
        <v>20538</v>
      </c>
      <c r="H3517" s="126" t="s">
        <v>4714</v>
      </c>
      <c r="I3517" s="128"/>
      <c r="J3517" s="128" t="s">
        <v>3480</v>
      </c>
      <c r="K3517" s="128" t="s">
        <v>997</v>
      </c>
      <c r="L3517" s="127"/>
      <c r="M3517" s="126">
        <v>621557</v>
      </c>
      <c r="N3517" s="108"/>
      <c r="O3517" s="20" t="s">
        <v>4521</v>
      </c>
      <c r="P3517" s="20"/>
      <c r="Q3517" s="20"/>
    </row>
    <row r="3518" spans="1:17" ht="24.9" customHeight="1">
      <c r="A3518" s="20">
        <v>461</v>
      </c>
      <c r="B3518" s="20" t="s">
        <v>4351</v>
      </c>
      <c r="C3518" s="19"/>
      <c r="D3518" s="20" t="s">
        <v>3988</v>
      </c>
      <c r="E3518" s="19" t="str">
        <f>VLOOKUP(D3518,'لیست پرسنل'!$B$2:$E$1020,3,FALSE)</f>
        <v>گهر کوشان سپهر</v>
      </c>
      <c r="F3518" s="19" t="str">
        <f>VLOOKUP(D3518,'لیست پرسنل'!$B$2:$E$1020,4,FALSE)</f>
        <v>حراست</v>
      </c>
      <c r="G3518" s="127">
        <f>VLOOKUP(D3518,'لیست پرسنل'!$B$2:$F$1020,2,FALSE)</f>
        <v>20538</v>
      </c>
      <c r="H3518" s="126" t="s">
        <v>4714</v>
      </c>
      <c r="I3518" s="128"/>
      <c r="J3518" s="128" t="s">
        <v>3480</v>
      </c>
      <c r="K3518" s="128" t="s">
        <v>997</v>
      </c>
      <c r="L3518" s="127"/>
      <c r="M3518" s="126">
        <v>621558</v>
      </c>
      <c r="N3518" s="108"/>
      <c r="O3518" s="20" t="s">
        <v>4521</v>
      </c>
      <c r="P3518" s="20"/>
      <c r="Q3518" s="20"/>
    </row>
    <row r="3519" spans="1:17" ht="24.9" customHeight="1">
      <c r="A3519" s="20">
        <v>461</v>
      </c>
      <c r="B3519" s="20" t="s">
        <v>4351</v>
      </c>
      <c r="C3519" s="19"/>
      <c r="D3519" s="20" t="s">
        <v>3988</v>
      </c>
      <c r="E3519" s="19" t="str">
        <f>VLOOKUP(D3519,'لیست پرسنل'!$B$2:$E$1020,3,FALSE)</f>
        <v>گهر کوشان سپهر</v>
      </c>
      <c r="F3519" s="19" t="str">
        <f>VLOOKUP(D3519,'لیست پرسنل'!$B$2:$E$1020,4,FALSE)</f>
        <v>حراست</v>
      </c>
      <c r="G3519" s="127">
        <f>VLOOKUP(D3519,'لیست پرسنل'!$B$2:$F$1020,2,FALSE)</f>
        <v>20538</v>
      </c>
      <c r="H3519" s="126" t="s">
        <v>4714</v>
      </c>
      <c r="I3519" s="128"/>
      <c r="J3519" s="128" t="s">
        <v>3480</v>
      </c>
      <c r="K3519" s="128" t="s">
        <v>997</v>
      </c>
      <c r="L3519" s="127"/>
      <c r="M3519" s="126">
        <v>621559</v>
      </c>
      <c r="N3519" s="108"/>
      <c r="O3519" s="20" t="s">
        <v>4521</v>
      </c>
      <c r="P3519" s="20"/>
      <c r="Q3519" s="20"/>
    </row>
    <row r="3520" spans="1:17" ht="24.9" customHeight="1">
      <c r="A3520" s="20">
        <v>461</v>
      </c>
      <c r="B3520" s="20" t="s">
        <v>4351</v>
      </c>
      <c r="C3520" s="20"/>
      <c r="D3520" s="20" t="s">
        <v>3989</v>
      </c>
      <c r="E3520" s="19" t="str">
        <f>VLOOKUP(D3520,'لیست پرسنل'!$B$2:$E$1020,3,FALSE)</f>
        <v>آهن مهام</v>
      </c>
      <c r="F3520" s="19" t="str">
        <f>VLOOKUP(D3520,'لیست پرسنل'!$B$2:$E$1020,4,FALSE)</f>
        <v>آبدارخانه</v>
      </c>
      <c r="G3520" s="127">
        <f>VLOOKUP(D3520,'لیست پرسنل'!$B$2:$F$1020,2,FALSE)</f>
        <v>20567</v>
      </c>
      <c r="H3520" s="128" t="s">
        <v>5677</v>
      </c>
      <c r="I3520" s="128"/>
      <c r="J3520" s="126" t="s">
        <v>368</v>
      </c>
      <c r="K3520" s="128" t="s">
        <v>8248</v>
      </c>
      <c r="L3520" s="128" t="s">
        <v>2344</v>
      </c>
      <c r="M3520" s="128">
        <v>628750</v>
      </c>
      <c r="N3520" s="108"/>
      <c r="O3520" s="20"/>
      <c r="P3520" s="20"/>
      <c r="Q3520" s="20"/>
    </row>
    <row r="3521" spans="1:17" ht="24.9" customHeight="1">
      <c r="A3521" s="20">
        <v>461</v>
      </c>
      <c r="B3521" s="20" t="s">
        <v>4351</v>
      </c>
      <c r="C3521" s="20"/>
      <c r="D3521" s="20" t="s">
        <v>3982</v>
      </c>
      <c r="E3521" s="19" t="str">
        <f>VLOOKUP(D3521,'لیست پرسنل'!$B$2:$E$1020,3,FALSE)</f>
        <v>فکورصنعت</v>
      </c>
      <c r="F3521" s="19" t="str">
        <f>VLOOKUP(D3521,'لیست پرسنل'!$B$2:$E$1020,4,FALSE)</f>
        <v>مدیر سایت</v>
      </c>
      <c r="G3521" s="127">
        <f>VLOOKUP(D3521,'لیست پرسنل'!$B$2:$F$1020,2,FALSE)</f>
        <v>2701</v>
      </c>
      <c r="H3521" s="128" t="s">
        <v>4071</v>
      </c>
      <c r="I3521" s="155"/>
      <c r="J3521" s="128" t="s">
        <v>3143</v>
      </c>
      <c r="K3521" s="128" t="s">
        <v>4733</v>
      </c>
      <c r="L3521" s="127" t="s">
        <v>5843</v>
      </c>
      <c r="M3521" s="127">
        <v>626832</v>
      </c>
      <c r="N3521" s="108"/>
      <c r="O3521" s="20" t="s">
        <v>3273</v>
      </c>
      <c r="P3521" s="20"/>
      <c r="Q3521" s="20"/>
    </row>
    <row r="3522" spans="1:17" ht="24.9" customHeight="1">
      <c r="A3522" s="20">
        <v>461</v>
      </c>
      <c r="B3522" s="20" t="s">
        <v>4351</v>
      </c>
      <c r="C3522" s="20"/>
      <c r="D3522" s="20" t="s">
        <v>3982</v>
      </c>
      <c r="E3522" s="19" t="str">
        <f>VLOOKUP(D3522,'لیست پرسنل'!$B$2:$E$1020,3,FALSE)</f>
        <v>فکورصنعت</v>
      </c>
      <c r="F3522" s="19" t="str">
        <f>VLOOKUP(D3522,'لیست پرسنل'!$B$2:$E$1020,4,FALSE)</f>
        <v>مدیر سایت</v>
      </c>
      <c r="G3522" s="127">
        <f>VLOOKUP(D3522,'لیست پرسنل'!$B$2:$F$1020,2,FALSE)</f>
        <v>2701</v>
      </c>
      <c r="H3522" s="128" t="s">
        <v>4071</v>
      </c>
      <c r="I3522" s="128"/>
      <c r="J3522" s="128" t="s">
        <v>3143</v>
      </c>
      <c r="K3522" s="128" t="s">
        <v>5839</v>
      </c>
      <c r="L3522" s="150" t="s">
        <v>2209</v>
      </c>
      <c r="M3522" s="128" t="s">
        <v>291</v>
      </c>
      <c r="N3522" s="108" t="s">
        <v>2211</v>
      </c>
      <c r="O3522" s="20" t="s">
        <v>2210</v>
      </c>
      <c r="P3522" s="20"/>
      <c r="Q3522" s="20"/>
    </row>
    <row r="3523" spans="1:17" ht="24.9" customHeight="1">
      <c r="A3523" s="20">
        <v>461</v>
      </c>
      <c r="B3523" s="20" t="s">
        <v>4351</v>
      </c>
      <c r="C3523" s="20"/>
      <c r="D3523" s="20" t="s">
        <v>3982</v>
      </c>
      <c r="E3523" s="19" t="str">
        <f>VLOOKUP(D3523,'لیست پرسنل'!$B$2:$E$1020,3,FALSE)</f>
        <v>فکورصنعت</v>
      </c>
      <c r="F3523" s="19" t="str">
        <f>VLOOKUP(D3523,'لیست پرسنل'!$B$2:$E$1020,4,FALSE)</f>
        <v>مدیر سایت</v>
      </c>
      <c r="G3523" s="127">
        <f>VLOOKUP(D3523,'لیست پرسنل'!$B$2:$F$1020,2,FALSE)</f>
        <v>2701</v>
      </c>
      <c r="H3523" s="128" t="s">
        <v>4071</v>
      </c>
      <c r="I3523" s="128"/>
      <c r="J3523" s="126" t="s">
        <v>3481</v>
      </c>
      <c r="K3523" s="128" t="s">
        <v>7910</v>
      </c>
      <c r="L3523" s="127" t="s">
        <v>7906</v>
      </c>
      <c r="M3523" s="128" t="s">
        <v>291</v>
      </c>
      <c r="N3523" s="108" t="s">
        <v>6662</v>
      </c>
      <c r="O3523" s="20"/>
      <c r="P3523" s="20"/>
      <c r="Q3523" s="20"/>
    </row>
    <row r="3524" spans="1:17" ht="24.9" customHeight="1">
      <c r="A3524" s="20">
        <v>461</v>
      </c>
      <c r="B3524" s="20" t="s">
        <v>4351</v>
      </c>
      <c r="C3524" s="20"/>
      <c r="D3524" s="20" t="s">
        <v>3982</v>
      </c>
      <c r="E3524" s="19" t="str">
        <f>VLOOKUP(D3524,'لیست پرسنل'!$B$2:$E$1020,3,FALSE)</f>
        <v>فکورصنعت</v>
      </c>
      <c r="F3524" s="19" t="str">
        <f>VLOOKUP(D3524,'لیست پرسنل'!$B$2:$E$1020,4,FALSE)</f>
        <v>مدیر سایت</v>
      </c>
      <c r="G3524" s="127">
        <f>VLOOKUP(D3524,'لیست پرسنل'!$B$2:$F$1020,2,FALSE)</f>
        <v>2701</v>
      </c>
      <c r="H3524" s="128" t="s">
        <v>4071</v>
      </c>
      <c r="I3524" s="128"/>
      <c r="J3524" s="126" t="s">
        <v>3481</v>
      </c>
      <c r="K3524" s="128" t="s">
        <v>7909</v>
      </c>
      <c r="L3524" s="127" t="s">
        <v>7907</v>
      </c>
      <c r="M3524" s="128" t="s">
        <v>291</v>
      </c>
      <c r="N3524" s="108" t="s">
        <v>6662</v>
      </c>
      <c r="O3524" s="20"/>
      <c r="P3524" s="20"/>
      <c r="Q3524" s="20"/>
    </row>
    <row r="3525" spans="1:17" ht="24.9" customHeight="1">
      <c r="A3525" s="20">
        <v>461</v>
      </c>
      <c r="B3525" s="20" t="s">
        <v>4351</v>
      </c>
      <c r="C3525" s="20"/>
      <c r="D3525" s="20" t="s">
        <v>3982</v>
      </c>
      <c r="E3525" s="19" t="str">
        <f>VLOOKUP(D3525,'لیست پرسنل'!$B$2:$E$1020,3,FALSE)</f>
        <v>فکورصنعت</v>
      </c>
      <c r="F3525" s="19" t="str">
        <f>VLOOKUP(D3525,'لیست پرسنل'!$B$2:$E$1020,4,FALSE)</f>
        <v>مدیر سایت</v>
      </c>
      <c r="G3525" s="127">
        <f>VLOOKUP(D3525,'لیست پرسنل'!$B$2:$F$1020,2,FALSE)</f>
        <v>2701</v>
      </c>
      <c r="H3525" s="128" t="s">
        <v>4071</v>
      </c>
      <c r="I3525" s="128"/>
      <c r="J3525" s="126" t="s">
        <v>3481</v>
      </c>
      <c r="K3525" s="128" t="s">
        <v>7909</v>
      </c>
      <c r="L3525" s="127" t="s">
        <v>7908</v>
      </c>
      <c r="M3525" s="128" t="s">
        <v>291</v>
      </c>
      <c r="N3525" s="108" t="s">
        <v>6662</v>
      </c>
      <c r="O3525" s="20"/>
      <c r="P3525" s="20"/>
      <c r="Q3525" s="20"/>
    </row>
    <row r="3526" spans="1:17" ht="24.9" customHeight="1">
      <c r="A3526" s="20">
        <v>461</v>
      </c>
      <c r="B3526" s="20" t="s">
        <v>4351</v>
      </c>
      <c r="C3526" s="19"/>
      <c r="D3526" s="20" t="s">
        <v>7015</v>
      </c>
      <c r="E3526" s="19" t="str">
        <f>VLOOKUP(D3526,'لیست پرسنل'!$B$2:$E$1020,3,FALSE)</f>
        <v>آهن مهام</v>
      </c>
      <c r="F3526" s="19" t="str">
        <f>VLOOKUP(D3526,'لیست پرسنل'!$B$2:$E$1020,4,FALSE)</f>
        <v>سرپرست کارگاه</v>
      </c>
      <c r="G3526" s="127">
        <f>VLOOKUP(D3526,'لیست پرسنل'!$B$2:$F$1020,2,FALSE)</f>
        <v>0</v>
      </c>
      <c r="H3526" s="128" t="s">
        <v>7014</v>
      </c>
      <c r="I3526" s="128"/>
      <c r="J3526" s="128" t="s">
        <v>3481</v>
      </c>
      <c r="K3526" s="128" t="s">
        <v>7013</v>
      </c>
      <c r="L3526" s="128" t="s">
        <v>7012</v>
      </c>
      <c r="M3526" s="127" t="s">
        <v>291</v>
      </c>
      <c r="N3526" s="108" t="s">
        <v>3982</v>
      </c>
      <c r="O3526" s="20"/>
      <c r="P3526" s="20"/>
      <c r="Q3526" s="20"/>
    </row>
    <row r="3527" spans="1:17" ht="24.9" customHeight="1">
      <c r="A3527" s="20">
        <v>461</v>
      </c>
      <c r="B3527" s="20" t="s">
        <v>4351</v>
      </c>
      <c r="C3527" s="20"/>
      <c r="D3527" s="20" t="s">
        <v>2016</v>
      </c>
      <c r="E3527" s="19" t="str">
        <f>VLOOKUP(D3527,'لیست پرسنل'!$B$2:$E$1020,3,FALSE)</f>
        <v>فکورصنعت</v>
      </c>
      <c r="F3527" s="19" t="str">
        <f>VLOOKUP(D3527,'لیست پرسنل'!$B$2:$E$1020,4,FALSE)</f>
        <v>کارشناس نظارت سازه</v>
      </c>
      <c r="G3527" s="127">
        <f>VLOOKUP(D3527,'لیست پرسنل'!$B$2:$F$1020,2,FALSE)</f>
        <v>498</v>
      </c>
      <c r="H3527" s="127" t="s">
        <v>8424</v>
      </c>
      <c r="I3527" s="127"/>
      <c r="J3527" s="128" t="s">
        <v>3480</v>
      </c>
      <c r="K3527" s="127" t="s">
        <v>8421</v>
      </c>
      <c r="L3527" s="127" t="s">
        <v>8418</v>
      </c>
      <c r="M3527" s="127">
        <v>637097</v>
      </c>
      <c r="N3527" s="109"/>
      <c r="O3527" s="20"/>
      <c r="P3527" s="20"/>
      <c r="Q3527" s="20"/>
    </row>
    <row r="3528" spans="1:17" ht="24.9" customHeight="1">
      <c r="A3528" s="20">
        <v>461</v>
      </c>
      <c r="B3528" s="20" t="s">
        <v>4351</v>
      </c>
      <c r="C3528" s="20"/>
      <c r="D3528" s="20" t="s">
        <v>2016</v>
      </c>
      <c r="E3528" s="19" t="str">
        <f>VLOOKUP(D3528,'لیست پرسنل'!$B$2:$E$1020,3,FALSE)</f>
        <v>فکورصنعت</v>
      </c>
      <c r="F3528" s="19" t="str">
        <f>VLOOKUP(D3528,'لیست پرسنل'!$B$2:$E$1020,4,FALSE)</f>
        <v>کارشناس نظارت سازه</v>
      </c>
      <c r="G3528" s="127">
        <f>VLOOKUP(D3528,'لیست پرسنل'!$B$2:$F$1020,2,FALSE)</f>
        <v>498</v>
      </c>
      <c r="H3528" s="127" t="s">
        <v>8425</v>
      </c>
      <c r="I3528" s="127"/>
      <c r="J3528" s="128" t="s">
        <v>3480</v>
      </c>
      <c r="K3528" s="127" t="s">
        <v>8422</v>
      </c>
      <c r="L3528" s="127" t="s">
        <v>8419</v>
      </c>
      <c r="M3528" s="127">
        <v>637096</v>
      </c>
      <c r="N3528" s="109"/>
      <c r="O3528" s="20"/>
      <c r="P3528" s="20"/>
      <c r="Q3528" s="20"/>
    </row>
    <row r="3529" spans="1:17" ht="24.9" customHeight="1">
      <c r="A3529" s="20">
        <v>461</v>
      </c>
      <c r="B3529" s="20" t="s">
        <v>4351</v>
      </c>
      <c r="C3529" s="20"/>
      <c r="D3529" s="20" t="s">
        <v>2016</v>
      </c>
      <c r="E3529" s="19" t="str">
        <f>VLOOKUP(D3529,'لیست پرسنل'!$B$2:$E$1020,3,FALSE)</f>
        <v>فکورصنعت</v>
      </c>
      <c r="F3529" s="19" t="str">
        <f>VLOOKUP(D3529,'لیست پرسنل'!$B$2:$E$1020,4,FALSE)</f>
        <v>کارشناس نظارت سازه</v>
      </c>
      <c r="G3529" s="127">
        <f>VLOOKUP(D3529,'لیست پرسنل'!$B$2:$F$1020,2,FALSE)</f>
        <v>498</v>
      </c>
      <c r="H3529" s="127" t="s">
        <v>8425</v>
      </c>
      <c r="I3529" s="127"/>
      <c r="J3529" s="128" t="s">
        <v>3481</v>
      </c>
      <c r="K3529" s="127" t="s">
        <v>8423</v>
      </c>
      <c r="L3529" s="127"/>
      <c r="M3529" s="127" t="s">
        <v>8420</v>
      </c>
      <c r="N3529" s="109"/>
      <c r="O3529" s="20"/>
      <c r="P3529" s="20"/>
      <c r="Q3529" s="20"/>
    </row>
    <row r="3530" spans="1:17" ht="24.9" customHeight="1">
      <c r="A3530" s="20">
        <v>461</v>
      </c>
      <c r="B3530" s="20" t="s">
        <v>4353</v>
      </c>
      <c r="C3530" s="19">
        <v>1</v>
      </c>
      <c r="D3530" s="20" t="s">
        <v>5269</v>
      </c>
      <c r="E3530" s="19" t="str">
        <f>VLOOKUP(D3530,'لیست پرسنل'!$B$2:$E$1020,3,FALSE)</f>
        <v xml:space="preserve">شرکت برسو </v>
      </c>
      <c r="F3530" s="19" t="str">
        <f>VLOOKUP(D3530,'لیست پرسنل'!$B$2:$E$1020,4,FALSE)</f>
        <v>نظارت کارفرما</v>
      </c>
      <c r="G3530" s="127">
        <f>VLOOKUP(D3530,'لیست پرسنل'!$B$2:$F$1020,2,FALSE)</f>
        <v>0</v>
      </c>
      <c r="H3530" s="128" t="s">
        <v>4070</v>
      </c>
      <c r="I3530" s="128" t="s">
        <v>2035</v>
      </c>
      <c r="J3530" s="128" t="s">
        <v>571</v>
      </c>
      <c r="K3530" s="128" t="s">
        <v>2219</v>
      </c>
      <c r="L3530" s="127"/>
      <c r="M3530" s="127">
        <v>629961</v>
      </c>
      <c r="N3530" s="109"/>
      <c r="O3530" s="19" t="s">
        <v>705</v>
      </c>
      <c r="P3530" s="19"/>
      <c r="Q3530" s="28"/>
    </row>
    <row r="3531" spans="1:17" ht="24.9" customHeight="1">
      <c r="A3531" s="20">
        <v>461</v>
      </c>
      <c r="B3531" s="20" t="s">
        <v>4353</v>
      </c>
      <c r="C3531" s="19">
        <v>1</v>
      </c>
      <c r="D3531" s="20" t="s">
        <v>5269</v>
      </c>
      <c r="E3531" s="19" t="str">
        <f>VLOOKUP(D3531,'لیست پرسنل'!$B$2:$E$1020,3,FALSE)</f>
        <v xml:space="preserve">شرکت برسو </v>
      </c>
      <c r="F3531" s="19" t="str">
        <f>VLOOKUP(D3531,'لیست پرسنل'!$B$2:$E$1020,4,FALSE)</f>
        <v>نظارت کارفرما</v>
      </c>
      <c r="G3531" s="127">
        <f>VLOOKUP(D3531,'لیست پرسنل'!$B$2:$F$1020,2,FALSE)</f>
        <v>0</v>
      </c>
      <c r="H3531" s="128" t="s">
        <v>4070</v>
      </c>
      <c r="I3531" s="128" t="s">
        <v>2035</v>
      </c>
      <c r="J3531" s="128" t="s">
        <v>2686</v>
      </c>
      <c r="K3531" s="128" t="s">
        <v>2024</v>
      </c>
      <c r="L3531" s="152" t="s">
        <v>1722</v>
      </c>
      <c r="M3531" s="128">
        <v>601485</v>
      </c>
      <c r="N3531" s="108"/>
      <c r="O3531" s="20"/>
      <c r="P3531" s="20"/>
      <c r="Q3531" s="20"/>
    </row>
    <row r="3532" spans="1:17" ht="24.9" customHeight="1">
      <c r="A3532" s="20">
        <v>461</v>
      </c>
      <c r="B3532" s="20" t="s">
        <v>4353</v>
      </c>
      <c r="C3532" s="19">
        <v>2</v>
      </c>
      <c r="D3532" s="19" t="s">
        <v>4064</v>
      </c>
      <c r="E3532" s="19" t="str">
        <f>VLOOKUP(D3532,'لیست پرسنل'!$B$2:$E$1020,3,FALSE)</f>
        <v>کارفرما</v>
      </c>
      <c r="F3532" s="19" t="str">
        <f>VLOOKUP(D3532,'لیست پرسنل'!$B$2:$E$1020,4,FALSE)</f>
        <v>مکانیک</v>
      </c>
      <c r="G3532" s="127">
        <f>VLOOKUP(D3532,'لیست پرسنل'!$B$2:$F$1020,2,FALSE)</f>
        <v>0</v>
      </c>
      <c r="H3532" s="128" t="s">
        <v>4070</v>
      </c>
      <c r="I3532" s="128" t="s">
        <v>2036</v>
      </c>
      <c r="J3532" s="126" t="s">
        <v>368</v>
      </c>
      <c r="K3532" s="128" t="s">
        <v>2846</v>
      </c>
      <c r="L3532" s="127" t="s">
        <v>2371</v>
      </c>
      <c r="M3532" s="128">
        <v>628778</v>
      </c>
      <c r="N3532" s="108"/>
      <c r="O3532" s="20"/>
      <c r="P3532" s="20"/>
      <c r="Q3532" s="20"/>
    </row>
    <row r="3533" spans="1:17" ht="24.9" customHeight="1">
      <c r="A3533" s="20">
        <v>461</v>
      </c>
      <c r="B3533" s="20" t="s">
        <v>4353</v>
      </c>
      <c r="C3533" s="19">
        <v>2</v>
      </c>
      <c r="D3533" s="19" t="s">
        <v>4064</v>
      </c>
      <c r="E3533" s="19" t="str">
        <f>VLOOKUP(D3533,'لیست پرسنل'!$B$2:$E$1020,3,FALSE)</f>
        <v>کارفرما</v>
      </c>
      <c r="F3533" s="19" t="str">
        <f>VLOOKUP(D3533,'لیست پرسنل'!$B$2:$E$1020,4,FALSE)</f>
        <v>مکانیک</v>
      </c>
      <c r="G3533" s="127">
        <f>VLOOKUP(D3533,'لیست پرسنل'!$B$2:$F$1020,2,FALSE)</f>
        <v>0</v>
      </c>
      <c r="H3533" s="128" t="s">
        <v>4070</v>
      </c>
      <c r="I3533" s="128" t="s">
        <v>2036</v>
      </c>
      <c r="J3533" s="128" t="s">
        <v>571</v>
      </c>
      <c r="K3533" s="128"/>
      <c r="L3533" s="126"/>
      <c r="M3533" s="128">
        <v>627702</v>
      </c>
      <c r="N3533" s="108"/>
      <c r="O3533" s="20"/>
      <c r="P3533" s="20"/>
      <c r="Q3533" s="20"/>
    </row>
    <row r="3534" spans="1:17" ht="24.9" customHeight="1">
      <c r="A3534" s="20">
        <v>461</v>
      </c>
      <c r="B3534" s="20" t="s">
        <v>4353</v>
      </c>
      <c r="C3534" s="19">
        <v>2</v>
      </c>
      <c r="D3534" s="19" t="s">
        <v>4064</v>
      </c>
      <c r="E3534" s="19" t="str">
        <f>VLOOKUP(D3534,'لیست پرسنل'!$B$2:$E$1020,3,FALSE)</f>
        <v>کارفرما</v>
      </c>
      <c r="F3534" s="19" t="str">
        <f>VLOOKUP(D3534,'لیست پرسنل'!$B$2:$E$1020,4,FALSE)</f>
        <v>مکانیک</v>
      </c>
      <c r="G3534" s="127">
        <f>VLOOKUP(D3534,'لیست پرسنل'!$B$2:$F$1020,2,FALSE)</f>
        <v>0</v>
      </c>
      <c r="H3534" s="128" t="s">
        <v>4070</v>
      </c>
      <c r="I3534" s="128" t="s">
        <v>2036</v>
      </c>
      <c r="J3534" s="128" t="s">
        <v>2686</v>
      </c>
      <c r="K3534" s="128" t="s">
        <v>2024</v>
      </c>
      <c r="L3534" s="126" t="s">
        <v>1725</v>
      </c>
      <c r="M3534" s="128">
        <v>607862</v>
      </c>
      <c r="N3534" s="108"/>
      <c r="O3534" s="20"/>
      <c r="P3534" s="20"/>
      <c r="Q3534" s="20"/>
    </row>
    <row r="3535" spans="1:17" ht="24.9" customHeight="1">
      <c r="A3535" s="20">
        <v>461</v>
      </c>
      <c r="B3535" s="20" t="s">
        <v>4353</v>
      </c>
      <c r="C3535" s="19">
        <v>3</v>
      </c>
      <c r="D3535" s="19" t="s">
        <v>4065</v>
      </c>
      <c r="E3535" s="19" t="str">
        <f>VLOOKUP(D3535,'لیست پرسنل'!$B$2:$E$1020,3,FALSE)</f>
        <v>کارفرما</v>
      </c>
      <c r="F3535" s="19" t="str">
        <f>VLOOKUP(D3535,'لیست پرسنل'!$B$2:$E$1020,4,FALSE)</f>
        <v>برق</v>
      </c>
      <c r="G3535" s="127">
        <f>VLOOKUP(D3535,'لیست پرسنل'!$B$2:$F$1020,2,FALSE)</f>
        <v>0</v>
      </c>
      <c r="H3535" s="128" t="s">
        <v>4070</v>
      </c>
      <c r="I3535" s="128" t="s">
        <v>2037</v>
      </c>
      <c r="J3535" s="128" t="s">
        <v>737</v>
      </c>
      <c r="K3535" s="128" t="s">
        <v>2216</v>
      </c>
      <c r="L3535" s="128" t="s">
        <v>1688</v>
      </c>
      <c r="M3535" s="128">
        <v>625360</v>
      </c>
      <c r="N3535" s="108"/>
      <c r="O3535" s="20"/>
      <c r="P3535" s="20"/>
      <c r="Q3535" s="20"/>
    </row>
    <row r="3536" spans="1:17" ht="24.9" customHeight="1">
      <c r="A3536" s="20">
        <v>461</v>
      </c>
      <c r="B3536" s="20" t="s">
        <v>4353</v>
      </c>
      <c r="C3536" s="19">
        <v>3</v>
      </c>
      <c r="D3536" s="19" t="s">
        <v>4065</v>
      </c>
      <c r="E3536" s="19" t="str">
        <f>VLOOKUP(D3536,'لیست پرسنل'!$B$2:$E$1020,3,FALSE)</f>
        <v>کارفرما</v>
      </c>
      <c r="F3536" s="19" t="str">
        <f>VLOOKUP(D3536,'لیست پرسنل'!$B$2:$E$1020,4,FALSE)</f>
        <v>برق</v>
      </c>
      <c r="G3536" s="127">
        <f>VLOOKUP(D3536,'لیست پرسنل'!$B$2:$F$1020,2,FALSE)</f>
        <v>0</v>
      </c>
      <c r="H3536" s="128" t="s">
        <v>4070</v>
      </c>
      <c r="I3536" s="128" t="s">
        <v>2037</v>
      </c>
      <c r="J3536" s="126" t="s">
        <v>368</v>
      </c>
      <c r="K3536" s="135" t="s">
        <v>8248</v>
      </c>
      <c r="L3536" s="127" t="s">
        <v>2452</v>
      </c>
      <c r="M3536" s="128">
        <v>628861</v>
      </c>
      <c r="N3536" s="108"/>
      <c r="O3536" s="20" t="s">
        <v>705</v>
      </c>
      <c r="P3536" s="20"/>
      <c r="Q3536" s="20"/>
    </row>
    <row r="3537" spans="1:17" ht="24.9" customHeight="1">
      <c r="A3537" s="20">
        <v>461</v>
      </c>
      <c r="B3537" s="20" t="s">
        <v>4353</v>
      </c>
      <c r="C3537" s="19">
        <v>3</v>
      </c>
      <c r="D3537" s="19" t="s">
        <v>4065</v>
      </c>
      <c r="E3537" s="19" t="str">
        <f>VLOOKUP(D3537,'لیست پرسنل'!$B$2:$E$1020,3,FALSE)</f>
        <v>کارفرما</v>
      </c>
      <c r="F3537" s="19" t="str">
        <f>VLOOKUP(D3537,'لیست پرسنل'!$B$2:$E$1020,4,FALSE)</f>
        <v>برق</v>
      </c>
      <c r="G3537" s="127">
        <f>VLOOKUP(D3537,'لیست پرسنل'!$B$2:$F$1020,2,FALSE)</f>
        <v>0</v>
      </c>
      <c r="H3537" s="128" t="s">
        <v>4070</v>
      </c>
      <c r="I3537" s="128" t="s">
        <v>2037</v>
      </c>
      <c r="J3537" s="128" t="s">
        <v>571</v>
      </c>
      <c r="K3537" s="128"/>
      <c r="L3537" s="152"/>
      <c r="M3537" s="128">
        <v>627712</v>
      </c>
      <c r="N3537" s="108"/>
      <c r="O3537" s="20"/>
      <c r="P3537" s="20"/>
      <c r="Q3537" s="20"/>
    </row>
    <row r="3538" spans="1:17" ht="24.9" customHeight="1">
      <c r="A3538" s="20">
        <v>461</v>
      </c>
      <c r="B3538" s="20" t="s">
        <v>4353</v>
      </c>
      <c r="C3538" s="19">
        <v>3</v>
      </c>
      <c r="D3538" s="19" t="s">
        <v>4065</v>
      </c>
      <c r="E3538" s="19" t="str">
        <f>VLOOKUP(D3538,'لیست پرسنل'!$B$2:$E$1020,3,FALSE)</f>
        <v>کارفرما</v>
      </c>
      <c r="F3538" s="19" t="str">
        <f>VLOOKUP(D3538,'لیست پرسنل'!$B$2:$E$1020,4,FALSE)</f>
        <v>برق</v>
      </c>
      <c r="G3538" s="127">
        <f>VLOOKUP(D3538,'لیست پرسنل'!$B$2:$F$1020,2,FALSE)</f>
        <v>0</v>
      </c>
      <c r="H3538" s="128" t="s">
        <v>4070</v>
      </c>
      <c r="I3538" s="128" t="s">
        <v>2037</v>
      </c>
      <c r="J3538" s="128" t="s">
        <v>2686</v>
      </c>
      <c r="K3538" s="128" t="s">
        <v>2024</v>
      </c>
      <c r="L3538" s="152" t="s">
        <v>1718</v>
      </c>
      <c r="M3538" s="128">
        <v>610660</v>
      </c>
      <c r="N3538" s="108"/>
      <c r="O3538" s="20"/>
      <c r="P3538" s="20"/>
      <c r="Q3538" s="20"/>
    </row>
    <row r="3539" spans="1:17" ht="24.9" customHeight="1">
      <c r="A3539" s="20">
        <v>461</v>
      </c>
      <c r="B3539" s="20" t="s">
        <v>4353</v>
      </c>
      <c r="C3539" s="19">
        <v>4</v>
      </c>
      <c r="D3539" s="19" t="s">
        <v>6819</v>
      </c>
      <c r="E3539" s="19" t="str">
        <f>VLOOKUP(D3539,'لیست پرسنل'!$B$2:$E$1020,3,FALSE)</f>
        <v>کارفرما</v>
      </c>
      <c r="F3539" s="19" t="str">
        <f>VLOOKUP(D3539,'لیست پرسنل'!$B$2:$E$1020,4,FALSE)</f>
        <v>معاونت عمرانی</v>
      </c>
      <c r="G3539" s="127">
        <f>VLOOKUP(D3539,'لیست پرسنل'!$B$2:$F$1020,2,FALSE)</f>
        <v>0</v>
      </c>
      <c r="H3539" s="128" t="s">
        <v>4070</v>
      </c>
      <c r="I3539" s="128" t="s">
        <v>2038</v>
      </c>
      <c r="J3539" s="126" t="s">
        <v>368</v>
      </c>
      <c r="K3539" s="135" t="s">
        <v>8248</v>
      </c>
      <c r="L3539" s="127" t="s">
        <v>2412</v>
      </c>
      <c r="M3539" s="128">
        <v>628819</v>
      </c>
      <c r="N3539" s="108"/>
      <c r="O3539" s="20" t="s">
        <v>705</v>
      </c>
      <c r="P3539" s="20"/>
      <c r="Q3539" s="20"/>
    </row>
    <row r="3540" spans="1:17" ht="24.9" customHeight="1">
      <c r="A3540" s="20">
        <v>461</v>
      </c>
      <c r="B3540" s="20" t="s">
        <v>4353</v>
      </c>
      <c r="C3540" s="19">
        <v>4</v>
      </c>
      <c r="D3540" s="19" t="s">
        <v>6819</v>
      </c>
      <c r="E3540" s="19" t="str">
        <f>VLOOKUP(D3540,'لیست پرسنل'!$B$2:$E$1020,3,FALSE)</f>
        <v>کارفرما</v>
      </c>
      <c r="F3540" s="19" t="str">
        <f>VLOOKUP(D3540,'لیست پرسنل'!$B$2:$E$1020,4,FALSE)</f>
        <v>معاونت عمرانی</v>
      </c>
      <c r="G3540" s="127">
        <f>VLOOKUP(D3540,'لیست پرسنل'!$B$2:$F$1020,2,FALSE)</f>
        <v>0</v>
      </c>
      <c r="H3540" s="128" t="s">
        <v>4070</v>
      </c>
      <c r="I3540" s="128" t="s">
        <v>2038</v>
      </c>
      <c r="J3540" s="128" t="s">
        <v>571</v>
      </c>
      <c r="K3540" s="128"/>
      <c r="L3540" s="152"/>
      <c r="M3540" s="128">
        <v>625425</v>
      </c>
      <c r="N3540" s="108"/>
      <c r="O3540" s="20"/>
      <c r="P3540" s="19"/>
      <c r="Q3540" s="19"/>
    </row>
    <row r="3541" spans="1:17" ht="24.9" customHeight="1">
      <c r="A3541" s="20">
        <v>461</v>
      </c>
      <c r="B3541" s="20" t="s">
        <v>4353</v>
      </c>
      <c r="C3541" s="19">
        <v>4</v>
      </c>
      <c r="D3541" s="19" t="s">
        <v>6819</v>
      </c>
      <c r="E3541" s="19" t="str">
        <f>VLOOKUP(D3541,'لیست پرسنل'!$B$2:$E$1020,3,FALSE)</f>
        <v>کارفرما</v>
      </c>
      <c r="F3541" s="19" t="str">
        <f>VLOOKUP(D3541,'لیست پرسنل'!$B$2:$E$1020,4,FALSE)</f>
        <v>معاونت عمرانی</v>
      </c>
      <c r="G3541" s="127">
        <f>VLOOKUP(D3541,'لیست پرسنل'!$B$2:$F$1020,2,FALSE)</f>
        <v>0</v>
      </c>
      <c r="H3541" s="128" t="s">
        <v>4070</v>
      </c>
      <c r="I3541" s="128" t="s">
        <v>2038</v>
      </c>
      <c r="J3541" s="128" t="s">
        <v>2686</v>
      </c>
      <c r="K3541" s="128" t="s">
        <v>2024</v>
      </c>
      <c r="L3541" s="152" t="s">
        <v>1724</v>
      </c>
      <c r="M3541" s="128">
        <v>610662</v>
      </c>
      <c r="N3541" s="108"/>
      <c r="O3541" s="20"/>
      <c r="P3541" s="19"/>
      <c r="Q3541" s="19"/>
    </row>
    <row r="3542" spans="1:17" ht="24.9" customHeight="1">
      <c r="A3542" s="20">
        <v>461</v>
      </c>
      <c r="B3542" s="20" t="s">
        <v>4353</v>
      </c>
      <c r="C3542" s="19">
        <v>5</v>
      </c>
      <c r="D3542" s="19" t="s">
        <v>4066</v>
      </c>
      <c r="E3542" s="19" t="str">
        <f>VLOOKUP(D3542,'لیست پرسنل'!$B$2:$E$1020,3,FALSE)</f>
        <v>کارفرما</v>
      </c>
      <c r="F3542" s="19" t="str">
        <f>VLOOKUP(D3542,'لیست پرسنل'!$B$2:$E$1020,4,FALSE)</f>
        <v>پشتیبانی</v>
      </c>
      <c r="G3542" s="127">
        <f>VLOOKUP(D3542,'لیست پرسنل'!$B$2:$F$1020,2,FALSE)</f>
        <v>0</v>
      </c>
      <c r="H3542" s="128" t="s">
        <v>4070</v>
      </c>
      <c r="I3542" s="128" t="s">
        <v>2039</v>
      </c>
      <c r="J3542" s="126" t="s">
        <v>368</v>
      </c>
      <c r="K3542" s="128" t="s">
        <v>2846</v>
      </c>
      <c r="L3542" s="127" t="s">
        <v>2405</v>
      </c>
      <c r="M3542" s="128">
        <v>628812</v>
      </c>
      <c r="N3542" s="108"/>
      <c r="O3542" s="20"/>
      <c r="P3542" s="20"/>
      <c r="Q3542" s="20"/>
    </row>
    <row r="3543" spans="1:17" ht="24.9" customHeight="1">
      <c r="A3543" s="20">
        <v>461</v>
      </c>
      <c r="B3543" s="20" t="s">
        <v>4353</v>
      </c>
      <c r="C3543" s="19">
        <v>5</v>
      </c>
      <c r="D3543" s="19" t="s">
        <v>4066</v>
      </c>
      <c r="E3543" s="19" t="str">
        <f>VLOOKUP(D3543,'لیست پرسنل'!$B$2:$E$1020,3,FALSE)</f>
        <v>کارفرما</v>
      </c>
      <c r="F3543" s="19" t="str">
        <f>VLOOKUP(D3543,'لیست پرسنل'!$B$2:$E$1020,4,FALSE)</f>
        <v>پشتیبانی</v>
      </c>
      <c r="G3543" s="127">
        <f>VLOOKUP(D3543,'لیست پرسنل'!$B$2:$F$1020,2,FALSE)</f>
        <v>0</v>
      </c>
      <c r="H3543" s="128" t="s">
        <v>4070</v>
      </c>
      <c r="I3543" s="128" t="s">
        <v>2039</v>
      </c>
      <c r="J3543" s="128" t="s">
        <v>571</v>
      </c>
      <c r="K3543" s="128"/>
      <c r="L3543" s="152"/>
      <c r="M3543" s="128">
        <v>627710</v>
      </c>
      <c r="N3543" s="108"/>
      <c r="O3543" s="20"/>
      <c r="P3543" s="20"/>
      <c r="Q3543" s="20"/>
    </row>
    <row r="3544" spans="1:17" ht="24.9" customHeight="1">
      <c r="A3544" s="20">
        <v>461</v>
      </c>
      <c r="B3544" s="20" t="s">
        <v>4353</v>
      </c>
      <c r="C3544" s="19">
        <v>5</v>
      </c>
      <c r="D3544" s="19" t="s">
        <v>4066</v>
      </c>
      <c r="E3544" s="19" t="str">
        <f>VLOOKUP(D3544,'لیست پرسنل'!$B$2:$E$1020,3,FALSE)</f>
        <v>کارفرما</v>
      </c>
      <c r="F3544" s="19" t="str">
        <f>VLOOKUP(D3544,'لیست پرسنل'!$B$2:$E$1020,4,FALSE)</f>
        <v>پشتیبانی</v>
      </c>
      <c r="G3544" s="127">
        <f>VLOOKUP(D3544,'لیست پرسنل'!$B$2:$F$1020,2,FALSE)</f>
        <v>0</v>
      </c>
      <c r="H3544" s="128" t="s">
        <v>4070</v>
      </c>
      <c r="I3544" s="128" t="s">
        <v>2039</v>
      </c>
      <c r="J3544" s="128" t="s">
        <v>2686</v>
      </c>
      <c r="K3544" s="128" t="s">
        <v>2024</v>
      </c>
      <c r="L3544" s="152" t="s">
        <v>1720</v>
      </c>
      <c r="M3544" s="128">
        <v>610654</v>
      </c>
      <c r="N3544" s="108"/>
      <c r="O3544" s="20"/>
      <c r="P3544" s="20"/>
      <c r="Q3544" s="20"/>
    </row>
    <row r="3545" spans="1:17" ht="24.9" customHeight="1">
      <c r="A3545" s="20">
        <v>461</v>
      </c>
      <c r="B3545" s="20" t="s">
        <v>4353</v>
      </c>
      <c r="C3545" s="19">
        <v>6</v>
      </c>
      <c r="D3545" s="19" t="s">
        <v>4067</v>
      </c>
      <c r="E3545" s="19" t="str">
        <f>VLOOKUP(D3545,'لیست پرسنل'!$B$2:$E$1020,3,FALSE)</f>
        <v>کارفرما</v>
      </c>
      <c r="F3545" s="19" t="str">
        <f>VLOOKUP(D3545,'لیست پرسنل'!$B$2:$E$1020,4,FALSE)</f>
        <v>نظارت</v>
      </c>
      <c r="G3545" s="127">
        <f>VLOOKUP(D3545,'لیست پرسنل'!$B$2:$F$1020,2,FALSE)</f>
        <v>0</v>
      </c>
      <c r="H3545" s="128" t="s">
        <v>4070</v>
      </c>
      <c r="I3545" s="128" t="s">
        <v>2040</v>
      </c>
      <c r="J3545" s="128" t="s">
        <v>737</v>
      </c>
      <c r="K3545" s="128" t="s">
        <v>2089</v>
      </c>
      <c r="L3545" s="128" t="s">
        <v>2088</v>
      </c>
      <c r="M3545" s="128">
        <v>628114</v>
      </c>
      <c r="N3545" s="108"/>
      <c r="O3545" s="20"/>
      <c r="P3545" s="19"/>
      <c r="Q3545" s="20"/>
    </row>
    <row r="3546" spans="1:17" ht="24.9" customHeight="1">
      <c r="A3546" s="20">
        <v>461</v>
      </c>
      <c r="B3546" s="20" t="s">
        <v>4353</v>
      </c>
      <c r="C3546" s="19">
        <v>6</v>
      </c>
      <c r="D3546" s="19" t="s">
        <v>4067</v>
      </c>
      <c r="E3546" s="19" t="str">
        <f>VLOOKUP(D3546,'لیست پرسنل'!$B$2:$E$1020,3,FALSE)</f>
        <v>کارفرما</v>
      </c>
      <c r="F3546" s="19" t="str">
        <f>VLOOKUP(D3546,'لیست پرسنل'!$B$2:$E$1020,4,FALSE)</f>
        <v>نظارت</v>
      </c>
      <c r="G3546" s="127">
        <f>VLOOKUP(D3546,'لیست پرسنل'!$B$2:$F$1020,2,FALSE)</f>
        <v>0</v>
      </c>
      <c r="H3546" s="128" t="s">
        <v>4070</v>
      </c>
      <c r="I3546" s="128" t="s">
        <v>2040</v>
      </c>
      <c r="J3546" s="126" t="s">
        <v>368</v>
      </c>
      <c r="K3546" s="128" t="s">
        <v>2846</v>
      </c>
      <c r="L3546" s="128" t="s">
        <v>2045</v>
      </c>
      <c r="M3546" s="128">
        <v>627202</v>
      </c>
      <c r="N3546" s="108"/>
      <c r="O3546" s="20"/>
      <c r="P3546" s="19"/>
      <c r="Q3546" s="20"/>
    </row>
    <row r="3547" spans="1:17" ht="24.9" customHeight="1">
      <c r="A3547" s="20">
        <v>461</v>
      </c>
      <c r="B3547" s="20" t="s">
        <v>4353</v>
      </c>
      <c r="C3547" s="19">
        <v>6</v>
      </c>
      <c r="D3547" s="19" t="s">
        <v>4067</v>
      </c>
      <c r="E3547" s="19" t="str">
        <f>VLOOKUP(D3547,'لیست پرسنل'!$B$2:$E$1020,3,FALSE)</f>
        <v>کارفرما</v>
      </c>
      <c r="F3547" s="19" t="str">
        <f>VLOOKUP(D3547,'لیست پرسنل'!$B$2:$E$1020,4,FALSE)</f>
        <v>نظارت</v>
      </c>
      <c r="G3547" s="127">
        <f>VLOOKUP(D3547,'لیست پرسنل'!$B$2:$F$1020,2,FALSE)</f>
        <v>0</v>
      </c>
      <c r="H3547" s="128" t="s">
        <v>4070</v>
      </c>
      <c r="I3547" s="128" t="s">
        <v>2040</v>
      </c>
      <c r="J3547" s="128" t="s">
        <v>571</v>
      </c>
      <c r="K3547" s="128"/>
      <c r="L3547" s="152"/>
      <c r="M3547" s="128">
        <v>627877</v>
      </c>
      <c r="N3547" s="108"/>
      <c r="O3547" s="20"/>
      <c r="P3547" s="19"/>
      <c r="Q3547" s="20"/>
    </row>
    <row r="3548" spans="1:17" ht="24.9" customHeight="1">
      <c r="A3548" s="20">
        <v>461</v>
      </c>
      <c r="B3548" s="20" t="s">
        <v>4353</v>
      </c>
      <c r="C3548" s="19">
        <v>6</v>
      </c>
      <c r="D3548" s="19" t="s">
        <v>4067</v>
      </c>
      <c r="E3548" s="19" t="str">
        <f>VLOOKUP(D3548,'لیست پرسنل'!$B$2:$E$1020,3,FALSE)</f>
        <v>کارفرما</v>
      </c>
      <c r="F3548" s="19" t="str">
        <f>VLOOKUP(D3548,'لیست پرسنل'!$B$2:$E$1020,4,FALSE)</f>
        <v>نظارت</v>
      </c>
      <c r="G3548" s="127">
        <f>VLOOKUP(D3548,'لیست پرسنل'!$B$2:$F$1020,2,FALSE)</f>
        <v>0</v>
      </c>
      <c r="H3548" s="128" t="s">
        <v>4070</v>
      </c>
      <c r="I3548" s="128" t="s">
        <v>2040</v>
      </c>
      <c r="J3548" s="128" t="s">
        <v>2686</v>
      </c>
      <c r="K3548" s="128" t="s">
        <v>2024</v>
      </c>
      <c r="L3548" s="152" t="s">
        <v>1723</v>
      </c>
      <c r="M3548" s="128">
        <v>610655</v>
      </c>
      <c r="N3548" s="108"/>
      <c r="O3548" s="20"/>
      <c r="P3548" s="20"/>
      <c r="Q3548" s="20"/>
    </row>
    <row r="3549" spans="1:17" ht="24.9" customHeight="1">
      <c r="A3549" s="20">
        <v>461</v>
      </c>
      <c r="B3549" s="20" t="s">
        <v>4353</v>
      </c>
      <c r="C3549" s="19">
        <v>7</v>
      </c>
      <c r="D3549" s="19" t="s">
        <v>4059</v>
      </c>
      <c r="E3549" s="19" t="str">
        <f>VLOOKUP(D3549,'لیست پرسنل'!$B$2:$E$1020,3,FALSE)</f>
        <v>کارفرما</v>
      </c>
      <c r="F3549" s="19" t="str">
        <f>VLOOKUP(D3549,'لیست پرسنل'!$B$2:$E$1020,4,FALSE)</f>
        <v>مسئول دفتر نظارت(اسد)</v>
      </c>
      <c r="G3549" s="127">
        <f>VLOOKUP(D3549,'لیست پرسنل'!$B$2:$F$1020,2,FALSE)</f>
        <v>0</v>
      </c>
      <c r="H3549" s="128" t="s">
        <v>4070</v>
      </c>
      <c r="I3549" s="128" t="s">
        <v>2041</v>
      </c>
      <c r="J3549" s="128" t="s">
        <v>571</v>
      </c>
      <c r="K3549" s="128"/>
      <c r="L3549" s="150"/>
      <c r="M3549" s="128">
        <v>625431</v>
      </c>
      <c r="N3549" s="108"/>
      <c r="O3549" s="20"/>
      <c r="P3549" s="20"/>
      <c r="Q3549" s="20"/>
    </row>
    <row r="3550" spans="1:17" ht="24.9" customHeight="1">
      <c r="A3550" s="20">
        <v>461</v>
      </c>
      <c r="B3550" s="20" t="s">
        <v>4353</v>
      </c>
      <c r="C3550" s="19">
        <v>7</v>
      </c>
      <c r="D3550" s="19" t="s">
        <v>4059</v>
      </c>
      <c r="E3550" s="19" t="str">
        <f>VLOOKUP(D3550,'لیست پرسنل'!$B$2:$E$1020,3,FALSE)</f>
        <v>کارفرما</v>
      </c>
      <c r="F3550" s="19" t="str">
        <f>VLOOKUP(D3550,'لیست پرسنل'!$B$2:$E$1020,4,FALSE)</f>
        <v>مسئول دفتر نظارت(اسد)</v>
      </c>
      <c r="G3550" s="127">
        <f>VLOOKUP(D3550,'لیست پرسنل'!$B$2:$F$1020,2,FALSE)</f>
        <v>0</v>
      </c>
      <c r="H3550" s="128" t="s">
        <v>4070</v>
      </c>
      <c r="I3550" s="128" t="s">
        <v>2041</v>
      </c>
      <c r="J3550" s="128" t="s">
        <v>2686</v>
      </c>
      <c r="K3550" s="128" t="s">
        <v>721</v>
      </c>
      <c r="L3550" s="150" t="s">
        <v>2080</v>
      </c>
      <c r="M3550" s="128">
        <v>610928</v>
      </c>
      <c r="N3550" s="108"/>
      <c r="O3550" s="20"/>
      <c r="P3550" s="20"/>
      <c r="Q3550" s="20"/>
    </row>
    <row r="3551" spans="1:17" ht="24.9" customHeight="1">
      <c r="A3551" s="20">
        <v>461</v>
      </c>
      <c r="B3551" s="20" t="s">
        <v>4353</v>
      </c>
      <c r="C3551" s="19">
        <v>8</v>
      </c>
      <c r="D3551" s="19" t="s">
        <v>4069</v>
      </c>
      <c r="E3551" s="19" t="str">
        <f>VLOOKUP(D3551,'لیست پرسنل'!$B$2:$E$1020,3,FALSE)</f>
        <v>کارفرما</v>
      </c>
      <c r="F3551" s="19" t="str">
        <f>VLOOKUP(D3551,'لیست پرسنل'!$B$2:$E$1020,4,FALSE)</f>
        <v>مسئول دفتر گلبن</v>
      </c>
      <c r="G3551" s="127">
        <f>VLOOKUP(D3551,'لیست پرسنل'!$B$2:$F$1020,2,FALSE)</f>
        <v>0</v>
      </c>
      <c r="H3551" s="128" t="s">
        <v>4070</v>
      </c>
      <c r="I3551" s="128" t="s">
        <v>2042</v>
      </c>
      <c r="J3551" s="128" t="s">
        <v>737</v>
      </c>
      <c r="K3551" s="128" t="s">
        <v>2216</v>
      </c>
      <c r="L3551" s="128" t="s">
        <v>2065</v>
      </c>
      <c r="M3551" s="128">
        <v>627182</v>
      </c>
      <c r="N3551" s="108"/>
      <c r="O3551" s="20"/>
      <c r="P3551" s="44"/>
      <c r="Q3551" s="20"/>
    </row>
    <row r="3552" spans="1:17" ht="24.9" customHeight="1">
      <c r="A3552" s="20">
        <v>461</v>
      </c>
      <c r="B3552" s="20" t="s">
        <v>4353</v>
      </c>
      <c r="C3552" s="19">
        <v>8</v>
      </c>
      <c r="D3552" s="19" t="s">
        <v>4069</v>
      </c>
      <c r="E3552" s="19" t="str">
        <f>VLOOKUP(D3552,'لیست پرسنل'!$B$2:$E$1020,3,FALSE)</f>
        <v>کارفرما</v>
      </c>
      <c r="F3552" s="19" t="str">
        <f>VLOOKUP(D3552,'لیست پرسنل'!$B$2:$E$1020,4,FALSE)</f>
        <v>مسئول دفتر گلبن</v>
      </c>
      <c r="G3552" s="127">
        <f>VLOOKUP(D3552,'لیست پرسنل'!$B$2:$F$1020,2,FALSE)</f>
        <v>0</v>
      </c>
      <c r="H3552" s="128" t="s">
        <v>4070</v>
      </c>
      <c r="I3552" s="128" t="s">
        <v>2042</v>
      </c>
      <c r="J3552" s="126" t="s">
        <v>368</v>
      </c>
      <c r="K3552" s="128" t="s">
        <v>2846</v>
      </c>
      <c r="L3552" s="128" t="s">
        <v>2133</v>
      </c>
      <c r="M3552" s="128">
        <v>628843</v>
      </c>
      <c r="N3552" s="108"/>
      <c r="O3552" s="20"/>
      <c r="P3552" s="44"/>
      <c r="Q3552" s="20"/>
    </row>
    <row r="3553" spans="1:17" ht="24.9" customHeight="1">
      <c r="A3553" s="20">
        <v>461</v>
      </c>
      <c r="B3553" s="20" t="s">
        <v>4353</v>
      </c>
      <c r="C3553" s="19">
        <v>8</v>
      </c>
      <c r="D3553" s="19" t="s">
        <v>4069</v>
      </c>
      <c r="E3553" s="19" t="str">
        <f>VLOOKUP(D3553,'لیست پرسنل'!$B$2:$E$1020,3,FALSE)</f>
        <v>کارفرما</v>
      </c>
      <c r="F3553" s="19" t="str">
        <f>VLOOKUP(D3553,'لیست پرسنل'!$B$2:$E$1020,4,FALSE)</f>
        <v>مسئول دفتر گلبن</v>
      </c>
      <c r="G3553" s="127">
        <f>VLOOKUP(D3553,'لیست پرسنل'!$B$2:$F$1020,2,FALSE)</f>
        <v>0</v>
      </c>
      <c r="H3553" s="128" t="s">
        <v>4070</v>
      </c>
      <c r="I3553" s="128" t="s">
        <v>2042</v>
      </c>
      <c r="J3553" s="128" t="s">
        <v>571</v>
      </c>
      <c r="K3553" s="128" t="s">
        <v>2219</v>
      </c>
      <c r="L3553" s="152"/>
      <c r="M3553" s="128">
        <v>625429</v>
      </c>
      <c r="N3553" s="108"/>
      <c r="O3553" s="20"/>
      <c r="P3553" s="20"/>
      <c r="Q3553" s="20"/>
    </row>
    <row r="3554" spans="1:17" ht="24.9" customHeight="1">
      <c r="A3554" s="20">
        <v>461</v>
      </c>
      <c r="B3554" s="20" t="s">
        <v>4353</v>
      </c>
      <c r="C3554" s="19">
        <v>8</v>
      </c>
      <c r="D3554" s="19" t="s">
        <v>4069</v>
      </c>
      <c r="E3554" s="19" t="str">
        <f>VLOOKUP(D3554,'لیست پرسنل'!$B$2:$E$1020,3,FALSE)</f>
        <v>کارفرما</v>
      </c>
      <c r="F3554" s="19" t="str">
        <f>VLOOKUP(D3554,'لیست پرسنل'!$B$2:$E$1020,4,FALSE)</f>
        <v>مسئول دفتر گلبن</v>
      </c>
      <c r="G3554" s="127">
        <f>VLOOKUP(D3554,'لیست پرسنل'!$B$2:$F$1020,2,FALSE)</f>
        <v>0</v>
      </c>
      <c r="H3554" s="128" t="s">
        <v>4070</v>
      </c>
      <c r="I3554" s="128" t="s">
        <v>2042</v>
      </c>
      <c r="J3554" s="128" t="s">
        <v>2686</v>
      </c>
      <c r="K3554" s="128" t="s">
        <v>2143</v>
      </c>
      <c r="L3554" s="127" t="s">
        <v>2230</v>
      </c>
      <c r="M3554" s="127">
        <v>628621</v>
      </c>
      <c r="N3554" s="108"/>
      <c r="O3554" s="20" t="s">
        <v>705</v>
      </c>
      <c r="P3554" s="20"/>
      <c r="Q3554" s="20"/>
    </row>
    <row r="3555" spans="1:17" ht="24.9" customHeight="1">
      <c r="A3555" s="20">
        <v>461</v>
      </c>
      <c r="B3555" s="20" t="s">
        <v>4353</v>
      </c>
      <c r="C3555" s="19">
        <v>9</v>
      </c>
      <c r="D3555" s="20" t="s">
        <v>4704</v>
      </c>
      <c r="E3555" s="19" t="str">
        <f>VLOOKUP(D3555,'لیست پرسنل'!$B$2:$E$1020,3,FALSE)</f>
        <v>کارفرما</v>
      </c>
      <c r="F3555" s="19" t="str">
        <f>VLOOKUP(D3555,'لیست پرسنل'!$B$2:$E$1020,4,FALSE)</f>
        <v>مسئول دفتر کارفرما</v>
      </c>
      <c r="G3555" s="127" t="str">
        <f>VLOOKUP(D3555,'لیست پرسنل'!$B$2:$F$1020,2,FALSE)</f>
        <v>0</v>
      </c>
      <c r="H3555" s="128" t="s">
        <v>4070</v>
      </c>
      <c r="I3555" s="127" t="s">
        <v>2043</v>
      </c>
      <c r="J3555" s="126" t="s">
        <v>368</v>
      </c>
      <c r="K3555" s="128" t="s">
        <v>2846</v>
      </c>
      <c r="L3555" s="127" t="s">
        <v>4610</v>
      </c>
      <c r="M3555" s="127">
        <v>629847</v>
      </c>
      <c r="N3555" s="109"/>
      <c r="O3555" s="20" t="s">
        <v>705</v>
      </c>
      <c r="P3555" s="19"/>
      <c r="Q3555" s="28"/>
    </row>
    <row r="3556" spans="1:17" ht="24.9" customHeight="1">
      <c r="A3556" s="20">
        <v>461</v>
      </c>
      <c r="B3556" s="20" t="s">
        <v>4353</v>
      </c>
      <c r="C3556" s="19">
        <v>9</v>
      </c>
      <c r="D3556" s="20" t="s">
        <v>4704</v>
      </c>
      <c r="E3556" s="19" t="str">
        <f>VLOOKUP(D3556,'لیست پرسنل'!$B$2:$E$1020,3,FALSE)</f>
        <v>کارفرما</v>
      </c>
      <c r="F3556" s="19" t="str">
        <f>VLOOKUP(D3556,'لیست پرسنل'!$B$2:$E$1020,4,FALSE)</f>
        <v>مسئول دفتر کارفرما</v>
      </c>
      <c r="G3556" s="127" t="str">
        <f>VLOOKUP(D3556,'لیست پرسنل'!$B$2:$F$1020,2,FALSE)</f>
        <v>0</v>
      </c>
      <c r="H3556" s="128" t="s">
        <v>4070</v>
      </c>
      <c r="I3556" s="127" t="s">
        <v>2043</v>
      </c>
      <c r="J3556" s="128" t="s">
        <v>571</v>
      </c>
      <c r="K3556" s="128" t="s">
        <v>2219</v>
      </c>
      <c r="L3556" s="127"/>
      <c r="M3556" s="127">
        <v>628558</v>
      </c>
      <c r="N3556" s="109"/>
      <c r="O3556" s="19" t="s">
        <v>705</v>
      </c>
      <c r="P3556" s="19"/>
      <c r="Q3556" s="28"/>
    </row>
    <row r="3557" spans="1:17" ht="24.9" customHeight="1">
      <c r="A3557" s="20">
        <v>461</v>
      </c>
      <c r="B3557" s="20" t="s">
        <v>4353</v>
      </c>
      <c r="C3557" s="19">
        <v>9</v>
      </c>
      <c r="D3557" s="20" t="s">
        <v>4704</v>
      </c>
      <c r="E3557" s="19" t="str">
        <f>VLOOKUP(D3557,'لیست پرسنل'!$B$2:$E$1020,3,FALSE)</f>
        <v>کارفرما</v>
      </c>
      <c r="F3557" s="19" t="str">
        <f>VLOOKUP(D3557,'لیست پرسنل'!$B$2:$E$1020,4,FALSE)</f>
        <v>مسئول دفتر کارفرما</v>
      </c>
      <c r="G3557" s="127" t="str">
        <f>VLOOKUP(D3557,'لیست پرسنل'!$B$2:$F$1020,2,FALSE)</f>
        <v>0</v>
      </c>
      <c r="H3557" s="128" t="s">
        <v>4070</v>
      </c>
      <c r="I3557" s="127" t="s">
        <v>2043</v>
      </c>
      <c r="J3557" s="128" t="s">
        <v>2686</v>
      </c>
      <c r="K3557" s="128" t="s">
        <v>2143</v>
      </c>
      <c r="L3557" s="127" t="s">
        <v>2254</v>
      </c>
      <c r="M3557" s="127">
        <v>628645</v>
      </c>
      <c r="N3557" s="108"/>
      <c r="O3557" s="20" t="s">
        <v>705</v>
      </c>
      <c r="P3557" s="20"/>
      <c r="Q3557" s="20"/>
    </row>
    <row r="3558" spans="1:17" ht="24.9" customHeight="1">
      <c r="A3558" s="20">
        <v>461</v>
      </c>
      <c r="B3558" s="20" t="s">
        <v>4353</v>
      </c>
      <c r="C3558" s="19">
        <v>10</v>
      </c>
      <c r="D3558" s="19" t="s">
        <v>4063</v>
      </c>
      <c r="E3558" s="19" t="str">
        <f>VLOOKUP(D3558,'لیست پرسنل'!$B$2:$E$1020,3,FALSE)</f>
        <v>کارفرما</v>
      </c>
      <c r="F3558" s="19">
        <f>VLOOKUP(D3558,'لیست پرسنل'!$B$2:$E$1020,4,FALSE)</f>
        <v>0</v>
      </c>
      <c r="G3558" s="127">
        <f>VLOOKUP(D3558,'لیست پرسنل'!$B$2:$F$1020,2,FALSE)</f>
        <v>0</v>
      </c>
      <c r="H3558" s="128" t="s">
        <v>4070</v>
      </c>
      <c r="I3558" s="128" t="s">
        <v>2044</v>
      </c>
      <c r="J3558" s="128" t="s">
        <v>737</v>
      </c>
      <c r="K3558" s="128" t="s">
        <v>2216</v>
      </c>
      <c r="L3558" s="128" t="s">
        <v>1689</v>
      </c>
      <c r="M3558" s="128">
        <v>625361</v>
      </c>
      <c r="N3558" s="108"/>
      <c r="O3558" s="20"/>
      <c r="P3558" s="19"/>
      <c r="Q3558" s="39"/>
    </row>
    <row r="3559" spans="1:17" ht="24.9" customHeight="1">
      <c r="A3559" s="20">
        <v>461</v>
      </c>
      <c r="B3559" s="20" t="s">
        <v>4353</v>
      </c>
      <c r="C3559" s="19">
        <v>10</v>
      </c>
      <c r="D3559" s="19" t="s">
        <v>4063</v>
      </c>
      <c r="E3559" s="19" t="str">
        <f>VLOOKUP(D3559,'لیست پرسنل'!$B$2:$E$1020,3,FALSE)</f>
        <v>کارفرما</v>
      </c>
      <c r="F3559" s="19">
        <f>VLOOKUP(D3559,'لیست پرسنل'!$B$2:$E$1020,4,FALSE)</f>
        <v>0</v>
      </c>
      <c r="G3559" s="127">
        <f>VLOOKUP(D3559,'لیست پرسنل'!$B$2:$F$1020,2,FALSE)</f>
        <v>0</v>
      </c>
      <c r="H3559" s="128" t="s">
        <v>4070</v>
      </c>
      <c r="I3559" s="128" t="s">
        <v>2044</v>
      </c>
      <c r="J3559" s="126" t="s">
        <v>368</v>
      </c>
      <c r="K3559" s="128" t="s">
        <v>2846</v>
      </c>
      <c r="L3559" s="151" t="s">
        <v>1393</v>
      </c>
      <c r="M3559" s="128">
        <v>624651</v>
      </c>
      <c r="N3559" s="108"/>
      <c r="O3559" s="20"/>
      <c r="P3559" s="19"/>
      <c r="Q3559" s="39"/>
    </row>
    <row r="3560" spans="1:17" ht="24.9" customHeight="1">
      <c r="A3560" s="20">
        <v>461</v>
      </c>
      <c r="B3560" s="20" t="s">
        <v>4353</v>
      </c>
      <c r="C3560" s="19">
        <v>10</v>
      </c>
      <c r="D3560" s="19" t="s">
        <v>4063</v>
      </c>
      <c r="E3560" s="19" t="str">
        <f>VLOOKUP(D3560,'لیست پرسنل'!$B$2:$E$1020,3,FALSE)</f>
        <v>کارفرما</v>
      </c>
      <c r="F3560" s="19">
        <f>VLOOKUP(D3560,'لیست پرسنل'!$B$2:$E$1020,4,FALSE)</f>
        <v>0</v>
      </c>
      <c r="G3560" s="127">
        <f>VLOOKUP(D3560,'لیست پرسنل'!$B$2:$F$1020,2,FALSE)</f>
        <v>0</v>
      </c>
      <c r="H3560" s="128" t="s">
        <v>4070</v>
      </c>
      <c r="I3560" s="128" t="s">
        <v>2044</v>
      </c>
      <c r="J3560" s="128" t="s">
        <v>571</v>
      </c>
      <c r="K3560" s="128"/>
      <c r="L3560" s="128"/>
      <c r="M3560" s="128">
        <v>627709</v>
      </c>
      <c r="N3560" s="108"/>
      <c r="O3560" s="20"/>
      <c r="P3560" s="19"/>
      <c r="Q3560" s="39"/>
    </row>
    <row r="3561" spans="1:17" ht="24.9" customHeight="1">
      <c r="A3561" s="20">
        <v>461</v>
      </c>
      <c r="B3561" s="20" t="s">
        <v>4353</v>
      </c>
      <c r="C3561" s="19">
        <v>10</v>
      </c>
      <c r="D3561" s="19" t="s">
        <v>4063</v>
      </c>
      <c r="E3561" s="19" t="str">
        <f>VLOOKUP(D3561,'لیست پرسنل'!$B$2:$E$1020,3,FALSE)</f>
        <v>کارفرما</v>
      </c>
      <c r="F3561" s="19">
        <f>VLOOKUP(D3561,'لیست پرسنل'!$B$2:$E$1020,4,FALSE)</f>
        <v>0</v>
      </c>
      <c r="G3561" s="127">
        <f>VLOOKUP(D3561,'لیست پرسنل'!$B$2:$F$1020,2,FALSE)</f>
        <v>0</v>
      </c>
      <c r="H3561" s="128" t="s">
        <v>4070</v>
      </c>
      <c r="I3561" s="128" t="s">
        <v>2044</v>
      </c>
      <c r="J3561" s="128" t="s">
        <v>2686</v>
      </c>
      <c r="K3561" s="128" t="s">
        <v>2222</v>
      </c>
      <c r="L3561" s="128" t="s">
        <v>2084</v>
      </c>
      <c r="M3561" s="128">
        <v>614578</v>
      </c>
      <c r="N3561" s="108"/>
      <c r="O3561" s="20"/>
      <c r="P3561" s="20"/>
      <c r="Q3561" s="20"/>
    </row>
    <row r="3562" spans="1:17" ht="24.9" customHeight="1">
      <c r="A3562" s="20">
        <v>461</v>
      </c>
      <c r="B3562" s="20" t="s">
        <v>4353</v>
      </c>
      <c r="C3562" s="19">
        <v>11</v>
      </c>
      <c r="D3562" s="19" t="s">
        <v>3129</v>
      </c>
      <c r="E3562" s="19" t="str">
        <f>VLOOKUP(D3562,'لیست پرسنل'!$B$2:$E$1020,3,FALSE)</f>
        <v>کارفرما</v>
      </c>
      <c r="F3562" s="19">
        <f>VLOOKUP(D3562,'لیست پرسنل'!$B$2:$E$1020,4,FALSE)</f>
        <v>0</v>
      </c>
      <c r="G3562" s="127">
        <f>VLOOKUP(D3562,'لیست پرسنل'!$B$2:$F$1020,2,FALSE)</f>
        <v>0</v>
      </c>
      <c r="H3562" s="128" t="s">
        <v>4070</v>
      </c>
      <c r="I3562" s="128" t="s">
        <v>3128</v>
      </c>
      <c r="J3562" s="128" t="s">
        <v>571</v>
      </c>
      <c r="K3562" s="128"/>
      <c r="L3562" s="150"/>
      <c r="M3562" s="128">
        <v>627703</v>
      </c>
      <c r="N3562" s="108"/>
      <c r="O3562" s="20"/>
      <c r="P3562" s="20"/>
      <c r="Q3562" s="20"/>
    </row>
    <row r="3563" spans="1:17" ht="24.9" customHeight="1">
      <c r="A3563" s="20">
        <v>461</v>
      </c>
      <c r="B3563" s="20" t="s">
        <v>4353</v>
      </c>
      <c r="C3563" s="19">
        <v>11</v>
      </c>
      <c r="D3563" s="19" t="s">
        <v>3129</v>
      </c>
      <c r="E3563" s="19" t="str">
        <f>VLOOKUP(D3563,'لیست پرسنل'!$B$2:$E$1020,3,FALSE)</f>
        <v>کارفرما</v>
      </c>
      <c r="F3563" s="19">
        <f>VLOOKUP(D3563,'لیست پرسنل'!$B$2:$E$1020,4,FALSE)</f>
        <v>0</v>
      </c>
      <c r="G3563" s="127">
        <f>VLOOKUP(D3563,'لیست پرسنل'!$B$2:$F$1020,2,FALSE)</f>
        <v>0</v>
      </c>
      <c r="H3563" s="128" t="s">
        <v>4070</v>
      </c>
      <c r="I3563" s="128" t="s">
        <v>3128</v>
      </c>
      <c r="J3563" s="128" t="s">
        <v>2686</v>
      </c>
      <c r="K3563" s="128" t="s">
        <v>744</v>
      </c>
      <c r="L3563" s="150" t="s">
        <v>1212</v>
      </c>
      <c r="M3563" s="128">
        <v>604747</v>
      </c>
      <c r="N3563" s="108"/>
      <c r="O3563" s="20"/>
      <c r="P3563" s="20"/>
      <c r="Q3563" s="20"/>
    </row>
    <row r="3564" spans="1:17" ht="24.9" customHeight="1">
      <c r="A3564" s="20">
        <v>461</v>
      </c>
      <c r="B3564" s="20" t="s">
        <v>4353</v>
      </c>
      <c r="C3564" s="19">
        <v>12</v>
      </c>
      <c r="D3564" s="19" t="s">
        <v>3149</v>
      </c>
      <c r="E3564" s="19" t="str">
        <f>VLOOKUP(D3564,'لیست پرسنل'!$B$2:$E$1020,3,FALSE)</f>
        <v>کارفرما</v>
      </c>
      <c r="F3564" s="19">
        <f>VLOOKUP(D3564,'لیست پرسنل'!$B$2:$E$1020,4,FALSE)</f>
        <v>0</v>
      </c>
      <c r="G3564" s="127">
        <f>VLOOKUP(D3564,'لیست پرسنل'!$B$2:$F$1020,2,FALSE)</f>
        <v>0</v>
      </c>
      <c r="H3564" s="128" t="s">
        <v>4070</v>
      </c>
      <c r="I3564" s="128" t="s">
        <v>3142</v>
      </c>
      <c r="J3564" s="126" t="s">
        <v>368</v>
      </c>
      <c r="K3564" s="128" t="s">
        <v>2846</v>
      </c>
      <c r="L3564" s="127" t="s">
        <v>2411</v>
      </c>
      <c r="M3564" s="128">
        <v>628818</v>
      </c>
      <c r="N3564" s="108"/>
      <c r="O3564" s="20"/>
      <c r="P3564" s="20"/>
      <c r="Q3564" s="20"/>
    </row>
    <row r="3565" spans="1:17" ht="24.9" customHeight="1">
      <c r="A3565" s="20">
        <v>461</v>
      </c>
      <c r="B3565" s="20" t="s">
        <v>4353</v>
      </c>
      <c r="C3565" s="19">
        <v>12</v>
      </c>
      <c r="D3565" s="19" t="s">
        <v>3149</v>
      </c>
      <c r="E3565" s="19" t="str">
        <f>VLOOKUP(D3565,'لیست پرسنل'!$B$2:$E$1020,3,FALSE)</f>
        <v>کارفرما</v>
      </c>
      <c r="F3565" s="19">
        <f>VLOOKUP(D3565,'لیست پرسنل'!$B$2:$E$1020,4,FALSE)</f>
        <v>0</v>
      </c>
      <c r="G3565" s="127">
        <f>VLOOKUP(D3565,'لیست پرسنل'!$B$2:$F$1020,2,FALSE)</f>
        <v>0</v>
      </c>
      <c r="H3565" s="128" t="s">
        <v>4070</v>
      </c>
      <c r="I3565" s="128" t="s">
        <v>3142</v>
      </c>
      <c r="J3565" s="141" t="s">
        <v>571</v>
      </c>
      <c r="K3565" s="128" t="s">
        <v>6045</v>
      </c>
      <c r="L3565" s="134"/>
      <c r="M3565" s="127">
        <v>632747</v>
      </c>
      <c r="N3565" s="108"/>
      <c r="O3565" s="20"/>
      <c r="P3565" s="20"/>
      <c r="Q3565" s="20"/>
    </row>
    <row r="3566" spans="1:17" ht="24.9" customHeight="1">
      <c r="A3566" s="20">
        <v>461</v>
      </c>
      <c r="B3566" s="20" t="s">
        <v>4353</v>
      </c>
      <c r="C3566" s="19">
        <v>12</v>
      </c>
      <c r="D3566" s="19" t="s">
        <v>3149</v>
      </c>
      <c r="E3566" s="19" t="str">
        <f>VLOOKUP(D3566,'لیست پرسنل'!$B$2:$E$1020,3,FALSE)</f>
        <v>کارفرما</v>
      </c>
      <c r="F3566" s="19">
        <f>VLOOKUP(D3566,'لیست پرسنل'!$B$2:$E$1020,4,FALSE)</f>
        <v>0</v>
      </c>
      <c r="G3566" s="127">
        <f>VLOOKUP(D3566,'لیست پرسنل'!$B$2:$F$1020,2,FALSE)</f>
        <v>0</v>
      </c>
      <c r="H3566" s="128" t="s">
        <v>4070</v>
      </c>
      <c r="I3566" s="128" t="s">
        <v>3142</v>
      </c>
      <c r="J3566" s="128" t="s">
        <v>2686</v>
      </c>
      <c r="K3566" s="128" t="s">
        <v>2922</v>
      </c>
      <c r="L3566" s="127" t="s">
        <v>2964</v>
      </c>
      <c r="M3566" s="128">
        <v>626445</v>
      </c>
      <c r="N3566" s="108"/>
      <c r="O3566" s="20" t="s">
        <v>705</v>
      </c>
      <c r="P3566" s="20"/>
      <c r="Q3566" s="20"/>
    </row>
    <row r="3567" spans="1:17" ht="24.9" customHeight="1">
      <c r="A3567" s="20">
        <v>461</v>
      </c>
      <c r="B3567" s="20" t="s">
        <v>4353</v>
      </c>
      <c r="C3567" s="19">
        <v>13</v>
      </c>
      <c r="D3567" s="19" t="s">
        <v>4059</v>
      </c>
      <c r="E3567" s="19" t="str">
        <f>VLOOKUP(D3567,'لیست پرسنل'!$B$2:$E$1020,3,FALSE)</f>
        <v>کارفرما</v>
      </c>
      <c r="F3567" s="19" t="str">
        <f>VLOOKUP(D3567,'لیست پرسنل'!$B$2:$E$1020,4,FALSE)</f>
        <v>مسئول دفتر نظارت(اسد)</v>
      </c>
      <c r="G3567" s="127">
        <f>VLOOKUP(D3567,'لیست پرسنل'!$B$2:$F$1020,2,FALSE)</f>
        <v>0</v>
      </c>
      <c r="H3567" s="128" t="s">
        <v>4070</v>
      </c>
      <c r="I3567" s="128" t="s">
        <v>3158</v>
      </c>
      <c r="J3567" s="128" t="s">
        <v>3383</v>
      </c>
      <c r="K3567" s="128" t="s">
        <v>2131</v>
      </c>
      <c r="L3567" s="151" t="s">
        <v>6232</v>
      </c>
      <c r="M3567" s="128">
        <v>633799</v>
      </c>
      <c r="N3567" s="108"/>
      <c r="O3567" s="20"/>
      <c r="P3567" s="20"/>
      <c r="Q3567" s="20"/>
    </row>
    <row r="3568" spans="1:17" ht="24.9" customHeight="1">
      <c r="A3568" s="20">
        <v>461</v>
      </c>
      <c r="B3568" s="20" t="s">
        <v>4353</v>
      </c>
      <c r="C3568" s="19">
        <v>13</v>
      </c>
      <c r="D3568" s="19" t="s">
        <v>4059</v>
      </c>
      <c r="E3568" s="19" t="str">
        <f>VLOOKUP(D3568,'لیست پرسنل'!$B$2:$E$1020,3,FALSE)</f>
        <v>کارفرما</v>
      </c>
      <c r="F3568" s="19" t="str">
        <f>VLOOKUP(D3568,'لیست پرسنل'!$B$2:$E$1020,4,FALSE)</f>
        <v>مسئول دفتر نظارت(اسد)</v>
      </c>
      <c r="G3568" s="127">
        <f>VLOOKUP(D3568,'لیست پرسنل'!$B$2:$F$1020,2,FALSE)</f>
        <v>0</v>
      </c>
      <c r="H3568" s="128" t="s">
        <v>4070</v>
      </c>
      <c r="I3568" s="128" t="s">
        <v>3158</v>
      </c>
      <c r="J3568" s="128" t="s">
        <v>737</v>
      </c>
      <c r="K3568" s="128" t="s">
        <v>4570</v>
      </c>
      <c r="L3568" s="127" t="s">
        <v>4634</v>
      </c>
      <c r="M3568" s="127">
        <v>629896</v>
      </c>
      <c r="N3568" s="109"/>
      <c r="O3568" s="19" t="s">
        <v>705</v>
      </c>
      <c r="P3568" s="19"/>
      <c r="Q3568" s="28"/>
    </row>
    <row r="3569" spans="1:17" ht="24.9" customHeight="1">
      <c r="A3569" s="20">
        <v>461</v>
      </c>
      <c r="B3569" s="20" t="s">
        <v>4353</v>
      </c>
      <c r="C3569" s="19">
        <v>13</v>
      </c>
      <c r="D3569" s="19" t="s">
        <v>4059</v>
      </c>
      <c r="E3569" s="19" t="str">
        <f>VLOOKUP(D3569,'لیست پرسنل'!$B$2:$E$1020,3,FALSE)</f>
        <v>کارفرما</v>
      </c>
      <c r="F3569" s="19" t="str">
        <f>VLOOKUP(D3569,'لیست پرسنل'!$B$2:$E$1020,4,FALSE)</f>
        <v>مسئول دفتر نظارت(اسد)</v>
      </c>
      <c r="G3569" s="127">
        <f>VLOOKUP(D3569,'لیست پرسنل'!$B$2:$F$1020,2,FALSE)</f>
        <v>0</v>
      </c>
      <c r="H3569" s="128" t="s">
        <v>4070</v>
      </c>
      <c r="I3569" s="128" t="s">
        <v>3158</v>
      </c>
      <c r="J3569" s="126" t="s">
        <v>368</v>
      </c>
      <c r="K3569" s="128" t="s">
        <v>2846</v>
      </c>
      <c r="L3569" s="127" t="s">
        <v>2345</v>
      </c>
      <c r="M3569" s="128">
        <v>628751</v>
      </c>
      <c r="N3569" s="108"/>
      <c r="O3569" s="20"/>
      <c r="P3569" s="20"/>
      <c r="Q3569" s="20"/>
    </row>
    <row r="3570" spans="1:17" ht="24.9" customHeight="1">
      <c r="A3570" s="20">
        <v>461</v>
      </c>
      <c r="B3570" s="20" t="s">
        <v>4353</v>
      </c>
      <c r="C3570" s="19">
        <v>13</v>
      </c>
      <c r="D3570" s="19" t="s">
        <v>4059</v>
      </c>
      <c r="E3570" s="19" t="str">
        <f>VLOOKUP(D3570,'لیست پرسنل'!$B$2:$E$1020,3,FALSE)</f>
        <v>کارفرما</v>
      </c>
      <c r="F3570" s="19" t="str">
        <f>VLOOKUP(D3570,'لیست پرسنل'!$B$2:$E$1020,4,FALSE)</f>
        <v>مسئول دفتر نظارت(اسد)</v>
      </c>
      <c r="G3570" s="127">
        <f>VLOOKUP(D3570,'لیست پرسنل'!$B$2:$F$1020,2,FALSE)</f>
        <v>0</v>
      </c>
      <c r="H3570" s="128" t="s">
        <v>4070</v>
      </c>
      <c r="I3570" s="128" t="s">
        <v>3158</v>
      </c>
      <c r="J3570" s="128" t="s">
        <v>571</v>
      </c>
      <c r="K3570" s="128"/>
      <c r="L3570" s="151"/>
      <c r="M3570" s="128">
        <v>607078</v>
      </c>
      <c r="N3570" s="108"/>
      <c r="O3570" s="20"/>
      <c r="P3570" s="20"/>
      <c r="Q3570" s="20"/>
    </row>
    <row r="3571" spans="1:17" ht="24.9" customHeight="1">
      <c r="A3571" s="20">
        <v>461</v>
      </c>
      <c r="B3571" s="20" t="s">
        <v>4353</v>
      </c>
      <c r="C3571" s="19">
        <v>13</v>
      </c>
      <c r="D3571" s="19" t="s">
        <v>4059</v>
      </c>
      <c r="E3571" s="19" t="str">
        <f>VLOOKUP(D3571,'لیست پرسنل'!$B$2:$E$1020,3,FALSE)</f>
        <v>کارفرما</v>
      </c>
      <c r="F3571" s="19" t="str">
        <f>VLOOKUP(D3571,'لیست پرسنل'!$B$2:$E$1020,4,FALSE)</f>
        <v>مسئول دفتر نظارت(اسد)</v>
      </c>
      <c r="G3571" s="127">
        <f>VLOOKUP(D3571,'لیست پرسنل'!$B$2:$F$1020,2,FALSE)</f>
        <v>0</v>
      </c>
      <c r="H3571" s="128" t="s">
        <v>4070</v>
      </c>
      <c r="I3571" s="128" t="s">
        <v>3158</v>
      </c>
      <c r="J3571" s="128" t="s">
        <v>2686</v>
      </c>
      <c r="K3571" s="128" t="s">
        <v>332</v>
      </c>
      <c r="L3571" s="151" t="s">
        <v>1682</v>
      </c>
      <c r="M3571" s="128">
        <v>603167</v>
      </c>
      <c r="N3571" s="108"/>
      <c r="O3571" s="20"/>
      <c r="P3571" s="20"/>
      <c r="Q3571" s="20"/>
    </row>
    <row r="3572" spans="1:17" ht="24.9" customHeight="1">
      <c r="A3572" s="20">
        <v>461</v>
      </c>
      <c r="B3572" s="20" t="s">
        <v>4353</v>
      </c>
      <c r="C3572" s="19">
        <v>14</v>
      </c>
      <c r="D3572" s="20" t="s">
        <v>4082</v>
      </c>
      <c r="E3572" s="19" t="str">
        <f>VLOOKUP(D3572,'لیست پرسنل'!$B$2:$E$1020,3,FALSE)</f>
        <v>کارفرما</v>
      </c>
      <c r="F3572" s="19" t="str">
        <f>VLOOKUP(D3572,'لیست پرسنل'!$B$2:$E$1020,4,FALSE)</f>
        <v>نقشه بردار</v>
      </c>
      <c r="G3572" s="127">
        <f>VLOOKUP(D3572,'لیست پرسنل'!$B$2:$F$1020,2,FALSE)</f>
        <v>0</v>
      </c>
      <c r="H3572" s="128" t="s">
        <v>4070</v>
      </c>
      <c r="I3572" s="128" t="s">
        <v>3218</v>
      </c>
      <c r="J3572" s="128" t="s">
        <v>571</v>
      </c>
      <c r="K3572" s="128" t="s">
        <v>2219</v>
      </c>
      <c r="L3572" s="127"/>
      <c r="M3572" s="128">
        <v>627882</v>
      </c>
      <c r="N3572" s="108"/>
      <c r="O3572" s="20"/>
      <c r="P3572" s="20"/>
      <c r="Q3572" s="20"/>
    </row>
    <row r="3573" spans="1:17" ht="24.9" customHeight="1">
      <c r="A3573" s="20">
        <v>461</v>
      </c>
      <c r="B3573" s="20" t="s">
        <v>4353</v>
      </c>
      <c r="C3573" s="19">
        <v>14</v>
      </c>
      <c r="D3573" s="19" t="s">
        <v>4082</v>
      </c>
      <c r="E3573" s="19" t="str">
        <f>VLOOKUP(D3573,'لیست پرسنل'!$B$2:$E$1020,3,FALSE)</f>
        <v>کارفرما</v>
      </c>
      <c r="F3573" s="19" t="str">
        <f>VLOOKUP(D3573,'لیست پرسنل'!$B$2:$E$1020,4,FALSE)</f>
        <v>نقشه بردار</v>
      </c>
      <c r="G3573" s="127">
        <f>VLOOKUP(D3573,'لیست پرسنل'!$B$2:$F$1020,2,FALSE)</f>
        <v>0</v>
      </c>
      <c r="H3573" s="128" t="s">
        <v>4070</v>
      </c>
      <c r="I3573" s="128" t="s">
        <v>3218</v>
      </c>
      <c r="J3573" s="128" t="s">
        <v>2686</v>
      </c>
      <c r="K3573" s="128" t="s">
        <v>2017</v>
      </c>
      <c r="L3573" s="152" t="s">
        <v>1710</v>
      </c>
      <c r="M3573" s="128">
        <v>615472</v>
      </c>
      <c r="N3573" s="108"/>
      <c r="O3573" s="20"/>
      <c r="P3573" s="20"/>
      <c r="Q3573" s="20"/>
    </row>
    <row r="3574" spans="1:17" ht="24.9" customHeight="1">
      <c r="A3574" s="20">
        <v>461</v>
      </c>
      <c r="B3574" s="20" t="s">
        <v>4353</v>
      </c>
      <c r="C3574" s="20">
        <v>15</v>
      </c>
      <c r="D3574" s="20" t="s">
        <v>4586</v>
      </c>
      <c r="E3574" s="19" t="str">
        <f>VLOOKUP(D3574,'لیست پرسنل'!$B$2:$E$1020,3,FALSE)</f>
        <v xml:space="preserve">شرکت برسو </v>
      </c>
      <c r="F3574" s="19" t="str">
        <f>VLOOKUP(D3574,'لیست پرسنل'!$B$2:$E$1020,4,FALSE)</f>
        <v>نظارت کارفرما</v>
      </c>
      <c r="G3574" s="127">
        <f>VLOOKUP(D3574,'لیست پرسنل'!$B$2:$F$1020,2,FALSE)</f>
        <v>0</v>
      </c>
      <c r="H3574" s="128" t="s">
        <v>4084</v>
      </c>
      <c r="I3574" s="128" t="s">
        <v>4713</v>
      </c>
      <c r="J3574" s="126" t="s">
        <v>368</v>
      </c>
      <c r="K3574" s="128" t="s">
        <v>2846</v>
      </c>
      <c r="L3574" s="127" t="s">
        <v>4626</v>
      </c>
      <c r="M3574" s="127">
        <v>629843</v>
      </c>
      <c r="N3574" s="109"/>
      <c r="O3574" s="19" t="s">
        <v>705</v>
      </c>
      <c r="P3574" s="19"/>
      <c r="Q3574" s="28"/>
    </row>
    <row r="3575" spans="1:17" ht="24.9" customHeight="1">
      <c r="A3575" s="20">
        <v>461</v>
      </c>
      <c r="B3575" s="20" t="s">
        <v>4353</v>
      </c>
      <c r="C3575" s="20">
        <v>15</v>
      </c>
      <c r="D3575" s="19" t="s">
        <v>4586</v>
      </c>
      <c r="E3575" s="19" t="str">
        <f>VLOOKUP(D3575,'لیست پرسنل'!$B$2:$E$1020,3,FALSE)</f>
        <v xml:space="preserve">شرکت برسو </v>
      </c>
      <c r="F3575" s="19" t="str">
        <f>VLOOKUP(D3575,'لیست پرسنل'!$B$2:$E$1020,4,FALSE)</f>
        <v>نظارت کارفرما</v>
      </c>
      <c r="G3575" s="127">
        <f>VLOOKUP(D3575,'لیست پرسنل'!$B$2:$F$1020,2,FALSE)</f>
        <v>0</v>
      </c>
      <c r="H3575" s="128" t="s">
        <v>4084</v>
      </c>
      <c r="I3575" s="128" t="s">
        <v>4713</v>
      </c>
      <c r="J3575" s="128" t="s">
        <v>571</v>
      </c>
      <c r="K3575" s="128" t="s">
        <v>2219</v>
      </c>
      <c r="L3575" s="127"/>
      <c r="M3575" s="127">
        <v>628567</v>
      </c>
      <c r="N3575" s="109"/>
      <c r="O3575" s="19" t="s">
        <v>705</v>
      </c>
      <c r="P3575" s="19"/>
      <c r="Q3575" s="28"/>
    </row>
    <row r="3576" spans="1:17" ht="24.9" customHeight="1">
      <c r="A3576" s="20">
        <v>461</v>
      </c>
      <c r="B3576" s="20" t="s">
        <v>4353</v>
      </c>
      <c r="C3576" s="20">
        <v>15</v>
      </c>
      <c r="D3576" s="19" t="s">
        <v>4586</v>
      </c>
      <c r="E3576" s="19" t="str">
        <f>VLOOKUP(D3576,'لیست پرسنل'!$B$2:$E$1020,3,FALSE)</f>
        <v xml:space="preserve">شرکت برسو </v>
      </c>
      <c r="F3576" s="19" t="str">
        <f>VLOOKUP(D3576,'لیست پرسنل'!$B$2:$E$1020,4,FALSE)</f>
        <v>نظارت کارفرما</v>
      </c>
      <c r="G3576" s="127">
        <f>VLOOKUP(D3576,'لیست پرسنل'!$B$2:$F$1020,2,FALSE)</f>
        <v>0</v>
      </c>
      <c r="H3576" s="128" t="s">
        <v>4084</v>
      </c>
      <c r="I3576" s="128" t="s">
        <v>4713</v>
      </c>
      <c r="J3576" s="128" t="s">
        <v>2686</v>
      </c>
      <c r="K3576" s="131" t="s">
        <v>2081</v>
      </c>
      <c r="L3576" s="150" t="s">
        <v>2082</v>
      </c>
      <c r="M3576" s="128">
        <v>610923</v>
      </c>
      <c r="N3576" s="108"/>
      <c r="O3576" s="20" t="s">
        <v>705</v>
      </c>
      <c r="P3576" s="20"/>
      <c r="Q3576" s="20"/>
    </row>
    <row r="3577" spans="1:17" ht="24.9" customHeight="1">
      <c r="A3577" s="20">
        <v>461</v>
      </c>
      <c r="B3577" s="20" t="s">
        <v>4353</v>
      </c>
      <c r="C3577" s="19">
        <v>16</v>
      </c>
      <c r="D3577" s="19" t="s">
        <v>4705</v>
      </c>
      <c r="E3577" s="19" t="str">
        <f>VLOOKUP(D3577,'لیست پرسنل'!$B$2:$E$1020,3,FALSE)</f>
        <v>کارفرما</v>
      </c>
      <c r="F3577" s="19" t="str">
        <f>VLOOKUP(D3577,'لیست پرسنل'!$B$2:$E$1020,4,FALSE)</f>
        <v>کنترل پروژه کارفرما</v>
      </c>
      <c r="G3577" s="127" t="str">
        <f>VLOOKUP(D3577,'لیست پرسنل'!$B$2:$F$1020,2,FALSE)</f>
        <v>0</v>
      </c>
      <c r="H3577" s="128" t="s">
        <v>4070</v>
      </c>
      <c r="I3577" s="128" t="s">
        <v>4712</v>
      </c>
      <c r="J3577" s="126" t="s">
        <v>368</v>
      </c>
      <c r="K3577" s="128" t="s">
        <v>2846</v>
      </c>
      <c r="L3577" s="127" t="s">
        <v>4624</v>
      </c>
      <c r="M3577" s="127">
        <v>629841</v>
      </c>
      <c r="N3577" s="109"/>
      <c r="O3577" s="20" t="s">
        <v>705</v>
      </c>
      <c r="P3577" s="19"/>
      <c r="Q3577" s="28"/>
    </row>
    <row r="3578" spans="1:17" ht="24.9" customHeight="1">
      <c r="A3578" s="20">
        <v>461</v>
      </c>
      <c r="B3578" s="20" t="s">
        <v>4353</v>
      </c>
      <c r="C3578" s="19">
        <v>16</v>
      </c>
      <c r="D3578" s="19" t="s">
        <v>4705</v>
      </c>
      <c r="E3578" s="19" t="str">
        <f>VLOOKUP(D3578,'لیست پرسنل'!$B$2:$E$1020,3,FALSE)</f>
        <v>کارفرما</v>
      </c>
      <c r="F3578" s="19" t="str">
        <f>VLOOKUP(D3578,'لیست پرسنل'!$B$2:$E$1020,4,FALSE)</f>
        <v>کنترل پروژه کارفرما</v>
      </c>
      <c r="G3578" s="127" t="str">
        <f>VLOOKUP(D3578,'لیست پرسنل'!$B$2:$F$1020,2,FALSE)</f>
        <v>0</v>
      </c>
      <c r="H3578" s="128" t="s">
        <v>4070</v>
      </c>
      <c r="I3578" s="128" t="s">
        <v>4712</v>
      </c>
      <c r="J3578" s="128" t="s">
        <v>571</v>
      </c>
      <c r="K3578" s="128" t="s">
        <v>2219</v>
      </c>
      <c r="L3578" s="127"/>
      <c r="M3578" s="127">
        <v>628562</v>
      </c>
      <c r="N3578" s="109"/>
      <c r="O3578" s="19" t="s">
        <v>705</v>
      </c>
      <c r="P3578" s="19"/>
      <c r="Q3578" s="28"/>
    </row>
    <row r="3579" spans="1:17" ht="24.9" customHeight="1">
      <c r="A3579" s="20">
        <v>461</v>
      </c>
      <c r="B3579" s="20" t="s">
        <v>4353</v>
      </c>
      <c r="C3579" s="19">
        <v>16</v>
      </c>
      <c r="D3579" s="19" t="s">
        <v>4705</v>
      </c>
      <c r="E3579" s="19" t="str">
        <f>VLOOKUP(D3579,'لیست پرسنل'!$B$2:$E$1020,3,FALSE)</f>
        <v>کارفرما</v>
      </c>
      <c r="F3579" s="19" t="str">
        <f>VLOOKUP(D3579,'لیست پرسنل'!$B$2:$E$1020,4,FALSE)</f>
        <v>کنترل پروژه کارفرما</v>
      </c>
      <c r="G3579" s="127" t="str">
        <f>VLOOKUP(D3579,'لیست پرسنل'!$B$2:$F$1020,2,FALSE)</f>
        <v>0</v>
      </c>
      <c r="H3579" s="128" t="s">
        <v>4070</v>
      </c>
      <c r="I3579" s="128" t="s">
        <v>4712</v>
      </c>
      <c r="J3579" s="128" t="s">
        <v>2686</v>
      </c>
      <c r="K3579" s="128" t="s">
        <v>2024</v>
      </c>
      <c r="L3579" s="128" t="s">
        <v>1719</v>
      </c>
      <c r="M3579" s="128">
        <v>610659</v>
      </c>
      <c r="N3579" s="108"/>
      <c r="O3579" s="20"/>
      <c r="P3579" s="20"/>
      <c r="Q3579" s="20"/>
    </row>
    <row r="3580" spans="1:17" ht="24.9" customHeight="1">
      <c r="A3580" s="20">
        <v>461</v>
      </c>
      <c r="B3580" s="20" t="s">
        <v>4353</v>
      </c>
      <c r="C3580" s="19">
        <v>17</v>
      </c>
      <c r="D3580" s="19" t="s">
        <v>4703</v>
      </c>
      <c r="E3580" s="19" t="str">
        <f>VLOOKUP(D3580,'لیست پرسنل'!$B$2:$E$1020,3,FALSE)</f>
        <v>کارفرما</v>
      </c>
      <c r="F3580" s="19" t="str">
        <f>VLOOKUP(D3580,'لیست پرسنل'!$B$2:$E$1020,4,FALSE)</f>
        <v>پشتیبانی کارفرما</v>
      </c>
      <c r="G3580" s="127">
        <f>VLOOKUP(D3580,'لیست پرسنل'!$B$2:$F$1020,2,FALSE)</f>
        <v>0</v>
      </c>
      <c r="H3580" s="128" t="s">
        <v>4070</v>
      </c>
      <c r="I3580" s="128" t="s">
        <v>4707</v>
      </c>
      <c r="J3580" s="126" t="s">
        <v>368</v>
      </c>
      <c r="K3580" s="128" t="s">
        <v>2846</v>
      </c>
      <c r="L3580" s="127" t="s">
        <v>4629</v>
      </c>
      <c r="M3580" s="127">
        <v>629846</v>
      </c>
      <c r="N3580" s="109"/>
      <c r="O3580" s="19" t="s">
        <v>705</v>
      </c>
      <c r="P3580" s="19"/>
      <c r="Q3580" s="28"/>
    </row>
    <row r="3581" spans="1:17" ht="24.9" customHeight="1">
      <c r="A3581" s="20">
        <v>461</v>
      </c>
      <c r="B3581" s="20" t="s">
        <v>4353</v>
      </c>
      <c r="C3581" s="19">
        <v>17</v>
      </c>
      <c r="D3581" s="19" t="s">
        <v>4703</v>
      </c>
      <c r="E3581" s="19" t="str">
        <f>VLOOKUP(D3581,'لیست پرسنل'!$B$2:$E$1020,3,FALSE)</f>
        <v>کارفرما</v>
      </c>
      <c r="F3581" s="19" t="str">
        <f>VLOOKUP(D3581,'لیست پرسنل'!$B$2:$E$1020,4,FALSE)</f>
        <v>پشتیبانی کارفرما</v>
      </c>
      <c r="G3581" s="127">
        <f>VLOOKUP(D3581,'لیست پرسنل'!$B$2:$F$1020,2,FALSE)</f>
        <v>0</v>
      </c>
      <c r="H3581" s="128" t="s">
        <v>4070</v>
      </c>
      <c r="I3581" s="128" t="s">
        <v>4707</v>
      </c>
      <c r="J3581" s="128" t="s">
        <v>571</v>
      </c>
      <c r="K3581" s="128" t="s">
        <v>2219</v>
      </c>
      <c r="L3581" s="127"/>
      <c r="M3581" s="127">
        <v>628565</v>
      </c>
      <c r="N3581" s="109"/>
      <c r="O3581" s="19" t="s">
        <v>705</v>
      </c>
      <c r="P3581" s="19"/>
      <c r="Q3581" s="28"/>
    </row>
    <row r="3582" spans="1:17" ht="24.9" customHeight="1">
      <c r="A3582" s="20">
        <v>461</v>
      </c>
      <c r="B3582" s="20" t="s">
        <v>4353</v>
      </c>
      <c r="C3582" s="19">
        <v>17</v>
      </c>
      <c r="D3582" s="19" t="s">
        <v>4703</v>
      </c>
      <c r="E3582" s="19" t="str">
        <f>VLOOKUP(D3582,'لیست پرسنل'!$B$2:$E$1020,3,FALSE)</f>
        <v>کارفرما</v>
      </c>
      <c r="F3582" s="19" t="str">
        <f>VLOOKUP(D3582,'لیست پرسنل'!$B$2:$E$1020,4,FALSE)</f>
        <v>پشتیبانی کارفرما</v>
      </c>
      <c r="G3582" s="127">
        <f>VLOOKUP(D3582,'لیست پرسنل'!$B$2:$F$1020,2,FALSE)</f>
        <v>0</v>
      </c>
      <c r="H3582" s="128" t="s">
        <v>4070</v>
      </c>
      <c r="I3582" s="128" t="s">
        <v>4707</v>
      </c>
      <c r="J3582" s="128" t="s">
        <v>2686</v>
      </c>
      <c r="K3582" s="128" t="s">
        <v>2017</v>
      </c>
      <c r="L3582" s="152" t="s">
        <v>1709</v>
      </c>
      <c r="M3582" s="128">
        <v>615473</v>
      </c>
      <c r="N3582" s="108"/>
      <c r="O3582" s="20"/>
      <c r="P3582" s="20"/>
      <c r="Q3582" s="20"/>
    </row>
    <row r="3583" spans="1:17" ht="24.9" customHeight="1">
      <c r="A3583" s="20">
        <v>461</v>
      </c>
      <c r="B3583" s="20" t="s">
        <v>4353</v>
      </c>
      <c r="C3583" s="19">
        <v>18</v>
      </c>
      <c r="D3583" s="19" t="s">
        <v>4657</v>
      </c>
      <c r="E3583" s="19" t="str">
        <f>VLOOKUP(D3583,'لیست پرسنل'!$B$2:$E$1020,3,FALSE)</f>
        <v>کارفرما</v>
      </c>
      <c r="F3583" s="19" t="str">
        <f>VLOOKUP(D3583,'لیست پرسنل'!$B$2:$E$1020,4,FALSE)</f>
        <v>مدیر پشتیبانی</v>
      </c>
      <c r="G3583" s="127">
        <f>VLOOKUP(D3583,'لیست پرسنل'!$B$2:$F$1020,2,FALSE)</f>
        <v>0</v>
      </c>
      <c r="H3583" s="128" t="s">
        <v>4070</v>
      </c>
      <c r="I3583" s="128" t="s">
        <v>4656</v>
      </c>
      <c r="J3583" s="126" t="s">
        <v>368</v>
      </c>
      <c r="K3583" s="128" t="s">
        <v>2846</v>
      </c>
      <c r="L3583" s="127" t="s">
        <v>4613</v>
      </c>
      <c r="M3583" s="127">
        <v>629830</v>
      </c>
      <c r="N3583" s="109"/>
      <c r="O3583" s="20" t="s">
        <v>705</v>
      </c>
      <c r="P3583" s="19"/>
      <c r="Q3583" s="28"/>
    </row>
    <row r="3584" spans="1:17" ht="24.9" customHeight="1">
      <c r="A3584" s="20">
        <v>461</v>
      </c>
      <c r="B3584" s="20" t="s">
        <v>4353</v>
      </c>
      <c r="C3584" s="19">
        <v>18</v>
      </c>
      <c r="D3584" s="19" t="s">
        <v>4657</v>
      </c>
      <c r="E3584" s="19" t="str">
        <f>VLOOKUP(D3584,'لیست پرسنل'!$B$2:$E$1020,3,FALSE)</f>
        <v>کارفرما</v>
      </c>
      <c r="F3584" s="19" t="str">
        <f>VLOOKUP(D3584,'لیست پرسنل'!$B$2:$E$1020,4,FALSE)</f>
        <v>مدیر پشتیبانی</v>
      </c>
      <c r="G3584" s="127">
        <f>VLOOKUP(D3584,'لیست پرسنل'!$B$2:$F$1020,2,FALSE)</f>
        <v>0</v>
      </c>
      <c r="H3584" s="128" t="s">
        <v>4070</v>
      </c>
      <c r="I3584" s="128" t="s">
        <v>4656</v>
      </c>
      <c r="J3584" s="128" t="s">
        <v>571</v>
      </c>
      <c r="K3584" s="128" t="s">
        <v>2219</v>
      </c>
      <c r="L3584" s="127"/>
      <c r="M3584" s="127">
        <v>628568</v>
      </c>
      <c r="N3584" s="109"/>
      <c r="O3584" s="19" t="s">
        <v>705</v>
      </c>
      <c r="P3584" s="19"/>
      <c r="Q3584" s="28"/>
    </row>
    <row r="3585" spans="1:17" ht="24.9" customHeight="1">
      <c r="A3585" s="20">
        <v>461</v>
      </c>
      <c r="B3585" s="20" t="s">
        <v>4353</v>
      </c>
      <c r="C3585" s="19">
        <v>18</v>
      </c>
      <c r="D3585" s="19" t="s">
        <v>4657</v>
      </c>
      <c r="E3585" s="19" t="str">
        <f>VLOOKUP(D3585,'لیست پرسنل'!$B$2:$E$1020,3,FALSE)</f>
        <v>کارفرما</v>
      </c>
      <c r="F3585" s="19" t="str">
        <f>VLOOKUP(D3585,'لیست پرسنل'!$B$2:$E$1020,4,FALSE)</f>
        <v>مدیر پشتیبانی</v>
      </c>
      <c r="G3585" s="127">
        <f>VLOOKUP(D3585,'لیست پرسنل'!$B$2:$F$1020,2,FALSE)</f>
        <v>0</v>
      </c>
      <c r="H3585" s="128" t="s">
        <v>4070</v>
      </c>
      <c r="I3585" s="128" t="s">
        <v>4656</v>
      </c>
      <c r="J3585" s="128" t="s">
        <v>2686</v>
      </c>
      <c r="K3585" s="128" t="s">
        <v>371</v>
      </c>
      <c r="L3585" s="152" t="s">
        <v>1714</v>
      </c>
      <c r="M3585" s="128">
        <v>618630</v>
      </c>
      <c r="N3585" s="108"/>
      <c r="O3585" s="20"/>
      <c r="P3585" s="20"/>
      <c r="Q3585" s="20"/>
    </row>
    <row r="3586" spans="1:17" ht="24.9" customHeight="1">
      <c r="A3586" s="20">
        <v>461</v>
      </c>
      <c r="B3586" s="20" t="s">
        <v>4353</v>
      </c>
      <c r="C3586" s="19">
        <v>19</v>
      </c>
      <c r="D3586" s="19" t="s">
        <v>4642</v>
      </c>
      <c r="E3586" s="19" t="str">
        <f>VLOOKUP(D3586,'لیست پرسنل'!$B$2:$E$1020,3,FALSE)</f>
        <v>کارفرما</v>
      </c>
      <c r="F3586" s="19" t="str">
        <f>VLOOKUP(D3586,'لیست پرسنل'!$B$2:$E$1020,4,FALSE)</f>
        <v>آی تی کارفرما</v>
      </c>
      <c r="G3586" s="127" t="str">
        <f>VLOOKUP(D3586,'لیست پرسنل'!$B$2:$F$1020,2,FALSE)</f>
        <v>0</v>
      </c>
      <c r="H3586" s="128" t="s">
        <v>4643</v>
      </c>
      <c r="I3586" s="128" t="s">
        <v>4646</v>
      </c>
      <c r="J3586" s="126" t="s">
        <v>368</v>
      </c>
      <c r="K3586" s="128" t="s">
        <v>2846</v>
      </c>
      <c r="L3586" s="127" t="s">
        <v>4611</v>
      </c>
      <c r="M3586" s="127">
        <v>629828</v>
      </c>
      <c r="N3586" s="109"/>
      <c r="O3586" s="20" t="s">
        <v>705</v>
      </c>
      <c r="P3586" s="19"/>
      <c r="Q3586" s="28"/>
    </row>
    <row r="3587" spans="1:17" ht="24.9" customHeight="1">
      <c r="A3587" s="20">
        <v>461</v>
      </c>
      <c r="B3587" s="20" t="s">
        <v>4353</v>
      </c>
      <c r="C3587" s="19">
        <v>19</v>
      </c>
      <c r="D3587" s="20" t="s">
        <v>4642</v>
      </c>
      <c r="E3587" s="19" t="str">
        <f>VLOOKUP(D3587,'لیست پرسنل'!$B$2:$E$1020,3,FALSE)</f>
        <v>کارفرما</v>
      </c>
      <c r="F3587" s="19" t="str">
        <f>VLOOKUP(D3587,'لیست پرسنل'!$B$2:$E$1020,4,FALSE)</f>
        <v>آی تی کارفرما</v>
      </c>
      <c r="G3587" s="127" t="str">
        <f>VLOOKUP(D3587,'لیست پرسنل'!$B$2:$F$1020,2,FALSE)</f>
        <v>0</v>
      </c>
      <c r="H3587" s="128" t="s">
        <v>4643</v>
      </c>
      <c r="I3587" s="128" t="s">
        <v>4646</v>
      </c>
      <c r="J3587" s="128" t="s">
        <v>571</v>
      </c>
      <c r="K3587" s="128" t="s">
        <v>2219</v>
      </c>
      <c r="L3587" s="127"/>
      <c r="M3587" s="127">
        <v>628553</v>
      </c>
      <c r="N3587" s="109"/>
      <c r="O3587" s="19" t="s">
        <v>705</v>
      </c>
      <c r="P3587" s="19"/>
      <c r="Q3587" s="28"/>
    </row>
    <row r="3588" spans="1:17" ht="24.9" customHeight="1">
      <c r="A3588" s="20">
        <v>461</v>
      </c>
      <c r="B3588" s="20" t="s">
        <v>4353</v>
      </c>
      <c r="C3588" s="19">
        <v>19</v>
      </c>
      <c r="D3588" s="20" t="s">
        <v>4642</v>
      </c>
      <c r="E3588" s="19" t="str">
        <f>VLOOKUP(D3588,'لیست پرسنل'!$B$2:$E$1020,3,FALSE)</f>
        <v>کارفرما</v>
      </c>
      <c r="F3588" s="19" t="str">
        <f>VLOOKUP(D3588,'لیست پرسنل'!$B$2:$E$1020,4,FALSE)</f>
        <v>آی تی کارفرما</v>
      </c>
      <c r="G3588" s="127" t="str">
        <f>VLOOKUP(D3588,'لیست پرسنل'!$B$2:$F$1020,2,FALSE)</f>
        <v>0</v>
      </c>
      <c r="H3588" s="128" t="s">
        <v>4643</v>
      </c>
      <c r="I3588" s="128" t="s">
        <v>4646</v>
      </c>
      <c r="J3588" s="128" t="s">
        <v>2686</v>
      </c>
      <c r="K3588" s="128" t="s">
        <v>327</v>
      </c>
      <c r="L3588" s="152" t="s">
        <v>2020</v>
      </c>
      <c r="M3588" s="128">
        <v>609088</v>
      </c>
      <c r="N3588" s="108"/>
      <c r="O3588" s="20"/>
      <c r="P3588" s="20"/>
      <c r="Q3588" s="20"/>
    </row>
    <row r="3589" spans="1:17" ht="24.9" customHeight="1">
      <c r="A3589" s="20">
        <v>461</v>
      </c>
      <c r="B3589" s="20" t="s">
        <v>4353</v>
      </c>
      <c r="C3589" s="19">
        <v>20</v>
      </c>
      <c r="D3589" s="20" t="s">
        <v>4659</v>
      </c>
      <c r="E3589" s="19" t="str">
        <f>VLOOKUP(D3589,'لیست پرسنل'!$B$2:$E$1020,3,FALSE)</f>
        <v>کارفرما</v>
      </c>
      <c r="F3589" s="19" t="str">
        <f>VLOOKUP(D3589,'لیست پرسنل'!$B$2:$E$1020,4,FALSE)</f>
        <v>سرپرست برق</v>
      </c>
      <c r="G3589" s="127">
        <f>VLOOKUP(D3589,'لیست پرسنل'!$B$2:$F$1020,2,FALSE)</f>
        <v>0</v>
      </c>
      <c r="H3589" s="128" t="s">
        <v>4070</v>
      </c>
      <c r="I3589" s="128" t="s">
        <v>4661</v>
      </c>
      <c r="J3589" s="126" t="s">
        <v>368</v>
      </c>
      <c r="K3589" s="128" t="s">
        <v>2846</v>
      </c>
      <c r="L3589" s="127" t="s">
        <v>4612</v>
      </c>
      <c r="M3589" s="127">
        <v>629829</v>
      </c>
      <c r="N3589" s="109"/>
      <c r="O3589" s="20" t="s">
        <v>705</v>
      </c>
      <c r="P3589" s="19"/>
      <c r="Q3589" s="28"/>
    </row>
    <row r="3590" spans="1:17" ht="24.9" customHeight="1">
      <c r="A3590" s="20">
        <v>461</v>
      </c>
      <c r="B3590" s="20" t="s">
        <v>4353</v>
      </c>
      <c r="C3590" s="19">
        <v>20</v>
      </c>
      <c r="D3590" s="20" t="s">
        <v>4659</v>
      </c>
      <c r="E3590" s="19" t="str">
        <f>VLOOKUP(D3590,'لیست پرسنل'!$B$2:$E$1020,3,FALSE)</f>
        <v>کارفرما</v>
      </c>
      <c r="F3590" s="19" t="str">
        <f>VLOOKUP(D3590,'لیست پرسنل'!$B$2:$E$1020,4,FALSE)</f>
        <v>سرپرست برق</v>
      </c>
      <c r="G3590" s="127">
        <f>VLOOKUP(D3590,'لیست پرسنل'!$B$2:$F$1020,2,FALSE)</f>
        <v>0</v>
      </c>
      <c r="H3590" s="128" t="s">
        <v>4070</v>
      </c>
      <c r="I3590" s="128" t="s">
        <v>4661</v>
      </c>
      <c r="J3590" s="128" t="s">
        <v>571</v>
      </c>
      <c r="K3590" s="128" t="s">
        <v>2219</v>
      </c>
      <c r="L3590" s="127"/>
      <c r="M3590" s="127">
        <v>628569</v>
      </c>
      <c r="N3590" s="109"/>
      <c r="O3590" s="19" t="s">
        <v>705</v>
      </c>
      <c r="P3590" s="19"/>
      <c r="Q3590" s="28"/>
    </row>
    <row r="3591" spans="1:17" ht="24.9" customHeight="1">
      <c r="A3591" s="20">
        <v>461</v>
      </c>
      <c r="B3591" s="20" t="s">
        <v>4353</v>
      </c>
      <c r="C3591" s="19">
        <v>20</v>
      </c>
      <c r="D3591" s="20" t="s">
        <v>4659</v>
      </c>
      <c r="E3591" s="19" t="str">
        <f>VLOOKUP(D3591,'لیست پرسنل'!$B$2:$E$1020,3,FALSE)</f>
        <v>کارفرما</v>
      </c>
      <c r="F3591" s="19" t="str">
        <f>VLOOKUP(D3591,'لیست پرسنل'!$B$2:$E$1020,4,FALSE)</f>
        <v>سرپرست برق</v>
      </c>
      <c r="G3591" s="127">
        <f>VLOOKUP(D3591,'لیست پرسنل'!$B$2:$F$1020,2,FALSE)</f>
        <v>0</v>
      </c>
      <c r="H3591" s="128" t="s">
        <v>4070</v>
      </c>
      <c r="I3591" s="128" t="s">
        <v>4661</v>
      </c>
      <c r="J3591" s="128" t="s">
        <v>2686</v>
      </c>
      <c r="K3591" s="128" t="s">
        <v>2024</v>
      </c>
      <c r="L3591" s="128" t="s">
        <v>2218</v>
      </c>
      <c r="M3591" s="128">
        <v>607864</v>
      </c>
      <c r="N3591" s="108"/>
      <c r="O3591" s="20"/>
      <c r="P3591" s="20"/>
      <c r="Q3591" s="20"/>
    </row>
    <row r="3592" spans="1:17" ht="24.9" customHeight="1">
      <c r="A3592" s="20">
        <v>461</v>
      </c>
      <c r="B3592" s="20" t="s">
        <v>4353</v>
      </c>
      <c r="C3592" s="19">
        <v>21</v>
      </c>
      <c r="D3592" s="46" t="s">
        <v>5156</v>
      </c>
      <c r="E3592" s="19" t="str">
        <f>VLOOKUP(D3592,'لیست پرسنل'!$B$2:$E$1020,3,FALSE)</f>
        <v>کارفرما</v>
      </c>
      <c r="F3592" s="19" t="str">
        <f>VLOOKUP(D3592,'لیست پرسنل'!$B$2:$E$1020,4,FALSE)</f>
        <v>برسو</v>
      </c>
      <c r="G3592" s="127">
        <f>VLOOKUP(D3592,'لیست پرسنل'!$B$2:$F$1020,2,FALSE)</f>
        <v>0</v>
      </c>
      <c r="H3592" s="128" t="s">
        <v>4070</v>
      </c>
      <c r="I3592" s="127" t="s">
        <v>5158</v>
      </c>
      <c r="J3592" s="126" t="s">
        <v>368</v>
      </c>
      <c r="K3592" s="128" t="s">
        <v>2846</v>
      </c>
      <c r="L3592" s="127" t="s">
        <v>4617</v>
      </c>
      <c r="M3592" s="127">
        <v>629834</v>
      </c>
      <c r="N3592" s="109"/>
      <c r="O3592" s="20" t="s">
        <v>705</v>
      </c>
      <c r="P3592" s="19"/>
      <c r="Q3592" s="28"/>
    </row>
    <row r="3593" spans="1:17" ht="24.9" customHeight="1">
      <c r="A3593" s="20">
        <v>461</v>
      </c>
      <c r="B3593" s="20" t="s">
        <v>4353</v>
      </c>
      <c r="C3593" s="19">
        <v>21</v>
      </c>
      <c r="D3593" s="46" t="s">
        <v>5156</v>
      </c>
      <c r="E3593" s="19" t="str">
        <f>VLOOKUP(D3593,'لیست پرسنل'!$B$2:$E$1020,3,FALSE)</f>
        <v>کارفرما</v>
      </c>
      <c r="F3593" s="19" t="str">
        <f>VLOOKUP(D3593,'لیست پرسنل'!$B$2:$E$1020,4,FALSE)</f>
        <v>برسو</v>
      </c>
      <c r="G3593" s="127">
        <f>VLOOKUP(D3593,'لیست پرسنل'!$B$2:$F$1020,2,FALSE)</f>
        <v>0</v>
      </c>
      <c r="H3593" s="128" t="s">
        <v>4070</v>
      </c>
      <c r="I3593" s="127" t="s">
        <v>5158</v>
      </c>
      <c r="J3593" s="141" t="s">
        <v>571</v>
      </c>
      <c r="K3593" s="128" t="s">
        <v>1951</v>
      </c>
      <c r="L3593" s="165" t="s">
        <v>2219</v>
      </c>
      <c r="M3593" s="128">
        <v>629703</v>
      </c>
      <c r="N3593" s="108"/>
      <c r="O3593" s="20" t="s">
        <v>705</v>
      </c>
      <c r="P3593" s="20"/>
      <c r="Q3593" s="20"/>
    </row>
    <row r="3594" spans="1:17" ht="24.9" customHeight="1">
      <c r="A3594" s="20">
        <v>461</v>
      </c>
      <c r="B3594" s="20" t="s">
        <v>4353</v>
      </c>
      <c r="C3594" s="19">
        <v>21</v>
      </c>
      <c r="D3594" s="46" t="s">
        <v>5156</v>
      </c>
      <c r="E3594" s="19" t="str">
        <f>VLOOKUP(D3594,'لیست پرسنل'!$B$2:$E$1020,3,FALSE)</f>
        <v>کارفرما</v>
      </c>
      <c r="F3594" s="19" t="str">
        <f>VLOOKUP(D3594,'لیست پرسنل'!$B$2:$E$1020,4,FALSE)</f>
        <v>برسو</v>
      </c>
      <c r="G3594" s="127">
        <f>VLOOKUP(D3594,'لیست پرسنل'!$B$2:$F$1020,2,FALSE)</f>
        <v>0</v>
      </c>
      <c r="H3594" s="128" t="s">
        <v>4070</v>
      </c>
      <c r="I3594" s="127" t="s">
        <v>5158</v>
      </c>
      <c r="J3594" s="128" t="s">
        <v>2686</v>
      </c>
      <c r="K3594" s="128" t="s">
        <v>1744</v>
      </c>
      <c r="L3594" s="154" t="s">
        <v>1727</v>
      </c>
      <c r="M3594" s="127">
        <v>610661</v>
      </c>
      <c r="N3594" s="108"/>
      <c r="O3594" s="20"/>
      <c r="P3594" s="20"/>
      <c r="Q3594" s="20"/>
    </row>
    <row r="3595" spans="1:17" ht="24.9" customHeight="1">
      <c r="A3595" s="20">
        <v>461</v>
      </c>
      <c r="B3595" s="20" t="s">
        <v>4353</v>
      </c>
      <c r="C3595" s="19">
        <v>22</v>
      </c>
      <c r="D3595" s="20" t="s">
        <v>5221</v>
      </c>
      <c r="E3595" s="19" t="str">
        <f>VLOOKUP(D3595,'لیست پرسنل'!$B$2:$E$1020,3,FALSE)</f>
        <v>نظارت کارفرما</v>
      </c>
      <c r="F3595" s="19" t="str">
        <f>VLOOKUP(D3595,'لیست پرسنل'!$B$2:$E$1020,4,FALSE)</f>
        <v>نظارت کارفرما</v>
      </c>
      <c r="G3595" s="127" t="str">
        <f>VLOOKUP(D3595,'لیست پرسنل'!$B$2:$F$1020,2,FALSE)</f>
        <v>0</v>
      </c>
      <c r="H3595" s="128" t="s">
        <v>4070</v>
      </c>
      <c r="I3595" s="128" t="s">
        <v>5222</v>
      </c>
      <c r="J3595" s="128" t="s">
        <v>737</v>
      </c>
      <c r="K3595" s="172" t="s">
        <v>6234</v>
      </c>
      <c r="L3595" s="128" t="s">
        <v>6233</v>
      </c>
      <c r="M3595" s="128">
        <v>633800</v>
      </c>
      <c r="N3595" s="108"/>
      <c r="O3595" s="36"/>
      <c r="P3595" s="20"/>
      <c r="Q3595" s="20"/>
    </row>
    <row r="3596" spans="1:17" ht="24.9" customHeight="1">
      <c r="A3596" s="20">
        <v>461</v>
      </c>
      <c r="B3596" s="20" t="s">
        <v>4353</v>
      </c>
      <c r="C3596" s="19">
        <v>22</v>
      </c>
      <c r="D3596" s="20" t="s">
        <v>5221</v>
      </c>
      <c r="E3596" s="19" t="str">
        <f>VLOOKUP(D3596,'لیست پرسنل'!$B$2:$E$1020,3,FALSE)</f>
        <v>نظارت کارفرما</v>
      </c>
      <c r="F3596" s="19" t="str">
        <f>VLOOKUP(D3596,'لیست پرسنل'!$B$2:$E$1020,4,FALSE)</f>
        <v>نظارت کارفرما</v>
      </c>
      <c r="G3596" s="127" t="str">
        <f>VLOOKUP(D3596,'لیست پرسنل'!$B$2:$F$1020,2,FALSE)</f>
        <v>0</v>
      </c>
      <c r="H3596" s="128" t="s">
        <v>4070</v>
      </c>
      <c r="I3596" s="128" t="s">
        <v>5222</v>
      </c>
      <c r="J3596" s="126" t="s">
        <v>368</v>
      </c>
      <c r="K3596" s="172" t="s">
        <v>2846</v>
      </c>
      <c r="L3596" s="127" t="s">
        <v>4618</v>
      </c>
      <c r="M3596" s="127">
        <v>629835</v>
      </c>
      <c r="N3596" s="109"/>
      <c r="O3596" s="20" t="s">
        <v>705</v>
      </c>
      <c r="P3596" s="19"/>
      <c r="Q3596" s="28"/>
    </row>
    <row r="3597" spans="1:17" ht="24.9" customHeight="1">
      <c r="A3597" s="20">
        <v>461</v>
      </c>
      <c r="B3597" s="20" t="s">
        <v>4353</v>
      </c>
      <c r="C3597" s="19">
        <v>22</v>
      </c>
      <c r="D3597" s="20" t="s">
        <v>5221</v>
      </c>
      <c r="E3597" s="19" t="str">
        <f>VLOOKUP(D3597,'لیست پرسنل'!$B$2:$E$1020,3,FALSE)</f>
        <v>نظارت کارفرما</v>
      </c>
      <c r="F3597" s="19" t="str">
        <f>VLOOKUP(D3597,'لیست پرسنل'!$B$2:$E$1020,4,FALSE)</f>
        <v>نظارت کارفرما</v>
      </c>
      <c r="G3597" s="127" t="str">
        <f>VLOOKUP(D3597,'لیست پرسنل'!$B$2:$F$1020,2,FALSE)</f>
        <v>0</v>
      </c>
      <c r="H3597" s="128" t="s">
        <v>4070</v>
      </c>
      <c r="I3597" s="128" t="s">
        <v>5222</v>
      </c>
      <c r="J3597" s="128" t="s">
        <v>6881</v>
      </c>
      <c r="K3597" s="172" t="s">
        <v>6882</v>
      </c>
      <c r="L3597" s="128" t="s">
        <v>6883</v>
      </c>
      <c r="M3597" s="128" t="s">
        <v>291</v>
      </c>
      <c r="N3597" s="108"/>
      <c r="O3597" s="20"/>
      <c r="P3597" s="20"/>
      <c r="Q3597" s="20"/>
    </row>
    <row r="3598" spans="1:17" ht="24.9" customHeight="1">
      <c r="A3598" s="20">
        <v>461</v>
      </c>
      <c r="B3598" s="20" t="s">
        <v>4353</v>
      </c>
      <c r="C3598" s="19">
        <v>22</v>
      </c>
      <c r="D3598" s="20" t="s">
        <v>5221</v>
      </c>
      <c r="E3598" s="19" t="str">
        <f>VLOOKUP(D3598,'لیست پرسنل'!$B$2:$E$1020,3,FALSE)</f>
        <v>نظارت کارفرما</v>
      </c>
      <c r="F3598" s="19" t="str">
        <f>VLOOKUP(D3598,'لیست پرسنل'!$B$2:$E$1020,4,FALSE)</f>
        <v>نظارت کارفرما</v>
      </c>
      <c r="G3598" s="127" t="str">
        <f>VLOOKUP(D3598,'لیست پرسنل'!$B$2:$F$1020,2,FALSE)</f>
        <v>0</v>
      </c>
      <c r="H3598" s="128" t="s">
        <v>4070</v>
      </c>
      <c r="I3598" s="128" t="s">
        <v>5222</v>
      </c>
      <c r="J3598" s="141" t="s">
        <v>571</v>
      </c>
      <c r="K3598" s="172" t="s">
        <v>1951</v>
      </c>
      <c r="L3598" s="165" t="s">
        <v>2219</v>
      </c>
      <c r="M3598" s="128">
        <v>629704</v>
      </c>
      <c r="N3598" s="112"/>
      <c r="O3598" s="20" t="s">
        <v>705</v>
      </c>
      <c r="P3598" s="20"/>
      <c r="Q3598" s="20"/>
    </row>
    <row r="3599" spans="1:17" ht="24.9" customHeight="1">
      <c r="A3599" s="20">
        <v>461</v>
      </c>
      <c r="B3599" s="20" t="s">
        <v>4353</v>
      </c>
      <c r="C3599" s="19">
        <v>22</v>
      </c>
      <c r="D3599" s="20" t="s">
        <v>5221</v>
      </c>
      <c r="E3599" s="19" t="str">
        <f>VLOOKUP(D3599,'لیست پرسنل'!$B$2:$E$1020,3,FALSE)</f>
        <v>نظارت کارفرما</v>
      </c>
      <c r="F3599" s="19" t="str">
        <f>VLOOKUP(D3599,'لیست پرسنل'!$B$2:$E$1020,4,FALSE)</f>
        <v>نظارت کارفرما</v>
      </c>
      <c r="G3599" s="127" t="str">
        <f>VLOOKUP(D3599,'لیست پرسنل'!$B$2:$F$1020,2,FALSE)</f>
        <v>0</v>
      </c>
      <c r="H3599" s="128" t="s">
        <v>4070</v>
      </c>
      <c r="I3599" s="128" t="s">
        <v>5222</v>
      </c>
      <c r="J3599" s="128" t="s">
        <v>2686</v>
      </c>
      <c r="K3599" s="172" t="s">
        <v>332</v>
      </c>
      <c r="L3599" s="128" t="s">
        <v>1896</v>
      </c>
      <c r="M3599" s="128">
        <v>604616</v>
      </c>
      <c r="N3599" s="108"/>
      <c r="O3599" s="20"/>
      <c r="P3599" s="20"/>
      <c r="Q3599" s="20"/>
    </row>
    <row r="3600" spans="1:17" ht="24.9" customHeight="1">
      <c r="A3600" s="20">
        <v>461</v>
      </c>
      <c r="B3600" s="20" t="s">
        <v>4353</v>
      </c>
      <c r="C3600" s="19">
        <v>23</v>
      </c>
      <c r="D3600" s="19" t="s">
        <v>4069</v>
      </c>
      <c r="E3600" s="19" t="str">
        <f>VLOOKUP(D3600,'لیست پرسنل'!$B$2:$E$1020,3,FALSE)</f>
        <v>کارفرما</v>
      </c>
      <c r="F3600" s="19" t="str">
        <f>VLOOKUP(D3600,'لیست پرسنل'!$B$2:$E$1020,4,FALSE)</f>
        <v>مسئول دفتر گلبن</v>
      </c>
      <c r="G3600" s="127">
        <f>VLOOKUP(D3600,'لیست پرسنل'!$B$2:$F$1020,2,FALSE)</f>
        <v>0</v>
      </c>
      <c r="H3600" s="128" t="s">
        <v>4070</v>
      </c>
      <c r="I3600" s="128" t="s">
        <v>5400</v>
      </c>
      <c r="J3600" s="128" t="s">
        <v>3889</v>
      </c>
      <c r="K3600" s="172" t="s">
        <v>5402</v>
      </c>
      <c r="L3600" s="128" t="s">
        <v>5401</v>
      </c>
      <c r="M3600" s="128">
        <v>631469</v>
      </c>
      <c r="N3600" s="108" t="s">
        <v>4706</v>
      </c>
      <c r="O3600" s="36"/>
      <c r="P3600" s="20"/>
      <c r="Q3600" s="20"/>
    </row>
    <row r="3601" spans="1:17" ht="24.9" customHeight="1">
      <c r="A3601" s="20">
        <v>461</v>
      </c>
      <c r="B3601" s="20" t="s">
        <v>4353</v>
      </c>
      <c r="C3601" s="19">
        <v>24</v>
      </c>
      <c r="D3601" s="20" t="s">
        <v>5533</v>
      </c>
      <c r="E3601" s="19" t="str">
        <f>VLOOKUP(D3601,'لیست پرسنل'!$B$2:$E$1020,3,FALSE)</f>
        <v>حراست کارفرما</v>
      </c>
      <c r="F3601" s="19" t="str">
        <f>VLOOKUP(D3601,'لیست پرسنل'!$B$2:$E$1020,4,FALSE)</f>
        <v>حراست کارفرما</v>
      </c>
      <c r="G3601" s="127">
        <f>VLOOKUP(D3601,'لیست پرسنل'!$B$2:$F$1020,2,FALSE)</f>
        <v>0</v>
      </c>
      <c r="H3601" s="128" t="s">
        <v>5535</v>
      </c>
      <c r="I3601" s="128" t="s">
        <v>5534</v>
      </c>
      <c r="J3601" s="128" t="s">
        <v>571</v>
      </c>
      <c r="K3601" s="128"/>
      <c r="L3601" s="150"/>
      <c r="M3601" s="128">
        <v>601175</v>
      </c>
      <c r="N3601" s="108"/>
      <c r="O3601" s="20"/>
      <c r="P3601" s="20"/>
      <c r="Q3601" s="20"/>
    </row>
    <row r="3602" spans="1:17" ht="24.9" customHeight="1">
      <c r="A3602" s="185">
        <v>461</v>
      </c>
      <c r="B3602" s="185" t="s">
        <v>4353</v>
      </c>
      <c r="C3602" s="186">
        <v>24</v>
      </c>
      <c r="D3602" s="67" t="s">
        <v>5533</v>
      </c>
      <c r="E3602" s="186" t="str">
        <f>VLOOKUP(D3602,'لیست پرسنل'!$B$2:$E$1020,3,FALSE)</f>
        <v>حراست کارفرما</v>
      </c>
      <c r="F3602" s="186" t="str">
        <f>VLOOKUP(D3602,'لیست پرسنل'!$B$2:$E$1020,4,FALSE)</f>
        <v>حراست کارفرما</v>
      </c>
      <c r="G3602" s="187">
        <f>VLOOKUP(D3602,'لیست پرسنل'!$B$2:$F$1020,2,FALSE)</f>
        <v>0</v>
      </c>
      <c r="H3602" s="188" t="s">
        <v>5535</v>
      </c>
      <c r="I3602" s="194" t="s">
        <v>5534</v>
      </c>
      <c r="J3602" s="188" t="s">
        <v>2686</v>
      </c>
      <c r="K3602" s="188" t="s">
        <v>332</v>
      </c>
      <c r="L3602" s="206" t="s">
        <v>4481</v>
      </c>
      <c r="M3602" s="190">
        <v>604018</v>
      </c>
      <c r="N3602" s="189"/>
      <c r="O3602" s="186" t="s">
        <v>4381</v>
      </c>
      <c r="P3602" s="186"/>
      <c r="Q3602" s="185"/>
    </row>
    <row r="3603" spans="1:17" ht="24.9" customHeight="1">
      <c r="A3603" s="20">
        <v>461</v>
      </c>
      <c r="B3603" s="20" t="s">
        <v>4353</v>
      </c>
      <c r="C3603" s="19">
        <v>25</v>
      </c>
      <c r="D3603" s="20" t="s">
        <v>5584</v>
      </c>
      <c r="E3603" s="19" t="str">
        <f>VLOOKUP(D3603,'لیست پرسنل'!$B$2:$E$1020,3,FALSE)</f>
        <v>نظارت کارفرما</v>
      </c>
      <c r="F3603" s="19" t="str">
        <f>VLOOKUP(D3603,'لیست پرسنل'!$B$2:$E$1020,4,FALSE)</f>
        <v>مکانیک-جوش</v>
      </c>
      <c r="G3603" s="127">
        <f>VLOOKUP(D3603,'لیست پرسنل'!$B$2:$F$1020,2,FALSE)</f>
        <v>0</v>
      </c>
      <c r="H3603" s="128" t="s">
        <v>4084</v>
      </c>
      <c r="I3603" s="128" t="s">
        <v>5583</v>
      </c>
      <c r="J3603" s="126" t="s">
        <v>368</v>
      </c>
      <c r="K3603" s="128" t="s">
        <v>2846</v>
      </c>
      <c r="L3603" s="127" t="s">
        <v>4619</v>
      </c>
      <c r="M3603" s="127">
        <v>629836</v>
      </c>
      <c r="N3603" s="109"/>
      <c r="O3603" s="20" t="s">
        <v>705</v>
      </c>
      <c r="P3603" s="19"/>
      <c r="Q3603" s="28"/>
    </row>
    <row r="3604" spans="1:17" ht="24.9" customHeight="1">
      <c r="A3604" s="20">
        <v>461</v>
      </c>
      <c r="B3604" s="20" t="s">
        <v>4353</v>
      </c>
      <c r="C3604" s="19">
        <v>25</v>
      </c>
      <c r="D3604" s="20" t="s">
        <v>5584</v>
      </c>
      <c r="E3604" s="19" t="str">
        <f>VLOOKUP(D3604,'لیست پرسنل'!$B$2:$E$1020,3,FALSE)</f>
        <v>نظارت کارفرما</v>
      </c>
      <c r="F3604" s="19" t="str">
        <f>VLOOKUP(D3604,'لیست پرسنل'!$B$2:$E$1020,4,FALSE)</f>
        <v>مکانیک-جوش</v>
      </c>
      <c r="G3604" s="127">
        <f>VLOOKUP(D3604,'لیست پرسنل'!$B$2:$F$1020,2,FALSE)</f>
        <v>0</v>
      </c>
      <c r="H3604" s="128" t="s">
        <v>4084</v>
      </c>
      <c r="I3604" s="128" t="s">
        <v>5583</v>
      </c>
      <c r="J3604" s="128" t="s">
        <v>571</v>
      </c>
      <c r="K3604" s="128" t="s">
        <v>2219</v>
      </c>
      <c r="L3604" s="128"/>
      <c r="M3604" s="128">
        <v>628125</v>
      </c>
      <c r="N3604" s="108"/>
      <c r="O3604" s="20"/>
      <c r="P3604" s="20"/>
      <c r="Q3604" s="20"/>
    </row>
    <row r="3605" spans="1:17" ht="24.9" customHeight="1">
      <c r="A3605" s="20">
        <v>461</v>
      </c>
      <c r="B3605" s="20" t="s">
        <v>4353</v>
      </c>
      <c r="C3605" s="19">
        <v>25</v>
      </c>
      <c r="D3605" s="20" t="s">
        <v>5584</v>
      </c>
      <c r="E3605" s="19" t="str">
        <f>VLOOKUP(D3605,'لیست پرسنل'!$B$2:$E$1020,3,FALSE)</f>
        <v>نظارت کارفرما</v>
      </c>
      <c r="F3605" s="19" t="str">
        <f>VLOOKUP(D3605,'لیست پرسنل'!$B$2:$E$1020,4,FALSE)</f>
        <v>مکانیک-جوش</v>
      </c>
      <c r="G3605" s="127">
        <f>VLOOKUP(D3605,'لیست پرسنل'!$B$2:$F$1020,2,FALSE)</f>
        <v>0</v>
      </c>
      <c r="H3605" s="128" t="s">
        <v>4084</v>
      </c>
      <c r="I3605" s="128" t="s">
        <v>5583</v>
      </c>
      <c r="J3605" s="128" t="s">
        <v>2686</v>
      </c>
      <c r="K3605" s="128" t="s">
        <v>890</v>
      </c>
      <c r="L3605" s="151" t="s">
        <v>4243</v>
      </c>
      <c r="M3605" s="127">
        <v>607707</v>
      </c>
      <c r="N3605" s="111"/>
      <c r="O3605" s="19" t="s">
        <v>4244</v>
      </c>
      <c r="P3605" s="20"/>
      <c r="Q3605" s="20"/>
    </row>
    <row r="3606" spans="1:17" ht="24.9" customHeight="1">
      <c r="A3606" s="20">
        <v>461</v>
      </c>
      <c r="B3606" s="20" t="s">
        <v>4353</v>
      </c>
      <c r="C3606" s="19">
        <v>26</v>
      </c>
      <c r="D3606" s="20" t="s">
        <v>5772</v>
      </c>
      <c r="E3606" s="19" t="str">
        <f>VLOOKUP(D3606,'لیست پرسنل'!$B$2:$E$1020,3,FALSE)</f>
        <v>کارفرما</v>
      </c>
      <c r="F3606" s="19" t="str">
        <f>VLOOKUP(D3606,'لیست پرسنل'!$B$2:$E$1020,4,FALSE)</f>
        <v>کارفرما بردسیر</v>
      </c>
      <c r="G3606" s="127">
        <f>VLOOKUP(D3606,'لیست پرسنل'!$B$2:$F$1020,2,FALSE)</f>
        <v>0</v>
      </c>
      <c r="H3606" s="126" t="s">
        <v>4070</v>
      </c>
      <c r="I3606" s="127" t="s">
        <v>5776</v>
      </c>
      <c r="J3606" s="126" t="s">
        <v>368</v>
      </c>
      <c r="K3606" s="135" t="s">
        <v>8248</v>
      </c>
      <c r="L3606" s="127" t="s">
        <v>2515</v>
      </c>
      <c r="M3606" s="128">
        <v>628927</v>
      </c>
      <c r="N3606" s="108"/>
      <c r="O3606" s="20" t="s">
        <v>705</v>
      </c>
      <c r="P3606" s="20"/>
      <c r="Q3606" s="20"/>
    </row>
    <row r="3607" spans="1:17" ht="24.9" customHeight="1">
      <c r="A3607" s="20">
        <v>461</v>
      </c>
      <c r="B3607" s="20" t="s">
        <v>4353</v>
      </c>
      <c r="C3607" s="19">
        <v>26</v>
      </c>
      <c r="D3607" s="20" t="s">
        <v>5772</v>
      </c>
      <c r="E3607" s="19" t="str">
        <f>VLOOKUP(D3607,'لیست پرسنل'!$B$2:$E$1020,3,FALSE)</f>
        <v>کارفرما</v>
      </c>
      <c r="F3607" s="19" t="str">
        <f>VLOOKUP(D3607,'لیست پرسنل'!$B$2:$E$1020,4,FALSE)</f>
        <v>کارفرما بردسیر</v>
      </c>
      <c r="G3607" s="127">
        <f>VLOOKUP(D3607,'لیست پرسنل'!$B$2:$F$1020,2,FALSE)</f>
        <v>0</v>
      </c>
      <c r="H3607" s="126" t="s">
        <v>4070</v>
      </c>
      <c r="I3607" s="127" t="s">
        <v>5776</v>
      </c>
      <c r="J3607" s="126" t="s">
        <v>571</v>
      </c>
      <c r="K3607" s="126" t="s">
        <v>5768</v>
      </c>
      <c r="L3607" s="126"/>
      <c r="M3607" s="126">
        <v>632137</v>
      </c>
      <c r="N3607" s="111"/>
      <c r="O3607" s="28"/>
      <c r="P3607" s="28"/>
      <c r="Q3607" s="28"/>
    </row>
    <row r="3608" spans="1:17" ht="24.9" customHeight="1">
      <c r="A3608" s="20">
        <v>461</v>
      </c>
      <c r="B3608" s="20" t="s">
        <v>4353</v>
      </c>
      <c r="C3608" s="19">
        <v>26</v>
      </c>
      <c r="D3608" s="20" t="s">
        <v>5772</v>
      </c>
      <c r="E3608" s="19" t="str">
        <f>VLOOKUP(D3608,'لیست پرسنل'!$B$2:$E$1020,3,FALSE)</f>
        <v>کارفرما</v>
      </c>
      <c r="F3608" s="19" t="str">
        <f>VLOOKUP(D3608,'لیست پرسنل'!$B$2:$E$1020,4,FALSE)</f>
        <v>کارفرما بردسیر</v>
      </c>
      <c r="G3608" s="127">
        <f>VLOOKUP(D3608,'لیست پرسنل'!$B$2:$F$1020,2,FALSE)</f>
        <v>0</v>
      </c>
      <c r="H3608" s="126" t="s">
        <v>4070</v>
      </c>
      <c r="I3608" s="127" t="s">
        <v>5776</v>
      </c>
      <c r="J3608" s="128" t="s">
        <v>2686</v>
      </c>
      <c r="K3608" s="127" t="s">
        <v>2143</v>
      </c>
      <c r="L3608" s="127" t="s">
        <v>2262</v>
      </c>
      <c r="M3608" s="127">
        <v>628653</v>
      </c>
      <c r="N3608" s="108"/>
      <c r="O3608" s="20" t="s">
        <v>705</v>
      </c>
      <c r="P3608" s="20"/>
      <c r="Q3608" s="20"/>
    </row>
    <row r="3609" spans="1:17" ht="24.9" customHeight="1">
      <c r="A3609" s="20">
        <v>461</v>
      </c>
      <c r="B3609" s="20" t="s">
        <v>4353</v>
      </c>
      <c r="C3609" s="19">
        <v>27</v>
      </c>
      <c r="D3609" s="20" t="s">
        <v>5773</v>
      </c>
      <c r="E3609" s="19" t="str">
        <f>VLOOKUP(D3609,'لیست پرسنل'!$B$2:$E$1020,3,FALSE)</f>
        <v>کارفرما</v>
      </c>
      <c r="F3609" s="19" t="str">
        <f>VLOOKUP(D3609,'لیست پرسنل'!$B$2:$E$1020,4,FALSE)</f>
        <v>کارفرما بردسیر</v>
      </c>
      <c r="G3609" s="127">
        <f>VLOOKUP(D3609,'لیست پرسنل'!$B$2:$F$1020,2,FALSE)</f>
        <v>0</v>
      </c>
      <c r="H3609" s="126" t="s">
        <v>4070</v>
      </c>
      <c r="I3609" s="127" t="s">
        <v>5777</v>
      </c>
      <c r="J3609" s="126" t="s">
        <v>368</v>
      </c>
      <c r="K3609" s="135" t="s">
        <v>8248</v>
      </c>
      <c r="L3609" s="127" t="s">
        <v>2511</v>
      </c>
      <c r="M3609" s="128">
        <v>628923</v>
      </c>
      <c r="N3609" s="108"/>
      <c r="O3609" s="20" t="s">
        <v>705</v>
      </c>
      <c r="P3609" s="20"/>
      <c r="Q3609" s="20"/>
    </row>
    <row r="3610" spans="1:17" ht="24.9" customHeight="1">
      <c r="A3610" s="20">
        <v>461</v>
      </c>
      <c r="B3610" s="20" t="s">
        <v>4353</v>
      </c>
      <c r="C3610" s="19">
        <v>27</v>
      </c>
      <c r="D3610" s="20" t="s">
        <v>5773</v>
      </c>
      <c r="E3610" s="19" t="str">
        <f>VLOOKUP(D3610,'لیست پرسنل'!$B$2:$E$1020,3,FALSE)</f>
        <v>کارفرما</v>
      </c>
      <c r="F3610" s="19" t="str">
        <f>VLOOKUP(D3610,'لیست پرسنل'!$B$2:$E$1020,4,FALSE)</f>
        <v>کارفرما بردسیر</v>
      </c>
      <c r="G3610" s="127">
        <f>VLOOKUP(D3610,'لیست پرسنل'!$B$2:$F$1020,2,FALSE)</f>
        <v>0</v>
      </c>
      <c r="H3610" s="126" t="s">
        <v>4070</v>
      </c>
      <c r="I3610" s="127" t="s">
        <v>5777</v>
      </c>
      <c r="J3610" s="126" t="s">
        <v>571</v>
      </c>
      <c r="K3610" s="126" t="s">
        <v>5768</v>
      </c>
      <c r="L3610" s="126"/>
      <c r="M3610" s="126">
        <v>632138</v>
      </c>
      <c r="N3610" s="111"/>
      <c r="O3610" s="28"/>
      <c r="P3610" s="28"/>
      <c r="Q3610" s="28"/>
    </row>
    <row r="3611" spans="1:17" ht="24.9" customHeight="1">
      <c r="A3611" s="20">
        <v>461</v>
      </c>
      <c r="B3611" s="20" t="s">
        <v>4353</v>
      </c>
      <c r="C3611" s="19">
        <v>27</v>
      </c>
      <c r="D3611" s="20" t="s">
        <v>5773</v>
      </c>
      <c r="E3611" s="19" t="str">
        <f>VLOOKUP(D3611,'لیست پرسنل'!$B$2:$E$1020,3,FALSE)</f>
        <v>کارفرما</v>
      </c>
      <c r="F3611" s="19" t="str">
        <f>VLOOKUP(D3611,'لیست پرسنل'!$B$2:$E$1020,4,FALSE)</f>
        <v>کارفرما بردسیر</v>
      </c>
      <c r="G3611" s="127">
        <f>VLOOKUP(D3611,'لیست پرسنل'!$B$2:$F$1020,2,FALSE)</f>
        <v>0</v>
      </c>
      <c r="H3611" s="126" t="s">
        <v>4070</v>
      </c>
      <c r="I3611" s="127" t="s">
        <v>5777</v>
      </c>
      <c r="J3611" s="128" t="s">
        <v>2686</v>
      </c>
      <c r="K3611" s="127" t="s">
        <v>2143</v>
      </c>
      <c r="L3611" s="127" t="s">
        <v>2249</v>
      </c>
      <c r="M3611" s="127">
        <v>628640</v>
      </c>
      <c r="N3611" s="108"/>
      <c r="O3611" s="20" t="s">
        <v>705</v>
      </c>
      <c r="P3611" s="20"/>
      <c r="Q3611" s="20"/>
    </row>
    <row r="3612" spans="1:17" ht="24.9" customHeight="1">
      <c r="A3612" s="20">
        <v>461</v>
      </c>
      <c r="B3612" s="20" t="s">
        <v>4353</v>
      </c>
      <c r="C3612" s="19">
        <v>28</v>
      </c>
      <c r="D3612" s="20" t="s">
        <v>5774</v>
      </c>
      <c r="E3612" s="19" t="str">
        <f>VLOOKUP(D3612,'لیست پرسنل'!$B$2:$E$1020,3,FALSE)</f>
        <v>کارفرما</v>
      </c>
      <c r="F3612" s="19" t="str">
        <f>VLOOKUP(D3612,'لیست پرسنل'!$B$2:$E$1020,4,FALSE)</f>
        <v>کارفرما بردسیر</v>
      </c>
      <c r="G3612" s="127">
        <f>VLOOKUP(D3612,'لیست پرسنل'!$B$2:$F$1020,2,FALSE)</f>
        <v>0</v>
      </c>
      <c r="H3612" s="126" t="s">
        <v>4070</v>
      </c>
      <c r="I3612" s="127" t="s">
        <v>5778</v>
      </c>
      <c r="J3612" s="126" t="s">
        <v>368</v>
      </c>
      <c r="K3612" s="135" t="s">
        <v>8248</v>
      </c>
      <c r="L3612" s="127" t="s">
        <v>2353</v>
      </c>
      <c r="M3612" s="128">
        <v>628759</v>
      </c>
      <c r="N3612" s="108"/>
      <c r="O3612" s="20" t="s">
        <v>705</v>
      </c>
      <c r="P3612" s="20"/>
      <c r="Q3612" s="20"/>
    </row>
    <row r="3613" spans="1:17" ht="24.9" customHeight="1">
      <c r="A3613" s="20">
        <v>461</v>
      </c>
      <c r="B3613" s="20" t="s">
        <v>4353</v>
      </c>
      <c r="C3613" s="19">
        <v>28</v>
      </c>
      <c r="D3613" s="20" t="s">
        <v>5774</v>
      </c>
      <c r="E3613" s="19" t="str">
        <f>VLOOKUP(D3613,'لیست پرسنل'!$B$2:$E$1020,3,FALSE)</f>
        <v>کارفرما</v>
      </c>
      <c r="F3613" s="19" t="str">
        <f>VLOOKUP(D3613,'لیست پرسنل'!$B$2:$E$1020,4,FALSE)</f>
        <v>کارفرما بردسیر</v>
      </c>
      <c r="G3613" s="127">
        <f>VLOOKUP(D3613,'لیست پرسنل'!$B$2:$F$1020,2,FALSE)</f>
        <v>0</v>
      </c>
      <c r="H3613" s="126" t="s">
        <v>4070</v>
      </c>
      <c r="I3613" s="127" t="s">
        <v>5778</v>
      </c>
      <c r="J3613" s="126" t="s">
        <v>571</v>
      </c>
      <c r="K3613" s="126" t="s">
        <v>5768</v>
      </c>
      <c r="L3613" s="126"/>
      <c r="M3613" s="126">
        <v>632128</v>
      </c>
      <c r="N3613" s="111"/>
      <c r="O3613" s="28"/>
      <c r="P3613" s="28"/>
      <c r="Q3613" s="28"/>
    </row>
    <row r="3614" spans="1:17" ht="24.9" customHeight="1">
      <c r="A3614" s="20">
        <v>461</v>
      </c>
      <c r="B3614" s="20" t="s">
        <v>4353</v>
      </c>
      <c r="C3614" s="19">
        <v>28</v>
      </c>
      <c r="D3614" s="20" t="s">
        <v>5774</v>
      </c>
      <c r="E3614" s="19" t="str">
        <f>VLOOKUP(D3614,'لیست پرسنل'!$B$2:$E$1020,3,FALSE)</f>
        <v>کارفرما</v>
      </c>
      <c r="F3614" s="19" t="str">
        <f>VLOOKUP(D3614,'لیست پرسنل'!$B$2:$E$1020,4,FALSE)</f>
        <v>کارفرما بردسیر</v>
      </c>
      <c r="G3614" s="127">
        <f>VLOOKUP(D3614,'لیست پرسنل'!$B$2:$F$1020,2,FALSE)</f>
        <v>0</v>
      </c>
      <c r="H3614" s="126" t="s">
        <v>4070</v>
      </c>
      <c r="I3614" s="127" t="s">
        <v>5778</v>
      </c>
      <c r="J3614" s="128" t="s">
        <v>2686</v>
      </c>
      <c r="K3614" s="127" t="s">
        <v>2143</v>
      </c>
      <c r="L3614" s="127" t="s">
        <v>2257</v>
      </c>
      <c r="M3614" s="127">
        <v>628648</v>
      </c>
      <c r="N3614" s="108"/>
      <c r="O3614" s="20" t="s">
        <v>705</v>
      </c>
      <c r="P3614" s="20"/>
      <c r="Q3614" s="20"/>
    </row>
    <row r="3615" spans="1:17" ht="24.9" customHeight="1">
      <c r="A3615" s="20">
        <v>461</v>
      </c>
      <c r="B3615" s="20" t="s">
        <v>4353</v>
      </c>
      <c r="C3615" s="19">
        <v>29</v>
      </c>
      <c r="D3615" s="20" t="s">
        <v>5860</v>
      </c>
      <c r="E3615" s="19" t="str">
        <f>VLOOKUP(D3615,'لیست پرسنل'!$B$2:$E$1020,3,FALSE)</f>
        <v>نظارت برسو</v>
      </c>
      <c r="F3615" s="19" t="str">
        <f>VLOOKUP(D3615,'لیست پرسنل'!$B$2:$E$1020,4,FALSE)</f>
        <v>نظارت</v>
      </c>
      <c r="G3615" s="127" t="str">
        <f>VLOOKUP(D3615,'لیست پرسنل'!$B$2:$F$1020,2,FALSE)</f>
        <v>0</v>
      </c>
      <c r="H3615" s="128" t="s">
        <v>4084</v>
      </c>
      <c r="I3615" s="128" t="s">
        <v>5861</v>
      </c>
      <c r="J3615" s="126" t="s">
        <v>368</v>
      </c>
      <c r="K3615" s="135" t="s">
        <v>8248</v>
      </c>
      <c r="L3615" s="127" t="s">
        <v>2297</v>
      </c>
      <c r="M3615" s="128">
        <v>628703</v>
      </c>
      <c r="N3615" s="108"/>
      <c r="O3615" s="20" t="s">
        <v>705</v>
      </c>
      <c r="P3615" s="20"/>
      <c r="Q3615" s="20"/>
    </row>
    <row r="3616" spans="1:17" ht="24.9" customHeight="1">
      <c r="A3616" s="20">
        <v>461</v>
      </c>
      <c r="B3616" s="20" t="s">
        <v>4353</v>
      </c>
      <c r="C3616" s="19">
        <v>29</v>
      </c>
      <c r="D3616" s="20" t="s">
        <v>5860</v>
      </c>
      <c r="E3616" s="19" t="str">
        <f>VLOOKUP(D3616,'لیست پرسنل'!$B$2:$E$1020,3,FALSE)</f>
        <v>نظارت برسو</v>
      </c>
      <c r="F3616" s="19" t="str">
        <f>VLOOKUP(D3616,'لیست پرسنل'!$B$2:$E$1020,4,FALSE)</f>
        <v>نظارت</v>
      </c>
      <c r="G3616" s="127" t="str">
        <f>VLOOKUP(D3616,'لیست پرسنل'!$B$2:$F$1020,2,FALSE)</f>
        <v>0</v>
      </c>
      <c r="H3616" s="128" t="s">
        <v>4084</v>
      </c>
      <c r="I3616" s="128" t="s">
        <v>5861</v>
      </c>
      <c r="J3616" s="126" t="s">
        <v>571</v>
      </c>
      <c r="K3616" s="126" t="s">
        <v>5768</v>
      </c>
      <c r="L3616" s="126"/>
      <c r="M3616" s="126">
        <v>632135</v>
      </c>
      <c r="N3616" s="111"/>
      <c r="O3616" s="28"/>
      <c r="P3616" s="28"/>
      <c r="Q3616" s="28"/>
    </row>
    <row r="3617" spans="1:17" ht="24.9" customHeight="1">
      <c r="A3617" s="20">
        <v>461</v>
      </c>
      <c r="B3617" s="20" t="s">
        <v>4353</v>
      </c>
      <c r="C3617" s="19">
        <v>29</v>
      </c>
      <c r="D3617" s="20" t="s">
        <v>5860</v>
      </c>
      <c r="E3617" s="19" t="str">
        <f>VLOOKUP(D3617,'لیست پرسنل'!$B$2:$E$1020,3,FALSE)</f>
        <v>نظارت برسو</v>
      </c>
      <c r="F3617" s="19" t="str">
        <f>VLOOKUP(D3617,'لیست پرسنل'!$B$2:$E$1020,4,FALSE)</f>
        <v>نظارت</v>
      </c>
      <c r="G3617" s="127" t="str">
        <f>VLOOKUP(D3617,'لیست پرسنل'!$B$2:$F$1020,2,FALSE)</f>
        <v>0</v>
      </c>
      <c r="H3617" s="128" t="s">
        <v>4084</v>
      </c>
      <c r="I3617" s="128" t="s">
        <v>5861</v>
      </c>
      <c r="J3617" s="128" t="s">
        <v>2686</v>
      </c>
      <c r="K3617" s="128" t="s">
        <v>890</v>
      </c>
      <c r="L3617" s="151" t="s">
        <v>1239</v>
      </c>
      <c r="M3617" s="128">
        <v>601857</v>
      </c>
      <c r="N3617" s="108"/>
      <c r="O3617" s="86"/>
      <c r="P3617" s="20"/>
      <c r="Q3617" s="20"/>
    </row>
    <row r="3618" spans="1:17" ht="24.9" customHeight="1">
      <c r="A3618" s="20">
        <v>461</v>
      </c>
      <c r="B3618" s="20" t="s">
        <v>4353</v>
      </c>
      <c r="C3618" s="20">
        <v>30</v>
      </c>
      <c r="D3618" s="20" t="s">
        <v>6231</v>
      </c>
      <c r="E3618" s="19" t="str">
        <f>VLOOKUP(D3618,'لیست پرسنل'!$B$2:$E$1020,3,FALSE)</f>
        <v xml:space="preserve">شرکت برسو </v>
      </c>
      <c r="F3618" s="19" t="str">
        <f>VLOOKUP(D3618,'لیست پرسنل'!$B$2:$E$1020,4,FALSE)</f>
        <v>نظارت کارفرما</v>
      </c>
      <c r="G3618" s="127">
        <f>VLOOKUP(D3618,'لیست پرسنل'!$B$2:$F$1020,2,FALSE)</f>
        <v>0</v>
      </c>
      <c r="H3618" s="128" t="s">
        <v>4084</v>
      </c>
      <c r="I3618" s="128" t="s">
        <v>5871</v>
      </c>
      <c r="J3618" s="128" t="s">
        <v>368</v>
      </c>
      <c r="K3618" s="128" t="s">
        <v>2846</v>
      </c>
      <c r="L3618" s="128" t="s">
        <v>2045</v>
      </c>
      <c r="M3618" s="127">
        <v>627206</v>
      </c>
      <c r="N3618" s="108"/>
      <c r="O3618" s="20" t="s">
        <v>2793</v>
      </c>
      <c r="P3618" s="20"/>
      <c r="Q3618" s="20"/>
    </row>
    <row r="3619" spans="1:17" ht="24.9" customHeight="1">
      <c r="A3619" s="20">
        <v>461</v>
      </c>
      <c r="B3619" s="20" t="s">
        <v>4353</v>
      </c>
      <c r="C3619" s="20">
        <v>30</v>
      </c>
      <c r="D3619" s="20" t="s">
        <v>6231</v>
      </c>
      <c r="E3619" s="19" t="str">
        <f>VLOOKUP(D3619,'لیست پرسنل'!$B$2:$E$1020,3,FALSE)</f>
        <v xml:space="preserve">شرکت برسو </v>
      </c>
      <c r="F3619" s="19" t="str">
        <f>VLOOKUP(D3619,'لیست پرسنل'!$B$2:$E$1020,4,FALSE)</f>
        <v>نظارت کارفرما</v>
      </c>
      <c r="G3619" s="127">
        <f>VLOOKUP(D3619,'لیست پرسنل'!$B$2:$F$1020,2,FALSE)</f>
        <v>0</v>
      </c>
      <c r="H3619" s="128" t="s">
        <v>4084</v>
      </c>
      <c r="I3619" s="128" t="s">
        <v>5871</v>
      </c>
      <c r="J3619" s="128" t="s">
        <v>571</v>
      </c>
      <c r="K3619" s="128" t="s">
        <v>5768</v>
      </c>
      <c r="L3619" s="128"/>
      <c r="M3619" s="126">
        <v>632131</v>
      </c>
      <c r="N3619" s="111"/>
      <c r="O3619" s="28"/>
      <c r="P3619" s="28"/>
      <c r="Q3619" s="28"/>
    </row>
    <row r="3620" spans="1:17" ht="24.9" customHeight="1">
      <c r="A3620" s="20">
        <v>461</v>
      </c>
      <c r="B3620" s="20" t="s">
        <v>4353</v>
      </c>
      <c r="C3620" s="20">
        <v>30</v>
      </c>
      <c r="D3620" s="20" t="s">
        <v>6231</v>
      </c>
      <c r="E3620" s="19" t="str">
        <f>VLOOKUP(D3620,'لیست پرسنل'!$B$2:$E$1020,3,FALSE)</f>
        <v xml:space="preserve">شرکت برسو </v>
      </c>
      <c r="F3620" s="19" t="str">
        <f>VLOOKUP(D3620,'لیست پرسنل'!$B$2:$E$1020,4,FALSE)</f>
        <v>نظارت کارفرما</v>
      </c>
      <c r="G3620" s="127">
        <f>VLOOKUP(D3620,'لیست پرسنل'!$B$2:$F$1020,2,FALSE)</f>
        <v>0</v>
      </c>
      <c r="H3620" s="128" t="s">
        <v>4084</v>
      </c>
      <c r="I3620" s="128" t="s">
        <v>5871</v>
      </c>
      <c r="J3620" s="128" t="s">
        <v>2686</v>
      </c>
      <c r="K3620" s="128" t="s">
        <v>2922</v>
      </c>
      <c r="L3620" s="128" t="s">
        <v>2934</v>
      </c>
      <c r="M3620" s="128">
        <v>626411</v>
      </c>
      <c r="N3620" s="108"/>
      <c r="O3620" s="20" t="s">
        <v>705</v>
      </c>
      <c r="P3620" s="20"/>
      <c r="Q3620" s="20"/>
    </row>
    <row r="3621" spans="1:17" ht="24.9" customHeight="1">
      <c r="A3621" s="20">
        <v>461</v>
      </c>
      <c r="B3621" s="20" t="s">
        <v>4353</v>
      </c>
      <c r="C3621" s="20">
        <v>31</v>
      </c>
      <c r="D3621" s="20" t="s">
        <v>4706</v>
      </c>
      <c r="E3621" s="19" t="str">
        <f>VLOOKUP(D3621,'لیست پرسنل'!$B$2:$E$1020,3,FALSE)</f>
        <v>کارفرما</v>
      </c>
      <c r="F3621" s="19" t="str">
        <f>VLOOKUP(D3621,'لیست پرسنل'!$B$2:$E$1020,4,FALSE)</f>
        <v>مدیر پروژه کارفرما</v>
      </c>
      <c r="G3621" s="127" t="str">
        <f>VLOOKUP(D3621,'لیست پرسنل'!$B$2:$F$1020,2,FALSE)</f>
        <v>0</v>
      </c>
      <c r="H3621" s="126" t="s">
        <v>4070</v>
      </c>
      <c r="I3621" s="128" t="s">
        <v>6122</v>
      </c>
      <c r="J3621" s="128" t="s">
        <v>3889</v>
      </c>
      <c r="K3621" s="128" t="s">
        <v>6124</v>
      </c>
      <c r="L3621" s="134" t="s">
        <v>6123</v>
      </c>
      <c r="M3621" s="128">
        <v>632491</v>
      </c>
      <c r="N3621" s="108"/>
      <c r="O3621" s="20"/>
      <c r="P3621" s="20"/>
      <c r="Q3621" s="20"/>
    </row>
    <row r="3622" spans="1:17" ht="24.9" customHeight="1">
      <c r="A3622" s="20">
        <v>461</v>
      </c>
      <c r="B3622" s="20" t="s">
        <v>4353</v>
      </c>
      <c r="C3622" s="20">
        <v>32</v>
      </c>
      <c r="D3622" s="20" t="s">
        <v>6199</v>
      </c>
      <c r="E3622" s="19" t="str">
        <f>VLOOKUP(D3622,'لیست پرسنل'!$B$2:$E$1020,3,FALSE)</f>
        <v>کارفرما</v>
      </c>
      <c r="F3622" s="19" t="str">
        <f>VLOOKUP(D3622,'لیست پرسنل'!$B$2:$E$1020,4,FALSE)</f>
        <v>کارفرما</v>
      </c>
      <c r="G3622" s="127" t="str">
        <f>VLOOKUP(D3622,'لیست پرسنل'!$B$2:$F$1020,2,FALSE)</f>
        <v>0</v>
      </c>
      <c r="H3622" s="128" t="s">
        <v>4070</v>
      </c>
      <c r="I3622" s="128" t="s">
        <v>6198</v>
      </c>
      <c r="J3622" s="126" t="s">
        <v>368</v>
      </c>
      <c r="K3622" s="128" t="s">
        <v>2846</v>
      </c>
      <c r="L3622" s="152" t="s">
        <v>2046</v>
      </c>
      <c r="M3622" s="128">
        <v>627204</v>
      </c>
      <c r="N3622" s="108"/>
      <c r="O3622" s="20"/>
      <c r="P3622" s="20"/>
      <c r="Q3622" s="20"/>
    </row>
    <row r="3623" spans="1:17" ht="24.9" customHeight="1">
      <c r="A3623" s="20">
        <v>461</v>
      </c>
      <c r="B3623" s="20" t="s">
        <v>4353</v>
      </c>
      <c r="C3623" s="20">
        <v>32</v>
      </c>
      <c r="D3623" s="20" t="s">
        <v>6199</v>
      </c>
      <c r="E3623" s="19" t="str">
        <f>VLOOKUP(D3623,'لیست پرسنل'!$B$2:$E$1020,3,FALSE)</f>
        <v>کارفرما</v>
      </c>
      <c r="F3623" s="19" t="str">
        <f>VLOOKUP(D3623,'لیست پرسنل'!$B$2:$E$1020,4,FALSE)</f>
        <v>کارفرما</v>
      </c>
      <c r="G3623" s="127" t="str">
        <f>VLOOKUP(D3623,'لیست پرسنل'!$B$2:$F$1020,2,FALSE)</f>
        <v>0</v>
      </c>
      <c r="H3623" s="128" t="s">
        <v>4070</v>
      </c>
      <c r="I3623" s="128" t="s">
        <v>6198</v>
      </c>
      <c r="J3623" s="128" t="s">
        <v>571</v>
      </c>
      <c r="K3623" s="128" t="s">
        <v>5768</v>
      </c>
      <c r="L3623" s="128"/>
      <c r="M3623" s="126">
        <v>632130</v>
      </c>
      <c r="N3623" s="111"/>
      <c r="O3623" s="28"/>
      <c r="P3623" s="28"/>
      <c r="Q3623" s="28"/>
    </row>
    <row r="3624" spans="1:17" ht="24.9" customHeight="1">
      <c r="A3624" s="20">
        <v>461</v>
      </c>
      <c r="B3624" s="20" t="s">
        <v>4353</v>
      </c>
      <c r="C3624" s="20">
        <v>32</v>
      </c>
      <c r="D3624" s="20" t="s">
        <v>6199</v>
      </c>
      <c r="E3624" s="19" t="str">
        <f>VLOOKUP(D3624,'لیست پرسنل'!$B$2:$E$1020,3,FALSE)</f>
        <v>کارفرما</v>
      </c>
      <c r="F3624" s="19" t="str">
        <f>VLOOKUP(D3624,'لیست پرسنل'!$B$2:$E$1020,4,FALSE)</f>
        <v>کارفرما</v>
      </c>
      <c r="G3624" s="127" t="str">
        <f>VLOOKUP(D3624,'لیست پرسنل'!$B$2:$F$1020,2,FALSE)</f>
        <v>0</v>
      </c>
      <c r="H3624" s="128" t="s">
        <v>4070</v>
      </c>
      <c r="I3624" s="128" t="s">
        <v>6198</v>
      </c>
      <c r="J3624" s="128" t="s">
        <v>2686</v>
      </c>
      <c r="K3624" s="128" t="s">
        <v>327</v>
      </c>
      <c r="L3624" s="151" t="s">
        <v>359</v>
      </c>
      <c r="M3624" s="128">
        <v>610933</v>
      </c>
      <c r="N3624" s="108"/>
      <c r="O3624" s="20"/>
      <c r="P3624" s="20"/>
      <c r="Q3624" s="20"/>
    </row>
    <row r="3625" spans="1:17" ht="24.9" customHeight="1">
      <c r="A3625" s="20">
        <v>461</v>
      </c>
      <c r="B3625" s="20" t="s">
        <v>4353</v>
      </c>
      <c r="C3625" s="19">
        <v>33</v>
      </c>
      <c r="D3625" s="20" t="s">
        <v>5870</v>
      </c>
      <c r="E3625" s="19" t="str">
        <f>VLOOKUP(D3625,'لیست پرسنل'!$B$2:$E$1020,3,FALSE)</f>
        <v>نظارت کارفرما</v>
      </c>
      <c r="F3625" s="19" t="str">
        <f>VLOOKUP(D3625,'لیست پرسنل'!$B$2:$E$1020,4,FALSE)</f>
        <v>ایمنی</v>
      </c>
      <c r="G3625" s="127" t="str">
        <f>VLOOKUP(D3625,'لیست پرسنل'!$B$2:$F$1020,2,FALSE)</f>
        <v>0</v>
      </c>
      <c r="H3625" s="128" t="s">
        <v>4084</v>
      </c>
      <c r="I3625" s="127" t="s">
        <v>6559</v>
      </c>
      <c r="J3625" s="126" t="s">
        <v>368</v>
      </c>
      <c r="K3625" s="135" t="s">
        <v>8248</v>
      </c>
      <c r="L3625" s="127" t="s">
        <v>2300</v>
      </c>
      <c r="M3625" s="128">
        <v>628706</v>
      </c>
      <c r="N3625" s="108"/>
      <c r="O3625" s="20" t="s">
        <v>705</v>
      </c>
      <c r="P3625" s="20"/>
      <c r="Q3625" s="20"/>
    </row>
    <row r="3626" spans="1:17" ht="24.9" customHeight="1">
      <c r="A3626" s="20">
        <v>461</v>
      </c>
      <c r="B3626" s="20" t="s">
        <v>4353</v>
      </c>
      <c r="C3626" s="19">
        <v>33</v>
      </c>
      <c r="D3626" s="20" t="s">
        <v>5870</v>
      </c>
      <c r="E3626" s="19" t="str">
        <f>VLOOKUP(D3626,'لیست پرسنل'!$B$2:$E$1020,3,FALSE)</f>
        <v>نظارت کارفرما</v>
      </c>
      <c r="F3626" s="19" t="str">
        <f>VLOOKUP(D3626,'لیست پرسنل'!$B$2:$E$1020,4,FALSE)</f>
        <v>ایمنی</v>
      </c>
      <c r="G3626" s="127" t="str">
        <f>VLOOKUP(D3626,'لیست پرسنل'!$B$2:$F$1020,2,FALSE)</f>
        <v>0</v>
      </c>
      <c r="H3626" s="128" t="s">
        <v>4084</v>
      </c>
      <c r="I3626" s="127" t="s">
        <v>6559</v>
      </c>
      <c r="J3626" s="126" t="s">
        <v>571</v>
      </c>
      <c r="K3626" s="126" t="s">
        <v>5768</v>
      </c>
      <c r="L3626" s="126"/>
      <c r="M3626" s="126">
        <v>632139</v>
      </c>
      <c r="N3626" s="111"/>
      <c r="O3626" s="20"/>
      <c r="P3626" s="28"/>
      <c r="Q3626" s="28"/>
    </row>
    <row r="3627" spans="1:17" ht="24.9" customHeight="1">
      <c r="A3627" s="20">
        <v>461</v>
      </c>
      <c r="B3627" s="20" t="s">
        <v>4353</v>
      </c>
      <c r="C3627" s="19">
        <v>33</v>
      </c>
      <c r="D3627" s="20" t="s">
        <v>5870</v>
      </c>
      <c r="E3627" s="19" t="str">
        <f>VLOOKUP(D3627,'لیست پرسنل'!$B$2:$E$1020,3,FALSE)</f>
        <v>نظارت کارفرما</v>
      </c>
      <c r="F3627" s="19" t="str">
        <f>VLOOKUP(D3627,'لیست پرسنل'!$B$2:$E$1020,4,FALSE)</f>
        <v>ایمنی</v>
      </c>
      <c r="G3627" s="127" t="str">
        <f>VLOOKUP(D3627,'لیست پرسنل'!$B$2:$F$1020,2,FALSE)</f>
        <v>0</v>
      </c>
      <c r="H3627" s="128" t="s">
        <v>4084</v>
      </c>
      <c r="I3627" s="127" t="s">
        <v>6559</v>
      </c>
      <c r="J3627" s="128" t="s">
        <v>2686</v>
      </c>
      <c r="K3627" s="128" t="s">
        <v>890</v>
      </c>
      <c r="L3627" s="151" t="s">
        <v>1409</v>
      </c>
      <c r="M3627" s="127">
        <v>607809</v>
      </c>
      <c r="N3627" s="108"/>
      <c r="O3627" s="20" t="s">
        <v>4652</v>
      </c>
      <c r="P3627" s="20"/>
      <c r="Q3627" s="20"/>
    </row>
    <row r="3628" spans="1:17" ht="24.9" customHeight="1">
      <c r="A3628" s="20">
        <v>461</v>
      </c>
      <c r="B3628" s="20" t="s">
        <v>4353</v>
      </c>
      <c r="C3628" s="20">
        <v>34</v>
      </c>
      <c r="D3628" s="20" t="s">
        <v>6562</v>
      </c>
      <c r="E3628" s="19" t="str">
        <f>VLOOKUP(D3628,'لیست پرسنل'!$B$2:$E$1020,3,FALSE)</f>
        <v>نظارت برسو</v>
      </c>
      <c r="F3628" s="19" t="str">
        <f>VLOOKUP(D3628,'لیست پرسنل'!$B$2:$E$1020,4,FALSE)</f>
        <v>نظارت برسو</v>
      </c>
      <c r="G3628" s="127" t="str">
        <f>VLOOKUP(D3628,'لیست پرسنل'!$B$2:$F$1020,2,FALSE)</f>
        <v>0</v>
      </c>
      <c r="H3628" s="128" t="s">
        <v>4084</v>
      </c>
      <c r="I3628" s="128" t="s">
        <v>6561</v>
      </c>
      <c r="J3628" s="126" t="s">
        <v>368</v>
      </c>
      <c r="K3628" s="128" t="s">
        <v>2846</v>
      </c>
      <c r="L3628" s="127" t="s">
        <v>1738</v>
      </c>
      <c r="M3628" s="128">
        <v>625689</v>
      </c>
      <c r="N3628" s="108" t="s">
        <v>8261</v>
      </c>
      <c r="O3628" s="20"/>
      <c r="P3628" s="20"/>
      <c r="Q3628" s="20"/>
    </row>
    <row r="3629" spans="1:17" ht="24.9" customHeight="1">
      <c r="A3629" s="20">
        <v>461</v>
      </c>
      <c r="B3629" s="20" t="s">
        <v>4353</v>
      </c>
      <c r="C3629" s="20">
        <v>34</v>
      </c>
      <c r="D3629" s="20" t="s">
        <v>6562</v>
      </c>
      <c r="E3629" s="19" t="str">
        <f>VLOOKUP(D3629,'لیست پرسنل'!$B$2:$E$1020,3,FALSE)</f>
        <v>نظارت برسو</v>
      </c>
      <c r="F3629" s="19" t="str">
        <f>VLOOKUP(D3629,'لیست پرسنل'!$B$2:$E$1020,4,FALSE)</f>
        <v>نظارت برسو</v>
      </c>
      <c r="G3629" s="127" t="str">
        <f>VLOOKUP(D3629,'لیست پرسنل'!$B$2:$F$1020,2,FALSE)</f>
        <v>0</v>
      </c>
      <c r="H3629" s="128" t="s">
        <v>4084</v>
      </c>
      <c r="I3629" s="128" t="s">
        <v>6561</v>
      </c>
      <c r="J3629" s="128" t="s">
        <v>571</v>
      </c>
      <c r="K3629" s="128"/>
      <c r="L3629" s="152"/>
      <c r="M3629" s="128">
        <v>625418</v>
      </c>
      <c r="N3629" s="108" t="s">
        <v>8261</v>
      </c>
      <c r="O3629" s="20"/>
      <c r="P3629" s="20"/>
      <c r="Q3629" s="20"/>
    </row>
    <row r="3630" spans="1:17" ht="24.9" customHeight="1">
      <c r="A3630" s="20">
        <v>461</v>
      </c>
      <c r="B3630" s="20" t="s">
        <v>4353</v>
      </c>
      <c r="C3630" s="20">
        <v>34</v>
      </c>
      <c r="D3630" s="20" t="s">
        <v>6562</v>
      </c>
      <c r="E3630" s="19" t="str">
        <f>VLOOKUP(D3630,'لیست پرسنل'!$B$2:$E$1020,3,FALSE)</f>
        <v>نظارت برسو</v>
      </c>
      <c r="F3630" s="19" t="str">
        <f>VLOOKUP(D3630,'لیست پرسنل'!$B$2:$E$1020,4,FALSE)</f>
        <v>نظارت برسو</v>
      </c>
      <c r="G3630" s="127" t="str">
        <f>VLOOKUP(D3630,'لیست پرسنل'!$B$2:$F$1020,2,FALSE)</f>
        <v>0</v>
      </c>
      <c r="H3630" s="128" t="s">
        <v>4084</v>
      </c>
      <c r="I3630" s="128" t="s">
        <v>6561</v>
      </c>
      <c r="J3630" s="128" t="s">
        <v>2686</v>
      </c>
      <c r="K3630" s="128" t="s">
        <v>721</v>
      </c>
      <c r="L3630" s="151" t="s">
        <v>1985</v>
      </c>
      <c r="M3630" s="127">
        <v>633602</v>
      </c>
      <c r="N3630" s="109" t="s">
        <v>8261</v>
      </c>
      <c r="O3630" s="19" t="s">
        <v>6264</v>
      </c>
      <c r="P3630" s="32"/>
      <c r="Q3630" s="32"/>
    </row>
    <row r="3631" spans="1:17" ht="24.9" customHeight="1">
      <c r="A3631" s="20">
        <v>461</v>
      </c>
      <c r="B3631" s="20" t="s">
        <v>4353</v>
      </c>
      <c r="C3631" s="20">
        <v>35</v>
      </c>
      <c r="D3631" s="20" t="s">
        <v>6893</v>
      </c>
      <c r="E3631" s="19" t="str">
        <f>VLOOKUP(D3631,'لیست پرسنل'!$B$2:$E$1020,3,FALSE)</f>
        <v>نظارت برسو</v>
      </c>
      <c r="F3631" s="19" t="str">
        <f>VLOOKUP(D3631,'لیست پرسنل'!$B$2:$E$1020,4,FALSE)</f>
        <v>نظارت برسو</v>
      </c>
      <c r="G3631" s="127" t="str">
        <f>VLOOKUP(D3631,'لیست پرسنل'!$B$2:$F$1020,2,FALSE)</f>
        <v>0</v>
      </c>
      <c r="H3631" s="128" t="s">
        <v>4084</v>
      </c>
      <c r="I3631" s="128" t="s">
        <v>6898</v>
      </c>
      <c r="J3631" s="128" t="s">
        <v>368</v>
      </c>
      <c r="K3631" s="128" t="s">
        <v>2846</v>
      </c>
      <c r="L3631" s="128" t="s">
        <v>4756</v>
      </c>
      <c r="M3631" s="127">
        <v>633755</v>
      </c>
      <c r="N3631" s="109"/>
      <c r="O3631" s="19" t="s">
        <v>6411</v>
      </c>
      <c r="P3631" s="32"/>
      <c r="Q3631" s="32"/>
    </row>
    <row r="3632" spans="1:17" ht="24.9" customHeight="1">
      <c r="A3632" s="20">
        <v>461</v>
      </c>
      <c r="B3632" s="20" t="s">
        <v>4353</v>
      </c>
      <c r="C3632" s="20">
        <v>35</v>
      </c>
      <c r="D3632" s="20" t="s">
        <v>6893</v>
      </c>
      <c r="E3632" s="19" t="str">
        <f>VLOOKUP(D3632,'لیست پرسنل'!$B$2:$E$1020,3,FALSE)</f>
        <v>نظارت برسو</v>
      </c>
      <c r="F3632" s="19" t="str">
        <f>VLOOKUP(D3632,'لیست پرسنل'!$B$2:$E$1020,4,FALSE)</f>
        <v>نظارت برسو</v>
      </c>
      <c r="G3632" s="127" t="str">
        <f>VLOOKUP(D3632,'لیست پرسنل'!$B$2:$F$1020,2,FALSE)</f>
        <v>0</v>
      </c>
      <c r="H3632" s="128" t="s">
        <v>4084</v>
      </c>
      <c r="I3632" s="128" t="s">
        <v>6898</v>
      </c>
      <c r="J3632" s="128" t="s">
        <v>571</v>
      </c>
      <c r="K3632" s="128" t="s">
        <v>4771</v>
      </c>
      <c r="L3632" s="127"/>
      <c r="M3632" s="127">
        <v>633655</v>
      </c>
      <c r="N3632" s="109"/>
      <c r="O3632" s="19" t="s">
        <v>6257</v>
      </c>
      <c r="P3632" s="32"/>
      <c r="Q3632" s="32"/>
    </row>
    <row r="3633" spans="1:17" ht="24.9" customHeight="1">
      <c r="A3633" s="20">
        <v>461</v>
      </c>
      <c r="B3633" s="20" t="s">
        <v>4353</v>
      </c>
      <c r="C3633" s="20">
        <v>35</v>
      </c>
      <c r="D3633" s="20" t="s">
        <v>6893</v>
      </c>
      <c r="E3633" s="19" t="str">
        <f>VLOOKUP(D3633,'لیست پرسنل'!$B$2:$E$1020,3,FALSE)</f>
        <v>نظارت برسو</v>
      </c>
      <c r="F3633" s="19" t="str">
        <f>VLOOKUP(D3633,'لیست پرسنل'!$B$2:$E$1020,4,FALSE)</f>
        <v>نظارت برسو</v>
      </c>
      <c r="G3633" s="127" t="str">
        <f>VLOOKUP(D3633,'لیست پرسنل'!$B$2:$F$1020,2,FALSE)</f>
        <v>0</v>
      </c>
      <c r="H3633" s="128" t="s">
        <v>4084</v>
      </c>
      <c r="I3633" s="128" t="s">
        <v>6898</v>
      </c>
      <c r="J3633" s="128" t="s">
        <v>2686</v>
      </c>
      <c r="K3633" s="128" t="s">
        <v>890</v>
      </c>
      <c r="L3633" s="127" t="s">
        <v>1455</v>
      </c>
      <c r="M3633" s="127">
        <v>633612</v>
      </c>
      <c r="N3633" s="109"/>
      <c r="O3633" s="19" t="s">
        <v>6273</v>
      </c>
      <c r="P3633" s="32"/>
      <c r="Q3633" s="32"/>
    </row>
    <row r="3634" spans="1:17" ht="24.9" customHeight="1">
      <c r="A3634" s="20">
        <v>461</v>
      </c>
      <c r="B3634" s="20" t="s">
        <v>4353</v>
      </c>
      <c r="C3634" s="20">
        <v>36</v>
      </c>
      <c r="D3634" s="20" t="s">
        <v>6894</v>
      </c>
      <c r="E3634" s="19" t="str">
        <f>VLOOKUP(D3634,'لیست پرسنل'!$B$2:$E$1020,3,FALSE)</f>
        <v>نظارت برسو</v>
      </c>
      <c r="F3634" s="19" t="str">
        <f>VLOOKUP(D3634,'لیست پرسنل'!$B$2:$E$1020,4,FALSE)</f>
        <v>نظارت برسو</v>
      </c>
      <c r="G3634" s="127" t="str">
        <f>VLOOKUP(D3634,'لیست پرسنل'!$B$2:$F$1020,2,FALSE)</f>
        <v>0</v>
      </c>
      <c r="H3634" s="128" t="s">
        <v>4084</v>
      </c>
      <c r="I3634" s="128" t="s">
        <v>6899</v>
      </c>
      <c r="J3634" s="128" t="s">
        <v>368</v>
      </c>
      <c r="K3634" s="128" t="s">
        <v>2846</v>
      </c>
      <c r="L3634" s="128" t="s">
        <v>4753</v>
      </c>
      <c r="M3634" s="127">
        <v>633736</v>
      </c>
      <c r="N3634" s="109"/>
      <c r="O3634" s="19" t="s">
        <v>6381</v>
      </c>
      <c r="P3634" s="32"/>
      <c r="Q3634" s="32"/>
    </row>
    <row r="3635" spans="1:17" ht="24.9" customHeight="1">
      <c r="A3635" s="20">
        <v>461</v>
      </c>
      <c r="B3635" s="20" t="s">
        <v>4353</v>
      </c>
      <c r="C3635" s="20">
        <v>36</v>
      </c>
      <c r="D3635" s="20" t="s">
        <v>6894</v>
      </c>
      <c r="E3635" s="19" t="str">
        <f>VLOOKUP(D3635,'لیست پرسنل'!$B$2:$E$1020,3,FALSE)</f>
        <v>نظارت برسو</v>
      </c>
      <c r="F3635" s="19" t="str">
        <f>VLOOKUP(D3635,'لیست پرسنل'!$B$2:$E$1020,4,FALSE)</f>
        <v>نظارت برسو</v>
      </c>
      <c r="G3635" s="127" t="str">
        <f>VLOOKUP(D3635,'لیست پرسنل'!$B$2:$F$1020,2,FALSE)</f>
        <v>0</v>
      </c>
      <c r="H3635" s="128" t="s">
        <v>4084</v>
      </c>
      <c r="I3635" s="128" t="s">
        <v>6899</v>
      </c>
      <c r="J3635" s="128" t="s">
        <v>571</v>
      </c>
      <c r="K3635" s="128" t="s">
        <v>4771</v>
      </c>
      <c r="L3635" s="128" t="s">
        <v>5254</v>
      </c>
      <c r="M3635" s="127">
        <v>633665</v>
      </c>
      <c r="N3635" s="109"/>
      <c r="O3635" s="19" t="s">
        <v>6320</v>
      </c>
      <c r="P3635" s="32"/>
      <c r="Q3635" s="32"/>
    </row>
    <row r="3636" spans="1:17" ht="24.9" customHeight="1">
      <c r="A3636" s="20">
        <v>461</v>
      </c>
      <c r="B3636" s="20" t="s">
        <v>4353</v>
      </c>
      <c r="C3636" s="20">
        <v>36</v>
      </c>
      <c r="D3636" s="20" t="s">
        <v>6894</v>
      </c>
      <c r="E3636" s="19" t="str">
        <f>VLOOKUP(D3636,'لیست پرسنل'!$B$2:$E$1020,3,FALSE)</f>
        <v>نظارت برسو</v>
      </c>
      <c r="F3636" s="19" t="str">
        <f>VLOOKUP(D3636,'لیست پرسنل'!$B$2:$E$1020,4,FALSE)</f>
        <v>نظارت برسو</v>
      </c>
      <c r="G3636" s="127" t="str">
        <f>VLOOKUP(D3636,'لیست پرسنل'!$B$2:$F$1020,2,FALSE)</f>
        <v>0</v>
      </c>
      <c r="H3636" s="128" t="s">
        <v>4084</v>
      </c>
      <c r="I3636" s="128" t="s">
        <v>6899</v>
      </c>
      <c r="J3636" s="128" t="s">
        <v>2686</v>
      </c>
      <c r="K3636" s="128" t="s">
        <v>890</v>
      </c>
      <c r="L3636" s="127" t="s">
        <v>2894</v>
      </c>
      <c r="M3636" s="127">
        <v>633604</v>
      </c>
      <c r="N3636" s="109"/>
      <c r="O3636" s="19" t="s">
        <v>6266</v>
      </c>
      <c r="P3636" s="32"/>
      <c r="Q3636" s="32"/>
    </row>
    <row r="3637" spans="1:17" ht="24.9" customHeight="1">
      <c r="A3637" s="20">
        <v>461</v>
      </c>
      <c r="B3637" s="20" t="s">
        <v>4353</v>
      </c>
      <c r="C3637" s="20">
        <v>37</v>
      </c>
      <c r="D3637" s="20" t="s">
        <v>6970</v>
      </c>
      <c r="E3637" s="19" t="str">
        <f>VLOOKUP(D3637,'لیست پرسنل'!$B$2:$E$1020,3,FALSE)</f>
        <v>نظارت برسو</v>
      </c>
      <c r="F3637" s="19" t="str">
        <f>VLOOKUP(D3637,'لیست پرسنل'!$B$2:$E$1020,4,FALSE)</f>
        <v>نظارت</v>
      </c>
      <c r="G3637" s="127" t="str">
        <f>VLOOKUP(D3637,'لیست پرسنل'!$B$2:$F$1020,2,FALSE)</f>
        <v>0</v>
      </c>
      <c r="H3637" s="128" t="s">
        <v>4084</v>
      </c>
      <c r="I3637" s="128" t="s">
        <v>6971</v>
      </c>
      <c r="J3637" s="128" t="s">
        <v>368</v>
      </c>
      <c r="K3637" s="128" t="s">
        <v>2846</v>
      </c>
      <c r="L3637" s="128" t="s">
        <v>466</v>
      </c>
      <c r="M3637" s="127">
        <v>633757</v>
      </c>
      <c r="N3637" s="109"/>
      <c r="O3637" s="19" t="s">
        <v>6392</v>
      </c>
      <c r="P3637" s="32"/>
      <c r="Q3637" s="32"/>
    </row>
    <row r="3638" spans="1:17" ht="24.9" customHeight="1">
      <c r="A3638" s="20">
        <v>461</v>
      </c>
      <c r="B3638" s="20" t="s">
        <v>4353</v>
      </c>
      <c r="C3638" s="20">
        <v>37</v>
      </c>
      <c r="D3638" s="20" t="s">
        <v>6970</v>
      </c>
      <c r="E3638" s="19" t="str">
        <f>VLOOKUP(D3638,'لیست پرسنل'!$B$2:$E$1020,3,FALSE)</f>
        <v>نظارت برسو</v>
      </c>
      <c r="F3638" s="19" t="str">
        <f>VLOOKUP(D3638,'لیست پرسنل'!$B$2:$E$1020,4,FALSE)</f>
        <v>نظارت</v>
      </c>
      <c r="G3638" s="127" t="str">
        <f>VLOOKUP(D3638,'لیست پرسنل'!$B$2:$F$1020,2,FALSE)</f>
        <v>0</v>
      </c>
      <c r="H3638" s="128" t="s">
        <v>4084</v>
      </c>
      <c r="I3638" s="128" t="s">
        <v>6971</v>
      </c>
      <c r="J3638" s="128" t="s">
        <v>571</v>
      </c>
      <c r="K3638" s="128" t="s">
        <v>6972</v>
      </c>
      <c r="L3638" s="128"/>
      <c r="M3638" s="127">
        <v>633666</v>
      </c>
      <c r="N3638" s="109"/>
      <c r="O3638" s="19" t="s">
        <v>6321</v>
      </c>
      <c r="P3638" s="32"/>
      <c r="Q3638" s="32"/>
    </row>
    <row r="3639" spans="1:17" ht="24.9" customHeight="1">
      <c r="A3639" s="20">
        <v>461</v>
      </c>
      <c r="B3639" s="20" t="s">
        <v>4353</v>
      </c>
      <c r="C3639" s="20">
        <v>37</v>
      </c>
      <c r="D3639" s="20" t="s">
        <v>6970</v>
      </c>
      <c r="E3639" s="19" t="str">
        <f>VLOOKUP(D3639,'لیست پرسنل'!$B$2:$E$1020,3,FALSE)</f>
        <v>نظارت برسو</v>
      </c>
      <c r="F3639" s="19" t="str">
        <f>VLOOKUP(D3639,'لیست پرسنل'!$B$2:$E$1020,4,FALSE)</f>
        <v>نظارت</v>
      </c>
      <c r="G3639" s="127" t="str">
        <f>VLOOKUP(D3639,'لیست پرسنل'!$B$2:$F$1020,2,FALSE)</f>
        <v>0</v>
      </c>
      <c r="H3639" s="128" t="s">
        <v>4084</v>
      </c>
      <c r="I3639" s="128" t="s">
        <v>6971</v>
      </c>
      <c r="J3639" s="128" t="s">
        <v>2686</v>
      </c>
      <c r="K3639" s="128" t="s">
        <v>721</v>
      </c>
      <c r="L3639" s="151" t="s">
        <v>1607</v>
      </c>
      <c r="M3639" s="127">
        <v>633634</v>
      </c>
      <c r="N3639" s="109"/>
      <c r="O3639" s="19" t="s">
        <v>6295</v>
      </c>
      <c r="P3639" s="32"/>
      <c r="Q3639" s="32"/>
    </row>
    <row r="3640" spans="1:17" ht="24.9" customHeight="1">
      <c r="A3640" s="20">
        <v>461</v>
      </c>
      <c r="B3640" s="20" t="s">
        <v>4353</v>
      </c>
      <c r="C3640" s="20">
        <v>38</v>
      </c>
      <c r="D3640" s="20" t="s">
        <v>6973</v>
      </c>
      <c r="E3640" s="19" t="str">
        <f>VLOOKUP(D3640,'لیست پرسنل'!$B$2:$E$1020,3,FALSE)</f>
        <v>کارفرما</v>
      </c>
      <c r="F3640" s="19" t="str">
        <f>VLOOKUP(D3640,'لیست پرسنل'!$B$2:$E$1020,4,FALSE)</f>
        <v>رییس ابزار دقیق</v>
      </c>
      <c r="G3640" s="127" t="str">
        <f>VLOOKUP(D3640,'لیست پرسنل'!$B$2:$F$1020,2,FALSE)</f>
        <v>0</v>
      </c>
      <c r="H3640" s="128" t="s">
        <v>4070</v>
      </c>
      <c r="I3640" s="128" t="s">
        <v>6974</v>
      </c>
      <c r="J3640" s="128" t="s">
        <v>368</v>
      </c>
      <c r="K3640" s="128" t="s">
        <v>2846</v>
      </c>
      <c r="L3640" s="128" t="s">
        <v>4763</v>
      </c>
      <c r="M3640" s="127">
        <v>633756</v>
      </c>
      <c r="N3640" s="109"/>
      <c r="O3640" s="19" t="s">
        <v>6383</v>
      </c>
      <c r="P3640" s="32"/>
      <c r="Q3640" s="32"/>
    </row>
    <row r="3641" spans="1:17" ht="24.9" customHeight="1">
      <c r="A3641" s="20">
        <v>461</v>
      </c>
      <c r="B3641" s="20" t="s">
        <v>4353</v>
      </c>
      <c r="C3641" s="20">
        <v>38</v>
      </c>
      <c r="D3641" s="20" t="s">
        <v>6973</v>
      </c>
      <c r="E3641" s="19" t="str">
        <f>VLOOKUP(D3641,'لیست پرسنل'!$B$2:$E$1020,3,FALSE)</f>
        <v>کارفرما</v>
      </c>
      <c r="F3641" s="19" t="str">
        <f>VLOOKUP(D3641,'لیست پرسنل'!$B$2:$E$1020,4,FALSE)</f>
        <v>رییس ابزار دقیق</v>
      </c>
      <c r="G3641" s="127" t="str">
        <f>VLOOKUP(D3641,'لیست پرسنل'!$B$2:$F$1020,2,FALSE)</f>
        <v>0</v>
      </c>
      <c r="H3641" s="128" t="s">
        <v>4070</v>
      </c>
      <c r="I3641" s="128" t="s">
        <v>6974</v>
      </c>
      <c r="J3641" s="128" t="s">
        <v>571</v>
      </c>
      <c r="K3641" s="128" t="s">
        <v>6972</v>
      </c>
      <c r="L3641" s="128"/>
      <c r="M3641" s="127">
        <v>633677</v>
      </c>
      <c r="N3641" s="109"/>
      <c r="O3641" s="19" t="s">
        <v>6327</v>
      </c>
      <c r="P3641" s="32"/>
      <c r="Q3641" s="32"/>
    </row>
    <row r="3642" spans="1:17" ht="24.9" customHeight="1">
      <c r="A3642" s="20">
        <v>461</v>
      </c>
      <c r="B3642" s="20" t="s">
        <v>4353</v>
      </c>
      <c r="C3642" s="20">
        <v>38</v>
      </c>
      <c r="D3642" s="20" t="s">
        <v>6973</v>
      </c>
      <c r="E3642" s="19" t="str">
        <f>VLOOKUP(D3642,'لیست پرسنل'!$B$2:$E$1020,3,FALSE)</f>
        <v>کارفرما</v>
      </c>
      <c r="F3642" s="19" t="str">
        <f>VLOOKUP(D3642,'لیست پرسنل'!$B$2:$E$1020,4,FALSE)</f>
        <v>رییس ابزار دقیق</v>
      </c>
      <c r="G3642" s="127" t="str">
        <f>VLOOKUP(D3642,'لیست پرسنل'!$B$2:$F$1020,2,FALSE)</f>
        <v>0</v>
      </c>
      <c r="H3642" s="128" t="s">
        <v>4070</v>
      </c>
      <c r="I3642" s="128" t="s">
        <v>6974</v>
      </c>
      <c r="J3642" s="128" t="s">
        <v>2686</v>
      </c>
      <c r="K3642" s="128" t="s">
        <v>890</v>
      </c>
      <c r="L3642" s="151" t="s">
        <v>1454</v>
      </c>
      <c r="M3642" s="127">
        <v>633633</v>
      </c>
      <c r="N3642" s="109"/>
      <c r="O3642" s="19" t="s">
        <v>6294</v>
      </c>
      <c r="P3642" s="32"/>
      <c r="Q3642" s="32"/>
    </row>
    <row r="3643" spans="1:17" ht="24.9" customHeight="1">
      <c r="A3643" s="20">
        <v>461</v>
      </c>
      <c r="B3643" s="20" t="s">
        <v>4353</v>
      </c>
      <c r="C3643" s="20">
        <v>39</v>
      </c>
      <c r="D3643" s="20" t="s">
        <v>7277</v>
      </c>
      <c r="E3643" s="19" t="str">
        <f>VLOOKUP(D3643,'لیست پرسنل'!$B$2:$E$1020,3,FALSE)</f>
        <v xml:space="preserve">شرکت برسو </v>
      </c>
      <c r="F3643" s="19" t="str">
        <f>VLOOKUP(D3643,'لیست پرسنل'!$B$2:$E$1020,4,FALSE)</f>
        <v>نظارت کارفرما</v>
      </c>
      <c r="G3643" s="127">
        <f>VLOOKUP(D3643,'لیست پرسنل'!$B$2:$F$1020,2,FALSE)</f>
        <v>0</v>
      </c>
      <c r="H3643" s="128" t="s">
        <v>7279</v>
      </c>
      <c r="I3643" s="128" t="s">
        <v>7278</v>
      </c>
      <c r="J3643" s="128" t="s">
        <v>368</v>
      </c>
      <c r="K3643" s="128" t="s">
        <v>2846</v>
      </c>
      <c r="L3643" s="128" t="s">
        <v>4752</v>
      </c>
      <c r="M3643" s="127">
        <v>633733</v>
      </c>
      <c r="N3643" s="109"/>
      <c r="O3643" s="19" t="s">
        <v>6385</v>
      </c>
      <c r="P3643" s="32"/>
      <c r="Q3643" s="32"/>
    </row>
    <row r="3644" spans="1:17" ht="24.9" customHeight="1">
      <c r="A3644" s="20">
        <v>461</v>
      </c>
      <c r="B3644" s="20" t="s">
        <v>4353</v>
      </c>
      <c r="C3644" s="20">
        <v>39</v>
      </c>
      <c r="D3644" s="20" t="s">
        <v>7277</v>
      </c>
      <c r="E3644" s="19" t="str">
        <f>VLOOKUP(D3644,'لیست پرسنل'!$B$2:$E$1020,3,FALSE)</f>
        <v xml:space="preserve">شرکت برسو </v>
      </c>
      <c r="F3644" s="19" t="str">
        <f>VLOOKUP(D3644,'لیست پرسنل'!$B$2:$E$1020,4,FALSE)</f>
        <v>نظارت کارفرما</v>
      </c>
      <c r="G3644" s="127">
        <f>VLOOKUP(D3644,'لیست پرسنل'!$B$2:$F$1020,2,FALSE)</f>
        <v>0</v>
      </c>
      <c r="H3644" s="128" t="s">
        <v>7279</v>
      </c>
      <c r="I3644" s="128" t="s">
        <v>7278</v>
      </c>
      <c r="J3644" s="128" t="s">
        <v>571</v>
      </c>
      <c r="K3644" s="128" t="s">
        <v>7212</v>
      </c>
      <c r="L3644" s="127"/>
      <c r="M3644" s="127">
        <v>635097</v>
      </c>
      <c r="N3644" s="109"/>
      <c r="O3644" s="19"/>
      <c r="P3644" s="32"/>
      <c r="Q3644" s="32"/>
    </row>
    <row r="3645" spans="1:17" ht="24.9" customHeight="1">
      <c r="A3645" s="20">
        <v>461</v>
      </c>
      <c r="B3645" s="20" t="s">
        <v>4353</v>
      </c>
      <c r="C3645" s="20">
        <v>39</v>
      </c>
      <c r="D3645" s="20" t="s">
        <v>7277</v>
      </c>
      <c r="E3645" s="19" t="str">
        <f>VLOOKUP(D3645,'لیست پرسنل'!$B$2:$E$1020,3,FALSE)</f>
        <v xml:space="preserve">شرکت برسو </v>
      </c>
      <c r="F3645" s="19" t="str">
        <f>VLOOKUP(D3645,'لیست پرسنل'!$B$2:$E$1020,4,FALSE)</f>
        <v>نظارت کارفرما</v>
      </c>
      <c r="G3645" s="127">
        <f>VLOOKUP(D3645,'لیست پرسنل'!$B$2:$F$1020,2,FALSE)</f>
        <v>0</v>
      </c>
      <c r="H3645" s="128" t="s">
        <v>7279</v>
      </c>
      <c r="I3645" s="128" t="s">
        <v>7278</v>
      </c>
      <c r="J3645" s="128" t="s">
        <v>2686</v>
      </c>
      <c r="K3645" s="128" t="s">
        <v>890</v>
      </c>
      <c r="L3645" s="151" t="s">
        <v>4904</v>
      </c>
      <c r="M3645" s="127">
        <v>633638</v>
      </c>
      <c r="N3645" s="109"/>
      <c r="O3645" s="19" t="s">
        <v>6299</v>
      </c>
      <c r="P3645" s="32"/>
      <c r="Q3645" s="32"/>
    </row>
    <row r="3646" spans="1:17" ht="24.9" customHeight="1">
      <c r="A3646" s="20">
        <v>461</v>
      </c>
      <c r="B3646" s="20" t="s">
        <v>4353</v>
      </c>
      <c r="C3646" s="20">
        <v>40</v>
      </c>
      <c r="D3646" s="20" t="s">
        <v>7281</v>
      </c>
      <c r="E3646" s="19" t="str">
        <f>VLOOKUP(D3646,'لیست پرسنل'!$B$2:$E$1020,3,FALSE)</f>
        <v xml:space="preserve">شرکت برسو </v>
      </c>
      <c r="F3646" s="19" t="str">
        <f>VLOOKUP(D3646,'لیست پرسنل'!$B$2:$E$1020,4,FALSE)</f>
        <v>نظارت کارفرما</v>
      </c>
      <c r="G3646" s="127">
        <f>VLOOKUP(D3646,'لیست پرسنل'!$B$2:$F$1020,2,FALSE)</f>
        <v>0</v>
      </c>
      <c r="H3646" s="128" t="s">
        <v>7279</v>
      </c>
      <c r="I3646" s="128" t="s">
        <v>7280</v>
      </c>
      <c r="J3646" s="128" t="s">
        <v>368</v>
      </c>
      <c r="K3646" s="128" t="s">
        <v>2846</v>
      </c>
      <c r="L3646" s="128" t="s">
        <v>4866</v>
      </c>
      <c r="M3646" s="127">
        <v>633728</v>
      </c>
      <c r="N3646" s="109"/>
      <c r="O3646" s="19" t="s">
        <v>6391</v>
      </c>
      <c r="P3646" s="32"/>
      <c r="Q3646" s="32"/>
    </row>
    <row r="3647" spans="1:17" ht="24.9" customHeight="1">
      <c r="A3647" s="20">
        <v>461</v>
      </c>
      <c r="B3647" s="20" t="s">
        <v>4353</v>
      </c>
      <c r="C3647" s="20">
        <v>40</v>
      </c>
      <c r="D3647" s="20" t="s">
        <v>7281</v>
      </c>
      <c r="E3647" s="19" t="str">
        <f>VLOOKUP(D3647,'لیست پرسنل'!$B$2:$E$1020,3,FALSE)</f>
        <v xml:space="preserve">شرکت برسو </v>
      </c>
      <c r="F3647" s="19" t="str">
        <f>VLOOKUP(D3647,'لیست پرسنل'!$B$2:$E$1020,4,FALSE)</f>
        <v>نظارت کارفرما</v>
      </c>
      <c r="G3647" s="127">
        <f>VLOOKUP(D3647,'لیست پرسنل'!$B$2:$F$1020,2,FALSE)</f>
        <v>0</v>
      </c>
      <c r="H3647" s="128" t="s">
        <v>7279</v>
      </c>
      <c r="I3647" s="128" t="s">
        <v>7280</v>
      </c>
      <c r="J3647" s="128" t="s">
        <v>571</v>
      </c>
      <c r="K3647" s="128" t="s">
        <v>7212</v>
      </c>
      <c r="L3647" s="127"/>
      <c r="M3647" s="127">
        <v>635093</v>
      </c>
      <c r="N3647" s="109"/>
      <c r="O3647" s="19"/>
      <c r="P3647" s="32"/>
      <c r="Q3647" s="32"/>
    </row>
    <row r="3648" spans="1:17" ht="24.9" customHeight="1">
      <c r="A3648" s="20">
        <v>461</v>
      </c>
      <c r="B3648" s="20" t="s">
        <v>4353</v>
      </c>
      <c r="C3648" s="20">
        <v>40</v>
      </c>
      <c r="D3648" s="20" t="s">
        <v>7281</v>
      </c>
      <c r="E3648" s="19" t="str">
        <f>VLOOKUP(D3648,'لیست پرسنل'!$B$2:$E$1020,3,FALSE)</f>
        <v xml:space="preserve">شرکت برسو </v>
      </c>
      <c r="F3648" s="19" t="str">
        <f>VLOOKUP(D3648,'لیست پرسنل'!$B$2:$E$1020,4,FALSE)</f>
        <v>نظارت کارفرما</v>
      </c>
      <c r="G3648" s="127">
        <f>VLOOKUP(D3648,'لیست پرسنل'!$B$2:$F$1020,2,FALSE)</f>
        <v>0</v>
      </c>
      <c r="H3648" s="128" t="s">
        <v>7279</v>
      </c>
      <c r="I3648" s="128" t="s">
        <v>7280</v>
      </c>
      <c r="J3648" s="128" t="s">
        <v>2686</v>
      </c>
      <c r="K3648" s="128" t="s">
        <v>721</v>
      </c>
      <c r="L3648" s="127" t="s">
        <v>1608</v>
      </c>
      <c r="M3648" s="127">
        <v>633600</v>
      </c>
      <c r="N3648" s="109"/>
      <c r="O3648" s="19" t="s">
        <v>6262</v>
      </c>
      <c r="P3648" s="32"/>
      <c r="Q3648" s="32"/>
    </row>
    <row r="3649" spans="1:17" ht="24.9" customHeight="1">
      <c r="A3649" s="20">
        <v>461</v>
      </c>
      <c r="B3649" s="20" t="s">
        <v>4353</v>
      </c>
      <c r="C3649" s="20">
        <v>41</v>
      </c>
      <c r="D3649" s="20" t="s">
        <v>7516</v>
      </c>
      <c r="E3649" s="19" t="str">
        <f>VLOOKUP(D3649,'لیست پرسنل'!$B$2:$E$1020,3,FALSE)</f>
        <v>نظارت برسو</v>
      </c>
      <c r="F3649" s="19" t="str">
        <f>VLOOKUP(D3649,'لیست پرسنل'!$B$2:$E$1020,4,FALSE)</f>
        <v>نظارت برسو</v>
      </c>
      <c r="G3649" s="127">
        <f>VLOOKUP(D3649,'لیست پرسنل'!$B$2:$F$1020,2,FALSE)</f>
        <v>0</v>
      </c>
      <c r="H3649" s="128" t="s">
        <v>4084</v>
      </c>
      <c r="I3649" s="128" t="s">
        <v>7517</v>
      </c>
      <c r="J3649" s="128" t="s">
        <v>571</v>
      </c>
      <c r="K3649" s="128" t="s">
        <v>7212</v>
      </c>
      <c r="L3649" s="127"/>
      <c r="M3649" s="127">
        <v>635095</v>
      </c>
      <c r="N3649" s="109"/>
      <c r="O3649" s="19"/>
      <c r="P3649" s="32"/>
      <c r="Q3649" s="32"/>
    </row>
    <row r="3650" spans="1:17" ht="24.9" customHeight="1">
      <c r="A3650" s="20">
        <v>461</v>
      </c>
      <c r="B3650" s="20" t="s">
        <v>4353</v>
      </c>
      <c r="C3650" s="20">
        <v>41</v>
      </c>
      <c r="D3650" s="20" t="s">
        <v>7516</v>
      </c>
      <c r="E3650" s="19" t="str">
        <f>VLOOKUP(D3650,'لیست پرسنل'!$B$2:$E$1020,3,FALSE)</f>
        <v>نظارت برسو</v>
      </c>
      <c r="F3650" s="19" t="str">
        <f>VLOOKUP(D3650,'لیست پرسنل'!$B$2:$E$1020,4,FALSE)</f>
        <v>نظارت برسو</v>
      </c>
      <c r="G3650" s="127">
        <f>VLOOKUP(D3650,'لیست پرسنل'!$B$2:$F$1020,2,FALSE)</f>
        <v>0</v>
      </c>
      <c r="H3650" s="128" t="s">
        <v>4084</v>
      </c>
      <c r="I3650" s="128" t="s">
        <v>7517</v>
      </c>
      <c r="J3650" s="128" t="s">
        <v>2686</v>
      </c>
      <c r="K3650" s="128" t="s">
        <v>371</v>
      </c>
      <c r="L3650" s="128" t="s">
        <v>2004</v>
      </c>
      <c r="M3650" s="128">
        <v>618922</v>
      </c>
      <c r="N3650" s="108"/>
      <c r="O3650" s="20"/>
      <c r="P3650" s="20"/>
      <c r="Q3650" s="20"/>
    </row>
    <row r="3651" spans="1:17" ht="24.9" customHeight="1">
      <c r="A3651" s="20">
        <v>461</v>
      </c>
      <c r="B3651" s="20" t="s">
        <v>4353</v>
      </c>
      <c r="C3651" s="20"/>
      <c r="D3651" s="20" t="s">
        <v>4082</v>
      </c>
      <c r="E3651" s="19" t="str">
        <f>VLOOKUP(D3651,'لیست پرسنل'!$B$2:$E$1020,3,FALSE)</f>
        <v>کارفرما</v>
      </c>
      <c r="F3651" s="19" t="str">
        <f>VLOOKUP(D3651,'لیست پرسنل'!$B$2:$E$1020,4,FALSE)</f>
        <v>نقشه بردار</v>
      </c>
      <c r="G3651" s="127">
        <f>VLOOKUP(D3651,'لیست پرسنل'!$B$2:$F$1020,2,FALSE)</f>
        <v>0</v>
      </c>
      <c r="H3651" s="128" t="s">
        <v>4070</v>
      </c>
      <c r="I3651" s="128"/>
      <c r="J3651" s="126" t="s">
        <v>368</v>
      </c>
      <c r="K3651" s="128" t="s">
        <v>2846</v>
      </c>
      <c r="L3651" s="127" t="s">
        <v>4627</v>
      </c>
      <c r="M3651" s="127">
        <v>629844</v>
      </c>
      <c r="N3651" s="109"/>
      <c r="O3651" s="19" t="s">
        <v>705</v>
      </c>
      <c r="P3651" s="19"/>
      <c r="Q3651" s="28"/>
    </row>
    <row r="3652" spans="1:17" ht="24.9" customHeight="1">
      <c r="A3652" s="20">
        <v>461</v>
      </c>
      <c r="B3652" s="20" t="s">
        <v>4353</v>
      </c>
      <c r="C3652" s="82"/>
      <c r="D3652" s="20" t="s">
        <v>4585</v>
      </c>
      <c r="E3652" s="19" t="str">
        <f>VLOOKUP(D3652,'لیست پرسنل'!$B$2:$E$1020,3,FALSE)</f>
        <v>کارفرما</v>
      </c>
      <c r="F3652" s="19" t="str">
        <f>VLOOKUP(D3652,'لیست پرسنل'!$B$2:$E$1020,4,FALSE)</f>
        <v>کنترل پروژه</v>
      </c>
      <c r="G3652" s="127">
        <f>VLOOKUP(D3652,'لیست پرسنل'!$B$2:$F$1020,2,FALSE)</f>
        <v>0</v>
      </c>
      <c r="H3652" s="128" t="s">
        <v>4070</v>
      </c>
      <c r="I3652" s="128"/>
      <c r="J3652" s="126" t="s">
        <v>368</v>
      </c>
      <c r="K3652" s="128" t="s">
        <v>2846</v>
      </c>
      <c r="L3652" s="127" t="s">
        <v>4625</v>
      </c>
      <c r="M3652" s="127">
        <v>629842</v>
      </c>
      <c r="N3652" s="109"/>
      <c r="O3652" s="20" t="s">
        <v>705</v>
      </c>
      <c r="P3652" s="19"/>
      <c r="Q3652" s="28"/>
    </row>
    <row r="3653" spans="1:17" ht="24.9" customHeight="1">
      <c r="A3653" s="20">
        <v>461</v>
      </c>
      <c r="B3653" s="20" t="s">
        <v>4353</v>
      </c>
      <c r="C3653" s="19"/>
      <c r="D3653" s="20" t="s">
        <v>3991</v>
      </c>
      <c r="E3653" s="19" t="str">
        <f>VLOOKUP(D3653,'لیست پرسنل'!$B$2:$E$1020,3,FALSE)</f>
        <v>کارفرما</v>
      </c>
      <c r="F3653" s="19" t="str">
        <f>VLOOKUP(D3653,'لیست پرسنل'!$B$2:$E$1020,4,FALSE)</f>
        <v>کارفرما آهن اسفنجی بردسیر (461)</v>
      </c>
      <c r="G3653" s="127" t="str">
        <f>VLOOKUP(D3653,'لیست پرسنل'!$B$2:$F$1020,2,FALSE)</f>
        <v>0</v>
      </c>
      <c r="H3653" s="128" t="s">
        <v>4070</v>
      </c>
      <c r="I3653" s="128"/>
      <c r="J3653" s="128" t="s">
        <v>3532</v>
      </c>
      <c r="K3653" s="128" t="s">
        <v>2741</v>
      </c>
      <c r="L3653" s="128" t="s">
        <v>2742</v>
      </c>
      <c r="M3653" s="128">
        <v>628325</v>
      </c>
      <c r="N3653" s="108"/>
      <c r="O3653" s="20" t="s">
        <v>3130</v>
      </c>
      <c r="P3653" s="20"/>
      <c r="Q3653" s="20"/>
    </row>
    <row r="3654" spans="1:17" ht="24.9" customHeight="1">
      <c r="A3654" s="20">
        <v>461</v>
      </c>
      <c r="B3654" s="20" t="s">
        <v>4353</v>
      </c>
      <c r="C3654" s="19"/>
      <c r="D3654" s="30" t="s">
        <v>8052</v>
      </c>
      <c r="E3654" s="19" t="str">
        <f>VLOOKUP(D3654,'لیست پرسنل'!$B$2:$E$1020,3,FALSE)</f>
        <v>نظارت برسو</v>
      </c>
      <c r="F3654" s="19" t="str">
        <f>VLOOKUP(D3654,'لیست پرسنل'!$B$2:$E$1020,4,FALSE)</f>
        <v>نظارت</v>
      </c>
      <c r="G3654" s="127">
        <f>VLOOKUP(D3654,'لیست پرسنل'!$B$2:$F$1020,2,FALSE)</f>
        <v>0</v>
      </c>
      <c r="H3654" s="183" t="s">
        <v>3968</v>
      </c>
      <c r="I3654" s="128"/>
      <c r="J3654" s="128" t="s">
        <v>2686</v>
      </c>
      <c r="K3654" s="128" t="s">
        <v>2922</v>
      </c>
      <c r="L3654" s="127" t="s">
        <v>3005</v>
      </c>
      <c r="M3654" s="128">
        <v>626487</v>
      </c>
      <c r="N3654" s="108"/>
      <c r="O3654" s="20" t="s">
        <v>705</v>
      </c>
      <c r="P3654" s="20"/>
      <c r="Q3654" s="20"/>
    </row>
    <row r="3655" spans="1:17" ht="24.9" customHeight="1">
      <c r="A3655" s="185">
        <v>461</v>
      </c>
      <c r="B3655" s="185" t="s">
        <v>4353</v>
      </c>
      <c r="C3655" s="185"/>
      <c r="D3655" s="67" t="s">
        <v>4069</v>
      </c>
      <c r="E3655" s="186" t="str">
        <f>VLOOKUP(D3655,'لیست پرسنل'!$B$2:$E$1020,3,FALSE)</f>
        <v>کارفرما</v>
      </c>
      <c r="F3655" s="186" t="str">
        <f>VLOOKUP(D3655,'لیست پرسنل'!$B$2:$E$1020,4,FALSE)</f>
        <v>مسئول دفتر گلبن</v>
      </c>
      <c r="G3655" s="187">
        <f>VLOOKUP(D3655,'لیست پرسنل'!$B$2:$F$1020,2,FALSE)</f>
        <v>0</v>
      </c>
      <c r="H3655" s="188" t="s">
        <v>4070</v>
      </c>
      <c r="I3655" s="194"/>
      <c r="J3655" s="188" t="s">
        <v>737</v>
      </c>
      <c r="K3655" s="188" t="s">
        <v>4635</v>
      </c>
      <c r="L3655" s="187">
        <v>25051925</v>
      </c>
      <c r="M3655" s="194">
        <v>629897</v>
      </c>
      <c r="N3655" s="198"/>
      <c r="O3655" s="185"/>
      <c r="P3655" s="185"/>
      <c r="Q3655" s="185"/>
    </row>
    <row r="3656" spans="1:17" ht="24.9" customHeight="1">
      <c r="A3656" s="20">
        <v>461</v>
      </c>
      <c r="B3656" s="20" t="s">
        <v>4353</v>
      </c>
      <c r="C3656" s="20"/>
      <c r="D3656" s="20" t="s">
        <v>4069</v>
      </c>
      <c r="E3656" s="19" t="str">
        <f>VLOOKUP(D3656,'لیست پرسنل'!$B$2:$E$1020,3,FALSE)</f>
        <v>کارفرما</v>
      </c>
      <c r="F3656" s="19" t="str">
        <f>VLOOKUP(D3656,'لیست پرسنل'!$B$2:$E$1020,4,FALSE)</f>
        <v>مسئول دفتر گلبن</v>
      </c>
      <c r="G3656" s="127">
        <f>VLOOKUP(D3656,'لیست پرسنل'!$B$2:$F$1020,2,FALSE)</f>
        <v>0</v>
      </c>
      <c r="H3656" s="128" t="s">
        <v>4070</v>
      </c>
      <c r="I3656" s="128"/>
      <c r="J3656" s="128" t="s">
        <v>737</v>
      </c>
      <c r="K3656" s="128" t="s">
        <v>5376</v>
      </c>
      <c r="L3656" s="127" t="s">
        <v>5377</v>
      </c>
      <c r="M3656" s="128">
        <v>631507</v>
      </c>
      <c r="N3656" s="108"/>
      <c r="O3656" s="20"/>
      <c r="P3656" s="20"/>
      <c r="Q3656" s="20"/>
    </row>
    <row r="3657" spans="1:17" ht="24.9" customHeight="1">
      <c r="A3657" s="20">
        <v>461</v>
      </c>
      <c r="B3657" s="20" t="s">
        <v>4353</v>
      </c>
      <c r="C3657" s="20"/>
      <c r="D3657" s="20" t="s">
        <v>4069</v>
      </c>
      <c r="E3657" s="19" t="str">
        <f>VLOOKUP(D3657,'لیست پرسنل'!$B$2:$E$1020,3,FALSE)</f>
        <v>کارفرما</v>
      </c>
      <c r="F3657" s="19" t="str">
        <f>VLOOKUP(D3657,'لیست پرسنل'!$B$2:$E$1020,4,FALSE)</f>
        <v>مسئول دفتر گلبن</v>
      </c>
      <c r="G3657" s="127">
        <f>VLOOKUP(D3657,'لیست پرسنل'!$B$2:$F$1020,2,FALSE)</f>
        <v>0</v>
      </c>
      <c r="H3657" s="128" t="s">
        <v>4070</v>
      </c>
      <c r="I3657" s="128"/>
      <c r="J3657" s="128" t="s">
        <v>737</v>
      </c>
      <c r="K3657" s="128" t="s">
        <v>5376</v>
      </c>
      <c r="L3657" s="127" t="s">
        <v>5378</v>
      </c>
      <c r="M3657" s="128">
        <v>631508</v>
      </c>
      <c r="N3657" s="108"/>
      <c r="O3657" s="20"/>
      <c r="P3657" s="20"/>
      <c r="Q3657" s="20"/>
    </row>
    <row r="3658" spans="1:17" ht="24.9" customHeight="1">
      <c r="A3658" s="20">
        <v>461</v>
      </c>
      <c r="B3658" s="20" t="s">
        <v>4353</v>
      </c>
      <c r="C3658" s="20"/>
      <c r="D3658" s="20" t="s">
        <v>4069</v>
      </c>
      <c r="E3658" s="19" t="str">
        <f>VLOOKUP(D3658,'لیست پرسنل'!$B$2:$E$1020,3,FALSE)</f>
        <v>کارفرما</v>
      </c>
      <c r="F3658" s="19" t="str">
        <f>VLOOKUP(D3658,'لیست پرسنل'!$B$2:$E$1020,4,FALSE)</f>
        <v>مسئول دفتر گلبن</v>
      </c>
      <c r="G3658" s="127">
        <f>VLOOKUP(D3658,'لیست پرسنل'!$B$2:$F$1020,2,FALSE)</f>
        <v>0</v>
      </c>
      <c r="H3658" s="128" t="s">
        <v>4070</v>
      </c>
      <c r="I3658" s="128"/>
      <c r="J3658" s="128" t="s">
        <v>737</v>
      </c>
      <c r="K3658" s="128" t="s">
        <v>1470</v>
      </c>
      <c r="L3658" s="127" t="s">
        <v>5379</v>
      </c>
      <c r="M3658" s="128">
        <v>631510</v>
      </c>
      <c r="N3658" s="108"/>
      <c r="O3658" s="20"/>
      <c r="P3658" s="20"/>
      <c r="Q3658" s="20"/>
    </row>
    <row r="3659" spans="1:17" ht="24.9" customHeight="1">
      <c r="A3659" s="20">
        <v>461</v>
      </c>
      <c r="B3659" s="20" t="s">
        <v>4353</v>
      </c>
      <c r="C3659" s="20"/>
      <c r="D3659" s="20" t="s">
        <v>4069</v>
      </c>
      <c r="E3659" s="19" t="str">
        <f>VLOOKUP(D3659,'لیست پرسنل'!$B$2:$E$1020,3,FALSE)</f>
        <v>کارفرما</v>
      </c>
      <c r="F3659" s="19" t="str">
        <f>VLOOKUP(D3659,'لیست پرسنل'!$B$2:$E$1020,4,FALSE)</f>
        <v>مسئول دفتر گلبن</v>
      </c>
      <c r="G3659" s="127">
        <f>VLOOKUP(D3659,'لیست پرسنل'!$B$2:$F$1020,2,FALSE)</f>
        <v>0</v>
      </c>
      <c r="H3659" s="128" t="s">
        <v>4070</v>
      </c>
      <c r="I3659" s="128"/>
      <c r="J3659" s="126" t="s">
        <v>4331</v>
      </c>
      <c r="K3659" s="128" t="s">
        <v>5375</v>
      </c>
      <c r="L3659" s="127" t="s">
        <v>5380</v>
      </c>
      <c r="M3659" s="128" t="s">
        <v>291</v>
      </c>
      <c r="N3659" s="108"/>
      <c r="O3659" s="20"/>
      <c r="P3659" s="20"/>
      <c r="Q3659" s="20"/>
    </row>
    <row r="3660" spans="1:17" ht="24.9" customHeight="1">
      <c r="A3660" s="20">
        <v>461</v>
      </c>
      <c r="B3660" s="20" t="s">
        <v>4353</v>
      </c>
      <c r="C3660" s="20"/>
      <c r="D3660" s="20" t="s">
        <v>4069</v>
      </c>
      <c r="E3660" s="19" t="str">
        <f>VLOOKUP(D3660,'لیست پرسنل'!$B$2:$E$1020,3,FALSE)</f>
        <v>کارفرما</v>
      </c>
      <c r="F3660" s="19" t="str">
        <f>VLOOKUP(D3660,'لیست پرسنل'!$B$2:$E$1020,4,FALSE)</f>
        <v>مسئول دفتر گلبن</v>
      </c>
      <c r="G3660" s="127">
        <f>VLOOKUP(D3660,'لیست پرسنل'!$B$2:$F$1020,2,FALSE)</f>
        <v>0</v>
      </c>
      <c r="H3660" s="128" t="s">
        <v>4070</v>
      </c>
      <c r="I3660" s="128"/>
      <c r="J3660" s="126" t="s">
        <v>4331</v>
      </c>
      <c r="K3660" s="128" t="s">
        <v>5375</v>
      </c>
      <c r="L3660" s="127" t="s">
        <v>5381</v>
      </c>
      <c r="M3660" s="128" t="s">
        <v>291</v>
      </c>
      <c r="N3660" s="108"/>
      <c r="O3660" s="20"/>
      <c r="P3660" s="20"/>
      <c r="Q3660" s="20"/>
    </row>
    <row r="3661" spans="1:17" ht="24.9" customHeight="1">
      <c r="A3661" s="20">
        <v>461</v>
      </c>
      <c r="B3661" s="20" t="s">
        <v>4353</v>
      </c>
      <c r="C3661" s="20"/>
      <c r="D3661" s="20" t="s">
        <v>4642</v>
      </c>
      <c r="E3661" s="19" t="str">
        <f>VLOOKUP(D3661,'لیست پرسنل'!$B$2:$E$1020,3,FALSE)</f>
        <v>کارفرما</v>
      </c>
      <c r="F3661" s="19" t="str">
        <f>VLOOKUP(D3661,'لیست پرسنل'!$B$2:$E$1020,4,FALSE)</f>
        <v>آی تی کارفرما</v>
      </c>
      <c r="G3661" s="127" t="str">
        <f>VLOOKUP(D3661,'لیست پرسنل'!$B$2:$F$1020,2,FALSE)</f>
        <v>0</v>
      </c>
      <c r="H3661" s="126" t="s">
        <v>6811</v>
      </c>
      <c r="I3661" s="128"/>
      <c r="J3661" s="128" t="s">
        <v>3476</v>
      </c>
      <c r="K3661" s="128" t="s">
        <v>6184</v>
      </c>
      <c r="L3661" s="127" t="s">
        <v>6181</v>
      </c>
      <c r="M3661" s="127">
        <v>633330</v>
      </c>
      <c r="N3661" s="108" t="s">
        <v>6810</v>
      </c>
      <c r="O3661" s="20"/>
      <c r="P3661" s="20"/>
      <c r="Q3661" s="20"/>
    </row>
    <row r="3662" spans="1:17" ht="24.9" customHeight="1">
      <c r="A3662" s="20">
        <v>461</v>
      </c>
      <c r="B3662" s="20" t="s">
        <v>4353</v>
      </c>
      <c r="C3662" s="82"/>
      <c r="D3662" s="20" t="s">
        <v>4706</v>
      </c>
      <c r="E3662" s="19" t="str">
        <f>VLOOKUP(D3662,'لیست پرسنل'!$B$2:$E$1020,3,FALSE)</f>
        <v>کارفرما</v>
      </c>
      <c r="F3662" s="19" t="str">
        <f>VLOOKUP(D3662,'لیست پرسنل'!$B$2:$E$1020,4,FALSE)</f>
        <v>مدیر پروژه کارفرما</v>
      </c>
      <c r="G3662" s="127" t="str">
        <f>VLOOKUP(D3662,'لیست پرسنل'!$B$2:$F$1020,2,FALSE)</f>
        <v>0</v>
      </c>
      <c r="H3662" s="128" t="s">
        <v>4070</v>
      </c>
      <c r="I3662" s="180"/>
      <c r="J3662" s="126" t="s">
        <v>368</v>
      </c>
      <c r="K3662" s="128" t="s">
        <v>2846</v>
      </c>
      <c r="L3662" s="127" t="s">
        <v>4614</v>
      </c>
      <c r="M3662" s="127">
        <v>629831</v>
      </c>
      <c r="N3662" s="109"/>
      <c r="O3662" s="20" t="s">
        <v>705</v>
      </c>
      <c r="P3662" s="19"/>
      <c r="Q3662" s="28"/>
    </row>
    <row r="3663" spans="1:17" ht="24.9" customHeight="1">
      <c r="A3663" s="20">
        <v>461</v>
      </c>
      <c r="B3663" s="20" t="s">
        <v>4353</v>
      </c>
      <c r="C3663" s="19"/>
      <c r="D3663" s="19" t="s">
        <v>4061</v>
      </c>
      <c r="E3663" s="19" t="str">
        <f>VLOOKUP(D3663,'لیست پرسنل'!$B$2:$E$1020,3,FALSE)</f>
        <v>کارفرما</v>
      </c>
      <c r="F3663" s="19" t="str">
        <f>VLOOKUP(D3663,'لیست پرسنل'!$B$2:$E$1020,4,FALSE)</f>
        <v>مدیر پروژه</v>
      </c>
      <c r="G3663" s="127">
        <f>VLOOKUP(D3663,'لیست پرسنل'!$B$2:$F$1020,2,FALSE)</f>
        <v>0</v>
      </c>
      <c r="H3663" s="128" t="s">
        <v>4070</v>
      </c>
      <c r="I3663" s="128"/>
      <c r="J3663" s="128" t="s">
        <v>737</v>
      </c>
      <c r="K3663" s="128" t="s">
        <v>1952</v>
      </c>
      <c r="L3663" s="154" t="s">
        <v>2064</v>
      </c>
      <c r="M3663" s="128">
        <v>627692</v>
      </c>
      <c r="N3663" s="108"/>
      <c r="O3663" s="20"/>
      <c r="P3663" s="20"/>
      <c r="Q3663" s="20"/>
    </row>
    <row r="3664" spans="1:17" ht="24.9" customHeight="1">
      <c r="A3664" s="20">
        <v>461</v>
      </c>
      <c r="B3664" s="20" t="s">
        <v>4362</v>
      </c>
      <c r="C3664" s="19"/>
      <c r="D3664" s="20" t="s">
        <v>48</v>
      </c>
      <c r="E3664" s="19" t="str">
        <f>VLOOKUP(D3664,'لیست پرسنل'!$B$2:$E$1020,3,FALSE)</f>
        <v>فکورصنعت</v>
      </c>
      <c r="F3664" s="19" t="str">
        <f>VLOOKUP(D3664,'لیست پرسنل'!$B$2:$E$1020,4,FALSE)</f>
        <v>سرپرست آی تی</v>
      </c>
      <c r="G3664" s="127">
        <f>VLOOKUP(D3664,'لیست پرسنل'!$B$2:$F$1020,2,FALSE)</f>
        <v>2210</v>
      </c>
      <c r="H3664" s="128" t="s">
        <v>3995</v>
      </c>
      <c r="I3664" s="128"/>
      <c r="J3664" s="128" t="s">
        <v>3145</v>
      </c>
      <c r="K3664" s="128" t="s">
        <v>2736</v>
      </c>
      <c r="L3664" s="128" t="s">
        <v>2737</v>
      </c>
      <c r="M3664" s="128">
        <v>629470</v>
      </c>
      <c r="N3664" s="108"/>
      <c r="O3664" s="19" t="s">
        <v>2749</v>
      </c>
      <c r="P3664" s="20"/>
      <c r="Q3664" s="20"/>
    </row>
    <row r="3665" spans="1:17" ht="24.9" customHeight="1">
      <c r="A3665" s="20">
        <v>461</v>
      </c>
      <c r="B3665" s="20" t="s">
        <v>4362</v>
      </c>
      <c r="C3665" s="19"/>
      <c r="D3665" s="20" t="s">
        <v>48</v>
      </c>
      <c r="E3665" s="19" t="str">
        <f>VLOOKUP(D3665,'لیست پرسنل'!$B$2:$E$1020,3,FALSE)</f>
        <v>فکورصنعت</v>
      </c>
      <c r="F3665" s="19" t="str">
        <f>VLOOKUP(D3665,'لیست پرسنل'!$B$2:$E$1020,4,FALSE)</f>
        <v>سرپرست آی تی</v>
      </c>
      <c r="G3665" s="127">
        <f>VLOOKUP(D3665,'لیست پرسنل'!$B$2:$F$1020,2,FALSE)</f>
        <v>2210</v>
      </c>
      <c r="H3665" s="128" t="s">
        <v>3995</v>
      </c>
      <c r="I3665" s="128"/>
      <c r="J3665" s="128" t="s">
        <v>3145</v>
      </c>
      <c r="K3665" s="128" t="s">
        <v>6167</v>
      </c>
      <c r="L3665" s="150" t="s">
        <v>6166</v>
      </c>
      <c r="M3665" s="128" t="s">
        <v>291</v>
      </c>
      <c r="N3665" s="108"/>
      <c r="O3665" s="19"/>
      <c r="P3665" s="20"/>
      <c r="Q3665" s="20"/>
    </row>
    <row r="3666" spans="1:17" ht="24.9" customHeight="1">
      <c r="A3666" s="20">
        <v>461</v>
      </c>
      <c r="B3666" s="20" t="s">
        <v>4362</v>
      </c>
      <c r="C3666" s="19"/>
      <c r="D3666" s="20" t="s">
        <v>48</v>
      </c>
      <c r="E3666" s="19" t="str">
        <f>VLOOKUP(D3666,'لیست پرسنل'!$B$2:$E$1020,3,FALSE)</f>
        <v>فکورصنعت</v>
      </c>
      <c r="F3666" s="19" t="str">
        <f>VLOOKUP(D3666,'لیست پرسنل'!$B$2:$E$1020,4,FALSE)</f>
        <v>سرپرست آی تی</v>
      </c>
      <c r="G3666" s="127">
        <f>VLOOKUP(D3666,'لیست پرسنل'!$B$2:$F$1020,2,FALSE)</f>
        <v>2210</v>
      </c>
      <c r="H3666" s="128" t="s">
        <v>3995</v>
      </c>
      <c r="I3666" s="128"/>
      <c r="J3666" s="128" t="s">
        <v>3483</v>
      </c>
      <c r="K3666" s="128" t="s">
        <v>2047</v>
      </c>
      <c r="L3666" s="128"/>
      <c r="M3666" s="128">
        <v>627688</v>
      </c>
      <c r="N3666" s="108"/>
      <c r="O3666" s="19" t="s">
        <v>705</v>
      </c>
      <c r="P3666" s="20"/>
      <c r="Q3666" s="20"/>
    </row>
    <row r="3667" spans="1:17" ht="24.9" customHeight="1">
      <c r="A3667" s="20">
        <v>461</v>
      </c>
      <c r="B3667" s="20" t="s">
        <v>4362</v>
      </c>
      <c r="C3667" s="19"/>
      <c r="D3667" s="20" t="s">
        <v>48</v>
      </c>
      <c r="E3667" s="19" t="str">
        <f>VLOOKUP(D3667,'لیست پرسنل'!$B$2:$E$1020,3,FALSE)</f>
        <v>فکورصنعت</v>
      </c>
      <c r="F3667" s="19" t="str">
        <f>VLOOKUP(D3667,'لیست پرسنل'!$B$2:$E$1020,4,FALSE)</f>
        <v>سرپرست آی تی</v>
      </c>
      <c r="G3667" s="127">
        <f>VLOOKUP(D3667,'لیست پرسنل'!$B$2:$F$1020,2,FALSE)</f>
        <v>2210</v>
      </c>
      <c r="H3667" s="128" t="s">
        <v>3995</v>
      </c>
      <c r="I3667" s="128"/>
      <c r="J3667" s="128" t="s">
        <v>3285</v>
      </c>
      <c r="K3667" s="128" t="s">
        <v>2050</v>
      </c>
      <c r="L3667" s="128"/>
      <c r="M3667" s="128">
        <v>627196</v>
      </c>
      <c r="N3667" s="108"/>
      <c r="O3667" s="19" t="s">
        <v>705</v>
      </c>
      <c r="P3667" s="20"/>
      <c r="Q3667" s="20"/>
    </row>
    <row r="3668" spans="1:17" ht="24.9" customHeight="1">
      <c r="A3668" s="20">
        <v>461</v>
      </c>
      <c r="B3668" s="20" t="s">
        <v>4362</v>
      </c>
      <c r="C3668" s="20"/>
      <c r="D3668" s="20" t="s">
        <v>48</v>
      </c>
      <c r="E3668" s="19" t="str">
        <f>VLOOKUP(D3668,'لیست پرسنل'!$B$2:$E$1020,3,FALSE)</f>
        <v>فکورصنعت</v>
      </c>
      <c r="F3668" s="19" t="str">
        <f>VLOOKUP(D3668,'لیست پرسنل'!$B$2:$E$1020,4,FALSE)</f>
        <v>سرپرست آی تی</v>
      </c>
      <c r="G3668" s="127">
        <f>VLOOKUP(D3668,'لیست پرسنل'!$B$2:$F$1020,2,FALSE)</f>
        <v>2210</v>
      </c>
      <c r="H3668" s="128" t="s">
        <v>3995</v>
      </c>
      <c r="I3668" s="128"/>
      <c r="J3668" s="128" t="s">
        <v>2886</v>
      </c>
      <c r="K3668" s="128" t="s">
        <v>3126</v>
      </c>
      <c r="L3668" s="150" t="s">
        <v>3127</v>
      </c>
      <c r="M3668" s="128" t="s">
        <v>291</v>
      </c>
      <c r="N3668" s="108"/>
      <c r="O3668" s="20"/>
      <c r="P3668" s="20"/>
      <c r="Q3668" s="20"/>
    </row>
    <row r="3669" spans="1:17" ht="24.9" customHeight="1">
      <c r="A3669" s="20">
        <v>461</v>
      </c>
      <c r="B3669" s="20" t="s">
        <v>4362</v>
      </c>
      <c r="C3669" s="20"/>
      <c r="D3669" s="20" t="s">
        <v>48</v>
      </c>
      <c r="E3669" s="19" t="str">
        <f>VLOOKUP(D3669,'لیست پرسنل'!$B$2:$E$1020,3,FALSE)</f>
        <v>فکورصنعت</v>
      </c>
      <c r="F3669" s="19" t="str">
        <f>VLOOKUP(D3669,'لیست پرسنل'!$B$2:$E$1020,4,FALSE)</f>
        <v>سرپرست آی تی</v>
      </c>
      <c r="G3669" s="127">
        <f>VLOOKUP(D3669,'لیست پرسنل'!$B$2:$F$1020,2,FALSE)</f>
        <v>2210</v>
      </c>
      <c r="H3669" s="128" t="s">
        <v>3995</v>
      </c>
      <c r="I3669" s="128"/>
      <c r="J3669" s="128" t="s">
        <v>3476</v>
      </c>
      <c r="K3669" s="128" t="s">
        <v>4229</v>
      </c>
      <c r="L3669" s="127" t="s">
        <v>4524</v>
      </c>
      <c r="M3669" s="128">
        <v>629758</v>
      </c>
      <c r="N3669" s="108"/>
      <c r="O3669" s="20" t="s">
        <v>4230</v>
      </c>
      <c r="P3669" s="20"/>
      <c r="Q3669" s="20"/>
    </row>
    <row r="3670" spans="1:17" ht="24.9" customHeight="1">
      <c r="A3670" s="20">
        <v>461</v>
      </c>
      <c r="B3670" s="20" t="s">
        <v>4362</v>
      </c>
      <c r="C3670" s="20"/>
      <c r="D3670" s="20" t="s">
        <v>48</v>
      </c>
      <c r="E3670" s="19" t="str">
        <f>VLOOKUP(D3670,'لیست پرسنل'!$B$2:$E$1020,3,FALSE)</f>
        <v>فکورصنعت</v>
      </c>
      <c r="F3670" s="19" t="str">
        <f>VLOOKUP(D3670,'لیست پرسنل'!$B$2:$E$1020,4,FALSE)</f>
        <v>سرپرست آی تی</v>
      </c>
      <c r="G3670" s="127">
        <f>VLOOKUP(D3670,'لیست پرسنل'!$B$2:$F$1020,2,FALSE)</f>
        <v>2210</v>
      </c>
      <c r="H3670" s="128" t="s">
        <v>3995</v>
      </c>
      <c r="I3670" s="128"/>
      <c r="J3670" s="128" t="s">
        <v>3476</v>
      </c>
      <c r="K3670" s="128" t="s">
        <v>4229</v>
      </c>
      <c r="L3670" s="127" t="s">
        <v>4525</v>
      </c>
      <c r="M3670" s="128">
        <v>629759</v>
      </c>
      <c r="N3670" s="108"/>
      <c r="O3670" s="20" t="s">
        <v>4230</v>
      </c>
      <c r="P3670" s="20"/>
      <c r="Q3670" s="20"/>
    </row>
    <row r="3671" spans="1:17" ht="24.9" customHeight="1">
      <c r="A3671" s="20">
        <v>461</v>
      </c>
      <c r="B3671" s="20" t="s">
        <v>4362</v>
      </c>
      <c r="C3671" s="19"/>
      <c r="D3671" s="19" t="s">
        <v>48</v>
      </c>
      <c r="E3671" s="19" t="str">
        <f>VLOOKUP(D3671,'لیست پرسنل'!$B$2:$E$1020,3,FALSE)</f>
        <v>فکورصنعت</v>
      </c>
      <c r="F3671" s="19" t="str">
        <f>VLOOKUP(D3671,'لیست پرسنل'!$B$2:$E$1020,4,FALSE)</f>
        <v>سرپرست آی تی</v>
      </c>
      <c r="G3671" s="127">
        <f>VLOOKUP(D3671,'لیست پرسنل'!$B$2:$F$1020,2,FALSE)</f>
        <v>2210</v>
      </c>
      <c r="H3671" s="151" t="s">
        <v>3995</v>
      </c>
      <c r="I3671" s="127"/>
      <c r="J3671" s="127" t="s">
        <v>3476</v>
      </c>
      <c r="K3671" s="128" t="s">
        <v>8107</v>
      </c>
      <c r="L3671" s="150" t="s">
        <v>7316</v>
      </c>
      <c r="M3671" s="126">
        <v>635904</v>
      </c>
      <c r="N3671" s="109"/>
      <c r="O3671" s="39"/>
      <c r="P3671" s="20"/>
      <c r="Q3671" s="20"/>
    </row>
    <row r="3672" spans="1:17" ht="24.9" customHeight="1">
      <c r="A3672" s="20">
        <v>461</v>
      </c>
      <c r="B3672" s="20" t="s">
        <v>4362</v>
      </c>
      <c r="C3672" s="20"/>
      <c r="D3672" s="20" t="s">
        <v>48</v>
      </c>
      <c r="E3672" s="19" t="str">
        <f>VLOOKUP(D3672,'لیست پرسنل'!$B$2:$E$1020,3,FALSE)</f>
        <v>فکورصنعت</v>
      </c>
      <c r="F3672" s="19" t="str">
        <f>VLOOKUP(D3672,'لیست پرسنل'!$B$2:$E$1020,4,FALSE)</f>
        <v>سرپرست آی تی</v>
      </c>
      <c r="G3672" s="127">
        <f>VLOOKUP(D3672,'لیست پرسنل'!$B$2:$F$1020,2,FALSE)</f>
        <v>2210</v>
      </c>
      <c r="H3672" s="126" t="s">
        <v>3995</v>
      </c>
      <c r="I3672" s="128"/>
      <c r="J3672" s="128" t="s">
        <v>3506</v>
      </c>
      <c r="K3672" s="128" t="s">
        <v>5284</v>
      </c>
      <c r="L3672" s="128" t="s">
        <v>5281</v>
      </c>
      <c r="M3672" s="128">
        <v>630655</v>
      </c>
      <c r="N3672" s="108"/>
      <c r="O3672" s="20" t="s">
        <v>5283</v>
      </c>
      <c r="P3672" s="20"/>
      <c r="Q3672" s="20"/>
    </row>
    <row r="3673" spans="1:17" ht="24.9" customHeight="1">
      <c r="A3673" s="20">
        <v>461</v>
      </c>
      <c r="B3673" s="20" t="s">
        <v>4362</v>
      </c>
      <c r="C3673" s="20"/>
      <c r="D3673" s="20" t="s">
        <v>48</v>
      </c>
      <c r="E3673" s="19" t="str">
        <f>VLOOKUP(D3673,'لیست پرسنل'!$B$2:$E$1020,3,FALSE)</f>
        <v>فکورصنعت</v>
      </c>
      <c r="F3673" s="19" t="str">
        <f>VLOOKUP(D3673,'لیست پرسنل'!$B$2:$E$1020,4,FALSE)</f>
        <v>سرپرست آی تی</v>
      </c>
      <c r="G3673" s="127">
        <f>VLOOKUP(D3673,'لیست پرسنل'!$B$2:$F$1020,2,FALSE)</f>
        <v>2210</v>
      </c>
      <c r="H3673" s="128" t="s">
        <v>5234</v>
      </c>
      <c r="I3673" s="128"/>
      <c r="J3673" s="128" t="s">
        <v>3285</v>
      </c>
      <c r="K3673" s="128" t="s">
        <v>844</v>
      </c>
      <c r="L3673" s="127" t="s">
        <v>4535</v>
      </c>
      <c r="M3673" s="128">
        <v>629788</v>
      </c>
      <c r="N3673" s="108"/>
      <c r="O3673" s="20" t="s">
        <v>5235</v>
      </c>
      <c r="P3673" s="20"/>
      <c r="Q3673" s="20"/>
    </row>
    <row r="3674" spans="1:17" ht="24.9" customHeight="1">
      <c r="A3674" s="20">
        <v>461</v>
      </c>
      <c r="B3674" s="20" t="s">
        <v>4362</v>
      </c>
      <c r="C3674" s="19"/>
      <c r="D3674" s="20" t="s">
        <v>48</v>
      </c>
      <c r="E3674" s="19" t="str">
        <f>VLOOKUP(D3674,'لیست پرسنل'!$B$2:$E$1020,3,FALSE)</f>
        <v>فکورصنعت</v>
      </c>
      <c r="F3674" s="19" t="str">
        <f>VLOOKUP(D3674,'لیست پرسنل'!$B$2:$E$1020,4,FALSE)</f>
        <v>سرپرست آی تی</v>
      </c>
      <c r="G3674" s="127">
        <f>VLOOKUP(D3674,'لیست پرسنل'!$B$2:$F$1020,2,FALSE)</f>
        <v>2210</v>
      </c>
      <c r="H3674" s="128" t="s">
        <v>4533</v>
      </c>
      <c r="I3674" s="128"/>
      <c r="J3674" s="128" t="s">
        <v>3483</v>
      </c>
      <c r="K3674" s="128" t="s">
        <v>4528</v>
      </c>
      <c r="L3674" s="128"/>
      <c r="M3674" s="128">
        <v>629771</v>
      </c>
      <c r="N3674" s="108"/>
      <c r="O3674" s="20" t="s">
        <v>4230</v>
      </c>
      <c r="P3674" s="20"/>
      <c r="Q3674" s="20"/>
    </row>
    <row r="3675" spans="1:17" ht="24.9" customHeight="1">
      <c r="A3675" s="20">
        <v>461</v>
      </c>
      <c r="B3675" s="20" t="s">
        <v>4362</v>
      </c>
      <c r="C3675" s="19"/>
      <c r="D3675" s="20" t="s">
        <v>48</v>
      </c>
      <c r="E3675" s="19" t="str">
        <f>VLOOKUP(D3675,'لیست پرسنل'!$B$2:$E$1020,3,FALSE)</f>
        <v>فکورصنعت</v>
      </c>
      <c r="F3675" s="19" t="str">
        <f>VLOOKUP(D3675,'لیست پرسنل'!$B$2:$E$1020,4,FALSE)</f>
        <v>سرپرست آی تی</v>
      </c>
      <c r="G3675" s="127">
        <f>VLOOKUP(D3675,'لیست پرسنل'!$B$2:$F$1020,2,FALSE)</f>
        <v>2210</v>
      </c>
      <c r="H3675" s="128" t="s">
        <v>4533</v>
      </c>
      <c r="I3675" s="128"/>
      <c r="J3675" s="128" t="s">
        <v>3476</v>
      </c>
      <c r="K3675" s="128" t="s">
        <v>4229</v>
      </c>
      <c r="L3675" s="127" t="s">
        <v>4534</v>
      </c>
      <c r="M3675" s="128">
        <v>629761</v>
      </c>
      <c r="N3675" s="108"/>
      <c r="O3675" s="20" t="s">
        <v>4230</v>
      </c>
      <c r="P3675" s="20"/>
      <c r="Q3675" s="20"/>
    </row>
    <row r="3676" spans="1:17" ht="24.9" customHeight="1">
      <c r="A3676" s="20">
        <v>461</v>
      </c>
      <c r="B3676" s="20" t="s">
        <v>4362</v>
      </c>
      <c r="C3676" s="20"/>
      <c r="D3676" s="20" t="s">
        <v>2051</v>
      </c>
      <c r="E3676" s="19" t="str">
        <f>VLOOKUP(D3676,'لیست پرسنل'!$B$2:$E$1020,3,FALSE)</f>
        <v>فکورصنعت</v>
      </c>
      <c r="F3676" s="19" t="str">
        <f>VLOOKUP(D3676,'لیست پرسنل'!$B$2:$E$1020,4,FALSE)</f>
        <v>انبار</v>
      </c>
      <c r="G3676" s="127">
        <f>VLOOKUP(D3676,'لیست پرسنل'!$B$2:$F$1020,2,FALSE)</f>
        <v>3771</v>
      </c>
      <c r="H3676" s="128" t="s">
        <v>3997</v>
      </c>
      <c r="I3676" s="128"/>
      <c r="J3676" s="128" t="s">
        <v>3145</v>
      </c>
      <c r="K3676" s="128" t="s">
        <v>3145</v>
      </c>
      <c r="L3676" s="150" t="s">
        <v>1918</v>
      </c>
      <c r="M3676" s="128" t="s">
        <v>291</v>
      </c>
      <c r="N3676" s="108"/>
      <c r="O3676" s="20" t="s">
        <v>3146</v>
      </c>
      <c r="P3676" s="20"/>
      <c r="Q3676" s="20"/>
    </row>
    <row r="3677" spans="1:17" ht="24.9" customHeight="1">
      <c r="A3677" s="20">
        <v>461</v>
      </c>
      <c r="B3677" s="20" t="s">
        <v>4362</v>
      </c>
      <c r="C3677" s="20"/>
      <c r="D3677" s="20" t="s">
        <v>2051</v>
      </c>
      <c r="E3677" s="19" t="str">
        <f>VLOOKUP(D3677,'لیست پرسنل'!$B$2:$E$1020,3,FALSE)</f>
        <v>فکورصنعت</v>
      </c>
      <c r="F3677" s="19" t="str">
        <f>VLOOKUP(D3677,'لیست پرسنل'!$B$2:$E$1020,4,FALSE)</f>
        <v>انبار</v>
      </c>
      <c r="G3677" s="127">
        <f>VLOOKUP(D3677,'لیست پرسنل'!$B$2:$F$1020,2,FALSE)</f>
        <v>3771</v>
      </c>
      <c r="H3677" s="128" t="s">
        <v>4531</v>
      </c>
      <c r="I3677" s="128"/>
      <c r="J3677" s="128" t="s">
        <v>3483</v>
      </c>
      <c r="K3677" s="128" t="s">
        <v>4528</v>
      </c>
      <c r="L3677" s="128"/>
      <c r="M3677" s="128">
        <v>629770</v>
      </c>
      <c r="N3677" s="108"/>
      <c r="O3677" s="20" t="s">
        <v>4230</v>
      </c>
      <c r="P3677" s="20"/>
      <c r="Q3677" s="20"/>
    </row>
    <row r="3678" spans="1:17" ht="24.9" customHeight="1">
      <c r="A3678" s="20">
        <v>461</v>
      </c>
      <c r="B3678" s="20" t="s">
        <v>4362</v>
      </c>
      <c r="C3678" s="20"/>
      <c r="D3678" s="20" t="s">
        <v>2051</v>
      </c>
      <c r="E3678" s="19" t="str">
        <f>VLOOKUP(D3678,'لیست پرسنل'!$B$2:$E$1020,3,FALSE)</f>
        <v>فکورصنعت</v>
      </c>
      <c r="F3678" s="19" t="str">
        <f>VLOOKUP(D3678,'لیست پرسنل'!$B$2:$E$1020,4,FALSE)</f>
        <v>انبار</v>
      </c>
      <c r="G3678" s="127">
        <f>VLOOKUP(D3678,'لیست پرسنل'!$B$2:$F$1020,2,FALSE)</f>
        <v>3771</v>
      </c>
      <c r="H3678" s="128" t="s">
        <v>4531</v>
      </c>
      <c r="I3678" s="128"/>
      <c r="J3678" s="128" t="s">
        <v>3476</v>
      </c>
      <c r="K3678" s="128" t="s">
        <v>4229</v>
      </c>
      <c r="L3678" s="127" t="s">
        <v>4532</v>
      </c>
      <c r="M3678" s="128">
        <v>629762</v>
      </c>
      <c r="N3678" s="108"/>
      <c r="O3678" s="20" t="s">
        <v>4230</v>
      </c>
      <c r="P3678" s="20"/>
      <c r="Q3678" s="20"/>
    </row>
    <row r="3679" spans="1:17" ht="24.9" customHeight="1">
      <c r="A3679" s="20">
        <v>461</v>
      </c>
      <c r="B3679" s="20" t="s">
        <v>4362</v>
      </c>
      <c r="C3679" s="20"/>
      <c r="D3679" s="20" t="s">
        <v>2051</v>
      </c>
      <c r="E3679" s="19" t="str">
        <f>VLOOKUP(D3679,'لیست پرسنل'!$B$2:$E$1020,3,FALSE)</f>
        <v>فکورصنعت</v>
      </c>
      <c r="F3679" s="19" t="str">
        <f>VLOOKUP(D3679,'لیست پرسنل'!$B$2:$E$1020,4,FALSE)</f>
        <v>انبار</v>
      </c>
      <c r="G3679" s="127">
        <f>VLOOKUP(D3679,'لیست پرسنل'!$B$2:$F$1020,2,FALSE)</f>
        <v>3771</v>
      </c>
      <c r="H3679" s="128" t="s">
        <v>4529</v>
      </c>
      <c r="I3679" s="128"/>
      <c r="J3679" s="128" t="s">
        <v>3483</v>
      </c>
      <c r="K3679" s="128" t="s">
        <v>4528</v>
      </c>
      <c r="L3679" s="128"/>
      <c r="M3679" s="128">
        <v>629769</v>
      </c>
      <c r="N3679" s="108"/>
      <c r="O3679" s="20" t="s">
        <v>4230</v>
      </c>
      <c r="P3679" s="20"/>
      <c r="Q3679" s="20"/>
    </row>
    <row r="3680" spans="1:17" ht="24.9" customHeight="1">
      <c r="A3680" s="20">
        <v>461</v>
      </c>
      <c r="B3680" s="20" t="s">
        <v>4362</v>
      </c>
      <c r="C3680" s="20"/>
      <c r="D3680" s="20" t="s">
        <v>2051</v>
      </c>
      <c r="E3680" s="19" t="str">
        <f>VLOOKUP(D3680,'لیست پرسنل'!$B$2:$E$1020,3,FALSE)</f>
        <v>فکورصنعت</v>
      </c>
      <c r="F3680" s="19" t="str">
        <f>VLOOKUP(D3680,'لیست پرسنل'!$B$2:$E$1020,4,FALSE)</f>
        <v>انبار</v>
      </c>
      <c r="G3680" s="127">
        <f>VLOOKUP(D3680,'لیست پرسنل'!$B$2:$F$1020,2,FALSE)</f>
        <v>3771</v>
      </c>
      <c r="H3680" s="128" t="s">
        <v>4529</v>
      </c>
      <c r="I3680" s="128"/>
      <c r="J3680" s="128" t="s">
        <v>3476</v>
      </c>
      <c r="K3680" s="128" t="s">
        <v>4229</v>
      </c>
      <c r="L3680" s="127" t="s">
        <v>4530</v>
      </c>
      <c r="M3680" s="128">
        <v>629765</v>
      </c>
      <c r="N3680" s="108"/>
      <c r="O3680" s="20" t="s">
        <v>4230</v>
      </c>
      <c r="P3680" s="20"/>
      <c r="Q3680" s="20"/>
    </row>
    <row r="3681" spans="1:17" ht="24.9" customHeight="1">
      <c r="A3681" s="20">
        <v>461</v>
      </c>
      <c r="B3681" s="20" t="s">
        <v>4362</v>
      </c>
      <c r="C3681" s="20"/>
      <c r="D3681" s="20" t="s">
        <v>2051</v>
      </c>
      <c r="E3681" s="19" t="str">
        <f>VLOOKUP(D3681,'لیست پرسنل'!$B$2:$E$1020,3,FALSE)</f>
        <v>فکورصنعت</v>
      </c>
      <c r="F3681" s="19" t="str">
        <f>VLOOKUP(D3681,'لیست پرسنل'!$B$2:$E$1020,4,FALSE)</f>
        <v>انبار</v>
      </c>
      <c r="G3681" s="127">
        <f>VLOOKUP(D3681,'لیست پرسنل'!$B$2:$F$1020,2,FALSE)</f>
        <v>3771</v>
      </c>
      <c r="H3681" s="128" t="s">
        <v>4527</v>
      </c>
      <c r="I3681" s="128"/>
      <c r="J3681" s="128" t="s">
        <v>3483</v>
      </c>
      <c r="K3681" s="128" t="s">
        <v>4528</v>
      </c>
      <c r="L3681" s="128"/>
      <c r="M3681" s="128">
        <v>629772</v>
      </c>
      <c r="N3681" s="108"/>
      <c r="O3681" s="20" t="s">
        <v>4230</v>
      </c>
      <c r="P3681" s="20"/>
      <c r="Q3681" s="20"/>
    </row>
    <row r="3682" spans="1:17" ht="24.9" customHeight="1">
      <c r="A3682" s="20">
        <v>461</v>
      </c>
      <c r="B3682" s="20" t="s">
        <v>4362</v>
      </c>
      <c r="C3682" s="20"/>
      <c r="D3682" s="20" t="s">
        <v>2051</v>
      </c>
      <c r="E3682" s="19" t="str">
        <f>VLOOKUP(D3682,'لیست پرسنل'!$B$2:$E$1020,3,FALSE)</f>
        <v>فکورصنعت</v>
      </c>
      <c r="F3682" s="19" t="str">
        <f>VLOOKUP(D3682,'لیست پرسنل'!$B$2:$E$1020,4,FALSE)</f>
        <v>انبار</v>
      </c>
      <c r="G3682" s="127">
        <f>VLOOKUP(D3682,'لیست پرسنل'!$B$2:$F$1020,2,FALSE)</f>
        <v>3771</v>
      </c>
      <c r="H3682" s="128" t="s">
        <v>4527</v>
      </c>
      <c r="I3682" s="128"/>
      <c r="J3682" s="128" t="s">
        <v>3476</v>
      </c>
      <c r="K3682" s="128" t="s">
        <v>4229</v>
      </c>
      <c r="L3682" s="127" t="s">
        <v>4526</v>
      </c>
      <c r="M3682" s="128">
        <v>629760</v>
      </c>
      <c r="N3682" s="108"/>
      <c r="O3682" s="20" t="s">
        <v>4230</v>
      </c>
      <c r="P3682" s="20"/>
      <c r="Q3682" s="20"/>
    </row>
    <row r="3683" spans="1:17" ht="24.9" customHeight="1">
      <c r="A3683" s="20">
        <v>461</v>
      </c>
      <c r="B3683" s="20" t="s">
        <v>4362</v>
      </c>
      <c r="C3683" s="20"/>
      <c r="D3683" s="20" t="s">
        <v>2051</v>
      </c>
      <c r="E3683" s="19" t="str">
        <f>VLOOKUP(D3683,'لیست پرسنل'!$B$2:$E$1020,3,FALSE)</f>
        <v>فکورصنعت</v>
      </c>
      <c r="F3683" s="19" t="str">
        <f>VLOOKUP(D3683,'لیست پرسنل'!$B$2:$E$1020,4,FALSE)</f>
        <v>انبار</v>
      </c>
      <c r="G3683" s="127">
        <f>VLOOKUP(D3683,'لیست پرسنل'!$B$2:$F$1020,2,FALSE)</f>
        <v>3771</v>
      </c>
      <c r="H3683" s="128" t="s">
        <v>4071</v>
      </c>
      <c r="I3683" s="128"/>
      <c r="J3683" s="128" t="s">
        <v>3938</v>
      </c>
      <c r="K3683" s="128" t="s">
        <v>1923</v>
      </c>
      <c r="L3683" s="150" t="s">
        <v>1830</v>
      </c>
      <c r="M3683" s="128">
        <v>625937</v>
      </c>
      <c r="N3683" s="108"/>
      <c r="O3683" s="20"/>
      <c r="P3683" s="20"/>
      <c r="Q3683" s="20"/>
    </row>
    <row r="3684" spans="1:17" ht="24.9" customHeight="1">
      <c r="A3684" s="20">
        <v>461</v>
      </c>
      <c r="B3684" s="20" t="s">
        <v>4362</v>
      </c>
      <c r="C3684" s="19"/>
      <c r="D3684" s="20" t="s">
        <v>4572</v>
      </c>
      <c r="E3684" s="19" t="str">
        <f>VLOOKUP(D3684,'لیست پرسنل'!$B$2:$E$1020,3,FALSE)</f>
        <v>مخابرات بردسیر</v>
      </c>
      <c r="F3684" s="19" t="str">
        <f>VLOOKUP(D3684,'لیست پرسنل'!$B$2:$E$1020,4,FALSE)</f>
        <v>مخابرات بردسیر</v>
      </c>
      <c r="G3684" s="127">
        <f>VLOOKUP(D3684,'لیست پرسنل'!$B$2:$F$1020,2,FALSE)</f>
        <v>0</v>
      </c>
      <c r="H3684" s="126" t="s">
        <v>4574</v>
      </c>
      <c r="I3684" s="128"/>
      <c r="J3684" s="128" t="s">
        <v>3481</v>
      </c>
      <c r="K3684" s="128" t="s">
        <v>4578</v>
      </c>
      <c r="L3684" s="127" t="s">
        <v>4576</v>
      </c>
      <c r="M3684" s="128" t="s">
        <v>291</v>
      </c>
      <c r="N3684" s="108"/>
      <c r="O3684" s="20" t="s">
        <v>4575</v>
      </c>
      <c r="P3684" s="20"/>
      <c r="Q3684" s="20"/>
    </row>
    <row r="3685" spans="1:17" ht="24.9" customHeight="1">
      <c r="A3685" s="20">
        <v>461</v>
      </c>
      <c r="B3685" s="20" t="s">
        <v>4362</v>
      </c>
      <c r="C3685" s="19"/>
      <c r="D3685" s="20" t="s">
        <v>4572</v>
      </c>
      <c r="E3685" s="19" t="str">
        <f>VLOOKUP(D3685,'لیست پرسنل'!$B$2:$E$1020,3,FALSE)</f>
        <v>مخابرات بردسیر</v>
      </c>
      <c r="F3685" s="19" t="str">
        <f>VLOOKUP(D3685,'لیست پرسنل'!$B$2:$E$1020,4,FALSE)</f>
        <v>مخابرات بردسیر</v>
      </c>
      <c r="G3685" s="127">
        <f>VLOOKUP(D3685,'لیست پرسنل'!$B$2:$F$1020,2,FALSE)</f>
        <v>0</v>
      </c>
      <c r="H3685" s="126" t="s">
        <v>4574</v>
      </c>
      <c r="I3685" s="128"/>
      <c r="J3685" s="128" t="s">
        <v>3481</v>
      </c>
      <c r="K3685" s="128" t="s">
        <v>4578</v>
      </c>
      <c r="L3685" s="127" t="s">
        <v>4577</v>
      </c>
      <c r="M3685" s="128" t="s">
        <v>291</v>
      </c>
      <c r="N3685" s="108"/>
      <c r="O3685" s="20" t="s">
        <v>4575</v>
      </c>
      <c r="P3685" s="20"/>
      <c r="Q3685" s="20"/>
    </row>
    <row r="3686" spans="1:17" ht="24.9" customHeight="1">
      <c r="A3686" s="20">
        <v>476</v>
      </c>
      <c r="B3686" s="20"/>
      <c r="C3686" s="20"/>
      <c r="D3686" s="20" t="s">
        <v>48</v>
      </c>
      <c r="E3686" s="19" t="str">
        <f>VLOOKUP(D3686,'لیست پرسنل'!$B$2:$E$1020,3,FALSE)</f>
        <v>فکورصنعت</v>
      </c>
      <c r="F3686" s="19" t="str">
        <f>VLOOKUP(D3686,'لیست پرسنل'!$B$2:$E$1020,4,FALSE)</f>
        <v>سرپرست آی تی</v>
      </c>
      <c r="G3686" s="127">
        <f>VLOOKUP(D3686,'لیست پرسنل'!$B$2:$F$1020,2,FALSE)</f>
        <v>2210</v>
      </c>
      <c r="H3686" s="127" t="s">
        <v>8530</v>
      </c>
      <c r="I3686" s="127"/>
      <c r="J3686" s="128" t="s">
        <v>1967</v>
      </c>
      <c r="K3686" s="127" t="s">
        <v>8563</v>
      </c>
      <c r="L3686" s="127"/>
      <c r="M3686" s="194" t="s">
        <v>4371</v>
      </c>
      <c r="N3686" s="109"/>
      <c r="O3686" s="20" t="s">
        <v>8557</v>
      </c>
      <c r="P3686" s="20"/>
      <c r="Q3686" s="20"/>
    </row>
    <row r="3687" spans="1:17" ht="24.9" customHeight="1">
      <c r="A3687" s="20">
        <v>476</v>
      </c>
      <c r="B3687" s="20"/>
      <c r="C3687" s="20"/>
      <c r="D3687" s="20" t="s">
        <v>48</v>
      </c>
      <c r="E3687" s="19" t="str">
        <f>VLOOKUP(D3687,'لیست پرسنل'!$B$2:$E$1020,3,FALSE)</f>
        <v>فکورصنعت</v>
      </c>
      <c r="F3687" s="19" t="str">
        <f>VLOOKUP(D3687,'لیست پرسنل'!$B$2:$E$1020,4,FALSE)</f>
        <v>سرپرست آی تی</v>
      </c>
      <c r="G3687" s="127">
        <f>VLOOKUP(D3687,'لیست پرسنل'!$B$2:$F$1020,2,FALSE)</f>
        <v>2210</v>
      </c>
      <c r="H3687" s="127" t="s">
        <v>8530</v>
      </c>
      <c r="I3687" s="127"/>
      <c r="J3687" s="128" t="s">
        <v>8531</v>
      </c>
      <c r="K3687" s="127" t="s">
        <v>8532</v>
      </c>
      <c r="L3687" s="127"/>
      <c r="M3687" s="128" t="s">
        <v>4371</v>
      </c>
      <c r="N3687" s="109"/>
      <c r="O3687" s="20" t="s">
        <v>8535</v>
      </c>
      <c r="P3687" s="20"/>
      <c r="Q3687" s="20"/>
    </row>
    <row r="3688" spans="1:17" ht="24.9" customHeight="1">
      <c r="A3688" s="20">
        <v>476</v>
      </c>
      <c r="B3688" s="20"/>
      <c r="C3688" s="20"/>
      <c r="D3688" s="20" t="s">
        <v>48</v>
      </c>
      <c r="E3688" s="19" t="str">
        <f>VLOOKUP(D3688,'لیست پرسنل'!$B$2:$E$1020,3,FALSE)</f>
        <v>فکورصنعت</v>
      </c>
      <c r="F3688" s="19" t="str">
        <f>VLOOKUP(D3688,'لیست پرسنل'!$B$2:$E$1020,4,FALSE)</f>
        <v>سرپرست آی تی</v>
      </c>
      <c r="G3688" s="127">
        <f>VLOOKUP(D3688,'لیست پرسنل'!$B$2:$F$1020,2,FALSE)</f>
        <v>2210</v>
      </c>
      <c r="H3688" s="127" t="s">
        <v>8530</v>
      </c>
      <c r="I3688" s="127"/>
      <c r="J3688" s="128" t="s">
        <v>8531</v>
      </c>
      <c r="K3688" s="127" t="s">
        <v>8561</v>
      </c>
      <c r="L3688" s="127"/>
      <c r="M3688" s="194" t="s">
        <v>4371</v>
      </c>
      <c r="N3688" s="109"/>
      <c r="O3688" s="20" t="s">
        <v>8557</v>
      </c>
      <c r="P3688" s="20"/>
      <c r="Q3688" s="20"/>
    </row>
    <row r="3689" spans="1:17" ht="24.9" customHeight="1">
      <c r="A3689" s="20">
        <v>476</v>
      </c>
      <c r="B3689" s="20"/>
      <c r="C3689" s="20"/>
      <c r="D3689" s="20" t="s">
        <v>48</v>
      </c>
      <c r="E3689" s="19" t="str">
        <f>VLOOKUP(D3689,'لیست پرسنل'!$B$2:$E$1020,3,FALSE)</f>
        <v>فکورصنعت</v>
      </c>
      <c r="F3689" s="19" t="str">
        <f>VLOOKUP(D3689,'لیست پرسنل'!$B$2:$E$1020,4,FALSE)</f>
        <v>سرپرست آی تی</v>
      </c>
      <c r="G3689" s="127">
        <f>VLOOKUP(D3689,'لیست پرسنل'!$B$2:$F$1020,2,FALSE)</f>
        <v>2210</v>
      </c>
      <c r="H3689" s="127" t="s">
        <v>8530</v>
      </c>
      <c r="I3689" s="127"/>
      <c r="J3689" s="128" t="s">
        <v>3481</v>
      </c>
      <c r="K3689" s="127" t="s">
        <v>8534</v>
      </c>
      <c r="L3689" s="127" t="s">
        <v>8533</v>
      </c>
      <c r="M3689" s="128" t="s">
        <v>4371</v>
      </c>
      <c r="N3689" s="109"/>
      <c r="O3689" s="20" t="s">
        <v>8535</v>
      </c>
      <c r="P3689" s="20"/>
      <c r="Q3689" s="20"/>
    </row>
    <row r="3690" spans="1:17" ht="24.9" customHeight="1">
      <c r="A3690" s="20">
        <v>476</v>
      </c>
      <c r="B3690" s="20"/>
      <c r="C3690" s="20"/>
      <c r="D3690" s="20" t="s">
        <v>48</v>
      </c>
      <c r="E3690" s="19" t="str">
        <f>VLOOKUP(D3690,'لیست پرسنل'!$B$2:$E$1020,3,FALSE)</f>
        <v>فکورصنعت</v>
      </c>
      <c r="F3690" s="19" t="str">
        <f>VLOOKUP(D3690,'لیست پرسنل'!$B$2:$E$1020,4,FALSE)</f>
        <v>سرپرست آی تی</v>
      </c>
      <c r="G3690" s="127">
        <f>VLOOKUP(D3690,'لیست پرسنل'!$B$2:$F$1020,2,FALSE)</f>
        <v>2210</v>
      </c>
      <c r="H3690" s="127" t="s">
        <v>8530</v>
      </c>
      <c r="I3690" s="127"/>
      <c r="J3690" s="128" t="s">
        <v>3481</v>
      </c>
      <c r="K3690" s="127" t="s">
        <v>8562</v>
      </c>
      <c r="L3690" s="127"/>
      <c r="M3690" s="194" t="s">
        <v>4371</v>
      </c>
      <c r="N3690" s="109"/>
      <c r="O3690" s="20" t="s">
        <v>8557</v>
      </c>
      <c r="P3690" s="20"/>
      <c r="Q3690" s="20"/>
    </row>
    <row r="3691" spans="1:17" ht="24.9" customHeight="1">
      <c r="A3691" s="20">
        <v>476</v>
      </c>
      <c r="B3691" s="20"/>
      <c r="C3691" s="20"/>
      <c r="D3691" s="20" t="s">
        <v>8459</v>
      </c>
      <c r="E3691" s="19" t="str">
        <f>VLOOKUP(D3691,'لیست پرسنل'!$B$2:$E$1020,3,FALSE)</f>
        <v>فکور صنعت</v>
      </c>
      <c r="F3691" s="19" t="str">
        <f>VLOOKUP(D3691,'لیست پرسنل'!$B$2:$E$1020,4,FALSE)</f>
        <v>مدیریت سایت</v>
      </c>
      <c r="G3691" s="127">
        <f>VLOOKUP(D3691,'لیست پرسنل'!$B$2:$F$1020,2,FALSE)</f>
        <v>4040804</v>
      </c>
      <c r="H3691" s="128" t="s">
        <v>8461</v>
      </c>
      <c r="I3691" s="128"/>
      <c r="J3691" s="128" t="s">
        <v>571</v>
      </c>
      <c r="K3691" s="128" t="s">
        <v>7675</v>
      </c>
      <c r="L3691" s="128" t="s">
        <v>2219</v>
      </c>
      <c r="M3691" s="128">
        <v>636113</v>
      </c>
      <c r="N3691" s="108"/>
      <c r="O3691" s="20"/>
      <c r="P3691" s="20"/>
      <c r="Q3691" s="20"/>
    </row>
    <row r="3692" spans="1:17" ht="24.9" customHeight="1">
      <c r="A3692" s="185">
        <v>476</v>
      </c>
      <c r="B3692" s="185"/>
      <c r="C3692" s="185"/>
      <c r="D3692" s="67" t="s">
        <v>8459</v>
      </c>
      <c r="E3692" s="186" t="str">
        <f>VLOOKUP(D3692,'لیست پرسنل'!$B$2:$E$1020,3,FALSE)</f>
        <v>فکور صنعت</v>
      </c>
      <c r="F3692" s="186" t="str">
        <f>VLOOKUP(D3692,'لیست پرسنل'!$B$2:$E$1020,4,FALSE)</f>
        <v>مدیریت سایت</v>
      </c>
      <c r="G3692" s="187">
        <f>VLOOKUP(D3692,'لیست پرسنل'!$B$2:$F$1020,2,FALSE)</f>
        <v>4040804</v>
      </c>
      <c r="H3692" s="188" t="s">
        <v>8461</v>
      </c>
      <c r="I3692" s="194"/>
      <c r="J3692" s="188" t="s">
        <v>2686</v>
      </c>
      <c r="K3692" s="188" t="s">
        <v>2922</v>
      </c>
      <c r="L3692" s="188" t="s">
        <v>3009</v>
      </c>
      <c r="M3692" s="190">
        <v>626492</v>
      </c>
      <c r="N3692" s="198"/>
      <c r="O3692" s="185" t="s">
        <v>705</v>
      </c>
      <c r="P3692" s="185"/>
      <c r="Q3692" s="185"/>
    </row>
    <row r="3693" spans="1:17" ht="24.9" customHeight="1">
      <c r="A3693" s="20">
        <v>476</v>
      </c>
      <c r="B3693" s="20"/>
      <c r="C3693" s="20"/>
      <c r="D3693" s="20" t="s">
        <v>8462</v>
      </c>
      <c r="E3693" s="19" t="str">
        <f>VLOOKUP(D3693,'لیست پرسنل'!$B$2:$E$1020,3,FALSE)</f>
        <v>گهر كوشان سپهر</v>
      </c>
      <c r="F3693" s="19" t="str">
        <f>VLOOKUP(D3693,'لیست پرسنل'!$B$2:$E$1020,4,FALSE)</f>
        <v>کارشناس برنامه ریزی و کنترل پروژه</v>
      </c>
      <c r="G3693" s="127">
        <f>VLOOKUP(D3693,'لیست پرسنل'!$B$2:$F$1020,2,FALSE)</f>
        <v>21084</v>
      </c>
      <c r="H3693" s="127" t="s">
        <v>8461</v>
      </c>
      <c r="I3693" s="127"/>
      <c r="J3693" s="128" t="s">
        <v>737</v>
      </c>
      <c r="K3693" s="127" t="s">
        <v>8466</v>
      </c>
      <c r="L3693" s="127" t="s">
        <v>8467</v>
      </c>
      <c r="M3693" s="128" t="s">
        <v>4371</v>
      </c>
      <c r="N3693" s="109" t="s">
        <v>8468</v>
      </c>
      <c r="O3693" s="20"/>
      <c r="P3693" s="20"/>
      <c r="Q3693" s="20"/>
    </row>
    <row r="3694" spans="1:17" ht="24.9" customHeight="1">
      <c r="A3694" s="20">
        <v>476</v>
      </c>
      <c r="B3694" s="20"/>
      <c r="C3694" s="20"/>
      <c r="D3694" s="20" t="s">
        <v>8462</v>
      </c>
      <c r="E3694" s="19" t="str">
        <f>VLOOKUP(D3694,'لیست پرسنل'!$B$2:$E$1020,3,FALSE)</f>
        <v>گهر كوشان سپهر</v>
      </c>
      <c r="F3694" s="19" t="str">
        <f>VLOOKUP(D3694,'لیست پرسنل'!$B$2:$E$1020,4,FALSE)</f>
        <v>کارشناس برنامه ریزی و کنترل پروژه</v>
      </c>
      <c r="G3694" s="127">
        <f>VLOOKUP(D3694,'لیست پرسنل'!$B$2:$F$1020,2,FALSE)</f>
        <v>21084</v>
      </c>
      <c r="H3694" s="127" t="s">
        <v>8461</v>
      </c>
      <c r="I3694" s="127"/>
      <c r="J3694" s="128" t="s">
        <v>3938</v>
      </c>
      <c r="K3694" s="127" t="s">
        <v>8469</v>
      </c>
      <c r="L3694" s="151" t="s">
        <v>8470</v>
      </c>
      <c r="M3694" s="128" t="s">
        <v>4371</v>
      </c>
      <c r="N3694" s="109" t="s">
        <v>8468</v>
      </c>
      <c r="O3694" s="20"/>
      <c r="P3694" s="20"/>
      <c r="Q3694" s="20"/>
    </row>
    <row r="3695" spans="1:17" ht="24.9" customHeight="1">
      <c r="A3695" s="20">
        <v>476</v>
      </c>
      <c r="B3695" s="20"/>
      <c r="C3695" s="20"/>
      <c r="D3695" s="31" t="s">
        <v>8462</v>
      </c>
      <c r="E3695" s="19" t="str">
        <f>VLOOKUP(D3695,'لیست پرسنل'!$B$2:$E$1020,3,FALSE)</f>
        <v>گهر كوشان سپهر</v>
      </c>
      <c r="F3695" s="19" t="str">
        <f>VLOOKUP(D3695,'لیست پرسنل'!$B$2:$E$1020,4,FALSE)</f>
        <v>کارشناس برنامه ریزی و کنترل پروژه</v>
      </c>
      <c r="G3695" s="127">
        <f>VLOOKUP(D3695,'لیست پرسنل'!$B$2:$F$1020,2,FALSE)</f>
        <v>21084</v>
      </c>
      <c r="H3695" s="127" t="s">
        <v>8461</v>
      </c>
      <c r="I3695" s="127"/>
      <c r="J3695" s="128" t="s">
        <v>571</v>
      </c>
      <c r="K3695" s="128"/>
      <c r="L3695" s="128"/>
      <c r="M3695" s="127">
        <v>624621</v>
      </c>
      <c r="N3695" s="109" t="s">
        <v>7193</v>
      </c>
      <c r="O3695" s="19"/>
      <c r="P3695" s="20"/>
      <c r="Q3695" s="20"/>
    </row>
    <row r="3696" spans="1:17" ht="24.9" customHeight="1">
      <c r="A3696" s="20">
        <v>476</v>
      </c>
      <c r="B3696" s="20"/>
      <c r="C3696" s="20"/>
      <c r="D3696" s="31" t="s">
        <v>8462</v>
      </c>
      <c r="E3696" s="19" t="str">
        <f>VLOOKUP(D3696,'لیست پرسنل'!$B$2:$E$1020,3,FALSE)</f>
        <v>گهر كوشان سپهر</v>
      </c>
      <c r="F3696" s="19" t="str">
        <f>VLOOKUP(D3696,'لیست پرسنل'!$B$2:$E$1020,4,FALSE)</f>
        <v>کارشناس برنامه ریزی و کنترل پروژه</v>
      </c>
      <c r="G3696" s="127">
        <f>VLOOKUP(D3696,'لیست پرسنل'!$B$2:$F$1020,2,FALSE)</f>
        <v>21084</v>
      </c>
      <c r="H3696" s="127" t="s">
        <v>8461</v>
      </c>
      <c r="I3696" s="127"/>
      <c r="J3696" s="128" t="s">
        <v>2686</v>
      </c>
      <c r="K3696" s="128" t="s">
        <v>2922</v>
      </c>
      <c r="L3696" s="128" t="s">
        <v>3077</v>
      </c>
      <c r="M3696" s="142">
        <v>626561</v>
      </c>
      <c r="N3696" s="109" t="s">
        <v>7193</v>
      </c>
      <c r="O3696" s="20"/>
      <c r="P3696" s="20"/>
      <c r="Q3696" s="20"/>
    </row>
    <row r="3697" spans="1:17" ht="24.9" customHeight="1">
      <c r="A3697" s="20">
        <v>483</v>
      </c>
      <c r="B3697" s="20" t="s">
        <v>6782</v>
      </c>
      <c r="C3697" s="20"/>
      <c r="D3697" s="20" t="s">
        <v>3540</v>
      </c>
      <c r="E3697" s="19" t="str">
        <f>VLOOKUP(D3697,'لیست پرسنل'!$B$2:$E$1020,3,FALSE)</f>
        <v>فکورصنعت</v>
      </c>
      <c r="F3697" s="19" t="str">
        <f>VLOOKUP(D3697,'لیست پرسنل'!$B$2:$E$1020,4,FALSE)</f>
        <v>انبار</v>
      </c>
      <c r="G3697" s="127">
        <f>VLOOKUP(D3697,'لیست پرسنل'!$B$2:$F$1020,2,FALSE)</f>
        <v>1902</v>
      </c>
      <c r="H3697" s="128" t="s">
        <v>6616</v>
      </c>
      <c r="I3697" s="128"/>
      <c r="J3697" s="128" t="s">
        <v>3322</v>
      </c>
      <c r="K3697" s="128" t="s">
        <v>5211</v>
      </c>
      <c r="L3697" s="127" t="s">
        <v>4870</v>
      </c>
      <c r="M3697" s="127">
        <v>633791</v>
      </c>
      <c r="N3697" s="109"/>
      <c r="O3697" s="19" t="s">
        <v>6437</v>
      </c>
      <c r="P3697" s="32"/>
      <c r="Q3697" s="32"/>
    </row>
    <row r="3698" spans="1:17" ht="24.9" customHeight="1">
      <c r="A3698" s="20">
        <v>483</v>
      </c>
      <c r="B3698" s="20" t="s">
        <v>6782</v>
      </c>
      <c r="C3698" s="20"/>
      <c r="D3698" s="20" t="s">
        <v>3540</v>
      </c>
      <c r="E3698" s="19" t="str">
        <f>VLOOKUP(D3698,'لیست پرسنل'!$B$2:$E$1020,3,FALSE)</f>
        <v>فکورصنعت</v>
      </c>
      <c r="F3698" s="19" t="str">
        <f>VLOOKUP(D3698,'لیست پرسنل'!$B$2:$E$1020,4,FALSE)</f>
        <v>انبار</v>
      </c>
      <c r="G3698" s="127">
        <f>VLOOKUP(D3698,'لیست پرسنل'!$B$2:$F$1020,2,FALSE)</f>
        <v>1902</v>
      </c>
      <c r="H3698" s="128" t="s">
        <v>6616</v>
      </c>
      <c r="I3698" s="128"/>
      <c r="J3698" s="128" t="s">
        <v>3532</v>
      </c>
      <c r="K3698" s="127" t="s">
        <v>7386</v>
      </c>
      <c r="L3698" s="152" t="s">
        <v>7387</v>
      </c>
      <c r="M3698" s="127">
        <v>635935</v>
      </c>
      <c r="N3698" s="109"/>
      <c r="O3698" s="31"/>
      <c r="P3698" s="19"/>
      <c r="Q3698" s="19"/>
    </row>
    <row r="3699" spans="1:17" ht="24.9" customHeight="1">
      <c r="A3699" s="20">
        <v>483</v>
      </c>
      <c r="B3699" s="20" t="s">
        <v>6782</v>
      </c>
      <c r="C3699" s="20"/>
      <c r="D3699" s="20" t="s">
        <v>3540</v>
      </c>
      <c r="E3699" s="19" t="str">
        <f>VLOOKUP(D3699,'لیست پرسنل'!$B$2:$E$1020,3,FALSE)</f>
        <v>فکورصنعت</v>
      </c>
      <c r="F3699" s="19" t="str">
        <f>VLOOKUP(D3699,'لیست پرسنل'!$B$2:$E$1020,4,FALSE)</f>
        <v>انبار</v>
      </c>
      <c r="G3699" s="127">
        <f>VLOOKUP(D3699,'لیست پرسنل'!$B$2:$F$1020,2,FALSE)</f>
        <v>1902</v>
      </c>
      <c r="H3699" s="128" t="s">
        <v>6616</v>
      </c>
      <c r="I3699" s="128"/>
      <c r="J3699" s="128" t="s">
        <v>3532</v>
      </c>
      <c r="K3699" s="127" t="s">
        <v>7386</v>
      </c>
      <c r="L3699" s="152" t="s">
        <v>7389</v>
      </c>
      <c r="M3699" s="127">
        <v>635937</v>
      </c>
      <c r="N3699" s="109"/>
      <c r="O3699" s="31"/>
      <c r="P3699" s="19"/>
      <c r="Q3699" s="19"/>
    </row>
    <row r="3700" spans="1:17" ht="24.9" customHeight="1">
      <c r="A3700" s="20">
        <v>483</v>
      </c>
      <c r="B3700" s="20" t="s">
        <v>6782</v>
      </c>
      <c r="C3700" s="20"/>
      <c r="D3700" s="20" t="s">
        <v>3540</v>
      </c>
      <c r="E3700" s="19" t="str">
        <f>VLOOKUP(D3700,'لیست پرسنل'!$B$2:$E$1020,3,FALSE)</f>
        <v>فکورصنعت</v>
      </c>
      <c r="F3700" s="19" t="str">
        <f>VLOOKUP(D3700,'لیست پرسنل'!$B$2:$E$1020,4,FALSE)</f>
        <v>انبار</v>
      </c>
      <c r="G3700" s="127">
        <f>VLOOKUP(D3700,'لیست پرسنل'!$B$2:$F$1020,2,FALSE)</f>
        <v>1902</v>
      </c>
      <c r="H3700" s="128" t="s">
        <v>6616</v>
      </c>
      <c r="I3700" s="128"/>
      <c r="J3700" s="128" t="s">
        <v>737</v>
      </c>
      <c r="K3700" s="127" t="s">
        <v>333</v>
      </c>
      <c r="L3700" s="126" t="s">
        <v>334</v>
      </c>
      <c r="M3700" s="126">
        <v>600737</v>
      </c>
      <c r="N3700" s="109"/>
      <c r="O3700" s="31"/>
      <c r="P3700" s="20"/>
      <c r="Q3700" s="20"/>
    </row>
    <row r="3701" spans="1:17" ht="24.9" customHeight="1">
      <c r="A3701" s="20">
        <v>483</v>
      </c>
      <c r="B3701" s="20" t="s">
        <v>6782</v>
      </c>
      <c r="C3701" s="20"/>
      <c r="D3701" s="20" t="s">
        <v>3540</v>
      </c>
      <c r="E3701" s="19" t="str">
        <f>VLOOKUP(D3701,'لیست پرسنل'!$B$2:$E$1020,3,FALSE)</f>
        <v>فکورصنعت</v>
      </c>
      <c r="F3701" s="19" t="str">
        <f>VLOOKUP(D3701,'لیست پرسنل'!$B$2:$E$1020,4,FALSE)</f>
        <v>انبار</v>
      </c>
      <c r="G3701" s="127">
        <f>VLOOKUP(D3701,'لیست پرسنل'!$B$2:$F$1020,2,FALSE)</f>
        <v>1902</v>
      </c>
      <c r="H3701" s="151" t="s">
        <v>6616</v>
      </c>
      <c r="I3701" s="128"/>
      <c r="J3701" s="128" t="s">
        <v>737</v>
      </c>
      <c r="K3701" s="128" t="s">
        <v>68</v>
      </c>
      <c r="L3701" s="128" t="s">
        <v>69</v>
      </c>
      <c r="M3701" s="128">
        <v>608892</v>
      </c>
      <c r="N3701" s="108"/>
      <c r="O3701" s="20"/>
      <c r="P3701" s="20"/>
      <c r="Q3701" s="20"/>
    </row>
    <row r="3702" spans="1:17" ht="24.9" customHeight="1">
      <c r="A3702" s="20">
        <v>483</v>
      </c>
      <c r="B3702" s="20" t="s">
        <v>6782</v>
      </c>
      <c r="C3702" s="20"/>
      <c r="D3702" s="20" t="s">
        <v>3540</v>
      </c>
      <c r="E3702" s="19" t="str">
        <f>VLOOKUP(D3702,'لیست پرسنل'!$B$2:$E$1020,3,FALSE)</f>
        <v>فکورصنعت</v>
      </c>
      <c r="F3702" s="19" t="str">
        <f>VLOOKUP(D3702,'لیست پرسنل'!$B$2:$E$1020,4,FALSE)</f>
        <v>انبار</v>
      </c>
      <c r="G3702" s="127">
        <f>VLOOKUP(D3702,'لیست پرسنل'!$B$2:$F$1020,2,FALSE)</f>
        <v>1902</v>
      </c>
      <c r="H3702" s="128" t="s">
        <v>6616</v>
      </c>
      <c r="I3702" s="128"/>
      <c r="J3702" s="128" t="s">
        <v>737</v>
      </c>
      <c r="K3702" s="127" t="s">
        <v>3930</v>
      </c>
      <c r="L3702" s="126" t="s">
        <v>1083</v>
      </c>
      <c r="M3702" s="126">
        <v>622518</v>
      </c>
      <c r="N3702" s="109"/>
      <c r="O3702" s="31" t="s">
        <v>4048</v>
      </c>
      <c r="P3702" s="19"/>
      <c r="Q3702" s="19"/>
    </row>
    <row r="3703" spans="1:17" ht="24.9" customHeight="1">
      <c r="A3703" s="20">
        <v>483</v>
      </c>
      <c r="B3703" s="20" t="s">
        <v>6782</v>
      </c>
      <c r="C3703" s="20"/>
      <c r="D3703" s="20" t="s">
        <v>3540</v>
      </c>
      <c r="E3703" s="19" t="str">
        <f>VLOOKUP(D3703,'لیست پرسنل'!$B$2:$E$1020,3,FALSE)</f>
        <v>فکورصنعت</v>
      </c>
      <c r="F3703" s="19" t="str">
        <f>VLOOKUP(D3703,'لیست پرسنل'!$B$2:$E$1020,4,FALSE)</f>
        <v>انبار</v>
      </c>
      <c r="G3703" s="127">
        <f>VLOOKUP(D3703,'لیست پرسنل'!$B$2:$F$1020,2,FALSE)</f>
        <v>1902</v>
      </c>
      <c r="H3703" s="128" t="s">
        <v>6616</v>
      </c>
      <c r="I3703" s="128"/>
      <c r="J3703" s="128" t="s">
        <v>737</v>
      </c>
      <c r="K3703" s="127" t="s">
        <v>2605</v>
      </c>
      <c r="L3703" s="150"/>
      <c r="M3703" s="128">
        <v>625158</v>
      </c>
      <c r="N3703" s="108" t="s">
        <v>8094</v>
      </c>
      <c r="O3703" s="20"/>
      <c r="P3703" s="20"/>
      <c r="Q3703" s="20"/>
    </row>
    <row r="3704" spans="1:17" ht="24.9" customHeight="1">
      <c r="A3704" s="20">
        <v>483</v>
      </c>
      <c r="B3704" s="20" t="s">
        <v>6782</v>
      </c>
      <c r="C3704" s="20"/>
      <c r="D3704" s="20" t="s">
        <v>3540</v>
      </c>
      <c r="E3704" s="19" t="str">
        <f>VLOOKUP(D3704,'لیست پرسنل'!$B$2:$E$1020,3,FALSE)</f>
        <v>فکورصنعت</v>
      </c>
      <c r="F3704" s="19" t="str">
        <f>VLOOKUP(D3704,'لیست پرسنل'!$B$2:$E$1020,4,FALSE)</f>
        <v>انبار</v>
      </c>
      <c r="G3704" s="127">
        <f>VLOOKUP(D3704,'لیست پرسنل'!$B$2:$F$1020,2,FALSE)</f>
        <v>1902</v>
      </c>
      <c r="H3704" s="128" t="s">
        <v>6616</v>
      </c>
      <c r="I3704" s="128"/>
      <c r="J3704" s="128" t="s">
        <v>737</v>
      </c>
      <c r="K3704" s="127" t="s">
        <v>2600</v>
      </c>
      <c r="L3704" s="150"/>
      <c r="M3704" s="128">
        <v>625181</v>
      </c>
      <c r="N3704" s="108" t="s">
        <v>8095</v>
      </c>
      <c r="O3704" s="20"/>
      <c r="P3704" s="20"/>
      <c r="Q3704" s="20"/>
    </row>
    <row r="3705" spans="1:17" ht="24.9" customHeight="1">
      <c r="A3705" s="20">
        <v>483</v>
      </c>
      <c r="B3705" s="20" t="s">
        <v>6782</v>
      </c>
      <c r="C3705" s="20"/>
      <c r="D3705" s="20" t="s">
        <v>3540</v>
      </c>
      <c r="E3705" s="19" t="str">
        <f>VLOOKUP(D3705,'لیست پرسنل'!$B$2:$E$1020,3,FALSE)</f>
        <v>فکورصنعت</v>
      </c>
      <c r="F3705" s="19" t="str">
        <f>VLOOKUP(D3705,'لیست پرسنل'!$B$2:$E$1020,4,FALSE)</f>
        <v>انبار</v>
      </c>
      <c r="G3705" s="127">
        <f>VLOOKUP(D3705,'لیست پرسنل'!$B$2:$F$1020,2,FALSE)</f>
        <v>1902</v>
      </c>
      <c r="H3705" s="128" t="s">
        <v>6616</v>
      </c>
      <c r="I3705" s="128"/>
      <c r="J3705" s="128" t="s">
        <v>737</v>
      </c>
      <c r="K3705" s="128" t="s">
        <v>6592</v>
      </c>
      <c r="L3705" s="127" t="s">
        <v>6641</v>
      </c>
      <c r="M3705" s="127">
        <v>633684</v>
      </c>
      <c r="N3705" s="109"/>
      <c r="O3705" s="19"/>
      <c r="P3705" s="32"/>
      <c r="Q3705" s="32"/>
    </row>
    <row r="3706" spans="1:17" ht="24.9" customHeight="1">
      <c r="A3706" s="20">
        <v>483</v>
      </c>
      <c r="B3706" s="20" t="s">
        <v>6782</v>
      </c>
      <c r="C3706" s="20"/>
      <c r="D3706" s="20" t="s">
        <v>3540</v>
      </c>
      <c r="E3706" s="19" t="str">
        <f>VLOOKUP(D3706,'لیست پرسنل'!$B$2:$E$1020,3,FALSE)</f>
        <v>فکورصنعت</v>
      </c>
      <c r="F3706" s="19" t="str">
        <f>VLOOKUP(D3706,'لیست پرسنل'!$B$2:$E$1020,4,FALSE)</f>
        <v>انبار</v>
      </c>
      <c r="G3706" s="127">
        <f>VLOOKUP(D3706,'لیست پرسنل'!$B$2:$F$1020,2,FALSE)</f>
        <v>1902</v>
      </c>
      <c r="H3706" s="151" t="s">
        <v>6616</v>
      </c>
      <c r="I3706" s="128"/>
      <c r="J3706" s="127" t="s">
        <v>737</v>
      </c>
      <c r="K3706" s="127" t="s">
        <v>7595</v>
      </c>
      <c r="L3706" s="128"/>
      <c r="M3706" s="128">
        <v>636062</v>
      </c>
      <c r="N3706" s="108"/>
      <c r="O3706" s="20"/>
      <c r="P3706" s="20"/>
      <c r="Q3706" s="20"/>
    </row>
    <row r="3707" spans="1:17" ht="24.9" customHeight="1">
      <c r="A3707" s="20">
        <v>483</v>
      </c>
      <c r="B3707" s="20" t="s">
        <v>6782</v>
      </c>
      <c r="C3707" s="20"/>
      <c r="D3707" s="20" t="s">
        <v>3540</v>
      </c>
      <c r="E3707" s="19" t="str">
        <f>VLOOKUP(D3707,'لیست پرسنل'!$B$2:$E$1020,3,FALSE)</f>
        <v>فکورصنعت</v>
      </c>
      <c r="F3707" s="19" t="str">
        <f>VLOOKUP(D3707,'لیست پرسنل'!$B$2:$E$1020,4,FALSE)</f>
        <v>انبار</v>
      </c>
      <c r="G3707" s="127">
        <f>VLOOKUP(D3707,'لیست پرسنل'!$B$2:$F$1020,2,FALSE)</f>
        <v>1902</v>
      </c>
      <c r="H3707" s="151" t="s">
        <v>6616</v>
      </c>
      <c r="I3707" s="128"/>
      <c r="J3707" s="127" t="s">
        <v>737</v>
      </c>
      <c r="K3707" s="127" t="s">
        <v>7562</v>
      </c>
      <c r="L3707" s="128"/>
      <c r="M3707" s="128">
        <v>636065</v>
      </c>
      <c r="N3707" s="108"/>
      <c r="O3707" s="20"/>
      <c r="P3707" s="20"/>
      <c r="Q3707" s="20"/>
    </row>
    <row r="3708" spans="1:17" ht="24.9" customHeight="1">
      <c r="A3708" s="20">
        <v>483</v>
      </c>
      <c r="B3708" s="20" t="s">
        <v>6782</v>
      </c>
      <c r="C3708" s="20"/>
      <c r="D3708" s="20" t="s">
        <v>3540</v>
      </c>
      <c r="E3708" s="19" t="str">
        <f>VLOOKUP(D3708,'لیست پرسنل'!$B$2:$E$1020,3,FALSE)</f>
        <v>فکورصنعت</v>
      </c>
      <c r="F3708" s="19" t="str">
        <f>VLOOKUP(D3708,'لیست پرسنل'!$B$2:$E$1020,4,FALSE)</f>
        <v>انبار</v>
      </c>
      <c r="G3708" s="127">
        <f>VLOOKUP(D3708,'لیست پرسنل'!$B$2:$F$1020,2,FALSE)</f>
        <v>1902</v>
      </c>
      <c r="H3708" s="128" t="s">
        <v>6616</v>
      </c>
      <c r="I3708" s="128"/>
      <c r="J3708" s="128" t="s">
        <v>368</v>
      </c>
      <c r="K3708" s="127" t="s">
        <v>6646</v>
      </c>
      <c r="L3708" s="127" t="s">
        <v>6645</v>
      </c>
      <c r="M3708" s="127">
        <v>634001</v>
      </c>
      <c r="N3708" s="109"/>
      <c r="O3708" s="19"/>
      <c r="P3708" s="32"/>
      <c r="Q3708" s="32"/>
    </row>
    <row r="3709" spans="1:17" ht="24.9" customHeight="1">
      <c r="A3709" s="20">
        <v>483</v>
      </c>
      <c r="B3709" s="20" t="s">
        <v>6782</v>
      </c>
      <c r="C3709" s="20"/>
      <c r="D3709" s="20" t="s">
        <v>3540</v>
      </c>
      <c r="E3709" s="19" t="str">
        <f>VLOOKUP(D3709,'لیست پرسنل'!$B$2:$E$1020,3,FALSE)</f>
        <v>فکورصنعت</v>
      </c>
      <c r="F3709" s="19" t="str">
        <f>VLOOKUP(D3709,'لیست پرسنل'!$B$2:$E$1020,4,FALSE)</f>
        <v>انبار</v>
      </c>
      <c r="G3709" s="127">
        <f>VLOOKUP(D3709,'لیست پرسنل'!$B$2:$F$1020,2,FALSE)</f>
        <v>1902</v>
      </c>
      <c r="H3709" s="128" t="s">
        <v>6616</v>
      </c>
      <c r="I3709" s="128"/>
      <c r="J3709" s="128" t="s">
        <v>368</v>
      </c>
      <c r="K3709" s="127" t="s">
        <v>6646</v>
      </c>
      <c r="L3709" s="127" t="s">
        <v>6644</v>
      </c>
      <c r="M3709" s="127">
        <v>634002</v>
      </c>
      <c r="N3709" s="109"/>
      <c r="O3709" s="19"/>
      <c r="P3709" s="32"/>
      <c r="Q3709" s="32"/>
    </row>
    <row r="3710" spans="1:17" ht="24.9" customHeight="1">
      <c r="A3710" s="20">
        <v>483</v>
      </c>
      <c r="B3710" s="20" t="s">
        <v>6782</v>
      </c>
      <c r="C3710" s="20"/>
      <c r="D3710" s="20" t="s">
        <v>3540</v>
      </c>
      <c r="E3710" s="19" t="str">
        <f>VLOOKUP(D3710,'لیست پرسنل'!$B$2:$E$1020,3,FALSE)</f>
        <v>فکورصنعت</v>
      </c>
      <c r="F3710" s="19" t="str">
        <f>VLOOKUP(D3710,'لیست پرسنل'!$B$2:$E$1020,4,FALSE)</f>
        <v>انبار</v>
      </c>
      <c r="G3710" s="127">
        <f>VLOOKUP(D3710,'لیست پرسنل'!$B$2:$F$1020,2,FALSE)</f>
        <v>1902</v>
      </c>
      <c r="H3710" s="128" t="s">
        <v>6616</v>
      </c>
      <c r="I3710" s="128"/>
      <c r="J3710" s="128" t="s">
        <v>5366</v>
      </c>
      <c r="K3710" s="127" t="s">
        <v>2687</v>
      </c>
      <c r="L3710" s="128"/>
      <c r="M3710" s="128">
        <v>612496</v>
      </c>
      <c r="N3710" s="108"/>
      <c r="O3710" s="20" t="s">
        <v>4459</v>
      </c>
      <c r="P3710" s="20"/>
      <c r="Q3710" s="20"/>
    </row>
    <row r="3711" spans="1:17" ht="24.9" customHeight="1">
      <c r="A3711" s="20">
        <v>483</v>
      </c>
      <c r="B3711" s="20" t="s">
        <v>6782</v>
      </c>
      <c r="C3711" s="20"/>
      <c r="D3711" s="20" t="s">
        <v>3540</v>
      </c>
      <c r="E3711" s="19" t="str">
        <f>VLOOKUP(D3711,'لیست پرسنل'!$B$2:$E$1020,3,FALSE)</f>
        <v>فکورصنعت</v>
      </c>
      <c r="F3711" s="19" t="str">
        <f>VLOOKUP(D3711,'لیست پرسنل'!$B$2:$E$1020,4,FALSE)</f>
        <v>انبار</v>
      </c>
      <c r="G3711" s="127">
        <f>VLOOKUP(D3711,'لیست پرسنل'!$B$2:$F$1020,2,FALSE)</f>
        <v>1902</v>
      </c>
      <c r="H3711" s="128" t="s">
        <v>6616</v>
      </c>
      <c r="I3711" s="128"/>
      <c r="J3711" s="128" t="s">
        <v>5366</v>
      </c>
      <c r="K3711" s="127" t="s">
        <v>2688</v>
      </c>
      <c r="L3711" s="128"/>
      <c r="M3711" s="128">
        <v>613245</v>
      </c>
      <c r="N3711" s="108"/>
      <c r="O3711" s="20" t="s">
        <v>4459</v>
      </c>
      <c r="P3711" s="20"/>
      <c r="Q3711" s="20"/>
    </row>
    <row r="3712" spans="1:17" ht="24.9" customHeight="1">
      <c r="A3712" s="20">
        <v>483</v>
      </c>
      <c r="B3712" s="20" t="s">
        <v>6782</v>
      </c>
      <c r="C3712" s="20"/>
      <c r="D3712" s="20" t="s">
        <v>3540</v>
      </c>
      <c r="E3712" s="19" t="str">
        <f>VLOOKUP(D3712,'لیست پرسنل'!$B$2:$E$1020,3,FALSE)</f>
        <v>فکورصنعت</v>
      </c>
      <c r="F3712" s="19" t="str">
        <f>VLOOKUP(D3712,'لیست پرسنل'!$B$2:$E$1020,4,FALSE)</f>
        <v>انبار</v>
      </c>
      <c r="G3712" s="127">
        <f>VLOOKUP(D3712,'لیست پرسنل'!$B$2:$F$1020,2,FALSE)</f>
        <v>1902</v>
      </c>
      <c r="H3712" s="128" t="s">
        <v>6616</v>
      </c>
      <c r="I3712" s="128"/>
      <c r="J3712" s="128" t="s">
        <v>5366</v>
      </c>
      <c r="K3712" s="127" t="s">
        <v>2603</v>
      </c>
      <c r="L3712" s="150"/>
      <c r="M3712" s="128">
        <v>627457</v>
      </c>
      <c r="N3712" s="108"/>
      <c r="O3712" s="20"/>
      <c r="P3712" s="20"/>
      <c r="Q3712" s="20"/>
    </row>
    <row r="3713" spans="1:17" ht="24.9" customHeight="1">
      <c r="A3713" s="20">
        <v>483</v>
      </c>
      <c r="B3713" s="20" t="s">
        <v>6782</v>
      </c>
      <c r="C3713" s="20"/>
      <c r="D3713" s="20" t="s">
        <v>3540</v>
      </c>
      <c r="E3713" s="19" t="str">
        <f>VLOOKUP(D3713,'لیست پرسنل'!$B$2:$E$1020,3,FALSE)</f>
        <v>فکورصنعت</v>
      </c>
      <c r="F3713" s="19" t="str">
        <f>VLOOKUP(D3713,'لیست پرسنل'!$B$2:$E$1020,4,FALSE)</f>
        <v>انبار</v>
      </c>
      <c r="G3713" s="127">
        <f>VLOOKUP(D3713,'لیست پرسنل'!$B$2:$F$1020,2,FALSE)</f>
        <v>1902</v>
      </c>
      <c r="H3713" s="128" t="s">
        <v>6616</v>
      </c>
      <c r="I3713" s="128"/>
      <c r="J3713" s="128" t="s">
        <v>6649</v>
      </c>
      <c r="K3713" s="128" t="s">
        <v>6650</v>
      </c>
      <c r="L3713" s="127">
        <v>22504282</v>
      </c>
      <c r="M3713" s="127">
        <v>633962</v>
      </c>
      <c r="N3713" s="109"/>
      <c r="O3713" s="19"/>
      <c r="P3713" s="32"/>
      <c r="Q3713" s="32"/>
    </row>
    <row r="3714" spans="1:17" ht="24.9" customHeight="1">
      <c r="A3714" s="20">
        <v>483</v>
      </c>
      <c r="B3714" s="20" t="s">
        <v>6782</v>
      </c>
      <c r="C3714" s="20"/>
      <c r="D3714" s="20" t="s">
        <v>3540</v>
      </c>
      <c r="E3714" s="19" t="str">
        <f>VLOOKUP(D3714,'لیست پرسنل'!$B$2:$E$1020,3,FALSE)</f>
        <v>فکورصنعت</v>
      </c>
      <c r="F3714" s="19" t="str">
        <f>VLOOKUP(D3714,'لیست پرسنل'!$B$2:$E$1020,4,FALSE)</f>
        <v>انبار</v>
      </c>
      <c r="G3714" s="127">
        <f>VLOOKUP(D3714,'لیست پرسنل'!$B$2:$F$1020,2,FALSE)</f>
        <v>1902</v>
      </c>
      <c r="H3714" s="128" t="s">
        <v>6616</v>
      </c>
      <c r="I3714" s="128"/>
      <c r="J3714" s="128" t="s">
        <v>4724</v>
      </c>
      <c r="K3714" s="128" t="s">
        <v>6648</v>
      </c>
      <c r="L3714" s="151" t="s">
        <v>6651</v>
      </c>
      <c r="M3714" s="127">
        <v>633963</v>
      </c>
      <c r="N3714" s="109"/>
      <c r="O3714" s="19"/>
      <c r="P3714" s="32"/>
      <c r="Q3714" s="32"/>
    </row>
    <row r="3715" spans="1:17" ht="24.9" customHeight="1">
      <c r="A3715" s="20">
        <v>483</v>
      </c>
      <c r="B3715" s="20" t="s">
        <v>6782</v>
      </c>
      <c r="C3715" s="20"/>
      <c r="D3715" s="20" t="s">
        <v>3540</v>
      </c>
      <c r="E3715" s="19" t="str">
        <f>VLOOKUP(D3715,'لیست پرسنل'!$B$2:$E$1020,3,FALSE)</f>
        <v>فکورصنعت</v>
      </c>
      <c r="F3715" s="19" t="str">
        <f>VLOOKUP(D3715,'لیست پرسنل'!$B$2:$E$1020,4,FALSE)</f>
        <v>انبار</v>
      </c>
      <c r="G3715" s="127">
        <f>VLOOKUP(D3715,'لیست پرسنل'!$B$2:$F$1020,2,FALSE)</f>
        <v>1902</v>
      </c>
      <c r="H3715" s="128" t="s">
        <v>6616</v>
      </c>
      <c r="I3715" s="128"/>
      <c r="J3715" s="128" t="s">
        <v>5927</v>
      </c>
      <c r="K3715" s="128" t="s">
        <v>6595</v>
      </c>
      <c r="L3715" s="127"/>
      <c r="M3715" s="128" t="s">
        <v>291</v>
      </c>
      <c r="N3715" s="109"/>
      <c r="O3715" s="19"/>
      <c r="P3715" s="32"/>
      <c r="Q3715" s="32"/>
    </row>
    <row r="3716" spans="1:17" ht="24.9" customHeight="1">
      <c r="A3716" s="20">
        <v>483</v>
      </c>
      <c r="B3716" s="20" t="s">
        <v>6782</v>
      </c>
      <c r="C3716" s="20"/>
      <c r="D3716" s="20" t="s">
        <v>3540</v>
      </c>
      <c r="E3716" s="19" t="str">
        <f>VLOOKUP(D3716,'لیست پرسنل'!$B$2:$E$1020,3,FALSE)</f>
        <v>فکورصنعت</v>
      </c>
      <c r="F3716" s="19" t="str">
        <f>VLOOKUP(D3716,'لیست پرسنل'!$B$2:$E$1020,4,FALSE)</f>
        <v>انبار</v>
      </c>
      <c r="G3716" s="127">
        <f>VLOOKUP(D3716,'لیست پرسنل'!$B$2:$F$1020,2,FALSE)</f>
        <v>1902</v>
      </c>
      <c r="H3716" s="128" t="s">
        <v>6616</v>
      </c>
      <c r="I3716" s="128"/>
      <c r="J3716" s="128" t="s">
        <v>5927</v>
      </c>
      <c r="K3716" s="128" t="s">
        <v>6595</v>
      </c>
      <c r="L3716" s="127"/>
      <c r="M3716" s="128" t="s">
        <v>291</v>
      </c>
      <c r="N3716" s="109"/>
      <c r="O3716" s="19"/>
      <c r="P3716" s="32"/>
      <c r="Q3716" s="32"/>
    </row>
    <row r="3717" spans="1:17" ht="24.9" customHeight="1">
      <c r="A3717" s="20">
        <v>483</v>
      </c>
      <c r="B3717" s="20" t="s">
        <v>6782</v>
      </c>
      <c r="C3717" s="20"/>
      <c r="D3717" s="20" t="s">
        <v>3540</v>
      </c>
      <c r="E3717" s="19" t="str">
        <f>VLOOKUP(D3717,'لیست پرسنل'!$B$2:$E$1020,3,FALSE)</f>
        <v>فکورصنعت</v>
      </c>
      <c r="F3717" s="19" t="str">
        <f>VLOOKUP(D3717,'لیست پرسنل'!$B$2:$E$1020,4,FALSE)</f>
        <v>انبار</v>
      </c>
      <c r="G3717" s="127">
        <f>VLOOKUP(D3717,'لیست پرسنل'!$B$2:$F$1020,2,FALSE)</f>
        <v>1902</v>
      </c>
      <c r="H3717" s="128" t="s">
        <v>6616</v>
      </c>
      <c r="I3717" s="128"/>
      <c r="J3717" s="128" t="s">
        <v>5927</v>
      </c>
      <c r="K3717" s="128" t="s">
        <v>6595</v>
      </c>
      <c r="L3717" s="127"/>
      <c r="M3717" s="128" t="s">
        <v>291</v>
      </c>
      <c r="N3717" s="109"/>
      <c r="O3717" s="19"/>
      <c r="P3717" s="32"/>
      <c r="Q3717" s="32"/>
    </row>
    <row r="3718" spans="1:17" ht="24.9" customHeight="1">
      <c r="A3718" s="20">
        <v>483</v>
      </c>
      <c r="B3718" s="20" t="s">
        <v>6782</v>
      </c>
      <c r="C3718" s="20"/>
      <c r="D3718" s="20" t="s">
        <v>3540</v>
      </c>
      <c r="E3718" s="19" t="str">
        <f>VLOOKUP(D3718,'لیست پرسنل'!$B$2:$E$1020,3,FALSE)</f>
        <v>فکورصنعت</v>
      </c>
      <c r="F3718" s="19" t="str">
        <f>VLOOKUP(D3718,'لیست پرسنل'!$B$2:$E$1020,4,FALSE)</f>
        <v>انبار</v>
      </c>
      <c r="G3718" s="127">
        <f>VLOOKUP(D3718,'لیست پرسنل'!$B$2:$F$1020,2,FALSE)</f>
        <v>1902</v>
      </c>
      <c r="H3718" s="128" t="s">
        <v>6616</v>
      </c>
      <c r="I3718" s="128"/>
      <c r="J3718" s="128" t="s">
        <v>5927</v>
      </c>
      <c r="K3718" s="128" t="s">
        <v>6595</v>
      </c>
      <c r="L3718" s="127"/>
      <c r="M3718" s="128" t="s">
        <v>291</v>
      </c>
      <c r="N3718" s="109"/>
      <c r="O3718" s="19"/>
      <c r="P3718" s="32"/>
      <c r="Q3718" s="32"/>
    </row>
    <row r="3719" spans="1:17" ht="24.9" customHeight="1">
      <c r="A3719" s="20">
        <v>483</v>
      </c>
      <c r="B3719" s="20" t="s">
        <v>6782</v>
      </c>
      <c r="C3719" s="20"/>
      <c r="D3719" s="20" t="s">
        <v>3540</v>
      </c>
      <c r="E3719" s="19" t="str">
        <f>VLOOKUP(D3719,'لیست پرسنل'!$B$2:$E$1020,3,FALSE)</f>
        <v>فکورصنعت</v>
      </c>
      <c r="F3719" s="19" t="str">
        <f>VLOOKUP(D3719,'لیست پرسنل'!$B$2:$E$1020,4,FALSE)</f>
        <v>انبار</v>
      </c>
      <c r="G3719" s="127">
        <f>VLOOKUP(D3719,'لیست پرسنل'!$B$2:$F$1020,2,FALSE)</f>
        <v>1902</v>
      </c>
      <c r="H3719" s="128" t="s">
        <v>6616</v>
      </c>
      <c r="I3719" s="128"/>
      <c r="J3719" s="128" t="s">
        <v>5927</v>
      </c>
      <c r="K3719" s="128" t="s">
        <v>6595</v>
      </c>
      <c r="L3719" s="127"/>
      <c r="M3719" s="128" t="s">
        <v>291</v>
      </c>
      <c r="N3719" s="109"/>
      <c r="O3719" s="19"/>
      <c r="P3719" s="32"/>
      <c r="Q3719" s="32"/>
    </row>
    <row r="3720" spans="1:17" ht="24.9" customHeight="1">
      <c r="A3720" s="20">
        <v>483</v>
      </c>
      <c r="B3720" s="20" t="s">
        <v>6782</v>
      </c>
      <c r="C3720" s="20"/>
      <c r="D3720" s="20" t="s">
        <v>3540</v>
      </c>
      <c r="E3720" s="19" t="str">
        <f>VLOOKUP(D3720,'لیست پرسنل'!$B$2:$E$1020,3,FALSE)</f>
        <v>فکورصنعت</v>
      </c>
      <c r="F3720" s="19" t="str">
        <f>VLOOKUP(D3720,'لیست پرسنل'!$B$2:$E$1020,4,FALSE)</f>
        <v>انبار</v>
      </c>
      <c r="G3720" s="127">
        <f>VLOOKUP(D3720,'لیست پرسنل'!$B$2:$F$1020,2,FALSE)</f>
        <v>1902</v>
      </c>
      <c r="H3720" s="128" t="s">
        <v>6616</v>
      </c>
      <c r="I3720" s="128"/>
      <c r="J3720" s="128" t="s">
        <v>5927</v>
      </c>
      <c r="K3720" s="128" t="s">
        <v>6595</v>
      </c>
      <c r="L3720" s="127"/>
      <c r="M3720" s="128" t="s">
        <v>291</v>
      </c>
      <c r="N3720" s="109"/>
      <c r="O3720" s="19"/>
      <c r="P3720" s="32"/>
      <c r="Q3720" s="32"/>
    </row>
    <row r="3721" spans="1:17" ht="24.9" customHeight="1">
      <c r="A3721" s="20">
        <v>483</v>
      </c>
      <c r="B3721" s="20" t="s">
        <v>6782</v>
      </c>
      <c r="C3721" s="20"/>
      <c r="D3721" s="20" t="s">
        <v>3540</v>
      </c>
      <c r="E3721" s="19" t="str">
        <f>VLOOKUP(D3721,'لیست پرسنل'!$B$2:$E$1020,3,FALSE)</f>
        <v>فکورصنعت</v>
      </c>
      <c r="F3721" s="19" t="str">
        <f>VLOOKUP(D3721,'لیست پرسنل'!$B$2:$E$1020,4,FALSE)</f>
        <v>انبار</v>
      </c>
      <c r="G3721" s="127">
        <f>VLOOKUP(D3721,'لیست پرسنل'!$B$2:$F$1020,2,FALSE)</f>
        <v>1902</v>
      </c>
      <c r="H3721" s="128" t="s">
        <v>6616</v>
      </c>
      <c r="I3721" s="128"/>
      <c r="J3721" s="128" t="s">
        <v>5927</v>
      </c>
      <c r="K3721" s="128" t="s">
        <v>6595</v>
      </c>
      <c r="L3721" s="127"/>
      <c r="M3721" s="128" t="s">
        <v>291</v>
      </c>
      <c r="N3721" s="109"/>
      <c r="O3721" s="19"/>
      <c r="P3721" s="32"/>
      <c r="Q3721" s="32"/>
    </row>
    <row r="3722" spans="1:17" ht="24.9" customHeight="1">
      <c r="A3722" s="20">
        <v>483</v>
      </c>
      <c r="B3722" s="20" t="s">
        <v>6782</v>
      </c>
      <c r="C3722" s="20"/>
      <c r="D3722" s="20" t="s">
        <v>3540</v>
      </c>
      <c r="E3722" s="19" t="str">
        <f>VLOOKUP(D3722,'لیست پرسنل'!$B$2:$E$1020,3,FALSE)</f>
        <v>فکورصنعت</v>
      </c>
      <c r="F3722" s="19" t="str">
        <f>VLOOKUP(D3722,'لیست پرسنل'!$B$2:$E$1020,4,FALSE)</f>
        <v>انبار</v>
      </c>
      <c r="G3722" s="127">
        <f>VLOOKUP(D3722,'لیست پرسنل'!$B$2:$F$1020,2,FALSE)</f>
        <v>1902</v>
      </c>
      <c r="H3722" s="128" t="s">
        <v>6616</v>
      </c>
      <c r="I3722" s="128"/>
      <c r="J3722" s="128" t="s">
        <v>5927</v>
      </c>
      <c r="K3722" s="128" t="s">
        <v>6595</v>
      </c>
      <c r="L3722" s="127"/>
      <c r="M3722" s="128" t="s">
        <v>291</v>
      </c>
      <c r="N3722" s="109"/>
      <c r="O3722" s="19"/>
      <c r="P3722" s="32"/>
      <c r="Q3722" s="32"/>
    </row>
    <row r="3723" spans="1:17" ht="24.9" customHeight="1">
      <c r="A3723" s="20">
        <v>483</v>
      </c>
      <c r="B3723" s="20" t="s">
        <v>6782</v>
      </c>
      <c r="C3723" s="20"/>
      <c r="D3723" s="20" t="s">
        <v>3540</v>
      </c>
      <c r="E3723" s="19" t="str">
        <f>VLOOKUP(D3723,'لیست پرسنل'!$B$2:$E$1020,3,FALSE)</f>
        <v>فکورصنعت</v>
      </c>
      <c r="F3723" s="19" t="str">
        <f>VLOOKUP(D3723,'لیست پرسنل'!$B$2:$E$1020,4,FALSE)</f>
        <v>انبار</v>
      </c>
      <c r="G3723" s="127">
        <f>VLOOKUP(D3723,'لیست پرسنل'!$B$2:$F$1020,2,FALSE)</f>
        <v>1902</v>
      </c>
      <c r="H3723" s="128" t="s">
        <v>6616</v>
      </c>
      <c r="I3723" s="128"/>
      <c r="J3723" s="128" t="s">
        <v>3481</v>
      </c>
      <c r="K3723" s="128" t="s">
        <v>6652</v>
      </c>
      <c r="L3723" s="146" t="s">
        <v>6653</v>
      </c>
      <c r="M3723" s="128" t="s">
        <v>291</v>
      </c>
      <c r="N3723" s="109"/>
      <c r="O3723" s="19"/>
      <c r="P3723" s="32"/>
      <c r="Q3723" s="32"/>
    </row>
    <row r="3724" spans="1:17" ht="24.9" customHeight="1">
      <c r="A3724" s="20">
        <v>483</v>
      </c>
      <c r="B3724" s="20" t="s">
        <v>6782</v>
      </c>
      <c r="C3724" s="20"/>
      <c r="D3724" s="20" t="s">
        <v>3540</v>
      </c>
      <c r="E3724" s="19" t="str">
        <f>VLOOKUP(D3724,'لیست پرسنل'!$B$2:$E$1020,3,FALSE)</f>
        <v>فکورصنعت</v>
      </c>
      <c r="F3724" s="19" t="str">
        <f>VLOOKUP(D3724,'لیست پرسنل'!$B$2:$E$1020,4,FALSE)</f>
        <v>انبار</v>
      </c>
      <c r="G3724" s="127">
        <f>VLOOKUP(D3724,'لیست پرسنل'!$B$2:$F$1020,2,FALSE)</f>
        <v>1902</v>
      </c>
      <c r="H3724" s="128" t="s">
        <v>6616</v>
      </c>
      <c r="I3724" s="128"/>
      <c r="J3724" s="128" t="s">
        <v>3481</v>
      </c>
      <c r="K3724" s="128" t="s">
        <v>6652</v>
      </c>
      <c r="L3724" s="127" t="s">
        <v>6654</v>
      </c>
      <c r="M3724" s="128" t="s">
        <v>291</v>
      </c>
      <c r="N3724" s="109"/>
      <c r="O3724" s="19"/>
      <c r="P3724" s="32"/>
      <c r="Q3724" s="32"/>
    </row>
    <row r="3725" spans="1:17" ht="24.9" customHeight="1">
      <c r="A3725" s="20">
        <v>483</v>
      </c>
      <c r="B3725" s="20" t="s">
        <v>6782</v>
      </c>
      <c r="C3725" s="20"/>
      <c r="D3725" s="20" t="s">
        <v>3540</v>
      </c>
      <c r="E3725" s="19" t="str">
        <f>VLOOKUP(D3725,'لیست پرسنل'!$B$2:$E$1020,3,FALSE)</f>
        <v>فکورصنعت</v>
      </c>
      <c r="F3725" s="19" t="str">
        <f>VLOOKUP(D3725,'لیست پرسنل'!$B$2:$E$1020,4,FALSE)</f>
        <v>انبار</v>
      </c>
      <c r="G3725" s="127">
        <f>VLOOKUP(D3725,'لیست پرسنل'!$B$2:$F$1020,2,FALSE)</f>
        <v>1902</v>
      </c>
      <c r="H3725" s="128" t="s">
        <v>6616</v>
      </c>
      <c r="I3725" s="128"/>
      <c r="J3725" s="128" t="s">
        <v>571</v>
      </c>
      <c r="K3725" s="155"/>
      <c r="L3725" s="152"/>
      <c r="M3725" s="127">
        <v>602516</v>
      </c>
      <c r="N3725" s="109"/>
      <c r="O3725" s="31"/>
      <c r="P3725" s="19"/>
      <c r="Q3725" s="19"/>
    </row>
    <row r="3726" spans="1:17" ht="24.9" customHeight="1">
      <c r="A3726" s="20">
        <v>483</v>
      </c>
      <c r="B3726" s="20" t="s">
        <v>6782</v>
      </c>
      <c r="C3726" s="20"/>
      <c r="D3726" s="20" t="s">
        <v>3540</v>
      </c>
      <c r="E3726" s="19" t="str">
        <f>VLOOKUP(D3726,'لیست پرسنل'!$B$2:$E$1020,3,FALSE)</f>
        <v>فکورصنعت</v>
      </c>
      <c r="F3726" s="19" t="str">
        <f>VLOOKUP(D3726,'لیست پرسنل'!$B$2:$E$1020,4,FALSE)</f>
        <v>انبار</v>
      </c>
      <c r="G3726" s="127">
        <f>VLOOKUP(D3726,'لیست پرسنل'!$B$2:$F$1020,2,FALSE)</f>
        <v>1902</v>
      </c>
      <c r="H3726" s="128" t="s">
        <v>6616</v>
      </c>
      <c r="I3726" s="128"/>
      <c r="J3726" s="128" t="s">
        <v>571</v>
      </c>
      <c r="K3726" s="155"/>
      <c r="L3726" s="151"/>
      <c r="M3726" s="127">
        <v>603233</v>
      </c>
      <c r="N3726" s="109"/>
      <c r="O3726" s="19"/>
      <c r="P3726" s="20"/>
      <c r="Q3726" s="20"/>
    </row>
    <row r="3727" spans="1:17" ht="24.9" customHeight="1">
      <c r="A3727" s="20">
        <v>483</v>
      </c>
      <c r="B3727" s="20" t="s">
        <v>6782</v>
      </c>
      <c r="C3727" s="20"/>
      <c r="D3727" s="20" t="s">
        <v>3540</v>
      </c>
      <c r="E3727" s="19" t="str">
        <f>VLOOKUP(D3727,'لیست پرسنل'!$B$2:$E$1020,3,FALSE)</f>
        <v>فکورصنعت</v>
      </c>
      <c r="F3727" s="19" t="str">
        <f>VLOOKUP(D3727,'لیست پرسنل'!$B$2:$E$1020,4,FALSE)</f>
        <v>انبار</v>
      </c>
      <c r="G3727" s="127">
        <f>VLOOKUP(D3727,'لیست پرسنل'!$B$2:$F$1020,2,FALSE)</f>
        <v>1902</v>
      </c>
      <c r="H3727" s="128" t="s">
        <v>6616</v>
      </c>
      <c r="I3727" s="128"/>
      <c r="J3727" s="128" t="s">
        <v>571</v>
      </c>
      <c r="K3727" s="155"/>
      <c r="L3727" s="164"/>
      <c r="M3727" s="127">
        <v>604140</v>
      </c>
      <c r="N3727" s="109"/>
      <c r="O3727" s="31"/>
      <c r="P3727" s="20"/>
      <c r="Q3727" s="20"/>
    </row>
    <row r="3728" spans="1:17" ht="24.9" customHeight="1">
      <c r="A3728" s="20">
        <v>483</v>
      </c>
      <c r="B3728" s="20" t="s">
        <v>6782</v>
      </c>
      <c r="C3728" s="20"/>
      <c r="D3728" s="20" t="s">
        <v>3540</v>
      </c>
      <c r="E3728" s="19" t="str">
        <f>VLOOKUP(D3728,'لیست پرسنل'!$B$2:$E$1020,3,FALSE)</f>
        <v>فکورصنعت</v>
      </c>
      <c r="F3728" s="19" t="str">
        <f>VLOOKUP(D3728,'لیست پرسنل'!$B$2:$E$1020,4,FALSE)</f>
        <v>انبار</v>
      </c>
      <c r="G3728" s="127">
        <f>VLOOKUP(D3728,'لیست پرسنل'!$B$2:$F$1020,2,FALSE)</f>
        <v>1902</v>
      </c>
      <c r="H3728" s="128" t="s">
        <v>6616</v>
      </c>
      <c r="I3728" s="127"/>
      <c r="J3728" s="126" t="s">
        <v>571</v>
      </c>
      <c r="K3728" s="155"/>
      <c r="L3728" s="150"/>
      <c r="M3728" s="128">
        <v>605978</v>
      </c>
      <c r="N3728" s="108"/>
      <c r="O3728" s="20"/>
      <c r="P3728" s="20"/>
      <c r="Q3728" s="20"/>
    </row>
    <row r="3729" spans="1:17" ht="24.9" customHeight="1">
      <c r="A3729" s="20">
        <v>483</v>
      </c>
      <c r="B3729" s="20" t="s">
        <v>6782</v>
      </c>
      <c r="C3729" s="20"/>
      <c r="D3729" s="20" t="s">
        <v>3540</v>
      </c>
      <c r="E3729" s="19" t="str">
        <f>VLOOKUP(D3729,'لیست پرسنل'!$B$2:$E$1020,3,FALSE)</f>
        <v>فکورصنعت</v>
      </c>
      <c r="F3729" s="19" t="str">
        <f>VLOOKUP(D3729,'لیست پرسنل'!$B$2:$E$1020,4,FALSE)</f>
        <v>انبار</v>
      </c>
      <c r="G3729" s="127">
        <f>VLOOKUP(D3729,'لیست پرسنل'!$B$2:$F$1020,2,FALSE)</f>
        <v>1902</v>
      </c>
      <c r="H3729" s="128" t="s">
        <v>6616</v>
      </c>
      <c r="I3729" s="128"/>
      <c r="J3729" s="128" t="s">
        <v>571</v>
      </c>
      <c r="K3729" s="155"/>
      <c r="L3729" s="152"/>
      <c r="M3729" s="127">
        <v>607083</v>
      </c>
      <c r="N3729" s="109"/>
      <c r="O3729" s="31"/>
      <c r="P3729" s="19"/>
      <c r="Q3729" s="19"/>
    </row>
    <row r="3730" spans="1:17" ht="24.9" customHeight="1">
      <c r="A3730" s="20">
        <v>483</v>
      </c>
      <c r="B3730" s="20" t="s">
        <v>6782</v>
      </c>
      <c r="C3730" s="20"/>
      <c r="D3730" s="20" t="s">
        <v>3540</v>
      </c>
      <c r="E3730" s="19" t="str">
        <f>VLOOKUP(D3730,'لیست پرسنل'!$B$2:$E$1020,3,FALSE)</f>
        <v>فکورصنعت</v>
      </c>
      <c r="F3730" s="19" t="str">
        <f>VLOOKUP(D3730,'لیست پرسنل'!$B$2:$E$1020,4,FALSE)</f>
        <v>انبار</v>
      </c>
      <c r="G3730" s="127">
        <f>VLOOKUP(D3730,'لیست پرسنل'!$B$2:$F$1020,2,FALSE)</f>
        <v>1902</v>
      </c>
      <c r="H3730" s="151" t="s">
        <v>6616</v>
      </c>
      <c r="I3730" s="128"/>
      <c r="J3730" s="127" t="s">
        <v>571</v>
      </c>
      <c r="K3730" s="155"/>
      <c r="L3730" s="128"/>
      <c r="M3730" s="128">
        <v>607409</v>
      </c>
      <c r="N3730" s="108"/>
      <c r="O3730" s="20"/>
      <c r="P3730" s="20"/>
      <c r="Q3730" s="20"/>
    </row>
    <row r="3731" spans="1:17" ht="24.9" customHeight="1">
      <c r="A3731" s="20">
        <v>483</v>
      </c>
      <c r="B3731" s="20" t="s">
        <v>6782</v>
      </c>
      <c r="C3731" s="20"/>
      <c r="D3731" s="20" t="s">
        <v>3540</v>
      </c>
      <c r="E3731" s="19" t="str">
        <f>VLOOKUP(D3731,'لیست پرسنل'!$B$2:$E$1020,3,FALSE)</f>
        <v>فکورصنعت</v>
      </c>
      <c r="F3731" s="19" t="str">
        <f>VLOOKUP(D3731,'لیست پرسنل'!$B$2:$E$1020,4,FALSE)</f>
        <v>انبار</v>
      </c>
      <c r="G3731" s="127">
        <f>VLOOKUP(D3731,'لیست پرسنل'!$B$2:$F$1020,2,FALSE)</f>
        <v>1902</v>
      </c>
      <c r="H3731" s="128" t="s">
        <v>6616</v>
      </c>
      <c r="I3731" s="128"/>
      <c r="J3731" s="128" t="s">
        <v>571</v>
      </c>
      <c r="K3731" s="127"/>
      <c r="L3731" s="152"/>
      <c r="M3731" s="127">
        <v>609086</v>
      </c>
      <c r="N3731" s="109"/>
      <c r="O3731" s="31"/>
      <c r="P3731" s="19"/>
      <c r="Q3731" s="19"/>
    </row>
    <row r="3732" spans="1:17" ht="24.9" customHeight="1">
      <c r="A3732" s="20">
        <v>483</v>
      </c>
      <c r="B3732" s="20" t="s">
        <v>6782</v>
      </c>
      <c r="C3732" s="20"/>
      <c r="D3732" s="20" t="s">
        <v>3540</v>
      </c>
      <c r="E3732" s="19" t="str">
        <f>VLOOKUP(D3732,'لیست پرسنل'!$B$2:$E$1020,3,FALSE)</f>
        <v>فکورصنعت</v>
      </c>
      <c r="F3732" s="19" t="str">
        <f>VLOOKUP(D3732,'لیست پرسنل'!$B$2:$E$1020,4,FALSE)</f>
        <v>انبار</v>
      </c>
      <c r="G3732" s="127">
        <f>VLOOKUP(D3732,'لیست پرسنل'!$B$2:$F$1020,2,FALSE)</f>
        <v>1902</v>
      </c>
      <c r="H3732" s="128" t="s">
        <v>6616</v>
      </c>
      <c r="I3732" s="128"/>
      <c r="J3732" s="128" t="s">
        <v>571</v>
      </c>
      <c r="K3732" s="127"/>
      <c r="L3732" s="152"/>
      <c r="M3732" s="127">
        <v>623623</v>
      </c>
      <c r="N3732" s="109"/>
      <c r="O3732" s="31" t="s">
        <v>4047</v>
      </c>
      <c r="P3732" s="19"/>
      <c r="Q3732" s="19"/>
    </row>
    <row r="3733" spans="1:17" ht="24.9" customHeight="1">
      <c r="A3733" s="20">
        <v>483</v>
      </c>
      <c r="B3733" s="20" t="s">
        <v>6782</v>
      </c>
      <c r="C3733" s="20"/>
      <c r="D3733" s="20" t="s">
        <v>3540</v>
      </c>
      <c r="E3733" s="19" t="str">
        <f>VLOOKUP(D3733,'لیست پرسنل'!$B$2:$E$1020,3,FALSE)</f>
        <v>فکورصنعت</v>
      </c>
      <c r="F3733" s="19" t="str">
        <f>VLOOKUP(D3733,'لیست پرسنل'!$B$2:$E$1020,4,FALSE)</f>
        <v>انبار</v>
      </c>
      <c r="G3733" s="127">
        <f>VLOOKUP(D3733,'لیست پرسنل'!$B$2:$F$1020,2,FALSE)</f>
        <v>1902</v>
      </c>
      <c r="H3733" s="128" t="s">
        <v>6616</v>
      </c>
      <c r="I3733" s="128"/>
      <c r="J3733" s="128" t="s">
        <v>571</v>
      </c>
      <c r="K3733" s="127"/>
      <c r="L3733" s="152"/>
      <c r="M3733" s="127">
        <v>623625</v>
      </c>
      <c r="N3733" s="109"/>
      <c r="O3733" s="31"/>
      <c r="P3733" s="19"/>
      <c r="Q3733" s="19"/>
    </row>
    <row r="3734" spans="1:17" ht="24.9" customHeight="1">
      <c r="A3734" s="20">
        <v>483</v>
      </c>
      <c r="B3734" s="20" t="s">
        <v>6782</v>
      </c>
      <c r="C3734" s="20"/>
      <c r="D3734" s="20" t="s">
        <v>3540</v>
      </c>
      <c r="E3734" s="19" t="str">
        <f>VLOOKUP(D3734,'لیست پرسنل'!$B$2:$E$1020,3,FALSE)</f>
        <v>فکورصنعت</v>
      </c>
      <c r="F3734" s="19" t="str">
        <f>VLOOKUP(D3734,'لیست پرسنل'!$B$2:$E$1020,4,FALSE)</f>
        <v>انبار</v>
      </c>
      <c r="G3734" s="127">
        <f>VLOOKUP(D3734,'لیست پرسنل'!$B$2:$F$1020,2,FALSE)</f>
        <v>1902</v>
      </c>
      <c r="H3734" s="128" t="s">
        <v>6616</v>
      </c>
      <c r="I3734" s="128"/>
      <c r="J3734" s="128" t="s">
        <v>571</v>
      </c>
      <c r="K3734" s="135"/>
      <c r="L3734" s="154"/>
      <c r="M3734" s="127">
        <v>627878</v>
      </c>
      <c r="N3734" s="109"/>
      <c r="O3734" s="20"/>
      <c r="P3734" s="20"/>
      <c r="Q3734" s="20"/>
    </row>
    <row r="3735" spans="1:17" ht="24.9" customHeight="1">
      <c r="A3735" s="20">
        <v>483</v>
      </c>
      <c r="B3735" s="20" t="s">
        <v>6782</v>
      </c>
      <c r="C3735" s="20"/>
      <c r="D3735" s="20" t="s">
        <v>3540</v>
      </c>
      <c r="E3735" s="19" t="str">
        <f>VLOOKUP(D3735,'لیست پرسنل'!$B$2:$E$1020,3,FALSE)</f>
        <v>فکورصنعت</v>
      </c>
      <c r="F3735" s="19" t="str">
        <f>VLOOKUP(D3735,'لیست پرسنل'!$B$2:$E$1020,4,FALSE)</f>
        <v>انبار</v>
      </c>
      <c r="G3735" s="127">
        <f>VLOOKUP(D3735,'لیست پرسنل'!$B$2:$F$1020,2,FALSE)</f>
        <v>1902</v>
      </c>
      <c r="H3735" s="128" t="s">
        <v>6616</v>
      </c>
      <c r="I3735" s="128"/>
      <c r="J3735" s="128" t="s">
        <v>571</v>
      </c>
      <c r="K3735" s="128" t="s">
        <v>6588</v>
      </c>
      <c r="L3735" s="127"/>
      <c r="M3735" s="127">
        <v>631998</v>
      </c>
      <c r="N3735" s="109"/>
      <c r="O3735" s="19"/>
      <c r="P3735" s="32"/>
      <c r="Q3735" s="32"/>
    </row>
    <row r="3736" spans="1:17" ht="24.9" customHeight="1">
      <c r="A3736" s="20">
        <v>483</v>
      </c>
      <c r="B3736" s="20" t="s">
        <v>6782</v>
      </c>
      <c r="C3736" s="20"/>
      <c r="D3736" s="20" t="s">
        <v>3540</v>
      </c>
      <c r="E3736" s="19" t="str">
        <f>VLOOKUP(D3736,'لیست پرسنل'!$B$2:$E$1020,3,FALSE)</f>
        <v>فکورصنعت</v>
      </c>
      <c r="F3736" s="19" t="str">
        <f>VLOOKUP(D3736,'لیست پرسنل'!$B$2:$E$1020,4,FALSE)</f>
        <v>انبار</v>
      </c>
      <c r="G3736" s="127">
        <f>VLOOKUP(D3736,'لیست پرسنل'!$B$2:$F$1020,2,FALSE)</f>
        <v>1902</v>
      </c>
      <c r="H3736" s="128" t="s">
        <v>6616</v>
      </c>
      <c r="I3736" s="128"/>
      <c r="J3736" s="128" t="s">
        <v>2686</v>
      </c>
      <c r="K3736" s="127" t="s">
        <v>332</v>
      </c>
      <c r="L3736" s="164" t="s">
        <v>1078</v>
      </c>
      <c r="M3736" s="134">
        <v>600868</v>
      </c>
      <c r="N3736" s="108"/>
      <c r="O3736" s="20"/>
      <c r="P3736" s="20"/>
      <c r="Q3736" s="20"/>
    </row>
    <row r="3737" spans="1:17" ht="24.9" customHeight="1">
      <c r="A3737" s="20">
        <v>483</v>
      </c>
      <c r="B3737" s="20" t="s">
        <v>6782</v>
      </c>
      <c r="C3737" s="20"/>
      <c r="D3737" s="20" t="s">
        <v>3540</v>
      </c>
      <c r="E3737" s="19" t="str">
        <f>VLOOKUP(D3737,'لیست پرسنل'!$B$2:$E$1020,3,FALSE)</f>
        <v>فکورصنعت</v>
      </c>
      <c r="F3737" s="19" t="str">
        <f>VLOOKUP(D3737,'لیست پرسنل'!$B$2:$E$1020,4,FALSE)</f>
        <v>انبار</v>
      </c>
      <c r="G3737" s="127">
        <f>VLOOKUP(D3737,'لیست پرسنل'!$B$2:$F$1020,2,FALSE)</f>
        <v>1902</v>
      </c>
      <c r="H3737" s="128" t="s">
        <v>6616</v>
      </c>
      <c r="I3737" s="128"/>
      <c r="J3737" s="128" t="s">
        <v>2686</v>
      </c>
      <c r="K3737" s="127" t="s">
        <v>332</v>
      </c>
      <c r="L3737" s="152" t="s">
        <v>1079</v>
      </c>
      <c r="M3737" s="126">
        <v>603168</v>
      </c>
      <c r="N3737" s="110"/>
      <c r="O3737" s="31"/>
      <c r="P3737" s="19"/>
      <c r="Q3737" s="19"/>
    </row>
    <row r="3738" spans="1:17" ht="24.9" customHeight="1">
      <c r="A3738" s="20">
        <v>483</v>
      </c>
      <c r="B3738" s="20" t="s">
        <v>6782</v>
      </c>
      <c r="C3738" s="20"/>
      <c r="D3738" s="20" t="s">
        <v>3540</v>
      </c>
      <c r="E3738" s="19" t="str">
        <f>VLOOKUP(D3738,'لیست پرسنل'!$B$2:$E$1020,3,FALSE)</f>
        <v>فکورصنعت</v>
      </c>
      <c r="F3738" s="19" t="str">
        <f>VLOOKUP(D3738,'لیست پرسنل'!$B$2:$E$1020,4,FALSE)</f>
        <v>انبار</v>
      </c>
      <c r="G3738" s="127">
        <f>VLOOKUP(D3738,'لیست پرسنل'!$B$2:$F$1020,2,FALSE)</f>
        <v>1902</v>
      </c>
      <c r="H3738" s="128" t="s">
        <v>6616</v>
      </c>
      <c r="I3738" s="128"/>
      <c r="J3738" s="128" t="s">
        <v>2686</v>
      </c>
      <c r="K3738" s="127" t="s">
        <v>332</v>
      </c>
      <c r="L3738" s="152" t="s">
        <v>1082</v>
      </c>
      <c r="M3738" s="126">
        <v>603298</v>
      </c>
      <c r="N3738" s="108"/>
      <c r="O3738" s="20"/>
      <c r="P3738" s="19"/>
      <c r="Q3738" s="19"/>
    </row>
    <row r="3739" spans="1:17" ht="24.9" customHeight="1">
      <c r="A3739" s="20">
        <v>483</v>
      </c>
      <c r="B3739" s="20" t="s">
        <v>6782</v>
      </c>
      <c r="C3739" s="20"/>
      <c r="D3739" s="20" t="s">
        <v>3540</v>
      </c>
      <c r="E3739" s="19" t="str">
        <f>VLOOKUP(D3739,'لیست پرسنل'!$B$2:$E$1020,3,FALSE)</f>
        <v>فکورصنعت</v>
      </c>
      <c r="F3739" s="19" t="str">
        <f>VLOOKUP(D3739,'لیست پرسنل'!$B$2:$E$1020,4,FALSE)</f>
        <v>انبار</v>
      </c>
      <c r="G3739" s="127">
        <f>VLOOKUP(D3739,'لیست پرسنل'!$B$2:$F$1020,2,FALSE)</f>
        <v>1902</v>
      </c>
      <c r="H3739" s="128" t="s">
        <v>6616</v>
      </c>
      <c r="I3739" s="128"/>
      <c r="J3739" s="128" t="s">
        <v>2686</v>
      </c>
      <c r="K3739" s="127" t="s">
        <v>332</v>
      </c>
      <c r="L3739" s="152" t="s">
        <v>1081</v>
      </c>
      <c r="M3739" s="126">
        <v>604878</v>
      </c>
      <c r="N3739" s="108"/>
      <c r="O3739" s="31"/>
      <c r="P3739" s="19"/>
      <c r="Q3739" s="19"/>
    </row>
    <row r="3740" spans="1:17" ht="24.9" customHeight="1">
      <c r="A3740" s="20">
        <v>483</v>
      </c>
      <c r="B3740" s="20" t="s">
        <v>6782</v>
      </c>
      <c r="C3740" s="20"/>
      <c r="D3740" s="20" t="s">
        <v>3540</v>
      </c>
      <c r="E3740" s="19" t="str">
        <f>VLOOKUP(D3740,'لیست پرسنل'!$B$2:$E$1020,3,FALSE)</f>
        <v>فکورصنعت</v>
      </c>
      <c r="F3740" s="19" t="str">
        <f>VLOOKUP(D3740,'لیست پرسنل'!$B$2:$E$1020,4,FALSE)</f>
        <v>انبار</v>
      </c>
      <c r="G3740" s="127">
        <f>VLOOKUP(D3740,'لیست پرسنل'!$B$2:$F$1020,2,FALSE)</f>
        <v>1902</v>
      </c>
      <c r="H3740" s="128" t="s">
        <v>6616</v>
      </c>
      <c r="I3740" s="128"/>
      <c r="J3740" s="128" t="s">
        <v>2686</v>
      </c>
      <c r="K3740" s="127" t="s">
        <v>332</v>
      </c>
      <c r="L3740" s="152" t="s">
        <v>1084</v>
      </c>
      <c r="M3740" s="126">
        <v>609140</v>
      </c>
      <c r="N3740" s="108"/>
      <c r="O3740" s="31"/>
      <c r="P3740" s="19"/>
      <c r="Q3740" s="19"/>
    </row>
    <row r="3741" spans="1:17" ht="24.9" customHeight="1">
      <c r="A3741" s="20">
        <v>483</v>
      </c>
      <c r="B3741" s="20" t="s">
        <v>6782</v>
      </c>
      <c r="C3741" s="20"/>
      <c r="D3741" s="20" t="s">
        <v>3540</v>
      </c>
      <c r="E3741" s="19" t="str">
        <f>VLOOKUP(D3741,'لیست پرسنل'!$B$2:$E$1020,3,FALSE)</f>
        <v>فکورصنعت</v>
      </c>
      <c r="F3741" s="19" t="str">
        <f>VLOOKUP(D3741,'لیست پرسنل'!$B$2:$E$1020,4,FALSE)</f>
        <v>انبار</v>
      </c>
      <c r="G3741" s="127">
        <f>VLOOKUP(D3741,'لیست پرسنل'!$B$2:$F$1020,2,FALSE)</f>
        <v>1902</v>
      </c>
      <c r="H3741" s="128" t="s">
        <v>6616</v>
      </c>
      <c r="I3741" s="128"/>
      <c r="J3741" s="128" t="s">
        <v>2686</v>
      </c>
      <c r="K3741" s="127" t="s">
        <v>332</v>
      </c>
      <c r="L3741" s="152" t="s">
        <v>1080</v>
      </c>
      <c r="M3741" s="126">
        <v>611961</v>
      </c>
      <c r="N3741" s="108"/>
      <c r="O3741" s="31"/>
      <c r="P3741" s="19"/>
      <c r="Q3741" s="19"/>
    </row>
    <row r="3742" spans="1:17" ht="24.9" customHeight="1">
      <c r="A3742" s="20">
        <v>483</v>
      </c>
      <c r="B3742" s="20" t="s">
        <v>6782</v>
      </c>
      <c r="C3742" s="20"/>
      <c r="D3742" s="20" t="s">
        <v>3540</v>
      </c>
      <c r="E3742" s="19" t="str">
        <f>VLOOKUP(D3742,'لیست پرسنل'!$B$2:$E$1020,3,FALSE)</f>
        <v>فکورصنعت</v>
      </c>
      <c r="F3742" s="19" t="str">
        <f>VLOOKUP(D3742,'لیست پرسنل'!$B$2:$E$1020,4,FALSE)</f>
        <v>انبار</v>
      </c>
      <c r="G3742" s="127">
        <f>VLOOKUP(D3742,'لیست پرسنل'!$B$2:$F$1020,2,FALSE)</f>
        <v>1902</v>
      </c>
      <c r="H3742" s="128" t="s">
        <v>6616</v>
      </c>
      <c r="I3742" s="128"/>
      <c r="J3742" s="128" t="s">
        <v>2686</v>
      </c>
      <c r="K3742" s="135" t="s">
        <v>332</v>
      </c>
      <c r="L3742" s="150" t="s">
        <v>3291</v>
      </c>
      <c r="M3742" s="127">
        <v>622491</v>
      </c>
      <c r="N3742" s="108"/>
      <c r="O3742" s="20"/>
      <c r="P3742" s="20"/>
      <c r="Q3742" s="20"/>
    </row>
    <row r="3743" spans="1:17" ht="24.9" customHeight="1">
      <c r="A3743" s="20">
        <v>483</v>
      </c>
      <c r="B3743" s="20" t="s">
        <v>6782</v>
      </c>
      <c r="C3743" s="20"/>
      <c r="D3743" s="20" t="s">
        <v>3540</v>
      </c>
      <c r="E3743" s="19" t="str">
        <f>VLOOKUP(D3743,'لیست پرسنل'!$B$2:$E$1020,3,FALSE)</f>
        <v>فکورصنعت</v>
      </c>
      <c r="F3743" s="19" t="str">
        <f>VLOOKUP(D3743,'لیست پرسنل'!$B$2:$E$1020,4,FALSE)</f>
        <v>انبار</v>
      </c>
      <c r="G3743" s="127">
        <f>VLOOKUP(D3743,'لیست پرسنل'!$B$2:$F$1020,2,FALSE)</f>
        <v>1902</v>
      </c>
      <c r="H3743" s="128" t="s">
        <v>6616</v>
      </c>
      <c r="I3743" s="128"/>
      <c r="J3743" s="128" t="s">
        <v>2686</v>
      </c>
      <c r="K3743" s="128" t="s">
        <v>6628</v>
      </c>
      <c r="L3743" s="127" t="s">
        <v>6627</v>
      </c>
      <c r="M3743" s="127">
        <v>628415</v>
      </c>
      <c r="N3743" s="109"/>
      <c r="O3743" s="19"/>
      <c r="P3743" s="32"/>
      <c r="Q3743" s="32"/>
    </row>
    <row r="3744" spans="1:17" ht="24.9" customHeight="1">
      <c r="A3744" s="20">
        <v>483</v>
      </c>
      <c r="B3744" s="20" t="s">
        <v>6782</v>
      </c>
      <c r="C3744" s="20"/>
      <c r="D3744" s="20" t="s">
        <v>3540</v>
      </c>
      <c r="E3744" s="19" t="str">
        <f>VLOOKUP(D3744,'لیست پرسنل'!$B$2:$E$1020,3,FALSE)</f>
        <v>فکورصنعت</v>
      </c>
      <c r="F3744" s="19" t="str">
        <f>VLOOKUP(D3744,'لیست پرسنل'!$B$2:$E$1020,4,FALSE)</f>
        <v>انبار</v>
      </c>
      <c r="G3744" s="127">
        <f>VLOOKUP(D3744,'لیست پرسنل'!$B$2:$F$1020,2,FALSE)</f>
        <v>1902</v>
      </c>
      <c r="H3744" s="128" t="s">
        <v>6616</v>
      </c>
      <c r="I3744" s="128"/>
      <c r="J3744" s="128" t="s">
        <v>2686</v>
      </c>
      <c r="K3744" s="128" t="s">
        <v>890</v>
      </c>
      <c r="L3744" s="127" t="s">
        <v>1601</v>
      </c>
      <c r="M3744" s="127">
        <v>634093</v>
      </c>
      <c r="N3744" s="108"/>
      <c r="O3744" s="19" t="s">
        <v>6703</v>
      </c>
      <c r="P3744" s="32"/>
      <c r="Q3744" s="32"/>
    </row>
    <row r="3745" spans="1:17" ht="24.9" customHeight="1">
      <c r="A3745" s="20">
        <v>483</v>
      </c>
      <c r="B3745" s="20" t="s">
        <v>6782</v>
      </c>
      <c r="C3745" s="20"/>
      <c r="D3745" s="20" t="s">
        <v>3540</v>
      </c>
      <c r="E3745" s="19" t="str">
        <f>VLOOKUP(D3745,'لیست پرسنل'!$B$2:$E$1020,3,FALSE)</f>
        <v>فکورصنعت</v>
      </c>
      <c r="F3745" s="19" t="str">
        <f>VLOOKUP(D3745,'لیست پرسنل'!$B$2:$E$1020,4,FALSE)</f>
        <v>انبار</v>
      </c>
      <c r="G3745" s="127">
        <f>VLOOKUP(D3745,'لیست پرسنل'!$B$2:$F$1020,2,FALSE)</f>
        <v>1902</v>
      </c>
      <c r="H3745" s="128" t="s">
        <v>6616</v>
      </c>
      <c r="I3745" s="128"/>
      <c r="J3745" s="128" t="s">
        <v>2686</v>
      </c>
      <c r="K3745" s="128" t="s">
        <v>317</v>
      </c>
      <c r="L3745" s="151" t="s">
        <v>1026</v>
      </c>
      <c r="M3745" s="127" t="s">
        <v>291</v>
      </c>
      <c r="N3745" s="111"/>
      <c r="O3745" s="19" t="s">
        <v>7262</v>
      </c>
      <c r="P3745" s="20"/>
      <c r="Q3745" s="20"/>
    </row>
    <row r="3746" spans="1:17" ht="24.9" customHeight="1">
      <c r="A3746" s="20">
        <v>483</v>
      </c>
      <c r="B3746" s="20" t="s">
        <v>6782</v>
      </c>
      <c r="C3746" s="20"/>
      <c r="D3746" s="20" t="s">
        <v>3540</v>
      </c>
      <c r="E3746" s="19" t="str">
        <f>VLOOKUP(D3746,'لیست پرسنل'!$B$2:$E$1020,3,FALSE)</f>
        <v>فکورصنعت</v>
      </c>
      <c r="F3746" s="19" t="str">
        <f>VLOOKUP(D3746,'لیست پرسنل'!$B$2:$E$1020,4,FALSE)</f>
        <v>انبار</v>
      </c>
      <c r="G3746" s="127">
        <f>VLOOKUP(D3746,'لیست پرسنل'!$B$2:$F$1020,2,FALSE)</f>
        <v>1902</v>
      </c>
      <c r="H3746" s="151" t="s">
        <v>6615</v>
      </c>
      <c r="I3746" s="128"/>
      <c r="J3746" s="127" t="s">
        <v>368</v>
      </c>
      <c r="K3746" s="127" t="s">
        <v>2846</v>
      </c>
      <c r="L3746" s="128" t="s">
        <v>7791</v>
      </c>
      <c r="M3746" s="128">
        <v>634017</v>
      </c>
      <c r="N3746" s="108"/>
      <c r="O3746" s="20"/>
      <c r="P3746" s="20"/>
      <c r="Q3746" s="20"/>
    </row>
    <row r="3747" spans="1:17" ht="24.9" customHeight="1">
      <c r="A3747" s="20">
        <v>483</v>
      </c>
      <c r="B3747" s="20" t="s">
        <v>6782</v>
      </c>
      <c r="C3747" s="20"/>
      <c r="D3747" s="20" t="s">
        <v>3540</v>
      </c>
      <c r="E3747" s="19" t="str">
        <f>VLOOKUP(D3747,'لیست پرسنل'!$B$2:$E$1020,3,FALSE)</f>
        <v>فکورصنعت</v>
      </c>
      <c r="F3747" s="19" t="str">
        <f>VLOOKUP(D3747,'لیست پرسنل'!$B$2:$E$1020,4,FALSE)</f>
        <v>انبار</v>
      </c>
      <c r="G3747" s="127">
        <f>VLOOKUP(D3747,'لیست پرسنل'!$B$2:$F$1020,2,FALSE)</f>
        <v>1902</v>
      </c>
      <c r="H3747" s="151" t="s">
        <v>6615</v>
      </c>
      <c r="I3747" s="128"/>
      <c r="J3747" s="128" t="s">
        <v>571</v>
      </c>
      <c r="K3747" s="128" t="s">
        <v>6588</v>
      </c>
      <c r="L3747" s="127"/>
      <c r="M3747" s="127">
        <v>632001</v>
      </c>
      <c r="N3747" s="109"/>
      <c r="O3747" s="19"/>
      <c r="P3747" s="32"/>
      <c r="Q3747" s="32"/>
    </row>
    <row r="3748" spans="1:17" ht="24.9" customHeight="1">
      <c r="A3748" s="20">
        <v>483</v>
      </c>
      <c r="B3748" s="20" t="s">
        <v>6782</v>
      </c>
      <c r="C3748" s="20"/>
      <c r="D3748" s="20" t="s">
        <v>48</v>
      </c>
      <c r="E3748" s="19" t="str">
        <f>VLOOKUP(D3748,'لیست پرسنل'!$B$2:$E$1020,3,FALSE)</f>
        <v>فکورصنعت</v>
      </c>
      <c r="F3748" s="19" t="str">
        <f>VLOOKUP(D3748,'لیست پرسنل'!$B$2:$E$1020,4,FALSE)</f>
        <v>سرپرست آی تی</v>
      </c>
      <c r="G3748" s="127">
        <f>VLOOKUP(D3748,'لیست پرسنل'!$B$2:$F$1020,2,FALSE)</f>
        <v>2210</v>
      </c>
      <c r="H3748" s="127" t="s">
        <v>7592</v>
      </c>
      <c r="I3748" s="127"/>
      <c r="J3748" s="128" t="s">
        <v>8275</v>
      </c>
      <c r="K3748" s="127" t="s">
        <v>8276</v>
      </c>
      <c r="L3748" s="127" t="s">
        <v>8277</v>
      </c>
      <c r="M3748" s="127">
        <v>636959</v>
      </c>
      <c r="N3748" s="109"/>
      <c r="O3748" s="20"/>
      <c r="P3748" s="20"/>
      <c r="Q3748" s="20"/>
    </row>
    <row r="3749" spans="1:17" ht="24.9" customHeight="1">
      <c r="A3749" s="20">
        <v>483</v>
      </c>
      <c r="B3749" s="20" t="s">
        <v>6782</v>
      </c>
      <c r="C3749" s="20"/>
      <c r="D3749" s="20" t="s">
        <v>48</v>
      </c>
      <c r="E3749" s="19" t="str">
        <f>VLOOKUP(D3749,'لیست پرسنل'!$B$2:$E$1020,3,FALSE)</f>
        <v>فکورصنعت</v>
      </c>
      <c r="F3749" s="19" t="str">
        <f>VLOOKUP(D3749,'لیست پرسنل'!$B$2:$E$1020,4,FALSE)</f>
        <v>سرپرست آی تی</v>
      </c>
      <c r="G3749" s="127">
        <f>VLOOKUP(D3749,'لیست پرسنل'!$B$2:$F$1020,2,FALSE)</f>
        <v>2210</v>
      </c>
      <c r="H3749" s="128" t="s">
        <v>7592</v>
      </c>
      <c r="I3749" s="128"/>
      <c r="J3749" s="128" t="s">
        <v>3480</v>
      </c>
      <c r="K3749" s="128" t="s">
        <v>4863</v>
      </c>
      <c r="L3749" s="127"/>
      <c r="M3749" s="128" t="s">
        <v>291</v>
      </c>
      <c r="N3749" s="109"/>
      <c r="O3749" s="19" t="s">
        <v>6530</v>
      </c>
      <c r="P3749" s="32"/>
      <c r="Q3749" s="32"/>
    </row>
    <row r="3750" spans="1:17" ht="24.9" customHeight="1">
      <c r="A3750" s="20">
        <v>483</v>
      </c>
      <c r="B3750" s="20" t="s">
        <v>6782</v>
      </c>
      <c r="C3750" s="20"/>
      <c r="D3750" s="20" t="s">
        <v>48</v>
      </c>
      <c r="E3750" s="19" t="str">
        <f>VLOOKUP(D3750,'لیست پرسنل'!$B$2:$E$1020,3,FALSE)</f>
        <v>فکورصنعت</v>
      </c>
      <c r="F3750" s="19" t="str">
        <f>VLOOKUP(D3750,'لیست پرسنل'!$B$2:$E$1020,4,FALSE)</f>
        <v>سرپرست آی تی</v>
      </c>
      <c r="G3750" s="127">
        <f>VLOOKUP(D3750,'لیست پرسنل'!$B$2:$F$1020,2,FALSE)</f>
        <v>2210</v>
      </c>
      <c r="H3750" s="128" t="s">
        <v>7592</v>
      </c>
      <c r="I3750" s="128"/>
      <c r="J3750" s="128" t="s">
        <v>3480</v>
      </c>
      <c r="K3750" s="128" t="s">
        <v>4863</v>
      </c>
      <c r="L3750" s="127"/>
      <c r="M3750" s="128" t="s">
        <v>291</v>
      </c>
      <c r="N3750" s="109"/>
      <c r="O3750" s="19" t="s">
        <v>6518</v>
      </c>
      <c r="P3750" s="32"/>
      <c r="Q3750" s="32"/>
    </row>
    <row r="3751" spans="1:17" ht="24.9" customHeight="1">
      <c r="A3751" s="20">
        <v>483</v>
      </c>
      <c r="B3751" s="20" t="s">
        <v>6782</v>
      </c>
      <c r="C3751" s="20"/>
      <c r="D3751" s="20" t="s">
        <v>48</v>
      </c>
      <c r="E3751" s="19" t="str">
        <f>VLOOKUP(D3751,'لیست پرسنل'!$B$2:$E$1020,3,FALSE)</f>
        <v>فکورصنعت</v>
      </c>
      <c r="F3751" s="19" t="str">
        <f>VLOOKUP(D3751,'لیست پرسنل'!$B$2:$E$1020,4,FALSE)</f>
        <v>سرپرست آی تی</v>
      </c>
      <c r="G3751" s="127">
        <f>VLOOKUP(D3751,'لیست پرسنل'!$B$2:$F$1020,2,FALSE)</f>
        <v>2210</v>
      </c>
      <c r="H3751" s="128" t="s">
        <v>7592</v>
      </c>
      <c r="I3751" s="128"/>
      <c r="J3751" s="128" t="s">
        <v>3480</v>
      </c>
      <c r="K3751" s="128" t="s">
        <v>4863</v>
      </c>
      <c r="L3751" s="127"/>
      <c r="M3751" s="128" t="s">
        <v>291</v>
      </c>
      <c r="N3751" s="109"/>
      <c r="O3751" s="19" t="s">
        <v>6519</v>
      </c>
      <c r="P3751" s="32"/>
      <c r="Q3751" s="32"/>
    </row>
    <row r="3752" spans="1:17" ht="24.9" customHeight="1">
      <c r="A3752" s="20">
        <v>483</v>
      </c>
      <c r="B3752" s="20" t="s">
        <v>6782</v>
      </c>
      <c r="C3752" s="20"/>
      <c r="D3752" s="20" t="s">
        <v>48</v>
      </c>
      <c r="E3752" s="19" t="str">
        <f>VLOOKUP(D3752,'لیست پرسنل'!$B$2:$E$1020,3,FALSE)</f>
        <v>فکورصنعت</v>
      </c>
      <c r="F3752" s="19" t="str">
        <f>VLOOKUP(D3752,'لیست پرسنل'!$B$2:$E$1020,4,FALSE)</f>
        <v>سرپرست آی تی</v>
      </c>
      <c r="G3752" s="127">
        <f>VLOOKUP(D3752,'لیست پرسنل'!$B$2:$F$1020,2,FALSE)</f>
        <v>2210</v>
      </c>
      <c r="H3752" s="128" t="s">
        <v>7592</v>
      </c>
      <c r="I3752" s="128"/>
      <c r="J3752" s="128" t="s">
        <v>3480</v>
      </c>
      <c r="K3752" s="128" t="s">
        <v>4863</v>
      </c>
      <c r="L3752" s="127"/>
      <c r="M3752" s="127" t="s">
        <v>291</v>
      </c>
      <c r="N3752" s="109"/>
      <c r="O3752" s="19" t="s">
        <v>6525</v>
      </c>
      <c r="P3752" s="32"/>
      <c r="Q3752" s="32"/>
    </row>
    <row r="3753" spans="1:17" ht="24.9" customHeight="1">
      <c r="A3753" s="20">
        <v>483</v>
      </c>
      <c r="B3753" s="20" t="s">
        <v>6782</v>
      </c>
      <c r="C3753" s="20"/>
      <c r="D3753" s="20" t="s">
        <v>48</v>
      </c>
      <c r="E3753" s="19" t="str">
        <f>VLOOKUP(D3753,'لیست پرسنل'!$B$2:$E$1020,3,FALSE)</f>
        <v>فکورصنعت</v>
      </c>
      <c r="F3753" s="19" t="str">
        <f>VLOOKUP(D3753,'لیست پرسنل'!$B$2:$E$1020,4,FALSE)</f>
        <v>سرپرست آی تی</v>
      </c>
      <c r="G3753" s="127">
        <f>VLOOKUP(D3753,'لیست پرسنل'!$B$2:$F$1020,2,FALSE)</f>
        <v>2210</v>
      </c>
      <c r="H3753" s="128" t="s">
        <v>7592</v>
      </c>
      <c r="I3753" s="128"/>
      <c r="J3753" s="128" t="s">
        <v>3480</v>
      </c>
      <c r="K3753" s="128" t="s">
        <v>4863</v>
      </c>
      <c r="L3753" s="127"/>
      <c r="M3753" s="127" t="s">
        <v>291</v>
      </c>
      <c r="N3753" s="109"/>
      <c r="O3753" s="19" t="s">
        <v>6534</v>
      </c>
      <c r="P3753" s="32"/>
      <c r="Q3753" s="32"/>
    </row>
    <row r="3754" spans="1:17" ht="24.9" customHeight="1">
      <c r="A3754" s="20">
        <v>483</v>
      </c>
      <c r="B3754" s="20" t="s">
        <v>6782</v>
      </c>
      <c r="C3754" s="20"/>
      <c r="D3754" s="20" t="s">
        <v>48</v>
      </c>
      <c r="E3754" s="19" t="str">
        <f>VLOOKUP(D3754,'لیست پرسنل'!$B$2:$E$1020,3,FALSE)</f>
        <v>فکورصنعت</v>
      </c>
      <c r="F3754" s="19" t="str">
        <f>VLOOKUP(D3754,'لیست پرسنل'!$B$2:$E$1020,4,FALSE)</f>
        <v>سرپرست آی تی</v>
      </c>
      <c r="G3754" s="127">
        <f>VLOOKUP(D3754,'لیست پرسنل'!$B$2:$F$1020,2,FALSE)</f>
        <v>2210</v>
      </c>
      <c r="H3754" s="128" t="s">
        <v>7592</v>
      </c>
      <c r="I3754" s="128"/>
      <c r="J3754" s="128" t="s">
        <v>3480</v>
      </c>
      <c r="K3754" s="128" t="s">
        <v>4863</v>
      </c>
      <c r="L3754" s="127"/>
      <c r="M3754" s="127" t="s">
        <v>291</v>
      </c>
      <c r="N3754" s="109"/>
      <c r="O3754" s="19" t="s">
        <v>6528</v>
      </c>
      <c r="P3754" s="32"/>
      <c r="Q3754" s="32"/>
    </row>
    <row r="3755" spans="1:17" ht="24.9" customHeight="1">
      <c r="A3755" s="20">
        <v>483</v>
      </c>
      <c r="B3755" s="20" t="s">
        <v>6782</v>
      </c>
      <c r="C3755" s="20"/>
      <c r="D3755" s="20" t="s">
        <v>48</v>
      </c>
      <c r="E3755" s="19" t="str">
        <f>VLOOKUP(D3755,'لیست پرسنل'!$B$2:$E$1020,3,FALSE)</f>
        <v>فکورصنعت</v>
      </c>
      <c r="F3755" s="19" t="str">
        <f>VLOOKUP(D3755,'لیست پرسنل'!$B$2:$E$1020,4,FALSE)</f>
        <v>سرپرست آی تی</v>
      </c>
      <c r="G3755" s="127">
        <f>VLOOKUP(D3755,'لیست پرسنل'!$B$2:$F$1020,2,FALSE)</f>
        <v>2210</v>
      </c>
      <c r="H3755" s="128" t="s">
        <v>7592</v>
      </c>
      <c r="I3755" s="128"/>
      <c r="J3755" s="128" t="s">
        <v>3143</v>
      </c>
      <c r="K3755" s="128" t="s">
        <v>5840</v>
      </c>
      <c r="L3755" s="127" t="s">
        <v>5508</v>
      </c>
      <c r="M3755" s="127" t="s">
        <v>291</v>
      </c>
      <c r="N3755" s="109"/>
      <c r="O3755" s="19" t="s">
        <v>6532</v>
      </c>
      <c r="P3755" s="32"/>
      <c r="Q3755" s="32"/>
    </row>
    <row r="3756" spans="1:17" ht="24.9" customHeight="1">
      <c r="A3756" s="20">
        <v>483</v>
      </c>
      <c r="B3756" s="20" t="s">
        <v>6782</v>
      </c>
      <c r="C3756" s="20"/>
      <c r="D3756" s="20" t="s">
        <v>48</v>
      </c>
      <c r="E3756" s="19" t="str">
        <f>VLOOKUP(D3756,'لیست پرسنل'!$B$2:$E$1020,3,FALSE)</f>
        <v>فکورصنعت</v>
      </c>
      <c r="F3756" s="19" t="str">
        <f>VLOOKUP(D3756,'لیست پرسنل'!$B$2:$E$1020,4,FALSE)</f>
        <v>سرپرست آی تی</v>
      </c>
      <c r="G3756" s="127">
        <f>VLOOKUP(D3756,'لیست پرسنل'!$B$2:$F$1020,2,FALSE)</f>
        <v>2210</v>
      </c>
      <c r="H3756" s="128" t="s">
        <v>7592</v>
      </c>
      <c r="I3756" s="128"/>
      <c r="J3756" s="128" t="s">
        <v>3143</v>
      </c>
      <c r="K3756" s="128" t="s">
        <v>5840</v>
      </c>
      <c r="L3756" s="127" t="s">
        <v>5509</v>
      </c>
      <c r="M3756" s="127" t="s">
        <v>291</v>
      </c>
      <c r="N3756" s="109"/>
      <c r="O3756" s="19" t="s">
        <v>6533</v>
      </c>
      <c r="P3756" s="32"/>
      <c r="Q3756" s="32"/>
    </row>
    <row r="3757" spans="1:17" ht="24.9" customHeight="1">
      <c r="A3757" s="20">
        <v>483</v>
      </c>
      <c r="B3757" s="20" t="s">
        <v>6782</v>
      </c>
      <c r="C3757" s="20"/>
      <c r="D3757" s="20" t="s">
        <v>48</v>
      </c>
      <c r="E3757" s="19" t="str">
        <f>VLOOKUP(D3757,'لیست پرسنل'!$B$2:$E$1020,3,FALSE)</f>
        <v>فکورصنعت</v>
      </c>
      <c r="F3757" s="19" t="str">
        <f>VLOOKUP(D3757,'لیست پرسنل'!$B$2:$E$1020,4,FALSE)</f>
        <v>سرپرست آی تی</v>
      </c>
      <c r="G3757" s="127">
        <f>VLOOKUP(D3757,'لیست پرسنل'!$B$2:$F$1020,2,FALSE)</f>
        <v>2210</v>
      </c>
      <c r="H3757" s="128" t="s">
        <v>7592</v>
      </c>
      <c r="I3757" s="128"/>
      <c r="J3757" s="128" t="s">
        <v>3483</v>
      </c>
      <c r="K3757" s="128" t="s">
        <v>7917</v>
      </c>
      <c r="L3757" s="154"/>
      <c r="M3757" s="127">
        <v>636516</v>
      </c>
      <c r="N3757" s="108"/>
      <c r="O3757" s="20"/>
      <c r="P3757" s="20"/>
      <c r="Q3757" s="20"/>
    </row>
    <row r="3758" spans="1:17" ht="24.9" customHeight="1">
      <c r="A3758" s="20">
        <v>483</v>
      </c>
      <c r="B3758" s="20" t="s">
        <v>6782</v>
      </c>
      <c r="C3758" s="20"/>
      <c r="D3758" s="20" t="s">
        <v>48</v>
      </c>
      <c r="E3758" s="19" t="str">
        <f>VLOOKUP(D3758,'لیست پرسنل'!$B$2:$E$1020,3,FALSE)</f>
        <v>فکورصنعت</v>
      </c>
      <c r="F3758" s="19" t="str">
        <f>VLOOKUP(D3758,'لیست پرسنل'!$B$2:$E$1020,4,FALSE)</f>
        <v>سرپرست آی تی</v>
      </c>
      <c r="G3758" s="127">
        <f>VLOOKUP(D3758,'لیست پرسنل'!$B$2:$F$1020,2,FALSE)</f>
        <v>2210</v>
      </c>
      <c r="H3758" s="128" t="s">
        <v>7592</v>
      </c>
      <c r="I3758" s="128"/>
      <c r="J3758" s="128" t="s">
        <v>3483</v>
      </c>
      <c r="K3758" s="128" t="s">
        <v>7917</v>
      </c>
      <c r="L3758" s="154"/>
      <c r="M3758" s="127">
        <v>636517</v>
      </c>
      <c r="N3758" s="108"/>
      <c r="O3758" s="20"/>
      <c r="P3758" s="20"/>
      <c r="Q3758" s="20"/>
    </row>
    <row r="3759" spans="1:17" ht="24.9" customHeight="1">
      <c r="A3759" s="20">
        <v>483</v>
      </c>
      <c r="B3759" s="20" t="s">
        <v>6782</v>
      </c>
      <c r="C3759" s="20"/>
      <c r="D3759" s="20" t="s">
        <v>48</v>
      </c>
      <c r="E3759" s="19" t="str">
        <f>VLOOKUP(D3759,'لیست پرسنل'!$B$2:$E$1020,3,FALSE)</f>
        <v>فکورصنعت</v>
      </c>
      <c r="F3759" s="19" t="str">
        <f>VLOOKUP(D3759,'لیست پرسنل'!$B$2:$E$1020,4,FALSE)</f>
        <v>سرپرست آی تی</v>
      </c>
      <c r="G3759" s="127">
        <f>VLOOKUP(D3759,'لیست پرسنل'!$B$2:$F$1020,2,FALSE)</f>
        <v>2210</v>
      </c>
      <c r="H3759" s="128" t="s">
        <v>7592</v>
      </c>
      <c r="I3759" s="128"/>
      <c r="J3759" s="128" t="s">
        <v>3483</v>
      </c>
      <c r="K3759" s="128" t="s">
        <v>7917</v>
      </c>
      <c r="L3759" s="154"/>
      <c r="M3759" s="127">
        <v>636518</v>
      </c>
      <c r="N3759" s="108"/>
      <c r="O3759" s="20"/>
      <c r="P3759" s="20"/>
      <c r="Q3759" s="20"/>
    </row>
    <row r="3760" spans="1:17" ht="24.9" customHeight="1">
      <c r="A3760" s="20">
        <v>483</v>
      </c>
      <c r="B3760" s="20" t="s">
        <v>6782</v>
      </c>
      <c r="C3760" s="20"/>
      <c r="D3760" s="20" t="s">
        <v>48</v>
      </c>
      <c r="E3760" s="19" t="str">
        <f>VLOOKUP(D3760,'لیست پرسنل'!$B$2:$E$1020,3,FALSE)</f>
        <v>فکورصنعت</v>
      </c>
      <c r="F3760" s="19" t="str">
        <f>VLOOKUP(D3760,'لیست پرسنل'!$B$2:$E$1020,4,FALSE)</f>
        <v>سرپرست آی تی</v>
      </c>
      <c r="G3760" s="127">
        <f>VLOOKUP(D3760,'لیست پرسنل'!$B$2:$F$1020,2,FALSE)</f>
        <v>2210</v>
      </c>
      <c r="H3760" s="128" t="s">
        <v>7592</v>
      </c>
      <c r="I3760" s="128"/>
      <c r="J3760" s="128" t="s">
        <v>3483</v>
      </c>
      <c r="K3760" s="128" t="s">
        <v>7917</v>
      </c>
      <c r="L3760" s="154"/>
      <c r="M3760" s="127">
        <v>636520</v>
      </c>
      <c r="N3760" s="108"/>
      <c r="O3760" s="20"/>
      <c r="P3760" s="20"/>
      <c r="Q3760" s="20"/>
    </row>
    <row r="3761" spans="1:17" ht="24.9" customHeight="1">
      <c r="A3761" s="20">
        <v>483</v>
      </c>
      <c r="B3761" s="20" t="s">
        <v>6782</v>
      </c>
      <c r="C3761" s="20"/>
      <c r="D3761" s="20" t="s">
        <v>48</v>
      </c>
      <c r="E3761" s="19" t="str">
        <f>VLOOKUP(D3761,'لیست پرسنل'!$B$2:$E$1020,3,FALSE)</f>
        <v>فکورصنعت</v>
      </c>
      <c r="F3761" s="19" t="str">
        <f>VLOOKUP(D3761,'لیست پرسنل'!$B$2:$E$1020,4,FALSE)</f>
        <v>سرپرست آی تی</v>
      </c>
      <c r="G3761" s="127">
        <f>VLOOKUP(D3761,'لیست پرسنل'!$B$2:$F$1020,2,FALSE)</f>
        <v>2210</v>
      </c>
      <c r="H3761" s="128" t="s">
        <v>7592</v>
      </c>
      <c r="I3761" s="128"/>
      <c r="J3761" s="128" t="s">
        <v>3483</v>
      </c>
      <c r="K3761" s="128" t="s">
        <v>7917</v>
      </c>
      <c r="L3761" s="154"/>
      <c r="M3761" s="127">
        <v>636521</v>
      </c>
      <c r="N3761" s="108"/>
      <c r="O3761" s="20"/>
      <c r="P3761" s="20"/>
      <c r="Q3761" s="20"/>
    </row>
    <row r="3762" spans="1:17" ht="24.9" customHeight="1">
      <c r="A3762" s="20">
        <v>483</v>
      </c>
      <c r="B3762" s="20" t="s">
        <v>6782</v>
      </c>
      <c r="C3762" s="20"/>
      <c r="D3762" s="20" t="s">
        <v>48</v>
      </c>
      <c r="E3762" s="19" t="str">
        <f>VLOOKUP(D3762,'لیست پرسنل'!$B$2:$E$1020,3,FALSE)</f>
        <v>فکورصنعت</v>
      </c>
      <c r="F3762" s="19" t="str">
        <f>VLOOKUP(D3762,'لیست پرسنل'!$B$2:$E$1020,4,FALSE)</f>
        <v>سرپرست آی تی</v>
      </c>
      <c r="G3762" s="127">
        <f>VLOOKUP(D3762,'لیست پرسنل'!$B$2:$F$1020,2,FALSE)</f>
        <v>2210</v>
      </c>
      <c r="H3762" s="128" t="s">
        <v>7592</v>
      </c>
      <c r="I3762" s="128"/>
      <c r="J3762" s="128" t="s">
        <v>3476</v>
      </c>
      <c r="K3762" s="128" t="s">
        <v>7918</v>
      </c>
      <c r="L3762" s="154"/>
      <c r="M3762" s="127">
        <v>636510</v>
      </c>
      <c r="N3762" s="108"/>
      <c r="O3762" s="20"/>
      <c r="P3762" s="20"/>
      <c r="Q3762" s="20"/>
    </row>
    <row r="3763" spans="1:17" ht="24.9" customHeight="1">
      <c r="A3763" s="20">
        <v>483</v>
      </c>
      <c r="B3763" s="20" t="s">
        <v>6782</v>
      </c>
      <c r="C3763" s="20"/>
      <c r="D3763" s="20" t="s">
        <v>48</v>
      </c>
      <c r="E3763" s="19" t="str">
        <f>VLOOKUP(D3763,'لیست پرسنل'!$B$2:$E$1020,3,FALSE)</f>
        <v>فکورصنعت</v>
      </c>
      <c r="F3763" s="19" t="str">
        <f>VLOOKUP(D3763,'لیست پرسنل'!$B$2:$E$1020,4,FALSE)</f>
        <v>سرپرست آی تی</v>
      </c>
      <c r="G3763" s="127">
        <f>VLOOKUP(D3763,'لیست پرسنل'!$B$2:$F$1020,2,FALSE)</f>
        <v>2210</v>
      </c>
      <c r="H3763" s="128" t="s">
        <v>7592</v>
      </c>
      <c r="I3763" s="128"/>
      <c r="J3763" s="128" t="s">
        <v>3476</v>
      </c>
      <c r="K3763" s="128" t="s">
        <v>7918</v>
      </c>
      <c r="L3763" s="154"/>
      <c r="M3763" s="127">
        <v>636511</v>
      </c>
      <c r="N3763" s="108"/>
      <c r="O3763" s="20"/>
      <c r="P3763" s="20"/>
      <c r="Q3763" s="20"/>
    </row>
    <row r="3764" spans="1:17" ht="24.9" customHeight="1">
      <c r="A3764" s="20">
        <v>483</v>
      </c>
      <c r="B3764" s="20" t="s">
        <v>6782</v>
      </c>
      <c r="C3764" s="20"/>
      <c r="D3764" s="20" t="s">
        <v>48</v>
      </c>
      <c r="E3764" s="19" t="str">
        <f>VLOOKUP(D3764,'لیست پرسنل'!$B$2:$E$1020,3,FALSE)</f>
        <v>فکورصنعت</v>
      </c>
      <c r="F3764" s="19" t="str">
        <f>VLOOKUP(D3764,'لیست پرسنل'!$B$2:$E$1020,4,FALSE)</f>
        <v>سرپرست آی تی</v>
      </c>
      <c r="G3764" s="127">
        <f>VLOOKUP(D3764,'لیست پرسنل'!$B$2:$F$1020,2,FALSE)</f>
        <v>2210</v>
      </c>
      <c r="H3764" s="128" t="s">
        <v>7592</v>
      </c>
      <c r="I3764" s="128"/>
      <c r="J3764" s="128" t="s">
        <v>3476</v>
      </c>
      <c r="K3764" s="128" t="s">
        <v>7918</v>
      </c>
      <c r="L3764" s="154"/>
      <c r="M3764" s="127">
        <v>636512</v>
      </c>
      <c r="N3764" s="108"/>
      <c r="O3764" s="20"/>
      <c r="P3764" s="20"/>
      <c r="Q3764" s="20"/>
    </row>
    <row r="3765" spans="1:17" ht="24.9" customHeight="1">
      <c r="A3765" s="20">
        <v>483</v>
      </c>
      <c r="B3765" s="20" t="s">
        <v>6782</v>
      </c>
      <c r="C3765" s="20"/>
      <c r="D3765" s="20" t="s">
        <v>48</v>
      </c>
      <c r="E3765" s="19" t="str">
        <f>VLOOKUP(D3765,'لیست پرسنل'!$B$2:$E$1020,3,FALSE)</f>
        <v>فکورصنعت</v>
      </c>
      <c r="F3765" s="19" t="str">
        <f>VLOOKUP(D3765,'لیست پرسنل'!$B$2:$E$1020,4,FALSE)</f>
        <v>سرپرست آی تی</v>
      </c>
      <c r="G3765" s="127">
        <f>VLOOKUP(D3765,'لیست پرسنل'!$B$2:$F$1020,2,FALSE)</f>
        <v>2210</v>
      </c>
      <c r="H3765" s="128" t="s">
        <v>7592</v>
      </c>
      <c r="I3765" s="128"/>
      <c r="J3765" s="128" t="s">
        <v>3476</v>
      </c>
      <c r="K3765" s="128" t="s">
        <v>7918</v>
      </c>
      <c r="L3765" s="154"/>
      <c r="M3765" s="127">
        <v>636513</v>
      </c>
      <c r="N3765" s="108"/>
      <c r="O3765" s="20"/>
      <c r="P3765" s="20"/>
      <c r="Q3765" s="20"/>
    </row>
    <row r="3766" spans="1:17" ht="24.9" customHeight="1">
      <c r="A3766" s="20">
        <v>483</v>
      </c>
      <c r="B3766" s="20" t="s">
        <v>6782</v>
      </c>
      <c r="C3766" s="20"/>
      <c r="D3766" s="20" t="s">
        <v>48</v>
      </c>
      <c r="E3766" s="19" t="str">
        <f>VLOOKUP(D3766,'لیست پرسنل'!$B$2:$E$1020,3,FALSE)</f>
        <v>فکورصنعت</v>
      </c>
      <c r="F3766" s="19" t="str">
        <f>VLOOKUP(D3766,'لیست پرسنل'!$B$2:$E$1020,4,FALSE)</f>
        <v>سرپرست آی تی</v>
      </c>
      <c r="G3766" s="127">
        <f>VLOOKUP(D3766,'لیست پرسنل'!$B$2:$F$1020,2,FALSE)</f>
        <v>2210</v>
      </c>
      <c r="H3766" s="128" t="s">
        <v>7592</v>
      </c>
      <c r="I3766" s="128"/>
      <c r="J3766" s="128" t="s">
        <v>3476</v>
      </c>
      <c r="K3766" s="128" t="s">
        <v>7918</v>
      </c>
      <c r="L3766" s="154"/>
      <c r="M3766" s="127">
        <v>636514</v>
      </c>
      <c r="N3766" s="108"/>
      <c r="O3766" s="20"/>
      <c r="P3766" s="20"/>
      <c r="Q3766" s="20"/>
    </row>
    <row r="3767" spans="1:17" ht="24.9" customHeight="1">
      <c r="A3767" s="20">
        <v>483</v>
      </c>
      <c r="B3767" s="20" t="s">
        <v>6782</v>
      </c>
      <c r="C3767" s="20"/>
      <c r="D3767" s="20" t="s">
        <v>48</v>
      </c>
      <c r="E3767" s="19" t="str">
        <f>VLOOKUP(D3767,'لیست پرسنل'!$B$2:$E$1020,3,FALSE)</f>
        <v>فکورصنعت</v>
      </c>
      <c r="F3767" s="19" t="str">
        <f>VLOOKUP(D3767,'لیست پرسنل'!$B$2:$E$1020,4,FALSE)</f>
        <v>سرپرست آی تی</v>
      </c>
      <c r="G3767" s="127">
        <f>VLOOKUP(D3767,'لیست پرسنل'!$B$2:$F$1020,2,FALSE)</f>
        <v>2210</v>
      </c>
      <c r="H3767" s="128" t="s">
        <v>7592</v>
      </c>
      <c r="I3767" s="128"/>
      <c r="J3767" s="128" t="s">
        <v>3476</v>
      </c>
      <c r="K3767" s="128" t="s">
        <v>7918</v>
      </c>
      <c r="L3767" s="154"/>
      <c r="M3767" s="127">
        <v>636515</v>
      </c>
      <c r="N3767" s="108"/>
      <c r="O3767" s="20"/>
      <c r="P3767" s="20"/>
      <c r="Q3767" s="20"/>
    </row>
    <row r="3768" spans="1:17" ht="24.9" customHeight="1">
      <c r="A3768" s="20">
        <v>483</v>
      </c>
      <c r="B3768" s="20" t="s">
        <v>6782</v>
      </c>
      <c r="C3768" s="20"/>
      <c r="D3768" s="20" t="s">
        <v>48</v>
      </c>
      <c r="E3768" s="19" t="str">
        <f>VLOOKUP(D3768,'لیست پرسنل'!$B$2:$E$1020,3,FALSE)</f>
        <v>فکورصنعت</v>
      </c>
      <c r="F3768" s="19" t="str">
        <f>VLOOKUP(D3768,'لیست پرسنل'!$B$2:$E$1020,4,FALSE)</f>
        <v>سرپرست آی تی</v>
      </c>
      <c r="G3768" s="127">
        <f>VLOOKUP(D3768,'لیست پرسنل'!$B$2:$F$1020,2,FALSE)</f>
        <v>2210</v>
      </c>
      <c r="H3768" s="128" t="s">
        <v>7592</v>
      </c>
      <c r="I3768" s="128"/>
      <c r="J3768" s="126" t="s">
        <v>571</v>
      </c>
      <c r="K3768" s="128" t="s">
        <v>7872</v>
      </c>
      <c r="L3768" s="154"/>
      <c r="M3768" s="127">
        <v>636332</v>
      </c>
      <c r="N3768" s="108"/>
      <c r="O3768" s="20"/>
      <c r="P3768" s="20"/>
      <c r="Q3768" s="20"/>
    </row>
    <row r="3769" spans="1:17" ht="24.9" customHeight="1">
      <c r="A3769" s="20">
        <v>483</v>
      </c>
      <c r="B3769" s="20" t="s">
        <v>6782</v>
      </c>
      <c r="C3769" s="20"/>
      <c r="D3769" s="20" t="s">
        <v>48</v>
      </c>
      <c r="E3769" s="19" t="str">
        <f>VLOOKUP(D3769,'لیست پرسنل'!$B$2:$E$1020,3,FALSE)</f>
        <v>فکورصنعت</v>
      </c>
      <c r="F3769" s="19" t="str">
        <f>VLOOKUP(D3769,'لیست پرسنل'!$B$2:$E$1020,4,FALSE)</f>
        <v>سرپرست آی تی</v>
      </c>
      <c r="G3769" s="127">
        <f>VLOOKUP(D3769,'لیست پرسنل'!$B$2:$F$1020,2,FALSE)</f>
        <v>2210</v>
      </c>
      <c r="H3769" s="128" t="s">
        <v>7592</v>
      </c>
      <c r="I3769" s="128"/>
      <c r="J3769" s="126" t="s">
        <v>571</v>
      </c>
      <c r="K3769" s="128" t="s">
        <v>7872</v>
      </c>
      <c r="L3769" s="154"/>
      <c r="M3769" s="127">
        <v>636333</v>
      </c>
      <c r="N3769" s="108"/>
      <c r="O3769" s="20"/>
      <c r="P3769" s="20"/>
      <c r="Q3769" s="20"/>
    </row>
    <row r="3770" spans="1:17" ht="24.9" customHeight="1">
      <c r="A3770" s="20">
        <v>483</v>
      </c>
      <c r="B3770" s="20" t="s">
        <v>6782</v>
      </c>
      <c r="C3770" s="20"/>
      <c r="D3770" s="20" t="s">
        <v>48</v>
      </c>
      <c r="E3770" s="19" t="str">
        <f>VLOOKUP(D3770,'لیست پرسنل'!$B$2:$E$1020,3,FALSE)</f>
        <v>فکورصنعت</v>
      </c>
      <c r="F3770" s="19" t="str">
        <f>VLOOKUP(D3770,'لیست پرسنل'!$B$2:$E$1020,4,FALSE)</f>
        <v>سرپرست آی تی</v>
      </c>
      <c r="G3770" s="127">
        <f>VLOOKUP(D3770,'لیست پرسنل'!$B$2:$F$1020,2,FALSE)</f>
        <v>2210</v>
      </c>
      <c r="H3770" s="128" t="s">
        <v>7592</v>
      </c>
      <c r="I3770" s="128"/>
      <c r="J3770" s="126" t="s">
        <v>571</v>
      </c>
      <c r="K3770" s="128" t="s">
        <v>7872</v>
      </c>
      <c r="L3770" s="154"/>
      <c r="M3770" s="127">
        <v>636334</v>
      </c>
      <c r="N3770" s="108"/>
      <c r="O3770" s="20"/>
      <c r="P3770" s="20"/>
      <c r="Q3770" s="20"/>
    </row>
    <row r="3771" spans="1:17" ht="24.9" customHeight="1">
      <c r="A3771" s="20">
        <v>483</v>
      </c>
      <c r="B3771" s="20" t="s">
        <v>6782</v>
      </c>
      <c r="C3771" s="20"/>
      <c r="D3771" s="20" t="s">
        <v>48</v>
      </c>
      <c r="E3771" s="19" t="str">
        <f>VLOOKUP(D3771,'لیست پرسنل'!$B$2:$E$1020,3,FALSE)</f>
        <v>فکورصنعت</v>
      </c>
      <c r="F3771" s="19" t="str">
        <f>VLOOKUP(D3771,'لیست پرسنل'!$B$2:$E$1020,4,FALSE)</f>
        <v>سرپرست آی تی</v>
      </c>
      <c r="G3771" s="127">
        <f>VLOOKUP(D3771,'لیست پرسنل'!$B$2:$F$1020,2,FALSE)</f>
        <v>2210</v>
      </c>
      <c r="H3771" s="128" t="s">
        <v>7592</v>
      </c>
      <c r="I3771" s="128"/>
      <c r="J3771" s="126" t="s">
        <v>571</v>
      </c>
      <c r="K3771" s="128" t="s">
        <v>7872</v>
      </c>
      <c r="L3771" s="154"/>
      <c r="M3771" s="127">
        <v>636335</v>
      </c>
      <c r="N3771" s="108"/>
      <c r="O3771" s="20"/>
      <c r="P3771" s="20"/>
      <c r="Q3771" s="20"/>
    </row>
    <row r="3772" spans="1:17" ht="24.9" customHeight="1">
      <c r="A3772" s="20">
        <v>483</v>
      </c>
      <c r="B3772" s="20" t="s">
        <v>6782</v>
      </c>
      <c r="C3772" s="20"/>
      <c r="D3772" s="20" t="s">
        <v>48</v>
      </c>
      <c r="E3772" s="19" t="str">
        <f>VLOOKUP(D3772,'لیست پرسنل'!$B$2:$E$1020,3,FALSE)</f>
        <v>فکورصنعت</v>
      </c>
      <c r="F3772" s="19" t="str">
        <f>VLOOKUP(D3772,'لیست پرسنل'!$B$2:$E$1020,4,FALSE)</f>
        <v>سرپرست آی تی</v>
      </c>
      <c r="G3772" s="127">
        <f>VLOOKUP(D3772,'لیست پرسنل'!$B$2:$F$1020,2,FALSE)</f>
        <v>2210</v>
      </c>
      <c r="H3772" s="128" t="s">
        <v>7592</v>
      </c>
      <c r="I3772" s="128"/>
      <c r="J3772" s="126" t="s">
        <v>571</v>
      </c>
      <c r="K3772" s="128" t="s">
        <v>7872</v>
      </c>
      <c r="L3772" s="154"/>
      <c r="M3772" s="127">
        <v>636336</v>
      </c>
      <c r="N3772" s="108"/>
      <c r="O3772" s="20"/>
      <c r="P3772" s="20"/>
      <c r="Q3772" s="20"/>
    </row>
    <row r="3773" spans="1:17" ht="24.9" customHeight="1">
      <c r="A3773" s="20">
        <v>483</v>
      </c>
      <c r="B3773" s="20" t="s">
        <v>6782</v>
      </c>
      <c r="C3773" s="20"/>
      <c r="D3773" s="20" t="s">
        <v>48</v>
      </c>
      <c r="E3773" s="19" t="str">
        <f>VLOOKUP(D3773,'لیست پرسنل'!$B$2:$E$1020,3,FALSE)</f>
        <v>فکورصنعت</v>
      </c>
      <c r="F3773" s="19" t="str">
        <f>VLOOKUP(D3773,'لیست پرسنل'!$B$2:$E$1020,4,FALSE)</f>
        <v>سرپرست آی تی</v>
      </c>
      <c r="G3773" s="127">
        <f>VLOOKUP(D3773,'لیست پرسنل'!$B$2:$F$1020,2,FALSE)</f>
        <v>2210</v>
      </c>
      <c r="H3773" s="128" t="s">
        <v>7592</v>
      </c>
      <c r="I3773" s="128"/>
      <c r="J3773" s="128" t="s">
        <v>2686</v>
      </c>
      <c r="K3773" s="128" t="s">
        <v>317</v>
      </c>
      <c r="L3773" s="152" t="s">
        <v>1888</v>
      </c>
      <c r="M3773" s="127">
        <v>607704</v>
      </c>
      <c r="N3773" s="109"/>
      <c r="O3773" s="31"/>
      <c r="P3773" s="19"/>
      <c r="Q3773" s="19"/>
    </row>
    <row r="3774" spans="1:17" ht="24.9" customHeight="1">
      <c r="A3774" s="20">
        <v>483</v>
      </c>
      <c r="B3774" s="20" t="s">
        <v>6782</v>
      </c>
      <c r="C3774" s="20"/>
      <c r="D3774" s="20" t="s">
        <v>48</v>
      </c>
      <c r="E3774" s="19" t="str">
        <f>VLOOKUP(D3774,'لیست پرسنل'!$B$2:$E$1020,3,FALSE)</f>
        <v>فکورصنعت</v>
      </c>
      <c r="F3774" s="19" t="str">
        <f>VLOOKUP(D3774,'لیست پرسنل'!$B$2:$E$1020,4,FALSE)</f>
        <v>سرپرست آی تی</v>
      </c>
      <c r="G3774" s="127">
        <f>VLOOKUP(D3774,'لیست پرسنل'!$B$2:$F$1020,2,FALSE)</f>
        <v>2210</v>
      </c>
      <c r="H3774" s="128" t="s">
        <v>7592</v>
      </c>
      <c r="I3774" s="128"/>
      <c r="J3774" s="128" t="s">
        <v>2686</v>
      </c>
      <c r="K3774" s="128" t="s">
        <v>371</v>
      </c>
      <c r="L3774" s="154" t="s">
        <v>1715</v>
      </c>
      <c r="M3774" s="127">
        <v>618629</v>
      </c>
      <c r="N3774" s="108"/>
      <c r="O3774" s="20" t="s">
        <v>4028</v>
      </c>
      <c r="P3774" s="20"/>
      <c r="Q3774" s="20"/>
    </row>
    <row r="3775" spans="1:17" ht="24.9" customHeight="1">
      <c r="A3775" s="20">
        <v>483</v>
      </c>
      <c r="B3775" s="20" t="s">
        <v>6782</v>
      </c>
      <c r="C3775" s="20"/>
      <c r="D3775" s="20" t="s">
        <v>48</v>
      </c>
      <c r="E3775" s="19" t="str">
        <f>VLOOKUP(D3775,'لیست پرسنل'!$B$2:$E$1020,3,FALSE)</f>
        <v>فکورصنعت</v>
      </c>
      <c r="F3775" s="19" t="str">
        <f>VLOOKUP(D3775,'لیست پرسنل'!$B$2:$E$1020,4,FALSE)</f>
        <v>سرپرست آی تی</v>
      </c>
      <c r="G3775" s="127">
        <f>VLOOKUP(D3775,'لیست پرسنل'!$B$2:$F$1020,2,FALSE)</f>
        <v>2210</v>
      </c>
      <c r="H3775" s="128" t="s">
        <v>7592</v>
      </c>
      <c r="I3775" s="128"/>
      <c r="J3775" s="128" t="s">
        <v>2686</v>
      </c>
      <c r="K3775" s="128" t="s">
        <v>7870</v>
      </c>
      <c r="L3775" s="154"/>
      <c r="M3775" s="127">
        <v>632799</v>
      </c>
      <c r="N3775" s="108"/>
      <c r="O3775" s="20"/>
      <c r="P3775" s="20"/>
      <c r="Q3775" s="20"/>
    </row>
    <row r="3776" spans="1:17" ht="24.9" customHeight="1">
      <c r="A3776" s="20">
        <v>483</v>
      </c>
      <c r="B3776" s="20" t="s">
        <v>6782</v>
      </c>
      <c r="C3776" s="20"/>
      <c r="D3776" s="20" t="s">
        <v>48</v>
      </c>
      <c r="E3776" s="19" t="str">
        <f>VLOOKUP(D3776,'لیست پرسنل'!$B$2:$E$1020,3,FALSE)</f>
        <v>فکورصنعت</v>
      </c>
      <c r="F3776" s="19" t="str">
        <f>VLOOKUP(D3776,'لیست پرسنل'!$B$2:$E$1020,4,FALSE)</f>
        <v>سرپرست آی تی</v>
      </c>
      <c r="G3776" s="127">
        <f>VLOOKUP(D3776,'لیست پرسنل'!$B$2:$F$1020,2,FALSE)</f>
        <v>2210</v>
      </c>
      <c r="H3776" s="128" t="s">
        <v>7592</v>
      </c>
      <c r="I3776" s="128"/>
      <c r="J3776" s="128" t="s">
        <v>2686</v>
      </c>
      <c r="K3776" s="128" t="s">
        <v>7870</v>
      </c>
      <c r="L3776" s="154"/>
      <c r="M3776" s="127">
        <v>632801</v>
      </c>
      <c r="N3776" s="108"/>
      <c r="O3776" s="20"/>
      <c r="P3776" s="20"/>
      <c r="Q3776" s="20"/>
    </row>
    <row r="3777" spans="1:17" ht="24.9" customHeight="1">
      <c r="A3777" s="20">
        <v>483</v>
      </c>
      <c r="B3777" s="20" t="s">
        <v>6782</v>
      </c>
      <c r="C3777" s="20"/>
      <c r="D3777" s="20" t="s">
        <v>48</v>
      </c>
      <c r="E3777" s="19" t="str">
        <f>VLOOKUP(D3777,'لیست پرسنل'!$B$2:$E$1020,3,FALSE)</f>
        <v>فکورصنعت</v>
      </c>
      <c r="F3777" s="19" t="str">
        <f>VLOOKUP(D3777,'لیست پرسنل'!$B$2:$E$1020,4,FALSE)</f>
        <v>سرپرست آی تی</v>
      </c>
      <c r="G3777" s="127">
        <f>VLOOKUP(D3777,'لیست پرسنل'!$B$2:$F$1020,2,FALSE)</f>
        <v>2210</v>
      </c>
      <c r="H3777" s="128" t="s">
        <v>7592</v>
      </c>
      <c r="I3777" s="128"/>
      <c r="J3777" s="128" t="s">
        <v>2686</v>
      </c>
      <c r="K3777" s="128" t="s">
        <v>7870</v>
      </c>
      <c r="L3777" s="154"/>
      <c r="M3777" s="127">
        <v>632802</v>
      </c>
      <c r="N3777" s="108"/>
      <c r="O3777" s="20"/>
      <c r="P3777" s="20"/>
      <c r="Q3777" s="20"/>
    </row>
    <row r="3778" spans="1:17" ht="24.9" customHeight="1">
      <c r="A3778" s="20">
        <v>483</v>
      </c>
      <c r="B3778" s="20" t="s">
        <v>6782</v>
      </c>
      <c r="C3778" s="20"/>
      <c r="D3778" s="20" t="s">
        <v>48</v>
      </c>
      <c r="E3778" s="19" t="str">
        <f>VLOOKUP(D3778,'لیست پرسنل'!$B$2:$E$1020,3,FALSE)</f>
        <v>فکورصنعت</v>
      </c>
      <c r="F3778" s="19" t="str">
        <f>VLOOKUP(D3778,'لیست پرسنل'!$B$2:$E$1020,4,FALSE)</f>
        <v>سرپرست آی تی</v>
      </c>
      <c r="G3778" s="127">
        <f>VLOOKUP(D3778,'لیست پرسنل'!$B$2:$F$1020,2,FALSE)</f>
        <v>2210</v>
      </c>
      <c r="H3778" s="128" t="s">
        <v>7592</v>
      </c>
      <c r="I3778" s="128"/>
      <c r="J3778" s="128" t="s">
        <v>2686</v>
      </c>
      <c r="K3778" s="128" t="s">
        <v>7871</v>
      </c>
      <c r="L3778" s="154"/>
      <c r="M3778" s="127">
        <v>634000</v>
      </c>
      <c r="N3778" s="108"/>
      <c r="O3778" s="20"/>
      <c r="P3778" s="20"/>
      <c r="Q3778" s="20"/>
    </row>
    <row r="3779" spans="1:17" ht="24.9" customHeight="1">
      <c r="A3779" s="20">
        <v>483</v>
      </c>
      <c r="B3779" s="20" t="s">
        <v>6782</v>
      </c>
      <c r="C3779" s="20"/>
      <c r="D3779" s="20" t="s">
        <v>48</v>
      </c>
      <c r="E3779" s="19" t="str">
        <f>VLOOKUP(D3779,'لیست پرسنل'!$B$2:$E$1020,3,FALSE)</f>
        <v>فکورصنعت</v>
      </c>
      <c r="F3779" s="19" t="str">
        <f>VLOOKUP(D3779,'لیست پرسنل'!$B$2:$E$1020,4,FALSE)</f>
        <v>سرپرست آی تی</v>
      </c>
      <c r="G3779" s="127">
        <f>VLOOKUP(D3779,'لیست پرسنل'!$B$2:$F$1020,2,FALSE)</f>
        <v>2210</v>
      </c>
      <c r="H3779" s="127" t="s">
        <v>8503</v>
      </c>
      <c r="I3779" s="127"/>
      <c r="J3779" s="128" t="s">
        <v>8275</v>
      </c>
      <c r="K3779" s="127" t="s">
        <v>8279</v>
      </c>
      <c r="L3779" s="127" t="s">
        <v>8280</v>
      </c>
      <c r="M3779" s="127">
        <v>636961</v>
      </c>
      <c r="N3779" s="109"/>
      <c r="O3779" s="20"/>
      <c r="P3779" s="20"/>
      <c r="Q3779" s="20"/>
    </row>
    <row r="3780" spans="1:17" ht="24.9" customHeight="1">
      <c r="A3780" s="20">
        <v>483</v>
      </c>
      <c r="B3780" s="20" t="s">
        <v>6768</v>
      </c>
      <c r="C3780" s="20">
        <v>1</v>
      </c>
      <c r="D3780" s="20" t="s">
        <v>7362</v>
      </c>
      <c r="E3780" s="19" t="str">
        <f>VLOOKUP(D3780,'لیست پرسنل'!$B$2:$E$1020,3,FALSE)</f>
        <v>فکورصنعت</v>
      </c>
      <c r="F3780" s="19" t="str">
        <f>VLOOKUP(D3780,'لیست پرسنل'!$B$2:$E$1020,4,FALSE)</f>
        <v>کنترل کیفیت</v>
      </c>
      <c r="G3780" s="127">
        <f>VLOOKUP(D3780,'لیست پرسنل'!$B$2:$F$1020,2,FALSE)</f>
        <v>4020405</v>
      </c>
      <c r="H3780" s="128" t="s">
        <v>6615</v>
      </c>
      <c r="I3780" s="128" t="s">
        <v>6767</v>
      </c>
      <c r="J3780" s="128" t="s">
        <v>368</v>
      </c>
      <c r="K3780" s="128" t="s">
        <v>2846</v>
      </c>
      <c r="L3780" s="127" t="s">
        <v>6632</v>
      </c>
      <c r="M3780" s="127">
        <v>634005</v>
      </c>
      <c r="N3780" s="109"/>
      <c r="O3780" s="19"/>
      <c r="P3780" s="32"/>
      <c r="Q3780" s="32"/>
    </row>
    <row r="3781" spans="1:17" ht="24.9" customHeight="1">
      <c r="A3781" s="20">
        <v>483</v>
      </c>
      <c r="B3781" s="20" t="s">
        <v>6768</v>
      </c>
      <c r="C3781" s="20">
        <v>1</v>
      </c>
      <c r="D3781" s="20" t="s">
        <v>7362</v>
      </c>
      <c r="E3781" s="19" t="str">
        <f>VLOOKUP(D3781,'لیست پرسنل'!$B$2:$E$1020,3,FALSE)</f>
        <v>فکورصنعت</v>
      </c>
      <c r="F3781" s="19" t="str">
        <f>VLOOKUP(D3781,'لیست پرسنل'!$B$2:$E$1020,4,FALSE)</f>
        <v>کنترل کیفیت</v>
      </c>
      <c r="G3781" s="127">
        <f>VLOOKUP(D3781,'لیست پرسنل'!$B$2:$F$1020,2,FALSE)</f>
        <v>4020405</v>
      </c>
      <c r="H3781" s="128" t="s">
        <v>6615</v>
      </c>
      <c r="I3781" s="128" t="s">
        <v>6767</v>
      </c>
      <c r="J3781" s="128" t="s">
        <v>571</v>
      </c>
      <c r="K3781" s="128"/>
      <c r="L3781" s="127"/>
      <c r="M3781" s="127">
        <v>634088</v>
      </c>
      <c r="N3781" s="109"/>
      <c r="O3781" s="19" t="s">
        <v>6702</v>
      </c>
      <c r="P3781" s="32"/>
      <c r="Q3781" s="32"/>
    </row>
    <row r="3782" spans="1:17" ht="24.9" customHeight="1">
      <c r="A3782" s="20">
        <v>483</v>
      </c>
      <c r="B3782" s="20" t="s">
        <v>6768</v>
      </c>
      <c r="C3782" s="20">
        <v>1</v>
      </c>
      <c r="D3782" s="20" t="s">
        <v>7362</v>
      </c>
      <c r="E3782" s="19" t="str">
        <f>VLOOKUP(D3782,'لیست پرسنل'!$B$2:$E$1020,3,FALSE)</f>
        <v>فکورصنعت</v>
      </c>
      <c r="F3782" s="19" t="str">
        <f>VLOOKUP(D3782,'لیست پرسنل'!$B$2:$E$1020,4,FALSE)</f>
        <v>کنترل کیفیت</v>
      </c>
      <c r="G3782" s="127">
        <f>VLOOKUP(D3782,'لیست پرسنل'!$B$2:$F$1020,2,FALSE)</f>
        <v>4020405</v>
      </c>
      <c r="H3782" s="151" t="s">
        <v>6615</v>
      </c>
      <c r="I3782" s="128" t="s">
        <v>6767</v>
      </c>
      <c r="J3782" s="127" t="s">
        <v>5618</v>
      </c>
      <c r="K3782" s="127" t="s">
        <v>7602</v>
      </c>
      <c r="L3782" s="128" t="s">
        <v>7792</v>
      </c>
      <c r="M3782" s="128">
        <v>636060</v>
      </c>
      <c r="N3782" s="108"/>
      <c r="O3782" s="20"/>
      <c r="P3782" s="20"/>
      <c r="Q3782" s="20"/>
    </row>
    <row r="3783" spans="1:17" ht="24.9" customHeight="1">
      <c r="A3783" s="20">
        <v>483</v>
      </c>
      <c r="B3783" s="20" t="s">
        <v>6768</v>
      </c>
      <c r="C3783" s="19">
        <v>2</v>
      </c>
      <c r="D3783" s="20" t="s">
        <v>8273</v>
      </c>
      <c r="E3783" s="19" t="str">
        <f>VLOOKUP(D3783,'لیست پرسنل'!$B$2:$E$1020,3,FALSE)</f>
        <v>فکورصنعت</v>
      </c>
      <c r="F3783" s="19" t="str">
        <f>VLOOKUP(D3783,'لیست پرسنل'!$B$2:$E$1020,4,FALSE)</f>
        <v>مدیر سایت</v>
      </c>
      <c r="G3783" s="127">
        <f>VLOOKUP(D3783,'لیست پرسنل'!$B$2:$F$1020,2,FALSE)</f>
        <v>4031007</v>
      </c>
      <c r="H3783" s="128" t="s">
        <v>6615</v>
      </c>
      <c r="I3783" s="126" t="s">
        <v>6771</v>
      </c>
      <c r="J3783" s="128" t="s">
        <v>368</v>
      </c>
      <c r="K3783" s="128" t="s">
        <v>2846</v>
      </c>
      <c r="L3783" s="127" t="s">
        <v>6631</v>
      </c>
      <c r="M3783" s="127">
        <v>634004</v>
      </c>
      <c r="N3783" s="109"/>
      <c r="O3783" s="19"/>
      <c r="P3783" s="32"/>
      <c r="Q3783" s="32"/>
    </row>
    <row r="3784" spans="1:17" ht="24.9" customHeight="1">
      <c r="A3784" s="20">
        <v>483</v>
      </c>
      <c r="B3784" s="20" t="s">
        <v>6768</v>
      </c>
      <c r="C3784" s="20">
        <v>2</v>
      </c>
      <c r="D3784" s="20" t="s">
        <v>8273</v>
      </c>
      <c r="E3784" s="19" t="str">
        <f>VLOOKUP(D3784,'لیست پرسنل'!$B$2:$E$1020,3,FALSE)</f>
        <v>فکورصنعت</v>
      </c>
      <c r="F3784" s="19" t="str">
        <f>VLOOKUP(D3784,'لیست پرسنل'!$B$2:$E$1020,4,FALSE)</f>
        <v>مدیر سایت</v>
      </c>
      <c r="G3784" s="127">
        <f>VLOOKUP(D3784,'لیست پرسنل'!$B$2:$F$1020,2,FALSE)</f>
        <v>4031007</v>
      </c>
      <c r="H3784" s="128" t="s">
        <v>6615</v>
      </c>
      <c r="I3784" s="127" t="s">
        <v>6771</v>
      </c>
      <c r="J3784" s="128" t="s">
        <v>8275</v>
      </c>
      <c r="K3784" s="127" t="s">
        <v>8276</v>
      </c>
      <c r="L3784" s="127" t="s">
        <v>8278</v>
      </c>
      <c r="M3784" s="127">
        <v>636960</v>
      </c>
      <c r="N3784" s="109"/>
      <c r="O3784" s="20"/>
      <c r="P3784" s="20"/>
      <c r="Q3784" s="20"/>
    </row>
    <row r="3785" spans="1:17" ht="24.9" customHeight="1">
      <c r="A3785" s="20">
        <v>483</v>
      </c>
      <c r="B3785" s="20" t="s">
        <v>6768</v>
      </c>
      <c r="C3785" s="19">
        <v>2</v>
      </c>
      <c r="D3785" s="20" t="s">
        <v>8273</v>
      </c>
      <c r="E3785" s="19" t="str">
        <f>VLOOKUP(D3785,'لیست پرسنل'!$B$2:$E$1020,3,FALSE)</f>
        <v>فکورصنعت</v>
      </c>
      <c r="F3785" s="19" t="str">
        <f>VLOOKUP(D3785,'لیست پرسنل'!$B$2:$E$1020,4,FALSE)</f>
        <v>مدیر سایت</v>
      </c>
      <c r="G3785" s="127">
        <f>VLOOKUP(D3785,'لیست پرسنل'!$B$2:$F$1020,2,FALSE)</f>
        <v>4031007</v>
      </c>
      <c r="H3785" s="128" t="s">
        <v>6615</v>
      </c>
      <c r="I3785" s="126" t="s">
        <v>6771</v>
      </c>
      <c r="J3785" s="128" t="s">
        <v>571</v>
      </c>
      <c r="K3785" s="128"/>
      <c r="L3785" s="152"/>
      <c r="M3785" s="127">
        <v>628544</v>
      </c>
      <c r="N3785" s="109"/>
      <c r="O3785" s="31"/>
      <c r="P3785" s="19"/>
      <c r="Q3785" s="19"/>
    </row>
    <row r="3786" spans="1:17" ht="24.9" customHeight="1">
      <c r="A3786" s="20">
        <v>483</v>
      </c>
      <c r="B3786" s="20" t="s">
        <v>6768</v>
      </c>
      <c r="C3786" s="19">
        <v>2</v>
      </c>
      <c r="D3786" s="20" t="s">
        <v>8273</v>
      </c>
      <c r="E3786" s="19" t="str">
        <f>VLOOKUP(D3786,'لیست پرسنل'!$B$2:$E$1020,3,FALSE)</f>
        <v>فکورصنعت</v>
      </c>
      <c r="F3786" s="19" t="str">
        <f>VLOOKUP(D3786,'لیست پرسنل'!$B$2:$E$1020,4,FALSE)</f>
        <v>مدیر سایت</v>
      </c>
      <c r="G3786" s="127">
        <f>VLOOKUP(D3786,'لیست پرسنل'!$B$2:$F$1020,2,FALSE)</f>
        <v>4031007</v>
      </c>
      <c r="H3786" s="128" t="s">
        <v>6615</v>
      </c>
      <c r="I3786" s="126" t="s">
        <v>6771</v>
      </c>
      <c r="J3786" s="128" t="s">
        <v>2686</v>
      </c>
      <c r="K3786" s="128" t="s">
        <v>6628</v>
      </c>
      <c r="L3786" s="127" t="s">
        <v>6629</v>
      </c>
      <c r="M3786" s="127">
        <v>628428</v>
      </c>
      <c r="N3786" s="109"/>
      <c r="O3786" s="19"/>
      <c r="P3786" s="32"/>
      <c r="Q3786" s="32"/>
    </row>
    <row r="3787" spans="1:17" ht="24.9" customHeight="1">
      <c r="A3787" s="20">
        <v>483</v>
      </c>
      <c r="B3787" s="20" t="s">
        <v>6768</v>
      </c>
      <c r="C3787" s="20">
        <v>3</v>
      </c>
      <c r="D3787" s="20" t="s">
        <v>7600</v>
      </c>
      <c r="E3787" s="19" t="str">
        <f>VLOOKUP(D3787,'لیست پرسنل'!$B$2:$E$1020,3,FALSE)</f>
        <v>فکورصنعت</v>
      </c>
      <c r="F3787" s="19" t="str">
        <f>VLOOKUP(D3787,'لیست پرسنل'!$B$2:$E$1020,4,FALSE)</f>
        <v>دفتر فنی سیویل</v>
      </c>
      <c r="G3787" s="127">
        <f>VLOOKUP(D3787,'لیست پرسنل'!$B$2:$F$1020,2,FALSE)</f>
        <v>4031202</v>
      </c>
      <c r="H3787" s="151" t="s">
        <v>6615</v>
      </c>
      <c r="I3787" s="128" t="s">
        <v>6772</v>
      </c>
      <c r="J3787" s="127" t="s">
        <v>368</v>
      </c>
      <c r="K3787" s="127" t="s">
        <v>2846</v>
      </c>
      <c r="L3787" s="128" t="s">
        <v>7603</v>
      </c>
      <c r="M3787" s="128">
        <v>634012</v>
      </c>
      <c r="N3787" s="108"/>
      <c r="O3787" s="20"/>
      <c r="P3787" s="20"/>
      <c r="Q3787" s="20"/>
    </row>
    <row r="3788" spans="1:17" ht="24.9" customHeight="1">
      <c r="A3788" s="20">
        <v>483</v>
      </c>
      <c r="B3788" s="20" t="s">
        <v>6768</v>
      </c>
      <c r="C3788" s="20">
        <v>3</v>
      </c>
      <c r="D3788" s="20" t="s">
        <v>7600</v>
      </c>
      <c r="E3788" s="19" t="str">
        <f>VLOOKUP(D3788,'لیست پرسنل'!$B$2:$E$1020,3,FALSE)</f>
        <v>فکورصنعت</v>
      </c>
      <c r="F3788" s="19" t="str">
        <f>VLOOKUP(D3788,'لیست پرسنل'!$B$2:$E$1020,4,FALSE)</f>
        <v>دفتر فنی سیویل</v>
      </c>
      <c r="G3788" s="127">
        <f>VLOOKUP(D3788,'لیست پرسنل'!$B$2:$F$1020,2,FALSE)</f>
        <v>4031202</v>
      </c>
      <c r="H3788" s="151" t="s">
        <v>6615</v>
      </c>
      <c r="I3788" s="128" t="s">
        <v>6772</v>
      </c>
      <c r="J3788" s="127" t="s">
        <v>571</v>
      </c>
      <c r="K3788" s="127" t="s">
        <v>7594</v>
      </c>
      <c r="L3788" s="128"/>
      <c r="M3788" s="128">
        <v>636051</v>
      </c>
      <c r="N3788" s="108"/>
      <c r="O3788" s="20"/>
      <c r="P3788" s="20"/>
      <c r="Q3788" s="20"/>
    </row>
    <row r="3789" spans="1:17" ht="24.9" customHeight="1">
      <c r="A3789" s="20">
        <v>483</v>
      </c>
      <c r="B3789" s="20" t="s">
        <v>6768</v>
      </c>
      <c r="C3789" s="20">
        <v>3</v>
      </c>
      <c r="D3789" s="20" t="s">
        <v>7600</v>
      </c>
      <c r="E3789" s="19" t="str">
        <f>VLOOKUP(D3789,'لیست پرسنل'!$B$2:$E$1020,3,FALSE)</f>
        <v>فکورصنعت</v>
      </c>
      <c r="F3789" s="19" t="str">
        <f>VLOOKUP(D3789,'لیست پرسنل'!$B$2:$E$1020,4,FALSE)</f>
        <v>دفتر فنی سیویل</v>
      </c>
      <c r="G3789" s="127">
        <f>VLOOKUP(D3789,'لیست پرسنل'!$B$2:$F$1020,2,FALSE)</f>
        <v>4031202</v>
      </c>
      <c r="H3789" s="151" t="s">
        <v>6615</v>
      </c>
      <c r="I3789" s="128" t="s">
        <v>6772</v>
      </c>
      <c r="J3789" s="127" t="s">
        <v>5618</v>
      </c>
      <c r="K3789" s="127" t="s">
        <v>7602</v>
      </c>
      <c r="L3789" s="128" t="s">
        <v>7601</v>
      </c>
      <c r="M3789" s="128">
        <v>636057</v>
      </c>
      <c r="N3789" s="108"/>
      <c r="O3789" s="20"/>
      <c r="P3789" s="20"/>
      <c r="Q3789" s="20"/>
    </row>
    <row r="3790" spans="1:17" ht="24.9" customHeight="1">
      <c r="A3790" s="20">
        <v>483</v>
      </c>
      <c r="B3790" s="20" t="s">
        <v>6768</v>
      </c>
      <c r="C3790" s="19">
        <v>4</v>
      </c>
      <c r="D3790" s="46" t="s">
        <v>3804</v>
      </c>
      <c r="E3790" s="19" t="str">
        <f>VLOOKUP(D3790,'لیست پرسنل'!$B$2:$E$1020,3,FALSE)</f>
        <v>فکورصنعت</v>
      </c>
      <c r="F3790" s="19" t="str">
        <f>VLOOKUP(D3790,'لیست پرسنل'!$B$2:$E$1020,4,FALSE)</f>
        <v>سیویل</v>
      </c>
      <c r="G3790" s="127" t="str">
        <f>VLOOKUP(D3790,'لیست پرسنل'!$B$2:$F$1020,2,FALSE)</f>
        <v>3717</v>
      </c>
      <c r="H3790" s="128" t="s">
        <v>6615</v>
      </c>
      <c r="I3790" s="126" t="s">
        <v>6773</v>
      </c>
      <c r="J3790" s="128" t="s">
        <v>737</v>
      </c>
      <c r="K3790" s="127" t="s">
        <v>2535</v>
      </c>
      <c r="L3790" s="127" t="s">
        <v>2534</v>
      </c>
      <c r="M3790" s="127">
        <v>628110</v>
      </c>
      <c r="N3790" s="108"/>
      <c r="O3790" s="19"/>
      <c r="P3790" s="20"/>
      <c r="Q3790" s="20"/>
    </row>
    <row r="3791" spans="1:17" ht="24.9" customHeight="1">
      <c r="A3791" s="20">
        <v>483</v>
      </c>
      <c r="B3791" s="20" t="s">
        <v>6768</v>
      </c>
      <c r="C3791" s="19">
        <v>4</v>
      </c>
      <c r="D3791" s="46" t="s">
        <v>3804</v>
      </c>
      <c r="E3791" s="19" t="str">
        <f>VLOOKUP(D3791,'لیست پرسنل'!$B$2:$E$1020,3,FALSE)</f>
        <v>فکورصنعت</v>
      </c>
      <c r="F3791" s="19" t="str">
        <f>VLOOKUP(D3791,'لیست پرسنل'!$B$2:$E$1020,4,FALSE)</f>
        <v>سیویل</v>
      </c>
      <c r="G3791" s="127" t="str">
        <f>VLOOKUP(D3791,'لیست پرسنل'!$B$2:$F$1020,2,FALSE)</f>
        <v>3717</v>
      </c>
      <c r="H3791" s="128" t="s">
        <v>6615</v>
      </c>
      <c r="I3791" s="126" t="s">
        <v>6773</v>
      </c>
      <c r="J3791" s="126" t="s">
        <v>368</v>
      </c>
      <c r="K3791" s="128" t="s">
        <v>693</v>
      </c>
      <c r="L3791" s="127" t="s">
        <v>904</v>
      </c>
      <c r="M3791" s="127">
        <v>618885</v>
      </c>
      <c r="N3791" s="108"/>
      <c r="O3791" s="19"/>
      <c r="P3791" s="20"/>
      <c r="Q3791" s="20"/>
    </row>
    <row r="3792" spans="1:17" ht="24.9" customHeight="1">
      <c r="A3792" s="20">
        <v>483</v>
      </c>
      <c r="B3792" s="20" t="s">
        <v>6768</v>
      </c>
      <c r="C3792" s="19">
        <v>4</v>
      </c>
      <c r="D3792" s="46" t="s">
        <v>3804</v>
      </c>
      <c r="E3792" s="19" t="str">
        <f>VLOOKUP(D3792,'لیست پرسنل'!$B$2:$E$1020,3,FALSE)</f>
        <v>فکورصنعت</v>
      </c>
      <c r="F3792" s="19" t="str">
        <f>VLOOKUP(D3792,'لیست پرسنل'!$B$2:$E$1020,4,FALSE)</f>
        <v>سیویل</v>
      </c>
      <c r="G3792" s="127" t="str">
        <f>VLOOKUP(D3792,'لیست پرسنل'!$B$2:$F$1020,2,FALSE)</f>
        <v>3717</v>
      </c>
      <c r="H3792" s="128" t="s">
        <v>6615</v>
      </c>
      <c r="I3792" s="126" t="s">
        <v>6773</v>
      </c>
      <c r="J3792" s="126" t="s">
        <v>571</v>
      </c>
      <c r="K3792" s="127"/>
      <c r="L3792" s="151"/>
      <c r="M3792" s="128">
        <v>627707</v>
      </c>
      <c r="N3792" s="108"/>
      <c r="O3792" s="19"/>
      <c r="P3792" s="20"/>
      <c r="Q3792" s="20"/>
    </row>
    <row r="3793" spans="1:17" ht="24.9" customHeight="1">
      <c r="A3793" s="20">
        <v>483</v>
      </c>
      <c r="B3793" s="20" t="s">
        <v>6768</v>
      </c>
      <c r="C3793" s="19">
        <v>4</v>
      </c>
      <c r="D3793" s="46" t="s">
        <v>3804</v>
      </c>
      <c r="E3793" s="19" t="str">
        <f>VLOOKUP(D3793,'لیست پرسنل'!$B$2:$E$1020,3,FALSE)</f>
        <v>فکورصنعت</v>
      </c>
      <c r="F3793" s="19" t="str">
        <f>VLOOKUP(D3793,'لیست پرسنل'!$B$2:$E$1020,4,FALSE)</f>
        <v>سیویل</v>
      </c>
      <c r="G3793" s="127" t="str">
        <f>VLOOKUP(D3793,'لیست پرسنل'!$B$2:$F$1020,2,FALSE)</f>
        <v>3717</v>
      </c>
      <c r="H3793" s="128" t="s">
        <v>6615</v>
      </c>
      <c r="I3793" s="126" t="s">
        <v>6773</v>
      </c>
      <c r="J3793" s="128" t="s">
        <v>2686</v>
      </c>
      <c r="K3793" s="128" t="s">
        <v>2922</v>
      </c>
      <c r="L3793" s="128" t="s">
        <v>2931</v>
      </c>
      <c r="M3793" s="128">
        <v>626408</v>
      </c>
      <c r="N3793" s="108"/>
      <c r="O3793" s="20" t="s">
        <v>705</v>
      </c>
      <c r="P3793" s="20"/>
      <c r="Q3793" s="20"/>
    </row>
    <row r="3794" spans="1:17" ht="24.9" customHeight="1">
      <c r="A3794" s="20">
        <v>483</v>
      </c>
      <c r="B3794" s="20" t="s">
        <v>6768</v>
      </c>
      <c r="C3794" s="20">
        <v>5</v>
      </c>
      <c r="D3794" s="20" t="s">
        <v>3556</v>
      </c>
      <c r="E3794" s="19" t="str">
        <f>VLOOKUP(D3794,'لیست پرسنل'!$B$2:$E$1020,3,FALSE)</f>
        <v>فکورصنعت</v>
      </c>
      <c r="F3794" s="19" t="str">
        <f>VLOOKUP(D3794,'لیست پرسنل'!$B$2:$E$1020,4,FALSE)</f>
        <v>کنترل پروژه</v>
      </c>
      <c r="G3794" s="127">
        <f>VLOOKUP(D3794,'لیست پرسنل'!$B$2:$F$1020,2,FALSE)</f>
        <v>4001004</v>
      </c>
      <c r="H3794" s="128" t="s">
        <v>6615</v>
      </c>
      <c r="I3794" s="128" t="s">
        <v>6774</v>
      </c>
      <c r="J3794" s="127" t="s">
        <v>368</v>
      </c>
      <c r="K3794" s="127" t="s">
        <v>2846</v>
      </c>
      <c r="L3794" s="128" t="s">
        <v>7608</v>
      </c>
      <c r="M3794" s="128">
        <v>634028</v>
      </c>
      <c r="N3794" s="108"/>
      <c r="O3794" s="20"/>
      <c r="P3794" s="20"/>
      <c r="Q3794" s="20"/>
    </row>
    <row r="3795" spans="1:17" ht="24.9" customHeight="1">
      <c r="A3795" s="20">
        <v>483</v>
      </c>
      <c r="B3795" s="20" t="s">
        <v>6768</v>
      </c>
      <c r="C3795" s="20">
        <v>5</v>
      </c>
      <c r="D3795" s="20" t="s">
        <v>3556</v>
      </c>
      <c r="E3795" s="19" t="str">
        <f>VLOOKUP(D3795,'لیست پرسنل'!$B$2:$E$1020,3,FALSE)</f>
        <v>فکورصنعت</v>
      </c>
      <c r="F3795" s="19" t="str">
        <f>VLOOKUP(D3795,'لیست پرسنل'!$B$2:$E$1020,4,FALSE)</f>
        <v>کنترل پروژه</v>
      </c>
      <c r="G3795" s="127">
        <f>VLOOKUP(D3795,'لیست پرسنل'!$B$2:$F$1020,2,FALSE)</f>
        <v>4001004</v>
      </c>
      <c r="H3795" s="128" t="s">
        <v>6615</v>
      </c>
      <c r="I3795" s="128" t="s">
        <v>6774</v>
      </c>
      <c r="J3795" s="128" t="s">
        <v>571</v>
      </c>
      <c r="K3795" s="128" t="s">
        <v>6588</v>
      </c>
      <c r="L3795" s="140"/>
      <c r="M3795" s="127">
        <v>631994</v>
      </c>
      <c r="N3795" s="109"/>
      <c r="O3795" s="19"/>
      <c r="P3795" s="32"/>
      <c r="Q3795" s="32"/>
    </row>
    <row r="3796" spans="1:17" ht="24.9" customHeight="1">
      <c r="A3796" s="20">
        <v>483</v>
      </c>
      <c r="B3796" s="20" t="s">
        <v>6768</v>
      </c>
      <c r="C3796" s="20">
        <v>5</v>
      </c>
      <c r="D3796" s="20" t="s">
        <v>3556</v>
      </c>
      <c r="E3796" s="19" t="str">
        <f>VLOOKUP(D3796,'لیست پرسنل'!$B$2:$E$1020,3,FALSE)</f>
        <v>فکورصنعت</v>
      </c>
      <c r="F3796" s="19" t="str">
        <f>VLOOKUP(D3796,'لیست پرسنل'!$B$2:$E$1020,4,FALSE)</f>
        <v>کنترل پروژه</v>
      </c>
      <c r="G3796" s="127">
        <f>VLOOKUP(D3796,'لیست پرسنل'!$B$2:$F$1020,2,FALSE)</f>
        <v>4001004</v>
      </c>
      <c r="H3796" s="128" t="s">
        <v>6615</v>
      </c>
      <c r="I3796" s="128" t="s">
        <v>6774</v>
      </c>
      <c r="J3796" s="128" t="s">
        <v>2686</v>
      </c>
      <c r="K3796" s="128" t="s">
        <v>6589</v>
      </c>
      <c r="L3796" s="127" t="s">
        <v>6617</v>
      </c>
      <c r="M3796" s="127">
        <v>633993</v>
      </c>
      <c r="N3796" s="109"/>
      <c r="O3796" s="19"/>
      <c r="P3796" s="32"/>
      <c r="Q3796" s="32"/>
    </row>
    <row r="3797" spans="1:17" ht="24.9" customHeight="1">
      <c r="A3797" s="20">
        <v>483</v>
      </c>
      <c r="B3797" s="20" t="s">
        <v>6768</v>
      </c>
      <c r="C3797" s="20">
        <v>6</v>
      </c>
      <c r="D3797" s="20" t="s">
        <v>3542</v>
      </c>
      <c r="E3797" s="19" t="str">
        <f>VLOOKUP(D3797,'لیست پرسنل'!$B$2:$E$1020,3,FALSE)</f>
        <v>فکورصنعت</v>
      </c>
      <c r="F3797" s="19" t="str">
        <f>VLOOKUP(D3797,'لیست پرسنل'!$B$2:$E$1020,4,FALSE)</f>
        <v>ایمنی</v>
      </c>
      <c r="G3797" s="127" t="str">
        <f>VLOOKUP(D3797,'لیست پرسنل'!$B$2:$F$1020,2,FALSE)</f>
        <v>98131</v>
      </c>
      <c r="H3797" s="128" t="s">
        <v>6615</v>
      </c>
      <c r="I3797" s="128" t="s">
        <v>7430</v>
      </c>
      <c r="J3797" s="127" t="s">
        <v>368</v>
      </c>
      <c r="K3797" s="127" t="s">
        <v>2846</v>
      </c>
      <c r="L3797" s="128"/>
      <c r="M3797" s="128">
        <v>634047</v>
      </c>
      <c r="N3797" s="108"/>
      <c r="O3797" s="20"/>
      <c r="P3797" s="20"/>
      <c r="Q3797" s="20"/>
    </row>
    <row r="3798" spans="1:17" ht="24.9" customHeight="1">
      <c r="A3798" s="20">
        <v>483</v>
      </c>
      <c r="B3798" s="20" t="s">
        <v>6768</v>
      </c>
      <c r="C3798" s="20">
        <v>6</v>
      </c>
      <c r="D3798" s="20" t="s">
        <v>3542</v>
      </c>
      <c r="E3798" s="19" t="str">
        <f>VLOOKUP(D3798,'لیست پرسنل'!$B$2:$E$1020,3,FALSE)</f>
        <v>فکورصنعت</v>
      </c>
      <c r="F3798" s="19" t="str">
        <f>VLOOKUP(D3798,'لیست پرسنل'!$B$2:$E$1020,4,FALSE)</f>
        <v>ایمنی</v>
      </c>
      <c r="G3798" s="127" t="str">
        <f>VLOOKUP(D3798,'لیست پرسنل'!$B$2:$F$1020,2,FALSE)</f>
        <v>98131</v>
      </c>
      <c r="H3798" s="128" t="s">
        <v>6615</v>
      </c>
      <c r="I3798" s="128" t="s">
        <v>7430</v>
      </c>
      <c r="J3798" s="128" t="s">
        <v>571</v>
      </c>
      <c r="K3798" s="134" t="s">
        <v>2219</v>
      </c>
      <c r="L3798" s="164"/>
      <c r="M3798" s="127">
        <v>624618</v>
      </c>
      <c r="N3798" s="109"/>
      <c r="O3798" s="19"/>
      <c r="P3798" s="20"/>
      <c r="Q3798" s="20"/>
    </row>
    <row r="3799" spans="1:17" ht="24.9" customHeight="1">
      <c r="A3799" s="20">
        <v>483</v>
      </c>
      <c r="B3799" s="20" t="s">
        <v>6768</v>
      </c>
      <c r="C3799" s="20">
        <v>6</v>
      </c>
      <c r="D3799" s="20" t="s">
        <v>3542</v>
      </c>
      <c r="E3799" s="19" t="str">
        <f>VLOOKUP(D3799,'لیست پرسنل'!$B$2:$E$1020,3,FALSE)</f>
        <v>فکورصنعت</v>
      </c>
      <c r="F3799" s="19" t="str">
        <f>VLOOKUP(D3799,'لیست پرسنل'!$B$2:$E$1020,4,FALSE)</f>
        <v>ایمنی</v>
      </c>
      <c r="G3799" s="127" t="str">
        <f>VLOOKUP(D3799,'لیست پرسنل'!$B$2:$F$1020,2,FALSE)</f>
        <v>98131</v>
      </c>
      <c r="H3799" s="128" t="s">
        <v>6615</v>
      </c>
      <c r="I3799" s="128" t="s">
        <v>7430</v>
      </c>
      <c r="J3799" s="127" t="s">
        <v>7642</v>
      </c>
      <c r="K3799" s="127" t="s">
        <v>7645</v>
      </c>
      <c r="L3799" s="128">
        <v>9966686396</v>
      </c>
      <c r="M3799" s="128">
        <v>636027</v>
      </c>
      <c r="N3799" s="108"/>
      <c r="O3799" s="20"/>
      <c r="P3799" s="20"/>
      <c r="Q3799" s="20"/>
    </row>
    <row r="3800" spans="1:17" ht="24.9" customHeight="1">
      <c r="A3800" s="20">
        <v>483</v>
      </c>
      <c r="B3800" s="20" t="s">
        <v>6768</v>
      </c>
      <c r="C3800" s="20">
        <v>6</v>
      </c>
      <c r="D3800" s="20" t="s">
        <v>3542</v>
      </c>
      <c r="E3800" s="19" t="str">
        <f>VLOOKUP(D3800,'لیست پرسنل'!$B$2:$E$1020,3,FALSE)</f>
        <v>فکورصنعت</v>
      </c>
      <c r="F3800" s="19" t="str">
        <f>VLOOKUP(D3800,'لیست پرسنل'!$B$2:$E$1020,4,FALSE)</f>
        <v>ایمنی</v>
      </c>
      <c r="G3800" s="127" t="str">
        <f>VLOOKUP(D3800,'لیست پرسنل'!$B$2:$F$1020,2,FALSE)</f>
        <v>98131</v>
      </c>
      <c r="H3800" s="128" t="s">
        <v>6615</v>
      </c>
      <c r="I3800" s="128" t="s">
        <v>7430</v>
      </c>
      <c r="J3800" s="128" t="s">
        <v>2686</v>
      </c>
      <c r="K3800" s="135" t="s">
        <v>371</v>
      </c>
      <c r="L3800" s="154" t="s">
        <v>1716</v>
      </c>
      <c r="M3800" s="128">
        <v>618747</v>
      </c>
      <c r="N3800" s="108"/>
      <c r="O3800" s="20"/>
      <c r="P3800" s="20"/>
      <c r="Q3800" s="20"/>
    </row>
    <row r="3801" spans="1:17" ht="24.9" customHeight="1">
      <c r="A3801" s="20">
        <v>483</v>
      </c>
      <c r="B3801" s="20" t="s">
        <v>6768</v>
      </c>
      <c r="C3801" s="20">
        <v>7</v>
      </c>
      <c r="D3801" s="20" t="s">
        <v>3540</v>
      </c>
      <c r="E3801" s="19" t="str">
        <f>VLOOKUP(D3801,'لیست پرسنل'!$B$2:$E$1020,3,FALSE)</f>
        <v>فکورصنعت</v>
      </c>
      <c r="F3801" s="19" t="str">
        <f>VLOOKUP(D3801,'لیست پرسنل'!$B$2:$E$1020,4,FALSE)</f>
        <v>انبار</v>
      </c>
      <c r="G3801" s="127">
        <f>VLOOKUP(D3801,'لیست پرسنل'!$B$2:$F$1020,2,FALSE)</f>
        <v>1902</v>
      </c>
      <c r="H3801" s="151" t="s">
        <v>6615</v>
      </c>
      <c r="I3801" s="128" t="s">
        <v>6775</v>
      </c>
      <c r="J3801" s="128" t="s">
        <v>737</v>
      </c>
      <c r="K3801" s="127" t="s">
        <v>6593</v>
      </c>
      <c r="L3801" s="127" t="s">
        <v>6643</v>
      </c>
      <c r="M3801" s="127">
        <v>633968</v>
      </c>
      <c r="N3801" s="109"/>
      <c r="O3801" s="19"/>
      <c r="P3801" s="32"/>
      <c r="Q3801" s="32"/>
    </row>
    <row r="3802" spans="1:17" ht="24.9" customHeight="1">
      <c r="A3802" s="20">
        <v>483</v>
      </c>
      <c r="B3802" s="20" t="s">
        <v>6768</v>
      </c>
      <c r="C3802" s="20">
        <v>7</v>
      </c>
      <c r="D3802" s="20" t="s">
        <v>3540</v>
      </c>
      <c r="E3802" s="19" t="str">
        <f>VLOOKUP(D3802,'لیست پرسنل'!$B$2:$E$1020,3,FALSE)</f>
        <v>فکورصنعت</v>
      </c>
      <c r="F3802" s="19" t="str">
        <f>VLOOKUP(D3802,'لیست پرسنل'!$B$2:$E$1020,4,FALSE)</f>
        <v>انبار</v>
      </c>
      <c r="G3802" s="127">
        <f>VLOOKUP(D3802,'لیست پرسنل'!$B$2:$F$1020,2,FALSE)</f>
        <v>1902</v>
      </c>
      <c r="H3802" s="151" t="s">
        <v>6615</v>
      </c>
      <c r="I3802" s="128" t="s">
        <v>6775</v>
      </c>
      <c r="J3802" s="127" t="s">
        <v>368</v>
      </c>
      <c r="K3802" s="127" t="s">
        <v>2846</v>
      </c>
      <c r="L3802" s="128" t="s">
        <v>7597</v>
      </c>
      <c r="M3802" s="128">
        <v>634027</v>
      </c>
      <c r="N3802" s="108"/>
      <c r="O3802" s="20"/>
      <c r="P3802" s="20"/>
      <c r="Q3802" s="20"/>
    </row>
    <row r="3803" spans="1:17" ht="24.9" customHeight="1">
      <c r="A3803" s="20">
        <v>483</v>
      </c>
      <c r="B3803" s="20" t="s">
        <v>6768</v>
      </c>
      <c r="C3803" s="20">
        <v>7</v>
      </c>
      <c r="D3803" s="20" t="s">
        <v>3540</v>
      </c>
      <c r="E3803" s="19" t="str">
        <f>VLOOKUP(D3803,'لیست پرسنل'!$B$2:$E$1020,3,FALSE)</f>
        <v>فکورصنعت</v>
      </c>
      <c r="F3803" s="19" t="str">
        <f>VLOOKUP(D3803,'لیست پرسنل'!$B$2:$E$1020,4,FALSE)</f>
        <v>انبار</v>
      </c>
      <c r="G3803" s="127">
        <f>VLOOKUP(D3803,'لیست پرسنل'!$B$2:$F$1020,2,FALSE)</f>
        <v>1902</v>
      </c>
      <c r="H3803" s="151" t="s">
        <v>6615</v>
      </c>
      <c r="I3803" s="128" t="s">
        <v>6775</v>
      </c>
      <c r="J3803" s="127" t="s">
        <v>571</v>
      </c>
      <c r="K3803" s="127" t="s">
        <v>7594</v>
      </c>
      <c r="L3803" s="128"/>
      <c r="M3803" s="128">
        <v>636054</v>
      </c>
      <c r="N3803" s="108"/>
      <c r="O3803" s="20"/>
      <c r="P3803" s="20"/>
      <c r="Q3803" s="20"/>
    </row>
    <row r="3804" spans="1:17" ht="24.9" customHeight="1">
      <c r="A3804" s="20">
        <v>483</v>
      </c>
      <c r="B3804" s="20" t="s">
        <v>6768</v>
      </c>
      <c r="C3804" s="20">
        <v>7</v>
      </c>
      <c r="D3804" s="20" t="s">
        <v>3540</v>
      </c>
      <c r="E3804" s="19" t="str">
        <f>VLOOKUP(D3804,'لیست پرسنل'!$B$2:$E$1020,3,FALSE)</f>
        <v>فکورصنعت</v>
      </c>
      <c r="F3804" s="19" t="str">
        <f>VLOOKUP(D3804,'لیست پرسنل'!$B$2:$E$1020,4,FALSE)</f>
        <v>انبار</v>
      </c>
      <c r="G3804" s="127">
        <f>VLOOKUP(D3804,'لیست پرسنل'!$B$2:$F$1020,2,FALSE)</f>
        <v>1902</v>
      </c>
      <c r="H3804" s="151" t="s">
        <v>6615</v>
      </c>
      <c r="I3804" s="128" t="s">
        <v>6775</v>
      </c>
      <c r="J3804" s="128" t="s">
        <v>2686</v>
      </c>
      <c r="K3804" s="127" t="s">
        <v>2922</v>
      </c>
      <c r="L3804" s="151" t="s">
        <v>2942</v>
      </c>
      <c r="M3804" s="127">
        <v>626420</v>
      </c>
      <c r="N3804" s="108"/>
      <c r="O3804" s="20"/>
      <c r="P3804" s="20"/>
      <c r="Q3804" s="20"/>
    </row>
    <row r="3805" spans="1:17" ht="24.9" customHeight="1">
      <c r="A3805" s="20">
        <v>483</v>
      </c>
      <c r="B3805" s="20" t="s">
        <v>6768</v>
      </c>
      <c r="C3805" s="20">
        <v>8</v>
      </c>
      <c r="D3805" s="20" t="s">
        <v>6777</v>
      </c>
      <c r="E3805" s="19" t="str">
        <f>VLOOKUP(D3805,'لیست پرسنل'!$B$2:$E$1020,3,FALSE)</f>
        <v>فکورصنعت</v>
      </c>
      <c r="F3805" s="19" t="str">
        <f>VLOOKUP(D3805,'لیست پرسنل'!$B$2:$E$1020,4,FALSE)</f>
        <v>مالی</v>
      </c>
      <c r="G3805" s="127" t="str">
        <f>VLOOKUP(D3805,'لیست پرسنل'!$B$2:$F$1020,2,FALSE)</f>
        <v>1843</v>
      </c>
      <c r="H3805" s="128" t="s">
        <v>6615</v>
      </c>
      <c r="I3805" s="128" t="s">
        <v>6776</v>
      </c>
      <c r="J3805" s="128" t="s">
        <v>737</v>
      </c>
      <c r="K3805" s="128" t="s">
        <v>6592</v>
      </c>
      <c r="L3805" s="127" t="s">
        <v>6642</v>
      </c>
      <c r="M3805" s="127">
        <v>633296</v>
      </c>
      <c r="N3805" s="109"/>
      <c r="O3805" s="19"/>
      <c r="P3805" s="32"/>
      <c r="Q3805" s="32"/>
    </row>
    <row r="3806" spans="1:17" ht="24.9" customHeight="1">
      <c r="A3806" s="20">
        <v>483</v>
      </c>
      <c r="B3806" s="20" t="s">
        <v>6768</v>
      </c>
      <c r="C3806" s="20">
        <v>8</v>
      </c>
      <c r="D3806" s="20" t="s">
        <v>6777</v>
      </c>
      <c r="E3806" s="19" t="str">
        <f>VLOOKUP(D3806,'لیست پرسنل'!$B$2:$E$1020,3,FALSE)</f>
        <v>فکورصنعت</v>
      </c>
      <c r="F3806" s="19" t="str">
        <f>VLOOKUP(D3806,'لیست پرسنل'!$B$2:$E$1020,4,FALSE)</f>
        <v>مالی</v>
      </c>
      <c r="G3806" s="127" t="str">
        <f>VLOOKUP(D3806,'لیست پرسنل'!$B$2:$F$1020,2,FALSE)</f>
        <v>1843</v>
      </c>
      <c r="H3806" s="128" t="s">
        <v>6615</v>
      </c>
      <c r="I3806" s="128" t="s">
        <v>6776</v>
      </c>
      <c r="J3806" s="128" t="s">
        <v>368</v>
      </c>
      <c r="K3806" s="128" t="s">
        <v>2846</v>
      </c>
      <c r="L3806" s="127" t="s">
        <v>6636</v>
      </c>
      <c r="M3806" s="127">
        <v>634010</v>
      </c>
      <c r="N3806" s="109"/>
      <c r="O3806" s="19"/>
      <c r="P3806" s="32"/>
      <c r="Q3806" s="32"/>
    </row>
    <row r="3807" spans="1:17" ht="24.9" customHeight="1">
      <c r="A3807" s="20">
        <v>483</v>
      </c>
      <c r="B3807" s="20" t="s">
        <v>6768</v>
      </c>
      <c r="C3807" s="20">
        <v>8</v>
      </c>
      <c r="D3807" s="20" t="s">
        <v>6777</v>
      </c>
      <c r="E3807" s="19" t="str">
        <f>VLOOKUP(D3807,'لیست پرسنل'!$B$2:$E$1020,3,FALSE)</f>
        <v>فکورصنعت</v>
      </c>
      <c r="F3807" s="19" t="str">
        <f>VLOOKUP(D3807,'لیست پرسنل'!$B$2:$E$1020,4,FALSE)</f>
        <v>مالی</v>
      </c>
      <c r="G3807" s="127" t="str">
        <f>VLOOKUP(D3807,'لیست پرسنل'!$B$2:$F$1020,2,FALSE)</f>
        <v>1843</v>
      </c>
      <c r="H3807" s="128" t="s">
        <v>6615</v>
      </c>
      <c r="I3807" s="128" t="s">
        <v>6776</v>
      </c>
      <c r="J3807" s="128" t="s">
        <v>571</v>
      </c>
      <c r="K3807" s="128" t="s">
        <v>6588</v>
      </c>
      <c r="L3807" s="127"/>
      <c r="M3807" s="127">
        <v>632005</v>
      </c>
      <c r="N3807" s="109"/>
      <c r="O3807" s="19"/>
      <c r="P3807" s="32"/>
      <c r="Q3807" s="32"/>
    </row>
    <row r="3808" spans="1:17" ht="24.9" customHeight="1">
      <c r="A3808" s="20">
        <v>483</v>
      </c>
      <c r="B3808" s="20" t="s">
        <v>6768</v>
      </c>
      <c r="C3808" s="20">
        <v>8</v>
      </c>
      <c r="D3808" s="20" t="s">
        <v>6777</v>
      </c>
      <c r="E3808" s="19" t="str">
        <f>VLOOKUP(D3808,'لیست پرسنل'!$B$2:$E$1020,3,FALSE)</f>
        <v>فکورصنعت</v>
      </c>
      <c r="F3808" s="19" t="str">
        <f>VLOOKUP(D3808,'لیست پرسنل'!$B$2:$E$1020,4,FALSE)</f>
        <v>مالی</v>
      </c>
      <c r="G3808" s="127" t="str">
        <f>VLOOKUP(D3808,'لیست پرسنل'!$B$2:$F$1020,2,FALSE)</f>
        <v>1843</v>
      </c>
      <c r="H3808" s="128" t="s">
        <v>6615</v>
      </c>
      <c r="I3808" s="128" t="s">
        <v>6776</v>
      </c>
      <c r="J3808" s="128" t="s">
        <v>2686</v>
      </c>
      <c r="K3808" s="128" t="s">
        <v>6589</v>
      </c>
      <c r="L3808" s="127" t="s">
        <v>6621</v>
      </c>
      <c r="M3808" s="127">
        <v>633992</v>
      </c>
      <c r="N3808" s="109"/>
      <c r="O3808" s="19"/>
      <c r="P3808" s="32"/>
      <c r="Q3808" s="32"/>
    </row>
    <row r="3809" spans="1:17" ht="24.9" customHeight="1">
      <c r="A3809" s="20">
        <v>483</v>
      </c>
      <c r="B3809" s="20" t="s">
        <v>6768</v>
      </c>
      <c r="C3809" s="20">
        <v>10</v>
      </c>
      <c r="D3809" s="20" t="s">
        <v>6779</v>
      </c>
      <c r="E3809" s="19" t="str">
        <f>VLOOKUP(D3809,'لیست پرسنل'!$B$2:$E$1020,3,FALSE)</f>
        <v>فکورصنعت</v>
      </c>
      <c r="F3809" s="19" t="str">
        <f>VLOOKUP(D3809,'لیست پرسنل'!$B$2:$E$1020,4,FALSE)</f>
        <v>اداری</v>
      </c>
      <c r="G3809" s="127" t="str">
        <f>VLOOKUP(D3809,'لیست پرسنل'!$B$2:$F$1020,2,FALSE)</f>
        <v>1731</v>
      </c>
      <c r="H3809" s="128" t="s">
        <v>6615</v>
      </c>
      <c r="I3809" s="128" t="s">
        <v>6781</v>
      </c>
      <c r="J3809" s="128" t="s">
        <v>3383</v>
      </c>
      <c r="K3809" s="128" t="s">
        <v>4772</v>
      </c>
      <c r="L3809" s="128" t="s">
        <v>7396</v>
      </c>
      <c r="M3809" s="127">
        <v>635899</v>
      </c>
      <c r="N3809" s="109"/>
      <c r="O3809" s="19"/>
      <c r="P3809" s="32"/>
      <c r="Q3809" s="32"/>
    </row>
    <row r="3810" spans="1:17" ht="24.9" customHeight="1">
      <c r="A3810" s="20">
        <v>483</v>
      </c>
      <c r="B3810" s="20" t="s">
        <v>6768</v>
      </c>
      <c r="C3810" s="20">
        <v>10</v>
      </c>
      <c r="D3810" s="20" t="s">
        <v>6779</v>
      </c>
      <c r="E3810" s="19" t="str">
        <f>VLOOKUP(D3810,'لیست پرسنل'!$B$2:$E$1020,3,FALSE)</f>
        <v>فکورصنعت</v>
      </c>
      <c r="F3810" s="19" t="str">
        <f>VLOOKUP(D3810,'لیست پرسنل'!$B$2:$E$1020,4,FALSE)</f>
        <v>اداری</v>
      </c>
      <c r="G3810" s="127" t="str">
        <f>VLOOKUP(D3810,'لیست پرسنل'!$B$2:$F$1020,2,FALSE)</f>
        <v>1731</v>
      </c>
      <c r="H3810" s="128" t="s">
        <v>6615</v>
      </c>
      <c r="I3810" s="128" t="s">
        <v>6781</v>
      </c>
      <c r="J3810" s="128" t="s">
        <v>6958</v>
      </c>
      <c r="K3810" s="128" t="s">
        <v>6959</v>
      </c>
      <c r="L3810" s="128"/>
      <c r="M3810" s="128" t="s">
        <v>291</v>
      </c>
      <c r="N3810" s="108"/>
      <c r="O3810" s="20"/>
      <c r="P3810" s="20"/>
      <c r="Q3810" s="20"/>
    </row>
    <row r="3811" spans="1:17" ht="24.9" customHeight="1">
      <c r="A3811" s="20">
        <v>483</v>
      </c>
      <c r="B3811" s="20" t="s">
        <v>6768</v>
      </c>
      <c r="C3811" s="20">
        <v>10</v>
      </c>
      <c r="D3811" s="20" t="s">
        <v>6779</v>
      </c>
      <c r="E3811" s="19" t="str">
        <f>VLOOKUP(D3811,'لیست پرسنل'!$B$2:$E$1020,3,FALSE)</f>
        <v>فکورصنعت</v>
      </c>
      <c r="F3811" s="19" t="str">
        <f>VLOOKUP(D3811,'لیست پرسنل'!$B$2:$E$1020,4,FALSE)</f>
        <v>اداری</v>
      </c>
      <c r="G3811" s="127" t="str">
        <f>VLOOKUP(D3811,'لیست پرسنل'!$B$2:$F$1020,2,FALSE)</f>
        <v>1731</v>
      </c>
      <c r="H3811" s="128" t="s">
        <v>6615</v>
      </c>
      <c r="I3811" s="128" t="s">
        <v>6781</v>
      </c>
      <c r="J3811" s="128" t="s">
        <v>6958</v>
      </c>
      <c r="K3811" s="128" t="s">
        <v>6959</v>
      </c>
      <c r="L3811" s="128"/>
      <c r="M3811" s="128" t="s">
        <v>291</v>
      </c>
      <c r="N3811" s="108"/>
      <c r="O3811" s="20"/>
      <c r="P3811" s="20"/>
      <c r="Q3811" s="20"/>
    </row>
    <row r="3812" spans="1:17" ht="24.9" customHeight="1">
      <c r="A3812" s="20">
        <v>483</v>
      </c>
      <c r="B3812" s="20" t="s">
        <v>6768</v>
      </c>
      <c r="C3812" s="20">
        <v>10</v>
      </c>
      <c r="D3812" s="20" t="s">
        <v>6779</v>
      </c>
      <c r="E3812" s="19" t="str">
        <f>VLOOKUP(D3812,'لیست پرسنل'!$B$2:$E$1020,3,FALSE)</f>
        <v>فکورصنعت</v>
      </c>
      <c r="F3812" s="19" t="str">
        <f>VLOOKUP(D3812,'لیست پرسنل'!$B$2:$E$1020,4,FALSE)</f>
        <v>اداری</v>
      </c>
      <c r="G3812" s="127" t="str">
        <f>VLOOKUP(D3812,'لیست پرسنل'!$B$2:$F$1020,2,FALSE)</f>
        <v>1731</v>
      </c>
      <c r="H3812" s="128" t="s">
        <v>6615</v>
      </c>
      <c r="I3812" s="128" t="s">
        <v>6781</v>
      </c>
      <c r="J3812" s="128" t="s">
        <v>368</v>
      </c>
      <c r="K3812" s="128" t="s">
        <v>2846</v>
      </c>
      <c r="L3812" s="127" t="s">
        <v>6635</v>
      </c>
      <c r="M3812" s="127">
        <v>634009</v>
      </c>
      <c r="N3812" s="109"/>
      <c r="O3812" s="19"/>
      <c r="P3812" s="32"/>
      <c r="Q3812" s="32"/>
    </row>
    <row r="3813" spans="1:17" ht="24.9" customHeight="1">
      <c r="A3813" s="20">
        <v>483</v>
      </c>
      <c r="B3813" s="20" t="s">
        <v>6768</v>
      </c>
      <c r="C3813" s="20">
        <v>10</v>
      </c>
      <c r="D3813" s="20" t="s">
        <v>6779</v>
      </c>
      <c r="E3813" s="19" t="str">
        <f>VLOOKUP(D3813,'لیست پرسنل'!$B$2:$E$1020,3,FALSE)</f>
        <v>فکورصنعت</v>
      </c>
      <c r="F3813" s="19" t="str">
        <f>VLOOKUP(D3813,'لیست پرسنل'!$B$2:$E$1020,4,FALSE)</f>
        <v>اداری</v>
      </c>
      <c r="G3813" s="127" t="str">
        <f>VLOOKUP(D3813,'لیست پرسنل'!$B$2:$F$1020,2,FALSE)</f>
        <v>1731</v>
      </c>
      <c r="H3813" s="128" t="s">
        <v>6615</v>
      </c>
      <c r="I3813" s="128" t="s">
        <v>6781</v>
      </c>
      <c r="J3813" s="128" t="s">
        <v>3938</v>
      </c>
      <c r="K3813" s="128" t="s">
        <v>3153</v>
      </c>
      <c r="L3813" s="151" t="s">
        <v>6470</v>
      </c>
      <c r="M3813" s="128">
        <v>613612</v>
      </c>
      <c r="N3813" s="108"/>
      <c r="O3813" s="20" t="s">
        <v>3493</v>
      </c>
      <c r="P3813" s="20"/>
      <c r="Q3813" s="20"/>
    </row>
    <row r="3814" spans="1:17" ht="24.9" customHeight="1">
      <c r="A3814" s="20">
        <v>483</v>
      </c>
      <c r="B3814" s="20" t="s">
        <v>6768</v>
      </c>
      <c r="C3814" s="20">
        <v>10</v>
      </c>
      <c r="D3814" s="20" t="s">
        <v>6779</v>
      </c>
      <c r="E3814" s="19" t="str">
        <f>VLOOKUP(D3814,'لیست پرسنل'!$B$2:$E$1020,3,FALSE)</f>
        <v>فکورصنعت</v>
      </c>
      <c r="F3814" s="19" t="str">
        <f>VLOOKUP(D3814,'لیست پرسنل'!$B$2:$E$1020,4,FALSE)</f>
        <v>اداری</v>
      </c>
      <c r="G3814" s="127" t="str">
        <f>VLOOKUP(D3814,'لیست پرسنل'!$B$2:$F$1020,2,FALSE)</f>
        <v>1731</v>
      </c>
      <c r="H3814" s="128" t="s">
        <v>6615</v>
      </c>
      <c r="I3814" s="128" t="s">
        <v>6781</v>
      </c>
      <c r="J3814" s="128" t="s">
        <v>3938</v>
      </c>
      <c r="K3814" s="127" t="s">
        <v>6914</v>
      </c>
      <c r="L3814" s="151"/>
      <c r="M3814" s="127">
        <v>634356</v>
      </c>
      <c r="N3814" s="108"/>
      <c r="O3814" s="20"/>
      <c r="P3814" s="20"/>
      <c r="Q3814" s="20"/>
    </row>
    <row r="3815" spans="1:17" ht="24.9" customHeight="1">
      <c r="A3815" s="20">
        <v>483</v>
      </c>
      <c r="B3815" s="20" t="s">
        <v>6768</v>
      </c>
      <c r="C3815" s="20">
        <v>10</v>
      </c>
      <c r="D3815" s="20" t="s">
        <v>6779</v>
      </c>
      <c r="E3815" s="19" t="str">
        <f>VLOOKUP(D3815,'لیست پرسنل'!$B$2:$E$1020,3,FALSE)</f>
        <v>فکورصنعت</v>
      </c>
      <c r="F3815" s="19" t="str">
        <f>VLOOKUP(D3815,'لیست پرسنل'!$B$2:$E$1020,4,FALSE)</f>
        <v>اداری</v>
      </c>
      <c r="G3815" s="127" t="str">
        <f>VLOOKUP(D3815,'لیست پرسنل'!$B$2:$F$1020,2,FALSE)</f>
        <v>1731</v>
      </c>
      <c r="H3815" s="128" t="s">
        <v>6615</v>
      </c>
      <c r="I3815" s="128" t="s">
        <v>6781</v>
      </c>
      <c r="J3815" s="127" t="s">
        <v>571</v>
      </c>
      <c r="K3815" s="127" t="s">
        <v>7594</v>
      </c>
      <c r="L3815" s="128"/>
      <c r="M3815" s="128">
        <v>636053</v>
      </c>
      <c r="N3815" s="108"/>
      <c r="O3815" s="20"/>
      <c r="P3815" s="20"/>
      <c r="Q3815" s="20"/>
    </row>
    <row r="3816" spans="1:17" ht="24.9" customHeight="1">
      <c r="A3816" s="20">
        <v>483</v>
      </c>
      <c r="B3816" s="20" t="s">
        <v>6768</v>
      </c>
      <c r="C3816" s="20">
        <v>10</v>
      </c>
      <c r="D3816" s="20" t="s">
        <v>6779</v>
      </c>
      <c r="E3816" s="19" t="str">
        <f>VLOOKUP(D3816,'لیست پرسنل'!$B$2:$E$1020,3,FALSE)</f>
        <v>فکورصنعت</v>
      </c>
      <c r="F3816" s="19" t="str">
        <f>VLOOKUP(D3816,'لیست پرسنل'!$B$2:$E$1020,4,FALSE)</f>
        <v>اداری</v>
      </c>
      <c r="G3816" s="127" t="str">
        <f>VLOOKUP(D3816,'لیست پرسنل'!$B$2:$F$1020,2,FALSE)</f>
        <v>1731</v>
      </c>
      <c r="H3816" s="128" t="s">
        <v>6615</v>
      </c>
      <c r="I3816" s="128" t="s">
        <v>6781</v>
      </c>
      <c r="J3816" s="127" t="s">
        <v>5618</v>
      </c>
      <c r="K3816" s="127" t="s">
        <v>7602</v>
      </c>
      <c r="L3816" s="128" t="s">
        <v>7604</v>
      </c>
      <c r="M3816" s="128">
        <v>636059</v>
      </c>
      <c r="N3816" s="108"/>
      <c r="O3816" s="20"/>
      <c r="P3816" s="20"/>
      <c r="Q3816" s="20"/>
    </row>
    <row r="3817" spans="1:17" ht="24.9" customHeight="1">
      <c r="A3817" s="20">
        <v>483</v>
      </c>
      <c r="B3817" s="20" t="s">
        <v>6768</v>
      </c>
      <c r="C3817" s="20">
        <v>11</v>
      </c>
      <c r="D3817" s="20" t="s">
        <v>3368</v>
      </c>
      <c r="E3817" s="19" t="str">
        <f>VLOOKUP(D3817,'لیست پرسنل'!$B$2:$E$1020,3,FALSE)</f>
        <v>فکورصنعت</v>
      </c>
      <c r="F3817" s="19" t="str">
        <f>VLOOKUP(D3817,'لیست پرسنل'!$B$2:$E$1020,4,FALSE)</f>
        <v>کنترل پروژه</v>
      </c>
      <c r="G3817" s="127">
        <f>VLOOKUP(D3817,'لیست پرسنل'!$B$2:$F$1020,2,FALSE)</f>
        <v>4010703</v>
      </c>
      <c r="H3817" s="128" t="s">
        <v>6615</v>
      </c>
      <c r="I3817" s="128" t="s">
        <v>6812</v>
      </c>
      <c r="J3817" s="128" t="s">
        <v>3383</v>
      </c>
      <c r="K3817" s="128" t="s">
        <v>4772</v>
      </c>
      <c r="L3817" s="128" t="s">
        <v>1654</v>
      </c>
      <c r="M3817" s="127">
        <v>633788</v>
      </c>
      <c r="N3817" s="109"/>
      <c r="O3817" s="19" t="s">
        <v>6434</v>
      </c>
      <c r="P3817" s="32"/>
      <c r="Q3817" s="32"/>
    </row>
    <row r="3818" spans="1:17" ht="24.9" customHeight="1">
      <c r="A3818" s="20">
        <v>483</v>
      </c>
      <c r="B3818" s="20" t="s">
        <v>6768</v>
      </c>
      <c r="C3818" s="20">
        <v>11</v>
      </c>
      <c r="D3818" s="20" t="s">
        <v>3368</v>
      </c>
      <c r="E3818" s="19" t="str">
        <f>VLOOKUP(D3818,'لیست پرسنل'!$B$2:$E$1020,3,FALSE)</f>
        <v>فکورصنعت</v>
      </c>
      <c r="F3818" s="19" t="str">
        <f>VLOOKUP(D3818,'لیست پرسنل'!$B$2:$E$1020,4,FALSE)</f>
        <v>کنترل پروژه</v>
      </c>
      <c r="G3818" s="127">
        <f>VLOOKUP(D3818,'لیست پرسنل'!$B$2:$F$1020,2,FALSE)</f>
        <v>4010703</v>
      </c>
      <c r="H3818" s="128" t="s">
        <v>6615</v>
      </c>
      <c r="I3818" s="128" t="s">
        <v>6812</v>
      </c>
      <c r="J3818" s="128" t="s">
        <v>737</v>
      </c>
      <c r="K3818" s="128" t="s">
        <v>7182</v>
      </c>
      <c r="L3818" s="127" t="s">
        <v>7183</v>
      </c>
      <c r="M3818" s="127">
        <v>629920</v>
      </c>
      <c r="N3818" s="109"/>
      <c r="O3818" s="19"/>
      <c r="P3818" s="32"/>
      <c r="Q3818" s="32"/>
    </row>
    <row r="3819" spans="1:17" ht="24.9" customHeight="1">
      <c r="A3819" s="20">
        <v>483</v>
      </c>
      <c r="B3819" s="20" t="s">
        <v>6768</v>
      </c>
      <c r="C3819" s="20">
        <v>11</v>
      </c>
      <c r="D3819" s="20" t="s">
        <v>3368</v>
      </c>
      <c r="E3819" s="19" t="str">
        <f>VLOOKUP(D3819,'لیست پرسنل'!$B$2:$E$1020,3,FALSE)</f>
        <v>فکورصنعت</v>
      </c>
      <c r="F3819" s="19" t="str">
        <f>VLOOKUP(D3819,'لیست پرسنل'!$B$2:$E$1020,4,FALSE)</f>
        <v>کنترل پروژه</v>
      </c>
      <c r="G3819" s="127">
        <f>VLOOKUP(D3819,'لیست پرسنل'!$B$2:$F$1020,2,FALSE)</f>
        <v>4010703</v>
      </c>
      <c r="H3819" s="128" t="s">
        <v>6615</v>
      </c>
      <c r="I3819" s="128" t="s">
        <v>6812</v>
      </c>
      <c r="J3819" s="128" t="s">
        <v>737</v>
      </c>
      <c r="K3819" s="128" t="s">
        <v>6593</v>
      </c>
      <c r="L3819" s="127" t="s">
        <v>6619</v>
      </c>
      <c r="M3819" s="127">
        <v>633796</v>
      </c>
      <c r="N3819" s="109"/>
      <c r="O3819" s="19"/>
      <c r="P3819" s="32"/>
      <c r="Q3819" s="32"/>
    </row>
    <row r="3820" spans="1:17" ht="24.9" customHeight="1">
      <c r="A3820" s="20">
        <v>483</v>
      </c>
      <c r="B3820" s="20" t="s">
        <v>6768</v>
      </c>
      <c r="C3820" s="20">
        <v>11</v>
      </c>
      <c r="D3820" s="20" t="s">
        <v>3368</v>
      </c>
      <c r="E3820" s="19" t="str">
        <f>VLOOKUP(D3820,'لیست پرسنل'!$B$2:$E$1020,3,FALSE)</f>
        <v>فکورصنعت</v>
      </c>
      <c r="F3820" s="19" t="str">
        <f>VLOOKUP(D3820,'لیست پرسنل'!$B$2:$E$1020,4,FALSE)</f>
        <v>کنترل پروژه</v>
      </c>
      <c r="G3820" s="127">
        <f>VLOOKUP(D3820,'لیست پرسنل'!$B$2:$F$1020,2,FALSE)</f>
        <v>4010703</v>
      </c>
      <c r="H3820" s="128" t="s">
        <v>6615</v>
      </c>
      <c r="I3820" s="128" t="s">
        <v>6812</v>
      </c>
      <c r="J3820" s="128" t="s">
        <v>368</v>
      </c>
      <c r="K3820" s="128" t="s">
        <v>2846</v>
      </c>
      <c r="L3820" s="127" t="s">
        <v>6647</v>
      </c>
      <c r="M3820" s="127">
        <v>634008</v>
      </c>
      <c r="N3820" s="109"/>
      <c r="O3820" s="19"/>
      <c r="P3820" s="32"/>
      <c r="Q3820" s="32"/>
    </row>
    <row r="3821" spans="1:17" ht="24.9" customHeight="1">
      <c r="A3821" s="20">
        <v>483</v>
      </c>
      <c r="B3821" s="20" t="s">
        <v>6768</v>
      </c>
      <c r="C3821" s="20">
        <v>11</v>
      </c>
      <c r="D3821" s="20" t="s">
        <v>3368</v>
      </c>
      <c r="E3821" s="19" t="str">
        <f>VLOOKUP(D3821,'لیست پرسنل'!$B$2:$E$1020,3,FALSE)</f>
        <v>فکورصنعت</v>
      </c>
      <c r="F3821" s="19" t="str">
        <f>VLOOKUP(D3821,'لیست پرسنل'!$B$2:$E$1020,4,FALSE)</f>
        <v>کنترل پروژه</v>
      </c>
      <c r="G3821" s="127">
        <f>VLOOKUP(D3821,'لیست پرسنل'!$B$2:$F$1020,2,FALSE)</f>
        <v>4010703</v>
      </c>
      <c r="H3821" s="128" t="s">
        <v>6615</v>
      </c>
      <c r="I3821" s="128" t="s">
        <v>6812</v>
      </c>
      <c r="J3821" s="128" t="s">
        <v>885</v>
      </c>
      <c r="K3821" s="128" t="s">
        <v>6594</v>
      </c>
      <c r="L3821" s="127" t="s">
        <v>6620</v>
      </c>
      <c r="M3821" s="127">
        <v>625109</v>
      </c>
      <c r="N3821" s="109"/>
      <c r="O3821" s="19"/>
      <c r="P3821" s="32"/>
      <c r="Q3821" s="32"/>
    </row>
    <row r="3822" spans="1:17" ht="24.9" customHeight="1">
      <c r="A3822" s="20">
        <v>483</v>
      </c>
      <c r="B3822" s="20" t="s">
        <v>6768</v>
      </c>
      <c r="C3822" s="20">
        <v>11</v>
      </c>
      <c r="D3822" s="20" t="s">
        <v>3368</v>
      </c>
      <c r="E3822" s="19" t="str">
        <f>VLOOKUP(D3822,'لیست پرسنل'!$B$2:$E$1020,3,FALSE)</f>
        <v>فکورصنعت</v>
      </c>
      <c r="F3822" s="19" t="str">
        <f>VLOOKUP(D3822,'لیست پرسنل'!$B$2:$E$1020,4,FALSE)</f>
        <v>کنترل پروژه</v>
      </c>
      <c r="G3822" s="127">
        <f>VLOOKUP(D3822,'لیست پرسنل'!$B$2:$F$1020,2,FALSE)</f>
        <v>4010703</v>
      </c>
      <c r="H3822" s="128" t="s">
        <v>6615</v>
      </c>
      <c r="I3822" s="128" t="s">
        <v>6812</v>
      </c>
      <c r="J3822" s="128" t="s">
        <v>571</v>
      </c>
      <c r="K3822" s="128" t="s">
        <v>6588</v>
      </c>
      <c r="L3822" s="127"/>
      <c r="M3822" s="127">
        <v>632003</v>
      </c>
      <c r="N3822" s="109"/>
      <c r="O3822" s="19"/>
      <c r="P3822" s="32"/>
      <c r="Q3822" s="32"/>
    </row>
    <row r="3823" spans="1:17" ht="24.9" customHeight="1">
      <c r="A3823" s="20">
        <v>483</v>
      </c>
      <c r="B3823" s="20" t="s">
        <v>6768</v>
      </c>
      <c r="C3823" s="20">
        <v>11</v>
      </c>
      <c r="D3823" s="20" t="s">
        <v>3368</v>
      </c>
      <c r="E3823" s="19" t="str">
        <f>VLOOKUP(D3823,'لیست پرسنل'!$B$2:$E$1020,3,FALSE)</f>
        <v>فکورصنعت</v>
      </c>
      <c r="F3823" s="19" t="str">
        <f>VLOOKUP(D3823,'لیست پرسنل'!$B$2:$E$1020,4,FALSE)</f>
        <v>کنترل پروژه</v>
      </c>
      <c r="G3823" s="127">
        <f>VLOOKUP(D3823,'لیست پرسنل'!$B$2:$F$1020,2,FALSE)</f>
        <v>4010703</v>
      </c>
      <c r="H3823" s="128" t="s">
        <v>6615</v>
      </c>
      <c r="I3823" s="128" t="s">
        <v>6812</v>
      </c>
      <c r="J3823" s="128" t="s">
        <v>2686</v>
      </c>
      <c r="K3823" s="128" t="s">
        <v>6589</v>
      </c>
      <c r="L3823" s="127" t="s">
        <v>6622</v>
      </c>
      <c r="M3823" s="127">
        <v>633994</v>
      </c>
      <c r="N3823" s="109"/>
      <c r="O3823" s="19"/>
      <c r="P3823" s="32"/>
      <c r="Q3823" s="32"/>
    </row>
    <row r="3824" spans="1:17" ht="24.9" customHeight="1">
      <c r="A3824" s="20">
        <v>483</v>
      </c>
      <c r="B3824" s="20" t="s">
        <v>6768</v>
      </c>
      <c r="C3824" s="20">
        <v>12</v>
      </c>
      <c r="D3824" s="20" t="s">
        <v>7605</v>
      </c>
      <c r="E3824" s="19" t="str">
        <f>VLOOKUP(D3824,'لیست پرسنل'!$B$2:$E$1020,3,FALSE)</f>
        <v>آهن مهام</v>
      </c>
      <c r="F3824" s="19" t="str">
        <f>VLOOKUP(D3824,'لیست پرسنل'!$B$2:$E$1020,4,FALSE)</f>
        <v>نقشه برداری</v>
      </c>
      <c r="G3824" s="127">
        <f>VLOOKUP(D3824,'لیست پرسنل'!$B$2:$F$1020,2,FALSE)</f>
        <v>20985</v>
      </c>
      <c r="H3824" s="151" t="s">
        <v>6615</v>
      </c>
      <c r="I3824" s="128" t="s">
        <v>7649</v>
      </c>
      <c r="J3824" s="127" t="s">
        <v>368</v>
      </c>
      <c r="K3824" s="127" t="s">
        <v>2846</v>
      </c>
      <c r="L3824" s="128" t="s">
        <v>7607</v>
      </c>
      <c r="M3824" s="128">
        <v>634033</v>
      </c>
      <c r="N3824" s="108"/>
      <c r="O3824" s="20"/>
      <c r="P3824" s="20"/>
      <c r="Q3824" s="20"/>
    </row>
    <row r="3825" spans="1:17" ht="24.9" customHeight="1">
      <c r="A3825" s="20">
        <v>483</v>
      </c>
      <c r="B3825" s="20" t="s">
        <v>6768</v>
      </c>
      <c r="C3825" s="20">
        <v>12</v>
      </c>
      <c r="D3825" s="20" t="s">
        <v>7605</v>
      </c>
      <c r="E3825" s="19" t="str">
        <f>VLOOKUP(D3825,'لیست پرسنل'!$B$2:$E$1020,3,FALSE)</f>
        <v>آهن مهام</v>
      </c>
      <c r="F3825" s="19" t="str">
        <f>VLOOKUP(D3825,'لیست پرسنل'!$B$2:$E$1020,4,FALSE)</f>
        <v>نقشه برداری</v>
      </c>
      <c r="G3825" s="127">
        <f>VLOOKUP(D3825,'لیست پرسنل'!$B$2:$F$1020,2,FALSE)</f>
        <v>20985</v>
      </c>
      <c r="H3825" s="151" t="s">
        <v>6615</v>
      </c>
      <c r="I3825" s="128" t="s">
        <v>7649</v>
      </c>
      <c r="J3825" s="127" t="s">
        <v>571</v>
      </c>
      <c r="K3825" s="127" t="s">
        <v>7594</v>
      </c>
      <c r="L3825" s="128"/>
      <c r="M3825" s="128">
        <v>636048</v>
      </c>
      <c r="N3825" s="108"/>
      <c r="O3825" s="20"/>
      <c r="P3825" s="20"/>
      <c r="Q3825" s="20"/>
    </row>
    <row r="3826" spans="1:17" ht="24.9" customHeight="1">
      <c r="A3826" s="20">
        <v>483</v>
      </c>
      <c r="B3826" s="20" t="s">
        <v>6768</v>
      </c>
      <c r="C3826" s="20">
        <v>12</v>
      </c>
      <c r="D3826" s="20" t="s">
        <v>7605</v>
      </c>
      <c r="E3826" s="19" t="str">
        <f>VLOOKUP(D3826,'لیست پرسنل'!$B$2:$E$1020,3,FALSE)</f>
        <v>آهن مهام</v>
      </c>
      <c r="F3826" s="19" t="str">
        <f>VLOOKUP(D3826,'لیست پرسنل'!$B$2:$E$1020,4,FALSE)</f>
        <v>نقشه برداری</v>
      </c>
      <c r="G3826" s="127">
        <f>VLOOKUP(D3826,'لیست پرسنل'!$B$2:$F$1020,2,FALSE)</f>
        <v>20985</v>
      </c>
      <c r="H3826" s="151" t="s">
        <v>6615</v>
      </c>
      <c r="I3826" s="128" t="s">
        <v>7649</v>
      </c>
      <c r="J3826" s="127" t="s">
        <v>5618</v>
      </c>
      <c r="K3826" s="127" t="s">
        <v>7602</v>
      </c>
      <c r="L3826" s="128" t="s">
        <v>7606</v>
      </c>
      <c r="M3826" s="128">
        <v>636058</v>
      </c>
      <c r="N3826" s="108"/>
      <c r="O3826" s="20"/>
      <c r="P3826" s="20"/>
      <c r="Q3826" s="20"/>
    </row>
    <row r="3827" spans="1:17" ht="24.9" customHeight="1">
      <c r="A3827" s="20">
        <v>483</v>
      </c>
      <c r="B3827" s="20" t="s">
        <v>6768</v>
      </c>
      <c r="C3827" s="20">
        <v>13</v>
      </c>
      <c r="D3827" s="20" t="s">
        <v>3412</v>
      </c>
      <c r="E3827" s="19" t="str">
        <f>VLOOKUP(D3827,'لیست پرسنل'!$B$2:$E$1020,3,FALSE)</f>
        <v>آهن مهام</v>
      </c>
      <c r="F3827" s="19" t="str">
        <f>VLOOKUP(D3827,'لیست پرسنل'!$B$2:$E$1020,4,FALSE)</f>
        <v>سیویل</v>
      </c>
      <c r="G3827" s="127">
        <f>VLOOKUP(D3827,'لیست پرسنل'!$B$2:$F$1020,2,FALSE)</f>
        <v>100504</v>
      </c>
      <c r="H3827" s="128" t="s">
        <v>6615</v>
      </c>
      <c r="I3827" s="128" t="s">
        <v>7179</v>
      </c>
      <c r="J3827" s="127" t="s">
        <v>368</v>
      </c>
      <c r="K3827" s="127" t="s">
        <v>2846</v>
      </c>
      <c r="L3827" s="128" t="s">
        <v>7615</v>
      </c>
      <c r="M3827" s="128">
        <v>634046</v>
      </c>
      <c r="N3827" s="108"/>
      <c r="O3827" s="20"/>
      <c r="P3827" s="20"/>
      <c r="Q3827" s="20"/>
    </row>
    <row r="3828" spans="1:17" ht="24.9" customHeight="1">
      <c r="A3828" s="20">
        <v>483</v>
      </c>
      <c r="B3828" s="20" t="s">
        <v>6768</v>
      </c>
      <c r="C3828" s="20">
        <v>13</v>
      </c>
      <c r="D3828" s="20" t="s">
        <v>3412</v>
      </c>
      <c r="E3828" s="19" t="str">
        <f>VLOOKUP(D3828,'لیست پرسنل'!$B$2:$E$1020,3,FALSE)</f>
        <v>آهن مهام</v>
      </c>
      <c r="F3828" s="19" t="str">
        <f>VLOOKUP(D3828,'لیست پرسنل'!$B$2:$E$1020,4,FALSE)</f>
        <v>سیویل</v>
      </c>
      <c r="G3828" s="127">
        <f>VLOOKUP(D3828,'لیست پرسنل'!$B$2:$F$1020,2,FALSE)</f>
        <v>100504</v>
      </c>
      <c r="H3828" s="128" t="s">
        <v>6615</v>
      </c>
      <c r="I3828" s="128" t="s">
        <v>7179</v>
      </c>
      <c r="J3828" s="128" t="s">
        <v>571</v>
      </c>
      <c r="K3828" s="128" t="s">
        <v>6588</v>
      </c>
      <c r="L3828" s="127"/>
      <c r="M3828" s="127">
        <v>631989</v>
      </c>
      <c r="N3828" s="109"/>
      <c r="O3828" s="19"/>
      <c r="P3828" s="32"/>
      <c r="Q3828" s="32"/>
    </row>
    <row r="3829" spans="1:17" ht="24.9" customHeight="1">
      <c r="A3829" s="20">
        <v>483</v>
      </c>
      <c r="B3829" s="20" t="s">
        <v>6768</v>
      </c>
      <c r="C3829" s="20">
        <v>13</v>
      </c>
      <c r="D3829" s="20" t="s">
        <v>3412</v>
      </c>
      <c r="E3829" s="19" t="str">
        <f>VLOOKUP(D3829,'لیست پرسنل'!$B$2:$E$1020,3,FALSE)</f>
        <v>آهن مهام</v>
      </c>
      <c r="F3829" s="19" t="str">
        <f>VLOOKUP(D3829,'لیست پرسنل'!$B$2:$E$1020,4,FALSE)</f>
        <v>سیویل</v>
      </c>
      <c r="G3829" s="127">
        <f>VLOOKUP(D3829,'لیست پرسنل'!$B$2:$F$1020,2,FALSE)</f>
        <v>100504</v>
      </c>
      <c r="H3829" s="128" t="s">
        <v>6615</v>
      </c>
      <c r="I3829" s="128" t="s">
        <v>7179</v>
      </c>
      <c r="J3829" s="128" t="s">
        <v>2686</v>
      </c>
      <c r="K3829" s="128" t="s">
        <v>6589</v>
      </c>
      <c r="L3829" s="127" t="s">
        <v>6624</v>
      </c>
      <c r="M3829" s="127">
        <v>633996</v>
      </c>
      <c r="N3829" s="109"/>
      <c r="O3829" s="19"/>
      <c r="P3829" s="32"/>
      <c r="Q3829" s="32"/>
    </row>
    <row r="3830" spans="1:17" ht="24.9" customHeight="1">
      <c r="A3830" s="20">
        <v>483</v>
      </c>
      <c r="B3830" s="20" t="s">
        <v>6768</v>
      </c>
      <c r="C3830" s="20">
        <v>14</v>
      </c>
      <c r="D3830" s="20" t="s">
        <v>3368</v>
      </c>
      <c r="E3830" s="19" t="str">
        <f>VLOOKUP(D3830,'لیست پرسنل'!$B$2:$E$1020,3,FALSE)</f>
        <v>فکورصنعت</v>
      </c>
      <c r="F3830" s="19" t="str">
        <f>VLOOKUP(D3830,'لیست پرسنل'!$B$2:$E$1020,4,FALSE)</f>
        <v>کنترل پروژه</v>
      </c>
      <c r="G3830" s="127">
        <f>VLOOKUP(D3830,'لیست پرسنل'!$B$2:$F$1020,2,FALSE)</f>
        <v>4010703</v>
      </c>
      <c r="H3830" s="128" t="s">
        <v>7184</v>
      </c>
      <c r="I3830" s="128" t="s">
        <v>7185</v>
      </c>
      <c r="J3830" s="128" t="s">
        <v>5366</v>
      </c>
      <c r="K3830" s="128" t="s">
        <v>7186</v>
      </c>
      <c r="L3830" s="127" t="s">
        <v>6640</v>
      </c>
      <c r="M3830" s="127">
        <v>632729</v>
      </c>
      <c r="N3830" s="109"/>
      <c r="O3830" s="19" t="s">
        <v>7187</v>
      </c>
      <c r="P3830" s="32"/>
      <c r="Q3830" s="32"/>
    </row>
    <row r="3831" spans="1:17" ht="24.9" customHeight="1">
      <c r="A3831" s="20">
        <v>483</v>
      </c>
      <c r="B3831" s="20" t="s">
        <v>6768</v>
      </c>
      <c r="C3831" s="20">
        <v>15</v>
      </c>
      <c r="D3831" s="20" t="s">
        <v>7181</v>
      </c>
      <c r="E3831" s="19" t="str">
        <f>VLOOKUP(D3831,'لیست پرسنل'!$B$2:$E$1020,3,FALSE)</f>
        <v>آهن مهام</v>
      </c>
      <c r="F3831" s="19" t="str">
        <f>VLOOKUP(D3831,'لیست پرسنل'!$B$2:$E$1020,4,FALSE)</f>
        <v>کمک انباردار</v>
      </c>
      <c r="G3831" s="127">
        <f>VLOOKUP(D3831,'لیست پرسنل'!$B$2:$F$1020,2,FALSE)</f>
        <v>20902</v>
      </c>
      <c r="H3831" s="128" t="s">
        <v>6615</v>
      </c>
      <c r="I3831" s="128" t="s">
        <v>7180</v>
      </c>
      <c r="J3831" s="128" t="s">
        <v>571</v>
      </c>
      <c r="K3831" s="128" t="s">
        <v>6588</v>
      </c>
      <c r="L3831" s="127"/>
      <c r="M3831" s="127">
        <v>632008</v>
      </c>
      <c r="N3831" s="109"/>
      <c r="O3831" s="19"/>
      <c r="P3831" s="32"/>
      <c r="Q3831" s="32"/>
    </row>
    <row r="3832" spans="1:17" ht="24.9" customHeight="1">
      <c r="A3832" s="20">
        <v>483</v>
      </c>
      <c r="B3832" s="20" t="s">
        <v>6768</v>
      </c>
      <c r="C3832" s="20">
        <v>15</v>
      </c>
      <c r="D3832" s="20" t="s">
        <v>7181</v>
      </c>
      <c r="E3832" s="19" t="str">
        <f>VLOOKUP(D3832,'لیست پرسنل'!$B$2:$E$1020,3,FALSE)</f>
        <v>آهن مهام</v>
      </c>
      <c r="F3832" s="19" t="str">
        <f>VLOOKUP(D3832,'لیست پرسنل'!$B$2:$E$1020,4,FALSE)</f>
        <v>کمک انباردار</v>
      </c>
      <c r="G3832" s="127">
        <f>VLOOKUP(D3832,'لیست پرسنل'!$B$2:$F$1020,2,FALSE)</f>
        <v>20902</v>
      </c>
      <c r="H3832" s="128" t="s">
        <v>6615</v>
      </c>
      <c r="I3832" s="128" t="s">
        <v>7180</v>
      </c>
      <c r="J3832" s="128" t="s">
        <v>2686</v>
      </c>
      <c r="K3832" s="128" t="s">
        <v>6589</v>
      </c>
      <c r="L3832" s="127" t="s">
        <v>6623</v>
      </c>
      <c r="M3832" s="127">
        <v>633995</v>
      </c>
      <c r="N3832" s="109"/>
      <c r="O3832" s="19"/>
      <c r="P3832" s="32"/>
      <c r="Q3832" s="32"/>
    </row>
    <row r="3833" spans="1:17" ht="24.9" customHeight="1">
      <c r="A3833" s="20">
        <v>483</v>
      </c>
      <c r="B3833" s="20" t="s">
        <v>6768</v>
      </c>
      <c r="C3833" s="20">
        <v>16</v>
      </c>
      <c r="D3833" s="20" t="s">
        <v>7646</v>
      </c>
      <c r="E3833" s="19" t="str">
        <f>VLOOKUP(D3833,'لیست پرسنل'!$B$2:$E$1020,3,FALSE)</f>
        <v>آهن مهام</v>
      </c>
      <c r="F3833" s="19" t="str">
        <f>VLOOKUP(D3833,'لیست پرسنل'!$B$2:$E$1020,4,FALSE)</f>
        <v>دفتردار</v>
      </c>
      <c r="G3833" s="127">
        <f>VLOOKUP(D3833,'لیست پرسنل'!$B$2:$F$1020,2,FALSE)</f>
        <v>21006</v>
      </c>
      <c r="H3833" s="151" t="s">
        <v>6615</v>
      </c>
      <c r="I3833" s="128" t="s">
        <v>7648</v>
      </c>
      <c r="J3833" s="127" t="s">
        <v>737</v>
      </c>
      <c r="K3833" s="127" t="s">
        <v>7596</v>
      </c>
      <c r="L3833" s="128"/>
      <c r="M3833" s="128">
        <v>636063</v>
      </c>
      <c r="N3833" s="108"/>
      <c r="O3833" s="20"/>
      <c r="P3833" s="20"/>
      <c r="Q3833" s="20"/>
    </row>
    <row r="3834" spans="1:17" ht="24.9" customHeight="1">
      <c r="A3834" s="20">
        <v>483</v>
      </c>
      <c r="B3834" s="20" t="s">
        <v>6768</v>
      </c>
      <c r="C3834" s="20">
        <v>16</v>
      </c>
      <c r="D3834" s="20" t="s">
        <v>7646</v>
      </c>
      <c r="E3834" s="19" t="str">
        <f>VLOOKUP(D3834,'لیست پرسنل'!$B$2:$E$1020,3,FALSE)</f>
        <v>آهن مهام</v>
      </c>
      <c r="F3834" s="19" t="str">
        <f>VLOOKUP(D3834,'لیست پرسنل'!$B$2:$E$1020,4,FALSE)</f>
        <v>دفتردار</v>
      </c>
      <c r="G3834" s="127">
        <f>VLOOKUP(D3834,'لیست پرسنل'!$B$2:$F$1020,2,FALSE)</f>
        <v>21006</v>
      </c>
      <c r="H3834" s="151" t="s">
        <v>6615</v>
      </c>
      <c r="I3834" s="128" t="s">
        <v>7648</v>
      </c>
      <c r="J3834" s="127" t="s">
        <v>368</v>
      </c>
      <c r="K3834" s="127" t="s">
        <v>2846</v>
      </c>
      <c r="L3834" s="128"/>
      <c r="M3834" s="128">
        <v>634026</v>
      </c>
      <c r="N3834" s="108"/>
      <c r="O3834" s="20"/>
      <c r="P3834" s="20"/>
      <c r="Q3834" s="20"/>
    </row>
    <row r="3835" spans="1:17" ht="24.9" customHeight="1">
      <c r="A3835" s="20">
        <v>483</v>
      </c>
      <c r="B3835" s="20" t="s">
        <v>6768</v>
      </c>
      <c r="C3835" s="20">
        <v>16</v>
      </c>
      <c r="D3835" s="20" t="s">
        <v>7646</v>
      </c>
      <c r="E3835" s="19" t="str">
        <f>VLOOKUP(D3835,'لیست پرسنل'!$B$2:$E$1020,3,FALSE)</f>
        <v>آهن مهام</v>
      </c>
      <c r="F3835" s="19" t="str">
        <f>VLOOKUP(D3835,'لیست پرسنل'!$B$2:$E$1020,4,FALSE)</f>
        <v>دفتردار</v>
      </c>
      <c r="G3835" s="127">
        <f>VLOOKUP(D3835,'لیست پرسنل'!$B$2:$F$1020,2,FALSE)</f>
        <v>21006</v>
      </c>
      <c r="H3835" s="151" t="s">
        <v>6615</v>
      </c>
      <c r="I3835" s="128" t="s">
        <v>7648</v>
      </c>
      <c r="J3835" s="127" t="s">
        <v>571</v>
      </c>
      <c r="K3835" s="127" t="s">
        <v>7594</v>
      </c>
      <c r="L3835" s="128"/>
      <c r="M3835" s="128">
        <v>636049</v>
      </c>
      <c r="N3835" s="108"/>
      <c r="O3835" s="20"/>
      <c r="P3835" s="20"/>
      <c r="Q3835" s="20"/>
    </row>
    <row r="3836" spans="1:17" ht="24.9" customHeight="1">
      <c r="A3836" s="20">
        <v>483</v>
      </c>
      <c r="B3836" s="20" t="s">
        <v>6768</v>
      </c>
      <c r="C3836" s="20">
        <v>16</v>
      </c>
      <c r="D3836" s="20" t="s">
        <v>7646</v>
      </c>
      <c r="E3836" s="19" t="str">
        <f>VLOOKUP(D3836,'لیست پرسنل'!$B$2:$E$1020,3,FALSE)</f>
        <v>آهن مهام</v>
      </c>
      <c r="F3836" s="19" t="str">
        <f>VLOOKUP(D3836,'لیست پرسنل'!$B$2:$E$1020,4,FALSE)</f>
        <v>دفتردار</v>
      </c>
      <c r="G3836" s="127">
        <f>VLOOKUP(D3836,'لیست پرسنل'!$B$2:$F$1020,2,FALSE)</f>
        <v>21006</v>
      </c>
      <c r="H3836" s="151" t="s">
        <v>6615</v>
      </c>
      <c r="I3836" s="128" t="s">
        <v>7648</v>
      </c>
      <c r="J3836" s="128" t="s">
        <v>2686</v>
      </c>
      <c r="K3836" s="127" t="s">
        <v>7393</v>
      </c>
      <c r="L3836" s="152" t="s">
        <v>7394</v>
      </c>
      <c r="M3836" s="126">
        <v>635887</v>
      </c>
      <c r="N3836" s="109" t="s">
        <v>7395</v>
      </c>
      <c r="O3836" s="31"/>
      <c r="P3836" s="19"/>
      <c r="Q3836" s="19"/>
    </row>
    <row r="3837" spans="1:17" ht="24.9" customHeight="1">
      <c r="A3837" s="20">
        <v>483</v>
      </c>
      <c r="B3837" s="20" t="s">
        <v>6768</v>
      </c>
      <c r="C3837" s="20">
        <v>17</v>
      </c>
      <c r="D3837" s="20" t="s">
        <v>7973</v>
      </c>
      <c r="E3837" s="19" t="str">
        <f>VLOOKUP(D3837,'لیست پرسنل'!$B$2:$E$1020,3,FALSE)</f>
        <v>فکورصنعت</v>
      </c>
      <c r="F3837" s="19" t="str">
        <f>VLOOKUP(D3837,'لیست پرسنل'!$B$2:$E$1020,4,FALSE)</f>
        <v xml:space="preserve"> کارشناس ایمنی، بهداشت و محیط زیست سایت</v>
      </c>
      <c r="G3837" s="127">
        <f>VLOOKUP(D3837,'لیست پرسنل'!$B$2:$F$1020,2,FALSE)</f>
        <v>4040303</v>
      </c>
      <c r="H3837" s="128" t="s">
        <v>8536</v>
      </c>
      <c r="I3837" s="128" t="s">
        <v>7692</v>
      </c>
      <c r="J3837" s="128" t="s">
        <v>2686</v>
      </c>
      <c r="K3837" s="128" t="s">
        <v>7871</v>
      </c>
      <c r="L3837" s="154"/>
      <c r="M3837" s="127">
        <v>633999</v>
      </c>
      <c r="N3837" s="108"/>
      <c r="O3837" s="20"/>
      <c r="P3837" s="20"/>
      <c r="Q3837" s="20"/>
    </row>
    <row r="3838" spans="1:17" ht="24.9" customHeight="1">
      <c r="A3838" s="20">
        <v>483</v>
      </c>
      <c r="B3838" s="20" t="s">
        <v>6768</v>
      </c>
      <c r="C3838" s="20">
        <v>17</v>
      </c>
      <c r="D3838" s="20" t="s">
        <v>7973</v>
      </c>
      <c r="E3838" s="19" t="str">
        <f>VLOOKUP(D3838,'لیست پرسنل'!$B$2:$E$1020,3,FALSE)</f>
        <v>فکورصنعت</v>
      </c>
      <c r="F3838" s="19" t="str">
        <f>VLOOKUP(D3838,'لیست پرسنل'!$B$2:$E$1020,4,FALSE)</f>
        <v xml:space="preserve"> کارشناس ایمنی، بهداشت و محیط زیست سایت</v>
      </c>
      <c r="G3838" s="127">
        <f>VLOOKUP(D3838,'لیست پرسنل'!$B$2:$F$1020,2,FALSE)</f>
        <v>4040303</v>
      </c>
      <c r="H3838" s="128" t="s">
        <v>6615</v>
      </c>
      <c r="I3838" s="128" t="s">
        <v>7692</v>
      </c>
      <c r="J3838" s="126" t="s">
        <v>571</v>
      </c>
      <c r="K3838" s="128" t="s">
        <v>3784</v>
      </c>
      <c r="L3838" s="128"/>
      <c r="M3838" s="127">
        <v>606607</v>
      </c>
      <c r="N3838" s="109"/>
      <c r="O3838" s="19"/>
      <c r="P3838" s="20"/>
      <c r="Q3838" s="20"/>
    </row>
    <row r="3839" spans="1:17" ht="24.9" customHeight="1">
      <c r="A3839" s="20">
        <v>483</v>
      </c>
      <c r="B3839" s="20" t="s">
        <v>6768</v>
      </c>
      <c r="C3839" s="20">
        <v>18</v>
      </c>
      <c r="D3839" s="20" t="s">
        <v>7699</v>
      </c>
      <c r="E3839" s="19" t="str">
        <f>VLOOKUP(D3839,'لیست پرسنل'!$B$2:$E$1020,3,FALSE)</f>
        <v>فکورصنعت</v>
      </c>
      <c r="F3839" s="19" t="str">
        <f>VLOOKUP(D3839,'لیست پرسنل'!$B$2:$E$1020,4,FALSE)</f>
        <v>نظارت و اجرای سایت</v>
      </c>
      <c r="G3839" s="127">
        <f>VLOOKUP(D3839,'لیست پرسنل'!$B$2:$F$1020,2,FALSE)</f>
        <v>4040110</v>
      </c>
      <c r="H3839" s="128" t="s">
        <v>6615</v>
      </c>
      <c r="I3839" s="128" t="s">
        <v>7698</v>
      </c>
      <c r="J3839" s="127" t="s">
        <v>368</v>
      </c>
      <c r="K3839" s="127" t="s">
        <v>2846</v>
      </c>
      <c r="L3839" s="128" t="s">
        <v>7789</v>
      </c>
      <c r="M3839" s="128">
        <v>634015</v>
      </c>
      <c r="N3839" s="108"/>
      <c r="O3839" s="20"/>
      <c r="P3839" s="20"/>
      <c r="Q3839" s="20"/>
    </row>
    <row r="3840" spans="1:17" ht="24.9" customHeight="1">
      <c r="A3840" s="20">
        <v>483</v>
      </c>
      <c r="B3840" s="20" t="s">
        <v>6768</v>
      </c>
      <c r="C3840" s="20">
        <v>18</v>
      </c>
      <c r="D3840" s="20" t="s">
        <v>7699</v>
      </c>
      <c r="E3840" s="19" t="str">
        <f>VLOOKUP(D3840,'لیست پرسنل'!$B$2:$E$1020,3,FALSE)</f>
        <v>فکورصنعت</v>
      </c>
      <c r="F3840" s="19" t="str">
        <f>VLOOKUP(D3840,'لیست پرسنل'!$B$2:$E$1020,4,FALSE)</f>
        <v>نظارت و اجرای سایت</v>
      </c>
      <c r="G3840" s="127">
        <f>VLOOKUP(D3840,'لیست پرسنل'!$B$2:$F$1020,2,FALSE)</f>
        <v>4040110</v>
      </c>
      <c r="H3840" s="128" t="s">
        <v>6615</v>
      </c>
      <c r="I3840" s="128" t="s">
        <v>7698</v>
      </c>
      <c r="J3840" s="127" t="s">
        <v>571</v>
      </c>
      <c r="K3840" s="127" t="s">
        <v>7594</v>
      </c>
      <c r="L3840" s="128"/>
      <c r="M3840" s="128">
        <v>636052</v>
      </c>
      <c r="N3840" s="108"/>
      <c r="O3840" s="20"/>
      <c r="P3840" s="20"/>
      <c r="Q3840" s="20"/>
    </row>
    <row r="3841" spans="1:17" ht="24.9" customHeight="1">
      <c r="A3841" s="20">
        <v>483</v>
      </c>
      <c r="B3841" s="20" t="s">
        <v>6768</v>
      </c>
      <c r="C3841" s="20">
        <v>18</v>
      </c>
      <c r="D3841" s="20" t="s">
        <v>7699</v>
      </c>
      <c r="E3841" s="19" t="str">
        <f>VLOOKUP(D3841,'لیست پرسنل'!$B$2:$E$1020,3,FALSE)</f>
        <v>فکورصنعت</v>
      </c>
      <c r="F3841" s="19" t="str">
        <f>VLOOKUP(D3841,'لیست پرسنل'!$B$2:$E$1020,4,FALSE)</f>
        <v>نظارت و اجرای سایت</v>
      </c>
      <c r="G3841" s="127">
        <f>VLOOKUP(D3841,'لیست پرسنل'!$B$2:$F$1020,2,FALSE)</f>
        <v>4040110</v>
      </c>
      <c r="H3841" s="128" t="s">
        <v>6615</v>
      </c>
      <c r="I3841" s="128" t="s">
        <v>7698</v>
      </c>
      <c r="J3841" s="127" t="s">
        <v>5618</v>
      </c>
      <c r="K3841" s="127" t="s">
        <v>7602</v>
      </c>
      <c r="L3841" s="128" t="s">
        <v>7788</v>
      </c>
      <c r="M3841" s="128">
        <v>636061</v>
      </c>
      <c r="N3841" s="108"/>
      <c r="O3841" s="20"/>
      <c r="P3841" s="20"/>
      <c r="Q3841" s="20"/>
    </row>
    <row r="3842" spans="1:17" ht="24.9" customHeight="1">
      <c r="A3842" s="20">
        <v>483</v>
      </c>
      <c r="B3842" s="20" t="s">
        <v>6768</v>
      </c>
      <c r="C3842" s="20">
        <v>19</v>
      </c>
      <c r="D3842" s="20" t="s">
        <v>7701</v>
      </c>
      <c r="E3842" s="19" t="str">
        <f>VLOOKUP(D3842,'لیست پرسنل'!$B$2:$E$1020,3,FALSE)</f>
        <v>فکورصنعت</v>
      </c>
      <c r="F3842" s="19" t="str">
        <f>VLOOKUP(D3842,'لیست پرسنل'!$B$2:$E$1020,4,FALSE)</f>
        <v>نظارت و اجرای سایت</v>
      </c>
      <c r="G3842" s="127">
        <f>VLOOKUP(D3842,'لیست پرسنل'!$B$2:$F$1020,2,FALSE)</f>
        <v>4040109</v>
      </c>
      <c r="H3842" s="128" t="s">
        <v>6615</v>
      </c>
      <c r="I3842" s="128" t="s">
        <v>7700</v>
      </c>
      <c r="J3842" s="127" t="s">
        <v>368</v>
      </c>
      <c r="K3842" s="127" t="s">
        <v>2846</v>
      </c>
      <c r="L3842" s="128" t="s">
        <v>7787</v>
      </c>
      <c r="M3842" s="128">
        <v>634013</v>
      </c>
      <c r="N3842" s="108"/>
      <c r="O3842" s="20"/>
      <c r="P3842" s="20"/>
      <c r="Q3842" s="20"/>
    </row>
    <row r="3843" spans="1:17" ht="24.9" customHeight="1">
      <c r="A3843" s="20">
        <v>483</v>
      </c>
      <c r="B3843" s="20" t="s">
        <v>6768</v>
      </c>
      <c r="C3843" s="20">
        <v>19</v>
      </c>
      <c r="D3843" s="20" t="s">
        <v>7701</v>
      </c>
      <c r="E3843" s="19" t="str">
        <f>VLOOKUP(D3843,'لیست پرسنل'!$B$2:$E$1020,3,FALSE)</f>
        <v>فکورصنعت</v>
      </c>
      <c r="F3843" s="19" t="str">
        <f>VLOOKUP(D3843,'لیست پرسنل'!$B$2:$E$1020,4,FALSE)</f>
        <v>نظارت و اجرای سایت</v>
      </c>
      <c r="G3843" s="127">
        <f>VLOOKUP(D3843,'لیست پرسنل'!$B$2:$F$1020,2,FALSE)</f>
        <v>4040109</v>
      </c>
      <c r="H3843" s="128" t="s">
        <v>6615</v>
      </c>
      <c r="I3843" s="128" t="s">
        <v>7700</v>
      </c>
      <c r="J3843" s="127" t="s">
        <v>571</v>
      </c>
      <c r="K3843" s="127" t="s">
        <v>7594</v>
      </c>
      <c r="L3843" s="128"/>
      <c r="M3843" s="128">
        <v>636050</v>
      </c>
      <c r="N3843" s="108"/>
      <c r="O3843" s="20"/>
      <c r="P3843" s="20"/>
      <c r="Q3843" s="20"/>
    </row>
    <row r="3844" spans="1:17" ht="24.9" customHeight="1">
      <c r="A3844" s="20">
        <v>483</v>
      </c>
      <c r="B3844" s="20" t="s">
        <v>6768</v>
      </c>
      <c r="C3844" s="20">
        <v>19</v>
      </c>
      <c r="D3844" s="20" t="s">
        <v>7701</v>
      </c>
      <c r="E3844" s="19" t="str">
        <f>VLOOKUP(D3844,'لیست پرسنل'!$B$2:$E$1020,3,FALSE)</f>
        <v>فکورصنعت</v>
      </c>
      <c r="F3844" s="19" t="str">
        <f>VLOOKUP(D3844,'لیست پرسنل'!$B$2:$E$1020,4,FALSE)</f>
        <v>نظارت و اجرای سایت</v>
      </c>
      <c r="G3844" s="127">
        <f>VLOOKUP(D3844,'لیست پرسنل'!$B$2:$F$1020,2,FALSE)</f>
        <v>4040109</v>
      </c>
      <c r="H3844" s="128" t="s">
        <v>6615</v>
      </c>
      <c r="I3844" s="128" t="s">
        <v>7700</v>
      </c>
      <c r="J3844" s="127" t="s">
        <v>5618</v>
      </c>
      <c r="K3844" s="127" t="s">
        <v>7602</v>
      </c>
      <c r="L3844" s="128" t="s">
        <v>7786</v>
      </c>
      <c r="M3844" s="128">
        <v>636056</v>
      </c>
      <c r="N3844" s="108"/>
      <c r="O3844" s="20"/>
      <c r="P3844" s="20"/>
      <c r="Q3844" s="20"/>
    </row>
    <row r="3845" spans="1:17" ht="24.9" customHeight="1">
      <c r="A3845" s="20">
        <v>483</v>
      </c>
      <c r="B3845" s="20" t="s">
        <v>6768</v>
      </c>
      <c r="C3845" s="20">
        <v>22</v>
      </c>
      <c r="D3845" s="20" t="s">
        <v>4601</v>
      </c>
      <c r="E3845" s="19" t="str">
        <f>VLOOKUP(D3845,'لیست پرسنل'!$B$2:$E$1020,3,FALSE)</f>
        <v>فکور صنعت</v>
      </c>
      <c r="F3845" s="19" t="str">
        <f>VLOOKUP(D3845,'لیست پرسنل'!$B$2:$E$1020,4,FALSE)</f>
        <v>سرپرست نظارت و اجرای سایت</v>
      </c>
      <c r="G3845" s="127">
        <f>VLOOKUP(D3845,'لیست پرسنل'!$B$2:$F$1020,2,FALSE)</f>
        <v>4040807</v>
      </c>
      <c r="H3845" s="127" t="s">
        <v>8539</v>
      </c>
      <c r="I3845" s="127" t="s">
        <v>8543</v>
      </c>
      <c r="J3845" s="128" t="s">
        <v>571</v>
      </c>
      <c r="K3845" s="127" t="s">
        <v>8542</v>
      </c>
      <c r="L3845" s="127"/>
      <c r="M3845" s="127">
        <v>621772</v>
      </c>
      <c r="N3845" s="109"/>
      <c r="O3845" s="20"/>
      <c r="P3845" s="20"/>
      <c r="Q3845" s="20"/>
    </row>
    <row r="3846" spans="1:17" ht="24.9" customHeight="1">
      <c r="A3846" s="20">
        <v>483</v>
      </c>
      <c r="B3846" s="20" t="s">
        <v>6768</v>
      </c>
      <c r="C3846" s="20">
        <v>22</v>
      </c>
      <c r="D3846" s="20" t="s">
        <v>4601</v>
      </c>
      <c r="E3846" s="19" t="str">
        <f>VLOOKUP(D3846,'لیست پرسنل'!$B$2:$E$1020,3,FALSE)</f>
        <v>فکور صنعت</v>
      </c>
      <c r="F3846" s="19" t="str">
        <f>VLOOKUP(D3846,'لیست پرسنل'!$B$2:$E$1020,4,FALSE)</f>
        <v>سرپرست نظارت و اجرای سایت</v>
      </c>
      <c r="G3846" s="127">
        <f>VLOOKUP(D3846,'لیست پرسنل'!$B$2:$F$1020,2,FALSE)</f>
        <v>4040807</v>
      </c>
      <c r="H3846" s="127" t="s">
        <v>8539</v>
      </c>
      <c r="I3846" s="127" t="s">
        <v>8543</v>
      </c>
      <c r="J3846" s="128" t="s">
        <v>5618</v>
      </c>
      <c r="K3846" s="127" t="s">
        <v>8540</v>
      </c>
      <c r="L3846" s="127" t="s">
        <v>8541</v>
      </c>
      <c r="M3846" s="128">
        <v>632800</v>
      </c>
      <c r="N3846" s="109"/>
      <c r="O3846" s="20"/>
      <c r="P3846" s="20"/>
      <c r="Q3846" s="20"/>
    </row>
    <row r="3847" spans="1:17" ht="24.9" customHeight="1">
      <c r="A3847" s="20">
        <v>483</v>
      </c>
      <c r="B3847" s="20" t="s">
        <v>6768</v>
      </c>
      <c r="C3847" s="20">
        <v>23</v>
      </c>
      <c r="D3847" s="20" t="s">
        <v>3542</v>
      </c>
      <c r="E3847" s="19" t="str">
        <f>VLOOKUP(D3847,'لیست پرسنل'!$B$2:$E$1020,3,FALSE)</f>
        <v>فکورصنعت</v>
      </c>
      <c r="F3847" s="19" t="str">
        <f>VLOOKUP(D3847,'لیست پرسنل'!$B$2:$E$1020,4,FALSE)</f>
        <v>ایمنی</v>
      </c>
      <c r="G3847" s="127" t="str">
        <f>VLOOKUP(D3847,'لیست پرسنل'!$B$2:$F$1020,2,FALSE)</f>
        <v>98131</v>
      </c>
      <c r="H3847" s="127" t="s">
        <v>8545</v>
      </c>
      <c r="I3847" s="127" t="s">
        <v>8544</v>
      </c>
      <c r="J3847" s="128" t="s">
        <v>8275</v>
      </c>
      <c r="K3847" s="127" t="s">
        <v>8546</v>
      </c>
      <c r="L3847" s="127" t="s">
        <v>8277</v>
      </c>
      <c r="M3847" s="127">
        <v>636959</v>
      </c>
      <c r="N3847" s="109"/>
      <c r="O3847" s="20"/>
      <c r="P3847" s="20"/>
      <c r="Q3847" s="20"/>
    </row>
    <row r="3848" spans="1:17" ht="24.9" customHeight="1">
      <c r="A3848" s="20">
        <v>483</v>
      </c>
      <c r="B3848" s="20" t="s">
        <v>6768</v>
      </c>
      <c r="C3848" s="20">
        <v>23</v>
      </c>
      <c r="D3848" s="20" t="s">
        <v>3542</v>
      </c>
      <c r="E3848" s="19" t="str">
        <f>VLOOKUP(D3848,'لیست پرسنل'!$B$2:$E$1020,3,FALSE)</f>
        <v>فکورصنعت</v>
      </c>
      <c r="F3848" s="19" t="str">
        <f>VLOOKUP(D3848,'لیست پرسنل'!$B$2:$E$1020,4,FALSE)</f>
        <v>ایمنی</v>
      </c>
      <c r="G3848" s="127" t="str">
        <f>VLOOKUP(D3848,'لیست پرسنل'!$B$2:$F$1020,2,FALSE)</f>
        <v>98131</v>
      </c>
      <c r="H3848" s="127" t="s">
        <v>8545</v>
      </c>
      <c r="I3848" s="127" t="s">
        <v>8544</v>
      </c>
      <c r="J3848" s="128" t="s">
        <v>571</v>
      </c>
      <c r="K3848" s="127" t="s">
        <v>8542</v>
      </c>
      <c r="L3848" s="127"/>
      <c r="M3848" s="127">
        <v>627878</v>
      </c>
      <c r="N3848" s="109"/>
      <c r="O3848" s="20"/>
      <c r="P3848" s="20"/>
      <c r="Q3848" s="20"/>
    </row>
    <row r="3849" spans="1:17" ht="24.9" customHeight="1">
      <c r="A3849" s="20">
        <v>483</v>
      </c>
      <c r="B3849" s="20" t="s">
        <v>6768</v>
      </c>
      <c r="C3849" s="20"/>
      <c r="D3849" s="20" t="s">
        <v>3540</v>
      </c>
      <c r="E3849" s="19" t="str">
        <f>VLOOKUP(D3849,'لیست پرسنل'!$B$2:$E$1020,3,FALSE)</f>
        <v>فکورصنعت</v>
      </c>
      <c r="F3849" s="19" t="str">
        <f>VLOOKUP(D3849,'لیست پرسنل'!$B$2:$E$1020,4,FALSE)</f>
        <v>انبار</v>
      </c>
      <c r="G3849" s="127">
        <f>VLOOKUP(D3849,'لیست پرسنل'!$B$2:$F$1020,2,FALSE)</f>
        <v>1902</v>
      </c>
      <c r="H3849" s="128" t="s">
        <v>6615</v>
      </c>
      <c r="I3849" s="127"/>
      <c r="J3849" s="128" t="s">
        <v>368</v>
      </c>
      <c r="K3849" s="128" t="s">
        <v>2846</v>
      </c>
      <c r="L3849" s="127" t="s">
        <v>6630</v>
      </c>
      <c r="M3849" s="127">
        <v>634003</v>
      </c>
      <c r="N3849" s="109" t="s">
        <v>7392</v>
      </c>
      <c r="O3849" s="19"/>
      <c r="P3849" s="32"/>
      <c r="Q3849" s="32"/>
    </row>
    <row r="3850" spans="1:17" ht="24.9" customHeight="1">
      <c r="A3850" s="20">
        <v>483</v>
      </c>
      <c r="B3850" s="20" t="s">
        <v>6768</v>
      </c>
      <c r="C3850" s="20"/>
      <c r="D3850" s="20" t="s">
        <v>3540</v>
      </c>
      <c r="E3850" s="19" t="str">
        <f>VLOOKUP(D3850,'لیست پرسنل'!$B$2:$E$1020,3,FALSE)</f>
        <v>فکورصنعت</v>
      </c>
      <c r="F3850" s="19" t="str">
        <f>VLOOKUP(D3850,'لیست پرسنل'!$B$2:$E$1020,4,FALSE)</f>
        <v>انبار</v>
      </c>
      <c r="G3850" s="127">
        <f>VLOOKUP(D3850,'لیست پرسنل'!$B$2:$F$1020,2,FALSE)</f>
        <v>1902</v>
      </c>
      <c r="H3850" s="128" t="s">
        <v>6615</v>
      </c>
      <c r="I3850" s="128"/>
      <c r="J3850" s="128" t="s">
        <v>5366</v>
      </c>
      <c r="K3850" s="130" t="s">
        <v>2571</v>
      </c>
      <c r="L3850" s="151"/>
      <c r="M3850" s="130">
        <v>611724</v>
      </c>
      <c r="N3850" s="108"/>
      <c r="O3850" s="20"/>
      <c r="P3850" s="20"/>
      <c r="Q3850" s="20"/>
    </row>
    <row r="3851" spans="1:17" ht="24.9" customHeight="1">
      <c r="A3851" s="20">
        <v>483</v>
      </c>
      <c r="B3851" s="20" t="s">
        <v>6768</v>
      </c>
      <c r="C3851" s="20"/>
      <c r="D3851" s="20" t="s">
        <v>3540</v>
      </c>
      <c r="E3851" s="19" t="str">
        <f>VLOOKUP(D3851,'لیست پرسنل'!$B$2:$E$1020,3,FALSE)</f>
        <v>فکورصنعت</v>
      </c>
      <c r="F3851" s="19" t="str">
        <f>VLOOKUP(D3851,'لیست پرسنل'!$B$2:$E$1020,4,FALSE)</f>
        <v>انبار</v>
      </c>
      <c r="G3851" s="127">
        <f>VLOOKUP(D3851,'لیست پرسنل'!$B$2:$F$1020,2,FALSE)</f>
        <v>1902</v>
      </c>
      <c r="H3851" s="128" t="s">
        <v>6615</v>
      </c>
      <c r="I3851" s="128"/>
      <c r="J3851" s="128" t="s">
        <v>5366</v>
      </c>
      <c r="K3851" s="127" t="s">
        <v>4434</v>
      </c>
      <c r="L3851" s="128"/>
      <c r="M3851" s="134">
        <v>622271</v>
      </c>
      <c r="N3851" s="124" t="s">
        <v>7343</v>
      </c>
      <c r="O3851" s="32" t="s">
        <v>2676</v>
      </c>
      <c r="P3851" s="20"/>
      <c r="Q3851" s="20"/>
    </row>
    <row r="3852" spans="1:17" ht="24.9" customHeight="1">
      <c r="A3852" s="20">
        <v>483</v>
      </c>
      <c r="B3852" s="20" t="s">
        <v>6768</v>
      </c>
      <c r="C3852" s="20"/>
      <c r="D3852" s="20" t="s">
        <v>3540</v>
      </c>
      <c r="E3852" s="19" t="str">
        <f>VLOOKUP(D3852,'لیست پرسنل'!$B$2:$E$1020,3,FALSE)</f>
        <v>فکورصنعت</v>
      </c>
      <c r="F3852" s="19" t="str">
        <f>VLOOKUP(D3852,'لیست پرسنل'!$B$2:$E$1020,4,FALSE)</f>
        <v>انبار</v>
      </c>
      <c r="G3852" s="127">
        <f>VLOOKUP(D3852,'لیست پرسنل'!$B$2:$F$1020,2,FALSE)</f>
        <v>1902</v>
      </c>
      <c r="H3852" s="128" t="s">
        <v>6615</v>
      </c>
      <c r="I3852" s="128"/>
      <c r="J3852" s="128" t="s">
        <v>5366</v>
      </c>
      <c r="K3852" s="127" t="s">
        <v>4434</v>
      </c>
      <c r="L3852" s="151"/>
      <c r="M3852" s="134">
        <v>622455</v>
      </c>
      <c r="N3852" s="108"/>
      <c r="O3852" s="32" t="s">
        <v>2676</v>
      </c>
      <c r="P3852" s="20"/>
      <c r="Q3852" s="20"/>
    </row>
    <row r="3853" spans="1:17" ht="24.9" customHeight="1">
      <c r="A3853" s="20">
        <v>483</v>
      </c>
      <c r="B3853" s="20" t="s">
        <v>6768</v>
      </c>
      <c r="C3853" s="20"/>
      <c r="D3853" s="20" t="s">
        <v>3540</v>
      </c>
      <c r="E3853" s="19" t="str">
        <f>VLOOKUP(D3853,'لیست پرسنل'!$B$2:$E$1020,3,FALSE)</f>
        <v>فکورصنعت</v>
      </c>
      <c r="F3853" s="19" t="str">
        <f>VLOOKUP(D3853,'لیست پرسنل'!$B$2:$E$1020,4,FALSE)</f>
        <v>انبار</v>
      </c>
      <c r="G3853" s="127">
        <f>VLOOKUP(D3853,'لیست پرسنل'!$B$2:$F$1020,2,FALSE)</f>
        <v>1902</v>
      </c>
      <c r="H3853" s="128" t="s">
        <v>6615</v>
      </c>
      <c r="I3853" s="128"/>
      <c r="J3853" s="128" t="s">
        <v>5366</v>
      </c>
      <c r="K3853" s="127" t="s">
        <v>4434</v>
      </c>
      <c r="L3853" s="151"/>
      <c r="M3853" s="134">
        <v>622456</v>
      </c>
      <c r="N3853" s="108"/>
      <c r="O3853" s="32" t="s">
        <v>2676</v>
      </c>
      <c r="P3853" s="20"/>
      <c r="Q3853" s="20"/>
    </row>
    <row r="3854" spans="1:17" ht="24.9" customHeight="1">
      <c r="A3854" s="20">
        <v>483</v>
      </c>
      <c r="B3854" s="20" t="s">
        <v>6768</v>
      </c>
      <c r="C3854" s="20"/>
      <c r="D3854" s="20" t="s">
        <v>3540</v>
      </c>
      <c r="E3854" s="19" t="str">
        <f>VLOOKUP(D3854,'لیست پرسنل'!$B$2:$E$1020,3,FALSE)</f>
        <v>فکورصنعت</v>
      </c>
      <c r="F3854" s="19" t="str">
        <f>VLOOKUP(D3854,'لیست پرسنل'!$B$2:$E$1020,4,FALSE)</f>
        <v>انبار</v>
      </c>
      <c r="G3854" s="127">
        <f>VLOOKUP(D3854,'لیست پرسنل'!$B$2:$F$1020,2,FALSE)</f>
        <v>1902</v>
      </c>
      <c r="H3854" s="128" t="s">
        <v>6615</v>
      </c>
      <c r="I3854" s="128"/>
      <c r="J3854" s="128" t="s">
        <v>5366</v>
      </c>
      <c r="K3854" s="127" t="s">
        <v>4434</v>
      </c>
      <c r="L3854" s="151"/>
      <c r="M3854" s="134">
        <v>622458</v>
      </c>
      <c r="N3854" s="108"/>
      <c r="O3854" s="32" t="s">
        <v>2676</v>
      </c>
      <c r="P3854" s="20"/>
      <c r="Q3854" s="20"/>
    </row>
    <row r="3855" spans="1:17" ht="24.9" customHeight="1">
      <c r="A3855" s="20">
        <v>483</v>
      </c>
      <c r="B3855" s="20" t="s">
        <v>6768</v>
      </c>
      <c r="C3855" s="20"/>
      <c r="D3855" s="20" t="s">
        <v>3540</v>
      </c>
      <c r="E3855" s="19" t="str">
        <f>VLOOKUP(D3855,'لیست پرسنل'!$B$2:$E$1020,3,FALSE)</f>
        <v>فکورصنعت</v>
      </c>
      <c r="F3855" s="19" t="str">
        <f>VLOOKUP(D3855,'لیست پرسنل'!$B$2:$E$1020,4,FALSE)</f>
        <v>انبار</v>
      </c>
      <c r="G3855" s="127">
        <f>VLOOKUP(D3855,'لیست پرسنل'!$B$2:$F$1020,2,FALSE)</f>
        <v>1902</v>
      </c>
      <c r="H3855" s="128" t="s">
        <v>6615</v>
      </c>
      <c r="I3855" s="128"/>
      <c r="J3855" s="128" t="s">
        <v>5366</v>
      </c>
      <c r="K3855" s="127" t="s">
        <v>4434</v>
      </c>
      <c r="L3855" s="151"/>
      <c r="M3855" s="134">
        <v>622459</v>
      </c>
      <c r="N3855" s="108"/>
      <c r="O3855" s="32" t="s">
        <v>2676</v>
      </c>
      <c r="P3855" s="20"/>
      <c r="Q3855" s="20"/>
    </row>
    <row r="3856" spans="1:17" ht="24.9" customHeight="1">
      <c r="A3856" s="20">
        <v>483</v>
      </c>
      <c r="B3856" s="20" t="s">
        <v>6768</v>
      </c>
      <c r="C3856" s="20"/>
      <c r="D3856" s="20" t="s">
        <v>3540</v>
      </c>
      <c r="E3856" s="19" t="str">
        <f>VLOOKUP(D3856,'لیست پرسنل'!$B$2:$E$1020,3,FALSE)</f>
        <v>فکورصنعت</v>
      </c>
      <c r="F3856" s="19" t="str">
        <f>VLOOKUP(D3856,'لیست پرسنل'!$B$2:$E$1020,4,FALSE)</f>
        <v>انبار</v>
      </c>
      <c r="G3856" s="127">
        <f>VLOOKUP(D3856,'لیست پرسنل'!$B$2:$F$1020,2,FALSE)</f>
        <v>1902</v>
      </c>
      <c r="H3856" s="182" t="s">
        <v>7284</v>
      </c>
      <c r="I3856" s="128"/>
      <c r="J3856" s="128" t="s">
        <v>5366</v>
      </c>
      <c r="K3856" s="128" t="s">
        <v>2598</v>
      </c>
      <c r="L3856" s="150"/>
      <c r="M3856" s="128">
        <v>607120</v>
      </c>
      <c r="N3856" s="108"/>
      <c r="O3856" s="20" t="s">
        <v>7285</v>
      </c>
      <c r="P3856" s="20"/>
      <c r="Q3856" s="20"/>
    </row>
    <row r="3857" spans="1:17" ht="24.9" customHeight="1">
      <c r="A3857" s="20">
        <v>483</v>
      </c>
      <c r="B3857" s="20" t="s">
        <v>6768</v>
      </c>
      <c r="C3857" s="20"/>
      <c r="D3857" s="20" t="s">
        <v>3540</v>
      </c>
      <c r="E3857" s="19" t="str">
        <f>VLOOKUP(D3857,'لیست پرسنل'!$B$2:$E$1020,3,FALSE)</f>
        <v>فکورصنعت</v>
      </c>
      <c r="F3857" s="19" t="str">
        <f>VLOOKUP(D3857,'لیست پرسنل'!$B$2:$E$1020,4,FALSE)</f>
        <v>انبار</v>
      </c>
      <c r="G3857" s="127">
        <f>VLOOKUP(D3857,'لیست پرسنل'!$B$2:$F$1020,2,FALSE)</f>
        <v>1902</v>
      </c>
      <c r="H3857" s="182" t="s">
        <v>7284</v>
      </c>
      <c r="I3857" s="128"/>
      <c r="J3857" s="151" t="s">
        <v>5366</v>
      </c>
      <c r="K3857" s="128" t="s">
        <v>7276</v>
      </c>
      <c r="L3857" s="128"/>
      <c r="M3857" s="128">
        <v>613614</v>
      </c>
      <c r="N3857" s="108"/>
      <c r="O3857" s="77" t="s">
        <v>7283</v>
      </c>
      <c r="P3857" s="20"/>
      <c r="Q3857" s="20"/>
    </row>
    <row r="3858" spans="1:17" ht="24.9" customHeight="1">
      <c r="A3858" s="20">
        <v>483</v>
      </c>
      <c r="B3858" s="20" t="s">
        <v>6768</v>
      </c>
      <c r="C3858" s="20"/>
      <c r="D3858" s="20" t="s">
        <v>3540</v>
      </c>
      <c r="E3858" s="19" t="str">
        <f>VLOOKUP(D3858,'لیست پرسنل'!$B$2:$E$1020,3,FALSE)</f>
        <v>فکورصنعت</v>
      </c>
      <c r="F3858" s="19" t="str">
        <f>VLOOKUP(D3858,'لیست پرسنل'!$B$2:$E$1020,4,FALSE)</f>
        <v>انبار</v>
      </c>
      <c r="G3858" s="127">
        <f>VLOOKUP(D3858,'لیست پرسنل'!$B$2:$F$1020,2,FALSE)</f>
        <v>1902</v>
      </c>
      <c r="H3858" s="128" t="s">
        <v>7284</v>
      </c>
      <c r="I3858" s="128"/>
      <c r="J3858" s="128" t="s">
        <v>5366</v>
      </c>
      <c r="K3858" s="128" t="s">
        <v>2601</v>
      </c>
      <c r="L3858" s="150"/>
      <c r="M3858" s="128">
        <v>625906</v>
      </c>
      <c r="N3858" s="111"/>
      <c r="O3858" s="20"/>
      <c r="P3858" s="20"/>
      <c r="Q3858" s="20"/>
    </row>
    <row r="3859" spans="1:17" ht="24.9" customHeight="1">
      <c r="A3859" s="20">
        <v>483</v>
      </c>
      <c r="B3859" s="20" t="s">
        <v>6768</v>
      </c>
      <c r="C3859" s="20"/>
      <c r="D3859" s="20" t="s">
        <v>3540</v>
      </c>
      <c r="E3859" s="19" t="str">
        <f>VLOOKUP(D3859,'لیست پرسنل'!$B$2:$E$1020,3,FALSE)</f>
        <v>فکورصنعت</v>
      </c>
      <c r="F3859" s="19" t="str">
        <f>VLOOKUP(D3859,'لیست پرسنل'!$B$2:$E$1020,4,FALSE)</f>
        <v>انبار</v>
      </c>
      <c r="G3859" s="127">
        <f>VLOOKUP(D3859,'لیست پرسنل'!$B$2:$F$1020,2,FALSE)</f>
        <v>1902</v>
      </c>
      <c r="H3859" s="182" t="s">
        <v>7284</v>
      </c>
      <c r="I3859" s="128"/>
      <c r="J3859" s="128" t="s">
        <v>5366</v>
      </c>
      <c r="K3859" s="128" t="s">
        <v>2599</v>
      </c>
      <c r="L3859" s="150"/>
      <c r="M3859" s="128">
        <v>626357</v>
      </c>
      <c r="N3859" s="108" t="s">
        <v>7285</v>
      </c>
      <c r="O3859" s="20" t="s">
        <v>5309</v>
      </c>
      <c r="P3859" s="20"/>
      <c r="Q3859" s="20"/>
    </row>
    <row r="3860" spans="1:17" ht="24.9" customHeight="1">
      <c r="A3860" s="19">
        <v>483</v>
      </c>
      <c r="B3860" s="20" t="s">
        <v>6768</v>
      </c>
      <c r="C3860" s="19"/>
      <c r="D3860" s="20" t="s">
        <v>3540</v>
      </c>
      <c r="E3860" s="19" t="str">
        <f>VLOOKUP(D3860,'لیست پرسنل'!$B$2:$E$1020,3,FALSE)</f>
        <v>فکورصنعت</v>
      </c>
      <c r="F3860" s="19" t="str">
        <f>VLOOKUP(D3860,'لیست پرسنل'!$B$2:$E$1020,4,FALSE)</f>
        <v>انبار</v>
      </c>
      <c r="G3860" s="127">
        <f>VLOOKUP(D3860,'لیست پرسنل'!$B$2:$F$1020,2,FALSE)</f>
        <v>1902</v>
      </c>
      <c r="H3860" s="127" t="s">
        <v>7284</v>
      </c>
      <c r="I3860" s="127"/>
      <c r="J3860" s="127" t="s">
        <v>5366</v>
      </c>
      <c r="K3860" s="127" t="s">
        <v>2691</v>
      </c>
      <c r="L3860" s="127"/>
      <c r="M3860" s="127">
        <v>628185</v>
      </c>
      <c r="N3860" s="109"/>
      <c r="O3860" s="19"/>
      <c r="P3860" s="19"/>
      <c r="Q3860" s="19"/>
    </row>
    <row r="3861" spans="1:17" ht="24.9" customHeight="1">
      <c r="A3861" s="20">
        <v>483</v>
      </c>
      <c r="B3861" s="20" t="s">
        <v>6768</v>
      </c>
      <c r="C3861" s="20"/>
      <c r="D3861" s="20" t="s">
        <v>3540</v>
      </c>
      <c r="E3861" s="19" t="str">
        <f>VLOOKUP(D3861,'لیست پرسنل'!$B$2:$E$1020,3,FALSE)</f>
        <v>فکورصنعت</v>
      </c>
      <c r="F3861" s="19" t="str">
        <f>VLOOKUP(D3861,'لیست پرسنل'!$B$2:$E$1020,4,FALSE)</f>
        <v>انبار</v>
      </c>
      <c r="G3861" s="127">
        <f>VLOOKUP(D3861,'لیست پرسنل'!$B$2:$F$1020,2,FALSE)</f>
        <v>1902</v>
      </c>
      <c r="H3861" s="182" t="s">
        <v>7284</v>
      </c>
      <c r="I3861" s="128"/>
      <c r="J3861" s="128" t="s">
        <v>5304</v>
      </c>
      <c r="K3861" s="128" t="s">
        <v>5997</v>
      </c>
      <c r="L3861" s="150"/>
      <c r="M3861" s="128">
        <v>635132</v>
      </c>
      <c r="N3861" s="108" t="s">
        <v>7286</v>
      </c>
      <c r="O3861" s="20"/>
      <c r="P3861" s="20"/>
      <c r="Q3861" s="20"/>
    </row>
    <row r="3862" spans="1:17" ht="24.9" customHeight="1">
      <c r="A3862" s="20">
        <v>483</v>
      </c>
      <c r="B3862" s="20" t="s">
        <v>6768</v>
      </c>
      <c r="C3862" s="20"/>
      <c r="D3862" s="20" t="s">
        <v>3540</v>
      </c>
      <c r="E3862" s="19" t="str">
        <f>VLOOKUP(D3862,'لیست پرسنل'!$B$2:$E$1020,3,FALSE)</f>
        <v>فکورصنعت</v>
      </c>
      <c r="F3862" s="19" t="str">
        <f>VLOOKUP(D3862,'لیست پرسنل'!$B$2:$E$1020,4,FALSE)</f>
        <v>انبار</v>
      </c>
      <c r="G3862" s="127">
        <f>VLOOKUP(D3862,'لیست پرسنل'!$B$2:$F$1020,2,FALSE)</f>
        <v>1902</v>
      </c>
      <c r="H3862" s="182" t="s">
        <v>7284</v>
      </c>
      <c r="I3862" s="128"/>
      <c r="J3862" s="128" t="s">
        <v>5304</v>
      </c>
      <c r="K3862" s="128" t="s">
        <v>5997</v>
      </c>
      <c r="L3862" s="150"/>
      <c r="M3862" s="128">
        <v>635133</v>
      </c>
      <c r="N3862" s="108" t="s">
        <v>7286</v>
      </c>
      <c r="O3862" s="20"/>
      <c r="P3862" s="20"/>
      <c r="Q3862" s="20"/>
    </row>
    <row r="3863" spans="1:17" ht="24.9" customHeight="1">
      <c r="A3863" s="20">
        <v>483</v>
      </c>
      <c r="B3863" s="20" t="s">
        <v>6768</v>
      </c>
      <c r="C3863" s="20"/>
      <c r="D3863" s="20" t="s">
        <v>3540</v>
      </c>
      <c r="E3863" s="19" t="str">
        <f>VLOOKUP(D3863,'لیست پرسنل'!$B$2:$E$1020,3,FALSE)</f>
        <v>فکورصنعت</v>
      </c>
      <c r="F3863" s="19" t="str">
        <f>VLOOKUP(D3863,'لیست پرسنل'!$B$2:$E$1020,4,FALSE)</f>
        <v>انبار</v>
      </c>
      <c r="G3863" s="127">
        <f>VLOOKUP(D3863,'لیست پرسنل'!$B$2:$F$1020,2,FALSE)</f>
        <v>1902</v>
      </c>
      <c r="H3863" s="182" t="s">
        <v>7284</v>
      </c>
      <c r="I3863" s="128"/>
      <c r="J3863" s="128" t="s">
        <v>5304</v>
      </c>
      <c r="K3863" s="128" t="s">
        <v>5997</v>
      </c>
      <c r="L3863" s="150"/>
      <c r="M3863" s="128">
        <v>635134</v>
      </c>
      <c r="N3863" s="108" t="s">
        <v>7286</v>
      </c>
      <c r="O3863" s="20"/>
      <c r="P3863" s="20"/>
      <c r="Q3863" s="20"/>
    </row>
    <row r="3864" spans="1:17" ht="24.9" customHeight="1">
      <c r="A3864" s="20">
        <v>483</v>
      </c>
      <c r="B3864" s="20" t="s">
        <v>6768</v>
      </c>
      <c r="C3864" s="20"/>
      <c r="D3864" s="20" t="s">
        <v>3540</v>
      </c>
      <c r="E3864" s="19" t="str">
        <f>VLOOKUP(D3864,'لیست پرسنل'!$B$2:$E$1020,3,FALSE)</f>
        <v>فکورصنعت</v>
      </c>
      <c r="F3864" s="19" t="str">
        <f>VLOOKUP(D3864,'لیست پرسنل'!$B$2:$E$1020,4,FALSE)</f>
        <v>انبار</v>
      </c>
      <c r="G3864" s="127">
        <f>VLOOKUP(D3864,'لیست پرسنل'!$B$2:$F$1020,2,FALSE)</f>
        <v>1902</v>
      </c>
      <c r="H3864" s="182" t="s">
        <v>7284</v>
      </c>
      <c r="I3864" s="128"/>
      <c r="J3864" s="128" t="s">
        <v>5304</v>
      </c>
      <c r="K3864" s="128" t="s">
        <v>5997</v>
      </c>
      <c r="L3864" s="150"/>
      <c r="M3864" s="128">
        <v>635135</v>
      </c>
      <c r="N3864" s="108" t="s">
        <v>7286</v>
      </c>
      <c r="O3864" s="20"/>
      <c r="P3864" s="20"/>
      <c r="Q3864" s="20"/>
    </row>
    <row r="3865" spans="1:17" ht="24.9" customHeight="1">
      <c r="A3865" s="20">
        <v>483</v>
      </c>
      <c r="B3865" s="20" t="s">
        <v>6768</v>
      </c>
      <c r="C3865" s="20"/>
      <c r="D3865" s="20" t="s">
        <v>3540</v>
      </c>
      <c r="E3865" s="19" t="str">
        <f>VLOOKUP(D3865,'لیست پرسنل'!$B$2:$E$1020,3,FALSE)</f>
        <v>فکورصنعت</v>
      </c>
      <c r="F3865" s="19" t="str">
        <f>VLOOKUP(D3865,'لیست پرسنل'!$B$2:$E$1020,4,FALSE)</f>
        <v>انبار</v>
      </c>
      <c r="G3865" s="127">
        <f>VLOOKUP(D3865,'لیست پرسنل'!$B$2:$F$1020,2,FALSE)</f>
        <v>1902</v>
      </c>
      <c r="H3865" s="182" t="s">
        <v>7284</v>
      </c>
      <c r="I3865" s="128"/>
      <c r="J3865" s="128" t="s">
        <v>5304</v>
      </c>
      <c r="K3865" s="128" t="s">
        <v>5997</v>
      </c>
      <c r="L3865" s="150"/>
      <c r="M3865" s="128">
        <v>635136</v>
      </c>
      <c r="N3865" s="108" t="s">
        <v>7286</v>
      </c>
      <c r="O3865" s="20"/>
      <c r="P3865" s="20"/>
      <c r="Q3865" s="20"/>
    </row>
    <row r="3866" spans="1:17" ht="24.9" customHeight="1">
      <c r="A3866" s="20">
        <v>483</v>
      </c>
      <c r="B3866" s="20" t="s">
        <v>6768</v>
      </c>
      <c r="C3866" s="20"/>
      <c r="D3866" s="20" t="s">
        <v>3540</v>
      </c>
      <c r="E3866" s="19" t="str">
        <f>VLOOKUP(D3866,'لیست پرسنل'!$B$2:$E$1020,3,FALSE)</f>
        <v>فکورصنعت</v>
      </c>
      <c r="F3866" s="19" t="str">
        <f>VLOOKUP(D3866,'لیست پرسنل'!$B$2:$E$1020,4,FALSE)</f>
        <v>انبار</v>
      </c>
      <c r="G3866" s="127">
        <f>VLOOKUP(D3866,'لیست پرسنل'!$B$2:$F$1020,2,FALSE)</f>
        <v>1902</v>
      </c>
      <c r="H3866" s="128" t="s">
        <v>7598</v>
      </c>
      <c r="I3866" s="128"/>
      <c r="J3866" s="128" t="s">
        <v>3532</v>
      </c>
      <c r="K3866" s="127" t="s">
        <v>7386</v>
      </c>
      <c r="L3866" s="152" t="s">
        <v>7388</v>
      </c>
      <c r="M3866" s="127">
        <v>635936</v>
      </c>
      <c r="N3866" s="109" t="s">
        <v>7599</v>
      </c>
      <c r="O3866" s="31"/>
      <c r="P3866" s="19"/>
      <c r="Q3866" s="19"/>
    </row>
    <row r="3867" spans="1:17" ht="24.9" customHeight="1">
      <c r="A3867" s="20">
        <v>483</v>
      </c>
      <c r="B3867" s="20" t="s">
        <v>6768</v>
      </c>
      <c r="C3867" s="20"/>
      <c r="D3867" s="20" t="s">
        <v>48</v>
      </c>
      <c r="E3867" s="19" t="str">
        <f>VLOOKUP(D3867,'لیست پرسنل'!$B$2:$E$1020,3,FALSE)</f>
        <v>فکورصنعت</v>
      </c>
      <c r="F3867" s="19" t="str">
        <f>VLOOKUP(D3867,'لیست پرسنل'!$B$2:$E$1020,4,FALSE)</f>
        <v>سرپرست آی تی</v>
      </c>
      <c r="G3867" s="127">
        <f>VLOOKUP(D3867,'لیست پرسنل'!$B$2:$F$1020,2,FALSE)</f>
        <v>2210</v>
      </c>
      <c r="H3867" s="128" t="s">
        <v>7611</v>
      </c>
      <c r="I3867" s="128"/>
      <c r="J3867" s="128" t="s">
        <v>3481</v>
      </c>
      <c r="K3867" s="128" t="s">
        <v>4897</v>
      </c>
      <c r="L3867" s="127" t="s">
        <v>7609</v>
      </c>
      <c r="M3867" s="128" t="s">
        <v>291</v>
      </c>
      <c r="N3867" s="109"/>
      <c r="O3867" s="19"/>
      <c r="P3867" s="32"/>
      <c r="Q3867" s="32"/>
    </row>
    <row r="3868" spans="1:17" ht="24.9" customHeight="1">
      <c r="A3868" s="20">
        <v>483</v>
      </c>
      <c r="B3868" s="20" t="s">
        <v>6768</v>
      </c>
      <c r="C3868" s="20"/>
      <c r="D3868" s="20" t="s">
        <v>48</v>
      </c>
      <c r="E3868" s="19" t="str">
        <f>VLOOKUP(D3868,'لیست پرسنل'!$B$2:$E$1020,3,FALSE)</f>
        <v>فکورصنعت</v>
      </c>
      <c r="F3868" s="19" t="str">
        <f>VLOOKUP(D3868,'لیست پرسنل'!$B$2:$E$1020,4,FALSE)</f>
        <v>سرپرست آی تی</v>
      </c>
      <c r="G3868" s="127">
        <f>VLOOKUP(D3868,'لیست پرسنل'!$B$2:$F$1020,2,FALSE)</f>
        <v>2210</v>
      </c>
      <c r="H3868" s="128" t="s">
        <v>7612</v>
      </c>
      <c r="I3868" s="128"/>
      <c r="J3868" s="128" t="s">
        <v>3481</v>
      </c>
      <c r="K3868" s="128" t="s">
        <v>4897</v>
      </c>
      <c r="L3868" s="127" t="s">
        <v>7610</v>
      </c>
      <c r="M3868" s="128" t="s">
        <v>291</v>
      </c>
      <c r="N3868" s="109"/>
      <c r="O3868" s="19"/>
      <c r="P3868" s="32"/>
      <c r="Q3868" s="32"/>
    </row>
    <row r="3869" spans="1:17" ht="24.9" customHeight="1">
      <c r="A3869" s="20">
        <v>483</v>
      </c>
      <c r="B3869" s="20" t="s">
        <v>6768</v>
      </c>
      <c r="C3869" s="20"/>
      <c r="D3869" s="20" t="s">
        <v>8273</v>
      </c>
      <c r="E3869" s="19" t="str">
        <f>VLOOKUP(D3869,'لیست پرسنل'!$B$2:$E$1020,3,FALSE)</f>
        <v>فکورصنعت</v>
      </c>
      <c r="F3869" s="19" t="str">
        <f>VLOOKUP(D3869,'لیست پرسنل'!$B$2:$E$1020,4,FALSE)</f>
        <v>مدیر سایت</v>
      </c>
      <c r="G3869" s="127">
        <f>VLOOKUP(D3869,'لیست پرسنل'!$B$2:$F$1020,2,FALSE)</f>
        <v>4031007</v>
      </c>
      <c r="H3869" s="128" t="s">
        <v>7151</v>
      </c>
      <c r="I3869" s="128"/>
      <c r="J3869" s="128" t="s">
        <v>368</v>
      </c>
      <c r="K3869" s="128" t="s">
        <v>2846</v>
      </c>
      <c r="L3869" s="127" t="s">
        <v>6633</v>
      </c>
      <c r="M3869" s="127">
        <v>634006</v>
      </c>
      <c r="N3869" s="109"/>
      <c r="O3869" s="19"/>
      <c r="P3869" s="32"/>
      <c r="Q3869" s="32"/>
    </row>
    <row r="3870" spans="1:17" ht="24.9" customHeight="1">
      <c r="A3870" s="20">
        <v>483</v>
      </c>
      <c r="B3870" s="20" t="s">
        <v>7089</v>
      </c>
      <c r="C3870" s="20"/>
      <c r="D3870" s="20" t="s">
        <v>48</v>
      </c>
      <c r="E3870" s="19" t="str">
        <f>VLOOKUP(D3870,'لیست پرسنل'!$B$2:$E$1020,3,FALSE)</f>
        <v>فکورصنعت</v>
      </c>
      <c r="F3870" s="19" t="str">
        <f>VLOOKUP(D3870,'لیست پرسنل'!$B$2:$E$1020,4,FALSE)</f>
        <v>سرپرست آی تی</v>
      </c>
      <c r="G3870" s="127">
        <f>VLOOKUP(D3870,'لیست پرسنل'!$B$2:$F$1020,2,FALSE)</f>
        <v>2210</v>
      </c>
      <c r="H3870" s="128" t="s">
        <v>6785</v>
      </c>
      <c r="I3870" s="128"/>
      <c r="J3870" s="128" t="s">
        <v>3483</v>
      </c>
      <c r="K3870" s="128" t="s">
        <v>5210</v>
      </c>
      <c r="L3870" s="127"/>
      <c r="M3870" s="127">
        <v>633697</v>
      </c>
      <c r="N3870" s="109"/>
      <c r="O3870" s="19" t="s">
        <v>6351</v>
      </c>
      <c r="P3870" s="32"/>
      <c r="Q3870" s="32"/>
    </row>
    <row r="3871" spans="1:17" ht="24.9" customHeight="1">
      <c r="A3871" s="20">
        <v>483</v>
      </c>
      <c r="B3871" s="20" t="s">
        <v>7089</v>
      </c>
      <c r="C3871" s="20"/>
      <c r="D3871" s="20" t="s">
        <v>48</v>
      </c>
      <c r="E3871" s="19" t="str">
        <f>VLOOKUP(D3871,'لیست پرسنل'!$B$2:$E$1020,3,FALSE)</f>
        <v>فکورصنعت</v>
      </c>
      <c r="F3871" s="19" t="str">
        <f>VLOOKUP(D3871,'لیست پرسنل'!$B$2:$E$1020,4,FALSE)</f>
        <v>سرپرست آی تی</v>
      </c>
      <c r="G3871" s="127">
        <f>VLOOKUP(D3871,'لیست پرسنل'!$B$2:$F$1020,2,FALSE)</f>
        <v>2210</v>
      </c>
      <c r="H3871" s="128" t="s">
        <v>6785</v>
      </c>
      <c r="I3871" s="128"/>
      <c r="J3871" s="128" t="s">
        <v>3285</v>
      </c>
      <c r="K3871" s="128" t="s">
        <v>6591</v>
      </c>
      <c r="L3871" s="127" t="s">
        <v>6639</v>
      </c>
      <c r="M3871" s="127">
        <v>623328</v>
      </c>
      <c r="N3871" s="109"/>
      <c r="O3871" s="19"/>
      <c r="P3871" s="32"/>
      <c r="Q3871" s="32"/>
    </row>
    <row r="3872" spans="1:17" ht="24.9" customHeight="1">
      <c r="A3872" s="20">
        <v>483</v>
      </c>
      <c r="B3872" s="20" t="s">
        <v>7089</v>
      </c>
      <c r="C3872" s="20"/>
      <c r="D3872" s="20" t="s">
        <v>48</v>
      </c>
      <c r="E3872" s="19" t="str">
        <f>VLOOKUP(D3872,'لیست پرسنل'!$B$2:$E$1020,3,FALSE)</f>
        <v>فکورصنعت</v>
      </c>
      <c r="F3872" s="19" t="str">
        <f>VLOOKUP(D3872,'لیست پرسنل'!$B$2:$E$1020,4,FALSE)</f>
        <v>سرپرست آی تی</v>
      </c>
      <c r="G3872" s="127">
        <f>VLOOKUP(D3872,'لیست پرسنل'!$B$2:$F$1020,2,FALSE)</f>
        <v>2210</v>
      </c>
      <c r="H3872" s="128" t="s">
        <v>6785</v>
      </c>
      <c r="I3872" s="128"/>
      <c r="J3872" s="128" t="s">
        <v>2886</v>
      </c>
      <c r="K3872" s="127" t="s">
        <v>3118</v>
      </c>
      <c r="L3872" s="127" t="s">
        <v>6786</v>
      </c>
      <c r="M3872" s="127">
        <v>633975</v>
      </c>
      <c r="N3872" s="108"/>
      <c r="O3872" s="32"/>
      <c r="P3872" s="20"/>
      <c r="Q3872" s="20"/>
    </row>
    <row r="3873" spans="1:17" ht="24.9" customHeight="1">
      <c r="A3873" s="185">
        <v>483</v>
      </c>
      <c r="B3873" s="185" t="s">
        <v>7089</v>
      </c>
      <c r="C3873" s="185"/>
      <c r="D3873" s="67" t="s">
        <v>48</v>
      </c>
      <c r="E3873" s="186" t="str">
        <f>VLOOKUP(D3873,'لیست پرسنل'!$B$2:$E$1020,3,FALSE)</f>
        <v>فکورصنعت</v>
      </c>
      <c r="F3873" s="186" t="str">
        <f>VLOOKUP(D3873,'لیست پرسنل'!$B$2:$E$1020,4,FALSE)</f>
        <v>سرپرست آی تی</v>
      </c>
      <c r="G3873" s="187">
        <f>VLOOKUP(D3873,'لیست پرسنل'!$B$2:$F$1020,2,FALSE)</f>
        <v>2210</v>
      </c>
      <c r="H3873" s="188" t="s">
        <v>6785</v>
      </c>
      <c r="I3873" s="194"/>
      <c r="J3873" s="188" t="s">
        <v>3476</v>
      </c>
      <c r="K3873" s="188" t="s">
        <v>6590</v>
      </c>
      <c r="L3873" s="187" t="s">
        <v>6638</v>
      </c>
      <c r="M3873" s="190">
        <v>632877</v>
      </c>
      <c r="N3873" s="189"/>
      <c r="O3873" s="186"/>
      <c r="P3873" s="196"/>
      <c r="Q3873" s="196"/>
    </row>
    <row r="3874" spans="1:17" ht="24.9" customHeight="1">
      <c r="A3874" s="20">
        <v>483</v>
      </c>
      <c r="B3874" s="20" t="s">
        <v>7089</v>
      </c>
      <c r="C3874" s="20"/>
      <c r="D3874" s="20" t="s">
        <v>48</v>
      </c>
      <c r="E3874" s="19" t="str">
        <f>VLOOKUP(D3874,'لیست پرسنل'!$B$2:$E$1020,3,FALSE)</f>
        <v>فکورصنعت</v>
      </c>
      <c r="F3874" s="19" t="str">
        <f>VLOOKUP(D3874,'لیست پرسنل'!$B$2:$E$1020,4,FALSE)</f>
        <v>سرپرست آی تی</v>
      </c>
      <c r="G3874" s="127">
        <f>VLOOKUP(D3874,'لیست پرسنل'!$B$2:$F$1020,2,FALSE)</f>
        <v>2210</v>
      </c>
      <c r="H3874" s="128" t="s">
        <v>6785</v>
      </c>
      <c r="I3874" s="128"/>
      <c r="J3874" s="128" t="s">
        <v>3476</v>
      </c>
      <c r="K3874" s="128" t="s">
        <v>6590</v>
      </c>
      <c r="L3874" s="127" t="s">
        <v>6637</v>
      </c>
      <c r="M3874" s="127">
        <v>632883</v>
      </c>
      <c r="N3874" s="109"/>
      <c r="O3874" s="19"/>
      <c r="P3874" s="32"/>
      <c r="Q3874" s="32"/>
    </row>
    <row r="3875" spans="1:17" ht="24.9" customHeight="1">
      <c r="A3875" s="20">
        <v>483</v>
      </c>
      <c r="B3875" s="20" t="s">
        <v>7089</v>
      </c>
      <c r="C3875" s="20"/>
      <c r="D3875" s="20" t="s">
        <v>8273</v>
      </c>
      <c r="E3875" s="19" t="str">
        <f>VLOOKUP(D3875,'لیست پرسنل'!$B$2:$E$1020,3,FALSE)</f>
        <v>فکورصنعت</v>
      </c>
      <c r="F3875" s="19" t="str">
        <f>VLOOKUP(D3875,'لیست پرسنل'!$B$2:$E$1020,4,FALSE)</f>
        <v>مدیر سایت</v>
      </c>
      <c r="G3875" s="127">
        <f>VLOOKUP(D3875,'لیست پرسنل'!$B$2:$F$1020,2,FALSE)</f>
        <v>4031007</v>
      </c>
      <c r="H3875" s="128" t="s">
        <v>6785</v>
      </c>
      <c r="I3875" s="128"/>
      <c r="J3875" s="128" t="s">
        <v>3322</v>
      </c>
      <c r="K3875" s="128" t="s">
        <v>5211</v>
      </c>
      <c r="L3875" s="127" t="s">
        <v>7934</v>
      </c>
      <c r="M3875" s="127">
        <v>633792</v>
      </c>
      <c r="N3875" s="109"/>
      <c r="O3875" s="19" t="s">
        <v>8274</v>
      </c>
      <c r="P3875" s="32"/>
      <c r="Q3875" s="32"/>
    </row>
    <row r="3876" spans="1:17" ht="24.9" customHeight="1">
      <c r="A3876" s="20">
        <v>527</v>
      </c>
      <c r="B3876" s="20" t="s">
        <v>8255</v>
      </c>
      <c r="C3876" s="20"/>
      <c r="D3876" s="20" t="s">
        <v>48</v>
      </c>
      <c r="E3876" s="19" t="str">
        <f>VLOOKUP(D3876,'لیست پرسنل'!$B$2:$E$1020,3,FALSE)</f>
        <v>فکورصنعت</v>
      </c>
      <c r="F3876" s="19" t="str">
        <f>VLOOKUP(D3876,'لیست پرسنل'!$B$2:$E$1020,4,FALSE)</f>
        <v>سرپرست آی تی</v>
      </c>
      <c r="G3876" s="127">
        <f>VLOOKUP(D3876,'لیست پرسنل'!$B$2:$F$1020,2,FALSE)</f>
        <v>2210</v>
      </c>
      <c r="H3876" s="130" t="s">
        <v>8213</v>
      </c>
      <c r="I3876" s="127"/>
      <c r="J3876" s="128" t="s">
        <v>737</v>
      </c>
      <c r="K3876" s="127" t="s">
        <v>8450</v>
      </c>
      <c r="L3876" s="127" t="s">
        <v>8175</v>
      </c>
      <c r="M3876" s="127">
        <v>636725</v>
      </c>
      <c r="N3876" s="109"/>
      <c r="O3876" s="20"/>
      <c r="P3876" s="20"/>
      <c r="Q3876" s="20"/>
    </row>
    <row r="3877" spans="1:17" ht="24.9" customHeight="1">
      <c r="A3877" s="20">
        <v>527</v>
      </c>
      <c r="B3877" s="20" t="s">
        <v>8255</v>
      </c>
      <c r="C3877" s="20"/>
      <c r="D3877" s="20" t="s">
        <v>48</v>
      </c>
      <c r="E3877" s="19" t="str">
        <f>VLOOKUP(D3877,'لیست پرسنل'!$B$2:$E$1020,3,FALSE)</f>
        <v>فکورصنعت</v>
      </c>
      <c r="F3877" s="19" t="str">
        <f>VLOOKUP(D3877,'لیست پرسنل'!$B$2:$E$1020,4,FALSE)</f>
        <v>سرپرست آی تی</v>
      </c>
      <c r="G3877" s="127">
        <f>VLOOKUP(D3877,'لیست پرسنل'!$B$2:$F$1020,2,FALSE)</f>
        <v>2210</v>
      </c>
      <c r="H3877" s="130" t="s">
        <v>8213</v>
      </c>
      <c r="I3877" s="127"/>
      <c r="J3877" s="128" t="s">
        <v>1967</v>
      </c>
      <c r="K3877" s="127" t="s">
        <v>2846</v>
      </c>
      <c r="L3877" s="127" t="s">
        <v>8192</v>
      </c>
      <c r="M3877" s="127">
        <v>634020</v>
      </c>
      <c r="N3877" s="109"/>
      <c r="O3877" s="20"/>
      <c r="P3877" s="20"/>
      <c r="Q3877" s="20"/>
    </row>
    <row r="3878" spans="1:17" ht="24.9" customHeight="1">
      <c r="A3878" s="20">
        <v>527</v>
      </c>
      <c r="B3878" s="20" t="s">
        <v>8255</v>
      </c>
      <c r="C3878" s="20"/>
      <c r="D3878" s="20" t="s">
        <v>8265</v>
      </c>
      <c r="E3878" s="19" t="str">
        <f>VLOOKUP(D3878,'لیست پرسنل'!$B$2:$E$1020,3,FALSE)</f>
        <v>فراتحقیق سپاهان   </v>
      </c>
      <c r="F3878" s="19" t="str">
        <f>VLOOKUP(D3878,'لیست پرسنل'!$B$2:$E$1020,4,FALSE)</f>
        <v>نظارت</v>
      </c>
      <c r="G3878" s="127">
        <f>VLOOKUP(D3878,'لیست پرسنل'!$B$2:$F$1020,2,FALSE)</f>
        <v>996038</v>
      </c>
      <c r="H3878" s="130" t="s">
        <v>7948</v>
      </c>
      <c r="I3878" s="127"/>
      <c r="J3878" s="128" t="s">
        <v>737</v>
      </c>
      <c r="K3878" s="127" t="s">
        <v>8450</v>
      </c>
      <c r="L3878" s="127" t="s">
        <v>8176</v>
      </c>
      <c r="M3878" s="127">
        <v>636726</v>
      </c>
      <c r="N3878" s="109" t="s">
        <v>8172</v>
      </c>
      <c r="O3878" s="20"/>
      <c r="P3878" s="20"/>
      <c r="Q3878" s="20"/>
    </row>
    <row r="3879" spans="1:17" ht="24.9" customHeight="1">
      <c r="A3879" s="20">
        <v>527</v>
      </c>
      <c r="B3879" s="20" t="s">
        <v>8168</v>
      </c>
      <c r="C3879" s="20">
        <v>1</v>
      </c>
      <c r="D3879" s="20" t="s">
        <v>8172</v>
      </c>
      <c r="E3879" s="19" t="str">
        <f>VLOOKUP(D3879,'لیست پرسنل'!$B$2:$E$1020,3,FALSE)</f>
        <v>فکورصنعت</v>
      </c>
      <c r="F3879" s="19" t="str">
        <f>VLOOKUP(D3879,'لیست پرسنل'!$B$2:$E$1020,4,FALSE)</f>
        <v>رئیس سایت</v>
      </c>
      <c r="G3879" s="127">
        <f>VLOOKUP(D3879,'لیست پرسنل'!$B$2:$F$1020,2,FALSE)</f>
        <v>4040306</v>
      </c>
      <c r="H3879" s="130" t="s">
        <v>7948</v>
      </c>
      <c r="I3879" s="127" t="s">
        <v>8173</v>
      </c>
      <c r="J3879" s="128" t="s">
        <v>1967</v>
      </c>
      <c r="K3879" s="127" t="s">
        <v>2846</v>
      </c>
      <c r="L3879" s="127" t="s">
        <v>8186</v>
      </c>
      <c r="M3879" s="127">
        <v>634030</v>
      </c>
      <c r="N3879" s="109"/>
      <c r="O3879" s="20"/>
      <c r="P3879" s="20"/>
      <c r="Q3879" s="20"/>
    </row>
    <row r="3880" spans="1:17" ht="24.9" customHeight="1">
      <c r="A3880" s="20">
        <v>527</v>
      </c>
      <c r="B3880" s="20" t="s">
        <v>8168</v>
      </c>
      <c r="C3880" s="19">
        <v>1</v>
      </c>
      <c r="D3880" s="19" t="s">
        <v>8172</v>
      </c>
      <c r="E3880" s="19" t="str">
        <f>VLOOKUP(D3880,'لیست پرسنل'!$B$2:$E$1020,3,FALSE)</f>
        <v>فکورصنعت</v>
      </c>
      <c r="F3880" s="19" t="str">
        <f>VLOOKUP(D3880,'لیست پرسنل'!$B$2:$E$1020,4,FALSE)</f>
        <v>رئیس سایت</v>
      </c>
      <c r="G3880" s="127">
        <f>VLOOKUP(D3880,'لیست پرسنل'!$B$2:$F$1020,2,FALSE)</f>
        <v>4040306</v>
      </c>
      <c r="H3880" s="130" t="s">
        <v>7948</v>
      </c>
      <c r="I3880" s="127" t="s">
        <v>8173</v>
      </c>
      <c r="J3880" s="128" t="s">
        <v>3938</v>
      </c>
      <c r="K3880" s="128" t="s">
        <v>1458</v>
      </c>
      <c r="L3880" s="151" t="s">
        <v>6956</v>
      </c>
      <c r="M3880" s="127">
        <v>634354</v>
      </c>
      <c r="N3880" s="109"/>
      <c r="O3880" s="39"/>
      <c r="P3880" s="20"/>
      <c r="Q3880" s="20"/>
    </row>
    <row r="3881" spans="1:17" ht="24.9" customHeight="1">
      <c r="A3881" s="20">
        <v>527</v>
      </c>
      <c r="B3881" s="20" t="s">
        <v>8168</v>
      </c>
      <c r="C3881" s="20">
        <v>1</v>
      </c>
      <c r="D3881" s="20" t="s">
        <v>8172</v>
      </c>
      <c r="E3881" s="19" t="str">
        <f>VLOOKUP(D3881,'لیست پرسنل'!$B$2:$E$1020,3,FALSE)</f>
        <v>فکورصنعت</v>
      </c>
      <c r="F3881" s="19" t="str">
        <f>VLOOKUP(D3881,'لیست پرسنل'!$B$2:$E$1020,4,FALSE)</f>
        <v>رئیس سایت</v>
      </c>
      <c r="G3881" s="127">
        <f>VLOOKUP(D3881,'لیست پرسنل'!$B$2:$F$1020,2,FALSE)</f>
        <v>4040306</v>
      </c>
      <c r="H3881" s="130" t="s">
        <v>7948</v>
      </c>
      <c r="I3881" s="127" t="s">
        <v>8173</v>
      </c>
      <c r="J3881" s="128" t="s">
        <v>8207</v>
      </c>
      <c r="K3881" s="127" t="s">
        <v>8208</v>
      </c>
      <c r="L3881" s="127" t="s">
        <v>8209</v>
      </c>
      <c r="M3881" s="127">
        <v>636741</v>
      </c>
      <c r="N3881" s="109"/>
      <c r="O3881" s="20"/>
      <c r="P3881" s="20"/>
      <c r="Q3881" s="20"/>
    </row>
    <row r="3882" spans="1:17" ht="24.9" customHeight="1">
      <c r="A3882" s="20">
        <v>527</v>
      </c>
      <c r="B3882" s="20" t="s">
        <v>8168</v>
      </c>
      <c r="C3882" s="20">
        <v>1</v>
      </c>
      <c r="D3882" s="20" t="s">
        <v>8172</v>
      </c>
      <c r="E3882" s="19" t="str">
        <f>VLOOKUP(D3882,'لیست پرسنل'!$B$2:$E$1020,3,FALSE)</f>
        <v>فکورصنعت</v>
      </c>
      <c r="F3882" s="19" t="str">
        <f>VLOOKUP(D3882,'لیست پرسنل'!$B$2:$E$1020,4,FALSE)</f>
        <v>رئیس سایت</v>
      </c>
      <c r="G3882" s="127">
        <f>VLOOKUP(D3882,'لیست پرسنل'!$B$2:$F$1020,2,FALSE)</f>
        <v>4040306</v>
      </c>
      <c r="H3882" s="130" t="s">
        <v>7948</v>
      </c>
      <c r="I3882" s="127" t="s">
        <v>8173</v>
      </c>
      <c r="J3882" s="128" t="s">
        <v>3285</v>
      </c>
      <c r="K3882" s="127" t="s">
        <v>6591</v>
      </c>
      <c r="L3882" s="127" t="s">
        <v>8181</v>
      </c>
      <c r="M3882" s="127">
        <v>636723</v>
      </c>
      <c r="N3882" s="109"/>
      <c r="O3882" s="20"/>
      <c r="P3882" s="20"/>
      <c r="Q3882" s="20"/>
    </row>
    <row r="3883" spans="1:17" ht="24.9" customHeight="1">
      <c r="A3883" s="20">
        <v>527</v>
      </c>
      <c r="B3883" s="20" t="s">
        <v>8168</v>
      </c>
      <c r="C3883" s="20">
        <v>1</v>
      </c>
      <c r="D3883" s="20" t="s">
        <v>8172</v>
      </c>
      <c r="E3883" s="19" t="str">
        <f>VLOOKUP(D3883,'لیست پرسنل'!$B$2:$E$1020,3,FALSE)</f>
        <v>فکورصنعت</v>
      </c>
      <c r="F3883" s="19" t="str">
        <f>VLOOKUP(D3883,'لیست پرسنل'!$B$2:$E$1020,4,FALSE)</f>
        <v>رئیس سایت</v>
      </c>
      <c r="G3883" s="127">
        <f>VLOOKUP(D3883,'لیست پرسنل'!$B$2:$F$1020,2,FALSE)</f>
        <v>4040306</v>
      </c>
      <c r="H3883" s="130" t="s">
        <v>7948</v>
      </c>
      <c r="I3883" s="127" t="s">
        <v>8173</v>
      </c>
      <c r="J3883" s="128" t="s">
        <v>3476</v>
      </c>
      <c r="K3883" s="127" t="s">
        <v>8179</v>
      </c>
      <c r="L3883" s="127" t="s">
        <v>8180</v>
      </c>
      <c r="M3883" s="127">
        <v>636722</v>
      </c>
      <c r="N3883" s="109"/>
      <c r="O3883" s="20"/>
      <c r="P3883" s="20"/>
      <c r="Q3883" s="20"/>
    </row>
    <row r="3884" spans="1:17" ht="24.9" customHeight="1">
      <c r="A3884" s="20">
        <v>527</v>
      </c>
      <c r="B3884" s="20" t="s">
        <v>8168</v>
      </c>
      <c r="C3884" s="20">
        <v>1</v>
      </c>
      <c r="D3884" s="20" t="s">
        <v>8172</v>
      </c>
      <c r="E3884" s="19" t="str">
        <f>VLOOKUP(D3884,'لیست پرسنل'!$B$2:$E$1020,3,FALSE)</f>
        <v>فکورصنعت</v>
      </c>
      <c r="F3884" s="19" t="str">
        <f>VLOOKUP(D3884,'لیست پرسنل'!$B$2:$E$1020,4,FALSE)</f>
        <v>رئیس سایت</v>
      </c>
      <c r="G3884" s="127">
        <f>VLOOKUP(D3884,'لیست پرسنل'!$B$2:$F$1020,2,FALSE)</f>
        <v>4040306</v>
      </c>
      <c r="H3884" s="130" t="s">
        <v>7948</v>
      </c>
      <c r="I3884" s="127" t="s">
        <v>8173</v>
      </c>
      <c r="J3884" s="128" t="s">
        <v>571</v>
      </c>
      <c r="K3884" s="127" t="s">
        <v>8204</v>
      </c>
      <c r="L3884" s="127" t="s">
        <v>466</v>
      </c>
      <c r="M3884" s="127">
        <v>636406</v>
      </c>
      <c r="N3884" s="109"/>
      <c r="O3884" s="20"/>
      <c r="P3884" s="20"/>
      <c r="Q3884" s="20"/>
    </row>
    <row r="3885" spans="1:17" ht="24.9" customHeight="1">
      <c r="A3885" s="20">
        <v>527</v>
      </c>
      <c r="B3885" s="20" t="s">
        <v>8168</v>
      </c>
      <c r="C3885" s="20">
        <v>1</v>
      </c>
      <c r="D3885" s="20" t="s">
        <v>8172</v>
      </c>
      <c r="E3885" s="19" t="str">
        <f>VLOOKUP(D3885,'لیست پرسنل'!$B$2:$E$1020,3,FALSE)</f>
        <v>فکورصنعت</v>
      </c>
      <c r="F3885" s="19" t="str">
        <f>VLOOKUP(D3885,'لیست پرسنل'!$B$2:$E$1020,4,FALSE)</f>
        <v>رئیس سایت</v>
      </c>
      <c r="G3885" s="127">
        <f>VLOOKUP(D3885,'لیست پرسنل'!$B$2:$F$1020,2,FALSE)</f>
        <v>4040306</v>
      </c>
      <c r="H3885" s="130" t="s">
        <v>7948</v>
      </c>
      <c r="I3885" s="127" t="s">
        <v>8173</v>
      </c>
      <c r="J3885" s="128" t="s">
        <v>5618</v>
      </c>
      <c r="K3885" s="127" t="s">
        <v>8211</v>
      </c>
      <c r="L3885" s="127" t="s">
        <v>8195</v>
      </c>
      <c r="M3885" s="127">
        <v>636422</v>
      </c>
      <c r="N3885" s="109"/>
      <c r="O3885" s="20"/>
      <c r="P3885" s="20"/>
      <c r="Q3885" s="20"/>
    </row>
    <row r="3886" spans="1:17" ht="24.9" customHeight="1">
      <c r="A3886" s="20">
        <v>527</v>
      </c>
      <c r="B3886" s="20" t="s">
        <v>8168</v>
      </c>
      <c r="C3886" s="20">
        <v>1</v>
      </c>
      <c r="D3886" s="20" t="s">
        <v>8172</v>
      </c>
      <c r="E3886" s="19" t="str">
        <f>VLOOKUP(D3886,'لیست پرسنل'!$B$2:$E$1020,3,FALSE)</f>
        <v>فکورصنعت</v>
      </c>
      <c r="F3886" s="19" t="str">
        <f>VLOOKUP(D3886,'لیست پرسنل'!$B$2:$E$1020,4,FALSE)</f>
        <v>رئیس سایت</v>
      </c>
      <c r="G3886" s="127">
        <f>VLOOKUP(D3886,'لیست پرسنل'!$B$2:$F$1020,2,FALSE)</f>
        <v>4040306</v>
      </c>
      <c r="H3886" s="130" t="s">
        <v>7948</v>
      </c>
      <c r="I3886" s="127" t="s">
        <v>8173</v>
      </c>
      <c r="J3886" s="128" t="s">
        <v>1977</v>
      </c>
      <c r="K3886" s="127" t="s">
        <v>8182</v>
      </c>
      <c r="L3886" s="127"/>
      <c r="M3886" s="127">
        <v>631436</v>
      </c>
      <c r="N3886" s="109"/>
      <c r="O3886" s="20"/>
      <c r="P3886" s="20"/>
      <c r="Q3886" s="20"/>
    </row>
    <row r="3887" spans="1:17" ht="24.9" customHeight="1">
      <c r="A3887" s="20">
        <v>527</v>
      </c>
      <c r="B3887" s="20" t="s">
        <v>8168</v>
      </c>
      <c r="C3887" s="20">
        <v>1</v>
      </c>
      <c r="D3887" s="20" t="s">
        <v>8172</v>
      </c>
      <c r="E3887" s="19" t="str">
        <f>VLOOKUP(D3887,'لیست پرسنل'!$B$2:$E$1020,3,FALSE)</f>
        <v>فکورصنعت</v>
      </c>
      <c r="F3887" s="19" t="str">
        <f>VLOOKUP(D3887,'لیست پرسنل'!$B$2:$E$1020,4,FALSE)</f>
        <v>رئیس سایت</v>
      </c>
      <c r="G3887" s="127">
        <f>VLOOKUP(D3887,'لیست پرسنل'!$B$2:$F$1020,2,FALSE)</f>
        <v>4040306</v>
      </c>
      <c r="H3887" s="128" t="s">
        <v>7947</v>
      </c>
      <c r="I3887" s="128" t="s">
        <v>8173</v>
      </c>
      <c r="J3887" s="128" t="s">
        <v>3532</v>
      </c>
      <c r="K3887" s="128" t="s">
        <v>4802</v>
      </c>
      <c r="L3887" s="128" t="s">
        <v>4803</v>
      </c>
      <c r="M3887" s="128">
        <v>630658</v>
      </c>
      <c r="N3887" s="108"/>
      <c r="O3887" s="20"/>
      <c r="P3887" s="20"/>
      <c r="Q3887" s="20"/>
    </row>
    <row r="3888" spans="1:17" ht="24.9" customHeight="1">
      <c r="A3888" s="20">
        <v>527</v>
      </c>
      <c r="B3888" s="20" t="s">
        <v>8168</v>
      </c>
      <c r="C3888" s="20">
        <v>2</v>
      </c>
      <c r="D3888" s="20" t="s">
        <v>8215</v>
      </c>
      <c r="E3888" s="19" t="str">
        <f>VLOOKUP(D3888,'لیست پرسنل'!$B$2:$E$1020,3,FALSE)</f>
        <v>فکورصنعت</v>
      </c>
      <c r="F3888" s="19" t="str">
        <f>VLOOKUP(D3888,'لیست پرسنل'!$B$2:$E$1020,4,FALSE)</f>
        <v>ایمنی</v>
      </c>
      <c r="G3888" s="127" t="str">
        <f>VLOOKUP(D3888,'لیست پرسنل'!$B$2:$F$1020,2,FALSE)</f>
        <v>1947</v>
      </c>
      <c r="H3888" s="127" t="s">
        <v>7948</v>
      </c>
      <c r="I3888" s="127" t="s">
        <v>8210</v>
      </c>
      <c r="J3888" s="128" t="s">
        <v>3383</v>
      </c>
      <c r="K3888" s="127" t="s">
        <v>5392</v>
      </c>
      <c r="L3888" s="127" t="s">
        <v>8399</v>
      </c>
      <c r="M3888" s="127">
        <v>636997</v>
      </c>
      <c r="N3888" s="109"/>
      <c r="O3888" s="20"/>
      <c r="P3888" s="20"/>
      <c r="Q3888" s="20"/>
    </row>
    <row r="3889" spans="1:17" ht="24.9" customHeight="1">
      <c r="A3889" s="20">
        <v>527</v>
      </c>
      <c r="B3889" s="20" t="s">
        <v>8168</v>
      </c>
      <c r="C3889" s="20">
        <v>2</v>
      </c>
      <c r="D3889" s="20" t="s">
        <v>8215</v>
      </c>
      <c r="E3889" s="19" t="str">
        <f>VLOOKUP(D3889,'لیست پرسنل'!$B$2:$E$1020,3,FALSE)</f>
        <v>فکورصنعت</v>
      </c>
      <c r="F3889" s="19" t="str">
        <f>VLOOKUP(D3889,'لیست پرسنل'!$B$2:$E$1020,4,FALSE)</f>
        <v>ایمنی</v>
      </c>
      <c r="G3889" s="127" t="str">
        <f>VLOOKUP(D3889,'لیست پرسنل'!$B$2:$F$1020,2,FALSE)</f>
        <v>1947</v>
      </c>
      <c r="H3889" s="130" t="s">
        <v>7948</v>
      </c>
      <c r="I3889" s="127" t="s">
        <v>8210</v>
      </c>
      <c r="J3889" s="128" t="s">
        <v>737</v>
      </c>
      <c r="K3889" s="127" t="s">
        <v>8450</v>
      </c>
      <c r="L3889" s="127" t="s">
        <v>8174</v>
      </c>
      <c r="M3889" s="127">
        <v>636724</v>
      </c>
      <c r="N3889" s="109"/>
      <c r="O3889" s="20"/>
      <c r="P3889" s="20"/>
      <c r="Q3889" s="20"/>
    </row>
    <row r="3890" spans="1:17" ht="24.9" customHeight="1">
      <c r="A3890" s="20">
        <v>527</v>
      </c>
      <c r="B3890" s="20" t="s">
        <v>8168</v>
      </c>
      <c r="C3890" s="20">
        <v>2</v>
      </c>
      <c r="D3890" s="20" t="s">
        <v>8215</v>
      </c>
      <c r="E3890" s="19" t="str">
        <f>VLOOKUP(D3890,'لیست پرسنل'!$B$2:$E$1020,3,FALSE)</f>
        <v>فکورصنعت</v>
      </c>
      <c r="F3890" s="19" t="str">
        <f>VLOOKUP(D3890,'لیست پرسنل'!$B$2:$E$1020,4,FALSE)</f>
        <v>ایمنی</v>
      </c>
      <c r="G3890" s="127" t="str">
        <f>VLOOKUP(D3890,'لیست پرسنل'!$B$2:$F$1020,2,FALSE)</f>
        <v>1947</v>
      </c>
      <c r="H3890" s="130" t="s">
        <v>7948</v>
      </c>
      <c r="I3890" s="127" t="s">
        <v>8210</v>
      </c>
      <c r="J3890" s="128" t="s">
        <v>1967</v>
      </c>
      <c r="K3890" s="127" t="s">
        <v>2846</v>
      </c>
      <c r="L3890" s="127" t="s">
        <v>8185</v>
      </c>
      <c r="M3890" s="127">
        <v>634050</v>
      </c>
      <c r="N3890" s="109"/>
      <c r="O3890" s="20"/>
      <c r="P3890" s="20"/>
      <c r="Q3890" s="20"/>
    </row>
    <row r="3891" spans="1:17" ht="24.9" customHeight="1">
      <c r="A3891" s="20">
        <v>527</v>
      </c>
      <c r="B3891" s="20" t="s">
        <v>8168</v>
      </c>
      <c r="C3891" s="20">
        <v>2</v>
      </c>
      <c r="D3891" s="20" t="s">
        <v>8215</v>
      </c>
      <c r="E3891" s="19" t="str">
        <f>VLOOKUP(D3891,'لیست پرسنل'!$B$2:$E$1020,3,FALSE)</f>
        <v>فکورصنعت</v>
      </c>
      <c r="F3891" s="19" t="str">
        <f>VLOOKUP(D3891,'لیست پرسنل'!$B$2:$E$1020,4,FALSE)</f>
        <v>ایمنی</v>
      </c>
      <c r="G3891" s="127" t="str">
        <f>VLOOKUP(D3891,'لیست پرسنل'!$B$2:$F$1020,2,FALSE)</f>
        <v>1947</v>
      </c>
      <c r="H3891" s="130" t="s">
        <v>7948</v>
      </c>
      <c r="I3891" s="127" t="s">
        <v>8210</v>
      </c>
      <c r="J3891" s="128" t="s">
        <v>5618</v>
      </c>
      <c r="K3891" s="127" t="s">
        <v>8211</v>
      </c>
      <c r="L3891" s="127" t="s">
        <v>8203</v>
      </c>
      <c r="M3891" s="127">
        <v>635888</v>
      </c>
      <c r="N3891" s="109"/>
      <c r="O3891" s="20"/>
      <c r="P3891" s="20"/>
      <c r="Q3891" s="20"/>
    </row>
    <row r="3892" spans="1:17" ht="24.9" customHeight="1">
      <c r="A3892" s="20">
        <v>527</v>
      </c>
      <c r="B3892" s="20" t="s">
        <v>8168</v>
      </c>
      <c r="C3892" s="20">
        <v>2</v>
      </c>
      <c r="D3892" s="20" t="s">
        <v>8215</v>
      </c>
      <c r="E3892" s="19" t="str">
        <f>VLOOKUP(D3892,'لیست پرسنل'!$B$2:$E$1020,3,FALSE)</f>
        <v>فکورصنعت</v>
      </c>
      <c r="F3892" s="19" t="str">
        <f>VLOOKUP(D3892,'لیست پرسنل'!$B$2:$E$1020,4,FALSE)</f>
        <v>ایمنی</v>
      </c>
      <c r="G3892" s="127" t="str">
        <f>VLOOKUP(D3892,'لیست پرسنل'!$B$2:$F$1020,2,FALSE)</f>
        <v>1947</v>
      </c>
      <c r="H3892" s="130" t="s">
        <v>7948</v>
      </c>
      <c r="I3892" s="127" t="s">
        <v>8210</v>
      </c>
      <c r="J3892" s="128" t="s">
        <v>1977</v>
      </c>
      <c r="K3892" s="127" t="s">
        <v>8182</v>
      </c>
      <c r="L3892" s="127"/>
      <c r="M3892" s="127">
        <v>631725</v>
      </c>
      <c r="N3892" s="109"/>
      <c r="O3892" s="20"/>
      <c r="P3892" s="20"/>
      <c r="Q3892" s="20"/>
    </row>
    <row r="3893" spans="1:17" ht="24.9" customHeight="1">
      <c r="A3893" s="20">
        <v>527</v>
      </c>
      <c r="B3893" s="20" t="s">
        <v>8168</v>
      </c>
      <c r="C3893" s="20">
        <v>2</v>
      </c>
      <c r="D3893" s="20" t="s">
        <v>8215</v>
      </c>
      <c r="E3893" s="19" t="str">
        <f>VLOOKUP(D3893,'لیست پرسنل'!$B$2:$E$1020,3,FALSE)</f>
        <v>فکورصنعت</v>
      </c>
      <c r="F3893" s="19" t="str">
        <f>VLOOKUP(D3893,'لیست پرسنل'!$B$2:$E$1020,4,FALSE)</f>
        <v>ایمنی</v>
      </c>
      <c r="G3893" s="127" t="str">
        <f>VLOOKUP(D3893,'لیست پرسنل'!$B$2:$F$1020,2,FALSE)</f>
        <v>1947</v>
      </c>
      <c r="H3893" s="128" t="s">
        <v>7947</v>
      </c>
      <c r="I3893" s="127" t="s">
        <v>8210</v>
      </c>
      <c r="J3893" s="128" t="s">
        <v>571</v>
      </c>
      <c r="K3893" s="127" t="s">
        <v>8204</v>
      </c>
      <c r="L3893" s="127" t="s">
        <v>466</v>
      </c>
      <c r="M3893" s="127">
        <v>636408</v>
      </c>
      <c r="N3893" s="109"/>
      <c r="O3893" s="20"/>
      <c r="P3893" s="20"/>
      <c r="Q3893" s="20"/>
    </row>
    <row r="3894" spans="1:17" ht="24.9" customHeight="1">
      <c r="A3894" s="20">
        <v>527</v>
      </c>
      <c r="B3894" s="20" t="s">
        <v>8168</v>
      </c>
      <c r="C3894" s="20">
        <v>3</v>
      </c>
      <c r="D3894" s="20" t="s">
        <v>382</v>
      </c>
      <c r="E3894" s="19" t="str">
        <f>VLOOKUP(D3894,'لیست پرسنل'!$B$2:$E$1020,3,FALSE)</f>
        <v>فکورصنعت</v>
      </c>
      <c r="F3894" s="19" t="str">
        <f>VLOOKUP(D3894,'لیست پرسنل'!$B$2:$E$1020,4,FALSE)</f>
        <v>سیویل</v>
      </c>
      <c r="G3894" s="127">
        <f>VLOOKUP(D3894,'لیست پرسنل'!$B$2:$F$1020,2,FALSE)</f>
        <v>4001101</v>
      </c>
      <c r="H3894" s="130" t="s">
        <v>7948</v>
      </c>
      <c r="I3894" s="127" t="s">
        <v>8169</v>
      </c>
      <c r="J3894" s="128" t="s">
        <v>737</v>
      </c>
      <c r="K3894" s="127" t="s">
        <v>8177</v>
      </c>
      <c r="L3894" s="127" t="s">
        <v>8178</v>
      </c>
      <c r="M3894" s="127">
        <v>636727</v>
      </c>
      <c r="N3894" s="109"/>
      <c r="O3894" s="20"/>
      <c r="P3894" s="20"/>
      <c r="Q3894" s="20"/>
    </row>
    <row r="3895" spans="1:17" ht="24.9" customHeight="1">
      <c r="A3895" s="20">
        <v>527</v>
      </c>
      <c r="B3895" s="20" t="s">
        <v>8168</v>
      </c>
      <c r="C3895" s="20">
        <v>3</v>
      </c>
      <c r="D3895" s="31" t="s">
        <v>382</v>
      </c>
      <c r="E3895" s="19" t="str">
        <f>VLOOKUP(D3895,'لیست پرسنل'!$B$2:$E$1020,3,FALSE)</f>
        <v>فکورصنعت</v>
      </c>
      <c r="F3895" s="19" t="str">
        <f>VLOOKUP(D3895,'لیست پرسنل'!$B$2:$E$1020,4,FALSE)</f>
        <v>سیویل</v>
      </c>
      <c r="G3895" s="127">
        <f>VLOOKUP(D3895,'لیست پرسنل'!$B$2:$F$1020,2,FALSE)</f>
        <v>4001101</v>
      </c>
      <c r="H3895" s="130" t="s">
        <v>7948</v>
      </c>
      <c r="I3895" s="127" t="s">
        <v>8169</v>
      </c>
      <c r="J3895" s="126" t="s">
        <v>368</v>
      </c>
      <c r="K3895" s="127" t="s">
        <v>2846</v>
      </c>
      <c r="L3895" s="127" t="s">
        <v>1371</v>
      </c>
      <c r="M3895" s="127">
        <v>622568</v>
      </c>
      <c r="N3895" s="109"/>
      <c r="O3895" s="19"/>
      <c r="P3895" s="20"/>
      <c r="Q3895" s="20"/>
    </row>
    <row r="3896" spans="1:17" ht="24.9" customHeight="1">
      <c r="A3896" s="20">
        <v>527</v>
      </c>
      <c r="B3896" s="20" t="s">
        <v>8168</v>
      </c>
      <c r="C3896" s="20">
        <v>3</v>
      </c>
      <c r="D3896" s="31" t="s">
        <v>382</v>
      </c>
      <c r="E3896" s="19" t="str">
        <f>VLOOKUP(D3896,'لیست پرسنل'!$B$2:$E$1020,3,FALSE)</f>
        <v>فکورصنعت</v>
      </c>
      <c r="F3896" s="19" t="str">
        <f>VLOOKUP(D3896,'لیست پرسنل'!$B$2:$E$1020,4,FALSE)</f>
        <v>سیویل</v>
      </c>
      <c r="G3896" s="127">
        <f>VLOOKUP(D3896,'لیست پرسنل'!$B$2:$F$1020,2,FALSE)</f>
        <v>4001101</v>
      </c>
      <c r="H3896" s="130" t="s">
        <v>7948</v>
      </c>
      <c r="I3896" s="127" t="s">
        <v>8169</v>
      </c>
      <c r="J3896" s="128" t="s">
        <v>571</v>
      </c>
      <c r="K3896" s="128"/>
      <c r="L3896" s="128"/>
      <c r="M3896" s="127">
        <v>626208</v>
      </c>
      <c r="N3896" s="109"/>
      <c r="O3896" s="19"/>
      <c r="P3896" s="20"/>
      <c r="Q3896" s="20"/>
    </row>
    <row r="3897" spans="1:17" ht="24.9" customHeight="1">
      <c r="A3897" s="20">
        <v>527</v>
      </c>
      <c r="B3897" s="20" t="s">
        <v>8168</v>
      </c>
      <c r="C3897" s="20">
        <v>3</v>
      </c>
      <c r="D3897" s="31" t="s">
        <v>382</v>
      </c>
      <c r="E3897" s="19" t="str">
        <f>VLOOKUP(D3897,'لیست پرسنل'!$B$2:$E$1020,3,FALSE)</f>
        <v>فکورصنعت</v>
      </c>
      <c r="F3897" s="19" t="str">
        <f>VLOOKUP(D3897,'لیست پرسنل'!$B$2:$E$1020,4,FALSE)</f>
        <v>سیویل</v>
      </c>
      <c r="G3897" s="127">
        <f>VLOOKUP(D3897,'لیست پرسنل'!$B$2:$F$1020,2,FALSE)</f>
        <v>4001101</v>
      </c>
      <c r="H3897" s="130" t="s">
        <v>7948</v>
      </c>
      <c r="I3897" s="127" t="s">
        <v>8169</v>
      </c>
      <c r="J3897" s="128" t="s">
        <v>2686</v>
      </c>
      <c r="K3897" s="128" t="s">
        <v>2922</v>
      </c>
      <c r="L3897" s="128" t="s">
        <v>3075</v>
      </c>
      <c r="M3897" s="128">
        <v>626559</v>
      </c>
      <c r="N3897" s="108"/>
      <c r="O3897" s="20"/>
      <c r="P3897" s="20"/>
      <c r="Q3897" s="20"/>
    </row>
    <row r="3898" spans="1:17" ht="24.9" customHeight="1">
      <c r="A3898" s="20">
        <v>527</v>
      </c>
      <c r="B3898" s="20" t="s">
        <v>8168</v>
      </c>
      <c r="C3898" s="20">
        <v>4</v>
      </c>
      <c r="D3898" s="20" t="s">
        <v>8292</v>
      </c>
      <c r="E3898" s="19" t="str">
        <f>VLOOKUP(D3898,'لیست پرسنل'!$B$2:$E$1020,3,FALSE)</f>
        <v>گهر کوشان سپهر</v>
      </c>
      <c r="F3898" s="19" t="str">
        <f>VLOOKUP(D3898,'لیست پرسنل'!$B$2:$E$1020,4,FALSE)</f>
        <v>نقشه برداری</v>
      </c>
      <c r="G3898" s="127">
        <f>VLOOKUP(D3898,'لیست پرسنل'!$B$2:$F$1020,2,FALSE)</f>
        <v>21075</v>
      </c>
      <c r="H3898" s="130" t="s">
        <v>7948</v>
      </c>
      <c r="I3898" s="127" t="s">
        <v>8293</v>
      </c>
      <c r="J3898" s="128" t="s">
        <v>1967</v>
      </c>
      <c r="K3898" s="127" t="s">
        <v>2846</v>
      </c>
      <c r="L3898" s="127" t="s">
        <v>8190</v>
      </c>
      <c r="M3898" s="127">
        <v>634045</v>
      </c>
      <c r="N3898" s="109"/>
      <c r="O3898" s="20"/>
      <c r="P3898" s="20"/>
      <c r="Q3898" s="20"/>
    </row>
    <row r="3899" spans="1:17" ht="24.9" customHeight="1">
      <c r="A3899" s="20">
        <v>527</v>
      </c>
      <c r="B3899" s="20" t="s">
        <v>8168</v>
      </c>
      <c r="C3899" s="20">
        <v>4</v>
      </c>
      <c r="D3899" s="20" t="s">
        <v>8292</v>
      </c>
      <c r="E3899" s="19" t="str">
        <f>VLOOKUP(D3899,'لیست پرسنل'!$B$2:$E$1020,3,FALSE)</f>
        <v>گهر کوشان سپهر</v>
      </c>
      <c r="F3899" s="19" t="str">
        <f>VLOOKUP(D3899,'لیست پرسنل'!$B$2:$E$1020,4,FALSE)</f>
        <v>نقشه برداری</v>
      </c>
      <c r="G3899" s="127">
        <f>VLOOKUP(D3899,'لیست پرسنل'!$B$2:$F$1020,2,FALSE)</f>
        <v>21075</v>
      </c>
      <c r="H3899" s="130" t="s">
        <v>7948</v>
      </c>
      <c r="I3899" s="127" t="s">
        <v>8293</v>
      </c>
      <c r="J3899" s="128" t="s">
        <v>571</v>
      </c>
      <c r="K3899" s="127" t="s">
        <v>8204</v>
      </c>
      <c r="L3899" s="127" t="s">
        <v>466</v>
      </c>
      <c r="M3899" s="127">
        <v>636415</v>
      </c>
      <c r="N3899" s="109"/>
      <c r="O3899" s="20"/>
      <c r="P3899" s="20"/>
      <c r="Q3899" s="20"/>
    </row>
    <row r="3900" spans="1:17" ht="24.9" customHeight="1">
      <c r="A3900" s="20">
        <v>527</v>
      </c>
      <c r="B3900" s="20" t="s">
        <v>8168</v>
      </c>
      <c r="C3900" s="20">
        <v>4</v>
      </c>
      <c r="D3900" s="20" t="s">
        <v>8292</v>
      </c>
      <c r="E3900" s="19" t="str">
        <f>VLOOKUP(D3900,'لیست پرسنل'!$B$2:$E$1020,3,FALSE)</f>
        <v>گهر کوشان سپهر</v>
      </c>
      <c r="F3900" s="19" t="str">
        <f>VLOOKUP(D3900,'لیست پرسنل'!$B$2:$E$1020,4,FALSE)</f>
        <v>نقشه برداری</v>
      </c>
      <c r="G3900" s="127">
        <f>VLOOKUP(D3900,'لیست پرسنل'!$B$2:$F$1020,2,FALSE)</f>
        <v>21075</v>
      </c>
      <c r="H3900" s="130" t="s">
        <v>7948</v>
      </c>
      <c r="I3900" s="127" t="s">
        <v>8293</v>
      </c>
      <c r="J3900" s="128" t="s">
        <v>5618</v>
      </c>
      <c r="K3900" s="127" t="s">
        <v>8211</v>
      </c>
      <c r="L3900" s="127" t="s">
        <v>8199</v>
      </c>
      <c r="M3900" s="127">
        <v>636423</v>
      </c>
      <c r="N3900" s="109"/>
      <c r="O3900" s="20"/>
      <c r="P3900" s="20"/>
      <c r="Q3900" s="20"/>
    </row>
    <row r="3901" spans="1:17" ht="24.9" customHeight="1">
      <c r="A3901" s="20">
        <v>527</v>
      </c>
      <c r="B3901" s="20" t="s">
        <v>8168</v>
      </c>
      <c r="C3901" s="20">
        <v>5</v>
      </c>
      <c r="D3901" s="20" t="s">
        <v>8252</v>
      </c>
      <c r="E3901" s="19" t="str">
        <f>VLOOKUP(D3901,'لیست پرسنل'!$B$2:$E$1020,3,FALSE)</f>
        <v>گهر کوشان سپهر</v>
      </c>
      <c r="F3901" s="19" t="str">
        <f>VLOOKUP(D3901,'لیست پرسنل'!$B$2:$E$1020,4,FALSE)</f>
        <v>کنترل پروژه</v>
      </c>
      <c r="G3901" s="127">
        <f>VLOOKUP(D3901,'لیست پرسنل'!$B$2:$F$1020,2,FALSE)</f>
        <v>21067</v>
      </c>
      <c r="H3901" s="130" t="s">
        <v>7948</v>
      </c>
      <c r="I3901" s="127" t="s">
        <v>8254</v>
      </c>
      <c r="J3901" s="128" t="s">
        <v>737</v>
      </c>
      <c r="K3901" s="127" t="s">
        <v>8183</v>
      </c>
      <c r="L3901" s="127" t="s">
        <v>8184</v>
      </c>
      <c r="M3901" s="127">
        <v>610664</v>
      </c>
      <c r="N3901" s="109"/>
      <c r="O3901" s="20"/>
      <c r="P3901" s="20"/>
      <c r="Q3901" s="20"/>
    </row>
    <row r="3902" spans="1:17" ht="24.9" customHeight="1">
      <c r="A3902" s="20">
        <v>527</v>
      </c>
      <c r="B3902" s="20" t="s">
        <v>8168</v>
      </c>
      <c r="C3902" s="20">
        <v>5</v>
      </c>
      <c r="D3902" s="20" t="s">
        <v>8252</v>
      </c>
      <c r="E3902" s="19" t="str">
        <f>VLOOKUP(D3902,'لیست پرسنل'!$B$2:$E$1020,3,FALSE)</f>
        <v>گهر کوشان سپهر</v>
      </c>
      <c r="F3902" s="19" t="str">
        <f>VLOOKUP(D3902,'لیست پرسنل'!$B$2:$E$1020,4,FALSE)</f>
        <v>کنترل پروژه</v>
      </c>
      <c r="G3902" s="127">
        <f>VLOOKUP(D3902,'لیست پرسنل'!$B$2:$F$1020,2,FALSE)</f>
        <v>21067</v>
      </c>
      <c r="H3902" s="130" t="s">
        <v>7947</v>
      </c>
      <c r="I3902" s="127" t="s">
        <v>8254</v>
      </c>
      <c r="J3902" s="128" t="s">
        <v>1967</v>
      </c>
      <c r="K3902" s="127" t="s">
        <v>2846</v>
      </c>
      <c r="L3902" s="127" t="s">
        <v>8189</v>
      </c>
      <c r="M3902" s="127">
        <v>634049</v>
      </c>
      <c r="N3902" s="109" t="s">
        <v>8172</v>
      </c>
      <c r="O3902" s="20"/>
      <c r="P3902" s="20"/>
      <c r="Q3902" s="20"/>
    </row>
    <row r="3903" spans="1:17" ht="24.9" customHeight="1">
      <c r="A3903" s="20">
        <v>527</v>
      </c>
      <c r="B3903" s="20" t="s">
        <v>8168</v>
      </c>
      <c r="C3903" s="20">
        <v>5</v>
      </c>
      <c r="D3903" s="20" t="s">
        <v>8252</v>
      </c>
      <c r="E3903" s="19" t="str">
        <f>VLOOKUP(D3903,'لیست پرسنل'!$B$2:$E$1020,3,FALSE)</f>
        <v>گهر کوشان سپهر</v>
      </c>
      <c r="F3903" s="19" t="str">
        <f>VLOOKUP(D3903,'لیست پرسنل'!$B$2:$E$1020,4,FALSE)</f>
        <v>کنترل پروژه</v>
      </c>
      <c r="G3903" s="127">
        <f>VLOOKUP(D3903,'لیست پرسنل'!$B$2:$F$1020,2,FALSE)</f>
        <v>21067</v>
      </c>
      <c r="H3903" s="130" t="s">
        <v>7947</v>
      </c>
      <c r="I3903" s="127" t="s">
        <v>8254</v>
      </c>
      <c r="J3903" s="128" t="s">
        <v>571</v>
      </c>
      <c r="K3903" s="127" t="s">
        <v>8204</v>
      </c>
      <c r="L3903" s="127" t="s">
        <v>466</v>
      </c>
      <c r="M3903" s="127">
        <v>636410</v>
      </c>
      <c r="N3903" s="109" t="s">
        <v>8172</v>
      </c>
      <c r="O3903" s="20"/>
      <c r="P3903" s="20"/>
      <c r="Q3903" s="20"/>
    </row>
    <row r="3904" spans="1:17" ht="24.9" customHeight="1">
      <c r="A3904" s="20">
        <v>527</v>
      </c>
      <c r="B3904" s="20" t="s">
        <v>8168</v>
      </c>
      <c r="C3904" s="20">
        <v>5</v>
      </c>
      <c r="D3904" s="20" t="s">
        <v>8252</v>
      </c>
      <c r="E3904" s="19" t="str">
        <f>VLOOKUP(D3904,'لیست پرسنل'!$B$2:$E$1020,3,FALSE)</f>
        <v>گهر کوشان سپهر</v>
      </c>
      <c r="F3904" s="19" t="str">
        <f>VLOOKUP(D3904,'لیست پرسنل'!$B$2:$E$1020,4,FALSE)</f>
        <v>کنترل پروژه</v>
      </c>
      <c r="G3904" s="127">
        <f>VLOOKUP(D3904,'لیست پرسنل'!$B$2:$F$1020,2,FALSE)</f>
        <v>21067</v>
      </c>
      <c r="H3904" s="130" t="s">
        <v>7947</v>
      </c>
      <c r="I3904" s="127" t="s">
        <v>8254</v>
      </c>
      <c r="J3904" s="128" t="s">
        <v>5618</v>
      </c>
      <c r="K3904" s="127" t="s">
        <v>8211</v>
      </c>
      <c r="L3904" s="127" t="s">
        <v>8212</v>
      </c>
      <c r="M3904" s="127">
        <v>636418</v>
      </c>
      <c r="N3904" s="109" t="s">
        <v>8172</v>
      </c>
      <c r="O3904" s="20"/>
      <c r="P3904" s="20"/>
      <c r="Q3904" s="20"/>
    </row>
    <row r="3905" spans="1:17" ht="24.9" customHeight="1">
      <c r="A3905" s="20">
        <v>527</v>
      </c>
      <c r="B3905" s="20" t="s">
        <v>8168</v>
      </c>
      <c r="C3905" s="20">
        <v>5</v>
      </c>
      <c r="D3905" s="20" t="s">
        <v>8252</v>
      </c>
      <c r="E3905" s="19" t="str">
        <f>VLOOKUP(D3905,'لیست پرسنل'!$B$2:$E$1020,3,FALSE)</f>
        <v>گهر کوشان سپهر</v>
      </c>
      <c r="F3905" s="19" t="str">
        <f>VLOOKUP(D3905,'لیست پرسنل'!$B$2:$E$1020,4,FALSE)</f>
        <v>کنترل پروژه</v>
      </c>
      <c r="G3905" s="127">
        <f>VLOOKUP(D3905,'لیست پرسنل'!$B$2:$F$1020,2,FALSE)</f>
        <v>21067</v>
      </c>
      <c r="H3905" s="130" t="s">
        <v>7947</v>
      </c>
      <c r="I3905" s="127" t="s">
        <v>8254</v>
      </c>
      <c r="J3905" s="128" t="s">
        <v>1977</v>
      </c>
      <c r="K3905" s="127" t="s">
        <v>8182</v>
      </c>
      <c r="L3905" s="127"/>
      <c r="M3905" s="127">
        <v>631435</v>
      </c>
      <c r="N3905" s="109" t="s">
        <v>8172</v>
      </c>
      <c r="O3905" s="20"/>
      <c r="P3905" s="20"/>
      <c r="Q3905" s="20"/>
    </row>
    <row r="3906" spans="1:17" ht="24.9" customHeight="1">
      <c r="A3906" s="20">
        <v>527</v>
      </c>
      <c r="B3906" s="20" t="s">
        <v>8168</v>
      </c>
      <c r="C3906" s="20">
        <v>6</v>
      </c>
      <c r="D3906" s="20" t="s">
        <v>8256</v>
      </c>
      <c r="E3906" s="19" t="str">
        <f>VLOOKUP(D3906,'لیست پرسنل'!$B$2:$E$1020,3,FALSE)</f>
        <v>گهر کوشان سپهر</v>
      </c>
      <c r="F3906" s="19" t="str">
        <f>VLOOKUP(D3906,'لیست پرسنل'!$B$2:$E$1020,4,FALSE)</f>
        <v>مسئول دفتر مدیر سایت</v>
      </c>
      <c r="G3906" s="127">
        <f>VLOOKUP(D3906,'لیست پرسنل'!$B$2:$F$1020,2,FALSE)</f>
        <v>21071</v>
      </c>
      <c r="H3906" s="130" t="s">
        <v>8257</v>
      </c>
      <c r="I3906" s="127" t="s">
        <v>8258</v>
      </c>
      <c r="J3906" s="128" t="s">
        <v>3383</v>
      </c>
      <c r="K3906" s="127" t="s">
        <v>8205</v>
      </c>
      <c r="L3906" s="127" t="s">
        <v>8206</v>
      </c>
      <c r="M3906" s="127">
        <v>636749</v>
      </c>
      <c r="N3906" s="109" t="s">
        <v>8172</v>
      </c>
      <c r="O3906" s="20"/>
      <c r="P3906" s="20"/>
      <c r="Q3906" s="20"/>
    </row>
    <row r="3907" spans="1:17" ht="24.9" customHeight="1">
      <c r="A3907" s="20">
        <v>527</v>
      </c>
      <c r="B3907" s="20" t="s">
        <v>8168</v>
      </c>
      <c r="C3907" s="20">
        <v>6</v>
      </c>
      <c r="D3907" s="20" t="s">
        <v>8256</v>
      </c>
      <c r="E3907" s="19" t="str">
        <f>VLOOKUP(D3907,'لیست پرسنل'!$B$2:$E$1020,3,FALSE)</f>
        <v>گهر کوشان سپهر</v>
      </c>
      <c r="F3907" s="19" t="str">
        <f>VLOOKUP(D3907,'لیست پرسنل'!$B$2:$E$1020,4,FALSE)</f>
        <v>مسئول دفتر مدیر سایت</v>
      </c>
      <c r="G3907" s="127">
        <f>VLOOKUP(D3907,'لیست پرسنل'!$B$2:$F$1020,2,FALSE)</f>
        <v>21071</v>
      </c>
      <c r="H3907" s="130" t="s">
        <v>8257</v>
      </c>
      <c r="I3907" s="127" t="s">
        <v>8258</v>
      </c>
      <c r="J3907" s="128" t="s">
        <v>1967</v>
      </c>
      <c r="K3907" s="127" t="s">
        <v>2846</v>
      </c>
      <c r="L3907" s="127" t="s">
        <v>8194</v>
      </c>
      <c r="M3907" s="127">
        <v>634042</v>
      </c>
      <c r="N3907" s="109" t="s">
        <v>8172</v>
      </c>
      <c r="O3907" s="20"/>
      <c r="P3907" s="20"/>
      <c r="Q3907" s="20"/>
    </row>
    <row r="3908" spans="1:17" ht="24.9" customHeight="1">
      <c r="A3908" s="20">
        <v>527</v>
      </c>
      <c r="B3908" s="20" t="s">
        <v>8168</v>
      </c>
      <c r="C3908" s="20">
        <v>6</v>
      </c>
      <c r="D3908" s="20" t="s">
        <v>8256</v>
      </c>
      <c r="E3908" s="19" t="str">
        <f>VLOOKUP(D3908,'لیست پرسنل'!$B$2:$E$1020,3,FALSE)</f>
        <v>گهر کوشان سپهر</v>
      </c>
      <c r="F3908" s="19" t="str">
        <f>VLOOKUP(D3908,'لیست پرسنل'!$B$2:$E$1020,4,FALSE)</f>
        <v>مسئول دفتر مدیر سایت</v>
      </c>
      <c r="G3908" s="127">
        <f>VLOOKUP(D3908,'لیست پرسنل'!$B$2:$F$1020,2,FALSE)</f>
        <v>21071</v>
      </c>
      <c r="H3908" s="130" t="s">
        <v>8257</v>
      </c>
      <c r="I3908" s="127" t="s">
        <v>8258</v>
      </c>
      <c r="J3908" s="128" t="s">
        <v>571</v>
      </c>
      <c r="K3908" s="127" t="s">
        <v>8204</v>
      </c>
      <c r="L3908" s="127" t="s">
        <v>466</v>
      </c>
      <c r="M3908" s="127">
        <v>636411</v>
      </c>
      <c r="N3908" s="109" t="s">
        <v>8172</v>
      </c>
      <c r="O3908" s="20"/>
      <c r="P3908" s="20"/>
      <c r="Q3908" s="20"/>
    </row>
    <row r="3909" spans="1:17" ht="24.9" customHeight="1">
      <c r="A3909" s="20">
        <v>527</v>
      </c>
      <c r="B3909" s="20" t="s">
        <v>8168</v>
      </c>
      <c r="C3909" s="20">
        <v>6</v>
      </c>
      <c r="D3909" s="20" t="s">
        <v>8256</v>
      </c>
      <c r="E3909" s="19" t="str">
        <f>VLOOKUP(D3909,'لیست پرسنل'!$B$2:$E$1020,3,FALSE)</f>
        <v>گهر کوشان سپهر</v>
      </c>
      <c r="F3909" s="19" t="str">
        <f>VLOOKUP(D3909,'لیست پرسنل'!$B$2:$E$1020,4,FALSE)</f>
        <v>مسئول دفتر مدیر سایت</v>
      </c>
      <c r="G3909" s="127">
        <f>VLOOKUP(D3909,'لیست پرسنل'!$B$2:$F$1020,2,FALSE)</f>
        <v>21071</v>
      </c>
      <c r="H3909" s="130" t="s">
        <v>8257</v>
      </c>
      <c r="I3909" s="127" t="s">
        <v>8258</v>
      </c>
      <c r="J3909" s="128" t="s">
        <v>5618</v>
      </c>
      <c r="K3909" s="127" t="s">
        <v>8211</v>
      </c>
      <c r="L3909" s="127" t="s">
        <v>8202</v>
      </c>
      <c r="M3909" s="127">
        <v>636424</v>
      </c>
      <c r="N3909" s="109" t="s">
        <v>8172</v>
      </c>
      <c r="O3909" s="20"/>
      <c r="P3909" s="20"/>
      <c r="Q3909" s="20"/>
    </row>
    <row r="3910" spans="1:17" ht="24.9" customHeight="1">
      <c r="A3910" s="20">
        <v>527</v>
      </c>
      <c r="B3910" s="20" t="s">
        <v>8168</v>
      </c>
      <c r="C3910" s="20">
        <v>6</v>
      </c>
      <c r="D3910" s="20" t="s">
        <v>8256</v>
      </c>
      <c r="E3910" s="19" t="str">
        <f>VLOOKUP(D3910,'لیست پرسنل'!$B$2:$E$1020,3,FALSE)</f>
        <v>گهر کوشان سپهر</v>
      </c>
      <c r="F3910" s="19" t="str">
        <f>VLOOKUP(D3910,'لیست پرسنل'!$B$2:$E$1020,4,FALSE)</f>
        <v>مسئول دفتر مدیر سایت</v>
      </c>
      <c r="G3910" s="127">
        <f>VLOOKUP(D3910,'لیست پرسنل'!$B$2:$F$1020,2,FALSE)</f>
        <v>21071</v>
      </c>
      <c r="H3910" s="127" t="s">
        <v>7948</v>
      </c>
      <c r="I3910" s="127" t="s">
        <v>8258</v>
      </c>
      <c r="J3910" s="128" t="s">
        <v>737</v>
      </c>
      <c r="K3910" s="127" t="s">
        <v>8400</v>
      </c>
      <c r="L3910" s="127" t="s">
        <v>8401</v>
      </c>
      <c r="M3910" s="127">
        <v>623216</v>
      </c>
      <c r="N3910" s="109"/>
      <c r="O3910" s="20"/>
      <c r="P3910" s="20"/>
      <c r="Q3910" s="20"/>
    </row>
    <row r="3911" spans="1:17" ht="24.9" customHeight="1">
      <c r="A3911" s="20">
        <v>527</v>
      </c>
      <c r="B3911" s="20" t="s">
        <v>8168</v>
      </c>
      <c r="C3911" s="20">
        <v>7</v>
      </c>
      <c r="D3911" s="20" t="s">
        <v>8283</v>
      </c>
      <c r="E3911" s="19" t="str">
        <f>VLOOKUP(D3911,'لیست پرسنل'!$B$2:$E$1020,3,FALSE)</f>
        <v>فکورصنعت</v>
      </c>
      <c r="F3911" s="19" t="str">
        <f>VLOOKUP(D3911,'لیست پرسنل'!$B$2:$E$1020,4,FALSE)</f>
        <v>انبار</v>
      </c>
      <c r="G3911" s="127">
        <f>VLOOKUP(D3911,'لیست پرسنل'!$B$2:$F$1020,2,FALSE)</f>
        <v>4040606</v>
      </c>
      <c r="H3911" s="130" t="s">
        <v>7948</v>
      </c>
      <c r="I3911" s="127" t="s">
        <v>8284</v>
      </c>
      <c r="J3911" s="128" t="s">
        <v>1967</v>
      </c>
      <c r="K3911" s="127" t="s">
        <v>2846</v>
      </c>
      <c r="L3911" s="127" t="s">
        <v>8188</v>
      </c>
      <c r="M3911" s="127">
        <v>634014</v>
      </c>
      <c r="N3911" s="109"/>
      <c r="O3911" s="20"/>
      <c r="P3911" s="20"/>
      <c r="Q3911" s="20"/>
    </row>
    <row r="3912" spans="1:17" ht="24.9" customHeight="1">
      <c r="A3912" s="20">
        <v>527</v>
      </c>
      <c r="B3912" s="20" t="s">
        <v>8168</v>
      </c>
      <c r="C3912" s="20">
        <v>7</v>
      </c>
      <c r="D3912" s="20" t="s">
        <v>8283</v>
      </c>
      <c r="E3912" s="19" t="str">
        <f>VLOOKUP(D3912,'لیست پرسنل'!$B$2:$E$1020,3,FALSE)</f>
        <v>فکورصنعت</v>
      </c>
      <c r="F3912" s="19" t="str">
        <f>VLOOKUP(D3912,'لیست پرسنل'!$B$2:$E$1020,4,FALSE)</f>
        <v>انبار</v>
      </c>
      <c r="G3912" s="127">
        <f>VLOOKUP(D3912,'لیست پرسنل'!$B$2:$F$1020,2,FALSE)</f>
        <v>4040606</v>
      </c>
      <c r="H3912" s="130" t="s">
        <v>7948</v>
      </c>
      <c r="I3912" s="127" t="s">
        <v>8284</v>
      </c>
      <c r="J3912" s="128" t="s">
        <v>571</v>
      </c>
      <c r="K3912" s="127" t="s">
        <v>8204</v>
      </c>
      <c r="L3912" s="127" t="s">
        <v>466</v>
      </c>
      <c r="M3912" s="127">
        <v>636412</v>
      </c>
      <c r="N3912" s="109"/>
      <c r="O3912" s="20"/>
      <c r="P3912" s="20"/>
      <c r="Q3912" s="20"/>
    </row>
    <row r="3913" spans="1:17" ht="24.9" customHeight="1">
      <c r="A3913" s="20">
        <v>527</v>
      </c>
      <c r="B3913" s="20" t="s">
        <v>8168</v>
      </c>
      <c r="C3913" s="20">
        <v>7</v>
      </c>
      <c r="D3913" s="20" t="s">
        <v>8283</v>
      </c>
      <c r="E3913" s="19" t="str">
        <f>VLOOKUP(D3913,'لیست پرسنل'!$B$2:$E$1020,3,FALSE)</f>
        <v>فکورصنعت</v>
      </c>
      <c r="F3913" s="19" t="str">
        <f>VLOOKUP(D3913,'لیست پرسنل'!$B$2:$E$1020,4,FALSE)</f>
        <v>انبار</v>
      </c>
      <c r="G3913" s="127">
        <f>VLOOKUP(D3913,'لیست پرسنل'!$B$2:$F$1020,2,FALSE)</f>
        <v>4040606</v>
      </c>
      <c r="H3913" s="130" t="s">
        <v>7948</v>
      </c>
      <c r="I3913" s="127" t="s">
        <v>8284</v>
      </c>
      <c r="J3913" s="128" t="s">
        <v>5618</v>
      </c>
      <c r="K3913" s="127" t="s">
        <v>8211</v>
      </c>
      <c r="L3913" s="127" t="s">
        <v>8200</v>
      </c>
      <c r="M3913" s="127">
        <v>636416</v>
      </c>
      <c r="N3913" s="109"/>
      <c r="O3913" s="20"/>
      <c r="P3913" s="20"/>
      <c r="Q3913" s="20"/>
    </row>
    <row r="3914" spans="1:17" ht="24.9" customHeight="1">
      <c r="A3914" s="20">
        <v>527</v>
      </c>
      <c r="B3914" s="20" t="s">
        <v>8168</v>
      </c>
      <c r="C3914" s="20">
        <v>8</v>
      </c>
      <c r="D3914" s="20" t="s">
        <v>8413</v>
      </c>
      <c r="E3914" s="19" t="str">
        <f>VLOOKUP(D3914,'لیست پرسنل'!$B$2:$E$1020,3,FALSE)</f>
        <v>فکورصنعت</v>
      </c>
      <c r="F3914" s="19" t="str">
        <f>VLOOKUP(D3914,'لیست پرسنل'!$B$2:$E$1020,4,FALSE)</f>
        <v>ایمنی</v>
      </c>
      <c r="G3914" s="127">
        <f>VLOOKUP(D3914,'لیست پرسنل'!$B$2:$F$1020,2,FALSE)</f>
        <v>4040707</v>
      </c>
      <c r="H3914" s="130" t="s">
        <v>7947</v>
      </c>
      <c r="I3914" s="127" t="s">
        <v>8414</v>
      </c>
      <c r="J3914" s="128" t="s">
        <v>1967</v>
      </c>
      <c r="K3914" s="127" t="s">
        <v>2846</v>
      </c>
      <c r="L3914" s="127" t="s">
        <v>8187</v>
      </c>
      <c r="M3914" s="127">
        <v>634048</v>
      </c>
      <c r="N3914" s="109"/>
      <c r="O3914" s="20"/>
      <c r="P3914" s="20"/>
      <c r="Q3914" s="20"/>
    </row>
    <row r="3915" spans="1:17" ht="24.9" customHeight="1">
      <c r="A3915" s="20">
        <v>527</v>
      </c>
      <c r="B3915" s="20" t="s">
        <v>8168</v>
      </c>
      <c r="C3915" s="20">
        <v>8</v>
      </c>
      <c r="D3915" s="20" t="s">
        <v>8413</v>
      </c>
      <c r="E3915" s="19" t="str">
        <f>VLOOKUP(D3915,'لیست پرسنل'!$B$2:$E$1020,3,FALSE)</f>
        <v>فکورصنعت</v>
      </c>
      <c r="F3915" s="19" t="str">
        <f>VLOOKUP(D3915,'لیست پرسنل'!$B$2:$E$1020,4,FALSE)</f>
        <v>ایمنی</v>
      </c>
      <c r="G3915" s="127">
        <f>VLOOKUP(D3915,'لیست پرسنل'!$B$2:$F$1020,2,FALSE)</f>
        <v>4040707</v>
      </c>
      <c r="H3915" s="130" t="s">
        <v>7947</v>
      </c>
      <c r="I3915" s="127" t="s">
        <v>8414</v>
      </c>
      <c r="J3915" s="128" t="s">
        <v>571</v>
      </c>
      <c r="K3915" s="127" t="s">
        <v>8204</v>
      </c>
      <c r="L3915" s="127" t="s">
        <v>466</v>
      </c>
      <c r="M3915" s="127">
        <v>636414</v>
      </c>
      <c r="N3915" s="109"/>
      <c r="O3915" s="20"/>
      <c r="P3915" s="20"/>
      <c r="Q3915" s="20"/>
    </row>
    <row r="3916" spans="1:17" ht="24.9" customHeight="1">
      <c r="A3916" s="20">
        <v>527</v>
      </c>
      <c r="B3916" s="20" t="s">
        <v>8168</v>
      </c>
      <c r="C3916" s="20">
        <v>8</v>
      </c>
      <c r="D3916" s="20" t="s">
        <v>8413</v>
      </c>
      <c r="E3916" s="19" t="str">
        <f>VLOOKUP(D3916,'لیست پرسنل'!$B$2:$E$1020,3,FALSE)</f>
        <v>فکورصنعت</v>
      </c>
      <c r="F3916" s="19" t="str">
        <f>VLOOKUP(D3916,'لیست پرسنل'!$B$2:$E$1020,4,FALSE)</f>
        <v>ایمنی</v>
      </c>
      <c r="G3916" s="127">
        <f>VLOOKUP(D3916,'لیست پرسنل'!$B$2:$F$1020,2,FALSE)</f>
        <v>4040707</v>
      </c>
      <c r="H3916" s="130" t="s">
        <v>7947</v>
      </c>
      <c r="I3916" s="127" t="s">
        <v>8414</v>
      </c>
      <c r="J3916" s="128" t="s">
        <v>5618</v>
      </c>
      <c r="K3916" s="127" t="s">
        <v>8211</v>
      </c>
      <c r="L3916" s="127" t="s">
        <v>8197</v>
      </c>
      <c r="M3916" s="127">
        <v>636420</v>
      </c>
      <c r="N3916" s="109"/>
      <c r="O3916" s="20"/>
      <c r="P3916" s="20"/>
      <c r="Q3916" s="20"/>
    </row>
    <row r="3917" spans="1:17" ht="24.9" customHeight="1">
      <c r="A3917" s="20">
        <v>527</v>
      </c>
      <c r="B3917" s="20" t="s">
        <v>8168</v>
      </c>
      <c r="C3917" s="20">
        <v>8</v>
      </c>
      <c r="D3917" s="20" t="s">
        <v>8413</v>
      </c>
      <c r="E3917" s="19" t="str">
        <f>VLOOKUP(D3917,'لیست پرسنل'!$B$2:$E$1020,3,FALSE)</f>
        <v>فکورصنعت</v>
      </c>
      <c r="F3917" s="19" t="str">
        <f>VLOOKUP(D3917,'لیست پرسنل'!$B$2:$E$1020,4,FALSE)</f>
        <v>ایمنی</v>
      </c>
      <c r="G3917" s="127">
        <f>VLOOKUP(D3917,'لیست پرسنل'!$B$2:$F$1020,2,FALSE)</f>
        <v>4040707</v>
      </c>
      <c r="H3917" s="130" t="s">
        <v>7947</v>
      </c>
      <c r="I3917" s="127" t="s">
        <v>8414</v>
      </c>
      <c r="J3917" s="128" t="s">
        <v>1977</v>
      </c>
      <c r="K3917" s="127" t="s">
        <v>8182</v>
      </c>
      <c r="L3917" s="127"/>
      <c r="M3917" s="127">
        <v>631441</v>
      </c>
      <c r="N3917" s="109"/>
      <c r="O3917" s="20"/>
      <c r="P3917" s="20"/>
      <c r="Q3917" s="20"/>
    </row>
    <row r="3918" spans="1:17" ht="24.9" customHeight="1">
      <c r="A3918" s="20">
        <v>527</v>
      </c>
      <c r="B3918" s="20" t="s">
        <v>8168</v>
      </c>
      <c r="C3918" s="20">
        <v>9</v>
      </c>
      <c r="D3918" s="20" t="s">
        <v>8172</v>
      </c>
      <c r="E3918" s="19" t="str">
        <f>VLOOKUP(D3918,'لیست پرسنل'!$B$2:$E$1020,3,FALSE)</f>
        <v>فکورصنعت</v>
      </c>
      <c r="F3918" s="19" t="str">
        <f>VLOOKUP(D3918,'لیست پرسنل'!$B$2:$E$1020,4,FALSE)</f>
        <v>رئیس سایت</v>
      </c>
      <c r="G3918" s="127">
        <f>VLOOKUP(D3918,'لیست پرسنل'!$B$2:$F$1020,2,FALSE)</f>
        <v>4040306</v>
      </c>
      <c r="H3918" s="127" t="s">
        <v>8412</v>
      </c>
      <c r="I3918" s="127" t="s">
        <v>8416</v>
      </c>
      <c r="J3918" s="128" t="s">
        <v>8405</v>
      </c>
      <c r="K3918" s="127" t="s">
        <v>8406</v>
      </c>
      <c r="L3918" s="127" t="s">
        <v>8408</v>
      </c>
      <c r="M3918" s="127">
        <v>637001</v>
      </c>
      <c r="N3918" s="109"/>
      <c r="O3918" s="20"/>
      <c r="P3918" s="20"/>
      <c r="Q3918" s="20"/>
    </row>
    <row r="3919" spans="1:17" ht="24.9" customHeight="1">
      <c r="A3919" s="20">
        <v>527</v>
      </c>
      <c r="B3919" s="20" t="s">
        <v>8168</v>
      </c>
      <c r="C3919" s="20">
        <v>9</v>
      </c>
      <c r="D3919" s="20" t="s">
        <v>8172</v>
      </c>
      <c r="E3919" s="19" t="str">
        <f>VLOOKUP(D3919,'لیست پرسنل'!$B$2:$E$1020,3,FALSE)</f>
        <v>فکورصنعت</v>
      </c>
      <c r="F3919" s="19" t="str">
        <f>VLOOKUP(D3919,'لیست پرسنل'!$B$2:$E$1020,4,FALSE)</f>
        <v>رئیس سایت</v>
      </c>
      <c r="G3919" s="127">
        <f>VLOOKUP(D3919,'لیست پرسنل'!$B$2:$F$1020,2,FALSE)</f>
        <v>4040306</v>
      </c>
      <c r="H3919" s="127" t="s">
        <v>8411</v>
      </c>
      <c r="I3919" s="127" t="s">
        <v>8416</v>
      </c>
      <c r="J3919" s="128" t="s">
        <v>8405</v>
      </c>
      <c r="K3919" s="127" t="s">
        <v>8406</v>
      </c>
      <c r="L3919" s="127" t="s">
        <v>8409</v>
      </c>
      <c r="M3919" s="127">
        <v>636999</v>
      </c>
      <c r="N3919" s="109"/>
      <c r="O3919" s="20"/>
      <c r="P3919" s="20"/>
      <c r="Q3919" s="20"/>
    </row>
    <row r="3920" spans="1:17" ht="24.9" customHeight="1">
      <c r="A3920" s="20">
        <v>527</v>
      </c>
      <c r="B3920" s="20" t="s">
        <v>8168</v>
      </c>
      <c r="C3920" s="20">
        <v>9</v>
      </c>
      <c r="D3920" s="20" t="s">
        <v>8172</v>
      </c>
      <c r="E3920" s="19" t="str">
        <f>VLOOKUP(D3920,'لیست پرسنل'!$B$2:$E$1020,3,FALSE)</f>
        <v>فکورصنعت</v>
      </c>
      <c r="F3920" s="19" t="str">
        <f>VLOOKUP(D3920,'لیست پرسنل'!$B$2:$E$1020,4,FALSE)</f>
        <v>رئیس سایت</v>
      </c>
      <c r="G3920" s="127">
        <f>VLOOKUP(D3920,'لیست پرسنل'!$B$2:$F$1020,2,FALSE)</f>
        <v>4040306</v>
      </c>
      <c r="H3920" s="127" t="s">
        <v>8410</v>
      </c>
      <c r="I3920" s="127" t="s">
        <v>8416</v>
      </c>
      <c r="J3920" s="128" t="s">
        <v>8402</v>
      </c>
      <c r="K3920" s="127" t="s">
        <v>8403</v>
      </c>
      <c r="L3920" s="127" t="s">
        <v>8404</v>
      </c>
      <c r="M3920" s="127">
        <v>636882</v>
      </c>
      <c r="N3920" s="109"/>
      <c r="O3920" s="20"/>
      <c r="P3920" s="20"/>
      <c r="Q3920" s="20"/>
    </row>
    <row r="3921" spans="1:17" ht="24.9" customHeight="1">
      <c r="A3921" s="20">
        <v>527</v>
      </c>
      <c r="B3921" s="20" t="s">
        <v>8168</v>
      </c>
      <c r="C3921" s="20">
        <v>9</v>
      </c>
      <c r="D3921" s="20" t="s">
        <v>8172</v>
      </c>
      <c r="E3921" s="19" t="str">
        <f>VLOOKUP(D3921,'لیست پرسنل'!$B$2:$E$1020,3,FALSE)</f>
        <v>فکورصنعت</v>
      </c>
      <c r="F3921" s="19" t="str">
        <f>VLOOKUP(D3921,'لیست پرسنل'!$B$2:$E$1020,4,FALSE)</f>
        <v>رئیس سایت</v>
      </c>
      <c r="G3921" s="127">
        <f>VLOOKUP(D3921,'لیست پرسنل'!$B$2:$F$1020,2,FALSE)</f>
        <v>4040306</v>
      </c>
      <c r="H3921" s="127" t="s">
        <v>8410</v>
      </c>
      <c r="I3921" s="127" t="s">
        <v>8416</v>
      </c>
      <c r="J3921" s="128" t="s">
        <v>8405</v>
      </c>
      <c r="K3921" s="127" t="s">
        <v>8406</v>
      </c>
      <c r="L3921" s="127" t="s">
        <v>8407</v>
      </c>
      <c r="M3921" s="127">
        <v>637000</v>
      </c>
      <c r="N3921" s="109"/>
      <c r="O3921" s="20"/>
      <c r="P3921" s="20"/>
      <c r="Q3921" s="20"/>
    </row>
    <row r="3922" spans="1:17" ht="24.9" customHeight="1">
      <c r="A3922" s="20">
        <v>527</v>
      </c>
      <c r="B3922" s="20" t="s">
        <v>8168</v>
      </c>
      <c r="C3922" s="20">
        <v>10</v>
      </c>
      <c r="D3922" s="20" t="s">
        <v>5076</v>
      </c>
      <c r="E3922" s="19" t="str">
        <f>VLOOKUP(D3922,'لیست پرسنل'!$B$2:$E$1020,3,FALSE)</f>
        <v>گهر کوشان سپهر</v>
      </c>
      <c r="F3922" s="19" t="str">
        <f>VLOOKUP(D3922,'لیست پرسنل'!$B$2:$E$1020,4,FALSE)</f>
        <v>کارشناس نظارت سیویل و معماری</v>
      </c>
      <c r="G3922" s="127">
        <f>VLOOKUP(D3922,'لیست پرسنل'!$B$2:$F$1020,2,FALSE)</f>
        <v>21094</v>
      </c>
      <c r="H3922" s="130" t="s">
        <v>8488</v>
      </c>
      <c r="I3922" s="127" t="s">
        <v>8489</v>
      </c>
      <c r="J3922" s="128" t="s">
        <v>1967</v>
      </c>
      <c r="K3922" s="127" t="s">
        <v>2846</v>
      </c>
      <c r="L3922" s="127" t="s">
        <v>8191</v>
      </c>
      <c r="M3922" s="127">
        <v>634041</v>
      </c>
      <c r="N3922" s="109" t="s">
        <v>8172</v>
      </c>
      <c r="O3922" s="20"/>
      <c r="P3922" s="20"/>
      <c r="Q3922" s="20"/>
    </row>
    <row r="3923" spans="1:17" ht="24.9" customHeight="1">
      <c r="A3923" s="20">
        <v>527</v>
      </c>
      <c r="B3923" s="20" t="s">
        <v>8168</v>
      </c>
      <c r="C3923" s="20">
        <v>10</v>
      </c>
      <c r="D3923" s="20" t="s">
        <v>5076</v>
      </c>
      <c r="E3923" s="19" t="str">
        <f>VLOOKUP(D3923,'لیست پرسنل'!$B$2:$E$1020,3,FALSE)</f>
        <v>گهر کوشان سپهر</v>
      </c>
      <c r="F3923" s="19" t="str">
        <f>VLOOKUP(D3923,'لیست پرسنل'!$B$2:$E$1020,4,FALSE)</f>
        <v>کارشناس نظارت سیویل و معماری</v>
      </c>
      <c r="G3923" s="127">
        <f>VLOOKUP(D3923,'لیست پرسنل'!$B$2:$F$1020,2,FALSE)</f>
        <v>21094</v>
      </c>
      <c r="H3923" s="130" t="s">
        <v>8488</v>
      </c>
      <c r="I3923" s="127" t="s">
        <v>8489</v>
      </c>
      <c r="J3923" s="128" t="s">
        <v>571</v>
      </c>
      <c r="K3923" s="127" t="s">
        <v>8204</v>
      </c>
      <c r="L3923" s="127" t="s">
        <v>466</v>
      </c>
      <c r="M3923" s="127">
        <v>636413</v>
      </c>
      <c r="N3923" s="109" t="s">
        <v>8172</v>
      </c>
      <c r="O3923" s="20"/>
      <c r="P3923" s="20"/>
      <c r="Q3923" s="20"/>
    </row>
    <row r="3924" spans="1:17" ht="24.9" customHeight="1">
      <c r="A3924" s="20">
        <v>527</v>
      </c>
      <c r="B3924" s="20" t="s">
        <v>8168</v>
      </c>
      <c r="C3924" s="20">
        <v>10</v>
      </c>
      <c r="D3924" s="20" t="s">
        <v>5076</v>
      </c>
      <c r="E3924" s="19" t="str">
        <f>VLOOKUP(D3924,'لیست پرسنل'!$B$2:$E$1020,3,FALSE)</f>
        <v>گهر کوشان سپهر</v>
      </c>
      <c r="F3924" s="19" t="str">
        <f>VLOOKUP(D3924,'لیست پرسنل'!$B$2:$E$1020,4,FALSE)</f>
        <v>کارشناس نظارت سیویل و معماری</v>
      </c>
      <c r="G3924" s="127">
        <f>VLOOKUP(D3924,'لیست پرسنل'!$B$2:$F$1020,2,FALSE)</f>
        <v>21094</v>
      </c>
      <c r="H3924" s="130" t="s">
        <v>8488</v>
      </c>
      <c r="I3924" s="127" t="s">
        <v>8489</v>
      </c>
      <c r="J3924" s="128" t="s">
        <v>5618</v>
      </c>
      <c r="K3924" s="127" t="s">
        <v>8211</v>
      </c>
      <c r="L3924" s="127" t="s">
        <v>8198</v>
      </c>
      <c r="M3924" s="127">
        <v>636419</v>
      </c>
      <c r="N3924" s="109" t="s">
        <v>8172</v>
      </c>
      <c r="O3924" s="20"/>
      <c r="P3924" s="20"/>
      <c r="Q3924" s="20"/>
    </row>
    <row r="3925" spans="1:17" ht="24.9" customHeight="1">
      <c r="A3925" s="20">
        <v>527</v>
      </c>
      <c r="B3925" s="20" t="s">
        <v>8168</v>
      </c>
      <c r="C3925" s="20"/>
      <c r="D3925" s="20" t="s">
        <v>7946</v>
      </c>
      <c r="E3925" s="19" t="str">
        <f>VLOOKUP(D3925,'لیست پرسنل'!$B$2:$E$1020,3,FALSE)</f>
        <v>فکورصنعت</v>
      </c>
      <c r="F3925" s="19" t="str">
        <f>VLOOKUP(D3925,'لیست پرسنل'!$B$2:$E$1020,4,FALSE)</f>
        <v>سرپرست برنامه ریزی و کنترل پروژه</v>
      </c>
      <c r="G3925" s="127">
        <f>VLOOKUP(D3925,'لیست پرسنل'!$B$2:$F$1020,2,FALSE)</f>
        <v>637</v>
      </c>
      <c r="H3925" s="130" t="s">
        <v>7948</v>
      </c>
      <c r="I3925" s="128"/>
      <c r="J3925" s="128" t="s">
        <v>5366</v>
      </c>
      <c r="K3925" s="127" t="s">
        <v>4434</v>
      </c>
      <c r="L3925" s="151"/>
      <c r="M3925" s="134">
        <v>622453</v>
      </c>
      <c r="N3925" s="108"/>
      <c r="O3925" s="32" t="s">
        <v>2676</v>
      </c>
      <c r="P3925" s="20"/>
      <c r="Q3925" s="20"/>
    </row>
    <row r="3926" spans="1:17" ht="24.9" customHeight="1">
      <c r="A3926" s="20">
        <v>527</v>
      </c>
      <c r="B3926" s="20" t="s">
        <v>8168</v>
      </c>
      <c r="C3926" s="20"/>
      <c r="D3926" s="20" t="s">
        <v>7946</v>
      </c>
      <c r="E3926" s="19" t="str">
        <f>VLOOKUP(D3926,'لیست پرسنل'!$B$2:$E$1020,3,FALSE)</f>
        <v>فکورصنعت</v>
      </c>
      <c r="F3926" s="19" t="str">
        <f>VLOOKUP(D3926,'لیست پرسنل'!$B$2:$E$1020,4,FALSE)</f>
        <v>سرپرست برنامه ریزی و کنترل پروژه</v>
      </c>
      <c r="G3926" s="127">
        <f>VLOOKUP(D3926,'لیست پرسنل'!$B$2:$F$1020,2,FALSE)</f>
        <v>637</v>
      </c>
      <c r="H3926" s="130" t="s">
        <v>7948</v>
      </c>
      <c r="I3926" s="128"/>
      <c r="J3926" s="128" t="s">
        <v>5366</v>
      </c>
      <c r="K3926" s="127" t="s">
        <v>4434</v>
      </c>
      <c r="L3926" s="151"/>
      <c r="M3926" s="134">
        <v>622454</v>
      </c>
      <c r="N3926" s="108"/>
      <c r="O3926" s="32" t="s">
        <v>2676</v>
      </c>
      <c r="P3926" s="20"/>
      <c r="Q3926" s="20"/>
    </row>
    <row r="3927" spans="1:17" ht="24.9" customHeight="1">
      <c r="A3927" s="20">
        <v>527</v>
      </c>
      <c r="B3927" s="20" t="s">
        <v>8168</v>
      </c>
      <c r="C3927" s="19"/>
      <c r="D3927" s="20" t="s">
        <v>7946</v>
      </c>
      <c r="E3927" s="19" t="str">
        <f>VLOOKUP(D3927,'لیست پرسنل'!$B$2:$E$1020,3,FALSE)</f>
        <v>فکورصنعت</v>
      </c>
      <c r="F3927" s="19" t="str">
        <f>VLOOKUP(D3927,'لیست پرسنل'!$B$2:$E$1020,4,FALSE)</f>
        <v>سرپرست برنامه ریزی و کنترل پروژه</v>
      </c>
      <c r="G3927" s="127">
        <f>VLOOKUP(D3927,'لیست پرسنل'!$B$2:$F$1020,2,FALSE)</f>
        <v>637</v>
      </c>
      <c r="H3927" s="130" t="s">
        <v>7948</v>
      </c>
      <c r="I3927" s="127"/>
      <c r="J3927" s="128" t="s">
        <v>5304</v>
      </c>
      <c r="K3927" s="128" t="s">
        <v>5304</v>
      </c>
      <c r="L3927" s="127"/>
      <c r="M3927" s="128">
        <v>618533</v>
      </c>
      <c r="N3927" s="111"/>
      <c r="O3927" s="28"/>
      <c r="P3927" s="28"/>
      <c r="Q3927" s="28"/>
    </row>
    <row r="3928" spans="1:17" ht="24.9" customHeight="1">
      <c r="A3928" s="20">
        <v>527</v>
      </c>
      <c r="B3928" s="20" t="s">
        <v>8168</v>
      </c>
      <c r="C3928" s="20"/>
      <c r="D3928" s="20" t="s">
        <v>8172</v>
      </c>
      <c r="E3928" s="19" t="str">
        <f>VLOOKUP(D3928,'لیست پرسنل'!$B$2:$E$1020,3,FALSE)</f>
        <v>فکورصنعت</v>
      </c>
      <c r="F3928" s="19" t="str">
        <f>VLOOKUP(D3928,'لیست پرسنل'!$B$2:$E$1020,4,FALSE)</f>
        <v>رئیس سایت</v>
      </c>
      <c r="G3928" s="127">
        <f>VLOOKUP(D3928,'لیست پرسنل'!$B$2:$F$1020,2,FALSE)</f>
        <v>4040306</v>
      </c>
      <c r="H3928" s="130" t="s">
        <v>8410</v>
      </c>
      <c r="I3928" s="127" t="s">
        <v>8169</v>
      </c>
      <c r="J3928" s="128" t="s">
        <v>1977</v>
      </c>
      <c r="K3928" s="127" t="s">
        <v>8182</v>
      </c>
      <c r="L3928" s="127"/>
      <c r="M3928" s="127">
        <v>625035</v>
      </c>
      <c r="N3928" s="109"/>
      <c r="O3928" s="20"/>
      <c r="P3928" s="20"/>
      <c r="Q3928" s="20"/>
    </row>
    <row r="3929" spans="1:17" ht="24.9" customHeight="1">
      <c r="A3929" s="20">
        <v>527</v>
      </c>
      <c r="B3929" s="20" t="s">
        <v>8268</v>
      </c>
      <c r="C3929" s="20">
        <v>1</v>
      </c>
      <c r="D3929" s="20" t="s">
        <v>8396</v>
      </c>
      <c r="E3929" s="19" t="str">
        <f>VLOOKUP(D3929,'لیست پرسنل'!$B$2:$E$1020,3,FALSE)</f>
        <v>فکور صنعت</v>
      </c>
      <c r="F3929" s="19" t="str">
        <f>VLOOKUP(D3929,'لیست پرسنل'!$B$2:$E$1020,4,FALSE)</f>
        <v>ایمنی کارفرما</v>
      </c>
      <c r="G3929" s="127">
        <f>VLOOKUP(D3929,'لیست پرسنل'!$B$2:$F$1020,2,FALSE)</f>
        <v>4040705</v>
      </c>
      <c r="H3929" s="130" t="s">
        <v>8214</v>
      </c>
      <c r="I3929" s="127" t="s">
        <v>8281</v>
      </c>
      <c r="J3929" s="128" t="s">
        <v>1967</v>
      </c>
      <c r="K3929" s="127" t="s">
        <v>2846</v>
      </c>
      <c r="L3929" s="127" t="s">
        <v>8193</v>
      </c>
      <c r="M3929" s="127">
        <v>634021</v>
      </c>
      <c r="N3929" s="109"/>
      <c r="O3929" s="20"/>
      <c r="P3929" s="20"/>
      <c r="Q3929" s="20"/>
    </row>
    <row r="3930" spans="1:17" ht="24.9" customHeight="1">
      <c r="A3930" s="20">
        <v>527</v>
      </c>
      <c r="B3930" s="20" t="s">
        <v>8268</v>
      </c>
      <c r="C3930" s="20">
        <v>1</v>
      </c>
      <c r="D3930" s="20" t="s">
        <v>8396</v>
      </c>
      <c r="E3930" s="19" t="str">
        <f>VLOOKUP(D3930,'لیست پرسنل'!$B$2:$E$1020,3,FALSE)</f>
        <v>فکور صنعت</v>
      </c>
      <c r="F3930" s="19" t="str">
        <f>VLOOKUP(D3930,'لیست پرسنل'!$B$2:$E$1020,4,FALSE)</f>
        <v>ایمنی کارفرما</v>
      </c>
      <c r="G3930" s="127">
        <f>VLOOKUP(D3930,'لیست پرسنل'!$B$2:$F$1020,2,FALSE)</f>
        <v>4040705</v>
      </c>
      <c r="H3930" s="130" t="s">
        <v>8214</v>
      </c>
      <c r="I3930" s="127" t="s">
        <v>8281</v>
      </c>
      <c r="J3930" s="128" t="s">
        <v>571</v>
      </c>
      <c r="K3930" s="127" t="s">
        <v>8204</v>
      </c>
      <c r="L3930" s="127" t="s">
        <v>466</v>
      </c>
      <c r="M3930" s="127">
        <v>636407</v>
      </c>
      <c r="N3930" s="109"/>
      <c r="O3930" s="20"/>
      <c r="P3930" s="20"/>
      <c r="Q3930" s="20"/>
    </row>
    <row r="3931" spans="1:17" ht="24.9" customHeight="1">
      <c r="A3931" s="20">
        <v>527</v>
      </c>
      <c r="B3931" s="20" t="s">
        <v>8268</v>
      </c>
      <c r="C3931" s="20">
        <v>1</v>
      </c>
      <c r="D3931" s="20" t="s">
        <v>8396</v>
      </c>
      <c r="E3931" s="19" t="str">
        <f>VLOOKUP(D3931,'لیست پرسنل'!$B$2:$E$1020,3,FALSE)</f>
        <v>فکور صنعت</v>
      </c>
      <c r="F3931" s="19" t="str">
        <f>VLOOKUP(D3931,'لیست پرسنل'!$B$2:$E$1020,4,FALSE)</f>
        <v>ایمنی کارفرما</v>
      </c>
      <c r="G3931" s="127">
        <f>VLOOKUP(D3931,'لیست پرسنل'!$B$2:$F$1020,2,FALSE)</f>
        <v>4040705</v>
      </c>
      <c r="H3931" s="130" t="s">
        <v>8214</v>
      </c>
      <c r="I3931" s="127" t="s">
        <v>8281</v>
      </c>
      <c r="J3931" s="128" t="s">
        <v>5618</v>
      </c>
      <c r="K3931" s="127" t="s">
        <v>8211</v>
      </c>
      <c r="L3931" s="127" t="s">
        <v>8201</v>
      </c>
      <c r="M3931" s="127">
        <v>636313</v>
      </c>
      <c r="N3931" s="109"/>
      <c r="O3931" s="20"/>
      <c r="P3931" s="20"/>
      <c r="Q3931" s="20"/>
    </row>
    <row r="3932" spans="1:17" ht="24.9" customHeight="1">
      <c r="A3932" s="20">
        <v>527</v>
      </c>
      <c r="B3932" s="20" t="s">
        <v>8268</v>
      </c>
      <c r="C3932" s="20">
        <v>2</v>
      </c>
      <c r="D3932" s="20" t="s">
        <v>8265</v>
      </c>
      <c r="E3932" s="19" t="str">
        <f>VLOOKUP(D3932,'لیست پرسنل'!$B$2:$E$1020,3,FALSE)</f>
        <v>فراتحقیق سپاهان   </v>
      </c>
      <c r="F3932" s="19" t="str">
        <f>VLOOKUP(D3932,'لیست پرسنل'!$B$2:$E$1020,4,FALSE)</f>
        <v>نظارت</v>
      </c>
      <c r="G3932" s="127">
        <f>VLOOKUP(D3932,'لیست پرسنل'!$B$2:$F$1020,2,FALSE)</f>
        <v>996038</v>
      </c>
      <c r="H3932" s="130" t="s">
        <v>8267</v>
      </c>
      <c r="I3932" s="127" t="s">
        <v>8269</v>
      </c>
      <c r="J3932" s="128" t="s">
        <v>571</v>
      </c>
      <c r="K3932" s="127" t="s">
        <v>8204</v>
      </c>
      <c r="L3932" s="127" t="s">
        <v>466</v>
      </c>
      <c r="M3932" s="127">
        <v>636409</v>
      </c>
      <c r="N3932" s="109" t="s">
        <v>8172</v>
      </c>
      <c r="O3932" s="20"/>
      <c r="P3932" s="20"/>
      <c r="Q3932" s="20"/>
    </row>
    <row r="3933" spans="1:17" ht="24.9" customHeight="1">
      <c r="A3933" s="20">
        <v>527</v>
      </c>
      <c r="B3933" s="20" t="s">
        <v>8268</v>
      </c>
      <c r="C3933" s="20">
        <v>2</v>
      </c>
      <c r="D3933" s="20" t="s">
        <v>8265</v>
      </c>
      <c r="E3933" s="19" t="str">
        <f>VLOOKUP(D3933,'لیست پرسنل'!$B$2:$E$1020,3,FALSE)</f>
        <v>فراتحقیق سپاهان   </v>
      </c>
      <c r="F3933" s="19" t="str">
        <f>VLOOKUP(D3933,'لیست پرسنل'!$B$2:$E$1020,4,FALSE)</f>
        <v>نظارت</v>
      </c>
      <c r="G3933" s="127">
        <f>VLOOKUP(D3933,'لیست پرسنل'!$B$2:$F$1020,2,FALSE)</f>
        <v>996038</v>
      </c>
      <c r="H3933" s="130" t="s">
        <v>8267</v>
      </c>
      <c r="I3933" s="127" t="s">
        <v>8269</v>
      </c>
      <c r="J3933" s="128" t="s">
        <v>5618</v>
      </c>
      <c r="K3933" s="127" t="s">
        <v>8211</v>
      </c>
      <c r="L3933" s="127" t="s">
        <v>8196</v>
      </c>
      <c r="M3933" s="127">
        <v>636421</v>
      </c>
      <c r="N3933" s="109" t="s">
        <v>8172</v>
      </c>
      <c r="O3933" s="20"/>
      <c r="P3933" s="20"/>
      <c r="Q3933" s="20"/>
    </row>
    <row r="3934" spans="1:17" ht="24.9" customHeight="1">
      <c r="A3934" s="20">
        <v>527</v>
      </c>
      <c r="B3934" s="20" t="s">
        <v>8268</v>
      </c>
      <c r="C3934" s="20">
        <v>3</v>
      </c>
      <c r="D3934" s="20" t="s">
        <v>8566</v>
      </c>
      <c r="E3934" s="19" t="str">
        <f>VLOOKUP(D3934,'لیست پرسنل'!$B$2:$E$1020,3,FALSE)</f>
        <v>فراتحقیق سپاهان   </v>
      </c>
      <c r="F3934" s="19" t="str">
        <f>VLOOKUP(D3934,'لیست پرسنل'!$B$2:$E$1020,4,FALSE)</f>
        <v>مشاور کارفرما</v>
      </c>
      <c r="G3934" s="127">
        <f>VLOOKUP(D3934,'لیست پرسنل'!$B$2:$F$1020,2,FALSE)</f>
        <v>0</v>
      </c>
      <c r="H3934" s="127" t="s">
        <v>8569</v>
      </c>
      <c r="I3934" s="127" t="s">
        <v>8570</v>
      </c>
      <c r="J3934" s="128" t="s">
        <v>571</v>
      </c>
      <c r="K3934" s="127" t="s">
        <v>2219</v>
      </c>
      <c r="L3934" s="127" t="s">
        <v>8570</v>
      </c>
      <c r="M3934" s="127">
        <v>621768</v>
      </c>
      <c r="N3934" s="109" t="s">
        <v>8172</v>
      </c>
      <c r="O3934" s="20"/>
      <c r="P3934" s="20"/>
      <c r="Q3934" s="20"/>
    </row>
    <row r="3935" spans="1:17" ht="24.9" customHeight="1">
      <c r="A3935" s="20">
        <v>527</v>
      </c>
      <c r="B3935" s="20" t="s">
        <v>8268</v>
      </c>
      <c r="C3935" s="20">
        <v>3</v>
      </c>
      <c r="D3935" s="20" t="s">
        <v>8566</v>
      </c>
      <c r="E3935" s="19" t="str">
        <f>VLOOKUP(D3935,'لیست پرسنل'!$B$2:$E$1020,3,FALSE)</f>
        <v>فراتحقیق سپاهان   </v>
      </c>
      <c r="F3935" s="19" t="str">
        <f>VLOOKUP(D3935,'لیست پرسنل'!$B$2:$E$1020,4,FALSE)</f>
        <v>مشاور کارفرما</v>
      </c>
      <c r="G3935" s="127">
        <f>VLOOKUP(D3935,'لیست پرسنل'!$B$2:$F$1020,2,FALSE)</f>
        <v>0</v>
      </c>
      <c r="H3935" s="127" t="s">
        <v>8569</v>
      </c>
      <c r="I3935" s="127" t="s">
        <v>8570</v>
      </c>
      <c r="J3935" s="128" t="s">
        <v>2686</v>
      </c>
      <c r="K3935" s="127" t="s">
        <v>8571</v>
      </c>
      <c r="L3935" s="127" t="s">
        <v>8572</v>
      </c>
      <c r="M3935" s="127">
        <v>637725</v>
      </c>
      <c r="N3935" s="109" t="s">
        <v>8172</v>
      </c>
      <c r="O3935" s="20"/>
      <c r="P3935" s="20"/>
      <c r="Q3935" s="20"/>
    </row>
    <row r="3936" spans="1:17" ht="24.9" customHeight="1">
      <c r="A3936" s="19" t="s">
        <v>7806</v>
      </c>
      <c r="B3936" s="20" t="s">
        <v>4373</v>
      </c>
      <c r="C3936" s="20"/>
      <c r="D3936" s="20" t="s">
        <v>4042</v>
      </c>
      <c r="E3936" s="19" t="str">
        <f>VLOOKUP(D3936,'لیست پرسنل'!$B$2:$E$1020,3,FALSE)</f>
        <v>فکورصنعت</v>
      </c>
      <c r="F3936" s="19" t="str">
        <f>VLOOKUP(D3936,'لیست پرسنل'!$B$2:$E$1020,4,FALSE)</f>
        <v>تحقیق و توسعه فکور</v>
      </c>
      <c r="G3936" s="127">
        <f>VLOOKUP(D3936,'لیست پرسنل'!$B$2:$F$1020,2,FALSE)</f>
        <v>0</v>
      </c>
      <c r="H3936" s="128" t="s">
        <v>4028</v>
      </c>
      <c r="I3936" s="128"/>
      <c r="J3936" s="128" t="s">
        <v>3483</v>
      </c>
      <c r="K3936" s="128" t="s">
        <v>7505</v>
      </c>
      <c r="L3936" s="150"/>
      <c r="M3936" s="128">
        <v>627789</v>
      </c>
      <c r="N3936" s="108" t="s">
        <v>7202</v>
      </c>
      <c r="O3936" s="20"/>
      <c r="P3936" s="20"/>
      <c r="Q3936" s="20"/>
    </row>
    <row r="3937" spans="1:17" ht="24.9" customHeight="1">
      <c r="A3937" s="19" t="s">
        <v>7806</v>
      </c>
      <c r="B3937" s="20" t="s">
        <v>4373</v>
      </c>
      <c r="C3937" s="20"/>
      <c r="D3937" s="20" t="s">
        <v>4042</v>
      </c>
      <c r="E3937" s="19" t="str">
        <f>VLOOKUP(D3937,'لیست پرسنل'!$B$2:$E$1020,3,FALSE)</f>
        <v>فکورصنعت</v>
      </c>
      <c r="F3937" s="19" t="str">
        <f>VLOOKUP(D3937,'لیست پرسنل'!$B$2:$E$1020,4,FALSE)</f>
        <v>تحقیق و توسعه فکور</v>
      </c>
      <c r="G3937" s="127">
        <f>VLOOKUP(D3937,'لیست پرسنل'!$B$2:$F$1020,2,FALSE)</f>
        <v>0</v>
      </c>
      <c r="H3937" s="128" t="s">
        <v>4028</v>
      </c>
      <c r="I3937" s="128"/>
      <c r="J3937" s="128" t="s">
        <v>3476</v>
      </c>
      <c r="K3937" s="128" t="s">
        <v>5999</v>
      </c>
      <c r="L3937" s="150"/>
      <c r="M3937" s="128">
        <v>627788</v>
      </c>
      <c r="N3937" s="108" t="s">
        <v>7202</v>
      </c>
      <c r="O3937" s="20"/>
      <c r="P3937" s="20"/>
      <c r="Q3937" s="20"/>
    </row>
    <row r="3938" spans="1:17" ht="24.9" customHeight="1">
      <c r="A3938" s="19" t="s">
        <v>7806</v>
      </c>
      <c r="B3938" s="20" t="s">
        <v>4373</v>
      </c>
      <c r="C3938" s="20"/>
      <c r="D3938" s="20" t="s">
        <v>4042</v>
      </c>
      <c r="E3938" s="19" t="str">
        <f>VLOOKUP(D3938,'لیست پرسنل'!$B$2:$E$1020,3,FALSE)</f>
        <v>فکورصنعت</v>
      </c>
      <c r="F3938" s="19" t="str">
        <f>VLOOKUP(D3938,'لیست پرسنل'!$B$2:$E$1020,4,FALSE)</f>
        <v>تحقیق و توسعه فکور</v>
      </c>
      <c r="G3938" s="127">
        <f>VLOOKUP(D3938,'لیست پرسنل'!$B$2:$F$1020,2,FALSE)</f>
        <v>0</v>
      </c>
      <c r="H3938" s="128" t="s">
        <v>4028</v>
      </c>
      <c r="I3938" s="128"/>
      <c r="J3938" s="128" t="s">
        <v>5304</v>
      </c>
      <c r="K3938" s="128"/>
      <c r="L3938" s="150"/>
      <c r="M3938" s="128">
        <v>610532</v>
      </c>
      <c r="N3938" s="108"/>
      <c r="O3938" s="20"/>
      <c r="P3938" s="20"/>
      <c r="Q3938" s="20"/>
    </row>
    <row r="3939" spans="1:17" ht="24.9" customHeight="1">
      <c r="A3939" s="19" t="s">
        <v>7806</v>
      </c>
      <c r="B3939" s="20" t="s">
        <v>4373</v>
      </c>
      <c r="C3939" s="20"/>
      <c r="D3939" s="20" t="s">
        <v>4042</v>
      </c>
      <c r="E3939" s="19" t="str">
        <f>VLOOKUP(D3939,'لیست پرسنل'!$B$2:$E$1020,3,FALSE)</f>
        <v>فکورصنعت</v>
      </c>
      <c r="F3939" s="19" t="str">
        <f>VLOOKUP(D3939,'لیست پرسنل'!$B$2:$E$1020,4,FALSE)</f>
        <v>تحقیق و توسعه فکور</v>
      </c>
      <c r="G3939" s="127">
        <f>VLOOKUP(D3939,'لیست پرسنل'!$B$2:$F$1020,2,FALSE)</f>
        <v>0</v>
      </c>
      <c r="H3939" s="128" t="s">
        <v>4028</v>
      </c>
      <c r="I3939" s="128"/>
      <c r="J3939" s="128" t="s">
        <v>5304</v>
      </c>
      <c r="K3939" s="128" t="s">
        <v>5997</v>
      </c>
      <c r="L3939" s="150"/>
      <c r="M3939" s="128">
        <v>613413</v>
      </c>
      <c r="N3939" s="108"/>
      <c r="O3939" s="20"/>
      <c r="P3939" s="20"/>
      <c r="Q3939" s="20"/>
    </row>
    <row r="3940" spans="1:17" ht="24.9" customHeight="1">
      <c r="A3940" s="19" t="s">
        <v>7806</v>
      </c>
      <c r="B3940" s="20" t="s">
        <v>4373</v>
      </c>
      <c r="C3940" s="20"/>
      <c r="D3940" s="20" t="s">
        <v>4042</v>
      </c>
      <c r="E3940" s="19" t="str">
        <f>VLOOKUP(D3940,'لیست پرسنل'!$B$2:$E$1020,3,FALSE)</f>
        <v>فکورصنعت</v>
      </c>
      <c r="F3940" s="19" t="str">
        <f>VLOOKUP(D3940,'لیست پرسنل'!$B$2:$E$1020,4,FALSE)</f>
        <v>تحقیق و توسعه فکور</v>
      </c>
      <c r="G3940" s="127">
        <f>VLOOKUP(D3940,'لیست پرسنل'!$B$2:$F$1020,2,FALSE)</f>
        <v>0</v>
      </c>
      <c r="H3940" s="128" t="s">
        <v>4028</v>
      </c>
      <c r="I3940" s="128"/>
      <c r="J3940" s="128" t="s">
        <v>5304</v>
      </c>
      <c r="K3940" s="128" t="s">
        <v>5997</v>
      </c>
      <c r="L3940" s="150"/>
      <c r="M3940" s="128">
        <v>614022</v>
      </c>
      <c r="N3940" s="108"/>
      <c r="O3940" s="20"/>
      <c r="P3940" s="20"/>
      <c r="Q3940" s="20"/>
    </row>
    <row r="3941" spans="1:17" ht="24.9" customHeight="1">
      <c r="A3941" s="19" t="s">
        <v>7806</v>
      </c>
      <c r="B3941" s="20" t="s">
        <v>4373</v>
      </c>
      <c r="C3941" s="20"/>
      <c r="D3941" s="20" t="s">
        <v>4042</v>
      </c>
      <c r="E3941" s="19" t="str">
        <f>VLOOKUP(D3941,'لیست پرسنل'!$B$2:$E$1020,3,FALSE)</f>
        <v>فکورصنعت</v>
      </c>
      <c r="F3941" s="19" t="str">
        <f>VLOOKUP(D3941,'لیست پرسنل'!$B$2:$E$1020,4,FALSE)</f>
        <v>تحقیق و توسعه فکور</v>
      </c>
      <c r="G3941" s="127">
        <f>VLOOKUP(D3941,'لیست پرسنل'!$B$2:$F$1020,2,FALSE)</f>
        <v>0</v>
      </c>
      <c r="H3941" s="128" t="s">
        <v>4028</v>
      </c>
      <c r="I3941" s="128"/>
      <c r="J3941" s="128" t="s">
        <v>3313</v>
      </c>
      <c r="K3941" s="128" t="s">
        <v>1821</v>
      </c>
      <c r="L3941" s="128" t="s">
        <v>1820</v>
      </c>
      <c r="M3941" s="126">
        <v>625911</v>
      </c>
      <c r="N3941" s="108" t="s">
        <v>7202</v>
      </c>
      <c r="O3941" s="19" t="s">
        <v>4049</v>
      </c>
      <c r="P3941" s="19"/>
      <c r="Q3941" s="19"/>
    </row>
    <row r="3942" spans="1:17" ht="24.9" customHeight="1">
      <c r="A3942" s="19" t="s">
        <v>7806</v>
      </c>
      <c r="B3942" s="20" t="s">
        <v>4373</v>
      </c>
      <c r="C3942" s="20"/>
      <c r="D3942" s="20" t="s">
        <v>2594</v>
      </c>
      <c r="E3942" s="19" t="str">
        <f>VLOOKUP(D3942,'لیست پرسنل'!$B$2:$E$1020,3,FALSE)</f>
        <v>بازیافت باطله چادرملو (159)</v>
      </c>
      <c r="F3942" s="19">
        <f>VLOOKUP(D3942,'لیست پرسنل'!$B$2:$E$1020,4,FALSE)</f>
        <v>0</v>
      </c>
      <c r="G3942" s="127">
        <f>VLOOKUP(D3942,'لیست پرسنل'!$B$2:$F$1020,2,FALSE)</f>
        <v>0</v>
      </c>
      <c r="H3942" s="128" t="s">
        <v>4028</v>
      </c>
      <c r="I3942" s="128"/>
      <c r="J3942" s="128" t="s">
        <v>5366</v>
      </c>
      <c r="K3942" s="128" t="s">
        <v>2603</v>
      </c>
      <c r="L3942" s="150"/>
      <c r="M3942" s="128">
        <v>627458</v>
      </c>
      <c r="N3942" s="108" t="s">
        <v>7202</v>
      </c>
      <c r="O3942" s="20"/>
      <c r="P3942" s="20"/>
      <c r="Q3942" s="20"/>
    </row>
    <row r="3943" spans="1:17" ht="24.9" customHeight="1">
      <c r="A3943" s="19" t="s">
        <v>7806</v>
      </c>
      <c r="B3943" s="20" t="s">
        <v>4373</v>
      </c>
      <c r="C3943" s="20"/>
      <c r="D3943" s="20" t="s">
        <v>2597</v>
      </c>
      <c r="E3943" s="19" t="str">
        <f>VLOOKUP(D3943,'لیست پرسنل'!$B$2:$E$1020,3,FALSE)</f>
        <v>بازیافت باطله چادرملو (159)</v>
      </c>
      <c r="F3943" s="19">
        <f>VLOOKUP(D3943,'لیست پرسنل'!$B$2:$E$1020,4,FALSE)</f>
        <v>0</v>
      </c>
      <c r="G3943" s="127">
        <f>VLOOKUP(D3943,'لیست پرسنل'!$B$2:$F$1020,2,FALSE)</f>
        <v>0</v>
      </c>
      <c r="H3943" s="128" t="s">
        <v>4028</v>
      </c>
      <c r="I3943" s="128"/>
      <c r="J3943" s="128" t="s">
        <v>5366</v>
      </c>
      <c r="K3943" s="128" t="s">
        <v>2601</v>
      </c>
      <c r="L3943" s="150"/>
      <c r="M3943" s="128">
        <v>626356</v>
      </c>
      <c r="N3943" s="108" t="s">
        <v>8096</v>
      </c>
      <c r="O3943" s="20" t="s">
        <v>5310</v>
      </c>
      <c r="P3943" s="20"/>
      <c r="Q3943" s="20"/>
    </row>
    <row r="3944" spans="1:17" ht="24.9" customHeight="1">
      <c r="A3944" s="19" t="s">
        <v>7806</v>
      </c>
      <c r="B3944" s="20" t="s">
        <v>4373</v>
      </c>
      <c r="C3944" s="20"/>
      <c r="D3944" s="20" t="s">
        <v>2591</v>
      </c>
      <c r="E3944" s="19" t="str">
        <f>VLOOKUP(D3944,'لیست پرسنل'!$B$2:$E$1020,3,FALSE)</f>
        <v>بازیافت باطله چادرملو (159)</v>
      </c>
      <c r="F3944" s="19">
        <f>VLOOKUP(D3944,'لیست پرسنل'!$B$2:$E$1020,4,FALSE)</f>
        <v>0</v>
      </c>
      <c r="G3944" s="127">
        <f>VLOOKUP(D3944,'لیست پرسنل'!$B$2:$F$1020,2,FALSE)</f>
        <v>0</v>
      </c>
      <c r="H3944" s="128" t="s">
        <v>4028</v>
      </c>
      <c r="I3944" s="128"/>
      <c r="J3944" s="128" t="s">
        <v>5366</v>
      </c>
      <c r="K3944" s="128" t="s">
        <v>2602</v>
      </c>
      <c r="L3944" s="150"/>
      <c r="M3944" s="128">
        <v>626083</v>
      </c>
      <c r="N3944" s="108" t="s">
        <v>8097</v>
      </c>
      <c r="O3944" s="20"/>
      <c r="P3944" s="20"/>
      <c r="Q3944" s="20"/>
    </row>
    <row r="3945" spans="1:17" ht="24.9" customHeight="1">
      <c r="A3945" s="19" t="s">
        <v>7806</v>
      </c>
      <c r="B3945" s="20" t="s">
        <v>4373</v>
      </c>
      <c r="C3945" s="20"/>
      <c r="D3945" s="20" t="s">
        <v>2595</v>
      </c>
      <c r="E3945" s="19" t="str">
        <f>VLOOKUP(D3945,'لیست پرسنل'!$B$2:$E$1020,3,FALSE)</f>
        <v>بازیافت باطله چادرملو (159)</v>
      </c>
      <c r="F3945" s="19">
        <f>VLOOKUP(D3945,'لیست پرسنل'!$B$2:$E$1020,4,FALSE)</f>
        <v>0</v>
      </c>
      <c r="G3945" s="127">
        <f>VLOOKUP(D3945,'لیست پرسنل'!$B$2:$F$1020,2,FALSE)</f>
        <v>0</v>
      </c>
      <c r="H3945" s="128" t="s">
        <v>4028</v>
      </c>
      <c r="I3945" s="128"/>
      <c r="J3945" s="128" t="s">
        <v>5366</v>
      </c>
      <c r="K3945" s="128" t="s">
        <v>2604</v>
      </c>
      <c r="L3945" s="150"/>
      <c r="M3945" s="128">
        <v>627459</v>
      </c>
      <c r="N3945" s="108" t="s">
        <v>8098</v>
      </c>
      <c r="O3945" s="20"/>
      <c r="P3945" s="20"/>
      <c r="Q3945" s="20"/>
    </row>
    <row r="3946" spans="1:17" ht="24.9" customHeight="1">
      <c r="A3946" s="19" t="s">
        <v>7806</v>
      </c>
      <c r="B3946" s="20" t="s">
        <v>4373</v>
      </c>
      <c r="C3946" s="20"/>
      <c r="D3946" s="20" t="s">
        <v>2592</v>
      </c>
      <c r="E3946" s="19" t="str">
        <f>VLOOKUP(D3946,'لیست پرسنل'!$B$2:$E$1020,3,FALSE)</f>
        <v>بازیافت باطله چادرملو (159)</v>
      </c>
      <c r="F3946" s="19">
        <f>VLOOKUP(D3946,'لیست پرسنل'!$B$2:$E$1020,4,FALSE)</f>
        <v>0</v>
      </c>
      <c r="G3946" s="127">
        <f>VLOOKUP(D3946,'لیست پرسنل'!$B$2:$F$1020,2,FALSE)</f>
        <v>0</v>
      </c>
      <c r="H3946" s="128" t="s">
        <v>4028</v>
      </c>
      <c r="I3946" s="128"/>
      <c r="J3946" s="128" t="s">
        <v>5366</v>
      </c>
      <c r="K3946" s="128" t="s">
        <v>2599</v>
      </c>
      <c r="L3946" s="150"/>
      <c r="M3946" s="128">
        <v>625170</v>
      </c>
      <c r="N3946" s="108" t="s">
        <v>8097</v>
      </c>
      <c r="O3946" s="20"/>
      <c r="P3946" s="20"/>
      <c r="Q3946" s="20"/>
    </row>
    <row r="3947" spans="1:17" ht="24.9" customHeight="1">
      <c r="A3947" s="186" t="s">
        <v>5877</v>
      </c>
      <c r="B3947" s="185" t="s">
        <v>7799</v>
      </c>
      <c r="C3947" s="185">
        <v>1</v>
      </c>
      <c r="D3947" s="67" t="s">
        <v>4716</v>
      </c>
      <c r="E3947" s="186" t="str">
        <f>VLOOKUP(D3947,'لیست پرسنل'!$B$2:$E$1020,3,FALSE)</f>
        <v>فکورصنعت</v>
      </c>
      <c r="F3947" s="186" t="str">
        <f>VLOOKUP(D3947,'لیست پرسنل'!$B$2:$E$1020,4,FALSE)</f>
        <v>پایپینگ</v>
      </c>
      <c r="G3947" s="187" t="str">
        <f>VLOOKUP(D3947,'لیست پرسنل'!$B$2:$F$1020,2,FALSE)</f>
        <v>794</v>
      </c>
      <c r="H3947" s="187" t="s">
        <v>4029</v>
      </c>
      <c r="I3947" s="194" t="s">
        <v>7807</v>
      </c>
      <c r="J3947" s="195" t="s">
        <v>368</v>
      </c>
      <c r="K3947" s="188" t="s">
        <v>2846</v>
      </c>
      <c r="L3947" s="187" t="s">
        <v>4628</v>
      </c>
      <c r="M3947" s="190">
        <v>629845</v>
      </c>
      <c r="N3947" s="189" t="s">
        <v>7800</v>
      </c>
      <c r="O3947" s="186" t="s">
        <v>705</v>
      </c>
      <c r="P3947" s="186"/>
      <c r="Q3947" s="226"/>
    </row>
    <row r="3948" spans="1:17" ht="24.9" customHeight="1">
      <c r="A3948" s="19" t="s">
        <v>5877</v>
      </c>
      <c r="B3948" s="20" t="s">
        <v>7799</v>
      </c>
      <c r="C3948" s="20">
        <v>1</v>
      </c>
      <c r="D3948" s="20" t="s">
        <v>4716</v>
      </c>
      <c r="E3948" s="19" t="str">
        <f>VLOOKUP(D3948,'لیست پرسنل'!$B$2:$E$1020,3,FALSE)</f>
        <v>فکورصنعت</v>
      </c>
      <c r="F3948" s="19" t="str">
        <f>VLOOKUP(D3948,'لیست پرسنل'!$B$2:$E$1020,4,FALSE)</f>
        <v>پایپینگ</v>
      </c>
      <c r="G3948" s="127" t="str">
        <f>VLOOKUP(D3948,'لیست پرسنل'!$B$2:$F$1020,2,FALSE)</f>
        <v>794</v>
      </c>
      <c r="H3948" s="127" t="s">
        <v>4029</v>
      </c>
      <c r="I3948" s="128" t="s">
        <v>7807</v>
      </c>
      <c r="J3948" s="128" t="s">
        <v>571</v>
      </c>
      <c r="K3948" s="128" t="s">
        <v>2219</v>
      </c>
      <c r="L3948" s="127"/>
      <c r="M3948" s="127">
        <v>628564</v>
      </c>
      <c r="N3948" s="109" t="s">
        <v>7800</v>
      </c>
      <c r="O3948" s="19" t="s">
        <v>705</v>
      </c>
      <c r="P3948" s="19"/>
      <c r="Q3948" s="28"/>
    </row>
    <row r="3949" spans="1:17" ht="24.9" customHeight="1">
      <c r="A3949" s="19" t="s">
        <v>5877</v>
      </c>
      <c r="B3949" s="20" t="s">
        <v>7799</v>
      </c>
      <c r="C3949" s="20">
        <v>1</v>
      </c>
      <c r="D3949" s="20" t="s">
        <v>4716</v>
      </c>
      <c r="E3949" s="19" t="str">
        <f>VLOOKUP(D3949,'لیست پرسنل'!$B$2:$E$1020,3,FALSE)</f>
        <v>فکورصنعت</v>
      </c>
      <c r="F3949" s="19" t="str">
        <f>VLOOKUP(D3949,'لیست پرسنل'!$B$2:$E$1020,4,FALSE)</f>
        <v>پایپینگ</v>
      </c>
      <c r="G3949" s="127" t="str">
        <f>VLOOKUP(D3949,'لیست پرسنل'!$B$2:$F$1020,2,FALSE)</f>
        <v>794</v>
      </c>
      <c r="H3949" s="127" t="s">
        <v>4029</v>
      </c>
      <c r="I3949" s="128" t="s">
        <v>7807</v>
      </c>
      <c r="J3949" s="128" t="s">
        <v>2686</v>
      </c>
      <c r="K3949" s="128" t="s">
        <v>2143</v>
      </c>
      <c r="L3949" s="128" t="s">
        <v>2232</v>
      </c>
      <c r="M3949" s="127">
        <v>628623</v>
      </c>
      <c r="N3949" s="109" t="s">
        <v>7800</v>
      </c>
      <c r="O3949" s="20" t="s">
        <v>705</v>
      </c>
      <c r="P3949" s="20"/>
      <c r="Q3949" s="20"/>
    </row>
    <row r="3950" spans="1:17" ht="24.9" customHeight="1">
      <c r="A3950" s="19" t="s">
        <v>5877</v>
      </c>
      <c r="B3950" s="19" t="s">
        <v>5877</v>
      </c>
      <c r="C3950" s="20"/>
      <c r="D3950" s="20" t="s">
        <v>7804</v>
      </c>
      <c r="E3950" s="19" t="str">
        <f>VLOOKUP(D3950,'لیست پرسنل'!$B$2:$E$1020,3,FALSE)</f>
        <v>گهر کوشان سپهر</v>
      </c>
      <c r="F3950" s="19" t="str">
        <f>VLOOKUP(D3950,'لیست پرسنل'!$B$2:$E$1020,4,FALSE)</f>
        <v>پشتیبانی</v>
      </c>
      <c r="G3950" s="127">
        <f>VLOOKUP(D3950,'لیست پرسنل'!$B$2:$F$1020,2,FALSE)</f>
        <v>21025</v>
      </c>
      <c r="H3950" s="127" t="s">
        <v>7802</v>
      </c>
      <c r="I3950" s="128"/>
      <c r="J3950" s="128" t="s">
        <v>3285</v>
      </c>
      <c r="K3950" s="128" t="s">
        <v>7801</v>
      </c>
      <c r="L3950" s="128"/>
      <c r="M3950" s="127">
        <v>636396</v>
      </c>
      <c r="N3950" s="109" t="s">
        <v>4716</v>
      </c>
      <c r="O3950" s="20"/>
      <c r="P3950" s="20"/>
      <c r="Q3950" s="20"/>
    </row>
    <row r="3951" spans="1:17" ht="24.9" customHeight="1">
      <c r="A3951" s="19" t="s">
        <v>5877</v>
      </c>
      <c r="B3951" s="19" t="s">
        <v>5877</v>
      </c>
      <c r="C3951" s="20"/>
      <c r="D3951" s="20" t="s">
        <v>7804</v>
      </c>
      <c r="E3951" s="19" t="str">
        <f>VLOOKUP(D3951,'لیست پرسنل'!$B$2:$E$1020,3,FALSE)</f>
        <v>گهر کوشان سپهر</v>
      </c>
      <c r="F3951" s="19" t="str">
        <f>VLOOKUP(D3951,'لیست پرسنل'!$B$2:$E$1020,4,FALSE)</f>
        <v>پشتیبانی</v>
      </c>
      <c r="G3951" s="127">
        <f>VLOOKUP(D3951,'لیست پرسنل'!$B$2:$F$1020,2,FALSE)</f>
        <v>21025</v>
      </c>
      <c r="H3951" s="127" t="s">
        <v>7803</v>
      </c>
      <c r="I3951" s="128"/>
      <c r="J3951" s="128" t="s">
        <v>368</v>
      </c>
      <c r="K3951" s="128" t="s">
        <v>2846</v>
      </c>
      <c r="L3951" s="128"/>
      <c r="M3951" s="127">
        <v>634022</v>
      </c>
      <c r="N3951" s="109" t="s">
        <v>4716</v>
      </c>
      <c r="O3951" s="20"/>
      <c r="P3951" s="20"/>
      <c r="Q3951" s="20"/>
    </row>
    <row r="3952" spans="1:17" ht="24.9" customHeight="1">
      <c r="A3952" s="19" t="s">
        <v>5877</v>
      </c>
      <c r="B3952" s="19" t="s">
        <v>5877</v>
      </c>
      <c r="C3952" s="20"/>
      <c r="D3952" s="20" t="s">
        <v>7804</v>
      </c>
      <c r="E3952" s="19" t="str">
        <f>VLOOKUP(D3952,'لیست پرسنل'!$B$2:$E$1020,3,FALSE)</f>
        <v>گهر کوشان سپهر</v>
      </c>
      <c r="F3952" s="19" t="str">
        <f>VLOOKUP(D3952,'لیست پرسنل'!$B$2:$E$1020,4,FALSE)</f>
        <v>پشتیبانی</v>
      </c>
      <c r="G3952" s="127">
        <f>VLOOKUP(D3952,'لیست پرسنل'!$B$2:$F$1020,2,FALSE)</f>
        <v>21025</v>
      </c>
      <c r="H3952" s="127" t="s">
        <v>7803</v>
      </c>
      <c r="I3952" s="128"/>
      <c r="J3952" s="128" t="s">
        <v>368</v>
      </c>
      <c r="K3952" s="128" t="s">
        <v>2846</v>
      </c>
      <c r="L3952" s="128"/>
      <c r="M3952" s="127">
        <v>634023</v>
      </c>
      <c r="N3952" s="109" t="s">
        <v>4716</v>
      </c>
      <c r="O3952" s="20"/>
      <c r="P3952" s="20"/>
      <c r="Q3952" s="20"/>
    </row>
    <row r="3953" spans="1:17" ht="24.9" customHeight="1">
      <c r="A3953" s="19" t="s">
        <v>5877</v>
      </c>
      <c r="B3953" s="19" t="s">
        <v>5877</v>
      </c>
      <c r="C3953" s="20"/>
      <c r="D3953" s="20" t="s">
        <v>7804</v>
      </c>
      <c r="E3953" s="19" t="str">
        <f>VLOOKUP(D3953,'لیست پرسنل'!$B$2:$E$1020,3,FALSE)</f>
        <v>گهر کوشان سپهر</v>
      </c>
      <c r="F3953" s="19" t="str">
        <f>VLOOKUP(D3953,'لیست پرسنل'!$B$2:$E$1020,4,FALSE)</f>
        <v>پشتیبانی</v>
      </c>
      <c r="G3953" s="127">
        <f>VLOOKUP(D3953,'لیست پرسنل'!$B$2:$F$1020,2,FALSE)</f>
        <v>21025</v>
      </c>
      <c r="H3953" s="127" t="s">
        <v>7803</v>
      </c>
      <c r="I3953" s="128"/>
      <c r="J3953" s="128" t="s">
        <v>368</v>
      </c>
      <c r="K3953" s="128" t="s">
        <v>2846</v>
      </c>
      <c r="L3953" s="128"/>
      <c r="M3953" s="127">
        <v>634036</v>
      </c>
      <c r="N3953" s="109" t="s">
        <v>4716</v>
      </c>
      <c r="O3953" s="20"/>
      <c r="P3953" s="20"/>
      <c r="Q3953" s="20"/>
    </row>
    <row r="3954" spans="1:17" ht="24.9" customHeight="1">
      <c r="A3954" s="19" t="s">
        <v>5877</v>
      </c>
      <c r="B3954" s="19" t="s">
        <v>5877</v>
      </c>
      <c r="C3954" s="20"/>
      <c r="D3954" s="20" t="s">
        <v>7804</v>
      </c>
      <c r="E3954" s="19" t="str">
        <f>VLOOKUP(D3954,'لیست پرسنل'!$B$2:$E$1020,3,FALSE)</f>
        <v>گهر کوشان سپهر</v>
      </c>
      <c r="F3954" s="19" t="str">
        <f>VLOOKUP(D3954,'لیست پرسنل'!$B$2:$E$1020,4,FALSE)</f>
        <v>پشتیبانی</v>
      </c>
      <c r="G3954" s="127">
        <f>VLOOKUP(D3954,'لیست پرسنل'!$B$2:$F$1020,2,FALSE)</f>
        <v>21025</v>
      </c>
      <c r="H3954" s="127" t="s">
        <v>4029</v>
      </c>
      <c r="I3954" s="128"/>
      <c r="J3954" s="128" t="s">
        <v>368</v>
      </c>
      <c r="K3954" s="128" t="s">
        <v>2846</v>
      </c>
      <c r="L3954" s="128"/>
      <c r="M3954" s="127">
        <v>634043</v>
      </c>
      <c r="N3954" s="109" t="s">
        <v>4716</v>
      </c>
      <c r="O3954" s="20"/>
      <c r="P3954" s="20"/>
      <c r="Q3954" s="20"/>
    </row>
    <row r="3955" spans="1:17" ht="24.9" customHeight="1">
      <c r="A3955" s="19" t="s">
        <v>5877</v>
      </c>
      <c r="B3955" s="19" t="s">
        <v>5877</v>
      </c>
      <c r="C3955" s="19"/>
      <c r="D3955" s="19" t="s">
        <v>4042</v>
      </c>
      <c r="E3955" s="19" t="str">
        <f>VLOOKUP(D3955,'لیست پرسنل'!$B$2:$E$1020,3,FALSE)</f>
        <v>فکورصنعت</v>
      </c>
      <c r="F3955" s="19" t="str">
        <f>VLOOKUP(D3955,'لیست پرسنل'!$B$2:$E$1020,4,FALSE)</f>
        <v>تحقیق و توسعه فکور</v>
      </c>
      <c r="G3955" s="127">
        <f>VLOOKUP(D3955,'لیست پرسنل'!$B$2:$F$1020,2,FALSE)</f>
        <v>0</v>
      </c>
      <c r="H3955" s="127" t="s">
        <v>4029</v>
      </c>
      <c r="I3955" s="127"/>
      <c r="J3955" s="127" t="s">
        <v>5366</v>
      </c>
      <c r="K3955" s="127" t="s">
        <v>8243</v>
      </c>
      <c r="L3955" s="127"/>
      <c r="M3955" s="127">
        <v>629301</v>
      </c>
      <c r="N3955" s="108"/>
      <c r="O3955" s="19"/>
      <c r="P3955" s="20"/>
      <c r="Q3955" s="20"/>
    </row>
    <row r="3956" spans="1:17" ht="24.9" customHeight="1">
      <c r="A3956" s="19" t="s">
        <v>5877</v>
      </c>
      <c r="B3956" s="19" t="s">
        <v>5877</v>
      </c>
      <c r="C3956" s="19"/>
      <c r="D3956" s="19" t="s">
        <v>4042</v>
      </c>
      <c r="E3956" s="19" t="str">
        <f>VLOOKUP(D3956,'لیست پرسنل'!$B$2:$E$1020,3,FALSE)</f>
        <v>فکورصنعت</v>
      </c>
      <c r="F3956" s="19" t="str">
        <f>VLOOKUP(D3956,'لیست پرسنل'!$B$2:$E$1020,4,FALSE)</f>
        <v>تحقیق و توسعه فکور</v>
      </c>
      <c r="G3956" s="127">
        <f>VLOOKUP(D3956,'لیست پرسنل'!$B$2:$F$1020,2,FALSE)</f>
        <v>0</v>
      </c>
      <c r="H3956" s="127" t="s">
        <v>4029</v>
      </c>
      <c r="I3956" s="127"/>
      <c r="J3956" s="127" t="s">
        <v>5304</v>
      </c>
      <c r="K3956" s="127" t="s">
        <v>5993</v>
      </c>
      <c r="L3956" s="127"/>
      <c r="M3956" s="127">
        <v>629334</v>
      </c>
      <c r="N3956" s="108"/>
      <c r="O3956" s="19"/>
      <c r="P3956" s="20"/>
      <c r="Q3956" s="20"/>
    </row>
    <row r="3957" spans="1:17" ht="24.9" customHeight="1">
      <c r="A3957" s="19" t="s">
        <v>5877</v>
      </c>
      <c r="B3957" s="19" t="s">
        <v>5877</v>
      </c>
      <c r="C3957" s="20"/>
      <c r="D3957" s="20" t="s">
        <v>7805</v>
      </c>
      <c r="E3957" s="19" t="str">
        <f>VLOOKUP(D3957,'لیست پرسنل'!$B$2:$E$1020,3,FALSE)</f>
        <v>فکورصنعت</v>
      </c>
      <c r="F3957" s="19" t="str">
        <f>VLOOKUP(D3957,'لیست پرسنل'!$B$2:$E$1020,4,FALSE)</f>
        <v>مدیر پروژه</v>
      </c>
      <c r="G3957" s="127">
        <f>VLOOKUP(D3957,'لیست پرسنل'!$B$2:$F$1020,2,FALSE)</f>
        <v>881</v>
      </c>
      <c r="H3957" s="127" t="s">
        <v>4029</v>
      </c>
      <c r="I3957" s="128"/>
      <c r="J3957" s="128" t="s">
        <v>368</v>
      </c>
      <c r="K3957" s="128" t="s">
        <v>2846</v>
      </c>
      <c r="L3957" s="128"/>
      <c r="M3957" s="127">
        <v>634029</v>
      </c>
      <c r="N3957" s="109"/>
      <c r="O3957" s="20"/>
      <c r="P3957" s="20"/>
      <c r="Q3957" s="20"/>
    </row>
    <row r="3958" spans="1:17" ht="24.9" customHeight="1">
      <c r="A3958" s="20" t="s">
        <v>7143</v>
      </c>
      <c r="B3958" s="20" t="s">
        <v>4356</v>
      </c>
      <c r="C3958" s="20"/>
      <c r="D3958" s="20" t="s">
        <v>48</v>
      </c>
      <c r="E3958" s="19" t="str">
        <f>VLOOKUP(D3958,'لیست پرسنل'!$B$2:$E$1020,3,FALSE)</f>
        <v>فکورصنعت</v>
      </c>
      <c r="F3958" s="19" t="str">
        <f>VLOOKUP(D3958,'لیست پرسنل'!$B$2:$E$1020,4,FALSE)</f>
        <v>سرپرست آی تی</v>
      </c>
      <c r="G3958" s="127">
        <f>VLOOKUP(D3958,'لیست پرسنل'!$B$2:$F$1020,2,FALSE)</f>
        <v>2210</v>
      </c>
      <c r="H3958" s="128" t="s">
        <v>7703</v>
      </c>
      <c r="I3958" s="128"/>
      <c r="J3958" s="128" t="s">
        <v>2686</v>
      </c>
      <c r="K3958" s="128" t="s">
        <v>721</v>
      </c>
      <c r="L3958" s="127" t="s">
        <v>1438</v>
      </c>
      <c r="M3958" s="127">
        <v>633637</v>
      </c>
      <c r="N3958" s="109"/>
      <c r="O3958" s="19" t="s">
        <v>6298</v>
      </c>
      <c r="P3958" s="32"/>
      <c r="Q3958" s="32"/>
    </row>
    <row r="3959" spans="1:17" ht="24.9" customHeight="1">
      <c r="A3959" s="20" t="s">
        <v>7143</v>
      </c>
      <c r="B3959" s="20" t="s">
        <v>4356</v>
      </c>
      <c r="C3959" s="20"/>
      <c r="D3959" s="79" t="s">
        <v>48</v>
      </c>
      <c r="E3959" s="19" t="str">
        <f>VLOOKUP(D3959,'لیست پرسنل'!$B$2:$E$1020,3,FALSE)</f>
        <v>فکورصنعت</v>
      </c>
      <c r="F3959" s="19" t="str">
        <f>VLOOKUP(D3959,'لیست پرسنل'!$B$2:$E$1020,4,FALSE)</f>
        <v>سرپرست آی تی</v>
      </c>
      <c r="G3959" s="127">
        <f>VLOOKUP(D3959,'لیست پرسنل'!$B$2:$F$1020,2,FALSE)</f>
        <v>2210</v>
      </c>
      <c r="H3959" s="128" t="s">
        <v>3902</v>
      </c>
      <c r="I3959" s="128"/>
      <c r="J3959" s="128" t="s">
        <v>3383</v>
      </c>
      <c r="K3959" s="128" t="s">
        <v>144</v>
      </c>
      <c r="L3959" s="128" t="s">
        <v>145</v>
      </c>
      <c r="M3959" s="127">
        <v>604632</v>
      </c>
      <c r="N3959" s="109" t="s">
        <v>7221</v>
      </c>
      <c r="O3959" s="19"/>
      <c r="P3959" s="20"/>
      <c r="Q3959" s="20"/>
    </row>
    <row r="3960" spans="1:17" ht="24.9" customHeight="1">
      <c r="A3960" s="20" t="s">
        <v>7143</v>
      </c>
      <c r="B3960" s="20" t="s">
        <v>4356</v>
      </c>
      <c r="C3960" s="20"/>
      <c r="D3960" s="20" t="s">
        <v>48</v>
      </c>
      <c r="E3960" s="19" t="str">
        <f>VLOOKUP(D3960,'لیست پرسنل'!$B$2:$E$1020,3,FALSE)</f>
        <v>فکورصنعت</v>
      </c>
      <c r="F3960" s="19" t="str">
        <f>VLOOKUP(D3960,'لیست پرسنل'!$B$2:$E$1020,4,FALSE)</f>
        <v>سرپرست آی تی</v>
      </c>
      <c r="G3960" s="127">
        <f>VLOOKUP(D3960,'لیست پرسنل'!$B$2:$F$1020,2,FALSE)</f>
        <v>2210</v>
      </c>
      <c r="H3960" s="128" t="s">
        <v>3902</v>
      </c>
      <c r="I3960" s="128"/>
      <c r="J3960" s="128" t="s">
        <v>3532</v>
      </c>
      <c r="K3960" s="127" t="s">
        <v>714</v>
      </c>
      <c r="L3960" s="127" t="s">
        <v>715</v>
      </c>
      <c r="M3960" s="127">
        <v>621868</v>
      </c>
      <c r="N3960" s="120"/>
      <c r="O3960" s="20"/>
      <c r="P3960" s="20"/>
      <c r="Q3960" s="20"/>
    </row>
    <row r="3961" spans="1:17" ht="24.9" customHeight="1">
      <c r="A3961" s="20" t="s">
        <v>7143</v>
      </c>
      <c r="B3961" s="20" t="s">
        <v>4356</v>
      </c>
      <c r="C3961" s="20"/>
      <c r="D3961" s="20" t="s">
        <v>48</v>
      </c>
      <c r="E3961" s="19" t="str">
        <f>VLOOKUP(D3961,'لیست پرسنل'!$B$2:$E$1020,3,FALSE)</f>
        <v>فکورصنعت</v>
      </c>
      <c r="F3961" s="19" t="str">
        <f>VLOOKUP(D3961,'لیست پرسنل'!$B$2:$E$1020,4,FALSE)</f>
        <v>سرپرست آی تی</v>
      </c>
      <c r="G3961" s="127">
        <f>VLOOKUP(D3961,'لیست پرسنل'!$B$2:$F$1020,2,FALSE)</f>
        <v>2210</v>
      </c>
      <c r="H3961" s="128" t="s">
        <v>3902</v>
      </c>
      <c r="I3961" s="128"/>
      <c r="J3961" s="128" t="s">
        <v>3532</v>
      </c>
      <c r="K3961" s="128" t="s">
        <v>1620</v>
      </c>
      <c r="L3961" s="135" t="s">
        <v>4967</v>
      </c>
      <c r="M3961" s="128" t="s">
        <v>704</v>
      </c>
      <c r="N3961" s="108"/>
      <c r="O3961" s="20"/>
      <c r="P3961" s="20"/>
      <c r="Q3961" s="20"/>
    </row>
    <row r="3962" spans="1:17" ht="24.9" customHeight="1">
      <c r="A3962" s="20" t="s">
        <v>7143</v>
      </c>
      <c r="B3962" s="20" t="s">
        <v>4356</v>
      </c>
      <c r="C3962" s="20"/>
      <c r="D3962" s="79" t="s">
        <v>48</v>
      </c>
      <c r="E3962" s="19" t="str">
        <f>VLOOKUP(D3962,'لیست پرسنل'!$B$2:$E$1020,3,FALSE)</f>
        <v>فکورصنعت</v>
      </c>
      <c r="F3962" s="19" t="str">
        <f>VLOOKUP(D3962,'لیست پرسنل'!$B$2:$E$1020,4,FALSE)</f>
        <v>سرپرست آی تی</v>
      </c>
      <c r="G3962" s="127">
        <f>VLOOKUP(D3962,'لیست پرسنل'!$B$2:$F$1020,2,FALSE)</f>
        <v>2210</v>
      </c>
      <c r="H3962" s="128" t="s">
        <v>3902</v>
      </c>
      <c r="I3962" s="128"/>
      <c r="J3962" s="128" t="s">
        <v>737</v>
      </c>
      <c r="K3962" s="128" t="s">
        <v>335</v>
      </c>
      <c r="L3962" s="127" t="s">
        <v>86</v>
      </c>
      <c r="M3962" s="127">
        <v>600090</v>
      </c>
      <c r="N3962" s="109" t="s">
        <v>7221</v>
      </c>
      <c r="O3962" s="20"/>
      <c r="P3962" s="20"/>
      <c r="Q3962" s="20"/>
    </row>
    <row r="3963" spans="1:17" ht="24.9" customHeight="1">
      <c r="A3963" s="20" t="s">
        <v>7143</v>
      </c>
      <c r="B3963" s="20" t="s">
        <v>4356</v>
      </c>
      <c r="C3963" s="20"/>
      <c r="D3963" s="20" t="s">
        <v>48</v>
      </c>
      <c r="E3963" s="19" t="str">
        <f>VLOOKUP(D3963,'لیست پرسنل'!$B$2:$E$1020,3,FALSE)</f>
        <v>فکورصنعت</v>
      </c>
      <c r="F3963" s="19" t="str">
        <f>VLOOKUP(D3963,'لیست پرسنل'!$B$2:$E$1020,4,FALSE)</f>
        <v>سرپرست آی تی</v>
      </c>
      <c r="G3963" s="127">
        <f>VLOOKUP(D3963,'لیست پرسنل'!$B$2:$F$1020,2,FALSE)</f>
        <v>2210</v>
      </c>
      <c r="H3963" s="128" t="s">
        <v>3902</v>
      </c>
      <c r="I3963" s="127"/>
      <c r="J3963" s="128" t="s">
        <v>737</v>
      </c>
      <c r="K3963" s="127" t="s">
        <v>176</v>
      </c>
      <c r="L3963" s="127">
        <v>10001649</v>
      </c>
      <c r="M3963" s="127">
        <v>610211</v>
      </c>
      <c r="N3963" s="108"/>
      <c r="O3963" s="20" t="s">
        <v>2885</v>
      </c>
      <c r="P3963" s="20"/>
      <c r="Q3963" s="20"/>
    </row>
    <row r="3964" spans="1:17" ht="24.9" customHeight="1">
      <c r="A3964" s="20" t="s">
        <v>7143</v>
      </c>
      <c r="B3964" s="20" t="s">
        <v>4356</v>
      </c>
      <c r="C3964" s="20"/>
      <c r="D3964" s="20" t="s">
        <v>48</v>
      </c>
      <c r="E3964" s="19" t="str">
        <f>VLOOKUP(D3964,'لیست پرسنل'!$B$2:$E$1020,3,FALSE)</f>
        <v>فکورصنعت</v>
      </c>
      <c r="F3964" s="19" t="str">
        <f>VLOOKUP(D3964,'لیست پرسنل'!$B$2:$E$1020,4,FALSE)</f>
        <v>سرپرست آی تی</v>
      </c>
      <c r="G3964" s="127">
        <f>VLOOKUP(D3964,'لیست پرسنل'!$B$2:$F$1020,2,FALSE)</f>
        <v>2210</v>
      </c>
      <c r="H3964" s="128" t="s">
        <v>3902</v>
      </c>
      <c r="I3964" s="127"/>
      <c r="J3964" s="128" t="s">
        <v>737</v>
      </c>
      <c r="K3964" s="127" t="s">
        <v>1325</v>
      </c>
      <c r="L3964" s="127">
        <v>13024503</v>
      </c>
      <c r="M3964" s="127">
        <v>624188</v>
      </c>
      <c r="N3964" s="109"/>
      <c r="O3964" s="19"/>
      <c r="P3964" s="20"/>
      <c r="Q3964" s="20"/>
    </row>
    <row r="3965" spans="1:17" ht="24.9" customHeight="1">
      <c r="A3965" s="20" t="s">
        <v>7143</v>
      </c>
      <c r="B3965" s="20" t="s">
        <v>4356</v>
      </c>
      <c r="C3965" s="20"/>
      <c r="D3965" s="79" t="s">
        <v>48</v>
      </c>
      <c r="E3965" s="19" t="str">
        <f>VLOOKUP(D3965,'لیست پرسنل'!$B$2:$E$1020,3,FALSE)</f>
        <v>فکورصنعت</v>
      </c>
      <c r="F3965" s="19" t="str">
        <f>VLOOKUP(D3965,'لیست پرسنل'!$B$2:$E$1020,4,FALSE)</f>
        <v>سرپرست آی تی</v>
      </c>
      <c r="G3965" s="127">
        <f>VLOOKUP(D3965,'لیست پرسنل'!$B$2:$F$1020,2,FALSE)</f>
        <v>2210</v>
      </c>
      <c r="H3965" s="128" t="s">
        <v>3902</v>
      </c>
      <c r="I3965" s="128"/>
      <c r="J3965" s="128" t="s">
        <v>1967</v>
      </c>
      <c r="K3965" s="128" t="s">
        <v>6446</v>
      </c>
      <c r="L3965" s="128"/>
      <c r="M3965" s="128">
        <v>602569</v>
      </c>
      <c r="N3965" s="109" t="s">
        <v>7221</v>
      </c>
      <c r="O3965" s="20"/>
      <c r="P3965" s="20"/>
      <c r="Q3965" s="20"/>
    </row>
    <row r="3966" spans="1:17" ht="24.9" customHeight="1">
      <c r="A3966" s="20" t="s">
        <v>7143</v>
      </c>
      <c r="B3966" s="20" t="s">
        <v>4356</v>
      </c>
      <c r="C3966" s="20"/>
      <c r="D3966" s="79" t="s">
        <v>48</v>
      </c>
      <c r="E3966" s="19" t="str">
        <f>VLOOKUP(D3966,'لیست پرسنل'!$B$2:$E$1020,3,FALSE)</f>
        <v>فکورصنعت</v>
      </c>
      <c r="F3966" s="19" t="str">
        <f>VLOOKUP(D3966,'لیست پرسنل'!$B$2:$E$1020,4,FALSE)</f>
        <v>سرپرست آی تی</v>
      </c>
      <c r="G3966" s="127">
        <f>VLOOKUP(D3966,'لیست پرسنل'!$B$2:$F$1020,2,FALSE)</f>
        <v>2210</v>
      </c>
      <c r="H3966" s="128" t="s">
        <v>3902</v>
      </c>
      <c r="I3966" s="128"/>
      <c r="J3966" s="128" t="s">
        <v>1967</v>
      </c>
      <c r="K3966" s="128" t="s">
        <v>6446</v>
      </c>
      <c r="L3966" s="128"/>
      <c r="M3966" s="128">
        <v>602572</v>
      </c>
      <c r="N3966" s="109" t="s">
        <v>7221</v>
      </c>
      <c r="O3966" s="20"/>
      <c r="P3966" s="20"/>
      <c r="Q3966" s="20"/>
    </row>
    <row r="3967" spans="1:17" ht="24.9" customHeight="1">
      <c r="A3967" s="20" t="s">
        <v>7143</v>
      </c>
      <c r="B3967" s="20" t="s">
        <v>4356</v>
      </c>
      <c r="C3967" s="20"/>
      <c r="D3967" s="79" t="s">
        <v>48</v>
      </c>
      <c r="E3967" s="19" t="str">
        <f>VLOOKUP(D3967,'لیست پرسنل'!$B$2:$E$1020,3,FALSE)</f>
        <v>فکورصنعت</v>
      </c>
      <c r="F3967" s="19" t="str">
        <f>VLOOKUP(D3967,'لیست پرسنل'!$B$2:$E$1020,4,FALSE)</f>
        <v>سرپرست آی تی</v>
      </c>
      <c r="G3967" s="127">
        <f>VLOOKUP(D3967,'لیست پرسنل'!$B$2:$F$1020,2,FALSE)</f>
        <v>2210</v>
      </c>
      <c r="H3967" s="128" t="s">
        <v>3902</v>
      </c>
      <c r="I3967" s="128"/>
      <c r="J3967" s="128" t="s">
        <v>1967</v>
      </c>
      <c r="K3967" s="128" t="s">
        <v>2719</v>
      </c>
      <c r="L3967" s="128"/>
      <c r="M3967" s="128">
        <v>602611</v>
      </c>
      <c r="N3967" s="109" t="s">
        <v>7221</v>
      </c>
      <c r="O3967" s="20" t="s">
        <v>2716</v>
      </c>
      <c r="P3967" s="20"/>
      <c r="Q3967" s="20"/>
    </row>
    <row r="3968" spans="1:17" ht="24.9" customHeight="1">
      <c r="A3968" s="20" t="s">
        <v>7143</v>
      </c>
      <c r="B3968" s="20" t="s">
        <v>4356</v>
      </c>
      <c r="C3968" s="20"/>
      <c r="D3968" s="79" t="s">
        <v>48</v>
      </c>
      <c r="E3968" s="19" t="str">
        <f>VLOOKUP(D3968,'لیست پرسنل'!$B$2:$E$1020,3,FALSE)</f>
        <v>فکورصنعت</v>
      </c>
      <c r="F3968" s="19" t="str">
        <f>VLOOKUP(D3968,'لیست پرسنل'!$B$2:$E$1020,4,FALSE)</f>
        <v>سرپرست آی تی</v>
      </c>
      <c r="G3968" s="127">
        <f>VLOOKUP(D3968,'لیست پرسنل'!$B$2:$F$1020,2,FALSE)</f>
        <v>2210</v>
      </c>
      <c r="H3968" s="128" t="s">
        <v>3902</v>
      </c>
      <c r="I3968" s="128"/>
      <c r="J3968" s="128" t="s">
        <v>1967</v>
      </c>
      <c r="K3968" s="128" t="s">
        <v>2719</v>
      </c>
      <c r="L3968" s="128"/>
      <c r="M3968" s="128">
        <v>604827</v>
      </c>
      <c r="N3968" s="109" t="s">
        <v>7221</v>
      </c>
      <c r="O3968" s="20" t="s">
        <v>2716</v>
      </c>
      <c r="P3968" s="20"/>
      <c r="Q3968" s="20"/>
    </row>
    <row r="3969" spans="1:17" ht="24.9" customHeight="1">
      <c r="A3969" s="20" t="s">
        <v>7143</v>
      </c>
      <c r="B3969" s="20" t="s">
        <v>4356</v>
      </c>
      <c r="C3969" s="20"/>
      <c r="D3969" s="79" t="s">
        <v>48</v>
      </c>
      <c r="E3969" s="19" t="str">
        <f>VLOOKUP(D3969,'لیست پرسنل'!$B$2:$E$1020,3,FALSE)</f>
        <v>فکورصنعت</v>
      </c>
      <c r="F3969" s="19" t="str">
        <f>VLOOKUP(D3969,'لیست پرسنل'!$B$2:$E$1020,4,FALSE)</f>
        <v>سرپرست آی تی</v>
      </c>
      <c r="G3969" s="127">
        <f>VLOOKUP(D3969,'لیست پرسنل'!$B$2:$F$1020,2,FALSE)</f>
        <v>2210</v>
      </c>
      <c r="H3969" s="128" t="s">
        <v>3902</v>
      </c>
      <c r="I3969" s="128"/>
      <c r="J3969" s="128" t="s">
        <v>1967</v>
      </c>
      <c r="K3969" s="128" t="s">
        <v>2719</v>
      </c>
      <c r="L3969" s="128"/>
      <c r="M3969" s="128">
        <v>606618</v>
      </c>
      <c r="N3969" s="109" t="s">
        <v>7221</v>
      </c>
      <c r="O3969" s="20" t="s">
        <v>2716</v>
      </c>
      <c r="P3969" s="20"/>
      <c r="Q3969" s="20"/>
    </row>
    <row r="3970" spans="1:17" ht="24.9" customHeight="1">
      <c r="A3970" s="20" t="s">
        <v>7143</v>
      </c>
      <c r="B3970" s="20" t="s">
        <v>4356</v>
      </c>
      <c r="C3970" s="20"/>
      <c r="D3970" s="79" t="s">
        <v>48</v>
      </c>
      <c r="E3970" s="19" t="str">
        <f>VLOOKUP(D3970,'لیست پرسنل'!$B$2:$E$1020,3,FALSE)</f>
        <v>فکورصنعت</v>
      </c>
      <c r="F3970" s="19" t="str">
        <f>VLOOKUP(D3970,'لیست پرسنل'!$B$2:$E$1020,4,FALSE)</f>
        <v>سرپرست آی تی</v>
      </c>
      <c r="G3970" s="127">
        <f>VLOOKUP(D3970,'لیست پرسنل'!$B$2:$F$1020,2,FALSE)</f>
        <v>2210</v>
      </c>
      <c r="H3970" s="128" t="s">
        <v>3902</v>
      </c>
      <c r="I3970" s="128"/>
      <c r="J3970" s="128" t="s">
        <v>1967</v>
      </c>
      <c r="K3970" s="128" t="s">
        <v>2719</v>
      </c>
      <c r="L3970" s="128"/>
      <c r="M3970" s="128">
        <v>606663</v>
      </c>
      <c r="N3970" s="109" t="s">
        <v>7221</v>
      </c>
      <c r="O3970" s="20" t="s">
        <v>2716</v>
      </c>
      <c r="P3970" s="20"/>
      <c r="Q3970" s="20"/>
    </row>
    <row r="3971" spans="1:17" ht="24.9" customHeight="1">
      <c r="A3971" s="20" t="s">
        <v>7143</v>
      </c>
      <c r="B3971" s="20" t="s">
        <v>4356</v>
      </c>
      <c r="C3971" s="20"/>
      <c r="D3971" s="79" t="s">
        <v>48</v>
      </c>
      <c r="E3971" s="19" t="str">
        <f>VLOOKUP(D3971,'لیست پرسنل'!$B$2:$E$1020,3,FALSE)</f>
        <v>فکورصنعت</v>
      </c>
      <c r="F3971" s="19" t="str">
        <f>VLOOKUP(D3971,'لیست پرسنل'!$B$2:$E$1020,4,FALSE)</f>
        <v>سرپرست آی تی</v>
      </c>
      <c r="G3971" s="127">
        <f>VLOOKUP(D3971,'لیست پرسنل'!$B$2:$F$1020,2,FALSE)</f>
        <v>2210</v>
      </c>
      <c r="H3971" s="128" t="s">
        <v>3902</v>
      </c>
      <c r="I3971" s="128"/>
      <c r="J3971" s="128" t="s">
        <v>1967</v>
      </c>
      <c r="K3971" s="128" t="s">
        <v>2719</v>
      </c>
      <c r="L3971" s="128"/>
      <c r="M3971" s="128">
        <v>607063</v>
      </c>
      <c r="N3971" s="109" t="s">
        <v>7221</v>
      </c>
      <c r="O3971" s="20" t="s">
        <v>2716</v>
      </c>
      <c r="P3971" s="20"/>
      <c r="Q3971" s="20"/>
    </row>
    <row r="3972" spans="1:17" ht="24.9" customHeight="1">
      <c r="A3972" s="20" t="s">
        <v>7143</v>
      </c>
      <c r="B3972" s="20" t="s">
        <v>4356</v>
      </c>
      <c r="C3972" s="20"/>
      <c r="D3972" s="79" t="s">
        <v>48</v>
      </c>
      <c r="E3972" s="19" t="str">
        <f>VLOOKUP(D3972,'لیست پرسنل'!$B$2:$E$1020,3,FALSE)</f>
        <v>فکورصنعت</v>
      </c>
      <c r="F3972" s="19" t="str">
        <f>VLOOKUP(D3972,'لیست پرسنل'!$B$2:$E$1020,4,FALSE)</f>
        <v>سرپرست آی تی</v>
      </c>
      <c r="G3972" s="127">
        <f>VLOOKUP(D3972,'لیست پرسنل'!$B$2:$F$1020,2,FALSE)</f>
        <v>2210</v>
      </c>
      <c r="H3972" s="128" t="s">
        <v>3902</v>
      </c>
      <c r="I3972" s="128"/>
      <c r="J3972" s="128" t="s">
        <v>1967</v>
      </c>
      <c r="K3972" s="128" t="s">
        <v>2719</v>
      </c>
      <c r="L3972" s="128"/>
      <c r="M3972" s="128">
        <v>611677</v>
      </c>
      <c r="N3972" s="109" t="s">
        <v>7221</v>
      </c>
      <c r="O3972" s="20" t="s">
        <v>2716</v>
      </c>
      <c r="P3972" s="20"/>
      <c r="Q3972" s="20"/>
    </row>
    <row r="3973" spans="1:17" ht="24.9" customHeight="1">
      <c r="A3973" s="20" t="s">
        <v>7143</v>
      </c>
      <c r="B3973" s="20" t="s">
        <v>4356</v>
      </c>
      <c r="C3973" s="20"/>
      <c r="D3973" s="79" t="s">
        <v>48</v>
      </c>
      <c r="E3973" s="19" t="str">
        <f>VLOOKUP(D3973,'لیست پرسنل'!$B$2:$E$1020,3,FALSE)</f>
        <v>فکورصنعت</v>
      </c>
      <c r="F3973" s="19" t="str">
        <f>VLOOKUP(D3973,'لیست پرسنل'!$B$2:$E$1020,4,FALSE)</f>
        <v>سرپرست آی تی</v>
      </c>
      <c r="G3973" s="127">
        <f>VLOOKUP(D3973,'لیست پرسنل'!$B$2:$F$1020,2,FALSE)</f>
        <v>2210</v>
      </c>
      <c r="H3973" s="128" t="s">
        <v>3902</v>
      </c>
      <c r="I3973" s="128"/>
      <c r="J3973" s="128" t="s">
        <v>1967</v>
      </c>
      <c r="K3973" s="128" t="s">
        <v>7222</v>
      </c>
      <c r="L3973" s="127"/>
      <c r="M3973" s="127">
        <v>621189</v>
      </c>
      <c r="N3973" s="109" t="s">
        <v>7221</v>
      </c>
      <c r="O3973" s="20"/>
      <c r="P3973" s="20"/>
      <c r="Q3973" s="20"/>
    </row>
    <row r="3974" spans="1:17" ht="24.9" customHeight="1">
      <c r="A3974" s="20" t="s">
        <v>7143</v>
      </c>
      <c r="B3974" s="20" t="s">
        <v>4356</v>
      </c>
      <c r="C3974" s="20"/>
      <c r="D3974" s="20" t="s">
        <v>48</v>
      </c>
      <c r="E3974" s="19" t="str">
        <f>VLOOKUP(D3974,'لیست پرسنل'!$B$2:$E$1020,3,FALSE)</f>
        <v>فکورصنعت</v>
      </c>
      <c r="F3974" s="19" t="str">
        <f>VLOOKUP(D3974,'لیست پرسنل'!$B$2:$E$1020,4,FALSE)</f>
        <v>سرپرست آی تی</v>
      </c>
      <c r="G3974" s="127">
        <f>VLOOKUP(D3974,'لیست پرسنل'!$B$2:$F$1020,2,FALSE)</f>
        <v>2210</v>
      </c>
      <c r="H3974" s="128" t="s">
        <v>3902</v>
      </c>
      <c r="I3974" s="127"/>
      <c r="J3974" s="126" t="s">
        <v>368</v>
      </c>
      <c r="K3974" s="127" t="s">
        <v>682</v>
      </c>
      <c r="L3974" s="127"/>
      <c r="M3974" s="127">
        <v>622811</v>
      </c>
      <c r="N3974" s="109"/>
      <c r="O3974" s="20" t="s">
        <v>5434</v>
      </c>
      <c r="P3974" s="20"/>
      <c r="Q3974" s="20"/>
    </row>
    <row r="3975" spans="1:17" ht="24.9" customHeight="1">
      <c r="A3975" s="20" t="s">
        <v>7143</v>
      </c>
      <c r="B3975" s="20" t="s">
        <v>4356</v>
      </c>
      <c r="C3975" s="20"/>
      <c r="D3975" s="79" t="s">
        <v>48</v>
      </c>
      <c r="E3975" s="19" t="str">
        <f>VLOOKUP(D3975,'لیست پرسنل'!$B$2:$E$1020,3,FALSE)</f>
        <v>فکورصنعت</v>
      </c>
      <c r="F3975" s="19" t="str">
        <f>VLOOKUP(D3975,'لیست پرسنل'!$B$2:$E$1020,4,FALSE)</f>
        <v>سرپرست آی تی</v>
      </c>
      <c r="G3975" s="127">
        <f>VLOOKUP(D3975,'لیست پرسنل'!$B$2:$F$1020,2,FALSE)</f>
        <v>2210</v>
      </c>
      <c r="H3975" s="128" t="s">
        <v>3902</v>
      </c>
      <c r="I3975" s="128"/>
      <c r="J3975" s="126" t="s">
        <v>368</v>
      </c>
      <c r="K3975" s="128" t="s">
        <v>682</v>
      </c>
      <c r="L3975" s="127" t="s">
        <v>670</v>
      </c>
      <c r="M3975" s="127">
        <v>622818</v>
      </c>
      <c r="N3975" s="109" t="s">
        <v>7221</v>
      </c>
      <c r="O3975" s="20"/>
      <c r="P3975" s="20"/>
      <c r="Q3975" s="20"/>
    </row>
    <row r="3976" spans="1:17" ht="24.9" customHeight="1">
      <c r="A3976" s="20" t="s">
        <v>7143</v>
      </c>
      <c r="B3976" s="20" t="s">
        <v>4356</v>
      </c>
      <c r="C3976" s="20"/>
      <c r="D3976" s="79" t="s">
        <v>48</v>
      </c>
      <c r="E3976" s="19" t="str">
        <f>VLOOKUP(D3976,'لیست پرسنل'!$B$2:$E$1020,3,FALSE)</f>
        <v>فکورصنعت</v>
      </c>
      <c r="F3976" s="19" t="str">
        <f>VLOOKUP(D3976,'لیست پرسنل'!$B$2:$E$1020,4,FALSE)</f>
        <v>سرپرست آی تی</v>
      </c>
      <c r="G3976" s="127">
        <f>VLOOKUP(D3976,'لیست پرسنل'!$B$2:$F$1020,2,FALSE)</f>
        <v>2210</v>
      </c>
      <c r="H3976" s="128" t="s">
        <v>3902</v>
      </c>
      <c r="I3976" s="128"/>
      <c r="J3976" s="126" t="s">
        <v>368</v>
      </c>
      <c r="K3976" s="128" t="s">
        <v>2846</v>
      </c>
      <c r="L3976" s="127" t="s">
        <v>1093</v>
      </c>
      <c r="M3976" s="127">
        <v>623220</v>
      </c>
      <c r="N3976" s="109" t="s">
        <v>7221</v>
      </c>
      <c r="O3976" s="20"/>
      <c r="P3976" s="20"/>
      <c r="Q3976" s="20"/>
    </row>
    <row r="3977" spans="1:17" ht="24.9" customHeight="1">
      <c r="A3977" s="20" t="s">
        <v>7143</v>
      </c>
      <c r="B3977" s="20" t="s">
        <v>4356</v>
      </c>
      <c r="C3977" s="20"/>
      <c r="D3977" s="20" t="s">
        <v>48</v>
      </c>
      <c r="E3977" s="19" t="str">
        <f>VLOOKUP(D3977,'لیست پرسنل'!$B$2:$E$1020,3,FALSE)</f>
        <v>فکورصنعت</v>
      </c>
      <c r="F3977" s="19" t="str">
        <f>VLOOKUP(D3977,'لیست پرسنل'!$B$2:$E$1020,4,FALSE)</f>
        <v>سرپرست آی تی</v>
      </c>
      <c r="G3977" s="127">
        <f>VLOOKUP(D3977,'لیست پرسنل'!$B$2:$F$1020,2,FALSE)</f>
        <v>2210</v>
      </c>
      <c r="H3977" s="128" t="s">
        <v>3902</v>
      </c>
      <c r="I3977" s="127"/>
      <c r="J3977" s="126" t="s">
        <v>368</v>
      </c>
      <c r="K3977" s="127" t="s">
        <v>2846</v>
      </c>
      <c r="L3977" s="127" t="s">
        <v>1739</v>
      </c>
      <c r="M3977" s="127">
        <v>625687</v>
      </c>
      <c r="N3977" s="109"/>
      <c r="O3977" s="20" t="s">
        <v>5434</v>
      </c>
      <c r="P3977" s="20"/>
      <c r="Q3977" s="20"/>
    </row>
    <row r="3978" spans="1:17" ht="24.9" customHeight="1">
      <c r="A3978" s="20" t="s">
        <v>7143</v>
      </c>
      <c r="B3978" s="20" t="s">
        <v>4356</v>
      </c>
      <c r="C3978" s="20"/>
      <c r="D3978" s="79" t="s">
        <v>48</v>
      </c>
      <c r="E3978" s="19" t="str">
        <f>VLOOKUP(D3978,'لیست پرسنل'!$B$2:$E$1020,3,FALSE)</f>
        <v>فکورصنعت</v>
      </c>
      <c r="F3978" s="19" t="str">
        <f>VLOOKUP(D3978,'لیست پرسنل'!$B$2:$E$1020,4,FALSE)</f>
        <v>سرپرست آی تی</v>
      </c>
      <c r="G3978" s="127">
        <f>VLOOKUP(D3978,'لیست پرسنل'!$B$2:$F$1020,2,FALSE)</f>
        <v>2210</v>
      </c>
      <c r="H3978" s="128" t="s">
        <v>3902</v>
      </c>
      <c r="I3978" s="128"/>
      <c r="J3978" s="126" t="s">
        <v>368</v>
      </c>
      <c r="K3978" s="135" t="s">
        <v>8248</v>
      </c>
      <c r="L3978" s="127" t="s">
        <v>2517</v>
      </c>
      <c r="M3978" s="128">
        <v>628929</v>
      </c>
      <c r="N3978" s="109" t="s">
        <v>7221</v>
      </c>
      <c r="O3978" s="20" t="s">
        <v>705</v>
      </c>
      <c r="P3978" s="20"/>
      <c r="Q3978" s="20"/>
    </row>
    <row r="3979" spans="1:17" ht="24.9" customHeight="1">
      <c r="A3979" s="20" t="s">
        <v>7143</v>
      </c>
      <c r="B3979" s="20" t="s">
        <v>4356</v>
      </c>
      <c r="C3979" s="20"/>
      <c r="D3979" s="20" t="s">
        <v>48</v>
      </c>
      <c r="E3979" s="19" t="str">
        <f>VLOOKUP(D3979,'لیست پرسنل'!$B$2:$E$1020,3,FALSE)</f>
        <v>فکورصنعت</v>
      </c>
      <c r="F3979" s="19" t="str">
        <f>VLOOKUP(D3979,'لیست پرسنل'!$B$2:$E$1020,4,FALSE)</f>
        <v>سرپرست آی تی</v>
      </c>
      <c r="G3979" s="127">
        <f>VLOOKUP(D3979,'لیست پرسنل'!$B$2:$F$1020,2,FALSE)</f>
        <v>2210</v>
      </c>
      <c r="H3979" s="128" t="s">
        <v>3902</v>
      </c>
      <c r="I3979" s="127"/>
      <c r="J3979" s="128" t="s">
        <v>3938</v>
      </c>
      <c r="K3979" s="127" t="s">
        <v>3944</v>
      </c>
      <c r="L3979" s="151" t="s">
        <v>3945</v>
      </c>
      <c r="M3979" s="128">
        <v>611810</v>
      </c>
      <c r="N3979" s="108"/>
      <c r="O3979" s="20" t="s">
        <v>3233</v>
      </c>
      <c r="P3979" s="20"/>
      <c r="Q3979" s="20"/>
    </row>
    <row r="3980" spans="1:17" ht="24.9" customHeight="1">
      <c r="A3980" s="20" t="s">
        <v>7143</v>
      </c>
      <c r="B3980" s="20" t="s">
        <v>4356</v>
      </c>
      <c r="C3980" s="20"/>
      <c r="D3980" s="20" t="s">
        <v>48</v>
      </c>
      <c r="E3980" s="19" t="str">
        <f>VLOOKUP(D3980,'لیست پرسنل'!$B$2:$E$1020,3,FALSE)</f>
        <v>فکورصنعت</v>
      </c>
      <c r="F3980" s="19" t="str">
        <f>VLOOKUP(D3980,'لیست پرسنل'!$B$2:$E$1020,4,FALSE)</f>
        <v>سرپرست آی تی</v>
      </c>
      <c r="G3980" s="127">
        <f>VLOOKUP(D3980,'لیست پرسنل'!$B$2:$F$1020,2,FALSE)</f>
        <v>2210</v>
      </c>
      <c r="H3980" s="128" t="s">
        <v>3902</v>
      </c>
      <c r="I3980" s="127"/>
      <c r="J3980" s="128" t="s">
        <v>3285</v>
      </c>
      <c r="K3980" s="127" t="s">
        <v>654</v>
      </c>
      <c r="L3980" s="151"/>
      <c r="M3980" s="128">
        <v>622488</v>
      </c>
      <c r="N3980" s="108"/>
      <c r="O3980" s="20" t="s">
        <v>3946</v>
      </c>
      <c r="P3980" s="20"/>
      <c r="Q3980" s="20"/>
    </row>
    <row r="3981" spans="1:17" ht="24.9" customHeight="1">
      <c r="A3981" s="20" t="s">
        <v>7143</v>
      </c>
      <c r="B3981" s="20" t="s">
        <v>4356</v>
      </c>
      <c r="C3981" s="20"/>
      <c r="D3981" s="20" t="s">
        <v>48</v>
      </c>
      <c r="E3981" s="19" t="str">
        <f>VLOOKUP(D3981,'لیست پرسنل'!$B$2:$E$1020,3,FALSE)</f>
        <v>فکورصنعت</v>
      </c>
      <c r="F3981" s="19" t="str">
        <f>VLOOKUP(D3981,'لیست پرسنل'!$B$2:$E$1020,4,FALSE)</f>
        <v>سرپرست آی تی</v>
      </c>
      <c r="G3981" s="127">
        <f>VLOOKUP(D3981,'لیست پرسنل'!$B$2:$F$1020,2,FALSE)</f>
        <v>2210</v>
      </c>
      <c r="H3981" s="128" t="s">
        <v>3902</v>
      </c>
      <c r="I3981" s="127"/>
      <c r="J3981" s="128" t="s">
        <v>3476</v>
      </c>
      <c r="K3981" s="127" t="s">
        <v>1750</v>
      </c>
      <c r="L3981" s="151" t="s">
        <v>1733</v>
      </c>
      <c r="M3981" s="135">
        <v>625682</v>
      </c>
      <c r="N3981" s="108"/>
      <c r="O3981" s="20"/>
      <c r="P3981" s="20"/>
      <c r="Q3981" s="20"/>
    </row>
    <row r="3982" spans="1:17" ht="24.9" customHeight="1">
      <c r="A3982" s="20" t="s">
        <v>7143</v>
      </c>
      <c r="B3982" s="20" t="s">
        <v>4356</v>
      </c>
      <c r="C3982" s="20"/>
      <c r="D3982" s="20" t="s">
        <v>48</v>
      </c>
      <c r="E3982" s="19" t="str">
        <f>VLOOKUP(D3982,'لیست پرسنل'!$B$2:$E$1020,3,FALSE)</f>
        <v>فکورصنعت</v>
      </c>
      <c r="F3982" s="19" t="str">
        <f>VLOOKUP(D3982,'لیست پرسنل'!$B$2:$E$1020,4,FALSE)</f>
        <v>سرپرست آی تی</v>
      </c>
      <c r="G3982" s="127">
        <f>VLOOKUP(D3982,'لیست پرسنل'!$B$2:$F$1020,2,FALSE)</f>
        <v>2210</v>
      </c>
      <c r="H3982" s="128" t="s">
        <v>3902</v>
      </c>
      <c r="I3982" s="128"/>
      <c r="J3982" s="128" t="s">
        <v>571</v>
      </c>
      <c r="K3982" s="128" t="s">
        <v>2174</v>
      </c>
      <c r="L3982" s="157" t="s">
        <v>250</v>
      </c>
      <c r="M3982" s="134">
        <v>600023</v>
      </c>
      <c r="N3982" s="108"/>
      <c r="O3982" s="20" t="s">
        <v>3906</v>
      </c>
      <c r="P3982" s="20"/>
      <c r="Q3982" s="20"/>
    </row>
    <row r="3983" spans="1:17" ht="24.9" customHeight="1">
      <c r="A3983" s="20" t="s">
        <v>7143</v>
      </c>
      <c r="B3983" s="20" t="s">
        <v>4356</v>
      </c>
      <c r="C3983" s="20"/>
      <c r="D3983" s="20" t="s">
        <v>48</v>
      </c>
      <c r="E3983" s="19" t="str">
        <f>VLOOKUP(D3983,'لیست پرسنل'!$B$2:$E$1020,3,FALSE)</f>
        <v>فکورصنعت</v>
      </c>
      <c r="F3983" s="19" t="str">
        <f>VLOOKUP(D3983,'لیست پرسنل'!$B$2:$E$1020,4,FALSE)</f>
        <v>سرپرست آی تی</v>
      </c>
      <c r="G3983" s="127">
        <f>VLOOKUP(D3983,'لیست پرسنل'!$B$2:$F$1020,2,FALSE)</f>
        <v>2210</v>
      </c>
      <c r="H3983" s="128" t="s">
        <v>3902</v>
      </c>
      <c r="I3983" s="127"/>
      <c r="J3983" s="128" t="s">
        <v>571</v>
      </c>
      <c r="K3983" s="127"/>
      <c r="L3983" s="127" t="s">
        <v>251</v>
      </c>
      <c r="M3983" s="132">
        <v>601441</v>
      </c>
      <c r="N3983" s="108"/>
      <c r="O3983" s="20"/>
      <c r="P3983" s="20"/>
      <c r="Q3983" s="20"/>
    </row>
    <row r="3984" spans="1:17" ht="24.9" customHeight="1">
      <c r="A3984" s="20" t="s">
        <v>7143</v>
      </c>
      <c r="B3984" s="20" t="s">
        <v>4356</v>
      </c>
      <c r="C3984" s="20"/>
      <c r="D3984" s="79" t="s">
        <v>48</v>
      </c>
      <c r="E3984" s="19" t="str">
        <f>VLOOKUP(D3984,'لیست پرسنل'!$B$2:$E$1020,3,FALSE)</f>
        <v>فکورصنعت</v>
      </c>
      <c r="F3984" s="19" t="str">
        <f>VLOOKUP(D3984,'لیست پرسنل'!$B$2:$E$1020,4,FALSE)</f>
        <v>سرپرست آی تی</v>
      </c>
      <c r="G3984" s="127">
        <f>VLOOKUP(D3984,'لیست پرسنل'!$B$2:$F$1020,2,FALSE)</f>
        <v>2210</v>
      </c>
      <c r="H3984" s="128" t="s">
        <v>3902</v>
      </c>
      <c r="I3984" s="128"/>
      <c r="J3984" s="128" t="s">
        <v>571</v>
      </c>
      <c r="K3984" s="128"/>
      <c r="L3984" s="150"/>
      <c r="M3984" s="128">
        <v>602515</v>
      </c>
      <c r="N3984" s="109" t="s">
        <v>7221</v>
      </c>
      <c r="O3984" s="20"/>
      <c r="P3984" s="20"/>
      <c r="Q3984" s="20"/>
    </row>
    <row r="3985" spans="1:17" ht="24.9" customHeight="1">
      <c r="A3985" s="20" t="s">
        <v>7143</v>
      </c>
      <c r="B3985" s="20" t="s">
        <v>4356</v>
      </c>
      <c r="C3985" s="20"/>
      <c r="D3985" s="79" t="s">
        <v>48</v>
      </c>
      <c r="E3985" s="19" t="str">
        <f>VLOOKUP(D3985,'لیست پرسنل'!$B$2:$E$1020,3,FALSE)</f>
        <v>فکورصنعت</v>
      </c>
      <c r="F3985" s="19" t="str">
        <f>VLOOKUP(D3985,'لیست پرسنل'!$B$2:$E$1020,4,FALSE)</f>
        <v>سرپرست آی تی</v>
      </c>
      <c r="G3985" s="127">
        <f>VLOOKUP(D3985,'لیست پرسنل'!$B$2:$F$1020,2,FALSE)</f>
        <v>2210</v>
      </c>
      <c r="H3985" s="128" t="s">
        <v>3902</v>
      </c>
      <c r="I3985" s="128"/>
      <c r="J3985" s="128" t="s">
        <v>571</v>
      </c>
      <c r="K3985" s="128"/>
      <c r="L3985" s="151"/>
      <c r="M3985" s="127">
        <v>602632</v>
      </c>
      <c r="N3985" s="109" t="s">
        <v>7221</v>
      </c>
      <c r="O3985" s="20"/>
      <c r="P3985" s="20"/>
      <c r="Q3985" s="20"/>
    </row>
    <row r="3986" spans="1:17" ht="24.9" customHeight="1">
      <c r="A3986" s="20" t="s">
        <v>7143</v>
      </c>
      <c r="B3986" s="20" t="s">
        <v>4356</v>
      </c>
      <c r="C3986" s="20"/>
      <c r="D3986" s="79" t="s">
        <v>48</v>
      </c>
      <c r="E3986" s="19" t="str">
        <f>VLOOKUP(D3986,'لیست پرسنل'!$B$2:$E$1020,3,FALSE)</f>
        <v>فکورصنعت</v>
      </c>
      <c r="F3986" s="19" t="str">
        <f>VLOOKUP(D3986,'لیست پرسنل'!$B$2:$E$1020,4,FALSE)</f>
        <v>سرپرست آی تی</v>
      </c>
      <c r="G3986" s="127">
        <f>VLOOKUP(D3986,'لیست پرسنل'!$B$2:$F$1020,2,FALSE)</f>
        <v>2210</v>
      </c>
      <c r="H3986" s="128" t="s">
        <v>3902</v>
      </c>
      <c r="I3986" s="128"/>
      <c r="J3986" s="128" t="s">
        <v>571</v>
      </c>
      <c r="K3986" s="128"/>
      <c r="L3986" s="151"/>
      <c r="M3986" s="127">
        <v>603351</v>
      </c>
      <c r="N3986" s="109" t="s">
        <v>7221</v>
      </c>
      <c r="O3986" s="20"/>
      <c r="P3986" s="20"/>
      <c r="Q3986" s="20"/>
    </row>
    <row r="3987" spans="1:17" ht="24.9" customHeight="1">
      <c r="A3987" s="20" t="s">
        <v>7143</v>
      </c>
      <c r="B3987" s="20" t="s">
        <v>4356</v>
      </c>
      <c r="C3987" s="20"/>
      <c r="D3987" s="20" t="s">
        <v>48</v>
      </c>
      <c r="E3987" s="19" t="str">
        <f>VLOOKUP(D3987,'لیست پرسنل'!$B$2:$E$1020,3,FALSE)</f>
        <v>فکورصنعت</v>
      </c>
      <c r="F3987" s="19" t="str">
        <f>VLOOKUP(D3987,'لیست پرسنل'!$B$2:$E$1020,4,FALSE)</f>
        <v>سرپرست آی تی</v>
      </c>
      <c r="G3987" s="127">
        <f>VLOOKUP(D3987,'لیست پرسنل'!$B$2:$F$1020,2,FALSE)</f>
        <v>2210</v>
      </c>
      <c r="H3987" s="128" t="s">
        <v>3902</v>
      </c>
      <c r="I3987" s="127"/>
      <c r="J3987" s="128" t="s">
        <v>571</v>
      </c>
      <c r="K3987" s="127" t="s">
        <v>1114</v>
      </c>
      <c r="L3987" s="154"/>
      <c r="M3987" s="127">
        <v>604343</v>
      </c>
      <c r="N3987" s="109"/>
      <c r="O3987" s="20" t="s">
        <v>5434</v>
      </c>
      <c r="P3987" s="20"/>
      <c r="Q3987" s="20"/>
    </row>
    <row r="3988" spans="1:17" ht="24.9" customHeight="1">
      <c r="A3988" s="20" t="s">
        <v>7143</v>
      </c>
      <c r="B3988" s="20" t="s">
        <v>4356</v>
      </c>
      <c r="C3988" s="20"/>
      <c r="D3988" s="79" t="s">
        <v>48</v>
      </c>
      <c r="E3988" s="19" t="str">
        <f>VLOOKUP(D3988,'لیست پرسنل'!$B$2:$E$1020,3,FALSE)</f>
        <v>فکورصنعت</v>
      </c>
      <c r="F3988" s="19" t="str">
        <f>VLOOKUP(D3988,'لیست پرسنل'!$B$2:$E$1020,4,FALSE)</f>
        <v>سرپرست آی تی</v>
      </c>
      <c r="G3988" s="127">
        <f>VLOOKUP(D3988,'لیست پرسنل'!$B$2:$F$1020,2,FALSE)</f>
        <v>2210</v>
      </c>
      <c r="H3988" s="128" t="s">
        <v>3902</v>
      </c>
      <c r="I3988" s="128"/>
      <c r="J3988" s="128" t="s">
        <v>571</v>
      </c>
      <c r="K3988" s="128"/>
      <c r="L3988" s="151"/>
      <c r="M3988" s="127">
        <v>606623</v>
      </c>
      <c r="N3988" s="109" t="s">
        <v>7221</v>
      </c>
      <c r="O3988" s="20"/>
      <c r="P3988" s="20"/>
      <c r="Q3988" s="20"/>
    </row>
    <row r="3989" spans="1:17" ht="24.9" customHeight="1">
      <c r="A3989" s="20" t="s">
        <v>7143</v>
      </c>
      <c r="B3989" s="20" t="s">
        <v>4356</v>
      </c>
      <c r="C3989" s="20"/>
      <c r="D3989" s="79" t="s">
        <v>48</v>
      </c>
      <c r="E3989" s="19" t="str">
        <f>VLOOKUP(D3989,'لیست پرسنل'!$B$2:$E$1020,3,FALSE)</f>
        <v>فکورصنعت</v>
      </c>
      <c r="F3989" s="19" t="str">
        <f>VLOOKUP(D3989,'لیست پرسنل'!$B$2:$E$1020,4,FALSE)</f>
        <v>سرپرست آی تی</v>
      </c>
      <c r="G3989" s="127">
        <f>VLOOKUP(D3989,'لیست پرسنل'!$B$2:$F$1020,2,FALSE)</f>
        <v>2210</v>
      </c>
      <c r="H3989" s="128" t="s">
        <v>3902</v>
      </c>
      <c r="I3989" s="128"/>
      <c r="J3989" s="128" t="s">
        <v>571</v>
      </c>
      <c r="K3989" s="128"/>
      <c r="L3989" s="151"/>
      <c r="M3989" s="127">
        <v>608751</v>
      </c>
      <c r="N3989" s="109" t="s">
        <v>7221</v>
      </c>
      <c r="O3989" s="20"/>
      <c r="P3989" s="20"/>
      <c r="Q3989" s="20"/>
    </row>
    <row r="3990" spans="1:17" ht="24.9" customHeight="1">
      <c r="A3990" s="20" t="s">
        <v>7143</v>
      </c>
      <c r="B3990" s="20" t="s">
        <v>4356</v>
      </c>
      <c r="C3990" s="20"/>
      <c r="D3990" s="20" t="s">
        <v>48</v>
      </c>
      <c r="E3990" s="19" t="str">
        <f>VLOOKUP(D3990,'لیست پرسنل'!$B$2:$E$1020,3,FALSE)</f>
        <v>فکورصنعت</v>
      </c>
      <c r="F3990" s="19" t="str">
        <f>VLOOKUP(D3990,'لیست پرسنل'!$B$2:$E$1020,4,FALSE)</f>
        <v>سرپرست آی تی</v>
      </c>
      <c r="G3990" s="127">
        <f>VLOOKUP(D3990,'لیست پرسنل'!$B$2:$F$1020,2,FALSE)</f>
        <v>2210</v>
      </c>
      <c r="H3990" s="128" t="s">
        <v>3902</v>
      </c>
      <c r="I3990" s="127"/>
      <c r="J3990" s="128" t="s">
        <v>571</v>
      </c>
      <c r="K3990" s="127"/>
      <c r="L3990" s="151"/>
      <c r="M3990" s="127">
        <v>622610</v>
      </c>
      <c r="N3990" s="109"/>
      <c r="O3990" s="20" t="s">
        <v>5434</v>
      </c>
      <c r="P3990" s="20"/>
      <c r="Q3990" s="20"/>
    </row>
    <row r="3991" spans="1:17" ht="24.9" customHeight="1">
      <c r="A3991" s="20" t="s">
        <v>7143</v>
      </c>
      <c r="B3991" s="20" t="s">
        <v>4356</v>
      </c>
      <c r="C3991" s="20"/>
      <c r="D3991" s="20" t="s">
        <v>48</v>
      </c>
      <c r="E3991" s="19" t="str">
        <f>VLOOKUP(D3991,'لیست پرسنل'!$B$2:$E$1020,3,FALSE)</f>
        <v>فکورصنعت</v>
      </c>
      <c r="F3991" s="19" t="str">
        <f>VLOOKUP(D3991,'لیست پرسنل'!$B$2:$E$1020,4,FALSE)</f>
        <v>سرپرست آی تی</v>
      </c>
      <c r="G3991" s="127">
        <f>VLOOKUP(D3991,'لیست پرسنل'!$B$2:$F$1020,2,FALSE)</f>
        <v>2210</v>
      </c>
      <c r="H3991" s="128" t="s">
        <v>3902</v>
      </c>
      <c r="I3991" s="127"/>
      <c r="J3991" s="128" t="s">
        <v>2686</v>
      </c>
      <c r="K3991" s="127" t="s">
        <v>320</v>
      </c>
      <c r="L3991" s="151" t="s">
        <v>2183</v>
      </c>
      <c r="M3991" s="127">
        <v>600125</v>
      </c>
      <c r="N3991" s="109"/>
      <c r="O3991" s="20" t="s">
        <v>5434</v>
      </c>
      <c r="P3991" s="20"/>
      <c r="Q3991" s="20"/>
    </row>
    <row r="3992" spans="1:17" ht="24.9" customHeight="1">
      <c r="A3992" s="20" t="s">
        <v>7143</v>
      </c>
      <c r="B3992" s="20" t="s">
        <v>4356</v>
      </c>
      <c r="C3992" s="20"/>
      <c r="D3992" s="79" t="s">
        <v>48</v>
      </c>
      <c r="E3992" s="19" t="str">
        <f>VLOOKUP(D3992,'لیست پرسنل'!$B$2:$E$1020,3,FALSE)</f>
        <v>فکورصنعت</v>
      </c>
      <c r="F3992" s="19" t="str">
        <f>VLOOKUP(D3992,'لیست پرسنل'!$B$2:$E$1020,4,FALSE)</f>
        <v>سرپرست آی تی</v>
      </c>
      <c r="G3992" s="127">
        <f>VLOOKUP(D3992,'لیست پرسنل'!$B$2:$F$1020,2,FALSE)</f>
        <v>2210</v>
      </c>
      <c r="H3992" s="128" t="s">
        <v>3902</v>
      </c>
      <c r="I3992" s="128"/>
      <c r="J3992" s="128" t="s">
        <v>2686</v>
      </c>
      <c r="K3992" s="128" t="s">
        <v>89</v>
      </c>
      <c r="L3992" s="151" t="s">
        <v>490</v>
      </c>
      <c r="M3992" s="127">
        <v>601486</v>
      </c>
      <c r="N3992" s="109" t="s">
        <v>7221</v>
      </c>
      <c r="O3992" s="81" t="s">
        <v>3535</v>
      </c>
      <c r="P3992" s="20"/>
      <c r="Q3992" s="20"/>
    </row>
    <row r="3993" spans="1:17" ht="24.9" customHeight="1">
      <c r="A3993" s="20" t="s">
        <v>7143</v>
      </c>
      <c r="B3993" s="20" t="s">
        <v>4356</v>
      </c>
      <c r="C3993" s="20"/>
      <c r="D3993" s="79" t="s">
        <v>48</v>
      </c>
      <c r="E3993" s="19" t="str">
        <f>VLOOKUP(D3993,'لیست پرسنل'!$B$2:$E$1020,3,FALSE)</f>
        <v>فکورصنعت</v>
      </c>
      <c r="F3993" s="19" t="str">
        <f>VLOOKUP(D3993,'لیست پرسنل'!$B$2:$E$1020,4,FALSE)</f>
        <v>سرپرست آی تی</v>
      </c>
      <c r="G3993" s="127">
        <f>VLOOKUP(D3993,'لیست پرسنل'!$B$2:$F$1020,2,FALSE)</f>
        <v>2210</v>
      </c>
      <c r="H3993" s="128" t="s">
        <v>3902</v>
      </c>
      <c r="I3993" s="128"/>
      <c r="J3993" s="128" t="s">
        <v>2686</v>
      </c>
      <c r="K3993" s="128" t="s">
        <v>621</v>
      </c>
      <c r="L3993" s="151" t="s">
        <v>3836</v>
      </c>
      <c r="M3993" s="127">
        <v>602636</v>
      </c>
      <c r="N3993" s="109" t="s">
        <v>7221</v>
      </c>
      <c r="O3993" s="20"/>
      <c r="P3993" s="20"/>
      <c r="Q3993" s="20"/>
    </row>
    <row r="3994" spans="1:17" ht="24.9" customHeight="1">
      <c r="A3994" s="185" t="s">
        <v>7143</v>
      </c>
      <c r="B3994" s="185" t="s">
        <v>4356</v>
      </c>
      <c r="C3994" s="185"/>
      <c r="D3994" s="208" t="s">
        <v>48</v>
      </c>
      <c r="E3994" s="186" t="str">
        <f>VLOOKUP(D3994,'لیست پرسنل'!$B$2:$E$1020,3,FALSE)</f>
        <v>فکورصنعت</v>
      </c>
      <c r="F3994" s="186" t="str">
        <f>VLOOKUP(D3994,'لیست پرسنل'!$B$2:$E$1020,4,FALSE)</f>
        <v>سرپرست آی تی</v>
      </c>
      <c r="G3994" s="187">
        <f>VLOOKUP(D3994,'لیست پرسنل'!$B$2:$F$1020,2,FALSE)</f>
        <v>2210</v>
      </c>
      <c r="H3994" s="241" t="s">
        <v>3902</v>
      </c>
      <c r="I3994" s="242"/>
      <c r="J3994" s="188" t="s">
        <v>2686</v>
      </c>
      <c r="K3994" s="188" t="s">
        <v>562</v>
      </c>
      <c r="L3994" s="206" t="s">
        <v>1190</v>
      </c>
      <c r="M3994" s="190">
        <v>606680</v>
      </c>
      <c r="N3994" s="189"/>
      <c r="O3994" s="186"/>
      <c r="P3994" s="185"/>
      <c r="Q3994" s="185"/>
    </row>
    <row r="3995" spans="1:17" ht="24.9" customHeight="1">
      <c r="A3995" s="20" t="s">
        <v>7143</v>
      </c>
      <c r="B3995" s="20" t="s">
        <v>4356</v>
      </c>
      <c r="C3995" s="20"/>
      <c r="D3995" s="79" t="s">
        <v>48</v>
      </c>
      <c r="E3995" s="19" t="str">
        <f>VLOOKUP(D3995,'لیست پرسنل'!$B$2:$E$1020,3,FALSE)</f>
        <v>فکورصنعت</v>
      </c>
      <c r="F3995" s="19" t="str">
        <f>VLOOKUP(D3995,'لیست پرسنل'!$B$2:$E$1020,4,FALSE)</f>
        <v>سرپرست آی تی</v>
      </c>
      <c r="G3995" s="127">
        <f>VLOOKUP(D3995,'لیست پرسنل'!$B$2:$F$1020,2,FALSE)</f>
        <v>2210</v>
      </c>
      <c r="H3995" s="128" t="s">
        <v>3902</v>
      </c>
      <c r="I3995" s="128"/>
      <c r="J3995" s="128" t="s">
        <v>2686</v>
      </c>
      <c r="K3995" s="128" t="s">
        <v>1388</v>
      </c>
      <c r="L3995" s="150" t="s">
        <v>2182</v>
      </c>
      <c r="M3995" s="128">
        <v>608008</v>
      </c>
      <c r="N3995" s="109" t="s">
        <v>7221</v>
      </c>
      <c r="O3995" s="20"/>
      <c r="P3995" s="20"/>
      <c r="Q3995" s="20"/>
    </row>
    <row r="3996" spans="1:17" ht="24.9" customHeight="1">
      <c r="A3996" s="20" t="s">
        <v>7143</v>
      </c>
      <c r="B3996" s="20" t="s">
        <v>4356</v>
      </c>
      <c r="C3996" s="20"/>
      <c r="D3996" s="20" t="s">
        <v>48</v>
      </c>
      <c r="E3996" s="19" t="str">
        <f>VLOOKUP(D3996,'لیست پرسنل'!$B$2:$E$1020,3,FALSE)</f>
        <v>فکورصنعت</v>
      </c>
      <c r="F3996" s="19" t="str">
        <f>VLOOKUP(D3996,'لیست پرسنل'!$B$2:$E$1020,4,FALSE)</f>
        <v>سرپرست آی تی</v>
      </c>
      <c r="G3996" s="127">
        <f>VLOOKUP(D3996,'لیست پرسنل'!$B$2:$F$1020,2,FALSE)</f>
        <v>2210</v>
      </c>
      <c r="H3996" s="128" t="s">
        <v>3902</v>
      </c>
      <c r="I3996" s="127"/>
      <c r="J3996" s="128" t="s">
        <v>2686</v>
      </c>
      <c r="K3996" s="127" t="s">
        <v>320</v>
      </c>
      <c r="L3996" s="151" t="s">
        <v>2188</v>
      </c>
      <c r="M3996" s="127">
        <v>610552</v>
      </c>
      <c r="N3996" s="109"/>
      <c r="O3996" s="20" t="s">
        <v>5434</v>
      </c>
      <c r="P3996" s="20"/>
      <c r="Q3996" s="20"/>
    </row>
    <row r="3997" spans="1:17" ht="24.9" customHeight="1">
      <c r="A3997" s="20" t="s">
        <v>7143</v>
      </c>
      <c r="B3997" s="20" t="s">
        <v>4356</v>
      </c>
      <c r="C3997" s="20"/>
      <c r="D3997" s="79" t="s">
        <v>48</v>
      </c>
      <c r="E3997" s="19" t="str">
        <f>VLOOKUP(D3997,'لیست پرسنل'!$B$2:$E$1020,3,FALSE)</f>
        <v>فکورصنعت</v>
      </c>
      <c r="F3997" s="19" t="str">
        <f>VLOOKUP(D3997,'لیست پرسنل'!$B$2:$E$1020,4,FALSE)</f>
        <v>سرپرست آی تی</v>
      </c>
      <c r="G3997" s="127">
        <f>VLOOKUP(D3997,'لیست پرسنل'!$B$2:$F$1020,2,FALSE)</f>
        <v>2210</v>
      </c>
      <c r="H3997" s="128" t="s">
        <v>3902</v>
      </c>
      <c r="I3997" s="128"/>
      <c r="J3997" s="128" t="s">
        <v>2686</v>
      </c>
      <c r="K3997" s="128" t="s">
        <v>1387</v>
      </c>
      <c r="L3997" s="151" t="s">
        <v>456</v>
      </c>
      <c r="M3997" s="127">
        <v>611154</v>
      </c>
      <c r="N3997" s="109" t="s">
        <v>7221</v>
      </c>
      <c r="O3997" s="20"/>
      <c r="P3997" s="20"/>
      <c r="Q3997" s="20"/>
    </row>
    <row r="3998" spans="1:17" ht="24.9" customHeight="1">
      <c r="A3998" s="20" t="s">
        <v>7143</v>
      </c>
      <c r="B3998" s="20" t="s">
        <v>4356</v>
      </c>
      <c r="C3998" s="20"/>
      <c r="D3998" s="20" t="s">
        <v>48</v>
      </c>
      <c r="E3998" s="19" t="str">
        <f>VLOOKUP(D3998,'لیست پرسنل'!$B$2:$E$1020,3,FALSE)</f>
        <v>فکورصنعت</v>
      </c>
      <c r="F3998" s="19" t="str">
        <f>VLOOKUP(D3998,'لیست پرسنل'!$B$2:$E$1020,4,FALSE)</f>
        <v>سرپرست آی تی</v>
      </c>
      <c r="G3998" s="127">
        <f>VLOOKUP(D3998,'لیست پرسنل'!$B$2:$F$1020,2,FALSE)</f>
        <v>2210</v>
      </c>
      <c r="H3998" s="128" t="s">
        <v>3902</v>
      </c>
      <c r="I3998" s="127"/>
      <c r="J3998" s="128" t="s">
        <v>2686</v>
      </c>
      <c r="K3998" s="127" t="s">
        <v>346</v>
      </c>
      <c r="L3998" s="150" t="s">
        <v>1909</v>
      </c>
      <c r="M3998" s="126" t="s">
        <v>291</v>
      </c>
      <c r="N3998" s="120"/>
      <c r="O3998" s="20"/>
      <c r="P3998" s="20"/>
      <c r="Q3998" s="20"/>
    </row>
    <row r="3999" spans="1:17" ht="24.9" customHeight="1">
      <c r="A3999" s="20" t="s">
        <v>7143</v>
      </c>
      <c r="B3999" s="20" t="s">
        <v>4356</v>
      </c>
      <c r="C3999" s="20"/>
      <c r="D3999" s="20" t="s">
        <v>48</v>
      </c>
      <c r="E3999" s="19" t="str">
        <f>VLOOKUP(D3999,'لیست پرسنل'!$B$2:$E$1020,3,FALSE)</f>
        <v>فکورصنعت</v>
      </c>
      <c r="F3999" s="19" t="str">
        <f>VLOOKUP(D3999,'لیست پرسنل'!$B$2:$E$1020,4,FALSE)</f>
        <v>سرپرست آی تی</v>
      </c>
      <c r="G3999" s="127">
        <f>VLOOKUP(D3999,'لیست پرسنل'!$B$2:$F$1020,2,FALSE)</f>
        <v>2210</v>
      </c>
      <c r="H3999" s="128" t="s">
        <v>3902</v>
      </c>
      <c r="I3999" s="128"/>
      <c r="J3999" s="128" t="s">
        <v>3313</v>
      </c>
      <c r="K3999" s="127" t="s">
        <v>1330</v>
      </c>
      <c r="L3999" s="151" t="s">
        <v>1484</v>
      </c>
      <c r="M3999" s="126" t="s">
        <v>291</v>
      </c>
      <c r="N3999" s="108"/>
      <c r="O3999" s="20"/>
      <c r="P3999" s="20"/>
      <c r="Q3999" s="20"/>
    </row>
    <row r="4000" spans="1:17" ht="24.9" customHeight="1">
      <c r="A4000" s="20" t="s">
        <v>7143</v>
      </c>
      <c r="B4000" s="20" t="s">
        <v>4356</v>
      </c>
      <c r="C4000" s="20"/>
      <c r="D4000" s="20" t="s">
        <v>48</v>
      </c>
      <c r="E4000" s="19" t="str">
        <f>VLOOKUP(D4000,'لیست پرسنل'!$B$2:$E$1020,3,FALSE)</f>
        <v>فکورصنعت</v>
      </c>
      <c r="F4000" s="19" t="str">
        <f>VLOOKUP(D4000,'لیست پرسنل'!$B$2:$E$1020,4,FALSE)</f>
        <v>سرپرست آی تی</v>
      </c>
      <c r="G4000" s="127">
        <f>VLOOKUP(D4000,'لیست پرسنل'!$B$2:$F$1020,2,FALSE)</f>
        <v>2210</v>
      </c>
      <c r="H4000" s="128" t="s">
        <v>3902</v>
      </c>
      <c r="I4000" s="128"/>
      <c r="J4000" s="128" t="s">
        <v>3313</v>
      </c>
      <c r="K4000" s="128" t="s">
        <v>4968</v>
      </c>
      <c r="L4000" s="151" t="s">
        <v>4969</v>
      </c>
      <c r="M4000" s="128" t="s">
        <v>704</v>
      </c>
      <c r="N4000" s="108"/>
      <c r="O4000" s="20"/>
      <c r="P4000" s="20"/>
      <c r="Q4000" s="20"/>
    </row>
    <row r="4001" spans="1:17" ht="24.9" customHeight="1">
      <c r="A4001" s="20" t="s">
        <v>7143</v>
      </c>
      <c r="B4001" s="20" t="s">
        <v>4356</v>
      </c>
      <c r="C4001" s="20"/>
      <c r="D4001" s="20" t="s">
        <v>48</v>
      </c>
      <c r="E4001" s="19" t="str">
        <f>VLOOKUP(D4001,'لیست پرسنل'!$B$2:$E$1020,3,FALSE)</f>
        <v>فکورصنعت</v>
      </c>
      <c r="F4001" s="19" t="str">
        <f>VLOOKUP(D4001,'لیست پرسنل'!$B$2:$E$1020,4,FALSE)</f>
        <v>سرپرست آی تی</v>
      </c>
      <c r="G4001" s="127">
        <f>VLOOKUP(D4001,'لیست پرسنل'!$B$2:$F$1020,2,FALSE)</f>
        <v>2210</v>
      </c>
      <c r="H4001" s="128" t="s">
        <v>3902</v>
      </c>
      <c r="I4001" s="128"/>
      <c r="J4001" s="128" t="s">
        <v>3313</v>
      </c>
      <c r="K4001" s="128" t="s">
        <v>1330</v>
      </c>
      <c r="L4001" s="151" t="s">
        <v>4966</v>
      </c>
      <c r="M4001" s="128" t="s">
        <v>704</v>
      </c>
      <c r="N4001" s="111"/>
      <c r="O4001" s="32"/>
      <c r="P4001" s="20"/>
      <c r="Q4001" s="20"/>
    </row>
    <row r="4002" spans="1:17" ht="24.9" customHeight="1">
      <c r="A4002" s="20" t="s">
        <v>7143</v>
      </c>
      <c r="B4002" s="20" t="s">
        <v>4356</v>
      </c>
      <c r="C4002" s="19"/>
      <c r="D4002" s="19" t="s">
        <v>4600</v>
      </c>
      <c r="E4002" s="19" t="str">
        <f>VLOOKUP(D4002,'لیست پرسنل'!$B$2:$E$1020,3,FALSE)</f>
        <v>فکورصنعت</v>
      </c>
      <c r="F4002" s="19" t="str">
        <f>VLOOKUP(D4002,'لیست پرسنل'!$B$2:$E$1020,4,FALSE)</f>
        <v>انبار</v>
      </c>
      <c r="G4002" s="127">
        <f>VLOOKUP(D4002,'لیست پرسنل'!$B$2:$F$1020,2,FALSE)</f>
        <v>1251</v>
      </c>
      <c r="H4002" s="128" t="s">
        <v>3902</v>
      </c>
      <c r="I4002" s="127"/>
      <c r="J4002" s="127" t="s">
        <v>3322</v>
      </c>
      <c r="K4002" s="128" t="s">
        <v>5986</v>
      </c>
      <c r="L4002" s="151" t="s">
        <v>5987</v>
      </c>
      <c r="M4002" s="128" t="s">
        <v>291</v>
      </c>
      <c r="N4002" s="108"/>
      <c r="O4002" s="19" t="s">
        <v>5984</v>
      </c>
      <c r="P4002" s="20"/>
      <c r="Q4002" s="20"/>
    </row>
    <row r="4003" spans="1:17" ht="24.9" customHeight="1">
      <c r="A4003" s="20" t="s">
        <v>7143</v>
      </c>
      <c r="B4003" s="20" t="s">
        <v>4356</v>
      </c>
      <c r="C4003" s="20"/>
      <c r="D4003" s="20" t="s">
        <v>4600</v>
      </c>
      <c r="E4003" s="19" t="str">
        <f>VLOOKUP(D4003,'لیست پرسنل'!$B$2:$E$1020,3,FALSE)</f>
        <v>فکورصنعت</v>
      </c>
      <c r="F4003" s="19" t="str">
        <f>VLOOKUP(D4003,'لیست پرسنل'!$B$2:$E$1020,4,FALSE)</f>
        <v>انبار</v>
      </c>
      <c r="G4003" s="127">
        <f>VLOOKUP(D4003,'لیست پرسنل'!$B$2:$F$1020,2,FALSE)</f>
        <v>1251</v>
      </c>
      <c r="H4003" s="128" t="s">
        <v>3902</v>
      </c>
      <c r="I4003" s="128"/>
      <c r="J4003" s="128" t="s">
        <v>5366</v>
      </c>
      <c r="K4003" s="130" t="s">
        <v>2617</v>
      </c>
      <c r="L4003" s="128"/>
      <c r="M4003" s="145">
        <v>610304</v>
      </c>
      <c r="N4003" s="108" t="s">
        <v>4600</v>
      </c>
      <c r="O4003" s="20"/>
      <c r="P4003" s="20"/>
      <c r="Q4003" s="20"/>
    </row>
    <row r="4004" spans="1:17" ht="24.9" customHeight="1">
      <c r="A4004" s="20" t="s">
        <v>7143</v>
      </c>
      <c r="B4004" s="20" t="s">
        <v>4356</v>
      </c>
      <c r="C4004" s="20"/>
      <c r="D4004" s="20" t="s">
        <v>4600</v>
      </c>
      <c r="E4004" s="19" t="str">
        <f>VLOOKUP(D4004,'لیست پرسنل'!$B$2:$E$1020,3,FALSE)</f>
        <v>فکورصنعت</v>
      </c>
      <c r="F4004" s="19" t="str">
        <f>VLOOKUP(D4004,'لیست پرسنل'!$B$2:$E$1020,4,FALSE)</f>
        <v>انبار</v>
      </c>
      <c r="G4004" s="127">
        <f>VLOOKUP(D4004,'لیست پرسنل'!$B$2:$F$1020,2,FALSE)</f>
        <v>1251</v>
      </c>
      <c r="H4004" s="128" t="s">
        <v>3902</v>
      </c>
      <c r="I4004" s="128"/>
      <c r="J4004" s="128" t="s">
        <v>3938</v>
      </c>
      <c r="K4004" s="127" t="s">
        <v>3176</v>
      </c>
      <c r="L4004" s="127"/>
      <c r="M4004" s="127">
        <v>612792</v>
      </c>
      <c r="N4004" s="108"/>
      <c r="O4004" s="19"/>
      <c r="P4004" s="19"/>
      <c r="Q4004" s="28"/>
    </row>
    <row r="4005" spans="1:17" ht="24.9" customHeight="1">
      <c r="A4005" s="20" t="s">
        <v>7143</v>
      </c>
      <c r="B4005" s="20" t="s">
        <v>4356</v>
      </c>
      <c r="C4005" s="20"/>
      <c r="D4005" s="20" t="s">
        <v>4600</v>
      </c>
      <c r="E4005" s="19" t="str">
        <f>VLOOKUP(D4005,'لیست پرسنل'!$B$2:$E$1020,3,FALSE)</f>
        <v>فکورصنعت</v>
      </c>
      <c r="F4005" s="19" t="str">
        <f>VLOOKUP(D4005,'لیست پرسنل'!$B$2:$E$1020,4,FALSE)</f>
        <v>انبار</v>
      </c>
      <c r="G4005" s="127">
        <f>VLOOKUP(D4005,'لیست پرسنل'!$B$2:$F$1020,2,FALSE)</f>
        <v>1251</v>
      </c>
      <c r="H4005" s="128" t="s">
        <v>3902</v>
      </c>
      <c r="I4005" s="128"/>
      <c r="J4005" s="127" t="s">
        <v>5927</v>
      </c>
      <c r="K4005" s="127" t="s">
        <v>3316</v>
      </c>
      <c r="L4005" s="127"/>
      <c r="M4005" s="127">
        <v>612385</v>
      </c>
      <c r="N4005" s="108"/>
      <c r="O4005" s="19"/>
      <c r="P4005" s="19"/>
      <c r="Q4005" s="28"/>
    </row>
    <row r="4006" spans="1:17" ht="24.9" customHeight="1">
      <c r="A4006" s="20" t="s">
        <v>7143</v>
      </c>
      <c r="B4006" s="20" t="s">
        <v>4356</v>
      </c>
      <c r="C4006" s="20"/>
      <c r="D4006" s="20" t="s">
        <v>4600</v>
      </c>
      <c r="E4006" s="19" t="str">
        <f>VLOOKUP(D4006,'لیست پرسنل'!$B$2:$E$1020,3,FALSE)</f>
        <v>فکورصنعت</v>
      </c>
      <c r="F4006" s="19" t="str">
        <f>VLOOKUP(D4006,'لیست پرسنل'!$B$2:$E$1020,4,FALSE)</f>
        <v>انبار</v>
      </c>
      <c r="G4006" s="127">
        <f>VLOOKUP(D4006,'لیست پرسنل'!$B$2:$F$1020,2,FALSE)</f>
        <v>1251</v>
      </c>
      <c r="H4006" s="128" t="s">
        <v>3902</v>
      </c>
      <c r="I4006" s="128"/>
      <c r="J4006" s="127" t="s">
        <v>5927</v>
      </c>
      <c r="K4006" s="127" t="s">
        <v>3316</v>
      </c>
      <c r="L4006" s="127"/>
      <c r="M4006" s="127">
        <v>612711</v>
      </c>
      <c r="N4006" s="109"/>
      <c r="O4006" s="19"/>
      <c r="P4006" s="19"/>
      <c r="Q4006" s="28"/>
    </row>
    <row r="4007" spans="1:17" ht="24.9" customHeight="1">
      <c r="A4007" s="20" t="s">
        <v>7143</v>
      </c>
      <c r="B4007" s="20" t="s">
        <v>4356</v>
      </c>
      <c r="C4007" s="20"/>
      <c r="D4007" s="20" t="s">
        <v>4600</v>
      </c>
      <c r="E4007" s="19" t="str">
        <f>VLOOKUP(D4007,'لیست پرسنل'!$B$2:$E$1020,3,FALSE)</f>
        <v>فکورصنعت</v>
      </c>
      <c r="F4007" s="19" t="str">
        <f>VLOOKUP(D4007,'لیست پرسنل'!$B$2:$E$1020,4,FALSE)</f>
        <v>انبار</v>
      </c>
      <c r="G4007" s="127">
        <f>VLOOKUP(D4007,'لیست پرسنل'!$B$2:$F$1020,2,FALSE)</f>
        <v>1251</v>
      </c>
      <c r="H4007" s="128" t="s">
        <v>3902</v>
      </c>
      <c r="I4007" s="128"/>
      <c r="J4007" s="127" t="s">
        <v>5927</v>
      </c>
      <c r="K4007" s="127" t="s">
        <v>3316</v>
      </c>
      <c r="L4007" s="127"/>
      <c r="M4007" s="127">
        <v>612712</v>
      </c>
      <c r="N4007" s="109"/>
      <c r="O4007" s="19"/>
      <c r="P4007" s="19"/>
      <c r="Q4007" s="28"/>
    </row>
    <row r="4008" spans="1:17" ht="24.9" customHeight="1">
      <c r="A4008" s="20" t="s">
        <v>7143</v>
      </c>
      <c r="B4008" s="20" t="s">
        <v>4356</v>
      </c>
      <c r="C4008" s="20"/>
      <c r="D4008" s="20" t="s">
        <v>4600</v>
      </c>
      <c r="E4008" s="19" t="str">
        <f>VLOOKUP(D4008,'لیست پرسنل'!$B$2:$E$1020,3,FALSE)</f>
        <v>فکورصنعت</v>
      </c>
      <c r="F4008" s="19" t="str">
        <f>VLOOKUP(D4008,'لیست پرسنل'!$B$2:$E$1020,4,FALSE)</f>
        <v>انبار</v>
      </c>
      <c r="G4008" s="127">
        <f>VLOOKUP(D4008,'لیست پرسنل'!$B$2:$F$1020,2,FALSE)</f>
        <v>1251</v>
      </c>
      <c r="H4008" s="128" t="s">
        <v>3902</v>
      </c>
      <c r="I4008" s="128"/>
      <c r="J4008" s="127" t="s">
        <v>5927</v>
      </c>
      <c r="K4008" s="127" t="s">
        <v>3316</v>
      </c>
      <c r="L4008" s="127"/>
      <c r="M4008" s="127">
        <v>612713</v>
      </c>
      <c r="N4008" s="109"/>
      <c r="O4008" s="19"/>
      <c r="P4008" s="19"/>
      <c r="Q4008" s="28"/>
    </row>
    <row r="4009" spans="1:17" ht="24.9" customHeight="1">
      <c r="A4009" s="20" t="s">
        <v>7143</v>
      </c>
      <c r="B4009" s="20" t="s">
        <v>4356</v>
      </c>
      <c r="C4009" s="20"/>
      <c r="D4009" s="20" t="s">
        <v>4600</v>
      </c>
      <c r="E4009" s="19" t="str">
        <f>VLOOKUP(D4009,'لیست پرسنل'!$B$2:$E$1020,3,FALSE)</f>
        <v>فکورصنعت</v>
      </c>
      <c r="F4009" s="19" t="str">
        <f>VLOOKUP(D4009,'لیست پرسنل'!$B$2:$E$1020,4,FALSE)</f>
        <v>انبار</v>
      </c>
      <c r="G4009" s="127">
        <f>VLOOKUP(D4009,'لیست پرسنل'!$B$2:$F$1020,2,FALSE)</f>
        <v>1251</v>
      </c>
      <c r="H4009" s="128" t="s">
        <v>3902</v>
      </c>
      <c r="I4009" s="128"/>
      <c r="J4009" s="127" t="s">
        <v>5927</v>
      </c>
      <c r="K4009" s="127" t="s">
        <v>3316</v>
      </c>
      <c r="L4009" s="127"/>
      <c r="M4009" s="127">
        <v>612714</v>
      </c>
      <c r="N4009" s="109"/>
      <c r="O4009" s="19"/>
      <c r="P4009" s="19"/>
      <c r="Q4009" s="28"/>
    </row>
    <row r="4010" spans="1:17" ht="24.9" customHeight="1">
      <c r="A4010" s="20" t="s">
        <v>7143</v>
      </c>
      <c r="B4010" s="20" t="s">
        <v>4356</v>
      </c>
      <c r="C4010" s="20"/>
      <c r="D4010" s="20" t="s">
        <v>4600</v>
      </c>
      <c r="E4010" s="19" t="str">
        <f>VLOOKUP(D4010,'لیست پرسنل'!$B$2:$E$1020,3,FALSE)</f>
        <v>فکورصنعت</v>
      </c>
      <c r="F4010" s="19" t="str">
        <f>VLOOKUP(D4010,'لیست پرسنل'!$B$2:$E$1020,4,FALSE)</f>
        <v>انبار</v>
      </c>
      <c r="G4010" s="127">
        <f>VLOOKUP(D4010,'لیست پرسنل'!$B$2:$F$1020,2,FALSE)</f>
        <v>1251</v>
      </c>
      <c r="H4010" s="128" t="s">
        <v>3902</v>
      </c>
      <c r="I4010" s="128"/>
      <c r="J4010" s="127" t="s">
        <v>5927</v>
      </c>
      <c r="K4010" s="127" t="s">
        <v>3316</v>
      </c>
      <c r="L4010" s="127"/>
      <c r="M4010" s="127">
        <v>612715</v>
      </c>
      <c r="N4010" s="109"/>
      <c r="O4010" s="19"/>
      <c r="P4010" s="19"/>
      <c r="Q4010" s="28"/>
    </row>
    <row r="4011" spans="1:17" ht="24.9" customHeight="1">
      <c r="A4011" s="20" t="s">
        <v>7143</v>
      </c>
      <c r="B4011" s="20" t="s">
        <v>4356</v>
      </c>
      <c r="C4011" s="20"/>
      <c r="D4011" s="20" t="s">
        <v>4600</v>
      </c>
      <c r="E4011" s="19" t="str">
        <f>VLOOKUP(D4011,'لیست پرسنل'!$B$2:$E$1020,3,FALSE)</f>
        <v>فکورصنعت</v>
      </c>
      <c r="F4011" s="19" t="str">
        <f>VLOOKUP(D4011,'لیست پرسنل'!$B$2:$E$1020,4,FALSE)</f>
        <v>انبار</v>
      </c>
      <c r="G4011" s="127">
        <f>VLOOKUP(D4011,'لیست پرسنل'!$B$2:$F$1020,2,FALSE)</f>
        <v>1251</v>
      </c>
      <c r="H4011" s="128" t="s">
        <v>3902</v>
      </c>
      <c r="I4011" s="128"/>
      <c r="J4011" s="127" t="s">
        <v>5927</v>
      </c>
      <c r="K4011" s="127" t="s">
        <v>3316</v>
      </c>
      <c r="L4011" s="127"/>
      <c r="M4011" s="127">
        <v>612716</v>
      </c>
      <c r="N4011" s="109"/>
      <c r="O4011" s="19"/>
      <c r="P4011" s="19"/>
      <c r="Q4011" s="28"/>
    </row>
    <row r="4012" spans="1:17" ht="24.9" customHeight="1">
      <c r="A4012" s="20" t="s">
        <v>7143</v>
      </c>
      <c r="B4012" s="20" t="s">
        <v>4356</v>
      </c>
      <c r="C4012" s="20"/>
      <c r="D4012" s="20" t="s">
        <v>4600</v>
      </c>
      <c r="E4012" s="19" t="str">
        <f>VLOOKUP(D4012,'لیست پرسنل'!$B$2:$E$1020,3,FALSE)</f>
        <v>فکورصنعت</v>
      </c>
      <c r="F4012" s="19" t="str">
        <f>VLOOKUP(D4012,'لیست پرسنل'!$B$2:$E$1020,4,FALSE)</f>
        <v>انبار</v>
      </c>
      <c r="G4012" s="127">
        <f>VLOOKUP(D4012,'لیست پرسنل'!$B$2:$F$1020,2,FALSE)</f>
        <v>1251</v>
      </c>
      <c r="H4012" s="128" t="s">
        <v>3902</v>
      </c>
      <c r="I4012" s="128"/>
      <c r="J4012" s="127" t="s">
        <v>5927</v>
      </c>
      <c r="K4012" s="127" t="s">
        <v>3316</v>
      </c>
      <c r="L4012" s="127"/>
      <c r="M4012" s="127">
        <v>612717</v>
      </c>
      <c r="N4012" s="109"/>
      <c r="O4012" s="19"/>
      <c r="P4012" s="19"/>
      <c r="Q4012" s="28"/>
    </row>
    <row r="4013" spans="1:17" ht="24.9" customHeight="1">
      <c r="A4013" s="20" t="s">
        <v>7143</v>
      </c>
      <c r="B4013" s="20" t="s">
        <v>4356</v>
      </c>
      <c r="C4013" s="20"/>
      <c r="D4013" s="20" t="s">
        <v>4600</v>
      </c>
      <c r="E4013" s="19" t="str">
        <f>VLOOKUP(D4013,'لیست پرسنل'!$B$2:$E$1020,3,FALSE)</f>
        <v>فکورصنعت</v>
      </c>
      <c r="F4013" s="19" t="str">
        <f>VLOOKUP(D4013,'لیست پرسنل'!$B$2:$E$1020,4,FALSE)</f>
        <v>انبار</v>
      </c>
      <c r="G4013" s="127">
        <f>VLOOKUP(D4013,'لیست پرسنل'!$B$2:$F$1020,2,FALSE)</f>
        <v>1251</v>
      </c>
      <c r="H4013" s="128" t="s">
        <v>3902</v>
      </c>
      <c r="I4013" s="128"/>
      <c r="J4013" s="127" t="s">
        <v>5927</v>
      </c>
      <c r="K4013" s="127" t="s">
        <v>3316</v>
      </c>
      <c r="L4013" s="127"/>
      <c r="M4013" s="127">
        <v>612718</v>
      </c>
      <c r="N4013" s="109"/>
      <c r="O4013" s="19"/>
      <c r="P4013" s="19"/>
      <c r="Q4013" s="28"/>
    </row>
    <row r="4014" spans="1:17" ht="24.9" customHeight="1">
      <c r="A4014" s="20" t="s">
        <v>7143</v>
      </c>
      <c r="B4014" s="20" t="s">
        <v>4356</v>
      </c>
      <c r="C4014" s="20"/>
      <c r="D4014" s="20" t="s">
        <v>4600</v>
      </c>
      <c r="E4014" s="19" t="str">
        <f>VLOOKUP(D4014,'لیست پرسنل'!$B$2:$E$1020,3,FALSE)</f>
        <v>فکورصنعت</v>
      </c>
      <c r="F4014" s="19" t="str">
        <f>VLOOKUP(D4014,'لیست پرسنل'!$B$2:$E$1020,4,FALSE)</f>
        <v>انبار</v>
      </c>
      <c r="G4014" s="127">
        <f>VLOOKUP(D4014,'لیست پرسنل'!$B$2:$F$1020,2,FALSE)</f>
        <v>1251</v>
      </c>
      <c r="H4014" s="128" t="s">
        <v>3902</v>
      </c>
      <c r="I4014" s="128"/>
      <c r="J4014" s="127" t="s">
        <v>5927</v>
      </c>
      <c r="K4014" s="127" t="s">
        <v>3318</v>
      </c>
      <c r="L4014" s="127"/>
      <c r="M4014" s="127">
        <v>614438</v>
      </c>
      <c r="N4014" s="109"/>
      <c r="O4014" s="19" t="s">
        <v>2676</v>
      </c>
      <c r="P4014" s="19"/>
      <c r="Q4014" s="28"/>
    </row>
    <row r="4015" spans="1:17" ht="24.9" customHeight="1">
      <c r="A4015" s="20" t="s">
        <v>7143</v>
      </c>
      <c r="B4015" s="20" t="s">
        <v>4356</v>
      </c>
      <c r="C4015" s="20"/>
      <c r="D4015" s="20" t="s">
        <v>4600</v>
      </c>
      <c r="E4015" s="19" t="str">
        <f>VLOOKUP(D4015,'لیست پرسنل'!$B$2:$E$1020,3,FALSE)</f>
        <v>فکورصنعت</v>
      </c>
      <c r="F4015" s="19" t="str">
        <f>VLOOKUP(D4015,'لیست پرسنل'!$B$2:$E$1020,4,FALSE)</f>
        <v>انبار</v>
      </c>
      <c r="G4015" s="127">
        <f>VLOOKUP(D4015,'لیست پرسنل'!$B$2:$F$1020,2,FALSE)</f>
        <v>1251</v>
      </c>
      <c r="H4015" s="128" t="s">
        <v>3902</v>
      </c>
      <c r="I4015" s="128"/>
      <c r="J4015" s="127" t="s">
        <v>5927</v>
      </c>
      <c r="K4015" s="127" t="s">
        <v>3319</v>
      </c>
      <c r="L4015" s="127"/>
      <c r="M4015" s="127">
        <v>615812</v>
      </c>
      <c r="N4015" s="109"/>
      <c r="O4015" s="19"/>
      <c r="P4015" s="19"/>
      <c r="Q4015" s="28"/>
    </row>
    <row r="4016" spans="1:17" ht="24.9" customHeight="1">
      <c r="A4016" s="20" t="s">
        <v>7143</v>
      </c>
      <c r="B4016" s="20" t="s">
        <v>4356</v>
      </c>
      <c r="C4016" s="20"/>
      <c r="D4016" s="20" t="s">
        <v>4600</v>
      </c>
      <c r="E4016" s="19" t="str">
        <f>VLOOKUP(D4016,'لیست پرسنل'!$B$2:$E$1020,3,FALSE)</f>
        <v>فکورصنعت</v>
      </c>
      <c r="F4016" s="19" t="str">
        <f>VLOOKUP(D4016,'لیست پرسنل'!$B$2:$E$1020,4,FALSE)</f>
        <v>انبار</v>
      </c>
      <c r="G4016" s="127">
        <f>VLOOKUP(D4016,'لیست پرسنل'!$B$2:$F$1020,2,FALSE)</f>
        <v>1251</v>
      </c>
      <c r="H4016" s="128" t="s">
        <v>3902</v>
      </c>
      <c r="I4016" s="128"/>
      <c r="J4016" s="127" t="s">
        <v>5927</v>
      </c>
      <c r="K4016" s="127" t="s">
        <v>3319</v>
      </c>
      <c r="L4016" s="127"/>
      <c r="M4016" s="127">
        <v>615813</v>
      </c>
      <c r="N4016" s="109"/>
      <c r="O4016" s="19"/>
      <c r="P4016" s="19"/>
      <c r="Q4016" s="28"/>
    </row>
    <row r="4017" spans="1:17" ht="24.9" customHeight="1">
      <c r="A4017" s="20" t="s">
        <v>7143</v>
      </c>
      <c r="B4017" s="20" t="s">
        <v>4356</v>
      </c>
      <c r="C4017" s="20"/>
      <c r="D4017" s="20" t="s">
        <v>4600</v>
      </c>
      <c r="E4017" s="19" t="str">
        <f>VLOOKUP(D4017,'لیست پرسنل'!$B$2:$E$1020,3,FALSE)</f>
        <v>فکورصنعت</v>
      </c>
      <c r="F4017" s="19" t="str">
        <f>VLOOKUP(D4017,'لیست پرسنل'!$B$2:$E$1020,4,FALSE)</f>
        <v>انبار</v>
      </c>
      <c r="G4017" s="127">
        <f>VLOOKUP(D4017,'لیست پرسنل'!$B$2:$F$1020,2,FALSE)</f>
        <v>1251</v>
      </c>
      <c r="H4017" s="128" t="s">
        <v>3902</v>
      </c>
      <c r="I4017" s="128"/>
      <c r="J4017" s="127" t="s">
        <v>5927</v>
      </c>
      <c r="K4017" s="127" t="s">
        <v>6803</v>
      </c>
      <c r="L4017" s="127"/>
      <c r="M4017" s="128" t="s">
        <v>704</v>
      </c>
      <c r="N4017" s="109" t="s">
        <v>6804</v>
      </c>
      <c r="O4017" s="19"/>
      <c r="P4017" s="19"/>
      <c r="Q4017" s="28"/>
    </row>
    <row r="4018" spans="1:17" ht="24.9" customHeight="1">
      <c r="A4018" s="20" t="s">
        <v>7143</v>
      </c>
      <c r="B4018" s="20" t="s">
        <v>4356</v>
      </c>
      <c r="C4018" s="20"/>
      <c r="D4018" s="20" t="s">
        <v>4600</v>
      </c>
      <c r="E4018" s="19" t="str">
        <f>VLOOKUP(D4018,'لیست پرسنل'!$B$2:$E$1020,3,FALSE)</f>
        <v>فکورصنعت</v>
      </c>
      <c r="F4018" s="19" t="str">
        <f>VLOOKUP(D4018,'لیست پرسنل'!$B$2:$E$1020,4,FALSE)</f>
        <v>انبار</v>
      </c>
      <c r="G4018" s="127">
        <f>VLOOKUP(D4018,'لیست پرسنل'!$B$2:$F$1020,2,FALSE)</f>
        <v>1251</v>
      </c>
      <c r="H4018" s="128" t="s">
        <v>3902</v>
      </c>
      <c r="I4018" s="128"/>
      <c r="J4018" s="128" t="s">
        <v>3481</v>
      </c>
      <c r="K4018" s="127" t="s">
        <v>3182</v>
      </c>
      <c r="L4018" s="127"/>
      <c r="M4018" s="127">
        <v>611798</v>
      </c>
      <c r="N4018" s="109"/>
      <c r="O4018" s="19"/>
      <c r="P4018" s="19"/>
      <c r="Q4018" s="28"/>
    </row>
    <row r="4019" spans="1:17" ht="24.9" customHeight="1">
      <c r="A4019" s="20" t="s">
        <v>7143</v>
      </c>
      <c r="B4019" s="20" t="s">
        <v>4356</v>
      </c>
      <c r="C4019" s="20"/>
      <c r="D4019" s="20" t="s">
        <v>4600</v>
      </c>
      <c r="E4019" s="19" t="str">
        <f>VLOOKUP(D4019,'لیست پرسنل'!$B$2:$E$1020,3,FALSE)</f>
        <v>فکورصنعت</v>
      </c>
      <c r="F4019" s="19" t="str">
        <f>VLOOKUP(D4019,'لیست پرسنل'!$B$2:$E$1020,4,FALSE)</f>
        <v>انبار</v>
      </c>
      <c r="G4019" s="127">
        <f>VLOOKUP(D4019,'لیست پرسنل'!$B$2:$F$1020,2,FALSE)</f>
        <v>1251</v>
      </c>
      <c r="H4019" s="128" t="s">
        <v>3902</v>
      </c>
      <c r="I4019" s="128"/>
      <c r="J4019" s="128" t="s">
        <v>3481</v>
      </c>
      <c r="K4019" s="127" t="s">
        <v>3182</v>
      </c>
      <c r="L4019" s="127"/>
      <c r="M4019" s="127">
        <v>613440</v>
      </c>
      <c r="N4019" s="109"/>
      <c r="O4019" s="19"/>
      <c r="P4019" s="19"/>
      <c r="Q4019" s="28"/>
    </row>
    <row r="4020" spans="1:17" ht="24.9" customHeight="1">
      <c r="A4020" s="20" t="s">
        <v>7143</v>
      </c>
      <c r="B4020" s="20" t="s">
        <v>4356</v>
      </c>
      <c r="C4020" s="20"/>
      <c r="D4020" s="20" t="s">
        <v>4600</v>
      </c>
      <c r="E4020" s="19" t="str">
        <f>VLOOKUP(D4020,'لیست پرسنل'!$B$2:$E$1020,3,FALSE)</f>
        <v>فکورصنعت</v>
      </c>
      <c r="F4020" s="19" t="str">
        <f>VLOOKUP(D4020,'لیست پرسنل'!$B$2:$E$1020,4,FALSE)</f>
        <v>انبار</v>
      </c>
      <c r="G4020" s="127">
        <f>VLOOKUP(D4020,'لیست پرسنل'!$B$2:$F$1020,2,FALSE)</f>
        <v>1251</v>
      </c>
      <c r="H4020" s="128" t="s">
        <v>3902</v>
      </c>
      <c r="I4020" s="128"/>
      <c r="J4020" s="128" t="s">
        <v>3481</v>
      </c>
      <c r="K4020" s="127" t="s">
        <v>3182</v>
      </c>
      <c r="L4020" s="127"/>
      <c r="M4020" s="127">
        <v>613441</v>
      </c>
      <c r="N4020" s="109"/>
      <c r="O4020" s="19"/>
      <c r="P4020" s="19"/>
      <c r="Q4020" s="28"/>
    </row>
    <row r="4021" spans="1:17" ht="24.9" customHeight="1">
      <c r="A4021" s="20" t="s">
        <v>7143</v>
      </c>
      <c r="B4021" s="20" t="s">
        <v>4356</v>
      </c>
      <c r="C4021" s="20"/>
      <c r="D4021" s="20" t="s">
        <v>4600</v>
      </c>
      <c r="E4021" s="19" t="str">
        <f>VLOOKUP(D4021,'لیست پرسنل'!$B$2:$E$1020,3,FALSE)</f>
        <v>فکورصنعت</v>
      </c>
      <c r="F4021" s="19" t="str">
        <f>VLOOKUP(D4021,'لیست پرسنل'!$B$2:$E$1020,4,FALSE)</f>
        <v>انبار</v>
      </c>
      <c r="G4021" s="127">
        <f>VLOOKUP(D4021,'لیست پرسنل'!$B$2:$F$1020,2,FALSE)</f>
        <v>1251</v>
      </c>
      <c r="H4021" s="128" t="s">
        <v>3902</v>
      </c>
      <c r="I4021" s="128"/>
      <c r="J4021" s="128" t="s">
        <v>3481</v>
      </c>
      <c r="K4021" s="127" t="s">
        <v>3182</v>
      </c>
      <c r="L4021" s="127"/>
      <c r="M4021" s="127">
        <v>613442</v>
      </c>
      <c r="N4021" s="109"/>
      <c r="O4021" s="19"/>
      <c r="P4021" s="19"/>
      <c r="Q4021" s="28"/>
    </row>
    <row r="4022" spans="1:17" ht="24.9" customHeight="1">
      <c r="A4022" s="20" t="s">
        <v>7143</v>
      </c>
      <c r="B4022" s="20" t="s">
        <v>4356</v>
      </c>
      <c r="C4022" s="20"/>
      <c r="D4022" s="20" t="s">
        <v>4600</v>
      </c>
      <c r="E4022" s="19" t="str">
        <f>VLOOKUP(D4022,'لیست پرسنل'!$B$2:$E$1020,3,FALSE)</f>
        <v>فکورصنعت</v>
      </c>
      <c r="F4022" s="19" t="str">
        <f>VLOOKUP(D4022,'لیست پرسنل'!$B$2:$E$1020,4,FALSE)</f>
        <v>انبار</v>
      </c>
      <c r="G4022" s="127">
        <f>VLOOKUP(D4022,'لیست پرسنل'!$B$2:$F$1020,2,FALSE)</f>
        <v>1251</v>
      </c>
      <c r="H4022" s="128" t="s">
        <v>3902</v>
      </c>
      <c r="I4022" s="128"/>
      <c r="J4022" s="128" t="s">
        <v>3481</v>
      </c>
      <c r="K4022" s="127" t="s">
        <v>3182</v>
      </c>
      <c r="L4022" s="127"/>
      <c r="M4022" s="127">
        <v>613443</v>
      </c>
      <c r="N4022" s="109"/>
      <c r="O4022" s="19"/>
      <c r="P4022" s="19"/>
      <c r="Q4022" s="28"/>
    </row>
    <row r="4023" spans="1:17" ht="24.9" customHeight="1">
      <c r="A4023" s="20" t="s">
        <v>7143</v>
      </c>
      <c r="B4023" s="20" t="s">
        <v>4356</v>
      </c>
      <c r="C4023" s="20"/>
      <c r="D4023" s="20" t="s">
        <v>4600</v>
      </c>
      <c r="E4023" s="19" t="str">
        <f>VLOOKUP(D4023,'لیست پرسنل'!$B$2:$E$1020,3,FALSE)</f>
        <v>فکورصنعت</v>
      </c>
      <c r="F4023" s="19" t="str">
        <f>VLOOKUP(D4023,'لیست پرسنل'!$B$2:$E$1020,4,FALSE)</f>
        <v>انبار</v>
      </c>
      <c r="G4023" s="127">
        <f>VLOOKUP(D4023,'لیست پرسنل'!$B$2:$F$1020,2,FALSE)</f>
        <v>1251</v>
      </c>
      <c r="H4023" s="128" t="s">
        <v>3902</v>
      </c>
      <c r="I4023" s="128"/>
      <c r="J4023" s="128" t="s">
        <v>3481</v>
      </c>
      <c r="K4023" s="127" t="s">
        <v>3182</v>
      </c>
      <c r="L4023" s="127"/>
      <c r="M4023" s="127">
        <v>613444</v>
      </c>
      <c r="N4023" s="109"/>
      <c r="O4023" s="19"/>
      <c r="P4023" s="19"/>
      <c r="Q4023" s="28"/>
    </row>
    <row r="4024" spans="1:17" ht="24.9" customHeight="1">
      <c r="A4024" s="20" t="s">
        <v>7143</v>
      </c>
      <c r="B4024" s="20" t="s">
        <v>4356</v>
      </c>
      <c r="C4024" s="20"/>
      <c r="D4024" s="20" t="s">
        <v>4600</v>
      </c>
      <c r="E4024" s="19" t="str">
        <f>VLOOKUP(D4024,'لیست پرسنل'!$B$2:$E$1020,3,FALSE)</f>
        <v>فکورصنعت</v>
      </c>
      <c r="F4024" s="19" t="str">
        <f>VLOOKUP(D4024,'لیست پرسنل'!$B$2:$E$1020,4,FALSE)</f>
        <v>انبار</v>
      </c>
      <c r="G4024" s="127">
        <f>VLOOKUP(D4024,'لیست پرسنل'!$B$2:$F$1020,2,FALSE)</f>
        <v>1251</v>
      </c>
      <c r="H4024" s="128" t="s">
        <v>3902</v>
      </c>
      <c r="I4024" s="128"/>
      <c r="J4024" s="128" t="s">
        <v>3481</v>
      </c>
      <c r="K4024" s="128" t="s">
        <v>3326</v>
      </c>
      <c r="L4024" s="127" t="s">
        <v>5878</v>
      </c>
      <c r="M4024" s="127">
        <v>621832</v>
      </c>
      <c r="N4024" s="109"/>
      <c r="O4024" s="19"/>
      <c r="P4024" s="19"/>
      <c r="Q4024" s="28"/>
    </row>
    <row r="4025" spans="1:17" ht="24.9" customHeight="1">
      <c r="A4025" s="20" t="s">
        <v>7143</v>
      </c>
      <c r="B4025" s="20" t="s">
        <v>4356</v>
      </c>
      <c r="C4025" s="20"/>
      <c r="D4025" s="20" t="s">
        <v>4600</v>
      </c>
      <c r="E4025" s="19" t="str">
        <f>VLOOKUP(D4025,'لیست پرسنل'!$B$2:$E$1020,3,FALSE)</f>
        <v>فکورصنعت</v>
      </c>
      <c r="F4025" s="19" t="str">
        <f>VLOOKUP(D4025,'لیست پرسنل'!$B$2:$E$1020,4,FALSE)</f>
        <v>انبار</v>
      </c>
      <c r="G4025" s="127">
        <f>VLOOKUP(D4025,'لیست پرسنل'!$B$2:$F$1020,2,FALSE)</f>
        <v>1251</v>
      </c>
      <c r="H4025" s="128" t="s">
        <v>3902</v>
      </c>
      <c r="I4025" s="128"/>
      <c r="J4025" s="128" t="s">
        <v>5304</v>
      </c>
      <c r="K4025" s="130" t="s">
        <v>5319</v>
      </c>
      <c r="L4025" s="128"/>
      <c r="M4025" s="145">
        <v>611565</v>
      </c>
      <c r="N4025" s="108" t="s">
        <v>4600</v>
      </c>
      <c r="O4025" s="20"/>
      <c r="P4025" s="20"/>
      <c r="Q4025" s="20"/>
    </row>
    <row r="4026" spans="1:17" ht="24.9" customHeight="1">
      <c r="A4026" s="20" t="s">
        <v>7143</v>
      </c>
      <c r="B4026" s="20" t="s">
        <v>4356</v>
      </c>
      <c r="C4026" s="20"/>
      <c r="D4026" s="20" t="s">
        <v>4600</v>
      </c>
      <c r="E4026" s="19" t="str">
        <f>VLOOKUP(D4026,'لیست پرسنل'!$B$2:$E$1020,3,FALSE)</f>
        <v>فکورصنعت</v>
      </c>
      <c r="F4026" s="19" t="str">
        <f>VLOOKUP(D4026,'لیست پرسنل'!$B$2:$E$1020,4,FALSE)</f>
        <v>انبار</v>
      </c>
      <c r="G4026" s="127">
        <f>VLOOKUP(D4026,'لیست پرسنل'!$B$2:$F$1020,2,FALSE)</f>
        <v>1251</v>
      </c>
      <c r="H4026" s="151" t="s">
        <v>3905</v>
      </c>
      <c r="I4026" s="128"/>
      <c r="J4026" s="128" t="s">
        <v>907</v>
      </c>
      <c r="K4026" s="128" t="s">
        <v>3282</v>
      </c>
      <c r="L4026" s="128"/>
      <c r="M4026" s="128">
        <v>619089</v>
      </c>
      <c r="N4026" s="108"/>
      <c r="O4026" s="20"/>
      <c r="P4026" s="20"/>
      <c r="Q4026" s="20"/>
    </row>
    <row r="4027" spans="1:17" ht="24.9" customHeight="1">
      <c r="A4027" s="20" t="s">
        <v>7143</v>
      </c>
      <c r="B4027" s="20" t="s">
        <v>4356</v>
      </c>
      <c r="C4027" s="20"/>
      <c r="D4027" s="20" t="s">
        <v>4600</v>
      </c>
      <c r="E4027" s="19" t="str">
        <f>VLOOKUP(D4027,'لیست پرسنل'!$B$2:$E$1020,3,FALSE)</f>
        <v>فکورصنعت</v>
      </c>
      <c r="F4027" s="19" t="str">
        <f>VLOOKUP(D4027,'لیست پرسنل'!$B$2:$E$1020,4,FALSE)</f>
        <v>انبار</v>
      </c>
      <c r="G4027" s="127">
        <f>VLOOKUP(D4027,'لیست پرسنل'!$B$2:$F$1020,2,FALSE)</f>
        <v>1251</v>
      </c>
      <c r="H4027" s="151" t="s">
        <v>3905</v>
      </c>
      <c r="I4027" s="127"/>
      <c r="J4027" s="128" t="s">
        <v>3483</v>
      </c>
      <c r="K4027" s="128" t="s">
        <v>889</v>
      </c>
      <c r="L4027" s="128"/>
      <c r="M4027" s="128">
        <v>620041</v>
      </c>
      <c r="N4027" s="108"/>
      <c r="O4027" s="20" t="s">
        <v>3304</v>
      </c>
      <c r="P4027" s="20"/>
      <c r="Q4027" s="20"/>
    </row>
    <row r="4028" spans="1:17" ht="24.9" customHeight="1">
      <c r="A4028" s="20" t="s">
        <v>7143</v>
      </c>
      <c r="B4028" s="20" t="s">
        <v>4356</v>
      </c>
      <c r="C4028" s="20"/>
      <c r="D4028" s="20" t="s">
        <v>4600</v>
      </c>
      <c r="E4028" s="19" t="str">
        <f>VLOOKUP(D4028,'لیست پرسنل'!$B$2:$E$1020,3,FALSE)</f>
        <v>فکورصنعت</v>
      </c>
      <c r="F4028" s="19" t="str">
        <f>VLOOKUP(D4028,'لیست پرسنل'!$B$2:$E$1020,4,FALSE)</f>
        <v>انبار</v>
      </c>
      <c r="G4028" s="127">
        <f>VLOOKUP(D4028,'لیست پرسنل'!$B$2:$F$1020,2,FALSE)</f>
        <v>1251</v>
      </c>
      <c r="H4028" s="151" t="s">
        <v>3905</v>
      </c>
      <c r="I4028" s="127"/>
      <c r="J4028" s="128" t="s">
        <v>3285</v>
      </c>
      <c r="K4028" s="128" t="s">
        <v>654</v>
      </c>
      <c r="L4028" s="151"/>
      <c r="M4028" s="128" t="s">
        <v>291</v>
      </c>
      <c r="N4028" s="108"/>
      <c r="O4028" s="19"/>
      <c r="P4028" s="20"/>
      <c r="Q4028" s="20"/>
    </row>
    <row r="4029" spans="1:17" ht="24.9" customHeight="1">
      <c r="A4029" s="20" t="s">
        <v>7143</v>
      </c>
      <c r="B4029" s="20" t="s">
        <v>4356</v>
      </c>
      <c r="C4029" s="20"/>
      <c r="D4029" s="20" t="s">
        <v>4600</v>
      </c>
      <c r="E4029" s="19" t="str">
        <f>VLOOKUP(D4029,'لیست پرسنل'!$B$2:$E$1020,3,FALSE)</f>
        <v>فکورصنعت</v>
      </c>
      <c r="F4029" s="19" t="str">
        <f>VLOOKUP(D4029,'لیست پرسنل'!$B$2:$E$1020,4,FALSE)</f>
        <v>انبار</v>
      </c>
      <c r="G4029" s="127">
        <f>VLOOKUP(D4029,'لیست پرسنل'!$B$2:$F$1020,2,FALSE)</f>
        <v>1251</v>
      </c>
      <c r="H4029" s="151" t="s">
        <v>3905</v>
      </c>
      <c r="I4029" s="127"/>
      <c r="J4029" s="128" t="s">
        <v>3476</v>
      </c>
      <c r="K4029" s="128" t="s">
        <v>4814</v>
      </c>
      <c r="L4029" s="128" t="s">
        <v>4818</v>
      </c>
      <c r="M4029" s="128">
        <v>629767</v>
      </c>
      <c r="N4029" s="108"/>
      <c r="O4029" s="20"/>
      <c r="P4029" s="20"/>
      <c r="Q4029" s="20"/>
    </row>
    <row r="4030" spans="1:17" ht="24.9" customHeight="1">
      <c r="A4030" s="20" t="s">
        <v>7143</v>
      </c>
      <c r="B4030" s="20" t="s">
        <v>4378</v>
      </c>
      <c r="C4030" s="20">
        <v>3</v>
      </c>
      <c r="D4030" s="20" t="s">
        <v>339</v>
      </c>
      <c r="E4030" s="19" t="str">
        <f>VLOOKUP(D4030,'لیست پرسنل'!$B$2:$E$1020,3,FALSE)</f>
        <v>فکورصنعت</v>
      </c>
      <c r="F4030" s="19" t="str">
        <f>VLOOKUP(D4030,'لیست پرسنل'!$B$2:$E$1020,4,FALSE)</f>
        <v>سرپرست مهمانسراهای سیرجان</v>
      </c>
      <c r="G4030" s="127">
        <f>VLOOKUP(D4030,'لیست پرسنل'!$B$2:$F$1020,2,FALSE)</f>
        <v>990904</v>
      </c>
      <c r="H4030" s="128" t="s">
        <v>4977</v>
      </c>
      <c r="I4030" s="128" t="s">
        <v>1582</v>
      </c>
      <c r="J4030" s="128" t="s">
        <v>737</v>
      </c>
      <c r="K4030" s="128" t="s">
        <v>2180</v>
      </c>
      <c r="L4030" s="128" t="s">
        <v>4510</v>
      </c>
      <c r="M4030" s="131">
        <v>628666</v>
      </c>
      <c r="N4030" s="108"/>
      <c r="O4030" s="20" t="s">
        <v>705</v>
      </c>
      <c r="P4030" s="20"/>
      <c r="Q4030" s="20"/>
    </row>
    <row r="4031" spans="1:17" ht="24.9" customHeight="1">
      <c r="A4031" s="20" t="s">
        <v>7143</v>
      </c>
      <c r="B4031" s="20" t="s">
        <v>4378</v>
      </c>
      <c r="C4031" s="20">
        <v>3</v>
      </c>
      <c r="D4031" s="20" t="s">
        <v>339</v>
      </c>
      <c r="E4031" s="19" t="str">
        <f>VLOOKUP(D4031,'لیست پرسنل'!$B$2:$E$1020,3,FALSE)</f>
        <v>فکورصنعت</v>
      </c>
      <c r="F4031" s="19" t="str">
        <f>VLOOKUP(D4031,'لیست پرسنل'!$B$2:$E$1020,4,FALSE)</f>
        <v>سرپرست مهمانسراهای سیرجان</v>
      </c>
      <c r="G4031" s="127">
        <f>VLOOKUP(D4031,'لیست پرسنل'!$B$2:$F$1020,2,FALSE)</f>
        <v>990904</v>
      </c>
      <c r="H4031" s="128" t="s">
        <v>4977</v>
      </c>
      <c r="I4031" s="128" t="s">
        <v>1582</v>
      </c>
      <c r="J4031" s="128" t="s">
        <v>368</v>
      </c>
      <c r="K4031" s="128" t="s">
        <v>8248</v>
      </c>
      <c r="L4031" s="128" t="s">
        <v>2476</v>
      </c>
      <c r="M4031" s="128">
        <v>628886</v>
      </c>
      <c r="N4031" s="108"/>
      <c r="O4031" s="20" t="s">
        <v>705</v>
      </c>
      <c r="P4031" s="20"/>
      <c r="Q4031" s="20"/>
    </row>
    <row r="4032" spans="1:17" ht="24.9" customHeight="1">
      <c r="A4032" s="20" t="s">
        <v>7143</v>
      </c>
      <c r="B4032" s="20" t="s">
        <v>4378</v>
      </c>
      <c r="C4032" s="20">
        <v>3</v>
      </c>
      <c r="D4032" s="20" t="s">
        <v>339</v>
      </c>
      <c r="E4032" s="19" t="str">
        <f>VLOOKUP(D4032,'لیست پرسنل'!$B$2:$E$1020,3,FALSE)</f>
        <v>فکورصنعت</v>
      </c>
      <c r="F4032" s="19" t="str">
        <f>VLOOKUP(D4032,'لیست پرسنل'!$B$2:$E$1020,4,FALSE)</f>
        <v>سرپرست مهمانسراهای سیرجان</v>
      </c>
      <c r="G4032" s="127">
        <f>VLOOKUP(D4032,'لیست پرسنل'!$B$2:$F$1020,2,FALSE)</f>
        <v>990904</v>
      </c>
      <c r="H4032" s="128" t="s">
        <v>4977</v>
      </c>
      <c r="I4032" s="128" t="s">
        <v>1582</v>
      </c>
      <c r="J4032" s="128" t="s">
        <v>571</v>
      </c>
      <c r="K4032" s="128" t="s">
        <v>1951</v>
      </c>
      <c r="L4032" s="128" t="s">
        <v>2219</v>
      </c>
      <c r="M4032" s="128">
        <v>629906</v>
      </c>
      <c r="N4032" s="108"/>
      <c r="O4032" s="20" t="s">
        <v>705</v>
      </c>
      <c r="P4032" s="20"/>
      <c r="Q4032" s="20"/>
    </row>
    <row r="4033" spans="1:17" ht="24.9" customHeight="1">
      <c r="A4033" s="20" t="s">
        <v>7143</v>
      </c>
      <c r="B4033" s="20" t="s">
        <v>4378</v>
      </c>
      <c r="C4033" s="20">
        <v>3</v>
      </c>
      <c r="D4033" s="20" t="s">
        <v>339</v>
      </c>
      <c r="E4033" s="19" t="str">
        <f>VLOOKUP(D4033,'لیست پرسنل'!$B$2:$E$1020,3,FALSE)</f>
        <v>فکورصنعت</v>
      </c>
      <c r="F4033" s="19" t="str">
        <f>VLOOKUP(D4033,'لیست پرسنل'!$B$2:$E$1020,4,FALSE)</f>
        <v>سرپرست مهمانسراهای سیرجان</v>
      </c>
      <c r="G4033" s="127">
        <f>VLOOKUP(D4033,'لیست پرسنل'!$B$2:$F$1020,2,FALSE)</f>
        <v>990904</v>
      </c>
      <c r="H4033" s="128" t="s">
        <v>4977</v>
      </c>
      <c r="I4033" s="128" t="s">
        <v>1582</v>
      </c>
      <c r="J4033" s="128" t="s">
        <v>2686</v>
      </c>
      <c r="K4033" s="128" t="s">
        <v>2143</v>
      </c>
      <c r="L4033" s="128" t="s">
        <v>2247</v>
      </c>
      <c r="M4033" s="127">
        <v>628638</v>
      </c>
      <c r="N4033" s="108"/>
      <c r="O4033" s="20" t="s">
        <v>705</v>
      </c>
      <c r="P4033" s="20"/>
      <c r="Q4033" s="20"/>
    </row>
    <row r="4034" spans="1:17" ht="24.9" customHeight="1">
      <c r="A4034" s="20" t="s">
        <v>7143</v>
      </c>
      <c r="B4034" s="20" t="s">
        <v>4378</v>
      </c>
      <c r="C4034" s="20">
        <v>4</v>
      </c>
      <c r="D4034" s="20" t="s">
        <v>6443</v>
      </c>
      <c r="E4034" s="19" t="str">
        <f>VLOOKUP(D4034,'لیست پرسنل'!$B$2:$E$1020,3,FALSE)</f>
        <v>گهر کوشان سپهر</v>
      </c>
      <c r="F4034" s="19" t="str">
        <f>VLOOKUP(D4034,'لیست پرسنل'!$B$2:$E$1020,4,FALSE)</f>
        <v>اداری</v>
      </c>
      <c r="G4034" s="127">
        <f>VLOOKUP(D4034,'لیست پرسنل'!$B$2:$F$1020,2,FALSE)</f>
        <v>20987</v>
      </c>
      <c r="H4034" s="128" t="s">
        <v>2563</v>
      </c>
      <c r="I4034" s="128" t="s">
        <v>1615</v>
      </c>
      <c r="J4034" s="128" t="s">
        <v>3383</v>
      </c>
      <c r="K4034" s="128" t="s">
        <v>7859</v>
      </c>
      <c r="L4034" s="128" t="s">
        <v>7858</v>
      </c>
      <c r="M4034" s="128">
        <v>636506</v>
      </c>
      <c r="N4034" s="108"/>
      <c r="O4034" s="20"/>
      <c r="P4034" s="20"/>
      <c r="Q4034" s="20"/>
    </row>
    <row r="4035" spans="1:17" ht="24.9" customHeight="1">
      <c r="A4035" s="20" t="s">
        <v>7143</v>
      </c>
      <c r="B4035" s="20" t="s">
        <v>4378</v>
      </c>
      <c r="C4035" s="20">
        <v>4</v>
      </c>
      <c r="D4035" s="20" t="s">
        <v>6443</v>
      </c>
      <c r="E4035" s="19" t="str">
        <f>VLOOKUP(D4035,'لیست پرسنل'!$B$2:$E$1020,3,FALSE)</f>
        <v>گهر کوشان سپهر</v>
      </c>
      <c r="F4035" s="19" t="str">
        <f>VLOOKUP(D4035,'لیست پرسنل'!$B$2:$E$1020,4,FALSE)</f>
        <v>اداری</v>
      </c>
      <c r="G4035" s="127">
        <f>VLOOKUP(D4035,'لیست پرسنل'!$B$2:$F$1020,2,FALSE)</f>
        <v>20987</v>
      </c>
      <c r="H4035" s="128" t="s">
        <v>2563</v>
      </c>
      <c r="I4035" s="128" t="s">
        <v>1615</v>
      </c>
      <c r="J4035" s="128" t="s">
        <v>737</v>
      </c>
      <c r="K4035" s="128" t="s">
        <v>393</v>
      </c>
      <c r="L4035" s="128" t="s">
        <v>394</v>
      </c>
      <c r="M4035" s="128">
        <v>620377</v>
      </c>
      <c r="N4035" s="108"/>
      <c r="O4035" s="20"/>
      <c r="P4035" s="20"/>
      <c r="Q4035" s="39"/>
    </row>
    <row r="4036" spans="1:17" ht="24.9" customHeight="1">
      <c r="A4036" s="20" t="s">
        <v>7143</v>
      </c>
      <c r="B4036" s="20" t="s">
        <v>4378</v>
      </c>
      <c r="C4036" s="20">
        <v>4</v>
      </c>
      <c r="D4036" s="20" t="s">
        <v>6443</v>
      </c>
      <c r="E4036" s="19" t="str">
        <f>VLOOKUP(D4036,'لیست پرسنل'!$B$2:$E$1020,3,FALSE)</f>
        <v>گهر کوشان سپهر</v>
      </c>
      <c r="F4036" s="19" t="str">
        <f>VLOOKUP(D4036,'لیست پرسنل'!$B$2:$E$1020,4,FALSE)</f>
        <v>اداری</v>
      </c>
      <c r="G4036" s="127">
        <f>VLOOKUP(D4036,'لیست پرسنل'!$B$2:$F$1020,2,FALSE)</f>
        <v>20987</v>
      </c>
      <c r="H4036" s="128" t="s">
        <v>2563</v>
      </c>
      <c r="I4036" s="128" t="s">
        <v>1615</v>
      </c>
      <c r="J4036" s="128" t="s">
        <v>368</v>
      </c>
      <c r="K4036" s="128" t="s">
        <v>8248</v>
      </c>
      <c r="L4036" s="128" t="s">
        <v>2331</v>
      </c>
      <c r="M4036" s="128">
        <v>628737</v>
      </c>
      <c r="N4036" s="108"/>
      <c r="O4036" s="20" t="s">
        <v>705</v>
      </c>
      <c r="P4036" s="20"/>
      <c r="Q4036" s="20"/>
    </row>
    <row r="4037" spans="1:17" ht="24.9" customHeight="1">
      <c r="A4037" s="20" t="s">
        <v>7143</v>
      </c>
      <c r="B4037" s="20" t="s">
        <v>4378</v>
      </c>
      <c r="C4037" s="20">
        <v>4</v>
      </c>
      <c r="D4037" s="20" t="s">
        <v>6443</v>
      </c>
      <c r="E4037" s="19" t="str">
        <f>VLOOKUP(D4037,'لیست پرسنل'!$B$2:$E$1020,3,FALSE)</f>
        <v>گهر کوشان سپهر</v>
      </c>
      <c r="F4037" s="19" t="str">
        <f>VLOOKUP(D4037,'لیست پرسنل'!$B$2:$E$1020,4,FALSE)</f>
        <v>اداری</v>
      </c>
      <c r="G4037" s="127">
        <f>VLOOKUP(D4037,'لیست پرسنل'!$B$2:$F$1020,2,FALSE)</f>
        <v>20987</v>
      </c>
      <c r="H4037" s="128" t="s">
        <v>2563</v>
      </c>
      <c r="I4037" s="128" t="s">
        <v>1615</v>
      </c>
      <c r="J4037" s="128" t="s">
        <v>571</v>
      </c>
      <c r="K4037" s="128" t="s">
        <v>1951</v>
      </c>
      <c r="L4037" s="128" t="s">
        <v>2219</v>
      </c>
      <c r="M4037" s="128">
        <v>629901</v>
      </c>
      <c r="N4037" s="108"/>
      <c r="O4037" s="20" t="s">
        <v>705</v>
      </c>
      <c r="P4037" s="20"/>
      <c r="Q4037" s="20"/>
    </row>
    <row r="4038" spans="1:17" ht="24.9" customHeight="1">
      <c r="A4038" s="20" t="s">
        <v>7143</v>
      </c>
      <c r="B4038" s="20" t="s">
        <v>4378</v>
      </c>
      <c r="C4038" s="20">
        <v>4</v>
      </c>
      <c r="D4038" s="20" t="s">
        <v>6443</v>
      </c>
      <c r="E4038" s="19" t="str">
        <f>VLOOKUP(D4038,'لیست پرسنل'!$B$2:$E$1020,3,FALSE)</f>
        <v>گهر کوشان سپهر</v>
      </c>
      <c r="F4038" s="19" t="str">
        <f>VLOOKUP(D4038,'لیست پرسنل'!$B$2:$E$1020,4,FALSE)</f>
        <v>اداری</v>
      </c>
      <c r="G4038" s="127">
        <f>VLOOKUP(D4038,'لیست پرسنل'!$B$2:$F$1020,2,FALSE)</f>
        <v>20987</v>
      </c>
      <c r="H4038" s="128" t="s">
        <v>2563</v>
      </c>
      <c r="I4038" s="128" t="s">
        <v>1615</v>
      </c>
      <c r="J4038" s="128" t="s">
        <v>2686</v>
      </c>
      <c r="K4038" s="128" t="s">
        <v>2922</v>
      </c>
      <c r="L4038" s="128" t="s">
        <v>3045</v>
      </c>
      <c r="M4038" s="128">
        <v>626529</v>
      </c>
      <c r="N4038" s="108"/>
      <c r="O4038" s="20" t="s">
        <v>705</v>
      </c>
      <c r="P4038" s="20"/>
      <c r="Q4038" s="20"/>
    </row>
    <row r="4039" spans="1:17" ht="24.9" customHeight="1">
      <c r="A4039" s="20" t="s">
        <v>7143</v>
      </c>
      <c r="B4039" s="20" t="s">
        <v>4378</v>
      </c>
      <c r="C4039" s="20">
        <v>5</v>
      </c>
      <c r="D4039" s="20" t="s">
        <v>1619</v>
      </c>
      <c r="E4039" s="19" t="str">
        <f>VLOOKUP(D4039,'لیست پرسنل'!$B$2:$E$1020,3,FALSE)</f>
        <v>گهر کوشان سپهر</v>
      </c>
      <c r="F4039" s="19" t="str">
        <f>VLOOKUP(D4039,'لیست پرسنل'!$B$2:$E$1020,4,FALSE)</f>
        <v>مسئول انبار مهمانسراهای سیرجان</v>
      </c>
      <c r="G4039" s="127">
        <f>VLOOKUP(D4039,'لیست پرسنل'!$B$2:$F$1020,2,FALSE)</f>
        <v>20258</v>
      </c>
      <c r="H4039" s="128" t="s">
        <v>4977</v>
      </c>
      <c r="I4039" s="128" t="s">
        <v>1616</v>
      </c>
      <c r="J4039" s="128" t="s">
        <v>368</v>
      </c>
      <c r="K4039" s="128" t="s">
        <v>2846</v>
      </c>
      <c r="L4039" s="128" t="s">
        <v>1394</v>
      </c>
      <c r="M4039" s="128">
        <v>624653</v>
      </c>
      <c r="N4039" s="108"/>
      <c r="O4039" s="20"/>
      <c r="P4039" s="20"/>
      <c r="Q4039" s="39"/>
    </row>
    <row r="4040" spans="1:17" ht="24.9" customHeight="1">
      <c r="A4040" s="20" t="s">
        <v>7143</v>
      </c>
      <c r="B4040" s="20" t="s">
        <v>4378</v>
      </c>
      <c r="C4040" s="20">
        <v>5</v>
      </c>
      <c r="D4040" s="20" t="s">
        <v>1619</v>
      </c>
      <c r="E4040" s="19" t="str">
        <f>VLOOKUP(D4040,'لیست پرسنل'!$B$2:$E$1020,3,FALSE)</f>
        <v>گهر کوشان سپهر</v>
      </c>
      <c r="F4040" s="19" t="str">
        <f>VLOOKUP(D4040,'لیست پرسنل'!$B$2:$E$1020,4,FALSE)</f>
        <v>مسئول انبار مهمانسراهای سیرجان</v>
      </c>
      <c r="G4040" s="127">
        <f>VLOOKUP(D4040,'لیست پرسنل'!$B$2:$F$1020,2,FALSE)</f>
        <v>20258</v>
      </c>
      <c r="H4040" s="128" t="s">
        <v>4977</v>
      </c>
      <c r="I4040" s="128" t="s">
        <v>1616</v>
      </c>
      <c r="J4040" s="141" t="s">
        <v>571</v>
      </c>
      <c r="K4040" s="135" t="s">
        <v>1513</v>
      </c>
      <c r="L4040" s="128" t="s">
        <v>2053</v>
      </c>
      <c r="M4040" s="131">
        <v>624175</v>
      </c>
      <c r="N4040" s="108"/>
      <c r="O4040" s="20" t="s">
        <v>705</v>
      </c>
      <c r="P4040" s="20"/>
      <c r="Q4040" s="20"/>
    </row>
    <row r="4041" spans="1:17" ht="24.9" customHeight="1">
      <c r="A4041" s="20" t="s">
        <v>7143</v>
      </c>
      <c r="B4041" s="20" t="s">
        <v>4378</v>
      </c>
      <c r="C4041" s="20">
        <v>5</v>
      </c>
      <c r="D4041" s="20" t="s">
        <v>1619</v>
      </c>
      <c r="E4041" s="19" t="str">
        <f>VLOOKUP(D4041,'لیست پرسنل'!$B$2:$E$1020,3,FALSE)</f>
        <v>گهر کوشان سپهر</v>
      </c>
      <c r="F4041" s="19" t="str">
        <f>VLOOKUP(D4041,'لیست پرسنل'!$B$2:$E$1020,4,FALSE)</f>
        <v>مسئول انبار مهمانسراهای سیرجان</v>
      </c>
      <c r="G4041" s="127">
        <f>VLOOKUP(D4041,'لیست پرسنل'!$B$2:$F$1020,2,FALSE)</f>
        <v>20258</v>
      </c>
      <c r="H4041" s="128" t="s">
        <v>4977</v>
      </c>
      <c r="I4041" s="128" t="s">
        <v>1616</v>
      </c>
      <c r="J4041" s="128" t="s">
        <v>2686</v>
      </c>
      <c r="K4041" s="128" t="s">
        <v>2143</v>
      </c>
      <c r="L4041" s="128" t="s">
        <v>2266</v>
      </c>
      <c r="M4041" s="127">
        <v>628657</v>
      </c>
      <c r="N4041" s="108"/>
      <c r="O4041" s="20" t="s">
        <v>705</v>
      </c>
      <c r="P4041" s="20"/>
      <c r="Q4041" s="20"/>
    </row>
    <row r="4042" spans="1:17" ht="24.9" customHeight="1">
      <c r="A4042" s="20" t="s">
        <v>7143</v>
      </c>
      <c r="B4042" s="20" t="s">
        <v>4378</v>
      </c>
      <c r="C4042" s="20">
        <v>6</v>
      </c>
      <c r="D4042" s="20" t="s">
        <v>339</v>
      </c>
      <c r="E4042" s="19" t="str">
        <f>VLOOKUP(D4042,'لیست پرسنل'!$B$2:$E$1020,3,FALSE)</f>
        <v>فکورصنعت</v>
      </c>
      <c r="F4042" s="19" t="str">
        <f>VLOOKUP(D4042,'لیست پرسنل'!$B$2:$E$1020,4,FALSE)</f>
        <v>سرپرست مهمانسراهای سیرجان</v>
      </c>
      <c r="G4042" s="127">
        <f>VLOOKUP(D4042,'لیست پرسنل'!$B$2:$F$1020,2,FALSE)</f>
        <v>990904</v>
      </c>
      <c r="H4042" s="128" t="s">
        <v>2563</v>
      </c>
      <c r="I4042" s="128" t="s">
        <v>1672</v>
      </c>
      <c r="J4042" s="128" t="s">
        <v>368</v>
      </c>
      <c r="K4042" s="128" t="s">
        <v>2846</v>
      </c>
      <c r="L4042" s="128" t="s">
        <v>1392</v>
      </c>
      <c r="M4042" s="128">
        <v>624650</v>
      </c>
      <c r="N4042" s="109"/>
      <c r="O4042" s="20"/>
      <c r="P4042" s="19"/>
      <c r="Q4042" s="39"/>
    </row>
    <row r="4043" spans="1:17" ht="24.9" customHeight="1">
      <c r="A4043" s="20" t="s">
        <v>7143</v>
      </c>
      <c r="B4043" s="20" t="s">
        <v>4378</v>
      </c>
      <c r="C4043" s="20">
        <v>7</v>
      </c>
      <c r="D4043" s="20" t="s">
        <v>339</v>
      </c>
      <c r="E4043" s="19" t="str">
        <f>VLOOKUP(D4043,'لیست پرسنل'!$B$2:$E$1020,3,FALSE)</f>
        <v>فکورصنعت</v>
      </c>
      <c r="F4043" s="19" t="str">
        <f>VLOOKUP(D4043,'لیست پرسنل'!$B$2:$E$1020,4,FALSE)</f>
        <v>سرپرست مهمانسراهای سیرجان</v>
      </c>
      <c r="G4043" s="127">
        <f>VLOOKUP(D4043,'لیست پرسنل'!$B$2:$F$1020,2,FALSE)</f>
        <v>990904</v>
      </c>
      <c r="H4043" s="128" t="s">
        <v>2563</v>
      </c>
      <c r="I4043" s="128" t="s">
        <v>1836</v>
      </c>
      <c r="J4043" s="128" t="s">
        <v>737</v>
      </c>
      <c r="K4043" s="128" t="s">
        <v>510</v>
      </c>
      <c r="L4043" s="128" t="s">
        <v>511</v>
      </c>
      <c r="M4043" s="128">
        <v>622509</v>
      </c>
      <c r="N4043" s="109"/>
      <c r="O4043" s="20" t="s">
        <v>5807</v>
      </c>
      <c r="P4043" s="19"/>
      <c r="Q4043" s="39"/>
    </row>
    <row r="4044" spans="1:17" ht="24.9" customHeight="1">
      <c r="A4044" s="20" t="s">
        <v>7143</v>
      </c>
      <c r="B4044" s="20" t="s">
        <v>4378</v>
      </c>
      <c r="C4044" s="20">
        <v>7</v>
      </c>
      <c r="D4044" s="20" t="s">
        <v>339</v>
      </c>
      <c r="E4044" s="19" t="str">
        <f>VLOOKUP(D4044,'لیست پرسنل'!$B$2:$E$1020,3,FALSE)</f>
        <v>فکورصنعت</v>
      </c>
      <c r="F4044" s="19" t="str">
        <f>VLOOKUP(D4044,'لیست پرسنل'!$B$2:$E$1020,4,FALSE)</f>
        <v>سرپرست مهمانسراهای سیرجان</v>
      </c>
      <c r="G4044" s="127">
        <f>VLOOKUP(D4044,'لیست پرسنل'!$B$2:$F$1020,2,FALSE)</f>
        <v>990904</v>
      </c>
      <c r="H4044" s="128" t="s">
        <v>2563</v>
      </c>
      <c r="I4044" s="128" t="s">
        <v>1836</v>
      </c>
      <c r="J4044" s="128" t="s">
        <v>3964</v>
      </c>
      <c r="K4044" s="130" t="s">
        <v>1563</v>
      </c>
      <c r="L4044" s="151"/>
      <c r="M4044" s="130">
        <v>606125</v>
      </c>
      <c r="N4044" s="108"/>
      <c r="O4044" s="20"/>
      <c r="P4044" s="20"/>
      <c r="Q4044" s="20"/>
    </row>
    <row r="4045" spans="1:17" ht="24.9" customHeight="1">
      <c r="A4045" s="20" t="s">
        <v>7143</v>
      </c>
      <c r="B4045" s="20" t="s">
        <v>4378</v>
      </c>
      <c r="C4045" s="20">
        <v>7</v>
      </c>
      <c r="D4045" s="20" t="s">
        <v>339</v>
      </c>
      <c r="E4045" s="19" t="str">
        <f>VLOOKUP(D4045,'لیست پرسنل'!$B$2:$E$1020,3,FALSE)</f>
        <v>فکورصنعت</v>
      </c>
      <c r="F4045" s="19" t="str">
        <f>VLOOKUP(D4045,'لیست پرسنل'!$B$2:$E$1020,4,FALSE)</f>
        <v>سرپرست مهمانسراهای سیرجان</v>
      </c>
      <c r="G4045" s="127">
        <f>VLOOKUP(D4045,'لیست پرسنل'!$B$2:$F$1020,2,FALSE)</f>
        <v>990904</v>
      </c>
      <c r="H4045" s="128" t="s">
        <v>2563</v>
      </c>
      <c r="I4045" s="128" t="s">
        <v>1836</v>
      </c>
      <c r="J4045" s="128" t="s">
        <v>571</v>
      </c>
      <c r="K4045" s="128"/>
      <c r="L4045" s="128"/>
      <c r="M4045" s="127">
        <v>625426</v>
      </c>
      <c r="N4045" s="109"/>
      <c r="O4045" s="20"/>
      <c r="P4045" s="19"/>
      <c r="Q4045" s="39"/>
    </row>
    <row r="4046" spans="1:17" ht="24.9" customHeight="1">
      <c r="A4046" s="20" t="s">
        <v>7143</v>
      </c>
      <c r="B4046" s="20" t="s">
        <v>4378</v>
      </c>
      <c r="C4046" s="20">
        <v>7</v>
      </c>
      <c r="D4046" s="20" t="s">
        <v>339</v>
      </c>
      <c r="E4046" s="19" t="str">
        <f>VLOOKUP(D4046,'لیست پرسنل'!$B$2:$E$1020,3,FALSE)</f>
        <v>فکورصنعت</v>
      </c>
      <c r="F4046" s="19" t="str">
        <f>VLOOKUP(D4046,'لیست پرسنل'!$B$2:$E$1020,4,FALSE)</f>
        <v>سرپرست مهمانسراهای سیرجان</v>
      </c>
      <c r="G4046" s="127">
        <f>VLOOKUP(D4046,'لیست پرسنل'!$B$2:$F$1020,2,FALSE)</f>
        <v>990904</v>
      </c>
      <c r="H4046" s="128" t="s">
        <v>2563</v>
      </c>
      <c r="I4046" s="128" t="s">
        <v>1836</v>
      </c>
      <c r="J4046" s="128" t="s">
        <v>2686</v>
      </c>
      <c r="K4046" s="128" t="s">
        <v>890</v>
      </c>
      <c r="L4046" s="128" t="s">
        <v>2904</v>
      </c>
      <c r="M4046" s="127">
        <v>633621</v>
      </c>
      <c r="N4046" s="109"/>
      <c r="O4046" s="19" t="s">
        <v>6283</v>
      </c>
      <c r="P4046" s="32"/>
      <c r="Q4046" s="32"/>
    </row>
    <row r="4047" spans="1:17" ht="24.9" customHeight="1">
      <c r="A4047" s="20" t="s">
        <v>7143</v>
      </c>
      <c r="B4047" s="20" t="s">
        <v>4378</v>
      </c>
      <c r="C4047" s="20">
        <v>8</v>
      </c>
      <c r="D4047" s="20" t="s">
        <v>339</v>
      </c>
      <c r="E4047" s="19" t="str">
        <f>VLOOKUP(D4047,'لیست پرسنل'!$B$2:$E$1020,3,FALSE)</f>
        <v>فکورصنعت</v>
      </c>
      <c r="F4047" s="19" t="str">
        <f>VLOOKUP(D4047,'لیست پرسنل'!$B$2:$E$1020,4,FALSE)</f>
        <v>سرپرست مهمانسراهای سیرجان</v>
      </c>
      <c r="G4047" s="127">
        <f>VLOOKUP(D4047,'لیست پرسنل'!$B$2:$F$1020,2,FALSE)</f>
        <v>990904</v>
      </c>
      <c r="H4047" s="128" t="s">
        <v>5399</v>
      </c>
      <c r="I4047" s="128" t="s">
        <v>2085</v>
      </c>
      <c r="J4047" s="128" t="s">
        <v>3145</v>
      </c>
      <c r="K4047" s="128" t="s">
        <v>6195</v>
      </c>
      <c r="L4047" s="150" t="s">
        <v>6197</v>
      </c>
      <c r="M4047" s="127" t="s">
        <v>291</v>
      </c>
      <c r="N4047" s="108"/>
      <c r="O4047" s="20" t="s">
        <v>6196</v>
      </c>
      <c r="P4047" s="19"/>
      <c r="Q4047" s="39"/>
    </row>
    <row r="4048" spans="1:17" ht="24.9" customHeight="1">
      <c r="A4048" s="20" t="s">
        <v>7143</v>
      </c>
      <c r="B4048" s="20" t="s">
        <v>4378</v>
      </c>
      <c r="C4048" s="20">
        <v>8</v>
      </c>
      <c r="D4048" s="20" t="s">
        <v>339</v>
      </c>
      <c r="E4048" s="19" t="str">
        <f>VLOOKUP(D4048,'لیست پرسنل'!$B$2:$E$1020,3,FALSE)</f>
        <v>فکورصنعت</v>
      </c>
      <c r="F4048" s="19" t="str">
        <f>VLOOKUP(D4048,'لیست پرسنل'!$B$2:$E$1020,4,FALSE)</f>
        <v>سرپرست مهمانسراهای سیرجان</v>
      </c>
      <c r="G4048" s="127">
        <f>VLOOKUP(D4048,'لیست پرسنل'!$B$2:$F$1020,2,FALSE)</f>
        <v>990904</v>
      </c>
      <c r="H4048" s="128" t="s">
        <v>5399</v>
      </c>
      <c r="I4048" s="128" t="s">
        <v>2085</v>
      </c>
      <c r="J4048" s="141" t="s">
        <v>571</v>
      </c>
      <c r="K4048" s="128" t="s">
        <v>6045</v>
      </c>
      <c r="L4048" s="134"/>
      <c r="M4048" s="128">
        <v>632744</v>
      </c>
      <c r="N4048" s="108"/>
      <c r="O4048" s="20"/>
      <c r="P4048" s="20"/>
      <c r="Q4048" s="20"/>
    </row>
    <row r="4049" spans="1:17" ht="24.9" customHeight="1">
      <c r="A4049" s="20" t="s">
        <v>7143</v>
      </c>
      <c r="B4049" s="20" t="s">
        <v>4378</v>
      </c>
      <c r="C4049" s="20">
        <v>8</v>
      </c>
      <c r="D4049" s="20" t="s">
        <v>339</v>
      </c>
      <c r="E4049" s="19" t="str">
        <f>VLOOKUP(D4049,'لیست پرسنل'!$B$2:$E$1020,3,FALSE)</f>
        <v>فکورصنعت</v>
      </c>
      <c r="F4049" s="19" t="str">
        <f>VLOOKUP(D4049,'لیست پرسنل'!$B$2:$E$1020,4,FALSE)</f>
        <v>سرپرست مهمانسراهای سیرجان</v>
      </c>
      <c r="G4049" s="127">
        <f>VLOOKUP(D4049,'لیست پرسنل'!$B$2:$F$1020,2,FALSE)</f>
        <v>990904</v>
      </c>
      <c r="H4049" s="128" t="s">
        <v>5399</v>
      </c>
      <c r="I4049" s="128" t="s">
        <v>2085</v>
      </c>
      <c r="J4049" s="128" t="s">
        <v>2686</v>
      </c>
      <c r="K4049" s="128" t="s">
        <v>721</v>
      </c>
      <c r="L4049" s="127" t="s">
        <v>1610</v>
      </c>
      <c r="M4049" s="127">
        <v>633635</v>
      </c>
      <c r="N4049" s="109"/>
      <c r="O4049" s="19" t="s">
        <v>6296</v>
      </c>
      <c r="P4049" s="32"/>
      <c r="Q4049" s="32"/>
    </row>
    <row r="4050" spans="1:17" ht="24.9" customHeight="1">
      <c r="A4050" s="20" t="s">
        <v>7143</v>
      </c>
      <c r="B4050" s="20" t="s">
        <v>4378</v>
      </c>
      <c r="C4050" s="20">
        <v>9</v>
      </c>
      <c r="D4050" s="20" t="s">
        <v>48</v>
      </c>
      <c r="E4050" s="19" t="str">
        <f>VLOOKUP(D4050,'لیست پرسنل'!$B$2:$E$1020,3,FALSE)</f>
        <v>فکورصنعت</v>
      </c>
      <c r="F4050" s="19" t="str">
        <f>VLOOKUP(D4050,'لیست پرسنل'!$B$2:$E$1020,4,FALSE)</f>
        <v>سرپرست آی تی</v>
      </c>
      <c r="G4050" s="127">
        <f>VLOOKUP(D4050,'لیست پرسنل'!$B$2:$F$1020,2,FALSE)</f>
        <v>2210</v>
      </c>
      <c r="H4050" s="128" t="s">
        <v>5134</v>
      </c>
      <c r="I4050" s="128" t="s">
        <v>5133</v>
      </c>
      <c r="J4050" s="128" t="s">
        <v>368</v>
      </c>
      <c r="K4050" s="128" t="s">
        <v>8248</v>
      </c>
      <c r="L4050" s="128" t="s">
        <v>2503</v>
      </c>
      <c r="M4050" s="128">
        <v>628915</v>
      </c>
      <c r="N4050" s="108"/>
      <c r="O4050" s="20" t="s">
        <v>705</v>
      </c>
      <c r="P4050" s="20"/>
      <c r="Q4050" s="20"/>
    </row>
    <row r="4051" spans="1:17" ht="24.9" customHeight="1">
      <c r="A4051" s="20" t="s">
        <v>7143</v>
      </c>
      <c r="B4051" s="20" t="s">
        <v>4378</v>
      </c>
      <c r="C4051" s="20">
        <v>9</v>
      </c>
      <c r="D4051" s="20" t="s">
        <v>48</v>
      </c>
      <c r="E4051" s="19" t="str">
        <f>VLOOKUP(D4051,'لیست پرسنل'!$B$2:$E$1020,3,FALSE)</f>
        <v>فکورصنعت</v>
      </c>
      <c r="F4051" s="19" t="str">
        <f>VLOOKUP(D4051,'لیست پرسنل'!$B$2:$E$1020,4,FALSE)</f>
        <v>سرپرست آی تی</v>
      </c>
      <c r="G4051" s="127">
        <f>VLOOKUP(D4051,'لیست پرسنل'!$B$2:$F$1020,2,FALSE)</f>
        <v>2210</v>
      </c>
      <c r="H4051" s="128" t="s">
        <v>5134</v>
      </c>
      <c r="I4051" s="128" t="s">
        <v>5133</v>
      </c>
      <c r="J4051" s="128" t="s">
        <v>571</v>
      </c>
      <c r="K4051" s="128" t="s">
        <v>1951</v>
      </c>
      <c r="L4051" s="128" t="s">
        <v>2219</v>
      </c>
      <c r="M4051" s="128">
        <v>629912</v>
      </c>
      <c r="N4051" s="108"/>
      <c r="O4051" s="20" t="s">
        <v>705</v>
      </c>
      <c r="P4051" s="20"/>
      <c r="Q4051" s="20"/>
    </row>
    <row r="4052" spans="1:17" ht="24.9" customHeight="1">
      <c r="A4052" s="20" t="s">
        <v>7143</v>
      </c>
      <c r="B4052" s="20" t="s">
        <v>4378</v>
      </c>
      <c r="C4052" s="20">
        <v>9</v>
      </c>
      <c r="D4052" s="20" t="s">
        <v>48</v>
      </c>
      <c r="E4052" s="19" t="str">
        <f>VLOOKUP(D4052,'لیست پرسنل'!$B$2:$E$1020,3,FALSE)</f>
        <v>فکورصنعت</v>
      </c>
      <c r="F4052" s="19" t="str">
        <f>VLOOKUP(D4052,'لیست پرسنل'!$B$2:$E$1020,4,FALSE)</f>
        <v>سرپرست آی تی</v>
      </c>
      <c r="G4052" s="127">
        <f>VLOOKUP(D4052,'لیست پرسنل'!$B$2:$F$1020,2,FALSE)</f>
        <v>2210</v>
      </c>
      <c r="H4052" s="128" t="s">
        <v>5134</v>
      </c>
      <c r="I4052" s="128" t="s">
        <v>5133</v>
      </c>
      <c r="J4052" s="128" t="s">
        <v>2686</v>
      </c>
      <c r="K4052" s="128" t="s">
        <v>2143</v>
      </c>
      <c r="L4052" s="128" t="s">
        <v>2246</v>
      </c>
      <c r="M4052" s="127">
        <v>628637</v>
      </c>
      <c r="N4052" s="108"/>
      <c r="O4052" s="20" t="s">
        <v>705</v>
      </c>
      <c r="P4052" s="20"/>
      <c r="Q4052" s="20"/>
    </row>
    <row r="4053" spans="1:17" ht="24.9" customHeight="1">
      <c r="A4053" s="20" t="s">
        <v>7143</v>
      </c>
      <c r="B4053" s="20" t="s">
        <v>4378</v>
      </c>
      <c r="C4053" s="20">
        <v>10</v>
      </c>
      <c r="D4053" s="20" t="s">
        <v>339</v>
      </c>
      <c r="E4053" s="19" t="str">
        <f>VLOOKUP(D4053,'لیست پرسنل'!$B$2:$E$1020,3,FALSE)</f>
        <v>فکورصنعت</v>
      </c>
      <c r="F4053" s="19" t="str">
        <f>VLOOKUP(D4053,'لیست پرسنل'!$B$2:$E$1020,4,FALSE)</f>
        <v>سرپرست مهمانسراهای سیرجان</v>
      </c>
      <c r="G4053" s="127">
        <f>VLOOKUP(D4053,'لیست پرسنل'!$B$2:$F$1020,2,FALSE)</f>
        <v>990904</v>
      </c>
      <c r="H4053" s="126" t="s">
        <v>6874</v>
      </c>
      <c r="I4053" s="128" t="s">
        <v>6875</v>
      </c>
      <c r="J4053" s="127" t="s">
        <v>571</v>
      </c>
      <c r="K4053" s="128" t="s">
        <v>8106</v>
      </c>
      <c r="L4053" s="128"/>
      <c r="M4053" s="132">
        <v>632468</v>
      </c>
      <c r="N4053" s="111"/>
      <c r="O4053" s="19"/>
      <c r="P4053" s="20"/>
      <c r="Q4053" s="20"/>
    </row>
    <row r="4054" spans="1:17" ht="24.9" customHeight="1">
      <c r="A4054" s="20" t="s">
        <v>7143</v>
      </c>
      <c r="B4054" s="20" t="s">
        <v>4378</v>
      </c>
      <c r="C4054" s="20">
        <v>10</v>
      </c>
      <c r="D4054" s="20" t="s">
        <v>339</v>
      </c>
      <c r="E4054" s="19" t="str">
        <f>VLOOKUP(D4054,'لیست پرسنل'!$B$2:$E$1020,3,FALSE)</f>
        <v>فکورصنعت</v>
      </c>
      <c r="F4054" s="19" t="str">
        <f>VLOOKUP(D4054,'لیست پرسنل'!$B$2:$E$1020,4,FALSE)</f>
        <v>سرپرست مهمانسراهای سیرجان</v>
      </c>
      <c r="G4054" s="127">
        <f>VLOOKUP(D4054,'لیست پرسنل'!$B$2:$F$1020,2,FALSE)</f>
        <v>990904</v>
      </c>
      <c r="H4054" s="126" t="s">
        <v>6874</v>
      </c>
      <c r="I4054" s="128" t="s">
        <v>6875</v>
      </c>
      <c r="J4054" s="128" t="s">
        <v>2686</v>
      </c>
      <c r="K4054" s="128" t="s">
        <v>2922</v>
      </c>
      <c r="L4054" s="127" t="s">
        <v>3050</v>
      </c>
      <c r="M4054" s="128">
        <v>626534</v>
      </c>
      <c r="N4054" s="108"/>
      <c r="O4054" s="20" t="s">
        <v>705</v>
      </c>
      <c r="P4054" s="20"/>
      <c r="Q4054" s="20"/>
    </row>
    <row r="4055" spans="1:17" ht="24.9" customHeight="1">
      <c r="A4055" s="20" t="s">
        <v>7143</v>
      </c>
      <c r="B4055" s="20" t="s">
        <v>4378</v>
      </c>
      <c r="C4055" s="20">
        <v>13</v>
      </c>
      <c r="D4055" s="20" t="s">
        <v>4978</v>
      </c>
      <c r="E4055" s="19" t="str">
        <f>VLOOKUP(D4055,'لیست پرسنل'!$B$2:$E$1020,3,FALSE)</f>
        <v>گهر کوشان سپهر</v>
      </c>
      <c r="F4055" s="19" t="str">
        <f>VLOOKUP(D4055,'لیست پرسنل'!$B$2:$E$1020,4,FALSE)</f>
        <v>مسئول ترانسپورت</v>
      </c>
      <c r="G4055" s="127">
        <f>VLOOKUP(D4055,'لیست پرسنل'!$B$2:$F$1020,2,FALSE)</f>
        <v>20632</v>
      </c>
      <c r="H4055" s="128" t="s">
        <v>4977</v>
      </c>
      <c r="I4055" s="128" t="s">
        <v>263</v>
      </c>
      <c r="J4055" s="128" t="s">
        <v>368</v>
      </c>
      <c r="K4055" s="128" t="s">
        <v>8248</v>
      </c>
      <c r="L4055" s="128" t="s">
        <v>2510</v>
      </c>
      <c r="M4055" s="128">
        <v>628922</v>
      </c>
      <c r="N4055" s="108"/>
      <c r="O4055" s="20" t="s">
        <v>705</v>
      </c>
      <c r="P4055" s="20"/>
      <c r="Q4055" s="20"/>
    </row>
    <row r="4056" spans="1:17" ht="24.9" customHeight="1">
      <c r="A4056" s="20" t="s">
        <v>7143</v>
      </c>
      <c r="B4056" s="20" t="s">
        <v>4378</v>
      </c>
      <c r="C4056" s="20">
        <v>13</v>
      </c>
      <c r="D4056" s="20" t="s">
        <v>4978</v>
      </c>
      <c r="E4056" s="19" t="str">
        <f>VLOOKUP(D4056,'لیست پرسنل'!$B$2:$E$1020,3,FALSE)</f>
        <v>گهر کوشان سپهر</v>
      </c>
      <c r="F4056" s="19" t="str">
        <f>VLOOKUP(D4056,'لیست پرسنل'!$B$2:$E$1020,4,FALSE)</f>
        <v>مسئول ترانسپورت</v>
      </c>
      <c r="G4056" s="127">
        <f>VLOOKUP(D4056,'لیست پرسنل'!$B$2:$F$1020,2,FALSE)</f>
        <v>20632</v>
      </c>
      <c r="H4056" s="128" t="s">
        <v>4977</v>
      </c>
      <c r="I4056" s="128" t="s">
        <v>263</v>
      </c>
      <c r="J4056" s="128" t="s">
        <v>571</v>
      </c>
      <c r="K4056" s="128" t="s">
        <v>1951</v>
      </c>
      <c r="L4056" s="128" t="s">
        <v>2219</v>
      </c>
      <c r="M4056" s="128">
        <v>629913</v>
      </c>
      <c r="N4056" s="108"/>
      <c r="O4056" s="20" t="s">
        <v>705</v>
      </c>
      <c r="P4056" s="20"/>
      <c r="Q4056" s="20"/>
    </row>
    <row r="4057" spans="1:17" ht="24.9" customHeight="1">
      <c r="A4057" s="20" t="s">
        <v>7143</v>
      </c>
      <c r="B4057" s="20" t="s">
        <v>4378</v>
      </c>
      <c r="C4057" s="20">
        <v>13</v>
      </c>
      <c r="D4057" s="20" t="s">
        <v>4978</v>
      </c>
      <c r="E4057" s="19" t="str">
        <f>VLOOKUP(D4057,'لیست پرسنل'!$B$2:$E$1020,3,FALSE)</f>
        <v>گهر کوشان سپهر</v>
      </c>
      <c r="F4057" s="19" t="str">
        <f>VLOOKUP(D4057,'لیست پرسنل'!$B$2:$E$1020,4,FALSE)</f>
        <v>مسئول ترانسپورت</v>
      </c>
      <c r="G4057" s="127">
        <f>VLOOKUP(D4057,'لیست پرسنل'!$B$2:$F$1020,2,FALSE)</f>
        <v>20632</v>
      </c>
      <c r="H4057" s="128" t="s">
        <v>4977</v>
      </c>
      <c r="I4057" s="128" t="s">
        <v>263</v>
      </c>
      <c r="J4057" s="128" t="s">
        <v>2686</v>
      </c>
      <c r="K4057" s="128" t="s">
        <v>2143</v>
      </c>
      <c r="L4057" s="128" t="s">
        <v>2224</v>
      </c>
      <c r="M4057" s="127">
        <v>628615</v>
      </c>
      <c r="N4057" s="108"/>
      <c r="O4057" s="20" t="s">
        <v>705</v>
      </c>
      <c r="P4057" s="20"/>
      <c r="Q4057" s="20"/>
    </row>
    <row r="4058" spans="1:17" ht="24.9" customHeight="1">
      <c r="A4058" s="20" t="s">
        <v>7143</v>
      </c>
      <c r="B4058" s="20" t="s">
        <v>4378</v>
      </c>
      <c r="C4058" s="20"/>
      <c r="D4058" s="20" t="s">
        <v>339</v>
      </c>
      <c r="E4058" s="19" t="str">
        <f>VLOOKUP(D4058,'لیست پرسنل'!$B$2:$E$1020,3,FALSE)</f>
        <v>فکورصنعت</v>
      </c>
      <c r="F4058" s="19" t="str">
        <f>VLOOKUP(D4058,'لیست پرسنل'!$B$2:$E$1020,4,FALSE)</f>
        <v>سرپرست مهمانسراهای سیرجان</v>
      </c>
      <c r="G4058" s="127">
        <f>VLOOKUP(D4058,'لیست پرسنل'!$B$2:$F$1020,2,FALSE)</f>
        <v>990904</v>
      </c>
      <c r="H4058" s="128" t="s">
        <v>5399</v>
      </c>
      <c r="I4058" s="128"/>
      <c r="J4058" s="128" t="s">
        <v>3889</v>
      </c>
      <c r="K4058" s="128" t="s">
        <v>3889</v>
      </c>
      <c r="L4058" s="151" t="s">
        <v>1300</v>
      </c>
      <c r="M4058" s="130">
        <v>616788</v>
      </c>
      <c r="N4058" s="108" t="s">
        <v>5100</v>
      </c>
      <c r="O4058" s="20"/>
      <c r="P4058" s="20"/>
      <c r="Q4058" s="20"/>
    </row>
    <row r="4059" spans="1:17" ht="24.9" customHeight="1">
      <c r="A4059" s="20" t="s">
        <v>7143</v>
      </c>
      <c r="B4059" s="20" t="s">
        <v>4378</v>
      </c>
      <c r="C4059" s="20"/>
      <c r="D4059" s="20" t="s">
        <v>339</v>
      </c>
      <c r="E4059" s="19" t="str">
        <f>VLOOKUP(D4059,'لیست پرسنل'!$B$2:$E$1020,3,FALSE)</f>
        <v>فکورصنعت</v>
      </c>
      <c r="F4059" s="19" t="str">
        <f>VLOOKUP(D4059,'لیست پرسنل'!$B$2:$E$1020,4,FALSE)</f>
        <v>سرپرست مهمانسراهای سیرجان</v>
      </c>
      <c r="G4059" s="127">
        <f>VLOOKUP(D4059,'لیست پرسنل'!$B$2:$F$1020,2,FALSE)</f>
        <v>990904</v>
      </c>
      <c r="H4059" s="128" t="s">
        <v>5399</v>
      </c>
      <c r="I4059" s="128"/>
      <c r="J4059" s="128" t="s">
        <v>3322</v>
      </c>
      <c r="K4059" s="128" t="s">
        <v>4981</v>
      </c>
      <c r="L4059" s="127" t="s">
        <v>6860</v>
      </c>
      <c r="M4059" s="128" t="s">
        <v>291</v>
      </c>
      <c r="N4059" s="109"/>
      <c r="O4059" s="86"/>
      <c r="P4059" s="20"/>
      <c r="Q4059" s="20"/>
    </row>
    <row r="4060" spans="1:17" ht="24.9" customHeight="1">
      <c r="A4060" s="20" t="s">
        <v>7143</v>
      </c>
      <c r="B4060" s="20" t="s">
        <v>4378</v>
      </c>
      <c r="C4060" s="20"/>
      <c r="D4060" s="20" t="s">
        <v>339</v>
      </c>
      <c r="E4060" s="19" t="str">
        <f>VLOOKUP(D4060,'لیست پرسنل'!$B$2:$E$1020,3,FALSE)</f>
        <v>فکورصنعت</v>
      </c>
      <c r="F4060" s="19" t="str">
        <f>VLOOKUP(D4060,'لیست پرسنل'!$B$2:$E$1020,4,FALSE)</f>
        <v>سرپرست مهمانسراهای سیرجان</v>
      </c>
      <c r="G4060" s="127">
        <f>VLOOKUP(D4060,'لیست پرسنل'!$B$2:$F$1020,2,FALSE)</f>
        <v>990904</v>
      </c>
      <c r="H4060" s="128" t="s">
        <v>5399</v>
      </c>
      <c r="I4060" s="128"/>
      <c r="J4060" s="128" t="s">
        <v>3532</v>
      </c>
      <c r="K4060" s="128" t="s">
        <v>3295</v>
      </c>
      <c r="L4060" s="128" t="s">
        <v>2097</v>
      </c>
      <c r="M4060" s="128">
        <v>628295</v>
      </c>
      <c r="N4060" s="108"/>
      <c r="O4060" s="20"/>
      <c r="P4060" s="20"/>
      <c r="Q4060" s="20"/>
    </row>
    <row r="4061" spans="1:17" ht="24.9" customHeight="1">
      <c r="A4061" s="20" t="s">
        <v>7143</v>
      </c>
      <c r="B4061" s="20" t="s">
        <v>4378</v>
      </c>
      <c r="C4061" s="20"/>
      <c r="D4061" s="20" t="s">
        <v>339</v>
      </c>
      <c r="E4061" s="19" t="str">
        <f>VLOOKUP(D4061,'لیست پرسنل'!$B$2:$E$1020,3,FALSE)</f>
        <v>فکورصنعت</v>
      </c>
      <c r="F4061" s="19" t="str">
        <f>VLOOKUP(D4061,'لیست پرسنل'!$B$2:$E$1020,4,FALSE)</f>
        <v>سرپرست مهمانسراهای سیرجان</v>
      </c>
      <c r="G4061" s="127">
        <f>VLOOKUP(D4061,'لیست پرسنل'!$B$2:$F$1020,2,FALSE)</f>
        <v>990904</v>
      </c>
      <c r="H4061" s="128" t="s">
        <v>5399</v>
      </c>
      <c r="I4061" s="128"/>
      <c r="J4061" s="128" t="s">
        <v>3532</v>
      </c>
      <c r="K4061" s="128" t="s">
        <v>3295</v>
      </c>
      <c r="L4061" s="128" t="s">
        <v>2098</v>
      </c>
      <c r="M4061" s="128">
        <v>628296</v>
      </c>
      <c r="N4061" s="108"/>
      <c r="O4061" s="20"/>
      <c r="P4061" s="20"/>
      <c r="Q4061" s="20"/>
    </row>
    <row r="4062" spans="1:17" ht="24.9" customHeight="1">
      <c r="A4062" s="20" t="s">
        <v>7143</v>
      </c>
      <c r="B4062" s="20" t="s">
        <v>4378</v>
      </c>
      <c r="C4062" s="20"/>
      <c r="D4062" s="20" t="s">
        <v>339</v>
      </c>
      <c r="E4062" s="19" t="str">
        <f>VLOOKUP(D4062,'لیست پرسنل'!$B$2:$E$1020,3,FALSE)</f>
        <v>فکورصنعت</v>
      </c>
      <c r="F4062" s="19" t="str">
        <f>VLOOKUP(D4062,'لیست پرسنل'!$B$2:$E$1020,4,FALSE)</f>
        <v>سرپرست مهمانسراهای سیرجان</v>
      </c>
      <c r="G4062" s="127">
        <f>VLOOKUP(D4062,'لیست پرسنل'!$B$2:$F$1020,2,FALSE)</f>
        <v>990904</v>
      </c>
      <c r="H4062" s="128" t="s">
        <v>5399</v>
      </c>
      <c r="I4062" s="128"/>
      <c r="J4062" s="128" t="s">
        <v>3532</v>
      </c>
      <c r="K4062" s="128" t="s">
        <v>3295</v>
      </c>
      <c r="L4062" s="128" t="s">
        <v>2100</v>
      </c>
      <c r="M4062" s="128">
        <v>628298</v>
      </c>
      <c r="N4062" s="108"/>
      <c r="O4062" s="20"/>
      <c r="P4062" s="20"/>
      <c r="Q4062" s="20"/>
    </row>
    <row r="4063" spans="1:17" ht="24.9" customHeight="1">
      <c r="A4063" s="20" t="s">
        <v>7143</v>
      </c>
      <c r="B4063" s="20" t="s">
        <v>4378</v>
      </c>
      <c r="C4063" s="20"/>
      <c r="D4063" s="20" t="s">
        <v>339</v>
      </c>
      <c r="E4063" s="19" t="str">
        <f>VLOOKUP(D4063,'لیست پرسنل'!$B$2:$E$1020,3,FALSE)</f>
        <v>فکورصنعت</v>
      </c>
      <c r="F4063" s="19" t="str">
        <f>VLOOKUP(D4063,'لیست پرسنل'!$B$2:$E$1020,4,FALSE)</f>
        <v>سرپرست مهمانسراهای سیرجان</v>
      </c>
      <c r="G4063" s="127">
        <f>VLOOKUP(D4063,'لیست پرسنل'!$B$2:$F$1020,2,FALSE)</f>
        <v>990904</v>
      </c>
      <c r="H4063" s="128" t="s">
        <v>5399</v>
      </c>
      <c r="I4063" s="128"/>
      <c r="J4063" s="128" t="s">
        <v>3532</v>
      </c>
      <c r="K4063" s="128" t="s">
        <v>3295</v>
      </c>
      <c r="L4063" s="128" t="s">
        <v>2101</v>
      </c>
      <c r="M4063" s="128">
        <v>628299</v>
      </c>
      <c r="N4063" s="108"/>
      <c r="O4063" s="20"/>
      <c r="P4063" s="20"/>
      <c r="Q4063" s="20"/>
    </row>
    <row r="4064" spans="1:17" ht="24.9" customHeight="1">
      <c r="A4064" s="20" t="s">
        <v>7143</v>
      </c>
      <c r="B4064" s="20" t="s">
        <v>4378</v>
      </c>
      <c r="C4064" s="20"/>
      <c r="D4064" s="20" t="s">
        <v>339</v>
      </c>
      <c r="E4064" s="19" t="str">
        <f>VLOOKUP(D4064,'لیست پرسنل'!$B$2:$E$1020,3,FALSE)</f>
        <v>فکورصنعت</v>
      </c>
      <c r="F4064" s="19" t="str">
        <f>VLOOKUP(D4064,'لیست پرسنل'!$B$2:$E$1020,4,FALSE)</f>
        <v>سرپرست مهمانسراهای سیرجان</v>
      </c>
      <c r="G4064" s="127">
        <f>VLOOKUP(D4064,'لیست پرسنل'!$B$2:$F$1020,2,FALSE)</f>
        <v>990904</v>
      </c>
      <c r="H4064" s="128" t="s">
        <v>5399</v>
      </c>
      <c r="I4064" s="128"/>
      <c r="J4064" s="128" t="s">
        <v>3532</v>
      </c>
      <c r="K4064" s="128" t="s">
        <v>3295</v>
      </c>
      <c r="L4064" s="128" t="s">
        <v>2093</v>
      </c>
      <c r="M4064" s="128">
        <v>628300</v>
      </c>
      <c r="N4064" s="108"/>
      <c r="O4064" s="20"/>
      <c r="P4064" s="20"/>
      <c r="Q4064" s="20"/>
    </row>
    <row r="4065" spans="1:17" ht="24.9" customHeight="1">
      <c r="A4065" s="20" t="s">
        <v>7143</v>
      </c>
      <c r="B4065" s="20" t="s">
        <v>4378</v>
      </c>
      <c r="C4065" s="20"/>
      <c r="D4065" s="20" t="s">
        <v>339</v>
      </c>
      <c r="E4065" s="19" t="str">
        <f>VLOOKUP(D4065,'لیست پرسنل'!$B$2:$E$1020,3,FALSE)</f>
        <v>فکورصنعت</v>
      </c>
      <c r="F4065" s="19" t="str">
        <f>VLOOKUP(D4065,'لیست پرسنل'!$B$2:$E$1020,4,FALSE)</f>
        <v>سرپرست مهمانسراهای سیرجان</v>
      </c>
      <c r="G4065" s="127">
        <f>VLOOKUP(D4065,'لیست پرسنل'!$B$2:$F$1020,2,FALSE)</f>
        <v>990904</v>
      </c>
      <c r="H4065" s="128" t="s">
        <v>5399</v>
      </c>
      <c r="I4065" s="128"/>
      <c r="J4065" s="128" t="s">
        <v>3532</v>
      </c>
      <c r="K4065" s="128" t="s">
        <v>3295</v>
      </c>
      <c r="L4065" s="128" t="s">
        <v>2094</v>
      </c>
      <c r="M4065" s="128">
        <v>628301</v>
      </c>
      <c r="N4065" s="108"/>
      <c r="O4065" s="20"/>
      <c r="P4065" s="20"/>
      <c r="Q4065" s="20"/>
    </row>
    <row r="4066" spans="1:17" ht="24.9" customHeight="1">
      <c r="A4066" s="20" t="s">
        <v>7143</v>
      </c>
      <c r="B4066" s="20" t="s">
        <v>4378</v>
      </c>
      <c r="C4066" s="20"/>
      <c r="D4066" s="20" t="s">
        <v>339</v>
      </c>
      <c r="E4066" s="19" t="str">
        <f>VLOOKUP(D4066,'لیست پرسنل'!$B$2:$E$1020,3,FALSE)</f>
        <v>فکورصنعت</v>
      </c>
      <c r="F4066" s="19" t="str">
        <f>VLOOKUP(D4066,'لیست پرسنل'!$B$2:$E$1020,4,FALSE)</f>
        <v>سرپرست مهمانسراهای سیرجان</v>
      </c>
      <c r="G4066" s="127">
        <f>VLOOKUP(D4066,'لیست پرسنل'!$B$2:$F$1020,2,FALSE)</f>
        <v>990904</v>
      </c>
      <c r="H4066" s="128" t="s">
        <v>5399</v>
      </c>
      <c r="I4066" s="128"/>
      <c r="J4066" s="128" t="s">
        <v>3532</v>
      </c>
      <c r="K4066" s="128" t="s">
        <v>3295</v>
      </c>
      <c r="L4066" s="128" t="s">
        <v>2095</v>
      </c>
      <c r="M4066" s="128">
        <v>628302</v>
      </c>
      <c r="N4066" s="108"/>
      <c r="O4066" s="20"/>
      <c r="P4066" s="20"/>
      <c r="Q4066" s="20"/>
    </row>
    <row r="4067" spans="1:17" ht="24.9" customHeight="1">
      <c r="A4067" s="20" t="s">
        <v>7143</v>
      </c>
      <c r="B4067" s="20" t="s">
        <v>4378</v>
      </c>
      <c r="C4067" s="20"/>
      <c r="D4067" s="20" t="s">
        <v>339</v>
      </c>
      <c r="E4067" s="19" t="str">
        <f>VLOOKUP(D4067,'لیست پرسنل'!$B$2:$E$1020,3,FALSE)</f>
        <v>فکورصنعت</v>
      </c>
      <c r="F4067" s="19" t="str">
        <f>VLOOKUP(D4067,'لیست پرسنل'!$B$2:$E$1020,4,FALSE)</f>
        <v>سرپرست مهمانسراهای سیرجان</v>
      </c>
      <c r="G4067" s="127">
        <f>VLOOKUP(D4067,'لیست پرسنل'!$B$2:$F$1020,2,FALSE)</f>
        <v>990904</v>
      </c>
      <c r="H4067" s="128" t="s">
        <v>5399</v>
      </c>
      <c r="I4067" s="128"/>
      <c r="J4067" s="128" t="s">
        <v>3532</v>
      </c>
      <c r="K4067" s="128" t="s">
        <v>3295</v>
      </c>
      <c r="L4067" s="128" t="s">
        <v>2096</v>
      </c>
      <c r="M4067" s="128">
        <v>628303</v>
      </c>
      <c r="N4067" s="108"/>
      <c r="O4067" s="20"/>
      <c r="P4067" s="20"/>
      <c r="Q4067" s="20"/>
    </row>
    <row r="4068" spans="1:17" ht="24.9" customHeight="1">
      <c r="A4068" s="20" t="s">
        <v>7143</v>
      </c>
      <c r="B4068" s="20" t="s">
        <v>4378</v>
      </c>
      <c r="C4068" s="20"/>
      <c r="D4068" s="20" t="s">
        <v>339</v>
      </c>
      <c r="E4068" s="19" t="str">
        <f>VLOOKUP(D4068,'لیست پرسنل'!$B$2:$E$1020,3,FALSE)</f>
        <v>فکورصنعت</v>
      </c>
      <c r="F4068" s="19" t="str">
        <f>VLOOKUP(D4068,'لیست پرسنل'!$B$2:$E$1020,4,FALSE)</f>
        <v>سرپرست مهمانسراهای سیرجان</v>
      </c>
      <c r="G4068" s="127">
        <f>VLOOKUP(D4068,'لیست پرسنل'!$B$2:$F$1020,2,FALSE)</f>
        <v>990904</v>
      </c>
      <c r="H4068" s="128" t="s">
        <v>5399</v>
      </c>
      <c r="I4068" s="128"/>
      <c r="J4068" s="128" t="s">
        <v>3532</v>
      </c>
      <c r="K4068" s="128" t="s">
        <v>3295</v>
      </c>
      <c r="L4068" s="128" t="s">
        <v>2103</v>
      </c>
      <c r="M4068" s="128">
        <v>628304</v>
      </c>
      <c r="N4068" s="108"/>
      <c r="O4068" s="20"/>
      <c r="P4068" s="20"/>
      <c r="Q4068" s="20"/>
    </row>
    <row r="4069" spans="1:17" ht="24.9" customHeight="1">
      <c r="A4069" s="20" t="s">
        <v>7143</v>
      </c>
      <c r="B4069" s="20" t="s">
        <v>4378</v>
      </c>
      <c r="C4069" s="20"/>
      <c r="D4069" s="20" t="s">
        <v>339</v>
      </c>
      <c r="E4069" s="19" t="str">
        <f>VLOOKUP(D4069,'لیست پرسنل'!$B$2:$E$1020,3,FALSE)</f>
        <v>فکورصنعت</v>
      </c>
      <c r="F4069" s="19" t="str">
        <f>VLOOKUP(D4069,'لیست پرسنل'!$B$2:$E$1020,4,FALSE)</f>
        <v>سرپرست مهمانسراهای سیرجان</v>
      </c>
      <c r="G4069" s="127">
        <f>VLOOKUP(D4069,'لیست پرسنل'!$B$2:$F$1020,2,FALSE)</f>
        <v>990904</v>
      </c>
      <c r="H4069" s="128" t="s">
        <v>5399</v>
      </c>
      <c r="I4069" s="128"/>
      <c r="J4069" s="128" t="s">
        <v>3532</v>
      </c>
      <c r="K4069" s="128" t="s">
        <v>3295</v>
      </c>
      <c r="L4069" s="128" t="s">
        <v>2102</v>
      </c>
      <c r="M4069" s="128">
        <v>628323</v>
      </c>
      <c r="N4069" s="108"/>
      <c r="O4069" s="20"/>
      <c r="P4069" s="20"/>
      <c r="Q4069" s="20"/>
    </row>
    <row r="4070" spans="1:17" ht="24.9" customHeight="1">
      <c r="A4070" s="20" t="s">
        <v>7143</v>
      </c>
      <c r="B4070" s="20" t="s">
        <v>4378</v>
      </c>
      <c r="C4070" s="20"/>
      <c r="D4070" s="20" t="s">
        <v>339</v>
      </c>
      <c r="E4070" s="19" t="str">
        <f>VLOOKUP(D4070,'لیست پرسنل'!$B$2:$E$1020,3,FALSE)</f>
        <v>فکورصنعت</v>
      </c>
      <c r="F4070" s="19" t="str">
        <f>VLOOKUP(D4070,'لیست پرسنل'!$B$2:$E$1020,4,FALSE)</f>
        <v>سرپرست مهمانسراهای سیرجان</v>
      </c>
      <c r="G4070" s="127">
        <f>VLOOKUP(D4070,'لیست پرسنل'!$B$2:$F$1020,2,FALSE)</f>
        <v>990904</v>
      </c>
      <c r="H4070" s="128" t="s">
        <v>5399</v>
      </c>
      <c r="I4070" s="128"/>
      <c r="J4070" s="128" t="s">
        <v>3532</v>
      </c>
      <c r="K4070" s="128" t="s">
        <v>4802</v>
      </c>
      <c r="L4070" s="128" t="s">
        <v>4811</v>
      </c>
      <c r="M4070" s="128">
        <v>630670</v>
      </c>
      <c r="N4070" s="108"/>
      <c r="O4070" s="20"/>
      <c r="P4070" s="20"/>
      <c r="Q4070" s="20"/>
    </row>
    <row r="4071" spans="1:17" ht="24.9" customHeight="1">
      <c r="A4071" s="20" t="s">
        <v>7143</v>
      </c>
      <c r="B4071" s="20" t="s">
        <v>4378</v>
      </c>
      <c r="C4071" s="20"/>
      <c r="D4071" s="20" t="s">
        <v>339</v>
      </c>
      <c r="E4071" s="19" t="str">
        <f>VLOOKUP(D4071,'لیست پرسنل'!$B$2:$E$1020,3,FALSE)</f>
        <v>فکورصنعت</v>
      </c>
      <c r="F4071" s="19" t="str">
        <f>VLOOKUP(D4071,'لیست پرسنل'!$B$2:$E$1020,4,FALSE)</f>
        <v>سرپرست مهمانسراهای سیرجان</v>
      </c>
      <c r="G4071" s="127">
        <f>VLOOKUP(D4071,'لیست پرسنل'!$B$2:$F$1020,2,FALSE)</f>
        <v>990904</v>
      </c>
      <c r="H4071" s="128" t="s">
        <v>5399</v>
      </c>
      <c r="I4071" s="128"/>
      <c r="J4071" s="128" t="s">
        <v>996</v>
      </c>
      <c r="K4071" s="128" t="s">
        <v>1960</v>
      </c>
      <c r="L4071" s="128"/>
      <c r="M4071" s="128">
        <v>611497</v>
      </c>
      <c r="N4071" s="108"/>
      <c r="O4071" s="36" t="s">
        <v>1961</v>
      </c>
      <c r="P4071" s="20"/>
      <c r="Q4071" s="20"/>
    </row>
    <row r="4072" spans="1:17" ht="24.9" customHeight="1">
      <c r="A4072" s="20" t="s">
        <v>7143</v>
      </c>
      <c r="B4072" s="20" t="s">
        <v>4378</v>
      </c>
      <c r="C4072" s="20"/>
      <c r="D4072" s="20" t="s">
        <v>339</v>
      </c>
      <c r="E4072" s="19" t="str">
        <f>VLOOKUP(D4072,'لیست پرسنل'!$B$2:$E$1020,3,FALSE)</f>
        <v>فکورصنعت</v>
      </c>
      <c r="F4072" s="19" t="str">
        <f>VLOOKUP(D4072,'لیست پرسنل'!$B$2:$E$1020,4,FALSE)</f>
        <v>سرپرست مهمانسراهای سیرجان</v>
      </c>
      <c r="G4072" s="127">
        <f>VLOOKUP(D4072,'لیست پرسنل'!$B$2:$F$1020,2,FALSE)</f>
        <v>990904</v>
      </c>
      <c r="H4072" s="128" t="s">
        <v>5399</v>
      </c>
      <c r="I4072" s="128"/>
      <c r="J4072" s="128" t="s">
        <v>5366</v>
      </c>
      <c r="K4072" s="130" t="s">
        <v>2570</v>
      </c>
      <c r="L4072" s="128"/>
      <c r="M4072" s="130">
        <v>607185</v>
      </c>
      <c r="N4072" s="124" t="s">
        <v>7348</v>
      </c>
      <c r="O4072" s="20"/>
      <c r="P4072" s="20"/>
      <c r="Q4072" s="20"/>
    </row>
    <row r="4073" spans="1:17" ht="24.9" customHeight="1">
      <c r="A4073" s="20" t="s">
        <v>7143</v>
      </c>
      <c r="B4073" s="20" t="s">
        <v>4378</v>
      </c>
      <c r="C4073" s="20"/>
      <c r="D4073" s="20" t="s">
        <v>339</v>
      </c>
      <c r="E4073" s="19" t="str">
        <f>VLOOKUP(D4073,'لیست پرسنل'!$B$2:$E$1020,3,FALSE)</f>
        <v>فکورصنعت</v>
      </c>
      <c r="F4073" s="19" t="str">
        <f>VLOOKUP(D4073,'لیست پرسنل'!$B$2:$E$1020,4,FALSE)</f>
        <v>سرپرست مهمانسراهای سیرجان</v>
      </c>
      <c r="G4073" s="127">
        <f>VLOOKUP(D4073,'لیست پرسنل'!$B$2:$F$1020,2,FALSE)</f>
        <v>990904</v>
      </c>
      <c r="H4073" s="128" t="s">
        <v>5399</v>
      </c>
      <c r="I4073" s="128"/>
      <c r="J4073" s="128" t="s">
        <v>5366</v>
      </c>
      <c r="K4073" s="130" t="s">
        <v>2575</v>
      </c>
      <c r="L4073" s="128"/>
      <c r="M4073" s="130">
        <v>621082</v>
      </c>
      <c r="N4073" s="124" t="s">
        <v>7347</v>
      </c>
      <c r="O4073" s="28"/>
      <c r="P4073" s="20"/>
      <c r="Q4073" s="20"/>
    </row>
    <row r="4074" spans="1:17" ht="24.9" customHeight="1">
      <c r="A4074" s="20" t="s">
        <v>7143</v>
      </c>
      <c r="B4074" s="20" t="s">
        <v>4378</v>
      </c>
      <c r="C4074" s="20"/>
      <c r="D4074" s="20" t="s">
        <v>339</v>
      </c>
      <c r="E4074" s="19" t="str">
        <f>VLOOKUP(D4074,'لیست پرسنل'!$B$2:$E$1020,3,FALSE)</f>
        <v>فکورصنعت</v>
      </c>
      <c r="F4074" s="19" t="str">
        <f>VLOOKUP(D4074,'لیست پرسنل'!$B$2:$E$1020,4,FALSE)</f>
        <v>سرپرست مهمانسراهای سیرجان</v>
      </c>
      <c r="G4074" s="127">
        <f>VLOOKUP(D4074,'لیست پرسنل'!$B$2:$F$1020,2,FALSE)</f>
        <v>990904</v>
      </c>
      <c r="H4074" s="128" t="s">
        <v>5399</v>
      </c>
      <c r="I4074" s="128"/>
      <c r="J4074" s="128" t="s">
        <v>5366</v>
      </c>
      <c r="K4074" s="130" t="s">
        <v>2575</v>
      </c>
      <c r="L4074" s="128"/>
      <c r="M4074" s="130">
        <v>621083</v>
      </c>
      <c r="N4074" s="124" t="s">
        <v>7350</v>
      </c>
      <c r="O4074" s="28"/>
      <c r="P4074" s="20"/>
      <c r="Q4074" s="20"/>
    </row>
    <row r="4075" spans="1:17" ht="24.9" customHeight="1">
      <c r="A4075" s="20" t="s">
        <v>7143</v>
      </c>
      <c r="B4075" s="20" t="s">
        <v>4378</v>
      </c>
      <c r="C4075" s="20"/>
      <c r="D4075" s="20" t="s">
        <v>339</v>
      </c>
      <c r="E4075" s="19" t="str">
        <f>VLOOKUP(D4075,'لیست پرسنل'!$B$2:$E$1020,3,FALSE)</f>
        <v>فکورصنعت</v>
      </c>
      <c r="F4075" s="19" t="str">
        <f>VLOOKUP(D4075,'لیست پرسنل'!$B$2:$E$1020,4,FALSE)</f>
        <v>سرپرست مهمانسراهای سیرجان</v>
      </c>
      <c r="G4075" s="127">
        <f>VLOOKUP(D4075,'لیست پرسنل'!$B$2:$F$1020,2,FALSE)</f>
        <v>990904</v>
      </c>
      <c r="H4075" s="128" t="s">
        <v>5399</v>
      </c>
      <c r="I4075" s="128"/>
      <c r="J4075" s="128" t="s">
        <v>5366</v>
      </c>
      <c r="K4075" s="130" t="s">
        <v>2578</v>
      </c>
      <c r="L4075" s="151"/>
      <c r="M4075" s="130">
        <v>621396</v>
      </c>
      <c r="N4075" s="124" t="s">
        <v>7351</v>
      </c>
      <c r="O4075" s="28"/>
      <c r="P4075" s="20"/>
      <c r="Q4075" s="20"/>
    </row>
    <row r="4076" spans="1:17" ht="24.9" customHeight="1">
      <c r="A4076" s="20" t="s">
        <v>7143</v>
      </c>
      <c r="B4076" s="20" t="s">
        <v>4378</v>
      </c>
      <c r="C4076" s="20"/>
      <c r="D4076" s="32" t="s">
        <v>339</v>
      </c>
      <c r="E4076" s="19" t="str">
        <f>VLOOKUP(D4076,'لیست پرسنل'!$B$2:$E$1020,3,FALSE)</f>
        <v>فکورصنعت</v>
      </c>
      <c r="F4076" s="19" t="str">
        <f>VLOOKUP(D4076,'لیست پرسنل'!$B$2:$E$1020,4,FALSE)</f>
        <v>سرپرست مهمانسراهای سیرجان</v>
      </c>
      <c r="G4076" s="127">
        <f>VLOOKUP(D4076,'لیست پرسنل'!$B$2:$F$1020,2,FALSE)</f>
        <v>990904</v>
      </c>
      <c r="H4076" s="128" t="s">
        <v>5399</v>
      </c>
      <c r="I4076" s="128"/>
      <c r="J4076" s="128" t="s">
        <v>5366</v>
      </c>
      <c r="K4076" s="127" t="s">
        <v>4437</v>
      </c>
      <c r="L4076" s="151"/>
      <c r="M4076" s="134">
        <v>621397</v>
      </c>
      <c r="N4076" s="124" t="s">
        <v>7352</v>
      </c>
      <c r="O4076" s="28"/>
      <c r="P4076" s="20"/>
      <c r="Q4076" s="20"/>
    </row>
    <row r="4077" spans="1:17" ht="24.9" customHeight="1">
      <c r="A4077" s="20" t="s">
        <v>7143</v>
      </c>
      <c r="B4077" s="20" t="s">
        <v>4378</v>
      </c>
      <c r="C4077" s="20"/>
      <c r="D4077" s="32" t="s">
        <v>339</v>
      </c>
      <c r="E4077" s="19" t="str">
        <f>VLOOKUP(D4077,'لیست پرسنل'!$B$2:$E$1020,3,FALSE)</f>
        <v>فکورصنعت</v>
      </c>
      <c r="F4077" s="19" t="str">
        <f>VLOOKUP(D4077,'لیست پرسنل'!$B$2:$E$1020,4,FALSE)</f>
        <v>سرپرست مهمانسراهای سیرجان</v>
      </c>
      <c r="G4077" s="127">
        <f>VLOOKUP(D4077,'لیست پرسنل'!$B$2:$F$1020,2,FALSE)</f>
        <v>990904</v>
      </c>
      <c r="H4077" s="128" t="s">
        <v>5399</v>
      </c>
      <c r="I4077" s="128"/>
      <c r="J4077" s="128" t="s">
        <v>5366</v>
      </c>
      <c r="K4077" s="127" t="s">
        <v>4438</v>
      </c>
      <c r="L4077" s="151"/>
      <c r="M4077" s="134">
        <v>621398</v>
      </c>
      <c r="N4077" s="124" t="s">
        <v>7353</v>
      </c>
      <c r="O4077" s="28"/>
      <c r="P4077" s="20"/>
      <c r="Q4077" s="20"/>
    </row>
    <row r="4078" spans="1:17" ht="24.9" customHeight="1">
      <c r="A4078" s="20" t="s">
        <v>7143</v>
      </c>
      <c r="B4078" s="20" t="s">
        <v>4378</v>
      </c>
      <c r="C4078" s="20"/>
      <c r="D4078" s="32" t="s">
        <v>339</v>
      </c>
      <c r="E4078" s="19" t="str">
        <f>VLOOKUP(D4078,'لیست پرسنل'!$B$2:$E$1020,3,FALSE)</f>
        <v>فکورصنعت</v>
      </c>
      <c r="F4078" s="19" t="str">
        <f>VLOOKUP(D4078,'لیست پرسنل'!$B$2:$E$1020,4,FALSE)</f>
        <v>سرپرست مهمانسراهای سیرجان</v>
      </c>
      <c r="G4078" s="127">
        <f>VLOOKUP(D4078,'لیست پرسنل'!$B$2:$F$1020,2,FALSE)</f>
        <v>990904</v>
      </c>
      <c r="H4078" s="128" t="s">
        <v>5399</v>
      </c>
      <c r="I4078" s="128"/>
      <c r="J4078" s="128" t="s">
        <v>5366</v>
      </c>
      <c r="K4078" s="127" t="s">
        <v>4438</v>
      </c>
      <c r="L4078" s="151"/>
      <c r="M4078" s="134">
        <v>621399</v>
      </c>
      <c r="N4078" s="124" t="s">
        <v>7346</v>
      </c>
      <c r="O4078" s="28"/>
      <c r="P4078" s="20"/>
      <c r="Q4078" s="20"/>
    </row>
    <row r="4079" spans="1:17" ht="24.9" customHeight="1">
      <c r="A4079" s="20" t="s">
        <v>7143</v>
      </c>
      <c r="B4079" s="20" t="s">
        <v>4378</v>
      </c>
      <c r="C4079" s="20"/>
      <c r="D4079" s="20" t="s">
        <v>339</v>
      </c>
      <c r="E4079" s="19" t="str">
        <f>VLOOKUP(D4079,'لیست پرسنل'!$B$2:$E$1020,3,FALSE)</f>
        <v>فکورصنعت</v>
      </c>
      <c r="F4079" s="19" t="str">
        <f>VLOOKUP(D4079,'لیست پرسنل'!$B$2:$E$1020,4,FALSE)</f>
        <v>سرپرست مهمانسراهای سیرجان</v>
      </c>
      <c r="G4079" s="127">
        <f>VLOOKUP(D4079,'لیست پرسنل'!$B$2:$F$1020,2,FALSE)</f>
        <v>990904</v>
      </c>
      <c r="H4079" s="128" t="s">
        <v>5399</v>
      </c>
      <c r="I4079" s="128"/>
      <c r="J4079" s="128" t="s">
        <v>5366</v>
      </c>
      <c r="K4079" s="130" t="s">
        <v>2576</v>
      </c>
      <c r="L4079" s="151"/>
      <c r="M4079" s="130">
        <v>621997</v>
      </c>
      <c r="N4079" s="124" t="s">
        <v>7344</v>
      </c>
      <c r="O4079" s="28"/>
      <c r="P4079" s="20"/>
      <c r="Q4079" s="20"/>
    </row>
    <row r="4080" spans="1:17" ht="24.9" customHeight="1">
      <c r="A4080" s="20" t="s">
        <v>7143</v>
      </c>
      <c r="B4080" s="20" t="s">
        <v>4378</v>
      </c>
      <c r="C4080" s="20"/>
      <c r="D4080" s="20" t="s">
        <v>339</v>
      </c>
      <c r="E4080" s="19" t="str">
        <f>VLOOKUP(D4080,'لیست پرسنل'!$B$2:$E$1020,3,FALSE)</f>
        <v>فکورصنعت</v>
      </c>
      <c r="F4080" s="19" t="str">
        <f>VLOOKUP(D4080,'لیست پرسنل'!$B$2:$E$1020,4,FALSE)</f>
        <v>سرپرست مهمانسراهای سیرجان</v>
      </c>
      <c r="G4080" s="127">
        <f>VLOOKUP(D4080,'لیست پرسنل'!$B$2:$F$1020,2,FALSE)</f>
        <v>990904</v>
      </c>
      <c r="H4080" s="128" t="s">
        <v>5399</v>
      </c>
      <c r="I4080" s="128"/>
      <c r="J4080" s="128" t="s">
        <v>5366</v>
      </c>
      <c r="K4080" s="130" t="s">
        <v>2576</v>
      </c>
      <c r="L4080" s="151"/>
      <c r="M4080" s="130">
        <v>621998</v>
      </c>
      <c r="N4080" s="108"/>
      <c r="O4080" s="28"/>
      <c r="P4080" s="20"/>
      <c r="Q4080" s="20"/>
    </row>
    <row r="4081" spans="1:17" ht="24.9" customHeight="1">
      <c r="A4081" s="20" t="s">
        <v>7143</v>
      </c>
      <c r="B4081" s="20" t="s">
        <v>4378</v>
      </c>
      <c r="C4081" s="20"/>
      <c r="D4081" s="20" t="s">
        <v>339</v>
      </c>
      <c r="E4081" s="19" t="str">
        <f>VLOOKUP(D4081,'لیست پرسنل'!$B$2:$E$1020,3,FALSE)</f>
        <v>فکورصنعت</v>
      </c>
      <c r="F4081" s="19" t="str">
        <f>VLOOKUP(D4081,'لیست پرسنل'!$B$2:$E$1020,4,FALSE)</f>
        <v>سرپرست مهمانسراهای سیرجان</v>
      </c>
      <c r="G4081" s="127">
        <f>VLOOKUP(D4081,'لیست پرسنل'!$B$2:$F$1020,2,FALSE)</f>
        <v>990904</v>
      </c>
      <c r="H4081" s="128" t="s">
        <v>5399</v>
      </c>
      <c r="I4081" s="128"/>
      <c r="J4081" s="128" t="s">
        <v>5366</v>
      </c>
      <c r="K4081" s="127" t="s">
        <v>4434</v>
      </c>
      <c r="L4081" s="128"/>
      <c r="M4081" s="134">
        <v>622272</v>
      </c>
      <c r="N4081" s="108"/>
      <c r="O4081" s="32" t="s">
        <v>2676</v>
      </c>
      <c r="P4081" s="20"/>
      <c r="Q4081" s="20"/>
    </row>
    <row r="4082" spans="1:17" ht="24.9" customHeight="1">
      <c r="A4082" s="20" t="s">
        <v>7143</v>
      </c>
      <c r="B4082" s="20" t="s">
        <v>4378</v>
      </c>
      <c r="C4082" s="20"/>
      <c r="D4082" s="20" t="s">
        <v>339</v>
      </c>
      <c r="E4082" s="19" t="str">
        <f>VLOOKUP(D4082,'لیست پرسنل'!$B$2:$E$1020,3,FALSE)</f>
        <v>فکورصنعت</v>
      </c>
      <c r="F4082" s="19" t="str">
        <f>VLOOKUP(D4082,'لیست پرسنل'!$B$2:$E$1020,4,FALSE)</f>
        <v>سرپرست مهمانسراهای سیرجان</v>
      </c>
      <c r="G4082" s="127">
        <f>VLOOKUP(D4082,'لیست پرسنل'!$B$2:$F$1020,2,FALSE)</f>
        <v>990904</v>
      </c>
      <c r="H4082" s="128" t="s">
        <v>5399</v>
      </c>
      <c r="I4082" s="128"/>
      <c r="J4082" s="128" t="s">
        <v>5366</v>
      </c>
      <c r="K4082" s="127" t="s">
        <v>4436</v>
      </c>
      <c r="L4082" s="151"/>
      <c r="M4082" s="134">
        <v>623496</v>
      </c>
      <c r="N4082" s="124" t="s">
        <v>7349</v>
      </c>
      <c r="O4082" s="28"/>
      <c r="P4082" s="20"/>
      <c r="Q4082" s="20"/>
    </row>
    <row r="4083" spans="1:17" ht="24.9" customHeight="1">
      <c r="A4083" s="20" t="s">
        <v>7143</v>
      </c>
      <c r="B4083" s="20" t="s">
        <v>4378</v>
      </c>
      <c r="C4083" s="20"/>
      <c r="D4083" s="20" t="s">
        <v>339</v>
      </c>
      <c r="E4083" s="19" t="str">
        <f>VLOOKUP(D4083,'لیست پرسنل'!$B$2:$E$1020,3,FALSE)</f>
        <v>فکورصنعت</v>
      </c>
      <c r="F4083" s="19" t="str">
        <f>VLOOKUP(D4083,'لیست پرسنل'!$B$2:$E$1020,4,FALSE)</f>
        <v>سرپرست مهمانسراهای سیرجان</v>
      </c>
      <c r="G4083" s="127">
        <f>VLOOKUP(D4083,'لیست پرسنل'!$B$2:$F$1020,2,FALSE)</f>
        <v>990904</v>
      </c>
      <c r="H4083" s="128" t="s">
        <v>5399</v>
      </c>
      <c r="I4083" s="128"/>
      <c r="J4083" s="128" t="s">
        <v>5366</v>
      </c>
      <c r="K4083" s="128" t="s">
        <v>6043</v>
      </c>
      <c r="L4083" s="134" t="s">
        <v>6156</v>
      </c>
      <c r="M4083" s="128">
        <v>632728</v>
      </c>
      <c r="N4083" s="108" t="s">
        <v>6857</v>
      </c>
      <c r="O4083" s="20"/>
      <c r="P4083" s="20"/>
      <c r="Q4083" s="20"/>
    </row>
    <row r="4084" spans="1:17" ht="24.9" customHeight="1">
      <c r="A4084" s="20" t="s">
        <v>7143</v>
      </c>
      <c r="B4084" s="20" t="s">
        <v>4378</v>
      </c>
      <c r="C4084" s="20"/>
      <c r="D4084" s="20" t="s">
        <v>339</v>
      </c>
      <c r="E4084" s="19" t="str">
        <f>VLOOKUP(D4084,'لیست پرسنل'!$B$2:$E$1020,3,FALSE)</f>
        <v>فکورصنعت</v>
      </c>
      <c r="F4084" s="19" t="str">
        <f>VLOOKUP(D4084,'لیست پرسنل'!$B$2:$E$1020,4,FALSE)</f>
        <v>سرپرست مهمانسراهای سیرجان</v>
      </c>
      <c r="G4084" s="127">
        <f>VLOOKUP(D4084,'لیست پرسنل'!$B$2:$F$1020,2,FALSE)</f>
        <v>990904</v>
      </c>
      <c r="H4084" s="128" t="s">
        <v>5399</v>
      </c>
      <c r="I4084" s="128"/>
      <c r="J4084" s="128" t="s">
        <v>3938</v>
      </c>
      <c r="K4084" s="128" t="s">
        <v>1814</v>
      </c>
      <c r="L4084" s="128"/>
      <c r="M4084" s="128">
        <v>622512</v>
      </c>
      <c r="N4084" s="108"/>
      <c r="O4084" s="20"/>
      <c r="P4084" s="20"/>
      <c r="Q4084" s="20"/>
    </row>
    <row r="4085" spans="1:17" ht="24.9" customHeight="1">
      <c r="A4085" s="20" t="s">
        <v>7143</v>
      </c>
      <c r="B4085" s="20" t="s">
        <v>4378</v>
      </c>
      <c r="C4085" s="20"/>
      <c r="D4085" s="20" t="s">
        <v>339</v>
      </c>
      <c r="E4085" s="19" t="str">
        <f>VLOOKUP(D4085,'لیست پرسنل'!$B$2:$E$1020,3,FALSE)</f>
        <v>فکورصنعت</v>
      </c>
      <c r="F4085" s="19" t="str">
        <f>VLOOKUP(D4085,'لیست پرسنل'!$B$2:$E$1020,4,FALSE)</f>
        <v>سرپرست مهمانسراهای سیرجان</v>
      </c>
      <c r="G4085" s="127">
        <f>VLOOKUP(D4085,'لیست پرسنل'!$B$2:$F$1020,2,FALSE)</f>
        <v>990904</v>
      </c>
      <c r="H4085" s="128" t="s">
        <v>5399</v>
      </c>
      <c r="I4085" s="128"/>
      <c r="J4085" s="127" t="s">
        <v>5927</v>
      </c>
      <c r="K4085" s="128" t="s">
        <v>7480</v>
      </c>
      <c r="L4085" s="128" t="s">
        <v>7485</v>
      </c>
      <c r="M4085" s="128" t="s">
        <v>291</v>
      </c>
      <c r="N4085" s="108" t="s">
        <v>7494</v>
      </c>
      <c r="O4085" s="20"/>
      <c r="P4085" s="20"/>
      <c r="Q4085" s="20"/>
    </row>
    <row r="4086" spans="1:17" ht="24.9" customHeight="1">
      <c r="A4086" s="20" t="s">
        <v>7143</v>
      </c>
      <c r="B4086" s="20" t="s">
        <v>4378</v>
      </c>
      <c r="C4086" s="20"/>
      <c r="D4086" s="20" t="s">
        <v>339</v>
      </c>
      <c r="E4086" s="19" t="str">
        <f>VLOOKUP(D4086,'لیست پرسنل'!$B$2:$E$1020,3,FALSE)</f>
        <v>فکورصنعت</v>
      </c>
      <c r="F4086" s="19" t="str">
        <f>VLOOKUP(D4086,'لیست پرسنل'!$B$2:$E$1020,4,FALSE)</f>
        <v>سرپرست مهمانسراهای سیرجان</v>
      </c>
      <c r="G4086" s="127">
        <f>VLOOKUP(D4086,'لیست پرسنل'!$B$2:$F$1020,2,FALSE)</f>
        <v>990904</v>
      </c>
      <c r="H4086" s="128" t="s">
        <v>5399</v>
      </c>
      <c r="I4086" s="128"/>
      <c r="J4086" s="127" t="s">
        <v>5927</v>
      </c>
      <c r="K4086" s="128" t="s">
        <v>7480</v>
      </c>
      <c r="L4086" s="128" t="s">
        <v>7486</v>
      </c>
      <c r="M4086" s="128" t="s">
        <v>291</v>
      </c>
      <c r="N4086" s="108" t="s">
        <v>7494</v>
      </c>
      <c r="O4086" s="20"/>
      <c r="P4086" s="20"/>
      <c r="Q4086" s="20"/>
    </row>
    <row r="4087" spans="1:17" ht="24.9" customHeight="1">
      <c r="A4087" s="20" t="s">
        <v>7143</v>
      </c>
      <c r="B4087" s="20" t="s">
        <v>4378</v>
      </c>
      <c r="C4087" s="20"/>
      <c r="D4087" s="20" t="s">
        <v>339</v>
      </c>
      <c r="E4087" s="19" t="str">
        <f>VLOOKUP(D4087,'لیست پرسنل'!$B$2:$E$1020,3,FALSE)</f>
        <v>فکورصنعت</v>
      </c>
      <c r="F4087" s="19" t="str">
        <f>VLOOKUP(D4087,'لیست پرسنل'!$B$2:$E$1020,4,FALSE)</f>
        <v>سرپرست مهمانسراهای سیرجان</v>
      </c>
      <c r="G4087" s="127">
        <f>VLOOKUP(D4087,'لیست پرسنل'!$B$2:$F$1020,2,FALSE)</f>
        <v>990904</v>
      </c>
      <c r="H4087" s="128" t="s">
        <v>5399</v>
      </c>
      <c r="I4087" s="128"/>
      <c r="J4087" s="127" t="s">
        <v>5927</v>
      </c>
      <c r="K4087" s="128" t="s">
        <v>7479</v>
      </c>
      <c r="L4087" s="128" t="s">
        <v>7487</v>
      </c>
      <c r="M4087" s="128" t="s">
        <v>291</v>
      </c>
      <c r="N4087" s="108" t="s">
        <v>7495</v>
      </c>
      <c r="O4087" s="20"/>
      <c r="P4087" s="20"/>
      <c r="Q4087" s="20"/>
    </row>
    <row r="4088" spans="1:17" ht="24.9" customHeight="1">
      <c r="A4088" s="20" t="s">
        <v>7143</v>
      </c>
      <c r="B4088" s="20" t="s">
        <v>4378</v>
      </c>
      <c r="C4088" s="20"/>
      <c r="D4088" s="20" t="s">
        <v>339</v>
      </c>
      <c r="E4088" s="19" t="str">
        <f>VLOOKUP(D4088,'لیست پرسنل'!$B$2:$E$1020,3,FALSE)</f>
        <v>فکورصنعت</v>
      </c>
      <c r="F4088" s="19" t="str">
        <f>VLOOKUP(D4088,'لیست پرسنل'!$B$2:$E$1020,4,FALSE)</f>
        <v>سرپرست مهمانسراهای سیرجان</v>
      </c>
      <c r="G4088" s="127">
        <f>VLOOKUP(D4088,'لیست پرسنل'!$B$2:$F$1020,2,FALSE)</f>
        <v>990904</v>
      </c>
      <c r="H4088" s="128" t="s">
        <v>5399</v>
      </c>
      <c r="I4088" s="128"/>
      <c r="J4088" s="127" t="s">
        <v>5927</v>
      </c>
      <c r="K4088" s="128" t="s">
        <v>4998</v>
      </c>
      <c r="L4088" s="128" t="s">
        <v>7737</v>
      </c>
      <c r="M4088" s="128" t="s">
        <v>291</v>
      </c>
      <c r="N4088" s="108"/>
      <c r="O4088" s="20"/>
      <c r="P4088" s="20"/>
      <c r="Q4088" s="20"/>
    </row>
    <row r="4089" spans="1:17" ht="24.9" customHeight="1">
      <c r="A4089" s="20" t="s">
        <v>7143</v>
      </c>
      <c r="B4089" s="20" t="s">
        <v>4378</v>
      </c>
      <c r="C4089" s="20"/>
      <c r="D4089" s="20" t="s">
        <v>339</v>
      </c>
      <c r="E4089" s="19" t="str">
        <f>VLOOKUP(D4089,'لیست پرسنل'!$B$2:$E$1020,3,FALSE)</f>
        <v>فکورصنعت</v>
      </c>
      <c r="F4089" s="19" t="str">
        <f>VLOOKUP(D4089,'لیست پرسنل'!$B$2:$E$1020,4,FALSE)</f>
        <v>سرپرست مهمانسراهای سیرجان</v>
      </c>
      <c r="G4089" s="127">
        <f>VLOOKUP(D4089,'لیست پرسنل'!$B$2:$F$1020,2,FALSE)</f>
        <v>990904</v>
      </c>
      <c r="H4089" s="128" t="s">
        <v>5399</v>
      </c>
      <c r="I4089" s="128"/>
      <c r="J4089" s="127" t="s">
        <v>5927</v>
      </c>
      <c r="K4089" s="128" t="s">
        <v>4998</v>
      </c>
      <c r="L4089" s="128" t="s">
        <v>7738</v>
      </c>
      <c r="M4089" s="128" t="s">
        <v>291</v>
      </c>
      <c r="N4089" s="108"/>
      <c r="O4089" s="20"/>
      <c r="P4089" s="20"/>
      <c r="Q4089" s="20"/>
    </row>
    <row r="4090" spans="1:17" ht="24.9" customHeight="1">
      <c r="A4090" s="20" t="s">
        <v>7143</v>
      </c>
      <c r="B4090" s="20" t="s">
        <v>4378</v>
      </c>
      <c r="C4090" s="20"/>
      <c r="D4090" s="20" t="s">
        <v>339</v>
      </c>
      <c r="E4090" s="19" t="str">
        <f>VLOOKUP(D4090,'لیست پرسنل'!$B$2:$E$1020,3,FALSE)</f>
        <v>فکورصنعت</v>
      </c>
      <c r="F4090" s="19" t="str">
        <f>VLOOKUP(D4090,'لیست پرسنل'!$B$2:$E$1020,4,FALSE)</f>
        <v>سرپرست مهمانسراهای سیرجان</v>
      </c>
      <c r="G4090" s="127">
        <f>VLOOKUP(D4090,'لیست پرسنل'!$B$2:$F$1020,2,FALSE)</f>
        <v>990904</v>
      </c>
      <c r="H4090" s="128" t="s">
        <v>5399</v>
      </c>
      <c r="I4090" s="128"/>
      <c r="J4090" s="127" t="s">
        <v>5927</v>
      </c>
      <c r="K4090" s="128" t="s">
        <v>4998</v>
      </c>
      <c r="L4090" s="128" t="s">
        <v>7739</v>
      </c>
      <c r="M4090" s="128" t="s">
        <v>291</v>
      </c>
      <c r="N4090" s="108"/>
      <c r="O4090" s="20"/>
      <c r="P4090" s="20"/>
      <c r="Q4090" s="20"/>
    </row>
    <row r="4091" spans="1:17" ht="24.9" customHeight="1">
      <c r="A4091" s="20" t="s">
        <v>7143</v>
      </c>
      <c r="B4091" s="20" t="s">
        <v>4378</v>
      </c>
      <c r="C4091" s="20"/>
      <c r="D4091" s="20" t="s">
        <v>339</v>
      </c>
      <c r="E4091" s="19" t="str">
        <f>VLOOKUP(D4091,'لیست پرسنل'!$B$2:$E$1020,3,FALSE)</f>
        <v>فکورصنعت</v>
      </c>
      <c r="F4091" s="19" t="str">
        <f>VLOOKUP(D4091,'لیست پرسنل'!$B$2:$E$1020,4,FALSE)</f>
        <v>سرپرست مهمانسراهای سیرجان</v>
      </c>
      <c r="G4091" s="127">
        <f>VLOOKUP(D4091,'لیست پرسنل'!$B$2:$F$1020,2,FALSE)</f>
        <v>990904</v>
      </c>
      <c r="H4091" s="128" t="s">
        <v>5399</v>
      </c>
      <c r="I4091" s="128"/>
      <c r="J4091" s="127" t="s">
        <v>5927</v>
      </c>
      <c r="K4091" s="128" t="s">
        <v>4998</v>
      </c>
      <c r="L4091" s="128" t="s">
        <v>7740</v>
      </c>
      <c r="M4091" s="128" t="s">
        <v>291</v>
      </c>
      <c r="N4091" s="108"/>
      <c r="O4091" s="20"/>
      <c r="P4091" s="20"/>
      <c r="Q4091" s="20"/>
    </row>
    <row r="4092" spans="1:17" ht="24.9" customHeight="1">
      <c r="A4092" s="20" t="s">
        <v>7143</v>
      </c>
      <c r="B4092" s="20" t="s">
        <v>4378</v>
      </c>
      <c r="C4092" s="20"/>
      <c r="D4092" s="20" t="s">
        <v>339</v>
      </c>
      <c r="E4092" s="19" t="str">
        <f>VLOOKUP(D4092,'لیست پرسنل'!$B$2:$E$1020,3,FALSE)</f>
        <v>فکورصنعت</v>
      </c>
      <c r="F4092" s="19" t="str">
        <f>VLOOKUP(D4092,'لیست پرسنل'!$B$2:$E$1020,4,FALSE)</f>
        <v>سرپرست مهمانسراهای سیرجان</v>
      </c>
      <c r="G4092" s="127">
        <f>VLOOKUP(D4092,'لیست پرسنل'!$B$2:$F$1020,2,FALSE)</f>
        <v>990904</v>
      </c>
      <c r="H4092" s="128" t="s">
        <v>5399</v>
      </c>
      <c r="I4092" s="128"/>
      <c r="J4092" s="127" t="s">
        <v>5927</v>
      </c>
      <c r="K4092" s="128" t="s">
        <v>4998</v>
      </c>
      <c r="L4092" s="128" t="s">
        <v>7741</v>
      </c>
      <c r="M4092" s="128" t="s">
        <v>291</v>
      </c>
      <c r="N4092" s="108"/>
      <c r="O4092" s="20"/>
      <c r="P4092" s="20"/>
      <c r="Q4092" s="20"/>
    </row>
    <row r="4093" spans="1:17" ht="24.9" customHeight="1">
      <c r="A4093" s="20" t="s">
        <v>7143</v>
      </c>
      <c r="B4093" s="20" t="s">
        <v>4378</v>
      </c>
      <c r="C4093" s="20"/>
      <c r="D4093" s="20" t="s">
        <v>339</v>
      </c>
      <c r="E4093" s="19" t="str">
        <f>VLOOKUP(D4093,'لیست پرسنل'!$B$2:$E$1020,3,FALSE)</f>
        <v>فکورصنعت</v>
      </c>
      <c r="F4093" s="19" t="str">
        <f>VLOOKUP(D4093,'لیست پرسنل'!$B$2:$E$1020,4,FALSE)</f>
        <v>سرپرست مهمانسراهای سیرجان</v>
      </c>
      <c r="G4093" s="127">
        <f>VLOOKUP(D4093,'لیست پرسنل'!$B$2:$F$1020,2,FALSE)</f>
        <v>990904</v>
      </c>
      <c r="H4093" s="128" t="s">
        <v>5399</v>
      </c>
      <c r="I4093" s="128"/>
      <c r="J4093" s="127" t="s">
        <v>5927</v>
      </c>
      <c r="K4093" s="128" t="s">
        <v>4999</v>
      </c>
      <c r="L4093" s="128" t="s">
        <v>7742</v>
      </c>
      <c r="M4093" s="128" t="s">
        <v>291</v>
      </c>
      <c r="N4093" s="108"/>
      <c r="O4093" s="20"/>
      <c r="P4093" s="20"/>
      <c r="Q4093" s="20"/>
    </row>
    <row r="4094" spans="1:17" ht="24.9" customHeight="1">
      <c r="A4094" s="20" t="s">
        <v>7143</v>
      </c>
      <c r="B4094" s="20" t="s">
        <v>4378</v>
      </c>
      <c r="C4094" s="20"/>
      <c r="D4094" s="20" t="s">
        <v>339</v>
      </c>
      <c r="E4094" s="19" t="str">
        <f>VLOOKUP(D4094,'لیست پرسنل'!$B$2:$E$1020,3,FALSE)</f>
        <v>فکورصنعت</v>
      </c>
      <c r="F4094" s="19" t="str">
        <f>VLOOKUP(D4094,'لیست پرسنل'!$B$2:$E$1020,4,FALSE)</f>
        <v>سرپرست مهمانسراهای سیرجان</v>
      </c>
      <c r="G4094" s="127">
        <f>VLOOKUP(D4094,'لیست پرسنل'!$B$2:$F$1020,2,FALSE)</f>
        <v>990904</v>
      </c>
      <c r="H4094" s="128" t="s">
        <v>5399</v>
      </c>
      <c r="I4094" s="128"/>
      <c r="J4094" s="127" t="s">
        <v>5927</v>
      </c>
      <c r="K4094" s="128" t="s">
        <v>4999</v>
      </c>
      <c r="L4094" s="128" t="s">
        <v>7743</v>
      </c>
      <c r="M4094" s="128" t="s">
        <v>291</v>
      </c>
      <c r="N4094" s="108"/>
      <c r="O4094" s="20"/>
      <c r="P4094" s="20"/>
      <c r="Q4094" s="20"/>
    </row>
    <row r="4095" spans="1:17" ht="24.9" customHeight="1">
      <c r="A4095" s="20" t="s">
        <v>7143</v>
      </c>
      <c r="B4095" s="20" t="s">
        <v>4378</v>
      </c>
      <c r="C4095" s="20"/>
      <c r="D4095" s="20" t="s">
        <v>339</v>
      </c>
      <c r="E4095" s="19" t="str">
        <f>VLOOKUP(D4095,'لیست پرسنل'!$B$2:$E$1020,3,FALSE)</f>
        <v>فکورصنعت</v>
      </c>
      <c r="F4095" s="19" t="str">
        <f>VLOOKUP(D4095,'لیست پرسنل'!$B$2:$E$1020,4,FALSE)</f>
        <v>سرپرست مهمانسراهای سیرجان</v>
      </c>
      <c r="G4095" s="127">
        <f>VLOOKUP(D4095,'لیست پرسنل'!$B$2:$F$1020,2,FALSE)</f>
        <v>990904</v>
      </c>
      <c r="H4095" s="128" t="s">
        <v>5399</v>
      </c>
      <c r="I4095" s="128"/>
      <c r="J4095" s="127" t="s">
        <v>5927</v>
      </c>
      <c r="K4095" s="128" t="s">
        <v>4998</v>
      </c>
      <c r="L4095" s="128" t="s">
        <v>7744</v>
      </c>
      <c r="M4095" s="128" t="s">
        <v>291</v>
      </c>
      <c r="N4095" s="108"/>
      <c r="O4095" s="20"/>
      <c r="P4095" s="20"/>
      <c r="Q4095" s="20"/>
    </row>
    <row r="4096" spans="1:17" ht="24.9" customHeight="1">
      <c r="A4096" s="20" t="s">
        <v>7143</v>
      </c>
      <c r="B4096" s="20" t="s">
        <v>4378</v>
      </c>
      <c r="C4096" s="20"/>
      <c r="D4096" s="20" t="s">
        <v>339</v>
      </c>
      <c r="E4096" s="19" t="str">
        <f>VLOOKUP(D4096,'لیست پرسنل'!$B$2:$E$1020,3,FALSE)</f>
        <v>فکورصنعت</v>
      </c>
      <c r="F4096" s="19" t="str">
        <f>VLOOKUP(D4096,'لیست پرسنل'!$B$2:$E$1020,4,FALSE)</f>
        <v>سرپرست مهمانسراهای سیرجان</v>
      </c>
      <c r="G4096" s="127">
        <f>VLOOKUP(D4096,'لیست پرسنل'!$B$2:$F$1020,2,FALSE)</f>
        <v>990904</v>
      </c>
      <c r="H4096" s="128" t="s">
        <v>5399</v>
      </c>
      <c r="I4096" s="128"/>
      <c r="J4096" s="127" t="s">
        <v>5927</v>
      </c>
      <c r="K4096" s="128" t="s">
        <v>4998</v>
      </c>
      <c r="L4096" s="128" t="s">
        <v>7745</v>
      </c>
      <c r="M4096" s="128" t="s">
        <v>291</v>
      </c>
      <c r="N4096" s="108"/>
      <c r="O4096" s="20"/>
      <c r="P4096" s="20"/>
      <c r="Q4096" s="20"/>
    </row>
    <row r="4097" spans="1:17" ht="24.9" customHeight="1">
      <c r="A4097" s="20" t="s">
        <v>7143</v>
      </c>
      <c r="B4097" s="20" t="s">
        <v>4378</v>
      </c>
      <c r="C4097" s="20"/>
      <c r="D4097" s="20" t="s">
        <v>339</v>
      </c>
      <c r="E4097" s="19" t="str">
        <f>VLOOKUP(D4097,'لیست پرسنل'!$B$2:$E$1020,3,FALSE)</f>
        <v>فکورصنعت</v>
      </c>
      <c r="F4097" s="19" t="str">
        <f>VLOOKUP(D4097,'لیست پرسنل'!$B$2:$E$1020,4,FALSE)</f>
        <v>سرپرست مهمانسراهای سیرجان</v>
      </c>
      <c r="G4097" s="127">
        <f>VLOOKUP(D4097,'لیست پرسنل'!$B$2:$F$1020,2,FALSE)</f>
        <v>990904</v>
      </c>
      <c r="H4097" s="128" t="s">
        <v>5399</v>
      </c>
      <c r="I4097" s="128"/>
      <c r="J4097" s="127" t="s">
        <v>5927</v>
      </c>
      <c r="K4097" s="128" t="s">
        <v>4999</v>
      </c>
      <c r="L4097" s="128" t="s">
        <v>7746</v>
      </c>
      <c r="M4097" s="128" t="s">
        <v>291</v>
      </c>
      <c r="N4097" s="108"/>
      <c r="O4097" s="20"/>
      <c r="P4097" s="20"/>
      <c r="Q4097" s="20"/>
    </row>
    <row r="4098" spans="1:17" ht="24.9" customHeight="1">
      <c r="A4098" s="20" t="s">
        <v>7143</v>
      </c>
      <c r="B4098" s="20" t="s">
        <v>4378</v>
      </c>
      <c r="C4098" s="20"/>
      <c r="D4098" s="20" t="s">
        <v>339</v>
      </c>
      <c r="E4098" s="19" t="str">
        <f>VLOOKUP(D4098,'لیست پرسنل'!$B$2:$E$1020,3,FALSE)</f>
        <v>فکورصنعت</v>
      </c>
      <c r="F4098" s="19" t="str">
        <f>VLOOKUP(D4098,'لیست پرسنل'!$B$2:$E$1020,4,FALSE)</f>
        <v>سرپرست مهمانسراهای سیرجان</v>
      </c>
      <c r="G4098" s="127">
        <f>VLOOKUP(D4098,'لیست پرسنل'!$B$2:$F$1020,2,FALSE)</f>
        <v>990904</v>
      </c>
      <c r="H4098" s="128" t="s">
        <v>5399</v>
      </c>
      <c r="I4098" s="128"/>
      <c r="J4098" s="127" t="s">
        <v>5927</v>
      </c>
      <c r="K4098" s="128" t="s">
        <v>4998</v>
      </c>
      <c r="L4098" s="128" t="s">
        <v>7747</v>
      </c>
      <c r="M4098" s="128" t="s">
        <v>291</v>
      </c>
      <c r="N4098" s="108"/>
      <c r="O4098" s="20"/>
      <c r="P4098" s="20"/>
      <c r="Q4098" s="20"/>
    </row>
    <row r="4099" spans="1:17" ht="24.9" customHeight="1">
      <c r="A4099" s="20" t="s">
        <v>7143</v>
      </c>
      <c r="B4099" s="20" t="s">
        <v>4378</v>
      </c>
      <c r="C4099" s="20"/>
      <c r="D4099" s="20" t="s">
        <v>339</v>
      </c>
      <c r="E4099" s="19" t="str">
        <f>VLOOKUP(D4099,'لیست پرسنل'!$B$2:$E$1020,3,FALSE)</f>
        <v>فکورصنعت</v>
      </c>
      <c r="F4099" s="19" t="str">
        <f>VLOOKUP(D4099,'لیست پرسنل'!$B$2:$E$1020,4,FALSE)</f>
        <v>سرپرست مهمانسراهای سیرجان</v>
      </c>
      <c r="G4099" s="127">
        <f>VLOOKUP(D4099,'لیست پرسنل'!$B$2:$F$1020,2,FALSE)</f>
        <v>990904</v>
      </c>
      <c r="H4099" s="128" t="s">
        <v>5399</v>
      </c>
      <c r="I4099" s="128"/>
      <c r="J4099" s="127" t="s">
        <v>5927</v>
      </c>
      <c r="K4099" s="128" t="s">
        <v>4998</v>
      </c>
      <c r="L4099" s="128" t="s">
        <v>7748</v>
      </c>
      <c r="M4099" s="128" t="s">
        <v>291</v>
      </c>
      <c r="N4099" s="108"/>
      <c r="O4099" s="20"/>
      <c r="P4099" s="20"/>
      <c r="Q4099" s="20"/>
    </row>
    <row r="4100" spans="1:17" ht="24.9" customHeight="1">
      <c r="A4100" s="20" t="s">
        <v>7143</v>
      </c>
      <c r="B4100" s="20" t="s">
        <v>4378</v>
      </c>
      <c r="C4100" s="20"/>
      <c r="D4100" s="20" t="s">
        <v>339</v>
      </c>
      <c r="E4100" s="19" t="str">
        <f>VLOOKUP(D4100,'لیست پرسنل'!$B$2:$E$1020,3,FALSE)</f>
        <v>فکورصنعت</v>
      </c>
      <c r="F4100" s="19" t="str">
        <f>VLOOKUP(D4100,'لیست پرسنل'!$B$2:$E$1020,4,FALSE)</f>
        <v>سرپرست مهمانسراهای سیرجان</v>
      </c>
      <c r="G4100" s="127">
        <f>VLOOKUP(D4100,'لیست پرسنل'!$B$2:$F$1020,2,FALSE)</f>
        <v>990904</v>
      </c>
      <c r="H4100" s="128" t="s">
        <v>5399</v>
      </c>
      <c r="I4100" s="128"/>
      <c r="J4100" s="127" t="s">
        <v>5927</v>
      </c>
      <c r="K4100" s="128" t="s">
        <v>4998</v>
      </c>
      <c r="L4100" s="128" t="s">
        <v>7749</v>
      </c>
      <c r="M4100" s="128" t="s">
        <v>291</v>
      </c>
      <c r="N4100" s="108"/>
      <c r="O4100" s="20"/>
      <c r="P4100" s="20"/>
      <c r="Q4100" s="20"/>
    </row>
    <row r="4101" spans="1:17" ht="24.9" customHeight="1">
      <c r="A4101" s="20" t="s">
        <v>7143</v>
      </c>
      <c r="B4101" s="20" t="s">
        <v>4378</v>
      </c>
      <c r="C4101" s="20"/>
      <c r="D4101" s="20" t="s">
        <v>339</v>
      </c>
      <c r="E4101" s="19" t="str">
        <f>VLOOKUP(D4101,'لیست پرسنل'!$B$2:$E$1020,3,FALSE)</f>
        <v>فکورصنعت</v>
      </c>
      <c r="F4101" s="19" t="str">
        <f>VLOOKUP(D4101,'لیست پرسنل'!$B$2:$E$1020,4,FALSE)</f>
        <v>سرپرست مهمانسراهای سیرجان</v>
      </c>
      <c r="G4101" s="127">
        <f>VLOOKUP(D4101,'لیست پرسنل'!$B$2:$F$1020,2,FALSE)</f>
        <v>990904</v>
      </c>
      <c r="H4101" s="128" t="s">
        <v>5399</v>
      </c>
      <c r="I4101" s="128"/>
      <c r="J4101" s="128" t="s">
        <v>3285</v>
      </c>
      <c r="K4101" s="128" t="s">
        <v>1751</v>
      </c>
      <c r="L4101" s="128"/>
      <c r="M4101" s="128">
        <v>627195</v>
      </c>
      <c r="N4101" s="108"/>
      <c r="O4101" s="20"/>
      <c r="P4101" s="20"/>
      <c r="Q4101" s="20"/>
    </row>
    <row r="4102" spans="1:17" ht="24.9" customHeight="1">
      <c r="A4102" s="20" t="s">
        <v>7143</v>
      </c>
      <c r="B4102" s="20" t="s">
        <v>4378</v>
      </c>
      <c r="C4102" s="20"/>
      <c r="D4102" s="20" t="s">
        <v>339</v>
      </c>
      <c r="E4102" s="19" t="str">
        <f>VLOOKUP(D4102,'لیست پرسنل'!$B$2:$E$1020,3,FALSE)</f>
        <v>فکورصنعت</v>
      </c>
      <c r="F4102" s="19" t="str">
        <f>VLOOKUP(D4102,'لیست پرسنل'!$B$2:$E$1020,4,FALSE)</f>
        <v>سرپرست مهمانسراهای سیرجان</v>
      </c>
      <c r="G4102" s="127">
        <f>VLOOKUP(D4102,'لیست پرسنل'!$B$2:$F$1020,2,FALSE)</f>
        <v>990904</v>
      </c>
      <c r="H4102" s="127" t="s">
        <v>5399</v>
      </c>
      <c r="I4102" s="127"/>
      <c r="J4102" s="128" t="s">
        <v>3476</v>
      </c>
      <c r="K4102" s="127" t="s">
        <v>8044</v>
      </c>
      <c r="L4102" s="127" t="s">
        <v>8043</v>
      </c>
      <c r="M4102" s="127">
        <v>636709</v>
      </c>
      <c r="N4102" s="109"/>
      <c r="O4102" s="20"/>
      <c r="P4102" s="20"/>
      <c r="Q4102" s="20"/>
    </row>
    <row r="4103" spans="1:17" ht="24.9" customHeight="1">
      <c r="A4103" s="20" t="s">
        <v>7143</v>
      </c>
      <c r="B4103" s="20" t="s">
        <v>4378</v>
      </c>
      <c r="C4103" s="20"/>
      <c r="D4103" s="20" t="s">
        <v>339</v>
      </c>
      <c r="E4103" s="19" t="str">
        <f>VLOOKUP(D4103,'لیست پرسنل'!$B$2:$E$1020,3,FALSE)</f>
        <v>فکورصنعت</v>
      </c>
      <c r="F4103" s="19" t="str">
        <f>VLOOKUP(D4103,'لیست پرسنل'!$B$2:$E$1020,4,FALSE)</f>
        <v>سرپرست مهمانسراهای سیرجان</v>
      </c>
      <c r="G4103" s="127">
        <f>VLOOKUP(D4103,'لیست پرسنل'!$B$2:$F$1020,2,FALSE)</f>
        <v>990904</v>
      </c>
      <c r="H4103" s="128" t="s">
        <v>5399</v>
      </c>
      <c r="I4103" s="128"/>
      <c r="J4103" s="128" t="s">
        <v>3965</v>
      </c>
      <c r="K4103" s="128" t="s">
        <v>3301</v>
      </c>
      <c r="L4103" s="151"/>
      <c r="M4103" s="128">
        <v>604224</v>
      </c>
      <c r="N4103" s="108"/>
      <c r="O4103" s="20"/>
      <c r="P4103" s="20"/>
      <c r="Q4103" s="20"/>
    </row>
    <row r="4104" spans="1:17" ht="24.9" customHeight="1">
      <c r="A4104" s="20" t="s">
        <v>7143</v>
      </c>
      <c r="B4104" s="20" t="s">
        <v>4378</v>
      </c>
      <c r="C4104" s="20"/>
      <c r="D4104" s="20" t="s">
        <v>339</v>
      </c>
      <c r="E4104" s="19" t="str">
        <f>VLOOKUP(D4104,'لیست پرسنل'!$B$2:$E$1020,3,FALSE)</f>
        <v>فکورصنعت</v>
      </c>
      <c r="F4104" s="19" t="str">
        <f>VLOOKUP(D4104,'لیست پرسنل'!$B$2:$E$1020,4,FALSE)</f>
        <v>سرپرست مهمانسراهای سیرجان</v>
      </c>
      <c r="G4104" s="127">
        <f>VLOOKUP(D4104,'لیست پرسنل'!$B$2:$F$1020,2,FALSE)</f>
        <v>990904</v>
      </c>
      <c r="H4104" s="128" t="s">
        <v>5399</v>
      </c>
      <c r="I4104" s="128"/>
      <c r="J4104" s="128" t="s">
        <v>5304</v>
      </c>
      <c r="K4104" s="128" t="s">
        <v>5302</v>
      </c>
      <c r="L4104" s="128"/>
      <c r="M4104" s="128">
        <v>622015</v>
      </c>
      <c r="N4104" s="124" t="s">
        <v>7344</v>
      </c>
      <c r="O4104" s="20"/>
      <c r="P4104" s="20"/>
      <c r="Q4104" s="20"/>
    </row>
    <row r="4105" spans="1:17" ht="24.9" customHeight="1">
      <c r="A4105" s="20" t="s">
        <v>7143</v>
      </c>
      <c r="B4105" s="20" t="s">
        <v>4378</v>
      </c>
      <c r="C4105" s="20"/>
      <c r="D4105" s="20" t="s">
        <v>339</v>
      </c>
      <c r="E4105" s="19" t="str">
        <f>VLOOKUP(D4105,'لیست پرسنل'!$B$2:$E$1020,3,FALSE)</f>
        <v>فکورصنعت</v>
      </c>
      <c r="F4105" s="19" t="str">
        <f>VLOOKUP(D4105,'لیست پرسنل'!$B$2:$E$1020,4,FALSE)</f>
        <v>سرپرست مهمانسراهای سیرجان</v>
      </c>
      <c r="G4105" s="127">
        <f>VLOOKUP(D4105,'لیست پرسنل'!$B$2:$F$1020,2,FALSE)</f>
        <v>990904</v>
      </c>
      <c r="H4105" s="128" t="s">
        <v>5399</v>
      </c>
      <c r="I4105" s="128"/>
      <c r="J4105" s="128" t="s">
        <v>5304</v>
      </c>
      <c r="K4105" s="128" t="s">
        <v>5302</v>
      </c>
      <c r="L4105" s="128"/>
      <c r="M4105" s="128">
        <v>622022</v>
      </c>
      <c r="N4105" s="124"/>
      <c r="O4105" s="20"/>
      <c r="P4105" s="20"/>
      <c r="Q4105" s="20"/>
    </row>
    <row r="4106" spans="1:17" ht="24.9" customHeight="1">
      <c r="A4106" s="20" t="s">
        <v>7143</v>
      </c>
      <c r="B4106" s="20" t="s">
        <v>4378</v>
      </c>
      <c r="C4106" s="20"/>
      <c r="D4106" s="20" t="s">
        <v>339</v>
      </c>
      <c r="E4106" s="19" t="str">
        <f>VLOOKUP(D4106,'لیست پرسنل'!$B$2:$E$1020,3,FALSE)</f>
        <v>فکورصنعت</v>
      </c>
      <c r="F4106" s="19" t="str">
        <f>VLOOKUP(D4106,'لیست پرسنل'!$B$2:$E$1020,4,FALSE)</f>
        <v>سرپرست مهمانسراهای سیرجان</v>
      </c>
      <c r="G4106" s="127">
        <f>VLOOKUP(D4106,'لیست پرسنل'!$B$2:$F$1020,2,FALSE)</f>
        <v>990904</v>
      </c>
      <c r="H4106" s="128" t="s">
        <v>5399</v>
      </c>
      <c r="I4106" s="128"/>
      <c r="J4106" s="128" t="s">
        <v>5304</v>
      </c>
      <c r="K4106" s="128" t="s">
        <v>5303</v>
      </c>
      <c r="L4106" s="128"/>
      <c r="M4106" s="128">
        <v>622599</v>
      </c>
      <c r="N4106" s="124" t="s">
        <v>7345</v>
      </c>
      <c r="O4106" s="20"/>
      <c r="P4106" s="20"/>
      <c r="Q4106" s="20"/>
    </row>
    <row r="4107" spans="1:17" ht="24.9" customHeight="1">
      <c r="A4107" s="20" t="s">
        <v>7143</v>
      </c>
      <c r="B4107" s="20" t="s">
        <v>4378</v>
      </c>
      <c r="C4107" s="20"/>
      <c r="D4107" s="20" t="s">
        <v>339</v>
      </c>
      <c r="E4107" s="19" t="str">
        <f>VLOOKUP(D4107,'لیست پرسنل'!$B$2:$E$1020,3,FALSE)</f>
        <v>فکورصنعت</v>
      </c>
      <c r="F4107" s="19" t="str">
        <f>VLOOKUP(D4107,'لیست پرسنل'!$B$2:$E$1020,4,FALSE)</f>
        <v>سرپرست مهمانسراهای سیرجان</v>
      </c>
      <c r="G4107" s="127">
        <f>VLOOKUP(D4107,'لیست پرسنل'!$B$2:$F$1020,2,FALSE)</f>
        <v>990904</v>
      </c>
      <c r="H4107" s="128" t="s">
        <v>5399</v>
      </c>
      <c r="I4107" s="128"/>
      <c r="J4107" s="128" t="s">
        <v>5304</v>
      </c>
      <c r="K4107" s="128" t="s">
        <v>5303</v>
      </c>
      <c r="L4107" s="128"/>
      <c r="M4107" s="128">
        <v>622600</v>
      </c>
      <c r="N4107" s="124" t="s">
        <v>7346</v>
      </c>
      <c r="O4107" s="20"/>
      <c r="P4107" s="20"/>
      <c r="Q4107" s="20"/>
    </row>
    <row r="4108" spans="1:17" ht="24.9" customHeight="1">
      <c r="A4108" s="20" t="s">
        <v>7143</v>
      </c>
      <c r="B4108" s="20" t="s">
        <v>4378</v>
      </c>
      <c r="C4108" s="20"/>
      <c r="D4108" s="20" t="s">
        <v>339</v>
      </c>
      <c r="E4108" s="19" t="str">
        <f>VLOOKUP(D4108,'لیست پرسنل'!$B$2:$E$1020,3,FALSE)</f>
        <v>فکورصنعت</v>
      </c>
      <c r="F4108" s="19" t="str">
        <f>VLOOKUP(D4108,'لیست پرسنل'!$B$2:$E$1020,4,FALSE)</f>
        <v>سرپرست مهمانسراهای سیرجان</v>
      </c>
      <c r="G4108" s="127">
        <f>VLOOKUP(D4108,'لیست پرسنل'!$B$2:$F$1020,2,FALSE)</f>
        <v>990904</v>
      </c>
      <c r="H4108" s="128" t="s">
        <v>5399</v>
      </c>
      <c r="I4108" s="128"/>
      <c r="J4108" s="128" t="s">
        <v>5304</v>
      </c>
      <c r="K4108" s="128" t="s">
        <v>5303</v>
      </c>
      <c r="L4108" s="128"/>
      <c r="M4108" s="128">
        <v>622601</v>
      </c>
      <c r="N4108" s="124" t="s">
        <v>7343</v>
      </c>
      <c r="O4108" s="20"/>
      <c r="P4108" s="20"/>
      <c r="Q4108" s="20"/>
    </row>
    <row r="4109" spans="1:17" ht="24.9" customHeight="1">
      <c r="A4109" s="20" t="s">
        <v>7143</v>
      </c>
      <c r="B4109" s="20" t="s">
        <v>4378</v>
      </c>
      <c r="C4109" s="20"/>
      <c r="D4109" s="20" t="s">
        <v>339</v>
      </c>
      <c r="E4109" s="19" t="str">
        <f>VLOOKUP(D4109,'لیست پرسنل'!$B$2:$E$1020,3,FALSE)</f>
        <v>فکورصنعت</v>
      </c>
      <c r="F4109" s="19" t="str">
        <f>VLOOKUP(D4109,'لیست پرسنل'!$B$2:$E$1020,4,FALSE)</f>
        <v>سرپرست مهمانسراهای سیرجان</v>
      </c>
      <c r="G4109" s="127">
        <f>VLOOKUP(D4109,'لیست پرسنل'!$B$2:$F$1020,2,FALSE)</f>
        <v>990904</v>
      </c>
      <c r="H4109" s="128" t="s">
        <v>5399</v>
      </c>
      <c r="I4109" s="128"/>
      <c r="J4109" s="128" t="s">
        <v>5304</v>
      </c>
      <c r="K4109" s="128" t="s">
        <v>5303</v>
      </c>
      <c r="L4109" s="128"/>
      <c r="M4109" s="128">
        <v>622602</v>
      </c>
      <c r="N4109" s="124" t="s">
        <v>7347</v>
      </c>
      <c r="O4109" s="20"/>
      <c r="P4109" s="20"/>
      <c r="Q4109" s="20"/>
    </row>
    <row r="4110" spans="1:17" ht="24.9" customHeight="1">
      <c r="A4110" s="20" t="s">
        <v>7143</v>
      </c>
      <c r="B4110" s="20" t="s">
        <v>4378</v>
      </c>
      <c r="C4110" s="20"/>
      <c r="D4110" s="20" t="s">
        <v>339</v>
      </c>
      <c r="E4110" s="19" t="str">
        <f>VLOOKUP(D4110,'لیست پرسنل'!$B$2:$E$1020,3,FALSE)</f>
        <v>فکورصنعت</v>
      </c>
      <c r="F4110" s="19" t="str">
        <f>VLOOKUP(D4110,'لیست پرسنل'!$B$2:$E$1020,4,FALSE)</f>
        <v>سرپرست مهمانسراهای سیرجان</v>
      </c>
      <c r="G4110" s="127">
        <f>VLOOKUP(D4110,'لیست پرسنل'!$B$2:$F$1020,2,FALSE)</f>
        <v>990904</v>
      </c>
      <c r="H4110" s="128" t="s">
        <v>5399</v>
      </c>
      <c r="I4110" s="128"/>
      <c r="J4110" s="127" t="s">
        <v>753</v>
      </c>
      <c r="K4110" s="128" t="s">
        <v>303</v>
      </c>
      <c r="L4110" s="127" t="s">
        <v>304</v>
      </c>
      <c r="M4110" s="127">
        <v>615032</v>
      </c>
      <c r="N4110" s="109"/>
      <c r="O4110" s="86"/>
      <c r="P4110" s="20"/>
      <c r="Q4110" s="20"/>
    </row>
    <row r="4111" spans="1:17" ht="24.9" customHeight="1">
      <c r="A4111" s="20" t="s">
        <v>7143</v>
      </c>
      <c r="B4111" s="20" t="s">
        <v>4378</v>
      </c>
      <c r="C4111" s="20"/>
      <c r="D4111" s="20" t="s">
        <v>339</v>
      </c>
      <c r="E4111" s="19" t="str">
        <f>VLOOKUP(D4111,'لیست پرسنل'!$B$2:$E$1020,3,FALSE)</f>
        <v>فکورصنعت</v>
      </c>
      <c r="F4111" s="19" t="str">
        <f>VLOOKUP(D4111,'لیست پرسنل'!$B$2:$E$1020,4,FALSE)</f>
        <v>سرپرست مهمانسراهای سیرجان</v>
      </c>
      <c r="G4111" s="127">
        <f>VLOOKUP(D4111,'لیست پرسنل'!$B$2:$F$1020,2,FALSE)</f>
        <v>990904</v>
      </c>
      <c r="H4111" s="128" t="s">
        <v>4977</v>
      </c>
      <c r="I4111" s="128"/>
      <c r="J4111" s="128" t="s">
        <v>3322</v>
      </c>
      <c r="K4111" s="128" t="s">
        <v>4981</v>
      </c>
      <c r="L4111" s="128" t="s">
        <v>4982</v>
      </c>
      <c r="M4111" s="128">
        <v>629743</v>
      </c>
      <c r="N4111" s="109"/>
      <c r="O4111" s="20"/>
      <c r="P4111" s="20"/>
      <c r="Q4111" s="20"/>
    </row>
    <row r="4112" spans="1:17" ht="24.9" customHeight="1">
      <c r="A4112" s="20" t="s">
        <v>7143</v>
      </c>
      <c r="B4112" s="20" t="s">
        <v>4378</v>
      </c>
      <c r="C4112" s="20"/>
      <c r="D4112" s="20" t="s">
        <v>339</v>
      </c>
      <c r="E4112" s="19" t="str">
        <f>VLOOKUP(D4112,'لیست پرسنل'!$B$2:$E$1020,3,FALSE)</f>
        <v>فکورصنعت</v>
      </c>
      <c r="F4112" s="19" t="str">
        <f>VLOOKUP(D4112,'لیست پرسنل'!$B$2:$E$1020,4,FALSE)</f>
        <v>سرپرست مهمانسراهای سیرجان</v>
      </c>
      <c r="G4112" s="127">
        <f>VLOOKUP(D4112,'لیست پرسنل'!$B$2:$F$1020,2,FALSE)</f>
        <v>990904</v>
      </c>
      <c r="H4112" s="128" t="s">
        <v>4977</v>
      </c>
      <c r="I4112" s="128"/>
      <c r="J4112" s="128" t="s">
        <v>3145</v>
      </c>
      <c r="K4112" s="128" t="s">
        <v>5396</v>
      </c>
      <c r="L4112" s="128" t="s">
        <v>5397</v>
      </c>
      <c r="M4112" s="128">
        <v>631551</v>
      </c>
      <c r="N4112" s="108"/>
      <c r="O4112" s="20"/>
      <c r="P4112" s="20"/>
      <c r="Q4112" s="20"/>
    </row>
    <row r="4113" spans="1:17" ht="24.9" customHeight="1">
      <c r="A4113" s="20" t="s">
        <v>7143</v>
      </c>
      <c r="B4113" s="20" t="s">
        <v>4378</v>
      </c>
      <c r="C4113" s="20"/>
      <c r="D4113" s="20" t="s">
        <v>339</v>
      </c>
      <c r="E4113" s="19" t="str">
        <f>VLOOKUP(D4113,'لیست پرسنل'!$B$2:$E$1020,3,FALSE)</f>
        <v>فکورصنعت</v>
      </c>
      <c r="F4113" s="19" t="str">
        <f>VLOOKUP(D4113,'لیست پرسنل'!$B$2:$E$1020,4,FALSE)</f>
        <v>سرپرست مهمانسراهای سیرجان</v>
      </c>
      <c r="G4113" s="127">
        <f>VLOOKUP(D4113,'لیست پرسنل'!$B$2:$F$1020,2,FALSE)</f>
        <v>990904</v>
      </c>
      <c r="H4113" s="128" t="s">
        <v>4977</v>
      </c>
      <c r="I4113" s="128"/>
      <c r="J4113" s="128" t="s">
        <v>3532</v>
      </c>
      <c r="K4113" s="128" t="s">
        <v>2087</v>
      </c>
      <c r="L4113" s="128" t="s">
        <v>2120</v>
      </c>
      <c r="M4113" s="128">
        <v>628314</v>
      </c>
      <c r="N4113" s="108"/>
      <c r="O4113" s="20" t="s">
        <v>705</v>
      </c>
      <c r="P4113" s="20"/>
      <c r="Q4113" s="20"/>
    </row>
    <row r="4114" spans="1:17" ht="24.9" customHeight="1">
      <c r="A4114" s="20" t="s">
        <v>7143</v>
      </c>
      <c r="B4114" s="20" t="s">
        <v>4378</v>
      </c>
      <c r="C4114" s="20"/>
      <c r="D4114" s="20" t="s">
        <v>339</v>
      </c>
      <c r="E4114" s="19" t="str">
        <f>VLOOKUP(D4114,'لیست پرسنل'!$B$2:$E$1020,3,FALSE)</f>
        <v>فکورصنعت</v>
      </c>
      <c r="F4114" s="19" t="str">
        <f>VLOOKUP(D4114,'لیست پرسنل'!$B$2:$E$1020,4,FALSE)</f>
        <v>سرپرست مهمانسراهای سیرجان</v>
      </c>
      <c r="G4114" s="127">
        <f>VLOOKUP(D4114,'لیست پرسنل'!$B$2:$F$1020,2,FALSE)</f>
        <v>990904</v>
      </c>
      <c r="H4114" s="128" t="s">
        <v>4977</v>
      </c>
      <c r="I4114" s="128"/>
      <c r="J4114" s="128" t="s">
        <v>3532</v>
      </c>
      <c r="K4114" s="128" t="s">
        <v>2087</v>
      </c>
      <c r="L4114" s="128" t="s">
        <v>2121</v>
      </c>
      <c r="M4114" s="128">
        <v>628315</v>
      </c>
      <c r="N4114" s="108"/>
      <c r="O4114" s="20" t="s">
        <v>705</v>
      </c>
      <c r="P4114" s="20"/>
      <c r="Q4114" s="20"/>
    </row>
    <row r="4115" spans="1:17" ht="24.9" customHeight="1">
      <c r="A4115" s="20" t="s">
        <v>7143</v>
      </c>
      <c r="B4115" s="20" t="s">
        <v>4378</v>
      </c>
      <c r="C4115" s="20"/>
      <c r="D4115" s="20" t="s">
        <v>339</v>
      </c>
      <c r="E4115" s="19" t="str">
        <f>VLOOKUP(D4115,'لیست پرسنل'!$B$2:$E$1020,3,FALSE)</f>
        <v>فکورصنعت</v>
      </c>
      <c r="F4115" s="19" t="str">
        <f>VLOOKUP(D4115,'لیست پرسنل'!$B$2:$E$1020,4,FALSE)</f>
        <v>سرپرست مهمانسراهای سیرجان</v>
      </c>
      <c r="G4115" s="127">
        <f>VLOOKUP(D4115,'لیست پرسنل'!$B$2:$F$1020,2,FALSE)</f>
        <v>990904</v>
      </c>
      <c r="H4115" s="128" t="s">
        <v>4977</v>
      </c>
      <c r="I4115" s="128"/>
      <c r="J4115" s="128" t="s">
        <v>3532</v>
      </c>
      <c r="K4115" s="128" t="s">
        <v>2087</v>
      </c>
      <c r="L4115" s="128" t="s">
        <v>2124</v>
      </c>
      <c r="M4115" s="128">
        <v>628318</v>
      </c>
      <c r="N4115" s="108"/>
      <c r="O4115" s="20" t="s">
        <v>705</v>
      </c>
      <c r="P4115" s="20"/>
      <c r="Q4115" s="20"/>
    </row>
    <row r="4116" spans="1:17" ht="24.9" customHeight="1">
      <c r="A4116" s="20" t="s">
        <v>7143</v>
      </c>
      <c r="B4116" s="20" t="s">
        <v>4378</v>
      </c>
      <c r="C4116" s="20"/>
      <c r="D4116" s="20" t="s">
        <v>339</v>
      </c>
      <c r="E4116" s="19" t="str">
        <f>VLOOKUP(D4116,'لیست پرسنل'!$B$2:$E$1020,3,FALSE)</f>
        <v>فکورصنعت</v>
      </c>
      <c r="F4116" s="19" t="str">
        <f>VLOOKUP(D4116,'لیست پرسنل'!$B$2:$E$1020,4,FALSE)</f>
        <v>سرپرست مهمانسراهای سیرجان</v>
      </c>
      <c r="G4116" s="127">
        <f>VLOOKUP(D4116,'لیست پرسنل'!$B$2:$F$1020,2,FALSE)</f>
        <v>990904</v>
      </c>
      <c r="H4116" s="128" t="s">
        <v>4977</v>
      </c>
      <c r="I4116" s="128"/>
      <c r="J4116" s="128" t="s">
        <v>3532</v>
      </c>
      <c r="K4116" s="128" t="s">
        <v>2087</v>
      </c>
      <c r="L4116" s="128" t="s">
        <v>2126</v>
      </c>
      <c r="M4116" s="128">
        <v>628320</v>
      </c>
      <c r="N4116" s="108"/>
      <c r="O4116" s="20" t="s">
        <v>705</v>
      </c>
      <c r="P4116" s="20"/>
      <c r="Q4116" s="20"/>
    </row>
    <row r="4117" spans="1:17" ht="24.9" customHeight="1">
      <c r="A4117" s="20" t="s">
        <v>7143</v>
      </c>
      <c r="B4117" s="20" t="s">
        <v>4378</v>
      </c>
      <c r="C4117" s="20"/>
      <c r="D4117" s="20" t="s">
        <v>339</v>
      </c>
      <c r="E4117" s="19" t="str">
        <f>VLOOKUP(D4117,'لیست پرسنل'!$B$2:$E$1020,3,FALSE)</f>
        <v>فکورصنعت</v>
      </c>
      <c r="F4117" s="19" t="str">
        <f>VLOOKUP(D4117,'لیست پرسنل'!$B$2:$E$1020,4,FALSE)</f>
        <v>سرپرست مهمانسراهای سیرجان</v>
      </c>
      <c r="G4117" s="127">
        <f>VLOOKUP(D4117,'لیست پرسنل'!$B$2:$F$1020,2,FALSE)</f>
        <v>990904</v>
      </c>
      <c r="H4117" s="128" t="s">
        <v>4977</v>
      </c>
      <c r="I4117" s="128"/>
      <c r="J4117" s="128" t="s">
        <v>3532</v>
      </c>
      <c r="K4117" s="128" t="s">
        <v>2087</v>
      </c>
      <c r="L4117" s="128" t="s">
        <v>2128</v>
      </c>
      <c r="M4117" s="127">
        <v>628322</v>
      </c>
      <c r="N4117" s="108"/>
      <c r="O4117" s="20" t="s">
        <v>705</v>
      </c>
      <c r="P4117" s="20"/>
      <c r="Q4117" s="20"/>
    </row>
    <row r="4118" spans="1:17" ht="24.9" customHeight="1">
      <c r="A4118" s="20" t="s">
        <v>7143</v>
      </c>
      <c r="B4118" s="20" t="s">
        <v>4378</v>
      </c>
      <c r="C4118" s="19"/>
      <c r="D4118" s="20" t="s">
        <v>339</v>
      </c>
      <c r="E4118" s="19" t="str">
        <f>VLOOKUP(D4118,'لیست پرسنل'!$B$2:$E$1020,3,FALSE)</f>
        <v>فکورصنعت</v>
      </c>
      <c r="F4118" s="19" t="str">
        <f>VLOOKUP(D4118,'لیست پرسنل'!$B$2:$E$1020,4,FALSE)</f>
        <v>سرپرست مهمانسراهای سیرجان</v>
      </c>
      <c r="G4118" s="127">
        <f>VLOOKUP(D4118,'لیست پرسنل'!$B$2:$F$1020,2,FALSE)</f>
        <v>990904</v>
      </c>
      <c r="H4118" s="128" t="s">
        <v>4977</v>
      </c>
      <c r="I4118" s="127"/>
      <c r="J4118" s="128" t="s">
        <v>3532</v>
      </c>
      <c r="K4118" s="128" t="s">
        <v>4802</v>
      </c>
      <c r="L4118" s="128" t="s">
        <v>4804</v>
      </c>
      <c r="M4118" s="128">
        <v>630659</v>
      </c>
      <c r="N4118" s="124" t="s">
        <v>7820</v>
      </c>
      <c r="O4118" s="20" t="s">
        <v>7819</v>
      </c>
      <c r="P4118" s="20"/>
      <c r="Q4118" s="20"/>
    </row>
    <row r="4119" spans="1:17" ht="24.9" customHeight="1">
      <c r="A4119" s="20" t="s">
        <v>7143</v>
      </c>
      <c r="B4119" s="20" t="s">
        <v>4378</v>
      </c>
      <c r="C4119" s="20"/>
      <c r="D4119" s="20" t="s">
        <v>339</v>
      </c>
      <c r="E4119" s="19" t="str">
        <f>VLOOKUP(D4119,'لیست پرسنل'!$B$2:$E$1020,3,FALSE)</f>
        <v>فکورصنعت</v>
      </c>
      <c r="F4119" s="19" t="str">
        <f>VLOOKUP(D4119,'لیست پرسنل'!$B$2:$E$1020,4,FALSE)</f>
        <v>سرپرست مهمانسراهای سیرجان</v>
      </c>
      <c r="G4119" s="127">
        <f>VLOOKUP(D4119,'لیست پرسنل'!$B$2:$F$1020,2,FALSE)</f>
        <v>990904</v>
      </c>
      <c r="H4119" s="128" t="s">
        <v>4977</v>
      </c>
      <c r="I4119" s="128"/>
      <c r="J4119" s="128" t="s">
        <v>3532</v>
      </c>
      <c r="K4119" s="128" t="s">
        <v>4802</v>
      </c>
      <c r="L4119" s="128" t="s">
        <v>4806</v>
      </c>
      <c r="M4119" s="128">
        <v>630665</v>
      </c>
      <c r="N4119" s="108"/>
      <c r="O4119" s="20"/>
      <c r="P4119" s="20"/>
      <c r="Q4119" s="20"/>
    </row>
    <row r="4120" spans="1:17" ht="24.9" customHeight="1">
      <c r="A4120" s="20" t="s">
        <v>7143</v>
      </c>
      <c r="B4120" s="20" t="s">
        <v>4378</v>
      </c>
      <c r="C4120" s="20"/>
      <c r="D4120" s="20" t="s">
        <v>339</v>
      </c>
      <c r="E4120" s="19" t="str">
        <f>VLOOKUP(D4120,'لیست پرسنل'!$B$2:$E$1020,3,FALSE)</f>
        <v>فکورصنعت</v>
      </c>
      <c r="F4120" s="19" t="str">
        <f>VLOOKUP(D4120,'لیست پرسنل'!$B$2:$E$1020,4,FALSE)</f>
        <v>سرپرست مهمانسراهای سیرجان</v>
      </c>
      <c r="G4120" s="127">
        <f>VLOOKUP(D4120,'لیست پرسنل'!$B$2:$F$1020,2,FALSE)</f>
        <v>990904</v>
      </c>
      <c r="H4120" s="128" t="s">
        <v>4977</v>
      </c>
      <c r="I4120" s="128"/>
      <c r="J4120" s="128" t="s">
        <v>3532</v>
      </c>
      <c r="K4120" s="128" t="s">
        <v>4802</v>
      </c>
      <c r="L4120" s="128" t="s">
        <v>4807</v>
      </c>
      <c r="M4120" s="128">
        <v>630666</v>
      </c>
      <c r="N4120" s="108"/>
      <c r="O4120" s="20"/>
      <c r="P4120" s="20"/>
      <c r="Q4120" s="20"/>
    </row>
    <row r="4121" spans="1:17" ht="24.9" customHeight="1">
      <c r="A4121" s="20" t="s">
        <v>7143</v>
      </c>
      <c r="B4121" s="20" t="s">
        <v>4378</v>
      </c>
      <c r="C4121" s="20"/>
      <c r="D4121" s="20" t="s">
        <v>339</v>
      </c>
      <c r="E4121" s="19" t="str">
        <f>VLOOKUP(D4121,'لیست پرسنل'!$B$2:$E$1020,3,FALSE)</f>
        <v>فکورصنعت</v>
      </c>
      <c r="F4121" s="19" t="str">
        <f>VLOOKUP(D4121,'لیست پرسنل'!$B$2:$E$1020,4,FALSE)</f>
        <v>سرپرست مهمانسراهای سیرجان</v>
      </c>
      <c r="G4121" s="127">
        <f>VLOOKUP(D4121,'لیست پرسنل'!$B$2:$F$1020,2,FALSE)</f>
        <v>990904</v>
      </c>
      <c r="H4121" s="128" t="s">
        <v>4977</v>
      </c>
      <c r="I4121" s="128"/>
      <c r="J4121" s="128" t="s">
        <v>3532</v>
      </c>
      <c r="K4121" s="128" t="s">
        <v>4802</v>
      </c>
      <c r="L4121" s="128" t="s">
        <v>4808</v>
      </c>
      <c r="M4121" s="128">
        <v>630667</v>
      </c>
      <c r="N4121" s="108"/>
      <c r="O4121" s="20"/>
      <c r="P4121" s="20"/>
      <c r="Q4121" s="20"/>
    </row>
    <row r="4122" spans="1:17" ht="24.9" customHeight="1">
      <c r="A4122" s="20" t="s">
        <v>7143</v>
      </c>
      <c r="B4122" s="20" t="s">
        <v>4378</v>
      </c>
      <c r="C4122" s="20"/>
      <c r="D4122" s="20" t="s">
        <v>339</v>
      </c>
      <c r="E4122" s="19" t="str">
        <f>VLOOKUP(D4122,'لیست پرسنل'!$B$2:$E$1020,3,FALSE)</f>
        <v>فکورصنعت</v>
      </c>
      <c r="F4122" s="19" t="str">
        <f>VLOOKUP(D4122,'لیست پرسنل'!$B$2:$E$1020,4,FALSE)</f>
        <v>سرپرست مهمانسراهای سیرجان</v>
      </c>
      <c r="G4122" s="127">
        <f>VLOOKUP(D4122,'لیست پرسنل'!$B$2:$F$1020,2,FALSE)</f>
        <v>990904</v>
      </c>
      <c r="H4122" s="128" t="s">
        <v>4977</v>
      </c>
      <c r="I4122" s="128"/>
      <c r="J4122" s="128" t="s">
        <v>3532</v>
      </c>
      <c r="K4122" s="128" t="s">
        <v>4802</v>
      </c>
      <c r="L4122" s="128" t="s">
        <v>4809</v>
      </c>
      <c r="M4122" s="128">
        <v>630668</v>
      </c>
      <c r="N4122" s="108"/>
      <c r="O4122" s="20"/>
      <c r="P4122" s="20"/>
      <c r="Q4122" s="20"/>
    </row>
    <row r="4123" spans="1:17" ht="24.9" customHeight="1">
      <c r="A4123" s="20" t="s">
        <v>7143</v>
      </c>
      <c r="B4123" s="20" t="s">
        <v>4378</v>
      </c>
      <c r="C4123" s="20"/>
      <c r="D4123" s="20" t="s">
        <v>339</v>
      </c>
      <c r="E4123" s="19" t="str">
        <f>VLOOKUP(D4123,'لیست پرسنل'!$B$2:$E$1020,3,FALSE)</f>
        <v>فکورصنعت</v>
      </c>
      <c r="F4123" s="19" t="str">
        <f>VLOOKUP(D4123,'لیست پرسنل'!$B$2:$E$1020,4,FALSE)</f>
        <v>سرپرست مهمانسراهای سیرجان</v>
      </c>
      <c r="G4123" s="127">
        <f>VLOOKUP(D4123,'لیست پرسنل'!$B$2:$F$1020,2,FALSE)</f>
        <v>990904</v>
      </c>
      <c r="H4123" s="128" t="s">
        <v>4977</v>
      </c>
      <c r="I4123" s="128"/>
      <c r="J4123" s="128" t="s">
        <v>3532</v>
      </c>
      <c r="K4123" s="128" t="s">
        <v>4802</v>
      </c>
      <c r="L4123" s="128" t="s">
        <v>4812</v>
      </c>
      <c r="M4123" s="128">
        <v>630671</v>
      </c>
      <c r="N4123" s="108"/>
      <c r="O4123" s="20"/>
      <c r="P4123" s="20"/>
      <c r="Q4123" s="20"/>
    </row>
    <row r="4124" spans="1:17" ht="24.9" customHeight="1">
      <c r="A4124" s="20" t="s">
        <v>7143</v>
      </c>
      <c r="B4124" s="20" t="s">
        <v>4378</v>
      </c>
      <c r="C4124" s="20"/>
      <c r="D4124" s="20" t="s">
        <v>339</v>
      </c>
      <c r="E4124" s="19" t="str">
        <f>VLOOKUP(D4124,'لیست پرسنل'!$B$2:$E$1020,3,FALSE)</f>
        <v>فکورصنعت</v>
      </c>
      <c r="F4124" s="19" t="str">
        <f>VLOOKUP(D4124,'لیست پرسنل'!$B$2:$E$1020,4,FALSE)</f>
        <v>سرپرست مهمانسراهای سیرجان</v>
      </c>
      <c r="G4124" s="127">
        <f>VLOOKUP(D4124,'لیست پرسنل'!$B$2:$F$1020,2,FALSE)</f>
        <v>990904</v>
      </c>
      <c r="H4124" s="128" t="s">
        <v>4977</v>
      </c>
      <c r="I4124" s="128"/>
      <c r="J4124" s="128" t="s">
        <v>3532</v>
      </c>
      <c r="K4124" s="128" t="s">
        <v>5208</v>
      </c>
      <c r="L4124" s="128" t="s">
        <v>7260</v>
      </c>
      <c r="M4124" s="133">
        <v>633785</v>
      </c>
      <c r="N4124" s="109"/>
      <c r="O4124" s="19" t="s">
        <v>6431</v>
      </c>
      <c r="P4124" s="32"/>
      <c r="Q4124" s="32"/>
    </row>
    <row r="4125" spans="1:17" ht="24.9" customHeight="1">
      <c r="A4125" s="20" t="s">
        <v>7143</v>
      </c>
      <c r="B4125" s="20" t="s">
        <v>4378</v>
      </c>
      <c r="C4125" s="20"/>
      <c r="D4125" s="20" t="s">
        <v>339</v>
      </c>
      <c r="E4125" s="19" t="str">
        <f>VLOOKUP(D4125,'لیست پرسنل'!$B$2:$E$1020,3,FALSE)</f>
        <v>فکورصنعت</v>
      </c>
      <c r="F4125" s="19" t="str">
        <f>VLOOKUP(D4125,'لیست پرسنل'!$B$2:$E$1020,4,FALSE)</f>
        <v>سرپرست مهمانسراهای سیرجان</v>
      </c>
      <c r="G4125" s="127">
        <f>VLOOKUP(D4125,'لیست پرسنل'!$B$2:$F$1020,2,FALSE)</f>
        <v>990904</v>
      </c>
      <c r="H4125" s="128" t="s">
        <v>4977</v>
      </c>
      <c r="I4125" s="128"/>
      <c r="J4125" s="128" t="s">
        <v>5366</v>
      </c>
      <c r="K4125" s="127" t="s">
        <v>4435</v>
      </c>
      <c r="L4125" s="151"/>
      <c r="M4125" s="134">
        <v>623304</v>
      </c>
      <c r="N4125" s="108"/>
      <c r="O4125" s="32" t="s">
        <v>2676</v>
      </c>
      <c r="P4125" s="20"/>
      <c r="Q4125" s="20"/>
    </row>
    <row r="4126" spans="1:17" ht="24.9" customHeight="1">
      <c r="A4126" s="20" t="s">
        <v>7143</v>
      </c>
      <c r="B4126" s="20" t="s">
        <v>4378</v>
      </c>
      <c r="C4126" s="20"/>
      <c r="D4126" s="20" t="s">
        <v>339</v>
      </c>
      <c r="E4126" s="19" t="str">
        <f>VLOOKUP(D4126,'لیست پرسنل'!$B$2:$E$1020,3,FALSE)</f>
        <v>فکورصنعت</v>
      </c>
      <c r="F4126" s="19" t="str">
        <f>VLOOKUP(D4126,'لیست پرسنل'!$B$2:$E$1020,4,FALSE)</f>
        <v>سرپرست مهمانسراهای سیرجان</v>
      </c>
      <c r="G4126" s="127">
        <f>VLOOKUP(D4126,'لیست پرسنل'!$B$2:$F$1020,2,FALSE)</f>
        <v>990904</v>
      </c>
      <c r="H4126" s="128" t="s">
        <v>4977</v>
      </c>
      <c r="I4126" s="128"/>
      <c r="J4126" s="128" t="s">
        <v>5366</v>
      </c>
      <c r="K4126" s="127" t="s">
        <v>4435</v>
      </c>
      <c r="L4126" s="151"/>
      <c r="M4126" s="134">
        <v>623305</v>
      </c>
      <c r="N4126" s="109" t="s">
        <v>7354</v>
      </c>
      <c r="O4126" s="28"/>
      <c r="P4126" s="20"/>
      <c r="Q4126" s="20"/>
    </row>
    <row r="4127" spans="1:17" ht="24.9" customHeight="1">
      <c r="A4127" s="20" t="s">
        <v>7143</v>
      </c>
      <c r="B4127" s="20" t="s">
        <v>4378</v>
      </c>
      <c r="C4127" s="20"/>
      <c r="D4127" s="20" t="s">
        <v>339</v>
      </c>
      <c r="E4127" s="19" t="str">
        <f>VLOOKUP(D4127,'لیست پرسنل'!$B$2:$E$1020,3,FALSE)</f>
        <v>فکورصنعت</v>
      </c>
      <c r="F4127" s="19" t="str">
        <f>VLOOKUP(D4127,'لیست پرسنل'!$B$2:$E$1020,4,FALSE)</f>
        <v>سرپرست مهمانسراهای سیرجان</v>
      </c>
      <c r="G4127" s="127">
        <f>VLOOKUP(D4127,'لیست پرسنل'!$B$2:$F$1020,2,FALSE)</f>
        <v>990904</v>
      </c>
      <c r="H4127" s="128" t="s">
        <v>4977</v>
      </c>
      <c r="I4127" s="128"/>
      <c r="J4127" s="128" t="s">
        <v>5366</v>
      </c>
      <c r="K4127" s="128" t="s">
        <v>8244</v>
      </c>
      <c r="L4127" s="128"/>
      <c r="M4127" s="128">
        <v>630165</v>
      </c>
      <c r="N4127" s="111"/>
      <c r="O4127" s="99" t="s">
        <v>5492</v>
      </c>
      <c r="P4127" s="28"/>
      <c r="Q4127" s="28"/>
    </row>
    <row r="4128" spans="1:17" ht="24.9" customHeight="1">
      <c r="A4128" s="20" t="s">
        <v>7143</v>
      </c>
      <c r="B4128" s="20" t="s">
        <v>4378</v>
      </c>
      <c r="C4128" s="20"/>
      <c r="D4128" s="20" t="s">
        <v>339</v>
      </c>
      <c r="E4128" s="19" t="str">
        <f>VLOOKUP(D4128,'لیست پرسنل'!$B$2:$E$1020,3,FALSE)</f>
        <v>فکورصنعت</v>
      </c>
      <c r="F4128" s="19" t="str">
        <f>VLOOKUP(D4128,'لیست پرسنل'!$B$2:$E$1020,4,FALSE)</f>
        <v>سرپرست مهمانسراهای سیرجان</v>
      </c>
      <c r="G4128" s="127">
        <f>VLOOKUP(D4128,'لیست پرسنل'!$B$2:$F$1020,2,FALSE)</f>
        <v>990904</v>
      </c>
      <c r="H4128" s="128" t="s">
        <v>4977</v>
      </c>
      <c r="I4128" s="128"/>
      <c r="J4128" s="128" t="s">
        <v>5366</v>
      </c>
      <c r="K4128" s="128" t="s">
        <v>8244</v>
      </c>
      <c r="L4128" s="128"/>
      <c r="M4128" s="128">
        <v>630166</v>
      </c>
      <c r="N4128" s="111"/>
      <c r="O4128" s="99" t="s">
        <v>5491</v>
      </c>
      <c r="P4128" s="28"/>
      <c r="Q4128" s="28"/>
    </row>
    <row r="4129" spans="1:17" ht="24.9" customHeight="1">
      <c r="A4129" s="20" t="s">
        <v>7143</v>
      </c>
      <c r="B4129" s="20" t="s">
        <v>4378</v>
      </c>
      <c r="C4129" s="20"/>
      <c r="D4129" s="20" t="s">
        <v>339</v>
      </c>
      <c r="E4129" s="19" t="str">
        <f>VLOOKUP(D4129,'لیست پرسنل'!$B$2:$E$1020,3,FALSE)</f>
        <v>فکورصنعت</v>
      </c>
      <c r="F4129" s="19" t="str">
        <f>VLOOKUP(D4129,'لیست پرسنل'!$B$2:$E$1020,4,FALSE)</f>
        <v>سرپرست مهمانسراهای سیرجان</v>
      </c>
      <c r="G4129" s="127">
        <f>VLOOKUP(D4129,'لیست پرسنل'!$B$2:$F$1020,2,FALSE)</f>
        <v>990904</v>
      </c>
      <c r="H4129" s="128" t="s">
        <v>4977</v>
      </c>
      <c r="I4129" s="128"/>
      <c r="J4129" s="128" t="s">
        <v>5366</v>
      </c>
      <c r="K4129" s="128" t="s">
        <v>8244</v>
      </c>
      <c r="L4129" s="128"/>
      <c r="M4129" s="128">
        <v>630167</v>
      </c>
      <c r="N4129" s="111"/>
      <c r="O4129" s="99" t="s">
        <v>5490</v>
      </c>
      <c r="P4129" s="28"/>
      <c r="Q4129" s="28"/>
    </row>
    <row r="4130" spans="1:17" ht="24.9" customHeight="1">
      <c r="A4130" s="20" t="s">
        <v>7143</v>
      </c>
      <c r="B4130" s="20" t="s">
        <v>4378</v>
      </c>
      <c r="C4130" s="20"/>
      <c r="D4130" s="20" t="s">
        <v>339</v>
      </c>
      <c r="E4130" s="19" t="str">
        <f>VLOOKUP(D4130,'لیست پرسنل'!$B$2:$E$1020,3,FALSE)</f>
        <v>فکورصنعت</v>
      </c>
      <c r="F4130" s="19" t="str">
        <f>VLOOKUP(D4130,'لیست پرسنل'!$B$2:$E$1020,4,FALSE)</f>
        <v>سرپرست مهمانسراهای سیرجان</v>
      </c>
      <c r="G4130" s="127">
        <f>VLOOKUP(D4130,'لیست پرسنل'!$B$2:$F$1020,2,FALSE)</f>
        <v>990904</v>
      </c>
      <c r="H4130" s="128" t="s">
        <v>4977</v>
      </c>
      <c r="I4130" s="128"/>
      <c r="J4130" s="128" t="s">
        <v>5366</v>
      </c>
      <c r="K4130" s="128" t="s">
        <v>8244</v>
      </c>
      <c r="L4130" s="128"/>
      <c r="M4130" s="128">
        <v>630168</v>
      </c>
      <c r="N4130" s="111"/>
      <c r="O4130" s="99" t="s">
        <v>5489</v>
      </c>
      <c r="P4130" s="28"/>
      <c r="Q4130" s="28"/>
    </row>
    <row r="4131" spans="1:17" ht="24.9" customHeight="1">
      <c r="A4131" s="20" t="s">
        <v>7143</v>
      </c>
      <c r="B4131" s="20" t="s">
        <v>4378</v>
      </c>
      <c r="C4131" s="20"/>
      <c r="D4131" s="20" t="s">
        <v>339</v>
      </c>
      <c r="E4131" s="19" t="str">
        <f>VLOOKUP(D4131,'لیست پرسنل'!$B$2:$E$1020,3,FALSE)</f>
        <v>فکورصنعت</v>
      </c>
      <c r="F4131" s="19" t="str">
        <f>VLOOKUP(D4131,'لیست پرسنل'!$B$2:$E$1020,4,FALSE)</f>
        <v>سرپرست مهمانسراهای سیرجان</v>
      </c>
      <c r="G4131" s="127">
        <f>VLOOKUP(D4131,'لیست پرسنل'!$B$2:$F$1020,2,FALSE)</f>
        <v>990904</v>
      </c>
      <c r="H4131" s="128" t="s">
        <v>4977</v>
      </c>
      <c r="I4131" s="128"/>
      <c r="J4131" s="128" t="s">
        <v>5366</v>
      </c>
      <c r="K4131" s="128" t="s">
        <v>8244</v>
      </c>
      <c r="L4131" s="128"/>
      <c r="M4131" s="128">
        <v>630169</v>
      </c>
      <c r="N4131" s="111"/>
      <c r="O4131" s="99" t="s">
        <v>5488</v>
      </c>
      <c r="P4131" s="28"/>
      <c r="Q4131" s="28"/>
    </row>
    <row r="4132" spans="1:17" ht="24.9" customHeight="1">
      <c r="A4132" s="20" t="s">
        <v>7143</v>
      </c>
      <c r="B4132" s="20" t="s">
        <v>4378</v>
      </c>
      <c r="C4132" s="20"/>
      <c r="D4132" s="20" t="s">
        <v>339</v>
      </c>
      <c r="E4132" s="19" t="str">
        <f>VLOOKUP(D4132,'لیست پرسنل'!$B$2:$E$1020,3,FALSE)</f>
        <v>فکورصنعت</v>
      </c>
      <c r="F4132" s="19" t="str">
        <f>VLOOKUP(D4132,'لیست پرسنل'!$B$2:$E$1020,4,FALSE)</f>
        <v>سرپرست مهمانسراهای سیرجان</v>
      </c>
      <c r="G4132" s="127">
        <f>VLOOKUP(D4132,'لیست پرسنل'!$B$2:$F$1020,2,FALSE)</f>
        <v>990904</v>
      </c>
      <c r="H4132" s="128" t="s">
        <v>4977</v>
      </c>
      <c r="I4132" s="128"/>
      <c r="J4132" s="128" t="s">
        <v>5366</v>
      </c>
      <c r="K4132" s="128" t="s">
        <v>8244</v>
      </c>
      <c r="L4132" s="128"/>
      <c r="M4132" s="128">
        <v>630170</v>
      </c>
      <c r="N4132" s="111"/>
      <c r="O4132" s="99" t="s">
        <v>5487</v>
      </c>
      <c r="P4132" s="28"/>
      <c r="Q4132" s="28"/>
    </row>
    <row r="4133" spans="1:17" ht="24.9" customHeight="1">
      <c r="A4133" s="20" t="s">
        <v>7143</v>
      </c>
      <c r="B4133" s="20" t="s">
        <v>4378</v>
      </c>
      <c r="C4133" s="20"/>
      <c r="D4133" s="20" t="s">
        <v>339</v>
      </c>
      <c r="E4133" s="19" t="str">
        <f>VLOOKUP(D4133,'لیست پرسنل'!$B$2:$E$1020,3,FALSE)</f>
        <v>فکورصنعت</v>
      </c>
      <c r="F4133" s="19" t="str">
        <f>VLOOKUP(D4133,'لیست پرسنل'!$B$2:$E$1020,4,FALSE)</f>
        <v>سرپرست مهمانسراهای سیرجان</v>
      </c>
      <c r="G4133" s="127">
        <f>VLOOKUP(D4133,'لیست پرسنل'!$B$2:$F$1020,2,FALSE)</f>
        <v>990904</v>
      </c>
      <c r="H4133" s="128" t="s">
        <v>4977</v>
      </c>
      <c r="I4133" s="128"/>
      <c r="J4133" s="128" t="s">
        <v>5366</v>
      </c>
      <c r="K4133" s="128" t="s">
        <v>8244</v>
      </c>
      <c r="L4133" s="128"/>
      <c r="M4133" s="128">
        <v>630171</v>
      </c>
      <c r="N4133" s="111"/>
      <c r="O4133" s="99" t="s">
        <v>5486</v>
      </c>
      <c r="P4133" s="28"/>
      <c r="Q4133" s="28"/>
    </row>
    <row r="4134" spans="1:17" ht="24.9" customHeight="1">
      <c r="A4134" s="20" t="s">
        <v>7143</v>
      </c>
      <c r="B4134" s="20" t="s">
        <v>4378</v>
      </c>
      <c r="C4134" s="20"/>
      <c r="D4134" s="20" t="s">
        <v>339</v>
      </c>
      <c r="E4134" s="19" t="str">
        <f>VLOOKUP(D4134,'لیست پرسنل'!$B$2:$E$1020,3,FALSE)</f>
        <v>فکورصنعت</v>
      </c>
      <c r="F4134" s="19" t="str">
        <f>VLOOKUP(D4134,'لیست پرسنل'!$B$2:$E$1020,4,FALSE)</f>
        <v>سرپرست مهمانسراهای سیرجان</v>
      </c>
      <c r="G4134" s="127">
        <f>VLOOKUP(D4134,'لیست پرسنل'!$B$2:$F$1020,2,FALSE)</f>
        <v>990904</v>
      </c>
      <c r="H4134" s="128" t="s">
        <v>4977</v>
      </c>
      <c r="I4134" s="128"/>
      <c r="J4134" s="128" t="s">
        <v>5366</v>
      </c>
      <c r="K4134" s="128" t="s">
        <v>8244</v>
      </c>
      <c r="L4134" s="128"/>
      <c r="M4134" s="128">
        <v>630172</v>
      </c>
      <c r="N4134" s="111"/>
      <c r="O4134" s="99" t="s">
        <v>5485</v>
      </c>
      <c r="P4134" s="28"/>
      <c r="Q4134" s="28"/>
    </row>
    <row r="4135" spans="1:17" ht="24.9" customHeight="1">
      <c r="A4135" s="20" t="s">
        <v>7143</v>
      </c>
      <c r="B4135" s="20" t="s">
        <v>4378</v>
      </c>
      <c r="C4135" s="20"/>
      <c r="D4135" s="20" t="s">
        <v>339</v>
      </c>
      <c r="E4135" s="19" t="str">
        <f>VLOOKUP(D4135,'لیست پرسنل'!$B$2:$E$1020,3,FALSE)</f>
        <v>فکورصنعت</v>
      </c>
      <c r="F4135" s="19" t="str">
        <f>VLOOKUP(D4135,'لیست پرسنل'!$B$2:$E$1020,4,FALSE)</f>
        <v>سرپرست مهمانسراهای سیرجان</v>
      </c>
      <c r="G4135" s="127">
        <f>VLOOKUP(D4135,'لیست پرسنل'!$B$2:$F$1020,2,FALSE)</f>
        <v>990904</v>
      </c>
      <c r="H4135" s="128" t="s">
        <v>4977</v>
      </c>
      <c r="I4135" s="128"/>
      <c r="J4135" s="128" t="s">
        <v>5366</v>
      </c>
      <c r="K4135" s="128" t="s">
        <v>8244</v>
      </c>
      <c r="L4135" s="128"/>
      <c r="M4135" s="128">
        <v>630173</v>
      </c>
      <c r="N4135" s="111"/>
      <c r="O4135" s="99" t="s">
        <v>5484</v>
      </c>
      <c r="P4135" s="28"/>
      <c r="Q4135" s="28"/>
    </row>
    <row r="4136" spans="1:17" ht="24.9" customHeight="1">
      <c r="A4136" s="20" t="s">
        <v>7143</v>
      </c>
      <c r="B4136" s="20" t="s">
        <v>4378</v>
      </c>
      <c r="C4136" s="20"/>
      <c r="D4136" s="20" t="s">
        <v>339</v>
      </c>
      <c r="E4136" s="19" t="str">
        <f>VLOOKUP(D4136,'لیست پرسنل'!$B$2:$E$1020,3,FALSE)</f>
        <v>فکورصنعت</v>
      </c>
      <c r="F4136" s="19" t="str">
        <f>VLOOKUP(D4136,'لیست پرسنل'!$B$2:$E$1020,4,FALSE)</f>
        <v>سرپرست مهمانسراهای سیرجان</v>
      </c>
      <c r="G4136" s="127">
        <f>VLOOKUP(D4136,'لیست پرسنل'!$B$2:$F$1020,2,FALSE)</f>
        <v>990904</v>
      </c>
      <c r="H4136" s="128" t="s">
        <v>4977</v>
      </c>
      <c r="I4136" s="128"/>
      <c r="J4136" s="128" t="s">
        <v>5366</v>
      </c>
      <c r="K4136" s="128" t="s">
        <v>8244</v>
      </c>
      <c r="L4136" s="128"/>
      <c r="M4136" s="128" t="s">
        <v>291</v>
      </c>
      <c r="N4136" s="111"/>
      <c r="O4136" s="99" t="s">
        <v>5495</v>
      </c>
      <c r="P4136" s="28"/>
      <c r="Q4136" s="28"/>
    </row>
    <row r="4137" spans="1:17" ht="24.9" customHeight="1">
      <c r="A4137" s="20" t="s">
        <v>7143</v>
      </c>
      <c r="B4137" s="20" t="s">
        <v>4378</v>
      </c>
      <c r="C4137" s="19"/>
      <c r="D4137" s="19" t="s">
        <v>339</v>
      </c>
      <c r="E4137" s="19" t="str">
        <f>VLOOKUP(D4137,'لیست پرسنل'!$B$2:$E$1020,3,FALSE)</f>
        <v>فکورصنعت</v>
      </c>
      <c r="F4137" s="19" t="str">
        <f>VLOOKUP(D4137,'لیست پرسنل'!$B$2:$E$1020,4,FALSE)</f>
        <v>سرپرست مهمانسراهای سیرجان</v>
      </c>
      <c r="G4137" s="127">
        <f>VLOOKUP(D4137,'لیست پرسنل'!$B$2:$F$1020,2,FALSE)</f>
        <v>990904</v>
      </c>
      <c r="H4137" s="128" t="s">
        <v>4977</v>
      </c>
      <c r="I4137" s="127"/>
      <c r="J4137" s="128" t="s">
        <v>3938</v>
      </c>
      <c r="K4137" s="128" t="s">
        <v>1458</v>
      </c>
      <c r="L4137" s="151" t="s">
        <v>6955</v>
      </c>
      <c r="M4137" s="127">
        <v>634353</v>
      </c>
      <c r="N4137" s="109"/>
      <c r="O4137" s="39"/>
      <c r="P4137" s="20"/>
      <c r="Q4137" s="20"/>
    </row>
    <row r="4138" spans="1:17" ht="24.9" customHeight="1">
      <c r="A4138" s="20" t="s">
        <v>7143</v>
      </c>
      <c r="B4138" s="20" t="s">
        <v>4378</v>
      </c>
      <c r="C4138" s="20"/>
      <c r="D4138" s="20" t="s">
        <v>339</v>
      </c>
      <c r="E4138" s="19" t="str">
        <f>VLOOKUP(D4138,'لیست پرسنل'!$B$2:$E$1020,3,FALSE)</f>
        <v>فکورصنعت</v>
      </c>
      <c r="F4138" s="19" t="str">
        <f>VLOOKUP(D4138,'لیست پرسنل'!$B$2:$E$1020,4,FALSE)</f>
        <v>سرپرست مهمانسراهای سیرجان</v>
      </c>
      <c r="G4138" s="127">
        <f>VLOOKUP(D4138,'لیست پرسنل'!$B$2:$F$1020,2,FALSE)</f>
        <v>990904</v>
      </c>
      <c r="H4138" s="128" t="s">
        <v>4977</v>
      </c>
      <c r="I4138" s="128"/>
      <c r="J4138" s="127" t="s">
        <v>5927</v>
      </c>
      <c r="K4138" s="128" t="s">
        <v>4999</v>
      </c>
      <c r="L4138" s="128" t="s">
        <v>4988</v>
      </c>
      <c r="M4138" s="128">
        <v>629744</v>
      </c>
      <c r="N4138" s="109"/>
      <c r="O4138" s="20"/>
      <c r="P4138" s="20"/>
      <c r="Q4138" s="20"/>
    </row>
    <row r="4139" spans="1:17" ht="24.9" customHeight="1">
      <c r="A4139" s="20" t="s">
        <v>7143</v>
      </c>
      <c r="B4139" s="20" t="s">
        <v>4378</v>
      </c>
      <c r="C4139" s="20"/>
      <c r="D4139" s="20" t="s">
        <v>339</v>
      </c>
      <c r="E4139" s="19" t="str">
        <f>VLOOKUP(D4139,'لیست پرسنل'!$B$2:$E$1020,3,FALSE)</f>
        <v>فکورصنعت</v>
      </c>
      <c r="F4139" s="19" t="str">
        <f>VLOOKUP(D4139,'لیست پرسنل'!$B$2:$E$1020,4,FALSE)</f>
        <v>سرپرست مهمانسراهای سیرجان</v>
      </c>
      <c r="G4139" s="127">
        <f>VLOOKUP(D4139,'لیست پرسنل'!$B$2:$F$1020,2,FALSE)</f>
        <v>990904</v>
      </c>
      <c r="H4139" s="128" t="s">
        <v>4977</v>
      </c>
      <c r="I4139" s="128"/>
      <c r="J4139" s="127" t="s">
        <v>5927</v>
      </c>
      <c r="K4139" s="128" t="s">
        <v>4999</v>
      </c>
      <c r="L4139" s="128" t="s">
        <v>4991</v>
      </c>
      <c r="M4139" s="128">
        <v>629745</v>
      </c>
      <c r="N4139" s="109"/>
      <c r="O4139" s="20"/>
      <c r="P4139" s="20"/>
      <c r="Q4139" s="20"/>
    </row>
    <row r="4140" spans="1:17" ht="24.9" customHeight="1">
      <c r="A4140" s="20" t="s">
        <v>7143</v>
      </c>
      <c r="B4140" s="20" t="s">
        <v>4378</v>
      </c>
      <c r="C4140" s="20"/>
      <c r="D4140" s="20" t="s">
        <v>339</v>
      </c>
      <c r="E4140" s="19" t="str">
        <f>VLOOKUP(D4140,'لیست پرسنل'!$B$2:$E$1020,3,FALSE)</f>
        <v>فکورصنعت</v>
      </c>
      <c r="F4140" s="19" t="str">
        <f>VLOOKUP(D4140,'لیست پرسنل'!$B$2:$E$1020,4,FALSE)</f>
        <v>سرپرست مهمانسراهای سیرجان</v>
      </c>
      <c r="G4140" s="127">
        <f>VLOOKUP(D4140,'لیست پرسنل'!$B$2:$F$1020,2,FALSE)</f>
        <v>990904</v>
      </c>
      <c r="H4140" s="128" t="s">
        <v>4977</v>
      </c>
      <c r="I4140" s="128"/>
      <c r="J4140" s="127" t="s">
        <v>5927</v>
      </c>
      <c r="K4140" s="128" t="s">
        <v>4999</v>
      </c>
      <c r="L4140" s="128" t="s">
        <v>4993</v>
      </c>
      <c r="M4140" s="128">
        <v>629746</v>
      </c>
      <c r="N4140" s="109"/>
      <c r="O4140" s="20"/>
      <c r="P4140" s="20"/>
      <c r="Q4140" s="20"/>
    </row>
    <row r="4141" spans="1:17" ht="24.9" customHeight="1">
      <c r="A4141" s="20" t="s">
        <v>7143</v>
      </c>
      <c r="B4141" s="20" t="s">
        <v>4378</v>
      </c>
      <c r="C4141" s="20"/>
      <c r="D4141" s="20" t="s">
        <v>339</v>
      </c>
      <c r="E4141" s="19" t="str">
        <f>VLOOKUP(D4141,'لیست پرسنل'!$B$2:$E$1020,3,FALSE)</f>
        <v>فکورصنعت</v>
      </c>
      <c r="F4141" s="19" t="str">
        <f>VLOOKUP(D4141,'لیست پرسنل'!$B$2:$E$1020,4,FALSE)</f>
        <v>سرپرست مهمانسراهای سیرجان</v>
      </c>
      <c r="G4141" s="127">
        <f>VLOOKUP(D4141,'لیست پرسنل'!$B$2:$F$1020,2,FALSE)</f>
        <v>990904</v>
      </c>
      <c r="H4141" s="128" t="s">
        <v>4977</v>
      </c>
      <c r="I4141" s="128"/>
      <c r="J4141" s="127" t="s">
        <v>5927</v>
      </c>
      <c r="K4141" s="128" t="s">
        <v>4999</v>
      </c>
      <c r="L4141" s="128" t="s">
        <v>4994</v>
      </c>
      <c r="M4141" s="128">
        <v>629747</v>
      </c>
      <c r="N4141" s="109"/>
      <c r="O4141" s="20"/>
      <c r="P4141" s="20"/>
      <c r="Q4141" s="20"/>
    </row>
    <row r="4142" spans="1:17" ht="24.9" customHeight="1">
      <c r="A4142" s="20" t="s">
        <v>7143</v>
      </c>
      <c r="B4142" s="20" t="s">
        <v>4378</v>
      </c>
      <c r="C4142" s="20"/>
      <c r="D4142" s="20" t="s">
        <v>339</v>
      </c>
      <c r="E4142" s="19" t="str">
        <f>VLOOKUP(D4142,'لیست پرسنل'!$B$2:$E$1020,3,FALSE)</f>
        <v>فکورصنعت</v>
      </c>
      <c r="F4142" s="19" t="str">
        <f>VLOOKUP(D4142,'لیست پرسنل'!$B$2:$E$1020,4,FALSE)</f>
        <v>سرپرست مهمانسراهای سیرجان</v>
      </c>
      <c r="G4142" s="127">
        <f>VLOOKUP(D4142,'لیست پرسنل'!$B$2:$F$1020,2,FALSE)</f>
        <v>990904</v>
      </c>
      <c r="H4142" s="128" t="s">
        <v>4977</v>
      </c>
      <c r="I4142" s="128"/>
      <c r="J4142" s="127" t="s">
        <v>5927</v>
      </c>
      <c r="K4142" s="128" t="s">
        <v>4999</v>
      </c>
      <c r="L4142" s="128" t="s">
        <v>4997</v>
      </c>
      <c r="M4142" s="128">
        <v>629748</v>
      </c>
      <c r="N4142" s="109"/>
      <c r="O4142" s="20"/>
      <c r="P4142" s="20"/>
      <c r="Q4142" s="20"/>
    </row>
    <row r="4143" spans="1:17" ht="24.9" customHeight="1">
      <c r="A4143" s="20" t="s">
        <v>7143</v>
      </c>
      <c r="B4143" s="20" t="s">
        <v>4378</v>
      </c>
      <c r="C4143" s="20"/>
      <c r="D4143" s="20" t="s">
        <v>339</v>
      </c>
      <c r="E4143" s="19" t="str">
        <f>VLOOKUP(D4143,'لیست پرسنل'!$B$2:$E$1020,3,FALSE)</f>
        <v>فکورصنعت</v>
      </c>
      <c r="F4143" s="19" t="str">
        <f>VLOOKUP(D4143,'لیست پرسنل'!$B$2:$E$1020,4,FALSE)</f>
        <v>سرپرست مهمانسراهای سیرجان</v>
      </c>
      <c r="G4143" s="127">
        <f>VLOOKUP(D4143,'لیست پرسنل'!$B$2:$F$1020,2,FALSE)</f>
        <v>990904</v>
      </c>
      <c r="H4143" s="128" t="s">
        <v>4977</v>
      </c>
      <c r="I4143" s="128"/>
      <c r="J4143" s="127" t="s">
        <v>5927</v>
      </c>
      <c r="K4143" s="128" t="s">
        <v>4998</v>
      </c>
      <c r="L4143" s="128" t="s">
        <v>4983</v>
      </c>
      <c r="M4143" s="128">
        <v>629800</v>
      </c>
      <c r="N4143" s="109"/>
      <c r="O4143" s="20"/>
      <c r="P4143" s="20"/>
      <c r="Q4143" s="20"/>
    </row>
    <row r="4144" spans="1:17" ht="24.9" customHeight="1">
      <c r="A4144" s="20" t="s">
        <v>7143</v>
      </c>
      <c r="B4144" s="20" t="s">
        <v>4378</v>
      </c>
      <c r="C4144" s="20"/>
      <c r="D4144" s="20" t="s">
        <v>339</v>
      </c>
      <c r="E4144" s="19" t="str">
        <f>VLOOKUP(D4144,'لیست پرسنل'!$B$2:$E$1020,3,FALSE)</f>
        <v>فکورصنعت</v>
      </c>
      <c r="F4144" s="19" t="str">
        <f>VLOOKUP(D4144,'لیست پرسنل'!$B$2:$E$1020,4,FALSE)</f>
        <v>سرپرست مهمانسراهای سیرجان</v>
      </c>
      <c r="G4144" s="127">
        <f>VLOOKUP(D4144,'لیست پرسنل'!$B$2:$F$1020,2,FALSE)</f>
        <v>990904</v>
      </c>
      <c r="H4144" s="128" t="s">
        <v>4977</v>
      </c>
      <c r="I4144" s="128"/>
      <c r="J4144" s="127" t="s">
        <v>5927</v>
      </c>
      <c r="K4144" s="128" t="s">
        <v>4998</v>
      </c>
      <c r="L4144" s="128" t="s">
        <v>4984</v>
      </c>
      <c r="M4144" s="128">
        <v>629801</v>
      </c>
      <c r="N4144" s="109"/>
      <c r="O4144" s="20"/>
      <c r="P4144" s="20"/>
      <c r="Q4144" s="20"/>
    </row>
    <row r="4145" spans="1:17" ht="24.9" customHeight="1">
      <c r="A4145" s="20" t="s">
        <v>7143</v>
      </c>
      <c r="B4145" s="20" t="s">
        <v>4378</v>
      </c>
      <c r="C4145" s="20"/>
      <c r="D4145" s="20" t="s">
        <v>339</v>
      </c>
      <c r="E4145" s="19" t="str">
        <f>VLOOKUP(D4145,'لیست پرسنل'!$B$2:$E$1020,3,FALSE)</f>
        <v>فکورصنعت</v>
      </c>
      <c r="F4145" s="19" t="str">
        <f>VLOOKUP(D4145,'لیست پرسنل'!$B$2:$E$1020,4,FALSE)</f>
        <v>سرپرست مهمانسراهای سیرجان</v>
      </c>
      <c r="G4145" s="127">
        <f>VLOOKUP(D4145,'لیست پرسنل'!$B$2:$F$1020,2,FALSE)</f>
        <v>990904</v>
      </c>
      <c r="H4145" s="128" t="s">
        <v>4977</v>
      </c>
      <c r="I4145" s="128"/>
      <c r="J4145" s="127" t="s">
        <v>5927</v>
      </c>
      <c r="K4145" s="128" t="s">
        <v>4998</v>
      </c>
      <c r="L4145" s="128" t="s">
        <v>4985</v>
      </c>
      <c r="M4145" s="128">
        <v>629802</v>
      </c>
      <c r="N4145" s="109"/>
      <c r="O4145" s="20"/>
      <c r="P4145" s="20"/>
      <c r="Q4145" s="20"/>
    </row>
    <row r="4146" spans="1:17" ht="24.9" customHeight="1">
      <c r="A4146" s="20" t="s">
        <v>7143</v>
      </c>
      <c r="B4146" s="20" t="s">
        <v>4378</v>
      </c>
      <c r="C4146" s="20"/>
      <c r="D4146" s="20" t="s">
        <v>339</v>
      </c>
      <c r="E4146" s="19" t="str">
        <f>VLOOKUP(D4146,'لیست پرسنل'!$B$2:$E$1020,3,FALSE)</f>
        <v>فکورصنعت</v>
      </c>
      <c r="F4146" s="19" t="str">
        <f>VLOOKUP(D4146,'لیست پرسنل'!$B$2:$E$1020,4,FALSE)</f>
        <v>سرپرست مهمانسراهای سیرجان</v>
      </c>
      <c r="G4146" s="127">
        <f>VLOOKUP(D4146,'لیست پرسنل'!$B$2:$F$1020,2,FALSE)</f>
        <v>990904</v>
      </c>
      <c r="H4146" s="128" t="s">
        <v>4977</v>
      </c>
      <c r="I4146" s="128"/>
      <c r="J4146" s="127" t="s">
        <v>5927</v>
      </c>
      <c r="K4146" s="128" t="s">
        <v>4998</v>
      </c>
      <c r="L4146" s="128" t="s">
        <v>4986</v>
      </c>
      <c r="M4146" s="128">
        <v>629803</v>
      </c>
      <c r="N4146" s="109"/>
      <c r="O4146" s="20"/>
      <c r="P4146" s="20"/>
      <c r="Q4146" s="20"/>
    </row>
    <row r="4147" spans="1:17" ht="24.9" customHeight="1">
      <c r="A4147" s="20" t="s">
        <v>7143</v>
      </c>
      <c r="B4147" s="20" t="s">
        <v>4378</v>
      </c>
      <c r="C4147" s="20"/>
      <c r="D4147" s="20" t="s">
        <v>339</v>
      </c>
      <c r="E4147" s="19" t="str">
        <f>VLOOKUP(D4147,'لیست پرسنل'!$B$2:$E$1020,3,FALSE)</f>
        <v>فکورصنعت</v>
      </c>
      <c r="F4147" s="19" t="str">
        <f>VLOOKUP(D4147,'لیست پرسنل'!$B$2:$E$1020,4,FALSE)</f>
        <v>سرپرست مهمانسراهای سیرجان</v>
      </c>
      <c r="G4147" s="127">
        <f>VLOOKUP(D4147,'لیست پرسنل'!$B$2:$F$1020,2,FALSE)</f>
        <v>990904</v>
      </c>
      <c r="H4147" s="128" t="s">
        <v>4977</v>
      </c>
      <c r="I4147" s="128"/>
      <c r="J4147" s="127" t="s">
        <v>5927</v>
      </c>
      <c r="K4147" s="128" t="s">
        <v>4998</v>
      </c>
      <c r="L4147" s="128" t="s">
        <v>4987</v>
      </c>
      <c r="M4147" s="128">
        <v>629804</v>
      </c>
      <c r="N4147" s="109"/>
      <c r="O4147" s="20"/>
      <c r="P4147" s="20"/>
      <c r="Q4147" s="20"/>
    </row>
    <row r="4148" spans="1:17" ht="24.9" customHeight="1">
      <c r="A4148" s="20" t="s">
        <v>7143</v>
      </c>
      <c r="B4148" s="20" t="s">
        <v>4378</v>
      </c>
      <c r="C4148" s="20"/>
      <c r="D4148" s="20" t="s">
        <v>339</v>
      </c>
      <c r="E4148" s="19" t="str">
        <f>VLOOKUP(D4148,'لیست پرسنل'!$B$2:$E$1020,3,FALSE)</f>
        <v>فکورصنعت</v>
      </c>
      <c r="F4148" s="19" t="str">
        <f>VLOOKUP(D4148,'لیست پرسنل'!$B$2:$E$1020,4,FALSE)</f>
        <v>سرپرست مهمانسراهای سیرجان</v>
      </c>
      <c r="G4148" s="127">
        <f>VLOOKUP(D4148,'لیست پرسنل'!$B$2:$F$1020,2,FALSE)</f>
        <v>990904</v>
      </c>
      <c r="H4148" s="128" t="s">
        <v>4977</v>
      </c>
      <c r="I4148" s="128"/>
      <c r="J4148" s="127" t="s">
        <v>5927</v>
      </c>
      <c r="K4148" s="128" t="s">
        <v>4998</v>
      </c>
      <c r="L4148" s="128" t="s">
        <v>4989</v>
      </c>
      <c r="M4148" s="128">
        <v>629805</v>
      </c>
      <c r="N4148" s="109"/>
      <c r="O4148" s="20"/>
      <c r="P4148" s="20"/>
      <c r="Q4148" s="20"/>
    </row>
    <row r="4149" spans="1:17" ht="24.9" customHeight="1">
      <c r="A4149" s="20" t="s">
        <v>7143</v>
      </c>
      <c r="B4149" s="20" t="s">
        <v>4378</v>
      </c>
      <c r="C4149" s="20"/>
      <c r="D4149" s="20" t="s">
        <v>339</v>
      </c>
      <c r="E4149" s="19" t="str">
        <f>VLOOKUP(D4149,'لیست پرسنل'!$B$2:$E$1020,3,FALSE)</f>
        <v>فکورصنعت</v>
      </c>
      <c r="F4149" s="19" t="str">
        <f>VLOOKUP(D4149,'لیست پرسنل'!$B$2:$E$1020,4,FALSE)</f>
        <v>سرپرست مهمانسراهای سیرجان</v>
      </c>
      <c r="G4149" s="127">
        <f>VLOOKUP(D4149,'لیست پرسنل'!$B$2:$F$1020,2,FALSE)</f>
        <v>990904</v>
      </c>
      <c r="H4149" s="128" t="s">
        <v>4977</v>
      </c>
      <c r="I4149" s="128"/>
      <c r="J4149" s="127" t="s">
        <v>5927</v>
      </c>
      <c r="K4149" s="128" t="s">
        <v>4998</v>
      </c>
      <c r="L4149" s="128" t="s">
        <v>4990</v>
      </c>
      <c r="M4149" s="128">
        <v>629806</v>
      </c>
      <c r="N4149" s="109"/>
      <c r="O4149" s="20"/>
      <c r="P4149" s="20"/>
      <c r="Q4149" s="20"/>
    </row>
    <row r="4150" spans="1:17" ht="24.9" customHeight="1">
      <c r="A4150" s="20" t="s">
        <v>7143</v>
      </c>
      <c r="B4150" s="20" t="s">
        <v>4378</v>
      </c>
      <c r="C4150" s="20"/>
      <c r="D4150" s="20" t="s">
        <v>339</v>
      </c>
      <c r="E4150" s="19" t="str">
        <f>VLOOKUP(D4150,'لیست پرسنل'!$B$2:$E$1020,3,FALSE)</f>
        <v>فکورصنعت</v>
      </c>
      <c r="F4150" s="19" t="str">
        <f>VLOOKUP(D4150,'لیست پرسنل'!$B$2:$E$1020,4,FALSE)</f>
        <v>سرپرست مهمانسراهای سیرجان</v>
      </c>
      <c r="G4150" s="127">
        <f>VLOOKUP(D4150,'لیست پرسنل'!$B$2:$F$1020,2,FALSE)</f>
        <v>990904</v>
      </c>
      <c r="H4150" s="128" t="s">
        <v>4977</v>
      </c>
      <c r="I4150" s="128"/>
      <c r="J4150" s="127" t="s">
        <v>5927</v>
      </c>
      <c r="K4150" s="128" t="s">
        <v>4998</v>
      </c>
      <c r="L4150" s="128" t="s">
        <v>4992</v>
      </c>
      <c r="M4150" s="128">
        <v>629807</v>
      </c>
      <c r="N4150" s="109"/>
      <c r="O4150" s="20"/>
      <c r="P4150" s="20"/>
      <c r="Q4150" s="20"/>
    </row>
    <row r="4151" spans="1:17" ht="24.9" customHeight="1">
      <c r="A4151" s="20" t="s">
        <v>7143</v>
      </c>
      <c r="B4151" s="20" t="s">
        <v>4378</v>
      </c>
      <c r="C4151" s="20"/>
      <c r="D4151" s="20" t="s">
        <v>339</v>
      </c>
      <c r="E4151" s="19" t="str">
        <f>VLOOKUP(D4151,'لیست پرسنل'!$B$2:$E$1020,3,FALSE)</f>
        <v>فکورصنعت</v>
      </c>
      <c r="F4151" s="19" t="str">
        <f>VLOOKUP(D4151,'لیست پرسنل'!$B$2:$E$1020,4,FALSE)</f>
        <v>سرپرست مهمانسراهای سیرجان</v>
      </c>
      <c r="G4151" s="127">
        <f>VLOOKUP(D4151,'لیست پرسنل'!$B$2:$F$1020,2,FALSE)</f>
        <v>990904</v>
      </c>
      <c r="H4151" s="128" t="s">
        <v>4977</v>
      </c>
      <c r="I4151" s="128"/>
      <c r="J4151" s="127" t="s">
        <v>5927</v>
      </c>
      <c r="K4151" s="128" t="s">
        <v>4998</v>
      </c>
      <c r="L4151" s="128" t="s">
        <v>4995</v>
      </c>
      <c r="M4151" s="128">
        <v>629808</v>
      </c>
      <c r="N4151" s="109"/>
      <c r="O4151" s="20"/>
      <c r="P4151" s="20"/>
      <c r="Q4151" s="20"/>
    </row>
    <row r="4152" spans="1:17" ht="24.9" customHeight="1">
      <c r="A4152" s="20" t="s">
        <v>7143</v>
      </c>
      <c r="B4152" s="20" t="s">
        <v>4378</v>
      </c>
      <c r="C4152" s="20"/>
      <c r="D4152" s="20" t="s">
        <v>339</v>
      </c>
      <c r="E4152" s="19" t="str">
        <f>VLOOKUP(D4152,'لیست پرسنل'!$B$2:$E$1020,3,FALSE)</f>
        <v>فکورصنعت</v>
      </c>
      <c r="F4152" s="19" t="str">
        <f>VLOOKUP(D4152,'لیست پرسنل'!$B$2:$E$1020,4,FALSE)</f>
        <v>سرپرست مهمانسراهای سیرجان</v>
      </c>
      <c r="G4152" s="127">
        <f>VLOOKUP(D4152,'لیست پرسنل'!$B$2:$F$1020,2,FALSE)</f>
        <v>990904</v>
      </c>
      <c r="H4152" s="128" t="s">
        <v>4977</v>
      </c>
      <c r="I4152" s="128"/>
      <c r="J4152" s="127" t="s">
        <v>5927</v>
      </c>
      <c r="K4152" s="128" t="s">
        <v>4998</v>
      </c>
      <c r="L4152" s="128" t="s">
        <v>4996</v>
      </c>
      <c r="M4152" s="128">
        <v>629809</v>
      </c>
      <c r="N4152" s="109"/>
      <c r="O4152" s="20"/>
      <c r="P4152" s="20"/>
      <c r="Q4152" s="20"/>
    </row>
    <row r="4153" spans="1:17" ht="24.9" customHeight="1">
      <c r="A4153" s="20" t="s">
        <v>7143</v>
      </c>
      <c r="B4153" s="20" t="s">
        <v>4378</v>
      </c>
      <c r="C4153" s="20"/>
      <c r="D4153" s="20" t="s">
        <v>339</v>
      </c>
      <c r="E4153" s="19" t="str">
        <f>VLOOKUP(D4153,'لیست پرسنل'!$B$2:$E$1020,3,FALSE)</f>
        <v>فکورصنعت</v>
      </c>
      <c r="F4153" s="19" t="str">
        <f>VLOOKUP(D4153,'لیست پرسنل'!$B$2:$E$1020,4,FALSE)</f>
        <v>سرپرست مهمانسراهای سیرجان</v>
      </c>
      <c r="G4153" s="127">
        <f>VLOOKUP(D4153,'لیست پرسنل'!$B$2:$F$1020,2,FALSE)</f>
        <v>990904</v>
      </c>
      <c r="H4153" s="128" t="s">
        <v>4977</v>
      </c>
      <c r="I4153" s="128"/>
      <c r="J4153" s="128" t="s">
        <v>5927</v>
      </c>
      <c r="K4153" s="128" t="s">
        <v>4998</v>
      </c>
      <c r="L4153" s="128" t="s">
        <v>7733</v>
      </c>
      <c r="M4153" s="128" t="s">
        <v>291</v>
      </c>
      <c r="N4153" s="108"/>
      <c r="O4153" s="20"/>
      <c r="P4153" s="20"/>
      <c r="Q4153" s="20"/>
    </row>
    <row r="4154" spans="1:17" ht="24.9" customHeight="1">
      <c r="A4154" s="20" t="s">
        <v>7143</v>
      </c>
      <c r="B4154" s="20" t="s">
        <v>4378</v>
      </c>
      <c r="C4154" s="20"/>
      <c r="D4154" s="20" t="s">
        <v>339</v>
      </c>
      <c r="E4154" s="19" t="str">
        <f>VLOOKUP(D4154,'لیست پرسنل'!$B$2:$E$1020,3,FALSE)</f>
        <v>فکورصنعت</v>
      </c>
      <c r="F4154" s="19" t="str">
        <f>VLOOKUP(D4154,'لیست پرسنل'!$B$2:$E$1020,4,FALSE)</f>
        <v>سرپرست مهمانسراهای سیرجان</v>
      </c>
      <c r="G4154" s="127">
        <f>VLOOKUP(D4154,'لیست پرسنل'!$B$2:$F$1020,2,FALSE)</f>
        <v>990904</v>
      </c>
      <c r="H4154" s="128" t="s">
        <v>4977</v>
      </c>
      <c r="I4154" s="128"/>
      <c r="J4154" s="128" t="s">
        <v>5927</v>
      </c>
      <c r="K4154" s="128" t="s">
        <v>4998</v>
      </c>
      <c r="L4154" s="128" t="s">
        <v>4954</v>
      </c>
      <c r="M4154" s="128" t="s">
        <v>291</v>
      </c>
      <c r="N4154" s="108"/>
      <c r="O4154" s="20"/>
      <c r="P4154" s="20"/>
      <c r="Q4154" s="20"/>
    </row>
    <row r="4155" spans="1:17" ht="24.9" customHeight="1">
      <c r="A4155" s="20" t="s">
        <v>7143</v>
      </c>
      <c r="B4155" s="20" t="s">
        <v>4378</v>
      </c>
      <c r="C4155" s="20"/>
      <c r="D4155" s="20" t="s">
        <v>339</v>
      </c>
      <c r="E4155" s="19" t="str">
        <f>VLOOKUP(D4155,'لیست پرسنل'!$B$2:$E$1020,3,FALSE)</f>
        <v>فکورصنعت</v>
      </c>
      <c r="F4155" s="19" t="str">
        <f>VLOOKUP(D4155,'لیست پرسنل'!$B$2:$E$1020,4,FALSE)</f>
        <v>سرپرست مهمانسراهای سیرجان</v>
      </c>
      <c r="G4155" s="127">
        <f>VLOOKUP(D4155,'لیست پرسنل'!$B$2:$F$1020,2,FALSE)</f>
        <v>990904</v>
      </c>
      <c r="H4155" s="128" t="s">
        <v>4977</v>
      </c>
      <c r="I4155" s="128"/>
      <c r="J4155" s="128" t="s">
        <v>5927</v>
      </c>
      <c r="K4155" s="128" t="s">
        <v>4999</v>
      </c>
      <c r="L4155" s="128" t="s">
        <v>7734</v>
      </c>
      <c r="M4155" s="128" t="s">
        <v>291</v>
      </c>
      <c r="N4155" s="108"/>
      <c r="O4155" s="20"/>
      <c r="P4155" s="20"/>
      <c r="Q4155" s="20"/>
    </row>
    <row r="4156" spans="1:17" ht="24.9" customHeight="1">
      <c r="A4156" s="20" t="s">
        <v>7143</v>
      </c>
      <c r="B4156" s="20" t="s">
        <v>4378</v>
      </c>
      <c r="C4156" s="20"/>
      <c r="D4156" s="20" t="s">
        <v>339</v>
      </c>
      <c r="E4156" s="19" t="str">
        <f>VLOOKUP(D4156,'لیست پرسنل'!$B$2:$E$1020,3,FALSE)</f>
        <v>فکورصنعت</v>
      </c>
      <c r="F4156" s="19" t="str">
        <f>VLOOKUP(D4156,'لیست پرسنل'!$B$2:$E$1020,4,FALSE)</f>
        <v>سرپرست مهمانسراهای سیرجان</v>
      </c>
      <c r="G4156" s="127">
        <f>VLOOKUP(D4156,'لیست پرسنل'!$B$2:$F$1020,2,FALSE)</f>
        <v>990904</v>
      </c>
      <c r="H4156" s="128" t="s">
        <v>4977</v>
      </c>
      <c r="I4156" s="128"/>
      <c r="J4156" s="128" t="s">
        <v>5927</v>
      </c>
      <c r="K4156" s="128" t="s">
        <v>4999</v>
      </c>
      <c r="L4156" s="128" t="s">
        <v>7735</v>
      </c>
      <c r="M4156" s="128" t="s">
        <v>291</v>
      </c>
      <c r="N4156" s="108"/>
      <c r="O4156" s="20"/>
      <c r="P4156" s="20"/>
      <c r="Q4156" s="20"/>
    </row>
    <row r="4157" spans="1:17" ht="24.9" customHeight="1">
      <c r="A4157" s="20" t="s">
        <v>7143</v>
      </c>
      <c r="B4157" s="20" t="s">
        <v>4378</v>
      </c>
      <c r="C4157" s="20"/>
      <c r="D4157" s="20" t="s">
        <v>339</v>
      </c>
      <c r="E4157" s="19" t="str">
        <f>VLOOKUP(D4157,'لیست پرسنل'!$B$2:$E$1020,3,FALSE)</f>
        <v>فکورصنعت</v>
      </c>
      <c r="F4157" s="19" t="str">
        <f>VLOOKUP(D4157,'لیست پرسنل'!$B$2:$E$1020,4,FALSE)</f>
        <v>سرپرست مهمانسراهای سیرجان</v>
      </c>
      <c r="G4157" s="127">
        <f>VLOOKUP(D4157,'لیست پرسنل'!$B$2:$F$1020,2,FALSE)</f>
        <v>990904</v>
      </c>
      <c r="H4157" s="128" t="s">
        <v>4977</v>
      </c>
      <c r="I4157" s="128"/>
      <c r="J4157" s="128" t="s">
        <v>5927</v>
      </c>
      <c r="K4157" s="128" t="s">
        <v>4999</v>
      </c>
      <c r="L4157" s="128" t="s">
        <v>7736</v>
      </c>
      <c r="M4157" s="128" t="s">
        <v>291</v>
      </c>
      <c r="N4157" s="108"/>
      <c r="O4157" s="20"/>
      <c r="P4157" s="20"/>
      <c r="Q4157" s="20"/>
    </row>
    <row r="4158" spans="1:17" ht="24.9" customHeight="1">
      <c r="A4158" s="20" t="s">
        <v>7143</v>
      </c>
      <c r="B4158" s="20" t="s">
        <v>4378</v>
      </c>
      <c r="C4158" s="20"/>
      <c r="D4158" s="20" t="s">
        <v>339</v>
      </c>
      <c r="E4158" s="19" t="str">
        <f>VLOOKUP(D4158,'لیست پرسنل'!$B$2:$E$1020,3,FALSE)</f>
        <v>فکورصنعت</v>
      </c>
      <c r="F4158" s="19" t="str">
        <f>VLOOKUP(D4158,'لیست پرسنل'!$B$2:$E$1020,4,FALSE)</f>
        <v>سرپرست مهمانسراهای سیرجان</v>
      </c>
      <c r="G4158" s="127">
        <f>VLOOKUP(D4158,'لیست پرسنل'!$B$2:$F$1020,2,FALSE)</f>
        <v>990904</v>
      </c>
      <c r="H4158" s="128" t="s">
        <v>4977</v>
      </c>
      <c r="I4158" s="128"/>
      <c r="J4158" s="127" t="s">
        <v>5927</v>
      </c>
      <c r="K4158" s="128" t="s">
        <v>7479</v>
      </c>
      <c r="L4158" s="128" t="s">
        <v>7481</v>
      </c>
      <c r="M4158" s="128" t="s">
        <v>291</v>
      </c>
      <c r="N4158" s="108" t="s">
        <v>7490</v>
      </c>
      <c r="O4158" s="20"/>
      <c r="P4158" s="20"/>
      <c r="Q4158" s="20"/>
    </row>
    <row r="4159" spans="1:17" ht="24.9" customHeight="1">
      <c r="A4159" s="20" t="s">
        <v>7143</v>
      </c>
      <c r="B4159" s="20" t="s">
        <v>4378</v>
      </c>
      <c r="C4159" s="20"/>
      <c r="D4159" s="20" t="s">
        <v>339</v>
      </c>
      <c r="E4159" s="19" t="str">
        <f>VLOOKUP(D4159,'لیست پرسنل'!$B$2:$E$1020,3,FALSE)</f>
        <v>فکورصنعت</v>
      </c>
      <c r="F4159" s="19" t="str">
        <f>VLOOKUP(D4159,'لیست پرسنل'!$B$2:$E$1020,4,FALSE)</f>
        <v>سرپرست مهمانسراهای سیرجان</v>
      </c>
      <c r="G4159" s="127">
        <f>VLOOKUP(D4159,'لیست پرسنل'!$B$2:$F$1020,2,FALSE)</f>
        <v>990904</v>
      </c>
      <c r="H4159" s="128" t="s">
        <v>4977</v>
      </c>
      <c r="I4159" s="128"/>
      <c r="J4159" s="127" t="s">
        <v>5927</v>
      </c>
      <c r="K4159" s="128" t="s">
        <v>7479</v>
      </c>
      <c r="L4159" s="128" t="s">
        <v>7482</v>
      </c>
      <c r="M4159" s="128" t="s">
        <v>291</v>
      </c>
      <c r="N4159" s="108" t="s">
        <v>7491</v>
      </c>
      <c r="O4159" s="20"/>
      <c r="P4159" s="20"/>
      <c r="Q4159" s="20"/>
    </row>
    <row r="4160" spans="1:17" ht="24.9" customHeight="1">
      <c r="A4160" s="20" t="s">
        <v>7143</v>
      </c>
      <c r="B4160" s="20" t="s">
        <v>4378</v>
      </c>
      <c r="C4160" s="20"/>
      <c r="D4160" s="20" t="s">
        <v>339</v>
      </c>
      <c r="E4160" s="19" t="str">
        <f>VLOOKUP(D4160,'لیست پرسنل'!$B$2:$E$1020,3,FALSE)</f>
        <v>فکورصنعت</v>
      </c>
      <c r="F4160" s="19" t="str">
        <f>VLOOKUP(D4160,'لیست پرسنل'!$B$2:$E$1020,4,FALSE)</f>
        <v>سرپرست مهمانسراهای سیرجان</v>
      </c>
      <c r="G4160" s="127">
        <f>VLOOKUP(D4160,'لیست پرسنل'!$B$2:$F$1020,2,FALSE)</f>
        <v>990904</v>
      </c>
      <c r="H4160" s="128" t="s">
        <v>4977</v>
      </c>
      <c r="I4160" s="128"/>
      <c r="J4160" s="127" t="s">
        <v>5927</v>
      </c>
      <c r="K4160" s="128" t="s">
        <v>7479</v>
      </c>
      <c r="L4160" s="128" t="s">
        <v>7483</v>
      </c>
      <c r="M4160" s="128" t="s">
        <v>291</v>
      </c>
      <c r="N4160" s="108" t="s">
        <v>7492</v>
      </c>
      <c r="O4160" s="20"/>
      <c r="P4160" s="20"/>
      <c r="Q4160" s="20"/>
    </row>
    <row r="4161" spans="1:17" ht="24.9" customHeight="1">
      <c r="A4161" s="20" t="s">
        <v>7143</v>
      </c>
      <c r="B4161" s="20" t="s">
        <v>4378</v>
      </c>
      <c r="C4161" s="20"/>
      <c r="D4161" s="20" t="s">
        <v>339</v>
      </c>
      <c r="E4161" s="19" t="str">
        <f>VLOOKUP(D4161,'لیست پرسنل'!$B$2:$E$1020,3,FALSE)</f>
        <v>فکورصنعت</v>
      </c>
      <c r="F4161" s="19" t="str">
        <f>VLOOKUP(D4161,'لیست پرسنل'!$B$2:$E$1020,4,FALSE)</f>
        <v>سرپرست مهمانسراهای سیرجان</v>
      </c>
      <c r="G4161" s="127">
        <f>VLOOKUP(D4161,'لیست پرسنل'!$B$2:$F$1020,2,FALSE)</f>
        <v>990904</v>
      </c>
      <c r="H4161" s="128" t="s">
        <v>4977</v>
      </c>
      <c r="I4161" s="128"/>
      <c r="J4161" s="127" t="s">
        <v>5927</v>
      </c>
      <c r="K4161" s="128" t="s">
        <v>7479</v>
      </c>
      <c r="L4161" s="128" t="s">
        <v>7484</v>
      </c>
      <c r="M4161" s="128" t="s">
        <v>291</v>
      </c>
      <c r="N4161" s="108" t="s">
        <v>7493</v>
      </c>
      <c r="O4161" s="20"/>
      <c r="P4161" s="20"/>
      <c r="Q4161" s="20"/>
    </row>
    <row r="4162" spans="1:17" ht="24.9" customHeight="1">
      <c r="A4162" s="20" t="s">
        <v>7143</v>
      </c>
      <c r="B4162" s="20" t="s">
        <v>4378</v>
      </c>
      <c r="C4162" s="20"/>
      <c r="D4162" s="20" t="s">
        <v>339</v>
      </c>
      <c r="E4162" s="19" t="str">
        <f>VLOOKUP(D4162,'لیست پرسنل'!$B$2:$E$1020,3,FALSE)</f>
        <v>فکورصنعت</v>
      </c>
      <c r="F4162" s="19" t="str">
        <f>VLOOKUP(D4162,'لیست پرسنل'!$B$2:$E$1020,4,FALSE)</f>
        <v>سرپرست مهمانسراهای سیرجان</v>
      </c>
      <c r="G4162" s="127">
        <f>VLOOKUP(D4162,'لیست پرسنل'!$B$2:$F$1020,2,FALSE)</f>
        <v>990904</v>
      </c>
      <c r="H4162" s="130" t="s">
        <v>4977</v>
      </c>
      <c r="I4162" s="127"/>
      <c r="J4162" s="128" t="s">
        <v>3481</v>
      </c>
      <c r="K4162" s="128" t="s">
        <v>1185</v>
      </c>
      <c r="L4162" s="128"/>
      <c r="M4162" s="128" t="s">
        <v>704</v>
      </c>
      <c r="N4162" s="109"/>
      <c r="O4162" s="20"/>
      <c r="P4162" s="20"/>
      <c r="Q4162" s="20"/>
    </row>
    <row r="4163" spans="1:17" ht="24.9" customHeight="1">
      <c r="A4163" s="20" t="s">
        <v>7143</v>
      </c>
      <c r="B4163" s="20" t="s">
        <v>4378</v>
      </c>
      <c r="C4163" s="20"/>
      <c r="D4163" s="20" t="s">
        <v>339</v>
      </c>
      <c r="E4163" s="19" t="str">
        <f>VLOOKUP(D4163,'لیست پرسنل'!$B$2:$E$1020,3,FALSE)</f>
        <v>فکورصنعت</v>
      </c>
      <c r="F4163" s="19" t="str">
        <f>VLOOKUP(D4163,'لیست پرسنل'!$B$2:$E$1020,4,FALSE)</f>
        <v>سرپرست مهمانسراهای سیرجان</v>
      </c>
      <c r="G4163" s="127">
        <f>VLOOKUP(D4163,'لیست پرسنل'!$B$2:$F$1020,2,FALSE)</f>
        <v>990904</v>
      </c>
      <c r="H4163" s="128" t="s">
        <v>4977</v>
      </c>
      <c r="I4163" s="128"/>
      <c r="J4163" s="128" t="s">
        <v>3483</v>
      </c>
      <c r="K4163" s="128" t="s">
        <v>3232</v>
      </c>
      <c r="L4163" s="151"/>
      <c r="M4163" s="128">
        <v>627686</v>
      </c>
      <c r="N4163" s="108"/>
      <c r="O4163" s="20" t="s">
        <v>3946</v>
      </c>
      <c r="P4163" s="20"/>
      <c r="Q4163" s="20"/>
    </row>
    <row r="4164" spans="1:17" ht="24.9" customHeight="1">
      <c r="A4164" s="20" t="s">
        <v>7143</v>
      </c>
      <c r="B4164" s="20" t="s">
        <v>4378</v>
      </c>
      <c r="C4164" s="20"/>
      <c r="D4164" s="20" t="s">
        <v>339</v>
      </c>
      <c r="E4164" s="19" t="str">
        <f>VLOOKUP(D4164,'لیست پرسنل'!$B$2:$E$1020,3,FALSE)</f>
        <v>فکورصنعت</v>
      </c>
      <c r="F4164" s="19" t="str">
        <f>VLOOKUP(D4164,'لیست پرسنل'!$B$2:$E$1020,4,FALSE)</f>
        <v>سرپرست مهمانسراهای سیرجان</v>
      </c>
      <c r="G4164" s="127">
        <f>VLOOKUP(D4164,'لیست پرسنل'!$B$2:$F$1020,2,FALSE)</f>
        <v>990904</v>
      </c>
      <c r="H4164" s="128" t="s">
        <v>4977</v>
      </c>
      <c r="I4164" s="128"/>
      <c r="J4164" s="128" t="s">
        <v>3483</v>
      </c>
      <c r="K4164" s="128" t="s">
        <v>3483</v>
      </c>
      <c r="L4164" s="128" t="s">
        <v>6858</v>
      </c>
      <c r="M4164" s="128">
        <v>629750</v>
      </c>
      <c r="N4164" s="109"/>
      <c r="O4164" s="20"/>
      <c r="P4164" s="20"/>
      <c r="Q4164" s="20"/>
    </row>
    <row r="4165" spans="1:17" ht="24.9" customHeight="1">
      <c r="A4165" s="20" t="s">
        <v>7143</v>
      </c>
      <c r="B4165" s="20" t="s">
        <v>4378</v>
      </c>
      <c r="C4165" s="20"/>
      <c r="D4165" s="20" t="s">
        <v>339</v>
      </c>
      <c r="E4165" s="19" t="str">
        <f>VLOOKUP(D4165,'لیست پرسنل'!$B$2:$E$1020,3,FALSE)</f>
        <v>فکورصنعت</v>
      </c>
      <c r="F4165" s="19" t="str">
        <f>VLOOKUP(D4165,'لیست پرسنل'!$B$2:$E$1020,4,FALSE)</f>
        <v>سرپرست مهمانسراهای سیرجان</v>
      </c>
      <c r="G4165" s="127">
        <f>VLOOKUP(D4165,'لیست پرسنل'!$B$2:$F$1020,2,FALSE)</f>
        <v>990904</v>
      </c>
      <c r="H4165" s="128" t="s">
        <v>4977</v>
      </c>
      <c r="I4165" s="128"/>
      <c r="J4165" s="128" t="s">
        <v>3285</v>
      </c>
      <c r="K4165" s="135" t="s">
        <v>1751</v>
      </c>
      <c r="L4165" s="154" t="s">
        <v>1728</v>
      </c>
      <c r="M4165" s="135">
        <v>625677</v>
      </c>
      <c r="N4165" s="108"/>
      <c r="O4165" s="20" t="s">
        <v>4980</v>
      </c>
      <c r="P4165" s="20"/>
      <c r="Q4165" s="20"/>
    </row>
    <row r="4166" spans="1:17" ht="24.9" customHeight="1">
      <c r="A4166" s="20" t="s">
        <v>7143</v>
      </c>
      <c r="B4166" s="20" t="s">
        <v>4378</v>
      </c>
      <c r="C4166" s="20"/>
      <c r="D4166" s="20" t="s">
        <v>339</v>
      </c>
      <c r="E4166" s="19" t="str">
        <f>VLOOKUP(D4166,'لیست پرسنل'!$B$2:$E$1020,3,FALSE)</f>
        <v>فکورصنعت</v>
      </c>
      <c r="F4166" s="19" t="str">
        <f>VLOOKUP(D4166,'لیست پرسنل'!$B$2:$E$1020,4,FALSE)</f>
        <v>سرپرست مهمانسراهای سیرجان</v>
      </c>
      <c r="G4166" s="127">
        <f>VLOOKUP(D4166,'لیست پرسنل'!$B$2:$F$1020,2,FALSE)</f>
        <v>990904</v>
      </c>
      <c r="H4166" s="128" t="s">
        <v>4977</v>
      </c>
      <c r="I4166" s="128"/>
      <c r="J4166" s="128" t="s">
        <v>3476</v>
      </c>
      <c r="K4166" s="128" t="s">
        <v>5065</v>
      </c>
      <c r="L4166" s="128" t="s">
        <v>4232</v>
      </c>
      <c r="M4166" s="128">
        <v>621865</v>
      </c>
      <c r="N4166" s="109" t="s">
        <v>6859</v>
      </c>
      <c r="O4166" s="20" t="s">
        <v>5074</v>
      </c>
      <c r="P4166" s="20"/>
      <c r="Q4166" s="20"/>
    </row>
    <row r="4167" spans="1:17" ht="24.9" customHeight="1">
      <c r="A4167" s="20" t="s">
        <v>7143</v>
      </c>
      <c r="B4167" s="20" t="s">
        <v>4378</v>
      </c>
      <c r="C4167" s="20"/>
      <c r="D4167" s="20" t="s">
        <v>339</v>
      </c>
      <c r="E4167" s="19" t="str">
        <f>VLOOKUP(D4167,'لیست پرسنل'!$B$2:$E$1020,3,FALSE)</f>
        <v>فکورصنعت</v>
      </c>
      <c r="F4167" s="19" t="str">
        <f>VLOOKUP(D4167,'لیست پرسنل'!$B$2:$E$1020,4,FALSE)</f>
        <v>سرپرست مهمانسراهای سیرجان</v>
      </c>
      <c r="G4167" s="127">
        <f>VLOOKUP(D4167,'لیست پرسنل'!$B$2:$F$1020,2,FALSE)</f>
        <v>990904</v>
      </c>
      <c r="H4167" s="128" t="s">
        <v>4977</v>
      </c>
      <c r="I4167" s="128"/>
      <c r="J4167" s="128" t="s">
        <v>3476</v>
      </c>
      <c r="K4167" s="171" t="s">
        <v>1750</v>
      </c>
      <c r="L4167" s="154" t="s">
        <v>1734</v>
      </c>
      <c r="M4167" s="135">
        <v>625684</v>
      </c>
      <c r="N4167" s="108"/>
      <c r="O4167" s="20" t="s">
        <v>4980</v>
      </c>
      <c r="P4167" s="20"/>
      <c r="Q4167" s="20"/>
    </row>
    <row r="4168" spans="1:17" ht="24.9" customHeight="1">
      <c r="A4168" s="20" t="s">
        <v>7143</v>
      </c>
      <c r="B4168" s="20" t="s">
        <v>4378</v>
      </c>
      <c r="C4168" s="20"/>
      <c r="D4168" s="20" t="s">
        <v>339</v>
      </c>
      <c r="E4168" s="19" t="str">
        <f>VLOOKUP(D4168,'لیست پرسنل'!$B$2:$E$1020,3,FALSE)</f>
        <v>فکورصنعت</v>
      </c>
      <c r="F4168" s="19" t="str">
        <f>VLOOKUP(D4168,'لیست پرسنل'!$B$2:$E$1020,4,FALSE)</f>
        <v>سرپرست مهمانسراهای سیرجان</v>
      </c>
      <c r="G4168" s="127">
        <f>VLOOKUP(D4168,'لیست پرسنل'!$B$2:$F$1020,2,FALSE)</f>
        <v>990904</v>
      </c>
      <c r="H4168" s="128" t="s">
        <v>4977</v>
      </c>
      <c r="I4168" s="128"/>
      <c r="J4168" s="128" t="s">
        <v>3476</v>
      </c>
      <c r="K4168" s="128" t="s">
        <v>2872</v>
      </c>
      <c r="L4168" s="128" t="s">
        <v>2876</v>
      </c>
      <c r="M4168" s="128">
        <v>626749</v>
      </c>
      <c r="N4168" s="108"/>
      <c r="O4168" s="20" t="s">
        <v>705</v>
      </c>
      <c r="P4168" s="20"/>
      <c r="Q4168" s="20"/>
    </row>
    <row r="4169" spans="1:17" ht="24.9" customHeight="1">
      <c r="A4169" s="20" t="s">
        <v>7143</v>
      </c>
      <c r="B4169" s="20" t="s">
        <v>4378</v>
      </c>
      <c r="C4169" s="20"/>
      <c r="D4169" s="20" t="s">
        <v>339</v>
      </c>
      <c r="E4169" s="19" t="str">
        <f>VLOOKUP(D4169,'لیست پرسنل'!$B$2:$E$1020,3,FALSE)</f>
        <v>فکورصنعت</v>
      </c>
      <c r="F4169" s="19" t="str">
        <f>VLOOKUP(D4169,'لیست پرسنل'!$B$2:$E$1020,4,FALSE)</f>
        <v>سرپرست مهمانسراهای سیرجان</v>
      </c>
      <c r="G4169" s="127">
        <f>VLOOKUP(D4169,'لیست پرسنل'!$B$2:$F$1020,2,FALSE)</f>
        <v>990904</v>
      </c>
      <c r="H4169" s="130" t="s">
        <v>4977</v>
      </c>
      <c r="I4169" s="128"/>
      <c r="J4169" s="128" t="s">
        <v>5304</v>
      </c>
      <c r="K4169" s="130" t="s">
        <v>5305</v>
      </c>
      <c r="L4169" s="127"/>
      <c r="M4169" s="130">
        <v>605085</v>
      </c>
      <c r="N4169" s="109"/>
      <c r="O4169" s="19"/>
      <c r="P4169" s="32"/>
      <c r="Q4169" s="32"/>
    </row>
    <row r="4170" spans="1:17" ht="24.9" customHeight="1">
      <c r="A4170" s="20" t="s">
        <v>7143</v>
      </c>
      <c r="B4170" s="20" t="s">
        <v>4378</v>
      </c>
      <c r="C4170" s="19"/>
      <c r="D4170" s="20" t="s">
        <v>339</v>
      </c>
      <c r="E4170" s="19" t="str">
        <f>VLOOKUP(D4170,'لیست پرسنل'!$B$2:$E$1020,3,FALSE)</f>
        <v>فکورصنعت</v>
      </c>
      <c r="F4170" s="19" t="str">
        <f>VLOOKUP(D4170,'لیست پرسنل'!$B$2:$E$1020,4,FALSE)</f>
        <v>سرپرست مهمانسراهای سیرجان</v>
      </c>
      <c r="G4170" s="127">
        <f>VLOOKUP(D4170,'لیست پرسنل'!$B$2:$F$1020,2,FALSE)</f>
        <v>990904</v>
      </c>
      <c r="H4170" s="128" t="s">
        <v>4977</v>
      </c>
      <c r="I4170" s="127"/>
      <c r="J4170" s="128" t="s">
        <v>5304</v>
      </c>
      <c r="K4170" s="128" t="s">
        <v>5481</v>
      </c>
      <c r="L4170" s="127"/>
      <c r="M4170" s="128" t="s">
        <v>291</v>
      </c>
      <c r="N4170" s="111"/>
      <c r="O4170" s="99" t="s">
        <v>5483</v>
      </c>
      <c r="P4170" s="28"/>
      <c r="Q4170" s="28"/>
    </row>
    <row r="4171" spans="1:17" ht="24.9" customHeight="1">
      <c r="A4171" s="20" t="s">
        <v>7143</v>
      </c>
      <c r="B4171" s="20" t="s">
        <v>4378</v>
      </c>
      <c r="C4171" s="19"/>
      <c r="D4171" s="20" t="s">
        <v>339</v>
      </c>
      <c r="E4171" s="19" t="str">
        <f>VLOOKUP(D4171,'لیست پرسنل'!$B$2:$E$1020,3,FALSE)</f>
        <v>فکورصنعت</v>
      </c>
      <c r="F4171" s="19" t="str">
        <f>VLOOKUP(D4171,'لیست پرسنل'!$B$2:$E$1020,4,FALSE)</f>
        <v>سرپرست مهمانسراهای سیرجان</v>
      </c>
      <c r="G4171" s="127">
        <f>VLOOKUP(D4171,'لیست پرسنل'!$B$2:$F$1020,2,FALSE)</f>
        <v>990904</v>
      </c>
      <c r="H4171" s="128" t="s">
        <v>4977</v>
      </c>
      <c r="I4171" s="127"/>
      <c r="J4171" s="128" t="s">
        <v>5304</v>
      </c>
      <c r="K4171" s="128" t="s">
        <v>5481</v>
      </c>
      <c r="L4171" s="127"/>
      <c r="M4171" s="128" t="s">
        <v>291</v>
      </c>
      <c r="N4171" s="111"/>
      <c r="O4171" s="99" t="s">
        <v>5493</v>
      </c>
      <c r="P4171" s="28"/>
      <c r="Q4171" s="28"/>
    </row>
    <row r="4172" spans="1:17" ht="24.9" customHeight="1">
      <c r="A4172" s="20" t="s">
        <v>7143</v>
      </c>
      <c r="B4172" s="20" t="s">
        <v>4378</v>
      </c>
      <c r="C4172" s="19"/>
      <c r="D4172" s="20" t="s">
        <v>339</v>
      </c>
      <c r="E4172" s="19" t="str">
        <f>VLOOKUP(D4172,'لیست پرسنل'!$B$2:$E$1020,3,FALSE)</f>
        <v>فکورصنعت</v>
      </c>
      <c r="F4172" s="19" t="str">
        <f>VLOOKUP(D4172,'لیست پرسنل'!$B$2:$E$1020,4,FALSE)</f>
        <v>سرپرست مهمانسراهای سیرجان</v>
      </c>
      <c r="G4172" s="127">
        <f>VLOOKUP(D4172,'لیست پرسنل'!$B$2:$F$1020,2,FALSE)</f>
        <v>990904</v>
      </c>
      <c r="H4172" s="128" t="s">
        <v>4977</v>
      </c>
      <c r="I4172" s="127"/>
      <c r="J4172" s="128" t="s">
        <v>5304</v>
      </c>
      <c r="K4172" s="128" t="s">
        <v>5481</v>
      </c>
      <c r="L4172" s="127"/>
      <c r="M4172" s="128" t="s">
        <v>291</v>
      </c>
      <c r="N4172" s="111"/>
      <c r="O4172" s="99" t="s">
        <v>5493</v>
      </c>
      <c r="P4172" s="28"/>
      <c r="Q4172" s="28"/>
    </row>
    <row r="4173" spans="1:17" ht="24.9" customHeight="1">
      <c r="A4173" s="20" t="s">
        <v>7143</v>
      </c>
      <c r="B4173" s="20" t="s">
        <v>4378</v>
      </c>
      <c r="C4173" s="19"/>
      <c r="D4173" s="20" t="s">
        <v>339</v>
      </c>
      <c r="E4173" s="19" t="str">
        <f>VLOOKUP(D4173,'لیست پرسنل'!$B$2:$E$1020,3,FALSE)</f>
        <v>فکورصنعت</v>
      </c>
      <c r="F4173" s="19" t="str">
        <f>VLOOKUP(D4173,'لیست پرسنل'!$B$2:$E$1020,4,FALSE)</f>
        <v>سرپرست مهمانسراهای سیرجان</v>
      </c>
      <c r="G4173" s="127">
        <f>VLOOKUP(D4173,'لیست پرسنل'!$B$2:$F$1020,2,FALSE)</f>
        <v>990904</v>
      </c>
      <c r="H4173" s="128" t="s">
        <v>4977</v>
      </c>
      <c r="I4173" s="127"/>
      <c r="J4173" s="128" t="s">
        <v>5304</v>
      </c>
      <c r="K4173" s="128" t="s">
        <v>5481</v>
      </c>
      <c r="L4173" s="127"/>
      <c r="M4173" s="128" t="s">
        <v>291</v>
      </c>
      <c r="N4173" s="111"/>
      <c r="O4173" s="99" t="s">
        <v>5493</v>
      </c>
      <c r="P4173" s="28"/>
      <c r="Q4173" s="28"/>
    </row>
    <row r="4174" spans="1:17" ht="24.9" customHeight="1">
      <c r="A4174" s="20" t="s">
        <v>7143</v>
      </c>
      <c r="B4174" s="20" t="s">
        <v>4378</v>
      </c>
      <c r="C4174" s="19"/>
      <c r="D4174" s="20" t="s">
        <v>339</v>
      </c>
      <c r="E4174" s="19" t="str">
        <f>VLOOKUP(D4174,'لیست پرسنل'!$B$2:$E$1020,3,FALSE)</f>
        <v>فکورصنعت</v>
      </c>
      <c r="F4174" s="19" t="str">
        <f>VLOOKUP(D4174,'لیست پرسنل'!$B$2:$E$1020,4,FALSE)</f>
        <v>سرپرست مهمانسراهای سیرجان</v>
      </c>
      <c r="G4174" s="127">
        <f>VLOOKUP(D4174,'لیست پرسنل'!$B$2:$F$1020,2,FALSE)</f>
        <v>990904</v>
      </c>
      <c r="H4174" s="128" t="s">
        <v>4977</v>
      </c>
      <c r="I4174" s="127"/>
      <c r="J4174" s="128" t="s">
        <v>5304</v>
      </c>
      <c r="K4174" s="128" t="s">
        <v>5481</v>
      </c>
      <c r="L4174" s="127"/>
      <c r="M4174" s="128" t="s">
        <v>291</v>
      </c>
      <c r="N4174" s="111"/>
      <c r="O4174" s="99" t="s">
        <v>5493</v>
      </c>
      <c r="P4174" s="28"/>
      <c r="Q4174" s="28"/>
    </row>
    <row r="4175" spans="1:17" ht="24.9" customHeight="1">
      <c r="A4175" s="20" t="s">
        <v>7143</v>
      </c>
      <c r="B4175" s="20" t="s">
        <v>4378</v>
      </c>
      <c r="C4175" s="19"/>
      <c r="D4175" s="20" t="s">
        <v>339</v>
      </c>
      <c r="E4175" s="19" t="str">
        <f>VLOOKUP(D4175,'لیست پرسنل'!$B$2:$E$1020,3,FALSE)</f>
        <v>فکورصنعت</v>
      </c>
      <c r="F4175" s="19" t="str">
        <f>VLOOKUP(D4175,'لیست پرسنل'!$B$2:$E$1020,4,FALSE)</f>
        <v>سرپرست مهمانسراهای سیرجان</v>
      </c>
      <c r="G4175" s="127">
        <f>VLOOKUP(D4175,'لیست پرسنل'!$B$2:$F$1020,2,FALSE)</f>
        <v>990904</v>
      </c>
      <c r="H4175" s="128" t="s">
        <v>4977</v>
      </c>
      <c r="I4175" s="127"/>
      <c r="J4175" s="128" t="s">
        <v>5304</v>
      </c>
      <c r="K4175" s="128" t="s">
        <v>5481</v>
      </c>
      <c r="L4175" s="127"/>
      <c r="M4175" s="128" t="s">
        <v>291</v>
      </c>
      <c r="N4175" s="111"/>
      <c r="O4175" s="99" t="s">
        <v>5493</v>
      </c>
      <c r="P4175" s="28"/>
      <c r="Q4175" s="28"/>
    </row>
    <row r="4176" spans="1:17" ht="24.9" customHeight="1">
      <c r="A4176" s="20" t="s">
        <v>7143</v>
      </c>
      <c r="B4176" s="20" t="s">
        <v>4378</v>
      </c>
      <c r="C4176" s="19"/>
      <c r="D4176" s="20" t="s">
        <v>339</v>
      </c>
      <c r="E4176" s="19" t="str">
        <f>VLOOKUP(D4176,'لیست پرسنل'!$B$2:$E$1020,3,FALSE)</f>
        <v>فکورصنعت</v>
      </c>
      <c r="F4176" s="19" t="str">
        <f>VLOOKUP(D4176,'لیست پرسنل'!$B$2:$E$1020,4,FALSE)</f>
        <v>سرپرست مهمانسراهای سیرجان</v>
      </c>
      <c r="G4176" s="127">
        <f>VLOOKUP(D4176,'لیست پرسنل'!$B$2:$F$1020,2,FALSE)</f>
        <v>990904</v>
      </c>
      <c r="H4176" s="128" t="s">
        <v>4977</v>
      </c>
      <c r="I4176" s="127"/>
      <c r="J4176" s="128" t="s">
        <v>5304</v>
      </c>
      <c r="K4176" s="128" t="s">
        <v>5481</v>
      </c>
      <c r="L4176" s="127"/>
      <c r="M4176" s="128" t="s">
        <v>291</v>
      </c>
      <c r="N4176" s="111"/>
      <c r="O4176" s="99" t="s">
        <v>5493</v>
      </c>
      <c r="P4176" s="28"/>
      <c r="Q4176" s="28"/>
    </row>
    <row r="4177" spans="1:17" ht="24.9" customHeight="1">
      <c r="A4177" s="20" t="s">
        <v>7143</v>
      </c>
      <c r="B4177" s="20" t="s">
        <v>4378</v>
      </c>
      <c r="C4177" s="19"/>
      <c r="D4177" s="20" t="s">
        <v>339</v>
      </c>
      <c r="E4177" s="19" t="str">
        <f>VLOOKUP(D4177,'لیست پرسنل'!$B$2:$E$1020,3,FALSE)</f>
        <v>فکورصنعت</v>
      </c>
      <c r="F4177" s="19" t="str">
        <f>VLOOKUP(D4177,'لیست پرسنل'!$B$2:$E$1020,4,FALSE)</f>
        <v>سرپرست مهمانسراهای سیرجان</v>
      </c>
      <c r="G4177" s="127">
        <f>VLOOKUP(D4177,'لیست پرسنل'!$B$2:$F$1020,2,FALSE)</f>
        <v>990904</v>
      </c>
      <c r="H4177" s="128" t="s">
        <v>4977</v>
      </c>
      <c r="I4177" s="127"/>
      <c r="J4177" s="128" t="s">
        <v>5304</v>
      </c>
      <c r="K4177" s="128" t="s">
        <v>5481</v>
      </c>
      <c r="L4177" s="127"/>
      <c r="M4177" s="128" t="s">
        <v>291</v>
      </c>
      <c r="N4177" s="111"/>
      <c r="O4177" s="99" t="s">
        <v>5493</v>
      </c>
      <c r="P4177" s="28"/>
      <c r="Q4177" s="28"/>
    </row>
    <row r="4178" spans="1:17" ht="24.9" customHeight="1">
      <c r="A4178" s="20" t="s">
        <v>7143</v>
      </c>
      <c r="B4178" s="20" t="s">
        <v>4378</v>
      </c>
      <c r="C4178" s="19"/>
      <c r="D4178" s="20" t="s">
        <v>339</v>
      </c>
      <c r="E4178" s="19" t="str">
        <f>VLOOKUP(D4178,'لیست پرسنل'!$B$2:$E$1020,3,FALSE)</f>
        <v>فکورصنعت</v>
      </c>
      <c r="F4178" s="19" t="str">
        <f>VLOOKUP(D4178,'لیست پرسنل'!$B$2:$E$1020,4,FALSE)</f>
        <v>سرپرست مهمانسراهای سیرجان</v>
      </c>
      <c r="G4178" s="127">
        <f>VLOOKUP(D4178,'لیست پرسنل'!$B$2:$F$1020,2,FALSE)</f>
        <v>990904</v>
      </c>
      <c r="H4178" s="128" t="s">
        <v>4977</v>
      </c>
      <c r="I4178" s="127"/>
      <c r="J4178" s="128" t="s">
        <v>5304</v>
      </c>
      <c r="K4178" s="128" t="s">
        <v>5481</v>
      </c>
      <c r="L4178" s="127"/>
      <c r="M4178" s="128" t="s">
        <v>291</v>
      </c>
      <c r="N4178" s="111"/>
      <c r="O4178" s="99" t="s">
        <v>5493</v>
      </c>
      <c r="P4178" s="28"/>
      <c r="Q4178" s="28"/>
    </row>
    <row r="4179" spans="1:17" ht="24.9" customHeight="1">
      <c r="A4179" s="20" t="s">
        <v>7143</v>
      </c>
      <c r="B4179" s="20" t="s">
        <v>4378</v>
      </c>
      <c r="C4179" s="19"/>
      <c r="D4179" s="20" t="s">
        <v>339</v>
      </c>
      <c r="E4179" s="19" t="str">
        <f>VLOOKUP(D4179,'لیست پرسنل'!$B$2:$E$1020,3,FALSE)</f>
        <v>فکورصنعت</v>
      </c>
      <c r="F4179" s="19" t="str">
        <f>VLOOKUP(D4179,'لیست پرسنل'!$B$2:$E$1020,4,FALSE)</f>
        <v>سرپرست مهمانسراهای سیرجان</v>
      </c>
      <c r="G4179" s="127">
        <f>VLOOKUP(D4179,'لیست پرسنل'!$B$2:$F$1020,2,FALSE)</f>
        <v>990904</v>
      </c>
      <c r="H4179" s="128" t="s">
        <v>4977</v>
      </c>
      <c r="I4179" s="127"/>
      <c r="J4179" s="128" t="s">
        <v>5304</v>
      </c>
      <c r="K4179" s="128" t="s">
        <v>5481</v>
      </c>
      <c r="L4179" s="127"/>
      <c r="M4179" s="128" t="s">
        <v>291</v>
      </c>
      <c r="N4179" s="111"/>
      <c r="O4179" s="99" t="s">
        <v>5493</v>
      </c>
      <c r="P4179" s="28"/>
      <c r="Q4179" s="28"/>
    </row>
    <row r="4180" spans="1:17" ht="24.9" customHeight="1">
      <c r="A4180" s="20" t="s">
        <v>7143</v>
      </c>
      <c r="B4180" s="20" t="s">
        <v>4378</v>
      </c>
      <c r="C4180" s="19"/>
      <c r="D4180" s="20" t="s">
        <v>339</v>
      </c>
      <c r="E4180" s="19" t="str">
        <f>VLOOKUP(D4180,'لیست پرسنل'!$B$2:$E$1020,3,FALSE)</f>
        <v>فکورصنعت</v>
      </c>
      <c r="F4180" s="19" t="str">
        <f>VLOOKUP(D4180,'لیست پرسنل'!$B$2:$E$1020,4,FALSE)</f>
        <v>سرپرست مهمانسراهای سیرجان</v>
      </c>
      <c r="G4180" s="127">
        <f>VLOOKUP(D4180,'لیست پرسنل'!$B$2:$F$1020,2,FALSE)</f>
        <v>990904</v>
      </c>
      <c r="H4180" s="128" t="s">
        <v>4977</v>
      </c>
      <c r="I4180" s="127"/>
      <c r="J4180" s="128" t="s">
        <v>5304</v>
      </c>
      <c r="K4180" s="128" t="s">
        <v>5481</v>
      </c>
      <c r="L4180" s="127"/>
      <c r="M4180" s="128" t="s">
        <v>291</v>
      </c>
      <c r="N4180" s="111"/>
      <c r="O4180" s="99" t="s">
        <v>5494</v>
      </c>
      <c r="P4180" s="28"/>
      <c r="Q4180" s="28"/>
    </row>
    <row r="4181" spans="1:17" ht="24.9" customHeight="1">
      <c r="A4181" s="20" t="s">
        <v>7143</v>
      </c>
      <c r="B4181" s="20" t="s">
        <v>4378</v>
      </c>
      <c r="C4181" s="19"/>
      <c r="D4181" s="20" t="s">
        <v>339</v>
      </c>
      <c r="E4181" s="19" t="str">
        <f>VLOOKUP(D4181,'لیست پرسنل'!$B$2:$E$1020,3,FALSE)</f>
        <v>فکورصنعت</v>
      </c>
      <c r="F4181" s="19" t="str">
        <f>VLOOKUP(D4181,'لیست پرسنل'!$B$2:$E$1020,4,FALSE)</f>
        <v>سرپرست مهمانسراهای سیرجان</v>
      </c>
      <c r="G4181" s="127">
        <f>VLOOKUP(D4181,'لیست پرسنل'!$B$2:$F$1020,2,FALSE)</f>
        <v>990904</v>
      </c>
      <c r="H4181" s="128" t="s">
        <v>4977</v>
      </c>
      <c r="I4181" s="127"/>
      <c r="J4181" s="128" t="s">
        <v>5304</v>
      </c>
      <c r="K4181" s="128" t="s">
        <v>5481</v>
      </c>
      <c r="L4181" s="127"/>
      <c r="M4181" s="128" t="s">
        <v>291</v>
      </c>
      <c r="N4181" s="111"/>
      <c r="O4181" s="99" t="s">
        <v>5482</v>
      </c>
      <c r="P4181" s="28"/>
      <c r="Q4181" s="28"/>
    </row>
    <row r="4182" spans="1:17" ht="24.9" customHeight="1">
      <c r="A4182" s="20" t="s">
        <v>7143</v>
      </c>
      <c r="B4182" s="20" t="s">
        <v>4378</v>
      </c>
      <c r="C4182" s="20"/>
      <c r="D4182" s="20" t="s">
        <v>339</v>
      </c>
      <c r="E4182" s="19" t="str">
        <f>VLOOKUP(D4182,'لیست پرسنل'!$B$2:$E$1020,3,FALSE)</f>
        <v>فکورصنعت</v>
      </c>
      <c r="F4182" s="19" t="str">
        <f>VLOOKUP(D4182,'لیست پرسنل'!$B$2:$E$1020,4,FALSE)</f>
        <v>سرپرست مهمانسراهای سیرجان</v>
      </c>
      <c r="G4182" s="127">
        <f>VLOOKUP(D4182,'لیست پرسنل'!$B$2:$F$1020,2,FALSE)</f>
        <v>990904</v>
      </c>
      <c r="H4182" s="130" t="s">
        <v>2563</v>
      </c>
      <c r="I4182" s="128"/>
      <c r="J4182" s="128" t="s">
        <v>3322</v>
      </c>
      <c r="K4182" s="128" t="s">
        <v>4981</v>
      </c>
      <c r="L4182" s="128" t="s">
        <v>7761</v>
      </c>
      <c r="M4182" s="128" t="s">
        <v>291</v>
      </c>
      <c r="N4182" s="109"/>
      <c r="O4182" s="86"/>
      <c r="P4182" s="20"/>
      <c r="Q4182" s="20"/>
    </row>
    <row r="4183" spans="1:17" ht="24.9" customHeight="1">
      <c r="A4183" s="20" t="s">
        <v>7143</v>
      </c>
      <c r="B4183" s="20" t="s">
        <v>4378</v>
      </c>
      <c r="C4183" s="20"/>
      <c r="D4183" s="20" t="s">
        <v>339</v>
      </c>
      <c r="E4183" s="19" t="str">
        <f>VLOOKUP(D4183,'لیست پرسنل'!$B$2:$E$1020,3,FALSE)</f>
        <v>فکورصنعت</v>
      </c>
      <c r="F4183" s="19" t="str">
        <f>VLOOKUP(D4183,'لیست پرسنل'!$B$2:$E$1020,4,FALSE)</f>
        <v>سرپرست مهمانسراهای سیرجان</v>
      </c>
      <c r="G4183" s="127">
        <f>VLOOKUP(D4183,'لیست پرسنل'!$B$2:$F$1020,2,FALSE)</f>
        <v>990904</v>
      </c>
      <c r="H4183" s="130" t="s">
        <v>2563</v>
      </c>
      <c r="I4183" s="128"/>
      <c r="J4183" s="128" t="s">
        <v>3145</v>
      </c>
      <c r="K4183" s="128" t="s">
        <v>5396</v>
      </c>
      <c r="L4183" s="151" t="s">
        <v>5398</v>
      </c>
      <c r="M4183" s="128">
        <v>631552</v>
      </c>
      <c r="N4183" s="108"/>
      <c r="O4183" s="20"/>
      <c r="P4183" s="20"/>
      <c r="Q4183" s="20"/>
    </row>
    <row r="4184" spans="1:17" ht="24.9" customHeight="1">
      <c r="A4184" s="20" t="s">
        <v>7143</v>
      </c>
      <c r="B4184" s="20" t="s">
        <v>4378</v>
      </c>
      <c r="C4184" s="20"/>
      <c r="D4184" s="20" t="s">
        <v>339</v>
      </c>
      <c r="E4184" s="19" t="str">
        <f>VLOOKUP(D4184,'لیست پرسنل'!$B$2:$E$1020,3,FALSE)</f>
        <v>فکورصنعت</v>
      </c>
      <c r="F4184" s="19" t="str">
        <f>VLOOKUP(D4184,'لیست پرسنل'!$B$2:$E$1020,4,FALSE)</f>
        <v>سرپرست مهمانسراهای سیرجان</v>
      </c>
      <c r="G4184" s="127">
        <f>VLOOKUP(D4184,'لیست پرسنل'!$B$2:$F$1020,2,FALSE)</f>
        <v>990904</v>
      </c>
      <c r="H4184" s="130" t="s">
        <v>2563</v>
      </c>
      <c r="I4184" s="128"/>
      <c r="J4184" s="128" t="s">
        <v>3532</v>
      </c>
      <c r="K4184" s="128" t="s">
        <v>2221</v>
      </c>
      <c r="L4184" s="127" t="s">
        <v>2220</v>
      </c>
      <c r="M4184" s="127">
        <v>633786</v>
      </c>
      <c r="N4184" s="109"/>
      <c r="O4184" s="19" t="s">
        <v>6432</v>
      </c>
      <c r="P4184" s="32"/>
      <c r="Q4184" s="32"/>
    </row>
    <row r="4185" spans="1:17" ht="24.9" customHeight="1">
      <c r="A4185" s="20" t="s">
        <v>7143</v>
      </c>
      <c r="B4185" s="20" t="s">
        <v>4378</v>
      </c>
      <c r="C4185" s="20"/>
      <c r="D4185" s="20" t="s">
        <v>339</v>
      </c>
      <c r="E4185" s="19" t="str">
        <f>VLOOKUP(D4185,'لیست پرسنل'!$B$2:$E$1020,3,FALSE)</f>
        <v>فکورصنعت</v>
      </c>
      <c r="F4185" s="19" t="str">
        <f>VLOOKUP(D4185,'لیست پرسنل'!$B$2:$E$1020,4,FALSE)</f>
        <v>سرپرست مهمانسراهای سیرجان</v>
      </c>
      <c r="G4185" s="127">
        <f>VLOOKUP(D4185,'لیست پرسنل'!$B$2:$F$1020,2,FALSE)</f>
        <v>990904</v>
      </c>
      <c r="H4185" s="130" t="s">
        <v>2563</v>
      </c>
      <c r="I4185" s="128"/>
      <c r="J4185" s="128" t="s">
        <v>3532</v>
      </c>
      <c r="K4185" s="135" t="s">
        <v>1620</v>
      </c>
      <c r="L4185" s="151" t="s">
        <v>3675</v>
      </c>
      <c r="M4185" s="128" t="s">
        <v>704</v>
      </c>
      <c r="N4185" s="108"/>
      <c r="O4185" s="20"/>
      <c r="P4185" s="20"/>
      <c r="Q4185" s="20"/>
    </row>
    <row r="4186" spans="1:17" ht="24.9" customHeight="1">
      <c r="A4186" s="20" t="s">
        <v>7143</v>
      </c>
      <c r="B4186" s="20" t="s">
        <v>4378</v>
      </c>
      <c r="C4186" s="20"/>
      <c r="D4186" s="20" t="s">
        <v>339</v>
      </c>
      <c r="E4186" s="19" t="str">
        <f>VLOOKUP(D4186,'لیست پرسنل'!$B$2:$E$1020,3,FALSE)</f>
        <v>فکورصنعت</v>
      </c>
      <c r="F4186" s="19" t="str">
        <f>VLOOKUP(D4186,'لیست پرسنل'!$B$2:$E$1020,4,FALSE)</f>
        <v>سرپرست مهمانسراهای سیرجان</v>
      </c>
      <c r="G4186" s="127">
        <f>VLOOKUP(D4186,'لیست پرسنل'!$B$2:$F$1020,2,FALSE)</f>
        <v>990904</v>
      </c>
      <c r="H4186" s="130" t="s">
        <v>2563</v>
      </c>
      <c r="I4186" s="128"/>
      <c r="J4186" s="128" t="s">
        <v>3532</v>
      </c>
      <c r="K4186" s="135" t="s">
        <v>1620</v>
      </c>
      <c r="L4186" s="151"/>
      <c r="M4186" s="128" t="s">
        <v>704</v>
      </c>
      <c r="N4186" s="108"/>
      <c r="O4186" s="20"/>
      <c r="P4186" s="20"/>
      <c r="Q4186" s="20"/>
    </row>
    <row r="4187" spans="1:17" ht="24.9" customHeight="1">
      <c r="A4187" s="20" t="s">
        <v>7143</v>
      </c>
      <c r="B4187" s="20" t="s">
        <v>4378</v>
      </c>
      <c r="C4187" s="20"/>
      <c r="D4187" s="20" t="s">
        <v>339</v>
      </c>
      <c r="E4187" s="19" t="str">
        <f>VLOOKUP(D4187,'لیست پرسنل'!$B$2:$E$1020,3,FALSE)</f>
        <v>فکورصنعت</v>
      </c>
      <c r="F4187" s="19" t="str">
        <f>VLOOKUP(D4187,'لیست پرسنل'!$B$2:$E$1020,4,FALSE)</f>
        <v>سرپرست مهمانسراهای سیرجان</v>
      </c>
      <c r="G4187" s="127">
        <f>VLOOKUP(D4187,'لیست پرسنل'!$B$2:$F$1020,2,FALSE)</f>
        <v>990904</v>
      </c>
      <c r="H4187" s="128" t="s">
        <v>2563</v>
      </c>
      <c r="I4187" s="128"/>
      <c r="J4187" s="128" t="s">
        <v>3966</v>
      </c>
      <c r="K4187" s="128" t="s">
        <v>3302</v>
      </c>
      <c r="L4187" s="151"/>
      <c r="M4187" s="128">
        <v>610519</v>
      </c>
      <c r="N4187" s="108"/>
      <c r="O4187" s="20"/>
      <c r="P4187" s="20"/>
      <c r="Q4187" s="20"/>
    </row>
    <row r="4188" spans="1:17" ht="24.9" customHeight="1">
      <c r="A4188" s="20" t="s">
        <v>7143</v>
      </c>
      <c r="B4188" s="20" t="s">
        <v>4378</v>
      </c>
      <c r="C4188" s="20"/>
      <c r="D4188" s="32" t="s">
        <v>339</v>
      </c>
      <c r="E4188" s="19" t="str">
        <f>VLOOKUP(D4188,'لیست پرسنل'!$B$2:$E$1020,3,FALSE)</f>
        <v>فکورصنعت</v>
      </c>
      <c r="F4188" s="19" t="str">
        <f>VLOOKUP(D4188,'لیست پرسنل'!$B$2:$E$1020,4,FALSE)</f>
        <v>سرپرست مهمانسراهای سیرجان</v>
      </c>
      <c r="G4188" s="127">
        <f>VLOOKUP(D4188,'لیست پرسنل'!$B$2:$F$1020,2,FALSE)</f>
        <v>990904</v>
      </c>
      <c r="H4188" s="128" t="s">
        <v>2563</v>
      </c>
      <c r="I4188" s="128"/>
      <c r="J4188" s="128" t="s">
        <v>5366</v>
      </c>
      <c r="K4188" s="127" t="s">
        <v>4439</v>
      </c>
      <c r="L4188" s="151"/>
      <c r="M4188" s="134">
        <v>601637</v>
      </c>
      <c r="N4188" s="108"/>
      <c r="O4188" s="32" t="s">
        <v>2676</v>
      </c>
      <c r="P4188" s="20"/>
      <c r="Q4188" s="20"/>
    </row>
    <row r="4189" spans="1:17" ht="24.9" customHeight="1">
      <c r="A4189" s="20" t="s">
        <v>7143</v>
      </c>
      <c r="B4189" s="20" t="s">
        <v>4378</v>
      </c>
      <c r="C4189" s="20"/>
      <c r="D4189" s="20" t="s">
        <v>339</v>
      </c>
      <c r="E4189" s="19" t="str">
        <f>VLOOKUP(D4189,'لیست پرسنل'!$B$2:$E$1020,3,FALSE)</f>
        <v>فکورصنعت</v>
      </c>
      <c r="F4189" s="19" t="str">
        <f>VLOOKUP(D4189,'لیست پرسنل'!$B$2:$E$1020,4,FALSE)</f>
        <v>سرپرست مهمانسراهای سیرجان</v>
      </c>
      <c r="G4189" s="127">
        <f>VLOOKUP(D4189,'لیست پرسنل'!$B$2:$F$1020,2,FALSE)</f>
        <v>990904</v>
      </c>
      <c r="H4189" s="130" t="s">
        <v>2563</v>
      </c>
      <c r="I4189" s="128"/>
      <c r="J4189" s="128" t="s">
        <v>5366</v>
      </c>
      <c r="K4189" s="130" t="s">
        <v>2566</v>
      </c>
      <c r="L4189" s="151"/>
      <c r="M4189" s="130">
        <v>601641</v>
      </c>
      <c r="N4189" s="108"/>
      <c r="O4189" s="20"/>
      <c r="P4189" s="20"/>
      <c r="Q4189" s="20"/>
    </row>
    <row r="4190" spans="1:17" ht="24.9" customHeight="1">
      <c r="A4190" s="20" t="s">
        <v>7143</v>
      </c>
      <c r="B4190" s="20" t="s">
        <v>4378</v>
      </c>
      <c r="C4190" s="20"/>
      <c r="D4190" s="20" t="s">
        <v>339</v>
      </c>
      <c r="E4190" s="19" t="str">
        <f>VLOOKUP(D4190,'لیست پرسنل'!$B$2:$E$1020,3,FALSE)</f>
        <v>فکورصنعت</v>
      </c>
      <c r="F4190" s="19" t="str">
        <f>VLOOKUP(D4190,'لیست پرسنل'!$B$2:$E$1020,4,FALSE)</f>
        <v>سرپرست مهمانسراهای سیرجان</v>
      </c>
      <c r="G4190" s="127">
        <f>VLOOKUP(D4190,'لیست پرسنل'!$B$2:$F$1020,2,FALSE)</f>
        <v>990904</v>
      </c>
      <c r="H4190" s="130" t="s">
        <v>2563</v>
      </c>
      <c r="I4190" s="128"/>
      <c r="J4190" s="128" t="s">
        <v>5366</v>
      </c>
      <c r="K4190" s="130" t="s">
        <v>2570</v>
      </c>
      <c r="L4190" s="151"/>
      <c r="M4190" s="130">
        <v>606093</v>
      </c>
      <c r="N4190" s="108"/>
      <c r="O4190" s="20"/>
      <c r="P4190" s="20"/>
      <c r="Q4190" s="20"/>
    </row>
    <row r="4191" spans="1:17" ht="24.9" customHeight="1">
      <c r="A4191" s="20" t="s">
        <v>7143</v>
      </c>
      <c r="B4191" s="20" t="s">
        <v>4378</v>
      </c>
      <c r="C4191" s="20"/>
      <c r="D4191" s="32" t="s">
        <v>339</v>
      </c>
      <c r="E4191" s="19" t="str">
        <f>VLOOKUP(D4191,'لیست پرسنل'!$B$2:$E$1020,3,FALSE)</f>
        <v>فکورصنعت</v>
      </c>
      <c r="F4191" s="19" t="str">
        <f>VLOOKUP(D4191,'لیست پرسنل'!$B$2:$E$1020,4,FALSE)</f>
        <v>سرپرست مهمانسراهای سیرجان</v>
      </c>
      <c r="G4191" s="127">
        <f>VLOOKUP(D4191,'لیست پرسنل'!$B$2:$F$1020,2,FALSE)</f>
        <v>990904</v>
      </c>
      <c r="H4191" s="128" t="s">
        <v>2563</v>
      </c>
      <c r="I4191" s="128"/>
      <c r="J4191" s="128" t="s">
        <v>5366</v>
      </c>
      <c r="K4191" s="127" t="s">
        <v>4440</v>
      </c>
      <c r="L4191" s="151"/>
      <c r="M4191" s="134">
        <v>612327</v>
      </c>
      <c r="N4191" s="108"/>
      <c r="O4191" s="32" t="s">
        <v>2676</v>
      </c>
      <c r="P4191" s="20"/>
      <c r="Q4191" s="20"/>
    </row>
    <row r="4192" spans="1:17" ht="24.9" customHeight="1">
      <c r="A4192" s="20" t="s">
        <v>7143</v>
      </c>
      <c r="B4192" s="20" t="s">
        <v>4378</v>
      </c>
      <c r="C4192" s="20"/>
      <c r="D4192" s="20" t="s">
        <v>339</v>
      </c>
      <c r="E4192" s="19" t="str">
        <f>VLOOKUP(D4192,'لیست پرسنل'!$B$2:$E$1020,3,FALSE)</f>
        <v>فکورصنعت</v>
      </c>
      <c r="F4192" s="19" t="str">
        <f>VLOOKUP(D4192,'لیست پرسنل'!$B$2:$E$1020,4,FALSE)</f>
        <v>سرپرست مهمانسراهای سیرجان</v>
      </c>
      <c r="G4192" s="127">
        <f>VLOOKUP(D4192,'لیست پرسنل'!$B$2:$F$1020,2,FALSE)</f>
        <v>990904</v>
      </c>
      <c r="H4192" s="130" t="s">
        <v>2563</v>
      </c>
      <c r="I4192" s="128"/>
      <c r="J4192" s="128" t="s">
        <v>5366</v>
      </c>
      <c r="K4192" s="130" t="s">
        <v>2572</v>
      </c>
      <c r="L4192" s="151"/>
      <c r="M4192" s="130">
        <v>612409</v>
      </c>
      <c r="N4192" s="108"/>
      <c r="O4192" s="20"/>
      <c r="P4192" s="20"/>
      <c r="Q4192" s="20"/>
    </row>
    <row r="4193" spans="1:17" ht="24.9" customHeight="1">
      <c r="A4193" s="20" t="s">
        <v>7143</v>
      </c>
      <c r="B4193" s="20" t="s">
        <v>4378</v>
      </c>
      <c r="C4193" s="20"/>
      <c r="D4193" s="20" t="s">
        <v>339</v>
      </c>
      <c r="E4193" s="19" t="str">
        <f>VLOOKUP(D4193,'لیست پرسنل'!$B$2:$E$1020,3,FALSE)</f>
        <v>فکورصنعت</v>
      </c>
      <c r="F4193" s="19" t="str">
        <f>VLOOKUP(D4193,'لیست پرسنل'!$B$2:$E$1020,4,FALSE)</f>
        <v>سرپرست مهمانسراهای سیرجان</v>
      </c>
      <c r="G4193" s="127">
        <f>VLOOKUP(D4193,'لیست پرسنل'!$B$2:$F$1020,2,FALSE)</f>
        <v>990904</v>
      </c>
      <c r="H4193" s="130" t="s">
        <v>2563</v>
      </c>
      <c r="I4193" s="128"/>
      <c r="J4193" s="128" t="s">
        <v>5366</v>
      </c>
      <c r="K4193" s="127" t="s">
        <v>4466</v>
      </c>
      <c r="L4193" s="128"/>
      <c r="M4193" s="127">
        <v>621319</v>
      </c>
      <c r="N4193" s="124" t="s">
        <v>5395</v>
      </c>
      <c r="O4193" s="32" t="s">
        <v>2680</v>
      </c>
      <c r="P4193" s="20"/>
      <c r="Q4193" s="20"/>
    </row>
    <row r="4194" spans="1:17" ht="24.9" customHeight="1">
      <c r="A4194" s="20" t="s">
        <v>7143</v>
      </c>
      <c r="B4194" s="20" t="s">
        <v>4378</v>
      </c>
      <c r="C4194" s="20"/>
      <c r="D4194" s="20" t="s">
        <v>339</v>
      </c>
      <c r="E4194" s="19" t="str">
        <f>VLOOKUP(D4194,'لیست پرسنل'!$B$2:$E$1020,3,FALSE)</f>
        <v>فکورصنعت</v>
      </c>
      <c r="F4194" s="19" t="str">
        <f>VLOOKUP(D4194,'لیست پرسنل'!$B$2:$E$1020,4,FALSE)</f>
        <v>سرپرست مهمانسراهای سیرجان</v>
      </c>
      <c r="G4194" s="127">
        <f>VLOOKUP(D4194,'لیست پرسنل'!$B$2:$F$1020,2,FALSE)</f>
        <v>990904</v>
      </c>
      <c r="H4194" s="130" t="s">
        <v>2563</v>
      </c>
      <c r="I4194" s="127"/>
      <c r="J4194" s="128" t="s">
        <v>5366</v>
      </c>
      <c r="K4194" s="127" t="s">
        <v>1073</v>
      </c>
      <c r="L4194" s="151" t="s">
        <v>3962</v>
      </c>
      <c r="M4194" s="127">
        <v>623600</v>
      </c>
      <c r="N4194" s="108"/>
      <c r="O4194" s="19" t="s">
        <v>1076</v>
      </c>
      <c r="P4194" s="20"/>
      <c r="Q4194" s="20"/>
    </row>
    <row r="4195" spans="1:17" ht="24.9" customHeight="1">
      <c r="A4195" s="20" t="s">
        <v>7143</v>
      </c>
      <c r="B4195" s="20" t="s">
        <v>4378</v>
      </c>
      <c r="C4195" s="20"/>
      <c r="D4195" s="20" t="s">
        <v>339</v>
      </c>
      <c r="E4195" s="19" t="str">
        <f>VLOOKUP(D4195,'لیست پرسنل'!$B$2:$E$1020,3,FALSE)</f>
        <v>فکورصنعت</v>
      </c>
      <c r="F4195" s="19" t="str">
        <f>VLOOKUP(D4195,'لیست پرسنل'!$B$2:$E$1020,4,FALSE)</f>
        <v>سرپرست مهمانسراهای سیرجان</v>
      </c>
      <c r="G4195" s="127">
        <f>VLOOKUP(D4195,'لیست پرسنل'!$B$2:$F$1020,2,FALSE)</f>
        <v>990904</v>
      </c>
      <c r="H4195" s="130" t="s">
        <v>2563</v>
      </c>
      <c r="I4195" s="128"/>
      <c r="J4195" s="128" t="s">
        <v>3938</v>
      </c>
      <c r="K4195" s="128" t="s">
        <v>1837</v>
      </c>
      <c r="L4195" s="151" t="s">
        <v>1832</v>
      </c>
      <c r="M4195" s="128">
        <v>625934</v>
      </c>
      <c r="N4195" s="108"/>
      <c r="O4195" s="20"/>
      <c r="P4195" s="20"/>
      <c r="Q4195" s="20"/>
    </row>
    <row r="4196" spans="1:17" ht="24.9" customHeight="1">
      <c r="A4196" s="20" t="s">
        <v>7143</v>
      </c>
      <c r="B4196" s="20" t="s">
        <v>4378</v>
      </c>
      <c r="C4196" s="20"/>
      <c r="D4196" s="20" t="s">
        <v>339</v>
      </c>
      <c r="E4196" s="19" t="str">
        <f>VLOOKUP(D4196,'لیست پرسنل'!$B$2:$E$1020,3,FALSE)</f>
        <v>فکورصنعت</v>
      </c>
      <c r="F4196" s="19" t="str">
        <f>VLOOKUP(D4196,'لیست پرسنل'!$B$2:$E$1020,4,FALSE)</f>
        <v>سرپرست مهمانسراهای سیرجان</v>
      </c>
      <c r="G4196" s="127">
        <f>VLOOKUP(D4196,'لیست پرسنل'!$B$2:$F$1020,2,FALSE)</f>
        <v>990904</v>
      </c>
      <c r="H4196" s="130" t="s">
        <v>2563</v>
      </c>
      <c r="I4196" s="128"/>
      <c r="J4196" s="127" t="s">
        <v>5927</v>
      </c>
      <c r="K4196" s="128" t="s">
        <v>4999</v>
      </c>
      <c r="L4196" s="128" t="s">
        <v>7751</v>
      </c>
      <c r="M4196" s="128" t="s">
        <v>291</v>
      </c>
      <c r="N4196" s="109"/>
      <c r="O4196" s="86"/>
      <c r="P4196" s="20"/>
      <c r="Q4196" s="20"/>
    </row>
    <row r="4197" spans="1:17" ht="24.9" customHeight="1">
      <c r="A4197" s="20" t="s">
        <v>7143</v>
      </c>
      <c r="B4197" s="20" t="s">
        <v>4378</v>
      </c>
      <c r="C4197" s="20"/>
      <c r="D4197" s="20" t="s">
        <v>339</v>
      </c>
      <c r="E4197" s="19" t="str">
        <f>VLOOKUP(D4197,'لیست پرسنل'!$B$2:$E$1020,3,FALSE)</f>
        <v>فکورصنعت</v>
      </c>
      <c r="F4197" s="19" t="str">
        <f>VLOOKUP(D4197,'لیست پرسنل'!$B$2:$E$1020,4,FALSE)</f>
        <v>سرپرست مهمانسراهای سیرجان</v>
      </c>
      <c r="G4197" s="127">
        <f>VLOOKUP(D4197,'لیست پرسنل'!$B$2:$F$1020,2,FALSE)</f>
        <v>990904</v>
      </c>
      <c r="H4197" s="130" t="s">
        <v>2563</v>
      </c>
      <c r="I4197" s="128"/>
      <c r="J4197" s="127" t="s">
        <v>5927</v>
      </c>
      <c r="K4197" s="128" t="s">
        <v>4999</v>
      </c>
      <c r="L4197" s="128" t="s">
        <v>7752</v>
      </c>
      <c r="M4197" s="128" t="s">
        <v>291</v>
      </c>
      <c r="N4197" s="109"/>
      <c r="O4197" s="86"/>
      <c r="P4197" s="20"/>
      <c r="Q4197" s="20"/>
    </row>
    <row r="4198" spans="1:17" ht="24.9" customHeight="1">
      <c r="A4198" s="20" t="s">
        <v>7143</v>
      </c>
      <c r="B4198" s="20" t="s">
        <v>4378</v>
      </c>
      <c r="C4198" s="20"/>
      <c r="D4198" s="20" t="s">
        <v>339</v>
      </c>
      <c r="E4198" s="19" t="str">
        <f>VLOOKUP(D4198,'لیست پرسنل'!$B$2:$E$1020,3,FALSE)</f>
        <v>فکورصنعت</v>
      </c>
      <c r="F4198" s="19" t="str">
        <f>VLOOKUP(D4198,'لیست پرسنل'!$B$2:$E$1020,4,FALSE)</f>
        <v>سرپرست مهمانسراهای سیرجان</v>
      </c>
      <c r="G4198" s="127">
        <f>VLOOKUP(D4198,'لیست پرسنل'!$B$2:$F$1020,2,FALSE)</f>
        <v>990904</v>
      </c>
      <c r="H4198" s="130" t="s">
        <v>2563</v>
      </c>
      <c r="I4198" s="128"/>
      <c r="J4198" s="127" t="s">
        <v>5927</v>
      </c>
      <c r="K4198" s="128" t="s">
        <v>4999</v>
      </c>
      <c r="L4198" s="128" t="s">
        <v>7753</v>
      </c>
      <c r="M4198" s="128" t="s">
        <v>291</v>
      </c>
      <c r="N4198" s="109"/>
      <c r="O4198" s="86"/>
      <c r="P4198" s="20"/>
      <c r="Q4198" s="20"/>
    </row>
    <row r="4199" spans="1:17" ht="24.9" customHeight="1">
      <c r="A4199" s="20" t="s">
        <v>7143</v>
      </c>
      <c r="B4199" s="20" t="s">
        <v>4378</v>
      </c>
      <c r="C4199" s="20"/>
      <c r="D4199" s="20" t="s">
        <v>339</v>
      </c>
      <c r="E4199" s="19" t="str">
        <f>VLOOKUP(D4199,'لیست پرسنل'!$B$2:$E$1020,3,FALSE)</f>
        <v>فکورصنعت</v>
      </c>
      <c r="F4199" s="19" t="str">
        <f>VLOOKUP(D4199,'لیست پرسنل'!$B$2:$E$1020,4,FALSE)</f>
        <v>سرپرست مهمانسراهای سیرجان</v>
      </c>
      <c r="G4199" s="127">
        <f>VLOOKUP(D4199,'لیست پرسنل'!$B$2:$F$1020,2,FALSE)</f>
        <v>990904</v>
      </c>
      <c r="H4199" s="130" t="s">
        <v>2563</v>
      </c>
      <c r="I4199" s="128"/>
      <c r="J4199" s="127" t="s">
        <v>5927</v>
      </c>
      <c r="K4199" s="128" t="s">
        <v>4999</v>
      </c>
      <c r="L4199" s="128" t="s">
        <v>7754</v>
      </c>
      <c r="M4199" s="128" t="s">
        <v>291</v>
      </c>
      <c r="N4199" s="109"/>
      <c r="O4199" s="86"/>
      <c r="P4199" s="20"/>
      <c r="Q4199" s="20"/>
    </row>
    <row r="4200" spans="1:17" ht="24.9" customHeight="1">
      <c r="A4200" s="20" t="s">
        <v>7143</v>
      </c>
      <c r="B4200" s="20" t="s">
        <v>4378</v>
      </c>
      <c r="C4200" s="20"/>
      <c r="D4200" s="20" t="s">
        <v>339</v>
      </c>
      <c r="E4200" s="19" t="str">
        <f>VLOOKUP(D4200,'لیست پرسنل'!$B$2:$E$1020,3,FALSE)</f>
        <v>فکورصنعت</v>
      </c>
      <c r="F4200" s="19" t="str">
        <f>VLOOKUP(D4200,'لیست پرسنل'!$B$2:$E$1020,4,FALSE)</f>
        <v>سرپرست مهمانسراهای سیرجان</v>
      </c>
      <c r="G4200" s="127">
        <f>VLOOKUP(D4200,'لیست پرسنل'!$B$2:$F$1020,2,FALSE)</f>
        <v>990904</v>
      </c>
      <c r="H4200" s="130" t="s">
        <v>2563</v>
      </c>
      <c r="I4200" s="128"/>
      <c r="J4200" s="127" t="s">
        <v>5927</v>
      </c>
      <c r="K4200" s="128" t="s">
        <v>4999</v>
      </c>
      <c r="L4200" s="128" t="s">
        <v>7755</v>
      </c>
      <c r="M4200" s="128" t="s">
        <v>291</v>
      </c>
      <c r="N4200" s="109"/>
      <c r="O4200" s="86"/>
      <c r="P4200" s="20"/>
      <c r="Q4200" s="20"/>
    </row>
    <row r="4201" spans="1:17" ht="24.9" customHeight="1">
      <c r="A4201" s="20" t="s">
        <v>7143</v>
      </c>
      <c r="B4201" s="20" t="s">
        <v>4378</v>
      </c>
      <c r="C4201" s="20"/>
      <c r="D4201" s="20" t="s">
        <v>339</v>
      </c>
      <c r="E4201" s="19" t="str">
        <f>VLOOKUP(D4201,'لیست پرسنل'!$B$2:$E$1020,3,FALSE)</f>
        <v>فکورصنعت</v>
      </c>
      <c r="F4201" s="19" t="str">
        <f>VLOOKUP(D4201,'لیست پرسنل'!$B$2:$E$1020,4,FALSE)</f>
        <v>سرپرست مهمانسراهای سیرجان</v>
      </c>
      <c r="G4201" s="127">
        <f>VLOOKUP(D4201,'لیست پرسنل'!$B$2:$F$1020,2,FALSE)</f>
        <v>990904</v>
      </c>
      <c r="H4201" s="130" t="s">
        <v>2563</v>
      </c>
      <c r="I4201" s="128"/>
      <c r="J4201" s="127" t="s">
        <v>5927</v>
      </c>
      <c r="K4201" s="128" t="s">
        <v>4999</v>
      </c>
      <c r="L4201" s="128" t="s">
        <v>7756</v>
      </c>
      <c r="M4201" s="128" t="s">
        <v>291</v>
      </c>
      <c r="N4201" s="109"/>
      <c r="O4201" s="86"/>
      <c r="P4201" s="20"/>
      <c r="Q4201" s="20"/>
    </row>
    <row r="4202" spans="1:17" ht="24.9" customHeight="1">
      <c r="A4202" s="20" t="s">
        <v>7143</v>
      </c>
      <c r="B4202" s="20" t="s">
        <v>4378</v>
      </c>
      <c r="C4202" s="20"/>
      <c r="D4202" s="20" t="s">
        <v>339</v>
      </c>
      <c r="E4202" s="19" t="str">
        <f>VLOOKUP(D4202,'لیست پرسنل'!$B$2:$E$1020,3,FALSE)</f>
        <v>فکورصنعت</v>
      </c>
      <c r="F4202" s="19" t="str">
        <f>VLOOKUP(D4202,'لیست پرسنل'!$B$2:$E$1020,4,FALSE)</f>
        <v>سرپرست مهمانسراهای سیرجان</v>
      </c>
      <c r="G4202" s="127">
        <f>VLOOKUP(D4202,'لیست پرسنل'!$B$2:$F$1020,2,FALSE)</f>
        <v>990904</v>
      </c>
      <c r="H4202" s="130" t="s">
        <v>2563</v>
      </c>
      <c r="I4202" s="128"/>
      <c r="J4202" s="127" t="s">
        <v>5927</v>
      </c>
      <c r="K4202" s="128" t="s">
        <v>4998</v>
      </c>
      <c r="L4202" s="128" t="s">
        <v>7757</v>
      </c>
      <c r="M4202" s="128" t="s">
        <v>291</v>
      </c>
      <c r="N4202" s="109"/>
      <c r="O4202" s="86"/>
      <c r="P4202" s="20"/>
      <c r="Q4202" s="20"/>
    </row>
    <row r="4203" spans="1:17" ht="24.9" customHeight="1">
      <c r="A4203" s="20" t="s">
        <v>7143</v>
      </c>
      <c r="B4203" s="20" t="s">
        <v>4378</v>
      </c>
      <c r="C4203" s="20"/>
      <c r="D4203" s="20" t="s">
        <v>339</v>
      </c>
      <c r="E4203" s="19" t="str">
        <f>VLOOKUP(D4203,'لیست پرسنل'!$B$2:$E$1020,3,FALSE)</f>
        <v>فکورصنعت</v>
      </c>
      <c r="F4203" s="19" t="str">
        <f>VLOOKUP(D4203,'لیست پرسنل'!$B$2:$E$1020,4,FALSE)</f>
        <v>سرپرست مهمانسراهای سیرجان</v>
      </c>
      <c r="G4203" s="127">
        <f>VLOOKUP(D4203,'لیست پرسنل'!$B$2:$F$1020,2,FALSE)</f>
        <v>990904</v>
      </c>
      <c r="H4203" s="130" t="s">
        <v>2563</v>
      </c>
      <c r="I4203" s="128"/>
      <c r="J4203" s="127" t="s">
        <v>5927</v>
      </c>
      <c r="K4203" s="128" t="s">
        <v>4998</v>
      </c>
      <c r="L4203" s="128" t="s">
        <v>7758</v>
      </c>
      <c r="M4203" s="128" t="s">
        <v>291</v>
      </c>
      <c r="N4203" s="109"/>
      <c r="O4203" s="86"/>
      <c r="P4203" s="20"/>
      <c r="Q4203" s="20"/>
    </row>
    <row r="4204" spans="1:17" ht="24.9" customHeight="1">
      <c r="A4204" s="20" t="s">
        <v>7143</v>
      </c>
      <c r="B4204" s="20" t="s">
        <v>4378</v>
      </c>
      <c r="C4204" s="20"/>
      <c r="D4204" s="20" t="s">
        <v>339</v>
      </c>
      <c r="E4204" s="19" t="str">
        <f>VLOOKUP(D4204,'لیست پرسنل'!$B$2:$E$1020,3,FALSE)</f>
        <v>فکورصنعت</v>
      </c>
      <c r="F4204" s="19" t="str">
        <f>VLOOKUP(D4204,'لیست پرسنل'!$B$2:$E$1020,4,FALSE)</f>
        <v>سرپرست مهمانسراهای سیرجان</v>
      </c>
      <c r="G4204" s="127">
        <f>VLOOKUP(D4204,'لیست پرسنل'!$B$2:$F$1020,2,FALSE)</f>
        <v>990904</v>
      </c>
      <c r="H4204" s="130" t="s">
        <v>2563</v>
      </c>
      <c r="I4204" s="128"/>
      <c r="J4204" s="127" t="s">
        <v>5927</v>
      </c>
      <c r="K4204" s="128" t="s">
        <v>4998</v>
      </c>
      <c r="L4204" s="128" t="s">
        <v>7759</v>
      </c>
      <c r="M4204" s="128" t="s">
        <v>291</v>
      </c>
      <c r="N4204" s="109"/>
      <c r="O4204" s="86"/>
      <c r="P4204" s="20"/>
      <c r="Q4204" s="20"/>
    </row>
    <row r="4205" spans="1:17" ht="24.9" customHeight="1">
      <c r="A4205" s="20" t="s">
        <v>7143</v>
      </c>
      <c r="B4205" s="20" t="s">
        <v>4378</v>
      </c>
      <c r="C4205" s="20"/>
      <c r="D4205" s="20" t="s">
        <v>339</v>
      </c>
      <c r="E4205" s="19" t="str">
        <f>VLOOKUP(D4205,'لیست پرسنل'!$B$2:$E$1020,3,FALSE)</f>
        <v>فکورصنعت</v>
      </c>
      <c r="F4205" s="19" t="str">
        <f>VLOOKUP(D4205,'لیست پرسنل'!$B$2:$E$1020,4,FALSE)</f>
        <v>سرپرست مهمانسراهای سیرجان</v>
      </c>
      <c r="G4205" s="127">
        <f>VLOOKUP(D4205,'لیست پرسنل'!$B$2:$F$1020,2,FALSE)</f>
        <v>990904</v>
      </c>
      <c r="H4205" s="130" t="s">
        <v>2563</v>
      </c>
      <c r="I4205" s="128"/>
      <c r="J4205" s="127" t="s">
        <v>5927</v>
      </c>
      <c r="K4205" s="128" t="s">
        <v>4998</v>
      </c>
      <c r="L4205" s="128" t="s">
        <v>7760</v>
      </c>
      <c r="M4205" s="128" t="s">
        <v>291</v>
      </c>
      <c r="N4205" s="109"/>
      <c r="O4205" s="86"/>
      <c r="P4205" s="20"/>
      <c r="Q4205" s="20"/>
    </row>
    <row r="4206" spans="1:17" ht="24.9" customHeight="1">
      <c r="A4206" s="20" t="s">
        <v>7143</v>
      </c>
      <c r="B4206" s="20" t="s">
        <v>4378</v>
      </c>
      <c r="C4206" s="20"/>
      <c r="D4206" s="20" t="s">
        <v>339</v>
      </c>
      <c r="E4206" s="19" t="str">
        <f>VLOOKUP(D4206,'لیست پرسنل'!$B$2:$E$1020,3,FALSE)</f>
        <v>فکورصنعت</v>
      </c>
      <c r="F4206" s="19" t="str">
        <f>VLOOKUP(D4206,'لیست پرسنل'!$B$2:$E$1020,4,FALSE)</f>
        <v>سرپرست مهمانسراهای سیرجان</v>
      </c>
      <c r="G4206" s="127">
        <f>VLOOKUP(D4206,'لیست پرسنل'!$B$2:$F$1020,2,FALSE)</f>
        <v>990904</v>
      </c>
      <c r="H4206" s="130" t="s">
        <v>2563</v>
      </c>
      <c r="I4206" s="128"/>
      <c r="J4206" s="127" t="s">
        <v>5927</v>
      </c>
      <c r="K4206" s="128" t="s">
        <v>4998</v>
      </c>
      <c r="L4206" s="128" t="s">
        <v>4958</v>
      </c>
      <c r="M4206" s="128" t="s">
        <v>291</v>
      </c>
      <c r="N4206" s="109"/>
      <c r="O4206" s="86"/>
      <c r="P4206" s="20"/>
      <c r="Q4206" s="20"/>
    </row>
    <row r="4207" spans="1:17" ht="24.9" customHeight="1">
      <c r="A4207" s="20" t="s">
        <v>7143</v>
      </c>
      <c r="B4207" s="20" t="s">
        <v>4378</v>
      </c>
      <c r="C4207" s="20"/>
      <c r="D4207" s="20" t="s">
        <v>339</v>
      </c>
      <c r="E4207" s="19" t="str">
        <f>VLOOKUP(D4207,'لیست پرسنل'!$B$2:$E$1020,3,FALSE)</f>
        <v>فکورصنعت</v>
      </c>
      <c r="F4207" s="19" t="str">
        <f>VLOOKUP(D4207,'لیست پرسنل'!$B$2:$E$1020,4,FALSE)</f>
        <v>سرپرست مهمانسراهای سیرجان</v>
      </c>
      <c r="G4207" s="127">
        <f>VLOOKUP(D4207,'لیست پرسنل'!$B$2:$F$1020,2,FALSE)</f>
        <v>990904</v>
      </c>
      <c r="H4207" s="130" t="s">
        <v>2563</v>
      </c>
      <c r="I4207" s="128"/>
      <c r="J4207" s="127" t="s">
        <v>5927</v>
      </c>
      <c r="K4207" s="128" t="s">
        <v>4998</v>
      </c>
      <c r="L4207" s="128" t="s">
        <v>4959</v>
      </c>
      <c r="M4207" s="128" t="s">
        <v>291</v>
      </c>
      <c r="N4207" s="109"/>
      <c r="O4207" s="86"/>
      <c r="P4207" s="20"/>
      <c r="Q4207" s="20"/>
    </row>
    <row r="4208" spans="1:17" ht="24.9" customHeight="1">
      <c r="A4208" s="20" t="s">
        <v>7143</v>
      </c>
      <c r="B4208" s="20" t="s">
        <v>4378</v>
      </c>
      <c r="C4208" s="20"/>
      <c r="D4208" s="20" t="s">
        <v>339</v>
      </c>
      <c r="E4208" s="19" t="str">
        <f>VLOOKUP(D4208,'لیست پرسنل'!$B$2:$E$1020,3,FALSE)</f>
        <v>فکورصنعت</v>
      </c>
      <c r="F4208" s="19" t="str">
        <f>VLOOKUP(D4208,'لیست پرسنل'!$B$2:$E$1020,4,FALSE)</f>
        <v>سرپرست مهمانسراهای سیرجان</v>
      </c>
      <c r="G4208" s="127">
        <f>VLOOKUP(D4208,'لیست پرسنل'!$B$2:$F$1020,2,FALSE)</f>
        <v>990904</v>
      </c>
      <c r="H4208" s="130" t="s">
        <v>2563</v>
      </c>
      <c r="I4208" s="128"/>
      <c r="J4208" s="127" t="s">
        <v>5927</v>
      </c>
      <c r="K4208" s="128" t="s">
        <v>4998</v>
      </c>
      <c r="L4208" s="128" t="s">
        <v>4955</v>
      </c>
      <c r="M4208" s="128" t="s">
        <v>291</v>
      </c>
      <c r="N4208" s="109"/>
      <c r="O4208" s="86"/>
      <c r="P4208" s="20"/>
      <c r="Q4208" s="20"/>
    </row>
    <row r="4209" spans="1:17" ht="24.9" customHeight="1">
      <c r="A4209" s="20" t="s">
        <v>7143</v>
      </c>
      <c r="B4209" s="20" t="s">
        <v>4378</v>
      </c>
      <c r="C4209" s="20"/>
      <c r="D4209" s="20" t="s">
        <v>339</v>
      </c>
      <c r="E4209" s="19" t="str">
        <f>VLOOKUP(D4209,'لیست پرسنل'!$B$2:$E$1020,3,FALSE)</f>
        <v>فکورصنعت</v>
      </c>
      <c r="F4209" s="19" t="str">
        <f>VLOOKUP(D4209,'لیست پرسنل'!$B$2:$E$1020,4,FALSE)</f>
        <v>سرپرست مهمانسراهای سیرجان</v>
      </c>
      <c r="G4209" s="127">
        <f>VLOOKUP(D4209,'لیست پرسنل'!$B$2:$F$1020,2,FALSE)</f>
        <v>990904</v>
      </c>
      <c r="H4209" s="130" t="s">
        <v>2563</v>
      </c>
      <c r="I4209" s="128"/>
      <c r="J4209" s="127" t="s">
        <v>5927</v>
      </c>
      <c r="K4209" s="128" t="s">
        <v>7750</v>
      </c>
      <c r="L4209" s="128" t="s">
        <v>4956</v>
      </c>
      <c r="M4209" s="128" t="s">
        <v>291</v>
      </c>
      <c r="N4209" s="109"/>
      <c r="O4209" s="86"/>
      <c r="P4209" s="20"/>
      <c r="Q4209" s="20"/>
    </row>
    <row r="4210" spans="1:17" ht="24.9" customHeight="1">
      <c r="A4210" s="20" t="s">
        <v>7143</v>
      </c>
      <c r="B4210" s="20" t="s">
        <v>4378</v>
      </c>
      <c r="C4210" s="20"/>
      <c r="D4210" s="20" t="s">
        <v>339</v>
      </c>
      <c r="E4210" s="19" t="str">
        <f>VLOOKUP(D4210,'لیست پرسنل'!$B$2:$E$1020,3,FALSE)</f>
        <v>فکورصنعت</v>
      </c>
      <c r="F4210" s="19" t="str">
        <f>VLOOKUP(D4210,'لیست پرسنل'!$B$2:$E$1020,4,FALSE)</f>
        <v>سرپرست مهمانسراهای سیرجان</v>
      </c>
      <c r="G4210" s="127">
        <f>VLOOKUP(D4210,'لیست پرسنل'!$B$2:$F$1020,2,FALSE)</f>
        <v>990904</v>
      </c>
      <c r="H4210" s="130" t="s">
        <v>2563</v>
      </c>
      <c r="I4210" s="128"/>
      <c r="J4210" s="127" t="s">
        <v>5927</v>
      </c>
      <c r="K4210" s="128" t="s">
        <v>7479</v>
      </c>
      <c r="L4210" s="128" t="s">
        <v>7488</v>
      </c>
      <c r="M4210" s="128" t="s">
        <v>291</v>
      </c>
      <c r="N4210" s="108" t="s">
        <v>7496</v>
      </c>
      <c r="O4210" s="20"/>
      <c r="P4210" s="20"/>
      <c r="Q4210" s="20"/>
    </row>
    <row r="4211" spans="1:17" ht="24.9" customHeight="1">
      <c r="A4211" s="20" t="s">
        <v>7143</v>
      </c>
      <c r="B4211" s="20" t="s">
        <v>4378</v>
      </c>
      <c r="C4211" s="20"/>
      <c r="D4211" s="20" t="s">
        <v>339</v>
      </c>
      <c r="E4211" s="19" t="str">
        <f>VLOOKUP(D4211,'لیست پرسنل'!$B$2:$E$1020,3,FALSE)</f>
        <v>فکورصنعت</v>
      </c>
      <c r="F4211" s="19" t="str">
        <f>VLOOKUP(D4211,'لیست پرسنل'!$B$2:$E$1020,4,FALSE)</f>
        <v>سرپرست مهمانسراهای سیرجان</v>
      </c>
      <c r="G4211" s="127">
        <f>VLOOKUP(D4211,'لیست پرسنل'!$B$2:$F$1020,2,FALSE)</f>
        <v>990904</v>
      </c>
      <c r="H4211" s="130" t="s">
        <v>2563</v>
      </c>
      <c r="I4211" s="128"/>
      <c r="J4211" s="127" t="s">
        <v>5927</v>
      </c>
      <c r="K4211" s="128" t="s">
        <v>7479</v>
      </c>
      <c r="L4211" s="128" t="s">
        <v>7489</v>
      </c>
      <c r="M4211" s="128" t="s">
        <v>291</v>
      </c>
      <c r="N4211" s="108" t="s">
        <v>7497</v>
      </c>
      <c r="O4211" s="20"/>
      <c r="P4211" s="20"/>
      <c r="Q4211" s="20"/>
    </row>
    <row r="4212" spans="1:17" ht="24.9" customHeight="1">
      <c r="A4212" s="20" t="s">
        <v>7143</v>
      </c>
      <c r="B4212" s="20" t="s">
        <v>4378</v>
      </c>
      <c r="C4212" s="20"/>
      <c r="D4212" s="20" t="s">
        <v>339</v>
      </c>
      <c r="E4212" s="19" t="str">
        <f>VLOOKUP(D4212,'لیست پرسنل'!$B$2:$E$1020,3,FALSE)</f>
        <v>فکورصنعت</v>
      </c>
      <c r="F4212" s="19" t="str">
        <f>VLOOKUP(D4212,'لیست پرسنل'!$B$2:$E$1020,4,FALSE)</f>
        <v>سرپرست مهمانسراهای سیرجان</v>
      </c>
      <c r="G4212" s="127">
        <f>VLOOKUP(D4212,'لیست پرسنل'!$B$2:$F$1020,2,FALSE)</f>
        <v>990904</v>
      </c>
      <c r="H4212" s="130" t="s">
        <v>2563</v>
      </c>
      <c r="I4212" s="128"/>
      <c r="J4212" s="128" t="s">
        <v>3481</v>
      </c>
      <c r="K4212" s="128" t="s">
        <v>6746</v>
      </c>
      <c r="L4212" s="150" t="s">
        <v>6751</v>
      </c>
      <c r="M4212" s="127" t="s">
        <v>291</v>
      </c>
      <c r="N4212" s="108" t="s">
        <v>7704</v>
      </c>
      <c r="O4212" s="20"/>
      <c r="P4212" s="20"/>
      <c r="Q4212" s="20"/>
    </row>
    <row r="4213" spans="1:17" ht="24.9" customHeight="1">
      <c r="A4213" s="20" t="s">
        <v>7143</v>
      </c>
      <c r="B4213" s="20" t="s">
        <v>4378</v>
      </c>
      <c r="C4213" s="20"/>
      <c r="D4213" s="20" t="s">
        <v>339</v>
      </c>
      <c r="E4213" s="19" t="str">
        <f>VLOOKUP(D4213,'لیست پرسنل'!$B$2:$E$1020,3,FALSE)</f>
        <v>فکورصنعت</v>
      </c>
      <c r="F4213" s="19" t="str">
        <f>VLOOKUP(D4213,'لیست پرسنل'!$B$2:$E$1020,4,FALSE)</f>
        <v>سرپرست مهمانسراهای سیرجان</v>
      </c>
      <c r="G4213" s="127">
        <f>VLOOKUP(D4213,'لیست پرسنل'!$B$2:$F$1020,2,FALSE)</f>
        <v>990904</v>
      </c>
      <c r="H4213" s="130" t="s">
        <v>2563</v>
      </c>
      <c r="I4213" s="128"/>
      <c r="J4213" s="128" t="s">
        <v>3285</v>
      </c>
      <c r="K4213" s="135" t="s">
        <v>1751</v>
      </c>
      <c r="L4213" s="151" t="s">
        <v>1731</v>
      </c>
      <c r="M4213" s="135">
        <v>625679</v>
      </c>
      <c r="N4213" s="108"/>
      <c r="O4213" s="20"/>
      <c r="P4213" s="20"/>
      <c r="Q4213" s="20"/>
    </row>
    <row r="4214" spans="1:17" ht="24.9" customHeight="1">
      <c r="A4214" s="20" t="s">
        <v>7143</v>
      </c>
      <c r="B4214" s="20" t="s">
        <v>4378</v>
      </c>
      <c r="C4214" s="20"/>
      <c r="D4214" s="20" t="s">
        <v>339</v>
      </c>
      <c r="E4214" s="19" t="str">
        <f>VLOOKUP(D4214,'لیست پرسنل'!$B$2:$E$1020,3,FALSE)</f>
        <v>فکورصنعت</v>
      </c>
      <c r="F4214" s="19" t="str">
        <f>VLOOKUP(D4214,'لیست پرسنل'!$B$2:$E$1020,4,FALSE)</f>
        <v>سرپرست مهمانسراهای سیرجان</v>
      </c>
      <c r="G4214" s="127">
        <f>VLOOKUP(D4214,'لیست پرسنل'!$B$2:$F$1020,2,FALSE)</f>
        <v>990904</v>
      </c>
      <c r="H4214" s="130" t="s">
        <v>2563</v>
      </c>
      <c r="I4214" s="128"/>
      <c r="J4214" s="128" t="s">
        <v>7082</v>
      </c>
      <c r="K4214" s="135" t="s">
        <v>3673</v>
      </c>
      <c r="L4214" s="151" t="s">
        <v>3674</v>
      </c>
      <c r="M4214" s="128" t="s">
        <v>704</v>
      </c>
      <c r="N4214" s="108"/>
      <c r="O4214" s="20"/>
      <c r="P4214" s="20"/>
      <c r="Q4214" s="20"/>
    </row>
    <row r="4215" spans="1:17" ht="24.9" customHeight="1">
      <c r="A4215" s="20" t="s">
        <v>7143</v>
      </c>
      <c r="B4215" s="20" t="s">
        <v>4378</v>
      </c>
      <c r="C4215" s="20"/>
      <c r="D4215" s="20" t="s">
        <v>339</v>
      </c>
      <c r="E4215" s="19" t="str">
        <f>VLOOKUP(D4215,'لیست پرسنل'!$B$2:$E$1020,3,FALSE)</f>
        <v>فکورصنعت</v>
      </c>
      <c r="F4215" s="19" t="str">
        <f>VLOOKUP(D4215,'لیست پرسنل'!$B$2:$E$1020,4,FALSE)</f>
        <v>سرپرست مهمانسراهای سیرجان</v>
      </c>
      <c r="G4215" s="127">
        <f>VLOOKUP(D4215,'لیست پرسنل'!$B$2:$F$1020,2,FALSE)</f>
        <v>990904</v>
      </c>
      <c r="H4215" s="130" t="s">
        <v>2563</v>
      </c>
      <c r="I4215" s="128"/>
      <c r="J4215" s="128" t="s">
        <v>3476</v>
      </c>
      <c r="K4215" s="135" t="s">
        <v>1750</v>
      </c>
      <c r="L4215" s="151" t="s">
        <v>1732</v>
      </c>
      <c r="M4215" s="135">
        <v>625685</v>
      </c>
      <c r="N4215" s="108"/>
      <c r="O4215" s="20"/>
      <c r="P4215" s="20"/>
      <c r="Q4215" s="20"/>
    </row>
    <row r="4216" spans="1:17" ht="24.9" customHeight="1">
      <c r="A4216" s="20" t="s">
        <v>7143</v>
      </c>
      <c r="B4216" s="20" t="s">
        <v>4378</v>
      </c>
      <c r="C4216" s="20"/>
      <c r="D4216" s="20" t="s">
        <v>339</v>
      </c>
      <c r="E4216" s="19" t="str">
        <f>VLOOKUP(D4216,'لیست پرسنل'!$B$2:$E$1020,3,FALSE)</f>
        <v>فکورصنعت</v>
      </c>
      <c r="F4216" s="19" t="str">
        <f>VLOOKUP(D4216,'لیست پرسنل'!$B$2:$E$1020,4,FALSE)</f>
        <v>سرپرست مهمانسراهای سیرجان</v>
      </c>
      <c r="G4216" s="127">
        <f>VLOOKUP(D4216,'لیست پرسنل'!$B$2:$F$1020,2,FALSE)</f>
        <v>990904</v>
      </c>
      <c r="H4216" s="130" t="s">
        <v>2563</v>
      </c>
      <c r="I4216" s="128"/>
      <c r="J4216" s="128" t="s">
        <v>3964</v>
      </c>
      <c r="K4216" s="128" t="s">
        <v>1563</v>
      </c>
      <c r="L4216" s="151"/>
      <c r="M4216" s="128">
        <v>609474</v>
      </c>
      <c r="N4216" s="108"/>
      <c r="O4216" s="20"/>
      <c r="P4216" s="20"/>
      <c r="Q4216" s="20"/>
    </row>
    <row r="4217" spans="1:17" ht="24.9" customHeight="1">
      <c r="A4217" s="20" t="s">
        <v>7143</v>
      </c>
      <c r="B4217" s="20" t="s">
        <v>4378</v>
      </c>
      <c r="C4217" s="20"/>
      <c r="D4217" s="20" t="s">
        <v>339</v>
      </c>
      <c r="E4217" s="19" t="str">
        <f>VLOOKUP(D4217,'لیست پرسنل'!$B$2:$E$1020,3,FALSE)</f>
        <v>فکورصنعت</v>
      </c>
      <c r="F4217" s="19" t="str">
        <f>VLOOKUP(D4217,'لیست پرسنل'!$B$2:$E$1020,4,FALSE)</f>
        <v>سرپرست مهمانسراهای سیرجان</v>
      </c>
      <c r="G4217" s="127">
        <f>VLOOKUP(D4217,'لیست پرسنل'!$B$2:$F$1020,2,FALSE)</f>
        <v>990904</v>
      </c>
      <c r="H4217" s="130" t="s">
        <v>2563</v>
      </c>
      <c r="I4217" s="128"/>
      <c r="J4217" s="128" t="s">
        <v>5304</v>
      </c>
      <c r="K4217" s="130" t="s">
        <v>5305</v>
      </c>
      <c r="L4217" s="127"/>
      <c r="M4217" s="130">
        <v>605088</v>
      </c>
      <c r="N4217" s="109"/>
      <c r="O4217" s="19"/>
      <c r="P4217" s="32"/>
      <c r="Q4217" s="32"/>
    </row>
    <row r="4218" spans="1:17" ht="24.9" customHeight="1">
      <c r="A4218" s="20" t="s">
        <v>7143</v>
      </c>
      <c r="B4218" s="20" t="s">
        <v>4378</v>
      </c>
      <c r="C4218" s="19"/>
      <c r="D4218" s="20" t="s">
        <v>339</v>
      </c>
      <c r="E4218" s="19" t="str">
        <f>VLOOKUP(D4218,'لیست پرسنل'!$B$2:$E$1020,3,FALSE)</f>
        <v>فکورصنعت</v>
      </c>
      <c r="F4218" s="19" t="str">
        <f>VLOOKUP(D4218,'لیست پرسنل'!$B$2:$E$1020,4,FALSE)</f>
        <v>سرپرست مهمانسراهای سیرجان</v>
      </c>
      <c r="G4218" s="127">
        <f>VLOOKUP(D4218,'لیست پرسنل'!$B$2:$F$1020,2,FALSE)</f>
        <v>990904</v>
      </c>
      <c r="H4218" s="130" t="s">
        <v>2563</v>
      </c>
      <c r="I4218" s="127"/>
      <c r="J4218" s="128" t="s">
        <v>5304</v>
      </c>
      <c r="K4218" s="128" t="s">
        <v>5304</v>
      </c>
      <c r="L4218" s="127"/>
      <c r="M4218" s="128">
        <v>605098</v>
      </c>
      <c r="N4218" s="111"/>
      <c r="O4218" s="28"/>
      <c r="P4218" s="28"/>
      <c r="Q4218" s="28"/>
    </row>
    <row r="4219" spans="1:17" ht="24.9" customHeight="1">
      <c r="A4219" s="20" t="s">
        <v>7143</v>
      </c>
      <c r="B4219" s="20" t="s">
        <v>4378</v>
      </c>
      <c r="C4219" s="19"/>
      <c r="D4219" s="20" t="s">
        <v>339</v>
      </c>
      <c r="E4219" s="19" t="str">
        <f>VLOOKUP(D4219,'لیست پرسنل'!$B$2:$E$1020,3,FALSE)</f>
        <v>فکورصنعت</v>
      </c>
      <c r="F4219" s="19" t="str">
        <f>VLOOKUP(D4219,'لیست پرسنل'!$B$2:$E$1020,4,FALSE)</f>
        <v>سرپرست مهمانسراهای سیرجان</v>
      </c>
      <c r="G4219" s="127">
        <f>VLOOKUP(D4219,'لیست پرسنل'!$B$2:$F$1020,2,FALSE)</f>
        <v>990904</v>
      </c>
      <c r="H4219" s="130" t="s">
        <v>2563</v>
      </c>
      <c r="I4219" s="127"/>
      <c r="J4219" s="128" t="s">
        <v>5304</v>
      </c>
      <c r="K4219" s="128" t="s">
        <v>5304</v>
      </c>
      <c r="L4219" s="127"/>
      <c r="M4219" s="128">
        <v>606583</v>
      </c>
      <c r="N4219" s="111"/>
      <c r="O4219" s="28"/>
      <c r="P4219" s="28"/>
      <c r="Q4219" s="28"/>
    </row>
    <row r="4220" spans="1:17" ht="24.9" customHeight="1">
      <c r="A4220" s="20" t="s">
        <v>7143</v>
      </c>
      <c r="B4220" s="20" t="s">
        <v>4378</v>
      </c>
      <c r="C4220" s="19"/>
      <c r="D4220" s="20" t="s">
        <v>339</v>
      </c>
      <c r="E4220" s="19" t="str">
        <f>VLOOKUP(D4220,'لیست پرسنل'!$B$2:$E$1020,3,FALSE)</f>
        <v>فکورصنعت</v>
      </c>
      <c r="F4220" s="19" t="str">
        <f>VLOOKUP(D4220,'لیست پرسنل'!$B$2:$E$1020,4,FALSE)</f>
        <v>سرپرست مهمانسراهای سیرجان</v>
      </c>
      <c r="G4220" s="127">
        <f>VLOOKUP(D4220,'لیست پرسنل'!$B$2:$F$1020,2,FALSE)</f>
        <v>990904</v>
      </c>
      <c r="H4220" s="130" t="s">
        <v>2563</v>
      </c>
      <c r="I4220" s="127"/>
      <c r="J4220" s="128" t="s">
        <v>5304</v>
      </c>
      <c r="K4220" s="128" t="s">
        <v>5304</v>
      </c>
      <c r="L4220" s="127"/>
      <c r="M4220" s="128">
        <v>606584</v>
      </c>
      <c r="N4220" s="111"/>
      <c r="O4220" s="28"/>
      <c r="P4220" s="28"/>
      <c r="Q4220" s="28"/>
    </row>
    <row r="4221" spans="1:17" ht="24.9" customHeight="1">
      <c r="A4221" s="20" t="s">
        <v>7143</v>
      </c>
      <c r="B4221" s="20" t="s">
        <v>4378</v>
      </c>
      <c r="C4221" s="19"/>
      <c r="D4221" s="20" t="s">
        <v>339</v>
      </c>
      <c r="E4221" s="19" t="str">
        <f>VLOOKUP(D4221,'لیست پرسنل'!$B$2:$E$1020,3,FALSE)</f>
        <v>فکورصنعت</v>
      </c>
      <c r="F4221" s="19" t="str">
        <f>VLOOKUP(D4221,'لیست پرسنل'!$B$2:$E$1020,4,FALSE)</f>
        <v>سرپرست مهمانسراهای سیرجان</v>
      </c>
      <c r="G4221" s="127">
        <f>VLOOKUP(D4221,'لیست پرسنل'!$B$2:$F$1020,2,FALSE)</f>
        <v>990904</v>
      </c>
      <c r="H4221" s="130" t="s">
        <v>2563</v>
      </c>
      <c r="I4221" s="127"/>
      <c r="J4221" s="128" t="s">
        <v>5304</v>
      </c>
      <c r="K4221" s="128" t="s">
        <v>5304</v>
      </c>
      <c r="L4221" s="127"/>
      <c r="M4221" s="128">
        <v>610385</v>
      </c>
      <c r="N4221" s="111"/>
      <c r="O4221" s="28"/>
      <c r="P4221" s="28"/>
      <c r="Q4221" s="28"/>
    </row>
    <row r="4222" spans="1:17" ht="24.9" customHeight="1">
      <c r="A4222" s="20" t="s">
        <v>7143</v>
      </c>
      <c r="B4222" s="20" t="s">
        <v>4378</v>
      </c>
      <c r="C4222" s="19"/>
      <c r="D4222" s="20" t="s">
        <v>339</v>
      </c>
      <c r="E4222" s="19" t="str">
        <f>VLOOKUP(D4222,'لیست پرسنل'!$B$2:$E$1020,3,FALSE)</f>
        <v>فکورصنعت</v>
      </c>
      <c r="F4222" s="19" t="str">
        <f>VLOOKUP(D4222,'لیست پرسنل'!$B$2:$E$1020,4,FALSE)</f>
        <v>سرپرست مهمانسراهای سیرجان</v>
      </c>
      <c r="G4222" s="127">
        <f>VLOOKUP(D4222,'لیست پرسنل'!$B$2:$F$1020,2,FALSE)</f>
        <v>990904</v>
      </c>
      <c r="H4222" s="130" t="s">
        <v>2563</v>
      </c>
      <c r="I4222" s="127"/>
      <c r="J4222" s="128" t="s">
        <v>5304</v>
      </c>
      <c r="K4222" s="128" t="s">
        <v>5304</v>
      </c>
      <c r="L4222" s="127"/>
      <c r="M4222" s="128">
        <v>611563</v>
      </c>
      <c r="N4222" s="111"/>
      <c r="O4222" s="28"/>
      <c r="P4222" s="28"/>
      <c r="Q4222" s="28"/>
    </row>
    <row r="4223" spans="1:17" ht="24.9" customHeight="1">
      <c r="A4223" s="20" t="s">
        <v>7143</v>
      </c>
      <c r="B4223" s="20" t="s">
        <v>4378</v>
      </c>
      <c r="C4223" s="19"/>
      <c r="D4223" s="20" t="s">
        <v>339</v>
      </c>
      <c r="E4223" s="19" t="str">
        <f>VLOOKUP(D4223,'لیست پرسنل'!$B$2:$E$1020,3,FALSE)</f>
        <v>فکورصنعت</v>
      </c>
      <c r="F4223" s="19" t="str">
        <f>VLOOKUP(D4223,'لیست پرسنل'!$B$2:$E$1020,4,FALSE)</f>
        <v>سرپرست مهمانسراهای سیرجان</v>
      </c>
      <c r="G4223" s="127">
        <f>VLOOKUP(D4223,'لیست پرسنل'!$B$2:$F$1020,2,FALSE)</f>
        <v>990904</v>
      </c>
      <c r="H4223" s="130" t="s">
        <v>2563</v>
      </c>
      <c r="I4223" s="127"/>
      <c r="J4223" s="128" t="s">
        <v>5304</v>
      </c>
      <c r="K4223" s="128" t="s">
        <v>5304</v>
      </c>
      <c r="L4223" s="127"/>
      <c r="M4223" s="128">
        <v>611600</v>
      </c>
      <c r="N4223" s="111"/>
      <c r="O4223" s="28"/>
      <c r="P4223" s="28"/>
      <c r="Q4223" s="28"/>
    </row>
    <row r="4224" spans="1:17" ht="24.9" customHeight="1">
      <c r="A4224" s="20" t="s">
        <v>7143</v>
      </c>
      <c r="B4224" s="20" t="s">
        <v>4378</v>
      </c>
      <c r="C4224" s="19"/>
      <c r="D4224" s="20" t="s">
        <v>339</v>
      </c>
      <c r="E4224" s="19" t="str">
        <f>VLOOKUP(D4224,'لیست پرسنل'!$B$2:$E$1020,3,FALSE)</f>
        <v>فکورصنعت</v>
      </c>
      <c r="F4224" s="19" t="str">
        <f>VLOOKUP(D4224,'لیست پرسنل'!$B$2:$E$1020,4,FALSE)</f>
        <v>سرپرست مهمانسراهای سیرجان</v>
      </c>
      <c r="G4224" s="127">
        <f>VLOOKUP(D4224,'لیست پرسنل'!$B$2:$F$1020,2,FALSE)</f>
        <v>990904</v>
      </c>
      <c r="H4224" s="130" t="s">
        <v>2563</v>
      </c>
      <c r="I4224" s="127"/>
      <c r="J4224" s="128" t="s">
        <v>5304</v>
      </c>
      <c r="K4224" s="128" t="s">
        <v>5304</v>
      </c>
      <c r="L4224" s="127"/>
      <c r="M4224" s="128">
        <v>611797</v>
      </c>
      <c r="N4224" s="111"/>
      <c r="O4224" s="28"/>
      <c r="P4224" s="28"/>
      <c r="Q4224" s="28"/>
    </row>
    <row r="4225" spans="1:17" ht="24.9" customHeight="1">
      <c r="A4225" s="20" t="s">
        <v>7143</v>
      </c>
      <c r="B4225" s="20" t="s">
        <v>4378</v>
      </c>
      <c r="C4225" s="19"/>
      <c r="D4225" s="20" t="s">
        <v>339</v>
      </c>
      <c r="E4225" s="19" t="str">
        <f>VLOOKUP(D4225,'لیست پرسنل'!$B$2:$E$1020,3,FALSE)</f>
        <v>فکورصنعت</v>
      </c>
      <c r="F4225" s="19" t="str">
        <f>VLOOKUP(D4225,'لیست پرسنل'!$B$2:$E$1020,4,FALSE)</f>
        <v>سرپرست مهمانسراهای سیرجان</v>
      </c>
      <c r="G4225" s="127">
        <f>VLOOKUP(D4225,'لیست پرسنل'!$B$2:$F$1020,2,FALSE)</f>
        <v>990904</v>
      </c>
      <c r="H4225" s="130" t="s">
        <v>2563</v>
      </c>
      <c r="I4225" s="127"/>
      <c r="J4225" s="128" t="s">
        <v>5304</v>
      </c>
      <c r="K4225" s="128" t="s">
        <v>5304</v>
      </c>
      <c r="L4225" s="127"/>
      <c r="M4225" s="128">
        <v>611989</v>
      </c>
      <c r="N4225" s="111"/>
      <c r="O4225" s="28"/>
      <c r="P4225" s="28"/>
      <c r="Q4225" s="28"/>
    </row>
    <row r="4226" spans="1:17" ht="24.9" customHeight="1">
      <c r="A4226" s="20" t="s">
        <v>7143</v>
      </c>
      <c r="B4226" s="20" t="s">
        <v>4378</v>
      </c>
      <c r="C4226" s="19"/>
      <c r="D4226" s="20" t="s">
        <v>339</v>
      </c>
      <c r="E4226" s="19" t="str">
        <f>VLOOKUP(D4226,'لیست پرسنل'!$B$2:$E$1020,3,FALSE)</f>
        <v>فکورصنعت</v>
      </c>
      <c r="F4226" s="19" t="str">
        <f>VLOOKUP(D4226,'لیست پرسنل'!$B$2:$E$1020,4,FALSE)</f>
        <v>سرپرست مهمانسراهای سیرجان</v>
      </c>
      <c r="G4226" s="127">
        <f>VLOOKUP(D4226,'لیست پرسنل'!$B$2:$F$1020,2,FALSE)</f>
        <v>990904</v>
      </c>
      <c r="H4226" s="130" t="s">
        <v>2563</v>
      </c>
      <c r="I4226" s="127"/>
      <c r="J4226" s="128" t="s">
        <v>5304</v>
      </c>
      <c r="K4226" s="128" t="s">
        <v>5304</v>
      </c>
      <c r="L4226" s="127"/>
      <c r="M4226" s="128">
        <v>612141</v>
      </c>
      <c r="N4226" s="111"/>
      <c r="O4226" s="28"/>
      <c r="P4226" s="28"/>
      <c r="Q4226" s="28"/>
    </row>
    <row r="4227" spans="1:17" ht="24.9" customHeight="1">
      <c r="A4227" s="20" t="s">
        <v>7143</v>
      </c>
      <c r="B4227" s="20" t="s">
        <v>4378</v>
      </c>
      <c r="C4227" s="19"/>
      <c r="D4227" s="20" t="s">
        <v>339</v>
      </c>
      <c r="E4227" s="19" t="str">
        <f>VLOOKUP(D4227,'لیست پرسنل'!$B$2:$E$1020,3,FALSE)</f>
        <v>فکورصنعت</v>
      </c>
      <c r="F4227" s="19" t="str">
        <f>VLOOKUP(D4227,'لیست پرسنل'!$B$2:$E$1020,4,FALSE)</f>
        <v>سرپرست مهمانسراهای سیرجان</v>
      </c>
      <c r="G4227" s="127">
        <f>VLOOKUP(D4227,'لیست پرسنل'!$B$2:$F$1020,2,FALSE)</f>
        <v>990904</v>
      </c>
      <c r="H4227" s="130" t="s">
        <v>2563</v>
      </c>
      <c r="I4227" s="127"/>
      <c r="J4227" s="128" t="s">
        <v>5304</v>
      </c>
      <c r="K4227" s="128" t="s">
        <v>5304</v>
      </c>
      <c r="L4227" s="127"/>
      <c r="M4227" s="128">
        <v>612142</v>
      </c>
      <c r="N4227" s="111"/>
      <c r="O4227" s="28"/>
      <c r="P4227" s="28"/>
      <c r="Q4227" s="28"/>
    </row>
    <row r="4228" spans="1:17" ht="24.9" customHeight="1">
      <c r="A4228" s="20" t="s">
        <v>7143</v>
      </c>
      <c r="B4228" s="20" t="s">
        <v>4378</v>
      </c>
      <c r="C4228" s="19"/>
      <c r="D4228" s="20" t="s">
        <v>339</v>
      </c>
      <c r="E4228" s="19" t="str">
        <f>VLOOKUP(D4228,'لیست پرسنل'!$B$2:$E$1020,3,FALSE)</f>
        <v>فکورصنعت</v>
      </c>
      <c r="F4228" s="19" t="str">
        <f>VLOOKUP(D4228,'لیست پرسنل'!$B$2:$E$1020,4,FALSE)</f>
        <v>سرپرست مهمانسراهای سیرجان</v>
      </c>
      <c r="G4228" s="127">
        <f>VLOOKUP(D4228,'لیست پرسنل'!$B$2:$F$1020,2,FALSE)</f>
        <v>990904</v>
      </c>
      <c r="H4228" s="130" t="s">
        <v>2563</v>
      </c>
      <c r="I4228" s="127"/>
      <c r="J4228" s="128" t="s">
        <v>5304</v>
      </c>
      <c r="K4228" s="128" t="s">
        <v>5304</v>
      </c>
      <c r="L4228" s="127"/>
      <c r="M4228" s="128">
        <v>613103</v>
      </c>
      <c r="N4228" s="111"/>
      <c r="O4228" s="28"/>
      <c r="P4228" s="28"/>
      <c r="Q4228" s="28"/>
    </row>
    <row r="4229" spans="1:17" ht="24.9" customHeight="1">
      <c r="A4229" s="20" t="s">
        <v>7143</v>
      </c>
      <c r="B4229" s="20" t="s">
        <v>4378</v>
      </c>
      <c r="C4229" s="19"/>
      <c r="D4229" s="20" t="s">
        <v>339</v>
      </c>
      <c r="E4229" s="19" t="str">
        <f>VLOOKUP(D4229,'لیست پرسنل'!$B$2:$E$1020,3,FALSE)</f>
        <v>فکورصنعت</v>
      </c>
      <c r="F4229" s="19" t="str">
        <f>VLOOKUP(D4229,'لیست پرسنل'!$B$2:$E$1020,4,FALSE)</f>
        <v>سرپرست مهمانسراهای سیرجان</v>
      </c>
      <c r="G4229" s="127">
        <f>VLOOKUP(D4229,'لیست پرسنل'!$B$2:$F$1020,2,FALSE)</f>
        <v>990904</v>
      </c>
      <c r="H4229" s="130" t="s">
        <v>2563</v>
      </c>
      <c r="I4229" s="127"/>
      <c r="J4229" s="128" t="s">
        <v>5304</v>
      </c>
      <c r="K4229" s="128" t="s">
        <v>5304</v>
      </c>
      <c r="L4229" s="127"/>
      <c r="M4229" s="128">
        <v>613374</v>
      </c>
      <c r="N4229" s="111"/>
      <c r="O4229" s="28"/>
      <c r="P4229" s="28"/>
      <c r="Q4229" s="28"/>
    </row>
    <row r="4230" spans="1:17" ht="24.9" customHeight="1">
      <c r="A4230" s="20" t="s">
        <v>7143</v>
      </c>
      <c r="B4230" s="20" t="s">
        <v>4378</v>
      </c>
      <c r="C4230" s="19"/>
      <c r="D4230" s="20" t="s">
        <v>339</v>
      </c>
      <c r="E4230" s="19" t="str">
        <f>VLOOKUP(D4230,'لیست پرسنل'!$B$2:$E$1020,3,FALSE)</f>
        <v>فکورصنعت</v>
      </c>
      <c r="F4230" s="19" t="str">
        <f>VLOOKUP(D4230,'لیست پرسنل'!$B$2:$E$1020,4,FALSE)</f>
        <v>سرپرست مهمانسراهای سیرجان</v>
      </c>
      <c r="G4230" s="127">
        <f>VLOOKUP(D4230,'لیست پرسنل'!$B$2:$F$1020,2,FALSE)</f>
        <v>990904</v>
      </c>
      <c r="H4230" s="130" t="s">
        <v>2563</v>
      </c>
      <c r="I4230" s="127"/>
      <c r="J4230" s="128" t="s">
        <v>5304</v>
      </c>
      <c r="K4230" s="128" t="s">
        <v>5304</v>
      </c>
      <c r="L4230" s="127"/>
      <c r="M4230" s="128">
        <v>614821</v>
      </c>
      <c r="N4230" s="111"/>
      <c r="O4230" s="28"/>
      <c r="P4230" s="28"/>
      <c r="Q4230" s="28"/>
    </row>
    <row r="4231" spans="1:17" ht="24.9" customHeight="1">
      <c r="A4231" s="20" t="s">
        <v>7143</v>
      </c>
      <c r="B4231" s="20" t="s">
        <v>4378</v>
      </c>
      <c r="C4231" s="19"/>
      <c r="D4231" s="20" t="s">
        <v>339</v>
      </c>
      <c r="E4231" s="19" t="str">
        <f>VLOOKUP(D4231,'لیست پرسنل'!$B$2:$E$1020,3,FALSE)</f>
        <v>فکورصنعت</v>
      </c>
      <c r="F4231" s="19" t="str">
        <f>VLOOKUP(D4231,'لیست پرسنل'!$B$2:$E$1020,4,FALSE)</f>
        <v>سرپرست مهمانسراهای سیرجان</v>
      </c>
      <c r="G4231" s="127">
        <f>VLOOKUP(D4231,'لیست پرسنل'!$B$2:$F$1020,2,FALSE)</f>
        <v>990904</v>
      </c>
      <c r="H4231" s="130" t="s">
        <v>2563</v>
      </c>
      <c r="I4231" s="127"/>
      <c r="J4231" s="128" t="s">
        <v>5304</v>
      </c>
      <c r="K4231" s="128" t="s">
        <v>5304</v>
      </c>
      <c r="L4231" s="127"/>
      <c r="M4231" s="128">
        <v>614852</v>
      </c>
      <c r="N4231" s="111"/>
      <c r="O4231" s="28"/>
      <c r="P4231" s="28"/>
      <c r="Q4231" s="28"/>
    </row>
    <row r="4232" spans="1:17" ht="24.9" customHeight="1">
      <c r="A4232" s="20" t="s">
        <v>7143</v>
      </c>
      <c r="B4232" s="20" t="s">
        <v>4378</v>
      </c>
      <c r="C4232" s="19"/>
      <c r="D4232" s="20" t="s">
        <v>339</v>
      </c>
      <c r="E4232" s="19" t="str">
        <f>VLOOKUP(D4232,'لیست پرسنل'!$B$2:$E$1020,3,FALSE)</f>
        <v>فکورصنعت</v>
      </c>
      <c r="F4232" s="19" t="str">
        <f>VLOOKUP(D4232,'لیست پرسنل'!$B$2:$E$1020,4,FALSE)</f>
        <v>سرپرست مهمانسراهای سیرجان</v>
      </c>
      <c r="G4232" s="127">
        <f>VLOOKUP(D4232,'لیست پرسنل'!$B$2:$F$1020,2,FALSE)</f>
        <v>990904</v>
      </c>
      <c r="H4232" s="130" t="s">
        <v>2563</v>
      </c>
      <c r="I4232" s="127"/>
      <c r="J4232" s="128" t="s">
        <v>5304</v>
      </c>
      <c r="K4232" s="128" t="s">
        <v>5304</v>
      </c>
      <c r="L4232" s="127"/>
      <c r="M4232" s="128">
        <v>616316</v>
      </c>
      <c r="N4232" s="111"/>
      <c r="O4232" s="28"/>
      <c r="P4232" s="28"/>
      <c r="Q4232" s="28"/>
    </row>
    <row r="4233" spans="1:17" ht="24.9" customHeight="1">
      <c r="A4233" s="20" t="s">
        <v>7143</v>
      </c>
      <c r="B4233" s="20" t="s">
        <v>4378</v>
      </c>
      <c r="C4233" s="19"/>
      <c r="D4233" s="20" t="s">
        <v>339</v>
      </c>
      <c r="E4233" s="19" t="str">
        <f>VLOOKUP(D4233,'لیست پرسنل'!$B$2:$E$1020,3,FALSE)</f>
        <v>فکورصنعت</v>
      </c>
      <c r="F4233" s="19" t="str">
        <f>VLOOKUP(D4233,'لیست پرسنل'!$B$2:$E$1020,4,FALSE)</f>
        <v>سرپرست مهمانسراهای سیرجان</v>
      </c>
      <c r="G4233" s="127">
        <f>VLOOKUP(D4233,'لیست پرسنل'!$B$2:$F$1020,2,FALSE)</f>
        <v>990904</v>
      </c>
      <c r="H4233" s="130" t="s">
        <v>2563</v>
      </c>
      <c r="I4233" s="127"/>
      <c r="J4233" s="128" t="s">
        <v>5304</v>
      </c>
      <c r="K4233" s="128" t="s">
        <v>5304</v>
      </c>
      <c r="L4233" s="127"/>
      <c r="M4233" s="128">
        <v>620729</v>
      </c>
      <c r="N4233" s="111"/>
      <c r="O4233" s="28"/>
      <c r="P4233" s="28"/>
      <c r="Q4233" s="28"/>
    </row>
    <row r="4234" spans="1:17" ht="24.9" customHeight="1">
      <c r="A4234" s="20" t="s">
        <v>7143</v>
      </c>
      <c r="B4234" s="20" t="s">
        <v>4378</v>
      </c>
      <c r="C4234" s="19"/>
      <c r="D4234" s="20" t="s">
        <v>339</v>
      </c>
      <c r="E4234" s="19" t="str">
        <f>VLOOKUP(D4234,'لیست پرسنل'!$B$2:$E$1020,3,FALSE)</f>
        <v>فکورصنعت</v>
      </c>
      <c r="F4234" s="19" t="str">
        <f>VLOOKUP(D4234,'لیست پرسنل'!$B$2:$E$1020,4,FALSE)</f>
        <v>سرپرست مهمانسراهای سیرجان</v>
      </c>
      <c r="G4234" s="127">
        <f>VLOOKUP(D4234,'لیست پرسنل'!$B$2:$F$1020,2,FALSE)</f>
        <v>990904</v>
      </c>
      <c r="H4234" s="130" t="s">
        <v>2563</v>
      </c>
      <c r="I4234" s="127"/>
      <c r="J4234" s="128" t="s">
        <v>5304</v>
      </c>
      <c r="K4234" s="128" t="s">
        <v>5304</v>
      </c>
      <c r="L4234" s="127"/>
      <c r="M4234" s="128">
        <v>620731</v>
      </c>
      <c r="N4234" s="111"/>
      <c r="O4234" s="28"/>
      <c r="P4234" s="28"/>
      <c r="Q4234" s="28"/>
    </row>
    <row r="4235" spans="1:17" ht="24.9" customHeight="1">
      <c r="A4235" s="20" t="s">
        <v>7143</v>
      </c>
      <c r="B4235" s="20" t="s">
        <v>4378</v>
      </c>
      <c r="C4235" s="19"/>
      <c r="D4235" s="20" t="s">
        <v>339</v>
      </c>
      <c r="E4235" s="19" t="str">
        <f>VLOOKUP(D4235,'لیست پرسنل'!$B$2:$E$1020,3,FALSE)</f>
        <v>فکورصنعت</v>
      </c>
      <c r="F4235" s="19" t="str">
        <f>VLOOKUP(D4235,'لیست پرسنل'!$B$2:$E$1020,4,FALSE)</f>
        <v>سرپرست مهمانسراهای سیرجان</v>
      </c>
      <c r="G4235" s="127">
        <f>VLOOKUP(D4235,'لیست پرسنل'!$B$2:$F$1020,2,FALSE)</f>
        <v>990904</v>
      </c>
      <c r="H4235" s="130" t="s">
        <v>2563</v>
      </c>
      <c r="I4235" s="127"/>
      <c r="J4235" s="128" t="s">
        <v>5304</v>
      </c>
      <c r="K4235" s="128" t="s">
        <v>5304</v>
      </c>
      <c r="L4235" s="127"/>
      <c r="M4235" s="128">
        <v>621414</v>
      </c>
      <c r="N4235" s="111"/>
      <c r="O4235" s="28"/>
      <c r="P4235" s="28"/>
      <c r="Q4235" s="28"/>
    </row>
    <row r="4236" spans="1:17" ht="24.9" customHeight="1">
      <c r="A4236" s="20" t="s">
        <v>7143</v>
      </c>
      <c r="B4236" s="20" t="s">
        <v>4378</v>
      </c>
      <c r="C4236" s="20"/>
      <c r="D4236" s="20" t="s">
        <v>339</v>
      </c>
      <c r="E4236" s="19" t="str">
        <f>VLOOKUP(D4236,'لیست پرسنل'!$B$2:$E$1020,3,FALSE)</f>
        <v>فکورصنعت</v>
      </c>
      <c r="F4236" s="19" t="str">
        <f>VLOOKUP(D4236,'لیست پرسنل'!$B$2:$E$1020,4,FALSE)</f>
        <v>سرپرست مهمانسراهای سیرجان</v>
      </c>
      <c r="G4236" s="127">
        <f>VLOOKUP(D4236,'لیست پرسنل'!$B$2:$F$1020,2,FALSE)</f>
        <v>990904</v>
      </c>
      <c r="H4236" s="130" t="s">
        <v>2563</v>
      </c>
      <c r="I4236" s="128"/>
      <c r="J4236" s="128" t="s">
        <v>5304</v>
      </c>
      <c r="K4236" s="128" t="s">
        <v>5302</v>
      </c>
      <c r="L4236" s="128"/>
      <c r="M4236" s="128">
        <v>622010</v>
      </c>
      <c r="N4236" s="124" t="s">
        <v>7355</v>
      </c>
      <c r="O4236" s="20"/>
      <c r="P4236" s="20"/>
      <c r="Q4236" s="20"/>
    </row>
    <row r="4237" spans="1:17" ht="24.9" customHeight="1">
      <c r="A4237" s="20" t="s">
        <v>7143</v>
      </c>
      <c r="B4237" s="20" t="s">
        <v>4378</v>
      </c>
      <c r="C4237" s="19"/>
      <c r="D4237" s="20" t="s">
        <v>339</v>
      </c>
      <c r="E4237" s="19" t="str">
        <f>VLOOKUP(D4237,'لیست پرسنل'!$B$2:$E$1020,3,FALSE)</f>
        <v>فکورصنعت</v>
      </c>
      <c r="F4237" s="19" t="str">
        <f>VLOOKUP(D4237,'لیست پرسنل'!$B$2:$E$1020,4,FALSE)</f>
        <v>سرپرست مهمانسراهای سیرجان</v>
      </c>
      <c r="G4237" s="127">
        <f>VLOOKUP(D4237,'لیست پرسنل'!$B$2:$F$1020,2,FALSE)</f>
        <v>990904</v>
      </c>
      <c r="H4237" s="130" t="s">
        <v>2563</v>
      </c>
      <c r="I4237" s="127"/>
      <c r="J4237" s="128" t="s">
        <v>5304</v>
      </c>
      <c r="K4237" s="128" t="s">
        <v>5304</v>
      </c>
      <c r="L4237" s="127"/>
      <c r="M4237" s="128" t="s">
        <v>291</v>
      </c>
      <c r="N4237" s="111"/>
      <c r="O4237" s="28"/>
      <c r="P4237" s="28"/>
      <c r="Q4237" s="28"/>
    </row>
    <row r="4238" spans="1:17" ht="24.9" customHeight="1">
      <c r="A4238" s="20" t="s">
        <v>7143</v>
      </c>
      <c r="B4238" s="20" t="s">
        <v>4378</v>
      </c>
      <c r="C4238" s="19"/>
      <c r="D4238" s="20" t="s">
        <v>339</v>
      </c>
      <c r="E4238" s="19" t="str">
        <f>VLOOKUP(D4238,'لیست پرسنل'!$B$2:$E$1020,3,FALSE)</f>
        <v>فکورصنعت</v>
      </c>
      <c r="F4238" s="19" t="str">
        <f>VLOOKUP(D4238,'لیست پرسنل'!$B$2:$E$1020,4,FALSE)</f>
        <v>سرپرست مهمانسراهای سیرجان</v>
      </c>
      <c r="G4238" s="127">
        <f>VLOOKUP(D4238,'لیست پرسنل'!$B$2:$F$1020,2,FALSE)</f>
        <v>990904</v>
      </c>
      <c r="H4238" s="130" t="s">
        <v>2563</v>
      </c>
      <c r="I4238" s="127"/>
      <c r="J4238" s="128" t="s">
        <v>5304</v>
      </c>
      <c r="K4238" s="128" t="s">
        <v>5304</v>
      </c>
      <c r="L4238" s="127"/>
      <c r="M4238" s="128" t="s">
        <v>291</v>
      </c>
      <c r="N4238" s="111"/>
      <c r="O4238" s="28"/>
      <c r="P4238" s="28"/>
      <c r="Q4238" s="28"/>
    </row>
    <row r="4239" spans="1:17" ht="24.9" customHeight="1">
      <c r="A4239" s="20" t="s">
        <v>7143</v>
      </c>
      <c r="B4239" s="20" t="s">
        <v>4378</v>
      </c>
      <c r="C4239" s="20"/>
      <c r="D4239" s="20" t="s">
        <v>339</v>
      </c>
      <c r="E4239" s="19" t="str">
        <f>VLOOKUP(D4239,'لیست پرسنل'!$B$2:$E$1020,3,FALSE)</f>
        <v>فکورصنعت</v>
      </c>
      <c r="F4239" s="19" t="str">
        <f>VLOOKUP(D4239,'لیست پرسنل'!$B$2:$E$1020,4,FALSE)</f>
        <v>سرپرست مهمانسراهای سیرجان</v>
      </c>
      <c r="G4239" s="127">
        <f>VLOOKUP(D4239,'لیست پرسنل'!$B$2:$F$1020,2,FALSE)</f>
        <v>990904</v>
      </c>
      <c r="H4239" s="128" t="s">
        <v>5832</v>
      </c>
      <c r="I4239" s="128"/>
      <c r="J4239" s="128" t="s">
        <v>3966</v>
      </c>
      <c r="K4239" s="127" t="s">
        <v>5833</v>
      </c>
      <c r="L4239" s="151" t="s">
        <v>5834</v>
      </c>
      <c r="M4239" s="128">
        <v>604466</v>
      </c>
      <c r="N4239" s="108"/>
      <c r="O4239" s="20"/>
      <c r="P4239" s="20"/>
      <c r="Q4239" s="20"/>
    </row>
    <row r="4240" spans="1:17" ht="24.9" customHeight="1">
      <c r="A4240" s="20" t="s">
        <v>7143</v>
      </c>
      <c r="B4240" s="20" t="s">
        <v>4378</v>
      </c>
      <c r="C4240" s="20"/>
      <c r="D4240" s="20" t="s">
        <v>339</v>
      </c>
      <c r="E4240" s="19" t="str">
        <f>VLOOKUP(D4240,'لیست پرسنل'!$B$2:$E$1020,3,FALSE)</f>
        <v>فکورصنعت</v>
      </c>
      <c r="F4240" s="19" t="str">
        <f>VLOOKUP(D4240,'لیست پرسنل'!$B$2:$E$1020,4,FALSE)</f>
        <v>سرپرست مهمانسراهای سیرجان</v>
      </c>
      <c r="G4240" s="127">
        <f>VLOOKUP(D4240,'لیست پرسنل'!$B$2:$F$1020,2,FALSE)</f>
        <v>990904</v>
      </c>
      <c r="H4240" s="128" t="s">
        <v>5735</v>
      </c>
      <c r="I4240" s="155"/>
      <c r="J4240" s="128" t="s">
        <v>5433</v>
      </c>
      <c r="K4240" s="128" t="s">
        <v>5734</v>
      </c>
      <c r="L4240" s="128" t="s">
        <v>5732</v>
      </c>
      <c r="M4240" s="127">
        <v>631971</v>
      </c>
      <c r="N4240" s="111"/>
      <c r="O4240" s="20"/>
      <c r="P4240" s="28"/>
      <c r="Q4240" s="28"/>
    </row>
    <row r="4241" spans="1:17" ht="24.9" customHeight="1">
      <c r="A4241" s="20" t="s">
        <v>7143</v>
      </c>
      <c r="B4241" s="20" t="s">
        <v>4378</v>
      </c>
      <c r="C4241" s="20"/>
      <c r="D4241" s="20" t="s">
        <v>339</v>
      </c>
      <c r="E4241" s="19" t="str">
        <f>VLOOKUP(D4241,'لیست پرسنل'!$B$2:$E$1020,3,FALSE)</f>
        <v>فکورصنعت</v>
      </c>
      <c r="F4241" s="19" t="str">
        <f>VLOOKUP(D4241,'لیست پرسنل'!$B$2:$E$1020,4,FALSE)</f>
        <v>سرپرست مهمانسراهای سیرجان</v>
      </c>
      <c r="G4241" s="127">
        <f>VLOOKUP(D4241,'لیست پرسنل'!$B$2:$F$1020,2,FALSE)</f>
        <v>990904</v>
      </c>
      <c r="H4241" s="128" t="s">
        <v>5735</v>
      </c>
      <c r="I4241" s="155"/>
      <c r="J4241" s="128" t="s">
        <v>5433</v>
      </c>
      <c r="K4241" s="128" t="s">
        <v>5734</v>
      </c>
      <c r="L4241" s="128" t="s">
        <v>5733</v>
      </c>
      <c r="M4241" s="127">
        <v>631972</v>
      </c>
      <c r="N4241" s="111"/>
      <c r="O4241" s="20"/>
      <c r="P4241" s="28"/>
      <c r="Q4241" s="28"/>
    </row>
    <row r="4242" spans="1:17" ht="24.9" customHeight="1">
      <c r="A4242" s="20" t="s">
        <v>7143</v>
      </c>
      <c r="B4242" s="20" t="s">
        <v>4375</v>
      </c>
      <c r="C4242" s="20">
        <v>1</v>
      </c>
      <c r="D4242" s="20" t="s">
        <v>4600</v>
      </c>
      <c r="E4242" s="19" t="str">
        <f>VLOOKUP(D4242,'لیست پرسنل'!$B$2:$E$1020,3,FALSE)</f>
        <v>فکورصنعت</v>
      </c>
      <c r="F4242" s="19" t="str">
        <f>VLOOKUP(D4242,'لیست پرسنل'!$B$2:$E$1020,4,FALSE)</f>
        <v>انبار</v>
      </c>
      <c r="G4242" s="127">
        <f>VLOOKUP(D4242,'لیست پرسنل'!$B$2:$F$1020,2,FALSE)</f>
        <v>1251</v>
      </c>
      <c r="H4242" s="127" t="s">
        <v>3902</v>
      </c>
      <c r="I4242" s="127" t="s">
        <v>251</v>
      </c>
      <c r="J4242" s="127" t="s">
        <v>737</v>
      </c>
      <c r="K4242" s="128" t="s">
        <v>5781</v>
      </c>
      <c r="L4242" s="128" t="s">
        <v>5913</v>
      </c>
      <c r="M4242" s="132">
        <v>632439</v>
      </c>
      <c r="N4242" s="111"/>
      <c r="O4242" s="19"/>
      <c r="P4242" s="20"/>
      <c r="Q4242" s="20"/>
    </row>
    <row r="4243" spans="1:17" ht="24.9" customHeight="1">
      <c r="A4243" s="20" t="s">
        <v>7143</v>
      </c>
      <c r="B4243" s="20" t="s">
        <v>4375</v>
      </c>
      <c r="C4243" s="20">
        <v>1</v>
      </c>
      <c r="D4243" s="20" t="s">
        <v>4600</v>
      </c>
      <c r="E4243" s="19" t="str">
        <f>VLOOKUP(D4243,'لیست پرسنل'!$B$2:$E$1020,3,FALSE)</f>
        <v>فکورصنعت</v>
      </c>
      <c r="F4243" s="19" t="str">
        <f>VLOOKUP(D4243,'لیست پرسنل'!$B$2:$E$1020,4,FALSE)</f>
        <v>انبار</v>
      </c>
      <c r="G4243" s="127">
        <f>VLOOKUP(D4243,'لیست پرسنل'!$B$2:$F$1020,2,FALSE)</f>
        <v>1251</v>
      </c>
      <c r="H4243" s="127" t="s">
        <v>3902</v>
      </c>
      <c r="I4243" s="127" t="s">
        <v>251</v>
      </c>
      <c r="J4243" s="126" t="s">
        <v>368</v>
      </c>
      <c r="K4243" s="127" t="s">
        <v>660</v>
      </c>
      <c r="L4243" s="151"/>
      <c r="M4243" s="127">
        <v>626006</v>
      </c>
      <c r="N4243" s="108"/>
      <c r="O4243" s="19"/>
      <c r="P4243" s="20"/>
      <c r="Q4243" s="20"/>
    </row>
    <row r="4244" spans="1:17" ht="24.9" customHeight="1">
      <c r="A4244" s="20" t="s">
        <v>7143</v>
      </c>
      <c r="B4244" s="20" t="s">
        <v>4375</v>
      </c>
      <c r="C4244" s="20">
        <v>1</v>
      </c>
      <c r="D4244" s="20" t="s">
        <v>4600</v>
      </c>
      <c r="E4244" s="19" t="str">
        <f>VLOOKUP(D4244,'لیست پرسنل'!$B$2:$E$1020,3,FALSE)</f>
        <v>فکورصنعت</v>
      </c>
      <c r="F4244" s="19" t="str">
        <f>VLOOKUP(D4244,'لیست پرسنل'!$B$2:$E$1020,4,FALSE)</f>
        <v>انبار</v>
      </c>
      <c r="G4244" s="127">
        <f>VLOOKUP(D4244,'لیست پرسنل'!$B$2:$F$1020,2,FALSE)</f>
        <v>1251</v>
      </c>
      <c r="H4244" s="127" t="s">
        <v>3902</v>
      </c>
      <c r="I4244" s="127" t="s">
        <v>251</v>
      </c>
      <c r="J4244" s="128" t="s">
        <v>571</v>
      </c>
      <c r="K4244" s="134" t="s">
        <v>2219</v>
      </c>
      <c r="L4244" s="164"/>
      <c r="M4244" s="128">
        <v>628601</v>
      </c>
      <c r="N4244" s="108"/>
      <c r="O4244" s="46"/>
      <c r="P4244" s="20"/>
      <c r="Q4244" s="20"/>
    </row>
    <row r="4245" spans="1:17" ht="24.9" customHeight="1">
      <c r="A4245" s="20" t="s">
        <v>7143</v>
      </c>
      <c r="B4245" s="20" t="s">
        <v>4375</v>
      </c>
      <c r="C4245" s="20">
        <v>1</v>
      </c>
      <c r="D4245" s="20" t="s">
        <v>4600</v>
      </c>
      <c r="E4245" s="19" t="str">
        <f>VLOOKUP(D4245,'لیست پرسنل'!$B$2:$E$1020,3,FALSE)</f>
        <v>فکورصنعت</v>
      </c>
      <c r="F4245" s="19" t="str">
        <f>VLOOKUP(D4245,'لیست پرسنل'!$B$2:$E$1020,4,FALSE)</f>
        <v>انبار</v>
      </c>
      <c r="G4245" s="127">
        <f>VLOOKUP(D4245,'لیست پرسنل'!$B$2:$F$1020,2,FALSE)</f>
        <v>1251</v>
      </c>
      <c r="H4245" s="127" t="s">
        <v>3902</v>
      </c>
      <c r="I4245" s="127" t="s">
        <v>251</v>
      </c>
      <c r="J4245" s="128" t="s">
        <v>2686</v>
      </c>
      <c r="K4245" s="134" t="s">
        <v>1387</v>
      </c>
      <c r="L4245" s="164" t="s">
        <v>449</v>
      </c>
      <c r="M4245" s="134">
        <v>609604</v>
      </c>
      <c r="N4245" s="108"/>
      <c r="O4245" s="20"/>
      <c r="P4245" s="20"/>
      <c r="Q4245" s="20"/>
    </row>
    <row r="4246" spans="1:17" ht="24.9" customHeight="1">
      <c r="A4246" s="20" t="s">
        <v>7143</v>
      </c>
      <c r="B4246" s="20" t="s">
        <v>4375</v>
      </c>
      <c r="C4246" s="20">
        <v>3</v>
      </c>
      <c r="D4246" s="20" t="s">
        <v>244</v>
      </c>
      <c r="E4246" s="19" t="str">
        <f>VLOOKUP(D4246,'لیست پرسنل'!$B$2:$E$1020,3,FALSE)</f>
        <v>فکورصنعت</v>
      </c>
      <c r="F4246" s="19" t="str">
        <f>VLOOKUP(D4246,'لیست پرسنل'!$B$2:$E$1020,4,FALSE)</f>
        <v>انبار</v>
      </c>
      <c r="G4246" s="127">
        <f>VLOOKUP(D4246,'لیست پرسنل'!$B$2:$F$1020,2,FALSE)</f>
        <v>1571</v>
      </c>
      <c r="H4246" s="127" t="s">
        <v>3902</v>
      </c>
      <c r="I4246" s="127" t="s">
        <v>243</v>
      </c>
      <c r="J4246" s="128" t="s">
        <v>737</v>
      </c>
      <c r="K4246" s="128" t="s">
        <v>248</v>
      </c>
      <c r="L4246" s="128" t="s">
        <v>249</v>
      </c>
      <c r="M4246" s="134">
        <v>606696</v>
      </c>
      <c r="N4246" s="115"/>
      <c r="O4246" s="46"/>
      <c r="P4246" s="20"/>
      <c r="Q4246" s="20"/>
    </row>
    <row r="4247" spans="1:17" ht="24.9" customHeight="1">
      <c r="A4247" s="20" t="s">
        <v>7143</v>
      </c>
      <c r="B4247" s="20" t="s">
        <v>4375</v>
      </c>
      <c r="C4247" s="20">
        <v>3</v>
      </c>
      <c r="D4247" s="20" t="s">
        <v>244</v>
      </c>
      <c r="E4247" s="19" t="str">
        <f>VLOOKUP(D4247,'لیست پرسنل'!$B$2:$E$1020,3,FALSE)</f>
        <v>فکورصنعت</v>
      </c>
      <c r="F4247" s="19" t="str">
        <f>VLOOKUP(D4247,'لیست پرسنل'!$B$2:$E$1020,4,FALSE)</f>
        <v>انبار</v>
      </c>
      <c r="G4247" s="127">
        <f>VLOOKUP(D4247,'لیست پرسنل'!$B$2:$F$1020,2,FALSE)</f>
        <v>1571</v>
      </c>
      <c r="H4247" s="127" t="s">
        <v>3902</v>
      </c>
      <c r="I4247" s="127" t="s">
        <v>243</v>
      </c>
      <c r="J4247" s="128" t="s">
        <v>737</v>
      </c>
      <c r="K4247" s="127" t="s">
        <v>3930</v>
      </c>
      <c r="L4247" s="127" t="s">
        <v>745</v>
      </c>
      <c r="M4247" s="127">
        <v>622547</v>
      </c>
      <c r="N4247" s="109"/>
      <c r="O4247" s="19" t="s">
        <v>3931</v>
      </c>
      <c r="P4247" s="20"/>
      <c r="Q4247" s="20"/>
    </row>
    <row r="4248" spans="1:17" ht="24.9" customHeight="1">
      <c r="A4248" s="20" t="s">
        <v>7143</v>
      </c>
      <c r="B4248" s="20" t="s">
        <v>4375</v>
      </c>
      <c r="C4248" s="20">
        <v>3</v>
      </c>
      <c r="D4248" s="20" t="s">
        <v>244</v>
      </c>
      <c r="E4248" s="19" t="str">
        <f>VLOOKUP(D4248,'لیست پرسنل'!$B$2:$E$1020,3,FALSE)</f>
        <v>فکورصنعت</v>
      </c>
      <c r="F4248" s="19" t="str">
        <f>VLOOKUP(D4248,'لیست پرسنل'!$B$2:$E$1020,4,FALSE)</f>
        <v>انبار</v>
      </c>
      <c r="G4248" s="127">
        <f>VLOOKUP(D4248,'لیست پرسنل'!$B$2:$F$1020,2,FALSE)</f>
        <v>1571</v>
      </c>
      <c r="H4248" s="127" t="s">
        <v>3902</v>
      </c>
      <c r="I4248" s="127" t="s">
        <v>243</v>
      </c>
      <c r="J4248" s="126" t="s">
        <v>368</v>
      </c>
      <c r="K4248" s="128" t="s">
        <v>2846</v>
      </c>
      <c r="L4248" s="128" t="s">
        <v>1925</v>
      </c>
      <c r="M4248" s="128">
        <v>624661</v>
      </c>
      <c r="N4248" s="115"/>
      <c r="O4248" s="46"/>
      <c r="P4248" s="20"/>
      <c r="Q4248" s="20"/>
    </row>
    <row r="4249" spans="1:17" ht="24.9" customHeight="1">
      <c r="A4249" s="20" t="s">
        <v>7143</v>
      </c>
      <c r="B4249" s="20" t="s">
        <v>4375</v>
      </c>
      <c r="C4249" s="20">
        <v>3</v>
      </c>
      <c r="D4249" s="20" t="s">
        <v>244</v>
      </c>
      <c r="E4249" s="19" t="str">
        <f>VLOOKUP(D4249,'لیست پرسنل'!$B$2:$E$1020,3,FALSE)</f>
        <v>فکورصنعت</v>
      </c>
      <c r="F4249" s="19" t="str">
        <f>VLOOKUP(D4249,'لیست پرسنل'!$B$2:$E$1020,4,FALSE)</f>
        <v>انبار</v>
      </c>
      <c r="G4249" s="127">
        <f>VLOOKUP(D4249,'لیست پرسنل'!$B$2:$F$1020,2,FALSE)</f>
        <v>1571</v>
      </c>
      <c r="H4249" s="127" t="s">
        <v>3902</v>
      </c>
      <c r="I4249" s="127" t="s">
        <v>243</v>
      </c>
      <c r="J4249" s="128" t="s">
        <v>571</v>
      </c>
      <c r="K4249" s="128" t="s">
        <v>2219</v>
      </c>
      <c r="L4249" s="150"/>
      <c r="M4249" s="126">
        <v>628588</v>
      </c>
      <c r="N4249" s="115"/>
      <c r="O4249" s="46"/>
      <c r="P4249" s="20"/>
      <c r="Q4249" s="20"/>
    </row>
    <row r="4250" spans="1:17" ht="24.9" customHeight="1">
      <c r="A4250" s="20" t="s">
        <v>7143</v>
      </c>
      <c r="B4250" s="20" t="s">
        <v>4375</v>
      </c>
      <c r="C4250" s="20">
        <v>3</v>
      </c>
      <c r="D4250" s="20" t="s">
        <v>244</v>
      </c>
      <c r="E4250" s="19" t="str">
        <f>VLOOKUP(D4250,'لیست پرسنل'!$B$2:$E$1020,3,FALSE)</f>
        <v>فکورصنعت</v>
      </c>
      <c r="F4250" s="19" t="str">
        <f>VLOOKUP(D4250,'لیست پرسنل'!$B$2:$E$1020,4,FALSE)</f>
        <v>انبار</v>
      </c>
      <c r="G4250" s="127">
        <f>VLOOKUP(D4250,'لیست پرسنل'!$B$2:$F$1020,2,FALSE)</f>
        <v>1571</v>
      </c>
      <c r="H4250" s="127" t="s">
        <v>3902</v>
      </c>
      <c r="I4250" s="127" t="s">
        <v>243</v>
      </c>
      <c r="J4250" s="128" t="s">
        <v>2686</v>
      </c>
      <c r="K4250" s="128" t="s">
        <v>320</v>
      </c>
      <c r="L4250" s="150" t="s">
        <v>3903</v>
      </c>
      <c r="M4250" s="128">
        <v>611960</v>
      </c>
      <c r="N4250" s="108"/>
      <c r="O4250" s="20"/>
      <c r="P4250" s="20"/>
      <c r="Q4250" s="20"/>
    </row>
    <row r="4251" spans="1:17" ht="24.9" customHeight="1">
      <c r="A4251" s="20" t="s">
        <v>7143</v>
      </c>
      <c r="B4251" s="20" t="s">
        <v>4375</v>
      </c>
      <c r="C4251" s="20">
        <v>4</v>
      </c>
      <c r="D4251" s="20" t="s">
        <v>1341</v>
      </c>
      <c r="E4251" s="19" t="str">
        <f>VLOOKUP(D4251,'لیست پرسنل'!$B$2:$E$1020,3,FALSE)</f>
        <v>فکورصنعت</v>
      </c>
      <c r="F4251" s="19" t="str">
        <f>VLOOKUP(D4251,'لیست پرسنل'!$B$2:$E$1020,4,FALSE)</f>
        <v>انبار</v>
      </c>
      <c r="G4251" s="127" t="str">
        <f>VLOOKUP(D4251,'لیست پرسنل'!$B$2:$F$1020,2,FALSE)</f>
        <v>1263</v>
      </c>
      <c r="H4251" s="127" t="s">
        <v>3902</v>
      </c>
      <c r="I4251" s="128" t="s">
        <v>250</v>
      </c>
      <c r="J4251" s="128" t="s">
        <v>737</v>
      </c>
      <c r="K4251" s="128" t="s">
        <v>8455</v>
      </c>
      <c r="L4251" s="128" t="s">
        <v>8454</v>
      </c>
      <c r="M4251" s="128">
        <v>631933</v>
      </c>
      <c r="N4251" s="121"/>
      <c r="O4251" s="128" t="s">
        <v>5855</v>
      </c>
      <c r="P4251" s="20"/>
      <c r="Q4251" s="20"/>
    </row>
    <row r="4252" spans="1:17" ht="24.9" customHeight="1">
      <c r="A4252" s="20" t="s">
        <v>7143</v>
      </c>
      <c r="B4252" s="20" t="s">
        <v>4375</v>
      </c>
      <c r="C4252" s="20">
        <v>4</v>
      </c>
      <c r="D4252" s="20" t="s">
        <v>1341</v>
      </c>
      <c r="E4252" s="19" t="str">
        <f>VLOOKUP(D4252,'لیست پرسنل'!$B$2:$E$1020,3,FALSE)</f>
        <v>فکورصنعت</v>
      </c>
      <c r="F4252" s="19" t="str">
        <f>VLOOKUP(D4252,'لیست پرسنل'!$B$2:$E$1020,4,FALSE)</f>
        <v>انبار</v>
      </c>
      <c r="G4252" s="127" t="str">
        <f>VLOOKUP(D4252,'لیست پرسنل'!$B$2:$F$1020,2,FALSE)</f>
        <v>1263</v>
      </c>
      <c r="H4252" s="127" t="s">
        <v>3902</v>
      </c>
      <c r="I4252" s="127" t="s">
        <v>250</v>
      </c>
      <c r="J4252" s="126" t="s">
        <v>368</v>
      </c>
      <c r="K4252" s="134" t="s">
        <v>2846</v>
      </c>
      <c r="L4252" s="151" t="s">
        <v>1496</v>
      </c>
      <c r="M4252" s="127">
        <v>625120</v>
      </c>
      <c r="N4252" s="108"/>
      <c r="O4252" s="19"/>
      <c r="P4252" s="20"/>
      <c r="Q4252" s="20"/>
    </row>
    <row r="4253" spans="1:17" ht="24.9" customHeight="1">
      <c r="A4253" s="20" t="s">
        <v>7143</v>
      </c>
      <c r="B4253" s="20" t="s">
        <v>4375</v>
      </c>
      <c r="C4253" s="20">
        <v>4</v>
      </c>
      <c r="D4253" s="20" t="s">
        <v>1341</v>
      </c>
      <c r="E4253" s="19" t="str">
        <f>VLOOKUP(D4253,'لیست پرسنل'!$B$2:$E$1020,3,FALSE)</f>
        <v>فکورصنعت</v>
      </c>
      <c r="F4253" s="19" t="str">
        <f>VLOOKUP(D4253,'لیست پرسنل'!$B$2:$E$1020,4,FALSE)</f>
        <v>انبار</v>
      </c>
      <c r="G4253" s="127" t="str">
        <f>VLOOKUP(D4253,'لیست پرسنل'!$B$2:$F$1020,2,FALSE)</f>
        <v>1263</v>
      </c>
      <c r="H4253" s="127" t="s">
        <v>3902</v>
      </c>
      <c r="I4253" s="127" t="s">
        <v>250</v>
      </c>
      <c r="J4253" s="128" t="s">
        <v>571</v>
      </c>
      <c r="K4253" s="128" t="s">
        <v>2219</v>
      </c>
      <c r="L4253" s="150"/>
      <c r="M4253" s="128">
        <v>628603</v>
      </c>
      <c r="N4253" s="108"/>
      <c r="O4253" s="19"/>
      <c r="P4253" s="20"/>
      <c r="Q4253" s="20"/>
    </row>
    <row r="4254" spans="1:17" ht="24.9" customHeight="1">
      <c r="A4254" s="20" t="s">
        <v>7143</v>
      </c>
      <c r="B4254" s="20" t="s">
        <v>4375</v>
      </c>
      <c r="C4254" s="20">
        <v>5</v>
      </c>
      <c r="D4254" s="20" t="s">
        <v>1341</v>
      </c>
      <c r="E4254" s="19" t="str">
        <f>VLOOKUP(D4254,'لیست پرسنل'!$B$2:$E$1020,3,FALSE)</f>
        <v>فکورصنعت</v>
      </c>
      <c r="F4254" s="19" t="str">
        <f>VLOOKUP(D4254,'لیست پرسنل'!$B$2:$E$1020,4,FALSE)</f>
        <v>انبار</v>
      </c>
      <c r="G4254" s="127" t="str">
        <f>VLOOKUP(D4254,'لیست پرسنل'!$B$2:$F$1020,2,FALSE)</f>
        <v>1263</v>
      </c>
      <c r="H4254" s="127" t="s">
        <v>3904</v>
      </c>
      <c r="I4254" s="127" t="s">
        <v>1908</v>
      </c>
      <c r="J4254" s="127" t="s">
        <v>571</v>
      </c>
      <c r="K4254" s="128" t="s">
        <v>2219</v>
      </c>
      <c r="L4254" s="127"/>
      <c r="M4254" s="127">
        <v>628591</v>
      </c>
      <c r="N4254" s="109"/>
      <c r="O4254" s="19"/>
      <c r="P4254" s="20"/>
      <c r="Q4254" s="20"/>
    </row>
    <row r="4255" spans="1:17" ht="24.9" customHeight="1">
      <c r="A4255" s="20" t="s">
        <v>7143</v>
      </c>
      <c r="B4255" s="20" t="s">
        <v>4375</v>
      </c>
      <c r="C4255" s="20">
        <v>5</v>
      </c>
      <c r="D4255" s="20" t="s">
        <v>1341</v>
      </c>
      <c r="E4255" s="19" t="str">
        <f>VLOOKUP(D4255,'لیست پرسنل'!$B$2:$E$1020,3,FALSE)</f>
        <v>فکورصنعت</v>
      </c>
      <c r="F4255" s="19" t="str">
        <f>VLOOKUP(D4255,'لیست پرسنل'!$B$2:$E$1020,4,FALSE)</f>
        <v>انبار</v>
      </c>
      <c r="G4255" s="127" t="str">
        <f>VLOOKUP(D4255,'لیست پرسنل'!$B$2:$F$1020,2,FALSE)</f>
        <v>1263</v>
      </c>
      <c r="H4255" s="127" t="s">
        <v>3904</v>
      </c>
      <c r="I4255" s="127" t="s">
        <v>1908</v>
      </c>
      <c r="J4255" s="128" t="s">
        <v>2686</v>
      </c>
      <c r="K4255" s="128" t="s">
        <v>2922</v>
      </c>
      <c r="L4255" s="127" t="s">
        <v>3028</v>
      </c>
      <c r="M4255" s="128">
        <v>626511</v>
      </c>
      <c r="N4255" s="108"/>
      <c r="O4255" s="20" t="s">
        <v>705</v>
      </c>
      <c r="P4255" s="20"/>
      <c r="Q4255" s="20"/>
    </row>
    <row r="4256" spans="1:17" ht="24.9" customHeight="1">
      <c r="A4256" s="20" t="s">
        <v>7143</v>
      </c>
      <c r="B4256" s="20" t="s">
        <v>4375</v>
      </c>
      <c r="C4256" s="20">
        <v>5</v>
      </c>
      <c r="D4256" s="20" t="s">
        <v>8456</v>
      </c>
      <c r="E4256" s="19" t="str">
        <f>VLOOKUP(D4256,'لیست پرسنل'!$B$2:$E$1020,3,FALSE)</f>
        <v>فکورصنعت</v>
      </c>
      <c r="F4256" s="19" t="str">
        <f>VLOOKUP(D4256,'لیست پرسنل'!$B$2:$E$1020,4,FALSE)</f>
        <v>سرپرست پشتیبانی سایت,مسئول انتظامات</v>
      </c>
      <c r="G4256" s="127" t="str">
        <f>VLOOKUP(D4256,'لیست پرسنل'!$B$2:$F$1020,2,FALSE)</f>
        <v>4001207</v>
      </c>
      <c r="H4256" s="130" t="s">
        <v>8457</v>
      </c>
      <c r="I4256" s="128" t="s">
        <v>1908</v>
      </c>
      <c r="J4256" s="128" t="s">
        <v>5366</v>
      </c>
      <c r="K4256" s="130" t="s">
        <v>2568</v>
      </c>
      <c r="L4256" s="128"/>
      <c r="M4256" s="130">
        <v>604835</v>
      </c>
      <c r="N4256" s="108"/>
      <c r="O4256" s="20"/>
      <c r="P4256" s="20"/>
      <c r="Q4256" s="20"/>
    </row>
    <row r="4257" spans="1:17" ht="24.9" customHeight="1">
      <c r="A4257" s="20" t="s">
        <v>7143</v>
      </c>
      <c r="B4257" s="20" t="s">
        <v>4375</v>
      </c>
      <c r="C4257" s="20">
        <v>5</v>
      </c>
      <c r="D4257" s="20" t="s">
        <v>4600</v>
      </c>
      <c r="E4257" s="19" t="str">
        <f>VLOOKUP(D4257,'لیست پرسنل'!$B$2:$E$1020,3,FALSE)</f>
        <v>فکورصنعت</v>
      </c>
      <c r="F4257" s="19" t="str">
        <f>VLOOKUP(D4257,'لیست پرسنل'!$B$2:$E$1020,4,FALSE)</f>
        <v>انبار</v>
      </c>
      <c r="G4257" s="127">
        <f>VLOOKUP(D4257,'لیست پرسنل'!$B$2:$F$1020,2,FALSE)</f>
        <v>1251</v>
      </c>
      <c r="H4257" s="128" t="s">
        <v>3904</v>
      </c>
      <c r="I4257" s="128" t="s">
        <v>1908</v>
      </c>
      <c r="J4257" s="126" t="s">
        <v>368</v>
      </c>
      <c r="K4257" s="128" t="s">
        <v>2846</v>
      </c>
      <c r="L4257" s="128"/>
      <c r="M4257" s="128">
        <v>623225</v>
      </c>
      <c r="N4257" s="109"/>
      <c r="O4257" s="19"/>
      <c r="P4257" s="20"/>
      <c r="Q4257" s="20"/>
    </row>
    <row r="4258" spans="1:17" ht="24.9" customHeight="1">
      <c r="A4258" s="20" t="s">
        <v>7143</v>
      </c>
      <c r="B4258" s="20" t="s">
        <v>4375</v>
      </c>
      <c r="C4258" s="20">
        <v>5</v>
      </c>
      <c r="D4258" s="20" t="s">
        <v>4600</v>
      </c>
      <c r="E4258" s="19" t="str">
        <f>VLOOKUP(D4258,'لیست پرسنل'!$B$2:$E$1020,3,FALSE)</f>
        <v>فکورصنعت</v>
      </c>
      <c r="F4258" s="19" t="str">
        <f>VLOOKUP(D4258,'لیست پرسنل'!$B$2:$E$1020,4,FALSE)</f>
        <v>انبار</v>
      </c>
      <c r="G4258" s="127">
        <f>VLOOKUP(D4258,'لیست پرسنل'!$B$2:$F$1020,2,FALSE)</f>
        <v>1251</v>
      </c>
      <c r="H4258" s="127" t="s">
        <v>3904</v>
      </c>
      <c r="I4258" s="127" t="s">
        <v>1908</v>
      </c>
      <c r="J4258" s="128" t="s">
        <v>5366</v>
      </c>
      <c r="K4258" s="134" t="s">
        <v>1910</v>
      </c>
      <c r="L4258" s="151" t="s">
        <v>1911</v>
      </c>
      <c r="M4258" s="127">
        <v>610306</v>
      </c>
      <c r="N4258" s="120"/>
      <c r="O4258" s="19"/>
      <c r="P4258" s="20"/>
      <c r="Q4258" s="20"/>
    </row>
    <row r="4259" spans="1:17" ht="24.9" customHeight="1">
      <c r="A4259" s="20" t="s">
        <v>7143</v>
      </c>
      <c r="B4259" s="20" t="s">
        <v>4375</v>
      </c>
      <c r="C4259" s="20">
        <v>5</v>
      </c>
      <c r="D4259" s="20" t="s">
        <v>4600</v>
      </c>
      <c r="E4259" s="19" t="str">
        <f>VLOOKUP(D4259,'لیست پرسنل'!$B$2:$E$1020,3,FALSE)</f>
        <v>فکورصنعت</v>
      </c>
      <c r="F4259" s="19" t="str">
        <f>VLOOKUP(D4259,'لیست پرسنل'!$B$2:$E$1020,4,FALSE)</f>
        <v>انبار</v>
      </c>
      <c r="G4259" s="127">
        <f>VLOOKUP(D4259,'لیست پرسنل'!$B$2:$F$1020,2,FALSE)</f>
        <v>1251</v>
      </c>
      <c r="H4259" s="127" t="s">
        <v>3904</v>
      </c>
      <c r="I4259" s="127" t="s">
        <v>1908</v>
      </c>
      <c r="J4259" s="128" t="s">
        <v>2686</v>
      </c>
      <c r="K4259" s="127" t="s">
        <v>332</v>
      </c>
      <c r="L4259" s="151" t="s">
        <v>951</v>
      </c>
      <c r="M4259" s="127">
        <v>610663</v>
      </c>
      <c r="N4259" s="109"/>
      <c r="O4259" s="20" t="s">
        <v>5434</v>
      </c>
      <c r="P4259" s="20"/>
      <c r="Q4259" s="20"/>
    </row>
    <row r="4260" spans="1:17" ht="24.9" customHeight="1">
      <c r="A4260" s="20" t="s">
        <v>7143</v>
      </c>
      <c r="B4260" s="20" t="s">
        <v>4375</v>
      </c>
      <c r="C4260" s="20"/>
      <c r="D4260" s="20" t="s">
        <v>48</v>
      </c>
      <c r="E4260" s="19" t="str">
        <f>VLOOKUP(D4260,'لیست پرسنل'!$B$2:$E$1020,3,FALSE)</f>
        <v>فکورصنعت</v>
      </c>
      <c r="F4260" s="19" t="str">
        <f>VLOOKUP(D4260,'لیست پرسنل'!$B$2:$E$1020,4,FALSE)</f>
        <v>سرپرست آی تی</v>
      </c>
      <c r="G4260" s="127">
        <f>VLOOKUP(D4260,'لیست پرسنل'!$B$2:$F$1020,2,FALSE)</f>
        <v>2210</v>
      </c>
      <c r="H4260" s="151" t="s">
        <v>8260</v>
      </c>
      <c r="I4260" s="127"/>
      <c r="J4260" s="126" t="s">
        <v>368</v>
      </c>
      <c r="K4260" s="127" t="s">
        <v>2846</v>
      </c>
      <c r="L4260" s="128" t="s">
        <v>3671</v>
      </c>
      <c r="M4260" s="128">
        <v>622564</v>
      </c>
      <c r="N4260" s="120"/>
      <c r="O4260" s="20"/>
      <c r="P4260" s="20"/>
      <c r="Q4260" s="20"/>
    </row>
    <row r="4261" spans="1:17" ht="24.9" customHeight="1">
      <c r="A4261" s="20"/>
      <c r="B4261" s="20" t="s">
        <v>5101</v>
      </c>
      <c r="C4261" s="19" t="s">
        <v>4325</v>
      </c>
      <c r="D4261" s="19" t="s">
        <v>503</v>
      </c>
      <c r="E4261" s="19" t="str">
        <f>VLOOKUP(D4261,'لیست پرسنل'!$B$2:$E$1020,3,FALSE)</f>
        <v>فکورصنعت</v>
      </c>
      <c r="F4261" s="19" t="str">
        <f>VLOOKUP(D4261,'لیست پرسنل'!$B$2:$E$1020,4,FALSE)</f>
        <v>کارشناسان اجرا</v>
      </c>
      <c r="G4261" s="127">
        <f>VLOOKUP(D4261,'لیست پرسنل'!$B$2:$F$1020,2,FALSE)</f>
        <v>6300</v>
      </c>
      <c r="H4261" s="126" t="s">
        <v>7045</v>
      </c>
      <c r="I4261" s="127" t="s">
        <v>4325</v>
      </c>
      <c r="J4261" s="126" t="s">
        <v>368</v>
      </c>
      <c r="K4261" s="128" t="s">
        <v>2846</v>
      </c>
      <c r="L4261" s="127" t="s">
        <v>1456</v>
      </c>
      <c r="M4261" s="127">
        <v>633742</v>
      </c>
      <c r="N4261" s="109"/>
      <c r="O4261" s="19" t="s">
        <v>6397</v>
      </c>
      <c r="P4261" s="19" t="s">
        <v>5228</v>
      </c>
      <c r="Q4261" s="19" t="s">
        <v>7314</v>
      </c>
    </row>
    <row r="4262" spans="1:17" ht="24.9" customHeight="1">
      <c r="A4262" s="20"/>
      <c r="B4262" s="20" t="s">
        <v>5101</v>
      </c>
      <c r="C4262" s="19" t="s">
        <v>4325</v>
      </c>
      <c r="D4262" s="20" t="s">
        <v>503</v>
      </c>
      <c r="E4262" s="19" t="str">
        <f>VLOOKUP(D4262,'لیست پرسنل'!$B$2:$E$1020,3,FALSE)</f>
        <v>فکورصنعت</v>
      </c>
      <c r="F4262" s="19" t="str">
        <f>VLOOKUP(D4262,'لیست پرسنل'!$B$2:$E$1020,4,FALSE)</f>
        <v>کارشناسان اجرا</v>
      </c>
      <c r="G4262" s="127">
        <f>VLOOKUP(D4262,'لیست پرسنل'!$B$2:$F$1020,2,FALSE)</f>
        <v>6300</v>
      </c>
      <c r="H4262" s="126" t="s">
        <v>7045</v>
      </c>
      <c r="I4262" s="127" t="s">
        <v>4325</v>
      </c>
      <c r="J4262" s="127" t="s">
        <v>571</v>
      </c>
      <c r="K4262" s="127" t="s">
        <v>1513</v>
      </c>
      <c r="L4262" s="127"/>
      <c r="M4262" s="128">
        <v>632787</v>
      </c>
      <c r="N4262" s="109"/>
      <c r="O4262" s="19"/>
      <c r="P4262" s="19" t="s">
        <v>5228</v>
      </c>
      <c r="Q4262" s="19" t="s">
        <v>7314</v>
      </c>
    </row>
    <row r="4263" spans="1:17" ht="24.9" customHeight="1">
      <c r="A4263" s="20"/>
      <c r="B4263" s="20" t="s">
        <v>5101</v>
      </c>
      <c r="C4263" s="19" t="s">
        <v>4325</v>
      </c>
      <c r="D4263" s="20" t="s">
        <v>503</v>
      </c>
      <c r="E4263" s="19" t="str">
        <f>VLOOKUP(D4263,'لیست پرسنل'!$B$2:$E$1020,3,FALSE)</f>
        <v>فکورصنعت</v>
      </c>
      <c r="F4263" s="19" t="str">
        <f>VLOOKUP(D4263,'لیست پرسنل'!$B$2:$E$1020,4,FALSE)</f>
        <v>کارشناسان اجرا</v>
      </c>
      <c r="G4263" s="127">
        <f>VLOOKUP(D4263,'لیست پرسنل'!$B$2:$F$1020,2,FALSE)</f>
        <v>6300</v>
      </c>
      <c r="H4263" s="126" t="s">
        <v>7045</v>
      </c>
      <c r="I4263" s="127" t="s">
        <v>4325</v>
      </c>
      <c r="J4263" s="127" t="s">
        <v>5618</v>
      </c>
      <c r="K4263" s="127" t="s">
        <v>8115</v>
      </c>
      <c r="L4263" s="127" t="s">
        <v>6213</v>
      </c>
      <c r="M4263" s="128">
        <v>632793</v>
      </c>
      <c r="N4263" s="109"/>
      <c r="O4263" s="19"/>
      <c r="P4263" s="19" t="s">
        <v>5228</v>
      </c>
      <c r="Q4263" s="19" t="s">
        <v>7314</v>
      </c>
    </row>
    <row r="4264" spans="1:17" ht="24.9" customHeight="1">
      <c r="A4264" s="20"/>
      <c r="B4264" s="20" t="s">
        <v>5101</v>
      </c>
      <c r="C4264" s="19" t="s">
        <v>4325</v>
      </c>
      <c r="D4264" s="19" t="s">
        <v>4551</v>
      </c>
      <c r="E4264" s="19" t="str">
        <f>VLOOKUP(D4264,'لیست پرسنل'!$B$2:$E$1020,3,FALSE)</f>
        <v>گهر کوشان سپهر</v>
      </c>
      <c r="F4264" s="19" t="str">
        <f>VLOOKUP(D4264,'لیست پرسنل'!$B$2:$E$1020,4,FALSE)</f>
        <v>مالی - اداری</v>
      </c>
      <c r="G4264" s="127">
        <f>VLOOKUP(D4264,'لیست پرسنل'!$B$2:$F$1020,2,FALSE)</f>
        <v>20590</v>
      </c>
      <c r="H4264" s="126" t="s">
        <v>7044</v>
      </c>
      <c r="I4264" s="127" t="s">
        <v>4325</v>
      </c>
      <c r="J4264" s="127" t="s">
        <v>571</v>
      </c>
      <c r="K4264" s="127" t="s">
        <v>1513</v>
      </c>
      <c r="L4264" s="127"/>
      <c r="M4264" s="128">
        <v>632788</v>
      </c>
      <c r="N4264" s="109"/>
      <c r="O4264" s="19"/>
      <c r="P4264" s="19" t="s">
        <v>5228</v>
      </c>
      <c r="Q4264" s="19" t="s">
        <v>7314</v>
      </c>
    </row>
    <row r="4265" spans="1:17" ht="24.9" customHeight="1">
      <c r="A4265" s="20"/>
      <c r="B4265" s="20" t="s">
        <v>5101</v>
      </c>
      <c r="C4265" s="19" t="s">
        <v>4325</v>
      </c>
      <c r="D4265" s="19" t="s">
        <v>4551</v>
      </c>
      <c r="E4265" s="19" t="str">
        <f>VLOOKUP(D4265,'لیست پرسنل'!$B$2:$E$1020,3,FALSE)</f>
        <v>گهر کوشان سپهر</v>
      </c>
      <c r="F4265" s="19" t="str">
        <f>VLOOKUP(D4265,'لیست پرسنل'!$B$2:$E$1020,4,FALSE)</f>
        <v>مالی - اداری</v>
      </c>
      <c r="G4265" s="127">
        <f>VLOOKUP(D4265,'لیست پرسنل'!$B$2:$F$1020,2,FALSE)</f>
        <v>20590</v>
      </c>
      <c r="H4265" s="126" t="s">
        <v>7045</v>
      </c>
      <c r="I4265" s="127" t="s">
        <v>4325</v>
      </c>
      <c r="J4265" s="126" t="s">
        <v>368</v>
      </c>
      <c r="K4265" s="128" t="s">
        <v>2846</v>
      </c>
      <c r="L4265" s="127" t="s">
        <v>3694</v>
      </c>
      <c r="M4265" s="127">
        <v>633720</v>
      </c>
      <c r="N4265" s="109"/>
      <c r="O4265" s="19" t="s">
        <v>6368</v>
      </c>
      <c r="P4265" s="19" t="s">
        <v>5228</v>
      </c>
      <c r="Q4265" s="19" t="s">
        <v>7314</v>
      </c>
    </row>
    <row r="4266" spans="1:17" ht="24.9" customHeight="1">
      <c r="A4266" s="20"/>
      <c r="B4266" s="20" t="s">
        <v>5101</v>
      </c>
      <c r="C4266" s="19" t="s">
        <v>4325</v>
      </c>
      <c r="D4266" s="20" t="s">
        <v>4551</v>
      </c>
      <c r="E4266" s="19" t="str">
        <f>VLOOKUP(D4266,'لیست پرسنل'!$B$2:$E$1020,3,FALSE)</f>
        <v>گهر کوشان سپهر</v>
      </c>
      <c r="F4266" s="19" t="str">
        <f>VLOOKUP(D4266,'لیست پرسنل'!$B$2:$E$1020,4,FALSE)</f>
        <v>مالی - اداری</v>
      </c>
      <c r="G4266" s="127">
        <f>VLOOKUP(D4266,'لیست پرسنل'!$B$2:$F$1020,2,FALSE)</f>
        <v>20590</v>
      </c>
      <c r="H4266" s="126" t="s">
        <v>7045</v>
      </c>
      <c r="I4266" s="127" t="s">
        <v>4325</v>
      </c>
      <c r="J4266" s="127" t="s">
        <v>5366</v>
      </c>
      <c r="K4266" s="128" t="s">
        <v>5209</v>
      </c>
      <c r="L4266" s="133" t="s">
        <v>5196</v>
      </c>
      <c r="M4266" s="133">
        <v>634557</v>
      </c>
      <c r="N4266" s="109"/>
      <c r="O4266" s="47" t="s">
        <v>7017</v>
      </c>
      <c r="P4266" s="19" t="s">
        <v>5228</v>
      </c>
      <c r="Q4266" s="19" t="s">
        <v>7314</v>
      </c>
    </row>
    <row r="4267" spans="1:17" ht="24.9" customHeight="1">
      <c r="A4267" s="20"/>
      <c r="B4267" s="20" t="s">
        <v>5101</v>
      </c>
      <c r="C4267" s="19" t="s">
        <v>4325</v>
      </c>
      <c r="D4267" s="20" t="s">
        <v>4551</v>
      </c>
      <c r="E4267" s="19" t="str">
        <f>VLOOKUP(D4267,'لیست پرسنل'!$B$2:$E$1020,3,FALSE)</f>
        <v>گهر کوشان سپهر</v>
      </c>
      <c r="F4267" s="19" t="str">
        <f>VLOOKUP(D4267,'لیست پرسنل'!$B$2:$E$1020,4,FALSE)</f>
        <v>مالی - اداری</v>
      </c>
      <c r="G4267" s="127">
        <f>VLOOKUP(D4267,'لیست پرسنل'!$B$2:$F$1020,2,FALSE)</f>
        <v>20590</v>
      </c>
      <c r="H4267" s="126" t="s">
        <v>7045</v>
      </c>
      <c r="I4267" s="127" t="s">
        <v>4325</v>
      </c>
      <c r="J4267" s="127" t="s">
        <v>5366</v>
      </c>
      <c r="K4267" s="128" t="s">
        <v>5209</v>
      </c>
      <c r="L4267" s="133" t="s">
        <v>5179</v>
      </c>
      <c r="M4267" s="133">
        <v>634558</v>
      </c>
      <c r="N4267" s="109"/>
      <c r="O4267" s="47" t="s">
        <v>7018</v>
      </c>
      <c r="P4267" s="19" t="s">
        <v>5228</v>
      </c>
      <c r="Q4267" s="19" t="s">
        <v>7314</v>
      </c>
    </row>
    <row r="4268" spans="1:17" ht="24.9" customHeight="1">
      <c r="A4268" s="20"/>
      <c r="B4268" s="20" t="s">
        <v>5101</v>
      </c>
      <c r="C4268" s="19" t="s">
        <v>4325</v>
      </c>
      <c r="D4268" s="20" t="s">
        <v>4551</v>
      </c>
      <c r="E4268" s="19" t="str">
        <f>VLOOKUP(D4268,'لیست پرسنل'!$B$2:$E$1020,3,FALSE)</f>
        <v>گهر کوشان سپهر</v>
      </c>
      <c r="F4268" s="19" t="str">
        <f>VLOOKUP(D4268,'لیست پرسنل'!$B$2:$E$1020,4,FALSE)</f>
        <v>مالی - اداری</v>
      </c>
      <c r="G4268" s="127">
        <f>VLOOKUP(D4268,'لیست پرسنل'!$B$2:$F$1020,2,FALSE)</f>
        <v>20590</v>
      </c>
      <c r="H4268" s="126" t="s">
        <v>7045</v>
      </c>
      <c r="I4268" s="127" t="s">
        <v>4325</v>
      </c>
      <c r="J4268" s="127" t="s">
        <v>5366</v>
      </c>
      <c r="K4268" s="128" t="s">
        <v>5209</v>
      </c>
      <c r="L4268" s="133" t="s">
        <v>5177</v>
      </c>
      <c r="M4268" s="133">
        <v>634559</v>
      </c>
      <c r="N4268" s="109"/>
      <c r="O4268" s="47" t="s">
        <v>7019</v>
      </c>
      <c r="P4268" s="19" t="s">
        <v>5228</v>
      </c>
      <c r="Q4268" s="19" t="s">
        <v>7314</v>
      </c>
    </row>
    <row r="4269" spans="1:17" ht="24.9" customHeight="1">
      <c r="A4269" s="20"/>
      <c r="B4269" s="20" t="s">
        <v>5101</v>
      </c>
      <c r="C4269" s="19" t="s">
        <v>4325</v>
      </c>
      <c r="D4269" s="20" t="s">
        <v>4551</v>
      </c>
      <c r="E4269" s="19" t="str">
        <f>VLOOKUP(D4269,'لیست پرسنل'!$B$2:$E$1020,3,FALSE)</f>
        <v>گهر کوشان سپهر</v>
      </c>
      <c r="F4269" s="19" t="str">
        <f>VLOOKUP(D4269,'لیست پرسنل'!$B$2:$E$1020,4,FALSE)</f>
        <v>مالی - اداری</v>
      </c>
      <c r="G4269" s="127">
        <f>VLOOKUP(D4269,'لیست پرسنل'!$B$2:$F$1020,2,FALSE)</f>
        <v>20590</v>
      </c>
      <c r="H4269" s="126" t="s">
        <v>7045</v>
      </c>
      <c r="I4269" s="127" t="s">
        <v>4325</v>
      </c>
      <c r="J4269" s="127" t="s">
        <v>5366</v>
      </c>
      <c r="K4269" s="128" t="s">
        <v>5206</v>
      </c>
      <c r="L4269" s="133" t="s">
        <v>5184</v>
      </c>
      <c r="M4269" s="133">
        <v>634560</v>
      </c>
      <c r="N4269" s="109"/>
      <c r="O4269" s="47" t="s">
        <v>7020</v>
      </c>
      <c r="P4269" s="19" t="s">
        <v>5228</v>
      </c>
      <c r="Q4269" s="19" t="s">
        <v>7314</v>
      </c>
    </row>
    <row r="4270" spans="1:17" ht="24.9" customHeight="1">
      <c r="A4270" s="20"/>
      <c r="B4270" s="20" t="s">
        <v>5101</v>
      </c>
      <c r="C4270" s="19" t="s">
        <v>4325</v>
      </c>
      <c r="D4270" s="20" t="s">
        <v>4551</v>
      </c>
      <c r="E4270" s="19" t="str">
        <f>VLOOKUP(D4270,'لیست پرسنل'!$B$2:$E$1020,3,FALSE)</f>
        <v>گهر کوشان سپهر</v>
      </c>
      <c r="F4270" s="19" t="str">
        <f>VLOOKUP(D4270,'لیست پرسنل'!$B$2:$E$1020,4,FALSE)</f>
        <v>مالی - اداری</v>
      </c>
      <c r="G4270" s="127">
        <f>VLOOKUP(D4270,'لیست پرسنل'!$B$2:$F$1020,2,FALSE)</f>
        <v>20590</v>
      </c>
      <c r="H4270" s="126" t="s">
        <v>7045</v>
      </c>
      <c r="I4270" s="127" t="s">
        <v>4325</v>
      </c>
      <c r="J4270" s="127" t="s">
        <v>5366</v>
      </c>
      <c r="K4270" s="128" t="s">
        <v>5209</v>
      </c>
      <c r="L4270" s="133" t="s">
        <v>5181</v>
      </c>
      <c r="M4270" s="133">
        <v>634561</v>
      </c>
      <c r="N4270" s="109"/>
      <c r="O4270" s="47" t="s">
        <v>7041</v>
      </c>
      <c r="P4270" s="19" t="s">
        <v>5228</v>
      </c>
      <c r="Q4270" s="19" t="s">
        <v>7314</v>
      </c>
    </row>
    <row r="4271" spans="1:17" ht="24.9" customHeight="1">
      <c r="A4271" s="20"/>
      <c r="B4271" s="20" t="s">
        <v>5101</v>
      </c>
      <c r="C4271" s="19" t="s">
        <v>4325</v>
      </c>
      <c r="D4271" s="20" t="s">
        <v>4551</v>
      </c>
      <c r="E4271" s="19" t="str">
        <f>VLOOKUP(D4271,'لیست پرسنل'!$B$2:$E$1020,3,FALSE)</f>
        <v>گهر کوشان سپهر</v>
      </c>
      <c r="F4271" s="19" t="str">
        <f>VLOOKUP(D4271,'لیست پرسنل'!$B$2:$E$1020,4,FALSE)</f>
        <v>مالی - اداری</v>
      </c>
      <c r="G4271" s="127">
        <f>VLOOKUP(D4271,'لیست پرسنل'!$B$2:$F$1020,2,FALSE)</f>
        <v>20590</v>
      </c>
      <c r="H4271" s="126" t="s">
        <v>7045</v>
      </c>
      <c r="I4271" s="127" t="s">
        <v>4325</v>
      </c>
      <c r="J4271" s="127" t="s">
        <v>5366</v>
      </c>
      <c r="K4271" s="128" t="s">
        <v>5206</v>
      </c>
      <c r="L4271" s="133" t="s">
        <v>5186</v>
      </c>
      <c r="M4271" s="133">
        <v>634562</v>
      </c>
      <c r="N4271" s="109"/>
      <c r="O4271" s="47" t="s">
        <v>7033</v>
      </c>
      <c r="P4271" s="19" t="s">
        <v>5228</v>
      </c>
      <c r="Q4271" s="19" t="s">
        <v>7314</v>
      </c>
    </row>
    <row r="4272" spans="1:17" ht="24.9" customHeight="1">
      <c r="A4272" s="20"/>
      <c r="B4272" s="20" t="s">
        <v>5101</v>
      </c>
      <c r="C4272" s="19" t="s">
        <v>4325</v>
      </c>
      <c r="D4272" s="20" t="s">
        <v>4551</v>
      </c>
      <c r="E4272" s="19" t="str">
        <f>VLOOKUP(D4272,'لیست پرسنل'!$B$2:$E$1020,3,FALSE)</f>
        <v>گهر کوشان سپهر</v>
      </c>
      <c r="F4272" s="19" t="str">
        <f>VLOOKUP(D4272,'لیست پرسنل'!$B$2:$E$1020,4,FALSE)</f>
        <v>مالی - اداری</v>
      </c>
      <c r="G4272" s="127">
        <f>VLOOKUP(D4272,'لیست پرسنل'!$B$2:$F$1020,2,FALSE)</f>
        <v>20590</v>
      </c>
      <c r="H4272" s="126" t="s">
        <v>7045</v>
      </c>
      <c r="I4272" s="127" t="s">
        <v>4325</v>
      </c>
      <c r="J4272" s="127" t="s">
        <v>5366</v>
      </c>
      <c r="K4272" s="128" t="s">
        <v>5206</v>
      </c>
      <c r="L4272" s="133" t="s">
        <v>5189</v>
      </c>
      <c r="M4272" s="133">
        <v>634563</v>
      </c>
      <c r="N4272" s="109"/>
      <c r="O4272" s="47" t="s">
        <v>7030</v>
      </c>
      <c r="P4272" s="19" t="s">
        <v>5228</v>
      </c>
      <c r="Q4272" s="19" t="s">
        <v>7314</v>
      </c>
    </row>
    <row r="4273" spans="1:17" ht="24.9" customHeight="1">
      <c r="A4273" s="20"/>
      <c r="B4273" s="20" t="s">
        <v>5101</v>
      </c>
      <c r="C4273" s="19" t="s">
        <v>4325</v>
      </c>
      <c r="D4273" s="20" t="s">
        <v>4551</v>
      </c>
      <c r="E4273" s="19" t="str">
        <f>VLOOKUP(D4273,'لیست پرسنل'!$B$2:$E$1020,3,FALSE)</f>
        <v>گهر کوشان سپهر</v>
      </c>
      <c r="F4273" s="19" t="str">
        <f>VLOOKUP(D4273,'لیست پرسنل'!$B$2:$E$1020,4,FALSE)</f>
        <v>مالی - اداری</v>
      </c>
      <c r="G4273" s="127">
        <f>VLOOKUP(D4273,'لیست پرسنل'!$B$2:$F$1020,2,FALSE)</f>
        <v>20590</v>
      </c>
      <c r="H4273" s="126" t="s">
        <v>7045</v>
      </c>
      <c r="I4273" s="127" t="s">
        <v>4325</v>
      </c>
      <c r="J4273" s="127" t="s">
        <v>5366</v>
      </c>
      <c r="K4273" s="128" t="s">
        <v>5209</v>
      </c>
      <c r="L4273" s="133" t="s">
        <v>5178</v>
      </c>
      <c r="M4273" s="133">
        <v>634564</v>
      </c>
      <c r="N4273" s="109"/>
      <c r="O4273" s="47" t="s">
        <v>7042</v>
      </c>
      <c r="P4273" s="19" t="s">
        <v>5228</v>
      </c>
      <c r="Q4273" s="19" t="s">
        <v>7314</v>
      </c>
    </row>
    <row r="4274" spans="1:17" ht="24.9" customHeight="1">
      <c r="A4274" s="20"/>
      <c r="B4274" s="20" t="s">
        <v>5101</v>
      </c>
      <c r="C4274" s="19" t="s">
        <v>4325</v>
      </c>
      <c r="D4274" s="20" t="s">
        <v>4551</v>
      </c>
      <c r="E4274" s="19" t="str">
        <f>VLOOKUP(D4274,'لیست پرسنل'!$B$2:$E$1020,3,FALSE)</f>
        <v>گهر کوشان سپهر</v>
      </c>
      <c r="F4274" s="19" t="str">
        <f>VLOOKUP(D4274,'لیست پرسنل'!$B$2:$E$1020,4,FALSE)</f>
        <v>مالی - اداری</v>
      </c>
      <c r="G4274" s="127">
        <f>VLOOKUP(D4274,'لیست پرسنل'!$B$2:$F$1020,2,FALSE)</f>
        <v>20590</v>
      </c>
      <c r="H4274" s="126" t="s">
        <v>7045</v>
      </c>
      <c r="I4274" s="127" t="s">
        <v>4325</v>
      </c>
      <c r="J4274" s="127" t="s">
        <v>5366</v>
      </c>
      <c r="K4274" s="128" t="s">
        <v>5206</v>
      </c>
      <c r="L4274" s="133" t="s">
        <v>5188</v>
      </c>
      <c r="M4274" s="133">
        <v>634565</v>
      </c>
      <c r="N4274" s="109"/>
      <c r="O4274" s="47" t="s">
        <v>7025</v>
      </c>
      <c r="P4274" s="19" t="s">
        <v>5228</v>
      </c>
      <c r="Q4274" s="19" t="s">
        <v>7314</v>
      </c>
    </row>
    <row r="4275" spans="1:17" ht="24.9" customHeight="1">
      <c r="A4275" s="20"/>
      <c r="B4275" s="20" t="s">
        <v>5101</v>
      </c>
      <c r="C4275" s="19" t="s">
        <v>4325</v>
      </c>
      <c r="D4275" s="20" t="s">
        <v>4551</v>
      </c>
      <c r="E4275" s="19" t="str">
        <f>VLOOKUP(D4275,'لیست پرسنل'!$B$2:$E$1020,3,FALSE)</f>
        <v>گهر کوشان سپهر</v>
      </c>
      <c r="F4275" s="19" t="str">
        <f>VLOOKUP(D4275,'لیست پرسنل'!$B$2:$E$1020,4,FALSE)</f>
        <v>مالی - اداری</v>
      </c>
      <c r="G4275" s="127">
        <f>VLOOKUP(D4275,'لیست پرسنل'!$B$2:$F$1020,2,FALSE)</f>
        <v>20590</v>
      </c>
      <c r="H4275" s="126" t="s">
        <v>7045</v>
      </c>
      <c r="I4275" s="127" t="s">
        <v>4325</v>
      </c>
      <c r="J4275" s="127" t="s">
        <v>5366</v>
      </c>
      <c r="K4275" s="128" t="s">
        <v>5209</v>
      </c>
      <c r="L4275" s="133" t="s">
        <v>5198</v>
      </c>
      <c r="M4275" s="133">
        <v>634566</v>
      </c>
      <c r="N4275" s="109"/>
      <c r="O4275" s="47" t="s">
        <v>7037</v>
      </c>
      <c r="P4275" s="19" t="s">
        <v>5228</v>
      </c>
      <c r="Q4275" s="19" t="s">
        <v>7314</v>
      </c>
    </row>
    <row r="4276" spans="1:17" ht="24.9" customHeight="1">
      <c r="A4276" s="20"/>
      <c r="B4276" s="20" t="s">
        <v>5101</v>
      </c>
      <c r="C4276" s="19" t="s">
        <v>4325</v>
      </c>
      <c r="D4276" s="20" t="s">
        <v>4551</v>
      </c>
      <c r="E4276" s="19" t="str">
        <f>VLOOKUP(D4276,'لیست پرسنل'!$B$2:$E$1020,3,FALSE)</f>
        <v>گهر کوشان سپهر</v>
      </c>
      <c r="F4276" s="19" t="str">
        <f>VLOOKUP(D4276,'لیست پرسنل'!$B$2:$E$1020,4,FALSE)</f>
        <v>مالی - اداری</v>
      </c>
      <c r="G4276" s="127">
        <f>VLOOKUP(D4276,'لیست پرسنل'!$B$2:$F$1020,2,FALSE)</f>
        <v>20590</v>
      </c>
      <c r="H4276" s="126" t="s">
        <v>7045</v>
      </c>
      <c r="I4276" s="127" t="s">
        <v>4325</v>
      </c>
      <c r="J4276" s="127" t="s">
        <v>5366</v>
      </c>
      <c r="K4276" s="128" t="s">
        <v>5206</v>
      </c>
      <c r="L4276" s="133" t="s">
        <v>5193</v>
      </c>
      <c r="M4276" s="133">
        <v>634567</v>
      </c>
      <c r="N4276" s="109"/>
      <c r="O4276" s="47" t="s">
        <v>7029</v>
      </c>
      <c r="P4276" s="19" t="s">
        <v>5228</v>
      </c>
      <c r="Q4276" s="19" t="s">
        <v>7314</v>
      </c>
    </row>
    <row r="4277" spans="1:17" ht="24.9" customHeight="1">
      <c r="A4277" s="20"/>
      <c r="B4277" s="20" t="s">
        <v>5101</v>
      </c>
      <c r="C4277" s="19" t="s">
        <v>4325</v>
      </c>
      <c r="D4277" s="20" t="s">
        <v>4551</v>
      </c>
      <c r="E4277" s="19" t="str">
        <f>VLOOKUP(D4277,'لیست پرسنل'!$B$2:$E$1020,3,FALSE)</f>
        <v>گهر کوشان سپهر</v>
      </c>
      <c r="F4277" s="19" t="str">
        <f>VLOOKUP(D4277,'لیست پرسنل'!$B$2:$E$1020,4,FALSE)</f>
        <v>مالی - اداری</v>
      </c>
      <c r="G4277" s="127">
        <f>VLOOKUP(D4277,'لیست پرسنل'!$B$2:$F$1020,2,FALSE)</f>
        <v>20590</v>
      </c>
      <c r="H4277" s="126" t="s">
        <v>7045</v>
      </c>
      <c r="I4277" s="127" t="s">
        <v>4325</v>
      </c>
      <c r="J4277" s="127" t="s">
        <v>5366</v>
      </c>
      <c r="K4277" s="128" t="s">
        <v>5209</v>
      </c>
      <c r="L4277" s="133" t="s">
        <v>5197</v>
      </c>
      <c r="M4277" s="133">
        <v>634568</v>
      </c>
      <c r="N4277" s="109"/>
      <c r="O4277" s="47" t="s">
        <v>7036</v>
      </c>
      <c r="P4277" s="19" t="s">
        <v>5228</v>
      </c>
      <c r="Q4277" s="19" t="s">
        <v>7314</v>
      </c>
    </row>
    <row r="4278" spans="1:17" ht="24.9" customHeight="1">
      <c r="A4278" s="20"/>
      <c r="B4278" s="20" t="s">
        <v>5101</v>
      </c>
      <c r="C4278" s="19" t="s">
        <v>4325</v>
      </c>
      <c r="D4278" s="20" t="s">
        <v>4551</v>
      </c>
      <c r="E4278" s="19" t="str">
        <f>VLOOKUP(D4278,'لیست پرسنل'!$B$2:$E$1020,3,FALSE)</f>
        <v>گهر کوشان سپهر</v>
      </c>
      <c r="F4278" s="19" t="str">
        <f>VLOOKUP(D4278,'لیست پرسنل'!$B$2:$E$1020,4,FALSE)</f>
        <v>مالی - اداری</v>
      </c>
      <c r="G4278" s="127">
        <f>VLOOKUP(D4278,'لیست پرسنل'!$B$2:$F$1020,2,FALSE)</f>
        <v>20590</v>
      </c>
      <c r="H4278" s="126" t="s">
        <v>7045</v>
      </c>
      <c r="I4278" s="127" t="s">
        <v>4325</v>
      </c>
      <c r="J4278" s="127" t="s">
        <v>5366</v>
      </c>
      <c r="K4278" s="128" t="s">
        <v>5206</v>
      </c>
      <c r="L4278" s="133" t="s">
        <v>5192</v>
      </c>
      <c r="M4278" s="133">
        <v>634569</v>
      </c>
      <c r="N4278" s="109"/>
      <c r="O4278" s="47" t="s">
        <v>7028</v>
      </c>
      <c r="P4278" s="19" t="s">
        <v>5228</v>
      </c>
      <c r="Q4278" s="19" t="s">
        <v>7314</v>
      </c>
    </row>
    <row r="4279" spans="1:17" ht="24.9" customHeight="1">
      <c r="A4279" s="20"/>
      <c r="B4279" s="20" t="s">
        <v>5101</v>
      </c>
      <c r="C4279" s="19" t="s">
        <v>4325</v>
      </c>
      <c r="D4279" s="20" t="s">
        <v>4551</v>
      </c>
      <c r="E4279" s="19" t="str">
        <f>VLOOKUP(D4279,'لیست پرسنل'!$B$2:$E$1020,3,FALSE)</f>
        <v>گهر کوشان سپهر</v>
      </c>
      <c r="F4279" s="19" t="str">
        <f>VLOOKUP(D4279,'لیست پرسنل'!$B$2:$E$1020,4,FALSE)</f>
        <v>مالی - اداری</v>
      </c>
      <c r="G4279" s="127">
        <f>VLOOKUP(D4279,'لیست پرسنل'!$B$2:$F$1020,2,FALSE)</f>
        <v>20590</v>
      </c>
      <c r="H4279" s="126" t="s">
        <v>7045</v>
      </c>
      <c r="I4279" s="127" t="s">
        <v>4325</v>
      </c>
      <c r="J4279" s="127" t="s">
        <v>5366</v>
      </c>
      <c r="K4279" s="128" t="s">
        <v>5206</v>
      </c>
      <c r="L4279" s="133" t="s">
        <v>5185</v>
      </c>
      <c r="M4279" s="133">
        <v>634570</v>
      </c>
      <c r="N4279" s="109"/>
      <c r="O4279" s="47" t="s">
        <v>7032</v>
      </c>
      <c r="P4279" s="19" t="s">
        <v>5228</v>
      </c>
      <c r="Q4279" s="19" t="s">
        <v>7314</v>
      </c>
    </row>
    <row r="4280" spans="1:17" ht="24.9" customHeight="1">
      <c r="A4280" s="20"/>
      <c r="B4280" s="20" t="s">
        <v>5101</v>
      </c>
      <c r="C4280" s="19" t="s">
        <v>4325</v>
      </c>
      <c r="D4280" s="20" t="s">
        <v>4551</v>
      </c>
      <c r="E4280" s="19" t="str">
        <f>VLOOKUP(D4280,'لیست پرسنل'!$B$2:$E$1020,3,FALSE)</f>
        <v>گهر کوشان سپهر</v>
      </c>
      <c r="F4280" s="19" t="str">
        <f>VLOOKUP(D4280,'لیست پرسنل'!$B$2:$E$1020,4,FALSE)</f>
        <v>مالی - اداری</v>
      </c>
      <c r="G4280" s="127">
        <f>VLOOKUP(D4280,'لیست پرسنل'!$B$2:$F$1020,2,FALSE)</f>
        <v>20590</v>
      </c>
      <c r="H4280" s="126" t="s">
        <v>7045</v>
      </c>
      <c r="I4280" s="127" t="s">
        <v>4325</v>
      </c>
      <c r="J4280" s="127" t="s">
        <v>5366</v>
      </c>
      <c r="K4280" s="128" t="s">
        <v>5206</v>
      </c>
      <c r="L4280" s="133" t="s">
        <v>5194</v>
      </c>
      <c r="M4280" s="133">
        <v>634571</v>
      </c>
      <c r="N4280" s="109"/>
      <c r="O4280" s="47" t="s">
        <v>7031</v>
      </c>
      <c r="P4280" s="19" t="s">
        <v>5228</v>
      </c>
      <c r="Q4280" s="19" t="s">
        <v>7314</v>
      </c>
    </row>
    <row r="4281" spans="1:17" ht="24.9" customHeight="1">
      <c r="A4281" s="20"/>
      <c r="B4281" s="20" t="s">
        <v>5101</v>
      </c>
      <c r="C4281" s="19" t="s">
        <v>4325</v>
      </c>
      <c r="D4281" s="20" t="s">
        <v>4551</v>
      </c>
      <c r="E4281" s="19" t="str">
        <f>VLOOKUP(D4281,'لیست پرسنل'!$B$2:$E$1020,3,FALSE)</f>
        <v>گهر کوشان سپهر</v>
      </c>
      <c r="F4281" s="19" t="str">
        <f>VLOOKUP(D4281,'لیست پرسنل'!$B$2:$E$1020,4,FALSE)</f>
        <v>مالی - اداری</v>
      </c>
      <c r="G4281" s="127">
        <f>VLOOKUP(D4281,'لیست پرسنل'!$B$2:$F$1020,2,FALSE)</f>
        <v>20590</v>
      </c>
      <c r="H4281" s="126" t="s">
        <v>7045</v>
      </c>
      <c r="I4281" s="127" t="s">
        <v>4325</v>
      </c>
      <c r="J4281" s="127" t="s">
        <v>5366</v>
      </c>
      <c r="K4281" s="128" t="s">
        <v>5209</v>
      </c>
      <c r="L4281" s="133" t="s">
        <v>5195</v>
      </c>
      <c r="M4281" s="133">
        <v>634572</v>
      </c>
      <c r="N4281" s="109"/>
      <c r="O4281" s="47" t="s">
        <v>7038</v>
      </c>
      <c r="P4281" s="19" t="s">
        <v>5228</v>
      </c>
      <c r="Q4281" s="19" t="s">
        <v>7314</v>
      </c>
    </row>
    <row r="4282" spans="1:17" ht="24.9" customHeight="1">
      <c r="A4282" s="20"/>
      <c r="B4282" s="20" t="s">
        <v>5101</v>
      </c>
      <c r="C4282" s="19" t="s">
        <v>4325</v>
      </c>
      <c r="D4282" s="20" t="s">
        <v>4551</v>
      </c>
      <c r="E4282" s="19" t="str">
        <f>VLOOKUP(D4282,'لیست پرسنل'!$B$2:$E$1020,3,FALSE)</f>
        <v>گهر کوشان سپهر</v>
      </c>
      <c r="F4282" s="19" t="str">
        <f>VLOOKUP(D4282,'لیست پرسنل'!$B$2:$E$1020,4,FALSE)</f>
        <v>مالی - اداری</v>
      </c>
      <c r="G4282" s="127">
        <f>VLOOKUP(D4282,'لیست پرسنل'!$B$2:$F$1020,2,FALSE)</f>
        <v>20590</v>
      </c>
      <c r="H4282" s="126" t="s">
        <v>7045</v>
      </c>
      <c r="I4282" s="127" t="s">
        <v>4325</v>
      </c>
      <c r="J4282" s="127" t="s">
        <v>5366</v>
      </c>
      <c r="K4282" s="128" t="s">
        <v>5206</v>
      </c>
      <c r="L4282" s="133" t="s">
        <v>5199</v>
      </c>
      <c r="M4282" s="133">
        <v>634573</v>
      </c>
      <c r="N4282" s="109"/>
      <c r="O4282" s="47" t="s">
        <v>7035</v>
      </c>
      <c r="P4282" s="19" t="s">
        <v>5228</v>
      </c>
      <c r="Q4282" s="19" t="s">
        <v>7314</v>
      </c>
    </row>
    <row r="4283" spans="1:17" ht="24.9" customHeight="1">
      <c r="A4283" s="20"/>
      <c r="B4283" s="20" t="s">
        <v>5101</v>
      </c>
      <c r="C4283" s="19" t="s">
        <v>4325</v>
      </c>
      <c r="D4283" s="20" t="s">
        <v>4551</v>
      </c>
      <c r="E4283" s="19" t="str">
        <f>VLOOKUP(D4283,'لیست پرسنل'!$B$2:$E$1020,3,FALSE)</f>
        <v>گهر کوشان سپهر</v>
      </c>
      <c r="F4283" s="19" t="str">
        <f>VLOOKUP(D4283,'لیست پرسنل'!$B$2:$E$1020,4,FALSE)</f>
        <v>مالی - اداری</v>
      </c>
      <c r="G4283" s="127">
        <f>VLOOKUP(D4283,'لیست پرسنل'!$B$2:$F$1020,2,FALSE)</f>
        <v>20590</v>
      </c>
      <c r="H4283" s="126" t="s">
        <v>7045</v>
      </c>
      <c r="I4283" s="127" t="s">
        <v>4325</v>
      </c>
      <c r="J4283" s="127" t="s">
        <v>5366</v>
      </c>
      <c r="K4283" s="128" t="s">
        <v>5206</v>
      </c>
      <c r="L4283" s="133" t="s">
        <v>5187</v>
      </c>
      <c r="M4283" s="133">
        <v>634574</v>
      </c>
      <c r="N4283" s="109"/>
      <c r="O4283" s="47" t="s">
        <v>7034</v>
      </c>
      <c r="P4283" s="19" t="s">
        <v>5228</v>
      </c>
      <c r="Q4283" s="19" t="s">
        <v>7314</v>
      </c>
    </row>
    <row r="4284" spans="1:17" ht="24.9" customHeight="1">
      <c r="A4284" s="20"/>
      <c r="B4284" s="20" t="s">
        <v>5101</v>
      </c>
      <c r="C4284" s="19" t="s">
        <v>4325</v>
      </c>
      <c r="D4284" s="20" t="s">
        <v>4551</v>
      </c>
      <c r="E4284" s="19" t="str">
        <f>VLOOKUP(D4284,'لیست پرسنل'!$B$2:$E$1020,3,FALSE)</f>
        <v>گهر کوشان سپهر</v>
      </c>
      <c r="F4284" s="19" t="str">
        <f>VLOOKUP(D4284,'لیست پرسنل'!$B$2:$E$1020,4,FALSE)</f>
        <v>مالی - اداری</v>
      </c>
      <c r="G4284" s="127">
        <f>VLOOKUP(D4284,'لیست پرسنل'!$B$2:$F$1020,2,FALSE)</f>
        <v>20590</v>
      </c>
      <c r="H4284" s="126" t="s">
        <v>7045</v>
      </c>
      <c r="I4284" s="127" t="s">
        <v>4325</v>
      </c>
      <c r="J4284" s="127" t="s">
        <v>5366</v>
      </c>
      <c r="K4284" s="128" t="s">
        <v>5209</v>
      </c>
      <c r="L4284" s="127"/>
      <c r="M4284" s="133">
        <v>634575</v>
      </c>
      <c r="N4284" s="90"/>
      <c r="O4284" s="47" t="s">
        <v>7022</v>
      </c>
      <c r="P4284" s="19" t="s">
        <v>5228</v>
      </c>
      <c r="Q4284" s="19" t="s">
        <v>7314</v>
      </c>
    </row>
    <row r="4285" spans="1:17" ht="24.9" customHeight="1">
      <c r="A4285" s="20"/>
      <c r="B4285" s="20" t="s">
        <v>5101</v>
      </c>
      <c r="C4285" s="19" t="s">
        <v>4325</v>
      </c>
      <c r="D4285" s="20" t="s">
        <v>4551</v>
      </c>
      <c r="E4285" s="19" t="str">
        <f>VLOOKUP(D4285,'لیست پرسنل'!$B$2:$E$1020,3,FALSE)</f>
        <v>گهر کوشان سپهر</v>
      </c>
      <c r="F4285" s="19" t="str">
        <f>VLOOKUP(D4285,'لیست پرسنل'!$B$2:$E$1020,4,FALSE)</f>
        <v>مالی - اداری</v>
      </c>
      <c r="G4285" s="127">
        <f>VLOOKUP(D4285,'لیست پرسنل'!$B$2:$F$1020,2,FALSE)</f>
        <v>20590</v>
      </c>
      <c r="H4285" s="126" t="s">
        <v>7045</v>
      </c>
      <c r="I4285" s="127" t="s">
        <v>4325</v>
      </c>
      <c r="J4285" s="127" t="s">
        <v>5366</v>
      </c>
      <c r="K4285" s="128" t="s">
        <v>5209</v>
      </c>
      <c r="L4285" s="133" t="s">
        <v>5183</v>
      </c>
      <c r="M4285" s="133">
        <v>634576</v>
      </c>
      <c r="N4285" s="109"/>
      <c r="O4285" s="47" t="s">
        <v>7043</v>
      </c>
      <c r="P4285" s="19" t="s">
        <v>5228</v>
      </c>
      <c r="Q4285" s="19" t="s">
        <v>7314</v>
      </c>
    </row>
    <row r="4286" spans="1:17" ht="24.9" customHeight="1">
      <c r="A4286" s="20"/>
      <c r="B4286" s="20" t="s">
        <v>5101</v>
      </c>
      <c r="C4286" s="19" t="s">
        <v>4325</v>
      </c>
      <c r="D4286" s="20" t="s">
        <v>4551</v>
      </c>
      <c r="E4286" s="19" t="str">
        <f>VLOOKUP(D4286,'لیست پرسنل'!$B$2:$E$1020,3,FALSE)</f>
        <v>گهر کوشان سپهر</v>
      </c>
      <c r="F4286" s="19" t="str">
        <f>VLOOKUP(D4286,'لیست پرسنل'!$B$2:$E$1020,4,FALSE)</f>
        <v>مالی - اداری</v>
      </c>
      <c r="G4286" s="127">
        <f>VLOOKUP(D4286,'لیست پرسنل'!$B$2:$F$1020,2,FALSE)</f>
        <v>20590</v>
      </c>
      <c r="H4286" s="126" t="s">
        <v>7045</v>
      </c>
      <c r="I4286" s="127" t="s">
        <v>4325</v>
      </c>
      <c r="J4286" s="127" t="s">
        <v>5366</v>
      </c>
      <c r="K4286" s="128" t="s">
        <v>5209</v>
      </c>
      <c r="L4286" s="133" t="s">
        <v>5182</v>
      </c>
      <c r="M4286" s="133">
        <v>634577</v>
      </c>
      <c r="N4286" s="109"/>
      <c r="O4286" s="47" t="s">
        <v>7040</v>
      </c>
      <c r="P4286" s="19" t="s">
        <v>5228</v>
      </c>
      <c r="Q4286" s="19" t="s">
        <v>7314</v>
      </c>
    </row>
    <row r="4287" spans="1:17" ht="24.9" customHeight="1">
      <c r="A4287" s="20"/>
      <c r="B4287" s="20" t="s">
        <v>5101</v>
      </c>
      <c r="C4287" s="19" t="s">
        <v>4325</v>
      </c>
      <c r="D4287" s="20" t="s">
        <v>4551</v>
      </c>
      <c r="E4287" s="19" t="str">
        <f>VLOOKUP(D4287,'لیست پرسنل'!$B$2:$E$1020,3,FALSE)</f>
        <v>گهر کوشان سپهر</v>
      </c>
      <c r="F4287" s="19" t="str">
        <f>VLOOKUP(D4287,'لیست پرسنل'!$B$2:$E$1020,4,FALSE)</f>
        <v>مالی - اداری</v>
      </c>
      <c r="G4287" s="127">
        <f>VLOOKUP(D4287,'لیست پرسنل'!$B$2:$F$1020,2,FALSE)</f>
        <v>20590</v>
      </c>
      <c r="H4287" s="126" t="s">
        <v>7045</v>
      </c>
      <c r="I4287" s="127" t="s">
        <v>4325</v>
      </c>
      <c r="J4287" s="127" t="s">
        <v>5366</v>
      </c>
      <c r="K4287" s="128" t="s">
        <v>5206</v>
      </c>
      <c r="L4287" s="133" t="s">
        <v>5190</v>
      </c>
      <c r="M4287" s="133">
        <v>634578</v>
      </c>
      <c r="N4287" s="109"/>
      <c r="O4287" s="47" t="s">
        <v>7027</v>
      </c>
      <c r="P4287" s="19" t="s">
        <v>5228</v>
      </c>
      <c r="Q4287" s="19" t="s">
        <v>7314</v>
      </c>
    </row>
    <row r="4288" spans="1:17" ht="24.9" customHeight="1">
      <c r="A4288" s="20"/>
      <c r="B4288" s="20" t="s">
        <v>5101</v>
      </c>
      <c r="C4288" s="19" t="s">
        <v>4325</v>
      </c>
      <c r="D4288" s="20" t="s">
        <v>4551</v>
      </c>
      <c r="E4288" s="19" t="str">
        <f>VLOOKUP(D4288,'لیست پرسنل'!$B$2:$E$1020,3,FALSE)</f>
        <v>گهر کوشان سپهر</v>
      </c>
      <c r="F4288" s="19" t="str">
        <f>VLOOKUP(D4288,'لیست پرسنل'!$B$2:$E$1020,4,FALSE)</f>
        <v>مالی - اداری</v>
      </c>
      <c r="G4288" s="127">
        <f>VLOOKUP(D4288,'لیست پرسنل'!$B$2:$F$1020,2,FALSE)</f>
        <v>20590</v>
      </c>
      <c r="H4288" s="126" t="s">
        <v>7045</v>
      </c>
      <c r="I4288" s="127" t="s">
        <v>4325</v>
      </c>
      <c r="J4288" s="127" t="s">
        <v>5366</v>
      </c>
      <c r="K4288" s="128" t="s">
        <v>5209</v>
      </c>
      <c r="L4288" s="133" t="s">
        <v>5180</v>
      </c>
      <c r="M4288" s="133">
        <v>634580</v>
      </c>
      <c r="N4288" s="109"/>
      <c r="O4288" s="47" t="s">
        <v>7039</v>
      </c>
      <c r="P4288" s="19" t="s">
        <v>5228</v>
      </c>
      <c r="Q4288" s="19" t="s">
        <v>7314</v>
      </c>
    </row>
    <row r="4289" spans="1:17" ht="24.9" customHeight="1">
      <c r="A4289" s="20"/>
      <c r="B4289" s="20" t="s">
        <v>5101</v>
      </c>
      <c r="C4289" s="19" t="s">
        <v>4325</v>
      </c>
      <c r="D4289" s="20" t="s">
        <v>4551</v>
      </c>
      <c r="E4289" s="19" t="str">
        <f>VLOOKUP(D4289,'لیست پرسنل'!$B$2:$E$1020,3,FALSE)</f>
        <v>گهر کوشان سپهر</v>
      </c>
      <c r="F4289" s="19" t="str">
        <f>VLOOKUP(D4289,'لیست پرسنل'!$B$2:$E$1020,4,FALSE)</f>
        <v>مالی - اداری</v>
      </c>
      <c r="G4289" s="127">
        <f>VLOOKUP(D4289,'لیست پرسنل'!$B$2:$F$1020,2,FALSE)</f>
        <v>20590</v>
      </c>
      <c r="H4289" s="126" t="s">
        <v>7045</v>
      </c>
      <c r="I4289" s="127" t="s">
        <v>4325</v>
      </c>
      <c r="J4289" s="127" t="s">
        <v>5366</v>
      </c>
      <c r="K4289" s="128" t="s">
        <v>8230</v>
      </c>
      <c r="L4289" s="127"/>
      <c r="M4289" s="127">
        <v>634581</v>
      </c>
      <c r="N4289" s="109"/>
      <c r="O4289" s="47" t="s">
        <v>7021</v>
      </c>
      <c r="P4289" s="19" t="s">
        <v>5228</v>
      </c>
      <c r="Q4289" s="19" t="s">
        <v>7314</v>
      </c>
    </row>
    <row r="4290" spans="1:17" ht="24.9" customHeight="1">
      <c r="A4290" s="20"/>
      <c r="B4290" s="20" t="s">
        <v>5101</v>
      </c>
      <c r="C4290" s="19" t="s">
        <v>4325</v>
      </c>
      <c r="D4290" s="20" t="s">
        <v>4551</v>
      </c>
      <c r="E4290" s="19" t="str">
        <f>VLOOKUP(D4290,'لیست پرسنل'!$B$2:$E$1020,3,FALSE)</f>
        <v>گهر کوشان سپهر</v>
      </c>
      <c r="F4290" s="19" t="str">
        <f>VLOOKUP(D4290,'لیست پرسنل'!$B$2:$E$1020,4,FALSE)</f>
        <v>مالی - اداری</v>
      </c>
      <c r="G4290" s="127">
        <f>VLOOKUP(D4290,'لیست پرسنل'!$B$2:$F$1020,2,FALSE)</f>
        <v>20590</v>
      </c>
      <c r="H4290" s="126" t="s">
        <v>7045</v>
      </c>
      <c r="I4290" s="127" t="s">
        <v>4325</v>
      </c>
      <c r="J4290" s="127" t="s">
        <v>5366</v>
      </c>
      <c r="K4290" s="128" t="s">
        <v>8230</v>
      </c>
      <c r="L4290" s="127"/>
      <c r="M4290" s="127">
        <v>634582</v>
      </c>
      <c r="N4290" s="109"/>
      <c r="O4290" s="47" t="s">
        <v>7024</v>
      </c>
      <c r="P4290" s="19" t="s">
        <v>5228</v>
      </c>
      <c r="Q4290" s="19" t="s">
        <v>7314</v>
      </c>
    </row>
    <row r="4291" spans="1:17" ht="24.9" customHeight="1">
      <c r="A4291" s="20"/>
      <c r="B4291" s="20" t="s">
        <v>5101</v>
      </c>
      <c r="C4291" s="19" t="s">
        <v>4325</v>
      </c>
      <c r="D4291" s="20" t="s">
        <v>4551</v>
      </c>
      <c r="E4291" s="19" t="str">
        <f>VLOOKUP(D4291,'لیست پرسنل'!$B$2:$E$1020,3,FALSE)</f>
        <v>گهر کوشان سپهر</v>
      </c>
      <c r="F4291" s="19" t="str">
        <f>VLOOKUP(D4291,'لیست پرسنل'!$B$2:$E$1020,4,FALSE)</f>
        <v>مالی - اداری</v>
      </c>
      <c r="G4291" s="127">
        <f>VLOOKUP(D4291,'لیست پرسنل'!$B$2:$F$1020,2,FALSE)</f>
        <v>20590</v>
      </c>
      <c r="H4291" s="126" t="s">
        <v>7045</v>
      </c>
      <c r="I4291" s="127" t="s">
        <v>4325</v>
      </c>
      <c r="J4291" s="127" t="s">
        <v>5366</v>
      </c>
      <c r="K4291" s="128" t="s">
        <v>8230</v>
      </c>
      <c r="L4291" s="127"/>
      <c r="M4291" s="127">
        <v>634583</v>
      </c>
      <c r="N4291" s="109"/>
      <c r="O4291" s="47" t="s">
        <v>7023</v>
      </c>
      <c r="P4291" s="19" t="s">
        <v>5228</v>
      </c>
      <c r="Q4291" s="19" t="s">
        <v>7314</v>
      </c>
    </row>
    <row r="4292" spans="1:17" ht="24.9" customHeight="1">
      <c r="A4292" s="20"/>
      <c r="B4292" s="20" t="s">
        <v>5101</v>
      </c>
      <c r="C4292" s="19" t="s">
        <v>4325</v>
      </c>
      <c r="D4292" s="20" t="s">
        <v>4551</v>
      </c>
      <c r="E4292" s="19" t="str">
        <f>VLOOKUP(D4292,'لیست پرسنل'!$B$2:$E$1020,3,FALSE)</f>
        <v>گهر کوشان سپهر</v>
      </c>
      <c r="F4292" s="19" t="str">
        <f>VLOOKUP(D4292,'لیست پرسنل'!$B$2:$E$1020,4,FALSE)</f>
        <v>مالی - اداری</v>
      </c>
      <c r="G4292" s="127">
        <f>VLOOKUP(D4292,'لیست پرسنل'!$B$2:$F$1020,2,FALSE)</f>
        <v>20590</v>
      </c>
      <c r="H4292" s="126" t="s">
        <v>7045</v>
      </c>
      <c r="I4292" s="127" t="s">
        <v>4325</v>
      </c>
      <c r="J4292" s="127" t="s">
        <v>571</v>
      </c>
      <c r="K4292" s="127" t="s">
        <v>1513</v>
      </c>
      <c r="L4292" s="133"/>
      <c r="M4292" s="127">
        <v>632791</v>
      </c>
      <c r="N4292" s="109"/>
      <c r="O4292" s="19"/>
      <c r="P4292" s="19" t="s">
        <v>5228</v>
      </c>
      <c r="Q4292" s="19" t="s">
        <v>7314</v>
      </c>
    </row>
    <row r="4293" spans="1:17" ht="24.9" customHeight="1">
      <c r="A4293" s="20"/>
      <c r="B4293" s="20" t="s">
        <v>5101</v>
      </c>
      <c r="C4293" s="19" t="s">
        <v>4325</v>
      </c>
      <c r="D4293" s="20" t="s">
        <v>4551</v>
      </c>
      <c r="E4293" s="19" t="str">
        <f>VLOOKUP(D4293,'لیست پرسنل'!$B$2:$E$1020,3,FALSE)</f>
        <v>گهر کوشان سپهر</v>
      </c>
      <c r="F4293" s="19" t="str">
        <f>VLOOKUP(D4293,'لیست پرسنل'!$B$2:$E$1020,4,FALSE)</f>
        <v>مالی - اداری</v>
      </c>
      <c r="G4293" s="127">
        <f>VLOOKUP(D4293,'لیست پرسنل'!$B$2:$F$1020,2,FALSE)</f>
        <v>20590</v>
      </c>
      <c r="H4293" s="126" t="s">
        <v>7045</v>
      </c>
      <c r="I4293" s="127" t="s">
        <v>4325</v>
      </c>
      <c r="J4293" s="127" t="s">
        <v>5618</v>
      </c>
      <c r="K4293" s="128" t="s">
        <v>8115</v>
      </c>
      <c r="L4293" s="133" t="s">
        <v>6212</v>
      </c>
      <c r="M4293" s="127">
        <v>632796</v>
      </c>
      <c r="N4293" s="109"/>
      <c r="O4293" s="19"/>
      <c r="P4293" s="19" t="s">
        <v>5228</v>
      </c>
      <c r="Q4293" s="19" t="s">
        <v>7314</v>
      </c>
    </row>
    <row r="4294" spans="1:17" ht="24.9" customHeight="1">
      <c r="A4294" s="20"/>
      <c r="B4294" s="20" t="s">
        <v>5101</v>
      </c>
      <c r="C4294" s="19" t="s">
        <v>4325</v>
      </c>
      <c r="D4294" s="20" t="s">
        <v>4551</v>
      </c>
      <c r="E4294" s="19" t="str">
        <f>VLOOKUP(D4294,'لیست پرسنل'!$B$2:$E$1020,3,FALSE)</f>
        <v>گهر کوشان سپهر</v>
      </c>
      <c r="F4294" s="19" t="str">
        <f>VLOOKUP(D4294,'لیست پرسنل'!$B$2:$E$1020,4,FALSE)</f>
        <v>مالی - اداری</v>
      </c>
      <c r="G4294" s="127">
        <f>VLOOKUP(D4294,'لیست پرسنل'!$B$2:$F$1020,2,FALSE)</f>
        <v>20590</v>
      </c>
      <c r="H4294" s="126" t="s">
        <v>7045</v>
      </c>
      <c r="I4294" s="127" t="s">
        <v>6192</v>
      </c>
      <c r="J4294" s="127" t="s">
        <v>5366</v>
      </c>
      <c r="K4294" s="128" t="s">
        <v>5206</v>
      </c>
      <c r="L4294" s="133" t="s">
        <v>5191</v>
      </c>
      <c r="M4294" s="133">
        <v>634579</v>
      </c>
      <c r="N4294" s="109" t="s">
        <v>7712</v>
      </c>
      <c r="O4294" s="47" t="s">
        <v>7026</v>
      </c>
      <c r="P4294" s="19" t="s">
        <v>5228</v>
      </c>
      <c r="Q4294" s="19" t="s">
        <v>7314</v>
      </c>
    </row>
    <row r="4295" spans="1:17" ht="24.9" customHeight="1">
      <c r="A4295" s="20"/>
      <c r="B4295" s="20" t="s">
        <v>5101</v>
      </c>
      <c r="C4295" s="19" t="s">
        <v>4325</v>
      </c>
      <c r="D4295" s="19" t="s">
        <v>48</v>
      </c>
      <c r="E4295" s="19" t="str">
        <f>VLOOKUP(D4295,'لیست پرسنل'!$B$2:$E$1020,3,FALSE)</f>
        <v>فکورصنعت</v>
      </c>
      <c r="F4295" s="19" t="str">
        <f>VLOOKUP(D4295,'لیست پرسنل'!$B$2:$E$1020,4,FALSE)</f>
        <v>سرپرست آی تی</v>
      </c>
      <c r="G4295" s="127">
        <f>VLOOKUP(D4295,'لیست پرسنل'!$B$2:$F$1020,2,FALSE)</f>
        <v>2210</v>
      </c>
      <c r="H4295" s="126" t="s">
        <v>7044</v>
      </c>
      <c r="I4295" s="127" t="s">
        <v>4325</v>
      </c>
      <c r="J4295" s="127" t="s">
        <v>3532</v>
      </c>
      <c r="K4295" s="128" t="s">
        <v>7519</v>
      </c>
      <c r="L4295" s="133" t="s">
        <v>7520</v>
      </c>
      <c r="M4295" s="127">
        <v>650419</v>
      </c>
      <c r="N4295" s="109"/>
      <c r="O4295" s="19"/>
      <c r="P4295" s="19"/>
      <c r="Q4295" s="19"/>
    </row>
    <row r="4296" spans="1:17" ht="24.9" customHeight="1">
      <c r="A4296" s="20"/>
      <c r="B4296" s="20" t="s">
        <v>5101</v>
      </c>
      <c r="C4296" s="19" t="s">
        <v>4325</v>
      </c>
      <c r="D4296" s="19" t="s">
        <v>48</v>
      </c>
      <c r="E4296" s="19" t="str">
        <f>VLOOKUP(D4296,'لیست پرسنل'!$B$2:$E$1020,3,FALSE)</f>
        <v>فکورصنعت</v>
      </c>
      <c r="F4296" s="19" t="str">
        <f>VLOOKUP(D4296,'لیست پرسنل'!$B$2:$E$1020,4,FALSE)</f>
        <v>سرپرست آی تی</v>
      </c>
      <c r="G4296" s="127">
        <f>VLOOKUP(D4296,'لیست پرسنل'!$B$2:$F$1020,2,FALSE)</f>
        <v>2210</v>
      </c>
      <c r="H4296" s="126" t="s">
        <v>7044</v>
      </c>
      <c r="I4296" s="127" t="s">
        <v>4325</v>
      </c>
      <c r="J4296" s="127" t="s">
        <v>3532</v>
      </c>
      <c r="K4296" s="128" t="s">
        <v>7519</v>
      </c>
      <c r="L4296" s="133" t="s">
        <v>7521</v>
      </c>
      <c r="M4296" s="127">
        <v>650420</v>
      </c>
      <c r="N4296" s="109"/>
      <c r="O4296" s="19"/>
      <c r="P4296" s="19"/>
      <c r="Q4296" s="19"/>
    </row>
    <row r="4297" spans="1:17" ht="24.9" customHeight="1">
      <c r="A4297" s="20"/>
      <c r="B4297" s="20" t="s">
        <v>5101</v>
      </c>
      <c r="C4297" s="19" t="s">
        <v>4325</v>
      </c>
      <c r="D4297" s="19" t="s">
        <v>48</v>
      </c>
      <c r="E4297" s="19" t="str">
        <f>VLOOKUP(D4297,'لیست پرسنل'!$B$2:$E$1020,3,FALSE)</f>
        <v>فکورصنعت</v>
      </c>
      <c r="F4297" s="19" t="str">
        <f>VLOOKUP(D4297,'لیست پرسنل'!$B$2:$E$1020,4,FALSE)</f>
        <v>سرپرست آی تی</v>
      </c>
      <c r="G4297" s="127">
        <f>VLOOKUP(D4297,'لیست پرسنل'!$B$2:$F$1020,2,FALSE)</f>
        <v>2210</v>
      </c>
      <c r="H4297" s="126" t="s">
        <v>7044</v>
      </c>
      <c r="I4297" s="127" t="s">
        <v>4325</v>
      </c>
      <c r="J4297" s="127" t="s">
        <v>3532</v>
      </c>
      <c r="K4297" s="128" t="s">
        <v>7519</v>
      </c>
      <c r="L4297" s="133" t="s">
        <v>7522</v>
      </c>
      <c r="M4297" s="127">
        <v>650421</v>
      </c>
      <c r="N4297" s="109"/>
      <c r="O4297" s="19"/>
      <c r="P4297" s="19"/>
      <c r="Q4297" s="19"/>
    </row>
    <row r="4298" spans="1:17" ht="24.9" customHeight="1">
      <c r="A4298" s="20"/>
      <c r="B4298" s="20" t="s">
        <v>5101</v>
      </c>
      <c r="C4298" s="19" t="s">
        <v>4325</v>
      </c>
      <c r="D4298" s="19" t="s">
        <v>48</v>
      </c>
      <c r="E4298" s="19" t="str">
        <f>VLOOKUP(D4298,'لیست پرسنل'!$B$2:$E$1020,3,FALSE)</f>
        <v>فکورصنعت</v>
      </c>
      <c r="F4298" s="19" t="str">
        <f>VLOOKUP(D4298,'لیست پرسنل'!$B$2:$E$1020,4,FALSE)</f>
        <v>سرپرست آی تی</v>
      </c>
      <c r="G4298" s="127">
        <f>VLOOKUP(D4298,'لیست پرسنل'!$B$2:$F$1020,2,FALSE)</f>
        <v>2210</v>
      </c>
      <c r="H4298" s="126" t="s">
        <v>7044</v>
      </c>
      <c r="I4298" s="127" t="s">
        <v>4325</v>
      </c>
      <c r="J4298" s="127" t="s">
        <v>3532</v>
      </c>
      <c r="K4298" s="128" t="s">
        <v>7519</v>
      </c>
      <c r="L4298" s="133" t="s">
        <v>7523</v>
      </c>
      <c r="M4298" s="127">
        <v>650422</v>
      </c>
      <c r="N4298" s="109"/>
      <c r="O4298" s="19"/>
      <c r="P4298" s="19"/>
      <c r="Q4298" s="19"/>
    </row>
    <row r="4299" spans="1:17" ht="24.9" customHeight="1">
      <c r="A4299" s="20"/>
      <c r="B4299" s="20" t="s">
        <v>5101</v>
      </c>
      <c r="C4299" s="19" t="s">
        <v>4325</v>
      </c>
      <c r="D4299" s="19" t="s">
        <v>48</v>
      </c>
      <c r="E4299" s="19" t="str">
        <f>VLOOKUP(D4299,'لیست پرسنل'!$B$2:$E$1020,3,FALSE)</f>
        <v>فکورصنعت</v>
      </c>
      <c r="F4299" s="19" t="str">
        <f>VLOOKUP(D4299,'لیست پرسنل'!$B$2:$E$1020,4,FALSE)</f>
        <v>سرپرست آی تی</v>
      </c>
      <c r="G4299" s="127">
        <f>VLOOKUP(D4299,'لیست پرسنل'!$B$2:$F$1020,2,FALSE)</f>
        <v>2210</v>
      </c>
      <c r="H4299" s="126" t="s">
        <v>7044</v>
      </c>
      <c r="I4299" s="127" t="s">
        <v>4325</v>
      </c>
      <c r="J4299" s="127" t="s">
        <v>3532</v>
      </c>
      <c r="K4299" s="128" t="s">
        <v>7519</v>
      </c>
      <c r="L4299" s="133" t="s">
        <v>7524</v>
      </c>
      <c r="M4299" s="127">
        <v>650423</v>
      </c>
      <c r="N4299" s="109"/>
      <c r="O4299" s="19"/>
      <c r="P4299" s="19"/>
      <c r="Q4299" s="19"/>
    </row>
    <row r="4300" spans="1:17" ht="24.9" customHeight="1">
      <c r="A4300" s="20"/>
      <c r="B4300" s="20" t="s">
        <v>5101</v>
      </c>
      <c r="C4300" s="19" t="s">
        <v>4325</v>
      </c>
      <c r="D4300" s="19" t="s">
        <v>48</v>
      </c>
      <c r="E4300" s="19" t="str">
        <f>VLOOKUP(D4300,'لیست پرسنل'!$B$2:$E$1020,3,FALSE)</f>
        <v>فکورصنعت</v>
      </c>
      <c r="F4300" s="19" t="str">
        <f>VLOOKUP(D4300,'لیست پرسنل'!$B$2:$E$1020,4,FALSE)</f>
        <v>سرپرست آی تی</v>
      </c>
      <c r="G4300" s="127">
        <f>VLOOKUP(D4300,'لیست پرسنل'!$B$2:$F$1020,2,FALSE)</f>
        <v>2210</v>
      </c>
      <c r="H4300" s="126" t="s">
        <v>7044</v>
      </c>
      <c r="I4300" s="127" t="s">
        <v>4325</v>
      </c>
      <c r="J4300" s="127" t="s">
        <v>3532</v>
      </c>
      <c r="K4300" s="128" t="s">
        <v>7519</v>
      </c>
      <c r="L4300" s="133" t="s">
        <v>7525</v>
      </c>
      <c r="M4300" s="127">
        <v>650424</v>
      </c>
      <c r="N4300" s="109"/>
      <c r="O4300" s="19"/>
      <c r="P4300" s="19"/>
      <c r="Q4300" s="19"/>
    </row>
    <row r="4301" spans="1:17" ht="24.9" customHeight="1">
      <c r="A4301" s="20"/>
      <c r="B4301" s="20" t="s">
        <v>5101</v>
      </c>
      <c r="C4301" s="19" t="s">
        <v>4325</v>
      </c>
      <c r="D4301" s="19" t="s">
        <v>48</v>
      </c>
      <c r="E4301" s="19" t="str">
        <f>VLOOKUP(D4301,'لیست پرسنل'!$B$2:$E$1020,3,FALSE)</f>
        <v>فکورصنعت</v>
      </c>
      <c r="F4301" s="19" t="str">
        <f>VLOOKUP(D4301,'لیست پرسنل'!$B$2:$E$1020,4,FALSE)</f>
        <v>سرپرست آی تی</v>
      </c>
      <c r="G4301" s="127">
        <f>VLOOKUP(D4301,'لیست پرسنل'!$B$2:$F$1020,2,FALSE)</f>
        <v>2210</v>
      </c>
      <c r="H4301" s="126" t="s">
        <v>7044</v>
      </c>
      <c r="I4301" s="127" t="s">
        <v>4325</v>
      </c>
      <c r="J4301" s="127" t="s">
        <v>3532</v>
      </c>
      <c r="K4301" s="128" t="s">
        <v>7519</v>
      </c>
      <c r="L4301" s="133" t="s">
        <v>7526</v>
      </c>
      <c r="M4301" s="127">
        <v>650425</v>
      </c>
      <c r="N4301" s="109"/>
      <c r="O4301" s="19"/>
      <c r="P4301" s="19"/>
      <c r="Q4301" s="19"/>
    </row>
    <row r="4302" spans="1:17" ht="24.9" customHeight="1">
      <c r="A4302" s="20"/>
      <c r="B4302" s="20" t="s">
        <v>5101</v>
      </c>
      <c r="C4302" s="19" t="s">
        <v>4325</v>
      </c>
      <c r="D4302" s="19" t="s">
        <v>48</v>
      </c>
      <c r="E4302" s="19" t="str">
        <f>VLOOKUP(D4302,'لیست پرسنل'!$B$2:$E$1020,3,FALSE)</f>
        <v>فکورصنعت</v>
      </c>
      <c r="F4302" s="19" t="str">
        <f>VLOOKUP(D4302,'لیست پرسنل'!$B$2:$E$1020,4,FALSE)</f>
        <v>سرپرست آی تی</v>
      </c>
      <c r="G4302" s="127">
        <f>VLOOKUP(D4302,'لیست پرسنل'!$B$2:$F$1020,2,FALSE)</f>
        <v>2210</v>
      </c>
      <c r="H4302" s="126" t="s">
        <v>7044</v>
      </c>
      <c r="I4302" s="127" t="s">
        <v>4325</v>
      </c>
      <c r="J4302" s="127" t="s">
        <v>3532</v>
      </c>
      <c r="K4302" s="128" t="s">
        <v>7519</v>
      </c>
      <c r="L4302" s="133" t="s">
        <v>7528</v>
      </c>
      <c r="M4302" s="127">
        <v>650427</v>
      </c>
      <c r="N4302" s="109"/>
      <c r="O4302" s="19"/>
      <c r="P4302" s="19"/>
      <c r="Q4302" s="19"/>
    </row>
    <row r="4303" spans="1:17" ht="24.9" customHeight="1">
      <c r="A4303" s="20"/>
      <c r="B4303" s="20" t="s">
        <v>5101</v>
      </c>
      <c r="C4303" s="19" t="s">
        <v>4325</v>
      </c>
      <c r="D4303" s="19" t="s">
        <v>48</v>
      </c>
      <c r="E4303" s="19" t="str">
        <f>VLOOKUP(D4303,'لیست پرسنل'!$B$2:$E$1020,3,FALSE)</f>
        <v>فکورصنعت</v>
      </c>
      <c r="F4303" s="19" t="str">
        <f>VLOOKUP(D4303,'لیست پرسنل'!$B$2:$E$1020,4,FALSE)</f>
        <v>سرپرست آی تی</v>
      </c>
      <c r="G4303" s="127">
        <f>VLOOKUP(D4303,'لیست پرسنل'!$B$2:$F$1020,2,FALSE)</f>
        <v>2210</v>
      </c>
      <c r="H4303" s="126" t="s">
        <v>7044</v>
      </c>
      <c r="I4303" s="127" t="s">
        <v>4325</v>
      </c>
      <c r="J4303" s="127" t="s">
        <v>3532</v>
      </c>
      <c r="K4303" s="128" t="s">
        <v>7519</v>
      </c>
      <c r="L4303" s="133" t="s">
        <v>7529</v>
      </c>
      <c r="M4303" s="127">
        <v>650428</v>
      </c>
      <c r="N4303" s="109"/>
      <c r="O4303" s="19"/>
      <c r="P4303" s="19"/>
      <c r="Q4303" s="19"/>
    </row>
    <row r="4304" spans="1:17" ht="24.9" customHeight="1">
      <c r="A4304" s="20"/>
      <c r="B4304" s="20" t="s">
        <v>5101</v>
      </c>
      <c r="C4304" s="19" t="s">
        <v>4325</v>
      </c>
      <c r="D4304" s="19" t="s">
        <v>48</v>
      </c>
      <c r="E4304" s="19" t="str">
        <f>VLOOKUP(D4304,'لیست پرسنل'!$B$2:$E$1020,3,FALSE)</f>
        <v>فکورصنعت</v>
      </c>
      <c r="F4304" s="19" t="str">
        <f>VLOOKUP(D4304,'لیست پرسنل'!$B$2:$E$1020,4,FALSE)</f>
        <v>سرپرست آی تی</v>
      </c>
      <c r="G4304" s="127">
        <f>VLOOKUP(D4304,'لیست پرسنل'!$B$2:$F$1020,2,FALSE)</f>
        <v>2210</v>
      </c>
      <c r="H4304" s="126" t="s">
        <v>7044</v>
      </c>
      <c r="I4304" s="127" t="s">
        <v>4325</v>
      </c>
      <c r="J4304" s="126" t="s">
        <v>368</v>
      </c>
      <c r="K4304" s="128" t="s">
        <v>2846</v>
      </c>
      <c r="L4304" s="127" t="s">
        <v>1361</v>
      </c>
      <c r="M4304" s="127">
        <v>633712</v>
      </c>
      <c r="N4304" s="109"/>
      <c r="O4304" s="19" t="s">
        <v>6360</v>
      </c>
      <c r="P4304" s="19" t="s">
        <v>5228</v>
      </c>
      <c r="Q4304" s="19" t="s">
        <v>7314</v>
      </c>
    </row>
    <row r="4305" spans="1:17" ht="24.9" customHeight="1">
      <c r="A4305" s="20"/>
      <c r="B4305" s="20" t="s">
        <v>5101</v>
      </c>
      <c r="C4305" s="19" t="s">
        <v>4325</v>
      </c>
      <c r="D4305" s="19" t="s">
        <v>48</v>
      </c>
      <c r="E4305" s="19" t="str">
        <f>VLOOKUP(D4305,'لیست پرسنل'!$B$2:$E$1020,3,FALSE)</f>
        <v>فکورصنعت</v>
      </c>
      <c r="F4305" s="19" t="str">
        <f>VLOOKUP(D4305,'لیست پرسنل'!$B$2:$E$1020,4,FALSE)</f>
        <v>سرپرست آی تی</v>
      </c>
      <c r="G4305" s="127">
        <f>VLOOKUP(D4305,'لیست پرسنل'!$B$2:$F$1020,2,FALSE)</f>
        <v>2210</v>
      </c>
      <c r="H4305" s="126" t="s">
        <v>7044</v>
      </c>
      <c r="I4305" s="127" t="s">
        <v>4325</v>
      </c>
      <c r="J4305" s="126" t="s">
        <v>368</v>
      </c>
      <c r="K4305" s="128" t="s">
        <v>2846</v>
      </c>
      <c r="L4305" s="127" t="s">
        <v>2167</v>
      </c>
      <c r="M4305" s="127">
        <v>633718</v>
      </c>
      <c r="N4305" s="109"/>
      <c r="O4305" s="19" t="s">
        <v>6366</v>
      </c>
      <c r="P4305" s="19" t="s">
        <v>5228</v>
      </c>
      <c r="Q4305" s="19" t="s">
        <v>7314</v>
      </c>
    </row>
    <row r="4306" spans="1:17" ht="24.9" customHeight="1">
      <c r="A4306" s="20"/>
      <c r="B4306" s="20" t="s">
        <v>5101</v>
      </c>
      <c r="C4306" s="19" t="s">
        <v>4325</v>
      </c>
      <c r="D4306" s="19" t="s">
        <v>48</v>
      </c>
      <c r="E4306" s="19" t="str">
        <f>VLOOKUP(D4306,'لیست پرسنل'!$B$2:$E$1020,3,FALSE)</f>
        <v>فکورصنعت</v>
      </c>
      <c r="F4306" s="19" t="str">
        <f>VLOOKUP(D4306,'لیست پرسنل'!$B$2:$E$1020,4,FALSE)</f>
        <v>سرپرست آی تی</v>
      </c>
      <c r="G4306" s="127">
        <f>VLOOKUP(D4306,'لیست پرسنل'!$B$2:$F$1020,2,FALSE)</f>
        <v>2210</v>
      </c>
      <c r="H4306" s="126" t="s">
        <v>7044</v>
      </c>
      <c r="I4306" s="127" t="s">
        <v>4325</v>
      </c>
      <c r="J4306" s="126" t="s">
        <v>368</v>
      </c>
      <c r="K4306" s="128" t="s">
        <v>1390</v>
      </c>
      <c r="L4306" s="127" t="s">
        <v>1465</v>
      </c>
      <c r="M4306" s="127">
        <v>633739</v>
      </c>
      <c r="N4306" s="109"/>
      <c r="O4306" s="19" t="s">
        <v>6395</v>
      </c>
      <c r="P4306" s="19" t="s">
        <v>5228</v>
      </c>
      <c r="Q4306" s="19" t="s">
        <v>7314</v>
      </c>
    </row>
    <row r="4307" spans="1:17" ht="24.9" customHeight="1">
      <c r="A4307" s="20"/>
      <c r="B4307" s="20" t="s">
        <v>5101</v>
      </c>
      <c r="C4307" s="19" t="s">
        <v>4325</v>
      </c>
      <c r="D4307" s="19" t="s">
        <v>48</v>
      </c>
      <c r="E4307" s="19" t="str">
        <f>VLOOKUP(D4307,'لیست پرسنل'!$B$2:$E$1020,3,FALSE)</f>
        <v>فکورصنعت</v>
      </c>
      <c r="F4307" s="19" t="str">
        <f>VLOOKUP(D4307,'لیست پرسنل'!$B$2:$E$1020,4,FALSE)</f>
        <v>سرپرست آی تی</v>
      </c>
      <c r="G4307" s="127">
        <f>VLOOKUP(D4307,'لیست پرسنل'!$B$2:$F$1020,2,FALSE)</f>
        <v>2210</v>
      </c>
      <c r="H4307" s="126" t="s">
        <v>7044</v>
      </c>
      <c r="I4307" s="127" t="s">
        <v>4325</v>
      </c>
      <c r="J4307" s="127" t="s">
        <v>3483</v>
      </c>
      <c r="K4307" s="128" t="s">
        <v>7542</v>
      </c>
      <c r="L4307" s="133"/>
      <c r="M4307" s="127" t="s">
        <v>4371</v>
      </c>
      <c r="N4307" s="109"/>
      <c r="O4307" s="19"/>
      <c r="P4307" s="19"/>
      <c r="Q4307" s="19"/>
    </row>
    <row r="4308" spans="1:17" ht="24.9" customHeight="1">
      <c r="A4308" s="20"/>
      <c r="B4308" s="20" t="s">
        <v>5101</v>
      </c>
      <c r="C4308" s="19" t="s">
        <v>4325</v>
      </c>
      <c r="D4308" s="19" t="s">
        <v>48</v>
      </c>
      <c r="E4308" s="19" t="str">
        <f>VLOOKUP(D4308,'لیست پرسنل'!$B$2:$E$1020,3,FALSE)</f>
        <v>فکورصنعت</v>
      </c>
      <c r="F4308" s="19" t="str">
        <f>VLOOKUP(D4308,'لیست پرسنل'!$B$2:$E$1020,4,FALSE)</f>
        <v>سرپرست آی تی</v>
      </c>
      <c r="G4308" s="127">
        <f>VLOOKUP(D4308,'لیست پرسنل'!$B$2:$F$1020,2,FALSE)</f>
        <v>2210</v>
      </c>
      <c r="H4308" s="126" t="s">
        <v>7044</v>
      </c>
      <c r="I4308" s="127" t="s">
        <v>4325</v>
      </c>
      <c r="J4308" s="127" t="s">
        <v>3483</v>
      </c>
      <c r="K4308" s="128" t="s">
        <v>7542</v>
      </c>
      <c r="L4308" s="133"/>
      <c r="M4308" s="127" t="s">
        <v>4371</v>
      </c>
      <c r="N4308" s="109"/>
      <c r="O4308" s="19"/>
      <c r="P4308" s="19"/>
      <c r="Q4308" s="19"/>
    </row>
    <row r="4309" spans="1:17" ht="24.9" customHeight="1">
      <c r="A4309" s="20"/>
      <c r="B4309" s="20" t="s">
        <v>5101</v>
      </c>
      <c r="C4309" s="19" t="s">
        <v>4325</v>
      </c>
      <c r="D4309" s="19" t="s">
        <v>48</v>
      </c>
      <c r="E4309" s="19" t="str">
        <f>VLOOKUP(D4309,'لیست پرسنل'!$B$2:$E$1020,3,FALSE)</f>
        <v>فکورصنعت</v>
      </c>
      <c r="F4309" s="19" t="str">
        <f>VLOOKUP(D4309,'لیست پرسنل'!$B$2:$E$1020,4,FALSE)</f>
        <v>سرپرست آی تی</v>
      </c>
      <c r="G4309" s="127">
        <f>VLOOKUP(D4309,'لیست پرسنل'!$B$2:$F$1020,2,FALSE)</f>
        <v>2210</v>
      </c>
      <c r="H4309" s="126" t="s">
        <v>7044</v>
      </c>
      <c r="I4309" s="127" t="s">
        <v>4325</v>
      </c>
      <c r="J4309" s="127" t="s">
        <v>3483</v>
      </c>
      <c r="K4309" s="128" t="s">
        <v>7543</v>
      </c>
      <c r="L4309" s="133"/>
      <c r="M4309" s="127" t="s">
        <v>4371</v>
      </c>
      <c r="N4309" s="109"/>
      <c r="O4309" s="19"/>
      <c r="P4309" s="19"/>
      <c r="Q4309" s="19"/>
    </row>
    <row r="4310" spans="1:17" ht="24.9" customHeight="1">
      <c r="A4310" s="20"/>
      <c r="B4310" s="20" t="s">
        <v>5101</v>
      </c>
      <c r="C4310" s="19" t="s">
        <v>4325</v>
      </c>
      <c r="D4310" s="19" t="s">
        <v>48</v>
      </c>
      <c r="E4310" s="19" t="str">
        <f>VLOOKUP(D4310,'لیست پرسنل'!$B$2:$E$1020,3,FALSE)</f>
        <v>فکورصنعت</v>
      </c>
      <c r="F4310" s="19" t="str">
        <f>VLOOKUP(D4310,'لیست پرسنل'!$B$2:$E$1020,4,FALSE)</f>
        <v>سرپرست آی تی</v>
      </c>
      <c r="G4310" s="127">
        <f>VLOOKUP(D4310,'لیست پرسنل'!$B$2:$F$1020,2,FALSE)</f>
        <v>2210</v>
      </c>
      <c r="H4310" s="126" t="s">
        <v>7044</v>
      </c>
      <c r="I4310" s="127" t="s">
        <v>4325</v>
      </c>
      <c r="J4310" s="127" t="s">
        <v>3483</v>
      </c>
      <c r="K4310" s="128" t="s">
        <v>7544</v>
      </c>
      <c r="L4310" s="133"/>
      <c r="M4310" s="127" t="s">
        <v>4371</v>
      </c>
      <c r="N4310" s="109"/>
      <c r="O4310" s="19"/>
      <c r="P4310" s="19"/>
      <c r="Q4310" s="19"/>
    </row>
    <row r="4311" spans="1:17" ht="24.9" customHeight="1">
      <c r="A4311" s="20"/>
      <c r="B4311" s="20" t="s">
        <v>5101</v>
      </c>
      <c r="C4311" s="19" t="s">
        <v>4325</v>
      </c>
      <c r="D4311" s="19" t="s">
        <v>48</v>
      </c>
      <c r="E4311" s="19" t="str">
        <f>VLOOKUP(D4311,'لیست پرسنل'!$B$2:$E$1020,3,FALSE)</f>
        <v>فکورصنعت</v>
      </c>
      <c r="F4311" s="19" t="str">
        <f>VLOOKUP(D4311,'لیست پرسنل'!$B$2:$E$1020,4,FALSE)</f>
        <v>سرپرست آی تی</v>
      </c>
      <c r="G4311" s="127">
        <f>VLOOKUP(D4311,'لیست پرسنل'!$B$2:$F$1020,2,FALSE)</f>
        <v>2210</v>
      </c>
      <c r="H4311" s="126" t="s">
        <v>7044</v>
      </c>
      <c r="I4311" s="127" t="s">
        <v>4325</v>
      </c>
      <c r="J4311" s="127" t="s">
        <v>3483</v>
      </c>
      <c r="K4311" s="128" t="s">
        <v>7544</v>
      </c>
      <c r="L4311" s="133"/>
      <c r="M4311" s="127" t="s">
        <v>4371</v>
      </c>
      <c r="N4311" s="109"/>
      <c r="O4311" s="19"/>
      <c r="P4311" s="19"/>
      <c r="Q4311" s="19"/>
    </row>
    <row r="4312" spans="1:17" ht="24.9" customHeight="1">
      <c r="A4312" s="20"/>
      <c r="B4312" s="20" t="s">
        <v>5101</v>
      </c>
      <c r="C4312" s="19" t="s">
        <v>4325</v>
      </c>
      <c r="D4312" s="19" t="s">
        <v>48</v>
      </c>
      <c r="E4312" s="19" t="str">
        <f>VLOOKUP(D4312,'لیست پرسنل'!$B$2:$E$1020,3,FALSE)</f>
        <v>فکورصنعت</v>
      </c>
      <c r="F4312" s="19" t="str">
        <f>VLOOKUP(D4312,'لیست پرسنل'!$B$2:$E$1020,4,FALSE)</f>
        <v>سرپرست آی تی</v>
      </c>
      <c r="G4312" s="127">
        <f>VLOOKUP(D4312,'لیست پرسنل'!$B$2:$F$1020,2,FALSE)</f>
        <v>2210</v>
      </c>
      <c r="H4312" s="126" t="s">
        <v>7044</v>
      </c>
      <c r="I4312" s="127" t="s">
        <v>4325</v>
      </c>
      <c r="J4312" s="127" t="s">
        <v>3476</v>
      </c>
      <c r="K4312" s="128" t="s">
        <v>7530</v>
      </c>
      <c r="L4312" s="133" t="s">
        <v>7531</v>
      </c>
      <c r="M4312" s="127" t="s">
        <v>4371</v>
      </c>
      <c r="N4312" s="109"/>
      <c r="O4312" s="19"/>
      <c r="P4312" s="19"/>
      <c r="Q4312" s="19"/>
    </row>
    <row r="4313" spans="1:17" ht="24.9" customHeight="1">
      <c r="A4313" s="20"/>
      <c r="B4313" s="20" t="s">
        <v>5101</v>
      </c>
      <c r="C4313" s="19" t="s">
        <v>4325</v>
      </c>
      <c r="D4313" s="19" t="s">
        <v>48</v>
      </c>
      <c r="E4313" s="19" t="str">
        <f>VLOOKUP(D4313,'لیست پرسنل'!$B$2:$E$1020,3,FALSE)</f>
        <v>فکورصنعت</v>
      </c>
      <c r="F4313" s="19" t="str">
        <f>VLOOKUP(D4313,'لیست پرسنل'!$B$2:$E$1020,4,FALSE)</f>
        <v>سرپرست آی تی</v>
      </c>
      <c r="G4313" s="127">
        <f>VLOOKUP(D4313,'لیست پرسنل'!$B$2:$F$1020,2,FALSE)</f>
        <v>2210</v>
      </c>
      <c r="H4313" s="126" t="s">
        <v>7044</v>
      </c>
      <c r="I4313" s="127" t="s">
        <v>4325</v>
      </c>
      <c r="J4313" s="127" t="s">
        <v>3476</v>
      </c>
      <c r="K4313" s="128" t="s">
        <v>7530</v>
      </c>
      <c r="L4313" s="133" t="s">
        <v>7532</v>
      </c>
      <c r="M4313" s="127" t="s">
        <v>4371</v>
      </c>
      <c r="N4313" s="109"/>
      <c r="O4313" s="19"/>
      <c r="P4313" s="19"/>
      <c r="Q4313" s="19"/>
    </row>
    <row r="4314" spans="1:17" ht="24.9" customHeight="1">
      <c r="A4314" s="20"/>
      <c r="B4314" s="20" t="s">
        <v>5101</v>
      </c>
      <c r="C4314" s="19" t="s">
        <v>4325</v>
      </c>
      <c r="D4314" s="19" t="s">
        <v>48</v>
      </c>
      <c r="E4314" s="19" t="str">
        <f>VLOOKUP(D4314,'لیست پرسنل'!$B$2:$E$1020,3,FALSE)</f>
        <v>فکورصنعت</v>
      </c>
      <c r="F4314" s="19" t="str">
        <f>VLOOKUP(D4314,'لیست پرسنل'!$B$2:$E$1020,4,FALSE)</f>
        <v>سرپرست آی تی</v>
      </c>
      <c r="G4314" s="127">
        <f>VLOOKUP(D4314,'لیست پرسنل'!$B$2:$F$1020,2,FALSE)</f>
        <v>2210</v>
      </c>
      <c r="H4314" s="126" t="s">
        <v>7044</v>
      </c>
      <c r="I4314" s="127" t="s">
        <v>4325</v>
      </c>
      <c r="J4314" s="127" t="s">
        <v>3476</v>
      </c>
      <c r="K4314" s="128" t="s">
        <v>7530</v>
      </c>
      <c r="L4314" s="133" t="s">
        <v>7533</v>
      </c>
      <c r="M4314" s="127" t="s">
        <v>4371</v>
      </c>
      <c r="N4314" s="109"/>
      <c r="O4314" s="19"/>
      <c r="P4314" s="19"/>
      <c r="Q4314" s="19"/>
    </row>
    <row r="4315" spans="1:17" ht="24.9" customHeight="1">
      <c r="A4315" s="20"/>
      <c r="B4315" s="20" t="s">
        <v>5101</v>
      </c>
      <c r="C4315" s="19" t="s">
        <v>4325</v>
      </c>
      <c r="D4315" s="19" t="s">
        <v>48</v>
      </c>
      <c r="E4315" s="19" t="str">
        <f>VLOOKUP(D4315,'لیست پرسنل'!$B$2:$E$1020,3,FALSE)</f>
        <v>فکورصنعت</v>
      </c>
      <c r="F4315" s="19" t="str">
        <f>VLOOKUP(D4315,'لیست پرسنل'!$B$2:$E$1020,4,FALSE)</f>
        <v>سرپرست آی تی</v>
      </c>
      <c r="G4315" s="127">
        <f>VLOOKUP(D4315,'لیست پرسنل'!$B$2:$F$1020,2,FALSE)</f>
        <v>2210</v>
      </c>
      <c r="H4315" s="126" t="s">
        <v>7044</v>
      </c>
      <c r="I4315" s="127" t="s">
        <v>4325</v>
      </c>
      <c r="J4315" s="127" t="s">
        <v>3476</v>
      </c>
      <c r="K4315" s="128" t="s">
        <v>7530</v>
      </c>
      <c r="L4315" s="133" t="s">
        <v>7534</v>
      </c>
      <c r="M4315" s="127" t="s">
        <v>4371</v>
      </c>
      <c r="N4315" s="109"/>
      <c r="O4315" s="19"/>
      <c r="P4315" s="19"/>
      <c r="Q4315" s="19"/>
    </row>
    <row r="4316" spans="1:17" ht="24.9" customHeight="1">
      <c r="A4316" s="20"/>
      <c r="B4316" s="20" t="s">
        <v>5101</v>
      </c>
      <c r="C4316" s="19" t="s">
        <v>4325</v>
      </c>
      <c r="D4316" s="19" t="s">
        <v>48</v>
      </c>
      <c r="E4316" s="19" t="str">
        <f>VLOOKUP(D4316,'لیست پرسنل'!$B$2:$E$1020,3,FALSE)</f>
        <v>فکورصنعت</v>
      </c>
      <c r="F4316" s="19" t="str">
        <f>VLOOKUP(D4316,'لیست پرسنل'!$B$2:$E$1020,4,FALSE)</f>
        <v>سرپرست آی تی</v>
      </c>
      <c r="G4316" s="127">
        <f>VLOOKUP(D4316,'لیست پرسنل'!$B$2:$F$1020,2,FALSE)</f>
        <v>2210</v>
      </c>
      <c r="H4316" s="126" t="s">
        <v>7044</v>
      </c>
      <c r="I4316" s="127" t="s">
        <v>4325</v>
      </c>
      <c r="J4316" s="127" t="s">
        <v>3476</v>
      </c>
      <c r="K4316" s="128" t="s">
        <v>7530</v>
      </c>
      <c r="L4316" s="133" t="s">
        <v>7535</v>
      </c>
      <c r="M4316" s="127" t="s">
        <v>4371</v>
      </c>
      <c r="N4316" s="109"/>
      <c r="O4316" s="19"/>
      <c r="P4316" s="19"/>
      <c r="Q4316" s="19"/>
    </row>
    <row r="4317" spans="1:17" ht="24.9" customHeight="1">
      <c r="A4317" s="20"/>
      <c r="B4317" s="20" t="s">
        <v>5101</v>
      </c>
      <c r="C4317" s="19" t="s">
        <v>4325</v>
      </c>
      <c r="D4317" s="19" t="s">
        <v>48</v>
      </c>
      <c r="E4317" s="19" t="str">
        <f>VLOOKUP(D4317,'لیست پرسنل'!$B$2:$E$1020,3,FALSE)</f>
        <v>فکورصنعت</v>
      </c>
      <c r="F4317" s="19" t="str">
        <f>VLOOKUP(D4317,'لیست پرسنل'!$B$2:$E$1020,4,FALSE)</f>
        <v>سرپرست آی تی</v>
      </c>
      <c r="G4317" s="127">
        <f>VLOOKUP(D4317,'لیست پرسنل'!$B$2:$F$1020,2,FALSE)</f>
        <v>2210</v>
      </c>
      <c r="H4317" s="126" t="s">
        <v>7044</v>
      </c>
      <c r="I4317" s="127" t="s">
        <v>4325</v>
      </c>
      <c r="J4317" s="127" t="s">
        <v>3476</v>
      </c>
      <c r="K4317" s="128" t="s">
        <v>7530</v>
      </c>
      <c r="L4317" s="133" t="s">
        <v>7536</v>
      </c>
      <c r="M4317" s="127" t="s">
        <v>4371</v>
      </c>
      <c r="N4317" s="109"/>
      <c r="O4317" s="19"/>
      <c r="P4317" s="19"/>
      <c r="Q4317" s="19"/>
    </row>
    <row r="4318" spans="1:17" ht="24.9" customHeight="1">
      <c r="A4318" s="20"/>
      <c r="B4318" s="20" t="s">
        <v>5101</v>
      </c>
      <c r="C4318" s="19" t="s">
        <v>4325</v>
      </c>
      <c r="D4318" s="19" t="s">
        <v>48</v>
      </c>
      <c r="E4318" s="19" t="str">
        <f>VLOOKUP(D4318,'لیست پرسنل'!$B$2:$E$1020,3,FALSE)</f>
        <v>فکورصنعت</v>
      </c>
      <c r="F4318" s="19" t="str">
        <f>VLOOKUP(D4318,'لیست پرسنل'!$B$2:$E$1020,4,FALSE)</f>
        <v>سرپرست آی تی</v>
      </c>
      <c r="G4318" s="127">
        <f>VLOOKUP(D4318,'لیست پرسنل'!$B$2:$F$1020,2,FALSE)</f>
        <v>2210</v>
      </c>
      <c r="H4318" s="126" t="s">
        <v>7044</v>
      </c>
      <c r="I4318" s="127" t="s">
        <v>4325</v>
      </c>
      <c r="J4318" s="127" t="s">
        <v>3476</v>
      </c>
      <c r="K4318" s="128" t="s">
        <v>7530</v>
      </c>
      <c r="L4318" s="133" t="s">
        <v>7537</v>
      </c>
      <c r="M4318" s="127" t="s">
        <v>4371</v>
      </c>
      <c r="N4318" s="109"/>
      <c r="O4318" s="19"/>
      <c r="P4318" s="19"/>
      <c r="Q4318" s="19"/>
    </row>
    <row r="4319" spans="1:17" ht="24.9" customHeight="1">
      <c r="A4319" s="20"/>
      <c r="B4319" s="20" t="s">
        <v>5101</v>
      </c>
      <c r="C4319" s="19" t="s">
        <v>4325</v>
      </c>
      <c r="D4319" s="19" t="s">
        <v>48</v>
      </c>
      <c r="E4319" s="19" t="str">
        <f>VLOOKUP(D4319,'لیست پرسنل'!$B$2:$E$1020,3,FALSE)</f>
        <v>فکورصنعت</v>
      </c>
      <c r="F4319" s="19" t="str">
        <f>VLOOKUP(D4319,'لیست پرسنل'!$B$2:$E$1020,4,FALSE)</f>
        <v>سرپرست آی تی</v>
      </c>
      <c r="G4319" s="127">
        <f>VLOOKUP(D4319,'لیست پرسنل'!$B$2:$F$1020,2,FALSE)</f>
        <v>2210</v>
      </c>
      <c r="H4319" s="126" t="s">
        <v>7044</v>
      </c>
      <c r="I4319" s="127" t="s">
        <v>4325</v>
      </c>
      <c r="J4319" s="127" t="s">
        <v>3476</v>
      </c>
      <c r="K4319" s="128" t="s">
        <v>7530</v>
      </c>
      <c r="L4319" s="133" t="s">
        <v>7538</v>
      </c>
      <c r="M4319" s="127" t="s">
        <v>4371</v>
      </c>
      <c r="N4319" s="109"/>
      <c r="O4319" s="19"/>
      <c r="P4319" s="19"/>
      <c r="Q4319" s="19"/>
    </row>
    <row r="4320" spans="1:17" ht="24.9" customHeight="1">
      <c r="A4320" s="20"/>
      <c r="B4320" s="20" t="s">
        <v>5101</v>
      </c>
      <c r="C4320" s="19" t="s">
        <v>4325</v>
      </c>
      <c r="D4320" s="19" t="s">
        <v>48</v>
      </c>
      <c r="E4320" s="19" t="str">
        <f>VLOOKUP(D4320,'لیست پرسنل'!$B$2:$E$1020,3,FALSE)</f>
        <v>فکورصنعت</v>
      </c>
      <c r="F4320" s="19" t="str">
        <f>VLOOKUP(D4320,'لیست پرسنل'!$B$2:$E$1020,4,FALSE)</f>
        <v>سرپرست آی تی</v>
      </c>
      <c r="G4320" s="127">
        <f>VLOOKUP(D4320,'لیست پرسنل'!$B$2:$F$1020,2,FALSE)</f>
        <v>2210</v>
      </c>
      <c r="H4320" s="126" t="s">
        <v>7044</v>
      </c>
      <c r="I4320" s="127" t="s">
        <v>4325</v>
      </c>
      <c r="J4320" s="127" t="s">
        <v>3476</v>
      </c>
      <c r="K4320" s="128" t="s">
        <v>7530</v>
      </c>
      <c r="L4320" s="133" t="s">
        <v>7539</v>
      </c>
      <c r="M4320" s="127" t="s">
        <v>4371</v>
      </c>
      <c r="N4320" s="109"/>
      <c r="O4320" s="19"/>
      <c r="P4320" s="19"/>
      <c r="Q4320" s="19"/>
    </row>
    <row r="4321" spans="1:17" ht="24.9" customHeight="1">
      <c r="A4321" s="20"/>
      <c r="B4321" s="20" t="s">
        <v>5101</v>
      </c>
      <c r="C4321" s="19" t="s">
        <v>4325</v>
      </c>
      <c r="D4321" s="19" t="s">
        <v>48</v>
      </c>
      <c r="E4321" s="19" t="str">
        <f>VLOOKUP(D4321,'لیست پرسنل'!$B$2:$E$1020,3,FALSE)</f>
        <v>فکورصنعت</v>
      </c>
      <c r="F4321" s="19" t="str">
        <f>VLOOKUP(D4321,'لیست پرسنل'!$B$2:$E$1020,4,FALSE)</f>
        <v>سرپرست آی تی</v>
      </c>
      <c r="G4321" s="127">
        <f>VLOOKUP(D4321,'لیست پرسنل'!$B$2:$F$1020,2,FALSE)</f>
        <v>2210</v>
      </c>
      <c r="H4321" s="126" t="s">
        <v>7044</v>
      </c>
      <c r="I4321" s="127" t="s">
        <v>4325</v>
      </c>
      <c r="J4321" s="127" t="s">
        <v>3476</v>
      </c>
      <c r="K4321" s="128" t="s">
        <v>7530</v>
      </c>
      <c r="L4321" s="133" t="s">
        <v>7540</v>
      </c>
      <c r="M4321" s="127" t="s">
        <v>4371</v>
      </c>
      <c r="N4321" s="109"/>
      <c r="O4321" s="19"/>
      <c r="P4321" s="19"/>
      <c r="Q4321" s="19"/>
    </row>
    <row r="4322" spans="1:17" ht="24.9" customHeight="1">
      <c r="A4322" s="20"/>
      <c r="B4322" s="20" t="s">
        <v>5101</v>
      </c>
      <c r="C4322" s="19" t="s">
        <v>4325</v>
      </c>
      <c r="D4322" s="19" t="s">
        <v>48</v>
      </c>
      <c r="E4322" s="19" t="str">
        <f>VLOOKUP(D4322,'لیست پرسنل'!$B$2:$E$1020,3,FALSE)</f>
        <v>فکورصنعت</v>
      </c>
      <c r="F4322" s="19" t="str">
        <f>VLOOKUP(D4322,'لیست پرسنل'!$B$2:$E$1020,4,FALSE)</f>
        <v>سرپرست آی تی</v>
      </c>
      <c r="G4322" s="127">
        <f>VLOOKUP(D4322,'لیست پرسنل'!$B$2:$F$1020,2,FALSE)</f>
        <v>2210</v>
      </c>
      <c r="H4322" s="126" t="s">
        <v>7044</v>
      </c>
      <c r="I4322" s="127" t="s">
        <v>4325</v>
      </c>
      <c r="J4322" s="127" t="s">
        <v>3476</v>
      </c>
      <c r="K4322" s="128" t="s">
        <v>7530</v>
      </c>
      <c r="L4322" s="133" t="s">
        <v>7541</v>
      </c>
      <c r="M4322" s="127" t="s">
        <v>4371</v>
      </c>
      <c r="N4322" s="109"/>
      <c r="O4322" s="19"/>
      <c r="P4322" s="19"/>
      <c r="Q4322" s="19"/>
    </row>
    <row r="4323" spans="1:17" ht="24.9" customHeight="1">
      <c r="A4323" s="20"/>
      <c r="B4323" s="20" t="s">
        <v>5101</v>
      </c>
      <c r="C4323" s="19" t="s">
        <v>4325</v>
      </c>
      <c r="D4323" s="19" t="s">
        <v>48</v>
      </c>
      <c r="E4323" s="19" t="str">
        <f>VLOOKUP(D4323,'لیست پرسنل'!$B$2:$E$1020,3,FALSE)</f>
        <v>فکورصنعت</v>
      </c>
      <c r="F4323" s="19" t="str">
        <f>VLOOKUP(D4323,'لیست پرسنل'!$B$2:$E$1020,4,FALSE)</f>
        <v>سرپرست آی تی</v>
      </c>
      <c r="G4323" s="127">
        <f>VLOOKUP(D4323,'لیست پرسنل'!$B$2:$F$1020,2,FALSE)</f>
        <v>2210</v>
      </c>
      <c r="H4323" s="126" t="s">
        <v>7044</v>
      </c>
      <c r="I4323" s="127" t="s">
        <v>4325</v>
      </c>
      <c r="J4323" s="127" t="s">
        <v>571</v>
      </c>
      <c r="K4323" s="127" t="s">
        <v>6588</v>
      </c>
      <c r="L4323" s="127"/>
      <c r="M4323" s="127">
        <v>632460</v>
      </c>
      <c r="N4323" s="109"/>
      <c r="O4323" s="19"/>
      <c r="P4323" s="19" t="s">
        <v>5228</v>
      </c>
      <c r="Q4323" s="19" t="s">
        <v>7314</v>
      </c>
    </row>
    <row r="4324" spans="1:17" ht="24.9" customHeight="1">
      <c r="A4324" s="20"/>
      <c r="B4324" s="20" t="s">
        <v>5101</v>
      </c>
      <c r="C4324" s="19" t="s">
        <v>4325</v>
      </c>
      <c r="D4324" s="19" t="s">
        <v>48</v>
      </c>
      <c r="E4324" s="19" t="str">
        <f>VLOOKUP(D4324,'لیست پرسنل'!$B$2:$E$1020,3,FALSE)</f>
        <v>فکورصنعت</v>
      </c>
      <c r="F4324" s="19" t="str">
        <f>VLOOKUP(D4324,'لیست پرسنل'!$B$2:$E$1020,4,FALSE)</f>
        <v>سرپرست آی تی</v>
      </c>
      <c r="G4324" s="127">
        <f>VLOOKUP(D4324,'لیست پرسنل'!$B$2:$F$1020,2,FALSE)</f>
        <v>2210</v>
      </c>
      <c r="H4324" s="126" t="s">
        <v>7044</v>
      </c>
      <c r="I4324" s="127" t="s">
        <v>4325</v>
      </c>
      <c r="J4324" s="127" t="s">
        <v>571</v>
      </c>
      <c r="K4324" s="127" t="s">
        <v>6588</v>
      </c>
      <c r="L4324" s="127"/>
      <c r="M4324" s="127">
        <v>632462</v>
      </c>
      <c r="N4324" s="109"/>
      <c r="O4324" s="19"/>
      <c r="P4324" s="19" t="s">
        <v>5228</v>
      </c>
      <c r="Q4324" s="19" t="s">
        <v>7314</v>
      </c>
    </row>
    <row r="4325" spans="1:17" ht="24.9" customHeight="1">
      <c r="A4325" s="20"/>
      <c r="B4325" s="20" t="s">
        <v>5101</v>
      </c>
      <c r="C4325" s="19" t="s">
        <v>4325</v>
      </c>
      <c r="D4325" s="19" t="s">
        <v>48</v>
      </c>
      <c r="E4325" s="19" t="str">
        <f>VLOOKUP(D4325,'لیست پرسنل'!$B$2:$E$1020,3,FALSE)</f>
        <v>فکورصنعت</v>
      </c>
      <c r="F4325" s="19" t="str">
        <f>VLOOKUP(D4325,'لیست پرسنل'!$B$2:$E$1020,4,FALSE)</f>
        <v>سرپرست آی تی</v>
      </c>
      <c r="G4325" s="127">
        <f>VLOOKUP(D4325,'لیست پرسنل'!$B$2:$F$1020,2,FALSE)</f>
        <v>2210</v>
      </c>
      <c r="H4325" s="126" t="s">
        <v>7044</v>
      </c>
      <c r="I4325" s="127" t="s">
        <v>4325</v>
      </c>
      <c r="J4325" s="127" t="s">
        <v>571</v>
      </c>
      <c r="K4325" s="127" t="s">
        <v>6588</v>
      </c>
      <c r="L4325" s="127"/>
      <c r="M4325" s="127">
        <v>632464</v>
      </c>
      <c r="N4325" s="109"/>
      <c r="O4325" s="19"/>
      <c r="P4325" s="19" t="s">
        <v>5228</v>
      </c>
      <c r="Q4325" s="19" t="s">
        <v>7314</v>
      </c>
    </row>
    <row r="4326" spans="1:17" ht="24.9" customHeight="1">
      <c r="A4326" s="20"/>
      <c r="B4326" s="20" t="s">
        <v>5101</v>
      </c>
      <c r="C4326" s="19" t="s">
        <v>4325</v>
      </c>
      <c r="D4326" s="19" t="s">
        <v>48</v>
      </c>
      <c r="E4326" s="19" t="str">
        <f>VLOOKUP(D4326,'لیست پرسنل'!$B$2:$E$1020,3,FALSE)</f>
        <v>فکورصنعت</v>
      </c>
      <c r="F4326" s="19" t="str">
        <f>VLOOKUP(D4326,'لیست پرسنل'!$B$2:$E$1020,4,FALSE)</f>
        <v>سرپرست آی تی</v>
      </c>
      <c r="G4326" s="127">
        <f>VLOOKUP(D4326,'لیست پرسنل'!$B$2:$F$1020,2,FALSE)</f>
        <v>2210</v>
      </c>
      <c r="H4326" s="126" t="s">
        <v>7044</v>
      </c>
      <c r="I4326" s="127" t="s">
        <v>4325</v>
      </c>
      <c r="J4326" s="128" t="s">
        <v>2686</v>
      </c>
      <c r="K4326" s="128" t="s">
        <v>320</v>
      </c>
      <c r="L4326" s="128"/>
      <c r="M4326" s="127">
        <v>603814</v>
      </c>
      <c r="N4326" s="109"/>
      <c r="O4326" s="19"/>
      <c r="P4326" s="19" t="s">
        <v>5228</v>
      </c>
      <c r="Q4326" s="19" t="s">
        <v>7314</v>
      </c>
    </row>
    <row r="4327" spans="1:17" ht="24.9" customHeight="1">
      <c r="A4327" s="20"/>
      <c r="B4327" s="20" t="s">
        <v>5101</v>
      </c>
      <c r="C4327" s="19" t="s">
        <v>4325</v>
      </c>
      <c r="D4327" s="19" t="s">
        <v>48</v>
      </c>
      <c r="E4327" s="19" t="str">
        <f>VLOOKUP(D4327,'لیست پرسنل'!$B$2:$E$1020,3,FALSE)</f>
        <v>فکورصنعت</v>
      </c>
      <c r="F4327" s="19" t="str">
        <f>VLOOKUP(D4327,'لیست پرسنل'!$B$2:$E$1020,4,FALSE)</f>
        <v>سرپرست آی تی</v>
      </c>
      <c r="G4327" s="127">
        <f>VLOOKUP(D4327,'لیست پرسنل'!$B$2:$F$1020,2,FALSE)</f>
        <v>2210</v>
      </c>
      <c r="H4327" s="126" t="s">
        <v>7044</v>
      </c>
      <c r="I4327" s="127" t="s">
        <v>4325</v>
      </c>
      <c r="J4327" s="128" t="s">
        <v>2686</v>
      </c>
      <c r="K4327" s="128" t="s">
        <v>890</v>
      </c>
      <c r="L4327" s="128" t="s">
        <v>4901</v>
      </c>
      <c r="M4327" s="127">
        <v>633614</v>
      </c>
      <c r="N4327" s="109"/>
      <c r="O4327" s="19" t="s">
        <v>6275</v>
      </c>
      <c r="P4327" s="19" t="s">
        <v>5228</v>
      </c>
      <c r="Q4327" s="19" t="s">
        <v>7314</v>
      </c>
    </row>
    <row r="4328" spans="1:17" ht="24.9" customHeight="1">
      <c r="A4328" s="20"/>
      <c r="B4328" s="20" t="s">
        <v>5101</v>
      </c>
      <c r="C4328" s="19" t="s">
        <v>4325</v>
      </c>
      <c r="D4328" s="19" t="s">
        <v>48</v>
      </c>
      <c r="E4328" s="19" t="str">
        <f>VLOOKUP(D4328,'لیست پرسنل'!$B$2:$E$1020,3,FALSE)</f>
        <v>فکورصنعت</v>
      </c>
      <c r="F4328" s="19" t="str">
        <f>VLOOKUP(D4328,'لیست پرسنل'!$B$2:$E$1020,4,FALSE)</f>
        <v>سرپرست آی تی</v>
      </c>
      <c r="G4328" s="127">
        <f>VLOOKUP(D4328,'لیست پرسنل'!$B$2:$F$1020,2,FALSE)</f>
        <v>2210</v>
      </c>
      <c r="H4328" s="126" t="s">
        <v>7044</v>
      </c>
      <c r="I4328" s="127" t="s">
        <v>4325</v>
      </c>
      <c r="J4328" s="128" t="s">
        <v>2686</v>
      </c>
      <c r="K4328" s="128" t="s">
        <v>2143</v>
      </c>
      <c r="L4328" s="128" t="s">
        <v>4766</v>
      </c>
      <c r="M4328" s="127">
        <v>633618</v>
      </c>
      <c r="N4328" s="109"/>
      <c r="O4328" s="19" t="s">
        <v>6280</v>
      </c>
      <c r="P4328" s="19" t="s">
        <v>5228</v>
      </c>
      <c r="Q4328" s="19" t="s">
        <v>7314</v>
      </c>
    </row>
    <row r="4329" spans="1:17" ht="24.9" customHeight="1">
      <c r="A4329" s="20"/>
      <c r="B4329" s="20" t="s">
        <v>5101</v>
      </c>
      <c r="C4329" s="19" t="s">
        <v>4325</v>
      </c>
      <c r="D4329" s="19" t="s">
        <v>48</v>
      </c>
      <c r="E4329" s="19" t="str">
        <f>VLOOKUP(D4329,'لیست پرسنل'!$B$2:$E$1020,3,FALSE)</f>
        <v>فکورصنعت</v>
      </c>
      <c r="F4329" s="19" t="str">
        <f>VLOOKUP(D4329,'لیست پرسنل'!$B$2:$E$1020,4,FALSE)</f>
        <v>سرپرست آی تی</v>
      </c>
      <c r="G4329" s="127">
        <f>VLOOKUP(D4329,'لیست پرسنل'!$B$2:$F$1020,2,FALSE)</f>
        <v>2210</v>
      </c>
      <c r="H4329" s="126" t="s">
        <v>7044</v>
      </c>
      <c r="I4329" s="127" t="s">
        <v>4325</v>
      </c>
      <c r="J4329" s="128" t="s">
        <v>2686</v>
      </c>
      <c r="K4329" s="128" t="s">
        <v>332</v>
      </c>
      <c r="L4329" s="128" t="s">
        <v>2160</v>
      </c>
      <c r="M4329" s="127">
        <v>633622</v>
      </c>
      <c r="N4329" s="109"/>
      <c r="O4329" s="19" t="s">
        <v>6284</v>
      </c>
      <c r="P4329" s="19" t="s">
        <v>5228</v>
      </c>
      <c r="Q4329" s="19" t="s">
        <v>7314</v>
      </c>
    </row>
    <row r="4330" spans="1:17" ht="24.9" customHeight="1">
      <c r="A4330" s="20"/>
      <c r="B4330" s="20" t="s">
        <v>5101</v>
      </c>
      <c r="C4330" s="19" t="s">
        <v>4325</v>
      </c>
      <c r="D4330" s="19" t="s">
        <v>48</v>
      </c>
      <c r="E4330" s="19" t="str">
        <f>VLOOKUP(D4330,'لیست پرسنل'!$B$2:$E$1020,3,FALSE)</f>
        <v>فکورصنعت</v>
      </c>
      <c r="F4330" s="19" t="str">
        <f>VLOOKUP(D4330,'لیست پرسنل'!$B$2:$E$1020,4,FALSE)</f>
        <v>سرپرست آی تی</v>
      </c>
      <c r="G4330" s="127">
        <f>VLOOKUP(D4330,'لیست پرسنل'!$B$2:$F$1020,2,FALSE)</f>
        <v>2210</v>
      </c>
      <c r="H4330" s="126" t="s">
        <v>7547</v>
      </c>
      <c r="I4330" s="127" t="s">
        <v>4325</v>
      </c>
      <c r="J4330" s="127" t="s">
        <v>3483</v>
      </c>
      <c r="K4330" s="128" t="s">
        <v>7543</v>
      </c>
      <c r="L4330" s="133"/>
      <c r="M4330" s="127" t="s">
        <v>4371</v>
      </c>
      <c r="N4330" s="109"/>
      <c r="O4330" s="19"/>
      <c r="P4330" s="19"/>
      <c r="Q4330" s="19"/>
    </row>
    <row r="4331" spans="1:17" ht="24.9" customHeight="1">
      <c r="A4331" s="20"/>
      <c r="B4331" s="20" t="s">
        <v>5101</v>
      </c>
      <c r="C4331" s="19" t="s">
        <v>4325</v>
      </c>
      <c r="D4331" s="19" t="s">
        <v>48</v>
      </c>
      <c r="E4331" s="19" t="str">
        <f>VLOOKUP(D4331,'لیست پرسنل'!$B$2:$E$1020,3,FALSE)</f>
        <v>فکورصنعت</v>
      </c>
      <c r="F4331" s="19" t="str">
        <f>VLOOKUP(D4331,'لیست پرسنل'!$B$2:$E$1020,4,FALSE)</f>
        <v>سرپرست آی تی</v>
      </c>
      <c r="G4331" s="127">
        <f>VLOOKUP(D4331,'لیست پرسنل'!$B$2:$F$1020,2,FALSE)</f>
        <v>2210</v>
      </c>
      <c r="H4331" s="126" t="s">
        <v>7548</v>
      </c>
      <c r="I4331" s="127" t="s">
        <v>4325</v>
      </c>
      <c r="J4331" s="127" t="s">
        <v>3483</v>
      </c>
      <c r="K4331" s="128" t="s">
        <v>7542</v>
      </c>
      <c r="L4331" s="133"/>
      <c r="M4331" s="127" t="s">
        <v>4371</v>
      </c>
      <c r="N4331" s="109"/>
      <c r="O4331" s="19"/>
      <c r="P4331" s="19"/>
      <c r="Q4331" s="19"/>
    </row>
    <row r="4332" spans="1:17" ht="24.9" customHeight="1">
      <c r="A4332" s="20"/>
      <c r="B4332" s="20" t="s">
        <v>5101</v>
      </c>
      <c r="C4332" s="19" t="s">
        <v>4325</v>
      </c>
      <c r="D4332" s="19" t="s">
        <v>48</v>
      </c>
      <c r="E4332" s="19" t="str">
        <f>VLOOKUP(D4332,'لیست پرسنل'!$B$2:$E$1020,3,FALSE)</f>
        <v>فکورصنعت</v>
      </c>
      <c r="F4332" s="19" t="str">
        <f>VLOOKUP(D4332,'لیست پرسنل'!$B$2:$E$1020,4,FALSE)</f>
        <v>سرپرست آی تی</v>
      </c>
      <c r="G4332" s="127">
        <f>VLOOKUP(D4332,'لیست پرسنل'!$B$2:$F$1020,2,FALSE)</f>
        <v>2210</v>
      </c>
      <c r="H4332" s="126" t="s">
        <v>7548</v>
      </c>
      <c r="I4332" s="127" t="s">
        <v>4325</v>
      </c>
      <c r="J4332" s="127" t="s">
        <v>3483</v>
      </c>
      <c r="K4332" s="128" t="s">
        <v>7542</v>
      </c>
      <c r="L4332" s="133"/>
      <c r="M4332" s="127" t="s">
        <v>4371</v>
      </c>
      <c r="N4332" s="109"/>
      <c r="O4332" s="19"/>
      <c r="P4332" s="19"/>
      <c r="Q4332" s="19"/>
    </row>
    <row r="4333" spans="1:17" ht="24.9" customHeight="1">
      <c r="A4333" s="20"/>
      <c r="B4333" s="20" t="s">
        <v>5101</v>
      </c>
      <c r="C4333" s="19" t="s">
        <v>4325</v>
      </c>
      <c r="D4333" s="19" t="s">
        <v>48</v>
      </c>
      <c r="E4333" s="19" t="str">
        <f>VLOOKUP(D4333,'لیست پرسنل'!$B$2:$E$1020,3,FALSE)</f>
        <v>فکورصنعت</v>
      </c>
      <c r="F4333" s="19" t="str">
        <f>VLOOKUP(D4333,'لیست پرسنل'!$B$2:$E$1020,4,FALSE)</f>
        <v>سرپرست آی تی</v>
      </c>
      <c r="G4333" s="127">
        <f>VLOOKUP(D4333,'لیست پرسنل'!$B$2:$F$1020,2,FALSE)</f>
        <v>2210</v>
      </c>
      <c r="H4333" s="126" t="s">
        <v>7546</v>
      </c>
      <c r="I4333" s="127" t="s">
        <v>4325</v>
      </c>
      <c r="J4333" s="127" t="s">
        <v>3483</v>
      </c>
      <c r="K4333" s="128" t="s">
        <v>7542</v>
      </c>
      <c r="L4333" s="133"/>
      <c r="M4333" s="127" t="s">
        <v>4371</v>
      </c>
      <c r="N4333" s="109"/>
      <c r="O4333" s="19"/>
      <c r="P4333" s="19"/>
      <c r="Q4333" s="19"/>
    </row>
    <row r="4334" spans="1:17" ht="24.9" customHeight="1">
      <c r="A4334" s="20"/>
      <c r="B4334" s="20" t="s">
        <v>5101</v>
      </c>
      <c r="C4334" s="20" t="s">
        <v>4325</v>
      </c>
      <c r="D4334" s="20" t="s">
        <v>4325</v>
      </c>
      <c r="E4334" s="19">
        <f>VLOOKUP(D4334,'لیست پرسنل'!$B$2:$E$1020,3,FALSE)</f>
        <v>0</v>
      </c>
      <c r="F4334" s="19">
        <f>VLOOKUP(D4334,'لیست پرسنل'!$B$2:$E$1020,4,FALSE)</f>
        <v>0</v>
      </c>
      <c r="G4334" s="127">
        <f>VLOOKUP(D4334,'لیست پرسنل'!$B$2:$F$1020,2,FALSE)</f>
        <v>0</v>
      </c>
      <c r="H4334" s="128" t="s">
        <v>3759</v>
      </c>
      <c r="I4334" s="128" t="s">
        <v>4325</v>
      </c>
      <c r="J4334" s="128" t="s">
        <v>571</v>
      </c>
      <c r="K4334" s="128" t="s">
        <v>7134</v>
      </c>
      <c r="L4334" s="128"/>
      <c r="M4334" s="142">
        <v>601865</v>
      </c>
      <c r="N4334" s="108"/>
      <c r="O4334" s="20" t="s">
        <v>7135</v>
      </c>
      <c r="P4334" s="20" t="s">
        <v>5869</v>
      </c>
      <c r="Q4334" s="20"/>
    </row>
    <row r="4335" spans="1:17" ht="24.9" customHeight="1">
      <c r="A4335" s="20"/>
      <c r="B4335" s="20" t="s">
        <v>5101</v>
      </c>
      <c r="C4335" s="20" t="s">
        <v>4325</v>
      </c>
      <c r="D4335" s="77" t="s">
        <v>4325</v>
      </c>
      <c r="E4335" s="19">
        <f>VLOOKUP(D4335,'لیست پرسنل'!$B$2:$E$1020,3,FALSE)</f>
        <v>0</v>
      </c>
      <c r="F4335" s="19">
        <f>VLOOKUP(D4335,'لیست پرسنل'!$B$2:$E$1020,4,FALSE)</f>
        <v>0</v>
      </c>
      <c r="G4335" s="127">
        <f>VLOOKUP(D4335,'لیست پرسنل'!$B$2:$F$1020,2,FALSE)</f>
        <v>0</v>
      </c>
      <c r="H4335" s="182" t="s">
        <v>6616</v>
      </c>
      <c r="I4335" s="128" t="s">
        <v>4325</v>
      </c>
      <c r="J4335" s="151" t="s">
        <v>5366</v>
      </c>
      <c r="K4335" s="128" t="s">
        <v>3826</v>
      </c>
      <c r="L4335" s="128"/>
      <c r="M4335" s="128">
        <v>610303</v>
      </c>
      <c r="N4335" s="108"/>
      <c r="O4335" s="77" t="s">
        <v>7215</v>
      </c>
      <c r="P4335" s="20" t="s">
        <v>5869</v>
      </c>
      <c r="Q4335" s="20"/>
    </row>
    <row r="4336" spans="1:17" ht="24.9" customHeight="1">
      <c r="A4336" s="20"/>
      <c r="B4336" s="20" t="s">
        <v>5101</v>
      </c>
      <c r="C4336" s="19" t="s">
        <v>4325</v>
      </c>
      <c r="D4336" s="79" t="s">
        <v>4325</v>
      </c>
      <c r="E4336" s="19">
        <f>VLOOKUP(D4336,'لیست پرسنل'!$B$2:$E$1020,3,FALSE)</f>
        <v>0</v>
      </c>
      <c r="F4336" s="19">
        <f>VLOOKUP(D4336,'لیست پرسنل'!$B$2:$E$1020,4,FALSE)</f>
        <v>0</v>
      </c>
      <c r="G4336" s="127">
        <f>VLOOKUP(D4336,'لیست پرسنل'!$B$2:$F$1020,2,FALSE)</f>
        <v>0</v>
      </c>
      <c r="H4336" s="128" t="s">
        <v>3902</v>
      </c>
      <c r="I4336" s="128" t="s">
        <v>4325</v>
      </c>
      <c r="J4336" s="128" t="s">
        <v>1967</v>
      </c>
      <c r="K4336" s="128" t="s">
        <v>2683</v>
      </c>
      <c r="L4336" s="128"/>
      <c r="M4336" s="128">
        <v>618565</v>
      </c>
      <c r="N4336" s="109" t="s">
        <v>7221</v>
      </c>
      <c r="O4336" s="84"/>
      <c r="P4336" s="20" t="s">
        <v>5869</v>
      </c>
      <c r="Q4336" s="20"/>
    </row>
    <row r="4337" spans="1:17" ht="24.9" customHeight="1">
      <c r="A4337" s="20"/>
      <c r="B4337" s="20" t="s">
        <v>5101</v>
      </c>
      <c r="C4337" s="20" t="s">
        <v>4325</v>
      </c>
      <c r="D4337" s="20" t="s">
        <v>4325</v>
      </c>
      <c r="E4337" s="19">
        <f>VLOOKUP(D4337,'لیست پرسنل'!$B$2:$E$1020,3,FALSE)</f>
        <v>0</v>
      </c>
      <c r="F4337" s="19">
        <f>VLOOKUP(D4337,'لیست پرسنل'!$B$2:$E$1020,4,FALSE)</f>
        <v>0</v>
      </c>
      <c r="G4337" s="127">
        <f>VLOOKUP(D4337,'لیست پرسنل'!$B$2:$F$1020,2,FALSE)</f>
        <v>0</v>
      </c>
      <c r="H4337" s="130" t="s">
        <v>2565</v>
      </c>
      <c r="I4337" s="128" t="s">
        <v>4325</v>
      </c>
      <c r="J4337" s="128" t="s">
        <v>5304</v>
      </c>
      <c r="K4337" s="128" t="s">
        <v>5302</v>
      </c>
      <c r="L4337" s="128"/>
      <c r="M4337" s="128">
        <v>622014</v>
      </c>
      <c r="N4337" s="108"/>
      <c r="O4337" s="20"/>
      <c r="P4337" s="20" t="s">
        <v>5869</v>
      </c>
      <c r="Q4337" s="20" t="s">
        <v>7287</v>
      </c>
    </row>
    <row r="4338" spans="1:17" ht="24.9" customHeight="1">
      <c r="A4338" s="20"/>
      <c r="B4338" s="20" t="s">
        <v>5101</v>
      </c>
      <c r="C4338" s="19" t="s">
        <v>4325</v>
      </c>
      <c r="D4338" s="20" t="s">
        <v>4325</v>
      </c>
      <c r="E4338" s="19">
        <f>VLOOKUP(D4338,'لیست پرسنل'!$B$2:$E$1020,3,FALSE)</f>
        <v>0</v>
      </c>
      <c r="F4338" s="19">
        <f>VLOOKUP(D4338,'لیست پرسنل'!$B$2:$E$1020,4,FALSE)</f>
        <v>0</v>
      </c>
      <c r="G4338" s="127">
        <f>VLOOKUP(D4338,'لیست پرسنل'!$B$2:$F$1020,2,FALSE)</f>
        <v>0</v>
      </c>
      <c r="H4338" s="128" t="s">
        <v>2564</v>
      </c>
      <c r="I4338" s="127" t="s">
        <v>4325</v>
      </c>
      <c r="J4338" s="128" t="s">
        <v>5366</v>
      </c>
      <c r="K4338" s="128" t="s">
        <v>8245</v>
      </c>
      <c r="L4338" s="127"/>
      <c r="M4338" s="128">
        <v>601461</v>
      </c>
      <c r="N4338" s="111"/>
      <c r="O4338" s="28"/>
      <c r="P4338" s="98" t="s">
        <v>5869</v>
      </c>
      <c r="Q4338" s="28"/>
    </row>
    <row r="4339" spans="1:17" ht="24.9" customHeight="1">
      <c r="A4339" s="20"/>
      <c r="B4339" s="20" t="s">
        <v>5101</v>
      </c>
      <c r="C4339" s="19" t="s">
        <v>4325</v>
      </c>
      <c r="D4339" s="20" t="s">
        <v>4325</v>
      </c>
      <c r="E4339" s="19">
        <f>VLOOKUP(D4339,'لیست پرسنل'!$B$2:$E$1020,3,FALSE)</f>
        <v>0</v>
      </c>
      <c r="F4339" s="19">
        <f>VLOOKUP(D4339,'لیست پرسنل'!$B$2:$E$1020,4,FALSE)</f>
        <v>0</v>
      </c>
      <c r="G4339" s="127">
        <f>VLOOKUP(D4339,'لیست پرسنل'!$B$2:$F$1020,2,FALSE)</f>
        <v>0</v>
      </c>
      <c r="H4339" s="128" t="s">
        <v>2564</v>
      </c>
      <c r="I4339" s="127" t="s">
        <v>4325</v>
      </c>
      <c r="J4339" s="128" t="s">
        <v>5304</v>
      </c>
      <c r="K4339" s="130" t="s">
        <v>5305</v>
      </c>
      <c r="L4339" s="127"/>
      <c r="M4339" s="130">
        <v>605086</v>
      </c>
      <c r="N4339" s="109"/>
      <c r="O4339" s="19"/>
      <c r="P4339" s="98" t="s">
        <v>5869</v>
      </c>
      <c r="Q4339" s="32"/>
    </row>
    <row r="4340" spans="1:17" ht="24.9" customHeight="1">
      <c r="A4340" s="20"/>
      <c r="B4340" s="20" t="s">
        <v>5101</v>
      </c>
      <c r="C4340" s="19" t="s">
        <v>4325</v>
      </c>
      <c r="D4340" s="20" t="s">
        <v>4325</v>
      </c>
      <c r="E4340" s="19">
        <f>VLOOKUP(D4340,'لیست پرسنل'!$B$2:$E$1020,3,FALSE)</f>
        <v>0</v>
      </c>
      <c r="F4340" s="19">
        <f>VLOOKUP(D4340,'لیست پرسنل'!$B$2:$E$1020,4,FALSE)</f>
        <v>0</v>
      </c>
      <c r="G4340" s="127">
        <f>VLOOKUP(D4340,'لیست پرسنل'!$B$2:$F$1020,2,FALSE)</f>
        <v>0</v>
      </c>
      <c r="H4340" s="128" t="s">
        <v>2564</v>
      </c>
      <c r="I4340" s="127" t="s">
        <v>4325</v>
      </c>
      <c r="J4340" s="128" t="s">
        <v>5304</v>
      </c>
      <c r="K4340" s="130" t="s">
        <v>5305</v>
      </c>
      <c r="L4340" s="127"/>
      <c r="M4340" s="130">
        <v>605087</v>
      </c>
      <c r="N4340" s="109"/>
      <c r="O4340" s="19"/>
      <c r="P4340" s="98" t="s">
        <v>5869</v>
      </c>
      <c r="Q4340" s="32"/>
    </row>
    <row r="4341" spans="1:17" ht="24.9" customHeight="1">
      <c r="A4341" s="20"/>
      <c r="B4341" s="20" t="s">
        <v>5101</v>
      </c>
      <c r="C4341" s="19" t="s">
        <v>4325</v>
      </c>
      <c r="D4341" s="20" t="s">
        <v>4325</v>
      </c>
      <c r="E4341" s="19">
        <f>VLOOKUP(D4341,'لیست پرسنل'!$B$2:$E$1020,3,FALSE)</f>
        <v>0</v>
      </c>
      <c r="F4341" s="19">
        <f>VLOOKUP(D4341,'لیست پرسنل'!$B$2:$E$1020,4,FALSE)</f>
        <v>0</v>
      </c>
      <c r="G4341" s="127">
        <f>VLOOKUP(D4341,'لیست پرسنل'!$B$2:$F$1020,2,FALSE)</f>
        <v>0</v>
      </c>
      <c r="H4341" s="128" t="s">
        <v>2564</v>
      </c>
      <c r="I4341" s="127" t="s">
        <v>4325</v>
      </c>
      <c r="J4341" s="128" t="s">
        <v>5304</v>
      </c>
      <c r="K4341" s="130" t="s">
        <v>5305</v>
      </c>
      <c r="L4341" s="127"/>
      <c r="M4341" s="130">
        <v>605089</v>
      </c>
      <c r="N4341" s="109"/>
      <c r="O4341" s="19"/>
      <c r="P4341" s="98" t="s">
        <v>5869</v>
      </c>
      <c r="Q4341" s="32"/>
    </row>
    <row r="4342" spans="1:17" ht="24.9" customHeight="1">
      <c r="A4342" s="20"/>
      <c r="B4342" s="20" t="s">
        <v>5101</v>
      </c>
      <c r="C4342" s="19" t="s">
        <v>4325</v>
      </c>
      <c r="D4342" s="20" t="s">
        <v>4325</v>
      </c>
      <c r="E4342" s="19">
        <f>VLOOKUP(D4342,'لیست پرسنل'!$B$2:$E$1020,3,FALSE)</f>
        <v>0</v>
      </c>
      <c r="F4342" s="19">
        <f>VLOOKUP(D4342,'لیست پرسنل'!$B$2:$E$1020,4,FALSE)</f>
        <v>0</v>
      </c>
      <c r="G4342" s="127">
        <f>VLOOKUP(D4342,'لیست پرسنل'!$B$2:$F$1020,2,FALSE)</f>
        <v>0</v>
      </c>
      <c r="H4342" s="128" t="s">
        <v>2564</v>
      </c>
      <c r="I4342" s="127" t="s">
        <v>4325</v>
      </c>
      <c r="J4342" s="128" t="s">
        <v>5304</v>
      </c>
      <c r="K4342" s="130" t="s">
        <v>5305</v>
      </c>
      <c r="L4342" s="127"/>
      <c r="M4342" s="130">
        <v>605090</v>
      </c>
      <c r="N4342" s="109"/>
      <c r="O4342" s="19"/>
      <c r="P4342" s="98" t="s">
        <v>5869</v>
      </c>
      <c r="Q4342" s="32"/>
    </row>
    <row r="4343" spans="1:17" ht="24.9" customHeight="1">
      <c r="A4343" s="20"/>
      <c r="B4343" s="20" t="s">
        <v>5101</v>
      </c>
      <c r="C4343" s="19" t="s">
        <v>4325</v>
      </c>
      <c r="D4343" s="20" t="s">
        <v>4325</v>
      </c>
      <c r="E4343" s="19">
        <f>VLOOKUP(D4343,'لیست پرسنل'!$B$2:$E$1020,3,FALSE)</f>
        <v>0</v>
      </c>
      <c r="F4343" s="19">
        <f>VLOOKUP(D4343,'لیست پرسنل'!$B$2:$E$1020,4,FALSE)</f>
        <v>0</v>
      </c>
      <c r="G4343" s="127">
        <f>VLOOKUP(D4343,'لیست پرسنل'!$B$2:$F$1020,2,FALSE)</f>
        <v>0</v>
      </c>
      <c r="H4343" s="128" t="s">
        <v>2564</v>
      </c>
      <c r="I4343" s="127" t="s">
        <v>4325</v>
      </c>
      <c r="J4343" s="128" t="s">
        <v>5304</v>
      </c>
      <c r="K4343" s="130" t="s">
        <v>5305</v>
      </c>
      <c r="L4343" s="127"/>
      <c r="M4343" s="130">
        <v>605091</v>
      </c>
      <c r="N4343" s="109"/>
      <c r="O4343" s="19"/>
      <c r="P4343" s="98" t="s">
        <v>5869</v>
      </c>
      <c r="Q4343" s="32"/>
    </row>
    <row r="4344" spans="1:17" ht="24.9" customHeight="1">
      <c r="A4344" s="20"/>
      <c r="B4344" s="20" t="s">
        <v>5101</v>
      </c>
      <c r="C4344" s="19" t="s">
        <v>4325</v>
      </c>
      <c r="D4344" s="20" t="s">
        <v>4325</v>
      </c>
      <c r="E4344" s="19">
        <f>VLOOKUP(D4344,'لیست پرسنل'!$B$2:$E$1020,3,FALSE)</f>
        <v>0</v>
      </c>
      <c r="F4344" s="19">
        <f>VLOOKUP(D4344,'لیست پرسنل'!$B$2:$E$1020,4,FALSE)</f>
        <v>0</v>
      </c>
      <c r="G4344" s="127">
        <f>VLOOKUP(D4344,'لیست پرسنل'!$B$2:$F$1020,2,FALSE)</f>
        <v>0</v>
      </c>
      <c r="H4344" s="128" t="s">
        <v>2564</v>
      </c>
      <c r="I4344" s="127" t="s">
        <v>4325</v>
      </c>
      <c r="J4344" s="128" t="s">
        <v>5304</v>
      </c>
      <c r="K4344" s="130" t="s">
        <v>5305</v>
      </c>
      <c r="L4344" s="127"/>
      <c r="M4344" s="130">
        <v>606582</v>
      </c>
      <c r="N4344" s="109"/>
      <c r="O4344" s="19"/>
      <c r="P4344" s="98" t="s">
        <v>5869</v>
      </c>
      <c r="Q4344" s="32"/>
    </row>
    <row r="4345" spans="1:17" ht="24.9" customHeight="1">
      <c r="A4345" s="20"/>
      <c r="B4345" s="20" t="s">
        <v>5101</v>
      </c>
      <c r="C4345" s="20" t="s">
        <v>4325</v>
      </c>
      <c r="D4345" s="20" t="s">
        <v>4325</v>
      </c>
      <c r="E4345" s="19">
        <f>VLOOKUP(D4345,'لیست پرسنل'!$B$2:$E$1020,3,FALSE)</f>
        <v>0</v>
      </c>
      <c r="F4345" s="19">
        <f>VLOOKUP(D4345,'لیست پرسنل'!$B$2:$E$1020,4,FALSE)</f>
        <v>0</v>
      </c>
      <c r="G4345" s="127">
        <f>VLOOKUP(D4345,'لیست پرسنل'!$B$2:$F$1020,2,FALSE)</f>
        <v>0</v>
      </c>
      <c r="H4345" s="127" t="s">
        <v>3848</v>
      </c>
      <c r="I4345" s="127" t="s">
        <v>4325</v>
      </c>
      <c r="J4345" s="127" t="s">
        <v>3476</v>
      </c>
      <c r="K4345" s="128" t="s">
        <v>1038</v>
      </c>
      <c r="L4345" s="128"/>
      <c r="M4345" s="134">
        <v>618949</v>
      </c>
      <c r="N4345" s="109"/>
      <c r="O4345" s="20"/>
      <c r="P4345" s="20" t="s">
        <v>5869</v>
      </c>
      <c r="Q4345" s="20" t="s">
        <v>7382</v>
      </c>
    </row>
    <row r="4346" spans="1:17" ht="24.9" customHeight="1">
      <c r="A4346" s="20"/>
      <c r="B4346" s="20" t="s">
        <v>5101</v>
      </c>
      <c r="C4346" s="20" t="s">
        <v>4325</v>
      </c>
      <c r="D4346" s="20" t="s">
        <v>4325</v>
      </c>
      <c r="E4346" s="19">
        <f>VLOOKUP(D4346,'لیست پرسنل'!$B$2:$E$1020,3,FALSE)</f>
        <v>0</v>
      </c>
      <c r="F4346" s="19">
        <f>VLOOKUP(D4346,'لیست پرسنل'!$B$2:$E$1020,4,FALSE)</f>
        <v>0</v>
      </c>
      <c r="G4346" s="127">
        <f>VLOOKUP(D4346,'لیست پرسنل'!$B$2:$F$1020,2,FALSE)</f>
        <v>0</v>
      </c>
      <c r="H4346" s="127" t="s">
        <v>3832</v>
      </c>
      <c r="I4346" s="127" t="s">
        <v>4325</v>
      </c>
      <c r="J4346" s="127" t="s">
        <v>3854</v>
      </c>
      <c r="K4346" s="128" t="s">
        <v>1042</v>
      </c>
      <c r="L4346" s="128" t="s">
        <v>5313</v>
      </c>
      <c r="M4346" s="134">
        <v>618924</v>
      </c>
      <c r="N4346" s="109"/>
      <c r="O4346" s="20"/>
      <c r="P4346" s="20" t="s">
        <v>5869</v>
      </c>
      <c r="Q4346" s="20"/>
    </row>
    <row r="4347" spans="1:17" ht="24.9" customHeight="1">
      <c r="A4347" s="20"/>
      <c r="B4347" s="20" t="s">
        <v>5101</v>
      </c>
      <c r="C4347" s="20" t="s">
        <v>4325</v>
      </c>
      <c r="D4347" s="20" t="s">
        <v>4325</v>
      </c>
      <c r="E4347" s="19">
        <f>VLOOKUP(D4347,'لیست پرسنل'!$B$2:$E$1020,3,FALSE)</f>
        <v>0</v>
      </c>
      <c r="F4347" s="19">
        <f>VLOOKUP(D4347,'لیست پرسنل'!$B$2:$E$1020,4,FALSE)</f>
        <v>0</v>
      </c>
      <c r="G4347" s="127">
        <f>VLOOKUP(D4347,'لیست پرسنل'!$B$2:$F$1020,2,FALSE)</f>
        <v>0</v>
      </c>
      <c r="H4347" s="127" t="s">
        <v>3832</v>
      </c>
      <c r="I4347" s="127" t="s">
        <v>4325</v>
      </c>
      <c r="J4347" s="127" t="s">
        <v>3854</v>
      </c>
      <c r="K4347" s="128" t="s">
        <v>1043</v>
      </c>
      <c r="L4347" s="128" t="s">
        <v>5313</v>
      </c>
      <c r="M4347" s="134">
        <v>618947</v>
      </c>
      <c r="N4347" s="109"/>
      <c r="O4347" s="20"/>
      <c r="P4347" s="20" t="s">
        <v>5869</v>
      </c>
      <c r="Q4347" s="20"/>
    </row>
    <row r="4348" spans="1:17" ht="24.9" customHeight="1">
      <c r="A4348" s="20"/>
      <c r="B4348" s="20" t="s">
        <v>5101</v>
      </c>
      <c r="C4348" s="20" t="s">
        <v>4325</v>
      </c>
      <c r="D4348" s="20" t="s">
        <v>4325</v>
      </c>
      <c r="E4348" s="19">
        <f>VLOOKUP(D4348,'لیست پرسنل'!$B$2:$E$1020,3,FALSE)</f>
        <v>0</v>
      </c>
      <c r="F4348" s="19">
        <f>VLOOKUP(D4348,'لیست پرسنل'!$B$2:$E$1020,4,FALSE)</f>
        <v>0</v>
      </c>
      <c r="G4348" s="127">
        <f>VLOOKUP(D4348,'لیست پرسنل'!$B$2:$F$1020,2,FALSE)</f>
        <v>0</v>
      </c>
      <c r="H4348" s="127" t="s">
        <v>3832</v>
      </c>
      <c r="I4348" s="127" t="s">
        <v>4325</v>
      </c>
      <c r="J4348" s="127" t="s">
        <v>3892</v>
      </c>
      <c r="K4348" s="128" t="s">
        <v>3893</v>
      </c>
      <c r="L4348" s="172" t="s">
        <v>5313</v>
      </c>
      <c r="M4348" s="128">
        <v>618943</v>
      </c>
      <c r="N4348" s="108"/>
      <c r="O4348" s="20"/>
      <c r="P4348" s="20" t="s">
        <v>5869</v>
      </c>
      <c r="Q4348" s="20"/>
    </row>
    <row r="4349" spans="1:17" ht="24.9" customHeight="1">
      <c r="A4349" s="20"/>
      <c r="B4349" s="20" t="s">
        <v>5101</v>
      </c>
      <c r="C4349" s="20" t="s">
        <v>4325</v>
      </c>
      <c r="D4349" s="20" t="s">
        <v>4325</v>
      </c>
      <c r="E4349" s="19">
        <f>VLOOKUP(D4349,'لیست پرسنل'!$B$2:$E$1020,3,FALSE)</f>
        <v>0</v>
      </c>
      <c r="F4349" s="19">
        <f>VLOOKUP(D4349,'لیست پرسنل'!$B$2:$E$1020,4,FALSE)</f>
        <v>0</v>
      </c>
      <c r="G4349" s="127">
        <f>VLOOKUP(D4349,'لیست پرسنل'!$B$2:$F$1020,2,FALSE)</f>
        <v>0</v>
      </c>
      <c r="H4349" s="127" t="s">
        <v>3832</v>
      </c>
      <c r="I4349" s="127" t="s">
        <v>4325</v>
      </c>
      <c r="J4349" s="127" t="s">
        <v>3892</v>
      </c>
      <c r="K4349" s="128" t="s">
        <v>3893</v>
      </c>
      <c r="L4349" s="128" t="s">
        <v>5313</v>
      </c>
      <c r="M4349" s="128">
        <v>618944</v>
      </c>
      <c r="N4349" s="108"/>
      <c r="O4349" s="20"/>
      <c r="P4349" s="20" t="s">
        <v>5869</v>
      </c>
      <c r="Q4349" s="20"/>
    </row>
    <row r="4350" spans="1:17" ht="24.9" customHeight="1">
      <c r="A4350" s="20"/>
      <c r="B4350" s="20" t="s">
        <v>5101</v>
      </c>
      <c r="C4350" s="20" t="s">
        <v>4325</v>
      </c>
      <c r="D4350" s="20" t="s">
        <v>4325</v>
      </c>
      <c r="E4350" s="19">
        <f>VLOOKUP(D4350,'لیست پرسنل'!$B$2:$E$1020,3,FALSE)</f>
        <v>0</v>
      </c>
      <c r="F4350" s="19">
        <f>VLOOKUP(D4350,'لیست پرسنل'!$B$2:$E$1020,4,FALSE)</f>
        <v>0</v>
      </c>
      <c r="G4350" s="127">
        <f>VLOOKUP(D4350,'لیست پرسنل'!$B$2:$F$1020,2,FALSE)</f>
        <v>0</v>
      </c>
      <c r="H4350" s="127" t="s">
        <v>3832</v>
      </c>
      <c r="I4350" s="127" t="s">
        <v>4325</v>
      </c>
      <c r="J4350" s="127" t="s">
        <v>3892</v>
      </c>
      <c r="K4350" s="128" t="s">
        <v>3893</v>
      </c>
      <c r="L4350" s="128" t="s">
        <v>5313</v>
      </c>
      <c r="M4350" s="128">
        <v>618945</v>
      </c>
      <c r="N4350" s="108"/>
      <c r="O4350" s="20"/>
      <c r="P4350" s="20" t="s">
        <v>5869</v>
      </c>
      <c r="Q4350" s="20"/>
    </row>
    <row r="4351" spans="1:17" ht="24.9" customHeight="1">
      <c r="A4351" s="20"/>
      <c r="B4351" s="20" t="s">
        <v>5101</v>
      </c>
      <c r="C4351" s="20" t="s">
        <v>4325</v>
      </c>
      <c r="D4351" s="20" t="s">
        <v>4325</v>
      </c>
      <c r="E4351" s="19">
        <f>VLOOKUP(D4351,'لیست پرسنل'!$B$2:$E$1020,3,FALSE)</f>
        <v>0</v>
      </c>
      <c r="F4351" s="19">
        <f>VLOOKUP(D4351,'لیست پرسنل'!$B$2:$E$1020,4,FALSE)</f>
        <v>0</v>
      </c>
      <c r="G4351" s="127">
        <f>VLOOKUP(D4351,'لیست پرسنل'!$B$2:$F$1020,2,FALSE)</f>
        <v>0</v>
      </c>
      <c r="H4351" s="127" t="s">
        <v>3832</v>
      </c>
      <c r="I4351" s="127" t="s">
        <v>4325</v>
      </c>
      <c r="J4351" s="127" t="s">
        <v>3892</v>
      </c>
      <c r="K4351" s="128" t="s">
        <v>3893</v>
      </c>
      <c r="L4351" s="128" t="s">
        <v>5313</v>
      </c>
      <c r="M4351" s="128">
        <v>618946</v>
      </c>
      <c r="N4351" s="108"/>
      <c r="O4351" s="20"/>
      <c r="P4351" s="20" t="s">
        <v>5869</v>
      </c>
      <c r="Q4351" s="20"/>
    </row>
    <row r="4352" spans="1:17" ht="24.9" customHeight="1">
      <c r="A4352" s="20"/>
      <c r="B4352" s="20" t="s">
        <v>5101</v>
      </c>
      <c r="C4352" s="20" t="s">
        <v>4325</v>
      </c>
      <c r="D4352" s="20" t="s">
        <v>4325</v>
      </c>
      <c r="E4352" s="19">
        <f>VLOOKUP(D4352,'لیست پرسنل'!$B$2:$E$1020,3,FALSE)</f>
        <v>0</v>
      </c>
      <c r="F4352" s="19">
        <f>VLOOKUP(D4352,'لیست پرسنل'!$B$2:$E$1020,4,FALSE)</f>
        <v>0</v>
      </c>
      <c r="G4352" s="127">
        <f>VLOOKUP(D4352,'لیست پرسنل'!$B$2:$F$1020,2,FALSE)</f>
        <v>0</v>
      </c>
      <c r="H4352" s="127" t="s">
        <v>3832</v>
      </c>
      <c r="I4352" s="127" t="s">
        <v>4325</v>
      </c>
      <c r="J4352" s="127" t="s">
        <v>996</v>
      </c>
      <c r="K4352" s="128" t="s">
        <v>1523</v>
      </c>
      <c r="L4352" s="128" t="s">
        <v>5313</v>
      </c>
      <c r="M4352" s="127">
        <v>613654</v>
      </c>
      <c r="N4352" s="108"/>
      <c r="O4352" s="20"/>
      <c r="P4352" s="20" t="s">
        <v>5869</v>
      </c>
      <c r="Q4352" s="20"/>
    </row>
    <row r="4353" spans="1:17" ht="24.9" customHeight="1">
      <c r="A4353" s="20"/>
      <c r="B4353" s="20" t="s">
        <v>5101</v>
      </c>
      <c r="C4353" s="20" t="s">
        <v>4325</v>
      </c>
      <c r="D4353" s="20" t="s">
        <v>4325</v>
      </c>
      <c r="E4353" s="19">
        <f>VLOOKUP(D4353,'لیست پرسنل'!$B$2:$E$1020,3,FALSE)</f>
        <v>0</v>
      </c>
      <c r="F4353" s="19">
        <f>VLOOKUP(D4353,'لیست پرسنل'!$B$2:$E$1020,4,FALSE)</f>
        <v>0</v>
      </c>
      <c r="G4353" s="127">
        <f>VLOOKUP(D4353,'لیست پرسنل'!$B$2:$F$1020,2,FALSE)</f>
        <v>0</v>
      </c>
      <c r="H4353" s="127" t="s">
        <v>3832</v>
      </c>
      <c r="I4353" s="127" t="s">
        <v>4325</v>
      </c>
      <c r="J4353" s="151" t="s">
        <v>5366</v>
      </c>
      <c r="K4353" s="128" t="s">
        <v>1302</v>
      </c>
      <c r="L4353" s="128" t="s">
        <v>5313</v>
      </c>
      <c r="M4353" s="128">
        <v>618901</v>
      </c>
      <c r="N4353" s="108"/>
      <c r="O4353" s="20"/>
      <c r="P4353" s="20" t="s">
        <v>5869</v>
      </c>
      <c r="Q4353" s="20"/>
    </row>
    <row r="4354" spans="1:17" ht="24.9" customHeight="1">
      <c r="A4354" s="20"/>
      <c r="B4354" s="20" t="s">
        <v>5101</v>
      </c>
      <c r="C4354" s="20" t="s">
        <v>4325</v>
      </c>
      <c r="D4354" s="20" t="s">
        <v>4325</v>
      </c>
      <c r="E4354" s="19">
        <f>VLOOKUP(D4354,'لیست پرسنل'!$B$2:$E$1020,3,FALSE)</f>
        <v>0</v>
      </c>
      <c r="F4354" s="19">
        <f>VLOOKUP(D4354,'لیست پرسنل'!$B$2:$E$1020,4,FALSE)</f>
        <v>0</v>
      </c>
      <c r="G4354" s="127">
        <f>VLOOKUP(D4354,'لیست پرسنل'!$B$2:$F$1020,2,FALSE)</f>
        <v>0</v>
      </c>
      <c r="H4354" s="127" t="s">
        <v>3832</v>
      </c>
      <c r="I4354" s="127" t="s">
        <v>4325</v>
      </c>
      <c r="J4354" s="151" t="s">
        <v>5366</v>
      </c>
      <c r="K4354" s="128" t="s">
        <v>1302</v>
      </c>
      <c r="L4354" s="128" t="s">
        <v>5313</v>
      </c>
      <c r="M4354" s="128">
        <v>618902</v>
      </c>
      <c r="N4354" s="108"/>
      <c r="O4354" s="20"/>
      <c r="P4354" s="20" t="s">
        <v>5869</v>
      </c>
      <c r="Q4354" s="20"/>
    </row>
    <row r="4355" spans="1:17" ht="24.9" customHeight="1">
      <c r="A4355" s="20"/>
      <c r="B4355" s="20" t="s">
        <v>5101</v>
      </c>
      <c r="C4355" s="20" t="s">
        <v>4325</v>
      </c>
      <c r="D4355" s="20" t="s">
        <v>4325</v>
      </c>
      <c r="E4355" s="19">
        <f>VLOOKUP(D4355,'لیست پرسنل'!$B$2:$E$1020,3,FALSE)</f>
        <v>0</v>
      </c>
      <c r="F4355" s="19">
        <f>VLOOKUP(D4355,'لیست پرسنل'!$B$2:$E$1020,4,FALSE)</f>
        <v>0</v>
      </c>
      <c r="G4355" s="127">
        <f>VLOOKUP(D4355,'لیست پرسنل'!$B$2:$F$1020,2,FALSE)</f>
        <v>0</v>
      </c>
      <c r="H4355" s="127" t="s">
        <v>3832</v>
      </c>
      <c r="I4355" s="127" t="s">
        <v>4325</v>
      </c>
      <c r="J4355" s="151" t="s">
        <v>5366</v>
      </c>
      <c r="K4355" s="128" t="s">
        <v>1302</v>
      </c>
      <c r="L4355" s="128" t="s">
        <v>5313</v>
      </c>
      <c r="M4355" s="128">
        <v>618903</v>
      </c>
      <c r="N4355" s="108"/>
      <c r="O4355" s="20"/>
      <c r="P4355" s="20" t="s">
        <v>5869</v>
      </c>
      <c r="Q4355" s="20"/>
    </row>
    <row r="4356" spans="1:17" ht="24.9" customHeight="1">
      <c r="A4356" s="20"/>
      <c r="B4356" s="20" t="s">
        <v>5101</v>
      </c>
      <c r="C4356" s="20" t="s">
        <v>4325</v>
      </c>
      <c r="D4356" s="20" t="s">
        <v>4325</v>
      </c>
      <c r="E4356" s="19">
        <f>VLOOKUP(D4356,'لیست پرسنل'!$B$2:$E$1020,3,FALSE)</f>
        <v>0</v>
      </c>
      <c r="F4356" s="19">
        <f>VLOOKUP(D4356,'لیست پرسنل'!$B$2:$E$1020,4,FALSE)</f>
        <v>0</v>
      </c>
      <c r="G4356" s="127">
        <f>VLOOKUP(D4356,'لیست پرسنل'!$B$2:$F$1020,2,FALSE)</f>
        <v>0</v>
      </c>
      <c r="H4356" s="127" t="s">
        <v>3832</v>
      </c>
      <c r="I4356" s="127" t="s">
        <v>4325</v>
      </c>
      <c r="J4356" s="151" t="s">
        <v>5366</v>
      </c>
      <c r="K4356" s="128" t="s">
        <v>3307</v>
      </c>
      <c r="L4356" s="128" t="s">
        <v>5313</v>
      </c>
      <c r="M4356" s="128">
        <v>618904</v>
      </c>
      <c r="N4356" s="108"/>
      <c r="O4356" s="20"/>
      <c r="P4356" s="20" t="s">
        <v>5869</v>
      </c>
      <c r="Q4356" s="20"/>
    </row>
    <row r="4357" spans="1:17" ht="24.9" customHeight="1">
      <c r="A4357" s="20"/>
      <c r="B4357" s="20" t="s">
        <v>5101</v>
      </c>
      <c r="C4357" s="20" t="s">
        <v>4325</v>
      </c>
      <c r="D4357" s="20" t="s">
        <v>4325</v>
      </c>
      <c r="E4357" s="19">
        <f>VLOOKUP(D4357,'لیست پرسنل'!$B$2:$E$1020,3,FALSE)</f>
        <v>0</v>
      </c>
      <c r="F4357" s="19">
        <f>VLOOKUP(D4357,'لیست پرسنل'!$B$2:$E$1020,4,FALSE)</f>
        <v>0</v>
      </c>
      <c r="G4357" s="127">
        <f>VLOOKUP(D4357,'لیست پرسنل'!$B$2:$F$1020,2,FALSE)</f>
        <v>0</v>
      </c>
      <c r="H4357" s="127" t="s">
        <v>3832</v>
      </c>
      <c r="I4357" s="127" t="s">
        <v>4325</v>
      </c>
      <c r="J4357" s="151" t="s">
        <v>5366</v>
      </c>
      <c r="K4357" s="128" t="s">
        <v>1302</v>
      </c>
      <c r="L4357" s="128" t="s">
        <v>5313</v>
      </c>
      <c r="M4357" s="128">
        <v>618906</v>
      </c>
      <c r="N4357" s="108"/>
      <c r="O4357" s="20"/>
      <c r="P4357" s="20" t="s">
        <v>5869</v>
      </c>
      <c r="Q4357" s="20"/>
    </row>
    <row r="4358" spans="1:17" ht="24.9" customHeight="1">
      <c r="A4358" s="20"/>
      <c r="B4358" s="20" t="s">
        <v>5101</v>
      </c>
      <c r="C4358" s="20" t="s">
        <v>4325</v>
      </c>
      <c r="D4358" s="20" t="s">
        <v>4325</v>
      </c>
      <c r="E4358" s="19">
        <f>VLOOKUP(D4358,'لیست پرسنل'!$B$2:$E$1020,3,FALSE)</f>
        <v>0</v>
      </c>
      <c r="F4358" s="19">
        <f>VLOOKUP(D4358,'لیست پرسنل'!$B$2:$E$1020,4,FALSE)</f>
        <v>0</v>
      </c>
      <c r="G4358" s="127">
        <f>VLOOKUP(D4358,'لیست پرسنل'!$B$2:$F$1020,2,FALSE)</f>
        <v>0</v>
      </c>
      <c r="H4358" s="127" t="s">
        <v>3832</v>
      </c>
      <c r="I4358" s="127" t="s">
        <v>4325</v>
      </c>
      <c r="J4358" s="127" t="s">
        <v>3476</v>
      </c>
      <c r="K4358" s="128" t="s">
        <v>1038</v>
      </c>
      <c r="L4358" s="128" t="s">
        <v>5313</v>
      </c>
      <c r="M4358" s="134">
        <v>618952</v>
      </c>
      <c r="N4358" s="109"/>
      <c r="O4358" s="20"/>
      <c r="P4358" s="20" t="s">
        <v>5869</v>
      </c>
      <c r="Q4358" s="20"/>
    </row>
    <row r="4359" spans="1:17" ht="24.9" customHeight="1">
      <c r="A4359" s="20"/>
      <c r="B4359" s="20" t="s">
        <v>5101</v>
      </c>
      <c r="C4359" s="20" t="s">
        <v>4325</v>
      </c>
      <c r="D4359" s="20" t="s">
        <v>4325</v>
      </c>
      <c r="E4359" s="19">
        <f>VLOOKUP(D4359,'لیست پرسنل'!$B$2:$E$1020,3,FALSE)</f>
        <v>0</v>
      </c>
      <c r="F4359" s="19">
        <f>VLOOKUP(D4359,'لیست پرسنل'!$B$2:$E$1020,4,FALSE)</f>
        <v>0</v>
      </c>
      <c r="G4359" s="127">
        <f>VLOOKUP(D4359,'لیست پرسنل'!$B$2:$F$1020,2,FALSE)</f>
        <v>0</v>
      </c>
      <c r="H4359" s="127" t="s">
        <v>3832</v>
      </c>
      <c r="I4359" s="127" t="s">
        <v>4325</v>
      </c>
      <c r="J4359" s="127" t="s">
        <v>4719</v>
      </c>
      <c r="K4359" s="128" t="s">
        <v>5311</v>
      </c>
      <c r="L4359" s="128" t="s">
        <v>5313</v>
      </c>
      <c r="M4359" s="134">
        <v>618925</v>
      </c>
      <c r="N4359" s="109"/>
      <c r="O4359" s="20"/>
      <c r="P4359" s="20" t="s">
        <v>5869</v>
      </c>
      <c r="Q4359" s="20"/>
    </row>
    <row r="4360" spans="1:17" ht="24.9" customHeight="1">
      <c r="A4360" s="20"/>
      <c r="B4360" s="20" t="s">
        <v>5101</v>
      </c>
      <c r="C4360" s="20" t="s">
        <v>4325</v>
      </c>
      <c r="D4360" s="20" t="s">
        <v>4325</v>
      </c>
      <c r="E4360" s="19">
        <f>VLOOKUP(D4360,'لیست پرسنل'!$B$2:$E$1020,3,FALSE)</f>
        <v>0</v>
      </c>
      <c r="F4360" s="19">
        <f>VLOOKUP(D4360,'لیست پرسنل'!$B$2:$E$1020,4,FALSE)</f>
        <v>0</v>
      </c>
      <c r="G4360" s="127">
        <f>VLOOKUP(D4360,'لیست پرسنل'!$B$2:$F$1020,2,FALSE)</f>
        <v>0</v>
      </c>
      <c r="H4360" s="127" t="s">
        <v>3832</v>
      </c>
      <c r="I4360" s="127" t="s">
        <v>4325</v>
      </c>
      <c r="J4360" s="127" t="s">
        <v>4719</v>
      </c>
      <c r="K4360" s="128" t="s">
        <v>5312</v>
      </c>
      <c r="L4360" s="128" t="s">
        <v>5313</v>
      </c>
      <c r="M4360" s="134">
        <v>618926</v>
      </c>
      <c r="N4360" s="109"/>
      <c r="O4360" s="20"/>
      <c r="P4360" s="20" t="s">
        <v>5869</v>
      </c>
      <c r="Q4360" s="20"/>
    </row>
    <row r="4361" spans="1:17" ht="24.9" customHeight="1">
      <c r="A4361" s="20"/>
      <c r="B4361" s="20" t="s">
        <v>5101</v>
      </c>
      <c r="C4361" s="20" t="s">
        <v>4325</v>
      </c>
      <c r="D4361" s="20" t="s">
        <v>4325</v>
      </c>
      <c r="E4361" s="19">
        <f>VLOOKUP(D4361,'لیست پرسنل'!$B$2:$E$1020,3,FALSE)</f>
        <v>0</v>
      </c>
      <c r="F4361" s="19">
        <f>VLOOKUP(D4361,'لیست پرسنل'!$B$2:$E$1020,4,FALSE)</f>
        <v>0</v>
      </c>
      <c r="G4361" s="127">
        <f>VLOOKUP(D4361,'لیست پرسنل'!$B$2:$F$1020,2,FALSE)</f>
        <v>0</v>
      </c>
      <c r="H4361" s="127" t="s">
        <v>3832</v>
      </c>
      <c r="I4361" s="127" t="s">
        <v>4325</v>
      </c>
      <c r="J4361" s="127" t="s">
        <v>4719</v>
      </c>
      <c r="K4361" s="128" t="s">
        <v>5312</v>
      </c>
      <c r="L4361" s="128" t="s">
        <v>5313</v>
      </c>
      <c r="M4361" s="134">
        <v>618927</v>
      </c>
      <c r="N4361" s="109"/>
      <c r="O4361" s="20"/>
      <c r="P4361" s="20" t="s">
        <v>5869</v>
      </c>
      <c r="Q4361" s="20"/>
    </row>
    <row r="4362" spans="1:17" ht="24.9" customHeight="1">
      <c r="A4362" s="20"/>
      <c r="B4362" s="20" t="s">
        <v>5101</v>
      </c>
      <c r="C4362" s="20" t="s">
        <v>4325</v>
      </c>
      <c r="D4362" s="20" t="s">
        <v>4325</v>
      </c>
      <c r="E4362" s="19">
        <f>VLOOKUP(D4362,'لیست پرسنل'!$B$2:$E$1020,3,FALSE)</f>
        <v>0</v>
      </c>
      <c r="F4362" s="19">
        <f>VLOOKUP(D4362,'لیست پرسنل'!$B$2:$E$1020,4,FALSE)</f>
        <v>0</v>
      </c>
      <c r="G4362" s="127">
        <f>VLOOKUP(D4362,'لیست پرسنل'!$B$2:$F$1020,2,FALSE)</f>
        <v>0</v>
      </c>
      <c r="H4362" s="127" t="s">
        <v>3832</v>
      </c>
      <c r="I4362" s="127" t="s">
        <v>4325</v>
      </c>
      <c r="J4362" s="127" t="s">
        <v>4719</v>
      </c>
      <c r="K4362" s="128" t="s">
        <v>5312</v>
      </c>
      <c r="L4362" s="128" t="s">
        <v>5313</v>
      </c>
      <c r="M4362" s="134">
        <v>618928</v>
      </c>
      <c r="N4362" s="109"/>
      <c r="O4362" s="20"/>
      <c r="P4362" s="20" t="s">
        <v>5869</v>
      </c>
      <c r="Q4362" s="20"/>
    </row>
    <row r="4363" spans="1:17" ht="24.9" customHeight="1">
      <c r="A4363" s="20"/>
      <c r="B4363" s="20" t="s">
        <v>5101</v>
      </c>
      <c r="C4363" s="20" t="s">
        <v>4325</v>
      </c>
      <c r="D4363" s="20" t="s">
        <v>4325</v>
      </c>
      <c r="E4363" s="19">
        <f>VLOOKUP(D4363,'لیست پرسنل'!$B$2:$E$1020,3,FALSE)</f>
        <v>0</v>
      </c>
      <c r="F4363" s="19">
        <f>VLOOKUP(D4363,'لیست پرسنل'!$B$2:$E$1020,4,FALSE)</f>
        <v>0</v>
      </c>
      <c r="G4363" s="127">
        <f>VLOOKUP(D4363,'لیست پرسنل'!$B$2:$F$1020,2,FALSE)</f>
        <v>0</v>
      </c>
      <c r="H4363" s="127" t="s">
        <v>3832</v>
      </c>
      <c r="I4363" s="127" t="s">
        <v>4325</v>
      </c>
      <c r="J4363" s="127" t="s">
        <v>4719</v>
      </c>
      <c r="K4363" s="128" t="s">
        <v>5312</v>
      </c>
      <c r="L4363" s="128" t="s">
        <v>5313</v>
      </c>
      <c r="M4363" s="134">
        <v>618929</v>
      </c>
      <c r="N4363" s="109"/>
      <c r="O4363" s="20"/>
      <c r="P4363" s="20" t="s">
        <v>5869</v>
      </c>
      <c r="Q4363" s="20"/>
    </row>
    <row r="4364" spans="1:17" ht="24.9" customHeight="1">
      <c r="A4364" s="20"/>
      <c r="B4364" s="20" t="s">
        <v>5101</v>
      </c>
      <c r="C4364" s="20" t="s">
        <v>4325</v>
      </c>
      <c r="D4364" s="20" t="s">
        <v>4325</v>
      </c>
      <c r="E4364" s="19">
        <f>VLOOKUP(D4364,'لیست پرسنل'!$B$2:$E$1020,3,FALSE)</f>
        <v>0</v>
      </c>
      <c r="F4364" s="19">
        <f>VLOOKUP(D4364,'لیست پرسنل'!$B$2:$E$1020,4,FALSE)</f>
        <v>0</v>
      </c>
      <c r="G4364" s="127">
        <f>VLOOKUP(D4364,'لیست پرسنل'!$B$2:$F$1020,2,FALSE)</f>
        <v>0</v>
      </c>
      <c r="H4364" s="127" t="s">
        <v>3832</v>
      </c>
      <c r="I4364" s="127" t="s">
        <v>4325</v>
      </c>
      <c r="J4364" s="127" t="s">
        <v>4719</v>
      </c>
      <c r="K4364" s="128" t="s">
        <v>5312</v>
      </c>
      <c r="L4364" s="128" t="s">
        <v>5313</v>
      </c>
      <c r="M4364" s="134">
        <v>618930</v>
      </c>
      <c r="N4364" s="109"/>
      <c r="O4364" s="20"/>
      <c r="P4364" s="20" t="s">
        <v>5869</v>
      </c>
      <c r="Q4364" s="20"/>
    </row>
    <row r="4365" spans="1:17" ht="24.9" customHeight="1">
      <c r="A4365" s="20"/>
      <c r="B4365" s="20" t="s">
        <v>5101</v>
      </c>
      <c r="C4365" s="20" t="s">
        <v>4325</v>
      </c>
      <c r="D4365" s="20" t="s">
        <v>4325</v>
      </c>
      <c r="E4365" s="19">
        <f>VLOOKUP(D4365,'لیست پرسنل'!$B$2:$E$1020,3,FALSE)</f>
        <v>0</v>
      </c>
      <c r="F4365" s="19">
        <f>VLOOKUP(D4365,'لیست پرسنل'!$B$2:$E$1020,4,FALSE)</f>
        <v>0</v>
      </c>
      <c r="G4365" s="127">
        <f>VLOOKUP(D4365,'لیست پرسنل'!$B$2:$F$1020,2,FALSE)</f>
        <v>0</v>
      </c>
      <c r="H4365" s="127" t="s">
        <v>3832</v>
      </c>
      <c r="I4365" s="127" t="s">
        <v>4325</v>
      </c>
      <c r="J4365" s="127" t="s">
        <v>4719</v>
      </c>
      <c r="K4365" s="128" t="s">
        <v>5312</v>
      </c>
      <c r="L4365" s="128" t="s">
        <v>5313</v>
      </c>
      <c r="M4365" s="134">
        <v>618931</v>
      </c>
      <c r="N4365" s="109"/>
      <c r="O4365" s="20"/>
      <c r="P4365" s="20" t="s">
        <v>5869</v>
      </c>
      <c r="Q4365" s="20"/>
    </row>
    <row r="4366" spans="1:17" ht="24.9" customHeight="1">
      <c r="A4366" s="20"/>
      <c r="B4366" s="20" t="s">
        <v>5101</v>
      </c>
      <c r="C4366" s="20" t="s">
        <v>4325</v>
      </c>
      <c r="D4366" s="20" t="s">
        <v>4325</v>
      </c>
      <c r="E4366" s="19">
        <f>VLOOKUP(D4366,'لیست پرسنل'!$B$2:$E$1020,3,FALSE)</f>
        <v>0</v>
      </c>
      <c r="F4366" s="19">
        <f>VLOOKUP(D4366,'لیست پرسنل'!$B$2:$E$1020,4,FALSE)</f>
        <v>0</v>
      </c>
      <c r="G4366" s="127">
        <f>VLOOKUP(D4366,'لیست پرسنل'!$B$2:$F$1020,2,FALSE)</f>
        <v>0</v>
      </c>
      <c r="H4366" s="127" t="s">
        <v>3832</v>
      </c>
      <c r="I4366" s="127" t="s">
        <v>4325</v>
      </c>
      <c r="J4366" s="127" t="s">
        <v>4719</v>
      </c>
      <c r="K4366" s="128" t="s">
        <v>5312</v>
      </c>
      <c r="L4366" s="128" t="s">
        <v>5313</v>
      </c>
      <c r="M4366" s="134">
        <v>618932</v>
      </c>
      <c r="N4366" s="109"/>
      <c r="O4366" s="20"/>
      <c r="P4366" s="20" t="s">
        <v>5869</v>
      </c>
      <c r="Q4366" s="20"/>
    </row>
    <row r="4367" spans="1:17" ht="24.9" customHeight="1">
      <c r="A4367" s="20"/>
      <c r="B4367" s="20" t="s">
        <v>5101</v>
      </c>
      <c r="C4367" s="20" t="s">
        <v>4325</v>
      </c>
      <c r="D4367" s="20" t="s">
        <v>4325</v>
      </c>
      <c r="E4367" s="19">
        <f>VLOOKUP(D4367,'لیست پرسنل'!$B$2:$E$1020,3,FALSE)</f>
        <v>0</v>
      </c>
      <c r="F4367" s="19">
        <f>VLOOKUP(D4367,'لیست پرسنل'!$B$2:$E$1020,4,FALSE)</f>
        <v>0</v>
      </c>
      <c r="G4367" s="127">
        <f>VLOOKUP(D4367,'لیست پرسنل'!$B$2:$F$1020,2,FALSE)</f>
        <v>0</v>
      </c>
      <c r="H4367" s="127" t="s">
        <v>3832</v>
      </c>
      <c r="I4367" s="127" t="s">
        <v>4325</v>
      </c>
      <c r="J4367" s="127" t="s">
        <v>4719</v>
      </c>
      <c r="K4367" s="128" t="s">
        <v>5312</v>
      </c>
      <c r="L4367" s="128" t="s">
        <v>5313</v>
      </c>
      <c r="M4367" s="134">
        <v>618933</v>
      </c>
      <c r="N4367" s="109"/>
      <c r="O4367" s="20"/>
      <c r="P4367" s="20" t="s">
        <v>5869</v>
      </c>
      <c r="Q4367" s="20"/>
    </row>
    <row r="4368" spans="1:17" ht="24.9" customHeight="1">
      <c r="A4368" s="20"/>
      <c r="B4368" s="20" t="s">
        <v>5101</v>
      </c>
      <c r="C4368" s="20" t="s">
        <v>4325</v>
      </c>
      <c r="D4368" s="20" t="s">
        <v>4325</v>
      </c>
      <c r="E4368" s="19">
        <f>VLOOKUP(D4368,'لیست پرسنل'!$B$2:$E$1020,3,FALSE)</f>
        <v>0</v>
      </c>
      <c r="F4368" s="19">
        <f>VLOOKUP(D4368,'لیست پرسنل'!$B$2:$E$1020,4,FALSE)</f>
        <v>0</v>
      </c>
      <c r="G4368" s="127">
        <f>VLOOKUP(D4368,'لیست پرسنل'!$B$2:$F$1020,2,FALSE)</f>
        <v>0</v>
      </c>
      <c r="H4368" s="127" t="s">
        <v>3832</v>
      </c>
      <c r="I4368" s="127" t="s">
        <v>4325</v>
      </c>
      <c r="J4368" s="127" t="s">
        <v>4719</v>
      </c>
      <c r="K4368" s="128" t="s">
        <v>5312</v>
      </c>
      <c r="L4368" s="128" t="s">
        <v>5313</v>
      </c>
      <c r="M4368" s="134">
        <v>618934</v>
      </c>
      <c r="N4368" s="109"/>
      <c r="O4368" s="20"/>
      <c r="P4368" s="20" t="s">
        <v>5869</v>
      </c>
      <c r="Q4368" s="20"/>
    </row>
    <row r="4369" spans="1:17" ht="24.9" customHeight="1">
      <c r="A4369" s="20"/>
      <c r="B4369" s="20" t="s">
        <v>5101</v>
      </c>
      <c r="C4369" s="20" t="s">
        <v>4325</v>
      </c>
      <c r="D4369" s="20" t="s">
        <v>4325</v>
      </c>
      <c r="E4369" s="19">
        <f>VLOOKUP(D4369,'لیست پرسنل'!$B$2:$E$1020,3,FALSE)</f>
        <v>0</v>
      </c>
      <c r="F4369" s="19">
        <f>VLOOKUP(D4369,'لیست پرسنل'!$B$2:$E$1020,4,FALSE)</f>
        <v>0</v>
      </c>
      <c r="G4369" s="127">
        <f>VLOOKUP(D4369,'لیست پرسنل'!$B$2:$F$1020,2,FALSE)</f>
        <v>0</v>
      </c>
      <c r="H4369" s="127" t="s">
        <v>3832</v>
      </c>
      <c r="I4369" s="127" t="s">
        <v>4325</v>
      </c>
      <c r="J4369" s="127" t="s">
        <v>4719</v>
      </c>
      <c r="K4369" s="128" t="s">
        <v>5312</v>
      </c>
      <c r="L4369" s="128" t="s">
        <v>5313</v>
      </c>
      <c r="M4369" s="134">
        <v>618935</v>
      </c>
      <c r="N4369" s="109"/>
      <c r="O4369" s="20"/>
      <c r="P4369" s="20" t="s">
        <v>5869</v>
      </c>
      <c r="Q4369" s="20"/>
    </row>
    <row r="4370" spans="1:17" ht="24.9" customHeight="1">
      <c r="A4370" s="20"/>
      <c r="B4370" s="20" t="s">
        <v>5101</v>
      </c>
      <c r="C4370" s="20" t="s">
        <v>4325</v>
      </c>
      <c r="D4370" s="20" t="s">
        <v>4325</v>
      </c>
      <c r="E4370" s="19">
        <f>VLOOKUP(D4370,'لیست پرسنل'!$B$2:$E$1020,3,FALSE)</f>
        <v>0</v>
      </c>
      <c r="F4370" s="19">
        <f>VLOOKUP(D4370,'لیست پرسنل'!$B$2:$E$1020,4,FALSE)</f>
        <v>0</v>
      </c>
      <c r="G4370" s="127">
        <f>VLOOKUP(D4370,'لیست پرسنل'!$B$2:$F$1020,2,FALSE)</f>
        <v>0</v>
      </c>
      <c r="H4370" s="127" t="s">
        <v>3832</v>
      </c>
      <c r="I4370" s="127" t="s">
        <v>4325</v>
      </c>
      <c r="J4370" s="127" t="s">
        <v>4719</v>
      </c>
      <c r="K4370" s="128" t="s">
        <v>5312</v>
      </c>
      <c r="L4370" s="128" t="s">
        <v>5313</v>
      </c>
      <c r="M4370" s="134">
        <v>618936</v>
      </c>
      <c r="N4370" s="109"/>
      <c r="O4370" s="20"/>
      <c r="P4370" s="20" t="s">
        <v>5869</v>
      </c>
      <c r="Q4370" s="20"/>
    </row>
    <row r="4371" spans="1:17" ht="24.9" customHeight="1">
      <c r="A4371" s="20"/>
      <c r="B4371" s="20" t="s">
        <v>5101</v>
      </c>
      <c r="C4371" s="20" t="s">
        <v>4325</v>
      </c>
      <c r="D4371" s="20" t="s">
        <v>4325</v>
      </c>
      <c r="E4371" s="19">
        <f>VLOOKUP(D4371,'لیست پرسنل'!$B$2:$E$1020,3,FALSE)</f>
        <v>0</v>
      </c>
      <c r="F4371" s="19">
        <f>VLOOKUP(D4371,'لیست پرسنل'!$B$2:$E$1020,4,FALSE)</f>
        <v>0</v>
      </c>
      <c r="G4371" s="127">
        <f>VLOOKUP(D4371,'لیست پرسنل'!$B$2:$F$1020,2,FALSE)</f>
        <v>0</v>
      </c>
      <c r="H4371" s="127" t="s">
        <v>3832</v>
      </c>
      <c r="I4371" s="127" t="s">
        <v>4325</v>
      </c>
      <c r="J4371" s="127" t="s">
        <v>4719</v>
      </c>
      <c r="K4371" s="128" t="s">
        <v>5312</v>
      </c>
      <c r="L4371" s="128" t="s">
        <v>5313</v>
      </c>
      <c r="M4371" s="134">
        <v>618937</v>
      </c>
      <c r="N4371" s="109"/>
      <c r="O4371" s="20"/>
      <c r="P4371" s="20" t="s">
        <v>5869</v>
      </c>
      <c r="Q4371" s="20"/>
    </row>
    <row r="4372" spans="1:17" ht="24.9" customHeight="1">
      <c r="A4372" s="20"/>
      <c r="B4372" s="20" t="s">
        <v>5101</v>
      </c>
      <c r="C4372" s="20" t="s">
        <v>4325</v>
      </c>
      <c r="D4372" s="20" t="s">
        <v>4325</v>
      </c>
      <c r="E4372" s="19">
        <f>VLOOKUP(D4372,'لیست پرسنل'!$B$2:$E$1020,3,FALSE)</f>
        <v>0</v>
      </c>
      <c r="F4372" s="19">
        <f>VLOOKUP(D4372,'لیست پرسنل'!$B$2:$E$1020,4,FALSE)</f>
        <v>0</v>
      </c>
      <c r="G4372" s="127">
        <f>VLOOKUP(D4372,'لیست پرسنل'!$B$2:$F$1020,2,FALSE)</f>
        <v>0</v>
      </c>
      <c r="H4372" s="127" t="s">
        <v>3832</v>
      </c>
      <c r="I4372" s="127" t="s">
        <v>4325</v>
      </c>
      <c r="J4372" s="127" t="s">
        <v>4719</v>
      </c>
      <c r="K4372" s="128" t="s">
        <v>5312</v>
      </c>
      <c r="L4372" s="128" t="s">
        <v>5313</v>
      </c>
      <c r="M4372" s="134">
        <v>618938</v>
      </c>
      <c r="N4372" s="109"/>
      <c r="O4372" s="20"/>
      <c r="P4372" s="20" t="s">
        <v>5869</v>
      </c>
      <c r="Q4372" s="20"/>
    </row>
    <row r="4373" spans="1:17" ht="24.9" customHeight="1">
      <c r="A4373" s="20"/>
      <c r="B4373" s="20" t="s">
        <v>5101</v>
      </c>
      <c r="C4373" s="20" t="s">
        <v>4325</v>
      </c>
      <c r="D4373" s="20" t="s">
        <v>4325</v>
      </c>
      <c r="E4373" s="19">
        <f>VLOOKUP(D4373,'لیست پرسنل'!$B$2:$E$1020,3,FALSE)</f>
        <v>0</v>
      </c>
      <c r="F4373" s="19">
        <f>VLOOKUP(D4373,'لیست پرسنل'!$B$2:$E$1020,4,FALSE)</f>
        <v>0</v>
      </c>
      <c r="G4373" s="127">
        <f>VLOOKUP(D4373,'لیست پرسنل'!$B$2:$F$1020,2,FALSE)</f>
        <v>0</v>
      </c>
      <c r="H4373" s="127" t="s">
        <v>3832</v>
      </c>
      <c r="I4373" s="127" t="s">
        <v>4325</v>
      </c>
      <c r="J4373" s="127" t="s">
        <v>4719</v>
      </c>
      <c r="K4373" s="128" t="s">
        <v>5312</v>
      </c>
      <c r="L4373" s="128" t="s">
        <v>5313</v>
      </c>
      <c r="M4373" s="134">
        <v>618939</v>
      </c>
      <c r="N4373" s="109"/>
      <c r="O4373" s="20"/>
      <c r="P4373" s="20" t="s">
        <v>5869</v>
      </c>
      <c r="Q4373" s="20"/>
    </row>
    <row r="4374" spans="1:17" ht="24.9" customHeight="1">
      <c r="A4374" s="20"/>
      <c r="B4374" s="20" t="s">
        <v>5101</v>
      </c>
      <c r="C4374" s="20" t="s">
        <v>4325</v>
      </c>
      <c r="D4374" s="20" t="s">
        <v>4325</v>
      </c>
      <c r="E4374" s="19">
        <f>VLOOKUP(D4374,'لیست پرسنل'!$B$2:$E$1020,3,FALSE)</f>
        <v>0</v>
      </c>
      <c r="F4374" s="19">
        <f>VLOOKUP(D4374,'لیست پرسنل'!$B$2:$E$1020,4,FALSE)</f>
        <v>0</v>
      </c>
      <c r="G4374" s="127">
        <f>VLOOKUP(D4374,'لیست پرسنل'!$B$2:$F$1020,2,FALSE)</f>
        <v>0</v>
      </c>
      <c r="H4374" s="127" t="s">
        <v>3832</v>
      </c>
      <c r="I4374" s="127" t="s">
        <v>4325</v>
      </c>
      <c r="J4374" s="127" t="s">
        <v>4719</v>
      </c>
      <c r="K4374" s="128" t="s">
        <v>5312</v>
      </c>
      <c r="L4374" s="128" t="s">
        <v>5313</v>
      </c>
      <c r="M4374" s="134">
        <v>618940</v>
      </c>
      <c r="N4374" s="109"/>
      <c r="O4374" s="20"/>
      <c r="P4374" s="20" t="s">
        <v>5869</v>
      </c>
      <c r="Q4374" s="20"/>
    </row>
    <row r="4375" spans="1:17" ht="24.9" customHeight="1">
      <c r="A4375" s="20"/>
      <c r="B4375" s="20" t="s">
        <v>5101</v>
      </c>
      <c r="C4375" s="20" t="s">
        <v>4325</v>
      </c>
      <c r="D4375" s="20" t="s">
        <v>4325</v>
      </c>
      <c r="E4375" s="19">
        <f>VLOOKUP(D4375,'لیست پرسنل'!$B$2:$E$1020,3,FALSE)</f>
        <v>0</v>
      </c>
      <c r="F4375" s="19">
        <f>VLOOKUP(D4375,'لیست پرسنل'!$B$2:$E$1020,4,FALSE)</f>
        <v>0</v>
      </c>
      <c r="G4375" s="127">
        <f>VLOOKUP(D4375,'لیست پرسنل'!$B$2:$F$1020,2,FALSE)</f>
        <v>0</v>
      </c>
      <c r="H4375" s="127" t="s">
        <v>3832</v>
      </c>
      <c r="I4375" s="127" t="s">
        <v>4325</v>
      </c>
      <c r="J4375" s="127" t="s">
        <v>4719</v>
      </c>
      <c r="K4375" s="128" t="s">
        <v>5312</v>
      </c>
      <c r="L4375" s="128" t="s">
        <v>5313</v>
      </c>
      <c r="M4375" s="134">
        <v>618941</v>
      </c>
      <c r="N4375" s="109"/>
      <c r="O4375" s="20"/>
      <c r="P4375" s="20" t="s">
        <v>5869</v>
      </c>
      <c r="Q4375" s="20"/>
    </row>
    <row r="4376" spans="1:17" ht="24.9" customHeight="1">
      <c r="A4376" s="20"/>
      <c r="B4376" s="20" t="s">
        <v>5101</v>
      </c>
      <c r="C4376" s="20" t="s">
        <v>4325</v>
      </c>
      <c r="D4376" s="20" t="s">
        <v>4325</v>
      </c>
      <c r="E4376" s="19">
        <f>VLOOKUP(D4376,'لیست پرسنل'!$B$2:$E$1020,3,FALSE)</f>
        <v>0</v>
      </c>
      <c r="F4376" s="19">
        <f>VLOOKUP(D4376,'لیست پرسنل'!$B$2:$E$1020,4,FALSE)</f>
        <v>0</v>
      </c>
      <c r="G4376" s="127">
        <f>VLOOKUP(D4376,'لیست پرسنل'!$B$2:$F$1020,2,FALSE)</f>
        <v>0</v>
      </c>
      <c r="H4376" s="127" t="s">
        <v>3832</v>
      </c>
      <c r="I4376" s="127" t="s">
        <v>4325</v>
      </c>
      <c r="J4376" s="127" t="s">
        <v>4719</v>
      </c>
      <c r="K4376" s="128" t="s">
        <v>5312</v>
      </c>
      <c r="L4376" s="128" t="s">
        <v>5313</v>
      </c>
      <c r="M4376" s="134">
        <v>618942</v>
      </c>
      <c r="N4376" s="109"/>
      <c r="O4376" s="20"/>
      <c r="P4376" s="20" t="s">
        <v>5869</v>
      </c>
      <c r="Q4376" s="20"/>
    </row>
    <row r="4377" spans="1:17" ht="24.9" customHeight="1">
      <c r="A4377" s="20"/>
      <c r="B4377" s="20" t="s">
        <v>5101</v>
      </c>
      <c r="C4377" s="20" t="s">
        <v>4325</v>
      </c>
      <c r="D4377" s="20" t="s">
        <v>4325</v>
      </c>
      <c r="E4377" s="19">
        <f>VLOOKUP(D4377,'لیست پرسنل'!$B$2:$E$1020,3,FALSE)</f>
        <v>0</v>
      </c>
      <c r="F4377" s="19">
        <f>VLOOKUP(D4377,'لیست پرسنل'!$B$2:$E$1020,4,FALSE)</f>
        <v>0</v>
      </c>
      <c r="G4377" s="127">
        <f>VLOOKUP(D4377,'لیست پرسنل'!$B$2:$F$1020,2,FALSE)</f>
        <v>0</v>
      </c>
      <c r="H4377" s="127" t="s">
        <v>3832</v>
      </c>
      <c r="I4377" s="127" t="s">
        <v>4325</v>
      </c>
      <c r="J4377" s="127" t="s">
        <v>753</v>
      </c>
      <c r="K4377" s="128" t="s">
        <v>3284</v>
      </c>
      <c r="L4377" s="128" t="s">
        <v>5313</v>
      </c>
      <c r="M4377" s="128">
        <v>611496</v>
      </c>
      <c r="N4377" s="108"/>
      <c r="O4377" s="20"/>
      <c r="P4377" s="20" t="s">
        <v>5869</v>
      </c>
      <c r="Q4377" s="20"/>
    </row>
    <row r="4378" spans="1:17" ht="24.9" customHeight="1">
      <c r="A4378" s="20"/>
      <c r="B4378" s="20" t="s">
        <v>5101</v>
      </c>
      <c r="C4378" s="20" t="s">
        <v>4325</v>
      </c>
      <c r="D4378" s="78" t="s">
        <v>4325</v>
      </c>
      <c r="E4378" s="19">
        <f>VLOOKUP(D4378,'لیست پرسنل'!$B$2:$E$1020,3,FALSE)</f>
        <v>0</v>
      </c>
      <c r="F4378" s="19">
        <f>VLOOKUP(D4378,'لیست پرسنل'!$B$2:$E$1020,4,FALSE)</f>
        <v>0</v>
      </c>
      <c r="G4378" s="127">
        <f>VLOOKUP(D4378,'لیست پرسنل'!$B$2:$F$1020,2,FALSE)</f>
        <v>0</v>
      </c>
      <c r="H4378" s="128" t="s">
        <v>3497</v>
      </c>
      <c r="I4378" s="128" t="s">
        <v>4325</v>
      </c>
      <c r="J4378" s="128" t="s">
        <v>737</v>
      </c>
      <c r="K4378" s="128" t="s">
        <v>2650</v>
      </c>
      <c r="L4378" s="130"/>
      <c r="M4378" s="145">
        <v>606126</v>
      </c>
      <c r="N4378" s="122"/>
      <c r="O4378" s="81" t="s">
        <v>3508</v>
      </c>
      <c r="P4378" s="20" t="s">
        <v>5869</v>
      </c>
      <c r="Q4378" s="20" t="s">
        <v>7313</v>
      </c>
    </row>
    <row r="4379" spans="1:17" ht="24.9" customHeight="1">
      <c r="A4379" s="20"/>
      <c r="B4379" s="20" t="s">
        <v>5101</v>
      </c>
      <c r="C4379" s="19" t="s">
        <v>4325</v>
      </c>
      <c r="D4379" s="19" t="s">
        <v>4672</v>
      </c>
      <c r="E4379" s="19" t="str">
        <f>VLOOKUP(D4379,'لیست پرسنل'!$B$2:$E$1020,3,FALSE)</f>
        <v>فکورصنعت</v>
      </c>
      <c r="F4379" s="19" t="str">
        <f>VLOOKUP(D4379,'لیست پرسنل'!$B$2:$E$1020,4,FALSE)</f>
        <v>مدیریت</v>
      </c>
      <c r="G4379" s="127">
        <f>VLOOKUP(D4379,'لیست پرسنل'!$B$2:$F$1020,2,FALSE)</f>
        <v>4010303</v>
      </c>
      <c r="H4379" s="126" t="s">
        <v>7045</v>
      </c>
      <c r="I4379" s="127" t="s">
        <v>4325</v>
      </c>
      <c r="J4379" s="128" t="s">
        <v>737</v>
      </c>
      <c r="K4379" s="128" t="s">
        <v>6609</v>
      </c>
      <c r="L4379" s="127" t="s">
        <v>6711</v>
      </c>
      <c r="M4379" s="127">
        <v>610845</v>
      </c>
      <c r="N4379" s="109"/>
      <c r="O4379" s="19"/>
      <c r="P4379" s="19" t="s">
        <v>5228</v>
      </c>
      <c r="Q4379" s="19" t="s">
        <v>7314</v>
      </c>
    </row>
    <row r="4380" spans="1:17" ht="24.9" customHeight="1">
      <c r="A4380" s="20"/>
      <c r="B4380" s="20" t="s">
        <v>5101</v>
      </c>
      <c r="C4380" s="19" t="s">
        <v>4325</v>
      </c>
      <c r="D4380" s="19" t="s">
        <v>4672</v>
      </c>
      <c r="E4380" s="19" t="str">
        <f>VLOOKUP(D4380,'لیست پرسنل'!$B$2:$E$1020,3,FALSE)</f>
        <v>فکورصنعت</v>
      </c>
      <c r="F4380" s="19" t="str">
        <f>VLOOKUP(D4380,'لیست پرسنل'!$B$2:$E$1020,4,FALSE)</f>
        <v>مدیریت</v>
      </c>
      <c r="G4380" s="127">
        <f>VLOOKUP(D4380,'لیست پرسنل'!$B$2:$F$1020,2,FALSE)</f>
        <v>4010303</v>
      </c>
      <c r="H4380" s="126" t="s">
        <v>7045</v>
      </c>
      <c r="I4380" s="127" t="s">
        <v>4325</v>
      </c>
      <c r="J4380" s="128" t="s">
        <v>737</v>
      </c>
      <c r="K4380" s="128" t="s">
        <v>2031</v>
      </c>
      <c r="L4380" s="127" t="s">
        <v>2897</v>
      </c>
      <c r="M4380" s="127">
        <v>633770</v>
      </c>
      <c r="N4380" s="109"/>
      <c r="O4380" s="19" t="s">
        <v>6417</v>
      </c>
      <c r="P4380" s="19" t="s">
        <v>5228</v>
      </c>
      <c r="Q4380" s="19" t="s">
        <v>7314</v>
      </c>
    </row>
    <row r="4381" spans="1:17" ht="24.9" customHeight="1">
      <c r="A4381" s="20"/>
      <c r="B4381" s="20" t="s">
        <v>5101</v>
      </c>
      <c r="C4381" s="19" t="s">
        <v>4325</v>
      </c>
      <c r="D4381" s="19" t="s">
        <v>4672</v>
      </c>
      <c r="E4381" s="19" t="str">
        <f>VLOOKUP(D4381,'لیست پرسنل'!$B$2:$E$1020,3,FALSE)</f>
        <v>فکورصنعت</v>
      </c>
      <c r="F4381" s="19" t="str">
        <f>VLOOKUP(D4381,'لیست پرسنل'!$B$2:$E$1020,4,FALSE)</f>
        <v>مدیریت</v>
      </c>
      <c r="G4381" s="127">
        <f>VLOOKUP(D4381,'لیست پرسنل'!$B$2:$F$1020,2,FALSE)</f>
        <v>4010303</v>
      </c>
      <c r="H4381" s="126" t="s">
        <v>7045</v>
      </c>
      <c r="I4381" s="127" t="s">
        <v>4325</v>
      </c>
      <c r="J4381" s="128" t="s">
        <v>737</v>
      </c>
      <c r="K4381" s="128" t="s">
        <v>1604</v>
      </c>
      <c r="L4381" s="127">
        <v>13030042</v>
      </c>
      <c r="M4381" s="127">
        <v>633773</v>
      </c>
      <c r="N4381" s="109"/>
      <c r="O4381" s="19" t="s">
        <v>6421</v>
      </c>
      <c r="P4381" s="19" t="s">
        <v>5228</v>
      </c>
      <c r="Q4381" s="19" t="s">
        <v>7314</v>
      </c>
    </row>
    <row r="4382" spans="1:17" ht="24.9" customHeight="1">
      <c r="A4382" s="20"/>
      <c r="B4382" s="20" t="s">
        <v>5101</v>
      </c>
      <c r="C4382" s="19" t="s">
        <v>4325</v>
      </c>
      <c r="D4382" s="19" t="s">
        <v>4672</v>
      </c>
      <c r="E4382" s="19" t="str">
        <f>VLOOKUP(D4382,'لیست پرسنل'!$B$2:$E$1020,3,FALSE)</f>
        <v>فکورصنعت</v>
      </c>
      <c r="F4382" s="19" t="str">
        <f>VLOOKUP(D4382,'لیست پرسنل'!$B$2:$E$1020,4,FALSE)</f>
        <v>مدیریت</v>
      </c>
      <c r="G4382" s="127">
        <f>VLOOKUP(D4382,'لیست پرسنل'!$B$2:$F$1020,2,FALSE)</f>
        <v>4010303</v>
      </c>
      <c r="H4382" s="126" t="s">
        <v>7045</v>
      </c>
      <c r="I4382" s="127" t="s">
        <v>4325</v>
      </c>
      <c r="J4382" s="128" t="s">
        <v>368</v>
      </c>
      <c r="K4382" s="128" t="s">
        <v>2846</v>
      </c>
      <c r="L4382" s="128" t="s">
        <v>4873</v>
      </c>
      <c r="M4382" s="127">
        <v>633764</v>
      </c>
      <c r="N4382" s="109"/>
      <c r="O4382" s="19" t="s">
        <v>6390</v>
      </c>
      <c r="P4382" s="19" t="s">
        <v>5228</v>
      </c>
      <c r="Q4382" s="19" t="s">
        <v>7314</v>
      </c>
    </row>
    <row r="4383" spans="1:17" ht="24.9" customHeight="1">
      <c r="A4383" s="20"/>
      <c r="B4383" s="20" t="s">
        <v>5101</v>
      </c>
      <c r="C4383" s="19" t="s">
        <v>4325</v>
      </c>
      <c r="D4383" s="19" t="s">
        <v>4672</v>
      </c>
      <c r="E4383" s="19" t="str">
        <f>VLOOKUP(D4383,'لیست پرسنل'!$B$2:$E$1020,3,FALSE)</f>
        <v>فکورصنعت</v>
      </c>
      <c r="F4383" s="19" t="str">
        <f>VLOOKUP(D4383,'لیست پرسنل'!$B$2:$E$1020,4,FALSE)</f>
        <v>مدیریت</v>
      </c>
      <c r="G4383" s="127">
        <f>VLOOKUP(D4383,'لیست پرسنل'!$B$2:$F$1020,2,FALSE)</f>
        <v>4010303</v>
      </c>
      <c r="H4383" s="126" t="s">
        <v>7045</v>
      </c>
      <c r="I4383" s="127" t="s">
        <v>4325</v>
      </c>
      <c r="J4383" s="127" t="s">
        <v>571</v>
      </c>
      <c r="K4383" s="127" t="s">
        <v>6588</v>
      </c>
      <c r="L4383" s="127"/>
      <c r="M4383" s="127">
        <v>632458</v>
      </c>
      <c r="N4383" s="109"/>
      <c r="O4383" s="19"/>
      <c r="P4383" s="19" t="s">
        <v>5228</v>
      </c>
      <c r="Q4383" s="19" t="s">
        <v>7314</v>
      </c>
    </row>
    <row r="4384" spans="1:17" ht="24.9" customHeight="1">
      <c r="A4384" s="20"/>
      <c r="B4384" s="20" t="s">
        <v>5101</v>
      </c>
      <c r="C4384" s="19" t="s">
        <v>4325</v>
      </c>
      <c r="D4384" s="19" t="s">
        <v>4672</v>
      </c>
      <c r="E4384" s="19" t="str">
        <f>VLOOKUP(D4384,'لیست پرسنل'!$B$2:$E$1020,3,FALSE)</f>
        <v>فکورصنعت</v>
      </c>
      <c r="F4384" s="19" t="str">
        <f>VLOOKUP(D4384,'لیست پرسنل'!$B$2:$E$1020,4,FALSE)</f>
        <v>مدیریت</v>
      </c>
      <c r="G4384" s="127">
        <f>VLOOKUP(D4384,'لیست پرسنل'!$B$2:$F$1020,2,FALSE)</f>
        <v>4010303</v>
      </c>
      <c r="H4384" s="126" t="s">
        <v>7045</v>
      </c>
      <c r="I4384" s="127" t="s">
        <v>4325</v>
      </c>
      <c r="J4384" s="127" t="s">
        <v>5618</v>
      </c>
      <c r="K4384" s="127" t="s">
        <v>8115</v>
      </c>
      <c r="L4384" s="127" t="s">
        <v>7223</v>
      </c>
      <c r="M4384" s="128">
        <v>632797</v>
      </c>
      <c r="N4384" s="109"/>
      <c r="O4384" s="19"/>
      <c r="P4384" s="19" t="s">
        <v>5228</v>
      </c>
      <c r="Q4384" s="19" t="s">
        <v>7314</v>
      </c>
    </row>
    <row r="4385" spans="1:17" ht="24.9" customHeight="1">
      <c r="A4385" s="20"/>
      <c r="B4385" s="20" t="s">
        <v>5101</v>
      </c>
      <c r="C4385" s="19" t="s">
        <v>4325</v>
      </c>
      <c r="D4385" s="20" t="s">
        <v>6222</v>
      </c>
      <c r="E4385" s="19" t="str">
        <f>VLOOKUP(D4385,'لیست پرسنل'!$B$2:$E$1020,3,FALSE)</f>
        <v>فکورصنعت</v>
      </c>
      <c r="F4385" s="19" t="str">
        <f>VLOOKUP(D4385,'لیست پرسنل'!$B$2:$E$1020,4,FALSE)</f>
        <v>مدیر سایت پیشران</v>
      </c>
      <c r="G4385" s="127">
        <f>VLOOKUP(D4385,'لیست پرسنل'!$B$2:$F$1020,2,FALSE)</f>
        <v>4020707</v>
      </c>
      <c r="H4385" s="126" t="s">
        <v>6493</v>
      </c>
      <c r="I4385" s="127" t="s">
        <v>4325</v>
      </c>
      <c r="J4385" s="126" t="s">
        <v>5366</v>
      </c>
      <c r="K4385" s="128" t="s">
        <v>6492</v>
      </c>
      <c r="L4385" s="128" t="s">
        <v>6491</v>
      </c>
      <c r="M4385" s="128">
        <v>623242</v>
      </c>
      <c r="N4385" s="108"/>
      <c r="O4385" s="20"/>
      <c r="P4385" s="19" t="s">
        <v>5228</v>
      </c>
      <c r="Q4385" s="19" t="s">
        <v>7314</v>
      </c>
    </row>
    <row r="4386" spans="1:17" ht="24.9" customHeight="1">
      <c r="A4386" s="20"/>
      <c r="B4386" s="20" t="s">
        <v>5101</v>
      </c>
      <c r="C4386" s="19" t="s">
        <v>4325</v>
      </c>
      <c r="D4386" s="20" t="s">
        <v>6222</v>
      </c>
      <c r="E4386" s="19" t="str">
        <f>VLOOKUP(D4386,'لیست پرسنل'!$B$2:$E$1020,3,FALSE)</f>
        <v>فکورصنعت</v>
      </c>
      <c r="F4386" s="19" t="str">
        <f>VLOOKUP(D4386,'لیست پرسنل'!$B$2:$E$1020,4,FALSE)</f>
        <v>مدیر سایت پیشران</v>
      </c>
      <c r="G4386" s="127">
        <f>VLOOKUP(D4386,'لیست پرسنل'!$B$2:$F$1020,2,FALSE)</f>
        <v>4020707</v>
      </c>
      <c r="H4386" s="126" t="s">
        <v>6493</v>
      </c>
      <c r="I4386" s="127" t="s">
        <v>4325</v>
      </c>
      <c r="J4386" s="127" t="s">
        <v>3481</v>
      </c>
      <c r="K4386" s="127" t="s">
        <v>6138</v>
      </c>
      <c r="L4386" s="127" t="s">
        <v>6136</v>
      </c>
      <c r="M4386" s="128">
        <v>632778</v>
      </c>
      <c r="N4386" s="109" t="s">
        <v>6130</v>
      </c>
      <c r="O4386" s="85" t="s">
        <v>6139</v>
      </c>
      <c r="P4386" s="19" t="s">
        <v>5228</v>
      </c>
      <c r="Q4386" s="19" t="s">
        <v>7314</v>
      </c>
    </row>
    <row r="4387" spans="1:17" ht="24.9" customHeight="1">
      <c r="A4387" s="20"/>
      <c r="B4387" s="20" t="s">
        <v>5101</v>
      </c>
      <c r="C4387" s="19" t="s">
        <v>4325</v>
      </c>
      <c r="D4387" s="20" t="s">
        <v>6222</v>
      </c>
      <c r="E4387" s="19" t="str">
        <f>VLOOKUP(D4387,'لیست پرسنل'!$B$2:$E$1020,3,FALSE)</f>
        <v>فکورصنعت</v>
      </c>
      <c r="F4387" s="19" t="str">
        <f>VLOOKUP(D4387,'لیست پرسنل'!$B$2:$E$1020,4,FALSE)</f>
        <v>مدیر سایت پیشران</v>
      </c>
      <c r="G4387" s="127">
        <f>VLOOKUP(D4387,'لیست پرسنل'!$B$2:$F$1020,2,FALSE)</f>
        <v>4020707</v>
      </c>
      <c r="H4387" s="126" t="s">
        <v>6493</v>
      </c>
      <c r="I4387" s="127" t="s">
        <v>4325</v>
      </c>
      <c r="J4387" s="127" t="s">
        <v>3481</v>
      </c>
      <c r="K4387" s="127" t="s">
        <v>6138</v>
      </c>
      <c r="L4387" s="127" t="s">
        <v>6137</v>
      </c>
      <c r="M4387" s="128">
        <v>632779</v>
      </c>
      <c r="N4387" s="109" t="s">
        <v>6130</v>
      </c>
      <c r="O4387" s="19" t="s">
        <v>6139</v>
      </c>
      <c r="P4387" s="19" t="s">
        <v>5228</v>
      </c>
      <c r="Q4387" s="19" t="s">
        <v>7314</v>
      </c>
    </row>
    <row r="4388" spans="1:17" ht="24.9" customHeight="1">
      <c r="A4388" s="20"/>
      <c r="B4388" s="20" t="s">
        <v>5101</v>
      </c>
      <c r="C4388" s="19" t="s">
        <v>4325</v>
      </c>
      <c r="D4388" s="20" t="s">
        <v>6222</v>
      </c>
      <c r="E4388" s="19" t="str">
        <f>VLOOKUP(D4388,'لیست پرسنل'!$B$2:$E$1020,3,FALSE)</f>
        <v>فکورصنعت</v>
      </c>
      <c r="F4388" s="19" t="str">
        <f>VLOOKUP(D4388,'لیست پرسنل'!$B$2:$E$1020,4,FALSE)</f>
        <v>مدیر سایت پیشران</v>
      </c>
      <c r="G4388" s="127">
        <f>VLOOKUP(D4388,'لیست پرسنل'!$B$2:$F$1020,2,FALSE)</f>
        <v>4020707</v>
      </c>
      <c r="H4388" s="126" t="s">
        <v>6493</v>
      </c>
      <c r="I4388" s="127" t="s">
        <v>4325</v>
      </c>
      <c r="J4388" s="141" t="s">
        <v>1977</v>
      </c>
      <c r="K4388" s="128" t="s">
        <v>6194</v>
      </c>
      <c r="L4388" s="159"/>
      <c r="M4388" s="128" t="s">
        <v>291</v>
      </c>
      <c r="N4388" s="108"/>
      <c r="O4388" s="31"/>
      <c r="P4388" s="19" t="s">
        <v>5228</v>
      </c>
      <c r="Q4388" s="19" t="s">
        <v>7314</v>
      </c>
    </row>
    <row r="4389" spans="1:17" ht="24.9" customHeight="1">
      <c r="A4389" s="20"/>
      <c r="B4389" s="20" t="s">
        <v>5101</v>
      </c>
      <c r="C4389" s="19" t="s">
        <v>4325</v>
      </c>
      <c r="D4389" s="19" t="s">
        <v>6214</v>
      </c>
      <c r="E4389" s="19" t="str">
        <f>VLOOKUP(D4389,'لیست پرسنل'!$B$2:$E$1020,3,FALSE)</f>
        <v>فکورصنعت</v>
      </c>
      <c r="F4389" s="19" t="str">
        <f>VLOOKUP(D4389,'لیست پرسنل'!$B$2:$E$1020,4,FALSE)</f>
        <v>مدیر سایت</v>
      </c>
      <c r="G4389" s="127">
        <f>VLOOKUP(D4389,'لیست پرسنل'!$B$2:$F$1020,2,FALSE)</f>
        <v>4030101</v>
      </c>
      <c r="H4389" s="126" t="s">
        <v>7045</v>
      </c>
      <c r="I4389" s="127" t="s">
        <v>4325</v>
      </c>
      <c r="J4389" s="126" t="s">
        <v>368</v>
      </c>
      <c r="K4389" s="128" t="s">
        <v>2846</v>
      </c>
      <c r="L4389" s="127" t="s">
        <v>1366</v>
      </c>
      <c r="M4389" s="127">
        <v>633746</v>
      </c>
      <c r="N4389" s="109"/>
      <c r="O4389" s="19" t="s">
        <v>6401</v>
      </c>
      <c r="P4389" s="19" t="s">
        <v>5228</v>
      </c>
      <c r="Q4389" s="19" t="s">
        <v>7314</v>
      </c>
    </row>
    <row r="4390" spans="1:17" ht="24.9" customHeight="1">
      <c r="A4390" s="20"/>
      <c r="B4390" s="20" t="s">
        <v>5101</v>
      </c>
      <c r="C4390" s="19" t="s">
        <v>4325</v>
      </c>
      <c r="D4390" s="20" t="s">
        <v>6214</v>
      </c>
      <c r="E4390" s="19" t="str">
        <f>VLOOKUP(D4390,'لیست پرسنل'!$B$2:$E$1020,3,FALSE)</f>
        <v>فکورصنعت</v>
      </c>
      <c r="F4390" s="19" t="str">
        <f>VLOOKUP(D4390,'لیست پرسنل'!$B$2:$E$1020,4,FALSE)</f>
        <v>مدیر سایت</v>
      </c>
      <c r="G4390" s="127">
        <f>VLOOKUP(D4390,'لیست پرسنل'!$B$2:$F$1020,2,FALSE)</f>
        <v>4030101</v>
      </c>
      <c r="H4390" s="126" t="s">
        <v>7045</v>
      </c>
      <c r="I4390" s="127" t="s">
        <v>4325</v>
      </c>
      <c r="J4390" s="127" t="s">
        <v>2886</v>
      </c>
      <c r="K4390" s="127" t="s">
        <v>3118</v>
      </c>
      <c r="L4390" s="128" t="s">
        <v>7136</v>
      </c>
      <c r="M4390" s="128" t="s">
        <v>291</v>
      </c>
      <c r="N4390" s="109"/>
      <c r="O4390" s="19"/>
      <c r="P4390" s="19" t="s">
        <v>5228</v>
      </c>
      <c r="Q4390" s="19" t="s">
        <v>7314</v>
      </c>
    </row>
    <row r="4391" spans="1:17" ht="24.9" customHeight="1">
      <c r="A4391" s="20"/>
      <c r="B4391" s="20" t="s">
        <v>5101</v>
      </c>
      <c r="C4391" s="19" t="s">
        <v>4325</v>
      </c>
      <c r="D4391" s="19" t="s">
        <v>6214</v>
      </c>
      <c r="E4391" s="19" t="str">
        <f>VLOOKUP(D4391,'لیست پرسنل'!$B$2:$E$1020,3,FALSE)</f>
        <v>فکورصنعت</v>
      </c>
      <c r="F4391" s="19" t="str">
        <f>VLOOKUP(D4391,'لیست پرسنل'!$B$2:$E$1020,4,FALSE)</f>
        <v>مدیر سایت</v>
      </c>
      <c r="G4391" s="127">
        <f>VLOOKUP(D4391,'لیست پرسنل'!$B$2:$F$1020,2,FALSE)</f>
        <v>4030101</v>
      </c>
      <c r="H4391" s="126" t="s">
        <v>7545</v>
      </c>
      <c r="I4391" s="127" t="s">
        <v>4325</v>
      </c>
      <c r="J4391" s="127" t="s">
        <v>3532</v>
      </c>
      <c r="K4391" s="128" t="s">
        <v>7519</v>
      </c>
      <c r="L4391" s="133" t="s">
        <v>7527</v>
      </c>
      <c r="M4391" s="127">
        <v>650426</v>
      </c>
      <c r="N4391" s="109"/>
      <c r="O4391" s="19"/>
      <c r="P4391" s="19"/>
      <c r="Q4391" s="19"/>
    </row>
    <row r="4392" spans="1:17" ht="24.9" customHeight="1">
      <c r="A4392" s="20"/>
      <c r="B4392" s="20" t="s">
        <v>5101</v>
      </c>
      <c r="C4392" s="19" t="s">
        <v>4325</v>
      </c>
      <c r="D4392" s="19" t="s">
        <v>6210</v>
      </c>
      <c r="E4392" s="19" t="str">
        <f>VLOOKUP(D4392,'لیست پرسنل'!$B$2:$E$1020,3,FALSE)</f>
        <v>فکورصنعت</v>
      </c>
      <c r="F4392" s="19" t="str">
        <f>VLOOKUP(D4392,'لیست پرسنل'!$B$2:$E$1020,4,FALSE)</f>
        <v>کنترل پروژه</v>
      </c>
      <c r="G4392" s="127">
        <f>VLOOKUP(D4392,'لیست پرسنل'!$B$2:$F$1020,2,FALSE)</f>
        <v>4010404</v>
      </c>
      <c r="H4392" s="126" t="s">
        <v>7045</v>
      </c>
      <c r="I4392" s="127" t="s">
        <v>4325</v>
      </c>
      <c r="J4392" s="128" t="s">
        <v>737</v>
      </c>
      <c r="K4392" s="128" t="s">
        <v>1382</v>
      </c>
      <c r="L4392" s="127" t="s">
        <v>1591</v>
      </c>
      <c r="M4392" s="127">
        <v>633775</v>
      </c>
      <c r="N4392" s="109"/>
      <c r="O4392" s="19" t="s">
        <v>6423</v>
      </c>
      <c r="P4392" s="19" t="s">
        <v>5228</v>
      </c>
      <c r="Q4392" s="19" t="s">
        <v>7314</v>
      </c>
    </row>
    <row r="4393" spans="1:17" ht="24.9" customHeight="1">
      <c r="A4393" s="20"/>
      <c r="B4393" s="20" t="s">
        <v>5101</v>
      </c>
      <c r="C4393" s="19" t="s">
        <v>4325</v>
      </c>
      <c r="D4393" s="19" t="s">
        <v>6210</v>
      </c>
      <c r="E4393" s="19" t="str">
        <f>VLOOKUP(D4393,'لیست پرسنل'!$B$2:$E$1020,3,FALSE)</f>
        <v>فکورصنعت</v>
      </c>
      <c r="F4393" s="19" t="str">
        <f>VLOOKUP(D4393,'لیست پرسنل'!$B$2:$E$1020,4,FALSE)</f>
        <v>کنترل پروژه</v>
      </c>
      <c r="G4393" s="127">
        <f>VLOOKUP(D4393,'لیست پرسنل'!$B$2:$F$1020,2,FALSE)</f>
        <v>4010404</v>
      </c>
      <c r="H4393" s="126" t="s">
        <v>7045</v>
      </c>
      <c r="I4393" s="127" t="s">
        <v>4325</v>
      </c>
      <c r="J4393" s="126" t="s">
        <v>368</v>
      </c>
      <c r="K4393" s="128" t="s">
        <v>2846</v>
      </c>
      <c r="L4393" s="127" t="s">
        <v>4838</v>
      </c>
      <c r="M4393" s="127">
        <v>633740</v>
      </c>
      <c r="N4393" s="109"/>
      <c r="O4393" s="19" t="s">
        <v>6396</v>
      </c>
      <c r="P4393" s="19" t="s">
        <v>5228</v>
      </c>
      <c r="Q4393" s="19" t="s">
        <v>7314</v>
      </c>
    </row>
    <row r="4394" spans="1:17" ht="24.9" customHeight="1">
      <c r="A4394" s="20"/>
      <c r="B4394" s="20" t="s">
        <v>5101</v>
      </c>
      <c r="C4394" s="19" t="s">
        <v>4325</v>
      </c>
      <c r="D4394" s="20" t="s">
        <v>6210</v>
      </c>
      <c r="E4394" s="19" t="str">
        <f>VLOOKUP(D4394,'لیست پرسنل'!$B$2:$E$1020,3,FALSE)</f>
        <v>فکورصنعت</v>
      </c>
      <c r="F4394" s="19" t="str">
        <f>VLOOKUP(D4394,'لیست پرسنل'!$B$2:$E$1020,4,FALSE)</f>
        <v>کنترل پروژه</v>
      </c>
      <c r="G4394" s="127">
        <f>VLOOKUP(D4394,'لیست پرسنل'!$B$2:$F$1020,2,FALSE)</f>
        <v>4010404</v>
      </c>
      <c r="H4394" s="126" t="s">
        <v>7045</v>
      </c>
      <c r="I4394" s="127" t="s">
        <v>4325</v>
      </c>
      <c r="J4394" s="128" t="s">
        <v>885</v>
      </c>
      <c r="K4394" s="127" t="s">
        <v>6685</v>
      </c>
      <c r="L4394" s="127"/>
      <c r="M4394" s="128">
        <v>620804</v>
      </c>
      <c r="N4394" s="109" t="s">
        <v>6684</v>
      </c>
      <c r="O4394" s="19"/>
      <c r="P4394" s="19" t="s">
        <v>5228</v>
      </c>
      <c r="Q4394" s="19" t="s">
        <v>7314</v>
      </c>
    </row>
    <row r="4395" spans="1:17" ht="24.9" customHeight="1">
      <c r="A4395" s="20"/>
      <c r="B4395" s="20" t="s">
        <v>5101</v>
      </c>
      <c r="C4395" s="19" t="s">
        <v>4325</v>
      </c>
      <c r="D4395" s="20" t="s">
        <v>6210</v>
      </c>
      <c r="E4395" s="19" t="str">
        <f>VLOOKUP(D4395,'لیست پرسنل'!$B$2:$E$1020,3,FALSE)</f>
        <v>فکورصنعت</v>
      </c>
      <c r="F4395" s="19" t="str">
        <f>VLOOKUP(D4395,'لیست پرسنل'!$B$2:$E$1020,4,FALSE)</f>
        <v>کنترل پروژه</v>
      </c>
      <c r="G4395" s="127">
        <f>VLOOKUP(D4395,'لیست پرسنل'!$B$2:$F$1020,2,FALSE)</f>
        <v>4010404</v>
      </c>
      <c r="H4395" s="126" t="s">
        <v>7045</v>
      </c>
      <c r="I4395" s="127" t="s">
        <v>4325</v>
      </c>
      <c r="J4395" s="128" t="s">
        <v>885</v>
      </c>
      <c r="K4395" s="128" t="s">
        <v>1461</v>
      </c>
      <c r="L4395" s="127" t="s">
        <v>1460</v>
      </c>
      <c r="M4395" s="127">
        <v>43000194</v>
      </c>
      <c r="N4395" s="109" t="s">
        <v>6684</v>
      </c>
      <c r="O4395" s="19" t="s">
        <v>4887</v>
      </c>
      <c r="P4395" s="19" t="s">
        <v>5228</v>
      </c>
      <c r="Q4395" s="19" t="s">
        <v>7314</v>
      </c>
    </row>
    <row r="4396" spans="1:17" ht="24.9" customHeight="1">
      <c r="A4396" s="20"/>
      <c r="B4396" s="20" t="s">
        <v>5101</v>
      </c>
      <c r="C4396" s="19" t="s">
        <v>4325</v>
      </c>
      <c r="D4396" s="20" t="s">
        <v>6210</v>
      </c>
      <c r="E4396" s="19" t="str">
        <f>VLOOKUP(D4396,'لیست پرسنل'!$B$2:$E$1020,3,FALSE)</f>
        <v>فکورصنعت</v>
      </c>
      <c r="F4396" s="19" t="str">
        <f>VLOOKUP(D4396,'لیست پرسنل'!$B$2:$E$1020,4,FALSE)</f>
        <v>کنترل پروژه</v>
      </c>
      <c r="G4396" s="127">
        <f>VLOOKUP(D4396,'لیست پرسنل'!$B$2:$F$1020,2,FALSE)</f>
        <v>4010404</v>
      </c>
      <c r="H4396" s="126" t="s">
        <v>7045</v>
      </c>
      <c r="I4396" s="127" t="s">
        <v>4325</v>
      </c>
      <c r="J4396" s="127" t="s">
        <v>571</v>
      </c>
      <c r="K4396" s="127" t="s">
        <v>1513</v>
      </c>
      <c r="L4396" s="127"/>
      <c r="M4396" s="128">
        <v>632790</v>
      </c>
      <c r="N4396" s="109"/>
      <c r="O4396" s="19"/>
      <c r="P4396" s="19" t="s">
        <v>5228</v>
      </c>
      <c r="Q4396" s="19" t="s">
        <v>7314</v>
      </c>
    </row>
    <row r="4397" spans="1:17" ht="24.9" customHeight="1">
      <c r="A4397" s="20"/>
      <c r="B4397" s="20" t="s">
        <v>5101</v>
      </c>
      <c r="C4397" s="19" t="s">
        <v>4325</v>
      </c>
      <c r="D4397" s="20" t="s">
        <v>6210</v>
      </c>
      <c r="E4397" s="19" t="str">
        <f>VLOOKUP(D4397,'لیست پرسنل'!$B$2:$E$1020,3,FALSE)</f>
        <v>فکورصنعت</v>
      </c>
      <c r="F4397" s="19" t="str">
        <f>VLOOKUP(D4397,'لیست پرسنل'!$B$2:$E$1020,4,FALSE)</f>
        <v>کنترل پروژه</v>
      </c>
      <c r="G4397" s="127">
        <f>VLOOKUP(D4397,'لیست پرسنل'!$B$2:$F$1020,2,FALSE)</f>
        <v>4010404</v>
      </c>
      <c r="H4397" s="126" t="s">
        <v>7045</v>
      </c>
      <c r="I4397" s="127" t="s">
        <v>4325</v>
      </c>
      <c r="J4397" s="127" t="s">
        <v>5618</v>
      </c>
      <c r="K4397" s="127" t="s">
        <v>8115</v>
      </c>
      <c r="L4397" s="127" t="s">
        <v>6215</v>
      </c>
      <c r="M4397" s="128">
        <v>632794</v>
      </c>
      <c r="N4397" s="109"/>
      <c r="O4397" s="19"/>
      <c r="P4397" s="19" t="s">
        <v>5228</v>
      </c>
      <c r="Q4397" s="19" t="s">
        <v>7314</v>
      </c>
    </row>
    <row r="4398" spans="1:17" ht="24.9" customHeight="1">
      <c r="A4398" s="20"/>
      <c r="B4398" s="20" t="s">
        <v>5101</v>
      </c>
      <c r="C4398" s="19" t="s">
        <v>4325</v>
      </c>
      <c r="D4398" s="20" t="s">
        <v>6216</v>
      </c>
      <c r="E4398" s="19" t="str">
        <f>VLOOKUP(D4398,'لیست پرسنل'!$B$2:$E$1020,3,FALSE)</f>
        <v>فکورصنعت</v>
      </c>
      <c r="F4398" s="19">
        <f>VLOOKUP(D4398,'لیست پرسنل'!$B$2:$E$1020,4,FALSE)</f>
        <v>0</v>
      </c>
      <c r="G4398" s="127">
        <f>VLOOKUP(D4398,'لیست پرسنل'!$B$2:$F$1020,2,FALSE)</f>
        <v>0</v>
      </c>
      <c r="H4398" s="126" t="s">
        <v>6493</v>
      </c>
      <c r="I4398" s="127" t="s">
        <v>4325</v>
      </c>
      <c r="J4398" s="127" t="s">
        <v>571</v>
      </c>
      <c r="K4398" s="127" t="s">
        <v>1513</v>
      </c>
      <c r="L4398" s="127"/>
      <c r="M4398" s="128">
        <v>632792</v>
      </c>
      <c r="N4398" s="109"/>
      <c r="O4398" s="19"/>
      <c r="P4398" s="19" t="s">
        <v>5228</v>
      </c>
      <c r="Q4398" s="19" t="s">
        <v>7314</v>
      </c>
    </row>
    <row r="4399" spans="1:17" ht="24.9" customHeight="1">
      <c r="A4399" s="20"/>
      <c r="B4399" s="20" t="s">
        <v>5101</v>
      </c>
      <c r="C4399" s="19" t="s">
        <v>4325</v>
      </c>
      <c r="D4399" s="20" t="s">
        <v>6216</v>
      </c>
      <c r="E4399" s="19" t="str">
        <f>VLOOKUP(D4399,'لیست پرسنل'!$B$2:$E$1020,3,FALSE)</f>
        <v>فکورصنعت</v>
      </c>
      <c r="F4399" s="19">
        <f>VLOOKUP(D4399,'لیست پرسنل'!$B$2:$E$1020,4,FALSE)</f>
        <v>0</v>
      </c>
      <c r="G4399" s="127">
        <f>VLOOKUP(D4399,'لیست پرسنل'!$B$2:$F$1020,2,FALSE)</f>
        <v>0</v>
      </c>
      <c r="H4399" s="126" t="s">
        <v>6493</v>
      </c>
      <c r="I4399" s="127" t="s">
        <v>4325</v>
      </c>
      <c r="J4399" s="127" t="s">
        <v>5618</v>
      </c>
      <c r="K4399" s="127" t="s">
        <v>8115</v>
      </c>
      <c r="L4399" s="127" t="s">
        <v>6217</v>
      </c>
      <c r="M4399" s="128">
        <v>632795</v>
      </c>
      <c r="N4399" s="109"/>
      <c r="O4399" s="19"/>
      <c r="P4399" s="19" t="s">
        <v>5228</v>
      </c>
      <c r="Q4399" s="19" t="s">
        <v>7314</v>
      </c>
    </row>
    <row r="4400" spans="1:17" ht="24.9" customHeight="1">
      <c r="A4400" s="20"/>
      <c r="B4400" s="20" t="s">
        <v>5101</v>
      </c>
      <c r="C4400" s="19" t="s">
        <v>4325</v>
      </c>
      <c r="D4400" s="20" t="s">
        <v>5445</v>
      </c>
      <c r="E4400" s="19" t="str">
        <f>VLOOKUP(D4400,'لیست پرسنل'!$B$2:$E$1020,3,FALSE)</f>
        <v>فکورصنعت</v>
      </c>
      <c r="F4400" s="19">
        <f>VLOOKUP(D4400,'لیست پرسنل'!$B$2:$E$1020,4,FALSE)</f>
        <v>0</v>
      </c>
      <c r="G4400" s="127" t="str">
        <f>VLOOKUP(D4400,'لیست پرسنل'!$B$2:$F$1020,2,FALSE)</f>
        <v>4020404</v>
      </c>
      <c r="H4400" s="126" t="s">
        <v>5906</v>
      </c>
      <c r="I4400" s="127" t="s">
        <v>4325</v>
      </c>
      <c r="J4400" s="127" t="s">
        <v>3481</v>
      </c>
      <c r="K4400" s="127" t="s">
        <v>5908</v>
      </c>
      <c r="L4400" s="127" t="s">
        <v>7011</v>
      </c>
      <c r="M4400" s="128" t="s">
        <v>291</v>
      </c>
      <c r="N4400" s="109"/>
      <c r="O4400" s="19"/>
      <c r="P4400" s="19" t="s">
        <v>5228</v>
      </c>
      <c r="Q4400" s="19" t="s">
        <v>7314</v>
      </c>
    </row>
    <row r="4401" spans="1:17" ht="24.9" customHeight="1">
      <c r="A4401" s="20"/>
      <c r="B4401" s="20" t="s">
        <v>5101</v>
      </c>
      <c r="C4401" s="19" t="s">
        <v>4325</v>
      </c>
      <c r="D4401" s="20" t="s">
        <v>5445</v>
      </c>
      <c r="E4401" s="19" t="str">
        <f>VLOOKUP(D4401,'لیست پرسنل'!$B$2:$E$1020,3,FALSE)</f>
        <v>فکورصنعت</v>
      </c>
      <c r="F4401" s="19">
        <f>VLOOKUP(D4401,'لیست پرسنل'!$B$2:$E$1020,4,FALSE)</f>
        <v>0</v>
      </c>
      <c r="G4401" s="127" t="str">
        <f>VLOOKUP(D4401,'لیست پرسنل'!$B$2:$F$1020,2,FALSE)</f>
        <v>4020404</v>
      </c>
      <c r="H4401" s="126" t="s">
        <v>5906</v>
      </c>
      <c r="I4401" s="127" t="s">
        <v>4325</v>
      </c>
      <c r="J4401" s="127" t="s">
        <v>3481</v>
      </c>
      <c r="K4401" s="127" t="s">
        <v>5907</v>
      </c>
      <c r="L4401" s="127" t="s">
        <v>7011</v>
      </c>
      <c r="M4401" s="128" t="s">
        <v>291</v>
      </c>
      <c r="N4401" s="109"/>
      <c r="O4401" s="19"/>
      <c r="P4401" s="19" t="s">
        <v>5228</v>
      </c>
      <c r="Q4401" s="19" t="s">
        <v>7314</v>
      </c>
    </row>
    <row r="4402" spans="1:17" ht="24.9" customHeight="1">
      <c r="A4402" s="20"/>
      <c r="B4402" s="20" t="s">
        <v>5101</v>
      </c>
      <c r="C4402" s="19" t="s">
        <v>4325</v>
      </c>
      <c r="D4402" s="20" t="s">
        <v>5445</v>
      </c>
      <c r="E4402" s="19" t="str">
        <f>VLOOKUP(D4402,'لیست پرسنل'!$B$2:$E$1020,3,FALSE)</f>
        <v>فکورصنعت</v>
      </c>
      <c r="F4402" s="19">
        <f>VLOOKUP(D4402,'لیست پرسنل'!$B$2:$E$1020,4,FALSE)</f>
        <v>0</v>
      </c>
      <c r="G4402" s="127" t="str">
        <f>VLOOKUP(D4402,'لیست پرسنل'!$B$2:$F$1020,2,FALSE)</f>
        <v>4020404</v>
      </c>
      <c r="H4402" s="126" t="s">
        <v>7083</v>
      </c>
      <c r="I4402" s="127" t="s">
        <v>4325</v>
      </c>
      <c r="J4402" s="126" t="s">
        <v>3322</v>
      </c>
      <c r="K4402" s="133" t="s">
        <v>5460</v>
      </c>
      <c r="L4402" s="128"/>
      <c r="M4402" s="128">
        <v>632751</v>
      </c>
      <c r="N4402" s="108"/>
      <c r="O4402" s="20"/>
      <c r="P4402" s="19" t="s">
        <v>5228</v>
      </c>
      <c r="Q4402" s="19" t="s">
        <v>7314</v>
      </c>
    </row>
    <row r="4403" spans="1:17" ht="24.9" customHeight="1">
      <c r="A4403" s="20"/>
      <c r="B4403" s="20" t="s">
        <v>5101</v>
      </c>
      <c r="C4403" s="19" t="s">
        <v>4325</v>
      </c>
      <c r="D4403" s="20" t="s">
        <v>5445</v>
      </c>
      <c r="E4403" s="19" t="str">
        <f>VLOOKUP(D4403,'لیست پرسنل'!$B$2:$E$1020,3,FALSE)</f>
        <v>فکورصنعت</v>
      </c>
      <c r="F4403" s="19">
        <f>VLOOKUP(D4403,'لیست پرسنل'!$B$2:$E$1020,4,FALSE)</f>
        <v>0</v>
      </c>
      <c r="G4403" s="127" t="str">
        <f>VLOOKUP(D4403,'لیست پرسنل'!$B$2:$F$1020,2,FALSE)</f>
        <v>4020404</v>
      </c>
      <c r="H4403" s="126" t="s">
        <v>7083</v>
      </c>
      <c r="I4403" s="127" t="s">
        <v>4325</v>
      </c>
      <c r="J4403" s="126" t="s">
        <v>3532</v>
      </c>
      <c r="K4403" s="128" t="s">
        <v>5462</v>
      </c>
      <c r="L4403" s="128"/>
      <c r="M4403" s="128">
        <v>631131</v>
      </c>
      <c r="N4403" s="108"/>
      <c r="O4403" s="20"/>
      <c r="P4403" s="19" t="s">
        <v>5228</v>
      </c>
      <c r="Q4403" s="19" t="s">
        <v>7314</v>
      </c>
    </row>
    <row r="4404" spans="1:17" ht="24.9" customHeight="1">
      <c r="A4404" s="20"/>
      <c r="B4404" s="20" t="s">
        <v>5101</v>
      </c>
      <c r="C4404" s="19" t="s">
        <v>4325</v>
      </c>
      <c r="D4404" s="20" t="s">
        <v>5445</v>
      </c>
      <c r="E4404" s="19" t="str">
        <f>VLOOKUP(D4404,'لیست پرسنل'!$B$2:$E$1020,3,FALSE)</f>
        <v>فکورصنعت</v>
      </c>
      <c r="F4404" s="19">
        <f>VLOOKUP(D4404,'لیست پرسنل'!$B$2:$E$1020,4,FALSE)</f>
        <v>0</v>
      </c>
      <c r="G4404" s="127" t="str">
        <f>VLOOKUP(D4404,'لیست پرسنل'!$B$2:$F$1020,2,FALSE)</f>
        <v>4020404</v>
      </c>
      <c r="H4404" s="126" t="s">
        <v>7083</v>
      </c>
      <c r="I4404" s="127" t="s">
        <v>4325</v>
      </c>
      <c r="J4404" s="126" t="s">
        <v>3532</v>
      </c>
      <c r="K4404" s="128" t="s">
        <v>5462</v>
      </c>
      <c r="L4404" s="128"/>
      <c r="M4404" s="128">
        <v>631132</v>
      </c>
      <c r="N4404" s="108"/>
      <c r="O4404" s="20"/>
      <c r="P4404" s="19" t="s">
        <v>5228</v>
      </c>
      <c r="Q4404" s="19" t="s">
        <v>7314</v>
      </c>
    </row>
    <row r="4405" spans="1:17" ht="24.9" customHeight="1">
      <c r="A4405" s="20"/>
      <c r="B4405" s="20" t="s">
        <v>5101</v>
      </c>
      <c r="C4405" s="19" t="s">
        <v>4325</v>
      </c>
      <c r="D4405" s="20" t="s">
        <v>5445</v>
      </c>
      <c r="E4405" s="19" t="str">
        <f>VLOOKUP(D4405,'لیست پرسنل'!$B$2:$E$1020,3,FALSE)</f>
        <v>فکورصنعت</v>
      </c>
      <c r="F4405" s="19">
        <f>VLOOKUP(D4405,'لیست پرسنل'!$B$2:$E$1020,4,FALSE)</f>
        <v>0</v>
      </c>
      <c r="G4405" s="127" t="str">
        <f>VLOOKUP(D4405,'لیست پرسنل'!$B$2:$F$1020,2,FALSE)</f>
        <v>4020404</v>
      </c>
      <c r="H4405" s="126" t="s">
        <v>7083</v>
      </c>
      <c r="I4405" s="127" t="s">
        <v>4325</v>
      </c>
      <c r="J4405" s="126" t="s">
        <v>737</v>
      </c>
      <c r="K4405" s="128" t="s">
        <v>2180</v>
      </c>
      <c r="L4405" s="128"/>
      <c r="M4405" s="128">
        <v>632752</v>
      </c>
      <c r="N4405" s="108"/>
      <c r="O4405" s="20"/>
      <c r="P4405" s="19" t="s">
        <v>5228</v>
      </c>
      <c r="Q4405" s="19" t="s">
        <v>7314</v>
      </c>
    </row>
    <row r="4406" spans="1:17" ht="24.9" customHeight="1">
      <c r="A4406" s="20"/>
      <c r="B4406" s="20" t="s">
        <v>5101</v>
      </c>
      <c r="C4406" s="19" t="s">
        <v>4325</v>
      </c>
      <c r="D4406" s="20" t="s">
        <v>5445</v>
      </c>
      <c r="E4406" s="19" t="str">
        <f>VLOOKUP(D4406,'لیست پرسنل'!$B$2:$E$1020,3,FALSE)</f>
        <v>فکورصنعت</v>
      </c>
      <c r="F4406" s="19">
        <f>VLOOKUP(D4406,'لیست پرسنل'!$B$2:$E$1020,4,FALSE)</f>
        <v>0</v>
      </c>
      <c r="G4406" s="127" t="str">
        <f>VLOOKUP(D4406,'لیست پرسنل'!$B$2:$F$1020,2,FALSE)</f>
        <v>4020404</v>
      </c>
      <c r="H4406" s="126" t="s">
        <v>7083</v>
      </c>
      <c r="I4406" s="127" t="s">
        <v>4325</v>
      </c>
      <c r="J4406" s="126" t="s">
        <v>737</v>
      </c>
      <c r="K4406" s="128" t="s">
        <v>2180</v>
      </c>
      <c r="L4406" s="128"/>
      <c r="M4406" s="128">
        <v>632753</v>
      </c>
      <c r="N4406" s="108"/>
      <c r="O4406" s="20"/>
      <c r="P4406" s="19" t="s">
        <v>5228</v>
      </c>
      <c r="Q4406" s="19" t="s">
        <v>7314</v>
      </c>
    </row>
    <row r="4407" spans="1:17" ht="24.9" customHeight="1">
      <c r="A4407" s="20"/>
      <c r="B4407" s="20" t="s">
        <v>5101</v>
      </c>
      <c r="C4407" s="19" t="s">
        <v>4325</v>
      </c>
      <c r="D4407" s="20" t="s">
        <v>5445</v>
      </c>
      <c r="E4407" s="19" t="str">
        <f>VLOOKUP(D4407,'لیست پرسنل'!$B$2:$E$1020,3,FALSE)</f>
        <v>فکورصنعت</v>
      </c>
      <c r="F4407" s="19">
        <f>VLOOKUP(D4407,'لیست پرسنل'!$B$2:$E$1020,4,FALSE)</f>
        <v>0</v>
      </c>
      <c r="G4407" s="127" t="str">
        <f>VLOOKUP(D4407,'لیست پرسنل'!$B$2:$F$1020,2,FALSE)</f>
        <v>4020404</v>
      </c>
      <c r="H4407" s="126" t="s">
        <v>7083</v>
      </c>
      <c r="I4407" s="127" t="s">
        <v>4325</v>
      </c>
      <c r="J4407" s="126" t="s">
        <v>737</v>
      </c>
      <c r="K4407" s="128" t="s">
        <v>5512</v>
      </c>
      <c r="L4407" s="128" t="s">
        <v>6908</v>
      </c>
      <c r="M4407" s="128">
        <v>632754</v>
      </c>
      <c r="N4407" s="108"/>
      <c r="O4407" s="20"/>
      <c r="P4407" s="19" t="s">
        <v>5228</v>
      </c>
      <c r="Q4407" s="19" t="s">
        <v>7314</v>
      </c>
    </row>
    <row r="4408" spans="1:17" ht="24.9" customHeight="1">
      <c r="A4408" s="20"/>
      <c r="B4408" s="20" t="s">
        <v>5101</v>
      </c>
      <c r="C4408" s="19" t="s">
        <v>4325</v>
      </c>
      <c r="D4408" s="20" t="s">
        <v>5445</v>
      </c>
      <c r="E4408" s="19" t="str">
        <f>VLOOKUP(D4408,'لیست پرسنل'!$B$2:$E$1020,3,FALSE)</f>
        <v>فکورصنعت</v>
      </c>
      <c r="F4408" s="19">
        <f>VLOOKUP(D4408,'لیست پرسنل'!$B$2:$E$1020,4,FALSE)</f>
        <v>0</v>
      </c>
      <c r="G4408" s="127" t="str">
        <f>VLOOKUP(D4408,'لیست پرسنل'!$B$2:$F$1020,2,FALSE)</f>
        <v>4020404</v>
      </c>
      <c r="H4408" s="126" t="s">
        <v>7083</v>
      </c>
      <c r="I4408" s="127" t="s">
        <v>4325</v>
      </c>
      <c r="J4408" s="126" t="s">
        <v>737</v>
      </c>
      <c r="K4408" s="128" t="s">
        <v>5512</v>
      </c>
      <c r="L4408" s="128"/>
      <c r="M4408" s="128">
        <v>632755</v>
      </c>
      <c r="N4408" s="108"/>
      <c r="O4408" s="20"/>
      <c r="P4408" s="19" t="s">
        <v>5228</v>
      </c>
      <c r="Q4408" s="19" t="s">
        <v>7314</v>
      </c>
    </row>
    <row r="4409" spans="1:17" ht="24.9" customHeight="1">
      <c r="A4409" s="20"/>
      <c r="B4409" s="20" t="s">
        <v>5101</v>
      </c>
      <c r="C4409" s="19" t="s">
        <v>4325</v>
      </c>
      <c r="D4409" s="20" t="s">
        <v>5445</v>
      </c>
      <c r="E4409" s="19" t="str">
        <f>VLOOKUP(D4409,'لیست پرسنل'!$B$2:$E$1020,3,FALSE)</f>
        <v>فکورصنعت</v>
      </c>
      <c r="F4409" s="19">
        <f>VLOOKUP(D4409,'لیست پرسنل'!$B$2:$E$1020,4,FALSE)</f>
        <v>0</v>
      </c>
      <c r="G4409" s="127" t="str">
        <f>VLOOKUP(D4409,'لیست پرسنل'!$B$2:$F$1020,2,FALSE)</f>
        <v>4020404</v>
      </c>
      <c r="H4409" s="126" t="s">
        <v>7083</v>
      </c>
      <c r="I4409" s="127" t="s">
        <v>4325</v>
      </c>
      <c r="J4409" s="126" t="s">
        <v>737</v>
      </c>
      <c r="K4409" s="128" t="s">
        <v>5513</v>
      </c>
      <c r="L4409" s="127"/>
      <c r="M4409" s="128">
        <v>632756</v>
      </c>
      <c r="N4409" s="108"/>
      <c r="O4409" s="20"/>
      <c r="P4409" s="19" t="s">
        <v>5228</v>
      </c>
      <c r="Q4409" s="19" t="s">
        <v>7314</v>
      </c>
    </row>
    <row r="4410" spans="1:17" ht="24.9" customHeight="1">
      <c r="A4410" s="20"/>
      <c r="B4410" s="20" t="s">
        <v>5101</v>
      </c>
      <c r="C4410" s="19" t="s">
        <v>4325</v>
      </c>
      <c r="D4410" s="20" t="s">
        <v>5445</v>
      </c>
      <c r="E4410" s="19" t="str">
        <f>VLOOKUP(D4410,'لیست پرسنل'!$B$2:$E$1020,3,FALSE)</f>
        <v>فکورصنعت</v>
      </c>
      <c r="F4410" s="19">
        <f>VLOOKUP(D4410,'لیست پرسنل'!$B$2:$E$1020,4,FALSE)</f>
        <v>0</v>
      </c>
      <c r="G4410" s="127" t="str">
        <f>VLOOKUP(D4410,'لیست پرسنل'!$B$2:$F$1020,2,FALSE)</f>
        <v>4020404</v>
      </c>
      <c r="H4410" s="126" t="s">
        <v>7083</v>
      </c>
      <c r="I4410" s="127" t="s">
        <v>4325</v>
      </c>
      <c r="J4410" s="126" t="s">
        <v>368</v>
      </c>
      <c r="K4410" s="128" t="s">
        <v>2846</v>
      </c>
      <c r="L4410" s="127"/>
      <c r="M4410" s="128">
        <v>632757</v>
      </c>
      <c r="N4410" s="108"/>
      <c r="O4410" s="20"/>
      <c r="P4410" s="19" t="s">
        <v>5228</v>
      </c>
      <c r="Q4410" s="19" t="s">
        <v>7314</v>
      </c>
    </row>
    <row r="4411" spans="1:17" ht="24.9" customHeight="1">
      <c r="A4411" s="20"/>
      <c r="B4411" s="20" t="s">
        <v>5101</v>
      </c>
      <c r="C4411" s="19" t="s">
        <v>4325</v>
      </c>
      <c r="D4411" s="20" t="s">
        <v>5445</v>
      </c>
      <c r="E4411" s="19" t="str">
        <f>VLOOKUP(D4411,'لیست پرسنل'!$B$2:$E$1020,3,FALSE)</f>
        <v>فکورصنعت</v>
      </c>
      <c r="F4411" s="19">
        <f>VLOOKUP(D4411,'لیست پرسنل'!$B$2:$E$1020,4,FALSE)</f>
        <v>0</v>
      </c>
      <c r="G4411" s="127" t="str">
        <f>VLOOKUP(D4411,'لیست پرسنل'!$B$2:$F$1020,2,FALSE)</f>
        <v>4020404</v>
      </c>
      <c r="H4411" s="126" t="s">
        <v>7083</v>
      </c>
      <c r="I4411" s="127" t="s">
        <v>4325</v>
      </c>
      <c r="J4411" s="126" t="s">
        <v>368</v>
      </c>
      <c r="K4411" s="128" t="s">
        <v>2846</v>
      </c>
      <c r="L4411" s="127"/>
      <c r="M4411" s="128">
        <v>632758</v>
      </c>
      <c r="N4411" s="108"/>
      <c r="O4411" s="20"/>
      <c r="P4411" s="19" t="s">
        <v>5228</v>
      </c>
      <c r="Q4411" s="19" t="s">
        <v>7314</v>
      </c>
    </row>
    <row r="4412" spans="1:17" ht="24.9" customHeight="1">
      <c r="A4412" s="20"/>
      <c r="B4412" s="20" t="s">
        <v>5101</v>
      </c>
      <c r="C4412" s="19" t="s">
        <v>4325</v>
      </c>
      <c r="D4412" s="20" t="s">
        <v>5445</v>
      </c>
      <c r="E4412" s="19" t="str">
        <f>VLOOKUP(D4412,'لیست پرسنل'!$B$2:$E$1020,3,FALSE)</f>
        <v>فکورصنعت</v>
      </c>
      <c r="F4412" s="19">
        <f>VLOOKUP(D4412,'لیست پرسنل'!$B$2:$E$1020,4,FALSE)</f>
        <v>0</v>
      </c>
      <c r="G4412" s="127" t="str">
        <f>VLOOKUP(D4412,'لیست پرسنل'!$B$2:$F$1020,2,FALSE)</f>
        <v>4020404</v>
      </c>
      <c r="H4412" s="126" t="s">
        <v>7083</v>
      </c>
      <c r="I4412" s="127" t="s">
        <v>4325</v>
      </c>
      <c r="J4412" s="126" t="s">
        <v>368</v>
      </c>
      <c r="K4412" s="128" t="s">
        <v>2846</v>
      </c>
      <c r="L4412" s="127"/>
      <c r="M4412" s="128">
        <v>632759</v>
      </c>
      <c r="N4412" s="108"/>
      <c r="O4412" s="20"/>
      <c r="P4412" s="19" t="s">
        <v>5228</v>
      </c>
      <c r="Q4412" s="19" t="s">
        <v>7314</v>
      </c>
    </row>
    <row r="4413" spans="1:17" ht="24.9" customHeight="1">
      <c r="A4413" s="20"/>
      <c r="B4413" s="20" t="s">
        <v>5101</v>
      </c>
      <c r="C4413" s="19" t="s">
        <v>4325</v>
      </c>
      <c r="D4413" s="20" t="s">
        <v>5445</v>
      </c>
      <c r="E4413" s="19" t="str">
        <f>VLOOKUP(D4413,'لیست پرسنل'!$B$2:$E$1020,3,FALSE)</f>
        <v>فکورصنعت</v>
      </c>
      <c r="F4413" s="19">
        <f>VLOOKUP(D4413,'لیست پرسنل'!$B$2:$E$1020,4,FALSE)</f>
        <v>0</v>
      </c>
      <c r="G4413" s="127" t="str">
        <f>VLOOKUP(D4413,'لیست پرسنل'!$B$2:$F$1020,2,FALSE)</f>
        <v>4020404</v>
      </c>
      <c r="H4413" s="126" t="s">
        <v>7083</v>
      </c>
      <c r="I4413" s="127" t="s">
        <v>4325</v>
      </c>
      <c r="J4413" s="126" t="s">
        <v>368</v>
      </c>
      <c r="K4413" s="128" t="s">
        <v>2846</v>
      </c>
      <c r="L4413" s="128"/>
      <c r="M4413" s="128">
        <v>632760</v>
      </c>
      <c r="N4413" s="108"/>
      <c r="O4413" s="20"/>
      <c r="P4413" s="19" t="s">
        <v>5228</v>
      </c>
      <c r="Q4413" s="19" t="s">
        <v>7314</v>
      </c>
    </row>
    <row r="4414" spans="1:17" ht="24.9" customHeight="1">
      <c r="A4414" s="20"/>
      <c r="B4414" s="20" t="s">
        <v>5101</v>
      </c>
      <c r="C4414" s="19" t="s">
        <v>4325</v>
      </c>
      <c r="D4414" s="20" t="s">
        <v>5445</v>
      </c>
      <c r="E4414" s="19" t="str">
        <f>VLOOKUP(D4414,'لیست پرسنل'!$B$2:$E$1020,3,FALSE)</f>
        <v>فکورصنعت</v>
      </c>
      <c r="F4414" s="19">
        <f>VLOOKUP(D4414,'لیست پرسنل'!$B$2:$E$1020,4,FALSE)</f>
        <v>0</v>
      </c>
      <c r="G4414" s="127" t="str">
        <f>VLOOKUP(D4414,'لیست پرسنل'!$B$2:$F$1020,2,FALSE)</f>
        <v>4020404</v>
      </c>
      <c r="H4414" s="126" t="s">
        <v>7083</v>
      </c>
      <c r="I4414" s="127" t="s">
        <v>4325</v>
      </c>
      <c r="J4414" s="126" t="s">
        <v>368</v>
      </c>
      <c r="K4414" s="128" t="s">
        <v>2846</v>
      </c>
      <c r="L4414" s="128"/>
      <c r="M4414" s="128">
        <v>632761</v>
      </c>
      <c r="N4414" s="108"/>
      <c r="O4414" s="20"/>
      <c r="P4414" s="19" t="s">
        <v>5228</v>
      </c>
      <c r="Q4414" s="19" t="s">
        <v>7314</v>
      </c>
    </row>
    <row r="4415" spans="1:17" ht="24.9" customHeight="1">
      <c r="A4415" s="20"/>
      <c r="B4415" s="20" t="s">
        <v>5101</v>
      </c>
      <c r="C4415" s="19" t="s">
        <v>4325</v>
      </c>
      <c r="D4415" s="20" t="s">
        <v>5445</v>
      </c>
      <c r="E4415" s="19" t="str">
        <f>VLOOKUP(D4415,'لیست پرسنل'!$B$2:$E$1020,3,FALSE)</f>
        <v>فکورصنعت</v>
      </c>
      <c r="F4415" s="19">
        <f>VLOOKUP(D4415,'لیست پرسنل'!$B$2:$E$1020,4,FALSE)</f>
        <v>0</v>
      </c>
      <c r="G4415" s="127" t="str">
        <f>VLOOKUP(D4415,'لیست پرسنل'!$B$2:$F$1020,2,FALSE)</f>
        <v>4020404</v>
      </c>
      <c r="H4415" s="126" t="s">
        <v>7083</v>
      </c>
      <c r="I4415" s="127" t="s">
        <v>4325</v>
      </c>
      <c r="J4415" s="126" t="s">
        <v>368</v>
      </c>
      <c r="K4415" s="128" t="s">
        <v>2846</v>
      </c>
      <c r="L4415" s="127" t="s">
        <v>6900</v>
      </c>
      <c r="M4415" s="128">
        <v>632762</v>
      </c>
      <c r="N4415" s="108"/>
      <c r="O4415" s="20"/>
      <c r="P4415" s="19" t="s">
        <v>5228</v>
      </c>
      <c r="Q4415" s="19" t="s">
        <v>7314</v>
      </c>
    </row>
    <row r="4416" spans="1:17" ht="24.9" customHeight="1">
      <c r="A4416" s="20"/>
      <c r="B4416" s="20" t="s">
        <v>5101</v>
      </c>
      <c r="C4416" s="19" t="s">
        <v>4325</v>
      </c>
      <c r="D4416" s="20" t="s">
        <v>5445</v>
      </c>
      <c r="E4416" s="19" t="str">
        <f>VLOOKUP(D4416,'لیست پرسنل'!$B$2:$E$1020,3,FALSE)</f>
        <v>فکورصنعت</v>
      </c>
      <c r="F4416" s="19">
        <f>VLOOKUP(D4416,'لیست پرسنل'!$B$2:$E$1020,4,FALSE)</f>
        <v>0</v>
      </c>
      <c r="G4416" s="127" t="str">
        <f>VLOOKUP(D4416,'لیست پرسنل'!$B$2:$F$1020,2,FALSE)</f>
        <v>4020404</v>
      </c>
      <c r="H4416" s="126" t="s">
        <v>7083</v>
      </c>
      <c r="I4416" s="127" t="s">
        <v>4325</v>
      </c>
      <c r="J4416" s="126" t="s">
        <v>368</v>
      </c>
      <c r="K4416" s="128" t="s">
        <v>2846</v>
      </c>
      <c r="L4416" s="127" t="s">
        <v>6901</v>
      </c>
      <c r="M4416" s="128">
        <v>632763</v>
      </c>
      <c r="N4416" s="108"/>
      <c r="O4416" s="20"/>
      <c r="P4416" s="19" t="s">
        <v>5228</v>
      </c>
      <c r="Q4416" s="19" t="s">
        <v>7314</v>
      </c>
    </row>
    <row r="4417" spans="1:17" ht="24.9" customHeight="1">
      <c r="A4417" s="20"/>
      <c r="B4417" s="20" t="s">
        <v>5101</v>
      </c>
      <c r="C4417" s="19" t="s">
        <v>4325</v>
      </c>
      <c r="D4417" s="20" t="s">
        <v>5445</v>
      </c>
      <c r="E4417" s="19" t="str">
        <f>VLOOKUP(D4417,'لیست پرسنل'!$B$2:$E$1020,3,FALSE)</f>
        <v>فکورصنعت</v>
      </c>
      <c r="F4417" s="19">
        <f>VLOOKUP(D4417,'لیست پرسنل'!$B$2:$E$1020,4,FALSE)</f>
        <v>0</v>
      </c>
      <c r="G4417" s="127" t="str">
        <f>VLOOKUP(D4417,'لیست پرسنل'!$B$2:$F$1020,2,FALSE)</f>
        <v>4020404</v>
      </c>
      <c r="H4417" s="126" t="s">
        <v>7083</v>
      </c>
      <c r="I4417" s="127" t="s">
        <v>4325</v>
      </c>
      <c r="J4417" s="126" t="s">
        <v>368</v>
      </c>
      <c r="K4417" s="128" t="s">
        <v>2846</v>
      </c>
      <c r="L4417" s="127" t="s">
        <v>6902</v>
      </c>
      <c r="M4417" s="128">
        <v>632764</v>
      </c>
      <c r="N4417" s="108"/>
      <c r="O4417" s="20"/>
      <c r="P4417" s="19" t="s">
        <v>5228</v>
      </c>
      <c r="Q4417" s="19" t="s">
        <v>7314</v>
      </c>
    </row>
    <row r="4418" spans="1:17" ht="24.9" customHeight="1">
      <c r="A4418" s="20"/>
      <c r="B4418" s="20" t="s">
        <v>5101</v>
      </c>
      <c r="C4418" s="19" t="s">
        <v>4325</v>
      </c>
      <c r="D4418" s="20" t="s">
        <v>5445</v>
      </c>
      <c r="E4418" s="19" t="str">
        <f>VLOOKUP(D4418,'لیست پرسنل'!$B$2:$E$1020,3,FALSE)</f>
        <v>فکورصنعت</v>
      </c>
      <c r="F4418" s="19">
        <f>VLOOKUP(D4418,'لیست پرسنل'!$B$2:$E$1020,4,FALSE)</f>
        <v>0</v>
      </c>
      <c r="G4418" s="127" t="str">
        <f>VLOOKUP(D4418,'لیست پرسنل'!$B$2:$F$1020,2,FALSE)</f>
        <v>4020404</v>
      </c>
      <c r="H4418" s="126" t="s">
        <v>7083</v>
      </c>
      <c r="I4418" s="127" t="s">
        <v>4325</v>
      </c>
      <c r="J4418" s="126" t="s">
        <v>368</v>
      </c>
      <c r="K4418" s="128" t="s">
        <v>5461</v>
      </c>
      <c r="L4418" s="127" t="s">
        <v>6903</v>
      </c>
      <c r="M4418" s="128">
        <v>632765</v>
      </c>
      <c r="N4418" s="108"/>
      <c r="O4418" s="20"/>
      <c r="P4418" s="19" t="s">
        <v>5228</v>
      </c>
      <c r="Q4418" s="19" t="s">
        <v>7314</v>
      </c>
    </row>
    <row r="4419" spans="1:17" ht="24.9" customHeight="1">
      <c r="A4419" s="20"/>
      <c r="B4419" s="20" t="s">
        <v>5101</v>
      </c>
      <c r="C4419" s="19" t="s">
        <v>4325</v>
      </c>
      <c r="D4419" s="20" t="s">
        <v>5445</v>
      </c>
      <c r="E4419" s="19" t="str">
        <f>VLOOKUP(D4419,'لیست پرسنل'!$B$2:$E$1020,3,FALSE)</f>
        <v>فکورصنعت</v>
      </c>
      <c r="F4419" s="19">
        <f>VLOOKUP(D4419,'لیست پرسنل'!$B$2:$E$1020,4,FALSE)</f>
        <v>0</v>
      </c>
      <c r="G4419" s="127" t="str">
        <f>VLOOKUP(D4419,'لیست پرسنل'!$B$2:$F$1020,2,FALSE)</f>
        <v>4020404</v>
      </c>
      <c r="H4419" s="126" t="s">
        <v>7083</v>
      </c>
      <c r="I4419" s="127" t="s">
        <v>4325</v>
      </c>
      <c r="J4419" s="126" t="s">
        <v>368</v>
      </c>
      <c r="K4419" s="128" t="s">
        <v>5461</v>
      </c>
      <c r="L4419" s="127" t="s">
        <v>6904</v>
      </c>
      <c r="M4419" s="128">
        <v>632766</v>
      </c>
      <c r="N4419" s="108"/>
      <c r="O4419" s="20"/>
      <c r="P4419" s="19" t="s">
        <v>5228</v>
      </c>
      <c r="Q4419" s="19" t="s">
        <v>7314</v>
      </c>
    </row>
    <row r="4420" spans="1:17" ht="24.9" customHeight="1">
      <c r="A4420" s="20"/>
      <c r="B4420" s="20" t="s">
        <v>5101</v>
      </c>
      <c r="C4420" s="19" t="s">
        <v>4325</v>
      </c>
      <c r="D4420" s="20" t="s">
        <v>5445</v>
      </c>
      <c r="E4420" s="19" t="str">
        <f>VLOOKUP(D4420,'لیست پرسنل'!$B$2:$E$1020,3,FALSE)</f>
        <v>فکورصنعت</v>
      </c>
      <c r="F4420" s="19">
        <f>VLOOKUP(D4420,'لیست پرسنل'!$B$2:$E$1020,4,FALSE)</f>
        <v>0</v>
      </c>
      <c r="G4420" s="127" t="str">
        <f>VLOOKUP(D4420,'لیست پرسنل'!$B$2:$F$1020,2,FALSE)</f>
        <v>4020404</v>
      </c>
      <c r="H4420" s="126" t="s">
        <v>7083</v>
      </c>
      <c r="I4420" s="127" t="s">
        <v>4325</v>
      </c>
      <c r="J4420" s="126" t="s">
        <v>368</v>
      </c>
      <c r="K4420" s="128" t="s">
        <v>5461</v>
      </c>
      <c r="L4420" s="127" t="s">
        <v>6905</v>
      </c>
      <c r="M4420" s="128">
        <v>632767</v>
      </c>
      <c r="N4420" s="108"/>
      <c r="O4420" s="20"/>
      <c r="P4420" s="19" t="s">
        <v>5228</v>
      </c>
      <c r="Q4420" s="19" t="s">
        <v>7314</v>
      </c>
    </row>
    <row r="4421" spans="1:17" ht="24.9" customHeight="1">
      <c r="A4421" s="20"/>
      <c r="B4421" s="20" t="s">
        <v>5101</v>
      </c>
      <c r="C4421" s="19" t="s">
        <v>4325</v>
      </c>
      <c r="D4421" s="20" t="s">
        <v>5445</v>
      </c>
      <c r="E4421" s="19" t="str">
        <f>VLOOKUP(D4421,'لیست پرسنل'!$B$2:$E$1020,3,FALSE)</f>
        <v>فکورصنعت</v>
      </c>
      <c r="F4421" s="19">
        <f>VLOOKUP(D4421,'لیست پرسنل'!$B$2:$E$1020,4,FALSE)</f>
        <v>0</v>
      </c>
      <c r="G4421" s="127" t="str">
        <f>VLOOKUP(D4421,'لیست پرسنل'!$B$2:$F$1020,2,FALSE)</f>
        <v>4020404</v>
      </c>
      <c r="H4421" s="126" t="s">
        <v>7083</v>
      </c>
      <c r="I4421" s="127" t="s">
        <v>4325</v>
      </c>
      <c r="J4421" s="126" t="s">
        <v>5366</v>
      </c>
      <c r="K4421" s="128" t="s">
        <v>5448</v>
      </c>
      <c r="L4421" s="128"/>
      <c r="M4421" s="128">
        <v>631324</v>
      </c>
      <c r="N4421" s="108"/>
      <c r="O4421" s="20"/>
      <c r="P4421" s="19" t="s">
        <v>5228</v>
      </c>
      <c r="Q4421" s="19" t="s">
        <v>7314</v>
      </c>
    </row>
    <row r="4422" spans="1:17" ht="24.9" customHeight="1">
      <c r="A4422" s="20"/>
      <c r="B4422" s="20" t="s">
        <v>5101</v>
      </c>
      <c r="C4422" s="19" t="s">
        <v>4325</v>
      </c>
      <c r="D4422" s="20" t="s">
        <v>5445</v>
      </c>
      <c r="E4422" s="19" t="str">
        <f>VLOOKUP(D4422,'لیست پرسنل'!$B$2:$E$1020,3,FALSE)</f>
        <v>فکورصنعت</v>
      </c>
      <c r="F4422" s="19">
        <f>VLOOKUP(D4422,'لیست پرسنل'!$B$2:$E$1020,4,FALSE)</f>
        <v>0</v>
      </c>
      <c r="G4422" s="127" t="str">
        <f>VLOOKUP(D4422,'لیست پرسنل'!$B$2:$F$1020,2,FALSE)</f>
        <v>4020404</v>
      </c>
      <c r="H4422" s="126" t="s">
        <v>7083</v>
      </c>
      <c r="I4422" s="127" t="s">
        <v>4325</v>
      </c>
      <c r="J4422" s="126" t="s">
        <v>5517</v>
      </c>
      <c r="K4422" s="128" t="s">
        <v>5515</v>
      </c>
      <c r="L4422" s="128" t="s">
        <v>6907</v>
      </c>
      <c r="M4422" s="128">
        <v>632768</v>
      </c>
      <c r="N4422" s="108"/>
      <c r="O4422" s="20"/>
      <c r="P4422" s="19" t="s">
        <v>5228</v>
      </c>
      <c r="Q4422" s="19" t="s">
        <v>7314</v>
      </c>
    </row>
    <row r="4423" spans="1:17" ht="24.9" customHeight="1">
      <c r="A4423" s="20"/>
      <c r="B4423" s="20" t="s">
        <v>5101</v>
      </c>
      <c r="C4423" s="19" t="s">
        <v>4325</v>
      </c>
      <c r="D4423" s="20" t="s">
        <v>5445</v>
      </c>
      <c r="E4423" s="19" t="str">
        <f>VLOOKUP(D4423,'لیست پرسنل'!$B$2:$E$1020,3,FALSE)</f>
        <v>فکورصنعت</v>
      </c>
      <c r="F4423" s="19">
        <f>VLOOKUP(D4423,'لیست پرسنل'!$B$2:$E$1020,4,FALSE)</f>
        <v>0</v>
      </c>
      <c r="G4423" s="127" t="str">
        <f>VLOOKUP(D4423,'لیست پرسنل'!$B$2:$F$1020,2,FALSE)</f>
        <v>4020404</v>
      </c>
      <c r="H4423" s="126" t="s">
        <v>7083</v>
      </c>
      <c r="I4423" s="127" t="s">
        <v>4325</v>
      </c>
      <c r="J4423" s="126" t="s">
        <v>5517</v>
      </c>
      <c r="K4423" s="128" t="s">
        <v>5516</v>
      </c>
      <c r="L4423" s="128"/>
      <c r="M4423" s="128">
        <v>632769</v>
      </c>
      <c r="N4423" s="108"/>
      <c r="O4423" s="20"/>
      <c r="P4423" s="19" t="s">
        <v>5228</v>
      </c>
      <c r="Q4423" s="19" t="s">
        <v>7314</v>
      </c>
    </row>
    <row r="4424" spans="1:17" ht="24.9" customHeight="1">
      <c r="A4424" s="20"/>
      <c r="B4424" s="20" t="s">
        <v>5101</v>
      </c>
      <c r="C4424" s="19" t="s">
        <v>4325</v>
      </c>
      <c r="D4424" s="20" t="s">
        <v>5445</v>
      </c>
      <c r="E4424" s="19" t="str">
        <f>VLOOKUP(D4424,'لیست پرسنل'!$B$2:$E$1020,3,FALSE)</f>
        <v>فکورصنعت</v>
      </c>
      <c r="F4424" s="19">
        <f>VLOOKUP(D4424,'لیست پرسنل'!$B$2:$E$1020,4,FALSE)</f>
        <v>0</v>
      </c>
      <c r="G4424" s="127" t="str">
        <f>VLOOKUP(D4424,'لیست پرسنل'!$B$2:$F$1020,2,FALSE)</f>
        <v>4020404</v>
      </c>
      <c r="H4424" s="126" t="s">
        <v>7083</v>
      </c>
      <c r="I4424" s="127" t="s">
        <v>4325</v>
      </c>
      <c r="J4424" s="126" t="s">
        <v>5927</v>
      </c>
      <c r="K4424" s="128" t="s">
        <v>6906</v>
      </c>
      <c r="L4424" s="128"/>
      <c r="M4424" s="128">
        <v>632770</v>
      </c>
      <c r="N4424" s="108"/>
      <c r="O4424" s="20"/>
      <c r="P4424" s="19" t="s">
        <v>5228</v>
      </c>
      <c r="Q4424" s="19" t="s">
        <v>7314</v>
      </c>
    </row>
    <row r="4425" spans="1:17" ht="24.9" customHeight="1">
      <c r="A4425" s="20"/>
      <c r="B4425" s="20" t="s">
        <v>5101</v>
      </c>
      <c r="C4425" s="19" t="s">
        <v>4325</v>
      </c>
      <c r="D4425" s="20" t="s">
        <v>5445</v>
      </c>
      <c r="E4425" s="19" t="str">
        <f>VLOOKUP(D4425,'لیست پرسنل'!$B$2:$E$1020,3,FALSE)</f>
        <v>فکورصنعت</v>
      </c>
      <c r="F4425" s="19">
        <f>VLOOKUP(D4425,'لیست پرسنل'!$B$2:$E$1020,4,FALSE)</f>
        <v>0</v>
      </c>
      <c r="G4425" s="127" t="str">
        <f>VLOOKUP(D4425,'لیست پرسنل'!$B$2:$F$1020,2,FALSE)</f>
        <v>4020404</v>
      </c>
      <c r="H4425" s="126" t="s">
        <v>7083</v>
      </c>
      <c r="I4425" s="127" t="s">
        <v>4325</v>
      </c>
      <c r="J4425" s="126" t="s">
        <v>5927</v>
      </c>
      <c r="K4425" s="128" t="s">
        <v>6906</v>
      </c>
      <c r="L4425" s="128"/>
      <c r="M4425" s="128">
        <v>632771</v>
      </c>
      <c r="N4425" s="108"/>
      <c r="O4425" s="20"/>
      <c r="P4425" s="19" t="s">
        <v>5228</v>
      </c>
      <c r="Q4425" s="19" t="s">
        <v>7314</v>
      </c>
    </row>
    <row r="4426" spans="1:17" ht="24.9" customHeight="1">
      <c r="A4426" s="20"/>
      <c r="B4426" s="20" t="s">
        <v>5101</v>
      </c>
      <c r="C4426" s="19" t="s">
        <v>4325</v>
      </c>
      <c r="D4426" s="20" t="s">
        <v>5445</v>
      </c>
      <c r="E4426" s="19" t="str">
        <f>VLOOKUP(D4426,'لیست پرسنل'!$B$2:$E$1020,3,FALSE)</f>
        <v>فکورصنعت</v>
      </c>
      <c r="F4426" s="19">
        <f>VLOOKUP(D4426,'لیست پرسنل'!$B$2:$E$1020,4,FALSE)</f>
        <v>0</v>
      </c>
      <c r="G4426" s="127" t="str">
        <f>VLOOKUP(D4426,'لیست پرسنل'!$B$2:$F$1020,2,FALSE)</f>
        <v>4020404</v>
      </c>
      <c r="H4426" s="126" t="s">
        <v>7083</v>
      </c>
      <c r="I4426" s="127" t="s">
        <v>4325</v>
      </c>
      <c r="J4426" s="126" t="s">
        <v>5927</v>
      </c>
      <c r="K4426" s="128" t="s">
        <v>6906</v>
      </c>
      <c r="L4426" s="128" t="s">
        <v>7227</v>
      </c>
      <c r="M4426" s="128">
        <v>632772</v>
      </c>
      <c r="N4426" s="108"/>
      <c r="O4426" s="20"/>
      <c r="P4426" s="19" t="s">
        <v>5228</v>
      </c>
      <c r="Q4426" s="19" t="s">
        <v>7314</v>
      </c>
    </row>
    <row r="4427" spans="1:17" ht="24.9" customHeight="1">
      <c r="A4427" s="20"/>
      <c r="B4427" s="20" t="s">
        <v>5101</v>
      </c>
      <c r="C4427" s="19" t="s">
        <v>4325</v>
      </c>
      <c r="D4427" s="20" t="s">
        <v>5445</v>
      </c>
      <c r="E4427" s="19" t="str">
        <f>VLOOKUP(D4427,'لیست پرسنل'!$B$2:$E$1020,3,FALSE)</f>
        <v>فکورصنعت</v>
      </c>
      <c r="F4427" s="19">
        <f>VLOOKUP(D4427,'لیست پرسنل'!$B$2:$E$1020,4,FALSE)</f>
        <v>0</v>
      </c>
      <c r="G4427" s="127" t="str">
        <f>VLOOKUP(D4427,'لیست پرسنل'!$B$2:$F$1020,2,FALSE)</f>
        <v>4020404</v>
      </c>
      <c r="H4427" s="126" t="s">
        <v>7083</v>
      </c>
      <c r="I4427" s="127" t="s">
        <v>4325</v>
      </c>
      <c r="J4427" s="126" t="s">
        <v>5927</v>
      </c>
      <c r="K4427" s="128" t="s">
        <v>6906</v>
      </c>
      <c r="L4427" s="128"/>
      <c r="M4427" s="128">
        <v>632773</v>
      </c>
      <c r="N4427" s="108"/>
      <c r="O4427" s="20"/>
      <c r="P4427" s="19" t="s">
        <v>5228</v>
      </c>
      <c r="Q4427" s="19" t="s">
        <v>7314</v>
      </c>
    </row>
    <row r="4428" spans="1:17" ht="24.9" customHeight="1">
      <c r="A4428" s="20"/>
      <c r="B4428" s="20" t="s">
        <v>5101</v>
      </c>
      <c r="C4428" s="19" t="s">
        <v>4325</v>
      </c>
      <c r="D4428" s="20" t="s">
        <v>5445</v>
      </c>
      <c r="E4428" s="19" t="str">
        <f>VLOOKUP(D4428,'لیست پرسنل'!$B$2:$E$1020,3,FALSE)</f>
        <v>فکورصنعت</v>
      </c>
      <c r="F4428" s="19">
        <f>VLOOKUP(D4428,'لیست پرسنل'!$B$2:$E$1020,4,FALSE)</f>
        <v>0</v>
      </c>
      <c r="G4428" s="127" t="str">
        <f>VLOOKUP(D4428,'لیست پرسنل'!$B$2:$F$1020,2,FALSE)</f>
        <v>4020404</v>
      </c>
      <c r="H4428" s="126" t="s">
        <v>7083</v>
      </c>
      <c r="I4428" s="127" t="s">
        <v>4325</v>
      </c>
      <c r="J4428" s="126" t="s">
        <v>5927</v>
      </c>
      <c r="K4428" s="128" t="s">
        <v>6906</v>
      </c>
      <c r="L4428" s="128" t="s">
        <v>5452</v>
      </c>
      <c r="M4428" s="128">
        <v>632774</v>
      </c>
      <c r="N4428" s="108"/>
      <c r="O4428" s="20"/>
      <c r="P4428" s="19" t="s">
        <v>5228</v>
      </c>
      <c r="Q4428" s="19" t="s">
        <v>7314</v>
      </c>
    </row>
    <row r="4429" spans="1:17" ht="24.9" customHeight="1">
      <c r="A4429" s="20"/>
      <c r="B4429" s="20" t="s">
        <v>5101</v>
      </c>
      <c r="C4429" s="19" t="s">
        <v>4325</v>
      </c>
      <c r="D4429" s="20" t="s">
        <v>5445</v>
      </c>
      <c r="E4429" s="19" t="str">
        <f>VLOOKUP(D4429,'لیست پرسنل'!$B$2:$E$1020,3,FALSE)</f>
        <v>فکورصنعت</v>
      </c>
      <c r="F4429" s="19">
        <f>VLOOKUP(D4429,'لیست پرسنل'!$B$2:$E$1020,4,FALSE)</f>
        <v>0</v>
      </c>
      <c r="G4429" s="127" t="str">
        <f>VLOOKUP(D4429,'لیست پرسنل'!$B$2:$F$1020,2,FALSE)</f>
        <v>4020404</v>
      </c>
      <c r="H4429" s="126" t="s">
        <v>7083</v>
      </c>
      <c r="I4429" s="127" t="s">
        <v>4325</v>
      </c>
      <c r="J4429" s="126" t="s">
        <v>5927</v>
      </c>
      <c r="K4429" s="128" t="s">
        <v>6906</v>
      </c>
      <c r="L4429" s="128" t="s">
        <v>5454</v>
      </c>
      <c r="M4429" s="128">
        <v>632775</v>
      </c>
      <c r="N4429" s="108"/>
      <c r="O4429" s="20"/>
      <c r="P4429" s="19" t="s">
        <v>5228</v>
      </c>
      <c r="Q4429" s="19" t="s">
        <v>7314</v>
      </c>
    </row>
    <row r="4430" spans="1:17" ht="24.9" customHeight="1">
      <c r="A4430" s="20"/>
      <c r="B4430" s="20" t="s">
        <v>5101</v>
      </c>
      <c r="C4430" s="19" t="s">
        <v>4325</v>
      </c>
      <c r="D4430" s="20" t="s">
        <v>5445</v>
      </c>
      <c r="E4430" s="19" t="str">
        <f>VLOOKUP(D4430,'لیست پرسنل'!$B$2:$E$1020,3,FALSE)</f>
        <v>فکورصنعت</v>
      </c>
      <c r="F4430" s="19">
        <f>VLOOKUP(D4430,'لیست پرسنل'!$B$2:$E$1020,4,FALSE)</f>
        <v>0</v>
      </c>
      <c r="G4430" s="127" t="str">
        <f>VLOOKUP(D4430,'لیست پرسنل'!$B$2:$F$1020,2,FALSE)</f>
        <v>4020404</v>
      </c>
      <c r="H4430" s="126" t="s">
        <v>7083</v>
      </c>
      <c r="I4430" s="127" t="s">
        <v>4325</v>
      </c>
      <c r="J4430" s="126" t="s">
        <v>5927</v>
      </c>
      <c r="K4430" s="128" t="s">
        <v>6906</v>
      </c>
      <c r="L4430" s="128" t="s">
        <v>5459</v>
      </c>
      <c r="M4430" s="128">
        <v>632776</v>
      </c>
      <c r="N4430" s="108"/>
      <c r="O4430" s="20"/>
      <c r="P4430" s="19" t="s">
        <v>5228</v>
      </c>
      <c r="Q4430" s="19" t="s">
        <v>7314</v>
      </c>
    </row>
    <row r="4431" spans="1:17" ht="24.9" customHeight="1">
      <c r="A4431" s="20"/>
      <c r="B4431" s="20" t="s">
        <v>5101</v>
      </c>
      <c r="C4431" s="19" t="s">
        <v>4325</v>
      </c>
      <c r="D4431" s="20" t="s">
        <v>5445</v>
      </c>
      <c r="E4431" s="19" t="str">
        <f>VLOOKUP(D4431,'لیست پرسنل'!$B$2:$E$1020,3,FALSE)</f>
        <v>فکورصنعت</v>
      </c>
      <c r="F4431" s="19">
        <f>VLOOKUP(D4431,'لیست پرسنل'!$B$2:$E$1020,4,FALSE)</f>
        <v>0</v>
      </c>
      <c r="G4431" s="127" t="str">
        <f>VLOOKUP(D4431,'لیست پرسنل'!$B$2:$F$1020,2,FALSE)</f>
        <v>4020404</v>
      </c>
      <c r="H4431" s="126" t="s">
        <v>7083</v>
      </c>
      <c r="I4431" s="127" t="s">
        <v>4325</v>
      </c>
      <c r="J4431" s="126" t="s">
        <v>5927</v>
      </c>
      <c r="K4431" s="128" t="s">
        <v>6906</v>
      </c>
      <c r="L4431" s="128" t="s">
        <v>5453</v>
      </c>
      <c r="M4431" s="128">
        <v>632777</v>
      </c>
      <c r="N4431" s="108"/>
      <c r="O4431" s="20"/>
      <c r="P4431" s="19" t="s">
        <v>5228</v>
      </c>
      <c r="Q4431" s="19" t="s">
        <v>7314</v>
      </c>
    </row>
    <row r="4432" spans="1:17" ht="24.9" customHeight="1">
      <c r="A4432" s="20"/>
      <c r="B4432" s="20" t="s">
        <v>5101</v>
      </c>
      <c r="C4432" s="19" t="s">
        <v>4325</v>
      </c>
      <c r="D4432" s="20" t="s">
        <v>5445</v>
      </c>
      <c r="E4432" s="19" t="str">
        <f>VLOOKUP(D4432,'لیست پرسنل'!$B$2:$E$1020,3,FALSE)</f>
        <v>فکورصنعت</v>
      </c>
      <c r="F4432" s="19">
        <f>VLOOKUP(D4432,'لیست پرسنل'!$B$2:$E$1020,4,FALSE)</f>
        <v>0</v>
      </c>
      <c r="G4432" s="127" t="str">
        <f>VLOOKUP(D4432,'لیست پرسنل'!$B$2:$F$1020,2,FALSE)</f>
        <v>4020404</v>
      </c>
      <c r="H4432" s="126" t="s">
        <v>7083</v>
      </c>
      <c r="I4432" s="127" t="s">
        <v>4325</v>
      </c>
      <c r="J4432" s="126" t="s">
        <v>3483</v>
      </c>
      <c r="K4432" s="128" t="s">
        <v>5450</v>
      </c>
      <c r="L4432" s="128"/>
      <c r="M4432" s="128">
        <v>632780</v>
      </c>
      <c r="N4432" s="108"/>
      <c r="O4432" s="20"/>
      <c r="P4432" s="19" t="s">
        <v>5228</v>
      </c>
      <c r="Q4432" s="19" t="s">
        <v>7314</v>
      </c>
    </row>
    <row r="4433" spans="1:17" ht="24.9" customHeight="1">
      <c r="A4433" s="20"/>
      <c r="B4433" s="20" t="s">
        <v>5101</v>
      </c>
      <c r="C4433" s="19" t="s">
        <v>4325</v>
      </c>
      <c r="D4433" s="20" t="s">
        <v>5445</v>
      </c>
      <c r="E4433" s="19" t="str">
        <f>VLOOKUP(D4433,'لیست پرسنل'!$B$2:$E$1020,3,FALSE)</f>
        <v>فکورصنعت</v>
      </c>
      <c r="F4433" s="19">
        <f>VLOOKUP(D4433,'لیست پرسنل'!$B$2:$E$1020,4,FALSE)</f>
        <v>0</v>
      </c>
      <c r="G4433" s="127" t="str">
        <f>VLOOKUP(D4433,'لیست پرسنل'!$B$2:$F$1020,2,FALSE)</f>
        <v>4020404</v>
      </c>
      <c r="H4433" s="126" t="s">
        <v>7083</v>
      </c>
      <c r="I4433" s="127" t="s">
        <v>4325</v>
      </c>
      <c r="J4433" s="126" t="s">
        <v>3285</v>
      </c>
      <c r="K4433" s="128" t="s">
        <v>844</v>
      </c>
      <c r="L4433" s="128"/>
      <c r="M4433" s="128">
        <v>629786</v>
      </c>
      <c r="N4433" s="108"/>
      <c r="O4433" s="20"/>
      <c r="P4433" s="19" t="s">
        <v>5228</v>
      </c>
      <c r="Q4433" s="19" t="s">
        <v>7314</v>
      </c>
    </row>
    <row r="4434" spans="1:17" ht="24.9" customHeight="1">
      <c r="A4434" s="20"/>
      <c r="B4434" s="20" t="s">
        <v>5101</v>
      </c>
      <c r="C4434" s="19" t="s">
        <v>4325</v>
      </c>
      <c r="D4434" s="20" t="s">
        <v>5445</v>
      </c>
      <c r="E4434" s="19" t="str">
        <f>VLOOKUP(D4434,'لیست پرسنل'!$B$2:$E$1020,3,FALSE)</f>
        <v>فکورصنعت</v>
      </c>
      <c r="F4434" s="19">
        <f>VLOOKUP(D4434,'لیست پرسنل'!$B$2:$E$1020,4,FALSE)</f>
        <v>0</v>
      </c>
      <c r="G4434" s="127" t="str">
        <f>VLOOKUP(D4434,'لیست پرسنل'!$B$2:$F$1020,2,FALSE)</f>
        <v>4020404</v>
      </c>
      <c r="H4434" s="126" t="s">
        <v>7083</v>
      </c>
      <c r="I4434" s="127" t="s">
        <v>4325</v>
      </c>
      <c r="J4434" s="126" t="s">
        <v>3476</v>
      </c>
      <c r="K4434" s="128" t="s">
        <v>5514</v>
      </c>
      <c r="L4434" s="128"/>
      <c r="M4434" s="128">
        <v>632781</v>
      </c>
      <c r="N4434" s="108"/>
      <c r="O4434" s="20"/>
      <c r="P4434" s="19" t="s">
        <v>5228</v>
      </c>
      <c r="Q4434" s="19" t="s">
        <v>7314</v>
      </c>
    </row>
    <row r="4435" spans="1:17" ht="24.9" customHeight="1">
      <c r="A4435" s="20"/>
      <c r="B4435" s="20" t="s">
        <v>5101</v>
      </c>
      <c r="C4435" s="19" t="s">
        <v>4325</v>
      </c>
      <c r="D4435" s="20" t="s">
        <v>5445</v>
      </c>
      <c r="E4435" s="19" t="str">
        <f>VLOOKUP(D4435,'لیست پرسنل'!$B$2:$E$1020,3,FALSE)</f>
        <v>فکورصنعت</v>
      </c>
      <c r="F4435" s="19">
        <f>VLOOKUP(D4435,'لیست پرسنل'!$B$2:$E$1020,4,FALSE)</f>
        <v>0</v>
      </c>
      <c r="G4435" s="127" t="str">
        <f>VLOOKUP(D4435,'لیست پرسنل'!$B$2:$F$1020,2,FALSE)</f>
        <v>4020404</v>
      </c>
      <c r="H4435" s="126" t="s">
        <v>7083</v>
      </c>
      <c r="I4435" s="127" t="s">
        <v>4325</v>
      </c>
      <c r="J4435" s="126" t="s">
        <v>3476</v>
      </c>
      <c r="K4435" s="128" t="s">
        <v>7138</v>
      </c>
      <c r="L4435" s="128" t="s">
        <v>7139</v>
      </c>
      <c r="M4435" s="128" t="s">
        <v>291</v>
      </c>
      <c r="N4435" s="108"/>
      <c r="O4435" s="20"/>
      <c r="P4435" s="19" t="s">
        <v>5228</v>
      </c>
      <c r="Q4435" s="19" t="s">
        <v>7314</v>
      </c>
    </row>
    <row r="4436" spans="1:17" ht="24.9" customHeight="1">
      <c r="A4436" s="20"/>
      <c r="B4436" s="20" t="s">
        <v>5101</v>
      </c>
      <c r="C4436" s="19" t="s">
        <v>4325</v>
      </c>
      <c r="D4436" s="20" t="s">
        <v>5445</v>
      </c>
      <c r="E4436" s="19" t="str">
        <f>VLOOKUP(D4436,'لیست پرسنل'!$B$2:$E$1020,3,FALSE)</f>
        <v>فکورصنعت</v>
      </c>
      <c r="F4436" s="19">
        <f>VLOOKUP(D4436,'لیست پرسنل'!$B$2:$E$1020,4,FALSE)</f>
        <v>0</v>
      </c>
      <c r="G4436" s="127" t="str">
        <f>VLOOKUP(D4436,'لیست پرسنل'!$B$2:$F$1020,2,FALSE)</f>
        <v>4020404</v>
      </c>
      <c r="H4436" s="126" t="s">
        <v>7083</v>
      </c>
      <c r="I4436" s="127" t="s">
        <v>4325</v>
      </c>
      <c r="J4436" s="126" t="s">
        <v>3476</v>
      </c>
      <c r="K4436" s="128" t="s">
        <v>7138</v>
      </c>
      <c r="L4436" s="128"/>
      <c r="M4436" s="128" t="s">
        <v>291</v>
      </c>
      <c r="N4436" s="108"/>
      <c r="O4436" s="20"/>
      <c r="P4436" s="19" t="s">
        <v>5228</v>
      </c>
      <c r="Q4436" s="19" t="s">
        <v>7314</v>
      </c>
    </row>
    <row r="4437" spans="1:17" ht="24.9" customHeight="1">
      <c r="A4437" s="20"/>
      <c r="B4437" s="20" t="s">
        <v>5101</v>
      </c>
      <c r="C4437" s="19" t="s">
        <v>4325</v>
      </c>
      <c r="D4437" s="20" t="s">
        <v>5445</v>
      </c>
      <c r="E4437" s="19" t="str">
        <f>VLOOKUP(D4437,'لیست پرسنل'!$B$2:$E$1020,3,FALSE)</f>
        <v>فکورصنعت</v>
      </c>
      <c r="F4437" s="19">
        <f>VLOOKUP(D4437,'لیست پرسنل'!$B$2:$E$1020,4,FALSE)</f>
        <v>0</v>
      </c>
      <c r="G4437" s="127" t="str">
        <f>VLOOKUP(D4437,'لیست پرسنل'!$B$2:$F$1020,2,FALSE)</f>
        <v>4020404</v>
      </c>
      <c r="H4437" s="126" t="s">
        <v>7083</v>
      </c>
      <c r="I4437" s="127" t="s">
        <v>4325</v>
      </c>
      <c r="J4437" s="126" t="s">
        <v>571</v>
      </c>
      <c r="K4437" s="128" t="s">
        <v>4771</v>
      </c>
      <c r="L4437" s="128"/>
      <c r="M4437" s="128">
        <v>622549</v>
      </c>
      <c r="N4437" s="108"/>
      <c r="O4437" s="20"/>
      <c r="P4437" s="19" t="s">
        <v>5228</v>
      </c>
      <c r="Q4437" s="19" t="s">
        <v>7314</v>
      </c>
    </row>
    <row r="4438" spans="1:17" ht="24.9" customHeight="1">
      <c r="A4438" s="20"/>
      <c r="B4438" s="20" t="s">
        <v>5101</v>
      </c>
      <c r="C4438" s="19" t="s">
        <v>4325</v>
      </c>
      <c r="D4438" s="20" t="s">
        <v>5445</v>
      </c>
      <c r="E4438" s="19" t="str">
        <f>VLOOKUP(D4438,'لیست پرسنل'!$B$2:$E$1020,3,FALSE)</f>
        <v>فکورصنعت</v>
      </c>
      <c r="F4438" s="19">
        <f>VLOOKUP(D4438,'لیست پرسنل'!$B$2:$E$1020,4,FALSE)</f>
        <v>0</v>
      </c>
      <c r="G4438" s="127" t="str">
        <f>VLOOKUP(D4438,'لیست پرسنل'!$B$2:$F$1020,2,FALSE)</f>
        <v>4020404</v>
      </c>
      <c r="H4438" s="126" t="s">
        <v>7083</v>
      </c>
      <c r="I4438" s="127" t="s">
        <v>4325</v>
      </c>
      <c r="J4438" s="126" t="s">
        <v>571</v>
      </c>
      <c r="K4438" s="128" t="s">
        <v>4771</v>
      </c>
      <c r="L4438" s="128"/>
      <c r="M4438" s="128">
        <v>622550</v>
      </c>
      <c r="N4438" s="108"/>
      <c r="O4438" s="20"/>
      <c r="P4438" s="19" t="s">
        <v>5228</v>
      </c>
      <c r="Q4438" s="19" t="s">
        <v>7314</v>
      </c>
    </row>
    <row r="4439" spans="1:17" ht="24.9" customHeight="1">
      <c r="A4439" s="20"/>
      <c r="B4439" s="20" t="s">
        <v>5101</v>
      </c>
      <c r="C4439" s="19" t="s">
        <v>4325</v>
      </c>
      <c r="D4439" s="20" t="s">
        <v>5445</v>
      </c>
      <c r="E4439" s="19" t="str">
        <f>VLOOKUP(D4439,'لیست پرسنل'!$B$2:$E$1020,3,FALSE)</f>
        <v>فکورصنعت</v>
      </c>
      <c r="F4439" s="19">
        <f>VLOOKUP(D4439,'لیست پرسنل'!$B$2:$E$1020,4,FALSE)</f>
        <v>0</v>
      </c>
      <c r="G4439" s="127" t="str">
        <f>VLOOKUP(D4439,'لیست پرسنل'!$B$2:$F$1020,2,FALSE)</f>
        <v>4020404</v>
      </c>
      <c r="H4439" s="126" t="s">
        <v>7083</v>
      </c>
      <c r="I4439" s="127" t="s">
        <v>4325</v>
      </c>
      <c r="J4439" s="126" t="s">
        <v>571</v>
      </c>
      <c r="K4439" s="128" t="s">
        <v>4771</v>
      </c>
      <c r="L4439" s="128"/>
      <c r="M4439" s="128">
        <v>623326</v>
      </c>
      <c r="N4439" s="108"/>
      <c r="O4439" s="20"/>
      <c r="P4439" s="19" t="s">
        <v>5228</v>
      </c>
      <c r="Q4439" s="19" t="s">
        <v>7314</v>
      </c>
    </row>
    <row r="4440" spans="1:17" ht="24.9" customHeight="1">
      <c r="A4440" s="20"/>
      <c r="B4440" s="20" t="s">
        <v>5101</v>
      </c>
      <c r="C4440" s="19" t="s">
        <v>4325</v>
      </c>
      <c r="D4440" s="20" t="s">
        <v>5445</v>
      </c>
      <c r="E4440" s="19" t="str">
        <f>VLOOKUP(D4440,'لیست پرسنل'!$B$2:$E$1020,3,FALSE)</f>
        <v>فکورصنعت</v>
      </c>
      <c r="F4440" s="19">
        <f>VLOOKUP(D4440,'لیست پرسنل'!$B$2:$E$1020,4,FALSE)</f>
        <v>0</v>
      </c>
      <c r="G4440" s="127" t="str">
        <f>VLOOKUP(D4440,'لیست پرسنل'!$B$2:$F$1020,2,FALSE)</f>
        <v>4020404</v>
      </c>
      <c r="H4440" s="126" t="s">
        <v>7083</v>
      </c>
      <c r="I4440" s="127" t="s">
        <v>4325</v>
      </c>
      <c r="J4440" s="126" t="s">
        <v>571</v>
      </c>
      <c r="K4440" s="128" t="s">
        <v>4771</v>
      </c>
      <c r="L4440" s="128"/>
      <c r="M4440" s="128">
        <v>628228</v>
      </c>
      <c r="N4440" s="108"/>
      <c r="O4440" s="20"/>
      <c r="P4440" s="19" t="s">
        <v>5228</v>
      </c>
      <c r="Q4440" s="19" t="s">
        <v>7314</v>
      </c>
    </row>
    <row r="4441" spans="1:17" ht="24.9" customHeight="1">
      <c r="A4441" s="20"/>
      <c r="B4441" s="20" t="s">
        <v>5101</v>
      </c>
      <c r="C4441" s="19" t="s">
        <v>4325</v>
      </c>
      <c r="D4441" s="20" t="s">
        <v>5445</v>
      </c>
      <c r="E4441" s="19" t="str">
        <f>VLOOKUP(D4441,'لیست پرسنل'!$B$2:$E$1020,3,FALSE)</f>
        <v>فکورصنعت</v>
      </c>
      <c r="F4441" s="19">
        <f>VLOOKUP(D4441,'لیست پرسنل'!$B$2:$E$1020,4,FALSE)</f>
        <v>0</v>
      </c>
      <c r="G4441" s="127" t="str">
        <f>VLOOKUP(D4441,'لیست پرسنل'!$B$2:$F$1020,2,FALSE)</f>
        <v>4020404</v>
      </c>
      <c r="H4441" s="126" t="s">
        <v>7083</v>
      </c>
      <c r="I4441" s="127" t="s">
        <v>4325</v>
      </c>
      <c r="J4441" s="126" t="s">
        <v>571</v>
      </c>
      <c r="K4441" s="128" t="s">
        <v>4771</v>
      </c>
      <c r="L4441" s="128"/>
      <c r="M4441" s="128">
        <v>628252</v>
      </c>
      <c r="N4441" s="108"/>
      <c r="O4441" s="20"/>
      <c r="P4441" s="19" t="s">
        <v>5228</v>
      </c>
      <c r="Q4441" s="19" t="s">
        <v>7314</v>
      </c>
    </row>
    <row r="4442" spans="1:17" ht="24.9" customHeight="1">
      <c r="A4442" s="20"/>
      <c r="B4442" s="20" t="s">
        <v>5101</v>
      </c>
      <c r="C4442" s="19" t="s">
        <v>4325</v>
      </c>
      <c r="D4442" s="20" t="s">
        <v>5445</v>
      </c>
      <c r="E4442" s="19" t="str">
        <f>VLOOKUP(D4442,'لیست پرسنل'!$B$2:$E$1020,3,FALSE)</f>
        <v>فکورصنعت</v>
      </c>
      <c r="F4442" s="19">
        <f>VLOOKUP(D4442,'لیست پرسنل'!$B$2:$E$1020,4,FALSE)</f>
        <v>0</v>
      </c>
      <c r="G4442" s="127" t="str">
        <f>VLOOKUP(D4442,'لیست پرسنل'!$B$2:$F$1020,2,FALSE)</f>
        <v>4020404</v>
      </c>
      <c r="H4442" s="126" t="s">
        <v>7083</v>
      </c>
      <c r="I4442" s="127" t="s">
        <v>4325</v>
      </c>
      <c r="J4442" s="126" t="s">
        <v>571</v>
      </c>
      <c r="K4442" s="128" t="s">
        <v>4771</v>
      </c>
      <c r="L4442" s="128"/>
      <c r="M4442" s="128">
        <v>628566</v>
      </c>
      <c r="N4442" s="108"/>
      <c r="O4442" s="20"/>
      <c r="P4442" s="19" t="s">
        <v>5228</v>
      </c>
      <c r="Q4442" s="19" t="s">
        <v>7314</v>
      </c>
    </row>
    <row r="4443" spans="1:17" ht="24.9" customHeight="1">
      <c r="A4443" s="20"/>
      <c r="B4443" s="20" t="s">
        <v>5101</v>
      </c>
      <c r="C4443" s="19" t="s">
        <v>4325</v>
      </c>
      <c r="D4443" s="20" t="s">
        <v>5445</v>
      </c>
      <c r="E4443" s="19" t="str">
        <f>VLOOKUP(D4443,'لیست پرسنل'!$B$2:$E$1020,3,FALSE)</f>
        <v>فکورصنعت</v>
      </c>
      <c r="F4443" s="19">
        <f>VLOOKUP(D4443,'لیست پرسنل'!$B$2:$E$1020,4,FALSE)</f>
        <v>0</v>
      </c>
      <c r="G4443" s="127" t="str">
        <f>VLOOKUP(D4443,'لیست پرسنل'!$B$2:$F$1020,2,FALSE)</f>
        <v>4020404</v>
      </c>
      <c r="H4443" s="126" t="s">
        <v>7083</v>
      </c>
      <c r="I4443" s="127" t="s">
        <v>4325</v>
      </c>
      <c r="J4443" s="128" t="s">
        <v>2686</v>
      </c>
      <c r="K4443" s="128" t="s">
        <v>2922</v>
      </c>
      <c r="L4443" s="128" t="s">
        <v>2941</v>
      </c>
      <c r="M4443" s="128">
        <v>626419</v>
      </c>
      <c r="N4443" s="108"/>
      <c r="O4443" s="20" t="s">
        <v>705</v>
      </c>
      <c r="P4443" s="19" t="s">
        <v>5228</v>
      </c>
      <c r="Q4443" s="19" t="s">
        <v>7314</v>
      </c>
    </row>
    <row r="4444" spans="1:17" ht="24.9" customHeight="1">
      <c r="A4444" s="20"/>
      <c r="B4444" s="20" t="s">
        <v>5101</v>
      </c>
      <c r="C4444" s="19" t="s">
        <v>4325</v>
      </c>
      <c r="D4444" s="20" t="s">
        <v>5445</v>
      </c>
      <c r="E4444" s="19" t="str">
        <f>VLOOKUP(D4444,'لیست پرسنل'!$B$2:$E$1020,3,FALSE)</f>
        <v>فکورصنعت</v>
      </c>
      <c r="F4444" s="19">
        <f>VLOOKUP(D4444,'لیست پرسنل'!$B$2:$E$1020,4,FALSE)</f>
        <v>0</v>
      </c>
      <c r="G4444" s="127" t="str">
        <f>VLOOKUP(D4444,'لیست پرسنل'!$B$2:$F$1020,2,FALSE)</f>
        <v>4020404</v>
      </c>
      <c r="H4444" s="126" t="s">
        <v>7083</v>
      </c>
      <c r="I4444" s="127" t="s">
        <v>4325</v>
      </c>
      <c r="J4444" s="128" t="s">
        <v>2686</v>
      </c>
      <c r="K4444" s="128" t="s">
        <v>2922</v>
      </c>
      <c r="L4444" s="127" t="s">
        <v>3011</v>
      </c>
      <c r="M4444" s="128">
        <v>626494</v>
      </c>
      <c r="N4444" s="108"/>
      <c r="O4444" s="20" t="s">
        <v>705</v>
      </c>
      <c r="P4444" s="19" t="s">
        <v>5228</v>
      </c>
      <c r="Q4444" s="19" t="s">
        <v>7314</v>
      </c>
    </row>
    <row r="4445" spans="1:17" ht="24.9" customHeight="1">
      <c r="A4445" s="20"/>
      <c r="B4445" s="20" t="s">
        <v>5101</v>
      </c>
      <c r="C4445" s="19" t="s">
        <v>4325</v>
      </c>
      <c r="D4445" s="20" t="s">
        <v>5445</v>
      </c>
      <c r="E4445" s="19" t="str">
        <f>VLOOKUP(D4445,'لیست پرسنل'!$B$2:$E$1020,3,FALSE)</f>
        <v>فکورصنعت</v>
      </c>
      <c r="F4445" s="19">
        <f>VLOOKUP(D4445,'لیست پرسنل'!$B$2:$E$1020,4,FALSE)</f>
        <v>0</v>
      </c>
      <c r="G4445" s="127" t="str">
        <f>VLOOKUP(D4445,'لیست پرسنل'!$B$2:$F$1020,2,FALSE)</f>
        <v>4020404</v>
      </c>
      <c r="H4445" s="126" t="s">
        <v>7083</v>
      </c>
      <c r="I4445" s="127" t="s">
        <v>4325</v>
      </c>
      <c r="J4445" s="128" t="s">
        <v>2686</v>
      </c>
      <c r="K4445" s="128" t="s">
        <v>2922</v>
      </c>
      <c r="L4445" s="127" t="s">
        <v>3113</v>
      </c>
      <c r="M4445" s="128">
        <v>626597</v>
      </c>
      <c r="N4445" s="108"/>
      <c r="O4445" s="20" t="s">
        <v>705</v>
      </c>
      <c r="P4445" s="19" t="s">
        <v>5228</v>
      </c>
      <c r="Q4445" s="19" t="s">
        <v>7314</v>
      </c>
    </row>
    <row r="4446" spans="1:17" ht="24.9" customHeight="1">
      <c r="A4446" s="20"/>
      <c r="B4446" s="20" t="s">
        <v>5101</v>
      </c>
      <c r="C4446" s="19" t="s">
        <v>4325</v>
      </c>
      <c r="D4446" s="20" t="s">
        <v>5445</v>
      </c>
      <c r="E4446" s="19" t="str">
        <f>VLOOKUP(D4446,'لیست پرسنل'!$B$2:$E$1020,3,FALSE)</f>
        <v>فکورصنعت</v>
      </c>
      <c r="F4446" s="19">
        <f>VLOOKUP(D4446,'لیست پرسنل'!$B$2:$E$1020,4,FALSE)</f>
        <v>0</v>
      </c>
      <c r="G4446" s="127" t="str">
        <f>VLOOKUP(D4446,'لیست پرسنل'!$B$2:$F$1020,2,FALSE)</f>
        <v>4020404</v>
      </c>
      <c r="H4446" s="126" t="s">
        <v>7083</v>
      </c>
      <c r="I4446" s="127" t="s">
        <v>4325</v>
      </c>
      <c r="J4446" s="126" t="s">
        <v>2686</v>
      </c>
      <c r="K4446" s="128" t="s">
        <v>5449</v>
      </c>
      <c r="L4446" s="128"/>
      <c r="M4446" s="128">
        <v>628365</v>
      </c>
      <c r="N4446" s="108"/>
      <c r="O4446" s="20"/>
      <c r="P4446" s="19" t="s">
        <v>5228</v>
      </c>
      <c r="Q4446" s="19" t="s">
        <v>7314</v>
      </c>
    </row>
    <row r="4447" spans="1:17" ht="24.9" customHeight="1">
      <c r="A4447" s="20"/>
      <c r="B4447" s="20" t="s">
        <v>5101</v>
      </c>
      <c r="C4447" s="19" t="s">
        <v>4325</v>
      </c>
      <c r="D4447" s="20" t="s">
        <v>5445</v>
      </c>
      <c r="E4447" s="19" t="str">
        <f>VLOOKUP(D4447,'لیست پرسنل'!$B$2:$E$1020,3,FALSE)</f>
        <v>فکورصنعت</v>
      </c>
      <c r="F4447" s="19">
        <f>VLOOKUP(D4447,'لیست پرسنل'!$B$2:$E$1020,4,FALSE)</f>
        <v>0</v>
      </c>
      <c r="G4447" s="127" t="str">
        <f>VLOOKUP(D4447,'لیست پرسنل'!$B$2:$F$1020,2,FALSE)</f>
        <v>4020404</v>
      </c>
      <c r="H4447" s="126" t="s">
        <v>7083</v>
      </c>
      <c r="I4447" s="127" t="s">
        <v>4325</v>
      </c>
      <c r="J4447" s="126" t="s">
        <v>2686</v>
      </c>
      <c r="K4447" s="128" t="s">
        <v>5449</v>
      </c>
      <c r="L4447" s="128"/>
      <c r="M4447" s="128">
        <v>628378</v>
      </c>
      <c r="N4447" s="108"/>
      <c r="O4447" s="20"/>
      <c r="P4447" s="19" t="s">
        <v>5228</v>
      </c>
      <c r="Q4447" s="19" t="s">
        <v>7314</v>
      </c>
    </row>
    <row r="4448" spans="1:17" ht="24.9" customHeight="1">
      <c r="A4448" s="20"/>
      <c r="B4448" s="20" t="s">
        <v>5101</v>
      </c>
      <c r="C4448" s="19" t="s">
        <v>4325</v>
      </c>
      <c r="D4448" s="20" t="s">
        <v>5445</v>
      </c>
      <c r="E4448" s="19" t="str">
        <f>VLOOKUP(D4448,'لیست پرسنل'!$B$2:$E$1020,3,FALSE)</f>
        <v>فکورصنعت</v>
      </c>
      <c r="F4448" s="19">
        <f>VLOOKUP(D4448,'لیست پرسنل'!$B$2:$E$1020,4,FALSE)</f>
        <v>0</v>
      </c>
      <c r="G4448" s="127" t="str">
        <f>VLOOKUP(D4448,'لیست پرسنل'!$B$2:$F$1020,2,FALSE)</f>
        <v>4020404</v>
      </c>
      <c r="H4448" s="126" t="s">
        <v>7083</v>
      </c>
      <c r="I4448" s="127" t="s">
        <v>4325</v>
      </c>
      <c r="J4448" s="126" t="s">
        <v>2686</v>
      </c>
      <c r="K4448" s="128" t="s">
        <v>5449</v>
      </c>
      <c r="L4448" s="128"/>
      <c r="M4448" s="128">
        <v>628431</v>
      </c>
      <c r="N4448" s="108"/>
      <c r="O4448" s="20"/>
      <c r="P4448" s="19" t="s">
        <v>5228</v>
      </c>
      <c r="Q4448" s="19" t="s">
        <v>7314</v>
      </c>
    </row>
    <row r="4449" spans="1:17" ht="24.9" customHeight="1">
      <c r="A4449" s="20"/>
      <c r="B4449" s="20" t="s">
        <v>5101</v>
      </c>
      <c r="C4449" s="19" t="s">
        <v>4325</v>
      </c>
      <c r="D4449" s="20" t="s">
        <v>5445</v>
      </c>
      <c r="E4449" s="19" t="str">
        <f>VLOOKUP(D4449,'لیست پرسنل'!$B$2:$E$1020,3,FALSE)</f>
        <v>فکورصنعت</v>
      </c>
      <c r="F4449" s="19">
        <f>VLOOKUP(D4449,'لیست پرسنل'!$B$2:$E$1020,4,FALSE)</f>
        <v>0</v>
      </c>
      <c r="G4449" s="127" t="str">
        <f>VLOOKUP(D4449,'لیست پرسنل'!$B$2:$F$1020,2,FALSE)</f>
        <v>4020404</v>
      </c>
      <c r="H4449" s="126" t="s">
        <v>7083</v>
      </c>
      <c r="I4449" s="127" t="s">
        <v>4325</v>
      </c>
      <c r="J4449" s="126" t="s">
        <v>3313</v>
      </c>
      <c r="K4449" s="133" t="s">
        <v>5847</v>
      </c>
      <c r="L4449" s="128" t="s">
        <v>5848</v>
      </c>
      <c r="M4449" s="128">
        <v>632782</v>
      </c>
      <c r="N4449" s="108"/>
      <c r="O4449" s="20" t="s">
        <v>6558</v>
      </c>
      <c r="P4449" s="19" t="s">
        <v>5228</v>
      </c>
      <c r="Q4449" s="19" t="s">
        <v>7314</v>
      </c>
    </row>
    <row r="4450" spans="1:17" ht="24.9" customHeight="1">
      <c r="A4450" s="20"/>
      <c r="B4450" s="20" t="s">
        <v>5101</v>
      </c>
      <c r="C4450" s="19" t="s">
        <v>4325</v>
      </c>
      <c r="D4450" s="19" t="s">
        <v>6130</v>
      </c>
      <c r="E4450" s="19" t="str">
        <f>VLOOKUP(D4450,'لیست پرسنل'!$B$2:$E$1020,3,FALSE)</f>
        <v>فکورصنعت</v>
      </c>
      <c r="F4450" s="19" t="str">
        <f>VLOOKUP(D4450,'لیست پرسنل'!$B$2:$E$1020,4,FALSE)</f>
        <v>مدیر پشتیبانی</v>
      </c>
      <c r="G4450" s="127">
        <f>VLOOKUP(D4450,'لیست پرسنل'!$B$2:$F$1020,2,FALSE)</f>
        <v>4021108</v>
      </c>
      <c r="H4450" s="126" t="s">
        <v>7045</v>
      </c>
      <c r="I4450" s="127" t="s">
        <v>4325</v>
      </c>
      <c r="J4450" s="128" t="s">
        <v>3145</v>
      </c>
      <c r="K4450" s="128" t="s">
        <v>3355</v>
      </c>
      <c r="L4450" s="128" t="s">
        <v>4773</v>
      </c>
      <c r="M4450" s="127">
        <v>633294</v>
      </c>
      <c r="N4450" s="109"/>
      <c r="O4450" s="19" t="s">
        <v>7010</v>
      </c>
      <c r="P4450" s="19" t="s">
        <v>5228</v>
      </c>
      <c r="Q4450" s="19" t="s">
        <v>7314</v>
      </c>
    </row>
    <row r="4451" spans="1:17" ht="24.9" customHeight="1">
      <c r="A4451" s="20"/>
      <c r="B4451" s="20" t="s">
        <v>5101</v>
      </c>
      <c r="C4451" s="19" t="s">
        <v>4325</v>
      </c>
      <c r="D4451" s="20" t="s">
        <v>6130</v>
      </c>
      <c r="E4451" s="19" t="str">
        <f>VLOOKUP(D4451,'لیست پرسنل'!$B$2:$E$1020,3,FALSE)</f>
        <v>فکورصنعت</v>
      </c>
      <c r="F4451" s="19" t="str">
        <f>VLOOKUP(D4451,'لیست پرسنل'!$B$2:$E$1020,4,FALSE)</f>
        <v>مدیر پشتیبانی</v>
      </c>
      <c r="G4451" s="127">
        <f>VLOOKUP(D4451,'لیست پرسنل'!$B$2:$F$1020,2,FALSE)</f>
        <v>4021108</v>
      </c>
      <c r="H4451" s="126" t="s">
        <v>7045</v>
      </c>
      <c r="I4451" s="127" t="s">
        <v>4325</v>
      </c>
      <c r="J4451" s="127" t="s">
        <v>737</v>
      </c>
      <c r="K4451" s="127" t="s">
        <v>6141</v>
      </c>
      <c r="L4451" s="128" t="s">
        <v>6140</v>
      </c>
      <c r="M4451" s="128">
        <v>632876</v>
      </c>
      <c r="N4451" s="109"/>
      <c r="O4451" s="19"/>
      <c r="P4451" s="19" t="s">
        <v>5228</v>
      </c>
      <c r="Q4451" s="19" t="s">
        <v>7314</v>
      </c>
    </row>
    <row r="4452" spans="1:17" ht="24.9" customHeight="1">
      <c r="A4452" s="20"/>
      <c r="B4452" s="20" t="s">
        <v>5101</v>
      </c>
      <c r="C4452" s="19" t="s">
        <v>4325</v>
      </c>
      <c r="D4452" s="20" t="s">
        <v>6130</v>
      </c>
      <c r="E4452" s="19" t="str">
        <f>VLOOKUP(D4452,'لیست پرسنل'!$B$2:$E$1020,3,FALSE)</f>
        <v>فکورصنعت</v>
      </c>
      <c r="F4452" s="19" t="str">
        <f>VLOOKUP(D4452,'لیست پرسنل'!$B$2:$E$1020,4,FALSE)</f>
        <v>مدیر پشتیبانی</v>
      </c>
      <c r="G4452" s="127">
        <f>VLOOKUP(D4452,'لیست پرسنل'!$B$2:$F$1020,2,FALSE)</f>
        <v>4021108</v>
      </c>
      <c r="H4452" s="126" t="s">
        <v>7045</v>
      </c>
      <c r="I4452" s="127" t="s">
        <v>4325</v>
      </c>
      <c r="J4452" s="127" t="s">
        <v>3483</v>
      </c>
      <c r="K4452" s="127" t="s">
        <v>6132</v>
      </c>
      <c r="L4452" s="128"/>
      <c r="M4452" s="128">
        <v>632835</v>
      </c>
      <c r="N4452" s="109"/>
      <c r="O4452" s="19"/>
      <c r="P4452" s="19" t="s">
        <v>5228</v>
      </c>
      <c r="Q4452" s="19" t="s">
        <v>7314</v>
      </c>
    </row>
    <row r="4453" spans="1:17" ht="24.9" customHeight="1">
      <c r="A4453" s="20"/>
      <c r="B4453" s="20" t="s">
        <v>5101</v>
      </c>
      <c r="C4453" s="19" t="s">
        <v>4325</v>
      </c>
      <c r="D4453" s="20" t="s">
        <v>6130</v>
      </c>
      <c r="E4453" s="19" t="str">
        <f>VLOOKUP(D4453,'لیست پرسنل'!$B$2:$E$1020,3,FALSE)</f>
        <v>فکورصنعت</v>
      </c>
      <c r="F4453" s="19" t="str">
        <f>VLOOKUP(D4453,'لیست پرسنل'!$B$2:$E$1020,4,FALSE)</f>
        <v>مدیر پشتیبانی</v>
      </c>
      <c r="G4453" s="127">
        <f>VLOOKUP(D4453,'لیست پرسنل'!$B$2:$F$1020,2,FALSE)</f>
        <v>4021108</v>
      </c>
      <c r="H4453" s="126" t="s">
        <v>7045</v>
      </c>
      <c r="I4453" s="127" t="s">
        <v>4325</v>
      </c>
      <c r="J4453" s="127" t="s">
        <v>3285</v>
      </c>
      <c r="K4453" s="127" t="s">
        <v>861</v>
      </c>
      <c r="L4453" s="128" t="s">
        <v>6135</v>
      </c>
      <c r="M4453" s="128">
        <v>632836</v>
      </c>
      <c r="N4453" s="109"/>
      <c r="O4453" s="19"/>
      <c r="P4453" s="19" t="s">
        <v>5228</v>
      </c>
      <c r="Q4453" s="19" t="s">
        <v>7314</v>
      </c>
    </row>
    <row r="4454" spans="1:17" ht="24.9" customHeight="1">
      <c r="A4454" s="20"/>
      <c r="B4454" s="20" t="s">
        <v>5101</v>
      </c>
      <c r="C4454" s="19" t="s">
        <v>4325</v>
      </c>
      <c r="D4454" s="20" t="s">
        <v>6130</v>
      </c>
      <c r="E4454" s="19" t="str">
        <f>VLOOKUP(D4454,'لیست پرسنل'!$B$2:$E$1020,3,FALSE)</f>
        <v>فکورصنعت</v>
      </c>
      <c r="F4454" s="19" t="str">
        <f>VLOOKUP(D4454,'لیست پرسنل'!$B$2:$E$1020,4,FALSE)</f>
        <v>مدیر پشتیبانی</v>
      </c>
      <c r="G4454" s="127">
        <f>VLOOKUP(D4454,'لیست پرسنل'!$B$2:$F$1020,2,FALSE)</f>
        <v>4021108</v>
      </c>
      <c r="H4454" s="126" t="s">
        <v>7045</v>
      </c>
      <c r="I4454" s="127" t="s">
        <v>4325</v>
      </c>
      <c r="J4454" s="127" t="s">
        <v>3476</v>
      </c>
      <c r="K4454" s="127" t="s">
        <v>6133</v>
      </c>
      <c r="L4454" s="128" t="s">
        <v>6134</v>
      </c>
      <c r="M4454" s="128">
        <v>632837</v>
      </c>
      <c r="N4454" s="109"/>
      <c r="O4454" s="19"/>
      <c r="P4454" s="19" t="s">
        <v>5228</v>
      </c>
      <c r="Q4454" s="19" t="s">
        <v>7314</v>
      </c>
    </row>
    <row r="4455" spans="1:17" ht="24.9" customHeight="1">
      <c r="A4455" s="20"/>
      <c r="B4455" s="20" t="s">
        <v>5101</v>
      </c>
      <c r="C4455" s="19" t="s">
        <v>4325</v>
      </c>
      <c r="D4455" s="19" t="s">
        <v>3366</v>
      </c>
      <c r="E4455" s="19" t="str">
        <f>VLOOKUP(D4455,'لیست پرسنل'!$B$2:$E$1020,3,FALSE)</f>
        <v>فکورصنعت</v>
      </c>
      <c r="F4455" s="19" t="str">
        <f>VLOOKUP(D4455,'لیست پرسنل'!$B$2:$E$1020,4,FALSE)</f>
        <v>QC</v>
      </c>
      <c r="G4455" s="127">
        <f>VLOOKUP(D4455,'لیست پرسنل'!$B$2:$F$1020,2,FALSE)</f>
        <v>4010702</v>
      </c>
      <c r="H4455" s="126" t="s">
        <v>7045</v>
      </c>
      <c r="I4455" s="127" t="s">
        <v>4325</v>
      </c>
      <c r="J4455" s="127" t="s">
        <v>571</v>
      </c>
      <c r="K4455" s="127" t="s">
        <v>6588</v>
      </c>
      <c r="L4455" s="128"/>
      <c r="M4455" s="127">
        <v>632463</v>
      </c>
      <c r="N4455" s="109"/>
      <c r="O4455" s="19"/>
      <c r="P4455" s="19" t="s">
        <v>5228</v>
      </c>
      <c r="Q4455" s="19" t="s">
        <v>7314</v>
      </c>
    </row>
    <row r="4456" spans="1:17" ht="24.9" customHeight="1">
      <c r="A4456" s="20"/>
      <c r="B4456" s="20" t="s">
        <v>5101</v>
      </c>
      <c r="C4456" s="19" t="s">
        <v>4325</v>
      </c>
      <c r="D4456" s="19" t="s">
        <v>3366</v>
      </c>
      <c r="E4456" s="19" t="str">
        <f>VLOOKUP(D4456,'لیست پرسنل'!$B$2:$E$1020,3,FALSE)</f>
        <v>فکورصنعت</v>
      </c>
      <c r="F4456" s="19" t="str">
        <f>VLOOKUP(D4456,'لیست پرسنل'!$B$2:$E$1020,4,FALSE)</f>
        <v>QC</v>
      </c>
      <c r="G4456" s="127">
        <f>VLOOKUP(D4456,'لیست پرسنل'!$B$2:$F$1020,2,FALSE)</f>
        <v>4010702</v>
      </c>
      <c r="H4456" s="126" t="s">
        <v>7045</v>
      </c>
      <c r="I4456" s="127" t="s">
        <v>4325</v>
      </c>
      <c r="J4456" s="128" t="s">
        <v>2686</v>
      </c>
      <c r="K4456" s="128" t="s">
        <v>890</v>
      </c>
      <c r="L4456" s="128" t="s">
        <v>2893</v>
      </c>
      <c r="M4456" s="127">
        <v>633608</v>
      </c>
      <c r="N4456" s="109"/>
      <c r="O4456" s="19" t="s">
        <v>6270</v>
      </c>
      <c r="P4456" s="19" t="s">
        <v>5228</v>
      </c>
      <c r="Q4456" s="19" t="s">
        <v>7314</v>
      </c>
    </row>
    <row r="4457" spans="1:17" ht="24.9" customHeight="1">
      <c r="A4457" s="20"/>
      <c r="B4457" s="20" t="s">
        <v>5101</v>
      </c>
      <c r="C4457" s="19" t="s">
        <v>4325</v>
      </c>
      <c r="D4457" s="19" t="s">
        <v>6710</v>
      </c>
      <c r="E4457" s="19" t="str">
        <f>VLOOKUP(D4457,'لیست پرسنل'!$B$2:$E$1020,3,FALSE)</f>
        <v>فکورصنعت</v>
      </c>
      <c r="F4457" s="19" t="str">
        <f>VLOOKUP(D4457,'لیست پرسنل'!$B$2:$E$1020,4,FALSE)</f>
        <v>HSE</v>
      </c>
      <c r="G4457" s="127">
        <f>VLOOKUP(D4457,'لیست پرسنل'!$B$2:$F$1020,2,FALSE)</f>
        <v>4011008</v>
      </c>
      <c r="H4457" s="126" t="s">
        <v>7045</v>
      </c>
      <c r="I4457" s="127" t="s">
        <v>4325</v>
      </c>
      <c r="J4457" s="127" t="s">
        <v>571</v>
      </c>
      <c r="K4457" s="127" t="s">
        <v>6588</v>
      </c>
      <c r="L4457" s="127"/>
      <c r="M4457" s="127">
        <v>632461</v>
      </c>
      <c r="N4457" s="109"/>
      <c r="O4457" s="19"/>
      <c r="P4457" s="19" t="s">
        <v>5228</v>
      </c>
      <c r="Q4457" s="19" t="s">
        <v>7314</v>
      </c>
    </row>
    <row r="4458" spans="1:17" ht="24.9" customHeight="1">
      <c r="A4458" s="20"/>
      <c r="B4458" s="20" t="s">
        <v>5101</v>
      </c>
      <c r="C4458" s="19" t="s">
        <v>4325</v>
      </c>
      <c r="D4458" s="19" t="s">
        <v>6710</v>
      </c>
      <c r="E4458" s="19" t="str">
        <f>VLOOKUP(D4458,'لیست پرسنل'!$B$2:$E$1020,3,FALSE)</f>
        <v>فکورصنعت</v>
      </c>
      <c r="F4458" s="19" t="str">
        <f>VLOOKUP(D4458,'لیست پرسنل'!$B$2:$E$1020,4,FALSE)</f>
        <v>HSE</v>
      </c>
      <c r="G4458" s="127">
        <f>VLOOKUP(D4458,'لیست پرسنل'!$B$2:$F$1020,2,FALSE)</f>
        <v>4011008</v>
      </c>
      <c r="H4458" s="126" t="s">
        <v>7045</v>
      </c>
      <c r="I4458" s="127" t="s">
        <v>4325</v>
      </c>
      <c r="J4458" s="128" t="s">
        <v>2686</v>
      </c>
      <c r="K4458" s="128" t="s">
        <v>890</v>
      </c>
      <c r="L4458" s="127" t="s">
        <v>1606</v>
      </c>
      <c r="M4458" s="127">
        <v>633607</v>
      </c>
      <c r="N4458" s="109"/>
      <c r="O4458" s="19" t="s">
        <v>6269</v>
      </c>
      <c r="P4458" s="19" t="s">
        <v>5228</v>
      </c>
      <c r="Q4458" s="19" t="s">
        <v>7314</v>
      </c>
    </row>
    <row r="4459" spans="1:17" ht="24.9" customHeight="1">
      <c r="A4459" s="20"/>
      <c r="B4459" s="20" t="s">
        <v>5101</v>
      </c>
      <c r="C4459" s="19" t="s">
        <v>4325</v>
      </c>
      <c r="D4459" s="20" t="s">
        <v>6912</v>
      </c>
      <c r="E4459" s="19" t="str">
        <f>VLOOKUP(D4459,'لیست پرسنل'!$B$2:$E$1020,3,FALSE)</f>
        <v>گهر کوشان سپهر</v>
      </c>
      <c r="F4459" s="19" t="str">
        <f>VLOOKUP(D4459,'لیست پرسنل'!$B$2:$E$1020,4,FALSE)</f>
        <v>تدارکات</v>
      </c>
      <c r="G4459" s="127">
        <f>VLOOKUP(D4459,'لیست پرسنل'!$B$2:$F$1020,2,FALSE)</f>
        <v>20841</v>
      </c>
      <c r="H4459" s="126" t="s">
        <v>7045</v>
      </c>
      <c r="I4459" s="127" t="s">
        <v>4325</v>
      </c>
      <c r="J4459" s="127" t="s">
        <v>571</v>
      </c>
      <c r="K4459" s="127" t="s">
        <v>1513</v>
      </c>
      <c r="L4459" s="127"/>
      <c r="M4459" s="128">
        <v>632789</v>
      </c>
      <c r="N4459" s="109"/>
      <c r="O4459" s="19"/>
      <c r="P4459" s="19" t="s">
        <v>5228</v>
      </c>
      <c r="Q4459" s="19" t="s">
        <v>7314</v>
      </c>
    </row>
    <row r="4460" spans="1:17" ht="24.9" customHeight="1">
      <c r="A4460" s="20"/>
      <c r="B4460" s="20" t="s">
        <v>5101</v>
      </c>
      <c r="C4460" s="19" t="s">
        <v>4325</v>
      </c>
      <c r="D4460" s="20" t="s">
        <v>6912</v>
      </c>
      <c r="E4460" s="19" t="str">
        <f>VLOOKUP(D4460,'لیست پرسنل'!$B$2:$E$1020,3,FALSE)</f>
        <v>گهر کوشان سپهر</v>
      </c>
      <c r="F4460" s="19" t="str">
        <f>VLOOKUP(D4460,'لیست پرسنل'!$B$2:$E$1020,4,FALSE)</f>
        <v>تدارکات</v>
      </c>
      <c r="G4460" s="127">
        <f>VLOOKUP(D4460,'لیست پرسنل'!$B$2:$F$1020,2,FALSE)</f>
        <v>20841</v>
      </c>
      <c r="H4460" s="126" t="s">
        <v>7045</v>
      </c>
      <c r="I4460" s="127" t="s">
        <v>4325</v>
      </c>
      <c r="J4460" s="127" t="s">
        <v>5618</v>
      </c>
      <c r="K4460" s="127" t="s">
        <v>8115</v>
      </c>
      <c r="L4460" s="127" t="s">
        <v>6209</v>
      </c>
      <c r="M4460" s="128">
        <v>632798</v>
      </c>
      <c r="N4460" s="109"/>
      <c r="O4460" s="19"/>
      <c r="P4460" s="19" t="s">
        <v>5228</v>
      </c>
      <c r="Q4460" s="19" t="s">
        <v>7314</v>
      </c>
    </row>
    <row r="4461" spans="1:17" ht="24.9" customHeight="1">
      <c r="A4461" s="20"/>
      <c r="B4461" s="19" t="s">
        <v>5101</v>
      </c>
      <c r="C4461" s="19"/>
      <c r="D4461" s="19" t="s">
        <v>4338</v>
      </c>
      <c r="E4461" s="19">
        <f>VLOOKUP(D4461,'لیست پرسنل'!$B$2:$E$1020,3,FALSE)</f>
        <v>0</v>
      </c>
      <c r="F4461" s="19">
        <f>VLOOKUP(D4461,'لیست پرسنل'!$B$2:$E$1020,4,FALSE)</f>
        <v>0</v>
      </c>
      <c r="G4461" s="127">
        <f>VLOOKUP(D4461,'لیست پرسنل'!$B$2:$F$1020,2,FALSE)</f>
        <v>0</v>
      </c>
      <c r="H4461" s="127" t="s">
        <v>4339</v>
      </c>
      <c r="I4461" s="127" t="s">
        <v>4325</v>
      </c>
      <c r="J4461" s="127" t="s">
        <v>571</v>
      </c>
      <c r="K4461" s="128" t="s">
        <v>2054</v>
      </c>
      <c r="L4461" s="128"/>
      <c r="M4461" s="127">
        <v>601354</v>
      </c>
      <c r="N4461" s="109"/>
      <c r="O4461" s="20" t="s">
        <v>4338</v>
      </c>
      <c r="P4461" s="20" t="s">
        <v>3834</v>
      </c>
      <c r="Q4461" s="20" t="s">
        <v>6047</v>
      </c>
    </row>
    <row r="4462" spans="1:17" ht="24.9" customHeight="1">
      <c r="A4462" s="20"/>
      <c r="B4462" s="19" t="s">
        <v>5101</v>
      </c>
      <c r="C4462" s="19"/>
      <c r="D4462" s="19" t="s">
        <v>4338</v>
      </c>
      <c r="E4462" s="19">
        <f>VLOOKUP(D4462,'لیست پرسنل'!$B$2:$E$1020,3,FALSE)</f>
        <v>0</v>
      </c>
      <c r="F4462" s="19">
        <f>VLOOKUP(D4462,'لیست پرسنل'!$B$2:$E$1020,4,FALSE)</f>
        <v>0</v>
      </c>
      <c r="G4462" s="127">
        <f>VLOOKUP(D4462,'لیست پرسنل'!$B$2:$F$1020,2,FALSE)</f>
        <v>0</v>
      </c>
      <c r="H4462" s="127" t="s">
        <v>4339</v>
      </c>
      <c r="I4462" s="127" t="s">
        <v>4325</v>
      </c>
      <c r="J4462" s="127" t="s">
        <v>571</v>
      </c>
      <c r="K4462" s="127" t="s">
        <v>2054</v>
      </c>
      <c r="L4462" s="151"/>
      <c r="M4462" s="127">
        <v>605409</v>
      </c>
      <c r="N4462" s="109"/>
      <c r="O4462" s="20" t="s">
        <v>4338</v>
      </c>
      <c r="P4462" s="20" t="s">
        <v>4338</v>
      </c>
      <c r="Q4462" s="20" t="s">
        <v>6047</v>
      </c>
    </row>
    <row r="4463" spans="1:17" ht="24.9" customHeight="1">
      <c r="A4463" s="20"/>
      <c r="B4463" s="19" t="s">
        <v>5101</v>
      </c>
      <c r="C4463" s="19"/>
      <c r="D4463" s="19" t="s">
        <v>4338</v>
      </c>
      <c r="E4463" s="19">
        <f>VLOOKUP(D4463,'لیست پرسنل'!$B$2:$E$1020,3,FALSE)</f>
        <v>0</v>
      </c>
      <c r="F4463" s="19">
        <f>VLOOKUP(D4463,'لیست پرسنل'!$B$2:$E$1020,4,FALSE)</f>
        <v>0</v>
      </c>
      <c r="G4463" s="127">
        <f>VLOOKUP(D4463,'لیست پرسنل'!$B$2:$F$1020,2,FALSE)</f>
        <v>0</v>
      </c>
      <c r="H4463" s="127" t="s">
        <v>4339</v>
      </c>
      <c r="I4463" s="151" t="s">
        <v>4325</v>
      </c>
      <c r="J4463" s="127" t="s">
        <v>571</v>
      </c>
      <c r="K4463" s="128" t="s">
        <v>2054</v>
      </c>
      <c r="L4463" s="151"/>
      <c r="M4463" s="127">
        <v>606563</v>
      </c>
      <c r="N4463" s="109"/>
      <c r="O4463" s="20" t="s">
        <v>4338</v>
      </c>
      <c r="P4463" s="20" t="s">
        <v>4338</v>
      </c>
      <c r="Q4463" s="20" t="s">
        <v>6047</v>
      </c>
    </row>
    <row r="4464" spans="1:17" ht="24.9" customHeight="1">
      <c r="A4464" s="20"/>
      <c r="B4464" s="19" t="s">
        <v>5101</v>
      </c>
      <c r="C4464" s="19"/>
      <c r="D4464" s="19" t="s">
        <v>4338</v>
      </c>
      <c r="E4464" s="19">
        <f>VLOOKUP(D4464,'لیست پرسنل'!$B$2:$E$1020,3,FALSE)</f>
        <v>0</v>
      </c>
      <c r="F4464" s="19">
        <f>VLOOKUP(D4464,'لیست پرسنل'!$B$2:$E$1020,4,FALSE)</f>
        <v>0</v>
      </c>
      <c r="G4464" s="127">
        <f>VLOOKUP(D4464,'لیست پرسنل'!$B$2:$F$1020,2,FALSE)</f>
        <v>0</v>
      </c>
      <c r="H4464" s="127" t="s">
        <v>4339</v>
      </c>
      <c r="I4464" s="151" t="s">
        <v>4325</v>
      </c>
      <c r="J4464" s="127" t="s">
        <v>571</v>
      </c>
      <c r="K4464" s="135" t="s">
        <v>3784</v>
      </c>
      <c r="L4464" s="151"/>
      <c r="M4464" s="127">
        <v>609700</v>
      </c>
      <c r="N4464" s="109"/>
      <c r="O4464" s="20" t="s">
        <v>4338</v>
      </c>
      <c r="P4464" s="20" t="s">
        <v>4338</v>
      </c>
      <c r="Q4464" s="20" t="s">
        <v>6047</v>
      </c>
    </row>
    <row r="4465" spans="1:17" ht="24.9" customHeight="1">
      <c r="A4465" s="20"/>
      <c r="B4465" s="19" t="s">
        <v>5101</v>
      </c>
      <c r="C4465" s="19"/>
      <c r="D4465" s="19" t="s">
        <v>4338</v>
      </c>
      <c r="E4465" s="19">
        <f>VLOOKUP(D4465,'لیست پرسنل'!$B$2:$E$1020,3,FALSE)</f>
        <v>0</v>
      </c>
      <c r="F4465" s="19">
        <f>VLOOKUP(D4465,'لیست پرسنل'!$B$2:$E$1020,4,FALSE)</f>
        <v>0</v>
      </c>
      <c r="G4465" s="127">
        <f>VLOOKUP(D4465,'لیست پرسنل'!$B$2:$F$1020,2,FALSE)</f>
        <v>0</v>
      </c>
      <c r="H4465" s="127" t="s">
        <v>4339</v>
      </c>
      <c r="I4465" s="151" t="s">
        <v>4325</v>
      </c>
      <c r="J4465" s="127" t="s">
        <v>571</v>
      </c>
      <c r="K4465" s="128" t="s">
        <v>2054</v>
      </c>
      <c r="L4465" s="127"/>
      <c r="M4465" s="127">
        <v>614685</v>
      </c>
      <c r="N4465" s="109"/>
      <c r="O4465" s="20" t="s">
        <v>4338</v>
      </c>
      <c r="P4465" s="20" t="s">
        <v>4338</v>
      </c>
      <c r="Q4465" s="20" t="s">
        <v>6047</v>
      </c>
    </row>
    <row r="4466" spans="1:17" ht="24.9" customHeight="1">
      <c r="A4466" s="20"/>
      <c r="B4466" s="19" t="s">
        <v>5101</v>
      </c>
      <c r="C4466" s="19"/>
      <c r="D4466" s="19" t="s">
        <v>5053</v>
      </c>
      <c r="E4466" s="19" t="str">
        <f>VLOOKUP(D4466,'لیست پرسنل'!$B$2:$E$1020,3,FALSE)</f>
        <v>خیریه</v>
      </c>
      <c r="F4466" s="19" t="str">
        <f>VLOOKUP(D4466,'لیست پرسنل'!$B$2:$E$1020,4,FALSE)</f>
        <v>خیریه</v>
      </c>
      <c r="G4466" s="127">
        <f>VLOOKUP(D4466,'لیست پرسنل'!$B$2:$F$1020,2,FALSE)</f>
        <v>0</v>
      </c>
      <c r="H4466" s="128" t="s">
        <v>5691</v>
      </c>
      <c r="I4466" s="151" t="s">
        <v>4325</v>
      </c>
      <c r="J4466" s="128" t="s">
        <v>2686</v>
      </c>
      <c r="K4466" s="127" t="s">
        <v>852</v>
      </c>
      <c r="L4466" s="151" t="s">
        <v>1247</v>
      </c>
      <c r="M4466" s="127">
        <v>602424</v>
      </c>
      <c r="N4466" s="108"/>
      <c r="O4466" s="79" t="s">
        <v>4934</v>
      </c>
      <c r="P4466" s="20" t="s">
        <v>5228</v>
      </c>
      <c r="Q4466" s="20" t="s">
        <v>5055</v>
      </c>
    </row>
    <row r="4467" spans="1:17" ht="24.9" customHeight="1">
      <c r="A4467" s="20"/>
      <c r="B4467" s="19" t="s">
        <v>5101</v>
      </c>
      <c r="C4467" s="19"/>
      <c r="D4467" s="19" t="s">
        <v>5053</v>
      </c>
      <c r="E4467" s="19" t="str">
        <f>VLOOKUP(D4467,'لیست پرسنل'!$B$2:$E$1020,3,FALSE)</f>
        <v>خیریه</v>
      </c>
      <c r="F4467" s="19" t="str">
        <f>VLOOKUP(D4467,'لیست پرسنل'!$B$2:$E$1020,4,FALSE)</f>
        <v>خیریه</v>
      </c>
      <c r="G4467" s="127">
        <f>VLOOKUP(D4467,'لیست پرسنل'!$B$2:$F$1020,2,FALSE)</f>
        <v>0</v>
      </c>
      <c r="H4467" s="128" t="s">
        <v>5691</v>
      </c>
      <c r="I4467" s="151" t="s">
        <v>4325</v>
      </c>
      <c r="J4467" s="128" t="s">
        <v>2686</v>
      </c>
      <c r="K4467" s="128" t="s">
        <v>402</v>
      </c>
      <c r="L4467" s="127" t="s">
        <v>403</v>
      </c>
      <c r="M4467" s="127">
        <v>604005</v>
      </c>
      <c r="N4467" s="108"/>
      <c r="O4467" s="19"/>
      <c r="P4467" s="20" t="s">
        <v>4326</v>
      </c>
      <c r="Q4467" s="20" t="s">
        <v>7008</v>
      </c>
    </row>
    <row r="4468" spans="1:17" ht="24.9" customHeight="1">
      <c r="A4468" s="20"/>
      <c r="B4468" s="19" t="s">
        <v>5101</v>
      </c>
      <c r="C4468" s="19"/>
      <c r="D4468" s="19" t="s">
        <v>5053</v>
      </c>
      <c r="E4468" s="19" t="str">
        <f>VLOOKUP(D4468,'لیست پرسنل'!$B$2:$E$1020,3,FALSE)</f>
        <v>خیریه</v>
      </c>
      <c r="F4468" s="19" t="str">
        <f>VLOOKUP(D4468,'لیست پرسنل'!$B$2:$E$1020,4,FALSE)</f>
        <v>خیریه</v>
      </c>
      <c r="G4468" s="127">
        <f>VLOOKUP(D4468,'لیست پرسنل'!$B$2:$F$1020,2,FALSE)</f>
        <v>0</v>
      </c>
      <c r="H4468" s="128" t="s">
        <v>5691</v>
      </c>
      <c r="I4468" s="151" t="s">
        <v>4325</v>
      </c>
      <c r="J4468" s="128" t="s">
        <v>2686</v>
      </c>
      <c r="K4468" s="127" t="s">
        <v>509</v>
      </c>
      <c r="L4468" s="151" t="s">
        <v>1282</v>
      </c>
      <c r="M4468" s="127">
        <v>605338</v>
      </c>
      <c r="N4468" s="109"/>
      <c r="O4468" s="86"/>
      <c r="P4468" s="20" t="s">
        <v>4338</v>
      </c>
      <c r="Q4468" s="20" t="s">
        <v>5055</v>
      </c>
    </row>
    <row r="4469" spans="1:17" ht="24.9" customHeight="1">
      <c r="A4469" s="20"/>
      <c r="B4469" s="19" t="s">
        <v>5101</v>
      </c>
      <c r="C4469" s="19"/>
      <c r="D4469" s="19" t="s">
        <v>5053</v>
      </c>
      <c r="E4469" s="19" t="str">
        <f>VLOOKUP(D4469,'لیست پرسنل'!$B$2:$E$1020,3,FALSE)</f>
        <v>خیریه</v>
      </c>
      <c r="F4469" s="19" t="str">
        <f>VLOOKUP(D4469,'لیست پرسنل'!$B$2:$E$1020,4,FALSE)</f>
        <v>خیریه</v>
      </c>
      <c r="G4469" s="127">
        <f>VLOOKUP(D4469,'لیست پرسنل'!$B$2:$F$1020,2,FALSE)</f>
        <v>0</v>
      </c>
      <c r="H4469" s="128" t="s">
        <v>5691</v>
      </c>
      <c r="I4469" s="151" t="s">
        <v>4325</v>
      </c>
      <c r="J4469" s="128" t="s">
        <v>2686</v>
      </c>
      <c r="K4469" s="128" t="s">
        <v>775</v>
      </c>
      <c r="L4469" s="128" t="s">
        <v>413</v>
      </c>
      <c r="M4469" s="127">
        <v>605716</v>
      </c>
      <c r="N4469" s="108"/>
      <c r="O4469" s="19"/>
      <c r="P4469" s="20" t="s">
        <v>4338</v>
      </c>
      <c r="Q4469" s="20" t="s">
        <v>5055</v>
      </c>
    </row>
    <row r="4470" spans="1:17" ht="24.9" customHeight="1">
      <c r="A4470" s="20"/>
      <c r="B4470" s="19" t="s">
        <v>5101</v>
      </c>
      <c r="C4470" s="19"/>
      <c r="D4470" s="19" t="s">
        <v>5053</v>
      </c>
      <c r="E4470" s="19" t="str">
        <f>VLOOKUP(D4470,'لیست پرسنل'!$B$2:$E$1020,3,FALSE)</f>
        <v>خیریه</v>
      </c>
      <c r="F4470" s="19" t="str">
        <f>VLOOKUP(D4470,'لیست پرسنل'!$B$2:$E$1020,4,FALSE)</f>
        <v>خیریه</v>
      </c>
      <c r="G4470" s="127">
        <f>VLOOKUP(D4470,'لیست پرسنل'!$B$2:$F$1020,2,FALSE)</f>
        <v>0</v>
      </c>
      <c r="H4470" s="128" t="s">
        <v>5691</v>
      </c>
      <c r="I4470" s="151" t="s">
        <v>4325</v>
      </c>
      <c r="J4470" s="128" t="s">
        <v>2686</v>
      </c>
      <c r="K4470" s="135" t="s">
        <v>1045</v>
      </c>
      <c r="L4470" s="154" t="s">
        <v>1808</v>
      </c>
      <c r="M4470" s="128">
        <v>610117</v>
      </c>
      <c r="N4470" s="108"/>
      <c r="O4470" s="20"/>
      <c r="P4470" s="20" t="s">
        <v>4338</v>
      </c>
      <c r="Q4470" s="20" t="s">
        <v>5055</v>
      </c>
    </row>
    <row r="4471" spans="1:17" ht="24.9" customHeight="1">
      <c r="A4471" s="20"/>
      <c r="B4471" s="20" t="s">
        <v>4636</v>
      </c>
      <c r="C4471" s="20"/>
      <c r="D4471" s="20" t="s">
        <v>4325</v>
      </c>
      <c r="E4471" s="19">
        <f>VLOOKUP(D4471,'لیست پرسنل'!$B$2:$E$1020,3,FALSE)</f>
        <v>0</v>
      </c>
      <c r="F4471" s="19">
        <f>VLOOKUP(D4471,'لیست پرسنل'!$B$2:$E$1020,4,FALSE)</f>
        <v>0</v>
      </c>
      <c r="G4471" s="127">
        <f>VLOOKUP(D4471,'لیست پرسنل'!$B$2:$F$1020,2,FALSE)</f>
        <v>0</v>
      </c>
      <c r="H4471" s="128" t="s">
        <v>2652</v>
      </c>
      <c r="I4471" s="127" t="s">
        <v>4325</v>
      </c>
      <c r="J4471" s="128" t="s">
        <v>5366</v>
      </c>
      <c r="K4471" s="128" t="s">
        <v>4452</v>
      </c>
      <c r="L4471" s="128"/>
      <c r="M4471" s="128">
        <v>607628</v>
      </c>
      <c r="N4471" s="108"/>
      <c r="O4471" s="95"/>
      <c r="P4471" s="20" t="s">
        <v>5869</v>
      </c>
      <c r="Q4471" s="20"/>
    </row>
    <row r="4472" spans="1:17" ht="24.9" customHeight="1">
      <c r="A4472" s="20"/>
      <c r="B4472" s="20" t="s">
        <v>4636</v>
      </c>
      <c r="C4472" s="20"/>
      <c r="D4472" s="20" t="s">
        <v>4325</v>
      </c>
      <c r="E4472" s="19">
        <f>VLOOKUP(D4472,'لیست پرسنل'!$B$2:$E$1020,3,FALSE)</f>
        <v>0</v>
      </c>
      <c r="F4472" s="19">
        <f>VLOOKUP(D4472,'لیست پرسنل'!$B$2:$E$1020,4,FALSE)</f>
        <v>0</v>
      </c>
      <c r="G4472" s="127">
        <f>VLOOKUP(D4472,'لیست پرسنل'!$B$2:$F$1020,2,FALSE)</f>
        <v>0</v>
      </c>
      <c r="H4472" s="128" t="s">
        <v>2652</v>
      </c>
      <c r="I4472" s="127" t="s">
        <v>4325</v>
      </c>
      <c r="J4472" s="128" t="s">
        <v>4718</v>
      </c>
      <c r="K4472" s="128" t="s">
        <v>3204</v>
      </c>
      <c r="L4472" s="128"/>
      <c r="M4472" s="142">
        <v>623619</v>
      </c>
      <c r="N4472" s="108"/>
      <c r="O4472" s="20"/>
      <c r="P4472" s="20" t="s">
        <v>3202</v>
      </c>
      <c r="Q4472" s="20">
        <v>14010317</v>
      </c>
    </row>
    <row r="4473" spans="1:17" ht="24.9" customHeight="1">
      <c r="A4473" s="20"/>
      <c r="B4473" s="20" t="s">
        <v>4636</v>
      </c>
      <c r="C4473" s="20"/>
      <c r="D4473" s="20" t="s">
        <v>4325</v>
      </c>
      <c r="E4473" s="19">
        <f>VLOOKUP(D4473,'لیست پرسنل'!$B$2:$E$1020,3,FALSE)</f>
        <v>0</v>
      </c>
      <c r="F4473" s="19">
        <f>VLOOKUP(D4473,'لیست پرسنل'!$B$2:$E$1020,4,FALSE)</f>
        <v>0</v>
      </c>
      <c r="G4473" s="127">
        <f>VLOOKUP(D4473,'لیست پرسنل'!$B$2:$F$1020,2,FALSE)</f>
        <v>0</v>
      </c>
      <c r="H4473" s="128" t="s">
        <v>2652</v>
      </c>
      <c r="I4473" s="127" t="s">
        <v>4325</v>
      </c>
      <c r="J4473" s="128" t="s">
        <v>4718</v>
      </c>
      <c r="K4473" s="128" t="s">
        <v>3204</v>
      </c>
      <c r="L4473" s="128"/>
      <c r="M4473" s="142">
        <v>623620</v>
      </c>
      <c r="N4473" s="108"/>
      <c r="O4473" s="20"/>
      <c r="P4473" s="20" t="s">
        <v>3202</v>
      </c>
      <c r="Q4473" s="20">
        <v>14010317</v>
      </c>
    </row>
    <row r="4474" spans="1:17" ht="24.9" customHeight="1">
      <c r="A4474" s="20"/>
      <c r="B4474" s="20" t="s">
        <v>4636</v>
      </c>
      <c r="C4474" s="20"/>
      <c r="D4474" s="20" t="s">
        <v>4325</v>
      </c>
      <c r="E4474" s="19">
        <f>VLOOKUP(D4474,'لیست پرسنل'!$B$2:$E$1020,3,FALSE)</f>
        <v>0</v>
      </c>
      <c r="F4474" s="19">
        <f>VLOOKUP(D4474,'لیست پرسنل'!$B$2:$E$1020,4,FALSE)</f>
        <v>0</v>
      </c>
      <c r="G4474" s="127">
        <f>VLOOKUP(D4474,'لیست پرسنل'!$B$2:$F$1020,2,FALSE)</f>
        <v>0</v>
      </c>
      <c r="H4474" s="128" t="s">
        <v>2652</v>
      </c>
      <c r="I4474" s="127" t="s">
        <v>4325</v>
      </c>
      <c r="J4474" s="128" t="s">
        <v>4718</v>
      </c>
      <c r="K4474" s="128" t="s">
        <v>3204</v>
      </c>
      <c r="L4474" s="128"/>
      <c r="M4474" s="142">
        <v>623621</v>
      </c>
      <c r="N4474" s="108"/>
      <c r="O4474" s="20"/>
      <c r="P4474" s="20" t="s">
        <v>3202</v>
      </c>
      <c r="Q4474" s="20">
        <v>14010317</v>
      </c>
    </row>
    <row r="4475" spans="1:17" ht="24.9" customHeight="1">
      <c r="A4475" s="20"/>
      <c r="B4475" s="20" t="s">
        <v>4636</v>
      </c>
      <c r="C4475" s="20"/>
      <c r="D4475" s="20" t="s">
        <v>4325</v>
      </c>
      <c r="E4475" s="19">
        <f>VLOOKUP(D4475,'لیست پرسنل'!$B$2:$E$1020,3,FALSE)</f>
        <v>0</v>
      </c>
      <c r="F4475" s="19">
        <f>VLOOKUP(D4475,'لیست پرسنل'!$B$2:$E$1020,4,FALSE)</f>
        <v>0</v>
      </c>
      <c r="G4475" s="127">
        <f>VLOOKUP(D4475,'لیست پرسنل'!$B$2:$F$1020,2,FALSE)</f>
        <v>0</v>
      </c>
      <c r="H4475" s="128" t="s">
        <v>2652</v>
      </c>
      <c r="I4475" s="127" t="s">
        <v>4325</v>
      </c>
      <c r="J4475" s="128" t="s">
        <v>4718</v>
      </c>
      <c r="K4475" s="128" t="s">
        <v>3203</v>
      </c>
      <c r="L4475" s="128"/>
      <c r="M4475" s="142">
        <v>623631</v>
      </c>
      <c r="N4475" s="108"/>
      <c r="O4475" s="20"/>
      <c r="P4475" s="20" t="s">
        <v>3202</v>
      </c>
      <c r="Q4475" s="20">
        <v>14010317</v>
      </c>
    </row>
    <row r="4476" spans="1:17" ht="24.9" customHeight="1">
      <c r="A4476" s="20"/>
      <c r="B4476" s="20" t="s">
        <v>4636</v>
      </c>
      <c r="C4476" s="20"/>
      <c r="D4476" s="20" t="s">
        <v>4325</v>
      </c>
      <c r="E4476" s="19">
        <f>VLOOKUP(D4476,'لیست پرسنل'!$B$2:$E$1020,3,FALSE)</f>
        <v>0</v>
      </c>
      <c r="F4476" s="19">
        <f>VLOOKUP(D4476,'لیست پرسنل'!$B$2:$E$1020,4,FALSE)</f>
        <v>0</v>
      </c>
      <c r="G4476" s="127">
        <f>VLOOKUP(D4476,'لیست پرسنل'!$B$2:$F$1020,2,FALSE)</f>
        <v>0</v>
      </c>
      <c r="H4476" s="128" t="s">
        <v>2652</v>
      </c>
      <c r="I4476" s="127" t="s">
        <v>4325</v>
      </c>
      <c r="J4476" s="128" t="s">
        <v>4718</v>
      </c>
      <c r="K4476" s="128" t="s">
        <v>3203</v>
      </c>
      <c r="L4476" s="128"/>
      <c r="M4476" s="142">
        <v>623632</v>
      </c>
      <c r="N4476" s="108"/>
      <c r="O4476" s="20"/>
      <c r="P4476" s="20" t="s">
        <v>3202</v>
      </c>
      <c r="Q4476" s="20">
        <v>14010317</v>
      </c>
    </row>
    <row r="4477" spans="1:17" ht="24.9" customHeight="1">
      <c r="A4477" s="20"/>
      <c r="B4477" s="20" t="s">
        <v>4636</v>
      </c>
      <c r="C4477" s="20"/>
      <c r="D4477" s="20" t="s">
        <v>4325</v>
      </c>
      <c r="E4477" s="19">
        <f>VLOOKUP(D4477,'لیست پرسنل'!$B$2:$E$1020,3,FALSE)</f>
        <v>0</v>
      </c>
      <c r="F4477" s="19">
        <f>VLOOKUP(D4477,'لیست پرسنل'!$B$2:$E$1020,4,FALSE)</f>
        <v>0</v>
      </c>
      <c r="G4477" s="127">
        <f>VLOOKUP(D4477,'لیست پرسنل'!$B$2:$F$1020,2,FALSE)</f>
        <v>0</v>
      </c>
      <c r="H4477" s="128" t="s">
        <v>2652</v>
      </c>
      <c r="I4477" s="127" t="s">
        <v>4325</v>
      </c>
      <c r="J4477" s="128" t="s">
        <v>4718</v>
      </c>
      <c r="K4477" s="128" t="s">
        <v>3203</v>
      </c>
      <c r="L4477" s="128"/>
      <c r="M4477" s="142">
        <v>623633</v>
      </c>
      <c r="N4477" s="108"/>
      <c r="O4477" s="20"/>
      <c r="P4477" s="20" t="s">
        <v>3202</v>
      </c>
      <c r="Q4477" s="20">
        <v>14010317</v>
      </c>
    </row>
    <row r="4478" spans="1:17" ht="24.9" customHeight="1">
      <c r="A4478" s="20"/>
      <c r="B4478" s="20" t="s">
        <v>4636</v>
      </c>
      <c r="C4478" s="20"/>
      <c r="D4478" s="20" t="s">
        <v>4325</v>
      </c>
      <c r="E4478" s="19">
        <f>VLOOKUP(D4478,'لیست پرسنل'!$B$2:$E$1020,3,FALSE)</f>
        <v>0</v>
      </c>
      <c r="F4478" s="19">
        <f>VLOOKUP(D4478,'لیست پرسنل'!$B$2:$E$1020,4,FALSE)</f>
        <v>0</v>
      </c>
      <c r="G4478" s="127">
        <f>VLOOKUP(D4478,'لیست پرسنل'!$B$2:$F$1020,2,FALSE)</f>
        <v>0</v>
      </c>
      <c r="H4478" s="128" t="s">
        <v>2652</v>
      </c>
      <c r="I4478" s="127" t="s">
        <v>4325</v>
      </c>
      <c r="J4478" s="128" t="s">
        <v>4718</v>
      </c>
      <c r="K4478" s="128" t="s">
        <v>3203</v>
      </c>
      <c r="L4478" s="128"/>
      <c r="M4478" s="142">
        <v>623634</v>
      </c>
      <c r="N4478" s="108"/>
      <c r="O4478" s="20"/>
      <c r="P4478" s="20" t="s">
        <v>3202</v>
      </c>
      <c r="Q4478" s="20">
        <v>14010317</v>
      </c>
    </row>
    <row r="4479" spans="1:17" ht="24.9" customHeight="1">
      <c r="A4479" s="20"/>
      <c r="B4479" s="20" t="s">
        <v>4636</v>
      </c>
      <c r="C4479" s="20"/>
      <c r="D4479" s="20" t="s">
        <v>4325</v>
      </c>
      <c r="E4479" s="19">
        <f>VLOOKUP(D4479,'لیست پرسنل'!$B$2:$E$1020,3,FALSE)</f>
        <v>0</v>
      </c>
      <c r="F4479" s="19">
        <f>VLOOKUP(D4479,'لیست پرسنل'!$B$2:$E$1020,4,FALSE)</f>
        <v>0</v>
      </c>
      <c r="G4479" s="127">
        <f>VLOOKUP(D4479,'لیست پرسنل'!$B$2:$F$1020,2,FALSE)</f>
        <v>0</v>
      </c>
      <c r="H4479" s="128" t="s">
        <v>2652</v>
      </c>
      <c r="I4479" s="127" t="s">
        <v>4325</v>
      </c>
      <c r="J4479" s="128" t="s">
        <v>4718</v>
      </c>
      <c r="K4479" s="128" t="s">
        <v>3203</v>
      </c>
      <c r="L4479" s="128"/>
      <c r="M4479" s="142">
        <v>623635</v>
      </c>
      <c r="N4479" s="108"/>
      <c r="O4479" s="20"/>
      <c r="P4479" s="20" t="s">
        <v>3202</v>
      </c>
      <c r="Q4479" s="20">
        <v>14010317</v>
      </c>
    </row>
    <row r="4480" spans="1:17" ht="24.9" customHeight="1">
      <c r="A4480" s="20"/>
      <c r="B4480" s="20" t="s">
        <v>4636</v>
      </c>
      <c r="C4480" s="20"/>
      <c r="D4480" s="20" t="s">
        <v>4325</v>
      </c>
      <c r="E4480" s="19">
        <f>VLOOKUP(D4480,'لیست پرسنل'!$B$2:$E$1020,3,FALSE)</f>
        <v>0</v>
      </c>
      <c r="F4480" s="19">
        <f>VLOOKUP(D4480,'لیست پرسنل'!$B$2:$E$1020,4,FALSE)</f>
        <v>0</v>
      </c>
      <c r="G4480" s="127">
        <f>VLOOKUP(D4480,'لیست پرسنل'!$B$2:$F$1020,2,FALSE)</f>
        <v>0</v>
      </c>
      <c r="H4480" s="128" t="s">
        <v>3201</v>
      </c>
      <c r="I4480" s="127" t="s">
        <v>4325</v>
      </c>
      <c r="J4480" s="128" t="s">
        <v>4720</v>
      </c>
      <c r="K4480" s="128" t="s">
        <v>3206</v>
      </c>
      <c r="L4480" s="128"/>
      <c r="M4480" s="142">
        <v>300683</v>
      </c>
      <c r="N4480" s="108"/>
      <c r="O4480" s="20"/>
      <c r="P4480" s="20" t="s">
        <v>3202</v>
      </c>
      <c r="Q4480" s="20">
        <v>13960426</v>
      </c>
    </row>
    <row r="4481" spans="1:17" ht="24.9" customHeight="1">
      <c r="A4481" s="20"/>
      <c r="B4481" s="20" t="s">
        <v>4636</v>
      </c>
      <c r="C4481" s="20"/>
      <c r="D4481" s="20" t="s">
        <v>4325</v>
      </c>
      <c r="E4481" s="19">
        <f>VLOOKUP(D4481,'لیست پرسنل'!$B$2:$E$1020,3,FALSE)</f>
        <v>0</v>
      </c>
      <c r="F4481" s="19">
        <f>VLOOKUP(D4481,'لیست پرسنل'!$B$2:$E$1020,4,FALSE)</f>
        <v>0</v>
      </c>
      <c r="G4481" s="127">
        <f>VLOOKUP(D4481,'لیست پرسنل'!$B$2:$F$1020,2,FALSE)</f>
        <v>0</v>
      </c>
      <c r="H4481" s="128" t="s">
        <v>3201</v>
      </c>
      <c r="I4481" s="127" t="s">
        <v>4325</v>
      </c>
      <c r="J4481" s="128" t="s">
        <v>737</v>
      </c>
      <c r="K4481" s="128" t="s">
        <v>3205</v>
      </c>
      <c r="L4481" s="128"/>
      <c r="M4481" s="142">
        <v>600292</v>
      </c>
      <c r="N4481" s="108"/>
      <c r="O4481" s="20"/>
      <c r="P4481" s="20" t="s">
        <v>3202</v>
      </c>
      <c r="Q4481" s="20">
        <v>13960426</v>
      </c>
    </row>
    <row r="4482" spans="1:17" ht="24.9" customHeight="1">
      <c r="A4482" s="20"/>
      <c r="B4482" s="20" t="s">
        <v>4636</v>
      </c>
      <c r="C4482" s="20"/>
      <c r="D4482" s="20" t="s">
        <v>4325</v>
      </c>
      <c r="E4482" s="19">
        <f>VLOOKUP(D4482,'لیست پرسنل'!$B$2:$E$1020,3,FALSE)</f>
        <v>0</v>
      </c>
      <c r="F4482" s="19">
        <f>VLOOKUP(D4482,'لیست پرسنل'!$B$2:$E$1020,4,FALSE)</f>
        <v>0</v>
      </c>
      <c r="G4482" s="127">
        <f>VLOOKUP(D4482,'لیست پرسنل'!$B$2:$F$1020,2,FALSE)</f>
        <v>0</v>
      </c>
      <c r="H4482" s="128" t="s">
        <v>3201</v>
      </c>
      <c r="I4482" s="127" t="s">
        <v>4325</v>
      </c>
      <c r="J4482" s="128" t="s">
        <v>1967</v>
      </c>
      <c r="K4482" s="128" t="s">
        <v>4475</v>
      </c>
      <c r="L4482" s="128"/>
      <c r="M4482" s="142">
        <v>607450</v>
      </c>
      <c r="N4482" s="108"/>
      <c r="O4482" s="20"/>
      <c r="P4482" s="20" t="s">
        <v>3202</v>
      </c>
      <c r="Q4482" s="20">
        <v>13960426</v>
      </c>
    </row>
    <row r="4483" spans="1:17" ht="24.9" customHeight="1">
      <c r="A4483" s="20"/>
      <c r="B4483" s="20" t="s">
        <v>4636</v>
      </c>
      <c r="C4483" s="20"/>
      <c r="D4483" s="20" t="s">
        <v>4325</v>
      </c>
      <c r="E4483" s="19">
        <f>VLOOKUP(D4483,'لیست پرسنل'!$B$2:$E$1020,3,FALSE)</f>
        <v>0</v>
      </c>
      <c r="F4483" s="19">
        <f>VLOOKUP(D4483,'لیست پرسنل'!$B$2:$E$1020,4,FALSE)</f>
        <v>0</v>
      </c>
      <c r="G4483" s="127">
        <f>VLOOKUP(D4483,'لیست پرسنل'!$B$2:$F$1020,2,FALSE)</f>
        <v>0</v>
      </c>
      <c r="H4483" s="128" t="s">
        <v>3201</v>
      </c>
      <c r="I4483" s="127" t="s">
        <v>4325</v>
      </c>
      <c r="J4483" s="128" t="s">
        <v>3480</v>
      </c>
      <c r="K4483" s="128" t="s">
        <v>4470</v>
      </c>
      <c r="L4483" s="128"/>
      <c r="M4483" s="142">
        <v>612088</v>
      </c>
      <c r="N4483" s="108"/>
      <c r="O4483" s="20"/>
      <c r="P4483" s="20" t="s">
        <v>3202</v>
      </c>
      <c r="Q4483" s="20">
        <v>13960523</v>
      </c>
    </row>
    <row r="4484" spans="1:17" ht="24.9" customHeight="1">
      <c r="A4484" s="20"/>
      <c r="B4484" s="20" t="s">
        <v>4636</v>
      </c>
      <c r="C4484" s="20"/>
      <c r="D4484" s="20" t="s">
        <v>4325</v>
      </c>
      <c r="E4484" s="19">
        <f>VLOOKUP(D4484,'لیست پرسنل'!$B$2:$E$1020,3,FALSE)</f>
        <v>0</v>
      </c>
      <c r="F4484" s="19">
        <f>VLOOKUP(D4484,'لیست پرسنل'!$B$2:$E$1020,4,FALSE)</f>
        <v>0</v>
      </c>
      <c r="G4484" s="127">
        <f>VLOOKUP(D4484,'لیست پرسنل'!$B$2:$F$1020,2,FALSE)</f>
        <v>0</v>
      </c>
      <c r="H4484" s="128" t="s">
        <v>3201</v>
      </c>
      <c r="I4484" s="127" t="s">
        <v>4325</v>
      </c>
      <c r="J4484" s="128" t="s">
        <v>3480</v>
      </c>
      <c r="K4484" s="128" t="s">
        <v>4476</v>
      </c>
      <c r="L4484" s="128"/>
      <c r="M4484" s="142">
        <v>612760</v>
      </c>
      <c r="N4484" s="108"/>
      <c r="O4484" s="20"/>
      <c r="P4484" s="20" t="s">
        <v>3202</v>
      </c>
      <c r="Q4484" s="20">
        <v>13960523</v>
      </c>
    </row>
    <row r="4485" spans="1:17" ht="24.9" customHeight="1">
      <c r="A4485" s="20"/>
      <c r="B4485" s="20" t="s">
        <v>4636</v>
      </c>
      <c r="C4485" s="20"/>
      <c r="D4485" s="20" t="s">
        <v>4325</v>
      </c>
      <c r="E4485" s="19">
        <f>VLOOKUP(D4485,'لیست پرسنل'!$B$2:$E$1020,3,FALSE)</f>
        <v>0</v>
      </c>
      <c r="F4485" s="19">
        <f>VLOOKUP(D4485,'لیست پرسنل'!$B$2:$E$1020,4,FALSE)</f>
        <v>0</v>
      </c>
      <c r="G4485" s="127">
        <f>VLOOKUP(D4485,'لیست پرسنل'!$B$2:$F$1020,2,FALSE)</f>
        <v>0</v>
      </c>
      <c r="H4485" s="128" t="s">
        <v>3201</v>
      </c>
      <c r="I4485" s="127" t="s">
        <v>4325</v>
      </c>
      <c r="J4485" s="128" t="s">
        <v>3480</v>
      </c>
      <c r="K4485" s="128" t="s">
        <v>4476</v>
      </c>
      <c r="L4485" s="128"/>
      <c r="M4485" s="142">
        <v>612761</v>
      </c>
      <c r="N4485" s="108"/>
      <c r="O4485" s="20"/>
      <c r="P4485" s="20" t="s">
        <v>3202</v>
      </c>
      <c r="Q4485" s="20">
        <v>13960523</v>
      </c>
    </row>
    <row r="4486" spans="1:17" ht="24.9" customHeight="1">
      <c r="A4486" s="20"/>
      <c r="B4486" s="20" t="s">
        <v>4636</v>
      </c>
      <c r="C4486" s="20"/>
      <c r="D4486" s="20" t="s">
        <v>4325</v>
      </c>
      <c r="E4486" s="19">
        <f>VLOOKUP(D4486,'لیست پرسنل'!$B$2:$E$1020,3,FALSE)</f>
        <v>0</v>
      </c>
      <c r="F4486" s="19">
        <f>VLOOKUP(D4486,'لیست پرسنل'!$B$2:$E$1020,4,FALSE)</f>
        <v>0</v>
      </c>
      <c r="G4486" s="127">
        <f>VLOOKUP(D4486,'لیست پرسنل'!$B$2:$F$1020,2,FALSE)</f>
        <v>0</v>
      </c>
      <c r="H4486" s="128" t="s">
        <v>3201</v>
      </c>
      <c r="I4486" s="127" t="s">
        <v>4325</v>
      </c>
      <c r="J4486" s="128" t="s">
        <v>3480</v>
      </c>
      <c r="K4486" s="128" t="s">
        <v>4476</v>
      </c>
      <c r="L4486" s="128"/>
      <c r="M4486" s="142">
        <v>612762</v>
      </c>
      <c r="N4486" s="108"/>
      <c r="O4486" s="20"/>
      <c r="P4486" s="20" t="s">
        <v>3202</v>
      </c>
      <c r="Q4486" s="20">
        <v>13960523</v>
      </c>
    </row>
    <row r="4487" spans="1:17" ht="24.9" customHeight="1">
      <c r="A4487" s="20"/>
      <c r="B4487" s="20" t="s">
        <v>4636</v>
      </c>
      <c r="C4487" s="20"/>
      <c r="D4487" s="20" t="s">
        <v>4325</v>
      </c>
      <c r="E4487" s="19">
        <f>VLOOKUP(D4487,'لیست پرسنل'!$B$2:$E$1020,3,FALSE)</f>
        <v>0</v>
      </c>
      <c r="F4487" s="19">
        <f>VLOOKUP(D4487,'لیست پرسنل'!$B$2:$E$1020,4,FALSE)</f>
        <v>0</v>
      </c>
      <c r="G4487" s="127">
        <f>VLOOKUP(D4487,'لیست پرسنل'!$B$2:$F$1020,2,FALSE)</f>
        <v>0</v>
      </c>
      <c r="H4487" s="128" t="s">
        <v>3201</v>
      </c>
      <c r="I4487" s="127" t="s">
        <v>4325</v>
      </c>
      <c r="J4487" s="128" t="s">
        <v>3480</v>
      </c>
      <c r="K4487" s="128" t="s">
        <v>4476</v>
      </c>
      <c r="L4487" s="128"/>
      <c r="M4487" s="142">
        <v>612763</v>
      </c>
      <c r="N4487" s="108"/>
      <c r="O4487" s="20"/>
      <c r="P4487" s="20" t="s">
        <v>3202</v>
      </c>
      <c r="Q4487" s="20">
        <v>13960523</v>
      </c>
    </row>
    <row r="4488" spans="1:17" ht="24.9" customHeight="1">
      <c r="A4488" s="20"/>
      <c r="B4488" s="20" t="s">
        <v>4636</v>
      </c>
      <c r="C4488" s="20"/>
      <c r="D4488" s="20" t="s">
        <v>4325</v>
      </c>
      <c r="E4488" s="19">
        <f>VLOOKUP(D4488,'لیست پرسنل'!$B$2:$E$1020,3,FALSE)</f>
        <v>0</v>
      </c>
      <c r="F4488" s="19">
        <f>VLOOKUP(D4488,'لیست پرسنل'!$B$2:$E$1020,4,FALSE)</f>
        <v>0</v>
      </c>
      <c r="G4488" s="127">
        <f>VLOOKUP(D4488,'لیست پرسنل'!$B$2:$F$1020,2,FALSE)</f>
        <v>0</v>
      </c>
      <c r="H4488" s="128" t="s">
        <v>3201</v>
      </c>
      <c r="I4488" s="127" t="s">
        <v>4325</v>
      </c>
      <c r="J4488" s="128" t="s">
        <v>3480</v>
      </c>
      <c r="K4488" s="128" t="s">
        <v>4476</v>
      </c>
      <c r="L4488" s="128"/>
      <c r="M4488" s="142">
        <v>612764</v>
      </c>
      <c r="N4488" s="108"/>
      <c r="O4488" s="20"/>
      <c r="P4488" s="20" t="s">
        <v>3202</v>
      </c>
      <c r="Q4488" s="20">
        <v>13960523</v>
      </c>
    </row>
    <row r="4489" spans="1:17" ht="24.9" customHeight="1">
      <c r="A4489" s="20"/>
      <c r="B4489" s="20" t="s">
        <v>4636</v>
      </c>
      <c r="C4489" s="20"/>
      <c r="D4489" s="20" t="s">
        <v>4325</v>
      </c>
      <c r="E4489" s="19">
        <f>VLOOKUP(D4489,'لیست پرسنل'!$B$2:$E$1020,3,FALSE)</f>
        <v>0</v>
      </c>
      <c r="F4489" s="19">
        <f>VLOOKUP(D4489,'لیست پرسنل'!$B$2:$E$1020,4,FALSE)</f>
        <v>0</v>
      </c>
      <c r="G4489" s="127">
        <f>VLOOKUP(D4489,'لیست پرسنل'!$B$2:$F$1020,2,FALSE)</f>
        <v>0</v>
      </c>
      <c r="H4489" s="128" t="s">
        <v>3201</v>
      </c>
      <c r="I4489" s="127" t="s">
        <v>4325</v>
      </c>
      <c r="J4489" s="128" t="s">
        <v>3480</v>
      </c>
      <c r="K4489" s="128" t="s">
        <v>4476</v>
      </c>
      <c r="L4489" s="128"/>
      <c r="M4489" s="142">
        <v>612765</v>
      </c>
      <c r="N4489" s="108"/>
      <c r="O4489" s="20"/>
      <c r="P4489" s="20" t="s">
        <v>3202</v>
      </c>
      <c r="Q4489" s="20">
        <v>13960523</v>
      </c>
    </row>
    <row r="4490" spans="1:17" ht="24.9" customHeight="1">
      <c r="A4490" s="20"/>
      <c r="B4490" s="20" t="s">
        <v>4636</v>
      </c>
      <c r="C4490" s="20"/>
      <c r="D4490" s="20" t="s">
        <v>4325</v>
      </c>
      <c r="E4490" s="19">
        <f>VLOOKUP(D4490,'لیست پرسنل'!$B$2:$E$1020,3,FALSE)</f>
        <v>0</v>
      </c>
      <c r="F4490" s="19">
        <f>VLOOKUP(D4490,'لیست پرسنل'!$B$2:$E$1020,4,FALSE)</f>
        <v>0</v>
      </c>
      <c r="G4490" s="127">
        <f>VLOOKUP(D4490,'لیست پرسنل'!$B$2:$F$1020,2,FALSE)</f>
        <v>0</v>
      </c>
      <c r="H4490" s="128" t="s">
        <v>3201</v>
      </c>
      <c r="I4490" s="127" t="s">
        <v>4325</v>
      </c>
      <c r="J4490" s="128" t="s">
        <v>3480</v>
      </c>
      <c r="K4490" s="128" t="s">
        <v>4476</v>
      </c>
      <c r="L4490" s="128"/>
      <c r="M4490" s="142">
        <v>612766</v>
      </c>
      <c r="N4490" s="108"/>
      <c r="O4490" s="20"/>
      <c r="P4490" s="20" t="s">
        <v>3202</v>
      </c>
      <c r="Q4490" s="20">
        <v>13960523</v>
      </c>
    </row>
    <row r="4491" spans="1:17" ht="24.9" customHeight="1">
      <c r="A4491" s="20"/>
      <c r="B4491" s="20" t="s">
        <v>4636</v>
      </c>
      <c r="C4491" s="20"/>
      <c r="D4491" s="20" t="s">
        <v>4325</v>
      </c>
      <c r="E4491" s="19">
        <f>VLOOKUP(D4491,'لیست پرسنل'!$B$2:$E$1020,3,FALSE)</f>
        <v>0</v>
      </c>
      <c r="F4491" s="19">
        <f>VLOOKUP(D4491,'لیست پرسنل'!$B$2:$E$1020,4,FALSE)</f>
        <v>0</v>
      </c>
      <c r="G4491" s="127">
        <f>VLOOKUP(D4491,'لیست پرسنل'!$B$2:$F$1020,2,FALSE)</f>
        <v>0</v>
      </c>
      <c r="H4491" s="128" t="s">
        <v>3201</v>
      </c>
      <c r="I4491" s="127" t="s">
        <v>4325</v>
      </c>
      <c r="J4491" s="128" t="s">
        <v>3480</v>
      </c>
      <c r="K4491" s="128" t="s">
        <v>4476</v>
      </c>
      <c r="L4491" s="128"/>
      <c r="M4491" s="142">
        <v>612767</v>
      </c>
      <c r="N4491" s="108"/>
      <c r="O4491" s="20"/>
      <c r="P4491" s="20" t="s">
        <v>3202</v>
      </c>
      <c r="Q4491" s="20">
        <v>13960523</v>
      </c>
    </row>
    <row r="4492" spans="1:17" ht="24.9" customHeight="1">
      <c r="A4492" s="20"/>
      <c r="B4492" s="20" t="s">
        <v>4636</v>
      </c>
      <c r="C4492" s="20"/>
      <c r="D4492" s="20" t="s">
        <v>4325</v>
      </c>
      <c r="E4492" s="19">
        <f>VLOOKUP(D4492,'لیست پرسنل'!$B$2:$E$1020,3,FALSE)</f>
        <v>0</v>
      </c>
      <c r="F4492" s="19">
        <f>VLOOKUP(D4492,'لیست پرسنل'!$B$2:$E$1020,4,FALSE)</f>
        <v>0</v>
      </c>
      <c r="G4492" s="127">
        <f>VLOOKUP(D4492,'لیست پرسنل'!$B$2:$F$1020,2,FALSE)</f>
        <v>0</v>
      </c>
      <c r="H4492" s="128" t="s">
        <v>3201</v>
      </c>
      <c r="I4492" s="127" t="s">
        <v>4325</v>
      </c>
      <c r="J4492" s="128" t="s">
        <v>3480</v>
      </c>
      <c r="K4492" s="128" t="s">
        <v>4476</v>
      </c>
      <c r="L4492" s="128"/>
      <c r="M4492" s="142">
        <v>612768</v>
      </c>
      <c r="N4492" s="108"/>
      <c r="O4492" s="20"/>
      <c r="P4492" s="20" t="s">
        <v>3202</v>
      </c>
      <c r="Q4492" s="20">
        <v>13960523</v>
      </c>
    </row>
    <row r="4493" spans="1:17" ht="24.9" customHeight="1">
      <c r="A4493" s="20"/>
      <c r="B4493" s="20" t="s">
        <v>4636</v>
      </c>
      <c r="C4493" s="20"/>
      <c r="D4493" s="20" t="s">
        <v>4325</v>
      </c>
      <c r="E4493" s="19">
        <f>VLOOKUP(D4493,'لیست پرسنل'!$B$2:$E$1020,3,FALSE)</f>
        <v>0</v>
      </c>
      <c r="F4493" s="19">
        <f>VLOOKUP(D4493,'لیست پرسنل'!$B$2:$E$1020,4,FALSE)</f>
        <v>0</v>
      </c>
      <c r="G4493" s="127">
        <f>VLOOKUP(D4493,'لیست پرسنل'!$B$2:$F$1020,2,FALSE)</f>
        <v>0</v>
      </c>
      <c r="H4493" s="128" t="s">
        <v>3201</v>
      </c>
      <c r="I4493" s="127" t="s">
        <v>4325</v>
      </c>
      <c r="J4493" s="128" t="s">
        <v>3480</v>
      </c>
      <c r="K4493" s="128" t="s">
        <v>4476</v>
      </c>
      <c r="L4493" s="128"/>
      <c r="M4493" s="142">
        <v>612769</v>
      </c>
      <c r="N4493" s="108"/>
      <c r="O4493" s="20"/>
      <c r="P4493" s="20" t="s">
        <v>3202</v>
      </c>
      <c r="Q4493" s="20">
        <v>13960523</v>
      </c>
    </row>
    <row r="4494" spans="1:17" ht="24.9" customHeight="1">
      <c r="A4494" s="20"/>
      <c r="B4494" s="20" t="s">
        <v>4636</v>
      </c>
      <c r="C4494" s="20"/>
      <c r="D4494" s="20" t="s">
        <v>4325</v>
      </c>
      <c r="E4494" s="19">
        <f>VLOOKUP(D4494,'لیست پرسنل'!$B$2:$E$1020,3,FALSE)</f>
        <v>0</v>
      </c>
      <c r="F4494" s="19">
        <f>VLOOKUP(D4494,'لیست پرسنل'!$B$2:$E$1020,4,FALSE)</f>
        <v>0</v>
      </c>
      <c r="G4494" s="127">
        <f>VLOOKUP(D4494,'لیست پرسنل'!$B$2:$F$1020,2,FALSE)</f>
        <v>0</v>
      </c>
      <c r="H4494" s="128" t="s">
        <v>3201</v>
      </c>
      <c r="I4494" s="127" t="s">
        <v>4325</v>
      </c>
      <c r="J4494" s="128" t="s">
        <v>3480</v>
      </c>
      <c r="K4494" s="128" t="s">
        <v>4476</v>
      </c>
      <c r="L4494" s="128"/>
      <c r="M4494" s="142">
        <v>612770</v>
      </c>
      <c r="N4494" s="108"/>
      <c r="O4494" s="20"/>
      <c r="P4494" s="20" t="s">
        <v>3202</v>
      </c>
      <c r="Q4494" s="20">
        <v>13960523</v>
      </c>
    </row>
    <row r="4495" spans="1:17" ht="24.9" customHeight="1">
      <c r="A4495" s="20"/>
      <c r="B4495" s="20" t="s">
        <v>4636</v>
      </c>
      <c r="C4495" s="20"/>
      <c r="D4495" s="20" t="s">
        <v>4325</v>
      </c>
      <c r="E4495" s="19">
        <f>VLOOKUP(D4495,'لیست پرسنل'!$B$2:$E$1020,3,FALSE)</f>
        <v>0</v>
      </c>
      <c r="F4495" s="19">
        <f>VLOOKUP(D4495,'لیست پرسنل'!$B$2:$E$1020,4,FALSE)</f>
        <v>0</v>
      </c>
      <c r="G4495" s="127">
        <f>VLOOKUP(D4495,'لیست پرسنل'!$B$2:$F$1020,2,FALSE)</f>
        <v>0</v>
      </c>
      <c r="H4495" s="128" t="s">
        <v>3201</v>
      </c>
      <c r="I4495" s="127" t="s">
        <v>4325</v>
      </c>
      <c r="J4495" s="128" t="s">
        <v>3480</v>
      </c>
      <c r="K4495" s="128" t="s">
        <v>4476</v>
      </c>
      <c r="L4495" s="128"/>
      <c r="M4495" s="142">
        <v>612771</v>
      </c>
      <c r="N4495" s="108"/>
      <c r="O4495" s="20"/>
      <c r="P4495" s="20" t="s">
        <v>3202</v>
      </c>
      <c r="Q4495" s="20">
        <v>13960523</v>
      </c>
    </row>
    <row r="4496" spans="1:17" ht="24.9" customHeight="1">
      <c r="A4496" s="20"/>
      <c r="B4496" s="20" t="s">
        <v>4636</v>
      </c>
      <c r="C4496" s="20"/>
      <c r="D4496" s="20" t="s">
        <v>4325</v>
      </c>
      <c r="E4496" s="19">
        <f>VLOOKUP(D4496,'لیست پرسنل'!$B$2:$E$1020,3,FALSE)</f>
        <v>0</v>
      </c>
      <c r="F4496" s="19">
        <f>VLOOKUP(D4496,'لیست پرسنل'!$B$2:$E$1020,4,FALSE)</f>
        <v>0</v>
      </c>
      <c r="G4496" s="127">
        <f>VLOOKUP(D4496,'لیست پرسنل'!$B$2:$F$1020,2,FALSE)</f>
        <v>0</v>
      </c>
      <c r="H4496" s="128" t="s">
        <v>3201</v>
      </c>
      <c r="I4496" s="127" t="s">
        <v>4325</v>
      </c>
      <c r="J4496" s="128" t="s">
        <v>3480</v>
      </c>
      <c r="K4496" s="128" t="s">
        <v>4468</v>
      </c>
      <c r="L4496" s="128"/>
      <c r="M4496" s="142">
        <v>612774</v>
      </c>
      <c r="N4496" s="108"/>
      <c r="O4496" s="20"/>
      <c r="P4496" s="20" t="s">
        <v>3202</v>
      </c>
      <c r="Q4496" s="20">
        <v>13960523</v>
      </c>
    </row>
    <row r="4497" spans="1:17" ht="24.9" customHeight="1">
      <c r="A4497" s="20"/>
      <c r="B4497" s="20" t="s">
        <v>4636</v>
      </c>
      <c r="C4497" s="20"/>
      <c r="D4497" s="20" t="s">
        <v>4325</v>
      </c>
      <c r="E4497" s="19">
        <f>VLOOKUP(D4497,'لیست پرسنل'!$B$2:$E$1020,3,FALSE)</f>
        <v>0</v>
      </c>
      <c r="F4497" s="19">
        <f>VLOOKUP(D4497,'لیست پرسنل'!$B$2:$E$1020,4,FALSE)</f>
        <v>0</v>
      </c>
      <c r="G4497" s="127">
        <f>VLOOKUP(D4497,'لیست پرسنل'!$B$2:$F$1020,2,FALSE)</f>
        <v>0</v>
      </c>
      <c r="H4497" s="128" t="s">
        <v>3201</v>
      </c>
      <c r="I4497" s="127" t="s">
        <v>4325</v>
      </c>
      <c r="J4497" s="128" t="s">
        <v>3480</v>
      </c>
      <c r="K4497" s="128" t="s">
        <v>4468</v>
      </c>
      <c r="L4497" s="128"/>
      <c r="M4497" s="142">
        <v>612775</v>
      </c>
      <c r="N4497" s="108"/>
      <c r="O4497" s="20"/>
      <c r="P4497" s="20" t="s">
        <v>3202</v>
      </c>
      <c r="Q4497" s="20">
        <v>13960523</v>
      </c>
    </row>
    <row r="4498" spans="1:17" ht="24.9" customHeight="1">
      <c r="A4498" s="20"/>
      <c r="B4498" s="20" t="s">
        <v>4636</v>
      </c>
      <c r="C4498" s="20"/>
      <c r="D4498" s="20" t="s">
        <v>4325</v>
      </c>
      <c r="E4498" s="19">
        <f>VLOOKUP(D4498,'لیست پرسنل'!$B$2:$E$1020,3,FALSE)</f>
        <v>0</v>
      </c>
      <c r="F4498" s="19">
        <f>VLOOKUP(D4498,'لیست پرسنل'!$B$2:$E$1020,4,FALSE)</f>
        <v>0</v>
      </c>
      <c r="G4498" s="127">
        <f>VLOOKUP(D4498,'لیست پرسنل'!$B$2:$F$1020,2,FALSE)</f>
        <v>0</v>
      </c>
      <c r="H4498" s="128" t="s">
        <v>3201</v>
      </c>
      <c r="I4498" s="127" t="s">
        <v>4325</v>
      </c>
      <c r="J4498" s="128" t="s">
        <v>3480</v>
      </c>
      <c r="K4498" s="128" t="s">
        <v>4468</v>
      </c>
      <c r="L4498" s="128"/>
      <c r="M4498" s="142">
        <v>612776</v>
      </c>
      <c r="N4498" s="108"/>
      <c r="O4498" s="20"/>
      <c r="P4498" s="20" t="s">
        <v>3202</v>
      </c>
      <c r="Q4498" s="20">
        <v>13960523</v>
      </c>
    </row>
    <row r="4499" spans="1:17" ht="24.9" customHeight="1">
      <c r="A4499" s="20"/>
      <c r="B4499" s="20" t="s">
        <v>4636</v>
      </c>
      <c r="C4499" s="20"/>
      <c r="D4499" s="20" t="s">
        <v>4325</v>
      </c>
      <c r="E4499" s="19">
        <f>VLOOKUP(D4499,'لیست پرسنل'!$B$2:$E$1020,3,FALSE)</f>
        <v>0</v>
      </c>
      <c r="F4499" s="19">
        <f>VLOOKUP(D4499,'لیست پرسنل'!$B$2:$E$1020,4,FALSE)</f>
        <v>0</v>
      </c>
      <c r="G4499" s="127">
        <f>VLOOKUP(D4499,'لیست پرسنل'!$B$2:$F$1020,2,FALSE)</f>
        <v>0</v>
      </c>
      <c r="H4499" s="128" t="s">
        <v>3201</v>
      </c>
      <c r="I4499" s="127" t="s">
        <v>4325</v>
      </c>
      <c r="J4499" s="128" t="s">
        <v>3480</v>
      </c>
      <c r="K4499" s="128" t="s">
        <v>4468</v>
      </c>
      <c r="L4499" s="128"/>
      <c r="M4499" s="142">
        <v>612777</v>
      </c>
      <c r="N4499" s="108"/>
      <c r="O4499" s="20"/>
      <c r="P4499" s="20" t="s">
        <v>3202</v>
      </c>
      <c r="Q4499" s="20">
        <v>13960523</v>
      </c>
    </row>
    <row r="4500" spans="1:17" ht="24.9" customHeight="1">
      <c r="A4500" s="20"/>
      <c r="B4500" s="20" t="s">
        <v>4636</v>
      </c>
      <c r="C4500" s="20"/>
      <c r="D4500" s="20" t="s">
        <v>4325</v>
      </c>
      <c r="E4500" s="19">
        <f>VLOOKUP(D4500,'لیست پرسنل'!$B$2:$E$1020,3,FALSE)</f>
        <v>0</v>
      </c>
      <c r="F4500" s="19">
        <f>VLOOKUP(D4500,'لیست پرسنل'!$B$2:$E$1020,4,FALSE)</f>
        <v>0</v>
      </c>
      <c r="G4500" s="127">
        <f>VLOOKUP(D4500,'لیست پرسنل'!$B$2:$F$1020,2,FALSE)</f>
        <v>0</v>
      </c>
      <c r="H4500" s="128" t="s">
        <v>3201</v>
      </c>
      <c r="I4500" s="127" t="s">
        <v>4325</v>
      </c>
      <c r="J4500" s="128" t="s">
        <v>3480</v>
      </c>
      <c r="K4500" s="128" t="s">
        <v>4468</v>
      </c>
      <c r="L4500" s="128"/>
      <c r="M4500" s="142">
        <v>612778</v>
      </c>
      <c r="N4500" s="108"/>
      <c r="O4500" s="20"/>
      <c r="P4500" s="20" t="s">
        <v>3202</v>
      </c>
      <c r="Q4500" s="20">
        <v>13960523</v>
      </c>
    </row>
    <row r="4501" spans="1:17" ht="24.9" customHeight="1">
      <c r="A4501" s="20"/>
      <c r="B4501" s="20" t="s">
        <v>4636</v>
      </c>
      <c r="C4501" s="20"/>
      <c r="D4501" s="20" t="s">
        <v>4325</v>
      </c>
      <c r="E4501" s="19">
        <f>VLOOKUP(D4501,'لیست پرسنل'!$B$2:$E$1020,3,FALSE)</f>
        <v>0</v>
      </c>
      <c r="F4501" s="19">
        <f>VLOOKUP(D4501,'لیست پرسنل'!$B$2:$E$1020,4,FALSE)</f>
        <v>0</v>
      </c>
      <c r="G4501" s="127">
        <f>VLOOKUP(D4501,'لیست پرسنل'!$B$2:$F$1020,2,FALSE)</f>
        <v>0</v>
      </c>
      <c r="H4501" s="128" t="s">
        <v>3201</v>
      </c>
      <c r="I4501" s="127" t="s">
        <v>4325</v>
      </c>
      <c r="J4501" s="128" t="s">
        <v>3480</v>
      </c>
      <c r="K4501" s="128" t="s">
        <v>4468</v>
      </c>
      <c r="L4501" s="128"/>
      <c r="M4501" s="142">
        <v>612779</v>
      </c>
      <c r="N4501" s="108"/>
      <c r="O4501" s="20"/>
      <c r="P4501" s="20" t="s">
        <v>3202</v>
      </c>
      <c r="Q4501" s="20">
        <v>13960523</v>
      </c>
    </row>
    <row r="4502" spans="1:17" ht="24.9" customHeight="1">
      <c r="A4502" s="20"/>
      <c r="B4502" s="20" t="s">
        <v>4636</v>
      </c>
      <c r="C4502" s="20"/>
      <c r="D4502" s="20" t="s">
        <v>4325</v>
      </c>
      <c r="E4502" s="19">
        <f>VLOOKUP(D4502,'لیست پرسنل'!$B$2:$E$1020,3,FALSE)</f>
        <v>0</v>
      </c>
      <c r="F4502" s="19">
        <f>VLOOKUP(D4502,'لیست پرسنل'!$B$2:$E$1020,4,FALSE)</f>
        <v>0</v>
      </c>
      <c r="G4502" s="127">
        <f>VLOOKUP(D4502,'لیست پرسنل'!$B$2:$F$1020,2,FALSE)</f>
        <v>0</v>
      </c>
      <c r="H4502" s="128" t="s">
        <v>3201</v>
      </c>
      <c r="I4502" s="127" t="s">
        <v>4325</v>
      </c>
      <c r="J4502" s="128" t="s">
        <v>3480</v>
      </c>
      <c r="K4502" s="128" t="s">
        <v>4468</v>
      </c>
      <c r="L4502" s="128"/>
      <c r="M4502" s="142">
        <v>612780</v>
      </c>
      <c r="N4502" s="108"/>
      <c r="O4502" s="20"/>
      <c r="P4502" s="20" t="s">
        <v>3202</v>
      </c>
      <c r="Q4502" s="20">
        <v>13960523</v>
      </c>
    </row>
    <row r="4503" spans="1:17" ht="24.9" customHeight="1">
      <c r="A4503" s="20"/>
      <c r="B4503" s="20" t="s">
        <v>4636</v>
      </c>
      <c r="C4503" s="20"/>
      <c r="D4503" s="20" t="s">
        <v>4325</v>
      </c>
      <c r="E4503" s="19">
        <f>VLOOKUP(D4503,'لیست پرسنل'!$B$2:$E$1020,3,FALSE)</f>
        <v>0</v>
      </c>
      <c r="F4503" s="19">
        <f>VLOOKUP(D4503,'لیست پرسنل'!$B$2:$E$1020,4,FALSE)</f>
        <v>0</v>
      </c>
      <c r="G4503" s="127">
        <f>VLOOKUP(D4503,'لیست پرسنل'!$B$2:$F$1020,2,FALSE)</f>
        <v>0</v>
      </c>
      <c r="H4503" s="128" t="s">
        <v>3201</v>
      </c>
      <c r="I4503" s="127" t="s">
        <v>4325</v>
      </c>
      <c r="J4503" s="128" t="s">
        <v>3480</v>
      </c>
      <c r="K4503" s="128" t="s">
        <v>4468</v>
      </c>
      <c r="L4503" s="128"/>
      <c r="M4503" s="142">
        <v>612781</v>
      </c>
      <c r="N4503" s="108"/>
      <c r="O4503" s="20"/>
      <c r="P4503" s="20" t="s">
        <v>3202</v>
      </c>
      <c r="Q4503" s="20">
        <v>13960523</v>
      </c>
    </row>
    <row r="4504" spans="1:17" ht="24.9" customHeight="1">
      <c r="A4504" s="20"/>
      <c r="B4504" s="20" t="s">
        <v>4636</v>
      </c>
      <c r="C4504" s="20"/>
      <c r="D4504" s="20" t="s">
        <v>4325</v>
      </c>
      <c r="E4504" s="19">
        <f>VLOOKUP(D4504,'لیست پرسنل'!$B$2:$E$1020,3,FALSE)</f>
        <v>0</v>
      </c>
      <c r="F4504" s="19">
        <f>VLOOKUP(D4504,'لیست پرسنل'!$B$2:$E$1020,4,FALSE)</f>
        <v>0</v>
      </c>
      <c r="G4504" s="127">
        <f>VLOOKUP(D4504,'لیست پرسنل'!$B$2:$F$1020,2,FALSE)</f>
        <v>0</v>
      </c>
      <c r="H4504" s="128" t="s">
        <v>3201</v>
      </c>
      <c r="I4504" s="127" t="s">
        <v>4325</v>
      </c>
      <c r="J4504" s="128" t="s">
        <v>3480</v>
      </c>
      <c r="K4504" s="128" t="s">
        <v>4468</v>
      </c>
      <c r="L4504" s="128"/>
      <c r="M4504" s="142">
        <v>612782</v>
      </c>
      <c r="N4504" s="108"/>
      <c r="O4504" s="20"/>
      <c r="P4504" s="20" t="s">
        <v>3202</v>
      </c>
      <c r="Q4504" s="20">
        <v>13960523</v>
      </c>
    </row>
    <row r="4505" spans="1:17" ht="24.9" customHeight="1">
      <c r="A4505" s="20"/>
      <c r="B4505" s="20" t="s">
        <v>4636</v>
      </c>
      <c r="C4505" s="20"/>
      <c r="D4505" s="20" t="s">
        <v>4325</v>
      </c>
      <c r="E4505" s="19">
        <f>VLOOKUP(D4505,'لیست پرسنل'!$B$2:$E$1020,3,FALSE)</f>
        <v>0</v>
      </c>
      <c r="F4505" s="19">
        <f>VLOOKUP(D4505,'لیست پرسنل'!$B$2:$E$1020,4,FALSE)</f>
        <v>0</v>
      </c>
      <c r="G4505" s="127">
        <f>VLOOKUP(D4505,'لیست پرسنل'!$B$2:$F$1020,2,FALSE)</f>
        <v>0</v>
      </c>
      <c r="H4505" s="128" t="s">
        <v>3201</v>
      </c>
      <c r="I4505" s="127" t="s">
        <v>4325</v>
      </c>
      <c r="J4505" s="128" t="s">
        <v>3480</v>
      </c>
      <c r="K4505" s="128" t="s">
        <v>4468</v>
      </c>
      <c r="L4505" s="128"/>
      <c r="M4505" s="142">
        <v>612783</v>
      </c>
      <c r="N4505" s="108"/>
      <c r="O4505" s="20"/>
      <c r="P4505" s="20" t="s">
        <v>3202</v>
      </c>
      <c r="Q4505" s="20">
        <v>13960523</v>
      </c>
    </row>
    <row r="4506" spans="1:17" ht="24.9" customHeight="1">
      <c r="A4506" s="20"/>
      <c r="B4506" s="20" t="s">
        <v>4636</v>
      </c>
      <c r="C4506" s="20"/>
      <c r="D4506" s="20" t="s">
        <v>4325</v>
      </c>
      <c r="E4506" s="19">
        <f>VLOOKUP(D4506,'لیست پرسنل'!$B$2:$E$1020,3,FALSE)</f>
        <v>0</v>
      </c>
      <c r="F4506" s="19">
        <f>VLOOKUP(D4506,'لیست پرسنل'!$B$2:$E$1020,4,FALSE)</f>
        <v>0</v>
      </c>
      <c r="G4506" s="127">
        <f>VLOOKUP(D4506,'لیست پرسنل'!$B$2:$F$1020,2,FALSE)</f>
        <v>0</v>
      </c>
      <c r="H4506" s="128" t="s">
        <v>3201</v>
      </c>
      <c r="I4506" s="127" t="s">
        <v>4325</v>
      </c>
      <c r="J4506" s="128" t="s">
        <v>3480</v>
      </c>
      <c r="K4506" s="128" t="s">
        <v>4468</v>
      </c>
      <c r="L4506" s="128"/>
      <c r="M4506" s="142">
        <v>612784</v>
      </c>
      <c r="N4506" s="108"/>
      <c r="O4506" s="20"/>
      <c r="P4506" s="20" t="s">
        <v>3202</v>
      </c>
      <c r="Q4506" s="20">
        <v>13960523</v>
      </c>
    </row>
    <row r="4507" spans="1:17" ht="24.9" customHeight="1">
      <c r="A4507" s="20"/>
      <c r="B4507" s="20" t="s">
        <v>4636</v>
      </c>
      <c r="C4507" s="20"/>
      <c r="D4507" s="20" t="s">
        <v>4325</v>
      </c>
      <c r="E4507" s="19">
        <f>VLOOKUP(D4507,'لیست پرسنل'!$B$2:$E$1020,3,FALSE)</f>
        <v>0</v>
      </c>
      <c r="F4507" s="19">
        <f>VLOOKUP(D4507,'لیست پرسنل'!$B$2:$E$1020,4,FALSE)</f>
        <v>0</v>
      </c>
      <c r="G4507" s="127">
        <f>VLOOKUP(D4507,'لیست پرسنل'!$B$2:$F$1020,2,FALSE)</f>
        <v>0</v>
      </c>
      <c r="H4507" s="128" t="s">
        <v>3201</v>
      </c>
      <c r="I4507" s="127" t="s">
        <v>4325</v>
      </c>
      <c r="J4507" s="128" t="s">
        <v>3480</v>
      </c>
      <c r="K4507" s="128" t="s">
        <v>4468</v>
      </c>
      <c r="L4507" s="128"/>
      <c r="M4507" s="142">
        <v>612785</v>
      </c>
      <c r="N4507" s="108"/>
      <c r="O4507" s="20"/>
      <c r="P4507" s="20" t="s">
        <v>3202</v>
      </c>
      <c r="Q4507" s="20">
        <v>13960523</v>
      </c>
    </row>
    <row r="4508" spans="1:17" ht="24.9" customHeight="1">
      <c r="A4508" s="20"/>
      <c r="B4508" s="20" t="s">
        <v>4636</v>
      </c>
      <c r="C4508" s="20"/>
      <c r="D4508" s="20" t="s">
        <v>4325</v>
      </c>
      <c r="E4508" s="19">
        <f>VLOOKUP(D4508,'لیست پرسنل'!$B$2:$E$1020,3,FALSE)</f>
        <v>0</v>
      </c>
      <c r="F4508" s="19">
        <f>VLOOKUP(D4508,'لیست پرسنل'!$B$2:$E$1020,4,FALSE)</f>
        <v>0</v>
      </c>
      <c r="G4508" s="127">
        <f>VLOOKUP(D4508,'لیست پرسنل'!$B$2:$F$1020,2,FALSE)</f>
        <v>0</v>
      </c>
      <c r="H4508" s="128" t="s">
        <v>3201</v>
      </c>
      <c r="I4508" s="127" t="s">
        <v>4325</v>
      </c>
      <c r="J4508" s="128" t="s">
        <v>3480</v>
      </c>
      <c r="K4508" s="128" t="s">
        <v>4468</v>
      </c>
      <c r="L4508" s="128"/>
      <c r="M4508" s="142">
        <v>612786</v>
      </c>
      <c r="N4508" s="108"/>
      <c r="O4508" s="20"/>
      <c r="P4508" s="20" t="s">
        <v>3202</v>
      </c>
      <c r="Q4508" s="20">
        <v>13960523</v>
      </c>
    </row>
    <row r="4509" spans="1:17" ht="24.9" customHeight="1">
      <c r="A4509" s="20"/>
      <c r="B4509" s="20" t="s">
        <v>4636</v>
      </c>
      <c r="C4509" s="20"/>
      <c r="D4509" s="20" t="s">
        <v>4325</v>
      </c>
      <c r="E4509" s="19">
        <f>VLOOKUP(D4509,'لیست پرسنل'!$B$2:$E$1020,3,FALSE)</f>
        <v>0</v>
      </c>
      <c r="F4509" s="19">
        <f>VLOOKUP(D4509,'لیست پرسنل'!$B$2:$E$1020,4,FALSE)</f>
        <v>0</v>
      </c>
      <c r="G4509" s="127">
        <f>VLOOKUP(D4509,'لیست پرسنل'!$B$2:$F$1020,2,FALSE)</f>
        <v>0</v>
      </c>
      <c r="H4509" s="128" t="s">
        <v>3201</v>
      </c>
      <c r="I4509" s="127" t="s">
        <v>4325</v>
      </c>
      <c r="J4509" s="128" t="s">
        <v>3480</v>
      </c>
      <c r="K4509" s="128" t="s">
        <v>4468</v>
      </c>
      <c r="L4509" s="128"/>
      <c r="M4509" s="142">
        <v>612810</v>
      </c>
      <c r="N4509" s="108"/>
      <c r="O4509" s="20"/>
      <c r="P4509" s="20" t="s">
        <v>3202</v>
      </c>
      <c r="Q4509" s="20">
        <v>13960523</v>
      </c>
    </row>
    <row r="4510" spans="1:17" ht="24.9" customHeight="1">
      <c r="A4510" s="20"/>
      <c r="B4510" s="20" t="s">
        <v>4636</v>
      </c>
      <c r="C4510" s="20"/>
      <c r="D4510" s="20" t="s">
        <v>4325</v>
      </c>
      <c r="E4510" s="19">
        <f>VLOOKUP(D4510,'لیست پرسنل'!$B$2:$E$1020,3,FALSE)</f>
        <v>0</v>
      </c>
      <c r="F4510" s="19">
        <f>VLOOKUP(D4510,'لیست پرسنل'!$B$2:$E$1020,4,FALSE)</f>
        <v>0</v>
      </c>
      <c r="G4510" s="127">
        <f>VLOOKUP(D4510,'لیست پرسنل'!$B$2:$F$1020,2,FALSE)</f>
        <v>0</v>
      </c>
      <c r="H4510" s="128" t="s">
        <v>3201</v>
      </c>
      <c r="I4510" s="127" t="s">
        <v>4325</v>
      </c>
      <c r="J4510" s="128" t="s">
        <v>3480</v>
      </c>
      <c r="K4510" s="128" t="s">
        <v>4468</v>
      </c>
      <c r="L4510" s="128"/>
      <c r="M4510" s="142">
        <v>612811</v>
      </c>
      <c r="N4510" s="108"/>
      <c r="O4510" s="20"/>
      <c r="P4510" s="20" t="s">
        <v>3202</v>
      </c>
      <c r="Q4510" s="20">
        <v>13960523</v>
      </c>
    </row>
    <row r="4511" spans="1:17" ht="24.9" customHeight="1">
      <c r="A4511" s="20"/>
      <c r="B4511" s="20" t="s">
        <v>4636</v>
      </c>
      <c r="C4511" s="20"/>
      <c r="D4511" s="20" t="s">
        <v>4325</v>
      </c>
      <c r="E4511" s="19">
        <f>VLOOKUP(D4511,'لیست پرسنل'!$B$2:$E$1020,3,FALSE)</f>
        <v>0</v>
      </c>
      <c r="F4511" s="19">
        <f>VLOOKUP(D4511,'لیست پرسنل'!$B$2:$E$1020,4,FALSE)</f>
        <v>0</v>
      </c>
      <c r="G4511" s="127">
        <f>VLOOKUP(D4511,'لیست پرسنل'!$B$2:$F$1020,2,FALSE)</f>
        <v>0</v>
      </c>
      <c r="H4511" s="128" t="s">
        <v>3201</v>
      </c>
      <c r="I4511" s="127" t="s">
        <v>4325</v>
      </c>
      <c r="J4511" s="128" t="s">
        <v>3480</v>
      </c>
      <c r="K4511" s="128" t="s">
        <v>4468</v>
      </c>
      <c r="L4511" s="128"/>
      <c r="M4511" s="142">
        <v>612812</v>
      </c>
      <c r="N4511" s="108"/>
      <c r="O4511" s="20"/>
      <c r="P4511" s="20" t="s">
        <v>3202</v>
      </c>
      <c r="Q4511" s="20">
        <v>13960523</v>
      </c>
    </row>
    <row r="4512" spans="1:17" ht="24.9" customHeight="1">
      <c r="A4512" s="20"/>
      <c r="B4512" s="20" t="s">
        <v>4636</v>
      </c>
      <c r="C4512" s="20"/>
      <c r="D4512" s="20" t="s">
        <v>4325</v>
      </c>
      <c r="E4512" s="19">
        <f>VLOOKUP(D4512,'لیست پرسنل'!$B$2:$E$1020,3,FALSE)</f>
        <v>0</v>
      </c>
      <c r="F4512" s="19">
        <f>VLOOKUP(D4512,'لیست پرسنل'!$B$2:$E$1020,4,FALSE)</f>
        <v>0</v>
      </c>
      <c r="G4512" s="127">
        <f>VLOOKUP(D4512,'لیست پرسنل'!$B$2:$F$1020,2,FALSE)</f>
        <v>0</v>
      </c>
      <c r="H4512" s="128" t="s">
        <v>3201</v>
      </c>
      <c r="I4512" s="127" t="s">
        <v>4325</v>
      </c>
      <c r="J4512" s="128" t="s">
        <v>3480</v>
      </c>
      <c r="K4512" s="128" t="s">
        <v>4468</v>
      </c>
      <c r="L4512" s="128"/>
      <c r="M4512" s="142">
        <v>612813</v>
      </c>
      <c r="N4512" s="108"/>
      <c r="O4512" s="20"/>
      <c r="P4512" s="20" t="s">
        <v>3202</v>
      </c>
      <c r="Q4512" s="20">
        <v>13960523</v>
      </c>
    </row>
    <row r="4513" spans="1:17" ht="24.9" customHeight="1">
      <c r="A4513" s="20"/>
      <c r="B4513" s="20" t="s">
        <v>4636</v>
      </c>
      <c r="C4513" s="20"/>
      <c r="D4513" s="20" t="s">
        <v>4325</v>
      </c>
      <c r="E4513" s="19">
        <f>VLOOKUP(D4513,'لیست پرسنل'!$B$2:$E$1020,3,FALSE)</f>
        <v>0</v>
      </c>
      <c r="F4513" s="19">
        <f>VLOOKUP(D4513,'لیست پرسنل'!$B$2:$E$1020,4,FALSE)</f>
        <v>0</v>
      </c>
      <c r="G4513" s="127">
        <f>VLOOKUP(D4513,'لیست پرسنل'!$B$2:$F$1020,2,FALSE)</f>
        <v>0</v>
      </c>
      <c r="H4513" s="128" t="s">
        <v>3201</v>
      </c>
      <c r="I4513" s="127" t="s">
        <v>4325</v>
      </c>
      <c r="J4513" s="128" t="s">
        <v>3480</v>
      </c>
      <c r="K4513" s="128" t="s">
        <v>4468</v>
      </c>
      <c r="L4513" s="128"/>
      <c r="M4513" s="142">
        <v>612814</v>
      </c>
      <c r="N4513" s="108"/>
      <c r="O4513" s="20"/>
      <c r="P4513" s="20" t="s">
        <v>3202</v>
      </c>
      <c r="Q4513" s="20">
        <v>13960523</v>
      </c>
    </row>
    <row r="4514" spans="1:17" ht="24.9" customHeight="1">
      <c r="A4514" s="20"/>
      <c r="B4514" s="20" t="s">
        <v>4636</v>
      </c>
      <c r="C4514" s="20"/>
      <c r="D4514" s="20" t="s">
        <v>4325</v>
      </c>
      <c r="E4514" s="19">
        <f>VLOOKUP(D4514,'لیست پرسنل'!$B$2:$E$1020,3,FALSE)</f>
        <v>0</v>
      </c>
      <c r="F4514" s="19">
        <f>VLOOKUP(D4514,'لیست پرسنل'!$B$2:$E$1020,4,FALSE)</f>
        <v>0</v>
      </c>
      <c r="G4514" s="127">
        <f>VLOOKUP(D4514,'لیست پرسنل'!$B$2:$F$1020,2,FALSE)</f>
        <v>0</v>
      </c>
      <c r="H4514" s="128" t="s">
        <v>3201</v>
      </c>
      <c r="I4514" s="127" t="s">
        <v>4325</v>
      </c>
      <c r="J4514" s="128" t="s">
        <v>3480</v>
      </c>
      <c r="K4514" s="128" t="s">
        <v>4468</v>
      </c>
      <c r="L4514" s="128"/>
      <c r="M4514" s="142">
        <v>612815</v>
      </c>
      <c r="N4514" s="108"/>
      <c r="O4514" s="20"/>
      <c r="P4514" s="20" t="s">
        <v>3202</v>
      </c>
      <c r="Q4514" s="20">
        <v>13960523</v>
      </c>
    </row>
    <row r="4515" spans="1:17" ht="24.9" customHeight="1">
      <c r="A4515" s="20"/>
      <c r="B4515" s="20" t="s">
        <v>4636</v>
      </c>
      <c r="C4515" s="20"/>
      <c r="D4515" s="20" t="s">
        <v>4325</v>
      </c>
      <c r="E4515" s="19">
        <f>VLOOKUP(D4515,'لیست پرسنل'!$B$2:$E$1020,3,FALSE)</f>
        <v>0</v>
      </c>
      <c r="F4515" s="19">
        <f>VLOOKUP(D4515,'لیست پرسنل'!$B$2:$E$1020,4,FALSE)</f>
        <v>0</v>
      </c>
      <c r="G4515" s="127">
        <f>VLOOKUP(D4515,'لیست پرسنل'!$B$2:$F$1020,2,FALSE)</f>
        <v>0</v>
      </c>
      <c r="H4515" s="128" t="s">
        <v>3201</v>
      </c>
      <c r="I4515" s="127" t="s">
        <v>4325</v>
      </c>
      <c r="J4515" s="128" t="s">
        <v>3480</v>
      </c>
      <c r="K4515" s="128" t="s">
        <v>4468</v>
      </c>
      <c r="L4515" s="128"/>
      <c r="M4515" s="142">
        <v>612816</v>
      </c>
      <c r="N4515" s="108"/>
      <c r="O4515" s="20"/>
      <c r="P4515" s="20" t="s">
        <v>3202</v>
      </c>
      <c r="Q4515" s="20">
        <v>13960523</v>
      </c>
    </row>
    <row r="4516" spans="1:17" ht="24.9" customHeight="1">
      <c r="A4516" s="20"/>
      <c r="B4516" s="20" t="s">
        <v>4636</v>
      </c>
      <c r="C4516" s="20"/>
      <c r="D4516" s="20" t="s">
        <v>4325</v>
      </c>
      <c r="E4516" s="19">
        <f>VLOOKUP(D4516,'لیست پرسنل'!$B$2:$E$1020,3,FALSE)</f>
        <v>0</v>
      </c>
      <c r="F4516" s="19">
        <f>VLOOKUP(D4516,'لیست پرسنل'!$B$2:$E$1020,4,FALSE)</f>
        <v>0</v>
      </c>
      <c r="G4516" s="127">
        <f>VLOOKUP(D4516,'لیست پرسنل'!$B$2:$F$1020,2,FALSE)</f>
        <v>0</v>
      </c>
      <c r="H4516" s="128" t="s">
        <v>3201</v>
      </c>
      <c r="I4516" s="127" t="s">
        <v>4325</v>
      </c>
      <c r="J4516" s="128" t="s">
        <v>3480</v>
      </c>
      <c r="K4516" s="128" t="s">
        <v>4468</v>
      </c>
      <c r="L4516" s="128"/>
      <c r="M4516" s="142">
        <v>612817</v>
      </c>
      <c r="N4516" s="108"/>
      <c r="O4516" s="20"/>
      <c r="P4516" s="20" t="s">
        <v>3202</v>
      </c>
      <c r="Q4516" s="20">
        <v>13960523</v>
      </c>
    </row>
    <row r="4517" spans="1:17" ht="24.9" customHeight="1">
      <c r="A4517" s="20"/>
      <c r="B4517" s="20" t="s">
        <v>4636</v>
      </c>
      <c r="C4517" s="20"/>
      <c r="D4517" s="20" t="s">
        <v>4325</v>
      </c>
      <c r="E4517" s="19">
        <f>VLOOKUP(D4517,'لیست پرسنل'!$B$2:$E$1020,3,FALSE)</f>
        <v>0</v>
      </c>
      <c r="F4517" s="19">
        <f>VLOOKUP(D4517,'لیست پرسنل'!$B$2:$E$1020,4,FALSE)</f>
        <v>0</v>
      </c>
      <c r="G4517" s="127">
        <f>VLOOKUP(D4517,'لیست پرسنل'!$B$2:$F$1020,2,FALSE)</f>
        <v>0</v>
      </c>
      <c r="H4517" s="128" t="s">
        <v>3201</v>
      </c>
      <c r="I4517" s="127" t="s">
        <v>4325</v>
      </c>
      <c r="J4517" s="128" t="s">
        <v>3480</v>
      </c>
      <c r="K4517" s="128" t="s">
        <v>4468</v>
      </c>
      <c r="L4517" s="128"/>
      <c r="M4517" s="142">
        <v>612818</v>
      </c>
      <c r="N4517" s="108"/>
      <c r="O4517" s="20"/>
      <c r="P4517" s="20" t="s">
        <v>3202</v>
      </c>
      <c r="Q4517" s="20">
        <v>13960523</v>
      </c>
    </row>
    <row r="4518" spans="1:17" ht="24.9" customHeight="1">
      <c r="A4518" s="20"/>
      <c r="B4518" s="20" t="s">
        <v>4636</v>
      </c>
      <c r="C4518" s="20"/>
      <c r="D4518" s="20" t="s">
        <v>4325</v>
      </c>
      <c r="E4518" s="19">
        <f>VLOOKUP(D4518,'لیست پرسنل'!$B$2:$E$1020,3,FALSE)</f>
        <v>0</v>
      </c>
      <c r="F4518" s="19">
        <f>VLOOKUP(D4518,'لیست پرسنل'!$B$2:$E$1020,4,FALSE)</f>
        <v>0</v>
      </c>
      <c r="G4518" s="127">
        <f>VLOOKUP(D4518,'لیست پرسنل'!$B$2:$F$1020,2,FALSE)</f>
        <v>0</v>
      </c>
      <c r="H4518" s="128" t="s">
        <v>3201</v>
      </c>
      <c r="I4518" s="127" t="s">
        <v>4325</v>
      </c>
      <c r="J4518" s="128" t="s">
        <v>3480</v>
      </c>
      <c r="K4518" s="128" t="s">
        <v>4468</v>
      </c>
      <c r="L4518" s="128"/>
      <c r="M4518" s="142">
        <v>612819</v>
      </c>
      <c r="N4518" s="108"/>
      <c r="O4518" s="20"/>
      <c r="P4518" s="20" t="s">
        <v>3202</v>
      </c>
      <c r="Q4518" s="20">
        <v>13960523</v>
      </c>
    </row>
    <row r="4519" spans="1:17" ht="24.9" customHeight="1">
      <c r="A4519" s="20"/>
      <c r="B4519" s="20" t="s">
        <v>4636</v>
      </c>
      <c r="C4519" s="20"/>
      <c r="D4519" s="20" t="s">
        <v>4325</v>
      </c>
      <c r="E4519" s="19">
        <f>VLOOKUP(D4519,'لیست پرسنل'!$B$2:$E$1020,3,FALSE)</f>
        <v>0</v>
      </c>
      <c r="F4519" s="19">
        <f>VLOOKUP(D4519,'لیست پرسنل'!$B$2:$E$1020,4,FALSE)</f>
        <v>0</v>
      </c>
      <c r="G4519" s="127">
        <f>VLOOKUP(D4519,'لیست پرسنل'!$B$2:$F$1020,2,FALSE)</f>
        <v>0</v>
      </c>
      <c r="H4519" s="128" t="s">
        <v>3201</v>
      </c>
      <c r="I4519" s="127" t="s">
        <v>4325</v>
      </c>
      <c r="J4519" s="128" t="s">
        <v>3480</v>
      </c>
      <c r="K4519" s="128" t="s">
        <v>4468</v>
      </c>
      <c r="L4519" s="128"/>
      <c r="M4519" s="142">
        <v>612820</v>
      </c>
      <c r="N4519" s="108"/>
      <c r="O4519" s="20"/>
      <c r="P4519" s="20" t="s">
        <v>3202</v>
      </c>
      <c r="Q4519" s="20">
        <v>13960523</v>
      </c>
    </row>
    <row r="4520" spans="1:17" ht="24.9" customHeight="1">
      <c r="A4520" s="20"/>
      <c r="B4520" s="20" t="s">
        <v>4636</v>
      </c>
      <c r="C4520" s="20"/>
      <c r="D4520" s="20" t="s">
        <v>4325</v>
      </c>
      <c r="E4520" s="19">
        <f>VLOOKUP(D4520,'لیست پرسنل'!$B$2:$E$1020,3,FALSE)</f>
        <v>0</v>
      </c>
      <c r="F4520" s="19">
        <f>VLOOKUP(D4520,'لیست پرسنل'!$B$2:$E$1020,4,FALSE)</f>
        <v>0</v>
      </c>
      <c r="G4520" s="127">
        <f>VLOOKUP(D4520,'لیست پرسنل'!$B$2:$F$1020,2,FALSE)</f>
        <v>0</v>
      </c>
      <c r="H4520" s="128" t="s">
        <v>3201</v>
      </c>
      <c r="I4520" s="127" t="s">
        <v>4325</v>
      </c>
      <c r="J4520" s="128" t="s">
        <v>3481</v>
      </c>
      <c r="K4520" s="128" t="s">
        <v>4473</v>
      </c>
      <c r="L4520" s="128"/>
      <c r="M4520" s="142">
        <v>609548</v>
      </c>
      <c r="N4520" s="108"/>
      <c r="O4520" s="20"/>
      <c r="P4520" s="20" t="s">
        <v>3202</v>
      </c>
      <c r="Q4520" s="20">
        <v>13960604</v>
      </c>
    </row>
    <row r="4521" spans="1:17" ht="24.9" customHeight="1">
      <c r="A4521" s="20"/>
      <c r="B4521" s="20" t="s">
        <v>4636</v>
      </c>
      <c r="C4521" s="20"/>
      <c r="D4521" s="20" t="s">
        <v>4325</v>
      </c>
      <c r="E4521" s="19">
        <f>VLOOKUP(D4521,'لیست پرسنل'!$B$2:$E$1020,3,FALSE)</f>
        <v>0</v>
      </c>
      <c r="F4521" s="19">
        <f>VLOOKUP(D4521,'لیست پرسنل'!$B$2:$E$1020,4,FALSE)</f>
        <v>0</v>
      </c>
      <c r="G4521" s="127">
        <f>VLOOKUP(D4521,'لیست پرسنل'!$B$2:$F$1020,2,FALSE)</f>
        <v>0</v>
      </c>
      <c r="H4521" s="128" t="s">
        <v>3201</v>
      </c>
      <c r="I4521" s="127" t="s">
        <v>4325</v>
      </c>
      <c r="J4521" s="128" t="s">
        <v>3481</v>
      </c>
      <c r="K4521" s="128" t="s">
        <v>4474</v>
      </c>
      <c r="L4521" s="128"/>
      <c r="M4521" s="142">
        <v>609550</v>
      </c>
      <c r="N4521" s="108"/>
      <c r="O4521" s="20"/>
      <c r="P4521" s="20" t="s">
        <v>3202</v>
      </c>
      <c r="Q4521" s="66">
        <v>13960604</v>
      </c>
    </row>
    <row r="4522" spans="1:17" ht="24.9" customHeight="1">
      <c r="A4522" s="20"/>
      <c r="B4522" s="20" t="s">
        <v>4636</v>
      </c>
      <c r="C4522" s="20"/>
      <c r="D4522" s="20" t="s">
        <v>4325</v>
      </c>
      <c r="E4522" s="19">
        <f>VLOOKUP(D4522,'لیست پرسنل'!$B$2:$E$1020,3,FALSE)</f>
        <v>0</v>
      </c>
      <c r="F4522" s="19">
        <f>VLOOKUP(D4522,'لیست پرسنل'!$B$2:$E$1020,4,FALSE)</f>
        <v>0</v>
      </c>
      <c r="G4522" s="127">
        <f>VLOOKUP(D4522,'لیست پرسنل'!$B$2:$F$1020,2,FALSE)</f>
        <v>0</v>
      </c>
      <c r="H4522" s="128" t="s">
        <v>3201</v>
      </c>
      <c r="I4522" s="127" t="s">
        <v>4325</v>
      </c>
      <c r="J4522" s="128" t="s">
        <v>3481</v>
      </c>
      <c r="K4522" s="128" t="s">
        <v>4472</v>
      </c>
      <c r="L4522" s="128"/>
      <c r="M4522" s="142">
        <v>611059</v>
      </c>
      <c r="N4522" s="108"/>
      <c r="O4522" s="20"/>
      <c r="P4522" s="20" t="s">
        <v>3202</v>
      </c>
      <c r="Q4522" s="20">
        <v>13960604</v>
      </c>
    </row>
    <row r="4523" spans="1:17" ht="24.9" customHeight="1">
      <c r="A4523" s="20"/>
      <c r="B4523" s="20" t="s">
        <v>4636</v>
      </c>
      <c r="C4523" s="20"/>
      <c r="D4523" s="20" t="s">
        <v>4325</v>
      </c>
      <c r="E4523" s="19">
        <f>VLOOKUP(D4523,'لیست پرسنل'!$B$2:$E$1020,3,FALSE)</f>
        <v>0</v>
      </c>
      <c r="F4523" s="19">
        <f>VLOOKUP(D4523,'لیست پرسنل'!$B$2:$E$1020,4,FALSE)</f>
        <v>0</v>
      </c>
      <c r="G4523" s="127">
        <f>VLOOKUP(D4523,'لیست پرسنل'!$B$2:$F$1020,2,FALSE)</f>
        <v>0</v>
      </c>
      <c r="H4523" s="128" t="s">
        <v>3201</v>
      </c>
      <c r="I4523" s="127" t="s">
        <v>4325</v>
      </c>
      <c r="J4523" s="128" t="s">
        <v>3481</v>
      </c>
      <c r="K4523" s="128" t="s">
        <v>4471</v>
      </c>
      <c r="L4523" s="128"/>
      <c r="M4523" s="142">
        <v>612260</v>
      </c>
      <c r="N4523" s="108"/>
      <c r="O4523" s="20"/>
      <c r="P4523" s="20" t="s">
        <v>3202</v>
      </c>
      <c r="Q4523" s="20">
        <v>13960604</v>
      </c>
    </row>
    <row r="4524" spans="1:17" ht="24.9" customHeight="1">
      <c r="A4524" s="20"/>
      <c r="B4524" s="20" t="s">
        <v>4636</v>
      </c>
      <c r="C4524" s="20"/>
      <c r="D4524" s="20" t="s">
        <v>4325</v>
      </c>
      <c r="E4524" s="19">
        <f>VLOOKUP(D4524,'لیست پرسنل'!$B$2:$E$1020,3,FALSE)</f>
        <v>0</v>
      </c>
      <c r="F4524" s="19">
        <f>VLOOKUP(D4524,'لیست پرسنل'!$B$2:$E$1020,4,FALSE)</f>
        <v>0</v>
      </c>
      <c r="G4524" s="127">
        <f>VLOOKUP(D4524,'لیست پرسنل'!$B$2:$F$1020,2,FALSE)</f>
        <v>0</v>
      </c>
      <c r="H4524" s="128" t="s">
        <v>3201</v>
      </c>
      <c r="I4524" s="127" t="s">
        <v>4325</v>
      </c>
      <c r="J4524" s="128" t="s">
        <v>3481</v>
      </c>
      <c r="K4524" s="128" t="s">
        <v>4469</v>
      </c>
      <c r="L4524" s="128"/>
      <c r="M4524" s="142">
        <v>612571</v>
      </c>
      <c r="N4524" s="108"/>
      <c r="O4524" s="20"/>
      <c r="P4524" s="20" t="s">
        <v>3202</v>
      </c>
      <c r="Q4524" s="20">
        <v>13960604</v>
      </c>
    </row>
    <row r="4525" spans="1:17" ht="24.9" customHeight="1">
      <c r="A4525" s="20"/>
      <c r="B4525" s="20" t="s">
        <v>4636</v>
      </c>
      <c r="C4525" s="20"/>
      <c r="D4525" s="20" t="s">
        <v>4325</v>
      </c>
      <c r="E4525" s="19">
        <f>VLOOKUP(D4525,'لیست پرسنل'!$B$2:$E$1020,3,FALSE)</f>
        <v>0</v>
      </c>
      <c r="F4525" s="19">
        <f>VLOOKUP(D4525,'لیست پرسنل'!$B$2:$E$1020,4,FALSE)</f>
        <v>0</v>
      </c>
      <c r="G4525" s="127">
        <f>VLOOKUP(D4525,'لیست پرسنل'!$B$2:$F$1020,2,FALSE)</f>
        <v>0</v>
      </c>
      <c r="H4525" s="128" t="s">
        <v>3201</v>
      </c>
      <c r="I4525" s="127" t="s">
        <v>4325</v>
      </c>
      <c r="J4525" s="128" t="s">
        <v>571</v>
      </c>
      <c r="K4525" s="128" t="s">
        <v>1514</v>
      </c>
      <c r="L4525" s="128"/>
      <c r="M4525" s="142">
        <v>610112</v>
      </c>
      <c r="N4525" s="108"/>
      <c r="O4525" s="20"/>
      <c r="P4525" s="20" t="s">
        <v>3202</v>
      </c>
      <c r="Q4525" s="20">
        <v>13961205</v>
      </c>
    </row>
    <row r="4526" spans="1:17" ht="24.9" customHeight="1">
      <c r="A4526" s="20"/>
      <c r="B4526" s="20" t="s">
        <v>5101</v>
      </c>
      <c r="C4526" s="20"/>
      <c r="D4526" s="20" t="s">
        <v>4325</v>
      </c>
      <c r="E4526" s="19">
        <f>VLOOKUP(D4526,'لیست پرسنل'!$B$2:$E$1020,3,FALSE)</f>
        <v>0</v>
      </c>
      <c r="F4526" s="19">
        <f>VLOOKUP(D4526,'لیست پرسنل'!$B$2:$E$1020,4,FALSE)</f>
        <v>0</v>
      </c>
      <c r="G4526" s="127">
        <f>VLOOKUP(D4526,'لیست پرسنل'!$B$2:$F$1020,2,FALSE)</f>
        <v>0</v>
      </c>
      <c r="H4526" s="126" t="s">
        <v>7245</v>
      </c>
      <c r="I4526" s="128" t="s">
        <v>4325</v>
      </c>
      <c r="J4526" s="128" t="s">
        <v>3483</v>
      </c>
      <c r="K4526" s="128" t="s">
        <v>7246</v>
      </c>
      <c r="L4526" s="150"/>
      <c r="M4526" s="127">
        <v>612721</v>
      </c>
      <c r="N4526" s="108"/>
      <c r="O4526" s="20"/>
      <c r="P4526" s="20" t="s">
        <v>5869</v>
      </c>
      <c r="Q4526" s="20">
        <v>1396</v>
      </c>
    </row>
    <row r="4527" spans="1:17" ht="24.9" customHeight="1">
      <c r="A4527" s="20"/>
      <c r="B4527" s="20" t="s">
        <v>4636</v>
      </c>
      <c r="C4527" s="20"/>
      <c r="D4527" s="20" t="s">
        <v>4325</v>
      </c>
      <c r="E4527" s="19">
        <f>VLOOKUP(D4527,'لیست پرسنل'!$B$2:$E$1020,3,FALSE)</f>
        <v>0</v>
      </c>
      <c r="F4527" s="19">
        <f>VLOOKUP(D4527,'لیست پرسنل'!$B$2:$E$1020,4,FALSE)</f>
        <v>0</v>
      </c>
      <c r="G4527" s="127">
        <f>VLOOKUP(D4527,'لیست پرسنل'!$B$2:$F$1020,2,FALSE)</f>
        <v>0</v>
      </c>
      <c r="H4527" s="126" t="s">
        <v>5978</v>
      </c>
      <c r="I4527" s="128" t="s">
        <v>4325</v>
      </c>
      <c r="J4527" s="128" t="s">
        <v>3938</v>
      </c>
      <c r="K4527" s="128" t="s">
        <v>925</v>
      </c>
      <c r="L4527" s="128"/>
      <c r="M4527" s="128">
        <v>605388</v>
      </c>
      <c r="N4527" s="108"/>
      <c r="O4527" s="19" t="s">
        <v>5979</v>
      </c>
      <c r="P4527" s="20" t="s">
        <v>5869</v>
      </c>
      <c r="Q4527" s="20" t="s">
        <v>6030</v>
      </c>
    </row>
    <row r="4528" spans="1:17" ht="24.9" customHeight="1">
      <c r="A4528" s="20"/>
      <c r="B4528" s="20" t="s">
        <v>4636</v>
      </c>
      <c r="C4528" s="20"/>
      <c r="D4528" s="20" t="s">
        <v>4325</v>
      </c>
      <c r="E4528" s="19">
        <f>VLOOKUP(D4528,'لیست پرسنل'!$B$2:$E$1020,3,FALSE)</f>
        <v>0</v>
      </c>
      <c r="F4528" s="19">
        <f>VLOOKUP(D4528,'لیست پرسنل'!$B$2:$E$1020,4,FALSE)</f>
        <v>0</v>
      </c>
      <c r="G4528" s="127">
        <f>VLOOKUP(D4528,'لیست پرسنل'!$B$2:$F$1020,2,FALSE)</f>
        <v>0</v>
      </c>
      <c r="H4528" s="126" t="s">
        <v>5978</v>
      </c>
      <c r="I4528" s="128" t="s">
        <v>4325</v>
      </c>
      <c r="J4528" s="128" t="s">
        <v>3938</v>
      </c>
      <c r="K4528" s="128" t="s">
        <v>925</v>
      </c>
      <c r="L4528" s="128"/>
      <c r="M4528" s="128">
        <v>606736</v>
      </c>
      <c r="N4528" s="108"/>
      <c r="O4528" s="19" t="s">
        <v>5979</v>
      </c>
      <c r="P4528" s="20" t="s">
        <v>5869</v>
      </c>
      <c r="Q4528" s="20" t="s">
        <v>6030</v>
      </c>
    </row>
    <row r="4529" spans="1:17" ht="24.9" customHeight="1">
      <c r="A4529" s="20"/>
      <c r="B4529" s="20" t="s">
        <v>5101</v>
      </c>
      <c r="C4529" s="20"/>
      <c r="D4529" s="20" t="s">
        <v>4325</v>
      </c>
      <c r="E4529" s="19">
        <f>VLOOKUP(D4529,'لیست پرسنل'!$B$2:$E$1020,3,FALSE)</f>
        <v>0</v>
      </c>
      <c r="F4529" s="19">
        <f>VLOOKUP(D4529,'لیست پرسنل'!$B$2:$E$1020,4,FALSE)</f>
        <v>0</v>
      </c>
      <c r="G4529" s="127">
        <f>VLOOKUP(D4529,'لیست پرسنل'!$B$2:$F$1020,2,FALSE)</f>
        <v>0</v>
      </c>
      <c r="H4529" s="128" t="s">
        <v>4406</v>
      </c>
      <c r="I4529" s="128" t="s">
        <v>4325</v>
      </c>
      <c r="J4529" s="128" t="s">
        <v>571</v>
      </c>
      <c r="K4529" s="128" t="s">
        <v>1514</v>
      </c>
      <c r="L4529" s="128"/>
      <c r="M4529" s="128">
        <v>604969</v>
      </c>
      <c r="N4529" s="108"/>
      <c r="O4529" s="95" t="s">
        <v>4325</v>
      </c>
      <c r="P4529" s="20"/>
      <c r="Q4529" s="20"/>
    </row>
    <row r="4530" spans="1:17" ht="24.9" customHeight="1">
      <c r="A4530" s="20"/>
      <c r="B4530" s="20" t="s">
        <v>5101</v>
      </c>
      <c r="C4530" s="20"/>
      <c r="D4530" s="20" t="s">
        <v>4325</v>
      </c>
      <c r="E4530" s="19">
        <f>VLOOKUP(D4530,'لیست پرسنل'!$B$2:$E$1020,3,FALSE)</f>
        <v>0</v>
      </c>
      <c r="F4530" s="19">
        <f>VLOOKUP(D4530,'لیست پرسنل'!$B$2:$E$1020,4,FALSE)</f>
        <v>0</v>
      </c>
      <c r="G4530" s="127">
        <f>VLOOKUP(D4530,'لیست پرسنل'!$B$2:$F$1020,2,FALSE)</f>
        <v>0</v>
      </c>
      <c r="H4530" s="128" t="s">
        <v>4441</v>
      </c>
      <c r="I4530" s="128" t="s">
        <v>4325</v>
      </c>
      <c r="J4530" s="128" t="s">
        <v>1967</v>
      </c>
      <c r="K4530" s="128" t="s">
        <v>4446</v>
      </c>
      <c r="L4530" s="128"/>
      <c r="M4530" s="128">
        <v>620383</v>
      </c>
      <c r="N4530" s="111"/>
      <c r="O4530" s="95" t="s">
        <v>4447</v>
      </c>
      <c r="P4530" s="20" t="s">
        <v>4325</v>
      </c>
      <c r="Q4530" s="20"/>
    </row>
    <row r="4531" spans="1:17" ht="24.9" customHeight="1">
      <c r="A4531" s="20"/>
      <c r="B4531" s="20" t="s">
        <v>5101</v>
      </c>
      <c r="C4531" s="20"/>
      <c r="D4531" s="20" t="s">
        <v>4325</v>
      </c>
      <c r="E4531" s="19">
        <f>VLOOKUP(D4531,'لیست پرسنل'!$B$2:$E$1020,3,FALSE)</f>
        <v>0</v>
      </c>
      <c r="F4531" s="19">
        <f>VLOOKUP(D4531,'لیست پرسنل'!$B$2:$E$1020,4,FALSE)</f>
        <v>0</v>
      </c>
      <c r="G4531" s="127">
        <f>VLOOKUP(D4531,'لیست پرسنل'!$B$2:$F$1020,2,FALSE)</f>
        <v>0</v>
      </c>
      <c r="H4531" s="128" t="s">
        <v>4441</v>
      </c>
      <c r="I4531" s="128" t="s">
        <v>4325</v>
      </c>
      <c r="J4531" s="128" t="s">
        <v>5366</v>
      </c>
      <c r="K4531" s="128" t="s">
        <v>4445</v>
      </c>
      <c r="L4531" s="128"/>
      <c r="M4531" s="128">
        <v>610305</v>
      </c>
      <c r="N4531" s="111"/>
      <c r="O4531" s="32" t="s">
        <v>2703</v>
      </c>
      <c r="P4531" s="20" t="s">
        <v>4325</v>
      </c>
      <c r="Q4531" s="20"/>
    </row>
    <row r="4532" spans="1:17" ht="24.9" customHeight="1">
      <c r="A4532" s="20"/>
      <c r="B4532" s="20" t="s">
        <v>5101</v>
      </c>
      <c r="C4532" s="20"/>
      <c r="D4532" s="20" t="s">
        <v>4325</v>
      </c>
      <c r="E4532" s="19">
        <f>VLOOKUP(D4532,'لیست پرسنل'!$B$2:$E$1020,3,FALSE)</f>
        <v>0</v>
      </c>
      <c r="F4532" s="19">
        <f>VLOOKUP(D4532,'لیست پرسنل'!$B$2:$E$1020,4,FALSE)</f>
        <v>0</v>
      </c>
      <c r="G4532" s="127">
        <f>VLOOKUP(D4532,'لیست پرسنل'!$B$2:$F$1020,2,FALSE)</f>
        <v>0</v>
      </c>
      <c r="H4532" s="128" t="s">
        <v>4441</v>
      </c>
      <c r="I4532" s="128" t="s">
        <v>4325</v>
      </c>
      <c r="J4532" s="128" t="s">
        <v>2686</v>
      </c>
      <c r="K4532" s="128" t="s">
        <v>4457</v>
      </c>
      <c r="L4532" s="128"/>
      <c r="M4532" s="128">
        <v>608617</v>
      </c>
      <c r="N4532" s="108"/>
      <c r="O4532" s="95"/>
      <c r="P4532" s="20" t="s">
        <v>4325</v>
      </c>
      <c r="Q4532" s="20"/>
    </row>
    <row r="4533" spans="1:17" ht="24.9" customHeight="1">
      <c r="A4533" s="20"/>
      <c r="B4533" s="20" t="s">
        <v>5101</v>
      </c>
      <c r="C4533" s="20"/>
      <c r="D4533" s="20" t="s">
        <v>4325</v>
      </c>
      <c r="E4533" s="19">
        <f>VLOOKUP(D4533,'لیست پرسنل'!$B$2:$E$1020,3,FALSE)</f>
        <v>0</v>
      </c>
      <c r="F4533" s="19">
        <f>VLOOKUP(D4533,'لیست پرسنل'!$B$2:$E$1020,4,FALSE)</f>
        <v>0</v>
      </c>
      <c r="G4533" s="127">
        <f>VLOOKUP(D4533,'لیست پرسنل'!$B$2:$F$1020,2,FALSE)</f>
        <v>0</v>
      </c>
      <c r="H4533" s="128" t="s">
        <v>4441</v>
      </c>
      <c r="I4533" s="128" t="s">
        <v>4325</v>
      </c>
      <c r="J4533" s="128" t="s">
        <v>2686</v>
      </c>
      <c r="K4533" s="128" t="s">
        <v>4442</v>
      </c>
      <c r="L4533" s="128"/>
      <c r="M4533" s="128">
        <v>609139</v>
      </c>
      <c r="N4533" s="111"/>
      <c r="O4533" s="95" t="s">
        <v>4443</v>
      </c>
      <c r="P4533" s="20" t="s">
        <v>4325</v>
      </c>
      <c r="Q4533" s="20">
        <v>14011226</v>
      </c>
    </row>
    <row r="4534" spans="1:17" ht="24.9" customHeight="1">
      <c r="A4534" s="20"/>
      <c r="B4534" s="20" t="s">
        <v>4636</v>
      </c>
      <c r="C4534" s="20"/>
      <c r="D4534" s="20" t="s">
        <v>4325</v>
      </c>
      <c r="E4534" s="19">
        <f>VLOOKUP(D4534,'لیست پرسنل'!$B$2:$E$1020,3,FALSE)</f>
        <v>0</v>
      </c>
      <c r="F4534" s="19">
        <f>VLOOKUP(D4534,'لیست پرسنل'!$B$2:$E$1020,4,FALSE)</f>
        <v>0</v>
      </c>
      <c r="G4534" s="127">
        <f>VLOOKUP(D4534,'لیست پرسنل'!$B$2:$F$1020,2,FALSE)</f>
        <v>0</v>
      </c>
      <c r="H4534" s="128" t="s">
        <v>4454</v>
      </c>
      <c r="I4534" s="128" t="s">
        <v>4325</v>
      </c>
      <c r="J4534" s="128" t="s">
        <v>737</v>
      </c>
      <c r="K4534" s="128" t="s">
        <v>2706</v>
      </c>
      <c r="L4534" s="128"/>
      <c r="M4534" s="128">
        <v>608692</v>
      </c>
      <c r="N4534" s="108"/>
      <c r="O4534" s="95" t="s">
        <v>4325</v>
      </c>
      <c r="P4534" s="20" t="s">
        <v>4325</v>
      </c>
      <c r="Q4534" s="20" t="s">
        <v>6030</v>
      </c>
    </row>
    <row r="4535" spans="1:17" ht="24.9" customHeight="1">
      <c r="A4535" s="20"/>
      <c r="B4535" s="20" t="s">
        <v>4636</v>
      </c>
      <c r="C4535" s="20"/>
      <c r="D4535" s="20" t="s">
        <v>4325</v>
      </c>
      <c r="E4535" s="19">
        <f>VLOOKUP(D4535,'لیست پرسنل'!$B$2:$E$1020,3,FALSE)</f>
        <v>0</v>
      </c>
      <c r="F4535" s="19">
        <f>VLOOKUP(D4535,'لیست پرسنل'!$B$2:$E$1020,4,FALSE)</f>
        <v>0</v>
      </c>
      <c r="G4535" s="127">
        <f>VLOOKUP(D4535,'لیست پرسنل'!$B$2:$F$1020,2,FALSE)</f>
        <v>0</v>
      </c>
      <c r="H4535" s="128" t="s">
        <v>4454</v>
      </c>
      <c r="I4535" s="128" t="s">
        <v>4325</v>
      </c>
      <c r="J4535" s="128" t="s">
        <v>2686</v>
      </c>
      <c r="K4535" s="128" t="s">
        <v>5314</v>
      </c>
      <c r="L4535" s="128"/>
      <c r="M4535" s="128">
        <v>611155</v>
      </c>
      <c r="N4535" s="108"/>
      <c r="O4535" s="95" t="s">
        <v>4325</v>
      </c>
      <c r="P4535" s="20" t="s">
        <v>4325</v>
      </c>
      <c r="Q4535" s="20" t="s">
        <v>5315</v>
      </c>
    </row>
    <row r="4536" spans="1:17" ht="24.9" customHeight="1">
      <c r="A4536" s="20"/>
      <c r="B4536" s="20" t="s">
        <v>4636</v>
      </c>
      <c r="C4536" s="20"/>
      <c r="D4536" s="20" t="s">
        <v>4325</v>
      </c>
      <c r="E4536" s="19">
        <f>VLOOKUP(D4536,'لیست پرسنل'!$B$2:$E$1020,3,FALSE)</f>
        <v>0</v>
      </c>
      <c r="F4536" s="19">
        <f>VLOOKUP(D4536,'لیست پرسنل'!$B$2:$E$1020,4,FALSE)</f>
        <v>0</v>
      </c>
      <c r="G4536" s="127">
        <f>VLOOKUP(D4536,'لیست پرسنل'!$B$2:$F$1020,2,FALSE)</f>
        <v>0</v>
      </c>
      <c r="H4536" s="128" t="s">
        <v>4454</v>
      </c>
      <c r="I4536" s="128" t="s">
        <v>4325</v>
      </c>
      <c r="J4536" s="128" t="s">
        <v>2686</v>
      </c>
      <c r="K4536" s="128" t="s">
        <v>8116</v>
      </c>
      <c r="L4536" s="128"/>
      <c r="M4536" s="128">
        <v>619846</v>
      </c>
      <c r="N4536" s="108"/>
      <c r="O4536" s="95" t="s">
        <v>4325</v>
      </c>
      <c r="P4536" s="20" t="s">
        <v>4325</v>
      </c>
      <c r="Q4536" s="20" t="s">
        <v>5315</v>
      </c>
    </row>
    <row r="4537" spans="1:17" ht="24.9" customHeight="1">
      <c r="A4537" s="20"/>
      <c r="B4537" s="20" t="s">
        <v>4636</v>
      </c>
      <c r="C4537" s="20"/>
      <c r="D4537" s="20" t="s">
        <v>4325</v>
      </c>
      <c r="E4537" s="19">
        <f>VLOOKUP(D4537,'لیست پرسنل'!$B$2:$E$1020,3,FALSE)</f>
        <v>0</v>
      </c>
      <c r="F4537" s="19">
        <f>VLOOKUP(D4537,'لیست پرسنل'!$B$2:$E$1020,4,FALSE)</f>
        <v>0</v>
      </c>
      <c r="G4537" s="127">
        <f>VLOOKUP(D4537,'لیست پرسنل'!$B$2:$F$1020,2,FALSE)</f>
        <v>0</v>
      </c>
      <c r="H4537" s="128" t="s">
        <v>4454</v>
      </c>
      <c r="I4537" s="128" t="s">
        <v>4325</v>
      </c>
      <c r="J4537" s="128" t="s">
        <v>2686</v>
      </c>
      <c r="K4537" s="128" t="s">
        <v>8116</v>
      </c>
      <c r="L4537" s="128"/>
      <c r="M4537" s="128">
        <v>619847</v>
      </c>
      <c r="N4537" s="108"/>
      <c r="O4537" s="95" t="s">
        <v>4325</v>
      </c>
      <c r="P4537" s="20" t="s">
        <v>4325</v>
      </c>
      <c r="Q4537" s="20" t="s">
        <v>5315</v>
      </c>
    </row>
    <row r="4538" spans="1:17" ht="24.9" customHeight="1">
      <c r="A4538" s="20"/>
      <c r="B4538" s="20" t="s">
        <v>4636</v>
      </c>
      <c r="C4538" s="20"/>
      <c r="D4538" s="20" t="s">
        <v>4325</v>
      </c>
      <c r="E4538" s="19">
        <f>VLOOKUP(D4538,'لیست پرسنل'!$B$2:$E$1020,3,FALSE)</f>
        <v>0</v>
      </c>
      <c r="F4538" s="19">
        <f>VLOOKUP(D4538,'لیست پرسنل'!$B$2:$E$1020,4,FALSE)</f>
        <v>0</v>
      </c>
      <c r="G4538" s="127">
        <f>VLOOKUP(D4538,'لیست پرسنل'!$B$2:$F$1020,2,FALSE)</f>
        <v>0</v>
      </c>
      <c r="H4538" s="128" t="s">
        <v>4454</v>
      </c>
      <c r="I4538" s="128" t="s">
        <v>4325</v>
      </c>
      <c r="J4538" s="128" t="s">
        <v>2686</v>
      </c>
      <c r="K4538" s="128" t="s">
        <v>5317</v>
      </c>
      <c r="L4538" s="128"/>
      <c r="M4538" s="128">
        <v>620378</v>
      </c>
      <c r="N4538" s="108"/>
      <c r="O4538" s="95" t="s">
        <v>4325</v>
      </c>
      <c r="P4538" s="20" t="s">
        <v>4325</v>
      </c>
      <c r="Q4538" s="20" t="s">
        <v>5315</v>
      </c>
    </row>
    <row r="4539" spans="1:17" ht="24.9" customHeight="1">
      <c r="A4539" s="20"/>
      <c r="B4539" s="20" t="s">
        <v>4636</v>
      </c>
      <c r="C4539" s="20"/>
      <c r="D4539" s="20" t="s">
        <v>4325</v>
      </c>
      <c r="E4539" s="19">
        <f>VLOOKUP(D4539,'لیست پرسنل'!$B$2:$E$1020,3,FALSE)</f>
        <v>0</v>
      </c>
      <c r="F4539" s="19">
        <f>VLOOKUP(D4539,'لیست پرسنل'!$B$2:$E$1020,4,FALSE)</f>
        <v>0</v>
      </c>
      <c r="G4539" s="127">
        <f>VLOOKUP(D4539,'لیست پرسنل'!$B$2:$F$1020,2,FALSE)</f>
        <v>0</v>
      </c>
      <c r="H4539" s="128" t="s">
        <v>4404</v>
      </c>
      <c r="I4539" s="128" t="s">
        <v>4325</v>
      </c>
      <c r="J4539" s="128" t="s">
        <v>3313</v>
      </c>
      <c r="K4539" s="128" t="s">
        <v>3329</v>
      </c>
      <c r="L4539" s="127"/>
      <c r="M4539" s="127">
        <v>627867</v>
      </c>
      <c r="N4539" s="109" t="s">
        <v>3723</v>
      </c>
      <c r="O4539" s="19"/>
      <c r="P4539" s="19" t="s">
        <v>5869</v>
      </c>
      <c r="Q4539" s="19" t="s">
        <v>6575</v>
      </c>
    </row>
    <row r="4540" spans="1:17" ht="24.9" customHeight="1">
      <c r="A4540" s="20"/>
      <c r="B4540" s="19" t="s">
        <v>5101</v>
      </c>
      <c r="C4540" s="20"/>
      <c r="D4540" s="20" t="s">
        <v>4325</v>
      </c>
      <c r="E4540" s="19">
        <f>VLOOKUP(D4540,'لیست پرسنل'!$B$2:$E$1020,3,FALSE)</f>
        <v>0</v>
      </c>
      <c r="F4540" s="19">
        <f>VLOOKUP(D4540,'لیست پرسنل'!$B$2:$E$1020,4,FALSE)</f>
        <v>0</v>
      </c>
      <c r="G4540" s="127">
        <f>VLOOKUP(D4540,'لیست پرسنل'!$B$2:$F$1020,2,FALSE)</f>
        <v>0</v>
      </c>
      <c r="H4540" s="128" t="s">
        <v>4338</v>
      </c>
      <c r="I4540" s="128" t="s">
        <v>4325</v>
      </c>
      <c r="J4540" s="128" t="s">
        <v>2686</v>
      </c>
      <c r="K4540" s="127" t="s">
        <v>332</v>
      </c>
      <c r="L4540" s="151" t="s">
        <v>1234</v>
      </c>
      <c r="M4540" s="127">
        <v>605847</v>
      </c>
      <c r="N4540" s="108"/>
      <c r="O4540" s="19"/>
      <c r="P4540" s="20" t="s">
        <v>5228</v>
      </c>
      <c r="Q4540" s="20" t="s">
        <v>6029</v>
      </c>
    </row>
    <row r="4541" spans="1:17" ht="24.9" customHeight="1">
      <c r="A4541" s="20"/>
      <c r="B4541" s="19" t="s">
        <v>5101</v>
      </c>
      <c r="C4541" s="20"/>
      <c r="D4541" s="20" t="s">
        <v>4325</v>
      </c>
      <c r="E4541" s="19">
        <f>VLOOKUP(D4541,'لیست پرسنل'!$B$2:$E$1020,3,FALSE)</f>
        <v>0</v>
      </c>
      <c r="F4541" s="19">
        <f>VLOOKUP(D4541,'لیست پرسنل'!$B$2:$E$1020,4,FALSE)</f>
        <v>0</v>
      </c>
      <c r="G4541" s="127">
        <f>VLOOKUP(D4541,'لیست پرسنل'!$B$2:$F$1020,2,FALSE)</f>
        <v>0</v>
      </c>
      <c r="H4541" s="128" t="s">
        <v>4338</v>
      </c>
      <c r="I4541" s="128" t="s">
        <v>4325</v>
      </c>
      <c r="J4541" s="128" t="s">
        <v>2686</v>
      </c>
      <c r="K4541" s="175" t="s">
        <v>332</v>
      </c>
      <c r="L4541" s="151" t="s">
        <v>1331</v>
      </c>
      <c r="M4541" s="127">
        <v>615571</v>
      </c>
      <c r="N4541" s="108"/>
      <c r="O4541" s="19"/>
      <c r="P4541" s="20" t="s">
        <v>5228</v>
      </c>
      <c r="Q4541" s="20" t="s">
        <v>6029</v>
      </c>
    </row>
    <row r="4542" spans="1:17" ht="24.9" customHeight="1">
      <c r="A4542" s="20"/>
      <c r="B4542" s="20" t="s">
        <v>5101</v>
      </c>
      <c r="C4542" s="20"/>
      <c r="D4542" s="20" t="s">
        <v>4325</v>
      </c>
      <c r="E4542" s="19">
        <f>VLOOKUP(D4542,'لیست پرسنل'!$B$2:$E$1020,3,FALSE)</f>
        <v>0</v>
      </c>
      <c r="F4542" s="19">
        <f>VLOOKUP(D4542,'لیست پرسنل'!$B$2:$E$1020,4,FALSE)</f>
        <v>0</v>
      </c>
      <c r="G4542" s="127">
        <f>VLOOKUP(D4542,'لیست پرسنل'!$B$2:$F$1020,2,FALSE)</f>
        <v>0</v>
      </c>
      <c r="H4542" s="127" t="s">
        <v>6053</v>
      </c>
      <c r="I4542" s="128" t="s">
        <v>4325</v>
      </c>
      <c r="J4542" s="128" t="s">
        <v>2686</v>
      </c>
      <c r="K4542" s="128" t="s">
        <v>2922</v>
      </c>
      <c r="L4542" s="128" t="s">
        <v>2955</v>
      </c>
      <c r="M4542" s="128">
        <v>626436</v>
      </c>
      <c r="N4542" s="108"/>
      <c r="O4542" s="20" t="s">
        <v>6054</v>
      </c>
      <c r="P4542" s="20" t="s">
        <v>4325</v>
      </c>
      <c r="Q4542" s="20" t="s">
        <v>6055</v>
      </c>
    </row>
    <row r="4543" spans="1:17" ht="24.9" customHeight="1">
      <c r="A4543" s="20"/>
      <c r="B4543" s="19" t="s">
        <v>5101</v>
      </c>
      <c r="C4543" s="20"/>
      <c r="D4543" s="20" t="s">
        <v>4325</v>
      </c>
      <c r="E4543" s="19">
        <f>VLOOKUP(D4543,'لیست پرسنل'!$B$2:$E$1020,3,FALSE)</f>
        <v>0</v>
      </c>
      <c r="F4543" s="19">
        <f>VLOOKUP(D4543,'لیست پرسنل'!$B$2:$E$1020,4,FALSE)</f>
        <v>0</v>
      </c>
      <c r="G4543" s="127">
        <f>VLOOKUP(D4543,'لیست پرسنل'!$B$2:$F$1020,2,FALSE)</f>
        <v>0</v>
      </c>
      <c r="H4543" s="151" t="s">
        <v>5053</v>
      </c>
      <c r="I4543" s="151" t="s">
        <v>4325</v>
      </c>
      <c r="J4543" s="128" t="s">
        <v>571</v>
      </c>
      <c r="K4543" s="128" t="s">
        <v>1582</v>
      </c>
      <c r="L4543" s="150"/>
      <c r="M4543" s="128">
        <v>604283</v>
      </c>
      <c r="N4543" s="108"/>
      <c r="O4543" s="19" t="s">
        <v>5679</v>
      </c>
      <c r="P4543" s="20" t="s">
        <v>5228</v>
      </c>
      <c r="Q4543" s="20" t="s">
        <v>6026</v>
      </c>
    </row>
    <row r="4544" spans="1:17" ht="24.9" customHeight="1">
      <c r="A4544" s="20"/>
      <c r="B4544" s="20" t="s">
        <v>5101</v>
      </c>
      <c r="C4544" s="20"/>
      <c r="D4544" s="20" t="s">
        <v>4325</v>
      </c>
      <c r="E4544" s="19">
        <f>VLOOKUP(D4544,'لیست پرسنل'!$B$2:$E$1020,3,FALSE)</f>
        <v>0</v>
      </c>
      <c r="F4544" s="19">
        <f>VLOOKUP(D4544,'لیست پرسنل'!$B$2:$E$1020,4,FALSE)</f>
        <v>0</v>
      </c>
      <c r="G4544" s="127">
        <f>VLOOKUP(D4544,'لیست پرسنل'!$B$2:$F$1020,2,FALSE)</f>
        <v>0</v>
      </c>
      <c r="H4544" s="128" t="s">
        <v>4828</v>
      </c>
      <c r="I4544" s="128" t="s">
        <v>4325</v>
      </c>
      <c r="J4544" s="128" t="s">
        <v>2686</v>
      </c>
      <c r="K4544" s="128" t="s">
        <v>2905</v>
      </c>
      <c r="L4544" s="127" t="s">
        <v>2906</v>
      </c>
      <c r="M4544" s="127">
        <v>43000611</v>
      </c>
      <c r="N4544" s="109"/>
      <c r="O4544" s="19" t="s">
        <v>5373</v>
      </c>
      <c r="P4544" s="20" t="s">
        <v>5869</v>
      </c>
      <c r="Q4544" s="32" t="s">
        <v>6027</v>
      </c>
    </row>
    <row r="4545" spans="1:17" ht="24.9" customHeight="1">
      <c r="A4545" s="20"/>
      <c r="B4545" s="20" t="s">
        <v>5101</v>
      </c>
      <c r="C4545" s="19"/>
      <c r="D4545" s="83" t="s">
        <v>4325</v>
      </c>
      <c r="E4545" s="19">
        <f>VLOOKUP(D4545,'لیست پرسنل'!$B$2:$E$1020,3,FALSE)</f>
        <v>0</v>
      </c>
      <c r="F4545" s="19">
        <f>VLOOKUP(D4545,'لیست پرسنل'!$B$2:$E$1020,4,FALSE)</f>
        <v>0</v>
      </c>
      <c r="G4545" s="127">
        <f>VLOOKUP(D4545,'لیست پرسنل'!$B$2:$F$1020,2,FALSE)</f>
        <v>0</v>
      </c>
      <c r="H4545" s="127" t="s">
        <v>4212</v>
      </c>
      <c r="I4545" s="126" t="s">
        <v>4325</v>
      </c>
      <c r="J4545" s="126" t="s">
        <v>368</v>
      </c>
      <c r="K4545" s="128" t="s">
        <v>3135</v>
      </c>
      <c r="L4545" s="127" t="s">
        <v>3134</v>
      </c>
      <c r="M4545" s="127">
        <v>623351</v>
      </c>
      <c r="N4545" s="109" t="s">
        <v>6172</v>
      </c>
      <c r="O4545" s="19" t="s">
        <v>7498</v>
      </c>
      <c r="P4545" s="20" t="s">
        <v>5869</v>
      </c>
      <c r="Q4545" s="20"/>
    </row>
    <row r="4546" spans="1:17" ht="24.9" customHeight="1">
      <c r="A4546" s="20"/>
      <c r="B4546" s="20" t="s">
        <v>5101</v>
      </c>
      <c r="C4546" s="19"/>
      <c r="D4546" s="20" t="s">
        <v>4325</v>
      </c>
      <c r="E4546" s="19">
        <f>VLOOKUP(D4546,'لیست پرسنل'!$B$2:$E$1020,3,FALSE)</f>
        <v>0</v>
      </c>
      <c r="F4546" s="19">
        <f>VLOOKUP(D4546,'لیست پرسنل'!$B$2:$E$1020,4,FALSE)</f>
        <v>0</v>
      </c>
      <c r="G4546" s="127">
        <f>VLOOKUP(D4546,'لیست پرسنل'!$B$2:$F$1020,2,FALSE)</f>
        <v>0</v>
      </c>
      <c r="H4546" s="126" t="s">
        <v>4290</v>
      </c>
      <c r="I4546" s="128" t="s">
        <v>4325</v>
      </c>
      <c r="J4546" s="128" t="s">
        <v>3532</v>
      </c>
      <c r="K4546" s="128" t="s">
        <v>2087</v>
      </c>
      <c r="L4546" s="128" t="s">
        <v>2099</v>
      </c>
      <c r="M4546" s="128">
        <v>628297</v>
      </c>
      <c r="N4546" s="108"/>
      <c r="O4546" s="81" t="s">
        <v>7261</v>
      </c>
      <c r="P4546" s="20" t="s">
        <v>5869</v>
      </c>
      <c r="Q4546" s="20">
        <v>1403</v>
      </c>
    </row>
    <row r="4547" spans="1:17" ht="24.9" customHeight="1">
      <c r="A4547" s="20"/>
      <c r="B4547" s="20" t="s">
        <v>4636</v>
      </c>
      <c r="C4547" s="20"/>
      <c r="D4547" s="20" t="s">
        <v>4325</v>
      </c>
      <c r="E4547" s="19">
        <f>VLOOKUP(D4547,'لیست پرسنل'!$B$2:$E$1020,3,FALSE)</f>
        <v>0</v>
      </c>
      <c r="F4547" s="19">
        <f>VLOOKUP(D4547,'لیست پرسنل'!$B$2:$E$1020,4,FALSE)</f>
        <v>0</v>
      </c>
      <c r="G4547" s="127">
        <f>VLOOKUP(D4547,'لیست پرسنل'!$B$2:$F$1020,2,FALSE)</f>
        <v>0</v>
      </c>
      <c r="H4547" s="126" t="s">
        <v>4290</v>
      </c>
      <c r="I4547" s="128" t="s">
        <v>4325</v>
      </c>
      <c r="J4547" s="128" t="s">
        <v>737</v>
      </c>
      <c r="K4547" s="128" t="s">
        <v>566</v>
      </c>
      <c r="L4547" s="150">
        <v>45123984</v>
      </c>
      <c r="M4547" s="127">
        <v>614051</v>
      </c>
      <c r="N4547" s="108"/>
      <c r="O4547" s="20" t="s">
        <v>5128</v>
      </c>
      <c r="P4547" s="20" t="s">
        <v>5869</v>
      </c>
      <c r="Q4547" s="20"/>
    </row>
    <row r="4548" spans="1:17" ht="24.9" customHeight="1">
      <c r="A4548" s="20"/>
      <c r="B4548" s="20" t="s">
        <v>5101</v>
      </c>
      <c r="C4548" s="20"/>
      <c r="D4548" s="20" t="s">
        <v>4325</v>
      </c>
      <c r="E4548" s="19">
        <f>VLOOKUP(D4548,'لیست پرسنل'!$B$2:$E$1020,3,FALSE)</f>
        <v>0</v>
      </c>
      <c r="F4548" s="19">
        <f>VLOOKUP(D4548,'لیست پرسنل'!$B$2:$E$1020,4,FALSE)</f>
        <v>0</v>
      </c>
      <c r="G4548" s="127">
        <f>VLOOKUP(D4548,'لیست پرسنل'!$B$2:$F$1020,2,FALSE)</f>
        <v>0</v>
      </c>
      <c r="H4548" s="126" t="s">
        <v>4290</v>
      </c>
      <c r="I4548" s="128" t="s">
        <v>4325</v>
      </c>
      <c r="J4548" s="128" t="s">
        <v>737</v>
      </c>
      <c r="K4548" s="128" t="s">
        <v>4160</v>
      </c>
      <c r="L4548" s="128" t="s">
        <v>4158</v>
      </c>
      <c r="M4548" s="128">
        <v>3010483</v>
      </c>
      <c r="N4548" s="108"/>
      <c r="O4548" s="19" t="s">
        <v>4295</v>
      </c>
      <c r="P4548" s="20" t="s">
        <v>5869</v>
      </c>
      <c r="Q4548" s="20"/>
    </row>
    <row r="4549" spans="1:17" ht="24.9" customHeight="1">
      <c r="A4549" s="20"/>
      <c r="B4549" s="20" t="s">
        <v>5101</v>
      </c>
      <c r="C4549" s="20"/>
      <c r="D4549" s="20" t="s">
        <v>4325</v>
      </c>
      <c r="E4549" s="19">
        <f>VLOOKUP(D4549,'لیست پرسنل'!$B$2:$E$1020,3,FALSE)</f>
        <v>0</v>
      </c>
      <c r="F4549" s="19">
        <f>VLOOKUP(D4549,'لیست پرسنل'!$B$2:$E$1020,4,FALSE)</f>
        <v>0</v>
      </c>
      <c r="G4549" s="127">
        <f>VLOOKUP(D4549,'لیست پرسنل'!$B$2:$F$1020,2,FALSE)</f>
        <v>0</v>
      </c>
      <c r="H4549" s="126" t="s">
        <v>4290</v>
      </c>
      <c r="I4549" s="128" t="s">
        <v>4325</v>
      </c>
      <c r="J4549" s="128" t="s">
        <v>737</v>
      </c>
      <c r="K4549" s="128" t="s">
        <v>4159</v>
      </c>
      <c r="L4549" s="128">
        <v>87110263</v>
      </c>
      <c r="M4549" s="128">
        <v>3010484</v>
      </c>
      <c r="N4549" s="108"/>
      <c r="O4549" s="19" t="s">
        <v>4294</v>
      </c>
      <c r="P4549" s="20" t="s">
        <v>5869</v>
      </c>
      <c r="Q4549" s="20"/>
    </row>
    <row r="4550" spans="1:17" ht="24.9" customHeight="1">
      <c r="A4550" s="20"/>
      <c r="B4550" s="20" t="s">
        <v>5101</v>
      </c>
      <c r="C4550" s="20"/>
      <c r="D4550" s="20" t="s">
        <v>4325</v>
      </c>
      <c r="E4550" s="19">
        <f>VLOOKUP(D4550,'لیست پرسنل'!$B$2:$E$1020,3,FALSE)</f>
        <v>0</v>
      </c>
      <c r="F4550" s="19">
        <f>VLOOKUP(D4550,'لیست پرسنل'!$B$2:$E$1020,4,FALSE)</f>
        <v>0</v>
      </c>
      <c r="G4550" s="127">
        <f>VLOOKUP(D4550,'لیست پرسنل'!$B$2:$F$1020,2,FALSE)</f>
        <v>0</v>
      </c>
      <c r="H4550" s="126" t="s">
        <v>4290</v>
      </c>
      <c r="I4550" s="128" t="s">
        <v>4325</v>
      </c>
      <c r="J4550" s="128" t="s">
        <v>737</v>
      </c>
      <c r="K4550" s="128" t="s">
        <v>4150</v>
      </c>
      <c r="L4550" s="128" t="s">
        <v>4149</v>
      </c>
      <c r="M4550" s="128">
        <v>3011157</v>
      </c>
      <c r="N4550" s="108"/>
      <c r="O4550" s="19" t="s">
        <v>5964</v>
      </c>
      <c r="P4550" s="20" t="s">
        <v>5869</v>
      </c>
      <c r="Q4550" s="20"/>
    </row>
    <row r="4551" spans="1:17" ht="24.9" customHeight="1">
      <c r="A4551" s="20"/>
      <c r="B4551" s="20" t="s">
        <v>4636</v>
      </c>
      <c r="C4551" s="20"/>
      <c r="D4551" s="20" t="s">
        <v>4325</v>
      </c>
      <c r="E4551" s="19">
        <f>VLOOKUP(D4551,'لیست پرسنل'!$B$2:$E$1020,3,FALSE)</f>
        <v>0</v>
      </c>
      <c r="F4551" s="19">
        <f>VLOOKUP(D4551,'لیست پرسنل'!$B$2:$E$1020,4,FALSE)</f>
        <v>0</v>
      </c>
      <c r="G4551" s="127">
        <f>VLOOKUP(D4551,'لیست پرسنل'!$B$2:$F$1020,2,FALSE)</f>
        <v>0</v>
      </c>
      <c r="H4551" s="126" t="s">
        <v>4290</v>
      </c>
      <c r="I4551" s="128" t="s">
        <v>4325</v>
      </c>
      <c r="J4551" s="128" t="s">
        <v>1967</v>
      </c>
      <c r="K4551" s="128" t="s">
        <v>1767</v>
      </c>
      <c r="L4551" s="151"/>
      <c r="M4551" s="127">
        <v>600131</v>
      </c>
      <c r="N4551" s="108"/>
      <c r="O4551" s="69" t="s">
        <v>5128</v>
      </c>
      <c r="P4551" s="20" t="s">
        <v>5869</v>
      </c>
      <c r="Q4551" s="20"/>
    </row>
    <row r="4552" spans="1:17" ht="24.9" customHeight="1">
      <c r="A4552" s="20"/>
      <c r="B4552" s="20" t="s">
        <v>4636</v>
      </c>
      <c r="C4552" s="20"/>
      <c r="D4552" s="20" t="s">
        <v>4325</v>
      </c>
      <c r="E4552" s="19">
        <f>VLOOKUP(D4552,'لیست پرسنل'!$B$2:$E$1020,3,FALSE)</f>
        <v>0</v>
      </c>
      <c r="F4552" s="19">
        <f>VLOOKUP(D4552,'لیست پرسنل'!$B$2:$E$1020,4,FALSE)</f>
        <v>0</v>
      </c>
      <c r="G4552" s="127">
        <f>VLOOKUP(D4552,'لیست پرسنل'!$B$2:$F$1020,2,FALSE)</f>
        <v>0</v>
      </c>
      <c r="H4552" s="126" t="s">
        <v>4290</v>
      </c>
      <c r="I4552" s="128" t="s">
        <v>4325</v>
      </c>
      <c r="J4552" s="128" t="s">
        <v>1967</v>
      </c>
      <c r="K4552" s="128" t="s">
        <v>2658</v>
      </c>
      <c r="L4552" s="150"/>
      <c r="M4552" s="128">
        <v>601676</v>
      </c>
      <c r="N4552" s="108"/>
      <c r="O4552" s="69" t="s">
        <v>5128</v>
      </c>
      <c r="P4552" s="20" t="s">
        <v>5869</v>
      </c>
      <c r="Q4552" s="20"/>
    </row>
    <row r="4553" spans="1:17" ht="24.9" customHeight="1">
      <c r="A4553" s="20"/>
      <c r="B4553" s="20" t="s">
        <v>4636</v>
      </c>
      <c r="C4553" s="20"/>
      <c r="D4553" s="20" t="s">
        <v>4325</v>
      </c>
      <c r="E4553" s="19">
        <f>VLOOKUP(D4553,'لیست پرسنل'!$B$2:$E$1020,3,FALSE)</f>
        <v>0</v>
      </c>
      <c r="F4553" s="19">
        <f>VLOOKUP(D4553,'لیست پرسنل'!$B$2:$E$1020,4,FALSE)</f>
        <v>0</v>
      </c>
      <c r="G4553" s="127">
        <f>VLOOKUP(D4553,'لیست پرسنل'!$B$2:$F$1020,2,FALSE)</f>
        <v>0</v>
      </c>
      <c r="H4553" s="126" t="s">
        <v>4290</v>
      </c>
      <c r="I4553" s="128" t="s">
        <v>4325</v>
      </c>
      <c r="J4553" s="128" t="s">
        <v>1967</v>
      </c>
      <c r="K4553" s="128" t="s">
        <v>2792</v>
      </c>
      <c r="L4553" s="150" t="s">
        <v>2791</v>
      </c>
      <c r="M4553" s="127">
        <v>602000</v>
      </c>
      <c r="N4553" s="108"/>
      <c r="O4553" s="20" t="s">
        <v>5128</v>
      </c>
      <c r="P4553" s="20" t="s">
        <v>5869</v>
      </c>
      <c r="Q4553" s="20"/>
    </row>
    <row r="4554" spans="1:17" ht="24.9" customHeight="1">
      <c r="A4554" s="20"/>
      <c r="B4554" s="20" t="s">
        <v>4636</v>
      </c>
      <c r="C4554" s="20"/>
      <c r="D4554" s="20" t="s">
        <v>4325</v>
      </c>
      <c r="E4554" s="19">
        <f>VLOOKUP(D4554,'لیست پرسنل'!$B$2:$E$1020,3,FALSE)</f>
        <v>0</v>
      </c>
      <c r="F4554" s="19">
        <f>VLOOKUP(D4554,'لیست پرسنل'!$B$2:$E$1020,4,FALSE)</f>
        <v>0</v>
      </c>
      <c r="G4554" s="127">
        <f>VLOOKUP(D4554,'لیست پرسنل'!$B$2:$F$1020,2,FALSE)</f>
        <v>0</v>
      </c>
      <c r="H4554" s="126" t="s">
        <v>4290</v>
      </c>
      <c r="I4554" s="128" t="s">
        <v>4325</v>
      </c>
      <c r="J4554" s="128" t="s">
        <v>1967</v>
      </c>
      <c r="K4554" s="128" t="s">
        <v>642</v>
      </c>
      <c r="L4554" s="150"/>
      <c r="M4554" s="127">
        <v>602139</v>
      </c>
      <c r="N4554" s="108"/>
      <c r="O4554" s="20" t="s">
        <v>5128</v>
      </c>
      <c r="P4554" s="20" t="s">
        <v>5869</v>
      </c>
      <c r="Q4554" s="20"/>
    </row>
    <row r="4555" spans="1:17" ht="24.9" customHeight="1">
      <c r="A4555" s="20"/>
      <c r="B4555" s="20" t="s">
        <v>4636</v>
      </c>
      <c r="C4555" s="20"/>
      <c r="D4555" s="20" t="s">
        <v>4325</v>
      </c>
      <c r="E4555" s="19">
        <f>VLOOKUP(D4555,'لیست پرسنل'!$B$2:$E$1020,3,FALSE)</f>
        <v>0</v>
      </c>
      <c r="F4555" s="19">
        <f>VLOOKUP(D4555,'لیست پرسنل'!$B$2:$E$1020,4,FALSE)</f>
        <v>0</v>
      </c>
      <c r="G4555" s="127">
        <f>VLOOKUP(D4555,'لیست پرسنل'!$B$2:$F$1020,2,FALSE)</f>
        <v>0</v>
      </c>
      <c r="H4555" s="126" t="s">
        <v>4290</v>
      </c>
      <c r="I4555" s="128" t="s">
        <v>4325</v>
      </c>
      <c r="J4555" s="128" t="s">
        <v>1967</v>
      </c>
      <c r="K4555" s="128" t="s">
        <v>2792</v>
      </c>
      <c r="L4555" s="128" t="s">
        <v>2800</v>
      </c>
      <c r="M4555" s="128">
        <v>602615</v>
      </c>
      <c r="N4555" s="108"/>
      <c r="O4555" s="47" t="s">
        <v>5128</v>
      </c>
      <c r="P4555" s="20" t="s">
        <v>5869</v>
      </c>
      <c r="Q4555" s="20"/>
    </row>
    <row r="4556" spans="1:17" ht="24.9" customHeight="1">
      <c r="A4556" s="20"/>
      <c r="B4556" s="20" t="s">
        <v>4636</v>
      </c>
      <c r="C4556" s="20"/>
      <c r="D4556" s="20" t="s">
        <v>4325</v>
      </c>
      <c r="E4556" s="19">
        <f>VLOOKUP(D4556,'لیست پرسنل'!$B$2:$E$1020,3,FALSE)</f>
        <v>0</v>
      </c>
      <c r="F4556" s="19">
        <f>VLOOKUP(D4556,'لیست پرسنل'!$B$2:$E$1020,4,FALSE)</f>
        <v>0</v>
      </c>
      <c r="G4556" s="127">
        <f>VLOOKUP(D4556,'لیست پرسنل'!$B$2:$F$1020,2,FALSE)</f>
        <v>0</v>
      </c>
      <c r="H4556" s="126" t="s">
        <v>4290</v>
      </c>
      <c r="I4556" s="128" t="s">
        <v>4325</v>
      </c>
      <c r="J4556" s="128" t="s">
        <v>1967</v>
      </c>
      <c r="K4556" s="128" t="s">
        <v>1766</v>
      </c>
      <c r="L4556" s="151" t="s">
        <v>2670</v>
      </c>
      <c r="M4556" s="127">
        <v>602616</v>
      </c>
      <c r="N4556" s="108"/>
      <c r="O4556" s="20" t="s">
        <v>5127</v>
      </c>
      <c r="P4556" s="20" t="s">
        <v>5869</v>
      </c>
      <c r="Q4556" s="20"/>
    </row>
    <row r="4557" spans="1:17" ht="24.9" customHeight="1">
      <c r="A4557" s="20"/>
      <c r="B4557" s="20" t="s">
        <v>4636</v>
      </c>
      <c r="C4557" s="20"/>
      <c r="D4557" s="20" t="s">
        <v>4325</v>
      </c>
      <c r="E4557" s="19">
        <f>VLOOKUP(D4557,'لیست پرسنل'!$B$2:$E$1020,3,FALSE)</f>
        <v>0</v>
      </c>
      <c r="F4557" s="19">
        <f>VLOOKUP(D4557,'لیست پرسنل'!$B$2:$E$1020,4,FALSE)</f>
        <v>0</v>
      </c>
      <c r="G4557" s="127">
        <f>VLOOKUP(D4557,'لیست پرسنل'!$B$2:$F$1020,2,FALSE)</f>
        <v>0</v>
      </c>
      <c r="H4557" s="126" t="s">
        <v>4290</v>
      </c>
      <c r="I4557" s="128" t="s">
        <v>4325</v>
      </c>
      <c r="J4557" s="128" t="s">
        <v>1967</v>
      </c>
      <c r="K4557" s="128" t="s">
        <v>2584</v>
      </c>
      <c r="L4557" s="128"/>
      <c r="M4557" s="128">
        <v>603373</v>
      </c>
      <c r="N4557" s="108"/>
      <c r="O4557" s="20" t="s">
        <v>5128</v>
      </c>
      <c r="P4557" s="20" t="s">
        <v>5869</v>
      </c>
      <c r="Q4557" s="20"/>
    </row>
    <row r="4558" spans="1:17" ht="24.9" customHeight="1">
      <c r="A4558" s="20"/>
      <c r="B4558" s="20" t="s">
        <v>4636</v>
      </c>
      <c r="C4558" s="20"/>
      <c r="D4558" s="20" t="s">
        <v>4325</v>
      </c>
      <c r="E4558" s="19">
        <f>VLOOKUP(D4558,'لیست پرسنل'!$B$2:$E$1020,3,FALSE)</f>
        <v>0</v>
      </c>
      <c r="F4558" s="19">
        <f>VLOOKUP(D4558,'لیست پرسنل'!$B$2:$E$1020,4,FALSE)</f>
        <v>0</v>
      </c>
      <c r="G4558" s="127">
        <f>VLOOKUP(D4558,'لیست پرسنل'!$B$2:$F$1020,2,FALSE)</f>
        <v>0</v>
      </c>
      <c r="H4558" s="126" t="s">
        <v>4290</v>
      </c>
      <c r="I4558" s="128" t="s">
        <v>4325</v>
      </c>
      <c r="J4558" s="128" t="s">
        <v>1967</v>
      </c>
      <c r="K4558" s="128" t="s">
        <v>2525</v>
      </c>
      <c r="L4558" s="151" t="s">
        <v>2660</v>
      </c>
      <c r="M4558" s="127">
        <v>603587</v>
      </c>
      <c r="N4558" s="108"/>
      <c r="O4558" s="69" t="s">
        <v>5128</v>
      </c>
      <c r="P4558" s="20" t="s">
        <v>5869</v>
      </c>
      <c r="Q4558" s="20"/>
    </row>
    <row r="4559" spans="1:17" ht="24.9" customHeight="1">
      <c r="A4559" s="20"/>
      <c r="B4559" s="20" t="s">
        <v>4636</v>
      </c>
      <c r="C4559" s="20"/>
      <c r="D4559" s="20" t="s">
        <v>4325</v>
      </c>
      <c r="E4559" s="19">
        <f>VLOOKUP(D4559,'لیست پرسنل'!$B$2:$E$1020,3,FALSE)</f>
        <v>0</v>
      </c>
      <c r="F4559" s="19">
        <f>VLOOKUP(D4559,'لیست پرسنل'!$B$2:$E$1020,4,FALSE)</f>
        <v>0</v>
      </c>
      <c r="G4559" s="127">
        <f>VLOOKUP(D4559,'لیست پرسنل'!$B$2:$F$1020,2,FALSE)</f>
        <v>0</v>
      </c>
      <c r="H4559" s="126" t="s">
        <v>4290</v>
      </c>
      <c r="I4559" s="128" t="s">
        <v>4325</v>
      </c>
      <c r="J4559" s="128" t="s">
        <v>1967</v>
      </c>
      <c r="K4559" s="128" t="s">
        <v>2664</v>
      </c>
      <c r="L4559" s="128">
        <v>20150705704</v>
      </c>
      <c r="M4559" s="127">
        <v>604129</v>
      </c>
      <c r="N4559" s="108"/>
      <c r="O4559" s="69" t="s">
        <v>5128</v>
      </c>
      <c r="P4559" s="20" t="s">
        <v>5869</v>
      </c>
      <c r="Q4559" s="20"/>
    </row>
    <row r="4560" spans="1:17" ht="24.9" customHeight="1">
      <c r="A4560" s="20"/>
      <c r="B4560" s="20" t="s">
        <v>4636</v>
      </c>
      <c r="C4560" s="20"/>
      <c r="D4560" s="20" t="s">
        <v>4325</v>
      </c>
      <c r="E4560" s="19">
        <f>VLOOKUP(D4560,'لیست پرسنل'!$B$2:$E$1020,3,FALSE)</f>
        <v>0</v>
      </c>
      <c r="F4560" s="19">
        <f>VLOOKUP(D4560,'لیست پرسنل'!$B$2:$E$1020,4,FALSE)</f>
        <v>0</v>
      </c>
      <c r="G4560" s="127">
        <f>VLOOKUP(D4560,'لیست پرسنل'!$B$2:$F$1020,2,FALSE)</f>
        <v>0</v>
      </c>
      <c r="H4560" s="126" t="s">
        <v>4290</v>
      </c>
      <c r="I4560" s="128" t="s">
        <v>4325</v>
      </c>
      <c r="J4560" s="128" t="s">
        <v>1967</v>
      </c>
      <c r="K4560" s="128" t="s">
        <v>640</v>
      </c>
      <c r="L4560" s="150" t="s">
        <v>2668</v>
      </c>
      <c r="M4560" s="128">
        <v>605952</v>
      </c>
      <c r="N4560" s="108"/>
      <c r="O4560" s="20" t="s">
        <v>5127</v>
      </c>
      <c r="P4560" s="20" t="s">
        <v>5869</v>
      </c>
      <c r="Q4560" s="20"/>
    </row>
    <row r="4561" spans="1:17" ht="24.9" customHeight="1">
      <c r="A4561" s="20"/>
      <c r="B4561" s="20" t="s">
        <v>4636</v>
      </c>
      <c r="C4561" s="20"/>
      <c r="D4561" s="20" t="s">
        <v>4325</v>
      </c>
      <c r="E4561" s="19">
        <f>VLOOKUP(D4561,'لیست پرسنل'!$B$2:$E$1020,3,FALSE)</f>
        <v>0</v>
      </c>
      <c r="F4561" s="19">
        <f>VLOOKUP(D4561,'لیست پرسنل'!$B$2:$E$1020,4,FALSE)</f>
        <v>0</v>
      </c>
      <c r="G4561" s="127">
        <f>VLOOKUP(D4561,'لیست پرسنل'!$B$2:$F$1020,2,FALSE)</f>
        <v>0</v>
      </c>
      <c r="H4561" s="126" t="s">
        <v>4290</v>
      </c>
      <c r="I4561" s="128" t="s">
        <v>4325</v>
      </c>
      <c r="J4561" s="128" t="s">
        <v>1967</v>
      </c>
      <c r="K4561" s="128" t="s">
        <v>2792</v>
      </c>
      <c r="L4561" s="128"/>
      <c r="M4561" s="128">
        <v>606449</v>
      </c>
      <c r="N4561" s="108"/>
      <c r="O4561" s="20" t="s">
        <v>5128</v>
      </c>
      <c r="P4561" s="20" t="s">
        <v>5869</v>
      </c>
      <c r="Q4561" s="20"/>
    </row>
    <row r="4562" spans="1:17" ht="24.9" customHeight="1">
      <c r="A4562" s="20"/>
      <c r="B4562" s="20" t="s">
        <v>5101</v>
      </c>
      <c r="C4562" s="20"/>
      <c r="D4562" s="20" t="s">
        <v>4325</v>
      </c>
      <c r="E4562" s="19">
        <f>VLOOKUP(D4562,'لیست پرسنل'!$B$2:$E$1020,3,FALSE)</f>
        <v>0</v>
      </c>
      <c r="F4562" s="19">
        <f>VLOOKUP(D4562,'لیست پرسنل'!$B$2:$E$1020,4,FALSE)</f>
        <v>0</v>
      </c>
      <c r="G4562" s="127">
        <f>VLOOKUP(D4562,'لیست پرسنل'!$B$2:$F$1020,2,FALSE)</f>
        <v>0</v>
      </c>
      <c r="H4562" s="151" t="s">
        <v>4290</v>
      </c>
      <c r="I4562" s="127" t="s">
        <v>4325</v>
      </c>
      <c r="J4562" s="128" t="s">
        <v>1967</v>
      </c>
      <c r="K4562" s="128" t="s">
        <v>2774</v>
      </c>
      <c r="L4562" s="150" t="s">
        <v>2773</v>
      </c>
      <c r="M4562" s="127">
        <v>607241</v>
      </c>
      <c r="N4562" s="108"/>
      <c r="O4562" s="20"/>
      <c r="P4562" s="20" t="s">
        <v>4325</v>
      </c>
      <c r="Q4562" s="20" t="s">
        <v>6925</v>
      </c>
    </row>
    <row r="4563" spans="1:17" ht="24.9" customHeight="1">
      <c r="A4563" s="20"/>
      <c r="B4563" s="20" t="s">
        <v>4636</v>
      </c>
      <c r="C4563" s="20"/>
      <c r="D4563" s="20" t="s">
        <v>4325</v>
      </c>
      <c r="E4563" s="19">
        <f>VLOOKUP(D4563,'لیست پرسنل'!$B$2:$E$1020,3,FALSE)</f>
        <v>0</v>
      </c>
      <c r="F4563" s="19">
        <f>VLOOKUP(D4563,'لیست پرسنل'!$B$2:$E$1020,4,FALSE)</f>
        <v>0</v>
      </c>
      <c r="G4563" s="127">
        <f>VLOOKUP(D4563,'لیست پرسنل'!$B$2:$F$1020,2,FALSE)</f>
        <v>0</v>
      </c>
      <c r="H4563" s="126" t="s">
        <v>4290</v>
      </c>
      <c r="I4563" s="128" t="s">
        <v>4325</v>
      </c>
      <c r="J4563" s="128" t="s">
        <v>1967</v>
      </c>
      <c r="K4563" s="128" t="s">
        <v>969</v>
      </c>
      <c r="L4563" s="149"/>
      <c r="M4563" s="127">
        <v>607285</v>
      </c>
      <c r="N4563" s="108"/>
      <c r="O4563" s="20" t="s">
        <v>5127</v>
      </c>
      <c r="P4563" s="20" t="s">
        <v>5869</v>
      </c>
      <c r="Q4563" s="20"/>
    </row>
    <row r="4564" spans="1:17" ht="24.9" customHeight="1">
      <c r="A4564" s="20"/>
      <c r="B4564" s="20" t="s">
        <v>4636</v>
      </c>
      <c r="C4564" s="20"/>
      <c r="D4564" s="20" t="s">
        <v>4325</v>
      </c>
      <c r="E4564" s="19">
        <f>VLOOKUP(D4564,'لیست پرسنل'!$B$2:$E$1020,3,FALSE)</f>
        <v>0</v>
      </c>
      <c r="F4564" s="19">
        <f>VLOOKUP(D4564,'لیست پرسنل'!$B$2:$E$1020,4,FALSE)</f>
        <v>0</v>
      </c>
      <c r="G4564" s="127">
        <f>VLOOKUP(D4564,'لیست پرسنل'!$B$2:$F$1020,2,FALSE)</f>
        <v>0</v>
      </c>
      <c r="H4564" s="126" t="s">
        <v>4290</v>
      </c>
      <c r="I4564" s="128" t="s">
        <v>4325</v>
      </c>
      <c r="J4564" s="128" t="s">
        <v>1967</v>
      </c>
      <c r="K4564" s="128" t="s">
        <v>2777</v>
      </c>
      <c r="L4564" s="150" t="s">
        <v>700</v>
      </c>
      <c r="M4564" s="128">
        <v>607759</v>
      </c>
      <c r="N4564" s="108"/>
      <c r="O4564" s="20" t="s">
        <v>5128</v>
      </c>
      <c r="P4564" s="20" t="s">
        <v>5869</v>
      </c>
      <c r="Q4564" s="20"/>
    </row>
    <row r="4565" spans="1:17" ht="24.9" customHeight="1">
      <c r="A4565" s="20"/>
      <c r="B4565" s="20" t="s">
        <v>4636</v>
      </c>
      <c r="C4565" s="20"/>
      <c r="D4565" s="20" t="s">
        <v>4325</v>
      </c>
      <c r="E4565" s="19">
        <f>VLOOKUP(D4565,'لیست پرسنل'!$B$2:$E$1020,3,FALSE)</f>
        <v>0</v>
      </c>
      <c r="F4565" s="19">
        <f>VLOOKUP(D4565,'لیست پرسنل'!$B$2:$E$1020,4,FALSE)</f>
        <v>0</v>
      </c>
      <c r="G4565" s="127">
        <f>VLOOKUP(D4565,'لیست پرسنل'!$B$2:$F$1020,2,FALSE)</f>
        <v>0</v>
      </c>
      <c r="H4565" s="126" t="s">
        <v>4290</v>
      </c>
      <c r="I4565" s="128" t="s">
        <v>4325</v>
      </c>
      <c r="J4565" s="128" t="s">
        <v>1967</v>
      </c>
      <c r="K4565" s="128" t="s">
        <v>2792</v>
      </c>
      <c r="L4565" s="128"/>
      <c r="M4565" s="128">
        <v>607893</v>
      </c>
      <c r="N4565" s="108"/>
      <c r="O4565" s="20" t="s">
        <v>5128</v>
      </c>
      <c r="P4565" s="20" t="s">
        <v>5869</v>
      </c>
      <c r="Q4565" s="20"/>
    </row>
    <row r="4566" spans="1:17" ht="24.9" customHeight="1">
      <c r="A4566" s="20"/>
      <c r="B4566" s="20" t="s">
        <v>4636</v>
      </c>
      <c r="C4566" s="20"/>
      <c r="D4566" s="20" t="s">
        <v>4325</v>
      </c>
      <c r="E4566" s="19">
        <f>VLOOKUP(D4566,'لیست پرسنل'!$B$2:$E$1020,3,FALSE)</f>
        <v>0</v>
      </c>
      <c r="F4566" s="19">
        <f>VLOOKUP(D4566,'لیست پرسنل'!$B$2:$E$1020,4,FALSE)</f>
        <v>0</v>
      </c>
      <c r="G4566" s="127">
        <f>VLOOKUP(D4566,'لیست پرسنل'!$B$2:$F$1020,2,FALSE)</f>
        <v>0</v>
      </c>
      <c r="H4566" s="126" t="s">
        <v>4290</v>
      </c>
      <c r="I4566" s="128" t="s">
        <v>4325</v>
      </c>
      <c r="J4566" s="128" t="s">
        <v>1967</v>
      </c>
      <c r="K4566" s="128" t="s">
        <v>881</v>
      </c>
      <c r="L4566" s="151"/>
      <c r="M4566" s="127">
        <v>610189</v>
      </c>
      <c r="N4566" s="108"/>
      <c r="O4566" s="69" t="s">
        <v>5128</v>
      </c>
      <c r="P4566" s="20" t="s">
        <v>5869</v>
      </c>
      <c r="Q4566" s="20"/>
    </row>
    <row r="4567" spans="1:17" ht="24.9" customHeight="1">
      <c r="A4567" s="20"/>
      <c r="B4567" s="20" t="s">
        <v>4636</v>
      </c>
      <c r="C4567" s="20"/>
      <c r="D4567" s="20" t="s">
        <v>4325</v>
      </c>
      <c r="E4567" s="19">
        <f>VLOOKUP(D4567,'لیست پرسنل'!$B$2:$E$1020,3,FALSE)</f>
        <v>0</v>
      </c>
      <c r="F4567" s="19">
        <f>VLOOKUP(D4567,'لیست پرسنل'!$B$2:$E$1020,4,FALSE)</f>
        <v>0</v>
      </c>
      <c r="G4567" s="127">
        <f>VLOOKUP(D4567,'لیست پرسنل'!$B$2:$F$1020,2,FALSE)</f>
        <v>0</v>
      </c>
      <c r="H4567" s="126" t="s">
        <v>4290</v>
      </c>
      <c r="I4567" s="128" t="s">
        <v>4325</v>
      </c>
      <c r="J4567" s="128" t="s">
        <v>1967</v>
      </c>
      <c r="K4567" s="128" t="s">
        <v>2792</v>
      </c>
      <c r="L4567" s="128" t="s">
        <v>2801</v>
      </c>
      <c r="M4567" s="128">
        <v>611147</v>
      </c>
      <c r="N4567" s="108"/>
      <c r="O4567" s="47" t="s">
        <v>5128</v>
      </c>
      <c r="P4567" s="20" t="s">
        <v>5869</v>
      </c>
      <c r="Q4567" s="20"/>
    </row>
    <row r="4568" spans="1:17" ht="24.9" customHeight="1">
      <c r="A4568" s="20"/>
      <c r="B4568" s="20" t="s">
        <v>5101</v>
      </c>
      <c r="C4568" s="20"/>
      <c r="D4568" s="20" t="s">
        <v>4325</v>
      </c>
      <c r="E4568" s="19">
        <f>VLOOKUP(D4568,'لیست پرسنل'!$B$2:$E$1020,3,FALSE)</f>
        <v>0</v>
      </c>
      <c r="F4568" s="19">
        <f>VLOOKUP(D4568,'لیست پرسنل'!$B$2:$E$1020,4,FALSE)</f>
        <v>0</v>
      </c>
      <c r="G4568" s="127">
        <f>VLOOKUP(D4568,'لیست پرسنل'!$B$2:$F$1020,2,FALSE)</f>
        <v>0</v>
      </c>
      <c r="H4568" s="153" t="s">
        <v>4290</v>
      </c>
      <c r="I4568" s="127" t="s">
        <v>4325</v>
      </c>
      <c r="J4568" s="127" t="s">
        <v>1967</v>
      </c>
      <c r="K4568" s="127" t="s">
        <v>5334</v>
      </c>
      <c r="L4568" s="127"/>
      <c r="M4568" s="128">
        <v>612308</v>
      </c>
      <c r="N4568" s="109"/>
      <c r="O4568" s="19" t="s">
        <v>5329</v>
      </c>
      <c r="P4568" s="19" t="s">
        <v>5869</v>
      </c>
      <c r="Q4568" s="20" t="s">
        <v>7288</v>
      </c>
    </row>
    <row r="4569" spans="1:17" ht="24.9" customHeight="1">
      <c r="A4569" s="20"/>
      <c r="B4569" s="20" t="s">
        <v>4636</v>
      </c>
      <c r="C4569" s="20"/>
      <c r="D4569" s="20" t="s">
        <v>4325</v>
      </c>
      <c r="E4569" s="19">
        <f>VLOOKUP(D4569,'لیست پرسنل'!$B$2:$E$1020,3,FALSE)</f>
        <v>0</v>
      </c>
      <c r="F4569" s="19">
        <f>VLOOKUP(D4569,'لیست پرسنل'!$B$2:$E$1020,4,FALSE)</f>
        <v>0</v>
      </c>
      <c r="G4569" s="127">
        <f>VLOOKUP(D4569,'لیست پرسنل'!$B$2:$F$1020,2,FALSE)</f>
        <v>0</v>
      </c>
      <c r="H4569" s="126" t="s">
        <v>4290</v>
      </c>
      <c r="I4569" s="128" t="s">
        <v>4325</v>
      </c>
      <c r="J4569" s="128" t="s">
        <v>1967</v>
      </c>
      <c r="K4569" s="128" t="s">
        <v>880</v>
      </c>
      <c r="L4569" s="151" t="s">
        <v>1675</v>
      </c>
      <c r="M4569" s="127">
        <v>612638</v>
      </c>
      <c r="N4569" s="108"/>
      <c r="O4569" s="20" t="s">
        <v>5127</v>
      </c>
      <c r="P4569" s="20" t="s">
        <v>5869</v>
      </c>
      <c r="Q4569" s="20"/>
    </row>
    <row r="4570" spans="1:17" ht="24.9" customHeight="1">
      <c r="A4570" s="20"/>
      <c r="B4570" s="20" t="s">
        <v>5101</v>
      </c>
      <c r="C4570" s="20"/>
      <c r="D4570" s="20" t="s">
        <v>4325</v>
      </c>
      <c r="E4570" s="19">
        <f>VLOOKUP(D4570,'لیست پرسنل'!$B$2:$E$1020,3,FALSE)</f>
        <v>0</v>
      </c>
      <c r="F4570" s="19">
        <f>VLOOKUP(D4570,'لیست پرسنل'!$B$2:$E$1020,4,FALSE)</f>
        <v>0</v>
      </c>
      <c r="G4570" s="127">
        <f>VLOOKUP(D4570,'لیست پرسنل'!$B$2:$F$1020,2,FALSE)</f>
        <v>0</v>
      </c>
      <c r="H4570" s="126" t="s">
        <v>4290</v>
      </c>
      <c r="I4570" s="128" t="s">
        <v>4325</v>
      </c>
      <c r="J4570" s="128" t="s">
        <v>1967</v>
      </c>
      <c r="K4570" s="128" t="s">
        <v>4172</v>
      </c>
      <c r="L4570" s="128" t="s">
        <v>4177</v>
      </c>
      <c r="M4570" s="128">
        <v>3010084</v>
      </c>
      <c r="N4570" s="108"/>
      <c r="O4570" s="20" t="s">
        <v>4148</v>
      </c>
      <c r="P4570" s="20" t="s">
        <v>5869</v>
      </c>
      <c r="Q4570" s="20"/>
    </row>
    <row r="4571" spans="1:17" ht="24.9" customHeight="1">
      <c r="A4571" s="20"/>
      <c r="B4571" s="20" t="s">
        <v>5101</v>
      </c>
      <c r="C4571" s="20"/>
      <c r="D4571" s="20" t="s">
        <v>4325</v>
      </c>
      <c r="E4571" s="19">
        <f>VLOOKUP(D4571,'لیست پرسنل'!$B$2:$E$1020,3,FALSE)</f>
        <v>0</v>
      </c>
      <c r="F4571" s="19">
        <f>VLOOKUP(D4571,'لیست پرسنل'!$B$2:$E$1020,4,FALSE)</f>
        <v>0</v>
      </c>
      <c r="G4571" s="127">
        <f>VLOOKUP(D4571,'لیست پرسنل'!$B$2:$F$1020,2,FALSE)</f>
        <v>0</v>
      </c>
      <c r="H4571" s="126" t="s">
        <v>4290</v>
      </c>
      <c r="I4571" s="128" t="s">
        <v>4325</v>
      </c>
      <c r="J4571" s="128" t="s">
        <v>1967</v>
      </c>
      <c r="K4571" s="128" t="s">
        <v>4172</v>
      </c>
      <c r="L4571" s="128" t="s">
        <v>4176</v>
      </c>
      <c r="M4571" s="128">
        <v>3010093</v>
      </c>
      <c r="N4571" s="108"/>
      <c r="O4571" s="20" t="s">
        <v>4148</v>
      </c>
      <c r="P4571" s="20" t="s">
        <v>5869</v>
      </c>
      <c r="Q4571" s="20"/>
    </row>
    <row r="4572" spans="1:17" ht="24.9" customHeight="1">
      <c r="A4572" s="20"/>
      <c r="B4572" s="20" t="s">
        <v>5101</v>
      </c>
      <c r="C4572" s="20"/>
      <c r="D4572" s="20" t="s">
        <v>4325</v>
      </c>
      <c r="E4572" s="19">
        <f>VLOOKUP(D4572,'لیست پرسنل'!$B$2:$E$1020,3,FALSE)</f>
        <v>0</v>
      </c>
      <c r="F4572" s="19">
        <f>VLOOKUP(D4572,'لیست پرسنل'!$B$2:$E$1020,4,FALSE)</f>
        <v>0</v>
      </c>
      <c r="G4572" s="127">
        <f>VLOOKUP(D4572,'لیست پرسنل'!$B$2:$F$1020,2,FALSE)</f>
        <v>0</v>
      </c>
      <c r="H4572" s="126" t="s">
        <v>4290</v>
      </c>
      <c r="I4572" s="128" t="s">
        <v>4325</v>
      </c>
      <c r="J4572" s="128" t="s">
        <v>1967</v>
      </c>
      <c r="K4572" s="128" t="s">
        <v>4172</v>
      </c>
      <c r="L4572" s="128" t="s">
        <v>4179</v>
      </c>
      <c r="M4572" s="128">
        <v>3010120</v>
      </c>
      <c r="N4572" s="108"/>
      <c r="O4572" s="20" t="s">
        <v>4148</v>
      </c>
      <c r="P4572" s="20" t="s">
        <v>5869</v>
      </c>
      <c r="Q4572" s="20"/>
    </row>
    <row r="4573" spans="1:17" ht="24.9" customHeight="1">
      <c r="A4573" s="20"/>
      <c r="B4573" s="20" t="s">
        <v>5101</v>
      </c>
      <c r="C4573" s="20"/>
      <c r="D4573" s="20" t="s">
        <v>4325</v>
      </c>
      <c r="E4573" s="19">
        <f>VLOOKUP(D4573,'لیست پرسنل'!$B$2:$E$1020,3,FALSE)</f>
        <v>0</v>
      </c>
      <c r="F4573" s="19">
        <f>VLOOKUP(D4573,'لیست پرسنل'!$B$2:$E$1020,4,FALSE)</f>
        <v>0</v>
      </c>
      <c r="G4573" s="127">
        <f>VLOOKUP(D4573,'لیست پرسنل'!$B$2:$F$1020,2,FALSE)</f>
        <v>0</v>
      </c>
      <c r="H4573" s="126" t="s">
        <v>4290</v>
      </c>
      <c r="I4573" s="128" t="s">
        <v>4325</v>
      </c>
      <c r="J4573" s="128" t="s">
        <v>1967</v>
      </c>
      <c r="K4573" s="128" t="s">
        <v>4172</v>
      </c>
      <c r="L4573" s="128" t="s">
        <v>4174</v>
      </c>
      <c r="M4573" s="128">
        <v>3010137</v>
      </c>
      <c r="N4573" s="108"/>
      <c r="O4573" s="20" t="s">
        <v>4148</v>
      </c>
      <c r="P4573" s="20" t="s">
        <v>5869</v>
      </c>
      <c r="Q4573" s="20"/>
    </row>
    <row r="4574" spans="1:17" ht="24.9" customHeight="1">
      <c r="A4574" s="20"/>
      <c r="B4574" s="20" t="s">
        <v>5101</v>
      </c>
      <c r="C4574" s="20"/>
      <c r="D4574" s="20" t="s">
        <v>4325</v>
      </c>
      <c r="E4574" s="19">
        <f>VLOOKUP(D4574,'لیست پرسنل'!$B$2:$E$1020,3,FALSE)</f>
        <v>0</v>
      </c>
      <c r="F4574" s="19">
        <f>VLOOKUP(D4574,'لیست پرسنل'!$B$2:$E$1020,4,FALSE)</f>
        <v>0</v>
      </c>
      <c r="G4574" s="127">
        <f>VLOOKUP(D4574,'لیست پرسنل'!$B$2:$F$1020,2,FALSE)</f>
        <v>0</v>
      </c>
      <c r="H4574" s="126" t="s">
        <v>4290</v>
      </c>
      <c r="I4574" s="128" t="s">
        <v>4325</v>
      </c>
      <c r="J4574" s="213" t="s">
        <v>1967</v>
      </c>
      <c r="K4574" s="128" t="s">
        <v>4172</v>
      </c>
      <c r="L4574" s="128" t="s">
        <v>4181</v>
      </c>
      <c r="M4574" s="128">
        <v>3010154</v>
      </c>
      <c r="N4574" s="108"/>
      <c r="O4574" s="20" t="s">
        <v>4148</v>
      </c>
      <c r="P4574" s="20" t="s">
        <v>5869</v>
      </c>
      <c r="Q4574" s="20"/>
    </row>
    <row r="4575" spans="1:17" ht="24.9" customHeight="1">
      <c r="A4575" s="20"/>
      <c r="B4575" s="20" t="s">
        <v>5101</v>
      </c>
      <c r="C4575" s="20"/>
      <c r="D4575" s="20" t="s">
        <v>4325</v>
      </c>
      <c r="E4575" s="19">
        <f>VLOOKUP(D4575,'لیست پرسنل'!$B$2:$E$1020,3,FALSE)</f>
        <v>0</v>
      </c>
      <c r="F4575" s="19">
        <f>VLOOKUP(D4575,'لیست پرسنل'!$B$2:$E$1020,4,FALSE)</f>
        <v>0</v>
      </c>
      <c r="G4575" s="127">
        <f>VLOOKUP(D4575,'لیست پرسنل'!$B$2:$F$1020,2,FALSE)</f>
        <v>0</v>
      </c>
      <c r="H4575" s="126" t="s">
        <v>4290</v>
      </c>
      <c r="I4575" s="128" t="s">
        <v>4325</v>
      </c>
      <c r="J4575" s="128" t="s">
        <v>1967</v>
      </c>
      <c r="K4575" s="128" t="s">
        <v>4172</v>
      </c>
      <c r="L4575" s="128" t="s">
        <v>4182</v>
      </c>
      <c r="M4575" s="128">
        <v>3010158</v>
      </c>
      <c r="N4575" s="108"/>
      <c r="O4575" s="20" t="s">
        <v>4148</v>
      </c>
      <c r="P4575" s="20" t="s">
        <v>5869</v>
      </c>
      <c r="Q4575" s="20"/>
    </row>
    <row r="4576" spans="1:17" ht="24.9" customHeight="1">
      <c r="A4576" s="20"/>
      <c r="B4576" s="20" t="s">
        <v>5101</v>
      </c>
      <c r="C4576" s="20"/>
      <c r="D4576" s="20" t="s">
        <v>4325</v>
      </c>
      <c r="E4576" s="19">
        <f>VLOOKUP(D4576,'لیست پرسنل'!$B$2:$E$1020,3,FALSE)</f>
        <v>0</v>
      </c>
      <c r="F4576" s="19">
        <f>VLOOKUP(D4576,'لیست پرسنل'!$B$2:$E$1020,4,FALSE)</f>
        <v>0</v>
      </c>
      <c r="G4576" s="127">
        <f>VLOOKUP(D4576,'لیست پرسنل'!$B$2:$F$1020,2,FALSE)</f>
        <v>0</v>
      </c>
      <c r="H4576" s="126" t="s">
        <v>4290</v>
      </c>
      <c r="I4576" s="128" t="s">
        <v>4325</v>
      </c>
      <c r="J4576" s="128" t="s">
        <v>1967</v>
      </c>
      <c r="K4576" s="128" t="s">
        <v>4172</v>
      </c>
      <c r="L4576" s="128" t="s">
        <v>4180</v>
      </c>
      <c r="M4576" s="128">
        <v>3010166</v>
      </c>
      <c r="N4576" s="108"/>
      <c r="O4576" s="20" t="s">
        <v>4148</v>
      </c>
      <c r="P4576" s="20" t="s">
        <v>5869</v>
      </c>
      <c r="Q4576" s="20"/>
    </row>
    <row r="4577" spans="1:17" ht="24.9" customHeight="1">
      <c r="A4577" s="20"/>
      <c r="B4577" s="20" t="s">
        <v>5101</v>
      </c>
      <c r="C4577" s="20"/>
      <c r="D4577" s="20" t="s">
        <v>4325</v>
      </c>
      <c r="E4577" s="19">
        <f>VLOOKUP(D4577,'لیست پرسنل'!$B$2:$E$1020,3,FALSE)</f>
        <v>0</v>
      </c>
      <c r="F4577" s="19">
        <f>VLOOKUP(D4577,'لیست پرسنل'!$B$2:$E$1020,4,FALSE)</f>
        <v>0</v>
      </c>
      <c r="G4577" s="127">
        <f>VLOOKUP(D4577,'لیست پرسنل'!$B$2:$F$1020,2,FALSE)</f>
        <v>0</v>
      </c>
      <c r="H4577" s="126" t="s">
        <v>4290</v>
      </c>
      <c r="I4577" s="128" t="s">
        <v>4325</v>
      </c>
      <c r="J4577" s="128" t="s">
        <v>1967</v>
      </c>
      <c r="K4577" s="128" t="s">
        <v>4172</v>
      </c>
      <c r="L4577" s="128" t="s">
        <v>4175</v>
      </c>
      <c r="M4577" s="128">
        <v>3010364</v>
      </c>
      <c r="N4577" s="108"/>
      <c r="O4577" s="20" t="s">
        <v>4148</v>
      </c>
      <c r="P4577" s="20" t="s">
        <v>5869</v>
      </c>
      <c r="Q4577" s="20"/>
    </row>
    <row r="4578" spans="1:17" ht="24.9" customHeight="1">
      <c r="A4578" s="20"/>
      <c r="B4578" s="20" t="s">
        <v>5101</v>
      </c>
      <c r="C4578" s="20"/>
      <c r="D4578" s="20" t="s">
        <v>4325</v>
      </c>
      <c r="E4578" s="19">
        <f>VLOOKUP(D4578,'لیست پرسنل'!$B$2:$E$1020,3,FALSE)</f>
        <v>0</v>
      </c>
      <c r="F4578" s="19">
        <f>VLOOKUP(D4578,'لیست پرسنل'!$B$2:$E$1020,4,FALSE)</f>
        <v>0</v>
      </c>
      <c r="G4578" s="127">
        <f>VLOOKUP(D4578,'لیست پرسنل'!$B$2:$F$1020,2,FALSE)</f>
        <v>0</v>
      </c>
      <c r="H4578" s="126" t="s">
        <v>4290</v>
      </c>
      <c r="I4578" s="128" t="s">
        <v>4325</v>
      </c>
      <c r="J4578" s="128" t="s">
        <v>1967</v>
      </c>
      <c r="K4578" s="128" t="s">
        <v>4172</v>
      </c>
      <c r="L4578" s="128" t="s">
        <v>4173</v>
      </c>
      <c r="M4578" s="128">
        <v>3010365</v>
      </c>
      <c r="N4578" s="108"/>
      <c r="O4578" s="20" t="s">
        <v>4148</v>
      </c>
      <c r="P4578" s="20" t="s">
        <v>5869</v>
      </c>
      <c r="Q4578" s="20"/>
    </row>
    <row r="4579" spans="1:17" ht="24.9" customHeight="1">
      <c r="A4579" s="20"/>
      <c r="B4579" s="20" t="s">
        <v>5101</v>
      </c>
      <c r="C4579" s="20"/>
      <c r="D4579" s="20" t="s">
        <v>4325</v>
      </c>
      <c r="E4579" s="19">
        <f>VLOOKUP(D4579,'لیست پرسنل'!$B$2:$E$1020,3,FALSE)</f>
        <v>0</v>
      </c>
      <c r="F4579" s="19">
        <f>VLOOKUP(D4579,'لیست پرسنل'!$B$2:$E$1020,4,FALSE)</f>
        <v>0</v>
      </c>
      <c r="G4579" s="127">
        <f>VLOOKUP(D4579,'لیست پرسنل'!$B$2:$F$1020,2,FALSE)</f>
        <v>0</v>
      </c>
      <c r="H4579" s="126" t="s">
        <v>4290</v>
      </c>
      <c r="I4579" s="128" t="s">
        <v>4325</v>
      </c>
      <c r="J4579" s="128" t="s">
        <v>1967</v>
      </c>
      <c r="K4579" s="128" t="s">
        <v>4172</v>
      </c>
      <c r="L4579" s="128" t="s">
        <v>4184</v>
      </c>
      <c r="M4579" s="128">
        <v>3010371</v>
      </c>
      <c r="N4579" s="108"/>
      <c r="O4579" s="20" t="s">
        <v>4148</v>
      </c>
      <c r="P4579" s="20" t="s">
        <v>5869</v>
      </c>
      <c r="Q4579" s="20"/>
    </row>
    <row r="4580" spans="1:17" ht="24.9" customHeight="1">
      <c r="A4580" s="20"/>
      <c r="B4580" s="20" t="s">
        <v>5101</v>
      </c>
      <c r="C4580" s="20"/>
      <c r="D4580" s="20" t="s">
        <v>4325</v>
      </c>
      <c r="E4580" s="19">
        <f>VLOOKUP(D4580,'لیست پرسنل'!$B$2:$E$1020,3,FALSE)</f>
        <v>0</v>
      </c>
      <c r="F4580" s="19">
        <f>VLOOKUP(D4580,'لیست پرسنل'!$B$2:$E$1020,4,FALSE)</f>
        <v>0</v>
      </c>
      <c r="G4580" s="127">
        <f>VLOOKUP(D4580,'لیست پرسنل'!$B$2:$F$1020,2,FALSE)</f>
        <v>0</v>
      </c>
      <c r="H4580" s="126" t="s">
        <v>4290</v>
      </c>
      <c r="I4580" s="128" t="s">
        <v>4325</v>
      </c>
      <c r="J4580" s="213" t="s">
        <v>1967</v>
      </c>
      <c r="K4580" s="128" t="s">
        <v>4172</v>
      </c>
      <c r="L4580" s="128" t="s">
        <v>4183</v>
      </c>
      <c r="M4580" s="128">
        <v>3010416</v>
      </c>
      <c r="N4580" s="108"/>
      <c r="O4580" s="20" t="s">
        <v>4148</v>
      </c>
      <c r="P4580" s="20" t="s">
        <v>5869</v>
      </c>
      <c r="Q4580" s="20"/>
    </row>
    <row r="4581" spans="1:17" ht="24.9" customHeight="1">
      <c r="A4581" s="20"/>
      <c r="B4581" s="20" t="s">
        <v>5101</v>
      </c>
      <c r="C4581" s="20"/>
      <c r="D4581" s="20" t="s">
        <v>4325</v>
      </c>
      <c r="E4581" s="19">
        <f>VLOOKUP(D4581,'لیست پرسنل'!$B$2:$E$1020,3,FALSE)</f>
        <v>0</v>
      </c>
      <c r="F4581" s="19">
        <f>VLOOKUP(D4581,'لیست پرسنل'!$B$2:$E$1020,4,FALSE)</f>
        <v>0</v>
      </c>
      <c r="G4581" s="127">
        <f>VLOOKUP(D4581,'لیست پرسنل'!$B$2:$F$1020,2,FALSE)</f>
        <v>0</v>
      </c>
      <c r="H4581" s="126" t="s">
        <v>4290</v>
      </c>
      <c r="I4581" s="128" t="s">
        <v>4325</v>
      </c>
      <c r="J4581" s="128" t="s">
        <v>1967</v>
      </c>
      <c r="K4581" s="128" t="s">
        <v>4189</v>
      </c>
      <c r="L4581" s="128" t="s">
        <v>4190</v>
      </c>
      <c r="M4581" s="128">
        <v>3010459</v>
      </c>
      <c r="N4581" s="108"/>
      <c r="O4581" s="20" t="s">
        <v>4148</v>
      </c>
      <c r="P4581" s="20" t="s">
        <v>5869</v>
      </c>
      <c r="Q4581" s="20"/>
    </row>
    <row r="4582" spans="1:17" ht="24.9" customHeight="1">
      <c r="A4582" s="20"/>
      <c r="B4582" s="20" t="s">
        <v>5101</v>
      </c>
      <c r="C4582" s="20"/>
      <c r="D4582" s="20" t="s">
        <v>4325</v>
      </c>
      <c r="E4582" s="19">
        <f>VLOOKUP(D4582,'لیست پرسنل'!$B$2:$E$1020,3,FALSE)</f>
        <v>0</v>
      </c>
      <c r="F4582" s="19">
        <f>VLOOKUP(D4582,'لیست پرسنل'!$B$2:$E$1020,4,FALSE)</f>
        <v>0</v>
      </c>
      <c r="G4582" s="127">
        <f>VLOOKUP(D4582,'لیست پرسنل'!$B$2:$F$1020,2,FALSE)</f>
        <v>0</v>
      </c>
      <c r="H4582" s="126" t="s">
        <v>4290</v>
      </c>
      <c r="I4582" s="128" t="s">
        <v>4325</v>
      </c>
      <c r="J4582" s="128" t="s">
        <v>1967</v>
      </c>
      <c r="K4582" s="128" t="s">
        <v>4189</v>
      </c>
      <c r="L4582" s="128" t="s">
        <v>4191</v>
      </c>
      <c r="M4582" s="128">
        <v>3010467</v>
      </c>
      <c r="N4582" s="108"/>
      <c r="O4582" s="20" t="s">
        <v>4148</v>
      </c>
      <c r="P4582" s="20" t="s">
        <v>5869</v>
      </c>
      <c r="Q4582" s="20"/>
    </row>
    <row r="4583" spans="1:17" ht="24.9" customHeight="1">
      <c r="A4583" s="20"/>
      <c r="B4583" s="20" t="s">
        <v>5101</v>
      </c>
      <c r="C4583" s="20"/>
      <c r="D4583" s="20" t="s">
        <v>4325</v>
      </c>
      <c r="E4583" s="19">
        <f>VLOOKUP(D4583,'لیست پرسنل'!$B$2:$E$1020,3,FALSE)</f>
        <v>0</v>
      </c>
      <c r="F4583" s="19">
        <f>VLOOKUP(D4583,'لیست پرسنل'!$B$2:$E$1020,4,FALSE)</f>
        <v>0</v>
      </c>
      <c r="G4583" s="127">
        <f>VLOOKUP(D4583,'لیست پرسنل'!$B$2:$F$1020,2,FALSE)</f>
        <v>0</v>
      </c>
      <c r="H4583" s="126" t="s">
        <v>4290</v>
      </c>
      <c r="I4583" s="128" t="s">
        <v>4325</v>
      </c>
      <c r="J4583" s="128" t="s">
        <v>1967</v>
      </c>
      <c r="K4583" s="128" t="s">
        <v>4172</v>
      </c>
      <c r="L4583" s="128" t="s">
        <v>4178</v>
      </c>
      <c r="M4583" s="128">
        <v>3010468</v>
      </c>
      <c r="N4583" s="108"/>
      <c r="O4583" s="20" t="s">
        <v>4148</v>
      </c>
      <c r="P4583" s="20" t="s">
        <v>5869</v>
      </c>
      <c r="Q4583" s="20"/>
    </row>
    <row r="4584" spans="1:17" ht="24.9" customHeight="1">
      <c r="A4584" s="20"/>
      <c r="B4584" s="20" t="s">
        <v>5101</v>
      </c>
      <c r="C4584" s="20"/>
      <c r="D4584" s="20" t="s">
        <v>4325</v>
      </c>
      <c r="E4584" s="19">
        <f>VLOOKUP(D4584,'لیست پرسنل'!$B$2:$E$1020,3,FALSE)</f>
        <v>0</v>
      </c>
      <c r="F4584" s="19">
        <f>VLOOKUP(D4584,'لیست پرسنل'!$B$2:$E$1020,4,FALSE)</f>
        <v>0</v>
      </c>
      <c r="G4584" s="127">
        <f>VLOOKUP(D4584,'لیست پرسنل'!$B$2:$F$1020,2,FALSE)</f>
        <v>0</v>
      </c>
      <c r="H4584" s="126" t="s">
        <v>4290</v>
      </c>
      <c r="I4584" s="128" t="s">
        <v>4325</v>
      </c>
      <c r="J4584" s="128" t="s">
        <v>1967</v>
      </c>
      <c r="K4584" s="128" t="s">
        <v>4188</v>
      </c>
      <c r="L4584" s="128" t="s">
        <v>4200</v>
      </c>
      <c r="M4584" s="128">
        <v>3010471</v>
      </c>
      <c r="N4584" s="108"/>
      <c r="O4584" s="20" t="s">
        <v>4148</v>
      </c>
      <c r="P4584" s="20" t="s">
        <v>5869</v>
      </c>
      <c r="Q4584" s="20"/>
    </row>
    <row r="4585" spans="1:17" ht="24.9" customHeight="1">
      <c r="A4585" s="20"/>
      <c r="B4585" s="20" t="s">
        <v>5101</v>
      </c>
      <c r="C4585" s="20"/>
      <c r="D4585" s="20" t="s">
        <v>4325</v>
      </c>
      <c r="E4585" s="19">
        <f>VLOOKUP(D4585,'لیست پرسنل'!$B$2:$E$1020,3,FALSE)</f>
        <v>0</v>
      </c>
      <c r="F4585" s="19">
        <f>VLOOKUP(D4585,'لیست پرسنل'!$B$2:$E$1020,4,FALSE)</f>
        <v>0</v>
      </c>
      <c r="G4585" s="127">
        <f>VLOOKUP(D4585,'لیست پرسنل'!$B$2:$F$1020,2,FALSE)</f>
        <v>0</v>
      </c>
      <c r="H4585" s="126" t="s">
        <v>4290</v>
      </c>
      <c r="I4585" s="128" t="s">
        <v>4325</v>
      </c>
      <c r="J4585" s="128" t="s">
        <v>1967</v>
      </c>
      <c r="K4585" s="128" t="s">
        <v>4192</v>
      </c>
      <c r="L4585" s="128">
        <v>2013041329</v>
      </c>
      <c r="M4585" s="128">
        <v>32700747</v>
      </c>
      <c r="N4585" s="108"/>
      <c r="O4585" s="20" t="s">
        <v>4148</v>
      </c>
      <c r="P4585" s="20" t="s">
        <v>5869</v>
      </c>
      <c r="Q4585" s="20"/>
    </row>
    <row r="4586" spans="1:17" ht="24.9" customHeight="1">
      <c r="A4586" s="20"/>
      <c r="B4586" s="20" t="s">
        <v>5101</v>
      </c>
      <c r="C4586" s="20"/>
      <c r="D4586" s="20" t="s">
        <v>4325</v>
      </c>
      <c r="E4586" s="19">
        <f>VLOOKUP(D4586,'لیست پرسنل'!$B$2:$E$1020,3,FALSE)</f>
        <v>0</v>
      </c>
      <c r="F4586" s="19">
        <f>VLOOKUP(D4586,'لیست پرسنل'!$B$2:$E$1020,4,FALSE)</f>
        <v>0</v>
      </c>
      <c r="G4586" s="127">
        <f>VLOOKUP(D4586,'لیست پرسنل'!$B$2:$F$1020,2,FALSE)</f>
        <v>0</v>
      </c>
      <c r="H4586" s="126" t="s">
        <v>4290</v>
      </c>
      <c r="I4586" s="128" t="s">
        <v>4325</v>
      </c>
      <c r="J4586" s="128" t="s">
        <v>1967</v>
      </c>
      <c r="K4586" s="128" t="s">
        <v>4192</v>
      </c>
      <c r="L4586" s="128">
        <v>20140102549</v>
      </c>
      <c r="M4586" s="128">
        <v>32700768</v>
      </c>
      <c r="N4586" s="108"/>
      <c r="O4586" s="20" t="s">
        <v>4148</v>
      </c>
      <c r="P4586" s="20" t="s">
        <v>5869</v>
      </c>
      <c r="Q4586" s="20"/>
    </row>
    <row r="4587" spans="1:17" ht="24.9" customHeight="1">
      <c r="A4587" s="20"/>
      <c r="B4587" s="20" t="s">
        <v>5101</v>
      </c>
      <c r="C4587" s="20"/>
      <c r="D4587" s="20" t="s">
        <v>4325</v>
      </c>
      <c r="E4587" s="19">
        <f>VLOOKUP(D4587,'لیست پرسنل'!$B$2:$E$1020,3,FALSE)</f>
        <v>0</v>
      </c>
      <c r="F4587" s="19">
        <f>VLOOKUP(D4587,'لیست پرسنل'!$B$2:$E$1020,4,FALSE)</f>
        <v>0</v>
      </c>
      <c r="G4587" s="127">
        <f>VLOOKUP(D4587,'لیست پرسنل'!$B$2:$F$1020,2,FALSE)</f>
        <v>0</v>
      </c>
      <c r="H4587" s="126" t="s">
        <v>4290</v>
      </c>
      <c r="I4587" s="128" t="s">
        <v>4325</v>
      </c>
      <c r="J4587" s="128" t="s">
        <v>1967</v>
      </c>
      <c r="K4587" s="128" t="s">
        <v>4195</v>
      </c>
      <c r="L4587" s="150" t="s">
        <v>4197</v>
      </c>
      <c r="M4587" s="128">
        <v>32700855</v>
      </c>
      <c r="N4587" s="108"/>
      <c r="O4587" s="20" t="s">
        <v>4148</v>
      </c>
      <c r="P4587" s="20" t="s">
        <v>5869</v>
      </c>
      <c r="Q4587" s="20"/>
    </row>
    <row r="4588" spans="1:17" ht="24.9" customHeight="1">
      <c r="A4588" s="20"/>
      <c r="B4588" s="20" t="s">
        <v>5101</v>
      </c>
      <c r="C4588" s="20"/>
      <c r="D4588" s="20" t="s">
        <v>4325</v>
      </c>
      <c r="E4588" s="19">
        <f>VLOOKUP(D4588,'لیست پرسنل'!$B$2:$E$1020,3,FALSE)</f>
        <v>0</v>
      </c>
      <c r="F4588" s="19">
        <f>VLOOKUP(D4588,'لیست پرسنل'!$B$2:$E$1020,4,FALSE)</f>
        <v>0</v>
      </c>
      <c r="G4588" s="127">
        <f>VLOOKUP(D4588,'لیست پرسنل'!$B$2:$F$1020,2,FALSE)</f>
        <v>0</v>
      </c>
      <c r="H4588" s="126" t="s">
        <v>4290</v>
      </c>
      <c r="I4588" s="128" t="s">
        <v>4325</v>
      </c>
      <c r="J4588" s="128" t="s">
        <v>1967</v>
      </c>
      <c r="K4588" s="128" t="s">
        <v>4192</v>
      </c>
      <c r="L4588" s="128">
        <v>2013041898</v>
      </c>
      <c r="M4588" s="128">
        <v>32700879</v>
      </c>
      <c r="N4588" s="108"/>
      <c r="O4588" s="20" t="s">
        <v>4148</v>
      </c>
      <c r="P4588" s="20" t="s">
        <v>5869</v>
      </c>
      <c r="Q4588" s="20"/>
    </row>
    <row r="4589" spans="1:17" ht="24.9" customHeight="1">
      <c r="A4589" s="20"/>
      <c r="B4589" s="20" t="s">
        <v>5101</v>
      </c>
      <c r="C4589" s="20"/>
      <c r="D4589" s="20" t="s">
        <v>4325</v>
      </c>
      <c r="E4589" s="19">
        <f>VLOOKUP(D4589,'لیست پرسنل'!$B$2:$E$1020,3,FALSE)</f>
        <v>0</v>
      </c>
      <c r="F4589" s="19">
        <f>VLOOKUP(D4589,'لیست پرسنل'!$B$2:$E$1020,4,FALSE)</f>
        <v>0</v>
      </c>
      <c r="G4589" s="127">
        <f>VLOOKUP(D4589,'لیست پرسنل'!$B$2:$F$1020,2,FALSE)</f>
        <v>0</v>
      </c>
      <c r="H4589" s="126" t="s">
        <v>4290</v>
      </c>
      <c r="I4589" s="128" t="s">
        <v>4325</v>
      </c>
      <c r="J4589" s="128" t="s">
        <v>1967</v>
      </c>
      <c r="K4589" s="128" t="s">
        <v>4195</v>
      </c>
      <c r="L4589" s="150" t="s">
        <v>4196</v>
      </c>
      <c r="M4589" s="128">
        <v>32702539</v>
      </c>
      <c r="N4589" s="108"/>
      <c r="O4589" s="20" t="s">
        <v>4148</v>
      </c>
      <c r="P4589" s="20" t="s">
        <v>5869</v>
      </c>
      <c r="Q4589" s="20"/>
    </row>
    <row r="4590" spans="1:17" ht="24.9" customHeight="1">
      <c r="A4590" s="20"/>
      <c r="B4590" s="20" t="s">
        <v>5101</v>
      </c>
      <c r="C4590" s="20"/>
      <c r="D4590" s="20" t="s">
        <v>4325</v>
      </c>
      <c r="E4590" s="19">
        <f>VLOOKUP(D4590,'لیست پرسنل'!$B$2:$E$1020,3,FALSE)</f>
        <v>0</v>
      </c>
      <c r="F4590" s="19">
        <f>VLOOKUP(D4590,'لیست پرسنل'!$B$2:$E$1020,4,FALSE)</f>
        <v>0</v>
      </c>
      <c r="G4590" s="127">
        <f>VLOOKUP(D4590,'لیست پرسنل'!$B$2:$F$1020,2,FALSE)</f>
        <v>0</v>
      </c>
      <c r="H4590" s="126" t="s">
        <v>4290</v>
      </c>
      <c r="I4590" s="128" t="s">
        <v>4325</v>
      </c>
      <c r="J4590" s="128" t="s">
        <v>1967</v>
      </c>
      <c r="K4590" s="128" t="s">
        <v>4193</v>
      </c>
      <c r="L4590" s="150" t="s">
        <v>4194</v>
      </c>
      <c r="M4590" s="128">
        <v>32702540</v>
      </c>
      <c r="N4590" s="108"/>
      <c r="O4590" s="20" t="s">
        <v>4148</v>
      </c>
      <c r="P4590" s="20" t="s">
        <v>5869</v>
      </c>
      <c r="Q4590" s="20"/>
    </row>
    <row r="4591" spans="1:17" ht="24.9" customHeight="1">
      <c r="A4591" s="20"/>
      <c r="B4591" s="20" t="s">
        <v>5101</v>
      </c>
      <c r="C4591" s="20"/>
      <c r="D4591" s="20" t="s">
        <v>4325</v>
      </c>
      <c r="E4591" s="19">
        <f>VLOOKUP(D4591,'لیست پرسنل'!$B$2:$E$1020,3,FALSE)</f>
        <v>0</v>
      </c>
      <c r="F4591" s="19">
        <f>VLOOKUP(D4591,'لیست پرسنل'!$B$2:$E$1020,4,FALSE)</f>
        <v>0</v>
      </c>
      <c r="G4591" s="127">
        <f>VLOOKUP(D4591,'لیست پرسنل'!$B$2:$F$1020,2,FALSE)</f>
        <v>0</v>
      </c>
      <c r="H4591" s="126" t="s">
        <v>4290</v>
      </c>
      <c r="I4591" s="128" t="s">
        <v>4325</v>
      </c>
      <c r="J4591" s="128" t="s">
        <v>1967</v>
      </c>
      <c r="K4591" s="128" t="s">
        <v>4198</v>
      </c>
      <c r="L4591" s="150" t="s">
        <v>4199</v>
      </c>
      <c r="M4591" s="128">
        <v>32702542</v>
      </c>
      <c r="N4591" s="108"/>
      <c r="O4591" s="20" t="s">
        <v>4148</v>
      </c>
      <c r="P4591" s="20" t="s">
        <v>5869</v>
      </c>
      <c r="Q4591" s="20"/>
    </row>
    <row r="4592" spans="1:17" ht="24.9" customHeight="1">
      <c r="A4592" s="20"/>
      <c r="B4592" s="20" t="s">
        <v>5101</v>
      </c>
      <c r="C4592" s="20"/>
      <c r="D4592" s="20" t="s">
        <v>4325</v>
      </c>
      <c r="E4592" s="19">
        <f>VLOOKUP(D4592,'لیست پرسنل'!$B$2:$E$1020,3,FALSE)</f>
        <v>0</v>
      </c>
      <c r="F4592" s="19">
        <f>VLOOKUP(D4592,'لیست پرسنل'!$B$2:$E$1020,4,FALSE)</f>
        <v>0</v>
      </c>
      <c r="G4592" s="127">
        <f>VLOOKUP(D4592,'لیست پرسنل'!$B$2:$F$1020,2,FALSE)</f>
        <v>0</v>
      </c>
      <c r="H4592" s="126" t="s">
        <v>4290</v>
      </c>
      <c r="I4592" s="128" t="s">
        <v>4325</v>
      </c>
      <c r="J4592" s="128" t="s">
        <v>1967</v>
      </c>
      <c r="K4592" s="128" t="s">
        <v>2776</v>
      </c>
      <c r="L4592" s="128" t="s">
        <v>4186</v>
      </c>
      <c r="M4592" s="128">
        <v>32702782</v>
      </c>
      <c r="N4592" s="108"/>
      <c r="O4592" s="20" t="s">
        <v>4148</v>
      </c>
      <c r="P4592" s="20" t="s">
        <v>5869</v>
      </c>
      <c r="Q4592" s="20"/>
    </row>
    <row r="4593" spans="1:17" ht="24.9" customHeight="1">
      <c r="A4593" s="20"/>
      <c r="B4593" s="20" t="s">
        <v>5101</v>
      </c>
      <c r="C4593" s="20"/>
      <c r="D4593" s="20" t="s">
        <v>4325</v>
      </c>
      <c r="E4593" s="19">
        <f>VLOOKUP(D4593,'لیست پرسنل'!$B$2:$E$1020,3,FALSE)</f>
        <v>0</v>
      </c>
      <c r="F4593" s="19">
        <f>VLOOKUP(D4593,'لیست پرسنل'!$B$2:$E$1020,4,FALSE)</f>
        <v>0</v>
      </c>
      <c r="G4593" s="127">
        <f>VLOOKUP(D4593,'لیست پرسنل'!$B$2:$F$1020,2,FALSE)</f>
        <v>0</v>
      </c>
      <c r="H4593" s="126" t="s">
        <v>4290</v>
      </c>
      <c r="I4593" s="128" t="s">
        <v>4325</v>
      </c>
      <c r="J4593" s="128" t="s">
        <v>1967</v>
      </c>
      <c r="K4593" s="128" t="s">
        <v>4172</v>
      </c>
      <c r="L4593" s="128" t="s">
        <v>4185</v>
      </c>
      <c r="M4593" s="128">
        <v>32702891</v>
      </c>
      <c r="N4593" s="108"/>
      <c r="O4593" s="20" t="s">
        <v>4148</v>
      </c>
      <c r="P4593" s="20" t="s">
        <v>5869</v>
      </c>
      <c r="Q4593" s="20"/>
    </row>
    <row r="4594" spans="1:17" ht="24.9" customHeight="1">
      <c r="A4594" s="20"/>
      <c r="B4594" s="20" t="s">
        <v>5101</v>
      </c>
      <c r="C4594" s="20"/>
      <c r="D4594" s="20" t="s">
        <v>4325</v>
      </c>
      <c r="E4594" s="19">
        <f>VLOOKUP(D4594,'لیست پرسنل'!$B$2:$E$1020,3,FALSE)</f>
        <v>0</v>
      </c>
      <c r="F4594" s="19">
        <f>VLOOKUP(D4594,'لیست پرسنل'!$B$2:$E$1020,4,FALSE)</f>
        <v>0</v>
      </c>
      <c r="G4594" s="127">
        <f>VLOOKUP(D4594,'لیست پرسنل'!$B$2:$F$1020,2,FALSE)</f>
        <v>0</v>
      </c>
      <c r="H4594" s="126" t="s">
        <v>4290</v>
      </c>
      <c r="I4594" s="128" t="s">
        <v>4325</v>
      </c>
      <c r="J4594" s="128" t="s">
        <v>1967</v>
      </c>
      <c r="K4594" s="128" t="s">
        <v>2776</v>
      </c>
      <c r="L4594" s="128" t="s">
        <v>4187</v>
      </c>
      <c r="M4594" s="128">
        <v>32703009</v>
      </c>
      <c r="N4594" s="108"/>
      <c r="O4594" s="20" t="s">
        <v>4148</v>
      </c>
      <c r="P4594" s="20" t="s">
        <v>5869</v>
      </c>
      <c r="Q4594" s="20"/>
    </row>
    <row r="4595" spans="1:17" ht="24.9" customHeight="1">
      <c r="A4595" s="20"/>
      <c r="B4595" s="20" t="s">
        <v>5101</v>
      </c>
      <c r="C4595" s="20"/>
      <c r="D4595" s="20" t="s">
        <v>4325</v>
      </c>
      <c r="E4595" s="19">
        <f>VLOOKUP(D4595,'لیست پرسنل'!$B$2:$E$1020,3,FALSE)</f>
        <v>0</v>
      </c>
      <c r="F4595" s="19">
        <f>VLOOKUP(D4595,'لیست پرسنل'!$B$2:$E$1020,4,FALSE)</f>
        <v>0</v>
      </c>
      <c r="G4595" s="127">
        <f>VLOOKUP(D4595,'لیست پرسنل'!$B$2:$F$1020,2,FALSE)</f>
        <v>0</v>
      </c>
      <c r="H4595" s="126" t="s">
        <v>4290</v>
      </c>
      <c r="I4595" s="128" t="s">
        <v>4325</v>
      </c>
      <c r="J4595" s="128" t="s">
        <v>1967</v>
      </c>
      <c r="K4595" s="128" t="s">
        <v>2781</v>
      </c>
      <c r="L4595" s="150" t="s">
        <v>2782</v>
      </c>
      <c r="M4595" s="127">
        <v>32703064</v>
      </c>
      <c r="N4595" s="108"/>
      <c r="O4595" s="20"/>
      <c r="P4595" s="20" t="s">
        <v>5869</v>
      </c>
      <c r="Q4595" s="20"/>
    </row>
    <row r="4596" spans="1:17" ht="24.9" customHeight="1">
      <c r="A4596" s="20"/>
      <c r="B4596" s="20" t="s">
        <v>5101</v>
      </c>
      <c r="C4596" s="19"/>
      <c r="D4596" s="83" t="s">
        <v>4325</v>
      </c>
      <c r="E4596" s="19">
        <f>VLOOKUP(D4596,'لیست پرسنل'!$B$2:$E$1020,3,FALSE)</f>
        <v>0</v>
      </c>
      <c r="F4596" s="19">
        <f>VLOOKUP(D4596,'لیست پرسنل'!$B$2:$E$1020,4,FALSE)</f>
        <v>0</v>
      </c>
      <c r="G4596" s="127">
        <f>VLOOKUP(D4596,'لیست پرسنل'!$B$2:$F$1020,2,FALSE)</f>
        <v>0</v>
      </c>
      <c r="H4596" s="151" t="s">
        <v>4290</v>
      </c>
      <c r="I4596" s="159" t="s">
        <v>4325</v>
      </c>
      <c r="J4596" s="126" t="s">
        <v>368</v>
      </c>
      <c r="K4596" s="128" t="s">
        <v>2846</v>
      </c>
      <c r="L4596" s="128" t="s">
        <v>2463</v>
      </c>
      <c r="M4596" s="128">
        <v>628872</v>
      </c>
      <c r="N4596" s="108" t="s">
        <v>8163</v>
      </c>
      <c r="O4596" s="20" t="s">
        <v>6172</v>
      </c>
      <c r="P4596" s="20" t="s">
        <v>5869</v>
      </c>
      <c r="Q4596" s="20"/>
    </row>
    <row r="4597" spans="1:17" ht="24.9" customHeight="1">
      <c r="A4597" s="20"/>
      <c r="B4597" s="20" t="s">
        <v>4636</v>
      </c>
      <c r="C4597" s="20"/>
      <c r="D4597" s="20" t="s">
        <v>4325</v>
      </c>
      <c r="E4597" s="19">
        <f>VLOOKUP(D4597,'لیست پرسنل'!$B$2:$E$1020,3,FALSE)</f>
        <v>0</v>
      </c>
      <c r="F4597" s="19">
        <f>VLOOKUP(D4597,'لیست پرسنل'!$B$2:$E$1020,4,FALSE)</f>
        <v>0</v>
      </c>
      <c r="G4597" s="127">
        <f>VLOOKUP(D4597,'لیست پرسنل'!$B$2:$F$1020,2,FALSE)</f>
        <v>0</v>
      </c>
      <c r="H4597" s="126" t="s">
        <v>4290</v>
      </c>
      <c r="I4597" s="128" t="s">
        <v>4325</v>
      </c>
      <c r="J4597" s="128" t="s">
        <v>3938</v>
      </c>
      <c r="K4597" s="128" t="s">
        <v>925</v>
      </c>
      <c r="L4597" s="150"/>
      <c r="M4597" s="128">
        <v>606036</v>
      </c>
      <c r="N4597" s="108"/>
      <c r="O4597" s="20" t="s">
        <v>5128</v>
      </c>
      <c r="P4597" s="20" t="s">
        <v>5869</v>
      </c>
      <c r="Q4597" s="20"/>
    </row>
    <row r="4598" spans="1:17" ht="24.9" customHeight="1">
      <c r="A4598" s="20"/>
      <c r="B4598" s="20" t="s">
        <v>5101</v>
      </c>
      <c r="C4598" s="20"/>
      <c r="D4598" s="20" t="s">
        <v>4325</v>
      </c>
      <c r="E4598" s="19">
        <f>VLOOKUP(D4598,'لیست پرسنل'!$B$2:$E$1020,3,FALSE)</f>
        <v>0</v>
      </c>
      <c r="F4598" s="19">
        <f>VLOOKUP(D4598,'لیست پرسنل'!$B$2:$E$1020,4,FALSE)</f>
        <v>0</v>
      </c>
      <c r="G4598" s="127">
        <f>VLOOKUP(D4598,'لیست پرسنل'!$B$2:$F$1020,2,FALSE)</f>
        <v>0</v>
      </c>
      <c r="H4598" s="126" t="s">
        <v>4290</v>
      </c>
      <c r="I4598" s="128" t="s">
        <v>4325</v>
      </c>
      <c r="J4598" s="128" t="s">
        <v>3938</v>
      </c>
      <c r="K4598" s="128" t="s">
        <v>4211</v>
      </c>
      <c r="L4598" s="128" t="s">
        <v>466</v>
      </c>
      <c r="M4598" s="128">
        <v>3010211</v>
      </c>
      <c r="N4598" s="108"/>
      <c r="O4598" s="19" t="s">
        <v>4296</v>
      </c>
      <c r="P4598" s="20" t="s">
        <v>5869</v>
      </c>
      <c r="Q4598" s="20"/>
    </row>
    <row r="4599" spans="1:17" ht="24.9" customHeight="1">
      <c r="A4599" s="20"/>
      <c r="B4599" s="20" t="s">
        <v>5101</v>
      </c>
      <c r="C4599" s="19"/>
      <c r="D4599" s="20" t="s">
        <v>4325</v>
      </c>
      <c r="E4599" s="19">
        <f>VLOOKUP(D4599,'لیست پرسنل'!$B$2:$E$1020,3,FALSE)</f>
        <v>0</v>
      </c>
      <c r="F4599" s="19">
        <f>VLOOKUP(D4599,'لیست پرسنل'!$B$2:$E$1020,4,FALSE)</f>
        <v>0</v>
      </c>
      <c r="G4599" s="127">
        <f>VLOOKUP(D4599,'لیست پرسنل'!$B$2:$F$1020,2,FALSE)</f>
        <v>0</v>
      </c>
      <c r="H4599" s="126" t="s">
        <v>4290</v>
      </c>
      <c r="I4599" s="128" t="s">
        <v>4325</v>
      </c>
      <c r="J4599" s="128" t="s">
        <v>3480</v>
      </c>
      <c r="K4599" s="128" t="s">
        <v>4164</v>
      </c>
      <c r="L4599" s="128">
        <v>479991549</v>
      </c>
      <c r="M4599" s="128">
        <v>3010497</v>
      </c>
      <c r="N4599" s="108"/>
      <c r="O4599" s="19" t="s">
        <v>4300</v>
      </c>
      <c r="P4599" s="20" t="s">
        <v>5869</v>
      </c>
      <c r="Q4599" s="20"/>
    </row>
    <row r="4600" spans="1:17" ht="24.9" customHeight="1">
      <c r="A4600" s="20"/>
      <c r="B4600" s="20" t="s">
        <v>5101</v>
      </c>
      <c r="C4600" s="19"/>
      <c r="D4600" s="20" t="s">
        <v>4325</v>
      </c>
      <c r="E4600" s="19">
        <f>VLOOKUP(D4600,'لیست پرسنل'!$B$2:$E$1020,3,FALSE)</f>
        <v>0</v>
      </c>
      <c r="F4600" s="19">
        <f>VLOOKUP(D4600,'لیست پرسنل'!$B$2:$E$1020,4,FALSE)</f>
        <v>0</v>
      </c>
      <c r="G4600" s="127">
        <f>VLOOKUP(D4600,'لیست پرسنل'!$B$2:$F$1020,2,FALSE)</f>
        <v>0</v>
      </c>
      <c r="H4600" s="126" t="s">
        <v>4290</v>
      </c>
      <c r="I4600" s="128" t="s">
        <v>4325</v>
      </c>
      <c r="J4600" s="128" t="s">
        <v>3480</v>
      </c>
      <c r="K4600" s="128" t="s">
        <v>4164</v>
      </c>
      <c r="L4600" s="128">
        <v>480425177</v>
      </c>
      <c r="M4600" s="128">
        <v>3010498</v>
      </c>
      <c r="N4600" s="108"/>
      <c r="O4600" s="19" t="s">
        <v>4302</v>
      </c>
      <c r="P4600" s="20" t="s">
        <v>5869</v>
      </c>
      <c r="Q4600" s="20"/>
    </row>
    <row r="4601" spans="1:17" ht="24.9" customHeight="1">
      <c r="A4601" s="20"/>
      <c r="B4601" s="20" t="s">
        <v>5101</v>
      </c>
      <c r="C4601" s="19"/>
      <c r="D4601" s="20" t="s">
        <v>4325</v>
      </c>
      <c r="E4601" s="19">
        <f>VLOOKUP(D4601,'لیست پرسنل'!$B$2:$E$1020,3,FALSE)</f>
        <v>0</v>
      </c>
      <c r="F4601" s="19">
        <f>VLOOKUP(D4601,'لیست پرسنل'!$B$2:$E$1020,4,FALSE)</f>
        <v>0</v>
      </c>
      <c r="G4601" s="127">
        <f>VLOOKUP(D4601,'لیست پرسنل'!$B$2:$F$1020,2,FALSE)</f>
        <v>0</v>
      </c>
      <c r="H4601" s="126" t="s">
        <v>4290</v>
      </c>
      <c r="I4601" s="128" t="s">
        <v>4325</v>
      </c>
      <c r="J4601" s="128" t="s">
        <v>3480</v>
      </c>
      <c r="K4601" s="128" t="s">
        <v>4164</v>
      </c>
      <c r="L4601" s="128">
        <v>465587048</v>
      </c>
      <c r="M4601" s="128">
        <v>3010499</v>
      </c>
      <c r="N4601" s="108"/>
      <c r="O4601" s="19" t="s">
        <v>4301</v>
      </c>
      <c r="P4601" s="20" t="s">
        <v>5869</v>
      </c>
      <c r="Q4601" s="20"/>
    </row>
    <row r="4602" spans="1:17" ht="24.9" customHeight="1">
      <c r="A4602" s="20"/>
      <c r="B4602" s="20" t="s">
        <v>5101</v>
      </c>
      <c r="C4602" s="19"/>
      <c r="D4602" s="20" t="s">
        <v>4325</v>
      </c>
      <c r="E4602" s="19">
        <f>VLOOKUP(D4602,'لیست پرسنل'!$B$2:$E$1020,3,FALSE)</f>
        <v>0</v>
      </c>
      <c r="F4602" s="19">
        <f>VLOOKUP(D4602,'لیست پرسنل'!$B$2:$E$1020,4,FALSE)</f>
        <v>0</v>
      </c>
      <c r="G4602" s="127">
        <f>VLOOKUP(D4602,'لیست پرسنل'!$B$2:$F$1020,2,FALSE)</f>
        <v>0</v>
      </c>
      <c r="H4602" s="126" t="s">
        <v>4290</v>
      </c>
      <c r="I4602" s="128" t="s">
        <v>4325</v>
      </c>
      <c r="J4602" s="128" t="s">
        <v>3480</v>
      </c>
      <c r="K4602" s="128" t="s">
        <v>4164</v>
      </c>
      <c r="L4602" s="128">
        <v>465587468</v>
      </c>
      <c r="M4602" s="128">
        <v>3010500</v>
      </c>
      <c r="N4602" s="108"/>
      <c r="O4602" s="19" t="s">
        <v>4303</v>
      </c>
      <c r="P4602" s="20" t="s">
        <v>5869</v>
      </c>
      <c r="Q4602" s="20"/>
    </row>
    <row r="4603" spans="1:17" ht="24.9" customHeight="1">
      <c r="A4603" s="20"/>
      <c r="B4603" s="20" t="s">
        <v>4636</v>
      </c>
      <c r="C4603" s="20"/>
      <c r="D4603" s="20" t="s">
        <v>4325</v>
      </c>
      <c r="E4603" s="19">
        <f>VLOOKUP(D4603,'لیست پرسنل'!$B$2:$E$1020,3,FALSE)</f>
        <v>0</v>
      </c>
      <c r="F4603" s="19">
        <f>VLOOKUP(D4603,'لیست پرسنل'!$B$2:$E$1020,4,FALSE)</f>
        <v>0</v>
      </c>
      <c r="G4603" s="127">
        <f>VLOOKUP(D4603,'لیست پرسنل'!$B$2:$F$1020,2,FALSE)</f>
        <v>0</v>
      </c>
      <c r="H4603" s="126" t="s">
        <v>4290</v>
      </c>
      <c r="I4603" s="128" t="s">
        <v>4325</v>
      </c>
      <c r="J4603" s="128" t="s">
        <v>885</v>
      </c>
      <c r="K4603" s="128" t="s">
        <v>1525</v>
      </c>
      <c r="L4603" s="155"/>
      <c r="M4603" s="128">
        <v>605483</v>
      </c>
      <c r="N4603" s="111"/>
      <c r="O4603" s="28"/>
      <c r="P4603" s="19" t="s">
        <v>5228</v>
      </c>
      <c r="Q4603" s="19" t="s">
        <v>6028</v>
      </c>
    </row>
    <row r="4604" spans="1:17" ht="24.9" customHeight="1">
      <c r="A4604" s="20"/>
      <c r="B4604" s="20" t="s">
        <v>5101</v>
      </c>
      <c r="C4604" s="20"/>
      <c r="D4604" s="20" t="s">
        <v>4325</v>
      </c>
      <c r="E4604" s="19">
        <f>VLOOKUP(D4604,'لیست پرسنل'!$B$2:$E$1020,3,FALSE)</f>
        <v>0</v>
      </c>
      <c r="F4604" s="19">
        <f>VLOOKUP(D4604,'لیست پرسنل'!$B$2:$E$1020,4,FALSE)</f>
        <v>0</v>
      </c>
      <c r="G4604" s="127">
        <f>VLOOKUP(D4604,'لیست پرسنل'!$B$2:$F$1020,2,FALSE)</f>
        <v>0</v>
      </c>
      <c r="H4604" s="126" t="s">
        <v>4290</v>
      </c>
      <c r="I4604" s="128" t="s">
        <v>4325</v>
      </c>
      <c r="J4604" s="128" t="s">
        <v>885</v>
      </c>
      <c r="K4604" s="128" t="s">
        <v>4161</v>
      </c>
      <c r="L4604" s="128" t="s">
        <v>466</v>
      </c>
      <c r="M4604" s="128">
        <v>3010353</v>
      </c>
      <c r="N4604" s="108"/>
      <c r="O4604" s="19" t="s">
        <v>5965</v>
      </c>
      <c r="P4604" s="20" t="s">
        <v>5869</v>
      </c>
      <c r="Q4604" s="20"/>
    </row>
    <row r="4605" spans="1:17" ht="24.9" customHeight="1">
      <c r="A4605" s="20"/>
      <c r="B4605" s="20" t="s">
        <v>5101</v>
      </c>
      <c r="C4605" s="20"/>
      <c r="D4605" s="20" t="s">
        <v>4325</v>
      </c>
      <c r="E4605" s="19">
        <f>VLOOKUP(D4605,'لیست پرسنل'!$B$2:$E$1020,3,FALSE)</f>
        <v>0</v>
      </c>
      <c r="F4605" s="19">
        <f>VLOOKUP(D4605,'لیست پرسنل'!$B$2:$E$1020,4,FALSE)</f>
        <v>0</v>
      </c>
      <c r="G4605" s="127">
        <f>VLOOKUP(D4605,'لیست پرسنل'!$B$2:$F$1020,2,FALSE)</f>
        <v>0</v>
      </c>
      <c r="H4605" s="126" t="s">
        <v>4290</v>
      </c>
      <c r="I4605" s="128" t="s">
        <v>4325</v>
      </c>
      <c r="J4605" s="128" t="s">
        <v>885</v>
      </c>
      <c r="K4605" s="128" t="s">
        <v>4163</v>
      </c>
      <c r="L4605" s="128" t="s">
        <v>4162</v>
      </c>
      <c r="M4605" s="128">
        <v>3010404</v>
      </c>
      <c r="N4605" s="108"/>
      <c r="O4605" s="19" t="s">
        <v>5966</v>
      </c>
      <c r="P4605" s="20" t="s">
        <v>5869</v>
      </c>
      <c r="Q4605" s="20"/>
    </row>
    <row r="4606" spans="1:17" ht="24.9" customHeight="1">
      <c r="A4606" s="20"/>
      <c r="B4606" s="20" t="s">
        <v>5101</v>
      </c>
      <c r="C4606" s="20"/>
      <c r="D4606" s="20" t="s">
        <v>4325</v>
      </c>
      <c r="E4606" s="19">
        <f>VLOOKUP(D4606,'لیست پرسنل'!$B$2:$E$1020,3,FALSE)</f>
        <v>0</v>
      </c>
      <c r="F4606" s="19">
        <f>VLOOKUP(D4606,'لیست پرسنل'!$B$2:$E$1020,4,FALSE)</f>
        <v>0</v>
      </c>
      <c r="G4606" s="127">
        <f>VLOOKUP(D4606,'لیست پرسنل'!$B$2:$F$1020,2,FALSE)</f>
        <v>0</v>
      </c>
      <c r="H4606" s="151" t="s">
        <v>4290</v>
      </c>
      <c r="I4606" s="127" t="s">
        <v>4325</v>
      </c>
      <c r="J4606" s="128" t="s">
        <v>3476</v>
      </c>
      <c r="K4606" s="142" t="s">
        <v>5554</v>
      </c>
      <c r="L4606" s="128" t="s">
        <v>5553</v>
      </c>
      <c r="M4606" s="142">
        <v>623352</v>
      </c>
      <c r="N4606" s="108"/>
      <c r="O4606" s="20" t="s">
        <v>6172</v>
      </c>
      <c r="P4606" s="20" t="s">
        <v>5869</v>
      </c>
      <c r="Q4606" s="20"/>
    </row>
    <row r="4607" spans="1:17" ht="24.9" customHeight="1">
      <c r="A4607" s="20"/>
      <c r="B4607" s="20" t="s">
        <v>5101</v>
      </c>
      <c r="C4607" s="19"/>
      <c r="D4607" s="20" t="s">
        <v>4325</v>
      </c>
      <c r="E4607" s="19">
        <f>VLOOKUP(D4607,'لیست پرسنل'!$B$2:$E$1020,3,FALSE)</f>
        <v>0</v>
      </c>
      <c r="F4607" s="19">
        <f>VLOOKUP(D4607,'لیست پرسنل'!$B$2:$E$1020,4,FALSE)</f>
        <v>0</v>
      </c>
      <c r="G4607" s="127">
        <f>VLOOKUP(D4607,'لیست پرسنل'!$B$2:$F$1020,2,FALSE)</f>
        <v>0</v>
      </c>
      <c r="H4607" s="126" t="s">
        <v>4290</v>
      </c>
      <c r="I4607" s="128" t="s">
        <v>4325</v>
      </c>
      <c r="J4607" s="127" t="s">
        <v>571</v>
      </c>
      <c r="K4607" s="127" t="s">
        <v>2054</v>
      </c>
      <c r="L4607" s="151"/>
      <c r="M4607" s="127">
        <v>601499</v>
      </c>
      <c r="N4607" s="109"/>
      <c r="O4607" s="39"/>
      <c r="P4607" s="20"/>
      <c r="Q4607" s="20"/>
    </row>
    <row r="4608" spans="1:17" ht="24.9" customHeight="1">
      <c r="A4608" s="20"/>
      <c r="B4608" s="20" t="s">
        <v>4636</v>
      </c>
      <c r="C4608" s="20"/>
      <c r="D4608" s="20" t="s">
        <v>4325</v>
      </c>
      <c r="E4608" s="19">
        <f>VLOOKUP(D4608,'لیست پرسنل'!$B$2:$E$1020,3,FALSE)</f>
        <v>0</v>
      </c>
      <c r="F4608" s="19">
        <f>VLOOKUP(D4608,'لیست پرسنل'!$B$2:$E$1020,4,FALSE)</f>
        <v>0</v>
      </c>
      <c r="G4608" s="127">
        <f>VLOOKUP(D4608,'لیست پرسنل'!$B$2:$F$1020,2,FALSE)</f>
        <v>0</v>
      </c>
      <c r="H4608" s="126" t="s">
        <v>4290</v>
      </c>
      <c r="I4608" s="128" t="s">
        <v>4325</v>
      </c>
      <c r="J4608" s="128" t="s">
        <v>571</v>
      </c>
      <c r="K4608" s="128" t="s">
        <v>571</v>
      </c>
      <c r="L4608" s="155"/>
      <c r="M4608" s="128">
        <v>605171</v>
      </c>
      <c r="O4608" s="28"/>
      <c r="P4608" s="20" t="s">
        <v>4325</v>
      </c>
      <c r="Q4608" s="28"/>
    </row>
    <row r="4609" spans="1:17" ht="24.9" customHeight="1">
      <c r="A4609" s="20"/>
      <c r="B4609" s="20" t="s">
        <v>4636</v>
      </c>
      <c r="C4609" s="20"/>
      <c r="D4609" s="20" t="s">
        <v>4325</v>
      </c>
      <c r="E4609" s="19">
        <f>VLOOKUP(D4609,'لیست پرسنل'!$B$2:$E$1020,3,FALSE)</f>
        <v>0</v>
      </c>
      <c r="F4609" s="19">
        <f>VLOOKUP(D4609,'لیست پرسنل'!$B$2:$E$1020,4,FALSE)</f>
        <v>0</v>
      </c>
      <c r="G4609" s="127">
        <f>VLOOKUP(D4609,'لیست پرسنل'!$B$2:$F$1020,2,FALSE)</f>
        <v>0</v>
      </c>
      <c r="H4609" s="126" t="s">
        <v>4290</v>
      </c>
      <c r="I4609" s="127" t="s">
        <v>4325</v>
      </c>
      <c r="J4609" s="141" t="s">
        <v>571</v>
      </c>
      <c r="K4609" s="128" t="s">
        <v>5026</v>
      </c>
      <c r="L4609" s="127"/>
      <c r="M4609" s="131">
        <v>605832</v>
      </c>
      <c r="N4609" s="112"/>
      <c r="O4609" s="20" t="s">
        <v>5031</v>
      </c>
      <c r="P4609" s="20"/>
      <c r="Q4609" s="20"/>
    </row>
    <row r="4610" spans="1:17" ht="24.9" customHeight="1">
      <c r="A4610" s="20"/>
      <c r="B4610" s="20" t="s">
        <v>4636</v>
      </c>
      <c r="C4610" s="20"/>
      <c r="D4610" s="20" t="s">
        <v>4325</v>
      </c>
      <c r="E4610" s="19">
        <f>VLOOKUP(D4610,'لیست پرسنل'!$B$2:$E$1020,3,FALSE)</f>
        <v>0</v>
      </c>
      <c r="F4610" s="19">
        <f>VLOOKUP(D4610,'لیست پرسنل'!$B$2:$E$1020,4,FALSE)</f>
        <v>0</v>
      </c>
      <c r="G4610" s="127">
        <f>VLOOKUP(D4610,'لیست پرسنل'!$B$2:$F$1020,2,FALSE)</f>
        <v>0</v>
      </c>
      <c r="H4610" s="126" t="s">
        <v>4290</v>
      </c>
      <c r="I4610" s="128" t="s">
        <v>4325</v>
      </c>
      <c r="J4610" s="141" t="s">
        <v>571</v>
      </c>
      <c r="K4610" s="128" t="s">
        <v>1513</v>
      </c>
      <c r="L4610" s="154"/>
      <c r="M4610" s="131">
        <v>605977</v>
      </c>
      <c r="N4610" s="110"/>
      <c r="O4610" s="44" t="s">
        <v>4594</v>
      </c>
      <c r="P4610" s="20" t="s">
        <v>4325</v>
      </c>
      <c r="Q4610" s="20" t="s">
        <v>6028</v>
      </c>
    </row>
    <row r="4611" spans="1:17" ht="24.9" customHeight="1">
      <c r="A4611" s="20"/>
      <c r="B4611" s="20" t="s">
        <v>5101</v>
      </c>
      <c r="C4611" s="19"/>
      <c r="D4611" s="20" t="s">
        <v>4325</v>
      </c>
      <c r="E4611" s="19">
        <f>VLOOKUP(D4611,'لیست پرسنل'!$B$2:$E$1020,3,FALSE)</f>
        <v>0</v>
      </c>
      <c r="F4611" s="19">
        <f>VLOOKUP(D4611,'لیست پرسنل'!$B$2:$E$1020,4,FALSE)</f>
        <v>0</v>
      </c>
      <c r="G4611" s="127">
        <f>VLOOKUP(D4611,'لیست پرسنل'!$B$2:$F$1020,2,FALSE)</f>
        <v>0</v>
      </c>
      <c r="H4611" s="126" t="s">
        <v>4290</v>
      </c>
      <c r="I4611" s="128" t="s">
        <v>4325</v>
      </c>
      <c r="J4611" s="141" t="s">
        <v>571</v>
      </c>
      <c r="K4611" s="151" t="s">
        <v>6479</v>
      </c>
      <c r="L4611" s="151"/>
      <c r="M4611" s="127">
        <v>609569</v>
      </c>
      <c r="N4611" s="108"/>
      <c r="O4611" s="20"/>
      <c r="P4611" s="20"/>
      <c r="Q4611" s="20"/>
    </row>
    <row r="4612" spans="1:17" ht="24.9" customHeight="1">
      <c r="A4612" s="20"/>
      <c r="B4612" s="20" t="s">
        <v>5101</v>
      </c>
      <c r="C4612" s="20"/>
      <c r="D4612" s="20" t="s">
        <v>4325</v>
      </c>
      <c r="E4612" s="19">
        <f>VLOOKUP(D4612,'لیست پرسنل'!$B$2:$E$1020,3,FALSE)</f>
        <v>0</v>
      </c>
      <c r="F4612" s="19">
        <f>VLOOKUP(D4612,'لیست پرسنل'!$B$2:$E$1020,4,FALSE)</f>
        <v>0</v>
      </c>
      <c r="G4612" s="127">
        <f>VLOOKUP(D4612,'لیست پرسنل'!$B$2:$F$1020,2,FALSE)</f>
        <v>0</v>
      </c>
      <c r="H4612" s="151" t="s">
        <v>4290</v>
      </c>
      <c r="I4612" s="127" t="s">
        <v>4325</v>
      </c>
      <c r="J4612" s="128" t="s">
        <v>571</v>
      </c>
      <c r="K4612" s="128" t="s">
        <v>571</v>
      </c>
      <c r="L4612" s="150" t="s">
        <v>6488</v>
      </c>
      <c r="M4612" s="128">
        <v>609674</v>
      </c>
      <c r="N4612" s="108"/>
      <c r="O4612" s="20" t="s">
        <v>4933</v>
      </c>
      <c r="P4612" s="20" t="s">
        <v>4325</v>
      </c>
      <c r="Q4612" s="20"/>
    </row>
    <row r="4613" spans="1:17" ht="24.9" customHeight="1">
      <c r="A4613" s="20"/>
      <c r="B4613" s="20" t="s">
        <v>5101</v>
      </c>
      <c r="C4613" s="20"/>
      <c r="D4613" s="20" t="s">
        <v>4325</v>
      </c>
      <c r="E4613" s="19">
        <f>VLOOKUP(D4613,'لیست پرسنل'!$B$2:$E$1020,3,FALSE)</f>
        <v>0</v>
      </c>
      <c r="F4613" s="19">
        <f>VLOOKUP(D4613,'لیست پرسنل'!$B$2:$E$1020,4,FALSE)</f>
        <v>0</v>
      </c>
      <c r="G4613" s="127">
        <f>VLOOKUP(D4613,'لیست پرسنل'!$B$2:$F$1020,2,FALSE)</f>
        <v>0</v>
      </c>
      <c r="H4613" s="126" t="s">
        <v>4290</v>
      </c>
      <c r="I4613" s="128" t="s">
        <v>4325</v>
      </c>
      <c r="J4613" s="141" t="s">
        <v>571</v>
      </c>
      <c r="K4613" s="135" t="s">
        <v>1513</v>
      </c>
      <c r="L4613" s="135"/>
      <c r="M4613" s="135">
        <v>32700715</v>
      </c>
      <c r="N4613" s="108"/>
      <c r="O4613" s="81" t="s">
        <v>4291</v>
      </c>
      <c r="P4613" s="20" t="s">
        <v>4325</v>
      </c>
      <c r="Q4613" s="20"/>
    </row>
    <row r="4614" spans="1:17" ht="24.9" customHeight="1">
      <c r="A4614" s="20"/>
      <c r="B4614" s="20" t="s">
        <v>5101</v>
      </c>
      <c r="C4614" s="19"/>
      <c r="D4614" s="19" t="s">
        <v>4325</v>
      </c>
      <c r="E4614" s="19">
        <f>VLOOKUP(D4614,'لیست پرسنل'!$B$2:$E$1020,3,FALSE)</f>
        <v>0</v>
      </c>
      <c r="F4614" s="19">
        <f>VLOOKUP(D4614,'لیست پرسنل'!$B$2:$E$1020,4,FALSE)</f>
        <v>0</v>
      </c>
      <c r="G4614" s="127">
        <f>VLOOKUP(D4614,'لیست پرسنل'!$B$2:$F$1020,2,FALSE)</f>
        <v>0</v>
      </c>
      <c r="H4614" s="151" t="s">
        <v>4290</v>
      </c>
      <c r="I4614" s="127" t="s">
        <v>4325</v>
      </c>
      <c r="J4614" s="128" t="s">
        <v>2686</v>
      </c>
      <c r="K4614" s="128" t="s">
        <v>1387</v>
      </c>
      <c r="L4614" s="127" t="s">
        <v>462</v>
      </c>
      <c r="M4614" s="127">
        <v>603256</v>
      </c>
      <c r="N4614" s="109" t="s">
        <v>7312</v>
      </c>
      <c r="O4614" s="86"/>
      <c r="P4614" s="20" t="s">
        <v>5869</v>
      </c>
      <c r="Q4614" s="20" t="s">
        <v>6728</v>
      </c>
    </row>
    <row r="4615" spans="1:17" ht="24.9" customHeight="1">
      <c r="A4615" s="20"/>
      <c r="B4615" s="20" t="s">
        <v>4636</v>
      </c>
      <c r="C4615" s="19"/>
      <c r="D4615" s="19" t="s">
        <v>4325</v>
      </c>
      <c r="E4615" s="19">
        <f>VLOOKUP(D4615,'لیست پرسنل'!$B$2:$E$1020,3,FALSE)</f>
        <v>0</v>
      </c>
      <c r="F4615" s="19">
        <f>VLOOKUP(D4615,'لیست پرسنل'!$B$2:$E$1020,4,FALSE)</f>
        <v>0</v>
      </c>
      <c r="G4615" s="127">
        <f>VLOOKUP(D4615,'لیست پرسنل'!$B$2:$F$1020,2,FALSE)</f>
        <v>0</v>
      </c>
      <c r="H4615" s="126" t="s">
        <v>4290</v>
      </c>
      <c r="I4615" s="128" t="s">
        <v>4325</v>
      </c>
      <c r="J4615" s="128" t="s">
        <v>2686</v>
      </c>
      <c r="K4615" s="128" t="s">
        <v>1966</v>
      </c>
      <c r="L4615" s="151" t="s">
        <v>532</v>
      </c>
      <c r="M4615" s="127">
        <v>604972</v>
      </c>
      <c r="N4615" s="108"/>
      <c r="O4615" s="100" t="s">
        <v>4325</v>
      </c>
      <c r="P4615" s="20" t="s">
        <v>4325</v>
      </c>
      <c r="Q4615" s="20" t="s">
        <v>6028</v>
      </c>
    </row>
    <row r="4616" spans="1:17" ht="24.9" customHeight="1">
      <c r="A4616" s="20"/>
      <c r="B4616" s="20" t="s">
        <v>5101</v>
      </c>
      <c r="C4616" s="19"/>
      <c r="D4616" s="19" t="s">
        <v>4325</v>
      </c>
      <c r="E4616" s="19">
        <f>VLOOKUP(D4616,'لیست پرسنل'!$B$2:$E$1020,3,FALSE)</f>
        <v>0</v>
      </c>
      <c r="F4616" s="19">
        <f>VLOOKUP(D4616,'لیست پرسنل'!$B$2:$E$1020,4,FALSE)</f>
        <v>0</v>
      </c>
      <c r="G4616" s="127">
        <f>VLOOKUP(D4616,'لیست پرسنل'!$B$2:$F$1020,2,FALSE)</f>
        <v>0</v>
      </c>
      <c r="H4616" s="151" t="s">
        <v>4290</v>
      </c>
      <c r="I4616" s="127" t="s">
        <v>4325</v>
      </c>
      <c r="J4616" s="128" t="s">
        <v>2686</v>
      </c>
      <c r="K4616" s="128" t="s">
        <v>744</v>
      </c>
      <c r="L4616" s="151" t="s">
        <v>1705</v>
      </c>
      <c r="M4616" s="127">
        <v>606361</v>
      </c>
      <c r="N4616" s="109" t="s">
        <v>7312</v>
      </c>
      <c r="O4616" s="19"/>
      <c r="P4616" s="20" t="s">
        <v>4325</v>
      </c>
      <c r="Q4616" s="20"/>
    </row>
    <row r="4617" spans="1:17" ht="24.9" customHeight="1">
      <c r="A4617" s="20"/>
      <c r="B4617" s="20" t="s">
        <v>4636</v>
      </c>
      <c r="C4617" s="20"/>
      <c r="D4617" s="20" t="s">
        <v>4325</v>
      </c>
      <c r="E4617" s="19">
        <f>VLOOKUP(D4617,'لیست پرسنل'!$B$2:$E$1020,3,FALSE)</f>
        <v>0</v>
      </c>
      <c r="F4617" s="19">
        <f>VLOOKUP(D4617,'لیست پرسنل'!$B$2:$E$1020,4,FALSE)</f>
        <v>0</v>
      </c>
      <c r="G4617" s="127">
        <f>VLOOKUP(D4617,'لیست پرسنل'!$B$2:$F$1020,2,FALSE)</f>
        <v>0</v>
      </c>
      <c r="H4617" s="126" t="s">
        <v>4290</v>
      </c>
      <c r="I4617" s="128" t="s">
        <v>4325</v>
      </c>
      <c r="J4617" s="128" t="s">
        <v>3313</v>
      </c>
      <c r="K4617" s="128" t="s">
        <v>4824</v>
      </c>
      <c r="L4617" s="128" t="s">
        <v>4826</v>
      </c>
      <c r="M4617" s="128">
        <v>606205</v>
      </c>
      <c r="N4617" s="108"/>
      <c r="O4617" s="20" t="s">
        <v>5128</v>
      </c>
      <c r="P4617" s="20"/>
      <c r="Q4617" s="20"/>
    </row>
    <row r="4618" spans="1:17" ht="24.9" customHeight="1">
      <c r="A4618" s="20"/>
      <c r="B4618" s="20" t="s">
        <v>4636</v>
      </c>
      <c r="C4618" s="20"/>
      <c r="D4618" s="20" t="s">
        <v>4325</v>
      </c>
      <c r="E4618" s="19">
        <f>VLOOKUP(D4618,'لیست پرسنل'!$B$2:$E$1020,3,FALSE)</f>
        <v>0</v>
      </c>
      <c r="F4618" s="19">
        <f>VLOOKUP(D4618,'لیست پرسنل'!$B$2:$E$1020,4,FALSE)</f>
        <v>0</v>
      </c>
      <c r="G4618" s="127">
        <f>VLOOKUP(D4618,'لیست پرسنل'!$B$2:$F$1020,2,FALSE)</f>
        <v>0</v>
      </c>
      <c r="H4618" s="126" t="s">
        <v>4290</v>
      </c>
      <c r="I4618" s="128" t="s">
        <v>4325</v>
      </c>
      <c r="J4618" s="128" t="s">
        <v>3313</v>
      </c>
      <c r="K4618" s="128" t="s">
        <v>4824</v>
      </c>
      <c r="L4618" s="128" t="s">
        <v>4825</v>
      </c>
      <c r="M4618" s="128">
        <v>606503</v>
      </c>
      <c r="N4618" s="108"/>
      <c r="O4618" s="20" t="s">
        <v>5128</v>
      </c>
      <c r="P4618" s="20"/>
      <c r="Q4618" s="20"/>
    </row>
    <row r="4619" spans="1:17" ht="24.9" customHeight="1">
      <c r="A4619" s="20"/>
      <c r="B4619" s="20" t="s">
        <v>4636</v>
      </c>
      <c r="C4619" s="20"/>
      <c r="D4619" s="20" t="s">
        <v>4325</v>
      </c>
      <c r="E4619" s="19">
        <f>VLOOKUP(D4619,'لیست پرسنل'!$B$2:$E$1020,3,FALSE)</f>
        <v>0</v>
      </c>
      <c r="F4619" s="19">
        <f>VLOOKUP(D4619,'لیست پرسنل'!$B$2:$E$1020,4,FALSE)</f>
        <v>0</v>
      </c>
      <c r="G4619" s="127">
        <f>VLOOKUP(D4619,'لیست پرسنل'!$B$2:$F$1020,2,FALSE)</f>
        <v>0</v>
      </c>
      <c r="H4619" s="126" t="s">
        <v>4290</v>
      </c>
      <c r="I4619" s="128" t="s">
        <v>4325</v>
      </c>
      <c r="J4619" s="128" t="s">
        <v>4329</v>
      </c>
      <c r="K4619" s="128" t="s">
        <v>5289</v>
      </c>
      <c r="L4619" s="155"/>
      <c r="M4619" s="128">
        <v>700032</v>
      </c>
      <c r="O4619" s="28"/>
      <c r="P4619" s="19" t="s">
        <v>5228</v>
      </c>
      <c r="Q4619" s="19" t="s">
        <v>6028</v>
      </c>
    </row>
    <row r="4620" spans="1:17" ht="24.9" customHeight="1">
      <c r="A4620" s="20"/>
      <c r="B4620" s="20" t="s">
        <v>4636</v>
      </c>
      <c r="C4620" s="20"/>
      <c r="D4620" s="20" t="s">
        <v>4325</v>
      </c>
      <c r="E4620" s="19">
        <f>VLOOKUP(D4620,'لیست پرسنل'!$B$2:$E$1020,3,FALSE)</f>
        <v>0</v>
      </c>
      <c r="F4620" s="19">
        <f>VLOOKUP(D4620,'لیست پرسنل'!$B$2:$E$1020,4,FALSE)</f>
        <v>0</v>
      </c>
      <c r="G4620" s="127">
        <f>VLOOKUP(D4620,'لیست پرسنل'!$B$2:$F$1020,2,FALSE)</f>
        <v>0</v>
      </c>
      <c r="H4620" s="126" t="s">
        <v>4290</v>
      </c>
      <c r="I4620" s="128" t="s">
        <v>4325</v>
      </c>
      <c r="J4620" s="128" t="s">
        <v>4329</v>
      </c>
      <c r="K4620" s="128" t="s">
        <v>5289</v>
      </c>
      <c r="L4620" s="155"/>
      <c r="M4620" s="128">
        <v>700033</v>
      </c>
      <c r="N4620" s="111"/>
      <c r="O4620" s="28"/>
      <c r="P4620" s="19" t="s">
        <v>5228</v>
      </c>
      <c r="Q4620" s="19" t="s">
        <v>6028</v>
      </c>
    </row>
    <row r="4621" spans="1:17" ht="24.9" customHeight="1">
      <c r="A4621" s="20"/>
      <c r="B4621" s="20" t="s">
        <v>4636</v>
      </c>
      <c r="C4621" s="20"/>
      <c r="D4621" s="20" t="s">
        <v>4325</v>
      </c>
      <c r="E4621" s="19">
        <f>VLOOKUP(D4621,'لیست پرسنل'!$B$2:$E$1020,3,FALSE)</f>
        <v>0</v>
      </c>
      <c r="F4621" s="19">
        <f>VLOOKUP(D4621,'لیست پرسنل'!$B$2:$E$1020,4,FALSE)</f>
        <v>0</v>
      </c>
      <c r="G4621" s="127">
        <f>VLOOKUP(D4621,'لیست پرسنل'!$B$2:$F$1020,2,FALSE)</f>
        <v>0</v>
      </c>
      <c r="H4621" s="126" t="s">
        <v>4290</v>
      </c>
      <c r="I4621" s="128" t="s">
        <v>4325</v>
      </c>
      <c r="J4621" s="128" t="s">
        <v>753</v>
      </c>
      <c r="K4621" s="128" t="s">
        <v>5288</v>
      </c>
      <c r="L4621" s="155"/>
      <c r="M4621" s="128">
        <v>605625</v>
      </c>
      <c r="N4621" s="111"/>
      <c r="O4621" s="28"/>
      <c r="P4621" s="20" t="s">
        <v>3834</v>
      </c>
      <c r="Q4621" s="20" t="s">
        <v>6030</v>
      </c>
    </row>
    <row r="4622" spans="1:17" ht="24.9" customHeight="1">
      <c r="A4622" s="20"/>
      <c r="B4622" s="20" t="s">
        <v>5101</v>
      </c>
      <c r="C4622" s="20"/>
      <c r="D4622" s="20" t="s">
        <v>4325</v>
      </c>
      <c r="E4622" s="19">
        <f>VLOOKUP(D4622,'لیست پرسنل'!$B$2:$E$1020,3,FALSE)</f>
        <v>0</v>
      </c>
      <c r="F4622" s="19">
        <f>VLOOKUP(D4622,'لیست پرسنل'!$B$2:$E$1020,4,FALSE)</f>
        <v>0</v>
      </c>
      <c r="G4622" s="127">
        <f>VLOOKUP(D4622,'لیست پرسنل'!$B$2:$F$1020,2,FALSE)</f>
        <v>0</v>
      </c>
      <c r="H4622" s="126" t="s">
        <v>4290</v>
      </c>
      <c r="I4622" s="142" t="s">
        <v>4325</v>
      </c>
      <c r="J4622" s="142" t="s">
        <v>2764</v>
      </c>
      <c r="K4622" s="128" t="s">
        <v>2764</v>
      </c>
      <c r="L4622" s="150"/>
      <c r="M4622" s="128">
        <v>613292</v>
      </c>
      <c r="N4622" s="108" t="s">
        <v>7312</v>
      </c>
      <c r="O4622" s="20" t="s">
        <v>4325</v>
      </c>
      <c r="P4622" s="20" t="s">
        <v>5321</v>
      </c>
      <c r="Q4622" s="19"/>
    </row>
    <row r="4623" spans="1:17" ht="24.9" customHeight="1">
      <c r="A4623" s="20"/>
      <c r="B4623" s="20" t="s">
        <v>5101</v>
      </c>
      <c r="C4623" s="20"/>
      <c r="D4623" s="20" t="s">
        <v>4325</v>
      </c>
      <c r="E4623" s="19">
        <f>VLOOKUP(D4623,'لیست پرسنل'!$B$2:$E$1020,3,FALSE)</f>
        <v>0</v>
      </c>
      <c r="F4623" s="19">
        <f>VLOOKUP(D4623,'لیست پرسنل'!$B$2:$E$1020,4,FALSE)</f>
        <v>0</v>
      </c>
      <c r="G4623" s="127">
        <f>VLOOKUP(D4623,'لیست پرسنل'!$B$2:$F$1020,2,FALSE)</f>
        <v>0</v>
      </c>
      <c r="H4623" s="128" t="s">
        <v>4783</v>
      </c>
      <c r="I4623" s="128" t="s">
        <v>4325</v>
      </c>
      <c r="J4623" s="128" t="s">
        <v>571</v>
      </c>
      <c r="K4623" s="128" t="s">
        <v>2054</v>
      </c>
      <c r="L4623" s="128"/>
      <c r="M4623" s="127">
        <v>611150</v>
      </c>
      <c r="N4623" s="108"/>
      <c r="O4623" s="20"/>
      <c r="P4623" s="20" t="s">
        <v>4325</v>
      </c>
      <c r="Q4623" s="20" t="s">
        <v>6915</v>
      </c>
    </row>
    <row r="4624" spans="1:17" ht="24.9" customHeight="1">
      <c r="A4624" s="20"/>
      <c r="B4624" s="20" t="s">
        <v>5101</v>
      </c>
      <c r="C4624" s="82"/>
      <c r="D4624" s="20" t="s">
        <v>4325</v>
      </c>
      <c r="E4624" s="19">
        <f>VLOOKUP(D4624,'لیست پرسنل'!$B$2:$E$1020,3,FALSE)</f>
        <v>0</v>
      </c>
      <c r="F4624" s="19">
        <f>VLOOKUP(D4624,'لیست پرسنل'!$B$2:$E$1020,4,FALSE)</f>
        <v>0</v>
      </c>
      <c r="G4624" s="127">
        <f>VLOOKUP(D4624,'لیست پرسنل'!$B$2:$F$1020,2,FALSE)</f>
        <v>0</v>
      </c>
      <c r="H4624" s="128" t="s">
        <v>3996</v>
      </c>
      <c r="I4624" s="128" t="s">
        <v>4325</v>
      </c>
      <c r="J4624" s="128" t="s">
        <v>4397</v>
      </c>
      <c r="K4624" s="128" t="s">
        <v>4391</v>
      </c>
      <c r="L4624" s="127" t="s">
        <v>4392</v>
      </c>
      <c r="M4624" s="127">
        <v>610517</v>
      </c>
      <c r="N4624" s="109"/>
      <c r="O4624" s="19" t="s">
        <v>5230</v>
      </c>
      <c r="P4624" s="19" t="s">
        <v>5228</v>
      </c>
      <c r="Q4624" s="19" t="s">
        <v>5229</v>
      </c>
    </row>
    <row r="4625" spans="1:17" ht="24.9" customHeight="1">
      <c r="A4625" s="20"/>
      <c r="B4625" s="20" t="s">
        <v>5101</v>
      </c>
      <c r="C4625" s="82"/>
      <c r="D4625" s="20" t="s">
        <v>4325</v>
      </c>
      <c r="E4625" s="19">
        <f>VLOOKUP(D4625,'لیست پرسنل'!$B$2:$E$1020,3,FALSE)</f>
        <v>0</v>
      </c>
      <c r="F4625" s="19">
        <f>VLOOKUP(D4625,'لیست پرسنل'!$B$2:$E$1020,4,FALSE)</f>
        <v>0</v>
      </c>
      <c r="G4625" s="127">
        <f>VLOOKUP(D4625,'لیست پرسنل'!$B$2:$F$1020,2,FALSE)</f>
        <v>0</v>
      </c>
      <c r="H4625" s="128" t="s">
        <v>3996</v>
      </c>
      <c r="I4625" s="128" t="s">
        <v>4325</v>
      </c>
      <c r="J4625" s="128" t="s">
        <v>737</v>
      </c>
      <c r="K4625" s="128" t="s">
        <v>419</v>
      </c>
      <c r="L4625" s="127" t="s">
        <v>1146</v>
      </c>
      <c r="M4625" s="127">
        <v>608625</v>
      </c>
      <c r="N4625" s="109"/>
      <c r="O4625" s="19" t="s">
        <v>5230</v>
      </c>
      <c r="P4625" s="19" t="s">
        <v>5228</v>
      </c>
      <c r="Q4625" s="19" t="s">
        <v>5229</v>
      </c>
    </row>
    <row r="4626" spans="1:17" ht="24.9" customHeight="1">
      <c r="A4626" s="20"/>
      <c r="B4626" s="20" t="s">
        <v>5101</v>
      </c>
      <c r="C4626" s="82"/>
      <c r="D4626" s="20" t="s">
        <v>4325</v>
      </c>
      <c r="E4626" s="19">
        <f>VLOOKUP(D4626,'لیست پرسنل'!$B$2:$E$1020,3,FALSE)</f>
        <v>0</v>
      </c>
      <c r="F4626" s="19">
        <f>VLOOKUP(D4626,'لیست پرسنل'!$B$2:$E$1020,4,FALSE)</f>
        <v>0</v>
      </c>
      <c r="G4626" s="127">
        <f>VLOOKUP(D4626,'لیست پرسنل'!$B$2:$F$1020,2,FALSE)</f>
        <v>0</v>
      </c>
      <c r="H4626" s="128" t="s">
        <v>3996</v>
      </c>
      <c r="I4626" s="128" t="s">
        <v>4325</v>
      </c>
      <c r="J4626" s="128" t="s">
        <v>4398</v>
      </c>
      <c r="K4626" s="128" t="s">
        <v>4399</v>
      </c>
      <c r="L4626" s="127"/>
      <c r="M4626" s="127">
        <v>605754</v>
      </c>
      <c r="N4626" s="109"/>
      <c r="O4626" s="19" t="s">
        <v>4387</v>
      </c>
      <c r="P4626" s="19" t="s">
        <v>5228</v>
      </c>
      <c r="Q4626" s="19" t="s">
        <v>5229</v>
      </c>
    </row>
    <row r="4627" spans="1:17" ht="24.9" customHeight="1">
      <c r="A4627" s="20"/>
      <c r="B4627" s="20" t="s">
        <v>5101</v>
      </c>
      <c r="C4627" s="19"/>
      <c r="D4627" s="20" t="s">
        <v>4325</v>
      </c>
      <c r="E4627" s="19">
        <f>VLOOKUP(D4627,'لیست پرسنل'!$B$2:$E$1020,3,FALSE)</f>
        <v>0</v>
      </c>
      <c r="F4627" s="19">
        <f>VLOOKUP(D4627,'لیست پرسنل'!$B$2:$E$1020,4,FALSE)</f>
        <v>0</v>
      </c>
      <c r="G4627" s="127">
        <f>VLOOKUP(D4627,'لیست پرسنل'!$B$2:$F$1020,2,FALSE)</f>
        <v>0</v>
      </c>
      <c r="H4627" s="126" t="s">
        <v>3996</v>
      </c>
      <c r="I4627" s="128" t="s">
        <v>4325</v>
      </c>
      <c r="J4627" s="128" t="s">
        <v>2686</v>
      </c>
      <c r="K4627" s="128" t="s">
        <v>2922</v>
      </c>
      <c r="L4627" s="127" t="s">
        <v>2982</v>
      </c>
      <c r="M4627" s="128">
        <v>626464</v>
      </c>
      <c r="N4627" s="108" t="s">
        <v>7167</v>
      </c>
      <c r="O4627" s="20" t="s">
        <v>7168</v>
      </c>
      <c r="P4627" s="20" t="s">
        <v>5869</v>
      </c>
      <c r="Q4627" s="20"/>
    </row>
    <row r="4628" spans="1:17" ht="24.9" customHeight="1">
      <c r="A4628" s="20"/>
      <c r="B4628" s="20" t="s">
        <v>5101</v>
      </c>
      <c r="C4628" s="20"/>
      <c r="D4628" s="31" t="s">
        <v>4325</v>
      </c>
      <c r="E4628" s="19">
        <f>VLOOKUP(D4628,'لیست پرسنل'!$B$2:$E$1020,3,FALSE)</f>
        <v>0</v>
      </c>
      <c r="F4628" s="19">
        <f>VLOOKUP(D4628,'لیست پرسنل'!$B$2:$E$1020,4,FALSE)</f>
        <v>0</v>
      </c>
      <c r="G4628" s="127">
        <f>VLOOKUP(D4628,'لیست پرسنل'!$B$2:$F$1020,2,FALSE)</f>
        <v>0</v>
      </c>
      <c r="H4628" s="128" t="s">
        <v>3760</v>
      </c>
      <c r="I4628" s="128" t="s">
        <v>4325</v>
      </c>
      <c r="J4628" s="128" t="s">
        <v>571</v>
      </c>
      <c r="K4628" s="128" t="s">
        <v>1640</v>
      </c>
      <c r="L4628" s="243"/>
      <c r="M4628" s="127">
        <v>605975</v>
      </c>
      <c r="N4628" s="108"/>
      <c r="O4628" s="20"/>
      <c r="P4628" s="20" t="s">
        <v>4325</v>
      </c>
      <c r="Q4628" s="20" t="s">
        <v>5316</v>
      </c>
    </row>
    <row r="4629" spans="1:17" ht="24.9" customHeight="1">
      <c r="A4629" s="20"/>
      <c r="B4629" s="20" t="s">
        <v>5101</v>
      </c>
      <c r="C4629" s="19"/>
      <c r="D4629" s="19" t="s">
        <v>4325</v>
      </c>
      <c r="E4629" s="19">
        <v>0</v>
      </c>
      <c r="F4629" s="19">
        <v>0</v>
      </c>
      <c r="G4629" s="127">
        <v>0</v>
      </c>
      <c r="H4629" s="128" t="s">
        <v>3852</v>
      </c>
      <c r="I4629" s="128" t="s">
        <v>4325</v>
      </c>
      <c r="J4629" s="127" t="s">
        <v>1967</v>
      </c>
      <c r="K4629" s="128" t="s">
        <v>2547</v>
      </c>
      <c r="L4629" s="150"/>
      <c r="M4629" s="127">
        <v>607065</v>
      </c>
      <c r="N4629" s="109"/>
      <c r="O4629" s="20" t="s">
        <v>3306</v>
      </c>
      <c r="P4629" s="20" t="s">
        <v>5869</v>
      </c>
      <c r="Q4629" s="20" t="s">
        <v>7380</v>
      </c>
    </row>
    <row r="4630" spans="1:17" ht="24.9" customHeight="1">
      <c r="A4630" s="20"/>
      <c r="B4630" s="20" t="s">
        <v>5101</v>
      </c>
      <c r="C4630" s="19"/>
      <c r="D4630" s="19" t="s">
        <v>4325</v>
      </c>
      <c r="E4630" s="19">
        <v>0</v>
      </c>
      <c r="F4630" s="19">
        <v>0</v>
      </c>
      <c r="G4630" s="127">
        <v>0</v>
      </c>
      <c r="H4630" s="128" t="s">
        <v>3852</v>
      </c>
      <c r="I4630" s="128" t="s">
        <v>4325</v>
      </c>
      <c r="J4630" s="127" t="s">
        <v>1967</v>
      </c>
      <c r="K4630" s="128" t="s">
        <v>2547</v>
      </c>
      <c r="L4630" s="150"/>
      <c r="M4630" s="127">
        <v>607405</v>
      </c>
      <c r="N4630" s="109"/>
      <c r="O4630" s="20" t="s">
        <v>3306</v>
      </c>
      <c r="P4630" s="20" t="s">
        <v>5869</v>
      </c>
      <c r="Q4630" s="20" t="s">
        <v>7380</v>
      </c>
    </row>
    <row r="4631" spans="1:17" ht="24.9" customHeight="1">
      <c r="A4631" s="20"/>
      <c r="B4631" s="20" t="s">
        <v>5101</v>
      </c>
      <c r="C4631" s="19"/>
      <c r="D4631" s="19" t="s">
        <v>4325</v>
      </c>
      <c r="E4631" s="19">
        <f>VLOOKUP(D4631,'لیست پرسنل'!$B$2:$E$1020,3,FALSE)</f>
        <v>0</v>
      </c>
      <c r="F4631" s="19">
        <f>VLOOKUP(D4631,'لیست پرسنل'!$B$2:$E$1020,4,FALSE)</f>
        <v>0</v>
      </c>
      <c r="G4631" s="127">
        <f>VLOOKUP(D4631,'لیست پرسنل'!$B$2:$F$1020,2,FALSE)</f>
        <v>0</v>
      </c>
      <c r="H4631" s="126" t="s">
        <v>4432</v>
      </c>
      <c r="I4631" s="128" t="s">
        <v>4325</v>
      </c>
      <c r="J4631" s="127" t="s">
        <v>1967</v>
      </c>
      <c r="K4631" s="128" t="s">
        <v>3305</v>
      </c>
      <c r="L4631" s="150"/>
      <c r="M4631" s="127">
        <v>601510</v>
      </c>
      <c r="N4631" s="109"/>
      <c r="O4631" s="20" t="s">
        <v>3306</v>
      </c>
      <c r="P4631" s="20" t="s">
        <v>3834</v>
      </c>
      <c r="Q4631" s="20" t="s">
        <v>5268</v>
      </c>
    </row>
    <row r="4632" spans="1:17" ht="24.9" customHeight="1">
      <c r="A4632" s="20"/>
      <c r="B4632" s="20" t="s">
        <v>5101</v>
      </c>
      <c r="C4632" s="19"/>
      <c r="D4632" s="19" t="s">
        <v>4325</v>
      </c>
      <c r="E4632" s="19">
        <f>VLOOKUP(D4632,'لیست پرسنل'!$B$2:$E$1020,3,FALSE)</f>
        <v>0</v>
      </c>
      <c r="F4632" s="19">
        <f>VLOOKUP(D4632,'لیست پرسنل'!$B$2:$E$1020,4,FALSE)</f>
        <v>0</v>
      </c>
      <c r="G4632" s="127">
        <f>VLOOKUP(D4632,'لیست پرسنل'!$B$2:$F$1020,2,FALSE)</f>
        <v>0</v>
      </c>
      <c r="H4632" s="126" t="s">
        <v>4432</v>
      </c>
      <c r="I4632" s="128" t="s">
        <v>4325</v>
      </c>
      <c r="J4632" s="127" t="s">
        <v>1967</v>
      </c>
      <c r="K4632" s="128" t="s">
        <v>3305</v>
      </c>
      <c r="L4632" s="150"/>
      <c r="M4632" s="127">
        <v>601513</v>
      </c>
      <c r="N4632" s="109"/>
      <c r="O4632" s="20" t="s">
        <v>3306</v>
      </c>
      <c r="P4632" s="20" t="s">
        <v>3834</v>
      </c>
      <c r="Q4632" s="20" t="s">
        <v>5268</v>
      </c>
    </row>
    <row r="4633" spans="1:17" ht="24.9" customHeight="1">
      <c r="A4633" s="20"/>
      <c r="B4633" s="20" t="s">
        <v>5101</v>
      </c>
      <c r="C4633" s="19"/>
      <c r="D4633" s="19" t="s">
        <v>4325</v>
      </c>
      <c r="E4633" s="19">
        <f>VLOOKUP(D4633,'لیست پرسنل'!$B$2:$E$1020,3,FALSE)</f>
        <v>0</v>
      </c>
      <c r="F4633" s="19">
        <f>VLOOKUP(D4633,'لیست پرسنل'!$B$2:$E$1020,4,FALSE)</f>
        <v>0</v>
      </c>
      <c r="G4633" s="127">
        <f>VLOOKUP(D4633,'لیست پرسنل'!$B$2:$F$1020,2,FALSE)</f>
        <v>0</v>
      </c>
      <c r="H4633" s="126" t="s">
        <v>4432</v>
      </c>
      <c r="I4633" s="128" t="s">
        <v>4325</v>
      </c>
      <c r="J4633" s="127" t="s">
        <v>1967</v>
      </c>
      <c r="K4633" s="128" t="s">
        <v>2547</v>
      </c>
      <c r="L4633" s="150"/>
      <c r="M4633" s="127">
        <v>601572</v>
      </c>
      <c r="N4633" s="109"/>
      <c r="O4633" s="20" t="s">
        <v>3306</v>
      </c>
      <c r="P4633" s="20" t="s">
        <v>3834</v>
      </c>
      <c r="Q4633" s="20" t="s">
        <v>5268</v>
      </c>
    </row>
    <row r="4634" spans="1:17" ht="24.9" customHeight="1">
      <c r="A4634" s="20"/>
      <c r="B4634" s="20" t="s">
        <v>5101</v>
      </c>
      <c r="C4634" s="19"/>
      <c r="D4634" s="19" t="s">
        <v>4325</v>
      </c>
      <c r="E4634" s="19">
        <f>VLOOKUP(D4634,'لیست پرسنل'!$B$2:$E$1020,3,FALSE)</f>
        <v>0</v>
      </c>
      <c r="F4634" s="19">
        <f>VLOOKUP(D4634,'لیست پرسنل'!$B$2:$E$1020,4,FALSE)</f>
        <v>0</v>
      </c>
      <c r="G4634" s="127">
        <f>VLOOKUP(D4634,'لیست پرسنل'!$B$2:$F$1020,2,FALSE)</f>
        <v>0</v>
      </c>
      <c r="H4634" s="126" t="s">
        <v>4432</v>
      </c>
      <c r="I4634" s="128" t="s">
        <v>4325</v>
      </c>
      <c r="J4634" s="127" t="s">
        <v>1967</v>
      </c>
      <c r="K4634" s="128" t="s">
        <v>2547</v>
      </c>
      <c r="L4634" s="150"/>
      <c r="M4634" s="127">
        <v>601573</v>
      </c>
      <c r="N4634" s="109"/>
      <c r="O4634" s="20" t="s">
        <v>3306</v>
      </c>
      <c r="P4634" s="20" t="s">
        <v>3834</v>
      </c>
      <c r="Q4634" s="20" t="s">
        <v>5268</v>
      </c>
    </row>
    <row r="4635" spans="1:17" ht="24.9" customHeight="1">
      <c r="A4635" s="20"/>
      <c r="B4635" s="20" t="s">
        <v>5101</v>
      </c>
      <c r="C4635" s="19"/>
      <c r="D4635" s="19" t="s">
        <v>4325</v>
      </c>
      <c r="E4635" s="19">
        <f>VLOOKUP(D4635,'لیست پرسنل'!$B$2:$E$1020,3,FALSE)</f>
        <v>0</v>
      </c>
      <c r="F4635" s="19">
        <f>VLOOKUP(D4635,'لیست پرسنل'!$B$2:$E$1020,4,FALSE)</f>
        <v>0</v>
      </c>
      <c r="G4635" s="127">
        <f>VLOOKUP(D4635,'لیست پرسنل'!$B$2:$F$1020,2,FALSE)</f>
        <v>0</v>
      </c>
      <c r="H4635" s="126" t="s">
        <v>4432</v>
      </c>
      <c r="I4635" s="128" t="s">
        <v>4325</v>
      </c>
      <c r="J4635" s="127" t="s">
        <v>1967</v>
      </c>
      <c r="K4635" s="128" t="s">
        <v>2547</v>
      </c>
      <c r="L4635" s="150"/>
      <c r="M4635" s="127">
        <v>601817</v>
      </c>
      <c r="N4635" s="109"/>
      <c r="O4635" s="20" t="s">
        <v>3306</v>
      </c>
      <c r="P4635" s="20" t="s">
        <v>3834</v>
      </c>
      <c r="Q4635" s="20" t="s">
        <v>5268</v>
      </c>
    </row>
    <row r="4636" spans="1:17" ht="24.9" customHeight="1">
      <c r="A4636" s="20"/>
      <c r="B4636" s="20" t="s">
        <v>5101</v>
      </c>
      <c r="C4636" s="19"/>
      <c r="D4636" s="19" t="s">
        <v>4325</v>
      </c>
      <c r="E4636" s="19">
        <f>VLOOKUP(D4636,'لیست پرسنل'!$B$2:$E$1020,3,FALSE)</f>
        <v>0</v>
      </c>
      <c r="F4636" s="19">
        <f>VLOOKUP(D4636,'لیست پرسنل'!$B$2:$E$1020,4,FALSE)</f>
        <v>0</v>
      </c>
      <c r="G4636" s="127">
        <f>VLOOKUP(D4636,'لیست پرسنل'!$B$2:$F$1020,2,FALSE)</f>
        <v>0</v>
      </c>
      <c r="H4636" s="126" t="s">
        <v>4432</v>
      </c>
      <c r="I4636" s="128" t="s">
        <v>4325</v>
      </c>
      <c r="J4636" s="127" t="s">
        <v>1967</v>
      </c>
      <c r="K4636" s="128" t="s">
        <v>2547</v>
      </c>
      <c r="L4636" s="150"/>
      <c r="M4636" s="127">
        <v>601818</v>
      </c>
      <c r="N4636" s="109"/>
      <c r="O4636" s="20" t="s">
        <v>3306</v>
      </c>
      <c r="P4636" s="20" t="s">
        <v>3834</v>
      </c>
      <c r="Q4636" s="20" t="s">
        <v>5268</v>
      </c>
    </row>
    <row r="4637" spans="1:17" ht="24.9" customHeight="1">
      <c r="A4637" s="20"/>
      <c r="B4637" s="20" t="s">
        <v>5101</v>
      </c>
      <c r="C4637" s="19"/>
      <c r="D4637" s="19" t="s">
        <v>4325</v>
      </c>
      <c r="E4637" s="19">
        <f>VLOOKUP(D4637,'لیست پرسنل'!$B$2:$E$1020,3,FALSE)</f>
        <v>0</v>
      </c>
      <c r="F4637" s="19">
        <f>VLOOKUP(D4637,'لیست پرسنل'!$B$2:$E$1020,4,FALSE)</f>
        <v>0</v>
      </c>
      <c r="G4637" s="127">
        <f>VLOOKUP(D4637,'لیست پرسنل'!$B$2:$F$1020,2,FALSE)</f>
        <v>0</v>
      </c>
      <c r="H4637" s="126" t="s">
        <v>4432</v>
      </c>
      <c r="I4637" s="128" t="s">
        <v>4325</v>
      </c>
      <c r="J4637" s="127" t="s">
        <v>1967</v>
      </c>
      <c r="K4637" s="128" t="s">
        <v>2547</v>
      </c>
      <c r="L4637" s="150"/>
      <c r="M4637" s="127">
        <v>603995</v>
      </c>
      <c r="N4637" s="109"/>
      <c r="O4637" s="20" t="s">
        <v>3306</v>
      </c>
      <c r="P4637" s="20" t="s">
        <v>3834</v>
      </c>
      <c r="Q4637" s="20" t="s">
        <v>5268</v>
      </c>
    </row>
    <row r="4638" spans="1:17" ht="24.9" customHeight="1">
      <c r="A4638" s="20"/>
      <c r="B4638" s="20" t="s">
        <v>5101</v>
      </c>
      <c r="C4638" s="19"/>
      <c r="D4638" s="19" t="s">
        <v>4325</v>
      </c>
      <c r="E4638" s="19">
        <f>VLOOKUP(D4638,'لیست پرسنل'!$B$2:$E$1020,3,FALSE)</f>
        <v>0</v>
      </c>
      <c r="F4638" s="19">
        <f>VLOOKUP(D4638,'لیست پرسنل'!$B$2:$E$1020,4,FALSE)</f>
        <v>0</v>
      </c>
      <c r="G4638" s="127">
        <f>VLOOKUP(D4638,'لیست پرسنل'!$B$2:$F$1020,2,FALSE)</f>
        <v>0</v>
      </c>
      <c r="H4638" s="126" t="s">
        <v>4432</v>
      </c>
      <c r="I4638" s="128" t="s">
        <v>4325</v>
      </c>
      <c r="J4638" s="127" t="s">
        <v>1967</v>
      </c>
      <c r="K4638" s="128" t="s">
        <v>2547</v>
      </c>
      <c r="L4638" s="150"/>
      <c r="M4638" s="127">
        <v>607006</v>
      </c>
      <c r="N4638" s="109"/>
      <c r="O4638" s="20" t="s">
        <v>3306</v>
      </c>
      <c r="P4638" s="20" t="s">
        <v>3834</v>
      </c>
      <c r="Q4638" s="20" t="s">
        <v>5268</v>
      </c>
    </row>
    <row r="4639" spans="1:17" ht="24.9" customHeight="1">
      <c r="A4639" s="20"/>
      <c r="B4639" s="20" t="s">
        <v>5101</v>
      </c>
      <c r="C4639" s="19"/>
      <c r="D4639" s="19" t="s">
        <v>4325</v>
      </c>
      <c r="E4639" s="19">
        <f>VLOOKUP(D4639,'لیست پرسنل'!$B$2:$E$1020,3,FALSE)</f>
        <v>0</v>
      </c>
      <c r="F4639" s="19">
        <f>VLOOKUP(D4639,'لیست پرسنل'!$B$2:$E$1020,4,FALSE)</f>
        <v>0</v>
      </c>
      <c r="G4639" s="127">
        <f>VLOOKUP(D4639,'لیست پرسنل'!$B$2:$F$1020,2,FALSE)</f>
        <v>0</v>
      </c>
      <c r="H4639" s="126" t="s">
        <v>4432</v>
      </c>
      <c r="I4639" s="128" t="s">
        <v>4325</v>
      </c>
      <c r="J4639" s="127" t="s">
        <v>1967</v>
      </c>
      <c r="K4639" s="128" t="s">
        <v>2547</v>
      </c>
      <c r="L4639" s="150"/>
      <c r="M4639" s="127">
        <v>609392</v>
      </c>
      <c r="N4639" s="109"/>
      <c r="O4639" s="20" t="s">
        <v>3306</v>
      </c>
      <c r="P4639" s="20" t="s">
        <v>3834</v>
      </c>
      <c r="Q4639" s="20" t="s">
        <v>5268</v>
      </c>
    </row>
    <row r="4640" spans="1:17" ht="24.9" customHeight="1">
      <c r="A4640" s="20"/>
      <c r="B4640" s="20" t="s">
        <v>5101</v>
      </c>
      <c r="C4640" s="19"/>
      <c r="D4640" s="19" t="s">
        <v>4325</v>
      </c>
      <c r="E4640" s="19">
        <f>VLOOKUP(D4640,'لیست پرسنل'!$B$2:$E$1020,3,FALSE)</f>
        <v>0</v>
      </c>
      <c r="F4640" s="19">
        <f>VLOOKUP(D4640,'لیست پرسنل'!$B$2:$E$1020,4,FALSE)</f>
        <v>0</v>
      </c>
      <c r="G4640" s="127">
        <f>VLOOKUP(D4640,'لیست پرسنل'!$B$2:$F$1020,2,FALSE)</f>
        <v>0</v>
      </c>
      <c r="H4640" s="126" t="s">
        <v>4432</v>
      </c>
      <c r="I4640" s="128" t="s">
        <v>4325</v>
      </c>
      <c r="J4640" s="127" t="s">
        <v>1967</v>
      </c>
      <c r="K4640" s="128" t="s">
        <v>2547</v>
      </c>
      <c r="L4640" s="150"/>
      <c r="M4640" s="127">
        <v>610370</v>
      </c>
      <c r="N4640" s="109"/>
      <c r="O4640" s="20" t="s">
        <v>3306</v>
      </c>
      <c r="P4640" s="20" t="s">
        <v>3834</v>
      </c>
      <c r="Q4640" s="20" t="s">
        <v>5268</v>
      </c>
    </row>
    <row r="4641" spans="1:17" ht="24.9" customHeight="1">
      <c r="A4641" s="20"/>
      <c r="B4641" s="20" t="s">
        <v>5101</v>
      </c>
      <c r="C4641" s="19"/>
      <c r="D4641" s="19" t="s">
        <v>4325</v>
      </c>
      <c r="E4641" s="19">
        <f>VLOOKUP(D4641,'لیست پرسنل'!$B$2:$E$1020,3,FALSE)</f>
        <v>0</v>
      </c>
      <c r="F4641" s="19">
        <f>VLOOKUP(D4641,'لیست پرسنل'!$B$2:$E$1020,4,FALSE)</f>
        <v>0</v>
      </c>
      <c r="G4641" s="127">
        <f>VLOOKUP(D4641,'لیست پرسنل'!$B$2:$F$1020,2,FALSE)</f>
        <v>0</v>
      </c>
      <c r="H4641" s="126" t="s">
        <v>4432</v>
      </c>
      <c r="I4641" s="128" t="s">
        <v>4325</v>
      </c>
      <c r="J4641" s="127" t="s">
        <v>1967</v>
      </c>
      <c r="K4641" s="128" t="s">
        <v>2547</v>
      </c>
      <c r="L4641" s="150"/>
      <c r="M4641" s="127">
        <v>610500</v>
      </c>
      <c r="N4641" s="109"/>
      <c r="O4641" s="20" t="s">
        <v>3306</v>
      </c>
      <c r="P4641" s="20" t="s">
        <v>3834</v>
      </c>
      <c r="Q4641" s="20" t="s">
        <v>5268</v>
      </c>
    </row>
    <row r="4642" spans="1:17" ht="24.9" customHeight="1">
      <c r="A4642" s="20"/>
      <c r="B4642" s="20" t="s">
        <v>5101</v>
      </c>
      <c r="C4642" s="19"/>
      <c r="D4642" s="19" t="s">
        <v>4325</v>
      </c>
      <c r="E4642" s="19">
        <f>VLOOKUP(D4642,'لیست پرسنل'!$B$2:$E$1020,3,FALSE)</f>
        <v>0</v>
      </c>
      <c r="F4642" s="19">
        <f>VLOOKUP(D4642,'لیست پرسنل'!$B$2:$E$1020,4,FALSE)</f>
        <v>0</v>
      </c>
      <c r="G4642" s="127">
        <f>VLOOKUP(D4642,'لیست پرسنل'!$B$2:$F$1020,2,FALSE)</f>
        <v>0</v>
      </c>
      <c r="H4642" s="126" t="s">
        <v>4432</v>
      </c>
      <c r="I4642" s="128" t="s">
        <v>4325</v>
      </c>
      <c r="J4642" s="127" t="s">
        <v>1967</v>
      </c>
      <c r="K4642" s="128" t="s">
        <v>2547</v>
      </c>
      <c r="L4642" s="150"/>
      <c r="M4642" s="127">
        <v>610632</v>
      </c>
      <c r="N4642" s="109"/>
      <c r="O4642" s="20" t="s">
        <v>3306</v>
      </c>
      <c r="P4642" s="20" t="s">
        <v>3834</v>
      </c>
      <c r="Q4642" s="20" t="s">
        <v>5268</v>
      </c>
    </row>
    <row r="4643" spans="1:17" ht="24.9" customHeight="1">
      <c r="A4643" s="20"/>
      <c r="B4643" s="20" t="s">
        <v>5101</v>
      </c>
      <c r="C4643" s="19"/>
      <c r="D4643" s="19" t="s">
        <v>4325</v>
      </c>
      <c r="E4643" s="19">
        <f>VLOOKUP(D4643,'لیست پرسنل'!$B$2:$E$1020,3,FALSE)</f>
        <v>0</v>
      </c>
      <c r="F4643" s="19">
        <f>VLOOKUP(D4643,'لیست پرسنل'!$B$2:$E$1020,4,FALSE)</f>
        <v>0</v>
      </c>
      <c r="G4643" s="127">
        <f>VLOOKUP(D4643,'لیست پرسنل'!$B$2:$F$1020,2,FALSE)</f>
        <v>0</v>
      </c>
      <c r="H4643" s="126" t="s">
        <v>4432</v>
      </c>
      <c r="I4643" s="128" t="s">
        <v>4325</v>
      </c>
      <c r="J4643" s="127" t="s">
        <v>1967</v>
      </c>
      <c r="K4643" s="128" t="s">
        <v>2682</v>
      </c>
      <c r="L4643" s="150"/>
      <c r="M4643" s="127">
        <v>613764</v>
      </c>
      <c r="N4643" s="109"/>
      <c r="O4643" s="20" t="s">
        <v>3306</v>
      </c>
      <c r="P4643" s="20" t="s">
        <v>3834</v>
      </c>
      <c r="Q4643" s="20" t="s">
        <v>5268</v>
      </c>
    </row>
    <row r="4644" spans="1:17" ht="24.9" customHeight="1">
      <c r="A4644" s="20"/>
      <c r="B4644" s="20" t="s">
        <v>5101</v>
      </c>
      <c r="C4644" s="19"/>
      <c r="D4644" s="19" t="s">
        <v>4325</v>
      </c>
      <c r="E4644" s="19">
        <f>VLOOKUP(D4644,'لیست پرسنل'!$B$2:$E$1020,3,FALSE)</f>
        <v>0</v>
      </c>
      <c r="F4644" s="19">
        <f>VLOOKUP(D4644,'لیست پرسنل'!$B$2:$E$1020,4,FALSE)</f>
        <v>0</v>
      </c>
      <c r="G4644" s="127">
        <f>VLOOKUP(D4644,'لیست پرسنل'!$B$2:$F$1020,2,FALSE)</f>
        <v>0</v>
      </c>
      <c r="H4644" s="126" t="s">
        <v>4432</v>
      </c>
      <c r="I4644" s="128" t="s">
        <v>4325</v>
      </c>
      <c r="J4644" s="127" t="s">
        <v>571</v>
      </c>
      <c r="K4644" s="128" t="s">
        <v>410</v>
      </c>
      <c r="L4644" s="127" t="s">
        <v>3842</v>
      </c>
      <c r="M4644" s="126">
        <v>601680</v>
      </c>
      <c r="N4644" s="109"/>
      <c r="O4644" s="19" t="s">
        <v>1011</v>
      </c>
      <c r="P4644" s="20" t="s">
        <v>3843</v>
      </c>
      <c r="Q4644" s="20"/>
    </row>
    <row r="4645" spans="1:17" ht="24.9" customHeight="1">
      <c r="A4645" s="20"/>
      <c r="B4645" s="20" t="s">
        <v>5101</v>
      </c>
      <c r="C4645" s="19"/>
      <c r="D4645" s="19" t="s">
        <v>4325</v>
      </c>
      <c r="E4645" s="19">
        <f>VLOOKUP(D4645,'لیست پرسنل'!$B$2:$E$1020,3,FALSE)</f>
        <v>0</v>
      </c>
      <c r="F4645" s="19">
        <f>VLOOKUP(D4645,'لیست پرسنل'!$B$2:$E$1020,4,FALSE)</f>
        <v>0</v>
      </c>
      <c r="G4645" s="127">
        <f>VLOOKUP(D4645,'لیست پرسنل'!$B$2:$F$1020,2,FALSE)</f>
        <v>0</v>
      </c>
      <c r="H4645" s="126" t="s">
        <v>4432</v>
      </c>
      <c r="I4645" s="128" t="s">
        <v>4325</v>
      </c>
      <c r="J4645" s="127" t="s">
        <v>571</v>
      </c>
      <c r="K4645" s="128" t="s">
        <v>410</v>
      </c>
      <c r="L4645" s="127" t="s">
        <v>3842</v>
      </c>
      <c r="M4645" s="126">
        <v>602411</v>
      </c>
      <c r="N4645" s="109"/>
      <c r="O4645" s="19" t="s">
        <v>1011</v>
      </c>
      <c r="P4645" s="20" t="s">
        <v>3843</v>
      </c>
      <c r="Q4645" s="20"/>
    </row>
    <row r="4646" spans="1:17" ht="24.9" customHeight="1">
      <c r="A4646" s="20"/>
      <c r="B4646" s="20" t="s">
        <v>5101</v>
      </c>
      <c r="C4646" s="19"/>
      <c r="D4646" s="19" t="s">
        <v>4325</v>
      </c>
      <c r="E4646" s="19">
        <f>VLOOKUP(D4646,'لیست پرسنل'!$B$2:$E$1020,3,FALSE)</f>
        <v>0</v>
      </c>
      <c r="F4646" s="19">
        <f>VLOOKUP(D4646,'لیست پرسنل'!$B$2:$E$1020,4,FALSE)</f>
        <v>0</v>
      </c>
      <c r="G4646" s="127">
        <f>VLOOKUP(D4646,'لیست پرسنل'!$B$2:$F$1020,2,FALSE)</f>
        <v>0</v>
      </c>
      <c r="H4646" s="126" t="s">
        <v>4432</v>
      </c>
      <c r="I4646" s="128" t="s">
        <v>4325</v>
      </c>
      <c r="J4646" s="127" t="s">
        <v>571</v>
      </c>
      <c r="K4646" s="128" t="s">
        <v>410</v>
      </c>
      <c r="L4646" s="127" t="s">
        <v>3842</v>
      </c>
      <c r="M4646" s="126">
        <v>603554</v>
      </c>
      <c r="N4646" s="109"/>
      <c r="O4646" s="19" t="s">
        <v>1011</v>
      </c>
      <c r="P4646" s="20" t="s">
        <v>3843</v>
      </c>
      <c r="Q4646" s="20"/>
    </row>
    <row r="4647" spans="1:17" ht="24.9" customHeight="1">
      <c r="A4647" s="20"/>
      <c r="B4647" s="20" t="s">
        <v>5101</v>
      </c>
      <c r="C4647" s="19"/>
      <c r="D4647" s="19" t="s">
        <v>4325</v>
      </c>
      <c r="E4647" s="19">
        <f>VLOOKUP(D4647,'لیست پرسنل'!$B$2:$E$1020,3,FALSE)</f>
        <v>0</v>
      </c>
      <c r="F4647" s="19">
        <f>VLOOKUP(D4647,'لیست پرسنل'!$B$2:$E$1020,4,FALSE)</f>
        <v>0</v>
      </c>
      <c r="G4647" s="127">
        <f>VLOOKUP(D4647,'لیست پرسنل'!$B$2:$F$1020,2,FALSE)</f>
        <v>0</v>
      </c>
      <c r="H4647" s="126" t="s">
        <v>4432</v>
      </c>
      <c r="I4647" s="128" t="s">
        <v>4325</v>
      </c>
      <c r="J4647" s="127" t="s">
        <v>571</v>
      </c>
      <c r="K4647" s="128" t="s">
        <v>410</v>
      </c>
      <c r="L4647" s="127" t="s">
        <v>3842</v>
      </c>
      <c r="M4647" s="126">
        <v>604629</v>
      </c>
      <c r="N4647" s="109"/>
      <c r="O4647" s="19" t="s">
        <v>1011</v>
      </c>
      <c r="P4647" s="20" t="s">
        <v>3843</v>
      </c>
      <c r="Q4647" s="20"/>
    </row>
    <row r="4648" spans="1:17" ht="24.9" customHeight="1">
      <c r="A4648" s="20"/>
      <c r="B4648" s="20" t="s">
        <v>5101</v>
      </c>
      <c r="C4648" s="19"/>
      <c r="D4648" s="19" t="s">
        <v>4325</v>
      </c>
      <c r="E4648" s="19">
        <f>VLOOKUP(D4648,'لیست پرسنل'!$B$2:$E$1020,3,FALSE)</f>
        <v>0</v>
      </c>
      <c r="F4648" s="19">
        <f>VLOOKUP(D4648,'لیست پرسنل'!$B$2:$E$1020,4,FALSE)</f>
        <v>0</v>
      </c>
      <c r="G4648" s="127">
        <f>VLOOKUP(D4648,'لیست پرسنل'!$B$2:$F$1020,2,FALSE)</f>
        <v>0</v>
      </c>
      <c r="H4648" s="126" t="s">
        <v>4432</v>
      </c>
      <c r="I4648" s="128" t="s">
        <v>4325</v>
      </c>
      <c r="J4648" s="127" t="s">
        <v>571</v>
      </c>
      <c r="K4648" s="128" t="s">
        <v>410</v>
      </c>
      <c r="L4648" s="127" t="s">
        <v>3842</v>
      </c>
      <c r="M4648" s="126">
        <v>605771</v>
      </c>
      <c r="N4648" s="109"/>
      <c r="O4648" s="19" t="s">
        <v>1011</v>
      </c>
      <c r="P4648" s="20" t="s">
        <v>3843</v>
      </c>
      <c r="Q4648" s="20"/>
    </row>
    <row r="4649" spans="1:17" ht="24.9" customHeight="1">
      <c r="A4649" s="20"/>
      <c r="B4649" s="20" t="s">
        <v>5101</v>
      </c>
      <c r="C4649" s="19"/>
      <c r="D4649" s="19" t="s">
        <v>4325</v>
      </c>
      <c r="E4649" s="19">
        <f>VLOOKUP(D4649,'لیست پرسنل'!$B$2:$E$1020,3,FALSE)</f>
        <v>0</v>
      </c>
      <c r="F4649" s="19">
        <f>VLOOKUP(D4649,'لیست پرسنل'!$B$2:$E$1020,4,FALSE)</f>
        <v>0</v>
      </c>
      <c r="G4649" s="127">
        <f>VLOOKUP(D4649,'لیست پرسنل'!$B$2:$F$1020,2,FALSE)</f>
        <v>0</v>
      </c>
      <c r="H4649" s="126" t="s">
        <v>4432</v>
      </c>
      <c r="I4649" s="128" t="s">
        <v>4325</v>
      </c>
      <c r="J4649" s="127" t="s">
        <v>571</v>
      </c>
      <c r="K4649" s="128" t="s">
        <v>410</v>
      </c>
      <c r="L4649" s="127" t="s">
        <v>3842</v>
      </c>
      <c r="M4649" s="134">
        <v>607344</v>
      </c>
      <c r="N4649" s="109"/>
      <c r="O4649" s="19" t="s">
        <v>1011</v>
      </c>
      <c r="P4649" s="20" t="s">
        <v>3843</v>
      </c>
      <c r="Q4649" s="20"/>
    </row>
    <row r="4650" spans="1:17" ht="24.9" customHeight="1">
      <c r="A4650" s="20"/>
      <c r="B4650" s="20" t="s">
        <v>5101</v>
      </c>
      <c r="C4650" s="19"/>
      <c r="D4650" s="19" t="s">
        <v>4325</v>
      </c>
      <c r="E4650" s="19">
        <f>VLOOKUP(D4650,'لیست پرسنل'!$B$2:$E$1020,3,FALSE)</f>
        <v>0</v>
      </c>
      <c r="F4650" s="19">
        <f>VLOOKUP(D4650,'لیست پرسنل'!$B$2:$E$1020,4,FALSE)</f>
        <v>0</v>
      </c>
      <c r="G4650" s="127">
        <f>VLOOKUP(D4650,'لیست پرسنل'!$B$2:$F$1020,2,FALSE)</f>
        <v>0</v>
      </c>
      <c r="H4650" s="126" t="s">
        <v>4432</v>
      </c>
      <c r="I4650" s="128" t="s">
        <v>4325</v>
      </c>
      <c r="J4650" s="127" t="s">
        <v>571</v>
      </c>
      <c r="K4650" s="128" t="s">
        <v>410</v>
      </c>
      <c r="L4650" s="127" t="s">
        <v>3842</v>
      </c>
      <c r="M4650" s="134">
        <v>609004</v>
      </c>
      <c r="N4650" s="109"/>
      <c r="O4650" s="19" t="s">
        <v>1011</v>
      </c>
      <c r="P4650" s="20" t="s">
        <v>3843</v>
      </c>
      <c r="Q4650" s="20"/>
    </row>
    <row r="4651" spans="1:17" ht="24.9" customHeight="1">
      <c r="A4651" s="20"/>
      <c r="B4651" s="20" t="s">
        <v>5101</v>
      </c>
      <c r="C4651" s="19"/>
      <c r="D4651" s="19" t="s">
        <v>4325</v>
      </c>
      <c r="E4651" s="19">
        <f>VLOOKUP(D4651,'لیست پرسنل'!$B$2:$E$1020,3,FALSE)</f>
        <v>0</v>
      </c>
      <c r="F4651" s="19">
        <f>VLOOKUP(D4651,'لیست پرسنل'!$B$2:$E$1020,4,FALSE)</f>
        <v>0</v>
      </c>
      <c r="G4651" s="127">
        <f>VLOOKUP(D4651,'لیست پرسنل'!$B$2:$F$1020,2,FALSE)</f>
        <v>0</v>
      </c>
      <c r="H4651" s="126" t="s">
        <v>4432</v>
      </c>
      <c r="I4651" s="128" t="s">
        <v>4325</v>
      </c>
      <c r="J4651" s="127" t="s">
        <v>571</v>
      </c>
      <c r="K4651" s="128" t="s">
        <v>410</v>
      </c>
      <c r="L4651" s="127" t="s">
        <v>3842</v>
      </c>
      <c r="M4651" s="126">
        <v>610543</v>
      </c>
      <c r="N4651" s="109"/>
      <c r="O4651" s="19" t="s">
        <v>1011</v>
      </c>
      <c r="P4651" s="20" t="s">
        <v>3843</v>
      </c>
      <c r="Q4651" s="20"/>
    </row>
    <row r="4652" spans="1:17" ht="24.9" customHeight="1">
      <c r="A4652" s="20"/>
      <c r="B4652" s="20" t="s">
        <v>5101</v>
      </c>
      <c r="C4652" s="20"/>
      <c r="D4652" s="19" t="s">
        <v>4325</v>
      </c>
      <c r="E4652" s="19">
        <f>VLOOKUP(D4652,'لیست پرسنل'!$B$2:$E$1020,3,FALSE)</f>
        <v>0</v>
      </c>
      <c r="F4652" s="19">
        <f>VLOOKUP(D4652,'لیست پرسنل'!$B$2:$E$1020,4,FALSE)</f>
        <v>0</v>
      </c>
      <c r="G4652" s="127">
        <f>VLOOKUP(D4652,'لیست پرسنل'!$B$2:$F$1020,2,FALSE)</f>
        <v>0</v>
      </c>
      <c r="H4652" s="151" t="s">
        <v>3705</v>
      </c>
      <c r="I4652" s="128" t="s">
        <v>4325</v>
      </c>
      <c r="J4652" s="128" t="s">
        <v>5366</v>
      </c>
      <c r="K4652" s="128" t="s">
        <v>2558</v>
      </c>
      <c r="L4652" s="128"/>
      <c r="M4652" s="128">
        <v>606721</v>
      </c>
      <c r="N4652" s="108"/>
      <c r="O4652" s="81" t="s">
        <v>3721</v>
      </c>
      <c r="P4652" s="20"/>
      <c r="Q4652" s="20"/>
    </row>
    <row r="4653" spans="1:17" ht="24.9" customHeight="1">
      <c r="A4653" s="20"/>
      <c r="B4653" s="20" t="s">
        <v>5101</v>
      </c>
      <c r="C4653" s="19"/>
      <c r="D4653" s="19" t="s">
        <v>4325</v>
      </c>
      <c r="E4653" s="19">
        <f>VLOOKUP(D4653,'لیست پرسنل'!$B$2:$E$1020,3,FALSE)</f>
        <v>0</v>
      </c>
      <c r="F4653" s="19">
        <f>VLOOKUP(D4653,'لیست پرسنل'!$B$2:$E$1020,4,FALSE)</f>
        <v>0</v>
      </c>
      <c r="G4653" s="127">
        <f>VLOOKUP(D4653,'لیست پرسنل'!$B$2:$F$1020,2,FALSE)</f>
        <v>0</v>
      </c>
      <c r="H4653" s="128" t="s">
        <v>3705</v>
      </c>
      <c r="I4653" s="127" t="s">
        <v>4325</v>
      </c>
      <c r="J4653" s="128" t="s">
        <v>3938</v>
      </c>
      <c r="K4653" s="128" t="s">
        <v>6687</v>
      </c>
      <c r="L4653" s="128"/>
      <c r="M4653" s="127">
        <v>612103</v>
      </c>
      <c r="N4653" s="108"/>
      <c r="O4653" s="81"/>
      <c r="P4653" s="20" t="s">
        <v>5869</v>
      </c>
      <c r="Q4653" s="20" t="s">
        <v>6728</v>
      </c>
    </row>
    <row r="4654" spans="1:17" ht="24.9" customHeight="1">
      <c r="A4654" s="20"/>
      <c r="B4654" s="20" t="s">
        <v>4636</v>
      </c>
      <c r="C4654" s="20"/>
      <c r="D4654" s="20" t="s">
        <v>4325</v>
      </c>
      <c r="E4654" s="19">
        <f>VLOOKUP(D4654,'لیست پرسنل'!$B$2:$E$1020,3,FALSE)</f>
        <v>0</v>
      </c>
      <c r="F4654" s="19">
        <f>VLOOKUP(D4654,'لیست پرسنل'!$B$2:$E$1020,4,FALSE)</f>
        <v>0</v>
      </c>
      <c r="G4654" s="127">
        <f>VLOOKUP(D4654,'لیست پرسنل'!$B$2:$F$1020,2,FALSE)</f>
        <v>0</v>
      </c>
      <c r="H4654" s="126" t="s">
        <v>3902</v>
      </c>
      <c r="I4654" s="127" t="s">
        <v>4325</v>
      </c>
      <c r="J4654" s="128" t="s">
        <v>996</v>
      </c>
      <c r="K4654" s="128" t="s">
        <v>996</v>
      </c>
      <c r="L4654" s="150"/>
      <c r="M4654" s="128">
        <v>611727</v>
      </c>
      <c r="N4654" s="108"/>
      <c r="O4654" s="20" t="s">
        <v>1058</v>
      </c>
      <c r="P4654" s="20" t="s">
        <v>5869</v>
      </c>
      <c r="Q4654" s="20">
        <v>1403</v>
      </c>
    </row>
    <row r="4655" spans="1:17" ht="24.9" customHeight="1">
      <c r="A4655" s="20"/>
      <c r="B4655" s="20" t="s">
        <v>5101</v>
      </c>
      <c r="C4655" s="20"/>
      <c r="D4655" s="20" t="s">
        <v>4325</v>
      </c>
      <c r="E4655" s="19">
        <f>VLOOKUP(D4655,'لیست پرسنل'!$B$2:$E$1020,3,FALSE)</f>
        <v>0</v>
      </c>
      <c r="F4655" s="19">
        <f>VLOOKUP(D4655,'لیست پرسنل'!$B$2:$E$1020,4,FALSE)</f>
        <v>0</v>
      </c>
      <c r="G4655" s="127">
        <f>VLOOKUP(D4655,'لیست پرسنل'!$B$2:$F$1020,2,FALSE)</f>
        <v>0</v>
      </c>
      <c r="H4655" s="128" t="s">
        <v>3902</v>
      </c>
      <c r="I4655" s="128" t="s">
        <v>4325</v>
      </c>
      <c r="J4655" s="128" t="s">
        <v>1967</v>
      </c>
      <c r="K4655" s="130" t="s">
        <v>2623</v>
      </c>
      <c r="L4655" s="128"/>
      <c r="M4655" s="145">
        <v>601099</v>
      </c>
      <c r="N4655" s="108"/>
      <c r="O4655" s="20"/>
      <c r="P4655" s="20" t="s">
        <v>3834</v>
      </c>
      <c r="Q4655" s="20" t="s">
        <v>7287</v>
      </c>
    </row>
    <row r="4656" spans="1:17" ht="24.9" customHeight="1">
      <c r="A4656" s="20"/>
      <c r="B4656" s="20" t="s">
        <v>5101</v>
      </c>
      <c r="C4656" s="20"/>
      <c r="D4656" s="20" t="s">
        <v>4325</v>
      </c>
      <c r="E4656" s="19">
        <f>VLOOKUP(D4656,'لیست پرسنل'!$B$2:$E$1020,3,FALSE)</f>
        <v>0</v>
      </c>
      <c r="F4656" s="19">
        <f>VLOOKUP(D4656,'لیست پرسنل'!$B$2:$E$1020,4,FALSE)</f>
        <v>0</v>
      </c>
      <c r="G4656" s="127">
        <f>VLOOKUP(D4656,'لیست پرسنل'!$B$2:$F$1020,2,FALSE)</f>
        <v>0</v>
      </c>
      <c r="H4656" s="128" t="s">
        <v>3902</v>
      </c>
      <c r="I4656" s="128" t="s">
        <v>4325</v>
      </c>
      <c r="J4656" s="128" t="s">
        <v>1967</v>
      </c>
      <c r="K4656" s="130" t="s">
        <v>2624</v>
      </c>
      <c r="L4656" s="128"/>
      <c r="M4656" s="145">
        <v>602438</v>
      </c>
      <c r="N4656" s="108"/>
      <c r="O4656" s="20"/>
      <c r="P4656" s="20" t="s">
        <v>3834</v>
      </c>
      <c r="Q4656" s="20" t="s">
        <v>7287</v>
      </c>
    </row>
    <row r="4657" spans="1:17" ht="24.9" customHeight="1">
      <c r="A4657" s="20"/>
      <c r="B4657" s="20" t="s">
        <v>5101</v>
      </c>
      <c r="C4657" s="20"/>
      <c r="D4657" s="20" t="s">
        <v>4325</v>
      </c>
      <c r="E4657" s="19">
        <f>VLOOKUP(D4657,'لیست پرسنل'!$B$2:$E$1020,3,FALSE)</f>
        <v>0</v>
      </c>
      <c r="F4657" s="19">
        <f>VLOOKUP(D4657,'لیست پرسنل'!$B$2:$E$1020,4,FALSE)</f>
        <v>0</v>
      </c>
      <c r="G4657" s="127">
        <f>VLOOKUP(D4657,'لیست پرسنل'!$B$2:$F$1020,2,FALSE)</f>
        <v>0</v>
      </c>
      <c r="H4657" s="128" t="s">
        <v>3902</v>
      </c>
      <c r="I4657" s="128" t="s">
        <v>4325</v>
      </c>
      <c r="J4657" s="128" t="s">
        <v>1967</v>
      </c>
      <c r="K4657" s="130" t="s">
        <v>2624</v>
      </c>
      <c r="L4657" s="128"/>
      <c r="M4657" s="145">
        <v>602439</v>
      </c>
      <c r="N4657" s="108"/>
      <c r="O4657" s="20"/>
      <c r="P4657" s="20" t="s">
        <v>3834</v>
      </c>
      <c r="Q4657" s="20" t="s">
        <v>7287</v>
      </c>
    </row>
    <row r="4658" spans="1:17" ht="24.9" customHeight="1">
      <c r="A4658" s="20"/>
      <c r="B4658" s="20" t="s">
        <v>5101</v>
      </c>
      <c r="C4658" s="20"/>
      <c r="D4658" s="20" t="s">
        <v>4325</v>
      </c>
      <c r="E4658" s="19">
        <f>VLOOKUP(D4658,'لیست پرسنل'!$B$2:$E$1020,3,FALSE)</f>
        <v>0</v>
      </c>
      <c r="F4658" s="19">
        <f>VLOOKUP(D4658,'لیست پرسنل'!$B$2:$E$1020,4,FALSE)</f>
        <v>0</v>
      </c>
      <c r="G4658" s="127">
        <f>VLOOKUP(D4658,'لیست پرسنل'!$B$2:$F$1020,2,FALSE)</f>
        <v>0</v>
      </c>
      <c r="H4658" s="128" t="s">
        <v>3902</v>
      </c>
      <c r="I4658" s="128" t="s">
        <v>4325</v>
      </c>
      <c r="J4658" s="128" t="s">
        <v>1967</v>
      </c>
      <c r="K4658" s="130" t="s">
        <v>5226</v>
      </c>
      <c r="L4658" s="128"/>
      <c r="M4658" s="145">
        <v>607908</v>
      </c>
      <c r="N4658" s="108"/>
      <c r="O4658" s="20"/>
      <c r="P4658" s="20" t="s">
        <v>3834</v>
      </c>
      <c r="Q4658" s="20" t="s">
        <v>7287</v>
      </c>
    </row>
    <row r="4659" spans="1:17" ht="24.9" customHeight="1">
      <c r="A4659" s="20"/>
      <c r="B4659" s="20" t="s">
        <v>5101</v>
      </c>
      <c r="C4659" s="81"/>
      <c r="D4659" s="84" t="s">
        <v>4325</v>
      </c>
      <c r="E4659" s="19">
        <f>VLOOKUP(D4659,'لیست پرسنل'!$B$2:$E$1020,3,FALSE)</f>
        <v>0</v>
      </c>
      <c r="F4659" s="19">
        <f>VLOOKUP(D4659,'لیست پرسنل'!$B$2:$E$1020,4,FALSE)</f>
        <v>0</v>
      </c>
      <c r="G4659" s="127">
        <f>VLOOKUP(D4659,'لیست پرسنل'!$B$2:$F$1020,2,FALSE)</f>
        <v>0</v>
      </c>
      <c r="H4659" s="151" t="s">
        <v>3902</v>
      </c>
      <c r="I4659" s="128" t="s">
        <v>4325</v>
      </c>
      <c r="J4659" s="128" t="s">
        <v>1967</v>
      </c>
      <c r="K4659" s="128" t="s">
        <v>2552</v>
      </c>
      <c r="L4659" s="127"/>
      <c r="M4659" s="145">
        <v>610382</v>
      </c>
      <c r="N4659" s="108"/>
      <c r="O4659" s="96" t="s">
        <v>3907</v>
      </c>
      <c r="P4659" s="20"/>
      <c r="Q4659" s="20"/>
    </row>
    <row r="4660" spans="1:17" ht="24.9" customHeight="1">
      <c r="A4660" s="20"/>
      <c r="B4660" s="20" t="s">
        <v>5101</v>
      </c>
      <c r="C4660" s="20"/>
      <c r="D4660" s="20" t="s">
        <v>4325</v>
      </c>
      <c r="E4660" s="19">
        <f>VLOOKUP(D4660,'لیست پرسنل'!$B$2:$E$1020,3,FALSE)</f>
        <v>0</v>
      </c>
      <c r="F4660" s="19">
        <f>VLOOKUP(D4660,'لیست پرسنل'!$B$2:$E$1020,4,FALSE)</f>
        <v>0</v>
      </c>
      <c r="G4660" s="127">
        <f>VLOOKUP(D4660,'لیست پرسنل'!$B$2:$F$1020,2,FALSE)</f>
        <v>0</v>
      </c>
      <c r="H4660" s="128" t="s">
        <v>3902</v>
      </c>
      <c r="I4660" s="128" t="s">
        <v>4325</v>
      </c>
      <c r="J4660" s="128" t="s">
        <v>1967</v>
      </c>
      <c r="K4660" s="130" t="s">
        <v>2626</v>
      </c>
      <c r="L4660" s="128"/>
      <c r="M4660" s="145">
        <v>612299</v>
      </c>
      <c r="N4660" s="108"/>
      <c r="O4660" s="20"/>
      <c r="P4660" s="20" t="s">
        <v>3834</v>
      </c>
      <c r="Q4660" s="20" t="s">
        <v>7287</v>
      </c>
    </row>
    <row r="4661" spans="1:17" ht="24.9" customHeight="1">
      <c r="A4661" s="20"/>
      <c r="B4661" s="20" t="s">
        <v>5101</v>
      </c>
      <c r="C4661" s="20"/>
      <c r="D4661" s="20" t="s">
        <v>4325</v>
      </c>
      <c r="E4661" s="19">
        <f>VLOOKUP(D4661,'لیست پرسنل'!$B$2:$E$1020,3,FALSE)</f>
        <v>0</v>
      </c>
      <c r="F4661" s="19">
        <f>VLOOKUP(D4661,'لیست پرسنل'!$B$2:$E$1020,4,FALSE)</f>
        <v>0</v>
      </c>
      <c r="G4661" s="127">
        <f>VLOOKUP(D4661,'لیست پرسنل'!$B$2:$F$1020,2,FALSE)</f>
        <v>0</v>
      </c>
      <c r="H4661" s="128" t="s">
        <v>3902</v>
      </c>
      <c r="I4661" s="128" t="s">
        <v>4325</v>
      </c>
      <c r="J4661" s="128" t="s">
        <v>1967</v>
      </c>
      <c r="K4661" s="130" t="s">
        <v>2626</v>
      </c>
      <c r="L4661" s="128"/>
      <c r="M4661" s="145">
        <v>612300</v>
      </c>
      <c r="N4661" s="108"/>
      <c r="O4661" s="20"/>
      <c r="P4661" s="20" t="s">
        <v>3834</v>
      </c>
      <c r="Q4661" s="20" t="s">
        <v>7287</v>
      </c>
    </row>
    <row r="4662" spans="1:17" ht="24.9" customHeight="1">
      <c r="A4662" s="20"/>
      <c r="B4662" s="20" t="s">
        <v>5101</v>
      </c>
      <c r="C4662" s="20"/>
      <c r="D4662" s="20" t="s">
        <v>4325</v>
      </c>
      <c r="E4662" s="19">
        <f>VLOOKUP(D4662,'لیست پرسنل'!$B$2:$E$1020,3,FALSE)</f>
        <v>0</v>
      </c>
      <c r="F4662" s="19">
        <f>VLOOKUP(D4662,'لیست پرسنل'!$B$2:$E$1020,4,FALSE)</f>
        <v>0</v>
      </c>
      <c r="G4662" s="127">
        <f>VLOOKUP(D4662,'لیست پرسنل'!$B$2:$F$1020,2,FALSE)</f>
        <v>0</v>
      </c>
      <c r="H4662" s="128" t="s">
        <v>3902</v>
      </c>
      <c r="I4662" s="128" t="s">
        <v>4325</v>
      </c>
      <c r="J4662" s="128" t="s">
        <v>1967</v>
      </c>
      <c r="K4662" s="130" t="s">
        <v>2626</v>
      </c>
      <c r="L4662" s="128"/>
      <c r="M4662" s="145">
        <v>612301</v>
      </c>
      <c r="N4662" s="108"/>
      <c r="O4662" s="20"/>
      <c r="P4662" s="20" t="s">
        <v>3834</v>
      </c>
      <c r="Q4662" s="20" t="s">
        <v>7287</v>
      </c>
    </row>
    <row r="4663" spans="1:17" ht="24.9" customHeight="1">
      <c r="A4663" s="20"/>
      <c r="B4663" s="20" t="s">
        <v>5101</v>
      </c>
      <c r="C4663" s="20"/>
      <c r="D4663" s="20" t="s">
        <v>4325</v>
      </c>
      <c r="E4663" s="19">
        <f>VLOOKUP(D4663,'لیست پرسنل'!$B$2:$E$1020,3,FALSE)</f>
        <v>0</v>
      </c>
      <c r="F4663" s="19">
        <f>VLOOKUP(D4663,'لیست پرسنل'!$B$2:$E$1020,4,FALSE)</f>
        <v>0</v>
      </c>
      <c r="G4663" s="127">
        <f>VLOOKUP(D4663,'لیست پرسنل'!$B$2:$F$1020,2,FALSE)</f>
        <v>0</v>
      </c>
      <c r="H4663" s="128" t="s">
        <v>3902</v>
      </c>
      <c r="I4663" s="128" t="s">
        <v>4325</v>
      </c>
      <c r="J4663" s="128" t="s">
        <v>1967</v>
      </c>
      <c r="K4663" s="130" t="s">
        <v>2627</v>
      </c>
      <c r="L4663" s="128"/>
      <c r="M4663" s="145">
        <v>612303</v>
      </c>
      <c r="N4663" s="108"/>
      <c r="O4663" s="20"/>
      <c r="P4663" s="20" t="s">
        <v>3834</v>
      </c>
      <c r="Q4663" s="20" t="s">
        <v>7287</v>
      </c>
    </row>
    <row r="4664" spans="1:17" ht="24.9" customHeight="1">
      <c r="A4664" s="20"/>
      <c r="B4664" s="20" t="s">
        <v>5101</v>
      </c>
      <c r="C4664" s="81"/>
      <c r="D4664" s="84" t="s">
        <v>4325</v>
      </c>
      <c r="E4664" s="19">
        <f>VLOOKUP(D4664,'لیست پرسنل'!$B$2:$E$1020,3,FALSE)</f>
        <v>0</v>
      </c>
      <c r="F4664" s="19">
        <f>VLOOKUP(D4664,'لیست پرسنل'!$B$2:$E$1020,4,FALSE)</f>
        <v>0</v>
      </c>
      <c r="G4664" s="127">
        <f>VLOOKUP(D4664,'لیست پرسنل'!$B$2:$F$1020,2,FALSE)</f>
        <v>0</v>
      </c>
      <c r="H4664" s="151" t="s">
        <v>3902</v>
      </c>
      <c r="I4664" s="128" t="s">
        <v>4325</v>
      </c>
      <c r="J4664" s="128" t="s">
        <v>5366</v>
      </c>
      <c r="K4664" s="128" t="s">
        <v>2621</v>
      </c>
      <c r="L4664" s="127"/>
      <c r="M4664" s="145">
        <v>612328</v>
      </c>
      <c r="N4664" s="108" t="s">
        <v>4600</v>
      </c>
      <c r="O4664" s="28"/>
      <c r="P4664" s="20" t="s">
        <v>4325</v>
      </c>
      <c r="Q4664" s="20" t="s">
        <v>4325</v>
      </c>
    </row>
    <row r="4665" spans="1:17" ht="24.9" customHeight="1">
      <c r="A4665" s="20"/>
      <c r="B4665" s="20" t="s">
        <v>5101</v>
      </c>
      <c r="C4665" s="81"/>
      <c r="D4665" s="84" t="s">
        <v>4325</v>
      </c>
      <c r="E4665" s="19">
        <f>VLOOKUP(D4665,'لیست پرسنل'!$B$2:$E$1020,3,FALSE)</f>
        <v>0</v>
      </c>
      <c r="F4665" s="19">
        <f>VLOOKUP(D4665,'لیست پرسنل'!$B$2:$E$1020,4,FALSE)</f>
        <v>0</v>
      </c>
      <c r="G4665" s="127">
        <f>VLOOKUP(D4665,'لیست پرسنل'!$B$2:$F$1020,2,FALSE)</f>
        <v>0</v>
      </c>
      <c r="H4665" s="151" t="s">
        <v>3902</v>
      </c>
      <c r="I4665" s="128" t="s">
        <v>4325</v>
      </c>
      <c r="J4665" s="128" t="s">
        <v>5366</v>
      </c>
      <c r="K4665" s="128" t="s">
        <v>2622</v>
      </c>
      <c r="L4665" s="130"/>
      <c r="M4665" s="130">
        <v>612393</v>
      </c>
      <c r="N4665" s="108"/>
      <c r="O4665" s="96" t="s">
        <v>3907</v>
      </c>
      <c r="P4665" s="20"/>
      <c r="Q4665" s="20"/>
    </row>
    <row r="4666" spans="1:17" ht="24.9" customHeight="1">
      <c r="A4666" s="20"/>
      <c r="B4666" s="20" t="s">
        <v>5101</v>
      </c>
      <c r="C4666" s="81"/>
      <c r="D4666" s="84" t="s">
        <v>4325</v>
      </c>
      <c r="E4666" s="19">
        <f>VLOOKUP(D4666,'لیست پرسنل'!$B$2:$E$1020,3,FALSE)</f>
        <v>0</v>
      </c>
      <c r="F4666" s="19">
        <f>VLOOKUP(D4666,'لیست پرسنل'!$B$2:$E$1020,4,FALSE)</f>
        <v>0</v>
      </c>
      <c r="G4666" s="127">
        <f>VLOOKUP(D4666,'لیست پرسنل'!$B$2:$F$1020,2,FALSE)</f>
        <v>0</v>
      </c>
      <c r="H4666" s="151" t="s">
        <v>3902</v>
      </c>
      <c r="I4666" s="128" t="s">
        <v>4325</v>
      </c>
      <c r="J4666" s="128" t="s">
        <v>5366</v>
      </c>
      <c r="K4666" s="128" t="s">
        <v>2622</v>
      </c>
      <c r="L4666" s="127"/>
      <c r="M4666" s="145">
        <v>612404</v>
      </c>
      <c r="N4666" s="108"/>
      <c r="O4666" s="96" t="s">
        <v>3907</v>
      </c>
      <c r="P4666" s="20"/>
      <c r="Q4666" s="20"/>
    </row>
    <row r="4667" spans="1:17" ht="24.9" customHeight="1">
      <c r="A4667" s="20"/>
      <c r="B4667" s="20" t="s">
        <v>4636</v>
      </c>
      <c r="C4667" s="20"/>
      <c r="D4667" s="20" t="s">
        <v>4325</v>
      </c>
      <c r="E4667" s="19">
        <f>VLOOKUP(D4667,'لیست پرسنل'!$B$2:$E$1020,3,FALSE)</f>
        <v>0</v>
      </c>
      <c r="F4667" s="19">
        <f>VLOOKUP(D4667,'لیست پرسنل'!$B$2:$E$1020,4,FALSE)</f>
        <v>0</v>
      </c>
      <c r="G4667" s="127">
        <f>VLOOKUP(D4667,'لیست پرسنل'!$B$2:$F$1020,2,FALSE)</f>
        <v>0</v>
      </c>
      <c r="H4667" s="126" t="s">
        <v>3902</v>
      </c>
      <c r="I4667" s="128" t="s">
        <v>4325</v>
      </c>
      <c r="J4667" s="128" t="s">
        <v>3480</v>
      </c>
      <c r="K4667" s="128" t="s">
        <v>837</v>
      </c>
      <c r="L4667" s="150"/>
      <c r="M4667" s="127">
        <v>613477</v>
      </c>
      <c r="N4667" s="108"/>
      <c r="O4667" s="20" t="s">
        <v>5128</v>
      </c>
      <c r="P4667" s="20"/>
      <c r="Q4667" s="20"/>
    </row>
    <row r="4668" spans="1:17" ht="24.9" customHeight="1">
      <c r="A4668" s="20"/>
      <c r="B4668" s="20" t="s">
        <v>4636</v>
      </c>
      <c r="C4668" s="20"/>
      <c r="D4668" s="20" t="s">
        <v>4325</v>
      </c>
      <c r="E4668" s="19">
        <f>VLOOKUP(D4668,'لیست پرسنل'!$B$2:$E$1020,3,FALSE)</f>
        <v>0</v>
      </c>
      <c r="F4668" s="19">
        <f>VLOOKUP(D4668,'لیست پرسنل'!$B$2:$E$1020,4,FALSE)</f>
        <v>0</v>
      </c>
      <c r="G4668" s="127">
        <f>VLOOKUP(D4668,'لیست پرسنل'!$B$2:$F$1020,2,FALSE)</f>
        <v>0</v>
      </c>
      <c r="H4668" s="126" t="s">
        <v>3902</v>
      </c>
      <c r="I4668" s="128" t="s">
        <v>4325</v>
      </c>
      <c r="J4668" s="128" t="s">
        <v>3480</v>
      </c>
      <c r="K4668" s="128" t="s">
        <v>837</v>
      </c>
      <c r="L4668" s="150"/>
      <c r="M4668" s="127">
        <v>613478</v>
      </c>
      <c r="N4668" s="108"/>
      <c r="O4668" s="20" t="s">
        <v>5128</v>
      </c>
      <c r="P4668" s="20"/>
      <c r="Q4668" s="20"/>
    </row>
    <row r="4669" spans="1:17" ht="24.9" customHeight="1">
      <c r="A4669" s="20"/>
      <c r="B4669" s="20" t="s">
        <v>5101</v>
      </c>
      <c r="C4669" s="20"/>
      <c r="D4669" s="20" t="s">
        <v>4325</v>
      </c>
      <c r="E4669" s="19">
        <f>VLOOKUP(D4669,'لیست پرسنل'!$B$2:$E$1020,3,FALSE)</f>
        <v>0</v>
      </c>
      <c r="F4669" s="19">
        <f>VLOOKUP(D4669,'لیست پرسنل'!$B$2:$E$1020,4,FALSE)</f>
        <v>0</v>
      </c>
      <c r="G4669" s="127">
        <f>VLOOKUP(D4669,'لیست پرسنل'!$B$2:$F$1020,2,FALSE)</f>
        <v>0</v>
      </c>
      <c r="H4669" s="128" t="s">
        <v>3902</v>
      </c>
      <c r="I4669" s="128" t="s">
        <v>4325</v>
      </c>
      <c r="J4669" s="128" t="s">
        <v>2689</v>
      </c>
      <c r="K4669" s="130" t="s">
        <v>2625</v>
      </c>
      <c r="L4669" s="128"/>
      <c r="M4669" s="145">
        <v>604258</v>
      </c>
      <c r="N4669" s="108"/>
      <c r="O4669" s="20"/>
      <c r="P4669" s="20" t="s">
        <v>5869</v>
      </c>
      <c r="Q4669" s="20"/>
    </row>
    <row r="4670" spans="1:17" ht="24.9" customHeight="1">
      <c r="A4670" s="20"/>
      <c r="B4670" s="20" t="s">
        <v>5101</v>
      </c>
      <c r="C4670" s="20"/>
      <c r="D4670" s="20" t="s">
        <v>4325</v>
      </c>
      <c r="E4670" s="19">
        <f>VLOOKUP(D4670,'لیست پرسنل'!$B$2:$E$1020,3,FALSE)</f>
        <v>0</v>
      </c>
      <c r="F4670" s="19">
        <f>VLOOKUP(D4670,'لیست پرسنل'!$B$2:$E$1020,4,FALSE)</f>
        <v>0</v>
      </c>
      <c r="G4670" s="127">
        <f>VLOOKUP(D4670,'لیست پرسنل'!$B$2:$F$1020,2,FALSE)</f>
        <v>0</v>
      </c>
      <c r="H4670" s="128" t="s">
        <v>2681</v>
      </c>
      <c r="I4670" s="128" t="s">
        <v>4325</v>
      </c>
      <c r="J4670" s="128" t="s">
        <v>1967</v>
      </c>
      <c r="K4670" s="130" t="s">
        <v>2620</v>
      </c>
      <c r="L4670" s="128"/>
      <c r="M4670" s="145">
        <v>609564</v>
      </c>
      <c r="N4670" s="108" t="s">
        <v>4600</v>
      </c>
      <c r="O4670" s="20"/>
      <c r="P4670" s="20" t="s">
        <v>3834</v>
      </c>
      <c r="Q4670" s="20" t="s">
        <v>6925</v>
      </c>
    </row>
    <row r="4671" spans="1:17" ht="24.9" customHeight="1">
      <c r="A4671" s="20"/>
      <c r="B4671" s="20" t="s">
        <v>5101</v>
      </c>
      <c r="C4671" s="20"/>
      <c r="D4671" s="20" t="s">
        <v>4325</v>
      </c>
      <c r="E4671" s="19">
        <f>VLOOKUP(D4671,'لیست پرسنل'!$B$2:$E$1020,3,FALSE)</f>
        <v>0</v>
      </c>
      <c r="F4671" s="19">
        <f>VLOOKUP(D4671,'لیست پرسنل'!$B$2:$E$1020,4,FALSE)</f>
        <v>0</v>
      </c>
      <c r="G4671" s="127">
        <f>VLOOKUP(D4671,'لیست پرسنل'!$B$2:$F$1020,2,FALSE)</f>
        <v>0</v>
      </c>
      <c r="H4671" s="128" t="s">
        <v>2681</v>
      </c>
      <c r="I4671" s="128" t="s">
        <v>4325</v>
      </c>
      <c r="J4671" s="128" t="s">
        <v>2678</v>
      </c>
      <c r="K4671" s="127" t="s">
        <v>4444</v>
      </c>
      <c r="L4671" s="128"/>
      <c r="M4671" s="128">
        <v>614205</v>
      </c>
      <c r="N4671" s="108"/>
      <c r="O4671" s="95"/>
      <c r="P4671" s="20" t="s">
        <v>3834</v>
      </c>
      <c r="Q4671" s="20" t="s">
        <v>6925</v>
      </c>
    </row>
    <row r="4672" spans="1:17" ht="24.9" customHeight="1">
      <c r="A4672" s="20"/>
      <c r="B4672" s="20" t="s">
        <v>5101</v>
      </c>
      <c r="C4672" s="20"/>
      <c r="D4672" s="20" t="s">
        <v>4325</v>
      </c>
      <c r="E4672" s="19">
        <f>VLOOKUP(D4672,'لیست پرسنل'!$B$2:$E$1020,3,FALSE)</f>
        <v>0</v>
      </c>
      <c r="F4672" s="19">
        <f>VLOOKUP(D4672,'لیست پرسنل'!$B$2:$E$1020,4,FALSE)</f>
        <v>0</v>
      </c>
      <c r="G4672" s="127">
        <f>VLOOKUP(D4672,'لیست پرسنل'!$B$2:$F$1020,2,FALSE)</f>
        <v>0</v>
      </c>
      <c r="H4672" s="128" t="s">
        <v>4028</v>
      </c>
      <c r="I4672" s="128" t="s">
        <v>4325</v>
      </c>
      <c r="J4672" s="128" t="s">
        <v>1967</v>
      </c>
      <c r="K4672" s="128" t="s">
        <v>2718</v>
      </c>
      <c r="L4672" s="128"/>
      <c r="M4672" s="128">
        <v>609429</v>
      </c>
      <c r="N4672" s="108"/>
      <c r="O4672" s="20"/>
      <c r="P4672" s="20" t="s">
        <v>5869</v>
      </c>
      <c r="Q4672" s="20">
        <v>1396</v>
      </c>
    </row>
    <row r="4673" spans="1:17" ht="24.9" customHeight="1">
      <c r="A4673" s="20"/>
      <c r="B4673" s="20" t="s">
        <v>5101</v>
      </c>
      <c r="C4673" s="19"/>
      <c r="D4673" s="20" t="s">
        <v>4325</v>
      </c>
      <c r="E4673" s="19">
        <f>VLOOKUP(D4673,'لیست پرسنل'!$B$2:$E$1020,3,FALSE)</f>
        <v>0</v>
      </c>
      <c r="F4673" s="19">
        <f>VLOOKUP(D4673,'لیست پرسنل'!$B$2:$E$1020,4,FALSE)</f>
        <v>0</v>
      </c>
      <c r="G4673" s="127">
        <f>VLOOKUP(D4673,'لیست پرسنل'!$B$2:$F$1020,2,FALSE)</f>
        <v>0</v>
      </c>
      <c r="H4673" s="128" t="s">
        <v>4028</v>
      </c>
      <c r="I4673" s="128"/>
      <c r="J4673" s="128" t="s">
        <v>3313</v>
      </c>
      <c r="K4673" s="128" t="s">
        <v>7238</v>
      </c>
      <c r="L4673" s="128"/>
      <c r="M4673" s="128">
        <v>605168</v>
      </c>
      <c r="N4673" s="90"/>
      <c r="O4673" s="20" t="s">
        <v>7239</v>
      </c>
      <c r="P4673" s="20" t="s">
        <v>5869</v>
      </c>
      <c r="Q4673" s="20">
        <v>1395</v>
      </c>
    </row>
    <row r="4674" spans="1:17" ht="24.9" customHeight="1">
      <c r="A4674" s="20"/>
      <c r="B4674" s="20" t="s">
        <v>5101</v>
      </c>
      <c r="C4674" s="20"/>
      <c r="D4674" s="20" t="s">
        <v>4325</v>
      </c>
      <c r="E4674" s="19">
        <f>VLOOKUP(D4674,'لیست پرسنل'!$B$2:$E$1020,3,FALSE)</f>
        <v>0</v>
      </c>
      <c r="F4674" s="19">
        <f>VLOOKUP(D4674,'لیست پرسنل'!$B$2:$E$1020,4,FALSE)</f>
        <v>0</v>
      </c>
      <c r="G4674" s="127">
        <f>VLOOKUP(D4674,'لیست پرسنل'!$B$2:$F$1020,2,FALSE)</f>
        <v>0</v>
      </c>
      <c r="H4674" s="165" t="s">
        <v>4311</v>
      </c>
      <c r="I4674" s="128" t="s">
        <v>4325</v>
      </c>
      <c r="J4674" s="128" t="s">
        <v>3322</v>
      </c>
      <c r="K4674" s="128" t="s">
        <v>5988</v>
      </c>
      <c r="L4674" s="128" t="s">
        <v>5989</v>
      </c>
      <c r="M4674" s="128" t="s">
        <v>291</v>
      </c>
      <c r="N4674" s="108"/>
      <c r="O4674" s="20" t="s">
        <v>4007</v>
      </c>
      <c r="P4674" s="20" t="s">
        <v>5869</v>
      </c>
      <c r="Q4674" s="20"/>
    </row>
    <row r="4675" spans="1:17" ht="24.9" customHeight="1">
      <c r="A4675" s="20"/>
      <c r="B4675" s="20" t="s">
        <v>5101</v>
      </c>
      <c r="C4675" s="20"/>
      <c r="D4675" s="20" t="s">
        <v>4325</v>
      </c>
      <c r="E4675" s="19">
        <f>VLOOKUP(D4675,'لیست پرسنل'!$B$2:$E$1020,3,FALSE)</f>
        <v>0</v>
      </c>
      <c r="F4675" s="19">
        <f>VLOOKUP(D4675,'لیست پرسنل'!$B$2:$E$1020,4,FALSE)</f>
        <v>0</v>
      </c>
      <c r="G4675" s="127">
        <f>VLOOKUP(D4675,'لیست پرسنل'!$B$2:$F$1020,2,FALSE)</f>
        <v>0</v>
      </c>
      <c r="H4675" s="165" t="s">
        <v>4311</v>
      </c>
      <c r="I4675" s="128" t="s">
        <v>4325</v>
      </c>
      <c r="J4675" s="128" t="s">
        <v>3480</v>
      </c>
      <c r="K4675" s="128" t="s">
        <v>4002</v>
      </c>
      <c r="L4675" s="128" t="s">
        <v>5868</v>
      </c>
      <c r="M4675" s="126">
        <v>629478</v>
      </c>
      <c r="N4675" s="108"/>
      <c r="O4675" s="20" t="s">
        <v>4007</v>
      </c>
      <c r="P4675" s="20" t="s">
        <v>5869</v>
      </c>
      <c r="Q4675" s="20"/>
    </row>
    <row r="4676" spans="1:17" ht="24.9" customHeight="1">
      <c r="A4676" s="20"/>
      <c r="B4676" s="20" t="s">
        <v>5101</v>
      </c>
      <c r="C4676" s="20"/>
      <c r="D4676" s="20" t="s">
        <v>4325</v>
      </c>
      <c r="E4676" s="19">
        <f>VLOOKUP(D4676,'لیست پرسنل'!$B$2:$E$1020,3,FALSE)</f>
        <v>0</v>
      </c>
      <c r="F4676" s="19">
        <f>VLOOKUP(D4676,'لیست پرسنل'!$B$2:$E$1020,4,FALSE)</f>
        <v>0</v>
      </c>
      <c r="G4676" s="127">
        <f>VLOOKUP(D4676,'لیست پرسنل'!$B$2:$F$1020,2,FALSE)</f>
        <v>0</v>
      </c>
      <c r="H4676" s="165" t="s">
        <v>4311</v>
      </c>
      <c r="I4676" s="128" t="s">
        <v>4325</v>
      </c>
      <c r="J4676" s="128" t="s">
        <v>3480</v>
      </c>
      <c r="K4676" s="128" t="s">
        <v>4002</v>
      </c>
      <c r="L4676" s="128" t="s">
        <v>5868</v>
      </c>
      <c r="M4676" s="126">
        <v>629479</v>
      </c>
      <c r="N4676" s="108"/>
      <c r="O4676" s="20" t="s">
        <v>4007</v>
      </c>
      <c r="P4676" s="20" t="s">
        <v>5869</v>
      </c>
      <c r="Q4676" s="20"/>
    </row>
    <row r="4677" spans="1:17" ht="24.9" customHeight="1">
      <c r="A4677" s="20"/>
      <c r="B4677" s="20" t="s">
        <v>5101</v>
      </c>
      <c r="C4677" s="20"/>
      <c r="D4677" s="20" t="s">
        <v>4325</v>
      </c>
      <c r="E4677" s="19">
        <f>VLOOKUP(D4677,'لیست پرسنل'!$B$2:$E$1020,3,FALSE)</f>
        <v>0</v>
      </c>
      <c r="F4677" s="19">
        <f>VLOOKUP(D4677,'لیست پرسنل'!$B$2:$E$1020,4,FALSE)</f>
        <v>0</v>
      </c>
      <c r="G4677" s="127">
        <f>VLOOKUP(D4677,'لیست پرسنل'!$B$2:$F$1020,2,FALSE)</f>
        <v>0</v>
      </c>
      <c r="H4677" s="165" t="s">
        <v>4311</v>
      </c>
      <c r="I4677" s="128" t="s">
        <v>4325</v>
      </c>
      <c r="J4677" s="128" t="s">
        <v>3480</v>
      </c>
      <c r="K4677" s="128" t="s">
        <v>4002</v>
      </c>
      <c r="L4677" s="128" t="s">
        <v>5868</v>
      </c>
      <c r="M4677" s="126">
        <v>629480</v>
      </c>
      <c r="N4677" s="108"/>
      <c r="O4677" s="20" t="s">
        <v>4007</v>
      </c>
      <c r="P4677" s="20" t="s">
        <v>5869</v>
      </c>
      <c r="Q4677" s="20"/>
    </row>
    <row r="4678" spans="1:17" ht="24.9" customHeight="1">
      <c r="A4678" s="20"/>
      <c r="B4678" s="20" t="s">
        <v>5101</v>
      </c>
      <c r="C4678" s="20"/>
      <c r="D4678" s="20" t="s">
        <v>4325</v>
      </c>
      <c r="E4678" s="19">
        <f>VLOOKUP(D4678,'لیست پرسنل'!$B$2:$E$1020,3,FALSE)</f>
        <v>0</v>
      </c>
      <c r="F4678" s="19">
        <f>VLOOKUP(D4678,'لیست پرسنل'!$B$2:$E$1020,4,FALSE)</f>
        <v>0</v>
      </c>
      <c r="G4678" s="127">
        <f>VLOOKUP(D4678,'لیست پرسنل'!$B$2:$F$1020,2,FALSE)</f>
        <v>0</v>
      </c>
      <c r="H4678" s="165" t="s">
        <v>4311</v>
      </c>
      <c r="I4678" s="128" t="s">
        <v>4325</v>
      </c>
      <c r="J4678" s="128" t="s">
        <v>3480</v>
      </c>
      <c r="K4678" s="128" t="s">
        <v>4002</v>
      </c>
      <c r="L4678" s="128" t="s">
        <v>5868</v>
      </c>
      <c r="M4678" s="126">
        <v>629481</v>
      </c>
      <c r="N4678" s="108"/>
      <c r="O4678" s="20" t="s">
        <v>4007</v>
      </c>
      <c r="P4678" s="20" t="s">
        <v>5869</v>
      </c>
      <c r="Q4678" s="20"/>
    </row>
    <row r="4679" spans="1:17" ht="24.9" customHeight="1">
      <c r="A4679" s="20"/>
      <c r="B4679" s="20" t="s">
        <v>5101</v>
      </c>
      <c r="C4679" s="20"/>
      <c r="D4679" s="20" t="s">
        <v>4325</v>
      </c>
      <c r="E4679" s="19">
        <f>VLOOKUP(D4679,'لیست پرسنل'!$B$2:$E$1020,3,FALSE)</f>
        <v>0</v>
      </c>
      <c r="F4679" s="19">
        <f>VLOOKUP(D4679,'لیست پرسنل'!$B$2:$E$1020,4,FALSE)</f>
        <v>0</v>
      </c>
      <c r="G4679" s="127">
        <f>VLOOKUP(D4679,'لیست پرسنل'!$B$2:$F$1020,2,FALSE)</f>
        <v>0</v>
      </c>
      <c r="H4679" s="165" t="s">
        <v>4311</v>
      </c>
      <c r="I4679" s="128" t="s">
        <v>4325</v>
      </c>
      <c r="J4679" s="128" t="s">
        <v>3480</v>
      </c>
      <c r="K4679" s="128" t="s">
        <v>4002</v>
      </c>
      <c r="L4679" s="128" t="s">
        <v>5868</v>
      </c>
      <c r="M4679" s="126">
        <v>629482</v>
      </c>
      <c r="N4679" s="108"/>
      <c r="O4679" s="20" t="s">
        <v>4007</v>
      </c>
      <c r="P4679" s="20" t="s">
        <v>5869</v>
      </c>
      <c r="Q4679" s="20"/>
    </row>
    <row r="4680" spans="1:17" ht="24.9" customHeight="1">
      <c r="A4680" s="20"/>
      <c r="B4680" s="20" t="s">
        <v>5101</v>
      </c>
      <c r="C4680" s="20"/>
      <c r="D4680" s="20" t="s">
        <v>4325</v>
      </c>
      <c r="E4680" s="19">
        <f>VLOOKUP(D4680,'لیست پرسنل'!$B$2:$E$1020,3,FALSE)</f>
        <v>0</v>
      </c>
      <c r="F4680" s="19">
        <f>VLOOKUP(D4680,'لیست پرسنل'!$B$2:$E$1020,4,FALSE)</f>
        <v>0</v>
      </c>
      <c r="G4680" s="127">
        <f>VLOOKUP(D4680,'لیست پرسنل'!$B$2:$F$1020,2,FALSE)</f>
        <v>0</v>
      </c>
      <c r="H4680" s="165" t="s">
        <v>4311</v>
      </c>
      <c r="I4680" s="128" t="s">
        <v>4325</v>
      </c>
      <c r="J4680" s="128" t="s">
        <v>3480</v>
      </c>
      <c r="K4680" s="128" t="s">
        <v>4002</v>
      </c>
      <c r="L4680" s="128" t="s">
        <v>5868</v>
      </c>
      <c r="M4680" s="126">
        <v>629483</v>
      </c>
      <c r="N4680" s="108"/>
      <c r="O4680" s="20" t="s">
        <v>4007</v>
      </c>
      <c r="P4680" s="20" t="s">
        <v>5869</v>
      </c>
      <c r="Q4680" s="20"/>
    </row>
    <row r="4681" spans="1:17" ht="24.9" customHeight="1">
      <c r="A4681" s="20"/>
      <c r="B4681" s="20" t="s">
        <v>5101</v>
      </c>
      <c r="C4681" s="20"/>
      <c r="D4681" s="20" t="s">
        <v>4325</v>
      </c>
      <c r="E4681" s="19">
        <f>VLOOKUP(D4681,'لیست پرسنل'!$B$2:$E$1020,3,FALSE)</f>
        <v>0</v>
      </c>
      <c r="F4681" s="19">
        <f>VLOOKUP(D4681,'لیست پرسنل'!$B$2:$E$1020,4,FALSE)</f>
        <v>0</v>
      </c>
      <c r="G4681" s="127">
        <f>VLOOKUP(D4681,'لیست پرسنل'!$B$2:$F$1020,2,FALSE)</f>
        <v>0</v>
      </c>
      <c r="H4681" s="165" t="s">
        <v>4311</v>
      </c>
      <c r="I4681" s="128" t="s">
        <v>4325</v>
      </c>
      <c r="J4681" s="128" t="s">
        <v>3480</v>
      </c>
      <c r="K4681" s="128" t="s">
        <v>4002</v>
      </c>
      <c r="L4681" s="128" t="s">
        <v>5868</v>
      </c>
      <c r="M4681" s="126">
        <v>629485</v>
      </c>
      <c r="N4681" s="108"/>
      <c r="O4681" s="20" t="s">
        <v>4007</v>
      </c>
      <c r="P4681" s="20" t="s">
        <v>5869</v>
      </c>
      <c r="Q4681" s="20"/>
    </row>
    <row r="4682" spans="1:17" ht="24.9" customHeight="1">
      <c r="A4682" s="20"/>
      <c r="B4682" s="20" t="s">
        <v>5101</v>
      </c>
      <c r="C4682" s="20"/>
      <c r="D4682" s="20" t="s">
        <v>4325</v>
      </c>
      <c r="E4682" s="19">
        <f>VLOOKUP(D4682,'لیست پرسنل'!$B$2:$E$1020,3,FALSE)</f>
        <v>0</v>
      </c>
      <c r="F4682" s="19">
        <f>VLOOKUP(D4682,'لیست پرسنل'!$B$2:$E$1020,4,FALSE)</f>
        <v>0</v>
      </c>
      <c r="G4682" s="127">
        <f>VLOOKUP(D4682,'لیست پرسنل'!$B$2:$F$1020,2,FALSE)</f>
        <v>0</v>
      </c>
      <c r="H4682" s="165" t="s">
        <v>4311</v>
      </c>
      <c r="I4682" s="128" t="s">
        <v>4325</v>
      </c>
      <c r="J4682" s="128" t="s">
        <v>3480</v>
      </c>
      <c r="K4682" s="128" t="s">
        <v>4002</v>
      </c>
      <c r="L4682" s="128" t="s">
        <v>5868</v>
      </c>
      <c r="M4682" s="126">
        <v>629486</v>
      </c>
      <c r="N4682" s="108"/>
      <c r="O4682" s="20" t="s">
        <v>4007</v>
      </c>
      <c r="P4682" s="20" t="s">
        <v>5869</v>
      </c>
      <c r="Q4682" s="20"/>
    </row>
    <row r="4683" spans="1:17" ht="24.9" customHeight="1">
      <c r="A4683" s="20"/>
      <c r="B4683" s="20" t="s">
        <v>5101</v>
      </c>
      <c r="C4683" s="20"/>
      <c r="D4683" s="20" t="s">
        <v>4325</v>
      </c>
      <c r="E4683" s="19">
        <f>VLOOKUP(D4683,'لیست پرسنل'!$B$2:$E$1020,3,FALSE)</f>
        <v>0</v>
      </c>
      <c r="F4683" s="19">
        <f>VLOOKUP(D4683,'لیست پرسنل'!$B$2:$E$1020,4,FALSE)</f>
        <v>0</v>
      </c>
      <c r="G4683" s="127">
        <f>VLOOKUP(D4683,'لیست پرسنل'!$B$2:$F$1020,2,FALSE)</f>
        <v>0</v>
      </c>
      <c r="H4683" s="165" t="s">
        <v>4311</v>
      </c>
      <c r="I4683" s="128" t="s">
        <v>4325</v>
      </c>
      <c r="J4683" s="128" t="s">
        <v>3480</v>
      </c>
      <c r="K4683" s="128" t="s">
        <v>4002</v>
      </c>
      <c r="L4683" s="128" t="s">
        <v>5868</v>
      </c>
      <c r="M4683" s="126">
        <v>629487</v>
      </c>
      <c r="N4683" s="108"/>
      <c r="O4683" s="20" t="s">
        <v>4007</v>
      </c>
      <c r="P4683" s="20" t="s">
        <v>5869</v>
      </c>
      <c r="Q4683" s="20"/>
    </row>
    <row r="4684" spans="1:17" ht="24.9" customHeight="1">
      <c r="A4684" s="20"/>
      <c r="B4684" s="20" t="s">
        <v>5101</v>
      </c>
      <c r="C4684" s="20"/>
      <c r="D4684" s="20" t="s">
        <v>4325</v>
      </c>
      <c r="E4684" s="19">
        <f>VLOOKUP(D4684,'لیست پرسنل'!$B$2:$E$1020,3,FALSE)</f>
        <v>0</v>
      </c>
      <c r="F4684" s="19">
        <f>VLOOKUP(D4684,'لیست پرسنل'!$B$2:$E$1020,4,FALSE)</f>
        <v>0</v>
      </c>
      <c r="G4684" s="127">
        <f>VLOOKUP(D4684,'لیست پرسنل'!$B$2:$F$1020,2,FALSE)</f>
        <v>0</v>
      </c>
      <c r="H4684" s="165" t="s">
        <v>4311</v>
      </c>
      <c r="I4684" s="128" t="s">
        <v>4325</v>
      </c>
      <c r="J4684" s="128" t="s">
        <v>3480</v>
      </c>
      <c r="K4684" s="128" t="s">
        <v>4002</v>
      </c>
      <c r="L4684" s="128" t="s">
        <v>5868</v>
      </c>
      <c r="M4684" s="126">
        <v>629488</v>
      </c>
      <c r="N4684" s="108"/>
      <c r="O4684" s="20" t="s">
        <v>4007</v>
      </c>
      <c r="P4684" s="20" t="s">
        <v>5869</v>
      </c>
      <c r="Q4684" s="20"/>
    </row>
    <row r="4685" spans="1:17" ht="24.9" customHeight="1">
      <c r="A4685" s="20"/>
      <c r="B4685" s="20" t="s">
        <v>5101</v>
      </c>
      <c r="C4685" s="20"/>
      <c r="D4685" s="20" t="s">
        <v>4325</v>
      </c>
      <c r="E4685" s="19">
        <f>VLOOKUP(D4685,'لیست پرسنل'!$B$2:$E$1020,3,FALSE)</f>
        <v>0</v>
      </c>
      <c r="F4685" s="19">
        <f>VLOOKUP(D4685,'لیست پرسنل'!$B$2:$E$1020,4,FALSE)</f>
        <v>0</v>
      </c>
      <c r="G4685" s="127">
        <f>VLOOKUP(D4685,'لیست پرسنل'!$B$2:$F$1020,2,FALSE)</f>
        <v>0</v>
      </c>
      <c r="H4685" s="165" t="s">
        <v>4311</v>
      </c>
      <c r="I4685" s="128" t="s">
        <v>4325</v>
      </c>
      <c r="J4685" s="128" t="s">
        <v>3480</v>
      </c>
      <c r="K4685" s="128" t="s">
        <v>4002</v>
      </c>
      <c r="L4685" s="128" t="s">
        <v>5868</v>
      </c>
      <c r="M4685" s="126">
        <v>629489</v>
      </c>
      <c r="N4685" s="108"/>
      <c r="O4685" s="20" t="s">
        <v>4007</v>
      </c>
      <c r="P4685" s="20" t="s">
        <v>5869</v>
      </c>
      <c r="Q4685" s="20"/>
    </row>
    <row r="4686" spans="1:17" ht="24.9" customHeight="1">
      <c r="A4686" s="20"/>
      <c r="B4686" s="20" t="s">
        <v>5101</v>
      </c>
      <c r="C4686" s="20"/>
      <c r="D4686" s="20" t="s">
        <v>4325</v>
      </c>
      <c r="E4686" s="19">
        <f>VLOOKUP(D4686,'لیست پرسنل'!$B$2:$E$1020,3,FALSE)</f>
        <v>0</v>
      </c>
      <c r="F4686" s="19">
        <f>VLOOKUP(D4686,'لیست پرسنل'!$B$2:$E$1020,4,FALSE)</f>
        <v>0</v>
      </c>
      <c r="G4686" s="127">
        <f>VLOOKUP(D4686,'لیست پرسنل'!$B$2:$F$1020,2,FALSE)</f>
        <v>0</v>
      </c>
      <c r="H4686" s="165" t="s">
        <v>4311</v>
      </c>
      <c r="I4686" s="128" t="s">
        <v>4325</v>
      </c>
      <c r="J4686" s="128" t="s">
        <v>3481</v>
      </c>
      <c r="K4686" s="128" t="s">
        <v>4000</v>
      </c>
      <c r="L4686" s="128" t="s">
        <v>5868</v>
      </c>
      <c r="M4686" s="126">
        <v>629490</v>
      </c>
      <c r="N4686" s="108"/>
      <c r="O4686" s="20" t="s">
        <v>4007</v>
      </c>
      <c r="P4686" s="20" t="s">
        <v>5869</v>
      </c>
      <c r="Q4686" s="20"/>
    </row>
    <row r="4687" spans="1:17" ht="24.9" customHeight="1">
      <c r="A4687" s="20"/>
      <c r="B4687" s="20" t="s">
        <v>5101</v>
      </c>
      <c r="C4687" s="20"/>
      <c r="D4687" s="20" t="s">
        <v>4325</v>
      </c>
      <c r="E4687" s="19">
        <f>VLOOKUP(D4687,'لیست پرسنل'!$B$2:$E$1020,3,FALSE)</f>
        <v>0</v>
      </c>
      <c r="F4687" s="19">
        <f>VLOOKUP(D4687,'لیست پرسنل'!$B$2:$E$1020,4,FALSE)</f>
        <v>0</v>
      </c>
      <c r="G4687" s="127">
        <f>VLOOKUP(D4687,'لیست پرسنل'!$B$2:$F$1020,2,FALSE)</f>
        <v>0</v>
      </c>
      <c r="H4687" s="165" t="s">
        <v>4311</v>
      </c>
      <c r="I4687" s="128" t="s">
        <v>4325</v>
      </c>
      <c r="J4687" s="128" t="s">
        <v>3481</v>
      </c>
      <c r="K4687" s="128" t="s">
        <v>4000</v>
      </c>
      <c r="L4687" s="128" t="s">
        <v>5868</v>
      </c>
      <c r="M4687" s="126">
        <v>629491</v>
      </c>
      <c r="N4687" s="108"/>
      <c r="O4687" s="20" t="s">
        <v>4007</v>
      </c>
      <c r="P4687" s="20" t="s">
        <v>5869</v>
      </c>
      <c r="Q4687" s="20"/>
    </row>
    <row r="4688" spans="1:17" ht="24.9" customHeight="1">
      <c r="A4688" s="20"/>
      <c r="B4688" s="20" t="s">
        <v>5101</v>
      </c>
      <c r="C4688" s="20"/>
      <c r="D4688" s="20" t="s">
        <v>4325</v>
      </c>
      <c r="E4688" s="19">
        <f>VLOOKUP(D4688,'لیست پرسنل'!$B$2:$E$1020,3,FALSE)</f>
        <v>0</v>
      </c>
      <c r="F4688" s="19">
        <f>VLOOKUP(D4688,'لیست پرسنل'!$B$2:$E$1020,4,FALSE)</f>
        <v>0</v>
      </c>
      <c r="G4688" s="127">
        <f>VLOOKUP(D4688,'لیست پرسنل'!$B$2:$F$1020,2,FALSE)</f>
        <v>0</v>
      </c>
      <c r="H4688" s="165" t="s">
        <v>4311</v>
      </c>
      <c r="I4688" s="128" t="s">
        <v>4325</v>
      </c>
      <c r="J4688" s="128" t="s">
        <v>3481</v>
      </c>
      <c r="K4688" s="128" t="s">
        <v>4000</v>
      </c>
      <c r="L4688" s="128" t="s">
        <v>5868</v>
      </c>
      <c r="M4688" s="126">
        <v>629492</v>
      </c>
      <c r="N4688" s="108"/>
      <c r="O4688" s="20" t="s">
        <v>4007</v>
      </c>
      <c r="P4688" s="20" t="s">
        <v>5869</v>
      </c>
      <c r="Q4688" s="20"/>
    </row>
    <row r="4689" spans="1:17" ht="24.9" customHeight="1">
      <c r="A4689" s="20"/>
      <c r="B4689" s="20" t="s">
        <v>5101</v>
      </c>
      <c r="C4689" s="20"/>
      <c r="D4689" s="20" t="s">
        <v>4325</v>
      </c>
      <c r="E4689" s="19">
        <f>VLOOKUP(D4689,'لیست پرسنل'!$B$2:$E$1020,3,FALSE)</f>
        <v>0</v>
      </c>
      <c r="F4689" s="19">
        <f>VLOOKUP(D4689,'لیست پرسنل'!$B$2:$E$1020,4,FALSE)</f>
        <v>0</v>
      </c>
      <c r="G4689" s="127">
        <f>VLOOKUP(D4689,'لیست پرسنل'!$B$2:$F$1020,2,FALSE)</f>
        <v>0</v>
      </c>
      <c r="H4689" s="165" t="s">
        <v>4311</v>
      </c>
      <c r="I4689" s="128" t="s">
        <v>4325</v>
      </c>
      <c r="J4689" s="128" t="s">
        <v>3481</v>
      </c>
      <c r="K4689" s="128" t="s">
        <v>4000</v>
      </c>
      <c r="L4689" s="128" t="s">
        <v>5868</v>
      </c>
      <c r="M4689" s="126">
        <v>629493</v>
      </c>
      <c r="N4689" s="108"/>
      <c r="O4689" s="20" t="s">
        <v>4007</v>
      </c>
      <c r="P4689" s="20" t="s">
        <v>5869</v>
      </c>
      <c r="Q4689" s="20"/>
    </row>
    <row r="4690" spans="1:17" ht="24.9" customHeight="1">
      <c r="A4690" s="20"/>
      <c r="B4690" s="20" t="s">
        <v>5101</v>
      </c>
      <c r="C4690" s="20"/>
      <c r="D4690" s="20" t="s">
        <v>4325</v>
      </c>
      <c r="E4690" s="19">
        <f>VLOOKUP(D4690,'لیست پرسنل'!$B$2:$E$1020,3,FALSE)</f>
        <v>0</v>
      </c>
      <c r="F4690" s="19">
        <f>VLOOKUP(D4690,'لیست پرسنل'!$B$2:$E$1020,4,FALSE)</f>
        <v>0</v>
      </c>
      <c r="G4690" s="127">
        <f>VLOOKUP(D4690,'لیست پرسنل'!$B$2:$F$1020,2,FALSE)</f>
        <v>0</v>
      </c>
      <c r="H4690" s="165" t="s">
        <v>4311</v>
      </c>
      <c r="I4690" s="128" t="s">
        <v>4325</v>
      </c>
      <c r="J4690" s="128" t="s">
        <v>3481</v>
      </c>
      <c r="K4690" s="128" t="s">
        <v>4000</v>
      </c>
      <c r="L4690" s="128" t="s">
        <v>5868</v>
      </c>
      <c r="M4690" s="126">
        <v>629494</v>
      </c>
      <c r="N4690" s="108"/>
      <c r="O4690" s="20" t="s">
        <v>4007</v>
      </c>
      <c r="P4690" s="20" t="s">
        <v>5869</v>
      </c>
      <c r="Q4690" s="20"/>
    </row>
    <row r="4691" spans="1:17" ht="24.9" customHeight="1">
      <c r="A4691" s="20"/>
      <c r="B4691" s="20" t="s">
        <v>5101</v>
      </c>
      <c r="C4691" s="20"/>
      <c r="D4691" s="20" t="s">
        <v>4325</v>
      </c>
      <c r="E4691" s="19">
        <f>VLOOKUP(D4691,'لیست پرسنل'!$B$2:$E$1020,3,FALSE)</f>
        <v>0</v>
      </c>
      <c r="F4691" s="19">
        <f>VLOOKUP(D4691,'لیست پرسنل'!$B$2:$E$1020,4,FALSE)</f>
        <v>0</v>
      </c>
      <c r="G4691" s="127">
        <f>VLOOKUP(D4691,'لیست پرسنل'!$B$2:$F$1020,2,FALSE)</f>
        <v>0</v>
      </c>
      <c r="H4691" s="165" t="s">
        <v>4311</v>
      </c>
      <c r="I4691" s="128" t="s">
        <v>4325</v>
      </c>
      <c r="J4691" s="128" t="s">
        <v>3481</v>
      </c>
      <c r="K4691" s="128" t="s">
        <v>4000</v>
      </c>
      <c r="L4691" s="128" t="s">
        <v>5868</v>
      </c>
      <c r="M4691" s="126">
        <v>629495</v>
      </c>
      <c r="N4691" s="108"/>
      <c r="O4691" s="20" t="s">
        <v>4007</v>
      </c>
      <c r="P4691" s="20" t="s">
        <v>5869</v>
      </c>
      <c r="Q4691" s="20"/>
    </row>
    <row r="4692" spans="1:17" ht="24.9" customHeight="1">
      <c r="A4692" s="20"/>
      <c r="B4692" s="20" t="s">
        <v>5101</v>
      </c>
      <c r="C4692" s="20"/>
      <c r="D4692" s="20" t="s">
        <v>4325</v>
      </c>
      <c r="E4692" s="19">
        <f>VLOOKUP(D4692,'لیست پرسنل'!$B$2:$E$1020,3,FALSE)</f>
        <v>0</v>
      </c>
      <c r="F4692" s="19">
        <f>VLOOKUP(D4692,'لیست پرسنل'!$B$2:$E$1020,4,FALSE)</f>
        <v>0</v>
      </c>
      <c r="G4692" s="127">
        <f>VLOOKUP(D4692,'لیست پرسنل'!$B$2:$F$1020,2,FALSE)</f>
        <v>0</v>
      </c>
      <c r="H4692" s="165" t="s">
        <v>4311</v>
      </c>
      <c r="I4692" s="128" t="s">
        <v>4325</v>
      </c>
      <c r="J4692" s="128" t="s">
        <v>3481</v>
      </c>
      <c r="K4692" s="128" t="s">
        <v>4000</v>
      </c>
      <c r="L4692" s="128" t="s">
        <v>5868</v>
      </c>
      <c r="M4692" s="126">
        <v>629496</v>
      </c>
      <c r="N4692" s="108"/>
      <c r="O4692" s="20" t="s">
        <v>4007</v>
      </c>
      <c r="P4692" s="20" t="s">
        <v>5869</v>
      </c>
      <c r="Q4692" s="20"/>
    </row>
    <row r="4693" spans="1:17" ht="24.9" customHeight="1">
      <c r="A4693" s="20"/>
      <c r="B4693" s="20" t="s">
        <v>5101</v>
      </c>
      <c r="C4693" s="20"/>
      <c r="D4693" s="20" t="s">
        <v>4325</v>
      </c>
      <c r="E4693" s="19">
        <f>VLOOKUP(D4693,'لیست پرسنل'!$B$2:$E$1020,3,FALSE)</f>
        <v>0</v>
      </c>
      <c r="F4693" s="19">
        <f>VLOOKUP(D4693,'لیست پرسنل'!$B$2:$E$1020,4,FALSE)</f>
        <v>0</v>
      </c>
      <c r="G4693" s="127">
        <f>VLOOKUP(D4693,'لیست پرسنل'!$B$2:$F$1020,2,FALSE)</f>
        <v>0</v>
      </c>
      <c r="H4693" s="165" t="s">
        <v>4311</v>
      </c>
      <c r="I4693" s="128" t="s">
        <v>4325</v>
      </c>
      <c r="J4693" s="128" t="s">
        <v>3481</v>
      </c>
      <c r="K4693" s="128" t="s">
        <v>4000</v>
      </c>
      <c r="L4693" s="128" t="s">
        <v>5868</v>
      </c>
      <c r="M4693" s="126">
        <v>629497</v>
      </c>
      <c r="N4693" s="108"/>
      <c r="O4693" s="20" t="s">
        <v>4007</v>
      </c>
      <c r="P4693" s="20" t="s">
        <v>5869</v>
      </c>
      <c r="Q4693" s="20"/>
    </row>
    <row r="4694" spans="1:17" ht="24.9" customHeight="1">
      <c r="A4694" s="20"/>
      <c r="B4694" s="20" t="s">
        <v>5101</v>
      </c>
      <c r="C4694" s="20"/>
      <c r="D4694" s="20" t="s">
        <v>4325</v>
      </c>
      <c r="E4694" s="19">
        <f>VLOOKUP(D4694,'لیست پرسنل'!$B$2:$E$1020,3,FALSE)</f>
        <v>0</v>
      </c>
      <c r="F4694" s="19">
        <f>VLOOKUP(D4694,'لیست پرسنل'!$B$2:$E$1020,4,FALSE)</f>
        <v>0</v>
      </c>
      <c r="G4694" s="127">
        <f>VLOOKUP(D4694,'لیست پرسنل'!$B$2:$F$1020,2,FALSE)</f>
        <v>0</v>
      </c>
      <c r="H4694" s="165" t="s">
        <v>4311</v>
      </c>
      <c r="I4694" s="128" t="s">
        <v>4325</v>
      </c>
      <c r="J4694" s="128" t="s">
        <v>3481</v>
      </c>
      <c r="K4694" s="128" t="s">
        <v>4000</v>
      </c>
      <c r="L4694" s="128" t="s">
        <v>5868</v>
      </c>
      <c r="M4694" s="126">
        <v>629498</v>
      </c>
      <c r="N4694" s="108"/>
      <c r="O4694" s="20" t="s">
        <v>4007</v>
      </c>
      <c r="P4694" s="20" t="s">
        <v>5869</v>
      </c>
      <c r="Q4694" s="20"/>
    </row>
    <row r="4695" spans="1:17" ht="24.9" customHeight="1">
      <c r="A4695" s="20"/>
      <c r="B4695" s="20" t="s">
        <v>5101</v>
      </c>
      <c r="C4695" s="20"/>
      <c r="D4695" s="20" t="s">
        <v>4325</v>
      </c>
      <c r="E4695" s="19">
        <f>VLOOKUP(D4695,'لیست پرسنل'!$B$2:$E$1020,3,FALSE)</f>
        <v>0</v>
      </c>
      <c r="F4695" s="19">
        <f>VLOOKUP(D4695,'لیست پرسنل'!$B$2:$E$1020,4,FALSE)</f>
        <v>0</v>
      </c>
      <c r="G4695" s="127">
        <f>VLOOKUP(D4695,'لیست پرسنل'!$B$2:$F$1020,2,FALSE)</f>
        <v>0</v>
      </c>
      <c r="H4695" s="128" t="s">
        <v>4877</v>
      </c>
      <c r="I4695" s="128" t="s">
        <v>4325</v>
      </c>
      <c r="J4695" s="128" t="s">
        <v>1977</v>
      </c>
      <c r="K4695" s="128" t="s">
        <v>438</v>
      </c>
      <c r="L4695" s="140"/>
      <c r="M4695" s="127">
        <v>615585</v>
      </c>
      <c r="N4695" s="109"/>
      <c r="O4695" s="19"/>
      <c r="P4695" s="32" t="s">
        <v>3834</v>
      </c>
      <c r="Q4695" s="32" t="s">
        <v>6030</v>
      </c>
    </row>
    <row r="4696" spans="1:17" ht="24.9" customHeight="1">
      <c r="A4696" s="20"/>
      <c r="B4696" s="20" t="s">
        <v>5101</v>
      </c>
      <c r="C4696" s="20"/>
      <c r="D4696" s="20" t="s">
        <v>4325</v>
      </c>
      <c r="E4696" s="19">
        <f>VLOOKUP(D4696,'لیست پرسنل'!$B$2:$E$1020,3,FALSE)</f>
        <v>0</v>
      </c>
      <c r="F4696" s="19">
        <f>VLOOKUP(D4696,'لیست پرسنل'!$B$2:$E$1020,4,FALSE)</f>
        <v>0</v>
      </c>
      <c r="G4696" s="127">
        <f>VLOOKUP(D4696,'لیست پرسنل'!$B$2:$F$1020,2,FALSE)</f>
        <v>0</v>
      </c>
      <c r="H4696" s="128" t="s">
        <v>6712</v>
      </c>
      <c r="I4696" s="128" t="s">
        <v>4325</v>
      </c>
      <c r="J4696" s="128" t="s">
        <v>3322</v>
      </c>
      <c r="K4696" s="128" t="s">
        <v>5211</v>
      </c>
      <c r="L4696" s="127"/>
      <c r="M4696" s="127">
        <v>43001420</v>
      </c>
      <c r="N4696" s="109"/>
      <c r="O4696" s="19"/>
      <c r="P4696" s="32"/>
      <c r="Q4696" s="32"/>
    </row>
    <row r="4697" spans="1:17" ht="24.9" customHeight="1">
      <c r="A4697" s="20"/>
      <c r="B4697" s="20" t="s">
        <v>5101</v>
      </c>
      <c r="C4697" s="20"/>
      <c r="D4697" s="20" t="s">
        <v>4325</v>
      </c>
      <c r="E4697" s="19">
        <f>VLOOKUP(D4697,'لیست پرسنل'!$B$2:$E$1020,3,FALSE)</f>
        <v>0</v>
      </c>
      <c r="F4697" s="19">
        <f>VLOOKUP(D4697,'لیست پرسنل'!$B$2:$E$1020,4,FALSE)</f>
        <v>0</v>
      </c>
      <c r="G4697" s="127">
        <f>VLOOKUP(D4697,'لیست پرسنل'!$B$2:$F$1020,2,FALSE)</f>
        <v>0</v>
      </c>
      <c r="H4697" s="128" t="s">
        <v>6712</v>
      </c>
      <c r="I4697" s="128" t="s">
        <v>4325</v>
      </c>
      <c r="J4697" s="128" t="s">
        <v>1976</v>
      </c>
      <c r="K4697" s="128" t="s">
        <v>4874</v>
      </c>
      <c r="L4697" s="127"/>
      <c r="M4697" s="127" t="s">
        <v>4875</v>
      </c>
      <c r="N4697" s="109"/>
      <c r="O4697" s="19"/>
      <c r="P4697" s="32"/>
      <c r="Q4697" s="32"/>
    </row>
    <row r="4698" spans="1:17" ht="24.9" customHeight="1">
      <c r="A4698" s="20"/>
      <c r="B4698" s="20" t="s">
        <v>5101</v>
      </c>
      <c r="C4698" s="20"/>
      <c r="D4698" s="20" t="s">
        <v>4325</v>
      </c>
      <c r="E4698" s="19">
        <f>VLOOKUP(D4698,'لیست پرسنل'!$B$2:$E$1020,3,FALSE)</f>
        <v>0</v>
      </c>
      <c r="F4698" s="19">
        <f>VLOOKUP(D4698,'لیست پرسنل'!$B$2:$E$1020,4,FALSE)</f>
        <v>0</v>
      </c>
      <c r="G4698" s="127">
        <f>VLOOKUP(D4698,'لیست پرسنل'!$B$2:$F$1020,2,FALSE)</f>
        <v>0</v>
      </c>
      <c r="H4698" s="128" t="s">
        <v>6712</v>
      </c>
      <c r="I4698" s="128" t="s">
        <v>4325</v>
      </c>
      <c r="J4698" s="128" t="s">
        <v>1976</v>
      </c>
      <c r="K4698" s="128" t="s">
        <v>1976</v>
      </c>
      <c r="L4698" s="127"/>
      <c r="M4698" s="128" t="s">
        <v>291</v>
      </c>
      <c r="N4698" s="109"/>
      <c r="O4698" s="19"/>
      <c r="P4698" s="32"/>
      <c r="Q4698" s="32"/>
    </row>
    <row r="4699" spans="1:17" ht="24.9" customHeight="1">
      <c r="A4699" s="20"/>
      <c r="B4699" s="20" t="s">
        <v>5101</v>
      </c>
      <c r="C4699" s="20"/>
      <c r="D4699" s="20" t="s">
        <v>4325</v>
      </c>
      <c r="E4699" s="19">
        <f>VLOOKUP(D4699,'لیست پرسنل'!$B$2:$E$1020,3,FALSE)</f>
        <v>0</v>
      </c>
      <c r="F4699" s="19">
        <f>VLOOKUP(D4699,'لیست پرسنل'!$B$2:$E$1020,4,FALSE)</f>
        <v>0</v>
      </c>
      <c r="G4699" s="127">
        <f>VLOOKUP(D4699,'لیست پرسنل'!$B$2:$F$1020,2,FALSE)</f>
        <v>0</v>
      </c>
      <c r="H4699" s="128" t="s">
        <v>6712</v>
      </c>
      <c r="I4699" s="128" t="s">
        <v>4325</v>
      </c>
      <c r="J4699" s="128" t="s">
        <v>3383</v>
      </c>
      <c r="K4699" s="128" t="s">
        <v>1653</v>
      </c>
      <c r="L4699" s="127" t="s">
        <v>1978</v>
      </c>
      <c r="M4699" s="127">
        <v>43000300</v>
      </c>
      <c r="N4699" s="109"/>
      <c r="O4699" s="19"/>
      <c r="P4699" s="32"/>
      <c r="Q4699" s="32"/>
    </row>
    <row r="4700" spans="1:17" ht="24.9" customHeight="1">
      <c r="A4700" s="20"/>
      <c r="B4700" s="20" t="s">
        <v>5101</v>
      </c>
      <c r="C4700" s="20"/>
      <c r="D4700" s="20" t="s">
        <v>4325</v>
      </c>
      <c r="E4700" s="19">
        <f>VLOOKUP(D4700,'لیست پرسنل'!$B$2:$E$1020,3,FALSE)</f>
        <v>0</v>
      </c>
      <c r="F4700" s="19">
        <f>VLOOKUP(D4700,'لیست پرسنل'!$B$2:$E$1020,4,FALSE)</f>
        <v>0</v>
      </c>
      <c r="G4700" s="127">
        <f>VLOOKUP(D4700,'لیست پرسنل'!$B$2:$F$1020,2,FALSE)</f>
        <v>0</v>
      </c>
      <c r="H4700" s="128" t="s">
        <v>6712</v>
      </c>
      <c r="I4700" s="128" t="s">
        <v>4325</v>
      </c>
      <c r="J4700" s="128" t="s">
        <v>3383</v>
      </c>
      <c r="K4700" s="128" t="s">
        <v>1653</v>
      </c>
      <c r="L4700" s="127" t="s">
        <v>4832</v>
      </c>
      <c r="M4700" s="127">
        <v>43000301</v>
      </c>
      <c r="N4700" s="109"/>
      <c r="O4700" s="19"/>
      <c r="P4700" s="32"/>
      <c r="Q4700" s="32"/>
    </row>
    <row r="4701" spans="1:17" ht="24.9" customHeight="1">
      <c r="A4701" s="20"/>
      <c r="B4701" s="20" t="s">
        <v>5101</v>
      </c>
      <c r="C4701" s="20"/>
      <c r="D4701" s="20" t="s">
        <v>4325</v>
      </c>
      <c r="E4701" s="19">
        <f>VLOOKUP(D4701,'لیست پرسنل'!$B$2:$E$1020,3,FALSE)</f>
        <v>0</v>
      </c>
      <c r="F4701" s="19">
        <f>VLOOKUP(D4701,'لیست پرسنل'!$B$2:$E$1020,4,FALSE)</f>
        <v>0</v>
      </c>
      <c r="G4701" s="127">
        <f>VLOOKUP(D4701,'لیست پرسنل'!$B$2:$F$1020,2,FALSE)</f>
        <v>0</v>
      </c>
      <c r="H4701" s="128" t="s">
        <v>6712</v>
      </c>
      <c r="I4701" s="128" t="s">
        <v>4325</v>
      </c>
      <c r="J4701" s="128" t="s">
        <v>3532</v>
      </c>
      <c r="K4701" s="128" t="s">
        <v>2087</v>
      </c>
      <c r="L4701" s="127" t="s">
        <v>3841</v>
      </c>
      <c r="M4701" s="127">
        <v>43002034</v>
      </c>
      <c r="N4701" s="109"/>
      <c r="O4701" s="19" t="s">
        <v>5934</v>
      </c>
      <c r="P4701" s="32"/>
      <c r="Q4701" s="32"/>
    </row>
    <row r="4702" spans="1:17" ht="24.9" customHeight="1">
      <c r="A4702" s="20"/>
      <c r="B4702" s="20" t="s">
        <v>5101</v>
      </c>
      <c r="C4702" s="20"/>
      <c r="D4702" s="20" t="s">
        <v>4325</v>
      </c>
      <c r="E4702" s="19">
        <f>VLOOKUP(D4702,'لیست پرسنل'!$B$2:$E$1020,3,FALSE)</f>
        <v>0</v>
      </c>
      <c r="F4702" s="19">
        <f>VLOOKUP(D4702,'لیست پرسنل'!$B$2:$E$1020,4,FALSE)</f>
        <v>0</v>
      </c>
      <c r="G4702" s="127">
        <f>VLOOKUP(D4702,'لیست پرسنل'!$B$2:$F$1020,2,FALSE)</f>
        <v>0</v>
      </c>
      <c r="H4702" s="128" t="s">
        <v>6712</v>
      </c>
      <c r="I4702" s="128" t="s">
        <v>4325</v>
      </c>
      <c r="J4702" s="128" t="s">
        <v>3532</v>
      </c>
      <c r="K4702" s="128" t="s">
        <v>2087</v>
      </c>
      <c r="L4702" s="127" t="s">
        <v>3840</v>
      </c>
      <c r="M4702" s="127">
        <v>43002035</v>
      </c>
      <c r="N4702" s="109"/>
      <c r="O4702" s="19" t="s">
        <v>5935</v>
      </c>
      <c r="P4702" s="32"/>
      <c r="Q4702" s="32"/>
    </row>
    <row r="4703" spans="1:17" ht="24.9" customHeight="1">
      <c r="A4703" s="20"/>
      <c r="B4703" s="20" t="s">
        <v>5101</v>
      </c>
      <c r="C4703" s="20"/>
      <c r="D4703" s="20" t="s">
        <v>4325</v>
      </c>
      <c r="E4703" s="19">
        <f>VLOOKUP(D4703,'لیست پرسنل'!$B$2:$E$1020,3,FALSE)</f>
        <v>0</v>
      </c>
      <c r="F4703" s="19">
        <f>VLOOKUP(D4703,'لیست پرسنل'!$B$2:$E$1020,4,FALSE)</f>
        <v>0</v>
      </c>
      <c r="G4703" s="127">
        <f>VLOOKUP(D4703,'لیست پرسنل'!$B$2:$F$1020,2,FALSE)</f>
        <v>0</v>
      </c>
      <c r="H4703" s="128" t="s">
        <v>6712</v>
      </c>
      <c r="I4703" s="128" t="s">
        <v>4325</v>
      </c>
      <c r="J4703" s="128" t="s">
        <v>4689</v>
      </c>
      <c r="K4703" s="128" t="s">
        <v>4899</v>
      </c>
      <c r="L4703" s="127"/>
      <c r="M4703" s="127">
        <v>43000187</v>
      </c>
      <c r="N4703" s="109"/>
      <c r="O4703" s="19" t="s">
        <v>4893</v>
      </c>
      <c r="P4703" s="32"/>
      <c r="Q4703" s="32"/>
    </row>
    <row r="4704" spans="1:17" ht="24.9" customHeight="1">
      <c r="A4704" s="20"/>
      <c r="B4704" s="20" t="s">
        <v>5101</v>
      </c>
      <c r="C4704" s="20"/>
      <c r="D4704" s="20" t="s">
        <v>4325</v>
      </c>
      <c r="E4704" s="19">
        <f>VLOOKUP(D4704,'لیست پرسنل'!$B$2:$E$1020,3,FALSE)</f>
        <v>0</v>
      </c>
      <c r="F4704" s="19">
        <f>VLOOKUP(D4704,'لیست پرسنل'!$B$2:$E$1020,4,FALSE)</f>
        <v>0</v>
      </c>
      <c r="G4704" s="127">
        <f>VLOOKUP(D4704,'لیست پرسنل'!$B$2:$F$1020,2,FALSE)</f>
        <v>0</v>
      </c>
      <c r="H4704" s="128" t="s">
        <v>6712</v>
      </c>
      <c r="I4704" s="128" t="s">
        <v>4325</v>
      </c>
      <c r="J4704" s="128" t="s">
        <v>737</v>
      </c>
      <c r="K4704" s="128" t="s">
        <v>1981</v>
      </c>
      <c r="L4704" s="127" t="s">
        <v>1970</v>
      </c>
      <c r="M4704" s="127">
        <v>43000302</v>
      </c>
      <c r="N4704" s="109"/>
      <c r="O4704" s="19"/>
      <c r="P4704" s="32"/>
      <c r="Q4704" s="32"/>
    </row>
    <row r="4705" spans="1:17" ht="24.9" customHeight="1">
      <c r="A4705" s="20"/>
      <c r="B4705" s="20" t="s">
        <v>5101</v>
      </c>
      <c r="C4705" s="20"/>
      <c r="D4705" s="20" t="s">
        <v>4325</v>
      </c>
      <c r="E4705" s="19">
        <f>VLOOKUP(D4705,'لیست پرسنل'!$B$2:$E$1020,3,FALSE)</f>
        <v>0</v>
      </c>
      <c r="F4705" s="19">
        <f>VLOOKUP(D4705,'لیست پرسنل'!$B$2:$E$1020,4,FALSE)</f>
        <v>0</v>
      </c>
      <c r="G4705" s="127">
        <f>VLOOKUP(D4705,'لیست پرسنل'!$B$2:$F$1020,2,FALSE)</f>
        <v>0</v>
      </c>
      <c r="H4705" s="128" t="s">
        <v>6712</v>
      </c>
      <c r="I4705" s="128" t="s">
        <v>4325</v>
      </c>
      <c r="J4705" s="128" t="s">
        <v>737</v>
      </c>
      <c r="K4705" s="128" t="s">
        <v>1981</v>
      </c>
      <c r="L4705" s="127" t="s">
        <v>1971</v>
      </c>
      <c r="M4705" s="127">
        <v>43000303</v>
      </c>
      <c r="N4705" s="109"/>
      <c r="O4705" s="19"/>
      <c r="P4705" s="32"/>
      <c r="Q4705" s="32"/>
    </row>
    <row r="4706" spans="1:17" ht="24.9" customHeight="1">
      <c r="A4706" s="20"/>
      <c r="B4706" s="20" t="s">
        <v>5101</v>
      </c>
      <c r="C4706" s="20"/>
      <c r="D4706" s="20" t="s">
        <v>4325</v>
      </c>
      <c r="E4706" s="19">
        <f>VLOOKUP(D4706,'لیست پرسنل'!$B$2:$E$1020,3,FALSE)</f>
        <v>0</v>
      </c>
      <c r="F4706" s="19">
        <f>VLOOKUP(D4706,'لیست پرسنل'!$B$2:$E$1020,4,FALSE)</f>
        <v>0</v>
      </c>
      <c r="G4706" s="127">
        <f>VLOOKUP(D4706,'لیست پرسنل'!$B$2:$F$1020,2,FALSE)</f>
        <v>0</v>
      </c>
      <c r="H4706" s="128" t="s">
        <v>6712</v>
      </c>
      <c r="I4706" s="128" t="s">
        <v>4325</v>
      </c>
      <c r="J4706" s="128" t="s">
        <v>737</v>
      </c>
      <c r="K4706" s="128" t="s">
        <v>1981</v>
      </c>
      <c r="L4706" s="127" t="s">
        <v>1974</v>
      </c>
      <c r="M4706" s="127">
        <v>43000304</v>
      </c>
      <c r="N4706" s="109"/>
      <c r="O4706" s="19"/>
      <c r="P4706" s="32"/>
      <c r="Q4706" s="32"/>
    </row>
    <row r="4707" spans="1:17" ht="24.9" customHeight="1">
      <c r="A4707" s="20"/>
      <c r="B4707" s="20" t="s">
        <v>5101</v>
      </c>
      <c r="C4707" s="20"/>
      <c r="D4707" s="20" t="s">
        <v>4325</v>
      </c>
      <c r="E4707" s="19">
        <f>VLOOKUP(D4707,'لیست پرسنل'!$B$2:$E$1020,3,FALSE)</f>
        <v>0</v>
      </c>
      <c r="F4707" s="19">
        <f>VLOOKUP(D4707,'لیست پرسنل'!$B$2:$E$1020,4,FALSE)</f>
        <v>0</v>
      </c>
      <c r="G4707" s="127">
        <f>VLOOKUP(D4707,'لیست پرسنل'!$B$2:$F$1020,2,FALSE)</f>
        <v>0</v>
      </c>
      <c r="H4707" s="128" t="s">
        <v>6712</v>
      </c>
      <c r="I4707" s="128" t="s">
        <v>4325</v>
      </c>
      <c r="J4707" s="128" t="s">
        <v>737</v>
      </c>
      <c r="K4707" s="128" t="s">
        <v>1981</v>
      </c>
      <c r="L4707" s="127" t="s">
        <v>1973</v>
      </c>
      <c r="M4707" s="127">
        <v>43000305</v>
      </c>
      <c r="N4707" s="109"/>
      <c r="O4707" s="19"/>
      <c r="P4707" s="32"/>
      <c r="Q4707" s="32"/>
    </row>
    <row r="4708" spans="1:17" ht="24.9" customHeight="1">
      <c r="A4708" s="20"/>
      <c r="B4708" s="20" t="s">
        <v>5101</v>
      </c>
      <c r="C4708" s="20"/>
      <c r="D4708" s="20" t="s">
        <v>4325</v>
      </c>
      <c r="E4708" s="19">
        <f>VLOOKUP(D4708,'لیست پرسنل'!$B$2:$E$1020,3,FALSE)</f>
        <v>0</v>
      </c>
      <c r="F4708" s="19">
        <f>VLOOKUP(D4708,'لیست پرسنل'!$B$2:$E$1020,4,FALSE)</f>
        <v>0</v>
      </c>
      <c r="G4708" s="127">
        <f>VLOOKUP(D4708,'لیست پرسنل'!$B$2:$F$1020,2,FALSE)</f>
        <v>0</v>
      </c>
      <c r="H4708" s="128" t="s">
        <v>6712</v>
      </c>
      <c r="I4708" s="128" t="s">
        <v>4325</v>
      </c>
      <c r="J4708" s="128" t="s">
        <v>737</v>
      </c>
      <c r="K4708" s="128" t="s">
        <v>1377</v>
      </c>
      <c r="L4708" s="127" t="s">
        <v>2170</v>
      </c>
      <c r="M4708" s="127">
        <v>43000371</v>
      </c>
      <c r="N4708" s="109"/>
      <c r="O4708" s="19"/>
      <c r="P4708" s="32"/>
      <c r="Q4708" s="32"/>
    </row>
    <row r="4709" spans="1:17" ht="24.9" customHeight="1">
      <c r="A4709" s="20"/>
      <c r="B4709" s="20" t="s">
        <v>5101</v>
      </c>
      <c r="C4709" s="20"/>
      <c r="D4709" s="20" t="s">
        <v>4325</v>
      </c>
      <c r="E4709" s="19">
        <f>VLOOKUP(D4709,'لیست پرسنل'!$B$2:$E$1020,3,FALSE)</f>
        <v>0</v>
      </c>
      <c r="F4709" s="19">
        <f>VLOOKUP(D4709,'لیست پرسنل'!$B$2:$E$1020,4,FALSE)</f>
        <v>0</v>
      </c>
      <c r="G4709" s="127">
        <f>VLOOKUP(D4709,'لیست پرسنل'!$B$2:$F$1020,2,FALSE)</f>
        <v>0</v>
      </c>
      <c r="H4709" s="128" t="s">
        <v>6712</v>
      </c>
      <c r="I4709" s="128" t="s">
        <v>4325</v>
      </c>
      <c r="J4709" s="128" t="s">
        <v>737</v>
      </c>
      <c r="K4709" s="128" t="s">
        <v>3684</v>
      </c>
      <c r="L4709" s="127" t="s">
        <v>3683</v>
      </c>
      <c r="M4709" s="127">
        <v>43001038</v>
      </c>
      <c r="N4709" s="109"/>
      <c r="O4709" s="19"/>
      <c r="P4709" s="32"/>
      <c r="Q4709" s="32"/>
    </row>
    <row r="4710" spans="1:17" ht="24.9" customHeight="1">
      <c r="A4710" s="20"/>
      <c r="B4710" s="20" t="s">
        <v>5101</v>
      </c>
      <c r="C4710" s="20"/>
      <c r="D4710" s="20" t="s">
        <v>4325</v>
      </c>
      <c r="E4710" s="19">
        <f>VLOOKUP(D4710,'لیست پرسنل'!$B$2:$E$1020,3,FALSE)</f>
        <v>0</v>
      </c>
      <c r="F4710" s="19">
        <f>VLOOKUP(D4710,'لیست پرسنل'!$B$2:$E$1020,4,FALSE)</f>
        <v>0</v>
      </c>
      <c r="G4710" s="127">
        <f>VLOOKUP(D4710,'لیست پرسنل'!$B$2:$F$1020,2,FALSE)</f>
        <v>0</v>
      </c>
      <c r="H4710" s="128" t="s">
        <v>6712</v>
      </c>
      <c r="I4710" s="128" t="s">
        <v>4325</v>
      </c>
      <c r="J4710" s="126" t="s">
        <v>368</v>
      </c>
      <c r="K4710" s="128" t="s">
        <v>2846</v>
      </c>
      <c r="L4710" s="127" t="s">
        <v>4830</v>
      </c>
      <c r="M4710" s="127">
        <v>43000174</v>
      </c>
      <c r="N4710" s="109"/>
      <c r="O4710" s="19" t="s">
        <v>4890</v>
      </c>
      <c r="P4710" s="32"/>
      <c r="Q4710" s="32"/>
    </row>
    <row r="4711" spans="1:17" ht="24.9" customHeight="1">
      <c r="A4711" s="20"/>
      <c r="B4711" s="20" t="s">
        <v>5101</v>
      </c>
      <c r="C4711" s="20"/>
      <c r="D4711" s="20" t="s">
        <v>4325</v>
      </c>
      <c r="E4711" s="19">
        <f>VLOOKUP(D4711,'لیست پرسنل'!$B$2:$E$1020,3,FALSE)</f>
        <v>0</v>
      </c>
      <c r="F4711" s="19">
        <f>VLOOKUP(D4711,'لیست پرسنل'!$B$2:$E$1020,4,FALSE)</f>
        <v>0</v>
      </c>
      <c r="G4711" s="127">
        <f>VLOOKUP(D4711,'لیست پرسنل'!$B$2:$F$1020,2,FALSE)</f>
        <v>0</v>
      </c>
      <c r="H4711" s="128" t="s">
        <v>6712</v>
      </c>
      <c r="I4711" s="128" t="s">
        <v>4325</v>
      </c>
      <c r="J4711" s="126" t="s">
        <v>368</v>
      </c>
      <c r="K4711" s="128" t="s">
        <v>2846</v>
      </c>
      <c r="L4711" s="127" t="s">
        <v>2899</v>
      </c>
      <c r="M4711" s="127">
        <v>43000365</v>
      </c>
      <c r="N4711" s="109"/>
      <c r="O4711" s="19"/>
      <c r="P4711" s="32"/>
      <c r="Q4711" s="32"/>
    </row>
    <row r="4712" spans="1:17" ht="24.9" customHeight="1">
      <c r="A4712" s="20"/>
      <c r="B4712" s="20" t="s">
        <v>5101</v>
      </c>
      <c r="C4712" s="20"/>
      <c r="D4712" s="20" t="s">
        <v>4325</v>
      </c>
      <c r="E4712" s="19">
        <f>VLOOKUP(D4712,'لیست پرسنل'!$B$2:$E$1020,3,FALSE)</f>
        <v>0</v>
      </c>
      <c r="F4712" s="19">
        <f>VLOOKUP(D4712,'لیست پرسنل'!$B$2:$E$1020,4,FALSE)</f>
        <v>0</v>
      </c>
      <c r="G4712" s="127">
        <f>VLOOKUP(D4712,'لیست پرسنل'!$B$2:$F$1020,2,FALSE)</f>
        <v>0</v>
      </c>
      <c r="H4712" s="128" t="s">
        <v>6712</v>
      </c>
      <c r="I4712" s="128" t="s">
        <v>4325</v>
      </c>
      <c r="J4712" s="126" t="s">
        <v>368</v>
      </c>
      <c r="K4712" s="128" t="s">
        <v>2846</v>
      </c>
      <c r="L4712" s="127" t="s">
        <v>2909</v>
      </c>
      <c r="M4712" s="127">
        <v>43000366</v>
      </c>
      <c r="N4712" s="109"/>
      <c r="O4712" s="19"/>
      <c r="P4712" s="32"/>
      <c r="Q4712" s="32"/>
    </row>
    <row r="4713" spans="1:17" ht="24.9" customHeight="1">
      <c r="A4713" s="20"/>
      <c r="B4713" s="20" t="s">
        <v>5101</v>
      </c>
      <c r="C4713" s="20"/>
      <c r="D4713" s="20" t="s">
        <v>4325</v>
      </c>
      <c r="E4713" s="19">
        <f>VLOOKUP(D4713,'لیست پرسنل'!$B$2:$E$1020,3,FALSE)</f>
        <v>0</v>
      </c>
      <c r="F4713" s="19">
        <f>VLOOKUP(D4713,'لیست پرسنل'!$B$2:$E$1020,4,FALSE)</f>
        <v>0</v>
      </c>
      <c r="G4713" s="127">
        <f>VLOOKUP(D4713,'لیست پرسنل'!$B$2:$F$1020,2,FALSE)</f>
        <v>0</v>
      </c>
      <c r="H4713" s="128" t="s">
        <v>6712</v>
      </c>
      <c r="I4713" s="128" t="s">
        <v>4325</v>
      </c>
      <c r="J4713" s="126" t="s">
        <v>368</v>
      </c>
      <c r="K4713" s="128" t="s">
        <v>2846</v>
      </c>
      <c r="L4713" s="127" t="s">
        <v>2900</v>
      </c>
      <c r="M4713" s="127">
        <v>43000367</v>
      </c>
      <c r="N4713" s="109"/>
      <c r="O4713" s="19"/>
      <c r="P4713" s="32"/>
      <c r="Q4713" s="32"/>
    </row>
    <row r="4714" spans="1:17" ht="24.9" customHeight="1">
      <c r="A4714" s="20"/>
      <c r="B4714" s="20" t="s">
        <v>5101</v>
      </c>
      <c r="C4714" s="20"/>
      <c r="D4714" s="20" t="s">
        <v>4325</v>
      </c>
      <c r="E4714" s="19">
        <f>VLOOKUP(D4714,'لیست پرسنل'!$B$2:$E$1020,3,FALSE)</f>
        <v>0</v>
      </c>
      <c r="F4714" s="19">
        <f>VLOOKUP(D4714,'لیست پرسنل'!$B$2:$E$1020,4,FALSE)</f>
        <v>0</v>
      </c>
      <c r="G4714" s="127">
        <f>VLOOKUP(D4714,'لیست پرسنل'!$B$2:$F$1020,2,FALSE)</f>
        <v>0</v>
      </c>
      <c r="H4714" s="128" t="s">
        <v>6712</v>
      </c>
      <c r="I4714" s="128" t="s">
        <v>4325</v>
      </c>
      <c r="J4714" s="126" t="s">
        <v>368</v>
      </c>
      <c r="K4714" s="128" t="s">
        <v>2846</v>
      </c>
      <c r="L4714" s="127" t="s">
        <v>2901</v>
      </c>
      <c r="M4714" s="127">
        <v>43000368</v>
      </c>
      <c r="N4714" s="109"/>
      <c r="O4714" s="19"/>
      <c r="P4714" s="32"/>
      <c r="Q4714" s="32"/>
    </row>
    <row r="4715" spans="1:17" ht="24.9" customHeight="1">
      <c r="A4715" s="20"/>
      <c r="B4715" s="20" t="s">
        <v>5101</v>
      </c>
      <c r="C4715" s="20"/>
      <c r="D4715" s="20" t="s">
        <v>4325</v>
      </c>
      <c r="E4715" s="19">
        <f>VLOOKUP(D4715,'لیست پرسنل'!$B$2:$E$1020,3,FALSE)</f>
        <v>0</v>
      </c>
      <c r="F4715" s="19">
        <f>VLOOKUP(D4715,'لیست پرسنل'!$B$2:$E$1020,4,FALSE)</f>
        <v>0</v>
      </c>
      <c r="G4715" s="127">
        <f>VLOOKUP(D4715,'لیست پرسنل'!$B$2:$F$1020,2,FALSE)</f>
        <v>0</v>
      </c>
      <c r="H4715" s="128" t="s">
        <v>6712</v>
      </c>
      <c r="I4715" s="128" t="s">
        <v>4325</v>
      </c>
      <c r="J4715" s="126" t="s">
        <v>368</v>
      </c>
      <c r="K4715" s="128" t="s">
        <v>2846</v>
      </c>
      <c r="L4715" s="127" t="s">
        <v>3682</v>
      </c>
      <c r="M4715" s="127">
        <v>43000995</v>
      </c>
      <c r="N4715" s="109"/>
      <c r="O4715" s="19"/>
      <c r="P4715" s="32"/>
      <c r="Q4715" s="32"/>
    </row>
    <row r="4716" spans="1:17" ht="24.9" customHeight="1">
      <c r="A4716" s="20"/>
      <c r="B4716" s="20" t="s">
        <v>5101</v>
      </c>
      <c r="C4716" s="20"/>
      <c r="D4716" s="20" t="s">
        <v>4325</v>
      </c>
      <c r="E4716" s="19">
        <f>VLOOKUP(D4716,'لیست پرسنل'!$B$2:$E$1020,3,FALSE)</f>
        <v>0</v>
      </c>
      <c r="F4716" s="19">
        <f>VLOOKUP(D4716,'لیست پرسنل'!$B$2:$E$1020,4,FALSE)</f>
        <v>0</v>
      </c>
      <c r="G4716" s="127">
        <f>VLOOKUP(D4716,'لیست پرسنل'!$B$2:$F$1020,2,FALSE)</f>
        <v>0</v>
      </c>
      <c r="H4716" s="128" t="s">
        <v>6712</v>
      </c>
      <c r="I4716" s="128" t="s">
        <v>4325</v>
      </c>
      <c r="J4716" s="126" t="s">
        <v>368</v>
      </c>
      <c r="K4716" s="128" t="s">
        <v>2846</v>
      </c>
      <c r="L4716" s="127" t="s">
        <v>4116</v>
      </c>
      <c r="M4716" s="127">
        <v>43000996</v>
      </c>
      <c r="N4716" s="109"/>
      <c r="O4716" s="19"/>
      <c r="P4716" s="32"/>
      <c r="Q4716" s="32"/>
    </row>
    <row r="4717" spans="1:17" ht="24.9" customHeight="1">
      <c r="A4717" s="20"/>
      <c r="B4717" s="20" t="s">
        <v>5101</v>
      </c>
      <c r="C4717" s="20"/>
      <c r="D4717" s="20" t="s">
        <v>4325</v>
      </c>
      <c r="E4717" s="19">
        <f>VLOOKUP(D4717,'لیست پرسنل'!$B$2:$E$1020,3,FALSE)</f>
        <v>0</v>
      </c>
      <c r="F4717" s="19">
        <f>VLOOKUP(D4717,'لیست پرسنل'!$B$2:$E$1020,4,FALSE)</f>
        <v>0</v>
      </c>
      <c r="G4717" s="127">
        <f>VLOOKUP(D4717,'لیست پرسنل'!$B$2:$F$1020,2,FALSE)</f>
        <v>0</v>
      </c>
      <c r="H4717" s="128" t="s">
        <v>6712</v>
      </c>
      <c r="I4717" s="128" t="s">
        <v>4325</v>
      </c>
      <c r="J4717" s="126" t="s">
        <v>368</v>
      </c>
      <c r="K4717" s="128" t="s">
        <v>2846</v>
      </c>
      <c r="L4717" s="127" t="s">
        <v>4835</v>
      </c>
      <c r="M4717" s="127">
        <v>43000997</v>
      </c>
      <c r="N4717" s="109"/>
      <c r="O4717" s="19"/>
      <c r="P4717" s="32"/>
      <c r="Q4717" s="32"/>
    </row>
    <row r="4718" spans="1:17" ht="24.9" customHeight="1">
      <c r="A4718" s="20"/>
      <c r="B4718" s="20" t="s">
        <v>5101</v>
      </c>
      <c r="C4718" s="20"/>
      <c r="D4718" s="20" t="s">
        <v>4325</v>
      </c>
      <c r="E4718" s="19">
        <f>VLOOKUP(D4718,'لیست پرسنل'!$B$2:$E$1020,3,FALSE)</f>
        <v>0</v>
      </c>
      <c r="F4718" s="19">
        <f>VLOOKUP(D4718,'لیست پرسنل'!$B$2:$E$1020,4,FALSE)</f>
        <v>0</v>
      </c>
      <c r="G4718" s="127">
        <f>VLOOKUP(D4718,'لیست پرسنل'!$B$2:$F$1020,2,FALSE)</f>
        <v>0</v>
      </c>
      <c r="H4718" s="128" t="s">
        <v>6712</v>
      </c>
      <c r="I4718" s="128" t="s">
        <v>4325</v>
      </c>
      <c r="J4718" s="126" t="s">
        <v>368</v>
      </c>
      <c r="K4718" s="128" t="s">
        <v>2846</v>
      </c>
      <c r="L4718" s="127" t="s">
        <v>4834</v>
      </c>
      <c r="M4718" s="127">
        <v>43000998</v>
      </c>
      <c r="N4718" s="109"/>
      <c r="O4718" s="19"/>
      <c r="P4718" s="32"/>
      <c r="Q4718" s="32"/>
    </row>
    <row r="4719" spans="1:17" ht="24.9" customHeight="1">
      <c r="A4719" s="20"/>
      <c r="B4719" s="20" t="s">
        <v>5101</v>
      </c>
      <c r="C4719" s="20"/>
      <c r="D4719" s="20" t="s">
        <v>4325</v>
      </c>
      <c r="E4719" s="19">
        <f>VLOOKUP(D4719,'لیست پرسنل'!$B$2:$E$1020,3,FALSE)</f>
        <v>0</v>
      </c>
      <c r="F4719" s="19">
        <f>VLOOKUP(D4719,'لیست پرسنل'!$B$2:$E$1020,4,FALSE)</f>
        <v>0</v>
      </c>
      <c r="G4719" s="127">
        <f>VLOOKUP(D4719,'لیست پرسنل'!$B$2:$F$1020,2,FALSE)</f>
        <v>0</v>
      </c>
      <c r="H4719" s="128" t="s">
        <v>6712</v>
      </c>
      <c r="I4719" s="128" t="s">
        <v>4325</v>
      </c>
      <c r="J4719" s="126" t="s">
        <v>368</v>
      </c>
      <c r="K4719" s="128" t="s">
        <v>2846</v>
      </c>
      <c r="L4719" s="127" t="s">
        <v>4108</v>
      </c>
      <c r="M4719" s="127">
        <v>43000999</v>
      </c>
      <c r="N4719" s="109"/>
      <c r="O4719" s="19"/>
      <c r="P4719" s="32"/>
      <c r="Q4719" s="32"/>
    </row>
    <row r="4720" spans="1:17" ht="24.9" customHeight="1">
      <c r="A4720" s="20"/>
      <c r="B4720" s="20" t="s">
        <v>5101</v>
      </c>
      <c r="C4720" s="20"/>
      <c r="D4720" s="20" t="s">
        <v>4325</v>
      </c>
      <c r="E4720" s="19">
        <f>VLOOKUP(D4720,'لیست پرسنل'!$B$2:$E$1020,3,FALSE)</f>
        <v>0</v>
      </c>
      <c r="F4720" s="19">
        <f>VLOOKUP(D4720,'لیست پرسنل'!$B$2:$E$1020,4,FALSE)</f>
        <v>0</v>
      </c>
      <c r="G4720" s="127">
        <f>VLOOKUP(D4720,'لیست پرسنل'!$B$2:$F$1020,2,FALSE)</f>
        <v>0</v>
      </c>
      <c r="H4720" s="128" t="s">
        <v>6712</v>
      </c>
      <c r="I4720" s="128" t="s">
        <v>4325</v>
      </c>
      <c r="J4720" s="126" t="s">
        <v>368</v>
      </c>
      <c r="K4720" s="128" t="s">
        <v>2846</v>
      </c>
      <c r="L4720" s="127" t="s">
        <v>4101</v>
      </c>
      <c r="M4720" s="127">
        <v>43001001</v>
      </c>
      <c r="N4720" s="109"/>
      <c r="O4720" s="19"/>
      <c r="P4720" s="32"/>
      <c r="Q4720" s="32"/>
    </row>
    <row r="4721" spans="1:17" ht="24.9" customHeight="1">
      <c r="A4721" s="20"/>
      <c r="B4721" s="20" t="s">
        <v>5101</v>
      </c>
      <c r="C4721" s="20"/>
      <c r="D4721" s="20" t="s">
        <v>4325</v>
      </c>
      <c r="E4721" s="19">
        <f>VLOOKUP(D4721,'لیست پرسنل'!$B$2:$E$1020,3,FALSE)</f>
        <v>0</v>
      </c>
      <c r="F4721" s="19">
        <f>VLOOKUP(D4721,'لیست پرسنل'!$B$2:$E$1020,4,FALSE)</f>
        <v>0</v>
      </c>
      <c r="G4721" s="127">
        <f>VLOOKUP(D4721,'لیست پرسنل'!$B$2:$F$1020,2,FALSE)</f>
        <v>0</v>
      </c>
      <c r="H4721" s="128" t="s">
        <v>6712</v>
      </c>
      <c r="I4721" s="128" t="s">
        <v>4325</v>
      </c>
      <c r="J4721" s="126" t="s">
        <v>368</v>
      </c>
      <c r="K4721" s="128" t="s">
        <v>2846</v>
      </c>
      <c r="L4721" s="127" t="s">
        <v>496</v>
      </c>
      <c r="M4721" s="127">
        <v>43001002</v>
      </c>
      <c r="N4721" s="109"/>
      <c r="O4721" s="19"/>
      <c r="P4721" s="32"/>
      <c r="Q4721" s="32"/>
    </row>
    <row r="4722" spans="1:17" ht="24.9" customHeight="1">
      <c r="A4722" s="20"/>
      <c r="B4722" s="20" t="s">
        <v>5101</v>
      </c>
      <c r="C4722" s="20"/>
      <c r="D4722" s="20" t="s">
        <v>4325</v>
      </c>
      <c r="E4722" s="19">
        <f>VLOOKUP(D4722,'لیست پرسنل'!$B$2:$E$1020,3,FALSE)</f>
        <v>0</v>
      </c>
      <c r="F4722" s="19">
        <f>VLOOKUP(D4722,'لیست پرسنل'!$B$2:$E$1020,4,FALSE)</f>
        <v>0</v>
      </c>
      <c r="G4722" s="127">
        <f>VLOOKUP(D4722,'لیست پرسنل'!$B$2:$F$1020,2,FALSE)</f>
        <v>0</v>
      </c>
      <c r="H4722" s="128" t="s">
        <v>6712</v>
      </c>
      <c r="I4722" s="128" t="s">
        <v>4325</v>
      </c>
      <c r="J4722" s="126" t="s">
        <v>368</v>
      </c>
      <c r="K4722" s="128" t="s">
        <v>2846</v>
      </c>
      <c r="L4722" s="127" t="s">
        <v>4110</v>
      </c>
      <c r="M4722" s="127">
        <v>43001003</v>
      </c>
      <c r="N4722" s="109"/>
      <c r="O4722" s="19"/>
      <c r="P4722" s="32"/>
      <c r="Q4722" s="32"/>
    </row>
    <row r="4723" spans="1:17" ht="24.9" customHeight="1">
      <c r="A4723" s="20"/>
      <c r="B4723" s="20" t="s">
        <v>5101</v>
      </c>
      <c r="C4723" s="20"/>
      <c r="D4723" s="20" t="s">
        <v>4325</v>
      </c>
      <c r="E4723" s="19">
        <f>VLOOKUP(D4723,'لیست پرسنل'!$B$2:$E$1020,3,FALSE)</f>
        <v>0</v>
      </c>
      <c r="F4723" s="19">
        <f>VLOOKUP(D4723,'لیست پرسنل'!$B$2:$E$1020,4,FALSE)</f>
        <v>0</v>
      </c>
      <c r="G4723" s="127">
        <f>VLOOKUP(D4723,'لیست پرسنل'!$B$2:$F$1020,2,FALSE)</f>
        <v>0</v>
      </c>
      <c r="H4723" s="128" t="s">
        <v>6712</v>
      </c>
      <c r="I4723" s="128" t="s">
        <v>4325</v>
      </c>
      <c r="J4723" s="126" t="s">
        <v>368</v>
      </c>
      <c r="K4723" s="128" t="s">
        <v>2846</v>
      </c>
      <c r="L4723" s="127" t="s">
        <v>4121</v>
      </c>
      <c r="M4723" s="127">
        <v>43001004</v>
      </c>
      <c r="N4723" s="109"/>
      <c r="O4723" s="19"/>
      <c r="P4723" s="32"/>
      <c r="Q4723" s="32"/>
    </row>
    <row r="4724" spans="1:17" ht="24.9" customHeight="1">
      <c r="A4724" s="20"/>
      <c r="B4724" s="20" t="s">
        <v>5101</v>
      </c>
      <c r="C4724" s="20"/>
      <c r="D4724" s="20" t="s">
        <v>4325</v>
      </c>
      <c r="E4724" s="19">
        <f>VLOOKUP(D4724,'لیست پرسنل'!$B$2:$E$1020,3,FALSE)</f>
        <v>0</v>
      </c>
      <c r="F4724" s="19">
        <f>VLOOKUP(D4724,'لیست پرسنل'!$B$2:$E$1020,4,FALSE)</f>
        <v>0</v>
      </c>
      <c r="G4724" s="127">
        <f>VLOOKUP(D4724,'لیست پرسنل'!$B$2:$F$1020,2,FALSE)</f>
        <v>0</v>
      </c>
      <c r="H4724" s="128" t="s">
        <v>6712</v>
      </c>
      <c r="I4724" s="128" t="s">
        <v>4325</v>
      </c>
      <c r="J4724" s="126" t="s">
        <v>368</v>
      </c>
      <c r="K4724" s="128" t="s">
        <v>2846</v>
      </c>
      <c r="L4724" s="127" t="s">
        <v>496</v>
      </c>
      <c r="M4724" s="127">
        <v>43001005</v>
      </c>
      <c r="N4724" s="109"/>
      <c r="O4724" s="19"/>
      <c r="P4724" s="32"/>
      <c r="Q4724" s="32"/>
    </row>
    <row r="4725" spans="1:17" ht="24.9" customHeight="1">
      <c r="A4725" s="20"/>
      <c r="B4725" s="20" t="s">
        <v>5101</v>
      </c>
      <c r="C4725" s="20"/>
      <c r="D4725" s="20" t="s">
        <v>4325</v>
      </c>
      <c r="E4725" s="19">
        <f>VLOOKUP(D4725,'لیست پرسنل'!$B$2:$E$1020,3,FALSE)</f>
        <v>0</v>
      </c>
      <c r="F4725" s="19">
        <f>VLOOKUP(D4725,'لیست پرسنل'!$B$2:$E$1020,4,FALSE)</f>
        <v>0</v>
      </c>
      <c r="G4725" s="127">
        <f>VLOOKUP(D4725,'لیست پرسنل'!$B$2:$F$1020,2,FALSE)</f>
        <v>0</v>
      </c>
      <c r="H4725" s="128" t="s">
        <v>6712</v>
      </c>
      <c r="I4725" s="128" t="s">
        <v>4325</v>
      </c>
      <c r="J4725" s="126" t="s">
        <v>368</v>
      </c>
      <c r="K4725" s="128" t="s">
        <v>2846</v>
      </c>
      <c r="L4725" s="127" t="s">
        <v>4118</v>
      </c>
      <c r="M4725" s="127">
        <v>43001006</v>
      </c>
      <c r="N4725" s="110"/>
      <c r="O4725" s="19"/>
      <c r="P4725" s="32"/>
      <c r="Q4725" s="32"/>
    </row>
    <row r="4726" spans="1:17" ht="24.9" customHeight="1">
      <c r="A4726" s="20"/>
      <c r="B4726" s="20" t="s">
        <v>5101</v>
      </c>
      <c r="C4726" s="20"/>
      <c r="D4726" s="20" t="s">
        <v>4325</v>
      </c>
      <c r="E4726" s="19">
        <f>VLOOKUP(D4726,'لیست پرسنل'!$B$2:$E$1020,3,FALSE)</f>
        <v>0</v>
      </c>
      <c r="F4726" s="19">
        <f>VLOOKUP(D4726,'لیست پرسنل'!$B$2:$E$1020,4,FALSE)</f>
        <v>0</v>
      </c>
      <c r="G4726" s="127">
        <f>VLOOKUP(D4726,'لیست پرسنل'!$B$2:$F$1020,2,FALSE)</f>
        <v>0</v>
      </c>
      <c r="H4726" s="128" t="s">
        <v>6712</v>
      </c>
      <c r="I4726" s="128" t="s">
        <v>4325</v>
      </c>
      <c r="J4726" s="126" t="s">
        <v>368</v>
      </c>
      <c r="K4726" s="128" t="s">
        <v>2846</v>
      </c>
      <c r="L4726" s="127" t="s">
        <v>4100</v>
      </c>
      <c r="M4726" s="127">
        <v>43001007</v>
      </c>
      <c r="N4726" s="109"/>
      <c r="O4726" s="19"/>
      <c r="P4726" s="32"/>
      <c r="Q4726" s="32"/>
    </row>
    <row r="4727" spans="1:17" ht="24.9" customHeight="1">
      <c r="A4727" s="20"/>
      <c r="B4727" s="20" t="s">
        <v>5101</v>
      </c>
      <c r="C4727" s="20"/>
      <c r="D4727" s="20" t="s">
        <v>4325</v>
      </c>
      <c r="E4727" s="19">
        <f>VLOOKUP(D4727,'لیست پرسنل'!$B$2:$E$1020,3,FALSE)</f>
        <v>0</v>
      </c>
      <c r="F4727" s="19">
        <f>VLOOKUP(D4727,'لیست پرسنل'!$B$2:$E$1020,4,FALSE)</f>
        <v>0</v>
      </c>
      <c r="G4727" s="127">
        <f>VLOOKUP(D4727,'لیست پرسنل'!$B$2:$F$1020,2,FALSE)</f>
        <v>0</v>
      </c>
      <c r="H4727" s="128" t="s">
        <v>6712</v>
      </c>
      <c r="I4727" s="128" t="s">
        <v>4325</v>
      </c>
      <c r="J4727" s="126" t="s">
        <v>368</v>
      </c>
      <c r="K4727" s="128" t="s">
        <v>2846</v>
      </c>
      <c r="L4727" s="127" t="s">
        <v>4122</v>
      </c>
      <c r="M4727" s="127">
        <v>43001008</v>
      </c>
      <c r="N4727" s="109"/>
      <c r="O4727" s="19"/>
      <c r="P4727" s="32"/>
      <c r="Q4727" s="32"/>
    </row>
    <row r="4728" spans="1:17" ht="24.9" customHeight="1">
      <c r="A4728" s="20"/>
      <c r="B4728" s="20" t="s">
        <v>5101</v>
      </c>
      <c r="C4728" s="20"/>
      <c r="D4728" s="20" t="s">
        <v>4325</v>
      </c>
      <c r="E4728" s="19">
        <f>VLOOKUP(D4728,'لیست پرسنل'!$B$2:$E$1020,3,FALSE)</f>
        <v>0</v>
      </c>
      <c r="F4728" s="19">
        <f>VLOOKUP(D4728,'لیست پرسنل'!$B$2:$E$1020,4,FALSE)</f>
        <v>0</v>
      </c>
      <c r="G4728" s="127">
        <f>VLOOKUP(D4728,'لیست پرسنل'!$B$2:$F$1020,2,FALSE)</f>
        <v>0</v>
      </c>
      <c r="H4728" s="128" t="s">
        <v>6712</v>
      </c>
      <c r="I4728" s="128" t="s">
        <v>4325</v>
      </c>
      <c r="J4728" s="128" t="s">
        <v>5366</v>
      </c>
      <c r="K4728" s="128" t="s">
        <v>2898</v>
      </c>
      <c r="L4728" s="127" t="s">
        <v>1464</v>
      </c>
      <c r="M4728" s="127">
        <v>43000185</v>
      </c>
      <c r="N4728" s="109"/>
      <c r="O4728" s="19" t="s">
        <v>4888</v>
      </c>
      <c r="P4728" s="32"/>
      <c r="Q4728" s="32"/>
    </row>
    <row r="4729" spans="1:17" ht="24.9" customHeight="1">
      <c r="A4729" s="20"/>
      <c r="B4729" s="20" t="s">
        <v>5101</v>
      </c>
      <c r="C4729" s="20"/>
      <c r="D4729" s="20" t="s">
        <v>4325</v>
      </c>
      <c r="E4729" s="19">
        <f>VLOOKUP(D4729,'لیست پرسنل'!$B$2:$E$1020,3,FALSE)</f>
        <v>0</v>
      </c>
      <c r="F4729" s="19">
        <f>VLOOKUP(D4729,'لیست پرسنل'!$B$2:$E$1020,4,FALSE)</f>
        <v>0</v>
      </c>
      <c r="G4729" s="127">
        <f>VLOOKUP(D4729,'لیست پرسنل'!$B$2:$F$1020,2,FALSE)</f>
        <v>0</v>
      </c>
      <c r="H4729" s="128" t="s">
        <v>6712</v>
      </c>
      <c r="I4729" s="128" t="s">
        <v>4325</v>
      </c>
      <c r="J4729" s="128" t="s">
        <v>3480</v>
      </c>
      <c r="K4729" s="128" t="s">
        <v>4863</v>
      </c>
      <c r="L4729" s="127"/>
      <c r="M4729" s="127">
        <v>43001344</v>
      </c>
      <c r="N4729" s="109"/>
      <c r="O4729" s="19" t="s">
        <v>4878</v>
      </c>
      <c r="P4729" s="32"/>
      <c r="Q4729" s="32"/>
    </row>
    <row r="4730" spans="1:17" ht="24.9" customHeight="1">
      <c r="A4730" s="20"/>
      <c r="B4730" s="20" t="s">
        <v>5101</v>
      </c>
      <c r="C4730" s="20"/>
      <c r="D4730" s="20" t="s">
        <v>4325</v>
      </c>
      <c r="E4730" s="19">
        <f>VLOOKUP(D4730,'لیست پرسنل'!$B$2:$E$1020,3,FALSE)</f>
        <v>0</v>
      </c>
      <c r="F4730" s="19">
        <f>VLOOKUP(D4730,'لیست پرسنل'!$B$2:$E$1020,4,FALSE)</f>
        <v>0</v>
      </c>
      <c r="G4730" s="127">
        <f>VLOOKUP(D4730,'لیست پرسنل'!$B$2:$F$1020,2,FALSE)</f>
        <v>0</v>
      </c>
      <c r="H4730" s="128" t="s">
        <v>6712</v>
      </c>
      <c r="I4730" s="128" t="s">
        <v>4325</v>
      </c>
      <c r="J4730" s="128" t="s">
        <v>3480</v>
      </c>
      <c r="K4730" s="128" t="s">
        <v>4863</v>
      </c>
      <c r="L4730" s="127"/>
      <c r="M4730" s="127">
        <v>43001345</v>
      </c>
      <c r="N4730" s="109"/>
      <c r="O4730" s="19" t="s">
        <v>4878</v>
      </c>
      <c r="P4730" s="32"/>
      <c r="Q4730" s="32"/>
    </row>
    <row r="4731" spans="1:17" ht="24.9" customHeight="1">
      <c r="A4731" s="20"/>
      <c r="B4731" s="20" t="s">
        <v>5101</v>
      </c>
      <c r="C4731" s="20"/>
      <c r="D4731" s="20" t="s">
        <v>4325</v>
      </c>
      <c r="E4731" s="19">
        <f>VLOOKUP(D4731,'لیست پرسنل'!$B$2:$E$1020,3,FALSE)</f>
        <v>0</v>
      </c>
      <c r="F4731" s="19">
        <f>VLOOKUP(D4731,'لیست پرسنل'!$B$2:$E$1020,4,FALSE)</f>
        <v>0</v>
      </c>
      <c r="G4731" s="127">
        <f>VLOOKUP(D4731,'لیست پرسنل'!$B$2:$F$1020,2,FALSE)</f>
        <v>0</v>
      </c>
      <c r="H4731" s="128" t="s">
        <v>6712</v>
      </c>
      <c r="I4731" s="128" t="s">
        <v>4325</v>
      </c>
      <c r="J4731" s="128" t="s">
        <v>3480</v>
      </c>
      <c r="K4731" s="128" t="s">
        <v>4863</v>
      </c>
      <c r="L4731" s="127"/>
      <c r="M4731" s="127">
        <v>43001346</v>
      </c>
      <c r="N4731" s="109"/>
      <c r="O4731" s="19" t="s">
        <v>4878</v>
      </c>
      <c r="P4731" s="32"/>
      <c r="Q4731" s="32"/>
    </row>
    <row r="4732" spans="1:17" ht="24.9" customHeight="1">
      <c r="A4732" s="20"/>
      <c r="B4732" s="20" t="s">
        <v>5101</v>
      </c>
      <c r="C4732" s="20"/>
      <c r="D4732" s="20" t="s">
        <v>4325</v>
      </c>
      <c r="E4732" s="19">
        <f>VLOOKUP(D4732,'لیست پرسنل'!$B$2:$E$1020,3,FALSE)</f>
        <v>0</v>
      </c>
      <c r="F4732" s="19">
        <f>VLOOKUP(D4732,'لیست پرسنل'!$B$2:$E$1020,4,FALSE)</f>
        <v>0</v>
      </c>
      <c r="G4732" s="127">
        <f>VLOOKUP(D4732,'لیست پرسنل'!$B$2:$F$1020,2,FALSE)</f>
        <v>0</v>
      </c>
      <c r="H4732" s="128" t="s">
        <v>6712</v>
      </c>
      <c r="I4732" s="128" t="s">
        <v>4325</v>
      </c>
      <c r="J4732" s="128" t="s">
        <v>3480</v>
      </c>
      <c r="K4732" s="128" t="s">
        <v>4863</v>
      </c>
      <c r="L4732" s="127"/>
      <c r="M4732" s="127">
        <v>43001347</v>
      </c>
      <c r="N4732" s="109"/>
      <c r="O4732" s="19" t="s">
        <v>4878</v>
      </c>
      <c r="P4732" s="32"/>
      <c r="Q4732" s="32"/>
    </row>
    <row r="4733" spans="1:17" ht="24.9" customHeight="1">
      <c r="A4733" s="20"/>
      <c r="B4733" s="20" t="s">
        <v>5101</v>
      </c>
      <c r="C4733" s="20"/>
      <c r="D4733" s="20" t="s">
        <v>4325</v>
      </c>
      <c r="E4733" s="19">
        <f>VLOOKUP(D4733,'لیست پرسنل'!$B$2:$E$1020,3,FALSE)</f>
        <v>0</v>
      </c>
      <c r="F4733" s="19">
        <f>VLOOKUP(D4733,'لیست پرسنل'!$B$2:$E$1020,4,FALSE)</f>
        <v>0</v>
      </c>
      <c r="G4733" s="127">
        <f>VLOOKUP(D4733,'لیست پرسنل'!$B$2:$F$1020,2,FALSE)</f>
        <v>0</v>
      </c>
      <c r="H4733" s="128" t="s">
        <v>6712</v>
      </c>
      <c r="I4733" s="128" t="s">
        <v>4325</v>
      </c>
      <c r="J4733" s="128" t="s">
        <v>3480</v>
      </c>
      <c r="K4733" s="128" t="s">
        <v>4863</v>
      </c>
      <c r="L4733" s="127"/>
      <c r="M4733" s="127">
        <v>43001348</v>
      </c>
      <c r="N4733" s="109"/>
      <c r="O4733" s="19" t="s">
        <v>4878</v>
      </c>
      <c r="P4733" s="32"/>
      <c r="Q4733" s="32"/>
    </row>
    <row r="4734" spans="1:17" ht="24.9" customHeight="1">
      <c r="A4734" s="20"/>
      <c r="B4734" s="20" t="s">
        <v>5101</v>
      </c>
      <c r="C4734" s="20"/>
      <c r="D4734" s="20" t="s">
        <v>4325</v>
      </c>
      <c r="E4734" s="19">
        <f>VLOOKUP(D4734,'لیست پرسنل'!$B$2:$E$1020,3,FALSE)</f>
        <v>0</v>
      </c>
      <c r="F4734" s="19">
        <f>VLOOKUP(D4734,'لیست پرسنل'!$B$2:$E$1020,4,FALSE)</f>
        <v>0</v>
      </c>
      <c r="G4734" s="127">
        <f>VLOOKUP(D4734,'لیست پرسنل'!$B$2:$F$1020,2,FALSE)</f>
        <v>0</v>
      </c>
      <c r="H4734" s="128" t="s">
        <v>6712</v>
      </c>
      <c r="I4734" s="128" t="s">
        <v>4325</v>
      </c>
      <c r="J4734" s="128" t="s">
        <v>3480</v>
      </c>
      <c r="K4734" s="128" t="s">
        <v>4863</v>
      </c>
      <c r="L4734" s="127"/>
      <c r="M4734" s="127">
        <v>43001349</v>
      </c>
      <c r="N4734" s="109"/>
      <c r="O4734" s="19" t="s">
        <v>4878</v>
      </c>
      <c r="P4734" s="32"/>
      <c r="Q4734" s="32"/>
    </row>
    <row r="4735" spans="1:17" ht="24.9" customHeight="1">
      <c r="A4735" s="20"/>
      <c r="B4735" s="20" t="s">
        <v>5101</v>
      </c>
      <c r="C4735" s="20"/>
      <c r="D4735" s="20" t="s">
        <v>4325</v>
      </c>
      <c r="E4735" s="19">
        <f>VLOOKUP(D4735,'لیست پرسنل'!$B$2:$E$1020,3,FALSE)</f>
        <v>0</v>
      </c>
      <c r="F4735" s="19">
        <f>VLOOKUP(D4735,'لیست پرسنل'!$B$2:$E$1020,4,FALSE)</f>
        <v>0</v>
      </c>
      <c r="G4735" s="127">
        <f>VLOOKUP(D4735,'لیست پرسنل'!$B$2:$F$1020,2,FALSE)</f>
        <v>0</v>
      </c>
      <c r="H4735" s="128" t="s">
        <v>6712</v>
      </c>
      <c r="I4735" s="128" t="s">
        <v>4325</v>
      </c>
      <c r="J4735" s="128" t="s">
        <v>3480</v>
      </c>
      <c r="K4735" s="128" t="s">
        <v>4863</v>
      </c>
      <c r="L4735" s="127"/>
      <c r="M4735" s="127">
        <v>43001350</v>
      </c>
      <c r="N4735" s="109"/>
      <c r="O4735" s="19" t="s">
        <v>4878</v>
      </c>
      <c r="P4735" s="32"/>
      <c r="Q4735" s="32"/>
    </row>
    <row r="4736" spans="1:17" ht="24.9" customHeight="1">
      <c r="A4736" s="20"/>
      <c r="B4736" s="20" t="s">
        <v>5101</v>
      </c>
      <c r="C4736" s="20"/>
      <c r="D4736" s="20" t="s">
        <v>4325</v>
      </c>
      <c r="E4736" s="19">
        <f>VLOOKUP(D4736,'لیست پرسنل'!$B$2:$E$1020,3,FALSE)</f>
        <v>0</v>
      </c>
      <c r="F4736" s="19">
        <f>VLOOKUP(D4736,'لیست پرسنل'!$B$2:$E$1020,4,FALSE)</f>
        <v>0</v>
      </c>
      <c r="G4736" s="127">
        <f>VLOOKUP(D4736,'لیست پرسنل'!$B$2:$F$1020,2,FALSE)</f>
        <v>0</v>
      </c>
      <c r="H4736" s="128" t="s">
        <v>6712</v>
      </c>
      <c r="I4736" s="128" t="s">
        <v>4325</v>
      </c>
      <c r="J4736" s="128" t="s">
        <v>3480</v>
      </c>
      <c r="K4736" s="128" t="s">
        <v>4863</v>
      </c>
      <c r="L4736" s="127"/>
      <c r="M4736" s="127">
        <v>43001351</v>
      </c>
      <c r="N4736" s="109"/>
      <c r="O4736" s="19" t="s">
        <v>4878</v>
      </c>
      <c r="P4736" s="32"/>
      <c r="Q4736" s="32"/>
    </row>
    <row r="4737" spans="1:17" ht="24.9" customHeight="1">
      <c r="A4737" s="20"/>
      <c r="B4737" s="20" t="s">
        <v>5101</v>
      </c>
      <c r="C4737" s="20"/>
      <c r="D4737" s="20" t="s">
        <v>4325</v>
      </c>
      <c r="E4737" s="19">
        <f>VLOOKUP(D4737,'لیست پرسنل'!$B$2:$E$1020,3,FALSE)</f>
        <v>0</v>
      </c>
      <c r="F4737" s="19">
        <f>VLOOKUP(D4737,'لیست پرسنل'!$B$2:$E$1020,4,FALSE)</f>
        <v>0</v>
      </c>
      <c r="G4737" s="127">
        <f>VLOOKUP(D4737,'لیست پرسنل'!$B$2:$F$1020,2,FALSE)</f>
        <v>0</v>
      </c>
      <c r="H4737" s="128" t="s">
        <v>6712</v>
      </c>
      <c r="I4737" s="128" t="s">
        <v>4325</v>
      </c>
      <c r="J4737" s="128" t="s">
        <v>3480</v>
      </c>
      <c r="K4737" s="128" t="s">
        <v>4863</v>
      </c>
      <c r="L4737" s="127"/>
      <c r="M4737" s="127">
        <v>43001352</v>
      </c>
      <c r="N4737" s="109"/>
      <c r="O4737" s="19" t="s">
        <v>4878</v>
      </c>
      <c r="P4737" s="32"/>
      <c r="Q4737" s="32"/>
    </row>
    <row r="4738" spans="1:17" ht="24.9" customHeight="1">
      <c r="A4738" s="20"/>
      <c r="B4738" s="20" t="s">
        <v>5101</v>
      </c>
      <c r="C4738" s="20"/>
      <c r="D4738" s="20" t="s">
        <v>4325</v>
      </c>
      <c r="E4738" s="19">
        <f>VLOOKUP(D4738,'لیست پرسنل'!$B$2:$E$1020,3,FALSE)</f>
        <v>0</v>
      </c>
      <c r="F4738" s="19">
        <f>VLOOKUP(D4738,'لیست پرسنل'!$B$2:$E$1020,4,FALSE)</f>
        <v>0</v>
      </c>
      <c r="G4738" s="127">
        <f>VLOOKUP(D4738,'لیست پرسنل'!$B$2:$F$1020,2,FALSE)</f>
        <v>0</v>
      </c>
      <c r="H4738" s="128" t="s">
        <v>6712</v>
      </c>
      <c r="I4738" s="128" t="s">
        <v>4325</v>
      </c>
      <c r="J4738" s="128" t="s">
        <v>3480</v>
      </c>
      <c r="K4738" s="128" t="s">
        <v>4863</v>
      </c>
      <c r="L4738" s="127"/>
      <c r="M4738" s="127">
        <v>43001353</v>
      </c>
      <c r="N4738" s="109"/>
      <c r="O4738" s="19" t="s">
        <v>4878</v>
      </c>
      <c r="P4738" s="32"/>
      <c r="Q4738" s="32"/>
    </row>
    <row r="4739" spans="1:17" ht="24.9" customHeight="1">
      <c r="A4739" s="20"/>
      <c r="B4739" s="20" t="s">
        <v>5101</v>
      </c>
      <c r="C4739" s="20"/>
      <c r="D4739" s="20" t="s">
        <v>4325</v>
      </c>
      <c r="E4739" s="19">
        <f>VLOOKUP(D4739,'لیست پرسنل'!$B$2:$E$1020,3,FALSE)</f>
        <v>0</v>
      </c>
      <c r="F4739" s="19">
        <f>VLOOKUP(D4739,'لیست پرسنل'!$B$2:$E$1020,4,FALSE)</f>
        <v>0</v>
      </c>
      <c r="G4739" s="127">
        <f>VLOOKUP(D4739,'لیست پرسنل'!$B$2:$F$1020,2,FALSE)</f>
        <v>0</v>
      </c>
      <c r="H4739" s="128" t="s">
        <v>6712</v>
      </c>
      <c r="I4739" s="128" t="s">
        <v>4325</v>
      </c>
      <c r="J4739" s="128" t="s">
        <v>3480</v>
      </c>
      <c r="K4739" s="128" t="s">
        <v>4863</v>
      </c>
      <c r="L4739" s="127"/>
      <c r="M4739" s="127">
        <v>43001354</v>
      </c>
      <c r="N4739" s="109"/>
      <c r="O4739" s="19" t="s">
        <v>4878</v>
      </c>
      <c r="P4739" s="32"/>
      <c r="Q4739" s="32"/>
    </row>
    <row r="4740" spans="1:17" ht="24.9" customHeight="1">
      <c r="A4740" s="20"/>
      <c r="B4740" s="20" t="s">
        <v>5101</v>
      </c>
      <c r="C4740" s="20"/>
      <c r="D4740" s="20" t="s">
        <v>4325</v>
      </c>
      <c r="E4740" s="19">
        <f>VLOOKUP(D4740,'لیست پرسنل'!$B$2:$E$1020,3,FALSE)</f>
        <v>0</v>
      </c>
      <c r="F4740" s="19">
        <f>VLOOKUP(D4740,'لیست پرسنل'!$B$2:$E$1020,4,FALSE)</f>
        <v>0</v>
      </c>
      <c r="G4740" s="127">
        <f>VLOOKUP(D4740,'لیست پرسنل'!$B$2:$F$1020,2,FALSE)</f>
        <v>0</v>
      </c>
      <c r="H4740" s="128" t="s">
        <v>6712</v>
      </c>
      <c r="I4740" s="128" t="s">
        <v>4325</v>
      </c>
      <c r="J4740" s="128" t="s">
        <v>3480</v>
      </c>
      <c r="K4740" s="128" t="s">
        <v>4863</v>
      </c>
      <c r="L4740" s="127"/>
      <c r="M4740" s="127">
        <v>43001355</v>
      </c>
      <c r="N4740" s="109"/>
      <c r="O4740" s="19" t="s">
        <v>4878</v>
      </c>
      <c r="P4740" s="32"/>
      <c r="Q4740" s="32"/>
    </row>
    <row r="4741" spans="1:17" ht="24.9" customHeight="1">
      <c r="A4741" s="20"/>
      <c r="B4741" s="20" t="s">
        <v>5101</v>
      </c>
      <c r="C4741" s="20"/>
      <c r="D4741" s="20" t="s">
        <v>4325</v>
      </c>
      <c r="E4741" s="19">
        <f>VLOOKUP(D4741,'لیست پرسنل'!$B$2:$E$1020,3,FALSE)</f>
        <v>0</v>
      </c>
      <c r="F4741" s="19">
        <f>VLOOKUP(D4741,'لیست پرسنل'!$B$2:$E$1020,4,FALSE)</f>
        <v>0</v>
      </c>
      <c r="G4741" s="127">
        <f>VLOOKUP(D4741,'لیست پرسنل'!$B$2:$F$1020,2,FALSE)</f>
        <v>0</v>
      </c>
      <c r="H4741" s="128" t="s">
        <v>6712</v>
      </c>
      <c r="I4741" s="128" t="s">
        <v>4325</v>
      </c>
      <c r="J4741" s="128" t="s">
        <v>3480</v>
      </c>
      <c r="K4741" s="128" t="s">
        <v>4863</v>
      </c>
      <c r="L4741" s="127"/>
      <c r="M4741" s="127">
        <v>43001356</v>
      </c>
      <c r="N4741" s="109"/>
      <c r="O4741" s="19" t="s">
        <v>4878</v>
      </c>
      <c r="P4741" s="32"/>
      <c r="Q4741" s="32"/>
    </row>
    <row r="4742" spans="1:17" ht="24.9" customHeight="1">
      <c r="A4742" s="20"/>
      <c r="B4742" s="20" t="s">
        <v>5101</v>
      </c>
      <c r="C4742" s="20"/>
      <c r="D4742" s="20" t="s">
        <v>4325</v>
      </c>
      <c r="E4742" s="19">
        <f>VLOOKUP(D4742,'لیست پرسنل'!$B$2:$E$1020,3,FALSE)</f>
        <v>0</v>
      </c>
      <c r="F4742" s="19">
        <f>VLOOKUP(D4742,'لیست پرسنل'!$B$2:$E$1020,4,FALSE)</f>
        <v>0</v>
      </c>
      <c r="G4742" s="127">
        <f>VLOOKUP(D4742,'لیست پرسنل'!$B$2:$F$1020,2,FALSE)</f>
        <v>0</v>
      </c>
      <c r="H4742" s="128" t="s">
        <v>6712</v>
      </c>
      <c r="I4742" s="128" t="s">
        <v>4325</v>
      </c>
      <c r="J4742" s="128" t="s">
        <v>3480</v>
      </c>
      <c r="K4742" s="128" t="s">
        <v>4863</v>
      </c>
      <c r="L4742" s="127"/>
      <c r="M4742" s="127">
        <v>43001357</v>
      </c>
      <c r="N4742" s="109"/>
      <c r="O4742" s="19" t="s">
        <v>4878</v>
      </c>
      <c r="P4742" s="32"/>
      <c r="Q4742" s="32"/>
    </row>
    <row r="4743" spans="1:17" ht="24.9" customHeight="1">
      <c r="A4743" s="20"/>
      <c r="B4743" s="20" t="s">
        <v>5101</v>
      </c>
      <c r="C4743" s="20"/>
      <c r="D4743" s="20" t="s">
        <v>4325</v>
      </c>
      <c r="E4743" s="19">
        <f>VLOOKUP(D4743,'لیست پرسنل'!$B$2:$E$1020,3,FALSE)</f>
        <v>0</v>
      </c>
      <c r="F4743" s="19">
        <f>VLOOKUP(D4743,'لیست پرسنل'!$B$2:$E$1020,4,FALSE)</f>
        <v>0</v>
      </c>
      <c r="G4743" s="127">
        <f>VLOOKUP(D4743,'لیست پرسنل'!$B$2:$F$1020,2,FALSE)</f>
        <v>0</v>
      </c>
      <c r="H4743" s="128" t="s">
        <v>6712</v>
      </c>
      <c r="I4743" s="128" t="s">
        <v>4325</v>
      </c>
      <c r="J4743" s="128" t="s">
        <v>3480</v>
      </c>
      <c r="K4743" s="128" t="s">
        <v>4863</v>
      </c>
      <c r="L4743" s="127"/>
      <c r="M4743" s="127">
        <v>43001358</v>
      </c>
      <c r="N4743" s="109"/>
      <c r="O4743" s="19" t="s">
        <v>4878</v>
      </c>
      <c r="P4743" s="32"/>
      <c r="Q4743" s="32"/>
    </row>
    <row r="4744" spans="1:17" ht="24.9" customHeight="1">
      <c r="A4744" s="20"/>
      <c r="B4744" s="20" t="s">
        <v>5101</v>
      </c>
      <c r="C4744" s="20"/>
      <c r="D4744" s="20" t="s">
        <v>4325</v>
      </c>
      <c r="E4744" s="19">
        <f>VLOOKUP(D4744,'لیست پرسنل'!$B$2:$E$1020,3,FALSE)</f>
        <v>0</v>
      </c>
      <c r="F4744" s="19">
        <f>VLOOKUP(D4744,'لیست پرسنل'!$B$2:$E$1020,4,FALSE)</f>
        <v>0</v>
      </c>
      <c r="G4744" s="127">
        <f>VLOOKUP(D4744,'لیست پرسنل'!$B$2:$F$1020,2,FALSE)</f>
        <v>0</v>
      </c>
      <c r="H4744" s="128" t="s">
        <v>6712</v>
      </c>
      <c r="I4744" s="128" t="s">
        <v>4325</v>
      </c>
      <c r="J4744" s="128" t="s">
        <v>3480</v>
      </c>
      <c r="K4744" s="128" t="s">
        <v>4863</v>
      </c>
      <c r="L4744" s="127"/>
      <c r="M4744" s="127">
        <v>43001359</v>
      </c>
      <c r="N4744" s="109"/>
      <c r="O4744" s="19" t="s">
        <v>4878</v>
      </c>
      <c r="P4744" s="32"/>
      <c r="Q4744" s="32"/>
    </row>
    <row r="4745" spans="1:17" ht="24.9" customHeight="1">
      <c r="A4745" s="20"/>
      <c r="B4745" s="20" t="s">
        <v>5101</v>
      </c>
      <c r="C4745" s="20"/>
      <c r="D4745" s="20" t="s">
        <v>4325</v>
      </c>
      <c r="E4745" s="19">
        <f>VLOOKUP(D4745,'لیست پرسنل'!$B$2:$E$1020,3,FALSE)</f>
        <v>0</v>
      </c>
      <c r="F4745" s="19">
        <f>VLOOKUP(D4745,'لیست پرسنل'!$B$2:$E$1020,4,FALSE)</f>
        <v>0</v>
      </c>
      <c r="G4745" s="127">
        <f>VLOOKUP(D4745,'لیست پرسنل'!$B$2:$F$1020,2,FALSE)</f>
        <v>0</v>
      </c>
      <c r="H4745" s="128" t="s">
        <v>6712</v>
      </c>
      <c r="I4745" s="128" t="s">
        <v>4325</v>
      </c>
      <c r="J4745" s="128" t="s">
        <v>3480</v>
      </c>
      <c r="K4745" s="128" t="s">
        <v>4863</v>
      </c>
      <c r="L4745" s="127"/>
      <c r="M4745" s="127">
        <v>43001360</v>
      </c>
      <c r="N4745" s="109"/>
      <c r="O4745" s="19" t="s">
        <v>4878</v>
      </c>
      <c r="P4745" s="32"/>
      <c r="Q4745" s="32"/>
    </row>
    <row r="4746" spans="1:17" ht="24.9" customHeight="1">
      <c r="A4746" s="20"/>
      <c r="B4746" s="20" t="s">
        <v>5101</v>
      </c>
      <c r="C4746" s="20"/>
      <c r="D4746" s="20" t="s">
        <v>4325</v>
      </c>
      <c r="E4746" s="19">
        <f>VLOOKUP(D4746,'لیست پرسنل'!$B$2:$E$1020,3,FALSE)</f>
        <v>0</v>
      </c>
      <c r="F4746" s="19">
        <f>VLOOKUP(D4746,'لیست پرسنل'!$B$2:$E$1020,4,FALSE)</f>
        <v>0</v>
      </c>
      <c r="G4746" s="127">
        <f>VLOOKUP(D4746,'لیست پرسنل'!$B$2:$F$1020,2,FALSE)</f>
        <v>0</v>
      </c>
      <c r="H4746" s="128" t="s">
        <v>6712</v>
      </c>
      <c r="I4746" s="128" t="s">
        <v>4325</v>
      </c>
      <c r="J4746" s="128" t="s">
        <v>3480</v>
      </c>
      <c r="K4746" s="128" t="s">
        <v>4863</v>
      </c>
      <c r="L4746" s="127"/>
      <c r="M4746" s="127">
        <v>43001361</v>
      </c>
      <c r="N4746" s="109"/>
      <c r="O4746" s="19" t="s">
        <v>4878</v>
      </c>
      <c r="P4746" s="32"/>
      <c r="Q4746" s="32"/>
    </row>
    <row r="4747" spans="1:17" ht="24.9" customHeight="1">
      <c r="A4747" s="20"/>
      <c r="B4747" s="20" t="s">
        <v>5101</v>
      </c>
      <c r="C4747" s="20"/>
      <c r="D4747" s="20" t="s">
        <v>4325</v>
      </c>
      <c r="E4747" s="19">
        <f>VLOOKUP(D4747,'لیست پرسنل'!$B$2:$E$1020,3,FALSE)</f>
        <v>0</v>
      </c>
      <c r="F4747" s="19">
        <f>VLOOKUP(D4747,'لیست پرسنل'!$B$2:$E$1020,4,FALSE)</f>
        <v>0</v>
      </c>
      <c r="G4747" s="127">
        <f>VLOOKUP(D4747,'لیست پرسنل'!$B$2:$F$1020,2,FALSE)</f>
        <v>0</v>
      </c>
      <c r="H4747" s="128" t="s">
        <v>6712</v>
      </c>
      <c r="I4747" s="128" t="s">
        <v>4325</v>
      </c>
      <c r="J4747" s="128" t="s">
        <v>3480</v>
      </c>
      <c r="K4747" s="128" t="s">
        <v>4863</v>
      </c>
      <c r="L4747" s="127"/>
      <c r="M4747" s="127">
        <v>43001362</v>
      </c>
      <c r="N4747" s="109"/>
      <c r="O4747" s="19" t="s">
        <v>4878</v>
      </c>
      <c r="P4747" s="32"/>
      <c r="Q4747" s="32"/>
    </row>
    <row r="4748" spans="1:17" ht="24.9" customHeight="1">
      <c r="A4748" s="20"/>
      <c r="B4748" s="20" t="s">
        <v>5101</v>
      </c>
      <c r="C4748" s="20"/>
      <c r="D4748" s="20" t="s">
        <v>4325</v>
      </c>
      <c r="E4748" s="19">
        <f>VLOOKUP(D4748,'لیست پرسنل'!$B$2:$E$1020,3,FALSE)</f>
        <v>0</v>
      </c>
      <c r="F4748" s="19">
        <f>VLOOKUP(D4748,'لیست پرسنل'!$B$2:$E$1020,4,FALSE)</f>
        <v>0</v>
      </c>
      <c r="G4748" s="127">
        <f>VLOOKUP(D4748,'لیست پرسنل'!$B$2:$F$1020,2,FALSE)</f>
        <v>0</v>
      </c>
      <c r="H4748" s="128" t="s">
        <v>6712</v>
      </c>
      <c r="I4748" s="128" t="s">
        <v>4325</v>
      </c>
      <c r="J4748" s="128" t="s">
        <v>3480</v>
      </c>
      <c r="K4748" s="128" t="s">
        <v>4863</v>
      </c>
      <c r="L4748" s="127"/>
      <c r="M4748" s="127">
        <v>43001363</v>
      </c>
      <c r="N4748" s="109"/>
      <c r="O4748" s="19" t="s">
        <v>4878</v>
      </c>
      <c r="P4748" s="32"/>
      <c r="Q4748" s="32"/>
    </row>
    <row r="4749" spans="1:17" ht="24.9" customHeight="1">
      <c r="A4749" s="20"/>
      <c r="B4749" s="20" t="s">
        <v>5101</v>
      </c>
      <c r="C4749" s="20"/>
      <c r="D4749" s="20" t="s">
        <v>4325</v>
      </c>
      <c r="E4749" s="19">
        <f>VLOOKUP(D4749,'لیست پرسنل'!$B$2:$E$1020,3,FALSE)</f>
        <v>0</v>
      </c>
      <c r="F4749" s="19">
        <f>VLOOKUP(D4749,'لیست پرسنل'!$B$2:$E$1020,4,FALSE)</f>
        <v>0</v>
      </c>
      <c r="G4749" s="127">
        <f>VLOOKUP(D4749,'لیست پرسنل'!$B$2:$F$1020,2,FALSE)</f>
        <v>0</v>
      </c>
      <c r="H4749" s="128" t="s">
        <v>6712</v>
      </c>
      <c r="I4749" s="128" t="s">
        <v>4325</v>
      </c>
      <c r="J4749" s="128" t="s">
        <v>3480</v>
      </c>
      <c r="K4749" s="128" t="s">
        <v>4863</v>
      </c>
      <c r="L4749" s="127"/>
      <c r="M4749" s="127">
        <v>43001364</v>
      </c>
      <c r="N4749" s="109"/>
      <c r="O4749" s="19" t="s">
        <v>4878</v>
      </c>
      <c r="P4749" s="32"/>
      <c r="Q4749" s="32"/>
    </row>
    <row r="4750" spans="1:17" ht="24.9" customHeight="1">
      <c r="A4750" s="20"/>
      <c r="B4750" s="20" t="s">
        <v>5101</v>
      </c>
      <c r="C4750" s="20"/>
      <c r="D4750" s="20" t="s">
        <v>4325</v>
      </c>
      <c r="E4750" s="19">
        <f>VLOOKUP(D4750,'لیست پرسنل'!$B$2:$E$1020,3,FALSE)</f>
        <v>0</v>
      </c>
      <c r="F4750" s="19">
        <f>VLOOKUP(D4750,'لیست پرسنل'!$B$2:$E$1020,4,FALSE)</f>
        <v>0</v>
      </c>
      <c r="G4750" s="127">
        <f>VLOOKUP(D4750,'لیست پرسنل'!$B$2:$F$1020,2,FALSE)</f>
        <v>0</v>
      </c>
      <c r="H4750" s="128" t="s">
        <v>6712</v>
      </c>
      <c r="I4750" s="128" t="s">
        <v>4325</v>
      </c>
      <c r="J4750" s="128" t="s">
        <v>3483</v>
      </c>
      <c r="K4750" s="128" t="s">
        <v>1457</v>
      </c>
      <c r="L4750" s="127"/>
      <c r="M4750" s="127">
        <v>43000191</v>
      </c>
      <c r="N4750" s="109"/>
      <c r="O4750" s="19" t="s">
        <v>4895</v>
      </c>
      <c r="P4750" s="32"/>
      <c r="Q4750" s="32"/>
    </row>
    <row r="4751" spans="1:17" ht="24.9" customHeight="1">
      <c r="A4751" s="20"/>
      <c r="B4751" s="20" t="s">
        <v>5101</v>
      </c>
      <c r="C4751" s="20"/>
      <c r="D4751" s="20" t="s">
        <v>4325</v>
      </c>
      <c r="E4751" s="19">
        <f>VLOOKUP(D4751,'لیست پرسنل'!$B$2:$E$1020,3,FALSE)</f>
        <v>0</v>
      </c>
      <c r="F4751" s="19">
        <f>VLOOKUP(D4751,'لیست پرسنل'!$B$2:$E$1020,4,FALSE)</f>
        <v>0</v>
      </c>
      <c r="G4751" s="127">
        <f>VLOOKUP(D4751,'لیست پرسنل'!$B$2:$F$1020,2,FALSE)</f>
        <v>0</v>
      </c>
      <c r="H4751" s="128" t="s">
        <v>6712</v>
      </c>
      <c r="I4751" s="128" t="s">
        <v>4325</v>
      </c>
      <c r="J4751" s="128" t="s">
        <v>3476</v>
      </c>
      <c r="K4751" s="128" t="s">
        <v>4841</v>
      </c>
      <c r="L4751" s="127" t="s">
        <v>846</v>
      </c>
      <c r="M4751" s="127">
        <v>43000244</v>
      </c>
      <c r="N4751" s="109"/>
      <c r="O4751" s="19" t="s">
        <v>4896</v>
      </c>
      <c r="P4751" s="32"/>
      <c r="Q4751" s="32"/>
    </row>
    <row r="4752" spans="1:17" ht="24.9" customHeight="1">
      <c r="A4752" s="20"/>
      <c r="B4752" s="20" t="s">
        <v>5101</v>
      </c>
      <c r="C4752" s="20"/>
      <c r="D4752" s="20" t="s">
        <v>4325</v>
      </c>
      <c r="E4752" s="19">
        <f>VLOOKUP(D4752,'لیست پرسنل'!$B$2:$E$1020,3,FALSE)</f>
        <v>0</v>
      </c>
      <c r="F4752" s="19">
        <f>VLOOKUP(D4752,'لیست پرسنل'!$B$2:$E$1020,4,FALSE)</f>
        <v>0</v>
      </c>
      <c r="G4752" s="127">
        <f>VLOOKUP(D4752,'لیست پرسنل'!$B$2:$F$1020,2,FALSE)</f>
        <v>0</v>
      </c>
      <c r="H4752" s="128" t="s">
        <v>6712</v>
      </c>
      <c r="I4752" s="128" t="s">
        <v>4325</v>
      </c>
      <c r="J4752" s="128" t="s">
        <v>3476</v>
      </c>
      <c r="K4752" s="128" t="s">
        <v>4842</v>
      </c>
      <c r="L4752" s="127"/>
      <c r="M4752" s="127">
        <v>43001309</v>
      </c>
      <c r="N4752" s="109"/>
      <c r="O4752" s="19"/>
      <c r="P4752" s="32"/>
      <c r="Q4752" s="32"/>
    </row>
    <row r="4753" spans="1:17" ht="24.9" customHeight="1">
      <c r="A4753" s="20"/>
      <c r="B4753" s="20" t="s">
        <v>5101</v>
      </c>
      <c r="C4753" s="20"/>
      <c r="D4753" s="20" t="s">
        <v>4325</v>
      </c>
      <c r="E4753" s="19">
        <f>VLOOKUP(D4753,'لیست پرسنل'!$B$2:$E$1020,3,FALSE)</f>
        <v>0</v>
      </c>
      <c r="F4753" s="19">
        <f>VLOOKUP(D4753,'لیست پرسنل'!$B$2:$E$1020,4,FALSE)</f>
        <v>0</v>
      </c>
      <c r="G4753" s="127">
        <f>VLOOKUP(D4753,'لیست پرسنل'!$B$2:$F$1020,2,FALSE)</f>
        <v>0</v>
      </c>
      <c r="H4753" s="128" t="s">
        <v>6712</v>
      </c>
      <c r="I4753" s="128" t="s">
        <v>4325</v>
      </c>
      <c r="J4753" s="128" t="s">
        <v>4898</v>
      </c>
      <c r="K4753" s="128" t="s">
        <v>1979</v>
      </c>
      <c r="L4753" s="127" t="s">
        <v>1980</v>
      </c>
      <c r="M4753" s="127" t="s">
        <v>291</v>
      </c>
      <c r="N4753" s="109"/>
      <c r="O4753" s="19"/>
      <c r="P4753" s="32"/>
      <c r="Q4753" s="32"/>
    </row>
    <row r="4754" spans="1:17" ht="24.9" customHeight="1">
      <c r="A4754" s="20"/>
      <c r="B4754" s="20" t="s">
        <v>5101</v>
      </c>
      <c r="C4754" s="20"/>
      <c r="D4754" s="20" t="s">
        <v>4325</v>
      </c>
      <c r="E4754" s="19">
        <f>VLOOKUP(D4754,'لیست پرسنل'!$B$2:$E$1020,3,FALSE)</f>
        <v>0</v>
      </c>
      <c r="F4754" s="19">
        <f>VLOOKUP(D4754,'لیست پرسنل'!$B$2:$E$1020,4,FALSE)</f>
        <v>0</v>
      </c>
      <c r="G4754" s="127">
        <f>VLOOKUP(D4754,'لیست پرسنل'!$B$2:$F$1020,2,FALSE)</f>
        <v>0</v>
      </c>
      <c r="H4754" s="128" t="s">
        <v>6712</v>
      </c>
      <c r="I4754" s="128" t="s">
        <v>4325</v>
      </c>
      <c r="J4754" s="128" t="s">
        <v>571</v>
      </c>
      <c r="K4754" s="128"/>
      <c r="L4754" s="127"/>
      <c r="M4754" s="127">
        <v>43000163</v>
      </c>
      <c r="N4754" s="109"/>
      <c r="O4754" s="19" t="s">
        <v>4889</v>
      </c>
      <c r="P4754" s="32"/>
      <c r="Q4754" s="32"/>
    </row>
    <row r="4755" spans="1:17" ht="24.9" customHeight="1">
      <c r="A4755" s="20"/>
      <c r="B4755" s="20" t="s">
        <v>5101</v>
      </c>
      <c r="C4755" s="20"/>
      <c r="D4755" s="20" t="s">
        <v>4325</v>
      </c>
      <c r="E4755" s="19">
        <f>VLOOKUP(D4755,'لیست پرسنل'!$B$2:$E$1020,3,FALSE)</f>
        <v>0</v>
      </c>
      <c r="F4755" s="19">
        <f>VLOOKUP(D4755,'لیست پرسنل'!$B$2:$E$1020,4,FALSE)</f>
        <v>0</v>
      </c>
      <c r="G4755" s="127">
        <f>VLOOKUP(D4755,'لیست پرسنل'!$B$2:$F$1020,2,FALSE)</f>
        <v>0</v>
      </c>
      <c r="H4755" s="128" t="s">
        <v>6712</v>
      </c>
      <c r="I4755" s="128" t="s">
        <v>4325</v>
      </c>
      <c r="J4755" s="128" t="s">
        <v>571</v>
      </c>
      <c r="K4755" s="128"/>
      <c r="L4755" s="127"/>
      <c r="M4755" s="127">
        <v>43000213</v>
      </c>
      <c r="N4755" s="109"/>
      <c r="O4755" s="19" t="s">
        <v>4894</v>
      </c>
      <c r="P4755" s="32"/>
      <c r="Q4755" s="32"/>
    </row>
    <row r="4756" spans="1:17" ht="24.9" customHeight="1">
      <c r="A4756" s="20"/>
      <c r="B4756" s="20" t="s">
        <v>5101</v>
      </c>
      <c r="C4756" s="20"/>
      <c r="D4756" s="20" t="s">
        <v>4325</v>
      </c>
      <c r="E4756" s="19">
        <f>VLOOKUP(D4756,'لیست پرسنل'!$B$2:$E$1020,3,FALSE)</f>
        <v>0</v>
      </c>
      <c r="F4756" s="19">
        <f>VLOOKUP(D4756,'لیست پرسنل'!$B$2:$E$1020,4,FALSE)</f>
        <v>0</v>
      </c>
      <c r="G4756" s="127">
        <f>VLOOKUP(D4756,'لیست پرسنل'!$B$2:$F$1020,2,FALSE)</f>
        <v>0</v>
      </c>
      <c r="H4756" s="128" t="s">
        <v>6712</v>
      </c>
      <c r="I4756" s="128" t="s">
        <v>4325</v>
      </c>
      <c r="J4756" s="128" t="s">
        <v>571</v>
      </c>
      <c r="K4756" s="128"/>
      <c r="L4756" s="127"/>
      <c r="M4756" s="127">
        <v>43000236</v>
      </c>
      <c r="N4756" s="109"/>
      <c r="O4756" s="19" t="s">
        <v>4891</v>
      </c>
      <c r="P4756" s="32"/>
      <c r="Q4756" s="32"/>
    </row>
    <row r="4757" spans="1:17" ht="24.9" customHeight="1">
      <c r="A4757" s="20"/>
      <c r="B4757" s="20" t="s">
        <v>5101</v>
      </c>
      <c r="C4757" s="20"/>
      <c r="D4757" s="20" t="s">
        <v>4325</v>
      </c>
      <c r="E4757" s="19">
        <f>VLOOKUP(D4757,'لیست پرسنل'!$B$2:$E$1020,3,FALSE)</f>
        <v>0</v>
      </c>
      <c r="F4757" s="19">
        <f>VLOOKUP(D4757,'لیست پرسنل'!$B$2:$E$1020,4,FALSE)</f>
        <v>0</v>
      </c>
      <c r="G4757" s="127">
        <f>VLOOKUP(D4757,'لیست پرسنل'!$B$2:$F$1020,2,FALSE)</f>
        <v>0</v>
      </c>
      <c r="H4757" s="128" t="s">
        <v>6712</v>
      </c>
      <c r="I4757" s="128" t="s">
        <v>4325</v>
      </c>
      <c r="J4757" s="128" t="s">
        <v>571</v>
      </c>
      <c r="K4757" s="128"/>
      <c r="L4757" s="127"/>
      <c r="M4757" s="127">
        <v>43000275</v>
      </c>
      <c r="N4757" s="109"/>
      <c r="O4757" s="19"/>
      <c r="P4757" s="32"/>
      <c r="Q4757" s="32"/>
    </row>
    <row r="4758" spans="1:17" ht="24.9" customHeight="1">
      <c r="A4758" s="20"/>
      <c r="B4758" s="20" t="s">
        <v>5101</v>
      </c>
      <c r="C4758" s="20"/>
      <c r="D4758" s="20" t="s">
        <v>4325</v>
      </c>
      <c r="E4758" s="19">
        <f>VLOOKUP(D4758,'لیست پرسنل'!$B$2:$E$1020,3,FALSE)</f>
        <v>0</v>
      </c>
      <c r="F4758" s="19">
        <f>VLOOKUP(D4758,'لیست پرسنل'!$B$2:$E$1020,4,FALSE)</f>
        <v>0</v>
      </c>
      <c r="G4758" s="127">
        <f>VLOOKUP(D4758,'لیست پرسنل'!$B$2:$F$1020,2,FALSE)</f>
        <v>0</v>
      </c>
      <c r="H4758" s="128" t="s">
        <v>6712</v>
      </c>
      <c r="I4758" s="128" t="s">
        <v>4325</v>
      </c>
      <c r="J4758" s="128" t="s">
        <v>571</v>
      </c>
      <c r="K4758" s="128"/>
      <c r="L4758" s="127"/>
      <c r="M4758" s="127">
        <v>43000339</v>
      </c>
      <c r="N4758" s="109"/>
      <c r="O4758" s="19"/>
      <c r="P4758" s="32"/>
      <c r="Q4758" s="32"/>
    </row>
    <row r="4759" spans="1:17" ht="24.9" customHeight="1">
      <c r="A4759" s="20"/>
      <c r="B4759" s="20" t="s">
        <v>5101</v>
      </c>
      <c r="C4759" s="20"/>
      <c r="D4759" s="20" t="s">
        <v>4325</v>
      </c>
      <c r="E4759" s="19">
        <f>VLOOKUP(D4759,'لیست پرسنل'!$B$2:$E$1020,3,FALSE)</f>
        <v>0</v>
      </c>
      <c r="F4759" s="19">
        <f>VLOOKUP(D4759,'لیست پرسنل'!$B$2:$E$1020,4,FALSE)</f>
        <v>0</v>
      </c>
      <c r="G4759" s="127">
        <f>VLOOKUP(D4759,'لیست پرسنل'!$B$2:$F$1020,2,FALSE)</f>
        <v>0</v>
      </c>
      <c r="H4759" s="128" t="s">
        <v>6712</v>
      </c>
      <c r="I4759" s="128" t="s">
        <v>4325</v>
      </c>
      <c r="J4759" s="128" t="s">
        <v>571</v>
      </c>
      <c r="K4759" s="128"/>
      <c r="L4759" s="127"/>
      <c r="M4759" s="127">
        <v>43000340</v>
      </c>
      <c r="N4759" s="109"/>
      <c r="O4759" s="19"/>
      <c r="P4759" s="32"/>
      <c r="Q4759" s="32"/>
    </row>
    <row r="4760" spans="1:17" ht="24.9" customHeight="1">
      <c r="A4760" s="20"/>
      <c r="B4760" s="20" t="s">
        <v>5101</v>
      </c>
      <c r="C4760" s="20"/>
      <c r="D4760" s="20" t="s">
        <v>4325</v>
      </c>
      <c r="E4760" s="19">
        <f>VLOOKUP(D4760,'لیست پرسنل'!$B$2:$E$1020,3,FALSE)</f>
        <v>0</v>
      </c>
      <c r="F4760" s="19">
        <f>VLOOKUP(D4760,'لیست پرسنل'!$B$2:$E$1020,4,FALSE)</f>
        <v>0</v>
      </c>
      <c r="G4760" s="127">
        <f>VLOOKUP(D4760,'لیست پرسنل'!$B$2:$F$1020,2,FALSE)</f>
        <v>0</v>
      </c>
      <c r="H4760" s="128" t="s">
        <v>6712</v>
      </c>
      <c r="I4760" s="128" t="s">
        <v>4325</v>
      </c>
      <c r="J4760" s="128" t="s">
        <v>571</v>
      </c>
      <c r="K4760" s="128"/>
      <c r="L4760" s="127"/>
      <c r="M4760" s="127">
        <v>43000341</v>
      </c>
      <c r="N4760" s="109"/>
      <c r="O4760" s="19"/>
      <c r="P4760" s="32"/>
      <c r="Q4760" s="32"/>
    </row>
    <row r="4761" spans="1:17" ht="24.9" customHeight="1">
      <c r="A4761" s="20"/>
      <c r="B4761" s="20" t="s">
        <v>5101</v>
      </c>
      <c r="C4761" s="20"/>
      <c r="D4761" s="20" t="s">
        <v>4325</v>
      </c>
      <c r="E4761" s="19">
        <f>VLOOKUP(D4761,'لیست پرسنل'!$B$2:$E$1020,3,FALSE)</f>
        <v>0</v>
      </c>
      <c r="F4761" s="19">
        <f>VLOOKUP(D4761,'لیست پرسنل'!$B$2:$E$1020,4,FALSE)</f>
        <v>0</v>
      </c>
      <c r="G4761" s="127">
        <f>VLOOKUP(D4761,'لیست پرسنل'!$B$2:$F$1020,2,FALSE)</f>
        <v>0</v>
      </c>
      <c r="H4761" s="128" t="s">
        <v>6712</v>
      </c>
      <c r="I4761" s="128" t="s">
        <v>4325</v>
      </c>
      <c r="J4761" s="128" t="s">
        <v>571</v>
      </c>
      <c r="K4761" s="128"/>
      <c r="L4761" s="127"/>
      <c r="M4761" s="127">
        <v>43000342</v>
      </c>
      <c r="N4761" s="109"/>
      <c r="O4761" s="19"/>
      <c r="P4761" s="32"/>
      <c r="Q4761" s="32"/>
    </row>
    <row r="4762" spans="1:17" ht="24.9" customHeight="1">
      <c r="A4762" s="20"/>
      <c r="B4762" s="20" t="s">
        <v>5101</v>
      </c>
      <c r="C4762" s="20"/>
      <c r="D4762" s="20" t="s">
        <v>4325</v>
      </c>
      <c r="E4762" s="19">
        <f>VLOOKUP(D4762,'لیست پرسنل'!$B$2:$E$1020,3,FALSE)</f>
        <v>0</v>
      </c>
      <c r="F4762" s="19">
        <f>VLOOKUP(D4762,'لیست پرسنل'!$B$2:$E$1020,4,FALSE)</f>
        <v>0</v>
      </c>
      <c r="G4762" s="127">
        <f>VLOOKUP(D4762,'لیست پرسنل'!$B$2:$F$1020,2,FALSE)</f>
        <v>0</v>
      </c>
      <c r="H4762" s="128" t="s">
        <v>6712</v>
      </c>
      <c r="I4762" s="128" t="s">
        <v>4325</v>
      </c>
      <c r="J4762" s="128" t="s">
        <v>571</v>
      </c>
      <c r="K4762" s="128"/>
      <c r="L4762" s="127"/>
      <c r="M4762" s="127">
        <v>43000343</v>
      </c>
      <c r="N4762" s="109"/>
      <c r="O4762" s="19"/>
      <c r="P4762" s="32"/>
      <c r="Q4762" s="32"/>
    </row>
    <row r="4763" spans="1:17" ht="24.9" customHeight="1">
      <c r="A4763" s="20"/>
      <c r="B4763" s="20" t="s">
        <v>5101</v>
      </c>
      <c r="C4763" s="20"/>
      <c r="D4763" s="20" t="s">
        <v>4325</v>
      </c>
      <c r="E4763" s="19">
        <f>VLOOKUP(D4763,'لیست پرسنل'!$B$2:$E$1020,3,FALSE)</f>
        <v>0</v>
      </c>
      <c r="F4763" s="19">
        <f>VLOOKUP(D4763,'لیست پرسنل'!$B$2:$E$1020,4,FALSE)</f>
        <v>0</v>
      </c>
      <c r="G4763" s="127">
        <f>VLOOKUP(D4763,'لیست پرسنل'!$B$2:$F$1020,2,FALSE)</f>
        <v>0</v>
      </c>
      <c r="H4763" s="128" t="s">
        <v>6712</v>
      </c>
      <c r="I4763" s="128" t="s">
        <v>4325</v>
      </c>
      <c r="J4763" s="128" t="s">
        <v>571</v>
      </c>
      <c r="K4763" s="128"/>
      <c r="L4763" s="127"/>
      <c r="M4763" s="127">
        <v>43000344</v>
      </c>
      <c r="N4763" s="109"/>
      <c r="O4763" s="19"/>
      <c r="P4763" s="32"/>
      <c r="Q4763" s="32"/>
    </row>
    <row r="4764" spans="1:17" ht="24.9" customHeight="1">
      <c r="A4764" s="20"/>
      <c r="B4764" s="20" t="s">
        <v>5101</v>
      </c>
      <c r="C4764" s="20"/>
      <c r="D4764" s="20" t="s">
        <v>4325</v>
      </c>
      <c r="E4764" s="19">
        <f>VLOOKUP(D4764,'لیست پرسنل'!$B$2:$E$1020,3,FALSE)</f>
        <v>0</v>
      </c>
      <c r="F4764" s="19">
        <f>VLOOKUP(D4764,'لیست پرسنل'!$B$2:$E$1020,4,FALSE)</f>
        <v>0</v>
      </c>
      <c r="G4764" s="127">
        <f>VLOOKUP(D4764,'لیست پرسنل'!$B$2:$F$1020,2,FALSE)</f>
        <v>0</v>
      </c>
      <c r="H4764" s="128" t="s">
        <v>6712</v>
      </c>
      <c r="I4764" s="128" t="s">
        <v>4325</v>
      </c>
      <c r="J4764" s="128" t="s">
        <v>571</v>
      </c>
      <c r="K4764" s="128"/>
      <c r="L4764" s="127"/>
      <c r="M4764" s="127">
        <v>43000345</v>
      </c>
      <c r="N4764" s="109"/>
      <c r="O4764" s="19"/>
      <c r="P4764" s="32"/>
      <c r="Q4764" s="32"/>
    </row>
    <row r="4765" spans="1:17" ht="24.9" customHeight="1">
      <c r="A4765" s="20"/>
      <c r="B4765" s="20" t="s">
        <v>5101</v>
      </c>
      <c r="C4765" s="20"/>
      <c r="D4765" s="20" t="s">
        <v>4325</v>
      </c>
      <c r="E4765" s="19">
        <f>VLOOKUP(D4765,'لیست پرسنل'!$B$2:$E$1020,3,FALSE)</f>
        <v>0</v>
      </c>
      <c r="F4765" s="19">
        <f>VLOOKUP(D4765,'لیست پرسنل'!$B$2:$E$1020,4,FALSE)</f>
        <v>0</v>
      </c>
      <c r="G4765" s="127">
        <f>VLOOKUP(D4765,'لیست پرسنل'!$B$2:$F$1020,2,FALSE)</f>
        <v>0</v>
      </c>
      <c r="H4765" s="128" t="s">
        <v>6712</v>
      </c>
      <c r="I4765" s="128" t="s">
        <v>4325</v>
      </c>
      <c r="J4765" s="128" t="s">
        <v>571</v>
      </c>
      <c r="K4765" s="128"/>
      <c r="L4765" s="127"/>
      <c r="M4765" s="127">
        <v>43000346</v>
      </c>
      <c r="N4765" s="109"/>
      <c r="O4765" s="19"/>
      <c r="P4765" s="32"/>
      <c r="Q4765" s="32"/>
    </row>
    <row r="4766" spans="1:17" ht="24.9" customHeight="1">
      <c r="A4766" s="20"/>
      <c r="B4766" s="20" t="s">
        <v>5101</v>
      </c>
      <c r="C4766" s="20"/>
      <c r="D4766" s="20" t="s">
        <v>4325</v>
      </c>
      <c r="E4766" s="19">
        <f>VLOOKUP(D4766,'لیست پرسنل'!$B$2:$E$1020,3,FALSE)</f>
        <v>0</v>
      </c>
      <c r="F4766" s="19">
        <f>VLOOKUP(D4766,'لیست پرسنل'!$B$2:$E$1020,4,FALSE)</f>
        <v>0</v>
      </c>
      <c r="G4766" s="127">
        <f>VLOOKUP(D4766,'لیست پرسنل'!$B$2:$F$1020,2,FALSE)</f>
        <v>0</v>
      </c>
      <c r="H4766" s="128" t="s">
        <v>6712</v>
      </c>
      <c r="I4766" s="128" t="s">
        <v>4325</v>
      </c>
      <c r="J4766" s="128" t="s">
        <v>571</v>
      </c>
      <c r="K4766" s="128"/>
      <c r="L4766" s="127"/>
      <c r="M4766" s="127">
        <v>43000347</v>
      </c>
      <c r="N4766" s="109"/>
      <c r="O4766" s="19"/>
      <c r="P4766" s="32"/>
      <c r="Q4766" s="32"/>
    </row>
    <row r="4767" spans="1:17" ht="24.9" customHeight="1">
      <c r="A4767" s="20"/>
      <c r="B4767" s="20" t="s">
        <v>5101</v>
      </c>
      <c r="C4767" s="20"/>
      <c r="D4767" s="20" t="s">
        <v>4325</v>
      </c>
      <c r="E4767" s="19">
        <f>VLOOKUP(D4767,'لیست پرسنل'!$B$2:$E$1020,3,FALSE)</f>
        <v>0</v>
      </c>
      <c r="F4767" s="19">
        <f>VLOOKUP(D4767,'لیست پرسنل'!$B$2:$E$1020,4,FALSE)</f>
        <v>0</v>
      </c>
      <c r="G4767" s="127">
        <f>VLOOKUP(D4767,'لیست پرسنل'!$B$2:$F$1020,2,FALSE)</f>
        <v>0</v>
      </c>
      <c r="H4767" s="128" t="s">
        <v>6712</v>
      </c>
      <c r="I4767" s="128" t="s">
        <v>4325</v>
      </c>
      <c r="J4767" s="128" t="s">
        <v>571</v>
      </c>
      <c r="K4767" s="128"/>
      <c r="L4767" s="127"/>
      <c r="M4767" s="127">
        <v>43000348</v>
      </c>
      <c r="N4767" s="109"/>
      <c r="O4767" s="19"/>
      <c r="P4767" s="32"/>
      <c r="Q4767" s="32"/>
    </row>
    <row r="4768" spans="1:17" ht="24.9" customHeight="1">
      <c r="A4768" s="20"/>
      <c r="B4768" s="20" t="s">
        <v>5101</v>
      </c>
      <c r="C4768" s="20"/>
      <c r="D4768" s="20" t="s">
        <v>4325</v>
      </c>
      <c r="E4768" s="19">
        <f>VLOOKUP(D4768,'لیست پرسنل'!$B$2:$E$1020,3,FALSE)</f>
        <v>0</v>
      </c>
      <c r="F4768" s="19">
        <f>VLOOKUP(D4768,'لیست پرسنل'!$B$2:$E$1020,4,FALSE)</f>
        <v>0</v>
      </c>
      <c r="G4768" s="127">
        <f>VLOOKUP(D4768,'لیست پرسنل'!$B$2:$F$1020,2,FALSE)</f>
        <v>0</v>
      </c>
      <c r="H4768" s="128" t="s">
        <v>6712</v>
      </c>
      <c r="I4768" s="128" t="s">
        <v>4325</v>
      </c>
      <c r="J4768" s="128" t="s">
        <v>571</v>
      </c>
      <c r="K4768" s="128"/>
      <c r="L4768" s="127"/>
      <c r="M4768" s="127">
        <v>43000822</v>
      </c>
      <c r="N4768" s="109"/>
      <c r="O4768" s="19"/>
      <c r="P4768" s="32"/>
      <c r="Q4768" s="32"/>
    </row>
    <row r="4769" spans="1:17" ht="24.9" customHeight="1">
      <c r="A4769" s="20"/>
      <c r="B4769" s="20" t="s">
        <v>5101</v>
      </c>
      <c r="C4769" s="20"/>
      <c r="D4769" s="20" t="s">
        <v>4325</v>
      </c>
      <c r="E4769" s="19">
        <f>VLOOKUP(D4769,'لیست پرسنل'!$B$2:$E$1020,3,FALSE)</f>
        <v>0</v>
      </c>
      <c r="F4769" s="19">
        <f>VLOOKUP(D4769,'لیست پرسنل'!$B$2:$E$1020,4,FALSE)</f>
        <v>0</v>
      </c>
      <c r="G4769" s="127">
        <f>VLOOKUP(D4769,'لیست پرسنل'!$B$2:$F$1020,2,FALSE)</f>
        <v>0</v>
      </c>
      <c r="H4769" s="128" t="s">
        <v>6712</v>
      </c>
      <c r="I4769" s="128" t="s">
        <v>4325</v>
      </c>
      <c r="J4769" s="128" t="s">
        <v>2686</v>
      </c>
      <c r="K4769" s="128" t="s">
        <v>4103</v>
      </c>
      <c r="L4769" s="127" t="s">
        <v>4117</v>
      </c>
      <c r="M4769" s="127">
        <v>43001016</v>
      </c>
      <c r="N4769" s="109"/>
      <c r="O4769" s="19"/>
      <c r="P4769" s="32"/>
      <c r="Q4769" s="32"/>
    </row>
    <row r="4770" spans="1:17" ht="24.9" customHeight="1">
      <c r="A4770" s="20"/>
      <c r="B4770" s="20" t="s">
        <v>5101</v>
      </c>
      <c r="C4770" s="20"/>
      <c r="D4770" s="20" t="s">
        <v>4325</v>
      </c>
      <c r="E4770" s="19">
        <f>VLOOKUP(D4770,'لیست پرسنل'!$B$2:$E$1020,3,FALSE)</f>
        <v>0</v>
      </c>
      <c r="F4770" s="19">
        <f>VLOOKUP(D4770,'لیست پرسنل'!$B$2:$E$1020,4,FALSE)</f>
        <v>0</v>
      </c>
      <c r="G4770" s="127">
        <f>VLOOKUP(D4770,'لیست پرسنل'!$B$2:$F$1020,2,FALSE)</f>
        <v>0</v>
      </c>
      <c r="H4770" s="128" t="s">
        <v>6712</v>
      </c>
      <c r="I4770" s="128" t="s">
        <v>4325</v>
      </c>
      <c r="J4770" s="128" t="s">
        <v>2686</v>
      </c>
      <c r="K4770" s="128" t="s">
        <v>4103</v>
      </c>
      <c r="L4770" s="127" t="s">
        <v>4833</v>
      </c>
      <c r="M4770" s="127">
        <v>43001020</v>
      </c>
      <c r="N4770" s="109"/>
      <c r="O4770" s="19"/>
      <c r="P4770" s="32"/>
      <c r="Q4770" s="32"/>
    </row>
    <row r="4771" spans="1:17" ht="24.9" customHeight="1">
      <c r="A4771" s="20"/>
      <c r="B4771" s="20" t="s">
        <v>5101</v>
      </c>
      <c r="C4771" s="20"/>
      <c r="D4771" s="20" t="s">
        <v>4325</v>
      </c>
      <c r="E4771" s="19">
        <f>VLOOKUP(D4771,'لیست پرسنل'!$B$2:$E$1020,3,FALSE)</f>
        <v>0</v>
      </c>
      <c r="F4771" s="19">
        <f>VLOOKUP(D4771,'لیست پرسنل'!$B$2:$E$1020,4,FALSE)</f>
        <v>0</v>
      </c>
      <c r="G4771" s="127">
        <f>VLOOKUP(D4771,'لیست پرسنل'!$B$2:$F$1020,2,FALSE)</f>
        <v>0</v>
      </c>
      <c r="H4771" s="128" t="s">
        <v>6712</v>
      </c>
      <c r="I4771" s="128" t="s">
        <v>4325</v>
      </c>
      <c r="J4771" s="128" t="s">
        <v>2686</v>
      </c>
      <c r="K4771" s="128" t="s">
        <v>4103</v>
      </c>
      <c r="L4771" s="127" t="s">
        <v>4112</v>
      </c>
      <c r="M4771" s="127">
        <v>43001021</v>
      </c>
      <c r="N4771" s="109"/>
      <c r="O4771" s="19"/>
      <c r="P4771" s="32"/>
      <c r="Q4771" s="32"/>
    </row>
    <row r="4772" spans="1:17" ht="24.9" customHeight="1">
      <c r="A4772" s="20"/>
      <c r="B4772" s="20" t="s">
        <v>5101</v>
      </c>
      <c r="C4772" s="20"/>
      <c r="D4772" s="20" t="s">
        <v>4325</v>
      </c>
      <c r="E4772" s="19">
        <f>VLOOKUP(D4772,'لیست پرسنل'!$B$2:$E$1020,3,FALSE)</f>
        <v>0</v>
      </c>
      <c r="F4772" s="19">
        <f>VLOOKUP(D4772,'لیست پرسنل'!$B$2:$E$1020,4,FALSE)</f>
        <v>0</v>
      </c>
      <c r="G4772" s="127">
        <f>VLOOKUP(D4772,'لیست پرسنل'!$B$2:$F$1020,2,FALSE)</f>
        <v>0</v>
      </c>
      <c r="H4772" s="128" t="s">
        <v>6712</v>
      </c>
      <c r="I4772" s="128" t="s">
        <v>4325</v>
      </c>
      <c r="J4772" s="128" t="s">
        <v>2686</v>
      </c>
      <c r="K4772" s="128" t="s">
        <v>4103</v>
      </c>
      <c r="L4772" s="127" t="s">
        <v>4104</v>
      </c>
      <c r="M4772" s="127">
        <v>43001022</v>
      </c>
      <c r="N4772" s="109"/>
      <c r="O4772" s="19"/>
      <c r="P4772" s="32"/>
      <c r="Q4772" s="32"/>
    </row>
    <row r="4773" spans="1:17" ht="24.9" customHeight="1">
      <c r="A4773" s="20"/>
      <c r="B4773" s="20" t="s">
        <v>5101</v>
      </c>
      <c r="C4773" s="20"/>
      <c r="D4773" s="20" t="s">
        <v>4325</v>
      </c>
      <c r="E4773" s="19">
        <f>VLOOKUP(D4773,'لیست پرسنل'!$B$2:$E$1020,3,FALSE)</f>
        <v>0</v>
      </c>
      <c r="F4773" s="19">
        <f>VLOOKUP(D4773,'لیست پرسنل'!$B$2:$E$1020,4,FALSE)</f>
        <v>0</v>
      </c>
      <c r="G4773" s="127">
        <f>VLOOKUP(D4773,'لیست پرسنل'!$B$2:$F$1020,2,FALSE)</f>
        <v>0</v>
      </c>
      <c r="H4773" s="128" t="s">
        <v>6712</v>
      </c>
      <c r="I4773" s="128" t="s">
        <v>4325</v>
      </c>
      <c r="J4773" s="128" t="s">
        <v>2686</v>
      </c>
      <c r="K4773" s="128" t="s">
        <v>4103</v>
      </c>
      <c r="L4773" s="127" t="s">
        <v>4119</v>
      </c>
      <c r="M4773" s="127">
        <v>43001023</v>
      </c>
      <c r="N4773" s="109"/>
      <c r="O4773" s="19"/>
      <c r="P4773" s="32"/>
      <c r="Q4773" s="32"/>
    </row>
    <row r="4774" spans="1:17" ht="24.9" customHeight="1">
      <c r="A4774" s="20"/>
      <c r="B4774" s="20" t="s">
        <v>5101</v>
      </c>
      <c r="C4774" s="20"/>
      <c r="D4774" s="20" t="s">
        <v>4325</v>
      </c>
      <c r="E4774" s="19">
        <f>VLOOKUP(D4774,'لیست پرسنل'!$B$2:$E$1020,3,FALSE)</f>
        <v>0</v>
      </c>
      <c r="F4774" s="19">
        <f>VLOOKUP(D4774,'لیست پرسنل'!$B$2:$E$1020,4,FALSE)</f>
        <v>0</v>
      </c>
      <c r="G4774" s="127">
        <f>VLOOKUP(D4774,'لیست پرسنل'!$B$2:$F$1020,2,FALSE)</f>
        <v>0</v>
      </c>
      <c r="H4774" s="128" t="s">
        <v>6712</v>
      </c>
      <c r="I4774" s="128" t="s">
        <v>4325</v>
      </c>
      <c r="J4774" s="128" t="s">
        <v>2686</v>
      </c>
      <c r="K4774" s="128" t="s">
        <v>4103</v>
      </c>
      <c r="L4774" s="127" t="s">
        <v>4831</v>
      </c>
      <c r="M4774" s="127">
        <v>43001025</v>
      </c>
      <c r="N4774" s="109"/>
      <c r="O4774" s="19"/>
      <c r="P4774" s="32"/>
      <c r="Q4774" s="32"/>
    </row>
    <row r="4775" spans="1:17" ht="24.9" customHeight="1">
      <c r="A4775" s="20"/>
      <c r="B4775" s="20" t="s">
        <v>5101</v>
      </c>
      <c r="C4775" s="20"/>
      <c r="D4775" s="20" t="s">
        <v>4325</v>
      </c>
      <c r="E4775" s="19">
        <f>VLOOKUP(D4775,'لیست پرسنل'!$B$2:$E$1020,3,FALSE)</f>
        <v>0</v>
      </c>
      <c r="F4775" s="19">
        <f>VLOOKUP(D4775,'لیست پرسنل'!$B$2:$E$1020,4,FALSE)</f>
        <v>0</v>
      </c>
      <c r="G4775" s="127">
        <f>VLOOKUP(D4775,'لیست پرسنل'!$B$2:$F$1020,2,FALSE)</f>
        <v>0</v>
      </c>
      <c r="H4775" s="128" t="s">
        <v>6712</v>
      </c>
      <c r="I4775" s="128" t="s">
        <v>4325</v>
      </c>
      <c r="J4775" s="128" t="s">
        <v>2686</v>
      </c>
      <c r="K4775" s="128" t="s">
        <v>4103</v>
      </c>
      <c r="L4775" s="127" t="s">
        <v>4836</v>
      </c>
      <c r="M4775" s="127">
        <v>43001026</v>
      </c>
      <c r="N4775" s="109"/>
      <c r="O4775" s="19"/>
      <c r="P4775" s="32"/>
      <c r="Q4775" s="32"/>
    </row>
    <row r="4776" spans="1:17" ht="24.9" customHeight="1">
      <c r="A4776" s="20"/>
      <c r="B4776" s="20" t="s">
        <v>5101</v>
      </c>
      <c r="C4776" s="20"/>
      <c r="D4776" s="20" t="s">
        <v>4325</v>
      </c>
      <c r="E4776" s="19">
        <f>VLOOKUP(D4776,'لیست پرسنل'!$B$2:$E$1020,3,FALSE)</f>
        <v>0</v>
      </c>
      <c r="F4776" s="19">
        <f>VLOOKUP(D4776,'لیست پرسنل'!$B$2:$E$1020,4,FALSE)</f>
        <v>0</v>
      </c>
      <c r="G4776" s="127">
        <f>VLOOKUP(D4776,'لیست پرسنل'!$B$2:$F$1020,2,FALSE)</f>
        <v>0</v>
      </c>
      <c r="H4776" s="128" t="s">
        <v>6712</v>
      </c>
      <c r="I4776" s="128" t="s">
        <v>4325</v>
      </c>
      <c r="J4776" s="128" t="s">
        <v>2686</v>
      </c>
      <c r="K4776" s="128" t="s">
        <v>4103</v>
      </c>
      <c r="L4776" s="127" t="s">
        <v>4829</v>
      </c>
      <c r="M4776" s="127">
        <v>43001027</v>
      </c>
      <c r="N4776" s="109"/>
      <c r="O4776" s="19"/>
      <c r="P4776" s="32"/>
      <c r="Q4776" s="32"/>
    </row>
    <row r="4777" spans="1:17" ht="24.9" customHeight="1">
      <c r="A4777" s="20"/>
      <c r="B4777" s="20" t="s">
        <v>5101</v>
      </c>
      <c r="C4777" s="20"/>
      <c r="D4777" s="20" t="s">
        <v>4325</v>
      </c>
      <c r="E4777" s="19">
        <f>VLOOKUP(D4777,'لیست پرسنل'!$B$2:$E$1020,3,FALSE)</f>
        <v>0</v>
      </c>
      <c r="F4777" s="19">
        <f>VLOOKUP(D4777,'لیست پرسنل'!$B$2:$E$1020,4,FALSE)</f>
        <v>0</v>
      </c>
      <c r="G4777" s="127">
        <f>VLOOKUP(D4777,'لیست پرسنل'!$B$2:$F$1020,2,FALSE)</f>
        <v>0</v>
      </c>
      <c r="H4777" s="128" t="s">
        <v>6712</v>
      </c>
      <c r="I4777" s="128" t="s">
        <v>4325</v>
      </c>
      <c r="J4777" s="128" t="s">
        <v>2686</v>
      </c>
      <c r="K4777" s="128" t="s">
        <v>4103</v>
      </c>
      <c r="L4777" s="127" t="s">
        <v>4107</v>
      </c>
      <c r="M4777" s="127">
        <v>43001028</v>
      </c>
      <c r="N4777" s="109"/>
      <c r="O4777" s="19"/>
      <c r="P4777" s="32"/>
      <c r="Q4777" s="32"/>
    </row>
    <row r="4778" spans="1:17" ht="24.9" customHeight="1">
      <c r="A4778" s="20"/>
      <c r="B4778" s="20" t="s">
        <v>5101</v>
      </c>
      <c r="C4778" s="20"/>
      <c r="D4778" s="20" t="s">
        <v>4325</v>
      </c>
      <c r="E4778" s="19">
        <f>VLOOKUP(D4778,'لیست پرسنل'!$B$2:$E$1020,3,FALSE)</f>
        <v>0</v>
      </c>
      <c r="F4778" s="19">
        <f>VLOOKUP(D4778,'لیست پرسنل'!$B$2:$E$1020,4,FALSE)</f>
        <v>0</v>
      </c>
      <c r="G4778" s="127">
        <f>VLOOKUP(D4778,'لیست پرسنل'!$B$2:$F$1020,2,FALSE)</f>
        <v>0</v>
      </c>
      <c r="H4778" s="128" t="s">
        <v>6712</v>
      </c>
      <c r="I4778" s="128" t="s">
        <v>4325</v>
      </c>
      <c r="J4778" s="128" t="s">
        <v>2686</v>
      </c>
      <c r="K4778" s="128" t="s">
        <v>4103</v>
      </c>
      <c r="L4778" s="127" t="s">
        <v>4114</v>
      </c>
      <c r="M4778" s="127">
        <v>43001029</v>
      </c>
      <c r="N4778" s="109"/>
      <c r="O4778" s="19"/>
      <c r="P4778" s="32"/>
      <c r="Q4778" s="32"/>
    </row>
    <row r="4779" spans="1:17" ht="24.9" customHeight="1">
      <c r="A4779" s="20"/>
      <c r="B4779" s="20" t="s">
        <v>5101</v>
      </c>
      <c r="C4779" s="20"/>
      <c r="D4779" s="20" t="s">
        <v>4325</v>
      </c>
      <c r="E4779" s="19">
        <f>VLOOKUP(D4779,'لیست پرسنل'!$B$2:$E$1020,3,FALSE)</f>
        <v>0</v>
      </c>
      <c r="F4779" s="19">
        <f>VLOOKUP(D4779,'لیست پرسنل'!$B$2:$E$1020,4,FALSE)</f>
        <v>0</v>
      </c>
      <c r="G4779" s="127">
        <f>VLOOKUP(D4779,'لیست پرسنل'!$B$2:$F$1020,2,FALSE)</f>
        <v>0</v>
      </c>
      <c r="H4779" s="128" t="s">
        <v>6712</v>
      </c>
      <c r="I4779" s="128" t="s">
        <v>4325</v>
      </c>
      <c r="J4779" s="128" t="s">
        <v>2686</v>
      </c>
      <c r="K4779" s="128" t="s">
        <v>4103</v>
      </c>
      <c r="L4779" s="127" t="s">
        <v>4120</v>
      </c>
      <c r="M4779" s="127">
        <v>43001030</v>
      </c>
      <c r="N4779" s="109"/>
      <c r="O4779" s="19"/>
      <c r="P4779" s="32"/>
      <c r="Q4779" s="32"/>
    </row>
    <row r="4780" spans="1:17" ht="24.9" customHeight="1">
      <c r="A4780" s="20"/>
      <c r="B4780" s="20" t="s">
        <v>5101</v>
      </c>
      <c r="C4780" s="20"/>
      <c r="D4780" s="20" t="s">
        <v>4325</v>
      </c>
      <c r="E4780" s="19">
        <f>VLOOKUP(D4780,'لیست پرسنل'!$B$2:$E$1020,3,FALSE)</f>
        <v>0</v>
      </c>
      <c r="F4780" s="19">
        <f>VLOOKUP(D4780,'لیست پرسنل'!$B$2:$E$1020,4,FALSE)</f>
        <v>0</v>
      </c>
      <c r="G4780" s="127">
        <f>VLOOKUP(D4780,'لیست پرسنل'!$B$2:$F$1020,2,FALSE)</f>
        <v>0</v>
      </c>
      <c r="H4780" s="128" t="s">
        <v>6712</v>
      </c>
      <c r="I4780" s="128" t="s">
        <v>4325</v>
      </c>
      <c r="J4780" s="128" t="s">
        <v>2686</v>
      </c>
      <c r="K4780" s="128" t="s">
        <v>371</v>
      </c>
      <c r="L4780" s="127" t="s">
        <v>4837</v>
      </c>
      <c r="M4780" s="127">
        <v>43001031</v>
      </c>
      <c r="N4780" s="109"/>
      <c r="O4780" s="19"/>
      <c r="P4780" s="32"/>
      <c r="Q4780" s="32"/>
    </row>
    <row r="4781" spans="1:17" ht="24.9" customHeight="1">
      <c r="A4781" s="20"/>
      <c r="B4781" s="20" t="s">
        <v>5101</v>
      </c>
      <c r="C4781" s="20"/>
      <c r="D4781" s="20" t="s">
        <v>4325</v>
      </c>
      <c r="E4781" s="19">
        <f>VLOOKUP(D4781,'لیست پرسنل'!$B$2:$E$1020,3,FALSE)</f>
        <v>0</v>
      </c>
      <c r="F4781" s="19">
        <f>VLOOKUP(D4781,'لیست پرسنل'!$B$2:$E$1020,4,FALSE)</f>
        <v>0</v>
      </c>
      <c r="G4781" s="127">
        <f>VLOOKUP(D4781,'لیست پرسنل'!$B$2:$F$1020,2,FALSE)</f>
        <v>0</v>
      </c>
      <c r="H4781" s="128" t="s">
        <v>6712</v>
      </c>
      <c r="I4781" s="128" t="s">
        <v>4325</v>
      </c>
      <c r="J4781" s="128" t="s">
        <v>2686</v>
      </c>
      <c r="K4781" s="128" t="s">
        <v>4103</v>
      </c>
      <c r="L4781" s="127" t="s">
        <v>4111</v>
      </c>
      <c r="M4781" s="127">
        <v>43001033</v>
      </c>
      <c r="N4781" s="109"/>
      <c r="O4781" s="19"/>
      <c r="P4781" s="32"/>
      <c r="Q4781" s="32"/>
    </row>
    <row r="4782" spans="1:17" ht="24.9" customHeight="1">
      <c r="A4782" s="20"/>
      <c r="B4782" s="20" t="s">
        <v>5101</v>
      </c>
      <c r="C4782" s="20"/>
      <c r="D4782" s="20" t="s">
        <v>4325</v>
      </c>
      <c r="E4782" s="19">
        <f>VLOOKUP(D4782,'لیست پرسنل'!$B$2:$E$1020,3,FALSE)</f>
        <v>0</v>
      </c>
      <c r="F4782" s="19">
        <f>VLOOKUP(D4782,'لیست پرسنل'!$B$2:$E$1020,4,FALSE)</f>
        <v>0</v>
      </c>
      <c r="G4782" s="127">
        <f>VLOOKUP(D4782,'لیست پرسنل'!$B$2:$F$1020,2,FALSE)</f>
        <v>0</v>
      </c>
      <c r="H4782" s="128" t="s">
        <v>6712</v>
      </c>
      <c r="I4782" s="128" t="s">
        <v>4325</v>
      </c>
      <c r="J4782" s="128" t="s">
        <v>2686</v>
      </c>
      <c r="K4782" s="128" t="s">
        <v>4103</v>
      </c>
      <c r="L4782" s="127" t="s">
        <v>4115</v>
      </c>
      <c r="M4782" s="127">
        <v>43001034</v>
      </c>
      <c r="N4782" s="109"/>
      <c r="O4782" s="19"/>
      <c r="P4782" s="32"/>
      <c r="Q4782" s="32"/>
    </row>
    <row r="4783" spans="1:17" ht="24.9" customHeight="1">
      <c r="A4783" s="20"/>
      <c r="B4783" s="20" t="s">
        <v>5101</v>
      </c>
      <c r="C4783" s="20"/>
      <c r="D4783" s="20" t="s">
        <v>4325</v>
      </c>
      <c r="E4783" s="19">
        <f>VLOOKUP(D4783,'لیست پرسنل'!$B$2:$E$1020,3,FALSE)</f>
        <v>0</v>
      </c>
      <c r="F4783" s="19">
        <f>VLOOKUP(D4783,'لیست پرسنل'!$B$2:$E$1020,4,FALSE)</f>
        <v>0</v>
      </c>
      <c r="G4783" s="127">
        <f>VLOOKUP(D4783,'لیست پرسنل'!$B$2:$F$1020,2,FALSE)</f>
        <v>0</v>
      </c>
      <c r="H4783" s="128" t="s">
        <v>6712</v>
      </c>
      <c r="I4783" s="128" t="s">
        <v>4325</v>
      </c>
      <c r="J4783" s="128" t="s">
        <v>4719</v>
      </c>
      <c r="K4783" s="128" t="s">
        <v>4693</v>
      </c>
      <c r="L4783" s="127"/>
      <c r="M4783" s="127">
        <v>43000823</v>
      </c>
      <c r="N4783" s="109"/>
      <c r="O4783" s="19"/>
      <c r="P4783" s="32"/>
      <c r="Q4783" s="32"/>
    </row>
    <row r="4784" spans="1:17" ht="24.9" customHeight="1">
      <c r="A4784" s="20"/>
      <c r="B4784" s="20" t="s">
        <v>5101</v>
      </c>
      <c r="C4784" s="20"/>
      <c r="D4784" s="20" t="s">
        <v>4325</v>
      </c>
      <c r="E4784" s="19">
        <f>VLOOKUP(D4784,'لیست پرسنل'!$B$2:$E$1020,3,FALSE)</f>
        <v>0</v>
      </c>
      <c r="F4784" s="19">
        <f>VLOOKUP(D4784,'لیست پرسنل'!$B$2:$E$1020,4,FALSE)</f>
        <v>0</v>
      </c>
      <c r="G4784" s="127">
        <f>VLOOKUP(D4784,'لیست پرسنل'!$B$2:$F$1020,2,FALSE)</f>
        <v>0</v>
      </c>
      <c r="H4784" s="128" t="s">
        <v>6712</v>
      </c>
      <c r="I4784" s="128" t="s">
        <v>4325</v>
      </c>
      <c r="J4784" s="127" t="s">
        <v>753</v>
      </c>
      <c r="K4784" s="128" t="s">
        <v>1463</v>
      </c>
      <c r="L4784" s="127" t="s">
        <v>1975</v>
      </c>
      <c r="M4784" s="127">
        <v>43000186</v>
      </c>
      <c r="N4784" s="109"/>
      <c r="O4784" s="19" t="s">
        <v>4892</v>
      </c>
      <c r="P4784" s="32"/>
      <c r="Q4784" s="32"/>
    </row>
    <row r="4785" spans="1:17" ht="24.9" customHeight="1">
      <c r="A4785" s="20"/>
      <c r="B4785" s="20" t="s">
        <v>5101</v>
      </c>
      <c r="C4785" s="20"/>
      <c r="D4785" s="20" t="s">
        <v>4325</v>
      </c>
      <c r="E4785" s="19">
        <f>VLOOKUP(D4785,'لیست پرسنل'!$B$2:$E$1020,3,FALSE)</f>
        <v>0</v>
      </c>
      <c r="F4785" s="19">
        <f>VLOOKUP(D4785,'لیست پرسنل'!$B$2:$E$1020,4,FALSE)</f>
        <v>0</v>
      </c>
      <c r="G4785" s="127">
        <f>VLOOKUP(D4785,'لیست پرسنل'!$B$2:$F$1020,2,FALSE)</f>
        <v>0</v>
      </c>
      <c r="H4785" s="128" t="s">
        <v>6712</v>
      </c>
      <c r="I4785" s="128" t="s">
        <v>4325</v>
      </c>
      <c r="J4785" s="128" t="s">
        <v>4331</v>
      </c>
      <c r="K4785" s="128" t="s">
        <v>4409</v>
      </c>
      <c r="L4785" s="127" t="s">
        <v>4407</v>
      </c>
      <c r="M4785" s="127" t="s">
        <v>291</v>
      </c>
      <c r="N4785" s="109"/>
      <c r="O4785" s="19"/>
      <c r="P4785" s="32"/>
      <c r="Q4785" s="32"/>
    </row>
    <row r="4786" spans="1:17" ht="24.9" customHeight="1">
      <c r="A4786" s="20"/>
      <c r="B4786" s="20" t="s">
        <v>5101</v>
      </c>
      <c r="C4786" s="20"/>
      <c r="D4786" s="20" t="s">
        <v>4325</v>
      </c>
      <c r="E4786" s="19">
        <f>VLOOKUP(D4786,'لیست پرسنل'!$B$2:$E$1020,3,FALSE)</f>
        <v>0</v>
      </c>
      <c r="F4786" s="19">
        <f>VLOOKUP(D4786,'لیست پرسنل'!$B$2:$E$1020,4,FALSE)</f>
        <v>0</v>
      </c>
      <c r="G4786" s="127">
        <f>VLOOKUP(D4786,'لیست پرسنل'!$B$2:$F$1020,2,FALSE)</f>
        <v>0</v>
      </c>
      <c r="H4786" s="128" t="s">
        <v>6712</v>
      </c>
      <c r="I4786" s="128" t="s">
        <v>4325</v>
      </c>
      <c r="J4786" s="128" t="s">
        <v>4331</v>
      </c>
      <c r="K4786" s="128" t="s">
        <v>4409</v>
      </c>
      <c r="L4786" s="127" t="s">
        <v>4408</v>
      </c>
      <c r="M4786" s="127" t="s">
        <v>291</v>
      </c>
      <c r="N4786" s="109"/>
      <c r="O4786" s="19"/>
      <c r="P4786" s="32"/>
      <c r="Q4786" s="32"/>
    </row>
    <row r="4787" spans="1:17" ht="24.9" customHeight="1">
      <c r="A4787" s="20"/>
      <c r="B4787" s="20" t="s">
        <v>5101</v>
      </c>
      <c r="C4787" s="20"/>
      <c r="D4787" s="20" t="s">
        <v>4325</v>
      </c>
      <c r="E4787" s="19">
        <f>VLOOKUP(D4787,'لیست پرسنل'!$B$2:$E$1020,3,FALSE)</f>
        <v>0</v>
      </c>
      <c r="F4787" s="19">
        <f>VLOOKUP(D4787,'لیست پرسنل'!$B$2:$E$1020,4,FALSE)</f>
        <v>0</v>
      </c>
      <c r="G4787" s="127">
        <f>VLOOKUP(D4787,'لیست پرسنل'!$B$2:$F$1020,2,FALSE)</f>
        <v>0</v>
      </c>
      <c r="H4787" s="151" t="s">
        <v>5837</v>
      </c>
      <c r="I4787" s="159" t="s">
        <v>4325</v>
      </c>
      <c r="J4787" s="141" t="s">
        <v>571</v>
      </c>
      <c r="K4787" s="141" t="s">
        <v>571</v>
      </c>
      <c r="L4787" s="140"/>
      <c r="M4787" s="128">
        <v>621269</v>
      </c>
      <c r="N4787" s="108"/>
      <c r="O4787" s="20" t="s">
        <v>6699</v>
      </c>
      <c r="P4787" s="20" t="s">
        <v>5869</v>
      </c>
      <c r="Q4787" s="20" t="s">
        <v>6701</v>
      </c>
    </row>
    <row r="4788" spans="1:17" ht="24.9" customHeight="1">
      <c r="A4788" s="20"/>
      <c r="B4788" s="20" t="s">
        <v>4636</v>
      </c>
      <c r="C4788" s="20"/>
      <c r="D4788" s="32" t="s">
        <v>4325</v>
      </c>
      <c r="E4788" s="19">
        <f>VLOOKUP(D4788,'لیست پرسنل'!$B$2:$E$1020,3,FALSE)</f>
        <v>0</v>
      </c>
      <c r="F4788" s="19">
        <f>VLOOKUP(D4788,'لیست پرسنل'!$B$2:$E$1020,4,FALSE)</f>
        <v>0</v>
      </c>
      <c r="G4788" s="127">
        <f>VLOOKUP(D4788,'لیست پرسنل'!$B$2:$F$1020,2,FALSE)</f>
        <v>0</v>
      </c>
      <c r="H4788" s="128" t="s">
        <v>3745</v>
      </c>
      <c r="I4788" s="128" t="s">
        <v>4325</v>
      </c>
      <c r="J4788" s="128" t="s">
        <v>2678</v>
      </c>
      <c r="K4788" s="128" t="s">
        <v>4450</v>
      </c>
      <c r="L4788" s="128">
        <v>904</v>
      </c>
      <c r="M4788" s="128">
        <v>612671</v>
      </c>
      <c r="N4788" s="108"/>
      <c r="O4788" s="95" t="s">
        <v>4451</v>
      </c>
      <c r="P4788" s="20"/>
      <c r="Q4788" s="20"/>
    </row>
    <row r="4789" spans="1:17" ht="24.9" customHeight="1">
      <c r="A4789" s="20"/>
      <c r="B4789" s="20" t="s">
        <v>4636</v>
      </c>
      <c r="C4789" s="19"/>
      <c r="D4789" s="20" t="s">
        <v>4325</v>
      </c>
      <c r="E4789" s="19">
        <f>VLOOKUP(D4789,'لیست پرسنل'!$B$2:$E$1020,3,FALSE)</f>
        <v>0</v>
      </c>
      <c r="F4789" s="19">
        <f>VLOOKUP(D4789,'لیست پرسنل'!$B$2:$E$1020,4,FALSE)</f>
        <v>0</v>
      </c>
      <c r="G4789" s="127">
        <f>VLOOKUP(D4789,'لیست پرسنل'!$B$2:$F$1020,2,FALSE)</f>
        <v>0</v>
      </c>
      <c r="H4789" s="128" t="s">
        <v>3745</v>
      </c>
      <c r="I4789" s="127" t="s">
        <v>4325</v>
      </c>
      <c r="J4789" s="128" t="s">
        <v>2686</v>
      </c>
      <c r="K4789" s="128" t="s">
        <v>890</v>
      </c>
      <c r="L4789" s="151" t="s">
        <v>933</v>
      </c>
      <c r="M4789" s="127">
        <v>607870</v>
      </c>
      <c r="N4789" s="108"/>
      <c r="O4789" s="20" t="s">
        <v>4796</v>
      </c>
      <c r="P4789" s="20" t="s">
        <v>4325</v>
      </c>
      <c r="Q4789" s="20" t="s">
        <v>4797</v>
      </c>
    </row>
    <row r="4790" spans="1:17" ht="24.9" customHeight="1">
      <c r="A4790" s="20"/>
      <c r="B4790" s="20" t="s">
        <v>5101</v>
      </c>
      <c r="C4790" s="19"/>
      <c r="D4790" s="19" t="s">
        <v>4325</v>
      </c>
      <c r="E4790" s="19">
        <f>VLOOKUP(D4790,'لیست پرسنل'!$B$2:$E$1020,3,FALSE)</f>
        <v>0</v>
      </c>
      <c r="F4790" s="19">
        <f>VLOOKUP(D4790,'لیست پرسنل'!$B$2:$E$1020,4,FALSE)</f>
        <v>0</v>
      </c>
      <c r="G4790" s="127">
        <f>VLOOKUP(D4790,'لیست پرسنل'!$B$2:$F$1020,2,FALSE)</f>
        <v>0</v>
      </c>
      <c r="H4790" s="151" t="s">
        <v>3381</v>
      </c>
      <c r="I4790" s="127" t="s">
        <v>4325</v>
      </c>
      <c r="J4790" s="127" t="s">
        <v>3383</v>
      </c>
      <c r="K4790" s="128" t="s">
        <v>140</v>
      </c>
      <c r="L4790" s="127" t="s">
        <v>1949</v>
      </c>
      <c r="M4790" s="127">
        <v>603816</v>
      </c>
      <c r="N4790" s="109"/>
      <c r="O4790" s="19" t="s">
        <v>6118</v>
      </c>
      <c r="P4790" s="20" t="s">
        <v>4325</v>
      </c>
      <c r="Q4790" s="20" t="s">
        <v>6119</v>
      </c>
    </row>
    <row r="4791" spans="1:17" ht="24.9" customHeight="1">
      <c r="A4791" s="20"/>
      <c r="B4791" s="20" t="s">
        <v>5101</v>
      </c>
      <c r="C4791" s="20"/>
      <c r="D4791" s="20" t="s">
        <v>4325</v>
      </c>
      <c r="E4791" s="19">
        <f>VLOOKUP(D4791,'لیست پرسنل'!$B$2:$E$1020,3,FALSE)</f>
        <v>0</v>
      </c>
      <c r="F4791" s="19">
        <f>VLOOKUP(D4791,'لیست پرسنل'!$B$2:$E$1020,4,FALSE)</f>
        <v>0</v>
      </c>
      <c r="G4791" s="127">
        <f>VLOOKUP(D4791,'لیست پرسنل'!$B$2:$F$1020,2,FALSE)</f>
        <v>0</v>
      </c>
      <c r="H4791" s="126" t="s">
        <v>3381</v>
      </c>
      <c r="I4791" s="126" t="s">
        <v>4325</v>
      </c>
      <c r="J4791" s="128" t="s">
        <v>737</v>
      </c>
      <c r="K4791" s="128" t="s">
        <v>4150</v>
      </c>
      <c r="L4791" s="128" t="s">
        <v>4151</v>
      </c>
      <c r="M4791" s="128">
        <v>3010456</v>
      </c>
      <c r="N4791" s="108"/>
      <c r="O4791" s="19" t="s">
        <v>4293</v>
      </c>
      <c r="P4791" s="20" t="s">
        <v>5869</v>
      </c>
      <c r="Q4791" s="20"/>
    </row>
    <row r="4792" spans="1:17" ht="24.9" customHeight="1">
      <c r="A4792" s="20"/>
      <c r="B4792" s="20" t="s">
        <v>4636</v>
      </c>
      <c r="C4792" s="19"/>
      <c r="D4792" s="19" t="s">
        <v>4325</v>
      </c>
      <c r="E4792" s="19">
        <f>VLOOKUP(D4792,'لیست پرسنل'!$B$2:$E$1020,3,FALSE)</f>
        <v>0</v>
      </c>
      <c r="F4792" s="19">
        <f>VLOOKUP(D4792,'لیست پرسنل'!$B$2:$E$1020,4,FALSE)</f>
        <v>0</v>
      </c>
      <c r="G4792" s="127">
        <f>VLOOKUP(D4792,'لیست پرسنل'!$B$2:$F$1020,2,FALSE)</f>
        <v>0</v>
      </c>
      <c r="H4792" s="151" t="s">
        <v>3381</v>
      </c>
      <c r="I4792" s="127" t="s">
        <v>4325</v>
      </c>
      <c r="J4792" s="126" t="s">
        <v>368</v>
      </c>
      <c r="K4792" s="128" t="s">
        <v>2846</v>
      </c>
      <c r="L4792" s="127" t="s">
        <v>2351</v>
      </c>
      <c r="M4792" s="127">
        <v>628757</v>
      </c>
      <c r="N4792" s="109"/>
      <c r="O4792" s="19" t="s">
        <v>4723</v>
      </c>
      <c r="P4792" s="20" t="s">
        <v>5869</v>
      </c>
      <c r="Q4792" s="20" t="s">
        <v>6030</v>
      </c>
    </row>
    <row r="4793" spans="1:17" ht="24.9" customHeight="1">
      <c r="A4793" s="20"/>
      <c r="B4793" s="20" t="s">
        <v>4636</v>
      </c>
      <c r="C4793" s="19"/>
      <c r="D4793" s="19" t="s">
        <v>4325</v>
      </c>
      <c r="E4793" s="19">
        <f>VLOOKUP(D4793,'لیست پرسنل'!$B$2:$E$1020,3,FALSE)</f>
        <v>0</v>
      </c>
      <c r="F4793" s="19">
        <f>VLOOKUP(D4793,'لیست پرسنل'!$B$2:$E$1020,4,FALSE)</f>
        <v>0</v>
      </c>
      <c r="G4793" s="127">
        <f>VLOOKUP(D4793,'لیست پرسنل'!$B$2:$F$1020,2,FALSE)</f>
        <v>0</v>
      </c>
      <c r="H4793" s="151" t="s">
        <v>3381</v>
      </c>
      <c r="I4793" s="127" t="s">
        <v>4325</v>
      </c>
      <c r="J4793" s="127" t="s">
        <v>571</v>
      </c>
      <c r="K4793" s="128" t="s">
        <v>2054</v>
      </c>
      <c r="L4793" s="127"/>
      <c r="M4793" s="127">
        <v>609699</v>
      </c>
      <c r="N4793" s="109"/>
      <c r="O4793" s="20"/>
      <c r="P4793" s="20" t="s">
        <v>5869</v>
      </c>
      <c r="Q4793" s="20" t="s">
        <v>6030</v>
      </c>
    </row>
    <row r="4794" spans="1:17" ht="24.9" customHeight="1">
      <c r="A4794" s="20"/>
      <c r="B4794" s="20" t="s">
        <v>4636</v>
      </c>
      <c r="C4794" s="19"/>
      <c r="D4794" s="19" t="s">
        <v>4325</v>
      </c>
      <c r="E4794" s="19">
        <f>VLOOKUP(D4794,'لیست پرسنل'!$B$2:$E$1020,3,FALSE)</f>
        <v>0</v>
      </c>
      <c r="F4794" s="19">
        <f>VLOOKUP(D4794,'لیست پرسنل'!$B$2:$E$1020,4,FALSE)</f>
        <v>0</v>
      </c>
      <c r="G4794" s="127">
        <f>VLOOKUP(D4794,'لیست پرسنل'!$B$2:$F$1020,2,FALSE)</f>
        <v>0</v>
      </c>
      <c r="H4794" s="151" t="s">
        <v>3381</v>
      </c>
      <c r="I4794" s="127" t="s">
        <v>4325</v>
      </c>
      <c r="J4794" s="127" t="s">
        <v>571</v>
      </c>
      <c r="K4794" s="128" t="s">
        <v>2054</v>
      </c>
      <c r="L4794" s="127"/>
      <c r="M4794" s="127">
        <v>609704</v>
      </c>
      <c r="N4794" s="111"/>
      <c r="O4794" s="19" t="s">
        <v>5006</v>
      </c>
      <c r="P4794" s="20" t="s">
        <v>5869</v>
      </c>
      <c r="Q4794" s="20" t="s">
        <v>6030</v>
      </c>
    </row>
    <row r="4795" spans="1:17" ht="24.9" customHeight="1">
      <c r="A4795" s="20"/>
      <c r="B4795" s="20" t="s">
        <v>5101</v>
      </c>
      <c r="C4795" s="19"/>
      <c r="D4795" s="19" t="s">
        <v>4325</v>
      </c>
      <c r="E4795" s="19">
        <f>VLOOKUP(D4795,'لیست پرسنل'!$B$2:$E$1020,3,FALSE)</f>
        <v>0</v>
      </c>
      <c r="F4795" s="19">
        <f>VLOOKUP(D4795,'لیست پرسنل'!$B$2:$E$1020,4,FALSE)</f>
        <v>0</v>
      </c>
      <c r="G4795" s="127">
        <f>VLOOKUP(D4795,'لیست پرسنل'!$B$2:$F$1020,2,FALSE)</f>
        <v>0</v>
      </c>
      <c r="H4795" s="151" t="s">
        <v>3381</v>
      </c>
      <c r="I4795" s="127" t="s">
        <v>4325</v>
      </c>
      <c r="J4795" s="141" t="s">
        <v>571</v>
      </c>
      <c r="K4795" s="128" t="s">
        <v>5146</v>
      </c>
      <c r="L4795" s="165" t="s">
        <v>2219</v>
      </c>
      <c r="M4795" s="128">
        <v>629709</v>
      </c>
      <c r="N4795" s="108"/>
      <c r="O4795" s="20" t="s">
        <v>7231</v>
      </c>
      <c r="P4795" s="20" t="s">
        <v>5869</v>
      </c>
      <c r="Q4795" s="20"/>
    </row>
    <row r="4796" spans="1:17" ht="24.9" customHeight="1">
      <c r="A4796" s="20"/>
      <c r="B4796" s="20" t="s">
        <v>5101</v>
      </c>
      <c r="C4796" s="19"/>
      <c r="D4796" s="20" t="s">
        <v>4325</v>
      </c>
      <c r="E4796" s="19">
        <f>VLOOKUP(D4796,'لیست پرسنل'!$B$2:$E$1020,3,FALSE)</f>
        <v>0</v>
      </c>
      <c r="F4796" s="19">
        <f>VLOOKUP(D4796,'لیست پرسنل'!$B$2:$E$1020,4,FALSE)</f>
        <v>0</v>
      </c>
      <c r="G4796" s="127">
        <f>VLOOKUP(D4796,'لیست پرسنل'!$B$2:$F$1020,2,FALSE)</f>
        <v>0</v>
      </c>
      <c r="H4796" s="151" t="s">
        <v>3381</v>
      </c>
      <c r="I4796" s="127" t="s">
        <v>4325</v>
      </c>
      <c r="J4796" s="128" t="s">
        <v>2686</v>
      </c>
      <c r="K4796" s="128" t="s">
        <v>744</v>
      </c>
      <c r="L4796" s="151" t="s">
        <v>3227</v>
      </c>
      <c r="M4796" s="131">
        <v>603250</v>
      </c>
      <c r="N4796" s="109"/>
      <c r="O4796" s="86" t="s">
        <v>7586</v>
      </c>
      <c r="P4796" s="20" t="s">
        <v>5869</v>
      </c>
      <c r="Q4796" s="20"/>
    </row>
    <row r="4797" spans="1:17" ht="24.9" customHeight="1">
      <c r="A4797" s="20"/>
      <c r="B4797" s="20" t="s">
        <v>5101</v>
      </c>
      <c r="C4797" s="19"/>
      <c r="D4797" s="19" t="s">
        <v>4325</v>
      </c>
      <c r="E4797" s="19">
        <f>VLOOKUP(D4797,'لیست پرسنل'!$B$2:$E$1020,3,FALSE)</f>
        <v>0</v>
      </c>
      <c r="F4797" s="19">
        <f>VLOOKUP(D4797,'لیست پرسنل'!$B$2:$E$1020,4,FALSE)</f>
        <v>0</v>
      </c>
      <c r="G4797" s="127">
        <f>VLOOKUP(D4797,'لیست پرسنل'!$B$2:$F$1020,2,FALSE)</f>
        <v>0</v>
      </c>
      <c r="H4797" s="151" t="s">
        <v>3381</v>
      </c>
      <c r="I4797" s="127"/>
      <c r="J4797" s="128" t="s">
        <v>737</v>
      </c>
      <c r="K4797" s="128" t="s">
        <v>1669</v>
      </c>
      <c r="L4797" s="127" t="s">
        <v>290</v>
      </c>
      <c r="M4797" s="127">
        <v>615899</v>
      </c>
      <c r="N4797" s="109"/>
      <c r="O4797" s="20" t="s">
        <v>4323</v>
      </c>
      <c r="P4797" s="20" t="s">
        <v>4325</v>
      </c>
      <c r="Q4797" s="20" t="s">
        <v>6915</v>
      </c>
    </row>
    <row r="4798" spans="1:17" ht="24.9" customHeight="1">
      <c r="A4798" s="20"/>
      <c r="B4798" s="20" t="s">
        <v>5101</v>
      </c>
      <c r="C4798" s="20"/>
      <c r="D4798" s="20" t="s">
        <v>4325</v>
      </c>
      <c r="E4798" s="19">
        <f>VLOOKUP(D4798,'لیست پرسنل'!$B$2:$E$1020,3,FALSE)</f>
        <v>0</v>
      </c>
      <c r="F4798" s="19">
        <f>VLOOKUP(D4798,'لیست پرسنل'!$B$2:$E$1020,4,FALSE)</f>
        <v>0</v>
      </c>
      <c r="G4798" s="127">
        <f>VLOOKUP(D4798,'لیست پرسنل'!$B$2:$F$1020,2,FALSE)</f>
        <v>0</v>
      </c>
      <c r="H4798" s="128" t="s">
        <v>6917</v>
      </c>
      <c r="I4798" s="128" t="s">
        <v>4325</v>
      </c>
      <c r="J4798" s="141" t="s">
        <v>737</v>
      </c>
      <c r="K4798" s="135" t="s">
        <v>6930</v>
      </c>
      <c r="L4798" s="159"/>
      <c r="M4798" s="132">
        <v>606363</v>
      </c>
      <c r="N4798" s="108"/>
      <c r="O4798" s="31" t="s">
        <v>6931</v>
      </c>
      <c r="P4798" s="20" t="s">
        <v>5228</v>
      </c>
      <c r="Q4798" s="20"/>
    </row>
    <row r="4799" spans="1:17" ht="24.9" customHeight="1">
      <c r="A4799" s="20"/>
      <c r="B4799" s="20" t="s">
        <v>5101</v>
      </c>
      <c r="C4799" s="20"/>
      <c r="D4799" s="20" t="s">
        <v>4325</v>
      </c>
      <c r="E4799" s="19">
        <f>VLOOKUP(D4799,'لیست پرسنل'!$B$2:$E$1020,3,FALSE)</f>
        <v>0</v>
      </c>
      <c r="F4799" s="19">
        <f>VLOOKUP(D4799,'لیست پرسنل'!$B$2:$E$1020,4,FALSE)</f>
        <v>0</v>
      </c>
      <c r="G4799" s="127">
        <f>VLOOKUP(D4799,'لیست پرسنل'!$B$2:$F$1020,2,FALSE)</f>
        <v>0</v>
      </c>
      <c r="H4799" s="128" t="s">
        <v>6917</v>
      </c>
      <c r="I4799" s="128" t="s">
        <v>4325</v>
      </c>
      <c r="J4799" s="141" t="s">
        <v>1967</v>
      </c>
      <c r="K4799" s="135" t="s">
        <v>6927</v>
      </c>
      <c r="L4799" s="159"/>
      <c r="M4799" s="132">
        <v>600802</v>
      </c>
      <c r="N4799" s="108"/>
      <c r="O4799" s="31" t="s">
        <v>6929</v>
      </c>
      <c r="P4799" s="20" t="s">
        <v>5228</v>
      </c>
      <c r="Q4799" s="20"/>
    </row>
    <row r="4800" spans="1:17" ht="24.9" customHeight="1">
      <c r="A4800" s="20"/>
      <c r="B4800" s="20" t="s">
        <v>5101</v>
      </c>
      <c r="C4800" s="20"/>
      <c r="D4800" s="20" t="s">
        <v>4325</v>
      </c>
      <c r="E4800" s="19">
        <f>VLOOKUP(D4800,'لیست پرسنل'!$B$2:$E$1020,3,FALSE)</f>
        <v>0</v>
      </c>
      <c r="F4800" s="19">
        <f>VLOOKUP(D4800,'لیست پرسنل'!$B$2:$E$1020,4,FALSE)</f>
        <v>0</v>
      </c>
      <c r="G4800" s="127">
        <f>VLOOKUP(D4800,'لیست پرسنل'!$B$2:$F$1020,2,FALSE)</f>
        <v>0</v>
      </c>
      <c r="H4800" s="128" t="s">
        <v>6917</v>
      </c>
      <c r="I4800" s="128" t="s">
        <v>4325</v>
      </c>
      <c r="J4800" s="141" t="s">
        <v>1967</v>
      </c>
      <c r="K4800" s="135" t="s">
        <v>6926</v>
      </c>
      <c r="L4800" s="159"/>
      <c r="M4800" s="132">
        <v>600823</v>
      </c>
      <c r="N4800" s="108"/>
      <c r="O4800" s="31" t="s">
        <v>6928</v>
      </c>
      <c r="P4800" s="20" t="s">
        <v>5228</v>
      </c>
      <c r="Q4800" s="20"/>
    </row>
    <row r="4801" spans="1:17" ht="24.9" customHeight="1">
      <c r="A4801" s="20"/>
      <c r="B4801" s="20" t="s">
        <v>5101</v>
      </c>
      <c r="C4801" s="20"/>
      <c r="D4801" s="20" t="s">
        <v>4325</v>
      </c>
      <c r="E4801" s="19">
        <f>VLOOKUP(D4801,'لیست پرسنل'!$B$2:$E$1020,3,FALSE)</f>
        <v>0</v>
      </c>
      <c r="F4801" s="19">
        <f>VLOOKUP(D4801,'لیست پرسنل'!$B$2:$E$1020,4,FALSE)</f>
        <v>0</v>
      </c>
      <c r="G4801" s="127">
        <f>VLOOKUP(D4801,'لیست پرسنل'!$B$2:$F$1020,2,FALSE)</f>
        <v>0</v>
      </c>
      <c r="H4801" s="128" t="s">
        <v>6917</v>
      </c>
      <c r="I4801" s="128" t="s">
        <v>4325</v>
      </c>
      <c r="J4801" s="128" t="s">
        <v>3938</v>
      </c>
      <c r="K4801" s="135" t="s">
        <v>6687</v>
      </c>
      <c r="L4801" s="159"/>
      <c r="M4801" s="132">
        <v>607773</v>
      </c>
      <c r="N4801" s="108"/>
      <c r="O4801" s="31" t="s">
        <v>6924</v>
      </c>
      <c r="P4801" s="20" t="s">
        <v>5228</v>
      </c>
      <c r="Q4801" s="20"/>
    </row>
    <row r="4802" spans="1:17" ht="24.9" customHeight="1">
      <c r="A4802" s="20"/>
      <c r="B4802" s="20" t="s">
        <v>5101</v>
      </c>
      <c r="C4802" s="20"/>
      <c r="D4802" s="20" t="s">
        <v>4325</v>
      </c>
      <c r="E4802" s="19">
        <f>VLOOKUP(D4802,'لیست پرسنل'!$B$2:$E$1020,3,FALSE)</f>
        <v>0</v>
      </c>
      <c r="F4802" s="19">
        <f>VLOOKUP(D4802,'لیست پرسنل'!$B$2:$E$1020,4,FALSE)</f>
        <v>0</v>
      </c>
      <c r="G4802" s="127">
        <f>VLOOKUP(D4802,'لیست پرسنل'!$B$2:$F$1020,2,FALSE)</f>
        <v>0</v>
      </c>
      <c r="H4802" s="128" t="s">
        <v>6917</v>
      </c>
      <c r="I4802" s="128" t="s">
        <v>4325</v>
      </c>
      <c r="J4802" s="128" t="s">
        <v>3938</v>
      </c>
      <c r="K4802" s="135" t="s">
        <v>6922</v>
      </c>
      <c r="L4802" s="159"/>
      <c r="M4802" s="132">
        <v>610129</v>
      </c>
      <c r="N4802" s="108"/>
      <c r="O4802" s="31" t="s">
        <v>6923</v>
      </c>
      <c r="P4802" s="20" t="s">
        <v>5228</v>
      </c>
      <c r="Q4802" s="20"/>
    </row>
    <row r="4803" spans="1:17" ht="24.9" customHeight="1">
      <c r="A4803" s="20"/>
      <c r="B4803" s="20" t="s">
        <v>5101</v>
      </c>
      <c r="C4803" s="20"/>
      <c r="D4803" s="19" t="s">
        <v>4325</v>
      </c>
      <c r="E4803" s="19">
        <f>VLOOKUP(D4803,'لیست پرسنل'!$B$2:$E$1020,3,FALSE)</f>
        <v>0</v>
      </c>
      <c r="F4803" s="19">
        <f>VLOOKUP(D4803,'لیست پرسنل'!$B$2:$E$1020,4,FALSE)</f>
        <v>0</v>
      </c>
      <c r="G4803" s="127">
        <f>VLOOKUP(D4803,'لیست پرسنل'!$B$2:$F$1020,2,FALSE)</f>
        <v>0</v>
      </c>
      <c r="H4803" s="151" t="s">
        <v>3722</v>
      </c>
      <c r="I4803" s="128" t="s">
        <v>4325</v>
      </c>
      <c r="J4803" s="128" t="s">
        <v>5366</v>
      </c>
      <c r="K4803" s="128" t="s">
        <v>2557</v>
      </c>
      <c r="L4803" s="128"/>
      <c r="M4803" s="128">
        <v>605650</v>
      </c>
      <c r="N4803" s="108"/>
      <c r="O4803" s="20" t="s">
        <v>6699</v>
      </c>
      <c r="P4803" s="20" t="s">
        <v>5869</v>
      </c>
      <c r="Q4803" s="20" t="s">
        <v>6701</v>
      </c>
    </row>
    <row r="4804" spans="1:17" ht="24.9" customHeight="1">
      <c r="A4804" s="20"/>
      <c r="B4804" s="20" t="s">
        <v>5101</v>
      </c>
      <c r="C4804" s="20"/>
      <c r="D4804" s="20" t="s">
        <v>4325</v>
      </c>
      <c r="E4804" s="19">
        <f>VLOOKUP(D4804,'لیست پرسنل'!$B$2:$E$1020,3,FALSE)</f>
        <v>0</v>
      </c>
      <c r="F4804" s="19">
        <f>VLOOKUP(D4804,'لیست پرسنل'!$B$2:$E$1020,4,FALSE)</f>
        <v>0</v>
      </c>
      <c r="G4804" s="127">
        <f>VLOOKUP(D4804,'لیست پرسنل'!$B$2:$F$1020,2,FALSE)</f>
        <v>0</v>
      </c>
      <c r="H4804" s="126" t="s">
        <v>7234</v>
      </c>
      <c r="I4804" s="128" t="s">
        <v>4325</v>
      </c>
      <c r="J4804" s="128" t="s">
        <v>571</v>
      </c>
      <c r="K4804" s="128" t="s">
        <v>571</v>
      </c>
      <c r="L4804" s="128"/>
      <c r="M4804" s="127">
        <v>608427</v>
      </c>
      <c r="N4804" s="108"/>
      <c r="O4804" s="19" t="s">
        <v>7236</v>
      </c>
      <c r="P4804" s="20" t="s">
        <v>4326</v>
      </c>
      <c r="Q4804" s="19" t="s">
        <v>7235</v>
      </c>
    </row>
    <row r="4805" spans="1:17" ht="24.9" customHeight="1">
      <c r="A4805" s="20"/>
      <c r="B4805" s="20" t="s">
        <v>4636</v>
      </c>
      <c r="C4805" s="20"/>
      <c r="D4805" s="84" t="s">
        <v>4325</v>
      </c>
      <c r="E4805" s="19">
        <f>VLOOKUP(D4805,'لیست پرسنل'!$B$2:$E$1020,3,FALSE)</f>
        <v>0</v>
      </c>
      <c r="F4805" s="19">
        <f>VLOOKUP(D4805,'لیست پرسنل'!$B$2:$E$1020,4,FALSE)</f>
        <v>0</v>
      </c>
      <c r="G4805" s="127">
        <f>VLOOKUP(D4805,'لیست پرسنل'!$B$2:$F$1020,2,FALSE)</f>
        <v>0</v>
      </c>
      <c r="H4805" s="128" t="s">
        <v>3798</v>
      </c>
      <c r="I4805" s="127" t="s">
        <v>4325</v>
      </c>
      <c r="J4805" s="128" t="s">
        <v>885</v>
      </c>
      <c r="K4805" s="128" t="s">
        <v>5323</v>
      </c>
      <c r="L4805" s="128"/>
      <c r="M4805" s="142">
        <v>618779</v>
      </c>
      <c r="N4805" s="108"/>
      <c r="O4805" s="20"/>
      <c r="P4805" s="20" t="s">
        <v>4325</v>
      </c>
      <c r="Q4805" s="20" t="s">
        <v>5324</v>
      </c>
    </row>
    <row r="4806" spans="1:17" ht="24.9" customHeight="1">
      <c r="A4806" s="20"/>
      <c r="B4806" s="20" t="s">
        <v>5101</v>
      </c>
      <c r="C4806" s="19"/>
      <c r="D4806" s="46" t="s">
        <v>4325</v>
      </c>
      <c r="E4806" s="19">
        <f>VLOOKUP(D4806,'لیست پرسنل'!$B$2:$E$1020,3,FALSE)</f>
        <v>0</v>
      </c>
      <c r="F4806" s="19">
        <f>VLOOKUP(D4806,'لیست پرسنل'!$B$2:$E$1020,4,FALSE)</f>
        <v>0</v>
      </c>
      <c r="G4806" s="127">
        <f>VLOOKUP(D4806,'لیست پرسنل'!$B$2:$F$1020,2,FALSE)</f>
        <v>0</v>
      </c>
      <c r="H4806" s="128" t="s">
        <v>3798</v>
      </c>
      <c r="I4806" s="126" t="s">
        <v>4325</v>
      </c>
      <c r="J4806" s="128" t="s">
        <v>1977</v>
      </c>
      <c r="K4806" s="127" t="s">
        <v>438</v>
      </c>
      <c r="L4806" s="140"/>
      <c r="M4806" s="127">
        <v>615584</v>
      </c>
      <c r="N4806" s="108"/>
      <c r="O4806" s="19"/>
      <c r="P4806" s="20" t="s">
        <v>3834</v>
      </c>
      <c r="Q4806" s="20" t="s">
        <v>6030</v>
      </c>
    </row>
    <row r="4807" spans="1:17" ht="24.9" customHeight="1">
      <c r="A4807" s="20"/>
      <c r="B4807" s="20" t="s">
        <v>5101</v>
      </c>
      <c r="C4807" s="20"/>
      <c r="D4807" s="20" t="s">
        <v>4325</v>
      </c>
      <c r="E4807" s="19">
        <f>VLOOKUP(D4807,'لیست پرسنل'!$B$2:$E$1020,3,FALSE)</f>
        <v>0</v>
      </c>
      <c r="F4807" s="19">
        <f>VLOOKUP(D4807,'لیست پرسنل'!$B$2:$E$1020,4,FALSE)</f>
        <v>0</v>
      </c>
      <c r="G4807" s="127">
        <f>VLOOKUP(D4807,'لیست پرسنل'!$B$2:$F$1020,2,FALSE)</f>
        <v>0</v>
      </c>
      <c r="H4807" s="130" t="s">
        <v>2565</v>
      </c>
      <c r="I4807" s="128" t="s">
        <v>4325</v>
      </c>
      <c r="J4807" s="128" t="s">
        <v>3532</v>
      </c>
      <c r="K4807" s="128" t="s">
        <v>1186</v>
      </c>
      <c r="L4807" s="128"/>
      <c r="M4807" s="128">
        <v>621853</v>
      </c>
      <c r="N4807" s="109"/>
      <c r="O4807" s="20"/>
      <c r="P4807" s="20" t="s">
        <v>5869</v>
      </c>
      <c r="Q4807" s="20" t="s">
        <v>7264</v>
      </c>
    </row>
    <row r="4808" spans="1:17" ht="24.9" customHeight="1">
      <c r="A4808" s="20"/>
      <c r="B4808" s="20" t="s">
        <v>5101</v>
      </c>
      <c r="C4808" s="20"/>
      <c r="D4808" s="20" t="s">
        <v>4325</v>
      </c>
      <c r="E4808" s="19">
        <f>VLOOKUP(D4808,'لیست پرسنل'!$B$2:$E$1020,3,FALSE)</f>
        <v>0</v>
      </c>
      <c r="F4808" s="19">
        <f>VLOOKUP(D4808,'لیست پرسنل'!$B$2:$E$1020,4,FALSE)</f>
        <v>0</v>
      </c>
      <c r="G4808" s="127">
        <f>VLOOKUP(D4808,'لیست پرسنل'!$B$2:$F$1020,2,FALSE)</f>
        <v>0</v>
      </c>
      <c r="H4808" s="130" t="s">
        <v>2565</v>
      </c>
      <c r="I4808" s="128" t="s">
        <v>4325</v>
      </c>
      <c r="J4808" s="128" t="s">
        <v>3532</v>
      </c>
      <c r="K4808" s="128" t="s">
        <v>1186</v>
      </c>
      <c r="L4808" s="128"/>
      <c r="M4808" s="128">
        <v>621854</v>
      </c>
      <c r="N4808" s="109"/>
      <c r="O4808" s="20"/>
      <c r="P4808" s="20" t="s">
        <v>5869</v>
      </c>
      <c r="Q4808" s="20" t="s">
        <v>7264</v>
      </c>
    </row>
    <row r="4809" spans="1:17" ht="24.9" customHeight="1">
      <c r="A4809" s="20"/>
      <c r="B4809" s="20" t="s">
        <v>5101</v>
      </c>
      <c r="C4809" s="20"/>
      <c r="D4809" s="20" t="s">
        <v>4325</v>
      </c>
      <c r="E4809" s="19">
        <f>VLOOKUP(D4809,'لیست پرسنل'!$B$2:$E$1020,3,FALSE)</f>
        <v>0</v>
      </c>
      <c r="F4809" s="19">
        <f>VLOOKUP(D4809,'لیست پرسنل'!$B$2:$E$1020,4,FALSE)</f>
        <v>0</v>
      </c>
      <c r="G4809" s="127">
        <f>VLOOKUP(D4809,'لیست پرسنل'!$B$2:$F$1020,2,FALSE)</f>
        <v>0</v>
      </c>
      <c r="H4809" s="130" t="s">
        <v>2565</v>
      </c>
      <c r="I4809" s="128" t="s">
        <v>4325</v>
      </c>
      <c r="J4809" s="128" t="s">
        <v>3532</v>
      </c>
      <c r="K4809" s="128" t="s">
        <v>1186</v>
      </c>
      <c r="L4809" s="128"/>
      <c r="M4809" s="128">
        <v>621855</v>
      </c>
      <c r="N4809" s="109"/>
      <c r="O4809" s="20"/>
      <c r="P4809" s="20" t="s">
        <v>5869</v>
      </c>
      <c r="Q4809" s="20" t="s">
        <v>7264</v>
      </c>
    </row>
    <row r="4810" spans="1:17" ht="24.9" customHeight="1">
      <c r="A4810" s="20"/>
      <c r="B4810" s="20" t="s">
        <v>5101</v>
      </c>
      <c r="C4810" s="20"/>
      <c r="D4810" s="20" t="s">
        <v>4325</v>
      </c>
      <c r="E4810" s="19">
        <f>VLOOKUP(D4810,'لیست پرسنل'!$B$2:$E$1020,3,FALSE)</f>
        <v>0</v>
      </c>
      <c r="F4810" s="19">
        <f>VLOOKUP(D4810,'لیست پرسنل'!$B$2:$E$1020,4,FALSE)</f>
        <v>0</v>
      </c>
      <c r="G4810" s="127">
        <f>VLOOKUP(D4810,'لیست پرسنل'!$B$2:$F$1020,2,FALSE)</f>
        <v>0</v>
      </c>
      <c r="H4810" s="130" t="s">
        <v>2565</v>
      </c>
      <c r="I4810" s="128" t="s">
        <v>4325</v>
      </c>
      <c r="J4810" s="128" t="s">
        <v>3532</v>
      </c>
      <c r="K4810" s="128" t="s">
        <v>1186</v>
      </c>
      <c r="L4810" s="128"/>
      <c r="M4810" s="128">
        <v>621856</v>
      </c>
      <c r="N4810" s="109"/>
      <c r="O4810" s="20"/>
      <c r="P4810" s="20" t="s">
        <v>5869</v>
      </c>
      <c r="Q4810" s="20" t="s">
        <v>7264</v>
      </c>
    </row>
    <row r="4811" spans="1:17" ht="24.9" customHeight="1">
      <c r="A4811" s="20"/>
      <c r="B4811" s="20" t="s">
        <v>5101</v>
      </c>
      <c r="C4811" s="20"/>
      <c r="D4811" s="20" t="s">
        <v>4325</v>
      </c>
      <c r="E4811" s="19">
        <f>VLOOKUP(D4811,'لیست پرسنل'!$B$2:$E$1020,3,FALSE)</f>
        <v>0</v>
      </c>
      <c r="F4811" s="19">
        <f>VLOOKUP(D4811,'لیست پرسنل'!$B$2:$E$1020,4,FALSE)</f>
        <v>0</v>
      </c>
      <c r="G4811" s="127">
        <f>VLOOKUP(D4811,'لیست پرسنل'!$B$2:$F$1020,2,FALSE)</f>
        <v>0</v>
      </c>
      <c r="H4811" s="130" t="s">
        <v>2565</v>
      </c>
      <c r="I4811" s="128" t="s">
        <v>4325</v>
      </c>
      <c r="J4811" s="128" t="s">
        <v>3532</v>
      </c>
      <c r="K4811" s="128" t="s">
        <v>1186</v>
      </c>
      <c r="L4811" s="128"/>
      <c r="M4811" s="128">
        <v>621857</v>
      </c>
      <c r="N4811" s="109"/>
      <c r="O4811" s="20"/>
      <c r="P4811" s="20" t="s">
        <v>5869</v>
      </c>
      <c r="Q4811" s="20" t="s">
        <v>7264</v>
      </c>
    </row>
    <row r="4812" spans="1:17" ht="24.9" customHeight="1">
      <c r="A4812" s="20"/>
      <c r="B4812" s="20" t="s">
        <v>5101</v>
      </c>
      <c r="C4812" s="20"/>
      <c r="D4812" s="20" t="s">
        <v>4325</v>
      </c>
      <c r="E4812" s="19">
        <f>VLOOKUP(D4812,'لیست پرسنل'!$B$2:$E$1020,3,FALSE)</f>
        <v>0</v>
      </c>
      <c r="F4812" s="19">
        <f>VLOOKUP(D4812,'لیست پرسنل'!$B$2:$E$1020,4,FALSE)</f>
        <v>0</v>
      </c>
      <c r="G4812" s="127">
        <f>VLOOKUP(D4812,'لیست پرسنل'!$B$2:$F$1020,2,FALSE)</f>
        <v>0</v>
      </c>
      <c r="H4812" s="130" t="s">
        <v>2565</v>
      </c>
      <c r="I4812" s="128" t="s">
        <v>4325</v>
      </c>
      <c r="J4812" s="128" t="s">
        <v>3532</v>
      </c>
      <c r="K4812" s="128" t="s">
        <v>1186</v>
      </c>
      <c r="L4812" s="128"/>
      <c r="M4812" s="128">
        <v>621858</v>
      </c>
      <c r="N4812" s="109"/>
      <c r="O4812" s="20"/>
      <c r="P4812" s="20" t="s">
        <v>5869</v>
      </c>
      <c r="Q4812" s="20" t="s">
        <v>7264</v>
      </c>
    </row>
    <row r="4813" spans="1:17" ht="24.9" customHeight="1">
      <c r="A4813" s="20"/>
      <c r="B4813" s="20" t="s">
        <v>5101</v>
      </c>
      <c r="C4813" s="20"/>
      <c r="D4813" s="20" t="s">
        <v>4325</v>
      </c>
      <c r="E4813" s="19">
        <f>VLOOKUP(D4813,'لیست پرسنل'!$B$2:$E$1020,3,FALSE)</f>
        <v>0</v>
      </c>
      <c r="F4813" s="19">
        <f>VLOOKUP(D4813,'لیست پرسنل'!$B$2:$E$1020,4,FALSE)</f>
        <v>0</v>
      </c>
      <c r="G4813" s="127">
        <f>VLOOKUP(D4813,'لیست پرسنل'!$B$2:$F$1020,2,FALSE)</f>
        <v>0</v>
      </c>
      <c r="H4813" s="130" t="s">
        <v>2565</v>
      </c>
      <c r="I4813" s="128" t="s">
        <v>4325</v>
      </c>
      <c r="J4813" s="128" t="s">
        <v>3532</v>
      </c>
      <c r="K4813" s="128" t="s">
        <v>1186</v>
      </c>
      <c r="L4813" s="128"/>
      <c r="M4813" s="128">
        <v>621859</v>
      </c>
      <c r="N4813" s="109"/>
      <c r="O4813" s="20"/>
      <c r="P4813" s="20" t="s">
        <v>5869</v>
      </c>
      <c r="Q4813" s="20" t="s">
        <v>7264</v>
      </c>
    </row>
    <row r="4814" spans="1:17" ht="24.9" customHeight="1">
      <c r="A4814" s="20"/>
      <c r="B4814" s="20" t="s">
        <v>5101</v>
      </c>
      <c r="C4814" s="20"/>
      <c r="D4814" s="20" t="s">
        <v>4325</v>
      </c>
      <c r="E4814" s="19">
        <f>VLOOKUP(D4814,'لیست پرسنل'!$B$2:$E$1020,3,FALSE)</f>
        <v>0</v>
      </c>
      <c r="F4814" s="19">
        <f>VLOOKUP(D4814,'لیست پرسنل'!$B$2:$E$1020,4,FALSE)</f>
        <v>0</v>
      </c>
      <c r="G4814" s="127">
        <f>VLOOKUP(D4814,'لیست پرسنل'!$B$2:$F$1020,2,FALSE)</f>
        <v>0</v>
      </c>
      <c r="H4814" s="130" t="s">
        <v>2565</v>
      </c>
      <c r="I4814" s="128" t="s">
        <v>4325</v>
      </c>
      <c r="J4814" s="128" t="s">
        <v>3532</v>
      </c>
      <c r="K4814" s="128" t="s">
        <v>1186</v>
      </c>
      <c r="L4814" s="128"/>
      <c r="M4814" s="128">
        <v>621860</v>
      </c>
      <c r="N4814" s="109"/>
      <c r="O4814" s="20"/>
      <c r="P4814" s="20" t="s">
        <v>5869</v>
      </c>
      <c r="Q4814" s="20" t="s">
        <v>7264</v>
      </c>
    </row>
    <row r="4815" spans="1:17" ht="24.9" customHeight="1">
      <c r="A4815" s="20"/>
      <c r="B4815" s="20" t="s">
        <v>5101</v>
      </c>
      <c r="C4815" s="20"/>
      <c r="D4815" s="20" t="s">
        <v>4325</v>
      </c>
      <c r="E4815" s="19">
        <f>VLOOKUP(D4815,'لیست پرسنل'!$B$2:$E$1020,3,FALSE)</f>
        <v>0</v>
      </c>
      <c r="F4815" s="19">
        <f>VLOOKUP(D4815,'لیست پرسنل'!$B$2:$E$1020,4,FALSE)</f>
        <v>0</v>
      </c>
      <c r="G4815" s="127">
        <f>VLOOKUP(D4815,'لیست پرسنل'!$B$2:$F$1020,2,FALSE)</f>
        <v>0</v>
      </c>
      <c r="H4815" s="130" t="s">
        <v>2565</v>
      </c>
      <c r="I4815" s="128" t="s">
        <v>4325</v>
      </c>
      <c r="J4815" s="128" t="s">
        <v>3532</v>
      </c>
      <c r="K4815" s="128" t="s">
        <v>1186</v>
      </c>
      <c r="L4815" s="128"/>
      <c r="M4815" s="128">
        <v>621861</v>
      </c>
      <c r="N4815" s="108"/>
      <c r="O4815" s="20"/>
      <c r="P4815" s="20" t="s">
        <v>5869</v>
      </c>
      <c r="Q4815" s="20" t="s">
        <v>7264</v>
      </c>
    </row>
    <row r="4816" spans="1:17" ht="24.9" customHeight="1">
      <c r="A4816" s="20"/>
      <c r="B4816" s="20" t="s">
        <v>5101</v>
      </c>
      <c r="C4816" s="20"/>
      <c r="D4816" s="20" t="s">
        <v>4325</v>
      </c>
      <c r="E4816" s="19">
        <f>VLOOKUP(D4816,'لیست پرسنل'!$B$2:$E$1020,3,FALSE)</f>
        <v>0</v>
      </c>
      <c r="F4816" s="19">
        <f>VLOOKUP(D4816,'لیست پرسنل'!$B$2:$E$1020,4,FALSE)</f>
        <v>0</v>
      </c>
      <c r="G4816" s="127">
        <f>VLOOKUP(D4816,'لیست پرسنل'!$B$2:$F$1020,2,FALSE)</f>
        <v>0</v>
      </c>
      <c r="H4816" s="130" t="s">
        <v>2565</v>
      </c>
      <c r="I4816" s="128" t="s">
        <v>4325</v>
      </c>
      <c r="J4816" s="128" t="s">
        <v>3532</v>
      </c>
      <c r="K4816" s="128" t="s">
        <v>1186</v>
      </c>
      <c r="L4816" s="128"/>
      <c r="M4816" s="128">
        <v>621862</v>
      </c>
      <c r="N4816" s="108"/>
      <c r="O4816" s="20"/>
      <c r="P4816" s="20" t="s">
        <v>5869</v>
      </c>
      <c r="Q4816" s="20" t="s">
        <v>7264</v>
      </c>
    </row>
    <row r="4817" spans="1:17" ht="24.9" customHeight="1">
      <c r="A4817" s="20"/>
      <c r="B4817" s="20" t="s">
        <v>5101</v>
      </c>
      <c r="C4817" s="20"/>
      <c r="D4817" s="20" t="s">
        <v>4325</v>
      </c>
      <c r="E4817" s="19">
        <f>VLOOKUP(D4817,'لیست پرسنل'!$B$2:$E$1020,3,FALSE)</f>
        <v>0</v>
      </c>
      <c r="F4817" s="19">
        <f>VLOOKUP(D4817,'لیست پرسنل'!$B$2:$E$1020,4,FALSE)</f>
        <v>0</v>
      </c>
      <c r="G4817" s="127">
        <f>VLOOKUP(D4817,'لیست پرسنل'!$B$2:$F$1020,2,FALSE)</f>
        <v>0</v>
      </c>
      <c r="H4817" s="130" t="s">
        <v>2565</v>
      </c>
      <c r="I4817" s="128" t="s">
        <v>4325</v>
      </c>
      <c r="J4817" s="128" t="s">
        <v>3532</v>
      </c>
      <c r="K4817" s="128" t="s">
        <v>1186</v>
      </c>
      <c r="L4817" s="128"/>
      <c r="M4817" s="128">
        <v>621863</v>
      </c>
      <c r="N4817" s="108"/>
      <c r="O4817" s="20"/>
      <c r="P4817" s="20" t="s">
        <v>5869</v>
      </c>
      <c r="Q4817" s="20" t="s">
        <v>7264</v>
      </c>
    </row>
    <row r="4818" spans="1:17" ht="24.9" customHeight="1">
      <c r="A4818" s="20"/>
      <c r="B4818" s="20" t="s">
        <v>5101</v>
      </c>
      <c r="C4818" s="20"/>
      <c r="D4818" s="20" t="s">
        <v>4325</v>
      </c>
      <c r="E4818" s="19">
        <f>VLOOKUP(D4818,'لیست پرسنل'!$B$2:$E$1020,3,FALSE)</f>
        <v>0</v>
      </c>
      <c r="F4818" s="19">
        <f>VLOOKUP(D4818,'لیست پرسنل'!$B$2:$E$1020,4,FALSE)</f>
        <v>0</v>
      </c>
      <c r="G4818" s="127">
        <f>VLOOKUP(D4818,'لیست پرسنل'!$B$2:$F$1020,2,FALSE)</f>
        <v>0</v>
      </c>
      <c r="H4818" s="130" t="s">
        <v>2565</v>
      </c>
      <c r="I4818" s="128" t="s">
        <v>4325</v>
      </c>
      <c r="J4818" s="128" t="s">
        <v>3532</v>
      </c>
      <c r="K4818" s="128" t="s">
        <v>1186</v>
      </c>
      <c r="L4818" s="128"/>
      <c r="M4818" s="128">
        <v>621864</v>
      </c>
      <c r="N4818" s="108"/>
      <c r="O4818" s="20"/>
      <c r="P4818" s="20" t="s">
        <v>5869</v>
      </c>
      <c r="Q4818" s="20" t="s">
        <v>7264</v>
      </c>
    </row>
    <row r="4819" spans="1:17" ht="24.9" customHeight="1">
      <c r="A4819" s="20"/>
      <c r="B4819" s="20" t="s">
        <v>5101</v>
      </c>
      <c r="C4819" s="20"/>
      <c r="D4819" s="20" t="s">
        <v>4325</v>
      </c>
      <c r="E4819" s="19">
        <f>VLOOKUP(D4819,'لیست پرسنل'!$B$2:$E$1020,3,FALSE)</f>
        <v>0</v>
      </c>
      <c r="F4819" s="19">
        <f>VLOOKUP(D4819,'لیست پرسنل'!$B$2:$E$1020,4,FALSE)</f>
        <v>0</v>
      </c>
      <c r="G4819" s="127">
        <f>VLOOKUP(D4819,'لیست پرسنل'!$B$2:$F$1020,2,FALSE)</f>
        <v>0</v>
      </c>
      <c r="H4819" s="130" t="s">
        <v>2565</v>
      </c>
      <c r="I4819" s="128" t="s">
        <v>4325</v>
      </c>
      <c r="J4819" s="128" t="s">
        <v>3532</v>
      </c>
      <c r="K4819" s="128" t="s">
        <v>2106</v>
      </c>
      <c r="L4819" s="151" t="s">
        <v>3334</v>
      </c>
      <c r="M4819" s="126">
        <v>621866</v>
      </c>
      <c r="N4819" s="108"/>
      <c r="O4819" s="20"/>
      <c r="P4819" s="20" t="s">
        <v>5869</v>
      </c>
      <c r="Q4819" s="20" t="s">
        <v>7264</v>
      </c>
    </row>
    <row r="4820" spans="1:17" ht="24.9" customHeight="1">
      <c r="A4820" s="20"/>
      <c r="B4820" s="20" t="s">
        <v>5101</v>
      </c>
      <c r="C4820" s="20"/>
      <c r="D4820" s="20" t="s">
        <v>4325</v>
      </c>
      <c r="E4820" s="19">
        <f>VLOOKUP(D4820,'لیست پرسنل'!$B$2:$E$1020,3,FALSE)</f>
        <v>0</v>
      </c>
      <c r="F4820" s="19">
        <f>VLOOKUP(D4820,'لیست پرسنل'!$B$2:$E$1020,4,FALSE)</f>
        <v>0</v>
      </c>
      <c r="G4820" s="127">
        <f>VLOOKUP(D4820,'لیست پرسنل'!$B$2:$F$1020,2,FALSE)</f>
        <v>0</v>
      </c>
      <c r="H4820" s="130" t="s">
        <v>2565</v>
      </c>
      <c r="I4820" s="128" t="s">
        <v>4325</v>
      </c>
      <c r="J4820" s="128" t="s">
        <v>3532</v>
      </c>
      <c r="K4820" s="128" t="s">
        <v>1186</v>
      </c>
      <c r="L4820" s="128"/>
      <c r="M4820" s="128" t="s">
        <v>704</v>
      </c>
      <c r="N4820" s="108"/>
      <c r="O4820" s="20"/>
      <c r="P4820" s="20" t="s">
        <v>5869</v>
      </c>
      <c r="Q4820" s="20" t="s">
        <v>7264</v>
      </c>
    </row>
    <row r="4821" spans="1:17" ht="24.9" customHeight="1">
      <c r="A4821" s="20"/>
      <c r="B4821" s="20" t="s">
        <v>5101</v>
      </c>
      <c r="C4821" s="20"/>
      <c r="D4821" s="20" t="s">
        <v>4325</v>
      </c>
      <c r="E4821" s="19">
        <f>VLOOKUP(D4821,'لیست پرسنل'!$B$2:$E$1020,3,FALSE)</f>
        <v>0</v>
      </c>
      <c r="F4821" s="19">
        <f>VLOOKUP(D4821,'لیست پرسنل'!$B$2:$E$1020,4,FALSE)</f>
        <v>0</v>
      </c>
      <c r="G4821" s="127">
        <f>VLOOKUP(D4821,'لیست پرسنل'!$B$2:$F$1020,2,FALSE)</f>
        <v>0</v>
      </c>
      <c r="H4821" s="130" t="s">
        <v>2565</v>
      </c>
      <c r="I4821" s="128" t="s">
        <v>4325</v>
      </c>
      <c r="J4821" s="128" t="s">
        <v>5366</v>
      </c>
      <c r="K4821" s="130" t="s">
        <v>2569</v>
      </c>
      <c r="L4821" s="128"/>
      <c r="M4821" s="130">
        <v>603459</v>
      </c>
      <c r="N4821" s="108"/>
      <c r="O4821" s="20"/>
      <c r="P4821" s="20" t="s">
        <v>5869</v>
      </c>
      <c r="Q4821" s="20" t="s">
        <v>7264</v>
      </c>
    </row>
    <row r="4822" spans="1:17" ht="24.9" customHeight="1">
      <c r="A4822" s="20"/>
      <c r="B4822" s="20" t="s">
        <v>5101</v>
      </c>
      <c r="C4822" s="20"/>
      <c r="D4822" s="20" t="s">
        <v>4325</v>
      </c>
      <c r="E4822" s="19">
        <f>VLOOKUP(D4822,'لیست پرسنل'!$B$2:$E$1020,3,FALSE)</f>
        <v>0</v>
      </c>
      <c r="F4822" s="19">
        <f>VLOOKUP(D4822,'لیست پرسنل'!$B$2:$E$1020,4,FALSE)</f>
        <v>0</v>
      </c>
      <c r="G4822" s="127">
        <f>VLOOKUP(D4822,'لیست پرسنل'!$B$2:$F$1020,2,FALSE)</f>
        <v>0</v>
      </c>
      <c r="H4822" s="130" t="s">
        <v>2565</v>
      </c>
      <c r="I4822" s="128" t="s">
        <v>4325</v>
      </c>
      <c r="J4822" s="128" t="s">
        <v>5366</v>
      </c>
      <c r="K4822" s="130" t="s">
        <v>2567</v>
      </c>
      <c r="L4822" s="128"/>
      <c r="M4822" s="130">
        <v>604832</v>
      </c>
      <c r="N4822" s="108"/>
      <c r="O4822" s="20"/>
      <c r="P4822" s="20" t="s">
        <v>5869</v>
      </c>
      <c r="Q4822" s="20" t="s">
        <v>7264</v>
      </c>
    </row>
    <row r="4823" spans="1:17" ht="24.9" customHeight="1">
      <c r="A4823" s="20"/>
      <c r="B4823" s="20" t="s">
        <v>5101</v>
      </c>
      <c r="C4823" s="20"/>
      <c r="D4823" s="20" t="s">
        <v>4325</v>
      </c>
      <c r="E4823" s="19">
        <f>VLOOKUP(D4823,'لیست پرسنل'!$B$2:$E$1020,3,FALSE)</f>
        <v>0</v>
      </c>
      <c r="F4823" s="19">
        <f>VLOOKUP(D4823,'لیست پرسنل'!$B$2:$E$1020,4,FALSE)</f>
        <v>0</v>
      </c>
      <c r="G4823" s="127">
        <f>VLOOKUP(D4823,'لیست پرسنل'!$B$2:$F$1020,2,FALSE)</f>
        <v>0</v>
      </c>
      <c r="H4823" s="130" t="s">
        <v>2565</v>
      </c>
      <c r="I4823" s="128" t="s">
        <v>4325</v>
      </c>
      <c r="J4823" s="128" t="s">
        <v>5366</v>
      </c>
      <c r="K4823" s="130" t="s">
        <v>2568</v>
      </c>
      <c r="L4823" s="128"/>
      <c r="M4823" s="130">
        <v>604834</v>
      </c>
      <c r="N4823" s="108"/>
      <c r="O4823" s="20"/>
      <c r="P4823" s="20" t="s">
        <v>5869</v>
      </c>
      <c r="Q4823" s="20" t="s">
        <v>7264</v>
      </c>
    </row>
    <row r="4824" spans="1:17" ht="24.9" customHeight="1">
      <c r="A4824" s="20"/>
      <c r="B4824" s="20" t="s">
        <v>5101</v>
      </c>
      <c r="C4824" s="20"/>
      <c r="D4824" s="20" t="s">
        <v>4325</v>
      </c>
      <c r="E4824" s="19">
        <f>VLOOKUP(D4824,'لیست پرسنل'!$B$2:$E$1020,3,FALSE)</f>
        <v>0</v>
      </c>
      <c r="F4824" s="19">
        <f>VLOOKUP(D4824,'لیست پرسنل'!$B$2:$E$1020,4,FALSE)</f>
        <v>0</v>
      </c>
      <c r="G4824" s="127">
        <f>VLOOKUP(D4824,'لیست پرسنل'!$B$2:$F$1020,2,FALSE)</f>
        <v>0</v>
      </c>
      <c r="H4824" s="130" t="s">
        <v>2565</v>
      </c>
      <c r="I4824" s="128" t="s">
        <v>4325</v>
      </c>
      <c r="J4824" s="128" t="s">
        <v>5366</v>
      </c>
      <c r="K4824" s="130" t="s">
        <v>2568</v>
      </c>
      <c r="L4824" s="128"/>
      <c r="M4824" s="130">
        <v>604836</v>
      </c>
      <c r="N4824" s="108"/>
      <c r="O4824" s="20"/>
      <c r="P4824" s="20" t="s">
        <v>5869</v>
      </c>
      <c r="Q4824" s="20" t="s">
        <v>7264</v>
      </c>
    </row>
    <row r="4825" spans="1:17" ht="24.9" customHeight="1">
      <c r="A4825" s="20"/>
      <c r="B4825" s="20" t="s">
        <v>5101</v>
      </c>
      <c r="C4825" s="20"/>
      <c r="D4825" s="20" t="s">
        <v>4325</v>
      </c>
      <c r="E4825" s="19">
        <f>VLOOKUP(D4825,'لیست پرسنل'!$B$2:$E$1020,3,FALSE)</f>
        <v>0</v>
      </c>
      <c r="F4825" s="19">
        <f>VLOOKUP(D4825,'لیست پرسنل'!$B$2:$E$1020,4,FALSE)</f>
        <v>0</v>
      </c>
      <c r="G4825" s="127">
        <f>VLOOKUP(D4825,'لیست پرسنل'!$B$2:$F$1020,2,FALSE)</f>
        <v>0</v>
      </c>
      <c r="H4825" s="130" t="s">
        <v>2565</v>
      </c>
      <c r="I4825" s="128" t="s">
        <v>4325</v>
      </c>
      <c r="J4825" s="128" t="s">
        <v>5366</v>
      </c>
      <c r="K4825" s="130" t="s">
        <v>2568</v>
      </c>
      <c r="L4825" s="128"/>
      <c r="M4825" s="130">
        <v>604837</v>
      </c>
      <c r="N4825" s="108"/>
      <c r="O4825" s="20"/>
      <c r="P4825" s="20" t="s">
        <v>5869</v>
      </c>
      <c r="Q4825" s="20" t="s">
        <v>7264</v>
      </c>
    </row>
    <row r="4826" spans="1:17" ht="24.9" customHeight="1">
      <c r="A4826" s="20"/>
      <c r="B4826" s="20" t="s">
        <v>5101</v>
      </c>
      <c r="C4826" s="20"/>
      <c r="D4826" s="20" t="s">
        <v>4325</v>
      </c>
      <c r="E4826" s="19">
        <f>VLOOKUP(D4826,'لیست پرسنل'!$B$2:$E$1020,3,FALSE)</f>
        <v>0</v>
      </c>
      <c r="F4826" s="19">
        <f>VLOOKUP(D4826,'لیست پرسنل'!$B$2:$E$1020,4,FALSE)</f>
        <v>0</v>
      </c>
      <c r="G4826" s="127">
        <f>VLOOKUP(D4826,'لیست پرسنل'!$B$2:$F$1020,2,FALSE)</f>
        <v>0</v>
      </c>
      <c r="H4826" s="130" t="s">
        <v>2565</v>
      </c>
      <c r="I4826" s="128" t="s">
        <v>4325</v>
      </c>
      <c r="J4826" s="128" t="s">
        <v>5366</v>
      </c>
      <c r="K4826" s="130" t="s">
        <v>2569</v>
      </c>
      <c r="L4826" s="128"/>
      <c r="M4826" s="130">
        <v>605034</v>
      </c>
      <c r="N4826" s="108"/>
      <c r="O4826" s="20"/>
      <c r="P4826" s="20" t="s">
        <v>5869</v>
      </c>
      <c r="Q4826" s="20" t="s">
        <v>7264</v>
      </c>
    </row>
    <row r="4827" spans="1:17" ht="24.9" customHeight="1">
      <c r="A4827" s="20"/>
      <c r="B4827" s="20" t="s">
        <v>5101</v>
      </c>
      <c r="C4827" s="20"/>
      <c r="D4827" s="20" t="s">
        <v>4325</v>
      </c>
      <c r="E4827" s="19">
        <f>VLOOKUP(D4827,'لیست پرسنل'!$B$2:$E$1020,3,FALSE)</f>
        <v>0</v>
      </c>
      <c r="F4827" s="19">
        <f>VLOOKUP(D4827,'لیست پرسنل'!$B$2:$E$1020,4,FALSE)</f>
        <v>0</v>
      </c>
      <c r="G4827" s="127">
        <f>VLOOKUP(D4827,'لیست پرسنل'!$B$2:$F$1020,2,FALSE)</f>
        <v>0</v>
      </c>
      <c r="H4827" s="128" t="s">
        <v>2565</v>
      </c>
      <c r="I4827" s="128" t="s">
        <v>4325</v>
      </c>
      <c r="J4827" s="128" t="s">
        <v>5366</v>
      </c>
      <c r="K4827" s="127" t="s">
        <v>4433</v>
      </c>
      <c r="L4827" s="128"/>
      <c r="M4827" s="134">
        <v>606308</v>
      </c>
      <c r="N4827" s="108"/>
      <c r="O4827" s="32" t="s">
        <v>2676</v>
      </c>
      <c r="P4827" s="20" t="s">
        <v>5869</v>
      </c>
      <c r="Q4827" s="20" t="s">
        <v>7264</v>
      </c>
    </row>
    <row r="4828" spans="1:17" ht="24.9" customHeight="1">
      <c r="A4828" s="20"/>
      <c r="B4828" s="20" t="s">
        <v>5101</v>
      </c>
      <c r="C4828" s="20"/>
      <c r="D4828" s="20" t="s">
        <v>4325</v>
      </c>
      <c r="E4828" s="19">
        <f>VLOOKUP(D4828,'لیست پرسنل'!$B$2:$E$1020,3,FALSE)</f>
        <v>0</v>
      </c>
      <c r="F4828" s="19">
        <f>VLOOKUP(D4828,'لیست پرسنل'!$B$2:$E$1020,4,FALSE)</f>
        <v>0</v>
      </c>
      <c r="G4828" s="127">
        <f>VLOOKUP(D4828,'لیست پرسنل'!$B$2:$F$1020,2,FALSE)</f>
        <v>0</v>
      </c>
      <c r="H4828" s="130" t="s">
        <v>2565</v>
      </c>
      <c r="I4828" s="128" t="s">
        <v>4325</v>
      </c>
      <c r="J4828" s="128" t="s">
        <v>5366</v>
      </c>
      <c r="K4828" s="130" t="s">
        <v>2569</v>
      </c>
      <c r="L4828" s="128"/>
      <c r="M4828" s="130">
        <v>607121</v>
      </c>
      <c r="N4828" s="108"/>
      <c r="O4828" s="20"/>
      <c r="P4828" s="20" t="s">
        <v>5869</v>
      </c>
      <c r="Q4828" s="20" t="s">
        <v>7264</v>
      </c>
    </row>
    <row r="4829" spans="1:17" ht="24.9" customHeight="1">
      <c r="A4829" s="20"/>
      <c r="B4829" s="20" t="s">
        <v>5101</v>
      </c>
      <c r="C4829" s="20"/>
      <c r="D4829" s="20" t="s">
        <v>4325</v>
      </c>
      <c r="E4829" s="19">
        <f>VLOOKUP(D4829,'لیست پرسنل'!$B$2:$E$1020,3,FALSE)</f>
        <v>0</v>
      </c>
      <c r="F4829" s="19">
        <f>VLOOKUP(D4829,'لیست پرسنل'!$B$2:$E$1020,4,FALSE)</f>
        <v>0</v>
      </c>
      <c r="G4829" s="127">
        <f>VLOOKUP(D4829,'لیست پرسنل'!$B$2:$F$1020,2,FALSE)</f>
        <v>0</v>
      </c>
      <c r="H4829" s="130" t="s">
        <v>2565</v>
      </c>
      <c r="I4829" s="128" t="s">
        <v>4325</v>
      </c>
      <c r="J4829" s="128" t="s">
        <v>5366</v>
      </c>
      <c r="K4829" s="130" t="s">
        <v>2569</v>
      </c>
      <c r="L4829" s="128"/>
      <c r="M4829" s="130">
        <v>610356</v>
      </c>
      <c r="N4829" s="108"/>
      <c r="O4829" s="20"/>
      <c r="P4829" s="20" t="s">
        <v>5869</v>
      </c>
      <c r="Q4829" s="20" t="s">
        <v>7264</v>
      </c>
    </row>
    <row r="4830" spans="1:17" ht="24.9" customHeight="1">
      <c r="A4830" s="20"/>
      <c r="B4830" s="20" t="s">
        <v>5101</v>
      </c>
      <c r="C4830" s="20"/>
      <c r="D4830" s="20" t="s">
        <v>4325</v>
      </c>
      <c r="E4830" s="19">
        <f>VLOOKUP(D4830,'لیست پرسنل'!$B$2:$E$1020,3,FALSE)</f>
        <v>0</v>
      </c>
      <c r="F4830" s="19">
        <f>VLOOKUP(D4830,'لیست پرسنل'!$B$2:$E$1020,4,FALSE)</f>
        <v>0</v>
      </c>
      <c r="G4830" s="127">
        <f>VLOOKUP(D4830,'لیست پرسنل'!$B$2:$F$1020,2,FALSE)</f>
        <v>0</v>
      </c>
      <c r="H4830" s="128" t="s">
        <v>2565</v>
      </c>
      <c r="I4830" s="128" t="s">
        <v>4325</v>
      </c>
      <c r="J4830" s="128" t="s">
        <v>5366</v>
      </c>
      <c r="K4830" s="127" t="s">
        <v>4434</v>
      </c>
      <c r="L4830" s="128"/>
      <c r="M4830" s="134">
        <v>622460</v>
      </c>
      <c r="N4830" s="108"/>
      <c r="O4830" s="32" t="s">
        <v>2676</v>
      </c>
      <c r="P4830" s="20" t="s">
        <v>5869</v>
      </c>
      <c r="Q4830" s="20" t="s">
        <v>7264</v>
      </c>
    </row>
    <row r="4831" spans="1:17" ht="24.9" customHeight="1">
      <c r="A4831" s="20"/>
      <c r="B4831" s="20" t="s">
        <v>5101</v>
      </c>
      <c r="C4831" s="20"/>
      <c r="D4831" s="20" t="s">
        <v>4325</v>
      </c>
      <c r="E4831" s="19">
        <f>VLOOKUP(D4831,'لیست پرسنل'!$B$2:$E$1020,3,FALSE)</f>
        <v>0</v>
      </c>
      <c r="F4831" s="19">
        <f>VLOOKUP(D4831,'لیست پرسنل'!$B$2:$E$1020,4,FALSE)</f>
        <v>0</v>
      </c>
      <c r="G4831" s="127">
        <f>VLOOKUP(D4831,'لیست پرسنل'!$B$2:$F$1020,2,FALSE)</f>
        <v>0</v>
      </c>
      <c r="H4831" s="130" t="s">
        <v>2565</v>
      </c>
      <c r="I4831" s="128" t="s">
        <v>4325</v>
      </c>
      <c r="J4831" s="128" t="s">
        <v>5366</v>
      </c>
      <c r="K4831" s="130" t="s">
        <v>2577</v>
      </c>
      <c r="L4831" s="151"/>
      <c r="M4831" s="130">
        <v>623303</v>
      </c>
      <c r="N4831" s="108"/>
      <c r="O4831" s="20"/>
      <c r="P4831" s="20" t="s">
        <v>3834</v>
      </c>
      <c r="Q4831" s="20" t="s">
        <v>7293</v>
      </c>
    </row>
    <row r="4832" spans="1:17" ht="24.9" customHeight="1">
      <c r="A4832" s="20"/>
      <c r="B4832" s="20" t="s">
        <v>5101</v>
      </c>
      <c r="C4832" s="20"/>
      <c r="D4832" s="20" t="s">
        <v>4325</v>
      </c>
      <c r="E4832" s="19">
        <f>VLOOKUP(D4832,'لیست پرسنل'!$B$2:$E$1020,3,FALSE)</f>
        <v>0</v>
      </c>
      <c r="F4832" s="19">
        <f>VLOOKUP(D4832,'لیست پرسنل'!$B$2:$E$1020,4,FALSE)</f>
        <v>0</v>
      </c>
      <c r="G4832" s="127">
        <f>VLOOKUP(D4832,'لیست پرسنل'!$B$2:$F$1020,2,FALSE)</f>
        <v>0</v>
      </c>
      <c r="H4832" s="130" t="s">
        <v>2565</v>
      </c>
      <c r="I4832" s="128" t="s">
        <v>4325</v>
      </c>
      <c r="J4832" s="128" t="s">
        <v>3481</v>
      </c>
      <c r="K4832" s="130" t="s">
        <v>3296</v>
      </c>
      <c r="L4832" s="130"/>
      <c r="M4832" s="128">
        <v>622579</v>
      </c>
      <c r="N4832" s="108"/>
      <c r="O4832" s="20"/>
      <c r="P4832" s="20" t="s">
        <v>5869</v>
      </c>
      <c r="Q4832" s="20" t="s">
        <v>7264</v>
      </c>
    </row>
    <row r="4833" spans="1:17" ht="24.9" customHeight="1">
      <c r="A4833" s="20"/>
      <c r="B4833" s="20" t="s">
        <v>5101</v>
      </c>
      <c r="C4833" s="20"/>
      <c r="D4833" s="20" t="s">
        <v>4325</v>
      </c>
      <c r="E4833" s="19">
        <f>VLOOKUP(D4833,'لیست پرسنل'!$B$2:$E$1020,3,FALSE)</f>
        <v>0</v>
      </c>
      <c r="F4833" s="19">
        <f>VLOOKUP(D4833,'لیست پرسنل'!$B$2:$E$1020,4,FALSE)</f>
        <v>0</v>
      </c>
      <c r="G4833" s="127">
        <f>VLOOKUP(D4833,'لیست پرسنل'!$B$2:$F$1020,2,FALSE)</f>
        <v>0</v>
      </c>
      <c r="H4833" s="130" t="s">
        <v>2565</v>
      </c>
      <c r="I4833" s="128" t="s">
        <v>4325</v>
      </c>
      <c r="J4833" s="128" t="s">
        <v>3481</v>
      </c>
      <c r="K4833" s="130" t="s">
        <v>3296</v>
      </c>
      <c r="L4833" s="130"/>
      <c r="M4833" s="128">
        <v>622580</v>
      </c>
      <c r="N4833" s="108"/>
      <c r="O4833" s="20"/>
      <c r="P4833" s="20" t="s">
        <v>5869</v>
      </c>
      <c r="Q4833" s="20" t="s">
        <v>7264</v>
      </c>
    </row>
    <row r="4834" spans="1:17" ht="24.9" customHeight="1">
      <c r="A4834" s="20"/>
      <c r="B4834" s="20" t="s">
        <v>5101</v>
      </c>
      <c r="C4834" s="20"/>
      <c r="D4834" s="20" t="s">
        <v>4325</v>
      </c>
      <c r="E4834" s="19">
        <f>VLOOKUP(D4834,'لیست پرسنل'!$B$2:$E$1020,3,FALSE)</f>
        <v>0</v>
      </c>
      <c r="F4834" s="19">
        <f>VLOOKUP(D4834,'لیست پرسنل'!$B$2:$E$1020,4,FALSE)</f>
        <v>0</v>
      </c>
      <c r="G4834" s="127">
        <f>VLOOKUP(D4834,'لیست پرسنل'!$B$2:$F$1020,2,FALSE)</f>
        <v>0</v>
      </c>
      <c r="H4834" s="130" t="s">
        <v>2565</v>
      </c>
      <c r="I4834" s="128" t="s">
        <v>4325</v>
      </c>
      <c r="J4834" s="128" t="s">
        <v>5304</v>
      </c>
      <c r="K4834" s="130" t="s">
        <v>5305</v>
      </c>
      <c r="L4834" s="127"/>
      <c r="M4834" s="130">
        <v>605092</v>
      </c>
      <c r="N4834" s="109"/>
      <c r="O4834" s="19"/>
      <c r="P4834" s="20" t="s">
        <v>5869</v>
      </c>
      <c r="Q4834" s="20" t="s">
        <v>7264</v>
      </c>
    </row>
    <row r="4835" spans="1:17" ht="24.9" customHeight="1">
      <c r="A4835" s="20"/>
      <c r="B4835" s="20" t="s">
        <v>5101</v>
      </c>
      <c r="C4835" s="20"/>
      <c r="D4835" s="20" t="s">
        <v>4325</v>
      </c>
      <c r="E4835" s="19">
        <f>VLOOKUP(D4835,'لیست پرسنل'!$B$2:$E$1020,3,FALSE)</f>
        <v>0</v>
      </c>
      <c r="F4835" s="19">
        <f>VLOOKUP(D4835,'لیست پرسنل'!$B$2:$E$1020,4,FALSE)</f>
        <v>0</v>
      </c>
      <c r="G4835" s="127">
        <f>VLOOKUP(D4835,'لیست پرسنل'!$B$2:$F$1020,2,FALSE)</f>
        <v>0</v>
      </c>
      <c r="H4835" s="130" t="s">
        <v>2565</v>
      </c>
      <c r="I4835" s="128" t="s">
        <v>4325</v>
      </c>
      <c r="J4835" s="128" t="s">
        <v>5304</v>
      </c>
      <c r="K4835" s="128" t="s">
        <v>5302</v>
      </c>
      <c r="L4835" s="128"/>
      <c r="M4835" s="128">
        <v>622009</v>
      </c>
      <c r="N4835" s="108"/>
      <c r="O4835" s="20"/>
      <c r="P4835" s="20" t="s">
        <v>5869</v>
      </c>
      <c r="Q4835" s="20" t="s">
        <v>7264</v>
      </c>
    </row>
    <row r="4836" spans="1:17" ht="24.9" customHeight="1">
      <c r="A4836" s="20"/>
      <c r="B4836" s="20" t="s">
        <v>5101</v>
      </c>
      <c r="C4836" s="20"/>
      <c r="D4836" s="20" t="s">
        <v>4325</v>
      </c>
      <c r="E4836" s="19">
        <f>VLOOKUP(D4836,'لیست پرسنل'!$B$2:$E$1020,3,FALSE)</f>
        <v>0</v>
      </c>
      <c r="F4836" s="19">
        <f>VLOOKUP(D4836,'لیست پرسنل'!$B$2:$E$1020,4,FALSE)</f>
        <v>0</v>
      </c>
      <c r="G4836" s="127">
        <f>VLOOKUP(D4836,'لیست پرسنل'!$B$2:$F$1020,2,FALSE)</f>
        <v>0</v>
      </c>
      <c r="H4836" s="130" t="s">
        <v>2565</v>
      </c>
      <c r="I4836" s="128" t="s">
        <v>4325</v>
      </c>
      <c r="J4836" s="128" t="s">
        <v>5304</v>
      </c>
      <c r="K4836" s="128" t="s">
        <v>5302</v>
      </c>
      <c r="L4836" s="128"/>
      <c r="M4836" s="128">
        <v>622011</v>
      </c>
      <c r="N4836" s="108"/>
      <c r="O4836" s="20"/>
      <c r="P4836" s="20" t="s">
        <v>5869</v>
      </c>
      <c r="Q4836" s="20" t="s">
        <v>7264</v>
      </c>
    </row>
    <row r="4837" spans="1:17" ht="24.9" customHeight="1">
      <c r="A4837" s="20"/>
      <c r="B4837" s="20" t="s">
        <v>5101</v>
      </c>
      <c r="C4837" s="20"/>
      <c r="D4837" s="20" t="s">
        <v>4325</v>
      </c>
      <c r="E4837" s="19">
        <f>VLOOKUP(D4837,'لیست پرسنل'!$B$2:$E$1020,3,FALSE)</f>
        <v>0</v>
      </c>
      <c r="F4837" s="19">
        <f>VLOOKUP(D4837,'لیست پرسنل'!$B$2:$E$1020,4,FALSE)</f>
        <v>0</v>
      </c>
      <c r="G4837" s="127">
        <f>VLOOKUP(D4837,'لیست پرسنل'!$B$2:$F$1020,2,FALSE)</f>
        <v>0</v>
      </c>
      <c r="H4837" s="130" t="s">
        <v>2565</v>
      </c>
      <c r="I4837" s="128" t="s">
        <v>4325</v>
      </c>
      <c r="J4837" s="128" t="s">
        <v>5304</v>
      </c>
      <c r="K4837" s="128" t="s">
        <v>5302</v>
      </c>
      <c r="L4837" s="128"/>
      <c r="M4837" s="128">
        <v>622012</v>
      </c>
      <c r="N4837" s="108"/>
      <c r="O4837" s="20"/>
      <c r="P4837" s="20" t="s">
        <v>5869</v>
      </c>
      <c r="Q4837" s="20" t="s">
        <v>7264</v>
      </c>
    </row>
    <row r="4838" spans="1:17" ht="24.9" customHeight="1">
      <c r="A4838" s="20"/>
      <c r="B4838" s="20" t="s">
        <v>5101</v>
      </c>
      <c r="C4838" s="20"/>
      <c r="D4838" s="20" t="s">
        <v>4325</v>
      </c>
      <c r="E4838" s="19">
        <f>VLOOKUP(D4838,'لیست پرسنل'!$B$2:$E$1020,3,FALSE)</f>
        <v>0</v>
      </c>
      <c r="F4838" s="19">
        <f>VLOOKUP(D4838,'لیست پرسنل'!$B$2:$E$1020,4,FALSE)</f>
        <v>0</v>
      </c>
      <c r="G4838" s="127">
        <f>VLOOKUP(D4838,'لیست پرسنل'!$B$2:$F$1020,2,FALSE)</f>
        <v>0</v>
      </c>
      <c r="H4838" s="130" t="s">
        <v>2565</v>
      </c>
      <c r="I4838" s="128" t="s">
        <v>4325</v>
      </c>
      <c r="J4838" s="128" t="s">
        <v>5304</v>
      </c>
      <c r="K4838" s="128" t="s">
        <v>5302</v>
      </c>
      <c r="L4838" s="128"/>
      <c r="M4838" s="128">
        <v>622013</v>
      </c>
      <c r="N4838" s="108"/>
      <c r="O4838" s="20"/>
      <c r="P4838" s="20" t="s">
        <v>5869</v>
      </c>
      <c r="Q4838" s="20" t="s">
        <v>7264</v>
      </c>
    </row>
    <row r="4839" spans="1:17" ht="24.9" customHeight="1">
      <c r="A4839" s="20"/>
      <c r="B4839" s="20" t="s">
        <v>5101</v>
      </c>
      <c r="C4839" s="20"/>
      <c r="D4839" s="20" t="s">
        <v>4325</v>
      </c>
      <c r="E4839" s="19">
        <f>VLOOKUP(D4839,'لیست پرسنل'!$B$2:$E$1020,3,FALSE)</f>
        <v>0</v>
      </c>
      <c r="F4839" s="19">
        <f>VLOOKUP(D4839,'لیست پرسنل'!$B$2:$E$1020,4,FALSE)</f>
        <v>0</v>
      </c>
      <c r="G4839" s="127">
        <f>VLOOKUP(D4839,'لیست پرسنل'!$B$2:$F$1020,2,FALSE)</f>
        <v>0</v>
      </c>
      <c r="H4839" s="130" t="s">
        <v>2565</v>
      </c>
      <c r="I4839" s="128" t="s">
        <v>4325</v>
      </c>
      <c r="J4839" s="128" t="s">
        <v>5304</v>
      </c>
      <c r="K4839" s="128" t="s">
        <v>5302</v>
      </c>
      <c r="L4839" s="128"/>
      <c r="M4839" s="128">
        <v>622016</v>
      </c>
      <c r="N4839" s="108"/>
      <c r="O4839" s="20"/>
      <c r="P4839" s="20" t="s">
        <v>5869</v>
      </c>
      <c r="Q4839" s="20" t="s">
        <v>7264</v>
      </c>
    </row>
    <row r="4840" spans="1:17" ht="24.9" customHeight="1">
      <c r="A4840" s="20"/>
      <c r="B4840" s="20" t="s">
        <v>5101</v>
      </c>
      <c r="C4840" s="20"/>
      <c r="D4840" s="20" t="s">
        <v>4325</v>
      </c>
      <c r="E4840" s="19">
        <f>VLOOKUP(D4840,'لیست پرسنل'!$B$2:$E$1020,3,FALSE)</f>
        <v>0</v>
      </c>
      <c r="F4840" s="19">
        <f>VLOOKUP(D4840,'لیست پرسنل'!$B$2:$E$1020,4,FALSE)</f>
        <v>0</v>
      </c>
      <c r="G4840" s="127">
        <f>VLOOKUP(D4840,'لیست پرسنل'!$B$2:$F$1020,2,FALSE)</f>
        <v>0</v>
      </c>
      <c r="H4840" s="130" t="s">
        <v>2565</v>
      </c>
      <c r="I4840" s="128" t="s">
        <v>4325</v>
      </c>
      <c r="J4840" s="128" t="s">
        <v>5304</v>
      </c>
      <c r="K4840" s="128" t="s">
        <v>5302</v>
      </c>
      <c r="L4840" s="128"/>
      <c r="M4840" s="128">
        <v>622017</v>
      </c>
      <c r="N4840" s="108"/>
      <c r="O4840" s="20"/>
      <c r="P4840" s="20" t="s">
        <v>5869</v>
      </c>
      <c r="Q4840" s="20" t="s">
        <v>7264</v>
      </c>
    </row>
    <row r="4841" spans="1:17" ht="24.9" customHeight="1">
      <c r="A4841" s="20"/>
      <c r="B4841" s="20" t="s">
        <v>5101</v>
      </c>
      <c r="C4841" s="20"/>
      <c r="D4841" s="20" t="s">
        <v>4325</v>
      </c>
      <c r="E4841" s="19">
        <f>VLOOKUP(D4841,'لیست پرسنل'!$B$2:$E$1020,3,FALSE)</f>
        <v>0</v>
      </c>
      <c r="F4841" s="19">
        <f>VLOOKUP(D4841,'لیست پرسنل'!$B$2:$E$1020,4,FALSE)</f>
        <v>0</v>
      </c>
      <c r="G4841" s="127">
        <f>VLOOKUP(D4841,'لیست پرسنل'!$B$2:$F$1020,2,FALSE)</f>
        <v>0</v>
      </c>
      <c r="H4841" s="130" t="s">
        <v>2565</v>
      </c>
      <c r="I4841" s="128" t="s">
        <v>4325</v>
      </c>
      <c r="J4841" s="128" t="s">
        <v>5304</v>
      </c>
      <c r="K4841" s="128" t="s">
        <v>5302</v>
      </c>
      <c r="L4841" s="128"/>
      <c r="M4841" s="128">
        <v>622018</v>
      </c>
      <c r="N4841" s="108"/>
      <c r="O4841" s="20"/>
      <c r="P4841" s="20" t="s">
        <v>5869</v>
      </c>
      <c r="Q4841" s="20" t="s">
        <v>7264</v>
      </c>
    </row>
    <row r="4842" spans="1:17" ht="24.9" customHeight="1">
      <c r="A4842" s="20"/>
      <c r="B4842" s="20" t="s">
        <v>5101</v>
      </c>
      <c r="C4842" s="20"/>
      <c r="D4842" s="20" t="s">
        <v>4325</v>
      </c>
      <c r="E4842" s="19">
        <f>VLOOKUP(D4842,'لیست پرسنل'!$B$2:$E$1020,3,FALSE)</f>
        <v>0</v>
      </c>
      <c r="F4842" s="19">
        <f>VLOOKUP(D4842,'لیست پرسنل'!$B$2:$E$1020,4,FALSE)</f>
        <v>0</v>
      </c>
      <c r="G4842" s="127">
        <f>VLOOKUP(D4842,'لیست پرسنل'!$B$2:$F$1020,2,FALSE)</f>
        <v>0</v>
      </c>
      <c r="H4842" s="130" t="s">
        <v>2565</v>
      </c>
      <c r="I4842" s="128" t="s">
        <v>4325</v>
      </c>
      <c r="J4842" s="128" t="s">
        <v>5304</v>
      </c>
      <c r="K4842" s="128" t="s">
        <v>5302</v>
      </c>
      <c r="L4842" s="128"/>
      <c r="M4842" s="128">
        <v>622019</v>
      </c>
      <c r="N4842" s="108"/>
      <c r="O4842" s="20"/>
      <c r="P4842" s="20" t="s">
        <v>5869</v>
      </c>
      <c r="Q4842" s="20" t="s">
        <v>7264</v>
      </c>
    </row>
    <row r="4843" spans="1:17" ht="24.9" customHeight="1">
      <c r="A4843" s="20"/>
      <c r="B4843" s="20" t="s">
        <v>5101</v>
      </c>
      <c r="C4843" s="20"/>
      <c r="D4843" s="20" t="s">
        <v>4325</v>
      </c>
      <c r="E4843" s="19">
        <f>VLOOKUP(D4843,'لیست پرسنل'!$B$2:$E$1020,3,FALSE)</f>
        <v>0</v>
      </c>
      <c r="F4843" s="19">
        <f>VLOOKUP(D4843,'لیست پرسنل'!$B$2:$E$1020,4,FALSE)</f>
        <v>0</v>
      </c>
      <c r="G4843" s="127">
        <f>VLOOKUP(D4843,'لیست پرسنل'!$B$2:$F$1020,2,FALSE)</f>
        <v>0</v>
      </c>
      <c r="H4843" s="130" t="s">
        <v>2565</v>
      </c>
      <c r="I4843" s="128" t="s">
        <v>4325</v>
      </c>
      <c r="J4843" s="128" t="s">
        <v>5304</v>
      </c>
      <c r="K4843" s="128" t="s">
        <v>5302</v>
      </c>
      <c r="L4843" s="128"/>
      <c r="M4843" s="128">
        <v>622020</v>
      </c>
      <c r="N4843" s="108"/>
      <c r="O4843" s="20"/>
      <c r="P4843" s="20" t="s">
        <v>5869</v>
      </c>
      <c r="Q4843" s="20" t="s">
        <v>7264</v>
      </c>
    </row>
    <row r="4844" spans="1:17" ht="24.9" customHeight="1">
      <c r="A4844" s="20"/>
      <c r="B4844" s="20" t="s">
        <v>5101</v>
      </c>
      <c r="C4844" s="20"/>
      <c r="D4844" s="20" t="s">
        <v>4325</v>
      </c>
      <c r="E4844" s="19">
        <f>VLOOKUP(D4844,'لیست پرسنل'!$B$2:$E$1020,3,FALSE)</f>
        <v>0</v>
      </c>
      <c r="F4844" s="19">
        <f>VLOOKUP(D4844,'لیست پرسنل'!$B$2:$E$1020,4,FALSE)</f>
        <v>0</v>
      </c>
      <c r="G4844" s="127">
        <f>VLOOKUP(D4844,'لیست پرسنل'!$B$2:$F$1020,2,FALSE)</f>
        <v>0</v>
      </c>
      <c r="H4844" s="130" t="s">
        <v>2565</v>
      </c>
      <c r="I4844" s="128" t="s">
        <v>4325</v>
      </c>
      <c r="J4844" s="128" t="s">
        <v>5304</v>
      </c>
      <c r="K4844" s="128" t="s">
        <v>5302</v>
      </c>
      <c r="L4844" s="128"/>
      <c r="M4844" s="128">
        <v>622021</v>
      </c>
      <c r="N4844" s="108"/>
      <c r="O4844" s="20"/>
      <c r="P4844" s="20" t="s">
        <v>5869</v>
      </c>
      <c r="Q4844" s="20" t="s">
        <v>7264</v>
      </c>
    </row>
    <row r="4845" spans="1:17" ht="24.9" customHeight="1">
      <c r="A4845" s="20"/>
      <c r="B4845" s="20" t="s">
        <v>5101</v>
      </c>
      <c r="C4845" s="20"/>
      <c r="D4845" s="20" t="s">
        <v>4325</v>
      </c>
      <c r="E4845" s="19">
        <f>VLOOKUP(D4845,'لیست پرسنل'!$B$2:$E$1020,3,FALSE)</f>
        <v>0</v>
      </c>
      <c r="F4845" s="19">
        <f>VLOOKUP(D4845,'لیست پرسنل'!$B$2:$E$1020,4,FALSE)</f>
        <v>0</v>
      </c>
      <c r="G4845" s="127">
        <f>VLOOKUP(D4845,'لیست پرسنل'!$B$2:$F$1020,2,FALSE)</f>
        <v>0</v>
      </c>
      <c r="H4845" s="130" t="s">
        <v>2563</v>
      </c>
      <c r="I4845" s="128" t="s">
        <v>4325</v>
      </c>
      <c r="J4845" s="128" t="s">
        <v>5366</v>
      </c>
      <c r="K4845" s="130" t="s">
        <v>2567</v>
      </c>
      <c r="L4845" s="151"/>
      <c r="M4845" s="130">
        <v>604831</v>
      </c>
      <c r="N4845" s="108"/>
      <c r="O4845" s="20"/>
      <c r="P4845" s="20" t="s">
        <v>5869</v>
      </c>
      <c r="Q4845" s="20" t="s">
        <v>7264</v>
      </c>
    </row>
    <row r="4846" spans="1:17" ht="24.9" customHeight="1">
      <c r="A4846" s="20"/>
      <c r="B4846" s="20" t="s">
        <v>5101</v>
      </c>
      <c r="C4846" s="20"/>
      <c r="D4846" s="20" t="s">
        <v>4325</v>
      </c>
      <c r="E4846" s="19">
        <f>VLOOKUP(D4846,'لیست پرسنل'!$B$2:$E$1020,3,FALSE)</f>
        <v>0</v>
      </c>
      <c r="F4846" s="19">
        <f>VLOOKUP(D4846,'لیست پرسنل'!$B$2:$E$1020,4,FALSE)</f>
        <v>0</v>
      </c>
      <c r="G4846" s="127">
        <f>VLOOKUP(D4846,'لیست پرسنل'!$B$2:$F$1020,2,FALSE)</f>
        <v>0</v>
      </c>
      <c r="H4846" s="130" t="s">
        <v>2563</v>
      </c>
      <c r="I4846" s="128" t="s">
        <v>4325</v>
      </c>
      <c r="J4846" s="128" t="s">
        <v>5366</v>
      </c>
      <c r="K4846" s="127" t="s">
        <v>1073</v>
      </c>
      <c r="L4846" s="151" t="s">
        <v>3963</v>
      </c>
      <c r="M4846" s="127">
        <v>623601</v>
      </c>
      <c r="N4846" s="108"/>
      <c r="O4846" s="19" t="s">
        <v>1075</v>
      </c>
      <c r="P4846" s="20" t="s">
        <v>5869</v>
      </c>
      <c r="Q4846" s="20" t="s">
        <v>7264</v>
      </c>
    </row>
    <row r="4847" spans="1:17" ht="24.9" customHeight="1">
      <c r="A4847" s="20"/>
      <c r="B4847" s="20" t="s">
        <v>5101</v>
      </c>
      <c r="C4847" s="20"/>
      <c r="D4847" s="20" t="s">
        <v>4325</v>
      </c>
      <c r="E4847" s="19">
        <f>VLOOKUP(D4847,'لیست پرسنل'!$B$2:$E$1020,3,FALSE)</f>
        <v>0</v>
      </c>
      <c r="F4847" s="19">
        <f>VLOOKUP(D4847,'لیست پرسنل'!$B$2:$E$1020,4,FALSE)</f>
        <v>0</v>
      </c>
      <c r="G4847" s="127">
        <f>VLOOKUP(D4847,'لیست پرسنل'!$B$2:$F$1020,2,FALSE)</f>
        <v>0</v>
      </c>
      <c r="H4847" s="130" t="s">
        <v>2563</v>
      </c>
      <c r="I4847" s="128" t="s">
        <v>4325</v>
      </c>
      <c r="J4847" s="128" t="s">
        <v>571</v>
      </c>
      <c r="K4847" s="128" t="s">
        <v>1514</v>
      </c>
      <c r="L4847" s="151"/>
      <c r="M4847" s="128">
        <v>605436</v>
      </c>
      <c r="N4847" s="108"/>
      <c r="O4847" s="20"/>
      <c r="P4847" s="20" t="s">
        <v>4325</v>
      </c>
      <c r="Q4847" s="20"/>
    </row>
    <row r="4848" spans="1:17" ht="24.9" customHeight="1">
      <c r="A4848" s="20"/>
      <c r="B4848" s="20" t="s">
        <v>5101</v>
      </c>
      <c r="C4848" s="20"/>
      <c r="D4848" s="20" t="s">
        <v>4325</v>
      </c>
      <c r="E4848" s="19">
        <f>VLOOKUP(D4848,'لیست پرسنل'!$B$2:$E$1020,3,FALSE)</f>
        <v>0</v>
      </c>
      <c r="F4848" s="19">
        <f>VLOOKUP(D4848,'لیست پرسنل'!$B$2:$E$1020,4,FALSE)</f>
        <v>0</v>
      </c>
      <c r="G4848" s="127">
        <f>VLOOKUP(D4848,'لیست پرسنل'!$B$2:$F$1020,2,FALSE)</f>
        <v>0</v>
      </c>
      <c r="H4848" s="130" t="s">
        <v>2563</v>
      </c>
      <c r="I4848" s="128" t="s">
        <v>4325</v>
      </c>
      <c r="J4848" s="128" t="s">
        <v>2686</v>
      </c>
      <c r="K4848" s="130" t="s">
        <v>1547</v>
      </c>
      <c r="L4848" s="151"/>
      <c r="M4848" s="130">
        <v>601532</v>
      </c>
      <c r="N4848" s="108"/>
      <c r="O4848" s="20"/>
      <c r="P4848" s="20" t="s">
        <v>4325</v>
      </c>
      <c r="Q4848" s="20"/>
    </row>
    <row r="4849" spans="1:17" ht="24.9" customHeight="1">
      <c r="A4849" s="20"/>
      <c r="B4849" s="20" t="s">
        <v>5101</v>
      </c>
      <c r="C4849" s="20"/>
      <c r="D4849" s="20" t="s">
        <v>4325</v>
      </c>
      <c r="E4849" s="19">
        <f>VLOOKUP(D4849,'لیست پرسنل'!$B$2:$E$1020,3,FALSE)</f>
        <v>0</v>
      </c>
      <c r="F4849" s="19">
        <f>VLOOKUP(D4849,'لیست پرسنل'!$B$2:$E$1020,4,FALSE)</f>
        <v>0</v>
      </c>
      <c r="G4849" s="127">
        <f>VLOOKUP(D4849,'لیست پرسنل'!$B$2:$F$1020,2,FALSE)</f>
        <v>0</v>
      </c>
      <c r="H4849" s="130" t="s">
        <v>2563</v>
      </c>
      <c r="I4849" s="128" t="s">
        <v>4325</v>
      </c>
      <c r="J4849" s="128" t="s">
        <v>3313</v>
      </c>
      <c r="K4849" s="128" t="s">
        <v>7047</v>
      </c>
      <c r="L4849" s="127"/>
      <c r="M4849" s="128">
        <v>613331</v>
      </c>
      <c r="N4849" s="111"/>
      <c r="O4849" s="28"/>
      <c r="P4849" s="20" t="s">
        <v>4325</v>
      </c>
      <c r="Q4849" s="28"/>
    </row>
    <row r="4850" spans="1:17" ht="24.9" customHeight="1">
      <c r="A4850" s="20"/>
      <c r="B4850" s="20" t="s">
        <v>5101</v>
      </c>
      <c r="C4850" s="20"/>
      <c r="D4850" s="20" t="s">
        <v>4325</v>
      </c>
      <c r="E4850" s="19">
        <f>VLOOKUP(D4850,'لیست پرسنل'!$B$2:$E$1020,3,FALSE)</f>
        <v>0</v>
      </c>
      <c r="F4850" s="19">
        <f>VLOOKUP(D4850,'لیست پرسنل'!$B$2:$E$1020,4,FALSE)</f>
        <v>0</v>
      </c>
      <c r="G4850" s="127">
        <f>VLOOKUP(D4850,'لیست پرسنل'!$B$2:$F$1020,2,FALSE)</f>
        <v>0</v>
      </c>
      <c r="H4850" s="130" t="s">
        <v>2564</v>
      </c>
      <c r="I4850" s="128" t="s">
        <v>4325</v>
      </c>
      <c r="J4850" s="128" t="s">
        <v>5366</v>
      </c>
      <c r="K4850" s="130" t="s">
        <v>2566</v>
      </c>
      <c r="L4850" s="151"/>
      <c r="M4850" s="130">
        <v>604830</v>
      </c>
      <c r="N4850" s="108"/>
      <c r="O4850" s="20"/>
      <c r="P4850" s="20" t="s">
        <v>5869</v>
      </c>
      <c r="Q4850" s="20" t="s">
        <v>7264</v>
      </c>
    </row>
    <row r="4851" spans="1:17" ht="24.9" customHeight="1">
      <c r="A4851" s="20"/>
      <c r="B4851" s="20" t="s">
        <v>5101</v>
      </c>
      <c r="C4851" s="20"/>
      <c r="D4851" s="20" t="s">
        <v>4325</v>
      </c>
      <c r="E4851" s="19">
        <f>VLOOKUP(D4851,'لیست پرسنل'!$B$2:$E$1020,3,FALSE)</f>
        <v>0</v>
      </c>
      <c r="F4851" s="19">
        <f>VLOOKUP(D4851,'لیست پرسنل'!$B$2:$E$1020,4,FALSE)</f>
        <v>0</v>
      </c>
      <c r="G4851" s="127">
        <f>VLOOKUP(D4851,'لیست پرسنل'!$B$2:$F$1020,2,FALSE)</f>
        <v>0</v>
      </c>
      <c r="H4851" s="128" t="s">
        <v>2564</v>
      </c>
      <c r="I4851" s="128" t="s">
        <v>4325</v>
      </c>
      <c r="J4851" s="128" t="s">
        <v>5366</v>
      </c>
      <c r="K4851" s="127" t="s">
        <v>4434</v>
      </c>
      <c r="L4851" s="151"/>
      <c r="M4851" s="134">
        <v>622457</v>
      </c>
      <c r="N4851" s="108"/>
      <c r="O4851" s="32" t="s">
        <v>2676</v>
      </c>
      <c r="P4851" s="20" t="s">
        <v>5869</v>
      </c>
      <c r="Q4851" s="20" t="s">
        <v>7264</v>
      </c>
    </row>
    <row r="4852" spans="1:17" ht="24.9" customHeight="1">
      <c r="A4852" s="20"/>
      <c r="B4852" s="20" t="s">
        <v>5101</v>
      </c>
      <c r="C4852" s="20"/>
      <c r="D4852" s="20" t="s">
        <v>4325</v>
      </c>
      <c r="E4852" s="19">
        <f>VLOOKUP(D4852,'لیست پرسنل'!$B$2:$E$1020,3,FALSE)</f>
        <v>0</v>
      </c>
      <c r="F4852" s="19">
        <f>VLOOKUP(D4852,'لیست پرسنل'!$B$2:$E$1020,4,FALSE)</f>
        <v>0</v>
      </c>
      <c r="G4852" s="127">
        <f>VLOOKUP(D4852,'لیست پرسنل'!$B$2:$F$1020,2,FALSE)</f>
        <v>0</v>
      </c>
      <c r="H4852" s="126" t="s">
        <v>4512</v>
      </c>
      <c r="I4852" s="128" t="s">
        <v>4325</v>
      </c>
      <c r="J4852" s="128" t="s">
        <v>2686</v>
      </c>
      <c r="K4852" s="127" t="s">
        <v>4513</v>
      </c>
      <c r="L4852" s="151"/>
      <c r="M4852" s="127">
        <v>600522</v>
      </c>
      <c r="N4852" s="108"/>
      <c r="O4852" s="19" t="s">
        <v>4514</v>
      </c>
      <c r="P4852" s="20" t="s">
        <v>3834</v>
      </c>
      <c r="Q4852" s="20" t="s">
        <v>5687</v>
      </c>
    </row>
    <row r="4853" spans="1:17" ht="24.9" customHeight="1">
      <c r="A4853" s="20"/>
      <c r="B4853" s="20" t="s">
        <v>5101</v>
      </c>
      <c r="C4853" s="20"/>
      <c r="D4853" s="20" t="s">
        <v>4325</v>
      </c>
      <c r="E4853" s="19">
        <f>VLOOKUP(D4853,'لیست پرسنل'!$B$2:$E$1020,3,FALSE)</f>
        <v>0</v>
      </c>
      <c r="F4853" s="19">
        <f>VLOOKUP(D4853,'لیست پرسنل'!$B$2:$E$1020,4,FALSE)</f>
        <v>0</v>
      </c>
      <c r="G4853" s="127">
        <f>VLOOKUP(D4853,'لیست پرسنل'!$B$2:$F$1020,2,FALSE)</f>
        <v>0</v>
      </c>
      <c r="H4853" s="126" t="s">
        <v>4325</v>
      </c>
      <c r="I4853" s="128" t="s">
        <v>4325</v>
      </c>
      <c r="J4853" s="128" t="s">
        <v>4334</v>
      </c>
      <c r="K4853" s="128" t="s">
        <v>1557</v>
      </c>
      <c r="L4853" s="127"/>
      <c r="M4853" s="128">
        <v>610702</v>
      </c>
      <c r="N4853" s="108"/>
      <c r="O4853" s="19" t="s">
        <v>4332</v>
      </c>
      <c r="P4853" s="20" t="s">
        <v>4326</v>
      </c>
      <c r="Q4853" s="19">
        <v>1398</v>
      </c>
    </row>
    <row r="4854" spans="1:17" ht="24.9" customHeight="1">
      <c r="A4854" s="20"/>
      <c r="B4854" s="20" t="s">
        <v>5101</v>
      </c>
      <c r="C4854" s="20"/>
      <c r="D4854" s="20" t="s">
        <v>4325</v>
      </c>
      <c r="E4854" s="19">
        <f>VLOOKUP(D4854,'لیست پرسنل'!$B$2:$E$1020,3,FALSE)</f>
        <v>0</v>
      </c>
      <c r="F4854" s="19">
        <f>VLOOKUP(D4854,'لیست پرسنل'!$B$2:$E$1020,4,FALSE)</f>
        <v>0</v>
      </c>
      <c r="G4854" s="127">
        <f>VLOOKUP(D4854,'لیست پرسنل'!$B$2:$F$1020,2,FALSE)</f>
        <v>0</v>
      </c>
      <c r="H4854" s="126" t="s">
        <v>4325</v>
      </c>
      <c r="I4854" s="128" t="s">
        <v>4325</v>
      </c>
      <c r="J4854" s="128" t="s">
        <v>4313</v>
      </c>
      <c r="K4854" s="128" t="s">
        <v>1533</v>
      </c>
      <c r="L4854" s="127"/>
      <c r="M4854" s="128">
        <v>612789</v>
      </c>
      <c r="N4854" s="108"/>
      <c r="O4854" s="19" t="s">
        <v>4332</v>
      </c>
      <c r="P4854" s="20" t="s">
        <v>4326</v>
      </c>
      <c r="Q4854" s="19">
        <v>1398</v>
      </c>
    </row>
    <row r="4855" spans="1:17" ht="24.9" customHeight="1">
      <c r="A4855" s="20"/>
      <c r="B4855" s="20" t="s">
        <v>5101</v>
      </c>
      <c r="C4855" s="20"/>
      <c r="D4855" s="20" t="s">
        <v>4325</v>
      </c>
      <c r="E4855" s="19">
        <f>VLOOKUP(D4855,'لیست پرسنل'!$B$2:$E$1020,3,FALSE)</f>
        <v>0</v>
      </c>
      <c r="F4855" s="19">
        <f>VLOOKUP(D4855,'لیست پرسنل'!$B$2:$E$1020,4,FALSE)</f>
        <v>0</v>
      </c>
      <c r="G4855" s="127">
        <f>VLOOKUP(D4855,'لیست پرسنل'!$B$2:$F$1020,2,FALSE)</f>
        <v>0</v>
      </c>
      <c r="H4855" s="126" t="s">
        <v>4325</v>
      </c>
      <c r="I4855" s="128" t="s">
        <v>4325</v>
      </c>
      <c r="J4855" s="128" t="s">
        <v>3322</v>
      </c>
      <c r="K4855" s="128" t="s">
        <v>1568</v>
      </c>
      <c r="L4855" s="127">
        <v>490435692</v>
      </c>
      <c r="M4855" s="128" t="s">
        <v>291</v>
      </c>
      <c r="N4855" s="108"/>
      <c r="O4855" s="19" t="s">
        <v>4332</v>
      </c>
      <c r="P4855" s="20" t="s">
        <v>4326</v>
      </c>
      <c r="Q4855" s="19">
        <v>1398</v>
      </c>
    </row>
    <row r="4856" spans="1:17" ht="24.9" customHeight="1">
      <c r="A4856" s="20"/>
      <c r="B4856" s="20" t="s">
        <v>5101</v>
      </c>
      <c r="C4856" s="20"/>
      <c r="D4856" s="20" t="s">
        <v>4325</v>
      </c>
      <c r="E4856" s="19">
        <f>VLOOKUP(D4856,'لیست پرسنل'!$B$2:$E$1020,3,FALSE)</f>
        <v>0</v>
      </c>
      <c r="F4856" s="19">
        <f>VLOOKUP(D4856,'لیست پرسنل'!$B$2:$E$1020,4,FALSE)</f>
        <v>0</v>
      </c>
      <c r="G4856" s="127">
        <f>VLOOKUP(D4856,'لیست پرسنل'!$B$2:$F$1020,2,FALSE)</f>
        <v>0</v>
      </c>
      <c r="H4856" s="126" t="s">
        <v>4325</v>
      </c>
      <c r="I4856" s="128" t="s">
        <v>4325</v>
      </c>
      <c r="J4856" s="128" t="s">
        <v>3383</v>
      </c>
      <c r="K4856" s="128" t="s">
        <v>1553</v>
      </c>
      <c r="L4856" s="130" t="s">
        <v>2652</v>
      </c>
      <c r="M4856" s="130">
        <v>601597</v>
      </c>
      <c r="N4856" s="108"/>
      <c r="O4856" s="19"/>
      <c r="P4856" s="20" t="s">
        <v>4326</v>
      </c>
      <c r="Q4856" s="19" t="s">
        <v>4327</v>
      </c>
    </row>
    <row r="4857" spans="1:17" ht="24.9" customHeight="1">
      <c r="A4857" s="20"/>
      <c r="B4857" s="20" t="s">
        <v>5101</v>
      </c>
      <c r="C4857" s="20"/>
      <c r="D4857" s="20" t="s">
        <v>4325</v>
      </c>
      <c r="E4857" s="19">
        <f>VLOOKUP(D4857,'لیست پرسنل'!$B$2:$E$1020,3,FALSE)</f>
        <v>0</v>
      </c>
      <c r="F4857" s="19">
        <f>VLOOKUP(D4857,'لیست پرسنل'!$B$2:$E$1020,4,FALSE)</f>
        <v>0</v>
      </c>
      <c r="G4857" s="127">
        <f>VLOOKUP(D4857,'لیست پرسنل'!$B$2:$F$1020,2,FALSE)</f>
        <v>0</v>
      </c>
      <c r="H4857" s="126" t="s">
        <v>4325</v>
      </c>
      <c r="I4857" s="128" t="s">
        <v>4325</v>
      </c>
      <c r="J4857" s="128" t="s">
        <v>3383</v>
      </c>
      <c r="K4857" s="128" t="s">
        <v>1553</v>
      </c>
      <c r="L4857" s="127"/>
      <c r="M4857" s="128">
        <v>602961</v>
      </c>
      <c r="N4857" s="108"/>
      <c r="O4857" s="19" t="s">
        <v>4332</v>
      </c>
      <c r="P4857" s="20" t="s">
        <v>4326</v>
      </c>
      <c r="Q4857" s="19">
        <v>1398</v>
      </c>
    </row>
    <row r="4858" spans="1:17" ht="24.9" customHeight="1">
      <c r="A4858" s="20"/>
      <c r="B4858" s="20" t="s">
        <v>5101</v>
      </c>
      <c r="C4858" s="20"/>
      <c r="D4858" s="20" t="s">
        <v>4325</v>
      </c>
      <c r="E4858" s="19">
        <f>VLOOKUP(D4858,'لیست پرسنل'!$B$2:$E$1020,3,FALSE)</f>
        <v>0</v>
      </c>
      <c r="F4858" s="19">
        <f>VLOOKUP(D4858,'لیست پرسنل'!$B$2:$E$1020,4,FALSE)</f>
        <v>0</v>
      </c>
      <c r="G4858" s="127">
        <f>VLOOKUP(D4858,'لیست پرسنل'!$B$2:$F$1020,2,FALSE)</f>
        <v>0</v>
      </c>
      <c r="H4858" s="126" t="s">
        <v>4325</v>
      </c>
      <c r="I4858" s="128" t="s">
        <v>4325</v>
      </c>
      <c r="J4858" s="128" t="s">
        <v>3383</v>
      </c>
      <c r="K4858" s="128" t="s">
        <v>1565</v>
      </c>
      <c r="L4858" s="127"/>
      <c r="M4858" s="128">
        <v>606479</v>
      </c>
      <c r="N4858" s="108"/>
      <c r="O4858" s="19" t="s">
        <v>4332</v>
      </c>
      <c r="P4858" s="20" t="s">
        <v>4326</v>
      </c>
      <c r="Q4858" s="19">
        <v>1398</v>
      </c>
    </row>
    <row r="4859" spans="1:17" ht="24.9" customHeight="1">
      <c r="A4859" s="20"/>
      <c r="B4859" s="20" t="s">
        <v>5101</v>
      </c>
      <c r="C4859" s="20"/>
      <c r="D4859" s="20" t="s">
        <v>4325</v>
      </c>
      <c r="E4859" s="19">
        <f>VLOOKUP(D4859,'لیست پرسنل'!$B$2:$E$1020,3,FALSE)</f>
        <v>0</v>
      </c>
      <c r="F4859" s="19">
        <f>VLOOKUP(D4859,'لیست پرسنل'!$B$2:$E$1020,4,FALSE)</f>
        <v>0</v>
      </c>
      <c r="G4859" s="127">
        <f>VLOOKUP(D4859,'لیست پرسنل'!$B$2:$F$1020,2,FALSE)</f>
        <v>0</v>
      </c>
      <c r="H4859" s="126" t="s">
        <v>4325</v>
      </c>
      <c r="I4859" s="128" t="s">
        <v>4325</v>
      </c>
      <c r="J4859" s="128" t="s">
        <v>3383</v>
      </c>
      <c r="K4859" s="128" t="s">
        <v>1561</v>
      </c>
      <c r="L4859" s="127"/>
      <c r="M4859" s="128">
        <v>610544</v>
      </c>
      <c r="N4859" s="108"/>
      <c r="O4859" s="19" t="s">
        <v>4332</v>
      </c>
      <c r="P4859" s="20" t="s">
        <v>4326</v>
      </c>
      <c r="Q4859" s="19">
        <v>1398</v>
      </c>
    </row>
    <row r="4860" spans="1:17" ht="24.9" customHeight="1">
      <c r="A4860" s="20"/>
      <c r="B4860" s="20" t="s">
        <v>5101</v>
      </c>
      <c r="C4860" s="20"/>
      <c r="D4860" s="20" t="s">
        <v>4325</v>
      </c>
      <c r="E4860" s="19">
        <f>VLOOKUP(D4860,'لیست پرسنل'!$B$2:$E$1020,3,FALSE)</f>
        <v>0</v>
      </c>
      <c r="F4860" s="19">
        <f>VLOOKUP(D4860,'لیست پرسنل'!$B$2:$E$1020,4,FALSE)</f>
        <v>0</v>
      </c>
      <c r="G4860" s="127">
        <f>VLOOKUP(D4860,'لیست پرسنل'!$B$2:$F$1020,2,FALSE)</f>
        <v>0</v>
      </c>
      <c r="H4860" s="126" t="s">
        <v>4325</v>
      </c>
      <c r="I4860" s="128" t="s">
        <v>4325</v>
      </c>
      <c r="J4860" s="128" t="s">
        <v>4328</v>
      </c>
      <c r="K4860" s="128" t="s">
        <v>3174</v>
      </c>
      <c r="L4860" s="130" t="s">
        <v>2652</v>
      </c>
      <c r="M4860" s="130">
        <v>300273</v>
      </c>
      <c r="N4860" s="108"/>
      <c r="O4860" s="19"/>
      <c r="P4860" s="20" t="s">
        <v>4326</v>
      </c>
      <c r="Q4860" s="19" t="s">
        <v>4327</v>
      </c>
    </row>
    <row r="4861" spans="1:17" ht="24.9" customHeight="1">
      <c r="A4861" s="20"/>
      <c r="B4861" s="20" t="s">
        <v>5101</v>
      </c>
      <c r="C4861" s="20"/>
      <c r="D4861" s="20" t="s">
        <v>4325</v>
      </c>
      <c r="E4861" s="19">
        <f>VLOOKUP(D4861,'لیست پرسنل'!$B$2:$E$1020,3,FALSE)</f>
        <v>0</v>
      </c>
      <c r="F4861" s="19">
        <f>VLOOKUP(D4861,'لیست پرسنل'!$B$2:$E$1020,4,FALSE)</f>
        <v>0</v>
      </c>
      <c r="G4861" s="127">
        <f>VLOOKUP(D4861,'لیست پرسنل'!$B$2:$F$1020,2,FALSE)</f>
        <v>0</v>
      </c>
      <c r="H4861" s="126" t="s">
        <v>4325</v>
      </c>
      <c r="I4861" s="128" t="s">
        <v>4325</v>
      </c>
      <c r="J4861" s="128" t="s">
        <v>4337</v>
      </c>
      <c r="K4861" s="128" t="s">
        <v>1523</v>
      </c>
      <c r="L4861" s="127"/>
      <c r="M4861" s="128">
        <v>614005</v>
      </c>
      <c r="N4861" s="108"/>
      <c r="O4861" s="19" t="s">
        <v>4332</v>
      </c>
      <c r="P4861" s="20" t="s">
        <v>4326</v>
      </c>
      <c r="Q4861" s="19">
        <v>1398</v>
      </c>
    </row>
    <row r="4862" spans="1:17" ht="24.9" customHeight="1">
      <c r="A4862" s="20"/>
      <c r="B4862" s="20" t="s">
        <v>5101</v>
      </c>
      <c r="C4862" s="20"/>
      <c r="D4862" s="20" t="s">
        <v>4325</v>
      </c>
      <c r="E4862" s="19">
        <f>VLOOKUP(D4862,'لیست پرسنل'!$B$2:$E$1020,3,FALSE)</f>
        <v>0</v>
      </c>
      <c r="F4862" s="19">
        <f>VLOOKUP(D4862,'لیست پرسنل'!$B$2:$E$1020,4,FALSE)</f>
        <v>0</v>
      </c>
      <c r="G4862" s="127">
        <f>VLOOKUP(D4862,'لیست پرسنل'!$B$2:$F$1020,2,FALSE)</f>
        <v>0</v>
      </c>
      <c r="H4862" s="126" t="s">
        <v>4325</v>
      </c>
      <c r="I4862" s="128" t="s">
        <v>4325</v>
      </c>
      <c r="J4862" s="128" t="s">
        <v>737</v>
      </c>
      <c r="K4862" s="128" t="s">
        <v>1574</v>
      </c>
      <c r="L4862" s="128"/>
      <c r="M4862" s="128">
        <v>600972</v>
      </c>
      <c r="N4862" s="108"/>
      <c r="O4862" s="19" t="s">
        <v>4332</v>
      </c>
      <c r="P4862" s="20" t="s">
        <v>4326</v>
      </c>
      <c r="Q4862" s="19">
        <v>1398</v>
      </c>
    </row>
    <row r="4863" spans="1:17" ht="24.9" customHeight="1">
      <c r="A4863" s="20"/>
      <c r="B4863" s="20" t="s">
        <v>5101</v>
      </c>
      <c r="C4863" s="20"/>
      <c r="D4863" s="20" t="s">
        <v>4325</v>
      </c>
      <c r="E4863" s="19">
        <f>VLOOKUP(D4863,'لیست پرسنل'!$B$2:$E$1020,3,FALSE)</f>
        <v>0</v>
      </c>
      <c r="F4863" s="19">
        <f>VLOOKUP(D4863,'لیست پرسنل'!$B$2:$E$1020,4,FALSE)</f>
        <v>0</v>
      </c>
      <c r="G4863" s="127">
        <f>VLOOKUP(D4863,'لیست پرسنل'!$B$2:$F$1020,2,FALSE)</f>
        <v>0</v>
      </c>
      <c r="H4863" s="126" t="s">
        <v>4325</v>
      </c>
      <c r="I4863" s="128" t="s">
        <v>4325</v>
      </c>
      <c r="J4863" s="128" t="s">
        <v>737</v>
      </c>
      <c r="K4863" s="128" t="s">
        <v>732</v>
      </c>
      <c r="L4863" s="151" t="s">
        <v>736</v>
      </c>
      <c r="M4863" s="127">
        <v>603861</v>
      </c>
      <c r="N4863" s="109"/>
      <c r="O4863" s="19" t="s">
        <v>734</v>
      </c>
      <c r="P4863" s="19" t="s">
        <v>4326</v>
      </c>
      <c r="Q4863" s="19">
        <v>1400</v>
      </c>
    </row>
    <row r="4864" spans="1:17" ht="24.9" customHeight="1">
      <c r="A4864" s="20"/>
      <c r="B4864" s="20" t="s">
        <v>5101</v>
      </c>
      <c r="C4864" s="20"/>
      <c r="D4864" s="20" t="s">
        <v>4325</v>
      </c>
      <c r="E4864" s="19">
        <f>VLOOKUP(D4864,'لیست پرسنل'!$B$2:$E$1020,3,FALSE)</f>
        <v>0</v>
      </c>
      <c r="F4864" s="19">
        <f>VLOOKUP(D4864,'لیست پرسنل'!$B$2:$E$1020,4,FALSE)</f>
        <v>0</v>
      </c>
      <c r="G4864" s="127">
        <f>VLOOKUP(D4864,'لیست پرسنل'!$B$2:$F$1020,2,FALSE)</f>
        <v>0</v>
      </c>
      <c r="H4864" s="126" t="s">
        <v>4325</v>
      </c>
      <c r="I4864" s="128" t="s">
        <v>4325</v>
      </c>
      <c r="J4864" s="128" t="s">
        <v>737</v>
      </c>
      <c r="K4864" s="128" t="s">
        <v>1551</v>
      </c>
      <c r="L4864" s="127"/>
      <c r="M4864" s="128">
        <v>604379</v>
      </c>
      <c r="N4864" s="108"/>
      <c r="O4864" s="19" t="s">
        <v>4332</v>
      </c>
      <c r="P4864" s="20" t="s">
        <v>4326</v>
      </c>
      <c r="Q4864" s="19">
        <v>1398</v>
      </c>
    </row>
    <row r="4865" spans="1:17" ht="24.9" customHeight="1">
      <c r="A4865" s="20"/>
      <c r="B4865" s="20" t="s">
        <v>5101</v>
      </c>
      <c r="C4865" s="20"/>
      <c r="D4865" s="20" t="s">
        <v>4325</v>
      </c>
      <c r="E4865" s="19">
        <f>VLOOKUP(D4865,'لیست پرسنل'!$B$2:$E$1020,3,FALSE)</f>
        <v>0</v>
      </c>
      <c r="F4865" s="19">
        <f>VLOOKUP(D4865,'لیست پرسنل'!$B$2:$E$1020,4,FALSE)</f>
        <v>0</v>
      </c>
      <c r="G4865" s="127">
        <f>VLOOKUP(D4865,'لیست پرسنل'!$B$2:$F$1020,2,FALSE)</f>
        <v>0</v>
      </c>
      <c r="H4865" s="126" t="s">
        <v>4325</v>
      </c>
      <c r="I4865" s="128" t="s">
        <v>4325</v>
      </c>
      <c r="J4865" s="128" t="s">
        <v>737</v>
      </c>
      <c r="K4865" s="128" t="s">
        <v>1529</v>
      </c>
      <c r="L4865" s="127"/>
      <c r="M4865" s="128">
        <v>605741</v>
      </c>
      <c r="N4865" s="108"/>
      <c r="O4865" s="19" t="s">
        <v>4332</v>
      </c>
      <c r="P4865" s="20" t="s">
        <v>4326</v>
      </c>
      <c r="Q4865" s="19">
        <v>1398</v>
      </c>
    </row>
    <row r="4866" spans="1:17" ht="24.9" customHeight="1">
      <c r="A4866" s="20"/>
      <c r="B4866" s="20" t="s">
        <v>5101</v>
      </c>
      <c r="C4866" s="20"/>
      <c r="D4866" s="20" t="s">
        <v>4325</v>
      </c>
      <c r="E4866" s="19">
        <f>VLOOKUP(D4866,'لیست پرسنل'!$B$2:$E$1020,3,FALSE)</f>
        <v>0</v>
      </c>
      <c r="F4866" s="19">
        <f>VLOOKUP(D4866,'لیست پرسنل'!$B$2:$E$1020,4,FALSE)</f>
        <v>0</v>
      </c>
      <c r="G4866" s="127">
        <f>VLOOKUP(D4866,'لیست پرسنل'!$B$2:$F$1020,2,FALSE)</f>
        <v>0</v>
      </c>
      <c r="H4866" s="126" t="s">
        <v>4325</v>
      </c>
      <c r="I4866" s="128" t="s">
        <v>4325</v>
      </c>
      <c r="J4866" s="128" t="s">
        <v>737</v>
      </c>
      <c r="K4866" s="128" t="s">
        <v>182</v>
      </c>
      <c r="L4866" s="151" t="s">
        <v>636</v>
      </c>
      <c r="M4866" s="127">
        <v>605962</v>
      </c>
      <c r="N4866" s="109"/>
      <c r="O4866" s="19" t="s">
        <v>734</v>
      </c>
      <c r="P4866" s="19" t="s">
        <v>4326</v>
      </c>
      <c r="Q4866" s="19">
        <v>1400</v>
      </c>
    </row>
    <row r="4867" spans="1:17" ht="24.9" customHeight="1">
      <c r="A4867" s="20"/>
      <c r="B4867" s="20" t="s">
        <v>5101</v>
      </c>
      <c r="C4867" s="20"/>
      <c r="D4867" s="20" t="s">
        <v>4325</v>
      </c>
      <c r="E4867" s="19">
        <f>VLOOKUP(D4867,'لیست پرسنل'!$B$2:$E$1020,3,FALSE)</f>
        <v>0</v>
      </c>
      <c r="F4867" s="19">
        <f>VLOOKUP(D4867,'لیست پرسنل'!$B$2:$E$1020,4,FALSE)</f>
        <v>0</v>
      </c>
      <c r="G4867" s="127">
        <f>VLOOKUP(D4867,'لیست پرسنل'!$B$2:$F$1020,2,FALSE)</f>
        <v>0</v>
      </c>
      <c r="H4867" s="126" t="s">
        <v>4325</v>
      </c>
      <c r="I4867" s="128" t="s">
        <v>4325</v>
      </c>
      <c r="J4867" s="128" t="s">
        <v>737</v>
      </c>
      <c r="K4867" s="128" t="s">
        <v>1556</v>
      </c>
      <c r="L4867" s="127"/>
      <c r="M4867" s="128">
        <v>606162</v>
      </c>
      <c r="N4867" s="108"/>
      <c r="O4867" s="19" t="s">
        <v>4332</v>
      </c>
      <c r="P4867" s="20" t="s">
        <v>4326</v>
      </c>
      <c r="Q4867" s="19">
        <v>1398</v>
      </c>
    </row>
    <row r="4868" spans="1:17" ht="24.9" customHeight="1">
      <c r="A4868" s="20"/>
      <c r="B4868" s="20" t="s">
        <v>5101</v>
      </c>
      <c r="C4868" s="20"/>
      <c r="D4868" s="20" t="s">
        <v>4325</v>
      </c>
      <c r="E4868" s="19">
        <f>VLOOKUP(D4868,'لیست پرسنل'!$B$2:$E$1020,3,FALSE)</f>
        <v>0</v>
      </c>
      <c r="F4868" s="19">
        <f>VLOOKUP(D4868,'لیست پرسنل'!$B$2:$E$1020,4,FALSE)</f>
        <v>0</v>
      </c>
      <c r="G4868" s="127">
        <f>VLOOKUP(D4868,'لیست پرسنل'!$B$2:$F$1020,2,FALSE)</f>
        <v>0</v>
      </c>
      <c r="H4868" s="126" t="s">
        <v>4325</v>
      </c>
      <c r="I4868" s="128" t="s">
        <v>4325</v>
      </c>
      <c r="J4868" s="128" t="s">
        <v>737</v>
      </c>
      <c r="K4868" s="128" t="s">
        <v>41</v>
      </c>
      <c r="L4868" s="151" t="s">
        <v>467</v>
      </c>
      <c r="M4868" s="127">
        <v>606364</v>
      </c>
      <c r="N4868" s="109"/>
      <c r="O4868" s="19" t="s">
        <v>4605</v>
      </c>
      <c r="P4868" s="19" t="s">
        <v>4326</v>
      </c>
      <c r="Q4868" s="19">
        <v>1401</v>
      </c>
    </row>
    <row r="4869" spans="1:17" ht="24.9" customHeight="1">
      <c r="A4869" s="20"/>
      <c r="B4869" s="20" t="s">
        <v>5101</v>
      </c>
      <c r="C4869" s="20"/>
      <c r="D4869" s="20" t="s">
        <v>4325</v>
      </c>
      <c r="E4869" s="19">
        <f>VLOOKUP(D4869,'لیست پرسنل'!$B$2:$E$1020,3,FALSE)</f>
        <v>0</v>
      </c>
      <c r="F4869" s="19">
        <f>VLOOKUP(D4869,'لیست پرسنل'!$B$2:$E$1020,4,FALSE)</f>
        <v>0</v>
      </c>
      <c r="G4869" s="127">
        <f>VLOOKUP(D4869,'لیست پرسنل'!$B$2:$F$1020,2,FALSE)</f>
        <v>0</v>
      </c>
      <c r="H4869" s="126" t="s">
        <v>4325</v>
      </c>
      <c r="I4869" s="128" t="s">
        <v>4325</v>
      </c>
      <c r="J4869" s="128" t="s">
        <v>737</v>
      </c>
      <c r="K4869" s="128" t="s">
        <v>1562</v>
      </c>
      <c r="L4869" s="127"/>
      <c r="M4869" s="128">
        <v>606502</v>
      </c>
      <c r="N4869" s="108"/>
      <c r="O4869" s="19" t="s">
        <v>4332</v>
      </c>
      <c r="P4869" s="20" t="s">
        <v>4326</v>
      </c>
      <c r="Q4869" s="19">
        <v>1398</v>
      </c>
    </row>
    <row r="4870" spans="1:17" ht="24.9" customHeight="1">
      <c r="A4870" s="20"/>
      <c r="B4870" s="20" t="s">
        <v>5101</v>
      </c>
      <c r="C4870" s="20"/>
      <c r="D4870" s="20" t="s">
        <v>4325</v>
      </c>
      <c r="E4870" s="19">
        <f>VLOOKUP(D4870,'لیست پرسنل'!$B$2:$E$1020,3,FALSE)</f>
        <v>0</v>
      </c>
      <c r="F4870" s="19">
        <f>VLOOKUP(D4870,'لیست پرسنل'!$B$2:$E$1020,4,FALSE)</f>
        <v>0</v>
      </c>
      <c r="G4870" s="127">
        <f>VLOOKUP(D4870,'لیست پرسنل'!$B$2:$F$1020,2,FALSE)</f>
        <v>0</v>
      </c>
      <c r="H4870" s="126" t="s">
        <v>4325</v>
      </c>
      <c r="I4870" s="128" t="s">
        <v>4325</v>
      </c>
      <c r="J4870" s="128" t="s">
        <v>737</v>
      </c>
      <c r="K4870" s="128" t="s">
        <v>910</v>
      </c>
      <c r="L4870" s="151"/>
      <c r="M4870" s="127">
        <v>606537</v>
      </c>
      <c r="N4870" s="109"/>
      <c r="O4870" s="19" t="s">
        <v>1094</v>
      </c>
      <c r="P4870" s="19" t="s">
        <v>4326</v>
      </c>
      <c r="Q4870" s="19">
        <v>1400</v>
      </c>
    </row>
    <row r="4871" spans="1:17" ht="24.9" customHeight="1">
      <c r="A4871" s="20"/>
      <c r="B4871" s="20" t="s">
        <v>5101</v>
      </c>
      <c r="C4871" s="20"/>
      <c r="D4871" s="20" t="s">
        <v>4325</v>
      </c>
      <c r="E4871" s="19">
        <f>VLOOKUP(D4871,'لیست پرسنل'!$B$2:$E$1020,3,FALSE)</f>
        <v>0</v>
      </c>
      <c r="F4871" s="19">
        <f>VLOOKUP(D4871,'لیست پرسنل'!$B$2:$E$1020,4,FALSE)</f>
        <v>0</v>
      </c>
      <c r="G4871" s="127">
        <f>VLOOKUP(D4871,'لیست پرسنل'!$B$2:$F$1020,2,FALSE)</f>
        <v>0</v>
      </c>
      <c r="H4871" s="126" t="s">
        <v>4325</v>
      </c>
      <c r="I4871" s="128" t="s">
        <v>4325</v>
      </c>
      <c r="J4871" s="128" t="s">
        <v>737</v>
      </c>
      <c r="K4871" s="128" t="s">
        <v>1566</v>
      </c>
      <c r="L4871" s="127"/>
      <c r="M4871" s="128">
        <v>606620</v>
      </c>
      <c r="N4871" s="108"/>
      <c r="O4871" s="19" t="s">
        <v>4332</v>
      </c>
      <c r="P4871" s="20" t="s">
        <v>4326</v>
      </c>
      <c r="Q4871" s="19">
        <v>1398</v>
      </c>
    </row>
    <row r="4872" spans="1:17" ht="24.9" customHeight="1">
      <c r="A4872" s="20"/>
      <c r="B4872" s="20" t="s">
        <v>5101</v>
      </c>
      <c r="C4872" s="20"/>
      <c r="D4872" s="20" t="s">
        <v>4325</v>
      </c>
      <c r="E4872" s="19">
        <f>VLOOKUP(D4872,'لیست پرسنل'!$B$2:$E$1020,3,FALSE)</f>
        <v>0</v>
      </c>
      <c r="F4872" s="19">
        <f>VLOOKUP(D4872,'لیست پرسنل'!$B$2:$E$1020,4,FALSE)</f>
        <v>0</v>
      </c>
      <c r="G4872" s="127">
        <f>VLOOKUP(D4872,'لیست پرسنل'!$B$2:$F$1020,2,FALSE)</f>
        <v>0</v>
      </c>
      <c r="H4872" s="126" t="s">
        <v>4325</v>
      </c>
      <c r="I4872" s="128" t="s">
        <v>4325</v>
      </c>
      <c r="J4872" s="128" t="s">
        <v>737</v>
      </c>
      <c r="K4872" s="128" t="s">
        <v>1563</v>
      </c>
      <c r="L4872" s="127"/>
      <c r="M4872" s="128">
        <v>606661</v>
      </c>
      <c r="N4872" s="108"/>
      <c r="O4872" s="19" t="s">
        <v>4332</v>
      </c>
      <c r="P4872" s="20" t="s">
        <v>4326</v>
      </c>
      <c r="Q4872" s="19">
        <v>1398</v>
      </c>
    </row>
    <row r="4873" spans="1:17" ht="24.9" customHeight="1">
      <c r="A4873" s="20"/>
      <c r="B4873" s="20" t="s">
        <v>5101</v>
      </c>
      <c r="C4873" s="20"/>
      <c r="D4873" s="20" t="s">
        <v>4325</v>
      </c>
      <c r="E4873" s="19">
        <f>VLOOKUP(D4873,'لیست پرسنل'!$B$2:$E$1020,3,FALSE)</f>
        <v>0</v>
      </c>
      <c r="F4873" s="19">
        <f>VLOOKUP(D4873,'لیست پرسنل'!$B$2:$E$1020,4,FALSE)</f>
        <v>0</v>
      </c>
      <c r="G4873" s="127">
        <f>VLOOKUP(D4873,'لیست پرسنل'!$B$2:$F$1020,2,FALSE)</f>
        <v>0</v>
      </c>
      <c r="H4873" s="126" t="s">
        <v>4325</v>
      </c>
      <c r="I4873" s="128" t="s">
        <v>4325</v>
      </c>
      <c r="J4873" s="128" t="s">
        <v>737</v>
      </c>
      <c r="K4873" s="128" t="s">
        <v>1570</v>
      </c>
      <c r="L4873" s="127"/>
      <c r="M4873" s="128">
        <v>607494</v>
      </c>
      <c r="N4873" s="108"/>
      <c r="O4873" s="19" t="s">
        <v>4332</v>
      </c>
      <c r="P4873" s="20" t="s">
        <v>4326</v>
      </c>
      <c r="Q4873" s="19">
        <v>1398</v>
      </c>
    </row>
    <row r="4874" spans="1:17" ht="24.9" customHeight="1">
      <c r="A4874" s="20"/>
      <c r="B4874" s="20" t="s">
        <v>5101</v>
      </c>
      <c r="C4874" s="20"/>
      <c r="D4874" s="20" t="s">
        <v>4325</v>
      </c>
      <c r="E4874" s="19">
        <f>VLOOKUP(D4874,'لیست پرسنل'!$B$2:$E$1020,3,FALSE)</f>
        <v>0</v>
      </c>
      <c r="F4874" s="19">
        <f>VLOOKUP(D4874,'لیست پرسنل'!$B$2:$E$1020,4,FALSE)</f>
        <v>0</v>
      </c>
      <c r="G4874" s="127">
        <f>VLOOKUP(D4874,'لیست پرسنل'!$B$2:$F$1020,2,FALSE)</f>
        <v>0</v>
      </c>
      <c r="H4874" s="126" t="s">
        <v>4325</v>
      </c>
      <c r="I4874" s="128" t="s">
        <v>4325</v>
      </c>
      <c r="J4874" s="128" t="s">
        <v>737</v>
      </c>
      <c r="K4874" s="128" t="s">
        <v>68</v>
      </c>
      <c r="L4874" s="127" t="s">
        <v>200</v>
      </c>
      <c r="M4874" s="127">
        <v>607495</v>
      </c>
      <c r="N4874" s="108"/>
      <c r="O4874" s="19" t="s">
        <v>4249</v>
      </c>
      <c r="P4874" s="20" t="s">
        <v>4326</v>
      </c>
      <c r="Q4874" s="19" t="s">
        <v>4327</v>
      </c>
    </row>
    <row r="4875" spans="1:17" ht="24.9" customHeight="1">
      <c r="A4875" s="20"/>
      <c r="B4875" s="20" t="s">
        <v>5101</v>
      </c>
      <c r="C4875" s="20"/>
      <c r="D4875" s="20" t="s">
        <v>4325</v>
      </c>
      <c r="E4875" s="19">
        <f>VLOOKUP(D4875,'لیست پرسنل'!$B$2:$E$1020,3,FALSE)</f>
        <v>0</v>
      </c>
      <c r="F4875" s="19">
        <f>VLOOKUP(D4875,'لیست پرسنل'!$B$2:$E$1020,4,FALSE)</f>
        <v>0</v>
      </c>
      <c r="G4875" s="127">
        <f>VLOOKUP(D4875,'لیست پرسنل'!$B$2:$F$1020,2,FALSE)</f>
        <v>0</v>
      </c>
      <c r="H4875" s="126" t="s">
        <v>4325</v>
      </c>
      <c r="I4875" s="128" t="s">
        <v>4325</v>
      </c>
      <c r="J4875" s="128" t="s">
        <v>737</v>
      </c>
      <c r="K4875" s="128" t="s">
        <v>1528</v>
      </c>
      <c r="L4875" s="127"/>
      <c r="M4875" s="128">
        <v>608428</v>
      </c>
      <c r="N4875" s="108"/>
      <c r="O4875" s="19" t="s">
        <v>4332</v>
      </c>
      <c r="P4875" s="20" t="s">
        <v>4326</v>
      </c>
      <c r="Q4875" s="19">
        <v>1398</v>
      </c>
    </row>
    <row r="4876" spans="1:17" ht="24.9" customHeight="1">
      <c r="A4876" s="20"/>
      <c r="B4876" s="20" t="s">
        <v>5101</v>
      </c>
      <c r="C4876" s="20"/>
      <c r="D4876" s="20" t="s">
        <v>4325</v>
      </c>
      <c r="E4876" s="19">
        <f>VLOOKUP(D4876,'لیست پرسنل'!$B$2:$E$1020,3,FALSE)</f>
        <v>0</v>
      </c>
      <c r="F4876" s="19">
        <f>VLOOKUP(D4876,'لیست پرسنل'!$B$2:$E$1020,4,FALSE)</f>
        <v>0</v>
      </c>
      <c r="G4876" s="127">
        <f>VLOOKUP(D4876,'لیست پرسنل'!$B$2:$F$1020,2,FALSE)</f>
        <v>0</v>
      </c>
      <c r="H4876" s="126" t="s">
        <v>4325</v>
      </c>
      <c r="I4876" s="128" t="s">
        <v>4325</v>
      </c>
      <c r="J4876" s="128" t="s">
        <v>737</v>
      </c>
      <c r="K4876" s="128" t="s">
        <v>1564</v>
      </c>
      <c r="L4876" s="127"/>
      <c r="M4876" s="128">
        <v>608992</v>
      </c>
      <c r="N4876" s="108"/>
      <c r="O4876" s="19" t="s">
        <v>4332</v>
      </c>
      <c r="P4876" s="20" t="s">
        <v>4326</v>
      </c>
      <c r="Q4876" s="19">
        <v>1398</v>
      </c>
    </row>
    <row r="4877" spans="1:17" ht="24.9" customHeight="1">
      <c r="A4877" s="20"/>
      <c r="B4877" s="20" t="s">
        <v>5101</v>
      </c>
      <c r="C4877" s="20"/>
      <c r="D4877" s="20" t="s">
        <v>4325</v>
      </c>
      <c r="E4877" s="19">
        <f>VLOOKUP(D4877,'لیست پرسنل'!$B$2:$E$1020,3,FALSE)</f>
        <v>0</v>
      </c>
      <c r="F4877" s="19">
        <f>VLOOKUP(D4877,'لیست پرسنل'!$B$2:$E$1020,4,FALSE)</f>
        <v>0</v>
      </c>
      <c r="G4877" s="127">
        <f>VLOOKUP(D4877,'لیست پرسنل'!$B$2:$F$1020,2,FALSE)</f>
        <v>0</v>
      </c>
      <c r="H4877" s="126" t="s">
        <v>4325</v>
      </c>
      <c r="I4877" s="128" t="s">
        <v>4325</v>
      </c>
      <c r="J4877" s="128" t="s">
        <v>737</v>
      </c>
      <c r="K4877" s="128" t="s">
        <v>2699</v>
      </c>
      <c r="L4877" s="128" t="s">
        <v>4369</v>
      </c>
      <c r="M4877" s="128">
        <v>611554</v>
      </c>
      <c r="N4877" s="108"/>
      <c r="O4877" s="19" t="s">
        <v>4215</v>
      </c>
      <c r="P4877" s="20" t="s">
        <v>4326</v>
      </c>
      <c r="Q4877" s="19" t="s">
        <v>4327</v>
      </c>
    </row>
    <row r="4878" spans="1:17" ht="24.9" customHeight="1">
      <c r="A4878" s="20"/>
      <c r="B4878" s="20" t="s">
        <v>5101</v>
      </c>
      <c r="C4878" s="20"/>
      <c r="D4878" s="20" t="s">
        <v>4325</v>
      </c>
      <c r="E4878" s="19">
        <f>VLOOKUP(D4878,'لیست پرسنل'!$B$2:$E$1020,3,FALSE)</f>
        <v>0</v>
      </c>
      <c r="F4878" s="19">
        <f>VLOOKUP(D4878,'لیست پرسنل'!$B$2:$E$1020,4,FALSE)</f>
        <v>0</v>
      </c>
      <c r="G4878" s="127">
        <f>VLOOKUP(D4878,'لیست پرسنل'!$B$2:$F$1020,2,FALSE)</f>
        <v>0</v>
      </c>
      <c r="H4878" s="126" t="s">
        <v>4325</v>
      </c>
      <c r="I4878" s="128" t="s">
        <v>4325</v>
      </c>
      <c r="J4878" s="128" t="s">
        <v>737</v>
      </c>
      <c r="K4878" s="128" t="s">
        <v>529</v>
      </c>
      <c r="L4878" s="151" t="s">
        <v>636</v>
      </c>
      <c r="M4878" s="127">
        <v>612184</v>
      </c>
      <c r="N4878" s="109"/>
      <c r="O4878" s="19" t="s">
        <v>1095</v>
      </c>
      <c r="P4878" s="19" t="s">
        <v>4326</v>
      </c>
      <c r="Q4878" s="19">
        <v>1400</v>
      </c>
    </row>
    <row r="4879" spans="1:17" ht="24.9" customHeight="1">
      <c r="A4879" s="20"/>
      <c r="B4879" s="20" t="s">
        <v>5101</v>
      </c>
      <c r="C4879" s="20"/>
      <c r="D4879" s="20" t="s">
        <v>4325</v>
      </c>
      <c r="E4879" s="19">
        <f>VLOOKUP(D4879,'لیست پرسنل'!$B$2:$E$1020,3,FALSE)</f>
        <v>0</v>
      </c>
      <c r="F4879" s="19">
        <f>VLOOKUP(D4879,'لیست پرسنل'!$B$2:$E$1020,4,FALSE)</f>
        <v>0</v>
      </c>
      <c r="G4879" s="127">
        <f>VLOOKUP(D4879,'لیست پرسنل'!$B$2:$F$1020,2,FALSE)</f>
        <v>0</v>
      </c>
      <c r="H4879" s="126" t="s">
        <v>4325</v>
      </c>
      <c r="I4879" s="128" t="s">
        <v>4325</v>
      </c>
      <c r="J4879" s="128" t="s">
        <v>737</v>
      </c>
      <c r="K4879" s="128" t="s">
        <v>2693</v>
      </c>
      <c r="L4879" s="128" t="s">
        <v>4366</v>
      </c>
      <c r="M4879" s="128">
        <v>612685</v>
      </c>
      <c r="N4879" s="108"/>
      <c r="O4879" s="19"/>
      <c r="P4879" s="20" t="s">
        <v>4326</v>
      </c>
      <c r="Q4879" s="19" t="s">
        <v>4327</v>
      </c>
    </row>
    <row r="4880" spans="1:17" ht="24.9" customHeight="1">
      <c r="A4880" s="20"/>
      <c r="B4880" s="20" t="s">
        <v>5101</v>
      </c>
      <c r="C4880" s="20"/>
      <c r="D4880" s="20" t="s">
        <v>4325</v>
      </c>
      <c r="E4880" s="19">
        <f>VLOOKUP(D4880,'لیست پرسنل'!$B$2:$E$1020,3,FALSE)</f>
        <v>0</v>
      </c>
      <c r="F4880" s="19">
        <f>VLOOKUP(D4880,'لیست پرسنل'!$B$2:$E$1020,4,FALSE)</f>
        <v>0</v>
      </c>
      <c r="G4880" s="127">
        <f>VLOOKUP(D4880,'لیست پرسنل'!$B$2:$F$1020,2,FALSE)</f>
        <v>0</v>
      </c>
      <c r="H4880" s="126" t="s">
        <v>4325</v>
      </c>
      <c r="I4880" s="128" t="s">
        <v>4325</v>
      </c>
      <c r="J4880" s="128" t="s">
        <v>737</v>
      </c>
      <c r="K4880" s="128" t="s">
        <v>732</v>
      </c>
      <c r="L4880" s="151" t="s">
        <v>733</v>
      </c>
      <c r="M4880" s="127">
        <v>612912</v>
      </c>
      <c r="N4880" s="108" t="s">
        <v>7312</v>
      </c>
      <c r="O4880" s="19" t="s">
        <v>734</v>
      </c>
      <c r="P4880" s="19" t="s">
        <v>4326</v>
      </c>
      <c r="Q4880" s="19">
        <v>1400</v>
      </c>
    </row>
    <row r="4881" spans="1:17" ht="24.9" customHeight="1">
      <c r="A4881" s="20"/>
      <c r="B4881" s="20" t="s">
        <v>5101</v>
      </c>
      <c r="C4881" s="20"/>
      <c r="D4881" s="20" t="s">
        <v>4325</v>
      </c>
      <c r="E4881" s="19">
        <f>VLOOKUP(D4881,'لیست پرسنل'!$B$2:$E$1020,3,FALSE)</f>
        <v>0</v>
      </c>
      <c r="F4881" s="19">
        <f>VLOOKUP(D4881,'لیست پرسنل'!$B$2:$E$1020,4,FALSE)</f>
        <v>0</v>
      </c>
      <c r="G4881" s="127">
        <f>VLOOKUP(D4881,'لیست پرسنل'!$B$2:$F$1020,2,FALSE)</f>
        <v>0</v>
      </c>
      <c r="H4881" s="126" t="s">
        <v>4325</v>
      </c>
      <c r="I4881" s="128" t="s">
        <v>4325</v>
      </c>
      <c r="J4881" s="128" t="s">
        <v>737</v>
      </c>
      <c r="K4881" s="128" t="s">
        <v>1539</v>
      </c>
      <c r="L4881" s="127"/>
      <c r="M4881" s="128">
        <v>612915</v>
      </c>
      <c r="N4881" s="108"/>
      <c r="O4881" s="19" t="s">
        <v>4332</v>
      </c>
      <c r="P4881" s="20" t="s">
        <v>4326</v>
      </c>
      <c r="Q4881" s="19">
        <v>1398</v>
      </c>
    </row>
    <row r="4882" spans="1:17" ht="24.9" customHeight="1">
      <c r="A4882" s="20"/>
      <c r="B4882" s="20" t="s">
        <v>5101</v>
      </c>
      <c r="C4882" s="20"/>
      <c r="D4882" s="20" t="s">
        <v>4325</v>
      </c>
      <c r="E4882" s="19">
        <f>VLOOKUP(D4882,'لیست پرسنل'!$B$2:$E$1020,3,FALSE)</f>
        <v>0</v>
      </c>
      <c r="F4882" s="19">
        <f>VLOOKUP(D4882,'لیست پرسنل'!$B$2:$E$1020,4,FALSE)</f>
        <v>0</v>
      </c>
      <c r="G4882" s="127">
        <f>VLOOKUP(D4882,'لیست پرسنل'!$B$2:$F$1020,2,FALSE)</f>
        <v>0</v>
      </c>
      <c r="H4882" s="126" t="s">
        <v>4325</v>
      </c>
      <c r="I4882" s="128" t="s">
        <v>4325</v>
      </c>
      <c r="J4882" s="128" t="s">
        <v>737</v>
      </c>
      <c r="K4882" s="128" t="s">
        <v>1570</v>
      </c>
      <c r="L4882" s="127"/>
      <c r="M4882" s="128">
        <v>613175</v>
      </c>
      <c r="N4882" s="108"/>
      <c r="O4882" s="19" t="s">
        <v>4332</v>
      </c>
      <c r="P4882" s="20" t="s">
        <v>4326</v>
      </c>
      <c r="Q4882" s="19">
        <v>1398</v>
      </c>
    </row>
    <row r="4883" spans="1:17" ht="24.9" customHeight="1">
      <c r="A4883" s="20"/>
      <c r="B4883" s="20" t="s">
        <v>5101</v>
      </c>
      <c r="C4883" s="20"/>
      <c r="D4883" s="20" t="s">
        <v>4325</v>
      </c>
      <c r="E4883" s="19">
        <f>VLOOKUP(D4883,'لیست پرسنل'!$B$2:$E$1020,3,FALSE)</f>
        <v>0</v>
      </c>
      <c r="F4883" s="19">
        <f>VLOOKUP(D4883,'لیست پرسنل'!$B$2:$E$1020,4,FALSE)</f>
        <v>0</v>
      </c>
      <c r="G4883" s="127">
        <f>VLOOKUP(D4883,'لیست پرسنل'!$B$2:$F$1020,2,FALSE)</f>
        <v>0</v>
      </c>
      <c r="H4883" s="126" t="s">
        <v>4325</v>
      </c>
      <c r="I4883" s="128" t="s">
        <v>4325</v>
      </c>
      <c r="J4883" s="128" t="s">
        <v>737</v>
      </c>
      <c r="K4883" s="128" t="s">
        <v>1531</v>
      </c>
      <c r="L4883" s="127"/>
      <c r="M4883" s="128">
        <v>615476</v>
      </c>
      <c r="N4883" s="108"/>
      <c r="O4883" s="19" t="s">
        <v>4332</v>
      </c>
      <c r="P4883" s="20" t="s">
        <v>4326</v>
      </c>
      <c r="Q4883" s="19">
        <v>1398</v>
      </c>
    </row>
    <row r="4884" spans="1:17" ht="24.9" customHeight="1">
      <c r="A4884" s="20"/>
      <c r="B4884" s="20" t="s">
        <v>5101</v>
      </c>
      <c r="C4884" s="20"/>
      <c r="D4884" s="20" t="s">
        <v>4325</v>
      </c>
      <c r="E4884" s="19">
        <f>VLOOKUP(D4884,'لیست پرسنل'!$B$2:$E$1020,3,FALSE)</f>
        <v>0</v>
      </c>
      <c r="F4884" s="19">
        <f>VLOOKUP(D4884,'لیست پرسنل'!$B$2:$E$1020,4,FALSE)</f>
        <v>0</v>
      </c>
      <c r="G4884" s="127">
        <f>VLOOKUP(D4884,'لیست پرسنل'!$B$2:$F$1020,2,FALSE)</f>
        <v>0</v>
      </c>
      <c r="H4884" s="126" t="s">
        <v>4325</v>
      </c>
      <c r="I4884" s="128" t="s">
        <v>4325</v>
      </c>
      <c r="J4884" s="128" t="s">
        <v>737</v>
      </c>
      <c r="K4884" s="128" t="s">
        <v>1532</v>
      </c>
      <c r="L4884" s="127"/>
      <c r="M4884" s="128" t="s">
        <v>291</v>
      </c>
      <c r="N4884" s="108"/>
      <c r="O4884" s="19" t="s">
        <v>4332</v>
      </c>
      <c r="P4884" s="20" t="s">
        <v>4326</v>
      </c>
      <c r="Q4884" s="85">
        <v>1398</v>
      </c>
    </row>
    <row r="4885" spans="1:17" ht="24.9" customHeight="1">
      <c r="A4885" s="20"/>
      <c r="B4885" s="20" t="s">
        <v>5101</v>
      </c>
      <c r="C4885" s="20"/>
      <c r="D4885" s="20" t="s">
        <v>4325</v>
      </c>
      <c r="E4885" s="19">
        <f>VLOOKUP(D4885,'لیست پرسنل'!$B$2:$E$1020,3,FALSE)</f>
        <v>0</v>
      </c>
      <c r="F4885" s="19">
        <f>VLOOKUP(D4885,'لیست پرسنل'!$B$2:$E$1020,4,FALSE)</f>
        <v>0</v>
      </c>
      <c r="G4885" s="127">
        <f>VLOOKUP(D4885,'لیست پرسنل'!$B$2:$F$1020,2,FALSE)</f>
        <v>0</v>
      </c>
      <c r="H4885" s="126" t="s">
        <v>4325</v>
      </c>
      <c r="I4885" s="128" t="s">
        <v>4325</v>
      </c>
      <c r="J4885" s="128" t="s">
        <v>737</v>
      </c>
      <c r="K4885" s="128" t="s">
        <v>1577</v>
      </c>
      <c r="L4885" s="127" t="s">
        <v>1578</v>
      </c>
      <c r="M4885" s="128" t="s">
        <v>291</v>
      </c>
      <c r="N4885" s="108"/>
      <c r="O4885" s="19" t="s">
        <v>4332</v>
      </c>
      <c r="P4885" s="20" t="s">
        <v>4326</v>
      </c>
      <c r="Q4885" s="19">
        <v>1398</v>
      </c>
    </row>
    <row r="4886" spans="1:17" ht="24.9" customHeight="1">
      <c r="A4886" s="20"/>
      <c r="B4886" s="20" t="s">
        <v>5101</v>
      </c>
      <c r="C4886" s="20"/>
      <c r="D4886" s="20" t="s">
        <v>4325</v>
      </c>
      <c r="E4886" s="19">
        <f>VLOOKUP(D4886,'لیست پرسنل'!$B$2:$E$1020,3,FALSE)</f>
        <v>0</v>
      </c>
      <c r="F4886" s="19">
        <f>VLOOKUP(D4886,'لیست پرسنل'!$B$2:$E$1020,4,FALSE)</f>
        <v>0</v>
      </c>
      <c r="G4886" s="127">
        <f>VLOOKUP(D4886,'لیست پرسنل'!$B$2:$F$1020,2,FALSE)</f>
        <v>0</v>
      </c>
      <c r="H4886" s="126" t="s">
        <v>4325</v>
      </c>
      <c r="I4886" s="128" t="s">
        <v>4325</v>
      </c>
      <c r="J4886" s="128" t="s">
        <v>737</v>
      </c>
      <c r="K4886" s="128" t="s">
        <v>182</v>
      </c>
      <c r="L4886" s="127" t="s">
        <v>183</v>
      </c>
      <c r="M4886" s="128" t="s">
        <v>291</v>
      </c>
      <c r="N4886" s="108"/>
      <c r="O4886" s="20" t="s">
        <v>4247</v>
      </c>
      <c r="P4886" s="20" t="s">
        <v>4326</v>
      </c>
      <c r="Q4886" s="19" t="s">
        <v>4327</v>
      </c>
    </row>
    <row r="4887" spans="1:17" ht="24.9" customHeight="1">
      <c r="A4887" s="20"/>
      <c r="B4887" s="20" t="s">
        <v>5101</v>
      </c>
      <c r="C4887" s="20"/>
      <c r="D4887" s="20" t="s">
        <v>4325</v>
      </c>
      <c r="E4887" s="19">
        <f>VLOOKUP(D4887,'لیست پرسنل'!$B$2:$E$1020,3,FALSE)</f>
        <v>0</v>
      </c>
      <c r="F4887" s="19">
        <f>VLOOKUP(D4887,'لیست پرسنل'!$B$2:$E$1020,4,FALSE)</f>
        <v>0</v>
      </c>
      <c r="G4887" s="127">
        <f>VLOOKUP(D4887,'لیست پرسنل'!$B$2:$F$1020,2,FALSE)</f>
        <v>0</v>
      </c>
      <c r="H4887" s="126" t="s">
        <v>4325</v>
      </c>
      <c r="I4887" s="128" t="s">
        <v>4325</v>
      </c>
      <c r="J4887" s="128" t="s">
        <v>737</v>
      </c>
      <c r="K4887" s="128" t="s">
        <v>1215</v>
      </c>
      <c r="L4887" s="151" t="s">
        <v>1205</v>
      </c>
      <c r="M4887" s="128" t="s">
        <v>291</v>
      </c>
      <c r="N4887" s="108"/>
      <c r="O4887" s="20" t="s">
        <v>4248</v>
      </c>
      <c r="P4887" s="20" t="s">
        <v>4326</v>
      </c>
      <c r="Q4887" s="19" t="s">
        <v>4327</v>
      </c>
    </row>
    <row r="4888" spans="1:17" ht="24.9" customHeight="1">
      <c r="A4888" s="20"/>
      <c r="B4888" s="20" t="s">
        <v>5101</v>
      </c>
      <c r="C4888" s="20"/>
      <c r="D4888" s="20" t="s">
        <v>4325</v>
      </c>
      <c r="E4888" s="19">
        <f>VLOOKUP(D4888,'لیست پرسنل'!$B$2:$E$1020,3,FALSE)</f>
        <v>0</v>
      </c>
      <c r="F4888" s="19">
        <f>VLOOKUP(D4888,'لیست پرسنل'!$B$2:$E$1020,4,FALSE)</f>
        <v>0</v>
      </c>
      <c r="G4888" s="127">
        <f>VLOOKUP(D4888,'لیست پرسنل'!$B$2:$F$1020,2,FALSE)</f>
        <v>0</v>
      </c>
      <c r="H4888" s="126" t="s">
        <v>4325</v>
      </c>
      <c r="I4888" s="128" t="s">
        <v>4325</v>
      </c>
      <c r="J4888" s="128" t="s">
        <v>737</v>
      </c>
      <c r="K4888" s="128" t="s">
        <v>181</v>
      </c>
      <c r="L4888" s="127" t="s">
        <v>3791</v>
      </c>
      <c r="M4888" s="128" t="s">
        <v>291</v>
      </c>
      <c r="N4888" s="108"/>
      <c r="O4888" s="19"/>
      <c r="P4888" s="20" t="s">
        <v>4326</v>
      </c>
      <c r="Q4888" s="19" t="s">
        <v>4327</v>
      </c>
    </row>
    <row r="4889" spans="1:17" ht="24.9" customHeight="1">
      <c r="A4889" s="20"/>
      <c r="B4889" s="20" t="s">
        <v>5101</v>
      </c>
      <c r="C4889" s="20"/>
      <c r="D4889" s="20" t="s">
        <v>4325</v>
      </c>
      <c r="E4889" s="19">
        <f>VLOOKUP(D4889,'لیست پرسنل'!$B$2:$E$1020,3,FALSE)</f>
        <v>0</v>
      </c>
      <c r="F4889" s="19">
        <f>VLOOKUP(D4889,'لیست پرسنل'!$B$2:$E$1020,4,FALSE)</f>
        <v>0</v>
      </c>
      <c r="G4889" s="127">
        <f>VLOOKUP(D4889,'لیست پرسنل'!$B$2:$F$1020,2,FALSE)</f>
        <v>0</v>
      </c>
      <c r="H4889" s="126" t="s">
        <v>4325</v>
      </c>
      <c r="I4889" s="128" t="s">
        <v>4325</v>
      </c>
      <c r="J4889" s="128" t="s">
        <v>737</v>
      </c>
      <c r="K4889" s="128" t="s">
        <v>1467</v>
      </c>
      <c r="L4889" s="151" t="s">
        <v>1466</v>
      </c>
      <c r="M4889" s="127" t="s">
        <v>704</v>
      </c>
      <c r="N4889" s="109"/>
      <c r="O4889" s="19" t="s">
        <v>1468</v>
      </c>
      <c r="P4889" s="19" t="s">
        <v>4326</v>
      </c>
      <c r="Q4889" s="19">
        <v>1401</v>
      </c>
    </row>
    <row r="4890" spans="1:17" ht="24.9" customHeight="1">
      <c r="A4890" s="20"/>
      <c r="B4890" s="20" t="s">
        <v>5101</v>
      </c>
      <c r="C4890" s="20"/>
      <c r="D4890" s="20" t="s">
        <v>4325</v>
      </c>
      <c r="E4890" s="19">
        <f>VLOOKUP(D4890,'لیست پرسنل'!$B$2:$E$1020,3,FALSE)</f>
        <v>0</v>
      </c>
      <c r="F4890" s="19">
        <f>VLOOKUP(D4890,'لیست پرسنل'!$B$2:$E$1020,4,FALSE)</f>
        <v>0</v>
      </c>
      <c r="G4890" s="127">
        <f>VLOOKUP(D4890,'لیست پرسنل'!$B$2:$F$1020,2,FALSE)</f>
        <v>0</v>
      </c>
      <c r="H4890" s="126" t="s">
        <v>4325</v>
      </c>
      <c r="I4890" s="128" t="s">
        <v>4325</v>
      </c>
      <c r="J4890" s="128" t="s">
        <v>1967</v>
      </c>
      <c r="K4890" s="128" t="s">
        <v>2547</v>
      </c>
      <c r="L4890" s="128" t="s">
        <v>4365</v>
      </c>
      <c r="M4890" s="127">
        <v>602291</v>
      </c>
      <c r="N4890" s="108"/>
      <c r="O4890" s="19"/>
      <c r="P4890" s="20" t="s">
        <v>4326</v>
      </c>
      <c r="Q4890" s="19" t="s">
        <v>4327</v>
      </c>
    </row>
    <row r="4891" spans="1:17" ht="24.9" customHeight="1">
      <c r="A4891" s="20"/>
      <c r="B4891" s="20" t="s">
        <v>5101</v>
      </c>
      <c r="C4891" s="20"/>
      <c r="D4891" s="20" t="s">
        <v>4325</v>
      </c>
      <c r="E4891" s="19">
        <f>VLOOKUP(D4891,'لیست پرسنل'!$B$2:$E$1020,3,FALSE)</f>
        <v>0</v>
      </c>
      <c r="F4891" s="19">
        <f>VLOOKUP(D4891,'لیست پرسنل'!$B$2:$E$1020,4,FALSE)</f>
        <v>0</v>
      </c>
      <c r="G4891" s="127">
        <f>VLOOKUP(D4891,'لیست پرسنل'!$B$2:$F$1020,2,FALSE)</f>
        <v>0</v>
      </c>
      <c r="H4891" s="126" t="s">
        <v>4325</v>
      </c>
      <c r="I4891" s="128" t="s">
        <v>4325</v>
      </c>
      <c r="J4891" s="128" t="s">
        <v>1967</v>
      </c>
      <c r="K4891" s="128" t="s">
        <v>2547</v>
      </c>
      <c r="L4891" s="128" t="s">
        <v>4365</v>
      </c>
      <c r="M4891" s="127">
        <v>602614</v>
      </c>
      <c r="N4891" s="108"/>
      <c r="O4891" s="19"/>
      <c r="P4891" s="20" t="s">
        <v>4326</v>
      </c>
      <c r="Q4891" s="19" t="s">
        <v>4327</v>
      </c>
    </row>
    <row r="4892" spans="1:17" ht="24.9" customHeight="1">
      <c r="A4892" s="20"/>
      <c r="B4892" s="20" t="s">
        <v>5101</v>
      </c>
      <c r="C4892" s="20"/>
      <c r="D4892" s="20" t="s">
        <v>4325</v>
      </c>
      <c r="E4892" s="19">
        <f>VLOOKUP(D4892,'لیست پرسنل'!$B$2:$E$1020,3,FALSE)</f>
        <v>0</v>
      </c>
      <c r="F4892" s="19">
        <f>VLOOKUP(D4892,'لیست پرسنل'!$B$2:$E$1020,4,FALSE)</f>
        <v>0</v>
      </c>
      <c r="G4892" s="127">
        <f>VLOOKUP(D4892,'لیست پرسنل'!$B$2:$F$1020,2,FALSE)</f>
        <v>0</v>
      </c>
      <c r="H4892" s="126" t="s">
        <v>4325</v>
      </c>
      <c r="I4892" s="128" t="s">
        <v>4325</v>
      </c>
      <c r="J4892" s="128" t="s">
        <v>1967</v>
      </c>
      <c r="K4892" s="128" t="s">
        <v>2700</v>
      </c>
      <c r="L4892" s="128" t="s">
        <v>4365</v>
      </c>
      <c r="M4892" s="127">
        <v>603206</v>
      </c>
      <c r="N4892" s="108"/>
      <c r="O4892" s="20" t="s">
        <v>4641</v>
      </c>
      <c r="P4892" s="20" t="s">
        <v>4326</v>
      </c>
      <c r="Q4892" s="19" t="s">
        <v>4327</v>
      </c>
    </row>
    <row r="4893" spans="1:17" ht="24.9" customHeight="1">
      <c r="A4893" s="20"/>
      <c r="B4893" s="20" t="s">
        <v>5101</v>
      </c>
      <c r="C4893" s="20"/>
      <c r="D4893" s="20" t="s">
        <v>4325</v>
      </c>
      <c r="E4893" s="19">
        <f>VLOOKUP(D4893,'لیست پرسنل'!$B$2:$E$1020,3,FALSE)</f>
        <v>0</v>
      </c>
      <c r="F4893" s="19">
        <f>VLOOKUP(D4893,'لیست پرسنل'!$B$2:$E$1020,4,FALSE)</f>
        <v>0</v>
      </c>
      <c r="G4893" s="127">
        <f>VLOOKUP(D4893,'لیست پرسنل'!$B$2:$F$1020,2,FALSE)</f>
        <v>0</v>
      </c>
      <c r="H4893" s="126" t="s">
        <v>4325</v>
      </c>
      <c r="I4893" s="128" t="s">
        <v>4325</v>
      </c>
      <c r="J4893" s="128" t="s">
        <v>1967</v>
      </c>
      <c r="K4893" s="128" t="s">
        <v>2546</v>
      </c>
      <c r="L4893" s="128" t="s">
        <v>4365</v>
      </c>
      <c r="M4893" s="127">
        <v>604086</v>
      </c>
      <c r="N4893" s="108"/>
      <c r="O4893" s="19"/>
      <c r="P4893" s="20" t="s">
        <v>4326</v>
      </c>
      <c r="Q4893" s="19" t="s">
        <v>4327</v>
      </c>
    </row>
    <row r="4894" spans="1:17" ht="24.9" customHeight="1">
      <c r="A4894" s="20"/>
      <c r="B4894" s="20" t="s">
        <v>5101</v>
      </c>
      <c r="C4894" s="20"/>
      <c r="D4894" s="20" t="s">
        <v>4325</v>
      </c>
      <c r="E4894" s="19">
        <f>VLOOKUP(D4894,'لیست پرسنل'!$B$2:$E$1020,3,FALSE)</f>
        <v>0</v>
      </c>
      <c r="F4894" s="19">
        <f>VLOOKUP(D4894,'لیست پرسنل'!$B$2:$E$1020,4,FALSE)</f>
        <v>0</v>
      </c>
      <c r="G4894" s="127">
        <f>VLOOKUP(D4894,'لیست پرسنل'!$B$2:$F$1020,2,FALSE)</f>
        <v>0</v>
      </c>
      <c r="H4894" s="126" t="s">
        <v>4325</v>
      </c>
      <c r="I4894" s="128" t="s">
        <v>4325</v>
      </c>
      <c r="J4894" s="128" t="s">
        <v>1967</v>
      </c>
      <c r="K4894" s="128" t="s">
        <v>2546</v>
      </c>
      <c r="L4894" s="128" t="s">
        <v>4365</v>
      </c>
      <c r="M4894" s="127">
        <v>604200</v>
      </c>
      <c r="N4894" s="108"/>
      <c r="O4894" s="19"/>
      <c r="P4894" s="20" t="s">
        <v>4326</v>
      </c>
      <c r="Q4894" s="19" t="s">
        <v>4327</v>
      </c>
    </row>
    <row r="4895" spans="1:17" ht="24.9" customHeight="1">
      <c r="A4895" s="20"/>
      <c r="B4895" s="20" t="s">
        <v>5101</v>
      </c>
      <c r="C4895" s="20"/>
      <c r="D4895" s="20" t="s">
        <v>4325</v>
      </c>
      <c r="E4895" s="19">
        <f>VLOOKUP(D4895,'لیست پرسنل'!$B$2:$E$1020,3,FALSE)</f>
        <v>0</v>
      </c>
      <c r="F4895" s="19">
        <f>VLOOKUP(D4895,'لیست پرسنل'!$B$2:$E$1020,4,FALSE)</f>
        <v>0</v>
      </c>
      <c r="G4895" s="127">
        <f>VLOOKUP(D4895,'لیست پرسنل'!$B$2:$F$1020,2,FALSE)</f>
        <v>0</v>
      </c>
      <c r="H4895" s="126" t="s">
        <v>4325</v>
      </c>
      <c r="I4895" s="128" t="s">
        <v>4325</v>
      </c>
      <c r="J4895" s="128" t="s">
        <v>1967</v>
      </c>
      <c r="K4895" s="128" t="s">
        <v>2551</v>
      </c>
      <c r="L4895" s="128" t="s">
        <v>4366</v>
      </c>
      <c r="M4895" s="128">
        <v>604216</v>
      </c>
      <c r="N4895" s="108"/>
      <c r="O4895" s="19"/>
      <c r="P4895" s="20" t="s">
        <v>4326</v>
      </c>
      <c r="Q4895" s="19" t="s">
        <v>4327</v>
      </c>
    </row>
    <row r="4896" spans="1:17" ht="24.9" customHeight="1">
      <c r="A4896" s="20"/>
      <c r="B4896" s="20" t="s">
        <v>5101</v>
      </c>
      <c r="C4896" s="20"/>
      <c r="D4896" s="20" t="s">
        <v>4325</v>
      </c>
      <c r="E4896" s="19">
        <f>VLOOKUP(D4896,'لیست پرسنل'!$B$2:$E$1020,3,FALSE)</f>
        <v>0</v>
      </c>
      <c r="F4896" s="19">
        <f>VLOOKUP(D4896,'لیست پرسنل'!$B$2:$E$1020,4,FALSE)</f>
        <v>0</v>
      </c>
      <c r="G4896" s="127">
        <f>VLOOKUP(D4896,'لیست پرسنل'!$B$2:$F$1020,2,FALSE)</f>
        <v>0</v>
      </c>
      <c r="H4896" s="126" t="s">
        <v>4325</v>
      </c>
      <c r="I4896" s="128" t="s">
        <v>4325</v>
      </c>
      <c r="J4896" s="128" t="s">
        <v>1967</v>
      </c>
      <c r="K4896" s="128" t="s">
        <v>2546</v>
      </c>
      <c r="L4896" s="128" t="s">
        <v>4365</v>
      </c>
      <c r="M4896" s="127">
        <v>604266</v>
      </c>
      <c r="N4896" s="108"/>
      <c r="O4896" s="19"/>
      <c r="P4896" s="20" t="s">
        <v>4326</v>
      </c>
      <c r="Q4896" s="19" t="s">
        <v>4327</v>
      </c>
    </row>
    <row r="4897" spans="1:17" ht="24.9" customHeight="1">
      <c r="A4897" s="20"/>
      <c r="B4897" s="20" t="s">
        <v>5101</v>
      </c>
      <c r="C4897" s="20"/>
      <c r="D4897" s="20" t="s">
        <v>4325</v>
      </c>
      <c r="E4897" s="19">
        <f>VLOOKUP(D4897,'لیست پرسنل'!$B$2:$E$1020,3,FALSE)</f>
        <v>0</v>
      </c>
      <c r="F4897" s="19">
        <f>VLOOKUP(D4897,'لیست پرسنل'!$B$2:$E$1020,4,FALSE)</f>
        <v>0</v>
      </c>
      <c r="G4897" s="127">
        <f>VLOOKUP(D4897,'لیست پرسنل'!$B$2:$F$1020,2,FALSE)</f>
        <v>0</v>
      </c>
      <c r="H4897" s="126" t="s">
        <v>4325</v>
      </c>
      <c r="I4897" s="128" t="s">
        <v>4325</v>
      </c>
      <c r="J4897" s="128" t="s">
        <v>1967</v>
      </c>
      <c r="K4897" s="128" t="s">
        <v>609</v>
      </c>
      <c r="L4897" s="151"/>
      <c r="M4897" s="127">
        <v>604278</v>
      </c>
      <c r="N4897" s="109"/>
      <c r="O4897" s="19" t="s">
        <v>611</v>
      </c>
      <c r="P4897" s="19" t="s">
        <v>4326</v>
      </c>
      <c r="Q4897" s="19">
        <v>1400</v>
      </c>
    </row>
    <row r="4898" spans="1:17" ht="24.9" customHeight="1">
      <c r="A4898" s="20"/>
      <c r="B4898" s="20" t="s">
        <v>5101</v>
      </c>
      <c r="C4898" s="20"/>
      <c r="D4898" s="20" t="s">
        <v>4325</v>
      </c>
      <c r="E4898" s="19">
        <f>VLOOKUP(D4898,'لیست پرسنل'!$B$2:$E$1020,3,FALSE)</f>
        <v>0</v>
      </c>
      <c r="F4898" s="19">
        <f>VLOOKUP(D4898,'لیست پرسنل'!$B$2:$E$1020,4,FALSE)</f>
        <v>0</v>
      </c>
      <c r="G4898" s="127">
        <f>VLOOKUP(D4898,'لیست پرسنل'!$B$2:$F$1020,2,FALSE)</f>
        <v>0</v>
      </c>
      <c r="H4898" s="126" t="s">
        <v>4325</v>
      </c>
      <c r="I4898" s="128" t="s">
        <v>4325</v>
      </c>
      <c r="J4898" s="128" t="s">
        <v>1967</v>
      </c>
      <c r="K4898" s="128" t="s">
        <v>630</v>
      </c>
      <c r="L4898" s="151"/>
      <c r="M4898" s="127">
        <v>604280</v>
      </c>
      <c r="N4898" s="109"/>
      <c r="O4898" s="19" t="s">
        <v>611</v>
      </c>
      <c r="P4898" s="19" t="s">
        <v>4326</v>
      </c>
      <c r="Q4898" s="19">
        <v>1400</v>
      </c>
    </row>
    <row r="4899" spans="1:17" ht="24.9" customHeight="1">
      <c r="A4899" s="20"/>
      <c r="B4899" s="20" t="s">
        <v>5101</v>
      </c>
      <c r="C4899" s="20"/>
      <c r="D4899" s="20" t="s">
        <v>4325</v>
      </c>
      <c r="E4899" s="19">
        <f>VLOOKUP(D4899,'لیست پرسنل'!$B$2:$E$1020,3,FALSE)</f>
        <v>0</v>
      </c>
      <c r="F4899" s="19">
        <f>VLOOKUP(D4899,'لیست پرسنل'!$B$2:$E$1020,4,FALSE)</f>
        <v>0</v>
      </c>
      <c r="G4899" s="127">
        <f>VLOOKUP(D4899,'لیست پرسنل'!$B$2:$F$1020,2,FALSE)</f>
        <v>0</v>
      </c>
      <c r="H4899" s="126" t="s">
        <v>4325</v>
      </c>
      <c r="I4899" s="128" t="s">
        <v>4325</v>
      </c>
      <c r="J4899" s="128" t="s">
        <v>1967</v>
      </c>
      <c r="K4899" s="128" t="s">
        <v>2547</v>
      </c>
      <c r="L4899" s="128" t="s">
        <v>4365</v>
      </c>
      <c r="M4899" s="127">
        <v>605579</v>
      </c>
      <c r="N4899" s="108"/>
      <c r="O4899" s="19"/>
      <c r="P4899" s="20" t="s">
        <v>4326</v>
      </c>
      <c r="Q4899" s="19" t="s">
        <v>4327</v>
      </c>
    </row>
    <row r="4900" spans="1:17" ht="24.9" customHeight="1">
      <c r="A4900" s="20"/>
      <c r="B4900" s="20" t="s">
        <v>5101</v>
      </c>
      <c r="C4900" s="20"/>
      <c r="D4900" s="20" t="s">
        <v>4325</v>
      </c>
      <c r="E4900" s="19">
        <f>VLOOKUP(D4900,'لیست پرسنل'!$B$2:$E$1020,3,FALSE)</f>
        <v>0</v>
      </c>
      <c r="F4900" s="19">
        <f>VLOOKUP(D4900,'لیست پرسنل'!$B$2:$E$1020,4,FALSE)</f>
        <v>0</v>
      </c>
      <c r="G4900" s="127">
        <f>VLOOKUP(D4900,'لیست پرسنل'!$B$2:$F$1020,2,FALSE)</f>
        <v>0</v>
      </c>
      <c r="H4900" s="126" t="s">
        <v>4325</v>
      </c>
      <c r="I4900" s="128" t="s">
        <v>4325</v>
      </c>
      <c r="J4900" s="128" t="s">
        <v>1967</v>
      </c>
      <c r="K4900" s="128" t="s">
        <v>2707</v>
      </c>
      <c r="L4900" s="240" t="s">
        <v>4366</v>
      </c>
      <c r="M4900" s="128">
        <v>605989</v>
      </c>
      <c r="N4900" s="108"/>
      <c r="O4900" s="19"/>
      <c r="P4900" s="20" t="s">
        <v>4326</v>
      </c>
      <c r="Q4900" s="19" t="s">
        <v>4327</v>
      </c>
    </row>
    <row r="4901" spans="1:17" ht="24.9" customHeight="1">
      <c r="A4901" s="20"/>
      <c r="B4901" s="20" t="s">
        <v>5101</v>
      </c>
      <c r="C4901" s="20"/>
      <c r="D4901" s="20" t="s">
        <v>4325</v>
      </c>
      <c r="E4901" s="19">
        <f>VLOOKUP(D4901,'لیست پرسنل'!$B$2:$E$1020,3,FALSE)</f>
        <v>0</v>
      </c>
      <c r="F4901" s="19">
        <f>VLOOKUP(D4901,'لیست پرسنل'!$B$2:$E$1020,4,FALSE)</f>
        <v>0</v>
      </c>
      <c r="G4901" s="127">
        <f>VLOOKUP(D4901,'لیست پرسنل'!$B$2:$F$1020,2,FALSE)</f>
        <v>0</v>
      </c>
      <c r="H4901" s="126" t="s">
        <v>4325</v>
      </c>
      <c r="I4901" s="128" t="s">
        <v>4325</v>
      </c>
      <c r="J4901" s="128" t="s">
        <v>1967</v>
      </c>
      <c r="K4901" s="128" t="s">
        <v>2547</v>
      </c>
      <c r="L4901" s="128" t="s">
        <v>4366</v>
      </c>
      <c r="M4901" s="127">
        <v>606490</v>
      </c>
      <c r="N4901" s="108"/>
      <c r="O4901" s="19"/>
      <c r="P4901" s="20" t="s">
        <v>4326</v>
      </c>
      <c r="Q4901" s="19" t="s">
        <v>4327</v>
      </c>
    </row>
    <row r="4902" spans="1:17" ht="24.9" customHeight="1">
      <c r="A4902" s="20"/>
      <c r="B4902" s="20" t="s">
        <v>5101</v>
      </c>
      <c r="C4902" s="20"/>
      <c r="D4902" s="20" t="s">
        <v>4325</v>
      </c>
      <c r="E4902" s="19">
        <f>VLOOKUP(D4902,'لیست پرسنل'!$B$2:$E$1020,3,FALSE)</f>
        <v>0</v>
      </c>
      <c r="F4902" s="19">
        <f>VLOOKUP(D4902,'لیست پرسنل'!$B$2:$E$1020,4,FALSE)</f>
        <v>0</v>
      </c>
      <c r="G4902" s="127">
        <f>VLOOKUP(D4902,'لیست پرسنل'!$B$2:$F$1020,2,FALSE)</f>
        <v>0</v>
      </c>
      <c r="H4902" s="126" t="s">
        <v>4325</v>
      </c>
      <c r="I4902" s="128" t="s">
        <v>4325</v>
      </c>
      <c r="J4902" s="128" t="s">
        <v>1967</v>
      </c>
      <c r="K4902" s="128" t="s">
        <v>2552</v>
      </c>
      <c r="L4902" s="128" t="s">
        <v>4366</v>
      </c>
      <c r="M4902" s="127">
        <v>606491</v>
      </c>
      <c r="N4902" s="108"/>
      <c r="O4902" s="19"/>
      <c r="P4902" s="20" t="s">
        <v>4326</v>
      </c>
      <c r="Q4902" s="19" t="s">
        <v>4327</v>
      </c>
    </row>
    <row r="4903" spans="1:17" ht="24.9" customHeight="1">
      <c r="A4903" s="20"/>
      <c r="B4903" s="20" t="s">
        <v>5101</v>
      </c>
      <c r="C4903" s="20"/>
      <c r="D4903" s="20" t="s">
        <v>4325</v>
      </c>
      <c r="E4903" s="19">
        <f>VLOOKUP(D4903,'لیست پرسنل'!$B$2:$E$1020,3,FALSE)</f>
        <v>0</v>
      </c>
      <c r="F4903" s="19">
        <f>VLOOKUP(D4903,'لیست پرسنل'!$B$2:$E$1020,4,FALSE)</f>
        <v>0</v>
      </c>
      <c r="G4903" s="127">
        <f>VLOOKUP(D4903,'لیست پرسنل'!$B$2:$F$1020,2,FALSE)</f>
        <v>0</v>
      </c>
      <c r="H4903" s="126" t="s">
        <v>4325</v>
      </c>
      <c r="I4903" s="128" t="s">
        <v>4325</v>
      </c>
      <c r="J4903" s="128" t="s">
        <v>1967</v>
      </c>
      <c r="K4903" s="128" t="s">
        <v>2707</v>
      </c>
      <c r="L4903" s="128" t="s">
        <v>4366</v>
      </c>
      <c r="M4903" s="128">
        <v>606493</v>
      </c>
      <c r="N4903" s="108"/>
      <c r="O4903" s="19"/>
      <c r="P4903" s="20" t="s">
        <v>4326</v>
      </c>
      <c r="Q4903" s="19" t="s">
        <v>4327</v>
      </c>
    </row>
    <row r="4904" spans="1:17" ht="24.9" customHeight="1">
      <c r="A4904" s="20"/>
      <c r="B4904" s="20" t="s">
        <v>5101</v>
      </c>
      <c r="C4904" s="20"/>
      <c r="D4904" s="20" t="s">
        <v>4325</v>
      </c>
      <c r="E4904" s="19">
        <f>VLOOKUP(D4904,'لیست پرسنل'!$B$2:$E$1020,3,FALSE)</f>
        <v>0</v>
      </c>
      <c r="F4904" s="19">
        <f>VLOOKUP(D4904,'لیست پرسنل'!$B$2:$E$1020,4,FALSE)</f>
        <v>0</v>
      </c>
      <c r="G4904" s="127">
        <f>VLOOKUP(D4904,'لیست پرسنل'!$B$2:$F$1020,2,FALSE)</f>
        <v>0</v>
      </c>
      <c r="H4904" s="126" t="s">
        <v>4325</v>
      </c>
      <c r="I4904" s="128" t="s">
        <v>4325</v>
      </c>
      <c r="J4904" s="128" t="s">
        <v>1967</v>
      </c>
      <c r="K4904" s="128" t="s">
        <v>2707</v>
      </c>
      <c r="L4904" s="128" t="s">
        <v>4366</v>
      </c>
      <c r="M4904" s="128">
        <v>606494</v>
      </c>
      <c r="N4904" s="108"/>
      <c r="O4904" s="19"/>
      <c r="P4904" s="20" t="s">
        <v>4326</v>
      </c>
      <c r="Q4904" s="19" t="s">
        <v>4327</v>
      </c>
    </row>
    <row r="4905" spans="1:17" ht="24.9" customHeight="1">
      <c r="A4905" s="20"/>
      <c r="B4905" s="20" t="s">
        <v>5101</v>
      </c>
      <c r="C4905" s="20"/>
      <c r="D4905" s="20" t="s">
        <v>4325</v>
      </c>
      <c r="E4905" s="19">
        <f>VLOOKUP(D4905,'لیست پرسنل'!$B$2:$E$1020,3,FALSE)</f>
        <v>0</v>
      </c>
      <c r="F4905" s="19">
        <f>VLOOKUP(D4905,'لیست پرسنل'!$B$2:$E$1020,4,FALSE)</f>
        <v>0</v>
      </c>
      <c r="G4905" s="127">
        <f>VLOOKUP(D4905,'لیست پرسنل'!$B$2:$F$1020,2,FALSE)</f>
        <v>0</v>
      </c>
      <c r="H4905" s="126" t="s">
        <v>4325</v>
      </c>
      <c r="I4905" s="128" t="s">
        <v>4325</v>
      </c>
      <c r="J4905" s="128" t="s">
        <v>1967</v>
      </c>
      <c r="K4905" s="128" t="s">
        <v>2551</v>
      </c>
      <c r="L4905" s="128" t="s">
        <v>2652</v>
      </c>
      <c r="M4905" s="127">
        <v>607449</v>
      </c>
      <c r="N4905" s="108"/>
      <c r="O4905" s="19"/>
      <c r="P4905" s="20" t="s">
        <v>4326</v>
      </c>
      <c r="Q4905" s="19" t="s">
        <v>4327</v>
      </c>
    </row>
    <row r="4906" spans="1:17" ht="24.9" customHeight="1">
      <c r="A4906" s="20"/>
      <c r="B4906" s="20" t="s">
        <v>5101</v>
      </c>
      <c r="C4906" s="20"/>
      <c r="D4906" s="20" t="s">
        <v>4325</v>
      </c>
      <c r="E4906" s="19">
        <f>VLOOKUP(D4906,'لیست پرسنل'!$B$2:$E$1020,3,FALSE)</f>
        <v>0</v>
      </c>
      <c r="F4906" s="19">
        <f>VLOOKUP(D4906,'لیست پرسنل'!$B$2:$E$1020,4,FALSE)</f>
        <v>0</v>
      </c>
      <c r="G4906" s="127">
        <f>VLOOKUP(D4906,'لیست پرسنل'!$B$2:$F$1020,2,FALSE)</f>
        <v>0</v>
      </c>
      <c r="H4906" s="126" t="s">
        <v>4325</v>
      </c>
      <c r="I4906" s="128" t="s">
        <v>4325</v>
      </c>
      <c r="J4906" s="128" t="s">
        <v>1967</v>
      </c>
      <c r="K4906" s="128" t="s">
        <v>2552</v>
      </c>
      <c r="L4906" s="128" t="s">
        <v>4366</v>
      </c>
      <c r="M4906" s="127">
        <v>607500</v>
      </c>
      <c r="N4906" s="108"/>
      <c r="O4906" s="19"/>
      <c r="P4906" s="20" t="s">
        <v>4326</v>
      </c>
      <c r="Q4906" s="19" t="s">
        <v>4327</v>
      </c>
    </row>
    <row r="4907" spans="1:17" ht="24.9" customHeight="1">
      <c r="A4907" s="20"/>
      <c r="B4907" s="20" t="s">
        <v>5101</v>
      </c>
      <c r="C4907" s="20"/>
      <c r="D4907" s="20" t="s">
        <v>4325</v>
      </c>
      <c r="E4907" s="19">
        <f>VLOOKUP(D4907,'لیست پرسنل'!$B$2:$E$1020,3,FALSE)</f>
        <v>0</v>
      </c>
      <c r="F4907" s="19">
        <f>VLOOKUP(D4907,'لیست پرسنل'!$B$2:$E$1020,4,FALSE)</f>
        <v>0</v>
      </c>
      <c r="G4907" s="127">
        <f>VLOOKUP(D4907,'لیست پرسنل'!$B$2:$F$1020,2,FALSE)</f>
        <v>0</v>
      </c>
      <c r="H4907" s="126" t="s">
        <v>4325</v>
      </c>
      <c r="I4907" s="128" t="s">
        <v>4325</v>
      </c>
      <c r="J4907" s="128" t="s">
        <v>1967</v>
      </c>
      <c r="K4907" s="128" t="s">
        <v>8117</v>
      </c>
      <c r="L4907" s="151"/>
      <c r="M4907" s="127">
        <v>607912</v>
      </c>
      <c r="N4907" s="109"/>
      <c r="O4907" s="19" t="s">
        <v>1429</v>
      </c>
      <c r="P4907" s="19" t="s">
        <v>4326</v>
      </c>
      <c r="Q4907" s="19">
        <v>1400</v>
      </c>
    </row>
    <row r="4908" spans="1:17" ht="24.9" customHeight="1">
      <c r="A4908" s="20"/>
      <c r="B4908" s="20" t="s">
        <v>5101</v>
      </c>
      <c r="C4908" s="20"/>
      <c r="D4908" s="20" t="s">
        <v>4325</v>
      </c>
      <c r="E4908" s="19">
        <f>VLOOKUP(D4908,'لیست پرسنل'!$B$2:$E$1020,3,FALSE)</f>
        <v>0</v>
      </c>
      <c r="F4908" s="19">
        <f>VLOOKUP(D4908,'لیست پرسنل'!$B$2:$E$1020,4,FALSE)</f>
        <v>0</v>
      </c>
      <c r="G4908" s="127">
        <f>VLOOKUP(D4908,'لیست پرسنل'!$B$2:$F$1020,2,FALSE)</f>
        <v>0</v>
      </c>
      <c r="H4908" s="126" t="s">
        <v>4325</v>
      </c>
      <c r="I4908" s="128" t="s">
        <v>4325</v>
      </c>
      <c r="J4908" s="128" t="s">
        <v>1967</v>
      </c>
      <c r="K4908" s="128" t="s">
        <v>2696</v>
      </c>
      <c r="L4908" s="128" t="s">
        <v>2652</v>
      </c>
      <c r="M4908" s="127">
        <v>608612</v>
      </c>
      <c r="N4908" s="108"/>
      <c r="O4908" s="19"/>
      <c r="P4908" s="20" t="s">
        <v>4326</v>
      </c>
      <c r="Q4908" s="19" t="s">
        <v>4327</v>
      </c>
    </row>
    <row r="4909" spans="1:17" ht="24.9" customHeight="1">
      <c r="A4909" s="20"/>
      <c r="B4909" s="20" t="s">
        <v>5101</v>
      </c>
      <c r="C4909" s="20"/>
      <c r="D4909" s="20" t="s">
        <v>4325</v>
      </c>
      <c r="E4909" s="19">
        <f>VLOOKUP(D4909,'لیست پرسنل'!$B$2:$E$1020,3,FALSE)</f>
        <v>0</v>
      </c>
      <c r="F4909" s="19">
        <f>VLOOKUP(D4909,'لیست پرسنل'!$B$2:$E$1020,4,FALSE)</f>
        <v>0</v>
      </c>
      <c r="G4909" s="127">
        <f>VLOOKUP(D4909,'لیست پرسنل'!$B$2:$F$1020,2,FALSE)</f>
        <v>0</v>
      </c>
      <c r="H4909" s="126" t="s">
        <v>4325</v>
      </c>
      <c r="I4909" s="128" t="s">
        <v>4325</v>
      </c>
      <c r="J4909" s="128" t="s">
        <v>1967</v>
      </c>
      <c r="K4909" s="128" t="s">
        <v>8118</v>
      </c>
      <c r="L4909" s="151"/>
      <c r="M4909" s="127">
        <v>608787</v>
      </c>
      <c r="N4909" s="109"/>
      <c r="O4909" s="19" t="s">
        <v>1429</v>
      </c>
      <c r="P4909" s="19" t="s">
        <v>4326</v>
      </c>
      <c r="Q4909" s="19">
        <v>1400</v>
      </c>
    </row>
    <row r="4910" spans="1:17" ht="24.9" customHeight="1">
      <c r="A4910" s="20"/>
      <c r="B4910" s="20" t="s">
        <v>5101</v>
      </c>
      <c r="C4910" s="20"/>
      <c r="D4910" s="20" t="s">
        <v>4325</v>
      </c>
      <c r="E4910" s="19">
        <f>VLOOKUP(D4910,'لیست پرسنل'!$B$2:$E$1020,3,FALSE)</f>
        <v>0</v>
      </c>
      <c r="F4910" s="19">
        <f>VLOOKUP(D4910,'لیست پرسنل'!$B$2:$E$1020,4,FALSE)</f>
        <v>0</v>
      </c>
      <c r="G4910" s="127">
        <f>VLOOKUP(D4910,'لیست پرسنل'!$B$2:$F$1020,2,FALSE)</f>
        <v>0</v>
      </c>
      <c r="H4910" s="126" t="s">
        <v>4325</v>
      </c>
      <c r="I4910" s="128" t="s">
        <v>4325</v>
      </c>
      <c r="J4910" s="128" t="s">
        <v>1967</v>
      </c>
      <c r="K4910" s="128" t="s">
        <v>2546</v>
      </c>
      <c r="L4910" s="128" t="s">
        <v>4365</v>
      </c>
      <c r="M4910" s="127">
        <v>609431</v>
      </c>
      <c r="N4910" s="108"/>
      <c r="O4910" s="19"/>
      <c r="P4910" s="20" t="s">
        <v>4326</v>
      </c>
      <c r="Q4910" s="19" t="s">
        <v>4327</v>
      </c>
    </row>
    <row r="4911" spans="1:17" ht="24.9" customHeight="1">
      <c r="A4911" s="20"/>
      <c r="B4911" s="20" t="s">
        <v>5101</v>
      </c>
      <c r="C4911" s="20"/>
      <c r="D4911" s="20" t="s">
        <v>4325</v>
      </c>
      <c r="E4911" s="19">
        <f>VLOOKUP(D4911,'لیست پرسنل'!$B$2:$E$1020,3,FALSE)</f>
        <v>0</v>
      </c>
      <c r="F4911" s="19">
        <f>VLOOKUP(D4911,'لیست پرسنل'!$B$2:$E$1020,4,FALSE)</f>
        <v>0</v>
      </c>
      <c r="G4911" s="127">
        <f>VLOOKUP(D4911,'لیست پرسنل'!$B$2:$F$1020,2,FALSE)</f>
        <v>0</v>
      </c>
      <c r="H4911" s="126" t="s">
        <v>4325</v>
      </c>
      <c r="I4911" s="128" t="s">
        <v>4325</v>
      </c>
      <c r="J4911" s="128" t="s">
        <v>1967</v>
      </c>
      <c r="K4911" s="128" t="s">
        <v>2553</v>
      </c>
      <c r="L4911" s="128" t="s">
        <v>4366</v>
      </c>
      <c r="M4911" s="128">
        <v>609494</v>
      </c>
      <c r="N4911" s="108"/>
      <c r="O4911" s="19"/>
      <c r="P4911" s="20" t="s">
        <v>4326</v>
      </c>
      <c r="Q4911" s="19" t="s">
        <v>4327</v>
      </c>
    </row>
    <row r="4912" spans="1:17" ht="24.9" customHeight="1">
      <c r="A4912" s="20"/>
      <c r="B4912" s="20" t="s">
        <v>5101</v>
      </c>
      <c r="C4912" s="20"/>
      <c r="D4912" s="20" t="s">
        <v>4325</v>
      </c>
      <c r="E4912" s="19">
        <f>VLOOKUP(D4912,'لیست پرسنل'!$B$2:$E$1020,3,FALSE)</f>
        <v>0</v>
      </c>
      <c r="F4912" s="19">
        <f>VLOOKUP(D4912,'لیست پرسنل'!$B$2:$E$1020,4,FALSE)</f>
        <v>0</v>
      </c>
      <c r="G4912" s="127">
        <f>VLOOKUP(D4912,'لیست پرسنل'!$B$2:$F$1020,2,FALSE)</f>
        <v>0</v>
      </c>
      <c r="H4912" s="126" t="s">
        <v>4325</v>
      </c>
      <c r="I4912" s="128" t="s">
        <v>4325</v>
      </c>
      <c r="J4912" s="128" t="s">
        <v>1967</v>
      </c>
      <c r="K4912" s="128" t="s">
        <v>2695</v>
      </c>
      <c r="L4912" s="128" t="s">
        <v>4368</v>
      </c>
      <c r="M4912" s="128">
        <v>610460</v>
      </c>
      <c r="N4912" s="108"/>
      <c r="O4912" s="19"/>
      <c r="P4912" s="20" t="s">
        <v>4326</v>
      </c>
      <c r="Q4912" s="19" t="s">
        <v>4327</v>
      </c>
    </row>
    <row r="4913" spans="1:17" ht="24.9" customHeight="1">
      <c r="A4913" s="20"/>
      <c r="B4913" s="20" t="s">
        <v>5101</v>
      </c>
      <c r="C4913" s="20"/>
      <c r="D4913" s="20" t="s">
        <v>4325</v>
      </c>
      <c r="E4913" s="19">
        <f>VLOOKUP(D4913,'لیست پرسنل'!$B$2:$E$1020,3,FALSE)</f>
        <v>0</v>
      </c>
      <c r="F4913" s="19">
        <f>VLOOKUP(D4913,'لیست پرسنل'!$B$2:$E$1020,4,FALSE)</f>
        <v>0</v>
      </c>
      <c r="G4913" s="127">
        <f>VLOOKUP(D4913,'لیست پرسنل'!$B$2:$F$1020,2,FALSE)</f>
        <v>0</v>
      </c>
      <c r="H4913" s="126" t="s">
        <v>4325</v>
      </c>
      <c r="I4913" s="128" t="s">
        <v>4325</v>
      </c>
      <c r="J4913" s="128" t="s">
        <v>1967</v>
      </c>
      <c r="K4913" s="128" t="s">
        <v>608</v>
      </c>
      <c r="L4913" s="151"/>
      <c r="M4913" s="127">
        <v>610912</v>
      </c>
      <c r="N4913" s="109"/>
      <c r="O4913" s="19" t="s">
        <v>611</v>
      </c>
      <c r="P4913" s="19" t="s">
        <v>4326</v>
      </c>
      <c r="Q4913" s="19">
        <v>1400</v>
      </c>
    </row>
    <row r="4914" spans="1:17" ht="24.9" customHeight="1">
      <c r="A4914" s="20"/>
      <c r="B4914" s="20" t="s">
        <v>5101</v>
      </c>
      <c r="C4914" s="20"/>
      <c r="D4914" s="20" t="s">
        <v>4325</v>
      </c>
      <c r="E4914" s="19">
        <f>VLOOKUP(D4914,'لیست پرسنل'!$B$2:$E$1020,3,FALSE)</f>
        <v>0</v>
      </c>
      <c r="F4914" s="19">
        <f>VLOOKUP(D4914,'لیست پرسنل'!$B$2:$E$1020,4,FALSE)</f>
        <v>0</v>
      </c>
      <c r="G4914" s="127">
        <f>VLOOKUP(D4914,'لیست پرسنل'!$B$2:$F$1020,2,FALSE)</f>
        <v>0</v>
      </c>
      <c r="H4914" s="126" t="s">
        <v>4325</v>
      </c>
      <c r="I4914" s="128" t="s">
        <v>4325</v>
      </c>
      <c r="J4914" s="128" t="s">
        <v>1967</v>
      </c>
      <c r="K4914" s="128" t="s">
        <v>2708</v>
      </c>
      <c r="L4914" s="128" t="s">
        <v>4368</v>
      </c>
      <c r="M4914" s="128">
        <v>612081</v>
      </c>
      <c r="N4914" s="108"/>
      <c r="O4914" s="19"/>
      <c r="P4914" s="20" t="s">
        <v>4326</v>
      </c>
      <c r="Q4914" s="19" t="s">
        <v>4327</v>
      </c>
    </row>
    <row r="4915" spans="1:17" ht="24.9" customHeight="1">
      <c r="A4915" s="20"/>
      <c r="B4915" s="20" t="s">
        <v>5101</v>
      </c>
      <c r="C4915" s="20"/>
      <c r="D4915" s="20" t="s">
        <v>4325</v>
      </c>
      <c r="E4915" s="19">
        <f>VLOOKUP(D4915,'لیست پرسنل'!$B$2:$E$1020,3,FALSE)</f>
        <v>0</v>
      </c>
      <c r="F4915" s="19">
        <f>VLOOKUP(D4915,'لیست پرسنل'!$B$2:$E$1020,4,FALSE)</f>
        <v>0</v>
      </c>
      <c r="G4915" s="127">
        <f>VLOOKUP(D4915,'لیست پرسنل'!$B$2:$F$1020,2,FALSE)</f>
        <v>0</v>
      </c>
      <c r="H4915" s="126" t="s">
        <v>4325</v>
      </c>
      <c r="I4915" s="128" t="s">
        <v>4325</v>
      </c>
      <c r="J4915" s="128" t="s">
        <v>1967</v>
      </c>
      <c r="K4915" s="128" t="s">
        <v>2697</v>
      </c>
      <c r="L4915" s="128" t="s">
        <v>2652</v>
      </c>
      <c r="M4915" s="128">
        <v>612302</v>
      </c>
      <c r="N4915" s="108"/>
      <c r="O4915" s="19"/>
      <c r="P4915" s="20" t="s">
        <v>4326</v>
      </c>
      <c r="Q4915" s="19" t="s">
        <v>4327</v>
      </c>
    </row>
    <row r="4916" spans="1:17" ht="24.9" customHeight="1">
      <c r="A4916" s="20"/>
      <c r="B4916" s="20" t="s">
        <v>5101</v>
      </c>
      <c r="C4916" s="20"/>
      <c r="D4916" s="20" t="s">
        <v>4325</v>
      </c>
      <c r="E4916" s="19">
        <f>VLOOKUP(D4916,'لیست پرسنل'!$B$2:$E$1020,3,FALSE)</f>
        <v>0</v>
      </c>
      <c r="F4916" s="19">
        <f>VLOOKUP(D4916,'لیست پرسنل'!$B$2:$E$1020,4,FALSE)</f>
        <v>0</v>
      </c>
      <c r="G4916" s="127">
        <f>VLOOKUP(D4916,'لیست پرسنل'!$B$2:$F$1020,2,FALSE)</f>
        <v>0</v>
      </c>
      <c r="H4916" s="126" t="s">
        <v>4325</v>
      </c>
      <c r="I4916" s="128" t="s">
        <v>4325</v>
      </c>
      <c r="J4916" s="128" t="s">
        <v>1967</v>
      </c>
      <c r="K4916" s="128" t="s">
        <v>610</v>
      </c>
      <c r="L4916" s="151"/>
      <c r="M4916" s="127">
        <v>612633</v>
      </c>
      <c r="N4916" s="109"/>
      <c r="O4916" s="19" t="s">
        <v>611</v>
      </c>
      <c r="P4916" s="19" t="s">
        <v>4326</v>
      </c>
      <c r="Q4916" s="19">
        <v>1400</v>
      </c>
    </row>
    <row r="4917" spans="1:17" ht="24.9" customHeight="1">
      <c r="A4917" s="20"/>
      <c r="B4917" s="20" t="s">
        <v>5101</v>
      </c>
      <c r="C4917" s="20"/>
      <c r="D4917" s="20" t="s">
        <v>4325</v>
      </c>
      <c r="E4917" s="19">
        <f>VLOOKUP(D4917,'لیست پرسنل'!$B$2:$E$1020,3,FALSE)</f>
        <v>0</v>
      </c>
      <c r="F4917" s="19">
        <f>VLOOKUP(D4917,'لیست پرسنل'!$B$2:$E$1020,4,FALSE)</f>
        <v>0</v>
      </c>
      <c r="G4917" s="127">
        <f>VLOOKUP(D4917,'لیست پرسنل'!$B$2:$F$1020,2,FALSE)</f>
        <v>0</v>
      </c>
      <c r="H4917" s="126" t="s">
        <v>4325</v>
      </c>
      <c r="I4917" s="128" t="s">
        <v>4325</v>
      </c>
      <c r="J4917" s="128" t="s">
        <v>1967</v>
      </c>
      <c r="K4917" s="128" t="s">
        <v>632</v>
      </c>
      <c r="L4917" s="151"/>
      <c r="M4917" s="127">
        <v>612635</v>
      </c>
      <c r="N4917" s="109"/>
      <c r="O4917" s="19" t="s">
        <v>611</v>
      </c>
      <c r="P4917" s="19" t="s">
        <v>4326</v>
      </c>
      <c r="Q4917" s="19">
        <v>1400</v>
      </c>
    </row>
    <row r="4918" spans="1:17" ht="24.9" customHeight="1">
      <c r="A4918" s="20"/>
      <c r="B4918" s="20" t="s">
        <v>5101</v>
      </c>
      <c r="C4918" s="20"/>
      <c r="D4918" s="20" t="s">
        <v>4325</v>
      </c>
      <c r="E4918" s="19">
        <f>VLOOKUP(D4918,'لیست پرسنل'!$B$2:$E$1020,3,FALSE)</f>
        <v>0</v>
      </c>
      <c r="F4918" s="19">
        <f>VLOOKUP(D4918,'لیست پرسنل'!$B$2:$E$1020,4,FALSE)</f>
        <v>0</v>
      </c>
      <c r="G4918" s="127">
        <f>VLOOKUP(D4918,'لیست پرسنل'!$B$2:$F$1020,2,FALSE)</f>
        <v>0</v>
      </c>
      <c r="H4918" s="126" t="s">
        <v>4325</v>
      </c>
      <c r="I4918" s="128" t="s">
        <v>4325</v>
      </c>
      <c r="J4918" s="128" t="s">
        <v>1967</v>
      </c>
      <c r="K4918" s="128" t="s">
        <v>2709</v>
      </c>
      <c r="L4918" s="128" t="s">
        <v>2710</v>
      </c>
      <c r="M4918" s="128">
        <v>612709</v>
      </c>
      <c r="N4918" s="108"/>
      <c r="O4918" s="19"/>
      <c r="P4918" s="20" t="s">
        <v>4326</v>
      </c>
      <c r="Q4918" s="19" t="s">
        <v>4327</v>
      </c>
    </row>
    <row r="4919" spans="1:17" ht="24.9" customHeight="1">
      <c r="A4919" s="20"/>
      <c r="B4919" s="20" t="s">
        <v>5101</v>
      </c>
      <c r="C4919" s="20"/>
      <c r="D4919" s="20" t="s">
        <v>4325</v>
      </c>
      <c r="E4919" s="19">
        <f>VLOOKUP(D4919,'لیست پرسنل'!$B$2:$E$1020,3,FALSE)</f>
        <v>0</v>
      </c>
      <c r="F4919" s="19">
        <f>VLOOKUP(D4919,'لیست پرسنل'!$B$2:$E$1020,4,FALSE)</f>
        <v>0</v>
      </c>
      <c r="G4919" s="127">
        <f>VLOOKUP(D4919,'لیست پرسنل'!$B$2:$F$1020,2,FALSE)</f>
        <v>0</v>
      </c>
      <c r="H4919" s="126" t="s">
        <v>4325</v>
      </c>
      <c r="I4919" s="128" t="s">
        <v>4325</v>
      </c>
      <c r="J4919" s="128" t="s">
        <v>1967</v>
      </c>
      <c r="K4919" s="128" t="s">
        <v>632</v>
      </c>
      <c r="L4919" s="151"/>
      <c r="M4919" s="127">
        <v>613250</v>
      </c>
      <c r="N4919" s="109"/>
      <c r="O4919" s="19" t="s">
        <v>611</v>
      </c>
      <c r="P4919" s="19" t="s">
        <v>4326</v>
      </c>
      <c r="Q4919" s="19">
        <v>1400</v>
      </c>
    </row>
    <row r="4920" spans="1:17" ht="24.9" customHeight="1">
      <c r="A4920" s="20"/>
      <c r="B4920" s="20" t="s">
        <v>5101</v>
      </c>
      <c r="C4920" s="20"/>
      <c r="D4920" s="20" t="s">
        <v>4325</v>
      </c>
      <c r="E4920" s="19">
        <f>VLOOKUP(D4920,'لیست پرسنل'!$B$2:$E$1020,3,FALSE)</f>
        <v>0</v>
      </c>
      <c r="F4920" s="19">
        <f>VLOOKUP(D4920,'لیست پرسنل'!$B$2:$E$1020,4,FALSE)</f>
        <v>0</v>
      </c>
      <c r="G4920" s="127">
        <f>VLOOKUP(D4920,'لیست پرسنل'!$B$2:$F$1020,2,FALSE)</f>
        <v>0</v>
      </c>
      <c r="H4920" s="126" t="s">
        <v>4325</v>
      </c>
      <c r="I4920" s="128" t="s">
        <v>4325</v>
      </c>
      <c r="J4920" s="128" t="s">
        <v>1967</v>
      </c>
      <c r="K4920" s="128" t="s">
        <v>631</v>
      </c>
      <c r="L4920" s="151"/>
      <c r="M4920" s="127">
        <v>613377</v>
      </c>
      <c r="N4920" s="109"/>
      <c r="O4920" s="19" t="s">
        <v>611</v>
      </c>
      <c r="P4920" s="19" t="s">
        <v>4326</v>
      </c>
      <c r="Q4920" s="19">
        <v>1400</v>
      </c>
    </row>
    <row r="4921" spans="1:17" ht="24.9" customHeight="1">
      <c r="A4921" s="20"/>
      <c r="B4921" s="20" t="s">
        <v>5101</v>
      </c>
      <c r="C4921" s="20"/>
      <c r="D4921" s="20" t="s">
        <v>4325</v>
      </c>
      <c r="E4921" s="19">
        <f>VLOOKUP(D4921,'لیست پرسنل'!$B$2:$E$1020,3,FALSE)</f>
        <v>0</v>
      </c>
      <c r="F4921" s="19">
        <f>VLOOKUP(D4921,'لیست پرسنل'!$B$2:$E$1020,4,FALSE)</f>
        <v>0</v>
      </c>
      <c r="G4921" s="127">
        <f>VLOOKUP(D4921,'لیست پرسنل'!$B$2:$F$1020,2,FALSE)</f>
        <v>0</v>
      </c>
      <c r="H4921" s="126" t="s">
        <v>4325</v>
      </c>
      <c r="I4921" s="128" t="s">
        <v>4325</v>
      </c>
      <c r="J4921" s="128" t="s">
        <v>1967</v>
      </c>
      <c r="K4921" s="128" t="s">
        <v>4216</v>
      </c>
      <c r="L4921" s="128" t="s">
        <v>4366</v>
      </c>
      <c r="M4921" s="128">
        <v>613602</v>
      </c>
      <c r="N4921" s="108"/>
      <c r="O4921" s="19"/>
      <c r="P4921" s="20" t="s">
        <v>4326</v>
      </c>
      <c r="Q4921" s="19" t="s">
        <v>4327</v>
      </c>
    </row>
    <row r="4922" spans="1:17" ht="24.9" customHeight="1">
      <c r="A4922" s="20"/>
      <c r="B4922" s="20" t="s">
        <v>5101</v>
      </c>
      <c r="C4922" s="20"/>
      <c r="D4922" s="20" t="s">
        <v>4325</v>
      </c>
      <c r="E4922" s="19">
        <f>VLOOKUP(D4922,'لیست پرسنل'!$B$2:$E$1020,3,FALSE)</f>
        <v>0</v>
      </c>
      <c r="F4922" s="19">
        <f>VLOOKUP(D4922,'لیست پرسنل'!$B$2:$E$1020,4,FALSE)</f>
        <v>0</v>
      </c>
      <c r="G4922" s="127">
        <f>VLOOKUP(D4922,'لیست پرسنل'!$B$2:$F$1020,2,FALSE)</f>
        <v>0</v>
      </c>
      <c r="H4922" s="126" t="s">
        <v>4325</v>
      </c>
      <c r="I4922" s="128" t="s">
        <v>4325</v>
      </c>
      <c r="J4922" s="128" t="s">
        <v>1967</v>
      </c>
      <c r="K4922" s="128" t="s">
        <v>607</v>
      </c>
      <c r="L4922" s="151"/>
      <c r="M4922" s="127">
        <v>614008</v>
      </c>
      <c r="N4922" s="109"/>
      <c r="O4922" s="19" t="s">
        <v>611</v>
      </c>
      <c r="P4922" s="19" t="s">
        <v>4326</v>
      </c>
      <c r="Q4922" s="19">
        <v>1400</v>
      </c>
    </row>
    <row r="4923" spans="1:17" ht="24.9" customHeight="1">
      <c r="A4923" s="20"/>
      <c r="B4923" s="20" t="s">
        <v>5101</v>
      </c>
      <c r="C4923" s="20"/>
      <c r="D4923" s="20" t="s">
        <v>4325</v>
      </c>
      <c r="E4923" s="19">
        <f>VLOOKUP(D4923,'لیست پرسنل'!$B$2:$E$1020,3,FALSE)</f>
        <v>0</v>
      </c>
      <c r="F4923" s="19">
        <f>VLOOKUP(D4923,'لیست پرسنل'!$B$2:$E$1020,4,FALSE)</f>
        <v>0</v>
      </c>
      <c r="G4923" s="127">
        <f>VLOOKUP(D4923,'لیست پرسنل'!$B$2:$F$1020,2,FALSE)</f>
        <v>0</v>
      </c>
      <c r="H4923" s="126" t="s">
        <v>4325</v>
      </c>
      <c r="I4923" s="128" t="s">
        <v>4325</v>
      </c>
      <c r="J4923" s="128" t="s">
        <v>1967</v>
      </c>
      <c r="K4923" s="128" t="s">
        <v>2694</v>
      </c>
      <c r="L4923" s="128" t="s">
        <v>4366</v>
      </c>
      <c r="M4923" s="128">
        <v>615035</v>
      </c>
      <c r="N4923" s="108"/>
      <c r="O4923" s="19"/>
      <c r="P4923" s="20" t="s">
        <v>4326</v>
      </c>
      <c r="Q4923" s="19" t="s">
        <v>4327</v>
      </c>
    </row>
    <row r="4924" spans="1:17" ht="24.9" customHeight="1">
      <c r="A4924" s="20"/>
      <c r="B4924" s="20" t="s">
        <v>5101</v>
      </c>
      <c r="C4924" s="20"/>
      <c r="D4924" s="20" t="s">
        <v>4325</v>
      </c>
      <c r="E4924" s="19">
        <f>VLOOKUP(D4924,'لیست پرسنل'!$B$2:$E$1020,3,FALSE)</f>
        <v>0</v>
      </c>
      <c r="F4924" s="19">
        <f>VLOOKUP(D4924,'لیست پرسنل'!$B$2:$E$1020,4,FALSE)</f>
        <v>0</v>
      </c>
      <c r="G4924" s="127">
        <f>VLOOKUP(D4924,'لیست پرسنل'!$B$2:$F$1020,2,FALSE)</f>
        <v>0</v>
      </c>
      <c r="H4924" s="126" t="s">
        <v>4325</v>
      </c>
      <c r="I4924" s="128" t="s">
        <v>4325</v>
      </c>
      <c r="J4924" s="128" t="s">
        <v>1967</v>
      </c>
      <c r="K4924" s="128" t="s">
        <v>2702</v>
      </c>
      <c r="L4924" s="128" t="s">
        <v>2679</v>
      </c>
      <c r="M4924" s="128">
        <v>615563</v>
      </c>
      <c r="N4924" s="108"/>
      <c r="O4924" s="19"/>
      <c r="P4924" s="20" t="s">
        <v>4326</v>
      </c>
      <c r="Q4924" s="19" t="s">
        <v>4327</v>
      </c>
    </row>
    <row r="4925" spans="1:17" ht="24.9" customHeight="1">
      <c r="A4925" s="20"/>
      <c r="B4925" s="20" t="s">
        <v>5101</v>
      </c>
      <c r="C4925" s="20"/>
      <c r="D4925" s="20" t="s">
        <v>4325</v>
      </c>
      <c r="E4925" s="19">
        <f>VLOOKUP(D4925,'لیست پرسنل'!$B$2:$E$1020,3,FALSE)</f>
        <v>0</v>
      </c>
      <c r="F4925" s="19">
        <f>VLOOKUP(D4925,'لیست پرسنل'!$B$2:$E$1020,4,FALSE)</f>
        <v>0</v>
      </c>
      <c r="G4925" s="127">
        <f>VLOOKUP(D4925,'لیست پرسنل'!$B$2:$F$1020,2,FALSE)</f>
        <v>0</v>
      </c>
      <c r="H4925" s="126" t="s">
        <v>4325</v>
      </c>
      <c r="I4925" s="128" t="s">
        <v>4325</v>
      </c>
      <c r="J4925" s="128" t="s">
        <v>1967</v>
      </c>
      <c r="K4925" s="128" t="s">
        <v>2702</v>
      </c>
      <c r="L4925" s="128" t="s">
        <v>4370</v>
      </c>
      <c r="M4925" s="128">
        <v>615565</v>
      </c>
      <c r="N4925" s="108"/>
      <c r="O4925" s="19"/>
      <c r="P4925" s="20" t="s">
        <v>4326</v>
      </c>
      <c r="Q4925" s="19" t="s">
        <v>4327</v>
      </c>
    </row>
    <row r="4926" spans="1:17" ht="24.9" customHeight="1">
      <c r="A4926" s="20"/>
      <c r="B4926" s="20" t="s">
        <v>5101</v>
      </c>
      <c r="C4926" s="20"/>
      <c r="D4926" s="20" t="s">
        <v>4325</v>
      </c>
      <c r="E4926" s="19">
        <f>VLOOKUP(D4926,'لیست پرسنل'!$B$2:$E$1020,3,FALSE)</f>
        <v>0</v>
      </c>
      <c r="F4926" s="19">
        <f>VLOOKUP(D4926,'لیست پرسنل'!$B$2:$E$1020,4,FALSE)</f>
        <v>0</v>
      </c>
      <c r="G4926" s="127">
        <f>VLOOKUP(D4926,'لیست پرسنل'!$B$2:$F$1020,2,FALSE)</f>
        <v>0</v>
      </c>
      <c r="H4926" s="126" t="s">
        <v>4325</v>
      </c>
      <c r="I4926" s="128" t="s">
        <v>4325</v>
      </c>
      <c r="J4926" s="128" t="s">
        <v>1967</v>
      </c>
      <c r="K4926" s="128" t="s">
        <v>2702</v>
      </c>
      <c r="L4926" s="128" t="s">
        <v>2679</v>
      </c>
      <c r="M4926" s="128">
        <v>615570</v>
      </c>
      <c r="N4926" s="108"/>
      <c r="O4926" s="19" t="s">
        <v>4641</v>
      </c>
      <c r="P4926" s="20" t="s">
        <v>4326</v>
      </c>
      <c r="Q4926" s="19" t="s">
        <v>4327</v>
      </c>
    </row>
    <row r="4927" spans="1:17" ht="24.9" customHeight="1">
      <c r="A4927" s="20"/>
      <c r="B4927" s="20" t="s">
        <v>5101</v>
      </c>
      <c r="C4927" s="20"/>
      <c r="D4927" s="20" t="s">
        <v>4325</v>
      </c>
      <c r="E4927" s="19">
        <f>VLOOKUP(D4927,'لیست پرسنل'!$B$2:$E$1020,3,FALSE)</f>
        <v>0</v>
      </c>
      <c r="F4927" s="19">
        <f>VLOOKUP(D4927,'لیست پرسنل'!$B$2:$E$1020,4,FALSE)</f>
        <v>0</v>
      </c>
      <c r="G4927" s="127">
        <f>VLOOKUP(D4927,'لیست پرسنل'!$B$2:$F$1020,2,FALSE)</f>
        <v>0</v>
      </c>
      <c r="H4927" s="126" t="s">
        <v>4325</v>
      </c>
      <c r="I4927" s="128" t="s">
        <v>4325</v>
      </c>
      <c r="J4927" s="126" t="s">
        <v>368</v>
      </c>
      <c r="K4927" s="128" t="s">
        <v>2698</v>
      </c>
      <c r="L4927" s="130" t="s">
        <v>2652</v>
      </c>
      <c r="M4927" s="130">
        <v>620853</v>
      </c>
      <c r="N4927" s="108"/>
      <c r="O4927" s="19"/>
      <c r="P4927" s="20" t="s">
        <v>4326</v>
      </c>
      <c r="Q4927" s="19" t="s">
        <v>4327</v>
      </c>
    </row>
    <row r="4928" spans="1:17" ht="24.9" customHeight="1">
      <c r="A4928" s="20"/>
      <c r="B4928" s="20" t="s">
        <v>5101</v>
      </c>
      <c r="C4928" s="20"/>
      <c r="D4928" s="20" t="s">
        <v>4325</v>
      </c>
      <c r="E4928" s="19">
        <f>VLOOKUP(D4928,'لیست پرسنل'!$B$2:$E$1020,3,FALSE)</f>
        <v>0</v>
      </c>
      <c r="F4928" s="19">
        <f>VLOOKUP(D4928,'لیست پرسنل'!$B$2:$E$1020,4,FALSE)</f>
        <v>0</v>
      </c>
      <c r="G4928" s="127">
        <f>VLOOKUP(D4928,'لیست پرسنل'!$B$2:$F$1020,2,FALSE)</f>
        <v>0</v>
      </c>
      <c r="H4928" s="126" t="s">
        <v>4325</v>
      </c>
      <c r="I4928" s="128" t="s">
        <v>4325</v>
      </c>
      <c r="J4928" s="126" t="s">
        <v>368</v>
      </c>
      <c r="K4928" s="128" t="s">
        <v>2698</v>
      </c>
      <c r="L4928" s="130" t="s">
        <v>2652</v>
      </c>
      <c r="M4928" s="130">
        <v>620854</v>
      </c>
      <c r="N4928" s="108"/>
      <c r="O4928" s="19"/>
      <c r="P4928" s="20" t="s">
        <v>4326</v>
      </c>
      <c r="Q4928" s="19" t="s">
        <v>4327</v>
      </c>
    </row>
    <row r="4929" spans="1:17" ht="24.9" customHeight="1">
      <c r="A4929" s="20"/>
      <c r="B4929" s="20" t="s">
        <v>5101</v>
      </c>
      <c r="C4929" s="20"/>
      <c r="D4929" s="20" t="s">
        <v>4325</v>
      </c>
      <c r="E4929" s="19">
        <f>VLOOKUP(D4929,'لیست پرسنل'!$B$2:$E$1020,3,FALSE)</f>
        <v>0</v>
      </c>
      <c r="F4929" s="19">
        <f>VLOOKUP(D4929,'لیست پرسنل'!$B$2:$E$1020,4,FALSE)</f>
        <v>0</v>
      </c>
      <c r="G4929" s="127">
        <f>VLOOKUP(D4929,'لیست پرسنل'!$B$2:$F$1020,2,FALSE)</f>
        <v>0</v>
      </c>
      <c r="H4929" s="126" t="s">
        <v>4325</v>
      </c>
      <c r="I4929" s="128" t="s">
        <v>4325</v>
      </c>
      <c r="J4929" s="126" t="s">
        <v>368</v>
      </c>
      <c r="K4929" s="128" t="s">
        <v>2698</v>
      </c>
      <c r="L4929" s="130" t="s">
        <v>2652</v>
      </c>
      <c r="M4929" s="130">
        <v>620855</v>
      </c>
      <c r="N4929" s="108"/>
      <c r="O4929" s="19"/>
      <c r="P4929" s="20" t="s">
        <v>4326</v>
      </c>
      <c r="Q4929" s="19" t="s">
        <v>4327</v>
      </c>
    </row>
    <row r="4930" spans="1:17" ht="24.9" customHeight="1">
      <c r="A4930" s="20"/>
      <c r="B4930" s="20" t="s">
        <v>5101</v>
      </c>
      <c r="C4930" s="20"/>
      <c r="D4930" s="20" t="s">
        <v>4325</v>
      </c>
      <c r="E4930" s="19">
        <f>VLOOKUP(D4930,'لیست پرسنل'!$B$2:$E$1020,3,FALSE)</f>
        <v>0</v>
      </c>
      <c r="F4930" s="19">
        <f>VLOOKUP(D4930,'لیست پرسنل'!$B$2:$E$1020,4,FALSE)</f>
        <v>0</v>
      </c>
      <c r="G4930" s="127">
        <f>VLOOKUP(D4930,'لیست پرسنل'!$B$2:$F$1020,2,FALSE)</f>
        <v>0</v>
      </c>
      <c r="H4930" s="126" t="s">
        <v>4325</v>
      </c>
      <c r="I4930" s="128" t="s">
        <v>4325</v>
      </c>
      <c r="J4930" s="126" t="s">
        <v>368</v>
      </c>
      <c r="K4930" s="128" t="s">
        <v>2698</v>
      </c>
      <c r="L4930" s="130" t="s">
        <v>2652</v>
      </c>
      <c r="M4930" s="130">
        <v>620856</v>
      </c>
      <c r="N4930" s="108"/>
      <c r="O4930" s="19"/>
      <c r="P4930" s="20" t="s">
        <v>4326</v>
      </c>
      <c r="Q4930" s="19" t="s">
        <v>4327</v>
      </c>
    </row>
    <row r="4931" spans="1:17" ht="24.9" customHeight="1">
      <c r="A4931" s="20"/>
      <c r="B4931" s="20" t="s">
        <v>5101</v>
      </c>
      <c r="C4931" s="20"/>
      <c r="D4931" s="20" t="s">
        <v>4325</v>
      </c>
      <c r="E4931" s="19">
        <f>VLOOKUP(D4931,'لیست پرسنل'!$B$2:$E$1020,3,FALSE)</f>
        <v>0</v>
      </c>
      <c r="F4931" s="19">
        <f>VLOOKUP(D4931,'لیست پرسنل'!$B$2:$E$1020,4,FALSE)</f>
        <v>0</v>
      </c>
      <c r="G4931" s="127">
        <f>VLOOKUP(D4931,'لیست پرسنل'!$B$2:$F$1020,2,FALSE)</f>
        <v>0</v>
      </c>
      <c r="H4931" s="126" t="s">
        <v>4325</v>
      </c>
      <c r="I4931" s="128" t="s">
        <v>4325</v>
      </c>
      <c r="J4931" s="126" t="s">
        <v>368</v>
      </c>
      <c r="K4931" s="128" t="s">
        <v>2698</v>
      </c>
      <c r="L4931" s="130" t="s">
        <v>2652</v>
      </c>
      <c r="M4931" s="130">
        <v>620857</v>
      </c>
      <c r="N4931" s="108"/>
      <c r="O4931" s="19"/>
      <c r="P4931" s="20" t="s">
        <v>4326</v>
      </c>
      <c r="Q4931" s="19" t="s">
        <v>4327</v>
      </c>
    </row>
    <row r="4932" spans="1:17" ht="24.9" customHeight="1">
      <c r="A4932" s="20"/>
      <c r="B4932" s="20" t="s">
        <v>5101</v>
      </c>
      <c r="C4932" s="20"/>
      <c r="D4932" s="20" t="s">
        <v>4325</v>
      </c>
      <c r="E4932" s="19">
        <f>VLOOKUP(D4932,'لیست پرسنل'!$B$2:$E$1020,3,FALSE)</f>
        <v>0</v>
      </c>
      <c r="F4932" s="19">
        <f>VLOOKUP(D4932,'لیست پرسنل'!$B$2:$E$1020,4,FALSE)</f>
        <v>0</v>
      </c>
      <c r="G4932" s="127">
        <f>VLOOKUP(D4932,'لیست پرسنل'!$B$2:$F$1020,2,FALSE)</f>
        <v>0</v>
      </c>
      <c r="H4932" s="126" t="s">
        <v>4325</v>
      </c>
      <c r="I4932" s="128" t="s">
        <v>4325</v>
      </c>
      <c r="J4932" s="126" t="s">
        <v>368</v>
      </c>
      <c r="K4932" s="128" t="s">
        <v>1817</v>
      </c>
      <c r="L4932" s="151" t="s">
        <v>516</v>
      </c>
      <c r="M4932" s="127">
        <v>620862</v>
      </c>
      <c r="N4932" s="109"/>
      <c r="O4932" s="19" t="s">
        <v>4593</v>
      </c>
      <c r="P4932" s="19" t="s">
        <v>4326</v>
      </c>
      <c r="Q4932" s="19">
        <v>1401</v>
      </c>
    </row>
    <row r="4933" spans="1:17" ht="24.9" customHeight="1">
      <c r="A4933" s="20"/>
      <c r="B4933" s="20" t="s">
        <v>5101</v>
      </c>
      <c r="C4933" s="20"/>
      <c r="D4933" s="20" t="s">
        <v>4325</v>
      </c>
      <c r="E4933" s="19">
        <f>VLOOKUP(D4933,'لیست پرسنل'!$B$2:$E$1020,3,FALSE)</f>
        <v>0</v>
      </c>
      <c r="F4933" s="19">
        <f>VLOOKUP(D4933,'لیست پرسنل'!$B$2:$E$1020,4,FALSE)</f>
        <v>0</v>
      </c>
      <c r="G4933" s="127">
        <f>VLOOKUP(D4933,'لیست پرسنل'!$B$2:$F$1020,2,FALSE)</f>
        <v>0</v>
      </c>
      <c r="H4933" s="126" t="s">
        <v>4325</v>
      </c>
      <c r="I4933" s="128" t="s">
        <v>4325</v>
      </c>
      <c r="J4933" s="126" t="s">
        <v>368</v>
      </c>
      <c r="K4933" s="128" t="s">
        <v>1817</v>
      </c>
      <c r="L4933" s="151" t="s">
        <v>784</v>
      </c>
      <c r="M4933" s="127">
        <v>621036</v>
      </c>
      <c r="N4933" s="109"/>
      <c r="O4933" s="19"/>
      <c r="P4933" s="19" t="s">
        <v>4326</v>
      </c>
      <c r="Q4933" s="19">
        <v>1401</v>
      </c>
    </row>
    <row r="4934" spans="1:17" ht="24.9" customHeight="1">
      <c r="A4934" s="20"/>
      <c r="B4934" s="20" t="s">
        <v>5101</v>
      </c>
      <c r="C4934" s="20"/>
      <c r="D4934" s="20" t="s">
        <v>4325</v>
      </c>
      <c r="E4934" s="19">
        <f>VLOOKUP(D4934,'لیست پرسنل'!$B$2:$E$1020,3,FALSE)</f>
        <v>0</v>
      </c>
      <c r="F4934" s="19">
        <f>VLOOKUP(D4934,'لیست پرسنل'!$B$2:$E$1020,4,FALSE)</f>
        <v>0</v>
      </c>
      <c r="G4934" s="127">
        <f>VLOOKUP(D4934,'لیست پرسنل'!$B$2:$F$1020,2,FALSE)</f>
        <v>0</v>
      </c>
      <c r="H4934" s="126" t="s">
        <v>4325</v>
      </c>
      <c r="I4934" s="128" t="s">
        <v>4325</v>
      </c>
      <c r="J4934" s="126" t="s">
        <v>368</v>
      </c>
      <c r="K4934" s="128" t="s">
        <v>2846</v>
      </c>
      <c r="L4934" s="151" t="s">
        <v>2021</v>
      </c>
      <c r="M4934" s="127">
        <v>627198</v>
      </c>
      <c r="N4934" s="109"/>
      <c r="O4934" s="19"/>
      <c r="P4934" s="19" t="s">
        <v>4326</v>
      </c>
      <c r="Q4934" s="19">
        <v>1401</v>
      </c>
    </row>
    <row r="4935" spans="1:17" ht="24.9" customHeight="1">
      <c r="A4935" s="20"/>
      <c r="B4935" s="20" t="s">
        <v>5101</v>
      </c>
      <c r="C4935" s="20"/>
      <c r="D4935" s="20" t="s">
        <v>4325</v>
      </c>
      <c r="E4935" s="19">
        <f>VLOOKUP(D4935,'لیست پرسنل'!$B$2:$E$1020,3,FALSE)</f>
        <v>0</v>
      </c>
      <c r="F4935" s="19">
        <f>VLOOKUP(D4935,'لیست پرسنل'!$B$2:$E$1020,4,FALSE)</f>
        <v>0</v>
      </c>
      <c r="G4935" s="127">
        <f>VLOOKUP(D4935,'لیست پرسنل'!$B$2:$F$1020,2,FALSE)</f>
        <v>0</v>
      </c>
      <c r="H4935" s="126" t="s">
        <v>4325</v>
      </c>
      <c r="I4935" s="128" t="s">
        <v>4325</v>
      </c>
      <c r="J4935" s="128" t="s">
        <v>5366</v>
      </c>
      <c r="K4935" s="128" t="s">
        <v>1548</v>
      </c>
      <c r="L4935" s="127"/>
      <c r="M4935" s="128">
        <v>600013</v>
      </c>
      <c r="N4935" s="108"/>
      <c r="O4935" s="19" t="s">
        <v>4332</v>
      </c>
      <c r="P4935" s="20" t="s">
        <v>4326</v>
      </c>
      <c r="Q4935" s="19">
        <v>1398</v>
      </c>
    </row>
    <row r="4936" spans="1:17" ht="24.9" customHeight="1">
      <c r="A4936" s="20"/>
      <c r="B4936" s="20" t="s">
        <v>5101</v>
      </c>
      <c r="C4936" s="20"/>
      <c r="D4936" s="20" t="s">
        <v>4325</v>
      </c>
      <c r="E4936" s="19">
        <f>VLOOKUP(D4936,'لیست پرسنل'!$B$2:$E$1020,3,FALSE)</f>
        <v>0</v>
      </c>
      <c r="F4936" s="19">
        <f>VLOOKUP(D4936,'لیست پرسنل'!$B$2:$E$1020,4,FALSE)</f>
        <v>0</v>
      </c>
      <c r="G4936" s="127">
        <f>VLOOKUP(D4936,'لیست پرسنل'!$B$2:$F$1020,2,FALSE)</f>
        <v>0</v>
      </c>
      <c r="H4936" s="126" t="s">
        <v>4325</v>
      </c>
      <c r="I4936" s="128" t="s">
        <v>4325</v>
      </c>
      <c r="J4936" s="128" t="s">
        <v>5366</v>
      </c>
      <c r="K4936" s="128" t="s">
        <v>1554</v>
      </c>
      <c r="L4936" s="127"/>
      <c r="M4936" s="128">
        <v>603205</v>
      </c>
      <c r="N4936" s="108"/>
      <c r="O4936" s="19" t="s">
        <v>4332</v>
      </c>
      <c r="P4936" s="20" t="s">
        <v>4326</v>
      </c>
      <c r="Q4936" s="19">
        <v>1398</v>
      </c>
    </row>
    <row r="4937" spans="1:17" ht="24.9" customHeight="1">
      <c r="A4937" s="20"/>
      <c r="B4937" s="20" t="s">
        <v>5101</v>
      </c>
      <c r="C4937" s="20"/>
      <c r="D4937" s="20" t="s">
        <v>4325</v>
      </c>
      <c r="E4937" s="19">
        <f>VLOOKUP(D4937,'لیست پرسنل'!$B$2:$E$1020,3,FALSE)</f>
        <v>0</v>
      </c>
      <c r="F4937" s="19">
        <f>VLOOKUP(D4937,'لیست پرسنل'!$B$2:$E$1020,4,FALSE)</f>
        <v>0</v>
      </c>
      <c r="G4937" s="127">
        <f>VLOOKUP(D4937,'لیست پرسنل'!$B$2:$F$1020,2,FALSE)</f>
        <v>0</v>
      </c>
      <c r="H4937" s="126" t="s">
        <v>4325</v>
      </c>
      <c r="I4937" s="128" t="s">
        <v>4325</v>
      </c>
      <c r="J4937" s="128" t="s">
        <v>5366</v>
      </c>
      <c r="K4937" s="128" t="s">
        <v>8246</v>
      </c>
      <c r="L4937" s="127"/>
      <c r="M4937" s="128">
        <v>614462</v>
      </c>
      <c r="N4937" s="108"/>
      <c r="O4937" s="19" t="s">
        <v>4332</v>
      </c>
      <c r="P4937" s="20" t="s">
        <v>4326</v>
      </c>
      <c r="Q4937" s="19">
        <v>1398</v>
      </c>
    </row>
    <row r="4938" spans="1:17" ht="24.9" customHeight="1">
      <c r="A4938" s="20"/>
      <c r="B4938" s="20" t="s">
        <v>5101</v>
      </c>
      <c r="C4938" s="20"/>
      <c r="D4938" s="20" t="s">
        <v>4325</v>
      </c>
      <c r="E4938" s="19">
        <f>VLOOKUP(D4938,'لیست پرسنل'!$B$2:$E$1020,3,FALSE)</f>
        <v>0</v>
      </c>
      <c r="F4938" s="19">
        <f>VLOOKUP(D4938,'لیست پرسنل'!$B$2:$E$1020,4,FALSE)</f>
        <v>0</v>
      </c>
      <c r="G4938" s="127">
        <f>VLOOKUP(D4938,'لیست پرسنل'!$B$2:$F$1020,2,FALSE)</f>
        <v>0</v>
      </c>
      <c r="H4938" s="126" t="s">
        <v>4325</v>
      </c>
      <c r="I4938" s="128" t="s">
        <v>4325</v>
      </c>
      <c r="J4938" s="128" t="s">
        <v>4330</v>
      </c>
      <c r="K4938" s="128" t="s">
        <v>3197</v>
      </c>
      <c r="L4938" s="130" t="s">
        <v>2652</v>
      </c>
      <c r="M4938" s="130">
        <v>614017</v>
      </c>
      <c r="N4938" s="108"/>
      <c r="O4938" s="19"/>
      <c r="P4938" s="20" t="s">
        <v>4326</v>
      </c>
      <c r="Q4938" s="19" t="s">
        <v>4327</v>
      </c>
    </row>
    <row r="4939" spans="1:17" ht="24.9" customHeight="1">
      <c r="A4939" s="20"/>
      <c r="B4939" s="20" t="s">
        <v>5101</v>
      </c>
      <c r="C4939" s="20"/>
      <c r="D4939" s="20" t="s">
        <v>4325</v>
      </c>
      <c r="E4939" s="19">
        <f>VLOOKUP(D4939,'لیست پرسنل'!$B$2:$E$1020,3,FALSE)</f>
        <v>0</v>
      </c>
      <c r="F4939" s="19">
        <f>VLOOKUP(D4939,'لیست پرسنل'!$B$2:$E$1020,4,FALSE)</f>
        <v>0</v>
      </c>
      <c r="G4939" s="127">
        <f>VLOOKUP(D4939,'لیست پرسنل'!$B$2:$F$1020,2,FALSE)</f>
        <v>0</v>
      </c>
      <c r="H4939" s="126" t="s">
        <v>4325</v>
      </c>
      <c r="I4939" s="128" t="s">
        <v>4325</v>
      </c>
      <c r="J4939" s="128" t="s">
        <v>3938</v>
      </c>
      <c r="K4939" s="128" t="s">
        <v>655</v>
      </c>
      <c r="L4939" s="151" t="s">
        <v>633</v>
      </c>
      <c r="M4939" s="127">
        <v>613144</v>
      </c>
      <c r="N4939" s="109"/>
      <c r="O4939" s="19" t="s">
        <v>1598</v>
      </c>
      <c r="P4939" s="19" t="s">
        <v>4326</v>
      </c>
      <c r="Q4939" s="19">
        <v>1400</v>
      </c>
    </row>
    <row r="4940" spans="1:17" ht="24.9" customHeight="1">
      <c r="A4940" s="20"/>
      <c r="B4940" s="20" t="s">
        <v>5101</v>
      </c>
      <c r="C4940" s="20"/>
      <c r="D4940" s="20" t="s">
        <v>4325</v>
      </c>
      <c r="E4940" s="19">
        <f>VLOOKUP(D4940,'لیست پرسنل'!$B$2:$E$1020,3,FALSE)</f>
        <v>0</v>
      </c>
      <c r="F4940" s="19">
        <f>VLOOKUP(D4940,'لیست پرسنل'!$B$2:$E$1020,4,FALSE)</f>
        <v>0</v>
      </c>
      <c r="G4940" s="127">
        <f>VLOOKUP(D4940,'لیست پرسنل'!$B$2:$F$1020,2,FALSE)</f>
        <v>0</v>
      </c>
      <c r="H4940" s="126" t="s">
        <v>4325</v>
      </c>
      <c r="I4940" s="128" t="s">
        <v>4325</v>
      </c>
      <c r="J4940" s="128" t="s">
        <v>3938</v>
      </c>
      <c r="K4940" s="128" t="s">
        <v>3345</v>
      </c>
      <c r="L4940" s="128" t="s">
        <v>4365</v>
      </c>
      <c r="M4940" s="127">
        <v>616508</v>
      </c>
      <c r="N4940" s="108"/>
      <c r="O4940" s="19"/>
      <c r="P4940" s="20" t="s">
        <v>4326</v>
      </c>
      <c r="Q4940" s="19" t="s">
        <v>4327</v>
      </c>
    </row>
    <row r="4941" spans="1:17" ht="24.9" customHeight="1">
      <c r="A4941" s="20"/>
      <c r="B4941" s="20" t="s">
        <v>5101</v>
      </c>
      <c r="C4941" s="20"/>
      <c r="D4941" s="20" t="s">
        <v>4325</v>
      </c>
      <c r="E4941" s="19">
        <f>VLOOKUP(D4941,'لیست پرسنل'!$B$2:$E$1020,3,FALSE)</f>
        <v>0</v>
      </c>
      <c r="F4941" s="19">
        <f>VLOOKUP(D4941,'لیست پرسنل'!$B$2:$E$1020,4,FALSE)</f>
        <v>0</v>
      </c>
      <c r="G4941" s="127">
        <f>VLOOKUP(D4941,'لیست پرسنل'!$B$2:$F$1020,2,FALSE)</f>
        <v>0</v>
      </c>
      <c r="H4941" s="126" t="s">
        <v>4325</v>
      </c>
      <c r="I4941" s="128" t="s">
        <v>4325</v>
      </c>
      <c r="J4941" s="128" t="s">
        <v>3480</v>
      </c>
      <c r="K4941" s="128" t="s">
        <v>1545</v>
      </c>
      <c r="L4941" s="127"/>
      <c r="M4941" s="128">
        <v>600419</v>
      </c>
      <c r="N4941" s="108"/>
      <c r="O4941" s="19" t="s">
        <v>4332</v>
      </c>
      <c r="P4941" s="20" t="s">
        <v>4326</v>
      </c>
      <c r="Q4941" s="19">
        <v>1398</v>
      </c>
    </row>
    <row r="4942" spans="1:17" ht="24.9" customHeight="1">
      <c r="A4942" s="20"/>
      <c r="B4942" s="20" t="s">
        <v>5101</v>
      </c>
      <c r="C4942" s="20"/>
      <c r="D4942" s="20" t="s">
        <v>4325</v>
      </c>
      <c r="E4942" s="19">
        <f>VLOOKUP(D4942,'لیست پرسنل'!$B$2:$E$1020,3,FALSE)</f>
        <v>0</v>
      </c>
      <c r="F4942" s="19">
        <f>VLOOKUP(D4942,'لیست پرسنل'!$B$2:$E$1020,4,FALSE)</f>
        <v>0</v>
      </c>
      <c r="G4942" s="127">
        <f>VLOOKUP(D4942,'لیست پرسنل'!$B$2:$F$1020,2,FALSE)</f>
        <v>0</v>
      </c>
      <c r="H4942" s="126" t="s">
        <v>4325</v>
      </c>
      <c r="I4942" s="128" t="s">
        <v>4325</v>
      </c>
      <c r="J4942" s="128" t="s">
        <v>3480</v>
      </c>
      <c r="K4942" s="128" t="s">
        <v>3346</v>
      </c>
      <c r="L4942" s="130" t="s">
        <v>2652</v>
      </c>
      <c r="M4942" s="127">
        <v>613479</v>
      </c>
      <c r="N4942" s="108"/>
      <c r="O4942" s="19"/>
      <c r="P4942" s="20" t="s">
        <v>4326</v>
      </c>
      <c r="Q4942" s="19" t="s">
        <v>4327</v>
      </c>
    </row>
    <row r="4943" spans="1:17" ht="24.9" customHeight="1">
      <c r="A4943" s="20"/>
      <c r="B4943" s="20" t="s">
        <v>5101</v>
      </c>
      <c r="C4943" s="20"/>
      <c r="D4943" s="20" t="s">
        <v>4325</v>
      </c>
      <c r="E4943" s="19">
        <f>VLOOKUP(D4943,'لیست پرسنل'!$B$2:$E$1020,3,FALSE)</f>
        <v>0</v>
      </c>
      <c r="F4943" s="19">
        <f>VLOOKUP(D4943,'لیست پرسنل'!$B$2:$E$1020,4,FALSE)</f>
        <v>0</v>
      </c>
      <c r="G4943" s="127">
        <f>VLOOKUP(D4943,'لیست پرسنل'!$B$2:$F$1020,2,FALSE)</f>
        <v>0</v>
      </c>
      <c r="H4943" s="126" t="s">
        <v>4325</v>
      </c>
      <c r="I4943" s="128" t="s">
        <v>4325</v>
      </c>
      <c r="J4943" s="128" t="s">
        <v>3480</v>
      </c>
      <c r="K4943" s="128" t="s">
        <v>3186</v>
      </c>
      <c r="L4943" s="127" t="s">
        <v>2652</v>
      </c>
      <c r="M4943" s="127">
        <v>615586</v>
      </c>
      <c r="N4943" s="109"/>
      <c r="O4943" s="19"/>
      <c r="P4943" s="19" t="s">
        <v>4326</v>
      </c>
      <c r="Q4943" s="19" t="s">
        <v>4327</v>
      </c>
    </row>
    <row r="4944" spans="1:17" ht="24.9" customHeight="1">
      <c r="A4944" s="20"/>
      <c r="B4944" s="20" t="s">
        <v>5101</v>
      </c>
      <c r="C4944" s="20"/>
      <c r="D4944" s="20" t="s">
        <v>4325</v>
      </c>
      <c r="E4944" s="19">
        <f>VLOOKUP(D4944,'لیست پرسنل'!$B$2:$E$1020,3,FALSE)</f>
        <v>0</v>
      </c>
      <c r="F4944" s="19">
        <f>VLOOKUP(D4944,'لیست پرسنل'!$B$2:$E$1020,4,FALSE)</f>
        <v>0</v>
      </c>
      <c r="G4944" s="127">
        <f>VLOOKUP(D4944,'لیست پرسنل'!$B$2:$F$1020,2,FALSE)</f>
        <v>0</v>
      </c>
      <c r="H4944" s="126" t="s">
        <v>4325</v>
      </c>
      <c r="I4944" s="128" t="s">
        <v>4325</v>
      </c>
      <c r="J4944" s="128" t="s">
        <v>885</v>
      </c>
      <c r="K4944" s="128" t="s">
        <v>1520</v>
      </c>
      <c r="L4944" s="127"/>
      <c r="M4944" s="128">
        <v>602531</v>
      </c>
      <c r="N4944" s="108"/>
      <c r="O4944" s="19" t="s">
        <v>4332</v>
      </c>
      <c r="P4944" s="20" t="s">
        <v>4326</v>
      </c>
      <c r="Q4944" s="19">
        <v>1398</v>
      </c>
    </row>
    <row r="4945" spans="1:17" ht="24.9" customHeight="1">
      <c r="A4945" s="20"/>
      <c r="B4945" s="20" t="s">
        <v>5101</v>
      </c>
      <c r="C4945" s="20"/>
      <c r="D4945" s="20" t="s">
        <v>4325</v>
      </c>
      <c r="E4945" s="19">
        <f>VLOOKUP(D4945,'لیست پرسنل'!$B$2:$E$1020,3,FALSE)</f>
        <v>0</v>
      </c>
      <c r="F4945" s="19">
        <f>VLOOKUP(D4945,'لیست پرسنل'!$B$2:$E$1020,4,FALSE)</f>
        <v>0</v>
      </c>
      <c r="G4945" s="127">
        <f>VLOOKUP(D4945,'لیست پرسنل'!$B$2:$F$1020,2,FALSE)</f>
        <v>0</v>
      </c>
      <c r="H4945" s="126" t="s">
        <v>4325</v>
      </c>
      <c r="I4945" s="128" t="s">
        <v>4325</v>
      </c>
      <c r="J4945" s="128" t="s">
        <v>885</v>
      </c>
      <c r="K4945" s="128" t="s">
        <v>1519</v>
      </c>
      <c r="L4945" s="127"/>
      <c r="M4945" s="128">
        <v>604198</v>
      </c>
      <c r="N4945" s="108"/>
      <c r="O4945" s="19" t="s">
        <v>4332</v>
      </c>
      <c r="P4945" s="20" t="s">
        <v>4326</v>
      </c>
      <c r="Q4945" s="19">
        <v>1398</v>
      </c>
    </row>
    <row r="4946" spans="1:17" ht="24.9" customHeight="1">
      <c r="A4946" s="20"/>
      <c r="B4946" s="20" t="s">
        <v>5101</v>
      </c>
      <c r="C4946" s="20"/>
      <c r="D4946" s="20" t="s">
        <v>4325</v>
      </c>
      <c r="E4946" s="19">
        <f>VLOOKUP(D4946,'لیست پرسنل'!$B$2:$E$1020,3,FALSE)</f>
        <v>0</v>
      </c>
      <c r="F4946" s="19">
        <f>VLOOKUP(D4946,'لیست پرسنل'!$B$2:$E$1020,4,FALSE)</f>
        <v>0</v>
      </c>
      <c r="G4946" s="127">
        <f>VLOOKUP(D4946,'لیست پرسنل'!$B$2:$F$1020,2,FALSE)</f>
        <v>0</v>
      </c>
      <c r="H4946" s="126" t="s">
        <v>4325</v>
      </c>
      <c r="I4946" s="128" t="s">
        <v>4325</v>
      </c>
      <c r="J4946" s="128" t="s">
        <v>885</v>
      </c>
      <c r="K4946" s="128" t="s">
        <v>1518</v>
      </c>
      <c r="L4946" s="127"/>
      <c r="M4946" s="128">
        <v>606816</v>
      </c>
      <c r="N4946" s="108"/>
      <c r="O4946" s="19" t="s">
        <v>4332</v>
      </c>
      <c r="P4946" s="20" t="s">
        <v>4326</v>
      </c>
      <c r="Q4946" s="19">
        <v>1398</v>
      </c>
    </row>
    <row r="4947" spans="1:17" ht="24.9" customHeight="1">
      <c r="A4947" s="20"/>
      <c r="B4947" s="20" t="s">
        <v>5101</v>
      </c>
      <c r="C4947" s="20"/>
      <c r="D4947" s="20" t="s">
        <v>4325</v>
      </c>
      <c r="E4947" s="19">
        <f>VLOOKUP(D4947,'لیست پرسنل'!$B$2:$E$1020,3,FALSE)</f>
        <v>0</v>
      </c>
      <c r="F4947" s="19">
        <f>VLOOKUP(D4947,'لیست پرسنل'!$B$2:$E$1020,4,FALSE)</f>
        <v>0</v>
      </c>
      <c r="G4947" s="127">
        <f>VLOOKUP(D4947,'لیست پرسنل'!$B$2:$F$1020,2,FALSE)</f>
        <v>0</v>
      </c>
      <c r="H4947" s="126" t="s">
        <v>4325</v>
      </c>
      <c r="I4947" s="128" t="s">
        <v>4325</v>
      </c>
      <c r="J4947" s="128" t="s">
        <v>885</v>
      </c>
      <c r="K4947" s="128" t="s">
        <v>1517</v>
      </c>
      <c r="L4947" s="127"/>
      <c r="M4947" s="128">
        <v>607505</v>
      </c>
      <c r="N4947" s="108"/>
      <c r="O4947" s="19" t="s">
        <v>4332</v>
      </c>
      <c r="P4947" s="20" t="s">
        <v>4326</v>
      </c>
      <c r="Q4947" s="19">
        <v>1398</v>
      </c>
    </row>
    <row r="4948" spans="1:17" ht="24.9" customHeight="1">
      <c r="A4948" s="20"/>
      <c r="B4948" s="20" t="s">
        <v>5101</v>
      </c>
      <c r="C4948" s="20"/>
      <c r="D4948" s="20" t="s">
        <v>4325</v>
      </c>
      <c r="E4948" s="19">
        <f>VLOOKUP(D4948,'لیست پرسنل'!$B$2:$E$1020,3,FALSE)</f>
        <v>0</v>
      </c>
      <c r="F4948" s="19">
        <f>VLOOKUP(D4948,'لیست پرسنل'!$B$2:$E$1020,4,FALSE)</f>
        <v>0</v>
      </c>
      <c r="G4948" s="127">
        <f>VLOOKUP(D4948,'لیست پرسنل'!$B$2:$F$1020,2,FALSE)</f>
        <v>0</v>
      </c>
      <c r="H4948" s="126" t="s">
        <v>4325</v>
      </c>
      <c r="I4948" s="128" t="s">
        <v>4325</v>
      </c>
      <c r="J4948" s="128" t="s">
        <v>885</v>
      </c>
      <c r="K4948" s="128" t="s">
        <v>1516</v>
      </c>
      <c r="L4948" s="127"/>
      <c r="M4948" s="128">
        <v>608900</v>
      </c>
      <c r="N4948" s="108"/>
      <c r="O4948" s="19" t="s">
        <v>4332</v>
      </c>
      <c r="P4948" s="20" t="s">
        <v>4326</v>
      </c>
      <c r="Q4948" s="19">
        <v>1398</v>
      </c>
    </row>
    <row r="4949" spans="1:17" ht="24.9" customHeight="1">
      <c r="A4949" s="20"/>
      <c r="B4949" s="20" t="s">
        <v>5101</v>
      </c>
      <c r="C4949" s="20"/>
      <c r="D4949" s="20" t="s">
        <v>4325</v>
      </c>
      <c r="E4949" s="19">
        <f>VLOOKUP(D4949,'لیست پرسنل'!$B$2:$E$1020,3,FALSE)</f>
        <v>0</v>
      </c>
      <c r="F4949" s="19">
        <f>VLOOKUP(D4949,'لیست پرسنل'!$B$2:$E$1020,4,FALSE)</f>
        <v>0</v>
      </c>
      <c r="G4949" s="127">
        <f>VLOOKUP(D4949,'لیست پرسنل'!$B$2:$F$1020,2,FALSE)</f>
        <v>0</v>
      </c>
      <c r="H4949" s="126" t="s">
        <v>4325</v>
      </c>
      <c r="I4949" s="128" t="s">
        <v>4325</v>
      </c>
      <c r="J4949" s="128" t="s">
        <v>885</v>
      </c>
      <c r="K4949" s="128" t="s">
        <v>1525</v>
      </c>
      <c r="L4949" s="127"/>
      <c r="M4949" s="128">
        <v>609659</v>
      </c>
      <c r="N4949" s="108"/>
      <c r="O4949" s="19" t="s">
        <v>4332</v>
      </c>
      <c r="P4949" s="20" t="s">
        <v>4326</v>
      </c>
      <c r="Q4949" s="19">
        <v>1398</v>
      </c>
    </row>
    <row r="4950" spans="1:17" ht="24.9" customHeight="1">
      <c r="A4950" s="20"/>
      <c r="B4950" s="20" t="s">
        <v>5101</v>
      </c>
      <c r="C4950" s="20"/>
      <c r="D4950" s="20" t="s">
        <v>4325</v>
      </c>
      <c r="E4950" s="19">
        <f>VLOOKUP(D4950,'لیست پرسنل'!$B$2:$E$1020,3,FALSE)</f>
        <v>0</v>
      </c>
      <c r="F4950" s="19">
        <f>VLOOKUP(D4950,'لیست پرسنل'!$B$2:$E$1020,4,FALSE)</f>
        <v>0</v>
      </c>
      <c r="G4950" s="127">
        <f>VLOOKUP(D4950,'لیست پرسنل'!$B$2:$F$1020,2,FALSE)</f>
        <v>0</v>
      </c>
      <c r="H4950" s="126" t="s">
        <v>4325</v>
      </c>
      <c r="I4950" s="128" t="s">
        <v>4325</v>
      </c>
      <c r="J4950" s="128" t="s">
        <v>885</v>
      </c>
      <c r="K4950" s="128" t="s">
        <v>1516</v>
      </c>
      <c r="L4950" s="127"/>
      <c r="M4950" s="128">
        <v>610186</v>
      </c>
      <c r="N4950" s="108"/>
      <c r="O4950" s="19" t="s">
        <v>4332</v>
      </c>
      <c r="P4950" s="20" t="s">
        <v>4326</v>
      </c>
      <c r="Q4950" s="19">
        <v>1398</v>
      </c>
    </row>
    <row r="4951" spans="1:17" ht="24.9" customHeight="1">
      <c r="A4951" s="20"/>
      <c r="B4951" s="20" t="s">
        <v>5101</v>
      </c>
      <c r="C4951" s="20"/>
      <c r="D4951" s="20" t="s">
        <v>4325</v>
      </c>
      <c r="E4951" s="19">
        <f>VLOOKUP(D4951,'لیست پرسنل'!$B$2:$E$1020,3,FALSE)</f>
        <v>0</v>
      </c>
      <c r="F4951" s="19">
        <f>VLOOKUP(D4951,'لیست پرسنل'!$B$2:$E$1020,4,FALSE)</f>
        <v>0</v>
      </c>
      <c r="G4951" s="127">
        <f>VLOOKUP(D4951,'لیست پرسنل'!$B$2:$F$1020,2,FALSE)</f>
        <v>0</v>
      </c>
      <c r="H4951" s="126" t="s">
        <v>4325</v>
      </c>
      <c r="I4951" s="128" t="s">
        <v>4325</v>
      </c>
      <c r="J4951" s="128" t="s">
        <v>885</v>
      </c>
      <c r="K4951" s="128" t="s">
        <v>1526</v>
      </c>
      <c r="L4951" s="127"/>
      <c r="M4951" s="128">
        <v>610665</v>
      </c>
      <c r="N4951" s="108"/>
      <c r="O4951" s="19" t="s">
        <v>4332</v>
      </c>
      <c r="P4951" s="20" t="s">
        <v>4326</v>
      </c>
      <c r="Q4951" s="19">
        <v>1398</v>
      </c>
    </row>
    <row r="4952" spans="1:17" ht="24.9" customHeight="1">
      <c r="A4952" s="20"/>
      <c r="B4952" s="20" t="s">
        <v>5101</v>
      </c>
      <c r="C4952" s="20"/>
      <c r="D4952" s="19" t="s">
        <v>4325</v>
      </c>
      <c r="E4952" s="19">
        <f>VLOOKUP(D4952,'لیست پرسنل'!$B$2:$E$1020,3,FALSE)</f>
        <v>0</v>
      </c>
      <c r="F4952" s="19">
        <f>VLOOKUP(D4952,'لیست پرسنل'!$B$2:$E$1020,4,FALSE)</f>
        <v>0</v>
      </c>
      <c r="G4952" s="127">
        <f>VLOOKUP(D4952,'لیست پرسنل'!$B$2:$F$1020,2,FALSE)</f>
        <v>0</v>
      </c>
      <c r="H4952" s="127" t="s">
        <v>4325</v>
      </c>
      <c r="I4952" s="127" t="s">
        <v>4325</v>
      </c>
      <c r="J4952" s="128" t="s">
        <v>885</v>
      </c>
      <c r="K4952" s="128" t="s">
        <v>3500</v>
      </c>
      <c r="L4952" s="127" t="s">
        <v>73</v>
      </c>
      <c r="M4952" s="127">
        <v>612253</v>
      </c>
      <c r="N4952" s="109"/>
      <c r="O4952" s="19" t="s">
        <v>5105</v>
      </c>
      <c r="P4952" s="19"/>
      <c r="Q4952" s="20"/>
    </row>
    <row r="4953" spans="1:17" ht="24.9" customHeight="1">
      <c r="A4953" s="20"/>
      <c r="B4953" s="20" t="s">
        <v>5101</v>
      </c>
      <c r="C4953" s="20"/>
      <c r="D4953" s="20" t="s">
        <v>4325</v>
      </c>
      <c r="E4953" s="19">
        <f>VLOOKUP(D4953,'لیست پرسنل'!$B$2:$E$1020,3,FALSE)</f>
        <v>0</v>
      </c>
      <c r="F4953" s="19">
        <f>VLOOKUP(D4953,'لیست پرسنل'!$B$2:$E$1020,4,FALSE)</f>
        <v>0</v>
      </c>
      <c r="G4953" s="127">
        <f>VLOOKUP(D4953,'لیست پرسنل'!$B$2:$F$1020,2,FALSE)</f>
        <v>0</v>
      </c>
      <c r="H4953" s="126" t="s">
        <v>4325</v>
      </c>
      <c r="I4953" s="128" t="s">
        <v>4325</v>
      </c>
      <c r="J4953" s="128" t="s">
        <v>885</v>
      </c>
      <c r="K4953" s="128" t="s">
        <v>1527</v>
      </c>
      <c r="L4953" s="127"/>
      <c r="M4953" s="128">
        <v>612392</v>
      </c>
      <c r="N4953" s="108"/>
      <c r="O4953" s="19" t="s">
        <v>4332</v>
      </c>
      <c r="P4953" s="20" t="s">
        <v>4326</v>
      </c>
      <c r="Q4953" s="19">
        <v>1398</v>
      </c>
    </row>
    <row r="4954" spans="1:17" ht="24.9" customHeight="1">
      <c r="A4954" s="20"/>
      <c r="B4954" s="20" t="s">
        <v>5101</v>
      </c>
      <c r="C4954" s="20"/>
      <c r="D4954" s="20" t="s">
        <v>4325</v>
      </c>
      <c r="E4954" s="19">
        <f>VLOOKUP(D4954,'لیست پرسنل'!$B$2:$E$1020,3,FALSE)</f>
        <v>0</v>
      </c>
      <c r="F4954" s="19">
        <f>VLOOKUP(D4954,'لیست پرسنل'!$B$2:$E$1020,4,FALSE)</f>
        <v>0</v>
      </c>
      <c r="G4954" s="127">
        <f>VLOOKUP(D4954,'لیست پرسنل'!$B$2:$F$1020,2,FALSE)</f>
        <v>0</v>
      </c>
      <c r="H4954" s="126" t="s">
        <v>4325</v>
      </c>
      <c r="I4954" s="128" t="s">
        <v>4325</v>
      </c>
      <c r="J4954" s="128" t="s">
        <v>3481</v>
      </c>
      <c r="K4954" s="128" t="s">
        <v>3178</v>
      </c>
      <c r="L4954" s="130" t="s">
        <v>2652</v>
      </c>
      <c r="M4954" s="130">
        <v>610130</v>
      </c>
      <c r="N4954" s="108"/>
      <c r="O4954" s="19"/>
      <c r="P4954" s="20" t="s">
        <v>4326</v>
      </c>
      <c r="Q4954" s="19" t="s">
        <v>4327</v>
      </c>
    </row>
    <row r="4955" spans="1:17" ht="24.9" customHeight="1">
      <c r="A4955" s="20"/>
      <c r="B4955" s="20" t="s">
        <v>5101</v>
      </c>
      <c r="C4955" s="20"/>
      <c r="D4955" s="20" t="s">
        <v>4325</v>
      </c>
      <c r="E4955" s="19">
        <f>VLOOKUP(D4955,'لیست پرسنل'!$B$2:$E$1020,3,FALSE)</f>
        <v>0</v>
      </c>
      <c r="F4955" s="19">
        <f>VLOOKUP(D4955,'لیست پرسنل'!$B$2:$E$1020,4,FALSE)</f>
        <v>0</v>
      </c>
      <c r="G4955" s="127">
        <f>VLOOKUP(D4955,'لیست پرسنل'!$B$2:$F$1020,2,FALSE)</f>
        <v>0</v>
      </c>
      <c r="H4955" s="126" t="s">
        <v>4325</v>
      </c>
      <c r="I4955" s="128" t="s">
        <v>4325</v>
      </c>
      <c r="J4955" s="128" t="s">
        <v>3481</v>
      </c>
      <c r="K4955" s="128" t="s">
        <v>3184</v>
      </c>
      <c r="L4955" s="130" t="s">
        <v>2652</v>
      </c>
      <c r="M4955" s="130">
        <v>612414</v>
      </c>
      <c r="N4955" s="108"/>
      <c r="O4955" s="19"/>
      <c r="P4955" s="20" t="s">
        <v>4326</v>
      </c>
      <c r="Q4955" s="19" t="s">
        <v>4327</v>
      </c>
    </row>
    <row r="4956" spans="1:17" ht="24.9" customHeight="1">
      <c r="A4956" s="20"/>
      <c r="B4956" s="20" t="s">
        <v>5101</v>
      </c>
      <c r="C4956" s="20"/>
      <c r="D4956" s="20" t="s">
        <v>4325</v>
      </c>
      <c r="E4956" s="19">
        <f>VLOOKUP(D4956,'لیست پرسنل'!$B$2:$E$1020,3,FALSE)</f>
        <v>0</v>
      </c>
      <c r="F4956" s="19">
        <f>VLOOKUP(D4956,'لیست پرسنل'!$B$2:$E$1020,4,FALSE)</f>
        <v>0</v>
      </c>
      <c r="G4956" s="127">
        <f>VLOOKUP(D4956,'لیست پرسنل'!$B$2:$F$1020,2,FALSE)</f>
        <v>0</v>
      </c>
      <c r="H4956" s="126" t="s">
        <v>4325</v>
      </c>
      <c r="I4956" s="128" t="s">
        <v>4325</v>
      </c>
      <c r="J4956" s="128" t="s">
        <v>3481</v>
      </c>
      <c r="K4956" s="128" t="s">
        <v>3185</v>
      </c>
      <c r="L4956" s="130" t="s">
        <v>2652</v>
      </c>
      <c r="M4956" s="130">
        <v>612415</v>
      </c>
      <c r="N4956" s="108"/>
      <c r="O4956" s="19"/>
      <c r="P4956" s="20" t="s">
        <v>4326</v>
      </c>
      <c r="Q4956" s="19" t="s">
        <v>4327</v>
      </c>
    </row>
    <row r="4957" spans="1:17" ht="24.9" customHeight="1">
      <c r="A4957" s="20"/>
      <c r="B4957" s="20" t="s">
        <v>5101</v>
      </c>
      <c r="C4957" s="20"/>
      <c r="D4957" s="20" t="s">
        <v>4325</v>
      </c>
      <c r="E4957" s="19">
        <f>VLOOKUP(D4957,'لیست پرسنل'!$B$2:$E$1020,3,FALSE)</f>
        <v>0</v>
      </c>
      <c r="F4957" s="19">
        <f>VLOOKUP(D4957,'لیست پرسنل'!$B$2:$E$1020,4,FALSE)</f>
        <v>0</v>
      </c>
      <c r="G4957" s="127">
        <f>VLOOKUP(D4957,'لیست پرسنل'!$B$2:$F$1020,2,FALSE)</f>
        <v>0</v>
      </c>
      <c r="H4957" s="126" t="s">
        <v>4325</v>
      </c>
      <c r="I4957" s="128" t="s">
        <v>4325</v>
      </c>
      <c r="J4957" s="128" t="s">
        <v>3481</v>
      </c>
      <c r="K4957" s="128" t="s">
        <v>3185</v>
      </c>
      <c r="L4957" s="130" t="s">
        <v>2652</v>
      </c>
      <c r="M4957" s="130">
        <v>612416</v>
      </c>
      <c r="N4957" s="108"/>
      <c r="O4957" s="19"/>
      <c r="P4957" s="20" t="s">
        <v>4326</v>
      </c>
      <c r="Q4957" s="19" t="s">
        <v>4327</v>
      </c>
    </row>
    <row r="4958" spans="1:17" ht="24.9" customHeight="1">
      <c r="A4958" s="20"/>
      <c r="B4958" s="20" t="s">
        <v>5101</v>
      </c>
      <c r="C4958" s="20"/>
      <c r="D4958" s="20" t="s">
        <v>4325</v>
      </c>
      <c r="E4958" s="19">
        <f>VLOOKUP(D4958,'لیست پرسنل'!$B$2:$E$1020,3,FALSE)</f>
        <v>0</v>
      </c>
      <c r="F4958" s="19">
        <f>VLOOKUP(D4958,'لیست پرسنل'!$B$2:$E$1020,4,FALSE)</f>
        <v>0</v>
      </c>
      <c r="G4958" s="127">
        <f>VLOOKUP(D4958,'لیست پرسنل'!$B$2:$F$1020,2,FALSE)</f>
        <v>0</v>
      </c>
      <c r="H4958" s="126" t="s">
        <v>4325</v>
      </c>
      <c r="I4958" s="128" t="s">
        <v>4325</v>
      </c>
      <c r="J4958" s="128" t="s">
        <v>3481</v>
      </c>
      <c r="K4958" s="128" t="s">
        <v>1600</v>
      </c>
      <c r="L4958" s="151" t="s">
        <v>1313</v>
      </c>
      <c r="M4958" s="127">
        <v>618795</v>
      </c>
      <c r="N4958" s="109"/>
      <c r="O4958" s="19" t="s">
        <v>1314</v>
      </c>
      <c r="P4958" s="19" t="s">
        <v>4326</v>
      </c>
      <c r="Q4958" s="19">
        <v>1401</v>
      </c>
    </row>
    <row r="4959" spans="1:17" ht="24.9" customHeight="1">
      <c r="A4959" s="20"/>
      <c r="B4959" s="20" t="s">
        <v>5101</v>
      </c>
      <c r="C4959" s="20"/>
      <c r="D4959" s="20" t="s">
        <v>4325</v>
      </c>
      <c r="E4959" s="19">
        <f>VLOOKUP(D4959,'لیست پرسنل'!$B$2:$E$1020,3,FALSE)</f>
        <v>0</v>
      </c>
      <c r="F4959" s="19">
        <f>VLOOKUP(D4959,'لیست پرسنل'!$B$2:$E$1020,4,FALSE)</f>
        <v>0</v>
      </c>
      <c r="G4959" s="127">
        <f>VLOOKUP(D4959,'لیست پرسنل'!$B$2:$F$1020,2,FALSE)</f>
        <v>0</v>
      </c>
      <c r="H4959" s="126" t="s">
        <v>4325</v>
      </c>
      <c r="I4959" s="128" t="s">
        <v>4325</v>
      </c>
      <c r="J4959" s="128" t="s">
        <v>3481</v>
      </c>
      <c r="K4959" s="128" t="s">
        <v>905</v>
      </c>
      <c r="L4959" s="151"/>
      <c r="M4959" s="127" t="s">
        <v>1593</v>
      </c>
      <c r="N4959" s="109"/>
      <c r="O4959" s="19" t="s">
        <v>1596</v>
      </c>
      <c r="P4959" s="19" t="s">
        <v>4326</v>
      </c>
      <c r="Q4959" s="19">
        <v>1401</v>
      </c>
    </row>
    <row r="4960" spans="1:17" ht="24.9" customHeight="1">
      <c r="A4960" s="20"/>
      <c r="B4960" s="20" t="s">
        <v>5101</v>
      </c>
      <c r="C4960" s="20"/>
      <c r="D4960" s="20" t="s">
        <v>4325</v>
      </c>
      <c r="E4960" s="19">
        <f>VLOOKUP(D4960,'لیست پرسنل'!$B$2:$E$1020,3,FALSE)</f>
        <v>0</v>
      </c>
      <c r="F4960" s="19">
        <f>VLOOKUP(D4960,'لیست پرسنل'!$B$2:$E$1020,4,FALSE)</f>
        <v>0</v>
      </c>
      <c r="G4960" s="127">
        <f>VLOOKUP(D4960,'لیست پرسنل'!$B$2:$F$1020,2,FALSE)</f>
        <v>0</v>
      </c>
      <c r="H4960" s="126" t="s">
        <v>4325</v>
      </c>
      <c r="I4960" s="128" t="s">
        <v>4325</v>
      </c>
      <c r="J4960" s="128" t="s">
        <v>3481</v>
      </c>
      <c r="K4960" s="128" t="s">
        <v>905</v>
      </c>
      <c r="L4960" s="151"/>
      <c r="M4960" s="127" t="s">
        <v>1594</v>
      </c>
      <c r="N4960" s="109"/>
      <c r="O4960" s="19" t="s">
        <v>1596</v>
      </c>
      <c r="P4960" s="19" t="s">
        <v>4326</v>
      </c>
      <c r="Q4960" s="19">
        <v>1401</v>
      </c>
    </row>
    <row r="4961" spans="1:17" ht="24.9" customHeight="1">
      <c r="A4961" s="20"/>
      <c r="B4961" s="20" t="s">
        <v>5101</v>
      </c>
      <c r="C4961" s="20"/>
      <c r="D4961" s="20" t="s">
        <v>4325</v>
      </c>
      <c r="E4961" s="19">
        <f>VLOOKUP(D4961,'لیست پرسنل'!$B$2:$E$1020,3,FALSE)</f>
        <v>0</v>
      </c>
      <c r="F4961" s="19">
        <f>VLOOKUP(D4961,'لیست پرسنل'!$B$2:$E$1020,4,FALSE)</f>
        <v>0</v>
      </c>
      <c r="G4961" s="127">
        <f>VLOOKUP(D4961,'لیست پرسنل'!$B$2:$F$1020,2,FALSE)</f>
        <v>0</v>
      </c>
      <c r="H4961" s="126" t="s">
        <v>4325</v>
      </c>
      <c r="I4961" s="128" t="s">
        <v>4325</v>
      </c>
      <c r="J4961" s="128" t="s">
        <v>3481</v>
      </c>
      <c r="K4961" s="128" t="s">
        <v>905</v>
      </c>
      <c r="L4961" s="151"/>
      <c r="M4961" s="127" t="s">
        <v>1595</v>
      </c>
      <c r="N4961" s="109"/>
      <c r="O4961" s="19" t="s">
        <v>1596</v>
      </c>
      <c r="P4961" s="19" t="s">
        <v>4326</v>
      </c>
      <c r="Q4961" s="19">
        <v>1401</v>
      </c>
    </row>
    <row r="4962" spans="1:17" ht="24.9" customHeight="1">
      <c r="A4962" s="20"/>
      <c r="B4962" s="20" t="s">
        <v>5101</v>
      </c>
      <c r="C4962" s="20"/>
      <c r="D4962" s="84" t="s">
        <v>4325</v>
      </c>
      <c r="E4962" s="19">
        <f>VLOOKUP(D4962,'لیست پرسنل'!$B$2:$E$1020,3,FALSE)</f>
        <v>0</v>
      </c>
      <c r="F4962" s="19">
        <f>VLOOKUP(D4962,'لیست پرسنل'!$B$2:$E$1020,4,FALSE)</f>
        <v>0</v>
      </c>
      <c r="G4962" s="127">
        <f>VLOOKUP(D4962,'لیست پرسنل'!$B$2:$F$1020,2,FALSE)</f>
        <v>0</v>
      </c>
      <c r="H4962" s="126" t="s">
        <v>4325</v>
      </c>
      <c r="I4962" s="128" t="s">
        <v>4325</v>
      </c>
      <c r="J4962" s="128" t="s">
        <v>3285</v>
      </c>
      <c r="K4962" s="128" t="s">
        <v>5326</v>
      </c>
      <c r="L4962" s="128"/>
      <c r="M4962" s="142">
        <v>612120</v>
      </c>
      <c r="N4962" s="108"/>
      <c r="O4962" s="20"/>
      <c r="P4962" s="20" t="s">
        <v>5869</v>
      </c>
      <c r="Q4962" s="20" t="s">
        <v>6028</v>
      </c>
    </row>
    <row r="4963" spans="1:17" ht="24.9" customHeight="1">
      <c r="A4963" s="20"/>
      <c r="B4963" s="20" t="s">
        <v>5101</v>
      </c>
      <c r="C4963" s="20"/>
      <c r="D4963" s="20" t="s">
        <v>4325</v>
      </c>
      <c r="E4963" s="19">
        <f>VLOOKUP(D4963,'لیست پرسنل'!$B$2:$E$1020,3,FALSE)</f>
        <v>0</v>
      </c>
      <c r="F4963" s="19">
        <f>VLOOKUP(D4963,'لیست پرسنل'!$B$2:$E$1020,4,FALSE)</f>
        <v>0</v>
      </c>
      <c r="G4963" s="127">
        <f>VLOOKUP(D4963,'لیست پرسنل'!$B$2:$F$1020,2,FALSE)</f>
        <v>0</v>
      </c>
      <c r="H4963" s="126" t="s">
        <v>4325</v>
      </c>
      <c r="I4963" s="128" t="s">
        <v>4325</v>
      </c>
      <c r="J4963" s="128" t="s">
        <v>3285</v>
      </c>
      <c r="K4963" s="128" t="s">
        <v>1544</v>
      </c>
      <c r="L4963" s="127"/>
      <c r="M4963" s="128">
        <v>612189</v>
      </c>
      <c r="N4963" s="108"/>
      <c r="O4963" s="19" t="s">
        <v>4332</v>
      </c>
      <c r="P4963" s="20" t="s">
        <v>4326</v>
      </c>
      <c r="Q4963" s="19">
        <v>1398</v>
      </c>
    </row>
    <row r="4964" spans="1:17" ht="24.9" customHeight="1">
      <c r="A4964" s="20"/>
      <c r="B4964" s="20" t="s">
        <v>5101</v>
      </c>
      <c r="C4964" s="20"/>
      <c r="D4964" s="20" t="s">
        <v>4325</v>
      </c>
      <c r="E4964" s="19">
        <f>VLOOKUP(D4964,'لیست پرسنل'!$B$2:$E$1020,3,FALSE)</f>
        <v>0</v>
      </c>
      <c r="F4964" s="19">
        <f>VLOOKUP(D4964,'لیست پرسنل'!$B$2:$E$1020,4,FALSE)</f>
        <v>0</v>
      </c>
      <c r="G4964" s="127">
        <f>VLOOKUP(D4964,'لیست پرسنل'!$B$2:$F$1020,2,FALSE)</f>
        <v>0</v>
      </c>
      <c r="H4964" s="126" t="s">
        <v>4325</v>
      </c>
      <c r="I4964" s="128" t="s">
        <v>4325</v>
      </c>
      <c r="J4964" s="128" t="s">
        <v>3285</v>
      </c>
      <c r="K4964" s="128" t="s">
        <v>1544</v>
      </c>
      <c r="L4964" s="127"/>
      <c r="M4964" s="128">
        <v>612190</v>
      </c>
      <c r="N4964" s="108"/>
      <c r="O4964" s="19" t="s">
        <v>4332</v>
      </c>
      <c r="P4964" s="20" t="s">
        <v>4326</v>
      </c>
      <c r="Q4964" s="19">
        <v>1398</v>
      </c>
    </row>
    <row r="4965" spans="1:17" ht="24.9" customHeight="1">
      <c r="A4965" s="20"/>
      <c r="B4965" s="20" t="s">
        <v>5101</v>
      </c>
      <c r="C4965" s="20"/>
      <c r="D4965" s="20" t="s">
        <v>4325</v>
      </c>
      <c r="E4965" s="19">
        <f>VLOOKUP(D4965,'لیست پرسنل'!$B$2:$E$1020,3,FALSE)</f>
        <v>0</v>
      </c>
      <c r="F4965" s="19">
        <f>VLOOKUP(D4965,'لیست پرسنل'!$B$2:$E$1020,4,FALSE)</f>
        <v>0</v>
      </c>
      <c r="G4965" s="127">
        <f>VLOOKUP(D4965,'لیست پرسنل'!$B$2:$F$1020,2,FALSE)</f>
        <v>0</v>
      </c>
      <c r="H4965" s="126" t="s">
        <v>4325</v>
      </c>
      <c r="I4965" s="128" t="s">
        <v>4325</v>
      </c>
      <c r="J4965" s="128" t="s">
        <v>3285</v>
      </c>
      <c r="K4965" s="128" t="s">
        <v>3191</v>
      </c>
      <c r="L4965" s="130" t="s">
        <v>2652</v>
      </c>
      <c r="M4965" s="130">
        <v>620974</v>
      </c>
      <c r="N4965" s="108"/>
      <c r="O4965" s="19"/>
      <c r="P4965" s="20" t="s">
        <v>4326</v>
      </c>
      <c r="Q4965" s="19" t="s">
        <v>4327</v>
      </c>
    </row>
    <row r="4966" spans="1:17" ht="24.9" customHeight="1">
      <c r="A4966" s="20"/>
      <c r="B4966" s="20" t="s">
        <v>5101</v>
      </c>
      <c r="C4966" s="20"/>
      <c r="D4966" s="20" t="s">
        <v>4325</v>
      </c>
      <c r="E4966" s="19">
        <f>VLOOKUP(D4966,'لیست پرسنل'!$B$2:$E$1020,3,FALSE)</f>
        <v>0</v>
      </c>
      <c r="F4966" s="19">
        <f>VLOOKUP(D4966,'لیست پرسنل'!$B$2:$E$1020,4,FALSE)</f>
        <v>0</v>
      </c>
      <c r="G4966" s="127">
        <f>VLOOKUP(D4966,'لیست پرسنل'!$B$2:$F$1020,2,FALSE)</f>
        <v>0</v>
      </c>
      <c r="H4966" s="126" t="s">
        <v>4325</v>
      </c>
      <c r="I4966" s="128" t="s">
        <v>4325</v>
      </c>
      <c r="J4966" s="128" t="s">
        <v>3285</v>
      </c>
      <c r="K4966" s="128" t="s">
        <v>1751</v>
      </c>
      <c r="L4966" s="151"/>
      <c r="M4966" s="127">
        <v>623229</v>
      </c>
      <c r="N4966" s="109"/>
      <c r="O4966" s="19" t="s">
        <v>3286</v>
      </c>
      <c r="P4966" s="19" t="s">
        <v>4326</v>
      </c>
      <c r="Q4966" s="19">
        <v>1401</v>
      </c>
    </row>
    <row r="4967" spans="1:17" ht="24.9" customHeight="1">
      <c r="A4967" s="20"/>
      <c r="B4967" s="20" t="s">
        <v>5101</v>
      </c>
      <c r="C4967" s="20"/>
      <c r="D4967" s="20" t="s">
        <v>4325</v>
      </c>
      <c r="E4967" s="19">
        <f>VLOOKUP(D4967,'لیست پرسنل'!$B$2:$E$1020,3,FALSE)</f>
        <v>0</v>
      </c>
      <c r="F4967" s="19">
        <f>VLOOKUP(D4967,'لیست پرسنل'!$B$2:$E$1020,4,FALSE)</f>
        <v>0</v>
      </c>
      <c r="G4967" s="127">
        <f>VLOOKUP(D4967,'لیست پرسنل'!$B$2:$F$1020,2,FALSE)</f>
        <v>0</v>
      </c>
      <c r="H4967" s="126" t="s">
        <v>4325</v>
      </c>
      <c r="I4967" s="128" t="s">
        <v>4325</v>
      </c>
      <c r="J4967" s="128" t="s">
        <v>2886</v>
      </c>
      <c r="K4967" s="128" t="s">
        <v>3175</v>
      </c>
      <c r="L4967" s="130" t="s">
        <v>2652</v>
      </c>
      <c r="M4967" s="130">
        <v>601881</v>
      </c>
      <c r="N4967" s="108"/>
      <c r="O4967" s="19"/>
      <c r="P4967" s="20" t="s">
        <v>4326</v>
      </c>
      <c r="Q4967" s="19" t="s">
        <v>4327</v>
      </c>
    </row>
    <row r="4968" spans="1:17" ht="24.9" customHeight="1">
      <c r="A4968" s="20"/>
      <c r="B4968" s="20" t="s">
        <v>5101</v>
      </c>
      <c r="C4968" s="20"/>
      <c r="D4968" s="20" t="s">
        <v>4325</v>
      </c>
      <c r="E4968" s="19">
        <f>VLOOKUP(D4968,'لیست پرسنل'!$B$2:$E$1020,3,FALSE)</f>
        <v>0</v>
      </c>
      <c r="F4968" s="19">
        <f>VLOOKUP(D4968,'لیست پرسنل'!$B$2:$E$1020,4,FALSE)</f>
        <v>0</v>
      </c>
      <c r="G4968" s="127">
        <f>VLOOKUP(D4968,'لیست پرسنل'!$B$2:$F$1020,2,FALSE)</f>
        <v>0</v>
      </c>
      <c r="H4968" s="126" t="s">
        <v>4325</v>
      </c>
      <c r="I4968" s="128" t="s">
        <v>4325</v>
      </c>
      <c r="J4968" s="128" t="s">
        <v>3476</v>
      </c>
      <c r="K4968" s="128" t="s">
        <v>1558</v>
      </c>
      <c r="L4968" s="127"/>
      <c r="M4968" s="128">
        <v>604315</v>
      </c>
      <c r="N4968" s="108"/>
      <c r="O4968" s="19" t="s">
        <v>4332</v>
      </c>
      <c r="P4968" s="20" t="s">
        <v>4326</v>
      </c>
      <c r="Q4968" s="19">
        <v>1398</v>
      </c>
    </row>
    <row r="4969" spans="1:17" ht="24.9" customHeight="1">
      <c r="A4969" s="20"/>
      <c r="B4969" s="20" t="s">
        <v>5101</v>
      </c>
      <c r="C4969" s="20"/>
      <c r="D4969" s="20" t="s">
        <v>4325</v>
      </c>
      <c r="E4969" s="19">
        <f>VLOOKUP(D4969,'لیست پرسنل'!$B$2:$E$1020,3,FALSE)</f>
        <v>0</v>
      </c>
      <c r="F4969" s="19">
        <f>VLOOKUP(D4969,'لیست پرسنل'!$B$2:$E$1020,4,FALSE)</f>
        <v>0</v>
      </c>
      <c r="G4969" s="127">
        <f>VLOOKUP(D4969,'لیست پرسنل'!$B$2:$F$1020,2,FALSE)</f>
        <v>0</v>
      </c>
      <c r="H4969" s="126" t="s">
        <v>4325</v>
      </c>
      <c r="I4969" s="128" t="s">
        <v>4325</v>
      </c>
      <c r="J4969" s="128" t="s">
        <v>3476</v>
      </c>
      <c r="K4969" s="128" t="s">
        <v>3314</v>
      </c>
      <c r="L4969" s="127" t="s">
        <v>2652</v>
      </c>
      <c r="M4969" s="127">
        <v>612720</v>
      </c>
      <c r="N4969" s="109"/>
      <c r="O4969" s="19"/>
      <c r="P4969" s="19" t="s">
        <v>4326</v>
      </c>
      <c r="Q4969" s="19" t="s">
        <v>4327</v>
      </c>
    </row>
    <row r="4970" spans="1:17" ht="24.9" customHeight="1">
      <c r="A4970" s="20"/>
      <c r="B4970" s="20" t="s">
        <v>5101</v>
      </c>
      <c r="C4970" s="20"/>
      <c r="D4970" s="20" t="s">
        <v>4325</v>
      </c>
      <c r="E4970" s="19">
        <f>VLOOKUP(D4970,'لیست پرسنل'!$B$2:$E$1020,3,FALSE)</f>
        <v>0</v>
      </c>
      <c r="F4970" s="19">
        <f>VLOOKUP(D4970,'لیست پرسنل'!$B$2:$E$1020,4,FALSE)</f>
        <v>0</v>
      </c>
      <c r="G4970" s="127">
        <f>VLOOKUP(D4970,'لیست پرسنل'!$B$2:$F$1020,2,FALSE)</f>
        <v>0</v>
      </c>
      <c r="H4970" s="126" t="s">
        <v>4325</v>
      </c>
      <c r="I4970" s="128" t="s">
        <v>4325</v>
      </c>
      <c r="J4970" s="128" t="s">
        <v>3476</v>
      </c>
      <c r="K4970" s="128" t="s">
        <v>3190</v>
      </c>
      <c r="L4970" s="130" t="s">
        <v>2652</v>
      </c>
      <c r="M4970" s="130">
        <v>620852</v>
      </c>
      <c r="N4970" s="108"/>
      <c r="O4970" s="19"/>
      <c r="P4970" s="20" t="s">
        <v>4326</v>
      </c>
      <c r="Q4970" s="19" t="s">
        <v>4327</v>
      </c>
    </row>
    <row r="4971" spans="1:17" ht="24.9" customHeight="1">
      <c r="A4971" s="20"/>
      <c r="B4971" s="20" t="s">
        <v>5101</v>
      </c>
      <c r="C4971" s="20"/>
      <c r="D4971" s="20" t="s">
        <v>4325</v>
      </c>
      <c r="E4971" s="19">
        <f>VLOOKUP(D4971,'لیست پرسنل'!$B$2:$E$1020,3,FALSE)</f>
        <v>0</v>
      </c>
      <c r="F4971" s="19">
        <f>VLOOKUP(D4971,'لیست پرسنل'!$B$2:$E$1020,4,FALSE)</f>
        <v>0</v>
      </c>
      <c r="G4971" s="127">
        <f>VLOOKUP(D4971,'لیست پرسنل'!$B$2:$F$1020,2,FALSE)</f>
        <v>0</v>
      </c>
      <c r="H4971" s="128" t="s">
        <v>4325</v>
      </c>
      <c r="I4971" s="128" t="s">
        <v>4325</v>
      </c>
      <c r="J4971" s="128" t="s">
        <v>3476</v>
      </c>
      <c r="K4971" s="128" t="s">
        <v>653</v>
      </c>
      <c r="L4971" s="128"/>
      <c r="M4971" s="128">
        <v>622555</v>
      </c>
      <c r="N4971" s="108"/>
      <c r="O4971" s="20" t="s">
        <v>5102</v>
      </c>
      <c r="P4971" s="20"/>
      <c r="Q4971" s="20"/>
    </row>
    <row r="4972" spans="1:17" ht="24.9" customHeight="1">
      <c r="A4972" s="20"/>
      <c r="B4972" s="20" t="s">
        <v>5101</v>
      </c>
      <c r="C4972" s="20"/>
      <c r="D4972" s="20" t="s">
        <v>4325</v>
      </c>
      <c r="E4972" s="19">
        <f>VLOOKUP(D4972,'لیست پرسنل'!$B$2:$E$1020,3,FALSE)</f>
        <v>0</v>
      </c>
      <c r="F4972" s="19">
        <f>VLOOKUP(D4972,'لیست پرسنل'!$B$2:$E$1020,4,FALSE)</f>
        <v>0</v>
      </c>
      <c r="G4972" s="127">
        <f>VLOOKUP(D4972,'لیست پرسنل'!$B$2:$F$1020,2,FALSE)</f>
        <v>0</v>
      </c>
      <c r="H4972" s="126" t="s">
        <v>4325</v>
      </c>
      <c r="I4972" s="128" t="s">
        <v>4325</v>
      </c>
      <c r="J4972" s="128" t="s">
        <v>4336</v>
      </c>
      <c r="K4972" s="128" t="s">
        <v>1522</v>
      </c>
      <c r="L4972" s="127"/>
      <c r="M4972" s="128">
        <v>613777</v>
      </c>
      <c r="N4972" s="108"/>
      <c r="O4972" s="19" t="s">
        <v>4332</v>
      </c>
      <c r="P4972" s="20" t="s">
        <v>4326</v>
      </c>
      <c r="Q4972" s="19">
        <v>1398</v>
      </c>
    </row>
    <row r="4973" spans="1:17" ht="24.9" customHeight="1">
      <c r="A4973" s="20"/>
      <c r="B4973" s="20" t="s">
        <v>5101</v>
      </c>
      <c r="C4973" s="20"/>
      <c r="D4973" s="20" t="s">
        <v>4325</v>
      </c>
      <c r="E4973" s="19">
        <f>VLOOKUP(D4973,'لیست پرسنل'!$B$2:$E$1020,3,FALSE)</f>
        <v>0</v>
      </c>
      <c r="F4973" s="19">
        <f>VLOOKUP(D4973,'لیست پرسنل'!$B$2:$E$1020,4,FALSE)</f>
        <v>0</v>
      </c>
      <c r="G4973" s="127">
        <f>VLOOKUP(D4973,'لیست پرسنل'!$B$2:$F$1020,2,FALSE)</f>
        <v>0</v>
      </c>
      <c r="H4973" s="126" t="s">
        <v>4325</v>
      </c>
      <c r="I4973" s="128" t="s">
        <v>4325</v>
      </c>
      <c r="J4973" s="128" t="s">
        <v>4335</v>
      </c>
      <c r="K4973" s="128" t="s">
        <v>1524</v>
      </c>
      <c r="L4973" s="127"/>
      <c r="M4973" s="128">
        <v>613653</v>
      </c>
      <c r="N4973" s="108"/>
      <c r="O4973" s="19" t="s">
        <v>4332</v>
      </c>
      <c r="P4973" s="20" t="s">
        <v>4326</v>
      </c>
      <c r="Q4973" s="19">
        <v>1398</v>
      </c>
    </row>
    <row r="4974" spans="1:17" ht="24.9" customHeight="1">
      <c r="A4974" s="20"/>
      <c r="B4974" s="20" t="s">
        <v>5101</v>
      </c>
      <c r="C4974" s="20"/>
      <c r="D4974" s="20" t="s">
        <v>4325</v>
      </c>
      <c r="E4974" s="19">
        <f>VLOOKUP(D4974,'لیست پرسنل'!$B$2:$E$1020,3,FALSE)</f>
        <v>0</v>
      </c>
      <c r="F4974" s="19">
        <f>VLOOKUP(D4974,'لیست پرسنل'!$B$2:$E$1020,4,FALSE)</f>
        <v>0</v>
      </c>
      <c r="G4974" s="127">
        <f>VLOOKUP(D4974,'لیست پرسنل'!$B$2:$F$1020,2,FALSE)</f>
        <v>0</v>
      </c>
      <c r="H4974" s="126" t="s">
        <v>4325</v>
      </c>
      <c r="I4974" s="128" t="s">
        <v>4325</v>
      </c>
      <c r="J4974" s="128" t="s">
        <v>4335</v>
      </c>
      <c r="K4974" s="128" t="s">
        <v>1559</v>
      </c>
      <c r="L4974" s="127"/>
      <c r="M4974" s="128">
        <v>614454</v>
      </c>
      <c r="N4974" s="108"/>
      <c r="O4974" s="19" t="s">
        <v>4332</v>
      </c>
      <c r="P4974" s="20" t="s">
        <v>4326</v>
      </c>
      <c r="Q4974" s="19">
        <v>1398</v>
      </c>
    </row>
    <row r="4975" spans="1:17" ht="24.9" customHeight="1">
      <c r="A4975" s="20"/>
      <c r="B4975" s="20" t="s">
        <v>5101</v>
      </c>
      <c r="C4975" s="20"/>
      <c r="D4975" s="20" t="s">
        <v>4325</v>
      </c>
      <c r="E4975" s="19">
        <f>VLOOKUP(D4975,'لیست پرسنل'!$B$2:$E$1020,3,FALSE)</f>
        <v>0</v>
      </c>
      <c r="F4975" s="19">
        <f>VLOOKUP(D4975,'لیست پرسنل'!$B$2:$E$1020,4,FALSE)</f>
        <v>0</v>
      </c>
      <c r="G4975" s="127">
        <f>VLOOKUP(D4975,'لیست پرسنل'!$B$2:$F$1020,2,FALSE)</f>
        <v>0</v>
      </c>
      <c r="H4975" s="126" t="s">
        <v>4325</v>
      </c>
      <c r="I4975" s="128" t="s">
        <v>4325</v>
      </c>
      <c r="J4975" s="128" t="s">
        <v>4335</v>
      </c>
      <c r="K4975" s="128" t="s">
        <v>1560</v>
      </c>
      <c r="L4975" s="127"/>
      <c r="M4975" s="128">
        <v>614738</v>
      </c>
      <c r="N4975" s="108"/>
      <c r="O4975" s="19" t="s">
        <v>4332</v>
      </c>
      <c r="P4975" s="20" t="s">
        <v>4326</v>
      </c>
      <c r="Q4975" s="19">
        <v>1398</v>
      </c>
    </row>
    <row r="4976" spans="1:17" ht="24.9" customHeight="1">
      <c r="A4976" s="20"/>
      <c r="B4976" s="20" t="s">
        <v>5101</v>
      </c>
      <c r="C4976" s="20"/>
      <c r="D4976" s="20" t="s">
        <v>4325</v>
      </c>
      <c r="E4976" s="19">
        <f>VLOOKUP(D4976,'لیست پرسنل'!$B$2:$E$1020,3,FALSE)</f>
        <v>0</v>
      </c>
      <c r="F4976" s="19">
        <f>VLOOKUP(D4976,'لیست پرسنل'!$B$2:$E$1020,4,FALSE)</f>
        <v>0</v>
      </c>
      <c r="G4976" s="127">
        <f>VLOOKUP(D4976,'لیست پرسنل'!$B$2:$F$1020,2,FALSE)</f>
        <v>0</v>
      </c>
      <c r="H4976" s="126" t="s">
        <v>4325</v>
      </c>
      <c r="I4976" s="128" t="s">
        <v>4325</v>
      </c>
      <c r="J4976" s="127" t="s">
        <v>571</v>
      </c>
      <c r="K4976" s="128" t="s">
        <v>1513</v>
      </c>
      <c r="L4976" s="127"/>
      <c r="M4976" s="128">
        <v>600152</v>
      </c>
      <c r="N4976" s="108"/>
      <c r="O4976" s="19" t="s">
        <v>4332</v>
      </c>
      <c r="P4976" s="20" t="s">
        <v>4326</v>
      </c>
      <c r="Q4976" s="19">
        <v>1398</v>
      </c>
    </row>
    <row r="4977" spans="1:17" ht="24.9" customHeight="1">
      <c r="A4977" s="20"/>
      <c r="B4977" s="20" t="s">
        <v>5101</v>
      </c>
      <c r="C4977" s="20"/>
      <c r="D4977" s="20" t="s">
        <v>4325</v>
      </c>
      <c r="E4977" s="19">
        <f>VLOOKUP(D4977,'لیست پرسنل'!$B$2:$E$1020,3,FALSE)</f>
        <v>0</v>
      </c>
      <c r="F4977" s="19">
        <f>VLOOKUP(D4977,'لیست پرسنل'!$B$2:$E$1020,4,FALSE)</f>
        <v>0</v>
      </c>
      <c r="G4977" s="127">
        <f>VLOOKUP(D4977,'لیست پرسنل'!$B$2:$F$1020,2,FALSE)</f>
        <v>0</v>
      </c>
      <c r="H4977" s="126" t="s">
        <v>4325</v>
      </c>
      <c r="I4977" s="128" t="s">
        <v>4325</v>
      </c>
      <c r="J4977" s="127" t="s">
        <v>571</v>
      </c>
      <c r="K4977" s="128" t="s">
        <v>1513</v>
      </c>
      <c r="L4977" s="127"/>
      <c r="M4977" s="128">
        <v>600188</v>
      </c>
      <c r="N4977" s="108"/>
      <c r="O4977" s="19" t="s">
        <v>4332</v>
      </c>
      <c r="P4977" s="20" t="s">
        <v>4326</v>
      </c>
      <c r="Q4977" s="19">
        <v>1398</v>
      </c>
    </row>
    <row r="4978" spans="1:17" ht="24.9" customHeight="1">
      <c r="A4978" s="20"/>
      <c r="B4978" s="20" t="s">
        <v>5101</v>
      </c>
      <c r="C4978" s="20"/>
      <c r="D4978" s="20" t="s">
        <v>4325</v>
      </c>
      <c r="E4978" s="19">
        <f>VLOOKUP(D4978,'لیست پرسنل'!$B$2:$E$1020,3,FALSE)</f>
        <v>0</v>
      </c>
      <c r="F4978" s="19">
        <f>VLOOKUP(D4978,'لیست پرسنل'!$B$2:$E$1020,4,FALSE)</f>
        <v>0</v>
      </c>
      <c r="G4978" s="127">
        <f>VLOOKUP(D4978,'لیست پرسنل'!$B$2:$F$1020,2,FALSE)</f>
        <v>0</v>
      </c>
      <c r="H4978" s="126" t="s">
        <v>4325</v>
      </c>
      <c r="I4978" s="128" t="s">
        <v>4325</v>
      </c>
      <c r="J4978" s="127" t="s">
        <v>571</v>
      </c>
      <c r="K4978" s="128" t="s">
        <v>816</v>
      </c>
      <c r="L4978" s="127"/>
      <c r="M4978" s="128">
        <v>600267</v>
      </c>
      <c r="N4978" s="109" t="s">
        <v>7312</v>
      </c>
      <c r="O4978" s="19" t="s">
        <v>4332</v>
      </c>
      <c r="P4978" s="20" t="s">
        <v>4326</v>
      </c>
      <c r="Q4978" s="19">
        <v>1398</v>
      </c>
    </row>
    <row r="4979" spans="1:17" ht="24.9" customHeight="1">
      <c r="A4979" s="20"/>
      <c r="B4979" s="20" t="s">
        <v>5101</v>
      </c>
      <c r="C4979" s="20"/>
      <c r="D4979" s="20" t="s">
        <v>4325</v>
      </c>
      <c r="E4979" s="19">
        <f>VLOOKUP(D4979,'لیست پرسنل'!$B$2:$E$1020,3,FALSE)</f>
        <v>0</v>
      </c>
      <c r="F4979" s="19">
        <f>VLOOKUP(D4979,'لیست پرسنل'!$B$2:$E$1020,4,FALSE)</f>
        <v>0</v>
      </c>
      <c r="G4979" s="127">
        <f>VLOOKUP(D4979,'لیست پرسنل'!$B$2:$F$1020,2,FALSE)</f>
        <v>0</v>
      </c>
      <c r="H4979" s="126" t="s">
        <v>4325</v>
      </c>
      <c r="I4979" s="128" t="s">
        <v>4325</v>
      </c>
      <c r="J4979" s="128" t="s">
        <v>571</v>
      </c>
      <c r="K4979" s="128" t="s">
        <v>1514</v>
      </c>
      <c r="L4979" s="130" t="s">
        <v>2652</v>
      </c>
      <c r="M4979" s="130">
        <v>600360</v>
      </c>
      <c r="N4979" s="108"/>
      <c r="O4979" s="19"/>
      <c r="P4979" s="20" t="s">
        <v>4326</v>
      </c>
      <c r="Q4979" s="19" t="s">
        <v>4327</v>
      </c>
    </row>
    <row r="4980" spans="1:17" ht="24.9" customHeight="1">
      <c r="A4980" s="20"/>
      <c r="B4980" s="20" t="s">
        <v>5101</v>
      </c>
      <c r="C4980" s="20"/>
      <c r="D4980" s="20" t="s">
        <v>4325</v>
      </c>
      <c r="E4980" s="19">
        <f>VLOOKUP(D4980,'لیست پرسنل'!$B$2:$E$1020,3,FALSE)</f>
        <v>0</v>
      </c>
      <c r="F4980" s="19">
        <f>VLOOKUP(D4980,'لیست پرسنل'!$B$2:$E$1020,4,FALSE)</f>
        <v>0</v>
      </c>
      <c r="G4980" s="127">
        <f>VLOOKUP(D4980,'لیست پرسنل'!$B$2:$F$1020,2,FALSE)</f>
        <v>0</v>
      </c>
      <c r="H4980" s="126" t="s">
        <v>4325</v>
      </c>
      <c r="I4980" s="128" t="s">
        <v>4325</v>
      </c>
      <c r="J4980" s="127" t="s">
        <v>571</v>
      </c>
      <c r="K4980" s="128" t="s">
        <v>1513</v>
      </c>
      <c r="L4980" s="127"/>
      <c r="M4980" s="128">
        <v>600480</v>
      </c>
      <c r="N4980" s="108"/>
      <c r="O4980" s="19" t="s">
        <v>4332</v>
      </c>
      <c r="P4980" s="20" t="s">
        <v>4326</v>
      </c>
      <c r="Q4980" s="19">
        <v>1398</v>
      </c>
    </row>
    <row r="4981" spans="1:17" ht="24.9" customHeight="1">
      <c r="A4981" s="20"/>
      <c r="B4981" s="20" t="s">
        <v>5101</v>
      </c>
      <c r="C4981" s="20"/>
      <c r="D4981" s="20" t="s">
        <v>4325</v>
      </c>
      <c r="E4981" s="19">
        <f>VLOOKUP(D4981,'لیست پرسنل'!$B$2:$E$1020,3,FALSE)</f>
        <v>0</v>
      </c>
      <c r="F4981" s="19">
        <f>VLOOKUP(D4981,'لیست پرسنل'!$B$2:$E$1020,4,FALSE)</f>
        <v>0</v>
      </c>
      <c r="G4981" s="127">
        <f>VLOOKUP(D4981,'لیست پرسنل'!$B$2:$F$1020,2,FALSE)</f>
        <v>0</v>
      </c>
      <c r="H4981" s="126" t="s">
        <v>4325</v>
      </c>
      <c r="I4981" s="128" t="s">
        <v>4325</v>
      </c>
      <c r="J4981" s="127" t="s">
        <v>571</v>
      </c>
      <c r="K4981" s="128" t="s">
        <v>1514</v>
      </c>
      <c r="L4981" s="127"/>
      <c r="M4981" s="128">
        <v>600605</v>
      </c>
      <c r="N4981" s="108"/>
      <c r="O4981" s="19" t="s">
        <v>4332</v>
      </c>
      <c r="P4981" s="20" t="s">
        <v>4326</v>
      </c>
      <c r="Q4981" s="19">
        <v>1398</v>
      </c>
    </row>
    <row r="4982" spans="1:17" ht="24.9" customHeight="1">
      <c r="A4982" s="20"/>
      <c r="B4982" s="20" t="s">
        <v>5101</v>
      </c>
      <c r="C4982" s="20"/>
      <c r="D4982" s="20" t="s">
        <v>4325</v>
      </c>
      <c r="E4982" s="19">
        <f>VLOOKUP(D4982,'لیست پرسنل'!$B$2:$E$1020,3,FALSE)</f>
        <v>0</v>
      </c>
      <c r="F4982" s="19">
        <f>VLOOKUP(D4982,'لیست پرسنل'!$B$2:$E$1020,4,FALSE)</f>
        <v>0</v>
      </c>
      <c r="G4982" s="127">
        <f>VLOOKUP(D4982,'لیست پرسنل'!$B$2:$F$1020,2,FALSE)</f>
        <v>0</v>
      </c>
      <c r="H4982" s="126" t="s">
        <v>4325</v>
      </c>
      <c r="I4982" s="128" t="s">
        <v>4325</v>
      </c>
      <c r="J4982" s="128" t="s">
        <v>571</v>
      </c>
      <c r="K4982" s="128"/>
      <c r="L4982" s="151"/>
      <c r="M4982" s="127">
        <v>600624</v>
      </c>
      <c r="N4982" s="109"/>
      <c r="O4982" s="19"/>
      <c r="P4982" s="19" t="s">
        <v>4326</v>
      </c>
      <c r="Q4982" s="19">
        <v>1400</v>
      </c>
    </row>
    <row r="4983" spans="1:17" ht="24.9" customHeight="1">
      <c r="A4983" s="20"/>
      <c r="B4983" s="20" t="s">
        <v>5101</v>
      </c>
      <c r="C4983" s="20"/>
      <c r="D4983" s="20" t="s">
        <v>4325</v>
      </c>
      <c r="E4983" s="19">
        <f>VLOOKUP(D4983,'لیست پرسنل'!$B$2:$E$1020,3,FALSE)</f>
        <v>0</v>
      </c>
      <c r="F4983" s="19">
        <f>VLOOKUP(D4983,'لیست پرسنل'!$B$2:$E$1020,4,FALSE)</f>
        <v>0</v>
      </c>
      <c r="G4983" s="127">
        <f>VLOOKUP(D4983,'لیست پرسنل'!$B$2:$F$1020,2,FALSE)</f>
        <v>0</v>
      </c>
      <c r="H4983" s="126" t="s">
        <v>4325</v>
      </c>
      <c r="I4983" s="128" t="s">
        <v>4325</v>
      </c>
      <c r="J4983" s="127" t="s">
        <v>571</v>
      </c>
      <c r="K4983" s="128" t="s">
        <v>816</v>
      </c>
      <c r="L4983" s="127"/>
      <c r="M4983" s="128">
        <v>600692</v>
      </c>
      <c r="N4983" s="108"/>
      <c r="O4983" s="19" t="s">
        <v>4332</v>
      </c>
      <c r="P4983" s="20" t="s">
        <v>4326</v>
      </c>
      <c r="Q4983" s="19">
        <v>1398</v>
      </c>
    </row>
    <row r="4984" spans="1:17" ht="24.9" customHeight="1">
      <c r="A4984" s="20"/>
      <c r="B4984" s="20" t="s">
        <v>5101</v>
      </c>
      <c r="C4984" s="20"/>
      <c r="D4984" s="20" t="s">
        <v>4325</v>
      </c>
      <c r="E4984" s="19">
        <f>VLOOKUP(D4984,'لیست پرسنل'!$B$2:$E$1020,3,FALSE)</f>
        <v>0</v>
      </c>
      <c r="F4984" s="19">
        <f>VLOOKUP(D4984,'لیست پرسنل'!$B$2:$E$1020,4,FALSE)</f>
        <v>0</v>
      </c>
      <c r="G4984" s="127">
        <f>VLOOKUP(D4984,'لیست پرسنل'!$B$2:$F$1020,2,FALSE)</f>
        <v>0</v>
      </c>
      <c r="H4984" s="126" t="s">
        <v>4325</v>
      </c>
      <c r="I4984" s="128" t="s">
        <v>4325</v>
      </c>
      <c r="J4984" s="127" t="s">
        <v>571</v>
      </c>
      <c r="K4984" s="128" t="s">
        <v>816</v>
      </c>
      <c r="L4984" s="128"/>
      <c r="M4984" s="128">
        <v>600748</v>
      </c>
      <c r="N4984" s="108"/>
      <c r="O4984" s="19" t="s">
        <v>4332</v>
      </c>
      <c r="P4984" s="20" t="s">
        <v>4326</v>
      </c>
      <c r="Q4984" s="19">
        <v>1398</v>
      </c>
    </row>
    <row r="4985" spans="1:17" ht="24.9" customHeight="1">
      <c r="A4985" s="20"/>
      <c r="B4985" s="20" t="s">
        <v>5101</v>
      </c>
      <c r="C4985" s="20"/>
      <c r="D4985" s="20" t="s">
        <v>4325</v>
      </c>
      <c r="E4985" s="19">
        <f>VLOOKUP(D4985,'لیست پرسنل'!$B$2:$E$1020,3,FALSE)</f>
        <v>0</v>
      </c>
      <c r="F4985" s="19">
        <f>VLOOKUP(D4985,'لیست پرسنل'!$B$2:$E$1020,4,FALSE)</f>
        <v>0</v>
      </c>
      <c r="G4985" s="127">
        <f>VLOOKUP(D4985,'لیست پرسنل'!$B$2:$F$1020,2,FALSE)</f>
        <v>0</v>
      </c>
      <c r="H4985" s="126" t="s">
        <v>4325</v>
      </c>
      <c r="I4985" s="128" t="s">
        <v>4325</v>
      </c>
      <c r="J4985" s="127" t="s">
        <v>571</v>
      </c>
      <c r="K4985" s="128" t="s">
        <v>1576</v>
      </c>
      <c r="L4985" s="127"/>
      <c r="M4985" s="128">
        <v>600832</v>
      </c>
      <c r="N4985" s="108"/>
      <c r="O4985" s="19" t="s">
        <v>4332</v>
      </c>
      <c r="P4985" s="20" t="s">
        <v>4326</v>
      </c>
      <c r="Q4985" s="19">
        <v>1398</v>
      </c>
    </row>
    <row r="4986" spans="1:17" ht="24.9" customHeight="1">
      <c r="A4986" s="20"/>
      <c r="B4986" s="20" t="s">
        <v>5101</v>
      </c>
      <c r="C4986" s="20"/>
      <c r="D4986" s="20" t="s">
        <v>4325</v>
      </c>
      <c r="E4986" s="19">
        <f>VLOOKUP(D4986,'لیست پرسنل'!$B$2:$E$1020,3,FALSE)</f>
        <v>0</v>
      </c>
      <c r="F4986" s="19">
        <f>VLOOKUP(D4986,'لیست پرسنل'!$B$2:$E$1020,4,FALSE)</f>
        <v>0</v>
      </c>
      <c r="G4986" s="127">
        <f>VLOOKUP(D4986,'لیست پرسنل'!$B$2:$F$1020,2,FALSE)</f>
        <v>0</v>
      </c>
      <c r="H4986" s="126" t="s">
        <v>4325</v>
      </c>
      <c r="I4986" s="128" t="s">
        <v>4325</v>
      </c>
      <c r="J4986" s="127" t="s">
        <v>571</v>
      </c>
      <c r="K4986" s="128" t="s">
        <v>1514</v>
      </c>
      <c r="L4986" s="127"/>
      <c r="M4986" s="128">
        <v>601355</v>
      </c>
      <c r="N4986" s="108"/>
      <c r="O4986" s="19" t="s">
        <v>4332</v>
      </c>
      <c r="P4986" s="20" t="s">
        <v>4326</v>
      </c>
      <c r="Q4986" s="19">
        <v>1398</v>
      </c>
    </row>
    <row r="4987" spans="1:17" ht="24.9" customHeight="1">
      <c r="A4987" s="20"/>
      <c r="B4987" s="20" t="s">
        <v>5101</v>
      </c>
      <c r="C4987" s="20"/>
      <c r="D4987" s="20" t="s">
        <v>4325</v>
      </c>
      <c r="E4987" s="19">
        <f>VLOOKUP(D4987,'لیست پرسنل'!$B$2:$E$1020,3,FALSE)</f>
        <v>0</v>
      </c>
      <c r="F4987" s="19">
        <f>VLOOKUP(D4987,'لیست پرسنل'!$B$2:$E$1020,4,FALSE)</f>
        <v>0</v>
      </c>
      <c r="G4987" s="127">
        <f>VLOOKUP(D4987,'لیست پرسنل'!$B$2:$F$1020,2,FALSE)</f>
        <v>0</v>
      </c>
      <c r="H4987" s="126" t="s">
        <v>4325</v>
      </c>
      <c r="I4987" s="128" t="s">
        <v>4325</v>
      </c>
      <c r="J4987" s="127" t="s">
        <v>571</v>
      </c>
      <c r="K4987" s="128" t="s">
        <v>1515</v>
      </c>
      <c r="L4987" s="127"/>
      <c r="M4987" s="128">
        <v>601371</v>
      </c>
      <c r="N4987" s="108"/>
      <c r="O4987" s="19" t="s">
        <v>4332</v>
      </c>
      <c r="P4987" s="20" t="s">
        <v>4326</v>
      </c>
      <c r="Q4987" s="19">
        <v>1398</v>
      </c>
    </row>
    <row r="4988" spans="1:17" ht="24.9" customHeight="1">
      <c r="A4988" s="20"/>
      <c r="B4988" s="20" t="s">
        <v>5101</v>
      </c>
      <c r="C4988" s="20"/>
      <c r="D4988" s="20" t="s">
        <v>4325</v>
      </c>
      <c r="E4988" s="19">
        <f>VLOOKUP(D4988,'لیست پرسنل'!$B$2:$E$1020,3,FALSE)</f>
        <v>0</v>
      </c>
      <c r="F4988" s="19">
        <f>VLOOKUP(D4988,'لیست پرسنل'!$B$2:$E$1020,4,FALSE)</f>
        <v>0</v>
      </c>
      <c r="G4988" s="127">
        <f>VLOOKUP(D4988,'لیست پرسنل'!$B$2:$F$1020,2,FALSE)</f>
        <v>0</v>
      </c>
      <c r="H4988" s="126" t="s">
        <v>4325</v>
      </c>
      <c r="I4988" s="128" t="s">
        <v>4325</v>
      </c>
      <c r="J4988" s="127" t="s">
        <v>571</v>
      </c>
      <c r="K4988" s="128" t="s">
        <v>1514</v>
      </c>
      <c r="L4988" s="127"/>
      <c r="M4988" s="128">
        <v>601431</v>
      </c>
      <c r="N4988" s="108"/>
      <c r="O4988" s="19" t="s">
        <v>4332</v>
      </c>
      <c r="P4988" s="20" t="s">
        <v>4326</v>
      </c>
      <c r="Q4988" s="19">
        <v>1398</v>
      </c>
    </row>
    <row r="4989" spans="1:17" ht="24.9" customHeight="1">
      <c r="A4989" s="20"/>
      <c r="B4989" s="20" t="s">
        <v>5101</v>
      </c>
      <c r="C4989" s="20"/>
      <c r="D4989" s="20" t="s">
        <v>4325</v>
      </c>
      <c r="E4989" s="19">
        <f>VLOOKUP(D4989,'لیست پرسنل'!$B$2:$E$1020,3,FALSE)</f>
        <v>0</v>
      </c>
      <c r="F4989" s="19">
        <f>VLOOKUP(D4989,'لیست پرسنل'!$B$2:$E$1020,4,FALSE)</f>
        <v>0</v>
      </c>
      <c r="G4989" s="127">
        <f>VLOOKUP(D4989,'لیست پرسنل'!$B$2:$F$1020,2,FALSE)</f>
        <v>0</v>
      </c>
      <c r="H4989" s="126" t="s">
        <v>4325</v>
      </c>
      <c r="I4989" s="128" t="s">
        <v>4325</v>
      </c>
      <c r="J4989" s="127" t="s">
        <v>571</v>
      </c>
      <c r="K4989" s="128" t="s">
        <v>1513</v>
      </c>
      <c r="L4989" s="127"/>
      <c r="M4989" s="128">
        <v>601868</v>
      </c>
      <c r="N4989" s="108"/>
      <c r="O4989" s="19" t="s">
        <v>4332</v>
      </c>
      <c r="P4989" s="20" t="s">
        <v>4326</v>
      </c>
      <c r="Q4989" s="19">
        <v>1398</v>
      </c>
    </row>
    <row r="4990" spans="1:17" ht="24.9" customHeight="1">
      <c r="A4990" s="20"/>
      <c r="B4990" s="20" t="s">
        <v>5101</v>
      </c>
      <c r="C4990" s="20"/>
      <c r="D4990" s="20" t="s">
        <v>4325</v>
      </c>
      <c r="E4990" s="19">
        <f>VLOOKUP(D4990,'لیست پرسنل'!$B$2:$E$1020,3,FALSE)</f>
        <v>0</v>
      </c>
      <c r="F4990" s="19">
        <f>VLOOKUP(D4990,'لیست پرسنل'!$B$2:$E$1020,4,FALSE)</f>
        <v>0</v>
      </c>
      <c r="G4990" s="127">
        <f>VLOOKUP(D4990,'لیست پرسنل'!$B$2:$F$1020,2,FALSE)</f>
        <v>0</v>
      </c>
      <c r="H4990" s="126" t="s">
        <v>4325</v>
      </c>
      <c r="I4990" s="128" t="s">
        <v>4325</v>
      </c>
      <c r="J4990" s="128" t="s">
        <v>571</v>
      </c>
      <c r="K4990" s="128" t="s">
        <v>1514</v>
      </c>
      <c r="L4990" s="128" t="s">
        <v>2652</v>
      </c>
      <c r="M4990" s="127">
        <v>602409</v>
      </c>
      <c r="N4990" s="108"/>
      <c r="O4990" s="19"/>
      <c r="P4990" s="20" t="s">
        <v>4326</v>
      </c>
      <c r="Q4990" s="19" t="s">
        <v>4327</v>
      </c>
    </row>
    <row r="4991" spans="1:17" ht="24.9" customHeight="1">
      <c r="A4991" s="20"/>
      <c r="B4991" s="20" t="s">
        <v>5101</v>
      </c>
      <c r="C4991" s="20"/>
      <c r="D4991" s="20" t="s">
        <v>4325</v>
      </c>
      <c r="E4991" s="19">
        <f>VLOOKUP(D4991,'لیست پرسنل'!$B$2:$E$1020,3,FALSE)</f>
        <v>0</v>
      </c>
      <c r="F4991" s="19">
        <f>VLOOKUP(D4991,'لیست پرسنل'!$B$2:$E$1020,4,FALSE)</f>
        <v>0</v>
      </c>
      <c r="G4991" s="127">
        <f>VLOOKUP(D4991,'لیست پرسنل'!$B$2:$F$1020,2,FALSE)</f>
        <v>0</v>
      </c>
      <c r="H4991" s="126" t="s">
        <v>4325</v>
      </c>
      <c r="I4991" s="128" t="s">
        <v>4325</v>
      </c>
      <c r="J4991" s="127" t="s">
        <v>571</v>
      </c>
      <c r="K4991" s="128" t="s">
        <v>1514</v>
      </c>
      <c r="L4991" s="127"/>
      <c r="M4991" s="128">
        <v>602476</v>
      </c>
      <c r="N4991" s="108"/>
      <c r="O4991" s="19" t="s">
        <v>4332</v>
      </c>
      <c r="P4991" s="20" t="s">
        <v>4326</v>
      </c>
      <c r="Q4991" s="19">
        <v>1398</v>
      </c>
    </row>
    <row r="4992" spans="1:17" ht="24.9" customHeight="1">
      <c r="A4992" s="20"/>
      <c r="B4992" s="20" t="s">
        <v>5101</v>
      </c>
      <c r="C4992" s="20"/>
      <c r="D4992" s="20" t="s">
        <v>4325</v>
      </c>
      <c r="E4992" s="19">
        <f>VLOOKUP(D4992,'لیست پرسنل'!$B$2:$E$1020,3,FALSE)</f>
        <v>0</v>
      </c>
      <c r="F4992" s="19">
        <f>VLOOKUP(D4992,'لیست پرسنل'!$B$2:$E$1020,4,FALSE)</f>
        <v>0</v>
      </c>
      <c r="G4992" s="127">
        <f>VLOOKUP(D4992,'لیست پرسنل'!$B$2:$F$1020,2,FALSE)</f>
        <v>0</v>
      </c>
      <c r="H4992" s="126" t="s">
        <v>4325</v>
      </c>
      <c r="I4992" s="128" t="s">
        <v>4325</v>
      </c>
      <c r="J4992" s="127" t="s">
        <v>571</v>
      </c>
      <c r="K4992" s="128" t="s">
        <v>816</v>
      </c>
      <c r="L4992" s="127"/>
      <c r="M4992" s="128">
        <v>602955</v>
      </c>
      <c r="N4992" s="108"/>
      <c r="O4992" s="19" t="s">
        <v>4332</v>
      </c>
      <c r="P4992" s="20" t="s">
        <v>4326</v>
      </c>
      <c r="Q4992" s="19">
        <v>1398</v>
      </c>
    </row>
    <row r="4993" spans="1:17" ht="24.9" customHeight="1">
      <c r="A4993" s="20"/>
      <c r="B4993" s="20" t="s">
        <v>5101</v>
      </c>
      <c r="C4993" s="20"/>
      <c r="D4993" s="20" t="s">
        <v>4325</v>
      </c>
      <c r="E4993" s="19">
        <f>VLOOKUP(D4993,'لیست پرسنل'!$B$2:$E$1020,3,FALSE)</f>
        <v>0</v>
      </c>
      <c r="F4993" s="19">
        <f>VLOOKUP(D4993,'لیست پرسنل'!$B$2:$E$1020,4,FALSE)</f>
        <v>0</v>
      </c>
      <c r="G4993" s="127">
        <f>VLOOKUP(D4993,'لیست پرسنل'!$B$2:$F$1020,2,FALSE)</f>
        <v>0</v>
      </c>
      <c r="H4993" s="126" t="s">
        <v>4325</v>
      </c>
      <c r="I4993" s="128" t="s">
        <v>4325</v>
      </c>
      <c r="J4993" s="127" t="s">
        <v>571</v>
      </c>
      <c r="K4993" s="128" t="s">
        <v>816</v>
      </c>
      <c r="L4993" s="127"/>
      <c r="M4993" s="128">
        <v>603162</v>
      </c>
      <c r="N4993" s="108"/>
      <c r="O4993" s="19" t="s">
        <v>4332</v>
      </c>
      <c r="P4993" s="20" t="s">
        <v>4326</v>
      </c>
      <c r="Q4993" s="19">
        <v>1398</v>
      </c>
    </row>
    <row r="4994" spans="1:17" ht="24.9" customHeight="1">
      <c r="A4994" s="20"/>
      <c r="B4994" s="20" t="s">
        <v>5101</v>
      </c>
      <c r="C4994" s="20"/>
      <c r="D4994" s="20" t="s">
        <v>4325</v>
      </c>
      <c r="E4994" s="19">
        <f>VLOOKUP(D4994,'لیست پرسنل'!$B$2:$E$1020,3,FALSE)</f>
        <v>0</v>
      </c>
      <c r="F4994" s="19">
        <f>VLOOKUP(D4994,'لیست پرسنل'!$B$2:$E$1020,4,FALSE)</f>
        <v>0</v>
      </c>
      <c r="G4994" s="127">
        <f>VLOOKUP(D4994,'لیست پرسنل'!$B$2:$F$1020,2,FALSE)</f>
        <v>0</v>
      </c>
      <c r="H4994" s="126" t="s">
        <v>4325</v>
      </c>
      <c r="I4994" s="128" t="s">
        <v>4325</v>
      </c>
      <c r="J4994" s="127" t="s">
        <v>571</v>
      </c>
      <c r="K4994" s="128" t="s">
        <v>1555</v>
      </c>
      <c r="L4994" s="127"/>
      <c r="M4994" s="128">
        <v>603296</v>
      </c>
      <c r="N4994" s="108"/>
      <c r="O4994" s="19" t="s">
        <v>4332</v>
      </c>
      <c r="P4994" s="20" t="s">
        <v>4326</v>
      </c>
      <c r="Q4994" s="19">
        <v>1398</v>
      </c>
    </row>
    <row r="4995" spans="1:17" ht="24.9" customHeight="1">
      <c r="A4995" s="20"/>
      <c r="B4995" s="20" t="s">
        <v>5101</v>
      </c>
      <c r="C4995" s="20"/>
      <c r="D4995" s="20" t="s">
        <v>4325</v>
      </c>
      <c r="E4995" s="19">
        <f>VLOOKUP(D4995,'لیست پرسنل'!$B$2:$E$1020,3,FALSE)</f>
        <v>0</v>
      </c>
      <c r="F4995" s="19">
        <f>VLOOKUP(D4995,'لیست پرسنل'!$B$2:$E$1020,4,FALSE)</f>
        <v>0</v>
      </c>
      <c r="G4995" s="127">
        <f>VLOOKUP(D4995,'لیست پرسنل'!$B$2:$F$1020,2,FALSE)</f>
        <v>0</v>
      </c>
      <c r="H4995" s="126" t="s">
        <v>4325</v>
      </c>
      <c r="I4995" s="128" t="s">
        <v>4325</v>
      </c>
      <c r="J4995" s="128" t="s">
        <v>571</v>
      </c>
      <c r="K4995" s="128" t="s">
        <v>1513</v>
      </c>
      <c r="L4995" s="127"/>
      <c r="M4995" s="128">
        <v>603580</v>
      </c>
      <c r="N4995" s="108"/>
      <c r="O4995" s="19" t="s">
        <v>4332</v>
      </c>
      <c r="P4995" s="20" t="s">
        <v>4326</v>
      </c>
      <c r="Q4995" s="19">
        <v>1398</v>
      </c>
    </row>
    <row r="4996" spans="1:17" ht="24.9" customHeight="1">
      <c r="A4996" s="20"/>
      <c r="B4996" s="20" t="s">
        <v>5101</v>
      </c>
      <c r="C4996" s="20"/>
      <c r="D4996" s="20" t="s">
        <v>4325</v>
      </c>
      <c r="E4996" s="19">
        <f>VLOOKUP(D4996,'لیست پرسنل'!$B$2:$E$1020,3,FALSE)</f>
        <v>0</v>
      </c>
      <c r="F4996" s="19">
        <f>VLOOKUP(D4996,'لیست پرسنل'!$B$2:$E$1020,4,FALSE)</f>
        <v>0</v>
      </c>
      <c r="G4996" s="127">
        <f>VLOOKUP(D4996,'لیست پرسنل'!$B$2:$F$1020,2,FALSE)</f>
        <v>0</v>
      </c>
      <c r="H4996" s="126" t="s">
        <v>4325</v>
      </c>
      <c r="I4996" s="128" t="s">
        <v>4325</v>
      </c>
      <c r="J4996" s="128" t="s">
        <v>571</v>
      </c>
      <c r="K4996" s="128"/>
      <c r="L4996" s="151"/>
      <c r="M4996" s="127">
        <v>603820</v>
      </c>
      <c r="N4996" s="109" t="s">
        <v>7312</v>
      </c>
      <c r="O4996" s="19"/>
      <c r="P4996" s="19" t="s">
        <v>4326</v>
      </c>
      <c r="Q4996" s="19">
        <v>1401</v>
      </c>
    </row>
    <row r="4997" spans="1:17" ht="24.9" customHeight="1">
      <c r="A4997" s="20"/>
      <c r="B4997" s="20" t="s">
        <v>5101</v>
      </c>
      <c r="C4997" s="20"/>
      <c r="D4997" s="20" t="s">
        <v>4325</v>
      </c>
      <c r="E4997" s="19">
        <f>VLOOKUP(D4997,'لیست پرسنل'!$B$2:$E$1020,3,FALSE)</f>
        <v>0</v>
      </c>
      <c r="F4997" s="19">
        <f>VLOOKUP(D4997,'لیست پرسنل'!$B$2:$E$1020,4,FALSE)</f>
        <v>0</v>
      </c>
      <c r="G4997" s="127">
        <f>VLOOKUP(D4997,'لیست پرسنل'!$B$2:$F$1020,2,FALSE)</f>
        <v>0</v>
      </c>
      <c r="H4997" s="126" t="s">
        <v>4325</v>
      </c>
      <c r="I4997" s="128" t="s">
        <v>4325</v>
      </c>
      <c r="J4997" s="128" t="s">
        <v>571</v>
      </c>
      <c r="K4997" s="128" t="s">
        <v>571</v>
      </c>
      <c r="L4997" s="151"/>
      <c r="M4997" s="127">
        <v>603823</v>
      </c>
      <c r="N4997" s="108"/>
      <c r="O4997" s="20" t="s">
        <v>4248</v>
      </c>
      <c r="P4997" s="20" t="s">
        <v>4326</v>
      </c>
      <c r="Q4997" s="19" t="s">
        <v>4327</v>
      </c>
    </row>
    <row r="4998" spans="1:17" ht="24.9" customHeight="1">
      <c r="A4998" s="20"/>
      <c r="B4998" s="20" t="s">
        <v>5101</v>
      </c>
      <c r="C4998" s="20"/>
      <c r="D4998" s="20" t="s">
        <v>4325</v>
      </c>
      <c r="E4998" s="19">
        <f>VLOOKUP(D4998,'لیست پرسنل'!$B$2:$E$1020,3,FALSE)</f>
        <v>0</v>
      </c>
      <c r="F4998" s="19">
        <f>VLOOKUP(D4998,'لیست پرسنل'!$B$2:$E$1020,4,FALSE)</f>
        <v>0</v>
      </c>
      <c r="G4998" s="127">
        <f>VLOOKUP(D4998,'لیست پرسنل'!$B$2:$F$1020,2,FALSE)</f>
        <v>0</v>
      </c>
      <c r="H4998" s="126" t="s">
        <v>4325</v>
      </c>
      <c r="I4998" s="128" t="s">
        <v>4325</v>
      </c>
      <c r="J4998" s="127" t="s">
        <v>571</v>
      </c>
      <c r="K4998" s="128" t="s">
        <v>1514</v>
      </c>
      <c r="L4998" s="127"/>
      <c r="M4998" s="128">
        <v>603952</v>
      </c>
      <c r="N4998" s="108"/>
      <c r="O4998" s="19" t="s">
        <v>4332</v>
      </c>
      <c r="P4998" s="20" t="s">
        <v>4326</v>
      </c>
      <c r="Q4998" s="19">
        <v>1398</v>
      </c>
    </row>
    <row r="4999" spans="1:17" ht="24.9" customHeight="1">
      <c r="A4999" s="20"/>
      <c r="B4999" s="20" t="s">
        <v>5101</v>
      </c>
      <c r="C4999" s="20"/>
      <c r="D4999" s="20" t="s">
        <v>4325</v>
      </c>
      <c r="E4999" s="19">
        <f>VLOOKUP(D4999,'لیست پرسنل'!$B$2:$E$1020,3,FALSE)</f>
        <v>0</v>
      </c>
      <c r="F4999" s="19">
        <f>VLOOKUP(D4999,'لیست پرسنل'!$B$2:$E$1020,4,FALSE)</f>
        <v>0</v>
      </c>
      <c r="G4999" s="127">
        <f>VLOOKUP(D4999,'لیست پرسنل'!$B$2:$F$1020,2,FALSE)</f>
        <v>0</v>
      </c>
      <c r="H4999" s="126" t="s">
        <v>4325</v>
      </c>
      <c r="I4999" s="128" t="s">
        <v>4325</v>
      </c>
      <c r="J4999" s="127" t="s">
        <v>571</v>
      </c>
      <c r="K4999" s="128" t="s">
        <v>1514</v>
      </c>
      <c r="L4999" s="127"/>
      <c r="M4999" s="128">
        <v>604016</v>
      </c>
      <c r="N4999" s="108"/>
      <c r="O4999" s="19" t="s">
        <v>4332</v>
      </c>
      <c r="P4999" s="20" t="s">
        <v>4326</v>
      </c>
      <c r="Q4999" s="19">
        <v>1398</v>
      </c>
    </row>
    <row r="5000" spans="1:17" ht="24.9" customHeight="1">
      <c r="A5000" s="20"/>
      <c r="B5000" s="20" t="s">
        <v>5101</v>
      </c>
      <c r="C5000" s="20"/>
      <c r="D5000" s="20" t="s">
        <v>4325</v>
      </c>
      <c r="E5000" s="19">
        <f>VLOOKUP(D5000,'لیست پرسنل'!$B$2:$E$1020,3,FALSE)</f>
        <v>0</v>
      </c>
      <c r="F5000" s="19">
        <f>VLOOKUP(D5000,'لیست پرسنل'!$B$2:$E$1020,4,FALSE)</f>
        <v>0</v>
      </c>
      <c r="G5000" s="127">
        <f>VLOOKUP(D5000,'لیست پرسنل'!$B$2:$F$1020,2,FALSE)</f>
        <v>0</v>
      </c>
      <c r="H5000" s="126" t="s">
        <v>4325</v>
      </c>
      <c r="I5000" s="128" t="s">
        <v>4325</v>
      </c>
      <c r="J5000" s="128" t="s">
        <v>571</v>
      </c>
      <c r="K5000" s="128"/>
      <c r="L5000" s="151"/>
      <c r="M5000" s="127">
        <v>604116</v>
      </c>
      <c r="N5000" s="109" t="s">
        <v>7312</v>
      </c>
      <c r="O5000" s="19"/>
      <c r="P5000" s="19" t="s">
        <v>4326</v>
      </c>
      <c r="Q5000" s="19">
        <v>1401</v>
      </c>
    </row>
    <row r="5001" spans="1:17" ht="24.9" customHeight="1">
      <c r="A5001" s="20"/>
      <c r="B5001" s="20" t="s">
        <v>5101</v>
      </c>
      <c r="C5001" s="20"/>
      <c r="D5001" s="20" t="s">
        <v>4325</v>
      </c>
      <c r="E5001" s="19">
        <f>VLOOKUP(D5001,'لیست پرسنل'!$B$2:$E$1020,3,FALSE)</f>
        <v>0</v>
      </c>
      <c r="F5001" s="19">
        <f>VLOOKUP(D5001,'لیست پرسنل'!$B$2:$E$1020,4,FALSE)</f>
        <v>0</v>
      </c>
      <c r="G5001" s="127">
        <f>VLOOKUP(D5001,'لیست پرسنل'!$B$2:$F$1020,2,FALSE)</f>
        <v>0</v>
      </c>
      <c r="H5001" s="126" t="s">
        <v>4325</v>
      </c>
      <c r="I5001" s="128" t="s">
        <v>4325</v>
      </c>
      <c r="J5001" s="127" t="s">
        <v>571</v>
      </c>
      <c r="K5001" s="128" t="s">
        <v>1514</v>
      </c>
      <c r="L5001" s="127"/>
      <c r="M5001" s="128">
        <v>604117</v>
      </c>
      <c r="N5001" s="108"/>
      <c r="O5001" s="19" t="s">
        <v>4332</v>
      </c>
      <c r="P5001" s="20" t="s">
        <v>4326</v>
      </c>
      <c r="Q5001" s="19">
        <v>1398</v>
      </c>
    </row>
    <row r="5002" spans="1:17" ht="24.9" customHeight="1">
      <c r="A5002" s="20"/>
      <c r="B5002" s="20" t="s">
        <v>5101</v>
      </c>
      <c r="C5002" s="20"/>
      <c r="D5002" s="20" t="s">
        <v>4325</v>
      </c>
      <c r="E5002" s="19">
        <f>VLOOKUP(D5002,'لیست پرسنل'!$B$2:$E$1020,3,FALSE)</f>
        <v>0</v>
      </c>
      <c r="F5002" s="19">
        <f>VLOOKUP(D5002,'لیست پرسنل'!$B$2:$E$1020,4,FALSE)</f>
        <v>0</v>
      </c>
      <c r="G5002" s="127">
        <f>VLOOKUP(D5002,'لیست پرسنل'!$B$2:$F$1020,2,FALSE)</f>
        <v>0</v>
      </c>
      <c r="H5002" s="126" t="s">
        <v>4325</v>
      </c>
      <c r="I5002" s="128" t="s">
        <v>4325</v>
      </c>
      <c r="J5002" s="127" t="s">
        <v>571</v>
      </c>
      <c r="K5002" s="128" t="s">
        <v>1555</v>
      </c>
      <c r="L5002" s="127"/>
      <c r="M5002" s="128">
        <v>604133</v>
      </c>
      <c r="N5002" s="108"/>
      <c r="O5002" s="19" t="s">
        <v>4332</v>
      </c>
      <c r="P5002" s="20" t="s">
        <v>4326</v>
      </c>
      <c r="Q5002" s="19">
        <v>1398</v>
      </c>
    </row>
    <row r="5003" spans="1:17" ht="24.9" customHeight="1">
      <c r="A5003" s="20"/>
      <c r="B5003" s="20" t="s">
        <v>5101</v>
      </c>
      <c r="C5003" s="20"/>
      <c r="D5003" s="20" t="s">
        <v>4325</v>
      </c>
      <c r="E5003" s="19">
        <f>VLOOKUP(D5003,'لیست پرسنل'!$B$2:$E$1020,3,FALSE)</f>
        <v>0</v>
      </c>
      <c r="F5003" s="19">
        <f>VLOOKUP(D5003,'لیست پرسنل'!$B$2:$E$1020,4,FALSE)</f>
        <v>0</v>
      </c>
      <c r="G5003" s="127">
        <f>VLOOKUP(D5003,'لیست پرسنل'!$B$2:$F$1020,2,FALSE)</f>
        <v>0</v>
      </c>
      <c r="H5003" s="126" t="s">
        <v>4325</v>
      </c>
      <c r="I5003" s="128" t="s">
        <v>4325</v>
      </c>
      <c r="J5003" s="127" t="s">
        <v>571</v>
      </c>
      <c r="K5003" s="128" t="s">
        <v>816</v>
      </c>
      <c r="L5003" s="127"/>
      <c r="M5003" s="128">
        <v>604316</v>
      </c>
      <c r="N5003" s="108"/>
      <c r="O5003" s="19" t="s">
        <v>4332</v>
      </c>
      <c r="P5003" s="20" t="s">
        <v>4326</v>
      </c>
      <c r="Q5003" s="19">
        <v>1398</v>
      </c>
    </row>
    <row r="5004" spans="1:17" ht="24.9" customHeight="1">
      <c r="A5004" s="20"/>
      <c r="B5004" s="20" t="s">
        <v>5101</v>
      </c>
      <c r="C5004" s="20"/>
      <c r="D5004" s="20" t="s">
        <v>4325</v>
      </c>
      <c r="E5004" s="19">
        <f>VLOOKUP(D5004,'لیست پرسنل'!$B$2:$E$1020,3,FALSE)</f>
        <v>0</v>
      </c>
      <c r="F5004" s="19">
        <f>VLOOKUP(D5004,'لیست پرسنل'!$B$2:$E$1020,4,FALSE)</f>
        <v>0</v>
      </c>
      <c r="G5004" s="127">
        <f>VLOOKUP(D5004,'لیست پرسنل'!$B$2:$F$1020,2,FALSE)</f>
        <v>0</v>
      </c>
      <c r="H5004" s="126" t="s">
        <v>4325</v>
      </c>
      <c r="I5004" s="128" t="s">
        <v>4325</v>
      </c>
      <c r="J5004" s="127" t="s">
        <v>571</v>
      </c>
      <c r="K5004" s="128" t="s">
        <v>1514</v>
      </c>
      <c r="L5004" s="127"/>
      <c r="M5004" s="128">
        <v>604318</v>
      </c>
      <c r="N5004" s="108"/>
      <c r="O5004" s="19" t="s">
        <v>4332</v>
      </c>
      <c r="P5004" s="20" t="s">
        <v>4326</v>
      </c>
      <c r="Q5004" s="19">
        <v>1398</v>
      </c>
    </row>
    <row r="5005" spans="1:17" ht="24.9" customHeight="1">
      <c r="A5005" s="20"/>
      <c r="B5005" s="20" t="s">
        <v>5101</v>
      </c>
      <c r="C5005" s="20"/>
      <c r="D5005" s="20" t="s">
        <v>4325</v>
      </c>
      <c r="E5005" s="19">
        <f>VLOOKUP(D5005,'لیست پرسنل'!$B$2:$E$1020,3,FALSE)</f>
        <v>0</v>
      </c>
      <c r="F5005" s="19">
        <f>VLOOKUP(D5005,'لیست پرسنل'!$B$2:$E$1020,4,FALSE)</f>
        <v>0</v>
      </c>
      <c r="G5005" s="127">
        <f>VLOOKUP(D5005,'لیست پرسنل'!$B$2:$F$1020,2,FALSE)</f>
        <v>0</v>
      </c>
      <c r="H5005" s="126" t="s">
        <v>4325</v>
      </c>
      <c r="I5005" s="128" t="s">
        <v>4325</v>
      </c>
      <c r="J5005" s="127" t="s">
        <v>571</v>
      </c>
      <c r="K5005" s="128" t="s">
        <v>816</v>
      </c>
      <c r="L5005" s="127"/>
      <c r="M5005" s="128">
        <v>604330</v>
      </c>
      <c r="N5005" s="108"/>
      <c r="O5005" s="19" t="s">
        <v>4332</v>
      </c>
      <c r="P5005" s="20" t="s">
        <v>4326</v>
      </c>
      <c r="Q5005" s="19">
        <v>1398</v>
      </c>
    </row>
    <row r="5006" spans="1:17" ht="24.9" customHeight="1">
      <c r="A5006" s="20"/>
      <c r="B5006" s="20" t="s">
        <v>5101</v>
      </c>
      <c r="C5006" s="20"/>
      <c r="D5006" s="20" t="s">
        <v>4325</v>
      </c>
      <c r="E5006" s="19">
        <f>VLOOKUP(D5006,'لیست پرسنل'!$B$2:$E$1020,3,FALSE)</f>
        <v>0</v>
      </c>
      <c r="F5006" s="19">
        <f>VLOOKUP(D5006,'لیست پرسنل'!$B$2:$E$1020,4,FALSE)</f>
        <v>0</v>
      </c>
      <c r="G5006" s="127">
        <f>VLOOKUP(D5006,'لیست پرسنل'!$B$2:$F$1020,2,FALSE)</f>
        <v>0</v>
      </c>
      <c r="H5006" s="126" t="s">
        <v>4325</v>
      </c>
      <c r="I5006" s="128" t="s">
        <v>4325</v>
      </c>
      <c r="J5006" s="127" t="s">
        <v>571</v>
      </c>
      <c r="K5006" s="128" t="s">
        <v>1514</v>
      </c>
      <c r="L5006" s="127"/>
      <c r="M5006" s="128">
        <v>604332</v>
      </c>
      <c r="N5006" s="108"/>
      <c r="O5006" s="19" t="s">
        <v>4332</v>
      </c>
      <c r="P5006" s="20" t="s">
        <v>4326</v>
      </c>
      <c r="Q5006" s="19">
        <v>1398</v>
      </c>
    </row>
    <row r="5007" spans="1:17" ht="24.9" customHeight="1">
      <c r="A5007" s="20"/>
      <c r="B5007" s="20" t="s">
        <v>5101</v>
      </c>
      <c r="C5007" s="20"/>
      <c r="D5007" s="20" t="s">
        <v>4325</v>
      </c>
      <c r="E5007" s="19">
        <f>VLOOKUP(D5007,'لیست پرسنل'!$B$2:$E$1020,3,FALSE)</f>
        <v>0</v>
      </c>
      <c r="F5007" s="19">
        <f>VLOOKUP(D5007,'لیست پرسنل'!$B$2:$E$1020,4,FALSE)</f>
        <v>0</v>
      </c>
      <c r="G5007" s="127">
        <f>VLOOKUP(D5007,'لیست پرسنل'!$B$2:$F$1020,2,FALSE)</f>
        <v>0</v>
      </c>
      <c r="H5007" s="126" t="s">
        <v>4325</v>
      </c>
      <c r="I5007" s="128" t="s">
        <v>4325</v>
      </c>
      <c r="J5007" s="127" t="s">
        <v>571</v>
      </c>
      <c r="K5007" s="128" t="s">
        <v>1514</v>
      </c>
      <c r="L5007" s="127"/>
      <c r="M5007" s="128">
        <v>604762</v>
      </c>
      <c r="N5007" s="108"/>
      <c r="O5007" s="19" t="s">
        <v>4332</v>
      </c>
      <c r="P5007" s="20" t="s">
        <v>4326</v>
      </c>
      <c r="Q5007" s="19">
        <v>1398</v>
      </c>
    </row>
    <row r="5008" spans="1:17" ht="24.9" customHeight="1">
      <c r="A5008" s="20"/>
      <c r="B5008" s="20" t="s">
        <v>5101</v>
      </c>
      <c r="C5008" s="20"/>
      <c r="D5008" s="20" t="s">
        <v>4325</v>
      </c>
      <c r="E5008" s="19">
        <f>VLOOKUP(D5008,'لیست پرسنل'!$B$2:$E$1020,3,FALSE)</f>
        <v>0</v>
      </c>
      <c r="F5008" s="19">
        <f>VLOOKUP(D5008,'لیست پرسنل'!$B$2:$E$1020,4,FALSE)</f>
        <v>0</v>
      </c>
      <c r="G5008" s="127">
        <f>VLOOKUP(D5008,'لیست پرسنل'!$B$2:$F$1020,2,FALSE)</f>
        <v>0</v>
      </c>
      <c r="H5008" s="126" t="s">
        <v>4325</v>
      </c>
      <c r="I5008" s="128" t="s">
        <v>4325</v>
      </c>
      <c r="J5008" s="127" t="s">
        <v>571</v>
      </c>
      <c r="K5008" s="128" t="s">
        <v>1514</v>
      </c>
      <c r="L5008" s="127"/>
      <c r="M5008" s="128">
        <v>604763</v>
      </c>
      <c r="N5008" s="108"/>
      <c r="O5008" s="19" t="s">
        <v>4332</v>
      </c>
      <c r="P5008" s="20" t="s">
        <v>4326</v>
      </c>
      <c r="Q5008" s="19">
        <v>1398</v>
      </c>
    </row>
    <row r="5009" spans="1:17" ht="24.9" customHeight="1">
      <c r="A5009" s="20"/>
      <c r="B5009" s="20" t="s">
        <v>5101</v>
      </c>
      <c r="C5009" s="20"/>
      <c r="D5009" s="20" t="s">
        <v>4325</v>
      </c>
      <c r="E5009" s="19">
        <f>VLOOKUP(D5009,'لیست پرسنل'!$B$2:$E$1020,3,FALSE)</f>
        <v>0</v>
      </c>
      <c r="F5009" s="19">
        <f>VLOOKUP(D5009,'لیست پرسنل'!$B$2:$E$1020,4,FALSE)</f>
        <v>0</v>
      </c>
      <c r="G5009" s="127">
        <f>VLOOKUP(D5009,'لیست پرسنل'!$B$2:$F$1020,2,FALSE)</f>
        <v>0</v>
      </c>
      <c r="H5009" s="126" t="s">
        <v>4325</v>
      </c>
      <c r="I5009" s="128" t="s">
        <v>4325</v>
      </c>
      <c r="J5009" s="127" t="s">
        <v>571</v>
      </c>
      <c r="K5009" s="128" t="s">
        <v>1514</v>
      </c>
      <c r="L5009" s="127"/>
      <c r="M5009" s="128">
        <v>604860</v>
      </c>
      <c r="N5009" s="108"/>
      <c r="O5009" s="19" t="s">
        <v>4332</v>
      </c>
      <c r="P5009" s="20" t="s">
        <v>4326</v>
      </c>
      <c r="Q5009" s="19">
        <v>1398</v>
      </c>
    </row>
    <row r="5010" spans="1:17" ht="24.9" customHeight="1">
      <c r="A5010" s="20"/>
      <c r="B5010" s="20" t="s">
        <v>5101</v>
      </c>
      <c r="C5010" s="20"/>
      <c r="D5010" s="20" t="s">
        <v>4325</v>
      </c>
      <c r="E5010" s="19">
        <f>VLOOKUP(D5010,'لیست پرسنل'!$B$2:$E$1020,3,FALSE)</f>
        <v>0</v>
      </c>
      <c r="F5010" s="19">
        <f>VLOOKUP(D5010,'لیست پرسنل'!$B$2:$E$1020,4,FALSE)</f>
        <v>0</v>
      </c>
      <c r="G5010" s="127">
        <f>VLOOKUP(D5010,'لیست پرسنل'!$B$2:$F$1020,2,FALSE)</f>
        <v>0</v>
      </c>
      <c r="H5010" s="126" t="s">
        <v>4325</v>
      </c>
      <c r="I5010" s="128" t="s">
        <v>4325</v>
      </c>
      <c r="J5010" s="127" t="s">
        <v>571</v>
      </c>
      <c r="K5010" s="128" t="s">
        <v>1514</v>
      </c>
      <c r="L5010" s="127"/>
      <c r="M5010" s="212">
        <v>604867</v>
      </c>
      <c r="N5010" s="232"/>
      <c r="O5010" s="19" t="s">
        <v>4332</v>
      </c>
      <c r="P5010" s="20" t="s">
        <v>4326</v>
      </c>
      <c r="Q5010" s="19">
        <v>1398</v>
      </c>
    </row>
    <row r="5011" spans="1:17" ht="24.9" customHeight="1">
      <c r="A5011" s="20"/>
      <c r="B5011" s="20" t="s">
        <v>5101</v>
      </c>
      <c r="C5011" s="20"/>
      <c r="D5011" s="20" t="s">
        <v>4325</v>
      </c>
      <c r="E5011" s="19">
        <f>VLOOKUP(D5011,'لیست پرسنل'!$B$2:$E$1020,3,FALSE)</f>
        <v>0</v>
      </c>
      <c r="F5011" s="19">
        <f>VLOOKUP(D5011,'لیست پرسنل'!$B$2:$E$1020,4,FALSE)</f>
        <v>0</v>
      </c>
      <c r="G5011" s="127">
        <f>VLOOKUP(D5011,'لیست پرسنل'!$B$2:$F$1020,2,FALSE)</f>
        <v>0</v>
      </c>
      <c r="H5011" s="126" t="s">
        <v>4325</v>
      </c>
      <c r="I5011" s="128" t="s">
        <v>4325</v>
      </c>
      <c r="J5011" s="127" t="s">
        <v>571</v>
      </c>
      <c r="K5011" s="128" t="s">
        <v>1514</v>
      </c>
      <c r="L5011" s="127"/>
      <c r="M5011" s="128">
        <v>605235</v>
      </c>
      <c r="N5011" s="109" t="s">
        <v>7312</v>
      </c>
      <c r="O5011" s="19" t="s">
        <v>4332</v>
      </c>
      <c r="P5011" s="20" t="s">
        <v>4326</v>
      </c>
      <c r="Q5011" s="19">
        <v>1398</v>
      </c>
    </row>
    <row r="5012" spans="1:17" ht="24.9" customHeight="1">
      <c r="A5012" s="20"/>
      <c r="B5012" s="20" t="s">
        <v>5101</v>
      </c>
      <c r="C5012" s="20"/>
      <c r="D5012" s="20" t="s">
        <v>4325</v>
      </c>
      <c r="E5012" s="19">
        <f>VLOOKUP(D5012,'لیست پرسنل'!$B$2:$E$1020,3,FALSE)</f>
        <v>0</v>
      </c>
      <c r="F5012" s="19">
        <f>VLOOKUP(D5012,'لیست پرسنل'!$B$2:$E$1020,4,FALSE)</f>
        <v>0</v>
      </c>
      <c r="G5012" s="127">
        <f>VLOOKUP(D5012,'لیست پرسنل'!$B$2:$F$1020,2,FALSE)</f>
        <v>0</v>
      </c>
      <c r="H5012" s="126" t="s">
        <v>4325</v>
      </c>
      <c r="I5012" s="128" t="s">
        <v>4325</v>
      </c>
      <c r="J5012" s="127" t="s">
        <v>571</v>
      </c>
      <c r="K5012" s="128" t="s">
        <v>1514</v>
      </c>
      <c r="L5012" s="127"/>
      <c r="M5012" s="128">
        <v>605584</v>
      </c>
      <c r="N5012" s="109" t="s">
        <v>7312</v>
      </c>
      <c r="O5012" s="19" t="s">
        <v>4332</v>
      </c>
      <c r="P5012" s="20" t="s">
        <v>4326</v>
      </c>
      <c r="Q5012" s="19">
        <v>1398</v>
      </c>
    </row>
    <row r="5013" spans="1:17" ht="24.9" customHeight="1">
      <c r="A5013" s="20"/>
      <c r="B5013" s="20" t="s">
        <v>5101</v>
      </c>
      <c r="C5013" s="19"/>
      <c r="D5013" s="19" t="s">
        <v>4325</v>
      </c>
      <c r="E5013" s="19">
        <f>VLOOKUP(D5013,'لیست پرسنل'!$B$2:$E$1020,3,FALSE)</f>
        <v>0</v>
      </c>
      <c r="F5013" s="19">
        <f>VLOOKUP(D5013,'لیست پرسنل'!$B$2:$E$1020,4,FALSE)</f>
        <v>0</v>
      </c>
      <c r="G5013" s="127">
        <f>VLOOKUP(D5013,'لیست پرسنل'!$B$2:$F$1020,2,FALSE)</f>
        <v>0</v>
      </c>
      <c r="H5013" s="127" t="s">
        <v>4325</v>
      </c>
      <c r="I5013" s="127" t="s">
        <v>4325</v>
      </c>
      <c r="J5013" s="128" t="s">
        <v>571</v>
      </c>
      <c r="K5013" s="127" t="s">
        <v>816</v>
      </c>
      <c r="L5013" s="140"/>
      <c r="M5013" s="127">
        <v>605585</v>
      </c>
      <c r="N5013" s="109" t="s">
        <v>7312</v>
      </c>
      <c r="O5013" s="28"/>
      <c r="P5013" s="20"/>
      <c r="Q5013" s="20"/>
    </row>
    <row r="5014" spans="1:17" ht="24.9" customHeight="1">
      <c r="A5014" s="20"/>
      <c r="B5014" s="20" t="s">
        <v>5101</v>
      </c>
      <c r="C5014" s="20"/>
      <c r="D5014" s="20" t="s">
        <v>4325</v>
      </c>
      <c r="E5014" s="19">
        <f>VLOOKUP(D5014,'لیست پرسنل'!$B$2:$E$1020,3,FALSE)</f>
        <v>0</v>
      </c>
      <c r="F5014" s="19">
        <f>VLOOKUP(D5014,'لیست پرسنل'!$B$2:$E$1020,4,FALSE)</f>
        <v>0</v>
      </c>
      <c r="G5014" s="127">
        <f>VLOOKUP(D5014,'لیست پرسنل'!$B$2:$F$1020,2,FALSE)</f>
        <v>0</v>
      </c>
      <c r="H5014" s="126" t="s">
        <v>4325</v>
      </c>
      <c r="I5014" s="128" t="s">
        <v>4325</v>
      </c>
      <c r="J5014" s="127" t="s">
        <v>571</v>
      </c>
      <c r="K5014" s="128" t="s">
        <v>816</v>
      </c>
      <c r="L5014" s="127"/>
      <c r="M5014" s="128">
        <v>605604</v>
      </c>
      <c r="N5014" s="108"/>
      <c r="O5014" s="19" t="s">
        <v>4332</v>
      </c>
      <c r="P5014" s="20" t="s">
        <v>4326</v>
      </c>
      <c r="Q5014" s="19">
        <v>1398</v>
      </c>
    </row>
    <row r="5015" spans="1:17" ht="24.9" customHeight="1">
      <c r="A5015" s="20"/>
      <c r="B5015" s="20" t="s">
        <v>5101</v>
      </c>
      <c r="C5015" s="20"/>
      <c r="D5015" s="20" t="s">
        <v>4325</v>
      </c>
      <c r="E5015" s="19">
        <f>VLOOKUP(D5015,'لیست پرسنل'!$B$2:$E$1020,3,FALSE)</f>
        <v>0</v>
      </c>
      <c r="F5015" s="19">
        <f>VLOOKUP(D5015,'لیست پرسنل'!$B$2:$E$1020,4,FALSE)</f>
        <v>0</v>
      </c>
      <c r="G5015" s="127">
        <f>VLOOKUP(D5015,'لیست پرسنل'!$B$2:$F$1020,2,FALSE)</f>
        <v>0</v>
      </c>
      <c r="H5015" s="126" t="s">
        <v>4325</v>
      </c>
      <c r="I5015" s="128" t="s">
        <v>4325</v>
      </c>
      <c r="J5015" s="127" t="s">
        <v>571</v>
      </c>
      <c r="K5015" s="128" t="s">
        <v>816</v>
      </c>
      <c r="L5015" s="127"/>
      <c r="M5015" s="128">
        <v>605612</v>
      </c>
      <c r="N5015" s="108"/>
      <c r="O5015" s="19" t="s">
        <v>4332</v>
      </c>
      <c r="P5015" s="20" t="s">
        <v>4326</v>
      </c>
      <c r="Q5015" s="19">
        <v>1398</v>
      </c>
    </row>
    <row r="5016" spans="1:17" ht="24.9" customHeight="1">
      <c r="A5016" s="20"/>
      <c r="B5016" s="20" t="s">
        <v>5101</v>
      </c>
      <c r="C5016" s="20"/>
      <c r="D5016" s="20" t="s">
        <v>4325</v>
      </c>
      <c r="E5016" s="19">
        <f>VLOOKUP(D5016,'لیست پرسنل'!$B$2:$E$1020,3,FALSE)</f>
        <v>0</v>
      </c>
      <c r="F5016" s="19">
        <f>VLOOKUP(D5016,'لیست پرسنل'!$B$2:$E$1020,4,FALSE)</f>
        <v>0</v>
      </c>
      <c r="G5016" s="127">
        <f>VLOOKUP(D5016,'لیست پرسنل'!$B$2:$F$1020,2,FALSE)</f>
        <v>0</v>
      </c>
      <c r="H5016" s="126" t="s">
        <v>4325</v>
      </c>
      <c r="I5016" s="128" t="s">
        <v>4325</v>
      </c>
      <c r="J5016" s="127" t="s">
        <v>571</v>
      </c>
      <c r="K5016" s="128" t="s">
        <v>1575</v>
      </c>
      <c r="L5016" s="127"/>
      <c r="M5016" s="128">
        <v>605712</v>
      </c>
      <c r="N5016" s="108"/>
      <c r="O5016" s="19" t="s">
        <v>4332</v>
      </c>
      <c r="P5016" s="20" t="s">
        <v>4326</v>
      </c>
      <c r="Q5016" s="19">
        <v>1398</v>
      </c>
    </row>
    <row r="5017" spans="1:17" ht="24.9" customHeight="1">
      <c r="A5017" s="20"/>
      <c r="B5017" s="20" t="s">
        <v>5101</v>
      </c>
      <c r="C5017" s="20"/>
      <c r="D5017" s="20" t="s">
        <v>4325</v>
      </c>
      <c r="E5017" s="19">
        <f>VLOOKUP(D5017,'لیست پرسنل'!$B$2:$E$1020,3,FALSE)</f>
        <v>0</v>
      </c>
      <c r="F5017" s="19">
        <f>VLOOKUP(D5017,'لیست پرسنل'!$B$2:$E$1020,4,FALSE)</f>
        <v>0</v>
      </c>
      <c r="G5017" s="127">
        <f>VLOOKUP(D5017,'لیست پرسنل'!$B$2:$F$1020,2,FALSE)</f>
        <v>0</v>
      </c>
      <c r="H5017" s="126" t="s">
        <v>4325</v>
      </c>
      <c r="I5017" s="128" t="s">
        <v>4325</v>
      </c>
      <c r="J5017" s="127" t="s">
        <v>571</v>
      </c>
      <c r="K5017" s="128" t="s">
        <v>1514</v>
      </c>
      <c r="L5017" s="127"/>
      <c r="M5017" s="128">
        <v>605810</v>
      </c>
      <c r="N5017" s="108"/>
      <c r="O5017" s="19" t="s">
        <v>4332</v>
      </c>
      <c r="P5017" s="20" t="s">
        <v>4326</v>
      </c>
      <c r="Q5017" s="19">
        <v>1398</v>
      </c>
    </row>
    <row r="5018" spans="1:17" ht="24.9" customHeight="1">
      <c r="A5018" s="20"/>
      <c r="B5018" s="20" t="s">
        <v>5101</v>
      </c>
      <c r="C5018" s="20"/>
      <c r="D5018" s="20" t="s">
        <v>4325</v>
      </c>
      <c r="E5018" s="19">
        <f>VLOOKUP(D5018,'لیست پرسنل'!$B$2:$E$1020,3,FALSE)</f>
        <v>0</v>
      </c>
      <c r="F5018" s="19">
        <f>VLOOKUP(D5018,'لیست پرسنل'!$B$2:$E$1020,4,FALSE)</f>
        <v>0</v>
      </c>
      <c r="G5018" s="127">
        <f>VLOOKUP(D5018,'لیست پرسنل'!$B$2:$F$1020,2,FALSE)</f>
        <v>0</v>
      </c>
      <c r="H5018" s="126" t="s">
        <v>4325</v>
      </c>
      <c r="I5018" s="128" t="s">
        <v>4325</v>
      </c>
      <c r="J5018" s="127" t="s">
        <v>571</v>
      </c>
      <c r="K5018" s="128" t="s">
        <v>1514</v>
      </c>
      <c r="L5018" s="127"/>
      <c r="M5018" s="128">
        <v>605814</v>
      </c>
      <c r="N5018" s="108"/>
      <c r="O5018" s="19" t="s">
        <v>4332</v>
      </c>
      <c r="P5018" s="20" t="s">
        <v>4326</v>
      </c>
      <c r="Q5018" s="19">
        <v>1398</v>
      </c>
    </row>
    <row r="5019" spans="1:17" ht="24.9" customHeight="1">
      <c r="A5019" s="20"/>
      <c r="B5019" s="20" t="s">
        <v>5101</v>
      </c>
      <c r="C5019" s="20"/>
      <c r="D5019" s="20" t="s">
        <v>4325</v>
      </c>
      <c r="E5019" s="19">
        <f>VLOOKUP(D5019,'لیست پرسنل'!$B$2:$E$1020,3,FALSE)</f>
        <v>0</v>
      </c>
      <c r="F5019" s="19">
        <f>VLOOKUP(D5019,'لیست پرسنل'!$B$2:$E$1020,4,FALSE)</f>
        <v>0</v>
      </c>
      <c r="G5019" s="127">
        <f>VLOOKUP(D5019,'لیست پرسنل'!$B$2:$F$1020,2,FALSE)</f>
        <v>0</v>
      </c>
      <c r="H5019" s="126" t="s">
        <v>4325</v>
      </c>
      <c r="I5019" s="128" t="s">
        <v>4325</v>
      </c>
      <c r="J5019" s="127" t="s">
        <v>571</v>
      </c>
      <c r="K5019" s="128" t="s">
        <v>816</v>
      </c>
      <c r="L5019" s="127"/>
      <c r="M5019" s="128">
        <v>605829</v>
      </c>
      <c r="N5019" s="109" t="s">
        <v>7312</v>
      </c>
      <c r="O5019" s="19" t="s">
        <v>4332</v>
      </c>
      <c r="P5019" s="20" t="s">
        <v>4326</v>
      </c>
      <c r="Q5019" s="19">
        <v>1398</v>
      </c>
    </row>
    <row r="5020" spans="1:17" ht="24.9" customHeight="1">
      <c r="A5020" s="20"/>
      <c r="B5020" s="20" t="s">
        <v>5101</v>
      </c>
      <c r="C5020" s="20"/>
      <c r="D5020" s="20" t="s">
        <v>4325</v>
      </c>
      <c r="E5020" s="19">
        <f>VLOOKUP(D5020,'لیست پرسنل'!$B$2:$E$1020,3,FALSE)</f>
        <v>0</v>
      </c>
      <c r="F5020" s="19">
        <f>VLOOKUP(D5020,'لیست پرسنل'!$B$2:$E$1020,4,FALSE)</f>
        <v>0</v>
      </c>
      <c r="G5020" s="127">
        <f>VLOOKUP(D5020,'لیست پرسنل'!$B$2:$F$1020,2,FALSE)</f>
        <v>0</v>
      </c>
      <c r="H5020" s="126" t="s">
        <v>4325</v>
      </c>
      <c r="I5020" s="128" t="s">
        <v>4325</v>
      </c>
      <c r="J5020" s="127" t="s">
        <v>571</v>
      </c>
      <c r="K5020" s="128" t="s">
        <v>816</v>
      </c>
      <c r="L5020" s="127"/>
      <c r="M5020" s="128">
        <v>605831</v>
      </c>
      <c r="N5020" s="108"/>
      <c r="O5020" s="19" t="s">
        <v>4332</v>
      </c>
      <c r="P5020" s="20" t="s">
        <v>4326</v>
      </c>
      <c r="Q5020" s="19">
        <v>1398</v>
      </c>
    </row>
    <row r="5021" spans="1:17" ht="24.9" customHeight="1">
      <c r="A5021" s="20"/>
      <c r="B5021" s="20" t="s">
        <v>5101</v>
      </c>
      <c r="C5021" s="20"/>
      <c r="D5021" s="20" t="s">
        <v>4325</v>
      </c>
      <c r="E5021" s="19">
        <f>VLOOKUP(D5021,'لیست پرسنل'!$B$2:$E$1020,3,FALSE)</f>
        <v>0</v>
      </c>
      <c r="F5021" s="19">
        <f>VLOOKUP(D5021,'لیست پرسنل'!$B$2:$E$1020,4,FALSE)</f>
        <v>0</v>
      </c>
      <c r="G5021" s="127">
        <f>VLOOKUP(D5021,'لیست پرسنل'!$B$2:$F$1020,2,FALSE)</f>
        <v>0</v>
      </c>
      <c r="H5021" s="126" t="s">
        <v>4325</v>
      </c>
      <c r="I5021" s="128" t="s">
        <v>4325</v>
      </c>
      <c r="J5021" s="127" t="s">
        <v>571</v>
      </c>
      <c r="K5021" s="128" t="s">
        <v>816</v>
      </c>
      <c r="L5021" s="127"/>
      <c r="M5021" s="128">
        <v>605976</v>
      </c>
      <c r="N5021" s="108"/>
      <c r="O5021" s="19" t="s">
        <v>4332</v>
      </c>
      <c r="P5021" s="20" t="s">
        <v>4326</v>
      </c>
      <c r="Q5021" s="19">
        <v>1398</v>
      </c>
    </row>
    <row r="5022" spans="1:17" ht="24.9" customHeight="1">
      <c r="A5022" s="20"/>
      <c r="B5022" s="20" t="s">
        <v>5101</v>
      </c>
      <c r="C5022" s="20"/>
      <c r="D5022" s="20" t="s">
        <v>4325</v>
      </c>
      <c r="E5022" s="19">
        <f>VLOOKUP(D5022,'لیست پرسنل'!$B$2:$E$1020,3,FALSE)</f>
        <v>0</v>
      </c>
      <c r="F5022" s="19">
        <f>VLOOKUP(D5022,'لیست پرسنل'!$B$2:$E$1020,4,FALSE)</f>
        <v>0</v>
      </c>
      <c r="G5022" s="127">
        <f>VLOOKUP(D5022,'لیست پرسنل'!$B$2:$F$1020,2,FALSE)</f>
        <v>0</v>
      </c>
      <c r="H5022" s="126" t="s">
        <v>4325</v>
      </c>
      <c r="I5022" s="128" t="s">
        <v>4325</v>
      </c>
      <c r="J5022" s="127" t="s">
        <v>571</v>
      </c>
      <c r="K5022" s="128" t="s">
        <v>1514</v>
      </c>
      <c r="L5022" s="127"/>
      <c r="M5022" s="128">
        <v>606004</v>
      </c>
      <c r="N5022" s="108"/>
      <c r="O5022" s="19" t="s">
        <v>4332</v>
      </c>
      <c r="P5022" s="20" t="s">
        <v>4326</v>
      </c>
      <c r="Q5022" s="19">
        <v>1398</v>
      </c>
    </row>
    <row r="5023" spans="1:17" ht="24.9" customHeight="1">
      <c r="A5023" s="20"/>
      <c r="B5023" s="20" t="s">
        <v>5101</v>
      </c>
      <c r="C5023" s="20"/>
      <c r="D5023" s="20" t="s">
        <v>4325</v>
      </c>
      <c r="E5023" s="19">
        <f>VLOOKUP(D5023,'لیست پرسنل'!$B$2:$E$1020,3,FALSE)</f>
        <v>0</v>
      </c>
      <c r="F5023" s="19">
        <f>VLOOKUP(D5023,'لیست پرسنل'!$B$2:$E$1020,4,FALSE)</f>
        <v>0</v>
      </c>
      <c r="G5023" s="127">
        <f>VLOOKUP(D5023,'لیست پرسنل'!$B$2:$F$1020,2,FALSE)</f>
        <v>0</v>
      </c>
      <c r="H5023" s="126" t="s">
        <v>4325</v>
      </c>
      <c r="I5023" s="128" t="s">
        <v>4325</v>
      </c>
      <c r="J5023" s="128" t="s">
        <v>571</v>
      </c>
      <c r="K5023" s="128"/>
      <c r="L5023" s="151"/>
      <c r="M5023" s="127">
        <v>606005</v>
      </c>
      <c r="N5023" s="109"/>
      <c r="O5023" s="19" t="s">
        <v>2725</v>
      </c>
      <c r="P5023" s="19" t="s">
        <v>4326</v>
      </c>
      <c r="Q5023" s="19">
        <v>1401</v>
      </c>
    </row>
    <row r="5024" spans="1:17" ht="24.9" customHeight="1">
      <c r="A5024" s="20"/>
      <c r="B5024" s="20" t="s">
        <v>5101</v>
      </c>
      <c r="C5024" s="20"/>
      <c r="D5024" s="20" t="s">
        <v>4325</v>
      </c>
      <c r="E5024" s="19">
        <f>VLOOKUP(D5024,'لیست پرسنل'!$B$2:$E$1020,3,FALSE)</f>
        <v>0</v>
      </c>
      <c r="F5024" s="19">
        <f>VLOOKUP(D5024,'لیست پرسنل'!$B$2:$E$1020,4,FALSE)</f>
        <v>0</v>
      </c>
      <c r="G5024" s="127">
        <f>VLOOKUP(D5024,'لیست پرسنل'!$B$2:$F$1020,2,FALSE)</f>
        <v>0</v>
      </c>
      <c r="H5024" s="126" t="s">
        <v>4325</v>
      </c>
      <c r="I5024" s="128" t="s">
        <v>4325</v>
      </c>
      <c r="J5024" s="127" t="s">
        <v>571</v>
      </c>
      <c r="K5024" s="128" t="s">
        <v>816</v>
      </c>
      <c r="L5024" s="127"/>
      <c r="M5024" s="128">
        <v>606071</v>
      </c>
      <c r="N5024" s="108"/>
      <c r="O5024" s="19" t="s">
        <v>4332</v>
      </c>
      <c r="P5024" s="20" t="s">
        <v>4326</v>
      </c>
      <c r="Q5024" s="19">
        <v>1398</v>
      </c>
    </row>
    <row r="5025" spans="1:17" ht="24.9" customHeight="1">
      <c r="A5025" s="20"/>
      <c r="B5025" s="20" t="s">
        <v>5101</v>
      </c>
      <c r="C5025" s="20"/>
      <c r="D5025" s="20" t="s">
        <v>4325</v>
      </c>
      <c r="E5025" s="19">
        <f>VLOOKUP(D5025,'لیست پرسنل'!$B$2:$E$1020,3,FALSE)</f>
        <v>0</v>
      </c>
      <c r="F5025" s="19">
        <f>VLOOKUP(D5025,'لیست پرسنل'!$B$2:$E$1020,4,FALSE)</f>
        <v>0</v>
      </c>
      <c r="G5025" s="127">
        <f>VLOOKUP(D5025,'لیست پرسنل'!$B$2:$F$1020,2,FALSE)</f>
        <v>0</v>
      </c>
      <c r="H5025" s="126" t="s">
        <v>4325</v>
      </c>
      <c r="I5025" s="128" t="s">
        <v>4325</v>
      </c>
      <c r="J5025" s="127" t="s">
        <v>571</v>
      </c>
      <c r="K5025" s="128" t="s">
        <v>816</v>
      </c>
      <c r="L5025" s="127"/>
      <c r="M5025" s="128">
        <v>606072</v>
      </c>
      <c r="N5025" s="108"/>
      <c r="O5025" s="19" t="s">
        <v>4332</v>
      </c>
      <c r="P5025" s="20" t="s">
        <v>4326</v>
      </c>
      <c r="Q5025" s="19">
        <v>1398</v>
      </c>
    </row>
    <row r="5026" spans="1:17" ht="24.9" customHeight="1">
      <c r="A5026" s="20"/>
      <c r="B5026" s="20" t="s">
        <v>5101</v>
      </c>
      <c r="C5026" s="20"/>
      <c r="D5026" s="20" t="s">
        <v>4325</v>
      </c>
      <c r="E5026" s="19">
        <f>VLOOKUP(D5026,'لیست پرسنل'!$B$2:$E$1020,3,FALSE)</f>
        <v>0</v>
      </c>
      <c r="F5026" s="19">
        <f>VLOOKUP(D5026,'لیست پرسنل'!$B$2:$E$1020,4,FALSE)</f>
        <v>0</v>
      </c>
      <c r="G5026" s="127">
        <f>VLOOKUP(D5026,'لیست پرسنل'!$B$2:$F$1020,2,FALSE)</f>
        <v>0</v>
      </c>
      <c r="H5026" s="126" t="s">
        <v>4325</v>
      </c>
      <c r="I5026" s="128" t="s">
        <v>4325</v>
      </c>
      <c r="J5026" s="127" t="s">
        <v>571</v>
      </c>
      <c r="K5026" s="128" t="s">
        <v>816</v>
      </c>
      <c r="L5026" s="127"/>
      <c r="M5026" s="128">
        <v>606140</v>
      </c>
      <c r="N5026" s="108"/>
      <c r="O5026" s="19" t="s">
        <v>4332</v>
      </c>
      <c r="P5026" s="20" t="s">
        <v>4326</v>
      </c>
      <c r="Q5026" s="19">
        <v>1398</v>
      </c>
    </row>
    <row r="5027" spans="1:17" ht="24.9" customHeight="1">
      <c r="A5027" s="20"/>
      <c r="B5027" s="20" t="s">
        <v>5101</v>
      </c>
      <c r="C5027" s="20"/>
      <c r="D5027" s="20" t="s">
        <v>4325</v>
      </c>
      <c r="E5027" s="19">
        <f>VLOOKUP(D5027,'لیست پرسنل'!$B$2:$E$1020,3,FALSE)</f>
        <v>0</v>
      </c>
      <c r="F5027" s="19">
        <f>VLOOKUP(D5027,'لیست پرسنل'!$B$2:$E$1020,4,FALSE)</f>
        <v>0</v>
      </c>
      <c r="G5027" s="127">
        <f>VLOOKUP(D5027,'لیست پرسنل'!$B$2:$F$1020,2,FALSE)</f>
        <v>0</v>
      </c>
      <c r="H5027" s="126" t="s">
        <v>4325</v>
      </c>
      <c r="I5027" s="128" t="s">
        <v>4325</v>
      </c>
      <c r="J5027" s="127" t="s">
        <v>571</v>
      </c>
      <c r="K5027" s="128" t="s">
        <v>1514</v>
      </c>
      <c r="L5027" s="127"/>
      <c r="M5027" s="128">
        <v>606150</v>
      </c>
      <c r="N5027" s="108"/>
      <c r="O5027" s="19" t="s">
        <v>4332</v>
      </c>
      <c r="P5027" s="20" t="s">
        <v>4326</v>
      </c>
      <c r="Q5027" s="19">
        <v>1398</v>
      </c>
    </row>
    <row r="5028" spans="1:17" ht="24.9" customHeight="1">
      <c r="A5028" s="20"/>
      <c r="B5028" s="20" t="s">
        <v>5101</v>
      </c>
      <c r="C5028" s="20"/>
      <c r="D5028" s="20" t="s">
        <v>4325</v>
      </c>
      <c r="E5028" s="19">
        <f>VLOOKUP(D5028,'لیست پرسنل'!$B$2:$E$1020,3,FALSE)</f>
        <v>0</v>
      </c>
      <c r="F5028" s="19">
        <f>VLOOKUP(D5028,'لیست پرسنل'!$B$2:$E$1020,4,FALSE)</f>
        <v>0</v>
      </c>
      <c r="G5028" s="127">
        <f>VLOOKUP(D5028,'لیست پرسنل'!$B$2:$F$1020,2,FALSE)</f>
        <v>0</v>
      </c>
      <c r="H5028" s="126" t="s">
        <v>4325</v>
      </c>
      <c r="I5028" s="128" t="s">
        <v>4325</v>
      </c>
      <c r="J5028" s="127" t="s">
        <v>571</v>
      </c>
      <c r="K5028" s="128" t="s">
        <v>1513</v>
      </c>
      <c r="L5028" s="127"/>
      <c r="M5028" s="128">
        <v>606360</v>
      </c>
      <c r="N5028" s="108"/>
      <c r="O5028" s="19" t="s">
        <v>4332</v>
      </c>
      <c r="P5028" s="20" t="s">
        <v>4326</v>
      </c>
      <c r="Q5028" s="19">
        <v>1398</v>
      </c>
    </row>
    <row r="5029" spans="1:17" ht="24.9" customHeight="1">
      <c r="A5029" s="20"/>
      <c r="B5029" s="20" t="s">
        <v>5101</v>
      </c>
      <c r="C5029" s="20"/>
      <c r="D5029" s="20" t="s">
        <v>4325</v>
      </c>
      <c r="E5029" s="19">
        <f>VLOOKUP(D5029,'لیست پرسنل'!$B$2:$E$1020,3,FALSE)</f>
        <v>0</v>
      </c>
      <c r="F5029" s="19">
        <f>VLOOKUP(D5029,'لیست پرسنل'!$B$2:$E$1020,4,FALSE)</f>
        <v>0</v>
      </c>
      <c r="G5029" s="127">
        <f>VLOOKUP(D5029,'لیست پرسنل'!$B$2:$F$1020,2,FALSE)</f>
        <v>0</v>
      </c>
      <c r="H5029" s="126" t="s">
        <v>4325</v>
      </c>
      <c r="I5029" s="128" t="s">
        <v>4325</v>
      </c>
      <c r="J5029" s="128" t="s">
        <v>571</v>
      </c>
      <c r="K5029" s="128"/>
      <c r="L5029" s="151" t="s">
        <v>51</v>
      </c>
      <c r="M5029" s="127">
        <v>606435</v>
      </c>
      <c r="N5029" s="109"/>
      <c r="O5029" s="19" t="s">
        <v>2725</v>
      </c>
      <c r="P5029" s="19" t="s">
        <v>4326</v>
      </c>
      <c r="Q5029" s="19">
        <v>1401</v>
      </c>
    </row>
    <row r="5030" spans="1:17" ht="24.9" customHeight="1">
      <c r="A5030" s="20"/>
      <c r="B5030" s="20" t="s">
        <v>5101</v>
      </c>
      <c r="C5030" s="20"/>
      <c r="D5030" s="20" t="s">
        <v>4325</v>
      </c>
      <c r="E5030" s="19">
        <f>VLOOKUP(D5030,'لیست پرسنل'!$B$2:$E$1020,3,FALSE)</f>
        <v>0</v>
      </c>
      <c r="F5030" s="19">
        <f>VLOOKUP(D5030,'لیست پرسنل'!$B$2:$E$1020,4,FALSE)</f>
        <v>0</v>
      </c>
      <c r="G5030" s="127">
        <f>VLOOKUP(D5030,'لیست پرسنل'!$B$2:$F$1020,2,FALSE)</f>
        <v>0</v>
      </c>
      <c r="H5030" s="126" t="s">
        <v>4325</v>
      </c>
      <c r="I5030" s="128" t="s">
        <v>4325</v>
      </c>
      <c r="J5030" s="128" t="s">
        <v>571</v>
      </c>
      <c r="K5030" s="128"/>
      <c r="L5030" s="151"/>
      <c r="M5030" s="127">
        <v>606504</v>
      </c>
      <c r="N5030" s="109" t="s">
        <v>7312</v>
      </c>
      <c r="O5030" s="19" t="s">
        <v>1585</v>
      </c>
      <c r="P5030" s="19" t="s">
        <v>4326</v>
      </c>
      <c r="Q5030" s="19">
        <v>1401</v>
      </c>
    </row>
    <row r="5031" spans="1:17" ht="24.9" customHeight="1">
      <c r="A5031" s="20"/>
      <c r="B5031" s="20" t="s">
        <v>5101</v>
      </c>
      <c r="C5031" s="20"/>
      <c r="D5031" s="20" t="s">
        <v>4325</v>
      </c>
      <c r="E5031" s="19">
        <f>VLOOKUP(D5031,'لیست پرسنل'!$B$2:$E$1020,3,FALSE)</f>
        <v>0</v>
      </c>
      <c r="F5031" s="19">
        <f>VLOOKUP(D5031,'لیست پرسنل'!$B$2:$E$1020,4,FALSE)</f>
        <v>0</v>
      </c>
      <c r="G5031" s="127">
        <f>VLOOKUP(D5031,'لیست پرسنل'!$B$2:$F$1020,2,FALSE)</f>
        <v>0</v>
      </c>
      <c r="H5031" s="126" t="s">
        <v>4325</v>
      </c>
      <c r="I5031" s="128" t="s">
        <v>4325</v>
      </c>
      <c r="J5031" s="128" t="s">
        <v>571</v>
      </c>
      <c r="K5031" s="128"/>
      <c r="L5031" s="151"/>
      <c r="M5031" s="127">
        <v>606505</v>
      </c>
      <c r="N5031" s="109" t="s">
        <v>7312</v>
      </c>
      <c r="O5031" s="19" t="s">
        <v>1585</v>
      </c>
      <c r="P5031" s="19" t="s">
        <v>4326</v>
      </c>
      <c r="Q5031" s="19">
        <v>1401</v>
      </c>
    </row>
    <row r="5032" spans="1:17" ht="24.9" customHeight="1">
      <c r="A5032" s="20"/>
      <c r="B5032" s="20" t="s">
        <v>5101</v>
      </c>
      <c r="C5032" s="20"/>
      <c r="D5032" s="20" t="s">
        <v>4325</v>
      </c>
      <c r="E5032" s="19">
        <f>VLOOKUP(D5032,'لیست پرسنل'!$B$2:$E$1020,3,FALSE)</f>
        <v>0</v>
      </c>
      <c r="F5032" s="19">
        <f>VLOOKUP(D5032,'لیست پرسنل'!$B$2:$E$1020,4,FALSE)</f>
        <v>0</v>
      </c>
      <c r="G5032" s="127">
        <f>VLOOKUP(D5032,'لیست پرسنل'!$B$2:$F$1020,2,FALSE)</f>
        <v>0</v>
      </c>
      <c r="H5032" s="126" t="s">
        <v>4325</v>
      </c>
      <c r="I5032" s="128" t="s">
        <v>4325</v>
      </c>
      <c r="J5032" s="127" t="s">
        <v>571</v>
      </c>
      <c r="K5032" s="128" t="s">
        <v>1514</v>
      </c>
      <c r="L5032" s="127"/>
      <c r="M5032" s="128">
        <v>606512</v>
      </c>
      <c r="N5032" s="108"/>
      <c r="O5032" s="19" t="s">
        <v>4332</v>
      </c>
      <c r="P5032" s="20" t="s">
        <v>4326</v>
      </c>
      <c r="Q5032" s="19">
        <v>1398</v>
      </c>
    </row>
    <row r="5033" spans="1:17" ht="24.9" customHeight="1">
      <c r="A5033" s="20"/>
      <c r="B5033" s="20" t="s">
        <v>5101</v>
      </c>
      <c r="C5033" s="20"/>
      <c r="D5033" s="20" t="s">
        <v>4325</v>
      </c>
      <c r="E5033" s="19">
        <f>VLOOKUP(D5033,'لیست پرسنل'!$B$2:$E$1020,3,FALSE)</f>
        <v>0</v>
      </c>
      <c r="F5033" s="19">
        <f>VLOOKUP(D5033,'لیست پرسنل'!$B$2:$E$1020,4,FALSE)</f>
        <v>0</v>
      </c>
      <c r="G5033" s="127">
        <f>VLOOKUP(D5033,'لیست پرسنل'!$B$2:$F$1020,2,FALSE)</f>
        <v>0</v>
      </c>
      <c r="H5033" s="126" t="s">
        <v>4325</v>
      </c>
      <c r="I5033" s="128" t="s">
        <v>4325</v>
      </c>
      <c r="J5033" s="128" t="s">
        <v>571</v>
      </c>
      <c r="K5033" s="128"/>
      <c r="L5033" s="151"/>
      <c r="M5033" s="127">
        <v>606513</v>
      </c>
      <c r="N5033" s="109"/>
      <c r="O5033" s="19" t="s">
        <v>1585</v>
      </c>
      <c r="P5033" s="19" t="s">
        <v>4326</v>
      </c>
      <c r="Q5033" s="19">
        <v>1401</v>
      </c>
    </row>
    <row r="5034" spans="1:17" ht="24.9" customHeight="1">
      <c r="A5034" s="20"/>
      <c r="B5034" s="20" t="s">
        <v>5101</v>
      </c>
      <c r="C5034" s="20"/>
      <c r="D5034" s="20" t="s">
        <v>4325</v>
      </c>
      <c r="E5034" s="19">
        <f>VLOOKUP(D5034,'لیست پرسنل'!$B$2:$E$1020,3,FALSE)</f>
        <v>0</v>
      </c>
      <c r="F5034" s="19">
        <f>VLOOKUP(D5034,'لیست پرسنل'!$B$2:$E$1020,4,FALSE)</f>
        <v>0</v>
      </c>
      <c r="G5034" s="127">
        <f>VLOOKUP(D5034,'لیست پرسنل'!$B$2:$F$1020,2,FALSE)</f>
        <v>0</v>
      </c>
      <c r="H5034" s="126" t="s">
        <v>4325</v>
      </c>
      <c r="I5034" s="128" t="s">
        <v>4325</v>
      </c>
      <c r="J5034" s="127" t="s">
        <v>571</v>
      </c>
      <c r="K5034" s="128" t="s">
        <v>571</v>
      </c>
      <c r="L5034" s="127"/>
      <c r="M5034" s="128">
        <v>606562</v>
      </c>
      <c r="N5034" s="108"/>
      <c r="O5034" s="19" t="s">
        <v>4332</v>
      </c>
      <c r="P5034" s="20" t="s">
        <v>4326</v>
      </c>
      <c r="Q5034" s="19">
        <v>1398</v>
      </c>
    </row>
    <row r="5035" spans="1:17" ht="24.9" customHeight="1">
      <c r="A5035" s="20"/>
      <c r="B5035" s="20" t="s">
        <v>5101</v>
      </c>
      <c r="C5035" s="20"/>
      <c r="D5035" s="20" t="s">
        <v>4325</v>
      </c>
      <c r="E5035" s="19">
        <f>VLOOKUP(D5035,'لیست پرسنل'!$B$2:$E$1020,3,FALSE)</f>
        <v>0</v>
      </c>
      <c r="F5035" s="19">
        <f>VLOOKUP(D5035,'لیست پرسنل'!$B$2:$E$1020,4,FALSE)</f>
        <v>0</v>
      </c>
      <c r="G5035" s="127">
        <f>VLOOKUP(D5035,'لیست پرسنل'!$B$2:$F$1020,2,FALSE)</f>
        <v>0</v>
      </c>
      <c r="H5035" s="126" t="s">
        <v>4325</v>
      </c>
      <c r="I5035" s="128" t="s">
        <v>4325</v>
      </c>
      <c r="J5035" s="128" t="s">
        <v>571</v>
      </c>
      <c r="K5035" s="128" t="s">
        <v>1514</v>
      </c>
      <c r="L5035" s="128" t="s">
        <v>4368</v>
      </c>
      <c r="M5035" s="127">
        <v>606565</v>
      </c>
      <c r="N5035" s="108"/>
      <c r="O5035" s="19"/>
      <c r="P5035" s="20" t="s">
        <v>4326</v>
      </c>
      <c r="Q5035" s="19" t="s">
        <v>4327</v>
      </c>
    </row>
    <row r="5036" spans="1:17" ht="24.9" customHeight="1">
      <c r="A5036" s="20"/>
      <c r="B5036" s="20" t="s">
        <v>5101</v>
      </c>
      <c r="C5036" s="20"/>
      <c r="D5036" s="20" t="s">
        <v>4325</v>
      </c>
      <c r="E5036" s="19">
        <f>VLOOKUP(D5036,'لیست پرسنل'!$B$2:$E$1020,3,FALSE)</f>
        <v>0</v>
      </c>
      <c r="F5036" s="19">
        <f>VLOOKUP(D5036,'لیست پرسنل'!$B$2:$E$1020,4,FALSE)</f>
        <v>0</v>
      </c>
      <c r="G5036" s="127">
        <f>VLOOKUP(D5036,'لیست پرسنل'!$B$2:$F$1020,2,FALSE)</f>
        <v>0</v>
      </c>
      <c r="H5036" s="126" t="s">
        <v>4325</v>
      </c>
      <c r="I5036" s="128" t="s">
        <v>4325</v>
      </c>
      <c r="J5036" s="128" t="s">
        <v>571</v>
      </c>
      <c r="K5036" s="128" t="s">
        <v>1514</v>
      </c>
      <c r="L5036" s="128" t="s">
        <v>2652</v>
      </c>
      <c r="M5036" s="127">
        <v>606601</v>
      </c>
      <c r="N5036" s="108"/>
      <c r="O5036" s="19"/>
      <c r="P5036" s="20" t="s">
        <v>4326</v>
      </c>
      <c r="Q5036" s="19" t="s">
        <v>4327</v>
      </c>
    </row>
    <row r="5037" spans="1:17" ht="24.9" customHeight="1">
      <c r="A5037" s="20"/>
      <c r="B5037" s="20" t="s">
        <v>5101</v>
      </c>
      <c r="C5037" s="20"/>
      <c r="D5037" s="20" t="s">
        <v>4325</v>
      </c>
      <c r="E5037" s="19">
        <f>VLOOKUP(D5037,'لیست پرسنل'!$B$2:$E$1020,3,FALSE)</f>
        <v>0</v>
      </c>
      <c r="F5037" s="19">
        <f>VLOOKUP(D5037,'لیست پرسنل'!$B$2:$E$1020,4,FALSE)</f>
        <v>0</v>
      </c>
      <c r="G5037" s="127">
        <f>VLOOKUP(D5037,'لیست پرسنل'!$B$2:$F$1020,2,FALSE)</f>
        <v>0</v>
      </c>
      <c r="H5037" s="126" t="s">
        <v>4325</v>
      </c>
      <c r="I5037" s="128" t="s">
        <v>4325</v>
      </c>
      <c r="J5037" s="128" t="s">
        <v>571</v>
      </c>
      <c r="K5037" s="128" t="s">
        <v>1514</v>
      </c>
      <c r="L5037" s="128"/>
      <c r="M5037" s="128">
        <v>606602</v>
      </c>
      <c r="N5037" s="108"/>
      <c r="O5037" s="19"/>
      <c r="P5037" s="20" t="s">
        <v>4326</v>
      </c>
      <c r="Q5037" s="19" t="s">
        <v>4327</v>
      </c>
    </row>
    <row r="5038" spans="1:17" ht="24.9" customHeight="1">
      <c r="A5038" s="20"/>
      <c r="B5038" s="20" t="s">
        <v>5101</v>
      </c>
      <c r="C5038" s="20"/>
      <c r="D5038" s="20" t="s">
        <v>4325</v>
      </c>
      <c r="E5038" s="19">
        <f>VLOOKUP(D5038,'لیست پرسنل'!$B$2:$E$1020,3,FALSE)</f>
        <v>0</v>
      </c>
      <c r="F5038" s="19">
        <f>VLOOKUP(D5038,'لیست پرسنل'!$B$2:$E$1020,4,FALSE)</f>
        <v>0</v>
      </c>
      <c r="G5038" s="127">
        <f>VLOOKUP(D5038,'لیست پرسنل'!$B$2:$F$1020,2,FALSE)</f>
        <v>0</v>
      </c>
      <c r="H5038" s="126" t="s">
        <v>4325</v>
      </c>
      <c r="I5038" s="128" t="s">
        <v>4325</v>
      </c>
      <c r="J5038" s="127" t="s">
        <v>571</v>
      </c>
      <c r="K5038" s="128" t="s">
        <v>1513</v>
      </c>
      <c r="L5038" s="127"/>
      <c r="M5038" s="128">
        <v>606622</v>
      </c>
      <c r="N5038" s="108"/>
      <c r="O5038" s="19" t="s">
        <v>4332</v>
      </c>
      <c r="P5038" s="20" t="s">
        <v>4326</v>
      </c>
      <c r="Q5038" s="19">
        <v>1398</v>
      </c>
    </row>
    <row r="5039" spans="1:17" ht="24.9" customHeight="1">
      <c r="A5039" s="20"/>
      <c r="B5039" s="20" t="s">
        <v>5101</v>
      </c>
      <c r="C5039" s="20"/>
      <c r="D5039" s="20" t="s">
        <v>4325</v>
      </c>
      <c r="E5039" s="19">
        <f>VLOOKUP(D5039,'لیست پرسنل'!$B$2:$E$1020,3,FALSE)</f>
        <v>0</v>
      </c>
      <c r="F5039" s="19">
        <f>VLOOKUP(D5039,'لیست پرسنل'!$B$2:$E$1020,4,FALSE)</f>
        <v>0</v>
      </c>
      <c r="G5039" s="127">
        <f>VLOOKUP(D5039,'لیست پرسنل'!$B$2:$F$1020,2,FALSE)</f>
        <v>0</v>
      </c>
      <c r="H5039" s="126" t="s">
        <v>4325</v>
      </c>
      <c r="I5039" s="128" t="s">
        <v>4325</v>
      </c>
      <c r="J5039" s="128" t="s">
        <v>571</v>
      </c>
      <c r="K5039" s="128" t="s">
        <v>571</v>
      </c>
      <c r="L5039" s="128"/>
      <c r="M5039" s="128">
        <v>606677</v>
      </c>
      <c r="N5039" s="108"/>
      <c r="O5039" s="19"/>
      <c r="P5039" s="20" t="s">
        <v>4326</v>
      </c>
      <c r="Q5039" s="19" t="s">
        <v>4327</v>
      </c>
    </row>
    <row r="5040" spans="1:17" ht="24.9" customHeight="1">
      <c r="A5040" s="20"/>
      <c r="B5040" s="20" t="s">
        <v>5101</v>
      </c>
      <c r="C5040" s="20"/>
      <c r="D5040" s="20" t="s">
        <v>4325</v>
      </c>
      <c r="E5040" s="19">
        <f>VLOOKUP(D5040,'لیست پرسنل'!$B$2:$E$1020,3,FALSE)</f>
        <v>0</v>
      </c>
      <c r="F5040" s="19">
        <f>VLOOKUP(D5040,'لیست پرسنل'!$B$2:$E$1020,4,FALSE)</f>
        <v>0</v>
      </c>
      <c r="G5040" s="127">
        <f>VLOOKUP(D5040,'لیست پرسنل'!$B$2:$F$1020,2,FALSE)</f>
        <v>0</v>
      </c>
      <c r="H5040" s="126" t="s">
        <v>4325</v>
      </c>
      <c r="I5040" s="128" t="s">
        <v>4325</v>
      </c>
      <c r="J5040" s="128" t="s">
        <v>571</v>
      </c>
      <c r="K5040" s="128" t="s">
        <v>571</v>
      </c>
      <c r="L5040" s="128"/>
      <c r="M5040" s="128">
        <v>607302</v>
      </c>
      <c r="N5040" s="108"/>
      <c r="O5040" s="19"/>
      <c r="P5040" s="20" t="s">
        <v>4326</v>
      </c>
      <c r="Q5040" s="19" t="s">
        <v>4327</v>
      </c>
    </row>
    <row r="5041" spans="1:17" ht="24.9" customHeight="1">
      <c r="A5041" s="20"/>
      <c r="B5041" s="20" t="s">
        <v>5101</v>
      </c>
      <c r="C5041" s="20"/>
      <c r="D5041" s="20" t="s">
        <v>4325</v>
      </c>
      <c r="E5041" s="19">
        <f>VLOOKUP(D5041,'لیست پرسنل'!$B$2:$E$1020,3,FALSE)</f>
        <v>0</v>
      </c>
      <c r="F5041" s="19">
        <f>VLOOKUP(D5041,'لیست پرسنل'!$B$2:$E$1020,4,FALSE)</f>
        <v>0</v>
      </c>
      <c r="G5041" s="127">
        <f>VLOOKUP(D5041,'لیست پرسنل'!$B$2:$F$1020,2,FALSE)</f>
        <v>0</v>
      </c>
      <c r="H5041" s="126" t="s">
        <v>4325</v>
      </c>
      <c r="I5041" s="128" t="s">
        <v>4325</v>
      </c>
      <c r="J5041" s="127" t="s">
        <v>571</v>
      </c>
      <c r="K5041" s="128" t="s">
        <v>816</v>
      </c>
      <c r="L5041" s="127"/>
      <c r="M5041" s="128">
        <v>607303</v>
      </c>
      <c r="N5041" s="108"/>
      <c r="O5041" s="19" t="s">
        <v>4332</v>
      </c>
      <c r="P5041" s="20" t="s">
        <v>4326</v>
      </c>
      <c r="Q5041" s="19">
        <v>1398</v>
      </c>
    </row>
    <row r="5042" spans="1:17" ht="24.9" customHeight="1">
      <c r="A5042" s="20"/>
      <c r="B5042" s="20" t="s">
        <v>5101</v>
      </c>
      <c r="C5042" s="20"/>
      <c r="D5042" s="20" t="s">
        <v>4325</v>
      </c>
      <c r="E5042" s="19">
        <f>VLOOKUP(D5042,'لیست پرسنل'!$B$2:$E$1020,3,FALSE)</f>
        <v>0</v>
      </c>
      <c r="F5042" s="19">
        <f>VLOOKUP(D5042,'لیست پرسنل'!$B$2:$E$1020,4,FALSE)</f>
        <v>0</v>
      </c>
      <c r="G5042" s="127">
        <f>VLOOKUP(D5042,'لیست پرسنل'!$B$2:$F$1020,2,FALSE)</f>
        <v>0</v>
      </c>
      <c r="H5042" s="126" t="s">
        <v>4325</v>
      </c>
      <c r="I5042" s="128" t="s">
        <v>4325</v>
      </c>
      <c r="J5042" s="127" t="s">
        <v>571</v>
      </c>
      <c r="K5042" s="128" t="s">
        <v>1514</v>
      </c>
      <c r="L5042" s="127"/>
      <c r="M5042" s="128">
        <v>607869</v>
      </c>
      <c r="N5042" s="108"/>
      <c r="O5042" s="19" t="s">
        <v>4332</v>
      </c>
      <c r="P5042" s="20" t="s">
        <v>4326</v>
      </c>
      <c r="Q5042" s="19">
        <v>1398</v>
      </c>
    </row>
    <row r="5043" spans="1:17" ht="24.9" customHeight="1">
      <c r="A5043" s="20"/>
      <c r="B5043" s="20" t="s">
        <v>5101</v>
      </c>
      <c r="C5043" s="20"/>
      <c r="D5043" s="20" t="s">
        <v>4325</v>
      </c>
      <c r="E5043" s="19">
        <f>VLOOKUP(D5043,'لیست پرسنل'!$B$2:$E$1020,3,FALSE)</f>
        <v>0</v>
      </c>
      <c r="F5043" s="19">
        <f>VLOOKUP(D5043,'لیست پرسنل'!$B$2:$E$1020,4,FALSE)</f>
        <v>0</v>
      </c>
      <c r="G5043" s="127">
        <f>VLOOKUP(D5043,'لیست پرسنل'!$B$2:$F$1020,2,FALSE)</f>
        <v>0</v>
      </c>
      <c r="H5043" s="126" t="s">
        <v>4325</v>
      </c>
      <c r="I5043" s="128" t="s">
        <v>4325</v>
      </c>
      <c r="J5043" s="128" t="s">
        <v>571</v>
      </c>
      <c r="K5043" s="128" t="s">
        <v>571</v>
      </c>
      <c r="L5043" s="128"/>
      <c r="M5043" s="128">
        <v>607943</v>
      </c>
      <c r="N5043" s="108"/>
      <c r="O5043" s="19"/>
      <c r="P5043" s="20" t="s">
        <v>4326</v>
      </c>
      <c r="Q5043" s="19" t="s">
        <v>4327</v>
      </c>
    </row>
    <row r="5044" spans="1:17" ht="24.9" customHeight="1">
      <c r="A5044" s="20"/>
      <c r="B5044" s="20" t="s">
        <v>5101</v>
      </c>
      <c r="C5044" s="20"/>
      <c r="D5044" s="20" t="s">
        <v>4325</v>
      </c>
      <c r="E5044" s="19">
        <f>VLOOKUP(D5044,'لیست پرسنل'!$B$2:$E$1020,3,FALSE)</f>
        <v>0</v>
      </c>
      <c r="F5044" s="19">
        <f>VLOOKUP(D5044,'لیست پرسنل'!$B$2:$E$1020,4,FALSE)</f>
        <v>0</v>
      </c>
      <c r="G5044" s="127">
        <f>VLOOKUP(D5044,'لیست پرسنل'!$B$2:$F$1020,2,FALSE)</f>
        <v>0</v>
      </c>
      <c r="H5044" s="126" t="s">
        <v>4325</v>
      </c>
      <c r="I5044" s="128" t="s">
        <v>4325</v>
      </c>
      <c r="J5044" s="128" t="s">
        <v>571</v>
      </c>
      <c r="K5044" s="128"/>
      <c r="L5044" s="151"/>
      <c r="M5044" s="127">
        <v>608029</v>
      </c>
      <c r="N5044" s="109"/>
      <c r="O5044" s="19"/>
      <c r="P5044" s="19" t="s">
        <v>4326</v>
      </c>
      <c r="Q5044" s="19">
        <v>1401</v>
      </c>
    </row>
    <row r="5045" spans="1:17" ht="24.9" customHeight="1">
      <c r="A5045" s="20"/>
      <c r="B5045" s="20" t="s">
        <v>5101</v>
      </c>
      <c r="C5045" s="20"/>
      <c r="D5045" s="20" t="s">
        <v>4325</v>
      </c>
      <c r="E5045" s="19">
        <f>VLOOKUP(D5045,'لیست پرسنل'!$B$2:$E$1020,3,FALSE)</f>
        <v>0</v>
      </c>
      <c r="F5045" s="19">
        <f>VLOOKUP(D5045,'لیست پرسنل'!$B$2:$E$1020,4,FALSE)</f>
        <v>0</v>
      </c>
      <c r="G5045" s="127">
        <f>VLOOKUP(D5045,'لیست پرسنل'!$B$2:$F$1020,2,FALSE)</f>
        <v>0</v>
      </c>
      <c r="H5045" s="126" t="s">
        <v>4325</v>
      </c>
      <c r="I5045" s="128" t="s">
        <v>4325</v>
      </c>
      <c r="J5045" s="128" t="s">
        <v>571</v>
      </c>
      <c r="K5045" s="128"/>
      <c r="L5045" s="151"/>
      <c r="M5045" s="127">
        <v>608756</v>
      </c>
      <c r="N5045" s="109" t="s">
        <v>7312</v>
      </c>
      <c r="O5045" s="19" t="s">
        <v>611</v>
      </c>
      <c r="P5045" s="19" t="s">
        <v>4326</v>
      </c>
      <c r="Q5045" s="19">
        <v>1401</v>
      </c>
    </row>
    <row r="5046" spans="1:17" ht="24.9" customHeight="1">
      <c r="A5046" s="20"/>
      <c r="B5046" s="20" t="s">
        <v>5101</v>
      </c>
      <c r="C5046" s="20"/>
      <c r="D5046" s="20" t="s">
        <v>4325</v>
      </c>
      <c r="E5046" s="19">
        <f>VLOOKUP(D5046,'لیست پرسنل'!$B$2:$E$1020,3,FALSE)</f>
        <v>0</v>
      </c>
      <c r="F5046" s="19">
        <f>VLOOKUP(D5046,'لیست پرسنل'!$B$2:$E$1020,4,FALSE)</f>
        <v>0</v>
      </c>
      <c r="G5046" s="127">
        <f>VLOOKUP(D5046,'لیست پرسنل'!$B$2:$F$1020,2,FALSE)</f>
        <v>0</v>
      </c>
      <c r="H5046" s="126" t="s">
        <v>4325</v>
      </c>
      <c r="I5046" s="128" t="s">
        <v>4325</v>
      </c>
      <c r="J5046" s="128" t="s">
        <v>571</v>
      </c>
      <c r="K5046" s="128" t="s">
        <v>571</v>
      </c>
      <c r="L5046" s="128"/>
      <c r="M5046" s="128">
        <v>608768</v>
      </c>
      <c r="N5046" s="108"/>
      <c r="O5046" s="19"/>
      <c r="P5046" s="20" t="s">
        <v>4326</v>
      </c>
      <c r="Q5046" s="19" t="s">
        <v>4327</v>
      </c>
    </row>
    <row r="5047" spans="1:17" ht="24.9" customHeight="1">
      <c r="A5047" s="20"/>
      <c r="B5047" s="20" t="s">
        <v>5101</v>
      </c>
      <c r="C5047" s="20"/>
      <c r="D5047" s="20" t="s">
        <v>4325</v>
      </c>
      <c r="E5047" s="19">
        <f>VLOOKUP(D5047,'لیست پرسنل'!$B$2:$E$1020,3,FALSE)</f>
        <v>0</v>
      </c>
      <c r="F5047" s="19">
        <f>VLOOKUP(D5047,'لیست پرسنل'!$B$2:$E$1020,4,FALSE)</f>
        <v>0</v>
      </c>
      <c r="G5047" s="127">
        <f>VLOOKUP(D5047,'لیست پرسنل'!$B$2:$F$1020,2,FALSE)</f>
        <v>0</v>
      </c>
      <c r="H5047" s="126" t="s">
        <v>4325</v>
      </c>
      <c r="I5047" s="128" t="s">
        <v>4325</v>
      </c>
      <c r="J5047" s="128" t="s">
        <v>571</v>
      </c>
      <c r="K5047" s="128" t="s">
        <v>1514</v>
      </c>
      <c r="L5047" s="128" t="s">
        <v>4366</v>
      </c>
      <c r="M5047" s="128">
        <v>609003</v>
      </c>
      <c r="N5047" s="108"/>
      <c r="O5047" s="19"/>
      <c r="P5047" s="20" t="s">
        <v>4326</v>
      </c>
      <c r="Q5047" s="19" t="s">
        <v>4327</v>
      </c>
    </row>
    <row r="5048" spans="1:17" ht="24.9" customHeight="1">
      <c r="A5048" s="20"/>
      <c r="B5048" s="20" t="s">
        <v>5101</v>
      </c>
      <c r="C5048" s="20"/>
      <c r="D5048" s="20" t="s">
        <v>4325</v>
      </c>
      <c r="E5048" s="19">
        <f>VLOOKUP(D5048,'لیست پرسنل'!$B$2:$E$1020,3,FALSE)</f>
        <v>0</v>
      </c>
      <c r="F5048" s="19">
        <f>VLOOKUP(D5048,'لیست پرسنل'!$B$2:$E$1020,4,FALSE)</f>
        <v>0</v>
      </c>
      <c r="G5048" s="127">
        <f>VLOOKUP(D5048,'لیست پرسنل'!$B$2:$F$1020,2,FALSE)</f>
        <v>0</v>
      </c>
      <c r="H5048" s="126" t="s">
        <v>4325</v>
      </c>
      <c r="I5048" s="128" t="s">
        <v>4325</v>
      </c>
      <c r="J5048" s="127" t="s">
        <v>571</v>
      </c>
      <c r="K5048" s="128" t="s">
        <v>1514</v>
      </c>
      <c r="L5048" s="127"/>
      <c r="M5048" s="128">
        <v>609147</v>
      </c>
      <c r="N5048" s="108"/>
      <c r="O5048" s="19" t="s">
        <v>4332</v>
      </c>
      <c r="P5048" s="20" t="s">
        <v>4326</v>
      </c>
      <c r="Q5048" s="19">
        <v>1398</v>
      </c>
    </row>
    <row r="5049" spans="1:17" ht="24.9" customHeight="1">
      <c r="A5049" s="20"/>
      <c r="B5049" s="20" t="s">
        <v>5101</v>
      </c>
      <c r="C5049" s="20"/>
      <c r="D5049" s="20" t="s">
        <v>4325</v>
      </c>
      <c r="E5049" s="19">
        <f>VLOOKUP(D5049,'لیست پرسنل'!$B$2:$E$1020,3,FALSE)</f>
        <v>0</v>
      </c>
      <c r="F5049" s="19">
        <f>VLOOKUP(D5049,'لیست پرسنل'!$B$2:$E$1020,4,FALSE)</f>
        <v>0</v>
      </c>
      <c r="G5049" s="127">
        <f>VLOOKUP(D5049,'لیست پرسنل'!$B$2:$F$1020,2,FALSE)</f>
        <v>0</v>
      </c>
      <c r="H5049" s="126" t="s">
        <v>4325</v>
      </c>
      <c r="I5049" s="128" t="s">
        <v>4325</v>
      </c>
      <c r="J5049" s="128" t="s">
        <v>571</v>
      </c>
      <c r="K5049" s="128" t="s">
        <v>571</v>
      </c>
      <c r="L5049" s="128"/>
      <c r="M5049" s="128">
        <v>609495</v>
      </c>
      <c r="N5049" s="108"/>
      <c r="O5049" s="19"/>
      <c r="P5049" s="20" t="s">
        <v>4326</v>
      </c>
      <c r="Q5049" s="19" t="s">
        <v>4327</v>
      </c>
    </row>
    <row r="5050" spans="1:17" ht="24.9" customHeight="1">
      <c r="A5050" s="20"/>
      <c r="B5050" s="20" t="s">
        <v>5101</v>
      </c>
      <c r="C5050" s="20"/>
      <c r="D5050" s="20" t="s">
        <v>4325</v>
      </c>
      <c r="E5050" s="19">
        <f>VLOOKUP(D5050,'لیست پرسنل'!$B$2:$E$1020,3,FALSE)</f>
        <v>0</v>
      </c>
      <c r="F5050" s="19">
        <f>VLOOKUP(D5050,'لیست پرسنل'!$B$2:$E$1020,4,FALSE)</f>
        <v>0</v>
      </c>
      <c r="G5050" s="127">
        <f>VLOOKUP(D5050,'لیست پرسنل'!$B$2:$F$1020,2,FALSE)</f>
        <v>0</v>
      </c>
      <c r="H5050" s="126" t="s">
        <v>4325</v>
      </c>
      <c r="I5050" s="128" t="s">
        <v>4325</v>
      </c>
      <c r="J5050" s="127" t="s">
        <v>571</v>
      </c>
      <c r="K5050" s="128" t="s">
        <v>1513</v>
      </c>
      <c r="L5050" s="127"/>
      <c r="M5050" s="128">
        <v>609566</v>
      </c>
      <c r="N5050" s="108"/>
      <c r="O5050" s="19" t="s">
        <v>4332</v>
      </c>
      <c r="P5050" s="20" t="s">
        <v>4326</v>
      </c>
      <c r="Q5050" s="19">
        <v>1398</v>
      </c>
    </row>
    <row r="5051" spans="1:17" ht="24.9" customHeight="1">
      <c r="A5051" s="20"/>
      <c r="B5051" s="20" t="s">
        <v>5101</v>
      </c>
      <c r="C5051" s="20"/>
      <c r="D5051" s="20" t="s">
        <v>4325</v>
      </c>
      <c r="E5051" s="19">
        <f>VLOOKUP(D5051,'لیست پرسنل'!$B$2:$E$1020,3,FALSE)</f>
        <v>0</v>
      </c>
      <c r="F5051" s="19">
        <f>VLOOKUP(D5051,'لیست پرسنل'!$B$2:$E$1020,4,FALSE)</f>
        <v>0</v>
      </c>
      <c r="G5051" s="127">
        <f>VLOOKUP(D5051,'لیست پرسنل'!$B$2:$F$1020,2,FALSE)</f>
        <v>0</v>
      </c>
      <c r="H5051" s="126" t="s">
        <v>4325</v>
      </c>
      <c r="I5051" s="128" t="s">
        <v>4325</v>
      </c>
      <c r="J5051" s="127" t="s">
        <v>571</v>
      </c>
      <c r="K5051" s="128" t="s">
        <v>816</v>
      </c>
      <c r="L5051" s="127"/>
      <c r="M5051" s="128">
        <v>609695</v>
      </c>
      <c r="N5051" s="108"/>
      <c r="O5051" s="19" t="s">
        <v>4332</v>
      </c>
      <c r="P5051" s="20" t="s">
        <v>4326</v>
      </c>
      <c r="Q5051" s="19">
        <v>1398</v>
      </c>
    </row>
    <row r="5052" spans="1:17" ht="24.9" customHeight="1">
      <c r="A5052" s="20"/>
      <c r="B5052" s="20" t="s">
        <v>5101</v>
      </c>
      <c r="C5052" s="20"/>
      <c r="D5052" s="20" t="s">
        <v>4325</v>
      </c>
      <c r="E5052" s="19">
        <f>VLOOKUP(D5052,'لیست پرسنل'!$B$2:$E$1020,3,FALSE)</f>
        <v>0</v>
      </c>
      <c r="F5052" s="19">
        <f>VLOOKUP(D5052,'لیست پرسنل'!$B$2:$E$1020,4,FALSE)</f>
        <v>0</v>
      </c>
      <c r="G5052" s="127">
        <f>VLOOKUP(D5052,'لیست پرسنل'!$B$2:$F$1020,2,FALSE)</f>
        <v>0</v>
      </c>
      <c r="H5052" s="126" t="s">
        <v>4325</v>
      </c>
      <c r="I5052" s="128" t="s">
        <v>4325</v>
      </c>
      <c r="J5052" s="127" t="s">
        <v>571</v>
      </c>
      <c r="K5052" s="128" t="s">
        <v>1514</v>
      </c>
      <c r="L5052" s="127"/>
      <c r="M5052" s="128">
        <v>610542</v>
      </c>
      <c r="N5052" s="108"/>
      <c r="O5052" s="19" t="s">
        <v>4332</v>
      </c>
      <c r="P5052" s="20" t="s">
        <v>4326</v>
      </c>
      <c r="Q5052" s="19">
        <v>1398</v>
      </c>
    </row>
    <row r="5053" spans="1:17" ht="24.9" customHeight="1">
      <c r="A5053" s="20"/>
      <c r="B5053" s="20" t="s">
        <v>5101</v>
      </c>
      <c r="C5053" s="20"/>
      <c r="D5053" s="20" t="s">
        <v>4325</v>
      </c>
      <c r="E5053" s="19">
        <f>VLOOKUP(D5053,'لیست پرسنل'!$B$2:$E$1020,3,FALSE)</f>
        <v>0</v>
      </c>
      <c r="F5053" s="19">
        <f>VLOOKUP(D5053,'لیست پرسنل'!$B$2:$E$1020,4,FALSE)</f>
        <v>0</v>
      </c>
      <c r="G5053" s="127">
        <f>VLOOKUP(D5053,'لیست پرسنل'!$B$2:$F$1020,2,FALSE)</f>
        <v>0</v>
      </c>
      <c r="H5053" s="126" t="s">
        <v>4325</v>
      </c>
      <c r="I5053" s="128" t="s">
        <v>4325</v>
      </c>
      <c r="J5053" s="127" t="s">
        <v>571</v>
      </c>
      <c r="K5053" s="128" t="s">
        <v>816</v>
      </c>
      <c r="L5053" s="127"/>
      <c r="M5053" s="128">
        <v>610561</v>
      </c>
      <c r="N5053" s="109" t="s">
        <v>7312</v>
      </c>
      <c r="O5053" s="19" t="s">
        <v>4332</v>
      </c>
      <c r="P5053" s="20" t="s">
        <v>4326</v>
      </c>
      <c r="Q5053" s="19">
        <v>1398</v>
      </c>
    </row>
    <row r="5054" spans="1:17" ht="24.9" customHeight="1">
      <c r="A5054" s="20"/>
      <c r="B5054" s="20" t="s">
        <v>5101</v>
      </c>
      <c r="C5054" s="20"/>
      <c r="D5054" s="20" t="s">
        <v>4325</v>
      </c>
      <c r="E5054" s="19">
        <f>VLOOKUP(D5054,'لیست پرسنل'!$B$2:$E$1020,3,FALSE)</f>
        <v>0</v>
      </c>
      <c r="F5054" s="19">
        <f>VLOOKUP(D5054,'لیست پرسنل'!$B$2:$E$1020,4,FALSE)</f>
        <v>0</v>
      </c>
      <c r="G5054" s="127">
        <f>VLOOKUP(D5054,'لیست پرسنل'!$B$2:$F$1020,2,FALSE)</f>
        <v>0</v>
      </c>
      <c r="H5054" s="126" t="s">
        <v>4325</v>
      </c>
      <c r="I5054" s="128" t="s">
        <v>4325</v>
      </c>
      <c r="J5054" s="127" t="s">
        <v>571</v>
      </c>
      <c r="K5054" s="128" t="s">
        <v>1514</v>
      </c>
      <c r="L5054" s="127"/>
      <c r="M5054" s="128">
        <v>610966</v>
      </c>
      <c r="N5054" s="108"/>
      <c r="O5054" s="19" t="s">
        <v>4332</v>
      </c>
      <c r="P5054" s="20" t="s">
        <v>4326</v>
      </c>
      <c r="Q5054" s="19">
        <v>1398</v>
      </c>
    </row>
    <row r="5055" spans="1:17" ht="24.9" customHeight="1">
      <c r="A5055" s="20"/>
      <c r="B5055" s="20" t="s">
        <v>5101</v>
      </c>
      <c r="C5055" s="20"/>
      <c r="D5055" s="20" t="s">
        <v>4325</v>
      </c>
      <c r="E5055" s="19">
        <f>VLOOKUP(D5055,'لیست پرسنل'!$B$2:$E$1020,3,FALSE)</f>
        <v>0</v>
      </c>
      <c r="F5055" s="19">
        <f>VLOOKUP(D5055,'لیست پرسنل'!$B$2:$E$1020,4,FALSE)</f>
        <v>0</v>
      </c>
      <c r="G5055" s="127">
        <f>VLOOKUP(D5055,'لیست پرسنل'!$B$2:$F$1020,2,FALSE)</f>
        <v>0</v>
      </c>
      <c r="H5055" s="126" t="s">
        <v>4325</v>
      </c>
      <c r="I5055" s="128" t="s">
        <v>4325</v>
      </c>
      <c r="J5055" s="127" t="s">
        <v>571</v>
      </c>
      <c r="K5055" s="128" t="s">
        <v>1514</v>
      </c>
      <c r="L5055" s="127"/>
      <c r="M5055" s="128">
        <v>610969</v>
      </c>
      <c r="N5055" s="108"/>
      <c r="O5055" s="19" t="s">
        <v>4332</v>
      </c>
      <c r="P5055" s="20" t="s">
        <v>4326</v>
      </c>
      <c r="Q5055" s="19">
        <v>1398</v>
      </c>
    </row>
    <row r="5056" spans="1:17" ht="24.9" customHeight="1">
      <c r="A5056" s="20"/>
      <c r="B5056" s="20" t="s">
        <v>5101</v>
      </c>
      <c r="C5056" s="20"/>
      <c r="D5056" s="20" t="s">
        <v>4325</v>
      </c>
      <c r="E5056" s="19">
        <f>VLOOKUP(D5056,'لیست پرسنل'!$B$2:$E$1020,3,FALSE)</f>
        <v>0</v>
      </c>
      <c r="F5056" s="19">
        <f>VLOOKUP(D5056,'لیست پرسنل'!$B$2:$E$1020,4,FALSE)</f>
        <v>0</v>
      </c>
      <c r="G5056" s="127">
        <f>VLOOKUP(D5056,'لیست پرسنل'!$B$2:$F$1020,2,FALSE)</f>
        <v>0</v>
      </c>
      <c r="H5056" s="126" t="s">
        <v>4325</v>
      </c>
      <c r="I5056" s="128" t="s">
        <v>4325</v>
      </c>
      <c r="J5056" s="127" t="s">
        <v>571</v>
      </c>
      <c r="K5056" s="128" t="s">
        <v>1514</v>
      </c>
      <c r="L5056" s="127"/>
      <c r="M5056" s="128">
        <v>610976</v>
      </c>
      <c r="N5056" s="108"/>
      <c r="O5056" s="19" t="s">
        <v>4332</v>
      </c>
      <c r="P5056" s="20" t="s">
        <v>4326</v>
      </c>
      <c r="Q5056" s="19">
        <v>1398</v>
      </c>
    </row>
    <row r="5057" spans="1:17" ht="24.9" customHeight="1">
      <c r="A5057" s="20"/>
      <c r="B5057" s="20" t="s">
        <v>5101</v>
      </c>
      <c r="C5057" s="20"/>
      <c r="D5057" s="20" t="s">
        <v>4325</v>
      </c>
      <c r="E5057" s="19">
        <f>VLOOKUP(D5057,'لیست پرسنل'!$B$2:$E$1020,3,FALSE)</f>
        <v>0</v>
      </c>
      <c r="F5057" s="19">
        <f>VLOOKUP(D5057,'لیست پرسنل'!$B$2:$E$1020,4,FALSE)</f>
        <v>0</v>
      </c>
      <c r="G5057" s="127">
        <f>VLOOKUP(D5057,'لیست پرسنل'!$B$2:$F$1020,2,FALSE)</f>
        <v>0</v>
      </c>
      <c r="H5057" s="126" t="s">
        <v>4325</v>
      </c>
      <c r="I5057" s="128" t="s">
        <v>4325</v>
      </c>
      <c r="J5057" s="128" t="s">
        <v>571</v>
      </c>
      <c r="K5057" s="128"/>
      <c r="L5057" s="151"/>
      <c r="M5057" s="127">
        <v>611063</v>
      </c>
      <c r="N5057" s="109" t="s">
        <v>7312</v>
      </c>
      <c r="O5057" s="19" t="s">
        <v>678</v>
      </c>
      <c r="P5057" s="19" t="s">
        <v>4326</v>
      </c>
      <c r="Q5057" s="19">
        <v>1401</v>
      </c>
    </row>
    <row r="5058" spans="1:17" ht="24.9" customHeight="1">
      <c r="A5058" s="20"/>
      <c r="B5058" s="20" t="s">
        <v>5101</v>
      </c>
      <c r="C5058" s="20"/>
      <c r="D5058" s="20" t="s">
        <v>4325</v>
      </c>
      <c r="E5058" s="19">
        <f>VLOOKUP(D5058,'لیست پرسنل'!$B$2:$E$1020,3,FALSE)</f>
        <v>0</v>
      </c>
      <c r="F5058" s="19">
        <f>VLOOKUP(D5058,'لیست پرسنل'!$B$2:$E$1020,4,FALSE)</f>
        <v>0</v>
      </c>
      <c r="G5058" s="127">
        <f>VLOOKUP(D5058,'لیست پرسنل'!$B$2:$F$1020,2,FALSE)</f>
        <v>0</v>
      </c>
      <c r="H5058" s="126" t="s">
        <v>4325</v>
      </c>
      <c r="I5058" s="128" t="s">
        <v>4325</v>
      </c>
      <c r="J5058" s="127" t="s">
        <v>571</v>
      </c>
      <c r="K5058" s="128" t="s">
        <v>1514</v>
      </c>
      <c r="L5058" s="127"/>
      <c r="M5058" s="128">
        <v>611180</v>
      </c>
      <c r="N5058" s="108"/>
      <c r="O5058" s="19" t="s">
        <v>4332</v>
      </c>
      <c r="P5058" s="20" t="s">
        <v>4326</v>
      </c>
      <c r="Q5058" s="19">
        <v>1398</v>
      </c>
    </row>
    <row r="5059" spans="1:17" ht="24.9" customHeight="1">
      <c r="A5059" s="20"/>
      <c r="B5059" s="20" t="s">
        <v>5101</v>
      </c>
      <c r="C5059" s="20"/>
      <c r="D5059" s="20" t="s">
        <v>4325</v>
      </c>
      <c r="E5059" s="19">
        <f>VLOOKUP(D5059,'لیست پرسنل'!$B$2:$E$1020,3,FALSE)</f>
        <v>0</v>
      </c>
      <c r="F5059" s="19">
        <f>VLOOKUP(D5059,'لیست پرسنل'!$B$2:$E$1020,4,FALSE)</f>
        <v>0</v>
      </c>
      <c r="G5059" s="127">
        <f>VLOOKUP(D5059,'لیست پرسنل'!$B$2:$F$1020,2,FALSE)</f>
        <v>0</v>
      </c>
      <c r="H5059" s="126" t="s">
        <v>4325</v>
      </c>
      <c r="I5059" s="128" t="s">
        <v>4325</v>
      </c>
      <c r="J5059" s="127" t="s">
        <v>571</v>
      </c>
      <c r="K5059" s="128" t="s">
        <v>1514</v>
      </c>
      <c r="L5059" s="127"/>
      <c r="M5059" s="128">
        <v>611427</v>
      </c>
      <c r="N5059" s="108"/>
      <c r="O5059" s="19" t="s">
        <v>4332</v>
      </c>
      <c r="P5059" s="20" t="s">
        <v>4326</v>
      </c>
      <c r="Q5059" s="19">
        <v>1398</v>
      </c>
    </row>
    <row r="5060" spans="1:17" ht="24.9" customHeight="1">
      <c r="A5060" s="20"/>
      <c r="B5060" s="20" t="s">
        <v>5101</v>
      </c>
      <c r="C5060" s="20"/>
      <c r="D5060" s="20" t="s">
        <v>4325</v>
      </c>
      <c r="E5060" s="19">
        <f>VLOOKUP(D5060,'لیست پرسنل'!$B$2:$E$1020,3,FALSE)</f>
        <v>0</v>
      </c>
      <c r="F5060" s="19">
        <f>VLOOKUP(D5060,'لیست پرسنل'!$B$2:$E$1020,4,FALSE)</f>
        <v>0</v>
      </c>
      <c r="G5060" s="127">
        <f>VLOOKUP(D5060,'لیست پرسنل'!$B$2:$F$1020,2,FALSE)</f>
        <v>0</v>
      </c>
      <c r="H5060" s="126" t="s">
        <v>4325</v>
      </c>
      <c r="I5060" s="128" t="s">
        <v>4325</v>
      </c>
      <c r="J5060" s="127" t="s">
        <v>571</v>
      </c>
      <c r="K5060" s="128" t="s">
        <v>1514</v>
      </c>
      <c r="L5060" s="127"/>
      <c r="M5060" s="128">
        <v>611428</v>
      </c>
      <c r="N5060" s="108"/>
      <c r="O5060" s="19" t="s">
        <v>4332</v>
      </c>
      <c r="P5060" s="20" t="s">
        <v>4326</v>
      </c>
      <c r="Q5060" s="19">
        <v>1398</v>
      </c>
    </row>
    <row r="5061" spans="1:17" ht="24.9" customHeight="1">
      <c r="A5061" s="20"/>
      <c r="B5061" s="20" t="s">
        <v>5101</v>
      </c>
      <c r="C5061" s="20"/>
      <c r="D5061" s="20" t="s">
        <v>4325</v>
      </c>
      <c r="E5061" s="19">
        <f>VLOOKUP(D5061,'لیست پرسنل'!$B$2:$E$1020,3,FALSE)</f>
        <v>0</v>
      </c>
      <c r="F5061" s="19">
        <f>VLOOKUP(D5061,'لیست پرسنل'!$B$2:$E$1020,4,FALSE)</f>
        <v>0</v>
      </c>
      <c r="G5061" s="127">
        <f>VLOOKUP(D5061,'لیست پرسنل'!$B$2:$F$1020,2,FALSE)</f>
        <v>0</v>
      </c>
      <c r="H5061" s="126" t="s">
        <v>4325</v>
      </c>
      <c r="I5061" s="128" t="s">
        <v>4325</v>
      </c>
      <c r="J5061" s="127" t="s">
        <v>571</v>
      </c>
      <c r="K5061" s="128" t="s">
        <v>1514</v>
      </c>
      <c r="L5061" s="127"/>
      <c r="M5061" s="128">
        <v>611430</v>
      </c>
      <c r="N5061" s="108"/>
      <c r="O5061" s="19" t="s">
        <v>4332</v>
      </c>
      <c r="P5061" s="20" t="s">
        <v>4326</v>
      </c>
      <c r="Q5061" s="19">
        <v>1398</v>
      </c>
    </row>
    <row r="5062" spans="1:17" ht="24.9" customHeight="1">
      <c r="A5062" s="20"/>
      <c r="B5062" s="20" t="s">
        <v>5101</v>
      </c>
      <c r="C5062" s="20"/>
      <c r="D5062" s="20" t="s">
        <v>4325</v>
      </c>
      <c r="E5062" s="19">
        <f>VLOOKUP(D5062,'لیست پرسنل'!$B$2:$E$1020,3,FALSE)</f>
        <v>0</v>
      </c>
      <c r="F5062" s="19">
        <f>VLOOKUP(D5062,'لیست پرسنل'!$B$2:$E$1020,4,FALSE)</f>
        <v>0</v>
      </c>
      <c r="G5062" s="127">
        <f>VLOOKUP(D5062,'لیست پرسنل'!$B$2:$F$1020,2,FALSE)</f>
        <v>0</v>
      </c>
      <c r="H5062" s="126" t="s">
        <v>4325</v>
      </c>
      <c r="I5062" s="128" t="s">
        <v>4325</v>
      </c>
      <c r="J5062" s="127" t="s">
        <v>571</v>
      </c>
      <c r="K5062" s="128" t="s">
        <v>1514</v>
      </c>
      <c r="L5062" s="127"/>
      <c r="M5062" s="128">
        <v>611432</v>
      </c>
      <c r="N5062" s="108"/>
      <c r="O5062" s="19" t="s">
        <v>4332</v>
      </c>
      <c r="P5062" s="20" t="s">
        <v>4326</v>
      </c>
      <c r="Q5062" s="19">
        <v>1398</v>
      </c>
    </row>
    <row r="5063" spans="1:17" ht="24.9" customHeight="1">
      <c r="A5063" s="20"/>
      <c r="B5063" s="20" t="s">
        <v>5101</v>
      </c>
      <c r="C5063" s="20"/>
      <c r="D5063" s="20" t="s">
        <v>4325</v>
      </c>
      <c r="E5063" s="19">
        <f>VLOOKUP(D5063,'لیست پرسنل'!$B$2:$E$1020,3,FALSE)</f>
        <v>0</v>
      </c>
      <c r="F5063" s="19">
        <f>VLOOKUP(D5063,'لیست پرسنل'!$B$2:$E$1020,4,FALSE)</f>
        <v>0</v>
      </c>
      <c r="G5063" s="127">
        <f>VLOOKUP(D5063,'لیست پرسنل'!$B$2:$F$1020,2,FALSE)</f>
        <v>0</v>
      </c>
      <c r="H5063" s="126" t="s">
        <v>4325</v>
      </c>
      <c r="I5063" s="128" t="s">
        <v>4325</v>
      </c>
      <c r="J5063" s="127" t="s">
        <v>571</v>
      </c>
      <c r="K5063" s="128" t="s">
        <v>1514</v>
      </c>
      <c r="L5063" s="127"/>
      <c r="M5063" s="128">
        <v>611433</v>
      </c>
      <c r="N5063" s="108"/>
      <c r="O5063" s="19" t="s">
        <v>4332</v>
      </c>
      <c r="P5063" s="20" t="s">
        <v>4326</v>
      </c>
      <c r="Q5063" s="19">
        <v>1398</v>
      </c>
    </row>
    <row r="5064" spans="1:17" ht="24.9" customHeight="1">
      <c r="A5064" s="20"/>
      <c r="B5064" s="20" t="s">
        <v>5101</v>
      </c>
      <c r="C5064" s="20"/>
      <c r="D5064" s="20" t="s">
        <v>4325</v>
      </c>
      <c r="E5064" s="19">
        <f>VLOOKUP(D5064,'لیست پرسنل'!$B$2:$E$1020,3,FALSE)</f>
        <v>0</v>
      </c>
      <c r="F5064" s="19">
        <f>VLOOKUP(D5064,'لیست پرسنل'!$B$2:$E$1020,4,FALSE)</f>
        <v>0</v>
      </c>
      <c r="G5064" s="127">
        <f>VLOOKUP(D5064,'لیست پرسنل'!$B$2:$F$1020,2,FALSE)</f>
        <v>0</v>
      </c>
      <c r="H5064" s="126" t="s">
        <v>4325</v>
      </c>
      <c r="I5064" s="128" t="s">
        <v>4325</v>
      </c>
      <c r="J5064" s="127" t="s">
        <v>571</v>
      </c>
      <c r="K5064" s="128" t="s">
        <v>1514</v>
      </c>
      <c r="L5064" s="127"/>
      <c r="M5064" s="128">
        <v>611434</v>
      </c>
      <c r="N5064" s="108"/>
      <c r="O5064" s="19" t="s">
        <v>4332</v>
      </c>
      <c r="P5064" s="20" t="s">
        <v>4326</v>
      </c>
      <c r="Q5064" s="19">
        <v>1398</v>
      </c>
    </row>
    <row r="5065" spans="1:17" ht="24.9" customHeight="1">
      <c r="A5065" s="20"/>
      <c r="B5065" s="20" t="s">
        <v>5101</v>
      </c>
      <c r="C5065" s="20"/>
      <c r="D5065" s="20" t="s">
        <v>4325</v>
      </c>
      <c r="E5065" s="19">
        <f>VLOOKUP(D5065,'لیست پرسنل'!$B$2:$E$1020,3,FALSE)</f>
        <v>0</v>
      </c>
      <c r="F5065" s="19">
        <f>VLOOKUP(D5065,'لیست پرسنل'!$B$2:$E$1020,4,FALSE)</f>
        <v>0</v>
      </c>
      <c r="G5065" s="127">
        <f>VLOOKUP(D5065,'لیست پرسنل'!$B$2:$F$1020,2,FALSE)</f>
        <v>0</v>
      </c>
      <c r="H5065" s="126" t="s">
        <v>4325</v>
      </c>
      <c r="I5065" s="128" t="s">
        <v>4325</v>
      </c>
      <c r="J5065" s="127" t="s">
        <v>571</v>
      </c>
      <c r="K5065" s="128" t="s">
        <v>1514</v>
      </c>
      <c r="L5065" s="127"/>
      <c r="M5065" s="128">
        <v>611464</v>
      </c>
      <c r="N5065" s="108"/>
      <c r="O5065" s="19" t="s">
        <v>4332</v>
      </c>
      <c r="P5065" s="20" t="s">
        <v>4326</v>
      </c>
      <c r="Q5065" s="19">
        <v>1398</v>
      </c>
    </row>
    <row r="5066" spans="1:17" ht="24.9" customHeight="1">
      <c r="A5066" s="20"/>
      <c r="B5066" s="20" t="s">
        <v>5101</v>
      </c>
      <c r="C5066" s="20"/>
      <c r="D5066" s="20" t="s">
        <v>4325</v>
      </c>
      <c r="E5066" s="19">
        <f>VLOOKUP(D5066,'لیست پرسنل'!$B$2:$E$1020,3,FALSE)</f>
        <v>0</v>
      </c>
      <c r="F5066" s="19">
        <f>VLOOKUP(D5066,'لیست پرسنل'!$B$2:$E$1020,4,FALSE)</f>
        <v>0</v>
      </c>
      <c r="G5066" s="127">
        <f>VLOOKUP(D5066,'لیست پرسنل'!$B$2:$F$1020,2,FALSE)</f>
        <v>0</v>
      </c>
      <c r="H5066" s="126" t="s">
        <v>4325</v>
      </c>
      <c r="I5066" s="128" t="s">
        <v>4325</v>
      </c>
      <c r="J5066" s="127" t="s">
        <v>571</v>
      </c>
      <c r="K5066" s="128" t="s">
        <v>1514</v>
      </c>
      <c r="L5066" s="127"/>
      <c r="M5066" s="128">
        <v>611465</v>
      </c>
      <c r="N5066" s="108"/>
      <c r="O5066" s="19" t="s">
        <v>4332</v>
      </c>
      <c r="P5066" s="20" t="s">
        <v>4326</v>
      </c>
      <c r="Q5066" s="19">
        <v>1398</v>
      </c>
    </row>
    <row r="5067" spans="1:17" ht="24.9" customHeight="1">
      <c r="A5067" s="20"/>
      <c r="B5067" s="20" t="s">
        <v>5101</v>
      </c>
      <c r="C5067" s="20"/>
      <c r="D5067" s="20" t="s">
        <v>4325</v>
      </c>
      <c r="E5067" s="19">
        <f>VLOOKUP(D5067,'لیست پرسنل'!$B$2:$E$1020,3,FALSE)</f>
        <v>0</v>
      </c>
      <c r="F5067" s="19">
        <f>VLOOKUP(D5067,'لیست پرسنل'!$B$2:$E$1020,4,FALSE)</f>
        <v>0</v>
      </c>
      <c r="G5067" s="127">
        <f>VLOOKUP(D5067,'لیست پرسنل'!$B$2:$F$1020,2,FALSE)</f>
        <v>0</v>
      </c>
      <c r="H5067" s="126" t="s">
        <v>4325</v>
      </c>
      <c r="I5067" s="128" t="s">
        <v>4325</v>
      </c>
      <c r="J5067" s="127" t="s">
        <v>571</v>
      </c>
      <c r="K5067" s="128" t="s">
        <v>1513</v>
      </c>
      <c r="L5067" s="127"/>
      <c r="M5067" s="128">
        <v>612054</v>
      </c>
      <c r="N5067" s="108"/>
      <c r="O5067" s="19" t="s">
        <v>4332</v>
      </c>
      <c r="P5067" s="20" t="s">
        <v>4326</v>
      </c>
      <c r="Q5067" s="19">
        <v>1398</v>
      </c>
    </row>
    <row r="5068" spans="1:17" ht="24.9" customHeight="1">
      <c r="A5068" s="20"/>
      <c r="B5068" s="20" t="s">
        <v>5101</v>
      </c>
      <c r="C5068" s="20"/>
      <c r="D5068" s="20" t="s">
        <v>4325</v>
      </c>
      <c r="E5068" s="19">
        <f>VLOOKUP(D5068,'لیست پرسنل'!$B$2:$E$1020,3,FALSE)</f>
        <v>0</v>
      </c>
      <c r="F5068" s="19">
        <f>VLOOKUP(D5068,'لیست پرسنل'!$B$2:$E$1020,4,FALSE)</f>
        <v>0</v>
      </c>
      <c r="G5068" s="127">
        <f>VLOOKUP(D5068,'لیست پرسنل'!$B$2:$F$1020,2,FALSE)</f>
        <v>0</v>
      </c>
      <c r="H5068" s="126" t="s">
        <v>4325</v>
      </c>
      <c r="I5068" s="128" t="s">
        <v>4325</v>
      </c>
      <c r="J5068" s="128" t="s">
        <v>571</v>
      </c>
      <c r="K5068" s="128" t="s">
        <v>571</v>
      </c>
      <c r="L5068" s="151"/>
      <c r="M5068" s="127">
        <v>614014</v>
      </c>
      <c r="N5068" s="109"/>
      <c r="O5068" s="19"/>
      <c r="P5068" s="19" t="s">
        <v>4326</v>
      </c>
      <c r="Q5068" s="19">
        <v>1401</v>
      </c>
    </row>
    <row r="5069" spans="1:17" ht="24.9" customHeight="1">
      <c r="A5069" s="20"/>
      <c r="B5069" s="20" t="s">
        <v>5101</v>
      </c>
      <c r="C5069" s="20"/>
      <c r="D5069" s="20" t="s">
        <v>4325</v>
      </c>
      <c r="E5069" s="19">
        <f>VLOOKUP(D5069,'لیست پرسنل'!$B$2:$E$1020,3,FALSE)</f>
        <v>0</v>
      </c>
      <c r="F5069" s="19">
        <f>VLOOKUP(D5069,'لیست پرسنل'!$B$2:$E$1020,4,FALSE)</f>
        <v>0</v>
      </c>
      <c r="G5069" s="127">
        <f>VLOOKUP(D5069,'لیست پرسنل'!$B$2:$F$1020,2,FALSE)</f>
        <v>0</v>
      </c>
      <c r="H5069" s="126" t="s">
        <v>4325</v>
      </c>
      <c r="I5069" s="128" t="s">
        <v>4325</v>
      </c>
      <c r="J5069" s="128" t="s">
        <v>571</v>
      </c>
      <c r="K5069" s="128" t="s">
        <v>1514</v>
      </c>
      <c r="L5069" s="128" t="s">
        <v>2679</v>
      </c>
      <c r="M5069" s="128">
        <v>615037</v>
      </c>
      <c r="N5069" s="108"/>
      <c r="O5069" s="20" t="s">
        <v>4641</v>
      </c>
      <c r="P5069" s="20" t="s">
        <v>4326</v>
      </c>
      <c r="Q5069" s="19" t="s">
        <v>4327</v>
      </c>
    </row>
    <row r="5070" spans="1:17" ht="24.9" customHeight="1">
      <c r="A5070" s="20"/>
      <c r="B5070" s="20" t="s">
        <v>5101</v>
      </c>
      <c r="C5070" s="20"/>
      <c r="D5070" s="20" t="s">
        <v>4325</v>
      </c>
      <c r="E5070" s="19">
        <f>VLOOKUP(D5070,'لیست پرسنل'!$B$2:$E$1020,3,FALSE)</f>
        <v>0</v>
      </c>
      <c r="F5070" s="19">
        <f>VLOOKUP(D5070,'لیست پرسنل'!$B$2:$E$1020,4,FALSE)</f>
        <v>0</v>
      </c>
      <c r="G5070" s="127">
        <f>VLOOKUP(D5070,'لیست پرسنل'!$B$2:$F$1020,2,FALSE)</f>
        <v>0</v>
      </c>
      <c r="H5070" s="126" t="s">
        <v>4325</v>
      </c>
      <c r="I5070" s="128" t="s">
        <v>4325</v>
      </c>
      <c r="J5070" s="128" t="s">
        <v>571</v>
      </c>
      <c r="K5070" s="128" t="s">
        <v>1514</v>
      </c>
      <c r="L5070" s="128" t="s">
        <v>2679</v>
      </c>
      <c r="M5070" s="128">
        <v>615040</v>
      </c>
      <c r="N5070" s="108"/>
      <c r="O5070" s="20" t="s">
        <v>4641</v>
      </c>
      <c r="P5070" s="20" t="s">
        <v>4326</v>
      </c>
      <c r="Q5070" s="19" t="s">
        <v>4327</v>
      </c>
    </row>
    <row r="5071" spans="1:17" ht="24.9" customHeight="1">
      <c r="A5071" s="20"/>
      <c r="B5071" s="20" t="s">
        <v>5101</v>
      </c>
      <c r="C5071" s="20"/>
      <c r="D5071" s="84" t="s">
        <v>4325</v>
      </c>
      <c r="E5071" s="19">
        <f>VLOOKUP(D5071,'لیست پرسنل'!$B$2:$E$1020,3,FALSE)</f>
        <v>0</v>
      </c>
      <c r="F5071" s="19">
        <f>VLOOKUP(D5071,'لیست پرسنل'!$B$2:$E$1020,4,FALSE)</f>
        <v>0</v>
      </c>
      <c r="G5071" s="127">
        <f>VLOOKUP(D5071,'لیست پرسنل'!$B$2:$F$1020,2,FALSE)</f>
        <v>0</v>
      </c>
      <c r="H5071" s="126" t="s">
        <v>4325</v>
      </c>
      <c r="I5071" s="128" t="s">
        <v>4325</v>
      </c>
      <c r="J5071" s="128" t="s">
        <v>571</v>
      </c>
      <c r="K5071" s="128" t="s">
        <v>5325</v>
      </c>
      <c r="L5071" s="128"/>
      <c r="M5071" s="128">
        <v>615572</v>
      </c>
      <c r="N5071" s="108"/>
      <c r="O5071" s="20"/>
      <c r="P5071" s="20" t="s">
        <v>4325</v>
      </c>
      <c r="Q5071" s="20" t="s">
        <v>5324</v>
      </c>
    </row>
    <row r="5072" spans="1:17" ht="24.9" customHeight="1">
      <c r="A5072" s="20"/>
      <c r="B5072" s="20" t="s">
        <v>5101</v>
      </c>
      <c r="C5072" s="20"/>
      <c r="D5072" s="20" t="s">
        <v>4325</v>
      </c>
      <c r="E5072" s="19">
        <f>VLOOKUP(D5072,'لیست پرسنل'!$B$2:$E$1020,3,FALSE)</f>
        <v>0</v>
      </c>
      <c r="F5072" s="19">
        <f>VLOOKUP(D5072,'لیست پرسنل'!$B$2:$E$1020,4,FALSE)</f>
        <v>0</v>
      </c>
      <c r="G5072" s="127">
        <f>VLOOKUP(D5072,'لیست پرسنل'!$B$2:$F$1020,2,FALSE)</f>
        <v>0</v>
      </c>
      <c r="H5072" s="128" t="s">
        <v>4325</v>
      </c>
      <c r="I5072" s="128" t="s">
        <v>4325</v>
      </c>
      <c r="J5072" s="128" t="s">
        <v>571</v>
      </c>
      <c r="K5072" s="128" t="s">
        <v>1142</v>
      </c>
      <c r="L5072" s="128" t="s">
        <v>5047</v>
      </c>
      <c r="M5072" s="128">
        <v>622496</v>
      </c>
      <c r="N5072" s="108"/>
      <c r="O5072" s="20" t="s">
        <v>4325</v>
      </c>
      <c r="P5072" s="19" t="s">
        <v>4326</v>
      </c>
      <c r="Q5072" s="19" t="s">
        <v>6028</v>
      </c>
    </row>
    <row r="5073" spans="1:17" ht="24.9" customHeight="1">
      <c r="A5073" s="20"/>
      <c r="B5073" s="20" t="s">
        <v>5101</v>
      </c>
      <c r="C5073" s="20"/>
      <c r="D5073" s="20" t="s">
        <v>4325</v>
      </c>
      <c r="E5073" s="19">
        <f>VLOOKUP(D5073,'لیست پرسنل'!$B$2:$E$1020,3,FALSE)</f>
        <v>0</v>
      </c>
      <c r="F5073" s="19">
        <f>VLOOKUP(D5073,'لیست پرسنل'!$B$2:$E$1020,4,FALSE)</f>
        <v>0</v>
      </c>
      <c r="G5073" s="127">
        <f>VLOOKUP(D5073,'لیست پرسنل'!$B$2:$F$1020,2,FALSE)</f>
        <v>0</v>
      </c>
      <c r="H5073" s="126" t="s">
        <v>4325</v>
      </c>
      <c r="I5073" s="128" t="s">
        <v>4325</v>
      </c>
      <c r="J5073" s="128" t="s">
        <v>571</v>
      </c>
      <c r="K5073" s="128"/>
      <c r="L5073" s="151" t="s">
        <v>1440</v>
      </c>
      <c r="M5073" s="127">
        <v>622510</v>
      </c>
      <c r="N5073" s="109" t="s">
        <v>7312</v>
      </c>
      <c r="O5073" s="19" t="s">
        <v>8164</v>
      </c>
      <c r="P5073" s="19" t="s">
        <v>4326</v>
      </c>
      <c r="Q5073" s="19" t="s">
        <v>6028</v>
      </c>
    </row>
    <row r="5074" spans="1:17" ht="24.9" customHeight="1">
      <c r="A5074" s="20"/>
      <c r="B5074" s="20" t="s">
        <v>5101</v>
      </c>
      <c r="C5074" s="20"/>
      <c r="D5074" s="20" t="s">
        <v>4325</v>
      </c>
      <c r="E5074" s="19">
        <f>VLOOKUP(D5074,'لیست پرسنل'!$B$2:$E$1020,3,FALSE)</f>
        <v>0</v>
      </c>
      <c r="F5074" s="19">
        <f>VLOOKUP(D5074,'لیست پرسنل'!$B$2:$E$1020,4,FALSE)</f>
        <v>0</v>
      </c>
      <c r="G5074" s="127">
        <f>VLOOKUP(D5074,'لیست پرسنل'!$B$2:$F$1020,2,FALSE)</f>
        <v>0</v>
      </c>
      <c r="H5074" s="126" t="s">
        <v>4325</v>
      </c>
      <c r="I5074" s="128" t="s">
        <v>4325</v>
      </c>
      <c r="J5074" s="128" t="s">
        <v>571</v>
      </c>
      <c r="K5074" s="128"/>
      <c r="L5074" s="151"/>
      <c r="M5074" s="127">
        <v>622521</v>
      </c>
      <c r="N5074" s="109" t="s">
        <v>7312</v>
      </c>
      <c r="O5074" s="19"/>
      <c r="P5074" s="19" t="s">
        <v>4326</v>
      </c>
      <c r="Q5074" s="19">
        <v>1401</v>
      </c>
    </row>
    <row r="5075" spans="1:17" ht="24.9" customHeight="1">
      <c r="A5075" s="20"/>
      <c r="B5075" s="20" t="s">
        <v>5101</v>
      </c>
      <c r="C5075" s="20"/>
      <c r="D5075" s="20" t="s">
        <v>4325</v>
      </c>
      <c r="E5075" s="19">
        <f>VLOOKUP(D5075,'لیست پرسنل'!$B$2:$E$1020,3,FALSE)</f>
        <v>0</v>
      </c>
      <c r="F5075" s="19">
        <f>VLOOKUP(D5075,'لیست پرسنل'!$B$2:$E$1020,4,FALSE)</f>
        <v>0</v>
      </c>
      <c r="G5075" s="127">
        <f>VLOOKUP(D5075,'لیست پرسنل'!$B$2:$F$1020,2,FALSE)</f>
        <v>0</v>
      </c>
      <c r="H5075" s="126" t="s">
        <v>4325</v>
      </c>
      <c r="I5075" s="128" t="s">
        <v>4325</v>
      </c>
      <c r="J5075" s="128" t="s">
        <v>571</v>
      </c>
      <c r="K5075" s="128"/>
      <c r="L5075" s="151"/>
      <c r="M5075" s="127">
        <v>32700686</v>
      </c>
      <c r="N5075" s="109"/>
      <c r="O5075" s="19" t="s">
        <v>4372</v>
      </c>
      <c r="P5075" s="19" t="s">
        <v>4326</v>
      </c>
      <c r="Q5075" s="19">
        <v>1401</v>
      </c>
    </row>
    <row r="5076" spans="1:17" ht="24.9" customHeight="1">
      <c r="A5076" s="20"/>
      <c r="B5076" s="20" t="s">
        <v>5101</v>
      </c>
      <c r="C5076" s="20"/>
      <c r="D5076" s="20" t="s">
        <v>4325</v>
      </c>
      <c r="E5076" s="19">
        <f>VLOOKUP(D5076,'لیست پرسنل'!$B$2:$E$1020,3,FALSE)</f>
        <v>0</v>
      </c>
      <c r="F5076" s="19">
        <f>VLOOKUP(D5076,'لیست پرسنل'!$B$2:$E$1020,4,FALSE)</f>
        <v>0</v>
      </c>
      <c r="G5076" s="127">
        <f>VLOOKUP(D5076,'لیست پرسنل'!$B$2:$F$1020,2,FALSE)</f>
        <v>0</v>
      </c>
      <c r="H5076" s="126" t="s">
        <v>4325</v>
      </c>
      <c r="I5076" s="128" t="s">
        <v>4325</v>
      </c>
      <c r="J5076" s="128" t="s">
        <v>4333</v>
      </c>
      <c r="K5076" s="128" t="s">
        <v>1546</v>
      </c>
      <c r="L5076" s="127"/>
      <c r="M5076" s="128">
        <v>601010</v>
      </c>
      <c r="N5076" s="108"/>
      <c r="O5076" s="19" t="s">
        <v>4332</v>
      </c>
      <c r="P5076" s="20" t="s">
        <v>4326</v>
      </c>
      <c r="Q5076" s="19">
        <v>1398</v>
      </c>
    </row>
    <row r="5077" spans="1:17" ht="24.9" customHeight="1">
      <c r="A5077" s="20"/>
      <c r="B5077" s="20" t="s">
        <v>5101</v>
      </c>
      <c r="C5077" s="20"/>
      <c r="D5077" s="20" t="s">
        <v>4325</v>
      </c>
      <c r="E5077" s="19">
        <f>VLOOKUP(D5077,'لیست پرسنل'!$B$2:$E$1020,3,FALSE)</f>
        <v>0</v>
      </c>
      <c r="F5077" s="19">
        <f>VLOOKUP(D5077,'لیست پرسنل'!$B$2:$E$1020,4,FALSE)</f>
        <v>0</v>
      </c>
      <c r="G5077" s="127">
        <f>VLOOKUP(D5077,'لیست پرسنل'!$B$2:$F$1020,2,FALSE)</f>
        <v>0</v>
      </c>
      <c r="H5077" s="126" t="s">
        <v>4325</v>
      </c>
      <c r="I5077" s="128" t="s">
        <v>4325</v>
      </c>
      <c r="J5077" s="128" t="s">
        <v>2686</v>
      </c>
      <c r="K5077" s="128" t="s">
        <v>999</v>
      </c>
      <c r="L5077" s="151" t="s">
        <v>1000</v>
      </c>
      <c r="M5077" s="127">
        <v>600359</v>
      </c>
      <c r="N5077" s="109"/>
      <c r="O5077" s="19" t="s">
        <v>1597</v>
      </c>
      <c r="P5077" s="19" t="s">
        <v>4326</v>
      </c>
      <c r="Q5077" s="19">
        <v>1400</v>
      </c>
    </row>
    <row r="5078" spans="1:17" ht="24.9" customHeight="1">
      <c r="A5078" s="20"/>
      <c r="B5078" s="20" t="s">
        <v>5101</v>
      </c>
      <c r="C5078" s="20"/>
      <c r="D5078" s="20" t="s">
        <v>4325</v>
      </c>
      <c r="E5078" s="19">
        <f>VLOOKUP(D5078,'لیست پرسنل'!$B$2:$E$1020,3,FALSE)</f>
        <v>0</v>
      </c>
      <c r="F5078" s="19">
        <f>VLOOKUP(D5078,'لیست پرسنل'!$B$2:$E$1020,4,FALSE)</f>
        <v>0</v>
      </c>
      <c r="G5078" s="127">
        <f>VLOOKUP(D5078,'لیست پرسنل'!$B$2:$F$1020,2,FALSE)</f>
        <v>0</v>
      </c>
      <c r="H5078" s="126" t="s">
        <v>4325</v>
      </c>
      <c r="I5078" s="128" t="s">
        <v>4325</v>
      </c>
      <c r="J5078" s="128" t="s">
        <v>2686</v>
      </c>
      <c r="K5078" s="128" t="s">
        <v>1547</v>
      </c>
      <c r="L5078" s="127"/>
      <c r="M5078" s="128">
        <v>601180</v>
      </c>
      <c r="N5078" s="108"/>
      <c r="O5078" s="19" t="s">
        <v>4332</v>
      </c>
      <c r="P5078" s="20" t="s">
        <v>4326</v>
      </c>
      <c r="Q5078" s="19">
        <v>1398</v>
      </c>
    </row>
    <row r="5079" spans="1:17" ht="24.9" customHeight="1">
      <c r="A5079" s="20"/>
      <c r="B5079" s="20" t="s">
        <v>5101</v>
      </c>
      <c r="C5079" s="20"/>
      <c r="D5079" s="20" t="s">
        <v>4325</v>
      </c>
      <c r="E5079" s="19">
        <f>VLOOKUP(D5079,'لیست پرسنل'!$B$2:$E$1020,3,FALSE)</f>
        <v>0</v>
      </c>
      <c r="F5079" s="19">
        <f>VLOOKUP(D5079,'لیست پرسنل'!$B$2:$E$1020,4,FALSE)</f>
        <v>0</v>
      </c>
      <c r="G5079" s="127">
        <f>VLOOKUP(D5079,'لیست پرسنل'!$B$2:$F$1020,2,FALSE)</f>
        <v>0</v>
      </c>
      <c r="H5079" s="126" t="s">
        <v>4325</v>
      </c>
      <c r="I5079" s="128" t="s">
        <v>4325</v>
      </c>
      <c r="J5079" s="128" t="s">
        <v>2686</v>
      </c>
      <c r="K5079" s="128" t="s">
        <v>1571</v>
      </c>
      <c r="L5079" s="127"/>
      <c r="M5079" s="128">
        <v>601483</v>
      </c>
      <c r="N5079" s="108"/>
      <c r="O5079" s="19" t="s">
        <v>4332</v>
      </c>
      <c r="P5079" s="20" t="s">
        <v>4326</v>
      </c>
      <c r="Q5079" s="19">
        <v>1398</v>
      </c>
    </row>
    <row r="5080" spans="1:17" ht="24.9" customHeight="1">
      <c r="A5080" s="20"/>
      <c r="B5080" s="20" t="s">
        <v>5101</v>
      </c>
      <c r="C5080" s="20"/>
      <c r="D5080" s="20" t="s">
        <v>4325</v>
      </c>
      <c r="E5080" s="19">
        <f>VLOOKUP(D5080,'لیست پرسنل'!$B$2:$E$1020,3,FALSE)</f>
        <v>0</v>
      </c>
      <c r="F5080" s="19">
        <f>VLOOKUP(D5080,'لیست پرسنل'!$B$2:$E$1020,4,FALSE)</f>
        <v>0</v>
      </c>
      <c r="G5080" s="127">
        <f>VLOOKUP(D5080,'لیست پرسنل'!$B$2:$F$1020,2,FALSE)</f>
        <v>0</v>
      </c>
      <c r="H5080" s="126" t="s">
        <v>4325</v>
      </c>
      <c r="I5080" s="128" t="s">
        <v>4325</v>
      </c>
      <c r="J5080" s="128" t="s">
        <v>2686</v>
      </c>
      <c r="K5080" s="128" t="s">
        <v>1535</v>
      </c>
      <c r="L5080" s="127"/>
      <c r="M5080" s="128">
        <v>601520</v>
      </c>
      <c r="N5080" s="108"/>
      <c r="O5080" s="19" t="s">
        <v>4332</v>
      </c>
      <c r="P5080" s="20" t="s">
        <v>4326</v>
      </c>
      <c r="Q5080" s="19">
        <v>1398</v>
      </c>
    </row>
    <row r="5081" spans="1:17" ht="24.9" customHeight="1">
      <c r="A5081" s="20"/>
      <c r="B5081" s="20" t="s">
        <v>5101</v>
      </c>
      <c r="C5081" s="20"/>
      <c r="D5081" s="20" t="s">
        <v>4325</v>
      </c>
      <c r="E5081" s="19">
        <f>VLOOKUP(D5081,'لیست پرسنل'!$B$2:$E$1020,3,FALSE)</f>
        <v>0</v>
      </c>
      <c r="F5081" s="19">
        <f>VLOOKUP(D5081,'لیست پرسنل'!$B$2:$E$1020,4,FALSE)</f>
        <v>0</v>
      </c>
      <c r="G5081" s="127">
        <f>VLOOKUP(D5081,'لیست پرسنل'!$B$2:$F$1020,2,FALSE)</f>
        <v>0</v>
      </c>
      <c r="H5081" s="126" t="s">
        <v>4325</v>
      </c>
      <c r="I5081" s="128" t="s">
        <v>4325</v>
      </c>
      <c r="J5081" s="128" t="s">
        <v>2686</v>
      </c>
      <c r="K5081" s="128" t="s">
        <v>1549</v>
      </c>
      <c r="L5081" s="127"/>
      <c r="M5081" s="128">
        <v>601521</v>
      </c>
      <c r="N5081" s="108"/>
      <c r="O5081" s="19" t="s">
        <v>4332</v>
      </c>
      <c r="P5081" s="20" t="s">
        <v>4326</v>
      </c>
      <c r="Q5081" s="19">
        <v>1398</v>
      </c>
    </row>
    <row r="5082" spans="1:17" ht="24.9" customHeight="1">
      <c r="A5082" s="20"/>
      <c r="B5082" s="20" t="s">
        <v>5101</v>
      </c>
      <c r="C5082" s="20"/>
      <c r="D5082" s="20" t="s">
        <v>4325</v>
      </c>
      <c r="E5082" s="19">
        <f>VLOOKUP(D5082,'لیست پرسنل'!$B$2:$E$1020,3,FALSE)</f>
        <v>0</v>
      </c>
      <c r="F5082" s="19">
        <f>VLOOKUP(D5082,'لیست پرسنل'!$B$2:$E$1020,4,FALSE)</f>
        <v>0</v>
      </c>
      <c r="G5082" s="127">
        <f>VLOOKUP(D5082,'لیست پرسنل'!$B$2:$F$1020,2,FALSE)</f>
        <v>0</v>
      </c>
      <c r="H5082" s="126" t="s">
        <v>4325</v>
      </c>
      <c r="I5082" s="128" t="s">
        <v>4325</v>
      </c>
      <c r="J5082" s="128" t="s">
        <v>2686</v>
      </c>
      <c r="K5082" s="128" t="s">
        <v>39</v>
      </c>
      <c r="L5082" s="151" t="s">
        <v>296</v>
      </c>
      <c r="M5082" s="127">
        <v>601526</v>
      </c>
      <c r="N5082" s="109" t="s">
        <v>7312</v>
      </c>
      <c r="O5082" s="19"/>
      <c r="P5082" s="19" t="s">
        <v>4326</v>
      </c>
      <c r="Q5082" s="19">
        <v>1401</v>
      </c>
    </row>
    <row r="5083" spans="1:17" ht="24.9" customHeight="1">
      <c r="A5083" s="20"/>
      <c r="B5083" s="20" t="s">
        <v>5101</v>
      </c>
      <c r="C5083" s="20"/>
      <c r="D5083" s="20" t="s">
        <v>4325</v>
      </c>
      <c r="E5083" s="19">
        <f>VLOOKUP(D5083,'لیست پرسنل'!$B$2:$E$1020,3,FALSE)</f>
        <v>0</v>
      </c>
      <c r="F5083" s="19">
        <f>VLOOKUP(D5083,'لیست پرسنل'!$B$2:$E$1020,4,FALSE)</f>
        <v>0</v>
      </c>
      <c r="G5083" s="127">
        <f>VLOOKUP(D5083,'لیست پرسنل'!$B$2:$F$1020,2,FALSE)</f>
        <v>0</v>
      </c>
      <c r="H5083" s="126" t="s">
        <v>4325</v>
      </c>
      <c r="I5083" s="128" t="s">
        <v>4325</v>
      </c>
      <c r="J5083" s="128" t="s">
        <v>2686</v>
      </c>
      <c r="K5083" s="128" t="s">
        <v>535</v>
      </c>
      <c r="L5083" s="151" t="s">
        <v>536</v>
      </c>
      <c r="M5083" s="127">
        <v>601566</v>
      </c>
      <c r="N5083" s="109" t="s">
        <v>7312</v>
      </c>
      <c r="O5083" s="19" t="s">
        <v>4606</v>
      </c>
      <c r="P5083" s="19" t="s">
        <v>4326</v>
      </c>
      <c r="Q5083" s="19">
        <v>1400</v>
      </c>
    </row>
    <row r="5084" spans="1:17" ht="24.9" customHeight="1">
      <c r="A5084" s="20"/>
      <c r="B5084" s="20" t="s">
        <v>5101</v>
      </c>
      <c r="C5084" s="20"/>
      <c r="D5084" s="20" t="s">
        <v>4325</v>
      </c>
      <c r="E5084" s="19">
        <f>VLOOKUP(D5084,'لیست پرسنل'!$B$2:$E$1020,3,FALSE)</f>
        <v>0</v>
      </c>
      <c r="F5084" s="19">
        <f>VLOOKUP(D5084,'لیست پرسنل'!$B$2:$E$1020,4,FALSE)</f>
        <v>0</v>
      </c>
      <c r="G5084" s="127">
        <f>VLOOKUP(D5084,'لیست پرسنل'!$B$2:$F$1020,2,FALSE)</f>
        <v>0</v>
      </c>
      <c r="H5084" s="126" t="s">
        <v>4325</v>
      </c>
      <c r="I5084" s="128" t="s">
        <v>4325</v>
      </c>
      <c r="J5084" s="128" t="s">
        <v>2686</v>
      </c>
      <c r="K5084" s="128" t="s">
        <v>1547</v>
      </c>
      <c r="L5084" s="128" t="s">
        <v>4367</v>
      </c>
      <c r="M5084" s="128">
        <v>601858</v>
      </c>
      <c r="N5084" s="108"/>
      <c r="O5084" s="19"/>
      <c r="P5084" s="20" t="s">
        <v>4326</v>
      </c>
      <c r="Q5084" s="19" t="s">
        <v>4327</v>
      </c>
    </row>
    <row r="5085" spans="1:17" ht="24.9" customHeight="1">
      <c r="A5085" s="20"/>
      <c r="B5085" s="20" t="s">
        <v>5101</v>
      </c>
      <c r="C5085" s="20"/>
      <c r="D5085" s="20" t="s">
        <v>4325</v>
      </c>
      <c r="E5085" s="19">
        <f>VLOOKUP(D5085,'لیست پرسنل'!$B$2:$E$1020,3,FALSE)</f>
        <v>0</v>
      </c>
      <c r="F5085" s="19">
        <f>VLOOKUP(D5085,'لیست پرسنل'!$B$2:$E$1020,4,FALSE)</f>
        <v>0</v>
      </c>
      <c r="G5085" s="127">
        <f>VLOOKUP(D5085,'لیست پرسنل'!$B$2:$F$1020,2,FALSE)</f>
        <v>0</v>
      </c>
      <c r="H5085" s="126" t="s">
        <v>4325</v>
      </c>
      <c r="I5085" s="128" t="s">
        <v>4325</v>
      </c>
      <c r="J5085" s="128" t="s">
        <v>2686</v>
      </c>
      <c r="K5085" s="128" t="s">
        <v>1549</v>
      </c>
      <c r="L5085" s="127"/>
      <c r="M5085" s="128">
        <v>601884</v>
      </c>
      <c r="N5085" s="108"/>
      <c r="O5085" s="19" t="s">
        <v>4332</v>
      </c>
      <c r="P5085" s="20" t="s">
        <v>4326</v>
      </c>
      <c r="Q5085" s="19">
        <v>1398</v>
      </c>
    </row>
    <row r="5086" spans="1:17" ht="24.9" customHeight="1">
      <c r="A5086" s="20"/>
      <c r="B5086" s="20" t="s">
        <v>5101</v>
      </c>
      <c r="C5086" s="20"/>
      <c r="D5086" s="20" t="s">
        <v>4325</v>
      </c>
      <c r="E5086" s="19">
        <f>VLOOKUP(D5086,'لیست پرسنل'!$B$2:$E$1020,3,FALSE)</f>
        <v>0</v>
      </c>
      <c r="F5086" s="19">
        <f>VLOOKUP(D5086,'لیست پرسنل'!$B$2:$E$1020,4,FALSE)</f>
        <v>0</v>
      </c>
      <c r="G5086" s="127">
        <f>VLOOKUP(D5086,'لیست پرسنل'!$B$2:$F$1020,2,FALSE)</f>
        <v>0</v>
      </c>
      <c r="H5086" s="126" t="s">
        <v>4325</v>
      </c>
      <c r="I5086" s="128" t="s">
        <v>4325</v>
      </c>
      <c r="J5086" s="128" t="s">
        <v>2686</v>
      </c>
      <c r="K5086" s="128" t="s">
        <v>1549</v>
      </c>
      <c r="L5086" s="127"/>
      <c r="M5086" s="128">
        <v>601885</v>
      </c>
      <c r="N5086" s="108"/>
      <c r="O5086" s="19" t="s">
        <v>4332</v>
      </c>
      <c r="P5086" s="20" t="s">
        <v>4326</v>
      </c>
      <c r="Q5086" s="19">
        <v>1398</v>
      </c>
    </row>
    <row r="5087" spans="1:17" ht="24.9" customHeight="1">
      <c r="A5087" s="20"/>
      <c r="B5087" s="20" t="s">
        <v>5101</v>
      </c>
      <c r="C5087" s="20"/>
      <c r="D5087" s="20" t="s">
        <v>4325</v>
      </c>
      <c r="E5087" s="19">
        <f>VLOOKUP(D5087,'لیست پرسنل'!$B$2:$E$1020,3,FALSE)</f>
        <v>0</v>
      </c>
      <c r="F5087" s="19">
        <f>VLOOKUP(D5087,'لیست پرسنل'!$B$2:$E$1020,4,FALSE)</f>
        <v>0</v>
      </c>
      <c r="G5087" s="127">
        <f>VLOOKUP(D5087,'لیست پرسنل'!$B$2:$F$1020,2,FALSE)</f>
        <v>0</v>
      </c>
      <c r="H5087" s="126" t="s">
        <v>4325</v>
      </c>
      <c r="I5087" s="128" t="s">
        <v>4325</v>
      </c>
      <c r="J5087" s="128" t="s">
        <v>2686</v>
      </c>
      <c r="K5087" s="128" t="s">
        <v>1550</v>
      </c>
      <c r="L5087" s="127"/>
      <c r="M5087" s="128">
        <v>602470</v>
      </c>
      <c r="N5087" s="108"/>
      <c r="O5087" s="19" t="s">
        <v>4332</v>
      </c>
      <c r="P5087" s="20" t="s">
        <v>4326</v>
      </c>
      <c r="Q5087" s="19">
        <v>1398</v>
      </c>
    </row>
    <row r="5088" spans="1:17" ht="24.9" customHeight="1">
      <c r="A5088" s="20"/>
      <c r="B5088" s="20" t="s">
        <v>5101</v>
      </c>
      <c r="C5088" s="20"/>
      <c r="D5088" s="20" t="s">
        <v>4325</v>
      </c>
      <c r="E5088" s="19">
        <f>VLOOKUP(D5088,'لیست پرسنل'!$B$2:$E$1020,3,FALSE)</f>
        <v>0</v>
      </c>
      <c r="F5088" s="19">
        <f>VLOOKUP(D5088,'لیست پرسنل'!$B$2:$E$1020,4,FALSE)</f>
        <v>0</v>
      </c>
      <c r="G5088" s="127">
        <f>VLOOKUP(D5088,'لیست پرسنل'!$B$2:$F$1020,2,FALSE)</f>
        <v>0</v>
      </c>
      <c r="H5088" s="126" t="s">
        <v>4325</v>
      </c>
      <c r="I5088" s="128" t="s">
        <v>4325</v>
      </c>
      <c r="J5088" s="128" t="s">
        <v>2686</v>
      </c>
      <c r="K5088" s="128" t="s">
        <v>1550</v>
      </c>
      <c r="L5088" s="127"/>
      <c r="M5088" s="128">
        <v>602555</v>
      </c>
      <c r="N5088" s="108"/>
      <c r="O5088" s="19" t="s">
        <v>4332</v>
      </c>
      <c r="P5088" s="20" t="s">
        <v>4326</v>
      </c>
      <c r="Q5088" s="19">
        <v>1398</v>
      </c>
    </row>
    <row r="5089" spans="1:17" ht="24.9" customHeight="1">
      <c r="A5089" s="20"/>
      <c r="B5089" s="20" t="s">
        <v>5101</v>
      </c>
      <c r="C5089" s="20"/>
      <c r="D5089" s="20" t="s">
        <v>4325</v>
      </c>
      <c r="E5089" s="19">
        <f>VLOOKUP(D5089,'لیست پرسنل'!$B$2:$E$1020,3,FALSE)</f>
        <v>0</v>
      </c>
      <c r="F5089" s="19">
        <f>VLOOKUP(D5089,'لیست پرسنل'!$B$2:$E$1020,4,FALSE)</f>
        <v>0</v>
      </c>
      <c r="G5089" s="127">
        <f>VLOOKUP(D5089,'لیست پرسنل'!$B$2:$F$1020,2,FALSE)</f>
        <v>0</v>
      </c>
      <c r="H5089" s="126" t="s">
        <v>4325</v>
      </c>
      <c r="I5089" s="128" t="s">
        <v>4325</v>
      </c>
      <c r="J5089" s="128" t="s">
        <v>2686</v>
      </c>
      <c r="K5089" s="128" t="s">
        <v>1547</v>
      </c>
      <c r="L5089" s="127"/>
      <c r="M5089" s="128">
        <v>602635</v>
      </c>
      <c r="N5089" s="108"/>
      <c r="O5089" s="19" t="s">
        <v>4332</v>
      </c>
      <c r="P5089" s="20" t="s">
        <v>4326</v>
      </c>
      <c r="Q5089" s="19">
        <v>1398</v>
      </c>
    </row>
    <row r="5090" spans="1:17" ht="24.9" customHeight="1">
      <c r="A5090" s="20"/>
      <c r="B5090" s="20" t="s">
        <v>5101</v>
      </c>
      <c r="C5090" s="20"/>
      <c r="D5090" s="20" t="s">
        <v>4325</v>
      </c>
      <c r="E5090" s="19">
        <f>VLOOKUP(D5090,'لیست پرسنل'!$B$2:$E$1020,3,FALSE)</f>
        <v>0</v>
      </c>
      <c r="F5090" s="19">
        <f>VLOOKUP(D5090,'لیست پرسنل'!$B$2:$E$1020,4,FALSE)</f>
        <v>0</v>
      </c>
      <c r="G5090" s="127">
        <f>VLOOKUP(D5090,'لیست پرسنل'!$B$2:$F$1020,2,FALSE)</f>
        <v>0</v>
      </c>
      <c r="H5090" s="126" t="s">
        <v>4325</v>
      </c>
      <c r="I5090" s="128" t="s">
        <v>4325</v>
      </c>
      <c r="J5090" s="128" t="s">
        <v>2686</v>
      </c>
      <c r="K5090" s="128" t="s">
        <v>217</v>
      </c>
      <c r="L5090" s="127"/>
      <c r="M5090" s="128">
        <v>603249</v>
      </c>
      <c r="N5090" s="108"/>
      <c r="O5090" s="19" t="s">
        <v>4332</v>
      </c>
      <c r="P5090" s="20" t="s">
        <v>4326</v>
      </c>
      <c r="Q5090" s="19">
        <v>1398</v>
      </c>
    </row>
    <row r="5091" spans="1:17" ht="24.9" customHeight="1">
      <c r="A5091" s="20"/>
      <c r="B5091" s="20" t="s">
        <v>5101</v>
      </c>
      <c r="C5091" s="20"/>
      <c r="D5091" s="20" t="s">
        <v>4325</v>
      </c>
      <c r="E5091" s="19">
        <f>VLOOKUP(D5091,'لیست پرسنل'!$B$2:$E$1020,3,FALSE)</f>
        <v>0</v>
      </c>
      <c r="F5091" s="19">
        <f>VLOOKUP(D5091,'لیست پرسنل'!$B$2:$E$1020,4,FALSE)</f>
        <v>0</v>
      </c>
      <c r="G5091" s="127">
        <f>VLOOKUP(D5091,'لیست پرسنل'!$B$2:$F$1020,2,FALSE)</f>
        <v>0</v>
      </c>
      <c r="H5091" s="126" t="s">
        <v>4325</v>
      </c>
      <c r="I5091" s="128" t="s">
        <v>4325</v>
      </c>
      <c r="J5091" s="128" t="s">
        <v>2686</v>
      </c>
      <c r="K5091" s="128" t="s">
        <v>332</v>
      </c>
      <c r="L5091" s="151" t="s">
        <v>539</v>
      </c>
      <c r="M5091" s="127">
        <v>603300</v>
      </c>
      <c r="N5091" s="109"/>
      <c r="O5091" s="19" t="s">
        <v>734</v>
      </c>
      <c r="P5091" s="19" t="s">
        <v>4326</v>
      </c>
      <c r="Q5091" s="19">
        <v>1400</v>
      </c>
    </row>
    <row r="5092" spans="1:17" ht="24.9" customHeight="1">
      <c r="A5092" s="20"/>
      <c r="B5092" s="20" t="s">
        <v>5101</v>
      </c>
      <c r="C5092" s="20"/>
      <c r="D5092" s="20" t="s">
        <v>4325</v>
      </c>
      <c r="E5092" s="19">
        <f>VLOOKUP(D5092,'لیست پرسنل'!$B$2:$E$1020,3,FALSE)</f>
        <v>0</v>
      </c>
      <c r="F5092" s="19">
        <f>VLOOKUP(D5092,'لیست پرسنل'!$B$2:$E$1020,4,FALSE)</f>
        <v>0</v>
      </c>
      <c r="G5092" s="127">
        <f>VLOOKUP(D5092,'لیست پرسنل'!$B$2:$F$1020,2,FALSE)</f>
        <v>0</v>
      </c>
      <c r="H5092" s="126" t="s">
        <v>4325</v>
      </c>
      <c r="I5092" s="128" t="s">
        <v>4325</v>
      </c>
      <c r="J5092" s="128" t="s">
        <v>2686</v>
      </c>
      <c r="K5092" s="128" t="s">
        <v>1573</v>
      </c>
      <c r="L5092" s="127"/>
      <c r="M5092" s="128">
        <v>603353</v>
      </c>
      <c r="N5092" s="108"/>
      <c r="O5092" s="19" t="s">
        <v>4332</v>
      </c>
      <c r="P5092" s="20" t="s">
        <v>4326</v>
      </c>
      <c r="Q5092" s="19">
        <v>1398</v>
      </c>
    </row>
    <row r="5093" spans="1:17" ht="24.9" customHeight="1">
      <c r="A5093" s="20"/>
      <c r="B5093" s="20" t="s">
        <v>5101</v>
      </c>
      <c r="C5093" s="20"/>
      <c r="D5093" s="20" t="s">
        <v>4325</v>
      </c>
      <c r="E5093" s="19">
        <f>VLOOKUP(D5093,'لیست پرسنل'!$B$2:$E$1020,3,FALSE)</f>
        <v>0</v>
      </c>
      <c r="F5093" s="19">
        <f>VLOOKUP(D5093,'لیست پرسنل'!$B$2:$E$1020,4,FALSE)</f>
        <v>0</v>
      </c>
      <c r="G5093" s="127">
        <f>VLOOKUP(D5093,'لیست پرسنل'!$B$2:$F$1020,2,FALSE)</f>
        <v>0</v>
      </c>
      <c r="H5093" s="126" t="s">
        <v>4325</v>
      </c>
      <c r="I5093" s="128" t="s">
        <v>4325</v>
      </c>
      <c r="J5093" s="128" t="s">
        <v>2686</v>
      </c>
      <c r="K5093" s="128" t="s">
        <v>1579</v>
      </c>
      <c r="L5093" s="127"/>
      <c r="M5093" s="128">
        <v>603355</v>
      </c>
      <c r="N5093" s="108"/>
      <c r="O5093" s="19" t="s">
        <v>4332</v>
      </c>
      <c r="P5093" s="20" t="s">
        <v>4326</v>
      </c>
      <c r="Q5093" s="19">
        <v>1398</v>
      </c>
    </row>
    <row r="5094" spans="1:17" ht="24.9" customHeight="1">
      <c r="A5094" s="20"/>
      <c r="B5094" s="20" t="s">
        <v>5101</v>
      </c>
      <c r="C5094" s="20"/>
      <c r="D5094" s="20" t="s">
        <v>4325</v>
      </c>
      <c r="E5094" s="19">
        <f>VLOOKUP(D5094,'لیست پرسنل'!$B$2:$E$1020,3,FALSE)</f>
        <v>0</v>
      </c>
      <c r="F5094" s="19">
        <f>VLOOKUP(D5094,'لیست پرسنل'!$B$2:$E$1020,4,FALSE)</f>
        <v>0</v>
      </c>
      <c r="G5094" s="127">
        <f>VLOOKUP(D5094,'لیست پرسنل'!$B$2:$F$1020,2,FALSE)</f>
        <v>0</v>
      </c>
      <c r="H5094" s="126" t="s">
        <v>4325</v>
      </c>
      <c r="I5094" s="128" t="s">
        <v>4325</v>
      </c>
      <c r="J5094" s="128" t="s">
        <v>2686</v>
      </c>
      <c r="K5094" s="128" t="s">
        <v>1547</v>
      </c>
      <c r="L5094" s="130" t="s">
        <v>2652</v>
      </c>
      <c r="M5094" s="130">
        <v>603880</v>
      </c>
      <c r="N5094" s="108"/>
      <c r="O5094" s="19"/>
      <c r="P5094" s="20" t="s">
        <v>4326</v>
      </c>
      <c r="Q5094" s="19" t="s">
        <v>4327</v>
      </c>
    </row>
    <row r="5095" spans="1:17" ht="24.9" customHeight="1">
      <c r="A5095" s="20"/>
      <c r="B5095" s="20" t="s">
        <v>5101</v>
      </c>
      <c r="C5095" s="20"/>
      <c r="D5095" s="20" t="s">
        <v>4325</v>
      </c>
      <c r="E5095" s="19">
        <f>VLOOKUP(D5095,'لیست پرسنل'!$B$2:$E$1020,3,FALSE)</f>
        <v>0</v>
      </c>
      <c r="F5095" s="19">
        <f>VLOOKUP(D5095,'لیست پرسنل'!$B$2:$E$1020,4,FALSE)</f>
        <v>0</v>
      </c>
      <c r="G5095" s="127">
        <f>VLOOKUP(D5095,'لیست پرسنل'!$B$2:$F$1020,2,FALSE)</f>
        <v>0</v>
      </c>
      <c r="H5095" s="126" t="s">
        <v>4325</v>
      </c>
      <c r="I5095" s="128" t="s">
        <v>4325</v>
      </c>
      <c r="J5095" s="128" t="s">
        <v>2686</v>
      </c>
      <c r="K5095" s="128" t="s">
        <v>1215</v>
      </c>
      <c r="L5095" s="151" t="s">
        <v>1204</v>
      </c>
      <c r="M5095" s="128">
        <v>603953</v>
      </c>
      <c r="N5095" s="108"/>
      <c r="O5095" s="19"/>
      <c r="P5095" s="20" t="s">
        <v>4326</v>
      </c>
      <c r="Q5095" s="19" t="s">
        <v>4327</v>
      </c>
    </row>
    <row r="5096" spans="1:17" ht="24.9" customHeight="1">
      <c r="A5096" s="20"/>
      <c r="B5096" s="20" t="s">
        <v>5101</v>
      </c>
      <c r="C5096" s="20"/>
      <c r="D5096" s="20" t="s">
        <v>4325</v>
      </c>
      <c r="E5096" s="19">
        <f>VLOOKUP(D5096,'لیست پرسنل'!$B$2:$E$1020,3,FALSE)</f>
        <v>0</v>
      </c>
      <c r="F5096" s="19">
        <f>VLOOKUP(D5096,'لیست پرسنل'!$B$2:$E$1020,4,FALSE)</f>
        <v>0</v>
      </c>
      <c r="G5096" s="127">
        <f>VLOOKUP(D5096,'لیست پرسنل'!$B$2:$F$1020,2,FALSE)</f>
        <v>0</v>
      </c>
      <c r="H5096" s="126" t="s">
        <v>4325</v>
      </c>
      <c r="I5096" s="128" t="s">
        <v>4325</v>
      </c>
      <c r="J5096" s="128" t="s">
        <v>2686</v>
      </c>
      <c r="K5096" s="128" t="s">
        <v>346</v>
      </c>
      <c r="L5096" s="151" t="s">
        <v>4639</v>
      </c>
      <c r="M5096" s="127">
        <v>603965</v>
      </c>
      <c r="N5096" s="109" t="s">
        <v>7312</v>
      </c>
      <c r="O5096" s="19" t="s">
        <v>4606</v>
      </c>
      <c r="P5096" s="19" t="s">
        <v>4326</v>
      </c>
      <c r="Q5096" s="19">
        <v>1400</v>
      </c>
    </row>
    <row r="5097" spans="1:17" ht="24.9" customHeight="1">
      <c r="A5097" s="20"/>
      <c r="B5097" s="20" t="s">
        <v>5101</v>
      </c>
      <c r="C5097" s="20"/>
      <c r="D5097" s="20" t="s">
        <v>4325</v>
      </c>
      <c r="E5097" s="19">
        <f>VLOOKUP(D5097,'لیست پرسنل'!$B$2:$E$1020,3,FALSE)</f>
        <v>0</v>
      </c>
      <c r="F5097" s="19">
        <f>VLOOKUP(D5097,'لیست پرسنل'!$B$2:$E$1020,4,FALSE)</f>
        <v>0</v>
      </c>
      <c r="G5097" s="127">
        <f>VLOOKUP(D5097,'لیست پرسنل'!$B$2:$F$1020,2,FALSE)</f>
        <v>0</v>
      </c>
      <c r="H5097" s="126" t="s">
        <v>4325</v>
      </c>
      <c r="I5097" s="128" t="s">
        <v>4325</v>
      </c>
      <c r="J5097" s="128" t="s">
        <v>2686</v>
      </c>
      <c r="K5097" s="128" t="s">
        <v>1534</v>
      </c>
      <c r="L5097" s="127"/>
      <c r="M5097" s="128">
        <v>604006</v>
      </c>
      <c r="N5097" s="108"/>
      <c r="O5097" s="19" t="s">
        <v>4332</v>
      </c>
      <c r="P5097" s="20" t="s">
        <v>4326</v>
      </c>
      <c r="Q5097" s="19">
        <v>1398</v>
      </c>
    </row>
    <row r="5098" spans="1:17" ht="24.9" customHeight="1">
      <c r="A5098" s="20"/>
      <c r="B5098" s="20" t="s">
        <v>5101</v>
      </c>
      <c r="C5098" s="20"/>
      <c r="D5098" s="20" t="s">
        <v>4325</v>
      </c>
      <c r="E5098" s="19">
        <f>VLOOKUP(D5098,'لیست پرسنل'!$B$2:$E$1020,3,FALSE)</f>
        <v>0</v>
      </c>
      <c r="F5098" s="19">
        <f>VLOOKUP(D5098,'لیست پرسنل'!$B$2:$E$1020,4,FALSE)</f>
        <v>0</v>
      </c>
      <c r="G5098" s="127">
        <f>VLOOKUP(D5098,'لیست پرسنل'!$B$2:$F$1020,2,FALSE)</f>
        <v>0</v>
      </c>
      <c r="H5098" s="126" t="s">
        <v>4325</v>
      </c>
      <c r="I5098" s="128" t="s">
        <v>4325</v>
      </c>
      <c r="J5098" s="128" t="s">
        <v>2686</v>
      </c>
      <c r="K5098" s="128" t="s">
        <v>1547</v>
      </c>
      <c r="L5098" s="128" t="s">
        <v>4366</v>
      </c>
      <c r="M5098" s="128">
        <v>604284</v>
      </c>
      <c r="N5098" s="108"/>
      <c r="O5098" s="19"/>
      <c r="P5098" s="20" t="s">
        <v>4326</v>
      </c>
      <c r="Q5098" s="19" t="s">
        <v>4327</v>
      </c>
    </row>
    <row r="5099" spans="1:17" ht="24.9" customHeight="1">
      <c r="A5099" s="20"/>
      <c r="B5099" s="20" t="s">
        <v>4636</v>
      </c>
      <c r="C5099" s="20"/>
      <c r="D5099" s="20" t="s">
        <v>4325</v>
      </c>
      <c r="E5099" s="19">
        <f>VLOOKUP(D5099,'لیست پرسنل'!$B$2:$E$1020,3,FALSE)</f>
        <v>0</v>
      </c>
      <c r="F5099" s="19">
        <f>VLOOKUP(D5099,'لیست پرسنل'!$B$2:$E$1020,4,FALSE)</f>
        <v>0</v>
      </c>
      <c r="G5099" s="127">
        <f>VLOOKUP(D5099,'لیست پرسنل'!$B$2:$F$1020,2,FALSE)</f>
        <v>0</v>
      </c>
      <c r="H5099" s="128" t="s">
        <v>4325</v>
      </c>
      <c r="I5099" s="128" t="s">
        <v>4325</v>
      </c>
      <c r="J5099" s="128" t="s">
        <v>2686</v>
      </c>
      <c r="K5099" s="128" t="s">
        <v>5595</v>
      </c>
      <c r="L5099" s="156"/>
      <c r="M5099" s="127">
        <v>604302</v>
      </c>
      <c r="N5099" s="108"/>
      <c r="O5099" s="19" t="s">
        <v>5596</v>
      </c>
      <c r="P5099" s="20" t="s">
        <v>4325</v>
      </c>
      <c r="Q5099" s="20" t="s">
        <v>5594</v>
      </c>
    </row>
    <row r="5100" spans="1:17" ht="24.9" customHeight="1">
      <c r="A5100" s="20"/>
      <c r="B5100" s="20" t="s">
        <v>5101</v>
      </c>
      <c r="C5100" s="20"/>
      <c r="D5100" s="84" t="s">
        <v>4325</v>
      </c>
      <c r="E5100" s="19">
        <f>VLOOKUP(D5100,'لیست پرسنل'!$B$2:$E$1020,3,FALSE)</f>
        <v>0</v>
      </c>
      <c r="F5100" s="19">
        <f>VLOOKUP(D5100,'لیست پرسنل'!$B$2:$E$1020,4,FALSE)</f>
        <v>0</v>
      </c>
      <c r="G5100" s="127">
        <f>VLOOKUP(D5100,'لیست پرسنل'!$B$2:$F$1020,2,FALSE)</f>
        <v>0</v>
      </c>
      <c r="H5100" s="126" t="s">
        <v>4325</v>
      </c>
      <c r="I5100" s="128" t="s">
        <v>4325</v>
      </c>
      <c r="J5100" s="128" t="s">
        <v>2686</v>
      </c>
      <c r="K5100" s="128" t="s">
        <v>8119</v>
      </c>
      <c r="L5100" s="128"/>
      <c r="M5100" s="142">
        <v>604684</v>
      </c>
      <c r="N5100" s="108"/>
      <c r="O5100" s="20"/>
      <c r="P5100" s="20" t="s">
        <v>4325</v>
      </c>
      <c r="Q5100" s="20" t="s">
        <v>5324</v>
      </c>
    </row>
    <row r="5101" spans="1:17" ht="24.9" customHeight="1">
      <c r="A5101" s="20"/>
      <c r="B5101" s="20" t="s">
        <v>5101</v>
      </c>
      <c r="C5101" s="20"/>
      <c r="D5101" s="20" t="s">
        <v>4325</v>
      </c>
      <c r="E5101" s="19">
        <f>VLOOKUP(D5101,'لیست پرسنل'!$B$2:$E$1020,3,FALSE)</f>
        <v>0</v>
      </c>
      <c r="F5101" s="19">
        <f>VLOOKUP(D5101,'لیست پرسنل'!$B$2:$E$1020,4,FALSE)</f>
        <v>0</v>
      </c>
      <c r="G5101" s="127">
        <f>VLOOKUP(D5101,'لیست پرسنل'!$B$2:$F$1020,2,FALSE)</f>
        <v>0</v>
      </c>
      <c r="H5101" s="126" t="s">
        <v>4325</v>
      </c>
      <c r="I5101" s="128" t="s">
        <v>4325</v>
      </c>
      <c r="J5101" s="128" t="s">
        <v>2686</v>
      </c>
      <c r="K5101" s="128" t="s">
        <v>1547</v>
      </c>
      <c r="L5101" s="128" t="s">
        <v>2652</v>
      </c>
      <c r="M5101" s="128">
        <v>604767</v>
      </c>
      <c r="N5101" s="108"/>
      <c r="O5101" s="19"/>
      <c r="P5101" s="20" t="s">
        <v>4326</v>
      </c>
      <c r="Q5101" s="19" t="s">
        <v>4327</v>
      </c>
    </row>
    <row r="5102" spans="1:17" ht="24.9" customHeight="1">
      <c r="A5102" s="20"/>
      <c r="B5102" s="20" t="s">
        <v>5101</v>
      </c>
      <c r="C5102" s="20"/>
      <c r="D5102" s="20" t="s">
        <v>4325</v>
      </c>
      <c r="E5102" s="19">
        <f>VLOOKUP(D5102,'لیست پرسنل'!$B$2:$E$1020,3,FALSE)</f>
        <v>0</v>
      </c>
      <c r="F5102" s="19">
        <f>VLOOKUP(D5102,'لیست پرسنل'!$B$2:$E$1020,4,FALSE)</f>
        <v>0</v>
      </c>
      <c r="G5102" s="127">
        <f>VLOOKUP(D5102,'لیست پرسنل'!$B$2:$F$1020,2,FALSE)</f>
        <v>0</v>
      </c>
      <c r="H5102" s="126" t="s">
        <v>4325</v>
      </c>
      <c r="I5102" s="128" t="s">
        <v>4325</v>
      </c>
      <c r="J5102" s="128" t="s">
        <v>2686</v>
      </c>
      <c r="K5102" s="128" t="s">
        <v>361</v>
      </c>
      <c r="L5102" s="151" t="s">
        <v>458</v>
      </c>
      <c r="M5102" s="127">
        <v>604880</v>
      </c>
      <c r="N5102" s="109" t="s">
        <v>7312</v>
      </c>
      <c r="O5102" s="19" t="s">
        <v>657</v>
      </c>
      <c r="P5102" s="19" t="s">
        <v>4326</v>
      </c>
      <c r="Q5102" s="19">
        <v>1400</v>
      </c>
    </row>
    <row r="5103" spans="1:17" ht="24.9" customHeight="1">
      <c r="A5103" s="20"/>
      <c r="B5103" s="20" t="s">
        <v>5101</v>
      </c>
      <c r="C5103" s="20"/>
      <c r="D5103" s="20" t="s">
        <v>4325</v>
      </c>
      <c r="E5103" s="19">
        <f>VLOOKUP(D5103,'لیست پرسنل'!$B$2:$E$1020,3,FALSE)</f>
        <v>0</v>
      </c>
      <c r="F5103" s="19">
        <f>VLOOKUP(D5103,'لیست پرسنل'!$B$2:$E$1020,4,FALSE)</f>
        <v>0</v>
      </c>
      <c r="G5103" s="127">
        <f>VLOOKUP(D5103,'لیست پرسنل'!$B$2:$F$1020,2,FALSE)</f>
        <v>0</v>
      </c>
      <c r="H5103" s="126" t="s">
        <v>4325</v>
      </c>
      <c r="I5103" s="128" t="s">
        <v>4325</v>
      </c>
      <c r="J5103" s="128" t="s">
        <v>2686</v>
      </c>
      <c r="K5103" s="128" t="s">
        <v>1547</v>
      </c>
      <c r="L5103" s="127"/>
      <c r="M5103" s="128">
        <v>604881</v>
      </c>
      <c r="N5103" s="108"/>
      <c r="O5103" s="19" t="s">
        <v>4332</v>
      </c>
      <c r="P5103" s="20" t="s">
        <v>4326</v>
      </c>
      <c r="Q5103" s="19">
        <v>1398</v>
      </c>
    </row>
    <row r="5104" spans="1:17" ht="24.9" customHeight="1">
      <c r="A5104" s="20"/>
      <c r="B5104" s="20" t="s">
        <v>5101</v>
      </c>
      <c r="C5104" s="20"/>
      <c r="D5104" s="20" t="s">
        <v>4325</v>
      </c>
      <c r="E5104" s="19">
        <f>VLOOKUP(D5104,'لیست پرسنل'!$B$2:$E$1020,3,FALSE)</f>
        <v>0</v>
      </c>
      <c r="F5104" s="19">
        <f>VLOOKUP(D5104,'لیست پرسنل'!$B$2:$E$1020,4,FALSE)</f>
        <v>0</v>
      </c>
      <c r="G5104" s="127">
        <f>VLOOKUP(D5104,'لیست پرسنل'!$B$2:$F$1020,2,FALSE)</f>
        <v>0</v>
      </c>
      <c r="H5104" s="126" t="s">
        <v>4325</v>
      </c>
      <c r="I5104" s="128" t="s">
        <v>4325</v>
      </c>
      <c r="J5104" s="128" t="s">
        <v>2686</v>
      </c>
      <c r="K5104" s="128" t="s">
        <v>1547</v>
      </c>
      <c r="L5104" s="128" t="s">
        <v>4365</v>
      </c>
      <c r="M5104" s="130">
        <v>604887</v>
      </c>
      <c r="N5104" s="108"/>
      <c r="O5104" s="19"/>
      <c r="P5104" s="20" t="s">
        <v>4326</v>
      </c>
      <c r="Q5104" s="19" t="s">
        <v>4327</v>
      </c>
    </row>
    <row r="5105" spans="1:17" ht="24.9" customHeight="1">
      <c r="A5105" s="20"/>
      <c r="B5105" s="20" t="s">
        <v>5101</v>
      </c>
      <c r="C5105" s="20"/>
      <c r="D5105" s="20" t="s">
        <v>4325</v>
      </c>
      <c r="E5105" s="19">
        <f>VLOOKUP(D5105,'لیست پرسنل'!$B$2:$E$1020,3,FALSE)</f>
        <v>0</v>
      </c>
      <c r="F5105" s="19">
        <f>VLOOKUP(D5105,'لیست پرسنل'!$B$2:$E$1020,4,FALSE)</f>
        <v>0</v>
      </c>
      <c r="G5105" s="127">
        <f>VLOOKUP(D5105,'لیست پرسنل'!$B$2:$F$1020,2,FALSE)</f>
        <v>0</v>
      </c>
      <c r="H5105" s="126" t="s">
        <v>4325</v>
      </c>
      <c r="I5105" s="128" t="s">
        <v>4325</v>
      </c>
      <c r="J5105" s="128" t="s">
        <v>2686</v>
      </c>
      <c r="K5105" s="128" t="s">
        <v>1547</v>
      </c>
      <c r="L5105" s="128" t="s">
        <v>4368</v>
      </c>
      <c r="M5105" s="128">
        <v>604974</v>
      </c>
      <c r="N5105" s="108"/>
      <c r="O5105" s="19"/>
      <c r="P5105" s="20" t="s">
        <v>4326</v>
      </c>
      <c r="Q5105" s="19" t="s">
        <v>4327</v>
      </c>
    </row>
    <row r="5106" spans="1:17" ht="24.9" customHeight="1">
      <c r="A5106" s="20"/>
      <c r="B5106" s="20" t="s">
        <v>5101</v>
      </c>
      <c r="C5106" s="20"/>
      <c r="D5106" s="20" t="s">
        <v>4325</v>
      </c>
      <c r="E5106" s="19">
        <f>VLOOKUP(D5106,'لیست پرسنل'!$B$2:$E$1020,3,FALSE)</f>
        <v>0</v>
      </c>
      <c r="F5106" s="19">
        <f>VLOOKUP(D5106,'لیست پرسنل'!$B$2:$E$1020,4,FALSE)</f>
        <v>0</v>
      </c>
      <c r="G5106" s="127">
        <f>VLOOKUP(D5106,'لیست پرسنل'!$B$2:$F$1020,2,FALSE)</f>
        <v>0</v>
      </c>
      <c r="H5106" s="126" t="s">
        <v>4325</v>
      </c>
      <c r="I5106" s="128" t="s">
        <v>4325</v>
      </c>
      <c r="J5106" s="128" t="s">
        <v>2686</v>
      </c>
      <c r="K5106" s="128" t="s">
        <v>1547</v>
      </c>
      <c r="L5106" s="127"/>
      <c r="M5106" s="128">
        <v>605223</v>
      </c>
      <c r="N5106" s="108"/>
      <c r="O5106" s="19" t="s">
        <v>4332</v>
      </c>
      <c r="P5106" s="20" t="s">
        <v>4326</v>
      </c>
      <c r="Q5106" s="19">
        <v>1398</v>
      </c>
    </row>
    <row r="5107" spans="1:17" ht="24.9" customHeight="1">
      <c r="A5107" s="20"/>
      <c r="B5107" s="20" t="s">
        <v>5101</v>
      </c>
      <c r="C5107" s="20"/>
      <c r="D5107" s="20" t="s">
        <v>4325</v>
      </c>
      <c r="E5107" s="19">
        <f>VLOOKUP(D5107,'لیست پرسنل'!$B$2:$E$1020,3,FALSE)</f>
        <v>0</v>
      </c>
      <c r="F5107" s="19">
        <f>VLOOKUP(D5107,'لیست پرسنل'!$B$2:$E$1020,4,FALSE)</f>
        <v>0</v>
      </c>
      <c r="G5107" s="127">
        <f>VLOOKUP(D5107,'لیست پرسنل'!$B$2:$F$1020,2,FALSE)</f>
        <v>0</v>
      </c>
      <c r="H5107" s="126" t="s">
        <v>4325</v>
      </c>
      <c r="I5107" s="128" t="s">
        <v>4325</v>
      </c>
      <c r="J5107" s="128" t="s">
        <v>2686</v>
      </c>
      <c r="K5107" s="128" t="s">
        <v>1547</v>
      </c>
      <c r="L5107" s="127"/>
      <c r="M5107" s="128">
        <v>605225</v>
      </c>
      <c r="N5107" s="108"/>
      <c r="O5107" s="19" t="s">
        <v>4332</v>
      </c>
      <c r="P5107" s="20" t="s">
        <v>4326</v>
      </c>
      <c r="Q5107" s="19">
        <v>1398</v>
      </c>
    </row>
    <row r="5108" spans="1:17" ht="24.9" customHeight="1">
      <c r="A5108" s="20"/>
      <c r="B5108" s="20" t="s">
        <v>5101</v>
      </c>
      <c r="C5108" s="20"/>
      <c r="D5108" s="20" t="s">
        <v>4325</v>
      </c>
      <c r="E5108" s="19">
        <f>VLOOKUP(D5108,'لیست پرسنل'!$B$2:$E$1020,3,FALSE)</f>
        <v>0</v>
      </c>
      <c r="F5108" s="19">
        <f>VLOOKUP(D5108,'لیست پرسنل'!$B$2:$E$1020,4,FALSE)</f>
        <v>0</v>
      </c>
      <c r="G5108" s="127">
        <f>VLOOKUP(D5108,'لیست پرسنل'!$B$2:$F$1020,2,FALSE)</f>
        <v>0</v>
      </c>
      <c r="H5108" s="126" t="s">
        <v>4325</v>
      </c>
      <c r="I5108" s="128" t="s">
        <v>4325</v>
      </c>
      <c r="J5108" s="128" t="s">
        <v>2686</v>
      </c>
      <c r="K5108" s="128" t="s">
        <v>1215</v>
      </c>
      <c r="L5108" s="151" t="s">
        <v>1209</v>
      </c>
      <c r="M5108" s="128">
        <v>605234</v>
      </c>
      <c r="N5108" s="108"/>
      <c r="O5108" s="19"/>
      <c r="P5108" s="20" t="s">
        <v>4326</v>
      </c>
      <c r="Q5108" s="19" t="s">
        <v>4327</v>
      </c>
    </row>
    <row r="5109" spans="1:17" ht="24.9" customHeight="1">
      <c r="A5109" s="20"/>
      <c r="B5109" s="20" t="s">
        <v>5101</v>
      </c>
      <c r="C5109" s="20"/>
      <c r="D5109" s="20" t="s">
        <v>4325</v>
      </c>
      <c r="E5109" s="19">
        <f>VLOOKUP(D5109,'لیست پرسنل'!$B$2:$E$1020,3,FALSE)</f>
        <v>0</v>
      </c>
      <c r="F5109" s="19">
        <f>VLOOKUP(D5109,'لیست پرسنل'!$B$2:$E$1020,4,FALSE)</f>
        <v>0</v>
      </c>
      <c r="G5109" s="127">
        <f>VLOOKUP(D5109,'لیست پرسنل'!$B$2:$F$1020,2,FALSE)</f>
        <v>0</v>
      </c>
      <c r="H5109" s="126" t="s">
        <v>4325</v>
      </c>
      <c r="I5109" s="128" t="s">
        <v>4325</v>
      </c>
      <c r="J5109" s="128" t="s">
        <v>2686</v>
      </c>
      <c r="K5109" s="128" t="s">
        <v>1216</v>
      </c>
      <c r="L5109" s="151" t="s">
        <v>1210</v>
      </c>
      <c r="M5109" s="128">
        <v>605351</v>
      </c>
      <c r="N5109" s="108"/>
      <c r="O5109" s="19"/>
      <c r="P5109" s="20" t="s">
        <v>4326</v>
      </c>
      <c r="Q5109" s="19" t="s">
        <v>4327</v>
      </c>
    </row>
    <row r="5110" spans="1:17" ht="24.9" customHeight="1">
      <c r="A5110" s="20"/>
      <c r="B5110" s="20" t="s">
        <v>5101</v>
      </c>
      <c r="C5110" s="20"/>
      <c r="D5110" s="20" t="s">
        <v>4325</v>
      </c>
      <c r="E5110" s="19">
        <f>VLOOKUP(D5110,'لیست پرسنل'!$B$2:$E$1020,3,FALSE)</f>
        <v>0</v>
      </c>
      <c r="F5110" s="19">
        <f>VLOOKUP(D5110,'لیست پرسنل'!$B$2:$E$1020,4,FALSE)</f>
        <v>0</v>
      </c>
      <c r="G5110" s="127">
        <f>VLOOKUP(D5110,'لیست پرسنل'!$B$2:$F$1020,2,FALSE)</f>
        <v>0</v>
      </c>
      <c r="H5110" s="126" t="s">
        <v>4325</v>
      </c>
      <c r="I5110" s="128" t="s">
        <v>4325</v>
      </c>
      <c r="J5110" s="128" t="s">
        <v>2686</v>
      </c>
      <c r="K5110" s="128" t="s">
        <v>1387</v>
      </c>
      <c r="L5110" s="151" t="s">
        <v>1768</v>
      </c>
      <c r="M5110" s="127">
        <v>605412</v>
      </c>
      <c r="N5110" s="109"/>
      <c r="O5110" s="19"/>
      <c r="P5110" s="19" t="s">
        <v>4326</v>
      </c>
      <c r="Q5110" s="19">
        <v>1401</v>
      </c>
    </row>
    <row r="5111" spans="1:17" ht="24.9" customHeight="1">
      <c r="A5111" s="20"/>
      <c r="B5111" s="20" t="s">
        <v>5101</v>
      </c>
      <c r="C5111" s="20"/>
      <c r="D5111" s="20" t="s">
        <v>4325</v>
      </c>
      <c r="E5111" s="19">
        <f>VLOOKUP(D5111,'لیست پرسنل'!$B$2:$E$1020,3,FALSE)</f>
        <v>0</v>
      </c>
      <c r="F5111" s="19">
        <f>VLOOKUP(D5111,'لیست پرسنل'!$B$2:$E$1020,4,FALSE)</f>
        <v>0</v>
      </c>
      <c r="G5111" s="127">
        <f>VLOOKUP(D5111,'لیست پرسنل'!$B$2:$F$1020,2,FALSE)</f>
        <v>0</v>
      </c>
      <c r="H5111" s="126" t="s">
        <v>4325</v>
      </c>
      <c r="I5111" s="128" t="s">
        <v>4325</v>
      </c>
      <c r="J5111" s="128" t="s">
        <v>2686</v>
      </c>
      <c r="K5111" s="128" t="s">
        <v>1547</v>
      </c>
      <c r="L5111" s="128"/>
      <c r="M5111" s="142">
        <v>605414</v>
      </c>
      <c r="N5111" s="108"/>
      <c r="O5111" s="20"/>
      <c r="P5111" s="20" t="s">
        <v>3202</v>
      </c>
      <c r="Q5111" s="20">
        <v>13970922</v>
      </c>
    </row>
    <row r="5112" spans="1:17" ht="24.9" customHeight="1">
      <c r="A5112" s="20"/>
      <c r="B5112" s="20" t="s">
        <v>5101</v>
      </c>
      <c r="C5112" s="20"/>
      <c r="D5112" s="20" t="s">
        <v>4325</v>
      </c>
      <c r="E5112" s="19">
        <f>VLOOKUP(D5112,'لیست پرسنل'!$B$2:$E$1020,3,FALSE)</f>
        <v>0</v>
      </c>
      <c r="F5112" s="19">
        <f>VLOOKUP(D5112,'لیست پرسنل'!$B$2:$E$1020,4,FALSE)</f>
        <v>0</v>
      </c>
      <c r="G5112" s="127">
        <f>VLOOKUP(D5112,'لیست پرسنل'!$B$2:$F$1020,2,FALSE)</f>
        <v>0</v>
      </c>
      <c r="H5112" s="126" t="s">
        <v>4325</v>
      </c>
      <c r="I5112" s="128" t="s">
        <v>4325</v>
      </c>
      <c r="J5112" s="128" t="s">
        <v>2686</v>
      </c>
      <c r="K5112" s="128" t="s">
        <v>38</v>
      </c>
      <c r="L5112" s="151" t="s">
        <v>288</v>
      </c>
      <c r="M5112" s="127">
        <v>605426</v>
      </c>
      <c r="N5112" s="109" t="s">
        <v>7312</v>
      </c>
      <c r="O5112" s="19" t="s">
        <v>4604</v>
      </c>
      <c r="P5112" s="19" t="s">
        <v>4326</v>
      </c>
      <c r="Q5112" s="19">
        <v>1401</v>
      </c>
    </row>
    <row r="5113" spans="1:17" ht="24.9" customHeight="1">
      <c r="A5113" s="20"/>
      <c r="B5113" s="20" t="s">
        <v>5101</v>
      </c>
      <c r="C5113" s="20"/>
      <c r="D5113" s="20" t="s">
        <v>4325</v>
      </c>
      <c r="E5113" s="19">
        <f>VLOOKUP(D5113,'لیست پرسنل'!$B$2:$E$1020,3,FALSE)</f>
        <v>0</v>
      </c>
      <c r="F5113" s="19">
        <f>VLOOKUP(D5113,'لیست پرسنل'!$B$2:$E$1020,4,FALSE)</f>
        <v>0</v>
      </c>
      <c r="G5113" s="127">
        <f>VLOOKUP(D5113,'لیست پرسنل'!$B$2:$F$1020,2,FALSE)</f>
        <v>0</v>
      </c>
      <c r="H5113" s="126" t="s">
        <v>4325</v>
      </c>
      <c r="I5113" s="128" t="s">
        <v>4325</v>
      </c>
      <c r="J5113" s="128" t="s">
        <v>2686</v>
      </c>
      <c r="K5113" s="128" t="s">
        <v>1547</v>
      </c>
      <c r="L5113" s="127"/>
      <c r="M5113" s="128">
        <v>605598</v>
      </c>
      <c r="N5113" s="108"/>
      <c r="O5113" s="19" t="s">
        <v>4332</v>
      </c>
      <c r="P5113" s="20" t="s">
        <v>4326</v>
      </c>
      <c r="Q5113" s="19">
        <v>1398</v>
      </c>
    </row>
    <row r="5114" spans="1:17" ht="24.9" customHeight="1">
      <c r="A5114" s="20"/>
      <c r="B5114" s="20" t="s">
        <v>5101</v>
      </c>
      <c r="C5114" s="20"/>
      <c r="D5114" s="20" t="s">
        <v>4325</v>
      </c>
      <c r="E5114" s="19">
        <f>VLOOKUP(D5114,'لیست پرسنل'!$B$2:$E$1020,3,FALSE)</f>
        <v>0</v>
      </c>
      <c r="F5114" s="19">
        <f>VLOOKUP(D5114,'لیست پرسنل'!$B$2:$E$1020,4,FALSE)</f>
        <v>0</v>
      </c>
      <c r="G5114" s="127">
        <f>VLOOKUP(D5114,'لیست پرسنل'!$B$2:$F$1020,2,FALSE)</f>
        <v>0</v>
      </c>
      <c r="H5114" s="126" t="s">
        <v>4325</v>
      </c>
      <c r="I5114" s="128" t="s">
        <v>4325</v>
      </c>
      <c r="J5114" s="128" t="s">
        <v>2686</v>
      </c>
      <c r="K5114" s="128" t="s">
        <v>1569</v>
      </c>
      <c r="L5114" s="127"/>
      <c r="M5114" s="128">
        <v>606043</v>
      </c>
      <c r="N5114" s="108"/>
      <c r="O5114" s="19" t="s">
        <v>4332</v>
      </c>
      <c r="P5114" s="20" t="s">
        <v>4326</v>
      </c>
      <c r="Q5114" s="19">
        <v>1398</v>
      </c>
    </row>
    <row r="5115" spans="1:17" ht="24.9" customHeight="1">
      <c r="A5115" s="20"/>
      <c r="B5115" s="20" t="s">
        <v>5101</v>
      </c>
      <c r="C5115" s="20"/>
      <c r="D5115" s="20" t="s">
        <v>4325</v>
      </c>
      <c r="E5115" s="19">
        <f>VLOOKUP(D5115,'لیست پرسنل'!$B$2:$E$1020,3,FALSE)</f>
        <v>0</v>
      </c>
      <c r="F5115" s="19">
        <f>VLOOKUP(D5115,'لیست پرسنل'!$B$2:$E$1020,4,FALSE)</f>
        <v>0</v>
      </c>
      <c r="G5115" s="127">
        <f>VLOOKUP(D5115,'لیست پرسنل'!$B$2:$F$1020,2,FALSE)</f>
        <v>0</v>
      </c>
      <c r="H5115" s="126" t="s">
        <v>4325</v>
      </c>
      <c r="I5115" s="128" t="s">
        <v>4325</v>
      </c>
      <c r="J5115" s="128" t="s">
        <v>2686</v>
      </c>
      <c r="K5115" s="128" t="s">
        <v>1572</v>
      </c>
      <c r="L5115" s="127"/>
      <c r="M5115" s="128">
        <v>606141</v>
      </c>
      <c r="N5115" s="108"/>
      <c r="O5115" s="19" t="s">
        <v>4332</v>
      </c>
      <c r="P5115" s="20" t="s">
        <v>4326</v>
      </c>
      <c r="Q5115" s="19">
        <v>1398</v>
      </c>
    </row>
    <row r="5116" spans="1:17" ht="24.9" customHeight="1">
      <c r="A5116" s="20"/>
      <c r="B5116" s="20" t="s">
        <v>5101</v>
      </c>
      <c r="C5116" s="20"/>
      <c r="D5116" s="20" t="s">
        <v>4325</v>
      </c>
      <c r="E5116" s="19">
        <f>VLOOKUP(D5116,'لیست پرسنل'!$B$2:$E$1020,3,FALSE)</f>
        <v>0</v>
      </c>
      <c r="F5116" s="19">
        <f>VLOOKUP(D5116,'لیست پرسنل'!$B$2:$E$1020,4,FALSE)</f>
        <v>0</v>
      </c>
      <c r="G5116" s="127">
        <f>VLOOKUP(D5116,'لیست پرسنل'!$B$2:$F$1020,2,FALSE)</f>
        <v>0</v>
      </c>
      <c r="H5116" s="126" t="s">
        <v>4325</v>
      </c>
      <c r="I5116" s="128" t="s">
        <v>4325</v>
      </c>
      <c r="J5116" s="128" t="s">
        <v>2686</v>
      </c>
      <c r="K5116" s="128" t="s">
        <v>332</v>
      </c>
      <c r="L5116" s="151" t="s">
        <v>1067</v>
      </c>
      <c r="M5116" s="127">
        <v>606362</v>
      </c>
      <c r="N5116" s="109"/>
      <c r="O5116" s="19"/>
      <c r="P5116" s="19" t="s">
        <v>4326</v>
      </c>
      <c r="Q5116" s="19">
        <v>1401</v>
      </c>
    </row>
    <row r="5117" spans="1:17" ht="24.9" customHeight="1">
      <c r="A5117" s="20"/>
      <c r="B5117" s="20" t="s">
        <v>5101</v>
      </c>
      <c r="C5117" s="20"/>
      <c r="D5117" s="20" t="s">
        <v>4325</v>
      </c>
      <c r="E5117" s="19">
        <f>VLOOKUP(D5117,'لیست پرسنل'!$B$2:$E$1020,3,FALSE)</f>
        <v>0</v>
      </c>
      <c r="F5117" s="19">
        <f>VLOOKUP(D5117,'لیست پرسنل'!$B$2:$E$1020,4,FALSE)</f>
        <v>0</v>
      </c>
      <c r="G5117" s="127">
        <f>VLOOKUP(D5117,'لیست پرسنل'!$B$2:$F$1020,2,FALSE)</f>
        <v>0</v>
      </c>
      <c r="H5117" s="126" t="s">
        <v>4325</v>
      </c>
      <c r="I5117" s="128" t="s">
        <v>4325</v>
      </c>
      <c r="J5117" s="128" t="s">
        <v>2686</v>
      </c>
      <c r="K5117" s="128" t="s">
        <v>346</v>
      </c>
      <c r="L5117" s="151" t="s">
        <v>527</v>
      </c>
      <c r="M5117" s="127">
        <v>606524</v>
      </c>
      <c r="N5117" s="109" t="s">
        <v>7312</v>
      </c>
      <c r="O5117" s="19" t="s">
        <v>887</v>
      </c>
      <c r="P5117" s="19" t="s">
        <v>4326</v>
      </c>
      <c r="Q5117" s="19">
        <v>1400</v>
      </c>
    </row>
    <row r="5118" spans="1:17" ht="24.9" customHeight="1">
      <c r="A5118" s="20"/>
      <c r="B5118" s="20" t="s">
        <v>5101</v>
      </c>
      <c r="C5118" s="20"/>
      <c r="D5118" s="20" t="s">
        <v>4325</v>
      </c>
      <c r="E5118" s="19">
        <f>VLOOKUP(D5118,'لیست پرسنل'!$B$2:$E$1020,3,FALSE)</f>
        <v>0</v>
      </c>
      <c r="F5118" s="19">
        <f>VLOOKUP(D5118,'لیست پرسنل'!$B$2:$E$1020,4,FALSE)</f>
        <v>0</v>
      </c>
      <c r="G5118" s="127">
        <f>VLOOKUP(D5118,'لیست پرسنل'!$B$2:$F$1020,2,FALSE)</f>
        <v>0</v>
      </c>
      <c r="H5118" s="126" t="s">
        <v>4325</v>
      </c>
      <c r="I5118" s="128" t="s">
        <v>4325</v>
      </c>
      <c r="J5118" s="128" t="s">
        <v>2686</v>
      </c>
      <c r="K5118" s="128" t="s">
        <v>1404</v>
      </c>
      <c r="L5118" s="151" t="s">
        <v>1812</v>
      </c>
      <c r="M5118" s="127">
        <v>606525</v>
      </c>
      <c r="N5118" s="109"/>
      <c r="O5118" s="19"/>
      <c r="P5118" s="19" t="s">
        <v>4326</v>
      </c>
      <c r="Q5118" s="19">
        <v>1401</v>
      </c>
    </row>
    <row r="5119" spans="1:17" ht="24.9" customHeight="1">
      <c r="A5119" s="20"/>
      <c r="B5119" s="20" t="s">
        <v>5101</v>
      </c>
      <c r="C5119" s="20"/>
      <c r="D5119" s="20" t="s">
        <v>4325</v>
      </c>
      <c r="E5119" s="19">
        <f>VLOOKUP(D5119,'لیست پرسنل'!$B$2:$E$1020,3,FALSE)</f>
        <v>0</v>
      </c>
      <c r="F5119" s="19">
        <f>VLOOKUP(D5119,'لیست پرسنل'!$B$2:$E$1020,4,FALSE)</f>
        <v>0</v>
      </c>
      <c r="G5119" s="127">
        <f>VLOOKUP(D5119,'لیست پرسنل'!$B$2:$F$1020,2,FALSE)</f>
        <v>0</v>
      </c>
      <c r="H5119" s="126" t="s">
        <v>4325</v>
      </c>
      <c r="I5119" s="128" t="s">
        <v>4325</v>
      </c>
      <c r="J5119" s="128" t="s">
        <v>2686</v>
      </c>
      <c r="K5119" s="128" t="s">
        <v>346</v>
      </c>
      <c r="L5119" s="151" t="s">
        <v>528</v>
      </c>
      <c r="M5119" s="127">
        <v>606529</v>
      </c>
      <c r="N5119" s="109" t="s">
        <v>7312</v>
      </c>
      <c r="O5119" s="19" t="s">
        <v>888</v>
      </c>
      <c r="P5119" s="19" t="s">
        <v>4326</v>
      </c>
      <c r="Q5119" s="19">
        <v>1400</v>
      </c>
    </row>
    <row r="5120" spans="1:17" ht="24.9" customHeight="1">
      <c r="A5120" s="20"/>
      <c r="B5120" s="20" t="s">
        <v>5101</v>
      </c>
      <c r="C5120" s="20"/>
      <c r="D5120" s="20" t="s">
        <v>4325</v>
      </c>
      <c r="E5120" s="19">
        <f>VLOOKUP(D5120,'لیست پرسنل'!$B$2:$E$1020,3,FALSE)</f>
        <v>0</v>
      </c>
      <c r="F5120" s="19">
        <f>VLOOKUP(D5120,'لیست پرسنل'!$B$2:$E$1020,4,FALSE)</f>
        <v>0</v>
      </c>
      <c r="G5120" s="127">
        <f>VLOOKUP(D5120,'لیست پرسنل'!$B$2:$F$1020,2,FALSE)</f>
        <v>0</v>
      </c>
      <c r="H5120" s="126" t="s">
        <v>4325</v>
      </c>
      <c r="I5120" s="128" t="s">
        <v>4325</v>
      </c>
      <c r="J5120" s="128" t="s">
        <v>2686</v>
      </c>
      <c r="K5120" s="128" t="s">
        <v>1547</v>
      </c>
      <c r="L5120" s="127"/>
      <c r="M5120" s="128">
        <v>606568</v>
      </c>
      <c r="N5120" s="108"/>
      <c r="O5120" s="19" t="s">
        <v>4332</v>
      </c>
      <c r="P5120" s="20" t="s">
        <v>4326</v>
      </c>
      <c r="Q5120" s="19">
        <v>1398</v>
      </c>
    </row>
    <row r="5121" spans="1:17" ht="24.9" customHeight="1">
      <c r="A5121" s="20"/>
      <c r="B5121" s="20" t="s">
        <v>5101</v>
      </c>
      <c r="C5121" s="20"/>
      <c r="D5121" s="20" t="s">
        <v>4325</v>
      </c>
      <c r="E5121" s="19">
        <f>VLOOKUP(D5121,'لیست پرسنل'!$B$2:$E$1020,3,FALSE)</f>
        <v>0</v>
      </c>
      <c r="F5121" s="19">
        <f>VLOOKUP(D5121,'لیست پرسنل'!$B$2:$E$1020,4,FALSE)</f>
        <v>0</v>
      </c>
      <c r="G5121" s="127">
        <f>VLOOKUP(D5121,'لیست پرسنل'!$B$2:$F$1020,2,FALSE)</f>
        <v>0</v>
      </c>
      <c r="H5121" s="126" t="s">
        <v>4325</v>
      </c>
      <c r="I5121" s="128" t="s">
        <v>4325</v>
      </c>
      <c r="J5121" s="128" t="s">
        <v>2686</v>
      </c>
      <c r="K5121" s="128" t="s">
        <v>1547</v>
      </c>
      <c r="L5121" s="127"/>
      <c r="M5121" s="128">
        <v>607268</v>
      </c>
      <c r="N5121" s="108"/>
      <c r="O5121" s="19" t="s">
        <v>4332</v>
      </c>
      <c r="P5121" s="20" t="s">
        <v>4326</v>
      </c>
      <c r="Q5121" s="19">
        <v>1398</v>
      </c>
    </row>
    <row r="5122" spans="1:17" ht="24.9" customHeight="1">
      <c r="A5122" s="20"/>
      <c r="B5122" s="20" t="s">
        <v>5101</v>
      </c>
      <c r="C5122" s="20"/>
      <c r="D5122" s="20" t="s">
        <v>4325</v>
      </c>
      <c r="E5122" s="19">
        <f>VLOOKUP(D5122,'لیست پرسنل'!$B$2:$E$1020,3,FALSE)</f>
        <v>0</v>
      </c>
      <c r="F5122" s="19">
        <f>VLOOKUP(D5122,'لیست پرسنل'!$B$2:$E$1020,4,FALSE)</f>
        <v>0</v>
      </c>
      <c r="G5122" s="127">
        <f>VLOOKUP(D5122,'لیست پرسنل'!$B$2:$F$1020,2,FALSE)</f>
        <v>0</v>
      </c>
      <c r="H5122" s="126" t="s">
        <v>4325</v>
      </c>
      <c r="I5122" s="128" t="s">
        <v>4325</v>
      </c>
      <c r="J5122" s="128" t="s">
        <v>2686</v>
      </c>
      <c r="K5122" s="128" t="s">
        <v>1547</v>
      </c>
      <c r="L5122" s="127"/>
      <c r="M5122" s="128">
        <v>607863</v>
      </c>
      <c r="N5122" s="108"/>
      <c r="O5122" s="19" t="s">
        <v>4332</v>
      </c>
      <c r="P5122" s="20" t="s">
        <v>4326</v>
      </c>
      <c r="Q5122" s="19">
        <v>1398</v>
      </c>
    </row>
    <row r="5123" spans="1:17" ht="24.9" customHeight="1">
      <c r="A5123" s="20"/>
      <c r="B5123" s="20" t="s">
        <v>5101</v>
      </c>
      <c r="C5123" s="20"/>
      <c r="D5123" s="20" t="s">
        <v>4325</v>
      </c>
      <c r="E5123" s="19">
        <f>VLOOKUP(D5123,'لیست پرسنل'!$B$2:$E$1020,3,FALSE)</f>
        <v>0</v>
      </c>
      <c r="F5123" s="19">
        <f>VLOOKUP(D5123,'لیست پرسنل'!$B$2:$E$1020,4,FALSE)</f>
        <v>0</v>
      </c>
      <c r="G5123" s="127">
        <f>VLOOKUP(D5123,'لیست پرسنل'!$B$2:$F$1020,2,FALSE)</f>
        <v>0</v>
      </c>
      <c r="H5123" s="126" t="s">
        <v>4325</v>
      </c>
      <c r="I5123" s="128" t="s">
        <v>4325</v>
      </c>
      <c r="J5123" s="128" t="s">
        <v>2686</v>
      </c>
      <c r="K5123" s="128" t="s">
        <v>1521</v>
      </c>
      <c r="L5123" s="127"/>
      <c r="M5123" s="128">
        <v>608016</v>
      </c>
      <c r="N5123" s="108"/>
      <c r="O5123" s="19" t="s">
        <v>4332</v>
      </c>
      <c r="P5123" s="20" t="s">
        <v>4326</v>
      </c>
      <c r="Q5123" s="19">
        <v>1398</v>
      </c>
    </row>
    <row r="5124" spans="1:17" ht="24.9" customHeight="1">
      <c r="A5124" s="20"/>
      <c r="B5124" s="20" t="s">
        <v>5101</v>
      </c>
      <c r="C5124" s="20"/>
      <c r="D5124" s="20" t="s">
        <v>4325</v>
      </c>
      <c r="E5124" s="19">
        <f>VLOOKUP(D5124,'لیست پرسنل'!$B$2:$E$1020,3,FALSE)</f>
        <v>0</v>
      </c>
      <c r="F5124" s="19">
        <f>VLOOKUP(D5124,'لیست پرسنل'!$B$2:$E$1020,4,FALSE)</f>
        <v>0</v>
      </c>
      <c r="G5124" s="127">
        <f>VLOOKUP(D5124,'لیست پرسنل'!$B$2:$F$1020,2,FALSE)</f>
        <v>0</v>
      </c>
      <c r="H5124" s="126" t="s">
        <v>4325</v>
      </c>
      <c r="I5124" s="128" t="s">
        <v>4325</v>
      </c>
      <c r="J5124" s="128" t="s">
        <v>2686</v>
      </c>
      <c r="K5124" s="128" t="s">
        <v>1547</v>
      </c>
      <c r="L5124" s="127"/>
      <c r="M5124" s="128">
        <v>609080</v>
      </c>
      <c r="N5124" s="108"/>
      <c r="O5124" s="19" t="s">
        <v>4332</v>
      </c>
      <c r="P5124" s="20" t="s">
        <v>4326</v>
      </c>
      <c r="Q5124" s="19">
        <v>1398</v>
      </c>
    </row>
    <row r="5125" spans="1:17" ht="24.9" customHeight="1">
      <c r="A5125" s="20"/>
      <c r="B5125" s="20" t="s">
        <v>5101</v>
      </c>
      <c r="C5125" s="20"/>
      <c r="D5125" s="20" t="s">
        <v>4325</v>
      </c>
      <c r="E5125" s="19">
        <f>VLOOKUP(D5125,'لیست پرسنل'!$B$2:$E$1020,3,FALSE)</f>
        <v>0</v>
      </c>
      <c r="F5125" s="19">
        <f>VLOOKUP(D5125,'لیست پرسنل'!$B$2:$E$1020,4,FALSE)</f>
        <v>0</v>
      </c>
      <c r="G5125" s="127">
        <f>VLOOKUP(D5125,'لیست پرسنل'!$B$2:$F$1020,2,FALSE)</f>
        <v>0</v>
      </c>
      <c r="H5125" s="126" t="s">
        <v>4325</v>
      </c>
      <c r="I5125" s="128" t="s">
        <v>4325</v>
      </c>
      <c r="J5125" s="128" t="s">
        <v>2686</v>
      </c>
      <c r="K5125" s="128" t="s">
        <v>1547</v>
      </c>
      <c r="L5125" s="127"/>
      <c r="M5125" s="128">
        <v>609081</v>
      </c>
      <c r="N5125" s="108"/>
      <c r="O5125" s="19" t="s">
        <v>4332</v>
      </c>
      <c r="P5125" s="20" t="s">
        <v>4326</v>
      </c>
      <c r="Q5125" s="19">
        <v>1398</v>
      </c>
    </row>
    <row r="5126" spans="1:17" ht="24.9" customHeight="1">
      <c r="A5126" s="20"/>
      <c r="B5126" s="20" t="s">
        <v>5101</v>
      </c>
      <c r="C5126" s="20"/>
      <c r="D5126" s="84" t="s">
        <v>4325</v>
      </c>
      <c r="E5126" s="19">
        <f>VLOOKUP(D5126,'لیست پرسنل'!$B$2:$E$1020,3,FALSE)</f>
        <v>0</v>
      </c>
      <c r="F5126" s="19">
        <f>VLOOKUP(D5126,'لیست پرسنل'!$B$2:$E$1020,4,FALSE)</f>
        <v>0</v>
      </c>
      <c r="G5126" s="127">
        <f>VLOOKUP(D5126,'لیست پرسنل'!$B$2:$F$1020,2,FALSE)</f>
        <v>0</v>
      </c>
      <c r="H5126" s="126" t="s">
        <v>4325</v>
      </c>
      <c r="I5126" s="128" t="s">
        <v>4325</v>
      </c>
      <c r="J5126" s="128" t="s">
        <v>2686</v>
      </c>
      <c r="K5126" s="128" t="s">
        <v>8119</v>
      </c>
      <c r="L5126" s="128"/>
      <c r="M5126" s="142">
        <v>609134</v>
      </c>
      <c r="N5126" s="108"/>
      <c r="O5126" s="20"/>
      <c r="P5126" s="20" t="s">
        <v>4325</v>
      </c>
      <c r="Q5126" s="20" t="s">
        <v>5324</v>
      </c>
    </row>
    <row r="5127" spans="1:17" ht="24.9" customHeight="1">
      <c r="A5127" s="20"/>
      <c r="B5127" s="20" t="s">
        <v>5101</v>
      </c>
      <c r="C5127" s="20"/>
      <c r="D5127" s="20" t="s">
        <v>4325</v>
      </c>
      <c r="E5127" s="19">
        <f>VLOOKUP(D5127,'لیست پرسنل'!$B$2:$E$1020,3,FALSE)</f>
        <v>0</v>
      </c>
      <c r="F5127" s="19">
        <f>VLOOKUP(D5127,'لیست پرسنل'!$B$2:$E$1020,4,FALSE)</f>
        <v>0</v>
      </c>
      <c r="G5127" s="127">
        <f>VLOOKUP(D5127,'لیست پرسنل'!$B$2:$F$1020,2,FALSE)</f>
        <v>0</v>
      </c>
      <c r="H5127" s="126" t="s">
        <v>4325</v>
      </c>
      <c r="I5127" s="128" t="s">
        <v>4325</v>
      </c>
      <c r="J5127" s="128" t="s">
        <v>2686</v>
      </c>
      <c r="K5127" s="128" t="s">
        <v>1599</v>
      </c>
      <c r="L5127" s="151" t="s">
        <v>1029</v>
      </c>
      <c r="M5127" s="127">
        <v>609135</v>
      </c>
      <c r="N5127" s="109" t="s">
        <v>7312</v>
      </c>
      <c r="O5127" s="19" t="s">
        <v>734</v>
      </c>
      <c r="P5127" s="19" t="s">
        <v>4326</v>
      </c>
      <c r="Q5127" s="19">
        <v>1400</v>
      </c>
    </row>
    <row r="5128" spans="1:17" ht="24.9" customHeight="1">
      <c r="A5128" s="20"/>
      <c r="B5128" s="20" t="s">
        <v>5101</v>
      </c>
      <c r="C5128" s="20"/>
      <c r="D5128" s="20" t="s">
        <v>4325</v>
      </c>
      <c r="E5128" s="19">
        <f>VLOOKUP(D5128,'لیست پرسنل'!$B$2:$E$1020,3,FALSE)</f>
        <v>0</v>
      </c>
      <c r="F5128" s="19">
        <f>VLOOKUP(D5128,'لیست پرسنل'!$B$2:$E$1020,4,FALSE)</f>
        <v>0</v>
      </c>
      <c r="G5128" s="127">
        <f>VLOOKUP(D5128,'لیست پرسنل'!$B$2:$F$1020,2,FALSE)</f>
        <v>0</v>
      </c>
      <c r="H5128" s="126" t="s">
        <v>4325</v>
      </c>
      <c r="I5128" s="128" t="s">
        <v>4325</v>
      </c>
      <c r="J5128" s="128" t="s">
        <v>2686</v>
      </c>
      <c r="K5128" s="128" t="s">
        <v>1547</v>
      </c>
      <c r="L5128" s="127"/>
      <c r="M5128" s="128">
        <v>609142</v>
      </c>
      <c r="N5128" s="108"/>
      <c r="O5128" s="19" t="s">
        <v>4332</v>
      </c>
      <c r="P5128" s="20" t="s">
        <v>4326</v>
      </c>
      <c r="Q5128" s="19">
        <v>1398</v>
      </c>
    </row>
    <row r="5129" spans="1:17" ht="24.9" customHeight="1">
      <c r="A5129" s="20"/>
      <c r="B5129" s="20" t="s">
        <v>5101</v>
      </c>
      <c r="C5129" s="20"/>
      <c r="D5129" s="20" t="s">
        <v>4325</v>
      </c>
      <c r="E5129" s="19">
        <f>VLOOKUP(D5129,'لیست پرسنل'!$B$2:$E$1020,3,FALSE)</f>
        <v>0</v>
      </c>
      <c r="F5129" s="19">
        <f>VLOOKUP(D5129,'لیست پرسنل'!$B$2:$E$1020,4,FALSE)</f>
        <v>0</v>
      </c>
      <c r="G5129" s="127">
        <f>VLOOKUP(D5129,'لیست پرسنل'!$B$2:$F$1020,2,FALSE)</f>
        <v>0</v>
      </c>
      <c r="H5129" s="126" t="s">
        <v>4325</v>
      </c>
      <c r="I5129" s="128" t="s">
        <v>4325</v>
      </c>
      <c r="J5129" s="128" t="s">
        <v>2686</v>
      </c>
      <c r="K5129" s="128" t="s">
        <v>1547</v>
      </c>
      <c r="L5129" s="127"/>
      <c r="M5129" s="128">
        <v>609581</v>
      </c>
      <c r="N5129" s="108"/>
      <c r="O5129" s="19" t="s">
        <v>4332</v>
      </c>
      <c r="P5129" s="20" t="s">
        <v>4326</v>
      </c>
      <c r="Q5129" s="19">
        <v>1398</v>
      </c>
    </row>
    <row r="5130" spans="1:17" ht="24.9" customHeight="1">
      <c r="A5130" s="20"/>
      <c r="B5130" s="20" t="s">
        <v>4636</v>
      </c>
      <c r="C5130" s="19"/>
      <c r="D5130" s="19" t="s">
        <v>4325</v>
      </c>
      <c r="E5130" s="19">
        <f>VLOOKUP(D5130,'لیست پرسنل'!$B$2:$E$1020,3,FALSE)</f>
        <v>0</v>
      </c>
      <c r="F5130" s="19">
        <f>VLOOKUP(D5130,'لیست پرسنل'!$B$2:$E$1020,4,FALSE)</f>
        <v>0</v>
      </c>
      <c r="G5130" s="127">
        <f>VLOOKUP(D5130,'لیست پرسنل'!$B$2:$F$1020,2,FALSE)</f>
        <v>0</v>
      </c>
      <c r="H5130" s="151" t="s">
        <v>4325</v>
      </c>
      <c r="I5130" s="128" t="s">
        <v>4325</v>
      </c>
      <c r="J5130" s="128" t="s">
        <v>2686</v>
      </c>
      <c r="K5130" s="128" t="s">
        <v>1745</v>
      </c>
      <c r="L5130" s="154" t="s">
        <v>1695</v>
      </c>
      <c r="M5130" s="131">
        <v>609605</v>
      </c>
      <c r="N5130" s="108"/>
      <c r="O5130" s="20" t="s">
        <v>5092</v>
      </c>
      <c r="P5130" s="19" t="s">
        <v>4326</v>
      </c>
      <c r="Q5130" s="20" t="s">
        <v>6030</v>
      </c>
    </row>
    <row r="5131" spans="1:17" ht="24.9" customHeight="1">
      <c r="A5131" s="20"/>
      <c r="B5131" s="20" t="s">
        <v>5101</v>
      </c>
      <c r="C5131" s="20"/>
      <c r="D5131" s="20" t="s">
        <v>4325</v>
      </c>
      <c r="E5131" s="19">
        <f>VLOOKUP(D5131,'لیست پرسنل'!$B$2:$E$1020,3,FALSE)</f>
        <v>0</v>
      </c>
      <c r="F5131" s="19">
        <f>VLOOKUP(D5131,'لیست پرسنل'!$B$2:$E$1020,4,FALSE)</f>
        <v>0</v>
      </c>
      <c r="G5131" s="127">
        <f>VLOOKUP(D5131,'لیست پرسنل'!$B$2:$F$1020,2,FALSE)</f>
        <v>0</v>
      </c>
      <c r="H5131" s="126" t="s">
        <v>4325</v>
      </c>
      <c r="I5131" s="128" t="s">
        <v>4325</v>
      </c>
      <c r="J5131" s="128" t="s">
        <v>2686</v>
      </c>
      <c r="K5131" s="128" t="s">
        <v>1547</v>
      </c>
      <c r="L5131" s="127"/>
      <c r="M5131" s="128">
        <v>609715</v>
      </c>
      <c r="N5131" s="108"/>
      <c r="O5131" s="19" t="s">
        <v>4332</v>
      </c>
      <c r="P5131" s="20" t="s">
        <v>4326</v>
      </c>
      <c r="Q5131" s="19">
        <v>1398</v>
      </c>
    </row>
    <row r="5132" spans="1:17" ht="24.9" customHeight="1">
      <c r="A5132" s="20"/>
      <c r="B5132" s="20" t="s">
        <v>5101</v>
      </c>
      <c r="C5132" s="20"/>
      <c r="D5132" s="20" t="s">
        <v>4325</v>
      </c>
      <c r="E5132" s="19">
        <f>VLOOKUP(D5132,'لیست پرسنل'!$B$2:$E$1020,3,FALSE)</f>
        <v>0</v>
      </c>
      <c r="F5132" s="19">
        <f>VLOOKUP(D5132,'لیست پرسنل'!$B$2:$E$1020,4,FALSE)</f>
        <v>0</v>
      </c>
      <c r="G5132" s="127">
        <f>VLOOKUP(D5132,'لیست پرسنل'!$B$2:$F$1020,2,FALSE)</f>
        <v>0</v>
      </c>
      <c r="H5132" s="126" t="s">
        <v>4325</v>
      </c>
      <c r="I5132" s="128" t="s">
        <v>4325</v>
      </c>
      <c r="J5132" s="128" t="s">
        <v>2686</v>
      </c>
      <c r="K5132" s="128" t="s">
        <v>1547</v>
      </c>
      <c r="L5132" s="127"/>
      <c r="M5132" s="128">
        <v>610490</v>
      </c>
      <c r="N5132" s="108"/>
      <c r="O5132" s="19" t="s">
        <v>4332</v>
      </c>
      <c r="P5132" s="20" t="s">
        <v>4326</v>
      </c>
      <c r="Q5132" s="19">
        <v>1398</v>
      </c>
    </row>
    <row r="5133" spans="1:17" ht="24.9" customHeight="1">
      <c r="A5133" s="20"/>
      <c r="B5133" s="20" t="s">
        <v>5101</v>
      </c>
      <c r="C5133" s="20"/>
      <c r="D5133" s="20" t="s">
        <v>4325</v>
      </c>
      <c r="E5133" s="19">
        <f>VLOOKUP(D5133,'لیست پرسنل'!$B$2:$E$1020,3,FALSE)</f>
        <v>0</v>
      </c>
      <c r="F5133" s="19">
        <f>VLOOKUP(D5133,'لیست پرسنل'!$B$2:$E$1020,4,FALSE)</f>
        <v>0</v>
      </c>
      <c r="G5133" s="127">
        <f>VLOOKUP(D5133,'لیست پرسنل'!$B$2:$F$1020,2,FALSE)</f>
        <v>0</v>
      </c>
      <c r="H5133" s="126" t="s">
        <v>4325</v>
      </c>
      <c r="I5133" s="128" t="s">
        <v>4325</v>
      </c>
      <c r="J5133" s="128" t="s">
        <v>2686</v>
      </c>
      <c r="K5133" s="128" t="s">
        <v>1547</v>
      </c>
      <c r="L5133" s="127"/>
      <c r="M5133" s="128">
        <v>610550</v>
      </c>
      <c r="N5133" s="108"/>
      <c r="O5133" s="19" t="s">
        <v>4332</v>
      </c>
      <c r="P5133" s="20" t="s">
        <v>4326</v>
      </c>
      <c r="Q5133" s="19">
        <v>1398</v>
      </c>
    </row>
    <row r="5134" spans="1:17" ht="24.9" customHeight="1">
      <c r="A5134" s="20"/>
      <c r="B5134" s="20" t="s">
        <v>5101</v>
      </c>
      <c r="C5134" s="20"/>
      <c r="D5134" s="20" t="s">
        <v>4325</v>
      </c>
      <c r="E5134" s="19">
        <f>VLOOKUP(D5134,'لیست پرسنل'!$B$2:$E$1020,3,FALSE)</f>
        <v>0</v>
      </c>
      <c r="F5134" s="19">
        <f>VLOOKUP(D5134,'لیست پرسنل'!$B$2:$E$1020,4,FALSE)</f>
        <v>0</v>
      </c>
      <c r="G5134" s="127">
        <f>VLOOKUP(D5134,'لیست پرسنل'!$B$2:$F$1020,2,FALSE)</f>
        <v>0</v>
      </c>
      <c r="H5134" s="126" t="s">
        <v>4325</v>
      </c>
      <c r="I5134" s="128" t="s">
        <v>4325</v>
      </c>
      <c r="J5134" s="128" t="s">
        <v>2686</v>
      </c>
      <c r="K5134" s="128" t="s">
        <v>361</v>
      </c>
      <c r="L5134" s="151" t="s">
        <v>4637</v>
      </c>
      <c r="M5134" s="127">
        <v>610563</v>
      </c>
      <c r="N5134" s="109" t="s">
        <v>7312</v>
      </c>
      <c r="O5134" s="19"/>
      <c r="P5134" s="19" t="s">
        <v>4326</v>
      </c>
      <c r="Q5134" s="19">
        <v>1400</v>
      </c>
    </row>
    <row r="5135" spans="1:17" ht="24.9" customHeight="1">
      <c r="A5135" s="20"/>
      <c r="B5135" s="20" t="s">
        <v>5101</v>
      </c>
      <c r="C5135" s="20"/>
      <c r="D5135" s="20" t="s">
        <v>4325</v>
      </c>
      <c r="E5135" s="19">
        <f>VLOOKUP(D5135,'لیست پرسنل'!$B$2:$E$1020,3,FALSE)</f>
        <v>0</v>
      </c>
      <c r="F5135" s="19">
        <f>VLOOKUP(D5135,'لیست پرسنل'!$B$2:$E$1020,4,FALSE)</f>
        <v>0</v>
      </c>
      <c r="G5135" s="127">
        <f>VLOOKUP(D5135,'لیست پرسنل'!$B$2:$F$1020,2,FALSE)</f>
        <v>0</v>
      </c>
      <c r="H5135" s="126" t="s">
        <v>4325</v>
      </c>
      <c r="I5135" s="128" t="s">
        <v>4325</v>
      </c>
      <c r="J5135" s="128" t="s">
        <v>2686</v>
      </c>
      <c r="K5135" s="128" t="s">
        <v>1547</v>
      </c>
      <c r="L5135" s="127"/>
      <c r="M5135" s="128">
        <v>610564</v>
      </c>
      <c r="N5135" s="108"/>
      <c r="O5135" s="19" t="s">
        <v>4332</v>
      </c>
      <c r="P5135" s="20" t="s">
        <v>4326</v>
      </c>
      <c r="Q5135" s="19">
        <v>1398</v>
      </c>
    </row>
    <row r="5136" spans="1:17" ht="24.9" customHeight="1">
      <c r="A5136" s="20"/>
      <c r="B5136" s="20" t="s">
        <v>5101</v>
      </c>
      <c r="C5136" s="20"/>
      <c r="D5136" s="20" t="s">
        <v>4325</v>
      </c>
      <c r="E5136" s="19">
        <f>VLOOKUP(D5136,'لیست پرسنل'!$B$2:$E$1020,3,FALSE)</f>
        <v>0</v>
      </c>
      <c r="F5136" s="19">
        <f>VLOOKUP(D5136,'لیست پرسنل'!$B$2:$E$1020,4,FALSE)</f>
        <v>0</v>
      </c>
      <c r="G5136" s="127">
        <f>VLOOKUP(D5136,'لیست پرسنل'!$B$2:$F$1020,2,FALSE)</f>
        <v>0</v>
      </c>
      <c r="H5136" s="126" t="s">
        <v>4325</v>
      </c>
      <c r="I5136" s="128" t="s">
        <v>4325</v>
      </c>
      <c r="J5136" s="128" t="s">
        <v>2686</v>
      </c>
      <c r="K5136" s="128" t="s">
        <v>1547</v>
      </c>
      <c r="L5136" s="127"/>
      <c r="M5136" s="128">
        <v>610929</v>
      </c>
      <c r="N5136" s="108"/>
      <c r="O5136" s="19" t="s">
        <v>4332</v>
      </c>
      <c r="P5136" s="20" t="s">
        <v>4326</v>
      </c>
      <c r="Q5136" s="19">
        <v>1398</v>
      </c>
    </row>
    <row r="5137" spans="1:17" ht="24.9" customHeight="1">
      <c r="A5137" s="20"/>
      <c r="B5137" s="20" t="s">
        <v>5101</v>
      </c>
      <c r="C5137" s="20"/>
      <c r="D5137" s="20" t="s">
        <v>4325</v>
      </c>
      <c r="E5137" s="19">
        <f>VLOOKUP(D5137,'لیست پرسنل'!$B$2:$E$1020,3,FALSE)</f>
        <v>0</v>
      </c>
      <c r="F5137" s="19">
        <f>VLOOKUP(D5137,'لیست پرسنل'!$B$2:$E$1020,4,FALSE)</f>
        <v>0</v>
      </c>
      <c r="G5137" s="127">
        <f>VLOOKUP(D5137,'لیست پرسنل'!$B$2:$F$1020,2,FALSE)</f>
        <v>0</v>
      </c>
      <c r="H5137" s="126" t="s">
        <v>4325</v>
      </c>
      <c r="I5137" s="128" t="s">
        <v>4325</v>
      </c>
      <c r="J5137" s="128" t="s">
        <v>2686</v>
      </c>
      <c r="K5137" s="128" t="s">
        <v>1547</v>
      </c>
      <c r="L5137" s="127"/>
      <c r="M5137" s="128">
        <v>610931</v>
      </c>
      <c r="N5137" s="108"/>
      <c r="O5137" s="19" t="s">
        <v>4332</v>
      </c>
      <c r="P5137" s="20" t="s">
        <v>4326</v>
      </c>
      <c r="Q5137" s="19">
        <v>1398</v>
      </c>
    </row>
    <row r="5138" spans="1:17" ht="24.9" customHeight="1">
      <c r="A5138" s="20"/>
      <c r="B5138" s="20" t="s">
        <v>5101</v>
      </c>
      <c r="C5138" s="20"/>
      <c r="D5138" s="20" t="s">
        <v>4325</v>
      </c>
      <c r="E5138" s="19">
        <f>VLOOKUP(D5138,'لیست پرسنل'!$B$2:$E$1020,3,FALSE)</f>
        <v>0</v>
      </c>
      <c r="F5138" s="19">
        <f>VLOOKUP(D5138,'لیست پرسنل'!$B$2:$E$1020,4,FALSE)</f>
        <v>0</v>
      </c>
      <c r="G5138" s="127">
        <f>VLOOKUP(D5138,'لیست پرسنل'!$B$2:$F$1020,2,FALSE)</f>
        <v>0</v>
      </c>
      <c r="H5138" s="126" t="s">
        <v>4325</v>
      </c>
      <c r="I5138" s="128" t="s">
        <v>4325</v>
      </c>
      <c r="J5138" s="128" t="s">
        <v>2686</v>
      </c>
      <c r="K5138" s="128" t="s">
        <v>1547</v>
      </c>
      <c r="L5138" s="127"/>
      <c r="M5138" s="128">
        <v>610932</v>
      </c>
      <c r="N5138" s="108"/>
      <c r="O5138" s="19" t="s">
        <v>4332</v>
      </c>
      <c r="P5138" s="20" t="s">
        <v>4326</v>
      </c>
      <c r="Q5138" s="19">
        <v>1398</v>
      </c>
    </row>
    <row r="5139" spans="1:17" ht="24.9" customHeight="1">
      <c r="A5139" s="20"/>
      <c r="B5139" s="20" t="s">
        <v>5101</v>
      </c>
      <c r="C5139" s="20"/>
      <c r="D5139" s="20" t="s">
        <v>4325</v>
      </c>
      <c r="E5139" s="19">
        <f>VLOOKUP(D5139,'لیست پرسنل'!$B$2:$E$1020,3,FALSE)</f>
        <v>0</v>
      </c>
      <c r="F5139" s="19">
        <f>VLOOKUP(D5139,'لیست پرسنل'!$B$2:$E$1020,4,FALSE)</f>
        <v>0</v>
      </c>
      <c r="G5139" s="127">
        <f>VLOOKUP(D5139,'لیست پرسنل'!$B$2:$F$1020,2,FALSE)</f>
        <v>0</v>
      </c>
      <c r="H5139" s="126" t="s">
        <v>4325</v>
      </c>
      <c r="I5139" s="128" t="s">
        <v>4325</v>
      </c>
      <c r="J5139" s="128" t="s">
        <v>2686</v>
      </c>
      <c r="K5139" s="128" t="s">
        <v>1547</v>
      </c>
      <c r="L5139" s="127"/>
      <c r="M5139" s="128">
        <v>611962</v>
      </c>
      <c r="N5139" s="108"/>
      <c r="O5139" s="19" t="s">
        <v>4332</v>
      </c>
      <c r="P5139" s="20" t="s">
        <v>4326</v>
      </c>
      <c r="Q5139" s="19">
        <v>1398</v>
      </c>
    </row>
    <row r="5140" spans="1:17" ht="24.9" customHeight="1">
      <c r="A5140" s="20"/>
      <c r="B5140" s="20" t="s">
        <v>5101</v>
      </c>
      <c r="C5140" s="20"/>
      <c r="D5140" s="20" t="s">
        <v>4325</v>
      </c>
      <c r="E5140" s="19">
        <f>VLOOKUP(D5140,'لیست پرسنل'!$B$2:$E$1020,3,FALSE)</f>
        <v>0</v>
      </c>
      <c r="F5140" s="19">
        <f>VLOOKUP(D5140,'لیست پرسنل'!$B$2:$E$1020,4,FALSE)</f>
        <v>0</v>
      </c>
      <c r="G5140" s="127">
        <f>VLOOKUP(D5140,'لیست پرسنل'!$B$2:$F$1020,2,FALSE)</f>
        <v>0</v>
      </c>
      <c r="H5140" s="126" t="s">
        <v>4325</v>
      </c>
      <c r="I5140" s="128" t="s">
        <v>4325</v>
      </c>
      <c r="J5140" s="128" t="s">
        <v>2686</v>
      </c>
      <c r="K5140" s="128" t="s">
        <v>1536</v>
      </c>
      <c r="L5140" s="127"/>
      <c r="M5140" s="128">
        <v>613924</v>
      </c>
      <c r="N5140" s="108"/>
      <c r="O5140" s="19" t="s">
        <v>4332</v>
      </c>
      <c r="P5140" s="20" t="s">
        <v>4326</v>
      </c>
      <c r="Q5140" s="19">
        <v>1398</v>
      </c>
    </row>
    <row r="5141" spans="1:17" ht="24.9" customHeight="1">
      <c r="A5141" s="20"/>
      <c r="B5141" s="20" t="s">
        <v>5101</v>
      </c>
      <c r="C5141" s="20"/>
      <c r="D5141" s="20" t="s">
        <v>4325</v>
      </c>
      <c r="E5141" s="19">
        <f>VLOOKUP(D5141,'لیست پرسنل'!$B$2:$E$1020,3,FALSE)</f>
        <v>0</v>
      </c>
      <c r="F5141" s="19">
        <f>VLOOKUP(D5141,'لیست پرسنل'!$B$2:$E$1020,4,FALSE)</f>
        <v>0</v>
      </c>
      <c r="G5141" s="127">
        <f>VLOOKUP(D5141,'لیست پرسنل'!$B$2:$F$1020,2,FALSE)</f>
        <v>0</v>
      </c>
      <c r="H5141" s="126" t="s">
        <v>4325</v>
      </c>
      <c r="I5141" s="128" t="s">
        <v>4325</v>
      </c>
      <c r="J5141" s="128" t="s">
        <v>2686</v>
      </c>
      <c r="K5141" s="128" t="s">
        <v>2701</v>
      </c>
      <c r="L5141" s="128" t="s">
        <v>2679</v>
      </c>
      <c r="M5141" s="128">
        <v>615043</v>
      </c>
      <c r="N5141" s="108"/>
      <c r="O5141" s="20" t="s">
        <v>4641</v>
      </c>
      <c r="P5141" s="20" t="s">
        <v>4326</v>
      </c>
      <c r="Q5141" s="19" t="s">
        <v>4327</v>
      </c>
    </row>
    <row r="5142" spans="1:17" ht="24.9" customHeight="1">
      <c r="A5142" s="20"/>
      <c r="B5142" s="20" t="s">
        <v>4636</v>
      </c>
      <c r="C5142" s="19"/>
      <c r="D5142" s="19" t="s">
        <v>4325</v>
      </c>
      <c r="E5142" s="19">
        <f>VLOOKUP(D5142,'لیست پرسنل'!$B$2:$E$1020,3,FALSE)</f>
        <v>0</v>
      </c>
      <c r="F5142" s="19">
        <f>VLOOKUP(D5142,'لیست پرسنل'!$B$2:$E$1020,4,FALSE)</f>
        <v>0</v>
      </c>
      <c r="G5142" s="127">
        <f>VLOOKUP(D5142,'لیست پرسنل'!$B$2:$F$1020,2,FALSE)</f>
        <v>0</v>
      </c>
      <c r="H5142" s="151" t="s">
        <v>4325</v>
      </c>
      <c r="I5142" s="128" t="s">
        <v>4325</v>
      </c>
      <c r="J5142" s="128" t="s">
        <v>2686</v>
      </c>
      <c r="K5142" s="128" t="s">
        <v>371</v>
      </c>
      <c r="L5142" s="154" t="s">
        <v>1712</v>
      </c>
      <c r="M5142" s="127">
        <v>618744</v>
      </c>
      <c r="N5142" s="109"/>
      <c r="O5142" s="19" t="s">
        <v>5093</v>
      </c>
      <c r="P5142" s="19" t="s">
        <v>4326</v>
      </c>
      <c r="Q5142" s="20" t="s">
        <v>6030</v>
      </c>
    </row>
    <row r="5143" spans="1:17" ht="24.9" customHeight="1">
      <c r="A5143" s="20"/>
      <c r="B5143" s="20" t="s">
        <v>5101</v>
      </c>
      <c r="C5143" s="20"/>
      <c r="D5143" s="20" t="s">
        <v>4325</v>
      </c>
      <c r="E5143" s="19">
        <f>VLOOKUP(D5143,'لیست پرسنل'!$B$2:$E$1020,3,FALSE)</f>
        <v>0</v>
      </c>
      <c r="F5143" s="19">
        <f>VLOOKUP(D5143,'لیست پرسنل'!$B$2:$E$1020,4,FALSE)</f>
        <v>0</v>
      </c>
      <c r="G5143" s="127">
        <f>VLOOKUP(D5143,'لیست پرسنل'!$B$2:$F$1020,2,FALSE)</f>
        <v>0</v>
      </c>
      <c r="H5143" s="126" t="s">
        <v>4325</v>
      </c>
      <c r="I5143" s="128" t="s">
        <v>4325</v>
      </c>
      <c r="J5143" s="128" t="s">
        <v>2686</v>
      </c>
      <c r="K5143" s="128" t="s">
        <v>1530</v>
      </c>
      <c r="L5143" s="127"/>
      <c r="M5143" s="128">
        <v>620452</v>
      </c>
      <c r="N5143" s="108"/>
      <c r="O5143" s="19" t="s">
        <v>4332</v>
      </c>
      <c r="P5143" s="20" t="s">
        <v>4326</v>
      </c>
      <c r="Q5143" s="19">
        <v>1398</v>
      </c>
    </row>
    <row r="5144" spans="1:17" ht="24.9" customHeight="1">
      <c r="A5144" s="20"/>
      <c r="B5144" s="20" t="s">
        <v>5101</v>
      </c>
      <c r="C5144" s="20"/>
      <c r="D5144" s="20" t="s">
        <v>4325</v>
      </c>
      <c r="E5144" s="19">
        <f>VLOOKUP(D5144,'لیست پرسنل'!$B$2:$E$1020,3,FALSE)</f>
        <v>0</v>
      </c>
      <c r="F5144" s="19">
        <f>VLOOKUP(D5144,'لیست پرسنل'!$B$2:$E$1020,4,FALSE)</f>
        <v>0</v>
      </c>
      <c r="G5144" s="127">
        <f>VLOOKUP(D5144,'لیست پرسنل'!$B$2:$F$1020,2,FALSE)</f>
        <v>0</v>
      </c>
      <c r="H5144" s="126" t="s">
        <v>4325</v>
      </c>
      <c r="I5144" s="128" t="s">
        <v>4325</v>
      </c>
      <c r="J5144" s="128" t="s">
        <v>2686</v>
      </c>
      <c r="K5144" s="128" t="s">
        <v>1530</v>
      </c>
      <c r="L5144" s="127"/>
      <c r="M5144" s="128">
        <v>620494</v>
      </c>
      <c r="N5144" s="108"/>
      <c r="O5144" s="19" t="s">
        <v>4332</v>
      </c>
      <c r="P5144" s="20" t="s">
        <v>4326</v>
      </c>
      <c r="Q5144" s="19">
        <v>1398</v>
      </c>
    </row>
    <row r="5145" spans="1:17" ht="24.9" customHeight="1">
      <c r="A5145" s="20"/>
      <c r="B5145" s="20" t="s">
        <v>4636</v>
      </c>
      <c r="C5145" s="20"/>
      <c r="D5145" s="20" t="s">
        <v>4325</v>
      </c>
      <c r="E5145" s="19">
        <f>VLOOKUP(D5145,'لیست پرسنل'!$B$2:$E$1020,3,FALSE)</f>
        <v>0</v>
      </c>
      <c r="F5145" s="19">
        <f>VLOOKUP(D5145,'لیست پرسنل'!$B$2:$E$1020,4,FALSE)</f>
        <v>0</v>
      </c>
      <c r="G5145" s="127">
        <f>VLOOKUP(D5145,'لیست پرسنل'!$B$2:$F$1020,2,FALSE)</f>
        <v>0</v>
      </c>
      <c r="H5145" s="128" t="s">
        <v>4325</v>
      </c>
      <c r="I5145" s="128" t="s">
        <v>4325</v>
      </c>
      <c r="J5145" s="128" t="s">
        <v>2686</v>
      </c>
      <c r="K5145" s="128" t="s">
        <v>3159</v>
      </c>
      <c r="L5145" s="128" t="s">
        <v>120</v>
      </c>
      <c r="M5145" s="128">
        <v>620505</v>
      </c>
      <c r="N5145" s="108"/>
      <c r="O5145" s="19" t="s">
        <v>5597</v>
      </c>
      <c r="P5145" s="20" t="s">
        <v>4325</v>
      </c>
      <c r="Q5145" s="20" t="s">
        <v>5598</v>
      </c>
    </row>
    <row r="5146" spans="1:17" ht="24.9" customHeight="1">
      <c r="A5146" s="20"/>
      <c r="B5146" s="20" t="s">
        <v>5101</v>
      </c>
      <c r="C5146" s="20"/>
      <c r="D5146" s="20" t="s">
        <v>4325</v>
      </c>
      <c r="E5146" s="19">
        <f>VLOOKUP(D5146,'لیست پرسنل'!$B$2:$E$1020,3,FALSE)</f>
        <v>0</v>
      </c>
      <c r="F5146" s="19">
        <f>VLOOKUP(D5146,'لیست پرسنل'!$B$2:$E$1020,4,FALSE)</f>
        <v>0</v>
      </c>
      <c r="G5146" s="127">
        <f>VLOOKUP(D5146,'لیست پرسنل'!$B$2:$F$1020,2,FALSE)</f>
        <v>0</v>
      </c>
      <c r="H5146" s="126" t="s">
        <v>4325</v>
      </c>
      <c r="I5146" s="128" t="s">
        <v>4325</v>
      </c>
      <c r="J5146" s="128" t="s">
        <v>2686</v>
      </c>
      <c r="K5146" s="128" t="s">
        <v>621</v>
      </c>
      <c r="L5146" s="151" t="s">
        <v>728</v>
      </c>
      <c r="M5146" s="127">
        <v>622526</v>
      </c>
      <c r="N5146" s="109"/>
      <c r="O5146" s="19" t="s">
        <v>5307</v>
      </c>
      <c r="P5146" s="19" t="s">
        <v>4326</v>
      </c>
      <c r="Q5146" s="19">
        <v>1400</v>
      </c>
    </row>
    <row r="5147" spans="1:17" ht="24.9" customHeight="1">
      <c r="A5147" s="20"/>
      <c r="B5147" s="20" t="s">
        <v>4636</v>
      </c>
      <c r="C5147" s="20"/>
      <c r="D5147" s="20" t="s">
        <v>4325</v>
      </c>
      <c r="E5147" s="19">
        <f>VLOOKUP(D5147,'لیست پرسنل'!$B$2:$E$1020,3,FALSE)</f>
        <v>0</v>
      </c>
      <c r="F5147" s="19">
        <f>VLOOKUP(D5147,'لیست پرسنل'!$B$2:$E$1020,4,FALSE)</f>
        <v>0</v>
      </c>
      <c r="G5147" s="127">
        <f>VLOOKUP(D5147,'لیست پرسنل'!$B$2:$F$1020,2,FALSE)</f>
        <v>0</v>
      </c>
      <c r="H5147" s="128" t="s">
        <v>4325</v>
      </c>
      <c r="I5147" s="128" t="s">
        <v>4325</v>
      </c>
      <c r="J5147" s="128" t="s">
        <v>2686</v>
      </c>
      <c r="K5147" s="128" t="s">
        <v>621</v>
      </c>
      <c r="L5147" s="156" t="s">
        <v>1337</v>
      </c>
      <c r="M5147" s="127">
        <v>622533</v>
      </c>
      <c r="N5147" s="108"/>
      <c r="O5147" s="19" t="s">
        <v>5806</v>
      </c>
      <c r="P5147" s="20" t="s">
        <v>4325</v>
      </c>
      <c r="Q5147" s="20" t="s">
        <v>5594</v>
      </c>
    </row>
    <row r="5148" spans="1:17" ht="24.9" customHeight="1">
      <c r="A5148" s="20"/>
      <c r="B5148" s="20" t="s">
        <v>5101</v>
      </c>
      <c r="C5148" s="20"/>
      <c r="D5148" s="20" t="s">
        <v>4325</v>
      </c>
      <c r="E5148" s="19">
        <f>VLOOKUP(D5148,'لیست پرسنل'!$B$2:$E$1020,3,FALSE)</f>
        <v>0</v>
      </c>
      <c r="F5148" s="19">
        <f>VLOOKUP(D5148,'لیست پرسنل'!$B$2:$E$1020,4,FALSE)</f>
        <v>0</v>
      </c>
      <c r="G5148" s="127">
        <f>VLOOKUP(D5148,'لیست پرسنل'!$B$2:$F$1020,2,FALSE)</f>
        <v>0</v>
      </c>
      <c r="H5148" s="126" t="s">
        <v>4325</v>
      </c>
      <c r="I5148" s="128" t="s">
        <v>4325</v>
      </c>
      <c r="J5148" s="128" t="s">
        <v>2686</v>
      </c>
      <c r="K5148" s="128" t="s">
        <v>619</v>
      </c>
      <c r="L5148" s="151" t="s">
        <v>620</v>
      </c>
      <c r="M5148" s="127">
        <v>622540</v>
      </c>
      <c r="N5148" s="109"/>
      <c r="O5148" s="19" t="s">
        <v>869</v>
      </c>
      <c r="P5148" s="19" t="s">
        <v>4326</v>
      </c>
      <c r="Q5148" s="19">
        <v>1400</v>
      </c>
    </row>
    <row r="5149" spans="1:17" ht="24.9" customHeight="1">
      <c r="A5149" s="20"/>
      <c r="B5149" s="20" t="s">
        <v>5101</v>
      </c>
      <c r="C5149" s="20"/>
      <c r="D5149" s="20" t="s">
        <v>4325</v>
      </c>
      <c r="E5149" s="19">
        <f>VLOOKUP(D5149,'لیست پرسنل'!$B$2:$E$1020,3,FALSE)</f>
        <v>0</v>
      </c>
      <c r="F5149" s="19">
        <f>VLOOKUP(D5149,'لیست پرسنل'!$B$2:$E$1020,4,FALSE)</f>
        <v>0</v>
      </c>
      <c r="G5149" s="127">
        <f>VLOOKUP(D5149,'لیست پرسنل'!$B$2:$F$1020,2,FALSE)</f>
        <v>0</v>
      </c>
      <c r="H5149" s="126" t="s">
        <v>4325</v>
      </c>
      <c r="I5149" s="128" t="s">
        <v>4325</v>
      </c>
      <c r="J5149" s="128" t="s">
        <v>2686</v>
      </c>
      <c r="K5149" s="128" t="s">
        <v>350</v>
      </c>
      <c r="L5149" s="151" t="s">
        <v>4638</v>
      </c>
      <c r="M5149" s="127">
        <v>622541</v>
      </c>
      <c r="N5149" s="109" t="s">
        <v>7312</v>
      </c>
      <c r="O5149" s="19" t="s">
        <v>4640</v>
      </c>
      <c r="P5149" s="19" t="s">
        <v>4326</v>
      </c>
      <c r="Q5149" s="19">
        <v>1400</v>
      </c>
    </row>
    <row r="5150" spans="1:17" ht="24.9" customHeight="1">
      <c r="A5150" s="20"/>
      <c r="B5150" s="20" t="s">
        <v>5101</v>
      </c>
      <c r="C5150" s="20"/>
      <c r="D5150" s="20" t="s">
        <v>4325</v>
      </c>
      <c r="E5150" s="19">
        <f>VLOOKUP(D5150,'لیست پرسنل'!$B$2:$E$1020,3,FALSE)</f>
        <v>0</v>
      </c>
      <c r="F5150" s="19">
        <f>VLOOKUP(D5150,'لیست پرسنل'!$B$2:$E$1020,4,FALSE)</f>
        <v>0</v>
      </c>
      <c r="G5150" s="127">
        <f>VLOOKUP(D5150,'لیست پرسنل'!$B$2:$F$1020,2,FALSE)</f>
        <v>0</v>
      </c>
      <c r="H5150" s="126" t="s">
        <v>4325</v>
      </c>
      <c r="I5150" s="128" t="s">
        <v>4325</v>
      </c>
      <c r="J5150" s="128" t="s">
        <v>2686</v>
      </c>
      <c r="K5150" s="128" t="s">
        <v>622</v>
      </c>
      <c r="L5150" s="151" t="s">
        <v>627</v>
      </c>
      <c r="M5150" s="127">
        <v>622606</v>
      </c>
      <c r="N5150" s="109"/>
      <c r="O5150" s="19" t="s">
        <v>727</v>
      </c>
      <c r="P5150" s="19" t="s">
        <v>4326</v>
      </c>
      <c r="Q5150" s="19">
        <v>1400</v>
      </c>
    </row>
    <row r="5151" spans="1:17" ht="24.9" customHeight="1">
      <c r="A5151" s="20"/>
      <c r="B5151" s="20" t="s">
        <v>5101</v>
      </c>
      <c r="C5151" s="20"/>
      <c r="D5151" s="20" t="s">
        <v>4325</v>
      </c>
      <c r="E5151" s="19">
        <f>VLOOKUP(D5151,'لیست پرسنل'!$B$2:$E$1020,3,FALSE)</f>
        <v>0</v>
      </c>
      <c r="F5151" s="19">
        <f>VLOOKUP(D5151,'لیست پرسنل'!$B$2:$E$1020,4,FALSE)</f>
        <v>0</v>
      </c>
      <c r="G5151" s="127">
        <f>VLOOKUP(D5151,'لیست پرسنل'!$B$2:$F$1020,2,FALSE)</f>
        <v>0</v>
      </c>
      <c r="H5151" s="126" t="s">
        <v>4325</v>
      </c>
      <c r="I5151" s="128" t="s">
        <v>4325</v>
      </c>
      <c r="J5151" s="128" t="s">
        <v>2686</v>
      </c>
      <c r="K5151" s="128" t="s">
        <v>622</v>
      </c>
      <c r="L5151" s="151" t="s">
        <v>626</v>
      </c>
      <c r="M5151" s="127">
        <v>622613</v>
      </c>
      <c r="N5151" s="109"/>
      <c r="O5151" s="19" t="s">
        <v>871</v>
      </c>
      <c r="P5151" s="19" t="s">
        <v>4326</v>
      </c>
      <c r="Q5151" s="19">
        <v>1400</v>
      </c>
    </row>
    <row r="5152" spans="1:17" ht="24.9" customHeight="1">
      <c r="A5152" s="20"/>
      <c r="B5152" s="20" t="s">
        <v>5101</v>
      </c>
      <c r="C5152" s="20"/>
      <c r="D5152" s="20" t="s">
        <v>4325</v>
      </c>
      <c r="E5152" s="19">
        <f>VLOOKUP(D5152,'لیست پرسنل'!$B$2:$E$1020,3,FALSE)</f>
        <v>0</v>
      </c>
      <c r="F5152" s="19">
        <f>VLOOKUP(D5152,'لیست پرسنل'!$B$2:$E$1020,4,FALSE)</f>
        <v>0</v>
      </c>
      <c r="G5152" s="127">
        <f>VLOOKUP(D5152,'لیست پرسنل'!$B$2:$F$1020,2,FALSE)</f>
        <v>0</v>
      </c>
      <c r="H5152" s="126" t="s">
        <v>4325</v>
      </c>
      <c r="I5152" s="128" t="s">
        <v>4325</v>
      </c>
      <c r="J5152" s="128" t="s">
        <v>2686</v>
      </c>
      <c r="K5152" s="128" t="s">
        <v>622</v>
      </c>
      <c r="L5152" s="151" t="s">
        <v>629</v>
      </c>
      <c r="M5152" s="127">
        <v>622614</v>
      </c>
      <c r="N5152" s="109"/>
      <c r="O5152" s="19" t="s">
        <v>870</v>
      </c>
      <c r="P5152" s="19" t="s">
        <v>4326</v>
      </c>
      <c r="Q5152" s="19">
        <v>1400</v>
      </c>
    </row>
    <row r="5153" spans="1:17" ht="24.9" customHeight="1">
      <c r="A5153" s="20"/>
      <c r="B5153" s="20" t="s">
        <v>5101</v>
      </c>
      <c r="C5153" s="20"/>
      <c r="D5153" s="20" t="s">
        <v>4325</v>
      </c>
      <c r="E5153" s="19">
        <f>VLOOKUP(D5153,'لیست پرسنل'!$B$2:$E$1020,3,FALSE)</f>
        <v>0</v>
      </c>
      <c r="F5153" s="19">
        <f>VLOOKUP(D5153,'لیست پرسنل'!$B$2:$E$1020,4,FALSE)</f>
        <v>0</v>
      </c>
      <c r="G5153" s="127">
        <f>VLOOKUP(D5153,'لیست پرسنل'!$B$2:$F$1020,2,FALSE)</f>
        <v>0</v>
      </c>
      <c r="H5153" s="126" t="s">
        <v>4325</v>
      </c>
      <c r="I5153" s="128" t="s">
        <v>4325</v>
      </c>
      <c r="J5153" s="128" t="s">
        <v>2686</v>
      </c>
      <c r="K5153" s="128" t="s">
        <v>517</v>
      </c>
      <c r="L5153" s="151" t="s">
        <v>1048</v>
      </c>
      <c r="M5153" s="127">
        <v>623626</v>
      </c>
      <c r="N5153" s="109"/>
      <c r="O5153" s="19" t="s">
        <v>1293</v>
      </c>
      <c r="P5153" s="19" t="s">
        <v>4326</v>
      </c>
      <c r="Q5153" s="19">
        <v>1400</v>
      </c>
    </row>
    <row r="5154" spans="1:17" ht="24.9" customHeight="1">
      <c r="A5154" s="20"/>
      <c r="B5154" s="20" t="s">
        <v>5101</v>
      </c>
      <c r="C5154" s="20"/>
      <c r="D5154" s="20" t="s">
        <v>4325</v>
      </c>
      <c r="E5154" s="19">
        <f>VLOOKUP(D5154,'لیست پرسنل'!$B$2:$E$1020,3,FALSE)</f>
        <v>0</v>
      </c>
      <c r="F5154" s="19">
        <f>VLOOKUP(D5154,'لیست پرسنل'!$B$2:$E$1020,4,FALSE)</f>
        <v>0</v>
      </c>
      <c r="G5154" s="127">
        <f>VLOOKUP(D5154,'لیست پرسنل'!$B$2:$F$1020,2,FALSE)</f>
        <v>0</v>
      </c>
      <c r="H5154" s="126" t="s">
        <v>4325</v>
      </c>
      <c r="I5154" s="128" t="s">
        <v>4325</v>
      </c>
      <c r="J5154" s="128" t="s">
        <v>2686</v>
      </c>
      <c r="K5154" s="128" t="s">
        <v>1567</v>
      </c>
      <c r="L5154" s="127"/>
      <c r="M5154" s="128" t="s">
        <v>291</v>
      </c>
      <c r="N5154" s="108"/>
      <c r="O5154" s="19" t="s">
        <v>4332</v>
      </c>
      <c r="P5154" s="20" t="s">
        <v>4326</v>
      </c>
      <c r="Q5154" s="19">
        <v>1398</v>
      </c>
    </row>
    <row r="5155" spans="1:17" ht="24.9" customHeight="1">
      <c r="A5155" s="20"/>
      <c r="B5155" s="20" t="s">
        <v>5101</v>
      </c>
      <c r="C5155" s="20"/>
      <c r="D5155" s="20" t="s">
        <v>4325</v>
      </c>
      <c r="E5155" s="19">
        <f>VLOOKUP(D5155,'لیست پرسنل'!$B$2:$E$1020,3,FALSE)</f>
        <v>0</v>
      </c>
      <c r="F5155" s="19">
        <f>VLOOKUP(D5155,'لیست پرسنل'!$B$2:$E$1020,4,FALSE)</f>
        <v>0</v>
      </c>
      <c r="G5155" s="127">
        <f>VLOOKUP(D5155,'لیست پرسنل'!$B$2:$F$1020,2,FALSE)</f>
        <v>0</v>
      </c>
      <c r="H5155" s="126" t="s">
        <v>4325</v>
      </c>
      <c r="I5155" s="128" t="s">
        <v>4325</v>
      </c>
      <c r="J5155" s="128" t="s">
        <v>2686</v>
      </c>
      <c r="K5155" s="128" t="s">
        <v>852</v>
      </c>
      <c r="L5155" s="151" t="s">
        <v>1193</v>
      </c>
      <c r="M5155" s="128" t="s">
        <v>291</v>
      </c>
      <c r="N5155" s="108"/>
      <c r="O5155" s="19" t="s">
        <v>4249</v>
      </c>
      <c r="P5155" s="20" t="s">
        <v>4326</v>
      </c>
      <c r="Q5155" s="19" t="s">
        <v>4327</v>
      </c>
    </row>
    <row r="5156" spans="1:17" ht="24.9" customHeight="1">
      <c r="A5156" s="20"/>
      <c r="B5156" s="20" t="s">
        <v>5101</v>
      </c>
      <c r="C5156" s="20"/>
      <c r="D5156" s="20" t="s">
        <v>4325</v>
      </c>
      <c r="E5156" s="19">
        <f>VLOOKUP(D5156,'لیست پرسنل'!$B$2:$E$1020,3,FALSE)</f>
        <v>0</v>
      </c>
      <c r="F5156" s="19">
        <f>VLOOKUP(D5156,'لیست پرسنل'!$B$2:$E$1020,4,FALSE)</f>
        <v>0</v>
      </c>
      <c r="G5156" s="127">
        <f>VLOOKUP(D5156,'لیست پرسنل'!$B$2:$F$1020,2,FALSE)</f>
        <v>0</v>
      </c>
      <c r="H5156" s="126" t="s">
        <v>4325</v>
      </c>
      <c r="I5156" s="128" t="s">
        <v>4325</v>
      </c>
      <c r="J5156" s="128" t="s">
        <v>3313</v>
      </c>
      <c r="K5156" s="128" t="s">
        <v>3315</v>
      </c>
      <c r="L5156" s="151" t="s">
        <v>4366</v>
      </c>
      <c r="M5156" s="127">
        <v>605332</v>
      </c>
      <c r="N5156" s="109"/>
      <c r="O5156" s="19"/>
      <c r="P5156" s="19" t="s">
        <v>4326</v>
      </c>
      <c r="Q5156" s="19" t="s">
        <v>4327</v>
      </c>
    </row>
    <row r="5157" spans="1:17" ht="24.9" customHeight="1">
      <c r="A5157" s="20"/>
      <c r="B5157" s="20" t="s">
        <v>5101</v>
      </c>
      <c r="C5157" s="20"/>
      <c r="D5157" s="20" t="s">
        <v>4325</v>
      </c>
      <c r="E5157" s="19">
        <f>VLOOKUP(D5157,'لیست پرسنل'!$B$2:$E$1020,3,FALSE)</f>
        <v>0</v>
      </c>
      <c r="F5157" s="19">
        <f>VLOOKUP(D5157,'لیست پرسنل'!$B$2:$E$1020,4,FALSE)</f>
        <v>0</v>
      </c>
      <c r="G5157" s="127">
        <f>VLOOKUP(D5157,'لیست پرسنل'!$B$2:$F$1020,2,FALSE)</f>
        <v>0</v>
      </c>
      <c r="H5157" s="126" t="s">
        <v>4325</v>
      </c>
      <c r="I5157" s="128" t="s">
        <v>4325</v>
      </c>
      <c r="J5157" s="128" t="s">
        <v>3313</v>
      </c>
      <c r="K5157" s="128" t="s">
        <v>3315</v>
      </c>
      <c r="L5157" s="151" t="s">
        <v>4366</v>
      </c>
      <c r="M5157" s="127">
        <v>605368</v>
      </c>
      <c r="N5157" s="109"/>
      <c r="O5157" s="19"/>
      <c r="P5157" s="19" t="s">
        <v>4326</v>
      </c>
      <c r="Q5157" s="19" t="s">
        <v>4327</v>
      </c>
    </row>
    <row r="5158" spans="1:17" ht="24.9" customHeight="1">
      <c r="A5158" s="20"/>
      <c r="B5158" s="20" t="s">
        <v>5101</v>
      </c>
      <c r="C5158" s="20"/>
      <c r="D5158" s="20" t="s">
        <v>4325</v>
      </c>
      <c r="E5158" s="19">
        <f>VLOOKUP(D5158,'لیست پرسنل'!$B$2:$E$1020,3,FALSE)</f>
        <v>0</v>
      </c>
      <c r="F5158" s="19">
        <f>VLOOKUP(D5158,'لیست پرسنل'!$B$2:$E$1020,4,FALSE)</f>
        <v>0</v>
      </c>
      <c r="G5158" s="127">
        <f>VLOOKUP(D5158,'لیست پرسنل'!$B$2:$F$1020,2,FALSE)</f>
        <v>0</v>
      </c>
      <c r="H5158" s="126" t="s">
        <v>4325</v>
      </c>
      <c r="I5158" s="128" t="s">
        <v>4325</v>
      </c>
      <c r="J5158" s="128" t="s">
        <v>3313</v>
      </c>
      <c r="K5158" s="128" t="s">
        <v>3315</v>
      </c>
      <c r="L5158" s="127" t="s">
        <v>4366</v>
      </c>
      <c r="M5158" s="127">
        <v>605369</v>
      </c>
      <c r="N5158" s="109"/>
      <c r="O5158" s="19"/>
      <c r="P5158" s="19" t="s">
        <v>4326</v>
      </c>
      <c r="Q5158" s="19" t="s">
        <v>4327</v>
      </c>
    </row>
    <row r="5159" spans="1:17" ht="24.9" customHeight="1">
      <c r="A5159" s="20"/>
      <c r="B5159" s="20" t="s">
        <v>5101</v>
      </c>
      <c r="C5159" s="20"/>
      <c r="D5159" s="20" t="s">
        <v>4325</v>
      </c>
      <c r="E5159" s="19">
        <f>VLOOKUP(D5159,'لیست پرسنل'!$B$2:$E$1020,3,FALSE)</f>
        <v>0</v>
      </c>
      <c r="F5159" s="19">
        <f>VLOOKUP(D5159,'لیست پرسنل'!$B$2:$E$1020,4,FALSE)</f>
        <v>0</v>
      </c>
      <c r="G5159" s="127">
        <f>VLOOKUP(D5159,'لیست پرسنل'!$B$2:$F$1020,2,FALSE)</f>
        <v>0</v>
      </c>
      <c r="H5159" s="126" t="s">
        <v>4325</v>
      </c>
      <c r="I5159" s="128" t="s">
        <v>4325</v>
      </c>
      <c r="J5159" s="128" t="s">
        <v>3313</v>
      </c>
      <c r="K5159" s="128" t="s">
        <v>1552</v>
      </c>
      <c r="L5159" s="127"/>
      <c r="M5159" s="128">
        <v>605422</v>
      </c>
      <c r="N5159" s="108"/>
      <c r="O5159" s="19" t="s">
        <v>4332</v>
      </c>
      <c r="P5159" s="20" t="s">
        <v>4326</v>
      </c>
      <c r="Q5159" s="19">
        <v>1398</v>
      </c>
    </row>
    <row r="5160" spans="1:17" ht="24.9" customHeight="1">
      <c r="A5160" s="20"/>
      <c r="B5160" s="20" t="s">
        <v>5101</v>
      </c>
      <c r="C5160" s="20"/>
      <c r="D5160" s="20" t="s">
        <v>4325</v>
      </c>
      <c r="E5160" s="19">
        <f>VLOOKUP(D5160,'لیست پرسنل'!$B$2:$E$1020,3,FALSE)</f>
        <v>0</v>
      </c>
      <c r="F5160" s="19">
        <f>VLOOKUP(D5160,'لیست پرسنل'!$B$2:$E$1020,4,FALSE)</f>
        <v>0</v>
      </c>
      <c r="G5160" s="127">
        <f>VLOOKUP(D5160,'لیست پرسنل'!$B$2:$F$1020,2,FALSE)</f>
        <v>0</v>
      </c>
      <c r="H5160" s="126" t="s">
        <v>4325</v>
      </c>
      <c r="I5160" s="128" t="s">
        <v>4325</v>
      </c>
      <c r="J5160" s="128" t="s">
        <v>3313</v>
      </c>
      <c r="K5160" s="128" t="s">
        <v>3280</v>
      </c>
      <c r="L5160" s="151">
        <v>12971200729</v>
      </c>
      <c r="M5160" s="127">
        <v>609557</v>
      </c>
      <c r="N5160" s="108" t="s">
        <v>7312</v>
      </c>
      <c r="O5160" s="19" t="s">
        <v>3312</v>
      </c>
      <c r="P5160" s="19" t="s">
        <v>4326</v>
      </c>
      <c r="Q5160" s="19">
        <v>1401</v>
      </c>
    </row>
    <row r="5161" spans="1:17" ht="24.9" customHeight="1">
      <c r="A5161" s="20"/>
      <c r="B5161" s="20" t="s">
        <v>5101</v>
      </c>
      <c r="C5161" s="20"/>
      <c r="D5161" s="20" t="s">
        <v>4325</v>
      </c>
      <c r="E5161" s="19">
        <f>VLOOKUP(D5161,'لیست پرسنل'!$B$2:$E$1020,3,FALSE)</f>
        <v>0</v>
      </c>
      <c r="F5161" s="19">
        <f>VLOOKUP(D5161,'لیست پرسنل'!$B$2:$E$1020,4,FALSE)</f>
        <v>0</v>
      </c>
      <c r="G5161" s="127">
        <f>VLOOKUP(D5161,'لیست پرسنل'!$B$2:$F$1020,2,FALSE)</f>
        <v>0</v>
      </c>
      <c r="H5161" s="126" t="s">
        <v>4325</v>
      </c>
      <c r="I5161" s="128" t="s">
        <v>4325</v>
      </c>
      <c r="J5161" s="128" t="s">
        <v>3313</v>
      </c>
      <c r="K5161" s="128" t="s">
        <v>3311</v>
      </c>
      <c r="L5161" s="127" t="s">
        <v>4367</v>
      </c>
      <c r="M5161" s="127">
        <v>610806</v>
      </c>
      <c r="N5161" s="109"/>
      <c r="O5161" s="19"/>
      <c r="P5161" s="19" t="s">
        <v>4326</v>
      </c>
      <c r="Q5161" s="19" t="s">
        <v>4327</v>
      </c>
    </row>
    <row r="5162" spans="1:17" ht="24.9" customHeight="1">
      <c r="A5162" s="20"/>
      <c r="B5162" s="20" t="s">
        <v>5101</v>
      </c>
      <c r="C5162" s="20"/>
      <c r="D5162" s="20" t="s">
        <v>4325</v>
      </c>
      <c r="E5162" s="19">
        <f>VLOOKUP(D5162,'لیست پرسنل'!$B$2:$E$1020,3,FALSE)</f>
        <v>0</v>
      </c>
      <c r="F5162" s="19">
        <f>VLOOKUP(D5162,'لیست پرسنل'!$B$2:$E$1020,4,FALSE)</f>
        <v>0</v>
      </c>
      <c r="G5162" s="127">
        <f>VLOOKUP(D5162,'لیست پرسنل'!$B$2:$F$1020,2,FALSE)</f>
        <v>0</v>
      </c>
      <c r="H5162" s="126" t="s">
        <v>4325</v>
      </c>
      <c r="I5162" s="128" t="s">
        <v>4325</v>
      </c>
      <c r="J5162" s="128" t="s">
        <v>3313</v>
      </c>
      <c r="K5162" s="128" t="s">
        <v>1541</v>
      </c>
      <c r="L5162" s="127"/>
      <c r="M5162" s="128">
        <v>612749</v>
      </c>
      <c r="N5162" s="108"/>
      <c r="O5162" s="19" t="s">
        <v>4332</v>
      </c>
      <c r="P5162" s="20" t="s">
        <v>4326</v>
      </c>
      <c r="Q5162" s="19">
        <v>1398</v>
      </c>
    </row>
    <row r="5163" spans="1:17" ht="24.9" customHeight="1">
      <c r="A5163" s="20"/>
      <c r="B5163" s="20" t="s">
        <v>5101</v>
      </c>
      <c r="C5163" s="20"/>
      <c r="D5163" s="20" t="s">
        <v>4325</v>
      </c>
      <c r="E5163" s="19">
        <f>VLOOKUP(D5163,'لیست پرسنل'!$B$2:$E$1020,3,FALSE)</f>
        <v>0</v>
      </c>
      <c r="F5163" s="19">
        <f>VLOOKUP(D5163,'لیست پرسنل'!$B$2:$E$1020,4,FALSE)</f>
        <v>0</v>
      </c>
      <c r="G5163" s="127">
        <f>VLOOKUP(D5163,'لیست پرسنل'!$B$2:$F$1020,2,FALSE)</f>
        <v>0</v>
      </c>
      <c r="H5163" s="126" t="s">
        <v>4325</v>
      </c>
      <c r="I5163" s="128" t="s">
        <v>4325</v>
      </c>
      <c r="J5163" s="128" t="s">
        <v>3313</v>
      </c>
      <c r="K5163" s="128" t="s">
        <v>965</v>
      </c>
      <c r="L5163" s="127"/>
      <c r="M5163" s="128">
        <v>612868</v>
      </c>
      <c r="N5163" s="108"/>
      <c r="O5163" s="19" t="s">
        <v>4332</v>
      </c>
      <c r="P5163" s="20" t="s">
        <v>4326</v>
      </c>
      <c r="Q5163" s="19">
        <v>1398</v>
      </c>
    </row>
    <row r="5164" spans="1:17" ht="24.9" customHeight="1">
      <c r="A5164" s="20"/>
      <c r="B5164" s="20" t="s">
        <v>5101</v>
      </c>
      <c r="C5164" s="20"/>
      <c r="D5164" s="20" t="s">
        <v>4325</v>
      </c>
      <c r="E5164" s="19">
        <f>VLOOKUP(D5164,'لیست پرسنل'!$B$2:$E$1020,3,FALSE)</f>
        <v>0</v>
      </c>
      <c r="F5164" s="19">
        <f>VLOOKUP(D5164,'لیست پرسنل'!$B$2:$E$1020,4,FALSE)</f>
        <v>0</v>
      </c>
      <c r="G5164" s="127">
        <f>VLOOKUP(D5164,'لیست پرسنل'!$B$2:$F$1020,2,FALSE)</f>
        <v>0</v>
      </c>
      <c r="H5164" s="126" t="s">
        <v>4325</v>
      </c>
      <c r="I5164" s="128" t="s">
        <v>4325</v>
      </c>
      <c r="J5164" s="128" t="s">
        <v>3313</v>
      </c>
      <c r="K5164" s="128" t="s">
        <v>965</v>
      </c>
      <c r="L5164" s="127"/>
      <c r="M5164" s="128">
        <v>613432</v>
      </c>
      <c r="N5164" s="108"/>
      <c r="O5164" s="19" t="s">
        <v>4332</v>
      </c>
      <c r="P5164" s="20" t="s">
        <v>4326</v>
      </c>
      <c r="Q5164" s="19">
        <v>1398</v>
      </c>
    </row>
    <row r="5165" spans="1:17" ht="24.9" customHeight="1">
      <c r="A5165" s="20"/>
      <c r="B5165" s="20" t="s">
        <v>5101</v>
      </c>
      <c r="C5165" s="20"/>
      <c r="D5165" s="20" t="s">
        <v>4325</v>
      </c>
      <c r="E5165" s="19">
        <f>VLOOKUP(D5165,'لیست پرسنل'!$B$2:$E$1020,3,FALSE)</f>
        <v>0</v>
      </c>
      <c r="F5165" s="19">
        <f>VLOOKUP(D5165,'لیست پرسنل'!$B$2:$E$1020,4,FALSE)</f>
        <v>0</v>
      </c>
      <c r="G5165" s="127">
        <f>VLOOKUP(D5165,'لیست پرسنل'!$B$2:$F$1020,2,FALSE)</f>
        <v>0</v>
      </c>
      <c r="H5165" s="126" t="s">
        <v>4325</v>
      </c>
      <c r="I5165" s="128" t="s">
        <v>4325</v>
      </c>
      <c r="J5165" s="128" t="s">
        <v>3313</v>
      </c>
      <c r="K5165" s="128" t="s">
        <v>1537</v>
      </c>
      <c r="L5165" s="127"/>
      <c r="M5165" s="128">
        <v>613582</v>
      </c>
      <c r="N5165" s="108"/>
      <c r="O5165" s="19" t="s">
        <v>4332</v>
      </c>
      <c r="P5165" s="20" t="s">
        <v>4326</v>
      </c>
      <c r="Q5165" s="19">
        <v>1398</v>
      </c>
    </row>
    <row r="5166" spans="1:17" ht="24.9" customHeight="1">
      <c r="A5166" s="20"/>
      <c r="B5166" s="20" t="s">
        <v>5101</v>
      </c>
      <c r="C5166" s="20"/>
      <c r="D5166" s="20" t="s">
        <v>4325</v>
      </c>
      <c r="E5166" s="19">
        <f>VLOOKUP(D5166,'لیست پرسنل'!$B$2:$E$1020,3,FALSE)</f>
        <v>0</v>
      </c>
      <c r="F5166" s="19">
        <f>VLOOKUP(D5166,'لیست پرسنل'!$B$2:$E$1020,4,FALSE)</f>
        <v>0</v>
      </c>
      <c r="G5166" s="127">
        <f>VLOOKUP(D5166,'لیست پرسنل'!$B$2:$F$1020,2,FALSE)</f>
        <v>0</v>
      </c>
      <c r="H5166" s="126" t="s">
        <v>4325</v>
      </c>
      <c r="I5166" s="128" t="s">
        <v>4325</v>
      </c>
      <c r="J5166" s="128" t="s">
        <v>3313</v>
      </c>
      <c r="K5166" s="128" t="s">
        <v>3343</v>
      </c>
      <c r="L5166" s="127" t="s">
        <v>2681</v>
      </c>
      <c r="M5166" s="127">
        <v>616577</v>
      </c>
      <c r="N5166" s="108"/>
      <c r="O5166" s="19"/>
      <c r="P5166" s="20" t="s">
        <v>4326</v>
      </c>
      <c r="Q5166" s="19" t="s">
        <v>4327</v>
      </c>
    </row>
    <row r="5167" spans="1:17" ht="24.9" customHeight="1">
      <c r="A5167" s="20"/>
      <c r="B5167" s="20" t="s">
        <v>5101</v>
      </c>
      <c r="C5167" s="20"/>
      <c r="D5167" s="20" t="s">
        <v>4325</v>
      </c>
      <c r="E5167" s="19">
        <f>VLOOKUP(D5167,'لیست پرسنل'!$B$2:$E$1020,3,FALSE)</f>
        <v>0</v>
      </c>
      <c r="F5167" s="19">
        <f>VLOOKUP(D5167,'لیست پرسنل'!$B$2:$E$1020,4,FALSE)</f>
        <v>0</v>
      </c>
      <c r="G5167" s="127">
        <f>VLOOKUP(D5167,'لیست پرسنل'!$B$2:$F$1020,2,FALSE)</f>
        <v>0</v>
      </c>
      <c r="H5167" s="126" t="s">
        <v>4325</v>
      </c>
      <c r="I5167" s="128" t="s">
        <v>4325</v>
      </c>
      <c r="J5167" s="128" t="s">
        <v>4329</v>
      </c>
      <c r="K5167" s="128" t="s">
        <v>3177</v>
      </c>
      <c r="L5167" s="130" t="s">
        <v>2652</v>
      </c>
      <c r="M5167" s="130">
        <v>607538</v>
      </c>
      <c r="N5167" s="108"/>
      <c r="O5167" s="19"/>
      <c r="P5167" s="20" t="s">
        <v>4326</v>
      </c>
      <c r="Q5167" s="19" t="s">
        <v>4327</v>
      </c>
    </row>
    <row r="5168" spans="1:17" ht="24.9" customHeight="1">
      <c r="A5168" s="20"/>
      <c r="B5168" s="20" t="s">
        <v>5101</v>
      </c>
      <c r="C5168" s="20"/>
      <c r="D5168" s="84" t="s">
        <v>4325</v>
      </c>
      <c r="E5168" s="19">
        <f>VLOOKUP(D5168,'لیست پرسنل'!$B$2:$E$1020,3,FALSE)</f>
        <v>0</v>
      </c>
      <c r="F5168" s="19">
        <f>VLOOKUP(D5168,'لیست پرسنل'!$B$2:$E$1020,4,FALSE)</f>
        <v>0</v>
      </c>
      <c r="G5168" s="127">
        <f>VLOOKUP(D5168,'لیست پرسنل'!$B$2:$F$1020,2,FALSE)</f>
        <v>0</v>
      </c>
      <c r="H5168" s="126" t="s">
        <v>4325</v>
      </c>
      <c r="I5168" s="128" t="s">
        <v>4325</v>
      </c>
      <c r="J5168" s="128" t="s">
        <v>4329</v>
      </c>
      <c r="K5168" s="128" t="s">
        <v>5327</v>
      </c>
      <c r="L5168" s="128"/>
      <c r="M5168" s="142">
        <v>608277</v>
      </c>
      <c r="N5168" s="108"/>
      <c r="O5168" s="20"/>
      <c r="P5168" s="20" t="s">
        <v>4325</v>
      </c>
      <c r="Q5168" s="20" t="s">
        <v>5324</v>
      </c>
    </row>
    <row r="5169" spans="1:17" ht="24.9" customHeight="1">
      <c r="A5169" s="20"/>
      <c r="B5169" s="20" t="s">
        <v>5101</v>
      </c>
      <c r="C5169" s="20"/>
      <c r="D5169" s="20" t="s">
        <v>4325</v>
      </c>
      <c r="E5169" s="19">
        <f>VLOOKUP(D5169,'لیست پرسنل'!$B$2:$E$1020,3,FALSE)</f>
        <v>0</v>
      </c>
      <c r="F5169" s="19">
        <f>VLOOKUP(D5169,'لیست پرسنل'!$B$2:$E$1020,4,FALSE)</f>
        <v>0</v>
      </c>
      <c r="G5169" s="127">
        <f>VLOOKUP(D5169,'لیست پرسنل'!$B$2:$F$1020,2,FALSE)</f>
        <v>0</v>
      </c>
      <c r="H5169" s="126" t="s">
        <v>4325</v>
      </c>
      <c r="I5169" s="128" t="s">
        <v>4325</v>
      </c>
      <c r="J5169" s="128" t="s">
        <v>4329</v>
      </c>
      <c r="K5169" s="128" t="s">
        <v>3200</v>
      </c>
      <c r="L5169" s="130" t="s">
        <v>2652</v>
      </c>
      <c r="M5169" s="130">
        <v>700041</v>
      </c>
      <c r="N5169" s="108"/>
      <c r="O5169" s="19"/>
      <c r="P5169" s="20" t="s">
        <v>4326</v>
      </c>
      <c r="Q5169" s="19" t="s">
        <v>4327</v>
      </c>
    </row>
    <row r="5170" spans="1:17" ht="24.9" customHeight="1">
      <c r="A5170" s="20"/>
      <c r="B5170" s="20" t="s">
        <v>5101</v>
      </c>
      <c r="C5170" s="20"/>
      <c r="D5170" s="20" t="s">
        <v>4325</v>
      </c>
      <c r="E5170" s="19">
        <f>VLOOKUP(D5170,'لیست پرسنل'!$B$2:$E$1020,3,FALSE)</f>
        <v>0</v>
      </c>
      <c r="F5170" s="19">
        <f>VLOOKUP(D5170,'لیست پرسنل'!$B$2:$E$1020,4,FALSE)</f>
        <v>0</v>
      </c>
      <c r="G5170" s="127">
        <f>VLOOKUP(D5170,'لیست پرسنل'!$B$2:$F$1020,2,FALSE)</f>
        <v>0</v>
      </c>
      <c r="H5170" s="126" t="s">
        <v>4325</v>
      </c>
      <c r="I5170" s="128" t="s">
        <v>4325</v>
      </c>
      <c r="J5170" s="128" t="s">
        <v>1977</v>
      </c>
      <c r="K5170" s="128" t="s">
        <v>1542</v>
      </c>
      <c r="L5170" s="127"/>
      <c r="M5170" s="128">
        <v>612748</v>
      </c>
      <c r="N5170" s="108"/>
      <c r="O5170" s="19" t="s">
        <v>4332</v>
      </c>
      <c r="P5170" s="20" t="s">
        <v>4326</v>
      </c>
      <c r="Q5170" s="19">
        <v>1398</v>
      </c>
    </row>
    <row r="5171" spans="1:17" ht="24.9" customHeight="1">
      <c r="A5171" s="20"/>
      <c r="B5171" s="20" t="s">
        <v>5101</v>
      </c>
      <c r="C5171" s="20"/>
      <c r="D5171" s="20" t="s">
        <v>4325</v>
      </c>
      <c r="E5171" s="19">
        <f>VLOOKUP(D5171,'لیست پرسنل'!$B$2:$E$1020,3,FALSE)</f>
        <v>0</v>
      </c>
      <c r="F5171" s="19">
        <f>VLOOKUP(D5171,'لیست پرسنل'!$B$2:$E$1020,4,FALSE)</f>
        <v>0</v>
      </c>
      <c r="G5171" s="127">
        <f>VLOOKUP(D5171,'لیست پرسنل'!$B$2:$F$1020,2,FALSE)</f>
        <v>0</v>
      </c>
      <c r="H5171" s="126" t="s">
        <v>4325</v>
      </c>
      <c r="I5171" s="128" t="s">
        <v>4325</v>
      </c>
      <c r="J5171" s="128" t="s">
        <v>4331</v>
      </c>
      <c r="K5171" s="128" t="s">
        <v>3344</v>
      </c>
      <c r="L5171" s="127" t="s">
        <v>2681</v>
      </c>
      <c r="M5171" s="127">
        <v>609089</v>
      </c>
      <c r="N5171" s="108"/>
      <c r="O5171" s="19"/>
      <c r="P5171" s="20" t="s">
        <v>4326</v>
      </c>
      <c r="Q5171" s="19" t="s">
        <v>4327</v>
      </c>
    </row>
    <row r="5172" spans="1:17" ht="24.9" customHeight="1">
      <c r="A5172" s="20"/>
      <c r="B5172" s="20" t="s">
        <v>5101</v>
      </c>
      <c r="C5172" s="20"/>
      <c r="D5172" s="20" t="s">
        <v>4325</v>
      </c>
      <c r="E5172" s="19">
        <f>VLOOKUP(D5172,'لیست پرسنل'!$B$2:$E$1020,3,FALSE)</f>
        <v>0</v>
      </c>
      <c r="F5172" s="19">
        <f>VLOOKUP(D5172,'لیست پرسنل'!$B$2:$E$1020,4,FALSE)</f>
        <v>0</v>
      </c>
      <c r="G5172" s="127">
        <f>VLOOKUP(D5172,'لیست پرسنل'!$B$2:$F$1020,2,FALSE)</f>
        <v>0</v>
      </c>
      <c r="H5172" s="126" t="s">
        <v>4325</v>
      </c>
      <c r="I5172" s="128" t="s">
        <v>4325</v>
      </c>
      <c r="J5172" s="128" t="s">
        <v>4331</v>
      </c>
      <c r="K5172" s="128" t="s">
        <v>1543</v>
      </c>
      <c r="L5172" s="127"/>
      <c r="M5172" s="128">
        <v>611060</v>
      </c>
      <c r="N5172" s="108"/>
      <c r="O5172" s="19" t="s">
        <v>4332</v>
      </c>
      <c r="P5172" s="20" t="s">
        <v>4326</v>
      </c>
      <c r="Q5172" s="19">
        <v>1398</v>
      </c>
    </row>
    <row r="5173" spans="1:17" ht="24.9" customHeight="1">
      <c r="A5173" s="20"/>
      <c r="B5173" s="20" t="s">
        <v>5101</v>
      </c>
      <c r="C5173" s="20"/>
      <c r="D5173" s="20" t="s">
        <v>4325</v>
      </c>
      <c r="E5173" s="19">
        <f>VLOOKUP(D5173,'لیست پرسنل'!$B$2:$E$1020,3,FALSE)</f>
        <v>0</v>
      </c>
      <c r="F5173" s="19">
        <f>VLOOKUP(D5173,'لیست پرسنل'!$B$2:$E$1020,4,FALSE)</f>
        <v>0</v>
      </c>
      <c r="G5173" s="127">
        <f>VLOOKUP(D5173,'لیست پرسنل'!$B$2:$F$1020,2,FALSE)</f>
        <v>0</v>
      </c>
      <c r="H5173" s="126" t="s">
        <v>4325</v>
      </c>
      <c r="I5173" s="128" t="s">
        <v>4325</v>
      </c>
      <c r="J5173" s="128" t="s">
        <v>4331</v>
      </c>
      <c r="K5173" s="128" t="s">
        <v>1543</v>
      </c>
      <c r="L5173" s="127"/>
      <c r="M5173" s="128">
        <v>612702</v>
      </c>
      <c r="N5173" s="108"/>
      <c r="O5173" s="19" t="s">
        <v>4332</v>
      </c>
      <c r="P5173" s="20" t="s">
        <v>4326</v>
      </c>
      <c r="Q5173" s="19">
        <v>1398</v>
      </c>
    </row>
    <row r="5174" spans="1:17" ht="24.9" customHeight="1">
      <c r="A5174" s="20"/>
      <c r="B5174" s="20" t="s">
        <v>5101</v>
      </c>
      <c r="C5174" s="20"/>
      <c r="D5174" s="20" t="s">
        <v>4325</v>
      </c>
      <c r="E5174" s="19">
        <f>VLOOKUP(D5174,'لیست پرسنل'!$B$2:$E$1020,3,FALSE)</f>
        <v>0</v>
      </c>
      <c r="F5174" s="19">
        <f>VLOOKUP(D5174,'لیست پرسنل'!$B$2:$E$1020,4,FALSE)</f>
        <v>0</v>
      </c>
      <c r="G5174" s="127">
        <f>VLOOKUP(D5174,'لیست پرسنل'!$B$2:$F$1020,2,FALSE)</f>
        <v>0</v>
      </c>
      <c r="H5174" s="126" t="s">
        <v>4325</v>
      </c>
      <c r="I5174" s="128" t="s">
        <v>4325</v>
      </c>
      <c r="J5174" s="128" t="s">
        <v>4331</v>
      </c>
      <c r="K5174" s="128" t="s">
        <v>1538</v>
      </c>
      <c r="L5174" s="127"/>
      <c r="M5174" s="128">
        <v>613410</v>
      </c>
      <c r="N5174" s="108"/>
      <c r="O5174" s="19" t="s">
        <v>4332</v>
      </c>
      <c r="P5174" s="20" t="s">
        <v>4326</v>
      </c>
      <c r="Q5174" s="19">
        <v>1398</v>
      </c>
    </row>
    <row r="5175" spans="1:17" ht="24.9" customHeight="1">
      <c r="A5175" s="20"/>
      <c r="B5175" s="20" t="s">
        <v>5101</v>
      </c>
      <c r="C5175" s="20"/>
      <c r="D5175" s="20" t="s">
        <v>4325</v>
      </c>
      <c r="E5175" s="19">
        <f>VLOOKUP(D5175,'لیست پرسنل'!$B$2:$E$1020,3,FALSE)</f>
        <v>0</v>
      </c>
      <c r="F5175" s="19">
        <f>VLOOKUP(D5175,'لیست پرسنل'!$B$2:$E$1020,4,FALSE)</f>
        <v>0</v>
      </c>
      <c r="G5175" s="127">
        <f>VLOOKUP(D5175,'لیست پرسنل'!$B$2:$F$1020,2,FALSE)</f>
        <v>0</v>
      </c>
      <c r="H5175" s="128" t="s">
        <v>6031</v>
      </c>
      <c r="I5175" s="151" t="s">
        <v>4325</v>
      </c>
      <c r="J5175" s="127" t="s">
        <v>3854</v>
      </c>
      <c r="K5175" s="127" t="s">
        <v>6021</v>
      </c>
      <c r="L5175" s="127"/>
      <c r="M5175" s="128">
        <v>611973</v>
      </c>
      <c r="N5175" s="109"/>
      <c r="O5175" s="19" t="s">
        <v>6032</v>
      </c>
      <c r="P5175" s="20" t="s">
        <v>5228</v>
      </c>
      <c r="Q5175" s="20" t="s">
        <v>6026</v>
      </c>
    </row>
    <row r="5176" spans="1:17" ht="24.9" customHeight="1">
      <c r="A5176" s="20"/>
      <c r="B5176" s="20" t="s">
        <v>5101</v>
      </c>
      <c r="C5176" s="20"/>
      <c r="D5176" s="20" t="s">
        <v>4325</v>
      </c>
      <c r="E5176" s="19">
        <f>VLOOKUP(D5176,'لیست پرسنل'!$B$2:$E$1020,3,FALSE)</f>
        <v>0</v>
      </c>
      <c r="F5176" s="19">
        <f>VLOOKUP(D5176,'لیست پرسنل'!$B$2:$E$1020,4,FALSE)</f>
        <v>0</v>
      </c>
      <c r="G5176" s="127">
        <f>VLOOKUP(D5176,'لیست پرسنل'!$B$2:$F$1020,2,FALSE)</f>
        <v>0</v>
      </c>
      <c r="H5176" s="128" t="s">
        <v>6031</v>
      </c>
      <c r="I5176" s="151" t="s">
        <v>4325</v>
      </c>
      <c r="J5176" s="127" t="s">
        <v>737</v>
      </c>
      <c r="K5176" s="127" t="s">
        <v>6015</v>
      </c>
      <c r="L5176" s="127"/>
      <c r="M5176" s="128">
        <v>600253</v>
      </c>
      <c r="N5176" s="109"/>
      <c r="O5176" s="19" t="s">
        <v>6032</v>
      </c>
      <c r="P5176" s="20" t="s">
        <v>5228</v>
      </c>
      <c r="Q5176" s="20" t="s">
        <v>6026</v>
      </c>
    </row>
    <row r="5177" spans="1:17" ht="24.9" customHeight="1">
      <c r="A5177" s="20"/>
      <c r="B5177" s="20" t="s">
        <v>5101</v>
      </c>
      <c r="C5177" s="20"/>
      <c r="D5177" s="20" t="s">
        <v>4325</v>
      </c>
      <c r="E5177" s="19">
        <f>VLOOKUP(D5177,'لیست پرسنل'!$B$2:$E$1020,3,FALSE)</f>
        <v>0</v>
      </c>
      <c r="F5177" s="19">
        <f>VLOOKUP(D5177,'لیست پرسنل'!$B$2:$E$1020,4,FALSE)</f>
        <v>0</v>
      </c>
      <c r="G5177" s="127">
        <f>VLOOKUP(D5177,'لیست پرسنل'!$B$2:$F$1020,2,FALSE)</f>
        <v>0</v>
      </c>
      <c r="H5177" s="128" t="s">
        <v>6031</v>
      </c>
      <c r="I5177" s="151" t="s">
        <v>4325</v>
      </c>
      <c r="J5177" s="127" t="s">
        <v>5366</v>
      </c>
      <c r="K5177" s="127" t="s">
        <v>8247</v>
      </c>
      <c r="L5177" s="127"/>
      <c r="M5177" s="128">
        <v>616265</v>
      </c>
      <c r="N5177" s="109"/>
      <c r="O5177" s="19" t="s">
        <v>6032</v>
      </c>
      <c r="P5177" s="20" t="s">
        <v>5228</v>
      </c>
      <c r="Q5177" s="20" t="s">
        <v>6026</v>
      </c>
    </row>
    <row r="5178" spans="1:17" ht="24.9" customHeight="1">
      <c r="A5178" s="20"/>
      <c r="B5178" s="20" t="s">
        <v>5101</v>
      </c>
      <c r="C5178" s="20"/>
      <c r="D5178" s="20" t="s">
        <v>4325</v>
      </c>
      <c r="E5178" s="19">
        <f>VLOOKUP(D5178,'لیست پرسنل'!$B$2:$E$1020,3,FALSE)</f>
        <v>0</v>
      </c>
      <c r="F5178" s="19">
        <f>VLOOKUP(D5178,'لیست پرسنل'!$B$2:$E$1020,4,FALSE)</f>
        <v>0</v>
      </c>
      <c r="G5178" s="127">
        <f>VLOOKUP(D5178,'لیست پرسنل'!$B$2:$F$1020,2,FALSE)</f>
        <v>0</v>
      </c>
      <c r="H5178" s="128" t="s">
        <v>6031</v>
      </c>
      <c r="I5178" s="151" t="s">
        <v>4325</v>
      </c>
      <c r="J5178" s="127" t="s">
        <v>6024</v>
      </c>
      <c r="K5178" s="127" t="s">
        <v>6024</v>
      </c>
      <c r="L5178" s="127"/>
      <c r="M5178" s="128">
        <v>617456</v>
      </c>
      <c r="N5178" s="109"/>
      <c r="O5178" s="19" t="s">
        <v>6032</v>
      </c>
      <c r="P5178" s="20" t="s">
        <v>5228</v>
      </c>
      <c r="Q5178" s="20" t="s">
        <v>6026</v>
      </c>
    </row>
    <row r="5179" spans="1:17" ht="24.9" customHeight="1">
      <c r="A5179" s="20"/>
      <c r="B5179" s="20" t="s">
        <v>5101</v>
      </c>
      <c r="C5179" s="20"/>
      <c r="D5179" s="20" t="s">
        <v>4325</v>
      </c>
      <c r="E5179" s="19">
        <f>VLOOKUP(D5179,'لیست پرسنل'!$B$2:$E$1020,3,FALSE)</f>
        <v>0</v>
      </c>
      <c r="F5179" s="19">
        <f>VLOOKUP(D5179,'لیست پرسنل'!$B$2:$E$1020,4,FALSE)</f>
        <v>0</v>
      </c>
      <c r="G5179" s="127">
        <f>VLOOKUP(D5179,'لیست پرسنل'!$B$2:$F$1020,2,FALSE)</f>
        <v>0</v>
      </c>
      <c r="H5179" s="128" t="s">
        <v>6031</v>
      </c>
      <c r="I5179" s="151" t="s">
        <v>4325</v>
      </c>
      <c r="J5179" s="127" t="s">
        <v>6017</v>
      </c>
      <c r="K5179" s="127" t="s">
        <v>6017</v>
      </c>
      <c r="L5179" s="127"/>
      <c r="M5179" s="128">
        <v>603234</v>
      </c>
      <c r="N5179" s="109"/>
      <c r="O5179" s="19" t="s">
        <v>6032</v>
      </c>
      <c r="P5179" s="20" t="s">
        <v>5228</v>
      </c>
      <c r="Q5179" s="20" t="s">
        <v>6026</v>
      </c>
    </row>
    <row r="5180" spans="1:17" ht="24.9" customHeight="1">
      <c r="A5180" s="20"/>
      <c r="B5180" s="20" t="s">
        <v>5101</v>
      </c>
      <c r="C5180" s="20"/>
      <c r="D5180" s="20" t="s">
        <v>4325</v>
      </c>
      <c r="E5180" s="19">
        <f>VLOOKUP(D5180,'لیست پرسنل'!$B$2:$E$1020,3,FALSE)</f>
        <v>0</v>
      </c>
      <c r="F5180" s="19">
        <f>VLOOKUP(D5180,'لیست پرسنل'!$B$2:$E$1020,4,FALSE)</f>
        <v>0</v>
      </c>
      <c r="G5180" s="127">
        <f>VLOOKUP(D5180,'لیست پرسنل'!$B$2:$F$1020,2,FALSE)</f>
        <v>0</v>
      </c>
      <c r="H5180" s="128" t="s">
        <v>6031</v>
      </c>
      <c r="I5180" s="151" t="s">
        <v>4325</v>
      </c>
      <c r="J5180" s="128" t="s">
        <v>3938</v>
      </c>
      <c r="K5180" s="127" t="s">
        <v>6018</v>
      </c>
      <c r="L5180" s="127"/>
      <c r="M5180" s="128">
        <v>610129</v>
      </c>
      <c r="N5180" s="109"/>
      <c r="O5180" s="19" t="s">
        <v>6032</v>
      </c>
      <c r="P5180" s="20" t="s">
        <v>5228</v>
      </c>
      <c r="Q5180" s="20" t="s">
        <v>6026</v>
      </c>
    </row>
    <row r="5181" spans="1:17" ht="24.9" customHeight="1">
      <c r="A5181" s="20"/>
      <c r="B5181" s="20" t="s">
        <v>5101</v>
      </c>
      <c r="C5181" s="20"/>
      <c r="D5181" s="20" t="s">
        <v>4325</v>
      </c>
      <c r="E5181" s="19">
        <f>VLOOKUP(D5181,'لیست پرسنل'!$B$2:$E$1020,3,FALSE)</f>
        <v>0</v>
      </c>
      <c r="F5181" s="19">
        <f>VLOOKUP(D5181,'لیست پرسنل'!$B$2:$E$1020,4,FALSE)</f>
        <v>0</v>
      </c>
      <c r="G5181" s="127">
        <f>VLOOKUP(D5181,'لیست پرسنل'!$B$2:$F$1020,2,FALSE)</f>
        <v>0</v>
      </c>
      <c r="H5181" s="128" t="s">
        <v>6031</v>
      </c>
      <c r="I5181" s="151" t="s">
        <v>4325</v>
      </c>
      <c r="J5181" s="127" t="s">
        <v>3480</v>
      </c>
      <c r="K5181" s="127" t="s">
        <v>6022</v>
      </c>
      <c r="L5181" s="127"/>
      <c r="M5181" s="128">
        <v>615582</v>
      </c>
      <c r="N5181" s="109"/>
      <c r="O5181" s="19" t="s">
        <v>6032</v>
      </c>
      <c r="P5181" s="20" t="s">
        <v>5228</v>
      </c>
      <c r="Q5181" s="20" t="s">
        <v>6026</v>
      </c>
    </row>
    <row r="5182" spans="1:17" ht="24.9" customHeight="1">
      <c r="A5182" s="20"/>
      <c r="B5182" s="20" t="s">
        <v>5101</v>
      </c>
      <c r="C5182" s="20"/>
      <c r="D5182" s="20" t="s">
        <v>4325</v>
      </c>
      <c r="E5182" s="19">
        <f>VLOOKUP(D5182,'لیست پرسنل'!$B$2:$E$1020,3,FALSE)</f>
        <v>0</v>
      </c>
      <c r="F5182" s="19">
        <f>VLOOKUP(D5182,'لیست پرسنل'!$B$2:$E$1020,4,FALSE)</f>
        <v>0</v>
      </c>
      <c r="G5182" s="127">
        <f>VLOOKUP(D5182,'لیست پرسنل'!$B$2:$F$1020,2,FALSE)</f>
        <v>0</v>
      </c>
      <c r="H5182" s="128" t="s">
        <v>6031</v>
      </c>
      <c r="I5182" s="151" t="s">
        <v>4325</v>
      </c>
      <c r="J5182" s="127" t="s">
        <v>3480</v>
      </c>
      <c r="K5182" s="127" t="s">
        <v>6022</v>
      </c>
      <c r="L5182" s="127"/>
      <c r="M5182" s="128">
        <v>615587</v>
      </c>
      <c r="N5182" s="109"/>
      <c r="O5182" s="19" t="s">
        <v>6032</v>
      </c>
      <c r="P5182" s="20" t="s">
        <v>5228</v>
      </c>
      <c r="Q5182" s="20" t="s">
        <v>6026</v>
      </c>
    </row>
    <row r="5183" spans="1:17" ht="24.9" customHeight="1">
      <c r="A5183" s="20"/>
      <c r="B5183" s="20" t="s">
        <v>5101</v>
      </c>
      <c r="C5183" s="20"/>
      <c r="D5183" s="20" t="s">
        <v>4325</v>
      </c>
      <c r="E5183" s="19">
        <f>VLOOKUP(D5183,'لیست پرسنل'!$B$2:$E$1020,3,FALSE)</f>
        <v>0</v>
      </c>
      <c r="F5183" s="19">
        <f>VLOOKUP(D5183,'لیست پرسنل'!$B$2:$E$1020,4,FALSE)</f>
        <v>0</v>
      </c>
      <c r="G5183" s="127">
        <f>VLOOKUP(D5183,'لیست پرسنل'!$B$2:$F$1020,2,FALSE)</f>
        <v>0</v>
      </c>
      <c r="H5183" s="128" t="s">
        <v>6031</v>
      </c>
      <c r="I5183" s="151" t="s">
        <v>4325</v>
      </c>
      <c r="J5183" s="127" t="s">
        <v>3480</v>
      </c>
      <c r="K5183" s="127" t="s">
        <v>6022</v>
      </c>
      <c r="L5183" s="127"/>
      <c r="M5183" s="128">
        <v>615588</v>
      </c>
      <c r="N5183" s="109"/>
      <c r="O5183" s="19" t="s">
        <v>6032</v>
      </c>
      <c r="P5183" s="20" t="s">
        <v>5228</v>
      </c>
      <c r="Q5183" s="20" t="s">
        <v>6026</v>
      </c>
    </row>
    <row r="5184" spans="1:17" ht="24.9" customHeight="1">
      <c r="A5184" s="20"/>
      <c r="B5184" s="20" t="s">
        <v>5101</v>
      </c>
      <c r="C5184" s="20"/>
      <c r="D5184" s="20" t="s">
        <v>4325</v>
      </c>
      <c r="E5184" s="19">
        <f>VLOOKUP(D5184,'لیست پرسنل'!$B$2:$E$1020,3,FALSE)</f>
        <v>0</v>
      </c>
      <c r="F5184" s="19">
        <f>VLOOKUP(D5184,'لیست پرسنل'!$B$2:$E$1020,4,FALSE)</f>
        <v>0</v>
      </c>
      <c r="G5184" s="127">
        <f>VLOOKUP(D5184,'لیست پرسنل'!$B$2:$F$1020,2,FALSE)</f>
        <v>0</v>
      </c>
      <c r="H5184" s="128" t="s">
        <v>6031</v>
      </c>
      <c r="I5184" s="151" t="s">
        <v>4325</v>
      </c>
      <c r="J5184" s="128" t="s">
        <v>885</v>
      </c>
      <c r="K5184" s="127" t="s">
        <v>3480</v>
      </c>
      <c r="L5184" s="127"/>
      <c r="M5184" s="128">
        <v>606815</v>
      </c>
      <c r="N5184" s="109"/>
      <c r="O5184" s="19" t="s">
        <v>6032</v>
      </c>
      <c r="P5184" s="20" t="s">
        <v>5228</v>
      </c>
      <c r="Q5184" s="20" t="s">
        <v>6026</v>
      </c>
    </row>
    <row r="5185" spans="1:17" ht="24.9" customHeight="1">
      <c r="A5185" s="20"/>
      <c r="B5185" s="20" t="s">
        <v>5101</v>
      </c>
      <c r="C5185" s="20"/>
      <c r="D5185" s="20" t="s">
        <v>4325</v>
      </c>
      <c r="E5185" s="19">
        <f>VLOOKUP(D5185,'لیست پرسنل'!$B$2:$E$1020,3,FALSE)</f>
        <v>0</v>
      </c>
      <c r="F5185" s="19">
        <f>VLOOKUP(D5185,'لیست پرسنل'!$B$2:$E$1020,4,FALSE)</f>
        <v>0</v>
      </c>
      <c r="G5185" s="127">
        <f>VLOOKUP(D5185,'لیست پرسنل'!$B$2:$F$1020,2,FALSE)</f>
        <v>0</v>
      </c>
      <c r="H5185" s="128" t="s">
        <v>6031</v>
      </c>
      <c r="I5185" s="151" t="s">
        <v>4325</v>
      </c>
      <c r="J5185" s="128" t="s">
        <v>885</v>
      </c>
      <c r="K5185" s="127" t="s">
        <v>3480</v>
      </c>
      <c r="L5185" s="127"/>
      <c r="M5185" s="128">
        <v>613268</v>
      </c>
      <c r="N5185" s="109"/>
      <c r="O5185" s="19" t="s">
        <v>6032</v>
      </c>
      <c r="P5185" s="20" t="s">
        <v>5228</v>
      </c>
      <c r="Q5185" s="20" t="s">
        <v>6026</v>
      </c>
    </row>
    <row r="5186" spans="1:17" ht="24.9" customHeight="1">
      <c r="A5186" s="20"/>
      <c r="B5186" s="20" t="s">
        <v>5101</v>
      </c>
      <c r="C5186" s="20"/>
      <c r="D5186" s="20" t="s">
        <v>4325</v>
      </c>
      <c r="E5186" s="19">
        <f>VLOOKUP(D5186,'لیست پرسنل'!$B$2:$E$1020,3,FALSE)</f>
        <v>0</v>
      </c>
      <c r="F5186" s="19">
        <f>VLOOKUP(D5186,'لیست پرسنل'!$B$2:$E$1020,4,FALSE)</f>
        <v>0</v>
      </c>
      <c r="G5186" s="127">
        <f>VLOOKUP(D5186,'لیست پرسنل'!$B$2:$F$1020,2,FALSE)</f>
        <v>0</v>
      </c>
      <c r="H5186" s="128" t="s">
        <v>6031</v>
      </c>
      <c r="I5186" s="151" t="s">
        <v>4325</v>
      </c>
      <c r="J5186" s="127" t="s">
        <v>6023</v>
      </c>
      <c r="K5186" s="127" t="s">
        <v>6023</v>
      </c>
      <c r="L5186" s="127"/>
      <c r="M5186" s="128">
        <v>616827</v>
      </c>
      <c r="N5186" s="109"/>
      <c r="O5186" s="19" t="s">
        <v>6032</v>
      </c>
      <c r="P5186" s="20" t="s">
        <v>5228</v>
      </c>
      <c r="Q5186" s="20" t="s">
        <v>6026</v>
      </c>
    </row>
    <row r="5187" spans="1:17" ht="24.9" customHeight="1">
      <c r="A5187" s="20"/>
      <c r="B5187" s="20" t="s">
        <v>5101</v>
      </c>
      <c r="C5187" s="20"/>
      <c r="D5187" s="20" t="s">
        <v>4325</v>
      </c>
      <c r="E5187" s="19">
        <f>VLOOKUP(D5187,'لیست پرسنل'!$B$2:$E$1020,3,FALSE)</f>
        <v>0</v>
      </c>
      <c r="F5187" s="19">
        <f>VLOOKUP(D5187,'لیست پرسنل'!$B$2:$E$1020,4,FALSE)</f>
        <v>0</v>
      </c>
      <c r="G5187" s="127">
        <f>VLOOKUP(D5187,'لیست پرسنل'!$B$2:$F$1020,2,FALSE)</f>
        <v>0</v>
      </c>
      <c r="H5187" s="128" t="s">
        <v>6031</v>
      </c>
      <c r="I5187" s="151" t="s">
        <v>4325</v>
      </c>
      <c r="J5187" s="127" t="s">
        <v>3506</v>
      </c>
      <c r="K5187" s="127" t="s">
        <v>6020</v>
      </c>
      <c r="L5187" s="127"/>
      <c r="M5187" s="128">
        <v>610834</v>
      </c>
      <c r="N5187" s="109"/>
      <c r="O5187" s="19" t="s">
        <v>6032</v>
      </c>
      <c r="P5187" s="20" t="s">
        <v>5228</v>
      </c>
      <c r="Q5187" s="20" t="s">
        <v>6026</v>
      </c>
    </row>
    <row r="5188" spans="1:17" ht="24.9" customHeight="1">
      <c r="A5188" s="20"/>
      <c r="B5188" s="20" t="s">
        <v>5101</v>
      </c>
      <c r="C5188" s="20"/>
      <c r="D5188" s="20" t="s">
        <v>4325</v>
      </c>
      <c r="E5188" s="19">
        <f>VLOOKUP(D5188,'لیست پرسنل'!$B$2:$E$1020,3,FALSE)</f>
        <v>0</v>
      </c>
      <c r="F5188" s="19">
        <f>VLOOKUP(D5188,'لیست پرسنل'!$B$2:$E$1020,4,FALSE)</f>
        <v>0</v>
      </c>
      <c r="G5188" s="127">
        <f>VLOOKUP(D5188,'لیست پرسنل'!$B$2:$F$1020,2,FALSE)</f>
        <v>0</v>
      </c>
      <c r="H5188" s="128" t="s">
        <v>6031</v>
      </c>
      <c r="I5188" s="151" t="s">
        <v>4325</v>
      </c>
      <c r="J5188" s="127" t="s">
        <v>3506</v>
      </c>
      <c r="K5188" s="127" t="s">
        <v>6020</v>
      </c>
      <c r="L5188" s="127"/>
      <c r="M5188" s="128">
        <v>610837</v>
      </c>
      <c r="N5188" s="109"/>
      <c r="O5188" s="19" t="s">
        <v>6032</v>
      </c>
      <c r="P5188" s="20" t="s">
        <v>5228</v>
      </c>
      <c r="Q5188" s="20" t="s">
        <v>6026</v>
      </c>
    </row>
    <row r="5189" spans="1:17" ht="24.9" customHeight="1">
      <c r="A5189" s="20"/>
      <c r="B5189" s="20" t="s">
        <v>5101</v>
      </c>
      <c r="C5189" s="20"/>
      <c r="D5189" s="20" t="s">
        <v>4325</v>
      </c>
      <c r="E5189" s="19">
        <f>VLOOKUP(D5189,'لیست پرسنل'!$B$2:$E$1020,3,FALSE)</f>
        <v>0</v>
      </c>
      <c r="F5189" s="19">
        <f>VLOOKUP(D5189,'لیست پرسنل'!$B$2:$E$1020,4,FALSE)</f>
        <v>0</v>
      </c>
      <c r="G5189" s="127">
        <f>VLOOKUP(D5189,'لیست پرسنل'!$B$2:$F$1020,2,FALSE)</f>
        <v>0</v>
      </c>
      <c r="H5189" s="128" t="s">
        <v>6031</v>
      </c>
      <c r="I5189" s="151" t="s">
        <v>4325</v>
      </c>
      <c r="J5189" s="127" t="s">
        <v>571</v>
      </c>
      <c r="K5189" s="127" t="s">
        <v>6019</v>
      </c>
      <c r="L5189" s="127"/>
      <c r="M5189" s="128">
        <v>609573</v>
      </c>
      <c r="N5189" s="109"/>
      <c r="O5189" s="19" t="s">
        <v>6032</v>
      </c>
      <c r="P5189" s="20" t="s">
        <v>5228</v>
      </c>
      <c r="Q5189" s="20" t="s">
        <v>6026</v>
      </c>
    </row>
    <row r="5190" spans="1:17" ht="24.9" customHeight="1">
      <c r="A5190" s="20"/>
      <c r="B5190" s="20" t="s">
        <v>5101</v>
      </c>
      <c r="C5190" s="20"/>
      <c r="D5190" s="20" t="s">
        <v>4325</v>
      </c>
      <c r="E5190" s="19">
        <f>VLOOKUP(D5190,'لیست پرسنل'!$B$2:$E$1020,3,FALSE)</f>
        <v>0</v>
      </c>
      <c r="F5190" s="19">
        <f>VLOOKUP(D5190,'لیست پرسنل'!$B$2:$E$1020,4,FALSE)</f>
        <v>0</v>
      </c>
      <c r="G5190" s="127">
        <f>VLOOKUP(D5190,'لیست پرسنل'!$B$2:$F$1020,2,FALSE)</f>
        <v>0</v>
      </c>
      <c r="H5190" s="128" t="s">
        <v>6031</v>
      </c>
      <c r="I5190" s="151" t="s">
        <v>4325</v>
      </c>
      <c r="J5190" s="127" t="s">
        <v>571</v>
      </c>
      <c r="K5190" s="127" t="s">
        <v>6019</v>
      </c>
      <c r="L5190" s="127"/>
      <c r="M5190" s="128">
        <v>611431</v>
      </c>
      <c r="N5190" s="109"/>
      <c r="O5190" s="19" t="s">
        <v>6032</v>
      </c>
      <c r="P5190" s="20" t="s">
        <v>5228</v>
      </c>
      <c r="Q5190" s="20" t="s">
        <v>6026</v>
      </c>
    </row>
    <row r="5191" spans="1:17" ht="24.9" customHeight="1">
      <c r="A5191" s="20"/>
      <c r="B5191" s="20" t="s">
        <v>5101</v>
      </c>
      <c r="C5191" s="20"/>
      <c r="D5191" s="20" t="s">
        <v>4325</v>
      </c>
      <c r="E5191" s="19">
        <f>VLOOKUP(D5191,'لیست پرسنل'!$B$2:$E$1020,3,FALSE)</f>
        <v>0</v>
      </c>
      <c r="F5191" s="19">
        <f>VLOOKUP(D5191,'لیست پرسنل'!$B$2:$E$1020,4,FALSE)</f>
        <v>0</v>
      </c>
      <c r="G5191" s="127">
        <f>VLOOKUP(D5191,'لیست پرسنل'!$B$2:$F$1020,2,FALSE)</f>
        <v>0</v>
      </c>
      <c r="H5191" s="128" t="s">
        <v>6031</v>
      </c>
      <c r="I5191" s="151" t="s">
        <v>4325</v>
      </c>
      <c r="J5191" s="127" t="s">
        <v>571</v>
      </c>
      <c r="K5191" s="127" t="s">
        <v>6019</v>
      </c>
      <c r="L5191" s="127"/>
      <c r="M5191" s="128">
        <v>617923</v>
      </c>
      <c r="N5191" s="109"/>
      <c r="O5191" s="19" t="s">
        <v>6032</v>
      </c>
      <c r="P5191" s="20" t="s">
        <v>5228</v>
      </c>
      <c r="Q5191" s="20" t="s">
        <v>6026</v>
      </c>
    </row>
    <row r="5192" spans="1:17" ht="24.9" customHeight="1">
      <c r="A5192" s="20"/>
      <c r="B5192" s="20" t="s">
        <v>5101</v>
      </c>
      <c r="C5192" s="20"/>
      <c r="D5192" s="20" t="s">
        <v>4325</v>
      </c>
      <c r="E5192" s="19">
        <f>VLOOKUP(D5192,'لیست پرسنل'!$B$2:$E$1020,3,FALSE)</f>
        <v>0</v>
      </c>
      <c r="F5192" s="19">
        <f>VLOOKUP(D5192,'لیست پرسنل'!$B$2:$E$1020,4,FALSE)</f>
        <v>0</v>
      </c>
      <c r="G5192" s="127">
        <f>VLOOKUP(D5192,'لیست پرسنل'!$B$2:$F$1020,2,FALSE)</f>
        <v>0</v>
      </c>
      <c r="H5192" s="128" t="s">
        <v>6031</v>
      </c>
      <c r="I5192" s="151" t="s">
        <v>4325</v>
      </c>
      <c r="J5192" s="127" t="s">
        <v>571</v>
      </c>
      <c r="K5192" s="127" t="s">
        <v>6019</v>
      </c>
      <c r="L5192" s="127"/>
      <c r="M5192" s="128">
        <v>617927</v>
      </c>
      <c r="N5192" s="109"/>
      <c r="O5192" s="19" t="s">
        <v>6032</v>
      </c>
      <c r="P5192" s="20" t="s">
        <v>5228</v>
      </c>
      <c r="Q5192" s="20" t="s">
        <v>6026</v>
      </c>
    </row>
    <row r="5193" spans="1:17" ht="24.9" customHeight="1">
      <c r="A5193" s="20"/>
      <c r="B5193" s="20" t="s">
        <v>5101</v>
      </c>
      <c r="C5193" s="20"/>
      <c r="D5193" s="20" t="s">
        <v>4325</v>
      </c>
      <c r="E5193" s="19">
        <f>VLOOKUP(D5193,'لیست پرسنل'!$B$2:$E$1020,3,FALSE)</f>
        <v>0</v>
      </c>
      <c r="F5193" s="19">
        <f>VLOOKUP(D5193,'لیست پرسنل'!$B$2:$E$1020,4,FALSE)</f>
        <v>0</v>
      </c>
      <c r="G5193" s="127">
        <f>VLOOKUP(D5193,'لیست پرسنل'!$B$2:$F$1020,2,FALSE)</f>
        <v>0</v>
      </c>
      <c r="H5193" s="128" t="s">
        <v>6031</v>
      </c>
      <c r="I5193" s="151" t="s">
        <v>4325</v>
      </c>
      <c r="J5193" s="127" t="s">
        <v>571</v>
      </c>
      <c r="K5193" s="127" t="s">
        <v>6025</v>
      </c>
      <c r="L5193" s="127"/>
      <c r="M5193" s="128">
        <v>618424</v>
      </c>
      <c r="N5193" s="109"/>
      <c r="O5193" s="19" t="s">
        <v>6032</v>
      </c>
      <c r="P5193" s="20" t="s">
        <v>5228</v>
      </c>
      <c r="Q5193" s="20" t="s">
        <v>6026</v>
      </c>
    </row>
    <row r="5194" spans="1:17" ht="24.9" customHeight="1">
      <c r="A5194" s="20"/>
      <c r="B5194" s="20" t="s">
        <v>5101</v>
      </c>
      <c r="C5194" s="20"/>
      <c r="D5194" s="20" t="s">
        <v>4325</v>
      </c>
      <c r="E5194" s="19">
        <f>VLOOKUP(D5194,'لیست پرسنل'!$B$2:$E$1020,3,FALSE)</f>
        <v>0</v>
      </c>
      <c r="F5194" s="19">
        <f>VLOOKUP(D5194,'لیست پرسنل'!$B$2:$E$1020,4,FALSE)</f>
        <v>0</v>
      </c>
      <c r="G5194" s="127">
        <f>VLOOKUP(D5194,'لیست پرسنل'!$B$2:$F$1020,2,FALSE)</f>
        <v>0</v>
      </c>
      <c r="H5194" s="128" t="s">
        <v>6031</v>
      </c>
      <c r="I5194" s="151" t="s">
        <v>4325</v>
      </c>
      <c r="J5194" s="127" t="s">
        <v>2686</v>
      </c>
      <c r="K5194" s="127" t="s">
        <v>6016</v>
      </c>
      <c r="L5194" s="127"/>
      <c r="M5194" s="128">
        <v>602435</v>
      </c>
      <c r="N5194" s="109"/>
      <c r="O5194" s="19" t="s">
        <v>6032</v>
      </c>
      <c r="P5194" s="20" t="s">
        <v>5228</v>
      </c>
      <c r="Q5194" s="20" t="s">
        <v>6026</v>
      </c>
    </row>
    <row r="5195" spans="1:17" ht="24.9" customHeight="1">
      <c r="A5195" s="20"/>
      <c r="B5195" s="20" t="s">
        <v>5101</v>
      </c>
      <c r="C5195" s="20"/>
      <c r="D5195" s="20" t="s">
        <v>4325</v>
      </c>
      <c r="E5195" s="19">
        <f>VLOOKUP(D5195,'لیست پرسنل'!$B$2:$E$1020,3,FALSE)</f>
        <v>0</v>
      </c>
      <c r="F5195" s="19">
        <f>VLOOKUP(D5195,'لیست پرسنل'!$B$2:$E$1020,4,FALSE)</f>
        <v>0</v>
      </c>
      <c r="G5195" s="127">
        <f>VLOOKUP(D5195,'لیست پرسنل'!$B$2:$F$1020,2,FALSE)</f>
        <v>0</v>
      </c>
      <c r="H5195" s="128" t="s">
        <v>6031</v>
      </c>
      <c r="I5195" s="151" t="s">
        <v>4325</v>
      </c>
      <c r="J5195" s="127" t="s">
        <v>2686</v>
      </c>
      <c r="K5195" s="127" t="s">
        <v>6016</v>
      </c>
      <c r="L5195" s="127"/>
      <c r="M5195" s="128">
        <v>608125</v>
      </c>
      <c r="N5195" s="109"/>
      <c r="O5195" s="19" t="s">
        <v>6032</v>
      </c>
      <c r="P5195" s="20" t="s">
        <v>5228</v>
      </c>
      <c r="Q5195" s="20" t="s">
        <v>6026</v>
      </c>
    </row>
    <row r="5196" spans="1:17" ht="24.9" customHeight="1">
      <c r="A5196" s="20"/>
      <c r="B5196" s="20" t="s">
        <v>5101</v>
      </c>
      <c r="C5196" s="20"/>
      <c r="D5196" s="19" t="s">
        <v>4325</v>
      </c>
      <c r="E5196" s="19">
        <f>VLOOKUP(D5196,'لیست پرسنل'!$B$2:$E$1020,3,FALSE)</f>
        <v>0</v>
      </c>
      <c r="F5196" s="19">
        <f>VLOOKUP(D5196,'لیست پرسنل'!$B$2:$E$1020,4,FALSE)</f>
        <v>0</v>
      </c>
      <c r="G5196" s="127">
        <f>VLOOKUP(D5196,'لیست پرسنل'!$B$2:$F$1020,2,FALSE)</f>
        <v>0</v>
      </c>
      <c r="H5196" s="127" t="s">
        <v>6192</v>
      </c>
      <c r="I5196" s="128" t="s">
        <v>4325</v>
      </c>
      <c r="J5196" s="126" t="s">
        <v>3476</v>
      </c>
      <c r="K5196" s="128" t="s">
        <v>7166</v>
      </c>
      <c r="L5196" s="128"/>
      <c r="M5196" s="127">
        <v>632880</v>
      </c>
      <c r="N5196" s="108"/>
      <c r="O5196" s="19" t="s">
        <v>6032</v>
      </c>
      <c r="P5196" s="20" t="s">
        <v>5228</v>
      </c>
      <c r="Q5196" s="20"/>
    </row>
    <row r="5197" spans="1:17" ht="24.9" customHeight="1">
      <c r="A5197" s="20"/>
      <c r="B5197" s="20" t="s">
        <v>5101</v>
      </c>
      <c r="C5197" s="19"/>
      <c r="D5197" s="19" t="s">
        <v>4325</v>
      </c>
      <c r="E5197" s="19">
        <f>VLOOKUP(D5197,'لیست پرسنل'!$B$2:$E$1020,3,FALSE)</f>
        <v>0</v>
      </c>
      <c r="F5197" s="19">
        <f>VLOOKUP(D5197,'لیست پرسنل'!$B$2:$E$1020,4,FALSE)</f>
        <v>0</v>
      </c>
      <c r="G5197" s="127">
        <f>VLOOKUP(D5197,'لیست پرسنل'!$B$2:$F$1020,2,FALSE)</f>
        <v>0</v>
      </c>
      <c r="H5197" s="151" t="s">
        <v>5698</v>
      </c>
      <c r="I5197" s="151" t="s">
        <v>4325</v>
      </c>
      <c r="J5197" s="141" t="s">
        <v>571</v>
      </c>
      <c r="K5197" s="126" t="s">
        <v>2214</v>
      </c>
      <c r="L5197" s="159" t="s">
        <v>2918</v>
      </c>
      <c r="M5197" s="127">
        <v>603677</v>
      </c>
      <c r="N5197" s="108"/>
      <c r="O5197" s="31" t="s">
        <v>5696</v>
      </c>
      <c r="P5197" s="20" t="s">
        <v>5697</v>
      </c>
      <c r="Q5197" s="20" t="s">
        <v>6028</v>
      </c>
    </row>
    <row r="5198" spans="1:17" ht="24.9" customHeight="1">
      <c r="A5198" s="20"/>
      <c r="B5198" s="20" t="s">
        <v>5101</v>
      </c>
      <c r="C5198" s="19"/>
      <c r="D5198" s="19" t="s">
        <v>4325</v>
      </c>
      <c r="E5198" s="19">
        <f>VLOOKUP(D5198,'لیست پرسنل'!$B$2:$E$1020,3,FALSE)</f>
        <v>0</v>
      </c>
      <c r="F5198" s="19">
        <f>VLOOKUP(D5198,'لیست پرسنل'!$B$2:$E$1020,4,FALSE)</f>
        <v>0</v>
      </c>
      <c r="G5198" s="127">
        <f>VLOOKUP(D5198,'لیست پرسنل'!$B$2:$F$1020,2,FALSE)</f>
        <v>0</v>
      </c>
      <c r="H5198" s="151" t="s">
        <v>5698</v>
      </c>
      <c r="I5198" s="151" t="s">
        <v>4325</v>
      </c>
      <c r="J5198" s="128" t="s">
        <v>571</v>
      </c>
      <c r="K5198" s="128" t="s">
        <v>263</v>
      </c>
      <c r="L5198" s="164"/>
      <c r="M5198" s="134">
        <v>605221</v>
      </c>
      <c r="N5198" s="120"/>
      <c r="O5198" s="31" t="s">
        <v>5696</v>
      </c>
      <c r="P5198" s="20" t="s">
        <v>5697</v>
      </c>
      <c r="Q5198" s="20" t="s">
        <v>5055</v>
      </c>
    </row>
    <row r="5199" spans="1:17" ht="24.9" customHeight="1">
      <c r="A5199" s="20"/>
      <c r="B5199" s="20" t="s">
        <v>5101</v>
      </c>
      <c r="C5199" s="19"/>
      <c r="D5199" s="19" t="s">
        <v>4325</v>
      </c>
      <c r="E5199" s="19">
        <f>VLOOKUP(D5199,'لیست پرسنل'!$B$2:$E$1020,3,FALSE)</f>
        <v>0</v>
      </c>
      <c r="F5199" s="19">
        <f>VLOOKUP(D5199,'لیست پرسنل'!$B$2:$E$1020,4,FALSE)</f>
        <v>0</v>
      </c>
      <c r="G5199" s="127">
        <f>VLOOKUP(D5199,'لیست پرسنل'!$B$2:$F$1020,2,FALSE)</f>
        <v>0</v>
      </c>
      <c r="H5199" s="151" t="s">
        <v>5698</v>
      </c>
      <c r="I5199" s="151" t="s">
        <v>4325</v>
      </c>
      <c r="J5199" s="141" t="s">
        <v>571</v>
      </c>
      <c r="K5199" s="131" t="s">
        <v>571</v>
      </c>
      <c r="L5199" s="127" t="s">
        <v>101</v>
      </c>
      <c r="M5199" s="128">
        <v>607051</v>
      </c>
      <c r="N5199" s="108"/>
      <c r="O5199" s="31" t="s">
        <v>5696</v>
      </c>
      <c r="P5199" s="20" t="s">
        <v>5697</v>
      </c>
      <c r="Q5199" s="20" t="s">
        <v>6028</v>
      </c>
    </row>
    <row r="5200" spans="1:17" ht="24.9" customHeight="1">
      <c r="A5200" s="20"/>
      <c r="B5200" s="20" t="s">
        <v>5101</v>
      </c>
      <c r="C5200" s="19"/>
      <c r="D5200" s="19" t="s">
        <v>4325</v>
      </c>
      <c r="E5200" s="19">
        <f>VLOOKUP(D5200,'لیست پرسنل'!$B$2:$E$1020,3,FALSE)</f>
        <v>0</v>
      </c>
      <c r="F5200" s="19">
        <f>VLOOKUP(D5200,'لیست پرسنل'!$B$2:$E$1020,4,FALSE)</f>
        <v>0</v>
      </c>
      <c r="G5200" s="127">
        <f>VLOOKUP(D5200,'لیست پرسنل'!$B$2:$F$1020,2,FALSE)</f>
        <v>0</v>
      </c>
      <c r="H5200" s="151" t="s">
        <v>5698</v>
      </c>
      <c r="I5200" s="151" t="s">
        <v>4325</v>
      </c>
      <c r="J5200" s="141" t="s">
        <v>571</v>
      </c>
      <c r="K5200" s="175" t="s">
        <v>2054</v>
      </c>
      <c r="L5200" s="173"/>
      <c r="M5200" s="127">
        <v>608105</v>
      </c>
      <c r="N5200" s="108"/>
      <c r="O5200" s="31" t="s">
        <v>5696</v>
      </c>
      <c r="P5200" s="20" t="s">
        <v>5697</v>
      </c>
      <c r="Q5200" s="20" t="s">
        <v>5055</v>
      </c>
    </row>
    <row r="5201" spans="1:17" ht="24.9" customHeight="1">
      <c r="A5201" s="20"/>
      <c r="B5201" s="20" t="s">
        <v>5101</v>
      </c>
      <c r="C5201" s="20"/>
      <c r="D5201" s="20" t="s">
        <v>4325</v>
      </c>
      <c r="E5201" s="19">
        <f>VLOOKUP(D5201,'لیست پرسنل'!$B$2:$E$1020,3,FALSE)</f>
        <v>0</v>
      </c>
      <c r="F5201" s="19">
        <f>VLOOKUP(D5201,'لیست پرسنل'!$B$2:$E$1020,4,FALSE)</f>
        <v>0</v>
      </c>
      <c r="G5201" s="127">
        <f>VLOOKUP(D5201,'لیست پرسنل'!$B$2:$F$1020,2,FALSE)</f>
        <v>0</v>
      </c>
      <c r="H5201" s="126" t="s">
        <v>5054</v>
      </c>
      <c r="I5201" s="128" t="s">
        <v>4325</v>
      </c>
      <c r="J5201" s="128" t="s">
        <v>2686</v>
      </c>
      <c r="K5201" s="127" t="s">
        <v>320</v>
      </c>
      <c r="L5201" s="151"/>
      <c r="M5201" s="127">
        <v>603302</v>
      </c>
      <c r="N5201" s="109"/>
      <c r="O5201" s="19" t="s">
        <v>7244</v>
      </c>
      <c r="P5201" s="20" t="s">
        <v>5869</v>
      </c>
      <c r="Q5201" s="20">
        <v>1398</v>
      </c>
    </row>
    <row r="5202" spans="1:17" ht="24.9" customHeight="1">
      <c r="A5202" s="20"/>
      <c r="B5202" s="20" t="s">
        <v>5101</v>
      </c>
      <c r="C5202" s="19"/>
      <c r="D5202" s="20" t="s">
        <v>4325</v>
      </c>
      <c r="E5202" s="19">
        <f>VLOOKUP(D5202,'لیست پرسنل'!$B$2:$E$1020,3,FALSE)</f>
        <v>0</v>
      </c>
      <c r="F5202" s="19">
        <f>VLOOKUP(D5202,'لیست پرسنل'!$B$2:$E$1020,4,FALSE)</f>
        <v>0</v>
      </c>
      <c r="G5202" s="127">
        <f>VLOOKUP(D5202,'لیست پرسنل'!$B$2:$F$1020,2,FALSE)</f>
        <v>0</v>
      </c>
      <c r="H5202" s="127" t="s">
        <v>5054</v>
      </c>
      <c r="I5202" s="126" t="s">
        <v>4325</v>
      </c>
      <c r="J5202" s="128" t="s">
        <v>2686</v>
      </c>
      <c r="K5202" s="127"/>
      <c r="L5202" s="151"/>
      <c r="M5202" s="127">
        <v>610964</v>
      </c>
      <c r="N5202" s="108"/>
      <c r="O5202" s="20" t="s">
        <v>7237</v>
      </c>
      <c r="P5202" s="19" t="s">
        <v>5869</v>
      </c>
      <c r="Q5202" s="19">
        <v>1399</v>
      </c>
    </row>
    <row r="5203" spans="1:17" ht="24.9" customHeight="1">
      <c r="A5203" s="20"/>
      <c r="B5203" s="20" t="s">
        <v>5101</v>
      </c>
      <c r="C5203" s="20"/>
      <c r="D5203" s="20" t="s">
        <v>4325</v>
      </c>
      <c r="E5203" s="19">
        <f>VLOOKUP(D5203,'لیست پرسنل'!$B$2:$E$1020,3,FALSE)</f>
        <v>0</v>
      </c>
      <c r="F5203" s="19">
        <f>VLOOKUP(D5203,'لیست پرسنل'!$B$2:$E$1020,4,FALSE)</f>
        <v>0</v>
      </c>
      <c r="G5203" s="127">
        <f>VLOOKUP(D5203,'لیست پرسنل'!$B$2:$F$1020,2,FALSE)</f>
        <v>0</v>
      </c>
      <c r="H5203" s="126" t="s">
        <v>5054</v>
      </c>
      <c r="I5203" s="128" t="s">
        <v>4325</v>
      </c>
      <c r="J5203" s="128" t="s">
        <v>2686</v>
      </c>
      <c r="K5203" s="135" t="s">
        <v>1810</v>
      </c>
      <c r="L5203" s="154"/>
      <c r="M5203" s="131">
        <v>614439</v>
      </c>
      <c r="N5203" s="108"/>
      <c r="O5203" s="44" t="s">
        <v>7241</v>
      </c>
      <c r="P5203" s="20" t="s">
        <v>5869</v>
      </c>
      <c r="Q5203" s="20">
        <v>1401</v>
      </c>
    </row>
    <row r="5204" spans="1:17" ht="24.9" customHeight="1">
      <c r="A5204" s="20"/>
      <c r="B5204" s="20" t="s">
        <v>5101</v>
      </c>
      <c r="C5204" s="20"/>
      <c r="D5204" s="20" t="s">
        <v>4325</v>
      </c>
      <c r="E5204" s="19">
        <f>VLOOKUP(D5204,'لیست پرسنل'!$B$2:$E$1020,3,FALSE)</f>
        <v>0</v>
      </c>
      <c r="F5204" s="19">
        <f>VLOOKUP(D5204,'لیست پرسنل'!$B$2:$E$1020,4,FALSE)</f>
        <v>0</v>
      </c>
      <c r="G5204" s="127">
        <f>VLOOKUP(D5204,'لیست پرسنل'!$B$2:$F$1020,2,FALSE)</f>
        <v>0</v>
      </c>
      <c r="H5204" s="126" t="s">
        <v>5054</v>
      </c>
      <c r="I5204" s="128" t="s">
        <v>4325</v>
      </c>
      <c r="J5204" s="128" t="s">
        <v>2686</v>
      </c>
      <c r="K5204" s="128" t="s">
        <v>7242</v>
      </c>
      <c r="L5204" s="128"/>
      <c r="M5204" s="126">
        <v>614440</v>
      </c>
      <c r="N5204" s="108"/>
      <c r="O5204" s="20" t="s">
        <v>7243</v>
      </c>
      <c r="P5204" s="20" t="s">
        <v>5869</v>
      </c>
      <c r="Q5204" s="20">
        <v>1401</v>
      </c>
    </row>
    <row r="5205" spans="1:17" ht="24.9" customHeight="1">
      <c r="A5205" s="20"/>
      <c r="B5205" s="19" t="s">
        <v>5101</v>
      </c>
      <c r="C5205" s="19"/>
      <c r="D5205" s="19" t="s">
        <v>4325</v>
      </c>
      <c r="E5205" s="19">
        <f>VLOOKUP(D5205,'لیست پرسنل'!$B$2:$E$1020,3,FALSE)</f>
        <v>0</v>
      </c>
      <c r="F5205" s="19">
        <f>VLOOKUP(D5205,'لیست پرسنل'!$B$2:$E$1020,4,FALSE)</f>
        <v>0</v>
      </c>
      <c r="G5205" s="127">
        <f>VLOOKUP(D5205,'لیست پرسنل'!$B$2:$F$1020,2,FALSE)</f>
        <v>0</v>
      </c>
      <c r="H5205" s="127" t="s">
        <v>5414</v>
      </c>
      <c r="I5205" s="127" t="s">
        <v>4325</v>
      </c>
      <c r="J5205" s="127" t="s">
        <v>5366</v>
      </c>
      <c r="K5205" s="128" t="s">
        <v>8231</v>
      </c>
      <c r="L5205" s="127"/>
      <c r="M5205" s="127">
        <v>43001308</v>
      </c>
      <c r="N5205" s="111"/>
      <c r="O5205" s="19" t="s">
        <v>6172</v>
      </c>
      <c r="P5205" s="20" t="s">
        <v>4325</v>
      </c>
      <c r="Q5205" s="20" t="s">
        <v>6915</v>
      </c>
    </row>
    <row r="5206" spans="1:17" ht="24.9" customHeight="1">
      <c r="A5206" s="20"/>
      <c r="B5206" s="20" t="s">
        <v>5101</v>
      </c>
      <c r="C5206" s="19"/>
      <c r="D5206" s="20" t="s">
        <v>4325</v>
      </c>
      <c r="E5206" s="19">
        <f>VLOOKUP(D5206,'لیست پرسنل'!$B$2:$E$1020,3,FALSE)</f>
        <v>0</v>
      </c>
      <c r="F5206" s="19">
        <f>VLOOKUP(D5206,'لیست پرسنل'!$B$2:$E$1020,4,FALSE)</f>
        <v>0</v>
      </c>
      <c r="G5206" s="127">
        <f>VLOOKUP(D5206,'لیست پرسنل'!$B$2:$F$1020,2,FALSE)</f>
        <v>0</v>
      </c>
      <c r="H5206" s="126" t="s">
        <v>4609</v>
      </c>
      <c r="I5206" s="128" t="s">
        <v>4325</v>
      </c>
      <c r="J5206" s="128" t="s">
        <v>3476</v>
      </c>
      <c r="K5206" s="128" t="s">
        <v>4801</v>
      </c>
      <c r="L5206" s="128" t="s">
        <v>4799</v>
      </c>
      <c r="M5206" s="128">
        <v>630672</v>
      </c>
      <c r="N5206" s="108"/>
      <c r="O5206" s="20" t="s">
        <v>7007</v>
      </c>
      <c r="P5206" s="20" t="s">
        <v>4325</v>
      </c>
      <c r="Q5206" s="20"/>
    </row>
    <row r="5207" spans="1:17" ht="24.9" customHeight="1">
      <c r="A5207" s="20"/>
      <c r="B5207" s="20" t="s">
        <v>5101</v>
      </c>
      <c r="C5207" s="20"/>
      <c r="D5207" s="20" t="s">
        <v>4325</v>
      </c>
      <c r="E5207" s="19">
        <f>VLOOKUP(D5207,'لیست پرسنل'!$B$2:$E$1020,3,FALSE)</f>
        <v>0</v>
      </c>
      <c r="F5207" s="19">
        <f>VLOOKUP(D5207,'لیست پرسنل'!$B$2:$E$1020,4,FALSE)</f>
        <v>0</v>
      </c>
      <c r="G5207" s="127">
        <f>VLOOKUP(D5207,'لیست پرسنل'!$B$2:$F$1020,2,FALSE)</f>
        <v>0</v>
      </c>
      <c r="H5207" s="127" t="s">
        <v>3925</v>
      </c>
      <c r="I5207" s="128" t="s">
        <v>4325</v>
      </c>
      <c r="J5207" s="128" t="s">
        <v>864</v>
      </c>
      <c r="K5207" s="128" t="s">
        <v>2104</v>
      </c>
      <c r="L5207" s="128"/>
      <c r="M5207" s="128">
        <v>628115</v>
      </c>
      <c r="N5207" s="121"/>
      <c r="O5207" s="20" t="s">
        <v>6949</v>
      </c>
      <c r="P5207" s="20" t="s">
        <v>4325</v>
      </c>
      <c r="Q5207" s="20" t="s">
        <v>6925</v>
      </c>
    </row>
    <row r="5208" spans="1:17" ht="24.9" customHeight="1">
      <c r="A5208" s="20"/>
      <c r="B5208" s="20" t="s">
        <v>5101</v>
      </c>
      <c r="C5208" s="20"/>
      <c r="D5208" s="19" t="s">
        <v>4325</v>
      </c>
      <c r="E5208" s="19">
        <f>VLOOKUP(D5208,'لیست پرسنل'!$B$2:$E$1020,3,FALSE)</f>
        <v>0</v>
      </c>
      <c r="F5208" s="19">
        <f>VLOOKUP(D5208,'لیست پرسنل'!$B$2:$E$1020,4,FALSE)</f>
        <v>0</v>
      </c>
      <c r="G5208" s="127">
        <f>VLOOKUP(D5208,'لیست پرسنل'!$B$2:$F$1020,2,FALSE)</f>
        <v>0</v>
      </c>
      <c r="H5208" s="128" t="s">
        <v>3925</v>
      </c>
      <c r="I5208" s="127" t="s">
        <v>4325</v>
      </c>
      <c r="J5208" s="128" t="s">
        <v>5366</v>
      </c>
      <c r="K5208" s="128" t="s">
        <v>2711</v>
      </c>
      <c r="L5208" s="128"/>
      <c r="M5208" s="128">
        <v>604833</v>
      </c>
      <c r="N5208" s="111"/>
      <c r="O5208" s="32" t="s">
        <v>4461</v>
      </c>
      <c r="P5208" s="20"/>
      <c r="Q5208" s="20"/>
    </row>
    <row r="5209" spans="1:17" ht="24.9" customHeight="1">
      <c r="A5209" s="20"/>
      <c r="B5209" s="20" t="s">
        <v>5101</v>
      </c>
      <c r="C5209" s="20"/>
      <c r="D5209" s="20" t="s">
        <v>4325</v>
      </c>
      <c r="E5209" s="19">
        <f>VLOOKUP(D5209,'لیست پرسنل'!$B$2:$E$1020,3,FALSE)</f>
        <v>0</v>
      </c>
      <c r="F5209" s="19">
        <f>VLOOKUP(D5209,'لیست پرسنل'!$B$2:$E$1020,4,FALSE)</f>
        <v>0</v>
      </c>
      <c r="G5209" s="127">
        <f>VLOOKUP(D5209,'لیست پرسنل'!$B$2:$F$1020,2,FALSE)</f>
        <v>0</v>
      </c>
      <c r="H5209" s="127" t="s">
        <v>3925</v>
      </c>
      <c r="I5209" s="127" t="s">
        <v>4325</v>
      </c>
      <c r="J5209" s="128" t="s">
        <v>885</v>
      </c>
      <c r="K5209" s="128" t="s">
        <v>1516</v>
      </c>
      <c r="L5209" s="127" t="s">
        <v>3300</v>
      </c>
      <c r="M5209" s="127">
        <v>608624</v>
      </c>
      <c r="N5209" s="109"/>
      <c r="O5209" s="20" t="s">
        <v>7248</v>
      </c>
      <c r="P5209" s="20" t="s">
        <v>7135</v>
      </c>
      <c r="Q5209" s="19" t="s">
        <v>6575</v>
      </c>
    </row>
    <row r="5210" spans="1:17" ht="24.9" customHeight="1">
      <c r="A5210" s="20"/>
      <c r="B5210" s="19" t="s">
        <v>5101</v>
      </c>
      <c r="C5210" s="19"/>
      <c r="D5210" s="19" t="s">
        <v>4325</v>
      </c>
      <c r="E5210" s="19">
        <f>VLOOKUP(D5210,'لیست پرسنل'!$B$2:$E$1020,3,FALSE)</f>
        <v>0</v>
      </c>
      <c r="F5210" s="19">
        <f>VLOOKUP(D5210,'لیست پرسنل'!$B$2:$E$1020,4,FALSE)</f>
        <v>0</v>
      </c>
      <c r="G5210" s="127">
        <f>VLOOKUP(D5210,'لیست پرسنل'!$B$2:$F$1020,2,FALSE)</f>
        <v>0</v>
      </c>
      <c r="H5210" s="127" t="s">
        <v>5874</v>
      </c>
      <c r="I5210" s="127" t="s">
        <v>4325</v>
      </c>
      <c r="J5210" s="128" t="s">
        <v>3481</v>
      </c>
      <c r="K5210" s="127" t="s">
        <v>5872</v>
      </c>
      <c r="L5210" s="127"/>
      <c r="M5210" s="127">
        <v>612188</v>
      </c>
      <c r="N5210" s="109"/>
      <c r="O5210" s="19" t="s">
        <v>5875</v>
      </c>
      <c r="P5210" s="19" t="s">
        <v>5869</v>
      </c>
      <c r="Q5210" s="19" t="s">
        <v>5876</v>
      </c>
    </row>
    <row r="5211" spans="1:17" ht="24.9" customHeight="1">
      <c r="A5211" s="20"/>
      <c r="B5211" s="19" t="s">
        <v>5101</v>
      </c>
      <c r="C5211" s="19"/>
      <c r="D5211" s="19" t="s">
        <v>4325</v>
      </c>
      <c r="E5211" s="19">
        <f>VLOOKUP(D5211,'لیست پرسنل'!$B$2:$E$1020,3,FALSE)</f>
        <v>0</v>
      </c>
      <c r="F5211" s="19">
        <f>VLOOKUP(D5211,'لیست پرسنل'!$B$2:$E$1020,4,FALSE)</f>
        <v>0</v>
      </c>
      <c r="G5211" s="127">
        <f>VLOOKUP(D5211,'لیست پرسنل'!$B$2:$F$1020,2,FALSE)</f>
        <v>0</v>
      </c>
      <c r="H5211" s="127" t="s">
        <v>5874</v>
      </c>
      <c r="I5211" s="127" t="s">
        <v>4325</v>
      </c>
      <c r="J5211" s="128" t="s">
        <v>3481</v>
      </c>
      <c r="K5211" s="127" t="s">
        <v>8120</v>
      </c>
      <c r="L5211" s="127"/>
      <c r="M5211" s="127">
        <v>612582</v>
      </c>
      <c r="N5211" s="109"/>
      <c r="O5211" s="19" t="s">
        <v>5875</v>
      </c>
      <c r="P5211" s="19" t="s">
        <v>5869</v>
      </c>
      <c r="Q5211" s="19" t="s">
        <v>5876</v>
      </c>
    </row>
    <row r="5212" spans="1:17" ht="24.9" customHeight="1">
      <c r="A5212" s="20"/>
      <c r="B5212" s="19" t="s">
        <v>5101</v>
      </c>
      <c r="C5212" s="19"/>
      <c r="D5212" s="19" t="s">
        <v>4325</v>
      </c>
      <c r="E5212" s="19">
        <f>VLOOKUP(D5212,'لیست پرسنل'!$B$2:$E$1020,3,FALSE)</f>
        <v>0</v>
      </c>
      <c r="F5212" s="19">
        <f>VLOOKUP(D5212,'لیست پرسنل'!$B$2:$E$1020,4,FALSE)</f>
        <v>0</v>
      </c>
      <c r="G5212" s="127">
        <f>VLOOKUP(D5212,'لیست پرسنل'!$B$2:$F$1020,2,FALSE)</f>
        <v>0</v>
      </c>
      <c r="H5212" s="127" t="s">
        <v>5874</v>
      </c>
      <c r="I5212" s="127" t="s">
        <v>4325</v>
      </c>
      <c r="J5212" s="128" t="s">
        <v>3481</v>
      </c>
      <c r="K5212" s="127" t="s">
        <v>5873</v>
      </c>
      <c r="L5212" s="127"/>
      <c r="M5212" s="127">
        <v>615478</v>
      </c>
      <c r="N5212" s="109"/>
      <c r="O5212" s="19" t="s">
        <v>5875</v>
      </c>
      <c r="P5212" s="19" t="s">
        <v>5869</v>
      </c>
      <c r="Q5212" s="19" t="s">
        <v>5876</v>
      </c>
    </row>
    <row r="5213" spans="1:17" ht="24.9" customHeight="1">
      <c r="A5213" s="20"/>
      <c r="B5213" s="20" t="s">
        <v>5101</v>
      </c>
      <c r="C5213" s="20"/>
      <c r="D5213" s="20" t="s">
        <v>4325</v>
      </c>
      <c r="E5213" s="19">
        <f>VLOOKUP(D5213,'لیست پرسنل'!$B$2:$E$1020,3,FALSE)</f>
        <v>0</v>
      </c>
      <c r="F5213" s="19">
        <f>VLOOKUP(D5213,'لیست پرسنل'!$B$2:$E$1020,4,FALSE)</f>
        <v>0</v>
      </c>
      <c r="G5213" s="127">
        <f>VLOOKUP(D5213,'لیست پرسنل'!$B$2:$F$1020,2,FALSE)</f>
        <v>0</v>
      </c>
      <c r="H5213" s="127" t="s">
        <v>5836</v>
      </c>
      <c r="I5213" s="128" t="s">
        <v>4325</v>
      </c>
      <c r="J5213" s="128" t="s">
        <v>2686</v>
      </c>
      <c r="K5213" s="128" t="s">
        <v>5835</v>
      </c>
      <c r="L5213" s="128" t="s">
        <v>5855</v>
      </c>
      <c r="M5213" s="128">
        <v>631932</v>
      </c>
      <c r="N5213" s="121"/>
      <c r="O5213" s="20" t="s">
        <v>7553</v>
      </c>
      <c r="P5213" s="20" t="s">
        <v>3834</v>
      </c>
      <c r="Q5213" s="20" t="s">
        <v>7552</v>
      </c>
    </row>
    <row r="5214" spans="1:17" ht="24.9" customHeight="1">
      <c r="A5214" s="20"/>
      <c r="B5214" s="20" t="s">
        <v>5101</v>
      </c>
      <c r="C5214" s="82"/>
      <c r="D5214" s="20" t="s">
        <v>4325</v>
      </c>
      <c r="E5214" s="19">
        <f>VLOOKUP(D5214,'لیست پرسنل'!$B$2:$E$1020,3,FALSE)</f>
        <v>0</v>
      </c>
      <c r="F5214" s="19">
        <f>VLOOKUP(D5214,'لیست پرسنل'!$B$2:$E$1020,4,FALSE)</f>
        <v>0</v>
      </c>
      <c r="G5214" s="127">
        <f>VLOOKUP(D5214,'لیست پرسنل'!$B$2:$F$1020,2,FALSE)</f>
        <v>0</v>
      </c>
      <c r="H5214" s="128" t="s">
        <v>4071</v>
      </c>
      <c r="I5214" s="128" t="s">
        <v>4325</v>
      </c>
      <c r="J5214" s="128" t="s">
        <v>3480</v>
      </c>
      <c r="K5214" s="128" t="s">
        <v>882</v>
      </c>
      <c r="L5214" s="150"/>
      <c r="M5214" s="128">
        <v>613471</v>
      </c>
      <c r="N5214" s="108"/>
      <c r="O5214" s="19" t="s">
        <v>5230</v>
      </c>
      <c r="P5214" s="19" t="s">
        <v>5228</v>
      </c>
      <c r="Q5214" s="19" t="s">
        <v>5229</v>
      </c>
    </row>
    <row r="5215" spans="1:17" ht="24.9" customHeight="1">
      <c r="A5215" s="20"/>
      <c r="B5215" s="20" t="s">
        <v>5101</v>
      </c>
      <c r="C5215" s="82"/>
      <c r="D5215" s="20" t="s">
        <v>4325</v>
      </c>
      <c r="E5215" s="19">
        <f>VLOOKUP(D5215,'لیست پرسنل'!$B$2:$E$1020,3,FALSE)</f>
        <v>0</v>
      </c>
      <c r="F5215" s="19">
        <f>VLOOKUP(D5215,'لیست پرسنل'!$B$2:$E$1020,4,FALSE)</f>
        <v>0</v>
      </c>
      <c r="G5215" s="127">
        <f>VLOOKUP(D5215,'لیست پرسنل'!$B$2:$F$1020,2,FALSE)</f>
        <v>0</v>
      </c>
      <c r="H5215" s="128" t="s">
        <v>4071</v>
      </c>
      <c r="I5215" s="128" t="s">
        <v>4325</v>
      </c>
      <c r="J5215" s="128" t="s">
        <v>3480</v>
      </c>
      <c r="K5215" s="128" t="s">
        <v>882</v>
      </c>
      <c r="L5215" s="150"/>
      <c r="M5215" s="128">
        <v>613473</v>
      </c>
      <c r="N5215" s="108"/>
      <c r="O5215" s="19" t="s">
        <v>5230</v>
      </c>
      <c r="P5215" s="19" t="s">
        <v>5228</v>
      </c>
      <c r="Q5215" s="19" t="s">
        <v>5229</v>
      </c>
    </row>
    <row r="5216" spans="1:17" ht="24.9" customHeight="1">
      <c r="A5216" s="20"/>
      <c r="B5216" s="20" t="s">
        <v>5101</v>
      </c>
      <c r="C5216" s="82"/>
      <c r="D5216" s="20" t="s">
        <v>4325</v>
      </c>
      <c r="E5216" s="19">
        <f>VLOOKUP(D5216,'لیست پرسنل'!$B$2:$E$1020,3,FALSE)</f>
        <v>0</v>
      </c>
      <c r="F5216" s="19">
        <f>VLOOKUP(D5216,'لیست پرسنل'!$B$2:$E$1020,4,FALSE)</f>
        <v>0</v>
      </c>
      <c r="G5216" s="127">
        <f>VLOOKUP(D5216,'لیست پرسنل'!$B$2:$F$1020,2,FALSE)</f>
        <v>0</v>
      </c>
      <c r="H5216" s="128" t="s">
        <v>4071</v>
      </c>
      <c r="I5216" s="128" t="s">
        <v>4325</v>
      </c>
      <c r="J5216" s="128" t="s">
        <v>3480</v>
      </c>
      <c r="K5216" s="128" t="s">
        <v>882</v>
      </c>
      <c r="L5216" s="150"/>
      <c r="M5216" s="128">
        <v>613475</v>
      </c>
      <c r="N5216" s="108"/>
      <c r="O5216" s="19" t="s">
        <v>5230</v>
      </c>
      <c r="P5216" s="19" t="s">
        <v>5228</v>
      </c>
      <c r="Q5216" s="19" t="s">
        <v>5229</v>
      </c>
    </row>
    <row r="5217" spans="1:17" ht="24.9" customHeight="1">
      <c r="A5217" s="20"/>
      <c r="B5217" s="20" t="s">
        <v>5101</v>
      </c>
      <c r="C5217" s="82"/>
      <c r="D5217" s="20" t="s">
        <v>4325</v>
      </c>
      <c r="E5217" s="19">
        <f>VLOOKUP(D5217,'لیست پرسنل'!$B$2:$E$1020,3,FALSE)</f>
        <v>0</v>
      </c>
      <c r="F5217" s="19">
        <f>VLOOKUP(D5217,'لیست پرسنل'!$B$2:$E$1020,4,FALSE)</f>
        <v>0</v>
      </c>
      <c r="G5217" s="127">
        <f>VLOOKUP(D5217,'لیست پرسنل'!$B$2:$F$1020,2,FALSE)</f>
        <v>0</v>
      </c>
      <c r="H5217" s="128" t="s">
        <v>4071</v>
      </c>
      <c r="I5217" s="128" t="s">
        <v>4325</v>
      </c>
      <c r="J5217" s="128" t="s">
        <v>3480</v>
      </c>
      <c r="K5217" s="128" t="s">
        <v>882</v>
      </c>
      <c r="L5217" s="150"/>
      <c r="M5217" s="128">
        <v>613476</v>
      </c>
      <c r="N5217" s="108"/>
      <c r="O5217" s="19" t="s">
        <v>5230</v>
      </c>
      <c r="P5217" s="19" t="s">
        <v>5228</v>
      </c>
      <c r="Q5217" s="19" t="s">
        <v>5229</v>
      </c>
    </row>
    <row r="5218" spans="1:17" ht="24.9" customHeight="1">
      <c r="A5218" s="20"/>
      <c r="B5218" s="20" t="s">
        <v>5101</v>
      </c>
      <c r="C5218" s="19"/>
      <c r="D5218" s="19" t="s">
        <v>4325</v>
      </c>
      <c r="E5218" s="19">
        <f>VLOOKUP(D5218,'لیست پرسنل'!$B$2:$E$1020,3,FALSE)</f>
        <v>0</v>
      </c>
      <c r="F5218" s="19">
        <f>VLOOKUP(D5218,'لیست پرسنل'!$B$2:$E$1020,4,FALSE)</f>
        <v>0</v>
      </c>
      <c r="G5218" s="127">
        <f>VLOOKUP(D5218,'لیست پرسنل'!$B$2:$F$1020,2,FALSE)</f>
        <v>0</v>
      </c>
      <c r="H5218" s="151" t="s">
        <v>3490</v>
      </c>
      <c r="I5218" s="127" t="s">
        <v>4325</v>
      </c>
      <c r="J5218" s="128" t="s">
        <v>2686</v>
      </c>
      <c r="K5218" s="128" t="s">
        <v>744</v>
      </c>
      <c r="L5218" s="151" t="s">
        <v>1230</v>
      </c>
      <c r="M5218" s="127">
        <v>605839</v>
      </c>
      <c r="N5218" s="109"/>
      <c r="O5218" s="86"/>
      <c r="P5218" s="20" t="s">
        <v>4325</v>
      </c>
      <c r="Q5218" s="20" t="s">
        <v>6783</v>
      </c>
    </row>
    <row r="5219" spans="1:17" ht="24.9" customHeight="1">
      <c r="A5219" s="20"/>
      <c r="B5219" s="20" t="s">
        <v>5101</v>
      </c>
      <c r="C5219" s="20"/>
      <c r="D5219" s="20" t="s">
        <v>4325</v>
      </c>
      <c r="E5219" s="19">
        <f>VLOOKUP(D5219,'لیست پرسنل'!$B$2:$E$1020,3,FALSE)</f>
        <v>0</v>
      </c>
      <c r="F5219" s="19">
        <f>VLOOKUP(D5219,'لیست پرسنل'!$B$2:$E$1020,4,FALSE)</f>
        <v>0</v>
      </c>
      <c r="G5219" s="127">
        <f>VLOOKUP(D5219,'لیست پرسنل'!$B$2:$F$1020,2,FALSE)</f>
        <v>0</v>
      </c>
      <c r="H5219" s="128" t="s">
        <v>4051</v>
      </c>
      <c r="I5219" s="128" t="s">
        <v>4325</v>
      </c>
      <c r="J5219" s="128" t="s">
        <v>5617</v>
      </c>
      <c r="K5219" s="128" t="s">
        <v>5617</v>
      </c>
      <c r="L5219" s="128"/>
      <c r="M5219" s="128">
        <v>32700681</v>
      </c>
      <c r="N5219" s="108"/>
      <c r="O5219" s="20" t="s">
        <v>5893</v>
      </c>
      <c r="P5219" s="20" t="s">
        <v>5869</v>
      </c>
      <c r="Q5219" s="20"/>
    </row>
    <row r="5220" spans="1:17" ht="24.9" customHeight="1">
      <c r="A5220" s="20"/>
      <c r="B5220" s="20" t="s">
        <v>5101</v>
      </c>
      <c r="C5220" s="20"/>
      <c r="D5220" s="20" t="s">
        <v>4325</v>
      </c>
      <c r="E5220" s="19">
        <f>VLOOKUP(D5220,'لیست پرسنل'!$B$2:$E$1020,3,FALSE)</f>
        <v>0</v>
      </c>
      <c r="F5220" s="19">
        <f>VLOOKUP(D5220,'لیست پرسنل'!$B$2:$E$1020,4,FALSE)</f>
        <v>0</v>
      </c>
      <c r="G5220" s="127">
        <f>VLOOKUP(D5220,'لیست پرسنل'!$B$2:$F$1020,2,FALSE)</f>
        <v>0</v>
      </c>
      <c r="H5220" s="128" t="s">
        <v>4051</v>
      </c>
      <c r="I5220" s="128" t="s">
        <v>4325</v>
      </c>
      <c r="J5220" s="128" t="s">
        <v>5617</v>
      </c>
      <c r="K5220" s="128" t="s">
        <v>5617</v>
      </c>
      <c r="L5220" s="128"/>
      <c r="M5220" s="128">
        <v>32700710</v>
      </c>
      <c r="N5220" s="108"/>
      <c r="O5220" s="20" t="s">
        <v>5894</v>
      </c>
      <c r="P5220" s="20" t="s">
        <v>5869</v>
      </c>
      <c r="Q5220" s="20"/>
    </row>
    <row r="5221" spans="1:17" ht="24.9" customHeight="1">
      <c r="A5221" s="20"/>
      <c r="B5221" s="20" t="s">
        <v>5101</v>
      </c>
      <c r="C5221" s="20"/>
      <c r="D5221" s="20" t="s">
        <v>4325</v>
      </c>
      <c r="E5221" s="19">
        <f>VLOOKUP(D5221,'لیست پرسنل'!$B$2:$E$1020,3,FALSE)</f>
        <v>0</v>
      </c>
      <c r="F5221" s="19">
        <f>VLOOKUP(D5221,'لیست پرسنل'!$B$2:$E$1020,4,FALSE)</f>
        <v>0</v>
      </c>
      <c r="G5221" s="127">
        <f>VLOOKUP(D5221,'لیست پرسنل'!$B$2:$F$1020,2,FALSE)</f>
        <v>0</v>
      </c>
      <c r="H5221" s="128" t="s">
        <v>4051</v>
      </c>
      <c r="I5221" s="128" t="s">
        <v>4325</v>
      </c>
      <c r="J5221" s="128" t="s">
        <v>5617</v>
      </c>
      <c r="K5221" s="128" t="s">
        <v>5617</v>
      </c>
      <c r="L5221" s="128"/>
      <c r="M5221" s="128">
        <v>32700771</v>
      </c>
      <c r="N5221" s="108"/>
      <c r="O5221" s="20" t="s">
        <v>5895</v>
      </c>
      <c r="P5221" s="20" t="s">
        <v>5869</v>
      </c>
      <c r="Q5221" s="20"/>
    </row>
    <row r="5222" spans="1:17" ht="24.9" customHeight="1">
      <c r="A5222" s="20"/>
      <c r="B5222" s="20" t="s">
        <v>5101</v>
      </c>
      <c r="C5222" s="20"/>
      <c r="D5222" s="20" t="s">
        <v>4325</v>
      </c>
      <c r="E5222" s="19">
        <f>VLOOKUP(D5222,'لیست پرسنل'!$B$2:$E$1020,3,FALSE)</f>
        <v>0</v>
      </c>
      <c r="F5222" s="19">
        <f>VLOOKUP(D5222,'لیست پرسنل'!$B$2:$E$1020,4,FALSE)</f>
        <v>0</v>
      </c>
      <c r="G5222" s="127">
        <f>VLOOKUP(D5222,'لیست پرسنل'!$B$2:$F$1020,2,FALSE)</f>
        <v>0</v>
      </c>
      <c r="H5222" s="128" t="s">
        <v>4051</v>
      </c>
      <c r="I5222" s="128" t="s">
        <v>4325</v>
      </c>
      <c r="J5222" s="128" t="s">
        <v>5617</v>
      </c>
      <c r="K5222" s="128" t="s">
        <v>5617</v>
      </c>
      <c r="L5222" s="155"/>
      <c r="M5222" s="128">
        <v>32702870</v>
      </c>
      <c r="N5222" s="108"/>
      <c r="O5222" s="20" t="s">
        <v>5892</v>
      </c>
      <c r="P5222" s="20" t="s">
        <v>5869</v>
      </c>
      <c r="Q5222" s="20"/>
    </row>
    <row r="5223" spans="1:17" ht="24.9" customHeight="1">
      <c r="A5223" s="20"/>
      <c r="B5223" s="20" t="s">
        <v>5101</v>
      </c>
      <c r="C5223" s="20"/>
      <c r="D5223" s="20" t="s">
        <v>4325</v>
      </c>
      <c r="E5223" s="19">
        <f>VLOOKUP(D5223,'لیست پرسنل'!$B$2:$E$1020,3,FALSE)</f>
        <v>0</v>
      </c>
      <c r="F5223" s="19">
        <f>VLOOKUP(D5223,'لیست پرسنل'!$B$2:$E$1020,4,FALSE)</f>
        <v>0</v>
      </c>
      <c r="G5223" s="127">
        <f>VLOOKUP(D5223,'لیست پرسنل'!$B$2:$F$1020,2,FALSE)</f>
        <v>0</v>
      </c>
      <c r="H5223" s="151" t="s">
        <v>7240</v>
      </c>
      <c r="I5223" s="128" t="s">
        <v>4325</v>
      </c>
      <c r="J5223" s="128" t="s">
        <v>3480</v>
      </c>
      <c r="K5223" s="128" t="s">
        <v>1663</v>
      </c>
      <c r="L5223" s="150"/>
      <c r="M5223" s="128">
        <v>602015</v>
      </c>
      <c r="N5223" s="108"/>
      <c r="O5223" s="20"/>
      <c r="P5223" s="20" t="s">
        <v>5869</v>
      </c>
      <c r="Q5223" s="20">
        <v>1396</v>
      </c>
    </row>
    <row r="5224" spans="1:17" ht="24.9" customHeight="1">
      <c r="A5224" s="20"/>
      <c r="B5224" s="20" t="s">
        <v>5101</v>
      </c>
      <c r="C5224" s="20"/>
      <c r="D5224" s="78" t="s">
        <v>4325</v>
      </c>
      <c r="E5224" s="19">
        <f>VLOOKUP(D5224,'لیست پرسنل'!$B$2:$E$1020,3,FALSE)</f>
        <v>0</v>
      </c>
      <c r="F5224" s="19">
        <f>VLOOKUP(D5224,'لیست پرسنل'!$B$2:$E$1020,4,FALSE)</f>
        <v>0</v>
      </c>
      <c r="G5224" s="127">
        <f>VLOOKUP(D5224,'لیست پرسنل'!$B$2:$F$1020,2,FALSE)</f>
        <v>0</v>
      </c>
      <c r="H5224" s="128" t="s">
        <v>3497</v>
      </c>
      <c r="I5224" s="128" t="s">
        <v>4325</v>
      </c>
      <c r="J5224" s="128" t="s">
        <v>571</v>
      </c>
      <c r="K5224" s="128" t="s">
        <v>1514</v>
      </c>
      <c r="L5224" s="130" t="s">
        <v>1514</v>
      </c>
      <c r="M5224" s="145">
        <v>608013</v>
      </c>
      <c r="N5224" s="122"/>
      <c r="O5224" s="81" t="s">
        <v>3834</v>
      </c>
      <c r="P5224" s="20" t="s">
        <v>5869</v>
      </c>
      <c r="Q5224" s="20" t="s">
        <v>7263</v>
      </c>
    </row>
    <row r="5225" spans="1:17" ht="24.9" customHeight="1">
      <c r="A5225" s="20"/>
      <c r="B5225" s="20" t="s">
        <v>5101</v>
      </c>
      <c r="C5225" s="20"/>
      <c r="D5225" s="78" t="s">
        <v>4325</v>
      </c>
      <c r="E5225" s="19">
        <f>VLOOKUP(D5225,'لیست پرسنل'!$B$2:$E$1020,3,FALSE)</f>
        <v>0</v>
      </c>
      <c r="F5225" s="19">
        <f>VLOOKUP(D5225,'لیست پرسنل'!$B$2:$E$1020,4,FALSE)</f>
        <v>0</v>
      </c>
      <c r="G5225" s="127">
        <f>VLOOKUP(D5225,'لیست پرسنل'!$B$2:$F$1020,2,FALSE)</f>
        <v>0</v>
      </c>
      <c r="H5225" s="128" t="s">
        <v>3497</v>
      </c>
      <c r="I5225" s="128" t="s">
        <v>4325</v>
      </c>
      <c r="J5225" s="128" t="s">
        <v>2686</v>
      </c>
      <c r="K5225" s="128" t="s">
        <v>1547</v>
      </c>
      <c r="L5225" s="130" t="s">
        <v>1547</v>
      </c>
      <c r="M5225" s="145">
        <v>604754</v>
      </c>
      <c r="N5225" s="122"/>
      <c r="O5225" s="81" t="s">
        <v>3834</v>
      </c>
      <c r="P5225" s="20" t="s">
        <v>5869</v>
      </c>
      <c r="Q5225" s="20" t="s">
        <v>7263</v>
      </c>
    </row>
    <row r="5226" spans="1:17" ht="24.9" customHeight="1">
      <c r="A5226" s="20"/>
      <c r="B5226" s="20" t="s">
        <v>5101</v>
      </c>
      <c r="C5226" s="20"/>
      <c r="D5226" s="78" t="s">
        <v>4325</v>
      </c>
      <c r="E5226" s="19">
        <f>VLOOKUP(D5226,'لیست پرسنل'!$B$2:$E$1020,3,FALSE)</f>
        <v>0</v>
      </c>
      <c r="F5226" s="19">
        <f>VLOOKUP(D5226,'لیست پرسنل'!$B$2:$E$1020,4,FALSE)</f>
        <v>0</v>
      </c>
      <c r="G5226" s="127">
        <f>VLOOKUP(D5226,'لیست پرسنل'!$B$2:$F$1020,2,FALSE)</f>
        <v>0</v>
      </c>
      <c r="H5226" s="128" t="s">
        <v>3497</v>
      </c>
      <c r="I5226" s="128" t="s">
        <v>4325</v>
      </c>
      <c r="J5226" s="128" t="s">
        <v>2686</v>
      </c>
      <c r="K5226" s="128" t="s">
        <v>1547</v>
      </c>
      <c r="L5226" s="130" t="s">
        <v>1547</v>
      </c>
      <c r="M5226" s="145">
        <v>605233</v>
      </c>
      <c r="N5226" s="122"/>
      <c r="O5226" s="81" t="s">
        <v>3834</v>
      </c>
      <c r="P5226" s="20" t="s">
        <v>5869</v>
      </c>
      <c r="Q5226" s="20" t="s">
        <v>7263</v>
      </c>
    </row>
    <row r="5227" spans="1:17" ht="24.9" customHeight="1">
      <c r="A5227" s="20"/>
      <c r="B5227" s="20" t="s">
        <v>5101</v>
      </c>
      <c r="C5227" s="20"/>
      <c r="D5227" s="78" t="s">
        <v>4325</v>
      </c>
      <c r="E5227" s="19">
        <f>VLOOKUP(D5227,'لیست پرسنل'!$B$2:$E$1020,3,FALSE)</f>
        <v>0</v>
      </c>
      <c r="F5227" s="19">
        <f>VLOOKUP(D5227,'لیست پرسنل'!$B$2:$E$1020,4,FALSE)</f>
        <v>0</v>
      </c>
      <c r="G5227" s="127">
        <f>VLOOKUP(D5227,'لیست پرسنل'!$B$2:$F$1020,2,FALSE)</f>
        <v>0</v>
      </c>
      <c r="H5227" s="128" t="s">
        <v>3497</v>
      </c>
      <c r="I5227" s="128" t="s">
        <v>4325</v>
      </c>
      <c r="J5227" s="128" t="s">
        <v>3313</v>
      </c>
      <c r="K5227" s="128" t="s">
        <v>1540</v>
      </c>
      <c r="L5227" s="127" t="s">
        <v>1540</v>
      </c>
      <c r="M5227" s="127">
        <v>613333</v>
      </c>
      <c r="N5227" s="109"/>
      <c r="O5227" s="81" t="s">
        <v>3834</v>
      </c>
      <c r="P5227" s="20" t="s">
        <v>5869</v>
      </c>
      <c r="Q5227" s="20" t="s">
        <v>7263</v>
      </c>
    </row>
    <row r="5228" spans="1:17" ht="24.9" customHeight="1">
      <c r="A5228" s="20"/>
      <c r="B5228" s="20" t="s">
        <v>4636</v>
      </c>
      <c r="C5228" s="20"/>
      <c r="D5228" s="20" t="s">
        <v>4325</v>
      </c>
      <c r="E5228" s="19">
        <f>VLOOKUP(D5228,'لیست پرسنل'!$B$2:$E$1020,3,FALSE)</f>
        <v>0</v>
      </c>
      <c r="F5228" s="19">
        <f>VLOOKUP(D5228,'لیست پرسنل'!$B$2:$E$1020,4,FALSE)</f>
        <v>0</v>
      </c>
      <c r="G5228" s="127">
        <f>VLOOKUP(D5228,'لیست پرسنل'!$B$2:$F$1020,2,FALSE)</f>
        <v>0</v>
      </c>
      <c r="H5228" s="126" t="s">
        <v>5869</v>
      </c>
      <c r="I5228" s="128" t="s">
        <v>4325</v>
      </c>
      <c r="J5228" s="128" t="s">
        <v>2686</v>
      </c>
      <c r="K5228" s="128" t="s">
        <v>914</v>
      </c>
      <c r="L5228" s="128" t="s">
        <v>1109</v>
      </c>
      <c r="M5228" s="142">
        <v>605616</v>
      </c>
      <c r="N5228" s="108"/>
      <c r="O5228" s="20" t="s">
        <v>2883</v>
      </c>
      <c r="P5228" s="20" t="s">
        <v>3834</v>
      </c>
      <c r="Q5228" s="20" t="s">
        <v>6028</v>
      </c>
    </row>
    <row r="5229" spans="1:17" ht="24.9" customHeight="1">
      <c r="A5229" s="20"/>
      <c r="B5229" s="20" t="s">
        <v>5101</v>
      </c>
      <c r="C5229" s="19"/>
      <c r="D5229" s="20" t="s">
        <v>4325</v>
      </c>
      <c r="E5229" s="19">
        <f>VLOOKUP(D5229,'لیست پرسنل'!$B$2:$E$1020,3,FALSE)</f>
        <v>0</v>
      </c>
      <c r="F5229" s="19">
        <f>VLOOKUP(D5229,'لیست پرسنل'!$B$2:$E$1020,4,FALSE)</f>
        <v>0</v>
      </c>
      <c r="G5229" s="127">
        <f>VLOOKUP(D5229,'لیست پرسنل'!$B$2:$F$1020,2,FALSE)</f>
        <v>0</v>
      </c>
      <c r="H5229" s="127" t="s">
        <v>3451</v>
      </c>
      <c r="I5229" s="128" t="s">
        <v>4325</v>
      </c>
      <c r="J5229" s="128" t="s">
        <v>737</v>
      </c>
      <c r="K5229" s="128" t="s">
        <v>465</v>
      </c>
      <c r="L5229" s="128" t="s">
        <v>466</v>
      </c>
      <c r="M5229" s="128">
        <v>605837</v>
      </c>
      <c r="N5229" s="108"/>
      <c r="O5229" s="20"/>
      <c r="P5229" s="20" t="s">
        <v>5869</v>
      </c>
      <c r="Q5229" s="20"/>
    </row>
    <row r="5230" spans="1:17" ht="24.9" customHeight="1">
      <c r="A5230" s="20"/>
      <c r="B5230" s="20" t="s">
        <v>5101</v>
      </c>
      <c r="C5230" s="19"/>
      <c r="D5230" s="20" t="s">
        <v>4325</v>
      </c>
      <c r="E5230" s="19">
        <f>VLOOKUP(D5230,'لیست پرسنل'!$B$2:$E$1020,3,FALSE)</f>
        <v>0</v>
      </c>
      <c r="F5230" s="19">
        <f>VLOOKUP(D5230,'لیست پرسنل'!$B$2:$E$1020,4,FALSE)</f>
        <v>0</v>
      </c>
      <c r="G5230" s="127">
        <f>VLOOKUP(D5230,'لیست پرسنل'!$B$2:$F$1020,2,FALSE)</f>
        <v>0</v>
      </c>
      <c r="H5230" s="127" t="s">
        <v>3451</v>
      </c>
      <c r="I5230" s="128" t="s">
        <v>4325</v>
      </c>
      <c r="J5230" s="128" t="s">
        <v>2686</v>
      </c>
      <c r="K5230" s="127" t="s">
        <v>332</v>
      </c>
      <c r="L5230" s="150" t="s">
        <v>1241</v>
      </c>
      <c r="M5230" s="128">
        <v>609079</v>
      </c>
      <c r="N5230" s="109" t="s">
        <v>7312</v>
      </c>
      <c r="O5230" s="20"/>
      <c r="P5230" s="20" t="s">
        <v>4325</v>
      </c>
      <c r="Q5230" s="20"/>
    </row>
    <row r="5231" spans="1:17" ht="24.9" customHeight="1">
      <c r="A5231" s="20"/>
      <c r="B5231" s="20" t="s">
        <v>4636</v>
      </c>
      <c r="C5231" s="20"/>
      <c r="D5231" s="20" t="s">
        <v>4325</v>
      </c>
      <c r="E5231" s="19">
        <f>VLOOKUP(D5231,'لیست پرسنل'!$B$2:$E$1020,3,FALSE)</f>
        <v>0</v>
      </c>
      <c r="F5231" s="19">
        <f>VLOOKUP(D5231,'لیست پرسنل'!$B$2:$E$1020,4,FALSE)</f>
        <v>0</v>
      </c>
      <c r="G5231" s="127">
        <f>VLOOKUP(D5231,'لیست پرسنل'!$B$2:$F$1020,2,FALSE)</f>
        <v>0</v>
      </c>
      <c r="H5231" s="128" t="s">
        <v>3513</v>
      </c>
      <c r="I5231" s="128" t="s">
        <v>4325</v>
      </c>
      <c r="J5231" s="128" t="s">
        <v>571</v>
      </c>
      <c r="K5231" s="128" t="s">
        <v>6444</v>
      </c>
      <c r="L5231" s="151"/>
      <c r="M5231" s="127">
        <v>606675</v>
      </c>
      <c r="N5231" s="109" t="s">
        <v>3512</v>
      </c>
      <c r="O5231" s="20"/>
      <c r="P5231" s="20" t="s">
        <v>5869</v>
      </c>
      <c r="Q5231" s="20" t="s">
        <v>6575</v>
      </c>
    </row>
    <row r="5232" spans="1:17" ht="24.9" customHeight="1">
      <c r="A5232" s="20"/>
      <c r="B5232" s="20" t="s">
        <v>5101</v>
      </c>
      <c r="C5232" s="20"/>
      <c r="D5232" s="19" t="s">
        <v>4325</v>
      </c>
      <c r="E5232" s="19">
        <f>VLOOKUP(D5232,'لیست پرسنل'!$B$2:$E$1020,3,FALSE)</f>
        <v>0</v>
      </c>
      <c r="F5232" s="19">
        <f>VLOOKUP(D5232,'لیست پرسنل'!$B$2:$E$1020,4,FALSE)</f>
        <v>0</v>
      </c>
      <c r="G5232" s="127">
        <f>VLOOKUP(D5232,'لیست پرسنل'!$B$2:$F$1020,2,FALSE)</f>
        <v>0</v>
      </c>
      <c r="H5232" s="151" t="s">
        <v>3702</v>
      </c>
      <c r="I5232" s="127" t="s">
        <v>4325</v>
      </c>
      <c r="J5232" s="128" t="s">
        <v>737</v>
      </c>
      <c r="K5232" s="128" t="s">
        <v>494</v>
      </c>
      <c r="L5232" s="127" t="s">
        <v>1025</v>
      </c>
      <c r="M5232" s="127">
        <v>603819</v>
      </c>
      <c r="N5232" s="108"/>
      <c r="O5232" s="19"/>
      <c r="P5232" s="20" t="s">
        <v>3834</v>
      </c>
      <c r="Q5232" s="20" t="s">
        <v>7009</v>
      </c>
    </row>
    <row r="5233" spans="1:17" ht="24.9" customHeight="1">
      <c r="A5233" s="20"/>
      <c r="B5233" s="20" t="s">
        <v>5101</v>
      </c>
      <c r="C5233" s="20"/>
      <c r="D5233" s="20" t="s">
        <v>4325</v>
      </c>
      <c r="E5233" s="19">
        <f>VLOOKUP(D5233,'لیست پرسنل'!$B$2:$E$1020,3,FALSE)</f>
        <v>0</v>
      </c>
      <c r="F5233" s="19">
        <f>VLOOKUP(D5233,'لیست پرسنل'!$B$2:$E$1020,4,FALSE)</f>
        <v>0</v>
      </c>
      <c r="G5233" s="127">
        <f>VLOOKUP(D5233,'لیست پرسنل'!$B$2:$F$1020,2,FALSE)</f>
        <v>0</v>
      </c>
      <c r="H5233" s="151" t="s">
        <v>3702</v>
      </c>
      <c r="I5233" s="128" t="s">
        <v>4325</v>
      </c>
      <c r="J5233" s="128" t="s">
        <v>737</v>
      </c>
      <c r="K5233" s="128" t="s">
        <v>3560</v>
      </c>
      <c r="L5233" s="127" t="s">
        <v>170</v>
      </c>
      <c r="M5233" s="127">
        <v>622492</v>
      </c>
      <c r="N5233" s="108" t="s">
        <v>7312</v>
      </c>
      <c r="O5233" s="20"/>
      <c r="P5233" s="20"/>
      <c r="Q5233" s="20"/>
    </row>
    <row r="5234" spans="1:17" ht="24.9" customHeight="1">
      <c r="A5234" s="20"/>
      <c r="B5234" s="20" t="s">
        <v>5101</v>
      </c>
      <c r="C5234" s="20"/>
      <c r="D5234" s="19" t="s">
        <v>4325</v>
      </c>
      <c r="E5234" s="19">
        <f>VLOOKUP(D5234,'لیست پرسنل'!$B$2:$E$1020,3,FALSE)</f>
        <v>0</v>
      </c>
      <c r="F5234" s="19">
        <f>VLOOKUP(D5234,'لیست پرسنل'!$B$2:$E$1020,4,FALSE)</f>
        <v>0</v>
      </c>
      <c r="G5234" s="127">
        <f>VLOOKUP(D5234,'لیست پرسنل'!$B$2:$F$1020,2,FALSE)</f>
        <v>0</v>
      </c>
      <c r="H5234" s="151" t="s">
        <v>3702</v>
      </c>
      <c r="I5234" s="127" t="s">
        <v>4325</v>
      </c>
      <c r="J5234" s="128" t="s">
        <v>885</v>
      </c>
      <c r="K5234" s="128" t="s">
        <v>500</v>
      </c>
      <c r="L5234" s="127" t="s">
        <v>495</v>
      </c>
      <c r="M5234" s="127">
        <v>617945</v>
      </c>
      <c r="N5234" s="108"/>
      <c r="O5234" s="19"/>
      <c r="P5234" s="20" t="s">
        <v>3834</v>
      </c>
      <c r="Q5234" s="20" t="s">
        <v>7009</v>
      </c>
    </row>
    <row r="5235" spans="1:17" ht="24.9" customHeight="1">
      <c r="A5235" s="20"/>
      <c r="B5235" s="20" t="s">
        <v>5101</v>
      </c>
      <c r="C5235" s="19"/>
      <c r="D5235" s="19" t="s">
        <v>4325</v>
      </c>
      <c r="E5235" s="19">
        <v>0</v>
      </c>
      <c r="F5235" s="19">
        <v>0</v>
      </c>
      <c r="G5235" s="127">
        <v>0</v>
      </c>
      <c r="H5235" s="126" t="s">
        <v>5019</v>
      </c>
      <c r="I5235" s="127" t="s">
        <v>4325</v>
      </c>
      <c r="J5235" s="127" t="s">
        <v>996</v>
      </c>
      <c r="K5235" s="126" t="s">
        <v>5017</v>
      </c>
      <c r="L5235" s="150" t="s">
        <v>5018</v>
      </c>
      <c r="M5235" s="126" t="s">
        <v>291</v>
      </c>
      <c r="N5235" s="109"/>
      <c r="O5235" s="20"/>
      <c r="P5235" s="20" t="s">
        <v>5869</v>
      </c>
      <c r="Q5235" s="20" t="s">
        <v>7381</v>
      </c>
    </row>
    <row r="5236" spans="1:17" ht="24.9" customHeight="1">
      <c r="A5236" s="20"/>
      <c r="B5236" s="20" t="s">
        <v>5101</v>
      </c>
      <c r="C5236" s="19"/>
      <c r="D5236" s="19" t="s">
        <v>4325</v>
      </c>
      <c r="E5236" s="19">
        <v>0</v>
      </c>
      <c r="F5236" s="19">
        <v>0</v>
      </c>
      <c r="G5236" s="127">
        <v>0</v>
      </c>
      <c r="H5236" s="126" t="s">
        <v>5019</v>
      </c>
      <c r="I5236" s="127" t="s">
        <v>4325</v>
      </c>
      <c r="J5236" s="127" t="s">
        <v>571</v>
      </c>
      <c r="K5236" s="126"/>
      <c r="L5236" s="150"/>
      <c r="M5236" s="126" t="s">
        <v>291</v>
      </c>
      <c r="N5236" s="109"/>
      <c r="O5236" s="20"/>
      <c r="P5236" s="20" t="s">
        <v>5869</v>
      </c>
      <c r="Q5236" s="20" t="s">
        <v>7381</v>
      </c>
    </row>
    <row r="5237" spans="1:17" ht="24.9" customHeight="1">
      <c r="A5237" s="20"/>
      <c r="B5237" s="20" t="s">
        <v>5101</v>
      </c>
      <c r="C5237" s="19"/>
      <c r="D5237" s="19" t="s">
        <v>4325</v>
      </c>
      <c r="E5237" s="19">
        <v>0</v>
      </c>
      <c r="F5237" s="19">
        <v>0</v>
      </c>
      <c r="G5237" s="127">
        <v>0</v>
      </c>
      <c r="H5237" s="126" t="s">
        <v>5019</v>
      </c>
      <c r="I5237" s="127" t="s">
        <v>4325</v>
      </c>
      <c r="J5237" s="128" t="s">
        <v>2686</v>
      </c>
      <c r="K5237" s="127" t="s">
        <v>332</v>
      </c>
      <c r="L5237" s="150" t="s">
        <v>5014</v>
      </c>
      <c r="M5237" s="127">
        <v>604022</v>
      </c>
      <c r="N5237" s="109"/>
      <c r="O5237" s="20"/>
      <c r="P5237" s="20" t="s">
        <v>5869</v>
      </c>
      <c r="Q5237" s="20" t="s">
        <v>7381</v>
      </c>
    </row>
    <row r="5238" spans="1:17" ht="24.9" customHeight="1">
      <c r="A5238" s="20"/>
      <c r="B5238" s="20" t="s">
        <v>5101</v>
      </c>
      <c r="C5238" s="19"/>
      <c r="D5238" s="19" t="s">
        <v>4325</v>
      </c>
      <c r="E5238" s="19">
        <v>0</v>
      </c>
      <c r="F5238" s="19">
        <v>0</v>
      </c>
      <c r="G5238" s="127">
        <v>0</v>
      </c>
      <c r="H5238" s="126" t="s">
        <v>5019</v>
      </c>
      <c r="I5238" s="127" t="s">
        <v>4325</v>
      </c>
      <c r="J5238" s="127" t="s">
        <v>753</v>
      </c>
      <c r="K5238" s="126" t="s">
        <v>5016</v>
      </c>
      <c r="L5238" s="150" t="s">
        <v>5015</v>
      </c>
      <c r="M5238" s="126" t="s">
        <v>291</v>
      </c>
      <c r="N5238" s="109"/>
      <c r="O5238" s="20"/>
      <c r="P5238" s="20" t="s">
        <v>5869</v>
      </c>
      <c r="Q5238" s="20" t="s">
        <v>7381</v>
      </c>
    </row>
    <row r="5239" spans="1:17" ht="24.9" customHeight="1">
      <c r="A5239" s="20"/>
      <c r="B5239" s="20" t="s">
        <v>5101</v>
      </c>
      <c r="C5239" s="20"/>
      <c r="D5239" s="20" t="s">
        <v>4325</v>
      </c>
      <c r="E5239" s="19">
        <f>VLOOKUP(D5239,'لیست پرسنل'!$B$2:$E$1020,3,FALSE)</f>
        <v>0</v>
      </c>
      <c r="F5239" s="19">
        <f>VLOOKUP(D5239,'لیست پرسنل'!$B$2:$E$1020,4,FALSE)</f>
        <v>0</v>
      </c>
      <c r="G5239" s="127">
        <f>VLOOKUP(D5239,'لیست پرسنل'!$B$2:$F$1020,2,FALSE)</f>
        <v>0</v>
      </c>
      <c r="H5239" s="128" t="s">
        <v>5692</v>
      </c>
      <c r="I5239" s="151" t="s">
        <v>4325</v>
      </c>
      <c r="J5239" s="128" t="s">
        <v>2686</v>
      </c>
      <c r="K5239" s="175" t="s">
        <v>332</v>
      </c>
      <c r="L5239" s="151" t="s">
        <v>1155</v>
      </c>
      <c r="M5239" s="127">
        <v>603560</v>
      </c>
      <c r="N5239" s="108"/>
      <c r="O5239" s="19"/>
      <c r="P5239" s="20" t="s">
        <v>5228</v>
      </c>
      <c r="Q5239" s="20" t="s">
        <v>6026</v>
      </c>
    </row>
    <row r="5240" spans="1:17" ht="24.9" customHeight="1">
      <c r="A5240" s="20"/>
      <c r="B5240" s="20" t="s">
        <v>5101</v>
      </c>
      <c r="C5240" s="20"/>
      <c r="D5240" s="20" t="s">
        <v>4325</v>
      </c>
      <c r="E5240" s="19">
        <f>VLOOKUP(D5240,'لیست پرسنل'!$B$2:$E$1020,3,FALSE)</f>
        <v>0</v>
      </c>
      <c r="F5240" s="19">
        <f>VLOOKUP(D5240,'لیست پرسنل'!$B$2:$E$1020,4,FALSE)</f>
        <v>0</v>
      </c>
      <c r="G5240" s="127">
        <f>VLOOKUP(D5240,'لیست پرسنل'!$B$2:$F$1020,2,FALSE)</f>
        <v>0</v>
      </c>
      <c r="H5240" s="128" t="s">
        <v>5692</v>
      </c>
      <c r="I5240" s="151" t="s">
        <v>4325</v>
      </c>
      <c r="J5240" s="128" t="s">
        <v>2686</v>
      </c>
      <c r="K5240" s="127" t="s">
        <v>3119</v>
      </c>
      <c r="L5240" s="151" t="s">
        <v>1157</v>
      </c>
      <c r="M5240" s="127">
        <v>604012</v>
      </c>
      <c r="N5240" s="108"/>
      <c r="O5240" s="31" t="s">
        <v>5695</v>
      </c>
      <c r="P5240" s="20" t="s">
        <v>5228</v>
      </c>
      <c r="Q5240" s="20" t="s">
        <v>6026</v>
      </c>
    </row>
    <row r="5241" spans="1:17" ht="24.9" customHeight="1">
      <c r="A5241" s="20"/>
      <c r="B5241" s="20" t="s">
        <v>5101</v>
      </c>
      <c r="C5241" s="20"/>
      <c r="D5241" s="20" t="s">
        <v>4325</v>
      </c>
      <c r="E5241" s="19">
        <f>VLOOKUP(D5241,'لیست پرسنل'!$B$2:$E$1020,3,FALSE)</f>
        <v>0</v>
      </c>
      <c r="F5241" s="19">
        <f>VLOOKUP(D5241,'لیست پرسنل'!$B$2:$E$1020,4,FALSE)</f>
        <v>0</v>
      </c>
      <c r="G5241" s="127">
        <f>VLOOKUP(D5241,'لیست پرسنل'!$B$2:$F$1020,2,FALSE)</f>
        <v>0</v>
      </c>
      <c r="H5241" s="128" t="s">
        <v>5692</v>
      </c>
      <c r="I5241" s="151" t="s">
        <v>4325</v>
      </c>
      <c r="J5241" s="128" t="s">
        <v>2686</v>
      </c>
      <c r="K5241" s="177" t="s">
        <v>358</v>
      </c>
      <c r="L5241" s="150" t="s">
        <v>1396</v>
      </c>
      <c r="M5241" s="127">
        <v>622519</v>
      </c>
      <c r="N5241" s="108"/>
      <c r="O5241" s="19" t="s">
        <v>5694</v>
      </c>
      <c r="P5241" s="20" t="s">
        <v>5228</v>
      </c>
      <c r="Q5241" s="20" t="s">
        <v>6026</v>
      </c>
    </row>
    <row r="5242" spans="1:17" ht="24.9" customHeight="1">
      <c r="A5242" s="20"/>
      <c r="B5242" s="20" t="s">
        <v>5101</v>
      </c>
      <c r="C5242" s="20"/>
      <c r="D5242" s="20" t="s">
        <v>4325</v>
      </c>
      <c r="E5242" s="19">
        <f>VLOOKUP(D5242,'لیست پرسنل'!$B$2:$E$1020,3,FALSE)</f>
        <v>0</v>
      </c>
      <c r="F5242" s="19">
        <f>VLOOKUP(D5242,'لیست پرسنل'!$B$2:$E$1020,4,FALSE)</f>
        <v>0</v>
      </c>
      <c r="G5242" s="127">
        <f>VLOOKUP(D5242,'لیست پرسنل'!$B$2:$F$1020,2,FALSE)</f>
        <v>0</v>
      </c>
      <c r="H5242" s="128" t="s">
        <v>5692</v>
      </c>
      <c r="I5242" s="151" t="s">
        <v>4325</v>
      </c>
      <c r="J5242" s="128" t="s">
        <v>2686</v>
      </c>
      <c r="K5242" s="127" t="s">
        <v>1099</v>
      </c>
      <c r="L5242" s="151" t="s">
        <v>533</v>
      </c>
      <c r="M5242" s="127">
        <v>629410</v>
      </c>
      <c r="N5242" s="119"/>
      <c r="O5242" s="81" t="s">
        <v>5699</v>
      </c>
      <c r="P5242" s="20" t="s">
        <v>5228</v>
      </c>
      <c r="Q5242" s="20" t="s">
        <v>6026</v>
      </c>
    </row>
    <row r="5243" spans="1:17" ht="24.9" customHeight="1">
      <c r="A5243" s="20"/>
      <c r="B5243" s="19" t="s">
        <v>4338</v>
      </c>
      <c r="C5243" s="19"/>
      <c r="D5243" s="19" t="s">
        <v>4338</v>
      </c>
      <c r="E5243" s="19">
        <f>VLOOKUP(D5243,'لیست پرسنل'!$B$2:$E$1020,3,FALSE)</f>
        <v>0</v>
      </c>
      <c r="F5243" s="19">
        <f>VLOOKUP(D5243,'لیست پرسنل'!$B$2:$E$1020,4,FALSE)</f>
        <v>0</v>
      </c>
      <c r="G5243" s="127">
        <f>VLOOKUP(D5243,'لیست پرسنل'!$B$2:$F$1020,2,FALSE)</f>
        <v>0</v>
      </c>
      <c r="H5243" s="151" t="s">
        <v>4338</v>
      </c>
      <c r="I5243" s="128" t="s">
        <v>4338</v>
      </c>
      <c r="J5243" s="128" t="s">
        <v>4333</v>
      </c>
      <c r="K5243" s="128" t="s">
        <v>5078</v>
      </c>
      <c r="L5243" s="128" t="s">
        <v>5080</v>
      </c>
      <c r="M5243" s="128">
        <v>618514</v>
      </c>
      <c r="N5243" s="111"/>
      <c r="O5243" s="20" t="s">
        <v>5786</v>
      </c>
      <c r="P5243" s="20" t="s">
        <v>4339</v>
      </c>
      <c r="Q5243" s="20" t="s">
        <v>5787</v>
      </c>
    </row>
    <row r="5244" spans="1:17" ht="24.9" customHeight="1">
      <c r="A5244" s="20"/>
      <c r="B5244" s="19" t="s">
        <v>4338</v>
      </c>
      <c r="C5244" s="19"/>
      <c r="D5244" s="19" t="s">
        <v>4338</v>
      </c>
      <c r="E5244" s="19">
        <f>VLOOKUP(D5244,'لیست پرسنل'!$B$2:$E$1020,3,FALSE)</f>
        <v>0</v>
      </c>
      <c r="F5244" s="19">
        <f>VLOOKUP(D5244,'لیست پرسنل'!$B$2:$E$1020,4,FALSE)</f>
        <v>0</v>
      </c>
      <c r="G5244" s="127">
        <f>VLOOKUP(D5244,'لیست پرسنل'!$B$2:$F$1020,2,FALSE)</f>
        <v>0</v>
      </c>
      <c r="H5244" s="151" t="s">
        <v>4338</v>
      </c>
      <c r="I5244" s="128" t="s">
        <v>4338</v>
      </c>
      <c r="J5244" s="128" t="s">
        <v>4333</v>
      </c>
      <c r="K5244" s="128" t="s">
        <v>6006</v>
      </c>
      <c r="L5244" s="150" t="s">
        <v>8102</v>
      </c>
      <c r="M5244" s="128">
        <v>633843</v>
      </c>
      <c r="N5244" s="108" t="s">
        <v>6008</v>
      </c>
      <c r="O5244" s="20" t="s">
        <v>6007</v>
      </c>
      <c r="P5244" s="20" t="s">
        <v>4339</v>
      </c>
      <c r="Q5244" s="20"/>
    </row>
    <row r="5245" spans="1:17" ht="24.9" customHeight="1">
      <c r="A5245" s="20"/>
      <c r="B5245" s="19" t="s">
        <v>4338</v>
      </c>
      <c r="C5245" s="19"/>
      <c r="D5245" s="19" t="s">
        <v>4338</v>
      </c>
      <c r="E5245" s="19">
        <f>VLOOKUP(D5245,'لیست پرسنل'!$B$2:$E$1020,3,FALSE)</f>
        <v>0</v>
      </c>
      <c r="F5245" s="19">
        <f>VLOOKUP(D5245,'لیست پرسنل'!$B$2:$E$1020,4,FALSE)</f>
        <v>0</v>
      </c>
      <c r="G5245" s="127">
        <f>VLOOKUP(D5245,'لیست پرسنل'!$B$2:$F$1020,2,FALSE)</f>
        <v>0</v>
      </c>
      <c r="H5245" s="151" t="s">
        <v>4338</v>
      </c>
      <c r="I5245" s="128" t="s">
        <v>4338</v>
      </c>
      <c r="J5245" s="128" t="s">
        <v>4333</v>
      </c>
      <c r="K5245" s="128" t="s">
        <v>6006</v>
      </c>
      <c r="L5245" s="150" t="s">
        <v>8103</v>
      </c>
      <c r="M5245" s="128">
        <v>633844</v>
      </c>
      <c r="N5245" s="108" t="s">
        <v>6008</v>
      </c>
      <c r="O5245" s="20" t="s">
        <v>6007</v>
      </c>
      <c r="P5245" s="20" t="s">
        <v>4339</v>
      </c>
      <c r="Q5245" s="20"/>
    </row>
    <row r="5246" spans="1:17" ht="24.9" customHeight="1">
      <c r="A5246" s="20"/>
      <c r="B5246" s="19" t="s">
        <v>4338</v>
      </c>
      <c r="C5246" s="20"/>
      <c r="D5246" s="20" t="s">
        <v>4338</v>
      </c>
      <c r="E5246" s="19">
        <f>VLOOKUP(D5246,'لیست پرسنل'!$B$2:$E$1020,3,FALSE)</f>
        <v>0</v>
      </c>
      <c r="F5246" s="19">
        <f>VLOOKUP(D5246,'لیست پرسنل'!$B$2:$E$1020,4,FALSE)</f>
        <v>0</v>
      </c>
      <c r="G5246" s="127">
        <f>VLOOKUP(D5246,'لیست پرسنل'!$B$2:$F$1020,2,FALSE)</f>
        <v>0</v>
      </c>
      <c r="H5246" s="128" t="s">
        <v>4338</v>
      </c>
      <c r="I5246" s="128" t="s">
        <v>4338</v>
      </c>
      <c r="J5246" s="128" t="s">
        <v>2686</v>
      </c>
      <c r="K5246" s="171" t="s">
        <v>746</v>
      </c>
      <c r="L5246" s="156" t="s">
        <v>1935</v>
      </c>
      <c r="M5246" s="127">
        <v>603164</v>
      </c>
      <c r="N5246" s="108"/>
      <c r="O5246" s="19" t="s">
        <v>3212</v>
      </c>
      <c r="P5246" s="20" t="s">
        <v>4339</v>
      </c>
      <c r="Q5246" s="20" t="s">
        <v>4341</v>
      </c>
    </row>
    <row r="5247" spans="1:17" ht="24.9" customHeight="1">
      <c r="A5247" s="20"/>
      <c r="B5247" s="19" t="s">
        <v>4338</v>
      </c>
      <c r="C5247" s="20"/>
      <c r="D5247" s="20" t="s">
        <v>4338</v>
      </c>
      <c r="E5247" s="19">
        <f>VLOOKUP(D5247,'لیست پرسنل'!$B$2:$E$1020,3,FALSE)</f>
        <v>0</v>
      </c>
      <c r="F5247" s="19">
        <f>VLOOKUP(D5247,'لیست پرسنل'!$B$2:$E$1020,4,FALSE)</f>
        <v>0</v>
      </c>
      <c r="G5247" s="127">
        <f>VLOOKUP(D5247,'لیست پرسنل'!$B$2:$F$1020,2,FALSE)</f>
        <v>0</v>
      </c>
      <c r="H5247" s="128" t="s">
        <v>4338</v>
      </c>
      <c r="I5247" s="128" t="s">
        <v>4338</v>
      </c>
      <c r="J5247" s="128" t="s">
        <v>2686</v>
      </c>
      <c r="K5247" s="171" t="s">
        <v>332</v>
      </c>
      <c r="L5247" s="156" t="s">
        <v>1414</v>
      </c>
      <c r="M5247" s="127">
        <v>603252</v>
      </c>
      <c r="N5247" s="108"/>
      <c r="O5247" s="19" t="s">
        <v>3212</v>
      </c>
      <c r="P5247" s="20" t="s">
        <v>4339</v>
      </c>
      <c r="Q5247" s="20" t="s">
        <v>4341</v>
      </c>
    </row>
    <row r="5248" spans="1:17" ht="24.9" customHeight="1">
      <c r="A5248" s="20"/>
      <c r="B5248" s="19" t="s">
        <v>4338</v>
      </c>
      <c r="C5248" s="20"/>
      <c r="D5248" s="20" t="s">
        <v>4338</v>
      </c>
      <c r="E5248" s="19">
        <f>VLOOKUP(D5248,'لیست پرسنل'!$B$2:$E$1020,3,FALSE)</f>
        <v>0</v>
      </c>
      <c r="F5248" s="19">
        <f>VLOOKUP(D5248,'لیست پرسنل'!$B$2:$E$1020,4,FALSE)</f>
        <v>0</v>
      </c>
      <c r="G5248" s="127">
        <f>VLOOKUP(D5248,'لیست پرسنل'!$B$2:$F$1020,2,FALSE)</f>
        <v>0</v>
      </c>
      <c r="H5248" s="128" t="s">
        <v>4338</v>
      </c>
      <c r="I5248" s="128" t="s">
        <v>4338</v>
      </c>
      <c r="J5248" s="128" t="s">
        <v>2686</v>
      </c>
      <c r="K5248" s="171" t="s">
        <v>332</v>
      </c>
      <c r="L5248" s="156" t="s">
        <v>1280</v>
      </c>
      <c r="M5248" s="127">
        <v>603357</v>
      </c>
      <c r="N5248" s="108"/>
      <c r="O5248" s="19" t="s">
        <v>3212</v>
      </c>
      <c r="P5248" s="20" t="s">
        <v>4339</v>
      </c>
      <c r="Q5248" s="20" t="s">
        <v>4341</v>
      </c>
    </row>
    <row r="5249" spans="1:17" ht="24.9" customHeight="1">
      <c r="A5249" s="20"/>
      <c r="B5249" s="19" t="s">
        <v>4338</v>
      </c>
      <c r="C5249" s="20"/>
      <c r="D5249" s="20" t="s">
        <v>4338</v>
      </c>
      <c r="E5249" s="19">
        <f>VLOOKUP(D5249,'لیست پرسنل'!$B$2:$E$1020,3,FALSE)</f>
        <v>0</v>
      </c>
      <c r="F5249" s="19">
        <f>VLOOKUP(D5249,'لیست پرسنل'!$B$2:$E$1020,4,FALSE)</f>
        <v>0</v>
      </c>
      <c r="G5249" s="127">
        <f>VLOOKUP(D5249,'لیست پرسنل'!$B$2:$F$1020,2,FALSE)</f>
        <v>0</v>
      </c>
      <c r="H5249" s="128" t="s">
        <v>4338</v>
      </c>
      <c r="I5249" s="128" t="s">
        <v>4338</v>
      </c>
      <c r="J5249" s="128" t="s">
        <v>2686</v>
      </c>
      <c r="K5249" s="171" t="s">
        <v>320</v>
      </c>
      <c r="L5249" s="156" t="s">
        <v>1947</v>
      </c>
      <c r="M5249" s="128">
        <v>603782</v>
      </c>
      <c r="N5249" s="108"/>
      <c r="O5249" s="19" t="s">
        <v>3212</v>
      </c>
      <c r="P5249" s="20" t="s">
        <v>4339</v>
      </c>
      <c r="Q5249" s="20" t="s">
        <v>4341</v>
      </c>
    </row>
    <row r="5250" spans="1:17" ht="24.9" customHeight="1">
      <c r="A5250" s="20"/>
      <c r="B5250" s="19" t="s">
        <v>4338</v>
      </c>
      <c r="C5250" s="20"/>
      <c r="D5250" s="20" t="s">
        <v>4338</v>
      </c>
      <c r="E5250" s="19">
        <f>VLOOKUP(D5250,'لیست پرسنل'!$B$2:$E$1020,3,FALSE)</f>
        <v>0</v>
      </c>
      <c r="F5250" s="19">
        <f>VLOOKUP(D5250,'لیست پرسنل'!$B$2:$E$1020,4,FALSE)</f>
        <v>0</v>
      </c>
      <c r="G5250" s="127">
        <f>VLOOKUP(D5250,'لیست پرسنل'!$B$2:$F$1020,2,FALSE)</f>
        <v>0</v>
      </c>
      <c r="H5250" s="128" t="s">
        <v>4338</v>
      </c>
      <c r="I5250" s="128" t="s">
        <v>4338</v>
      </c>
      <c r="J5250" s="128" t="s">
        <v>2686</v>
      </c>
      <c r="K5250" s="127" t="s">
        <v>1244</v>
      </c>
      <c r="L5250" s="151" t="s">
        <v>2849</v>
      </c>
      <c r="M5250" s="127">
        <v>603806</v>
      </c>
      <c r="N5250" s="108"/>
      <c r="O5250" s="19"/>
      <c r="P5250" s="20" t="s">
        <v>4339</v>
      </c>
      <c r="Q5250" s="20" t="s">
        <v>4340</v>
      </c>
    </row>
    <row r="5251" spans="1:17" ht="24.9" customHeight="1">
      <c r="A5251" s="20"/>
      <c r="B5251" s="19" t="s">
        <v>4338</v>
      </c>
      <c r="C5251" s="20"/>
      <c r="D5251" s="20" t="s">
        <v>4338</v>
      </c>
      <c r="E5251" s="19">
        <f>VLOOKUP(D5251,'لیست پرسنل'!$B$2:$E$1020,3,FALSE)</f>
        <v>0</v>
      </c>
      <c r="F5251" s="19">
        <f>VLOOKUP(D5251,'لیست پرسنل'!$B$2:$E$1020,4,FALSE)</f>
        <v>0</v>
      </c>
      <c r="G5251" s="127">
        <f>VLOOKUP(D5251,'لیست پرسنل'!$B$2:$F$1020,2,FALSE)</f>
        <v>0</v>
      </c>
      <c r="H5251" s="128" t="s">
        <v>4338</v>
      </c>
      <c r="I5251" s="128" t="s">
        <v>4338</v>
      </c>
      <c r="J5251" s="128" t="s">
        <v>2686</v>
      </c>
      <c r="K5251" s="127" t="s">
        <v>332</v>
      </c>
      <c r="L5251" s="151" t="s">
        <v>3133</v>
      </c>
      <c r="M5251" s="128">
        <v>604004</v>
      </c>
      <c r="N5251" s="111"/>
      <c r="O5251" s="19" t="s">
        <v>5678</v>
      </c>
      <c r="P5251" s="20" t="s">
        <v>4339</v>
      </c>
      <c r="Q5251" s="20" t="s">
        <v>4341</v>
      </c>
    </row>
    <row r="5252" spans="1:17" ht="24.9" customHeight="1">
      <c r="A5252" s="20"/>
      <c r="B5252" s="19" t="s">
        <v>4338</v>
      </c>
      <c r="C5252" s="20"/>
      <c r="D5252" s="20" t="s">
        <v>4338</v>
      </c>
      <c r="E5252" s="19">
        <f>VLOOKUP(D5252,'لیست پرسنل'!$B$2:$E$1020,3,FALSE)</f>
        <v>0</v>
      </c>
      <c r="F5252" s="19">
        <f>VLOOKUP(D5252,'لیست پرسنل'!$B$2:$E$1020,4,FALSE)</f>
        <v>0</v>
      </c>
      <c r="G5252" s="127">
        <f>VLOOKUP(D5252,'لیست پرسنل'!$B$2:$F$1020,2,FALSE)</f>
        <v>0</v>
      </c>
      <c r="H5252" s="128" t="s">
        <v>4338</v>
      </c>
      <c r="I5252" s="128" t="s">
        <v>4338</v>
      </c>
      <c r="J5252" s="128" t="s">
        <v>2686</v>
      </c>
      <c r="K5252" s="133" t="s">
        <v>332</v>
      </c>
      <c r="L5252" s="150" t="s">
        <v>934</v>
      </c>
      <c r="M5252" s="127">
        <v>604755</v>
      </c>
      <c r="N5252" s="108"/>
      <c r="O5252" s="19" t="s">
        <v>3212</v>
      </c>
      <c r="P5252" s="20" t="s">
        <v>4339</v>
      </c>
      <c r="Q5252" s="20" t="s">
        <v>4341</v>
      </c>
    </row>
    <row r="5253" spans="1:17" ht="24.9" customHeight="1">
      <c r="A5253" s="20"/>
      <c r="B5253" s="19" t="s">
        <v>4338</v>
      </c>
      <c r="C5253" s="20"/>
      <c r="D5253" s="20" t="s">
        <v>4338</v>
      </c>
      <c r="E5253" s="19">
        <f>VLOOKUP(D5253,'لیست پرسنل'!$B$2:$E$1020,3,FALSE)</f>
        <v>0</v>
      </c>
      <c r="F5253" s="19">
        <f>VLOOKUP(D5253,'لیست پرسنل'!$B$2:$E$1020,4,FALSE)</f>
        <v>0</v>
      </c>
      <c r="G5253" s="127">
        <f>VLOOKUP(D5253,'لیست پرسنل'!$B$2:$F$1020,2,FALSE)</f>
        <v>0</v>
      </c>
      <c r="H5253" s="128" t="s">
        <v>4338</v>
      </c>
      <c r="I5253" s="128" t="s">
        <v>4338</v>
      </c>
      <c r="J5253" s="128" t="s">
        <v>2686</v>
      </c>
      <c r="K5253" s="171" t="s">
        <v>746</v>
      </c>
      <c r="L5253" s="156" t="s">
        <v>1931</v>
      </c>
      <c r="M5253" s="127">
        <v>605218</v>
      </c>
      <c r="N5253" s="108"/>
      <c r="O5253" s="19" t="s">
        <v>3212</v>
      </c>
      <c r="P5253" s="20" t="s">
        <v>4339</v>
      </c>
      <c r="Q5253" s="20" t="s">
        <v>4341</v>
      </c>
    </row>
    <row r="5254" spans="1:17" ht="24.9" customHeight="1">
      <c r="A5254" s="20"/>
      <c r="B5254" s="19" t="s">
        <v>4338</v>
      </c>
      <c r="C5254" s="20"/>
      <c r="D5254" s="20" t="s">
        <v>4338</v>
      </c>
      <c r="E5254" s="19">
        <f>VLOOKUP(D5254,'لیست پرسنل'!$B$2:$E$1020,3,FALSE)</f>
        <v>0</v>
      </c>
      <c r="F5254" s="19">
        <f>VLOOKUP(D5254,'لیست پرسنل'!$B$2:$E$1020,4,FALSE)</f>
        <v>0</v>
      </c>
      <c r="G5254" s="127">
        <f>VLOOKUP(D5254,'لیست پرسنل'!$B$2:$F$1020,2,FALSE)</f>
        <v>0</v>
      </c>
      <c r="H5254" s="128" t="s">
        <v>4338</v>
      </c>
      <c r="I5254" s="128" t="s">
        <v>4338</v>
      </c>
      <c r="J5254" s="128" t="s">
        <v>2686</v>
      </c>
      <c r="K5254" s="171" t="s">
        <v>606</v>
      </c>
      <c r="L5254" s="156" t="s">
        <v>936</v>
      </c>
      <c r="M5254" s="142">
        <v>605413</v>
      </c>
      <c r="N5254" s="108"/>
      <c r="O5254" s="19" t="s">
        <v>3212</v>
      </c>
      <c r="P5254" s="20" t="s">
        <v>4339</v>
      </c>
      <c r="Q5254" s="20" t="s">
        <v>4341</v>
      </c>
    </row>
    <row r="5255" spans="1:17" ht="24.9" customHeight="1">
      <c r="A5255" s="20"/>
      <c r="B5255" s="19" t="s">
        <v>4338</v>
      </c>
      <c r="C5255" s="20"/>
      <c r="D5255" s="20" t="s">
        <v>4338</v>
      </c>
      <c r="E5255" s="19">
        <f>VLOOKUP(D5255,'لیست پرسنل'!$B$2:$E$1020,3,FALSE)</f>
        <v>0</v>
      </c>
      <c r="F5255" s="19">
        <f>VLOOKUP(D5255,'لیست پرسنل'!$B$2:$E$1020,4,FALSE)</f>
        <v>0</v>
      </c>
      <c r="G5255" s="127">
        <f>VLOOKUP(D5255,'لیست پرسنل'!$B$2:$F$1020,2,FALSE)</f>
        <v>0</v>
      </c>
      <c r="H5255" s="128" t="s">
        <v>4338</v>
      </c>
      <c r="I5255" s="128" t="s">
        <v>4338</v>
      </c>
      <c r="J5255" s="128" t="s">
        <v>2686</v>
      </c>
      <c r="K5255" s="133" t="s">
        <v>746</v>
      </c>
      <c r="L5255" s="150" t="s">
        <v>1948</v>
      </c>
      <c r="M5255" s="127">
        <v>605845</v>
      </c>
      <c r="N5255" s="108"/>
      <c r="O5255" s="19" t="s">
        <v>3212</v>
      </c>
      <c r="P5255" s="20" t="s">
        <v>4339</v>
      </c>
      <c r="Q5255" s="20" t="s">
        <v>4341</v>
      </c>
    </row>
    <row r="5256" spans="1:17" ht="24.9" customHeight="1">
      <c r="A5256" s="20"/>
      <c r="B5256" s="19" t="s">
        <v>4338</v>
      </c>
      <c r="C5256" s="20"/>
      <c r="D5256" s="20" t="s">
        <v>4338</v>
      </c>
      <c r="E5256" s="19">
        <f>VLOOKUP(D5256,'لیست پرسنل'!$B$2:$E$1020,3,FALSE)</f>
        <v>0</v>
      </c>
      <c r="F5256" s="19">
        <f>VLOOKUP(D5256,'لیست پرسنل'!$B$2:$E$1020,4,FALSE)</f>
        <v>0</v>
      </c>
      <c r="G5256" s="127">
        <f>VLOOKUP(D5256,'لیست پرسنل'!$B$2:$F$1020,2,FALSE)</f>
        <v>0</v>
      </c>
      <c r="H5256" s="128" t="s">
        <v>4338</v>
      </c>
      <c r="I5256" s="128" t="s">
        <v>4338</v>
      </c>
      <c r="J5256" s="128" t="s">
        <v>2686</v>
      </c>
      <c r="K5256" s="171" t="s">
        <v>320</v>
      </c>
      <c r="L5256" s="156" t="s">
        <v>1946</v>
      </c>
      <c r="M5256" s="142">
        <v>605981</v>
      </c>
      <c r="N5256" s="108"/>
      <c r="O5256" s="19" t="s">
        <v>3212</v>
      </c>
      <c r="P5256" s="20" t="s">
        <v>4339</v>
      </c>
      <c r="Q5256" s="20" t="s">
        <v>4341</v>
      </c>
    </row>
    <row r="5257" spans="1:17" ht="24.9" customHeight="1">
      <c r="A5257" s="20"/>
      <c r="B5257" s="19" t="s">
        <v>4338</v>
      </c>
      <c r="C5257" s="20"/>
      <c r="D5257" s="20" t="s">
        <v>4338</v>
      </c>
      <c r="E5257" s="19">
        <f>VLOOKUP(D5257,'لیست پرسنل'!$B$2:$E$1020,3,FALSE)</f>
        <v>0</v>
      </c>
      <c r="F5257" s="19">
        <f>VLOOKUP(D5257,'لیست پرسنل'!$B$2:$E$1020,4,FALSE)</f>
        <v>0</v>
      </c>
      <c r="G5257" s="127">
        <f>VLOOKUP(D5257,'لیست پرسنل'!$B$2:$F$1020,2,FALSE)</f>
        <v>0</v>
      </c>
      <c r="H5257" s="128" t="s">
        <v>4338</v>
      </c>
      <c r="I5257" s="128" t="s">
        <v>4338</v>
      </c>
      <c r="J5257" s="128" t="s">
        <v>2686</v>
      </c>
      <c r="K5257" s="127" t="s">
        <v>890</v>
      </c>
      <c r="L5257" s="151" t="s">
        <v>3214</v>
      </c>
      <c r="M5257" s="127">
        <v>607687</v>
      </c>
      <c r="N5257" s="108"/>
      <c r="O5257" s="19"/>
      <c r="P5257" s="20" t="s">
        <v>4339</v>
      </c>
      <c r="Q5257" s="20" t="s">
        <v>4341</v>
      </c>
    </row>
    <row r="5258" spans="1:17" ht="24.9" customHeight="1">
      <c r="A5258" s="20"/>
      <c r="B5258" s="19" t="s">
        <v>4338</v>
      </c>
      <c r="C5258" s="20"/>
      <c r="D5258" s="20" t="s">
        <v>4338</v>
      </c>
      <c r="E5258" s="19">
        <f>VLOOKUP(D5258,'لیست پرسنل'!$B$2:$E$1020,3,FALSE)</f>
        <v>0</v>
      </c>
      <c r="F5258" s="19">
        <f>VLOOKUP(D5258,'لیست پرسنل'!$B$2:$E$1020,4,FALSE)</f>
        <v>0</v>
      </c>
      <c r="G5258" s="127">
        <f>VLOOKUP(D5258,'لیست پرسنل'!$B$2:$F$1020,2,FALSE)</f>
        <v>0</v>
      </c>
      <c r="H5258" s="128" t="s">
        <v>4338</v>
      </c>
      <c r="I5258" s="128" t="s">
        <v>4338</v>
      </c>
      <c r="J5258" s="128" t="s">
        <v>2686</v>
      </c>
      <c r="K5258" s="171" t="s">
        <v>1404</v>
      </c>
      <c r="L5258" s="156" t="s">
        <v>964</v>
      </c>
      <c r="M5258" s="142">
        <v>608828</v>
      </c>
      <c r="N5258" s="108"/>
      <c r="O5258" s="19" t="s">
        <v>3212</v>
      </c>
      <c r="P5258" s="20" t="s">
        <v>4339</v>
      </c>
      <c r="Q5258" s="20" t="s">
        <v>4341</v>
      </c>
    </row>
    <row r="5259" spans="1:17" ht="24.9" customHeight="1">
      <c r="A5259" s="20"/>
      <c r="B5259" s="19" t="s">
        <v>4338</v>
      </c>
      <c r="C5259" s="20"/>
      <c r="D5259" s="20" t="s">
        <v>4338</v>
      </c>
      <c r="E5259" s="19">
        <f>VLOOKUP(D5259,'لیست پرسنل'!$B$2:$E$1020,3,FALSE)</f>
        <v>0</v>
      </c>
      <c r="F5259" s="19">
        <f>VLOOKUP(D5259,'لیست پرسنل'!$B$2:$E$1020,4,FALSE)</f>
        <v>0</v>
      </c>
      <c r="G5259" s="127">
        <f>VLOOKUP(D5259,'لیست پرسنل'!$B$2:$F$1020,2,FALSE)</f>
        <v>0</v>
      </c>
      <c r="H5259" s="128" t="s">
        <v>4338</v>
      </c>
      <c r="I5259" s="128" t="s">
        <v>4338</v>
      </c>
      <c r="J5259" s="128" t="s">
        <v>2686</v>
      </c>
      <c r="K5259" s="171" t="s">
        <v>746</v>
      </c>
      <c r="L5259" s="156" t="s">
        <v>1934</v>
      </c>
      <c r="M5259" s="127">
        <v>610116</v>
      </c>
      <c r="N5259" s="108"/>
      <c r="O5259" s="19" t="s">
        <v>3212</v>
      </c>
      <c r="P5259" s="20" t="s">
        <v>4339</v>
      </c>
      <c r="Q5259" s="20" t="s">
        <v>4341</v>
      </c>
    </row>
    <row r="5260" spans="1:17" ht="24.9" customHeight="1">
      <c r="A5260" s="20"/>
      <c r="B5260" s="19" t="s">
        <v>4338</v>
      </c>
      <c r="C5260" s="20"/>
      <c r="D5260" s="20" t="s">
        <v>4338</v>
      </c>
      <c r="E5260" s="19">
        <f>VLOOKUP(D5260,'لیست پرسنل'!$B$2:$E$1020,3,FALSE)</f>
        <v>0</v>
      </c>
      <c r="F5260" s="19">
        <f>VLOOKUP(D5260,'لیست پرسنل'!$B$2:$E$1020,4,FALSE)</f>
        <v>0</v>
      </c>
      <c r="G5260" s="127">
        <f>VLOOKUP(D5260,'لیست پرسنل'!$B$2:$F$1020,2,FALSE)</f>
        <v>0</v>
      </c>
      <c r="H5260" s="128" t="s">
        <v>4338</v>
      </c>
      <c r="I5260" s="128" t="s">
        <v>4338</v>
      </c>
      <c r="J5260" s="128" t="s">
        <v>2686</v>
      </c>
      <c r="K5260" s="171" t="s">
        <v>622</v>
      </c>
      <c r="L5260" s="156" t="s">
        <v>931</v>
      </c>
      <c r="M5260" s="127">
        <v>623617</v>
      </c>
      <c r="N5260" s="108"/>
      <c r="O5260" s="19" t="s">
        <v>4342</v>
      </c>
      <c r="P5260" s="20" t="s">
        <v>4339</v>
      </c>
      <c r="Q5260" s="20" t="s">
        <v>4341</v>
      </c>
    </row>
    <row r="5261" spans="1:17" ht="24.9" customHeight="1">
      <c r="A5261" s="20"/>
      <c r="B5261" s="20" t="s">
        <v>4338</v>
      </c>
      <c r="C5261" s="19"/>
      <c r="D5261" s="19" t="s">
        <v>4338</v>
      </c>
      <c r="E5261" s="19">
        <f>VLOOKUP(D5261,'لیست پرسنل'!$B$2:$E$1020,3,FALSE)</f>
        <v>0</v>
      </c>
      <c r="F5261" s="19">
        <f>VLOOKUP(D5261,'لیست پرسنل'!$B$2:$E$1020,4,FALSE)</f>
        <v>0</v>
      </c>
      <c r="G5261" s="127">
        <f>VLOOKUP(D5261,'لیست پرسنل'!$B$2:$F$1020,2,FALSE)</f>
        <v>0</v>
      </c>
      <c r="H5261" s="151" t="s">
        <v>4338</v>
      </c>
      <c r="I5261" s="127"/>
      <c r="J5261" s="128" t="s">
        <v>737</v>
      </c>
      <c r="K5261" s="128" t="s">
        <v>3347</v>
      </c>
      <c r="L5261" s="127" t="s">
        <v>3677</v>
      </c>
      <c r="M5261" s="131">
        <v>628674</v>
      </c>
      <c r="N5261" s="109"/>
      <c r="O5261" s="36" t="s">
        <v>6713</v>
      </c>
      <c r="P5261" s="20"/>
      <c r="Q5261" s="20"/>
    </row>
    <row r="5262" spans="1:17" ht="24.9" customHeight="1">
      <c r="A5262" s="20"/>
      <c r="B5262" s="20" t="s">
        <v>4338</v>
      </c>
      <c r="C5262" s="20"/>
      <c r="D5262" s="20" t="s">
        <v>4338</v>
      </c>
      <c r="E5262" s="19">
        <f>VLOOKUP(D5262,'لیست پرسنل'!$B$2:$E$1020,3,FALSE)</f>
        <v>0</v>
      </c>
      <c r="F5262" s="19">
        <f>VLOOKUP(D5262,'لیست پرسنل'!$B$2:$E$1020,4,FALSE)</f>
        <v>0</v>
      </c>
      <c r="G5262" s="127">
        <f>VLOOKUP(D5262,'لیست پرسنل'!$B$2:$F$1020,2,FALSE)</f>
        <v>0</v>
      </c>
      <c r="H5262" s="127" t="s">
        <v>4338</v>
      </c>
      <c r="I5262" s="127"/>
      <c r="J5262" s="128" t="s">
        <v>5433</v>
      </c>
      <c r="K5262" s="127" t="s">
        <v>6545</v>
      </c>
      <c r="L5262" s="127" t="s">
        <v>6546</v>
      </c>
      <c r="M5262" s="127">
        <v>624425</v>
      </c>
      <c r="N5262" s="109"/>
      <c r="O5262" s="20" t="s">
        <v>7593</v>
      </c>
      <c r="P5262" s="20"/>
      <c r="Q5262" s="20"/>
    </row>
    <row r="5263" spans="1:17" ht="24.9" customHeight="1">
      <c r="A5263" s="20"/>
      <c r="B5263" s="19" t="s">
        <v>4338</v>
      </c>
      <c r="C5263" s="20"/>
      <c r="D5263" s="19" t="s">
        <v>4338</v>
      </c>
      <c r="E5263" s="19">
        <f>VLOOKUP(D5263,'لیست پرسنل'!$B$2:$E$1020,3,FALSE)</f>
        <v>0</v>
      </c>
      <c r="F5263" s="19">
        <f>VLOOKUP(D5263,'لیست پرسنل'!$B$2:$E$1020,4,FALSE)</f>
        <v>0</v>
      </c>
      <c r="G5263" s="127">
        <f>VLOOKUP(D5263,'لیست پرسنل'!$B$2:$F$1020,2,FALSE)</f>
        <v>0</v>
      </c>
      <c r="H5263" s="127" t="s">
        <v>4338</v>
      </c>
      <c r="I5263" s="128"/>
      <c r="J5263" s="126" t="s">
        <v>368</v>
      </c>
      <c r="K5263" s="128" t="s">
        <v>2606</v>
      </c>
      <c r="L5263" s="128" t="s">
        <v>5746</v>
      </c>
      <c r="M5263" s="128">
        <v>621753</v>
      </c>
      <c r="N5263" s="109" t="s">
        <v>6766</v>
      </c>
      <c r="O5263" s="20"/>
      <c r="P5263" s="20"/>
      <c r="Q5263" s="20"/>
    </row>
    <row r="5264" spans="1:17" ht="24.9" customHeight="1">
      <c r="A5264" s="20"/>
      <c r="B5264" s="19" t="s">
        <v>4338</v>
      </c>
      <c r="C5264" s="20"/>
      <c r="D5264" s="19" t="s">
        <v>4338</v>
      </c>
      <c r="E5264" s="19">
        <f>VLOOKUP(D5264,'لیست پرسنل'!$B$2:$E$1020,3,FALSE)</f>
        <v>0</v>
      </c>
      <c r="F5264" s="19">
        <f>VLOOKUP(D5264,'لیست پرسنل'!$B$2:$E$1020,4,FALSE)</f>
        <v>0</v>
      </c>
      <c r="G5264" s="127">
        <f>VLOOKUP(D5264,'لیست پرسنل'!$B$2:$F$1020,2,FALSE)</f>
        <v>0</v>
      </c>
      <c r="H5264" s="127" t="s">
        <v>4338</v>
      </c>
      <c r="I5264" s="128"/>
      <c r="J5264" s="126" t="s">
        <v>368</v>
      </c>
      <c r="K5264" s="128" t="s">
        <v>2606</v>
      </c>
      <c r="L5264" s="128" t="s">
        <v>5747</v>
      </c>
      <c r="M5264" s="128">
        <v>621764</v>
      </c>
      <c r="N5264" s="109" t="s">
        <v>6766</v>
      </c>
      <c r="O5264" s="20"/>
      <c r="P5264" s="20"/>
      <c r="Q5264" s="20"/>
    </row>
    <row r="5265" spans="1:17" ht="24.9" customHeight="1">
      <c r="A5265" s="20"/>
      <c r="B5265" s="19" t="s">
        <v>4338</v>
      </c>
      <c r="C5265" s="20"/>
      <c r="D5265" s="19" t="s">
        <v>4338</v>
      </c>
      <c r="E5265" s="19">
        <f>VLOOKUP(D5265,'لیست پرسنل'!$B$2:$E$1020,3,FALSE)</f>
        <v>0</v>
      </c>
      <c r="F5265" s="19">
        <f>VLOOKUP(D5265,'لیست پرسنل'!$B$2:$E$1020,4,FALSE)</f>
        <v>0</v>
      </c>
      <c r="G5265" s="127">
        <f>VLOOKUP(D5265,'لیست پرسنل'!$B$2:$F$1020,2,FALSE)</f>
        <v>0</v>
      </c>
      <c r="H5265" s="127" t="s">
        <v>4338</v>
      </c>
      <c r="I5265" s="128"/>
      <c r="J5265" s="127" t="s">
        <v>368</v>
      </c>
      <c r="K5265" s="127" t="s">
        <v>5664</v>
      </c>
      <c r="L5265" s="127" t="s">
        <v>5665</v>
      </c>
      <c r="M5265" s="127">
        <v>621767</v>
      </c>
      <c r="N5265" s="109" t="s">
        <v>6766</v>
      </c>
      <c r="O5265" s="20" t="s">
        <v>5666</v>
      </c>
      <c r="P5265" s="28"/>
      <c r="Q5265" s="28"/>
    </row>
    <row r="5266" spans="1:17" ht="24.9" customHeight="1">
      <c r="A5266" s="20"/>
      <c r="B5266" s="20" t="s">
        <v>4338</v>
      </c>
      <c r="C5266" s="19"/>
      <c r="D5266" s="19" t="s">
        <v>4338</v>
      </c>
      <c r="E5266" s="19">
        <f>VLOOKUP(D5266,'لیست پرسنل'!$B$2:$E$1020,3,FALSE)</f>
        <v>0</v>
      </c>
      <c r="F5266" s="19">
        <f>VLOOKUP(D5266,'لیست پرسنل'!$B$2:$E$1020,4,FALSE)</f>
        <v>0</v>
      </c>
      <c r="G5266" s="127">
        <f>VLOOKUP(D5266,'لیست پرسنل'!$B$2:$F$1020,2,FALSE)</f>
        <v>0</v>
      </c>
      <c r="H5266" s="151" t="s">
        <v>4338</v>
      </c>
      <c r="I5266" s="127"/>
      <c r="J5266" s="128" t="s">
        <v>885</v>
      </c>
      <c r="K5266" s="128" t="s">
        <v>7178</v>
      </c>
      <c r="L5266" s="151"/>
      <c r="M5266" s="127">
        <v>635227</v>
      </c>
      <c r="N5266" s="109"/>
      <c r="O5266" s="19" t="s">
        <v>7506</v>
      </c>
      <c r="P5266" s="20"/>
      <c r="Q5266" s="20"/>
    </row>
    <row r="5267" spans="1:17" ht="24.9" customHeight="1">
      <c r="A5267" s="20"/>
      <c r="B5267" s="19" t="s">
        <v>4338</v>
      </c>
      <c r="C5267" s="20"/>
      <c r="D5267" s="19" t="s">
        <v>4338</v>
      </c>
      <c r="E5267" s="19">
        <f>VLOOKUP(D5267,'لیست پرسنل'!$B$2:$E$1020,3,FALSE)</f>
        <v>0</v>
      </c>
      <c r="F5267" s="19">
        <f>VLOOKUP(D5267,'لیست پرسنل'!$B$2:$E$1020,4,FALSE)</f>
        <v>0</v>
      </c>
      <c r="G5267" s="127">
        <f>VLOOKUP(D5267,'لیست پرسنل'!$B$2:$F$1020,2,FALSE)</f>
        <v>0</v>
      </c>
      <c r="H5267" s="127" t="s">
        <v>4338</v>
      </c>
      <c r="I5267" s="128"/>
      <c r="J5267" s="126" t="s">
        <v>571</v>
      </c>
      <c r="K5267" s="128" t="s">
        <v>1514</v>
      </c>
      <c r="L5267" s="128"/>
      <c r="M5267" s="128">
        <v>603232</v>
      </c>
      <c r="N5267" s="109" t="s">
        <v>6766</v>
      </c>
      <c r="O5267" s="20"/>
      <c r="P5267" s="20"/>
      <c r="Q5267" s="20"/>
    </row>
    <row r="5268" spans="1:17" ht="24.9" customHeight="1">
      <c r="A5268" s="20"/>
      <c r="B5268" s="19" t="s">
        <v>4338</v>
      </c>
      <c r="C5268" s="20"/>
      <c r="D5268" s="19" t="s">
        <v>4338</v>
      </c>
      <c r="E5268" s="19">
        <f>VLOOKUP(D5268,'لیست پرسنل'!$B$2:$E$1020,3,FALSE)</f>
        <v>0</v>
      </c>
      <c r="F5268" s="19">
        <f>VLOOKUP(D5268,'لیست پرسنل'!$B$2:$E$1020,4,FALSE)</f>
        <v>0</v>
      </c>
      <c r="G5268" s="127">
        <f>VLOOKUP(D5268,'لیست پرسنل'!$B$2:$F$1020,2,FALSE)</f>
        <v>0</v>
      </c>
      <c r="H5268" s="127" t="s">
        <v>4338</v>
      </c>
      <c r="I5268" s="128"/>
      <c r="J5268" s="126" t="s">
        <v>571</v>
      </c>
      <c r="K5268" s="128" t="s">
        <v>1514</v>
      </c>
      <c r="L5268" s="150"/>
      <c r="M5268" s="128">
        <v>603951</v>
      </c>
      <c r="N5268" s="109" t="s">
        <v>6766</v>
      </c>
      <c r="O5268" s="20"/>
      <c r="P5268" s="20"/>
      <c r="Q5268" s="20"/>
    </row>
    <row r="5269" spans="1:17" ht="24.9" customHeight="1">
      <c r="A5269" s="20"/>
      <c r="B5269" s="19" t="s">
        <v>4338</v>
      </c>
      <c r="C5269" s="20"/>
      <c r="D5269" s="19" t="s">
        <v>4338</v>
      </c>
      <c r="E5269" s="19">
        <f>VLOOKUP(D5269,'لیست پرسنل'!$B$2:$E$1020,3,FALSE)</f>
        <v>0</v>
      </c>
      <c r="F5269" s="19">
        <f>VLOOKUP(D5269,'لیست پرسنل'!$B$2:$E$1020,4,FALSE)</f>
        <v>0</v>
      </c>
      <c r="G5269" s="127">
        <f>VLOOKUP(D5269,'لیست پرسنل'!$B$2:$F$1020,2,FALSE)</f>
        <v>0</v>
      </c>
      <c r="H5269" s="127" t="s">
        <v>4338</v>
      </c>
      <c r="I5269" s="128"/>
      <c r="J5269" s="126" t="s">
        <v>571</v>
      </c>
      <c r="K5269" s="128" t="s">
        <v>1514</v>
      </c>
      <c r="L5269" s="150"/>
      <c r="M5269" s="128">
        <v>610560</v>
      </c>
      <c r="N5269" s="109" t="s">
        <v>6766</v>
      </c>
      <c r="O5269" s="20"/>
      <c r="P5269" s="20"/>
      <c r="Q5269" s="20"/>
    </row>
    <row r="5270" spans="1:17" ht="24.9" customHeight="1">
      <c r="A5270" s="20"/>
      <c r="B5270" s="19" t="s">
        <v>4338</v>
      </c>
      <c r="C5270" s="20"/>
      <c r="D5270" s="19" t="s">
        <v>4338</v>
      </c>
      <c r="E5270" s="19">
        <f>VLOOKUP(D5270,'لیست پرسنل'!$B$2:$E$1020,3,FALSE)</f>
        <v>0</v>
      </c>
      <c r="F5270" s="19">
        <f>VLOOKUP(D5270,'لیست پرسنل'!$B$2:$E$1020,4,FALSE)</f>
        <v>0</v>
      </c>
      <c r="G5270" s="127">
        <f>VLOOKUP(D5270,'لیست پرسنل'!$B$2:$F$1020,2,FALSE)</f>
        <v>0</v>
      </c>
      <c r="H5270" s="127" t="s">
        <v>4338</v>
      </c>
      <c r="I5270" s="128"/>
      <c r="J5270" s="128" t="s">
        <v>571</v>
      </c>
      <c r="K5270" s="128"/>
      <c r="L5270" s="128"/>
      <c r="M5270" s="127">
        <v>618369</v>
      </c>
      <c r="N5270" s="109" t="s">
        <v>6766</v>
      </c>
      <c r="O5270" s="19"/>
      <c r="P5270" s="20"/>
      <c r="Q5270" s="20"/>
    </row>
    <row r="5271" spans="1:17" ht="24.9" customHeight="1">
      <c r="A5271" s="20"/>
      <c r="B5271" s="19" t="s">
        <v>4338</v>
      </c>
      <c r="C5271" s="20"/>
      <c r="D5271" s="19" t="s">
        <v>4338</v>
      </c>
      <c r="E5271" s="19">
        <f>VLOOKUP(D5271,'لیست پرسنل'!$B$2:$E$1020,3,FALSE)</f>
        <v>0</v>
      </c>
      <c r="F5271" s="19">
        <f>VLOOKUP(D5271,'لیست پرسنل'!$B$2:$E$1020,4,FALSE)</f>
        <v>0</v>
      </c>
      <c r="G5271" s="127">
        <f>VLOOKUP(D5271,'لیست پرسنل'!$B$2:$F$1020,2,FALSE)</f>
        <v>0</v>
      </c>
      <c r="H5271" s="127" t="s">
        <v>4338</v>
      </c>
      <c r="I5271" s="128"/>
      <c r="J5271" s="126" t="s">
        <v>571</v>
      </c>
      <c r="K5271" s="128" t="s">
        <v>5620</v>
      </c>
      <c r="L5271" s="150"/>
      <c r="M5271" s="128">
        <v>632364</v>
      </c>
      <c r="N5271" s="109" t="s">
        <v>6766</v>
      </c>
      <c r="O5271" s="20" t="s">
        <v>5882</v>
      </c>
      <c r="P5271" s="20"/>
      <c r="Q5271" s="20"/>
    </row>
    <row r="5272" spans="1:17" ht="24.9" customHeight="1">
      <c r="A5272" s="20"/>
      <c r="B5272" s="19" t="s">
        <v>4338</v>
      </c>
      <c r="C5272" s="20"/>
      <c r="D5272" s="19" t="s">
        <v>4338</v>
      </c>
      <c r="E5272" s="19">
        <f>VLOOKUP(D5272,'لیست پرسنل'!$B$2:$E$1020,3,FALSE)</f>
        <v>0</v>
      </c>
      <c r="F5272" s="19">
        <f>VLOOKUP(D5272,'لیست پرسنل'!$B$2:$E$1020,4,FALSE)</f>
        <v>0</v>
      </c>
      <c r="G5272" s="127">
        <f>VLOOKUP(D5272,'لیست پرسنل'!$B$2:$F$1020,2,FALSE)</f>
        <v>0</v>
      </c>
      <c r="H5272" s="127" t="s">
        <v>4338</v>
      </c>
      <c r="I5272" s="128"/>
      <c r="J5272" s="126" t="s">
        <v>571</v>
      </c>
      <c r="K5272" s="128" t="s">
        <v>5620</v>
      </c>
      <c r="L5272" s="150"/>
      <c r="M5272" s="128">
        <v>632366</v>
      </c>
      <c r="N5272" s="109" t="s">
        <v>6766</v>
      </c>
      <c r="O5272" s="20" t="s">
        <v>5883</v>
      </c>
      <c r="P5272" s="20"/>
      <c r="Q5272" s="20"/>
    </row>
    <row r="5273" spans="1:17" ht="24.9" customHeight="1">
      <c r="A5273" s="20"/>
      <c r="B5273" s="19" t="s">
        <v>4338</v>
      </c>
      <c r="C5273" s="20"/>
      <c r="D5273" s="19" t="s">
        <v>4338</v>
      </c>
      <c r="E5273" s="19">
        <f>VLOOKUP(D5273,'لیست پرسنل'!$B$2:$E$1020,3,FALSE)</f>
        <v>0</v>
      </c>
      <c r="F5273" s="19">
        <f>VLOOKUP(D5273,'لیست پرسنل'!$B$2:$E$1020,4,FALSE)</f>
        <v>0</v>
      </c>
      <c r="G5273" s="127">
        <f>VLOOKUP(D5273,'لیست پرسنل'!$B$2:$F$1020,2,FALSE)</f>
        <v>0</v>
      </c>
      <c r="H5273" s="127" t="s">
        <v>4338</v>
      </c>
      <c r="I5273" s="128"/>
      <c r="J5273" s="127" t="s">
        <v>571</v>
      </c>
      <c r="K5273" s="127" t="s">
        <v>4771</v>
      </c>
      <c r="L5273" s="127"/>
      <c r="M5273" s="127">
        <v>632371</v>
      </c>
      <c r="N5273" s="109" t="s">
        <v>6766</v>
      </c>
      <c r="O5273" s="20" t="s">
        <v>5898</v>
      </c>
      <c r="P5273" s="28"/>
      <c r="Q5273" s="28"/>
    </row>
    <row r="5274" spans="1:17" ht="24.9" customHeight="1">
      <c r="A5274" s="20"/>
      <c r="B5274" s="19" t="s">
        <v>4338</v>
      </c>
      <c r="C5274" s="20"/>
      <c r="D5274" s="19" t="s">
        <v>4338</v>
      </c>
      <c r="E5274" s="19">
        <f>VLOOKUP(D5274,'لیست پرسنل'!$B$2:$E$1020,3,FALSE)</f>
        <v>0</v>
      </c>
      <c r="F5274" s="19">
        <f>VLOOKUP(D5274,'لیست پرسنل'!$B$2:$E$1020,4,FALSE)</f>
        <v>0</v>
      </c>
      <c r="G5274" s="127">
        <f>VLOOKUP(D5274,'لیست پرسنل'!$B$2:$F$1020,2,FALSE)</f>
        <v>0</v>
      </c>
      <c r="H5274" s="127" t="s">
        <v>4338</v>
      </c>
      <c r="I5274" s="128"/>
      <c r="J5274" s="127" t="s">
        <v>571</v>
      </c>
      <c r="K5274" s="127" t="s">
        <v>4771</v>
      </c>
      <c r="L5274" s="127"/>
      <c r="M5274" s="127">
        <v>632380</v>
      </c>
      <c r="N5274" s="109" t="s">
        <v>6766</v>
      </c>
      <c r="O5274" s="20" t="s">
        <v>5896</v>
      </c>
      <c r="P5274" s="28"/>
      <c r="Q5274" s="28"/>
    </row>
    <row r="5275" spans="1:17" ht="24.9" customHeight="1">
      <c r="A5275" s="20"/>
      <c r="B5275" s="19" t="s">
        <v>4338</v>
      </c>
      <c r="C5275" s="20"/>
      <c r="D5275" s="19" t="s">
        <v>4338</v>
      </c>
      <c r="E5275" s="19">
        <f>VLOOKUP(D5275,'لیست پرسنل'!$B$2:$E$1020,3,FALSE)</f>
        <v>0</v>
      </c>
      <c r="F5275" s="19">
        <f>VLOOKUP(D5275,'لیست پرسنل'!$B$2:$E$1020,4,FALSE)</f>
        <v>0</v>
      </c>
      <c r="G5275" s="127">
        <f>VLOOKUP(D5275,'لیست پرسنل'!$B$2:$F$1020,2,FALSE)</f>
        <v>0</v>
      </c>
      <c r="H5275" s="127" t="s">
        <v>4338</v>
      </c>
      <c r="I5275" s="128"/>
      <c r="J5275" s="127" t="s">
        <v>2686</v>
      </c>
      <c r="K5275" s="127" t="s">
        <v>5646</v>
      </c>
      <c r="L5275" s="151" t="s">
        <v>1148</v>
      </c>
      <c r="M5275" s="127">
        <v>604143</v>
      </c>
      <c r="N5275" s="109" t="s">
        <v>6766</v>
      </c>
      <c r="O5275" s="20" t="s">
        <v>5676</v>
      </c>
      <c r="P5275" s="28"/>
      <c r="Q5275" s="28"/>
    </row>
    <row r="5276" spans="1:17" ht="24.9" customHeight="1">
      <c r="A5276" s="20"/>
      <c r="B5276" s="19" t="s">
        <v>4338</v>
      </c>
      <c r="C5276" s="20"/>
      <c r="D5276" s="19" t="s">
        <v>4338</v>
      </c>
      <c r="E5276" s="19">
        <f>VLOOKUP(D5276,'لیست پرسنل'!$B$2:$E$1020,3,FALSE)</f>
        <v>0</v>
      </c>
      <c r="F5276" s="19">
        <f>VLOOKUP(D5276,'لیست پرسنل'!$B$2:$E$1020,4,FALSE)</f>
        <v>0</v>
      </c>
      <c r="G5276" s="127">
        <f>VLOOKUP(D5276,'لیست پرسنل'!$B$2:$F$1020,2,FALSE)</f>
        <v>0</v>
      </c>
      <c r="H5276" s="127" t="s">
        <v>4338</v>
      </c>
      <c r="I5276" s="128"/>
      <c r="J5276" s="126" t="s">
        <v>2686</v>
      </c>
      <c r="K5276" s="128" t="s">
        <v>1623</v>
      </c>
      <c r="L5276" s="150" t="s">
        <v>5736</v>
      </c>
      <c r="M5276" s="128">
        <v>632386</v>
      </c>
      <c r="N5276" s="109" t="s">
        <v>6766</v>
      </c>
      <c r="O5276" s="20" t="s">
        <v>5887</v>
      </c>
      <c r="P5276" s="20"/>
      <c r="Q5276" s="20"/>
    </row>
    <row r="5277" spans="1:17" ht="24.9" customHeight="1">
      <c r="A5277" s="20"/>
      <c r="B5277" s="19" t="s">
        <v>4338</v>
      </c>
      <c r="C5277" s="20"/>
      <c r="D5277" s="19" t="s">
        <v>4338</v>
      </c>
      <c r="E5277" s="19">
        <f>VLOOKUP(D5277,'لیست پرسنل'!$B$2:$E$1020,3,FALSE)</f>
        <v>0</v>
      </c>
      <c r="F5277" s="19">
        <f>VLOOKUP(D5277,'لیست پرسنل'!$B$2:$E$1020,4,FALSE)</f>
        <v>0</v>
      </c>
      <c r="G5277" s="127">
        <f>VLOOKUP(D5277,'لیست پرسنل'!$B$2:$F$1020,2,FALSE)</f>
        <v>0</v>
      </c>
      <c r="H5277" s="127" t="s">
        <v>4338</v>
      </c>
      <c r="I5277" s="128"/>
      <c r="J5277" s="126" t="s">
        <v>2686</v>
      </c>
      <c r="K5277" s="128" t="s">
        <v>517</v>
      </c>
      <c r="L5277" s="150" t="s">
        <v>5737</v>
      </c>
      <c r="M5277" s="128">
        <v>632390</v>
      </c>
      <c r="N5277" s="109" t="s">
        <v>6766</v>
      </c>
      <c r="O5277" s="20" t="s">
        <v>5888</v>
      </c>
      <c r="P5277" s="20"/>
      <c r="Q5277" s="20"/>
    </row>
    <row r="5278" spans="1:17" ht="24.9" customHeight="1">
      <c r="A5278" s="20"/>
      <c r="B5278" s="19" t="s">
        <v>4338</v>
      </c>
      <c r="C5278" s="20"/>
      <c r="D5278" s="19" t="s">
        <v>4338</v>
      </c>
      <c r="E5278" s="19">
        <f>VLOOKUP(D5278,'لیست پرسنل'!$B$2:$E$1020,3,FALSE)</f>
        <v>0</v>
      </c>
      <c r="F5278" s="19">
        <f>VLOOKUP(D5278,'لیست پرسنل'!$B$2:$E$1020,4,FALSE)</f>
        <v>0</v>
      </c>
      <c r="G5278" s="127">
        <f>VLOOKUP(D5278,'لیست پرسنل'!$B$2:$F$1020,2,FALSE)</f>
        <v>0</v>
      </c>
      <c r="H5278" s="127" t="s">
        <v>4338</v>
      </c>
      <c r="I5278" s="128"/>
      <c r="J5278" s="126" t="s">
        <v>2686</v>
      </c>
      <c r="K5278" s="128" t="s">
        <v>5745</v>
      </c>
      <c r="L5278" s="150" t="s">
        <v>5744</v>
      </c>
      <c r="M5278" s="128">
        <v>632393</v>
      </c>
      <c r="N5278" s="109" t="s">
        <v>6766</v>
      </c>
      <c r="O5278" s="20" t="s">
        <v>5885</v>
      </c>
      <c r="P5278" s="20"/>
      <c r="Q5278" s="20"/>
    </row>
    <row r="5279" spans="1:17" ht="24.9" customHeight="1">
      <c r="A5279" s="20"/>
      <c r="B5279" s="19" t="s">
        <v>4338</v>
      </c>
      <c r="C5279" s="20"/>
      <c r="D5279" s="19" t="s">
        <v>4338</v>
      </c>
      <c r="E5279" s="19">
        <f>VLOOKUP(D5279,'لیست پرسنل'!$B$2:$E$1020,3,FALSE)</f>
        <v>0</v>
      </c>
      <c r="F5279" s="19">
        <f>VLOOKUP(D5279,'لیست پرسنل'!$B$2:$E$1020,4,FALSE)</f>
        <v>0</v>
      </c>
      <c r="G5279" s="127">
        <f>VLOOKUP(D5279,'لیست پرسنل'!$B$2:$F$1020,2,FALSE)</f>
        <v>0</v>
      </c>
      <c r="H5279" s="127" t="s">
        <v>4338</v>
      </c>
      <c r="I5279" s="128"/>
      <c r="J5279" s="127" t="s">
        <v>2686</v>
      </c>
      <c r="K5279" s="127" t="s">
        <v>5667</v>
      </c>
      <c r="L5279" s="151" t="s">
        <v>5674</v>
      </c>
      <c r="M5279" s="127">
        <v>632399</v>
      </c>
      <c r="N5279" s="109" t="s">
        <v>6766</v>
      </c>
      <c r="O5279" s="20" t="s">
        <v>5899</v>
      </c>
      <c r="P5279" s="28"/>
      <c r="Q5279" s="28"/>
    </row>
    <row r="5280" spans="1:17" ht="24.9" customHeight="1">
      <c r="A5280" s="20"/>
      <c r="B5280" s="20" t="s">
        <v>4338</v>
      </c>
      <c r="C5280" s="20"/>
      <c r="D5280" s="20" t="s">
        <v>4338</v>
      </c>
      <c r="E5280" s="19">
        <f>VLOOKUP(D5280,'لیست پرسنل'!$B$2:$E$1020,3,FALSE)</f>
        <v>0</v>
      </c>
      <c r="F5280" s="19">
        <f>VLOOKUP(D5280,'لیست پرسنل'!$B$2:$E$1020,4,FALSE)</f>
        <v>0</v>
      </c>
      <c r="G5280" s="127">
        <f>VLOOKUP(D5280,'لیست پرسنل'!$B$2:$F$1020,2,FALSE)</f>
        <v>0</v>
      </c>
      <c r="H5280" s="128" t="s">
        <v>4077</v>
      </c>
      <c r="I5280" s="127"/>
      <c r="J5280" s="128" t="s">
        <v>2686</v>
      </c>
      <c r="K5280" s="128" t="s">
        <v>332</v>
      </c>
      <c r="L5280" s="151" t="s">
        <v>1061</v>
      </c>
      <c r="M5280" s="127">
        <v>611442</v>
      </c>
      <c r="N5280" s="108"/>
      <c r="O5280" s="20"/>
      <c r="P5280" s="20"/>
      <c r="Q5280" s="20"/>
    </row>
    <row r="5281" spans="1:17" ht="24.9" customHeight="1">
      <c r="A5281" s="20"/>
      <c r="B5281" s="19" t="s">
        <v>4338</v>
      </c>
      <c r="C5281" s="20"/>
      <c r="D5281" s="20" t="s">
        <v>4338</v>
      </c>
      <c r="E5281" s="19">
        <f>VLOOKUP(D5281,'لیست پرسنل'!$B$2:$E$1020,3,FALSE)</f>
        <v>0</v>
      </c>
      <c r="F5281" s="19">
        <f>VLOOKUP(D5281,'لیست پرسنل'!$B$2:$E$1020,4,FALSE)</f>
        <v>0</v>
      </c>
      <c r="G5281" s="127">
        <f>VLOOKUP(D5281,'لیست پرسنل'!$B$2:$F$1020,2,FALSE)</f>
        <v>0</v>
      </c>
      <c r="H5281" s="128" t="s">
        <v>5691</v>
      </c>
      <c r="I5281" s="128" t="s">
        <v>4338</v>
      </c>
      <c r="J5281" s="128" t="s">
        <v>3143</v>
      </c>
      <c r="K5281" s="171" t="s">
        <v>5846</v>
      </c>
      <c r="L5281" s="156"/>
      <c r="M5281" s="127">
        <v>620802</v>
      </c>
      <c r="N5281" s="108"/>
      <c r="O5281" s="19" t="s">
        <v>4777</v>
      </c>
      <c r="P5281" s="20" t="s">
        <v>4339</v>
      </c>
      <c r="Q5281" s="20" t="s">
        <v>4778</v>
      </c>
    </row>
    <row r="5282" spans="1:17" ht="24.9" customHeight="1">
      <c r="A5282" s="20"/>
      <c r="B5282" s="19" t="s">
        <v>4338</v>
      </c>
      <c r="C5282" s="20"/>
      <c r="D5282" s="20" t="s">
        <v>4338</v>
      </c>
      <c r="E5282" s="19">
        <f>VLOOKUP(D5282,'لیست پرسنل'!$B$2:$E$1020,3,FALSE)</f>
        <v>0</v>
      </c>
      <c r="F5282" s="19">
        <f>VLOOKUP(D5282,'لیست پرسنل'!$B$2:$E$1020,4,FALSE)</f>
        <v>0</v>
      </c>
      <c r="G5282" s="127">
        <f>VLOOKUP(D5282,'لیست پرسنل'!$B$2:$F$1020,2,FALSE)</f>
        <v>0</v>
      </c>
      <c r="H5282" s="128" t="s">
        <v>5691</v>
      </c>
      <c r="I5282" s="128" t="s">
        <v>4338</v>
      </c>
      <c r="J5282" s="128" t="s">
        <v>885</v>
      </c>
      <c r="K5282" s="127" t="s">
        <v>3248</v>
      </c>
      <c r="L5282" s="127" t="s">
        <v>3249</v>
      </c>
      <c r="M5282" s="127">
        <v>614414</v>
      </c>
      <c r="N5282" s="108"/>
      <c r="O5282" s="19" t="s">
        <v>3342</v>
      </c>
      <c r="P5282" s="20" t="s">
        <v>4339</v>
      </c>
      <c r="Q5282" s="20" t="s">
        <v>4343</v>
      </c>
    </row>
    <row r="5283" spans="1:17" ht="24.9" customHeight="1">
      <c r="A5283" s="20"/>
      <c r="B5283" s="19" t="s">
        <v>4338</v>
      </c>
      <c r="C5283" s="20"/>
      <c r="D5283" s="20" t="s">
        <v>4338</v>
      </c>
      <c r="E5283" s="19">
        <f>VLOOKUP(D5283,'لیست پرسنل'!$B$2:$E$1020,3,FALSE)</f>
        <v>0</v>
      </c>
      <c r="F5283" s="19">
        <f>VLOOKUP(D5283,'لیست پرسنل'!$B$2:$E$1020,4,FALSE)</f>
        <v>0</v>
      </c>
      <c r="G5283" s="127">
        <f>VLOOKUP(D5283,'لیست پرسنل'!$B$2:$F$1020,2,FALSE)</f>
        <v>0</v>
      </c>
      <c r="H5283" s="128" t="s">
        <v>5691</v>
      </c>
      <c r="I5283" s="128" t="s">
        <v>4338</v>
      </c>
      <c r="J5283" s="128" t="s">
        <v>2686</v>
      </c>
      <c r="K5283" s="171" t="s">
        <v>3213</v>
      </c>
      <c r="L5283" s="156" t="s">
        <v>1639</v>
      </c>
      <c r="M5283" s="142">
        <v>608127</v>
      </c>
      <c r="N5283" s="108"/>
      <c r="O5283" s="19" t="s">
        <v>3212</v>
      </c>
      <c r="P5283" s="20" t="s">
        <v>4339</v>
      </c>
      <c r="Q5283" s="20" t="s">
        <v>4341</v>
      </c>
    </row>
    <row r="5284" spans="1:17" ht="24.9" customHeight="1">
      <c r="A5284" s="20"/>
      <c r="B5284" s="19" t="s">
        <v>4338</v>
      </c>
      <c r="C5284" s="20"/>
      <c r="D5284" s="20" t="s">
        <v>4338</v>
      </c>
      <c r="E5284" s="19">
        <f>VLOOKUP(D5284,'لیست پرسنل'!$B$2:$E$1020,3,FALSE)</f>
        <v>0</v>
      </c>
      <c r="F5284" s="19">
        <f>VLOOKUP(D5284,'لیست پرسنل'!$B$2:$E$1020,4,FALSE)</f>
        <v>0</v>
      </c>
      <c r="G5284" s="127">
        <f>VLOOKUP(D5284,'لیست پرسنل'!$B$2:$F$1020,2,FALSE)</f>
        <v>0</v>
      </c>
      <c r="H5284" s="128" t="s">
        <v>5691</v>
      </c>
      <c r="I5284" s="128" t="s">
        <v>4338</v>
      </c>
      <c r="J5284" s="128" t="s">
        <v>2686</v>
      </c>
      <c r="K5284" s="171" t="s">
        <v>1623</v>
      </c>
      <c r="L5284" s="164" t="s">
        <v>1050</v>
      </c>
      <c r="M5284" s="127">
        <v>623628</v>
      </c>
      <c r="N5284" s="108"/>
      <c r="O5284" s="19" t="s">
        <v>5308</v>
      </c>
      <c r="P5284" s="20" t="s">
        <v>4339</v>
      </c>
      <c r="Q5284" s="20" t="s">
        <v>4341</v>
      </c>
    </row>
    <row r="5285" spans="1:17" ht="24.9" customHeight="1">
      <c r="A5285" s="20"/>
      <c r="B5285" s="20" t="s">
        <v>6259</v>
      </c>
      <c r="C5285" s="20"/>
      <c r="D5285" s="20" t="s">
        <v>6259</v>
      </c>
      <c r="E5285" s="19" t="e">
        <f>VLOOKUP(D5285,'لیست پرسنل'!$B$2:$E$1020,3,FALSE)</f>
        <v>#N/A</v>
      </c>
      <c r="F5285" s="19" t="e">
        <f>VLOOKUP(D5285,'لیست پرسنل'!$B$2:$E$1020,4,FALSE)</f>
        <v>#N/A</v>
      </c>
      <c r="G5285" s="127" t="e">
        <f>VLOOKUP(D5285,'لیست پرسنل'!$B$2:$F$1020,2,FALSE)</f>
        <v>#N/A</v>
      </c>
      <c r="H5285" s="128" t="s">
        <v>4828</v>
      </c>
      <c r="I5285" s="128"/>
      <c r="J5285" s="128" t="s">
        <v>3481</v>
      </c>
      <c r="K5285" s="128" t="s">
        <v>3336</v>
      </c>
      <c r="L5285" s="128"/>
      <c r="M5285" s="127" t="s">
        <v>291</v>
      </c>
      <c r="N5285" s="109"/>
      <c r="O5285" s="19"/>
      <c r="P5285" s="32"/>
      <c r="Q5285" s="32"/>
    </row>
    <row r="5286" spans="1:17" ht="24.9" customHeight="1">
      <c r="A5286" s="20"/>
      <c r="B5286" s="20" t="s">
        <v>6259</v>
      </c>
      <c r="C5286" s="20"/>
      <c r="D5286" s="20" t="s">
        <v>6259</v>
      </c>
      <c r="E5286" s="19" t="e">
        <f>VLOOKUP(D5286,'لیست پرسنل'!$B$2:$E$1020,3,FALSE)</f>
        <v>#N/A</v>
      </c>
      <c r="F5286" s="19" t="e">
        <f>VLOOKUP(D5286,'لیست پرسنل'!$B$2:$E$1020,4,FALSE)</f>
        <v>#N/A</v>
      </c>
      <c r="G5286" s="127" t="e">
        <f>VLOOKUP(D5286,'لیست پرسنل'!$B$2:$F$1020,2,FALSE)</f>
        <v>#N/A</v>
      </c>
      <c r="H5286" s="128" t="s">
        <v>6258</v>
      </c>
      <c r="I5286" s="128"/>
      <c r="J5286" s="128" t="s">
        <v>737</v>
      </c>
      <c r="K5286" s="128" t="s">
        <v>2031</v>
      </c>
      <c r="L5286" s="127" t="s">
        <v>4676</v>
      </c>
      <c r="M5286" s="127">
        <v>634893</v>
      </c>
      <c r="N5286" s="109"/>
      <c r="O5286" s="19" t="s">
        <v>7321</v>
      </c>
      <c r="P5286" s="32"/>
      <c r="Q5286" s="32"/>
    </row>
    <row r="5287" spans="1:17" ht="24.9" customHeight="1">
      <c r="A5287" s="20"/>
      <c r="B5287" s="20" t="s">
        <v>6259</v>
      </c>
      <c r="C5287" s="20"/>
      <c r="D5287" s="20" t="s">
        <v>6259</v>
      </c>
      <c r="E5287" s="19" t="e">
        <f>VLOOKUP(D5287,'لیست پرسنل'!$B$2:$E$1020,3,FALSE)</f>
        <v>#N/A</v>
      </c>
      <c r="F5287" s="19" t="e">
        <f>VLOOKUP(D5287,'لیست پرسنل'!$B$2:$E$1020,4,FALSE)</f>
        <v>#N/A</v>
      </c>
      <c r="G5287" s="127" t="e">
        <f>VLOOKUP(D5287,'لیست پرسنل'!$B$2:$F$1020,2,FALSE)</f>
        <v>#N/A</v>
      </c>
      <c r="H5287" s="128" t="s">
        <v>6258</v>
      </c>
      <c r="I5287" s="128"/>
      <c r="J5287" s="128" t="s">
        <v>571</v>
      </c>
      <c r="K5287" s="128"/>
      <c r="L5287" s="127"/>
      <c r="M5287" s="127">
        <v>634895</v>
      </c>
      <c r="N5287" s="109"/>
      <c r="O5287" s="19" t="s">
        <v>7322</v>
      </c>
      <c r="P5287" s="32"/>
      <c r="Q5287" s="32"/>
    </row>
    <row r="5288" spans="1:17" ht="24.9" customHeight="1">
      <c r="A5288" s="20"/>
      <c r="B5288" s="20" t="s">
        <v>6259</v>
      </c>
      <c r="C5288" s="20"/>
      <c r="D5288" s="20" t="s">
        <v>6259</v>
      </c>
      <c r="E5288" s="19" t="e">
        <f>VLOOKUP(D5288,'لیست پرسنل'!$B$2:$E$1020,3,FALSE)</f>
        <v>#N/A</v>
      </c>
      <c r="F5288" s="19" t="e">
        <f>VLOOKUP(D5288,'لیست پرسنل'!$B$2:$E$1020,4,FALSE)</f>
        <v>#N/A</v>
      </c>
      <c r="G5288" s="127" t="e">
        <f>VLOOKUP(D5288,'لیست پرسنل'!$B$2:$F$1020,2,FALSE)</f>
        <v>#N/A</v>
      </c>
      <c r="H5288" s="128" t="s">
        <v>6258</v>
      </c>
      <c r="I5288" s="128"/>
      <c r="J5288" s="128" t="s">
        <v>2686</v>
      </c>
      <c r="K5288" s="128" t="s">
        <v>2017</v>
      </c>
      <c r="L5288" s="127" t="s">
        <v>2902</v>
      </c>
      <c r="M5288" s="127">
        <v>634894</v>
      </c>
      <c r="N5288" s="109"/>
      <c r="O5288" s="19" t="s">
        <v>7323</v>
      </c>
      <c r="P5288" s="32"/>
      <c r="Q5288" s="32"/>
    </row>
    <row r="5289" spans="1:17" ht="24.9" customHeight="1">
      <c r="A5289" s="20"/>
      <c r="B5289" s="20" t="s">
        <v>6259</v>
      </c>
      <c r="C5289" s="20"/>
      <c r="D5289" s="20" t="s">
        <v>6259</v>
      </c>
      <c r="E5289" s="19" t="e">
        <f>VLOOKUP(D5289,'لیست پرسنل'!$B$2:$E$1020,3,FALSE)</f>
        <v>#N/A</v>
      </c>
      <c r="F5289" s="19" t="e">
        <f>VLOOKUP(D5289,'لیست پرسنل'!$B$2:$E$1020,4,FALSE)</f>
        <v>#N/A</v>
      </c>
      <c r="G5289" s="127" t="e">
        <f>VLOOKUP(D5289,'لیست پرسنل'!$B$2:$F$1020,2,FALSE)</f>
        <v>#N/A</v>
      </c>
      <c r="H5289" s="128" t="s">
        <v>6258</v>
      </c>
      <c r="I5289" s="128"/>
      <c r="J5289" s="128" t="s">
        <v>1977</v>
      </c>
      <c r="K5289" s="128" t="s">
        <v>4848</v>
      </c>
      <c r="L5289" s="127" t="s">
        <v>4849</v>
      </c>
      <c r="M5289" s="127">
        <v>633598</v>
      </c>
      <c r="N5289" s="109"/>
      <c r="O5289" s="19" t="s">
        <v>6260</v>
      </c>
      <c r="P5289" s="32"/>
      <c r="Q5289" s="32"/>
    </row>
    <row r="5290" spans="1:17" ht="24.9" customHeight="1">
      <c r="A5290" s="20"/>
      <c r="B5290" s="20" t="s">
        <v>6259</v>
      </c>
      <c r="C5290" s="20"/>
      <c r="D5290" s="20" t="s">
        <v>6259</v>
      </c>
      <c r="E5290" s="19" t="e">
        <f>VLOOKUP(D5290,'لیست پرسنل'!$B$2:$E$1020,3,FALSE)</f>
        <v>#N/A</v>
      </c>
      <c r="F5290" s="19" t="e">
        <f>VLOOKUP(D5290,'لیست پرسنل'!$B$2:$E$1020,4,FALSE)</f>
        <v>#N/A</v>
      </c>
      <c r="G5290" s="127" t="e">
        <f>VLOOKUP(D5290,'لیست پرسنل'!$B$2:$F$1020,2,FALSE)</f>
        <v>#N/A</v>
      </c>
      <c r="H5290" s="128" t="s">
        <v>6072</v>
      </c>
      <c r="I5290" s="128"/>
      <c r="J5290" s="126" t="s">
        <v>368</v>
      </c>
      <c r="K5290" s="128" t="s">
        <v>2846</v>
      </c>
      <c r="L5290" s="127" t="s">
        <v>4760</v>
      </c>
      <c r="M5290" s="127">
        <v>633711</v>
      </c>
      <c r="N5290" s="109"/>
      <c r="O5290" s="19" t="s">
        <v>6256</v>
      </c>
      <c r="P5290" s="32"/>
      <c r="Q5290" s="32"/>
    </row>
    <row r="5291" spans="1:17" ht="24.9" customHeight="1">
      <c r="A5291" s="20"/>
      <c r="B5291" s="20" t="s">
        <v>6259</v>
      </c>
      <c r="C5291" s="20"/>
      <c r="D5291" s="20" t="s">
        <v>6259</v>
      </c>
      <c r="E5291" s="19" t="e">
        <f>VLOOKUP(D5291,'لیست پرسنل'!$B$2:$E$1020,3,FALSE)</f>
        <v>#N/A</v>
      </c>
      <c r="F5291" s="19" t="e">
        <f>VLOOKUP(D5291,'لیست پرسنل'!$B$2:$E$1020,4,FALSE)</f>
        <v>#N/A</v>
      </c>
      <c r="G5291" s="127" t="e">
        <f>VLOOKUP(D5291,'لیست پرسنل'!$B$2:$F$1020,2,FALSE)</f>
        <v>#N/A</v>
      </c>
      <c r="H5291" s="128" t="s">
        <v>6072</v>
      </c>
      <c r="I5291" s="128"/>
      <c r="J5291" s="128" t="s">
        <v>3480</v>
      </c>
      <c r="K5291" s="128" t="s">
        <v>4863</v>
      </c>
      <c r="L5291" s="127"/>
      <c r="M5291" s="127" t="s">
        <v>291</v>
      </c>
      <c r="N5291" s="109"/>
      <c r="O5291" s="19" t="s">
        <v>6529</v>
      </c>
      <c r="P5291" s="32"/>
      <c r="Q5291" s="32"/>
    </row>
    <row r="5292" spans="1:17" ht="24.9" customHeight="1">
      <c r="A5292" s="20"/>
      <c r="B5292" s="20" t="s">
        <v>6259</v>
      </c>
      <c r="C5292" s="20"/>
      <c r="D5292" s="20" t="s">
        <v>6259</v>
      </c>
      <c r="E5292" s="19" t="e">
        <f>VLOOKUP(D5292,'لیست پرسنل'!$B$2:$E$1020,3,FALSE)</f>
        <v>#N/A</v>
      </c>
      <c r="F5292" s="19" t="e">
        <f>VLOOKUP(D5292,'لیست پرسنل'!$B$2:$E$1020,4,FALSE)</f>
        <v>#N/A</v>
      </c>
      <c r="G5292" s="127" t="e">
        <f>VLOOKUP(D5292,'لیست پرسنل'!$B$2:$F$1020,2,FALSE)</f>
        <v>#N/A</v>
      </c>
      <c r="H5292" s="128" t="s">
        <v>6072</v>
      </c>
      <c r="I5292" s="128"/>
      <c r="J5292" s="128" t="s">
        <v>3481</v>
      </c>
      <c r="K5292" s="128" t="s">
        <v>3336</v>
      </c>
      <c r="L5292" s="128"/>
      <c r="M5292" s="127" t="s">
        <v>291</v>
      </c>
      <c r="N5292" s="109"/>
      <c r="O5292" s="19" t="s">
        <v>6538</v>
      </c>
      <c r="P5292" s="32"/>
      <c r="Q5292" s="32"/>
    </row>
    <row r="5293" spans="1:17" ht="24.9" customHeight="1">
      <c r="A5293" s="20"/>
      <c r="B5293" s="20" t="s">
        <v>6259</v>
      </c>
      <c r="C5293" s="20"/>
      <c r="D5293" s="20" t="s">
        <v>6259</v>
      </c>
      <c r="E5293" s="19" t="e">
        <f>VLOOKUP(D5293,'لیست پرسنل'!$B$2:$E$1020,3,FALSE)</f>
        <v>#N/A</v>
      </c>
      <c r="F5293" s="19" t="e">
        <f>VLOOKUP(D5293,'لیست پرسنل'!$B$2:$E$1020,4,FALSE)</f>
        <v>#N/A</v>
      </c>
      <c r="G5293" s="127" t="e">
        <f>VLOOKUP(D5293,'لیست پرسنل'!$B$2:$F$1020,2,FALSE)</f>
        <v>#N/A</v>
      </c>
      <c r="H5293" s="128" t="s">
        <v>6072</v>
      </c>
      <c r="I5293" s="128"/>
      <c r="J5293" s="128" t="s">
        <v>3481</v>
      </c>
      <c r="K5293" s="128" t="s">
        <v>3336</v>
      </c>
      <c r="L5293" s="128"/>
      <c r="M5293" s="127" t="s">
        <v>291</v>
      </c>
      <c r="N5293" s="109"/>
      <c r="O5293" s="19" t="s">
        <v>6539</v>
      </c>
      <c r="P5293" s="32"/>
      <c r="Q5293" s="32"/>
    </row>
    <row r="5294" spans="1:17" ht="24.9" customHeight="1">
      <c r="A5294" s="20"/>
      <c r="B5294" s="20" t="s">
        <v>6259</v>
      </c>
      <c r="C5294" s="20"/>
      <c r="D5294" s="20" t="s">
        <v>6259</v>
      </c>
      <c r="E5294" s="19" t="e">
        <f>VLOOKUP(D5294,'لیست پرسنل'!$B$2:$E$1020,3,FALSE)</f>
        <v>#N/A</v>
      </c>
      <c r="F5294" s="19" t="e">
        <f>VLOOKUP(D5294,'لیست پرسنل'!$B$2:$E$1020,4,FALSE)</f>
        <v>#N/A</v>
      </c>
      <c r="G5294" s="127" t="e">
        <f>VLOOKUP(D5294,'لیست پرسنل'!$B$2:$F$1020,2,FALSE)</f>
        <v>#N/A</v>
      </c>
      <c r="H5294" s="128" t="s">
        <v>6072</v>
      </c>
      <c r="I5294" s="128"/>
      <c r="J5294" s="128" t="s">
        <v>571</v>
      </c>
      <c r="K5294" s="128"/>
      <c r="L5294" s="127"/>
      <c r="M5294" s="127">
        <v>633648</v>
      </c>
      <c r="N5294" s="109"/>
      <c r="O5294" s="19" t="s">
        <v>6309</v>
      </c>
      <c r="P5294" s="32"/>
      <c r="Q5294" s="32"/>
    </row>
    <row r="5295" spans="1:17" ht="24.9" customHeight="1">
      <c r="A5295" s="20"/>
      <c r="B5295" s="20" t="s">
        <v>6259</v>
      </c>
      <c r="C5295" s="20"/>
      <c r="D5295" s="20" t="s">
        <v>6259</v>
      </c>
      <c r="E5295" s="19" t="e">
        <f>VLOOKUP(D5295,'لیست پرسنل'!$B$2:$E$1020,3,FALSE)</f>
        <v>#N/A</v>
      </c>
      <c r="F5295" s="19" t="e">
        <f>VLOOKUP(D5295,'لیست پرسنل'!$B$2:$E$1020,4,FALSE)</f>
        <v>#N/A</v>
      </c>
      <c r="G5295" s="127" t="e">
        <f>VLOOKUP(D5295,'لیست پرسنل'!$B$2:$F$1020,2,FALSE)</f>
        <v>#N/A</v>
      </c>
      <c r="H5295" s="128" t="s">
        <v>6072</v>
      </c>
      <c r="I5295" s="128"/>
      <c r="J5295" s="128" t="s">
        <v>571</v>
      </c>
      <c r="K5295" s="128"/>
      <c r="L5295" s="127"/>
      <c r="M5295" s="127">
        <v>633653</v>
      </c>
      <c r="N5295" s="109"/>
      <c r="O5295" s="19" t="s">
        <v>6314</v>
      </c>
      <c r="P5295" s="32"/>
      <c r="Q5295" s="32"/>
    </row>
    <row r="5296" spans="1:17" ht="24.9" customHeight="1">
      <c r="A5296" s="20"/>
      <c r="B5296" s="20" t="s">
        <v>6259</v>
      </c>
      <c r="C5296" s="20"/>
      <c r="D5296" s="20" t="s">
        <v>6259</v>
      </c>
      <c r="E5296" s="19" t="e">
        <f>VLOOKUP(D5296,'لیست پرسنل'!$B$2:$E$1020,3,FALSE)</f>
        <v>#N/A</v>
      </c>
      <c r="F5296" s="19" t="e">
        <f>VLOOKUP(D5296,'لیست پرسنل'!$B$2:$E$1020,4,FALSE)</f>
        <v>#N/A</v>
      </c>
      <c r="G5296" s="127" t="e">
        <f>VLOOKUP(D5296,'لیست پرسنل'!$B$2:$F$1020,2,FALSE)</f>
        <v>#N/A</v>
      </c>
      <c r="H5296" s="128" t="s">
        <v>6072</v>
      </c>
      <c r="I5296" s="128"/>
      <c r="J5296" s="128" t="s">
        <v>571</v>
      </c>
      <c r="K5296" s="128" t="s">
        <v>3691</v>
      </c>
      <c r="L5296" s="127"/>
      <c r="M5296" s="127">
        <v>633658</v>
      </c>
      <c r="N5296" s="109"/>
      <c r="O5296" s="19" t="s">
        <v>6254</v>
      </c>
      <c r="P5296" s="32"/>
      <c r="Q5296" s="32"/>
    </row>
    <row r="5297" spans="1:17" ht="24.9" customHeight="1">
      <c r="A5297" s="20"/>
      <c r="B5297" s="20" t="s">
        <v>6259</v>
      </c>
      <c r="C5297" s="20"/>
      <c r="D5297" s="20" t="s">
        <v>6259</v>
      </c>
      <c r="E5297" s="19" t="e">
        <f>VLOOKUP(D5297,'لیست پرسنل'!$B$2:$E$1020,3,FALSE)</f>
        <v>#N/A</v>
      </c>
      <c r="F5297" s="19" t="e">
        <f>VLOOKUP(D5297,'لیست پرسنل'!$B$2:$E$1020,4,FALSE)</f>
        <v>#N/A</v>
      </c>
      <c r="G5297" s="127" t="e">
        <f>VLOOKUP(D5297,'لیست پرسنل'!$B$2:$F$1020,2,FALSE)</f>
        <v>#N/A</v>
      </c>
      <c r="H5297" s="128" t="s">
        <v>6072</v>
      </c>
      <c r="I5297" s="128"/>
      <c r="J5297" s="128" t="s">
        <v>571</v>
      </c>
      <c r="K5297" s="128" t="s">
        <v>2054</v>
      </c>
      <c r="L5297" s="128"/>
      <c r="M5297" s="127">
        <v>633664</v>
      </c>
      <c r="N5297" s="109"/>
      <c r="O5297" s="19" t="s">
        <v>6331</v>
      </c>
      <c r="P5297" s="32"/>
      <c r="Q5297" s="32"/>
    </row>
    <row r="5298" spans="1:17" ht="24.9" customHeight="1">
      <c r="A5298" s="20"/>
      <c r="B5298" s="20" t="s">
        <v>6259</v>
      </c>
      <c r="C5298" s="20"/>
      <c r="D5298" s="20" t="s">
        <v>6259</v>
      </c>
      <c r="E5298" s="19" t="e">
        <f>VLOOKUP(D5298,'لیست پرسنل'!$B$2:$E$1020,3,FALSE)</f>
        <v>#N/A</v>
      </c>
      <c r="F5298" s="19" t="e">
        <f>VLOOKUP(D5298,'لیست پرسنل'!$B$2:$E$1020,4,FALSE)</f>
        <v>#N/A</v>
      </c>
      <c r="G5298" s="127" t="e">
        <f>VLOOKUP(D5298,'لیست پرسنل'!$B$2:$F$1020,2,FALSE)</f>
        <v>#N/A</v>
      </c>
      <c r="H5298" s="128" t="s">
        <v>6072</v>
      </c>
      <c r="I5298" s="128"/>
      <c r="J5298" s="128" t="s">
        <v>571</v>
      </c>
      <c r="K5298" s="128" t="s">
        <v>4771</v>
      </c>
      <c r="L5298" s="128"/>
      <c r="M5298" s="127">
        <v>633669</v>
      </c>
      <c r="N5298" s="109"/>
      <c r="O5298" s="19" t="s">
        <v>6323</v>
      </c>
      <c r="P5298" s="32"/>
      <c r="Q5298" s="32"/>
    </row>
    <row r="5299" spans="1:17" ht="24.9" customHeight="1">
      <c r="A5299" s="20"/>
      <c r="B5299" s="20" t="s">
        <v>6259</v>
      </c>
      <c r="C5299" s="20"/>
      <c r="D5299" s="20" t="s">
        <v>6259</v>
      </c>
      <c r="E5299" s="19" t="e">
        <f>VLOOKUP(D5299,'لیست پرسنل'!$B$2:$E$1020,3,FALSE)</f>
        <v>#N/A</v>
      </c>
      <c r="F5299" s="19" t="e">
        <f>VLOOKUP(D5299,'لیست پرسنل'!$B$2:$E$1020,4,FALSE)</f>
        <v>#N/A</v>
      </c>
      <c r="G5299" s="127" t="e">
        <f>VLOOKUP(D5299,'لیست پرسنل'!$B$2:$F$1020,2,FALSE)</f>
        <v>#N/A</v>
      </c>
      <c r="H5299" s="128" t="s">
        <v>6072</v>
      </c>
      <c r="I5299" s="128"/>
      <c r="J5299" s="128" t="s">
        <v>571</v>
      </c>
      <c r="K5299" s="128" t="s">
        <v>2054</v>
      </c>
      <c r="L5299" s="128"/>
      <c r="M5299" s="127">
        <v>633674</v>
      </c>
      <c r="N5299" s="109"/>
      <c r="O5299" s="19" t="s">
        <v>6335</v>
      </c>
      <c r="P5299" s="32"/>
      <c r="Q5299" s="32"/>
    </row>
    <row r="5300" spans="1:17" ht="24.9" customHeight="1">
      <c r="A5300" s="20"/>
      <c r="B5300" s="20" t="s">
        <v>6259</v>
      </c>
      <c r="C5300" s="20"/>
      <c r="D5300" s="20" t="s">
        <v>6259</v>
      </c>
      <c r="E5300" s="19" t="e">
        <f>VLOOKUP(D5300,'لیست پرسنل'!$B$2:$E$1020,3,FALSE)</f>
        <v>#N/A</v>
      </c>
      <c r="F5300" s="19" t="e">
        <f>VLOOKUP(D5300,'لیست پرسنل'!$B$2:$E$1020,4,FALSE)</f>
        <v>#N/A</v>
      </c>
      <c r="G5300" s="127" t="e">
        <f>VLOOKUP(D5300,'لیست پرسنل'!$B$2:$F$1020,2,FALSE)</f>
        <v>#N/A</v>
      </c>
      <c r="H5300" s="128" t="s">
        <v>6072</v>
      </c>
      <c r="I5300" s="128"/>
      <c r="J5300" s="128" t="s">
        <v>571</v>
      </c>
      <c r="K5300" s="128" t="s">
        <v>571</v>
      </c>
      <c r="L5300" s="128" t="s">
        <v>2138</v>
      </c>
      <c r="M5300" s="127">
        <v>633676</v>
      </c>
      <c r="N5300" s="109"/>
      <c r="O5300" s="19" t="s">
        <v>6336</v>
      </c>
      <c r="P5300" s="32"/>
      <c r="Q5300" s="32"/>
    </row>
    <row r="5301" spans="1:17" ht="24.9" customHeight="1">
      <c r="A5301" s="20"/>
      <c r="B5301" s="20" t="s">
        <v>6259</v>
      </c>
      <c r="C5301" s="20"/>
      <c r="D5301" s="20" t="s">
        <v>6259</v>
      </c>
      <c r="E5301" s="19" t="e">
        <f>VLOOKUP(D5301,'لیست پرسنل'!$B$2:$E$1020,3,FALSE)</f>
        <v>#N/A</v>
      </c>
      <c r="F5301" s="19" t="e">
        <f>VLOOKUP(D5301,'لیست پرسنل'!$B$2:$E$1020,4,FALSE)</f>
        <v>#N/A</v>
      </c>
      <c r="G5301" s="127" t="e">
        <f>VLOOKUP(D5301,'لیست پرسنل'!$B$2:$F$1020,2,FALSE)</f>
        <v>#N/A</v>
      </c>
      <c r="H5301" s="128" t="s">
        <v>6072</v>
      </c>
      <c r="I5301" s="128"/>
      <c r="J5301" s="128" t="s">
        <v>571</v>
      </c>
      <c r="K5301" s="128"/>
      <c r="L5301" s="127"/>
      <c r="M5301" s="127">
        <v>633683</v>
      </c>
      <c r="N5301" s="109"/>
      <c r="O5301" s="19" t="s">
        <v>6342</v>
      </c>
      <c r="P5301" s="32"/>
      <c r="Q5301" s="32"/>
    </row>
    <row r="5302" spans="1:17" ht="24.9" customHeight="1">
      <c r="A5302" s="20"/>
      <c r="B5302" s="20" t="s">
        <v>6259</v>
      </c>
      <c r="C5302" s="20"/>
      <c r="D5302" s="20" t="s">
        <v>6259</v>
      </c>
      <c r="E5302" s="19" t="e">
        <f>VLOOKUP(D5302,'لیست پرسنل'!$B$2:$E$1020,3,FALSE)</f>
        <v>#N/A</v>
      </c>
      <c r="F5302" s="19" t="e">
        <f>VLOOKUP(D5302,'لیست پرسنل'!$B$2:$E$1020,4,FALSE)</f>
        <v>#N/A</v>
      </c>
      <c r="G5302" s="127" t="e">
        <f>VLOOKUP(D5302,'لیست پرسنل'!$B$2:$F$1020,2,FALSE)</f>
        <v>#N/A</v>
      </c>
      <c r="H5302" s="128" t="s">
        <v>5510</v>
      </c>
      <c r="I5302" s="128"/>
      <c r="J5302" s="128" t="s">
        <v>3481</v>
      </c>
      <c r="K5302" s="128" t="s">
        <v>5113</v>
      </c>
      <c r="L5302" s="127"/>
      <c r="M5302" s="127" t="s">
        <v>291</v>
      </c>
      <c r="N5302" s="109"/>
      <c r="O5302" s="19" t="s">
        <v>5511</v>
      </c>
      <c r="P5302" s="32"/>
      <c r="Q5302" s="32"/>
    </row>
    <row r="5303" spans="1:17" ht="24.9" customHeight="1">
      <c r="A5303" s="20"/>
      <c r="B5303" s="20" t="s">
        <v>6259</v>
      </c>
      <c r="C5303" s="20"/>
      <c r="D5303" s="20" t="s">
        <v>6259</v>
      </c>
      <c r="E5303" s="19" t="e">
        <f>VLOOKUP(D5303,'لیست پرسنل'!$B$2:$E$1020,3,FALSE)</f>
        <v>#N/A</v>
      </c>
      <c r="F5303" s="19" t="e">
        <f>VLOOKUP(D5303,'لیست پرسنل'!$B$2:$E$1020,4,FALSE)</f>
        <v>#N/A</v>
      </c>
      <c r="G5303" s="127" t="e">
        <f>VLOOKUP(D5303,'لیست پرسنل'!$B$2:$F$1020,2,FALSE)</f>
        <v>#N/A</v>
      </c>
      <c r="H5303" s="128" t="s">
        <v>5510</v>
      </c>
      <c r="I5303" s="128"/>
      <c r="J5303" s="128" t="s">
        <v>3481</v>
      </c>
      <c r="K5303" s="128" t="s">
        <v>5113</v>
      </c>
      <c r="L5303" s="127"/>
      <c r="M5303" s="127" t="s">
        <v>291</v>
      </c>
      <c r="N5303" s="109"/>
      <c r="O5303" s="19" t="s">
        <v>5511</v>
      </c>
      <c r="P5303" s="32"/>
      <c r="Q5303" s="32"/>
    </row>
    <row r="5304" spans="1:17" ht="24.9" customHeight="1">
      <c r="A5304" s="20"/>
      <c r="B5304" s="20" t="s">
        <v>6259</v>
      </c>
      <c r="C5304" s="20"/>
      <c r="D5304" s="20" t="s">
        <v>6259</v>
      </c>
      <c r="E5304" s="19" t="e">
        <f>VLOOKUP(D5304,'لیست پرسنل'!$B$2:$E$1020,3,FALSE)</f>
        <v>#N/A</v>
      </c>
      <c r="F5304" s="19" t="e">
        <f>VLOOKUP(D5304,'لیست پرسنل'!$B$2:$E$1020,4,FALSE)</f>
        <v>#N/A</v>
      </c>
      <c r="G5304" s="127" t="e">
        <f>VLOOKUP(D5304,'لیست پرسنل'!$B$2:$F$1020,2,FALSE)</f>
        <v>#N/A</v>
      </c>
      <c r="H5304" s="128" t="s">
        <v>5510</v>
      </c>
      <c r="I5304" s="128"/>
      <c r="J5304" s="128" t="s">
        <v>3481</v>
      </c>
      <c r="K5304" s="128" t="s">
        <v>5113</v>
      </c>
      <c r="L5304" s="127"/>
      <c r="M5304" s="127" t="s">
        <v>291</v>
      </c>
      <c r="N5304" s="109"/>
      <c r="O5304" s="19" t="s">
        <v>5511</v>
      </c>
      <c r="P5304" s="32"/>
      <c r="Q5304" s="32"/>
    </row>
    <row r="5305" spans="1:17" ht="24.9" customHeight="1">
      <c r="A5305" s="20"/>
      <c r="B5305" s="20" t="s">
        <v>6259</v>
      </c>
      <c r="C5305" s="20"/>
      <c r="D5305" s="20" t="s">
        <v>6259</v>
      </c>
      <c r="E5305" s="19" t="e">
        <f>VLOOKUP(D5305,'لیست پرسنل'!$B$2:$E$1020,3,FALSE)</f>
        <v>#N/A</v>
      </c>
      <c r="F5305" s="19" t="e">
        <f>VLOOKUP(D5305,'لیست پرسنل'!$B$2:$E$1020,4,FALSE)</f>
        <v>#N/A</v>
      </c>
      <c r="G5305" s="127" t="e">
        <f>VLOOKUP(D5305,'لیست پرسنل'!$B$2:$F$1020,2,FALSE)</f>
        <v>#N/A</v>
      </c>
      <c r="H5305" s="128" t="s">
        <v>5510</v>
      </c>
      <c r="I5305" s="128"/>
      <c r="J5305" s="128" t="s">
        <v>3481</v>
      </c>
      <c r="K5305" s="128" t="s">
        <v>5113</v>
      </c>
      <c r="L5305" s="127"/>
      <c r="M5305" s="127" t="s">
        <v>291</v>
      </c>
      <c r="N5305" s="109"/>
      <c r="O5305" s="19" t="s">
        <v>5511</v>
      </c>
      <c r="P5305" s="32"/>
      <c r="Q5305" s="32"/>
    </row>
    <row r="5306" spans="1:17" ht="24.9" customHeight="1">
      <c r="A5306" s="20"/>
      <c r="B5306" s="20" t="s">
        <v>6259</v>
      </c>
      <c r="C5306" s="20"/>
      <c r="D5306" s="20" t="s">
        <v>6259</v>
      </c>
      <c r="E5306" s="19" t="e">
        <f>VLOOKUP(D5306,'لیست پرسنل'!$B$2:$E$1020,3,FALSE)</f>
        <v>#N/A</v>
      </c>
      <c r="F5306" s="19" t="e">
        <f>VLOOKUP(D5306,'لیست پرسنل'!$B$2:$E$1020,4,FALSE)</f>
        <v>#N/A</v>
      </c>
      <c r="G5306" s="127" t="e">
        <f>VLOOKUP(D5306,'لیست پرسنل'!$B$2:$F$1020,2,FALSE)</f>
        <v>#N/A</v>
      </c>
      <c r="H5306" s="128" t="s">
        <v>5510</v>
      </c>
      <c r="I5306" s="128"/>
      <c r="J5306" s="128" t="s">
        <v>3476</v>
      </c>
      <c r="K5306" s="128" t="s">
        <v>5110</v>
      </c>
      <c r="L5306" s="127" t="s">
        <v>5111</v>
      </c>
      <c r="M5306" s="127" t="s">
        <v>291</v>
      </c>
      <c r="N5306" s="109"/>
      <c r="O5306" s="19" t="s">
        <v>5511</v>
      </c>
      <c r="P5306" s="32"/>
      <c r="Q5306" s="32"/>
    </row>
    <row r="5307" spans="1:17" ht="24.9" customHeight="1">
      <c r="A5307" s="20"/>
      <c r="B5307" s="20" t="s">
        <v>6259</v>
      </c>
      <c r="C5307" s="20"/>
      <c r="D5307" s="20" t="s">
        <v>6259</v>
      </c>
      <c r="E5307" s="19" t="e">
        <f>VLOOKUP(D5307,'لیست پرسنل'!$B$2:$E$1020,3,FALSE)</f>
        <v>#N/A</v>
      </c>
      <c r="F5307" s="19" t="e">
        <f>VLOOKUP(D5307,'لیست پرسنل'!$B$2:$E$1020,4,FALSE)</f>
        <v>#N/A</v>
      </c>
      <c r="G5307" s="127" t="e">
        <f>VLOOKUP(D5307,'لیست پرسنل'!$B$2:$F$1020,2,FALSE)</f>
        <v>#N/A</v>
      </c>
      <c r="H5307" s="128" t="s">
        <v>5510</v>
      </c>
      <c r="I5307" s="128"/>
      <c r="J5307" s="128" t="s">
        <v>3476</v>
      </c>
      <c r="K5307" s="128" t="s">
        <v>5110</v>
      </c>
      <c r="L5307" s="127" t="s">
        <v>5112</v>
      </c>
      <c r="M5307" s="127" t="s">
        <v>291</v>
      </c>
      <c r="N5307" s="109"/>
      <c r="O5307" s="19" t="s">
        <v>5511</v>
      </c>
      <c r="P5307" s="32"/>
      <c r="Q5307" s="32"/>
    </row>
    <row r="5308" spans="1:17" ht="24.9" customHeight="1">
      <c r="A5308" s="20"/>
      <c r="B5308" s="20" t="s">
        <v>6259</v>
      </c>
      <c r="C5308" s="19"/>
      <c r="D5308" s="20" t="s">
        <v>6259</v>
      </c>
      <c r="E5308" s="19" t="e">
        <f>VLOOKUP(D5308,'لیست پرسنل'!$B$2:$E$1020,3,FALSE)</f>
        <v>#N/A</v>
      </c>
      <c r="F5308" s="19" t="e">
        <f>VLOOKUP(D5308,'لیست پرسنل'!$B$2:$E$1020,4,FALSE)</f>
        <v>#N/A</v>
      </c>
      <c r="G5308" s="127" t="e">
        <f>VLOOKUP(D5308,'لیست پرسنل'!$B$2:$F$1020,2,FALSE)</f>
        <v>#N/A</v>
      </c>
      <c r="H5308" s="127" t="s">
        <v>5414</v>
      </c>
      <c r="I5308" s="127" t="s">
        <v>5830</v>
      </c>
      <c r="J5308" s="127" t="s">
        <v>5366</v>
      </c>
      <c r="K5308" s="128" t="s">
        <v>8232</v>
      </c>
      <c r="L5308" s="140" t="s">
        <v>5368</v>
      </c>
      <c r="M5308" s="127">
        <v>43001306</v>
      </c>
      <c r="N5308" s="109" t="s">
        <v>5831</v>
      </c>
      <c r="O5308" s="19" t="s">
        <v>6544</v>
      </c>
      <c r="P5308" s="32"/>
      <c r="Q5308" s="32"/>
    </row>
    <row r="5309" spans="1:17" ht="24.9" customHeight="1">
      <c r="A5309" s="20"/>
      <c r="B5309" s="20" t="s">
        <v>6259</v>
      </c>
      <c r="C5309" s="20"/>
      <c r="D5309" s="20" t="s">
        <v>6259</v>
      </c>
      <c r="E5309" s="19" t="e">
        <f>VLOOKUP(D5309,'لیست پرسنل'!$B$2:$E$1020,3,FALSE)</f>
        <v>#N/A</v>
      </c>
      <c r="F5309" s="19" t="e">
        <f>VLOOKUP(D5309,'لیست پرسنل'!$B$2:$E$1020,4,FALSE)</f>
        <v>#N/A</v>
      </c>
      <c r="G5309" s="127" t="e">
        <f>VLOOKUP(D5309,'لیست پرسنل'!$B$2:$F$1020,2,FALSE)</f>
        <v>#N/A</v>
      </c>
      <c r="H5309" s="128" t="s">
        <v>5203</v>
      </c>
      <c r="I5309" s="128"/>
      <c r="J5309" s="128" t="s">
        <v>3480</v>
      </c>
      <c r="K5309" s="128" t="s">
        <v>5207</v>
      </c>
      <c r="L5309" s="127"/>
      <c r="M5309" s="127" t="s">
        <v>291</v>
      </c>
      <c r="N5309" s="109"/>
      <c r="O5309" s="19" t="s">
        <v>6509</v>
      </c>
      <c r="P5309" s="32"/>
      <c r="Q5309" s="32"/>
    </row>
    <row r="5310" spans="1:17" ht="24.9" customHeight="1">
      <c r="A5310" s="20"/>
      <c r="B5310" s="20" t="s">
        <v>6259</v>
      </c>
      <c r="C5310" s="20"/>
      <c r="D5310" s="20" t="s">
        <v>6259</v>
      </c>
      <c r="E5310" s="19" t="e">
        <f>VLOOKUP(D5310,'لیست پرسنل'!$B$2:$E$1020,3,FALSE)</f>
        <v>#N/A</v>
      </c>
      <c r="F5310" s="19" t="e">
        <f>VLOOKUP(D5310,'لیست پرسنل'!$B$2:$E$1020,4,FALSE)</f>
        <v>#N/A</v>
      </c>
      <c r="G5310" s="127" t="e">
        <f>VLOOKUP(D5310,'لیست پرسنل'!$B$2:$F$1020,2,FALSE)</f>
        <v>#N/A</v>
      </c>
      <c r="H5310" s="128" t="s">
        <v>5200</v>
      </c>
      <c r="I5310" s="128"/>
      <c r="J5310" s="128" t="s">
        <v>3480</v>
      </c>
      <c r="K5310" s="128" t="s">
        <v>5207</v>
      </c>
      <c r="L5310" s="127"/>
      <c r="M5310" s="127" t="s">
        <v>291</v>
      </c>
      <c r="N5310" s="109"/>
      <c r="O5310" s="19" t="s">
        <v>6535</v>
      </c>
      <c r="P5310" s="32"/>
      <c r="Q5310" s="32"/>
    </row>
    <row r="5311" spans="1:17" ht="24.9" customHeight="1">
      <c r="A5311" s="20"/>
      <c r="B5311" s="20" t="s">
        <v>6259</v>
      </c>
      <c r="C5311" s="20"/>
      <c r="D5311" s="20" t="s">
        <v>6259</v>
      </c>
      <c r="E5311" s="19" t="e">
        <f>VLOOKUP(D5311,'لیست پرسنل'!$B$2:$E$1020,3,FALSE)</f>
        <v>#N/A</v>
      </c>
      <c r="F5311" s="19" t="e">
        <f>VLOOKUP(D5311,'لیست پرسنل'!$B$2:$E$1020,4,FALSE)</f>
        <v>#N/A</v>
      </c>
      <c r="G5311" s="127" t="e">
        <f>VLOOKUP(D5311,'لیست پرسنل'!$B$2:$F$1020,2,FALSE)</f>
        <v>#N/A</v>
      </c>
      <c r="H5311" s="128" t="s">
        <v>5201</v>
      </c>
      <c r="I5311" s="128"/>
      <c r="J5311" s="128" t="s">
        <v>3480</v>
      </c>
      <c r="K5311" s="128" t="s">
        <v>5207</v>
      </c>
      <c r="L5311" s="127"/>
      <c r="M5311" s="127" t="s">
        <v>291</v>
      </c>
      <c r="N5311" s="109"/>
      <c r="O5311" s="19" t="s">
        <v>6506</v>
      </c>
      <c r="P5311" s="32"/>
      <c r="Q5311" s="32"/>
    </row>
    <row r="5312" spans="1:17" ht="24.9" customHeight="1">
      <c r="A5312" s="20"/>
      <c r="B5312" s="20" t="s">
        <v>6259</v>
      </c>
      <c r="C5312" s="20"/>
      <c r="D5312" s="20" t="s">
        <v>6259</v>
      </c>
      <c r="E5312" s="19" t="e">
        <f>VLOOKUP(D5312,'لیست پرسنل'!$B$2:$E$1020,3,FALSE)</f>
        <v>#N/A</v>
      </c>
      <c r="F5312" s="19" t="e">
        <f>VLOOKUP(D5312,'لیست پرسنل'!$B$2:$E$1020,4,FALSE)</f>
        <v>#N/A</v>
      </c>
      <c r="G5312" s="127" t="e">
        <f>VLOOKUP(D5312,'لیست پرسنل'!$B$2:$F$1020,2,FALSE)</f>
        <v>#N/A</v>
      </c>
      <c r="H5312" s="128" t="s">
        <v>5202</v>
      </c>
      <c r="I5312" s="128"/>
      <c r="J5312" s="128" t="s">
        <v>3480</v>
      </c>
      <c r="K5312" s="128" t="s">
        <v>5207</v>
      </c>
      <c r="L5312" s="127"/>
      <c r="M5312" s="127" t="s">
        <v>291</v>
      </c>
      <c r="N5312" s="109"/>
      <c r="O5312" s="19" t="s">
        <v>6505</v>
      </c>
      <c r="P5312" s="32"/>
      <c r="Q5312" s="32"/>
    </row>
    <row r="5313" spans="1:17" ht="24.9" customHeight="1">
      <c r="A5313" s="20"/>
      <c r="B5313" s="20" t="s">
        <v>6259</v>
      </c>
      <c r="C5313" s="20"/>
      <c r="D5313" s="20" t="s">
        <v>6259</v>
      </c>
      <c r="E5313" s="19" t="e">
        <f>VLOOKUP(D5313,'لیست پرسنل'!$B$2:$E$1020,3,FALSE)</f>
        <v>#N/A</v>
      </c>
      <c r="F5313" s="19" t="e">
        <f>VLOOKUP(D5313,'لیست پرسنل'!$B$2:$E$1020,4,FALSE)</f>
        <v>#N/A</v>
      </c>
      <c r="G5313" s="127" t="e">
        <f>VLOOKUP(D5313,'لیست پرسنل'!$B$2:$F$1020,2,FALSE)</f>
        <v>#N/A</v>
      </c>
      <c r="H5313" s="128" t="s">
        <v>5204</v>
      </c>
      <c r="I5313" s="128"/>
      <c r="J5313" s="128" t="s">
        <v>3480</v>
      </c>
      <c r="K5313" s="128" t="s">
        <v>5207</v>
      </c>
      <c r="L5313" s="127"/>
      <c r="M5313" s="127" t="s">
        <v>291</v>
      </c>
      <c r="N5313" s="109"/>
      <c r="O5313" s="19" t="s">
        <v>6507</v>
      </c>
      <c r="P5313" s="32"/>
      <c r="Q5313" s="32"/>
    </row>
    <row r="5314" spans="1:17" ht="24.9" customHeight="1">
      <c r="A5314" s="20"/>
      <c r="B5314" s="20" t="s">
        <v>6259</v>
      </c>
      <c r="C5314" s="20"/>
      <c r="D5314" s="20" t="s">
        <v>6259</v>
      </c>
      <c r="E5314" s="19" t="e">
        <f>VLOOKUP(D5314,'لیست پرسنل'!$B$2:$E$1020,3,FALSE)</f>
        <v>#N/A</v>
      </c>
      <c r="F5314" s="19" t="e">
        <f>VLOOKUP(D5314,'لیست پرسنل'!$B$2:$E$1020,4,FALSE)</f>
        <v>#N/A</v>
      </c>
      <c r="G5314" s="127" t="e">
        <f>VLOOKUP(D5314,'لیست پرسنل'!$B$2:$F$1020,2,FALSE)</f>
        <v>#N/A</v>
      </c>
      <c r="H5314" s="128" t="s">
        <v>5205</v>
      </c>
      <c r="I5314" s="128"/>
      <c r="J5314" s="128" t="s">
        <v>3480</v>
      </c>
      <c r="K5314" s="128" t="s">
        <v>5207</v>
      </c>
      <c r="L5314" s="127"/>
      <c r="M5314" s="127" t="s">
        <v>291</v>
      </c>
      <c r="N5314" s="109"/>
      <c r="O5314" s="19" t="s">
        <v>6508</v>
      </c>
      <c r="P5314" s="32"/>
      <c r="Q5314" s="32"/>
    </row>
    <row r="5315" spans="1:17" ht="24.9" customHeight="1">
      <c r="A5315" s="20"/>
      <c r="B5315" s="20" t="s">
        <v>6259</v>
      </c>
      <c r="C5315" s="20"/>
      <c r="D5315" s="20" t="s">
        <v>6259</v>
      </c>
      <c r="E5315" s="19" t="e">
        <f>VLOOKUP(D5315,'لیست پرسنل'!$B$2:$E$1020,3,FALSE)</f>
        <v>#N/A</v>
      </c>
      <c r="F5315" s="19" t="e">
        <f>VLOOKUP(D5315,'لیست پرسنل'!$B$2:$E$1020,4,FALSE)</f>
        <v>#N/A</v>
      </c>
      <c r="G5315" s="127" t="e">
        <f>VLOOKUP(D5315,'لیست پرسنل'!$B$2:$F$1020,2,FALSE)</f>
        <v>#N/A</v>
      </c>
      <c r="H5315" s="128" t="s">
        <v>5176</v>
      </c>
      <c r="I5315" s="128"/>
      <c r="J5315" s="128" t="s">
        <v>3480</v>
      </c>
      <c r="K5315" s="128" t="s">
        <v>5207</v>
      </c>
      <c r="L5315" s="127"/>
      <c r="M5315" s="127" t="s">
        <v>291</v>
      </c>
      <c r="N5315" s="109"/>
      <c r="O5315" s="19" t="s">
        <v>6510</v>
      </c>
      <c r="P5315" s="32"/>
      <c r="Q5315" s="32"/>
    </row>
    <row r="5316" spans="1:17" ht="24.9" customHeight="1">
      <c r="A5316" s="20"/>
      <c r="B5316" s="20" t="s">
        <v>6259</v>
      </c>
      <c r="C5316" s="20"/>
      <c r="D5316" s="20" t="s">
        <v>6259</v>
      </c>
      <c r="E5316" s="19" t="e">
        <f>VLOOKUP(D5316,'لیست پرسنل'!$B$2:$E$1020,3,FALSE)</f>
        <v>#N/A</v>
      </c>
      <c r="F5316" s="19" t="e">
        <f>VLOOKUP(D5316,'لیست پرسنل'!$B$2:$E$1020,4,FALSE)</f>
        <v>#N/A</v>
      </c>
      <c r="G5316" s="127" t="e">
        <f>VLOOKUP(D5316,'لیست پرسنل'!$B$2:$F$1020,2,FALSE)</f>
        <v>#N/A</v>
      </c>
      <c r="H5316" s="128" t="s">
        <v>5176</v>
      </c>
      <c r="I5316" s="128"/>
      <c r="J5316" s="128" t="s">
        <v>3480</v>
      </c>
      <c r="K5316" s="128" t="s">
        <v>5207</v>
      </c>
      <c r="L5316" s="127"/>
      <c r="M5316" s="127" t="s">
        <v>291</v>
      </c>
      <c r="N5316" s="109"/>
      <c r="O5316" s="19" t="s">
        <v>6511</v>
      </c>
      <c r="P5316" s="32"/>
      <c r="Q5316" s="32"/>
    </row>
    <row r="5317" spans="1:17" ht="24.9" customHeight="1">
      <c r="A5317" s="20"/>
      <c r="B5317" s="20" t="s">
        <v>6259</v>
      </c>
      <c r="C5317" s="20"/>
      <c r="D5317" s="20" t="s">
        <v>6259</v>
      </c>
      <c r="E5317" s="19" t="e">
        <f>VLOOKUP(D5317,'لیست پرسنل'!$B$2:$E$1020,3,FALSE)</f>
        <v>#N/A</v>
      </c>
      <c r="F5317" s="19" t="e">
        <f>VLOOKUP(D5317,'لیست پرسنل'!$B$2:$E$1020,4,FALSE)</f>
        <v>#N/A</v>
      </c>
      <c r="G5317" s="127" t="e">
        <f>VLOOKUP(D5317,'لیست پرسنل'!$B$2:$F$1020,2,FALSE)</f>
        <v>#N/A</v>
      </c>
      <c r="H5317" s="128" t="s">
        <v>5176</v>
      </c>
      <c r="I5317" s="128"/>
      <c r="J5317" s="128" t="s">
        <v>3480</v>
      </c>
      <c r="K5317" s="128" t="s">
        <v>5207</v>
      </c>
      <c r="L5317" s="127"/>
      <c r="M5317" s="127" t="s">
        <v>291</v>
      </c>
      <c r="N5317" s="109"/>
      <c r="O5317" s="19" t="s">
        <v>6512</v>
      </c>
      <c r="P5317" s="32"/>
      <c r="Q5317" s="32"/>
    </row>
    <row r="5318" spans="1:17" ht="24.9" customHeight="1">
      <c r="A5318" s="20"/>
      <c r="B5318" s="20" t="s">
        <v>6259</v>
      </c>
      <c r="C5318" s="20"/>
      <c r="D5318" s="20" t="s">
        <v>6259</v>
      </c>
      <c r="E5318" s="19" t="e">
        <f>VLOOKUP(D5318,'لیست پرسنل'!$B$2:$E$1020,3,FALSE)</f>
        <v>#N/A</v>
      </c>
      <c r="F5318" s="19" t="e">
        <f>VLOOKUP(D5318,'لیست پرسنل'!$B$2:$E$1020,4,FALSE)</f>
        <v>#N/A</v>
      </c>
      <c r="G5318" s="127" t="e">
        <f>VLOOKUP(D5318,'لیست پرسنل'!$B$2:$F$1020,2,FALSE)</f>
        <v>#N/A</v>
      </c>
      <c r="H5318" s="128" t="s">
        <v>5176</v>
      </c>
      <c r="I5318" s="128"/>
      <c r="J5318" s="128" t="s">
        <v>3480</v>
      </c>
      <c r="K5318" s="128" t="s">
        <v>5207</v>
      </c>
      <c r="L5318" s="127"/>
      <c r="M5318" s="127" t="s">
        <v>291</v>
      </c>
      <c r="N5318" s="109"/>
      <c r="O5318" s="19" t="s">
        <v>6513</v>
      </c>
      <c r="P5318" s="32"/>
      <c r="Q5318" s="32"/>
    </row>
    <row r="5319" spans="1:17" ht="24.9" customHeight="1">
      <c r="A5319" s="20"/>
      <c r="B5319" s="20" t="s">
        <v>6259</v>
      </c>
      <c r="C5319" s="20"/>
      <c r="D5319" s="20" t="s">
        <v>6259</v>
      </c>
      <c r="E5319" s="19" t="e">
        <f>VLOOKUP(D5319,'لیست پرسنل'!$B$2:$E$1020,3,FALSE)</f>
        <v>#N/A</v>
      </c>
      <c r="F5319" s="19" t="e">
        <f>VLOOKUP(D5319,'لیست پرسنل'!$B$2:$E$1020,4,FALSE)</f>
        <v>#N/A</v>
      </c>
      <c r="G5319" s="127" t="e">
        <f>VLOOKUP(D5319,'لیست پرسنل'!$B$2:$F$1020,2,FALSE)</f>
        <v>#N/A</v>
      </c>
      <c r="H5319" s="128" t="s">
        <v>5176</v>
      </c>
      <c r="I5319" s="128"/>
      <c r="J5319" s="128" t="s">
        <v>3480</v>
      </c>
      <c r="K5319" s="128" t="s">
        <v>5207</v>
      </c>
      <c r="L5319" s="127"/>
      <c r="M5319" s="127" t="s">
        <v>291</v>
      </c>
      <c r="N5319" s="109"/>
      <c r="O5319" s="19" t="s">
        <v>6514</v>
      </c>
      <c r="P5319" s="32"/>
      <c r="Q5319" s="32"/>
    </row>
    <row r="5320" spans="1:17" ht="24.9" customHeight="1">
      <c r="A5320" s="20"/>
      <c r="B5320" s="20" t="s">
        <v>6259</v>
      </c>
      <c r="C5320" s="20"/>
      <c r="D5320" s="20" t="s">
        <v>6259</v>
      </c>
      <c r="E5320" s="19" t="e">
        <f>VLOOKUP(D5320,'لیست پرسنل'!$B$2:$E$1020,3,FALSE)</f>
        <v>#N/A</v>
      </c>
      <c r="F5320" s="19" t="e">
        <f>VLOOKUP(D5320,'لیست پرسنل'!$B$2:$E$1020,4,FALSE)</f>
        <v>#N/A</v>
      </c>
      <c r="G5320" s="127" t="e">
        <f>VLOOKUP(D5320,'لیست پرسنل'!$B$2:$F$1020,2,FALSE)</f>
        <v>#N/A</v>
      </c>
      <c r="H5320" s="128" t="s">
        <v>5176</v>
      </c>
      <c r="I5320" s="128"/>
      <c r="J5320" s="128" t="s">
        <v>3480</v>
      </c>
      <c r="K5320" s="128" t="s">
        <v>5207</v>
      </c>
      <c r="L5320" s="127"/>
      <c r="M5320" s="127" t="s">
        <v>291</v>
      </c>
      <c r="N5320" s="109"/>
      <c r="O5320" s="19" t="s">
        <v>6515</v>
      </c>
      <c r="P5320" s="32"/>
      <c r="Q5320" s="32"/>
    </row>
    <row r="5321" spans="1:17" ht="24.9" customHeight="1">
      <c r="A5321" s="20"/>
      <c r="B5321" s="20" t="s">
        <v>6259</v>
      </c>
      <c r="C5321" s="20"/>
      <c r="D5321" s="20" t="s">
        <v>6259</v>
      </c>
      <c r="E5321" s="19" t="e">
        <f>VLOOKUP(D5321,'لیست پرسنل'!$B$2:$E$1020,3,FALSE)</f>
        <v>#N/A</v>
      </c>
      <c r="F5321" s="19" t="e">
        <f>VLOOKUP(D5321,'لیست پرسنل'!$B$2:$E$1020,4,FALSE)</f>
        <v>#N/A</v>
      </c>
      <c r="G5321" s="127" t="e">
        <f>VLOOKUP(D5321,'لیست پرسنل'!$B$2:$F$1020,2,FALSE)</f>
        <v>#N/A</v>
      </c>
      <c r="H5321" s="128" t="s">
        <v>5176</v>
      </c>
      <c r="I5321" s="128"/>
      <c r="J5321" s="128" t="s">
        <v>3480</v>
      </c>
      <c r="K5321" s="128" t="s">
        <v>5207</v>
      </c>
      <c r="L5321" s="127"/>
      <c r="M5321" s="127" t="s">
        <v>291</v>
      </c>
      <c r="N5321" s="109"/>
      <c r="O5321" s="19" t="s">
        <v>6516</v>
      </c>
      <c r="P5321" s="32"/>
      <c r="Q5321" s="32"/>
    </row>
    <row r="5322" spans="1:17" ht="24.9" customHeight="1">
      <c r="A5322" s="20"/>
      <c r="B5322" s="20" t="s">
        <v>6259</v>
      </c>
      <c r="C5322" s="20"/>
      <c r="D5322" s="20" t="s">
        <v>6259</v>
      </c>
      <c r="E5322" s="19" t="e">
        <f>VLOOKUP(D5322,'لیست پرسنل'!$B$2:$E$1020,3,FALSE)</f>
        <v>#N/A</v>
      </c>
      <c r="F5322" s="19" t="e">
        <f>VLOOKUP(D5322,'لیست پرسنل'!$B$2:$E$1020,4,FALSE)</f>
        <v>#N/A</v>
      </c>
      <c r="G5322" s="127" t="e">
        <f>VLOOKUP(D5322,'لیست پرسنل'!$B$2:$F$1020,2,FALSE)</f>
        <v>#N/A</v>
      </c>
      <c r="H5322" s="128" t="s">
        <v>5176</v>
      </c>
      <c r="I5322" s="128"/>
      <c r="J5322" s="128" t="s">
        <v>3480</v>
      </c>
      <c r="K5322" s="128" t="s">
        <v>5207</v>
      </c>
      <c r="L5322" s="127"/>
      <c r="M5322" s="127" t="s">
        <v>291</v>
      </c>
      <c r="N5322" s="109"/>
      <c r="O5322" s="19" t="s">
        <v>6517</v>
      </c>
      <c r="P5322" s="32"/>
      <c r="Q5322" s="32"/>
    </row>
    <row r="5323" spans="1:17" ht="24.9" customHeight="1">
      <c r="A5323" s="20"/>
      <c r="B5323" s="20" t="s">
        <v>1281</v>
      </c>
      <c r="C5323" s="19"/>
      <c r="D5323" s="19" t="s">
        <v>5053</v>
      </c>
      <c r="E5323" s="19" t="str">
        <f>VLOOKUP(D5323,'لیست پرسنل'!$B$2:$E$1020,3,FALSE)</f>
        <v>خیریه</v>
      </c>
      <c r="F5323" s="19" t="str">
        <f>VLOOKUP(D5323,'لیست پرسنل'!$B$2:$E$1020,4,FALSE)</f>
        <v>خیریه</v>
      </c>
      <c r="G5323" s="127">
        <f>VLOOKUP(D5323,'لیست پرسنل'!$B$2:$F$1020,2,FALSE)</f>
        <v>0</v>
      </c>
      <c r="H5323" s="128" t="s">
        <v>1281</v>
      </c>
      <c r="I5323" s="128" t="s">
        <v>1281</v>
      </c>
      <c r="J5323" s="141" t="s">
        <v>571</v>
      </c>
      <c r="K5323" s="126" t="s">
        <v>410</v>
      </c>
      <c r="L5323" s="127"/>
      <c r="M5323" s="131">
        <v>604138</v>
      </c>
      <c r="N5323" s="108"/>
      <c r="O5323" s="88" t="s">
        <v>4596</v>
      </c>
      <c r="P5323" s="20" t="s">
        <v>4338</v>
      </c>
      <c r="Q5323" s="20" t="s">
        <v>5055</v>
      </c>
    </row>
    <row r="5324" spans="1:17" ht="24.9" customHeight="1">
      <c r="A5324" s="20"/>
      <c r="B5324" s="20" t="s">
        <v>1281</v>
      </c>
      <c r="C5324" s="19"/>
      <c r="D5324" s="19" t="s">
        <v>5053</v>
      </c>
      <c r="E5324" s="19" t="str">
        <f>VLOOKUP(D5324,'لیست پرسنل'!$B$2:$E$1020,3,FALSE)</f>
        <v>خیریه</v>
      </c>
      <c r="F5324" s="19" t="str">
        <f>VLOOKUP(D5324,'لیست پرسنل'!$B$2:$E$1020,4,FALSE)</f>
        <v>خیریه</v>
      </c>
      <c r="G5324" s="127">
        <f>VLOOKUP(D5324,'لیست پرسنل'!$B$2:$F$1020,2,FALSE)</f>
        <v>0</v>
      </c>
      <c r="H5324" s="128" t="s">
        <v>1281</v>
      </c>
      <c r="I5324" s="128" t="s">
        <v>1281</v>
      </c>
      <c r="J5324" s="128" t="s">
        <v>2686</v>
      </c>
      <c r="K5324" s="128" t="s">
        <v>1856</v>
      </c>
      <c r="L5324" s="151" t="s">
        <v>1257</v>
      </c>
      <c r="M5324" s="127">
        <v>601588</v>
      </c>
      <c r="N5324" s="109"/>
      <c r="O5324" s="19"/>
      <c r="P5324" s="20" t="s">
        <v>4338</v>
      </c>
      <c r="Q5324" s="20" t="s">
        <v>5055</v>
      </c>
    </row>
    <row r="5325" spans="1:17" ht="24.9" customHeight="1">
      <c r="A5325" s="20"/>
      <c r="B5325" s="20" t="s">
        <v>1281</v>
      </c>
      <c r="C5325" s="20"/>
      <c r="D5325" s="20" t="s">
        <v>5053</v>
      </c>
      <c r="E5325" s="19" t="str">
        <f>VLOOKUP(D5325,'لیست پرسنل'!$B$2:$E$1020,3,FALSE)</f>
        <v>خیریه</v>
      </c>
      <c r="F5325" s="19" t="str">
        <f>VLOOKUP(D5325,'لیست پرسنل'!$B$2:$E$1020,4,FALSE)</f>
        <v>خیریه</v>
      </c>
      <c r="G5325" s="127">
        <f>VLOOKUP(D5325,'لیست پرسنل'!$B$2:$F$1020,2,FALSE)</f>
        <v>0</v>
      </c>
      <c r="H5325" s="128" t="s">
        <v>1281</v>
      </c>
      <c r="I5325" s="128" t="s">
        <v>1281</v>
      </c>
      <c r="J5325" s="128" t="s">
        <v>2686</v>
      </c>
      <c r="K5325" s="127" t="s">
        <v>40</v>
      </c>
      <c r="L5325" s="151" t="s">
        <v>178</v>
      </c>
      <c r="M5325" s="127">
        <v>607055</v>
      </c>
      <c r="N5325" s="109"/>
      <c r="O5325" s="19"/>
      <c r="P5325" s="20" t="s">
        <v>4338</v>
      </c>
      <c r="Q5325" s="20" t="s">
        <v>5055</v>
      </c>
    </row>
    <row r="5326" spans="1:17" ht="24.9" customHeight="1">
      <c r="A5326" s="20"/>
      <c r="B5326" s="20" t="s">
        <v>1281</v>
      </c>
      <c r="C5326" s="20"/>
      <c r="D5326" s="20" t="s">
        <v>5053</v>
      </c>
      <c r="E5326" s="19" t="str">
        <f>VLOOKUP(D5326,'لیست پرسنل'!$B$2:$E$1020,3,FALSE)</f>
        <v>خیریه</v>
      </c>
      <c r="F5326" s="19" t="str">
        <f>VLOOKUP(D5326,'لیست پرسنل'!$B$2:$E$1020,4,FALSE)</f>
        <v>خیریه</v>
      </c>
      <c r="G5326" s="127">
        <f>VLOOKUP(D5326,'لیست پرسنل'!$B$2:$F$1020,2,FALSE)</f>
        <v>0</v>
      </c>
      <c r="H5326" s="128" t="s">
        <v>5691</v>
      </c>
      <c r="I5326" s="128" t="s">
        <v>1281</v>
      </c>
      <c r="J5326" s="128" t="s">
        <v>2686</v>
      </c>
      <c r="K5326" s="127" t="s">
        <v>1216</v>
      </c>
      <c r="L5326" s="151" t="s">
        <v>1211</v>
      </c>
      <c r="M5326" s="127">
        <v>607308</v>
      </c>
      <c r="N5326" s="109"/>
      <c r="O5326" s="19" t="s">
        <v>4933</v>
      </c>
      <c r="P5326" s="20" t="s">
        <v>4338</v>
      </c>
      <c r="Q5326" s="20" t="s">
        <v>5055</v>
      </c>
    </row>
    <row r="5327" spans="1:17" ht="24.9" customHeight="1">
      <c r="A5327" s="20"/>
      <c r="B5327" s="20" t="s">
        <v>1281</v>
      </c>
      <c r="C5327" s="19"/>
      <c r="D5327" s="19" t="s">
        <v>5053</v>
      </c>
      <c r="E5327" s="19" t="str">
        <f>VLOOKUP(D5327,'لیست پرسنل'!$B$2:$E$1020,3,FALSE)</f>
        <v>خیریه</v>
      </c>
      <c r="F5327" s="19" t="str">
        <f>VLOOKUP(D5327,'لیست پرسنل'!$B$2:$E$1020,4,FALSE)</f>
        <v>خیریه</v>
      </c>
      <c r="G5327" s="127">
        <f>VLOOKUP(D5327,'لیست پرسنل'!$B$2:$F$1020,2,FALSE)</f>
        <v>0</v>
      </c>
      <c r="H5327" s="128" t="s">
        <v>5691</v>
      </c>
      <c r="I5327" s="128" t="s">
        <v>1281</v>
      </c>
      <c r="J5327" s="128" t="s">
        <v>2686</v>
      </c>
      <c r="K5327" s="127" t="s">
        <v>548</v>
      </c>
      <c r="L5327" s="158">
        <v>705024403003620</v>
      </c>
      <c r="M5327" s="127">
        <v>609712</v>
      </c>
      <c r="N5327" s="109"/>
      <c r="O5327" s="20"/>
      <c r="P5327" s="20" t="s">
        <v>4338</v>
      </c>
      <c r="Q5327" s="20" t="s">
        <v>5055</v>
      </c>
    </row>
    <row r="5328" spans="1:17" ht="24.9" customHeight="1">
      <c r="A5328" s="20"/>
      <c r="B5328" s="20" t="s">
        <v>1281</v>
      </c>
      <c r="C5328" s="19"/>
      <c r="D5328" s="19" t="s">
        <v>1281</v>
      </c>
      <c r="E5328" s="19" t="str">
        <f>VLOOKUP(D5328,'لیست پرسنل'!$B$2:$E$1020,3,FALSE)</f>
        <v>خیریه</v>
      </c>
      <c r="F5328" s="19" t="str">
        <f>VLOOKUP(D5328,'لیست پرسنل'!$B$2:$E$1020,4,FALSE)</f>
        <v>خیریه</v>
      </c>
      <c r="G5328" s="127">
        <f>VLOOKUP(D5328,'لیست پرسنل'!$B$2:$F$1020,2,FALSE)</f>
        <v>0</v>
      </c>
      <c r="H5328" s="151" t="s">
        <v>8482</v>
      </c>
      <c r="I5328" s="127" t="s">
        <v>1281</v>
      </c>
      <c r="J5328" s="141" t="s">
        <v>571</v>
      </c>
      <c r="K5328" s="128" t="s">
        <v>1513</v>
      </c>
      <c r="L5328" s="127" t="s">
        <v>3784</v>
      </c>
      <c r="M5328" s="126">
        <v>601542</v>
      </c>
      <c r="N5328" s="108"/>
      <c r="O5328" s="20" t="s">
        <v>8482</v>
      </c>
      <c r="P5328" s="20" t="s">
        <v>3834</v>
      </c>
      <c r="Q5328" s="20" t="s">
        <v>8481</v>
      </c>
    </row>
    <row r="5329" spans="1:17" ht="24.9" customHeight="1">
      <c r="A5329" s="20"/>
      <c r="B5329" s="20" t="s">
        <v>1281</v>
      </c>
      <c r="C5329" s="20"/>
      <c r="D5329" s="20" t="s">
        <v>1281</v>
      </c>
      <c r="E5329" s="19" t="str">
        <f>VLOOKUP(D5329,'لیست پرسنل'!$B$2:$E$1020,3,FALSE)</f>
        <v>خیریه</v>
      </c>
      <c r="F5329" s="19" t="str">
        <f>VLOOKUP(D5329,'لیست پرسنل'!$B$2:$E$1020,4,FALSE)</f>
        <v>خیریه</v>
      </c>
      <c r="G5329" s="127">
        <f>VLOOKUP(D5329,'لیست پرسنل'!$B$2:$F$1020,2,FALSE)</f>
        <v>0</v>
      </c>
      <c r="H5329" s="127" t="s">
        <v>8482</v>
      </c>
      <c r="I5329" s="127" t="s">
        <v>1281</v>
      </c>
      <c r="J5329" s="128" t="s">
        <v>571</v>
      </c>
      <c r="K5329" s="128" t="s">
        <v>571</v>
      </c>
      <c r="L5329" s="127" t="s">
        <v>5441</v>
      </c>
      <c r="M5329" s="128">
        <v>601734</v>
      </c>
      <c r="N5329" s="108"/>
      <c r="O5329" s="20" t="s">
        <v>8482</v>
      </c>
      <c r="P5329" s="20" t="s">
        <v>3834</v>
      </c>
      <c r="Q5329" s="20" t="s">
        <v>8481</v>
      </c>
    </row>
    <row r="5330" spans="1:17" ht="24.9" customHeight="1">
      <c r="A5330" s="20"/>
      <c r="B5330" s="20" t="s">
        <v>1281</v>
      </c>
      <c r="C5330" s="19"/>
      <c r="D5330" s="19" t="s">
        <v>1281</v>
      </c>
      <c r="E5330" s="19" t="str">
        <f>VLOOKUP(D5330,'لیست پرسنل'!$B$2:$E$1020,3,FALSE)</f>
        <v>خیریه</v>
      </c>
      <c r="F5330" s="19" t="str">
        <f>VLOOKUP(D5330,'لیست پرسنل'!$B$2:$E$1020,4,FALSE)</f>
        <v>خیریه</v>
      </c>
      <c r="G5330" s="127">
        <f>VLOOKUP(D5330,'لیست پرسنل'!$B$2:$F$1020,2,FALSE)</f>
        <v>0</v>
      </c>
      <c r="H5330" s="126" t="s">
        <v>8482</v>
      </c>
      <c r="I5330" s="127" t="s">
        <v>1281</v>
      </c>
      <c r="J5330" s="127" t="s">
        <v>571</v>
      </c>
      <c r="K5330" s="128" t="s">
        <v>3784</v>
      </c>
      <c r="L5330" s="155"/>
      <c r="M5330" s="127">
        <v>602634</v>
      </c>
      <c r="N5330" s="109"/>
      <c r="O5330" s="20" t="s">
        <v>8482</v>
      </c>
      <c r="P5330" s="20" t="s">
        <v>3834</v>
      </c>
      <c r="Q5330" s="20" t="s">
        <v>8481</v>
      </c>
    </row>
    <row r="5331" spans="1:17" ht="24.9" customHeight="1">
      <c r="A5331" s="20"/>
      <c r="B5331" s="20" t="s">
        <v>1281</v>
      </c>
      <c r="C5331" s="19"/>
      <c r="D5331" s="19" t="s">
        <v>1281</v>
      </c>
      <c r="E5331" s="19" t="str">
        <f>VLOOKUP(D5331,'لیست پرسنل'!$B$2:$E$1020,3,FALSE)</f>
        <v>خیریه</v>
      </c>
      <c r="F5331" s="19" t="str">
        <f>VLOOKUP(D5331,'لیست پرسنل'!$B$2:$E$1020,4,FALSE)</f>
        <v>خیریه</v>
      </c>
      <c r="G5331" s="127">
        <f>VLOOKUP(D5331,'لیست پرسنل'!$B$2:$F$1020,2,FALSE)</f>
        <v>0</v>
      </c>
      <c r="H5331" s="126" t="s">
        <v>8482</v>
      </c>
      <c r="I5331" s="127" t="s">
        <v>1281</v>
      </c>
      <c r="J5331" s="127" t="s">
        <v>571</v>
      </c>
      <c r="K5331" s="127" t="s">
        <v>3156</v>
      </c>
      <c r="L5331" s="151"/>
      <c r="M5331" s="127">
        <v>602952</v>
      </c>
      <c r="N5331" s="109"/>
      <c r="O5331" s="20" t="s">
        <v>8482</v>
      </c>
      <c r="P5331" s="20" t="s">
        <v>3834</v>
      </c>
      <c r="Q5331" s="20" t="s">
        <v>8481</v>
      </c>
    </row>
    <row r="5332" spans="1:17" ht="24.9" customHeight="1">
      <c r="A5332" s="20"/>
      <c r="B5332" s="20" t="s">
        <v>1281</v>
      </c>
      <c r="C5332" s="19"/>
      <c r="D5332" s="19" t="s">
        <v>1281</v>
      </c>
      <c r="E5332" s="19" t="str">
        <f>VLOOKUP(D5332,'لیست پرسنل'!$B$2:$E$1020,3,FALSE)</f>
        <v>خیریه</v>
      </c>
      <c r="F5332" s="19" t="str">
        <f>VLOOKUP(D5332,'لیست پرسنل'!$B$2:$E$1020,4,FALSE)</f>
        <v>خیریه</v>
      </c>
      <c r="G5332" s="127">
        <f>VLOOKUP(D5332,'لیست پرسنل'!$B$2:$F$1020,2,FALSE)</f>
        <v>0</v>
      </c>
      <c r="H5332" s="127" t="s">
        <v>8482</v>
      </c>
      <c r="I5332" s="127" t="s">
        <v>1281</v>
      </c>
      <c r="J5332" s="127" t="s">
        <v>571</v>
      </c>
      <c r="K5332" s="127" t="s">
        <v>6473</v>
      </c>
      <c r="L5332" s="127"/>
      <c r="M5332" s="127">
        <v>603821</v>
      </c>
      <c r="N5332" s="109"/>
      <c r="O5332" s="20" t="s">
        <v>8482</v>
      </c>
      <c r="P5332" s="20" t="s">
        <v>3834</v>
      </c>
      <c r="Q5332" s="20" t="s">
        <v>8481</v>
      </c>
    </row>
    <row r="5333" spans="1:17" ht="24.9" customHeight="1">
      <c r="A5333" s="20"/>
      <c r="B5333" s="20" t="s">
        <v>1281</v>
      </c>
      <c r="C5333" s="20"/>
      <c r="D5333" s="20" t="s">
        <v>1281</v>
      </c>
      <c r="E5333" s="19" t="str">
        <f>VLOOKUP(D5333,'لیست پرسنل'!$B$2:$E$1020,3,FALSE)</f>
        <v>خیریه</v>
      </c>
      <c r="F5333" s="19" t="str">
        <f>VLOOKUP(D5333,'لیست پرسنل'!$B$2:$E$1020,4,FALSE)</f>
        <v>خیریه</v>
      </c>
      <c r="G5333" s="127">
        <f>VLOOKUP(D5333,'لیست پرسنل'!$B$2:$F$1020,2,FALSE)</f>
        <v>0</v>
      </c>
      <c r="H5333" s="126" t="s">
        <v>8482</v>
      </c>
      <c r="I5333" s="128" t="s">
        <v>1281</v>
      </c>
      <c r="J5333" s="127" t="s">
        <v>571</v>
      </c>
      <c r="K5333" s="128" t="s">
        <v>353</v>
      </c>
      <c r="L5333" s="151"/>
      <c r="M5333" s="127">
        <v>606676</v>
      </c>
      <c r="N5333" s="109"/>
      <c r="O5333" s="20" t="s">
        <v>8482</v>
      </c>
      <c r="P5333" s="20" t="s">
        <v>3834</v>
      </c>
      <c r="Q5333" s="20" t="s">
        <v>8481</v>
      </c>
    </row>
    <row r="5334" spans="1:17" ht="24.9" customHeight="1">
      <c r="A5334" s="20"/>
      <c r="B5334" s="20" t="s">
        <v>1281</v>
      </c>
      <c r="C5334" s="19"/>
      <c r="D5334" s="20" t="s">
        <v>1281</v>
      </c>
      <c r="E5334" s="19" t="str">
        <f>VLOOKUP(D5334,'لیست پرسنل'!$B$2:$E$1020,3,FALSE)</f>
        <v>خیریه</v>
      </c>
      <c r="F5334" s="19" t="str">
        <f>VLOOKUP(D5334,'لیست پرسنل'!$B$2:$E$1020,4,FALSE)</f>
        <v>خیریه</v>
      </c>
      <c r="G5334" s="127">
        <f>VLOOKUP(D5334,'لیست پرسنل'!$B$2:$F$1020,2,FALSE)</f>
        <v>0</v>
      </c>
      <c r="H5334" s="126" t="s">
        <v>8482</v>
      </c>
      <c r="I5334" s="128" t="s">
        <v>1281</v>
      </c>
      <c r="J5334" s="127" t="s">
        <v>571</v>
      </c>
      <c r="K5334" s="128"/>
      <c r="L5334" s="150"/>
      <c r="M5334" s="128">
        <v>608102</v>
      </c>
      <c r="N5334" s="112"/>
      <c r="O5334" s="20" t="s">
        <v>8482</v>
      </c>
      <c r="P5334" s="20" t="s">
        <v>3834</v>
      </c>
      <c r="Q5334" s="20" t="s">
        <v>8481</v>
      </c>
    </row>
    <row r="5335" spans="1:17" ht="24.9" customHeight="1">
      <c r="A5335" s="20"/>
      <c r="B5335" s="20" t="s">
        <v>1281</v>
      </c>
      <c r="C5335" s="19"/>
      <c r="D5335" s="19" t="s">
        <v>1281</v>
      </c>
      <c r="E5335" s="19" t="str">
        <f>VLOOKUP(D5335,'لیست پرسنل'!$B$2:$E$1020,3,FALSE)</f>
        <v>خیریه</v>
      </c>
      <c r="F5335" s="19" t="str">
        <f>VLOOKUP(D5335,'لیست پرسنل'!$B$2:$E$1020,4,FALSE)</f>
        <v>خیریه</v>
      </c>
      <c r="G5335" s="127">
        <f>VLOOKUP(D5335,'لیست پرسنل'!$B$2:$F$1020,2,FALSE)</f>
        <v>0</v>
      </c>
      <c r="H5335" s="126" t="s">
        <v>8482</v>
      </c>
      <c r="I5335" s="127" t="s">
        <v>1281</v>
      </c>
      <c r="J5335" s="141" t="s">
        <v>571</v>
      </c>
      <c r="K5335" s="128" t="s">
        <v>1513</v>
      </c>
      <c r="L5335" s="154"/>
      <c r="M5335" s="131">
        <v>608754</v>
      </c>
      <c r="N5335" s="108"/>
      <c r="O5335" s="20" t="s">
        <v>8482</v>
      </c>
      <c r="P5335" s="20" t="s">
        <v>3834</v>
      </c>
      <c r="Q5335" s="20" t="s">
        <v>8481</v>
      </c>
    </row>
    <row r="5336" spans="1:17" ht="24.9" customHeight="1">
      <c r="A5336" s="20"/>
      <c r="B5336" s="20" t="s">
        <v>1281</v>
      </c>
      <c r="C5336" s="20"/>
      <c r="D5336" s="20" t="s">
        <v>1281</v>
      </c>
      <c r="E5336" s="19" t="str">
        <f>VLOOKUP(D5336,'لیست پرسنل'!$B$2:$E$1020,3,FALSE)</f>
        <v>خیریه</v>
      </c>
      <c r="F5336" s="19" t="str">
        <f>VLOOKUP(D5336,'لیست پرسنل'!$B$2:$E$1020,4,FALSE)</f>
        <v>خیریه</v>
      </c>
      <c r="G5336" s="127">
        <f>VLOOKUP(D5336,'لیست پرسنل'!$B$2:$F$1020,2,FALSE)</f>
        <v>0</v>
      </c>
      <c r="H5336" s="126" t="s">
        <v>8482</v>
      </c>
      <c r="I5336" s="128" t="s">
        <v>1281</v>
      </c>
      <c r="J5336" s="141" t="s">
        <v>571</v>
      </c>
      <c r="K5336" s="128" t="s">
        <v>571</v>
      </c>
      <c r="L5336" s="150" t="s">
        <v>2054</v>
      </c>
      <c r="M5336" s="132">
        <v>609213</v>
      </c>
      <c r="N5336" s="108"/>
      <c r="O5336" s="20" t="s">
        <v>8482</v>
      </c>
      <c r="P5336" s="20" t="s">
        <v>3834</v>
      </c>
      <c r="Q5336" s="20" t="s">
        <v>8481</v>
      </c>
    </row>
    <row r="5337" spans="1:17" ht="24.9" customHeight="1">
      <c r="A5337" s="20"/>
      <c r="B5337" s="20" t="s">
        <v>1281</v>
      </c>
      <c r="C5337" s="19"/>
      <c r="D5337" s="19" t="s">
        <v>1281</v>
      </c>
      <c r="E5337" s="19" t="str">
        <f>VLOOKUP(D5337,'لیست پرسنل'!$B$2:$E$1020,3,FALSE)</f>
        <v>خیریه</v>
      </c>
      <c r="F5337" s="19" t="str">
        <f>VLOOKUP(D5337,'لیست پرسنل'!$B$2:$E$1020,4,FALSE)</f>
        <v>خیریه</v>
      </c>
      <c r="G5337" s="127">
        <f>VLOOKUP(D5337,'لیست پرسنل'!$B$2:$F$1020,2,FALSE)</f>
        <v>0</v>
      </c>
      <c r="H5337" s="127" t="s">
        <v>8482</v>
      </c>
      <c r="I5337" s="127" t="s">
        <v>1281</v>
      </c>
      <c r="J5337" s="127" t="s">
        <v>571</v>
      </c>
      <c r="K5337" s="127" t="s">
        <v>720</v>
      </c>
      <c r="L5337" s="160"/>
      <c r="M5337" s="127">
        <v>622539</v>
      </c>
      <c r="N5337" s="109"/>
      <c r="O5337" s="20" t="s">
        <v>8482</v>
      </c>
      <c r="P5337" s="20" t="s">
        <v>3834</v>
      </c>
      <c r="Q5337" s="20" t="s">
        <v>8481</v>
      </c>
    </row>
    <row r="5338" spans="1:17" ht="24.9" customHeight="1">
      <c r="A5338" s="20"/>
      <c r="B5338" s="20" t="s">
        <v>1281</v>
      </c>
      <c r="C5338" s="19"/>
      <c r="D5338" s="19" t="s">
        <v>1281</v>
      </c>
      <c r="E5338" s="19" t="str">
        <f>VLOOKUP(D5338,'لیست پرسنل'!$B$2:$E$1020,3,FALSE)</f>
        <v>خیریه</v>
      </c>
      <c r="F5338" s="19" t="str">
        <f>VLOOKUP(D5338,'لیست پرسنل'!$B$2:$E$1020,4,FALSE)</f>
        <v>خیریه</v>
      </c>
      <c r="G5338" s="127">
        <f>VLOOKUP(D5338,'لیست پرسنل'!$B$2:$F$1020,2,FALSE)</f>
        <v>0</v>
      </c>
      <c r="H5338" s="151" t="s">
        <v>8482</v>
      </c>
      <c r="I5338" s="127" t="s">
        <v>1281</v>
      </c>
      <c r="J5338" s="128" t="s">
        <v>2686</v>
      </c>
      <c r="K5338" s="128" t="s">
        <v>744</v>
      </c>
      <c r="L5338" s="151" t="s">
        <v>3696</v>
      </c>
      <c r="M5338" s="127">
        <v>600764</v>
      </c>
      <c r="N5338" s="109"/>
      <c r="O5338" s="20" t="s">
        <v>8482</v>
      </c>
      <c r="P5338" s="20" t="s">
        <v>3834</v>
      </c>
      <c r="Q5338" s="20" t="s">
        <v>8481</v>
      </c>
    </row>
    <row r="5339" spans="1:17" ht="24.9" customHeight="1">
      <c r="A5339" s="20"/>
      <c r="B5339" s="20" t="s">
        <v>1281</v>
      </c>
      <c r="C5339" s="19"/>
      <c r="D5339" s="20" t="s">
        <v>1281</v>
      </c>
      <c r="E5339" s="19" t="str">
        <f>VLOOKUP(D5339,'لیست پرسنل'!$B$2:$E$1020,3,FALSE)</f>
        <v>خیریه</v>
      </c>
      <c r="F5339" s="19" t="str">
        <f>VLOOKUP(D5339,'لیست پرسنل'!$B$2:$E$1020,4,FALSE)</f>
        <v>خیریه</v>
      </c>
      <c r="G5339" s="127">
        <f>VLOOKUP(D5339,'لیست پرسنل'!$B$2:$F$1020,2,FALSE)</f>
        <v>0</v>
      </c>
      <c r="H5339" s="127" t="s">
        <v>8482</v>
      </c>
      <c r="I5339" s="128" t="s">
        <v>1281</v>
      </c>
      <c r="J5339" s="128" t="s">
        <v>2686</v>
      </c>
      <c r="K5339" s="135" t="s">
        <v>332</v>
      </c>
      <c r="L5339" s="154" t="s">
        <v>1156</v>
      </c>
      <c r="M5339" s="128">
        <v>603305</v>
      </c>
      <c r="N5339" s="108"/>
      <c r="O5339" s="20" t="s">
        <v>8482</v>
      </c>
      <c r="P5339" s="20" t="s">
        <v>3834</v>
      </c>
      <c r="Q5339" s="20" t="s">
        <v>8481</v>
      </c>
    </row>
    <row r="5340" spans="1:17" ht="24.9" customHeight="1">
      <c r="A5340" s="20"/>
      <c r="B5340" s="20" t="s">
        <v>1281</v>
      </c>
      <c r="C5340" s="19"/>
      <c r="D5340" s="19" t="s">
        <v>1281</v>
      </c>
      <c r="E5340" s="19" t="str">
        <f>VLOOKUP(D5340,'لیست پرسنل'!$B$2:$E$1020,3,FALSE)</f>
        <v>خیریه</v>
      </c>
      <c r="F5340" s="19" t="str">
        <f>VLOOKUP(D5340,'لیست پرسنل'!$B$2:$E$1020,4,FALSE)</f>
        <v>خیریه</v>
      </c>
      <c r="G5340" s="127">
        <f>VLOOKUP(D5340,'لیست پرسنل'!$B$2:$F$1020,2,FALSE)</f>
        <v>0</v>
      </c>
      <c r="H5340" s="151" t="s">
        <v>8482</v>
      </c>
      <c r="I5340" s="127" t="s">
        <v>1281</v>
      </c>
      <c r="J5340" s="128" t="s">
        <v>2686</v>
      </c>
      <c r="K5340" s="128" t="s">
        <v>744</v>
      </c>
      <c r="L5340" s="150" t="s">
        <v>3956</v>
      </c>
      <c r="M5340" s="132">
        <v>603556</v>
      </c>
      <c r="N5340" s="109" t="s">
        <v>326</v>
      </c>
      <c r="O5340" s="20" t="s">
        <v>8482</v>
      </c>
      <c r="P5340" s="20" t="s">
        <v>3834</v>
      </c>
      <c r="Q5340" s="20" t="s">
        <v>8481</v>
      </c>
    </row>
    <row r="5341" spans="1:17" ht="24.9" customHeight="1">
      <c r="A5341" s="20"/>
      <c r="B5341" s="20" t="s">
        <v>1281</v>
      </c>
      <c r="C5341" s="19"/>
      <c r="D5341" s="19" t="s">
        <v>1281</v>
      </c>
      <c r="E5341" s="19" t="str">
        <f>VLOOKUP(D5341,'لیست پرسنل'!$B$2:$E$1020,3,FALSE)</f>
        <v>خیریه</v>
      </c>
      <c r="F5341" s="19" t="str">
        <f>VLOOKUP(D5341,'لیست پرسنل'!$B$2:$E$1020,4,FALSE)</f>
        <v>خیریه</v>
      </c>
      <c r="G5341" s="127">
        <f>VLOOKUP(D5341,'لیست پرسنل'!$B$2:$F$1020,2,FALSE)</f>
        <v>0</v>
      </c>
      <c r="H5341" s="151" t="s">
        <v>8482</v>
      </c>
      <c r="I5341" s="127" t="s">
        <v>1281</v>
      </c>
      <c r="J5341" s="128" t="s">
        <v>2686</v>
      </c>
      <c r="K5341" s="128" t="s">
        <v>744</v>
      </c>
      <c r="L5341" s="158" t="s">
        <v>1132</v>
      </c>
      <c r="M5341" s="127">
        <v>603557</v>
      </c>
      <c r="N5341" s="109" t="s">
        <v>7933</v>
      </c>
      <c r="O5341" s="20" t="s">
        <v>8482</v>
      </c>
      <c r="P5341" s="20" t="s">
        <v>3834</v>
      </c>
      <c r="Q5341" s="20" t="s">
        <v>8481</v>
      </c>
    </row>
    <row r="5342" spans="1:17" ht="24.9" customHeight="1">
      <c r="A5342" s="20"/>
      <c r="B5342" s="20" t="s">
        <v>1281</v>
      </c>
      <c r="C5342" s="20"/>
      <c r="D5342" s="20" t="s">
        <v>1281</v>
      </c>
      <c r="E5342" s="19" t="str">
        <f>VLOOKUP(D5342,'لیست پرسنل'!$B$2:$E$1020,3,FALSE)</f>
        <v>خیریه</v>
      </c>
      <c r="F5342" s="19" t="str">
        <f>VLOOKUP(D5342,'لیست پرسنل'!$B$2:$E$1020,4,FALSE)</f>
        <v>خیریه</v>
      </c>
      <c r="G5342" s="127">
        <f>VLOOKUP(D5342,'لیست پرسنل'!$B$2:$F$1020,2,FALSE)</f>
        <v>0</v>
      </c>
      <c r="H5342" s="126" t="s">
        <v>8482</v>
      </c>
      <c r="I5342" s="128" t="s">
        <v>1281</v>
      </c>
      <c r="J5342" s="128" t="s">
        <v>2686</v>
      </c>
      <c r="K5342" s="128" t="s">
        <v>744</v>
      </c>
      <c r="L5342" s="151" t="s">
        <v>4482</v>
      </c>
      <c r="M5342" s="127">
        <v>603691</v>
      </c>
      <c r="N5342" s="109"/>
      <c r="O5342" s="20" t="s">
        <v>8482</v>
      </c>
      <c r="P5342" s="20" t="s">
        <v>3834</v>
      </c>
      <c r="Q5342" s="20" t="s">
        <v>8481</v>
      </c>
    </row>
    <row r="5343" spans="1:17" ht="24.9" customHeight="1">
      <c r="A5343" s="20"/>
      <c r="B5343" s="20" t="s">
        <v>1281</v>
      </c>
      <c r="C5343" s="20"/>
      <c r="D5343" s="20" t="s">
        <v>1281</v>
      </c>
      <c r="E5343" s="19" t="str">
        <f>VLOOKUP(D5343,'لیست پرسنل'!$B$2:$E$1020,3,FALSE)</f>
        <v>خیریه</v>
      </c>
      <c r="F5343" s="19" t="str">
        <f>VLOOKUP(D5343,'لیست پرسنل'!$B$2:$E$1020,4,FALSE)</f>
        <v>خیریه</v>
      </c>
      <c r="G5343" s="127">
        <f>VLOOKUP(D5343,'لیست پرسنل'!$B$2:$F$1020,2,FALSE)</f>
        <v>0</v>
      </c>
      <c r="H5343" s="128" t="s">
        <v>8482</v>
      </c>
      <c r="I5343" s="128" t="s">
        <v>1281</v>
      </c>
      <c r="J5343" s="128" t="s">
        <v>2686</v>
      </c>
      <c r="K5343" s="127" t="s">
        <v>332</v>
      </c>
      <c r="L5343" s="151" t="s">
        <v>949</v>
      </c>
      <c r="M5343" s="127">
        <v>604289</v>
      </c>
      <c r="N5343" s="109"/>
      <c r="O5343" s="20" t="s">
        <v>8482</v>
      </c>
      <c r="P5343" s="20" t="s">
        <v>3834</v>
      </c>
      <c r="Q5343" s="20" t="s">
        <v>8481</v>
      </c>
    </row>
    <row r="5344" spans="1:17" ht="24.9" customHeight="1">
      <c r="A5344" s="20"/>
      <c r="B5344" s="20" t="s">
        <v>1281</v>
      </c>
      <c r="C5344" s="19"/>
      <c r="D5344" s="19" t="s">
        <v>1281</v>
      </c>
      <c r="E5344" s="19" t="str">
        <f>VLOOKUP(D5344,'لیست پرسنل'!$B$2:$E$1020,3,FALSE)</f>
        <v>خیریه</v>
      </c>
      <c r="F5344" s="19" t="str">
        <f>VLOOKUP(D5344,'لیست پرسنل'!$B$2:$E$1020,4,FALSE)</f>
        <v>خیریه</v>
      </c>
      <c r="G5344" s="127">
        <f>VLOOKUP(D5344,'لیست پرسنل'!$B$2:$F$1020,2,FALSE)</f>
        <v>0</v>
      </c>
      <c r="H5344" s="151" t="s">
        <v>8482</v>
      </c>
      <c r="I5344" s="127" t="s">
        <v>1281</v>
      </c>
      <c r="J5344" s="128" t="s">
        <v>2686</v>
      </c>
      <c r="K5344" s="128" t="s">
        <v>744</v>
      </c>
      <c r="L5344" s="151" t="s">
        <v>1152</v>
      </c>
      <c r="M5344" s="127">
        <v>605430</v>
      </c>
      <c r="N5344" s="109" t="s">
        <v>7511</v>
      </c>
      <c r="O5344" s="19" t="s">
        <v>8482</v>
      </c>
      <c r="P5344" s="20" t="s">
        <v>3834</v>
      </c>
      <c r="Q5344" s="20" t="s">
        <v>8483</v>
      </c>
    </row>
    <row r="5345" spans="1:17" ht="24.9" customHeight="1">
      <c r="A5345" s="20"/>
      <c r="B5345" s="20" t="s">
        <v>1281</v>
      </c>
      <c r="C5345" s="20"/>
      <c r="D5345" s="20" t="s">
        <v>1281</v>
      </c>
      <c r="E5345" s="19" t="str">
        <f>VLOOKUP(D5345,'لیست پرسنل'!$B$2:$E$1020,3,FALSE)</f>
        <v>خیریه</v>
      </c>
      <c r="F5345" s="19" t="str">
        <f>VLOOKUP(D5345,'لیست پرسنل'!$B$2:$E$1020,4,FALSE)</f>
        <v>خیریه</v>
      </c>
      <c r="G5345" s="127">
        <f>VLOOKUP(D5345,'لیست پرسنل'!$B$2:$F$1020,2,FALSE)</f>
        <v>0</v>
      </c>
      <c r="H5345" s="128" t="s">
        <v>8482</v>
      </c>
      <c r="I5345" s="128" t="s">
        <v>1281</v>
      </c>
      <c r="J5345" s="128" t="s">
        <v>2686</v>
      </c>
      <c r="K5345" s="128" t="s">
        <v>320</v>
      </c>
      <c r="L5345" s="128" t="s">
        <v>1702</v>
      </c>
      <c r="M5345" s="127">
        <v>605818</v>
      </c>
      <c r="N5345" s="108"/>
      <c r="O5345" s="20" t="s">
        <v>8482</v>
      </c>
      <c r="P5345" s="20" t="s">
        <v>3834</v>
      </c>
      <c r="Q5345" s="20" t="s">
        <v>8481</v>
      </c>
    </row>
    <row r="5346" spans="1:17" ht="24.9" customHeight="1">
      <c r="A5346" s="20"/>
      <c r="B5346" s="20" t="s">
        <v>1281</v>
      </c>
      <c r="C5346" s="19"/>
      <c r="D5346" s="19" t="s">
        <v>1281</v>
      </c>
      <c r="E5346" s="19" t="str">
        <f>VLOOKUP(D5346,'لیست پرسنل'!$B$2:$E$1020,3,FALSE)</f>
        <v>خیریه</v>
      </c>
      <c r="F5346" s="19" t="str">
        <f>VLOOKUP(D5346,'لیست پرسنل'!$B$2:$E$1020,4,FALSE)</f>
        <v>خیریه</v>
      </c>
      <c r="G5346" s="127">
        <f>VLOOKUP(D5346,'لیست پرسنل'!$B$2:$F$1020,2,FALSE)</f>
        <v>0</v>
      </c>
      <c r="H5346" s="151" t="s">
        <v>8482</v>
      </c>
      <c r="I5346" s="127" t="s">
        <v>1281</v>
      </c>
      <c r="J5346" s="128" t="s">
        <v>2686</v>
      </c>
      <c r="K5346" s="128" t="s">
        <v>332</v>
      </c>
      <c r="L5346" s="151" t="s">
        <v>1225</v>
      </c>
      <c r="M5346" s="127">
        <v>611440</v>
      </c>
      <c r="N5346" s="109"/>
      <c r="O5346" s="20" t="s">
        <v>8482</v>
      </c>
      <c r="P5346" s="20" t="s">
        <v>3834</v>
      </c>
      <c r="Q5346" s="20" t="s">
        <v>8481</v>
      </c>
    </row>
    <row r="5347" spans="1:17" ht="24.9" customHeight="1">
      <c r="A5347" s="20"/>
      <c r="B5347" s="20" t="s">
        <v>1281</v>
      </c>
      <c r="C5347" s="20"/>
      <c r="D5347" s="20" t="s">
        <v>1281</v>
      </c>
      <c r="E5347" s="19" t="str">
        <f>VLOOKUP(D5347,'لیست پرسنل'!$B$2:$E$1020,3,FALSE)</f>
        <v>خیریه</v>
      </c>
      <c r="F5347" s="19" t="str">
        <f>VLOOKUP(D5347,'لیست پرسنل'!$B$2:$E$1020,4,FALSE)</f>
        <v>خیریه</v>
      </c>
      <c r="G5347" s="127">
        <f>VLOOKUP(D5347,'لیست پرسنل'!$B$2:$F$1020,2,FALSE)</f>
        <v>0</v>
      </c>
      <c r="H5347" s="128" t="s">
        <v>8482</v>
      </c>
      <c r="I5347" s="128" t="s">
        <v>1281</v>
      </c>
      <c r="J5347" s="128" t="s">
        <v>2686</v>
      </c>
      <c r="K5347" s="128" t="s">
        <v>332</v>
      </c>
      <c r="L5347" s="128" t="s">
        <v>2162</v>
      </c>
      <c r="M5347" s="127">
        <v>633611</v>
      </c>
      <c r="N5347" s="109"/>
      <c r="O5347" s="19" t="s">
        <v>8482</v>
      </c>
      <c r="P5347" s="32" t="s">
        <v>3834</v>
      </c>
      <c r="Q5347" s="20" t="s">
        <v>8481</v>
      </c>
    </row>
    <row r="5348" spans="1:17" ht="24.9" customHeight="1">
      <c r="A5348" s="20"/>
      <c r="B5348" s="20" t="s">
        <v>1281</v>
      </c>
      <c r="C5348" s="19"/>
      <c r="D5348" s="19" t="s">
        <v>1281</v>
      </c>
      <c r="E5348" s="19" t="str">
        <f>VLOOKUP(D5348,'لیست پرسنل'!$B$2:$E$1020,3,FALSE)</f>
        <v>خیریه</v>
      </c>
      <c r="F5348" s="19" t="str">
        <f>VLOOKUP(D5348,'لیست پرسنل'!$B$2:$E$1020,4,FALSE)</f>
        <v>خیریه</v>
      </c>
      <c r="G5348" s="127">
        <f>VLOOKUP(D5348,'لیست پرسنل'!$B$2:$F$1020,2,FALSE)</f>
        <v>0</v>
      </c>
      <c r="H5348" s="127" t="s">
        <v>8482</v>
      </c>
      <c r="I5348" s="127" t="s">
        <v>1281</v>
      </c>
      <c r="J5348" s="128" t="s">
        <v>2686</v>
      </c>
      <c r="K5348" s="128" t="s">
        <v>744</v>
      </c>
      <c r="L5348" s="154" t="s">
        <v>1889</v>
      </c>
      <c r="M5348" s="128" t="s">
        <v>291</v>
      </c>
      <c r="N5348" s="109"/>
      <c r="O5348" s="20" t="s">
        <v>8482</v>
      </c>
      <c r="P5348" s="20" t="s">
        <v>3834</v>
      </c>
      <c r="Q5348" s="20" t="s">
        <v>8481</v>
      </c>
    </row>
    <row r="5349" spans="1:17" ht="24.9" customHeight="1">
      <c r="A5349" s="20"/>
      <c r="B5349" s="20" t="s">
        <v>1281</v>
      </c>
      <c r="C5349" s="20"/>
      <c r="D5349" s="20" t="s">
        <v>1281</v>
      </c>
      <c r="E5349" s="19" t="str">
        <f>VLOOKUP(D5349,'لیست پرسنل'!$B$2:$E$1020,3,FALSE)</f>
        <v>خیریه</v>
      </c>
      <c r="F5349" s="19" t="str">
        <f>VLOOKUP(D5349,'لیست پرسنل'!$B$2:$E$1020,4,FALSE)</f>
        <v>خیریه</v>
      </c>
      <c r="G5349" s="127">
        <f>VLOOKUP(D5349,'لیست پرسنل'!$B$2:$F$1020,2,FALSE)</f>
        <v>0</v>
      </c>
      <c r="H5349" s="126" t="s">
        <v>7720</v>
      </c>
      <c r="I5349" s="128" t="s">
        <v>1281</v>
      </c>
      <c r="J5349" s="128" t="s">
        <v>737</v>
      </c>
      <c r="K5349" s="128" t="s">
        <v>4153</v>
      </c>
      <c r="L5349" s="128" t="s">
        <v>4152</v>
      </c>
      <c r="M5349" s="128">
        <v>632355</v>
      </c>
      <c r="N5349" s="109" t="s">
        <v>7721</v>
      </c>
      <c r="O5349" s="19" t="s">
        <v>5838</v>
      </c>
      <c r="P5349" s="20" t="s">
        <v>3834</v>
      </c>
      <c r="Q5349" s="19" t="s">
        <v>7722</v>
      </c>
    </row>
    <row r="5350" spans="1:17" ht="24.9" customHeight="1">
      <c r="A5350" s="20"/>
      <c r="B5350" s="20" t="s">
        <v>1281</v>
      </c>
      <c r="C5350" s="20"/>
      <c r="D5350" s="20" t="s">
        <v>1281</v>
      </c>
      <c r="E5350" s="19" t="str">
        <f>VLOOKUP(D5350,'لیست پرسنل'!$B$2:$E$1020,3,FALSE)</f>
        <v>خیریه</v>
      </c>
      <c r="F5350" s="19" t="str">
        <f>VLOOKUP(D5350,'لیست پرسنل'!$B$2:$E$1020,4,FALSE)</f>
        <v>خیریه</v>
      </c>
      <c r="G5350" s="127">
        <f>VLOOKUP(D5350,'لیست پرسنل'!$B$2:$F$1020,2,FALSE)</f>
        <v>0</v>
      </c>
      <c r="H5350" s="126" t="s">
        <v>7720</v>
      </c>
      <c r="I5350" s="128" t="s">
        <v>1281</v>
      </c>
      <c r="J5350" s="127" t="s">
        <v>571</v>
      </c>
      <c r="K5350" s="128" t="s">
        <v>2054</v>
      </c>
      <c r="L5350" s="127"/>
      <c r="M5350" s="126">
        <v>600022</v>
      </c>
      <c r="N5350" s="109" t="s">
        <v>7721</v>
      </c>
      <c r="O5350" s="19"/>
      <c r="P5350" s="20" t="s">
        <v>3834</v>
      </c>
      <c r="Q5350" s="19" t="s">
        <v>7722</v>
      </c>
    </row>
    <row r="5351" spans="1:17" ht="24.9" customHeight="1">
      <c r="A5351" s="20"/>
      <c r="B5351" s="20" t="s">
        <v>1281</v>
      </c>
      <c r="C5351" s="20"/>
      <c r="D5351" s="20" t="s">
        <v>1281</v>
      </c>
      <c r="E5351" s="19" t="str">
        <f>VLOOKUP(D5351,'لیست پرسنل'!$B$2:$E$1020,3,FALSE)</f>
        <v>خیریه</v>
      </c>
      <c r="F5351" s="19" t="str">
        <f>VLOOKUP(D5351,'لیست پرسنل'!$B$2:$E$1020,4,FALSE)</f>
        <v>خیریه</v>
      </c>
      <c r="G5351" s="127">
        <f>VLOOKUP(D5351,'لیست پرسنل'!$B$2:$F$1020,2,FALSE)</f>
        <v>0</v>
      </c>
      <c r="H5351" s="126" t="s">
        <v>7720</v>
      </c>
      <c r="I5351" s="128" t="s">
        <v>1281</v>
      </c>
      <c r="J5351" s="127" t="s">
        <v>571</v>
      </c>
      <c r="K5351" s="128" t="s">
        <v>2054</v>
      </c>
      <c r="L5351" s="151"/>
      <c r="M5351" s="127">
        <v>603161</v>
      </c>
      <c r="N5351" s="109" t="s">
        <v>7721</v>
      </c>
      <c r="O5351" s="86"/>
      <c r="P5351" s="20" t="s">
        <v>3834</v>
      </c>
      <c r="Q5351" s="19" t="s">
        <v>7722</v>
      </c>
    </row>
    <row r="5352" spans="1:17" ht="24.9" customHeight="1">
      <c r="A5352" s="20"/>
      <c r="B5352" s="20" t="s">
        <v>1281</v>
      </c>
      <c r="C5352" s="20"/>
      <c r="D5352" s="20" t="s">
        <v>1281</v>
      </c>
      <c r="E5352" s="19" t="str">
        <f>VLOOKUP(D5352,'لیست پرسنل'!$B$2:$E$1020,3,FALSE)</f>
        <v>خیریه</v>
      </c>
      <c r="F5352" s="19" t="str">
        <f>VLOOKUP(D5352,'لیست پرسنل'!$B$2:$E$1020,4,FALSE)</f>
        <v>خیریه</v>
      </c>
      <c r="G5352" s="127">
        <f>VLOOKUP(D5352,'لیست پرسنل'!$B$2:$F$1020,2,FALSE)</f>
        <v>0</v>
      </c>
      <c r="H5352" s="126" t="s">
        <v>7720</v>
      </c>
      <c r="I5352" s="128" t="s">
        <v>1281</v>
      </c>
      <c r="J5352" s="127" t="s">
        <v>571</v>
      </c>
      <c r="K5352" s="128" t="s">
        <v>2054</v>
      </c>
      <c r="L5352" s="151"/>
      <c r="M5352" s="127">
        <v>609752</v>
      </c>
      <c r="N5352" s="109" t="s">
        <v>7721</v>
      </c>
      <c r="O5352" s="19"/>
      <c r="P5352" s="20" t="s">
        <v>3834</v>
      </c>
      <c r="Q5352" s="19" t="s">
        <v>7722</v>
      </c>
    </row>
    <row r="5353" spans="1:17" ht="24.9" customHeight="1">
      <c r="A5353" s="20"/>
      <c r="B5353" s="20" t="s">
        <v>1281</v>
      </c>
      <c r="C5353" s="20"/>
      <c r="D5353" s="20" t="s">
        <v>1281</v>
      </c>
      <c r="E5353" s="19" t="str">
        <f>VLOOKUP(D5353,'لیست پرسنل'!$B$2:$E$1020,3,FALSE)</f>
        <v>خیریه</v>
      </c>
      <c r="F5353" s="19" t="str">
        <f>VLOOKUP(D5353,'لیست پرسنل'!$B$2:$E$1020,4,FALSE)</f>
        <v>خیریه</v>
      </c>
      <c r="G5353" s="127">
        <f>VLOOKUP(D5353,'لیست پرسنل'!$B$2:$F$1020,2,FALSE)</f>
        <v>0</v>
      </c>
      <c r="H5353" s="126" t="s">
        <v>7720</v>
      </c>
      <c r="I5353" s="128" t="s">
        <v>1281</v>
      </c>
      <c r="J5353" s="127" t="s">
        <v>571</v>
      </c>
      <c r="K5353" s="128" t="s">
        <v>3796</v>
      </c>
      <c r="L5353" s="127"/>
      <c r="M5353" s="127">
        <v>615038</v>
      </c>
      <c r="N5353" s="109" t="s">
        <v>7721</v>
      </c>
      <c r="O5353" s="19"/>
      <c r="P5353" s="20" t="s">
        <v>3834</v>
      </c>
      <c r="Q5353" s="19" t="s">
        <v>7722</v>
      </c>
    </row>
    <row r="5354" spans="1:17" ht="24.9" customHeight="1">
      <c r="A5354" s="20"/>
      <c r="B5354" s="20" t="s">
        <v>1281</v>
      </c>
      <c r="C5354" s="20"/>
      <c r="D5354" s="20" t="s">
        <v>1281</v>
      </c>
      <c r="E5354" s="19" t="str">
        <f>VLOOKUP(D5354,'لیست پرسنل'!$B$2:$E$1020,3,FALSE)</f>
        <v>خیریه</v>
      </c>
      <c r="F5354" s="19" t="str">
        <f>VLOOKUP(D5354,'لیست پرسنل'!$B$2:$E$1020,4,FALSE)</f>
        <v>خیریه</v>
      </c>
      <c r="G5354" s="127">
        <f>VLOOKUP(D5354,'لیست پرسنل'!$B$2:$F$1020,2,FALSE)</f>
        <v>0</v>
      </c>
      <c r="H5354" s="126" t="s">
        <v>7720</v>
      </c>
      <c r="I5354" s="128" t="s">
        <v>1281</v>
      </c>
      <c r="J5354" s="127" t="s">
        <v>571</v>
      </c>
      <c r="K5354" s="128" t="s">
        <v>6983</v>
      </c>
      <c r="L5354" s="164"/>
      <c r="M5354" s="127">
        <v>615041</v>
      </c>
      <c r="N5354" s="109" t="s">
        <v>7721</v>
      </c>
      <c r="O5354" s="20"/>
      <c r="P5354" s="20" t="s">
        <v>3834</v>
      </c>
      <c r="Q5354" s="19" t="s">
        <v>7722</v>
      </c>
    </row>
    <row r="5355" spans="1:17" ht="24.9" customHeight="1">
      <c r="A5355" s="20"/>
      <c r="B5355" s="20" t="s">
        <v>1281</v>
      </c>
      <c r="C5355" s="20"/>
      <c r="D5355" s="20" t="s">
        <v>1281</v>
      </c>
      <c r="E5355" s="19" t="str">
        <f>VLOOKUP(D5355,'لیست پرسنل'!$B$2:$E$1020,3,FALSE)</f>
        <v>خیریه</v>
      </c>
      <c r="F5355" s="19" t="str">
        <f>VLOOKUP(D5355,'لیست پرسنل'!$B$2:$E$1020,4,FALSE)</f>
        <v>خیریه</v>
      </c>
      <c r="G5355" s="127">
        <f>VLOOKUP(D5355,'لیست پرسنل'!$B$2:$F$1020,2,FALSE)</f>
        <v>0</v>
      </c>
      <c r="H5355" s="126" t="s">
        <v>7720</v>
      </c>
      <c r="I5355" s="128" t="s">
        <v>1281</v>
      </c>
      <c r="J5355" s="128" t="s">
        <v>2686</v>
      </c>
      <c r="K5355" s="135" t="s">
        <v>320</v>
      </c>
      <c r="L5355" s="158" t="s">
        <v>1694</v>
      </c>
      <c r="M5355" s="127">
        <v>601179</v>
      </c>
      <c r="N5355" s="109" t="s">
        <v>7721</v>
      </c>
      <c r="O5355" s="19"/>
      <c r="P5355" s="20" t="s">
        <v>3834</v>
      </c>
      <c r="Q5355" s="19" t="s">
        <v>7722</v>
      </c>
    </row>
    <row r="5356" spans="1:17" ht="24.9" customHeight="1">
      <c r="A5356" s="20"/>
      <c r="B5356" s="20" t="s">
        <v>1281</v>
      </c>
      <c r="C5356" s="20"/>
      <c r="D5356" s="20" t="s">
        <v>1281</v>
      </c>
      <c r="E5356" s="19" t="str">
        <f>VLOOKUP(D5356,'لیست پرسنل'!$B$2:$E$1020,3,FALSE)</f>
        <v>خیریه</v>
      </c>
      <c r="F5356" s="19" t="str">
        <f>VLOOKUP(D5356,'لیست پرسنل'!$B$2:$E$1020,4,FALSE)</f>
        <v>خیریه</v>
      </c>
      <c r="G5356" s="127">
        <f>VLOOKUP(D5356,'لیست پرسنل'!$B$2:$F$1020,2,FALSE)</f>
        <v>0</v>
      </c>
      <c r="H5356" s="126" t="s">
        <v>7720</v>
      </c>
      <c r="I5356" s="128" t="s">
        <v>1281</v>
      </c>
      <c r="J5356" s="128" t="s">
        <v>2686</v>
      </c>
      <c r="K5356" s="128" t="s">
        <v>320</v>
      </c>
      <c r="L5356" s="158" t="s">
        <v>1703</v>
      </c>
      <c r="M5356" s="127">
        <v>601999</v>
      </c>
      <c r="N5356" s="109" t="s">
        <v>7721</v>
      </c>
      <c r="O5356" s="19"/>
      <c r="P5356" s="20" t="s">
        <v>3834</v>
      </c>
      <c r="Q5356" s="19" t="s">
        <v>7722</v>
      </c>
    </row>
    <row r="5357" spans="1:17" ht="24.9" customHeight="1">
      <c r="A5357" s="20"/>
      <c r="B5357" s="20" t="s">
        <v>1281</v>
      </c>
      <c r="C5357" s="20"/>
      <c r="D5357" s="20" t="s">
        <v>1281</v>
      </c>
      <c r="E5357" s="19" t="str">
        <f>VLOOKUP(D5357,'لیست پرسنل'!$B$2:$E$1020,3,FALSE)</f>
        <v>خیریه</v>
      </c>
      <c r="F5357" s="19" t="str">
        <f>VLOOKUP(D5357,'لیست پرسنل'!$B$2:$E$1020,4,FALSE)</f>
        <v>خیریه</v>
      </c>
      <c r="G5357" s="127">
        <f>VLOOKUP(D5357,'لیست پرسنل'!$B$2:$F$1020,2,FALSE)</f>
        <v>0</v>
      </c>
      <c r="H5357" s="126" t="s">
        <v>7720</v>
      </c>
      <c r="I5357" s="128" t="s">
        <v>1281</v>
      </c>
      <c r="J5357" s="128" t="s">
        <v>2686</v>
      </c>
      <c r="K5357" s="128" t="s">
        <v>320</v>
      </c>
      <c r="L5357" s="151" t="s">
        <v>953</v>
      </c>
      <c r="M5357" s="127">
        <v>603562</v>
      </c>
      <c r="N5357" s="109" t="s">
        <v>7721</v>
      </c>
      <c r="O5357" s="86"/>
      <c r="P5357" s="20" t="s">
        <v>3834</v>
      </c>
      <c r="Q5357" s="19" t="s">
        <v>7722</v>
      </c>
    </row>
    <row r="5358" spans="1:17" ht="24.9" customHeight="1">
      <c r="A5358" s="20"/>
      <c r="B5358" s="20" t="s">
        <v>1281</v>
      </c>
      <c r="C5358" s="20"/>
      <c r="D5358" s="20" t="s">
        <v>1281</v>
      </c>
      <c r="E5358" s="19" t="str">
        <f>VLOOKUP(D5358,'لیست پرسنل'!$B$2:$E$1020,3,FALSE)</f>
        <v>خیریه</v>
      </c>
      <c r="F5358" s="19" t="str">
        <f>VLOOKUP(D5358,'لیست پرسنل'!$B$2:$E$1020,4,FALSE)</f>
        <v>خیریه</v>
      </c>
      <c r="G5358" s="127">
        <f>VLOOKUP(D5358,'لیست پرسنل'!$B$2:$F$1020,2,FALSE)</f>
        <v>0</v>
      </c>
      <c r="H5358" s="126" t="s">
        <v>7720</v>
      </c>
      <c r="I5358" s="128" t="s">
        <v>1281</v>
      </c>
      <c r="J5358" s="128" t="s">
        <v>2686</v>
      </c>
      <c r="K5358" s="128" t="s">
        <v>320</v>
      </c>
      <c r="L5358" s="151" t="s">
        <v>3139</v>
      </c>
      <c r="M5358" s="127">
        <v>603789</v>
      </c>
      <c r="N5358" s="109" t="s">
        <v>7721</v>
      </c>
      <c r="O5358" s="19"/>
      <c r="P5358" s="20" t="s">
        <v>3834</v>
      </c>
      <c r="Q5358" s="19" t="s">
        <v>7722</v>
      </c>
    </row>
    <row r="5359" spans="1:17" ht="24.9" customHeight="1">
      <c r="A5359" s="20"/>
      <c r="B5359" s="20" t="s">
        <v>1281</v>
      </c>
      <c r="C5359" s="20"/>
      <c r="D5359" s="20" t="s">
        <v>1281</v>
      </c>
      <c r="E5359" s="19" t="str">
        <f>VLOOKUP(D5359,'لیست پرسنل'!$B$2:$E$1020,3,FALSE)</f>
        <v>خیریه</v>
      </c>
      <c r="F5359" s="19" t="str">
        <f>VLOOKUP(D5359,'لیست پرسنل'!$B$2:$E$1020,4,FALSE)</f>
        <v>خیریه</v>
      </c>
      <c r="G5359" s="127">
        <f>VLOOKUP(D5359,'لیست پرسنل'!$B$2:$F$1020,2,FALSE)</f>
        <v>0</v>
      </c>
      <c r="H5359" s="126" t="s">
        <v>7720</v>
      </c>
      <c r="I5359" s="128" t="s">
        <v>1281</v>
      </c>
      <c r="J5359" s="128" t="s">
        <v>2686</v>
      </c>
      <c r="K5359" s="128" t="s">
        <v>320</v>
      </c>
      <c r="L5359" s="154" t="s">
        <v>1693</v>
      </c>
      <c r="M5359" s="127">
        <v>604615</v>
      </c>
      <c r="N5359" s="109" t="s">
        <v>7721</v>
      </c>
      <c r="O5359" s="86"/>
      <c r="P5359" s="20"/>
      <c r="Q5359" s="20"/>
    </row>
    <row r="5360" spans="1:17" ht="24.9" customHeight="1">
      <c r="A5360" s="20"/>
      <c r="B5360" s="20" t="s">
        <v>1281</v>
      </c>
      <c r="C5360" s="20"/>
      <c r="D5360" s="19" t="s">
        <v>1281</v>
      </c>
      <c r="E5360" s="19" t="str">
        <f>VLOOKUP(D5360,'لیست پرسنل'!$B$2:$E$1020,3,FALSE)</f>
        <v>خیریه</v>
      </c>
      <c r="F5360" s="19" t="str">
        <f>VLOOKUP(D5360,'لیست پرسنل'!$B$2:$E$1020,4,FALSE)</f>
        <v>خیریه</v>
      </c>
      <c r="G5360" s="127">
        <f>VLOOKUP(D5360,'لیست پرسنل'!$B$2:$F$1020,2,FALSE)</f>
        <v>0</v>
      </c>
      <c r="H5360" s="128" t="s">
        <v>4571</v>
      </c>
      <c r="I5360" s="128" t="s">
        <v>1281</v>
      </c>
      <c r="J5360" s="141" t="s">
        <v>571</v>
      </c>
      <c r="K5360" s="126" t="s">
        <v>410</v>
      </c>
      <c r="L5360" s="127"/>
      <c r="M5360" s="142">
        <v>605714</v>
      </c>
      <c r="N5360" s="109"/>
      <c r="O5360" s="20" t="s">
        <v>3787</v>
      </c>
      <c r="P5360" s="20" t="s">
        <v>5684</v>
      </c>
      <c r="Q5360" s="20" t="s">
        <v>5685</v>
      </c>
    </row>
    <row r="5361" spans="1:17" ht="24.9" customHeight="1">
      <c r="A5361" s="20"/>
      <c r="B5361" s="20" t="s">
        <v>1281</v>
      </c>
      <c r="C5361" s="20"/>
      <c r="D5361" s="19" t="s">
        <v>1281</v>
      </c>
      <c r="E5361" s="19" t="str">
        <f>VLOOKUP(D5361,'لیست پرسنل'!$B$2:$E$1020,3,FALSE)</f>
        <v>خیریه</v>
      </c>
      <c r="F5361" s="19" t="str">
        <f>VLOOKUP(D5361,'لیست پرسنل'!$B$2:$E$1020,4,FALSE)</f>
        <v>خیریه</v>
      </c>
      <c r="G5361" s="127">
        <f>VLOOKUP(D5361,'لیست پرسنل'!$B$2:$F$1020,2,FALSE)</f>
        <v>0</v>
      </c>
      <c r="H5361" s="128" t="s">
        <v>4571</v>
      </c>
      <c r="I5361" s="128" t="s">
        <v>1281</v>
      </c>
      <c r="J5361" s="141" t="s">
        <v>571</v>
      </c>
      <c r="K5361" s="126" t="s">
        <v>410</v>
      </c>
      <c r="L5361" s="127"/>
      <c r="M5361" s="142">
        <v>608027</v>
      </c>
      <c r="N5361" s="108"/>
      <c r="O5361" s="20" t="s">
        <v>3787</v>
      </c>
      <c r="P5361" s="20" t="s">
        <v>5684</v>
      </c>
      <c r="Q5361" s="20" t="s">
        <v>5685</v>
      </c>
    </row>
    <row r="5362" spans="1:17" ht="24.9" customHeight="1">
      <c r="A5362" s="20"/>
      <c r="B5362" s="20" t="s">
        <v>1281</v>
      </c>
      <c r="C5362" s="20"/>
      <c r="D5362" s="19" t="s">
        <v>1281</v>
      </c>
      <c r="E5362" s="19" t="str">
        <f>VLOOKUP(D5362,'لیست پرسنل'!$B$2:$E$1020,3,FALSE)</f>
        <v>خیریه</v>
      </c>
      <c r="F5362" s="19" t="str">
        <f>VLOOKUP(D5362,'لیست پرسنل'!$B$2:$E$1020,4,FALSE)</f>
        <v>خیریه</v>
      </c>
      <c r="G5362" s="127">
        <f>VLOOKUP(D5362,'لیست پرسنل'!$B$2:$F$1020,2,FALSE)</f>
        <v>0</v>
      </c>
      <c r="H5362" s="128" t="s">
        <v>4571</v>
      </c>
      <c r="I5362" s="128" t="s">
        <v>1281</v>
      </c>
      <c r="J5362" s="128" t="s">
        <v>2686</v>
      </c>
      <c r="K5362" s="128" t="s">
        <v>852</v>
      </c>
      <c r="L5362" s="127" t="s">
        <v>2200</v>
      </c>
      <c r="M5362" s="128">
        <v>602422</v>
      </c>
      <c r="N5362" s="108"/>
      <c r="O5362" s="20" t="s">
        <v>3787</v>
      </c>
      <c r="P5362" s="20" t="s">
        <v>5684</v>
      </c>
      <c r="Q5362" s="20" t="s">
        <v>5685</v>
      </c>
    </row>
    <row r="5363" spans="1:17" ht="24.9" customHeight="1">
      <c r="A5363" s="20"/>
      <c r="B5363" s="20" t="s">
        <v>1281</v>
      </c>
      <c r="C5363" s="20"/>
      <c r="D5363" s="19" t="s">
        <v>1281</v>
      </c>
      <c r="E5363" s="19" t="str">
        <f>VLOOKUP(D5363,'لیست پرسنل'!$B$2:$E$1020,3,FALSE)</f>
        <v>خیریه</v>
      </c>
      <c r="F5363" s="19" t="str">
        <f>VLOOKUP(D5363,'لیست پرسنل'!$B$2:$E$1020,4,FALSE)</f>
        <v>خیریه</v>
      </c>
      <c r="G5363" s="127">
        <f>VLOOKUP(D5363,'لیست پرسنل'!$B$2:$F$1020,2,FALSE)</f>
        <v>0</v>
      </c>
      <c r="H5363" s="128" t="s">
        <v>4571</v>
      </c>
      <c r="I5363" s="128" t="s">
        <v>1281</v>
      </c>
      <c r="J5363" s="128" t="s">
        <v>2686</v>
      </c>
      <c r="K5363" s="128" t="s">
        <v>852</v>
      </c>
      <c r="L5363" s="127" t="s">
        <v>1357</v>
      </c>
      <c r="M5363" s="142">
        <v>603959</v>
      </c>
      <c r="N5363" s="108"/>
      <c r="O5363" s="20" t="s">
        <v>3787</v>
      </c>
      <c r="P5363" s="20" t="s">
        <v>5684</v>
      </c>
      <c r="Q5363" s="20" t="s">
        <v>5685</v>
      </c>
    </row>
    <row r="5364" spans="1:17" ht="24.9" customHeight="1">
      <c r="A5364" s="20"/>
      <c r="B5364" s="20" t="s">
        <v>1281</v>
      </c>
      <c r="C5364" s="20"/>
      <c r="D5364" s="19" t="s">
        <v>1281</v>
      </c>
      <c r="E5364" s="19" t="str">
        <f>VLOOKUP(D5364,'لیست پرسنل'!$B$2:$E$1020,3,FALSE)</f>
        <v>خیریه</v>
      </c>
      <c r="F5364" s="19" t="str">
        <f>VLOOKUP(D5364,'لیست پرسنل'!$B$2:$E$1020,4,FALSE)</f>
        <v>خیریه</v>
      </c>
      <c r="G5364" s="127">
        <f>VLOOKUP(D5364,'لیست پرسنل'!$B$2:$F$1020,2,FALSE)</f>
        <v>0</v>
      </c>
      <c r="H5364" s="128" t="s">
        <v>4697</v>
      </c>
      <c r="I5364" s="128" t="s">
        <v>1281</v>
      </c>
      <c r="J5364" s="141" t="s">
        <v>571</v>
      </c>
      <c r="K5364" s="135" t="s">
        <v>1513</v>
      </c>
      <c r="L5364" s="154" t="s">
        <v>1860</v>
      </c>
      <c r="M5364" s="131">
        <v>605347</v>
      </c>
      <c r="N5364" s="108"/>
      <c r="O5364" s="20"/>
      <c r="P5364" s="20" t="s">
        <v>5228</v>
      </c>
      <c r="Q5364" s="20" t="s">
        <v>5826</v>
      </c>
    </row>
    <row r="5365" spans="1:17" ht="24.9" customHeight="1">
      <c r="A5365" s="20"/>
      <c r="B5365" s="20" t="s">
        <v>1281</v>
      </c>
      <c r="C5365" s="20"/>
      <c r="D5365" s="20" t="s">
        <v>1281</v>
      </c>
      <c r="E5365" s="19" t="str">
        <f>VLOOKUP(D5365,'لیست پرسنل'!$B$2:$E$1020,3,FALSE)</f>
        <v>خیریه</v>
      </c>
      <c r="F5365" s="19" t="str">
        <f>VLOOKUP(D5365,'لیست پرسنل'!$B$2:$E$1020,4,FALSE)</f>
        <v>خیریه</v>
      </c>
      <c r="G5365" s="127">
        <f>VLOOKUP(D5365,'لیست پرسنل'!$B$2:$F$1020,2,FALSE)</f>
        <v>0</v>
      </c>
      <c r="H5365" s="128" t="s">
        <v>4697</v>
      </c>
      <c r="I5365" s="128" t="s">
        <v>1281</v>
      </c>
      <c r="J5365" s="141" t="s">
        <v>571</v>
      </c>
      <c r="K5365" s="141" t="s">
        <v>571</v>
      </c>
      <c r="L5365" s="127" t="s">
        <v>2214</v>
      </c>
      <c r="M5365" s="127">
        <v>605348</v>
      </c>
      <c r="N5365" s="108"/>
      <c r="O5365" s="20"/>
      <c r="P5365" s="20" t="s">
        <v>5228</v>
      </c>
      <c r="Q5365" s="20" t="s">
        <v>5826</v>
      </c>
    </row>
    <row r="5366" spans="1:17" ht="24.9" customHeight="1">
      <c r="A5366" s="20"/>
      <c r="B5366" s="20" t="s">
        <v>1281</v>
      </c>
      <c r="C5366" s="20"/>
      <c r="D5366" s="20" t="s">
        <v>1281</v>
      </c>
      <c r="E5366" s="19" t="str">
        <f>VLOOKUP(D5366,'لیست پرسنل'!$B$2:$E$1020,3,FALSE)</f>
        <v>خیریه</v>
      </c>
      <c r="F5366" s="19" t="str">
        <f>VLOOKUP(D5366,'لیست پرسنل'!$B$2:$E$1020,4,FALSE)</f>
        <v>خیریه</v>
      </c>
      <c r="G5366" s="127">
        <f>VLOOKUP(D5366,'لیست پرسنل'!$B$2:$F$1020,2,FALSE)</f>
        <v>0</v>
      </c>
      <c r="H5366" s="128" t="s">
        <v>4697</v>
      </c>
      <c r="I5366" s="128" t="s">
        <v>1281</v>
      </c>
      <c r="J5366" s="127" t="s">
        <v>571</v>
      </c>
      <c r="K5366" s="128" t="s">
        <v>2054</v>
      </c>
      <c r="L5366" s="128" t="s">
        <v>1779</v>
      </c>
      <c r="M5366" s="128">
        <v>605431</v>
      </c>
      <c r="N5366" s="108"/>
      <c r="O5366" s="20"/>
      <c r="P5366" s="20" t="s">
        <v>5228</v>
      </c>
      <c r="Q5366" s="20" t="s">
        <v>5826</v>
      </c>
    </row>
    <row r="5367" spans="1:17" ht="24.9" customHeight="1">
      <c r="A5367" s="20"/>
      <c r="B5367" s="20" t="s">
        <v>1281</v>
      </c>
      <c r="C5367" s="20"/>
      <c r="D5367" s="20" t="s">
        <v>1281</v>
      </c>
      <c r="E5367" s="19" t="str">
        <f>VLOOKUP(D5367,'لیست پرسنل'!$B$2:$E$1020,3,FALSE)</f>
        <v>خیریه</v>
      </c>
      <c r="F5367" s="19" t="str">
        <f>VLOOKUP(D5367,'لیست پرسنل'!$B$2:$E$1020,4,FALSE)</f>
        <v>خیریه</v>
      </c>
      <c r="G5367" s="127">
        <f>VLOOKUP(D5367,'لیست پرسنل'!$B$2:$F$1020,2,FALSE)</f>
        <v>0</v>
      </c>
      <c r="H5367" s="126" t="s">
        <v>4697</v>
      </c>
      <c r="I5367" s="128" t="s">
        <v>1281</v>
      </c>
      <c r="J5367" s="127" t="s">
        <v>571</v>
      </c>
      <c r="K5367" s="127" t="s">
        <v>2054</v>
      </c>
      <c r="L5367" s="127"/>
      <c r="M5367" s="127">
        <v>605713</v>
      </c>
      <c r="N5367" s="109"/>
      <c r="O5367" s="20"/>
      <c r="P5367" s="20" t="s">
        <v>5228</v>
      </c>
      <c r="Q5367" s="20" t="s">
        <v>5826</v>
      </c>
    </row>
    <row r="5368" spans="1:17" ht="24.9" customHeight="1">
      <c r="A5368" s="20"/>
      <c r="B5368" s="20" t="s">
        <v>1281</v>
      </c>
      <c r="C5368" s="20"/>
      <c r="D5368" s="20" t="s">
        <v>1281</v>
      </c>
      <c r="E5368" s="19" t="str">
        <f>VLOOKUP(D5368,'لیست پرسنل'!$B$2:$E$1020,3,FALSE)</f>
        <v>خیریه</v>
      </c>
      <c r="F5368" s="19" t="str">
        <f>VLOOKUP(D5368,'لیست پرسنل'!$B$2:$E$1020,4,FALSE)</f>
        <v>خیریه</v>
      </c>
      <c r="G5368" s="127">
        <f>VLOOKUP(D5368,'لیست پرسنل'!$B$2:$F$1020,2,FALSE)</f>
        <v>0</v>
      </c>
      <c r="H5368" s="128" t="s">
        <v>4697</v>
      </c>
      <c r="I5368" s="128" t="s">
        <v>1281</v>
      </c>
      <c r="J5368" s="127" t="s">
        <v>571</v>
      </c>
      <c r="K5368" s="128" t="s">
        <v>2054</v>
      </c>
      <c r="L5368" s="128" t="s">
        <v>1778</v>
      </c>
      <c r="M5368" s="147">
        <v>605727</v>
      </c>
      <c r="N5368" s="112"/>
      <c r="O5368" s="66"/>
      <c r="P5368" s="20" t="s">
        <v>5228</v>
      </c>
      <c r="Q5368" s="20" t="s">
        <v>5826</v>
      </c>
    </row>
    <row r="5369" spans="1:17" ht="24.9" customHeight="1">
      <c r="A5369" s="20"/>
      <c r="B5369" s="20" t="s">
        <v>1281</v>
      </c>
      <c r="C5369" s="20"/>
      <c r="D5369" s="20" t="s">
        <v>1281</v>
      </c>
      <c r="E5369" s="19" t="str">
        <f>VLOOKUP(D5369,'لیست پرسنل'!$B$2:$E$1020,3,FALSE)</f>
        <v>خیریه</v>
      </c>
      <c r="F5369" s="19" t="str">
        <f>VLOOKUP(D5369,'لیست پرسنل'!$B$2:$E$1020,4,FALSE)</f>
        <v>خیریه</v>
      </c>
      <c r="G5369" s="127">
        <f>VLOOKUP(D5369,'لیست پرسنل'!$B$2:$F$1020,2,FALSE)</f>
        <v>0</v>
      </c>
      <c r="H5369" s="126" t="s">
        <v>4697</v>
      </c>
      <c r="I5369" s="128" t="s">
        <v>1281</v>
      </c>
      <c r="J5369" s="141" t="s">
        <v>571</v>
      </c>
      <c r="K5369" s="126" t="s">
        <v>410</v>
      </c>
      <c r="L5369" s="128" t="s">
        <v>53</v>
      </c>
      <c r="M5369" s="234">
        <v>606685</v>
      </c>
      <c r="N5369" s="112"/>
      <c r="O5369" s="66"/>
      <c r="P5369" s="20" t="s">
        <v>5228</v>
      </c>
      <c r="Q5369" s="66" t="s">
        <v>5826</v>
      </c>
    </row>
    <row r="5370" spans="1:17" ht="24.9" customHeight="1">
      <c r="A5370" s="20"/>
      <c r="B5370" s="20" t="s">
        <v>1281</v>
      </c>
      <c r="C5370" s="20"/>
      <c r="D5370" s="20" t="s">
        <v>1281</v>
      </c>
      <c r="E5370" s="19" t="str">
        <f>VLOOKUP(D5370,'لیست پرسنل'!$B$2:$E$1020,3,FALSE)</f>
        <v>خیریه</v>
      </c>
      <c r="F5370" s="19" t="str">
        <f>VLOOKUP(D5370,'لیست پرسنل'!$B$2:$E$1020,4,FALSE)</f>
        <v>خیریه</v>
      </c>
      <c r="G5370" s="127">
        <f>VLOOKUP(D5370,'لیست پرسنل'!$B$2:$F$1020,2,FALSE)</f>
        <v>0</v>
      </c>
      <c r="H5370" s="126" t="s">
        <v>4697</v>
      </c>
      <c r="I5370" s="128" t="s">
        <v>1281</v>
      </c>
      <c r="J5370" s="141" t="s">
        <v>571</v>
      </c>
      <c r="K5370" s="131" t="s">
        <v>571</v>
      </c>
      <c r="L5370" s="127" t="s">
        <v>1962</v>
      </c>
      <c r="M5370" s="147">
        <v>607082</v>
      </c>
      <c r="N5370" s="112"/>
      <c r="O5370" s="66"/>
      <c r="P5370" s="20" t="s">
        <v>5228</v>
      </c>
      <c r="Q5370" s="66" t="s">
        <v>5826</v>
      </c>
    </row>
    <row r="5371" spans="1:17" ht="24.9" customHeight="1">
      <c r="A5371" s="20"/>
      <c r="B5371" s="20" t="s">
        <v>1281</v>
      </c>
      <c r="C5371" s="20"/>
      <c r="D5371" s="20" t="s">
        <v>1281</v>
      </c>
      <c r="E5371" s="19" t="str">
        <f>VLOOKUP(D5371,'لیست پرسنل'!$B$2:$E$1020,3,FALSE)</f>
        <v>خیریه</v>
      </c>
      <c r="F5371" s="19" t="str">
        <f>VLOOKUP(D5371,'لیست پرسنل'!$B$2:$E$1020,4,FALSE)</f>
        <v>خیریه</v>
      </c>
      <c r="G5371" s="127">
        <f>VLOOKUP(D5371,'لیست پرسنل'!$B$2:$F$1020,2,FALSE)</f>
        <v>0</v>
      </c>
      <c r="H5371" s="126" t="s">
        <v>4697</v>
      </c>
      <c r="I5371" s="128" t="s">
        <v>1281</v>
      </c>
      <c r="J5371" s="141" t="s">
        <v>571</v>
      </c>
      <c r="K5371" s="135" t="s">
        <v>571</v>
      </c>
      <c r="L5371" s="159" t="s">
        <v>2197</v>
      </c>
      <c r="M5371" s="234">
        <v>607668</v>
      </c>
      <c r="N5371" s="112"/>
      <c r="O5371" s="66"/>
      <c r="P5371" s="20" t="s">
        <v>5228</v>
      </c>
      <c r="Q5371" s="20" t="s">
        <v>5826</v>
      </c>
    </row>
    <row r="5372" spans="1:17" ht="24.9" customHeight="1">
      <c r="A5372" s="20"/>
      <c r="B5372" s="20" t="s">
        <v>1281</v>
      </c>
      <c r="C5372" s="20"/>
      <c r="D5372" s="20" t="s">
        <v>1281</v>
      </c>
      <c r="E5372" s="19" t="str">
        <f>VLOOKUP(D5372,'لیست پرسنل'!$B$2:$E$1020,3,FALSE)</f>
        <v>خیریه</v>
      </c>
      <c r="F5372" s="19" t="str">
        <f>VLOOKUP(D5372,'لیست پرسنل'!$B$2:$E$1020,4,FALSE)</f>
        <v>خیریه</v>
      </c>
      <c r="G5372" s="127">
        <f>VLOOKUP(D5372,'لیست پرسنل'!$B$2:$F$1020,2,FALSE)</f>
        <v>0</v>
      </c>
      <c r="H5372" s="128" t="s">
        <v>4697</v>
      </c>
      <c r="I5372" s="128" t="s">
        <v>1281</v>
      </c>
      <c r="J5372" s="127" t="s">
        <v>571</v>
      </c>
      <c r="K5372" s="127" t="s">
        <v>20</v>
      </c>
      <c r="L5372" s="127"/>
      <c r="M5372" s="146">
        <v>607942</v>
      </c>
      <c r="N5372" s="110"/>
      <c r="O5372" s="66"/>
      <c r="P5372" s="20" t="s">
        <v>5228</v>
      </c>
      <c r="Q5372" s="20" t="s">
        <v>5826</v>
      </c>
    </row>
    <row r="5373" spans="1:17" ht="24.9" customHeight="1">
      <c r="A5373" s="20"/>
      <c r="B5373" s="20" t="s">
        <v>1281</v>
      </c>
      <c r="C5373" s="20"/>
      <c r="D5373" s="20" t="s">
        <v>1281</v>
      </c>
      <c r="E5373" s="19" t="str">
        <f>VLOOKUP(D5373,'لیست پرسنل'!$B$2:$E$1020,3,FALSE)</f>
        <v>خیریه</v>
      </c>
      <c r="F5373" s="19" t="str">
        <f>VLOOKUP(D5373,'لیست پرسنل'!$B$2:$E$1020,4,FALSE)</f>
        <v>خیریه</v>
      </c>
      <c r="G5373" s="127">
        <f>VLOOKUP(D5373,'لیست پرسنل'!$B$2:$F$1020,2,FALSE)</f>
        <v>0</v>
      </c>
      <c r="H5373" s="126" t="s">
        <v>4697</v>
      </c>
      <c r="I5373" s="128" t="s">
        <v>1281</v>
      </c>
      <c r="J5373" s="141" t="s">
        <v>571</v>
      </c>
      <c r="K5373" s="135" t="s">
        <v>1513</v>
      </c>
      <c r="L5373" s="154" t="s">
        <v>1860</v>
      </c>
      <c r="M5373" s="131">
        <v>609675</v>
      </c>
      <c r="N5373" s="108"/>
      <c r="O5373" s="20"/>
      <c r="P5373" s="20" t="s">
        <v>5228</v>
      </c>
      <c r="Q5373" s="20" t="s">
        <v>5826</v>
      </c>
    </row>
    <row r="5374" spans="1:17" ht="24.9" customHeight="1">
      <c r="A5374" s="20"/>
      <c r="B5374" s="20" t="s">
        <v>1281</v>
      </c>
      <c r="C5374" s="20"/>
      <c r="D5374" s="20" t="s">
        <v>1281</v>
      </c>
      <c r="E5374" s="19" t="str">
        <f>VLOOKUP(D5374,'لیست پرسنل'!$B$2:$E$1020,3,FALSE)</f>
        <v>خیریه</v>
      </c>
      <c r="F5374" s="19" t="str">
        <f>VLOOKUP(D5374,'لیست پرسنل'!$B$2:$E$1020,4,FALSE)</f>
        <v>خیریه</v>
      </c>
      <c r="G5374" s="127">
        <f>VLOOKUP(D5374,'لیست پرسنل'!$B$2:$F$1020,2,FALSE)</f>
        <v>0</v>
      </c>
      <c r="H5374" s="126" t="s">
        <v>4697</v>
      </c>
      <c r="I5374" s="128" t="s">
        <v>1281</v>
      </c>
      <c r="J5374" s="128" t="s">
        <v>2686</v>
      </c>
      <c r="K5374" s="128" t="s">
        <v>852</v>
      </c>
      <c r="L5374" s="151" t="s">
        <v>1139</v>
      </c>
      <c r="M5374" s="128">
        <v>602421</v>
      </c>
      <c r="N5374" s="108"/>
      <c r="O5374" s="20"/>
      <c r="P5374" s="20" t="s">
        <v>5228</v>
      </c>
      <c r="Q5374" s="20" t="s">
        <v>5826</v>
      </c>
    </row>
    <row r="5375" spans="1:17" ht="24.9" customHeight="1">
      <c r="A5375" s="20"/>
      <c r="B5375" s="20" t="s">
        <v>1281</v>
      </c>
      <c r="C5375" s="20"/>
      <c r="D5375" s="20" t="s">
        <v>1281</v>
      </c>
      <c r="E5375" s="19" t="str">
        <f>VLOOKUP(D5375,'لیست پرسنل'!$B$2:$E$1020,3,FALSE)</f>
        <v>خیریه</v>
      </c>
      <c r="F5375" s="19" t="str">
        <f>VLOOKUP(D5375,'لیست پرسنل'!$B$2:$E$1020,4,FALSE)</f>
        <v>خیریه</v>
      </c>
      <c r="G5375" s="127">
        <f>VLOOKUP(D5375,'لیست پرسنل'!$B$2:$F$1020,2,FALSE)</f>
        <v>0</v>
      </c>
      <c r="H5375" s="126" t="s">
        <v>4697</v>
      </c>
      <c r="I5375" s="128" t="s">
        <v>1281</v>
      </c>
      <c r="J5375" s="128" t="s">
        <v>2686</v>
      </c>
      <c r="K5375" s="128" t="s">
        <v>606</v>
      </c>
      <c r="L5375" s="151" t="s">
        <v>1816</v>
      </c>
      <c r="M5375" s="127">
        <v>604879</v>
      </c>
      <c r="N5375" s="109"/>
      <c r="O5375" s="20"/>
      <c r="P5375" s="20" t="s">
        <v>5228</v>
      </c>
      <c r="Q5375" s="20" t="s">
        <v>5826</v>
      </c>
    </row>
    <row r="5376" spans="1:17" ht="24.9" customHeight="1">
      <c r="A5376" s="20"/>
      <c r="B5376" s="20" t="s">
        <v>1281</v>
      </c>
      <c r="C5376" s="20"/>
      <c r="D5376" s="20" t="s">
        <v>1281</v>
      </c>
      <c r="E5376" s="19" t="str">
        <f>VLOOKUP(D5376,'لیست پرسنل'!$B$2:$E$1020,3,FALSE)</f>
        <v>خیریه</v>
      </c>
      <c r="F5376" s="19" t="str">
        <f>VLOOKUP(D5376,'لیست پرسنل'!$B$2:$E$1020,4,FALSE)</f>
        <v>خیریه</v>
      </c>
      <c r="G5376" s="127">
        <f>VLOOKUP(D5376,'لیست پرسنل'!$B$2:$F$1020,2,FALSE)</f>
        <v>0</v>
      </c>
      <c r="H5376" s="126" t="s">
        <v>4697</v>
      </c>
      <c r="I5376" s="128" t="s">
        <v>1281</v>
      </c>
      <c r="J5376" s="128" t="s">
        <v>2686</v>
      </c>
      <c r="K5376" s="127" t="s">
        <v>916</v>
      </c>
      <c r="L5376" s="150" t="s">
        <v>940</v>
      </c>
      <c r="M5376" s="127">
        <v>605606</v>
      </c>
      <c r="N5376" s="108"/>
      <c r="O5376" s="20"/>
      <c r="P5376" s="20" t="s">
        <v>5228</v>
      </c>
      <c r="Q5376" s="20" t="s">
        <v>5826</v>
      </c>
    </row>
    <row r="5377" spans="1:17" ht="24.9" customHeight="1">
      <c r="A5377" s="20"/>
      <c r="B5377" s="20" t="s">
        <v>1281</v>
      </c>
      <c r="C5377" s="20"/>
      <c r="D5377" s="20" t="s">
        <v>1281</v>
      </c>
      <c r="E5377" s="19" t="str">
        <f>VLOOKUP(D5377,'لیست پرسنل'!$B$2:$E$1020,3,FALSE)</f>
        <v>خیریه</v>
      </c>
      <c r="F5377" s="19" t="str">
        <f>VLOOKUP(D5377,'لیست پرسنل'!$B$2:$E$1020,4,FALSE)</f>
        <v>خیریه</v>
      </c>
      <c r="G5377" s="127">
        <f>VLOOKUP(D5377,'لیست پرسنل'!$B$2:$F$1020,2,FALSE)</f>
        <v>0</v>
      </c>
      <c r="H5377" s="126" t="s">
        <v>4697</v>
      </c>
      <c r="I5377" s="128" t="s">
        <v>1281</v>
      </c>
      <c r="J5377" s="128" t="s">
        <v>2686</v>
      </c>
      <c r="K5377" s="127" t="s">
        <v>1338</v>
      </c>
      <c r="L5377" s="127" t="s">
        <v>299</v>
      </c>
      <c r="M5377" s="127">
        <v>606522</v>
      </c>
      <c r="N5377" s="109"/>
      <c r="O5377" s="20"/>
      <c r="P5377" s="20" t="s">
        <v>5228</v>
      </c>
      <c r="Q5377" s="20" t="s">
        <v>5826</v>
      </c>
    </row>
    <row r="5378" spans="1:17" ht="24.9" customHeight="1">
      <c r="A5378" s="20"/>
      <c r="B5378" s="20" t="s">
        <v>1281</v>
      </c>
      <c r="C5378" s="20"/>
      <c r="D5378" s="20" t="s">
        <v>1281</v>
      </c>
      <c r="E5378" s="19" t="str">
        <f>VLOOKUP(D5378,'لیست پرسنل'!$B$2:$E$1020,3,FALSE)</f>
        <v>خیریه</v>
      </c>
      <c r="F5378" s="19" t="str">
        <f>VLOOKUP(D5378,'لیست پرسنل'!$B$2:$E$1020,4,FALSE)</f>
        <v>خیریه</v>
      </c>
      <c r="G5378" s="127">
        <f>VLOOKUP(D5378,'لیست پرسنل'!$B$2:$F$1020,2,FALSE)</f>
        <v>0</v>
      </c>
      <c r="H5378" s="126" t="s">
        <v>4697</v>
      </c>
      <c r="I5378" s="128" t="s">
        <v>1281</v>
      </c>
      <c r="J5378" s="128" t="s">
        <v>2686</v>
      </c>
      <c r="K5378" s="127" t="s">
        <v>346</v>
      </c>
      <c r="L5378" s="151" t="s">
        <v>912</v>
      </c>
      <c r="M5378" s="132">
        <v>606530</v>
      </c>
      <c r="N5378" s="108"/>
      <c r="O5378" s="20"/>
      <c r="P5378" s="20" t="s">
        <v>5228</v>
      </c>
      <c r="Q5378" s="20" t="s">
        <v>5826</v>
      </c>
    </row>
    <row r="5379" spans="1:17" ht="24.9" customHeight="1">
      <c r="A5379" s="20"/>
      <c r="B5379" s="20" t="s">
        <v>1281</v>
      </c>
      <c r="C5379" s="20"/>
      <c r="D5379" s="20" t="s">
        <v>1281</v>
      </c>
      <c r="E5379" s="19" t="str">
        <f>VLOOKUP(D5379,'لیست پرسنل'!$B$2:$E$1020,3,FALSE)</f>
        <v>خیریه</v>
      </c>
      <c r="F5379" s="19" t="str">
        <f>VLOOKUP(D5379,'لیست پرسنل'!$B$2:$E$1020,4,FALSE)</f>
        <v>خیریه</v>
      </c>
      <c r="G5379" s="127">
        <f>VLOOKUP(D5379,'لیست پرسنل'!$B$2:$F$1020,2,FALSE)</f>
        <v>0</v>
      </c>
      <c r="H5379" s="126" t="s">
        <v>4697</v>
      </c>
      <c r="I5379" s="128" t="s">
        <v>1281</v>
      </c>
      <c r="J5379" s="128" t="s">
        <v>2686</v>
      </c>
      <c r="K5379" s="127" t="s">
        <v>852</v>
      </c>
      <c r="L5379" s="151" t="s">
        <v>1177</v>
      </c>
      <c r="M5379" s="127">
        <v>607056</v>
      </c>
      <c r="N5379" s="109"/>
      <c r="O5379" s="20"/>
      <c r="P5379" s="20" t="s">
        <v>5228</v>
      </c>
      <c r="Q5379" s="20" t="s">
        <v>5826</v>
      </c>
    </row>
    <row r="5380" spans="1:17" ht="24.9" customHeight="1">
      <c r="A5380" s="20"/>
      <c r="B5380" s="20" t="s">
        <v>1281</v>
      </c>
      <c r="C5380" s="20"/>
      <c r="D5380" s="20" t="s">
        <v>1281</v>
      </c>
      <c r="E5380" s="19" t="str">
        <f>VLOOKUP(D5380,'لیست پرسنل'!$B$2:$E$1020,3,FALSE)</f>
        <v>خیریه</v>
      </c>
      <c r="F5380" s="19" t="str">
        <f>VLOOKUP(D5380,'لیست پرسنل'!$B$2:$E$1020,4,FALSE)</f>
        <v>خیریه</v>
      </c>
      <c r="G5380" s="127">
        <f>VLOOKUP(D5380,'لیست پرسنل'!$B$2:$F$1020,2,FALSE)</f>
        <v>0</v>
      </c>
      <c r="H5380" s="126" t="s">
        <v>4697</v>
      </c>
      <c r="I5380" s="128" t="s">
        <v>1281</v>
      </c>
      <c r="J5380" s="128" t="s">
        <v>2686</v>
      </c>
      <c r="K5380" s="127" t="s">
        <v>548</v>
      </c>
      <c r="L5380" s="151" t="s">
        <v>3698</v>
      </c>
      <c r="M5380" s="128">
        <v>609711</v>
      </c>
      <c r="N5380" s="108"/>
      <c r="O5380" s="20"/>
      <c r="P5380" s="20" t="s">
        <v>5228</v>
      </c>
      <c r="Q5380" s="20" t="s">
        <v>5826</v>
      </c>
    </row>
    <row r="5381" spans="1:17" ht="24.9" customHeight="1">
      <c r="A5381" s="20"/>
      <c r="B5381" s="20" t="s">
        <v>1281</v>
      </c>
      <c r="C5381" s="20"/>
      <c r="D5381" s="20" t="s">
        <v>1281</v>
      </c>
      <c r="E5381" s="19" t="str">
        <f>VLOOKUP(D5381,'لیست پرسنل'!$B$2:$E$1020,3,FALSE)</f>
        <v>خیریه</v>
      </c>
      <c r="F5381" s="19" t="str">
        <f>VLOOKUP(D5381,'لیست پرسنل'!$B$2:$E$1020,4,FALSE)</f>
        <v>خیریه</v>
      </c>
      <c r="G5381" s="127">
        <f>VLOOKUP(D5381,'لیست پرسنل'!$B$2:$F$1020,2,FALSE)</f>
        <v>0</v>
      </c>
      <c r="H5381" s="126" t="s">
        <v>4697</v>
      </c>
      <c r="I5381" s="128" t="s">
        <v>1281</v>
      </c>
      <c r="J5381" s="128" t="s">
        <v>2686</v>
      </c>
      <c r="K5381" s="175" t="s">
        <v>606</v>
      </c>
      <c r="L5381" s="151" t="s">
        <v>1780</v>
      </c>
      <c r="M5381" s="127">
        <v>610492</v>
      </c>
      <c r="N5381" s="108"/>
      <c r="O5381" s="20"/>
      <c r="P5381" s="20" t="s">
        <v>5228</v>
      </c>
      <c r="Q5381" s="20" t="s">
        <v>5826</v>
      </c>
    </row>
    <row r="5382" spans="1:17" ht="24.9" customHeight="1">
      <c r="A5382" s="20"/>
      <c r="B5382" s="20" t="s">
        <v>1281</v>
      </c>
      <c r="C5382" s="20"/>
      <c r="D5382" s="20" t="s">
        <v>1281</v>
      </c>
      <c r="E5382" s="19" t="str">
        <f>VLOOKUP(D5382,'لیست پرسنل'!$B$2:$E$1020,3,FALSE)</f>
        <v>خیریه</v>
      </c>
      <c r="F5382" s="19" t="str">
        <f>VLOOKUP(D5382,'لیست پرسنل'!$B$2:$E$1020,4,FALSE)</f>
        <v>خیریه</v>
      </c>
      <c r="G5382" s="127">
        <f>VLOOKUP(D5382,'لیست پرسنل'!$B$2:$F$1020,2,FALSE)</f>
        <v>0</v>
      </c>
      <c r="H5382" s="126" t="s">
        <v>4697</v>
      </c>
      <c r="I5382" s="128" t="s">
        <v>1281</v>
      </c>
      <c r="J5382" s="128" t="s">
        <v>2686</v>
      </c>
      <c r="K5382" s="127" t="s">
        <v>702</v>
      </c>
      <c r="L5382" s="127" t="s">
        <v>569</v>
      </c>
      <c r="M5382" s="128">
        <v>622500</v>
      </c>
      <c r="N5382" s="108"/>
      <c r="O5382" s="20"/>
      <c r="P5382" s="20" t="s">
        <v>5228</v>
      </c>
      <c r="Q5382" s="20" t="s">
        <v>5826</v>
      </c>
    </row>
    <row r="5383" spans="1:17" ht="24.9" customHeight="1">
      <c r="A5383" s="20"/>
      <c r="B5383" s="20" t="s">
        <v>1281</v>
      </c>
      <c r="C5383" s="20"/>
      <c r="D5383" s="20" t="s">
        <v>1281</v>
      </c>
      <c r="E5383" s="19" t="str">
        <f>VLOOKUP(D5383,'لیست پرسنل'!$B$2:$E$1020,3,FALSE)</f>
        <v>خیریه</v>
      </c>
      <c r="F5383" s="19" t="str">
        <f>VLOOKUP(D5383,'لیست پرسنل'!$B$2:$E$1020,4,FALSE)</f>
        <v>خیریه</v>
      </c>
      <c r="G5383" s="127">
        <f>VLOOKUP(D5383,'لیست پرسنل'!$B$2:$F$1020,2,FALSE)</f>
        <v>0</v>
      </c>
      <c r="H5383" s="126" t="s">
        <v>4697</v>
      </c>
      <c r="I5383" s="128" t="s">
        <v>1281</v>
      </c>
      <c r="J5383" s="128" t="s">
        <v>2686</v>
      </c>
      <c r="K5383" s="127" t="s">
        <v>523</v>
      </c>
      <c r="L5383" s="151" t="s">
        <v>1285</v>
      </c>
      <c r="M5383" s="127">
        <v>622507</v>
      </c>
      <c r="N5383" s="108"/>
      <c r="O5383" s="19" t="s">
        <v>4593</v>
      </c>
      <c r="P5383" s="20" t="s">
        <v>5228</v>
      </c>
      <c r="Q5383" s="20" t="s">
        <v>5826</v>
      </c>
    </row>
    <row r="5384" spans="1:17" ht="24.9" customHeight="1">
      <c r="A5384" s="20"/>
      <c r="B5384" s="20" t="s">
        <v>1281</v>
      </c>
      <c r="C5384" s="20"/>
      <c r="D5384" s="20" t="s">
        <v>1281</v>
      </c>
      <c r="E5384" s="19" t="str">
        <f>VLOOKUP(D5384,'لیست پرسنل'!$B$2:$E$1020,3,FALSE)</f>
        <v>خیریه</v>
      </c>
      <c r="F5384" s="19" t="str">
        <f>VLOOKUP(D5384,'لیست پرسنل'!$B$2:$E$1020,4,FALSE)</f>
        <v>خیریه</v>
      </c>
      <c r="G5384" s="127">
        <f>VLOOKUP(D5384,'لیست پرسنل'!$B$2:$F$1020,2,FALSE)</f>
        <v>0</v>
      </c>
      <c r="H5384" s="128" t="s">
        <v>6916</v>
      </c>
      <c r="I5384" s="128" t="s">
        <v>5760</v>
      </c>
      <c r="J5384" s="141" t="s">
        <v>571</v>
      </c>
      <c r="K5384" s="135" t="s">
        <v>1513</v>
      </c>
      <c r="L5384" s="159"/>
      <c r="M5384" s="132">
        <v>604862</v>
      </c>
      <c r="N5384" s="108"/>
      <c r="O5384" s="31" t="s">
        <v>6918</v>
      </c>
      <c r="P5384" s="20" t="s">
        <v>5228</v>
      </c>
      <c r="Q5384" s="20" t="s">
        <v>6920</v>
      </c>
    </row>
    <row r="5385" spans="1:17" ht="24.9" customHeight="1">
      <c r="A5385" s="20"/>
      <c r="B5385" s="20" t="s">
        <v>1281</v>
      </c>
      <c r="C5385" s="20"/>
      <c r="D5385" s="20" t="s">
        <v>1281</v>
      </c>
      <c r="E5385" s="19" t="str">
        <f>VLOOKUP(D5385,'لیست پرسنل'!$B$2:$E$1020,3,FALSE)</f>
        <v>خیریه</v>
      </c>
      <c r="F5385" s="19" t="str">
        <f>VLOOKUP(D5385,'لیست پرسنل'!$B$2:$E$1020,4,FALSE)</f>
        <v>خیریه</v>
      </c>
      <c r="G5385" s="127">
        <f>VLOOKUP(D5385,'لیست پرسنل'!$B$2:$F$1020,2,FALSE)</f>
        <v>0</v>
      </c>
      <c r="H5385" s="128" t="s">
        <v>6916</v>
      </c>
      <c r="I5385" s="128" t="s">
        <v>5760</v>
      </c>
      <c r="J5385" s="141" t="s">
        <v>571</v>
      </c>
      <c r="K5385" s="135" t="s">
        <v>1513</v>
      </c>
      <c r="L5385" s="159"/>
      <c r="M5385" s="132">
        <v>606683</v>
      </c>
      <c r="N5385" s="108"/>
      <c r="O5385" s="31" t="s">
        <v>6919</v>
      </c>
      <c r="P5385" s="20" t="s">
        <v>5228</v>
      </c>
      <c r="Q5385" s="20" t="s">
        <v>6921</v>
      </c>
    </row>
    <row r="5386" spans="1:17" ht="24.9" customHeight="1">
      <c r="A5386" s="20"/>
      <c r="B5386" s="20" t="s">
        <v>1281</v>
      </c>
      <c r="C5386" s="20"/>
      <c r="D5386" s="20" t="s">
        <v>1281</v>
      </c>
      <c r="E5386" s="19" t="str">
        <f>VLOOKUP(D5386,'لیست پرسنل'!$B$2:$E$1020,3,FALSE)</f>
        <v>خیریه</v>
      </c>
      <c r="F5386" s="19" t="str">
        <f>VLOOKUP(D5386,'لیست پرسنل'!$B$2:$E$1020,4,FALSE)</f>
        <v>خیریه</v>
      </c>
      <c r="G5386" s="127">
        <f>VLOOKUP(D5386,'لیست پرسنل'!$B$2:$F$1020,2,FALSE)</f>
        <v>0</v>
      </c>
      <c r="H5386" s="126" t="s">
        <v>4655</v>
      </c>
      <c r="I5386" s="128" t="s">
        <v>1281</v>
      </c>
      <c r="J5386" s="141" t="s">
        <v>571</v>
      </c>
      <c r="K5386" s="127"/>
      <c r="L5386" s="155"/>
      <c r="M5386" s="127">
        <v>603225</v>
      </c>
      <c r="N5386" s="108"/>
      <c r="O5386" s="20"/>
      <c r="P5386" s="20" t="s">
        <v>3834</v>
      </c>
      <c r="Q5386" s="20" t="s">
        <v>5688</v>
      </c>
    </row>
    <row r="5387" spans="1:17" ht="24.9" customHeight="1">
      <c r="A5387" s="20"/>
      <c r="B5387" s="20" t="s">
        <v>1281</v>
      </c>
      <c r="C5387" s="20"/>
      <c r="D5387" s="20" t="s">
        <v>1281</v>
      </c>
      <c r="E5387" s="19" t="str">
        <f>VLOOKUP(D5387,'لیست پرسنل'!$B$2:$E$1020,3,FALSE)</f>
        <v>خیریه</v>
      </c>
      <c r="F5387" s="19" t="str">
        <f>VLOOKUP(D5387,'لیست پرسنل'!$B$2:$E$1020,4,FALSE)</f>
        <v>خیریه</v>
      </c>
      <c r="G5387" s="127">
        <f>VLOOKUP(D5387,'لیست پرسنل'!$B$2:$F$1020,2,FALSE)</f>
        <v>0</v>
      </c>
      <c r="H5387" s="126" t="s">
        <v>4655</v>
      </c>
      <c r="I5387" s="128" t="s">
        <v>1281</v>
      </c>
      <c r="J5387" s="127" t="s">
        <v>571</v>
      </c>
      <c r="K5387" s="128"/>
      <c r="L5387" s="151"/>
      <c r="M5387" s="127">
        <v>604003</v>
      </c>
      <c r="N5387" s="109"/>
      <c r="O5387" s="20"/>
      <c r="P5387" s="20" t="s">
        <v>3834</v>
      </c>
      <c r="Q5387" s="20" t="s">
        <v>5688</v>
      </c>
    </row>
    <row r="5388" spans="1:17" ht="24.9" customHeight="1">
      <c r="A5388" s="20"/>
      <c r="B5388" s="20" t="s">
        <v>1281</v>
      </c>
      <c r="C5388" s="20"/>
      <c r="D5388" s="20" t="s">
        <v>1281</v>
      </c>
      <c r="E5388" s="19" t="str">
        <f>VLOOKUP(D5388,'لیست پرسنل'!$B$2:$E$1020,3,FALSE)</f>
        <v>خیریه</v>
      </c>
      <c r="F5388" s="19" t="str">
        <f>VLOOKUP(D5388,'لیست پرسنل'!$B$2:$E$1020,4,FALSE)</f>
        <v>خیریه</v>
      </c>
      <c r="G5388" s="127">
        <f>VLOOKUP(D5388,'لیست پرسنل'!$B$2:$F$1020,2,FALSE)</f>
        <v>0</v>
      </c>
      <c r="H5388" s="126" t="s">
        <v>4655</v>
      </c>
      <c r="I5388" s="128" t="s">
        <v>1281</v>
      </c>
      <c r="J5388" s="128" t="s">
        <v>2686</v>
      </c>
      <c r="K5388" s="127" t="s">
        <v>1825</v>
      </c>
      <c r="L5388" s="127" t="s">
        <v>300</v>
      </c>
      <c r="M5388" s="127">
        <v>601856</v>
      </c>
      <c r="N5388" s="109"/>
      <c r="O5388" s="20"/>
      <c r="P5388" s="20" t="s">
        <v>3834</v>
      </c>
      <c r="Q5388" s="20" t="s">
        <v>5688</v>
      </c>
    </row>
    <row r="5389" spans="1:17" ht="24.9" customHeight="1">
      <c r="A5389" s="20"/>
      <c r="B5389" s="20" t="s">
        <v>1281</v>
      </c>
      <c r="C5389" s="20"/>
      <c r="D5389" s="20" t="s">
        <v>1281</v>
      </c>
      <c r="E5389" s="19" t="str">
        <f>VLOOKUP(D5389,'لیست پرسنل'!$B$2:$E$1020,3,FALSE)</f>
        <v>خیریه</v>
      </c>
      <c r="F5389" s="19" t="str">
        <f>VLOOKUP(D5389,'لیست پرسنل'!$B$2:$E$1020,4,FALSE)</f>
        <v>خیریه</v>
      </c>
      <c r="G5389" s="127">
        <f>VLOOKUP(D5389,'لیست پرسنل'!$B$2:$F$1020,2,FALSE)</f>
        <v>0</v>
      </c>
      <c r="H5389" s="126" t="s">
        <v>4655</v>
      </c>
      <c r="I5389" s="128" t="s">
        <v>1281</v>
      </c>
      <c r="J5389" s="128" t="s">
        <v>2686</v>
      </c>
      <c r="K5389" s="127" t="s">
        <v>1404</v>
      </c>
      <c r="L5389" s="151" t="s">
        <v>1286</v>
      </c>
      <c r="M5389" s="127">
        <v>606531</v>
      </c>
      <c r="N5389" s="109"/>
      <c r="O5389" s="20"/>
      <c r="P5389" s="20" t="s">
        <v>3834</v>
      </c>
      <c r="Q5389" s="20" t="s">
        <v>5688</v>
      </c>
    </row>
    <row r="5390" spans="1:17" ht="24.9" customHeight="1">
      <c r="A5390" s="20"/>
      <c r="B5390" s="20" t="s">
        <v>1281</v>
      </c>
      <c r="C5390" s="19"/>
      <c r="D5390" s="19" t="s">
        <v>1281</v>
      </c>
      <c r="E5390" s="19" t="str">
        <f>VLOOKUP(D5390,'لیست پرسنل'!$B$2:$E$1020,3,FALSE)</f>
        <v>خیریه</v>
      </c>
      <c r="F5390" s="19" t="str">
        <f>VLOOKUP(D5390,'لیست پرسنل'!$B$2:$E$1020,4,FALSE)</f>
        <v>خیریه</v>
      </c>
      <c r="G5390" s="127">
        <f>VLOOKUP(D5390,'لیست پرسنل'!$B$2:$F$1020,2,FALSE)</f>
        <v>0</v>
      </c>
      <c r="H5390" s="151" t="s">
        <v>6735</v>
      </c>
      <c r="I5390" s="127" t="s">
        <v>1281</v>
      </c>
      <c r="J5390" s="127" t="s">
        <v>571</v>
      </c>
      <c r="K5390" s="127" t="s">
        <v>1848</v>
      </c>
      <c r="L5390" s="154"/>
      <c r="M5390" s="127">
        <v>600050</v>
      </c>
      <c r="N5390" s="109"/>
      <c r="O5390" s="86"/>
      <c r="P5390" s="20" t="s">
        <v>3834</v>
      </c>
      <c r="Q5390" s="20" t="s">
        <v>6736</v>
      </c>
    </row>
    <row r="5391" spans="1:17" ht="24.9" customHeight="1">
      <c r="A5391" s="20"/>
      <c r="B5391" s="20" t="s">
        <v>1281</v>
      </c>
      <c r="C5391" s="19"/>
      <c r="D5391" s="19" t="s">
        <v>1281</v>
      </c>
      <c r="E5391" s="19" t="str">
        <f>VLOOKUP(D5391,'لیست پرسنل'!$B$2:$E$1020,3,FALSE)</f>
        <v>خیریه</v>
      </c>
      <c r="F5391" s="19" t="str">
        <f>VLOOKUP(D5391,'لیست پرسنل'!$B$2:$E$1020,4,FALSE)</f>
        <v>خیریه</v>
      </c>
      <c r="G5391" s="127">
        <f>VLOOKUP(D5391,'لیست پرسنل'!$B$2:$F$1020,2,FALSE)</f>
        <v>0</v>
      </c>
      <c r="H5391" s="151" t="s">
        <v>6735</v>
      </c>
      <c r="I5391" s="127" t="s">
        <v>1281</v>
      </c>
      <c r="J5391" s="127" t="s">
        <v>571</v>
      </c>
      <c r="K5391" s="128" t="s">
        <v>3784</v>
      </c>
      <c r="L5391" s="151"/>
      <c r="M5391" s="127">
        <v>606599</v>
      </c>
      <c r="N5391" s="109"/>
      <c r="O5391" s="19"/>
      <c r="P5391" s="20" t="s">
        <v>3834</v>
      </c>
      <c r="Q5391" s="20" t="s">
        <v>6736</v>
      </c>
    </row>
    <row r="5392" spans="1:17" ht="24.9" customHeight="1">
      <c r="A5392" s="20"/>
      <c r="B5392" s="20" t="s">
        <v>1281</v>
      </c>
      <c r="C5392" s="19"/>
      <c r="D5392" s="19" t="s">
        <v>1281</v>
      </c>
      <c r="E5392" s="19" t="str">
        <f>VLOOKUP(D5392,'لیست پرسنل'!$B$2:$E$1020,3,FALSE)</f>
        <v>خیریه</v>
      </c>
      <c r="F5392" s="19" t="str">
        <f>VLOOKUP(D5392,'لیست پرسنل'!$B$2:$E$1020,4,FALSE)</f>
        <v>خیریه</v>
      </c>
      <c r="G5392" s="127">
        <f>VLOOKUP(D5392,'لیست پرسنل'!$B$2:$F$1020,2,FALSE)</f>
        <v>0</v>
      </c>
      <c r="H5392" s="151" t="s">
        <v>6735</v>
      </c>
      <c r="I5392" s="127" t="s">
        <v>1281</v>
      </c>
      <c r="J5392" s="127" t="s">
        <v>571</v>
      </c>
      <c r="K5392" s="127" t="s">
        <v>1833</v>
      </c>
      <c r="L5392" s="166"/>
      <c r="M5392" s="127">
        <v>606605</v>
      </c>
      <c r="N5392" s="109"/>
      <c r="O5392" s="19"/>
      <c r="P5392" s="20" t="s">
        <v>3834</v>
      </c>
      <c r="Q5392" s="20" t="s">
        <v>6736</v>
      </c>
    </row>
    <row r="5393" spans="1:17" ht="24.9" customHeight="1">
      <c r="A5393" s="20"/>
      <c r="B5393" s="20" t="s">
        <v>1281</v>
      </c>
      <c r="C5393" s="19"/>
      <c r="D5393" s="19" t="s">
        <v>1281</v>
      </c>
      <c r="E5393" s="19" t="str">
        <f>VLOOKUP(D5393,'لیست پرسنل'!$B$2:$E$1020,3,FALSE)</f>
        <v>خیریه</v>
      </c>
      <c r="F5393" s="19" t="str">
        <f>VLOOKUP(D5393,'لیست پرسنل'!$B$2:$E$1020,4,FALSE)</f>
        <v>خیریه</v>
      </c>
      <c r="G5393" s="127">
        <f>VLOOKUP(D5393,'لیست پرسنل'!$B$2:$F$1020,2,FALSE)</f>
        <v>0</v>
      </c>
      <c r="H5393" s="151" t="s">
        <v>6735</v>
      </c>
      <c r="I5393" s="127" t="s">
        <v>1281</v>
      </c>
      <c r="J5393" s="128" t="s">
        <v>571</v>
      </c>
      <c r="K5393" s="128" t="s">
        <v>6477</v>
      </c>
      <c r="L5393" s="149" t="s">
        <v>6478</v>
      </c>
      <c r="M5393" s="128">
        <v>608424</v>
      </c>
      <c r="N5393" s="108"/>
      <c r="O5393" s="20" t="s">
        <v>4933</v>
      </c>
      <c r="P5393" s="20" t="s">
        <v>3834</v>
      </c>
      <c r="Q5393" s="20" t="s">
        <v>6736</v>
      </c>
    </row>
    <row r="5394" spans="1:17" ht="24.9" customHeight="1">
      <c r="A5394" s="20"/>
      <c r="B5394" s="20" t="s">
        <v>1281</v>
      </c>
      <c r="C5394" s="19"/>
      <c r="D5394" s="19" t="s">
        <v>1281</v>
      </c>
      <c r="E5394" s="19" t="str">
        <f>VLOOKUP(D5394,'لیست پرسنل'!$B$2:$E$1020,3,FALSE)</f>
        <v>خیریه</v>
      </c>
      <c r="F5394" s="19" t="str">
        <f>VLOOKUP(D5394,'لیست پرسنل'!$B$2:$E$1020,4,FALSE)</f>
        <v>خیریه</v>
      </c>
      <c r="G5394" s="127">
        <f>VLOOKUP(D5394,'لیست پرسنل'!$B$2:$F$1020,2,FALSE)</f>
        <v>0</v>
      </c>
      <c r="H5394" s="151" t="s">
        <v>6735</v>
      </c>
      <c r="I5394" s="127" t="s">
        <v>1281</v>
      </c>
      <c r="J5394" s="141" t="s">
        <v>571</v>
      </c>
      <c r="K5394" s="127" t="s">
        <v>6473</v>
      </c>
      <c r="L5394" s="127"/>
      <c r="M5394" s="131">
        <v>610109</v>
      </c>
      <c r="N5394" s="109"/>
      <c r="O5394" s="86"/>
      <c r="P5394" s="20" t="s">
        <v>3834</v>
      </c>
      <c r="Q5394" s="20" t="s">
        <v>6736</v>
      </c>
    </row>
    <row r="5395" spans="1:17" ht="24.9" customHeight="1">
      <c r="A5395" s="20"/>
      <c r="B5395" s="20" t="s">
        <v>1281</v>
      </c>
      <c r="C5395" s="19"/>
      <c r="D5395" s="19" t="s">
        <v>1281</v>
      </c>
      <c r="E5395" s="19" t="str">
        <f>VLOOKUP(D5395,'لیست پرسنل'!$B$2:$E$1020,3,FALSE)</f>
        <v>خیریه</v>
      </c>
      <c r="F5395" s="19" t="str">
        <f>VLOOKUP(D5395,'لیست پرسنل'!$B$2:$E$1020,4,FALSE)</f>
        <v>خیریه</v>
      </c>
      <c r="G5395" s="127">
        <f>VLOOKUP(D5395,'لیست پرسنل'!$B$2:$F$1020,2,FALSE)</f>
        <v>0</v>
      </c>
      <c r="H5395" s="151" t="s">
        <v>6735</v>
      </c>
      <c r="I5395" s="127" t="s">
        <v>1281</v>
      </c>
      <c r="J5395" s="128" t="s">
        <v>2686</v>
      </c>
      <c r="K5395" s="127" t="s">
        <v>564</v>
      </c>
      <c r="L5395" s="151" t="s">
        <v>1471</v>
      </c>
      <c r="M5395" s="127">
        <v>611795</v>
      </c>
      <c r="N5395" s="108"/>
      <c r="O5395" s="20"/>
      <c r="P5395" s="20" t="s">
        <v>3834</v>
      </c>
      <c r="Q5395" s="20" t="s">
        <v>6736</v>
      </c>
    </row>
    <row r="5396" spans="1:17" ht="24.9" customHeight="1">
      <c r="A5396" s="20"/>
      <c r="B5396" s="20" t="s">
        <v>1281</v>
      </c>
      <c r="C5396" s="19"/>
      <c r="D5396" s="19" t="s">
        <v>1281</v>
      </c>
      <c r="E5396" s="19" t="str">
        <f>VLOOKUP(D5396,'لیست پرسنل'!$B$2:$E$1020,3,FALSE)</f>
        <v>خیریه</v>
      </c>
      <c r="F5396" s="19" t="str">
        <f>VLOOKUP(D5396,'لیست پرسنل'!$B$2:$E$1020,4,FALSE)</f>
        <v>خیریه</v>
      </c>
      <c r="G5396" s="127">
        <f>VLOOKUP(D5396,'لیست پرسنل'!$B$2:$F$1020,2,FALSE)</f>
        <v>0</v>
      </c>
      <c r="H5396" s="151" t="s">
        <v>6735</v>
      </c>
      <c r="I5396" s="127" t="s">
        <v>1281</v>
      </c>
      <c r="J5396" s="128" t="s">
        <v>2686</v>
      </c>
      <c r="K5396" s="127" t="s">
        <v>1852</v>
      </c>
      <c r="L5396" s="127" t="s">
        <v>308</v>
      </c>
      <c r="M5396" s="127">
        <v>615042</v>
      </c>
      <c r="N5396" s="109"/>
      <c r="O5396" s="19"/>
      <c r="P5396" s="20" t="s">
        <v>3834</v>
      </c>
      <c r="Q5396" s="20" t="s">
        <v>6736</v>
      </c>
    </row>
    <row r="5397" spans="1:17" ht="24.9" customHeight="1">
      <c r="A5397" s="20"/>
      <c r="B5397" s="20" t="s">
        <v>1281</v>
      </c>
      <c r="C5397" s="19"/>
      <c r="D5397" s="19" t="s">
        <v>1281</v>
      </c>
      <c r="E5397" s="19" t="str">
        <f>VLOOKUP(D5397,'لیست پرسنل'!$B$2:$E$1020,3,FALSE)</f>
        <v>خیریه</v>
      </c>
      <c r="F5397" s="19" t="str">
        <f>VLOOKUP(D5397,'لیست پرسنل'!$B$2:$E$1020,4,FALSE)</f>
        <v>خیریه</v>
      </c>
      <c r="G5397" s="127">
        <f>VLOOKUP(D5397,'لیست پرسنل'!$B$2:$F$1020,2,FALSE)</f>
        <v>0</v>
      </c>
      <c r="H5397" s="151" t="s">
        <v>6735</v>
      </c>
      <c r="I5397" s="127" t="s">
        <v>1281</v>
      </c>
      <c r="J5397" s="128" t="s">
        <v>2686</v>
      </c>
      <c r="K5397" s="128" t="s">
        <v>4147</v>
      </c>
      <c r="L5397" s="128" t="s">
        <v>466</v>
      </c>
      <c r="M5397" s="128">
        <v>632384</v>
      </c>
      <c r="N5397" s="108"/>
      <c r="O5397" s="19" t="s">
        <v>5940</v>
      </c>
      <c r="P5397" s="20" t="s">
        <v>3834</v>
      </c>
      <c r="Q5397" s="20" t="s">
        <v>6736</v>
      </c>
    </row>
    <row r="5398" spans="1:17" ht="24.9" customHeight="1">
      <c r="A5398" s="20"/>
      <c r="B5398" s="20" t="s">
        <v>1281</v>
      </c>
      <c r="C5398" s="19"/>
      <c r="D5398" s="19" t="s">
        <v>1281</v>
      </c>
      <c r="E5398" s="19" t="str">
        <f>VLOOKUP(D5398,'لیست پرسنل'!$B$2:$E$1020,3,FALSE)</f>
        <v>خیریه</v>
      </c>
      <c r="F5398" s="19" t="str">
        <f>VLOOKUP(D5398,'لیست پرسنل'!$B$2:$E$1020,4,FALSE)</f>
        <v>خیریه</v>
      </c>
      <c r="G5398" s="127">
        <f>VLOOKUP(D5398,'لیست پرسنل'!$B$2:$F$1020,2,FALSE)</f>
        <v>0</v>
      </c>
      <c r="H5398" s="151" t="s">
        <v>6735</v>
      </c>
      <c r="I5398" s="127" t="s">
        <v>1281</v>
      </c>
      <c r="J5398" s="128" t="s">
        <v>2686</v>
      </c>
      <c r="K5398" s="127" t="s">
        <v>1921</v>
      </c>
      <c r="L5398" s="151" t="s">
        <v>1920</v>
      </c>
      <c r="M5398" s="127">
        <v>632387</v>
      </c>
      <c r="N5398" s="108"/>
      <c r="O5398" s="19" t="s">
        <v>5942</v>
      </c>
      <c r="P5398" s="20" t="s">
        <v>3834</v>
      </c>
      <c r="Q5398" s="20" t="s">
        <v>6736</v>
      </c>
    </row>
    <row r="5399" spans="1:17" ht="24.9" customHeight="1">
      <c r="A5399" s="20"/>
      <c r="B5399" s="20" t="s">
        <v>1281</v>
      </c>
      <c r="C5399" s="19"/>
      <c r="D5399" s="19" t="s">
        <v>1281</v>
      </c>
      <c r="E5399" s="19" t="str">
        <f>VLOOKUP(D5399,'لیست پرسنل'!$B$2:$E$1020,3,FALSE)</f>
        <v>خیریه</v>
      </c>
      <c r="F5399" s="19" t="str">
        <f>VLOOKUP(D5399,'لیست پرسنل'!$B$2:$E$1020,4,FALSE)</f>
        <v>خیریه</v>
      </c>
      <c r="G5399" s="127">
        <f>VLOOKUP(D5399,'لیست پرسنل'!$B$2:$F$1020,2,FALSE)</f>
        <v>0</v>
      </c>
      <c r="H5399" s="151" t="s">
        <v>6735</v>
      </c>
      <c r="I5399" s="127" t="s">
        <v>1281</v>
      </c>
      <c r="J5399" s="128" t="s">
        <v>2686</v>
      </c>
      <c r="K5399" s="128" t="s">
        <v>4143</v>
      </c>
      <c r="L5399" s="128" t="s">
        <v>4144</v>
      </c>
      <c r="M5399" s="128">
        <v>632395</v>
      </c>
      <c r="N5399" s="108"/>
      <c r="O5399" s="19" t="s">
        <v>5947</v>
      </c>
      <c r="P5399" s="20" t="s">
        <v>3834</v>
      </c>
      <c r="Q5399" s="20" t="s">
        <v>6736</v>
      </c>
    </row>
    <row r="5400" spans="1:17" ht="24.9" customHeight="1">
      <c r="A5400" s="20"/>
      <c r="B5400" s="20" t="s">
        <v>1281</v>
      </c>
      <c r="C5400" s="20"/>
      <c r="D5400" s="20" t="s">
        <v>1281</v>
      </c>
      <c r="E5400" s="19" t="str">
        <f>VLOOKUP(D5400,'لیست پرسنل'!$B$2:$E$1020,3,FALSE)</f>
        <v>خیریه</v>
      </c>
      <c r="F5400" s="19" t="str">
        <f>VLOOKUP(D5400,'لیست پرسنل'!$B$2:$E$1020,4,FALSE)</f>
        <v>خیریه</v>
      </c>
      <c r="G5400" s="127">
        <f>VLOOKUP(D5400,'لیست پرسنل'!$B$2:$F$1020,2,FALSE)</f>
        <v>0</v>
      </c>
      <c r="H5400" s="128" t="s">
        <v>5680</v>
      </c>
      <c r="I5400" s="128" t="s">
        <v>5681</v>
      </c>
      <c r="J5400" s="128" t="s">
        <v>571</v>
      </c>
      <c r="K5400" s="128" t="s">
        <v>1615</v>
      </c>
      <c r="L5400" s="150"/>
      <c r="M5400" s="128">
        <v>606506</v>
      </c>
      <c r="N5400" s="108"/>
      <c r="O5400" s="19" t="s">
        <v>5683</v>
      </c>
      <c r="P5400" s="20" t="s">
        <v>3834</v>
      </c>
      <c r="Q5400" s="20" t="s">
        <v>5682</v>
      </c>
    </row>
    <row r="5401" spans="1:17" ht="24.9" customHeight="1">
      <c r="A5401" s="20"/>
      <c r="B5401" s="20" t="s">
        <v>1281</v>
      </c>
      <c r="C5401" s="20"/>
      <c r="D5401" s="20" t="s">
        <v>1281</v>
      </c>
      <c r="E5401" s="19" t="str">
        <f>VLOOKUP(D5401,'لیست پرسنل'!$B$2:$E$1020,3,FALSE)</f>
        <v>خیریه</v>
      </c>
      <c r="F5401" s="19" t="str">
        <f>VLOOKUP(D5401,'لیست پرسنل'!$B$2:$E$1020,4,FALSE)</f>
        <v>خیریه</v>
      </c>
      <c r="G5401" s="127">
        <f>VLOOKUP(D5401,'لیست پرسنل'!$B$2:$F$1020,2,FALSE)</f>
        <v>0</v>
      </c>
      <c r="H5401" s="128" t="s">
        <v>5680</v>
      </c>
      <c r="I5401" s="128" t="s">
        <v>5681</v>
      </c>
      <c r="J5401" s="141" t="s">
        <v>571</v>
      </c>
      <c r="K5401" s="126" t="s">
        <v>410</v>
      </c>
      <c r="L5401" s="151" t="s">
        <v>168</v>
      </c>
      <c r="M5401" s="127">
        <v>607300</v>
      </c>
      <c r="N5401" s="108"/>
      <c r="O5401" s="19" t="s">
        <v>5683</v>
      </c>
      <c r="P5401" s="20" t="s">
        <v>3834</v>
      </c>
      <c r="Q5401" s="20" t="s">
        <v>5682</v>
      </c>
    </row>
    <row r="5402" spans="1:17" ht="24.9" customHeight="1">
      <c r="A5402" s="20"/>
      <c r="B5402" s="20" t="s">
        <v>1281</v>
      </c>
      <c r="C5402" s="20"/>
      <c r="D5402" s="20" t="s">
        <v>1281</v>
      </c>
      <c r="E5402" s="19" t="str">
        <f>VLOOKUP(D5402,'لیست پرسنل'!$B$2:$E$1020,3,FALSE)</f>
        <v>خیریه</v>
      </c>
      <c r="F5402" s="19" t="str">
        <f>VLOOKUP(D5402,'لیست پرسنل'!$B$2:$E$1020,4,FALSE)</f>
        <v>خیریه</v>
      </c>
      <c r="G5402" s="127">
        <f>VLOOKUP(D5402,'لیست پرسنل'!$B$2:$F$1020,2,FALSE)</f>
        <v>0</v>
      </c>
      <c r="H5402" s="128" t="s">
        <v>5680</v>
      </c>
      <c r="I5402" s="128" t="s">
        <v>5681</v>
      </c>
      <c r="J5402" s="141" t="s">
        <v>571</v>
      </c>
      <c r="K5402" s="127" t="s">
        <v>571</v>
      </c>
      <c r="L5402" s="128" t="s">
        <v>2054</v>
      </c>
      <c r="M5402" s="132">
        <v>607867</v>
      </c>
      <c r="N5402" s="108"/>
      <c r="O5402" s="19" t="s">
        <v>5683</v>
      </c>
      <c r="P5402" s="20" t="s">
        <v>3834</v>
      </c>
      <c r="Q5402" s="20" t="s">
        <v>5682</v>
      </c>
    </row>
    <row r="5403" spans="1:17" ht="24.9" customHeight="1">
      <c r="A5403" s="20"/>
      <c r="B5403" s="20" t="s">
        <v>1281</v>
      </c>
      <c r="C5403" s="20"/>
      <c r="D5403" s="20" t="s">
        <v>1281</v>
      </c>
      <c r="E5403" s="19" t="str">
        <f>VLOOKUP(D5403,'لیست پرسنل'!$B$2:$E$1020,3,FALSE)</f>
        <v>خیریه</v>
      </c>
      <c r="F5403" s="19" t="str">
        <f>VLOOKUP(D5403,'لیست پرسنل'!$B$2:$E$1020,4,FALSE)</f>
        <v>خیریه</v>
      </c>
      <c r="G5403" s="127">
        <f>VLOOKUP(D5403,'لیست پرسنل'!$B$2:$F$1020,2,FALSE)</f>
        <v>0</v>
      </c>
      <c r="H5403" s="128" t="s">
        <v>5680</v>
      </c>
      <c r="I5403" s="128" t="s">
        <v>5681</v>
      </c>
      <c r="J5403" s="128" t="s">
        <v>571</v>
      </c>
      <c r="K5403" s="128" t="s">
        <v>571</v>
      </c>
      <c r="L5403" s="150"/>
      <c r="M5403" s="128">
        <v>609144</v>
      </c>
      <c r="N5403" s="108"/>
      <c r="O5403" s="19" t="s">
        <v>5683</v>
      </c>
      <c r="P5403" s="20" t="s">
        <v>3834</v>
      </c>
      <c r="Q5403" s="20" t="s">
        <v>5682</v>
      </c>
    </row>
    <row r="5404" spans="1:17" ht="24.9" customHeight="1">
      <c r="A5404" s="20"/>
      <c r="B5404" s="20" t="s">
        <v>1281</v>
      </c>
      <c r="C5404" s="20"/>
      <c r="D5404" s="20" t="s">
        <v>1281</v>
      </c>
      <c r="E5404" s="19" t="str">
        <f>VLOOKUP(D5404,'لیست پرسنل'!$B$2:$E$1020,3,FALSE)</f>
        <v>خیریه</v>
      </c>
      <c r="F5404" s="19" t="str">
        <f>VLOOKUP(D5404,'لیست پرسنل'!$B$2:$E$1020,4,FALSE)</f>
        <v>خیریه</v>
      </c>
      <c r="G5404" s="127">
        <f>VLOOKUP(D5404,'لیست پرسنل'!$B$2:$F$1020,2,FALSE)</f>
        <v>0</v>
      </c>
      <c r="H5404" s="128" t="s">
        <v>5680</v>
      </c>
      <c r="I5404" s="128" t="s">
        <v>5681</v>
      </c>
      <c r="J5404" s="128" t="s">
        <v>571</v>
      </c>
      <c r="K5404" s="127" t="s">
        <v>1513</v>
      </c>
      <c r="L5404" s="151"/>
      <c r="M5404" s="127">
        <v>610539</v>
      </c>
      <c r="N5404" s="119"/>
      <c r="O5404" s="19" t="s">
        <v>5683</v>
      </c>
      <c r="P5404" s="20" t="s">
        <v>3834</v>
      </c>
      <c r="Q5404" s="20" t="s">
        <v>5682</v>
      </c>
    </row>
    <row r="5405" spans="1:17" ht="24.9" customHeight="1">
      <c r="A5405" s="20"/>
      <c r="B5405" s="20" t="s">
        <v>1281</v>
      </c>
      <c r="C5405" s="20"/>
      <c r="D5405" s="20" t="s">
        <v>1281</v>
      </c>
      <c r="E5405" s="19" t="str">
        <f>VLOOKUP(D5405,'لیست پرسنل'!$B$2:$E$1020,3,FALSE)</f>
        <v>خیریه</v>
      </c>
      <c r="F5405" s="19" t="str">
        <f>VLOOKUP(D5405,'لیست پرسنل'!$B$2:$E$1020,4,FALSE)</f>
        <v>خیریه</v>
      </c>
      <c r="G5405" s="127">
        <f>VLOOKUP(D5405,'لیست پرسنل'!$B$2:$F$1020,2,FALSE)</f>
        <v>0</v>
      </c>
      <c r="H5405" s="128" t="s">
        <v>5680</v>
      </c>
      <c r="I5405" s="128" t="s">
        <v>5681</v>
      </c>
      <c r="J5405" s="128" t="s">
        <v>2686</v>
      </c>
      <c r="K5405" s="133" t="s">
        <v>852</v>
      </c>
      <c r="L5405" s="150" t="s">
        <v>959</v>
      </c>
      <c r="M5405" s="127">
        <v>607356</v>
      </c>
      <c r="N5405" s="108"/>
      <c r="O5405" s="19" t="s">
        <v>5683</v>
      </c>
      <c r="P5405" s="20" t="s">
        <v>3834</v>
      </c>
      <c r="Q5405" s="20" t="s">
        <v>5682</v>
      </c>
    </row>
    <row r="5406" spans="1:17" ht="24.9" customHeight="1">
      <c r="A5406" s="20"/>
      <c r="B5406" s="20" t="s">
        <v>1281</v>
      </c>
      <c r="C5406" s="20"/>
      <c r="D5406" s="20" t="s">
        <v>1281</v>
      </c>
      <c r="E5406" s="19" t="str">
        <f>VLOOKUP(D5406,'لیست پرسنل'!$B$2:$E$1020,3,FALSE)</f>
        <v>خیریه</v>
      </c>
      <c r="F5406" s="19" t="str">
        <f>VLOOKUP(D5406,'لیست پرسنل'!$B$2:$E$1020,4,FALSE)</f>
        <v>خیریه</v>
      </c>
      <c r="G5406" s="127">
        <f>VLOOKUP(D5406,'لیست پرسنل'!$B$2:$F$1020,2,FALSE)</f>
        <v>0</v>
      </c>
      <c r="H5406" s="128" t="s">
        <v>5680</v>
      </c>
      <c r="I5406" s="128" t="s">
        <v>5681</v>
      </c>
      <c r="J5406" s="128" t="s">
        <v>2686</v>
      </c>
      <c r="K5406" s="127" t="s">
        <v>320</v>
      </c>
      <c r="L5406" s="151" t="s">
        <v>1335</v>
      </c>
      <c r="M5406" s="132">
        <v>607686</v>
      </c>
      <c r="N5406" s="108"/>
      <c r="O5406" s="19" t="s">
        <v>5683</v>
      </c>
      <c r="P5406" s="20" t="s">
        <v>3834</v>
      </c>
      <c r="Q5406" s="20" t="s">
        <v>5682</v>
      </c>
    </row>
    <row r="5407" spans="1:17" ht="24.9" customHeight="1">
      <c r="A5407" s="20"/>
      <c r="B5407" s="20" t="s">
        <v>1281</v>
      </c>
      <c r="C5407" s="20"/>
      <c r="D5407" s="20" t="s">
        <v>1281</v>
      </c>
      <c r="E5407" s="19" t="str">
        <f>VLOOKUP(D5407,'لیست پرسنل'!$B$2:$E$1020,3,FALSE)</f>
        <v>خیریه</v>
      </c>
      <c r="F5407" s="19" t="str">
        <f>VLOOKUP(D5407,'لیست پرسنل'!$B$2:$E$1020,4,FALSE)</f>
        <v>خیریه</v>
      </c>
      <c r="G5407" s="127">
        <f>VLOOKUP(D5407,'لیست پرسنل'!$B$2:$F$1020,2,FALSE)</f>
        <v>0</v>
      </c>
      <c r="H5407" s="128" t="s">
        <v>5680</v>
      </c>
      <c r="I5407" s="128" t="s">
        <v>5681</v>
      </c>
      <c r="J5407" s="128" t="s">
        <v>2686</v>
      </c>
      <c r="K5407" s="171" t="s">
        <v>547</v>
      </c>
      <c r="L5407" s="156" t="s">
        <v>1637</v>
      </c>
      <c r="M5407" s="142">
        <v>609716</v>
      </c>
      <c r="N5407" s="108"/>
      <c r="O5407" s="19" t="s">
        <v>5683</v>
      </c>
      <c r="P5407" s="20" t="s">
        <v>3834</v>
      </c>
      <c r="Q5407" s="20" t="s">
        <v>5682</v>
      </c>
    </row>
    <row r="5408" spans="1:17" ht="24.9" customHeight="1">
      <c r="A5408" s="20"/>
      <c r="B5408" s="20" t="s">
        <v>1281</v>
      </c>
      <c r="C5408" s="20"/>
      <c r="D5408" s="20" t="s">
        <v>1281</v>
      </c>
      <c r="E5408" s="19" t="str">
        <f>VLOOKUP(D5408,'لیست پرسنل'!$B$2:$E$1020,3,FALSE)</f>
        <v>خیریه</v>
      </c>
      <c r="F5408" s="19" t="str">
        <f>VLOOKUP(D5408,'لیست پرسنل'!$B$2:$E$1020,4,FALSE)</f>
        <v>خیریه</v>
      </c>
      <c r="G5408" s="127">
        <f>VLOOKUP(D5408,'لیست پرسنل'!$B$2:$F$1020,2,FALSE)</f>
        <v>0</v>
      </c>
      <c r="H5408" s="128" t="s">
        <v>5680</v>
      </c>
      <c r="I5408" s="128" t="s">
        <v>5681</v>
      </c>
      <c r="J5408" s="128" t="s">
        <v>2686</v>
      </c>
      <c r="K5408" s="127" t="s">
        <v>346</v>
      </c>
      <c r="L5408" s="150" t="s">
        <v>1033</v>
      </c>
      <c r="M5408" s="128">
        <v>611979</v>
      </c>
      <c r="N5408" s="108"/>
      <c r="O5408" s="19" t="s">
        <v>5683</v>
      </c>
      <c r="P5408" s="20" t="s">
        <v>3834</v>
      </c>
      <c r="Q5408" s="20" t="s">
        <v>5682</v>
      </c>
    </row>
    <row r="5409" spans="1:17" ht="24.9" customHeight="1">
      <c r="A5409" s="20"/>
      <c r="B5409" s="20" t="s">
        <v>1281</v>
      </c>
      <c r="C5409" s="20"/>
      <c r="D5409" s="20" t="s">
        <v>1281</v>
      </c>
      <c r="E5409" s="19" t="str">
        <f>VLOOKUP(D5409,'لیست پرسنل'!$B$2:$E$1020,3,FALSE)</f>
        <v>خیریه</v>
      </c>
      <c r="F5409" s="19" t="str">
        <f>VLOOKUP(D5409,'لیست پرسنل'!$B$2:$E$1020,4,FALSE)</f>
        <v>خیریه</v>
      </c>
      <c r="G5409" s="127">
        <f>VLOOKUP(D5409,'لیست پرسنل'!$B$2:$F$1020,2,FALSE)</f>
        <v>0</v>
      </c>
      <c r="H5409" s="128" t="s">
        <v>5680</v>
      </c>
      <c r="I5409" s="128" t="s">
        <v>5681</v>
      </c>
      <c r="J5409" s="128" t="s">
        <v>2686</v>
      </c>
      <c r="K5409" s="127" t="s">
        <v>519</v>
      </c>
      <c r="L5409" s="151" t="s">
        <v>520</v>
      </c>
      <c r="M5409" s="127">
        <v>622506</v>
      </c>
      <c r="N5409" s="108"/>
      <c r="O5409" s="19" t="s">
        <v>5804</v>
      </c>
      <c r="P5409" s="20" t="s">
        <v>3834</v>
      </c>
      <c r="Q5409" s="20" t="s">
        <v>5682</v>
      </c>
    </row>
    <row r="5410" spans="1:17" ht="24.9" customHeight="1">
      <c r="A5410" s="20"/>
      <c r="B5410" s="20" t="s">
        <v>1281</v>
      </c>
      <c r="C5410" s="19"/>
      <c r="D5410" s="19" t="s">
        <v>1281</v>
      </c>
      <c r="E5410" s="19" t="str">
        <f>VLOOKUP(D5410,'لیست پرسنل'!$B$2:$E$1020,3,FALSE)</f>
        <v>خیریه</v>
      </c>
      <c r="F5410" s="19" t="str">
        <f>VLOOKUP(D5410,'لیست پرسنل'!$B$2:$E$1020,4,FALSE)</f>
        <v>خیریه</v>
      </c>
      <c r="G5410" s="127">
        <f>VLOOKUP(D5410,'لیست پرسنل'!$B$2:$F$1020,2,FALSE)</f>
        <v>0</v>
      </c>
      <c r="H5410" s="126" t="s">
        <v>4649</v>
      </c>
      <c r="I5410" s="128" t="s">
        <v>1281</v>
      </c>
      <c r="J5410" s="127" t="s">
        <v>571</v>
      </c>
      <c r="K5410" s="126" t="s">
        <v>410</v>
      </c>
      <c r="L5410" s="128"/>
      <c r="M5410" s="127">
        <v>603290</v>
      </c>
      <c r="N5410" s="109"/>
      <c r="O5410" s="20"/>
      <c r="P5410" s="20" t="s">
        <v>3834</v>
      </c>
      <c r="Q5410" s="20" t="s">
        <v>5688</v>
      </c>
    </row>
    <row r="5411" spans="1:17" ht="24.9" customHeight="1">
      <c r="A5411" s="20"/>
      <c r="B5411" s="20" t="s">
        <v>1281</v>
      </c>
      <c r="C5411" s="19"/>
      <c r="D5411" s="19" t="s">
        <v>1281</v>
      </c>
      <c r="E5411" s="19" t="str">
        <f>VLOOKUP(D5411,'لیست پرسنل'!$B$2:$E$1020,3,FALSE)</f>
        <v>خیریه</v>
      </c>
      <c r="F5411" s="19" t="str">
        <f>VLOOKUP(D5411,'لیست پرسنل'!$B$2:$E$1020,4,FALSE)</f>
        <v>خیریه</v>
      </c>
      <c r="G5411" s="127">
        <f>VLOOKUP(D5411,'لیست پرسنل'!$B$2:$F$1020,2,FALSE)</f>
        <v>0</v>
      </c>
      <c r="H5411" s="126" t="s">
        <v>4649</v>
      </c>
      <c r="I5411" s="128" t="s">
        <v>1281</v>
      </c>
      <c r="J5411" s="127" t="s">
        <v>571</v>
      </c>
      <c r="K5411" s="126" t="s">
        <v>410</v>
      </c>
      <c r="L5411" s="128"/>
      <c r="M5411" s="127">
        <v>603482</v>
      </c>
      <c r="N5411" s="109"/>
      <c r="O5411" s="20"/>
      <c r="P5411" s="20" t="s">
        <v>3834</v>
      </c>
      <c r="Q5411" s="20" t="s">
        <v>5688</v>
      </c>
    </row>
    <row r="5412" spans="1:17" ht="24.9" customHeight="1">
      <c r="A5412" s="20"/>
      <c r="B5412" s="20" t="s">
        <v>1281</v>
      </c>
      <c r="C5412" s="19"/>
      <c r="D5412" s="20" t="s">
        <v>1281</v>
      </c>
      <c r="E5412" s="19" t="str">
        <f>VLOOKUP(D5412,'لیست پرسنل'!$B$2:$E$1020,3,FALSE)</f>
        <v>خیریه</v>
      </c>
      <c r="F5412" s="19" t="str">
        <f>VLOOKUP(D5412,'لیست پرسنل'!$B$2:$E$1020,4,FALSE)</f>
        <v>خیریه</v>
      </c>
      <c r="G5412" s="127">
        <f>VLOOKUP(D5412,'لیست پرسنل'!$B$2:$F$1020,2,FALSE)</f>
        <v>0</v>
      </c>
      <c r="H5412" s="126" t="s">
        <v>4649</v>
      </c>
      <c r="I5412" s="128" t="s">
        <v>1281</v>
      </c>
      <c r="J5412" s="128" t="s">
        <v>571</v>
      </c>
      <c r="K5412" s="128" t="s">
        <v>634</v>
      </c>
      <c r="L5412" s="150"/>
      <c r="M5412" s="128">
        <v>604970</v>
      </c>
      <c r="N5412" s="108"/>
      <c r="O5412" s="20" t="s">
        <v>4647</v>
      </c>
      <c r="P5412" s="20" t="s">
        <v>3834</v>
      </c>
      <c r="Q5412" s="20" t="s">
        <v>5686</v>
      </c>
    </row>
    <row r="5413" spans="1:17" ht="24.9" customHeight="1">
      <c r="A5413" s="20"/>
      <c r="B5413" s="20" t="s">
        <v>1281</v>
      </c>
      <c r="C5413" s="19"/>
      <c r="D5413" s="19" t="s">
        <v>1281</v>
      </c>
      <c r="E5413" s="19" t="str">
        <f>VLOOKUP(D5413,'لیست پرسنل'!$B$2:$E$1020,3,FALSE)</f>
        <v>خیریه</v>
      </c>
      <c r="F5413" s="19" t="str">
        <f>VLOOKUP(D5413,'لیست پرسنل'!$B$2:$E$1020,4,FALSE)</f>
        <v>خیریه</v>
      </c>
      <c r="G5413" s="127">
        <f>VLOOKUP(D5413,'لیست پرسنل'!$B$2:$F$1020,2,FALSE)</f>
        <v>0</v>
      </c>
      <c r="H5413" s="126" t="s">
        <v>4649</v>
      </c>
      <c r="I5413" s="128" t="s">
        <v>1281</v>
      </c>
      <c r="J5413" s="127" t="s">
        <v>571</v>
      </c>
      <c r="K5413" s="126" t="s">
        <v>410</v>
      </c>
      <c r="L5413" s="128"/>
      <c r="M5413" s="127">
        <v>605769</v>
      </c>
      <c r="N5413" s="109"/>
      <c r="O5413" s="20"/>
      <c r="P5413" s="20" t="s">
        <v>3834</v>
      </c>
      <c r="Q5413" s="20" t="s">
        <v>5688</v>
      </c>
    </row>
    <row r="5414" spans="1:17" ht="24.9" customHeight="1">
      <c r="A5414" s="20"/>
      <c r="B5414" s="20" t="s">
        <v>1281</v>
      </c>
      <c r="C5414" s="19"/>
      <c r="D5414" s="19" t="s">
        <v>1281</v>
      </c>
      <c r="E5414" s="19" t="str">
        <f>VLOOKUP(D5414,'لیست پرسنل'!$B$2:$E$1020,3,FALSE)</f>
        <v>خیریه</v>
      </c>
      <c r="F5414" s="19" t="str">
        <f>VLOOKUP(D5414,'لیست پرسنل'!$B$2:$E$1020,4,FALSE)</f>
        <v>خیریه</v>
      </c>
      <c r="G5414" s="127">
        <f>VLOOKUP(D5414,'لیست پرسنل'!$B$2:$F$1020,2,FALSE)</f>
        <v>0</v>
      </c>
      <c r="H5414" s="126" t="s">
        <v>4649</v>
      </c>
      <c r="I5414" s="128" t="s">
        <v>1281</v>
      </c>
      <c r="J5414" s="127" t="s">
        <v>571</v>
      </c>
      <c r="K5414" s="126" t="s">
        <v>410</v>
      </c>
      <c r="L5414" s="128"/>
      <c r="M5414" s="127">
        <v>607077</v>
      </c>
      <c r="N5414" s="109"/>
      <c r="O5414" s="20"/>
      <c r="P5414" s="20" t="s">
        <v>3834</v>
      </c>
      <c r="Q5414" s="20" t="s">
        <v>5688</v>
      </c>
    </row>
    <row r="5415" spans="1:17" ht="24.9" customHeight="1">
      <c r="A5415" s="20"/>
      <c r="B5415" s="20" t="s">
        <v>1281</v>
      </c>
      <c r="C5415" s="19"/>
      <c r="D5415" s="19" t="s">
        <v>1281</v>
      </c>
      <c r="E5415" s="19" t="str">
        <f>VLOOKUP(D5415,'لیست پرسنل'!$B$2:$E$1020,3,FALSE)</f>
        <v>خیریه</v>
      </c>
      <c r="F5415" s="19" t="str">
        <f>VLOOKUP(D5415,'لیست پرسنل'!$B$2:$E$1020,4,FALSE)</f>
        <v>خیریه</v>
      </c>
      <c r="G5415" s="127">
        <f>VLOOKUP(D5415,'لیست پرسنل'!$B$2:$F$1020,2,FALSE)</f>
        <v>0</v>
      </c>
      <c r="H5415" s="126" t="s">
        <v>4649</v>
      </c>
      <c r="I5415" s="128" t="s">
        <v>1281</v>
      </c>
      <c r="J5415" s="127" t="s">
        <v>571</v>
      </c>
      <c r="K5415" s="126" t="s">
        <v>410</v>
      </c>
      <c r="L5415" s="128"/>
      <c r="M5415" s="127">
        <v>608011</v>
      </c>
      <c r="N5415" s="109"/>
      <c r="O5415" s="20"/>
      <c r="P5415" s="20" t="s">
        <v>3834</v>
      </c>
      <c r="Q5415" s="20" t="s">
        <v>5688</v>
      </c>
    </row>
    <row r="5416" spans="1:17" ht="24.9" customHeight="1">
      <c r="A5416" s="20"/>
      <c r="B5416" s="20" t="s">
        <v>1281</v>
      </c>
      <c r="C5416" s="19"/>
      <c r="D5416" s="20" t="s">
        <v>1281</v>
      </c>
      <c r="E5416" s="19" t="str">
        <f>VLOOKUP(D5416,'لیست پرسنل'!$B$2:$E$1020,3,FALSE)</f>
        <v>خیریه</v>
      </c>
      <c r="F5416" s="19" t="str">
        <f>VLOOKUP(D5416,'لیست پرسنل'!$B$2:$E$1020,4,FALSE)</f>
        <v>خیریه</v>
      </c>
      <c r="G5416" s="127">
        <f>VLOOKUP(D5416,'لیست پرسنل'!$B$2:$F$1020,2,FALSE)</f>
        <v>0</v>
      </c>
      <c r="H5416" s="126" t="s">
        <v>4649</v>
      </c>
      <c r="I5416" s="128" t="s">
        <v>1281</v>
      </c>
      <c r="J5416" s="128" t="s">
        <v>571</v>
      </c>
      <c r="K5416" s="127" t="s">
        <v>2054</v>
      </c>
      <c r="L5416" s="151"/>
      <c r="M5416" s="127">
        <v>608693</v>
      </c>
      <c r="N5416" s="109"/>
      <c r="O5416" s="19" t="s">
        <v>4650</v>
      </c>
      <c r="P5416" s="20" t="s">
        <v>3834</v>
      </c>
      <c r="Q5416" s="20" t="s">
        <v>5686</v>
      </c>
    </row>
    <row r="5417" spans="1:17" ht="24.9" customHeight="1">
      <c r="A5417" s="20"/>
      <c r="B5417" s="20" t="s">
        <v>1281</v>
      </c>
      <c r="C5417" s="19"/>
      <c r="D5417" s="19" t="s">
        <v>1281</v>
      </c>
      <c r="E5417" s="19" t="str">
        <f>VLOOKUP(D5417,'لیست پرسنل'!$B$2:$E$1020,3,FALSE)</f>
        <v>خیریه</v>
      </c>
      <c r="F5417" s="19" t="str">
        <f>VLOOKUP(D5417,'لیست پرسنل'!$B$2:$E$1020,4,FALSE)</f>
        <v>خیریه</v>
      </c>
      <c r="G5417" s="127">
        <f>VLOOKUP(D5417,'لیست پرسنل'!$B$2:$F$1020,2,FALSE)</f>
        <v>0</v>
      </c>
      <c r="H5417" s="126" t="s">
        <v>4649</v>
      </c>
      <c r="I5417" s="128" t="s">
        <v>1281</v>
      </c>
      <c r="J5417" s="127" t="s">
        <v>571</v>
      </c>
      <c r="K5417" s="126" t="s">
        <v>410</v>
      </c>
      <c r="L5417" s="159"/>
      <c r="M5417" s="127">
        <v>615852</v>
      </c>
      <c r="N5417" s="109"/>
      <c r="O5417" s="20"/>
      <c r="P5417" s="20" t="s">
        <v>3834</v>
      </c>
      <c r="Q5417" s="20" t="s">
        <v>5688</v>
      </c>
    </row>
    <row r="5418" spans="1:17" ht="24.9" customHeight="1">
      <c r="A5418" s="20"/>
      <c r="B5418" s="20" t="s">
        <v>1281</v>
      </c>
      <c r="C5418" s="19"/>
      <c r="D5418" s="19" t="s">
        <v>1281</v>
      </c>
      <c r="E5418" s="19" t="str">
        <f>VLOOKUP(D5418,'لیست پرسنل'!$B$2:$E$1020,3,FALSE)</f>
        <v>خیریه</v>
      </c>
      <c r="F5418" s="19" t="str">
        <f>VLOOKUP(D5418,'لیست پرسنل'!$B$2:$E$1020,4,FALSE)</f>
        <v>خیریه</v>
      </c>
      <c r="G5418" s="127">
        <f>VLOOKUP(D5418,'لیست پرسنل'!$B$2:$F$1020,2,FALSE)</f>
        <v>0</v>
      </c>
      <c r="H5418" s="126" t="s">
        <v>4649</v>
      </c>
      <c r="I5418" s="128" t="s">
        <v>1281</v>
      </c>
      <c r="J5418" s="127" t="s">
        <v>571</v>
      </c>
      <c r="K5418" s="126" t="s">
        <v>410</v>
      </c>
      <c r="L5418" s="128"/>
      <c r="M5418" s="127">
        <v>622490</v>
      </c>
      <c r="N5418" s="109"/>
      <c r="O5418" s="20"/>
      <c r="P5418" s="20" t="s">
        <v>3834</v>
      </c>
      <c r="Q5418" s="20" t="s">
        <v>5688</v>
      </c>
    </row>
    <row r="5419" spans="1:17" ht="24.9" customHeight="1">
      <c r="A5419" s="20"/>
      <c r="B5419" s="20" t="s">
        <v>1281</v>
      </c>
      <c r="C5419" s="19"/>
      <c r="D5419" s="19" t="s">
        <v>1281</v>
      </c>
      <c r="E5419" s="19" t="str">
        <f>VLOOKUP(D5419,'لیست پرسنل'!$B$2:$E$1020,3,FALSE)</f>
        <v>خیریه</v>
      </c>
      <c r="F5419" s="19" t="str">
        <f>VLOOKUP(D5419,'لیست پرسنل'!$B$2:$E$1020,4,FALSE)</f>
        <v>خیریه</v>
      </c>
      <c r="G5419" s="127">
        <f>VLOOKUP(D5419,'لیست پرسنل'!$B$2:$F$1020,2,FALSE)</f>
        <v>0</v>
      </c>
      <c r="H5419" s="126" t="s">
        <v>4649</v>
      </c>
      <c r="I5419" s="128" t="s">
        <v>1281</v>
      </c>
      <c r="J5419" s="127" t="s">
        <v>571</v>
      </c>
      <c r="K5419" s="126" t="s">
        <v>410</v>
      </c>
      <c r="L5419" s="128"/>
      <c r="M5419" s="127">
        <v>622534</v>
      </c>
      <c r="N5419" s="109"/>
      <c r="O5419" s="20"/>
      <c r="P5419" s="20" t="s">
        <v>3834</v>
      </c>
      <c r="Q5419" s="20" t="s">
        <v>5688</v>
      </c>
    </row>
    <row r="5420" spans="1:17" ht="24.9" customHeight="1">
      <c r="A5420" s="20"/>
      <c r="B5420" s="20" t="s">
        <v>1281</v>
      </c>
      <c r="C5420" s="19"/>
      <c r="D5420" s="19" t="s">
        <v>1281</v>
      </c>
      <c r="E5420" s="19" t="str">
        <f>VLOOKUP(D5420,'لیست پرسنل'!$B$2:$E$1020,3,FALSE)</f>
        <v>خیریه</v>
      </c>
      <c r="F5420" s="19" t="str">
        <f>VLOOKUP(D5420,'لیست پرسنل'!$B$2:$E$1020,4,FALSE)</f>
        <v>خیریه</v>
      </c>
      <c r="G5420" s="127">
        <f>VLOOKUP(D5420,'لیست پرسنل'!$B$2:$F$1020,2,FALSE)</f>
        <v>0</v>
      </c>
      <c r="H5420" s="126" t="s">
        <v>4649</v>
      </c>
      <c r="I5420" s="128" t="s">
        <v>1281</v>
      </c>
      <c r="J5420" s="128" t="s">
        <v>2686</v>
      </c>
      <c r="K5420" s="127" t="s">
        <v>1322</v>
      </c>
      <c r="L5420" s="151" t="s">
        <v>1321</v>
      </c>
      <c r="M5420" s="127">
        <v>601560</v>
      </c>
      <c r="N5420" s="108"/>
      <c r="O5420" s="20"/>
      <c r="P5420" s="20" t="s">
        <v>3834</v>
      </c>
      <c r="Q5420" s="20" t="s">
        <v>5688</v>
      </c>
    </row>
    <row r="5421" spans="1:17" ht="24.9" customHeight="1">
      <c r="A5421" s="20"/>
      <c r="B5421" s="20" t="s">
        <v>1281</v>
      </c>
      <c r="C5421" s="19"/>
      <c r="D5421" s="20" t="s">
        <v>1281</v>
      </c>
      <c r="E5421" s="19" t="str">
        <f>VLOOKUP(D5421,'لیست پرسنل'!$B$2:$E$1020,3,FALSE)</f>
        <v>خیریه</v>
      </c>
      <c r="F5421" s="19" t="str">
        <f>VLOOKUP(D5421,'لیست پرسنل'!$B$2:$E$1020,4,FALSE)</f>
        <v>خیریه</v>
      </c>
      <c r="G5421" s="127">
        <f>VLOOKUP(D5421,'لیست پرسنل'!$B$2:$F$1020,2,FALSE)</f>
        <v>0</v>
      </c>
      <c r="H5421" s="126" t="s">
        <v>4649</v>
      </c>
      <c r="I5421" s="128" t="s">
        <v>1281</v>
      </c>
      <c r="J5421" s="128" t="s">
        <v>2686</v>
      </c>
      <c r="K5421" s="127" t="s">
        <v>673</v>
      </c>
      <c r="L5421" s="151" t="s">
        <v>3136</v>
      </c>
      <c r="M5421" s="128">
        <v>601567</v>
      </c>
      <c r="N5421" s="108"/>
      <c r="O5421" s="20" t="s">
        <v>4647</v>
      </c>
      <c r="P5421" s="20" t="s">
        <v>3834</v>
      </c>
      <c r="Q5421" s="20" t="s">
        <v>5686</v>
      </c>
    </row>
    <row r="5422" spans="1:17" ht="24.9" customHeight="1">
      <c r="A5422" s="20"/>
      <c r="B5422" s="20" t="s">
        <v>1281</v>
      </c>
      <c r="C5422" s="19"/>
      <c r="D5422" s="19" t="s">
        <v>1281</v>
      </c>
      <c r="E5422" s="19" t="str">
        <f>VLOOKUP(D5422,'لیست پرسنل'!$B$2:$E$1020,3,FALSE)</f>
        <v>خیریه</v>
      </c>
      <c r="F5422" s="19" t="str">
        <f>VLOOKUP(D5422,'لیست پرسنل'!$B$2:$E$1020,4,FALSE)</f>
        <v>خیریه</v>
      </c>
      <c r="G5422" s="127">
        <f>VLOOKUP(D5422,'لیست پرسنل'!$B$2:$F$1020,2,FALSE)</f>
        <v>0</v>
      </c>
      <c r="H5422" s="126" t="s">
        <v>4649</v>
      </c>
      <c r="I5422" s="128" t="s">
        <v>1281</v>
      </c>
      <c r="J5422" s="128" t="s">
        <v>2686</v>
      </c>
      <c r="K5422" s="127" t="s">
        <v>1504</v>
      </c>
      <c r="L5422" s="151" t="s">
        <v>1433</v>
      </c>
      <c r="M5422" s="127">
        <v>604309</v>
      </c>
      <c r="N5422" s="108"/>
      <c r="O5422" s="20"/>
      <c r="P5422" s="20" t="s">
        <v>3834</v>
      </c>
      <c r="Q5422" s="20" t="s">
        <v>5688</v>
      </c>
    </row>
    <row r="5423" spans="1:17" ht="24.9" customHeight="1">
      <c r="A5423" s="20"/>
      <c r="B5423" s="20" t="s">
        <v>1281</v>
      </c>
      <c r="C5423" s="19"/>
      <c r="D5423" s="19" t="s">
        <v>1281</v>
      </c>
      <c r="E5423" s="19" t="str">
        <f>VLOOKUP(D5423,'لیست پرسنل'!$B$2:$E$1020,3,FALSE)</f>
        <v>خیریه</v>
      </c>
      <c r="F5423" s="19" t="str">
        <f>VLOOKUP(D5423,'لیست پرسنل'!$B$2:$E$1020,4,FALSE)</f>
        <v>خیریه</v>
      </c>
      <c r="G5423" s="127">
        <f>VLOOKUP(D5423,'لیست پرسنل'!$B$2:$F$1020,2,FALSE)</f>
        <v>0</v>
      </c>
      <c r="H5423" s="126" t="s">
        <v>4649</v>
      </c>
      <c r="I5423" s="128" t="s">
        <v>1281</v>
      </c>
      <c r="J5423" s="128" t="s">
        <v>2686</v>
      </c>
      <c r="K5423" s="127" t="s">
        <v>852</v>
      </c>
      <c r="L5423" s="151" t="s">
        <v>1009</v>
      </c>
      <c r="M5423" s="127">
        <v>605587</v>
      </c>
      <c r="N5423" s="112"/>
      <c r="O5423" s="66"/>
      <c r="P5423" s="20" t="s">
        <v>3834</v>
      </c>
      <c r="Q5423" s="20" t="s">
        <v>5688</v>
      </c>
    </row>
    <row r="5424" spans="1:17" ht="24.9" customHeight="1">
      <c r="A5424" s="20"/>
      <c r="B5424" s="20" t="s">
        <v>1281</v>
      </c>
      <c r="C5424" s="19"/>
      <c r="D5424" s="20" t="s">
        <v>1281</v>
      </c>
      <c r="E5424" s="19" t="str">
        <f>VLOOKUP(D5424,'لیست پرسنل'!$B$2:$E$1020,3,FALSE)</f>
        <v>خیریه</v>
      </c>
      <c r="F5424" s="19" t="str">
        <f>VLOOKUP(D5424,'لیست پرسنل'!$B$2:$E$1020,4,FALSE)</f>
        <v>خیریه</v>
      </c>
      <c r="G5424" s="127">
        <f>VLOOKUP(D5424,'لیست پرسنل'!$B$2:$F$1020,2,FALSE)</f>
        <v>0</v>
      </c>
      <c r="H5424" s="126" t="s">
        <v>4649</v>
      </c>
      <c r="I5424" s="128" t="s">
        <v>1281</v>
      </c>
      <c r="J5424" s="128" t="s">
        <v>2686</v>
      </c>
      <c r="K5424" s="128" t="s">
        <v>943</v>
      </c>
      <c r="L5424" s="150" t="s">
        <v>944</v>
      </c>
      <c r="M5424" s="127">
        <v>605607</v>
      </c>
      <c r="N5424" s="108"/>
      <c r="O5424" s="66" t="s">
        <v>4648</v>
      </c>
      <c r="P5424" s="20" t="s">
        <v>3834</v>
      </c>
      <c r="Q5424" s="20" t="s">
        <v>5686</v>
      </c>
    </row>
    <row r="5425" spans="1:17" ht="24.9" customHeight="1">
      <c r="A5425" s="20"/>
      <c r="B5425" s="20" t="s">
        <v>1281</v>
      </c>
      <c r="C5425" s="19"/>
      <c r="D5425" s="20" t="s">
        <v>1281</v>
      </c>
      <c r="E5425" s="19" t="str">
        <f>VLOOKUP(D5425,'لیست پرسنل'!$B$2:$E$1020,3,FALSE)</f>
        <v>خیریه</v>
      </c>
      <c r="F5425" s="19" t="str">
        <f>VLOOKUP(D5425,'لیست پرسنل'!$B$2:$E$1020,4,FALSE)</f>
        <v>خیریه</v>
      </c>
      <c r="G5425" s="127">
        <f>VLOOKUP(D5425,'لیست پرسنل'!$B$2:$F$1020,2,FALSE)</f>
        <v>0</v>
      </c>
      <c r="H5425" s="126" t="s">
        <v>4649</v>
      </c>
      <c r="I5425" s="128" t="s">
        <v>1281</v>
      </c>
      <c r="J5425" s="128" t="s">
        <v>2686</v>
      </c>
      <c r="K5425" s="126" t="s">
        <v>3235</v>
      </c>
      <c r="L5425" s="164" t="s">
        <v>3236</v>
      </c>
      <c r="M5425" s="128">
        <v>606687</v>
      </c>
      <c r="N5425" s="108"/>
      <c r="O5425" s="66" t="s">
        <v>4647</v>
      </c>
      <c r="P5425" s="20" t="s">
        <v>3834</v>
      </c>
      <c r="Q5425" s="20" t="s">
        <v>5686</v>
      </c>
    </row>
    <row r="5426" spans="1:17" ht="24.9" customHeight="1">
      <c r="A5426" s="20"/>
      <c r="B5426" s="20" t="s">
        <v>1281</v>
      </c>
      <c r="C5426" s="19"/>
      <c r="D5426" s="19" t="s">
        <v>1281</v>
      </c>
      <c r="E5426" s="19" t="str">
        <f>VLOOKUP(D5426,'لیست پرسنل'!$B$2:$E$1020,3,FALSE)</f>
        <v>خیریه</v>
      </c>
      <c r="F5426" s="19" t="str">
        <f>VLOOKUP(D5426,'لیست پرسنل'!$B$2:$E$1020,4,FALSE)</f>
        <v>خیریه</v>
      </c>
      <c r="G5426" s="127">
        <f>VLOOKUP(D5426,'لیست پرسنل'!$B$2:$F$1020,2,FALSE)</f>
        <v>0</v>
      </c>
      <c r="H5426" s="126" t="s">
        <v>4649</v>
      </c>
      <c r="I5426" s="128" t="s">
        <v>1281</v>
      </c>
      <c r="J5426" s="128" t="s">
        <v>2686</v>
      </c>
      <c r="K5426" s="127" t="s">
        <v>852</v>
      </c>
      <c r="L5426" s="151" t="s">
        <v>1088</v>
      </c>
      <c r="M5426" s="127">
        <v>607306</v>
      </c>
      <c r="N5426" s="112"/>
      <c r="O5426" s="66"/>
      <c r="P5426" s="20" t="s">
        <v>3834</v>
      </c>
      <c r="Q5426" s="20" t="s">
        <v>5688</v>
      </c>
    </row>
    <row r="5427" spans="1:17" ht="24.9" customHeight="1">
      <c r="A5427" s="20"/>
      <c r="B5427" s="20" t="s">
        <v>1281</v>
      </c>
      <c r="C5427" s="19"/>
      <c r="D5427" s="20" t="s">
        <v>1281</v>
      </c>
      <c r="E5427" s="19" t="str">
        <f>VLOOKUP(D5427,'لیست پرسنل'!$B$2:$E$1020,3,FALSE)</f>
        <v>خیریه</v>
      </c>
      <c r="F5427" s="19" t="str">
        <f>VLOOKUP(D5427,'لیست پرسنل'!$B$2:$E$1020,4,FALSE)</f>
        <v>خیریه</v>
      </c>
      <c r="G5427" s="127">
        <f>VLOOKUP(D5427,'لیست پرسنل'!$B$2:$F$1020,2,FALSE)</f>
        <v>0</v>
      </c>
      <c r="H5427" s="126" t="s">
        <v>4649</v>
      </c>
      <c r="I5427" s="128" t="s">
        <v>1281</v>
      </c>
      <c r="J5427" s="128" t="s">
        <v>2686</v>
      </c>
      <c r="K5427" s="127" t="s">
        <v>621</v>
      </c>
      <c r="L5427" s="151" t="s">
        <v>1950</v>
      </c>
      <c r="M5427" s="128">
        <v>607688</v>
      </c>
      <c r="N5427" s="112"/>
      <c r="O5427" s="66" t="s">
        <v>4647</v>
      </c>
      <c r="P5427" s="20" t="s">
        <v>3834</v>
      </c>
      <c r="Q5427" s="20" t="s">
        <v>5686</v>
      </c>
    </row>
    <row r="5428" spans="1:17" ht="24.9" customHeight="1">
      <c r="A5428" s="20"/>
      <c r="B5428" s="20" t="s">
        <v>1281</v>
      </c>
      <c r="C5428" s="19"/>
      <c r="D5428" s="19" t="s">
        <v>1281</v>
      </c>
      <c r="E5428" s="19" t="str">
        <f>VLOOKUP(D5428,'لیست پرسنل'!$B$2:$E$1020,3,FALSE)</f>
        <v>خیریه</v>
      </c>
      <c r="F5428" s="19" t="str">
        <f>VLOOKUP(D5428,'لیست پرسنل'!$B$2:$E$1020,4,FALSE)</f>
        <v>خیریه</v>
      </c>
      <c r="G5428" s="127">
        <f>VLOOKUP(D5428,'لیست پرسنل'!$B$2:$F$1020,2,FALSE)</f>
        <v>0</v>
      </c>
      <c r="H5428" s="126" t="s">
        <v>4649</v>
      </c>
      <c r="I5428" s="128" t="s">
        <v>1281</v>
      </c>
      <c r="J5428" s="128" t="s">
        <v>2686</v>
      </c>
      <c r="K5428" s="141" t="s">
        <v>606</v>
      </c>
      <c r="L5428" s="151" t="s">
        <v>3815</v>
      </c>
      <c r="M5428" s="128">
        <v>608620</v>
      </c>
      <c r="N5428" s="112"/>
      <c r="O5428" s="66"/>
      <c r="P5428" s="20" t="s">
        <v>3834</v>
      </c>
      <c r="Q5428" s="20" t="s">
        <v>5688</v>
      </c>
    </row>
    <row r="5429" spans="1:17" ht="24.9" customHeight="1">
      <c r="A5429" s="20"/>
      <c r="B5429" s="20" t="s">
        <v>1281</v>
      </c>
      <c r="C5429" s="19"/>
      <c r="D5429" s="20" t="s">
        <v>1281</v>
      </c>
      <c r="E5429" s="19" t="str">
        <f>VLOOKUP(D5429,'لیست پرسنل'!$B$2:$E$1020,3,FALSE)</f>
        <v>خیریه</v>
      </c>
      <c r="F5429" s="19" t="str">
        <f>VLOOKUP(D5429,'لیست پرسنل'!$B$2:$E$1020,4,FALSE)</f>
        <v>خیریه</v>
      </c>
      <c r="G5429" s="127">
        <f>VLOOKUP(D5429,'لیست پرسنل'!$B$2:$F$1020,2,FALSE)</f>
        <v>0</v>
      </c>
      <c r="H5429" s="126" t="s">
        <v>4649</v>
      </c>
      <c r="I5429" s="128" t="s">
        <v>1281</v>
      </c>
      <c r="J5429" s="128" t="s">
        <v>2686</v>
      </c>
      <c r="K5429" s="127" t="s">
        <v>346</v>
      </c>
      <c r="L5429" s="151" t="s">
        <v>968</v>
      </c>
      <c r="M5429" s="127">
        <v>610115</v>
      </c>
      <c r="N5429" s="112"/>
      <c r="O5429" s="66" t="s">
        <v>4647</v>
      </c>
      <c r="P5429" s="20" t="s">
        <v>3834</v>
      </c>
      <c r="Q5429" s="20" t="s">
        <v>5686</v>
      </c>
    </row>
    <row r="5430" spans="1:17" ht="24.9" customHeight="1">
      <c r="A5430" s="20"/>
      <c r="B5430" s="20" t="s">
        <v>1281</v>
      </c>
      <c r="C5430" s="20"/>
      <c r="D5430" s="20" t="s">
        <v>1281</v>
      </c>
      <c r="E5430" s="19" t="str">
        <f>VLOOKUP(D5430,'لیست پرسنل'!$B$2:$E$1020,3,FALSE)</f>
        <v>خیریه</v>
      </c>
      <c r="F5430" s="19" t="str">
        <f>VLOOKUP(D5430,'لیست پرسنل'!$B$2:$E$1020,4,FALSE)</f>
        <v>خیریه</v>
      </c>
      <c r="G5430" s="127">
        <f>VLOOKUP(D5430,'لیست پرسنل'!$B$2:$F$1020,2,FALSE)</f>
        <v>0</v>
      </c>
      <c r="H5430" s="126" t="s">
        <v>4512</v>
      </c>
      <c r="I5430" s="128" t="s">
        <v>1281</v>
      </c>
      <c r="J5430" s="141" t="s">
        <v>571</v>
      </c>
      <c r="K5430" s="127" t="s">
        <v>571</v>
      </c>
      <c r="L5430" s="151"/>
      <c r="M5430" s="132">
        <v>601679</v>
      </c>
      <c r="N5430" s="112"/>
      <c r="O5430" s="85" t="s">
        <v>4514</v>
      </c>
      <c r="P5430" s="20" t="s">
        <v>3834</v>
      </c>
      <c r="Q5430" s="20" t="s">
        <v>5687</v>
      </c>
    </row>
    <row r="5431" spans="1:17" ht="24.9" customHeight="1">
      <c r="A5431" s="20"/>
      <c r="B5431" s="20" t="s">
        <v>1281</v>
      </c>
      <c r="C5431" s="20"/>
      <c r="D5431" s="20" t="s">
        <v>1281</v>
      </c>
      <c r="E5431" s="19" t="str">
        <f>VLOOKUP(D5431,'لیست پرسنل'!$B$2:$E$1020,3,FALSE)</f>
        <v>خیریه</v>
      </c>
      <c r="F5431" s="19" t="str">
        <f>VLOOKUP(D5431,'لیست پرسنل'!$B$2:$E$1020,4,FALSE)</f>
        <v>خیریه</v>
      </c>
      <c r="G5431" s="127">
        <f>VLOOKUP(D5431,'لیست پرسنل'!$B$2:$F$1020,2,FALSE)</f>
        <v>0</v>
      </c>
      <c r="H5431" s="126" t="s">
        <v>4512</v>
      </c>
      <c r="I5431" s="128" t="s">
        <v>1281</v>
      </c>
      <c r="J5431" s="141" t="s">
        <v>571</v>
      </c>
      <c r="K5431" s="126" t="s">
        <v>410</v>
      </c>
      <c r="L5431" s="151" t="s">
        <v>2919</v>
      </c>
      <c r="M5431" s="127">
        <v>603260</v>
      </c>
      <c r="N5431" s="112"/>
      <c r="O5431" s="85" t="s">
        <v>4514</v>
      </c>
      <c r="P5431" s="20" t="s">
        <v>3834</v>
      </c>
      <c r="Q5431" s="20" t="s">
        <v>5687</v>
      </c>
    </row>
    <row r="5432" spans="1:17" ht="24.9" customHeight="1">
      <c r="A5432" s="20"/>
      <c r="B5432" s="20" t="s">
        <v>1281</v>
      </c>
      <c r="C5432" s="20"/>
      <c r="D5432" s="20" t="s">
        <v>1281</v>
      </c>
      <c r="E5432" s="19" t="str">
        <f>VLOOKUP(D5432,'لیست پرسنل'!$B$2:$E$1020,3,FALSE)</f>
        <v>خیریه</v>
      </c>
      <c r="F5432" s="19" t="str">
        <f>VLOOKUP(D5432,'لیست پرسنل'!$B$2:$E$1020,4,FALSE)</f>
        <v>خیریه</v>
      </c>
      <c r="G5432" s="127">
        <f>VLOOKUP(D5432,'لیست پرسنل'!$B$2:$F$1020,2,FALSE)</f>
        <v>0</v>
      </c>
      <c r="H5432" s="126" t="s">
        <v>4512</v>
      </c>
      <c r="I5432" s="128" t="s">
        <v>1281</v>
      </c>
      <c r="J5432" s="141" t="s">
        <v>571</v>
      </c>
      <c r="K5432" s="135" t="s">
        <v>571</v>
      </c>
      <c r="L5432" s="151" t="s">
        <v>2196</v>
      </c>
      <c r="M5432" s="131">
        <v>604308</v>
      </c>
      <c r="N5432" s="112"/>
      <c r="O5432" s="85" t="s">
        <v>4514</v>
      </c>
      <c r="P5432" s="20" t="s">
        <v>3834</v>
      </c>
      <c r="Q5432" s="20" t="s">
        <v>5687</v>
      </c>
    </row>
    <row r="5433" spans="1:17" ht="24.9" customHeight="1">
      <c r="A5433" s="20"/>
      <c r="B5433" s="20" t="s">
        <v>1281</v>
      </c>
      <c r="C5433" s="20"/>
      <c r="D5433" s="20" t="s">
        <v>1281</v>
      </c>
      <c r="E5433" s="19" t="str">
        <f>VLOOKUP(D5433,'لیست پرسنل'!$B$2:$E$1020,3,FALSE)</f>
        <v>خیریه</v>
      </c>
      <c r="F5433" s="19" t="str">
        <f>VLOOKUP(D5433,'لیست پرسنل'!$B$2:$E$1020,4,FALSE)</f>
        <v>خیریه</v>
      </c>
      <c r="G5433" s="127">
        <f>VLOOKUP(D5433,'لیست پرسنل'!$B$2:$F$1020,2,FALSE)</f>
        <v>0</v>
      </c>
      <c r="H5433" s="126" t="s">
        <v>4512</v>
      </c>
      <c r="I5433" s="128" t="s">
        <v>1281</v>
      </c>
      <c r="J5433" s="141" t="s">
        <v>571</v>
      </c>
      <c r="K5433" s="127" t="s">
        <v>571</v>
      </c>
      <c r="L5433" s="151"/>
      <c r="M5433" s="128">
        <v>605220</v>
      </c>
      <c r="N5433" s="112"/>
      <c r="O5433" s="85" t="s">
        <v>4514</v>
      </c>
      <c r="P5433" s="20" t="s">
        <v>3834</v>
      </c>
      <c r="Q5433" s="20" t="s">
        <v>5687</v>
      </c>
    </row>
    <row r="5434" spans="1:17" ht="24.9" customHeight="1">
      <c r="A5434" s="20"/>
      <c r="B5434" s="20" t="s">
        <v>1281</v>
      </c>
      <c r="C5434" s="20"/>
      <c r="D5434" s="20" t="s">
        <v>1281</v>
      </c>
      <c r="E5434" s="19" t="str">
        <f>VLOOKUP(D5434,'لیست پرسنل'!$B$2:$E$1020,3,FALSE)</f>
        <v>خیریه</v>
      </c>
      <c r="F5434" s="19" t="str">
        <f>VLOOKUP(D5434,'لیست پرسنل'!$B$2:$E$1020,4,FALSE)</f>
        <v>خیریه</v>
      </c>
      <c r="G5434" s="127">
        <f>VLOOKUP(D5434,'لیست پرسنل'!$B$2:$F$1020,2,FALSE)</f>
        <v>0</v>
      </c>
      <c r="H5434" s="126" t="s">
        <v>4512</v>
      </c>
      <c r="I5434" s="128" t="s">
        <v>1281</v>
      </c>
      <c r="J5434" s="141" t="s">
        <v>571</v>
      </c>
      <c r="K5434" s="126" t="s">
        <v>410</v>
      </c>
      <c r="L5434" s="151" t="s">
        <v>477</v>
      </c>
      <c r="M5434" s="127">
        <v>605611</v>
      </c>
      <c r="N5434" s="112"/>
      <c r="O5434" s="85" t="s">
        <v>4514</v>
      </c>
      <c r="P5434" s="20" t="s">
        <v>3834</v>
      </c>
      <c r="Q5434" s="20" t="s">
        <v>5687</v>
      </c>
    </row>
    <row r="5435" spans="1:17" ht="24.9" customHeight="1">
      <c r="A5435" s="20"/>
      <c r="B5435" s="20" t="s">
        <v>1281</v>
      </c>
      <c r="C5435" s="20"/>
      <c r="D5435" s="20" t="s">
        <v>1281</v>
      </c>
      <c r="E5435" s="19" t="str">
        <f>VLOOKUP(D5435,'لیست پرسنل'!$B$2:$E$1020,3,FALSE)</f>
        <v>خیریه</v>
      </c>
      <c r="F5435" s="19" t="str">
        <f>VLOOKUP(D5435,'لیست پرسنل'!$B$2:$E$1020,4,FALSE)</f>
        <v>خیریه</v>
      </c>
      <c r="G5435" s="127">
        <f>VLOOKUP(D5435,'لیست پرسنل'!$B$2:$F$1020,2,FALSE)</f>
        <v>0</v>
      </c>
      <c r="H5435" s="126" t="s">
        <v>4512</v>
      </c>
      <c r="I5435" s="128" t="s">
        <v>1281</v>
      </c>
      <c r="J5435" s="141" t="s">
        <v>571</v>
      </c>
      <c r="K5435" s="127" t="s">
        <v>571</v>
      </c>
      <c r="L5435" s="151"/>
      <c r="M5435" s="132">
        <v>605774</v>
      </c>
      <c r="N5435" s="112"/>
      <c r="O5435" s="85" t="s">
        <v>4514</v>
      </c>
      <c r="P5435" s="20" t="s">
        <v>3834</v>
      </c>
      <c r="Q5435" s="20" t="s">
        <v>5687</v>
      </c>
    </row>
    <row r="5436" spans="1:17" ht="24.9" customHeight="1">
      <c r="A5436" s="20"/>
      <c r="B5436" s="20" t="s">
        <v>1281</v>
      </c>
      <c r="C5436" s="20"/>
      <c r="D5436" s="20" t="s">
        <v>1281</v>
      </c>
      <c r="E5436" s="19" t="str">
        <f>VLOOKUP(D5436,'لیست پرسنل'!$B$2:$E$1020,3,FALSE)</f>
        <v>خیریه</v>
      </c>
      <c r="F5436" s="19" t="str">
        <f>VLOOKUP(D5436,'لیست پرسنل'!$B$2:$E$1020,4,FALSE)</f>
        <v>خیریه</v>
      </c>
      <c r="G5436" s="127">
        <f>VLOOKUP(D5436,'لیست پرسنل'!$B$2:$F$1020,2,FALSE)</f>
        <v>0</v>
      </c>
      <c r="H5436" s="126" t="s">
        <v>4512</v>
      </c>
      <c r="I5436" s="128" t="s">
        <v>1281</v>
      </c>
      <c r="J5436" s="141" t="s">
        <v>571</v>
      </c>
      <c r="K5436" s="126" t="s">
        <v>410</v>
      </c>
      <c r="L5436" s="151" t="s">
        <v>75</v>
      </c>
      <c r="M5436" s="127">
        <v>606437</v>
      </c>
      <c r="N5436" s="112"/>
      <c r="O5436" s="85" t="s">
        <v>4514</v>
      </c>
      <c r="P5436" s="20" t="s">
        <v>3834</v>
      </c>
      <c r="Q5436" s="20" t="s">
        <v>5687</v>
      </c>
    </row>
    <row r="5437" spans="1:17" ht="24.9" customHeight="1">
      <c r="A5437" s="20"/>
      <c r="B5437" s="20" t="s">
        <v>1281</v>
      </c>
      <c r="C5437" s="20"/>
      <c r="D5437" s="20" t="s">
        <v>1281</v>
      </c>
      <c r="E5437" s="19" t="str">
        <f>VLOOKUP(D5437,'لیست پرسنل'!$B$2:$E$1020,3,FALSE)</f>
        <v>خیریه</v>
      </c>
      <c r="F5437" s="19" t="str">
        <f>VLOOKUP(D5437,'لیست پرسنل'!$B$2:$E$1020,4,FALSE)</f>
        <v>خیریه</v>
      </c>
      <c r="G5437" s="127">
        <f>VLOOKUP(D5437,'لیست پرسنل'!$B$2:$F$1020,2,FALSE)</f>
        <v>0</v>
      </c>
      <c r="H5437" s="126" t="s">
        <v>4512</v>
      </c>
      <c r="I5437" s="128" t="s">
        <v>1281</v>
      </c>
      <c r="J5437" s="141" t="s">
        <v>571</v>
      </c>
      <c r="K5437" s="135"/>
      <c r="L5437" s="151" t="s">
        <v>109</v>
      </c>
      <c r="M5437" s="131">
        <v>606507</v>
      </c>
      <c r="N5437" s="112"/>
      <c r="O5437" s="85" t="s">
        <v>4514</v>
      </c>
      <c r="P5437" s="20" t="s">
        <v>3834</v>
      </c>
      <c r="Q5437" s="20" t="s">
        <v>5687</v>
      </c>
    </row>
    <row r="5438" spans="1:17" ht="24.9" customHeight="1">
      <c r="A5438" s="20"/>
      <c r="B5438" s="20" t="s">
        <v>1281</v>
      </c>
      <c r="C5438" s="19"/>
      <c r="D5438" s="19" t="s">
        <v>1281</v>
      </c>
      <c r="E5438" s="19" t="str">
        <f>VLOOKUP(D5438,'لیست پرسنل'!$B$2:$E$1020,3,FALSE)</f>
        <v>خیریه</v>
      </c>
      <c r="F5438" s="19" t="str">
        <f>VLOOKUP(D5438,'لیست پرسنل'!$B$2:$E$1020,4,FALSE)</f>
        <v>خیریه</v>
      </c>
      <c r="G5438" s="127">
        <f>VLOOKUP(D5438,'لیست پرسنل'!$B$2:$F$1020,2,FALSE)</f>
        <v>0</v>
      </c>
      <c r="H5438" s="151" t="s">
        <v>4512</v>
      </c>
      <c r="I5438" s="128" t="s">
        <v>1281</v>
      </c>
      <c r="J5438" s="127" t="s">
        <v>571</v>
      </c>
      <c r="K5438" s="127" t="s">
        <v>2054</v>
      </c>
      <c r="L5438" s="151"/>
      <c r="M5438" s="127">
        <v>606515</v>
      </c>
      <c r="N5438" s="110"/>
      <c r="O5438" s="85" t="s">
        <v>4514</v>
      </c>
      <c r="P5438" s="20" t="s">
        <v>3834</v>
      </c>
      <c r="Q5438" s="20" t="s">
        <v>5687</v>
      </c>
    </row>
    <row r="5439" spans="1:17" ht="24.9" customHeight="1">
      <c r="A5439" s="20"/>
      <c r="B5439" s="20" t="s">
        <v>1281</v>
      </c>
      <c r="C5439" s="20"/>
      <c r="D5439" s="20" t="s">
        <v>1281</v>
      </c>
      <c r="E5439" s="19" t="str">
        <f>VLOOKUP(D5439,'لیست پرسنل'!$B$2:$E$1020,3,FALSE)</f>
        <v>خیریه</v>
      </c>
      <c r="F5439" s="19" t="str">
        <f>VLOOKUP(D5439,'لیست پرسنل'!$B$2:$E$1020,4,FALSE)</f>
        <v>خیریه</v>
      </c>
      <c r="G5439" s="127">
        <f>VLOOKUP(D5439,'لیست پرسنل'!$B$2:$F$1020,2,FALSE)</f>
        <v>0</v>
      </c>
      <c r="H5439" s="126" t="s">
        <v>4512</v>
      </c>
      <c r="I5439" s="128" t="s">
        <v>1281</v>
      </c>
      <c r="J5439" s="141" t="s">
        <v>571</v>
      </c>
      <c r="K5439" s="135"/>
      <c r="L5439" s="151" t="s">
        <v>52</v>
      </c>
      <c r="M5439" s="131">
        <v>606518</v>
      </c>
      <c r="N5439" s="112"/>
      <c r="O5439" s="85" t="s">
        <v>4514</v>
      </c>
      <c r="P5439" s="20" t="s">
        <v>3834</v>
      </c>
      <c r="Q5439" s="20" t="s">
        <v>5687</v>
      </c>
    </row>
    <row r="5440" spans="1:17" ht="24.9" customHeight="1">
      <c r="A5440" s="20"/>
      <c r="B5440" s="20" t="s">
        <v>1281</v>
      </c>
      <c r="C5440" s="20"/>
      <c r="D5440" s="20" t="s">
        <v>1281</v>
      </c>
      <c r="E5440" s="19" t="str">
        <f>VLOOKUP(D5440,'لیست پرسنل'!$B$2:$E$1020,3,FALSE)</f>
        <v>خیریه</v>
      </c>
      <c r="F5440" s="19" t="str">
        <f>VLOOKUP(D5440,'لیست پرسنل'!$B$2:$E$1020,4,FALSE)</f>
        <v>خیریه</v>
      </c>
      <c r="G5440" s="127">
        <f>VLOOKUP(D5440,'لیست پرسنل'!$B$2:$F$1020,2,FALSE)</f>
        <v>0</v>
      </c>
      <c r="H5440" s="126" t="s">
        <v>4512</v>
      </c>
      <c r="I5440" s="128" t="s">
        <v>1281</v>
      </c>
      <c r="J5440" s="141" t="s">
        <v>571</v>
      </c>
      <c r="K5440" s="126" t="s">
        <v>410</v>
      </c>
      <c r="L5440" s="151" t="s">
        <v>54</v>
      </c>
      <c r="M5440" s="127">
        <v>607050</v>
      </c>
      <c r="N5440" s="112"/>
      <c r="O5440" s="85" t="s">
        <v>4514</v>
      </c>
      <c r="P5440" s="20" t="s">
        <v>3834</v>
      </c>
      <c r="Q5440" s="20" t="s">
        <v>5687</v>
      </c>
    </row>
    <row r="5441" spans="1:17" ht="24.9" customHeight="1">
      <c r="A5441" s="20"/>
      <c r="B5441" s="20" t="s">
        <v>1281</v>
      </c>
      <c r="C5441" s="20"/>
      <c r="D5441" s="20" t="s">
        <v>1281</v>
      </c>
      <c r="E5441" s="19" t="str">
        <f>VLOOKUP(D5441,'لیست پرسنل'!$B$2:$E$1020,3,FALSE)</f>
        <v>خیریه</v>
      </c>
      <c r="F5441" s="19" t="str">
        <f>VLOOKUP(D5441,'لیست پرسنل'!$B$2:$E$1020,4,FALSE)</f>
        <v>خیریه</v>
      </c>
      <c r="G5441" s="127">
        <f>VLOOKUP(D5441,'لیست پرسنل'!$B$2:$F$1020,2,FALSE)</f>
        <v>0</v>
      </c>
      <c r="H5441" s="126" t="s">
        <v>4512</v>
      </c>
      <c r="I5441" s="128" t="s">
        <v>1281</v>
      </c>
      <c r="J5441" s="141" t="s">
        <v>571</v>
      </c>
      <c r="K5441" s="126" t="s">
        <v>410</v>
      </c>
      <c r="L5441" s="151" t="s">
        <v>2916</v>
      </c>
      <c r="M5441" s="126">
        <v>607342</v>
      </c>
      <c r="N5441" s="112"/>
      <c r="O5441" s="85" t="s">
        <v>4514</v>
      </c>
      <c r="P5441" s="20" t="s">
        <v>3834</v>
      </c>
      <c r="Q5441" s="20" t="s">
        <v>5687</v>
      </c>
    </row>
    <row r="5442" spans="1:17" ht="24.9" customHeight="1">
      <c r="A5442" s="20"/>
      <c r="B5442" s="20" t="s">
        <v>1281</v>
      </c>
      <c r="C5442" s="20"/>
      <c r="D5442" s="20" t="s">
        <v>1281</v>
      </c>
      <c r="E5442" s="19" t="str">
        <f>VLOOKUP(D5442,'لیست پرسنل'!$B$2:$E$1020,3,FALSE)</f>
        <v>خیریه</v>
      </c>
      <c r="F5442" s="19" t="str">
        <f>VLOOKUP(D5442,'لیست پرسنل'!$B$2:$E$1020,4,FALSE)</f>
        <v>خیریه</v>
      </c>
      <c r="G5442" s="127">
        <f>VLOOKUP(D5442,'لیست پرسنل'!$B$2:$F$1020,2,FALSE)</f>
        <v>0</v>
      </c>
      <c r="H5442" s="126" t="s">
        <v>4512</v>
      </c>
      <c r="I5442" s="128" t="s">
        <v>1281</v>
      </c>
      <c r="J5442" s="141" t="s">
        <v>571</v>
      </c>
      <c r="K5442" s="127" t="s">
        <v>571</v>
      </c>
      <c r="L5442" s="151"/>
      <c r="M5442" s="132">
        <v>607345</v>
      </c>
      <c r="N5442" s="112"/>
      <c r="O5442" s="85" t="s">
        <v>4514</v>
      </c>
      <c r="P5442" s="20" t="s">
        <v>3834</v>
      </c>
      <c r="Q5442" s="20" t="s">
        <v>5687</v>
      </c>
    </row>
    <row r="5443" spans="1:17" ht="24.9" customHeight="1">
      <c r="A5443" s="20"/>
      <c r="B5443" s="20" t="s">
        <v>1281</v>
      </c>
      <c r="C5443" s="20"/>
      <c r="D5443" s="20" t="s">
        <v>1281</v>
      </c>
      <c r="E5443" s="19" t="str">
        <f>VLOOKUP(D5443,'لیست پرسنل'!$B$2:$E$1020,3,FALSE)</f>
        <v>خیریه</v>
      </c>
      <c r="F5443" s="19" t="str">
        <f>VLOOKUP(D5443,'لیست پرسنل'!$B$2:$E$1020,4,FALSE)</f>
        <v>خیریه</v>
      </c>
      <c r="G5443" s="127">
        <f>VLOOKUP(D5443,'لیست پرسنل'!$B$2:$F$1020,2,FALSE)</f>
        <v>0</v>
      </c>
      <c r="H5443" s="126" t="s">
        <v>4512</v>
      </c>
      <c r="I5443" s="128" t="s">
        <v>1281</v>
      </c>
      <c r="J5443" s="141" t="s">
        <v>571</v>
      </c>
      <c r="K5443" s="135"/>
      <c r="L5443" s="151" t="s">
        <v>2214</v>
      </c>
      <c r="M5443" s="131">
        <v>607536</v>
      </c>
      <c r="N5443" s="112"/>
      <c r="O5443" s="85" t="s">
        <v>4514</v>
      </c>
      <c r="P5443" s="20" t="s">
        <v>3834</v>
      </c>
      <c r="Q5443" s="20" t="s">
        <v>5687</v>
      </c>
    </row>
    <row r="5444" spans="1:17" ht="24.9" customHeight="1">
      <c r="A5444" s="20"/>
      <c r="B5444" s="20" t="s">
        <v>1281</v>
      </c>
      <c r="C5444" s="20"/>
      <c r="D5444" s="20" t="s">
        <v>1281</v>
      </c>
      <c r="E5444" s="19" t="str">
        <f>VLOOKUP(D5444,'لیست پرسنل'!$B$2:$E$1020,3,FALSE)</f>
        <v>خیریه</v>
      </c>
      <c r="F5444" s="19" t="str">
        <f>VLOOKUP(D5444,'لیست پرسنل'!$B$2:$E$1020,4,FALSE)</f>
        <v>خیریه</v>
      </c>
      <c r="G5444" s="127">
        <f>VLOOKUP(D5444,'لیست پرسنل'!$B$2:$F$1020,2,FALSE)</f>
        <v>0</v>
      </c>
      <c r="H5444" s="126" t="s">
        <v>4512</v>
      </c>
      <c r="I5444" s="128" t="s">
        <v>1281</v>
      </c>
      <c r="J5444" s="141" t="s">
        <v>571</v>
      </c>
      <c r="K5444" s="126" t="s">
        <v>410</v>
      </c>
      <c r="L5444" s="151" t="s">
        <v>476</v>
      </c>
      <c r="M5444" s="128">
        <v>607944</v>
      </c>
      <c r="N5444" s="112"/>
      <c r="O5444" s="85" t="s">
        <v>4514</v>
      </c>
      <c r="P5444" s="20" t="s">
        <v>3834</v>
      </c>
      <c r="Q5444" s="20" t="s">
        <v>5687</v>
      </c>
    </row>
    <row r="5445" spans="1:17" ht="24.9" customHeight="1">
      <c r="A5445" s="20"/>
      <c r="B5445" s="20" t="s">
        <v>1281</v>
      </c>
      <c r="C5445" s="20"/>
      <c r="D5445" s="20" t="s">
        <v>1281</v>
      </c>
      <c r="E5445" s="19" t="str">
        <f>VLOOKUP(D5445,'لیست پرسنل'!$B$2:$E$1020,3,FALSE)</f>
        <v>خیریه</v>
      </c>
      <c r="F5445" s="19" t="str">
        <f>VLOOKUP(D5445,'لیست پرسنل'!$B$2:$E$1020,4,FALSE)</f>
        <v>خیریه</v>
      </c>
      <c r="G5445" s="127">
        <f>VLOOKUP(D5445,'لیست پرسنل'!$B$2:$F$1020,2,FALSE)</f>
        <v>0</v>
      </c>
      <c r="H5445" s="126" t="s">
        <v>4512</v>
      </c>
      <c r="I5445" s="128" t="s">
        <v>1281</v>
      </c>
      <c r="J5445" s="127" t="s">
        <v>571</v>
      </c>
      <c r="K5445" s="127" t="s">
        <v>2054</v>
      </c>
      <c r="L5445" s="151"/>
      <c r="M5445" s="127">
        <v>608695</v>
      </c>
      <c r="N5445" s="110"/>
      <c r="O5445" s="85" t="s">
        <v>4514</v>
      </c>
      <c r="P5445" s="20" t="s">
        <v>3834</v>
      </c>
      <c r="Q5445" s="20" t="s">
        <v>5687</v>
      </c>
    </row>
    <row r="5446" spans="1:17" ht="24.9" customHeight="1">
      <c r="A5446" s="20"/>
      <c r="B5446" s="20" t="s">
        <v>1281</v>
      </c>
      <c r="C5446" s="20"/>
      <c r="D5446" s="20" t="s">
        <v>1281</v>
      </c>
      <c r="E5446" s="19" t="str">
        <f>VLOOKUP(D5446,'لیست پرسنل'!$B$2:$E$1020,3,FALSE)</f>
        <v>خیریه</v>
      </c>
      <c r="F5446" s="19" t="str">
        <f>VLOOKUP(D5446,'لیست پرسنل'!$B$2:$E$1020,4,FALSE)</f>
        <v>خیریه</v>
      </c>
      <c r="G5446" s="127">
        <f>VLOOKUP(D5446,'لیست پرسنل'!$B$2:$F$1020,2,FALSE)</f>
        <v>0</v>
      </c>
      <c r="H5446" s="126" t="s">
        <v>4512</v>
      </c>
      <c r="I5446" s="128" t="s">
        <v>1281</v>
      </c>
      <c r="J5446" s="141" t="s">
        <v>571</v>
      </c>
      <c r="K5446" s="126" t="s">
        <v>410</v>
      </c>
      <c r="L5446" s="151" t="s">
        <v>76</v>
      </c>
      <c r="M5446" s="127">
        <v>608698</v>
      </c>
      <c r="N5446" s="112"/>
      <c r="O5446" s="85" t="s">
        <v>4514</v>
      </c>
      <c r="P5446" s="20" t="s">
        <v>3834</v>
      </c>
      <c r="Q5446" s="20" t="s">
        <v>5687</v>
      </c>
    </row>
    <row r="5447" spans="1:17" ht="24.9" customHeight="1">
      <c r="A5447" s="20"/>
      <c r="B5447" s="20" t="s">
        <v>1281</v>
      </c>
      <c r="C5447" s="20"/>
      <c r="D5447" s="20" t="s">
        <v>1281</v>
      </c>
      <c r="E5447" s="19" t="str">
        <f>VLOOKUP(D5447,'لیست پرسنل'!$B$2:$E$1020,3,FALSE)</f>
        <v>خیریه</v>
      </c>
      <c r="F5447" s="19" t="str">
        <f>VLOOKUP(D5447,'لیست پرسنل'!$B$2:$E$1020,4,FALSE)</f>
        <v>خیریه</v>
      </c>
      <c r="G5447" s="127">
        <f>VLOOKUP(D5447,'لیست پرسنل'!$B$2:$F$1020,2,FALSE)</f>
        <v>0</v>
      </c>
      <c r="H5447" s="126" t="s">
        <v>4512</v>
      </c>
      <c r="I5447" s="128" t="s">
        <v>1281</v>
      </c>
      <c r="J5447" s="141" t="s">
        <v>571</v>
      </c>
      <c r="K5447" s="126" t="s">
        <v>410</v>
      </c>
      <c r="L5447" s="151" t="s">
        <v>411</v>
      </c>
      <c r="M5447" s="126">
        <v>608762</v>
      </c>
      <c r="N5447" s="112"/>
      <c r="O5447" s="85" t="s">
        <v>4514</v>
      </c>
      <c r="P5447" s="20" t="s">
        <v>3834</v>
      </c>
      <c r="Q5447" s="20" t="s">
        <v>5687</v>
      </c>
    </row>
    <row r="5448" spans="1:17" ht="24.9" customHeight="1">
      <c r="A5448" s="20"/>
      <c r="B5448" s="20" t="s">
        <v>1281</v>
      </c>
      <c r="C5448" s="20"/>
      <c r="D5448" s="20" t="s">
        <v>1281</v>
      </c>
      <c r="E5448" s="19" t="str">
        <f>VLOOKUP(D5448,'لیست پرسنل'!$B$2:$E$1020,3,FALSE)</f>
        <v>خیریه</v>
      </c>
      <c r="F5448" s="19" t="str">
        <f>VLOOKUP(D5448,'لیست پرسنل'!$B$2:$E$1020,4,FALSE)</f>
        <v>خیریه</v>
      </c>
      <c r="G5448" s="127">
        <f>VLOOKUP(D5448,'لیست پرسنل'!$B$2:$F$1020,2,FALSE)</f>
        <v>0</v>
      </c>
      <c r="H5448" s="126" t="s">
        <v>4512</v>
      </c>
      <c r="I5448" s="128" t="s">
        <v>1281</v>
      </c>
      <c r="J5448" s="141" t="s">
        <v>571</v>
      </c>
      <c r="K5448" s="126" t="s">
        <v>410</v>
      </c>
      <c r="L5448" s="151" t="s">
        <v>57</v>
      </c>
      <c r="M5448" s="127">
        <v>609001</v>
      </c>
      <c r="N5448" s="112"/>
      <c r="O5448" s="85" t="s">
        <v>4514</v>
      </c>
      <c r="P5448" s="20" t="s">
        <v>3834</v>
      </c>
      <c r="Q5448" s="20" t="s">
        <v>5687</v>
      </c>
    </row>
    <row r="5449" spans="1:17" ht="24.9" customHeight="1">
      <c r="A5449" s="20"/>
      <c r="B5449" s="20" t="s">
        <v>1281</v>
      </c>
      <c r="C5449" s="20"/>
      <c r="D5449" s="20" t="s">
        <v>1281</v>
      </c>
      <c r="E5449" s="19" t="str">
        <f>VLOOKUP(D5449,'لیست پرسنل'!$B$2:$E$1020,3,FALSE)</f>
        <v>خیریه</v>
      </c>
      <c r="F5449" s="19" t="str">
        <f>VLOOKUP(D5449,'لیست پرسنل'!$B$2:$E$1020,4,FALSE)</f>
        <v>خیریه</v>
      </c>
      <c r="G5449" s="127">
        <f>VLOOKUP(D5449,'لیست پرسنل'!$B$2:$F$1020,2,FALSE)</f>
        <v>0</v>
      </c>
      <c r="H5449" s="126" t="s">
        <v>4512</v>
      </c>
      <c r="I5449" s="128" t="s">
        <v>1281</v>
      </c>
      <c r="J5449" s="141" t="s">
        <v>571</v>
      </c>
      <c r="K5449" s="127" t="s">
        <v>571</v>
      </c>
      <c r="L5449" s="151"/>
      <c r="M5449" s="132">
        <v>609131</v>
      </c>
      <c r="N5449" s="112"/>
      <c r="O5449" s="85" t="s">
        <v>4514</v>
      </c>
      <c r="P5449" s="20" t="s">
        <v>3834</v>
      </c>
      <c r="Q5449" s="20" t="s">
        <v>5687</v>
      </c>
    </row>
    <row r="5450" spans="1:17" ht="24.9" customHeight="1">
      <c r="A5450" s="20"/>
      <c r="B5450" s="20" t="s">
        <v>1281</v>
      </c>
      <c r="C5450" s="20"/>
      <c r="D5450" s="20" t="s">
        <v>1281</v>
      </c>
      <c r="E5450" s="19" t="str">
        <f>VLOOKUP(D5450,'لیست پرسنل'!$B$2:$E$1020,3,FALSE)</f>
        <v>خیریه</v>
      </c>
      <c r="F5450" s="19" t="str">
        <f>VLOOKUP(D5450,'لیست پرسنل'!$B$2:$E$1020,4,FALSE)</f>
        <v>خیریه</v>
      </c>
      <c r="G5450" s="127">
        <f>VLOOKUP(D5450,'لیست پرسنل'!$B$2:$F$1020,2,FALSE)</f>
        <v>0</v>
      </c>
      <c r="H5450" s="126" t="s">
        <v>4512</v>
      </c>
      <c r="I5450" s="128" t="s">
        <v>1281</v>
      </c>
      <c r="J5450" s="141" t="s">
        <v>571</v>
      </c>
      <c r="K5450" s="135" t="s">
        <v>1513</v>
      </c>
      <c r="L5450" s="151" t="s">
        <v>1860</v>
      </c>
      <c r="M5450" s="131">
        <v>609143</v>
      </c>
      <c r="N5450" s="112"/>
      <c r="O5450" s="85" t="s">
        <v>4514</v>
      </c>
      <c r="P5450" s="20" t="s">
        <v>3834</v>
      </c>
      <c r="Q5450" s="20" t="s">
        <v>5687</v>
      </c>
    </row>
    <row r="5451" spans="1:17" ht="24.9" customHeight="1">
      <c r="A5451" s="20"/>
      <c r="B5451" s="20" t="s">
        <v>1281</v>
      </c>
      <c r="C5451" s="20"/>
      <c r="D5451" s="20" t="s">
        <v>1281</v>
      </c>
      <c r="E5451" s="19" t="str">
        <f>VLOOKUP(D5451,'لیست پرسنل'!$B$2:$E$1020,3,FALSE)</f>
        <v>خیریه</v>
      </c>
      <c r="F5451" s="19" t="str">
        <f>VLOOKUP(D5451,'لیست پرسنل'!$B$2:$E$1020,4,FALSE)</f>
        <v>خیریه</v>
      </c>
      <c r="G5451" s="127">
        <f>VLOOKUP(D5451,'لیست پرسنل'!$B$2:$F$1020,2,FALSE)</f>
        <v>0</v>
      </c>
      <c r="H5451" s="126" t="s">
        <v>4512</v>
      </c>
      <c r="I5451" s="128" t="s">
        <v>1281</v>
      </c>
      <c r="J5451" s="141" t="s">
        <v>571</v>
      </c>
      <c r="K5451" s="126" t="s">
        <v>410</v>
      </c>
      <c r="L5451" s="151" t="s">
        <v>2917</v>
      </c>
      <c r="M5451" s="126">
        <v>609180</v>
      </c>
      <c r="N5451" s="112"/>
      <c r="O5451" s="85" t="s">
        <v>4514</v>
      </c>
      <c r="P5451" s="20" t="s">
        <v>3834</v>
      </c>
      <c r="Q5451" s="20" t="s">
        <v>5687</v>
      </c>
    </row>
    <row r="5452" spans="1:17" ht="24.9" customHeight="1">
      <c r="A5452" s="20"/>
      <c r="B5452" s="20" t="s">
        <v>1281</v>
      </c>
      <c r="C5452" s="20"/>
      <c r="D5452" s="20" t="s">
        <v>1281</v>
      </c>
      <c r="E5452" s="19" t="str">
        <f>VLOOKUP(D5452,'لیست پرسنل'!$B$2:$E$1020,3,FALSE)</f>
        <v>خیریه</v>
      </c>
      <c r="F5452" s="19" t="str">
        <f>VLOOKUP(D5452,'لیست پرسنل'!$B$2:$E$1020,4,FALSE)</f>
        <v>خیریه</v>
      </c>
      <c r="G5452" s="127">
        <f>VLOOKUP(D5452,'لیست پرسنل'!$B$2:$F$1020,2,FALSE)</f>
        <v>0</v>
      </c>
      <c r="H5452" s="126" t="s">
        <v>4512</v>
      </c>
      <c r="I5452" s="128" t="s">
        <v>1281</v>
      </c>
      <c r="J5452" s="141" t="s">
        <v>571</v>
      </c>
      <c r="K5452" s="126" t="s">
        <v>410</v>
      </c>
      <c r="L5452" s="151" t="s">
        <v>191</v>
      </c>
      <c r="M5452" s="126">
        <v>609568</v>
      </c>
      <c r="N5452" s="112"/>
      <c r="O5452" s="85" t="s">
        <v>4514</v>
      </c>
      <c r="P5452" s="20" t="s">
        <v>3834</v>
      </c>
      <c r="Q5452" s="20" t="s">
        <v>5687</v>
      </c>
    </row>
    <row r="5453" spans="1:17" ht="24.9" customHeight="1">
      <c r="A5453" s="20"/>
      <c r="B5453" s="20" t="s">
        <v>1281</v>
      </c>
      <c r="C5453" s="20"/>
      <c r="D5453" s="20" t="s">
        <v>1281</v>
      </c>
      <c r="E5453" s="19" t="str">
        <f>VLOOKUP(D5453,'لیست پرسنل'!$B$2:$E$1020,3,FALSE)</f>
        <v>خیریه</v>
      </c>
      <c r="F5453" s="19" t="str">
        <f>VLOOKUP(D5453,'لیست پرسنل'!$B$2:$E$1020,4,FALSE)</f>
        <v>خیریه</v>
      </c>
      <c r="G5453" s="127">
        <f>VLOOKUP(D5453,'لیست پرسنل'!$B$2:$F$1020,2,FALSE)</f>
        <v>0</v>
      </c>
      <c r="H5453" s="126" t="s">
        <v>4512</v>
      </c>
      <c r="I5453" s="128" t="s">
        <v>1281</v>
      </c>
      <c r="J5453" s="141" t="s">
        <v>571</v>
      </c>
      <c r="K5453" s="127" t="s">
        <v>571</v>
      </c>
      <c r="L5453" s="151"/>
      <c r="M5453" s="132">
        <v>609703</v>
      </c>
      <c r="N5453" s="112"/>
      <c r="O5453" s="85" t="s">
        <v>4514</v>
      </c>
      <c r="P5453" s="20" t="s">
        <v>3834</v>
      </c>
      <c r="Q5453" s="20" t="s">
        <v>5687</v>
      </c>
    </row>
    <row r="5454" spans="1:17" ht="24.9" customHeight="1">
      <c r="A5454" s="20"/>
      <c r="B5454" s="20" t="s">
        <v>1281</v>
      </c>
      <c r="C5454" s="20"/>
      <c r="D5454" s="20" t="s">
        <v>1281</v>
      </c>
      <c r="E5454" s="19" t="str">
        <f>VLOOKUP(D5454,'لیست پرسنل'!$B$2:$E$1020,3,FALSE)</f>
        <v>خیریه</v>
      </c>
      <c r="F5454" s="19" t="str">
        <f>VLOOKUP(D5454,'لیست پرسنل'!$B$2:$E$1020,4,FALSE)</f>
        <v>خیریه</v>
      </c>
      <c r="G5454" s="127">
        <f>VLOOKUP(D5454,'لیست پرسنل'!$B$2:$F$1020,2,FALSE)</f>
        <v>0</v>
      </c>
      <c r="H5454" s="126" t="s">
        <v>4512</v>
      </c>
      <c r="I5454" s="128" t="s">
        <v>1281</v>
      </c>
      <c r="J5454" s="141" t="s">
        <v>571</v>
      </c>
      <c r="K5454" s="126" t="s">
        <v>410</v>
      </c>
      <c r="L5454" s="151" t="s">
        <v>56</v>
      </c>
      <c r="M5454" s="127">
        <v>610108</v>
      </c>
      <c r="N5454" s="112"/>
      <c r="O5454" s="85" t="s">
        <v>4514</v>
      </c>
      <c r="P5454" s="20" t="s">
        <v>3834</v>
      </c>
      <c r="Q5454" s="20" t="s">
        <v>5687</v>
      </c>
    </row>
    <row r="5455" spans="1:17" ht="24.9" customHeight="1">
      <c r="A5455" s="20"/>
      <c r="B5455" s="20" t="s">
        <v>1281</v>
      </c>
      <c r="C5455" s="20"/>
      <c r="D5455" s="20" t="s">
        <v>1281</v>
      </c>
      <c r="E5455" s="19" t="str">
        <f>VLOOKUP(D5455,'لیست پرسنل'!$B$2:$E$1020,3,FALSE)</f>
        <v>خیریه</v>
      </c>
      <c r="F5455" s="19" t="str">
        <f>VLOOKUP(D5455,'لیست پرسنل'!$B$2:$E$1020,4,FALSE)</f>
        <v>خیریه</v>
      </c>
      <c r="G5455" s="127">
        <f>VLOOKUP(D5455,'لیست پرسنل'!$B$2:$F$1020,2,FALSE)</f>
        <v>0</v>
      </c>
      <c r="H5455" s="126" t="s">
        <v>4512</v>
      </c>
      <c r="I5455" s="128" t="s">
        <v>1281</v>
      </c>
      <c r="J5455" s="141" t="s">
        <v>571</v>
      </c>
      <c r="K5455" s="127" t="s">
        <v>571</v>
      </c>
      <c r="L5455" s="151"/>
      <c r="M5455" s="132">
        <v>611467</v>
      </c>
      <c r="N5455" s="112"/>
      <c r="O5455" s="85" t="s">
        <v>4514</v>
      </c>
      <c r="P5455" s="20" t="s">
        <v>3834</v>
      </c>
      <c r="Q5455" s="20" t="s">
        <v>5687</v>
      </c>
    </row>
    <row r="5456" spans="1:17" ht="24.9" customHeight="1">
      <c r="A5456" s="20"/>
      <c r="B5456" s="20" t="s">
        <v>1281</v>
      </c>
      <c r="C5456" s="20"/>
      <c r="D5456" s="20" t="s">
        <v>1281</v>
      </c>
      <c r="E5456" s="19" t="str">
        <f>VLOOKUP(D5456,'لیست پرسنل'!$B$2:$E$1020,3,FALSE)</f>
        <v>خیریه</v>
      </c>
      <c r="F5456" s="19" t="str">
        <f>VLOOKUP(D5456,'لیست پرسنل'!$B$2:$E$1020,4,FALSE)</f>
        <v>خیریه</v>
      </c>
      <c r="G5456" s="127">
        <f>VLOOKUP(D5456,'لیست پرسنل'!$B$2:$F$1020,2,FALSE)</f>
        <v>0</v>
      </c>
      <c r="H5456" s="126" t="s">
        <v>4512</v>
      </c>
      <c r="I5456" s="128" t="s">
        <v>1281</v>
      </c>
      <c r="J5456" s="141" t="s">
        <v>571</v>
      </c>
      <c r="K5456" s="127" t="s">
        <v>571</v>
      </c>
      <c r="L5456" s="151"/>
      <c r="M5456" s="132">
        <v>611468</v>
      </c>
      <c r="N5456" s="112"/>
      <c r="O5456" s="85" t="s">
        <v>4514</v>
      </c>
      <c r="P5456" s="20" t="s">
        <v>3834</v>
      </c>
      <c r="Q5456" s="20" t="s">
        <v>5687</v>
      </c>
    </row>
    <row r="5457" spans="1:17" ht="24.9" customHeight="1">
      <c r="A5457" s="20"/>
      <c r="B5457" s="20" t="s">
        <v>1281</v>
      </c>
      <c r="C5457" s="20"/>
      <c r="D5457" s="20" t="s">
        <v>1281</v>
      </c>
      <c r="E5457" s="19" t="str">
        <f>VLOOKUP(D5457,'لیست پرسنل'!$B$2:$E$1020,3,FALSE)</f>
        <v>خیریه</v>
      </c>
      <c r="F5457" s="19" t="str">
        <f>VLOOKUP(D5457,'لیست پرسنل'!$B$2:$E$1020,4,FALSE)</f>
        <v>خیریه</v>
      </c>
      <c r="G5457" s="127">
        <f>VLOOKUP(D5457,'لیست پرسنل'!$B$2:$F$1020,2,FALSE)</f>
        <v>0</v>
      </c>
      <c r="H5457" s="151" t="s">
        <v>4512</v>
      </c>
      <c r="I5457" s="128" t="s">
        <v>1281</v>
      </c>
      <c r="J5457" s="127" t="s">
        <v>571</v>
      </c>
      <c r="K5457" s="127" t="s">
        <v>4402</v>
      </c>
      <c r="L5457" s="151" t="s">
        <v>540</v>
      </c>
      <c r="M5457" s="127">
        <v>611958</v>
      </c>
      <c r="N5457" s="110"/>
      <c r="O5457" s="85" t="s">
        <v>4514</v>
      </c>
      <c r="P5457" s="20" t="s">
        <v>3834</v>
      </c>
      <c r="Q5457" s="20" t="s">
        <v>5687</v>
      </c>
    </row>
    <row r="5458" spans="1:17" ht="24.9" customHeight="1">
      <c r="A5458" s="20"/>
      <c r="B5458" s="20" t="s">
        <v>1281</v>
      </c>
      <c r="C5458" s="20"/>
      <c r="D5458" s="20" t="s">
        <v>1281</v>
      </c>
      <c r="E5458" s="19" t="str">
        <f>VLOOKUP(D5458,'لیست پرسنل'!$B$2:$E$1020,3,FALSE)</f>
        <v>خیریه</v>
      </c>
      <c r="F5458" s="19" t="str">
        <f>VLOOKUP(D5458,'لیست پرسنل'!$B$2:$E$1020,4,FALSE)</f>
        <v>خیریه</v>
      </c>
      <c r="G5458" s="127">
        <f>VLOOKUP(D5458,'لیست پرسنل'!$B$2:$F$1020,2,FALSE)</f>
        <v>0</v>
      </c>
      <c r="H5458" s="126" t="s">
        <v>4512</v>
      </c>
      <c r="I5458" s="128" t="s">
        <v>1281</v>
      </c>
      <c r="J5458" s="141" t="s">
        <v>571</v>
      </c>
      <c r="K5458" s="126" t="s">
        <v>410</v>
      </c>
      <c r="L5458" s="151" t="s">
        <v>117</v>
      </c>
      <c r="M5458" s="127">
        <v>619880</v>
      </c>
      <c r="N5458" s="112"/>
      <c r="O5458" s="85" t="s">
        <v>4514</v>
      </c>
      <c r="P5458" s="20" t="s">
        <v>3834</v>
      </c>
      <c r="Q5458" s="20" t="s">
        <v>5687</v>
      </c>
    </row>
    <row r="5459" spans="1:17" ht="24.9" customHeight="1">
      <c r="A5459" s="20"/>
      <c r="B5459" s="20" t="s">
        <v>1281</v>
      </c>
      <c r="C5459" s="20"/>
      <c r="D5459" s="20" t="s">
        <v>1281</v>
      </c>
      <c r="E5459" s="19" t="str">
        <f>VLOOKUP(D5459,'لیست پرسنل'!$B$2:$E$1020,3,FALSE)</f>
        <v>خیریه</v>
      </c>
      <c r="F5459" s="19" t="str">
        <f>VLOOKUP(D5459,'لیست پرسنل'!$B$2:$E$1020,4,FALSE)</f>
        <v>خیریه</v>
      </c>
      <c r="G5459" s="127">
        <f>VLOOKUP(D5459,'لیست پرسنل'!$B$2:$F$1020,2,FALSE)</f>
        <v>0</v>
      </c>
      <c r="H5459" s="126" t="s">
        <v>4512</v>
      </c>
      <c r="I5459" s="128" t="s">
        <v>1281</v>
      </c>
      <c r="J5459" s="141" t="s">
        <v>571</v>
      </c>
      <c r="K5459" s="127" t="s">
        <v>571</v>
      </c>
      <c r="L5459" s="151"/>
      <c r="M5459" s="132">
        <v>622529</v>
      </c>
      <c r="N5459" s="112"/>
      <c r="O5459" s="85" t="s">
        <v>4514</v>
      </c>
      <c r="P5459" s="20" t="s">
        <v>3834</v>
      </c>
      <c r="Q5459" s="20" t="s">
        <v>5687</v>
      </c>
    </row>
    <row r="5460" spans="1:17" ht="24.9" customHeight="1">
      <c r="A5460" s="20"/>
      <c r="B5460" s="20" t="s">
        <v>1281</v>
      </c>
      <c r="C5460" s="20"/>
      <c r="D5460" s="20" t="s">
        <v>1281</v>
      </c>
      <c r="E5460" s="19" t="str">
        <f>VLOOKUP(D5460,'لیست پرسنل'!$B$2:$E$1020,3,FALSE)</f>
        <v>خیریه</v>
      </c>
      <c r="F5460" s="19" t="str">
        <f>VLOOKUP(D5460,'لیست پرسنل'!$B$2:$E$1020,4,FALSE)</f>
        <v>خیریه</v>
      </c>
      <c r="G5460" s="127">
        <f>VLOOKUP(D5460,'لیست پرسنل'!$B$2:$F$1020,2,FALSE)</f>
        <v>0</v>
      </c>
      <c r="H5460" s="151" t="s">
        <v>4512</v>
      </c>
      <c r="I5460" s="128" t="s">
        <v>1281</v>
      </c>
      <c r="J5460" s="128" t="s">
        <v>2686</v>
      </c>
      <c r="K5460" s="127" t="s">
        <v>1348</v>
      </c>
      <c r="L5460" s="151" t="s">
        <v>294</v>
      </c>
      <c r="M5460" s="127">
        <v>600738</v>
      </c>
      <c r="N5460" s="112"/>
      <c r="O5460" s="85" t="s">
        <v>4514</v>
      </c>
      <c r="P5460" s="20" t="s">
        <v>3834</v>
      </c>
      <c r="Q5460" s="20" t="s">
        <v>5687</v>
      </c>
    </row>
    <row r="5461" spans="1:17" ht="24.9" customHeight="1">
      <c r="A5461" s="20"/>
      <c r="B5461" s="20" t="s">
        <v>1281</v>
      </c>
      <c r="C5461" s="20"/>
      <c r="D5461" s="20" t="s">
        <v>1281</v>
      </c>
      <c r="E5461" s="19" t="str">
        <f>VLOOKUP(D5461,'لیست پرسنل'!$B$2:$E$1020,3,FALSE)</f>
        <v>خیریه</v>
      </c>
      <c r="F5461" s="19" t="str">
        <f>VLOOKUP(D5461,'لیست پرسنل'!$B$2:$E$1020,4,FALSE)</f>
        <v>خیریه</v>
      </c>
      <c r="G5461" s="127">
        <f>VLOOKUP(D5461,'لیست پرسنل'!$B$2:$F$1020,2,FALSE)</f>
        <v>0</v>
      </c>
      <c r="H5461" s="126" t="s">
        <v>4512</v>
      </c>
      <c r="I5461" s="128" t="s">
        <v>1281</v>
      </c>
      <c r="J5461" s="128" t="s">
        <v>2686</v>
      </c>
      <c r="K5461" s="127" t="s">
        <v>916</v>
      </c>
      <c r="L5461" s="151" t="s">
        <v>941</v>
      </c>
      <c r="M5461" s="127">
        <v>601343</v>
      </c>
      <c r="N5461" s="112"/>
      <c r="O5461" s="85" t="s">
        <v>4514</v>
      </c>
      <c r="P5461" s="20" t="s">
        <v>3834</v>
      </c>
      <c r="Q5461" s="20" t="s">
        <v>5687</v>
      </c>
    </row>
    <row r="5462" spans="1:17" ht="21">
      <c r="A5462" s="20"/>
      <c r="B5462" s="20" t="s">
        <v>1281</v>
      </c>
      <c r="C5462" s="20"/>
      <c r="D5462" s="20" t="s">
        <v>1281</v>
      </c>
      <c r="E5462" s="19" t="str">
        <f>VLOOKUP(D5462,'لیست پرسنل'!$B$2:$E$1020,3,FALSE)</f>
        <v>خیریه</v>
      </c>
      <c r="F5462" s="19" t="str">
        <f>VLOOKUP(D5462,'لیست پرسنل'!$B$2:$E$1020,4,FALSE)</f>
        <v>خیریه</v>
      </c>
      <c r="G5462" s="127">
        <f>VLOOKUP(D5462,'لیست پرسنل'!$B$2:$F$1020,2,FALSE)</f>
        <v>0</v>
      </c>
      <c r="H5462" s="151" t="s">
        <v>4512</v>
      </c>
      <c r="I5462" s="128" t="s">
        <v>1281</v>
      </c>
      <c r="J5462" s="128" t="s">
        <v>2686</v>
      </c>
      <c r="K5462" s="127" t="s">
        <v>346</v>
      </c>
      <c r="L5462" s="151" t="s">
        <v>2752</v>
      </c>
      <c r="M5462" s="127">
        <v>601548</v>
      </c>
      <c r="N5462" s="110"/>
      <c r="O5462" s="85" t="s">
        <v>4514</v>
      </c>
      <c r="P5462" s="20" t="s">
        <v>3834</v>
      </c>
      <c r="Q5462" s="20" t="s">
        <v>5687</v>
      </c>
    </row>
    <row r="5463" spans="1:17" ht="26.25" customHeight="1">
      <c r="A5463" s="20"/>
      <c r="B5463" s="20" t="s">
        <v>1281</v>
      </c>
      <c r="C5463" s="20"/>
      <c r="D5463" s="20" t="s">
        <v>1281</v>
      </c>
      <c r="E5463" s="19" t="str">
        <f>VLOOKUP(D5463,'لیست پرسنل'!$B$2:$E$1020,3,FALSE)</f>
        <v>خیریه</v>
      </c>
      <c r="F5463" s="19" t="str">
        <f>VLOOKUP(D5463,'لیست پرسنل'!$B$2:$E$1020,4,FALSE)</f>
        <v>خیریه</v>
      </c>
      <c r="G5463" s="127">
        <f>VLOOKUP(D5463,'لیست پرسنل'!$B$2:$F$1020,2,FALSE)</f>
        <v>0</v>
      </c>
      <c r="H5463" s="126" t="s">
        <v>4512</v>
      </c>
      <c r="I5463" s="128" t="s">
        <v>1281</v>
      </c>
      <c r="J5463" s="128" t="s">
        <v>2686</v>
      </c>
      <c r="K5463" s="128" t="s">
        <v>872</v>
      </c>
      <c r="L5463" s="151" t="s">
        <v>1107</v>
      </c>
      <c r="M5463" s="132">
        <v>601726</v>
      </c>
      <c r="N5463" s="112"/>
      <c r="O5463" s="85" t="s">
        <v>4514</v>
      </c>
      <c r="P5463" s="20" t="s">
        <v>3834</v>
      </c>
      <c r="Q5463" s="20" t="s">
        <v>5687</v>
      </c>
    </row>
    <row r="5464" spans="1:17" ht="26.25" customHeight="1">
      <c r="A5464" s="20"/>
      <c r="B5464" s="20" t="s">
        <v>1281</v>
      </c>
      <c r="C5464" s="20"/>
      <c r="D5464" s="20" t="s">
        <v>1281</v>
      </c>
      <c r="E5464" s="19" t="str">
        <f>VLOOKUP(D5464,'لیست پرسنل'!$B$2:$E$1020,3,FALSE)</f>
        <v>خیریه</v>
      </c>
      <c r="F5464" s="19" t="str">
        <f>VLOOKUP(D5464,'لیست پرسنل'!$B$2:$E$1020,4,FALSE)</f>
        <v>خیریه</v>
      </c>
      <c r="G5464" s="127">
        <f>VLOOKUP(D5464,'لیست پرسنل'!$B$2:$F$1020,2,FALSE)</f>
        <v>0</v>
      </c>
      <c r="H5464" s="126" t="s">
        <v>4512</v>
      </c>
      <c r="I5464" s="128" t="s">
        <v>1281</v>
      </c>
      <c r="J5464" s="128" t="s">
        <v>2686</v>
      </c>
      <c r="K5464" s="127" t="s">
        <v>346</v>
      </c>
      <c r="L5464" s="151" t="s">
        <v>1956</v>
      </c>
      <c r="M5464" s="127">
        <v>603692</v>
      </c>
      <c r="N5464" s="110"/>
      <c r="O5464" s="85" t="s">
        <v>4514</v>
      </c>
      <c r="P5464" s="20" t="s">
        <v>3834</v>
      </c>
      <c r="Q5464" s="20" t="s">
        <v>5687</v>
      </c>
    </row>
    <row r="5465" spans="1:17" ht="26.25" customHeight="1">
      <c r="A5465" s="20"/>
      <c r="B5465" s="20" t="s">
        <v>1281</v>
      </c>
      <c r="C5465" s="20"/>
      <c r="D5465" s="20" t="s">
        <v>1281</v>
      </c>
      <c r="E5465" s="19" t="str">
        <f>VLOOKUP(D5465,'لیست پرسنل'!$B$2:$E$1020,3,FALSE)</f>
        <v>خیریه</v>
      </c>
      <c r="F5465" s="19" t="str">
        <f>VLOOKUP(D5465,'لیست پرسنل'!$B$2:$E$1020,4,FALSE)</f>
        <v>خیریه</v>
      </c>
      <c r="G5465" s="127">
        <f>VLOOKUP(D5465,'لیست پرسنل'!$B$2:$F$1020,2,FALSE)</f>
        <v>0</v>
      </c>
      <c r="H5465" s="126" t="s">
        <v>4512</v>
      </c>
      <c r="I5465" s="128" t="s">
        <v>1281</v>
      </c>
      <c r="J5465" s="128" t="s">
        <v>2686</v>
      </c>
      <c r="K5465" s="127" t="s">
        <v>346</v>
      </c>
      <c r="L5465" s="151" t="s">
        <v>1290</v>
      </c>
      <c r="M5465" s="127">
        <v>603936</v>
      </c>
      <c r="N5465" s="112"/>
      <c r="O5465" s="85" t="s">
        <v>4514</v>
      </c>
      <c r="P5465" s="20" t="s">
        <v>3834</v>
      </c>
      <c r="Q5465" s="20" t="s">
        <v>5687</v>
      </c>
    </row>
    <row r="5466" spans="1:17" ht="21">
      <c r="A5466" s="20"/>
      <c r="B5466" s="20" t="s">
        <v>1281</v>
      </c>
      <c r="C5466" s="20"/>
      <c r="D5466" s="20" t="s">
        <v>1281</v>
      </c>
      <c r="E5466" s="19" t="str">
        <f>VLOOKUP(D5466,'لیست پرسنل'!$B$2:$E$1020,3,FALSE)</f>
        <v>خیریه</v>
      </c>
      <c r="F5466" s="19" t="str">
        <f>VLOOKUP(D5466,'لیست پرسنل'!$B$2:$E$1020,4,FALSE)</f>
        <v>خیریه</v>
      </c>
      <c r="G5466" s="127">
        <f>VLOOKUP(D5466,'لیست پرسنل'!$B$2:$F$1020,2,FALSE)</f>
        <v>0</v>
      </c>
      <c r="H5466" s="126" t="s">
        <v>4512</v>
      </c>
      <c r="I5466" s="128" t="s">
        <v>1281</v>
      </c>
      <c r="J5466" s="128" t="s">
        <v>2686</v>
      </c>
      <c r="K5466" s="127" t="s">
        <v>852</v>
      </c>
      <c r="L5466" s="151" t="s">
        <v>1187</v>
      </c>
      <c r="M5466" s="128">
        <v>604119</v>
      </c>
      <c r="N5466" s="112"/>
      <c r="O5466" s="85" t="s">
        <v>4514</v>
      </c>
      <c r="P5466" s="20" t="s">
        <v>3834</v>
      </c>
      <c r="Q5466" s="20" t="s">
        <v>5687</v>
      </c>
    </row>
    <row r="5467" spans="1:17" ht="21">
      <c r="A5467" s="20"/>
      <c r="B5467" s="20" t="s">
        <v>1281</v>
      </c>
      <c r="C5467" s="20"/>
      <c r="D5467" s="20" t="s">
        <v>1281</v>
      </c>
      <c r="E5467" s="19" t="str">
        <f>VLOOKUP(D5467,'لیست پرسنل'!$B$2:$E$1020,3,FALSE)</f>
        <v>خیریه</v>
      </c>
      <c r="F5467" s="19" t="str">
        <f>VLOOKUP(D5467,'لیست پرسنل'!$B$2:$E$1020,4,FALSE)</f>
        <v>خیریه</v>
      </c>
      <c r="G5467" s="127">
        <f>VLOOKUP(D5467,'لیست پرسنل'!$B$2:$F$1020,2,FALSE)</f>
        <v>0</v>
      </c>
      <c r="H5467" s="126" t="s">
        <v>4512</v>
      </c>
      <c r="I5467" s="128" t="s">
        <v>1281</v>
      </c>
      <c r="J5467" s="128" t="s">
        <v>2686</v>
      </c>
      <c r="K5467" s="127" t="s">
        <v>346</v>
      </c>
      <c r="L5467" s="151" t="s">
        <v>1108</v>
      </c>
      <c r="M5467" s="127">
        <v>604301</v>
      </c>
      <c r="N5467" s="112"/>
      <c r="O5467" s="85" t="s">
        <v>4514</v>
      </c>
      <c r="P5467" s="20" t="s">
        <v>3834</v>
      </c>
      <c r="Q5467" s="20" t="s">
        <v>5687</v>
      </c>
    </row>
    <row r="5468" spans="1:17" ht="21">
      <c r="A5468" s="20"/>
      <c r="B5468" s="20" t="s">
        <v>1281</v>
      </c>
      <c r="C5468" s="20"/>
      <c r="D5468" s="20" t="s">
        <v>1281</v>
      </c>
      <c r="E5468" s="19" t="str">
        <f>VLOOKUP(D5468,'لیست پرسنل'!$B$2:$E$1020,3,FALSE)</f>
        <v>خیریه</v>
      </c>
      <c r="F5468" s="19" t="str">
        <f>VLOOKUP(D5468,'لیست پرسنل'!$B$2:$E$1020,4,FALSE)</f>
        <v>خیریه</v>
      </c>
      <c r="G5468" s="127">
        <f>VLOOKUP(D5468,'لیست پرسنل'!$B$2:$F$1020,2,FALSE)</f>
        <v>0</v>
      </c>
      <c r="H5468" s="126" t="s">
        <v>4512</v>
      </c>
      <c r="I5468" s="128" t="s">
        <v>1281</v>
      </c>
      <c r="J5468" s="128" t="s">
        <v>2686</v>
      </c>
      <c r="K5468" s="127" t="s">
        <v>1245</v>
      </c>
      <c r="L5468" s="151" t="s">
        <v>1759</v>
      </c>
      <c r="M5468" s="127">
        <v>604779</v>
      </c>
      <c r="N5468" s="112"/>
      <c r="O5468" s="85" t="s">
        <v>4514</v>
      </c>
      <c r="P5468" s="20" t="s">
        <v>3834</v>
      </c>
      <c r="Q5468" s="20" t="s">
        <v>5687</v>
      </c>
    </row>
    <row r="5469" spans="1:17" ht="21">
      <c r="A5469" s="20"/>
      <c r="B5469" s="20" t="s">
        <v>1281</v>
      </c>
      <c r="C5469" s="20"/>
      <c r="D5469" s="20" t="s">
        <v>1281</v>
      </c>
      <c r="E5469" s="19" t="str">
        <f>VLOOKUP(D5469,'لیست پرسنل'!$B$2:$E$1020,3,FALSE)</f>
        <v>خیریه</v>
      </c>
      <c r="F5469" s="19" t="str">
        <f>VLOOKUP(D5469,'لیست پرسنل'!$B$2:$E$1020,4,FALSE)</f>
        <v>خیریه</v>
      </c>
      <c r="G5469" s="127">
        <f>VLOOKUP(D5469,'لیست پرسنل'!$B$2:$F$1020,2,FALSE)</f>
        <v>0</v>
      </c>
      <c r="H5469" s="126" t="s">
        <v>4512</v>
      </c>
      <c r="I5469" s="128" t="s">
        <v>1281</v>
      </c>
      <c r="J5469" s="128" t="s">
        <v>2686</v>
      </c>
      <c r="K5469" s="127" t="s">
        <v>324</v>
      </c>
      <c r="L5469" s="151" t="s">
        <v>74</v>
      </c>
      <c r="M5469" s="128">
        <v>605226</v>
      </c>
      <c r="N5469" s="112"/>
      <c r="O5469" s="85" t="s">
        <v>4514</v>
      </c>
      <c r="P5469" s="20" t="s">
        <v>3834</v>
      </c>
      <c r="Q5469" s="20" t="s">
        <v>5687</v>
      </c>
    </row>
    <row r="5470" spans="1:17" ht="21">
      <c r="A5470" s="20"/>
      <c r="B5470" s="20" t="s">
        <v>1281</v>
      </c>
      <c r="C5470" s="20"/>
      <c r="D5470" s="20" t="s">
        <v>1281</v>
      </c>
      <c r="E5470" s="19" t="str">
        <f>VLOOKUP(D5470,'لیست پرسنل'!$B$2:$E$1020,3,FALSE)</f>
        <v>خیریه</v>
      </c>
      <c r="F5470" s="19" t="str">
        <f>VLOOKUP(D5470,'لیست پرسنل'!$B$2:$E$1020,4,FALSE)</f>
        <v>خیریه</v>
      </c>
      <c r="G5470" s="127">
        <f>VLOOKUP(D5470,'لیست پرسنل'!$B$2:$F$1020,2,FALSE)</f>
        <v>0</v>
      </c>
      <c r="H5470" s="126" t="s">
        <v>4512</v>
      </c>
      <c r="I5470" s="128" t="s">
        <v>1281</v>
      </c>
      <c r="J5470" s="128" t="s">
        <v>2686</v>
      </c>
      <c r="K5470" s="128" t="s">
        <v>852</v>
      </c>
      <c r="L5470" s="151" t="s">
        <v>1138</v>
      </c>
      <c r="M5470" s="128">
        <v>605589</v>
      </c>
      <c r="N5470" s="112"/>
      <c r="O5470" s="85" t="s">
        <v>4514</v>
      </c>
      <c r="P5470" s="20" t="s">
        <v>3834</v>
      </c>
      <c r="Q5470" s="20" t="s">
        <v>5687</v>
      </c>
    </row>
    <row r="5471" spans="1:17" ht="21">
      <c r="A5471" s="20"/>
      <c r="B5471" s="20" t="s">
        <v>1281</v>
      </c>
      <c r="C5471" s="20"/>
      <c r="D5471" s="20" t="s">
        <v>1281</v>
      </c>
      <c r="E5471" s="19" t="str">
        <f>VLOOKUP(D5471,'لیست پرسنل'!$B$2:$E$1020,3,FALSE)</f>
        <v>خیریه</v>
      </c>
      <c r="F5471" s="19" t="str">
        <f>VLOOKUP(D5471,'لیست پرسنل'!$B$2:$E$1020,4,FALSE)</f>
        <v>خیریه</v>
      </c>
      <c r="G5471" s="127">
        <f>VLOOKUP(D5471,'لیست پرسنل'!$B$2:$F$1020,2,FALSE)</f>
        <v>0</v>
      </c>
      <c r="H5471" s="126" t="s">
        <v>4512</v>
      </c>
      <c r="I5471" s="128" t="s">
        <v>1281</v>
      </c>
      <c r="J5471" s="128" t="s">
        <v>2686</v>
      </c>
      <c r="K5471" s="127" t="s">
        <v>541</v>
      </c>
      <c r="L5471" s="151" t="s">
        <v>2070</v>
      </c>
      <c r="M5471" s="127">
        <v>605838</v>
      </c>
      <c r="N5471" s="112"/>
      <c r="O5471" s="85" t="s">
        <v>4514</v>
      </c>
      <c r="P5471" s="20" t="s">
        <v>3834</v>
      </c>
      <c r="Q5471" s="20" t="s">
        <v>5687</v>
      </c>
    </row>
    <row r="5472" spans="1:17" ht="21">
      <c r="A5472" s="20"/>
      <c r="B5472" s="20" t="s">
        <v>1281</v>
      </c>
      <c r="C5472" s="20"/>
      <c r="D5472" s="20" t="s">
        <v>1281</v>
      </c>
      <c r="E5472" s="19" t="str">
        <f>VLOOKUP(D5472,'لیست پرسنل'!$B$2:$E$1020,3,FALSE)</f>
        <v>خیریه</v>
      </c>
      <c r="F5472" s="19" t="str">
        <f>VLOOKUP(D5472,'لیست پرسنل'!$B$2:$E$1020,4,FALSE)</f>
        <v>خیریه</v>
      </c>
      <c r="G5472" s="127">
        <f>VLOOKUP(D5472,'لیست پرسنل'!$B$2:$F$1020,2,FALSE)</f>
        <v>0</v>
      </c>
      <c r="H5472" s="126" t="s">
        <v>4512</v>
      </c>
      <c r="I5472" s="128" t="s">
        <v>1281</v>
      </c>
      <c r="J5472" s="128" t="s">
        <v>2686</v>
      </c>
      <c r="K5472" s="126" t="s">
        <v>852</v>
      </c>
      <c r="L5472" s="151" t="s">
        <v>1140</v>
      </c>
      <c r="M5472" s="127">
        <v>606155</v>
      </c>
      <c r="N5472" s="112"/>
      <c r="O5472" s="85" t="s">
        <v>4514</v>
      </c>
      <c r="P5472" s="20" t="s">
        <v>3834</v>
      </c>
      <c r="Q5472" s="20" t="s">
        <v>5687</v>
      </c>
    </row>
    <row r="5473" spans="1:17" ht="26.25" customHeight="1">
      <c r="A5473" s="20"/>
      <c r="B5473" s="20" t="s">
        <v>1281</v>
      </c>
      <c r="C5473" s="20"/>
      <c r="D5473" s="20" t="s">
        <v>1281</v>
      </c>
      <c r="E5473" s="19" t="str">
        <f>VLOOKUP(D5473,'لیست پرسنل'!$B$2:$E$1020,3,FALSE)</f>
        <v>خیریه</v>
      </c>
      <c r="F5473" s="19" t="str">
        <f>VLOOKUP(D5473,'لیست پرسنل'!$B$2:$E$1020,4,FALSE)</f>
        <v>خیریه</v>
      </c>
      <c r="G5473" s="127">
        <f>VLOOKUP(D5473,'لیست پرسنل'!$B$2:$F$1020,2,FALSE)</f>
        <v>0</v>
      </c>
      <c r="H5473" s="126" t="s">
        <v>4512</v>
      </c>
      <c r="I5473" s="128" t="s">
        <v>1281</v>
      </c>
      <c r="J5473" s="128" t="s">
        <v>2686</v>
      </c>
      <c r="K5473" s="128" t="s">
        <v>916</v>
      </c>
      <c r="L5473" s="151" t="s">
        <v>942</v>
      </c>
      <c r="M5473" s="127">
        <v>606533</v>
      </c>
      <c r="N5473" s="112"/>
      <c r="O5473" s="85" t="s">
        <v>4514</v>
      </c>
      <c r="P5473" s="20" t="s">
        <v>3834</v>
      </c>
      <c r="Q5473" s="20" t="s">
        <v>5687</v>
      </c>
    </row>
    <row r="5474" spans="1:17" ht="21">
      <c r="A5474" s="20"/>
      <c r="B5474" s="20" t="s">
        <v>1281</v>
      </c>
      <c r="C5474" s="20"/>
      <c r="D5474" s="20" t="s">
        <v>1281</v>
      </c>
      <c r="E5474" s="19" t="str">
        <f>VLOOKUP(D5474,'لیست پرسنل'!$B$2:$E$1020,3,FALSE)</f>
        <v>خیریه</v>
      </c>
      <c r="F5474" s="19" t="str">
        <f>VLOOKUP(D5474,'لیست پرسنل'!$B$2:$E$1020,4,FALSE)</f>
        <v>خیریه</v>
      </c>
      <c r="G5474" s="127">
        <f>VLOOKUP(D5474,'لیست پرسنل'!$B$2:$F$1020,2,FALSE)</f>
        <v>0</v>
      </c>
      <c r="H5474" s="126" t="s">
        <v>4512</v>
      </c>
      <c r="I5474" s="128" t="s">
        <v>1281</v>
      </c>
      <c r="J5474" s="128" t="s">
        <v>2686</v>
      </c>
      <c r="K5474" s="127" t="s">
        <v>1389</v>
      </c>
      <c r="L5474" s="151" t="s">
        <v>2186</v>
      </c>
      <c r="M5474" s="132">
        <v>606689</v>
      </c>
      <c r="N5474" s="112"/>
      <c r="O5474" s="85" t="s">
        <v>4514</v>
      </c>
      <c r="P5474" s="20" t="s">
        <v>3834</v>
      </c>
      <c r="Q5474" s="20" t="s">
        <v>5687</v>
      </c>
    </row>
    <row r="5475" spans="1:17" ht="21">
      <c r="A5475" s="20"/>
      <c r="B5475" s="20" t="s">
        <v>1281</v>
      </c>
      <c r="C5475" s="20"/>
      <c r="D5475" s="20" t="s">
        <v>1281</v>
      </c>
      <c r="E5475" s="19" t="str">
        <f>VLOOKUP(D5475,'لیست پرسنل'!$B$2:$E$1020,3,FALSE)</f>
        <v>خیریه</v>
      </c>
      <c r="F5475" s="19" t="str">
        <f>VLOOKUP(D5475,'لیست پرسنل'!$B$2:$E$1020,4,FALSE)</f>
        <v>خیریه</v>
      </c>
      <c r="G5475" s="127">
        <f>VLOOKUP(D5475,'لیست پرسنل'!$B$2:$F$1020,2,FALSE)</f>
        <v>0</v>
      </c>
      <c r="H5475" s="126" t="s">
        <v>4512</v>
      </c>
      <c r="I5475" s="128" t="s">
        <v>1281</v>
      </c>
      <c r="J5475" s="128" t="s">
        <v>2686</v>
      </c>
      <c r="K5475" s="128" t="s">
        <v>1045</v>
      </c>
      <c r="L5475" s="151" t="s">
        <v>1046</v>
      </c>
      <c r="M5475" s="127">
        <v>607410</v>
      </c>
      <c r="N5475" s="110"/>
      <c r="O5475" s="85" t="s">
        <v>4514</v>
      </c>
      <c r="P5475" s="20" t="s">
        <v>3834</v>
      </c>
      <c r="Q5475" s="20" t="s">
        <v>5687</v>
      </c>
    </row>
    <row r="5476" spans="1:17" ht="21">
      <c r="A5476" s="20"/>
      <c r="B5476" s="20" t="s">
        <v>1281</v>
      </c>
      <c r="C5476" s="20"/>
      <c r="D5476" s="20" t="s">
        <v>1281</v>
      </c>
      <c r="E5476" s="19" t="str">
        <f>VLOOKUP(D5476,'لیست پرسنل'!$B$2:$E$1020,3,FALSE)</f>
        <v>خیریه</v>
      </c>
      <c r="F5476" s="19" t="str">
        <f>VLOOKUP(D5476,'لیست پرسنل'!$B$2:$E$1020,4,FALSE)</f>
        <v>خیریه</v>
      </c>
      <c r="G5476" s="127">
        <f>VLOOKUP(D5476,'لیست پرسنل'!$B$2:$F$1020,2,FALSE)</f>
        <v>0</v>
      </c>
      <c r="H5476" s="126" t="s">
        <v>4512</v>
      </c>
      <c r="I5476" s="128" t="s">
        <v>1281</v>
      </c>
      <c r="J5476" s="128" t="s">
        <v>2686</v>
      </c>
      <c r="K5476" s="127" t="s">
        <v>3160</v>
      </c>
      <c r="L5476" s="151" t="s">
        <v>614</v>
      </c>
      <c r="M5476" s="127">
        <v>608018</v>
      </c>
      <c r="N5476" s="112"/>
      <c r="O5476" s="85" t="s">
        <v>4514</v>
      </c>
      <c r="P5476" s="20" t="s">
        <v>3834</v>
      </c>
      <c r="Q5476" s="20" t="s">
        <v>5687</v>
      </c>
    </row>
    <row r="5477" spans="1:17" ht="21">
      <c r="A5477" s="20"/>
      <c r="B5477" s="20" t="s">
        <v>1281</v>
      </c>
      <c r="C5477" s="20"/>
      <c r="D5477" s="20" t="s">
        <v>1281</v>
      </c>
      <c r="E5477" s="19" t="str">
        <f>VLOOKUP(D5477,'لیست پرسنل'!$B$2:$E$1020,3,FALSE)</f>
        <v>خیریه</v>
      </c>
      <c r="F5477" s="19" t="str">
        <f>VLOOKUP(D5477,'لیست پرسنل'!$B$2:$E$1020,4,FALSE)</f>
        <v>خیریه</v>
      </c>
      <c r="G5477" s="127">
        <f>VLOOKUP(D5477,'لیست پرسنل'!$B$2:$F$1020,2,FALSE)</f>
        <v>0</v>
      </c>
      <c r="H5477" s="126" t="s">
        <v>4512</v>
      </c>
      <c r="I5477" s="128" t="s">
        <v>1281</v>
      </c>
      <c r="J5477" s="128" t="s">
        <v>2686</v>
      </c>
      <c r="K5477" s="128" t="s">
        <v>562</v>
      </c>
      <c r="L5477" s="151" t="s">
        <v>3957</v>
      </c>
      <c r="M5477" s="128">
        <v>609580</v>
      </c>
      <c r="N5477" s="112"/>
      <c r="O5477" s="85" t="s">
        <v>4514</v>
      </c>
      <c r="P5477" s="20" t="s">
        <v>3834</v>
      </c>
      <c r="Q5477" s="20" t="s">
        <v>5687</v>
      </c>
    </row>
    <row r="5478" spans="1:17" ht="26.25" customHeight="1">
      <c r="A5478" s="20"/>
      <c r="B5478" s="20" t="s">
        <v>1281</v>
      </c>
      <c r="C5478" s="20"/>
      <c r="D5478" s="20" t="s">
        <v>1281</v>
      </c>
      <c r="E5478" s="19" t="str">
        <f>VLOOKUP(D5478,'لیست پرسنل'!$B$2:$E$1020,3,FALSE)</f>
        <v>خیریه</v>
      </c>
      <c r="F5478" s="19" t="str">
        <f>VLOOKUP(D5478,'لیست پرسنل'!$B$2:$E$1020,4,FALSE)</f>
        <v>خیریه</v>
      </c>
      <c r="G5478" s="127">
        <f>VLOOKUP(D5478,'لیست پرسنل'!$B$2:$F$1020,2,FALSE)</f>
        <v>0</v>
      </c>
      <c r="H5478" s="126" t="s">
        <v>4512</v>
      </c>
      <c r="I5478" s="128" t="s">
        <v>1281</v>
      </c>
      <c r="J5478" s="128" t="s">
        <v>2686</v>
      </c>
      <c r="K5478" s="135" t="s">
        <v>548</v>
      </c>
      <c r="L5478" s="151" t="s">
        <v>1807</v>
      </c>
      <c r="M5478" s="127">
        <v>609709</v>
      </c>
      <c r="N5478" s="112"/>
      <c r="O5478" s="85" t="s">
        <v>4514</v>
      </c>
      <c r="P5478" s="20" t="s">
        <v>3834</v>
      </c>
      <c r="Q5478" s="20" t="s">
        <v>5687</v>
      </c>
    </row>
    <row r="5479" spans="1:17" ht="21">
      <c r="A5479" s="20"/>
      <c r="B5479" s="20" t="s">
        <v>1281</v>
      </c>
      <c r="C5479" s="20"/>
      <c r="D5479" s="20" t="s">
        <v>1281</v>
      </c>
      <c r="E5479" s="19" t="str">
        <f>VLOOKUP(D5479,'لیست پرسنل'!$B$2:$E$1020,3,FALSE)</f>
        <v>خیریه</v>
      </c>
      <c r="F5479" s="19" t="str">
        <f>VLOOKUP(D5479,'لیست پرسنل'!$B$2:$E$1020,4,FALSE)</f>
        <v>خیریه</v>
      </c>
      <c r="G5479" s="127">
        <f>VLOOKUP(D5479,'لیست پرسنل'!$B$2:$F$1020,2,FALSE)</f>
        <v>0</v>
      </c>
      <c r="H5479" s="126" t="s">
        <v>4512</v>
      </c>
      <c r="I5479" s="128" t="s">
        <v>1281</v>
      </c>
      <c r="J5479" s="128" t="s">
        <v>2686</v>
      </c>
      <c r="K5479" s="127" t="s">
        <v>1423</v>
      </c>
      <c r="L5479" s="151" t="s">
        <v>1028</v>
      </c>
      <c r="M5479" s="132">
        <v>609713</v>
      </c>
      <c r="N5479" s="112"/>
      <c r="O5479" s="85" t="s">
        <v>4514</v>
      </c>
      <c r="P5479" s="20" t="s">
        <v>3834</v>
      </c>
      <c r="Q5479" s="20" t="s">
        <v>5687</v>
      </c>
    </row>
    <row r="5480" spans="1:17" ht="21">
      <c r="A5480" s="20"/>
      <c r="B5480" s="20" t="s">
        <v>1281</v>
      </c>
      <c r="C5480" s="20"/>
      <c r="D5480" s="20" t="s">
        <v>1281</v>
      </c>
      <c r="E5480" s="19" t="str">
        <f>VLOOKUP(D5480,'لیست پرسنل'!$B$2:$E$1020,3,FALSE)</f>
        <v>خیریه</v>
      </c>
      <c r="F5480" s="19" t="str">
        <f>VLOOKUP(D5480,'لیست پرسنل'!$B$2:$E$1020,4,FALSE)</f>
        <v>خیریه</v>
      </c>
      <c r="G5480" s="127">
        <f>VLOOKUP(D5480,'لیست پرسنل'!$B$2:$F$1020,2,FALSE)</f>
        <v>0</v>
      </c>
      <c r="H5480" s="126" t="s">
        <v>4512</v>
      </c>
      <c r="I5480" s="128" t="s">
        <v>1281</v>
      </c>
      <c r="J5480" s="128" t="s">
        <v>2686</v>
      </c>
      <c r="K5480" s="135" t="s">
        <v>39</v>
      </c>
      <c r="L5480" s="151" t="s">
        <v>259</v>
      </c>
      <c r="M5480" s="132">
        <v>615471</v>
      </c>
      <c r="N5480" s="112"/>
      <c r="O5480" s="85" t="s">
        <v>4514</v>
      </c>
      <c r="P5480" s="20" t="s">
        <v>3834</v>
      </c>
      <c r="Q5480" s="20" t="s">
        <v>5687</v>
      </c>
    </row>
    <row r="5481" spans="1:17" ht="21">
      <c r="A5481" s="20"/>
      <c r="B5481" s="20" t="s">
        <v>1281</v>
      </c>
      <c r="C5481" s="20"/>
      <c r="D5481" s="20" t="s">
        <v>1281</v>
      </c>
      <c r="E5481" s="19" t="str">
        <f>VLOOKUP(D5481,'لیست پرسنل'!$B$2:$E$1020,3,FALSE)</f>
        <v>خیریه</v>
      </c>
      <c r="F5481" s="19" t="str">
        <f>VLOOKUP(D5481,'لیست پرسنل'!$B$2:$E$1020,4,FALSE)</f>
        <v>خیریه</v>
      </c>
      <c r="G5481" s="127">
        <f>VLOOKUP(D5481,'لیست پرسنل'!$B$2:$F$1020,2,FALSE)</f>
        <v>0</v>
      </c>
      <c r="H5481" s="151" t="s">
        <v>4512</v>
      </c>
      <c r="I5481" s="128" t="s">
        <v>1281</v>
      </c>
      <c r="J5481" s="128" t="s">
        <v>2686</v>
      </c>
      <c r="K5481" s="127" t="s">
        <v>1246</v>
      </c>
      <c r="L5481" s="151" t="s">
        <v>3162</v>
      </c>
      <c r="M5481" s="128">
        <v>622502</v>
      </c>
      <c r="N5481" s="112"/>
      <c r="O5481" s="85" t="s">
        <v>4514</v>
      </c>
      <c r="P5481" s="20" t="s">
        <v>3834</v>
      </c>
      <c r="Q5481" s="20" t="s">
        <v>5687</v>
      </c>
    </row>
    <row r="5482" spans="1:17" ht="21">
      <c r="A5482" s="20"/>
      <c r="B5482" s="20" t="s">
        <v>1281</v>
      </c>
      <c r="C5482" s="20"/>
      <c r="D5482" s="20" t="s">
        <v>1281</v>
      </c>
      <c r="E5482" s="19" t="str">
        <f>VLOOKUP(D5482,'لیست پرسنل'!$B$2:$E$1020,3,FALSE)</f>
        <v>خیریه</v>
      </c>
      <c r="F5482" s="19" t="str">
        <f>VLOOKUP(D5482,'لیست پرسنل'!$B$2:$E$1020,4,FALSE)</f>
        <v>خیریه</v>
      </c>
      <c r="G5482" s="127">
        <f>VLOOKUP(D5482,'لیست پرسنل'!$B$2:$F$1020,2,FALSE)</f>
        <v>0</v>
      </c>
      <c r="H5482" s="126" t="s">
        <v>4512</v>
      </c>
      <c r="I5482" s="128" t="s">
        <v>1281</v>
      </c>
      <c r="J5482" s="128" t="s">
        <v>2686</v>
      </c>
      <c r="K5482" s="127" t="s">
        <v>513</v>
      </c>
      <c r="L5482" s="151" t="s">
        <v>514</v>
      </c>
      <c r="M5482" s="127">
        <v>622503</v>
      </c>
      <c r="N5482" s="112"/>
      <c r="O5482" s="85" t="s">
        <v>5813</v>
      </c>
      <c r="P5482" s="20" t="s">
        <v>3834</v>
      </c>
      <c r="Q5482" s="20" t="s">
        <v>5687</v>
      </c>
    </row>
    <row r="5483" spans="1:17" ht="26.25" customHeight="1">
      <c r="A5483" s="20"/>
      <c r="B5483" s="20" t="s">
        <v>1281</v>
      </c>
      <c r="C5483" s="20"/>
      <c r="D5483" s="20" t="s">
        <v>1281</v>
      </c>
      <c r="E5483" s="19" t="str">
        <f>VLOOKUP(D5483,'لیست پرسنل'!$B$2:$E$1020,3,FALSE)</f>
        <v>خیریه</v>
      </c>
      <c r="F5483" s="19" t="str">
        <f>VLOOKUP(D5483,'لیست پرسنل'!$B$2:$E$1020,4,FALSE)</f>
        <v>خیریه</v>
      </c>
      <c r="G5483" s="127">
        <f>VLOOKUP(D5483,'لیست پرسنل'!$B$2:$F$1020,2,FALSE)</f>
        <v>0</v>
      </c>
      <c r="H5483" s="126" t="s">
        <v>4512</v>
      </c>
      <c r="I5483" s="128" t="s">
        <v>1281</v>
      </c>
      <c r="J5483" s="128" t="s">
        <v>2686</v>
      </c>
      <c r="K5483" s="127" t="s">
        <v>517</v>
      </c>
      <c r="L5483" s="151" t="s">
        <v>1283</v>
      </c>
      <c r="M5483" s="127">
        <v>622505</v>
      </c>
      <c r="N5483" s="112"/>
      <c r="O5483" s="85" t="s">
        <v>5810</v>
      </c>
      <c r="P5483" s="20" t="s">
        <v>3834</v>
      </c>
      <c r="Q5483" s="20" t="s">
        <v>5687</v>
      </c>
    </row>
    <row r="5484" spans="1:17" ht="21">
      <c r="A5484" s="20"/>
      <c r="B5484" s="20" t="s">
        <v>1281</v>
      </c>
      <c r="C5484" s="20"/>
      <c r="D5484" s="20" t="s">
        <v>1281</v>
      </c>
      <c r="E5484" s="19" t="str">
        <f>VLOOKUP(D5484,'لیست پرسنل'!$B$2:$E$1020,3,FALSE)</f>
        <v>خیریه</v>
      </c>
      <c r="F5484" s="19" t="str">
        <f>VLOOKUP(D5484,'لیست پرسنل'!$B$2:$E$1020,4,FALSE)</f>
        <v>خیریه</v>
      </c>
      <c r="G5484" s="127">
        <f>VLOOKUP(D5484,'لیست پرسنل'!$B$2:$F$1020,2,FALSE)</f>
        <v>0</v>
      </c>
      <c r="H5484" s="126" t="s">
        <v>4512</v>
      </c>
      <c r="I5484" s="128" t="s">
        <v>1281</v>
      </c>
      <c r="J5484" s="128" t="s">
        <v>2686</v>
      </c>
      <c r="K5484" s="127" t="s">
        <v>364</v>
      </c>
      <c r="L5484" s="151" t="s">
        <v>1133</v>
      </c>
      <c r="M5484" s="127">
        <v>622536</v>
      </c>
      <c r="N5484" s="112"/>
      <c r="O5484" s="85" t="s">
        <v>5809</v>
      </c>
      <c r="P5484" s="20" t="s">
        <v>3834</v>
      </c>
      <c r="Q5484" s="20" t="s">
        <v>5687</v>
      </c>
    </row>
    <row r="5485" spans="1:17" ht="26.25" customHeight="1">
      <c r="A5485" s="20"/>
      <c r="B5485" s="20" t="s">
        <v>1281</v>
      </c>
      <c r="C5485" s="20"/>
      <c r="D5485" s="20" t="s">
        <v>1281</v>
      </c>
      <c r="E5485" s="19" t="str">
        <f>VLOOKUP(D5485,'لیست پرسنل'!$B$2:$E$1020,3,FALSE)</f>
        <v>خیریه</v>
      </c>
      <c r="F5485" s="19" t="str">
        <f>VLOOKUP(D5485,'لیست پرسنل'!$B$2:$E$1020,4,FALSE)</f>
        <v>خیریه</v>
      </c>
      <c r="G5485" s="127">
        <f>VLOOKUP(D5485,'لیست پرسنل'!$B$2:$F$1020,2,FALSE)</f>
        <v>0</v>
      </c>
      <c r="H5485" s="126" t="s">
        <v>4512</v>
      </c>
      <c r="I5485" s="128" t="s">
        <v>1281</v>
      </c>
      <c r="J5485" s="128" t="s">
        <v>2686</v>
      </c>
      <c r="K5485" s="135" t="s">
        <v>622</v>
      </c>
      <c r="L5485" s="151" t="s">
        <v>628</v>
      </c>
      <c r="M5485" s="127">
        <v>622607</v>
      </c>
      <c r="N5485" s="112" t="s">
        <v>5296</v>
      </c>
      <c r="O5485" s="85" t="s">
        <v>4514</v>
      </c>
      <c r="P5485" s="20" t="s">
        <v>3834</v>
      </c>
      <c r="Q5485" s="20" t="s">
        <v>5687</v>
      </c>
    </row>
    <row r="5486" spans="1:17" ht="21">
      <c r="A5486" s="20"/>
      <c r="B5486" s="20" t="s">
        <v>1281</v>
      </c>
      <c r="C5486" s="20"/>
      <c r="D5486" s="20" t="s">
        <v>1281</v>
      </c>
      <c r="E5486" s="19" t="str">
        <f>VLOOKUP(D5486,'لیست پرسنل'!$B$2:$E$1020,3,FALSE)</f>
        <v>خیریه</v>
      </c>
      <c r="F5486" s="19" t="str">
        <f>VLOOKUP(D5486,'لیست پرسنل'!$B$2:$E$1020,4,FALSE)</f>
        <v>خیریه</v>
      </c>
      <c r="G5486" s="127">
        <f>VLOOKUP(D5486,'لیست پرسنل'!$B$2:$F$1020,2,FALSE)</f>
        <v>0</v>
      </c>
      <c r="H5486" s="126" t="s">
        <v>4512</v>
      </c>
      <c r="I5486" s="128" t="s">
        <v>1281</v>
      </c>
      <c r="J5486" s="128" t="s">
        <v>2686</v>
      </c>
      <c r="K5486" s="177" t="s">
        <v>623</v>
      </c>
      <c r="L5486" s="151" t="s">
        <v>2190</v>
      </c>
      <c r="M5486" s="132">
        <v>622617</v>
      </c>
      <c r="N5486" s="112"/>
      <c r="O5486" s="85" t="s">
        <v>4514</v>
      </c>
      <c r="P5486" s="20" t="s">
        <v>3834</v>
      </c>
      <c r="Q5486" s="20" t="s">
        <v>5687</v>
      </c>
    </row>
    <row r="5487" spans="1:17" ht="21">
      <c r="A5487" s="20"/>
      <c r="B5487" s="20" t="s">
        <v>1281</v>
      </c>
      <c r="C5487" s="20"/>
      <c r="D5487" s="20" t="s">
        <v>1281</v>
      </c>
      <c r="E5487" s="19" t="str">
        <f>VLOOKUP(D5487,'لیست پرسنل'!$B$2:$E$1020,3,FALSE)</f>
        <v>خیریه</v>
      </c>
      <c r="F5487" s="19" t="str">
        <f>VLOOKUP(D5487,'لیست پرسنل'!$B$2:$E$1020,4,FALSE)</f>
        <v>خیریه</v>
      </c>
      <c r="G5487" s="127">
        <f>VLOOKUP(D5487,'لیست پرسنل'!$B$2:$F$1020,2,FALSE)</f>
        <v>0</v>
      </c>
      <c r="H5487" s="126" t="s">
        <v>4512</v>
      </c>
      <c r="I5487" s="128" t="s">
        <v>1281</v>
      </c>
      <c r="J5487" s="128" t="s">
        <v>2686</v>
      </c>
      <c r="K5487" s="127" t="s">
        <v>1424</v>
      </c>
      <c r="L5487" s="151" t="s">
        <v>684</v>
      </c>
      <c r="M5487" s="127">
        <v>622622</v>
      </c>
      <c r="N5487" s="110"/>
      <c r="O5487" s="85" t="s">
        <v>4514</v>
      </c>
      <c r="P5487" s="20" t="s">
        <v>3834</v>
      </c>
      <c r="Q5487" s="20" t="s">
        <v>5687</v>
      </c>
    </row>
    <row r="5488" spans="1:17" ht="21">
      <c r="A5488" s="20"/>
      <c r="B5488" s="20" t="s">
        <v>1281</v>
      </c>
      <c r="C5488" s="20"/>
      <c r="D5488" s="20" t="s">
        <v>1281</v>
      </c>
      <c r="E5488" s="19" t="str">
        <f>VLOOKUP(D5488,'لیست پرسنل'!$B$2:$E$1020,3,FALSE)</f>
        <v>خیریه</v>
      </c>
      <c r="F5488" s="19" t="str">
        <f>VLOOKUP(D5488,'لیست پرسنل'!$B$2:$E$1020,4,FALSE)</f>
        <v>خیریه</v>
      </c>
      <c r="G5488" s="127">
        <f>VLOOKUP(D5488,'لیست پرسنل'!$B$2:$F$1020,2,FALSE)</f>
        <v>0</v>
      </c>
      <c r="H5488" s="126" t="s">
        <v>4512</v>
      </c>
      <c r="I5488" s="128" t="s">
        <v>1281</v>
      </c>
      <c r="J5488" s="128" t="s">
        <v>2686</v>
      </c>
      <c r="K5488" s="128" t="s">
        <v>622</v>
      </c>
      <c r="L5488" s="151" t="s">
        <v>1051</v>
      </c>
      <c r="M5488" s="127">
        <v>623629</v>
      </c>
      <c r="N5488" s="112" t="s">
        <v>5297</v>
      </c>
      <c r="O5488" s="85" t="s">
        <v>4514</v>
      </c>
      <c r="P5488" s="20" t="s">
        <v>3834</v>
      </c>
      <c r="Q5488" s="20" t="s">
        <v>5687</v>
      </c>
    </row>
    <row r="5489" spans="1:17" ht="26.25" customHeight="1">
      <c r="A5489" s="20"/>
      <c r="B5489" s="20" t="s">
        <v>1281</v>
      </c>
      <c r="C5489" s="20"/>
      <c r="D5489" s="20" t="s">
        <v>1281</v>
      </c>
      <c r="E5489" s="19" t="str">
        <f>VLOOKUP(D5489,'لیست پرسنل'!$B$2:$E$1020,3,FALSE)</f>
        <v>خیریه</v>
      </c>
      <c r="F5489" s="19" t="str">
        <f>VLOOKUP(D5489,'لیست پرسنل'!$B$2:$E$1020,4,FALSE)</f>
        <v>خیریه</v>
      </c>
      <c r="G5489" s="127">
        <f>VLOOKUP(D5489,'لیست پرسنل'!$B$2:$F$1020,2,FALSE)</f>
        <v>0</v>
      </c>
      <c r="H5489" s="128" t="s">
        <v>7337</v>
      </c>
      <c r="I5489" s="128"/>
      <c r="J5489" s="128" t="s">
        <v>571</v>
      </c>
      <c r="K5489" s="127"/>
      <c r="L5489" s="152"/>
      <c r="M5489" s="127">
        <v>606002</v>
      </c>
      <c r="N5489" s="110" t="s">
        <v>7340</v>
      </c>
      <c r="O5489" s="102"/>
      <c r="P5489" s="19" t="s">
        <v>5869</v>
      </c>
      <c r="Q5489" s="19" t="s">
        <v>7338</v>
      </c>
    </row>
    <row r="5490" spans="1:17" ht="21">
      <c r="A5490" s="20"/>
      <c r="B5490" s="20" t="s">
        <v>1281</v>
      </c>
      <c r="C5490" s="20"/>
      <c r="D5490" s="20" t="s">
        <v>1281</v>
      </c>
      <c r="E5490" s="19" t="str">
        <f>VLOOKUP(D5490,'لیست پرسنل'!$B$2:$E$1020,3,FALSE)</f>
        <v>خیریه</v>
      </c>
      <c r="F5490" s="19" t="str">
        <f>VLOOKUP(D5490,'لیست پرسنل'!$B$2:$E$1020,4,FALSE)</f>
        <v>خیریه</v>
      </c>
      <c r="G5490" s="127">
        <f>VLOOKUP(D5490,'لیست پرسنل'!$B$2:$F$1020,2,FALSE)</f>
        <v>0</v>
      </c>
      <c r="H5490" s="128" t="s">
        <v>7337</v>
      </c>
      <c r="I5490" s="128"/>
      <c r="J5490" s="128" t="s">
        <v>2686</v>
      </c>
      <c r="K5490" s="128" t="s">
        <v>624</v>
      </c>
      <c r="L5490" s="128" t="s">
        <v>2529</v>
      </c>
      <c r="M5490" s="127">
        <v>632150</v>
      </c>
      <c r="N5490" s="110" t="s">
        <v>7340</v>
      </c>
      <c r="O5490" s="66" t="s">
        <v>5968</v>
      </c>
      <c r="P5490" s="20" t="s">
        <v>5869</v>
      </c>
      <c r="Q5490" s="20" t="s">
        <v>7338</v>
      </c>
    </row>
    <row r="5491" spans="1:17" ht="21">
      <c r="A5491" s="20"/>
      <c r="B5491" s="20" t="s">
        <v>1281</v>
      </c>
      <c r="C5491" s="19"/>
      <c r="D5491" s="20" t="s">
        <v>1281</v>
      </c>
      <c r="E5491" s="19" t="str">
        <f>VLOOKUP(D5491,'لیست پرسنل'!$B$2:$E$1020,3,FALSE)</f>
        <v>خیریه</v>
      </c>
      <c r="F5491" s="19" t="str">
        <f>VLOOKUP(D5491,'لیست پرسنل'!$B$2:$E$1020,4,FALSE)</f>
        <v>خیریه</v>
      </c>
      <c r="G5491" s="127">
        <f>VLOOKUP(D5491,'لیست پرسنل'!$B$2:$F$1020,2,FALSE)</f>
        <v>0</v>
      </c>
      <c r="H5491" s="126" t="s">
        <v>4502</v>
      </c>
      <c r="I5491" s="128" t="s">
        <v>1281</v>
      </c>
      <c r="J5491" s="141" t="s">
        <v>571</v>
      </c>
      <c r="K5491" s="127" t="s">
        <v>571</v>
      </c>
      <c r="L5491" s="150"/>
      <c r="M5491" s="128">
        <v>603210</v>
      </c>
      <c r="N5491" s="112"/>
      <c r="O5491" s="85" t="s">
        <v>4503</v>
      </c>
      <c r="P5491" s="20" t="s">
        <v>5684</v>
      </c>
      <c r="Q5491" s="20" t="s">
        <v>5685</v>
      </c>
    </row>
    <row r="5492" spans="1:17" ht="26.25" customHeight="1">
      <c r="A5492" s="20"/>
      <c r="B5492" s="20" t="s">
        <v>1281</v>
      </c>
      <c r="C5492" s="19"/>
      <c r="D5492" s="20" t="s">
        <v>1281</v>
      </c>
      <c r="E5492" s="19" t="str">
        <f>VLOOKUP(D5492,'لیست پرسنل'!$B$2:$E$1020,3,FALSE)</f>
        <v>خیریه</v>
      </c>
      <c r="F5492" s="19" t="str">
        <f>VLOOKUP(D5492,'لیست پرسنل'!$B$2:$E$1020,4,FALSE)</f>
        <v>خیریه</v>
      </c>
      <c r="G5492" s="127">
        <f>VLOOKUP(D5492,'لیست پرسنل'!$B$2:$F$1020,2,FALSE)</f>
        <v>0</v>
      </c>
      <c r="H5492" s="126" t="s">
        <v>4502</v>
      </c>
      <c r="I5492" s="128" t="s">
        <v>1281</v>
      </c>
      <c r="J5492" s="141" t="s">
        <v>571</v>
      </c>
      <c r="K5492" s="127" t="s">
        <v>571</v>
      </c>
      <c r="L5492" s="150"/>
      <c r="M5492" s="132">
        <v>605424</v>
      </c>
      <c r="N5492" s="112"/>
      <c r="O5492" s="85" t="s">
        <v>4503</v>
      </c>
      <c r="P5492" s="20" t="s">
        <v>5684</v>
      </c>
      <c r="Q5492" s="20" t="s">
        <v>5685</v>
      </c>
    </row>
    <row r="5493" spans="1:17" ht="26.25" customHeight="1">
      <c r="A5493" s="20"/>
      <c r="B5493" s="20" t="s">
        <v>1281</v>
      </c>
      <c r="C5493" s="19"/>
      <c r="D5493" s="20" t="s">
        <v>1281</v>
      </c>
      <c r="E5493" s="19" t="str">
        <f>VLOOKUP(D5493,'لیست پرسنل'!$B$2:$E$1020,3,FALSE)</f>
        <v>خیریه</v>
      </c>
      <c r="F5493" s="19" t="str">
        <f>VLOOKUP(D5493,'لیست پرسنل'!$B$2:$E$1020,4,FALSE)</f>
        <v>خیریه</v>
      </c>
      <c r="G5493" s="127">
        <f>VLOOKUP(D5493,'لیست پرسنل'!$B$2:$F$1020,2,FALSE)</f>
        <v>0</v>
      </c>
      <c r="H5493" s="126" t="s">
        <v>4502</v>
      </c>
      <c r="I5493" s="128" t="s">
        <v>1281</v>
      </c>
      <c r="J5493" s="141" t="s">
        <v>571</v>
      </c>
      <c r="K5493" s="127" t="s">
        <v>571</v>
      </c>
      <c r="L5493" s="150"/>
      <c r="M5493" s="128">
        <v>605602</v>
      </c>
      <c r="N5493" s="112"/>
      <c r="O5493" s="85" t="s">
        <v>4503</v>
      </c>
      <c r="P5493" s="20" t="s">
        <v>5684</v>
      </c>
      <c r="Q5493" s="20" t="s">
        <v>5685</v>
      </c>
    </row>
    <row r="5494" spans="1:17" ht="26.25" customHeight="1">
      <c r="A5494" s="20"/>
      <c r="B5494" s="20" t="s">
        <v>1281</v>
      </c>
      <c r="C5494" s="19"/>
      <c r="D5494" s="20" t="s">
        <v>1281</v>
      </c>
      <c r="E5494" s="19" t="str">
        <f>VLOOKUP(D5494,'لیست پرسنل'!$B$2:$E$1020,3,FALSE)</f>
        <v>خیریه</v>
      </c>
      <c r="F5494" s="19" t="str">
        <f>VLOOKUP(D5494,'لیست پرسنل'!$B$2:$E$1020,4,FALSE)</f>
        <v>خیریه</v>
      </c>
      <c r="G5494" s="127">
        <f>VLOOKUP(D5494,'لیست پرسنل'!$B$2:$F$1020,2,FALSE)</f>
        <v>0</v>
      </c>
      <c r="H5494" s="126" t="s">
        <v>4502</v>
      </c>
      <c r="I5494" s="128" t="s">
        <v>1281</v>
      </c>
      <c r="J5494" s="141" t="s">
        <v>571</v>
      </c>
      <c r="K5494" s="127" t="s">
        <v>571</v>
      </c>
      <c r="L5494" s="127"/>
      <c r="M5494" s="128">
        <v>606500</v>
      </c>
      <c r="N5494" s="112"/>
      <c r="O5494" s="85" t="s">
        <v>4503</v>
      </c>
      <c r="P5494" s="20" t="s">
        <v>5684</v>
      </c>
      <c r="Q5494" s="20" t="s">
        <v>5685</v>
      </c>
    </row>
    <row r="5495" spans="1:17" ht="21">
      <c r="A5495" s="20"/>
      <c r="B5495" s="20" t="s">
        <v>1281</v>
      </c>
      <c r="C5495" s="19"/>
      <c r="D5495" s="20" t="s">
        <v>1281</v>
      </c>
      <c r="E5495" s="19" t="str">
        <f>VLOOKUP(D5495,'لیست پرسنل'!$B$2:$E$1020,3,FALSE)</f>
        <v>خیریه</v>
      </c>
      <c r="F5495" s="19" t="str">
        <f>VLOOKUP(D5495,'لیست پرسنل'!$B$2:$E$1020,4,FALSE)</f>
        <v>خیریه</v>
      </c>
      <c r="G5495" s="127">
        <f>VLOOKUP(D5495,'لیست پرسنل'!$B$2:$F$1020,2,FALSE)</f>
        <v>0</v>
      </c>
      <c r="H5495" s="126" t="s">
        <v>4502</v>
      </c>
      <c r="I5495" s="128" t="s">
        <v>1281</v>
      </c>
      <c r="J5495" s="141" t="s">
        <v>571</v>
      </c>
      <c r="K5495" s="127" t="s">
        <v>571</v>
      </c>
      <c r="L5495" s="150"/>
      <c r="M5495" s="132">
        <v>606625</v>
      </c>
      <c r="N5495" s="112"/>
      <c r="O5495" s="85" t="s">
        <v>4503</v>
      </c>
      <c r="P5495" s="20" t="s">
        <v>5684</v>
      </c>
      <c r="Q5495" s="20" t="s">
        <v>5685</v>
      </c>
    </row>
    <row r="5496" spans="1:17" ht="26.25" customHeight="1">
      <c r="A5496" s="20"/>
      <c r="B5496" s="20" t="s">
        <v>1281</v>
      </c>
      <c r="C5496" s="19"/>
      <c r="D5496" s="20" t="s">
        <v>1281</v>
      </c>
      <c r="E5496" s="19" t="str">
        <f>VLOOKUP(D5496,'لیست پرسنل'!$B$2:$E$1020,3,FALSE)</f>
        <v>خیریه</v>
      </c>
      <c r="F5496" s="19" t="str">
        <f>VLOOKUP(D5496,'لیست پرسنل'!$B$2:$E$1020,4,FALSE)</f>
        <v>خیریه</v>
      </c>
      <c r="G5496" s="127">
        <f>VLOOKUP(D5496,'لیست پرسنل'!$B$2:$F$1020,2,FALSE)</f>
        <v>0</v>
      </c>
      <c r="H5496" s="126" t="s">
        <v>4502</v>
      </c>
      <c r="I5496" s="128" t="s">
        <v>1281</v>
      </c>
      <c r="J5496" s="141" t="s">
        <v>571</v>
      </c>
      <c r="K5496" s="127" t="s">
        <v>571</v>
      </c>
      <c r="L5496" s="127"/>
      <c r="M5496" s="128">
        <v>607076</v>
      </c>
      <c r="N5496" s="112"/>
      <c r="O5496" s="85" t="s">
        <v>4503</v>
      </c>
      <c r="P5496" s="20" t="s">
        <v>5684</v>
      </c>
      <c r="Q5496" s="20" t="s">
        <v>5685</v>
      </c>
    </row>
    <row r="5497" spans="1:17" ht="21">
      <c r="A5497" s="20"/>
      <c r="B5497" s="20" t="s">
        <v>1281</v>
      </c>
      <c r="C5497" s="19"/>
      <c r="D5497" s="20" t="s">
        <v>1281</v>
      </c>
      <c r="E5497" s="19" t="str">
        <f>VLOOKUP(D5497,'لیست پرسنل'!$B$2:$E$1020,3,FALSE)</f>
        <v>خیریه</v>
      </c>
      <c r="F5497" s="19" t="str">
        <f>VLOOKUP(D5497,'لیست پرسنل'!$B$2:$E$1020,4,FALSE)</f>
        <v>خیریه</v>
      </c>
      <c r="G5497" s="127">
        <f>VLOOKUP(D5497,'لیست پرسنل'!$B$2:$F$1020,2,FALSE)</f>
        <v>0</v>
      </c>
      <c r="H5497" s="126" t="s">
        <v>4502</v>
      </c>
      <c r="I5497" s="128" t="s">
        <v>1281</v>
      </c>
      <c r="J5497" s="141" t="s">
        <v>571</v>
      </c>
      <c r="K5497" s="127" t="s">
        <v>571</v>
      </c>
      <c r="L5497" s="150"/>
      <c r="M5497" s="132">
        <v>607905</v>
      </c>
      <c r="N5497" s="112"/>
      <c r="O5497" s="85" t="s">
        <v>4503</v>
      </c>
      <c r="P5497" s="20" t="s">
        <v>5684</v>
      </c>
      <c r="Q5497" s="20" t="s">
        <v>5685</v>
      </c>
    </row>
    <row r="5498" spans="1:17" ht="26.25" customHeight="1">
      <c r="A5498" s="20"/>
      <c r="B5498" s="20" t="s">
        <v>1281</v>
      </c>
      <c r="C5498" s="19"/>
      <c r="D5498" s="20" t="s">
        <v>1281</v>
      </c>
      <c r="E5498" s="19" t="str">
        <f>VLOOKUP(D5498,'لیست پرسنل'!$B$2:$E$1020,3,FALSE)</f>
        <v>خیریه</v>
      </c>
      <c r="F5498" s="19" t="str">
        <f>VLOOKUP(D5498,'لیست پرسنل'!$B$2:$E$1020,4,FALSE)</f>
        <v>خیریه</v>
      </c>
      <c r="G5498" s="127">
        <f>VLOOKUP(D5498,'لیست پرسنل'!$B$2:$F$1020,2,FALSE)</f>
        <v>0</v>
      </c>
      <c r="H5498" s="126" t="s">
        <v>4502</v>
      </c>
      <c r="I5498" s="128" t="s">
        <v>1281</v>
      </c>
      <c r="J5498" s="141" t="s">
        <v>571</v>
      </c>
      <c r="K5498" s="127" t="s">
        <v>571</v>
      </c>
      <c r="L5498" s="127"/>
      <c r="M5498" s="128">
        <v>609571</v>
      </c>
      <c r="N5498" s="112"/>
      <c r="O5498" s="85" t="s">
        <v>4503</v>
      </c>
      <c r="P5498" s="20" t="s">
        <v>5684</v>
      </c>
      <c r="Q5498" s="20" t="s">
        <v>5685</v>
      </c>
    </row>
    <row r="5499" spans="1:17" ht="26.25" customHeight="1">
      <c r="A5499" s="20"/>
      <c r="B5499" s="20" t="s">
        <v>1281</v>
      </c>
      <c r="C5499" s="19"/>
      <c r="D5499" s="20" t="s">
        <v>1281</v>
      </c>
      <c r="E5499" s="19" t="str">
        <f>VLOOKUP(D5499,'لیست پرسنل'!$B$2:$E$1020,3,FALSE)</f>
        <v>خیریه</v>
      </c>
      <c r="F5499" s="19" t="str">
        <f>VLOOKUP(D5499,'لیست پرسنل'!$B$2:$E$1020,4,FALSE)</f>
        <v>خیریه</v>
      </c>
      <c r="G5499" s="127">
        <f>VLOOKUP(D5499,'لیست پرسنل'!$B$2:$F$1020,2,FALSE)</f>
        <v>0</v>
      </c>
      <c r="H5499" s="126" t="s">
        <v>4502</v>
      </c>
      <c r="I5499" s="128" t="s">
        <v>1281</v>
      </c>
      <c r="J5499" s="141" t="s">
        <v>571</v>
      </c>
      <c r="K5499" s="127" t="s">
        <v>571</v>
      </c>
      <c r="L5499" s="150"/>
      <c r="M5499" s="128">
        <v>611952</v>
      </c>
      <c r="N5499" s="112"/>
      <c r="O5499" s="85" t="s">
        <v>4503</v>
      </c>
      <c r="P5499" s="20" t="s">
        <v>5684</v>
      </c>
      <c r="Q5499" s="20" t="s">
        <v>5685</v>
      </c>
    </row>
    <row r="5500" spans="1:17" ht="26.25" customHeight="1">
      <c r="A5500" s="20"/>
      <c r="B5500" s="20" t="s">
        <v>1281</v>
      </c>
      <c r="C5500" s="19"/>
      <c r="D5500" s="20" t="s">
        <v>1281</v>
      </c>
      <c r="E5500" s="19" t="str">
        <f>VLOOKUP(D5500,'لیست پرسنل'!$B$2:$E$1020,3,FALSE)</f>
        <v>خیریه</v>
      </c>
      <c r="F5500" s="19" t="str">
        <f>VLOOKUP(D5500,'لیست پرسنل'!$B$2:$E$1020,4,FALSE)</f>
        <v>خیریه</v>
      </c>
      <c r="G5500" s="127">
        <f>VLOOKUP(D5500,'لیست پرسنل'!$B$2:$F$1020,2,FALSE)</f>
        <v>0</v>
      </c>
      <c r="H5500" s="126" t="s">
        <v>4502</v>
      </c>
      <c r="I5500" s="128" t="s">
        <v>1281</v>
      </c>
      <c r="J5500" s="141" t="s">
        <v>571</v>
      </c>
      <c r="K5500" s="127" t="s">
        <v>571</v>
      </c>
      <c r="L5500" s="150"/>
      <c r="M5500" s="132">
        <v>622520</v>
      </c>
      <c r="N5500" s="112"/>
      <c r="O5500" s="85" t="s">
        <v>4503</v>
      </c>
      <c r="P5500" s="20" t="s">
        <v>5684</v>
      </c>
      <c r="Q5500" s="20" t="s">
        <v>5685</v>
      </c>
    </row>
    <row r="5501" spans="1:17" ht="21">
      <c r="A5501" s="20"/>
      <c r="B5501" s="20" t="s">
        <v>1281</v>
      </c>
      <c r="C5501" s="19"/>
      <c r="D5501" s="20" t="s">
        <v>1281</v>
      </c>
      <c r="E5501" s="19" t="str">
        <f>VLOOKUP(D5501,'لیست پرسنل'!$B$2:$E$1020,3,FALSE)</f>
        <v>خیریه</v>
      </c>
      <c r="F5501" s="19" t="str">
        <f>VLOOKUP(D5501,'لیست پرسنل'!$B$2:$E$1020,4,FALSE)</f>
        <v>خیریه</v>
      </c>
      <c r="G5501" s="127">
        <f>VLOOKUP(D5501,'لیست پرسنل'!$B$2:$F$1020,2,FALSE)</f>
        <v>0</v>
      </c>
      <c r="H5501" s="126" t="s">
        <v>4502</v>
      </c>
      <c r="I5501" s="128" t="s">
        <v>1281</v>
      </c>
      <c r="J5501" s="128" t="s">
        <v>2686</v>
      </c>
      <c r="K5501" s="127" t="s">
        <v>1244</v>
      </c>
      <c r="L5501" s="151" t="s">
        <v>2860</v>
      </c>
      <c r="M5501" s="132">
        <v>601524</v>
      </c>
      <c r="N5501" s="112"/>
      <c r="O5501" s="85" t="s">
        <v>4503</v>
      </c>
      <c r="P5501" s="20" t="s">
        <v>5684</v>
      </c>
      <c r="Q5501" s="20" t="s">
        <v>5685</v>
      </c>
    </row>
    <row r="5502" spans="1:17" ht="21">
      <c r="A5502" s="20"/>
      <c r="B5502" s="20" t="s">
        <v>1281</v>
      </c>
      <c r="C5502" s="19"/>
      <c r="D5502" s="19" t="s">
        <v>1281</v>
      </c>
      <c r="E5502" s="19" t="str">
        <f>VLOOKUP(D5502,'لیست پرسنل'!$B$2:$E$1020,3,FALSE)</f>
        <v>خیریه</v>
      </c>
      <c r="F5502" s="19" t="str">
        <f>VLOOKUP(D5502,'لیست پرسنل'!$B$2:$E$1020,4,FALSE)</f>
        <v>خیریه</v>
      </c>
      <c r="G5502" s="127">
        <f>VLOOKUP(D5502,'لیست پرسنل'!$B$2:$F$1020,2,FALSE)</f>
        <v>0</v>
      </c>
      <c r="H5502" s="151" t="s">
        <v>4502</v>
      </c>
      <c r="I5502" s="128" t="s">
        <v>1281</v>
      </c>
      <c r="J5502" s="128" t="s">
        <v>2686</v>
      </c>
      <c r="K5502" s="127" t="s">
        <v>1504</v>
      </c>
      <c r="L5502" s="151" t="s">
        <v>4477</v>
      </c>
      <c r="M5502" s="127">
        <v>601556</v>
      </c>
      <c r="N5502" s="112"/>
      <c r="O5502" s="85" t="s">
        <v>4503</v>
      </c>
      <c r="P5502" s="20" t="s">
        <v>5684</v>
      </c>
      <c r="Q5502" s="20" t="s">
        <v>5685</v>
      </c>
    </row>
    <row r="5503" spans="1:17" ht="26.25" customHeight="1">
      <c r="A5503" s="20"/>
      <c r="B5503" s="20" t="s">
        <v>1281</v>
      </c>
      <c r="C5503" s="19"/>
      <c r="D5503" s="20" t="s">
        <v>1281</v>
      </c>
      <c r="E5503" s="19" t="str">
        <f>VLOOKUP(D5503,'لیست پرسنل'!$B$2:$E$1020,3,FALSE)</f>
        <v>خیریه</v>
      </c>
      <c r="F5503" s="19" t="str">
        <f>VLOOKUP(D5503,'لیست پرسنل'!$B$2:$E$1020,4,FALSE)</f>
        <v>خیریه</v>
      </c>
      <c r="G5503" s="127">
        <f>VLOOKUP(D5503,'لیست پرسنل'!$B$2:$F$1020,2,FALSE)</f>
        <v>0</v>
      </c>
      <c r="H5503" s="126" t="s">
        <v>4502</v>
      </c>
      <c r="I5503" s="128" t="s">
        <v>1281</v>
      </c>
      <c r="J5503" s="128" t="s">
        <v>2686</v>
      </c>
      <c r="K5503" s="127" t="s">
        <v>346</v>
      </c>
      <c r="L5503" s="151" t="s">
        <v>3797</v>
      </c>
      <c r="M5503" s="132">
        <v>601557</v>
      </c>
      <c r="N5503" s="112"/>
      <c r="O5503" s="85" t="s">
        <v>4503</v>
      </c>
      <c r="P5503" s="20" t="s">
        <v>5684</v>
      </c>
      <c r="Q5503" s="20" t="s">
        <v>5685</v>
      </c>
    </row>
    <row r="5504" spans="1:17" ht="26.25" customHeight="1">
      <c r="A5504" s="20"/>
      <c r="B5504" s="20" t="s">
        <v>1281</v>
      </c>
      <c r="C5504" s="19"/>
      <c r="D5504" s="20" t="s">
        <v>1281</v>
      </c>
      <c r="E5504" s="19" t="str">
        <f>VLOOKUP(D5504,'لیست پرسنل'!$B$2:$E$1020,3,FALSE)</f>
        <v>خیریه</v>
      </c>
      <c r="F5504" s="19" t="str">
        <f>VLOOKUP(D5504,'لیست پرسنل'!$B$2:$E$1020,4,FALSE)</f>
        <v>خیریه</v>
      </c>
      <c r="G5504" s="127">
        <f>VLOOKUP(D5504,'لیست پرسنل'!$B$2:$F$1020,2,FALSE)</f>
        <v>0</v>
      </c>
      <c r="H5504" s="126" t="s">
        <v>4502</v>
      </c>
      <c r="I5504" s="128" t="s">
        <v>1281</v>
      </c>
      <c r="J5504" s="128" t="s">
        <v>2686</v>
      </c>
      <c r="K5504" s="135" t="s">
        <v>324</v>
      </c>
      <c r="L5504" s="151" t="s">
        <v>1162</v>
      </c>
      <c r="M5504" s="132">
        <v>601568</v>
      </c>
      <c r="N5504" s="112"/>
      <c r="O5504" s="85" t="s">
        <v>4503</v>
      </c>
      <c r="P5504" s="20" t="s">
        <v>5684</v>
      </c>
      <c r="Q5504" s="20" t="s">
        <v>5685</v>
      </c>
    </row>
    <row r="5505" spans="1:17" ht="26.25" customHeight="1">
      <c r="A5505" s="20"/>
      <c r="B5505" s="20" t="s">
        <v>1281</v>
      </c>
      <c r="C5505" s="19"/>
      <c r="D5505" s="20" t="s">
        <v>1281</v>
      </c>
      <c r="E5505" s="19" t="str">
        <f>VLOOKUP(D5505,'لیست پرسنل'!$B$2:$E$1020,3,FALSE)</f>
        <v>خیریه</v>
      </c>
      <c r="F5505" s="19" t="str">
        <f>VLOOKUP(D5505,'لیست پرسنل'!$B$2:$E$1020,4,FALSE)</f>
        <v>خیریه</v>
      </c>
      <c r="G5505" s="127">
        <f>VLOOKUP(D5505,'لیست پرسنل'!$B$2:$F$1020,2,FALSE)</f>
        <v>0</v>
      </c>
      <c r="H5505" s="126" t="s">
        <v>4502</v>
      </c>
      <c r="I5505" s="128" t="s">
        <v>1281</v>
      </c>
      <c r="J5505" s="128" t="s">
        <v>2686</v>
      </c>
      <c r="K5505" s="127" t="s">
        <v>2655</v>
      </c>
      <c r="L5505" s="151" t="s">
        <v>4008</v>
      </c>
      <c r="M5505" s="132">
        <v>605715</v>
      </c>
      <c r="N5505" s="112"/>
      <c r="O5505" s="85" t="s">
        <v>4503</v>
      </c>
      <c r="P5505" s="20" t="s">
        <v>5684</v>
      </c>
      <c r="Q5505" s="20" t="s">
        <v>5685</v>
      </c>
    </row>
    <row r="5506" spans="1:17" ht="26.25" customHeight="1">
      <c r="A5506" s="20"/>
      <c r="B5506" s="20" t="s">
        <v>1281</v>
      </c>
      <c r="C5506" s="19"/>
      <c r="D5506" s="20" t="s">
        <v>1281</v>
      </c>
      <c r="E5506" s="19" t="str">
        <f>VLOOKUP(D5506,'لیست پرسنل'!$B$2:$E$1020,3,FALSE)</f>
        <v>خیریه</v>
      </c>
      <c r="F5506" s="19" t="str">
        <f>VLOOKUP(D5506,'لیست پرسنل'!$B$2:$E$1020,4,FALSE)</f>
        <v>خیریه</v>
      </c>
      <c r="G5506" s="127">
        <f>VLOOKUP(D5506,'لیست پرسنل'!$B$2:$F$1020,2,FALSE)</f>
        <v>0</v>
      </c>
      <c r="H5506" s="126" t="s">
        <v>4502</v>
      </c>
      <c r="I5506" s="128" t="s">
        <v>1281</v>
      </c>
      <c r="J5506" s="128" t="s">
        <v>2686</v>
      </c>
      <c r="K5506" s="127" t="s">
        <v>324</v>
      </c>
      <c r="L5506" s="151" t="s">
        <v>2865</v>
      </c>
      <c r="M5506" s="132">
        <v>606679</v>
      </c>
      <c r="N5506" s="112"/>
      <c r="O5506" s="85" t="s">
        <v>4503</v>
      </c>
      <c r="P5506" s="20" t="s">
        <v>5684</v>
      </c>
      <c r="Q5506" s="20" t="s">
        <v>5685</v>
      </c>
    </row>
    <row r="5507" spans="1:17" ht="26.25" customHeight="1">
      <c r="A5507" s="20"/>
      <c r="B5507" s="20" t="s">
        <v>1281</v>
      </c>
      <c r="C5507" s="19"/>
      <c r="D5507" s="20" t="s">
        <v>1281</v>
      </c>
      <c r="E5507" s="19" t="str">
        <f>VLOOKUP(D5507,'لیست پرسنل'!$B$2:$E$1020,3,FALSE)</f>
        <v>خیریه</v>
      </c>
      <c r="F5507" s="19" t="str">
        <f>VLOOKUP(D5507,'لیست پرسنل'!$B$2:$E$1020,4,FALSE)</f>
        <v>خیریه</v>
      </c>
      <c r="G5507" s="127">
        <f>VLOOKUP(D5507,'لیست پرسنل'!$B$2:$F$1020,2,FALSE)</f>
        <v>0</v>
      </c>
      <c r="H5507" s="126" t="s">
        <v>4502</v>
      </c>
      <c r="I5507" s="128" t="s">
        <v>1281</v>
      </c>
      <c r="J5507" s="128" t="s">
        <v>2686</v>
      </c>
      <c r="K5507" s="127" t="s">
        <v>1175</v>
      </c>
      <c r="L5507" s="151" t="s">
        <v>2866</v>
      </c>
      <c r="M5507" s="132">
        <v>607347</v>
      </c>
      <c r="N5507" s="112"/>
      <c r="O5507" s="85" t="s">
        <v>4503</v>
      </c>
      <c r="P5507" s="20" t="s">
        <v>5684</v>
      </c>
      <c r="Q5507" s="20" t="s">
        <v>5685</v>
      </c>
    </row>
    <row r="5508" spans="1:17" ht="26.25" customHeight="1">
      <c r="A5508" s="20"/>
      <c r="B5508" s="20" t="s">
        <v>1281</v>
      </c>
      <c r="C5508" s="19"/>
      <c r="D5508" s="20" t="s">
        <v>1281</v>
      </c>
      <c r="E5508" s="19" t="str">
        <f>VLOOKUP(D5508,'لیست پرسنل'!$B$2:$E$1020,3,FALSE)</f>
        <v>خیریه</v>
      </c>
      <c r="F5508" s="19" t="str">
        <f>VLOOKUP(D5508,'لیست پرسنل'!$B$2:$E$1020,4,FALSE)</f>
        <v>خیریه</v>
      </c>
      <c r="G5508" s="127">
        <f>VLOOKUP(D5508,'لیست پرسنل'!$B$2:$F$1020,2,FALSE)</f>
        <v>0</v>
      </c>
      <c r="H5508" s="126" t="s">
        <v>4502</v>
      </c>
      <c r="I5508" s="128" t="s">
        <v>1281</v>
      </c>
      <c r="J5508" s="128" t="s">
        <v>2686</v>
      </c>
      <c r="K5508" s="127" t="s">
        <v>541</v>
      </c>
      <c r="L5508" s="151" t="s">
        <v>2069</v>
      </c>
      <c r="M5508" s="127">
        <v>607695</v>
      </c>
      <c r="N5508" s="112"/>
      <c r="O5508" s="85" t="s">
        <v>4503</v>
      </c>
      <c r="P5508" s="20" t="s">
        <v>5684</v>
      </c>
      <c r="Q5508" s="20" t="s">
        <v>5685</v>
      </c>
    </row>
    <row r="5509" spans="1:17" ht="26.25" customHeight="1">
      <c r="A5509" s="20"/>
      <c r="B5509" s="20" t="s">
        <v>1281</v>
      </c>
      <c r="C5509" s="19"/>
      <c r="D5509" s="20" t="s">
        <v>1281</v>
      </c>
      <c r="E5509" s="19" t="str">
        <f>VLOOKUP(D5509,'لیست پرسنل'!$B$2:$E$1020,3,FALSE)</f>
        <v>خیریه</v>
      </c>
      <c r="F5509" s="19" t="str">
        <f>VLOOKUP(D5509,'لیست پرسنل'!$B$2:$E$1020,4,FALSE)</f>
        <v>خیریه</v>
      </c>
      <c r="G5509" s="127">
        <f>VLOOKUP(D5509,'لیست پرسنل'!$B$2:$F$1020,2,FALSE)</f>
        <v>0</v>
      </c>
      <c r="H5509" s="126" t="s">
        <v>4502</v>
      </c>
      <c r="I5509" s="128" t="s">
        <v>1281</v>
      </c>
      <c r="J5509" s="128" t="s">
        <v>2686</v>
      </c>
      <c r="K5509" s="127" t="s">
        <v>1045</v>
      </c>
      <c r="L5509" s="151" t="s">
        <v>3792</v>
      </c>
      <c r="M5509" s="132">
        <v>608021</v>
      </c>
      <c r="N5509" s="112"/>
      <c r="O5509" s="85" t="s">
        <v>4503</v>
      </c>
      <c r="P5509" s="20" t="s">
        <v>5684</v>
      </c>
      <c r="Q5509" s="20" t="s">
        <v>5685</v>
      </c>
    </row>
    <row r="5510" spans="1:17" ht="26.25" customHeight="1">
      <c r="A5510" s="20"/>
      <c r="B5510" s="20" t="s">
        <v>1281</v>
      </c>
      <c r="C5510" s="19"/>
      <c r="D5510" s="20" t="s">
        <v>1281</v>
      </c>
      <c r="E5510" s="19" t="str">
        <f>VLOOKUP(D5510,'لیست پرسنل'!$B$2:$E$1020,3,FALSE)</f>
        <v>خیریه</v>
      </c>
      <c r="F5510" s="19" t="str">
        <f>VLOOKUP(D5510,'لیست پرسنل'!$B$2:$E$1020,4,FALSE)</f>
        <v>خیریه</v>
      </c>
      <c r="G5510" s="127">
        <f>VLOOKUP(D5510,'لیست پرسنل'!$B$2:$F$1020,2,FALSE)</f>
        <v>0</v>
      </c>
      <c r="H5510" s="126" t="s">
        <v>4502</v>
      </c>
      <c r="I5510" s="128" t="s">
        <v>1281</v>
      </c>
      <c r="J5510" s="128" t="s">
        <v>2686</v>
      </c>
      <c r="K5510" s="128" t="s">
        <v>1340</v>
      </c>
      <c r="L5510" s="150" t="s">
        <v>1339</v>
      </c>
      <c r="M5510" s="127">
        <v>622494</v>
      </c>
      <c r="N5510" s="112"/>
      <c r="O5510" s="85" t="s">
        <v>4503</v>
      </c>
      <c r="P5510" s="20" t="s">
        <v>5684</v>
      </c>
      <c r="Q5510" s="20" t="s">
        <v>5685</v>
      </c>
    </row>
    <row r="5511" spans="1:17" ht="21">
      <c r="A5511" s="20"/>
      <c r="B5511" s="20" t="s">
        <v>1281</v>
      </c>
      <c r="C5511" s="20"/>
      <c r="D5511" s="20" t="s">
        <v>1281</v>
      </c>
      <c r="E5511" s="19" t="str">
        <f>VLOOKUP(D5511,'لیست پرسنل'!$B$2:$E$1020,3,FALSE)</f>
        <v>خیریه</v>
      </c>
      <c r="F5511" s="19" t="str">
        <f>VLOOKUP(D5511,'لیست پرسنل'!$B$2:$E$1020,4,FALSE)</f>
        <v>خیریه</v>
      </c>
      <c r="G5511" s="127">
        <f>VLOOKUP(D5511,'لیست پرسنل'!$B$2:$F$1020,2,FALSE)</f>
        <v>0</v>
      </c>
      <c r="H5511" s="126" t="s">
        <v>5689</v>
      </c>
      <c r="I5511" s="128" t="s">
        <v>1281</v>
      </c>
      <c r="J5511" s="128" t="s">
        <v>737</v>
      </c>
      <c r="K5511" s="128" t="s">
        <v>414</v>
      </c>
      <c r="L5511" s="151" t="s">
        <v>946</v>
      </c>
      <c r="M5511" s="142">
        <v>618643</v>
      </c>
      <c r="N5511" s="112"/>
      <c r="O5511" s="66" t="s">
        <v>909</v>
      </c>
      <c r="P5511" s="20" t="s">
        <v>3834</v>
      </c>
      <c r="Q5511" s="19" t="s">
        <v>7382</v>
      </c>
    </row>
    <row r="5512" spans="1:17" ht="26.25" customHeight="1">
      <c r="A5512" s="20"/>
      <c r="B5512" s="20" t="s">
        <v>1281</v>
      </c>
      <c r="C5512" s="20"/>
      <c r="D5512" s="20" t="s">
        <v>1281</v>
      </c>
      <c r="E5512" s="19" t="str">
        <f>VLOOKUP(D5512,'لیست پرسنل'!$B$2:$E$1020,3,FALSE)</f>
        <v>خیریه</v>
      </c>
      <c r="F5512" s="19" t="str">
        <f>VLOOKUP(D5512,'لیست پرسنل'!$B$2:$E$1020,4,FALSE)</f>
        <v>خیریه</v>
      </c>
      <c r="G5512" s="127">
        <f>VLOOKUP(D5512,'لیست پرسنل'!$B$2:$F$1020,2,FALSE)</f>
        <v>0</v>
      </c>
      <c r="H5512" s="126" t="s">
        <v>5689</v>
      </c>
      <c r="I5512" s="128" t="s">
        <v>1281</v>
      </c>
      <c r="J5512" s="141" t="s">
        <v>571</v>
      </c>
      <c r="K5512" s="128" t="s">
        <v>911</v>
      </c>
      <c r="L5512" s="173"/>
      <c r="M5512" s="142">
        <v>604307</v>
      </c>
      <c r="N5512" s="112"/>
      <c r="O5512" s="66" t="s">
        <v>909</v>
      </c>
      <c r="P5512" s="20" t="s">
        <v>3834</v>
      </c>
      <c r="Q5512" s="19" t="s">
        <v>7382</v>
      </c>
    </row>
    <row r="5513" spans="1:17" ht="26.25" customHeight="1">
      <c r="A5513" s="20"/>
      <c r="B5513" s="20" t="s">
        <v>1281</v>
      </c>
      <c r="C5513" s="20"/>
      <c r="D5513" s="20" t="s">
        <v>1281</v>
      </c>
      <c r="E5513" s="19" t="str">
        <f>VLOOKUP(D5513,'لیست پرسنل'!$B$2:$E$1020,3,FALSE)</f>
        <v>خیریه</v>
      </c>
      <c r="F5513" s="19" t="str">
        <f>VLOOKUP(D5513,'لیست پرسنل'!$B$2:$E$1020,4,FALSE)</f>
        <v>خیریه</v>
      </c>
      <c r="G5513" s="127">
        <f>VLOOKUP(D5513,'لیست پرسنل'!$B$2:$F$1020,2,FALSE)</f>
        <v>0</v>
      </c>
      <c r="H5513" s="126" t="s">
        <v>5689</v>
      </c>
      <c r="I5513" s="128" t="s">
        <v>1281</v>
      </c>
      <c r="J5513" s="141" t="s">
        <v>571</v>
      </c>
      <c r="K5513" s="126" t="s">
        <v>410</v>
      </c>
      <c r="L5513" s="151"/>
      <c r="M5513" s="142">
        <v>606510</v>
      </c>
      <c r="N5513" s="112"/>
      <c r="O5513" s="87"/>
      <c r="P5513" s="20" t="s">
        <v>3834</v>
      </c>
      <c r="Q5513" s="19" t="s">
        <v>7382</v>
      </c>
    </row>
    <row r="5514" spans="1:17" ht="26.25" customHeight="1">
      <c r="A5514" s="20"/>
      <c r="B5514" s="20" t="s">
        <v>1281</v>
      </c>
      <c r="C5514" s="20"/>
      <c r="D5514" s="20" t="s">
        <v>1281</v>
      </c>
      <c r="E5514" s="19" t="str">
        <f>VLOOKUP(D5514,'لیست پرسنل'!$B$2:$E$1020,3,FALSE)</f>
        <v>خیریه</v>
      </c>
      <c r="F5514" s="19" t="str">
        <f>VLOOKUP(D5514,'لیست پرسنل'!$B$2:$E$1020,4,FALSE)</f>
        <v>خیریه</v>
      </c>
      <c r="G5514" s="127">
        <f>VLOOKUP(D5514,'لیست پرسنل'!$B$2:$F$1020,2,FALSE)</f>
        <v>0</v>
      </c>
      <c r="H5514" s="126" t="s">
        <v>5689</v>
      </c>
      <c r="I5514" s="128" t="s">
        <v>1281</v>
      </c>
      <c r="J5514" s="141" t="s">
        <v>571</v>
      </c>
      <c r="K5514" s="126" t="s">
        <v>410</v>
      </c>
      <c r="L5514" s="126" t="s">
        <v>412</v>
      </c>
      <c r="M5514" s="142">
        <v>607354</v>
      </c>
      <c r="N5514" s="112"/>
      <c r="O5514" s="66"/>
      <c r="P5514" s="20" t="s">
        <v>3834</v>
      </c>
      <c r="Q5514" s="19" t="s">
        <v>7382</v>
      </c>
    </row>
    <row r="5515" spans="1:17" ht="26.25" customHeight="1">
      <c r="A5515" s="20"/>
      <c r="B5515" s="20" t="s">
        <v>1281</v>
      </c>
      <c r="C5515" s="20"/>
      <c r="D5515" s="20" t="s">
        <v>1281</v>
      </c>
      <c r="E5515" s="19" t="str">
        <f>VLOOKUP(D5515,'لیست پرسنل'!$B$2:$E$1020,3,FALSE)</f>
        <v>خیریه</v>
      </c>
      <c r="F5515" s="19" t="str">
        <f>VLOOKUP(D5515,'لیست پرسنل'!$B$2:$E$1020,4,FALSE)</f>
        <v>خیریه</v>
      </c>
      <c r="G5515" s="127">
        <f>VLOOKUP(D5515,'لیست پرسنل'!$B$2:$F$1020,2,FALSE)</f>
        <v>0</v>
      </c>
      <c r="H5515" s="126" t="s">
        <v>5689</v>
      </c>
      <c r="I5515" s="128" t="s">
        <v>1281</v>
      </c>
      <c r="J5515" s="141" t="s">
        <v>571</v>
      </c>
      <c r="K5515" s="141" t="s">
        <v>571</v>
      </c>
      <c r="L5515" s="173"/>
      <c r="M5515" s="142">
        <v>609005</v>
      </c>
      <c r="N5515" s="112"/>
      <c r="O5515" s="66"/>
      <c r="P5515" s="20" t="s">
        <v>3834</v>
      </c>
      <c r="Q5515" s="19" t="s">
        <v>7382</v>
      </c>
    </row>
    <row r="5516" spans="1:17" ht="26.25" customHeight="1">
      <c r="A5516" s="20"/>
      <c r="B5516" s="20" t="s">
        <v>1281</v>
      </c>
      <c r="C5516" s="20"/>
      <c r="D5516" s="20" t="s">
        <v>1281</v>
      </c>
      <c r="E5516" s="19" t="str">
        <f>VLOOKUP(D5516,'لیست پرسنل'!$B$2:$E$1020,3,FALSE)</f>
        <v>خیریه</v>
      </c>
      <c r="F5516" s="19" t="str">
        <f>VLOOKUP(D5516,'لیست پرسنل'!$B$2:$E$1020,4,FALSE)</f>
        <v>خیریه</v>
      </c>
      <c r="G5516" s="127">
        <f>VLOOKUP(D5516,'لیست پرسنل'!$B$2:$F$1020,2,FALSE)</f>
        <v>0</v>
      </c>
      <c r="H5516" s="126" t="s">
        <v>5689</v>
      </c>
      <c r="I5516" s="128" t="s">
        <v>1281</v>
      </c>
      <c r="J5516" s="141" t="s">
        <v>571</v>
      </c>
      <c r="K5516" s="141" t="s">
        <v>571</v>
      </c>
      <c r="L5516" s="173"/>
      <c r="M5516" s="142">
        <v>609132</v>
      </c>
      <c r="N5516" s="112"/>
      <c r="O5516" s="66"/>
      <c r="P5516" s="20" t="s">
        <v>3834</v>
      </c>
      <c r="Q5516" s="19" t="s">
        <v>7382</v>
      </c>
    </row>
    <row r="5517" spans="1:17" ht="21">
      <c r="A5517" s="20"/>
      <c r="B5517" s="20" t="s">
        <v>1281</v>
      </c>
      <c r="C5517" s="20"/>
      <c r="D5517" s="20" t="s">
        <v>1281</v>
      </c>
      <c r="E5517" s="19" t="str">
        <f>VLOOKUP(D5517,'لیست پرسنل'!$B$2:$E$1020,3,FALSE)</f>
        <v>خیریه</v>
      </c>
      <c r="F5517" s="19" t="str">
        <f>VLOOKUP(D5517,'لیست پرسنل'!$B$2:$E$1020,4,FALSE)</f>
        <v>خیریه</v>
      </c>
      <c r="G5517" s="127">
        <f>VLOOKUP(D5517,'لیست پرسنل'!$B$2:$F$1020,2,FALSE)</f>
        <v>0</v>
      </c>
      <c r="H5517" s="126" t="s">
        <v>5689</v>
      </c>
      <c r="I5517" s="128" t="s">
        <v>1281</v>
      </c>
      <c r="J5517" s="141" t="s">
        <v>571</v>
      </c>
      <c r="K5517" s="126" t="s">
        <v>410</v>
      </c>
      <c r="L5517" s="126" t="s">
        <v>55</v>
      </c>
      <c r="M5517" s="142">
        <v>611978</v>
      </c>
      <c r="N5517" s="112"/>
      <c r="O5517" s="66"/>
      <c r="P5517" s="20" t="s">
        <v>3834</v>
      </c>
      <c r="Q5517" s="19" t="s">
        <v>7382</v>
      </c>
    </row>
    <row r="5518" spans="1:17" ht="21">
      <c r="A5518" s="20"/>
      <c r="B5518" s="20" t="s">
        <v>1281</v>
      </c>
      <c r="C5518" s="20"/>
      <c r="D5518" s="20" t="s">
        <v>1281</v>
      </c>
      <c r="E5518" s="19" t="str">
        <f>VLOOKUP(D5518,'لیست پرسنل'!$B$2:$E$1020,3,FALSE)</f>
        <v>خیریه</v>
      </c>
      <c r="F5518" s="19" t="str">
        <f>VLOOKUP(D5518,'لیست پرسنل'!$B$2:$E$1020,4,FALSE)</f>
        <v>خیریه</v>
      </c>
      <c r="G5518" s="127">
        <f>VLOOKUP(D5518,'لیست پرسنل'!$B$2:$F$1020,2,FALSE)</f>
        <v>0</v>
      </c>
      <c r="H5518" s="126" t="s">
        <v>5689</v>
      </c>
      <c r="I5518" s="128" t="s">
        <v>1281</v>
      </c>
      <c r="J5518" s="128" t="s">
        <v>2686</v>
      </c>
      <c r="K5518" s="127" t="s">
        <v>612</v>
      </c>
      <c r="L5518" s="151" t="s">
        <v>116</v>
      </c>
      <c r="M5518" s="142">
        <v>601484</v>
      </c>
      <c r="N5518" s="112"/>
      <c r="O5518" s="66"/>
      <c r="P5518" s="20" t="s">
        <v>3834</v>
      </c>
      <c r="Q5518" s="19" t="s">
        <v>7382</v>
      </c>
    </row>
    <row r="5519" spans="1:17" ht="21">
      <c r="A5519" s="20"/>
      <c r="B5519" s="20" t="s">
        <v>1281</v>
      </c>
      <c r="C5519" s="20"/>
      <c r="D5519" s="20" t="s">
        <v>1281</v>
      </c>
      <c r="E5519" s="19" t="str">
        <f>VLOOKUP(D5519,'لیست پرسنل'!$B$2:$E$1020,3,FALSE)</f>
        <v>خیریه</v>
      </c>
      <c r="F5519" s="19" t="str">
        <f>VLOOKUP(D5519,'لیست پرسنل'!$B$2:$E$1020,4,FALSE)</f>
        <v>خیریه</v>
      </c>
      <c r="G5519" s="127">
        <f>VLOOKUP(D5519,'لیست پرسنل'!$B$2:$F$1020,2,FALSE)</f>
        <v>0</v>
      </c>
      <c r="H5519" s="126" t="s">
        <v>5689</v>
      </c>
      <c r="I5519" s="128" t="s">
        <v>1281</v>
      </c>
      <c r="J5519" s="128" t="s">
        <v>2686</v>
      </c>
      <c r="K5519" s="126" t="s">
        <v>488</v>
      </c>
      <c r="L5519" s="152" t="s">
        <v>489</v>
      </c>
      <c r="M5519" s="142">
        <v>601529</v>
      </c>
      <c r="N5519" s="112"/>
      <c r="O5519" s="66"/>
      <c r="P5519" s="20" t="s">
        <v>3834</v>
      </c>
      <c r="Q5519" s="19" t="s">
        <v>7382</v>
      </c>
    </row>
    <row r="5520" spans="1:17" ht="21">
      <c r="A5520" s="20"/>
      <c r="B5520" s="20" t="s">
        <v>1281</v>
      </c>
      <c r="C5520" s="20"/>
      <c r="D5520" s="20" t="s">
        <v>1281</v>
      </c>
      <c r="E5520" s="19" t="str">
        <f>VLOOKUP(D5520,'لیست پرسنل'!$B$2:$E$1020,3,FALSE)</f>
        <v>خیریه</v>
      </c>
      <c r="F5520" s="19" t="str">
        <f>VLOOKUP(D5520,'لیست پرسنل'!$B$2:$E$1020,4,FALSE)</f>
        <v>خیریه</v>
      </c>
      <c r="G5520" s="127">
        <f>VLOOKUP(D5520,'لیست پرسنل'!$B$2:$F$1020,2,FALSE)</f>
        <v>0</v>
      </c>
      <c r="H5520" s="126" t="s">
        <v>5689</v>
      </c>
      <c r="I5520" s="128" t="s">
        <v>1281</v>
      </c>
      <c r="J5520" s="128" t="s">
        <v>2686</v>
      </c>
      <c r="K5520" s="127" t="s">
        <v>541</v>
      </c>
      <c r="L5520" s="151" t="s">
        <v>1031</v>
      </c>
      <c r="M5520" s="142">
        <v>604875</v>
      </c>
      <c r="N5520" s="112"/>
      <c r="O5520" s="66"/>
      <c r="P5520" s="20" t="s">
        <v>3834</v>
      </c>
      <c r="Q5520" s="19" t="s">
        <v>7382</v>
      </c>
    </row>
    <row r="5521" spans="1:17" ht="26.25" customHeight="1">
      <c r="A5521" s="20"/>
      <c r="B5521" s="20" t="s">
        <v>1281</v>
      </c>
      <c r="C5521" s="20"/>
      <c r="D5521" s="20" t="s">
        <v>1281</v>
      </c>
      <c r="E5521" s="19" t="str">
        <f>VLOOKUP(D5521,'لیست پرسنل'!$B$2:$E$1020,3,FALSE)</f>
        <v>خیریه</v>
      </c>
      <c r="F5521" s="19" t="str">
        <f>VLOOKUP(D5521,'لیست پرسنل'!$B$2:$E$1020,4,FALSE)</f>
        <v>خیریه</v>
      </c>
      <c r="G5521" s="127">
        <f>VLOOKUP(D5521,'لیست پرسنل'!$B$2:$F$1020,2,FALSE)</f>
        <v>0</v>
      </c>
      <c r="H5521" s="126" t="s">
        <v>5689</v>
      </c>
      <c r="I5521" s="128" t="s">
        <v>1281</v>
      </c>
      <c r="J5521" s="128" t="s">
        <v>2686</v>
      </c>
      <c r="K5521" s="128" t="s">
        <v>914</v>
      </c>
      <c r="L5521" s="151" t="s">
        <v>915</v>
      </c>
      <c r="M5521" s="127">
        <v>606527</v>
      </c>
      <c r="O5521" s="85" t="s">
        <v>5690</v>
      </c>
      <c r="P5521" s="20" t="s">
        <v>3834</v>
      </c>
      <c r="Q5521" s="19" t="s">
        <v>7382</v>
      </c>
    </row>
    <row r="5522" spans="1:17" ht="26.25" customHeight="1">
      <c r="A5522" s="20"/>
      <c r="B5522" s="20" t="s">
        <v>1281</v>
      </c>
      <c r="C5522" s="20"/>
      <c r="D5522" s="20" t="s">
        <v>1281</v>
      </c>
      <c r="E5522" s="19" t="str">
        <f>VLOOKUP(D5522,'لیست پرسنل'!$B$2:$E$1020,3,FALSE)</f>
        <v>خیریه</v>
      </c>
      <c r="F5522" s="19" t="str">
        <f>VLOOKUP(D5522,'لیست پرسنل'!$B$2:$E$1020,4,FALSE)</f>
        <v>خیریه</v>
      </c>
      <c r="G5522" s="127">
        <f>VLOOKUP(D5522,'لیست پرسنل'!$B$2:$F$1020,2,FALSE)</f>
        <v>0</v>
      </c>
      <c r="H5522" s="126" t="s">
        <v>5689</v>
      </c>
      <c r="I5522" s="128" t="s">
        <v>1281</v>
      </c>
      <c r="J5522" s="128" t="s">
        <v>2686</v>
      </c>
      <c r="K5522" s="128" t="s">
        <v>541</v>
      </c>
      <c r="L5522" s="128" t="s">
        <v>1117</v>
      </c>
      <c r="M5522" s="142">
        <v>608015</v>
      </c>
      <c r="N5522" s="112"/>
      <c r="O5522" s="66"/>
      <c r="P5522" s="20" t="s">
        <v>3834</v>
      </c>
      <c r="Q5522" s="19" t="s">
        <v>7382</v>
      </c>
    </row>
    <row r="5523" spans="1:17" ht="26.25" customHeight="1">
      <c r="A5523" s="20"/>
      <c r="B5523" s="20" t="s">
        <v>1281</v>
      </c>
      <c r="C5523" s="20"/>
      <c r="D5523" s="20" t="s">
        <v>1281</v>
      </c>
      <c r="E5523" s="19" t="str">
        <f>VLOOKUP(D5523,'لیست پرسنل'!$B$2:$E$1020,3,FALSE)</f>
        <v>خیریه</v>
      </c>
      <c r="F5523" s="19" t="str">
        <f>VLOOKUP(D5523,'لیست پرسنل'!$B$2:$E$1020,4,FALSE)</f>
        <v>خیریه</v>
      </c>
      <c r="G5523" s="127">
        <f>VLOOKUP(D5523,'لیست پرسنل'!$B$2:$F$1020,2,FALSE)</f>
        <v>0</v>
      </c>
      <c r="H5523" s="126" t="s">
        <v>5689</v>
      </c>
      <c r="I5523" s="128" t="s">
        <v>1281</v>
      </c>
      <c r="J5523" s="128" t="s">
        <v>2686</v>
      </c>
      <c r="K5523" s="128" t="s">
        <v>1053</v>
      </c>
      <c r="L5523" s="151" t="s">
        <v>1055</v>
      </c>
      <c r="M5523" s="142">
        <v>609608</v>
      </c>
      <c r="N5523" s="112"/>
      <c r="O5523" s="66" t="s">
        <v>611</v>
      </c>
      <c r="P5523" s="20" t="s">
        <v>3834</v>
      </c>
      <c r="Q5523" s="19" t="s">
        <v>7382</v>
      </c>
    </row>
    <row r="5524" spans="1:17" ht="21">
      <c r="A5524" s="20"/>
      <c r="B5524" s="20" t="s">
        <v>1281</v>
      </c>
      <c r="C5524" s="82"/>
      <c r="D5524" s="20" t="s">
        <v>1281</v>
      </c>
      <c r="E5524" s="19" t="str">
        <f>VLOOKUP(D5524,'لیست پرسنل'!$B$2:$E$1020,3,FALSE)</f>
        <v>خیریه</v>
      </c>
      <c r="F5524" s="19" t="str">
        <f>VLOOKUP(D5524,'لیست پرسنل'!$B$2:$E$1020,4,FALSE)</f>
        <v>خیریه</v>
      </c>
      <c r="G5524" s="127">
        <f>VLOOKUP(D5524,'لیست پرسنل'!$B$2:$F$1020,2,FALSE)</f>
        <v>0</v>
      </c>
      <c r="H5524" s="128" t="s">
        <v>4506</v>
      </c>
      <c r="I5524" s="128" t="s">
        <v>1281</v>
      </c>
      <c r="J5524" s="127" t="s">
        <v>571</v>
      </c>
      <c r="K5524" s="127"/>
      <c r="L5524" s="150"/>
      <c r="M5524" s="128">
        <v>602412</v>
      </c>
      <c r="N5524" s="112"/>
      <c r="O5524" s="85" t="s">
        <v>4383</v>
      </c>
      <c r="P5524" s="20" t="s">
        <v>3834</v>
      </c>
      <c r="Q5524" s="20" t="s">
        <v>5687</v>
      </c>
    </row>
    <row r="5525" spans="1:17" ht="21">
      <c r="A5525" s="20"/>
      <c r="B5525" s="20" t="s">
        <v>1281</v>
      </c>
      <c r="C5525" s="82"/>
      <c r="D5525" s="20" t="s">
        <v>1281</v>
      </c>
      <c r="E5525" s="19" t="str">
        <f>VLOOKUP(D5525,'لیست پرسنل'!$B$2:$E$1020,3,FALSE)</f>
        <v>خیریه</v>
      </c>
      <c r="F5525" s="19" t="str">
        <f>VLOOKUP(D5525,'لیست پرسنل'!$B$2:$E$1020,4,FALSE)</f>
        <v>خیریه</v>
      </c>
      <c r="G5525" s="127">
        <f>VLOOKUP(D5525,'لیست پرسنل'!$B$2:$F$1020,2,FALSE)</f>
        <v>0</v>
      </c>
      <c r="H5525" s="128" t="s">
        <v>4506</v>
      </c>
      <c r="I5525" s="128" t="s">
        <v>1281</v>
      </c>
      <c r="J5525" s="127" t="s">
        <v>571</v>
      </c>
      <c r="K5525" s="128" t="s">
        <v>2214</v>
      </c>
      <c r="L5525" s="126"/>
      <c r="M5525" s="127">
        <v>604001</v>
      </c>
      <c r="N5525" s="110"/>
      <c r="O5525" s="66"/>
      <c r="P5525" s="20" t="s">
        <v>3834</v>
      </c>
      <c r="Q5525" s="20" t="s">
        <v>7643</v>
      </c>
    </row>
    <row r="5526" spans="1:17" ht="26.25" customHeight="1">
      <c r="A5526" s="20"/>
      <c r="B5526" s="20" t="s">
        <v>1281</v>
      </c>
      <c r="C5526" s="82"/>
      <c r="D5526" s="20" t="s">
        <v>1281</v>
      </c>
      <c r="E5526" s="19" t="str">
        <f>VLOOKUP(D5526,'لیست پرسنل'!$B$2:$E$1020,3,FALSE)</f>
        <v>خیریه</v>
      </c>
      <c r="F5526" s="19" t="str">
        <f>VLOOKUP(D5526,'لیست پرسنل'!$B$2:$E$1020,4,FALSE)</f>
        <v>خیریه</v>
      </c>
      <c r="G5526" s="127">
        <f>VLOOKUP(D5526,'لیست پرسنل'!$B$2:$F$1020,2,FALSE)</f>
        <v>0</v>
      </c>
      <c r="H5526" s="128" t="s">
        <v>4506</v>
      </c>
      <c r="I5526" s="128" t="s">
        <v>1281</v>
      </c>
      <c r="J5526" s="128" t="s">
        <v>571</v>
      </c>
      <c r="K5526" s="128"/>
      <c r="L5526" s="127" t="s">
        <v>243</v>
      </c>
      <c r="M5526" s="132">
        <v>604002</v>
      </c>
      <c r="N5526" s="112"/>
      <c r="O5526" s="66"/>
      <c r="P5526" s="20" t="s">
        <v>3834</v>
      </c>
      <c r="Q5526" s="20" t="s">
        <v>5687</v>
      </c>
    </row>
    <row r="5527" spans="1:17" ht="26.25" customHeight="1">
      <c r="A5527" s="20"/>
      <c r="B5527" s="20" t="s">
        <v>1281</v>
      </c>
      <c r="C5527" s="82"/>
      <c r="D5527" s="20" t="s">
        <v>1281</v>
      </c>
      <c r="E5527" s="19" t="str">
        <f>VLOOKUP(D5527,'لیست پرسنل'!$B$2:$E$1020,3,FALSE)</f>
        <v>خیریه</v>
      </c>
      <c r="F5527" s="19" t="str">
        <f>VLOOKUP(D5527,'لیست پرسنل'!$B$2:$E$1020,4,FALSE)</f>
        <v>خیریه</v>
      </c>
      <c r="G5527" s="127">
        <f>VLOOKUP(D5527,'لیست پرسنل'!$B$2:$F$1020,2,FALSE)</f>
        <v>0</v>
      </c>
      <c r="H5527" s="128" t="s">
        <v>4506</v>
      </c>
      <c r="I5527" s="128" t="s">
        <v>1281</v>
      </c>
      <c r="J5527" s="128" t="s">
        <v>571</v>
      </c>
      <c r="K5527" s="126"/>
      <c r="L5527" s="152"/>
      <c r="M5527" s="128">
        <v>604609</v>
      </c>
      <c r="N5527" s="112"/>
      <c r="O5527" s="66"/>
      <c r="P5527" s="20" t="s">
        <v>3834</v>
      </c>
      <c r="Q5527" s="20" t="s">
        <v>5687</v>
      </c>
    </row>
    <row r="5528" spans="1:17" ht="26.25" customHeight="1">
      <c r="A5528" s="20"/>
      <c r="B5528" s="20" t="s">
        <v>1281</v>
      </c>
      <c r="C5528" s="82"/>
      <c r="D5528" s="20" t="s">
        <v>1281</v>
      </c>
      <c r="E5528" s="19" t="str">
        <f>VLOOKUP(D5528,'لیست پرسنل'!$B$2:$E$1020,3,FALSE)</f>
        <v>خیریه</v>
      </c>
      <c r="F5528" s="19" t="str">
        <f>VLOOKUP(D5528,'لیست پرسنل'!$B$2:$E$1020,4,FALSE)</f>
        <v>خیریه</v>
      </c>
      <c r="G5528" s="127">
        <f>VLOOKUP(D5528,'لیست پرسنل'!$B$2:$F$1020,2,FALSE)</f>
        <v>0</v>
      </c>
      <c r="H5528" s="128" t="s">
        <v>4506</v>
      </c>
      <c r="I5528" s="128" t="s">
        <v>1281</v>
      </c>
      <c r="J5528" s="127" t="s">
        <v>571</v>
      </c>
      <c r="K5528" s="128" t="s">
        <v>2054</v>
      </c>
      <c r="L5528" s="164"/>
      <c r="M5528" s="127">
        <v>604627</v>
      </c>
      <c r="N5528" s="110"/>
      <c r="O5528" s="85" t="s">
        <v>1913</v>
      </c>
      <c r="P5528" s="20" t="s">
        <v>3834</v>
      </c>
      <c r="Q5528" s="20" t="s">
        <v>7643</v>
      </c>
    </row>
    <row r="5529" spans="1:17" ht="21">
      <c r="A5529" s="20"/>
      <c r="B5529" s="20" t="s">
        <v>1281</v>
      </c>
      <c r="C5529" s="82"/>
      <c r="D5529" s="20" t="s">
        <v>1281</v>
      </c>
      <c r="E5529" s="19" t="str">
        <f>VLOOKUP(D5529,'لیست پرسنل'!$B$2:$E$1020,3,FALSE)</f>
        <v>خیریه</v>
      </c>
      <c r="F5529" s="19" t="str">
        <f>VLOOKUP(D5529,'لیست پرسنل'!$B$2:$E$1020,4,FALSE)</f>
        <v>خیریه</v>
      </c>
      <c r="G5529" s="127">
        <f>VLOOKUP(D5529,'لیست پرسنل'!$B$2:$F$1020,2,FALSE)</f>
        <v>0</v>
      </c>
      <c r="H5529" s="128" t="s">
        <v>4506</v>
      </c>
      <c r="I5529" s="128" t="s">
        <v>1281</v>
      </c>
      <c r="J5529" s="128" t="s">
        <v>571</v>
      </c>
      <c r="K5529" s="128" t="s">
        <v>571</v>
      </c>
      <c r="L5529" s="151" t="s">
        <v>2054</v>
      </c>
      <c r="M5529" s="127">
        <v>604870</v>
      </c>
      <c r="N5529" s="112"/>
      <c r="O5529" s="66"/>
      <c r="P5529" s="20" t="s">
        <v>3834</v>
      </c>
      <c r="Q5529" s="20" t="s">
        <v>5687</v>
      </c>
    </row>
    <row r="5530" spans="1:17" ht="21">
      <c r="A5530" s="20"/>
      <c r="B5530" s="20" t="s">
        <v>1281</v>
      </c>
      <c r="C5530" s="82"/>
      <c r="D5530" s="20" t="s">
        <v>1281</v>
      </c>
      <c r="E5530" s="19" t="str">
        <f>VLOOKUP(D5530,'لیست پرسنل'!$B$2:$E$1020,3,FALSE)</f>
        <v>خیریه</v>
      </c>
      <c r="F5530" s="19" t="str">
        <f>VLOOKUP(D5530,'لیست پرسنل'!$B$2:$E$1020,4,FALSE)</f>
        <v>خیریه</v>
      </c>
      <c r="G5530" s="127">
        <f>VLOOKUP(D5530,'لیست پرسنل'!$B$2:$F$1020,2,FALSE)</f>
        <v>0</v>
      </c>
      <c r="H5530" s="128" t="s">
        <v>4506</v>
      </c>
      <c r="I5530" s="128" t="s">
        <v>1281</v>
      </c>
      <c r="J5530" s="128" t="s">
        <v>571</v>
      </c>
      <c r="K5530" s="128"/>
      <c r="L5530" s="127" t="s">
        <v>250</v>
      </c>
      <c r="M5530" s="132">
        <v>605770</v>
      </c>
      <c r="N5530" s="112"/>
      <c r="O5530" s="66"/>
      <c r="P5530" s="20" t="s">
        <v>3834</v>
      </c>
      <c r="Q5530" s="20" t="s">
        <v>5687</v>
      </c>
    </row>
    <row r="5531" spans="1:17" ht="21">
      <c r="A5531" s="20"/>
      <c r="B5531" s="20" t="s">
        <v>1281</v>
      </c>
      <c r="C5531" s="82"/>
      <c r="D5531" s="20" t="s">
        <v>1281</v>
      </c>
      <c r="E5531" s="19" t="str">
        <f>VLOOKUP(D5531,'لیست پرسنل'!$B$2:$E$1020,3,FALSE)</f>
        <v>خیریه</v>
      </c>
      <c r="F5531" s="19" t="str">
        <f>VLOOKUP(D5531,'لیست پرسنل'!$B$2:$E$1020,4,FALSE)</f>
        <v>خیریه</v>
      </c>
      <c r="G5531" s="127">
        <f>VLOOKUP(D5531,'لیست پرسنل'!$B$2:$F$1020,2,FALSE)</f>
        <v>0</v>
      </c>
      <c r="H5531" s="128" t="s">
        <v>4506</v>
      </c>
      <c r="I5531" s="128" t="s">
        <v>1281</v>
      </c>
      <c r="J5531" s="128" t="s">
        <v>571</v>
      </c>
      <c r="K5531" s="127" t="s">
        <v>2054</v>
      </c>
      <c r="L5531" s="127"/>
      <c r="M5531" s="128">
        <v>606436</v>
      </c>
      <c r="N5531" s="112"/>
      <c r="O5531" s="85" t="s">
        <v>4382</v>
      </c>
      <c r="P5531" s="20" t="s">
        <v>3834</v>
      </c>
      <c r="Q5531" s="20" t="s">
        <v>5687</v>
      </c>
    </row>
    <row r="5532" spans="1:17" ht="26.25" customHeight="1">
      <c r="A5532" s="20"/>
      <c r="B5532" s="20" t="s">
        <v>1281</v>
      </c>
      <c r="C5532" s="82"/>
      <c r="D5532" s="20" t="s">
        <v>1281</v>
      </c>
      <c r="E5532" s="19" t="str">
        <f>VLOOKUP(D5532,'لیست پرسنل'!$B$2:$E$1020,3,FALSE)</f>
        <v>خیریه</v>
      </c>
      <c r="F5532" s="19" t="str">
        <f>VLOOKUP(D5532,'لیست پرسنل'!$B$2:$E$1020,4,FALSE)</f>
        <v>خیریه</v>
      </c>
      <c r="G5532" s="127">
        <f>VLOOKUP(D5532,'لیست پرسنل'!$B$2:$F$1020,2,FALSE)</f>
        <v>0</v>
      </c>
      <c r="H5532" s="128" t="s">
        <v>4506</v>
      </c>
      <c r="I5532" s="128" t="s">
        <v>1281</v>
      </c>
      <c r="J5532" s="128" t="s">
        <v>571</v>
      </c>
      <c r="K5532" s="127" t="s">
        <v>571</v>
      </c>
      <c r="L5532" s="151"/>
      <c r="M5532" s="128">
        <v>607674</v>
      </c>
      <c r="N5532" s="112"/>
      <c r="O5532" s="66"/>
      <c r="P5532" s="20" t="s">
        <v>3834</v>
      </c>
      <c r="Q5532" s="20" t="s">
        <v>5687</v>
      </c>
    </row>
    <row r="5533" spans="1:17" ht="21">
      <c r="A5533" s="20"/>
      <c r="B5533" s="20" t="s">
        <v>1281</v>
      </c>
      <c r="C5533" s="82"/>
      <c r="D5533" s="20" t="s">
        <v>1281</v>
      </c>
      <c r="E5533" s="19" t="str">
        <f>VLOOKUP(D5533,'لیست پرسنل'!$B$2:$E$1020,3,FALSE)</f>
        <v>خیریه</v>
      </c>
      <c r="F5533" s="19" t="str">
        <f>VLOOKUP(D5533,'لیست پرسنل'!$B$2:$E$1020,4,FALSE)</f>
        <v>خیریه</v>
      </c>
      <c r="G5533" s="127">
        <f>VLOOKUP(D5533,'لیست پرسنل'!$B$2:$F$1020,2,FALSE)</f>
        <v>0</v>
      </c>
      <c r="H5533" s="128" t="s">
        <v>4506</v>
      </c>
      <c r="I5533" s="128" t="s">
        <v>1281</v>
      </c>
      <c r="J5533" s="128" t="s">
        <v>571</v>
      </c>
      <c r="K5533" s="126" t="s">
        <v>2054</v>
      </c>
      <c r="L5533" s="152"/>
      <c r="M5533" s="128">
        <v>607680</v>
      </c>
      <c r="N5533" s="112"/>
      <c r="O5533" s="66"/>
      <c r="P5533" s="20" t="s">
        <v>3834</v>
      </c>
      <c r="Q5533" s="20" t="s">
        <v>5687</v>
      </c>
    </row>
    <row r="5534" spans="1:17" ht="26.25" customHeight="1">
      <c r="A5534" s="20"/>
      <c r="B5534" s="20" t="s">
        <v>1281</v>
      </c>
      <c r="C5534" s="82"/>
      <c r="D5534" s="20" t="s">
        <v>1281</v>
      </c>
      <c r="E5534" s="19" t="str">
        <f>VLOOKUP(D5534,'لیست پرسنل'!$B$2:$E$1020,3,FALSE)</f>
        <v>خیریه</v>
      </c>
      <c r="F5534" s="19" t="str">
        <f>VLOOKUP(D5534,'لیست پرسنل'!$B$2:$E$1020,4,FALSE)</f>
        <v>خیریه</v>
      </c>
      <c r="G5534" s="127">
        <f>VLOOKUP(D5534,'لیست پرسنل'!$B$2:$F$1020,2,FALSE)</f>
        <v>0</v>
      </c>
      <c r="H5534" s="128" t="s">
        <v>4506</v>
      </c>
      <c r="I5534" s="128" t="s">
        <v>1281</v>
      </c>
      <c r="J5534" s="127" t="s">
        <v>571</v>
      </c>
      <c r="K5534" s="127" t="s">
        <v>2054</v>
      </c>
      <c r="L5534" s="127" t="s">
        <v>58</v>
      </c>
      <c r="M5534" s="127">
        <v>608010</v>
      </c>
      <c r="N5534" s="110"/>
      <c r="O5534" s="85" t="s">
        <v>5329</v>
      </c>
      <c r="P5534" s="20" t="s">
        <v>3834</v>
      </c>
      <c r="Q5534" s="20" t="s">
        <v>7643</v>
      </c>
    </row>
    <row r="5535" spans="1:17" ht="26.25" customHeight="1">
      <c r="A5535" s="20"/>
      <c r="B5535" s="20" t="s">
        <v>1281</v>
      </c>
      <c r="C5535" s="82"/>
      <c r="D5535" s="20" t="s">
        <v>1281</v>
      </c>
      <c r="E5535" s="19" t="str">
        <f>VLOOKUP(D5535,'لیست پرسنل'!$B$2:$E$1020,3,FALSE)</f>
        <v>خیریه</v>
      </c>
      <c r="F5535" s="19" t="str">
        <f>VLOOKUP(D5535,'لیست پرسنل'!$B$2:$E$1020,4,FALSE)</f>
        <v>خیریه</v>
      </c>
      <c r="G5535" s="127">
        <f>VLOOKUP(D5535,'لیست پرسنل'!$B$2:$F$1020,2,FALSE)</f>
        <v>0</v>
      </c>
      <c r="H5535" s="128" t="s">
        <v>4506</v>
      </c>
      <c r="I5535" s="128" t="s">
        <v>1281</v>
      </c>
      <c r="J5535" s="128" t="s">
        <v>571</v>
      </c>
      <c r="K5535" s="128" t="s">
        <v>2174</v>
      </c>
      <c r="L5535" s="127" t="s">
        <v>251</v>
      </c>
      <c r="M5535" s="134">
        <v>608014</v>
      </c>
      <c r="N5535" s="112"/>
      <c r="O5535" s="66" t="s">
        <v>3906</v>
      </c>
      <c r="P5535" s="20" t="s">
        <v>3834</v>
      </c>
      <c r="Q5535" s="20" t="s">
        <v>5687</v>
      </c>
    </row>
    <row r="5536" spans="1:17" ht="26.25" customHeight="1">
      <c r="A5536" s="20"/>
      <c r="B5536" s="20" t="s">
        <v>1281</v>
      </c>
      <c r="C5536" s="82"/>
      <c r="D5536" s="20" t="s">
        <v>1281</v>
      </c>
      <c r="E5536" s="19" t="str">
        <f>VLOOKUP(D5536,'لیست پرسنل'!$B$2:$E$1020,3,FALSE)</f>
        <v>خیریه</v>
      </c>
      <c r="F5536" s="19" t="str">
        <f>VLOOKUP(D5536,'لیست پرسنل'!$B$2:$E$1020,4,FALSE)</f>
        <v>خیریه</v>
      </c>
      <c r="G5536" s="127">
        <f>VLOOKUP(D5536,'لیست پرسنل'!$B$2:$F$1020,2,FALSE)</f>
        <v>0</v>
      </c>
      <c r="H5536" s="128" t="s">
        <v>4506</v>
      </c>
      <c r="I5536" s="128" t="s">
        <v>1281</v>
      </c>
      <c r="J5536" s="127" t="s">
        <v>571</v>
      </c>
      <c r="K5536" s="127" t="s">
        <v>2214</v>
      </c>
      <c r="L5536" s="127"/>
      <c r="M5536" s="127">
        <v>608746</v>
      </c>
      <c r="N5536" s="110"/>
      <c r="O5536" s="85"/>
      <c r="P5536" s="20" t="s">
        <v>3834</v>
      </c>
      <c r="Q5536" s="20" t="s">
        <v>7643</v>
      </c>
    </row>
    <row r="5537" spans="1:17" ht="26.25" customHeight="1">
      <c r="A5537" s="20"/>
      <c r="B5537" s="20" t="s">
        <v>1281</v>
      </c>
      <c r="C5537" s="82"/>
      <c r="D5537" s="20" t="s">
        <v>1281</v>
      </c>
      <c r="E5537" s="19" t="str">
        <f>VLOOKUP(D5537,'لیست پرسنل'!$B$2:$E$1020,3,FALSE)</f>
        <v>خیریه</v>
      </c>
      <c r="F5537" s="19" t="str">
        <f>VLOOKUP(D5537,'لیست پرسنل'!$B$2:$E$1020,4,FALSE)</f>
        <v>خیریه</v>
      </c>
      <c r="G5537" s="127">
        <f>VLOOKUP(D5537,'لیست پرسنل'!$B$2:$F$1020,2,FALSE)</f>
        <v>0</v>
      </c>
      <c r="H5537" s="128" t="s">
        <v>4506</v>
      </c>
      <c r="I5537" s="128" t="s">
        <v>1281</v>
      </c>
      <c r="J5537" s="128" t="s">
        <v>571</v>
      </c>
      <c r="K5537" s="127"/>
      <c r="L5537" s="151"/>
      <c r="M5537" s="128">
        <v>609698</v>
      </c>
      <c r="N5537" s="112"/>
      <c r="O5537" s="66"/>
      <c r="P5537" s="20" t="s">
        <v>3834</v>
      </c>
      <c r="Q5537" s="20" t="s">
        <v>5687</v>
      </c>
    </row>
    <row r="5538" spans="1:17" ht="26.25" customHeight="1">
      <c r="A5538" s="20"/>
      <c r="B5538" s="20" t="s">
        <v>1281</v>
      </c>
      <c r="C5538" s="82"/>
      <c r="D5538" s="20" t="s">
        <v>1281</v>
      </c>
      <c r="E5538" s="19" t="str">
        <f>VLOOKUP(D5538,'لیست پرسنل'!$B$2:$E$1020,3,FALSE)</f>
        <v>خیریه</v>
      </c>
      <c r="F5538" s="19" t="str">
        <f>VLOOKUP(D5538,'لیست پرسنل'!$B$2:$E$1020,4,FALSE)</f>
        <v>خیریه</v>
      </c>
      <c r="G5538" s="127">
        <f>VLOOKUP(D5538,'لیست پرسنل'!$B$2:$F$1020,2,FALSE)</f>
        <v>0</v>
      </c>
      <c r="H5538" s="128" t="s">
        <v>4506</v>
      </c>
      <c r="I5538" s="128" t="s">
        <v>1281</v>
      </c>
      <c r="J5538" s="127" t="s">
        <v>571</v>
      </c>
      <c r="K5538" s="127" t="s">
        <v>6476</v>
      </c>
      <c r="L5538" s="151"/>
      <c r="M5538" s="127">
        <v>622495</v>
      </c>
      <c r="N5538" s="110"/>
      <c r="O5538" s="192"/>
      <c r="P5538" s="20" t="s">
        <v>3834</v>
      </c>
      <c r="Q5538" s="20" t="s">
        <v>7643</v>
      </c>
    </row>
    <row r="5539" spans="1:17" ht="26.25" customHeight="1">
      <c r="A5539" s="20"/>
      <c r="B5539" s="20" t="s">
        <v>1281</v>
      </c>
      <c r="C5539" s="82"/>
      <c r="D5539" s="20" t="s">
        <v>1281</v>
      </c>
      <c r="E5539" s="19" t="str">
        <f>VLOOKUP(D5539,'لیست پرسنل'!$B$2:$E$1020,3,FALSE)</f>
        <v>خیریه</v>
      </c>
      <c r="F5539" s="19" t="str">
        <f>VLOOKUP(D5539,'لیست پرسنل'!$B$2:$E$1020,4,FALSE)</f>
        <v>خیریه</v>
      </c>
      <c r="G5539" s="127">
        <f>VLOOKUP(D5539,'لیست پرسنل'!$B$2:$F$1020,2,FALSE)</f>
        <v>0</v>
      </c>
      <c r="H5539" s="128" t="s">
        <v>4506</v>
      </c>
      <c r="I5539" s="128" t="s">
        <v>1281</v>
      </c>
      <c r="J5539" s="128" t="s">
        <v>571</v>
      </c>
      <c r="K5539" s="128" t="s">
        <v>2054</v>
      </c>
      <c r="L5539" s="150"/>
      <c r="M5539" s="134">
        <v>622530</v>
      </c>
      <c r="N5539" s="112"/>
      <c r="O5539" s="85"/>
      <c r="P5539" s="20" t="s">
        <v>3834</v>
      </c>
      <c r="Q5539" s="20" t="s">
        <v>7643</v>
      </c>
    </row>
    <row r="5540" spans="1:17" ht="21">
      <c r="A5540" s="20"/>
      <c r="B5540" s="20" t="s">
        <v>1281</v>
      </c>
      <c r="C5540" s="82"/>
      <c r="D5540" s="20" t="s">
        <v>1281</v>
      </c>
      <c r="E5540" s="19" t="str">
        <f>VLOOKUP(D5540,'لیست پرسنل'!$B$2:$E$1020,3,FALSE)</f>
        <v>خیریه</v>
      </c>
      <c r="F5540" s="19" t="str">
        <f>VLOOKUP(D5540,'لیست پرسنل'!$B$2:$E$1020,4,FALSE)</f>
        <v>خیریه</v>
      </c>
      <c r="G5540" s="127">
        <f>VLOOKUP(D5540,'لیست پرسنل'!$B$2:$F$1020,2,FALSE)</f>
        <v>0</v>
      </c>
      <c r="H5540" s="128" t="s">
        <v>4506</v>
      </c>
      <c r="I5540" s="128" t="s">
        <v>1281</v>
      </c>
      <c r="J5540" s="141" t="s">
        <v>571</v>
      </c>
      <c r="K5540" s="131" t="s">
        <v>6486</v>
      </c>
      <c r="L5540" s="127"/>
      <c r="M5540" s="128">
        <v>632368</v>
      </c>
      <c r="N5540" s="112"/>
      <c r="O5540" s="85" t="s">
        <v>5956</v>
      </c>
      <c r="P5540" s="20" t="s">
        <v>3834</v>
      </c>
      <c r="Q5540" s="20" t="s">
        <v>7643</v>
      </c>
    </row>
    <row r="5541" spans="1:17" ht="26.25" customHeight="1">
      <c r="A5541" s="20"/>
      <c r="B5541" s="20" t="s">
        <v>1281</v>
      </c>
      <c r="C5541" s="82"/>
      <c r="D5541" s="20" t="s">
        <v>1281</v>
      </c>
      <c r="E5541" s="19" t="str">
        <f>VLOOKUP(D5541,'لیست پرسنل'!$B$2:$E$1020,3,FALSE)</f>
        <v>خیریه</v>
      </c>
      <c r="F5541" s="19" t="str">
        <f>VLOOKUP(D5541,'لیست پرسنل'!$B$2:$E$1020,4,FALSE)</f>
        <v>خیریه</v>
      </c>
      <c r="G5541" s="127">
        <f>VLOOKUP(D5541,'لیست پرسنل'!$B$2:$F$1020,2,FALSE)</f>
        <v>0</v>
      </c>
      <c r="H5541" s="128" t="s">
        <v>4506</v>
      </c>
      <c r="I5541" s="128" t="s">
        <v>1281</v>
      </c>
      <c r="J5541" s="141" t="s">
        <v>571</v>
      </c>
      <c r="K5541" s="131" t="s">
        <v>6486</v>
      </c>
      <c r="L5541" s="127"/>
      <c r="M5541" s="128">
        <v>632372</v>
      </c>
      <c r="N5541" s="112"/>
      <c r="O5541" s="85" t="s">
        <v>4827</v>
      </c>
      <c r="P5541" s="20" t="s">
        <v>3834</v>
      </c>
      <c r="Q5541" s="20" t="s">
        <v>7643</v>
      </c>
    </row>
    <row r="5542" spans="1:17" ht="26.25" customHeight="1">
      <c r="A5542" s="20"/>
      <c r="B5542" s="20" t="s">
        <v>1281</v>
      </c>
      <c r="C5542" s="82"/>
      <c r="D5542" s="20" t="s">
        <v>1281</v>
      </c>
      <c r="E5542" s="19" t="str">
        <f>VLOOKUP(D5542,'لیست پرسنل'!$B$2:$E$1020,3,FALSE)</f>
        <v>خیریه</v>
      </c>
      <c r="F5542" s="19" t="str">
        <f>VLOOKUP(D5542,'لیست پرسنل'!$B$2:$E$1020,4,FALSE)</f>
        <v>خیریه</v>
      </c>
      <c r="G5542" s="127">
        <f>VLOOKUP(D5542,'لیست پرسنل'!$B$2:$F$1020,2,FALSE)</f>
        <v>0</v>
      </c>
      <c r="H5542" s="128" t="s">
        <v>4506</v>
      </c>
      <c r="I5542" s="128" t="s">
        <v>1281</v>
      </c>
      <c r="J5542" s="141" t="s">
        <v>571</v>
      </c>
      <c r="K5542" s="131" t="s">
        <v>2214</v>
      </c>
      <c r="L5542" s="127"/>
      <c r="M5542" s="128">
        <v>632374</v>
      </c>
      <c r="N5542" s="112"/>
      <c r="O5542" s="85" t="s">
        <v>5958</v>
      </c>
      <c r="P5542" s="20" t="s">
        <v>3834</v>
      </c>
      <c r="Q5542" s="20" t="s">
        <v>7643</v>
      </c>
    </row>
    <row r="5543" spans="1:17" ht="26.25" customHeight="1">
      <c r="A5543" s="20"/>
      <c r="B5543" s="20" t="s">
        <v>1281</v>
      </c>
      <c r="C5543" s="82"/>
      <c r="D5543" s="20" t="s">
        <v>1281</v>
      </c>
      <c r="E5543" s="19" t="str">
        <f>VLOOKUP(D5543,'لیست پرسنل'!$B$2:$E$1020,3,FALSE)</f>
        <v>خیریه</v>
      </c>
      <c r="F5543" s="19" t="str">
        <f>VLOOKUP(D5543,'لیست پرسنل'!$B$2:$E$1020,4,FALSE)</f>
        <v>خیریه</v>
      </c>
      <c r="G5543" s="127">
        <f>VLOOKUP(D5543,'لیست پرسنل'!$B$2:$F$1020,2,FALSE)</f>
        <v>0</v>
      </c>
      <c r="H5543" s="128" t="s">
        <v>4506</v>
      </c>
      <c r="I5543" s="128" t="s">
        <v>1281</v>
      </c>
      <c r="J5543" s="141" t="s">
        <v>571</v>
      </c>
      <c r="K5543" s="128" t="s">
        <v>2054</v>
      </c>
      <c r="L5543" s="127"/>
      <c r="M5543" s="128">
        <v>632381</v>
      </c>
      <c r="N5543" s="112"/>
      <c r="O5543" s="85" t="s">
        <v>5939</v>
      </c>
      <c r="P5543" s="20" t="s">
        <v>3834</v>
      </c>
      <c r="Q5543" s="20" t="s">
        <v>7643</v>
      </c>
    </row>
    <row r="5544" spans="1:17" ht="21">
      <c r="A5544" s="20"/>
      <c r="B5544" s="20" t="s">
        <v>1281</v>
      </c>
      <c r="C5544" s="82"/>
      <c r="D5544" s="20" t="s">
        <v>1281</v>
      </c>
      <c r="E5544" s="19" t="str">
        <f>VLOOKUP(D5544,'لیست پرسنل'!$B$2:$E$1020,3,FALSE)</f>
        <v>خیریه</v>
      </c>
      <c r="F5544" s="19" t="str">
        <f>VLOOKUP(D5544,'لیست پرسنل'!$B$2:$E$1020,4,FALSE)</f>
        <v>خیریه</v>
      </c>
      <c r="G5544" s="127">
        <f>VLOOKUP(D5544,'لیست پرسنل'!$B$2:$F$1020,2,FALSE)</f>
        <v>0</v>
      </c>
      <c r="H5544" s="128" t="s">
        <v>4506</v>
      </c>
      <c r="I5544" s="128" t="s">
        <v>1281</v>
      </c>
      <c r="J5544" s="128" t="s">
        <v>2686</v>
      </c>
      <c r="K5544" s="127" t="s">
        <v>1509</v>
      </c>
      <c r="L5544" s="158">
        <v>691008202042503</v>
      </c>
      <c r="M5544" s="132">
        <v>601555</v>
      </c>
      <c r="N5544" s="112"/>
      <c r="O5544" s="66"/>
      <c r="P5544" s="20" t="s">
        <v>3834</v>
      </c>
      <c r="Q5544" s="20" t="s">
        <v>5687</v>
      </c>
    </row>
    <row r="5545" spans="1:17" ht="21">
      <c r="A5545" s="20"/>
      <c r="B5545" s="20" t="s">
        <v>1281</v>
      </c>
      <c r="C5545" s="82"/>
      <c r="D5545" s="20" t="s">
        <v>1281</v>
      </c>
      <c r="E5545" s="19" t="str">
        <f>VLOOKUP(D5545,'لیست پرسنل'!$B$2:$E$1020,3,FALSE)</f>
        <v>خیریه</v>
      </c>
      <c r="F5545" s="19" t="str">
        <f>VLOOKUP(D5545,'لیست پرسنل'!$B$2:$E$1020,4,FALSE)</f>
        <v>خیریه</v>
      </c>
      <c r="G5545" s="127">
        <f>VLOOKUP(D5545,'لیست پرسنل'!$B$2:$F$1020,2,FALSE)</f>
        <v>0</v>
      </c>
      <c r="H5545" s="128" t="s">
        <v>4506</v>
      </c>
      <c r="I5545" s="128" t="s">
        <v>1281</v>
      </c>
      <c r="J5545" s="128" t="s">
        <v>2686</v>
      </c>
      <c r="K5545" s="127" t="s">
        <v>346</v>
      </c>
      <c r="L5545" s="150" t="s">
        <v>1453</v>
      </c>
      <c r="M5545" s="128">
        <v>601562</v>
      </c>
      <c r="N5545" s="112"/>
      <c r="O5545" s="85" t="s">
        <v>4383</v>
      </c>
      <c r="P5545" s="20" t="s">
        <v>3834</v>
      </c>
      <c r="Q5545" s="20" t="s">
        <v>5687</v>
      </c>
    </row>
    <row r="5546" spans="1:17" ht="21">
      <c r="A5546" s="20"/>
      <c r="B5546" s="20" t="s">
        <v>1281</v>
      </c>
      <c r="C5546" s="82"/>
      <c r="D5546" s="20" t="s">
        <v>1281</v>
      </c>
      <c r="E5546" s="19" t="str">
        <f>VLOOKUP(D5546,'لیست پرسنل'!$B$2:$E$1020,3,FALSE)</f>
        <v>خیریه</v>
      </c>
      <c r="F5546" s="19" t="str">
        <f>VLOOKUP(D5546,'لیست پرسنل'!$B$2:$E$1020,4,FALSE)</f>
        <v>خیریه</v>
      </c>
      <c r="G5546" s="127">
        <f>VLOOKUP(D5546,'لیست پرسنل'!$B$2:$F$1020,2,FALSE)</f>
        <v>0</v>
      </c>
      <c r="H5546" s="128" t="s">
        <v>4506</v>
      </c>
      <c r="I5546" s="128" t="s">
        <v>1281</v>
      </c>
      <c r="J5546" s="128" t="s">
        <v>2686</v>
      </c>
      <c r="K5546" s="128" t="s">
        <v>564</v>
      </c>
      <c r="L5546" s="128" t="s">
        <v>1826</v>
      </c>
      <c r="M5546" s="134">
        <v>603954</v>
      </c>
      <c r="N5546" s="191"/>
      <c r="O5546" s="66"/>
      <c r="P5546" s="20" t="s">
        <v>3834</v>
      </c>
      <c r="Q5546" s="20" t="s">
        <v>7643</v>
      </c>
    </row>
    <row r="5547" spans="1:17" ht="26.25" customHeight="1">
      <c r="A5547" s="20"/>
      <c r="B5547" s="20" t="s">
        <v>1281</v>
      </c>
      <c r="C5547" s="82"/>
      <c r="D5547" s="20" t="s">
        <v>1281</v>
      </c>
      <c r="E5547" s="19" t="str">
        <f>VLOOKUP(D5547,'لیست پرسنل'!$B$2:$E$1020,3,FALSE)</f>
        <v>خیریه</v>
      </c>
      <c r="F5547" s="19" t="str">
        <f>VLOOKUP(D5547,'لیست پرسنل'!$B$2:$E$1020,4,FALSE)</f>
        <v>خیریه</v>
      </c>
      <c r="G5547" s="127">
        <f>VLOOKUP(D5547,'لیست پرسنل'!$B$2:$F$1020,2,FALSE)</f>
        <v>0</v>
      </c>
      <c r="H5547" s="128" t="s">
        <v>4506</v>
      </c>
      <c r="I5547" s="128" t="s">
        <v>1281</v>
      </c>
      <c r="J5547" s="128" t="s">
        <v>2686</v>
      </c>
      <c r="K5547" s="127" t="s">
        <v>338</v>
      </c>
      <c r="L5547" s="151" t="s">
        <v>903</v>
      </c>
      <c r="M5547" s="127">
        <v>604135</v>
      </c>
      <c r="N5547" s="110"/>
      <c r="O5547" s="85"/>
      <c r="P5547" s="20" t="s">
        <v>3834</v>
      </c>
      <c r="Q5547" s="20" t="s">
        <v>7643</v>
      </c>
    </row>
    <row r="5548" spans="1:17" ht="26.25" customHeight="1">
      <c r="A5548" s="20"/>
      <c r="B5548" s="20" t="s">
        <v>1281</v>
      </c>
      <c r="C5548" s="82"/>
      <c r="D5548" s="20" t="s">
        <v>1281</v>
      </c>
      <c r="E5548" s="19" t="str">
        <f>VLOOKUP(D5548,'لیست پرسنل'!$B$2:$E$1020,3,FALSE)</f>
        <v>خیریه</v>
      </c>
      <c r="F5548" s="19" t="str">
        <f>VLOOKUP(D5548,'لیست پرسنل'!$B$2:$E$1020,4,FALSE)</f>
        <v>خیریه</v>
      </c>
      <c r="G5548" s="127">
        <f>VLOOKUP(D5548,'لیست پرسنل'!$B$2:$F$1020,2,FALSE)</f>
        <v>0</v>
      </c>
      <c r="H5548" s="128" t="s">
        <v>4506</v>
      </c>
      <c r="I5548" s="128" t="s">
        <v>1281</v>
      </c>
      <c r="J5548" s="128" t="s">
        <v>2686</v>
      </c>
      <c r="K5548" s="127" t="s">
        <v>1246</v>
      </c>
      <c r="L5548" s="127" t="s">
        <v>72</v>
      </c>
      <c r="M5548" s="132">
        <v>604290</v>
      </c>
      <c r="N5548" s="112"/>
      <c r="O5548" s="66"/>
      <c r="P5548" s="20" t="s">
        <v>3834</v>
      </c>
      <c r="Q5548" s="20" t="s">
        <v>5687</v>
      </c>
    </row>
    <row r="5549" spans="1:17" ht="26.25" customHeight="1">
      <c r="A5549" s="20"/>
      <c r="B5549" s="20" t="s">
        <v>1281</v>
      </c>
      <c r="C5549" s="82"/>
      <c r="D5549" s="20" t="s">
        <v>1281</v>
      </c>
      <c r="E5549" s="19" t="str">
        <f>VLOOKUP(D5549,'لیست پرسنل'!$B$2:$E$1020,3,FALSE)</f>
        <v>خیریه</v>
      </c>
      <c r="F5549" s="19" t="str">
        <f>VLOOKUP(D5549,'لیست پرسنل'!$B$2:$E$1020,4,FALSE)</f>
        <v>خیریه</v>
      </c>
      <c r="G5549" s="127">
        <f>VLOOKUP(D5549,'لیست پرسنل'!$B$2:$F$1020,2,FALSE)</f>
        <v>0</v>
      </c>
      <c r="H5549" s="128" t="s">
        <v>4506</v>
      </c>
      <c r="I5549" s="128" t="s">
        <v>1281</v>
      </c>
      <c r="J5549" s="128" t="s">
        <v>2686</v>
      </c>
      <c r="K5549" s="127" t="s">
        <v>541</v>
      </c>
      <c r="L5549" s="151" t="s">
        <v>4505</v>
      </c>
      <c r="M5549" s="127">
        <v>605340</v>
      </c>
      <c r="N5549" s="110"/>
      <c r="O5549" s="85" t="s">
        <v>4387</v>
      </c>
      <c r="P5549" s="20" t="s">
        <v>3834</v>
      </c>
      <c r="Q5549" s="20" t="s">
        <v>5687</v>
      </c>
    </row>
    <row r="5550" spans="1:17" ht="21">
      <c r="A5550" s="20"/>
      <c r="B5550" s="20" t="s">
        <v>1281</v>
      </c>
      <c r="C5550" s="82"/>
      <c r="D5550" s="20" t="s">
        <v>1281</v>
      </c>
      <c r="E5550" s="19" t="str">
        <f>VLOOKUP(D5550,'لیست پرسنل'!$B$2:$E$1020,3,FALSE)</f>
        <v>خیریه</v>
      </c>
      <c r="F5550" s="19" t="str">
        <f>VLOOKUP(D5550,'لیست پرسنل'!$B$2:$E$1020,4,FALSE)</f>
        <v>خیریه</v>
      </c>
      <c r="G5550" s="127">
        <f>VLOOKUP(D5550,'لیست پرسنل'!$B$2:$F$1020,2,FALSE)</f>
        <v>0</v>
      </c>
      <c r="H5550" s="128" t="s">
        <v>4506</v>
      </c>
      <c r="I5550" s="128" t="s">
        <v>1281</v>
      </c>
      <c r="J5550" s="128" t="s">
        <v>2686</v>
      </c>
      <c r="K5550" s="127" t="s">
        <v>1504</v>
      </c>
      <c r="L5550" s="151" t="s">
        <v>1191</v>
      </c>
      <c r="M5550" s="127">
        <v>605404</v>
      </c>
      <c r="N5550" s="110"/>
      <c r="O5550" s="85"/>
      <c r="P5550" s="20" t="s">
        <v>3834</v>
      </c>
      <c r="Q5550" s="20" t="s">
        <v>7643</v>
      </c>
    </row>
    <row r="5551" spans="1:17" ht="21">
      <c r="A5551" s="20"/>
      <c r="B5551" s="20" t="s">
        <v>1281</v>
      </c>
      <c r="C5551" s="82"/>
      <c r="D5551" s="20" t="s">
        <v>1281</v>
      </c>
      <c r="E5551" s="19" t="str">
        <f>VLOOKUP(D5551,'لیست پرسنل'!$B$2:$E$1020,3,FALSE)</f>
        <v>خیریه</v>
      </c>
      <c r="F5551" s="19" t="str">
        <f>VLOOKUP(D5551,'لیست پرسنل'!$B$2:$E$1020,4,FALSE)</f>
        <v>خیریه</v>
      </c>
      <c r="G5551" s="127">
        <f>VLOOKUP(D5551,'لیست پرسنل'!$B$2:$F$1020,2,FALSE)</f>
        <v>0</v>
      </c>
      <c r="H5551" s="128" t="s">
        <v>4506</v>
      </c>
      <c r="I5551" s="128" t="s">
        <v>1281</v>
      </c>
      <c r="J5551" s="128" t="s">
        <v>2686</v>
      </c>
      <c r="K5551" s="128" t="s">
        <v>560</v>
      </c>
      <c r="L5551" s="128" t="s">
        <v>1327</v>
      </c>
      <c r="M5551" s="127">
        <v>605405</v>
      </c>
      <c r="N5551" s="112"/>
      <c r="O5551" s="66"/>
      <c r="P5551" s="20" t="s">
        <v>3834</v>
      </c>
      <c r="Q5551" s="20" t="s">
        <v>7643</v>
      </c>
    </row>
    <row r="5552" spans="1:17" ht="21">
      <c r="A5552" s="20"/>
      <c r="B5552" s="20" t="s">
        <v>1281</v>
      </c>
      <c r="C5552" s="82"/>
      <c r="D5552" s="20" t="s">
        <v>1281</v>
      </c>
      <c r="E5552" s="19" t="str">
        <f>VLOOKUP(D5552,'لیست پرسنل'!$B$2:$E$1020,3,FALSE)</f>
        <v>خیریه</v>
      </c>
      <c r="F5552" s="19" t="str">
        <f>VLOOKUP(D5552,'لیست پرسنل'!$B$2:$E$1020,4,FALSE)</f>
        <v>خیریه</v>
      </c>
      <c r="G5552" s="127">
        <f>VLOOKUP(D5552,'لیست پرسنل'!$B$2:$F$1020,2,FALSE)</f>
        <v>0</v>
      </c>
      <c r="H5552" s="128" t="s">
        <v>4506</v>
      </c>
      <c r="I5552" s="128" t="s">
        <v>1281</v>
      </c>
      <c r="J5552" s="128" t="s">
        <v>2686</v>
      </c>
      <c r="K5552" s="127" t="s">
        <v>38</v>
      </c>
      <c r="L5552" s="127" t="s">
        <v>121</v>
      </c>
      <c r="M5552" s="132">
        <v>607357</v>
      </c>
      <c r="N5552" s="112"/>
      <c r="O5552" s="66"/>
      <c r="P5552" s="20" t="s">
        <v>3834</v>
      </c>
      <c r="Q5552" s="20" t="s">
        <v>5687</v>
      </c>
    </row>
    <row r="5553" spans="1:17" ht="26.25" customHeight="1">
      <c r="A5553" s="20"/>
      <c r="B5553" s="20" t="s">
        <v>1281</v>
      </c>
      <c r="C5553" s="82"/>
      <c r="D5553" s="20" t="s">
        <v>1281</v>
      </c>
      <c r="E5553" s="19" t="str">
        <f>VLOOKUP(D5553,'لیست پرسنل'!$B$2:$E$1020,3,FALSE)</f>
        <v>خیریه</v>
      </c>
      <c r="F5553" s="19" t="str">
        <f>VLOOKUP(D5553,'لیست پرسنل'!$B$2:$E$1020,4,FALSE)</f>
        <v>خیریه</v>
      </c>
      <c r="G5553" s="127">
        <f>VLOOKUP(D5553,'لیست پرسنل'!$B$2:$F$1020,2,FALSE)</f>
        <v>0</v>
      </c>
      <c r="H5553" s="128" t="s">
        <v>4506</v>
      </c>
      <c r="I5553" s="128" t="s">
        <v>1281</v>
      </c>
      <c r="J5553" s="128" t="s">
        <v>2686</v>
      </c>
      <c r="K5553" s="128" t="s">
        <v>1449</v>
      </c>
      <c r="L5553" s="128" t="s">
        <v>502</v>
      </c>
      <c r="M5553" s="128">
        <v>607411</v>
      </c>
      <c r="N5553" s="112"/>
      <c r="O5553" s="66"/>
      <c r="P5553" s="20" t="s">
        <v>3834</v>
      </c>
      <c r="Q5553" s="20" t="s">
        <v>5687</v>
      </c>
    </row>
    <row r="5554" spans="1:17" ht="21">
      <c r="A5554" s="20"/>
      <c r="B5554" s="20" t="s">
        <v>1281</v>
      </c>
      <c r="C5554" s="82"/>
      <c r="D5554" s="20" t="s">
        <v>1281</v>
      </c>
      <c r="E5554" s="19" t="str">
        <f>VLOOKUP(D5554,'لیست پرسنل'!$B$2:$E$1020,3,FALSE)</f>
        <v>خیریه</v>
      </c>
      <c r="F5554" s="19" t="str">
        <f>VLOOKUP(D5554,'لیست پرسنل'!$B$2:$E$1020,4,FALSE)</f>
        <v>خیریه</v>
      </c>
      <c r="G5554" s="127">
        <f>VLOOKUP(D5554,'لیست پرسنل'!$B$2:$F$1020,2,FALSE)</f>
        <v>0</v>
      </c>
      <c r="H5554" s="128" t="s">
        <v>4506</v>
      </c>
      <c r="I5554" s="128" t="s">
        <v>1281</v>
      </c>
      <c r="J5554" s="128" t="s">
        <v>2686</v>
      </c>
      <c r="K5554" s="128" t="s">
        <v>564</v>
      </c>
      <c r="L5554" s="128" t="s">
        <v>1030</v>
      </c>
      <c r="M5554" s="128">
        <v>608020</v>
      </c>
      <c r="N5554" s="112"/>
      <c r="O5554" s="66"/>
      <c r="P5554" s="20" t="s">
        <v>3834</v>
      </c>
      <c r="Q5554" s="20" t="s">
        <v>7643</v>
      </c>
    </row>
    <row r="5555" spans="1:17" ht="21">
      <c r="A5555" s="20"/>
      <c r="B5555" s="20" t="s">
        <v>1281</v>
      </c>
      <c r="C5555" s="82"/>
      <c r="D5555" s="20" t="s">
        <v>1281</v>
      </c>
      <c r="E5555" s="19" t="str">
        <f>VLOOKUP(D5555,'لیست پرسنل'!$B$2:$E$1020,3,FALSE)</f>
        <v>خیریه</v>
      </c>
      <c r="F5555" s="19" t="str">
        <f>VLOOKUP(D5555,'لیست پرسنل'!$B$2:$E$1020,4,FALSE)</f>
        <v>خیریه</v>
      </c>
      <c r="G5555" s="127">
        <f>VLOOKUP(D5555,'لیست پرسنل'!$B$2:$F$1020,2,FALSE)</f>
        <v>0</v>
      </c>
      <c r="H5555" s="128" t="s">
        <v>4506</v>
      </c>
      <c r="I5555" s="128" t="s">
        <v>1281</v>
      </c>
      <c r="J5555" s="128" t="s">
        <v>2686</v>
      </c>
      <c r="K5555" s="128" t="s">
        <v>1509</v>
      </c>
      <c r="L5555" s="128" t="s">
        <v>62</v>
      </c>
      <c r="M5555" s="132">
        <v>608024</v>
      </c>
      <c r="N5555" s="112"/>
      <c r="O5555" s="66"/>
      <c r="P5555" s="20" t="s">
        <v>3834</v>
      </c>
      <c r="Q5555" s="20" t="s">
        <v>5687</v>
      </c>
    </row>
    <row r="5556" spans="1:17" ht="21">
      <c r="A5556" s="20"/>
      <c r="B5556" s="20" t="s">
        <v>1281</v>
      </c>
      <c r="C5556" s="19"/>
      <c r="D5556" s="20" t="s">
        <v>1281</v>
      </c>
      <c r="E5556" s="19" t="str">
        <f>VLOOKUP(D5556,'لیست پرسنل'!$B$2:$E$1020,3,FALSE)</f>
        <v>خیریه</v>
      </c>
      <c r="F5556" s="19" t="str">
        <f>VLOOKUP(D5556,'لیست پرسنل'!$B$2:$E$1020,4,FALSE)</f>
        <v>خیریه</v>
      </c>
      <c r="G5556" s="127">
        <f>VLOOKUP(D5556,'لیست پرسنل'!$B$2:$F$1020,2,FALSE)</f>
        <v>0</v>
      </c>
      <c r="H5556" s="128" t="s">
        <v>4506</v>
      </c>
      <c r="I5556" s="128" t="s">
        <v>1281</v>
      </c>
      <c r="J5556" s="128" t="s">
        <v>2686</v>
      </c>
      <c r="K5556" s="127" t="s">
        <v>541</v>
      </c>
      <c r="L5556" s="151" t="s">
        <v>1136</v>
      </c>
      <c r="M5556" s="127">
        <v>608618</v>
      </c>
      <c r="N5556" s="112"/>
      <c r="O5556" s="85" t="s">
        <v>4504</v>
      </c>
      <c r="P5556" s="20" t="s">
        <v>3834</v>
      </c>
      <c r="Q5556" s="20" t="s">
        <v>5687</v>
      </c>
    </row>
    <row r="5557" spans="1:17" ht="21">
      <c r="A5557" s="20"/>
      <c r="B5557" s="20" t="s">
        <v>1281</v>
      </c>
      <c r="C5557" s="82"/>
      <c r="D5557" s="20" t="s">
        <v>1281</v>
      </c>
      <c r="E5557" s="19" t="str">
        <f>VLOOKUP(D5557,'لیست پرسنل'!$B$2:$E$1020,3,FALSE)</f>
        <v>خیریه</v>
      </c>
      <c r="F5557" s="19" t="str">
        <f>VLOOKUP(D5557,'لیست پرسنل'!$B$2:$E$1020,4,FALSE)</f>
        <v>خیریه</v>
      </c>
      <c r="G5557" s="127">
        <f>VLOOKUP(D5557,'لیست پرسنل'!$B$2:$F$1020,2,FALSE)</f>
        <v>0</v>
      </c>
      <c r="H5557" s="128" t="s">
        <v>4506</v>
      </c>
      <c r="I5557" s="128" t="s">
        <v>1281</v>
      </c>
      <c r="J5557" s="128" t="s">
        <v>2686</v>
      </c>
      <c r="K5557" s="128" t="s">
        <v>621</v>
      </c>
      <c r="L5557" s="128" t="s">
        <v>5223</v>
      </c>
      <c r="M5557" s="128">
        <v>610566</v>
      </c>
      <c r="N5557" s="112"/>
      <c r="O5557" s="66" t="s">
        <v>5225</v>
      </c>
      <c r="P5557" s="20" t="s">
        <v>3834</v>
      </c>
      <c r="Q5557" s="20" t="s">
        <v>7643</v>
      </c>
    </row>
    <row r="5558" spans="1:17" ht="26.25" customHeight="1">
      <c r="A5558" s="20"/>
      <c r="B5558" s="20" t="s">
        <v>1281</v>
      </c>
      <c r="C5558" s="82"/>
      <c r="D5558" s="20" t="s">
        <v>1281</v>
      </c>
      <c r="E5558" s="19" t="str">
        <f>VLOOKUP(D5558,'لیست پرسنل'!$B$2:$E$1020,3,FALSE)</f>
        <v>خیریه</v>
      </c>
      <c r="F5558" s="19" t="str">
        <f>VLOOKUP(D5558,'لیست پرسنل'!$B$2:$E$1020,4,FALSE)</f>
        <v>خیریه</v>
      </c>
      <c r="G5558" s="127">
        <f>VLOOKUP(D5558,'لیست پرسنل'!$B$2:$F$1020,2,FALSE)</f>
        <v>0</v>
      </c>
      <c r="H5558" s="128" t="s">
        <v>4506</v>
      </c>
      <c r="I5558" s="128" t="s">
        <v>1281</v>
      </c>
      <c r="J5558" s="128" t="s">
        <v>2686</v>
      </c>
      <c r="K5558" s="128" t="s">
        <v>548</v>
      </c>
      <c r="L5558" s="128" t="s">
        <v>1269</v>
      </c>
      <c r="M5558" s="128">
        <v>610962</v>
      </c>
      <c r="N5558" s="112"/>
      <c r="O5558" s="66"/>
      <c r="P5558" s="20" t="s">
        <v>3834</v>
      </c>
      <c r="Q5558" s="20" t="s">
        <v>7643</v>
      </c>
    </row>
    <row r="5559" spans="1:17" ht="21">
      <c r="A5559" s="20"/>
      <c r="B5559" s="20" t="s">
        <v>1281</v>
      </c>
      <c r="C5559" s="82"/>
      <c r="D5559" s="20" t="s">
        <v>1281</v>
      </c>
      <c r="E5559" s="19" t="str">
        <f>VLOOKUP(D5559,'لیست پرسنل'!$B$2:$E$1020,3,FALSE)</f>
        <v>خیریه</v>
      </c>
      <c r="F5559" s="19" t="str">
        <f>VLOOKUP(D5559,'لیست پرسنل'!$B$2:$E$1020,4,FALSE)</f>
        <v>خیریه</v>
      </c>
      <c r="G5559" s="127">
        <f>VLOOKUP(D5559,'لیست پرسنل'!$B$2:$F$1020,2,FALSE)</f>
        <v>0</v>
      </c>
      <c r="H5559" s="128" t="s">
        <v>4506</v>
      </c>
      <c r="I5559" s="128" t="s">
        <v>1281</v>
      </c>
      <c r="J5559" s="128" t="s">
        <v>2686</v>
      </c>
      <c r="K5559" s="127" t="s">
        <v>2655</v>
      </c>
      <c r="L5559" s="127" t="s">
        <v>475</v>
      </c>
      <c r="M5559" s="127">
        <v>618632</v>
      </c>
      <c r="N5559" s="110"/>
      <c r="O5559" s="85" t="s">
        <v>5090</v>
      </c>
      <c r="P5559" s="20" t="s">
        <v>3834</v>
      </c>
      <c r="Q5559" s="20" t="s">
        <v>5687</v>
      </c>
    </row>
    <row r="5560" spans="1:17" ht="21">
      <c r="A5560" s="20"/>
      <c r="B5560" s="20" t="s">
        <v>1281</v>
      </c>
      <c r="C5560" s="82"/>
      <c r="D5560" s="20" t="s">
        <v>1281</v>
      </c>
      <c r="E5560" s="19" t="str">
        <f>VLOOKUP(D5560,'لیست پرسنل'!$B$2:$E$1020,3,FALSE)</f>
        <v>خیریه</v>
      </c>
      <c r="F5560" s="19" t="str">
        <f>VLOOKUP(D5560,'لیست پرسنل'!$B$2:$E$1020,4,FALSE)</f>
        <v>خیریه</v>
      </c>
      <c r="G5560" s="127">
        <f>VLOOKUP(D5560,'لیست پرسنل'!$B$2:$F$1020,2,FALSE)</f>
        <v>0</v>
      </c>
      <c r="H5560" s="128" t="s">
        <v>4506</v>
      </c>
      <c r="I5560" s="128" t="s">
        <v>1281</v>
      </c>
      <c r="J5560" s="128" t="s">
        <v>2686</v>
      </c>
      <c r="K5560" s="128" t="s">
        <v>1347</v>
      </c>
      <c r="L5560" s="128" t="s">
        <v>396</v>
      </c>
      <c r="M5560" s="132">
        <v>622487</v>
      </c>
      <c r="N5560" s="112"/>
      <c r="O5560" s="66"/>
      <c r="P5560" s="20" t="s">
        <v>3834</v>
      </c>
      <c r="Q5560" s="20" t="s">
        <v>5687</v>
      </c>
    </row>
    <row r="5561" spans="1:17" ht="21">
      <c r="A5561" s="20"/>
      <c r="B5561" s="20" t="s">
        <v>1281</v>
      </c>
      <c r="C5561" s="82"/>
      <c r="D5561" s="20" t="s">
        <v>1281</v>
      </c>
      <c r="E5561" s="19" t="str">
        <f>VLOOKUP(D5561,'لیست پرسنل'!$B$2:$E$1020,3,FALSE)</f>
        <v>خیریه</v>
      </c>
      <c r="F5561" s="19" t="str">
        <f>VLOOKUP(D5561,'لیست پرسنل'!$B$2:$E$1020,4,FALSE)</f>
        <v>خیریه</v>
      </c>
      <c r="G5561" s="127">
        <f>VLOOKUP(D5561,'لیست پرسنل'!$B$2:$F$1020,2,FALSE)</f>
        <v>0</v>
      </c>
      <c r="H5561" s="128" t="s">
        <v>4506</v>
      </c>
      <c r="I5561" s="128" t="s">
        <v>1281</v>
      </c>
      <c r="J5561" s="128" t="s">
        <v>2686</v>
      </c>
      <c r="K5561" s="128" t="s">
        <v>622</v>
      </c>
      <c r="L5561" s="151" t="s">
        <v>625</v>
      </c>
      <c r="M5561" s="127">
        <v>622620</v>
      </c>
      <c r="N5561" s="110"/>
      <c r="O5561" s="85" t="s">
        <v>5306</v>
      </c>
      <c r="P5561" s="20" t="s">
        <v>3834</v>
      </c>
      <c r="Q5561" s="20" t="s">
        <v>7643</v>
      </c>
    </row>
    <row r="5562" spans="1:17" ht="21">
      <c r="A5562" s="20"/>
      <c r="B5562" s="20" t="s">
        <v>1281</v>
      </c>
      <c r="C5562" s="82"/>
      <c r="D5562" s="20" t="s">
        <v>1281</v>
      </c>
      <c r="E5562" s="19" t="str">
        <f>VLOOKUP(D5562,'لیست پرسنل'!$B$2:$E$1020,3,FALSE)</f>
        <v>خیریه</v>
      </c>
      <c r="F5562" s="19" t="str">
        <f>VLOOKUP(D5562,'لیست پرسنل'!$B$2:$E$1020,4,FALSE)</f>
        <v>خیریه</v>
      </c>
      <c r="G5562" s="127">
        <f>VLOOKUP(D5562,'لیست پرسنل'!$B$2:$F$1020,2,FALSE)</f>
        <v>0</v>
      </c>
      <c r="H5562" s="128" t="s">
        <v>4506</v>
      </c>
      <c r="I5562" s="128" t="s">
        <v>1281</v>
      </c>
      <c r="J5562" s="128" t="s">
        <v>2686</v>
      </c>
      <c r="K5562" s="128" t="s">
        <v>4138</v>
      </c>
      <c r="L5562" s="150" t="s">
        <v>4139</v>
      </c>
      <c r="M5562" s="128">
        <v>632398</v>
      </c>
      <c r="N5562" s="112"/>
      <c r="O5562" s="85" t="s">
        <v>5950</v>
      </c>
      <c r="P5562" s="20" t="s">
        <v>3834</v>
      </c>
      <c r="Q5562" s="20" t="s">
        <v>7643</v>
      </c>
    </row>
    <row r="5563" spans="1:17" ht="21">
      <c r="A5563" s="20"/>
      <c r="B5563" s="20" t="s">
        <v>1281</v>
      </c>
      <c r="C5563" s="82"/>
      <c r="D5563" s="20" t="s">
        <v>1281</v>
      </c>
      <c r="E5563" s="19" t="str">
        <f>VLOOKUP(D5563,'لیست پرسنل'!$B$2:$E$1020,3,FALSE)</f>
        <v>خیریه</v>
      </c>
      <c r="F5563" s="19" t="str">
        <f>VLOOKUP(D5563,'لیست پرسنل'!$B$2:$E$1020,4,FALSE)</f>
        <v>خیریه</v>
      </c>
      <c r="G5563" s="127">
        <f>VLOOKUP(D5563,'لیست پرسنل'!$B$2:$F$1020,2,FALSE)</f>
        <v>0</v>
      </c>
      <c r="H5563" s="128" t="s">
        <v>4506</v>
      </c>
      <c r="I5563" s="128" t="s">
        <v>1281</v>
      </c>
      <c r="J5563" s="128" t="s">
        <v>2686</v>
      </c>
      <c r="K5563" s="128" t="s">
        <v>4138</v>
      </c>
      <c r="L5563" s="150" t="s">
        <v>4140</v>
      </c>
      <c r="M5563" s="128">
        <v>632400</v>
      </c>
      <c r="N5563" s="112"/>
      <c r="O5563" s="85" t="s">
        <v>5951</v>
      </c>
      <c r="P5563" s="20" t="s">
        <v>3834</v>
      </c>
      <c r="Q5563" s="20" t="s">
        <v>7643</v>
      </c>
    </row>
    <row r="5564" spans="1:17" ht="26.25" customHeight="1">
      <c r="A5564" s="20"/>
      <c r="B5564" s="20" t="s">
        <v>1281</v>
      </c>
      <c r="C5564" s="82"/>
      <c r="D5564" s="20" t="s">
        <v>1281</v>
      </c>
      <c r="E5564" s="19" t="str">
        <f>VLOOKUP(D5564,'لیست پرسنل'!$B$2:$E$1020,3,FALSE)</f>
        <v>خیریه</v>
      </c>
      <c r="F5564" s="19" t="str">
        <f>VLOOKUP(D5564,'لیست پرسنل'!$B$2:$E$1020,4,FALSE)</f>
        <v>خیریه</v>
      </c>
      <c r="G5564" s="127">
        <f>VLOOKUP(D5564,'لیست پرسنل'!$B$2:$F$1020,2,FALSE)</f>
        <v>0</v>
      </c>
      <c r="H5564" s="128" t="s">
        <v>6663</v>
      </c>
      <c r="I5564" s="128" t="s">
        <v>1281</v>
      </c>
      <c r="J5564" s="141" t="s">
        <v>571</v>
      </c>
      <c r="K5564" s="159" t="s">
        <v>6480</v>
      </c>
      <c r="L5564" s="155"/>
      <c r="M5564" s="131">
        <v>601128</v>
      </c>
      <c r="N5564" s="112"/>
      <c r="O5564" s="85"/>
      <c r="P5564" s="20" t="s">
        <v>3834</v>
      </c>
      <c r="Q5564" s="20" t="s">
        <v>7643</v>
      </c>
    </row>
    <row r="5565" spans="1:17" ht="21">
      <c r="A5565" s="20"/>
      <c r="B5565" s="20" t="s">
        <v>1281</v>
      </c>
      <c r="C5565" s="82"/>
      <c r="D5565" s="20" t="s">
        <v>1281</v>
      </c>
      <c r="E5565" s="19" t="str">
        <f>VLOOKUP(D5565,'لیست پرسنل'!$B$2:$E$1020,3,FALSE)</f>
        <v>خیریه</v>
      </c>
      <c r="F5565" s="19" t="str">
        <f>VLOOKUP(D5565,'لیست پرسنل'!$B$2:$E$1020,4,FALSE)</f>
        <v>خیریه</v>
      </c>
      <c r="G5565" s="127">
        <f>VLOOKUP(D5565,'لیست پرسنل'!$B$2:$F$1020,2,FALSE)</f>
        <v>0</v>
      </c>
      <c r="H5565" s="128" t="s">
        <v>6663</v>
      </c>
      <c r="I5565" s="128" t="s">
        <v>1281</v>
      </c>
      <c r="J5565" s="127" t="s">
        <v>571</v>
      </c>
      <c r="K5565" s="128" t="s">
        <v>2054</v>
      </c>
      <c r="L5565" s="151"/>
      <c r="M5565" s="127">
        <v>603352</v>
      </c>
      <c r="N5565" s="110"/>
      <c r="O5565" s="192"/>
      <c r="P5565" s="20" t="s">
        <v>3834</v>
      </c>
      <c r="Q5565" s="20" t="s">
        <v>7643</v>
      </c>
    </row>
    <row r="5566" spans="1:17" ht="26.25" customHeight="1">
      <c r="A5566" s="20"/>
      <c r="B5566" s="20" t="s">
        <v>1281</v>
      </c>
      <c r="C5566" s="82"/>
      <c r="D5566" s="20" t="s">
        <v>1281</v>
      </c>
      <c r="E5566" s="19" t="str">
        <f>VLOOKUP(D5566,'لیست پرسنل'!$B$2:$E$1020,3,FALSE)</f>
        <v>خیریه</v>
      </c>
      <c r="F5566" s="19" t="str">
        <f>VLOOKUP(D5566,'لیست پرسنل'!$B$2:$E$1020,4,FALSE)</f>
        <v>خیریه</v>
      </c>
      <c r="G5566" s="127">
        <f>VLOOKUP(D5566,'لیست پرسنل'!$B$2:$F$1020,2,FALSE)</f>
        <v>0</v>
      </c>
      <c r="H5566" s="128" t="s">
        <v>6663</v>
      </c>
      <c r="I5566" s="128" t="s">
        <v>1281</v>
      </c>
      <c r="J5566" s="128" t="s">
        <v>571</v>
      </c>
      <c r="K5566" s="128" t="s">
        <v>2214</v>
      </c>
      <c r="L5566" s="128"/>
      <c r="M5566" s="127">
        <v>603964</v>
      </c>
      <c r="N5566" s="110"/>
      <c r="O5566" s="66"/>
      <c r="P5566" s="20" t="s">
        <v>3834</v>
      </c>
      <c r="Q5566" s="20" t="s">
        <v>7643</v>
      </c>
    </row>
    <row r="5567" spans="1:17" ht="21">
      <c r="A5567" s="20"/>
      <c r="B5567" s="20" t="s">
        <v>1281</v>
      </c>
      <c r="C5567" s="82"/>
      <c r="D5567" s="20" t="s">
        <v>1281</v>
      </c>
      <c r="E5567" s="19" t="str">
        <f>VLOOKUP(D5567,'لیست پرسنل'!$B$2:$E$1020,3,FALSE)</f>
        <v>خیریه</v>
      </c>
      <c r="F5567" s="19" t="str">
        <f>VLOOKUP(D5567,'لیست پرسنل'!$B$2:$E$1020,4,FALSE)</f>
        <v>خیریه</v>
      </c>
      <c r="G5567" s="127">
        <f>VLOOKUP(D5567,'لیست پرسنل'!$B$2:$F$1020,2,FALSE)</f>
        <v>0</v>
      </c>
      <c r="H5567" s="128" t="s">
        <v>6663</v>
      </c>
      <c r="I5567" s="128" t="s">
        <v>1281</v>
      </c>
      <c r="J5567" s="141" t="s">
        <v>571</v>
      </c>
      <c r="K5567" s="127" t="s">
        <v>6485</v>
      </c>
      <c r="L5567" s="150"/>
      <c r="M5567" s="132">
        <v>606514</v>
      </c>
      <c r="N5567" s="112"/>
      <c r="O5567" s="85"/>
      <c r="P5567" s="20" t="s">
        <v>3834</v>
      </c>
      <c r="Q5567" s="20" t="s">
        <v>7643</v>
      </c>
    </row>
    <row r="5568" spans="1:17" ht="21">
      <c r="A5568" s="20"/>
      <c r="B5568" s="20" t="s">
        <v>1281</v>
      </c>
      <c r="C5568" s="82"/>
      <c r="D5568" s="20" t="s">
        <v>1281</v>
      </c>
      <c r="E5568" s="19" t="str">
        <f>VLOOKUP(D5568,'لیست پرسنل'!$B$2:$E$1020,3,FALSE)</f>
        <v>خیریه</v>
      </c>
      <c r="F5568" s="19" t="str">
        <f>VLOOKUP(D5568,'لیست پرسنل'!$B$2:$E$1020,4,FALSE)</f>
        <v>خیریه</v>
      </c>
      <c r="G5568" s="127">
        <f>VLOOKUP(D5568,'لیست پرسنل'!$B$2:$F$1020,2,FALSE)</f>
        <v>0</v>
      </c>
      <c r="H5568" s="128" t="s">
        <v>6663</v>
      </c>
      <c r="I5568" s="128" t="s">
        <v>1281</v>
      </c>
      <c r="J5568" s="141" t="s">
        <v>571</v>
      </c>
      <c r="K5568" s="128" t="s">
        <v>6483</v>
      </c>
      <c r="L5568" s="127" t="s">
        <v>94</v>
      </c>
      <c r="M5568" s="128">
        <v>607085</v>
      </c>
      <c r="N5568" s="112"/>
      <c r="O5568" s="85" t="s">
        <v>4597</v>
      </c>
      <c r="P5568" s="20" t="s">
        <v>3834</v>
      </c>
      <c r="Q5568" s="20" t="s">
        <v>7643</v>
      </c>
    </row>
    <row r="5569" spans="1:17" ht="26.25" customHeight="1">
      <c r="A5569" s="20"/>
      <c r="B5569" s="20" t="s">
        <v>1281</v>
      </c>
      <c r="C5569" s="82"/>
      <c r="D5569" s="20" t="s">
        <v>1281</v>
      </c>
      <c r="E5569" s="19" t="str">
        <f>VLOOKUP(D5569,'لیست پرسنل'!$B$2:$E$1020,3,FALSE)</f>
        <v>خیریه</v>
      </c>
      <c r="F5569" s="19" t="str">
        <f>VLOOKUP(D5569,'لیست پرسنل'!$B$2:$E$1020,4,FALSE)</f>
        <v>خیریه</v>
      </c>
      <c r="G5569" s="127">
        <f>VLOOKUP(D5569,'لیست پرسنل'!$B$2:$F$1020,2,FALSE)</f>
        <v>0</v>
      </c>
      <c r="H5569" s="128" t="s">
        <v>6663</v>
      </c>
      <c r="I5569" s="128" t="s">
        <v>1281</v>
      </c>
      <c r="J5569" s="127" t="s">
        <v>571</v>
      </c>
      <c r="K5569" s="128" t="s">
        <v>2054</v>
      </c>
      <c r="L5569" s="127"/>
      <c r="M5569" s="127">
        <v>607301</v>
      </c>
      <c r="N5569" s="110"/>
      <c r="O5569" s="85"/>
      <c r="P5569" s="20" t="s">
        <v>3834</v>
      </c>
      <c r="Q5569" s="20" t="s">
        <v>7643</v>
      </c>
    </row>
    <row r="5570" spans="1:17" ht="21">
      <c r="A5570" s="20"/>
      <c r="B5570" s="20" t="s">
        <v>1281</v>
      </c>
      <c r="C5570" s="82"/>
      <c r="D5570" s="20" t="s">
        <v>1281</v>
      </c>
      <c r="E5570" s="19" t="str">
        <f>VLOOKUP(D5570,'لیست پرسنل'!$B$2:$E$1020,3,FALSE)</f>
        <v>خیریه</v>
      </c>
      <c r="F5570" s="19" t="str">
        <f>VLOOKUP(D5570,'لیست پرسنل'!$B$2:$E$1020,4,FALSE)</f>
        <v>خیریه</v>
      </c>
      <c r="G5570" s="127">
        <f>VLOOKUP(D5570,'لیست پرسنل'!$B$2:$F$1020,2,FALSE)</f>
        <v>0</v>
      </c>
      <c r="H5570" s="128" t="s">
        <v>6663</v>
      </c>
      <c r="I5570" s="128" t="s">
        <v>1281</v>
      </c>
      <c r="J5570" s="141" t="s">
        <v>571</v>
      </c>
      <c r="K5570" s="154" t="s">
        <v>1839</v>
      </c>
      <c r="L5570" s="154"/>
      <c r="M5570" s="131">
        <v>608028</v>
      </c>
      <c r="N5570" s="112"/>
      <c r="O5570" s="193" t="s">
        <v>4595</v>
      </c>
      <c r="P5570" s="20" t="s">
        <v>3834</v>
      </c>
      <c r="Q5570" s="20" t="s">
        <v>7643</v>
      </c>
    </row>
    <row r="5571" spans="1:17" ht="21">
      <c r="A5571" s="20"/>
      <c r="B5571" s="20" t="s">
        <v>1281</v>
      </c>
      <c r="C5571" s="82"/>
      <c r="D5571" s="20" t="s">
        <v>1281</v>
      </c>
      <c r="E5571" s="19" t="str">
        <f>VLOOKUP(D5571,'لیست پرسنل'!$B$2:$E$1020,3,FALSE)</f>
        <v>خیریه</v>
      </c>
      <c r="F5571" s="19" t="str">
        <f>VLOOKUP(D5571,'لیست پرسنل'!$B$2:$E$1020,4,FALSE)</f>
        <v>خیریه</v>
      </c>
      <c r="G5571" s="127">
        <f>VLOOKUP(D5571,'لیست پرسنل'!$B$2:$F$1020,2,FALSE)</f>
        <v>0</v>
      </c>
      <c r="H5571" s="128" t="s">
        <v>6663</v>
      </c>
      <c r="I5571" s="128" t="s">
        <v>1281</v>
      </c>
      <c r="J5571" s="128" t="s">
        <v>571</v>
      </c>
      <c r="K5571" s="128" t="s">
        <v>2054</v>
      </c>
      <c r="L5571" s="128"/>
      <c r="M5571" s="134">
        <v>608764</v>
      </c>
      <c r="N5571" s="110"/>
      <c r="O5571" s="85" t="s">
        <v>6224</v>
      </c>
      <c r="P5571" s="20" t="s">
        <v>3834</v>
      </c>
      <c r="Q5571" s="20" t="s">
        <v>7643</v>
      </c>
    </row>
    <row r="5572" spans="1:17" ht="21">
      <c r="A5572" s="20"/>
      <c r="B5572" s="20" t="s">
        <v>1281</v>
      </c>
      <c r="C5572" s="82"/>
      <c r="D5572" s="20" t="s">
        <v>1281</v>
      </c>
      <c r="E5572" s="19" t="str">
        <f>VLOOKUP(D5572,'لیست پرسنل'!$B$2:$E$1020,3,FALSE)</f>
        <v>خیریه</v>
      </c>
      <c r="F5572" s="19" t="str">
        <f>VLOOKUP(D5572,'لیست پرسنل'!$B$2:$E$1020,4,FALSE)</f>
        <v>خیریه</v>
      </c>
      <c r="G5572" s="127">
        <f>VLOOKUP(D5572,'لیست پرسنل'!$B$2:$F$1020,2,FALSE)</f>
        <v>0</v>
      </c>
      <c r="H5572" s="128" t="s">
        <v>6663</v>
      </c>
      <c r="I5572" s="128" t="s">
        <v>1281</v>
      </c>
      <c r="J5572" s="127" t="s">
        <v>571</v>
      </c>
      <c r="K5572" s="127" t="s">
        <v>2054</v>
      </c>
      <c r="L5572" s="151"/>
      <c r="M5572" s="127">
        <v>610558</v>
      </c>
      <c r="N5572" s="110"/>
      <c r="O5572" s="85"/>
      <c r="P5572" s="20" t="s">
        <v>3834</v>
      </c>
      <c r="Q5572" s="20" t="s">
        <v>7643</v>
      </c>
    </row>
    <row r="5573" spans="1:17" ht="21">
      <c r="A5573" s="20"/>
      <c r="B5573" s="20" t="s">
        <v>1281</v>
      </c>
      <c r="C5573" s="82"/>
      <c r="D5573" s="20" t="s">
        <v>1281</v>
      </c>
      <c r="E5573" s="19" t="str">
        <f>VLOOKUP(D5573,'لیست پرسنل'!$B$2:$E$1020,3,FALSE)</f>
        <v>خیریه</v>
      </c>
      <c r="F5573" s="19" t="str">
        <f>VLOOKUP(D5573,'لیست پرسنل'!$B$2:$E$1020,4,FALSE)</f>
        <v>خیریه</v>
      </c>
      <c r="G5573" s="127">
        <f>VLOOKUP(D5573,'لیست پرسنل'!$B$2:$F$1020,2,FALSE)</f>
        <v>0</v>
      </c>
      <c r="H5573" s="128" t="s">
        <v>6663</v>
      </c>
      <c r="I5573" s="128" t="s">
        <v>1281</v>
      </c>
      <c r="J5573" s="127" t="s">
        <v>571</v>
      </c>
      <c r="K5573" s="128" t="s">
        <v>2054</v>
      </c>
      <c r="L5573" s="151"/>
      <c r="M5573" s="127">
        <v>622493</v>
      </c>
      <c r="N5573" s="110"/>
      <c r="O5573" s="66"/>
      <c r="P5573" s="20" t="s">
        <v>3834</v>
      </c>
      <c r="Q5573" s="20" t="s">
        <v>7643</v>
      </c>
    </row>
    <row r="5574" spans="1:17" ht="21">
      <c r="A5574" s="20"/>
      <c r="B5574" s="20" t="s">
        <v>1281</v>
      </c>
      <c r="C5574" s="82"/>
      <c r="D5574" s="20" t="s">
        <v>1281</v>
      </c>
      <c r="E5574" s="19" t="str">
        <f>VLOOKUP(D5574,'لیست پرسنل'!$B$2:$E$1020,3,FALSE)</f>
        <v>خیریه</v>
      </c>
      <c r="F5574" s="19" t="str">
        <f>VLOOKUP(D5574,'لیست پرسنل'!$B$2:$E$1020,4,FALSE)</f>
        <v>خیریه</v>
      </c>
      <c r="G5574" s="127">
        <f>VLOOKUP(D5574,'لیست پرسنل'!$B$2:$F$1020,2,FALSE)</f>
        <v>0</v>
      </c>
      <c r="H5574" s="128" t="s">
        <v>6663</v>
      </c>
      <c r="I5574" s="128" t="s">
        <v>1281</v>
      </c>
      <c r="J5574" s="141" t="s">
        <v>571</v>
      </c>
      <c r="K5574" s="159" t="s">
        <v>6480</v>
      </c>
      <c r="L5574" s="127" t="s">
        <v>1059</v>
      </c>
      <c r="M5574" s="128">
        <v>622604</v>
      </c>
      <c r="N5574" s="112"/>
      <c r="O5574" s="85"/>
      <c r="P5574" s="20" t="s">
        <v>3834</v>
      </c>
      <c r="Q5574" s="20" t="s">
        <v>7643</v>
      </c>
    </row>
    <row r="5575" spans="1:17" ht="26.25" customHeight="1">
      <c r="A5575" s="20"/>
      <c r="B5575" s="20" t="s">
        <v>1281</v>
      </c>
      <c r="C5575" s="82"/>
      <c r="D5575" s="20" t="s">
        <v>1281</v>
      </c>
      <c r="E5575" s="19" t="str">
        <f>VLOOKUP(D5575,'لیست پرسنل'!$B$2:$E$1020,3,FALSE)</f>
        <v>خیریه</v>
      </c>
      <c r="F5575" s="19" t="str">
        <f>VLOOKUP(D5575,'لیست پرسنل'!$B$2:$E$1020,4,FALSE)</f>
        <v>خیریه</v>
      </c>
      <c r="G5575" s="127">
        <f>VLOOKUP(D5575,'لیست پرسنل'!$B$2:$F$1020,2,FALSE)</f>
        <v>0</v>
      </c>
      <c r="H5575" s="128" t="s">
        <v>6663</v>
      </c>
      <c r="I5575" s="128" t="s">
        <v>1281</v>
      </c>
      <c r="J5575" s="141" t="s">
        <v>571</v>
      </c>
      <c r="K5575" s="131" t="s">
        <v>6486</v>
      </c>
      <c r="L5575" s="127"/>
      <c r="M5575" s="128">
        <v>632370</v>
      </c>
      <c r="N5575" s="112"/>
      <c r="O5575" s="85" t="s">
        <v>5957</v>
      </c>
      <c r="P5575" s="20" t="s">
        <v>3834</v>
      </c>
      <c r="Q5575" s="20" t="s">
        <v>7643</v>
      </c>
    </row>
    <row r="5576" spans="1:17" ht="21">
      <c r="A5576" s="20"/>
      <c r="B5576" s="20" t="s">
        <v>1281</v>
      </c>
      <c r="C5576" s="82"/>
      <c r="D5576" s="20" t="s">
        <v>1281</v>
      </c>
      <c r="E5576" s="19" t="str">
        <f>VLOOKUP(D5576,'لیست پرسنل'!$B$2:$E$1020,3,FALSE)</f>
        <v>خیریه</v>
      </c>
      <c r="F5576" s="19" t="str">
        <f>VLOOKUP(D5576,'لیست پرسنل'!$B$2:$E$1020,4,FALSE)</f>
        <v>خیریه</v>
      </c>
      <c r="G5576" s="127">
        <f>VLOOKUP(D5576,'لیست پرسنل'!$B$2:$F$1020,2,FALSE)</f>
        <v>0</v>
      </c>
      <c r="H5576" s="128" t="s">
        <v>6663</v>
      </c>
      <c r="I5576" s="128" t="s">
        <v>1281</v>
      </c>
      <c r="J5576" s="128" t="s">
        <v>2686</v>
      </c>
      <c r="K5576" s="128" t="s">
        <v>346</v>
      </c>
      <c r="L5576" s="128" t="s">
        <v>1260</v>
      </c>
      <c r="M5576" s="134">
        <v>603812</v>
      </c>
      <c r="N5576" s="112"/>
      <c r="O5576" s="66"/>
      <c r="P5576" s="20" t="s">
        <v>3834</v>
      </c>
      <c r="Q5576" s="20" t="s">
        <v>7643</v>
      </c>
    </row>
    <row r="5577" spans="1:17" ht="21">
      <c r="A5577" s="20"/>
      <c r="B5577" s="20" t="s">
        <v>1281</v>
      </c>
      <c r="C5577" s="82"/>
      <c r="D5577" s="20" t="s">
        <v>1281</v>
      </c>
      <c r="E5577" s="19" t="str">
        <f>VLOOKUP(D5577,'لیست پرسنل'!$B$2:$E$1020,3,FALSE)</f>
        <v>خیریه</v>
      </c>
      <c r="F5577" s="19" t="str">
        <f>VLOOKUP(D5577,'لیست پرسنل'!$B$2:$E$1020,4,FALSE)</f>
        <v>خیریه</v>
      </c>
      <c r="G5577" s="127">
        <f>VLOOKUP(D5577,'لیست پرسنل'!$B$2:$F$1020,2,FALSE)</f>
        <v>0</v>
      </c>
      <c r="H5577" s="128" t="s">
        <v>6663</v>
      </c>
      <c r="I5577" s="128" t="s">
        <v>1281</v>
      </c>
      <c r="J5577" s="128" t="s">
        <v>2686</v>
      </c>
      <c r="K5577" s="128" t="s">
        <v>340</v>
      </c>
      <c r="L5577" s="128" t="s">
        <v>341</v>
      </c>
      <c r="M5577" s="127">
        <v>603935</v>
      </c>
      <c r="N5577" s="112"/>
      <c r="O5577" s="66"/>
      <c r="P5577" s="20" t="s">
        <v>3834</v>
      </c>
      <c r="Q5577" s="20" t="s">
        <v>7643</v>
      </c>
    </row>
    <row r="5578" spans="1:17" ht="26.25" customHeight="1">
      <c r="A5578" s="20"/>
      <c r="B5578" s="20" t="s">
        <v>1281</v>
      </c>
      <c r="C5578" s="82"/>
      <c r="D5578" s="20" t="s">
        <v>1281</v>
      </c>
      <c r="E5578" s="19" t="str">
        <f>VLOOKUP(D5578,'لیست پرسنل'!$B$2:$E$1020,3,FALSE)</f>
        <v>خیریه</v>
      </c>
      <c r="F5578" s="19" t="str">
        <f>VLOOKUP(D5578,'لیست پرسنل'!$B$2:$E$1020,4,FALSE)</f>
        <v>خیریه</v>
      </c>
      <c r="G5578" s="127">
        <f>VLOOKUP(D5578,'لیست پرسنل'!$B$2:$F$1020,2,FALSE)</f>
        <v>0</v>
      </c>
      <c r="H5578" s="128" t="s">
        <v>6663</v>
      </c>
      <c r="I5578" s="128" t="s">
        <v>1281</v>
      </c>
      <c r="J5578" s="128" t="s">
        <v>2686</v>
      </c>
      <c r="K5578" s="128" t="s">
        <v>606</v>
      </c>
      <c r="L5578" s="128" t="s">
        <v>913</v>
      </c>
      <c r="M5578" s="128">
        <v>604874</v>
      </c>
      <c r="N5578" s="112"/>
      <c r="O5578" s="66"/>
      <c r="P5578" s="20" t="s">
        <v>3834</v>
      </c>
      <c r="Q5578" s="20" t="s">
        <v>7643</v>
      </c>
    </row>
    <row r="5579" spans="1:17" ht="26.25" customHeight="1">
      <c r="A5579" s="20"/>
      <c r="B5579" s="20" t="s">
        <v>1281</v>
      </c>
      <c r="C5579" s="82"/>
      <c r="D5579" s="20" t="s">
        <v>1281</v>
      </c>
      <c r="E5579" s="19" t="str">
        <f>VLOOKUP(D5579,'لیست پرسنل'!$B$2:$E$1020,3,FALSE)</f>
        <v>خیریه</v>
      </c>
      <c r="F5579" s="19" t="str">
        <f>VLOOKUP(D5579,'لیست پرسنل'!$B$2:$E$1020,4,FALSE)</f>
        <v>خیریه</v>
      </c>
      <c r="G5579" s="127">
        <f>VLOOKUP(D5579,'لیست پرسنل'!$B$2:$F$1020,2,FALSE)</f>
        <v>0</v>
      </c>
      <c r="H5579" s="128" t="s">
        <v>6663</v>
      </c>
      <c r="I5579" s="128" t="s">
        <v>1281</v>
      </c>
      <c r="J5579" s="128" t="s">
        <v>2686</v>
      </c>
      <c r="K5579" s="141" t="s">
        <v>541</v>
      </c>
      <c r="L5579" s="151" t="s">
        <v>1137</v>
      </c>
      <c r="M5579" s="128">
        <v>605337</v>
      </c>
      <c r="N5579" s="112"/>
      <c r="O5579" s="66"/>
      <c r="P5579" s="20" t="s">
        <v>3834</v>
      </c>
      <c r="Q5579" s="20" t="s">
        <v>7643</v>
      </c>
    </row>
    <row r="5580" spans="1:17" ht="26.25" customHeight="1">
      <c r="A5580" s="20"/>
      <c r="B5580" s="20" t="s">
        <v>1281</v>
      </c>
      <c r="C5580" s="82"/>
      <c r="D5580" s="20" t="s">
        <v>1281</v>
      </c>
      <c r="E5580" s="19" t="str">
        <f>VLOOKUP(D5580,'لیست پرسنل'!$B$2:$E$1020,3,FALSE)</f>
        <v>خیریه</v>
      </c>
      <c r="F5580" s="19" t="str">
        <f>VLOOKUP(D5580,'لیست پرسنل'!$B$2:$E$1020,4,FALSE)</f>
        <v>خیریه</v>
      </c>
      <c r="G5580" s="127">
        <f>VLOOKUP(D5580,'لیست پرسنل'!$B$2:$F$1020,2,FALSE)</f>
        <v>0</v>
      </c>
      <c r="H5580" s="128" t="s">
        <v>6663</v>
      </c>
      <c r="I5580" s="128" t="s">
        <v>1281</v>
      </c>
      <c r="J5580" s="128" t="s">
        <v>2686</v>
      </c>
      <c r="K5580" s="134" t="s">
        <v>1246</v>
      </c>
      <c r="L5580" s="134" t="s">
        <v>252</v>
      </c>
      <c r="M5580" s="128">
        <v>606521</v>
      </c>
      <c r="N5580" s="112"/>
      <c r="O5580" s="66" t="s">
        <v>1342</v>
      </c>
      <c r="P5580" s="20" t="s">
        <v>3834</v>
      </c>
      <c r="Q5580" s="20" t="s">
        <v>7643</v>
      </c>
    </row>
    <row r="5581" spans="1:17" ht="26.25" customHeight="1">
      <c r="A5581" s="20"/>
      <c r="B5581" s="20" t="s">
        <v>1281</v>
      </c>
      <c r="C5581" s="82"/>
      <c r="D5581" s="20" t="s">
        <v>1281</v>
      </c>
      <c r="E5581" s="19" t="str">
        <f>VLOOKUP(D5581,'لیست پرسنل'!$B$2:$E$1020,3,FALSE)</f>
        <v>خیریه</v>
      </c>
      <c r="F5581" s="19" t="str">
        <f>VLOOKUP(D5581,'لیست پرسنل'!$B$2:$E$1020,4,FALSE)</f>
        <v>خیریه</v>
      </c>
      <c r="G5581" s="127">
        <f>VLOOKUP(D5581,'لیست پرسنل'!$B$2:$F$1020,2,FALSE)</f>
        <v>0</v>
      </c>
      <c r="H5581" s="128" t="s">
        <v>6663</v>
      </c>
      <c r="I5581" s="128" t="s">
        <v>1281</v>
      </c>
      <c r="J5581" s="128" t="s">
        <v>2686</v>
      </c>
      <c r="K5581" s="128" t="s">
        <v>564</v>
      </c>
      <c r="L5581" s="127" t="s">
        <v>112</v>
      </c>
      <c r="M5581" s="127">
        <v>607309</v>
      </c>
      <c r="N5581" s="110"/>
      <c r="O5581" s="85"/>
      <c r="P5581" s="20" t="s">
        <v>3834</v>
      </c>
      <c r="Q5581" s="20" t="s">
        <v>7643</v>
      </c>
    </row>
    <row r="5582" spans="1:17" ht="26.25" customHeight="1">
      <c r="A5582" s="20"/>
      <c r="B5582" s="20" t="s">
        <v>1281</v>
      </c>
      <c r="C5582" s="82"/>
      <c r="D5582" s="20" t="s">
        <v>1281</v>
      </c>
      <c r="E5582" s="19" t="str">
        <f>VLOOKUP(D5582,'لیست پرسنل'!$B$2:$E$1020,3,FALSE)</f>
        <v>خیریه</v>
      </c>
      <c r="F5582" s="19" t="str">
        <f>VLOOKUP(D5582,'لیست پرسنل'!$B$2:$E$1020,4,FALSE)</f>
        <v>خیریه</v>
      </c>
      <c r="G5582" s="127">
        <f>VLOOKUP(D5582,'لیست پرسنل'!$B$2:$F$1020,2,FALSE)</f>
        <v>0</v>
      </c>
      <c r="H5582" s="128" t="s">
        <v>6663</v>
      </c>
      <c r="I5582" s="128" t="s">
        <v>1281</v>
      </c>
      <c r="J5582" s="128" t="s">
        <v>2686</v>
      </c>
      <c r="K5582" s="127" t="s">
        <v>556</v>
      </c>
      <c r="L5582" s="151" t="s">
        <v>1054</v>
      </c>
      <c r="M5582" s="127">
        <v>608827</v>
      </c>
      <c r="N5582" s="112"/>
      <c r="O5582" s="66"/>
      <c r="P5582" s="20" t="s">
        <v>3834</v>
      </c>
      <c r="Q5582" s="20" t="s">
        <v>7643</v>
      </c>
    </row>
    <row r="5583" spans="1:17" ht="21">
      <c r="A5583" s="20"/>
      <c r="B5583" s="20" t="s">
        <v>1281</v>
      </c>
      <c r="C5583" s="82"/>
      <c r="D5583" s="20" t="s">
        <v>1281</v>
      </c>
      <c r="E5583" s="19" t="str">
        <f>VLOOKUP(D5583,'لیست پرسنل'!$B$2:$E$1020,3,FALSE)</f>
        <v>خیریه</v>
      </c>
      <c r="F5583" s="19" t="str">
        <f>VLOOKUP(D5583,'لیست پرسنل'!$B$2:$E$1020,4,FALSE)</f>
        <v>خیریه</v>
      </c>
      <c r="G5583" s="127">
        <f>VLOOKUP(D5583,'لیست پرسنل'!$B$2:$F$1020,2,FALSE)</f>
        <v>0</v>
      </c>
      <c r="H5583" s="128" t="s">
        <v>6663</v>
      </c>
      <c r="I5583" s="128" t="s">
        <v>1281</v>
      </c>
      <c r="J5583" s="128" t="s">
        <v>2686</v>
      </c>
      <c r="K5583" s="126" t="s">
        <v>747</v>
      </c>
      <c r="L5583" s="164" t="s">
        <v>3932</v>
      </c>
      <c r="M5583" s="134">
        <v>613930</v>
      </c>
      <c r="N5583" s="112"/>
      <c r="O5583" s="66"/>
      <c r="P5583" s="20" t="s">
        <v>3834</v>
      </c>
      <c r="Q5583" s="20" t="s">
        <v>7643</v>
      </c>
    </row>
    <row r="5584" spans="1:17" ht="26.25" customHeight="1">
      <c r="A5584" s="20"/>
      <c r="B5584" s="20" t="s">
        <v>1281</v>
      </c>
      <c r="C5584" s="82"/>
      <c r="D5584" s="20" t="s">
        <v>1281</v>
      </c>
      <c r="E5584" s="19" t="str">
        <f>VLOOKUP(D5584,'لیست پرسنل'!$B$2:$E$1020,3,FALSE)</f>
        <v>خیریه</v>
      </c>
      <c r="F5584" s="19" t="str">
        <f>VLOOKUP(D5584,'لیست پرسنل'!$B$2:$E$1020,4,FALSE)</f>
        <v>خیریه</v>
      </c>
      <c r="G5584" s="127">
        <f>VLOOKUP(D5584,'لیست پرسنل'!$B$2:$F$1020,2,FALSE)</f>
        <v>0</v>
      </c>
      <c r="H5584" s="128" t="s">
        <v>6663</v>
      </c>
      <c r="I5584" s="128" t="s">
        <v>1281</v>
      </c>
      <c r="J5584" s="128" t="s">
        <v>2686</v>
      </c>
      <c r="K5584" s="127" t="s">
        <v>3793</v>
      </c>
      <c r="L5584" s="127" t="s">
        <v>2078</v>
      </c>
      <c r="M5584" s="127">
        <v>615044</v>
      </c>
      <c r="N5584" s="110"/>
      <c r="O5584" s="101"/>
      <c r="P5584" s="20" t="s">
        <v>3834</v>
      </c>
      <c r="Q5584" s="20" t="s">
        <v>7643</v>
      </c>
    </row>
    <row r="5585" spans="1:17" ht="26.25" customHeight="1">
      <c r="A5585" s="20"/>
      <c r="B5585" s="20" t="s">
        <v>1281</v>
      </c>
      <c r="C5585" s="82"/>
      <c r="D5585" s="20" t="s">
        <v>1281</v>
      </c>
      <c r="E5585" s="19" t="str">
        <f>VLOOKUP(D5585,'لیست پرسنل'!$B$2:$E$1020,3,FALSE)</f>
        <v>خیریه</v>
      </c>
      <c r="F5585" s="19" t="str">
        <f>VLOOKUP(D5585,'لیست پرسنل'!$B$2:$E$1020,4,FALSE)</f>
        <v>خیریه</v>
      </c>
      <c r="G5585" s="127">
        <f>VLOOKUP(D5585,'لیست پرسنل'!$B$2:$F$1020,2,FALSE)</f>
        <v>0</v>
      </c>
      <c r="H5585" s="128" t="s">
        <v>6663</v>
      </c>
      <c r="I5585" s="128" t="s">
        <v>1281</v>
      </c>
      <c r="J5585" s="128" t="s">
        <v>2686</v>
      </c>
      <c r="K5585" s="127" t="s">
        <v>517</v>
      </c>
      <c r="L5585" s="151" t="s">
        <v>1775</v>
      </c>
      <c r="M5585" s="127">
        <v>632391</v>
      </c>
      <c r="N5585" s="112"/>
      <c r="O5585" s="66" t="s">
        <v>5945</v>
      </c>
      <c r="P5585" s="20" t="s">
        <v>3834</v>
      </c>
      <c r="Q5585" s="20" t="s">
        <v>7643</v>
      </c>
    </row>
    <row r="5586" spans="1:17" ht="26.25" customHeight="1">
      <c r="A5586" s="20"/>
      <c r="B5586" s="20" t="s">
        <v>1281</v>
      </c>
      <c r="C5586" s="82"/>
      <c r="D5586" s="20" t="s">
        <v>1281</v>
      </c>
      <c r="E5586" s="19" t="str">
        <f>VLOOKUP(D5586,'لیست پرسنل'!$B$2:$E$1020,3,FALSE)</f>
        <v>خیریه</v>
      </c>
      <c r="F5586" s="19" t="str">
        <f>VLOOKUP(D5586,'لیست پرسنل'!$B$2:$E$1020,4,FALSE)</f>
        <v>خیریه</v>
      </c>
      <c r="G5586" s="127">
        <f>VLOOKUP(D5586,'لیست پرسنل'!$B$2:$F$1020,2,FALSE)</f>
        <v>0</v>
      </c>
      <c r="H5586" s="128" t="s">
        <v>6663</v>
      </c>
      <c r="I5586" s="128" t="s">
        <v>1281</v>
      </c>
      <c r="J5586" s="128" t="s">
        <v>2686</v>
      </c>
      <c r="K5586" s="128" t="s">
        <v>4145</v>
      </c>
      <c r="L5586" s="128" t="s">
        <v>4146</v>
      </c>
      <c r="M5586" s="128">
        <v>632394</v>
      </c>
      <c r="N5586" s="112"/>
      <c r="O5586" s="85" t="s">
        <v>5946</v>
      </c>
      <c r="P5586" s="20" t="s">
        <v>3834</v>
      </c>
      <c r="Q5586" s="20" t="s">
        <v>7643</v>
      </c>
    </row>
    <row r="5587" spans="1:17" ht="21">
      <c r="A5587" s="20"/>
      <c r="B5587" s="20" t="s">
        <v>1281</v>
      </c>
      <c r="C5587" s="82"/>
      <c r="D5587" s="20" t="s">
        <v>1281</v>
      </c>
      <c r="E5587" s="19" t="str">
        <f>VLOOKUP(D5587,'لیست پرسنل'!$B$2:$E$1020,3,FALSE)</f>
        <v>خیریه</v>
      </c>
      <c r="F5587" s="19" t="str">
        <f>VLOOKUP(D5587,'لیست پرسنل'!$B$2:$E$1020,4,FALSE)</f>
        <v>خیریه</v>
      </c>
      <c r="G5587" s="127">
        <f>VLOOKUP(D5587,'لیست پرسنل'!$B$2:$F$1020,2,FALSE)</f>
        <v>0</v>
      </c>
      <c r="H5587" s="128" t="s">
        <v>6663</v>
      </c>
      <c r="I5587" s="128" t="s">
        <v>1281</v>
      </c>
      <c r="J5587" s="128" t="s">
        <v>2686</v>
      </c>
      <c r="K5587" s="128" t="s">
        <v>4141</v>
      </c>
      <c r="L5587" s="150" t="s">
        <v>4142</v>
      </c>
      <c r="M5587" s="128">
        <v>632401</v>
      </c>
      <c r="N5587" s="112"/>
      <c r="O5587" s="85" t="s">
        <v>5948</v>
      </c>
      <c r="P5587" s="20" t="s">
        <v>3834</v>
      </c>
      <c r="Q5587" s="20" t="s">
        <v>7643</v>
      </c>
    </row>
    <row r="5588" spans="1:17" ht="26.25" customHeight="1">
      <c r="A5588" s="20"/>
      <c r="B5588" s="20" t="s">
        <v>1281</v>
      </c>
      <c r="C5588" s="20"/>
      <c r="D5588" s="20" t="s">
        <v>1281</v>
      </c>
      <c r="E5588" s="19" t="str">
        <f>VLOOKUP(D5588,'لیست پرسنل'!$B$2:$E$1020,3,FALSE)</f>
        <v>خیریه</v>
      </c>
      <c r="F5588" s="19" t="str">
        <f>VLOOKUP(D5588,'لیست پرسنل'!$B$2:$E$1020,4,FALSE)</f>
        <v>خیریه</v>
      </c>
      <c r="G5588" s="127">
        <f>VLOOKUP(D5588,'لیست پرسنل'!$B$2:$F$1020,2,FALSE)</f>
        <v>0</v>
      </c>
      <c r="H5588" s="126" t="s">
        <v>4651</v>
      </c>
      <c r="I5588" s="128" t="s">
        <v>1281</v>
      </c>
      <c r="J5588" s="128" t="s">
        <v>737</v>
      </c>
      <c r="K5588" s="127" t="s">
        <v>123</v>
      </c>
      <c r="L5588" s="127">
        <v>10001357</v>
      </c>
      <c r="M5588" s="128">
        <v>612697</v>
      </c>
      <c r="N5588" s="112"/>
      <c r="O5588" s="66"/>
      <c r="P5588" s="20" t="s">
        <v>3834</v>
      </c>
      <c r="Q5588" s="20" t="s">
        <v>5688</v>
      </c>
    </row>
    <row r="5589" spans="1:17" ht="21">
      <c r="A5589" s="20"/>
      <c r="B5589" s="20" t="s">
        <v>1281</v>
      </c>
      <c r="C5589" s="20"/>
      <c r="D5589" s="20" t="s">
        <v>1281</v>
      </c>
      <c r="E5589" s="19" t="str">
        <f>VLOOKUP(D5589,'لیست پرسنل'!$B$2:$E$1020,3,FALSE)</f>
        <v>خیریه</v>
      </c>
      <c r="F5589" s="19" t="str">
        <f>VLOOKUP(D5589,'لیست پرسنل'!$B$2:$E$1020,4,FALSE)</f>
        <v>خیریه</v>
      </c>
      <c r="G5589" s="127">
        <f>VLOOKUP(D5589,'لیست پرسنل'!$B$2:$F$1020,2,FALSE)</f>
        <v>0</v>
      </c>
      <c r="H5589" s="126" t="s">
        <v>4651</v>
      </c>
      <c r="I5589" s="128" t="s">
        <v>1281</v>
      </c>
      <c r="J5589" s="141" t="s">
        <v>571</v>
      </c>
      <c r="K5589" s="127" t="s">
        <v>571</v>
      </c>
      <c r="L5589" s="174"/>
      <c r="M5589" s="128">
        <v>622513</v>
      </c>
      <c r="N5589" s="112"/>
      <c r="O5589" s="66"/>
      <c r="P5589" s="20" t="s">
        <v>3834</v>
      </c>
      <c r="Q5589" s="20" t="s">
        <v>5688</v>
      </c>
    </row>
    <row r="5590" spans="1:17" ht="26.25" customHeight="1">
      <c r="A5590" s="20"/>
      <c r="B5590" s="20" t="s">
        <v>1281</v>
      </c>
      <c r="C5590" s="20"/>
      <c r="D5590" s="20" t="s">
        <v>1281</v>
      </c>
      <c r="E5590" s="19" t="str">
        <f>VLOOKUP(D5590,'لیست پرسنل'!$B$2:$E$1020,3,FALSE)</f>
        <v>خیریه</v>
      </c>
      <c r="F5590" s="19" t="str">
        <f>VLOOKUP(D5590,'لیست پرسنل'!$B$2:$E$1020,4,FALSE)</f>
        <v>خیریه</v>
      </c>
      <c r="G5590" s="127">
        <f>VLOOKUP(D5590,'لیست پرسنل'!$B$2:$F$1020,2,FALSE)</f>
        <v>0</v>
      </c>
      <c r="H5590" s="126" t="s">
        <v>4651</v>
      </c>
      <c r="I5590" s="128" t="s">
        <v>1281</v>
      </c>
      <c r="J5590" s="128" t="s">
        <v>2686</v>
      </c>
      <c r="K5590" s="127" t="s">
        <v>622</v>
      </c>
      <c r="L5590" s="151" t="s">
        <v>1049</v>
      </c>
      <c r="M5590" s="132">
        <v>623627</v>
      </c>
      <c r="N5590" s="112"/>
      <c r="O5590" s="85" t="s">
        <v>4592</v>
      </c>
      <c r="P5590" s="20" t="s">
        <v>3834</v>
      </c>
      <c r="Q5590" s="20" t="s">
        <v>5688</v>
      </c>
    </row>
    <row r="5591" spans="1:17" ht="26.25" customHeight="1">
      <c r="A5591" s="20"/>
      <c r="B5591" s="20" t="s">
        <v>1281</v>
      </c>
      <c r="C5591" s="20"/>
      <c r="D5591" s="20" t="s">
        <v>1281</v>
      </c>
      <c r="E5591" s="19" t="str">
        <f>VLOOKUP(D5591,'لیست پرسنل'!$B$2:$E$1020,3,FALSE)</f>
        <v>خیریه</v>
      </c>
      <c r="F5591" s="19" t="str">
        <f>VLOOKUP(D5591,'لیست پرسنل'!$B$2:$E$1020,4,FALSE)</f>
        <v>خیریه</v>
      </c>
      <c r="G5591" s="127">
        <f>VLOOKUP(D5591,'لیست پرسنل'!$B$2:$F$1020,2,FALSE)</f>
        <v>0</v>
      </c>
      <c r="H5591" s="126" t="s">
        <v>5762</v>
      </c>
      <c r="I5591" s="128" t="s">
        <v>5760</v>
      </c>
      <c r="J5591" s="128" t="s">
        <v>4334</v>
      </c>
      <c r="K5591" s="127" t="s">
        <v>5763</v>
      </c>
      <c r="L5591" s="127"/>
      <c r="M5591" s="127">
        <v>610698</v>
      </c>
      <c r="N5591" s="110"/>
      <c r="O5591" s="66"/>
      <c r="P5591" s="20" t="s">
        <v>5228</v>
      </c>
      <c r="Q5591" s="20" t="s">
        <v>5826</v>
      </c>
    </row>
    <row r="5592" spans="1:17" ht="26.25" customHeight="1">
      <c r="A5592" s="20"/>
      <c r="B5592" s="20" t="s">
        <v>1281</v>
      </c>
      <c r="C5592" s="20"/>
      <c r="D5592" s="20" t="s">
        <v>1281</v>
      </c>
      <c r="E5592" s="19" t="str">
        <f>VLOOKUP(D5592,'لیست پرسنل'!$B$2:$E$1020,3,FALSE)</f>
        <v>خیریه</v>
      </c>
      <c r="F5592" s="19" t="str">
        <f>VLOOKUP(D5592,'لیست پرسنل'!$B$2:$E$1020,4,FALSE)</f>
        <v>خیریه</v>
      </c>
      <c r="G5592" s="127">
        <f>VLOOKUP(D5592,'لیست پرسنل'!$B$2:$F$1020,2,FALSE)</f>
        <v>0</v>
      </c>
      <c r="H5592" s="126" t="s">
        <v>5762</v>
      </c>
      <c r="I5592" s="128" t="s">
        <v>5760</v>
      </c>
      <c r="J5592" s="128" t="s">
        <v>4334</v>
      </c>
      <c r="K5592" s="127" t="s">
        <v>5763</v>
      </c>
      <c r="L5592" s="127"/>
      <c r="M5592" s="127">
        <v>610704</v>
      </c>
      <c r="N5592" s="110"/>
      <c r="O5592" s="66"/>
      <c r="P5592" s="20" t="s">
        <v>5228</v>
      </c>
      <c r="Q5592" s="20" t="s">
        <v>5826</v>
      </c>
    </row>
    <row r="5593" spans="1:17" ht="21">
      <c r="A5593" s="20"/>
      <c r="B5593" s="20" t="s">
        <v>1281</v>
      </c>
      <c r="C5593" s="20"/>
      <c r="D5593" s="20" t="s">
        <v>1281</v>
      </c>
      <c r="E5593" s="19" t="str">
        <f>VLOOKUP(D5593,'لیست پرسنل'!$B$2:$E$1020,3,FALSE)</f>
        <v>خیریه</v>
      </c>
      <c r="F5593" s="19" t="str">
        <f>VLOOKUP(D5593,'لیست پرسنل'!$B$2:$E$1020,4,FALSE)</f>
        <v>خیریه</v>
      </c>
      <c r="G5593" s="127">
        <f>VLOOKUP(D5593,'لیست پرسنل'!$B$2:$F$1020,2,FALSE)</f>
        <v>0</v>
      </c>
      <c r="H5593" s="126" t="s">
        <v>5762</v>
      </c>
      <c r="I5593" s="128" t="s">
        <v>5760</v>
      </c>
      <c r="J5593" s="141" t="s">
        <v>571</v>
      </c>
      <c r="K5593" s="127" t="s">
        <v>1513</v>
      </c>
      <c r="L5593" s="127"/>
      <c r="M5593" s="127">
        <v>601870</v>
      </c>
      <c r="N5593" s="110"/>
      <c r="O5593" s="66"/>
      <c r="P5593" s="20" t="s">
        <v>5228</v>
      </c>
      <c r="Q5593" s="20" t="s">
        <v>5826</v>
      </c>
    </row>
    <row r="5594" spans="1:17" ht="21">
      <c r="A5594" s="20"/>
      <c r="B5594" s="20" t="s">
        <v>1281</v>
      </c>
      <c r="C5594" s="20"/>
      <c r="D5594" s="20" t="s">
        <v>1281</v>
      </c>
      <c r="E5594" s="19" t="str">
        <f>VLOOKUP(D5594,'لیست پرسنل'!$B$2:$E$1020,3,FALSE)</f>
        <v>خیریه</v>
      </c>
      <c r="F5594" s="19" t="str">
        <f>VLOOKUP(D5594,'لیست پرسنل'!$B$2:$E$1020,4,FALSE)</f>
        <v>خیریه</v>
      </c>
      <c r="G5594" s="127">
        <f>VLOOKUP(D5594,'لیست پرسنل'!$B$2:$F$1020,2,FALSE)</f>
        <v>0</v>
      </c>
      <c r="H5594" s="126" t="s">
        <v>5762</v>
      </c>
      <c r="I5594" s="128" t="s">
        <v>5760</v>
      </c>
      <c r="J5594" s="141" t="s">
        <v>571</v>
      </c>
      <c r="K5594" s="127" t="s">
        <v>1513</v>
      </c>
      <c r="L5594" s="127"/>
      <c r="M5594" s="127">
        <v>603348</v>
      </c>
      <c r="N5594" s="110"/>
      <c r="O5594" s="66"/>
      <c r="P5594" s="20" t="s">
        <v>5228</v>
      </c>
      <c r="Q5594" s="20" t="s">
        <v>5826</v>
      </c>
    </row>
    <row r="5595" spans="1:17" ht="21">
      <c r="A5595" s="20"/>
      <c r="B5595" s="20" t="s">
        <v>1281</v>
      </c>
      <c r="C5595" s="20"/>
      <c r="D5595" s="20" t="s">
        <v>1281</v>
      </c>
      <c r="E5595" s="19" t="str">
        <f>VLOOKUP(D5595,'لیست پرسنل'!$B$2:$E$1020,3,FALSE)</f>
        <v>خیریه</v>
      </c>
      <c r="F5595" s="19" t="str">
        <f>VLOOKUP(D5595,'لیست پرسنل'!$B$2:$E$1020,4,FALSE)</f>
        <v>خیریه</v>
      </c>
      <c r="G5595" s="127">
        <f>VLOOKUP(D5595,'لیست پرسنل'!$B$2:$F$1020,2,FALSE)</f>
        <v>0</v>
      </c>
      <c r="H5595" s="126" t="s">
        <v>5762</v>
      </c>
      <c r="I5595" s="128" t="s">
        <v>5760</v>
      </c>
      <c r="J5595" s="141" t="s">
        <v>571</v>
      </c>
      <c r="K5595" s="127" t="s">
        <v>1513</v>
      </c>
      <c r="L5595" s="127"/>
      <c r="M5595" s="127">
        <v>607304</v>
      </c>
      <c r="N5595" s="110"/>
      <c r="O5595" s="66"/>
      <c r="P5595" s="20" t="s">
        <v>5228</v>
      </c>
      <c r="Q5595" s="20" t="s">
        <v>5826</v>
      </c>
    </row>
    <row r="5596" spans="1:17" ht="26.25" customHeight="1">
      <c r="A5596" s="20"/>
      <c r="B5596" s="20" t="s">
        <v>1281</v>
      </c>
      <c r="C5596" s="20"/>
      <c r="D5596" s="20" t="s">
        <v>1281</v>
      </c>
      <c r="E5596" s="19" t="str">
        <f>VLOOKUP(D5596,'لیست پرسنل'!$B$2:$E$1020,3,FALSE)</f>
        <v>خیریه</v>
      </c>
      <c r="F5596" s="19" t="str">
        <f>VLOOKUP(D5596,'لیست پرسنل'!$B$2:$E$1020,4,FALSE)</f>
        <v>خیریه</v>
      </c>
      <c r="G5596" s="127">
        <f>VLOOKUP(D5596,'لیست پرسنل'!$B$2:$F$1020,2,FALSE)</f>
        <v>0</v>
      </c>
      <c r="H5596" s="126" t="s">
        <v>5762</v>
      </c>
      <c r="I5596" s="128" t="s">
        <v>5760</v>
      </c>
      <c r="J5596" s="128" t="s">
        <v>2686</v>
      </c>
      <c r="K5596" s="127" t="s">
        <v>320</v>
      </c>
      <c r="L5596" s="151" t="s">
        <v>954</v>
      </c>
      <c r="M5596" s="127">
        <v>603559</v>
      </c>
      <c r="N5596" s="110"/>
      <c r="O5596" s="66"/>
      <c r="P5596" s="20" t="s">
        <v>5228</v>
      </c>
      <c r="Q5596" s="20" t="s">
        <v>5826</v>
      </c>
    </row>
    <row r="5597" spans="1:17" ht="26.25" customHeight="1">
      <c r="A5597" s="20"/>
      <c r="B5597" s="20" t="s">
        <v>1281</v>
      </c>
      <c r="C5597" s="20"/>
      <c r="D5597" s="20" t="s">
        <v>1281</v>
      </c>
      <c r="E5597" s="19" t="str">
        <f>VLOOKUP(D5597,'لیست پرسنل'!$B$2:$E$1020,3,FALSE)</f>
        <v>خیریه</v>
      </c>
      <c r="F5597" s="19" t="str">
        <f>VLOOKUP(D5597,'لیست پرسنل'!$B$2:$E$1020,4,FALSE)</f>
        <v>خیریه</v>
      </c>
      <c r="G5597" s="127">
        <f>VLOOKUP(D5597,'لیست پرسنل'!$B$2:$F$1020,2,FALSE)</f>
        <v>0</v>
      </c>
      <c r="H5597" s="126" t="s">
        <v>5762</v>
      </c>
      <c r="I5597" s="128" t="s">
        <v>5760</v>
      </c>
      <c r="J5597" s="128" t="s">
        <v>2686</v>
      </c>
      <c r="K5597" s="127" t="s">
        <v>890</v>
      </c>
      <c r="L5597" s="151" t="s">
        <v>1236</v>
      </c>
      <c r="M5597" s="127">
        <v>607693</v>
      </c>
      <c r="N5597" s="110"/>
      <c r="O5597" s="66"/>
      <c r="P5597" s="20" t="s">
        <v>5228</v>
      </c>
      <c r="Q5597" s="20" t="s">
        <v>5826</v>
      </c>
    </row>
    <row r="5598" spans="1:17" ht="26.25" customHeight="1">
      <c r="A5598" s="20"/>
      <c r="B5598" s="20" t="s">
        <v>1281</v>
      </c>
      <c r="C5598" s="20"/>
      <c r="D5598" s="20" t="s">
        <v>1281</v>
      </c>
      <c r="E5598" s="19" t="str">
        <f>VLOOKUP(D5598,'لیست پرسنل'!$B$2:$E$1020,3,FALSE)</f>
        <v>خیریه</v>
      </c>
      <c r="F5598" s="19" t="str">
        <f>VLOOKUP(D5598,'لیست پرسنل'!$B$2:$E$1020,4,FALSE)</f>
        <v>خیریه</v>
      </c>
      <c r="G5598" s="127">
        <f>VLOOKUP(D5598,'لیست پرسنل'!$B$2:$F$1020,2,FALSE)</f>
        <v>0</v>
      </c>
      <c r="H5598" s="126" t="s">
        <v>5762</v>
      </c>
      <c r="I5598" s="128" t="s">
        <v>5760</v>
      </c>
      <c r="J5598" s="128" t="s">
        <v>2686</v>
      </c>
      <c r="K5598" s="127" t="s">
        <v>320</v>
      </c>
      <c r="L5598" s="151" t="s">
        <v>1892</v>
      </c>
      <c r="M5598" s="127">
        <v>607709</v>
      </c>
      <c r="N5598" s="110"/>
      <c r="O5598" s="66"/>
      <c r="P5598" s="20" t="s">
        <v>5228</v>
      </c>
      <c r="Q5598" s="20" t="s">
        <v>5826</v>
      </c>
    </row>
    <row r="5599" spans="1:17" ht="26.25" customHeight="1">
      <c r="A5599" s="20"/>
      <c r="B5599" s="20" t="s">
        <v>1281</v>
      </c>
      <c r="C5599" s="20"/>
      <c r="D5599" s="20" t="s">
        <v>1281</v>
      </c>
      <c r="E5599" s="19" t="str">
        <f>VLOOKUP(D5599,'لیست پرسنل'!$B$2:$E$1020,3,FALSE)</f>
        <v>خیریه</v>
      </c>
      <c r="F5599" s="19" t="str">
        <f>VLOOKUP(D5599,'لیست پرسنل'!$B$2:$E$1020,4,FALSE)</f>
        <v>خیریه</v>
      </c>
      <c r="G5599" s="127">
        <f>VLOOKUP(D5599,'لیست پرسنل'!$B$2:$F$1020,2,FALSE)</f>
        <v>0</v>
      </c>
      <c r="H5599" s="126" t="s">
        <v>5759</v>
      </c>
      <c r="I5599" s="128" t="s">
        <v>5760</v>
      </c>
      <c r="J5599" s="128" t="s">
        <v>4334</v>
      </c>
      <c r="K5599" s="127" t="s">
        <v>5761</v>
      </c>
      <c r="L5599" s="151"/>
      <c r="M5599" s="127">
        <v>610700</v>
      </c>
      <c r="N5599" s="110"/>
      <c r="O5599" s="66"/>
      <c r="P5599" s="20" t="s">
        <v>5228</v>
      </c>
      <c r="Q5599" s="20" t="s">
        <v>7644</v>
      </c>
    </row>
    <row r="5600" spans="1:17" ht="21">
      <c r="A5600" s="20"/>
      <c r="B5600" s="20" t="s">
        <v>1281</v>
      </c>
      <c r="C5600" s="20"/>
      <c r="D5600" s="20" t="s">
        <v>1281</v>
      </c>
      <c r="E5600" s="19" t="str">
        <f>VLOOKUP(D5600,'لیست پرسنل'!$B$2:$E$1020,3,FALSE)</f>
        <v>خیریه</v>
      </c>
      <c r="F5600" s="19" t="str">
        <f>VLOOKUP(D5600,'لیست پرسنل'!$B$2:$E$1020,4,FALSE)</f>
        <v>خیریه</v>
      </c>
      <c r="G5600" s="127">
        <f>VLOOKUP(D5600,'لیست پرسنل'!$B$2:$F$1020,2,FALSE)</f>
        <v>0</v>
      </c>
      <c r="H5600" s="126" t="s">
        <v>5759</v>
      </c>
      <c r="I5600" s="128" t="s">
        <v>5760</v>
      </c>
      <c r="J5600" s="128" t="s">
        <v>4334</v>
      </c>
      <c r="K5600" s="127" t="s">
        <v>5761</v>
      </c>
      <c r="L5600" s="151"/>
      <c r="M5600" s="127">
        <v>610701</v>
      </c>
      <c r="N5600" s="110"/>
      <c r="O5600" s="66"/>
      <c r="P5600" s="20" t="s">
        <v>5228</v>
      </c>
      <c r="Q5600" s="20" t="s">
        <v>7644</v>
      </c>
    </row>
    <row r="5601" spans="1:17" ht="26.25" customHeight="1">
      <c r="A5601" s="20"/>
      <c r="B5601" s="20" t="s">
        <v>1281</v>
      </c>
      <c r="C5601" s="20"/>
      <c r="D5601" s="20" t="s">
        <v>1281</v>
      </c>
      <c r="E5601" s="19" t="str">
        <f>VLOOKUP(D5601,'لیست پرسنل'!$B$2:$E$1020,3,FALSE)</f>
        <v>خیریه</v>
      </c>
      <c r="F5601" s="19" t="str">
        <f>VLOOKUP(D5601,'لیست پرسنل'!$B$2:$E$1020,4,FALSE)</f>
        <v>خیریه</v>
      </c>
      <c r="G5601" s="127">
        <f>VLOOKUP(D5601,'لیست پرسنل'!$B$2:$F$1020,2,FALSE)</f>
        <v>0</v>
      </c>
      <c r="H5601" s="126" t="s">
        <v>5759</v>
      </c>
      <c r="I5601" s="128" t="s">
        <v>5760</v>
      </c>
      <c r="J5601" s="128" t="s">
        <v>4334</v>
      </c>
      <c r="K5601" s="127" t="s">
        <v>5761</v>
      </c>
      <c r="L5601" s="151"/>
      <c r="M5601" s="127">
        <v>610796</v>
      </c>
      <c r="N5601" s="110"/>
      <c r="O5601" s="66"/>
      <c r="P5601" s="20" t="s">
        <v>5228</v>
      </c>
      <c r="Q5601" s="20" t="s">
        <v>7644</v>
      </c>
    </row>
    <row r="5602" spans="1:17" ht="21">
      <c r="A5602" s="20"/>
      <c r="B5602" s="20" t="s">
        <v>1281</v>
      </c>
      <c r="C5602" s="20"/>
      <c r="D5602" s="20" t="s">
        <v>1281</v>
      </c>
      <c r="E5602" s="19" t="str">
        <f>VLOOKUP(D5602,'لیست پرسنل'!$B$2:$E$1020,3,FALSE)</f>
        <v>خیریه</v>
      </c>
      <c r="F5602" s="19" t="str">
        <f>VLOOKUP(D5602,'لیست پرسنل'!$B$2:$E$1020,4,FALSE)</f>
        <v>خیریه</v>
      </c>
      <c r="G5602" s="127">
        <f>VLOOKUP(D5602,'لیست پرسنل'!$B$2:$F$1020,2,FALSE)</f>
        <v>0</v>
      </c>
      <c r="H5602" s="126" t="s">
        <v>5759</v>
      </c>
      <c r="I5602" s="128" t="s">
        <v>5760</v>
      </c>
      <c r="J5602" s="128" t="s">
        <v>4334</v>
      </c>
      <c r="K5602" s="127" t="s">
        <v>5761</v>
      </c>
      <c r="L5602" s="151"/>
      <c r="M5602" s="127">
        <v>610797</v>
      </c>
      <c r="N5602" s="110"/>
      <c r="O5602" s="66"/>
      <c r="P5602" s="20" t="s">
        <v>5228</v>
      </c>
      <c r="Q5602" s="20" t="s">
        <v>7644</v>
      </c>
    </row>
    <row r="5603" spans="1:17" ht="26.25" customHeight="1">
      <c r="A5603" s="20"/>
      <c r="B5603" s="20" t="s">
        <v>1281</v>
      </c>
      <c r="C5603" s="20"/>
      <c r="D5603" s="20" t="s">
        <v>1281</v>
      </c>
      <c r="E5603" s="19" t="str">
        <f>VLOOKUP(D5603,'لیست پرسنل'!$B$2:$E$1020,3,FALSE)</f>
        <v>خیریه</v>
      </c>
      <c r="F5603" s="19" t="str">
        <f>VLOOKUP(D5603,'لیست پرسنل'!$B$2:$E$1020,4,FALSE)</f>
        <v>خیریه</v>
      </c>
      <c r="G5603" s="127">
        <f>VLOOKUP(D5603,'لیست پرسنل'!$B$2:$F$1020,2,FALSE)</f>
        <v>0</v>
      </c>
      <c r="H5603" s="126" t="s">
        <v>5759</v>
      </c>
      <c r="I5603" s="128" t="s">
        <v>5760</v>
      </c>
      <c r="J5603" s="128" t="s">
        <v>4334</v>
      </c>
      <c r="K5603" s="127" t="s">
        <v>5761</v>
      </c>
      <c r="L5603" s="151"/>
      <c r="M5603" s="127">
        <v>611056</v>
      </c>
      <c r="N5603" s="110"/>
      <c r="O5603" s="66"/>
      <c r="P5603" s="20" t="s">
        <v>5228</v>
      </c>
      <c r="Q5603" s="20" t="s">
        <v>7644</v>
      </c>
    </row>
    <row r="5604" spans="1:17" ht="21">
      <c r="A5604" s="20"/>
      <c r="B5604" s="20" t="s">
        <v>1281</v>
      </c>
      <c r="C5604" s="20"/>
      <c r="D5604" s="20" t="s">
        <v>1281</v>
      </c>
      <c r="E5604" s="19" t="str">
        <f>VLOOKUP(D5604,'لیست پرسنل'!$B$2:$E$1020,3,FALSE)</f>
        <v>خیریه</v>
      </c>
      <c r="F5604" s="19" t="str">
        <f>VLOOKUP(D5604,'لیست پرسنل'!$B$2:$E$1020,4,FALSE)</f>
        <v>خیریه</v>
      </c>
      <c r="G5604" s="127">
        <f>VLOOKUP(D5604,'لیست پرسنل'!$B$2:$F$1020,2,FALSE)</f>
        <v>0</v>
      </c>
      <c r="H5604" s="128" t="s">
        <v>5758</v>
      </c>
      <c r="I5604" s="128" t="s">
        <v>4338</v>
      </c>
      <c r="J5604" s="128" t="s">
        <v>2686</v>
      </c>
      <c r="K5604" s="127" t="s">
        <v>332</v>
      </c>
      <c r="L5604" s="151" t="s">
        <v>1228</v>
      </c>
      <c r="M5604" s="127">
        <v>600581</v>
      </c>
      <c r="N5604" s="112"/>
      <c r="O5604" s="85" t="s">
        <v>3211</v>
      </c>
      <c r="P5604" s="20" t="s">
        <v>5228</v>
      </c>
      <c r="Q5604" s="20" t="s">
        <v>5826</v>
      </c>
    </row>
    <row r="5605" spans="1:17" ht="21">
      <c r="A5605" s="20"/>
      <c r="B5605" s="20" t="s">
        <v>1281</v>
      </c>
      <c r="C5605" s="20"/>
      <c r="D5605" s="20" t="s">
        <v>1281</v>
      </c>
      <c r="E5605" s="19" t="str">
        <f>VLOOKUP(D5605,'لیست پرسنل'!$B$2:$E$1020,3,FALSE)</f>
        <v>خیریه</v>
      </c>
      <c r="F5605" s="19" t="str">
        <f>VLOOKUP(D5605,'لیست پرسنل'!$B$2:$E$1020,4,FALSE)</f>
        <v>خیریه</v>
      </c>
      <c r="G5605" s="127">
        <f>VLOOKUP(D5605,'لیست پرسنل'!$B$2:$F$1020,2,FALSE)</f>
        <v>0</v>
      </c>
      <c r="H5605" s="128" t="s">
        <v>5758</v>
      </c>
      <c r="I5605" s="128" t="s">
        <v>4338</v>
      </c>
      <c r="J5605" s="128" t="s">
        <v>2686</v>
      </c>
      <c r="K5605" s="127" t="s">
        <v>1176</v>
      </c>
      <c r="L5605" s="151" t="s">
        <v>3215</v>
      </c>
      <c r="M5605" s="127">
        <v>601589</v>
      </c>
      <c r="N5605" s="112"/>
      <c r="O5605" s="85" t="s">
        <v>5693</v>
      </c>
      <c r="P5605" s="20" t="s">
        <v>5228</v>
      </c>
      <c r="Q5605" s="20" t="s">
        <v>5826</v>
      </c>
    </row>
    <row r="5606" spans="1:17" ht="21">
      <c r="A5606" s="20"/>
      <c r="B5606" s="20" t="s">
        <v>1281</v>
      </c>
      <c r="C5606" s="20"/>
      <c r="D5606" s="20" t="s">
        <v>1281</v>
      </c>
      <c r="E5606" s="19" t="str">
        <f>VLOOKUP(D5606,'لیست پرسنل'!$B$2:$E$1020,3,FALSE)</f>
        <v>خیریه</v>
      </c>
      <c r="F5606" s="19" t="str">
        <f>VLOOKUP(D5606,'لیست پرسنل'!$B$2:$E$1020,4,FALSE)</f>
        <v>خیریه</v>
      </c>
      <c r="G5606" s="127">
        <f>VLOOKUP(D5606,'لیست پرسنل'!$B$2:$F$1020,2,FALSE)</f>
        <v>0</v>
      </c>
      <c r="H5606" s="128" t="s">
        <v>5758</v>
      </c>
      <c r="I5606" s="128" t="s">
        <v>4338</v>
      </c>
      <c r="J5606" s="128" t="s">
        <v>2686</v>
      </c>
      <c r="K5606" s="131" t="s">
        <v>320</v>
      </c>
      <c r="L5606" s="153" t="s">
        <v>1704</v>
      </c>
      <c r="M5606" s="127">
        <v>610553</v>
      </c>
      <c r="N5606" s="112"/>
      <c r="O5606" s="85" t="s">
        <v>5693</v>
      </c>
      <c r="P5606" s="20" t="s">
        <v>5228</v>
      </c>
      <c r="Q5606" s="20" t="s">
        <v>5826</v>
      </c>
    </row>
    <row r="5607" spans="1:17" ht="26.25" customHeight="1">
      <c r="A5607" s="20"/>
      <c r="B5607" s="20" t="s">
        <v>1281</v>
      </c>
      <c r="C5607" s="20"/>
      <c r="D5607" s="20" t="s">
        <v>1281</v>
      </c>
      <c r="E5607" s="19" t="str">
        <f>VLOOKUP(D5607,'لیست پرسنل'!$B$2:$E$1020,3,FALSE)</f>
        <v>خیریه</v>
      </c>
      <c r="F5607" s="19" t="str">
        <f>VLOOKUP(D5607,'لیست پرسنل'!$B$2:$E$1020,4,FALSE)</f>
        <v>خیریه</v>
      </c>
      <c r="G5607" s="127">
        <f>VLOOKUP(D5607,'لیست پرسنل'!$B$2:$F$1020,2,FALSE)</f>
        <v>0</v>
      </c>
      <c r="H5607" s="128" t="s">
        <v>5758</v>
      </c>
      <c r="I5607" s="151" t="s">
        <v>5053</v>
      </c>
      <c r="J5607" s="141" t="s">
        <v>571</v>
      </c>
      <c r="K5607" s="178" t="s">
        <v>604</v>
      </c>
      <c r="L5607" s="155"/>
      <c r="M5607" s="132">
        <v>603552</v>
      </c>
      <c r="N5607" s="112"/>
      <c r="O5607" s="102" t="s">
        <v>5693</v>
      </c>
      <c r="P5607" s="20" t="s">
        <v>5228</v>
      </c>
      <c r="Q5607" s="20" t="s">
        <v>5826</v>
      </c>
    </row>
    <row r="5608" spans="1:17" ht="26.25" customHeight="1">
      <c r="A5608" s="20"/>
      <c r="B5608" s="20" t="s">
        <v>1281</v>
      </c>
      <c r="C5608" s="20"/>
      <c r="D5608" s="20" t="s">
        <v>1281</v>
      </c>
      <c r="E5608" s="19" t="str">
        <f>VLOOKUP(D5608,'لیست پرسنل'!$B$2:$E$1020,3,FALSE)</f>
        <v>خیریه</v>
      </c>
      <c r="F5608" s="19" t="str">
        <f>VLOOKUP(D5608,'لیست پرسنل'!$B$2:$E$1020,4,FALSE)</f>
        <v>خیریه</v>
      </c>
      <c r="G5608" s="127">
        <f>VLOOKUP(D5608,'لیست پرسنل'!$B$2:$F$1020,2,FALSE)</f>
        <v>0</v>
      </c>
      <c r="H5608" s="128" t="s">
        <v>5758</v>
      </c>
      <c r="I5608" s="151" t="s">
        <v>5053</v>
      </c>
      <c r="J5608" s="141" t="s">
        <v>571</v>
      </c>
      <c r="K5608" s="135" t="s">
        <v>1513</v>
      </c>
      <c r="L5608" s="159" t="s">
        <v>2213</v>
      </c>
      <c r="M5608" s="131">
        <v>608025</v>
      </c>
      <c r="N5608" s="112"/>
      <c r="O5608" s="102" t="s">
        <v>5693</v>
      </c>
      <c r="P5608" s="20" t="s">
        <v>5228</v>
      </c>
      <c r="Q5608" s="20" t="s">
        <v>5826</v>
      </c>
    </row>
    <row r="5609" spans="1:17" ht="26.25" customHeight="1">
      <c r="A5609" s="20"/>
      <c r="B5609" s="20" t="s">
        <v>1281</v>
      </c>
      <c r="C5609" s="20"/>
      <c r="D5609" s="20" t="s">
        <v>1281</v>
      </c>
      <c r="E5609" s="19" t="str">
        <f>VLOOKUP(D5609,'لیست پرسنل'!$B$2:$E$1020,3,FALSE)</f>
        <v>خیریه</v>
      </c>
      <c r="F5609" s="19" t="str">
        <f>VLOOKUP(D5609,'لیست پرسنل'!$B$2:$E$1020,4,FALSE)</f>
        <v>خیریه</v>
      </c>
      <c r="G5609" s="127">
        <f>VLOOKUP(D5609,'لیست پرسنل'!$B$2:$F$1020,2,FALSE)</f>
        <v>0</v>
      </c>
      <c r="H5609" s="128" t="s">
        <v>5758</v>
      </c>
      <c r="I5609" s="151" t="s">
        <v>5053</v>
      </c>
      <c r="J5609" s="141" t="s">
        <v>571</v>
      </c>
      <c r="K5609" s="135" t="s">
        <v>1513</v>
      </c>
      <c r="L5609" s="159" t="s">
        <v>2215</v>
      </c>
      <c r="M5609" s="132">
        <v>622618</v>
      </c>
      <c r="N5609" s="112"/>
      <c r="O5609" s="102" t="s">
        <v>5693</v>
      </c>
      <c r="P5609" s="20" t="s">
        <v>5228</v>
      </c>
      <c r="Q5609" s="20" t="s">
        <v>5826</v>
      </c>
    </row>
    <row r="5610" spans="1:17" ht="21">
      <c r="A5610" s="20"/>
      <c r="B5610" s="20" t="s">
        <v>1281</v>
      </c>
      <c r="C5610" s="19"/>
      <c r="D5610" s="19" t="s">
        <v>1281</v>
      </c>
      <c r="E5610" s="19" t="str">
        <f>VLOOKUP(D5610,'لیست پرسنل'!$B$2:$E$1020,3,FALSE)</f>
        <v>خیریه</v>
      </c>
      <c r="F5610" s="19" t="str">
        <f>VLOOKUP(D5610,'لیست پرسنل'!$B$2:$E$1020,4,FALSE)</f>
        <v>خیریه</v>
      </c>
      <c r="G5610" s="127">
        <f>VLOOKUP(D5610,'لیست پرسنل'!$B$2:$F$1020,2,FALSE)</f>
        <v>0</v>
      </c>
      <c r="H5610" s="151"/>
      <c r="I5610" s="151" t="s">
        <v>1281</v>
      </c>
      <c r="J5610" s="127" t="s">
        <v>571</v>
      </c>
      <c r="K5610" s="127" t="s">
        <v>1127</v>
      </c>
      <c r="L5610" s="151"/>
      <c r="M5610" s="127">
        <v>623622</v>
      </c>
      <c r="N5610" s="110"/>
      <c r="O5610" s="66" t="s">
        <v>8482</v>
      </c>
      <c r="P5610" s="20" t="s">
        <v>3834</v>
      </c>
      <c r="Q5610" s="20" t="s">
        <v>8481</v>
      </c>
    </row>
    <row r="5611" spans="1:17" ht="21">
      <c r="A5611" s="20"/>
      <c r="B5611" s="20" t="s">
        <v>4325</v>
      </c>
      <c r="C5611" s="20" t="s">
        <v>4325</v>
      </c>
      <c r="D5611" s="19" t="s">
        <v>4325</v>
      </c>
      <c r="E5611" s="19">
        <f>VLOOKUP(D5611,'لیست پرسنل'!$B$2:$E$1020,3,FALSE)</f>
        <v>0</v>
      </c>
      <c r="F5611" s="19">
        <f>VLOOKUP(D5611,'لیست پرسنل'!$B$2:$E$1020,4,FALSE)</f>
        <v>0</v>
      </c>
      <c r="G5611" s="127">
        <f>VLOOKUP(D5611,'لیست پرسنل'!$B$2:$F$1020,2,FALSE)</f>
        <v>0</v>
      </c>
      <c r="H5611" s="127" t="s">
        <v>8144</v>
      </c>
      <c r="I5611" s="128" t="s">
        <v>4325</v>
      </c>
      <c r="J5611" s="127" t="s">
        <v>824</v>
      </c>
      <c r="K5611" s="127" t="s">
        <v>824</v>
      </c>
      <c r="L5611" s="127"/>
      <c r="M5611" s="127">
        <v>615007</v>
      </c>
      <c r="N5611" s="110"/>
      <c r="P5611" s="20" t="s">
        <v>5869</v>
      </c>
      <c r="Q5611" s="20" t="s">
        <v>8143</v>
      </c>
    </row>
    <row r="5612" spans="1:17" ht="21">
      <c r="A5612" s="20"/>
      <c r="B5612" s="20" t="s">
        <v>4325</v>
      </c>
      <c r="C5612" s="20" t="s">
        <v>4325</v>
      </c>
      <c r="D5612" s="19" t="s">
        <v>4325</v>
      </c>
      <c r="E5612" s="19">
        <f>VLOOKUP(D5612,'لیست پرسنل'!$B$2:$E$1020,3,FALSE)</f>
        <v>0</v>
      </c>
      <c r="F5612" s="19">
        <f>VLOOKUP(D5612,'لیست پرسنل'!$B$2:$E$1020,4,FALSE)</f>
        <v>0</v>
      </c>
      <c r="G5612" s="127">
        <f>VLOOKUP(D5612,'لیست پرسنل'!$B$2:$F$1020,2,FALSE)</f>
        <v>0</v>
      </c>
      <c r="H5612" s="127" t="s">
        <v>8144</v>
      </c>
      <c r="I5612" s="128" t="s">
        <v>4325</v>
      </c>
      <c r="J5612" s="127" t="s">
        <v>824</v>
      </c>
      <c r="K5612" s="127" t="s">
        <v>824</v>
      </c>
      <c r="L5612" s="127"/>
      <c r="M5612" s="127">
        <v>615008</v>
      </c>
      <c r="N5612" s="110"/>
      <c r="P5612" s="20" t="s">
        <v>5869</v>
      </c>
      <c r="Q5612" s="20" t="s">
        <v>8143</v>
      </c>
    </row>
    <row r="5613" spans="1:17" ht="21">
      <c r="A5613" s="20"/>
      <c r="B5613" s="20" t="s">
        <v>4325</v>
      </c>
      <c r="C5613" s="20" t="s">
        <v>4325</v>
      </c>
      <c r="D5613" s="19" t="s">
        <v>4325</v>
      </c>
      <c r="E5613" s="19">
        <f>VLOOKUP(D5613,'لیست پرسنل'!$B$2:$E$1020,3,FALSE)</f>
        <v>0</v>
      </c>
      <c r="F5613" s="19">
        <f>VLOOKUP(D5613,'لیست پرسنل'!$B$2:$E$1020,4,FALSE)</f>
        <v>0</v>
      </c>
      <c r="G5613" s="127">
        <f>VLOOKUP(D5613,'لیست پرسنل'!$B$2:$F$1020,2,FALSE)</f>
        <v>0</v>
      </c>
      <c r="H5613" s="127" t="s">
        <v>8144</v>
      </c>
      <c r="I5613" s="128" t="s">
        <v>4325</v>
      </c>
      <c r="J5613" s="127" t="s">
        <v>824</v>
      </c>
      <c r="K5613" s="127" t="s">
        <v>824</v>
      </c>
      <c r="L5613" s="127"/>
      <c r="M5613" s="127">
        <v>615009</v>
      </c>
      <c r="N5613" s="110"/>
      <c r="P5613" s="20" t="s">
        <v>5869</v>
      </c>
      <c r="Q5613" s="20" t="s">
        <v>8143</v>
      </c>
    </row>
    <row r="5614" spans="1:17" ht="26.25" customHeight="1">
      <c r="A5614" s="20"/>
      <c r="B5614" s="20" t="s">
        <v>4325</v>
      </c>
      <c r="C5614" s="19" t="s">
        <v>4325</v>
      </c>
      <c r="D5614" s="20" t="s">
        <v>4325</v>
      </c>
      <c r="E5614" s="19">
        <f>VLOOKUP(D5614,'لیست پرسنل'!$B$2:$E$1020,3,FALSE)</f>
        <v>0</v>
      </c>
      <c r="F5614" s="19">
        <f>VLOOKUP(D5614,'لیست پرسنل'!$B$2:$E$1020,4,FALSE)</f>
        <v>0</v>
      </c>
      <c r="G5614" s="127">
        <f>VLOOKUP(D5614,'لیست پرسنل'!$B$2:$F$1020,2,FALSE)</f>
        <v>0</v>
      </c>
      <c r="H5614" s="130" t="s">
        <v>2563</v>
      </c>
      <c r="I5614" s="127" t="s">
        <v>4325</v>
      </c>
      <c r="J5614" s="128" t="s">
        <v>5304</v>
      </c>
      <c r="K5614" s="128" t="s">
        <v>5304</v>
      </c>
      <c r="L5614" s="127"/>
      <c r="M5614" s="128">
        <v>612143</v>
      </c>
      <c r="P5614" s="20" t="s">
        <v>4326</v>
      </c>
      <c r="Q5614" s="20" t="s">
        <v>7287</v>
      </c>
    </row>
    <row r="5615" spans="1:17" ht="21">
      <c r="A5615" s="20"/>
      <c r="B5615" s="20" t="s">
        <v>4325</v>
      </c>
      <c r="C5615" s="20" t="s">
        <v>4325</v>
      </c>
      <c r="D5615" s="20" t="s">
        <v>4325</v>
      </c>
      <c r="E5615" s="19">
        <f>VLOOKUP(D5615,'لیست پرسنل'!$B$2:$E$1020,3,FALSE)</f>
        <v>0</v>
      </c>
      <c r="F5615" s="19">
        <f>VLOOKUP(D5615,'لیست پرسنل'!$B$2:$E$1020,4,FALSE)</f>
        <v>0</v>
      </c>
      <c r="G5615" s="127">
        <f>VLOOKUP(D5615,'لیست پرسنل'!$B$2:$F$1020,2,FALSE)</f>
        <v>0</v>
      </c>
      <c r="H5615" s="130" t="s">
        <v>2564</v>
      </c>
      <c r="I5615" s="128" t="s">
        <v>4325</v>
      </c>
      <c r="J5615" s="128" t="s">
        <v>3322</v>
      </c>
      <c r="K5615" s="128" t="s">
        <v>7813</v>
      </c>
      <c r="L5615" s="128"/>
      <c r="M5615" s="128" t="s">
        <v>4371</v>
      </c>
      <c r="N5615" s="125" t="s">
        <v>7808</v>
      </c>
      <c r="O5615" s="66"/>
      <c r="P5615" s="20"/>
      <c r="Q5615" s="20"/>
    </row>
    <row r="5616" spans="1:17" ht="26.25" customHeight="1">
      <c r="A5616" s="20"/>
      <c r="B5616" s="20" t="s">
        <v>4325</v>
      </c>
      <c r="C5616" s="20" t="s">
        <v>4325</v>
      </c>
      <c r="D5616" s="20" t="s">
        <v>4325</v>
      </c>
      <c r="E5616" s="19">
        <f>VLOOKUP(D5616,'لیست پرسنل'!$B$2:$E$1020,3,FALSE)</f>
        <v>0</v>
      </c>
      <c r="F5616" s="19">
        <f>VLOOKUP(D5616,'لیست پرسنل'!$B$2:$E$1020,4,FALSE)</f>
        <v>0</v>
      </c>
      <c r="G5616" s="127">
        <f>VLOOKUP(D5616,'لیست پرسنل'!$B$2:$F$1020,2,FALSE)</f>
        <v>0</v>
      </c>
      <c r="H5616" s="130" t="s">
        <v>2564</v>
      </c>
      <c r="I5616" s="128" t="s">
        <v>4325</v>
      </c>
      <c r="J5616" s="128" t="s">
        <v>3532</v>
      </c>
      <c r="K5616" s="128" t="s">
        <v>1620</v>
      </c>
      <c r="L5616" s="128"/>
      <c r="M5616" s="128">
        <v>604818</v>
      </c>
      <c r="N5616" s="112" t="s">
        <v>7808</v>
      </c>
      <c r="O5616" s="66"/>
      <c r="P5616" s="20"/>
      <c r="Q5616" s="20"/>
    </row>
    <row r="5617" spans="1:17" ht="21">
      <c r="A5617" s="20"/>
      <c r="B5617" s="20" t="s">
        <v>4325</v>
      </c>
      <c r="C5617" s="20" t="s">
        <v>4325</v>
      </c>
      <c r="D5617" s="20" t="s">
        <v>4325</v>
      </c>
      <c r="E5617" s="19">
        <f>VLOOKUP(D5617,'لیست پرسنل'!$B$2:$E$1020,3,FALSE)</f>
        <v>0</v>
      </c>
      <c r="F5617" s="19">
        <f>VLOOKUP(D5617,'لیست پرسنل'!$B$2:$E$1020,4,FALSE)</f>
        <v>0</v>
      </c>
      <c r="G5617" s="127">
        <f>VLOOKUP(D5617,'لیست پرسنل'!$B$2:$F$1020,2,FALSE)</f>
        <v>0</v>
      </c>
      <c r="H5617" s="130" t="s">
        <v>2564</v>
      </c>
      <c r="I5617" s="128" t="s">
        <v>4325</v>
      </c>
      <c r="J5617" s="128" t="s">
        <v>3532</v>
      </c>
      <c r="K5617" s="128" t="s">
        <v>7814</v>
      </c>
      <c r="L5617" s="128"/>
      <c r="M5617" s="128" t="s">
        <v>4371</v>
      </c>
      <c r="N5617" s="125" t="s">
        <v>7808</v>
      </c>
      <c r="O5617" s="66"/>
      <c r="P5617" s="20"/>
      <c r="Q5617" s="20"/>
    </row>
    <row r="5618" spans="1:17" ht="21">
      <c r="A5618" s="20"/>
      <c r="B5618" s="20" t="s">
        <v>4325</v>
      </c>
      <c r="C5618" s="20" t="s">
        <v>4325</v>
      </c>
      <c r="D5618" s="20" t="s">
        <v>4325</v>
      </c>
      <c r="E5618" s="19">
        <f>VLOOKUP(D5618,'لیست پرسنل'!$B$2:$E$1020,3,FALSE)</f>
        <v>0</v>
      </c>
      <c r="F5618" s="19">
        <f>VLOOKUP(D5618,'لیست پرسنل'!$B$2:$E$1020,4,FALSE)</f>
        <v>0</v>
      </c>
      <c r="G5618" s="127">
        <f>VLOOKUP(D5618,'لیست پرسنل'!$B$2:$F$1020,2,FALSE)</f>
        <v>0</v>
      </c>
      <c r="H5618" s="130" t="s">
        <v>2564</v>
      </c>
      <c r="I5618" s="128" t="s">
        <v>4325</v>
      </c>
      <c r="J5618" s="128" t="s">
        <v>3532</v>
      </c>
      <c r="K5618" s="128" t="s">
        <v>7815</v>
      </c>
      <c r="L5618" s="128"/>
      <c r="M5618" s="128" t="s">
        <v>4371</v>
      </c>
      <c r="N5618" s="125" t="s">
        <v>7808</v>
      </c>
      <c r="O5618" s="66"/>
      <c r="P5618" s="20"/>
      <c r="Q5618" s="20"/>
    </row>
    <row r="5619" spans="1:17" ht="21">
      <c r="A5619" s="20"/>
      <c r="B5619" s="20" t="s">
        <v>4325</v>
      </c>
      <c r="C5619" s="20" t="s">
        <v>4325</v>
      </c>
      <c r="D5619" s="20" t="s">
        <v>4325</v>
      </c>
      <c r="E5619" s="19">
        <f>VLOOKUP(D5619,'لیست پرسنل'!$B$2:$E$1020,3,FALSE)</f>
        <v>0</v>
      </c>
      <c r="F5619" s="19">
        <f>VLOOKUP(D5619,'لیست پرسنل'!$B$2:$E$1020,4,FALSE)</f>
        <v>0</v>
      </c>
      <c r="G5619" s="127">
        <f>VLOOKUP(D5619,'لیست پرسنل'!$B$2:$F$1020,2,FALSE)</f>
        <v>0</v>
      </c>
      <c r="H5619" s="130" t="s">
        <v>2564</v>
      </c>
      <c r="I5619" s="128" t="s">
        <v>4325</v>
      </c>
      <c r="J5619" s="128" t="s">
        <v>3532</v>
      </c>
      <c r="K5619" s="128" t="s">
        <v>7816</v>
      </c>
      <c r="L5619" s="128"/>
      <c r="M5619" s="128" t="s">
        <v>4371</v>
      </c>
      <c r="N5619" s="125" t="s">
        <v>7808</v>
      </c>
      <c r="O5619" s="66"/>
      <c r="P5619" s="20"/>
      <c r="Q5619" s="20"/>
    </row>
    <row r="5620" spans="1:17" ht="21">
      <c r="A5620" s="20"/>
      <c r="B5620" s="20" t="s">
        <v>4325</v>
      </c>
      <c r="C5620" s="20" t="s">
        <v>4325</v>
      </c>
      <c r="D5620" s="20" t="s">
        <v>4325</v>
      </c>
      <c r="E5620" s="19">
        <f>VLOOKUP(D5620,'لیست پرسنل'!$B$2:$E$1020,3,FALSE)</f>
        <v>0</v>
      </c>
      <c r="F5620" s="19">
        <f>VLOOKUP(D5620,'لیست پرسنل'!$B$2:$E$1020,4,FALSE)</f>
        <v>0</v>
      </c>
      <c r="G5620" s="127">
        <f>VLOOKUP(D5620,'لیست پرسنل'!$B$2:$F$1020,2,FALSE)</f>
        <v>0</v>
      </c>
      <c r="H5620" s="130" t="s">
        <v>2564</v>
      </c>
      <c r="I5620" s="128" t="s">
        <v>4325</v>
      </c>
      <c r="J5620" s="128" t="s">
        <v>3532</v>
      </c>
      <c r="K5620" s="128" t="s">
        <v>7817</v>
      </c>
      <c r="L5620" s="128"/>
      <c r="M5620" s="128" t="s">
        <v>4371</v>
      </c>
      <c r="N5620" s="125" t="s">
        <v>7808</v>
      </c>
      <c r="O5620" s="66"/>
      <c r="P5620" s="20"/>
      <c r="Q5620" s="20"/>
    </row>
    <row r="5621" spans="1:17" ht="26.25" customHeight="1">
      <c r="A5621" s="20"/>
      <c r="B5621" s="20" t="s">
        <v>4325</v>
      </c>
      <c r="C5621" s="20" t="s">
        <v>4325</v>
      </c>
      <c r="D5621" s="20" t="s">
        <v>4325</v>
      </c>
      <c r="E5621" s="19">
        <f>VLOOKUP(D5621,'لیست پرسنل'!$B$2:$E$1020,3,FALSE)</f>
        <v>0</v>
      </c>
      <c r="F5621" s="19">
        <f>VLOOKUP(D5621,'لیست پرسنل'!$B$2:$E$1020,4,FALSE)</f>
        <v>0</v>
      </c>
      <c r="G5621" s="127">
        <f>VLOOKUP(D5621,'لیست پرسنل'!$B$2:$F$1020,2,FALSE)</f>
        <v>0</v>
      </c>
      <c r="H5621" s="130" t="s">
        <v>2564</v>
      </c>
      <c r="I5621" s="128" t="s">
        <v>4325</v>
      </c>
      <c r="J5621" s="128" t="s">
        <v>5927</v>
      </c>
      <c r="K5621" s="128" t="s">
        <v>7811</v>
      </c>
      <c r="L5621" s="128"/>
      <c r="M5621" s="128" t="s">
        <v>4371</v>
      </c>
      <c r="N5621" s="125" t="s">
        <v>7808</v>
      </c>
      <c r="O5621" s="66"/>
      <c r="P5621" s="20"/>
      <c r="Q5621" s="20"/>
    </row>
    <row r="5622" spans="1:17" ht="21">
      <c r="A5622" s="20"/>
      <c r="B5622" s="20" t="s">
        <v>4325</v>
      </c>
      <c r="C5622" s="20" t="s">
        <v>4325</v>
      </c>
      <c r="D5622" s="20" t="s">
        <v>4325</v>
      </c>
      <c r="E5622" s="19">
        <f>VLOOKUP(D5622,'لیست پرسنل'!$B$2:$E$1020,3,FALSE)</f>
        <v>0</v>
      </c>
      <c r="F5622" s="19">
        <f>VLOOKUP(D5622,'لیست پرسنل'!$B$2:$E$1020,4,FALSE)</f>
        <v>0</v>
      </c>
      <c r="G5622" s="127">
        <f>VLOOKUP(D5622,'لیست پرسنل'!$B$2:$F$1020,2,FALSE)</f>
        <v>0</v>
      </c>
      <c r="H5622" s="130" t="s">
        <v>2564</v>
      </c>
      <c r="I5622" s="128" t="s">
        <v>4325</v>
      </c>
      <c r="J5622" s="128" t="s">
        <v>5927</v>
      </c>
      <c r="K5622" s="128" t="s">
        <v>7811</v>
      </c>
      <c r="L5622" s="128"/>
      <c r="M5622" s="128" t="s">
        <v>4371</v>
      </c>
      <c r="N5622" s="125" t="s">
        <v>7808</v>
      </c>
      <c r="O5622" s="66"/>
      <c r="P5622" s="20"/>
      <c r="Q5622" s="20"/>
    </row>
    <row r="5623" spans="1:17" ht="21">
      <c r="A5623" s="20"/>
      <c r="B5623" s="20" t="s">
        <v>4325</v>
      </c>
      <c r="C5623" s="20" t="s">
        <v>4325</v>
      </c>
      <c r="D5623" s="20" t="s">
        <v>4325</v>
      </c>
      <c r="E5623" s="19">
        <f>VLOOKUP(D5623,'لیست پرسنل'!$B$2:$E$1020,3,FALSE)</f>
        <v>0</v>
      </c>
      <c r="F5623" s="19">
        <f>VLOOKUP(D5623,'لیست پرسنل'!$B$2:$E$1020,4,FALSE)</f>
        <v>0</v>
      </c>
      <c r="G5623" s="127">
        <f>VLOOKUP(D5623,'لیست پرسنل'!$B$2:$F$1020,2,FALSE)</f>
        <v>0</v>
      </c>
      <c r="H5623" s="130" t="s">
        <v>2564</v>
      </c>
      <c r="I5623" s="128" t="s">
        <v>4325</v>
      </c>
      <c r="J5623" s="128" t="s">
        <v>5927</v>
      </c>
      <c r="K5623" s="128" t="s">
        <v>7811</v>
      </c>
      <c r="L5623" s="128"/>
      <c r="M5623" s="128" t="s">
        <v>4371</v>
      </c>
      <c r="N5623" s="125" t="s">
        <v>7808</v>
      </c>
      <c r="O5623" s="66"/>
      <c r="P5623" s="20"/>
      <c r="Q5623" s="20"/>
    </row>
    <row r="5624" spans="1:17" ht="21">
      <c r="A5624" s="20"/>
      <c r="B5624" s="20" t="s">
        <v>4325</v>
      </c>
      <c r="C5624" s="20" t="s">
        <v>4325</v>
      </c>
      <c r="D5624" s="20" t="s">
        <v>4325</v>
      </c>
      <c r="E5624" s="19">
        <f>VLOOKUP(D5624,'لیست پرسنل'!$B$2:$E$1020,3,FALSE)</f>
        <v>0</v>
      </c>
      <c r="F5624" s="19">
        <f>VLOOKUP(D5624,'لیست پرسنل'!$B$2:$E$1020,4,FALSE)</f>
        <v>0</v>
      </c>
      <c r="G5624" s="127">
        <f>VLOOKUP(D5624,'لیست پرسنل'!$B$2:$F$1020,2,FALSE)</f>
        <v>0</v>
      </c>
      <c r="H5624" s="130" t="s">
        <v>2564</v>
      </c>
      <c r="I5624" s="128" t="s">
        <v>4325</v>
      </c>
      <c r="J5624" s="128" t="s">
        <v>5927</v>
      </c>
      <c r="K5624" s="128" t="s">
        <v>7811</v>
      </c>
      <c r="L5624" s="128"/>
      <c r="M5624" s="128" t="s">
        <v>4371</v>
      </c>
      <c r="N5624" s="125" t="s">
        <v>7808</v>
      </c>
      <c r="O5624" s="66"/>
      <c r="P5624" s="20"/>
      <c r="Q5624" s="20"/>
    </row>
    <row r="5625" spans="1:17" ht="21">
      <c r="A5625" s="20"/>
      <c r="B5625" s="20" t="s">
        <v>4325</v>
      </c>
      <c r="C5625" s="20" t="s">
        <v>4325</v>
      </c>
      <c r="D5625" s="20" t="s">
        <v>4325</v>
      </c>
      <c r="E5625" s="19">
        <f>VLOOKUP(D5625,'لیست پرسنل'!$B$2:$E$1020,3,FALSE)</f>
        <v>0</v>
      </c>
      <c r="F5625" s="19">
        <f>VLOOKUP(D5625,'لیست پرسنل'!$B$2:$E$1020,4,FALSE)</f>
        <v>0</v>
      </c>
      <c r="G5625" s="127">
        <f>VLOOKUP(D5625,'لیست پرسنل'!$B$2:$F$1020,2,FALSE)</f>
        <v>0</v>
      </c>
      <c r="H5625" s="130" t="s">
        <v>2564</v>
      </c>
      <c r="I5625" s="128" t="s">
        <v>4325</v>
      </c>
      <c r="J5625" s="128" t="s">
        <v>5927</v>
      </c>
      <c r="K5625" s="128" t="s">
        <v>7811</v>
      </c>
      <c r="L5625" s="128"/>
      <c r="M5625" s="128" t="s">
        <v>4371</v>
      </c>
      <c r="N5625" s="125" t="s">
        <v>7808</v>
      </c>
      <c r="O5625" s="66"/>
      <c r="P5625" s="20"/>
      <c r="Q5625" s="20"/>
    </row>
    <row r="5626" spans="1:17" ht="21">
      <c r="A5626" s="20"/>
      <c r="B5626" s="20" t="s">
        <v>4325</v>
      </c>
      <c r="C5626" s="20" t="s">
        <v>4325</v>
      </c>
      <c r="D5626" s="20" t="s">
        <v>4325</v>
      </c>
      <c r="E5626" s="19">
        <f>VLOOKUP(D5626,'لیست پرسنل'!$B$2:$E$1020,3,FALSE)</f>
        <v>0</v>
      </c>
      <c r="F5626" s="19">
        <f>VLOOKUP(D5626,'لیست پرسنل'!$B$2:$E$1020,4,FALSE)</f>
        <v>0</v>
      </c>
      <c r="G5626" s="127">
        <f>VLOOKUP(D5626,'لیست پرسنل'!$B$2:$F$1020,2,FALSE)</f>
        <v>0</v>
      </c>
      <c r="H5626" s="130" t="s">
        <v>2564</v>
      </c>
      <c r="I5626" s="128" t="s">
        <v>4325</v>
      </c>
      <c r="J5626" s="128" t="s">
        <v>5927</v>
      </c>
      <c r="K5626" s="128" t="s">
        <v>7811</v>
      </c>
      <c r="L5626" s="128"/>
      <c r="M5626" s="128" t="s">
        <v>4371</v>
      </c>
      <c r="N5626" s="125" t="s">
        <v>7808</v>
      </c>
      <c r="O5626" s="66"/>
      <c r="P5626" s="20"/>
      <c r="Q5626" s="20"/>
    </row>
    <row r="5627" spans="1:17" ht="21">
      <c r="A5627" s="20"/>
      <c r="B5627" s="20" t="s">
        <v>4325</v>
      </c>
      <c r="C5627" s="20" t="s">
        <v>4325</v>
      </c>
      <c r="D5627" s="20" t="s">
        <v>4325</v>
      </c>
      <c r="E5627" s="19">
        <f>VLOOKUP(D5627,'لیست پرسنل'!$B$2:$E$1020,3,FALSE)</f>
        <v>0</v>
      </c>
      <c r="F5627" s="19">
        <f>VLOOKUP(D5627,'لیست پرسنل'!$B$2:$E$1020,4,FALSE)</f>
        <v>0</v>
      </c>
      <c r="G5627" s="127">
        <f>VLOOKUP(D5627,'لیست پرسنل'!$B$2:$F$1020,2,FALSE)</f>
        <v>0</v>
      </c>
      <c r="H5627" s="130" t="s">
        <v>2564</v>
      </c>
      <c r="I5627" s="128" t="s">
        <v>4325</v>
      </c>
      <c r="J5627" s="128" t="s">
        <v>5927</v>
      </c>
      <c r="K5627" s="128" t="s">
        <v>7811</v>
      </c>
      <c r="L5627" s="128"/>
      <c r="M5627" s="128" t="s">
        <v>4371</v>
      </c>
      <c r="N5627" s="125" t="s">
        <v>7808</v>
      </c>
      <c r="O5627" s="66"/>
      <c r="P5627" s="20"/>
      <c r="Q5627" s="20"/>
    </row>
    <row r="5628" spans="1:17" ht="21">
      <c r="A5628" s="20"/>
      <c r="B5628" s="20" t="s">
        <v>4325</v>
      </c>
      <c r="C5628" s="20" t="s">
        <v>4325</v>
      </c>
      <c r="D5628" s="20" t="s">
        <v>4325</v>
      </c>
      <c r="E5628" s="19">
        <f>VLOOKUP(D5628,'لیست پرسنل'!$B$2:$E$1020,3,FALSE)</f>
        <v>0</v>
      </c>
      <c r="F5628" s="19">
        <f>VLOOKUP(D5628,'لیست پرسنل'!$B$2:$E$1020,4,FALSE)</f>
        <v>0</v>
      </c>
      <c r="G5628" s="127">
        <f>VLOOKUP(D5628,'لیست پرسنل'!$B$2:$F$1020,2,FALSE)</f>
        <v>0</v>
      </c>
      <c r="H5628" s="130" t="s">
        <v>2564</v>
      </c>
      <c r="I5628" s="128" t="s">
        <v>4325</v>
      </c>
      <c r="J5628" s="128" t="s">
        <v>5927</v>
      </c>
      <c r="K5628" s="128" t="s">
        <v>7811</v>
      </c>
      <c r="L5628" s="128"/>
      <c r="M5628" s="128" t="s">
        <v>4371</v>
      </c>
      <c r="N5628" s="125" t="s">
        <v>7808</v>
      </c>
      <c r="O5628" s="66"/>
      <c r="P5628" s="20"/>
      <c r="Q5628" s="20"/>
    </row>
    <row r="5629" spans="1:17" ht="21">
      <c r="A5629" s="20"/>
      <c r="B5629" s="20" t="s">
        <v>4325</v>
      </c>
      <c r="C5629" s="20" t="s">
        <v>4325</v>
      </c>
      <c r="D5629" s="20" t="s">
        <v>4325</v>
      </c>
      <c r="E5629" s="19">
        <f>VLOOKUP(D5629,'لیست پرسنل'!$B$2:$E$1020,3,FALSE)</f>
        <v>0</v>
      </c>
      <c r="F5629" s="19">
        <f>VLOOKUP(D5629,'لیست پرسنل'!$B$2:$E$1020,4,FALSE)</f>
        <v>0</v>
      </c>
      <c r="G5629" s="127">
        <f>VLOOKUP(D5629,'لیست پرسنل'!$B$2:$F$1020,2,FALSE)</f>
        <v>0</v>
      </c>
      <c r="H5629" s="130" t="s">
        <v>2564</v>
      </c>
      <c r="I5629" s="128" t="s">
        <v>4325</v>
      </c>
      <c r="J5629" s="128" t="s">
        <v>5927</v>
      </c>
      <c r="K5629" s="128" t="s">
        <v>7812</v>
      </c>
      <c r="L5629" s="128"/>
      <c r="M5629" s="128" t="s">
        <v>4371</v>
      </c>
      <c r="N5629" s="125" t="s">
        <v>7808</v>
      </c>
      <c r="O5629" s="66"/>
      <c r="P5629" s="20"/>
      <c r="Q5629" s="20"/>
    </row>
    <row r="5630" spans="1:17" ht="21">
      <c r="A5630" s="20"/>
      <c r="B5630" s="20" t="s">
        <v>4325</v>
      </c>
      <c r="C5630" s="20" t="s">
        <v>4325</v>
      </c>
      <c r="D5630" s="20" t="s">
        <v>4325</v>
      </c>
      <c r="E5630" s="19">
        <f>VLOOKUP(D5630,'لیست پرسنل'!$B$2:$E$1020,3,FALSE)</f>
        <v>0</v>
      </c>
      <c r="F5630" s="19">
        <f>VLOOKUP(D5630,'لیست پرسنل'!$B$2:$E$1020,4,FALSE)</f>
        <v>0</v>
      </c>
      <c r="G5630" s="127">
        <f>VLOOKUP(D5630,'لیست پرسنل'!$B$2:$F$1020,2,FALSE)</f>
        <v>0</v>
      </c>
      <c r="H5630" s="130" t="s">
        <v>2564</v>
      </c>
      <c r="I5630" s="128" t="s">
        <v>4325</v>
      </c>
      <c r="J5630" s="128" t="s">
        <v>5927</v>
      </c>
      <c r="K5630" s="128" t="s">
        <v>7812</v>
      </c>
      <c r="L5630" s="128"/>
      <c r="M5630" s="128" t="s">
        <v>4371</v>
      </c>
      <c r="N5630" s="125" t="s">
        <v>7808</v>
      </c>
      <c r="O5630" s="66"/>
      <c r="P5630" s="20"/>
      <c r="Q5630" s="20"/>
    </row>
    <row r="5631" spans="1:17" ht="21">
      <c r="A5631" s="20"/>
      <c r="B5631" s="20" t="s">
        <v>4325</v>
      </c>
      <c r="C5631" s="20" t="s">
        <v>4325</v>
      </c>
      <c r="D5631" s="20" t="s">
        <v>4325</v>
      </c>
      <c r="E5631" s="19">
        <f>VLOOKUP(D5631,'لیست پرسنل'!$B$2:$E$1020,3,FALSE)</f>
        <v>0</v>
      </c>
      <c r="F5631" s="19">
        <f>VLOOKUP(D5631,'لیست پرسنل'!$B$2:$E$1020,4,FALSE)</f>
        <v>0</v>
      </c>
      <c r="G5631" s="127">
        <f>VLOOKUP(D5631,'لیست پرسنل'!$B$2:$F$1020,2,FALSE)</f>
        <v>0</v>
      </c>
      <c r="H5631" s="130" t="s">
        <v>2564</v>
      </c>
      <c r="I5631" s="128" t="s">
        <v>4325</v>
      </c>
      <c r="J5631" s="128" t="s">
        <v>5927</v>
      </c>
      <c r="K5631" s="128" t="s">
        <v>7812</v>
      </c>
      <c r="L5631" s="128"/>
      <c r="M5631" s="128" t="s">
        <v>4371</v>
      </c>
      <c r="N5631" s="125" t="s">
        <v>7808</v>
      </c>
      <c r="O5631" s="66"/>
      <c r="P5631" s="20"/>
      <c r="Q5631" s="20"/>
    </row>
    <row r="5632" spans="1:17" ht="21">
      <c r="A5632" s="20"/>
      <c r="B5632" s="20" t="s">
        <v>4325</v>
      </c>
      <c r="C5632" s="20" t="s">
        <v>4325</v>
      </c>
      <c r="D5632" s="20" t="s">
        <v>4325</v>
      </c>
      <c r="E5632" s="19">
        <f>VLOOKUP(D5632,'لیست پرسنل'!$B$2:$E$1020,3,FALSE)</f>
        <v>0</v>
      </c>
      <c r="F5632" s="19">
        <f>VLOOKUP(D5632,'لیست پرسنل'!$B$2:$E$1020,4,FALSE)</f>
        <v>0</v>
      </c>
      <c r="G5632" s="127">
        <f>VLOOKUP(D5632,'لیست پرسنل'!$B$2:$F$1020,2,FALSE)</f>
        <v>0</v>
      </c>
      <c r="H5632" s="130" t="s">
        <v>2564</v>
      </c>
      <c r="I5632" s="128" t="s">
        <v>4325</v>
      </c>
      <c r="J5632" s="128" t="s">
        <v>3483</v>
      </c>
      <c r="K5632" s="128" t="s">
        <v>7818</v>
      </c>
      <c r="L5632" s="128"/>
      <c r="M5632" s="128" t="s">
        <v>4371</v>
      </c>
      <c r="N5632" s="125" t="s">
        <v>7808</v>
      </c>
      <c r="O5632" s="66"/>
      <c r="P5632" s="20"/>
      <c r="Q5632" s="20"/>
    </row>
    <row r="5633" spans="1:17" ht="21">
      <c r="A5633" s="185"/>
      <c r="B5633" s="185" t="s">
        <v>4325</v>
      </c>
      <c r="C5633" s="185" t="s">
        <v>4325</v>
      </c>
      <c r="D5633" s="67" t="s">
        <v>4325</v>
      </c>
      <c r="E5633" s="186">
        <f>VLOOKUP(D5633,'لیست پرسنل'!$B$2:$E$1020,3,FALSE)</f>
        <v>0</v>
      </c>
      <c r="F5633" s="186">
        <f>VLOOKUP(D5633,'لیست پرسنل'!$B$2:$E$1020,4,FALSE)</f>
        <v>0</v>
      </c>
      <c r="G5633" s="187">
        <f>VLOOKUP(D5633,'لیست پرسنل'!$B$2:$F$1020,2,FALSE)</f>
        <v>0</v>
      </c>
      <c r="H5633" s="230" t="s">
        <v>2564</v>
      </c>
      <c r="I5633" s="194" t="s">
        <v>4325</v>
      </c>
      <c r="J5633" s="188" t="s">
        <v>3476</v>
      </c>
      <c r="K5633" s="227" t="s">
        <v>1750</v>
      </c>
      <c r="L5633" s="206" t="s">
        <v>1735</v>
      </c>
      <c r="M5633" s="231">
        <v>625683</v>
      </c>
      <c r="N5633" s="229" t="s">
        <v>7808</v>
      </c>
      <c r="O5633" s="228"/>
      <c r="P5633" s="185"/>
      <c r="Q5633" s="185"/>
    </row>
    <row r="5634" spans="1:17" ht="21">
      <c r="A5634" s="20"/>
      <c r="B5634" s="20" t="s">
        <v>4325</v>
      </c>
      <c r="C5634" s="20" t="s">
        <v>4325</v>
      </c>
      <c r="D5634" s="20" t="s">
        <v>4325</v>
      </c>
      <c r="E5634" s="19">
        <f>VLOOKUP(D5634,'لیست پرسنل'!$B$2:$E$1020,3,FALSE)</f>
        <v>0</v>
      </c>
      <c r="F5634" s="19">
        <f>VLOOKUP(D5634,'لیست پرسنل'!$B$2:$E$1020,4,FALSE)</f>
        <v>0</v>
      </c>
      <c r="G5634" s="127">
        <f>VLOOKUP(D5634,'لیست پرسنل'!$B$2:$F$1020,2,FALSE)</f>
        <v>0</v>
      </c>
      <c r="H5634" s="130" t="s">
        <v>2564</v>
      </c>
      <c r="I5634" s="128" t="s">
        <v>4325</v>
      </c>
      <c r="J5634" s="128" t="s">
        <v>2686</v>
      </c>
      <c r="K5634" s="128" t="s">
        <v>564</v>
      </c>
      <c r="L5634" s="151" t="s">
        <v>2195</v>
      </c>
      <c r="M5634" s="127">
        <v>605415</v>
      </c>
      <c r="N5634" s="110" t="s">
        <v>7808</v>
      </c>
      <c r="O5634" s="66"/>
      <c r="P5634" s="20"/>
      <c r="Q5634" s="20"/>
    </row>
    <row r="5635" spans="1:17" ht="21">
      <c r="A5635" s="20"/>
      <c r="B5635" s="20" t="s">
        <v>4325</v>
      </c>
      <c r="C5635" s="20" t="s">
        <v>4325</v>
      </c>
      <c r="D5635" s="20" t="s">
        <v>4325</v>
      </c>
      <c r="E5635" s="19">
        <f>VLOOKUP(D5635,'لیست پرسنل'!$B$2:$E$1020,3,FALSE)</f>
        <v>0</v>
      </c>
      <c r="F5635" s="19">
        <f>VLOOKUP(D5635,'لیست پرسنل'!$B$2:$E$1020,4,FALSE)</f>
        <v>0</v>
      </c>
      <c r="G5635" s="127">
        <f>VLOOKUP(D5635,'لیست پرسنل'!$B$2:$F$1020,2,FALSE)</f>
        <v>0</v>
      </c>
      <c r="H5635" s="127" t="s">
        <v>3925</v>
      </c>
      <c r="I5635" s="127" t="s">
        <v>4325</v>
      </c>
      <c r="J5635" s="128" t="s">
        <v>5366</v>
      </c>
      <c r="K5635" s="127" t="s">
        <v>5318</v>
      </c>
      <c r="L5635" s="127"/>
      <c r="M5635" s="127">
        <v>629428</v>
      </c>
      <c r="N5635" s="110"/>
      <c r="O5635" s="66"/>
      <c r="P5635" s="20" t="s">
        <v>5869</v>
      </c>
      <c r="Q5635" s="20" t="s">
        <v>7287</v>
      </c>
    </row>
    <row r="5636" spans="1:17" ht="21">
      <c r="A5636" s="20"/>
      <c r="B5636" s="20" t="s">
        <v>4325</v>
      </c>
      <c r="C5636" s="20" t="s">
        <v>4325</v>
      </c>
      <c r="D5636" s="19" t="s">
        <v>4325</v>
      </c>
      <c r="E5636" s="19">
        <f>VLOOKUP(D5636,'لیست پرسنل'!$B$2:$E$1020,3,FALSE)</f>
        <v>0</v>
      </c>
      <c r="F5636" s="19">
        <f>VLOOKUP(D5636,'لیست پرسنل'!$B$2:$E$1020,4,FALSE)</f>
        <v>0</v>
      </c>
      <c r="G5636" s="127">
        <f>VLOOKUP(D5636,'لیست پرسنل'!$B$2:$F$1020,2,FALSE)</f>
        <v>0</v>
      </c>
      <c r="H5636" s="127" t="s">
        <v>5821</v>
      </c>
      <c r="I5636" s="128" t="s">
        <v>4325</v>
      </c>
      <c r="J5636" s="128" t="s">
        <v>5366</v>
      </c>
      <c r="K5636" s="128" t="s">
        <v>2613</v>
      </c>
      <c r="L5636" s="128"/>
      <c r="M5636" s="128">
        <v>611243</v>
      </c>
      <c r="N5636" s="112"/>
      <c r="O5636" s="66"/>
      <c r="P5636" s="20" t="s">
        <v>5869</v>
      </c>
      <c r="Q5636" s="20" t="s">
        <v>7880</v>
      </c>
    </row>
    <row r="5637" spans="1:17" ht="21">
      <c r="A5637" s="20"/>
      <c r="B5637" s="20"/>
      <c r="C5637" s="20"/>
      <c r="D5637" s="79"/>
      <c r="E5637" s="19" t="e">
        <f>VLOOKUP(D5637,'لیست پرسنل'!$B$2:$E$1020,3,FALSE)</f>
        <v>#N/A</v>
      </c>
      <c r="F5637" s="19" t="e">
        <f>VLOOKUP(D5637,'لیست پرسنل'!$B$2:$E$1020,4,FALSE)</f>
        <v>#N/A</v>
      </c>
      <c r="G5637" s="127" t="e">
        <f>VLOOKUP(D5637,'لیست پرسنل'!$B$2:$F$1020,2,FALSE)</f>
        <v>#N/A</v>
      </c>
      <c r="H5637" s="109" t="s">
        <v>8580</v>
      </c>
      <c r="I5637" s="128"/>
      <c r="J5637" s="128" t="s">
        <v>571</v>
      </c>
      <c r="K5637" s="128"/>
      <c r="L5637" s="151"/>
      <c r="M5637" s="127">
        <v>601495</v>
      </c>
      <c r="N5637" s="110" t="s">
        <v>8580</v>
      </c>
      <c r="O5637" s="66" t="s">
        <v>8578</v>
      </c>
      <c r="P5637" s="20" t="s">
        <v>1281</v>
      </c>
      <c r="Q5637" s="20" t="s">
        <v>8579</v>
      </c>
    </row>
    <row r="5638" spans="1:17" ht="21">
      <c r="A5638" s="20"/>
      <c r="B5638" s="20"/>
      <c r="C5638" s="20"/>
      <c r="D5638" s="79"/>
      <c r="E5638" s="19" t="e">
        <f>VLOOKUP(D5638,'لیست پرسنل'!$B$2:$E$1020,3,FALSE)</f>
        <v>#N/A</v>
      </c>
      <c r="F5638" s="19" t="e">
        <f>VLOOKUP(D5638,'لیست پرسنل'!$B$2:$E$1020,4,FALSE)</f>
        <v>#N/A</v>
      </c>
      <c r="G5638" s="127" t="e">
        <f>VLOOKUP(D5638,'لیست پرسنل'!$B$2:$F$1020,2,FALSE)</f>
        <v>#N/A</v>
      </c>
      <c r="H5638" s="109" t="s">
        <v>8580</v>
      </c>
      <c r="I5638" s="128"/>
      <c r="J5638" s="128" t="s">
        <v>571</v>
      </c>
      <c r="K5638" s="128"/>
      <c r="L5638" s="151"/>
      <c r="M5638" s="127">
        <v>603963</v>
      </c>
      <c r="N5638" s="110" t="s">
        <v>8580</v>
      </c>
      <c r="O5638" s="66" t="s">
        <v>8578</v>
      </c>
      <c r="P5638" s="20" t="s">
        <v>1281</v>
      </c>
      <c r="Q5638" s="20" t="s">
        <v>8579</v>
      </c>
    </row>
    <row r="5639" spans="1:17" ht="21">
      <c r="A5639" s="20"/>
      <c r="B5639" s="20"/>
      <c r="C5639" s="20"/>
      <c r="D5639" s="79"/>
      <c r="E5639" s="19" t="e">
        <f>VLOOKUP(D5639,'لیست پرسنل'!$B$2:$E$1020,3,FALSE)</f>
        <v>#N/A</v>
      </c>
      <c r="F5639" s="19" t="e">
        <f>VLOOKUP(D5639,'لیست پرسنل'!$B$2:$E$1020,4,FALSE)</f>
        <v>#N/A</v>
      </c>
      <c r="G5639" s="127" t="e">
        <f>VLOOKUP(D5639,'لیست پرسنل'!$B$2:$F$1020,2,FALSE)</f>
        <v>#N/A</v>
      </c>
      <c r="H5639" s="109" t="s">
        <v>8580</v>
      </c>
      <c r="I5639" s="128"/>
      <c r="J5639" s="128" t="s">
        <v>571</v>
      </c>
      <c r="K5639" s="128"/>
      <c r="L5639" s="151"/>
      <c r="M5639" s="127">
        <v>604011</v>
      </c>
      <c r="N5639" s="110" t="s">
        <v>8580</v>
      </c>
      <c r="O5639" s="66" t="s">
        <v>8578</v>
      </c>
      <c r="P5639" s="20" t="s">
        <v>1281</v>
      </c>
      <c r="Q5639" s="20" t="s">
        <v>8579</v>
      </c>
    </row>
    <row r="5640" spans="1:17" ht="21">
      <c r="A5640" s="20"/>
      <c r="B5640" s="20"/>
      <c r="C5640" s="20"/>
      <c r="D5640" s="79"/>
      <c r="E5640" s="19" t="e">
        <f>VLOOKUP(D5640,'لیست پرسنل'!$B$2:$E$1020,3,FALSE)</f>
        <v>#N/A</v>
      </c>
      <c r="F5640" s="19" t="e">
        <f>VLOOKUP(D5640,'لیست پرسنل'!$B$2:$E$1020,4,FALSE)</f>
        <v>#N/A</v>
      </c>
      <c r="G5640" s="127" t="e">
        <f>VLOOKUP(D5640,'لیست پرسنل'!$B$2:$F$1020,2,FALSE)</f>
        <v>#N/A</v>
      </c>
      <c r="H5640" s="109" t="s">
        <v>8580</v>
      </c>
      <c r="I5640" s="127"/>
      <c r="J5640" s="128" t="s">
        <v>571</v>
      </c>
      <c r="K5640" s="127"/>
      <c r="L5640" s="151"/>
      <c r="M5640" s="127">
        <v>606606</v>
      </c>
      <c r="N5640" s="110" t="s">
        <v>8580</v>
      </c>
      <c r="O5640" s="66" t="s">
        <v>8578</v>
      </c>
      <c r="P5640" s="20" t="s">
        <v>1281</v>
      </c>
      <c r="Q5640" s="20" t="s">
        <v>8579</v>
      </c>
    </row>
    <row r="5641" spans="1:17" ht="21">
      <c r="A5641" s="20"/>
      <c r="B5641" s="20"/>
      <c r="C5641" s="20"/>
      <c r="D5641" s="20"/>
      <c r="E5641" s="19" t="e">
        <f>VLOOKUP(D5641,'لیست پرسنل'!$B$2:$E$1020,3,FALSE)</f>
        <v>#N/A</v>
      </c>
      <c r="F5641" s="19" t="e">
        <f>VLOOKUP(D5641,'لیست پرسنل'!$B$2:$E$1020,4,FALSE)</f>
        <v>#N/A</v>
      </c>
      <c r="G5641" s="127" t="e">
        <f>VLOOKUP(D5641,'لیست پرسنل'!$B$2:$F$1020,2,FALSE)</f>
        <v>#N/A</v>
      </c>
      <c r="H5641" s="109" t="s">
        <v>8580</v>
      </c>
      <c r="I5641" s="128"/>
      <c r="J5641" s="128" t="s">
        <v>571</v>
      </c>
      <c r="K5641" s="128"/>
      <c r="L5641" s="128"/>
      <c r="M5641" s="127">
        <v>610110</v>
      </c>
      <c r="N5641" s="110" t="s">
        <v>8580</v>
      </c>
      <c r="O5641" s="66" t="s">
        <v>8578</v>
      </c>
      <c r="P5641" s="20" t="s">
        <v>1281</v>
      </c>
      <c r="Q5641" s="20" t="s">
        <v>8579</v>
      </c>
    </row>
    <row r="5642" spans="1:17" ht="21">
      <c r="A5642" s="20"/>
      <c r="B5642" s="20"/>
      <c r="C5642" s="20"/>
      <c r="D5642" s="20"/>
      <c r="E5642" s="19" t="e">
        <f>VLOOKUP(D5642,'لیست پرسنل'!$B$2:$E$1020,3,FALSE)</f>
        <v>#N/A</v>
      </c>
      <c r="F5642" s="19" t="e">
        <f>VLOOKUP(D5642,'لیست پرسنل'!$B$2:$E$1020,4,FALSE)</f>
        <v>#N/A</v>
      </c>
      <c r="G5642" s="127" t="e">
        <f>VLOOKUP(D5642,'لیست پرسنل'!$B$2:$F$1020,2,FALSE)</f>
        <v>#N/A</v>
      </c>
      <c r="H5642" s="109" t="s">
        <v>8580</v>
      </c>
      <c r="I5642" s="127"/>
      <c r="J5642" s="128" t="s">
        <v>2686</v>
      </c>
      <c r="K5642" s="128" t="s">
        <v>1216</v>
      </c>
      <c r="L5642" s="150" t="s">
        <v>1184</v>
      </c>
      <c r="M5642" s="128">
        <v>601122</v>
      </c>
      <c r="N5642" s="112" t="s">
        <v>8580</v>
      </c>
      <c r="O5642" s="66" t="s">
        <v>8578</v>
      </c>
      <c r="P5642" s="20" t="s">
        <v>1281</v>
      </c>
      <c r="Q5642" s="20" t="s">
        <v>8579</v>
      </c>
    </row>
    <row r="5643" spans="1:17" ht="21">
      <c r="A5643" s="20"/>
      <c r="B5643" s="20"/>
      <c r="C5643" s="20"/>
      <c r="D5643" s="79"/>
      <c r="E5643" s="19" t="e">
        <f>VLOOKUP(D5643,'لیست پرسنل'!$B$2:$E$1020,3,FALSE)</f>
        <v>#N/A</v>
      </c>
      <c r="F5643" s="19" t="e">
        <f>VLOOKUP(D5643,'لیست پرسنل'!$B$2:$E$1020,4,FALSE)</f>
        <v>#N/A</v>
      </c>
      <c r="G5643" s="127" t="e">
        <f>VLOOKUP(D5643,'لیست پرسنل'!$B$2:$F$1020,2,FALSE)</f>
        <v>#N/A</v>
      </c>
      <c r="H5643" s="109" t="s">
        <v>8580</v>
      </c>
      <c r="I5643" s="128"/>
      <c r="J5643" s="128" t="s">
        <v>2686</v>
      </c>
      <c r="K5643" s="128" t="s">
        <v>1264</v>
      </c>
      <c r="L5643" s="151" t="s">
        <v>1256</v>
      </c>
      <c r="M5643" s="127">
        <v>609137</v>
      </c>
      <c r="N5643" s="110" t="s">
        <v>8581</v>
      </c>
      <c r="O5643" s="66" t="s">
        <v>8578</v>
      </c>
      <c r="P5643" s="20" t="s">
        <v>1281</v>
      </c>
      <c r="Q5643" s="20" t="s">
        <v>8579</v>
      </c>
    </row>
    <row r="5644" spans="1:17" ht="21">
      <c r="A5644" s="20"/>
      <c r="B5644" s="20"/>
      <c r="C5644" s="20"/>
      <c r="D5644" s="79"/>
      <c r="E5644" s="19" t="e">
        <f>VLOOKUP(D5644,'لیست پرسنل'!$B$2:$E$1020,3,FALSE)</f>
        <v>#N/A</v>
      </c>
      <c r="F5644" s="19" t="e">
        <f>VLOOKUP(D5644,'لیست پرسنل'!$B$2:$E$1020,4,FALSE)</f>
        <v>#N/A</v>
      </c>
      <c r="G5644" s="127" t="e">
        <f>VLOOKUP(D5644,'لیست پرسنل'!$B$2:$F$1020,2,FALSE)</f>
        <v>#N/A</v>
      </c>
      <c r="H5644" s="109" t="s">
        <v>8580</v>
      </c>
      <c r="I5644" s="128"/>
      <c r="J5644" s="128" t="s">
        <v>2686</v>
      </c>
      <c r="K5644" s="128" t="s">
        <v>852</v>
      </c>
      <c r="L5644" s="151" t="s">
        <v>2191</v>
      </c>
      <c r="M5644" s="127">
        <v>609753</v>
      </c>
      <c r="N5644" s="110" t="s">
        <v>8581</v>
      </c>
      <c r="O5644" s="66" t="s">
        <v>8578</v>
      </c>
      <c r="P5644" s="20" t="s">
        <v>1281</v>
      </c>
      <c r="Q5644" s="20" t="s">
        <v>8579</v>
      </c>
    </row>
    <row r="5645" spans="1:17" ht="21">
      <c r="A5645" s="20"/>
      <c r="B5645" s="20"/>
      <c r="C5645" s="20"/>
      <c r="D5645" s="79"/>
      <c r="E5645" s="19" t="e">
        <f>VLOOKUP(D5645,'لیست پرسنل'!$B$2:$E$1020,3,FALSE)</f>
        <v>#N/A</v>
      </c>
      <c r="F5645" s="19" t="e">
        <f>VLOOKUP(D5645,'لیست پرسنل'!$B$2:$E$1020,4,FALSE)</f>
        <v>#N/A</v>
      </c>
      <c r="G5645" s="127" t="e">
        <f>VLOOKUP(D5645,'لیست پرسنل'!$B$2:$F$1020,2,FALSE)</f>
        <v>#N/A</v>
      </c>
      <c r="H5645" s="109" t="s">
        <v>8580</v>
      </c>
      <c r="I5645" s="128"/>
      <c r="J5645" s="128" t="s">
        <v>2686</v>
      </c>
      <c r="K5645" s="128" t="s">
        <v>852</v>
      </c>
      <c r="L5645" s="151" t="s">
        <v>2184</v>
      </c>
      <c r="M5645" s="127">
        <v>609754</v>
      </c>
      <c r="N5645" s="110" t="s">
        <v>8581</v>
      </c>
      <c r="O5645" s="66" t="s">
        <v>8578</v>
      </c>
      <c r="P5645" s="20" t="s">
        <v>1281</v>
      </c>
      <c r="Q5645" s="20" t="s">
        <v>8579</v>
      </c>
    </row>
    <row r="5646" spans="1:17" ht="21">
      <c r="A5646" s="20"/>
      <c r="B5646" s="20"/>
      <c r="C5646" s="20"/>
      <c r="D5646" s="79"/>
      <c r="E5646" s="19" t="e">
        <f>VLOOKUP(D5646,'لیست پرسنل'!$B$2:$E$1020,3,FALSE)</f>
        <v>#N/A</v>
      </c>
      <c r="F5646" s="19" t="e">
        <f>VLOOKUP(D5646,'لیست پرسنل'!$B$2:$E$1020,4,FALSE)</f>
        <v>#N/A</v>
      </c>
      <c r="G5646" s="127" t="e">
        <f>VLOOKUP(D5646,'لیست پرسنل'!$B$2:$F$1020,2,FALSE)</f>
        <v>#N/A</v>
      </c>
      <c r="H5646" s="109" t="s">
        <v>8581</v>
      </c>
      <c r="I5646" s="128"/>
      <c r="J5646" s="128" t="s">
        <v>2686</v>
      </c>
      <c r="K5646" s="128" t="s">
        <v>586</v>
      </c>
      <c r="L5646" s="151" t="s">
        <v>2192</v>
      </c>
      <c r="M5646" s="127">
        <v>605833</v>
      </c>
      <c r="N5646" s="110" t="s">
        <v>8581</v>
      </c>
      <c r="O5646" s="66" t="s">
        <v>8578</v>
      </c>
      <c r="P5646" s="20" t="s">
        <v>1281</v>
      </c>
      <c r="Q5646" s="20" t="s">
        <v>8579</v>
      </c>
    </row>
    <row r="5647" spans="1:17" ht="21">
      <c r="A5647" s="20">
        <v>461</v>
      </c>
      <c r="B5647" s="20" t="s">
        <v>4351</v>
      </c>
      <c r="C5647" s="20">
        <v>1</v>
      </c>
      <c r="D5647" s="20" t="s">
        <v>8346</v>
      </c>
      <c r="E5647" s="19" t="str">
        <f>VLOOKUP(D5647,'لیست پرسنل'!$B$2:$E$1020,3,FALSE)</f>
        <v>آهن مهام</v>
      </c>
      <c r="F5647" s="19" t="str">
        <f>VLOOKUP(D5647,'لیست پرسنل'!$B$2:$E$1020,4,FALSE)</f>
        <v>سرپرست حراست</v>
      </c>
      <c r="G5647" s="127">
        <f>VLOOKUP(D5647,'لیست پرسنل'!$B$2:$F$1020,2,FALSE)</f>
        <v>20957</v>
      </c>
      <c r="H5647" s="127" t="s">
        <v>8596</v>
      </c>
      <c r="I5647" s="127" t="s">
        <v>1794</v>
      </c>
      <c r="J5647" s="128" t="s">
        <v>3480</v>
      </c>
      <c r="K5647" s="127" t="s">
        <v>8598</v>
      </c>
      <c r="L5647" s="127" t="s">
        <v>8597</v>
      </c>
      <c r="M5647" s="128" t="s">
        <v>4371</v>
      </c>
      <c r="N5647" s="110" t="s">
        <v>3982</v>
      </c>
      <c r="O5647" s="66" t="s">
        <v>8594</v>
      </c>
      <c r="P5647" s="20"/>
      <c r="Q5647" s="20"/>
    </row>
    <row r="5648" spans="1:17" ht="21">
      <c r="A5648" s="20">
        <v>461</v>
      </c>
      <c r="B5648" s="20" t="s">
        <v>4351</v>
      </c>
      <c r="C5648" s="20">
        <v>1</v>
      </c>
      <c r="D5648" s="20" t="s">
        <v>8346</v>
      </c>
      <c r="E5648" s="19" t="str">
        <f>VLOOKUP(D5648,'لیست پرسنل'!$B$2:$E$1020,3,FALSE)</f>
        <v>آهن مهام</v>
      </c>
      <c r="F5648" s="19" t="str">
        <f>VLOOKUP(D5648,'لیست پرسنل'!$B$2:$E$1020,4,FALSE)</f>
        <v>سرپرست حراست</v>
      </c>
      <c r="G5648" s="127">
        <f>VLOOKUP(D5648,'لیست پرسنل'!$B$2:$F$1020,2,FALSE)</f>
        <v>20957</v>
      </c>
      <c r="H5648" s="127" t="s">
        <v>8596</v>
      </c>
      <c r="I5648" s="127" t="s">
        <v>1794</v>
      </c>
      <c r="J5648" s="128" t="s">
        <v>3480</v>
      </c>
      <c r="K5648" s="127" t="s">
        <v>8598</v>
      </c>
      <c r="L5648" s="127" t="s">
        <v>8599</v>
      </c>
      <c r="M5648" s="128" t="s">
        <v>4371</v>
      </c>
      <c r="N5648" s="110" t="s">
        <v>3982</v>
      </c>
      <c r="O5648" s="66" t="s">
        <v>8594</v>
      </c>
      <c r="P5648" s="20"/>
      <c r="Q5648" s="20"/>
    </row>
    <row r="5649" spans="1:17" ht="21">
      <c r="A5649" s="20">
        <v>438</v>
      </c>
      <c r="B5649" s="20"/>
      <c r="C5649" s="20"/>
      <c r="D5649" s="20" t="s">
        <v>8600</v>
      </c>
      <c r="E5649" s="19" t="str">
        <f>VLOOKUP(D5649,'لیست پرسنل'!$B$2:$E$1020,3,FALSE)</f>
        <v>گهر کوشان سپهر</v>
      </c>
      <c r="F5649" s="19" t="str">
        <f>VLOOKUP(D5649,'لیست پرسنل'!$B$2:$E$1020,4,FALSE)</f>
        <v>معماری</v>
      </c>
      <c r="G5649" s="127">
        <f>VLOOKUP(D5649,'لیست پرسنل'!$B$2:$F$1020,2,FALSE)</f>
        <v>20955</v>
      </c>
      <c r="H5649" s="127" t="s">
        <v>8606</v>
      </c>
      <c r="I5649" s="127"/>
      <c r="J5649" s="128" t="s">
        <v>8275</v>
      </c>
      <c r="K5649" s="127" t="s">
        <v>8603</v>
      </c>
      <c r="L5649" s="127" t="s">
        <v>8604</v>
      </c>
      <c r="M5649" s="127">
        <v>636227</v>
      </c>
      <c r="N5649" s="110" t="s">
        <v>8605</v>
      </c>
      <c r="O5649" s="66"/>
      <c r="P5649" s="20"/>
      <c r="Q5649" s="20"/>
    </row>
    <row r="5650" spans="1:17" ht="21">
      <c r="A5650" s="20"/>
      <c r="B5650" s="20"/>
      <c r="C5650" s="20"/>
      <c r="D5650" s="20"/>
      <c r="E5650" s="19" t="e">
        <f>VLOOKUP(D5650,'لیست پرسنل'!$B$2:$E$1020,3,FALSE)</f>
        <v>#N/A</v>
      </c>
      <c r="F5650" s="19" t="e">
        <f>VLOOKUP(D5650,'لیست پرسنل'!$B$2:$E$1020,4,FALSE)</f>
        <v>#N/A</v>
      </c>
      <c r="G5650" s="127" t="e">
        <f>VLOOKUP(D5650,'لیست پرسنل'!$B$2:$F$1020,2,FALSE)</f>
        <v>#N/A</v>
      </c>
      <c r="H5650" s="127"/>
      <c r="I5650" s="127"/>
      <c r="J5650" s="128"/>
      <c r="K5650" s="127"/>
      <c r="L5650" s="127"/>
      <c r="M5650" s="127"/>
      <c r="N5650" s="110"/>
      <c r="O5650" s="66"/>
      <c r="P5650" s="20"/>
      <c r="Q5650" s="20"/>
    </row>
    <row r="5651" spans="1:17" ht="21">
      <c r="A5651" s="20"/>
      <c r="B5651" s="20"/>
      <c r="C5651" s="20"/>
      <c r="D5651" s="20"/>
      <c r="E5651" s="19" t="e">
        <f>VLOOKUP(D5651,'لیست پرسنل'!$B$2:$E$1020,3,FALSE)</f>
        <v>#N/A</v>
      </c>
      <c r="F5651" s="19" t="e">
        <f>VLOOKUP(D5651,'لیست پرسنل'!$B$2:$E$1020,4,FALSE)</f>
        <v>#N/A</v>
      </c>
      <c r="G5651" s="127" t="e">
        <f>VLOOKUP(D5651,'لیست پرسنل'!$B$2:$F$1020,2,FALSE)</f>
        <v>#N/A</v>
      </c>
      <c r="H5651" s="127"/>
      <c r="I5651" s="127"/>
      <c r="J5651" s="128"/>
      <c r="K5651" s="127"/>
      <c r="L5651" s="127"/>
      <c r="M5651" s="127"/>
      <c r="N5651" s="110"/>
      <c r="O5651" s="66"/>
      <c r="P5651" s="20"/>
      <c r="Q5651" s="20"/>
    </row>
    <row r="5652" spans="1:17" ht="21">
      <c r="A5652" s="20"/>
      <c r="B5652" s="20"/>
      <c r="C5652" s="20"/>
      <c r="D5652" s="20"/>
      <c r="E5652" s="19" t="e">
        <f>VLOOKUP(D5652,'لیست پرسنل'!$B$2:$E$1020,3,FALSE)</f>
        <v>#N/A</v>
      </c>
      <c r="F5652" s="19" t="e">
        <f>VLOOKUP(D5652,'لیست پرسنل'!$B$2:$E$1020,4,FALSE)</f>
        <v>#N/A</v>
      </c>
      <c r="G5652" s="127" t="e">
        <f>VLOOKUP(D5652,'لیست پرسنل'!$B$2:$F$1020,2,FALSE)</f>
        <v>#N/A</v>
      </c>
      <c r="H5652" s="127"/>
      <c r="I5652" s="127"/>
      <c r="J5652" s="128"/>
      <c r="K5652" s="127"/>
      <c r="L5652" s="127"/>
      <c r="M5652" s="127"/>
      <c r="N5652" s="110"/>
      <c r="O5652" s="66"/>
      <c r="P5652" s="20"/>
      <c r="Q5652" s="20"/>
    </row>
    <row r="5653" spans="1:17" ht="21">
      <c r="A5653" s="20"/>
      <c r="B5653" s="20"/>
      <c r="C5653" s="20"/>
      <c r="D5653" s="20"/>
      <c r="E5653" s="19" t="e">
        <f>VLOOKUP(D5653,'لیست پرسنل'!$B$2:$E$1020,3,FALSE)</f>
        <v>#N/A</v>
      </c>
      <c r="F5653" s="19" t="e">
        <f>VLOOKUP(D5653,'لیست پرسنل'!$B$2:$E$1020,4,FALSE)</f>
        <v>#N/A</v>
      </c>
      <c r="G5653" s="127" t="e">
        <f>VLOOKUP(D5653,'لیست پرسنل'!$B$2:$F$1020,2,FALSE)</f>
        <v>#N/A</v>
      </c>
      <c r="H5653" s="127"/>
      <c r="I5653" s="127"/>
      <c r="J5653" s="128"/>
      <c r="K5653" s="127"/>
      <c r="L5653" s="127"/>
      <c r="M5653" s="127"/>
      <c r="N5653" s="110"/>
      <c r="O5653" s="66"/>
      <c r="P5653" s="20"/>
      <c r="Q5653" s="20"/>
    </row>
    <row r="5654" spans="1:17" ht="21">
      <c r="A5654" s="20"/>
      <c r="B5654" s="20"/>
      <c r="C5654" s="20"/>
      <c r="D5654" s="20"/>
      <c r="E5654" s="19" t="e">
        <f>VLOOKUP(D5654,'لیست پرسنل'!$B$2:$E$1020,3,FALSE)</f>
        <v>#N/A</v>
      </c>
      <c r="F5654" s="19" t="e">
        <f>VLOOKUP(D5654,'لیست پرسنل'!$B$2:$E$1020,4,FALSE)</f>
        <v>#N/A</v>
      </c>
      <c r="G5654" s="127" t="e">
        <f>VLOOKUP(D5654,'لیست پرسنل'!$B$2:$F$1020,2,FALSE)</f>
        <v>#N/A</v>
      </c>
      <c r="H5654" s="127"/>
      <c r="I5654" s="127"/>
      <c r="J5654" s="128"/>
      <c r="K5654" s="127"/>
      <c r="L5654" s="127"/>
      <c r="M5654" s="127"/>
      <c r="N5654" s="110"/>
      <c r="O5654" s="66"/>
      <c r="P5654" s="20"/>
      <c r="Q5654" s="20"/>
    </row>
    <row r="5655" spans="1:17" ht="21">
      <c r="A5655" s="20"/>
      <c r="B5655" s="20"/>
      <c r="C5655" s="20"/>
      <c r="D5655" s="20"/>
      <c r="E5655" s="19" t="e">
        <f>VLOOKUP(D5655,'لیست پرسنل'!$B$2:$E$1020,3,FALSE)</f>
        <v>#N/A</v>
      </c>
      <c r="F5655" s="19" t="e">
        <f>VLOOKUP(D5655,'لیست پرسنل'!$B$2:$E$1020,4,FALSE)</f>
        <v>#N/A</v>
      </c>
      <c r="G5655" s="127" t="e">
        <f>VLOOKUP(D5655,'لیست پرسنل'!$B$2:$F$1020,2,FALSE)</f>
        <v>#N/A</v>
      </c>
      <c r="H5655" s="127"/>
      <c r="I5655" s="127"/>
      <c r="J5655" s="128"/>
      <c r="K5655" s="127"/>
      <c r="L5655" s="127"/>
      <c r="M5655" s="127"/>
      <c r="N5655" s="110"/>
      <c r="O5655" s="66"/>
      <c r="P5655" s="20"/>
      <c r="Q5655" s="20"/>
    </row>
    <row r="5656" spans="1:17" ht="21">
      <c r="A5656" s="20"/>
      <c r="B5656" s="20"/>
      <c r="C5656" s="20"/>
      <c r="D5656" s="20"/>
      <c r="E5656" s="19" t="e">
        <f>VLOOKUP(D5656,'لیست پرسنل'!$B$2:$E$1020,3,FALSE)</f>
        <v>#N/A</v>
      </c>
      <c r="F5656" s="19" t="e">
        <f>VLOOKUP(D5656,'لیست پرسنل'!$B$2:$E$1020,4,FALSE)</f>
        <v>#N/A</v>
      </c>
      <c r="G5656" s="127" t="e">
        <f>VLOOKUP(D5656,'لیست پرسنل'!$B$2:$F$1020,2,FALSE)</f>
        <v>#N/A</v>
      </c>
      <c r="H5656" s="127"/>
      <c r="I5656" s="127"/>
      <c r="J5656" s="128"/>
      <c r="K5656" s="127"/>
      <c r="L5656" s="127"/>
      <c r="M5656" s="127"/>
      <c r="N5656" s="110"/>
      <c r="O5656" s="66"/>
      <c r="P5656" s="20"/>
      <c r="Q5656" s="20"/>
    </row>
    <row r="5657" spans="1:17" ht="21">
      <c r="A5657" s="20"/>
      <c r="B5657" s="20"/>
      <c r="C5657" s="20"/>
      <c r="D5657" s="20"/>
      <c r="E5657" s="19" t="e">
        <f>VLOOKUP(D5657,'لیست پرسنل'!$B$2:$E$1020,3,FALSE)</f>
        <v>#N/A</v>
      </c>
      <c r="F5657" s="19" t="e">
        <f>VLOOKUP(D5657,'لیست پرسنل'!$B$2:$E$1020,4,FALSE)</f>
        <v>#N/A</v>
      </c>
      <c r="G5657" s="127" t="e">
        <f>VLOOKUP(D5657,'لیست پرسنل'!$B$2:$F$1020,2,FALSE)</f>
        <v>#N/A</v>
      </c>
      <c r="H5657" s="127"/>
      <c r="I5657" s="127"/>
      <c r="J5657" s="128"/>
      <c r="K5657" s="127"/>
      <c r="L5657" s="127"/>
      <c r="M5657" s="127"/>
      <c r="N5657" s="110"/>
      <c r="O5657" s="66"/>
      <c r="P5657" s="20"/>
      <c r="Q5657" s="20"/>
    </row>
    <row r="5658" spans="1:17" ht="21">
      <c r="A5658" s="20"/>
      <c r="B5658" s="20"/>
      <c r="C5658" s="20"/>
      <c r="D5658" s="20"/>
      <c r="E5658" s="19" t="e">
        <f>VLOOKUP(D5658,'لیست پرسنل'!$B$2:$E$1020,3,FALSE)</f>
        <v>#N/A</v>
      </c>
      <c r="F5658" s="19" t="e">
        <f>VLOOKUP(D5658,'لیست پرسنل'!$B$2:$E$1020,4,FALSE)</f>
        <v>#N/A</v>
      </c>
      <c r="G5658" s="127" t="e">
        <f>VLOOKUP(D5658,'لیست پرسنل'!$B$2:$F$1020,2,FALSE)</f>
        <v>#N/A</v>
      </c>
      <c r="H5658" s="127"/>
      <c r="I5658" s="127"/>
      <c r="J5658" s="128"/>
      <c r="K5658" s="127"/>
      <c r="L5658" s="127"/>
      <c r="M5658" s="127"/>
      <c r="N5658" s="110"/>
      <c r="O5658" s="66"/>
      <c r="P5658" s="20"/>
      <c r="Q5658" s="20"/>
    </row>
    <row r="5659" spans="1:17" ht="21">
      <c r="A5659" s="20"/>
      <c r="B5659" s="20"/>
      <c r="C5659" s="20"/>
      <c r="D5659" s="20"/>
      <c r="E5659" s="19" t="e">
        <f>VLOOKUP(D5659,'لیست پرسنل'!$B$2:$E$1020,3,FALSE)</f>
        <v>#N/A</v>
      </c>
      <c r="F5659" s="19" t="e">
        <f>VLOOKUP(D5659,'لیست پرسنل'!$B$2:$E$1020,4,FALSE)</f>
        <v>#N/A</v>
      </c>
      <c r="G5659" s="127" t="e">
        <f>VLOOKUP(D5659,'لیست پرسنل'!$B$2:$F$1020,2,FALSE)</f>
        <v>#N/A</v>
      </c>
      <c r="H5659" s="127"/>
      <c r="I5659" s="127"/>
      <c r="J5659" s="128"/>
      <c r="K5659" s="127"/>
      <c r="L5659" s="127"/>
      <c r="M5659" s="127"/>
      <c r="N5659" s="110"/>
      <c r="O5659" s="66"/>
      <c r="P5659" s="20"/>
      <c r="Q5659" s="20"/>
    </row>
    <row r="5660" spans="1:17" ht="21">
      <c r="A5660" s="20"/>
      <c r="B5660" s="20"/>
      <c r="C5660" s="20"/>
      <c r="D5660" s="20"/>
      <c r="E5660" s="19" t="e">
        <f>VLOOKUP(D5660,'لیست پرسنل'!$B$2:$E$1020,3,FALSE)</f>
        <v>#N/A</v>
      </c>
      <c r="F5660" s="19" t="e">
        <f>VLOOKUP(D5660,'لیست پرسنل'!$B$2:$E$1020,4,FALSE)</f>
        <v>#N/A</v>
      </c>
      <c r="G5660" s="127" t="e">
        <f>VLOOKUP(D5660,'لیست پرسنل'!$B$2:$F$1020,2,FALSE)</f>
        <v>#N/A</v>
      </c>
      <c r="H5660" s="127"/>
      <c r="I5660" s="127"/>
      <c r="J5660" s="128"/>
      <c r="K5660" s="127"/>
      <c r="L5660" s="127"/>
      <c r="M5660" s="127"/>
      <c r="N5660" s="110"/>
      <c r="O5660" s="66"/>
      <c r="P5660" s="20"/>
      <c r="Q5660" s="20"/>
    </row>
    <row r="5661" spans="1:17" ht="21">
      <c r="A5661" s="20"/>
      <c r="B5661" s="20"/>
      <c r="C5661" s="20"/>
      <c r="D5661" s="20"/>
      <c r="E5661" s="19" t="e">
        <f>VLOOKUP(D5661,'لیست پرسنل'!$B$2:$E$1020,3,FALSE)</f>
        <v>#N/A</v>
      </c>
      <c r="F5661" s="19" t="e">
        <f>VLOOKUP(D5661,'لیست پرسنل'!$B$2:$E$1020,4,FALSE)</f>
        <v>#N/A</v>
      </c>
      <c r="G5661" s="127" t="e">
        <f>VLOOKUP(D5661,'لیست پرسنل'!$B$2:$F$1020,2,FALSE)</f>
        <v>#N/A</v>
      </c>
      <c r="H5661" s="127"/>
      <c r="I5661" s="127"/>
      <c r="J5661" s="128"/>
      <c r="K5661" s="127"/>
      <c r="L5661" s="127"/>
      <c r="M5661" s="127"/>
      <c r="N5661" s="110"/>
      <c r="O5661" s="66"/>
      <c r="P5661" s="20"/>
      <c r="Q5661" s="20"/>
    </row>
    <row r="5662" spans="1:17" ht="21">
      <c r="A5662" s="20"/>
      <c r="B5662" s="20"/>
      <c r="C5662" s="20"/>
      <c r="D5662" s="20"/>
      <c r="E5662" s="19" t="e">
        <f>VLOOKUP(D5662,'لیست پرسنل'!$B$2:$E$1020,3,FALSE)</f>
        <v>#N/A</v>
      </c>
      <c r="F5662" s="19" t="e">
        <f>VLOOKUP(D5662,'لیست پرسنل'!$B$2:$E$1020,4,FALSE)</f>
        <v>#N/A</v>
      </c>
      <c r="G5662" s="127" t="e">
        <f>VLOOKUP(D5662,'لیست پرسنل'!$B$2:$F$1020,2,FALSE)</f>
        <v>#N/A</v>
      </c>
      <c r="H5662" s="127"/>
      <c r="I5662" s="127"/>
      <c r="J5662" s="128"/>
      <c r="K5662" s="127"/>
      <c r="L5662" s="127"/>
      <c r="M5662" s="127"/>
      <c r="N5662" s="110"/>
      <c r="O5662" s="66"/>
      <c r="P5662" s="20"/>
      <c r="Q5662" s="20"/>
    </row>
    <row r="5663" spans="1:17" ht="21">
      <c r="A5663" s="20"/>
      <c r="B5663" s="20"/>
      <c r="C5663" s="20"/>
      <c r="D5663" s="20"/>
      <c r="E5663" s="19" t="e">
        <f>VLOOKUP(D5663,'لیست پرسنل'!$B$2:$E$1020,3,FALSE)</f>
        <v>#N/A</v>
      </c>
      <c r="F5663" s="19" t="e">
        <f>VLOOKUP(D5663,'لیست پرسنل'!$B$2:$E$1020,4,FALSE)</f>
        <v>#N/A</v>
      </c>
      <c r="G5663" s="127" t="e">
        <f>VLOOKUP(D5663,'لیست پرسنل'!$B$2:$F$1020,2,FALSE)</f>
        <v>#N/A</v>
      </c>
      <c r="H5663" s="127"/>
      <c r="I5663" s="127"/>
      <c r="J5663" s="128"/>
      <c r="K5663" s="127"/>
      <c r="L5663" s="127"/>
      <c r="M5663" s="127"/>
      <c r="N5663" s="110"/>
      <c r="O5663" s="66"/>
      <c r="P5663" s="20"/>
      <c r="Q5663" s="20"/>
    </row>
    <row r="5664" spans="1:17" ht="21">
      <c r="A5664" s="20"/>
      <c r="B5664" s="20"/>
      <c r="C5664" s="20"/>
      <c r="D5664" s="20"/>
      <c r="E5664" s="19" t="e">
        <f>VLOOKUP(D5664,'لیست پرسنل'!$B$2:$E$1020,3,FALSE)</f>
        <v>#N/A</v>
      </c>
      <c r="F5664" s="19" t="e">
        <f>VLOOKUP(D5664,'لیست پرسنل'!$B$2:$E$1020,4,FALSE)</f>
        <v>#N/A</v>
      </c>
      <c r="G5664" s="127" t="e">
        <f>VLOOKUP(D5664,'لیست پرسنل'!$B$2:$F$1020,2,FALSE)</f>
        <v>#N/A</v>
      </c>
      <c r="H5664" s="127"/>
      <c r="I5664" s="127"/>
      <c r="J5664" s="128"/>
      <c r="K5664" s="127"/>
      <c r="L5664" s="127"/>
      <c r="M5664" s="127"/>
      <c r="N5664" s="110"/>
      <c r="O5664" s="66"/>
      <c r="P5664" s="20"/>
      <c r="Q5664" s="20"/>
    </row>
    <row r="5665" spans="1:17" ht="21">
      <c r="A5665" s="20"/>
      <c r="B5665" s="20"/>
      <c r="C5665" s="20"/>
      <c r="D5665" s="20"/>
      <c r="E5665" s="19" t="e">
        <f>VLOOKUP(D5665,'لیست پرسنل'!$B$2:$E$1020,3,FALSE)</f>
        <v>#N/A</v>
      </c>
      <c r="F5665" s="19" t="e">
        <f>VLOOKUP(D5665,'لیست پرسنل'!$B$2:$E$1020,4,FALSE)</f>
        <v>#N/A</v>
      </c>
      <c r="G5665" s="127" t="e">
        <f>VLOOKUP(D5665,'لیست پرسنل'!$B$2:$F$1020,2,FALSE)</f>
        <v>#N/A</v>
      </c>
      <c r="H5665" s="127"/>
      <c r="I5665" s="127"/>
      <c r="J5665" s="128"/>
      <c r="K5665" s="127"/>
      <c r="L5665" s="127"/>
      <c r="M5665" s="127"/>
      <c r="N5665" s="110"/>
      <c r="O5665" s="66"/>
      <c r="P5665" s="20"/>
      <c r="Q5665" s="20"/>
    </row>
    <row r="5666" spans="1:17" ht="21">
      <c r="A5666" s="20"/>
      <c r="B5666" s="20"/>
      <c r="C5666" s="20"/>
      <c r="D5666" s="20"/>
      <c r="E5666" s="19" t="e">
        <f>VLOOKUP(D5666,'لیست پرسنل'!$B$2:$E$1020,3,FALSE)</f>
        <v>#N/A</v>
      </c>
      <c r="F5666" s="19" t="e">
        <f>VLOOKUP(D5666,'لیست پرسنل'!$B$2:$E$1020,4,FALSE)</f>
        <v>#N/A</v>
      </c>
      <c r="G5666" s="127" t="e">
        <f>VLOOKUP(D5666,'لیست پرسنل'!$B$2:$F$1020,2,FALSE)</f>
        <v>#N/A</v>
      </c>
      <c r="H5666" s="127"/>
      <c r="I5666" s="127"/>
      <c r="J5666" s="128"/>
      <c r="K5666" s="127"/>
      <c r="L5666" s="127"/>
      <c r="M5666" s="127"/>
      <c r="N5666" s="110"/>
      <c r="O5666" s="66"/>
      <c r="P5666" s="20"/>
      <c r="Q5666" s="20"/>
    </row>
    <row r="5667" spans="1:17" ht="21">
      <c r="A5667" s="20"/>
      <c r="B5667" s="20"/>
      <c r="C5667" s="20"/>
      <c r="D5667" s="20"/>
      <c r="E5667" s="19" t="e">
        <f>VLOOKUP(D5667,'لیست پرسنل'!$B$2:$E$1020,3,FALSE)</f>
        <v>#N/A</v>
      </c>
      <c r="F5667" s="19" t="e">
        <f>VLOOKUP(D5667,'لیست پرسنل'!$B$2:$E$1020,4,FALSE)</f>
        <v>#N/A</v>
      </c>
      <c r="G5667" s="127" t="e">
        <f>VLOOKUP(D5667,'لیست پرسنل'!$B$2:$F$1020,2,FALSE)</f>
        <v>#N/A</v>
      </c>
      <c r="H5667" s="127"/>
      <c r="I5667" s="127"/>
      <c r="J5667" s="128"/>
      <c r="K5667" s="127"/>
      <c r="L5667" s="127"/>
      <c r="M5667" s="127"/>
      <c r="N5667" s="110"/>
      <c r="O5667" s="66"/>
      <c r="P5667" s="20"/>
      <c r="Q5667" s="20"/>
    </row>
    <row r="5668" spans="1:17" ht="21">
      <c r="A5668" s="20"/>
      <c r="B5668" s="20"/>
      <c r="C5668" s="20"/>
      <c r="D5668" s="20"/>
      <c r="E5668" s="19" t="e">
        <f>VLOOKUP(D5668,'لیست پرسنل'!$B$2:$E$1020,3,FALSE)</f>
        <v>#N/A</v>
      </c>
      <c r="F5668" s="19" t="e">
        <f>VLOOKUP(D5668,'لیست پرسنل'!$B$2:$E$1020,4,FALSE)</f>
        <v>#N/A</v>
      </c>
      <c r="G5668" s="127" t="e">
        <f>VLOOKUP(D5668,'لیست پرسنل'!$B$2:$F$1020,2,FALSE)</f>
        <v>#N/A</v>
      </c>
      <c r="H5668" s="127"/>
      <c r="I5668" s="127"/>
      <c r="J5668" s="128"/>
      <c r="K5668" s="127"/>
      <c r="L5668" s="127"/>
      <c r="M5668" s="127"/>
      <c r="N5668" s="110"/>
      <c r="O5668" s="66"/>
      <c r="P5668" s="20"/>
      <c r="Q5668" s="20"/>
    </row>
    <row r="5669" spans="1:17" ht="21">
      <c r="A5669" s="20"/>
      <c r="B5669" s="20"/>
      <c r="C5669" s="20"/>
      <c r="D5669" s="20"/>
      <c r="E5669" s="19" t="e">
        <f>VLOOKUP(D5669,'لیست پرسنل'!$B$2:$E$1020,3,FALSE)</f>
        <v>#N/A</v>
      </c>
      <c r="F5669" s="19" t="e">
        <f>VLOOKUP(D5669,'لیست پرسنل'!$B$2:$E$1020,4,FALSE)</f>
        <v>#N/A</v>
      </c>
      <c r="G5669" s="127" t="e">
        <f>VLOOKUP(D5669,'لیست پرسنل'!$B$2:$F$1020,2,FALSE)</f>
        <v>#N/A</v>
      </c>
      <c r="H5669" s="127"/>
      <c r="I5669" s="127"/>
      <c r="J5669" s="128"/>
      <c r="K5669" s="127"/>
      <c r="L5669" s="127"/>
      <c r="M5669" s="127"/>
      <c r="N5669" s="110"/>
      <c r="O5669" s="66"/>
      <c r="P5669" s="20"/>
      <c r="Q5669" s="20"/>
    </row>
    <row r="5670" spans="1:17" ht="21">
      <c r="A5670" s="20"/>
      <c r="B5670" s="20"/>
      <c r="C5670" s="20"/>
      <c r="D5670" s="20"/>
      <c r="E5670" s="19" t="e">
        <f>VLOOKUP(D5670,'لیست پرسنل'!$B$2:$E$1020,3,FALSE)</f>
        <v>#N/A</v>
      </c>
      <c r="F5670" s="19" t="e">
        <f>VLOOKUP(D5670,'لیست پرسنل'!$B$2:$E$1020,4,FALSE)</f>
        <v>#N/A</v>
      </c>
      <c r="G5670" s="127" t="e">
        <f>VLOOKUP(D5670,'لیست پرسنل'!$B$2:$F$1020,2,FALSE)</f>
        <v>#N/A</v>
      </c>
      <c r="H5670" s="127"/>
      <c r="I5670" s="127"/>
      <c r="J5670" s="128"/>
      <c r="K5670" s="127"/>
      <c r="L5670" s="127"/>
      <c r="M5670" s="127"/>
      <c r="N5670" s="110"/>
      <c r="O5670" s="66"/>
      <c r="P5670" s="20"/>
      <c r="Q5670" s="20"/>
    </row>
    <row r="5671" spans="1:17" ht="21">
      <c r="A5671" s="20"/>
      <c r="B5671" s="20"/>
      <c r="C5671" s="20"/>
      <c r="D5671" s="20"/>
      <c r="E5671" s="19" t="e">
        <f>VLOOKUP(D5671,'لیست پرسنل'!$B$2:$E$1020,3,FALSE)</f>
        <v>#N/A</v>
      </c>
      <c r="F5671" s="19" t="e">
        <f>VLOOKUP(D5671,'لیست پرسنل'!$B$2:$E$1020,4,FALSE)</f>
        <v>#N/A</v>
      </c>
      <c r="G5671" s="127" t="e">
        <f>VLOOKUP(D5671,'لیست پرسنل'!$B$2:$F$1020,2,FALSE)</f>
        <v>#N/A</v>
      </c>
      <c r="H5671" s="127"/>
      <c r="I5671" s="127"/>
      <c r="J5671" s="128"/>
      <c r="K5671" s="127"/>
      <c r="L5671" s="127"/>
      <c r="M5671" s="127"/>
      <c r="N5671" s="110"/>
      <c r="O5671" s="66"/>
      <c r="P5671" s="20"/>
      <c r="Q5671" s="20"/>
    </row>
    <row r="5672" spans="1:17" ht="21">
      <c r="A5672" s="20"/>
      <c r="B5672" s="20"/>
      <c r="C5672" s="20"/>
      <c r="D5672" s="20"/>
      <c r="E5672" s="19" t="e">
        <f>VLOOKUP(D5672,'لیست پرسنل'!$B$2:$E$1020,3,FALSE)</f>
        <v>#N/A</v>
      </c>
      <c r="F5672" s="19" t="e">
        <f>VLOOKUP(D5672,'لیست پرسنل'!$B$2:$E$1020,4,FALSE)</f>
        <v>#N/A</v>
      </c>
      <c r="G5672" s="127" t="e">
        <f>VLOOKUP(D5672,'لیست پرسنل'!$B$2:$F$1020,2,FALSE)</f>
        <v>#N/A</v>
      </c>
      <c r="H5672" s="127"/>
      <c r="I5672" s="127"/>
      <c r="J5672" s="128"/>
      <c r="K5672" s="127"/>
      <c r="L5672" s="127"/>
      <c r="M5672" s="127"/>
      <c r="N5672" s="110"/>
      <c r="O5672" s="66"/>
      <c r="P5672" s="20"/>
      <c r="Q5672" s="20"/>
    </row>
    <row r="5673" spans="1:17" ht="21">
      <c r="A5673" s="20"/>
      <c r="B5673" s="20"/>
      <c r="C5673" s="20"/>
      <c r="D5673" s="20"/>
      <c r="E5673" s="19" t="e">
        <f>VLOOKUP(D5673,'لیست پرسنل'!$B$2:$E$1020,3,FALSE)</f>
        <v>#N/A</v>
      </c>
      <c r="F5673" s="19" t="e">
        <f>VLOOKUP(D5673,'لیست پرسنل'!$B$2:$E$1020,4,FALSE)</f>
        <v>#N/A</v>
      </c>
      <c r="G5673" s="127" t="e">
        <f>VLOOKUP(D5673,'لیست پرسنل'!$B$2:$F$1020,2,FALSE)</f>
        <v>#N/A</v>
      </c>
      <c r="H5673" s="127"/>
      <c r="I5673" s="127"/>
      <c r="J5673" s="128"/>
      <c r="K5673" s="127"/>
      <c r="L5673" s="127"/>
      <c r="M5673" s="127"/>
      <c r="N5673" s="110"/>
      <c r="O5673" s="66"/>
      <c r="P5673" s="20"/>
      <c r="Q5673" s="20"/>
    </row>
    <row r="5674" spans="1:17" ht="21">
      <c r="A5674" s="20"/>
      <c r="B5674" s="20"/>
      <c r="C5674" s="20"/>
      <c r="D5674" s="20"/>
      <c r="E5674" s="19" t="e">
        <f>VLOOKUP(D5674,'لیست پرسنل'!$B$2:$E$1020,3,FALSE)</f>
        <v>#N/A</v>
      </c>
      <c r="F5674" s="19" t="e">
        <f>VLOOKUP(D5674,'لیست پرسنل'!$B$2:$E$1020,4,FALSE)</f>
        <v>#N/A</v>
      </c>
      <c r="G5674" s="127" t="e">
        <f>VLOOKUP(D5674,'لیست پرسنل'!$B$2:$F$1020,2,FALSE)</f>
        <v>#N/A</v>
      </c>
      <c r="H5674" s="127"/>
      <c r="I5674" s="127"/>
      <c r="J5674" s="128"/>
      <c r="K5674" s="127"/>
      <c r="L5674" s="127"/>
      <c r="M5674" s="127"/>
      <c r="N5674" s="110"/>
      <c r="O5674" s="66"/>
      <c r="P5674" s="20"/>
      <c r="Q5674" s="20"/>
    </row>
    <row r="5675" spans="1:17" ht="21">
      <c r="A5675" s="20"/>
      <c r="B5675" s="20"/>
      <c r="C5675" s="20"/>
      <c r="D5675" s="20"/>
      <c r="E5675" s="19" t="e">
        <f>VLOOKUP(D5675,'لیست پرسنل'!$B$2:$E$1020,3,FALSE)</f>
        <v>#N/A</v>
      </c>
      <c r="F5675" s="19" t="e">
        <f>VLOOKUP(D5675,'لیست پرسنل'!$B$2:$E$1020,4,FALSE)</f>
        <v>#N/A</v>
      </c>
      <c r="G5675" s="127" t="e">
        <f>VLOOKUP(D5675,'لیست پرسنل'!$B$2:$F$1020,2,FALSE)</f>
        <v>#N/A</v>
      </c>
      <c r="H5675" s="127"/>
      <c r="I5675" s="127"/>
      <c r="J5675" s="128"/>
      <c r="K5675" s="127"/>
      <c r="L5675" s="127"/>
      <c r="M5675" s="127"/>
      <c r="N5675" s="110"/>
      <c r="O5675" s="66"/>
      <c r="P5675" s="20"/>
      <c r="Q5675" s="20"/>
    </row>
    <row r="5676" spans="1:17" ht="21">
      <c r="A5676" s="20"/>
      <c r="B5676" s="20"/>
      <c r="C5676" s="20"/>
      <c r="D5676" s="20"/>
      <c r="E5676" s="19" t="e">
        <f>VLOOKUP(D5676,'لیست پرسنل'!$B$2:$E$1020,3,FALSE)</f>
        <v>#N/A</v>
      </c>
      <c r="F5676" s="19" t="e">
        <f>VLOOKUP(D5676,'لیست پرسنل'!$B$2:$E$1020,4,FALSE)</f>
        <v>#N/A</v>
      </c>
      <c r="G5676" s="127" t="e">
        <f>VLOOKUP(D5676,'لیست پرسنل'!$B$2:$F$1020,2,FALSE)</f>
        <v>#N/A</v>
      </c>
      <c r="H5676" s="127"/>
      <c r="I5676" s="127"/>
      <c r="J5676" s="128"/>
      <c r="K5676" s="127"/>
      <c r="L5676" s="127"/>
      <c r="M5676" s="127"/>
      <c r="N5676" s="110"/>
      <c r="O5676" s="66"/>
      <c r="P5676" s="20"/>
      <c r="Q5676" s="20"/>
    </row>
    <row r="5677" spans="1:17" ht="21">
      <c r="A5677" s="20"/>
      <c r="B5677" s="20"/>
      <c r="C5677" s="20"/>
      <c r="D5677" s="20"/>
      <c r="E5677" s="19" t="e">
        <f>VLOOKUP(D5677,'لیست پرسنل'!$B$2:$E$1020,3,FALSE)</f>
        <v>#N/A</v>
      </c>
      <c r="F5677" s="19" t="e">
        <f>VLOOKUP(D5677,'لیست پرسنل'!$B$2:$E$1020,4,FALSE)</f>
        <v>#N/A</v>
      </c>
      <c r="G5677" s="127" t="e">
        <f>VLOOKUP(D5677,'لیست پرسنل'!$B$2:$F$1020,2,FALSE)</f>
        <v>#N/A</v>
      </c>
      <c r="H5677" s="127"/>
      <c r="I5677" s="127"/>
      <c r="J5677" s="128"/>
      <c r="K5677" s="127"/>
      <c r="L5677" s="127"/>
      <c r="M5677" s="127"/>
      <c r="N5677" s="110"/>
      <c r="O5677" s="66"/>
      <c r="P5677" s="20"/>
      <c r="Q5677" s="20"/>
    </row>
    <row r="5678" spans="1:17" ht="21">
      <c r="A5678" s="20"/>
      <c r="B5678" s="20"/>
      <c r="C5678" s="20"/>
      <c r="D5678" s="20"/>
      <c r="E5678" s="19" t="e">
        <f>VLOOKUP(D5678,'لیست پرسنل'!$B$2:$E$1020,3,FALSE)</f>
        <v>#N/A</v>
      </c>
      <c r="F5678" s="19" t="e">
        <f>VLOOKUP(D5678,'لیست پرسنل'!$B$2:$E$1020,4,FALSE)</f>
        <v>#N/A</v>
      </c>
      <c r="G5678" s="127" t="e">
        <f>VLOOKUP(D5678,'لیست پرسنل'!$B$2:$F$1020,2,FALSE)</f>
        <v>#N/A</v>
      </c>
      <c r="H5678" s="127"/>
      <c r="I5678" s="127"/>
      <c r="J5678" s="128"/>
      <c r="K5678" s="127"/>
      <c r="L5678" s="127"/>
      <c r="M5678" s="127"/>
      <c r="N5678" s="110"/>
      <c r="O5678" s="66"/>
      <c r="P5678" s="20"/>
      <c r="Q5678" s="20"/>
    </row>
    <row r="5679" spans="1:17" ht="21">
      <c r="A5679" s="20"/>
      <c r="B5679" s="20"/>
      <c r="C5679" s="20"/>
      <c r="D5679" s="20"/>
      <c r="E5679" s="19" t="e">
        <f>VLOOKUP(D5679,'لیست پرسنل'!$B$2:$E$1020,3,FALSE)</f>
        <v>#N/A</v>
      </c>
      <c r="F5679" s="19" t="e">
        <f>VLOOKUP(D5679,'لیست پرسنل'!$B$2:$E$1020,4,FALSE)</f>
        <v>#N/A</v>
      </c>
      <c r="G5679" s="127" t="e">
        <f>VLOOKUP(D5679,'لیست پرسنل'!$B$2:$F$1020,2,FALSE)</f>
        <v>#N/A</v>
      </c>
      <c r="H5679" s="127"/>
      <c r="I5679" s="127"/>
      <c r="J5679" s="128"/>
      <c r="K5679" s="127"/>
      <c r="L5679" s="127"/>
      <c r="M5679" s="127"/>
      <c r="N5679" s="110"/>
      <c r="O5679" s="66"/>
      <c r="P5679" s="20"/>
      <c r="Q5679" s="20"/>
    </row>
    <row r="5680" spans="1:17" ht="21">
      <c r="A5680" s="20"/>
      <c r="B5680" s="20"/>
      <c r="C5680" s="20"/>
      <c r="D5680" s="20"/>
      <c r="E5680" s="19" t="e">
        <f>VLOOKUP(D5680,'لیست پرسنل'!$B$2:$E$1020,3,FALSE)</f>
        <v>#N/A</v>
      </c>
      <c r="F5680" s="19" t="e">
        <f>VLOOKUP(D5680,'لیست پرسنل'!$B$2:$E$1020,4,FALSE)</f>
        <v>#N/A</v>
      </c>
      <c r="G5680" s="127" t="e">
        <f>VLOOKUP(D5680,'لیست پرسنل'!$B$2:$F$1020,2,FALSE)</f>
        <v>#N/A</v>
      </c>
      <c r="H5680" s="127"/>
      <c r="I5680" s="127"/>
      <c r="J5680" s="128"/>
      <c r="K5680" s="127"/>
      <c r="L5680" s="127"/>
      <c r="M5680" s="127"/>
      <c r="N5680" s="110"/>
      <c r="O5680" s="66"/>
      <c r="P5680" s="20"/>
      <c r="Q5680" s="20"/>
    </row>
    <row r="5681" spans="1:17" ht="21">
      <c r="A5681" s="20"/>
      <c r="B5681" s="20"/>
      <c r="C5681" s="20"/>
      <c r="D5681" s="20"/>
      <c r="E5681" s="19" t="e">
        <f>VLOOKUP(D5681,'لیست پرسنل'!$B$2:$E$1020,3,FALSE)</f>
        <v>#N/A</v>
      </c>
      <c r="F5681" s="19" t="e">
        <f>VLOOKUP(D5681,'لیست پرسنل'!$B$2:$E$1020,4,FALSE)</f>
        <v>#N/A</v>
      </c>
      <c r="G5681" s="127" t="e">
        <f>VLOOKUP(D5681,'لیست پرسنل'!$B$2:$F$1020,2,FALSE)</f>
        <v>#N/A</v>
      </c>
      <c r="H5681" s="127"/>
      <c r="I5681" s="127"/>
      <c r="J5681" s="128"/>
      <c r="K5681" s="127"/>
      <c r="L5681" s="127"/>
      <c r="M5681" s="127"/>
      <c r="N5681" s="110"/>
      <c r="O5681" s="66"/>
      <c r="P5681" s="20"/>
      <c r="Q5681" s="20"/>
    </row>
    <row r="5682" spans="1:17" ht="21">
      <c r="A5682" s="20"/>
      <c r="B5682" s="20"/>
      <c r="C5682" s="20"/>
      <c r="D5682" s="20"/>
      <c r="E5682" s="19" t="e">
        <f>VLOOKUP(D5682,'لیست پرسنل'!$B$2:$E$1020,3,FALSE)</f>
        <v>#N/A</v>
      </c>
      <c r="F5682" s="19" t="e">
        <f>VLOOKUP(D5682,'لیست پرسنل'!$B$2:$E$1020,4,FALSE)</f>
        <v>#N/A</v>
      </c>
      <c r="G5682" s="127" t="e">
        <f>VLOOKUP(D5682,'لیست پرسنل'!$B$2:$F$1020,2,FALSE)</f>
        <v>#N/A</v>
      </c>
      <c r="H5682" s="127"/>
      <c r="I5682" s="127"/>
      <c r="J5682" s="128"/>
      <c r="K5682" s="127"/>
      <c r="L5682" s="127"/>
      <c r="M5682" s="127"/>
      <c r="N5682" s="110"/>
      <c r="O5682" s="66"/>
      <c r="P5682" s="20"/>
      <c r="Q5682" s="20"/>
    </row>
    <row r="5683" spans="1:17" ht="21">
      <c r="A5683" s="20"/>
      <c r="B5683" s="20"/>
      <c r="C5683" s="20"/>
      <c r="D5683" s="20"/>
      <c r="E5683" s="19" t="e">
        <f>VLOOKUP(D5683,'لیست پرسنل'!$B$2:$E$1020,3,FALSE)</f>
        <v>#N/A</v>
      </c>
      <c r="F5683" s="19" t="e">
        <f>VLOOKUP(D5683,'لیست پرسنل'!$B$2:$E$1020,4,FALSE)</f>
        <v>#N/A</v>
      </c>
      <c r="G5683" s="127" t="e">
        <f>VLOOKUP(D5683,'لیست پرسنل'!$B$2:$F$1020,2,FALSE)</f>
        <v>#N/A</v>
      </c>
      <c r="H5683" s="127"/>
      <c r="I5683" s="127"/>
      <c r="J5683" s="128"/>
      <c r="K5683" s="127"/>
      <c r="L5683" s="127"/>
      <c r="M5683" s="127"/>
      <c r="N5683" s="110"/>
      <c r="O5683" s="66"/>
      <c r="P5683" s="20"/>
      <c r="Q5683" s="20"/>
    </row>
    <row r="5684" spans="1:17" ht="21">
      <c r="A5684" s="20"/>
      <c r="B5684" s="20"/>
      <c r="C5684" s="20"/>
      <c r="D5684" s="20"/>
      <c r="E5684" s="19" t="e">
        <f>VLOOKUP(D5684,'لیست پرسنل'!$B$2:$E$1020,3,FALSE)</f>
        <v>#N/A</v>
      </c>
      <c r="F5684" s="19" t="e">
        <f>VLOOKUP(D5684,'لیست پرسنل'!$B$2:$E$1020,4,FALSE)</f>
        <v>#N/A</v>
      </c>
      <c r="G5684" s="127" t="e">
        <f>VLOOKUP(D5684,'لیست پرسنل'!$B$2:$F$1020,2,FALSE)</f>
        <v>#N/A</v>
      </c>
      <c r="H5684" s="127"/>
      <c r="I5684" s="127"/>
      <c r="J5684" s="128"/>
      <c r="K5684" s="127"/>
      <c r="L5684" s="127"/>
      <c r="M5684" s="127"/>
      <c r="N5684" s="110"/>
      <c r="O5684" s="66"/>
      <c r="P5684" s="20"/>
      <c r="Q5684" s="20"/>
    </row>
    <row r="5685" spans="1:17" ht="21">
      <c r="A5685" s="20"/>
      <c r="B5685" s="20"/>
      <c r="C5685" s="20"/>
      <c r="D5685" s="20"/>
      <c r="E5685" s="19" t="e">
        <f>VLOOKUP(D5685,'لیست پرسنل'!$B$2:$E$1020,3,FALSE)</f>
        <v>#N/A</v>
      </c>
      <c r="F5685" s="19" t="e">
        <f>VLOOKUP(D5685,'لیست پرسنل'!$B$2:$E$1020,4,FALSE)</f>
        <v>#N/A</v>
      </c>
      <c r="G5685" s="127" t="e">
        <f>VLOOKUP(D5685,'لیست پرسنل'!$B$2:$F$1020,2,FALSE)</f>
        <v>#N/A</v>
      </c>
      <c r="H5685" s="127"/>
      <c r="I5685" s="127"/>
      <c r="J5685" s="128"/>
      <c r="K5685" s="127"/>
      <c r="L5685" s="127"/>
      <c r="M5685" s="127"/>
      <c r="N5685" s="110"/>
      <c r="O5685" s="66"/>
      <c r="P5685" s="20"/>
      <c r="Q5685" s="20"/>
    </row>
    <row r="5686" spans="1:17" ht="21">
      <c r="A5686" s="20"/>
      <c r="B5686" s="20"/>
      <c r="C5686" s="20"/>
      <c r="D5686" s="20"/>
      <c r="E5686" s="19" t="e">
        <f>VLOOKUP(D5686,'لیست پرسنل'!$B$2:$E$1020,3,FALSE)</f>
        <v>#N/A</v>
      </c>
      <c r="F5686" s="19" t="e">
        <f>VLOOKUP(D5686,'لیست پرسنل'!$B$2:$E$1020,4,FALSE)</f>
        <v>#N/A</v>
      </c>
      <c r="G5686" s="127" t="e">
        <f>VLOOKUP(D5686,'لیست پرسنل'!$B$2:$F$1020,2,FALSE)</f>
        <v>#N/A</v>
      </c>
      <c r="H5686" s="127"/>
      <c r="I5686" s="127"/>
      <c r="J5686" s="128"/>
      <c r="K5686" s="127"/>
      <c r="L5686" s="127"/>
      <c r="M5686" s="127"/>
      <c r="N5686" s="110"/>
      <c r="O5686" s="66"/>
      <c r="P5686" s="20"/>
      <c r="Q5686" s="20"/>
    </row>
    <row r="5687" spans="1:17" ht="21">
      <c r="A5687" s="20"/>
      <c r="B5687" s="20"/>
      <c r="C5687" s="20"/>
      <c r="D5687" s="20"/>
      <c r="E5687" s="19" t="e">
        <f>VLOOKUP(D5687,'لیست پرسنل'!$B$2:$E$1020,3,FALSE)</f>
        <v>#N/A</v>
      </c>
      <c r="F5687" s="19" t="e">
        <f>VLOOKUP(D5687,'لیست پرسنل'!$B$2:$E$1020,4,FALSE)</f>
        <v>#N/A</v>
      </c>
      <c r="G5687" s="127" t="e">
        <f>VLOOKUP(D5687,'لیست پرسنل'!$B$2:$F$1020,2,FALSE)</f>
        <v>#N/A</v>
      </c>
      <c r="H5687" s="127"/>
      <c r="I5687" s="127"/>
      <c r="J5687" s="128"/>
      <c r="K5687" s="127"/>
      <c r="L5687" s="127"/>
      <c r="M5687" s="127"/>
      <c r="N5687" s="110"/>
      <c r="O5687" s="66"/>
      <c r="P5687" s="20"/>
      <c r="Q5687" s="20"/>
    </row>
    <row r="5688" spans="1:17" ht="21">
      <c r="A5688" s="20"/>
      <c r="B5688" s="20"/>
      <c r="C5688" s="20"/>
      <c r="D5688" s="20"/>
      <c r="E5688" s="19" t="e">
        <f>VLOOKUP(D5688,'لیست پرسنل'!$B$2:$E$1020,3,FALSE)</f>
        <v>#N/A</v>
      </c>
      <c r="F5688" s="19" t="e">
        <f>VLOOKUP(D5688,'لیست پرسنل'!$B$2:$E$1020,4,FALSE)</f>
        <v>#N/A</v>
      </c>
      <c r="G5688" s="127" t="e">
        <f>VLOOKUP(D5688,'لیست پرسنل'!$B$2:$F$1020,2,FALSE)</f>
        <v>#N/A</v>
      </c>
      <c r="H5688" s="127"/>
      <c r="I5688" s="127"/>
      <c r="J5688" s="128"/>
      <c r="K5688" s="127"/>
      <c r="L5688" s="127"/>
      <c r="M5688" s="127"/>
      <c r="N5688" s="110"/>
      <c r="O5688" s="66"/>
      <c r="P5688" s="20"/>
      <c r="Q5688" s="20"/>
    </row>
    <row r="5689" spans="1:17" ht="21">
      <c r="A5689" s="20"/>
      <c r="B5689" s="20"/>
      <c r="C5689" s="20"/>
      <c r="D5689" s="20"/>
      <c r="E5689" s="19" t="e">
        <f>VLOOKUP(D5689,'لیست پرسنل'!$B$2:$E$1020,3,FALSE)</f>
        <v>#N/A</v>
      </c>
      <c r="F5689" s="19" t="e">
        <f>VLOOKUP(D5689,'لیست پرسنل'!$B$2:$E$1020,4,FALSE)</f>
        <v>#N/A</v>
      </c>
      <c r="G5689" s="127" t="e">
        <f>VLOOKUP(D5689,'لیست پرسنل'!$B$2:$F$1020,2,FALSE)</f>
        <v>#N/A</v>
      </c>
      <c r="H5689" s="127"/>
      <c r="I5689" s="127"/>
      <c r="J5689" s="128"/>
      <c r="K5689" s="127"/>
      <c r="L5689" s="127"/>
      <c r="M5689" s="127"/>
      <c r="N5689" s="110"/>
      <c r="O5689" s="66"/>
      <c r="P5689" s="20"/>
      <c r="Q5689" s="20"/>
    </row>
    <row r="5690" spans="1:17" ht="21">
      <c r="A5690" s="20"/>
      <c r="B5690" s="20"/>
      <c r="C5690" s="20"/>
      <c r="D5690" s="20"/>
      <c r="E5690" s="19" t="e">
        <f>VLOOKUP(D5690,'لیست پرسنل'!$B$2:$E$1020,3,FALSE)</f>
        <v>#N/A</v>
      </c>
      <c r="F5690" s="19" t="e">
        <f>VLOOKUP(D5690,'لیست پرسنل'!$B$2:$E$1020,4,FALSE)</f>
        <v>#N/A</v>
      </c>
      <c r="G5690" s="127" t="e">
        <f>VLOOKUP(D5690,'لیست پرسنل'!$B$2:$F$1020,2,FALSE)</f>
        <v>#N/A</v>
      </c>
      <c r="H5690" s="127"/>
      <c r="I5690" s="127"/>
      <c r="J5690" s="128"/>
      <c r="K5690" s="127"/>
      <c r="L5690" s="127"/>
      <c r="M5690" s="127"/>
      <c r="N5690" s="110"/>
      <c r="O5690" s="66"/>
      <c r="P5690" s="20"/>
      <c r="Q5690" s="20"/>
    </row>
    <row r="5691" spans="1:17" ht="21">
      <c r="A5691" s="20"/>
      <c r="B5691" s="20"/>
      <c r="C5691" s="20"/>
      <c r="D5691" s="20"/>
      <c r="E5691" s="19" t="e">
        <f>VLOOKUP(D5691,'لیست پرسنل'!$B$2:$E$1020,3,FALSE)</f>
        <v>#N/A</v>
      </c>
      <c r="F5691" s="19" t="e">
        <f>VLOOKUP(D5691,'لیست پرسنل'!$B$2:$E$1020,4,FALSE)</f>
        <v>#N/A</v>
      </c>
      <c r="G5691" s="127" t="e">
        <f>VLOOKUP(D5691,'لیست پرسنل'!$B$2:$F$1020,2,FALSE)</f>
        <v>#N/A</v>
      </c>
      <c r="H5691" s="127"/>
      <c r="I5691" s="127"/>
      <c r="J5691" s="128"/>
      <c r="K5691" s="127"/>
      <c r="L5691" s="127"/>
      <c r="M5691" s="127"/>
      <c r="N5691" s="110"/>
      <c r="O5691" s="66"/>
      <c r="P5691" s="20"/>
      <c r="Q5691" s="20"/>
    </row>
    <row r="5692" spans="1:17" ht="21">
      <c r="A5692" s="20"/>
      <c r="B5692" s="20"/>
      <c r="C5692" s="20"/>
      <c r="D5692" s="20"/>
      <c r="E5692" s="19" t="e">
        <f>VLOOKUP(D5692,'لیست پرسنل'!$B$2:$E$1020,3,FALSE)</f>
        <v>#N/A</v>
      </c>
      <c r="F5692" s="19" t="e">
        <f>VLOOKUP(D5692,'لیست پرسنل'!$B$2:$E$1020,4,FALSE)</f>
        <v>#N/A</v>
      </c>
      <c r="G5692" s="127" t="e">
        <f>VLOOKUP(D5692,'لیست پرسنل'!$B$2:$F$1020,2,FALSE)</f>
        <v>#N/A</v>
      </c>
      <c r="H5692" s="127"/>
      <c r="I5692" s="127"/>
      <c r="J5692" s="128"/>
      <c r="K5692" s="127"/>
      <c r="L5692" s="127"/>
      <c r="M5692" s="127"/>
      <c r="N5692" s="110"/>
      <c r="O5692" s="66"/>
      <c r="P5692" s="20"/>
      <c r="Q5692" s="20"/>
    </row>
    <row r="5693" spans="1:17" ht="21">
      <c r="A5693" s="20"/>
      <c r="B5693" s="20"/>
      <c r="C5693" s="20"/>
      <c r="D5693" s="20"/>
      <c r="E5693" s="19" t="e">
        <f>VLOOKUP(D5693,'لیست پرسنل'!$B$2:$E$1020,3,FALSE)</f>
        <v>#N/A</v>
      </c>
      <c r="F5693" s="19" t="e">
        <f>VLOOKUP(D5693,'لیست پرسنل'!$B$2:$E$1020,4,FALSE)</f>
        <v>#N/A</v>
      </c>
      <c r="G5693" s="127" t="e">
        <f>VLOOKUP(D5693,'لیست پرسنل'!$B$2:$F$1020,2,FALSE)</f>
        <v>#N/A</v>
      </c>
      <c r="H5693" s="127"/>
      <c r="I5693" s="127"/>
      <c r="J5693" s="128"/>
      <c r="K5693" s="127"/>
      <c r="L5693" s="127"/>
      <c r="M5693" s="127"/>
      <c r="N5693" s="110"/>
      <c r="O5693" s="66"/>
      <c r="P5693" s="20"/>
      <c r="Q5693" s="20"/>
    </row>
    <row r="5694" spans="1:17" ht="21">
      <c r="A5694" s="20"/>
      <c r="B5694" s="20"/>
      <c r="C5694" s="20"/>
      <c r="D5694" s="20"/>
      <c r="E5694" s="19" t="e">
        <f>VLOOKUP(D5694,'لیست پرسنل'!$B$2:$E$1020,3,FALSE)</f>
        <v>#N/A</v>
      </c>
      <c r="F5694" s="19" t="e">
        <f>VLOOKUP(D5694,'لیست پرسنل'!$B$2:$E$1020,4,FALSE)</f>
        <v>#N/A</v>
      </c>
      <c r="G5694" s="127" t="e">
        <f>VLOOKUP(D5694,'لیست پرسنل'!$B$2:$F$1020,2,FALSE)</f>
        <v>#N/A</v>
      </c>
      <c r="H5694" s="127"/>
      <c r="I5694" s="127"/>
      <c r="J5694" s="128"/>
      <c r="K5694" s="127"/>
      <c r="L5694" s="127"/>
      <c r="M5694" s="127"/>
      <c r="N5694" s="110"/>
      <c r="O5694" s="66"/>
      <c r="P5694" s="20"/>
      <c r="Q5694" s="20"/>
    </row>
    <row r="5695" spans="1:17" ht="21">
      <c r="A5695" s="20"/>
      <c r="B5695" s="20"/>
      <c r="C5695" s="20"/>
      <c r="D5695" s="20"/>
      <c r="E5695" s="19" t="e">
        <f>VLOOKUP(D5695,'لیست پرسنل'!$B$2:$E$1020,3,FALSE)</f>
        <v>#N/A</v>
      </c>
      <c r="F5695" s="19" t="e">
        <f>VLOOKUP(D5695,'لیست پرسنل'!$B$2:$E$1020,4,FALSE)</f>
        <v>#N/A</v>
      </c>
      <c r="G5695" s="127" t="e">
        <f>VLOOKUP(D5695,'لیست پرسنل'!$B$2:$F$1020,2,FALSE)</f>
        <v>#N/A</v>
      </c>
      <c r="H5695" s="127"/>
      <c r="I5695" s="127"/>
      <c r="J5695" s="128"/>
      <c r="K5695" s="127"/>
      <c r="L5695" s="127"/>
      <c r="M5695" s="127"/>
      <c r="N5695" s="110"/>
      <c r="O5695" s="66"/>
      <c r="P5695" s="20"/>
      <c r="Q5695" s="20"/>
    </row>
    <row r="5696" spans="1:17" ht="21">
      <c r="A5696" s="20"/>
      <c r="B5696" s="20"/>
      <c r="C5696" s="20"/>
      <c r="D5696" s="20"/>
      <c r="E5696" s="19" t="e">
        <f>VLOOKUP(D5696,'لیست پرسنل'!$B$2:$E$1020,3,FALSE)</f>
        <v>#N/A</v>
      </c>
      <c r="F5696" s="19" t="e">
        <f>VLOOKUP(D5696,'لیست پرسنل'!$B$2:$E$1020,4,FALSE)</f>
        <v>#N/A</v>
      </c>
      <c r="G5696" s="127" t="e">
        <f>VLOOKUP(D5696,'لیست پرسنل'!$B$2:$F$1020,2,FALSE)</f>
        <v>#N/A</v>
      </c>
      <c r="H5696" s="127"/>
      <c r="I5696" s="127"/>
      <c r="J5696" s="128"/>
      <c r="K5696" s="127"/>
      <c r="L5696" s="127"/>
      <c r="M5696" s="127"/>
      <c r="N5696" s="110"/>
      <c r="O5696" s="66"/>
      <c r="P5696" s="20"/>
      <c r="Q5696" s="20"/>
    </row>
    <row r="5697" spans="1:17" ht="21">
      <c r="A5697" s="20"/>
      <c r="B5697" s="20"/>
      <c r="C5697" s="20"/>
      <c r="D5697" s="20"/>
      <c r="E5697" s="19" t="e">
        <f>VLOOKUP(D5697,'لیست پرسنل'!$B$2:$E$1020,3,FALSE)</f>
        <v>#N/A</v>
      </c>
      <c r="F5697" s="19" t="e">
        <f>VLOOKUP(D5697,'لیست پرسنل'!$B$2:$E$1020,4,FALSE)</f>
        <v>#N/A</v>
      </c>
      <c r="G5697" s="127" t="e">
        <f>VLOOKUP(D5697,'لیست پرسنل'!$B$2:$F$1020,2,FALSE)</f>
        <v>#N/A</v>
      </c>
      <c r="H5697" s="127"/>
      <c r="I5697" s="127"/>
      <c r="J5697" s="128"/>
      <c r="K5697" s="127"/>
      <c r="L5697" s="127"/>
      <c r="M5697" s="127"/>
      <c r="N5697" s="110"/>
      <c r="O5697" s="66"/>
      <c r="P5697" s="20"/>
      <c r="Q5697" s="20"/>
    </row>
    <row r="5698" spans="1:17" ht="21">
      <c r="A5698" s="20"/>
      <c r="B5698" s="20"/>
      <c r="C5698" s="20"/>
      <c r="D5698" s="20"/>
      <c r="E5698" s="19" t="e">
        <f>VLOOKUP(D5698,'لیست پرسنل'!$B$2:$E$1020,3,FALSE)</f>
        <v>#N/A</v>
      </c>
      <c r="F5698" s="19" t="e">
        <f>VLOOKUP(D5698,'لیست پرسنل'!$B$2:$E$1020,4,FALSE)</f>
        <v>#N/A</v>
      </c>
      <c r="G5698" s="127" t="e">
        <f>VLOOKUP(D5698,'لیست پرسنل'!$B$2:$F$1020,2,FALSE)</f>
        <v>#N/A</v>
      </c>
      <c r="H5698" s="127"/>
      <c r="I5698" s="127"/>
      <c r="J5698" s="128"/>
      <c r="K5698" s="127"/>
      <c r="L5698" s="127"/>
      <c r="M5698" s="127"/>
      <c r="N5698" s="110"/>
      <c r="O5698" s="66"/>
      <c r="P5698" s="20"/>
      <c r="Q5698" s="20"/>
    </row>
    <row r="5699" spans="1:17" ht="21">
      <c r="A5699" s="20"/>
      <c r="B5699" s="20"/>
      <c r="C5699" s="20"/>
      <c r="D5699" s="20"/>
      <c r="E5699" s="19" t="e">
        <f>VLOOKUP(D5699,'لیست پرسنل'!$B$2:$E$1020,3,FALSE)</f>
        <v>#N/A</v>
      </c>
      <c r="F5699" s="19" t="e">
        <f>VLOOKUP(D5699,'لیست پرسنل'!$B$2:$E$1020,4,FALSE)</f>
        <v>#N/A</v>
      </c>
      <c r="G5699" s="127" t="e">
        <f>VLOOKUP(D5699,'لیست پرسنل'!$B$2:$F$1020,2,FALSE)</f>
        <v>#N/A</v>
      </c>
      <c r="H5699" s="127"/>
      <c r="I5699" s="127"/>
      <c r="J5699" s="128"/>
      <c r="K5699" s="127"/>
      <c r="L5699" s="127"/>
      <c r="M5699" s="127"/>
      <c r="N5699" s="110"/>
      <c r="O5699" s="66"/>
      <c r="P5699" s="20"/>
      <c r="Q5699" s="20"/>
    </row>
    <row r="5700" spans="1:17" ht="21">
      <c r="A5700" s="20"/>
      <c r="B5700" s="20"/>
      <c r="C5700" s="20"/>
      <c r="D5700" s="20"/>
      <c r="E5700" s="19" t="e">
        <f>VLOOKUP(D5700,'لیست پرسنل'!$B$2:$E$1020,3,FALSE)</f>
        <v>#N/A</v>
      </c>
      <c r="F5700" s="19" t="e">
        <f>VLOOKUP(D5700,'لیست پرسنل'!$B$2:$E$1020,4,FALSE)</f>
        <v>#N/A</v>
      </c>
      <c r="G5700" s="127" t="e">
        <f>VLOOKUP(D5700,'لیست پرسنل'!$B$2:$F$1020,2,FALSE)</f>
        <v>#N/A</v>
      </c>
      <c r="H5700" s="127"/>
      <c r="I5700" s="127"/>
      <c r="J5700" s="128"/>
      <c r="K5700" s="127"/>
      <c r="L5700" s="127"/>
      <c r="M5700" s="127"/>
      <c r="N5700" s="110"/>
      <c r="O5700" s="66"/>
      <c r="P5700" s="20"/>
      <c r="Q5700" s="20"/>
    </row>
    <row r="5701" spans="1:17" ht="21">
      <c r="A5701" s="20"/>
      <c r="B5701" s="20"/>
      <c r="C5701" s="20"/>
      <c r="D5701" s="20"/>
      <c r="E5701" s="19" t="e">
        <f>VLOOKUP(D5701,'لیست پرسنل'!$B$2:$E$1020,3,FALSE)</f>
        <v>#N/A</v>
      </c>
      <c r="F5701" s="19" t="e">
        <f>VLOOKUP(D5701,'لیست پرسنل'!$B$2:$E$1020,4,FALSE)</f>
        <v>#N/A</v>
      </c>
      <c r="G5701" s="127" t="e">
        <f>VLOOKUP(D5701,'لیست پرسنل'!$B$2:$F$1020,2,FALSE)</f>
        <v>#N/A</v>
      </c>
      <c r="H5701" s="127"/>
      <c r="I5701" s="127"/>
      <c r="J5701" s="128"/>
      <c r="K5701" s="127"/>
      <c r="L5701" s="127"/>
      <c r="M5701" s="127"/>
      <c r="N5701" s="110"/>
      <c r="O5701" s="66"/>
      <c r="P5701" s="20"/>
      <c r="Q5701" s="20"/>
    </row>
    <row r="5702" spans="1:17" ht="21">
      <c r="A5702" s="20"/>
      <c r="B5702" s="20"/>
      <c r="C5702" s="20"/>
      <c r="D5702" s="20"/>
      <c r="E5702" s="19" t="e">
        <f>VLOOKUP(D5702,'لیست پرسنل'!$B$2:$E$1020,3,FALSE)</f>
        <v>#N/A</v>
      </c>
      <c r="F5702" s="19" t="e">
        <f>VLOOKUP(D5702,'لیست پرسنل'!$B$2:$E$1020,4,FALSE)</f>
        <v>#N/A</v>
      </c>
      <c r="G5702" s="127" t="e">
        <f>VLOOKUP(D5702,'لیست پرسنل'!$B$2:$F$1020,2,FALSE)</f>
        <v>#N/A</v>
      </c>
      <c r="H5702" s="127"/>
      <c r="I5702" s="127"/>
      <c r="J5702" s="128"/>
      <c r="K5702" s="127"/>
      <c r="L5702" s="127"/>
      <c r="M5702" s="127"/>
      <c r="N5702" s="110"/>
      <c r="O5702" s="66"/>
      <c r="P5702" s="20"/>
      <c r="Q5702" s="20"/>
    </row>
    <row r="5703" spans="1:17" ht="21">
      <c r="A5703" s="20"/>
      <c r="B5703" s="20"/>
      <c r="C5703" s="20"/>
      <c r="D5703" s="20"/>
      <c r="E5703" s="19" t="e">
        <f>VLOOKUP(D5703,'لیست پرسنل'!$B$2:$E$1020,3,FALSE)</f>
        <v>#N/A</v>
      </c>
      <c r="F5703" s="19" t="e">
        <f>VLOOKUP(D5703,'لیست پرسنل'!$B$2:$E$1020,4,FALSE)</f>
        <v>#N/A</v>
      </c>
      <c r="G5703" s="127" t="e">
        <f>VLOOKUP(D5703,'لیست پرسنل'!$B$2:$F$1020,2,FALSE)</f>
        <v>#N/A</v>
      </c>
      <c r="H5703" s="127"/>
      <c r="I5703" s="127"/>
      <c r="J5703" s="128"/>
      <c r="K5703" s="127"/>
      <c r="L5703" s="127"/>
      <c r="M5703" s="127"/>
      <c r="N5703" s="110"/>
      <c r="O5703" s="66"/>
      <c r="P5703" s="20"/>
      <c r="Q5703" s="20"/>
    </row>
    <row r="5704" spans="1:17" ht="21">
      <c r="A5704" s="20"/>
      <c r="B5704" s="20"/>
      <c r="C5704" s="20"/>
      <c r="D5704" s="20"/>
      <c r="E5704" s="19" t="e">
        <f>VLOOKUP(D5704,'لیست پرسنل'!$B$2:$E$1020,3,FALSE)</f>
        <v>#N/A</v>
      </c>
      <c r="F5704" s="19" t="e">
        <f>VLOOKUP(D5704,'لیست پرسنل'!$B$2:$E$1020,4,FALSE)</f>
        <v>#N/A</v>
      </c>
      <c r="G5704" s="127" t="e">
        <f>VLOOKUP(D5704,'لیست پرسنل'!$B$2:$F$1020,2,FALSE)</f>
        <v>#N/A</v>
      </c>
      <c r="H5704" s="127"/>
      <c r="I5704" s="127"/>
      <c r="J5704" s="128"/>
      <c r="K5704" s="127"/>
      <c r="L5704" s="127"/>
      <c r="M5704" s="127"/>
      <c r="N5704" s="110"/>
      <c r="O5704" s="66"/>
      <c r="P5704" s="20"/>
      <c r="Q5704" s="20"/>
    </row>
    <row r="5705" spans="1:17" ht="21">
      <c r="A5705" s="20"/>
      <c r="B5705" s="20"/>
      <c r="C5705" s="20"/>
      <c r="D5705" s="20"/>
      <c r="E5705" s="19" t="e">
        <f>VLOOKUP(D5705,'لیست پرسنل'!$B$2:$E$1020,3,FALSE)</f>
        <v>#N/A</v>
      </c>
      <c r="F5705" s="19" t="e">
        <f>VLOOKUP(D5705,'لیست پرسنل'!$B$2:$E$1020,4,FALSE)</f>
        <v>#N/A</v>
      </c>
      <c r="G5705" s="127" t="e">
        <f>VLOOKUP(D5705,'لیست پرسنل'!$B$2:$F$1020,2,FALSE)</f>
        <v>#N/A</v>
      </c>
      <c r="H5705" s="127"/>
      <c r="I5705" s="127"/>
      <c r="J5705" s="128"/>
      <c r="K5705" s="127"/>
      <c r="L5705" s="127"/>
      <c r="M5705" s="127"/>
      <c r="N5705" s="110"/>
      <c r="O5705" s="66"/>
      <c r="P5705" s="20"/>
      <c r="Q5705" s="20"/>
    </row>
    <row r="5706" spans="1:17" ht="21">
      <c r="A5706" s="20"/>
      <c r="B5706" s="20"/>
      <c r="C5706" s="20"/>
      <c r="D5706" s="20"/>
      <c r="E5706" s="19" t="e">
        <f>VLOOKUP(D5706,'لیست پرسنل'!$B$2:$E$1020,3,FALSE)</f>
        <v>#N/A</v>
      </c>
      <c r="F5706" s="19" t="e">
        <f>VLOOKUP(D5706,'لیست پرسنل'!$B$2:$E$1020,4,FALSE)</f>
        <v>#N/A</v>
      </c>
      <c r="G5706" s="127" t="e">
        <f>VLOOKUP(D5706,'لیست پرسنل'!$B$2:$F$1020,2,FALSE)</f>
        <v>#N/A</v>
      </c>
      <c r="H5706" s="127"/>
      <c r="I5706" s="127"/>
      <c r="J5706" s="128"/>
      <c r="K5706" s="127"/>
      <c r="L5706" s="127"/>
      <c r="M5706" s="127"/>
      <c r="N5706" s="110"/>
      <c r="O5706" s="66"/>
      <c r="P5706" s="20"/>
      <c r="Q5706" s="20"/>
    </row>
    <row r="5707" spans="1:17" ht="21">
      <c r="A5707" s="20"/>
      <c r="B5707" s="20"/>
      <c r="C5707" s="20"/>
      <c r="D5707" s="20"/>
      <c r="E5707" s="19" t="e">
        <f>VLOOKUP(D5707,'لیست پرسنل'!$B$2:$E$1020,3,FALSE)</f>
        <v>#N/A</v>
      </c>
      <c r="F5707" s="19" t="e">
        <f>VLOOKUP(D5707,'لیست پرسنل'!$B$2:$E$1020,4,FALSE)</f>
        <v>#N/A</v>
      </c>
      <c r="G5707" s="127" t="e">
        <f>VLOOKUP(D5707,'لیست پرسنل'!$B$2:$F$1020,2,FALSE)</f>
        <v>#N/A</v>
      </c>
      <c r="H5707" s="127"/>
      <c r="I5707" s="127"/>
      <c r="J5707" s="128"/>
      <c r="K5707" s="127"/>
      <c r="L5707" s="127"/>
      <c r="M5707" s="127"/>
      <c r="N5707" s="110"/>
      <c r="O5707" s="66"/>
      <c r="P5707" s="20"/>
      <c r="Q5707" s="20"/>
    </row>
    <row r="5708" spans="1:17" ht="21">
      <c r="A5708" s="20"/>
      <c r="B5708" s="20"/>
      <c r="C5708" s="20"/>
      <c r="D5708" s="20"/>
      <c r="E5708" s="19" t="e">
        <f>VLOOKUP(D5708,'لیست پرسنل'!$B$2:$E$1020,3,FALSE)</f>
        <v>#N/A</v>
      </c>
      <c r="F5708" s="19" t="e">
        <f>VLOOKUP(D5708,'لیست پرسنل'!$B$2:$E$1020,4,FALSE)</f>
        <v>#N/A</v>
      </c>
      <c r="G5708" s="127" t="e">
        <f>VLOOKUP(D5708,'لیست پرسنل'!$B$2:$F$1020,2,FALSE)</f>
        <v>#N/A</v>
      </c>
      <c r="H5708" s="127"/>
      <c r="I5708" s="127"/>
      <c r="J5708" s="128"/>
      <c r="K5708" s="127"/>
      <c r="L5708" s="127"/>
      <c r="M5708" s="127"/>
      <c r="N5708" s="110"/>
      <c r="O5708" s="66"/>
      <c r="P5708" s="20"/>
      <c r="Q5708" s="20"/>
    </row>
    <row r="5709" spans="1:17" ht="21">
      <c r="A5709" s="20"/>
      <c r="B5709" s="20"/>
      <c r="C5709" s="20"/>
      <c r="D5709" s="20"/>
      <c r="E5709" s="19" t="e">
        <f>VLOOKUP(D5709,'لیست پرسنل'!$B$2:$E$1020,3,FALSE)</f>
        <v>#N/A</v>
      </c>
      <c r="F5709" s="19" t="e">
        <f>VLOOKUP(D5709,'لیست پرسنل'!$B$2:$E$1020,4,FALSE)</f>
        <v>#N/A</v>
      </c>
      <c r="G5709" s="127" t="e">
        <f>VLOOKUP(D5709,'لیست پرسنل'!$B$2:$F$1020,2,FALSE)</f>
        <v>#N/A</v>
      </c>
      <c r="H5709" s="127"/>
      <c r="I5709" s="127"/>
      <c r="J5709" s="128"/>
      <c r="K5709" s="127"/>
      <c r="L5709" s="127"/>
      <c r="M5709" s="127"/>
      <c r="N5709" s="110"/>
      <c r="O5709" s="66"/>
      <c r="P5709" s="20"/>
      <c r="Q5709" s="20"/>
    </row>
    <row r="5710" spans="1:17" ht="21">
      <c r="A5710" s="20"/>
      <c r="B5710" s="20"/>
      <c r="C5710" s="20"/>
      <c r="D5710" s="20"/>
      <c r="E5710" s="19" t="e">
        <f>VLOOKUP(D5710,'لیست پرسنل'!$B$2:$E$1020,3,FALSE)</f>
        <v>#N/A</v>
      </c>
      <c r="F5710" s="19" t="e">
        <f>VLOOKUP(D5710,'لیست پرسنل'!$B$2:$E$1020,4,FALSE)</f>
        <v>#N/A</v>
      </c>
      <c r="G5710" s="127" t="e">
        <f>VLOOKUP(D5710,'لیست پرسنل'!$B$2:$F$1020,2,FALSE)</f>
        <v>#N/A</v>
      </c>
      <c r="H5710" s="127"/>
      <c r="I5710" s="127"/>
      <c r="J5710" s="128"/>
      <c r="K5710" s="127"/>
      <c r="L5710" s="127"/>
      <c r="M5710" s="127"/>
      <c r="N5710" s="110"/>
      <c r="O5710" s="66"/>
      <c r="P5710" s="20"/>
      <c r="Q5710" s="20"/>
    </row>
    <row r="5711" spans="1:17" ht="21">
      <c r="A5711" s="20"/>
      <c r="B5711" s="20"/>
      <c r="C5711" s="20"/>
      <c r="D5711" s="20"/>
      <c r="E5711" s="19" t="e">
        <f>VLOOKUP(D5711,'لیست پرسنل'!$B$2:$E$1020,3,FALSE)</f>
        <v>#N/A</v>
      </c>
      <c r="F5711" s="19" t="e">
        <f>VLOOKUP(D5711,'لیست پرسنل'!$B$2:$E$1020,4,FALSE)</f>
        <v>#N/A</v>
      </c>
      <c r="G5711" s="127" t="e">
        <f>VLOOKUP(D5711,'لیست پرسنل'!$B$2:$F$1020,2,FALSE)</f>
        <v>#N/A</v>
      </c>
      <c r="H5711" s="127"/>
      <c r="I5711" s="127"/>
      <c r="J5711" s="128"/>
      <c r="K5711" s="127"/>
      <c r="L5711" s="127"/>
      <c r="M5711" s="127"/>
      <c r="N5711" s="110"/>
      <c r="O5711" s="66"/>
      <c r="P5711" s="20"/>
      <c r="Q5711" s="20"/>
    </row>
    <row r="5712" spans="1:17" ht="21">
      <c r="A5712" s="20"/>
      <c r="B5712" s="20"/>
      <c r="C5712" s="20"/>
      <c r="D5712" s="20"/>
      <c r="E5712" s="19" t="e">
        <f>VLOOKUP(D5712,'لیست پرسنل'!$B$2:$E$1020,3,FALSE)</f>
        <v>#N/A</v>
      </c>
      <c r="F5712" s="19" t="e">
        <f>VLOOKUP(D5712,'لیست پرسنل'!$B$2:$E$1020,4,FALSE)</f>
        <v>#N/A</v>
      </c>
      <c r="G5712" s="127" t="e">
        <f>VLOOKUP(D5712,'لیست پرسنل'!$B$2:$F$1020,2,FALSE)</f>
        <v>#N/A</v>
      </c>
      <c r="H5712" s="127"/>
      <c r="I5712" s="127"/>
      <c r="J5712" s="128"/>
      <c r="K5712" s="127"/>
      <c r="L5712" s="127"/>
      <c r="M5712" s="127"/>
      <c r="N5712" s="110"/>
      <c r="O5712" s="66"/>
      <c r="P5712" s="20"/>
      <c r="Q5712" s="20"/>
    </row>
    <row r="5713" spans="1:17" ht="21">
      <c r="A5713" s="20"/>
      <c r="B5713" s="20"/>
      <c r="C5713" s="20"/>
      <c r="D5713" s="20"/>
      <c r="E5713" s="19" t="e">
        <f>VLOOKUP(D5713,'لیست پرسنل'!$B$2:$E$1020,3,FALSE)</f>
        <v>#N/A</v>
      </c>
      <c r="F5713" s="19" t="e">
        <f>VLOOKUP(D5713,'لیست پرسنل'!$B$2:$E$1020,4,FALSE)</f>
        <v>#N/A</v>
      </c>
      <c r="G5713" s="127" t="e">
        <f>VLOOKUP(D5713,'لیست پرسنل'!$B$2:$F$1020,2,FALSE)</f>
        <v>#N/A</v>
      </c>
      <c r="H5713" s="127"/>
      <c r="I5713" s="127"/>
      <c r="J5713" s="128"/>
      <c r="K5713" s="127"/>
      <c r="L5713" s="127"/>
      <c r="M5713" s="127"/>
      <c r="N5713" s="110"/>
      <c r="O5713" s="66"/>
      <c r="P5713" s="20"/>
      <c r="Q5713" s="20"/>
    </row>
    <row r="5714" spans="1:17" ht="21">
      <c r="A5714" s="20"/>
      <c r="B5714" s="20"/>
      <c r="C5714" s="20"/>
      <c r="D5714" s="20"/>
      <c r="E5714" s="19" t="e">
        <f>VLOOKUP(D5714,'لیست پرسنل'!$B$2:$E$1020,3,FALSE)</f>
        <v>#N/A</v>
      </c>
      <c r="F5714" s="19" t="e">
        <f>VLOOKUP(D5714,'لیست پرسنل'!$B$2:$E$1020,4,FALSE)</f>
        <v>#N/A</v>
      </c>
      <c r="G5714" s="127" t="e">
        <f>VLOOKUP(D5714,'لیست پرسنل'!$B$2:$F$1020,2,FALSE)</f>
        <v>#N/A</v>
      </c>
      <c r="H5714" s="127"/>
      <c r="I5714" s="127"/>
      <c r="J5714" s="128"/>
      <c r="K5714" s="127"/>
      <c r="L5714" s="127"/>
      <c r="M5714" s="127"/>
      <c r="N5714" s="110"/>
      <c r="O5714" s="66"/>
      <c r="P5714" s="20"/>
      <c r="Q5714" s="20"/>
    </row>
    <row r="5715" spans="1:17" ht="21">
      <c r="A5715" s="20"/>
      <c r="B5715" s="20"/>
      <c r="C5715" s="20"/>
      <c r="D5715" s="20"/>
      <c r="E5715" s="19" t="e">
        <f>VLOOKUP(D5715,'لیست پرسنل'!$B$2:$E$1020,3,FALSE)</f>
        <v>#N/A</v>
      </c>
      <c r="F5715" s="19" t="e">
        <f>VLOOKUP(D5715,'لیست پرسنل'!$B$2:$E$1020,4,FALSE)</f>
        <v>#N/A</v>
      </c>
      <c r="G5715" s="127" t="e">
        <f>VLOOKUP(D5715,'لیست پرسنل'!$B$2:$F$1020,2,FALSE)</f>
        <v>#N/A</v>
      </c>
      <c r="H5715" s="127"/>
      <c r="I5715" s="127"/>
      <c r="J5715" s="128"/>
      <c r="K5715" s="127"/>
      <c r="L5715" s="127"/>
      <c r="M5715" s="127"/>
      <c r="N5715" s="110"/>
      <c r="O5715" s="66"/>
      <c r="P5715" s="20"/>
      <c r="Q5715" s="20"/>
    </row>
    <row r="5716" spans="1:17" ht="21">
      <c r="A5716" s="20"/>
      <c r="B5716" s="20"/>
      <c r="C5716" s="20"/>
      <c r="D5716" s="20"/>
      <c r="E5716" s="19" t="e">
        <f>VLOOKUP(D5716,'لیست پرسنل'!$B$2:$E$1020,3,FALSE)</f>
        <v>#N/A</v>
      </c>
      <c r="F5716" s="19" t="e">
        <f>VLOOKUP(D5716,'لیست پرسنل'!$B$2:$E$1020,4,FALSE)</f>
        <v>#N/A</v>
      </c>
      <c r="G5716" s="127" t="e">
        <f>VLOOKUP(D5716,'لیست پرسنل'!$B$2:$F$1020,2,FALSE)</f>
        <v>#N/A</v>
      </c>
      <c r="H5716" s="127"/>
      <c r="I5716" s="127"/>
      <c r="J5716" s="128"/>
      <c r="K5716" s="127"/>
      <c r="L5716" s="127"/>
      <c r="M5716" s="127"/>
      <c r="N5716" s="110"/>
      <c r="O5716" s="66"/>
      <c r="P5716" s="20"/>
      <c r="Q5716" s="20"/>
    </row>
    <row r="5717" spans="1:17" ht="21">
      <c r="A5717" s="20"/>
      <c r="B5717" s="20"/>
      <c r="C5717" s="20"/>
      <c r="D5717" s="20"/>
      <c r="E5717" s="19" t="e">
        <f>VLOOKUP(D5717,'لیست پرسنل'!$B$2:$E$1020,3,FALSE)</f>
        <v>#N/A</v>
      </c>
      <c r="F5717" s="19" t="e">
        <f>VLOOKUP(D5717,'لیست پرسنل'!$B$2:$E$1020,4,FALSE)</f>
        <v>#N/A</v>
      </c>
      <c r="G5717" s="127" t="e">
        <f>VLOOKUP(D5717,'لیست پرسنل'!$B$2:$F$1020,2,FALSE)</f>
        <v>#N/A</v>
      </c>
      <c r="H5717" s="127"/>
      <c r="I5717" s="127"/>
      <c r="J5717" s="128"/>
      <c r="K5717" s="127"/>
      <c r="L5717" s="127"/>
      <c r="M5717" s="127"/>
      <c r="N5717" s="110"/>
      <c r="O5717" s="66"/>
      <c r="P5717" s="20"/>
      <c r="Q5717" s="20"/>
    </row>
    <row r="5718" spans="1:17" ht="21">
      <c r="A5718" s="20"/>
      <c r="B5718" s="20"/>
      <c r="C5718" s="20"/>
      <c r="D5718" s="20"/>
      <c r="E5718" s="19" t="e">
        <f>VLOOKUP(D5718,'لیست پرسنل'!$B$2:$E$1020,3,FALSE)</f>
        <v>#N/A</v>
      </c>
      <c r="F5718" s="19" t="e">
        <f>VLOOKUP(D5718,'لیست پرسنل'!$B$2:$E$1020,4,FALSE)</f>
        <v>#N/A</v>
      </c>
      <c r="G5718" s="127" t="e">
        <f>VLOOKUP(D5718,'لیست پرسنل'!$B$2:$F$1020,2,FALSE)</f>
        <v>#N/A</v>
      </c>
      <c r="H5718" s="127"/>
      <c r="I5718" s="127"/>
      <c r="J5718" s="128"/>
      <c r="K5718" s="127"/>
      <c r="L5718" s="127"/>
      <c r="M5718" s="127"/>
      <c r="N5718" s="110"/>
      <c r="O5718" s="66"/>
      <c r="P5718" s="20"/>
      <c r="Q5718" s="20"/>
    </row>
    <row r="5719" spans="1:17" ht="21">
      <c r="A5719" s="20"/>
      <c r="B5719" s="20"/>
      <c r="C5719" s="20"/>
      <c r="D5719" s="20"/>
      <c r="E5719" s="19" t="e">
        <f>VLOOKUP(D5719,'لیست پرسنل'!$B$2:$E$1020,3,FALSE)</f>
        <v>#N/A</v>
      </c>
      <c r="F5719" s="19" t="e">
        <f>VLOOKUP(D5719,'لیست پرسنل'!$B$2:$E$1020,4,FALSE)</f>
        <v>#N/A</v>
      </c>
      <c r="G5719" s="127" t="e">
        <f>VLOOKUP(D5719,'لیست پرسنل'!$B$2:$F$1020,2,FALSE)</f>
        <v>#N/A</v>
      </c>
      <c r="H5719" s="127"/>
      <c r="I5719" s="127"/>
      <c r="J5719" s="128"/>
      <c r="K5719" s="127"/>
      <c r="L5719" s="127"/>
      <c r="M5719" s="127"/>
      <c r="N5719" s="110"/>
      <c r="O5719" s="66"/>
      <c r="P5719" s="20"/>
      <c r="Q5719" s="20"/>
    </row>
    <row r="5720" spans="1:17" ht="21">
      <c r="A5720" s="20"/>
      <c r="B5720" s="20"/>
      <c r="C5720" s="20"/>
      <c r="D5720" s="20"/>
      <c r="E5720" s="19" t="e">
        <f>VLOOKUP(D5720,'لیست پرسنل'!$B$2:$E$1020,3,FALSE)</f>
        <v>#N/A</v>
      </c>
      <c r="F5720" s="19" t="e">
        <f>VLOOKUP(D5720,'لیست پرسنل'!$B$2:$E$1020,4,FALSE)</f>
        <v>#N/A</v>
      </c>
      <c r="G5720" s="127" t="e">
        <f>VLOOKUP(D5720,'لیست پرسنل'!$B$2:$F$1020,2,FALSE)</f>
        <v>#N/A</v>
      </c>
      <c r="H5720" s="127"/>
      <c r="I5720" s="127"/>
      <c r="J5720" s="128"/>
      <c r="K5720" s="127"/>
      <c r="L5720" s="127"/>
      <c r="M5720" s="127"/>
      <c r="N5720" s="110"/>
      <c r="O5720" s="66"/>
      <c r="P5720" s="20"/>
      <c r="Q5720" s="20"/>
    </row>
    <row r="5721" spans="1:17" ht="21">
      <c r="A5721" s="20"/>
      <c r="B5721" s="20"/>
      <c r="C5721" s="20"/>
      <c r="D5721" s="20"/>
      <c r="E5721" s="19" t="e">
        <f>VLOOKUP(D5721,'لیست پرسنل'!$B$2:$E$1020,3,FALSE)</f>
        <v>#N/A</v>
      </c>
      <c r="F5721" s="19" t="e">
        <f>VLOOKUP(D5721,'لیست پرسنل'!$B$2:$E$1020,4,FALSE)</f>
        <v>#N/A</v>
      </c>
      <c r="G5721" s="127" t="e">
        <f>VLOOKUP(D5721,'لیست پرسنل'!$B$2:$F$1020,2,FALSE)</f>
        <v>#N/A</v>
      </c>
      <c r="H5721" s="127"/>
      <c r="I5721" s="127"/>
      <c r="J5721" s="128"/>
      <c r="K5721" s="127"/>
      <c r="L5721" s="127"/>
      <c r="M5721" s="127"/>
      <c r="N5721" s="110"/>
      <c r="O5721" s="66"/>
      <c r="P5721" s="20"/>
      <c r="Q5721" s="20"/>
    </row>
    <row r="5722" spans="1:17" ht="21">
      <c r="A5722" s="20"/>
      <c r="B5722" s="20"/>
      <c r="C5722" s="20"/>
      <c r="D5722" s="20"/>
      <c r="E5722" s="19" t="e">
        <f>VLOOKUP(D5722,'لیست پرسنل'!$B$2:$E$1020,3,FALSE)</f>
        <v>#N/A</v>
      </c>
      <c r="F5722" s="19" t="e">
        <f>VLOOKUP(D5722,'لیست پرسنل'!$B$2:$E$1020,4,FALSE)</f>
        <v>#N/A</v>
      </c>
      <c r="G5722" s="127" t="e">
        <f>VLOOKUP(D5722,'لیست پرسنل'!$B$2:$F$1020,2,FALSE)</f>
        <v>#N/A</v>
      </c>
      <c r="H5722" s="127"/>
      <c r="I5722" s="127"/>
      <c r="J5722" s="128"/>
      <c r="K5722" s="127"/>
      <c r="L5722" s="127"/>
      <c r="M5722" s="127"/>
      <c r="N5722" s="110"/>
      <c r="O5722" s="66"/>
      <c r="P5722" s="20"/>
      <c r="Q5722" s="20"/>
    </row>
    <row r="5723" spans="1:17" ht="21">
      <c r="A5723" s="20"/>
      <c r="B5723" s="20"/>
      <c r="C5723" s="20"/>
      <c r="D5723" s="20"/>
      <c r="E5723" s="19" t="e">
        <f>VLOOKUP(D5723,'لیست پرسنل'!$B$2:$E$1020,3,FALSE)</f>
        <v>#N/A</v>
      </c>
      <c r="F5723" s="19" t="e">
        <f>VLOOKUP(D5723,'لیست پرسنل'!$B$2:$E$1020,4,FALSE)</f>
        <v>#N/A</v>
      </c>
      <c r="G5723" s="127" t="e">
        <f>VLOOKUP(D5723,'لیست پرسنل'!$B$2:$F$1020,2,FALSE)</f>
        <v>#N/A</v>
      </c>
      <c r="H5723" s="127"/>
      <c r="I5723" s="127"/>
      <c r="J5723" s="128"/>
      <c r="K5723" s="127"/>
      <c r="L5723" s="127"/>
      <c r="M5723" s="127"/>
      <c r="N5723" s="110"/>
      <c r="O5723" s="66"/>
      <c r="P5723" s="20"/>
      <c r="Q5723" s="20"/>
    </row>
    <row r="5724" spans="1:17" ht="21">
      <c r="A5724" s="20"/>
      <c r="B5724" s="20"/>
      <c r="C5724" s="20"/>
      <c r="D5724" s="20"/>
      <c r="E5724" s="19" t="e">
        <f>VLOOKUP(D5724,'لیست پرسنل'!$B$2:$E$1020,3,FALSE)</f>
        <v>#N/A</v>
      </c>
      <c r="F5724" s="19" t="e">
        <f>VLOOKUP(D5724,'لیست پرسنل'!$B$2:$E$1020,4,FALSE)</f>
        <v>#N/A</v>
      </c>
      <c r="G5724" s="127" t="e">
        <f>VLOOKUP(D5724,'لیست پرسنل'!$B$2:$F$1020,2,FALSE)</f>
        <v>#N/A</v>
      </c>
      <c r="H5724" s="127"/>
      <c r="I5724" s="127"/>
      <c r="J5724" s="128"/>
      <c r="K5724" s="127"/>
      <c r="L5724" s="127"/>
      <c r="M5724" s="127"/>
      <c r="N5724" s="110"/>
      <c r="O5724" s="66"/>
      <c r="P5724" s="20"/>
      <c r="Q5724" s="20"/>
    </row>
    <row r="5725" spans="1:17" ht="21">
      <c r="A5725" s="20"/>
      <c r="B5725" s="20"/>
      <c r="C5725" s="20"/>
      <c r="D5725" s="20"/>
      <c r="E5725" s="19" t="e">
        <f>VLOOKUP(D5725,'لیست پرسنل'!$B$2:$E$1020,3,FALSE)</f>
        <v>#N/A</v>
      </c>
      <c r="F5725" s="19" t="e">
        <f>VLOOKUP(D5725,'لیست پرسنل'!$B$2:$E$1020,4,FALSE)</f>
        <v>#N/A</v>
      </c>
      <c r="G5725" s="127" t="e">
        <f>VLOOKUP(D5725,'لیست پرسنل'!$B$2:$F$1020,2,FALSE)</f>
        <v>#N/A</v>
      </c>
      <c r="H5725" s="127"/>
      <c r="I5725" s="127"/>
      <c r="J5725" s="128"/>
      <c r="K5725" s="127"/>
      <c r="L5725" s="127"/>
      <c r="M5725" s="127"/>
      <c r="N5725" s="110"/>
      <c r="O5725" s="66"/>
      <c r="P5725" s="20"/>
      <c r="Q5725" s="20"/>
    </row>
    <row r="5726" spans="1:17" ht="21">
      <c r="A5726" s="20"/>
      <c r="B5726" s="20"/>
      <c r="C5726" s="20"/>
      <c r="D5726" s="20"/>
      <c r="E5726" s="19" t="e">
        <f>VLOOKUP(D5726,'لیست پرسنل'!$B$2:$E$1020,3,FALSE)</f>
        <v>#N/A</v>
      </c>
      <c r="F5726" s="19" t="e">
        <f>VLOOKUP(D5726,'لیست پرسنل'!$B$2:$E$1020,4,FALSE)</f>
        <v>#N/A</v>
      </c>
      <c r="G5726" s="127" t="e">
        <f>VLOOKUP(D5726,'لیست پرسنل'!$B$2:$F$1020,2,FALSE)</f>
        <v>#N/A</v>
      </c>
      <c r="H5726" s="127"/>
      <c r="I5726" s="127"/>
      <c r="J5726" s="128"/>
      <c r="K5726" s="127"/>
      <c r="L5726" s="127"/>
      <c r="M5726" s="127"/>
      <c r="N5726" s="110"/>
      <c r="O5726" s="66"/>
      <c r="P5726" s="20"/>
      <c r="Q5726" s="20"/>
    </row>
    <row r="5727" spans="1:17" ht="21">
      <c r="A5727" s="20"/>
      <c r="B5727" s="20"/>
      <c r="C5727" s="20"/>
      <c r="D5727" s="20"/>
      <c r="E5727" s="19" t="e">
        <f>VLOOKUP(D5727,'لیست پرسنل'!$B$2:$E$1020,3,FALSE)</f>
        <v>#N/A</v>
      </c>
      <c r="F5727" s="19" t="e">
        <f>VLOOKUP(D5727,'لیست پرسنل'!$B$2:$E$1020,4,FALSE)</f>
        <v>#N/A</v>
      </c>
      <c r="G5727" s="127" t="e">
        <f>VLOOKUP(D5727,'لیست پرسنل'!$B$2:$F$1020,2,FALSE)</f>
        <v>#N/A</v>
      </c>
      <c r="H5727" s="127"/>
      <c r="I5727" s="127"/>
      <c r="J5727" s="128"/>
      <c r="K5727" s="127"/>
      <c r="L5727" s="127"/>
      <c r="M5727" s="127"/>
      <c r="N5727" s="110"/>
      <c r="O5727" s="66"/>
      <c r="P5727" s="20"/>
      <c r="Q5727" s="20"/>
    </row>
    <row r="5728" spans="1:17" ht="21">
      <c r="A5728" s="20"/>
      <c r="B5728" s="20"/>
      <c r="C5728" s="20"/>
      <c r="D5728" s="20"/>
      <c r="E5728" s="19" t="e">
        <f>VLOOKUP(D5728,'لیست پرسنل'!$B$2:$E$1020,3,FALSE)</f>
        <v>#N/A</v>
      </c>
      <c r="F5728" s="19" t="e">
        <f>VLOOKUP(D5728,'لیست پرسنل'!$B$2:$E$1020,4,FALSE)</f>
        <v>#N/A</v>
      </c>
      <c r="G5728" s="127" t="e">
        <f>VLOOKUP(D5728,'لیست پرسنل'!$B$2:$F$1020,2,FALSE)</f>
        <v>#N/A</v>
      </c>
      <c r="H5728" s="127"/>
      <c r="I5728" s="127"/>
      <c r="J5728" s="128"/>
      <c r="K5728" s="127"/>
      <c r="L5728" s="127"/>
      <c r="M5728" s="127"/>
      <c r="N5728" s="110"/>
      <c r="O5728" s="66"/>
      <c r="P5728" s="20"/>
      <c r="Q5728" s="20"/>
    </row>
    <row r="5729" spans="1:17" ht="21">
      <c r="A5729" s="20"/>
      <c r="B5729" s="20"/>
      <c r="C5729" s="20"/>
      <c r="D5729" s="20"/>
      <c r="E5729" s="19" t="e">
        <f>VLOOKUP(D5729,'لیست پرسنل'!$B$2:$E$1020,3,FALSE)</f>
        <v>#N/A</v>
      </c>
      <c r="F5729" s="19" t="e">
        <f>VLOOKUP(D5729,'لیست پرسنل'!$B$2:$E$1020,4,FALSE)</f>
        <v>#N/A</v>
      </c>
      <c r="G5729" s="127" t="e">
        <f>VLOOKUP(D5729,'لیست پرسنل'!$B$2:$F$1020,2,FALSE)</f>
        <v>#N/A</v>
      </c>
      <c r="H5729" s="127"/>
      <c r="I5729" s="127"/>
      <c r="J5729" s="128"/>
      <c r="K5729" s="127"/>
      <c r="L5729" s="127"/>
      <c r="M5729" s="127"/>
      <c r="N5729" s="110"/>
      <c r="O5729" s="66"/>
      <c r="P5729" s="20"/>
      <c r="Q5729" s="20"/>
    </row>
    <row r="5730" spans="1:17" ht="21">
      <c r="A5730" s="20"/>
      <c r="B5730" s="20"/>
      <c r="C5730" s="20"/>
      <c r="D5730" s="20"/>
      <c r="E5730" s="19" t="e">
        <f>VLOOKUP(D5730,'لیست پرسنل'!$B$2:$E$1020,3,FALSE)</f>
        <v>#N/A</v>
      </c>
      <c r="F5730" s="19" t="e">
        <f>VLOOKUP(D5730,'لیست پرسنل'!$B$2:$E$1020,4,FALSE)</f>
        <v>#N/A</v>
      </c>
      <c r="G5730" s="127" t="e">
        <f>VLOOKUP(D5730,'لیست پرسنل'!$B$2:$F$1020,2,FALSE)</f>
        <v>#N/A</v>
      </c>
      <c r="H5730" s="127"/>
      <c r="I5730" s="127"/>
      <c r="J5730" s="128"/>
      <c r="K5730" s="127"/>
      <c r="L5730" s="127"/>
      <c r="M5730" s="127"/>
      <c r="N5730" s="110"/>
      <c r="O5730" s="66"/>
      <c r="P5730" s="20"/>
      <c r="Q5730" s="20"/>
    </row>
    <row r="5731" spans="1:17" ht="21">
      <c r="A5731" s="20"/>
      <c r="B5731" s="20"/>
      <c r="C5731" s="20"/>
      <c r="D5731" s="20"/>
      <c r="E5731" s="19" t="e">
        <f>VLOOKUP(D5731,'لیست پرسنل'!$B$2:$E$1020,3,FALSE)</f>
        <v>#N/A</v>
      </c>
      <c r="F5731" s="19" t="e">
        <f>VLOOKUP(D5731,'لیست پرسنل'!$B$2:$E$1020,4,FALSE)</f>
        <v>#N/A</v>
      </c>
      <c r="G5731" s="127" t="e">
        <f>VLOOKUP(D5731,'لیست پرسنل'!$B$2:$F$1020,2,FALSE)</f>
        <v>#N/A</v>
      </c>
      <c r="H5731" s="127"/>
      <c r="I5731" s="127"/>
      <c r="J5731" s="128"/>
      <c r="K5731" s="127"/>
      <c r="L5731" s="127"/>
      <c r="M5731" s="127"/>
      <c r="N5731" s="110"/>
      <c r="O5731" s="66"/>
      <c r="P5731" s="20"/>
      <c r="Q5731" s="20"/>
    </row>
    <row r="5732" spans="1:17" ht="21">
      <c r="A5732" s="20"/>
      <c r="B5732" s="20"/>
      <c r="C5732" s="20"/>
      <c r="D5732" s="20"/>
      <c r="E5732" s="19" t="e">
        <f>VLOOKUP(D5732,'لیست پرسنل'!$B$2:$E$1020,3,FALSE)</f>
        <v>#N/A</v>
      </c>
      <c r="F5732" s="19" t="e">
        <f>VLOOKUP(D5732,'لیست پرسنل'!$B$2:$E$1020,4,FALSE)</f>
        <v>#N/A</v>
      </c>
      <c r="G5732" s="127" t="e">
        <f>VLOOKUP(D5732,'لیست پرسنل'!$B$2:$F$1020,2,FALSE)</f>
        <v>#N/A</v>
      </c>
      <c r="H5732" s="127"/>
      <c r="I5732" s="127"/>
      <c r="J5732" s="128"/>
      <c r="K5732" s="127"/>
      <c r="L5732" s="127"/>
      <c r="M5732" s="127"/>
      <c r="N5732" s="110"/>
      <c r="O5732" s="66"/>
      <c r="P5732" s="20"/>
      <c r="Q5732" s="20"/>
    </row>
    <row r="5733" spans="1:17" ht="21">
      <c r="A5733" s="20"/>
      <c r="B5733" s="20"/>
      <c r="C5733" s="20"/>
      <c r="D5733" s="20"/>
      <c r="E5733" s="19" t="e">
        <f>VLOOKUP(D5733,'لیست پرسنل'!$B$2:$E$1020,3,FALSE)</f>
        <v>#N/A</v>
      </c>
      <c r="F5733" s="19" t="e">
        <f>VLOOKUP(D5733,'لیست پرسنل'!$B$2:$E$1020,4,FALSE)</f>
        <v>#N/A</v>
      </c>
      <c r="G5733" s="127" t="e">
        <f>VLOOKUP(D5733,'لیست پرسنل'!$B$2:$F$1020,2,FALSE)</f>
        <v>#N/A</v>
      </c>
      <c r="H5733" s="127"/>
      <c r="I5733" s="127"/>
      <c r="J5733" s="128"/>
      <c r="K5733" s="127"/>
      <c r="L5733" s="127"/>
      <c r="M5733" s="127"/>
      <c r="N5733" s="110"/>
      <c r="O5733" s="66"/>
      <c r="P5733" s="20"/>
      <c r="Q5733" s="20"/>
    </row>
    <row r="5734" spans="1:17" ht="21">
      <c r="A5734" s="20"/>
      <c r="B5734" s="20"/>
      <c r="C5734" s="20"/>
      <c r="D5734" s="20"/>
      <c r="E5734" s="19" t="e">
        <f>VLOOKUP(D5734,'لیست پرسنل'!$B$2:$E$1020,3,FALSE)</f>
        <v>#N/A</v>
      </c>
      <c r="F5734" s="19" t="e">
        <f>VLOOKUP(D5734,'لیست پرسنل'!$B$2:$E$1020,4,FALSE)</f>
        <v>#N/A</v>
      </c>
      <c r="G5734" s="127" t="e">
        <f>VLOOKUP(D5734,'لیست پرسنل'!$B$2:$F$1020,2,FALSE)</f>
        <v>#N/A</v>
      </c>
      <c r="H5734" s="127"/>
      <c r="I5734" s="127"/>
      <c r="J5734" s="128"/>
      <c r="K5734" s="127"/>
      <c r="L5734" s="127"/>
      <c r="M5734" s="127"/>
      <c r="N5734" s="110"/>
      <c r="O5734" s="66"/>
      <c r="P5734" s="20"/>
      <c r="Q5734" s="20"/>
    </row>
    <row r="5735" spans="1:17" ht="21">
      <c r="A5735" s="20"/>
      <c r="B5735" s="20"/>
      <c r="C5735" s="20"/>
      <c r="D5735" s="20"/>
      <c r="E5735" s="19" t="e">
        <f>VLOOKUP(D5735,'لیست پرسنل'!$B$2:$E$1020,3,FALSE)</f>
        <v>#N/A</v>
      </c>
      <c r="F5735" s="19" t="e">
        <f>VLOOKUP(D5735,'لیست پرسنل'!$B$2:$E$1020,4,FALSE)</f>
        <v>#N/A</v>
      </c>
      <c r="G5735" s="127" t="e">
        <f>VLOOKUP(D5735,'لیست پرسنل'!$B$2:$F$1020,2,FALSE)</f>
        <v>#N/A</v>
      </c>
      <c r="H5735" s="127"/>
      <c r="I5735" s="127"/>
      <c r="J5735" s="128"/>
      <c r="K5735" s="127"/>
      <c r="L5735" s="127"/>
      <c r="M5735" s="127"/>
      <c r="N5735" s="110"/>
      <c r="O5735" s="66"/>
      <c r="P5735" s="20"/>
      <c r="Q5735" s="20"/>
    </row>
    <row r="5736" spans="1:17" ht="21">
      <c r="A5736" s="20"/>
      <c r="B5736" s="20"/>
      <c r="C5736" s="20"/>
      <c r="D5736" s="20"/>
      <c r="E5736" s="19" t="e">
        <f>VLOOKUP(D5736,'لیست پرسنل'!$B$2:$E$1020,3,FALSE)</f>
        <v>#N/A</v>
      </c>
      <c r="F5736" s="19" t="e">
        <f>VLOOKUP(D5736,'لیست پرسنل'!$B$2:$E$1020,4,FALSE)</f>
        <v>#N/A</v>
      </c>
      <c r="G5736" s="127" t="e">
        <f>VLOOKUP(D5736,'لیست پرسنل'!$B$2:$F$1020,2,FALSE)</f>
        <v>#N/A</v>
      </c>
      <c r="H5736" s="127"/>
      <c r="I5736" s="127"/>
      <c r="J5736" s="128"/>
      <c r="K5736" s="127"/>
      <c r="L5736" s="127"/>
      <c r="M5736" s="127"/>
      <c r="N5736" s="110"/>
      <c r="O5736" s="66"/>
      <c r="P5736" s="20"/>
      <c r="Q5736" s="20"/>
    </row>
    <row r="5737" spans="1:17" ht="21">
      <c r="A5737" s="20"/>
      <c r="B5737" s="20"/>
      <c r="C5737" s="20"/>
      <c r="D5737" s="20"/>
      <c r="E5737" s="19" t="e">
        <f>VLOOKUP(D5737,'لیست پرسنل'!$B$2:$E$1020,3,FALSE)</f>
        <v>#N/A</v>
      </c>
      <c r="F5737" s="19" t="e">
        <f>VLOOKUP(D5737,'لیست پرسنل'!$B$2:$E$1020,4,FALSE)</f>
        <v>#N/A</v>
      </c>
      <c r="G5737" s="127" t="e">
        <f>VLOOKUP(D5737,'لیست پرسنل'!$B$2:$F$1020,2,FALSE)</f>
        <v>#N/A</v>
      </c>
      <c r="H5737" s="127"/>
      <c r="I5737" s="127"/>
      <c r="J5737" s="128"/>
      <c r="K5737" s="127"/>
      <c r="L5737" s="127"/>
      <c r="M5737" s="127"/>
      <c r="N5737" s="110"/>
      <c r="O5737" s="66"/>
      <c r="P5737" s="20"/>
      <c r="Q5737" s="20"/>
    </row>
    <row r="5738" spans="1:17" ht="21">
      <c r="A5738" s="20"/>
      <c r="B5738" s="20"/>
      <c r="C5738" s="20"/>
      <c r="D5738" s="20"/>
      <c r="E5738" s="19" t="e">
        <f>VLOOKUP(D5738,'لیست پرسنل'!$B$2:$E$1020,3,FALSE)</f>
        <v>#N/A</v>
      </c>
      <c r="F5738" s="19" t="e">
        <f>VLOOKUP(D5738,'لیست پرسنل'!$B$2:$E$1020,4,FALSE)</f>
        <v>#N/A</v>
      </c>
      <c r="G5738" s="127" t="e">
        <f>VLOOKUP(D5738,'لیست پرسنل'!$B$2:$F$1020,2,FALSE)</f>
        <v>#N/A</v>
      </c>
      <c r="H5738" s="127"/>
      <c r="I5738" s="127"/>
      <c r="J5738" s="128"/>
      <c r="K5738" s="127"/>
      <c r="L5738" s="127"/>
      <c r="M5738" s="127"/>
      <c r="N5738" s="110"/>
      <c r="O5738" s="66"/>
      <c r="P5738" s="20"/>
      <c r="Q5738" s="20"/>
    </row>
    <row r="5739" spans="1:17" ht="21">
      <c r="A5739" s="20"/>
      <c r="B5739" s="20"/>
      <c r="C5739" s="20"/>
      <c r="D5739" s="20"/>
      <c r="E5739" s="19" t="e">
        <f>VLOOKUP(D5739,'لیست پرسنل'!$B$2:$E$1020,3,FALSE)</f>
        <v>#N/A</v>
      </c>
      <c r="F5739" s="19" t="e">
        <f>VLOOKUP(D5739,'لیست پرسنل'!$B$2:$E$1020,4,FALSE)</f>
        <v>#N/A</v>
      </c>
      <c r="G5739" s="127" t="e">
        <f>VLOOKUP(D5739,'لیست پرسنل'!$B$2:$F$1020,2,FALSE)</f>
        <v>#N/A</v>
      </c>
      <c r="H5739" s="127"/>
      <c r="I5739" s="127"/>
      <c r="J5739" s="128"/>
      <c r="K5739" s="127"/>
      <c r="L5739" s="127"/>
      <c r="M5739" s="127"/>
      <c r="N5739" s="110"/>
      <c r="O5739" s="66"/>
      <c r="P5739" s="20"/>
      <c r="Q5739" s="20"/>
    </row>
    <row r="5740" spans="1:17" ht="21">
      <c r="A5740" s="20"/>
      <c r="B5740" s="20"/>
      <c r="C5740" s="20"/>
      <c r="D5740" s="20"/>
      <c r="E5740" s="19" t="e">
        <f>VLOOKUP(D5740,'لیست پرسنل'!$B$2:$E$1020,3,FALSE)</f>
        <v>#N/A</v>
      </c>
      <c r="F5740" s="19" t="e">
        <f>VLOOKUP(D5740,'لیست پرسنل'!$B$2:$E$1020,4,FALSE)</f>
        <v>#N/A</v>
      </c>
      <c r="G5740" s="127" t="e">
        <f>VLOOKUP(D5740,'لیست پرسنل'!$B$2:$F$1020,2,FALSE)</f>
        <v>#N/A</v>
      </c>
      <c r="H5740" s="127"/>
      <c r="I5740" s="127"/>
      <c r="J5740" s="128"/>
      <c r="K5740" s="127"/>
      <c r="L5740" s="127"/>
      <c r="M5740" s="127"/>
      <c r="N5740" s="110"/>
      <c r="O5740" s="66"/>
      <c r="P5740" s="20"/>
      <c r="Q5740" s="20"/>
    </row>
    <row r="5741" spans="1:17" ht="21">
      <c r="A5741" s="20"/>
      <c r="B5741" s="20"/>
      <c r="C5741" s="20"/>
      <c r="D5741" s="20"/>
      <c r="E5741" s="19" t="e">
        <f>VLOOKUP(D5741,'لیست پرسنل'!$B$2:$E$1020,3,FALSE)</f>
        <v>#N/A</v>
      </c>
      <c r="F5741" s="19" t="e">
        <f>VLOOKUP(D5741,'لیست پرسنل'!$B$2:$E$1020,4,FALSE)</f>
        <v>#N/A</v>
      </c>
      <c r="G5741" s="127" t="e">
        <f>VLOOKUP(D5741,'لیست پرسنل'!$B$2:$F$1020,2,FALSE)</f>
        <v>#N/A</v>
      </c>
      <c r="H5741" s="127"/>
      <c r="I5741" s="127"/>
      <c r="J5741" s="128"/>
      <c r="K5741" s="127"/>
      <c r="L5741" s="127"/>
      <c r="M5741" s="127"/>
      <c r="N5741" s="110"/>
      <c r="O5741" s="66"/>
      <c r="P5741" s="20"/>
      <c r="Q5741" s="20"/>
    </row>
    <row r="5742" spans="1:17" ht="21">
      <c r="A5742" s="20"/>
      <c r="B5742" s="20"/>
      <c r="C5742" s="20"/>
      <c r="D5742" s="20"/>
      <c r="E5742" s="19" t="e">
        <f>VLOOKUP(D5742,'لیست پرسنل'!$B$2:$E$1020,3,FALSE)</f>
        <v>#N/A</v>
      </c>
      <c r="F5742" s="19" t="e">
        <f>VLOOKUP(D5742,'لیست پرسنل'!$B$2:$E$1020,4,FALSE)</f>
        <v>#N/A</v>
      </c>
      <c r="G5742" s="127" t="e">
        <f>VLOOKUP(D5742,'لیست پرسنل'!$B$2:$F$1020,2,FALSE)</f>
        <v>#N/A</v>
      </c>
      <c r="H5742" s="127"/>
      <c r="I5742" s="127"/>
      <c r="J5742" s="128"/>
      <c r="K5742" s="127"/>
      <c r="L5742" s="127"/>
      <c r="M5742" s="127"/>
      <c r="N5742" s="110"/>
      <c r="O5742" s="66"/>
      <c r="P5742" s="20"/>
      <c r="Q5742" s="20"/>
    </row>
    <row r="5743" spans="1:17" ht="21">
      <c r="A5743" s="20"/>
      <c r="B5743" s="20"/>
      <c r="C5743" s="20"/>
      <c r="D5743" s="20"/>
      <c r="E5743" s="19" t="e">
        <f>VLOOKUP(D5743,'لیست پرسنل'!$B$2:$E$1020,3,FALSE)</f>
        <v>#N/A</v>
      </c>
      <c r="F5743" s="19" t="e">
        <f>VLOOKUP(D5743,'لیست پرسنل'!$B$2:$E$1020,4,FALSE)</f>
        <v>#N/A</v>
      </c>
      <c r="G5743" s="127" t="e">
        <f>VLOOKUP(D5743,'لیست پرسنل'!$B$2:$F$1020,2,FALSE)</f>
        <v>#N/A</v>
      </c>
      <c r="H5743" s="127"/>
      <c r="I5743" s="127"/>
      <c r="J5743" s="128"/>
      <c r="K5743" s="127"/>
      <c r="L5743" s="127"/>
      <c r="M5743" s="127"/>
      <c r="N5743" s="110"/>
      <c r="O5743" s="66"/>
      <c r="P5743" s="20"/>
      <c r="Q5743" s="20"/>
    </row>
    <row r="5744" spans="1:17" ht="21">
      <c r="A5744" s="20"/>
      <c r="B5744" s="20"/>
      <c r="C5744" s="20"/>
      <c r="D5744" s="20"/>
      <c r="E5744" s="19" t="e">
        <f>VLOOKUP(D5744,'لیست پرسنل'!$B$2:$E$1020,3,FALSE)</f>
        <v>#N/A</v>
      </c>
      <c r="F5744" s="19" t="e">
        <f>VLOOKUP(D5744,'لیست پرسنل'!$B$2:$E$1020,4,FALSE)</f>
        <v>#N/A</v>
      </c>
      <c r="G5744" s="127" t="e">
        <f>VLOOKUP(D5744,'لیست پرسنل'!$B$2:$F$1020,2,FALSE)</f>
        <v>#N/A</v>
      </c>
      <c r="H5744" s="127"/>
      <c r="I5744" s="127"/>
      <c r="J5744" s="128"/>
      <c r="K5744" s="127"/>
      <c r="L5744" s="127"/>
      <c r="M5744" s="127"/>
      <c r="N5744" s="110"/>
      <c r="O5744" s="66"/>
      <c r="P5744" s="20"/>
      <c r="Q5744" s="20"/>
    </row>
    <row r="5745" spans="1:17" ht="21">
      <c r="A5745" s="20"/>
      <c r="B5745" s="20"/>
      <c r="C5745" s="20"/>
      <c r="D5745" s="20"/>
      <c r="E5745" s="19" t="e">
        <f>VLOOKUP(D5745,'لیست پرسنل'!$B$2:$E$1020,3,FALSE)</f>
        <v>#N/A</v>
      </c>
      <c r="F5745" s="19" t="e">
        <f>VLOOKUP(D5745,'لیست پرسنل'!$B$2:$E$1020,4,FALSE)</f>
        <v>#N/A</v>
      </c>
      <c r="G5745" s="127" t="e">
        <f>VLOOKUP(D5745,'لیست پرسنل'!$B$2:$F$1020,2,FALSE)</f>
        <v>#N/A</v>
      </c>
      <c r="H5745" s="127"/>
      <c r="I5745" s="127"/>
      <c r="J5745" s="128"/>
      <c r="K5745" s="127"/>
      <c r="L5745" s="127"/>
      <c r="M5745" s="127"/>
      <c r="N5745" s="110"/>
      <c r="O5745" s="66"/>
      <c r="P5745" s="20"/>
      <c r="Q5745" s="20"/>
    </row>
    <row r="5746" spans="1:17" ht="21">
      <c r="A5746" s="20"/>
      <c r="B5746" s="20"/>
      <c r="C5746" s="20"/>
      <c r="D5746" s="20"/>
      <c r="E5746" s="19" t="e">
        <f>VLOOKUP(D5746,'لیست پرسنل'!$B$2:$E$1020,3,FALSE)</f>
        <v>#N/A</v>
      </c>
      <c r="F5746" s="19" t="e">
        <f>VLOOKUP(D5746,'لیست پرسنل'!$B$2:$E$1020,4,FALSE)</f>
        <v>#N/A</v>
      </c>
      <c r="G5746" s="127" t="e">
        <f>VLOOKUP(D5746,'لیست پرسنل'!$B$2:$F$1020,2,FALSE)</f>
        <v>#N/A</v>
      </c>
      <c r="H5746" s="127"/>
      <c r="I5746" s="127"/>
      <c r="J5746" s="128"/>
      <c r="K5746" s="127"/>
      <c r="L5746" s="127"/>
      <c r="M5746" s="127"/>
      <c r="N5746" s="110"/>
      <c r="O5746" s="66"/>
      <c r="P5746" s="20"/>
      <c r="Q5746" s="20"/>
    </row>
    <row r="5747" spans="1:17" ht="21">
      <c r="A5747" s="20"/>
      <c r="B5747" s="20"/>
      <c r="C5747" s="20"/>
      <c r="D5747" s="20"/>
      <c r="E5747" s="19" t="e">
        <f>VLOOKUP(D5747,'لیست پرسنل'!$B$2:$E$1020,3,FALSE)</f>
        <v>#N/A</v>
      </c>
      <c r="F5747" s="19" t="e">
        <f>VLOOKUP(D5747,'لیست پرسنل'!$B$2:$E$1020,4,FALSE)</f>
        <v>#N/A</v>
      </c>
      <c r="G5747" s="127" t="e">
        <f>VLOOKUP(D5747,'لیست پرسنل'!$B$2:$F$1020,2,FALSE)</f>
        <v>#N/A</v>
      </c>
      <c r="H5747" s="127"/>
      <c r="I5747" s="127"/>
      <c r="J5747" s="128"/>
      <c r="K5747" s="127"/>
      <c r="L5747" s="127"/>
      <c r="M5747" s="127"/>
      <c r="N5747" s="110"/>
      <c r="O5747" s="66"/>
      <c r="P5747" s="20"/>
      <c r="Q5747" s="20"/>
    </row>
    <row r="5748" spans="1:17" ht="21">
      <c r="A5748" s="20"/>
      <c r="B5748" s="20"/>
      <c r="C5748" s="20"/>
      <c r="D5748" s="20"/>
      <c r="E5748" s="19" t="e">
        <f>VLOOKUP(D5748,'لیست پرسنل'!$B$2:$E$1020,3,FALSE)</f>
        <v>#N/A</v>
      </c>
      <c r="F5748" s="19" t="e">
        <f>VLOOKUP(D5748,'لیست پرسنل'!$B$2:$E$1020,4,FALSE)</f>
        <v>#N/A</v>
      </c>
      <c r="G5748" s="127" t="e">
        <f>VLOOKUP(D5748,'لیست پرسنل'!$B$2:$F$1020,2,FALSE)</f>
        <v>#N/A</v>
      </c>
      <c r="H5748" s="127"/>
      <c r="I5748" s="127"/>
      <c r="J5748" s="128"/>
      <c r="K5748" s="127"/>
      <c r="L5748" s="127"/>
      <c r="M5748" s="127"/>
      <c r="N5748" s="110"/>
      <c r="O5748" s="66"/>
      <c r="P5748" s="20"/>
      <c r="Q5748" s="20"/>
    </row>
    <row r="5749" spans="1:17" ht="21">
      <c r="A5749" s="20"/>
      <c r="B5749" s="20"/>
      <c r="C5749" s="20"/>
      <c r="D5749" s="20"/>
      <c r="E5749" s="19" t="e">
        <f>VLOOKUP(D5749,'لیست پرسنل'!$B$2:$E$1020,3,FALSE)</f>
        <v>#N/A</v>
      </c>
      <c r="F5749" s="19" t="e">
        <f>VLOOKUP(D5749,'لیست پرسنل'!$B$2:$E$1020,4,FALSE)</f>
        <v>#N/A</v>
      </c>
      <c r="G5749" s="127" t="e">
        <f>VLOOKUP(D5749,'لیست پرسنل'!$B$2:$F$1020,2,FALSE)</f>
        <v>#N/A</v>
      </c>
      <c r="H5749" s="127"/>
      <c r="I5749" s="127"/>
      <c r="J5749" s="128"/>
      <c r="K5749" s="127"/>
      <c r="L5749" s="127"/>
      <c r="M5749" s="127"/>
      <c r="N5749" s="110"/>
      <c r="O5749" s="66"/>
      <c r="P5749" s="20"/>
      <c r="Q5749" s="20"/>
    </row>
    <row r="5750" spans="1:17" ht="21">
      <c r="A5750" s="20"/>
      <c r="B5750" s="20"/>
      <c r="C5750" s="20"/>
      <c r="D5750" s="20"/>
      <c r="E5750" s="19" t="e">
        <f>VLOOKUP(D5750,'لیست پرسنل'!$B$2:$E$1020,3,FALSE)</f>
        <v>#N/A</v>
      </c>
      <c r="F5750" s="19" t="e">
        <f>VLOOKUP(D5750,'لیست پرسنل'!$B$2:$E$1020,4,FALSE)</f>
        <v>#N/A</v>
      </c>
      <c r="G5750" s="127" t="e">
        <f>VLOOKUP(D5750,'لیست پرسنل'!$B$2:$F$1020,2,FALSE)</f>
        <v>#N/A</v>
      </c>
      <c r="H5750" s="127"/>
      <c r="I5750" s="127"/>
      <c r="J5750" s="128"/>
      <c r="K5750" s="127"/>
      <c r="L5750" s="127"/>
      <c r="M5750" s="127"/>
      <c r="N5750" s="110"/>
      <c r="O5750" s="66"/>
      <c r="P5750" s="20"/>
      <c r="Q5750" s="20"/>
    </row>
    <row r="5751" spans="1:17" ht="21">
      <c r="A5751" s="20"/>
      <c r="B5751" s="20"/>
      <c r="C5751" s="20"/>
      <c r="D5751" s="20"/>
      <c r="E5751" s="19" t="e">
        <f>VLOOKUP(D5751,'لیست پرسنل'!$B$2:$E$1020,3,FALSE)</f>
        <v>#N/A</v>
      </c>
      <c r="F5751" s="19" t="e">
        <f>VLOOKUP(D5751,'لیست پرسنل'!$B$2:$E$1020,4,FALSE)</f>
        <v>#N/A</v>
      </c>
      <c r="G5751" s="127" t="e">
        <f>VLOOKUP(D5751,'لیست پرسنل'!$B$2:$F$1020,2,FALSE)</f>
        <v>#N/A</v>
      </c>
      <c r="H5751" s="127"/>
      <c r="I5751" s="127"/>
      <c r="J5751" s="128"/>
      <c r="K5751" s="127"/>
      <c r="L5751" s="127"/>
      <c r="M5751" s="127"/>
      <c r="N5751" s="110"/>
      <c r="O5751" s="66"/>
      <c r="P5751" s="20"/>
      <c r="Q5751" s="20"/>
    </row>
    <row r="5752" spans="1:17" ht="21">
      <c r="A5752" s="20"/>
      <c r="B5752" s="20"/>
      <c r="C5752" s="20"/>
      <c r="D5752" s="20"/>
      <c r="E5752" s="19" t="e">
        <f>VLOOKUP(D5752,'لیست پرسنل'!$B$2:$E$1020,3,FALSE)</f>
        <v>#N/A</v>
      </c>
      <c r="F5752" s="19" t="e">
        <f>VLOOKUP(D5752,'لیست پرسنل'!$B$2:$E$1020,4,FALSE)</f>
        <v>#N/A</v>
      </c>
      <c r="G5752" s="127" t="e">
        <f>VLOOKUP(D5752,'لیست پرسنل'!$B$2:$F$1020,2,FALSE)</f>
        <v>#N/A</v>
      </c>
      <c r="H5752" s="127"/>
      <c r="I5752" s="127"/>
      <c r="J5752" s="128"/>
      <c r="K5752" s="127"/>
      <c r="L5752" s="127"/>
      <c r="M5752" s="127"/>
      <c r="N5752" s="110"/>
      <c r="O5752" s="66"/>
      <c r="P5752" s="20"/>
      <c r="Q5752" s="20"/>
    </row>
    <row r="5753" spans="1:17" ht="21">
      <c r="A5753" s="20"/>
      <c r="B5753" s="20"/>
      <c r="C5753" s="20"/>
      <c r="D5753" s="20"/>
      <c r="E5753" s="19" t="e">
        <f>VLOOKUP(D5753,'لیست پرسنل'!$B$2:$E$1020,3,FALSE)</f>
        <v>#N/A</v>
      </c>
      <c r="F5753" s="19" t="e">
        <f>VLOOKUP(D5753,'لیست پرسنل'!$B$2:$E$1020,4,FALSE)</f>
        <v>#N/A</v>
      </c>
      <c r="G5753" s="127" t="e">
        <f>VLOOKUP(D5753,'لیست پرسنل'!$B$2:$F$1020,2,FALSE)</f>
        <v>#N/A</v>
      </c>
      <c r="H5753" s="127"/>
      <c r="I5753" s="127"/>
      <c r="J5753" s="128"/>
      <c r="K5753" s="127"/>
      <c r="L5753" s="127"/>
      <c r="M5753" s="127"/>
      <c r="N5753" s="110"/>
      <c r="O5753" s="66"/>
      <c r="P5753" s="20"/>
      <c r="Q5753" s="20"/>
    </row>
    <row r="5754" spans="1:17" ht="21">
      <c r="A5754" s="20"/>
      <c r="B5754" s="20"/>
      <c r="C5754" s="20"/>
      <c r="D5754" s="20"/>
      <c r="E5754" s="19" t="e">
        <f>VLOOKUP(D5754,'لیست پرسنل'!$B$2:$E$1020,3,FALSE)</f>
        <v>#N/A</v>
      </c>
      <c r="F5754" s="19" t="e">
        <f>VLOOKUP(D5754,'لیست پرسنل'!$B$2:$E$1020,4,FALSE)</f>
        <v>#N/A</v>
      </c>
      <c r="G5754" s="127" t="e">
        <f>VLOOKUP(D5754,'لیست پرسنل'!$B$2:$F$1020,2,FALSE)</f>
        <v>#N/A</v>
      </c>
      <c r="H5754" s="127"/>
      <c r="I5754" s="127"/>
      <c r="J5754" s="128"/>
      <c r="K5754" s="127"/>
      <c r="L5754" s="127"/>
      <c r="M5754" s="127"/>
      <c r="N5754" s="110"/>
      <c r="O5754" s="66"/>
      <c r="P5754" s="20"/>
      <c r="Q5754" s="20"/>
    </row>
    <row r="5755" spans="1:17" ht="21">
      <c r="A5755" s="20"/>
      <c r="B5755" s="20"/>
      <c r="C5755" s="20"/>
      <c r="D5755" s="20"/>
      <c r="E5755" s="19" t="e">
        <f>VLOOKUP(D5755,'لیست پرسنل'!$B$2:$E$1020,3,FALSE)</f>
        <v>#N/A</v>
      </c>
      <c r="F5755" s="19" t="e">
        <f>VLOOKUP(D5755,'لیست پرسنل'!$B$2:$E$1020,4,FALSE)</f>
        <v>#N/A</v>
      </c>
      <c r="G5755" s="127" t="e">
        <f>VLOOKUP(D5755,'لیست پرسنل'!$B$2:$F$1020,2,FALSE)</f>
        <v>#N/A</v>
      </c>
      <c r="H5755" s="127"/>
      <c r="I5755" s="127"/>
      <c r="J5755" s="128"/>
      <c r="K5755" s="127"/>
      <c r="L5755" s="127"/>
      <c r="M5755" s="127"/>
      <c r="N5755" s="110"/>
      <c r="O5755" s="66"/>
      <c r="P5755" s="20"/>
      <c r="Q5755" s="20"/>
    </row>
    <row r="5756" spans="1:17" ht="21">
      <c r="A5756" s="20"/>
      <c r="B5756" s="20"/>
      <c r="C5756" s="20"/>
      <c r="D5756" s="20"/>
      <c r="E5756" s="19" t="e">
        <f>VLOOKUP(D5756,'لیست پرسنل'!$B$2:$E$1020,3,FALSE)</f>
        <v>#N/A</v>
      </c>
      <c r="F5756" s="19" t="e">
        <f>VLOOKUP(D5756,'لیست پرسنل'!$B$2:$E$1020,4,FALSE)</f>
        <v>#N/A</v>
      </c>
      <c r="G5756" s="127" t="e">
        <f>VLOOKUP(D5756,'لیست پرسنل'!$B$2:$F$1020,2,FALSE)</f>
        <v>#N/A</v>
      </c>
      <c r="H5756" s="127"/>
      <c r="I5756" s="127"/>
      <c r="J5756" s="128"/>
      <c r="K5756" s="127"/>
      <c r="L5756" s="127"/>
      <c r="M5756" s="127"/>
      <c r="N5756" s="110"/>
      <c r="O5756" s="66"/>
      <c r="P5756" s="20"/>
      <c r="Q5756" s="20"/>
    </row>
    <row r="5757" spans="1:17" ht="21">
      <c r="A5757" s="20"/>
      <c r="B5757" s="20"/>
      <c r="C5757" s="20"/>
      <c r="D5757" s="20"/>
      <c r="E5757" s="19" t="e">
        <f>VLOOKUP(D5757,'لیست پرسنل'!$B$2:$E$1020,3,FALSE)</f>
        <v>#N/A</v>
      </c>
      <c r="F5757" s="19" t="e">
        <f>VLOOKUP(D5757,'لیست پرسنل'!$B$2:$E$1020,4,FALSE)</f>
        <v>#N/A</v>
      </c>
      <c r="G5757" s="127" t="e">
        <f>VLOOKUP(D5757,'لیست پرسنل'!$B$2:$F$1020,2,FALSE)</f>
        <v>#N/A</v>
      </c>
      <c r="H5757" s="127"/>
      <c r="I5757" s="127"/>
      <c r="J5757" s="128"/>
      <c r="K5757" s="127"/>
      <c r="L5757" s="127"/>
      <c r="M5757" s="127"/>
      <c r="N5757" s="110"/>
      <c r="O5757" s="66"/>
      <c r="P5757" s="20"/>
      <c r="Q5757" s="20"/>
    </row>
    <row r="5758" spans="1:17" ht="21">
      <c r="A5758" s="20"/>
      <c r="B5758" s="20"/>
      <c r="C5758" s="20"/>
      <c r="D5758" s="20"/>
      <c r="E5758" s="19" t="e">
        <f>VLOOKUP(D5758,'لیست پرسنل'!$B$2:$E$1020,3,FALSE)</f>
        <v>#N/A</v>
      </c>
      <c r="F5758" s="19" t="e">
        <f>VLOOKUP(D5758,'لیست پرسنل'!$B$2:$E$1020,4,FALSE)</f>
        <v>#N/A</v>
      </c>
      <c r="G5758" s="127" t="e">
        <f>VLOOKUP(D5758,'لیست پرسنل'!$B$2:$F$1020,2,FALSE)</f>
        <v>#N/A</v>
      </c>
      <c r="H5758" s="127"/>
      <c r="I5758" s="127"/>
      <c r="J5758" s="128"/>
      <c r="K5758" s="127"/>
      <c r="L5758" s="127"/>
      <c r="M5758" s="127"/>
      <c r="N5758" s="110"/>
      <c r="O5758" s="66"/>
      <c r="P5758" s="20"/>
      <c r="Q5758" s="20"/>
    </row>
    <row r="5759" spans="1:17" ht="21">
      <c r="A5759" s="20"/>
      <c r="B5759" s="20"/>
      <c r="C5759" s="20"/>
      <c r="D5759" s="20"/>
      <c r="E5759" s="19" t="e">
        <f>VLOOKUP(D5759,'لیست پرسنل'!$B$2:$E$1020,3,FALSE)</f>
        <v>#N/A</v>
      </c>
      <c r="F5759" s="19" t="e">
        <f>VLOOKUP(D5759,'لیست پرسنل'!$B$2:$E$1020,4,FALSE)</f>
        <v>#N/A</v>
      </c>
      <c r="G5759" s="127" t="e">
        <f>VLOOKUP(D5759,'لیست پرسنل'!$B$2:$F$1020,2,FALSE)</f>
        <v>#N/A</v>
      </c>
      <c r="H5759" s="127"/>
      <c r="I5759" s="127"/>
      <c r="J5759" s="128"/>
      <c r="K5759" s="127"/>
      <c r="L5759" s="127"/>
      <c r="M5759" s="127"/>
      <c r="N5759" s="110"/>
      <c r="O5759" s="66"/>
      <c r="P5759" s="20"/>
      <c r="Q5759" s="20"/>
    </row>
    <row r="5760" spans="1:17" ht="21">
      <c r="A5760" s="20"/>
      <c r="B5760" s="20"/>
      <c r="C5760" s="20"/>
      <c r="D5760" s="20"/>
      <c r="E5760" s="19" t="e">
        <f>VLOOKUP(D5760,'لیست پرسنل'!$B$2:$E$1020,3,FALSE)</f>
        <v>#N/A</v>
      </c>
      <c r="F5760" s="19" t="e">
        <f>VLOOKUP(D5760,'لیست پرسنل'!$B$2:$E$1020,4,FALSE)</f>
        <v>#N/A</v>
      </c>
      <c r="G5760" s="127" t="e">
        <f>VLOOKUP(D5760,'لیست پرسنل'!$B$2:$F$1020,2,FALSE)</f>
        <v>#N/A</v>
      </c>
      <c r="H5760" s="127"/>
      <c r="I5760" s="127"/>
      <c r="J5760" s="128"/>
      <c r="K5760" s="127"/>
      <c r="L5760" s="127"/>
      <c r="M5760" s="127"/>
      <c r="N5760" s="110"/>
      <c r="O5760" s="66"/>
      <c r="P5760" s="20"/>
      <c r="Q5760" s="20"/>
    </row>
    <row r="5761" spans="1:17" ht="21">
      <c r="A5761" s="20"/>
      <c r="B5761" s="20"/>
      <c r="C5761" s="20"/>
      <c r="D5761" s="20"/>
      <c r="E5761" s="19" t="e">
        <f>VLOOKUP(D5761,'لیست پرسنل'!$B$2:$E$1020,3,FALSE)</f>
        <v>#N/A</v>
      </c>
      <c r="F5761" s="19" t="e">
        <f>VLOOKUP(D5761,'لیست پرسنل'!$B$2:$E$1020,4,FALSE)</f>
        <v>#N/A</v>
      </c>
      <c r="G5761" s="127" t="e">
        <f>VLOOKUP(D5761,'لیست پرسنل'!$B$2:$F$1020,2,FALSE)</f>
        <v>#N/A</v>
      </c>
      <c r="H5761" s="127"/>
      <c r="I5761" s="127"/>
      <c r="J5761" s="128"/>
      <c r="K5761" s="127"/>
      <c r="L5761" s="127"/>
      <c r="M5761" s="127"/>
      <c r="N5761" s="110"/>
      <c r="O5761" s="66"/>
      <c r="P5761" s="20"/>
      <c r="Q5761" s="20"/>
    </row>
    <row r="5762" spans="1:17" ht="21">
      <c r="A5762" s="20"/>
      <c r="B5762" s="20"/>
      <c r="C5762" s="20"/>
      <c r="D5762" s="20"/>
      <c r="E5762" s="19" t="e">
        <f>VLOOKUP(D5762,'لیست پرسنل'!$B$2:$E$1020,3,FALSE)</f>
        <v>#N/A</v>
      </c>
      <c r="F5762" s="19" t="e">
        <f>VLOOKUP(D5762,'لیست پرسنل'!$B$2:$E$1020,4,FALSE)</f>
        <v>#N/A</v>
      </c>
      <c r="G5762" s="127" t="e">
        <f>VLOOKUP(D5762,'لیست پرسنل'!$B$2:$F$1020,2,FALSE)</f>
        <v>#N/A</v>
      </c>
      <c r="H5762" s="127"/>
      <c r="I5762" s="127"/>
      <c r="J5762" s="128"/>
      <c r="K5762" s="127"/>
      <c r="L5762" s="127"/>
      <c r="M5762" s="127"/>
      <c r="N5762" s="110"/>
      <c r="O5762" s="66"/>
      <c r="P5762" s="20"/>
      <c r="Q5762" s="20"/>
    </row>
    <row r="5763" spans="1:17" ht="21">
      <c r="A5763" s="20"/>
      <c r="B5763" s="20"/>
      <c r="C5763" s="20"/>
      <c r="D5763" s="20"/>
      <c r="E5763" s="19" t="e">
        <f>VLOOKUP(D5763,'لیست پرسنل'!$B$2:$E$1020,3,FALSE)</f>
        <v>#N/A</v>
      </c>
      <c r="F5763" s="19" t="e">
        <f>VLOOKUP(D5763,'لیست پرسنل'!$B$2:$E$1020,4,FALSE)</f>
        <v>#N/A</v>
      </c>
      <c r="G5763" s="127" t="e">
        <f>VLOOKUP(D5763,'لیست پرسنل'!$B$2:$F$1020,2,FALSE)</f>
        <v>#N/A</v>
      </c>
      <c r="H5763" s="127"/>
      <c r="I5763" s="127"/>
      <c r="J5763" s="128"/>
      <c r="K5763" s="127"/>
      <c r="L5763" s="127"/>
      <c r="M5763" s="127"/>
      <c r="N5763" s="110"/>
      <c r="O5763" s="66"/>
      <c r="P5763" s="20"/>
      <c r="Q5763" s="20"/>
    </row>
    <row r="5764" spans="1:17" ht="21">
      <c r="A5764" s="20"/>
      <c r="B5764" s="20"/>
      <c r="C5764" s="20"/>
      <c r="D5764" s="20"/>
      <c r="E5764" s="19" t="e">
        <f>VLOOKUP(D5764,'لیست پرسنل'!$B$2:$E$1020,3,FALSE)</f>
        <v>#N/A</v>
      </c>
      <c r="F5764" s="19" t="e">
        <f>VLOOKUP(D5764,'لیست پرسنل'!$B$2:$E$1020,4,FALSE)</f>
        <v>#N/A</v>
      </c>
      <c r="G5764" s="127" t="e">
        <f>VLOOKUP(D5764,'لیست پرسنل'!$B$2:$F$1020,2,FALSE)</f>
        <v>#N/A</v>
      </c>
      <c r="H5764" s="127"/>
      <c r="I5764" s="127"/>
      <c r="J5764" s="128"/>
      <c r="K5764" s="127"/>
      <c r="L5764" s="127"/>
      <c r="M5764" s="127"/>
      <c r="N5764" s="110"/>
      <c r="O5764" s="66"/>
      <c r="P5764" s="20"/>
      <c r="Q5764" s="20"/>
    </row>
    <row r="5765" spans="1:17" ht="21">
      <c r="A5765" s="20"/>
      <c r="B5765" s="20"/>
      <c r="C5765" s="20"/>
      <c r="D5765" s="20"/>
      <c r="E5765" s="19" t="e">
        <f>VLOOKUP(D5765,'لیست پرسنل'!$B$2:$E$1020,3,FALSE)</f>
        <v>#N/A</v>
      </c>
      <c r="F5765" s="19" t="e">
        <f>VLOOKUP(D5765,'لیست پرسنل'!$B$2:$E$1020,4,FALSE)</f>
        <v>#N/A</v>
      </c>
      <c r="G5765" s="127" t="e">
        <f>VLOOKUP(D5765,'لیست پرسنل'!$B$2:$F$1020,2,FALSE)</f>
        <v>#N/A</v>
      </c>
      <c r="H5765" s="127"/>
      <c r="I5765" s="127"/>
      <c r="J5765" s="128"/>
      <c r="K5765" s="127"/>
      <c r="L5765" s="127"/>
      <c r="M5765" s="127"/>
      <c r="N5765" s="110"/>
      <c r="O5765" s="66"/>
      <c r="P5765" s="20"/>
      <c r="Q5765" s="20"/>
    </row>
    <row r="5766" spans="1:17" ht="21">
      <c r="A5766" s="20"/>
      <c r="B5766" s="20"/>
      <c r="C5766" s="20"/>
      <c r="D5766" s="20"/>
      <c r="E5766" s="19" t="e">
        <f>VLOOKUP(D5766,'لیست پرسنل'!$B$2:$E$1020,3,FALSE)</f>
        <v>#N/A</v>
      </c>
      <c r="F5766" s="19" t="e">
        <f>VLOOKUP(D5766,'لیست پرسنل'!$B$2:$E$1020,4,FALSE)</f>
        <v>#N/A</v>
      </c>
      <c r="G5766" s="127" t="e">
        <f>VLOOKUP(D5766,'لیست پرسنل'!$B$2:$F$1020,2,FALSE)</f>
        <v>#N/A</v>
      </c>
      <c r="H5766" s="127"/>
      <c r="I5766" s="127"/>
      <c r="J5766" s="128"/>
      <c r="K5766" s="127"/>
      <c r="L5766" s="127"/>
      <c r="M5766" s="127"/>
      <c r="N5766" s="110"/>
      <c r="O5766" s="66"/>
      <c r="P5766" s="20"/>
      <c r="Q5766" s="20"/>
    </row>
    <row r="5767" spans="1:17" ht="21">
      <c r="A5767" s="20"/>
      <c r="B5767" s="20"/>
      <c r="C5767" s="20"/>
      <c r="D5767" s="20"/>
      <c r="E5767" s="19" t="e">
        <f>VLOOKUP(D5767,'لیست پرسنل'!$B$2:$E$1020,3,FALSE)</f>
        <v>#N/A</v>
      </c>
      <c r="F5767" s="19" t="e">
        <f>VLOOKUP(D5767,'لیست پرسنل'!$B$2:$E$1020,4,FALSE)</f>
        <v>#N/A</v>
      </c>
      <c r="G5767" s="127" t="e">
        <f>VLOOKUP(D5767,'لیست پرسنل'!$B$2:$F$1020,2,FALSE)</f>
        <v>#N/A</v>
      </c>
      <c r="H5767" s="127"/>
      <c r="I5767" s="127"/>
      <c r="J5767" s="128"/>
      <c r="K5767" s="127"/>
      <c r="L5767" s="127"/>
      <c r="M5767" s="127"/>
      <c r="N5767" s="110"/>
      <c r="O5767" s="66"/>
      <c r="P5767" s="20"/>
      <c r="Q5767" s="20"/>
    </row>
    <row r="5768" spans="1:17" ht="21">
      <c r="A5768" s="20"/>
      <c r="B5768" s="20"/>
      <c r="C5768" s="20"/>
      <c r="D5768" s="20"/>
      <c r="E5768" s="19" t="e">
        <f>VLOOKUP(D5768,'لیست پرسنل'!$B$2:$E$1020,3,FALSE)</f>
        <v>#N/A</v>
      </c>
      <c r="F5768" s="19" t="e">
        <f>VLOOKUP(D5768,'لیست پرسنل'!$B$2:$E$1020,4,FALSE)</f>
        <v>#N/A</v>
      </c>
      <c r="G5768" s="127" t="e">
        <f>VLOOKUP(D5768,'لیست پرسنل'!$B$2:$F$1020,2,FALSE)</f>
        <v>#N/A</v>
      </c>
      <c r="H5768" s="127"/>
      <c r="I5768" s="127"/>
      <c r="J5768" s="128"/>
      <c r="K5768" s="127"/>
      <c r="L5768" s="127"/>
      <c r="M5768" s="127"/>
      <c r="N5768" s="110"/>
      <c r="O5768" s="66"/>
      <c r="P5768" s="20"/>
      <c r="Q5768" s="20"/>
    </row>
    <row r="5769" spans="1:17" ht="21">
      <c r="A5769" s="20"/>
      <c r="B5769" s="20"/>
      <c r="C5769" s="20"/>
      <c r="D5769" s="20"/>
      <c r="E5769" s="19" t="e">
        <f>VLOOKUP(D5769,'لیست پرسنل'!$B$2:$E$1020,3,FALSE)</f>
        <v>#N/A</v>
      </c>
      <c r="F5769" s="19" t="e">
        <f>VLOOKUP(D5769,'لیست پرسنل'!$B$2:$E$1020,4,FALSE)</f>
        <v>#N/A</v>
      </c>
      <c r="G5769" s="127" t="e">
        <f>VLOOKUP(D5769,'لیست پرسنل'!$B$2:$F$1020,2,FALSE)</f>
        <v>#N/A</v>
      </c>
      <c r="H5769" s="127"/>
      <c r="I5769" s="127"/>
      <c r="J5769" s="128"/>
      <c r="K5769" s="127"/>
      <c r="L5769" s="127"/>
      <c r="M5769" s="127"/>
      <c r="N5769" s="110"/>
      <c r="O5769" s="66"/>
      <c r="P5769" s="20"/>
      <c r="Q5769" s="20"/>
    </row>
    <row r="5770" spans="1:17" ht="21">
      <c r="A5770" s="20"/>
      <c r="B5770" s="20"/>
      <c r="C5770" s="20"/>
      <c r="D5770" s="20"/>
      <c r="E5770" s="19" t="e">
        <f>VLOOKUP(D5770,'لیست پرسنل'!$B$2:$E$1020,3,FALSE)</f>
        <v>#N/A</v>
      </c>
      <c r="F5770" s="19" t="e">
        <f>VLOOKUP(D5770,'لیست پرسنل'!$B$2:$E$1020,4,FALSE)</f>
        <v>#N/A</v>
      </c>
      <c r="G5770" s="127" t="e">
        <f>VLOOKUP(D5770,'لیست پرسنل'!$B$2:$F$1020,2,FALSE)</f>
        <v>#N/A</v>
      </c>
      <c r="H5770" s="127"/>
      <c r="I5770" s="127"/>
      <c r="J5770" s="128"/>
      <c r="K5770" s="127"/>
      <c r="L5770" s="127"/>
      <c r="M5770" s="127"/>
      <c r="N5770" s="110"/>
      <c r="O5770" s="66"/>
      <c r="P5770" s="20"/>
      <c r="Q5770" s="20"/>
    </row>
    <row r="5771" spans="1:17" ht="21">
      <c r="A5771" s="20"/>
      <c r="B5771" s="20"/>
      <c r="C5771" s="20"/>
      <c r="D5771" s="20"/>
      <c r="E5771" s="19" t="e">
        <f>VLOOKUP(D5771,'لیست پرسنل'!$B$2:$E$1020,3,FALSE)</f>
        <v>#N/A</v>
      </c>
      <c r="F5771" s="19" t="e">
        <f>VLOOKUP(D5771,'لیست پرسنل'!$B$2:$E$1020,4,FALSE)</f>
        <v>#N/A</v>
      </c>
      <c r="G5771" s="127" t="e">
        <f>VLOOKUP(D5771,'لیست پرسنل'!$B$2:$F$1020,2,FALSE)</f>
        <v>#N/A</v>
      </c>
      <c r="H5771" s="127"/>
      <c r="I5771" s="127"/>
      <c r="J5771" s="128"/>
      <c r="K5771" s="127"/>
      <c r="L5771" s="127"/>
      <c r="M5771" s="127"/>
      <c r="N5771" s="110"/>
      <c r="O5771" s="66"/>
      <c r="P5771" s="20"/>
      <c r="Q5771" s="20"/>
    </row>
    <row r="5772" spans="1:17" ht="21">
      <c r="A5772" s="20"/>
      <c r="B5772" s="20"/>
      <c r="C5772" s="20"/>
      <c r="D5772" s="20"/>
      <c r="E5772" s="19" t="e">
        <f>VLOOKUP(D5772,'لیست پرسنل'!$B$2:$E$1020,3,FALSE)</f>
        <v>#N/A</v>
      </c>
      <c r="F5772" s="19" t="e">
        <f>VLOOKUP(D5772,'لیست پرسنل'!$B$2:$E$1020,4,FALSE)</f>
        <v>#N/A</v>
      </c>
      <c r="G5772" s="127" t="e">
        <f>VLOOKUP(D5772,'لیست پرسنل'!$B$2:$F$1020,2,FALSE)</f>
        <v>#N/A</v>
      </c>
      <c r="H5772" s="127"/>
      <c r="I5772" s="127"/>
      <c r="J5772" s="128"/>
      <c r="K5772" s="127"/>
      <c r="L5772" s="127"/>
      <c r="M5772" s="127"/>
      <c r="N5772" s="110"/>
      <c r="O5772" s="66"/>
      <c r="P5772" s="20"/>
      <c r="Q5772" s="20"/>
    </row>
    <row r="5773" spans="1:17" ht="21">
      <c r="A5773" s="20"/>
      <c r="B5773" s="20"/>
      <c r="C5773" s="20"/>
      <c r="D5773" s="20"/>
      <c r="E5773" s="19" t="e">
        <f>VLOOKUP(D5773,'لیست پرسنل'!$B$2:$E$1020,3,FALSE)</f>
        <v>#N/A</v>
      </c>
      <c r="F5773" s="19" t="e">
        <f>VLOOKUP(D5773,'لیست پرسنل'!$B$2:$E$1020,4,FALSE)</f>
        <v>#N/A</v>
      </c>
      <c r="G5773" s="127" t="e">
        <f>VLOOKUP(D5773,'لیست پرسنل'!$B$2:$F$1020,2,FALSE)</f>
        <v>#N/A</v>
      </c>
      <c r="H5773" s="127"/>
      <c r="I5773" s="127"/>
      <c r="J5773" s="128"/>
      <c r="K5773" s="127"/>
      <c r="L5773" s="127"/>
      <c r="M5773" s="127"/>
      <c r="N5773" s="110"/>
      <c r="O5773" s="66"/>
      <c r="P5773" s="20"/>
      <c r="Q5773" s="20"/>
    </row>
    <row r="5774" spans="1:17" ht="21">
      <c r="A5774" s="20"/>
      <c r="B5774" s="20"/>
      <c r="C5774" s="20"/>
      <c r="D5774" s="20"/>
      <c r="E5774" s="19" t="e">
        <f>VLOOKUP(D5774,'لیست پرسنل'!$B$2:$E$1020,3,FALSE)</f>
        <v>#N/A</v>
      </c>
      <c r="F5774" s="19" t="e">
        <f>VLOOKUP(D5774,'لیست پرسنل'!$B$2:$E$1020,4,FALSE)</f>
        <v>#N/A</v>
      </c>
      <c r="G5774" s="127" t="e">
        <f>VLOOKUP(D5774,'لیست پرسنل'!$B$2:$F$1020,2,FALSE)</f>
        <v>#N/A</v>
      </c>
      <c r="H5774" s="127"/>
      <c r="I5774" s="127"/>
      <c r="J5774" s="128"/>
      <c r="K5774" s="127"/>
      <c r="L5774" s="127"/>
      <c r="M5774" s="127"/>
      <c r="N5774" s="110"/>
      <c r="O5774" s="66"/>
      <c r="P5774" s="20"/>
      <c r="Q5774" s="20"/>
    </row>
    <row r="5775" spans="1:17" ht="21">
      <c r="A5775" s="20"/>
      <c r="B5775" s="20"/>
      <c r="C5775" s="20"/>
      <c r="D5775" s="20"/>
      <c r="E5775" s="19" t="e">
        <f>VLOOKUP(D5775,'لیست پرسنل'!$B$2:$E$1020,3,FALSE)</f>
        <v>#N/A</v>
      </c>
      <c r="F5775" s="19" t="e">
        <f>VLOOKUP(D5775,'لیست پرسنل'!$B$2:$E$1020,4,FALSE)</f>
        <v>#N/A</v>
      </c>
      <c r="G5775" s="127" t="e">
        <f>VLOOKUP(D5775,'لیست پرسنل'!$B$2:$F$1020,2,FALSE)</f>
        <v>#N/A</v>
      </c>
      <c r="H5775" s="127"/>
      <c r="I5775" s="127"/>
      <c r="J5775" s="128"/>
      <c r="K5775" s="127"/>
      <c r="L5775" s="127"/>
      <c r="M5775" s="127"/>
      <c r="N5775" s="110"/>
      <c r="O5775" s="66"/>
      <c r="P5775" s="20"/>
      <c r="Q5775" s="20"/>
    </row>
    <row r="5776" spans="1:17" ht="21">
      <c r="A5776" s="20"/>
      <c r="B5776" s="20"/>
      <c r="C5776" s="20"/>
      <c r="D5776" s="20"/>
      <c r="E5776" s="19" t="e">
        <f>VLOOKUP(D5776,'لیست پرسنل'!$B$2:$E$1020,3,FALSE)</f>
        <v>#N/A</v>
      </c>
      <c r="F5776" s="19" t="e">
        <f>VLOOKUP(D5776,'لیست پرسنل'!$B$2:$E$1020,4,FALSE)</f>
        <v>#N/A</v>
      </c>
      <c r="G5776" s="127" t="e">
        <f>VLOOKUP(D5776,'لیست پرسنل'!$B$2:$F$1020,2,FALSE)</f>
        <v>#N/A</v>
      </c>
      <c r="H5776" s="127"/>
      <c r="I5776" s="127"/>
      <c r="J5776" s="128"/>
      <c r="K5776" s="127"/>
      <c r="L5776" s="127"/>
      <c r="M5776" s="127"/>
      <c r="N5776" s="110"/>
      <c r="O5776" s="66"/>
      <c r="P5776" s="20"/>
      <c r="Q5776" s="20"/>
    </row>
    <row r="5777" spans="1:17" ht="21">
      <c r="A5777" s="20"/>
      <c r="B5777" s="20"/>
      <c r="C5777" s="20"/>
      <c r="D5777" s="20"/>
      <c r="E5777" s="19" t="e">
        <f>VLOOKUP(D5777,'لیست پرسنل'!$B$2:$E$1020,3,FALSE)</f>
        <v>#N/A</v>
      </c>
      <c r="F5777" s="19" t="e">
        <f>VLOOKUP(D5777,'لیست پرسنل'!$B$2:$E$1020,4,FALSE)</f>
        <v>#N/A</v>
      </c>
      <c r="G5777" s="127" t="e">
        <f>VLOOKUP(D5777,'لیست پرسنل'!$B$2:$F$1020,2,FALSE)</f>
        <v>#N/A</v>
      </c>
      <c r="H5777" s="127"/>
      <c r="I5777" s="127"/>
      <c r="J5777" s="128"/>
      <c r="K5777" s="127"/>
      <c r="L5777" s="127"/>
      <c r="M5777" s="127"/>
      <c r="N5777" s="110"/>
      <c r="O5777" s="66"/>
      <c r="P5777" s="20"/>
      <c r="Q5777" s="20"/>
    </row>
    <row r="5778" spans="1:17" ht="21">
      <c r="A5778" s="20"/>
      <c r="B5778" s="20"/>
      <c r="C5778" s="20"/>
      <c r="D5778" s="20"/>
      <c r="E5778" s="19" t="e">
        <f>VLOOKUP(D5778,'لیست پرسنل'!$B$2:$E$1020,3,FALSE)</f>
        <v>#N/A</v>
      </c>
      <c r="F5778" s="19" t="e">
        <f>VLOOKUP(D5778,'لیست پرسنل'!$B$2:$E$1020,4,FALSE)</f>
        <v>#N/A</v>
      </c>
      <c r="G5778" s="127" t="e">
        <f>VLOOKUP(D5778,'لیست پرسنل'!$B$2:$F$1020,2,FALSE)</f>
        <v>#N/A</v>
      </c>
      <c r="H5778" s="127"/>
      <c r="I5778" s="127"/>
      <c r="J5778" s="128"/>
      <c r="K5778" s="127"/>
      <c r="L5778" s="127"/>
      <c r="M5778" s="127"/>
      <c r="N5778" s="110"/>
      <c r="O5778" s="66"/>
      <c r="P5778" s="20"/>
      <c r="Q5778" s="20"/>
    </row>
    <row r="5779" spans="1:17" ht="21">
      <c r="A5779" s="20"/>
      <c r="B5779" s="20"/>
      <c r="C5779" s="20"/>
      <c r="D5779" s="20"/>
      <c r="E5779" s="19" t="e">
        <f>VLOOKUP(D5779,'لیست پرسنل'!$B$2:$E$1020,3,FALSE)</f>
        <v>#N/A</v>
      </c>
      <c r="F5779" s="19" t="e">
        <f>VLOOKUP(D5779,'لیست پرسنل'!$B$2:$E$1020,4,FALSE)</f>
        <v>#N/A</v>
      </c>
      <c r="G5779" s="127" t="e">
        <f>VLOOKUP(D5779,'لیست پرسنل'!$B$2:$F$1020,2,FALSE)</f>
        <v>#N/A</v>
      </c>
      <c r="H5779" s="127"/>
      <c r="I5779" s="127"/>
      <c r="J5779" s="128"/>
      <c r="K5779" s="127"/>
      <c r="L5779" s="127"/>
      <c r="M5779" s="127"/>
      <c r="N5779" s="110"/>
      <c r="O5779" s="66"/>
      <c r="P5779" s="20"/>
      <c r="Q5779" s="20"/>
    </row>
    <row r="5780" spans="1:17" ht="21">
      <c r="A5780" s="20"/>
      <c r="B5780" s="20"/>
      <c r="C5780" s="20"/>
      <c r="D5780" s="20"/>
      <c r="E5780" s="19" t="e">
        <f>VLOOKUP(D5780,'لیست پرسنل'!$B$2:$E$1020,3,FALSE)</f>
        <v>#N/A</v>
      </c>
      <c r="F5780" s="19" t="e">
        <f>VLOOKUP(D5780,'لیست پرسنل'!$B$2:$E$1020,4,FALSE)</f>
        <v>#N/A</v>
      </c>
      <c r="G5780" s="127" t="e">
        <f>VLOOKUP(D5780,'لیست پرسنل'!$B$2:$F$1020,2,FALSE)</f>
        <v>#N/A</v>
      </c>
      <c r="H5780" s="127"/>
      <c r="I5780" s="127"/>
      <c r="J5780" s="128"/>
      <c r="K5780" s="127"/>
      <c r="L5780" s="127"/>
      <c r="M5780" s="127"/>
      <c r="N5780" s="110"/>
      <c r="O5780" s="66"/>
      <c r="P5780" s="20"/>
      <c r="Q5780" s="20"/>
    </row>
    <row r="5781" spans="1:17" ht="21">
      <c r="A5781" s="20"/>
      <c r="B5781" s="20"/>
      <c r="C5781" s="20"/>
      <c r="D5781" s="20"/>
      <c r="E5781" s="19" t="e">
        <f>VLOOKUP(D5781,'لیست پرسنل'!$B$2:$E$1020,3,FALSE)</f>
        <v>#N/A</v>
      </c>
      <c r="F5781" s="19" t="e">
        <f>VLOOKUP(D5781,'لیست پرسنل'!$B$2:$E$1020,4,FALSE)</f>
        <v>#N/A</v>
      </c>
      <c r="G5781" s="127" t="e">
        <f>VLOOKUP(D5781,'لیست پرسنل'!$B$2:$F$1020,2,FALSE)</f>
        <v>#N/A</v>
      </c>
      <c r="H5781" s="127"/>
      <c r="I5781" s="127"/>
      <c r="J5781" s="128"/>
      <c r="K5781" s="127"/>
      <c r="L5781" s="127"/>
      <c r="M5781" s="127"/>
      <c r="N5781" s="110"/>
      <c r="O5781" s="66"/>
      <c r="P5781" s="20"/>
      <c r="Q5781" s="20"/>
    </row>
    <row r="5782" spans="1:17" ht="21">
      <c r="A5782" s="20"/>
      <c r="B5782" s="20"/>
      <c r="C5782" s="20"/>
      <c r="D5782" s="20"/>
      <c r="E5782" s="19" t="e">
        <f>VLOOKUP(D5782,'لیست پرسنل'!$B$2:$E$1020,3,FALSE)</f>
        <v>#N/A</v>
      </c>
      <c r="F5782" s="19" t="e">
        <f>VLOOKUP(D5782,'لیست پرسنل'!$B$2:$E$1020,4,FALSE)</f>
        <v>#N/A</v>
      </c>
      <c r="G5782" s="127" t="e">
        <f>VLOOKUP(D5782,'لیست پرسنل'!$B$2:$F$1020,2,FALSE)</f>
        <v>#N/A</v>
      </c>
      <c r="H5782" s="127"/>
      <c r="I5782" s="127"/>
      <c r="J5782" s="128"/>
      <c r="K5782" s="127"/>
      <c r="L5782" s="127"/>
      <c r="M5782" s="127"/>
      <c r="N5782" s="110"/>
      <c r="O5782" s="66"/>
      <c r="P5782" s="20"/>
      <c r="Q5782" s="20"/>
    </row>
    <row r="5783" spans="1:17" ht="21">
      <c r="A5783" s="20"/>
      <c r="B5783" s="20"/>
      <c r="C5783" s="20"/>
      <c r="D5783" s="20"/>
      <c r="E5783" s="19" t="e">
        <f>VLOOKUP(D5783,'لیست پرسنل'!$B$2:$E$1020,3,FALSE)</f>
        <v>#N/A</v>
      </c>
      <c r="F5783" s="19" t="e">
        <f>VLOOKUP(D5783,'لیست پرسنل'!$B$2:$E$1020,4,FALSE)</f>
        <v>#N/A</v>
      </c>
      <c r="G5783" s="127" t="e">
        <f>VLOOKUP(D5783,'لیست پرسنل'!$B$2:$F$1020,2,FALSE)</f>
        <v>#N/A</v>
      </c>
      <c r="H5783" s="127"/>
      <c r="I5783" s="127"/>
      <c r="J5783" s="128"/>
      <c r="K5783" s="127"/>
      <c r="L5783" s="127"/>
      <c r="M5783" s="127"/>
      <c r="N5783" s="110"/>
      <c r="O5783" s="66"/>
      <c r="P5783" s="20"/>
      <c r="Q5783" s="20"/>
    </row>
    <row r="5784" spans="1:17" ht="21">
      <c r="A5784" s="20"/>
      <c r="B5784" s="20"/>
      <c r="C5784" s="20"/>
      <c r="D5784" s="20"/>
      <c r="E5784" s="19" t="e">
        <f>VLOOKUP(D5784,'لیست پرسنل'!$B$2:$E$1020,3,FALSE)</f>
        <v>#N/A</v>
      </c>
      <c r="F5784" s="19" t="e">
        <f>VLOOKUP(D5784,'لیست پرسنل'!$B$2:$E$1020,4,FALSE)</f>
        <v>#N/A</v>
      </c>
      <c r="G5784" s="127" t="e">
        <f>VLOOKUP(D5784,'لیست پرسنل'!$B$2:$F$1020,2,FALSE)</f>
        <v>#N/A</v>
      </c>
      <c r="H5784" s="127"/>
      <c r="I5784" s="127"/>
      <c r="J5784" s="128"/>
      <c r="K5784" s="127"/>
      <c r="L5784" s="127"/>
      <c r="M5784" s="127"/>
      <c r="N5784" s="110"/>
      <c r="O5784" s="66"/>
      <c r="P5784" s="20"/>
      <c r="Q5784" s="20"/>
    </row>
    <row r="5785" spans="1:17" ht="21">
      <c r="A5785" s="20"/>
      <c r="B5785" s="20"/>
      <c r="C5785" s="20"/>
      <c r="D5785" s="20"/>
      <c r="E5785" s="19" t="e">
        <f>VLOOKUP(D5785,'لیست پرسنل'!$B$2:$E$1020,3,FALSE)</f>
        <v>#N/A</v>
      </c>
      <c r="F5785" s="19" t="e">
        <f>VLOOKUP(D5785,'لیست پرسنل'!$B$2:$E$1020,4,FALSE)</f>
        <v>#N/A</v>
      </c>
      <c r="G5785" s="127" t="e">
        <f>VLOOKUP(D5785,'لیست پرسنل'!$B$2:$F$1020,2,FALSE)</f>
        <v>#N/A</v>
      </c>
      <c r="H5785" s="127"/>
      <c r="I5785" s="127"/>
      <c r="J5785" s="128"/>
      <c r="K5785" s="127"/>
      <c r="L5785" s="127"/>
      <c r="M5785" s="127"/>
      <c r="N5785" s="110"/>
      <c r="O5785" s="66"/>
      <c r="P5785" s="20"/>
      <c r="Q5785" s="20"/>
    </row>
    <row r="5786" spans="1:17" ht="21">
      <c r="A5786" s="20"/>
      <c r="B5786" s="20"/>
      <c r="C5786" s="20"/>
      <c r="D5786" s="20"/>
      <c r="E5786" s="19" t="e">
        <f>VLOOKUP(D5786,'لیست پرسنل'!$B$2:$E$1020,3,FALSE)</f>
        <v>#N/A</v>
      </c>
      <c r="F5786" s="19" t="e">
        <f>VLOOKUP(D5786,'لیست پرسنل'!$B$2:$E$1020,4,FALSE)</f>
        <v>#N/A</v>
      </c>
      <c r="G5786" s="127" t="e">
        <f>VLOOKUP(D5786,'لیست پرسنل'!$B$2:$F$1020,2,FALSE)</f>
        <v>#N/A</v>
      </c>
      <c r="H5786" s="127"/>
      <c r="I5786" s="127"/>
      <c r="J5786" s="128"/>
      <c r="K5786" s="127"/>
      <c r="L5786" s="127"/>
      <c r="M5786" s="127"/>
      <c r="N5786" s="110"/>
      <c r="O5786" s="66"/>
      <c r="P5786" s="20"/>
      <c r="Q5786" s="20"/>
    </row>
    <row r="5787" spans="1:17" ht="21">
      <c r="A5787" s="20"/>
      <c r="B5787" s="20"/>
      <c r="C5787" s="20"/>
      <c r="D5787" s="20"/>
      <c r="E5787" s="19" t="e">
        <f>VLOOKUP(D5787,'لیست پرسنل'!$B$2:$E$1020,3,FALSE)</f>
        <v>#N/A</v>
      </c>
      <c r="F5787" s="19" t="e">
        <f>VLOOKUP(D5787,'لیست پرسنل'!$B$2:$E$1020,4,FALSE)</f>
        <v>#N/A</v>
      </c>
      <c r="G5787" s="127" t="e">
        <f>VLOOKUP(D5787,'لیست پرسنل'!$B$2:$F$1020,2,FALSE)</f>
        <v>#N/A</v>
      </c>
      <c r="H5787" s="127"/>
      <c r="I5787" s="127"/>
      <c r="J5787" s="128"/>
      <c r="K5787" s="127"/>
      <c r="L5787" s="127"/>
      <c r="M5787" s="127"/>
      <c r="N5787" s="110"/>
      <c r="O5787" s="66"/>
      <c r="P5787" s="20"/>
      <c r="Q5787" s="20"/>
    </row>
    <row r="5788" spans="1:17" ht="21">
      <c r="A5788" s="20"/>
      <c r="B5788" s="20"/>
      <c r="C5788" s="20"/>
      <c r="D5788" s="20"/>
      <c r="E5788" s="19" t="e">
        <f>VLOOKUP(D5788,'لیست پرسنل'!$B$2:$E$1020,3,FALSE)</f>
        <v>#N/A</v>
      </c>
      <c r="F5788" s="19" t="e">
        <f>VLOOKUP(D5788,'لیست پرسنل'!$B$2:$E$1020,4,FALSE)</f>
        <v>#N/A</v>
      </c>
      <c r="G5788" s="127" t="e">
        <f>VLOOKUP(D5788,'لیست پرسنل'!$B$2:$F$1020,2,FALSE)</f>
        <v>#N/A</v>
      </c>
      <c r="H5788" s="127"/>
      <c r="I5788" s="127"/>
      <c r="J5788" s="128"/>
      <c r="K5788" s="127"/>
      <c r="L5788" s="127"/>
      <c r="M5788" s="127"/>
      <c r="N5788" s="110"/>
      <c r="O5788" s="66"/>
      <c r="P5788" s="20"/>
      <c r="Q5788" s="20"/>
    </row>
    <row r="5789" spans="1:17" ht="21">
      <c r="A5789" s="20"/>
      <c r="B5789" s="20"/>
      <c r="C5789" s="20"/>
      <c r="D5789" s="20"/>
      <c r="E5789" s="19" t="e">
        <f>VLOOKUP(D5789,'لیست پرسنل'!$B$2:$E$1020,3,FALSE)</f>
        <v>#N/A</v>
      </c>
      <c r="F5789" s="19" t="e">
        <f>VLOOKUP(D5789,'لیست پرسنل'!$B$2:$E$1020,4,FALSE)</f>
        <v>#N/A</v>
      </c>
      <c r="G5789" s="127" t="e">
        <f>VLOOKUP(D5789,'لیست پرسنل'!$B$2:$F$1020,2,FALSE)</f>
        <v>#N/A</v>
      </c>
      <c r="H5789" s="127"/>
      <c r="I5789" s="127"/>
      <c r="J5789" s="128"/>
      <c r="K5789" s="127"/>
      <c r="L5789" s="127"/>
      <c r="M5789" s="127"/>
      <c r="N5789" s="110"/>
      <c r="O5789" s="66"/>
      <c r="P5789" s="20"/>
      <c r="Q5789" s="20"/>
    </row>
    <row r="5790" spans="1:17" ht="21">
      <c r="A5790" s="20"/>
      <c r="B5790" s="20"/>
      <c r="C5790" s="20"/>
      <c r="D5790" s="20"/>
      <c r="E5790" s="19" t="e">
        <f>VLOOKUP(D5790,'لیست پرسنل'!$B$2:$E$1020,3,FALSE)</f>
        <v>#N/A</v>
      </c>
      <c r="F5790" s="19" t="e">
        <f>VLOOKUP(D5790,'لیست پرسنل'!$B$2:$E$1020,4,FALSE)</f>
        <v>#N/A</v>
      </c>
      <c r="G5790" s="127" t="e">
        <f>VLOOKUP(D5790,'لیست پرسنل'!$B$2:$F$1020,2,FALSE)</f>
        <v>#N/A</v>
      </c>
      <c r="H5790" s="127"/>
      <c r="I5790" s="127"/>
      <c r="J5790" s="128"/>
      <c r="K5790" s="127"/>
      <c r="L5790" s="127"/>
      <c r="M5790" s="127"/>
      <c r="N5790" s="110"/>
      <c r="O5790" s="66"/>
      <c r="P5790" s="20"/>
      <c r="Q5790" s="20"/>
    </row>
    <row r="5791" spans="1:17" ht="21">
      <c r="A5791" s="20"/>
      <c r="B5791" s="20"/>
      <c r="C5791" s="20"/>
      <c r="D5791" s="20"/>
      <c r="E5791" s="19" t="e">
        <f>VLOOKUP(D5791,'لیست پرسنل'!$B$2:$E$1020,3,FALSE)</f>
        <v>#N/A</v>
      </c>
      <c r="F5791" s="19" t="e">
        <f>VLOOKUP(D5791,'لیست پرسنل'!$B$2:$E$1020,4,FALSE)</f>
        <v>#N/A</v>
      </c>
      <c r="G5791" s="127" t="e">
        <f>VLOOKUP(D5791,'لیست پرسنل'!$B$2:$F$1020,2,FALSE)</f>
        <v>#N/A</v>
      </c>
      <c r="H5791" s="127"/>
      <c r="I5791" s="127"/>
      <c r="J5791" s="128"/>
      <c r="K5791" s="127"/>
      <c r="L5791" s="127"/>
      <c r="M5791" s="127"/>
      <c r="N5791" s="110"/>
      <c r="O5791" s="66"/>
      <c r="P5791" s="20"/>
      <c r="Q5791" s="20"/>
    </row>
    <row r="5792" spans="1:17" ht="21">
      <c r="A5792" s="20"/>
      <c r="B5792" s="20"/>
      <c r="C5792" s="20"/>
      <c r="D5792" s="20"/>
      <c r="E5792" s="19" t="e">
        <f>VLOOKUP(D5792,'لیست پرسنل'!$B$2:$E$1020,3,FALSE)</f>
        <v>#N/A</v>
      </c>
      <c r="F5792" s="19" t="e">
        <f>VLOOKUP(D5792,'لیست پرسنل'!$B$2:$E$1020,4,FALSE)</f>
        <v>#N/A</v>
      </c>
      <c r="G5792" s="127" t="e">
        <f>VLOOKUP(D5792,'لیست پرسنل'!$B$2:$F$1020,2,FALSE)</f>
        <v>#N/A</v>
      </c>
      <c r="H5792" s="127"/>
      <c r="I5792" s="127"/>
      <c r="J5792" s="128"/>
      <c r="K5792" s="127"/>
      <c r="L5792" s="127"/>
      <c r="M5792" s="127"/>
      <c r="N5792" s="110"/>
      <c r="O5792" s="66"/>
      <c r="P5792" s="20"/>
      <c r="Q5792" s="20"/>
    </row>
    <row r="5793" spans="1:17" ht="21">
      <c r="A5793" s="20"/>
      <c r="B5793" s="20"/>
      <c r="C5793" s="20"/>
      <c r="D5793" s="20"/>
      <c r="E5793" s="19" t="e">
        <f>VLOOKUP(D5793,'لیست پرسنل'!$B$2:$E$1020,3,FALSE)</f>
        <v>#N/A</v>
      </c>
      <c r="F5793" s="19" t="e">
        <f>VLOOKUP(D5793,'لیست پرسنل'!$B$2:$E$1020,4,FALSE)</f>
        <v>#N/A</v>
      </c>
      <c r="G5793" s="127" t="e">
        <f>VLOOKUP(D5793,'لیست پرسنل'!$B$2:$F$1020,2,FALSE)</f>
        <v>#N/A</v>
      </c>
      <c r="H5793" s="127"/>
      <c r="I5793" s="127"/>
      <c r="J5793" s="128"/>
      <c r="K5793" s="127"/>
      <c r="L5793" s="127"/>
      <c r="M5793" s="127"/>
      <c r="N5793" s="110"/>
      <c r="O5793" s="66"/>
      <c r="P5793" s="20"/>
      <c r="Q5793" s="20"/>
    </row>
    <row r="5794" spans="1:17" ht="21">
      <c r="A5794" s="20"/>
      <c r="B5794" s="20"/>
      <c r="C5794" s="20"/>
      <c r="D5794" s="20"/>
      <c r="E5794" s="19" t="e">
        <f>VLOOKUP(D5794,'لیست پرسنل'!$B$2:$E$1020,3,FALSE)</f>
        <v>#N/A</v>
      </c>
      <c r="F5794" s="19" t="e">
        <f>VLOOKUP(D5794,'لیست پرسنل'!$B$2:$E$1020,4,FALSE)</f>
        <v>#N/A</v>
      </c>
      <c r="G5794" s="127" t="e">
        <f>VLOOKUP(D5794,'لیست پرسنل'!$B$2:$F$1020,2,FALSE)</f>
        <v>#N/A</v>
      </c>
      <c r="H5794" s="127"/>
      <c r="I5794" s="127"/>
      <c r="J5794" s="128"/>
      <c r="K5794" s="127"/>
      <c r="L5794" s="127"/>
      <c r="M5794" s="127"/>
      <c r="N5794" s="110"/>
      <c r="O5794" s="66"/>
      <c r="P5794" s="20"/>
      <c r="Q5794" s="20"/>
    </row>
    <row r="5795" spans="1:17" ht="21">
      <c r="A5795" s="20"/>
      <c r="B5795" s="20"/>
      <c r="C5795" s="20"/>
      <c r="D5795" s="20"/>
      <c r="E5795" s="19" t="e">
        <f>VLOOKUP(D5795,'لیست پرسنل'!$B$2:$E$1020,3,FALSE)</f>
        <v>#N/A</v>
      </c>
      <c r="F5795" s="19" t="e">
        <f>VLOOKUP(D5795,'لیست پرسنل'!$B$2:$E$1020,4,FALSE)</f>
        <v>#N/A</v>
      </c>
      <c r="G5795" s="127" t="e">
        <f>VLOOKUP(D5795,'لیست پرسنل'!$B$2:$F$1020,2,FALSE)</f>
        <v>#N/A</v>
      </c>
      <c r="H5795" s="127"/>
      <c r="I5795" s="127"/>
      <c r="J5795" s="128"/>
      <c r="K5795" s="127"/>
      <c r="L5795" s="127"/>
      <c r="M5795" s="127"/>
      <c r="N5795" s="110"/>
      <c r="O5795" s="66"/>
      <c r="P5795" s="20"/>
      <c r="Q5795" s="20"/>
    </row>
    <row r="5796" spans="1:17" ht="21">
      <c r="A5796" s="20"/>
      <c r="B5796" s="20"/>
      <c r="C5796" s="20"/>
      <c r="D5796" s="20"/>
      <c r="E5796" s="19" t="e">
        <f>VLOOKUP(D5796,'لیست پرسنل'!$B$2:$E$1020,3,FALSE)</f>
        <v>#N/A</v>
      </c>
      <c r="F5796" s="19" t="e">
        <f>VLOOKUP(D5796,'لیست پرسنل'!$B$2:$E$1020,4,FALSE)</f>
        <v>#N/A</v>
      </c>
      <c r="G5796" s="127" t="e">
        <f>VLOOKUP(D5796,'لیست پرسنل'!$B$2:$F$1020,2,FALSE)</f>
        <v>#N/A</v>
      </c>
      <c r="H5796" s="127"/>
      <c r="I5796" s="127"/>
      <c r="J5796" s="128"/>
      <c r="K5796" s="127"/>
      <c r="L5796" s="127"/>
      <c r="M5796" s="127"/>
      <c r="N5796" s="110"/>
      <c r="O5796" s="66"/>
      <c r="P5796" s="20"/>
      <c r="Q5796" s="20"/>
    </row>
    <row r="5797" spans="1:17" ht="21">
      <c r="A5797" s="20"/>
      <c r="B5797" s="20"/>
      <c r="C5797" s="20"/>
      <c r="D5797" s="20"/>
      <c r="E5797" s="19" t="e">
        <f>VLOOKUP(D5797,'لیست پرسنل'!$B$2:$E$1020,3,FALSE)</f>
        <v>#N/A</v>
      </c>
      <c r="F5797" s="19" t="e">
        <f>VLOOKUP(D5797,'لیست پرسنل'!$B$2:$E$1020,4,FALSE)</f>
        <v>#N/A</v>
      </c>
      <c r="G5797" s="127" t="e">
        <f>VLOOKUP(D5797,'لیست پرسنل'!$B$2:$F$1020,2,FALSE)</f>
        <v>#N/A</v>
      </c>
      <c r="H5797" s="127"/>
      <c r="I5797" s="127"/>
      <c r="J5797" s="128"/>
      <c r="K5797" s="127"/>
      <c r="L5797" s="127"/>
      <c r="M5797" s="127"/>
      <c r="N5797" s="110"/>
      <c r="O5797" s="66"/>
      <c r="P5797" s="20"/>
      <c r="Q5797" s="20"/>
    </row>
    <row r="5798" spans="1:17" ht="21">
      <c r="A5798" s="20"/>
      <c r="B5798" s="20"/>
      <c r="C5798" s="20"/>
      <c r="D5798" s="20"/>
      <c r="E5798" s="19" t="e">
        <f>VLOOKUP(D5798,'لیست پرسنل'!$B$2:$E$1020,3,FALSE)</f>
        <v>#N/A</v>
      </c>
      <c r="F5798" s="19" t="e">
        <f>VLOOKUP(D5798,'لیست پرسنل'!$B$2:$E$1020,4,FALSE)</f>
        <v>#N/A</v>
      </c>
      <c r="G5798" s="127" t="e">
        <f>VLOOKUP(D5798,'لیست پرسنل'!$B$2:$F$1020,2,FALSE)</f>
        <v>#N/A</v>
      </c>
      <c r="H5798" s="127"/>
      <c r="I5798" s="127"/>
      <c r="J5798" s="128"/>
      <c r="K5798" s="127"/>
      <c r="L5798" s="127"/>
      <c r="M5798" s="127"/>
      <c r="N5798" s="110"/>
      <c r="O5798" s="66"/>
      <c r="P5798" s="20"/>
      <c r="Q5798" s="20"/>
    </row>
    <row r="5799" spans="1:17" ht="21">
      <c r="A5799" s="20"/>
      <c r="B5799" s="20"/>
      <c r="C5799" s="20"/>
      <c r="D5799" s="20"/>
      <c r="E5799" s="19" t="e">
        <f>VLOOKUP(D5799,'لیست پرسنل'!$B$2:$E$1020,3,FALSE)</f>
        <v>#N/A</v>
      </c>
      <c r="F5799" s="19" t="e">
        <f>VLOOKUP(D5799,'لیست پرسنل'!$B$2:$E$1020,4,FALSE)</f>
        <v>#N/A</v>
      </c>
      <c r="G5799" s="127" t="e">
        <f>VLOOKUP(D5799,'لیست پرسنل'!$B$2:$F$1020,2,FALSE)</f>
        <v>#N/A</v>
      </c>
      <c r="H5799" s="127"/>
      <c r="I5799" s="127"/>
      <c r="J5799" s="128"/>
      <c r="K5799" s="127"/>
      <c r="L5799" s="127"/>
      <c r="M5799" s="127"/>
      <c r="N5799" s="110"/>
      <c r="O5799" s="66"/>
      <c r="P5799" s="20"/>
      <c r="Q5799" s="20"/>
    </row>
    <row r="5800" spans="1:17" ht="21">
      <c r="A5800" s="20"/>
      <c r="B5800" s="20"/>
      <c r="C5800" s="20"/>
      <c r="D5800" s="20"/>
      <c r="E5800" s="19" t="e">
        <f>VLOOKUP(D5800,'لیست پرسنل'!$B$2:$E$1020,3,FALSE)</f>
        <v>#N/A</v>
      </c>
      <c r="F5800" s="19" t="e">
        <f>VLOOKUP(D5800,'لیست پرسنل'!$B$2:$E$1020,4,FALSE)</f>
        <v>#N/A</v>
      </c>
      <c r="G5800" s="127" t="e">
        <f>VLOOKUP(D5800,'لیست پرسنل'!$B$2:$F$1020,2,FALSE)</f>
        <v>#N/A</v>
      </c>
      <c r="H5800" s="127"/>
      <c r="I5800" s="127"/>
      <c r="J5800" s="128"/>
      <c r="K5800" s="127"/>
      <c r="L5800" s="127"/>
      <c r="M5800" s="127"/>
      <c r="N5800" s="110"/>
      <c r="O5800" s="66"/>
      <c r="P5800" s="20"/>
      <c r="Q5800" s="20"/>
    </row>
    <row r="5801" spans="1:17" ht="21">
      <c r="A5801" s="20"/>
      <c r="B5801" s="20"/>
      <c r="C5801" s="20"/>
      <c r="D5801" s="20"/>
      <c r="E5801" s="19" t="e">
        <f>VLOOKUP(D5801,'لیست پرسنل'!$B$2:$E$1020,3,FALSE)</f>
        <v>#N/A</v>
      </c>
      <c r="F5801" s="19" t="e">
        <f>VLOOKUP(D5801,'لیست پرسنل'!$B$2:$E$1020,4,FALSE)</f>
        <v>#N/A</v>
      </c>
      <c r="G5801" s="127" t="e">
        <f>VLOOKUP(D5801,'لیست پرسنل'!$B$2:$F$1020,2,FALSE)</f>
        <v>#N/A</v>
      </c>
      <c r="H5801" s="127"/>
      <c r="I5801" s="127"/>
      <c r="J5801" s="128"/>
      <c r="K5801" s="127"/>
      <c r="L5801" s="127"/>
      <c r="M5801" s="127"/>
      <c r="N5801" s="110"/>
      <c r="O5801" s="66"/>
      <c r="P5801" s="20"/>
      <c r="Q5801" s="20"/>
    </row>
    <row r="5802" spans="1:17" ht="21">
      <c r="A5802" s="20"/>
      <c r="B5802" s="20"/>
      <c r="C5802" s="20"/>
      <c r="D5802" s="20"/>
      <c r="E5802" s="19" t="e">
        <f>VLOOKUP(D5802,'لیست پرسنل'!$B$2:$E$1020,3,FALSE)</f>
        <v>#N/A</v>
      </c>
      <c r="F5802" s="19" t="e">
        <f>VLOOKUP(D5802,'لیست پرسنل'!$B$2:$E$1020,4,FALSE)</f>
        <v>#N/A</v>
      </c>
      <c r="G5802" s="127" t="e">
        <f>VLOOKUP(D5802,'لیست پرسنل'!$B$2:$F$1020,2,FALSE)</f>
        <v>#N/A</v>
      </c>
      <c r="H5802" s="127"/>
      <c r="I5802" s="127"/>
      <c r="J5802" s="128"/>
      <c r="K5802" s="127"/>
      <c r="L5802" s="127"/>
      <c r="M5802" s="127"/>
      <c r="N5802" s="110"/>
      <c r="O5802" s="66"/>
      <c r="P5802" s="20"/>
      <c r="Q5802" s="20"/>
    </row>
    <row r="5803" spans="1:17" ht="21">
      <c r="A5803" s="20"/>
      <c r="B5803" s="20"/>
      <c r="C5803" s="20"/>
      <c r="D5803" s="20"/>
      <c r="E5803" s="19" t="e">
        <f>VLOOKUP(D5803,'لیست پرسنل'!$B$2:$E$1020,3,FALSE)</f>
        <v>#N/A</v>
      </c>
      <c r="F5803" s="19" t="e">
        <f>VLOOKUP(D5803,'لیست پرسنل'!$B$2:$E$1020,4,FALSE)</f>
        <v>#N/A</v>
      </c>
      <c r="G5803" s="127" t="e">
        <f>VLOOKUP(D5803,'لیست پرسنل'!$B$2:$F$1020,2,FALSE)</f>
        <v>#N/A</v>
      </c>
      <c r="H5803" s="127"/>
      <c r="I5803" s="127"/>
      <c r="J5803" s="128"/>
      <c r="K5803" s="127"/>
      <c r="L5803" s="127"/>
      <c r="M5803" s="127"/>
      <c r="N5803" s="110"/>
      <c r="O5803" s="66"/>
      <c r="P5803" s="20"/>
      <c r="Q5803" s="20"/>
    </row>
    <row r="5804" spans="1:17" ht="21">
      <c r="A5804" s="20"/>
      <c r="B5804" s="20"/>
      <c r="C5804" s="20"/>
      <c r="D5804" s="20"/>
      <c r="E5804" s="19" t="e">
        <f>VLOOKUP(D5804,'لیست پرسنل'!$B$2:$E$1020,3,FALSE)</f>
        <v>#N/A</v>
      </c>
      <c r="F5804" s="19" t="e">
        <f>VLOOKUP(D5804,'لیست پرسنل'!$B$2:$E$1020,4,FALSE)</f>
        <v>#N/A</v>
      </c>
      <c r="G5804" s="127" t="e">
        <f>VLOOKUP(D5804,'لیست پرسنل'!$B$2:$F$1020,2,FALSE)</f>
        <v>#N/A</v>
      </c>
      <c r="H5804" s="127"/>
      <c r="I5804" s="127"/>
      <c r="J5804" s="128"/>
      <c r="K5804" s="127"/>
      <c r="L5804" s="127"/>
      <c r="M5804" s="127"/>
      <c r="N5804" s="110"/>
      <c r="O5804" s="66"/>
      <c r="P5804" s="20"/>
      <c r="Q5804" s="20"/>
    </row>
    <row r="5805" spans="1:17" ht="21">
      <c r="A5805" s="20"/>
      <c r="B5805" s="20"/>
      <c r="C5805" s="20"/>
      <c r="D5805" s="20"/>
      <c r="E5805" s="19" t="e">
        <f>VLOOKUP(D5805,'لیست پرسنل'!$B$2:$E$1020,3,FALSE)</f>
        <v>#N/A</v>
      </c>
      <c r="F5805" s="19" t="e">
        <f>VLOOKUP(D5805,'لیست پرسنل'!$B$2:$E$1020,4,FALSE)</f>
        <v>#N/A</v>
      </c>
      <c r="G5805" s="127" t="e">
        <f>VLOOKUP(D5805,'لیست پرسنل'!$B$2:$F$1020,2,FALSE)</f>
        <v>#N/A</v>
      </c>
      <c r="H5805" s="127"/>
      <c r="I5805" s="127"/>
      <c r="J5805" s="128"/>
      <c r="K5805" s="127"/>
      <c r="L5805" s="127"/>
      <c r="M5805" s="127"/>
      <c r="N5805" s="110"/>
      <c r="O5805" s="66"/>
      <c r="P5805" s="20"/>
      <c r="Q5805" s="20"/>
    </row>
    <row r="5806" spans="1:17" ht="21">
      <c r="A5806" s="20"/>
      <c r="B5806" s="20"/>
      <c r="C5806" s="20"/>
      <c r="D5806" s="20"/>
      <c r="E5806" s="19" t="e">
        <f>VLOOKUP(D5806,'لیست پرسنل'!$B$2:$E$1020,3,FALSE)</f>
        <v>#N/A</v>
      </c>
      <c r="F5806" s="19" t="e">
        <f>VLOOKUP(D5806,'لیست پرسنل'!$B$2:$E$1020,4,FALSE)</f>
        <v>#N/A</v>
      </c>
      <c r="G5806" s="127" t="e">
        <f>VLOOKUP(D5806,'لیست پرسنل'!$B$2:$F$1020,2,FALSE)</f>
        <v>#N/A</v>
      </c>
      <c r="H5806" s="127"/>
      <c r="I5806" s="127"/>
      <c r="J5806" s="128"/>
      <c r="K5806" s="127"/>
      <c r="L5806" s="127"/>
      <c r="M5806" s="127"/>
      <c r="N5806" s="110"/>
      <c r="O5806" s="66"/>
      <c r="P5806" s="20"/>
      <c r="Q5806" s="20"/>
    </row>
    <row r="5807" spans="1:17" ht="21">
      <c r="A5807" s="20"/>
      <c r="B5807" s="20"/>
      <c r="C5807" s="20"/>
      <c r="D5807" s="20"/>
      <c r="E5807" s="19" t="e">
        <f>VLOOKUP(D5807,'لیست پرسنل'!$B$2:$E$1020,3,FALSE)</f>
        <v>#N/A</v>
      </c>
      <c r="F5807" s="19" t="e">
        <f>VLOOKUP(D5807,'لیست پرسنل'!$B$2:$E$1020,4,FALSE)</f>
        <v>#N/A</v>
      </c>
      <c r="G5807" s="127" t="e">
        <f>VLOOKUP(D5807,'لیست پرسنل'!$B$2:$F$1020,2,FALSE)</f>
        <v>#N/A</v>
      </c>
      <c r="H5807" s="127"/>
      <c r="I5807" s="127"/>
      <c r="J5807" s="128"/>
      <c r="K5807" s="127"/>
      <c r="L5807" s="127"/>
      <c r="M5807" s="127"/>
      <c r="N5807" s="110"/>
      <c r="O5807" s="66"/>
      <c r="P5807" s="20"/>
      <c r="Q5807" s="20"/>
    </row>
    <row r="5808" spans="1:17" ht="21">
      <c r="A5808" s="20"/>
      <c r="B5808" s="20"/>
      <c r="C5808" s="20"/>
      <c r="D5808" s="20"/>
      <c r="E5808" s="19" t="e">
        <f>VLOOKUP(D5808,'لیست پرسنل'!$B$2:$E$1020,3,FALSE)</f>
        <v>#N/A</v>
      </c>
      <c r="F5808" s="19" t="e">
        <f>VLOOKUP(D5808,'لیست پرسنل'!$B$2:$E$1020,4,FALSE)</f>
        <v>#N/A</v>
      </c>
      <c r="G5808" s="127" t="e">
        <f>VLOOKUP(D5808,'لیست پرسنل'!$B$2:$F$1020,2,FALSE)</f>
        <v>#N/A</v>
      </c>
      <c r="H5808" s="127"/>
      <c r="I5808" s="127"/>
      <c r="J5808" s="128"/>
      <c r="K5808" s="127"/>
      <c r="L5808" s="127"/>
      <c r="M5808" s="127"/>
      <c r="N5808" s="110"/>
      <c r="O5808" s="66"/>
      <c r="P5808" s="20"/>
      <c r="Q5808" s="20"/>
    </row>
    <row r="5809" spans="1:17" ht="21">
      <c r="A5809" s="20"/>
      <c r="B5809" s="20"/>
      <c r="C5809" s="20"/>
      <c r="D5809" s="20"/>
      <c r="E5809" s="19" t="e">
        <f>VLOOKUP(D5809,'لیست پرسنل'!$B$2:$E$1020,3,FALSE)</f>
        <v>#N/A</v>
      </c>
      <c r="F5809" s="19" t="e">
        <f>VLOOKUP(D5809,'لیست پرسنل'!$B$2:$E$1020,4,FALSE)</f>
        <v>#N/A</v>
      </c>
      <c r="G5809" s="127" t="e">
        <f>VLOOKUP(D5809,'لیست پرسنل'!$B$2:$F$1020,2,FALSE)</f>
        <v>#N/A</v>
      </c>
      <c r="H5809" s="127"/>
      <c r="I5809" s="127"/>
      <c r="J5809" s="128"/>
      <c r="K5809" s="127"/>
      <c r="L5809" s="127"/>
      <c r="M5809" s="127"/>
      <c r="N5809" s="110"/>
      <c r="O5809" s="66"/>
      <c r="P5809" s="20"/>
      <c r="Q5809" s="20"/>
    </row>
    <row r="5810" spans="1:17" ht="21">
      <c r="A5810" s="20"/>
      <c r="B5810" s="20"/>
      <c r="C5810" s="20"/>
      <c r="D5810" s="20"/>
      <c r="E5810" s="19" t="e">
        <f>VLOOKUP(D5810,'لیست پرسنل'!$B$2:$E$1020,3,FALSE)</f>
        <v>#N/A</v>
      </c>
      <c r="F5810" s="19" t="e">
        <f>VLOOKUP(D5810,'لیست پرسنل'!$B$2:$E$1020,4,FALSE)</f>
        <v>#N/A</v>
      </c>
      <c r="G5810" s="127" t="e">
        <f>VLOOKUP(D5810,'لیست پرسنل'!$B$2:$F$1020,2,FALSE)</f>
        <v>#N/A</v>
      </c>
      <c r="H5810" s="127"/>
      <c r="I5810" s="127"/>
      <c r="J5810" s="128"/>
      <c r="K5810" s="127"/>
      <c r="L5810" s="127"/>
      <c r="M5810" s="127"/>
      <c r="N5810" s="110"/>
      <c r="O5810" s="66"/>
      <c r="P5810" s="20"/>
      <c r="Q5810" s="20"/>
    </row>
    <row r="5811" spans="1:17" ht="21">
      <c r="A5811" s="20"/>
      <c r="B5811" s="20"/>
      <c r="C5811" s="20"/>
      <c r="D5811" s="20"/>
      <c r="E5811" s="19" t="e">
        <f>VLOOKUP(D5811,'لیست پرسنل'!$B$2:$E$1020,3,FALSE)</f>
        <v>#N/A</v>
      </c>
      <c r="F5811" s="19" t="e">
        <f>VLOOKUP(D5811,'لیست پرسنل'!$B$2:$E$1020,4,FALSE)</f>
        <v>#N/A</v>
      </c>
      <c r="G5811" s="127" t="e">
        <f>VLOOKUP(D5811,'لیست پرسنل'!$B$2:$F$1020,2,FALSE)</f>
        <v>#N/A</v>
      </c>
      <c r="H5811" s="127"/>
      <c r="I5811" s="127"/>
      <c r="J5811" s="128"/>
      <c r="K5811" s="127"/>
      <c r="L5811" s="127"/>
      <c r="M5811" s="127"/>
      <c r="N5811" s="110"/>
      <c r="O5811" s="66"/>
      <c r="P5811" s="20"/>
      <c r="Q5811" s="20"/>
    </row>
    <row r="5812" spans="1:17" ht="21">
      <c r="A5812" s="20"/>
      <c r="B5812" s="20"/>
      <c r="C5812" s="20"/>
      <c r="D5812" s="20"/>
      <c r="E5812" s="19" t="e">
        <f>VLOOKUP(D5812,'لیست پرسنل'!$B$2:$E$1020,3,FALSE)</f>
        <v>#N/A</v>
      </c>
      <c r="F5812" s="19" t="e">
        <f>VLOOKUP(D5812,'لیست پرسنل'!$B$2:$E$1020,4,FALSE)</f>
        <v>#N/A</v>
      </c>
      <c r="G5812" s="127" t="e">
        <f>VLOOKUP(D5812,'لیست پرسنل'!$B$2:$F$1020,2,FALSE)</f>
        <v>#N/A</v>
      </c>
      <c r="H5812" s="127"/>
      <c r="I5812" s="127"/>
      <c r="J5812" s="128"/>
      <c r="K5812" s="127"/>
      <c r="L5812" s="127"/>
      <c r="M5812" s="127"/>
      <c r="N5812" s="110"/>
      <c r="O5812" s="66"/>
      <c r="P5812" s="20"/>
      <c r="Q5812" s="20"/>
    </row>
    <row r="5813" spans="1:17" ht="21">
      <c r="A5813" s="20"/>
      <c r="B5813" s="20"/>
      <c r="C5813" s="20"/>
      <c r="D5813" s="20"/>
      <c r="E5813" s="19" t="e">
        <f>VLOOKUP(D5813,'لیست پرسنل'!$B$2:$E$1020,3,FALSE)</f>
        <v>#N/A</v>
      </c>
      <c r="F5813" s="19" t="e">
        <f>VLOOKUP(D5813,'لیست پرسنل'!$B$2:$E$1020,4,FALSE)</f>
        <v>#N/A</v>
      </c>
      <c r="G5813" s="127" t="e">
        <f>VLOOKUP(D5813,'لیست پرسنل'!$B$2:$F$1020,2,FALSE)</f>
        <v>#N/A</v>
      </c>
      <c r="H5813" s="127"/>
      <c r="I5813" s="127"/>
      <c r="J5813" s="128"/>
      <c r="K5813" s="127"/>
      <c r="L5813" s="127"/>
      <c r="M5813" s="127"/>
      <c r="N5813" s="110"/>
      <c r="O5813" s="66"/>
      <c r="P5813" s="20"/>
      <c r="Q5813" s="20"/>
    </row>
    <row r="5814" spans="1:17" ht="21">
      <c r="A5814" s="20"/>
      <c r="B5814" s="20"/>
      <c r="C5814" s="20"/>
      <c r="D5814" s="20"/>
      <c r="E5814" s="19" t="e">
        <f>VLOOKUP(D5814,'لیست پرسنل'!$B$2:$E$1020,3,FALSE)</f>
        <v>#N/A</v>
      </c>
      <c r="F5814" s="19" t="e">
        <f>VLOOKUP(D5814,'لیست پرسنل'!$B$2:$E$1020,4,FALSE)</f>
        <v>#N/A</v>
      </c>
      <c r="G5814" s="127" t="e">
        <f>VLOOKUP(D5814,'لیست پرسنل'!$B$2:$F$1020,2,FALSE)</f>
        <v>#N/A</v>
      </c>
      <c r="H5814" s="127"/>
      <c r="I5814" s="127"/>
      <c r="J5814" s="128"/>
      <c r="K5814" s="127"/>
      <c r="L5814" s="127"/>
      <c r="M5814" s="127"/>
      <c r="N5814" s="110"/>
      <c r="O5814" s="66"/>
      <c r="P5814" s="20"/>
      <c r="Q5814" s="20"/>
    </row>
    <row r="5815" spans="1:17" ht="21">
      <c r="A5815" s="20"/>
      <c r="B5815" s="20"/>
      <c r="C5815" s="20"/>
      <c r="D5815" s="20"/>
      <c r="E5815" s="19" t="e">
        <f>VLOOKUP(D5815,'لیست پرسنل'!$B$2:$E$1020,3,FALSE)</f>
        <v>#N/A</v>
      </c>
      <c r="F5815" s="19" t="e">
        <f>VLOOKUP(D5815,'لیست پرسنل'!$B$2:$E$1020,4,FALSE)</f>
        <v>#N/A</v>
      </c>
      <c r="G5815" s="127" t="e">
        <f>VLOOKUP(D5815,'لیست پرسنل'!$B$2:$F$1020,2,FALSE)</f>
        <v>#N/A</v>
      </c>
      <c r="H5815" s="127"/>
      <c r="I5815" s="127"/>
      <c r="J5815" s="128"/>
      <c r="K5815" s="127"/>
      <c r="L5815" s="127"/>
      <c r="M5815" s="127"/>
      <c r="N5815" s="110"/>
      <c r="O5815" s="66"/>
      <c r="P5815" s="20"/>
      <c r="Q5815" s="20"/>
    </row>
    <row r="5816" spans="1:17" ht="21">
      <c r="A5816" s="20"/>
      <c r="B5816" s="20"/>
      <c r="C5816" s="20"/>
      <c r="D5816" s="20"/>
      <c r="E5816" s="19" t="e">
        <f>VLOOKUP(D5816,'لیست پرسنل'!$B$2:$E$1020,3,FALSE)</f>
        <v>#N/A</v>
      </c>
      <c r="F5816" s="19" t="e">
        <f>VLOOKUP(D5816,'لیست پرسنل'!$B$2:$E$1020,4,FALSE)</f>
        <v>#N/A</v>
      </c>
      <c r="G5816" s="127" t="e">
        <f>VLOOKUP(D5816,'لیست پرسنل'!$B$2:$F$1020,2,FALSE)</f>
        <v>#N/A</v>
      </c>
      <c r="H5816" s="127"/>
      <c r="I5816" s="127"/>
      <c r="J5816" s="128"/>
      <c r="K5816" s="127"/>
      <c r="L5816" s="127"/>
      <c r="M5816" s="127"/>
      <c r="N5816" s="110"/>
      <c r="O5816" s="66"/>
      <c r="P5816" s="20"/>
      <c r="Q5816" s="20"/>
    </row>
    <row r="5817" spans="1:17">
      <c r="I5817" s="148"/>
      <c r="J5817" s="148"/>
      <c r="K5817" s="148"/>
      <c r="L5817" s="148"/>
    </row>
    <row r="5818" spans="1:17">
      <c r="G5818" s="148"/>
      <c r="H5818" s="148"/>
      <c r="I5818" s="148"/>
      <c r="J5818" s="148"/>
      <c r="K5818" s="148"/>
      <c r="L5818" s="148"/>
    </row>
    <row r="5819" spans="1:17">
      <c r="G5819" s="148"/>
      <c r="H5819" s="148"/>
      <c r="I5819" s="148"/>
      <c r="J5819" s="148"/>
      <c r="K5819" s="148"/>
      <c r="L5819" s="148"/>
    </row>
    <row r="5820" spans="1:17">
      <c r="G5820" s="148"/>
      <c r="H5820" s="148"/>
      <c r="I5820" s="148"/>
      <c r="J5820" s="148"/>
      <c r="K5820" s="148"/>
      <c r="L5820" s="148"/>
    </row>
    <row r="5821" spans="1:17">
      <c r="G5821" s="148"/>
      <c r="H5821" s="148"/>
      <c r="I5821" s="148"/>
      <c r="J5821" s="148"/>
      <c r="K5821" s="148"/>
      <c r="L5821" s="148"/>
    </row>
    <row r="5822" spans="1:17">
      <c r="G5822" s="148"/>
      <c r="H5822" s="148"/>
      <c r="I5822" s="148"/>
      <c r="J5822" s="148"/>
      <c r="K5822" s="148"/>
      <c r="L5822" s="148"/>
    </row>
    <row r="5823" spans="1:17">
      <c r="G5823" s="148"/>
      <c r="H5823" s="148"/>
      <c r="I5823" s="148"/>
      <c r="J5823" s="148"/>
      <c r="K5823" s="148"/>
      <c r="L5823" s="148"/>
    </row>
    <row r="5824" spans="1:17">
      <c r="G5824" s="148"/>
      <c r="H5824" s="148"/>
      <c r="I5824" s="148"/>
      <c r="J5824" s="148"/>
      <c r="K5824" s="148"/>
      <c r="L5824" s="148"/>
    </row>
    <row r="5825" spans="7:12">
      <c r="G5825" s="148"/>
      <c r="H5825" s="148"/>
      <c r="I5825" s="148"/>
      <c r="J5825" s="148"/>
      <c r="K5825" s="148"/>
      <c r="L5825" s="148"/>
    </row>
    <row r="5826" spans="7:12">
      <c r="G5826" s="148"/>
      <c r="H5826" s="148"/>
      <c r="I5826" s="148"/>
      <c r="J5826" s="148"/>
      <c r="K5826" s="148"/>
      <c r="L5826" s="148"/>
    </row>
    <row r="5827" spans="7:12">
      <c r="G5827" s="148"/>
      <c r="H5827" s="148"/>
      <c r="I5827" s="148"/>
      <c r="J5827" s="148"/>
      <c r="K5827" s="148"/>
      <c r="L5827" s="148"/>
    </row>
    <row r="5828" spans="7:12">
      <c r="G5828" s="148"/>
      <c r="H5828" s="148"/>
      <c r="I5828" s="148"/>
      <c r="J5828" s="148"/>
      <c r="K5828" s="148"/>
      <c r="L5828" s="148"/>
    </row>
    <row r="5829" spans="7:12">
      <c r="G5829" s="148"/>
      <c r="H5829" s="148"/>
      <c r="I5829" s="148"/>
      <c r="J5829" s="148"/>
      <c r="K5829" s="148"/>
      <c r="L5829" s="148"/>
    </row>
    <row r="5830" spans="7:12">
      <c r="G5830" s="148"/>
      <c r="H5830" s="148"/>
      <c r="I5830" s="148"/>
      <c r="J5830" s="148"/>
      <c r="K5830" s="148"/>
      <c r="L5830" s="148"/>
    </row>
    <row r="5831" spans="7:12">
      <c r="G5831" s="148"/>
      <c r="H5831" s="148"/>
      <c r="I5831" s="148"/>
      <c r="J5831" s="148"/>
      <c r="K5831" s="148"/>
      <c r="L5831" s="148"/>
    </row>
    <row r="5832" spans="7:12">
      <c r="G5832" s="148"/>
      <c r="H5832" s="148"/>
      <c r="I5832" s="148"/>
      <c r="J5832" s="148"/>
      <c r="K5832" s="148"/>
      <c r="L5832" s="148"/>
    </row>
    <row r="5833" spans="7:12">
      <c r="G5833" s="148"/>
      <c r="H5833" s="148"/>
      <c r="I5833" s="148"/>
      <c r="J5833" s="148"/>
      <c r="K5833" s="148"/>
      <c r="L5833" s="148"/>
    </row>
    <row r="5834" spans="7:12">
      <c r="G5834" s="148"/>
      <c r="H5834" s="148"/>
      <c r="I5834" s="148"/>
      <c r="J5834" s="148"/>
      <c r="K5834" s="148"/>
      <c r="L5834" s="148"/>
    </row>
    <row r="5835" spans="7:12">
      <c r="G5835" s="148"/>
      <c r="H5835" s="148"/>
      <c r="I5835" s="148"/>
      <c r="J5835" s="148"/>
      <c r="K5835" s="148"/>
      <c r="L5835" s="148"/>
    </row>
    <row r="5836" spans="7:12">
      <c r="G5836" s="148"/>
      <c r="H5836" s="148"/>
      <c r="I5836" s="148"/>
      <c r="J5836" s="148"/>
      <c r="K5836" s="148"/>
      <c r="L5836" s="148"/>
    </row>
    <row r="5837" spans="7:12">
      <c r="G5837" s="148"/>
      <c r="H5837" s="148"/>
      <c r="I5837" s="148"/>
      <c r="J5837" s="148"/>
      <c r="K5837" s="148"/>
      <c r="L5837" s="148"/>
    </row>
    <row r="5838" spans="7:12">
      <c r="G5838" s="148"/>
      <c r="H5838" s="148"/>
      <c r="I5838" s="148"/>
      <c r="J5838" s="148"/>
      <c r="K5838" s="148"/>
      <c r="L5838" s="148"/>
    </row>
    <row r="5839" spans="7:12">
      <c r="G5839" s="148"/>
      <c r="H5839" s="148"/>
      <c r="I5839" s="148"/>
      <c r="J5839" s="148"/>
      <c r="K5839" s="148"/>
      <c r="L5839" s="148"/>
    </row>
    <row r="5840" spans="7:12">
      <c r="G5840" s="148"/>
      <c r="H5840" s="148"/>
      <c r="I5840" s="148"/>
      <c r="J5840" s="148"/>
      <c r="K5840" s="148"/>
      <c r="L5840" s="148"/>
    </row>
    <row r="5841" spans="7:12">
      <c r="G5841" s="148"/>
      <c r="H5841" s="148"/>
      <c r="I5841" s="148"/>
      <c r="J5841" s="148"/>
      <c r="K5841" s="148"/>
      <c r="L5841" s="148"/>
    </row>
    <row r="5842" spans="7:12">
      <c r="G5842" s="148"/>
      <c r="H5842" s="148"/>
      <c r="I5842" s="148"/>
      <c r="J5842" s="148"/>
      <c r="K5842" s="148"/>
      <c r="L5842" s="148"/>
    </row>
    <row r="5843" spans="7:12">
      <c r="G5843" s="148"/>
      <c r="H5843" s="148"/>
      <c r="I5843" s="148"/>
      <c r="J5843" s="148"/>
      <c r="K5843" s="148"/>
      <c r="L5843" s="148"/>
    </row>
    <row r="5844" spans="7:12">
      <c r="G5844" s="148"/>
      <c r="H5844" s="148"/>
      <c r="I5844" s="148"/>
      <c r="J5844" s="148"/>
      <c r="K5844" s="148"/>
      <c r="L5844" s="148"/>
    </row>
    <row r="5845" spans="7:12">
      <c r="G5845" s="148"/>
      <c r="H5845" s="148"/>
      <c r="I5845" s="148"/>
      <c r="J5845" s="148"/>
      <c r="K5845" s="148"/>
      <c r="L5845" s="148"/>
    </row>
    <row r="5846" spans="7:12">
      <c r="G5846" s="148"/>
      <c r="H5846" s="148"/>
      <c r="I5846" s="148"/>
      <c r="J5846" s="148"/>
      <c r="K5846" s="148"/>
      <c r="L5846" s="148"/>
    </row>
    <row r="5847" spans="7:12">
      <c r="G5847" s="148"/>
      <c r="H5847" s="148"/>
      <c r="I5847" s="148"/>
      <c r="J5847" s="148"/>
      <c r="K5847" s="148"/>
      <c r="L5847" s="148"/>
    </row>
    <row r="5848" spans="7:12">
      <c r="G5848" s="148"/>
      <c r="H5848" s="148"/>
      <c r="I5848" s="148"/>
      <c r="J5848" s="148"/>
      <c r="K5848" s="148"/>
      <c r="L5848" s="148"/>
    </row>
    <row r="5849" spans="7:12">
      <c r="G5849" s="148"/>
      <c r="H5849" s="148"/>
      <c r="I5849" s="148"/>
      <c r="J5849" s="148"/>
      <c r="K5849" s="148"/>
      <c r="L5849" s="148"/>
    </row>
    <row r="5850" spans="7:12">
      <c r="G5850" s="148"/>
      <c r="H5850" s="148"/>
      <c r="I5850" s="148"/>
      <c r="J5850" s="148"/>
      <c r="K5850" s="148"/>
      <c r="L5850" s="148"/>
    </row>
    <row r="5851" spans="7:12">
      <c r="G5851" s="148"/>
      <c r="H5851" s="148"/>
      <c r="I5851" s="148"/>
      <c r="J5851" s="148"/>
      <c r="K5851" s="148"/>
      <c r="L5851" s="148"/>
    </row>
    <row r="5852" spans="7:12">
      <c r="G5852" s="148"/>
      <c r="H5852" s="148"/>
      <c r="I5852" s="148"/>
      <c r="J5852" s="148"/>
      <c r="K5852" s="148"/>
      <c r="L5852" s="148"/>
    </row>
    <row r="5853" spans="7:12">
      <c r="G5853" s="148"/>
      <c r="H5853" s="148"/>
      <c r="I5853" s="148"/>
      <c r="J5853" s="148"/>
      <c r="K5853" s="148"/>
      <c r="L5853" s="148"/>
    </row>
    <row r="5854" spans="7:12">
      <c r="G5854" s="148"/>
      <c r="H5854" s="148"/>
      <c r="I5854" s="148"/>
      <c r="J5854" s="148"/>
      <c r="K5854" s="148"/>
      <c r="L5854" s="148"/>
    </row>
    <row r="5855" spans="7:12">
      <c r="G5855" s="148"/>
      <c r="H5855" s="148"/>
      <c r="I5855" s="148"/>
      <c r="J5855" s="148"/>
      <c r="K5855" s="148"/>
      <c r="L5855" s="148"/>
    </row>
    <row r="5856" spans="7:12">
      <c r="G5856" s="148"/>
      <c r="H5856" s="148"/>
      <c r="I5856" s="148"/>
      <c r="J5856" s="148"/>
      <c r="K5856" s="148"/>
      <c r="L5856" s="148"/>
    </row>
    <row r="5857" spans="7:12">
      <c r="G5857" s="148"/>
      <c r="H5857" s="148"/>
      <c r="I5857" s="148"/>
      <c r="J5857" s="148"/>
      <c r="K5857" s="148"/>
      <c r="L5857" s="148"/>
    </row>
    <row r="5858" spans="7:12">
      <c r="G5858" s="148"/>
      <c r="H5858" s="148"/>
      <c r="I5858" s="148"/>
      <c r="J5858" s="148"/>
      <c r="K5858" s="148"/>
      <c r="L5858" s="148"/>
    </row>
    <row r="5859" spans="7:12">
      <c r="G5859" s="148"/>
      <c r="H5859" s="148"/>
      <c r="I5859" s="148"/>
      <c r="J5859" s="148"/>
      <c r="K5859" s="148"/>
      <c r="L5859" s="148"/>
    </row>
    <row r="5860" spans="7:12">
      <c r="G5860" s="148"/>
      <c r="H5860" s="148"/>
      <c r="I5860" s="148"/>
      <c r="J5860" s="148"/>
      <c r="K5860" s="148"/>
      <c r="L5860" s="148"/>
    </row>
    <row r="5861" spans="7:12">
      <c r="G5861" s="148"/>
      <c r="H5861" s="148"/>
      <c r="I5861" s="148"/>
      <c r="J5861" s="148"/>
      <c r="K5861" s="148"/>
      <c r="L5861" s="148"/>
    </row>
    <row r="5862" spans="7:12">
      <c r="G5862" s="148"/>
      <c r="H5862" s="148"/>
      <c r="I5862" s="148"/>
      <c r="J5862" s="148"/>
      <c r="K5862" s="148"/>
      <c r="L5862" s="148"/>
    </row>
    <row r="5863" spans="7:12">
      <c r="G5863" s="148"/>
      <c r="H5863" s="148"/>
      <c r="I5863" s="148"/>
      <c r="J5863" s="148"/>
      <c r="K5863" s="148"/>
      <c r="L5863" s="148"/>
    </row>
    <row r="5864" spans="7:12">
      <c r="G5864" s="148"/>
      <c r="H5864" s="148"/>
      <c r="I5864" s="148"/>
      <c r="J5864" s="148"/>
      <c r="K5864" s="148"/>
      <c r="L5864" s="148"/>
    </row>
    <row r="5865" spans="7:12">
      <c r="G5865" s="148"/>
      <c r="H5865" s="148"/>
      <c r="I5865" s="148"/>
      <c r="J5865" s="148"/>
      <c r="K5865" s="148"/>
      <c r="L5865" s="148"/>
    </row>
    <row r="5866" spans="7:12">
      <c r="G5866" s="148"/>
      <c r="H5866" s="148"/>
      <c r="I5866" s="148"/>
      <c r="J5866" s="148"/>
      <c r="K5866" s="148"/>
      <c r="L5866" s="148"/>
    </row>
    <row r="5867" spans="7:12">
      <c r="G5867" s="148"/>
      <c r="H5867" s="148"/>
      <c r="I5867" s="148"/>
      <c r="J5867" s="148"/>
      <c r="K5867" s="148"/>
      <c r="L5867" s="148"/>
    </row>
    <row r="5868" spans="7:12">
      <c r="G5868" s="148"/>
      <c r="H5868" s="148"/>
      <c r="I5868" s="148"/>
      <c r="J5868" s="148"/>
      <c r="K5868" s="148"/>
      <c r="L5868" s="148"/>
    </row>
    <row r="5869" spans="7:12">
      <c r="G5869" s="148"/>
      <c r="H5869" s="148"/>
      <c r="I5869" s="148"/>
      <c r="J5869" s="148"/>
      <c r="K5869" s="148"/>
      <c r="L5869" s="148"/>
    </row>
    <row r="5870" spans="7:12">
      <c r="G5870" s="148"/>
      <c r="H5870" s="148"/>
      <c r="I5870" s="148"/>
      <c r="J5870" s="148"/>
      <c r="K5870" s="148"/>
      <c r="L5870" s="148"/>
    </row>
    <row r="5871" spans="7:12">
      <c r="G5871" s="148"/>
      <c r="H5871" s="148"/>
      <c r="I5871" s="148"/>
      <c r="J5871" s="148"/>
      <c r="K5871" s="148"/>
      <c r="L5871" s="148"/>
    </row>
    <row r="5872" spans="7:12">
      <c r="G5872" s="148"/>
      <c r="H5872" s="148"/>
      <c r="I5872" s="148"/>
      <c r="J5872" s="148"/>
      <c r="K5872" s="148"/>
      <c r="L5872" s="148"/>
    </row>
    <row r="5873" spans="7:12">
      <c r="G5873" s="148"/>
      <c r="H5873" s="148"/>
      <c r="I5873" s="148"/>
      <c r="J5873" s="148"/>
      <c r="K5873" s="148"/>
      <c r="L5873" s="148"/>
    </row>
    <row r="5874" spans="7:12">
      <c r="G5874" s="148"/>
      <c r="H5874" s="148"/>
      <c r="I5874" s="148"/>
      <c r="J5874" s="148"/>
      <c r="K5874" s="148"/>
      <c r="L5874" s="148"/>
    </row>
    <row r="5875" spans="7:12">
      <c r="G5875" s="148"/>
      <c r="H5875" s="148"/>
      <c r="I5875" s="148"/>
      <c r="J5875" s="148"/>
      <c r="K5875" s="148"/>
      <c r="L5875" s="148"/>
    </row>
    <row r="5876" spans="7:12">
      <c r="G5876" s="148"/>
      <c r="H5876" s="148"/>
      <c r="I5876" s="148"/>
      <c r="J5876" s="148"/>
      <c r="K5876" s="148"/>
      <c r="L5876" s="148"/>
    </row>
    <row r="5877" spans="7:12">
      <c r="G5877" s="148"/>
      <c r="H5877" s="148"/>
      <c r="I5877" s="148"/>
      <c r="J5877" s="148"/>
      <c r="K5877" s="148"/>
      <c r="L5877" s="148"/>
    </row>
    <row r="5878" spans="7:12">
      <c r="G5878" s="148"/>
      <c r="H5878" s="148"/>
      <c r="I5878" s="148"/>
      <c r="J5878" s="148"/>
      <c r="K5878" s="148"/>
      <c r="L5878" s="148"/>
    </row>
    <row r="5879" spans="7:12">
      <c r="G5879" s="148"/>
      <c r="H5879" s="148"/>
      <c r="I5879" s="148"/>
      <c r="J5879" s="148"/>
      <c r="K5879" s="148"/>
      <c r="L5879" s="148"/>
    </row>
    <row r="5880" spans="7:12">
      <c r="G5880" s="148"/>
      <c r="H5880" s="148"/>
      <c r="I5880" s="148"/>
      <c r="J5880" s="148"/>
      <c r="K5880" s="148"/>
      <c r="L5880" s="148"/>
    </row>
    <row r="5881" spans="7:12">
      <c r="G5881" s="148"/>
      <c r="H5881" s="148"/>
      <c r="I5881" s="148"/>
      <c r="J5881" s="148"/>
      <c r="K5881" s="148"/>
      <c r="L5881" s="148"/>
    </row>
    <row r="5882" spans="7:12">
      <c r="G5882" s="148"/>
      <c r="H5882" s="148"/>
      <c r="I5882" s="148"/>
      <c r="J5882" s="148"/>
      <c r="K5882" s="148"/>
      <c r="L5882" s="148"/>
    </row>
    <row r="5883" spans="7:12">
      <c r="G5883" s="148"/>
      <c r="H5883" s="148"/>
      <c r="I5883" s="148"/>
      <c r="J5883" s="148"/>
      <c r="K5883" s="148"/>
      <c r="L5883" s="148"/>
    </row>
    <row r="5884" spans="7:12">
      <c r="G5884" s="148"/>
      <c r="H5884" s="148"/>
      <c r="I5884" s="148"/>
      <c r="J5884" s="148"/>
      <c r="K5884" s="148"/>
      <c r="L5884" s="148"/>
    </row>
    <row r="5885" spans="7:12">
      <c r="G5885" s="148"/>
      <c r="H5885" s="148"/>
      <c r="I5885" s="148"/>
      <c r="J5885" s="148"/>
      <c r="K5885" s="148"/>
      <c r="L5885" s="148"/>
    </row>
    <row r="5886" spans="7:12">
      <c r="G5886" s="148"/>
      <c r="H5886" s="148"/>
      <c r="I5886" s="148"/>
      <c r="J5886" s="148"/>
      <c r="K5886" s="148"/>
      <c r="L5886" s="148"/>
    </row>
    <row r="5887" spans="7:12">
      <c r="G5887" s="148"/>
      <c r="H5887" s="148"/>
      <c r="I5887" s="148"/>
      <c r="J5887" s="148"/>
      <c r="K5887" s="148"/>
      <c r="L5887" s="148"/>
    </row>
    <row r="5888" spans="7:12">
      <c r="G5888" s="148"/>
      <c r="H5888" s="148"/>
      <c r="I5888" s="148"/>
      <c r="J5888" s="148"/>
      <c r="K5888" s="148"/>
      <c r="L5888" s="148"/>
    </row>
    <row r="5889" spans="7:12">
      <c r="G5889" s="148"/>
      <c r="H5889" s="148"/>
      <c r="I5889" s="148"/>
      <c r="J5889" s="148"/>
      <c r="K5889" s="148"/>
      <c r="L5889" s="148"/>
    </row>
    <row r="5890" spans="7:12">
      <c r="G5890" s="148"/>
      <c r="H5890" s="148"/>
      <c r="I5890" s="148"/>
      <c r="J5890" s="148"/>
      <c r="K5890" s="148"/>
      <c r="L5890" s="148"/>
    </row>
    <row r="5891" spans="7:12">
      <c r="G5891" s="148"/>
      <c r="H5891" s="148"/>
      <c r="I5891" s="148"/>
      <c r="J5891" s="148"/>
      <c r="K5891" s="148"/>
      <c r="L5891" s="148"/>
    </row>
    <row r="5892" spans="7:12">
      <c r="G5892" s="148"/>
      <c r="H5892" s="148"/>
      <c r="I5892" s="148"/>
      <c r="J5892" s="148"/>
      <c r="K5892" s="148"/>
      <c r="L5892" s="148"/>
    </row>
    <row r="5893" spans="7:12">
      <c r="G5893" s="148"/>
      <c r="H5893" s="148"/>
      <c r="I5893" s="148"/>
      <c r="J5893" s="148"/>
      <c r="K5893" s="148"/>
      <c r="L5893" s="148"/>
    </row>
    <row r="5894" spans="7:12">
      <c r="G5894" s="148"/>
      <c r="H5894" s="148"/>
      <c r="I5894" s="148"/>
      <c r="J5894" s="148"/>
      <c r="K5894" s="148"/>
      <c r="L5894" s="148"/>
    </row>
    <row r="5895" spans="7:12">
      <c r="G5895" s="148"/>
      <c r="H5895" s="148"/>
      <c r="I5895" s="148"/>
      <c r="J5895" s="148"/>
      <c r="K5895" s="148"/>
      <c r="L5895" s="148"/>
    </row>
    <row r="5896" spans="7:12">
      <c r="G5896" s="148"/>
      <c r="H5896" s="148"/>
      <c r="I5896" s="148"/>
      <c r="J5896" s="148"/>
      <c r="K5896" s="148"/>
      <c r="L5896" s="148"/>
    </row>
    <row r="5897" spans="7:12">
      <c r="G5897" s="148"/>
      <c r="H5897" s="148"/>
      <c r="I5897" s="148"/>
      <c r="J5897" s="148"/>
      <c r="K5897" s="148"/>
      <c r="L5897" s="148"/>
    </row>
    <row r="5898" spans="7:12">
      <c r="G5898" s="148"/>
      <c r="H5898" s="148"/>
      <c r="I5898" s="148"/>
      <c r="J5898" s="148"/>
      <c r="K5898" s="148"/>
      <c r="L5898" s="148"/>
    </row>
    <row r="5899" spans="7:12">
      <c r="G5899" s="148"/>
      <c r="H5899" s="148"/>
      <c r="I5899" s="148"/>
      <c r="J5899" s="148"/>
      <c r="K5899" s="148"/>
      <c r="L5899" s="148"/>
    </row>
    <row r="5900" spans="7:12">
      <c r="G5900" s="148"/>
      <c r="H5900" s="148"/>
      <c r="I5900" s="148"/>
      <c r="J5900" s="148"/>
      <c r="K5900" s="148"/>
      <c r="L5900" s="148"/>
    </row>
    <row r="5901" spans="7:12">
      <c r="G5901" s="148"/>
      <c r="H5901" s="148"/>
      <c r="I5901" s="148"/>
      <c r="J5901" s="148"/>
      <c r="K5901" s="148"/>
      <c r="L5901" s="148"/>
    </row>
    <row r="5902" spans="7:12">
      <c r="G5902" s="148"/>
      <c r="H5902" s="148"/>
      <c r="I5902" s="148"/>
      <c r="J5902" s="148"/>
      <c r="K5902" s="148"/>
      <c r="L5902" s="148"/>
    </row>
    <row r="5903" spans="7:12">
      <c r="G5903" s="148"/>
      <c r="H5903" s="148"/>
      <c r="I5903" s="148"/>
      <c r="J5903" s="148"/>
      <c r="K5903" s="148"/>
      <c r="L5903" s="148"/>
    </row>
    <row r="5904" spans="7:12">
      <c r="G5904" s="148"/>
      <c r="H5904" s="148"/>
      <c r="I5904" s="148"/>
      <c r="J5904" s="148"/>
      <c r="K5904" s="148"/>
      <c r="L5904" s="148"/>
    </row>
    <row r="5905" spans="7:12">
      <c r="G5905" s="148"/>
      <c r="H5905" s="148"/>
      <c r="I5905" s="148"/>
      <c r="J5905" s="148"/>
      <c r="K5905" s="148"/>
      <c r="L5905" s="148"/>
    </row>
    <row r="5906" spans="7:12">
      <c r="G5906" s="148"/>
      <c r="H5906" s="148"/>
      <c r="I5906" s="148"/>
      <c r="J5906" s="148"/>
      <c r="K5906" s="148"/>
      <c r="L5906" s="148"/>
    </row>
    <row r="5907" spans="7:12">
      <c r="G5907" s="148"/>
      <c r="H5907" s="148"/>
      <c r="I5907" s="148"/>
      <c r="J5907" s="148"/>
      <c r="K5907" s="148"/>
      <c r="L5907" s="148"/>
    </row>
    <row r="5908" spans="7:12">
      <c r="G5908" s="148"/>
      <c r="H5908" s="148"/>
      <c r="I5908" s="148"/>
      <c r="J5908" s="148"/>
      <c r="K5908" s="148"/>
      <c r="L5908" s="148"/>
    </row>
    <row r="5909" spans="7:12">
      <c r="G5909" s="148"/>
      <c r="H5909" s="148"/>
      <c r="I5909" s="148"/>
      <c r="J5909" s="148"/>
      <c r="K5909" s="148"/>
      <c r="L5909" s="148"/>
    </row>
    <row r="5910" spans="7:12">
      <c r="G5910" s="148"/>
      <c r="H5910" s="148"/>
      <c r="I5910" s="148"/>
      <c r="J5910" s="148"/>
      <c r="K5910" s="148"/>
      <c r="L5910" s="148"/>
    </row>
    <row r="5911" spans="7:12">
      <c r="G5911" s="148"/>
      <c r="H5911" s="148"/>
      <c r="I5911" s="148"/>
      <c r="J5911" s="148"/>
      <c r="K5911" s="148"/>
      <c r="L5911" s="148"/>
    </row>
    <row r="5912" spans="7:12">
      <c r="G5912" s="148"/>
      <c r="H5912" s="148"/>
      <c r="I5912" s="148"/>
      <c r="J5912" s="148"/>
      <c r="K5912" s="148"/>
      <c r="L5912" s="148"/>
    </row>
    <row r="5913" spans="7:12">
      <c r="G5913" s="148"/>
      <c r="H5913" s="148"/>
      <c r="I5913" s="148"/>
      <c r="J5913" s="148"/>
      <c r="K5913" s="148"/>
      <c r="L5913" s="148"/>
    </row>
    <row r="5914" spans="7:12">
      <c r="G5914" s="148"/>
      <c r="H5914" s="148"/>
      <c r="I5914" s="148"/>
      <c r="J5914" s="148"/>
      <c r="K5914" s="148"/>
      <c r="L5914" s="148"/>
    </row>
    <row r="5915" spans="7:12">
      <c r="G5915" s="148"/>
      <c r="H5915" s="148"/>
      <c r="I5915" s="148"/>
      <c r="J5915" s="148"/>
      <c r="K5915" s="148"/>
      <c r="L5915" s="148"/>
    </row>
    <row r="5916" spans="7:12">
      <c r="G5916" s="148"/>
      <c r="H5916" s="148"/>
      <c r="I5916" s="148"/>
      <c r="J5916" s="148"/>
      <c r="K5916" s="148"/>
      <c r="L5916" s="148"/>
    </row>
    <row r="5917" spans="7:12">
      <c r="G5917" s="148"/>
      <c r="H5917" s="148"/>
      <c r="I5917" s="148"/>
      <c r="J5917" s="148"/>
      <c r="K5917" s="148"/>
      <c r="L5917" s="148"/>
    </row>
    <row r="5918" spans="7:12">
      <c r="G5918" s="148"/>
      <c r="H5918" s="148"/>
      <c r="I5918" s="148"/>
      <c r="J5918" s="148"/>
      <c r="K5918" s="148"/>
      <c r="L5918" s="148"/>
    </row>
    <row r="5919" spans="7:12">
      <c r="G5919" s="148"/>
      <c r="H5919" s="148"/>
      <c r="I5919" s="148"/>
      <c r="J5919" s="148"/>
      <c r="K5919" s="148"/>
      <c r="L5919" s="148"/>
    </row>
    <row r="5920" spans="7:12">
      <c r="G5920" s="148"/>
      <c r="H5920" s="148"/>
      <c r="I5920" s="148"/>
      <c r="J5920" s="148"/>
      <c r="K5920" s="148"/>
      <c r="L5920" s="148"/>
    </row>
    <row r="5921" spans="7:12">
      <c r="G5921" s="148"/>
      <c r="H5921" s="148"/>
      <c r="I5921" s="148"/>
      <c r="J5921" s="148"/>
      <c r="K5921" s="148"/>
      <c r="L5921" s="148"/>
    </row>
    <row r="5922" spans="7:12">
      <c r="G5922" s="148"/>
      <c r="H5922" s="148"/>
      <c r="I5922" s="148"/>
      <c r="J5922" s="148"/>
      <c r="K5922" s="148"/>
      <c r="L5922" s="148"/>
    </row>
    <row r="5923" spans="7:12">
      <c r="G5923" s="148"/>
      <c r="H5923" s="148"/>
      <c r="I5923" s="148"/>
      <c r="J5923" s="148"/>
      <c r="K5923" s="148"/>
      <c r="L5923" s="148"/>
    </row>
    <row r="5924" spans="7:12">
      <c r="G5924" s="148"/>
      <c r="H5924" s="148"/>
      <c r="I5924" s="148"/>
      <c r="J5924" s="148"/>
      <c r="K5924" s="148"/>
      <c r="L5924" s="148"/>
    </row>
    <row r="5925" spans="7:12">
      <c r="G5925" s="148"/>
      <c r="H5925" s="148"/>
      <c r="I5925" s="148"/>
      <c r="J5925" s="148"/>
      <c r="K5925" s="148"/>
      <c r="L5925" s="148"/>
    </row>
    <row r="5926" spans="7:12">
      <c r="G5926" s="148"/>
      <c r="H5926" s="148"/>
      <c r="I5926" s="148"/>
      <c r="J5926" s="148"/>
      <c r="K5926" s="148"/>
      <c r="L5926" s="148"/>
    </row>
    <row r="5927" spans="7:12">
      <c r="G5927" s="148"/>
      <c r="H5927" s="148"/>
      <c r="I5927" s="148"/>
      <c r="J5927" s="148"/>
      <c r="K5927" s="148"/>
      <c r="L5927" s="148"/>
    </row>
    <row r="5928" spans="7:12">
      <c r="G5928" s="148"/>
      <c r="H5928" s="148"/>
      <c r="I5928" s="148"/>
      <c r="J5928" s="148"/>
      <c r="K5928" s="148"/>
      <c r="L5928" s="148"/>
    </row>
    <row r="5929" spans="7:12">
      <c r="G5929" s="148"/>
      <c r="H5929" s="148"/>
      <c r="I5929" s="148"/>
      <c r="J5929" s="148"/>
      <c r="K5929" s="148"/>
      <c r="L5929" s="148"/>
    </row>
    <row r="5930" spans="7:12">
      <c r="G5930" s="148"/>
      <c r="H5930" s="148"/>
      <c r="I5930" s="148"/>
      <c r="J5930" s="148"/>
      <c r="K5930" s="148"/>
      <c r="L5930" s="148"/>
    </row>
    <row r="5931" spans="7:12">
      <c r="G5931" s="148"/>
      <c r="H5931" s="148"/>
      <c r="I5931" s="148"/>
      <c r="J5931" s="148"/>
      <c r="K5931" s="148"/>
      <c r="L5931" s="148"/>
    </row>
    <row r="5932" spans="7:12">
      <c r="G5932" s="148"/>
      <c r="H5932" s="148"/>
      <c r="I5932" s="148"/>
      <c r="J5932" s="148"/>
      <c r="K5932" s="148"/>
      <c r="L5932" s="148"/>
    </row>
    <row r="5933" spans="7:12">
      <c r="G5933" s="148"/>
      <c r="H5933" s="148"/>
      <c r="I5933" s="148"/>
      <c r="J5933" s="148"/>
      <c r="K5933" s="148"/>
      <c r="L5933" s="148"/>
    </row>
    <row r="5934" spans="7:12">
      <c r="G5934" s="148"/>
      <c r="H5934" s="148"/>
      <c r="I5934" s="148"/>
      <c r="J5934" s="148"/>
      <c r="K5934" s="148"/>
      <c r="L5934" s="148"/>
    </row>
    <row r="5935" spans="7:12">
      <c r="G5935" s="148"/>
      <c r="H5935" s="148"/>
      <c r="I5935" s="148"/>
      <c r="J5935" s="148"/>
      <c r="K5935" s="148"/>
      <c r="L5935" s="148"/>
    </row>
    <row r="5936" spans="7:12">
      <c r="G5936" s="148"/>
      <c r="H5936" s="148"/>
      <c r="I5936" s="148"/>
      <c r="J5936" s="148"/>
      <c r="K5936" s="148"/>
      <c r="L5936" s="148"/>
    </row>
    <row r="5937" spans="7:12">
      <c r="G5937" s="148"/>
      <c r="H5937" s="148"/>
      <c r="I5937" s="148"/>
      <c r="J5937" s="148"/>
      <c r="K5937" s="148"/>
      <c r="L5937" s="148"/>
    </row>
    <row r="5938" spans="7:12">
      <c r="G5938" s="148"/>
      <c r="H5938" s="148"/>
      <c r="I5938" s="148"/>
      <c r="J5938" s="148"/>
      <c r="K5938" s="148"/>
      <c r="L5938" s="148"/>
    </row>
    <row r="5939" spans="7:12">
      <c r="G5939" s="148"/>
      <c r="H5939" s="148"/>
      <c r="I5939" s="148"/>
      <c r="J5939" s="148"/>
      <c r="K5939" s="148"/>
      <c r="L5939" s="148"/>
    </row>
    <row r="5940" spans="7:12">
      <c r="G5940" s="148"/>
      <c r="H5940" s="148"/>
      <c r="I5940" s="148"/>
      <c r="J5940" s="148"/>
      <c r="K5940" s="148"/>
      <c r="L5940" s="148"/>
    </row>
    <row r="5941" spans="7:12">
      <c r="G5941" s="148"/>
      <c r="H5941" s="148"/>
      <c r="I5941" s="148"/>
      <c r="J5941" s="148"/>
      <c r="K5941" s="148"/>
      <c r="L5941" s="148"/>
    </row>
    <row r="5942" spans="7:12">
      <c r="G5942" s="148"/>
      <c r="H5942" s="148"/>
      <c r="I5942" s="148"/>
      <c r="J5942" s="148"/>
      <c r="K5942" s="148"/>
      <c r="L5942" s="148"/>
    </row>
    <row r="5943" spans="7:12">
      <c r="G5943" s="148"/>
      <c r="H5943" s="148"/>
      <c r="I5943" s="148"/>
      <c r="J5943" s="148"/>
      <c r="K5943" s="148"/>
      <c r="L5943" s="148"/>
    </row>
    <row r="5944" spans="7:12">
      <c r="G5944" s="148"/>
      <c r="H5944" s="148"/>
      <c r="I5944" s="148"/>
      <c r="J5944" s="148"/>
      <c r="K5944" s="148"/>
      <c r="L5944" s="148"/>
    </row>
    <row r="5945" spans="7:12">
      <c r="G5945" s="148"/>
      <c r="H5945" s="148"/>
      <c r="I5945" s="148"/>
      <c r="J5945" s="148"/>
      <c r="K5945" s="148"/>
      <c r="L5945" s="148"/>
    </row>
    <row r="5946" spans="7:12">
      <c r="G5946" s="148"/>
      <c r="H5946" s="148"/>
      <c r="I5946" s="148"/>
      <c r="J5946" s="148"/>
      <c r="K5946" s="148"/>
      <c r="L5946" s="148"/>
    </row>
    <row r="5947" spans="7:12">
      <c r="G5947" s="148"/>
      <c r="H5947" s="148"/>
      <c r="I5947" s="148"/>
      <c r="J5947" s="148"/>
      <c r="K5947" s="148"/>
      <c r="L5947" s="148"/>
    </row>
    <row r="5948" spans="7:12">
      <c r="G5948" s="148"/>
      <c r="H5948" s="148"/>
      <c r="I5948" s="148"/>
      <c r="J5948" s="148"/>
      <c r="K5948" s="148"/>
      <c r="L5948" s="148"/>
    </row>
    <row r="5949" spans="7:12">
      <c r="G5949" s="148"/>
      <c r="H5949" s="148"/>
      <c r="I5949" s="148"/>
      <c r="J5949" s="148"/>
      <c r="K5949" s="148"/>
      <c r="L5949" s="148"/>
    </row>
    <row r="5950" spans="7:12">
      <c r="G5950" s="148"/>
      <c r="H5950" s="148"/>
      <c r="I5950" s="148"/>
      <c r="J5950" s="148"/>
      <c r="K5950" s="148"/>
      <c r="L5950" s="148"/>
    </row>
    <row r="5951" spans="7:12">
      <c r="G5951" s="148"/>
      <c r="H5951" s="148"/>
      <c r="I5951" s="148"/>
      <c r="J5951" s="148"/>
      <c r="K5951" s="148"/>
      <c r="L5951" s="148"/>
    </row>
    <row r="5952" spans="7:12">
      <c r="G5952" s="148"/>
      <c r="H5952" s="148"/>
      <c r="I5952" s="148"/>
      <c r="J5952" s="148"/>
      <c r="K5952" s="148"/>
      <c r="L5952" s="148"/>
    </row>
    <row r="5953" spans="7:12">
      <c r="G5953" s="148"/>
      <c r="H5953" s="148"/>
      <c r="I5953" s="148"/>
      <c r="J5953" s="148"/>
      <c r="K5953" s="148"/>
      <c r="L5953" s="148"/>
    </row>
    <row r="5954" spans="7:12">
      <c r="G5954" s="148"/>
      <c r="H5954" s="148"/>
      <c r="I5954" s="148"/>
      <c r="J5954" s="148"/>
      <c r="K5954" s="148"/>
      <c r="L5954" s="148"/>
    </row>
    <row r="5955" spans="7:12">
      <c r="G5955" s="148"/>
      <c r="H5955" s="148"/>
      <c r="I5955" s="148"/>
      <c r="J5955" s="148"/>
      <c r="K5955" s="148"/>
      <c r="L5955" s="148"/>
    </row>
    <row r="5956" spans="7:12">
      <c r="G5956" s="148"/>
      <c r="H5956" s="148"/>
      <c r="I5956" s="148"/>
      <c r="J5956" s="148"/>
      <c r="K5956" s="148"/>
      <c r="L5956" s="148"/>
    </row>
    <row r="5957" spans="7:12">
      <c r="G5957" s="148"/>
      <c r="H5957" s="148"/>
      <c r="I5957" s="148"/>
      <c r="J5957" s="148"/>
      <c r="K5957" s="148"/>
      <c r="L5957" s="148"/>
    </row>
    <row r="5958" spans="7:12">
      <c r="G5958" s="148"/>
      <c r="H5958" s="148"/>
      <c r="I5958" s="148"/>
      <c r="J5958" s="148"/>
      <c r="K5958" s="148"/>
      <c r="L5958" s="148"/>
    </row>
    <row r="5959" spans="7:12">
      <c r="G5959" s="148"/>
      <c r="H5959" s="148"/>
      <c r="I5959" s="148"/>
      <c r="J5959" s="148"/>
      <c r="K5959" s="148"/>
      <c r="L5959" s="148"/>
    </row>
    <row r="5960" spans="7:12">
      <c r="G5960" s="148"/>
      <c r="H5960" s="148"/>
      <c r="I5960" s="148"/>
      <c r="J5960" s="148"/>
      <c r="K5960" s="148"/>
      <c r="L5960" s="148"/>
    </row>
    <row r="5961" spans="7:12">
      <c r="G5961" s="148"/>
      <c r="H5961" s="148"/>
      <c r="I5961" s="148"/>
      <c r="J5961" s="148"/>
      <c r="K5961" s="148"/>
      <c r="L5961" s="148"/>
    </row>
    <row r="5962" spans="7:12">
      <c r="G5962" s="148"/>
      <c r="H5962" s="148"/>
      <c r="I5962" s="148"/>
      <c r="J5962" s="148"/>
      <c r="K5962" s="148"/>
      <c r="L5962" s="148"/>
    </row>
    <row r="5963" spans="7:12">
      <c r="G5963" s="148"/>
      <c r="H5963" s="148"/>
      <c r="I5963" s="148"/>
      <c r="J5963" s="148"/>
      <c r="K5963" s="148"/>
      <c r="L5963" s="148"/>
    </row>
    <row r="5964" spans="7:12">
      <c r="G5964" s="148"/>
      <c r="H5964" s="148"/>
      <c r="I5964" s="148"/>
      <c r="J5964" s="148"/>
      <c r="K5964" s="148"/>
      <c r="L5964" s="148"/>
    </row>
    <row r="5965" spans="7:12">
      <c r="G5965" s="148"/>
      <c r="H5965" s="148"/>
      <c r="I5965" s="148"/>
      <c r="J5965" s="148"/>
      <c r="K5965" s="148"/>
      <c r="L5965" s="148"/>
    </row>
    <row r="5966" spans="7:12">
      <c r="G5966" s="148"/>
      <c r="H5966" s="148"/>
      <c r="I5966" s="148"/>
      <c r="J5966" s="148"/>
      <c r="K5966" s="148"/>
      <c r="L5966" s="148"/>
    </row>
    <row r="5967" spans="7:12">
      <c r="G5967" s="148"/>
      <c r="H5967" s="148"/>
      <c r="I5967" s="148"/>
      <c r="J5967" s="148"/>
      <c r="K5967" s="148"/>
      <c r="L5967" s="148"/>
    </row>
    <row r="5968" spans="7:12">
      <c r="G5968" s="148"/>
      <c r="H5968" s="148"/>
      <c r="I5968" s="148"/>
      <c r="J5968" s="148"/>
      <c r="K5968" s="148"/>
      <c r="L5968" s="148"/>
    </row>
    <row r="5969" spans="7:12">
      <c r="G5969" s="148"/>
      <c r="H5969" s="148"/>
      <c r="I5969" s="148"/>
      <c r="J5969" s="148"/>
      <c r="K5969" s="148"/>
      <c r="L5969" s="148"/>
    </row>
    <row r="5970" spans="7:12">
      <c r="G5970" s="148"/>
      <c r="H5970" s="148"/>
      <c r="I5970" s="148"/>
      <c r="J5970" s="148"/>
      <c r="K5970" s="148"/>
      <c r="L5970" s="148"/>
    </row>
    <row r="5971" spans="7:12">
      <c r="G5971" s="148"/>
      <c r="H5971" s="148"/>
      <c r="I5971" s="148"/>
      <c r="J5971" s="148"/>
      <c r="K5971" s="148"/>
      <c r="L5971" s="148"/>
    </row>
    <row r="5972" spans="7:12">
      <c r="G5972" s="148"/>
      <c r="H5972" s="148"/>
      <c r="I5972" s="148"/>
      <c r="J5972" s="148"/>
      <c r="K5972" s="148"/>
      <c r="L5972" s="148"/>
    </row>
    <row r="5973" spans="7:12">
      <c r="G5973" s="148"/>
      <c r="H5973" s="148"/>
      <c r="I5973" s="148"/>
      <c r="J5973" s="148"/>
      <c r="K5973" s="148"/>
      <c r="L5973" s="148"/>
    </row>
    <row r="5974" spans="7:12">
      <c r="G5974" s="148"/>
      <c r="H5974" s="148"/>
      <c r="I5974" s="148"/>
      <c r="J5974" s="148"/>
      <c r="K5974" s="148"/>
      <c r="L5974" s="148"/>
    </row>
    <row r="5975" spans="7:12">
      <c r="G5975" s="148"/>
      <c r="H5975" s="148"/>
      <c r="I5975" s="148"/>
      <c r="J5975" s="148"/>
      <c r="K5975" s="148"/>
      <c r="L5975" s="148"/>
    </row>
    <row r="5976" spans="7:12">
      <c r="G5976" s="148"/>
      <c r="H5976" s="148"/>
      <c r="I5976" s="148"/>
      <c r="J5976" s="148"/>
      <c r="K5976" s="148"/>
      <c r="L5976" s="148"/>
    </row>
    <row r="5977" spans="7:12">
      <c r="G5977" s="148"/>
      <c r="H5977" s="148"/>
      <c r="I5977" s="148"/>
      <c r="J5977" s="148"/>
      <c r="K5977" s="148"/>
      <c r="L5977" s="148"/>
    </row>
    <row r="5978" spans="7:12">
      <c r="G5978" s="148"/>
      <c r="H5978" s="148"/>
      <c r="I5978" s="148"/>
      <c r="J5978" s="148"/>
      <c r="K5978" s="148"/>
      <c r="L5978" s="148"/>
    </row>
    <row r="5979" spans="7:12">
      <c r="G5979" s="148"/>
      <c r="H5979" s="148"/>
      <c r="I5979" s="148"/>
      <c r="J5979" s="148"/>
      <c r="K5979" s="148"/>
      <c r="L5979" s="148"/>
    </row>
    <row r="5980" spans="7:12">
      <c r="G5980" s="148"/>
      <c r="H5980" s="148"/>
      <c r="I5980" s="148"/>
      <c r="J5980" s="148"/>
      <c r="K5980" s="148"/>
      <c r="L5980" s="148"/>
    </row>
    <row r="5981" spans="7:12">
      <c r="G5981" s="148"/>
      <c r="H5981" s="148"/>
      <c r="I5981" s="148"/>
      <c r="J5981" s="148"/>
      <c r="K5981" s="148"/>
      <c r="L5981" s="148"/>
    </row>
    <row r="5982" spans="7:12">
      <c r="G5982" s="148"/>
      <c r="H5982" s="148"/>
      <c r="I5982" s="148"/>
      <c r="J5982" s="148"/>
      <c r="K5982" s="148"/>
      <c r="L5982" s="148"/>
    </row>
    <row r="5983" spans="7:12">
      <c r="G5983" s="148"/>
      <c r="H5983" s="148"/>
      <c r="I5983" s="148"/>
      <c r="J5983" s="148"/>
      <c r="K5983" s="148"/>
      <c r="L5983" s="148"/>
    </row>
    <row r="5984" spans="7:12">
      <c r="G5984" s="148"/>
      <c r="H5984" s="148"/>
      <c r="I5984" s="148"/>
      <c r="J5984" s="148"/>
      <c r="K5984" s="148"/>
      <c r="L5984" s="148"/>
    </row>
    <row r="5985" spans="7:12">
      <c r="G5985" s="148"/>
      <c r="H5985" s="148"/>
      <c r="I5985" s="148"/>
      <c r="J5985" s="148"/>
      <c r="K5985" s="148"/>
      <c r="L5985" s="148"/>
    </row>
    <row r="5986" spans="7:12">
      <c r="G5986" s="148"/>
      <c r="H5986" s="148"/>
      <c r="I5986" s="148"/>
      <c r="J5986" s="148"/>
      <c r="K5986" s="148"/>
      <c r="L5986" s="148"/>
    </row>
    <row r="5987" spans="7:12">
      <c r="G5987" s="148"/>
      <c r="H5987" s="148"/>
      <c r="I5987" s="148"/>
      <c r="J5987" s="148"/>
      <c r="K5987" s="148"/>
      <c r="L5987" s="148"/>
    </row>
    <row r="5988" spans="7:12">
      <c r="G5988" s="148"/>
      <c r="H5988" s="148"/>
      <c r="I5988" s="148"/>
      <c r="J5988" s="148"/>
      <c r="K5988" s="148"/>
      <c r="L5988" s="148"/>
    </row>
    <row r="5989" spans="7:12">
      <c r="G5989" s="148"/>
      <c r="H5989" s="148"/>
      <c r="I5989" s="148"/>
      <c r="J5989" s="148"/>
      <c r="K5989" s="148"/>
      <c r="L5989" s="148"/>
    </row>
    <row r="5990" spans="7:12">
      <c r="G5990" s="148"/>
      <c r="H5990" s="148"/>
      <c r="I5990" s="148"/>
      <c r="J5990" s="148"/>
      <c r="K5990" s="148"/>
      <c r="L5990" s="148"/>
    </row>
    <row r="5991" spans="7:12">
      <c r="G5991" s="148"/>
      <c r="H5991" s="148"/>
      <c r="I5991" s="148"/>
      <c r="J5991" s="148"/>
      <c r="K5991" s="148"/>
      <c r="L5991" s="148"/>
    </row>
    <row r="5992" spans="7:12">
      <c r="G5992" s="148"/>
      <c r="H5992" s="148"/>
      <c r="I5992" s="148"/>
      <c r="J5992" s="148"/>
      <c r="K5992" s="148"/>
      <c r="L5992" s="148"/>
    </row>
    <row r="5993" spans="7:12">
      <c r="G5993" s="148"/>
      <c r="H5993" s="148"/>
      <c r="I5993" s="148"/>
      <c r="J5993" s="148"/>
      <c r="K5993" s="148"/>
      <c r="L5993" s="148"/>
    </row>
    <row r="5994" spans="7:12">
      <c r="G5994" s="148"/>
      <c r="H5994" s="148"/>
      <c r="I5994" s="148"/>
      <c r="J5994" s="148"/>
      <c r="K5994" s="148"/>
      <c r="L5994" s="148"/>
    </row>
    <row r="5995" spans="7:12">
      <c r="G5995" s="148"/>
      <c r="H5995" s="148"/>
      <c r="I5995" s="148"/>
      <c r="J5995" s="148"/>
      <c r="K5995" s="148"/>
      <c r="L5995" s="148"/>
    </row>
    <row r="5996" spans="7:12">
      <c r="G5996" s="148"/>
      <c r="H5996" s="148"/>
      <c r="I5996" s="148"/>
      <c r="J5996" s="148"/>
      <c r="K5996" s="148"/>
      <c r="L5996" s="148"/>
    </row>
    <row r="5997" spans="7:12">
      <c r="G5997" s="148"/>
      <c r="H5997" s="148"/>
      <c r="I5997" s="148"/>
      <c r="J5997" s="148"/>
      <c r="K5997" s="148"/>
      <c r="L5997" s="148"/>
    </row>
    <row r="5998" spans="7:12">
      <c r="G5998" s="148"/>
      <c r="H5998" s="148"/>
      <c r="I5998" s="148"/>
      <c r="J5998" s="148"/>
      <c r="K5998" s="148"/>
      <c r="L5998" s="148"/>
    </row>
    <row r="5999" spans="7:12">
      <c r="G5999" s="148"/>
      <c r="H5999" s="148"/>
      <c r="I5999" s="148"/>
      <c r="J5999" s="148"/>
      <c r="K5999" s="148"/>
      <c r="L5999" s="148"/>
    </row>
    <row r="6000" spans="7:12">
      <c r="G6000" s="148"/>
      <c r="H6000" s="148"/>
      <c r="I6000" s="148"/>
      <c r="J6000" s="148"/>
      <c r="K6000" s="148"/>
      <c r="L6000" s="148"/>
    </row>
    <row r="6001" spans="7:12">
      <c r="G6001" s="148"/>
      <c r="H6001" s="148"/>
      <c r="I6001" s="148"/>
      <c r="J6001" s="148"/>
      <c r="K6001" s="148"/>
      <c r="L6001" s="148"/>
    </row>
    <row r="6002" spans="7:12">
      <c r="G6002" s="148"/>
      <c r="H6002" s="148"/>
      <c r="I6002" s="148"/>
      <c r="J6002" s="148"/>
      <c r="K6002" s="148"/>
      <c r="L6002" s="148"/>
    </row>
    <row r="6003" spans="7:12">
      <c r="G6003" s="148"/>
      <c r="H6003" s="148"/>
      <c r="I6003" s="148"/>
      <c r="J6003" s="148"/>
      <c r="K6003" s="148"/>
      <c r="L6003" s="148"/>
    </row>
    <row r="6004" spans="7:12">
      <c r="G6004" s="148"/>
      <c r="H6004" s="148"/>
      <c r="I6004" s="148"/>
      <c r="J6004" s="148"/>
      <c r="K6004" s="148"/>
      <c r="L6004" s="148"/>
    </row>
    <row r="6005" spans="7:12">
      <c r="G6005" s="148"/>
      <c r="H6005" s="148"/>
      <c r="I6005" s="148"/>
      <c r="J6005" s="148"/>
      <c r="K6005" s="148"/>
      <c r="L6005" s="148"/>
    </row>
    <row r="6006" spans="7:12">
      <c r="G6006" s="148"/>
      <c r="H6006" s="148"/>
      <c r="I6006" s="148"/>
      <c r="J6006" s="148"/>
      <c r="K6006" s="148"/>
      <c r="L6006" s="148"/>
    </row>
    <row r="6007" spans="7:12">
      <c r="G6007" s="148"/>
      <c r="H6007" s="148"/>
      <c r="I6007" s="148"/>
      <c r="J6007" s="148"/>
      <c r="K6007" s="148"/>
      <c r="L6007" s="148"/>
    </row>
    <row r="6008" spans="7:12">
      <c r="G6008" s="148"/>
      <c r="H6008" s="148"/>
      <c r="I6008" s="148"/>
      <c r="J6008" s="148"/>
      <c r="K6008" s="148"/>
      <c r="L6008" s="148"/>
    </row>
    <row r="6009" spans="7:12">
      <c r="G6009" s="148"/>
      <c r="H6009" s="148"/>
      <c r="I6009" s="148"/>
      <c r="J6009" s="148"/>
      <c r="K6009" s="148"/>
      <c r="L6009" s="148"/>
    </row>
    <row r="6010" spans="7:12">
      <c r="G6010" s="148"/>
      <c r="H6010" s="148"/>
      <c r="I6010" s="148"/>
      <c r="J6010" s="148"/>
      <c r="K6010" s="148"/>
      <c r="L6010" s="148"/>
    </row>
    <row r="6011" spans="7:12">
      <c r="G6011" s="148"/>
      <c r="H6011" s="148"/>
      <c r="I6011" s="148"/>
      <c r="J6011" s="148"/>
      <c r="K6011" s="148"/>
      <c r="L6011" s="148"/>
    </row>
    <row r="6012" spans="7:12">
      <c r="G6012" s="148"/>
      <c r="H6012" s="148"/>
      <c r="I6012" s="148"/>
      <c r="J6012" s="148"/>
      <c r="K6012" s="148"/>
      <c r="L6012" s="148"/>
    </row>
    <row r="6013" spans="7:12">
      <c r="G6013" s="148"/>
      <c r="H6013" s="148"/>
      <c r="I6013" s="148"/>
      <c r="J6013" s="148"/>
      <c r="K6013" s="148"/>
      <c r="L6013" s="148"/>
    </row>
    <row r="6014" spans="7:12">
      <c r="G6014" s="148"/>
      <c r="H6014" s="148"/>
      <c r="I6014" s="148"/>
      <c r="J6014" s="148"/>
      <c r="K6014" s="148"/>
      <c r="L6014" s="148"/>
    </row>
    <row r="6015" spans="7:12">
      <c r="G6015" s="148"/>
      <c r="H6015" s="148"/>
      <c r="I6015" s="148"/>
      <c r="J6015" s="148"/>
      <c r="K6015" s="148"/>
      <c r="L6015" s="148"/>
    </row>
    <row r="6016" spans="7:12">
      <c r="G6016" s="148"/>
      <c r="H6016" s="148"/>
      <c r="I6016" s="148"/>
      <c r="J6016" s="148"/>
      <c r="K6016" s="148"/>
      <c r="L6016" s="148"/>
    </row>
    <row r="6017" spans="7:12">
      <c r="G6017" s="148"/>
      <c r="H6017" s="148"/>
      <c r="I6017" s="148"/>
      <c r="J6017" s="148"/>
      <c r="K6017" s="148"/>
      <c r="L6017" s="148"/>
    </row>
    <row r="6018" spans="7:12">
      <c r="G6018" s="148"/>
      <c r="H6018" s="148"/>
      <c r="I6018" s="148"/>
      <c r="J6018" s="148"/>
      <c r="K6018" s="148"/>
      <c r="L6018" s="148"/>
    </row>
    <row r="6019" spans="7:12">
      <c r="G6019" s="148"/>
      <c r="H6019" s="148"/>
      <c r="I6019" s="148"/>
      <c r="J6019" s="148"/>
      <c r="K6019" s="148"/>
      <c r="L6019" s="148"/>
    </row>
    <row r="6020" spans="7:12">
      <c r="G6020" s="148"/>
      <c r="H6020" s="148"/>
      <c r="I6020" s="148"/>
      <c r="J6020" s="148"/>
      <c r="K6020" s="148"/>
      <c r="L6020" s="148"/>
    </row>
    <row r="6021" spans="7:12">
      <c r="G6021" s="148"/>
      <c r="H6021" s="148"/>
      <c r="I6021" s="148"/>
      <c r="J6021" s="148"/>
      <c r="K6021" s="148"/>
      <c r="L6021" s="148"/>
    </row>
    <row r="6022" spans="7:12">
      <c r="G6022" s="148"/>
      <c r="H6022" s="148"/>
      <c r="I6022" s="148"/>
      <c r="J6022" s="148"/>
      <c r="K6022" s="148"/>
      <c r="L6022" s="148"/>
    </row>
    <row r="6023" spans="7:12">
      <c r="G6023" s="148"/>
      <c r="H6023" s="148"/>
      <c r="I6023" s="148"/>
      <c r="J6023" s="148"/>
      <c r="K6023" s="148"/>
      <c r="L6023" s="148"/>
    </row>
    <row r="6024" spans="7:12">
      <c r="G6024" s="148"/>
      <c r="H6024" s="148"/>
      <c r="I6024" s="148"/>
      <c r="J6024" s="148"/>
      <c r="K6024" s="148"/>
      <c r="L6024" s="148"/>
    </row>
    <row r="6025" spans="7:12">
      <c r="G6025" s="148"/>
      <c r="H6025" s="148"/>
      <c r="I6025" s="148"/>
      <c r="J6025" s="148"/>
      <c r="K6025" s="148"/>
      <c r="L6025" s="148"/>
    </row>
    <row r="6026" spans="7:12">
      <c r="G6026" s="148"/>
      <c r="H6026" s="148"/>
      <c r="I6026" s="148"/>
      <c r="J6026" s="148"/>
      <c r="K6026" s="148"/>
      <c r="L6026" s="148"/>
    </row>
    <row r="6027" spans="7:12">
      <c r="G6027" s="148"/>
      <c r="H6027" s="148"/>
      <c r="I6027" s="148"/>
      <c r="J6027" s="148"/>
      <c r="K6027" s="148"/>
      <c r="L6027" s="148"/>
    </row>
    <row r="6028" spans="7:12">
      <c r="G6028" s="148"/>
      <c r="H6028" s="148"/>
      <c r="I6028" s="148"/>
      <c r="J6028" s="148"/>
      <c r="K6028" s="148"/>
      <c r="L6028" s="148"/>
    </row>
    <row r="6029" spans="7:12">
      <c r="G6029" s="148"/>
      <c r="H6029" s="148"/>
      <c r="I6029" s="148"/>
      <c r="J6029" s="148"/>
      <c r="K6029" s="148"/>
      <c r="L6029" s="148"/>
    </row>
    <row r="6030" spans="7:12">
      <c r="G6030" s="148"/>
      <c r="H6030" s="148"/>
      <c r="I6030" s="148"/>
      <c r="J6030" s="148"/>
      <c r="K6030" s="148"/>
      <c r="L6030" s="148"/>
    </row>
    <row r="6031" spans="7:12">
      <c r="G6031" s="148"/>
      <c r="H6031" s="148"/>
      <c r="I6031" s="148"/>
      <c r="J6031" s="148"/>
      <c r="K6031" s="148"/>
      <c r="L6031" s="148"/>
    </row>
    <row r="6032" spans="7:12">
      <c r="G6032" s="148"/>
      <c r="H6032" s="148"/>
      <c r="I6032" s="148"/>
      <c r="J6032" s="148"/>
      <c r="K6032" s="148"/>
      <c r="L6032" s="148"/>
    </row>
    <row r="6033" spans="7:12">
      <c r="G6033" s="148"/>
      <c r="H6033" s="148"/>
      <c r="I6033" s="148"/>
      <c r="J6033" s="148"/>
      <c r="K6033" s="148"/>
      <c r="L6033" s="148"/>
    </row>
    <row r="6034" spans="7:12">
      <c r="G6034" s="148"/>
      <c r="H6034" s="148"/>
      <c r="I6034" s="148"/>
      <c r="J6034" s="148"/>
      <c r="K6034" s="148"/>
      <c r="L6034" s="148"/>
    </row>
    <row r="6035" spans="7:12">
      <c r="G6035" s="148"/>
      <c r="H6035" s="148"/>
      <c r="I6035" s="148"/>
      <c r="J6035" s="148"/>
      <c r="K6035" s="148"/>
      <c r="L6035" s="148"/>
    </row>
    <row r="6036" spans="7:12">
      <c r="G6036" s="148"/>
      <c r="H6036" s="148"/>
      <c r="I6036" s="148"/>
      <c r="J6036" s="148"/>
      <c r="K6036" s="148"/>
      <c r="L6036" s="148"/>
    </row>
    <row r="6037" spans="7:12">
      <c r="G6037" s="148"/>
      <c r="H6037" s="148"/>
      <c r="I6037" s="148"/>
      <c r="J6037" s="148"/>
      <c r="K6037" s="148"/>
      <c r="L6037" s="148"/>
    </row>
    <row r="6038" spans="7:12">
      <c r="G6038" s="148"/>
      <c r="H6038" s="148"/>
      <c r="I6038" s="148"/>
      <c r="J6038" s="148"/>
      <c r="K6038" s="148"/>
      <c r="L6038" s="148"/>
    </row>
    <row r="6039" spans="7:12">
      <c r="G6039" s="148"/>
      <c r="H6039" s="148"/>
      <c r="I6039" s="148"/>
      <c r="J6039" s="148"/>
      <c r="K6039" s="148"/>
      <c r="L6039" s="148"/>
    </row>
    <row r="6040" spans="7:12">
      <c r="G6040" s="148"/>
      <c r="H6040" s="148"/>
      <c r="I6040" s="148"/>
      <c r="J6040" s="148"/>
      <c r="K6040" s="148"/>
      <c r="L6040" s="148"/>
    </row>
    <row r="6041" spans="7:12">
      <c r="G6041" s="148"/>
      <c r="H6041" s="148"/>
      <c r="I6041" s="148"/>
      <c r="J6041" s="148"/>
      <c r="K6041" s="148"/>
      <c r="L6041" s="148"/>
    </row>
    <row r="6042" spans="7:12">
      <c r="G6042" s="148"/>
      <c r="H6042" s="148"/>
      <c r="I6042" s="148"/>
      <c r="J6042" s="148"/>
      <c r="K6042" s="148"/>
      <c r="L6042" s="148"/>
    </row>
    <row r="6043" spans="7:12">
      <c r="G6043" s="148"/>
      <c r="H6043" s="148"/>
      <c r="I6043" s="148"/>
      <c r="J6043" s="148"/>
      <c r="K6043" s="148"/>
      <c r="L6043" s="148"/>
    </row>
    <row r="6044" spans="7:12">
      <c r="G6044" s="148"/>
      <c r="H6044" s="148"/>
      <c r="I6044" s="148"/>
      <c r="J6044" s="148"/>
      <c r="K6044" s="148"/>
      <c r="L6044" s="148"/>
    </row>
    <row r="6045" spans="7:12">
      <c r="G6045" s="148"/>
      <c r="H6045" s="148"/>
      <c r="I6045" s="148"/>
      <c r="J6045" s="148"/>
      <c r="K6045" s="148"/>
      <c r="L6045" s="148"/>
    </row>
    <row r="6046" spans="7:12">
      <c r="G6046" s="148"/>
      <c r="H6046" s="148"/>
      <c r="I6046" s="148"/>
      <c r="J6046" s="148"/>
      <c r="K6046" s="148"/>
      <c r="L6046" s="148"/>
    </row>
    <row r="6047" spans="7:12">
      <c r="G6047" s="148"/>
      <c r="H6047" s="148"/>
      <c r="I6047" s="148"/>
      <c r="J6047" s="148"/>
      <c r="K6047" s="148"/>
      <c r="L6047" s="148"/>
    </row>
    <row r="6048" spans="7:12">
      <c r="G6048" s="148"/>
      <c r="H6048" s="148"/>
      <c r="I6048" s="148"/>
      <c r="J6048" s="148"/>
      <c r="K6048" s="148"/>
      <c r="L6048" s="148"/>
    </row>
    <row r="6049" spans="7:12">
      <c r="G6049" s="148"/>
      <c r="H6049" s="148"/>
      <c r="I6049" s="148"/>
      <c r="J6049" s="148"/>
      <c r="K6049" s="148"/>
      <c r="L6049" s="148"/>
    </row>
    <row r="6050" spans="7:12">
      <c r="G6050" s="148"/>
      <c r="H6050" s="148"/>
      <c r="I6050" s="148"/>
      <c r="J6050" s="148"/>
      <c r="K6050" s="148"/>
      <c r="L6050" s="148"/>
    </row>
    <row r="6051" spans="7:12">
      <c r="G6051" s="148"/>
      <c r="H6051" s="148"/>
      <c r="I6051" s="148"/>
      <c r="J6051" s="148"/>
      <c r="K6051" s="148"/>
      <c r="L6051" s="148"/>
    </row>
    <row r="6052" spans="7:12">
      <c r="G6052" s="148"/>
      <c r="H6052" s="148"/>
      <c r="I6052" s="148"/>
      <c r="J6052" s="148"/>
      <c r="K6052" s="148"/>
      <c r="L6052" s="148"/>
    </row>
    <row r="6053" spans="7:12">
      <c r="G6053" s="148"/>
      <c r="H6053" s="148"/>
      <c r="I6053" s="148"/>
      <c r="J6053" s="148"/>
      <c r="K6053" s="148"/>
      <c r="L6053" s="148"/>
    </row>
    <row r="6054" spans="7:12">
      <c r="G6054" s="148"/>
      <c r="H6054" s="148"/>
      <c r="I6054" s="148"/>
      <c r="J6054" s="148"/>
      <c r="K6054" s="148"/>
      <c r="L6054" s="148"/>
    </row>
    <row r="6055" spans="7:12">
      <c r="G6055" s="148"/>
      <c r="H6055" s="148"/>
      <c r="I6055" s="148"/>
      <c r="J6055" s="148"/>
      <c r="K6055" s="148"/>
      <c r="L6055" s="148"/>
    </row>
    <row r="6056" spans="7:12">
      <c r="G6056" s="148"/>
      <c r="H6056" s="148"/>
      <c r="I6056" s="148"/>
      <c r="J6056" s="148"/>
      <c r="K6056" s="148"/>
      <c r="L6056" s="148"/>
    </row>
    <row r="6057" spans="7:12">
      <c r="G6057" s="148"/>
      <c r="H6057" s="148"/>
      <c r="I6057" s="148"/>
      <c r="J6057" s="148"/>
      <c r="K6057" s="148"/>
      <c r="L6057" s="148"/>
    </row>
    <row r="6058" spans="7:12">
      <c r="G6058" s="148"/>
      <c r="H6058" s="148"/>
      <c r="I6058" s="148"/>
      <c r="J6058" s="148"/>
      <c r="K6058" s="148"/>
      <c r="L6058" s="148"/>
    </row>
    <row r="6059" spans="7:12">
      <c r="G6059" s="148"/>
      <c r="H6059" s="148"/>
      <c r="I6059" s="148"/>
      <c r="J6059" s="148"/>
      <c r="K6059" s="148"/>
      <c r="L6059" s="148"/>
    </row>
    <row r="6060" spans="7:12">
      <c r="G6060" s="148"/>
      <c r="H6060" s="148"/>
      <c r="I6060" s="148"/>
      <c r="J6060" s="148"/>
      <c r="K6060" s="148"/>
      <c r="L6060" s="148"/>
    </row>
    <row r="6061" spans="7:12">
      <c r="G6061" s="148"/>
      <c r="H6061" s="148"/>
      <c r="I6061" s="148"/>
      <c r="J6061" s="148"/>
      <c r="K6061" s="148"/>
      <c r="L6061" s="148"/>
    </row>
    <row r="6062" spans="7:12">
      <c r="G6062" s="148"/>
      <c r="H6062" s="148"/>
      <c r="I6062" s="148"/>
      <c r="J6062" s="148"/>
      <c r="K6062" s="148"/>
      <c r="L6062" s="148"/>
    </row>
    <row r="6063" spans="7:12">
      <c r="G6063" s="148"/>
      <c r="H6063" s="148"/>
      <c r="I6063" s="148"/>
      <c r="J6063" s="148"/>
      <c r="K6063" s="148"/>
      <c r="L6063" s="148"/>
    </row>
    <row r="6064" spans="7:12">
      <c r="G6064" s="148"/>
      <c r="H6064" s="148"/>
      <c r="I6064" s="148"/>
      <c r="J6064" s="148"/>
      <c r="K6064" s="148"/>
      <c r="L6064" s="148"/>
    </row>
    <row r="6065" spans="7:12">
      <c r="G6065" s="148"/>
      <c r="H6065" s="148"/>
      <c r="I6065" s="148"/>
      <c r="J6065" s="148"/>
      <c r="K6065" s="148"/>
      <c r="L6065" s="148"/>
    </row>
    <row r="6066" spans="7:12">
      <c r="G6066" s="148"/>
      <c r="H6066" s="148"/>
      <c r="I6066" s="148"/>
      <c r="J6066" s="148"/>
      <c r="K6066" s="148"/>
      <c r="L6066" s="148"/>
    </row>
    <row r="6067" spans="7:12">
      <c r="G6067" s="148"/>
      <c r="H6067" s="148"/>
      <c r="I6067" s="148"/>
      <c r="J6067" s="148"/>
      <c r="K6067" s="148"/>
      <c r="L6067" s="148"/>
    </row>
    <row r="6068" spans="7:12">
      <c r="G6068" s="148"/>
      <c r="H6068" s="148"/>
      <c r="I6068" s="148"/>
      <c r="J6068" s="148"/>
      <c r="K6068" s="148"/>
      <c r="L6068" s="148"/>
    </row>
    <row r="6069" spans="7:12">
      <c r="G6069" s="148"/>
      <c r="H6069" s="148"/>
      <c r="I6069" s="148"/>
      <c r="J6069" s="148"/>
      <c r="K6069" s="148"/>
      <c r="L6069" s="148"/>
    </row>
    <row r="6070" spans="7:12">
      <c r="G6070" s="148"/>
      <c r="H6070" s="148"/>
      <c r="I6070" s="148"/>
      <c r="J6070" s="148"/>
      <c r="K6070" s="148"/>
      <c r="L6070" s="148"/>
    </row>
    <row r="6071" spans="7:12">
      <c r="G6071" s="148"/>
      <c r="H6071" s="148"/>
      <c r="I6071" s="148"/>
      <c r="J6071" s="148"/>
      <c r="K6071" s="148"/>
      <c r="L6071" s="148"/>
    </row>
    <row r="6072" spans="7:12">
      <c r="G6072" s="148"/>
      <c r="H6072" s="148"/>
      <c r="I6072" s="148"/>
      <c r="J6072" s="148"/>
      <c r="K6072" s="148"/>
      <c r="L6072" s="148"/>
    </row>
    <row r="6073" spans="7:12">
      <c r="G6073" s="148"/>
      <c r="H6073" s="148"/>
      <c r="I6073" s="148"/>
      <c r="J6073" s="148"/>
      <c r="K6073" s="148"/>
      <c r="L6073" s="148"/>
    </row>
    <row r="6074" spans="7:12">
      <c r="G6074" s="148"/>
      <c r="H6074" s="148"/>
      <c r="I6074" s="148"/>
      <c r="J6074" s="148"/>
      <c r="K6074" s="148"/>
      <c r="L6074" s="148"/>
    </row>
    <row r="6075" spans="7:12">
      <c r="G6075" s="148"/>
      <c r="H6075" s="148"/>
      <c r="I6075" s="148"/>
      <c r="J6075" s="148"/>
      <c r="K6075" s="148"/>
      <c r="L6075" s="148"/>
    </row>
    <row r="6076" spans="7:12">
      <c r="G6076" s="148"/>
      <c r="H6076" s="148"/>
      <c r="I6076" s="148"/>
      <c r="J6076" s="148"/>
      <c r="K6076" s="148"/>
      <c r="L6076" s="148"/>
    </row>
    <row r="6077" spans="7:12">
      <c r="G6077" s="148"/>
      <c r="H6077" s="148"/>
      <c r="I6077" s="148"/>
      <c r="J6077" s="148"/>
      <c r="K6077" s="148"/>
      <c r="L6077" s="148"/>
    </row>
    <row r="6078" spans="7:12">
      <c r="G6078" s="148"/>
      <c r="H6078" s="148"/>
      <c r="I6078" s="148"/>
      <c r="J6078" s="148"/>
      <c r="K6078" s="148"/>
      <c r="L6078" s="148"/>
    </row>
    <row r="6079" spans="7:12">
      <c r="G6079" s="148"/>
      <c r="H6079" s="148"/>
      <c r="I6079" s="148"/>
      <c r="J6079" s="148"/>
      <c r="K6079" s="148"/>
      <c r="L6079" s="148"/>
    </row>
    <row r="6080" spans="7:12">
      <c r="G6080" s="148"/>
      <c r="H6080" s="148"/>
      <c r="I6080" s="148"/>
      <c r="J6080" s="148"/>
      <c r="K6080" s="148"/>
      <c r="L6080" s="148"/>
    </row>
    <row r="6081" spans="7:12">
      <c r="G6081" s="148"/>
      <c r="H6081" s="148"/>
      <c r="I6081" s="148"/>
      <c r="J6081" s="148"/>
      <c r="K6081" s="148"/>
      <c r="L6081" s="148"/>
    </row>
    <row r="6082" spans="7:12">
      <c r="G6082" s="148"/>
      <c r="H6082" s="148"/>
      <c r="I6082" s="148"/>
      <c r="J6082" s="148"/>
      <c r="K6082" s="148"/>
      <c r="L6082" s="148"/>
    </row>
    <row r="6083" spans="7:12">
      <c r="G6083" s="148"/>
      <c r="H6083" s="148"/>
      <c r="I6083" s="148"/>
      <c r="J6083" s="148"/>
      <c r="K6083" s="148"/>
      <c r="L6083" s="148"/>
    </row>
    <row r="6084" spans="7:12">
      <c r="G6084" s="148"/>
      <c r="H6084" s="148"/>
      <c r="I6084" s="148"/>
      <c r="J6084" s="148"/>
      <c r="K6084" s="148"/>
      <c r="L6084" s="148"/>
    </row>
    <row r="6085" spans="7:12">
      <c r="G6085" s="148"/>
      <c r="H6085" s="148"/>
      <c r="I6085" s="148"/>
      <c r="J6085" s="148"/>
      <c r="K6085" s="148"/>
      <c r="L6085" s="148"/>
    </row>
    <row r="6086" spans="7:12">
      <c r="G6086" s="148"/>
      <c r="H6086" s="148"/>
      <c r="I6086" s="148"/>
      <c r="J6086" s="148"/>
      <c r="K6086" s="148"/>
      <c r="L6086" s="148"/>
    </row>
    <row r="6087" spans="7:12">
      <c r="G6087" s="148"/>
      <c r="H6087" s="148"/>
      <c r="I6087" s="148"/>
      <c r="J6087" s="148"/>
      <c r="K6087" s="148"/>
      <c r="L6087" s="148"/>
    </row>
    <row r="6088" spans="7:12">
      <c r="G6088" s="148"/>
      <c r="H6088" s="148"/>
      <c r="I6088" s="148"/>
      <c r="J6088" s="148"/>
      <c r="K6088" s="148"/>
      <c r="L6088" s="148"/>
    </row>
    <row r="6089" spans="7:12">
      <c r="G6089" s="148"/>
      <c r="H6089" s="148"/>
      <c r="I6089" s="148"/>
      <c r="J6089" s="148"/>
      <c r="K6089" s="148"/>
      <c r="L6089" s="148"/>
    </row>
    <row r="6090" spans="7:12">
      <c r="G6090" s="148"/>
      <c r="H6090" s="148"/>
      <c r="I6090" s="148"/>
      <c r="J6090" s="148"/>
      <c r="K6090" s="148"/>
      <c r="L6090" s="148"/>
    </row>
    <row r="6091" spans="7:12">
      <c r="G6091" s="148"/>
      <c r="H6091" s="148"/>
      <c r="I6091" s="148"/>
      <c r="J6091" s="148"/>
      <c r="K6091" s="148"/>
      <c r="L6091" s="148"/>
    </row>
    <row r="6092" spans="7:12">
      <c r="G6092" s="148"/>
      <c r="H6092" s="148"/>
      <c r="I6092" s="148"/>
      <c r="J6092" s="148"/>
      <c r="K6092" s="148"/>
      <c r="L6092" s="148"/>
    </row>
    <row r="6093" spans="7:12">
      <c r="G6093" s="148"/>
      <c r="H6093" s="148"/>
      <c r="I6093" s="148"/>
      <c r="J6093" s="148"/>
      <c r="K6093" s="148"/>
      <c r="L6093" s="148"/>
    </row>
    <row r="6094" spans="7:12">
      <c r="G6094" s="148"/>
      <c r="H6094" s="148"/>
      <c r="I6094" s="148"/>
      <c r="J6094" s="148"/>
      <c r="K6094" s="148"/>
      <c r="L6094" s="148"/>
    </row>
    <row r="6095" spans="7:12">
      <c r="G6095" s="148"/>
      <c r="H6095" s="148"/>
      <c r="I6095" s="148"/>
      <c r="J6095" s="148"/>
      <c r="K6095" s="148"/>
      <c r="L6095" s="148"/>
    </row>
    <row r="6096" spans="7:12">
      <c r="G6096" s="148"/>
      <c r="H6096" s="148"/>
      <c r="I6096" s="148"/>
      <c r="J6096" s="148"/>
      <c r="K6096" s="148"/>
      <c r="L6096" s="148"/>
    </row>
    <row r="6097" spans="7:12">
      <c r="G6097" s="148"/>
      <c r="H6097" s="148"/>
      <c r="I6097" s="148"/>
      <c r="J6097" s="148"/>
      <c r="K6097" s="148"/>
      <c r="L6097" s="148"/>
    </row>
    <row r="6098" spans="7:12">
      <c r="G6098" s="148"/>
      <c r="H6098" s="148"/>
      <c r="I6098" s="148"/>
      <c r="J6098" s="148"/>
      <c r="K6098" s="148"/>
      <c r="L6098" s="148"/>
    </row>
    <row r="6099" spans="7:12">
      <c r="G6099" s="148"/>
      <c r="H6099" s="148"/>
      <c r="I6099" s="148"/>
      <c r="J6099" s="148"/>
      <c r="K6099" s="148"/>
      <c r="L6099" s="148"/>
    </row>
    <row r="6100" spans="7:12">
      <c r="G6100" s="148"/>
      <c r="H6100" s="148"/>
      <c r="I6100" s="148"/>
      <c r="J6100" s="148"/>
      <c r="K6100" s="148"/>
      <c r="L6100" s="148"/>
    </row>
    <row r="6101" spans="7:12">
      <c r="G6101" s="148"/>
      <c r="H6101" s="148"/>
      <c r="I6101" s="148"/>
      <c r="J6101" s="148"/>
      <c r="K6101" s="148"/>
      <c r="L6101" s="148"/>
    </row>
    <row r="6102" spans="7:12">
      <c r="G6102" s="148"/>
      <c r="H6102" s="148"/>
      <c r="I6102" s="148"/>
      <c r="J6102" s="148"/>
      <c r="K6102" s="148"/>
      <c r="L6102" s="148"/>
    </row>
    <row r="6103" spans="7:12">
      <c r="G6103" s="148"/>
      <c r="H6103" s="148"/>
      <c r="I6103" s="148"/>
      <c r="J6103" s="148"/>
      <c r="K6103" s="148"/>
      <c r="L6103" s="148"/>
    </row>
    <row r="6104" spans="7:12">
      <c r="G6104" s="148"/>
      <c r="H6104" s="148"/>
      <c r="I6104" s="148"/>
      <c r="J6104" s="148"/>
      <c r="K6104" s="148"/>
      <c r="L6104" s="148"/>
    </row>
    <row r="6105" spans="7:12">
      <c r="G6105" s="148"/>
      <c r="H6105" s="148"/>
      <c r="I6105" s="148"/>
      <c r="J6105" s="148"/>
      <c r="K6105" s="148"/>
      <c r="L6105" s="148"/>
    </row>
    <row r="6106" spans="7:12">
      <c r="G6106" s="148"/>
      <c r="H6106" s="148"/>
      <c r="I6106" s="148"/>
      <c r="J6106" s="148"/>
      <c r="K6106" s="148"/>
      <c r="L6106" s="148"/>
    </row>
    <row r="6107" spans="7:12">
      <c r="G6107" s="148"/>
      <c r="H6107" s="148"/>
      <c r="I6107" s="148"/>
      <c r="J6107" s="148"/>
      <c r="K6107" s="148"/>
      <c r="L6107" s="148"/>
    </row>
    <row r="6108" spans="7:12">
      <c r="G6108" s="148"/>
      <c r="H6108" s="148"/>
      <c r="I6108" s="148"/>
      <c r="J6108" s="148"/>
      <c r="K6108" s="148"/>
      <c r="L6108" s="148"/>
    </row>
    <row r="6109" spans="7:12">
      <c r="G6109" s="148"/>
      <c r="H6109" s="148"/>
      <c r="I6109" s="148"/>
      <c r="J6109" s="148"/>
      <c r="K6109" s="148"/>
      <c r="L6109" s="148"/>
    </row>
    <row r="6110" spans="7:12">
      <c r="G6110" s="148"/>
      <c r="H6110" s="148"/>
      <c r="I6110" s="148"/>
      <c r="J6110" s="148"/>
      <c r="K6110" s="148"/>
      <c r="L6110" s="148"/>
    </row>
    <row r="6111" spans="7:12">
      <c r="G6111" s="148"/>
      <c r="H6111" s="148"/>
      <c r="I6111" s="148"/>
      <c r="J6111" s="148"/>
      <c r="K6111" s="148"/>
      <c r="L6111" s="148"/>
    </row>
    <row r="6112" spans="7:12">
      <c r="G6112" s="148"/>
      <c r="H6112" s="148"/>
      <c r="I6112" s="148"/>
      <c r="J6112" s="148"/>
      <c r="K6112" s="148"/>
      <c r="L6112" s="148"/>
    </row>
    <row r="6113" spans="7:12">
      <c r="G6113" s="148"/>
      <c r="H6113" s="148"/>
      <c r="I6113" s="148"/>
      <c r="J6113" s="148"/>
      <c r="K6113" s="148"/>
      <c r="L6113" s="148"/>
    </row>
    <row r="6114" spans="7:12">
      <c r="G6114" s="148"/>
      <c r="H6114" s="148"/>
      <c r="I6114" s="148"/>
      <c r="J6114" s="148"/>
      <c r="K6114" s="148"/>
      <c r="L6114" s="148"/>
    </row>
    <row r="6115" spans="7:12">
      <c r="G6115" s="148"/>
      <c r="H6115" s="148"/>
      <c r="I6115" s="148"/>
      <c r="J6115" s="148"/>
      <c r="K6115" s="148"/>
      <c r="L6115" s="148"/>
    </row>
    <row r="6116" spans="7:12">
      <c r="G6116" s="148"/>
      <c r="H6116" s="148"/>
      <c r="I6116" s="148"/>
      <c r="J6116" s="148"/>
      <c r="K6116" s="148"/>
      <c r="L6116" s="148"/>
    </row>
    <row r="6117" spans="7:12">
      <c r="G6117" s="148"/>
      <c r="H6117" s="148"/>
      <c r="I6117" s="148"/>
      <c r="J6117" s="148"/>
      <c r="K6117" s="148"/>
      <c r="L6117" s="148"/>
    </row>
    <row r="6118" spans="7:12">
      <c r="G6118" s="148"/>
      <c r="H6118" s="148"/>
      <c r="I6118" s="148"/>
      <c r="J6118" s="148"/>
      <c r="K6118" s="148"/>
      <c r="L6118" s="148"/>
    </row>
    <row r="6119" spans="7:12">
      <c r="G6119" s="148"/>
      <c r="H6119" s="148"/>
      <c r="I6119" s="148"/>
      <c r="J6119" s="148"/>
      <c r="K6119" s="148"/>
      <c r="L6119" s="148"/>
    </row>
    <row r="6120" spans="7:12">
      <c r="G6120" s="148"/>
      <c r="H6120" s="148"/>
      <c r="I6120" s="148"/>
      <c r="J6120" s="148"/>
      <c r="K6120" s="148"/>
      <c r="L6120" s="148"/>
    </row>
    <row r="6121" spans="7:12">
      <c r="G6121" s="148"/>
      <c r="H6121" s="148"/>
      <c r="I6121" s="148"/>
      <c r="J6121" s="148"/>
      <c r="K6121" s="148"/>
      <c r="L6121" s="148"/>
    </row>
    <row r="6122" spans="7:12">
      <c r="G6122" s="148"/>
      <c r="H6122" s="148"/>
      <c r="I6122" s="148"/>
      <c r="J6122" s="148"/>
      <c r="K6122" s="148"/>
      <c r="L6122" s="148"/>
    </row>
    <row r="6123" spans="7:12">
      <c r="G6123" s="148"/>
      <c r="H6123" s="148"/>
      <c r="I6123" s="148"/>
      <c r="J6123" s="148"/>
      <c r="K6123" s="148"/>
      <c r="L6123" s="148"/>
    </row>
    <row r="6124" spans="7:12">
      <c r="G6124" s="148"/>
      <c r="H6124" s="148"/>
      <c r="I6124" s="148"/>
      <c r="J6124" s="148"/>
      <c r="K6124" s="148"/>
      <c r="L6124" s="148"/>
    </row>
    <row r="6125" spans="7:12">
      <c r="G6125" s="148"/>
      <c r="H6125" s="148"/>
      <c r="I6125" s="148"/>
      <c r="J6125" s="148"/>
      <c r="K6125" s="148"/>
      <c r="L6125" s="148"/>
    </row>
    <row r="6126" spans="7:12">
      <c r="G6126" s="148"/>
      <c r="H6126" s="148"/>
      <c r="I6126" s="148"/>
      <c r="J6126" s="148"/>
      <c r="K6126" s="148"/>
      <c r="L6126" s="148"/>
    </row>
    <row r="6127" spans="7:12">
      <c r="G6127" s="148"/>
      <c r="H6127" s="148"/>
      <c r="I6127" s="148"/>
      <c r="J6127" s="148"/>
      <c r="K6127" s="148"/>
      <c r="L6127" s="148"/>
    </row>
    <row r="6128" spans="7:12">
      <c r="G6128" s="148"/>
      <c r="H6128" s="148"/>
      <c r="I6128" s="148"/>
      <c r="J6128" s="148"/>
      <c r="K6128" s="148"/>
      <c r="L6128" s="148"/>
    </row>
    <row r="6129" spans="7:12">
      <c r="G6129" s="148"/>
      <c r="H6129" s="148"/>
      <c r="I6129" s="148"/>
      <c r="J6129" s="148"/>
      <c r="K6129" s="148"/>
      <c r="L6129" s="148"/>
    </row>
    <row r="6130" spans="7:12">
      <c r="G6130" s="148"/>
      <c r="H6130" s="148"/>
      <c r="I6130" s="148"/>
      <c r="J6130" s="148"/>
      <c r="K6130" s="148"/>
      <c r="L6130" s="148"/>
    </row>
    <row r="6131" spans="7:12">
      <c r="G6131" s="148"/>
      <c r="H6131" s="148"/>
      <c r="I6131" s="148"/>
      <c r="J6131" s="148"/>
      <c r="K6131" s="148"/>
      <c r="L6131" s="148"/>
    </row>
    <row r="6132" spans="7:12">
      <c r="G6132" s="148"/>
      <c r="H6132" s="148"/>
      <c r="I6132" s="148"/>
      <c r="J6132" s="148"/>
      <c r="K6132" s="148"/>
      <c r="L6132" s="148"/>
    </row>
    <row r="6133" spans="7:12">
      <c r="G6133" s="148"/>
      <c r="H6133" s="148"/>
      <c r="I6133" s="148"/>
      <c r="J6133" s="148"/>
      <c r="K6133" s="148"/>
      <c r="L6133" s="148"/>
    </row>
    <row r="6134" spans="7:12">
      <c r="G6134" s="148"/>
      <c r="H6134" s="148"/>
      <c r="I6134" s="148"/>
      <c r="J6134" s="148"/>
      <c r="K6134" s="148"/>
      <c r="L6134" s="148"/>
    </row>
    <row r="6135" spans="7:12">
      <c r="G6135" s="148"/>
      <c r="H6135" s="148"/>
      <c r="I6135" s="148"/>
      <c r="J6135" s="148"/>
      <c r="K6135" s="148"/>
      <c r="L6135" s="148"/>
    </row>
    <row r="6136" spans="7:12">
      <c r="G6136" s="148"/>
      <c r="H6136" s="148"/>
      <c r="I6136" s="148"/>
      <c r="J6136" s="148"/>
      <c r="K6136" s="148"/>
      <c r="L6136" s="148"/>
    </row>
    <row r="6137" spans="7:12">
      <c r="G6137" s="148"/>
      <c r="H6137" s="148"/>
      <c r="I6137" s="148"/>
      <c r="J6137" s="148"/>
      <c r="K6137" s="148"/>
      <c r="L6137" s="148"/>
    </row>
    <row r="6138" spans="7:12">
      <c r="G6138" s="148"/>
      <c r="H6138" s="148"/>
      <c r="I6138" s="148"/>
      <c r="J6138" s="148"/>
      <c r="K6138" s="148"/>
      <c r="L6138" s="148"/>
    </row>
    <row r="6139" spans="7:12">
      <c r="G6139" s="148"/>
      <c r="H6139" s="148"/>
      <c r="I6139" s="148"/>
      <c r="J6139" s="148"/>
      <c r="K6139" s="148"/>
      <c r="L6139" s="148"/>
    </row>
    <row r="6140" spans="7:12">
      <c r="G6140" s="148"/>
      <c r="H6140" s="148"/>
      <c r="I6140" s="148"/>
      <c r="J6140" s="148"/>
      <c r="K6140" s="148"/>
      <c r="L6140" s="148"/>
    </row>
    <row r="6141" spans="7:12">
      <c r="G6141" s="148"/>
      <c r="H6141" s="148"/>
      <c r="I6141" s="148"/>
      <c r="J6141" s="148"/>
      <c r="K6141" s="148"/>
      <c r="L6141" s="148"/>
    </row>
    <row r="6142" spans="7:12">
      <c r="G6142" s="148"/>
      <c r="H6142" s="148"/>
      <c r="I6142" s="148"/>
      <c r="J6142" s="148"/>
      <c r="K6142" s="148"/>
      <c r="L6142" s="148"/>
    </row>
    <row r="6143" spans="7:12">
      <c r="G6143" s="148"/>
      <c r="H6143" s="148"/>
      <c r="I6143" s="148"/>
      <c r="J6143" s="148"/>
      <c r="K6143" s="148"/>
      <c r="L6143" s="148"/>
    </row>
    <row r="6144" spans="7:12">
      <c r="G6144" s="148"/>
      <c r="H6144" s="148"/>
      <c r="I6144" s="148"/>
      <c r="J6144" s="148"/>
      <c r="K6144" s="148"/>
      <c r="L6144" s="148"/>
    </row>
    <row r="6145" spans="7:12">
      <c r="G6145" s="148"/>
      <c r="H6145" s="148"/>
      <c r="I6145" s="148"/>
      <c r="J6145" s="148"/>
      <c r="K6145" s="148"/>
      <c r="L6145" s="148"/>
    </row>
    <row r="6146" spans="7:12">
      <c r="G6146" s="148"/>
      <c r="H6146" s="148"/>
      <c r="I6146" s="148"/>
      <c r="J6146" s="148"/>
      <c r="K6146" s="148"/>
      <c r="L6146" s="148"/>
    </row>
    <row r="6147" spans="7:12">
      <c r="G6147" s="148"/>
      <c r="H6147" s="148"/>
      <c r="I6147" s="148"/>
      <c r="J6147" s="148"/>
      <c r="K6147" s="148"/>
      <c r="L6147" s="148"/>
    </row>
    <row r="6148" spans="7:12">
      <c r="G6148" s="148"/>
      <c r="H6148" s="148"/>
      <c r="I6148" s="148"/>
      <c r="J6148" s="148"/>
      <c r="K6148" s="148"/>
      <c r="L6148" s="148"/>
    </row>
    <row r="6149" spans="7:12">
      <c r="G6149" s="148"/>
      <c r="H6149" s="148"/>
      <c r="I6149" s="148"/>
      <c r="J6149" s="148"/>
      <c r="K6149" s="148"/>
      <c r="L6149" s="148"/>
    </row>
    <row r="6150" spans="7:12">
      <c r="G6150" s="148"/>
      <c r="H6150" s="148"/>
      <c r="I6150" s="148"/>
      <c r="J6150" s="148"/>
      <c r="K6150" s="148"/>
      <c r="L6150" s="148"/>
    </row>
    <row r="6151" spans="7:12">
      <c r="G6151" s="148"/>
      <c r="H6151" s="148"/>
      <c r="I6151" s="148"/>
      <c r="J6151" s="148"/>
      <c r="K6151" s="148"/>
      <c r="L6151" s="148"/>
    </row>
    <row r="6152" spans="7:12">
      <c r="G6152" s="148"/>
      <c r="H6152" s="148"/>
      <c r="I6152" s="148"/>
      <c r="J6152" s="148"/>
      <c r="K6152" s="148"/>
      <c r="L6152" s="148"/>
    </row>
    <row r="6153" spans="7:12">
      <c r="G6153" s="148"/>
      <c r="H6153" s="148"/>
      <c r="I6153" s="148"/>
      <c r="J6153" s="148"/>
      <c r="K6153" s="148"/>
      <c r="L6153" s="148"/>
    </row>
    <row r="6154" spans="7:12">
      <c r="G6154" s="148"/>
      <c r="H6154" s="148"/>
      <c r="I6154" s="148"/>
      <c r="J6154" s="148"/>
      <c r="K6154" s="148"/>
      <c r="L6154" s="148"/>
    </row>
    <row r="6155" spans="7:12">
      <c r="G6155" s="148"/>
      <c r="H6155" s="148"/>
      <c r="I6155" s="148"/>
      <c r="J6155" s="148"/>
      <c r="K6155" s="148"/>
      <c r="L6155" s="148"/>
    </row>
    <row r="6156" spans="7:12">
      <c r="G6156" s="148"/>
      <c r="H6156" s="148"/>
      <c r="I6156" s="148"/>
      <c r="J6156" s="148"/>
      <c r="K6156" s="148"/>
      <c r="L6156" s="148"/>
    </row>
    <row r="6157" spans="7:12">
      <c r="G6157" s="148"/>
      <c r="H6157" s="148"/>
      <c r="I6157" s="148"/>
      <c r="J6157" s="148"/>
      <c r="K6157" s="148"/>
      <c r="L6157" s="148"/>
    </row>
    <row r="6158" spans="7:12">
      <c r="G6158" s="148"/>
      <c r="H6158" s="148"/>
      <c r="I6158" s="148"/>
      <c r="J6158" s="148"/>
      <c r="K6158" s="148"/>
      <c r="L6158" s="148"/>
    </row>
    <row r="6159" spans="7:12">
      <c r="G6159" s="148"/>
      <c r="H6159" s="148"/>
      <c r="I6159" s="148"/>
      <c r="J6159" s="148"/>
      <c r="K6159" s="148"/>
      <c r="L6159" s="148"/>
    </row>
    <row r="6160" spans="7:12">
      <c r="G6160" s="148"/>
      <c r="H6160" s="148"/>
      <c r="I6160" s="148"/>
      <c r="J6160" s="148"/>
      <c r="K6160" s="148"/>
      <c r="L6160" s="148"/>
    </row>
    <row r="6161" spans="7:12">
      <c r="G6161" s="148"/>
      <c r="H6161" s="148"/>
      <c r="I6161" s="148"/>
      <c r="J6161" s="148"/>
      <c r="K6161" s="148"/>
      <c r="L6161" s="148"/>
    </row>
    <row r="6162" spans="7:12">
      <c r="G6162" s="148"/>
      <c r="H6162" s="148"/>
      <c r="I6162" s="148"/>
      <c r="J6162" s="148"/>
      <c r="K6162" s="148"/>
      <c r="L6162" s="148"/>
    </row>
    <row r="6163" spans="7:12">
      <c r="G6163" s="148"/>
      <c r="H6163" s="148"/>
      <c r="I6163" s="148"/>
      <c r="J6163" s="148"/>
      <c r="K6163" s="148"/>
      <c r="L6163" s="148"/>
    </row>
    <row r="6164" spans="7:12">
      <c r="G6164" s="148"/>
      <c r="H6164" s="148"/>
      <c r="I6164" s="148"/>
      <c r="J6164" s="148"/>
      <c r="K6164" s="148"/>
      <c r="L6164" s="148"/>
    </row>
    <row r="6165" spans="7:12">
      <c r="G6165" s="148"/>
      <c r="H6165" s="148"/>
      <c r="I6165" s="148"/>
      <c r="J6165" s="148"/>
      <c r="K6165" s="148"/>
      <c r="L6165" s="148"/>
    </row>
    <row r="6166" spans="7:12">
      <c r="G6166" s="148"/>
      <c r="H6166" s="148"/>
      <c r="I6166" s="148"/>
      <c r="J6166" s="148"/>
      <c r="K6166" s="148"/>
      <c r="L6166" s="148"/>
    </row>
    <row r="6167" spans="7:12">
      <c r="G6167" s="148"/>
      <c r="H6167" s="148"/>
      <c r="I6167" s="148"/>
      <c r="J6167" s="148"/>
      <c r="K6167" s="148"/>
      <c r="L6167" s="148"/>
    </row>
    <row r="6168" spans="7:12">
      <c r="G6168" s="148"/>
      <c r="H6168" s="148"/>
      <c r="I6168" s="148"/>
      <c r="J6168" s="148"/>
      <c r="K6168" s="148"/>
      <c r="L6168" s="148"/>
    </row>
    <row r="6169" spans="7:12">
      <c r="G6169" s="148"/>
      <c r="H6169" s="148"/>
      <c r="I6169" s="148"/>
      <c r="J6169" s="148"/>
      <c r="K6169" s="148"/>
      <c r="L6169" s="148"/>
    </row>
    <row r="6170" spans="7:12">
      <c r="G6170" s="148"/>
      <c r="H6170" s="148"/>
      <c r="I6170" s="148"/>
      <c r="J6170" s="148"/>
      <c r="K6170" s="148"/>
      <c r="L6170" s="148"/>
    </row>
    <row r="6171" spans="7:12">
      <c r="G6171" s="148"/>
      <c r="H6171" s="148"/>
      <c r="I6171" s="148"/>
      <c r="J6171" s="148"/>
      <c r="K6171" s="148"/>
      <c r="L6171" s="148"/>
    </row>
    <row r="6172" spans="7:12">
      <c r="G6172" s="148"/>
      <c r="H6172" s="148"/>
      <c r="I6172" s="148"/>
      <c r="J6172" s="148"/>
      <c r="K6172" s="148"/>
      <c r="L6172" s="148"/>
    </row>
    <row r="6173" spans="7:12">
      <c r="G6173" s="148"/>
      <c r="H6173" s="148"/>
      <c r="I6173" s="148"/>
      <c r="J6173" s="148"/>
      <c r="K6173" s="148"/>
      <c r="L6173" s="148"/>
    </row>
    <row r="6174" spans="7:12">
      <c r="G6174" s="148"/>
      <c r="H6174" s="148"/>
      <c r="I6174" s="148"/>
      <c r="J6174" s="148"/>
      <c r="K6174" s="148"/>
      <c r="L6174" s="148"/>
    </row>
    <row r="6175" spans="7:12">
      <c r="G6175" s="148"/>
      <c r="H6175" s="148"/>
      <c r="I6175" s="148"/>
      <c r="J6175" s="148"/>
      <c r="K6175" s="148"/>
      <c r="L6175" s="148"/>
    </row>
    <row r="6176" spans="7:12">
      <c r="G6176" s="148"/>
      <c r="H6176" s="148"/>
      <c r="I6176" s="148"/>
      <c r="J6176" s="148"/>
      <c r="K6176" s="148"/>
      <c r="L6176" s="148"/>
    </row>
    <row r="6177" spans="7:12">
      <c r="G6177" s="148"/>
      <c r="H6177" s="148"/>
      <c r="I6177" s="148"/>
      <c r="J6177" s="148"/>
      <c r="K6177" s="148"/>
      <c r="L6177" s="148"/>
    </row>
    <row r="6178" spans="7:12">
      <c r="G6178" s="148"/>
      <c r="H6178" s="148"/>
      <c r="I6178" s="148"/>
      <c r="J6178" s="148"/>
      <c r="K6178" s="148"/>
      <c r="L6178" s="148"/>
    </row>
    <row r="6179" spans="7:12">
      <c r="G6179" s="148"/>
      <c r="H6179" s="148"/>
      <c r="I6179" s="148"/>
      <c r="J6179" s="148"/>
      <c r="K6179" s="148"/>
      <c r="L6179" s="148"/>
    </row>
    <row r="6180" spans="7:12">
      <c r="G6180" s="148"/>
      <c r="H6180" s="148"/>
      <c r="I6180" s="148"/>
      <c r="J6180" s="148"/>
      <c r="K6180" s="148"/>
      <c r="L6180" s="148"/>
    </row>
    <row r="6181" spans="7:12">
      <c r="G6181" s="148"/>
      <c r="H6181" s="148"/>
      <c r="I6181" s="148"/>
      <c r="J6181" s="148"/>
      <c r="K6181" s="148"/>
      <c r="L6181" s="148"/>
    </row>
    <row r="6182" spans="7:12">
      <c r="G6182" s="148"/>
      <c r="H6182" s="148"/>
      <c r="I6182" s="148"/>
      <c r="J6182" s="148"/>
      <c r="K6182" s="148"/>
      <c r="L6182" s="148"/>
    </row>
    <row r="6183" spans="7:12">
      <c r="G6183" s="148"/>
      <c r="H6183" s="148"/>
      <c r="I6183" s="148"/>
      <c r="J6183" s="148"/>
      <c r="K6183" s="148"/>
      <c r="L6183" s="148"/>
    </row>
    <row r="6184" spans="7:12">
      <c r="G6184" s="148"/>
      <c r="H6184" s="148"/>
      <c r="I6184" s="148"/>
      <c r="J6184" s="148"/>
      <c r="K6184" s="148"/>
      <c r="L6184" s="148"/>
    </row>
    <row r="6185" spans="7:12">
      <c r="G6185" s="148"/>
      <c r="H6185" s="148"/>
      <c r="I6185" s="148"/>
      <c r="J6185" s="148"/>
      <c r="K6185" s="148"/>
      <c r="L6185" s="148"/>
    </row>
    <row r="6186" spans="7:12">
      <c r="G6186" s="148"/>
      <c r="H6186" s="148"/>
      <c r="I6186" s="148"/>
      <c r="J6186" s="148"/>
      <c r="K6186" s="148"/>
      <c r="L6186" s="148"/>
    </row>
    <row r="6187" spans="7:12">
      <c r="G6187" s="148"/>
      <c r="H6187" s="148"/>
      <c r="I6187" s="148"/>
      <c r="J6187" s="148"/>
      <c r="K6187" s="148"/>
      <c r="L6187" s="148"/>
    </row>
    <row r="6188" spans="7:12">
      <c r="G6188" s="148"/>
      <c r="H6188" s="148"/>
      <c r="I6188" s="148"/>
      <c r="J6188" s="148"/>
      <c r="K6188" s="148"/>
      <c r="L6188" s="148"/>
    </row>
    <row r="6189" spans="7:12">
      <c r="G6189" s="148"/>
      <c r="H6189" s="148"/>
      <c r="I6189" s="148"/>
      <c r="J6189" s="148"/>
      <c r="K6189" s="148"/>
      <c r="L6189" s="148"/>
    </row>
    <row r="6190" spans="7:12">
      <c r="G6190" s="148"/>
      <c r="H6190" s="148"/>
      <c r="I6190" s="148"/>
      <c r="J6190" s="148"/>
      <c r="K6190" s="148"/>
      <c r="L6190" s="148"/>
    </row>
    <row r="6191" spans="7:12">
      <c r="G6191" s="148"/>
      <c r="H6191" s="148"/>
      <c r="I6191" s="148"/>
      <c r="J6191" s="148"/>
      <c r="K6191" s="148"/>
      <c r="L6191" s="148"/>
    </row>
    <row r="6192" spans="7:12">
      <c r="G6192" s="148"/>
      <c r="H6192" s="148"/>
      <c r="I6192" s="148"/>
      <c r="J6192" s="148"/>
      <c r="K6192" s="148"/>
      <c r="L6192" s="148"/>
    </row>
    <row r="6193" spans="7:12">
      <c r="G6193" s="148"/>
      <c r="H6193" s="148"/>
      <c r="I6193" s="148"/>
      <c r="J6193" s="148"/>
      <c r="K6193" s="148"/>
      <c r="L6193" s="148"/>
    </row>
    <row r="6194" spans="7:12">
      <c r="G6194" s="148"/>
      <c r="H6194" s="148"/>
      <c r="I6194" s="148"/>
      <c r="J6194" s="148"/>
      <c r="K6194" s="148"/>
      <c r="L6194" s="148"/>
    </row>
    <row r="6195" spans="7:12">
      <c r="G6195" s="148"/>
      <c r="H6195" s="148"/>
      <c r="I6195" s="148"/>
      <c r="J6195" s="148"/>
      <c r="K6195" s="148"/>
      <c r="L6195" s="148"/>
    </row>
    <row r="6196" spans="7:12">
      <c r="G6196" s="148"/>
      <c r="H6196" s="148"/>
      <c r="I6196" s="148"/>
      <c r="J6196" s="148"/>
      <c r="K6196" s="148"/>
      <c r="L6196" s="148"/>
    </row>
    <row r="6197" spans="7:12">
      <c r="G6197" s="148"/>
      <c r="H6197" s="148"/>
      <c r="I6197" s="148"/>
      <c r="J6197" s="148"/>
      <c r="K6197" s="148"/>
      <c r="L6197" s="148"/>
    </row>
    <row r="6198" spans="7:12">
      <c r="G6198" s="148"/>
      <c r="H6198" s="148"/>
      <c r="I6198" s="148"/>
      <c r="J6198" s="148"/>
      <c r="K6198" s="148"/>
      <c r="L6198" s="148"/>
    </row>
    <row r="6199" spans="7:12">
      <c r="G6199" s="148"/>
      <c r="H6199" s="148"/>
      <c r="I6199" s="148"/>
      <c r="J6199" s="148"/>
      <c r="K6199" s="148"/>
      <c r="L6199" s="148"/>
    </row>
    <row r="6200" spans="7:12">
      <c r="G6200" s="148"/>
      <c r="H6200" s="148"/>
      <c r="I6200" s="148"/>
      <c r="J6200" s="148"/>
      <c r="K6200" s="148"/>
      <c r="L6200" s="148"/>
    </row>
    <row r="6201" spans="7:12">
      <c r="G6201" s="148"/>
      <c r="H6201" s="148"/>
      <c r="I6201" s="148"/>
      <c r="J6201" s="148"/>
      <c r="K6201" s="148"/>
      <c r="L6201" s="148"/>
    </row>
    <row r="6202" spans="7:12">
      <c r="G6202" s="148"/>
      <c r="H6202" s="148"/>
      <c r="I6202" s="148"/>
      <c r="J6202" s="148"/>
      <c r="K6202" s="148"/>
      <c r="L6202" s="148"/>
    </row>
    <row r="6203" spans="7:12">
      <c r="G6203" s="148"/>
      <c r="H6203" s="148"/>
      <c r="I6203" s="148"/>
      <c r="J6203" s="148"/>
      <c r="K6203" s="148"/>
      <c r="L6203" s="148"/>
    </row>
    <row r="6204" spans="7:12">
      <c r="G6204" s="148"/>
      <c r="H6204" s="148"/>
      <c r="I6204" s="148"/>
      <c r="J6204" s="148"/>
      <c r="K6204" s="148"/>
      <c r="L6204" s="148"/>
    </row>
    <row r="6205" spans="7:12">
      <c r="G6205" s="148"/>
      <c r="H6205" s="148"/>
      <c r="I6205" s="148"/>
      <c r="J6205" s="148"/>
      <c r="K6205" s="148"/>
      <c r="L6205" s="148"/>
    </row>
    <row r="6206" spans="7:12">
      <c r="G6206" s="148"/>
      <c r="H6206" s="148"/>
      <c r="I6206" s="148"/>
      <c r="J6206" s="148"/>
      <c r="K6206" s="148"/>
      <c r="L6206" s="148"/>
    </row>
    <row r="6207" spans="7:12">
      <c r="G6207" s="148"/>
      <c r="H6207" s="148"/>
      <c r="I6207" s="148"/>
      <c r="J6207" s="148"/>
      <c r="K6207" s="148"/>
      <c r="L6207" s="148"/>
    </row>
    <row r="6208" spans="7:12">
      <c r="G6208" s="148"/>
      <c r="H6208" s="148"/>
      <c r="I6208" s="148"/>
      <c r="J6208" s="148"/>
      <c r="K6208" s="148"/>
      <c r="L6208" s="148"/>
    </row>
    <row r="6209" spans="7:12">
      <c r="G6209" s="148"/>
      <c r="H6209" s="148"/>
      <c r="I6209" s="148"/>
      <c r="J6209" s="148"/>
      <c r="K6209" s="148"/>
      <c r="L6209" s="148"/>
    </row>
    <row r="6210" spans="7:12">
      <c r="G6210" s="148"/>
      <c r="H6210" s="148"/>
      <c r="I6210" s="148"/>
      <c r="J6210" s="148"/>
      <c r="K6210" s="148"/>
      <c r="L6210" s="148"/>
    </row>
    <row r="6211" spans="7:12">
      <c r="G6211" s="148"/>
      <c r="H6211" s="148"/>
      <c r="I6211" s="148"/>
      <c r="J6211" s="148"/>
      <c r="K6211" s="148"/>
      <c r="L6211" s="148"/>
    </row>
    <row r="6212" spans="7:12">
      <c r="G6212" s="148"/>
      <c r="H6212" s="148"/>
      <c r="I6212" s="148"/>
      <c r="J6212" s="148"/>
      <c r="K6212" s="148"/>
      <c r="L6212" s="148"/>
    </row>
    <row r="6213" spans="7:12">
      <c r="G6213" s="148"/>
      <c r="H6213" s="148"/>
      <c r="I6213" s="148"/>
      <c r="J6213" s="148"/>
      <c r="K6213" s="148"/>
      <c r="L6213" s="148"/>
    </row>
    <row r="6214" spans="7:12">
      <c r="G6214" s="148"/>
      <c r="H6214" s="148"/>
      <c r="I6214" s="148"/>
      <c r="J6214" s="148"/>
      <c r="K6214" s="148"/>
      <c r="L6214" s="148"/>
    </row>
    <row r="6215" spans="7:12">
      <c r="G6215" s="148"/>
      <c r="H6215" s="148"/>
      <c r="I6215" s="148"/>
      <c r="J6215" s="148"/>
      <c r="K6215" s="148"/>
      <c r="L6215" s="148"/>
    </row>
    <row r="6216" spans="7:12">
      <c r="G6216" s="148"/>
      <c r="H6216" s="148"/>
      <c r="I6216" s="148"/>
      <c r="J6216" s="148"/>
      <c r="K6216" s="148"/>
      <c r="L6216" s="148"/>
    </row>
    <row r="6217" spans="7:12">
      <c r="G6217" s="148"/>
      <c r="H6217" s="148"/>
      <c r="I6217" s="148"/>
      <c r="J6217" s="148"/>
      <c r="K6217" s="148"/>
      <c r="L6217" s="148"/>
    </row>
    <row r="6218" spans="7:12">
      <c r="G6218" s="148"/>
      <c r="H6218" s="148"/>
      <c r="I6218" s="148"/>
      <c r="J6218" s="148"/>
      <c r="K6218" s="148"/>
      <c r="L6218" s="148"/>
    </row>
    <row r="6219" spans="7:12">
      <c r="G6219" s="148"/>
      <c r="H6219" s="148"/>
      <c r="I6219" s="148"/>
      <c r="J6219" s="148"/>
      <c r="K6219" s="148"/>
      <c r="L6219" s="148"/>
    </row>
    <row r="6220" spans="7:12">
      <c r="G6220" s="148"/>
      <c r="H6220" s="148"/>
      <c r="I6220" s="148"/>
      <c r="J6220" s="148"/>
      <c r="K6220" s="148"/>
      <c r="L6220" s="148"/>
    </row>
    <row r="6221" spans="7:12">
      <c r="G6221" s="148"/>
      <c r="H6221" s="148"/>
      <c r="I6221" s="148"/>
      <c r="J6221" s="148"/>
      <c r="K6221" s="148"/>
      <c r="L6221" s="148"/>
    </row>
    <row r="6222" spans="7:12">
      <c r="G6222" s="148"/>
      <c r="H6222" s="148"/>
      <c r="I6222" s="148"/>
      <c r="J6222" s="148"/>
      <c r="K6222" s="148"/>
      <c r="L6222" s="148"/>
    </row>
    <row r="6223" spans="7:12">
      <c r="G6223" s="148"/>
      <c r="H6223" s="148"/>
      <c r="I6223" s="148"/>
      <c r="J6223" s="148"/>
      <c r="K6223" s="148"/>
      <c r="L6223" s="148"/>
    </row>
    <row r="6224" spans="7:12">
      <c r="G6224" s="148"/>
      <c r="H6224" s="148"/>
      <c r="I6224" s="148"/>
      <c r="J6224" s="148"/>
      <c r="K6224" s="148"/>
      <c r="L6224" s="148"/>
    </row>
    <row r="6225" spans="7:12">
      <c r="G6225" s="148"/>
      <c r="H6225" s="148"/>
      <c r="I6225" s="148"/>
      <c r="J6225" s="148"/>
      <c r="K6225" s="148"/>
      <c r="L6225" s="148"/>
    </row>
    <row r="6226" spans="7:12">
      <c r="G6226" s="148"/>
      <c r="H6226" s="148"/>
      <c r="I6226" s="148"/>
      <c r="J6226" s="148"/>
      <c r="K6226" s="148"/>
      <c r="L6226" s="148"/>
    </row>
    <row r="6227" spans="7:12">
      <c r="G6227" s="148"/>
      <c r="H6227" s="148"/>
      <c r="I6227" s="148"/>
      <c r="J6227" s="148"/>
      <c r="K6227" s="148"/>
      <c r="L6227" s="148"/>
    </row>
    <row r="6228" spans="7:12">
      <c r="G6228" s="148"/>
      <c r="H6228" s="148"/>
      <c r="I6228" s="148"/>
      <c r="J6228" s="148"/>
      <c r="K6228" s="148"/>
      <c r="L6228" s="148"/>
    </row>
    <row r="6229" spans="7:12">
      <c r="G6229" s="148"/>
      <c r="H6229" s="148"/>
      <c r="I6229" s="148"/>
      <c r="J6229" s="148"/>
      <c r="K6229" s="148"/>
      <c r="L6229" s="148"/>
    </row>
    <row r="6230" spans="7:12">
      <c r="G6230" s="148"/>
      <c r="H6230" s="148"/>
      <c r="I6230" s="148"/>
      <c r="J6230" s="148"/>
      <c r="K6230" s="148"/>
      <c r="L6230" s="148"/>
    </row>
    <row r="6231" spans="7:12">
      <c r="G6231" s="148"/>
      <c r="H6231" s="148"/>
      <c r="I6231" s="148"/>
      <c r="J6231" s="148"/>
      <c r="K6231" s="148"/>
      <c r="L6231" s="148"/>
    </row>
    <row r="6232" spans="7:12">
      <c r="G6232" s="148"/>
      <c r="H6232" s="148"/>
      <c r="I6232" s="148"/>
      <c r="J6232" s="148"/>
      <c r="K6232" s="148"/>
      <c r="L6232" s="148"/>
    </row>
    <row r="6233" spans="7:12">
      <c r="G6233" s="148"/>
      <c r="H6233" s="148"/>
      <c r="I6233" s="148"/>
      <c r="J6233" s="148"/>
      <c r="K6233" s="148"/>
      <c r="L6233" s="148"/>
    </row>
    <row r="6234" spans="7:12">
      <c r="G6234" s="148"/>
      <c r="H6234" s="148"/>
      <c r="I6234" s="148"/>
      <c r="J6234" s="148"/>
      <c r="K6234" s="148"/>
      <c r="L6234" s="148"/>
    </row>
    <row r="6235" spans="7:12">
      <c r="G6235" s="148"/>
      <c r="H6235" s="148"/>
      <c r="I6235" s="148"/>
      <c r="J6235" s="148"/>
      <c r="K6235" s="148"/>
      <c r="L6235" s="148"/>
    </row>
    <row r="6236" spans="7:12">
      <c r="G6236" s="148"/>
      <c r="H6236" s="148"/>
      <c r="I6236" s="148"/>
      <c r="J6236" s="148"/>
      <c r="K6236" s="148"/>
      <c r="L6236" s="148"/>
    </row>
    <row r="6237" spans="7:12">
      <c r="G6237" s="148"/>
      <c r="H6237" s="148"/>
      <c r="I6237" s="148"/>
      <c r="J6237" s="148"/>
      <c r="K6237" s="148"/>
      <c r="L6237" s="148"/>
    </row>
    <row r="6238" spans="7:12">
      <c r="G6238" s="148"/>
      <c r="H6238" s="148"/>
      <c r="I6238" s="148"/>
      <c r="J6238" s="148"/>
      <c r="K6238" s="148"/>
      <c r="L6238" s="148"/>
    </row>
    <row r="6239" spans="7:12">
      <c r="G6239" s="148"/>
      <c r="H6239" s="148"/>
      <c r="I6239" s="148"/>
      <c r="J6239" s="148"/>
      <c r="K6239" s="148"/>
      <c r="L6239" s="148"/>
    </row>
    <row r="6240" spans="7:12">
      <c r="G6240" s="148"/>
      <c r="H6240" s="148"/>
      <c r="I6240" s="148"/>
      <c r="J6240" s="148"/>
      <c r="K6240" s="148"/>
      <c r="L6240" s="148"/>
    </row>
    <row r="6241" spans="7:12">
      <c r="G6241" s="148"/>
      <c r="H6241" s="148"/>
      <c r="I6241" s="148"/>
      <c r="J6241" s="148"/>
      <c r="K6241" s="148"/>
      <c r="L6241" s="148"/>
    </row>
    <row r="6242" spans="7:12">
      <c r="G6242" s="148"/>
      <c r="H6242" s="148"/>
      <c r="I6242" s="148"/>
      <c r="J6242" s="148"/>
      <c r="K6242" s="148"/>
      <c r="L6242" s="148"/>
    </row>
    <row r="6243" spans="7:12">
      <c r="G6243" s="148"/>
      <c r="H6243" s="148"/>
      <c r="I6243" s="148"/>
      <c r="J6243" s="148"/>
      <c r="K6243" s="148"/>
      <c r="L6243" s="148"/>
    </row>
    <row r="6244" spans="7:12">
      <c r="G6244" s="148"/>
      <c r="H6244" s="148"/>
      <c r="I6244" s="148"/>
      <c r="J6244" s="148"/>
      <c r="K6244" s="148"/>
      <c r="L6244" s="148"/>
    </row>
    <row r="6245" spans="7:12">
      <c r="G6245" s="148"/>
      <c r="H6245" s="148"/>
      <c r="I6245" s="148"/>
      <c r="J6245" s="148"/>
      <c r="K6245" s="148"/>
      <c r="L6245" s="148"/>
    </row>
    <row r="6246" spans="7:12">
      <c r="G6246" s="148"/>
      <c r="H6246" s="148"/>
      <c r="I6246" s="148"/>
      <c r="J6246" s="148"/>
      <c r="K6246" s="148"/>
      <c r="L6246" s="148"/>
    </row>
    <row r="6247" spans="7:12">
      <c r="G6247" s="148"/>
      <c r="H6247" s="148"/>
      <c r="I6247" s="148"/>
      <c r="J6247" s="148"/>
      <c r="K6247" s="148"/>
      <c r="L6247" s="148"/>
    </row>
    <row r="6248" spans="7:12">
      <c r="G6248" s="148"/>
      <c r="H6248" s="148"/>
      <c r="I6248" s="148"/>
      <c r="J6248" s="148"/>
      <c r="K6248" s="148"/>
      <c r="L6248" s="148"/>
    </row>
    <row r="6249" spans="7:12">
      <c r="G6249" s="148"/>
      <c r="H6249" s="148"/>
      <c r="I6249" s="148"/>
      <c r="J6249" s="148"/>
      <c r="K6249" s="148"/>
      <c r="L6249" s="148"/>
    </row>
    <row r="6250" spans="7:12">
      <c r="G6250" s="148"/>
      <c r="H6250" s="148"/>
      <c r="I6250" s="148"/>
      <c r="J6250" s="148"/>
      <c r="K6250" s="148"/>
      <c r="L6250" s="148"/>
    </row>
    <row r="6251" spans="7:12">
      <c r="G6251" s="148"/>
      <c r="H6251" s="148"/>
      <c r="I6251" s="148"/>
      <c r="J6251" s="148"/>
      <c r="K6251" s="148"/>
      <c r="L6251" s="148"/>
    </row>
    <row r="6252" spans="7:12">
      <c r="G6252" s="148"/>
      <c r="H6252" s="148"/>
      <c r="I6252" s="148"/>
      <c r="J6252" s="148"/>
      <c r="K6252" s="148"/>
      <c r="L6252" s="148"/>
    </row>
    <row r="6253" spans="7:12">
      <c r="G6253" s="148"/>
      <c r="H6253" s="148"/>
      <c r="I6253" s="148"/>
      <c r="J6253" s="148"/>
      <c r="K6253" s="148"/>
      <c r="L6253" s="148"/>
    </row>
    <row r="6254" spans="7:12">
      <c r="G6254" s="148"/>
      <c r="H6254" s="148"/>
      <c r="I6254" s="148"/>
      <c r="J6254" s="148"/>
      <c r="K6254" s="148"/>
      <c r="L6254" s="148"/>
    </row>
    <row r="6255" spans="7:12">
      <c r="G6255" s="148"/>
      <c r="H6255" s="148"/>
      <c r="I6255" s="148"/>
      <c r="J6255" s="148"/>
      <c r="K6255" s="148"/>
      <c r="L6255" s="148"/>
    </row>
    <row r="6256" spans="7:12">
      <c r="G6256" s="148"/>
      <c r="H6256" s="148"/>
      <c r="I6256" s="148"/>
      <c r="J6256" s="148"/>
      <c r="K6256" s="148"/>
      <c r="L6256" s="148"/>
    </row>
    <row r="6257" spans="7:12">
      <c r="G6257" s="148"/>
      <c r="H6257" s="148"/>
      <c r="I6257" s="148"/>
      <c r="J6257" s="148"/>
      <c r="K6257" s="148"/>
      <c r="L6257" s="148"/>
    </row>
    <row r="6258" spans="7:12">
      <c r="G6258" s="148"/>
      <c r="H6258" s="148"/>
      <c r="I6258" s="148"/>
      <c r="J6258" s="148"/>
      <c r="K6258" s="148"/>
      <c r="L6258" s="148"/>
    </row>
    <row r="6259" spans="7:12">
      <c r="G6259" s="148"/>
      <c r="H6259" s="148"/>
      <c r="I6259" s="148"/>
      <c r="J6259" s="148"/>
      <c r="K6259" s="148"/>
      <c r="L6259" s="148"/>
    </row>
    <row r="6260" spans="7:12">
      <c r="G6260" s="148"/>
      <c r="H6260" s="148"/>
      <c r="I6260" s="148"/>
      <c r="J6260" s="148"/>
      <c r="K6260" s="148"/>
      <c r="L6260" s="148"/>
    </row>
    <row r="6261" spans="7:12">
      <c r="G6261" s="148"/>
      <c r="H6261" s="148"/>
      <c r="I6261" s="148"/>
      <c r="J6261" s="148"/>
      <c r="K6261" s="148"/>
      <c r="L6261" s="148"/>
    </row>
    <row r="6262" spans="7:12">
      <c r="G6262" s="148"/>
      <c r="H6262" s="148"/>
      <c r="I6262" s="148"/>
      <c r="J6262" s="148"/>
      <c r="K6262" s="148"/>
      <c r="L6262" s="148"/>
    </row>
    <row r="6263" spans="7:12">
      <c r="G6263" s="148"/>
      <c r="H6263" s="148"/>
      <c r="I6263" s="148"/>
      <c r="J6263" s="148"/>
      <c r="K6263" s="148"/>
      <c r="L6263" s="148"/>
    </row>
    <row r="6264" spans="7:12">
      <c r="G6264" s="148"/>
      <c r="H6264" s="148"/>
      <c r="I6264" s="148"/>
      <c r="J6264" s="148"/>
      <c r="K6264" s="148"/>
      <c r="L6264" s="148"/>
    </row>
    <row r="6265" spans="7:12">
      <c r="G6265" s="148"/>
      <c r="H6265" s="148"/>
      <c r="I6265" s="148"/>
      <c r="J6265" s="148"/>
      <c r="K6265" s="148"/>
      <c r="L6265" s="148"/>
    </row>
    <row r="6266" spans="7:12">
      <c r="G6266" s="148"/>
      <c r="H6266" s="148"/>
      <c r="I6266" s="148"/>
      <c r="J6266" s="148"/>
      <c r="K6266" s="148"/>
      <c r="L6266" s="148"/>
    </row>
    <row r="6267" spans="7:12">
      <c r="G6267" s="148"/>
      <c r="H6267" s="148"/>
      <c r="I6267" s="148"/>
      <c r="J6267" s="148"/>
      <c r="K6267" s="148"/>
      <c r="L6267" s="148"/>
    </row>
    <row r="6268" spans="7:12">
      <c r="G6268" s="148"/>
      <c r="H6268" s="148"/>
      <c r="I6268" s="148"/>
      <c r="J6268" s="148"/>
      <c r="K6268" s="148"/>
      <c r="L6268" s="148"/>
    </row>
    <row r="6269" spans="7:12">
      <c r="G6269" s="148"/>
      <c r="H6269" s="148"/>
      <c r="I6269" s="148"/>
      <c r="J6269" s="148"/>
      <c r="K6269" s="148"/>
      <c r="L6269" s="148"/>
    </row>
    <row r="6270" spans="7:12">
      <c r="G6270" s="148"/>
      <c r="H6270" s="148"/>
      <c r="I6270" s="148"/>
      <c r="J6270" s="148"/>
      <c r="K6270" s="148"/>
      <c r="L6270" s="148"/>
    </row>
    <row r="6271" spans="7:12">
      <c r="G6271" s="148"/>
      <c r="H6271" s="148"/>
      <c r="I6271" s="148"/>
      <c r="J6271" s="148"/>
      <c r="K6271" s="148"/>
      <c r="L6271" s="148"/>
    </row>
    <row r="6272" spans="7:12">
      <c r="G6272" s="148"/>
      <c r="H6272" s="148"/>
      <c r="I6272" s="148"/>
      <c r="J6272" s="148"/>
      <c r="K6272" s="148"/>
      <c r="L6272" s="148"/>
    </row>
    <row r="6273" spans="7:12">
      <c r="G6273" s="148"/>
      <c r="H6273" s="148"/>
      <c r="I6273" s="148"/>
      <c r="J6273" s="148"/>
      <c r="K6273" s="148"/>
      <c r="L6273" s="148"/>
    </row>
    <row r="6274" spans="7:12">
      <c r="G6274" s="148"/>
      <c r="H6274" s="148"/>
      <c r="I6274" s="148"/>
      <c r="J6274" s="148"/>
      <c r="K6274" s="148"/>
      <c r="L6274" s="148"/>
    </row>
    <row r="6275" spans="7:12">
      <c r="G6275" s="148"/>
      <c r="H6275" s="148"/>
      <c r="I6275" s="148"/>
      <c r="J6275" s="148"/>
      <c r="K6275" s="148"/>
      <c r="L6275" s="148"/>
    </row>
    <row r="6276" spans="7:12">
      <c r="G6276" s="148"/>
      <c r="H6276" s="148"/>
      <c r="I6276" s="148"/>
      <c r="J6276" s="148"/>
      <c r="K6276" s="148"/>
      <c r="L6276" s="148"/>
    </row>
    <row r="6277" spans="7:12">
      <c r="G6277" s="148"/>
      <c r="H6277" s="148"/>
      <c r="I6277" s="148"/>
      <c r="J6277" s="148"/>
      <c r="K6277" s="148"/>
      <c r="L6277" s="148"/>
    </row>
    <row r="6278" spans="7:12">
      <c r="G6278" s="148"/>
      <c r="H6278" s="148"/>
      <c r="I6278" s="148"/>
      <c r="J6278" s="148"/>
      <c r="K6278" s="148"/>
      <c r="L6278" s="148"/>
    </row>
    <row r="6279" spans="7:12">
      <c r="G6279" s="148"/>
      <c r="H6279" s="148"/>
      <c r="I6279" s="148"/>
      <c r="J6279" s="148"/>
      <c r="K6279" s="148"/>
      <c r="L6279" s="148"/>
    </row>
    <row r="6280" spans="7:12">
      <c r="G6280" s="148"/>
      <c r="H6280" s="148"/>
      <c r="I6280" s="148"/>
      <c r="J6280" s="148"/>
      <c r="K6280" s="148"/>
      <c r="L6280" s="148"/>
    </row>
    <row r="6281" spans="7:12">
      <c r="G6281" s="148"/>
      <c r="H6281" s="148"/>
      <c r="I6281" s="148"/>
      <c r="J6281" s="148"/>
      <c r="K6281" s="148"/>
      <c r="L6281" s="148"/>
    </row>
    <row r="6282" spans="7:12">
      <c r="G6282" s="148"/>
      <c r="H6282" s="148"/>
      <c r="I6282" s="148"/>
      <c r="J6282" s="148"/>
      <c r="K6282" s="148"/>
      <c r="L6282" s="148"/>
    </row>
    <row r="6283" spans="7:12">
      <c r="G6283" s="148"/>
      <c r="H6283" s="148"/>
      <c r="I6283" s="148"/>
      <c r="J6283" s="148"/>
      <c r="K6283" s="148"/>
      <c r="L6283" s="148"/>
    </row>
    <row r="6284" spans="7:12">
      <c r="G6284" s="148"/>
      <c r="H6284" s="148"/>
      <c r="I6284" s="148"/>
      <c r="J6284" s="148"/>
      <c r="K6284" s="148"/>
      <c r="L6284" s="148"/>
    </row>
    <row r="6285" spans="7:12">
      <c r="G6285" s="148"/>
      <c r="H6285" s="148"/>
      <c r="I6285" s="148"/>
      <c r="J6285" s="148"/>
      <c r="K6285" s="148"/>
      <c r="L6285" s="148"/>
    </row>
    <row r="6286" spans="7:12">
      <c r="G6286" s="148"/>
      <c r="H6286" s="148"/>
      <c r="I6286" s="148"/>
      <c r="J6286" s="148"/>
      <c r="K6286" s="148"/>
      <c r="L6286" s="148"/>
    </row>
    <row r="6287" spans="7:12">
      <c r="G6287" s="148"/>
      <c r="H6287" s="148"/>
      <c r="I6287" s="148"/>
      <c r="J6287" s="148"/>
      <c r="K6287" s="148"/>
      <c r="L6287" s="148"/>
    </row>
    <row r="6288" spans="7:12">
      <c r="G6288" s="148"/>
      <c r="H6288" s="148"/>
      <c r="I6288" s="148"/>
      <c r="J6288" s="148"/>
      <c r="K6288" s="148"/>
      <c r="L6288" s="148"/>
    </row>
    <row r="6289" spans="7:12">
      <c r="G6289" s="148"/>
      <c r="H6289" s="148"/>
      <c r="I6289" s="148"/>
      <c r="J6289" s="148"/>
      <c r="K6289" s="148"/>
      <c r="L6289" s="148"/>
    </row>
    <row r="6290" spans="7:12">
      <c r="G6290" s="148"/>
      <c r="H6290" s="148"/>
      <c r="I6290" s="148"/>
      <c r="J6290" s="148"/>
      <c r="K6290" s="148"/>
      <c r="L6290" s="148"/>
    </row>
    <row r="6291" spans="7:12">
      <c r="G6291" s="148"/>
      <c r="H6291" s="148"/>
      <c r="I6291" s="148"/>
      <c r="J6291" s="148"/>
      <c r="K6291" s="148"/>
      <c r="L6291" s="148"/>
    </row>
    <row r="6292" spans="7:12">
      <c r="G6292" s="148"/>
      <c r="H6292" s="148"/>
      <c r="I6292" s="148"/>
      <c r="J6292" s="148"/>
      <c r="K6292" s="148"/>
      <c r="L6292" s="148"/>
    </row>
    <row r="6293" spans="7:12">
      <c r="G6293" s="148"/>
      <c r="H6293" s="148"/>
      <c r="I6293" s="148"/>
      <c r="J6293" s="148"/>
      <c r="K6293" s="148"/>
      <c r="L6293" s="148"/>
    </row>
    <row r="6294" spans="7:12">
      <c r="G6294" s="148"/>
      <c r="H6294" s="148"/>
      <c r="I6294" s="148"/>
      <c r="J6294" s="148"/>
      <c r="K6294" s="148"/>
      <c r="L6294" s="148"/>
    </row>
    <row r="6295" spans="7:12">
      <c r="G6295" s="148"/>
      <c r="H6295" s="148"/>
      <c r="I6295" s="148"/>
      <c r="J6295" s="148"/>
      <c r="K6295" s="148"/>
      <c r="L6295" s="148"/>
    </row>
    <row r="6296" spans="7:12">
      <c r="G6296" s="148"/>
      <c r="H6296" s="148"/>
      <c r="I6296" s="148"/>
      <c r="J6296" s="148"/>
      <c r="K6296" s="148"/>
      <c r="L6296" s="148"/>
    </row>
    <row r="6297" spans="7:12">
      <c r="G6297" s="148"/>
      <c r="H6297" s="148"/>
      <c r="I6297" s="148"/>
      <c r="J6297" s="148"/>
      <c r="K6297" s="148"/>
      <c r="L6297" s="148"/>
    </row>
    <row r="6298" spans="7:12">
      <c r="G6298" s="148"/>
      <c r="H6298" s="148"/>
      <c r="I6298" s="148"/>
      <c r="J6298" s="148"/>
      <c r="K6298" s="148"/>
      <c r="L6298" s="148"/>
    </row>
    <row r="6299" spans="7:12">
      <c r="G6299" s="148"/>
      <c r="H6299" s="148"/>
      <c r="I6299" s="148"/>
      <c r="J6299" s="148"/>
      <c r="K6299" s="148"/>
      <c r="L6299" s="148"/>
    </row>
    <row r="6300" spans="7:12">
      <c r="G6300" s="148"/>
      <c r="H6300" s="148"/>
      <c r="I6300" s="148"/>
      <c r="J6300" s="148"/>
      <c r="K6300" s="148"/>
      <c r="L6300" s="148"/>
    </row>
    <row r="6301" spans="7:12">
      <c r="G6301" s="148"/>
      <c r="H6301" s="148"/>
      <c r="I6301" s="148"/>
      <c r="J6301" s="148"/>
      <c r="K6301" s="148"/>
      <c r="L6301" s="148"/>
    </row>
    <row r="6302" spans="7:12">
      <c r="G6302" s="148"/>
      <c r="H6302" s="148"/>
      <c r="I6302" s="148"/>
      <c r="J6302" s="148"/>
      <c r="K6302" s="148"/>
      <c r="L6302" s="148"/>
    </row>
    <row r="6303" spans="7:12">
      <c r="G6303" s="148"/>
      <c r="H6303" s="148"/>
      <c r="I6303" s="148"/>
      <c r="J6303" s="148"/>
      <c r="K6303" s="148"/>
      <c r="L6303" s="148"/>
    </row>
    <row r="6304" spans="7:12">
      <c r="G6304" s="148"/>
      <c r="H6304" s="148"/>
      <c r="I6304" s="148"/>
      <c r="J6304" s="148"/>
      <c r="K6304" s="148"/>
      <c r="L6304" s="148"/>
    </row>
    <row r="6305" spans="7:12">
      <c r="G6305" s="148"/>
      <c r="H6305" s="148"/>
      <c r="I6305" s="148"/>
      <c r="J6305" s="148"/>
      <c r="K6305" s="148"/>
      <c r="L6305" s="148"/>
    </row>
    <row r="6306" spans="7:12">
      <c r="G6306" s="148"/>
      <c r="H6306" s="148"/>
      <c r="I6306" s="148"/>
      <c r="J6306" s="148"/>
      <c r="K6306" s="148"/>
      <c r="L6306" s="148"/>
    </row>
    <row r="6307" spans="7:12">
      <c r="G6307" s="148"/>
      <c r="H6307" s="148"/>
      <c r="I6307" s="148"/>
      <c r="J6307" s="148"/>
      <c r="K6307" s="148"/>
      <c r="L6307" s="148"/>
    </row>
    <row r="6308" spans="7:12">
      <c r="G6308" s="148"/>
      <c r="H6308" s="148"/>
      <c r="I6308" s="148"/>
      <c r="J6308" s="148"/>
      <c r="K6308" s="148"/>
      <c r="L6308" s="148"/>
    </row>
    <row r="6309" spans="7:12">
      <c r="G6309" s="148"/>
      <c r="H6309" s="148"/>
      <c r="I6309" s="148"/>
      <c r="J6309" s="148"/>
      <c r="K6309" s="148"/>
      <c r="L6309" s="148"/>
    </row>
    <row r="6310" spans="7:12">
      <c r="G6310" s="148"/>
      <c r="H6310" s="148"/>
      <c r="I6310" s="148"/>
      <c r="J6310" s="148"/>
      <c r="K6310" s="148"/>
      <c r="L6310" s="148"/>
    </row>
    <row r="6311" spans="7:12">
      <c r="G6311" s="148"/>
      <c r="H6311" s="148"/>
      <c r="I6311" s="148"/>
      <c r="J6311" s="148"/>
      <c r="K6311" s="148"/>
      <c r="L6311" s="148"/>
    </row>
    <row r="6312" spans="7:12">
      <c r="G6312" s="148"/>
      <c r="H6312" s="148"/>
      <c r="I6312" s="148"/>
      <c r="J6312" s="148"/>
      <c r="K6312" s="148"/>
      <c r="L6312" s="148"/>
    </row>
    <row r="6313" spans="7:12">
      <c r="G6313" s="148"/>
      <c r="H6313" s="148"/>
      <c r="I6313" s="148"/>
      <c r="J6313" s="148"/>
      <c r="K6313" s="148"/>
      <c r="L6313" s="148"/>
    </row>
    <row r="6314" spans="7:12">
      <c r="G6314" s="148"/>
      <c r="H6314" s="148"/>
      <c r="I6314" s="148"/>
      <c r="J6314" s="148"/>
      <c r="K6314" s="148"/>
      <c r="L6314" s="148"/>
    </row>
    <row r="6315" spans="7:12">
      <c r="G6315" s="148"/>
      <c r="H6315" s="148"/>
      <c r="I6315" s="148"/>
      <c r="J6315" s="148"/>
      <c r="K6315" s="148"/>
      <c r="L6315" s="148"/>
    </row>
    <row r="6316" spans="7:12">
      <c r="G6316" s="148"/>
      <c r="H6316" s="148"/>
      <c r="I6316" s="148"/>
      <c r="J6316" s="148"/>
      <c r="K6316" s="148"/>
      <c r="L6316" s="148"/>
    </row>
    <row r="6317" spans="7:12">
      <c r="G6317" s="148"/>
      <c r="H6317" s="148"/>
      <c r="I6317" s="148"/>
      <c r="J6317" s="148"/>
      <c r="K6317" s="148"/>
      <c r="L6317" s="148"/>
    </row>
    <row r="6318" spans="7:12">
      <c r="G6318" s="148"/>
      <c r="H6318" s="148"/>
      <c r="I6318" s="148"/>
      <c r="J6318" s="148"/>
      <c r="K6318" s="148"/>
      <c r="L6318" s="148"/>
    </row>
    <row r="6319" spans="7:12">
      <c r="G6319" s="148"/>
      <c r="H6319" s="148"/>
      <c r="I6319" s="148"/>
      <c r="J6319" s="148"/>
      <c r="K6319" s="148"/>
      <c r="L6319" s="148"/>
    </row>
    <row r="6320" spans="7:12">
      <c r="G6320" s="148"/>
      <c r="H6320" s="148"/>
      <c r="I6320" s="148"/>
      <c r="J6320" s="148"/>
      <c r="K6320" s="148"/>
      <c r="L6320" s="148"/>
    </row>
    <row r="6321" spans="7:12">
      <c r="G6321" s="148"/>
      <c r="H6321" s="148"/>
      <c r="I6321" s="148"/>
      <c r="J6321" s="148"/>
      <c r="K6321" s="148"/>
      <c r="L6321" s="148"/>
    </row>
    <row r="6322" spans="7:12">
      <c r="G6322" s="148"/>
      <c r="H6322" s="148"/>
      <c r="I6322" s="148"/>
      <c r="J6322" s="148"/>
      <c r="K6322" s="148"/>
      <c r="L6322" s="148"/>
    </row>
    <row r="6323" spans="7:12">
      <c r="G6323" s="148"/>
      <c r="H6323" s="148"/>
      <c r="I6323" s="148"/>
      <c r="J6323" s="148"/>
      <c r="K6323" s="148"/>
      <c r="L6323" s="148"/>
    </row>
    <row r="6324" spans="7:12">
      <c r="G6324" s="148"/>
      <c r="H6324" s="148"/>
      <c r="I6324" s="148"/>
      <c r="J6324" s="148"/>
      <c r="K6324" s="148"/>
      <c r="L6324" s="148"/>
    </row>
    <row r="6325" spans="7:12">
      <c r="G6325" s="148"/>
      <c r="H6325" s="148"/>
      <c r="I6325" s="148"/>
      <c r="J6325" s="148"/>
      <c r="K6325" s="148"/>
      <c r="L6325" s="148"/>
    </row>
    <row r="6326" spans="7:12">
      <c r="G6326" s="148"/>
      <c r="H6326" s="148"/>
      <c r="I6326" s="148"/>
      <c r="J6326" s="148"/>
      <c r="K6326" s="148"/>
      <c r="L6326" s="148"/>
    </row>
    <row r="6327" spans="7:12">
      <c r="G6327" s="148"/>
      <c r="H6327" s="148"/>
      <c r="I6327" s="148"/>
      <c r="J6327" s="148"/>
      <c r="K6327" s="148"/>
      <c r="L6327" s="148"/>
    </row>
    <row r="6328" spans="7:12">
      <c r="G6328" s="148"/>
      <c r="H6328" s="148"/>
      <c r="I6328" s="148"/>
      <c r="J6328" s="148"/>
      <c r="K6328" s="148"/>
      <c r="L6328" s="148"/>
    </row>
    <row r="6329" spans="7:12">
      <c r="G6329" s="148"/>
      <c r="H6329" s="148"/>
      <c r="I6329" s="148"/>
      <c r="J6329" s="148"/>
      <c r="K6329" s="148"/>
      <c r="L6329" s="148"/>
    </row>
    <row r="6330" spans="7:12">
      <c r="G6330" s="148"/>
      <c r="H6330" s="148"/>
      <c r="I6330" s="148"/>
      <c r="J6330" s="148"/>
      <c r="K6330" s="148"/>
      <c r="L6330" s="148"/>
    </row>
    <row r="6331" spans="7:12">
      <c r="G6331" s="148"/>
      <c r="H6331" s="148"/>
      <c r="I6331" s="148"/>
      <c r="J6331" s="148"/>
      <c r="K6331" s="148"/>
      <c r="L6331" s="148"/>
    </row>
    <row r="6332" spans="7:12">
      <c r="G6332" s="148"/>
      <c r="H6332" s="148"/>
      <c r="I6332" s="148"/>
      <c r="J6332" s="148"/>
      <c r="K6332" s="148"/>
      <c r="L6332" s="148"/>
    </row>
    <row r="6333" spans="7:12">
      <c r="G6333" s="148"/>
      <c r="H6333" s="148"/>
      <c r="I6333" s="148"/>
      <c r="J6333" s="148"/>
      <c r="K6333" s="148"/>
      <c r="L6333" s="148"/>
    </row>
    <row r="6334" spans="7:12">
      <c r="G6334" s="148"/>
      <c r="H6334" s="148"/>
      <c r="I6334" s="148"/>
      <c r="J6334" s="148"/>
      <c r="K6334" s="148"/>
      <c r="L6334" s="148"/>
    </row>
    <row r="6335" spans="7:12">
      <c r="G6335" s="148"/>
      <c r="H6335" s="148"/>
      <c r="I6335" s="148"/>
      <c r="J6335" s="148"/>
      <c r="K6335" s="148"/>
      <c r="L6335" s="148"/>
    </row>
    <row r="6336" spans="7:12">
      <c r="G6336" s="148"/>
      <c r="H6336" s="148"/>
      <c r="I6336" s="148"/>
      <c r="J6336" s="148"/>
      <c r="K6336" s="148"/>
      <c r="L6336" s="148"/>
    </row>
    <row r="6337" spans="7:12">
      <c r="G6337" s="148"/>
      <c r="H6337" s="148"/>
      <c r="I6337" s="148"/>
      <c r="J6337" s="148"/>
      <c r="K6337" s="148"/>
      <c r="L6337" s="148"/>
    </row>
    <row r="6338" spans="7:12">
      <c r="G6338" s="148"/>
      <c r="H6338" s="148"/>
      <c r="I6338" s="148"/>
      <c r="J6338" s="148"/>
      <c r="K6338" s="148"/>
      <c r="L6338" s="148"/>
    </row>
    <row r="6339" spans="7:12">
      <c r="G6339" s="148"/>
      <c r="H6339" s="148"/>
      <c r="I6339" s="148"/>
      <c r="J6339" s="148"/>
      <c r="K6339" s="148"/>
      <c r="L6339" s="148"/>
    </row>
    <row r="6340" spans="7:12">
      <c r="G6340" s="148"/>
      <c r="H6340" s="148"/>
      <c r="I6340" s="148"/>
      <c r="J6340" s="148"/>
      <c r="K6340" s="148"/>
      <c r="L6340" s="148"/>
    </row>
    <row r="6341" spans="7:12">
      <c r="G6341" s="148"/>
      <c r="H6341" s="148"/>
      <c r="I6341" s="148"/>
      <c r="J6341" s="148"/>
      <c r="K6341" s="148"/>
      <c r="L6341" s="148"/>
    </row>
    <row r="6342" spans="7:12">
      <c r="G6342" s="148"/>
      <c r="H6342" s="148"/>
      <c r="I6342" s="148"/>
      <c r="J6342" s="148"/>
      <c r="K6342" s="148"/>
      <c r="L6342" s="148"/>
    </row>
    <row r="6343" spans="7:12">
      <c r="G6343" s="148"/>
      <c r="H6343" s="148"/>
      <c r="I6343" s="148"/>
      <c r="J6343" s="148"/>
      <c r="K6343" s="148"/>
      <c r="L6343" s="148"/>
    </row>
    <row r="6344" spans="7:12">
      <c r="G6344" s="148"/>
      <c r="H6344" s="148"/>
      <c r="I6344" s="148"/>
      <c r="J6344" s="148"/>
      <c r="K6344" s="148"/>
      <c r="L6344" s="148"/>
    </row>
    <row r="6345" spans="7:12">
      <c r="G6345" s="148"/>
      <c r="H6345" s="148"/>
      <c r="I6345" s="148"/>
      <c r="J6345" s="148"/>
      <c r="K6345" s="148"/>
      <c r="L6345" s="148"/>
    </row>
    <row r="6346" spans="7:12">
      <c r="G6346" s="148"/>
      <c r="H6346" s="148"/>
      <c r="I6346" s="148"/>
      <c r="J6346" s="148"/>
      <c r="K6346" s="148"/>
      <c r="L6346" s="148"/>
    </row>
    <row r="6347" spans="7:12">
      <c r="G6347" s="148"/>
      <c r="H6347" s="148"/>
      <c r="I6347" s="148"/>
      <c r="J6347" s="148"/>
      <c r="K6347" s="148"/>
      <c r="L6347" s="148"/>
    </row>
    <row r="6348" spans="7:12">
      <c r="G6348" s="148"/>
      <c r="H6348" s="148"/>
      <c r="I6348" s="148"/>
      <c r="J6348" s="148"/>
      <c r="K6348" s="148"/>
      <c r="L6348" s="148"/>
    </row>
    <row r="6349" spans="7:12">
      <c r="G6349" s="148"/>
      <c r="H6349" s="148"/>
      <c r="I6349" s="148"/>
      <c r="J6349" s="148"/>
      <c r="K6349" s="148"/>
      <c r="L6349" s="148"/>
    </row>
    <row r="6350" spans="7:12">
      <c r="G6350" s="148"/>
      <c r="H6350" s="148"/>
      <c r="I6350" s="148"/>
      <c r="J6350" s="148"/>
      <c r="K6350" s="148"/>
      <c r="L6350" s="148"/>
    </row>
    <row r="6351" spans="7:12">
      <c r="G6351" s="148"/>
      <c r="H6351" s="148"/>
      <c r="I6351" s="148"/>
      <c r="J6351" s="148"/>
      <c r="K6351" s="148"/>
      <c r="L6351" s="148"/>
    </row>
    <row r="6352" spans="7:12">
      <c r="G6352" s="148"/>
      <c r="H6352" s="148"/>
      <c r="I6352" s="148"/>
      <c r="J6352" s="148"/>
      <c r="K6352" s="148"/>
      <c r="L6352" s="148"/>
    </row>
    <row r="6353" spans="7:12">
      <c r="G6353" s="148"/>
      <c r="H6353" s="148"/>
      <c r="I6353" s="148"/>
      <c r="J6353" s="148"/>
      <c r="K6353" s="148"/>
      <c r="L6353" s="148"/>
    </row>
    <row r="6354" spans="7:12">
      <c r="G6354" s="148"/>
      <c r="H6354" s="148"/>
      <c r="I6354" s="148"/>
      <c r="J6354" s="148"/>
      <c r="K6354" s="148"/>
      <c r="L6354" s="148"/>
    </row>
    <row r="6355" spans="7:12">
      <c r="G6355" s="148"/>
      <c r="H6355" s="148"/>
      <c r="I6355" s="148"/>
      <c r="J6355" s="148"/>
      <c r="K6355" s="148"/>
      <c r="L6355" s="148"/>
    </row>
    <row r="6356" spans="7:12">
      <c r="G6356" s="148"/>
      <c r="H6356" s="148"/>
      <c r="I6356" s="148"/>
      <c r="J6356" s="148"/>
      <c r="K6356" s="148"/>
      <c r="L6356" s="148"/>
    </row>
    <row r="6357" spans="7:12">
      <c r="G6357" s="148"/>
      <c r="H6357" s="148"/>
      <c r="I6357" s="148"/>
      <c r="J6357" s="148"/>
      <c r="K6357" s="148"/>
      <c r="L6357" s="148"/>
    </row>
    <row r="6358" spans="7:12">
      <c r="G6358" s="148"/>
      <c r="H6358" s="148"/>
      <c r="I6358" s="148"/>
      <c r="J6358" s="148"/>
      <c r="K6358" s="148"/>
      <c r="L6358" s="148"/>
    </row>
    <row r="6359" spans="7:12">
      <c r="G6359" s="148"/>
      <c r="H6359" s="148"/>
      <c r="I6359" s="148"/>
      <c r="J6359" s="148"/>
      <c r="K6359" s="148"/>
      <c r="L6359" s="148"/>
    </row>
    <row r="6360" spans="7:12">
      <c r="G6360" s="148"/>
      <c r="H6360" s="148"/>
      <c r="I6360" s="148"/>
      <c r="J6360" s="148"/>
      <c r="K6360" s="148"/>
      <c r="L6360" s="148"/>
    </row>
    <row r="6361" spans="7:12">
      <c r="G6361" s="148"/>
      <c r="H6361" s="148"/>
      <c r="I6361" s="148"/>
      <c r="J6361" s="148"/>
      <c r="K6361" s="148"/>
      <c r="L6361" s="148"/>
    </row>
    <row r="6362" spans="7:12">
      <c r="G6362" s="148"/>
      <c r="H6362" s="148"/>
      <c r="I6362" s="148"/>
      <c r="J6362" s="148"/>
      <c r="K6362" s="148"/>
      <c r="L6362" s="148"/>
    </row>
    <row r="6363" spans="7:12">
      <c r="G6363" s="148"/>
      <c r="H6363" s="148"/>
      <c r="I6363" s="148"/>
      <c r="J6363" s="148"/>
      <c r="K6363" s="148"/>
      <c r="L6363" s="148"/>
    </row>
    <row r="6364" spans="7:12">
      <c r="G6364" s="148"/>
      <c r="H6364" s="148"/>
      <c r="I6364" s="148"/>
      <c r="J6364" s="148"/>
      <c r="K6364" s="148"/>
      <c r="L6364" s="148"/>
    </row>
    <row r="6365" spans="7:12">
      <c r="G6365" s="148"/>
      <c r="H6365" s="148"/>
      <c r="I6365" s="148"/>
      <c r="J6365" s="148"/>
      <c r="K6365" s="148"/>
      <c r="L6365" s="148"/>
    </row>
    <row r="6366" spans="7:12">
      <c r="G6366" s="148"/>
      <c r="H6366" s="148"/>
      <c r="I6366" s="148"/>
      <c r="J6366" s="148"/>
      <c r="K6366" s="148"/>
      <c r="L6366" s="148"/>
    </row>
    <row r="6367" spans="7:12">
      <c r="G6367" s="148"/>
      <c r="H6367" s="148"/>
      <c r="I6367" s="148"/>
      <c r="J6367" s="148"/>
      <c r="K6367" s="148"/>
      <c r="L6367" s="148"/>
    </row>
    <row r="6368" spans="7:12">
      <c r="G6368" s="148"/>
      <c r="H6368" s="148"/>
      <c r="I6368" s="148"/>
      <c r="J6368" s="148"/>
      <c r="K6368" s="148"/>
      <c r="L6368" s="148"/>
    </row>
    <row r="6369" spans="7:12">
      <c r="G6369" s="148"/>
      <c r="H6369" s="148"/>
      <c r="I6369" s="148"/>
      <c r="J6369" s="148"/>
      <c r="K6369" s="148"/>
      <c r="L6369" s="148"/>
    </row>
    <row r="6370" spans="7:12">
      <c r="G6370" s="148"/>
      <c r="H6370" s="148"/>
      <c r="I6370" s="148"/>
      <c r="J6370" s="148"/>
      <c r="K6370" s="148"/>
      <c r="L6370" s="148"/>
    </row>
    <row r="6371" spans="7:12">
      <c r="G6371" s="148"/>
      <c r="H6371" s="148"/>
      <c r="I6371" s="148"/>
      <c r="J6371" s="148"/>
      <c r="K6371" s="148"/>
      <c r="L6371" s="148"/>
    </row>
    <row r="6372" spans="7:12">
      <c r="G6372" s="148"/>
      <c r="H6372" s="148"/>
      <c r="I6372" s="148"/>
      <c r="J6372" s="148"/>
      <c r="K6372" s="148"/>
      <c r="L6372" s="148"/>
    </row>
    <row r="6373" spans="7:12">
      <c r="G6373" s="148"/>
      <c r="H6373" s="148"/>
      <c r="I6373" s="148"/>
      <c r="J6373" s="148"/>
      <c r="K6373" s="148"/>
      <c r="L6373" s="148"/>
    </row>
    <row r="6374" spans="7:12">
      <c r="G6374" s="148"/>
      <c r="H6374" s="148"/>
      <c r="I6374" s="148"/>
      <c r="J6374" s="148"/>
      <c r="K6374" s="148"/>
      <c r="L6374" s="148"/>
    </row>
    <row r="6375" spans="7:12">
      <c r="G6375" s="148"/>
      <c r="H6375" s="148"/>
      <c r="I6375" s="148"/>
      <c r="J6375" s="148"/>
      <c r="K6375" s="148"/>
      <c r="L6375" s="148"/>
    </row>
    <row r="6376" spans="7:12">
      <c r="G6376" s="148"/>
      <c r="H6376" s="148"/>
      <c r="I6376" s="148"/>
      <c r="J6376" s="148"/>
      <c r="K6376" s="148"/>
      <c r="L6376" s="148"/>
    </row>
    <row r="6377" spans="7:12">
      <c r="G6377" s="148"/>
      <c r="H6377" s="148"/>
      <c r="I6377" s="148"/>
      <c r="J6377" s="148"/>
      <c r="K6377" s="148"/>
      <c r="L6377" s="148"/>
    </row>
    <row r="6378" spans="7:12">
      <c r="G6378" s="148"/>
      <c r="H6378" s="148"/>
      <c r="I6378" s="148"/>
      <c r="J6378" s="148"/>
      <c r="K6378" s="148"/>
      <c r="L6378" s="148"/>
    </row>
    <row r="6379" spans="7:12">
      <c r="G6379" s="148"/>
      <c r="H6379" s="148"/>
      <c r="I6379" s="148"/>
      <c r="J6379" s="148"/>
      <c r="K6379" s="148"/>
      <c r="L6379" s="148"/>
    </row>
    <row r="6380" spans="7:12">
      <c r="G6380" s="148"/>
      <c r="H6380" s="148"/>
      <c r="I6380" s="148"/>
      <c r="J6380" s="148"/>
      <c r="K6380" s="148"/>
      <c r="L6380" s="148"/>
    </row>
    <row r="6381" spans="7:12">
      <c r="G6381" s="148"/>
      <c r="H6381" s="148"/>
      <c r="I6381" s="148"/>
      <c r="J6381" s="148"/>
      <c r="K6381" s="148"/>
      <c r="L6381" s="148"/>
    </row>
    <row r="6382" spans="7:12">
      <c r="G6382" s="148"/>
      <c r="H6382" s="148"/>
      <c r="I6382" s="148"/>
      <c r="J6382" s="148"/>
      <c r="K6382" s="148"/>
      <c r="L6382" s="148"/>
    </row>
    <row r="6383" spans="7:12">
      <c r="G6383" s="148"/>
      <c r="H6383" s="148"/>
      <c r="I6383" s="148"/>
      <c r="J6383" s="148"/>
      <c r="K6383" s="148"/>
      <c r="L6383" s="148"/>
    </row>
    <row r="6384" spans="7:12">
      <c r="G6384" s="148"/>
      <c r="H6384" s="148"/>
      <c r="I6384" s="148"/>
      <c r="J6384" s="148"/>
      <c r="K6384" s="148"/>
      <c r="L6384" s="148"/>
    </row>
    <row r="6385" spans="7:12">
      <c r="G6385" s="148"/>
      <c r="H6385" s="148"/>
      <c r="I6385" s="148"/>
      <c r="J6385" s="148"/>
      <c r="K6385" s="148"/>
      <c r="L6385" s="148"/>
    </row>
    <row r="6386" spans="7:12">
      <c r="G6386" s="148"/>
      <c r="H6386" s="148"/>
      <c r="I6386" s="148"/>
      <c r="J6386" s="148"/>
      <c r="K6386" s="148"/>
      <c r="L6386" s="148"/>
    </row>
    <row r="6387" spans="7:12">
      <c r="G6387" s="148"/>
      <c r="H6387" s="148"/>
      <c r="I6387" s="148"/>
      <c r="J6387" s="148"/>
      <c r="K6387" s="148"/>
      <c r="L6387" s="148"/>
    </row>
    <row r="6388" spans="7:12">
      <c r="G6388" s="148"/>
      <c r="H6388" s="148"/>
      <c r="I6388" s="148"/>
      <c r="J6388" s="148"/>
      <c r="K6388" s="148"/>
      <c r="L6388" s="148"/>
    </row>
    <row r="6389" spans="7:12">
      <c r="G6389" s="148"/>
      <c r="H6389" s="148"/>
      <c r="I6389" s="148"/>
      <c r="J6389" s="148"/>
      <c r="K6389" s="148"/>
      <c r="L6389" s="148"/>
    </row>
    <row r="6390" spans="7:12">
      <c r="G6390" s="148"/>
      <c r="H6390" s="148"/>
      <c r="I6390" s="148"/>
      <c r="J6390" s="148"/>
      <c r="K6390" s="148"/>
      <c r="L6390" s="148"/>
    </row>
    <row r="6391" spans="7:12">
      <c r="G6391" s="148"/>
      <c r="H6391" s="148"/>
      <c r="I6391" s="148"/>
      <c r="J6391" s="148"/>
      <c r="K6391" s="148"/>
      <c r="L6391" s="148"/>
    </row>
    <row r="6392" spans="7:12">
      <c r="G6392" s="148"/>
      <c r="H6392" s="148"/>
      <c r="I6392" s="148"/>
      <c r="J6392" s="148"/>
      <c r="K6392" s="148"/>
      <c r="L6392" s="148"/>
    </row>
    <row r="6393" spans="7:12">
      <c r="G6393" s="148"/>
      <c r="H6393" s="148"/>
      <c r="I6393" s="148"/>
      <c r="J6393" s="148"/>
      <c r="K6393" s="148"/>
      <c r="L6393" s="148"/>
    </row>
    <row r="6394" spans="7:12">
      <c r="G6394" s="148"/>
      <c r="H6394" s="148"/>
      <c r="I6394" s="148"/>
      <c r="J6394" s="148"/>
      <c r="K6394" s="148"/>
      <c r="L6394" s="148"/>
    </row>
    <row r="6395" spans="7:12">
      <c r="G6395" s="148"/>
      <c r="H6395" s="148"/>
      <c r="I6395" s="148"/>
      <c r="J6395" s="148"/>
      <c r="K6395" s="148"/>
      <c r="L6395" s="148"/>
    </row>
    <row r="6396" spans="7:12">
      <c r="G6396" s="148"/>
      <c r="H6396" s="148"/>
      <c r="I6396" s="148"/>
      <c r="J6396" s="148"/>
      <c r="K6396" s="148"/>
      <c r="L6396" s="148"/>
    </row>
    <row r="6397" spans="7:12">
      <c r="G6397" s="148"/>
      <c r="H6397" s="148"/>
      <c r="I6397" s="148"/>
      <c r="J6397" s="148"/>
      <c r="K6397" s="148"/>
      <c r="L6397" s="148"/>
    </row>
    <row r="6398" spans="7:12">
      <c r="G6398" s="148"/>
      <c r="H6398" s="148"/>
      <c r="I6398" s="148"/>
      <c r="J6398" s="148"/>
      <c r="K6398" s="148"/>
      <c r="L6398" s="148"/>
    </row>
    <row r="6399" spans="7:12">
      <c r="G6399" s="148"/>
      <c r="H6399" s="148"/>
      <c r="I6399" s="148"/>
      <c r="J6399" s="148"/>
      <c r="K6399" s="148"/>
      <c r="L6399" s="148"/>
    </row>
    <row r="6400" spans="7:12">
      <c r="G6400" s="148"/>
      <c r="H6400" s="148"/>
      <c r="I6400" s="148"/>
      <c r="J6400" s="148"/>
      <c r="K6400" s="148"/>
      <c r="L6400" s="148"/>
    </row>
    <row r="6401" spans="7:12">
      <c r="G6401" s="148"/>
      <c r="H6401" s="148"/>
      <c r="I6401" s="148"/>
      <c r="J6401" s="148"/>
      <c r="K6401" s="148"/>
      <c r="L6401" s="148"/>
    </row>
    <row r="6402" spans="7:12">
      <c r="G6402" s="148"/>
      <c r="H6402" s="148"/>
      <c r="I6402" s="148"/>
      <c r="J6402" s="148"/>
      <c r="K6402" s="148"/>
      <c r="L6402" s="148"/>
    </row>
    <row r="6403" spans="7:12">
      <c r="G6403" s="148"/>
      <c r="H6403" s="148"/>
      <c r="I6403" s="148"/>
      <c r="J6403" s="148"/>
      <c r="K6403" s="148"/>
      <c r="L6403" s="148"/>
    </row>
    <row r="6404" spans="7:12">
      <c r="G6404" s="148"/>
      <c r="H6404" s="148"/>
      <c r="I6404" s="148"/>
      <c r="J6404" s="148"/>
      <c r="K6404" s="148"/>
      <c r="L6404" s="148"/>
    </row>
    <row r="6405" spans="7:12">
      <c r="G6405" s="148"/>
      <c r="H6405" s="148"/>
      <c r="I6405" s="148"/>
      <c r="J6405" s="148"/>
      <c r="K6405" s="148"/>
      <c r="L6405" s="148"/>
    </row>
    <row r="6406" spans="7:12">
      <c r="G6406" s="148"/>
      <c r="H6406" s="148"/>
      <c r="I6406" s="148"/>
      <c r="J6406" s="148"/>
      <c r="K6406" s="148"/>
      <c r="L6406" s="148"/>
    </row>
    <row r="6407" spans="7:12">
      <c r="G6407" s="148"/>
      <c r="H6407" s="148"/>
      <c r="I6407" s="148"/>
      <c r="J6407" s="148"/>
      <c r="K6407" s="148"/>
      <c r="L6407" s="148"/>
    </row>
    <row r="6408" spans="7:12">
      <c r="G6408" s="148"/>
      <c r="H6408" s="148"/>
      <c r="I6408" s="148"/>
      <c r="J6408" s="148"/>
      <c r="K6408" s="148"/>
      <c r="L6408" s="148"/>
    </row>
    <row r="6409" spans="7:12">
      <c r="G6409" s="148"/>
      <c r="H6409" s="148"/>
      <c r="I6409" s="148"/>
      <c r="J6409" s="148"/>
      <c r="K6409" s="148"/>
      <c r="L6409" s="148"/>
    </row>
    <row r="6410" spans="7:12">
      <c r="G6410" s="148"/>
      <c r="H6410" s="148"/>
      <c r="I6410" s="148"/>
      <c r="J6410" s="148"/>
      <c r="K6410" s="148"/>
      <c r="L6410" s="148"/>
    </row>
    <row r="6411" spans="7:12">
      <c r="G6411" s="148"/>
      <c r="H6411" s="148"/>
      <c r="I6411" s="148"/>
      <c r="J6411" s="148"/>
      <c r="K6411" s="148"/>
      <c r="L6411" s="148"/>
    </row>
    <row r="6412" spans="7:12">
      <c r="G6412" s="148"/>
      <c r="H6412" s="148"/>
      <c r="I6412" s="148"/>
      <c r="J6412" s="148"/>
      <c r="K6412" s="148"/>
      <c r="L6412" s="148"/>
    </row>
    <row r="6413" spans="7:12">
      <c r="G6413" s="148"/>
      <c r="H6413" s="148"/>
      <c r="I6413" s="148"/>
      <c r="J6413" s="148"/>
      <c r="K6413" s="148"/>
      <c r="L6413" s="148"/>
    </row>
    <row r="6414" spans="7:12">
      <c r="G6414" s="148"/>
      <c r="H6414" s="148"/>
      <c r="I6414" s="148"/>
      <c r="J6414" s="148"/>
      <c r="K6414" s="148"/>
      <c r="L6414" s="148"/>
    </row>
    <row r="6415" spans="7:12">
      <c r="G6415" s="148"/>
      <c r="H6415" s="148"/>
      <c r="I6415" s="148"/>
      <c r="J6415" s="148"/>
      <c r="K6415" s="148"/>
      <c r="L6415" s="148"/>
    </row>
    <row r="6416" spans="7:12">
      <c r="G6416" s="148"/>
      <c r="H6416" s="148"/>
      <c r="I6416" s="148"/>
      <c r="J6416" s="148"/>
      <c r="K6416" s="148"/>
      <c r="L6416" s="148"/>
    </row>
    <row r="6417" spans="7:12">
      <c r="G6417" s="148"/>
      <c r="H6417" s="148"/>
      <c r="I6417" s="148"/>
      <c r="J6417" s="148"/>
      <c r="K6417" s="148"/>
      <c r="L6417" s="148"/>
    </row>
    <row r="6418" spans="7:12">
      <c r="G6418" s="148"/>
      <c r="H6418" s="148"/>
      <c r="I6418" s="148"/>
      <c r="J6418" s="148"/>
      <c r="K6418" s="148"/>
      <c r="L6418" s="148"/>
    </row>
    <row r="6419" spans="7:12">
      <c r="G6419" s="148"/>
      <c r="H6419" s="148"/>
      <c r="I6419" s="148"/>
      <c r="J6419" s="148"/>
      <c r="K6419" s="148"/>
      <c r="L6419" s="148"/>
    </row>
    <row r="6420" spans="7:12">
      <c r="G6420" s="148"/>
      <c r="H6420" s="148"/>
      <c r="I6420" s="148"/>
      <c r="J6420" s="148"/>
      <c r="K6420" s="148"/>
      <c r="L6420" s="148"/>
    </row>
    <row r="6421" spans="7:12">
      <c r="G6421" s="148"/>
      <c r="H6421" s="148"/>
      <c r="I6421" s="148"/>
      <c r="J6421" s="148"/>
      <c r="K6421" s="148"/>
      <c r="L6421" s="148"/>
    </row>
    <row r="6422" spans="7:12">
      <c r="G6422" s="148"/>
      <c r="H6422" s="148"/>
      <c r="I6422" s="148"/>
      <c r="J6422" s="148"/>
      <c r="K6422" s="148"/>
      <c r="L6422" s="148"/>
    </row>
    <row r="6423" spans="7:12">
      <c r="G6423" s="148"/>
      <c r="H6423" s="148"/>
      <c r="I6423" s="148"/>
      <c r="J6423" s="148"/>
      <c r="K6423" s="148"/>
      <c r="L6423" s="148"/>
    </row>
    <row r="6424" spans="7:12">
      <c r="G6424" s="148"/>
      <c r="H6424" s="148"/>
      <c r="I6424" s="148"/>
      <c r="J6424" s="148"/>
      <c r="K6424" s="148"/>
      <c r="L6424" s="148"/>
    </row>
    <row r="6425" spans="7:12">
      <c r="G6425" s="148"/>
      <c r="H6425" s="148"/>
      <c r="I6425" s="148"/>
      <c r="J6425" s="148"/>
      <c r="K6425" s="148"/>
      <c r="L6425" s="148"/>
    </row>
    <row r="6426" spans="7:12">
      <c r="G6426" s="148"/>
      <c r="H6426" s="148"/>
      <c r="I6426" s="148"/>
      <c r="J6426" s="148"/>
      <c r="K6426" s="148"/>
      <c r="L6426" s="148"/>
    </row>
    <row r="6427" spans="7:12">
      <c r="G6427" s="148"/>
      <c r="H6427" s="148"/>
      <c r="I6427" s="148"/>
      <c r="J6427" s="148"/>
      <c r="K6427" s="148"/>
      <c r="L6427" s="148"/>
    </row>
    <row r="6428" spans="7:12">
      <c r="G6428" s="148"/>
      <c r="H6428" s="148"/>
      <c r="I6428" s="148"/>
      <c r="J6428" s="148"/>
      <c r="K6428" s="148"/>
      <c r="L6428" s="148"/>
    </row>
    <row r="6429" spans="7:12">
      <c r="G6429" s="148"/>
      <c r="H6429" s="148"/>
      <c r="I6429" s="148"/>
      <c r="J6429" s="148"/>
      <c r="K6429" s="148"/>
      <c r="L6429" s="148"/>
    </row>
    <row r="6430" spans="7:12">
      <c r="G6430" s="148"/>
      <c r="H6430" s="148"/>
      <c r="I6430" s="148"/>
      <c r="J6430" s="148"/>
      <c r="K6430" s="148"/>
      <c r="L6430" s="148"/>
    </row>
    <row r="6431" spans="7:12">
      <c r="G6431" s="148"/>
      <c r="H6431" s="148"/>
      <c r="I6431" s="148"/>
      <c r="J6431" s="148"/>
      <c r="K6431" s="148"/>
      <c r="L6431" s="148"/>
    </row>
    <row r="6432" spans="7:12">
      <c r="G6432" s="148"/>
      <c r="H6432" s="148"/>
      <c r="I6432" s="148"/>
      <c r="J6432" s="148"/>
      <c r="K6432" s="148"/>
      <c r="L6432" s="148"/>
    </row>
    <row r="6433" spans="7:12">
      <c r="G6433" s="148"/>
      <c r="H6433" s="148"/>
      <c r="I6433" s="148"/>
      <c r="J6433" s="148"/>
      <c r="K6433" s="148"/>
      <c r="L6433" s="148"/>
    </row>
    <row r="6434" spans="7:12">
      <c r="G6434" s="148"/>
      <c r="H6434" s="148"/>
      <c r="I6434" s="148"/>
      <c r="J6434" s="148"/>
      <c r="K6434" s="148"/>
      <c r="L6434" s="148"/>
    </row>
    <row r="6435" spans="7:12">
      <c r="G6435" s="148"/>
      <c r="H6435" s="148"/>
      <c r="I6435" s="148"/>
      <c r="J6435" s="148"/>
      <c r="K6435" s="148"/>
      <c r="L6435" s="148"/>
    </row>
    <row r="6436" spans="7:12">
      <c r="G6436" s="148"/>
      <c r="H6436" s="148"/>
      <c r="I6436" s="148"/>
      <c r="J6436" s="148"/>
      <c r="K6436" s="148"/>
      <c r="L6436" s="148"/>
    </row>
    <row r="6437" spans="7:12">
      <c r="G6437" s="148"/>
      <c r="H6437" s="148"/>
      <c r="I6437" s="148"/>
      <c r="J6437" s="148"/>
      <c r="K6437" s="148"/>
      <c r="L6437" s="148"/>
    </row>
    <row r="6438" spans="7:12">
      <c r="G6438" s="148"/>
      <c r="H6438" s="148"/>
      <c r="I6438" s="148"/>
      <c r="J6438" s="148"/>
      <c r="K6438" s="148"/>
      <c r="L6438" s="148"/>
    </row>
    <row r="6439" spans="7:12">
      <c r="G6439" s="148"/>
      <c r="H6439" s="148"/>
      <c r="I6439" s="148"/>
      <c r="J6439" s="148"/>
      <c r="K6439" s="148"/>
      <c r="L6439" s="148"/>
    </row>
    <row r="6440" spans="7:12">
      <c r="G6440" s="148"/>
      <c r="H6440" s="148"/>
      <c r="I6440" s="148"/>
      <c r="J6440" s="148"/>
      <c r="K6440" s="148"/>
      <c r="L6440" s="148"/>
    </row>
    <row r="6441" spans="7:12">
      <c r="G6441" s="148"/>
      <c r="H6441" s="148"/>
      <c r="I6441" s="148"/>
      <c r="J6441" s="148"/>
      <c r="K6441" s="148"/>
      <c r="L6441" s="148"/>
    </row>
    <row r="6442" spans="7:12">
      <c r="G6442" s="148"/>
      <c r="H6442" s="148"/>
      <c r="I6442" s="148"/>
      <c r="J6442" s="148"/>
      <c r="K6442" s="148"/>
      <c r="L6442" s="148"/>
    </row>
    <row r="6443" spans="7:12">
      <c r="G6443" s="148"/>
      <c r="H6443" s="148"/>
      <c r="I6443" s="148"/>
      <c r="J6443" s="148"/>
      <c r="K6443" s="148"/>
      <c r="L6443" s="148"/>
    </row>
    <row r="6444" spans="7:12">
      <c r="G6444" s="148"/>
      <c r="H6444" s="148"/>
      <c r="I6444" s="148"/>
      <c r="J6444" s="148"/>
      <c r="K6444" s="148"/>
      <c r="L6444" s="148"/>
    </row>
    <row r="6445" spans="7:12">
      <c r="G6445" s="148"/>
      <c r="H6445" s="148"/>
      <c r="I6445" s="148"/>
      <c r="J6445" s="148"/>
      <c r="K6445" s="148"/>
      <c r="L6445" s="148"/>
    </row>
    <row r="6446" spans="7:12">
      <c r="G6446" s="148"/>
      <c r="H6446" s="148"/>
      <c r="I6446" s="148"/>
      <c r="J6446" s="148"/>
      <c r="K6446" s="148"/>
      <c r="L6446" s="148"/>
    </row>
    <row r="6447" spans="7:12">
      <c r="G6447" s="148"/>
      <c r="H6447" s="148"/>
      <c r="I6447" s="148"/>
      <c r="J6447" s="148"/>
      <c r="K6447" s="148"/>
      <c r="L6447" s="148"/>
    </row>
    <row r="6448" spans="7:12">
      <c r="G6448" s="148"/>
      <c r="H6448" s="148"/>
      <c r="I6448" s="148"/>
      <c r="J6448" s="148"/>
      <c r="K6448" s="148"/>
      <c r="L6448" s="148"/>
    </row>
    <row r="6449" spans="7:12">
      <c r="G6449" s="148"/>
      <c r="H6449" s="148"/>
      <c r="I6449" s="148"/>
      <c r="J6449" s="148"/>
      <c r="K6449" s="148"/>
      <c r="L6449" s="148"/>
    </row>
    <row r="6450" spans="7:12">
      <c r="G6450" s="148"/>
      <c r="H6450" s="148"/>
      <c r="I6450" s="148"/>
      <c r="J6450" s="148"/>
      <c r="K6450" s="148"/>
      <c r="L6450" s="148"/>
    </row>
    <row r="6451" spans="7:12">
      <c r="G6451" s="148"/>
      <c r="H6451" s="148"/>
      <c r="I6451" s="148"/>
      <c r="J6451" s="148"/>
      <c r="K6451" s="148"/>
      <c r="L6451" s="148"/>
    </row>
    <row r="6452" spans="7:12">
      <c r="G6452" s="148"/>
      <c r="H6452" s="148"/>
      <c r="I6452" s="148"/>
      <c r="J6452" s="148"/>
      <c r="K6452" s="148"/>
      <c r="L6452" s="148"/>
    </row>
    <row r="6453" spans="7:12">
      <c r="G6453" s="148"/>
      <c r="H6453" s="148"/>
      <c r="I6453" s="148"/>
      <c r="J6453" s="148"/>
      <c r="K6453" s="148"/>
      <c r="L6453" s="148"/>
    </row>
    <row r="6454" spans="7:12">
      <c r="G6454" s="148"/>
      <c r="H6454" s="148"/>
      <c r="I6454" s="148"/>
      <c r="J6454" s="148"/>
      <c r="K6454" s="148"/>
      <c r="L6454" s="148"/>
    </row>
    <row r="6455" spans="7:12">
      <c r="G6455" s="148"/>
      <c r="H6455" s="148"/>
      <c r="I6455" s="148"/>
      <c r="J6455" s="148"/>
      <c r="K6455" s="148"/>
      <c r="L6455" s="148"/>
    </row>
    <row r="6456" spans="7:12">
      <c r="G6456" s="148"/>
      <c r="H6456" s="148"/>
      <c r="I6456" s="148"/>
      <c r="J6456" s="148"/>
      <c r="K6456" s="148"/>
      <c r="L6456" s="148"/>
    </row>
    <row r="6457" spans="7:12">
      <c r="G6457" s="148"/>
      <c r="H6457" s="148"/>
      <c r="I6457" s="148"/>
      <c r="J6457" s="148"/>
      <c r="K6457" s="148"/>
      <c r="L6457" s="148"/>
    </row>
    <row r="6458" spans="7:12">
      <c r="G6458" s="148"/>
      <c r="H6458" s="148"/>
      <c r="I6458" s="148"/>
      <c r="J6458" s="148"/>
      <c r="K6458" s="148"/>
      <c r="L6458" s="148"/>
    </row>
    <row r="6459" spans="7:12">
      <c r="G6459" s="148"/>
      <c r="H6459" s="148"/>
      <c r="I6459" s="148"/>
      <c r="J6459" s="148"/>
      <c r="K6459" s="148"/>
      <c r="L6459" s="148"/>
    </row>
    <row r="6460" spans="7:12">
      <c r="G6460" s="148"/>
      <c r="H6460" s="148"/>
      <c r="I6460" s="148"/>
      <c r="J6460" s="148"/>
      <c r="K6460" s="148"/>
      <c r="L6460" s="148"/>
    </row>
    <row r="6461" spans="7:12">
      <c r="G6461" s="148"/>
      <c r="H6461" s="148"/>
      <c r="I6461" s="148"/>
      <c r="J6461" s="148"/>
      <c r="K6461" s="148"/>
      <c r="L6461" s="148"/>
    </row>
    <row r="6462" spans="7:12">
      <c r="G6462" s="148"/>
      <c r="H6462" s="148"/>
      <c r="I6462" s="148"/>
      <c r="J6462" s="148"/>
      <c r="K6462" s="148"/>
      <c r="L6462" s="148"/>
    </row>
    <row r="6463" spans="7:12">
      <c r="G6463" s="148"/>
      <c r="H6463" s="148"/>
      <c r="I6463" s="148"/>
      <c r="J6463" s="148"/>
      <c r="K6463" s="148"/>
      <c r="L6463" s="148"/>
    </row>
    <row r="6464" spans="7:12">
      <c r="G6464" s="148"/>
      <c r="H6464" s="148"/>
      <c r="I6464" s="148"/>
      <c r="J6464" s="148"/>
      <c r="K6464" s="148"/>
      <c r="L6464" s="148"/>
    </row>
    <row r="6465" spans="9:10">
      <c r="I6465" s="148"/>
      <c r="J6465" s="148"/>
    </row>
  </sheetData>
  <sortState xmlns:xlrd2="http://schemas.microsoft.com/office/spreadsheetml/2017/richdata2" ref="B2:R5233">
    <sortCondition ref="B2:B5233"/>
    <sortCondition ref="C2:C5233"/>
    <sortCondition ref="D2:D5233"/>
    <sortCondition ref="H2:H5233"/>
    <sortCondition ref="J2:J5233"/>
    <sortCondition ref="K2:K5233"/>
    <sortCondition ref="M2:M5233"/>
  </sortState>
  <dataConsolidate/>
  <customSheetViews>
    <customSheetView guid="{4E9100F2-A511-4BAB-A26D-F817BBFCED8B}" scale="60" colorId="22" showPageBreaks="1" fitToPage="1" printArea="1" showAutoFilter="1" view="pageBreakPreview" topLeftCell="A1150">
      <selection activeCell="H1175" sqref="H1175"/>
      <rowBreaks count="1" manualBreakCount="1">
        <brk id="5485" max="16383" man="1"/>
      </rowBreaks>
      <pageMargins left="0.25" right="0.25" top="0.43" bottom="0.24" header="0.32" footer="0.18"/>
      <pageSetup paperSize="9" scale="25" fitToHeight="0" orientation="landscape" horizontalDpi="4294967295" verticalDpi="4294967295" r:id="rId1"/>
      <autoFilter ref="A2:S5817" xr:uid="{836F1AF9-2227-499D-BB61-F1B236F55A94}">
        <sortState xmlns:xlrd2="http://schemas.microsoft.com/office/spreadsheetml/2017/richdata2" ref="A3:S5817">
          <sortCondition ref="A3:A5424"/>
          <sortCondition ref="B3:B5424"/>
          <sortCondition ref="C3:C5424"/>
          <sortCondition ref="D3:D5424"/>
          <sortCondition ref="H3:H5424"/>
          <sortCondition ref="I3:I5424"/>
          <sortCondition ref="J3:J5424"/>
          <sortCondition ref="M3:M5424"/>
        </sortState>
      </autoFilter>
    </customSheetView>
  </customSheetViews>
  <phoneticPr fontId="46" type="noConversion"/>
  <conditionalFormatting sqref="O156:O160 L157">
    <cfRule type="duplicateValues" dxfId="1595" priority="2208"/>
  </conditionalFormatting>
  <conditionalFormatting sqref="L197">
    <cfRule type="duplicateValues" dxfId="1594" priority="2205"/>
  </conditionalFormatting>
  <conditionalFormatting sqref="O263:O264">
    <cfRule type="duplicateValues" dxfId="1593" priority="2200"/>
  </conditionalFormatting>
  <conditionalFormatting sqref="L24:L25">
    <cfRule type="duplicateValues" dxfId="1592" priority="2198"/>
  </conditionalFormatting>
  <conditionalFormatting sqref="L43:L44">
    <cfRule type="duplicateValues" dxfId="1591" priority="2193"/>
  </conditionalFormatting>
  <conditionalFormatting sqref="L13:L14">
    <cfRule type="duplicateValues" dxfId="1590" priority="2189"/>
  </conditionalFormatting>
  <conditionalFormatting sqref="L281:L282">
    <cfRule type="duplicateValues" dxfId="1589" priority="2188"/>
  </conditionalFormatting>
  <conditionalFormatting sqref="L54:L55">
    <cfRule type="duplicateValues" dxfId="1588" priority="2187"/>
  </conditionalFormatting>
  <conditionalFormatting sqref="L384:L385">
    <cfRule type="duplicateValues" dxfId="1587" priority="2183"/>
  </conditionalFormatting>
  <conditionalFormatting sqref="L520 L526">
    <cfRule type="duplicateValues" dxfId="1586" priority="2182"/>
  </conditionalFormatting>
  <conditionalFormatting sqref="L531">
    <cfRule type="duplicateValues" dxfId="1585" priority="2180"/>
  </conditionalFormatting>
  <conditionalFormatting sqref="L270:L272">
    <cfRule type="duplicateValues" dxfId="1584" priority="2179"/>
  </conditionalFormatting>
  <conditionalFormatting sqref="O286:O288 L287">
    <cfRule type="duplicateValues" dxfId="1583" priority="2176"/>
  </conditionalFormatting>
  <conditionalFormatting sqref="O517 O49 L49">
    <cfRule type="duplicateValues" dxfId="1582" priority="2175"/>
  </conditionalFormatting>
  <conditionalFormatting sqref="L92 L67">
    <cfRule type="duplicateValues" dxfId="1581" priority="2170"/>
  </conditionalFormatting>
  <conditionalFormatting sqref="L542 L544">
    <cfRule type="duplicateValues" dxfId="1580" priority="2166"/>
  </conditionalFormatting>
  <conditionalFormatting sqref="L1660 L1625">
    <cfRule type="duplicateValues" dxfId="1579" priority="2165"/>
  </conditionalFormatting>
  <conditionalFormatting sqref="L599:L600 L579 L581:L582">
    <cfRule type="duplicateValues" dxfId="1578" priority="2164"/>
  </conditionalFormatting>
  <conditionalFormatting sqref="L143:L144">
    <cfRule type="duplicateValues" dxfId="1577" priority="2162"/>
  </conditionalFormatting>
  <conditionalFormatting sqref="L2600 L234">
    <cfRule type="duplicateValues" dxfId="1576" priority="2161"/>
  </conditionalFormatting>
  <conditionalFormatting sqref="O112:O114 L113">
    <cfRule type="duplicateValues" dxfId="1575" priority="2160"/>
  </conditionalFormatting>
  <conditionalFormatting sqref="L1294 L433">
    <cfRule type="duplicateValues" dxfId="1574" priority="2158"/>
  </conditionalFormatting>
  <conditionalFormatting sqref="L2390 L1697">
    <cfRule type="duplicateValues" dxfId="1573" priority="2157"/>
  </conditionalFormatting>
  <conditionalFormatting sqref="O37:O39 L38">
    <cfRule type="duplicateValues" dxfId="1572" priority="2156"/>
  </conditionalFormatting>
  <conditionalFormatting sqref="L607">
    <cfRule type="duplicateValues" dxfId="1571" priority="2155"/>
  </conditionalFormatting>
  <conditionalFormatting sqref="O103:O104 L104">
    <cfRule type="duplicateValues" dxfId="1570" priority="2153"/>
  </conditionalFormatting>
  <conditionalFormatting sqref="O303:O304 L304">
    <cfRule type="duplicateValues" dxfId="1569" priority="2152"/>
  </conditionalFormatting>
  <conditionalFormatting sqref="L577">
    <cfRule type="duplicateValues" dxfId="1568" priority="2151"/>
  </conditionalFormatting>
  <conditionalFormatting sqref="L534">
    <cfRule type="duplicateValues" dxfId="1567" priority="2150"/>
  </conditionalFormatting>
  <conditionalFormatting sqref="L617:L618">
    <cfRule type="duplicateValues" dxfId="1566" priority="2148"/>
  </conditionalFormatting>
  <conditionalFormatting sqref="L1291 L1258">
    <cfRule type="duplicateValues" dxfId="1565" priority="2147"/>
  </conditionalFormatting>
  <conditionalFormatting sqref="L2083">
    <cfRule type="duplicateValues" dxfId="1564" priority="2146"/>
  </conditionalFormatting>
  <conditionalFormatting sqref="L167:L168">
    <cfRule type="duplicateValues" dxfId="1563" priority="2144"/>
  </conditionalFormatting>
  <conditionalFormatting sqref="L155:L156">
    <cfRule type="duplicateValues" dxfId="1562" priority="2143"/>
  </conditionalFormatting>
  <conditionalFormatting sqref="L65:L66">
    <cfRule type="duplicateValues" dxfId="1561" priority="2142"/>
  </conditionalFormatting>
  <conditionalFormatting sqref="L305:L306">
    <cfRule type="duplicateValues" dxfId="1560" priority="2140"/>
  </conditionalFormatting>
  <conditionalFormatting sqref="L1970 L1583">
    <cfRule type="duplicateValues" dxfId="1559" priority="2138"/>
  </conditionalFormatting>
  <conditionalFormatting sqref="L386:L387">
    <cfRule type="duplicateValues" dxfId="1558" priority="2137"/>
  </conditionalFormatting>
  <conditionalFormatting sqref="L246:L247">
    <cfRule type="duplicateValues" dxfId="1557" priority="2134"/>
  </conditionalFormatting>
  <conditionalFormatting sqref="L558">
    <cfRule type="duplicateValues" dxfId="1556" priority="2131"/>
  </conditionalFormatting>
  <conditionalFormatting sqref="L363">
    <cfRule type="duplicateValues" dxfId="1555" priority="2129"/>
  </conditionalFormatting>
  <conditionalFormatting sqref="L601">
    <cfRule type="duplicateValues" dxfId="1554" priority="2126"/>
  </conditionalFormatting>
  <conditionalFormatting sqref="L432">
    <cfRule type="duplicateValues" dxfId="1553" priority="2210"/>
  </conditionalFormatting>
  <conditionalFormatting sqref="L1575 L422">
    <cfRule type="duplicateValues" dxfId="1552" priority="2212"/>
  </conditionalFormatting>
  <conditionalFormatting sqref="L274:L275">
    <cfRule type="duplicateValues" dxfId="1551" priority="2213"/>
  </conditionalFormatting>
  <conditionalFormatting sqref="L546:L547">
    <cfRule type="duplicateValues" dxfId="1550" priority="2214"/>
  </conditionalFormatting>
  <conditionalFormatting sqref="L584 L586:L587">
    <cfRule type="duplicateValues" dxfId="1549" priority="2215"/>
  </conditionalFormatting>
  <conditionalFormatting sqref="L613 L602:L603 L620:L621 L605:L606 L615">
    <cfRule type="duplicateValues" dxfId="1548" priority="2216"/>
  </conditionalFormatting>
  <conditionalFormatting sqref="L244">
    <cfRule type="duplicateValues" dxfId="1547" priority="2219"/>
  </conditionalFormatting>
  <conditionalFormatting sqref="L357">
    <cfRule type="duplicateValues" dxfId="1546" priority="2222"/>
  </conditionalFormatting>
  <conditionalFormatting sqref="L358">
    <cfRule type="duplicateValues" dxfId="1545" priority="2224"/>
  </conditionalFormatting>
  <conditionalFormatting sqref="L359">
    <cfRule type="duplicateValues" dxfId="1544" priority="2226"/>
  </conditionalFormatting>
  <conditionalFormatting sqref="L190">
    <cfRule type="duplicateValues" dxfId="1543" priority="2230"/>
  </conditionalFormatting>
  <conditionalFormatting sqref="L158">
    <cfRule type="duplicateValues" dxfId="1542" priority="2231"/>
  </conditionalFormatting>
  <conditionalFormatting sqref="L3810">
    <cfRule type="duplicateValues" dxfId="1541" priority="2232"/>
  </conditionalFormatting>
  <conditionalFormatting sqref="L535">
    <cfRule type="duplicateValues" dxfId="1540" priority="2233"/>
  </conditionalFormatting>
  <conditionalFormatting sqref="L213">
    <cfRule type="duplicateValues" dxfId="1539" priority="2239"/>
  </conditionalFormatting>
  <conditionalFormatting sqref="L288">
    <cfRule type="duplicateValues" dxfId="1538" priority="2241"/>
  </conditionalFormatting>
  <conditionalFormatting sqref="L540">
    <cfRule type="duplicateValues" dxfId="1537" priority="2243"/>
  </conditionalFormatting>
  <conditionalFormatting sqref="L269">
    <cfRule type="duplicateValues" dxfId="1536" priority="2244"/>
  </conditionalFormatting>
  <conditionalFormatting sqref="L800:L801">
    <cfRule type="duplicateValues" dxfId="1535" priority="2123"/>
  </conditionalFormatting>
  <conditionalFormatting sqref="L822:L823 L807 L809">
    <cfRule type="duplicateValues" dxfId="1534" priority="2122"/>
  </conditionalFormatting>
  <conditionalFormatting sqref="L824">
    <cfRule type="duplicateValues" dxfId="1533" priority="2121"/>
  </conditionalFormatting>
  <conditionalFormatting sqref="L834:L835">
    <cfRule type="duplicateValues" dxfId="1532" priority="2115"/>
  </conditionalFormatting>
  <conditionalFormatting sqref="O831 L810">
    <cfRule type="duplicateValues" dxfId="1531" priority="2110"/>
  </conditionalFormatting>
  <conditionalFormatting sqref="L843:L844">
    <cfRule type="duplicateValues" dxfId="1530" priority="2109"/>
  </conditionalFormatting>
  <conditionalFormatting sqref="L845">
    <cfRule type="duplicateValues" dxfId="1529" priority="2108"/>
  </conditionalFormatting>
  <conditionalFormatting sqref="L2686">
    <cfRule type="duplicateValues" dxfId="1528" priority="2095"/>
  </conditionalFormatting>
  <conditionalFormatting sqref="L2127">
    <cfRule type="duplicateValues" dxfId="1527" priority="2081"/>
  </conditionalFormatting>
  <conditionalFormatting sqref="L3447 L717 L622:L676 L1577 L2183 L2598 L686:L705 L3355 L1712:L1721">
    <cfRule type="duplicateValues" dxfId="1526" priority="2246"/>
  </conditionalFormatting>
  <conditionalFormatting sqref="L354">
    <cfRule type="duplicateValues" dxfId="1525" priority="2048"/>
  </conditionalFormatting>
  <conditionalFormatting sqref="L185:L187">
    <cfRule type="duplicateValues" dxfId="1524" priority="2045"/>
  </conditionalFormatting>
  <conditionalFormatting sqref="L943">
    <cfRule type="duplicateValues" dxfId="1523" priority="2019"/>
  </conditionalFormatting>
  <conditionalFormatting sqref="L1652">
    <cfRule type="duplicateValues" dxfId="1522" priority="2008"/>
  </conditionalFormatting>
  <conditionalFormatting sqref="L931:L932">
    <cfRule type="duplicateValues" dxfId="1521" priority="2007"/>
  </conditionalFormatting>
  <conditionalFormatting sqref="L867:L868">
    <cfRule type="duplicateValues" dxfId="1520" priority="2006"/>
  </conditionalFormatting>
  <conditionalFormatting sqref="L966:L969">
    <cfRule type="duplicateValues" dxfId="1519" priority="2029"/>
  </conditionalFormatting>
  <conditionalFormatting sqref="L913:L914">
    <cfRule type="duplicateValues" dxfId="1518" priority="2005"/>
  </conditionalFormatting>
  <conditionalFormatting sqref="L881:L882">
    <cfRule type="duplicateValues" dxfId="1517" priority="2030"/>
  </conditionalFormatting>
  <conditionalFormatting sqref="L934">
    <cfRule type="duplicateValues" dxfId="1516" priority="2031"/>
  </conditionalFormatting>
  <conditionalFormatting sqref="L870">
    <cfRule type="duplicateValues" dxfId="1515" priority="2032"/>
  </conditionalFormatting>
  <conditionalFormatting sqref="L1638 L877:L878 L892:L893 L911:L912 L915:L916 L919:L925 L929 L935:L937 L939:L940 L897:L903 L905:L908">
    <cfRule type="duplicateValues" dxfId="1514" priority="2035"/>
  </conditionalFormatting>
  <conditionalFormatting sqref="L720">
    <cfRule type="duplicateValues" dxfId="1513" priority="2000"/>
  </conditionalFormatting>
  <conditionalFormatting sqref="L1356">
    <cfRule type="duplicateValues" dxfId="1512" priority="1998"/>
  </conditionalFormatting>
  <conditionalFormatting sqref="L723">
    <cfRule type="duplicateValues" dxfId="1511" priority="1997"/>
  </conditionalFormatting>
  <conditionalFormatting sqref="L114">
    <cfRule type="duplicateValues" dxfId="1510" priority="1995"/>
  </conditionalFormatting>
  <conditionalFormatting sqref="L1045">
    <cfRule type="duplicateValues" dxfId="1509" priority="1977"/>
  </conditionalFormatting>
  <conditionalFormatting sqref="L1033:L1035">
    <cfRule type="duplicateValues" dxfId="1508" priority="1975"/>
  </conditionalFormatting>
  <conditionalFormatting sqref="L1076:L1077">
    <cfRule type="duplicateValues" dxfId="1507" priority="1973"/>
  </conditionalFormatting>
  <conditionalFormatting sqref="L1102 L1083">
    <cfRule type="duplicateValues" dxfId="1506" priority="1985"/>
  </conditionalFormatting>
  <conditionalFormatting sqref="L1053">
    <cfRule type="duplicateValues" dxfId="1505" priority="1986"/>
  </conditionalFormatting>
  <conditionalFormatting sqref="L1127">
    <cfRule type="duplicateValues" dxfId="1504" priority="1988"/>
  </conditionalFormatting>
  <conditionalFormatting sqref="L1130">
    <cfRule type="duplicateValues" dxfId="1503" priority="1990"/>
  </conditionalFormatting>
  <conditionalFormatting sqref="L1112:L1114 L1080 L1120:L1121 L1124:L1125 L1128:L1129">
    <cfRule type="duplicateValues" dxfId="1502" priority="1992"/>
  </conditionalFormatting>
  <conditionalFormatting sqref="L1141:L1142">
    <cfRule type="duplicateValues" dxfId="1501" priority="1993"/>
  </conditionalFormatting>
  <conditionalFormatting sqref="L1221">
    <cfRule type="duplicateValues" dxfId="1500" priority="1951"/>
  </conditionalFormatting>
  <conditionalFormatting sqref="L1327">
    <cfRule type="duplicateValues" dxfId="1499" priority="1947"/>
  </conditionalFormatting>
  <conditionalFormatting sqref="L1345">
    <cfRule type="duplicateValues" dxfId="1498" priority="1943"/>
  </conditionalFormatting>
  <conditionalFormatting sqref="L1346:L1349">
    <cfRule type="duplicateValues" dxfId="1497" priority="1942"/>
  </conditionalFormatting>
  <conditionalFormatting sqref="O1350">
    <cfRule type="duplicateValues" dxfId="1496" priority="1941"/>
  </conditionalFormatting>
  <conditionalFormatting sqref="L1397:L1398">
    <cfRule type="duplicateValues" dxfId="1495" priority="1936"/>
  </conditionalFormatting>
  <conditionalFormatting sqref="L1406:L1409">
    <cfRule type="duplicateValues" dxfId="1494" priority="1934"/>
  </conditionalFormatting>
  <conditionalFormatting sqref="L1411">
    <cfRule type="duplicateValues" dxfId="1493" priority="1932"/>
  </conditionalFormatting>
  <conditionalFormatting sqref="L1372:L1373">
    <cfRule type="duplicateValues" dxfId="1492" priority="1931"/>
  </conditionalFormatting>
  <conditionalFormatting sqref="O1385:O1386">
    <cfRule type="duplicateValues" dxfId="1491" priority="1930"/>
  </conditionalFormatting>
  <conditionalFormatting sqref="L1359">
    <cfRule type="duplicateValues" dxfId="1490" priority="1928"/>
  </conditionalFormatting>
  <conditionalFormatting sqref="L1419:L1420">
    <cfRule type="duplicateValues" dxfId="1489" priority="1939"/>
  </conditionalFormatting>
  <conditionalFormatting sqref="Q1421">
    <cfRule type="duplicateValues" dxfId="1488" priority="1940"/>
  </conditionalFormatting>
  <conditionalFormatting sqref="P1441:Q1443">
    <cfRule type="duplicateValues" dxfId="1487" priority="1921"/>
  </conditionalFormatting>
  <conditionalFormatting sqref="O1442:O1443">
    <cfRule type="duplicateValues" dxfId="1486" priority="1919"/>
  </conditionalFormatting>
  <conditionalFormatting sqref="O1439:O1440">
    <cfRule type="duplicateValues" dxfId="1485" priority="1923"/>
  </conditionalFormatting>
  <conditionalFormatting sqref="Q1435:Q1440 L1466 O1429:O1433 O1435:O1437 L1436:L1437 Q1429:Q1433 Q1444:Q1468 O1445 L1446:L1448 L1428:L1433 O1447:O1448">
    <cfRule type="duplicateValues" dxfId="1484" priority="1924"/>
  </conditionalFormatting>
  <conditionalFormatting sqref="L1474">
    <cfRule type="duplicateValues" dxfId="1483" priority="1907"/>
  </conditionalFormatting>
  <conditionalFormatting sqref="O1474:O1475">
    <cfRule type="duplicateValues" dxfId="1482" priority="1904"/>
  </conditionalFormatting>
  <conditionalFormatting sqref="Q1480:Q1485 L1482">
    <cfRule type="duplicateValues" dxfId="1481" priority="1901"/>
  </conditionalFormatting>
  <conditionalFormatting sqref="Q1480:Q1485 L1482">
    <cfRule type="duplicateValues" dxfId="1480" priority="1902"/>
  </conditionalFormatting>
  <conditionalFormatting sqref="L1479:L1480">
    <cfRule type="duplicateValues" dxfId="1479" priority="1900"/>
  </conditionalFormatting>
  <conditionalFormatting sqref="L1486 L1488">
    <cfRule type="duplicateValues" dxfId="1478" priority="1898"/>
  </conditionalFormatting>
  <conditionalFormatting sqref="L1544">
    <cfRule type="duplicateValues" dxfId="1477" priority="1897"/>
  </conditionalFormatting>
  <conditionalFormatting sqref="L1535:L1536">
    <cfRule type="duplicateValues" dxfId="1476" priority="1894"/>
  </conditionalFormatting>
  <conditionalFormatting sqref="Q1527:Q1529 L1529">
    <cfRule type="duplicateValues" dxfId="1475" priority="1893"/>
  </conditionalFormatting>
  <conditionalFormatting sqref="L1550">
    <cfRule type="duplicateValues" dxfId="1474" priority="1890"/>
  </conditionalFormatting>
  <conditionalFormatting sqref="L1556">
    <cfRule type="duplicateValues" dxfId="1473" priority="1889"/>
  </conditionalFormatting>
  <conditionalFormatting sqref="L1559">
    <cfRule type="duplicateValues" dxfId="1472" priority="1888"/>
  </conditionalFormatting>
  <conditionalFormatting sqref="J1551 L1551">
    <cfRule type="duplicateValues" dxfId="1471" priority="1908"/>
  </conditionalFormatting>
  <conditionalFormatting sqref="L1526:L1527 L1476:L1477 L1483:L1484 L1530:L1531">
    <cfRule type="duplicateValues" dxfId="1470" priority="1916"/>
  </conditionalFormatting>
  <conditionalFormatting sqref="P1570:P1572 L1295 P1295">
    <cfRule type="duplicateValues" dxfId="1469" priority="1880"/>
  </conditionalFormatting>
  <conditionalFormatting sqref="O1589">
    <cfRule type="duplicateValues" dxfId="1468" priority="1879"/>
  </conditionalFormatting>
  <conditionalFormatting sqref="O1588">
    <cfRule type="duplicateValues" dxfId="1467" priority="1878"/>
  </conditionalFormatting>
  <conditionalFormatting sqref="O1591">
    <cfRule type="duplicateValues" dxfId="1466" priority="1877"/>
  </conditionalFormatting>
  <conditionalFormatting sqref="L1621">
    <cfRule type="duplicateValues" dxfId="1465" priority="1869"/>
  </conditionalFormatting>
  <conditionalFormatting sqref="Q1610 Q1607 L1607">
    <cfRule type="duplicateValues" dxfId="1464" priority="1863"/>
  </conditionalFormatting>
  <conditionalFormatting sqref="L1614:L1617">
    <cfRule type="duplicateValues" dxfId="1463" priority="1862"/>
  </conditionalFormatting>
  <conditionalFormatting sqref="L1687 L1674 L1678:L1682 L1684:L1685">
    <cfRule type="duplicateValues" dxfId="1462" priority="1871"/>
  </conditionalFormatting>
  <conditionalFormatting sqref="L1688">
    <cfRule type="duplicateValues" dxfId="1461" priority="1861"/>
  </conditionalFormatting>
  <conditionalFormatting sqref="L1636:L1637 L1639:L1642">
    <cfRule type="duplicateValues" dxfId="1460" priority="1872"/>
  </conditionalFormatting>
  <conditionalFormatting sqref="L1632:L1635">
    <cfRule type="duplicateValues" dxfId="1459" priority="1873"/>
  </conditionalFormatting>
  <conditionalFormatting sqref="L1643:L1644">
    <cfRule type="duplicateValues" dxfId="1458" priority="1874"/>
  </conditionalFormatting>
  <conditionalFormatting sqref="O1755 O1757:O1759">
    <cfRule type="duplicateValues" dxfId="1457" priority="1851"/>
  </conditionalFormatting>
  <conditionalFormatting sqref="L1754:L1755">
    <cfRule type="duplicateValues" dxfId="1456" priority="1849"/>
  </conditionalFormatting>
  <conditionalFormatting sqref="L1724">
    <cfRule type="duplicateValues" dxfId="1455" priority="1846"/>
  </conditionalFormatting>
  <conditionalFormatting sqref="L1779 L1769:L1770 L1772">
    <cfRule type="duplicateValues" dxfId="1454" priority="1845"/>
  </conditionalFormatting>
  <conditionalFormatting sqref="L1783 L1584">
    <cfRule type="duplicateValues" dxfId="1453" priority="1842"/>
  </conditionalFormatting>
  <conditionalFormatting sqref="L1763:L1764">
    <cfRule type="duplicateValues" dxfId="1452" priority="1840"/>
  </conditionalFormatting>
  <conditionalFormatting sqref="L1774:L1775">
    <cfRule type="duplicateValues" dxfId="1451" priority="1853"/>
  </conditionalFormatting>
  <conditionalFormatting sqref="L1787 L1790">
    <cfRule type="duplicateValues" dxfId="1450" priority="1854"/>
  </conditionalFormatting>
  <conditionalFormatting sqref="L1797:L1798">
    <cfRule type="duplicateValues" dxfId="1449" priority="1838"/>
  </conditionalFormatting>
  <conditionalFormatting sqref="L1791:L1792">
    <cfRule type="duplicateValues" dxfId="1448" priority="1835"/>
  </conditionalFormatting>
  <conditionalFormatting sqref="L1800:L1801">
    <cfRule type="duplicateValues" dxfId="1447" priority="1833"/>
  </conditionalFormatting>
  <conditionalFormatting sqref="L1813">
    <cfRule type="duplicateValues" dxfId="1446" priority="1832"/>
  </conditionalFormatting>
  <conditionalFormatting sqref="L1815">
    <cfRule type="duplicateValues" dxfId="1445" priority="1831"/>
  </conditionalFormatting>
  <conditionalFormatting sqref="L1766:L1768">
    <cfRule type="duplicateValues" dxfId="1444" priority="1855"/>
  </conditionalFormatting>
  <conditionalFormatting sqref="L1728">
    <cfRule type="duplicateValues" dxfId="1443" priority="1856"/>
  </conditionalFormatting>
  <conditionalFormatting sqref="L971">
    <cfRule type="duplicateValues" dxfId="1442" priority="1830"/>
  </conditionalFormatting>
  <conditionalFormatting sqref="L764">
    <cfRule type="duplicateValues" dxfId="1441" priority="1827"/>
  </conditionalFormatting>
  <conditionalFormatting sqref="L766">
    <cfRule type="duplicateValues" dxfId="1440" priority="1826"/>
  </conditionalFormatting>
  <conditionalFormatting sqref="L1904:L1907 L1898:L1901">
    <cfRule type="duplicateValues" dxfId="1439" priority="1819"/>
  </conditionalFormatting>
  <conditionalFormatting sqref="L1875:L1876">
    <cfRule type="duplicateValues" dxfId="1438" priority="1818"/>
  </conditionalFormatting>
  <conditionalFormatting sqref="O1866 O1848 O1859:O1861 O1870:O1874 O1850:O1856">
    <cfRule type="duplicateValues" dxfId="1437" priority="1824"/>
  </conditionalFormatting>
  <conditionalFormatting sqref="L1934">
    <cfRule type="duplicateValues" dxfId="1436" priority="1812"/>
  </conditionalFormatting>
  <conditionalFormatting sqref="L1957">
    <cfRule type="duplicateValues" dxfId="1435" priority="1811"/>
  </conditionalFormatting>
  <conditionalFormatting sqref="L1976">
    <cfRule type="duplicateValues" dxfId="1434" priority="1810"/>
  </conditionalFormatting>
  <conditionalFormatting sqref="L1951:L1952">
    <cfRule type="duplicateValues" dxfId="1433" priority="1809"/>
  </conditionalFormatting>
  <conditionalFormatting sqref="L1962:L1965">
    <cfRule type="duplicateValues" dxfId="1432" priority="1808"/>
  </conditionalFormatting>
  <conditionalFormatting sqref="L1967:L1968">
    <cfRule type="duplicateValues" dxfId="1431" priority="1804"/>
  </conditionalFormatting>
  <conditionalFormatting sqref="L1974:L1975">
    <cfRule type="duplicateValues" dxfId="1430" priority="1815"/>
  </conditionalFormatting>
  <conditionalFormatting sqref="L1977">
    <cfRule type="duplicateValues" dxfId="1429" priority="1802"/>
  </conditionalFormatting>
  <conditionalFormatting sqref="L2035 L2053">
    <cfRule type="duplicateValues" dxfId="1428" priority="1791"/>
  </conditionalFormatting>
  <conditionalFormatting sqref="L2084">
    <cfRule type="duplicateValues" dxfId="1427" priority="1794"/>
  </conditionalFormatting>
  <conditionalFormatting sqref="L2076:L2077 L2079">
    <cfRule type="duplicateValues" dxfId="1426" priority="1789"/>
  </conditionalFormatting>
  <conditionalFormatting sqref="L2071:L2073">
    <cfRule type="duplicateValues" dxfId="1425" priority="1795"/>
  </conditionalFormatting>
  <conditionalFormatting sqref="L2080:L2082 L1819 L2074:L2075">
    <cfRule type="duplicateValues" dxfId="1424" priority="1797"/>
  </conditionalFormatting>
  <conditionalFormatting sqref="L1723">
    <cfRule type="duplicateValues" dxfId="1423" priority="1784"/>
  </conditionalFormatting>
  <conditionalFormatting sqref="L1564:L1565">
    <cfRule type="duplicateValues" dxfId="1422" priority="1782"/>
  </conditionalFormatting>
  <conditionalFormatting sqref="L1566">
    <cfRule type="duplicateValues" dxfId="1421" priority="1781"/>
  </conditionalFormatting>
  <conditionalFormatting sqref="L1560">
    <cfRule type="duplicateValues" dxfId="1420" priority="1780"/>
  </conditionalFormatting>
  <conditionalFormatting sqref="L1773">
    <cfRule type="duplicateValues" dxfId="1419" priority="1720"/>
  </conditionalFormatting>
  <conditionalFormatting sqref="L1778">
    <cfRule type="duplicateValues" dxfId="1418" priority="1719"/>
  </conditionalFormatting>
  <conditionalFormatting sqref="L1725">
    <cfRule type="duplicateValues" dxfId="1417" priority="1715"/>
  </conditionalFormatting>
  <conditionalFormatting sqref="K789">
    <cfRule type="duplicateValues" dxfId="1416" priority="32156"/>
  </conditionalFormatting>
  <conditionalFormatting sqref="L4139 L1595 L2213 L1630 L2252 L1838 L773:L781 L719 L721 L765 L767 K768 L758">
    <cfRule type="duplicateValues" dxfId="1415" priority="32673"/>
  </conditionalFormatting>
  <conditionalFormatting sqref="L209">
    <cfRule type="duplicateValues" dxfId="1414" priority="1714"/>
  </conditionalFormatting>
  <conditionalFormatting sqref="L829">
    <cfRule type="duplicateValues" dxfId="1413" priority="1713"/>
  </conditionalFormatting>
  <conditionalFormatting sqref="L837">
    <cfRule type="duplicateValues" dxfId="1412" priority="1711"/>
  </conditionalFormatting>
  <conditionalFormatting sqref="L712:L713">
    <cfRule type="duplicateValues" dxfId="1411" priority="1710"/>
  </conditionalFormatting>
  <conditionalFormatting sqref="L1017">
    <cfRule type="duplicateValues" dxfId="1410" priority="1709"/>
  </conditionalFormatting>
  <conditionalFormatting sqref="L1568">
    <cfRule type="duplicateValues" dxfId="1409" priority="1707"/>
  </conditionalFormatting>
  <conditionalFormatting sqref="L2523">
    <cfRule type="duplicateValues" dxfId="1408" priority="1706"/>
  </conditionalFormatting>
  <conditionalFormatting sqref="L782">
    <cfRule type="duplicateValues" dxfId="1407" priority="1703"/>
  </conditionalFormatting>
  <conditionalFormatting sqref="L235">
    <cfRule type="duplicateValues" dxfId="1406" priority="1701"/>
  </conditionalFormatting>
  <conditionalFormatting sqref="L225">
    <cfRule type="duplicateValues" dxfId="1405" priority="1700"/>
  </conditionalFormatting>
  <conditionalFormatting sqref="L2097">
    <cfRule type="duplicateValues" dxfId="1404" priority="1698"/>
  </conditionalFormatting>
  <conditionalFormatting sqref="L1059:L1060">
    <cfRule type="duplicateValues" dxfId="1403" priority="1692"/>
  </conditionalFormatting>
  <conditionalFormatting sqref="L2952">
    <cfRule type="duplicateValues" dxfId="1402" priority="1536"/>
  </conditionalFormatting>
  <conditionalFormatting sqref="O2684">
    <cfRule type="duplicateValues" dxfId="1401" priority="1549"/>
  </conditionalFormatting>
  <conditionalFormatting sqref="L2086">
    <cfRule type="duplicateValues" dxfId="1400" priority="1530"/>
  </conditionalFormatting>
  <conditionalFormatting sqref="L4138">
    <cfRule type="duplicateValues" dxfId="1399" priority="1531"/>
  </conditionalFormatting>
  <conditionalFormatting sqref="L2101">
    <cfRule type="duplicateValues" dxfId="1398" priority="1533"/>
  </conditionalFormatting>
  <conditionalFormatting sqref="L2107">
    <cfRule type="duplicateValues" dxfId="1397" priority="1535"/>
  </conditionalFormatting>
  <conditionalFormatting sqref="L2925">
    <cfRule type="duplicateValues" dxfId="1396" priority="1508"/>
  </conditionalFormatting>
  <conditionalFormatting sqref="L3247">
    <cfRule type="duplicateValues" dxfId="1395" priority="1504"/>
  </conditionalFormatting>
  <conditionalFormatting sqref="L2108">
    <cfRule type="duplicateValues" dxfId="1394" priority="1551"/>
  </conditionalFormatting>
  <conditionalFormatting sqref="L2093">
    <cfRule type="duplicateValues" dxfId="1393" priority="1552"/>
  </conditionalFormatting>
  <conditionalFormatting sqref="L2109">
    <cfRule type="duplicateValues" dxfId="1392" priority="1502"/>
  </conditionalFormatting>
  <conditionalFormatting sqref="L2110:L2111">
    <cfRule type="duplicateValues" dxfId="1391" priority="1501"/>
  </conditionalFormatting>
  <conditionalFormatting sqref="L2106">
    <cfRule type="duplicateValues" dxfId="1390" priority="1553"/>
  </conditionalFormatting>
  <conditionalFormatting sqref="L2104 L771">
    <cfRule type="duplicateValues" dxfId="1389" priority="1554"/>
  </conditionalFormatting>
  <conditionalFormatting sqref="L2102">
    <cfRule type="duplicateValues" dxfId="1388" priority="1555"/>
  </conditionalFormatting>
  <conditionalFormatting sqref="L2105">
    <cfRule type="duplicateValues" dxfId="1387" priority="1558"/>
  </conditionalFormatting>
  <conditionalFormatting sqref="L2408:L2413">
    <cfRule type="duplicateValues" dxfId="1386" priority="1559"/>
  </conditionalFormatting>
  <conditionalFormatting sqref="L2430">
    <cfRule type="duplicateValues" dxfId="1385" priority="1497"/>
  </conditionalFormatting>
  <conditionalFormatting sqref="L2431">
    <cfRule type="duplicateValues" dxfId="1384" priority="1496"/>
  </conditionalFormatting>
  <conditionalFormatting sqref="L2119:L2124">
    <cfRule type="duplicateValues" dxfId="1383" priority="1495"/>
  </conditionalFormatting>
  <conditionalFormatting sqref="L2125:L2126 L2132:L2133 L2128:L2130">
    <cfRule type="duplicateValues" dxfId="1382" priority="1494"/>
  </conditionalFormatting>
  <conditionalFormatting sqref="L2134:L2137 L2139:L2140">
    <cfRule type="duplicateValues" dxfId="1381" priority="1493"/>
  </conditionalFormatting>
  <conditionalFormatting sqref="L2141:L2146">
    <cfRule type="duplicateValues" dxfId="1380" priority="1492"/>
  </conditionalFormatting>
  <conditionalFormatting sqref="L2157 L2148:L2151 L2154">
    <cfRule type="duplicateValues" dxfId="1379" priority="1491"/>
  </conditionalFormatting>
  <conditionalFormatting sqref="L2155:L2156 L2162 L2158:L2160">
    <cfRule type="duplicateValues" dxfId="1378" priority="1490"/>
  </conditionalFormatting>
  <conditionalFormatting sqref="L2163:L2168">
    <cfRule type="duplicateValues" dxfId="1377" priority="1489"/>
  </conditionalFormatting>
  <conditionalFormatting sqref="L2169">
    <cfRule type="duplicateValues" dxfId="1376" priority="1560"/>
  </conditionalFormatting>
  <conditionalFormatting sqref="L3251">
    <cfRule type="duplicateValues" dxfId="1375" priority="1488"/>
  </conditionalFormatting>
  <conditionalFormatting sqref="L3230">
    <cfRule type="duplicateValues" dxfId="1374" priority="1487"/>
  </conditionalFormatting>
  <conditionalFormatting sqref="L3229">
    <cfRule type="duplicateValues" dxfId="1373" priority="1486"/>
  </conditionalFormatting>
  <conditionalFormatting sqref="L3235">
    <cfRule type="duplicateValues" dxfId="1372" priority="1485"/>
  </conditionalFormatting>
  <conditionalFormatting sqref="L3226 L3245 L2947">
    <cfRule type="duplicateValues" dxfId="1371" priority="1563"/>
  </conditionalFormatting>
  <conditionalFormatting sqref="O3233">
    <cfRule type="duplicateValues" dxfId="1370" priority="1482"/>
  </conditionalFormatting>
  <conditionalFormatting sqref="L3246">
    <cfRule type="duplicateValues" dxfId="1369" priority="1480"/>
  </conditionalFormatting>
  <conditionalFormatting sqref="L2926">
    <cfRule type="duplicateValues" dxfId="1368" priority="1565"/>
  </conditionalFormatting>
  <conditionalFormatting sqref="L2172">
    <cfRule type="duplicateValues" dxfId="1367" priority="1475"/>
  </conditionalFormatting>
  <conditionalFormatting sqref="L2173">
    <cfRule type="duplicateValues" dxfId="1366" priority="1474"/>
  </conditionalFormatting>
  <conditionalFormatting sqref="L2175">
    <cfRule type="duplicateValues" dxfId="1365" priority="1472"/>
  </conditionalFormatting>
  <conditionalFormatting sqref="L318">
    <cfRule type="duplicateValues" dxfId="1364" priority="1470"/>
  </conditionalFormatting>
  <conditionalFormatting sqref="L2176">
    <cfRule type="duplicateValues" dxfId="1363" priority="1469"/>
  </conditionalFormatting>
  <conditionalFormatting sqref="L2178">
    <cfRule type="duplicateValues" dxfId="1362" priority="1467"/>
  </conditionalFormatting>
  <conditionalFormatting sqref="L2179">
    <cfRule type="duplicateValues" dxfId="1361" priority="1466"/>
  </conditionalFormatting>
  <conditionalFormatting sqref="L2180">
    <cfRule type="duplicateValues" dxfId="1360" priority="1465"/>
  </conditionalFormatting>
  <conditionalFormatting sqref="L2182">
    <cfRule type="duplicateValues" dxfId="1359" priority="1463"/>
  </conditionalFormatting>
  <conditionalFormatting sqref="L2184">
    <cfRule type="duplicateValues" dxfId="1358" priority="1462"/>
  </conditionalFormatting>
  <conditionalFormatting sqref="L2185:L2192">
    <cfRule type="duplicateValues" dxfId="1357" priority="1460"/>
  </conditionalFormatting>
  <conditionalFormatting sqref="L2181">
    <cfRule type="duplicateValues" dxfId="1356" priority="1570"/>
  </conditionalFormatting>
  <conditionalFormatting sqref="L2195">
    <cfRule type="duplicateValues" dxfId="1355" priority="1571"/>
  </conditionalFormatting>
  <conditionalFormatting sqref="L3859">
    <cfRule type="duplicateValues" dxfId="1354" priority="1454"/>
  </conditionalFormatting>
  <conditionalFormatting sqref="L2462">
    <cfRule type="duplicateValues" dxfId="1353" priority="1448"/>
  </conditionalFormatting>
  <conditionalFormatting sqref="L2463">
    <cfRule type="duplicateValues" dxfId="1352" priority="1447"/>
  </conditionalFormatting>
  <conditionalFormatting sqref="L2464">
    <cfRule type="duplicateValues" dxfId="1351" priority="1446"/>
  </conditionalFormatting>
  <conditionalFormatting sqref="O2656">
    <cfRule type="duplicateValues" dxfId="1350" priority="1436"/>
  </conditionalFormatting>
  <conditionalFormatting sqref="L2942:L2945">
    <cfRule type="duplicateValues" dxfId="1349" priority="1429"/>
  </conditionalFormatting>
  <conditionalFormatting sqref="L2929">
    <cfRule type="duplicateValues" dxfId="1348" priority="1428"/>
  </conditionalFormatting>
  <conditionalFormatting sqref="L2930">
    <cfRule type="duplicateValues" dxfId="1347" priority="1427"/>
  </conditionalFormatting>
  <conditionalFormatting sqref="L2932">
    <cfRule type="duplicateValues" dxfId="1346" priority="1579"/>
  </conditionalFormatting>
  <conditionalFormatting sqref="L2933">
    <cfRule type="duplicateValues" dxfId="1345" priority="1426"/>
  </conditionalFormatting>
  <conditionalFormatting sqref="L2934">
    <cfRule type="duplicateValues" dxfId="1344" priority="1425"/>
  </conditionalFormatting>
  <conditionalFormatting sqref="L2935">
    <cfRule type="duplicateValues" dxfId="1343" priority="1421"/>
  </conditionalFormatting>
  <conditionalFormatting sqref="L2936">
    <cfRule type="duplicateValues" dxfId="1342" priority="1419"/>
  </conditionalFormatting>
  <conditionalFormatting sqref="L2937">
    <cfRule type="duplicateValues" dxfId="1341" priority="1418"/>
  </conditionalFormatting>
  <conditionalFormatting sqref="L2938">
    <cfRule type="duplicateValues" dxfId="1340" priority="1417"/>
  </conditionalFormatting>
  <conditionalFormatting sqref="L2939">
    <cfRule type="duplicateValues" dxfId="1339" priority="1416"/>
  </conditionalFormatting>
  <conditionalFormatting sqref="L2940:L2941">
    <cfRule type="duplicateValues" dxfId="1338" priority="1581"/>
  </conditionalFormatting>
  <conditionalFormatting sqref="L2946">
    <cfRule type="duplicateValues" dxfId="1337" priority="1583"/>
  </conditionalFormatting>
  <conditionalFormatting sqref="L3276 L3231 L3249 L3237:L3238 L3252:L3253 L3242 L2927:L2928">
    <cfRule type="duplicateValues" dxfId="1336" priority="1586"/>
  </conditionalFormatting>
  <conditionalFormatting sqref="L3281 L3283:L3284">
    <cfRule type="duplicateValues" dxfId="1335" priority="1407"/>
  </conditionalFormatting>
  <conditionalFormatting sqref="L3287:L3288">
    <cfRule type="duplicateValues" dxfId="1334" priority="1406"/>
  </conditionalFormatting>
  <conditionalFormatting sqref="L3291:L3292">
    <cfRule type="duplicateValues" dxfId="1333" priority="1404"/>
  </conditionalFormatting>
  <conditionalFormatting sqref="L3294 L3296:L3297">
    <cfRule type="duplicateValues" dxfId="1332" priority="1403"/>
  </conditionalFormatting>
  <conditionalFormatting sqref="L3298 L3300:L3301">
    <cfRule type="duplicateValues" dxfId="1331" priority="1402"/>
  </conditionalFormatting>
  <conditionalFormatting sqref="L3282">
    <cfRule type="duplicateValues" dxfId="1330" priority="1400"/>
  </conditionalFormatting>
  <conditionalFormatting sqref="L3290">
    <cfRule type="duplicateValues" dxfId="1329" priority="1398"/>
  </conditionalFormatting>
  <conditionalFormatting sqref="L3293">
    <cfRule type="duplicateValues" dxfId="1328" priority="1397"/>
  </conditionalFormatting>
  <conditionalFormatting sqref="L2920">
    <cfRule type="duplicateValues" dxfId="1327" priority="1587"/>
  </conditionalFormatting>
  <conditionalFormatting sqref="L3325">
    <cfRule type="duplicateValues" dxfId="1326" priority="1395"/>
  </conditionalFormatting>
  <conditionalFormatting sqref="L2268:L2272">
    <cfRule type="duplicateValues" dxfId="1325" priority="1391"/>
  </conditionalFormatting>
  <conditionalFormatting sqref="L2300:L2304">
    <cfRule type="duplicateValues" dxfId="1324" priority="1389"/>
  </conditionalFormatting>
  <conditionalFormatting sqref="L2330:L2352">
    <cfRule type="duplicateValues" dxfId="1323" priority="1387"/>
  </conditionalFormatting>
  <conditionalFormatting sqref="L2359:L2363">
    <cfRule type="duplicateValues" dxfId="1322" priority="1385"/>
  </conditionalFormatting>
  <conditionalFormatting sqref="L2326:L2328">
    <cfRule type="duplicateValues" dxfId="1321" priority="1591"/>
  </conditionalFormatting>
  <conditionalFormatting sqref="L2222:L2223 L714">
    <cfRule type="duplicateValues" dxfId="1320" priority="1593"/>
  </conditionalFormatting>
  <conditionalFormatting sqref="L2283:L2286">
    <cfRule type="duplicateValues" dxfId="1319" priority="1597"/>
  </conditionalFormatting>
  <conditionalFormatting sqref="L2231:L2233">
    <cfRule type="duplicateValues" dxfId="1318" priority="1599"/>
  </conditionalFormatting>
  <conditionalFormatting sqref="L2204:L2207">
    <cfRule type="duplicateValues" dxfId="1317" priority="1601"/>
  </conditionalFormatting>
  <conditionalFormatting sqref="L2318:L2320">
    <cfRule type="duplicateValues" dxfId="1316" priority="1604"/>
  </conditionalFormatting>
  <conditionalFormatting sqref="L2323:L2325">
    <cfRule type="duplicateValues" dxfId="1315" priority="1608"/>
  </conditionalFormatting>
  <conditionalFormatting sqref="L2367">
    <cfRule type="duplicateValues" dxfId="1314" priority="1383"/>
  </conditionalFormatting>
  <conditionalFormatting sqref="L2357:L2358">
    <cfRule type="duplicateValues" dxfId="1313" priority="1612"/>
  </conditionalFormatting>
  <conditionalFormatting sqref="L2224:L2227">
    <cfRule type="duplicateValues" dxfId="1312" priority="1614"/>
  </conditionalFormatting>
  <conditionalFormatting sqref="L2305:L2306">
    <cfRule type="duplicateValues" dxfId="1311" priority="1616"/>
  </conditionalFormatting>
  <conditionalFormatting sqref="L2234:L2237">
    <cfRule type="duplicateValues" dxfId="1310" priority="1618"/>
  </conditionalFormatting>
  <conditionalFormatting sqref="L3207:L3223">
    <cfRule type="duplicateValues" dxfId="1309" priority="1381"/>
  </conditionalFormatting>
  <conditionalFormatting sqref="L2364:L2366">
    <cfRule type="duplicateValues" dxfId="1308" priority="1624"/>
  </conditionalFormatting>
  <conditionalFormatting sqref="L2228:L2230">
    <cfRule type="duplicateValues" dxfId="1307" priority="1631"/>
  </conditionalFormatting>
  <conditionalFormatting sqref="L2273">
    <cfRule type="duplicateValues" dxfId="1306" priority="1633"/>
  </conditionalFormatting>
  <conditionalFormatting sqref="L2321 L2214">
    <cfRule type="duplicateValues" dxfId="1305" priority="1635"/>
  </conditionalFormatting>
  <conditionalFormatting sqref="L2295:L2297">
    <cfRule type="duplicateValues" dxfId="1304" priority="1642"/>
  </conditionalFormatting>
  <conditionalFormatting sqref="L2368:L2370">
    <cfRule type="duplicateValues" dxfId="1303" priority="1644"/>
  </conditionalFormatting>
  <conditionalFormatting sqref="L2310:L2312">
    <cfRule type="duplicateValues" dxfId="1302" priority="1648"/>
  </conditionalFormatting>
  <conditionalFormatting sqref="L2307:L2309">
    <cfRule type="duplicateValues" dxfId="1301" priority="1650"/>
  </conditionalFormatting>
  <conditionalFormatting sqref="L2241">
    <cfRule type="duplicateValues" dxfId="1300" priority="1652"/>
  </conditionalFormatting>
  <conditionalFormatting sqref="L2353:L2356">
    <cfRule type="duplicateValues" dxfId="1299" priority="1654"/>
  </conditionalFormatting>
  <conditionalFormatting sqref="L2196:L2201 L2203">
    <cfRule type="duplicateValues" dxfId="1298" priority="1655"/>
  </conditionalFormatting>
  <conditionalFormatting sqref="O2545">
    <cfRule type="duplicateValues" dxfId="1297" priority="1373"/>
  </conditionalFormatting>
  <conditionalFormatting sqref="L2389">
    <cfRule type="duplicateValues" dxfId="1296" priority="1371"/>
  </conditionalFormatting>
  <conditionalFormatting sqref="O2391">
    <cfRule type="duplicateValues" dxfId="1295" priority="1370"/>
  </conditionalFormatting>
  <conditionalFormatting sqref="L2391">
    <cfRule type="duplicateValues" dxfId="1294" priority="1369"/>
  </conditionalFormatting>
  <conditionalFormatting sqref="L2392">
    <cfRule type="duplicateValues" dxfId="1293" priority="1368"/>
  </conditionalFormatting>
  <conditionalFormatting sqref="L2376">
    <cfRule type="duplicateValues" dxfId="1292" priority="1659"/>
  </conditionalFormatting>
  <conditionalFormatting sqref="L2287:L2290">
    <cfRule type="duplicateValues" dxfId="1291" priority="1666"/>
  </conditionalFormatting>
  <conditionalFormatting sqref="L2395">
    <cfRule type="duplicateValues" dxfId="1290" priority="1365"/>
  </conditionalFormatting>
  <conditionalFormatting sqref="L2277">
    <cfRule type="duplicateValues" dxfId="1289" priority="1670"/>
  </conditionalFormatting>
  <conditionalFormatting sqref="L2371 L2373:L2375">
    <cfRule type="duplicateValues" dxfId="1288" priority="1672"/>
  </conditionalFormatting>
  <conditionalFormatting sqref="L2099:L2100">
    <cfRule type="duplicateValues" dxfId="1287" priority="1677"/>
  </conditionalFormatting>
  <conditionalFormatting sqref="L2407">
    <cfRule type="duplicateValues" dxfId="1286" priority="1678"/>
  </conditionalFormatting>
  <conditionalFormatting sqref="L2282 L1283">
    <cfRule type="duplicateValues" dxfId="1285" priority="1680"/>
  </conditionalFormatting>
  <conditionalFormatting sqref="L2221">
    <cfRule type="duplicateValues" dxfId="1284" priority="1682"/>
  </conditionalFormatting>
  <conditionalFormatting sqref="L2278:L2279">
    <cfRule type="duplicateValues" dxfId="1283" priority="1684"/>
  </conditionalFormatting>
  <conditionalFormatting sqref="L2313:L2314">
    <cfRule type="duplicateValues" dxfId="1282" priority="1686"/>
  </conditionalFormatting>
  <conditionalFormatting sqref="L2298:L2299">
    <cfRule type="duplicateValues" dxfId="1281" priority="1688"/>
  </conditionalFormatting>
  <conditionalFormatting sqref="L2291:L2294">
    <cfRule type="duplicateValues" dxfId="1280" priority="1690"/>
  </conditionalFormatting>
  <conditionalFormatting sqref="L4239">
    <cfRule type="duplicateValues" dxfId="1279" priority="1334"/>
  </conditionalFormatting>
  <conditionalFormatting sqref="L4240">
    <cfRule type="duplicateValues" dxfId="1278" priority="1332"/>
  </conditionalFormatting>
  <conditionalFormatting sqref="L4241">
    <cfRule type="duplicateValues" dxfId="1277" priority="1331"/>
  </conditionalFormatting>
  <conditionalFormatting sqref="L4242">
    <cfRule type="duplicateValues" dxfId="1276" priority="1330"/>
  </conditionalFormatting>
  <conditionalFormatting sqref="L4312">
    <cfRule type="duplicateValues" dxfId="1275" priority="1325"/>
  </conditionalFormatting>
  <conditionalFormatting sqref="L4313">
    <cfRule type="duplicateValues" dxfId="1274" priority="1324"/>
  </conditionalFormatting>
  <conditionalFormatting sqref="L4316">
    <cfRule type="duplicateValues" dxfId="1273" priority="1323"/>
  </conditionalFormatting>
  <conditionalFormatting sqref="L2377">
    <cfRule type="duplicateValues" dxfId="1272" priority="1321"/>
  </conditionalFormatting>
  <conditionalFormatting sqref="O2435">
    <cfRule type="duplicateValues" dxfId="1271" priority="1313"/>
  </conditionalFormatting>
  <conditionalFormatting sqref="L42">
    <cfRule type="duplicateValues" dxfId="1270" priority="1303"/>
  </conditionalFormatting>
  <conditionalFormatting sqref="L40:L41">
    <cfRule type="duplicateValues" dxfId="1269" priority="41180"/>
  </conditionalFormatting>
  <conditionalFormatting sqref="O2438">
    <cfRule type="duplicateValues" dxfId="1268" priority="1298"/>
  </conditionalFormatting>
  <conditionalFormatting sqref="L3841">
    <cfRule type="duplicateValues" dxfId="1267" priority="1179"/>
  </conditionalFormatting>
  <conditionalFormatting sqref="L3842">
    <cfRule type="duplicateValues" dxfId="1266" priority="1178"/>
  </conditionalFormatting>
  <conditionalFormatting sqref="L3847">
    <cfRule type="duplicateValues" dxfId="1265" priority="1174"/>
  </conditionalFormatting>
  <conditionalFormatting sqref="L3848:L3849">
    <cfRule type="duplicateValues" dxfId="1264" priority="1173"/>
  </conditionalFormatting>
  <conditionalFormatting sqref="L3852">
    <cfRule type="duplicateValues" dxfId="1263" priority="1171"/>
  </conditionalFormatting>
  <conditionalFormatting sqref="L3850">
    <cfRule type="duplicateValues" dxfId="1262" priority="1172"/>
  </conditionalFormatting>
  <conditionalFormatting sqref="L4104:L4105">
    <cfRule type="duplicateValues" dxfId="1261" priority="1163"/>
  </conditionalFormatting>
  <conditionalFormatting sqref="L4106">
    <cfRule type="duplicateValues" dxfId="1260" priority="1162"/>
  </conditionalFormatting>
  <conditionalFormatting sqref="L4107">
    <cfRule type="duplicateValues" dxfId="1259" priority="1161"/>
  </conditionalFormatting>
  <conditionalFormatting sqref="L2261">
    <cfRule type="duplicateValues" dxfId="1258" priority="1159"/>
  </conditionalFormatting>
  <conditionalFormatting sqref="L4119">
    <cfRule type="duplicateValues" dxfId="1257" priority="1156"/>
  </conditionalFormatting>
  <conditionalFormatting sqref="L4120">
    <cfRule type="duplicateValues" dxfId="1256" priority="1169"/>
  </conditionalFormatting>
  <conditionalFormatting sqref="L4112">
    <cfRule type="duplicateValues" dxfId="1255" priority="1170"/>
  </conditionalFormatting>
  <conditionalFormatting sqref="L4109">
    <cfRule type="duplicateValues" dxfId="1254" priority="1150"/>
  </conditionalFormatting>
  <conditionalFormatting sqref="L4114">
    <cfRule type="duplicateValues" dxfId="1253" priority="1149"/>
  </conditionalFormatting>
  <conditionalFormatting sqref="L4117">
    <cfRule type="duplicateValues" dxfId="1252" priority="1148"/>
  </conditionalFormatting>
  <conditionalFormatting sqref="L4118">
    <cfRule type="duplicateValues" dxfId="1251" priority="1147"/>
  </conditionalFormatting>
  <conditionalFormatting sqref="L4136">
    <cfRule type="duplicateValues" dxfId="1250" priority="1146"/>
  </conditionalFormatting>
  <conditionalFormatting sqref="L3411">
    <cfRule type="duplicateValues" dxfId="1249" priority="1131"/>
  </conditionalFormatting>
  <conditionalFormatting sqref="L3412">
    <cfRule type="duplicateValues" dxfId="1248" priority="1129"/>
  </conditionalFormatting>
  <conditionalFormatting sqref="L3464:L3465">
    <cfRule type="duplicateValues" dxfId="1247" priority="1142"/>
  </conditionalFormatting>
  <conditionalFormatting sqref="L3410 L223 L2613:L2624 L2601:L2602 L3326:L3330 L2638:L2640 L3278 L3254:L3256 L3244 L3236 L3232 L2953:L2970 L3224:L3225 L3227:L3228 L3234 L3239 L3241 L3248 L3250 L3280 L3272:L3274 L3264:L3270 L3307 L3318:L3321 L3165 L710 L205 L320:L322 L3309:L3310 L3137:L3163 L3312:L3316 L3174:L3202 L3021:L3134 L3167:L3172">
    <cfRule type="duplicateValues" dxfId="1246" priority="45489"/>
  </conditionalFormatting>
  <conditionalFormatting sqref="L2439">
    <cfRule type="duplicateValues" dxfId="1245" priority="1113"/>
  </conditionalFormatting>
  <conditionalFormatting sqref="L2437">
    <cfRule type="duplicateValues" dxfId="1244" priority="1112"/>
  </conditionalFormatting>
  <conditionalFormatting sqref="L2069:L2070 L2061 L2063:L2067">
    <cfRule type="duplicateValues" dxfId="1243" priority="47189"/>
  </conditionalFormatting>
  <conditionalFormatting sqref="L2068">
    <cfRule type="duplicateValues" dxfId="1242" priority="1101"/>
  </conditionalFormatting>
  <conditionalFormatting sqref="L2414 L2417">
    <cfRule type="duplicateValues" dxfId="1241" priority="47368"/>
  </conditionalFormatting>
  <conditionalFormatting sqref="L3757">
    <cfRule type="duplicateValues" dxfId="1240" priority="1100"/>
  </conditionalFormatting>
  <conditionalFormatting sqref="L2443">
    <cfRule type="duplicateValues" dxfId="1239" priority="1097"/>
  </conditionalFormatting>
  <conditionalFormatting sqref="L2444">
    <cfRule type="duplicateValues" dxfId="1238" priority="1096"/>
  </conditionalFormatting>
  <conditionalFormatting sqref="L2440:L2442">
    <cfRule type="duplicateValues" dxfId="1237" priority="1095"/>
  </conditionalFormatting>
  <conditionalFormatting sqref="L2396 L2393 L550">
    <cfRule type="duplicateValues" dxfId="1236" priority="48192"/>
  </conditionalFormatting>
  <conditionalFormatting sqref="Q1296:Q1297 O1567:O1568 L1548:L1549 O1488:O1491 O1493:O1495 Q1470:Q1478 L1481 Q1488:Q1491 L1489:L1490 Q1530 Q1505:Q1512 L1509 O1554 O1556:O1557 O1563 Q1554:Q1560 Q1514:Q1525 Q1563:Q1568">
    <cfRule type="duplicateValues" dxfId="1235" priority="48305"/>
  </conditionalFormatting>
  <conditionalFormatting sqref="L2085 L2031:L2034 L770 L2046:L2050 L2036:L2044">
    <cfRule type="duplicateValues" dxfId="1234" priority="50053"/>
  </conditionalFormatting>
  <conditionalFormatting sqref="O935:O936">
    <cfRule type="duplicateValues" dxfId="1233" priority="1066"/>
  </conditionalFormatting>
  <conditionalFormatting sqref="O1239 L3686 L1219 L1240 L1237:L1238 L1243:L1245 L1247:L1251">
    <cfRule type="duplicateValues" dxfId="1232" priority="55889"/>
  </conditionalFormatting>
  <conditionalFormatting sqref="M3657">
    <cfRule type="duplicateValues" dxfId="1231" priority="1059"/>
  </conditionalFormatting>
  <conditionalFormatting sqref="L3463">
    <cfRule type="duplicateValues" dxfId="1230" priority="56274"/>
  </conditionalFormatting>
  <conditionalFormatting sqref="Q1570:Q1572 Q1295">
    <cfRule type="duplicateValues" dxfId="1229" priority="56522"/>
  </conditionalFormatting>
  <conditionalFormatting sqref="M4248:M4260">
    <cfRule type="duplicateValues" dxfId="1228" priority="56555"/>
  </conditionalFormatting>
  <conditionalFormatting sqref="M4271:M4310 M4261:M4269">
    <cfRule type="duplicateValues" dxfId="1227" priority="56556"/>
  </conditionalFormatting>
  <conditionalFormatting sqref="M4116:M4121 M1354 M2261 M2246 M2675:M2676 M4114 M4126:M4137 M4124 M3775:M3787 M4102:M4112 M3682:M3699 M4079:M4100 M4063:M4075 M3706:M3773 M4140:M4247 M3658:M3678 M3790:M3858 M3860:M4001">
    <cfRule type="duplicateValues" dxfId="1226" priority="56558"/>
  </conditionalFormatting>
  <conditionalFormatting sqref="M1235 M321:M323">
    <cfRule type="duplicateValues" dxfId="1225" priority="1040"/>
  </conditionalFormatting>
  <conditionalFormatting sqref="O1646 O790">
    <cfRule type="duplicateValues" dxfId="1224" priority="56591"/>
  </conditionalFormatting>
  <conditionalFormatting sqref="L2092">
    <cfRule type="duplicateValues" dxfId="1223" priority="57016"/>
  </conditionalFormatting>
  <conditionalFormatting sqref="L1912">
    <cfRule type="duplicateValues" dxfId="1222" priority="57105"/>
  </conditionalFormatting>
  <conditionalFormatting sqref="L2242:L2243 L1666">
    <cfRule type="duplicateValues" dxfId="1221" priority="57748"/>
  </conditionalFormatting>
  <conditionalFormatting sqref="L2404 L1300 L533 L536:L537 L1806 L308 L1585 L1302">
    <cfRule type="duplicateValues" dxfId="1220" priority="57821"/>
  </conditionalFormatting>
  <conditionalFormatting sqref="L2250 L2208 L2215:L2216">
    <cfRule type="duplicateValues" dxfId="1219" priority="58070"/>
  </conditionalFormatting>
  <conditionalFormatting sqref="L2315:L2317 L1647">
    <cfRule type="duplicateValues" dxfId="1218" priority="58216"/>
  </conditionalFormatting>
  <conditionalFormatting sqref="L2648 L1168 L1882 L839 L1659 L841:L842 L831:L832 L1650">
    <cfRule type="duplicateValues" dxfId="1217" priority="58619"/>
  </conditionalFormatting>
  <conditionalFormatting sqref="M4115">
    <cfRule type="duplicateValues" dxfId="1216" priority="1037"/>
  </conditionalFormatting>
  <conditionalFormatting sqref="L325:L327 L312:L313 L315 L323">
    <cfRule type="duplicateValues" dxfId="1215" priority="59036"/>
  </conditionalFormatting>
  <conditionalFormatting sqref="L328:L342">
    <cfRule type="duplicateValues" dxfId="1214" priority="60221"/>
  </conditionalFormatting>
  <conditionalFormatting sqref="Q1493:Q1495 L1552 L1547 O1505:O1511 L1507:L1508 L1517 L1523 L1512 L1514">
    <cfRule type="duplicateValues" dxfId="1213" priority="60250"/>
  </conditionalFormatting>
  <conditionalFormatting sqref="L236:L237">
    <cfRule type="duplicateValues" dxfId="1212" priority="60260"/>
  </conditionalFormatting>
  <conditionalFormatting sqref="M3391:M3396">
    <cfRule type="duplicateValues" dxfId="1211" priority="1028"/>
  </conditionalFormatting>
  <conditionalFormatting sqref="M260:M261">
    <cfRule type="duplicateValues" dxfId="1210" priority="1027"/>
  </conditionalFormatting>
  <conditionalFormatting sqref="L261">
    <cfRule type="duplicateValues" dxfId="1209" priority="1026"/>
  </conditionalFormatting>
  <conditionalFormatting sqref="I4139">
    <cfRule type="duplicateValues" dxfId="1208" priority="1025"/>
  </conditionalFormatting>
  <conditionalFormatting sqref="L2280:L2281 L1808 L2244">
    <cfRule type="duplicateValues" dxfId="1207" priority="61042"/>
  </conditionalFormatting>
  <conditionalFormatting sqref="O1745 L2138 L1902:L1903 O1875:O1878 Q1627 P1867 L1877:L1878 L1745 L1909:L1911 L1883:L1892 O2138 L1880:L1881 O1883:O1891 O1909:O1911 O1880:O1881 O1897:O1907">
    <cfRule type="duplicateValues" dxfId="1206" priority="61075"/>
  </conditionalFormatting>
  <conditionalFormatting sqref="O1578 L1580:L1581 O1580:O1581">
    <cfRule type="duplicateValues" dxfId="1205" priority="1017"/>
  </conditionalFormatting>
  <conditionalFormatting sqref="M1574">
    <cfRule type="duplicateValues" dxfId="1204" priority="1013"/>
  </conditionalFormatting>
  <conditionalFormatting sqref="O1574 L1574">
    <cfRule type="duplicateValues" dxfId="1203" priority="1015"/>
  </conditionalFormatting>
  <conditionalFormatting sqref="L3423">
    <cfRule type="duplicateValues" dxfId="1202" priority="1010"/>
  </conditionalFormatting>
  <conditionalFormatting sqref="M3423">
    <cfRule type="duplicateValues" dxfId="1201" priority="1011"/>
  </conditionalFormatting>
  <conditionalFormatting sqref="L2266 L918">
    <cfRule type="duplicateValues" dxfId="1200" priority="62401"/>
  </conditionalFormatting>
  <conditionalFormatting sqref="L2255 L309 L1587">
    <cfRule type="duplicateValues" dxfId="1199" priority="63892"/>
  </conditionalFormatting>
  <conditionalFormatting sqref="L4077 L715">
    <cfRule type="duplicateValues" dxfId="1198" priority="64332"/>
  </conditionalFormatting>
  <conditionalFormatting sqref="L1839:L1840 L1834:L1836 L1629">
    <cfRule type="duplicateValues" dxfId="1197" priority="64768"/>
  </conditionalFormatting>
  <conditionalFormatting sqref="M4813:M4815 M4795:M4798">
    <cfRule type="duplicateValues" dxfId="1196" priority="1006"/>
  </conditionalFormatting>
  <conditionalFormatting sqref="L2161 L539">
    <cfRule type="duplicateValues" dxfId="1195" priority="64769"/>
  </conditionalFormatting>
  <conditionalFormatting sqref="L1675 L532 L423:L431">
    <cfRule type="duplicateValues" dxfId="1194" priority="65075"/>
  </conditionalFormatting>
  <conditionalFormatting sqref="L2253 L1842 L1937 L1677 L1939:L1941 L1943">
    <cfRule type="duplicateValues" dxfId="1193" priority="66023"/>
  </conditionalFormatting>
  <conditionalFormatting sqref="L1467:L1473">
    <cfRule type="duplicateValues" dxfId="1192" priority="1005"/>
  </conditionalFormatting>
  <conditionalFormatting sqref="L3243 L2921:L2924 L3275 L2918:L2919">
    <cfRule type="duplicateValues" dxfId="1191" priority="66039"/>
  </conditionalFormatting>
  <conditionalFormatting sqref="L1597">
    <cfRule type="duplicateValues" dxfId="1190" priority="66040"/>
  </conditionalFormatting>
  <conditionalFormatting sqref="L2265 L2238:L2240 L518 L1598 L2131 L2267">
    <cfRule type="duplicateValues" dxfId="1189" priority="66179"/>
  </conditionalFormatting>
  <conditionalFormatting sqref="L1578 L1573">
    <cfRule type="duplicateValues" dxfId="1188" priority="66614"/>
  </conditionalFormatting>
  <conditionalFormatting sqref="M1578 M1573 M1580:M1582">
    <cfRule type="duplicateValues" dxfId="1187" priority="66619"/>
  </conditionalFormatting>
  <conditionalFormatting sqref="L753">
    <cfRule type="duplicateValues" dxfId="1186" priority="991"/>
  </conditionalFormatting>
  <conditionalFormatting sqref="M753">
    <cfRule type="duplicateValues" dxfId="1185" priority="990"/>
  </conditionalFormatting>
  <conditionalFormatting sqref="L1611 L1609">
    <cfRule type="duplicateValues" dxfId="1184" priority="69130"/>
  </conditionalFormatting>
  <conditionalFormatting sqref="Q1612:Q1617 Q1609 L1612">
    <cfRule type="duplicateValues" dxfId="1183" priority="69139"/>
  </conditionalFormatting>
  <conditionalFormatting sqref="L1051:L1052">
    <cfRule type="duplicateValues" dxfId="1182" priority="69197"/>
  </conditionalFormatting>
  <conditionalFormatting sqref="L2258 L1814">
    <cfRule type="duplicateValues" dxfId="1181" priority="69204"/>
  </conditionalFormatting>
  <conditionalFormatting sqref="M4761">
    <cfRule type="duplicateValues" dxfId="1180" priority="977"/>
  </conditionalFormatting>
  <conditionalFormatting sqref="L2212 L1972 L1726 L1744 L1780:L1781 L1760 L1749:L1751 L1734:L1735 L1729:L1732">
    <cfRule type="duplicateValues" dxfId="1179" priority="70198"/>
  </conditionalFormatting>
  <conditionalFormatting sqref="L1871:L1874 L1848 L1627 L1868 L1860:L1862 L1851:L1858 L1866">
    <cfRule type="duplicateValues" dxfId="1178" priority="70261"/>
  </conditionalFormatting>
  <conditionalFormatting sqref="L724">
    <cfRule type="duplicateValues" dxfId="1177" priority="72477"/>
  </conditionalFormatting>
  <conditionalFormatting sqref="M2708:M2714">
    <cfRule type="duplicateValues" dxfId="1176" priority="951"/>
  </conditionalFormatting>
  <conditionalFormatting sqref="M2715">
    <cfRule type="duplicateValues" dxfId="1175" priority="947"/>
  </conditionalFormatting>
  <conditionalFormatting sqref="O1892">
    <cfRule type="duplicateValues" dxfId="1174" priority="946"/>
  </conditionalFormatting>
  <conditionalFormatting sqref="M1893">
    <cfRule type="duplicateValues" dxfId="1173" priority="944"/>
  </conditionalFormatting>
  <conditionalFormatting sqref="O1893">
    <cfRule type="duplicateValues" dxfId="1172" priority="942"/>
  </conditionalFormatting>
  <conditionalFormatting sqref="L1894">
    <cfRule type="duplicateValues" dxfId="1171" priority="939"/>
  </conditionalFormatting>
  <conditionalFormatting sqref="M1894">
    <cfRule type="duplicateValues" dxfId="1170" priority="940"/>
  </conditionalFormatting>
  <conditionalFormatting sqref="O1894">
    <cfRule type="duplicateValues" dxfId="1169" priority="938"/>
  </conditionalFormatting>
  <conditionalFormatting sqref="M1895">
    <cfRule type="duplicateValues" dxfId="1168" priority="936"/>
  </conditionalFormatting>
  <conditionalFormatting sqref="O1895">
    <cfRule type="duplicateValues" dxfId="1167" priority="934"/>
  </conditionalFormatting>
  <conditionalFormatting sqref="M1896">
    <cfRule type="duplicateValues" dxfId="1166" priority="932"/>
  </conditionalFormatting>
  <conditionalFormatting sqref="O1896">
    <cfRule type="duplicateValues" dxfId="1165" priority="930"/>
  </conditionalFormatting>
  <conditionalFormatting sqref="L551:L557 L548:L549">
    <cfRule type="duplicateValues" dxfId="1164" priority="76873"/>
  </conditionalFormatting>
  <conditionalFormatting sqref="L614">
    <cfRule type="duplicateValues" dxfId="1163" priority="927"/>
  </conditionalFormatting>
  <conditionalFormatting sqref="M614:M615">
    <cfRule type="duplicateValues" dxfId="1162" priority="926"/>
  </conditionalFormatting>
  <conditionalFormatting sqref="L1079 L253">
    <cfRule type="duplicateValues" dxfId="1161" priority="78557"/>
  </conditionalFormatting>
  <conditionalFormatting sqref="L718 L254">
    <cfRule type="duplicateValues" dxfId="1160" priority="79525"/>
  </conditionalFormatting>
  <conditionalFormatting sqref="O4139 O1630 O2252 O1838 L1686 L706 O767:O768 O774:O776 O764:O765 O1595 O4077 O1686 O722 O254 O758:O760 O778:O782 O1579">
    <cfRule type="duplicateValues" dxfId="1159" priority="79933"/>
  </conditionalFormatting>
  <conditionalFormatting sqref="M3355 M677:M681 M683:M687">
    <cfRule type="duplicateValues" dxfId="1158" priority="80624"/>
  </conditionalFormatting>
  <conditionalFormatting sqref="M4673 M1195:M1234 M1579 M1575:M1577 M4671 M4270 M4424 M4662 M1583:M1703 M3356:M3390 M2581:M2656 M2464:M2562 M1236:M1304 M1141:M1193 M324:M388 M3312:M3354 M3424:M3469 M3471:M3545 M3547:M3593 M709:M745 M576:M613 M92:M100 M1306:M1486 M1093:M1139 M141 M688:M707 M616:M676 M106:M108 M117:M138 M144:M259 M262:M320 M1705:M1892 M3682:M3787 M4063:M4114 M4302:M4316 M2:M66 M754:M902 M2195:M2281 M2658:M2707 M4116:M4247 M918:M1086 M3658:M3678 M1488:M1572 M2716:M3001 M390:M558 M3595:M3656 M3021:M3310 L3002:M3020 M2283:M2462 M3397:M3422 M1897:M2192 M3790:M4001">
    <cfRule type="duplicateValues" dxfId="1157" priority="81391"/>
  </conditionalFormatting>
  <conditionalFormatting sqref="M4673 M1195:M1234 M1579 M1575:M1577 M4671 M4270 M4424 M4662 M1583:M1703 M3356:M3390 M2581:M2656 M2464:M2562 M1236:M1304 M1141:M1193 M324:M388 M3312:M3354 M3424:M3469 M3471:M3545 M3547:M3593 M709:M745 M576:M613 M92:M100 M1306:M1486 M1093:M1139 M141 M688:M707 M616:M676 M106:M108 M117:M138 M144:M259 M262:M320 M1705:M1892 M3682:M3787 M4063:M4114 M4302:M4316 M2:M66 M754:M902 M2195:M2281 M2658:M2707 M4116:M4247 M918:M1086 M1488:M1572 M2716:M3001 M390:M558 M3595:M3678 M3021:M3310 L3002:M3020 M2283:M2462 M3397:M3422 M1897:M2192 M3790:M4001">
    <cfRule type="duplicateValues" dxfId="1156" priority="81421"/>
  </conditionalFormatting>
  <conditionalFormatting sqref="L1081:L1082 L815">
    <cfRule type="duplicateValues" dxfId="1155" priority="81493"/>
  </conditionalFormatting>
  <conditionalFormatting sqref="M682">
    <cfRule type="duplicateValues" dxfId="1154" priority="924"/>
  </conditionalFormatting>
  <conditionalFormatting sqref="M4885:M4899">
    <cfRule type="duplicateValues" dxfId="1153" priority="915"/>
  </conditionalFormatting>
  <conditionalFormatting sqref="M4672 M708 M1487 M2657">
    <cfRule type="duplicateValues" dxfId="1152" priority="84824"/>
  </conditionalFormatting>
  <conditionalFormatting sqref="L1562">
    <cfRule type="duplicateValues" dxfId="1151" priority="913"/>
  </conditionalFormatting>
  <conditionalFormatting sqref="L3774 L1561">
    <cfRule type="duplicateValues" dxfId="1150" priority="84827"/>
  </conditionalFormatting>
  <conditionalFormatting sqref="M4900:M4940">
    <cfRule type="duplicateValues" dxfId="1149" priority="908"/>
  </conditionalFormatting>
  <conditionalFormatting sqref="M4900:M4940">
    <cfRule type="duplicateValues" dxfId="1148" priority="907"/>
  </conditionalFormatting>
  <conditionalFormatting sqref="L4631:M4631">
    <cfRule type="duplicateValues" dxfId="1147" priority="894"/>
  </conditionalFormatting>
  <conditionalFormatting sqref="M4631">
    <cfRule type="duplicateValues" dxfId="1146" priority="893"/>
  </conditionalFormatting>
  <conditionalFormatting sqref="L2112:L2118 L1740">
    <cfRule type="duplicateValues" dxfId="1145" priority="87778"/>
  </conditionalFormatting>
  <conditionalFormatting sqref="L346">
    <cfRule type="duplicateValues" dxfId="1144" priority="87779"/>
  </conditionalFormatting>
  <conditionalFormatting sqref="M4395">
    <cfRule type="duplicateValues" dxfId="1143" priority="868"/>
  </conditionalFormatting>
  <conditionalFormatting sqref="M4693">
    <cfRule type="duplicateValues" dxfId="1142" priority="863"/>
  </conditionalFormatting>
  <conditionalFormatting sqref="M4607:M4608">
    <cfRule type="duplicateValues" dxfId="1141" priority="841"/>
  </conditionalFormatting>
  <conditionalFormatting sqref="M4609:M4613">
    <cfRule type="duplicateValues" dxfId="1140" priority="849"/>
  </conditionalFormatting>
  <conditionalFormatting sqref="M4813:M4899 M4614:M4630 M4726:M4741 M4694:M4724 M4763:M4773 M2464:M2562 M4795:M4798 M4744:M4761 M4632:M4692 M1141:M1304 M3471:M3545 M3547:M3593 M92:M100 M1093:M1139 M141 M106:M108 M117:M138 M144:M388 M3682:M3787 M4372:M4394 M4396:M4573 M2:M66 M753:M902 M2195:M2281 M4063:M4357 M918:M1086 M1306:M1703 M576:M745 M2581:M3001 M390:M558 M3595:M3678 M3021:M3310 L3002:M3020 M2283:M2462 M3312:M3469 M1705:M2192 M3790:M4001">
    <cfRule type="duplicateValues" dxfId="1139" priority="88894"/>
  </conditionalFormatting>
  <conditionalFormatting sqref="M4813:M4940 M4614:M4630 M4726:M4741 M4694:M4724 M4763:M4773 M2464:M2562 M4795:M4798 M4744:M4761 M4632:M4692 M1141:M1304 M3471:M3545 M3547:M3593 M92:M100 M1093:M1139 M141 M106:M108 M117:M138 M144:M388 M3682:M3787 M4372:M4394 M4396:M4573 M2:M66 M753:M902 M2195:M2281 M4063:M4357 M918:M1086 M1306:M1703 M576:M745 M2581:M3001 M390:M558 M3595:M3678 M3021:M3310 L3002:M3020 M2283:M2462 M3312:M3469 M1705:M2192 M3790:M4001">
    <cfRule type="duplicateValues" dxfId="1138" priority="88903"/>
  </conditionalFormatting>
  <conditionalFormatting sqref="M4813:M4940 M4614:M4630 M4726:M4741 M4694:M4724 M4763:M4773 M2464:M2562 M4795:M4798 M4744:M4761 M4632:M4692 M1141:M1304 M3471:M3545 M3547:M3593 M92:M100 M1093:M1139 M141 M106:M108 M117:M138 M144:M388 M3682:M3787 M4372:M4394 M4396:M4573 M3:M66 M753:M902 M2195:M2281 M4063:M4357 M918:M1086 M1306:M1703 M576:M745 M2581:M3001 M390:M558 M3595:M3678 M3021:M3310 L3002:M3020 M2283:M2462 M3312:M3469 M1705:M2192 M3790:M4001">
    <cfRule type="duplicateValues" dxfId="1137" priority="88911"/>
  </conditionalFormatting>
  <conditionalFormatting sqref="M4574:M4606">
    <cfRule type="duplicateValues" dxfId="1136" priority="92421"/>
  </conditionalFormatting>
  <conditionalFormatting sqref="M4813:M4940 M4726:M4741 M4763:M4773 M2464:M2562 M4795:M4798 M4744:M4761 M1141:M1304 M3471:M3545 M3547:M3593 M92:M100 M1093:M1139 M141 M106:M108 M117:M138 M144:M388 M3682:M3787 M4372:M4724 M2:M66 M753:M902 M2195:M2281 M4063:M4357 M918:M1086 M1306:M1703 M576:M745 M2581:M3001 M390:M558 M3595:M3678 M3021:M3310 L3002:M3020 M2283:M2462 M3312:M3469 M1705:M2192 M3790:M4001">
    <cfRule type="duplicateValues" dxfId="1135" priority="92423"/>
  </conditionalFormatting>
  <conditionalFormatting sqref="M4813:M4973 M4726:M4741 M4763:M4773 M2464:M2562 M4795:M4798 M4744:M4761 M1141:M1304 M3471:M3545 M3547:M3593 M92:M100 M1093:M1139 M141 M106:M108 M117:M138 M144:M388 M3682:M3787 M4372:M4724 M2:M66 M753:M902 M2195:M2281 M4063:M4357 M918:M1086 M1306:M1703 M576:M745 M2581:M3001 M390:M558 M3595:M3678 M3021:M3310 L3002:M3020 M2283:M2462 M3312:M3469 M1705:M2192 M3790:M4001">
    <cfRule type="duplicateValues" dxfId="1134" priority="92425"/>
  </conditionalFormatting>
  <conditionalFormatting sqref="M4813:M4973 M4763:M4773 M2464:M2562 M4795:M4798 M4744:M4761 M1141:M1304 M3471:M3545 M3547:M3593 M92:M100 M1093:M1139 M141 M106:M108 M117:M138 M144:M388 M3682:M3787 M4372:M4741 M2:M66 M753:M902 M2195:M2281 M4063:M4357 M918:M1086 M1306:M1703 M576:M745 M2581:M3001 M390:M558 M3595:M3678 M3021:M3310 L3002:M3020 M2283:M2462 M3312:M3469 M1705:M2192 M3790:M4001">
    <cfRule type="duplicateValues" dxfId="1133" priority="92433"/>
  </conditionalFormatting>
  <conditionalFormatting sqref="M4974:M4983">
    <cfRule type="duplicateValues" dxfId="1132" priority="812"/>
  </conditionalFormatting>
  <conditionalFormatting sqref="M4974:M4983">
    <cfRule type="duplicateValues" dxfId="1131" priority="811"/>
  </conditionalFormatting>
  <conditionalFormatting sqref="M4974:M4983">
    <cfRule type="duplicateValues" dxfId="1130" priority="810"/>
  </conditionalFormatting>
  <conditionalFormatting sqref="M4974:M4983">
    <cfRule type="duplicateValues" dxfId="1129" priority="809"/>
  </conditionalFormatting>
  <conditionalFormatting sqref="M4974:M4983">
    <cfRule type="duplicateValues" dxfId="1128" priority="808"/>
  </conditionalFormatting>
  <conditionalFormatting sqref="M4974:M4983">
    <cfRule type="duplicateValues" dxfId="1127" priority="807"/>
  </conditionalFormatting>
  <conditionalFormatting sqref="M4974:M4983">
    <cfRule type="duplicateValues" dxfId="1126" priority="806"/>
  </conditionalFormatting>
  <conditionalFormatting sqref="M4974:M4983">
    <cfRule type="duplicateValues" dxfId="1125" priority="805"/>
  </conditionalFormatting>
  <conditionalFormatting sqref="M4806:M4812">
    <cfRule type="duplicateValues" dxfId="1124" priority="784"/>
  </conditionalFormatting>
  <conditionalFormatting sqref="M1704">
    <cfRule type="duplicateValues" dxfId="1123" priority="770"/>
  </conditionalFormatting>
  <conditionalFormatting sqref="M746">
    <cfRule type="duplicateValues" dxfId="1122" priority="762"/>
  </conditionalFormatting>
  <conditionalFormatting sqref="M747:M752">
    <cfRule type="duplicateValues" dxfId="1121" priority="754"/>
  </conditionalFormatting>
  <conditionalFormatting sqref="L3308">
    <cfRule type="duplicateValues" dxfId="1120" priority="738"/>
  </conditionalFormatting>
  <conditionalFormatting sqref="L4762">
    <cfRule type="duplicateValues" dxfId="1119" priority="732"/>
  </conditionalFormatting>
  <conditionalFormatting sqref="M4762">
    <cfRule type="duplicateValues" dxfId="1118" priority="709"/>
  </conditionalFormatting>
  <conditionalFormatting sqref="M903:M917">
    <cfRule type="duplicateValues" dxfId="1117" priority="698"/>
  </conditionalFormatting>
  <conditionalFormatting sqref="M5002">
    <cfRule type="duplicateValues" dxfId="1116" priority="690"/>
  </conditionalFormatting>
  <conditionalFormatting sqref="M5002">
    <cfRule type="duplicateValues" dxfId="1115" priority="689"/>
  </conditionalFormatting>
  <conditionalFormatting sqref="M5002">
    <cfRule type="duplicateValues" dxfId="1114" priority="688"/>
  </conditionalFormatting>
  <conditionalFormatting sqref="M5002">
    <cfRule type="duplicateValues" dxfId="1113" priority="687"/>
  </conditionalFormatting>
  <conditionalFormatting sqref="M5002">
    <cfRule type="duplicateValues" dxfId="1112" priority="686"/>
  </conditionalFormatting>
  <conditionalFormatting sqref="M5002">
    <cfRule type="duplicateValues" dxfId="1111" priority="685"/>
  </conditionalFormatting>
  <conditionalFormatting sqref="M5002">
    <cfRule type="duplicateValues" dxfId="1110" priority="684"/>
  </conditionalFormatting>
  <conditionalFormatting sqref="M5002">
    <cfRule type="duplicateValues" dxfId="1109" priority="683"/>
  </conditionalFormatting>
  <conditionalFormatting sqref="M5003">
    <cfRule type="duplicateValues" dxfId="1108" priority="682"/>
  </conditionalFormatting>
  <conditionalFormatting sqref="M5004">
    <cfRule type="duplicateValues" dxfId="1107" priority="681"/>
  </conditionalFormatting>
  <conditionalFormatting sqref="M5005:M5026 M4984:M5001">
    <cfRule type="duplicateValues" dxfId="1106" priority="92436"/>
  </conditionalFormatting>
  <conditionalFormatting sqref="L4802">
    <cfRule type="duplicateValues" dxfId="1105" priority="672"/>
  </conditionalFormatting>
  <conditionalFormatting sqref="M2463">
    <cfRule type="duplicateValues" dxfId="1104" priority="668"/>
  </conditionalFormatting>
  <conditionalFormatting sqref="M2563:M2580">
    <cfRule type="duplicateValues" dxfId="1103" priority="659"/>
  </conditionalFormatting>
  <conditionalFormatting sqref="L1292">
    <cfRule type="duplicateValues" dxfId="1102" priority="641"/>
  </conditionalFormatting>
  <conditionalFormatting sqref="L2641">
    <cfRule type="duplicateValues" dxfId="1101" priority="640"/>
  </conditionalFormatting>
  <conditionalFormatting sqref="M4774:M4794">
    <cfRule type="duplicateValues" dxfId="1100" priority="635"/>
  </conditionalFormatting>
  <conditionalFormatting sqref="M1087:M1092">
    <cfRule type="duplicateValues" dxfId="1099" priority="625"/>
  </conditionalFormatting>
  <conditionalFormatting sqref="L4742:L4743">
    <cfRule type="duplicateValues" dxfId="1098" priority="610"/>
  </conditionalFormatting>
  <conditionalFormatting sqref="L139:L140">
    <cfRule type="duplicateValues" dxfId="1097" priority="609"/>
  </conditionalFormatting>
  <conditionalFormatting sqref="M139:M140">
    <cfRule type="duplicateValues" dxfId="1096" priority="608"/>
  </conditionalFormatting>
  <conditionalFormatting sqref="M4678">
    <cfRule type="duplicateValues" dxfId="1095" priority="598"/>
  </conditionalFormatting>
  <conditionalFormatting sqref="M4678">
    <cfRule type="duplicateValues" dxfId="1094" priority="597"/>
  </conditionalFormatting>
  <conditionalFormatting sqref="L1140">
    <cfRule type="duplicateValues" dxfId="1093" priority="595"/>
  </conditionalFormatting>
  <conditionalFormatting sqref="M1140">
    <cfRule type="duplicateValues" dxfId="1092" priority="594"/>
  </conditionalFormatting>
  <conditionalFormatting sqref="L1140">
    <cfRule type="duplicateValues" dxfId="1091" priority="585"/>
  </conditionalFormatting>
  <conditionalFormatting sqref="L68:L91">
    <cfRule type="duplicateValues" dxfId="1090" priority="97695"/>
  </conditionalFormatting>
  <conditionalFormatting sqref="L68:L91">
    <cfRule type="duplicateValues" dxfId="1089" priority="97697"/>
  </conditionalFormatting>
  <conditionalFormatting sqref="M67:M72 M91 M78:M79">
    <cfRule type="duplicateValues" dxfId="1088" priority="97699"/>
  </conditionalFormatting>
  <conditionalFormatting sqref="M80:M90">
    <cfRule type="duplicateValues" dxfId="1087" priority="571"/>
  </conditionalFormatting>
  <conditionalFormatting sqref="P5079">
    <cfRule type="duplicateValues" dxfId="1086" priority="568"/>
  </conditionalFormatting>
  <conditionalFormatting sqref="P5079">
    <cfRule type="duplicateValues" dxfId="1085" priority="567"/>
  </conditionalFormatting>
  <conditionalFormatting sqref="M5080">
    <cfRule type="duplicateValues" dxfId="1084" priority="566"/>
  </conditionalFormatting>
  <conditionalFormatting sqref="M5080">
    <cfRule type="duplicateValues" dxfId="1083" priority="565"/>
  </conditionalFormatting>
  <conditionalFormatting sqref="M5071:M5079">
    <cfRule type="duplicateValues" dxfId="1082" priority="564"/>
  </conditionalFormatting>
  <conditionalFormatting sqref="M5071:M5079">
    <cfRule type="duplicateValues" dxfId="1081" priority="563"/>
  </conditionalFormatting>
  <conditionalFormatting sqref="M5071:M5080">
    <cfRule type="duplicateValues" dxfId="1080" priority="562"/>
  </conditionalFormatting>
  <conditionalFormatting sqref="M5071:M5080">
    <cfRule type="duplicateValues" dxfId="1079" priority="561"/>
  </conditionalFormatting>
  <conditionalFormatting sqref="M5071:M5080">
    <cfRule type="duplicateValues" dxfId="1078" priority="560"/>
  </conditionalFormatting>
  <conditionalFormatting sqref="M5071:M5080">
    <cfRule type="duplicateValues" dxfId="1077" priority="559"/>
  </conditionalFormatting>
  <conditionalFormatting sqref="M5071:M5080">
    <cfRule type="duplicateValues" dxfId="1076" priority="558"/>
  </conditionalFormatting>
  <conditionalFormatting sqref="M5071:M5080">
    <cfRule type="duplicateValues" dxfId="1075" priority="557"/>
  </conditionalFormatting>
  <conditionalFormatting sqref="M5071:M5080">
    <cfRule type="duplicateValues" dxfId="1074" priority="556"/>
  </conditionalFormatting>
  <conditionalFormatting sqref="L5071:L5080">
    <cfRule type="duplicateValues" dxfId="1073" priority="555"/>
  </conditionalFormatting>
  <conditionalFormatting sqref="M5081:M5082">
    <cfRule type="duplicateValues" dxfId="1072" priority="554"/>
  </conditionalFormatting>
  <conditionalFormatting sqref="M5081:M5082">
    <cfRule type="duplicateValues" dxfId="1071" priority="553"/>
  </conditionalFormatting>
  <conditionalFormatting sqref="M5083:M5087">
    <cfRule type="duplicateValues" dxfId="1070" priority="552"/>
  </conditionalFormatting>
  <conditionalFormatting sqref="M5081:M5087">
    <cfRule type="duplicateValues" dxfId="1069" priority="551"/>
  </conditionalFormatting>
  <conditionalFormatting sqref="M5081:M5087">
    <cfRule type="duplicateValues" dxfId="1068" priority="550"/>
  </conditionalFormatting>
  <conditionalFormatting sqref="M5081:M5087">
    <cfRule type="duplicateValues" dxfId="1067" priority="549"/>
  </conditionalFormatting>
  <conditionalFormatting sqref="L5081:L5084 L5086:L5087">
    <cfRule type="duplicateValues" dxfId="1066" priority="548"/>
  </conditionalFormatting>
  <conditionalFormatting sqref="M5088">
    <cfRule type="duplicateValues" dxfId="1065" priority="546"/>
  </conditionalFormatting>
  <conditionalFormatting sqref="M5088">
    <cfRule type="duplicateValues" dxfId="1064" priority="545"/>
  </conditionalFormatting>
  <conditionalFormatting sqref="M5088">
    <cfRule type="duplicateValues" dxfId="1063" priority="544"/>
  </conditionalFormatting>
  <conditionalFormatting sqref="M5088">
    <cfRule type="duplicateValues" dxfId="1062" priority="543"/>
  </conditionalFormatting>
  <conditionalFormatting sqref="L5088">
    <cfRule type="duplicateValues" dxfId="1061" priority="542"/>
  </conditionalFormatting>
  <conditionalFormatting sqref="L5201:L5215">
    <cfRule type="duplicateValues" dxfId="1060" priority="535"/>
  </conditionalFormatting>
  <conditionalFormatting sqref="L5196">
    <cfRule type="duplicateValues" dxfId="1059" priority="534"/>
  </conditionalFormatting>
  <conditionalFormatting sqref="L5175:L5176">
    <cfRule type="duplicateValues" dxfId="1058" priority="531"/>
  </conditionalFormatting>
  <conditionalFormatting sqref="L5225">
    <cfRule type="duplicateValues" dxfId="1057" priority="530"/>
  </conditionalFormatting>
  <conditionalFormatting sqref="L5264:L5265">
    <cfRule type="duplicateValues" dxfId="1056" priority="526"/>
  </conditionalFormatting>
  <conditionalFormatting sqref="L5311:L5312">
    <cfRule type="duplicateValues" dxfId="1055" priority="524"/>
  </conditionalFormatting>
  <conditionalFormatting sqref="L5313:L5314">
    <cfRule type="duplicateValues" dxfId="1054" priority="522"/>
  </conditionalFormatting>
  <conditionalFormatting sqref="L5237">
    <cfRule type="duplicateValues" dxfId="1053" priority="521"/>
  </conditionalFormatting>
  <conditionalFormatting sqref="L5317">
    <cfRule type="duplicateValues" dxfId="1052" priority="520"/>
  </conditionalFormatting>
  <conditionalFormatting sqref="L5332">
    <cfRule type="duplicateValues" dxfId="1051" priority="511"/>
  </conditionalFormatting>
  <conditionalFormatting sqref="L5344:L5345">
    <cfRule type="duplicateValues" dxfId="1050" priority="510"/>
  </conditionalFormatting>
  <conditionalFormatting sqref="L5338:L5341">
    <cfRule type="duplicateValues" dxfId="1049" priority="509"/>
  </conditionalFormatting>
  <conditionalFormatting sqref="L5365:L5366">
    <cfRule type="duplicateValues" dxfId="1048" priority="506"/>
  </conditionalFormatting>
  <conditionalFormatting sqref="L5326 L5324 L5256 L5252:L5253 O5278 L5240:L5241 L5301 O5300:O5304 O5306:O5307 O5309:O5312 L5310 L5307 L5303 O5282:O5285 O5267 L5272 L5268 L5266 L5263 L5260 L5284 O5292 O5295:O5296 O5298 O5280 O5269">
    <cfRule type="duplicateValues" dxfId="1047" priority="500"/>
  </conditionalFormatting>
  <conditionalFormatting sqref="L5195 L5192">
    <cfRule type="duplicateValues" dxfId="1046" priority="494"/>
  </conditionalFormatting>
  <conditionalFormatting sqref="L5320">
    <cfRule type="duplicateValues" dxfId="1045" priority="492"/>
  </conditionalFormatting>
  <conditionalFormatting sqref="L5348">
    <cfRule type="duplicateValues" dxfId="1044" priority="491"/>
  </conditionalFormatting>
  <conditionalFormatting sqref="M5348">
    <cfRule type="duplicateValues" dxfId="1043" priority="490"/>
  </conditionalFormatting>
  <conditionalFormatting sqref="M5348">
    <cfRule type="duplicateValues" dxfId="1042" priority="489"/>
  </conditionalFormatting>
  <conditionalFormatting sqref="M5370">
    <cfRule type="duplicateValues" dxfId="1041" priority="484"/>
  </conditionalFormatting>
  <conditionalFormatting sqref="M5370">
    <cfRule type="duplicateValues" dxfId="1040" priority="483"/>
  </conditionalFormatting>
  <conditionalFormatting sqref="M5372">
    <cfRule type="duplicateValues" dxfId="1039" priority="482"/>
  </conditionalFormatting>
  <conditionalFormatting sqref="M5372">
    <cfRule type="duplicateValues" dxfId="1038" priority="481"/>
  </conditionalFormatting>
  <conditionalFormatting sqref="M5320">
    <cfRule type="duplicateValues" dxfId="1037" priority="480"/>
  </conditionalFormatting>
  <conditionalFormatting sqref="M5320">
    <cfRule type="duplicateValues" dxfId="1036" priority="479"/>
  </conditionalFormatting>
  <conditionalFormatting sqref="L5294">
    <cfRule type="duplicateValues" dxfId="1035" priority="478"/>
  </conditionalFormatting>
  <conditionalFormatting sqref="M5321:M5347 M5289:M5319 M5349:M5369 M5371 M5145:M5149 M5373:M5381 M5254:M5287 M5162:M5202 M5383 M5222:M5242 M5089:M5143">
    <cfRule type="duplicateValues" dxfId="1034" priority="477"/>
  </conditionalFormatting>
  <conditionalFormatting sqref="M5243:M5253">
    <cfRule type="duplicateValues" dxfId="1033" priority="473"/>
  </conditionalFormatting>
  <conditionalFormatting sqref="M5243:M5253">
    <cfRule type="duplicateValues" dxfId="1032" priority="472"/>
  </conditionalFormatting>
  <conditionalFormatting sqref="M5243:M5253">
    <cfRule type="duplicateValues" dxfId="1031" priority="471"/>
  </conditionalFormatting>
  <conditionalFormatting sqref="M5243:M5253">
    <cfRule type="duplicateValues" dxfId="1030" priority="470"/>
  </conditionalFormatting>
  <conditionalFormatting sqref="M5243:M5253">
    <cfRule type="duplicateValues" dxfId="1029" priority="469"/>
  </conditionalFormatting>
  <conditionalFormatting sqref="M5254:M5381 M5145:M5149 M5383 M5222:M5242 M5156:M5202 M5089:M5143">
    <cfRule type="duplicateValues" dxfId="1028" priority="468"/>
  </conditionalFormatting>
  <conditionalFormatting sqref="M5254:M5381 M5383 M5222:M5242 M5156:M5202 M5089:M5149">
    <cfRule type="duplicateValues" dxfId="1027" priority="467"/>
  </conditionalFormatting>
  <conditionalFormatting sqref="M5383 M5222:M5381 M5156:M5202 M5089:M5149">
    <cfRule type="duplicateValues" dxfId="1026" priority="466"/>
  </conditionalFormatting>
  <conditionalFormatting sqref="O5270:O5273">
    <cfRule type="duplicateValues" dxfId="1025" priority="465"/>
  </conditionalFormatting>
  <conditionalFormatting sqref="O5266">
    <cfRule type="duplicateValues" dxfId="1024" priority="464"/>
  </conditionalFormatting>
  <conditionalFormatting sqref="L5221:L5383 L5162:L5190 L5192:L5215 L5089:L5149">
    <cfRule type="duplicateValues" dxfId="1023" priority="463"/>
  </conditionalFormatting>
  <conditionalFormatting sqref="M5382">
    <cfRule type="duplicateValues" dxfId="1022" priority="462"/>
  </conditionalFormatting>
  <conditionalFormatting sqref="M5382">
    <cfRule type="duplicateValues" dxfId="1021" priority="461"/>
  </conditionalFormatting>
  <conditionalFormatting sqref="M5382">
    <cfRule type="duplicateValues" dxfId="1020" priority="460"/>
  </conditionalFormatting>
  <conditionalFormatting sqref="L5402">
    <cfRule type="duplicateValues" dxfId="1019" priority="458"/>
  </conditionalFormatting>
  <conditionalFormatting sqref="L5399">
    <cfRule type="duplicateValues" dxfId="1018" priority="455"/>
  </conditionalFormatting>
  <conditionalFormatting sqref="M5384:M5406">
    <cfRule type="duplicateValues" dxfId="1017" priority="453"/>
  </conditionalFormatting>
  <conditionalFormatting sqref="M5384:M5406">
    <cfRule type="duplicateValues" dxfId="1016" priority="452"/>
  </conditionalFormatting>
  <conditionalFormatting sqref="M5384:M5406">
    <cfRule type="duplicateValues" dxfId="1015" priority="451"/>
  </conditionalFormatting>
  <conditionalFormatting sqref="L5384:L5406">
    <cfRule type="duplicateValues" dxfId="1014" priority="450"/>
  </conditionalFormatting>
  <conditionalFormatting sqref="M5407:M5419">
    <cfRule type="duplicateValues" dxfId="1013" priority="447"/>
  </conditionalFormatting>
  <conditionalFormatting sqref="L4358:L4371">
    <cfRule type="duplicateValues" dxfId="1012" priority="444"/>
  </conditionalFormatting>
  <conditionalFormatting sqref="L4358:L4371">
    <cfRule type="duplicateValues" dxfId="1011" priority="443"/>
  </conditionalFormatting>
  <conditionalFormatting sqref="M4358:M4371">
    <cfRule type="duplicateValues" dxfId="1010" priority="442"/>
  </conditionalFormatting>
  <conditionalFormatting sqref="M4358:M4371">
    <cfRule type="duplicateValues" dxfId="1009" priority="441"/>
  </conditionalFormatting>
  <conditionalFormatting sqref="M4358:M4371">
    <cfRule type="duplicateValues" dxfId="1008" priority="440"/>
  </conditionalFormatting>
  <conditionalFormatting sqref="M4358:M4371">
    <cfRule type="duplicateValues" dxfId="1007" priority="439"/>
  </conditionalFormatting>
  <conditionalFormatting sqref="M4358:M4371">
    <cfRule type="duplicateValues" dxfId="1006" priority="438"/>
  </conditionalFormatting>
  <conditionalFormatting sqref="M4358:M4371">
    <cfRule type="duplicateValues" dxfId="1005" priority="437"/>
  </conditionalFormatting>
  <conditionalFormatting sqref="M4358:M4371">
    <cfRule type="duplicateValues" dxfId="1004" priority="436"/>
  </conditionalFormatting>
  <conditionalFormatting sqref="M4358:M4371">
    <cfRule type="duplicateValues" dxfId="1003" priority="435"/>
  </conditionalFormatting>
  <conditionalFormatting sqref="M4358:M4371">
    <cfRule type="duplicateValues" dxfId="1002" priority="434"/>
  </conditionalFormatting>
  <conditionalFormatting sqref="L4411:L4421">
    <cfRule type="duplicateValues" dxfId="1001" priority="433"/>
  </conditionalFormatting>
  <conditionalFormatting sqref="L4411:L4421">
    <cfRule type="duplicateValues" dxfId="1000" priority="432"/>
  </conditionalFormatting>
  <conditionalFormatting sqref="L4341:L4344">
    <cfRule type="duplicateValues" dxfId="999" priority="431"/>
  </conditionalFormatting>
  <conditionalFormatting sqref="L4341:L4344">
    <cfRule type="duplicateValues" dxfId="998" priority="430"/>
  </conditionalFormatting>
  <conditionalFormatting sqref="L4353:L4357">
    <cfRule type="duplicateValues" dxfId="997" priority="427"/>
  </conditionalFormatting>
  <conditionalFormatting sqref="L4353:L4357">
    <cfRule type="duplicateValues" dxfId="996" priority="426"/>
  </conditionalFormatting>
  <conditionalFormatting sqref="M5203:M5221">
    <cfRule type="duplicateValues" dxfId="995" priority="424"/>
  </conditionalFormatting>
  <conditionalFormatting sqref="M5203:M5221">
    <cfRule type="duplicateValues" dxfId="994" priority="423"/>
  </conditionalFormatting>
  <conditionalFormatting sqref="M5203:M5221">
    <cfRule type="duplicateValues" dxfId="993" priority="422"/>
  </conditionalFormatting>
  <conditionalFormatting sqref="M5203:M5221">
    <cfRule type="duplicateValues" dxfId="992" priority="421"/>
  </conditionalFormatting>
  <conditionalFormatting sqref="L5216:L5219">
    <cfRule type="duplicateValues" dxfId="991" priority="420"/>
  </conditionalFormatting>
  <conditionalFormatting sqref="O85">
    <cfRule type="duplicateValues" dxfId="990" priority="418"/>
  </conditionalFormatting>
  <conditionalFormatting sqref="L5220">
    <cfRule type="duplicateValues" dxfId="989" priority="417"/>
  </conditionalFormatting>
  <conditionalFormatting sqref="L5220">
    <cfRule type="duplicateValues" dxfId="988" priority="416"/>
  </conditionalFormatting>
  <conditionalFormatting sqref="M389">
    <cfRule type="duplicateValues" dxfId="987" priority="415"/>
  </conditionalFormatting>
  <conditionalFormatting sqref="L389">
    <cfRule type="duplicateValues" dxfId="986" priority="406"/>
  </conditionalFormatting>
  <conditionalFormatting sqref="L3289">
    <cfRule type="duplicateValues" dxfId="985" priority="100521"/>
  </conditionalFormatting>
  <conditionalFormatting sqref="L3311">
    <cfRule type="duplicateValues" dxfId="984" priority="404"/>
  </conditionalFormatting>
  <conditionalFormatting sqref="M3311">
    <cfRule type="duplicateValues" dxfId="983" priority="403"/>
  </conditionalFormatting>
  <conditionalFormatting sqref="L3311">
    <cfRule type="duplicateValues" dxfId="982" priority="394"/>
  </conditionalFormatting>
  <conditionalFormatting sqref="L3302:L3304">
    <cfRule type="duplicateValues" dxfId="981" priority="100555"/>
  </conditionalFormatting>
  <conditionalFormatting sqref="M74:M77">
    <cfRule type="duplicateValues" dxfId="980" priority="391"/>
  </conditionalFormatting>
  <conditionalFormatting sqref="M73">
    <cfRule type="duplicateValues" dxfId="979" priority="390"/>
  </conditionalFormatting>
  <conditionalFormatting sqref="K600">
    <cfRule type="duplicateValues" dxfId="978" priority="385"/>
  </conditionalFormatting>
  <conditionalFormatting sqref="M3658:M3659">
    <cfRule type="duplicateValues" dxfId="977" priority="380"/>
  </conditionalFormatting>
  <conditionalFormatting sqref="L3470">
    <cfRule type="duplicateValues" dxfId="976" priority="378"/>
  </conditionalFormatting>
  <conditionalFormatting sqref="M3470">
    <cfRule type="duplicateValues" dxfId="975" priority="377"/>
  </conditionalFormatting>
  <conditionalFormatting sqref="L3470">
    <cfRule type="duplicateValues" dxfId="974" priority="375"/>
  </conditionalFormatting>
  <conditionalFormatting sqref="L3546">
    <cfRule type="duplicateValues" dxfId="973" priority="373"/>
  </conditionalFormatting>
  <conditionalFormatting sqref="M3546">
    <cfRule type="duplicateValues" dxfId="972" priority="368"/>
  </conditionalFormatting>
  <conditionalFormatting sqref="L3546">
    <cfRule type="duplicateValues" dxfId="971" priority="370"/>
  </conditionalFormatting>
  <conditionalFormatting sqref="M3594">
    <cfRule type="duplicateValues" dxfId="970" priority="344"/>
  </conditionalFormatting>
  <conditionalFormatting sqref="L3594">
    <cfRule type="duplicateValues" dxfId="969" priority="356"/>
  </conditionalFormatting>
  <conditionalFormatting sqref="M3679:M3681">
    <cfRule type="duplicateValues" dxfId="968" priority="333"/>
  </conditionalFormatting>
  <conditionalFormatting sqref="L3679:L3681">
    <cfRule type="duplicateValues" dxfId="967" priority="322"/>
  </conditionalFormatting>
  <conditionalFormatting sqref="L4347 L4349">
    <cfRule type="duplicateValues" dxfId="966" priority="102330"/>
  </conditionalFormatting>
  <conditionalFormatting sqref="K867">
    <cfRule type="duplicateValues" dxfId="965" priority="307"/>
  </conditionalFormatting>
  <conditionalFormatting sqref="K867">
    <cfRule type="duplicateValues" dxfId="964" priority="306"/>
  </conditionalFormatting>
  <conditionalFormatting sqref="M4799:M4805">
    <cfRule type="duplicateValues" dxfId="963" priority="102585"/>
  </conditionalFormatting>
  <conditionalFormatting sqref="M4744:M4773 M2464:M2562 M1141:M1304 M3471:M3545 M3547:M3593 M92:M100 M1093:M1139 M141 M106:M108 M117:M138 M144:M388 M3682:M3787 M4372:M4741 M4795:M5048 M2:M66 M2195:M2281 M576:M1086 M2581:M3001 M390:M558 M3595:M3678 M3021:M3310 L3002:M3020 M2283:M2462 M3312:M3469 M1306:M2192 M3790:M4357">
    <cfRule type="duplicateValues" dxfId="962" priority="102588"/>
  </conditionalFormatting>
  <conditionalFormatting sqref="L4372:L4410 L11:L67 L92:L173 L4422:L4829 L4345:L4346 L4350:L4352 L175:L178 L586:L729 L3471:L3545 L3547:L3577 L180:L197 L2380:L2437 L740:L801 L1095:L1098 L1100:L1102 L1104:L1115 L1117:L1139 L2501:L2517 L1141:L1157 L1306:L1310 L3579:L3593 L572:L584 L803:L805 L807 L809:L883 L1824:L1934 L2677:L2683 L2178:L2192 L4192:L4340 L2685:L2691 L4072:L4084 L204:L388 L3682:L3716 L3312:L3381 L943:L958 L3174:L3276 L929:L941 L1159:L1219 L2439:L2499 L2581:L2630 L885:L887 L1030:L1077 L1539:L1822 L1320:L1325 L1441:L1459 L3595:L3678 L1327:L1350 L2693:L2752 L2754:L2759 L4096:L4190 L1936:L2014 L1461:L1537 L2659:L2668 L2672:L2675 L2016:L2176 L892:L895 L897:L903 L3278:L3310 L1352:L1391 L1221:L1255 L918:L927 L1393:L1438 L905:L916 L1257:L1304 L1079:L1093 L2761:L3001 L1312:L1318 L3718:L3787 L2519:L2579 L390:L490 L3167:L3172 L3021:L3165 L2195:L2378 L960:L1023 L3384:L3469 L2632:L2657 L492:L558 L1025:L1028 L3790:L4070">
    <cfRule type="duplicateValues" dxfId="961" priority="102607"/>
  </conditionalFormatting>
  <conditionalFormatting sqref="M4372:M5070 M1141:M1304 M3471:M3545 M3547:M3593 M92:M100 M106:M108 M117:M141 M144:M388 M3682:M3787 M2:M66 M2195:M2281 M576:M1139 M390:M558 M3595:M3678 M3021:M3310 L3002:M3020 M2283:M3001 M3312:M3469 M1306:M2192 M3790:M4357">
    <cfRule type="duplicateValues" dxfId="960" priority="102629"/>
  </conditionalFormatting>
  <conditionalFormatting sqref="L179">
    <cfRule type="duplicateValues" dxfId="959" priority="305"/>
  </conditionalFormatting>
  <conditionalFormatting sqref="L179">
    <cfRule type="duplicateValues" dxfId="958" priority="295"/>
  </conditionalFormatting>
  <conditionalFormatting sqref="L5150:M5152 L5155:L5161 M5153:M5155">
    <cfRule type="duplicateValues" dxfId="957" priority="293"/>
  </conditionalFormatting>
  <conditionalFormatting sqref="L5150:M5152">
    <cfRule type="duplicateValues" dxfId="956" priority="292"/>
  </conditionalFormatting>
  <conditionalFormatting sqref="L5150:M5152">
    <cfRule type="duplicateValues" dxfId="955" priority="291"/>
  </conditionalFormatting>
  <conditionalFormatting sqref="L5150:M5152">
    <cfRule type="duplicateValues" dxfId="954" priority="290"/>
  </conditionalFormatting>
  <conditionalFormatting sqref="M5156:M5161">
    <cfRule type="duplicateValues" dxfId="953" priority="102766"/>
  </conditionalFormatting>
  <conditionalFormatting sqref="L2133">
    <cfRule type="duplicateValues" dxfId="952" priority="289"/>
  </conditionalFormatting>
  <conditionalFormatting sqref="L559:L572">
    <cfRule type="duplicateValues" dxfId="951" priority="287"/>
  </conditionalFormatting>
  <conditionalFormatting sqref="L559:L572">
    <cfRule type="duplicateValues" dxfId="950" priority="286"/>
  </conditionalFormatting>
  <conditionalFormatting sqref="M559:M575">
    <cfRule type="duplicateValues" dxfId="949" priority="275"/>
  </conditionalFormatting>
  <conditionalFormatting sqref="L3788:L3789">
    <cfRule type="duplicateValues" dxfId="948" priority="104230"/>
  </conditionalFormatting>
  <conditionalFormatting sqref="M3788:M3789">
    <cfRule type="duplicateValues" dxfId="947" priority="104232"/>
  </conditionalFormatting>
  <conditionalFormatting sqref="L5085">
    <cfRule type="duplicateValues" dxfId="946" priority="253"/>
  </conditionalFormatting>
  <conditionalFormatting sqref="I3991">
    <cfRule type="duplicateValues" dxfId="945" priority="252"/>
  </conditionalFormatting>
  <conditionalFormatting sqref="I3992">
    <cfRule type="duplicateValues" dxfId="944" priority="251"/>
  </conditionalFormatting>
  <conditionalFormatting sqref="I4143">
    <cfRule type="duplicateValues" dxfId="943" priority="249"/>
  </conditionalFormatting>
  <conditionalFormatting sqref="I4138">
    <cfRule type="duplicateValues" dxfId="942" priority="248"/>
  </conditionalFormatting>
  <conditionalFormatting sqref="I4140">
    <cfRule type="duplicateValues" dxfId="941" priority="247"/>
  </conditionalFormatting>
  <conditionalFormatting sqref="I4137">
    <cfRule type="duplicateValues" dxfId="940" priority="246"/>
  </conditionalFormatting>
  <conditionalFormatting sqref="I4144">
    <cfRule type="duplicateValues" dxfId="939" priority="245"/>
  </conditionalFormatting>
  <conditionalFormatting sqref="I4136">
    <cfRule type="duplicateValues" dxfId="938" priority="244"/>
  </conditionalFormatting>
  <conditionalFormatting sqref="I4177">
    <cfRule type="duplicateValues" dxfId="937" priority="242"/>
  </conditionalFormatting>
  <conditionalFormatting sqref="I4180">
    <cfRule type="duplicateValues" dxfId="936" priority="241"/>
  </conditionalFormatting>
  <conditionalFormatting sqref="I4179">
    <cfRule type="duplicateValues" dxfId="935" priority="240"/>
  </conditionalFormatting>
  <conditionalFormatting sqref="I4187">
    <cfRule type="duplicateValues" dxfId="934" priority="239"/>
  </conditionalFormatting>
  <conditionalFormatting sqref="I4105">
    <cfRule type="duplicateValues" dxfId="933" priority="238"/>
  </conditionalFormatting>
  <conditionalFormatting sqref="I4107">
    <cfRule type="duplicateValues" dxfId="932" priority="237"/>
  </conditionalFormatting>
  <conditionalFormatting sqref="I4055">
    <cfRule type="duplicateValues" dxfId="931" priority="236"/>
  </conditionalFormatting>
  <conditionalFormatting sqref="L1605:L1606">
    <cfRule type="duplicateValues" dxfId="930" priority="104302"/>
  </conditionalFormatting>
  <conditionalFormatting sqref="D1085">
    <cfRule type="duplicateValues" dxfId="929" priority="234"/>
  </conditionalFormatting>
  <conditionalFormatting sqref="M1305">
    <cfRule type="duplicateValues" dxfId="928" priority="231"/>
  </conditionalFormatting>
  <conditionalFormatting sqref="L1305">
    <cfRule type="duplicateValues" dxfId="927" priority="222"/>
  </conditionalFormatting>
  <conditionalFormatting sqref="D1089">
    <cfRule type="duplicateValues" dxfId="926" priority="220"/>
  </conditionalFormatting>
  <conditionalFormatting sqref="L1984:L1995">
    <cfRule type="duplicateValues" dxfId="925" priority="105918"/>
  </conditionalFormatting>
  <conditionalFormatting sqref="M4055:M4062">
    <cfRule type="duplicateValues" dxfId="924" priority="218"/>
  </conditionalFormatting>
  <conditionalFormatting sqref="M5420">
    <cfRule type="duplicateValues" dxfId="923" priority="105919"/>
  </conditionalFormatting>
  <conditionalFormatting sqref="M5407:M5420">
    <cfRule type="duplicateValues" dxfId="922" priority="105921"/>
  </conditionalFormatting>
  <conditionalFormatting sqref="L5407:L5421">
    <cfRule type="duplicateValues" dxfId="921" priority="105922"/>
  </conditionalFormatting>
  <conditionalFormatting sqref="M5421">
    <cfRule type="duplicateValues" dxfId="920" priority="217"/>
  </conditionalFormatting>
  <conditionalFormatting sqref="M5421">
    <cfRule type="duplicateValues" dxfId="919" priority="216"/>
  </conditionalFormatting>
  <conditionalFormatting sqref="M5421">
    <cfRule type="duplicateValues" dxfId="918" priority="215"/>
  </conditionalFormatting>
  <conditionalFormatting sqref="M5421">
    <cfRule type="duplicateValues" dxfId="917" priority="214"/>
  </conditionalFormatting>
  <conditionalFormatting sqref="M5421">
    <cfRule type="duplicateValues" dxfId="916" priority="213"/>
  </conditionalFormatting>
  <conditionalFormatting sqref="M5421">
    <cfRule type="duplicateValues" dxfId="915" priority="212"/>
  </conditionalFormatting>
  <conditionalFormatting sqref="M5421">
    <cfRule type="duplicateValues" dxfId="914" priority="211"/>
  </conditionalFormatting>
  <conditionalFormatting sqref="M5421">
    <cfRule type="duplicateValues" dxfId="913" priority="210"/>
  </conditionalFormatting>
  <conditionalFormatting sqref="M5421">
    <cfRule type="duplicateValues" dxfId="912" priority="209"/>
  </conditionalFormatting>
  <conditionalFormatting sqref="M5421">
    <cfRule type="duplicateValues" dxfId="911" priority="208"/>
  </conditionalFormatting>
  <conditionalFormatting sqref="M5070:M5097">
    <cfRule type="duplicateValues" dxfId="910" priority="207"/>
  </conditionalFormatting>
  <conditionalFormatting sqref="L299">
    <cfRule type="duplicateValues" dxfId="909" priority="202"/>
  </conditionalFormatting>
  <conditionalFormatting sqref="D141">
    <cfRule type="duplicateValues" dxfId="908" priority="200"/>
  </conditionalFormatting>
  <conditionalFormatting sqref="I610">
    <cfRule type="duplicateValues" dxfId="907" priority="199"/>
  </conditionalFormatting>
  <conditionalFormatting sqref="I657">
    <cfRule type="duplicateValues" dxfId="906" priority="198"/>
  </conditionalFormatting>
  <conditionalFormatting sqref="I370">
    <cfRule type="duplicateValues" dxfId="905" priority="197"/>
  </conditionalFormatting>
  <conditionalFormatting sqref="I1150">
    <cfRule type="duplicateValues" dxfId="904" priority="196"/>
  </conditionalFormatting>
  <conditionalFormatting sqref="I617">
    <cfRule type="duplicateValues" dxfId="903" priority="195"/>
  </conditionalFormatting>
  <conditionalFormatting sqref="I617">
    <cfRule type="duplicateValues" dxfId="902" priority="194"/>
  </conditionalFormatting>
  <conditionalFormatting sqref="M101:M105">
    <cfRule type="duplicateValues" dxfId="901" priority="190"/>
  </conditionalFormatting>
  <conditionalFormatting sqref="M142:M143 M109:M116">
    <cfRule type="duplicateValues" dxfId="900" priority="189"/>
  </conditionalFormatting>
  <conditionalFormatting sqref="M683">
    <cfRule type="duplicateValues" dxfId="899" priority="188"/>
  </conditionalFormatting>
  <conditionalFormatting sqref="M774">
    <cfRule type="duplicateValues" dxfId="898" priority="186"/>
  </conditionalFormatting>
  <conditionalFormatting sqref="M715:M727">
    <cfRule type="duplicateValues" dxfId="897" priority="183"/>
  </conditionalFormatting>
  <conditionalFormatting sqref="M700:M714">
    <cfRule type="duplicateValues" dxfId="896" priority="180"/>
  </conditionalFormatting>
  <conditionalFormatting sqref="M4445 M4387 M4385">
    <cfRule type="duplicateValues" dxfId="895" priority="169"/>
  </conditionalFormatting>
  <conditionalFormatting sqref="M4445">
    <cfRule type="duplicateValues" dxfId="894" priority="168"/>
  </conditionalFormatting>
  <conditionalFormatting sqref="M4447:M4450">
    <cfRule type="duplicateValues" dxfId="893" priority="167"/>
  </conditionalFormatting>
  <conditionalFormatting sqref="M4447:M4450">
    <cfRule type="duplicateValues" dxfId="892" priority="166"/>
  </conditionalFormatting>
  <conditionalFormatting sqref="M5038:M5039">
    <cfRule type="duplicateValues" dxfId="891" priority="165"/>
  </conditionalFormatting>
  <conditionalFormatting sqref="M5038:M5039">
    <cfRule type="duplicateValues" dxfId="890" priority="164"/>
  </conditionalFormatting>
  <conditionalFormatting sqref="M5038:M5039">
    <cfRule type="duplicateValues" dxfId="889" priority="163"/>
  </conditionalFormatting>
  <conditionalFormatting sqref="M5038:M5039">
    <cfRule type="duplicateValues" dxfId="888" priority="162"/>
  </conditionalFormatting>
  <conditionalFormatting sqref="M5038:M5039">
    <cfRule type="duplicateValues" dxfId="887" priority="161"/>
  </conditionalFormatting>
  <conditionalFormatting sqref="M5038:M5039">
    <cfRule type="duplicateValues" dxfId="886" priority="160"/>
  </conditionalFormatting>
  <conditionalFormatting sqref="M5038:M5039">
    <cfRule type="duplicateValues" dxfId="885" priority="159"/>
  </conditionalFormatting>
  <conditionalFormatting sqref="M5038:M5039">
    <cfRule type="duplicateValues" dxfId="884" priority="158"/>
  </conditionalFormatting>
  <conditionalFormatting sqref="M889">
    <cfRule type="duplicateValues" dxfId="883" priority="151"/>
  </conditionalFormatting>
  <conditionalFormatting sqref="L2193">
    <cfRule type="duplicateValues" dxfId="882" priority="145"/>
  </conditionalFormatting>
  <conditionalFormatting sqref="L2194">
    <cfRule type="duplicateValues" dxfId="881" priority="144"/>
  </conditionalFormatting>
  <conditionalFormatting sqref="M2193:M2194">
    <cfRule type="duplicateValues" dxfId="880" priority="143"/>
  </conditionalFormatting>
  <conditionalFormatting sqref="L2193:L2194">
    <cfRule type="duplicateValues" dxfId="879" priority="134"/>
  </conditionalFormatting>
  <conditionalFormatting sqref="I549">
    <cfRule type="duplicateValues" dxfId="878" priority="129"/>
  </conditionalFormatting>
  <conditionalFormatting sqref="I1074">
    <cfRule type="duplicateValues" dxfId="877" priority="128"/>
  </conditionalFormatting>
  <conditionalFormatting sqref="I595">
    <cfRule type="duplicateValues" dxfId="876" priority="127"/>
  </conditionalFormatting>
  <conditionalFormatting sqref="I536">
    <cfRule type="duplicateValues" dxfId="875" priority="126"/>
  </conditionalFormatting>
  <conditionalFormatting sqref="L20:L22">
    <cfRule type="duplicateValues" dxfId="874" priority="109606"/>
  </conditionalFormatting>
  <conditionalFormatting sqref="L544">
    <cfRule type="duplicateValues" dxfId="873" priority="103"/>
  </conditionalFormatting>
  <conditionalFormatting sqref="L4143:L4174">
    <cfRule type="duplicateValues" dxfId="872" priority="102"/>
  </conditionalFormatting>
  <conditionalFormatting sqref="L5144">
    <cfRule type="duplicateValues" dxfId="871" priority="111087"/>
  </conditionalFormatting>
  <conditionalFormatting sqref="M5144">
    <cfRule type="duplicateValues" dxfId="870" priority="111153"/>
  </conditionalFormatting>
  <conditionalFormatting sqref="L1980 L1996:L2014 L2016:L2030">
    <cfRule type="duplicateValues" dxfId="869" priority="111202"/>
  </conditionalFormatting>
  <conditionalFormatting sqref="L899:L903">
    <cfRule type="duplicateValues" dxfId="868" priority="100"/>
  </conditionalFormatting>
  <conditionalFormatting sqref="Q616">
    <cfRule type="duplicateValues" dxfId="867" priority="99"/>
  </conditionalFormatting>
  <conditionalFormatting sqref="Q130">
    <cfRule type="duplicateValues" dxfId="866" priority="94"/>
  </conditionalFormatting>
  <conditionalFormatting sqref="Q614 Q609 Q607 Q555:Q556 Q550 Q538">
    <cfRule type="duplicateValues" dxfId="865" priority="93"/>
  </conditionalFormatting>
  <conditionalFormatting sqref="L4002:M4054">
    <cfRule type="duplicateValues" dxfId="864" priority="115570"/>
  </conditionalFormatting>
  <conditionalFormatting sqref="M4011:M4025">
    <cfRule type="duplicateValues" dxfId="863" priority="115945"/>
  </conditionalFormatting>
  <conditionalFormatting sqref="I581">
    <cfRule type="duplicateValues" dxfId="862" priority="91"/>
  </conditionalFormatting>
  <conditionalFormatting sqref="I581">
    <cfRule type="duplicateValues" dxfId="861" priority="89"/>
  </conditionalFormatting>
  <conditionalFormatting sqref="I643">
    <cfRule type="duplicateValues" dxfId="860" priority="88"/>
  </conditionalFormatting>
  <conditionalFormatting sqref="I643">
    <cfRule type="duplicateValues" dxfId="859" priority="86"/>
  </conditionalFormatting>
  <conditionalFormatting sqref="I340">
    <cfRule type="duplicateValues" dxfId="858" priority="85"/>
  </conditionalFormatting>
  <conditionalFormatting sqref="I340">
    <cfRule type="duplicateValues" dxfId="857" priority="83"/>
  </conditionalFormatting>
  <conditionalFormatting sqref="I1664">
    <cfRule type="duplicateValues" dxfId="856" priority="80"/>
  </conditionalFormatting>
  <conditionalFormatting sqref="I1664">
    <cfRule type="duplicateValues" dxfId="855" priority="78"/>
  </conditionalFormatting>
  <conditionalFormatting sqref="I491">
    <cfRule type="duplicateValues" dxfId="854" priority="77"/>
  </conditionalFormatting>
  <conditionalFormatting sqref="I521">
    <cfRule type="duplicateValues" dxfId="853" priority="76"/>
  </conditionalFormatting>
  <conditionalFormatting sqref="L3406:L3408">
    <cfRule type="duplicateValues" dxfId="852" priority="75"/>
  </conditionalFormatting>
  <conditionalFormatting sqref="I3634">
    <cfRule type="duplicateValues" dxfId="851" priority="74"/>
  </conditionalFormatting>
  <conditionalFormatting sqref="I3640">
    <cfRule type="duplicateValues" dxfId="850" priority="73"/>
  </conditionalFormatting>
  <conditionalFormatting sqref="L2655">
    <cfRule type="duplicateValues" dxfId="849" priority="72"/>
  </conditionalFormatting>
  <conditionalFormatting sqref="L491">
    <cfRule type="duplicateValues" dxfId="848" priority="71"/>
  </conditionalFormatting>
  <conditionalFormatting sqref="M5424:M5425">
    <cfRule type="duplicateValues" dxfId="847" priority="70"/>
  </conditionalFormatting>
  <conditionalFormatting sqref="M5424:M5425">
    <cfRule type="duplicateValues" dxfId="846" priority="69"/>
  </conditionalFormatting>
  <conditionalFormatting sqref="N3428:N3736 N2:N3425 N3738:N1048576">
    <cfRule type="cellIs" dxfId="845" priority="66" operator="equal">
      <formula>"عبدالحمید اکبری"</formula>
    </cfRule>
  </conditionalFormatting>
  <conditionalFormatting sqref="N3428:N3736 N3738:N1048576 N2:N3425">
    <cfRule type="cellIs" dxfId="844" priority="60" operator="equal">
      <formula>"محمود شاقاسی رودی"</formula>
    </cfRule>
    <cfRule type="cellIs" dxfId="843" priority="65" operator="equal">
      <formula>"پیگیری"</formula>
    </cfRule>
  </conditionalFormatting>
  <conditionalFormatting sqref="D639:D644">
    <cfRule type="cellIs" dxfId="842" priority="62" operator="equal">
      <formula>"عبدالحمید اکبری"</formula>
    </cfRule>
  </conditionalFormatting>
  <conditionalFormatting sqref="D639:D644">
    <cfRule type="cellIs" dxfId="841" priority="61" operator="equal">
      <formula>"پیگیری"</formula>
    </cfRule>
  </conditionalFormatting>
  <conditionalFormatting sqref="O2702">
    <cfRule type="duplicateValues" dxfId="840" priority="59"/>
  </conditionalFormatting>
  <conditionalFormatting sqref="O2702">
    <cfRule type="duplicateValues" dxfId="839" priority="58"/>
  </conditionalFormatting>
  <conditionalFormatting sqref="L5423:L5816">
    <cfRule type="duplicateValues" dxfId="838" priority="116054"/>
  </conditionalFormatting>
  <conditionalFormatting sqref="M5423:M5816">
    <cfRule type="duplicateValues" dxfId="837" priority="116056"/>
  </conditionalFormatting>
  <conditionalFormatting sqref="L5423:L5816">
    <cfRule type="duplicateValues" dxfId="836" priority="116058"/>
  </conditionalFormatting>
  <conditionalFormatting sqref="M5339:M5816">
    <cfRule type="duplicateValues" dxfId="835" priority="116060"/>
  </conditionalFormatting>
  <conditionalFormatting sqref="D1086">
    <cfRule type="duplicateValues" dxfId="834" priority="57"/>
  </conditionalFormatting>
  <conditionalFormatting sqref="L3002:M3020 M2195:M2281 M2283:M3001 M2:M2192 M3021:M5816">
    <cfRule type="duplicateValues" dxfId="833" priority="116651"/>
  </conditionalFormatting>
  <conditionalFormatting sqref="L3002:M3020 M2195:M3001 M2:M2192 M3021:M5816">
    <cfRule type="duplicateValues" dxfId="832" priority="116657"/>
  </conditionalFormatting>
  <conditionalFormatting sqref="L1095:L1097">
    <cfRule type="duplicateValues" dxfId="831" priority="116688"/>
  </conditionalFormatting>
  <conditionalFormatting sqref="L2850:L2898 L2656 L2642 L2603:L2604 L2625:L2630 L2612 L2608:L2609 L2588:L2597 L1284:L1288 L2681:L2683 L2687:L2691 L2599 L2659:L2663 L2527:L2561 L2716:L2718 L2581:L2586 L2726:L2752 L2632:L2633 L2754:L2759 L2693:L2707 L2809:L2840 L2761:L2787">
    <cfRule type="duplicateValues" dxfId="830" priority="116908"/>
  </conditionalFormatting>
  <conditionalFormatting sqref="N2:N1048576">
    <cfRule type="cellIs" dxfId="829" priority="55" operator="equal">
      <formula>"ژاله نادری"</formula>
    </cfRule>
    <cfRule type="cellIs" dxfId="828" priority="56" operator="equal">
      <formula>"ارسال به تهران جهت تعمیر"</formula>
    </cfRule>
  </conditionalFormatting>
  <conditionalFormatting sqref="H3996">
    <cfRule type="cellIs" dxfId="827" priority="54" operator="equal">
      <formula>"عبدالحمید اکبری"</formula>
    </cfRule>
  </conditionalFormatting>
  <conditionalFormatting sqref="H3996">
    <cfRule type="cellIs" dxfId="826" priority="52" operator="equal">
      <formula>"محمود شاقاسی رودی"</formula>
    </cfRule>
    <cfRule type="cellIs" dxfId="825" priority="53" operator="equal">
      <formula>"پیگیری"</formula>
    </cfRule>
  </conditionalFormatting>
  <conditionalFormatting sqref="H3996">
    <cfRule type="cellIs" dxfId="824" priority="50" operator="equal">
      <formula>"ژاله نادری"</formula>
    </cfRule>
    <cfRule type="cellIs" dxfId="823" priority="51" operator="equal">
      <formula>"ارسال به تهران جهت تعمیر"</formula>
    </cfRule>
  </conditionalFormatting>
  <conditionalFormatting sqref="H3989">
    <cfRule type="cellIs" dxfId="822" priority="49" operator="equal">
      <formula>"عبدالحمید اکبری"</formula>
    </cfRule>
  </conditionalFormatting>
  <conditionalFormatting sqref="H3989">
    <cfRule type="cellIs" dxfId="821" priority="47" operator="equal">
      <formula>"محمود شاقاسی رودی"</formula>
    </cfRule>
    <cfRule type="cellIs" dxfId="820" priority="48" operator="equal">
      <formula>"پیگیری"</formula>
    </cfRule>
  </conditionalFormatting>
  <conditionalFormatting sqref="H3989">
    <cfRule type="cellIs" dxfId="819" priority="45" operator="equal">
      <formula>"ژاله نادری"</formula>
    </cfRule>
    <cfRule type="cellIs" dxfId="818" priority="46" operator="equal">
      <formula>"ارسال به تهران جهت تعمیر"</formula>
    </cfRule>
  </conditionalFormatting>
  <conditionalFormatting sqref="H3987">
    <cfRule type="cellIs" dxfId="817" priority="44" operator="equal">
      <formula>"عبدالحمید اکبری"</formula>
    </cfRule>
  </conditionalFormatting>
  <conditionalFormatting sqref="H3987">
    <cfRule type="cellIs" dxfId="816" priority="42" operator="equal">
      <formula>"محمود شاقاسی رودی"</formula>
    </cfRule>
    <cfRule type="cellIs" dxfId="815" priority="43" operator="equal">
      <formula>"پیگیری"</formula>
    </cfRule>
  </conditionalFormatting>
  <conditionalFormatting sqref="H3987">
    <cfRule type="cellIs" dxfId="814" priority="40" operator="equal">
      <formula>"ژاله نادری"</formula>
    </cfRule>
    <cfRule type="cellIs" dxfId="813" priority="41" operator="equal">
      <formula>"ارسال به تهران جهت تعمیر"</formula>
    </cfRule>
  </conditionalFormatting>
  <conditionalFormatting sqref="H3986">
    <cfRule type="cellIs" dxfId="812" priority="39" operator="equal">
      <formula>"عبدالحمید اکبری"</formula>
    </cfRule>
  </conditionalFormatting>
  <conditionalFormatting sqref="H3986">
    <cfRule type="cellIs" dxfId="811" priority="37" operator="equal">
      <formula>"محمود شاقاسی رودی"</formula>
    </cfRule>
    <cfRule type="cellIs" dxfId="810" priority="38" operator="equal">
      <formula>"پیگیری"</formula>
    </cfRule>
  </conditionalFormatting>
  <conditionalFormatting sqref="H3986">
    <cfRule type="cellIs" dxfId="809" priority="35" operator="equal">
      <formula>"ژاله نادری"</formula>
    </cfRule>
    <cfRule type="cellIs" dxfId="808" priority="36" operator="equal">
      <formula>"ارسال به تهران جهت تعمیر"</formula>
    </cfRule>
  </conditionalFormatting>
  <conditionalFormatting sqref="H3982">
    <cfRule type="cellIs" dxfId="807" priority="34" operator="equal">
      <formula>"عبدالحمید اکبری"</formula>
    </cfRule>
  </conditionalFormatting>
  <conditionalFormatting sqref="H3982">
    <cfRule type="cellIs" dxfId="806" priority="32" operator="equal">
      <formula>"محمود شاقاسی رودی"</formula>
    </cfRule>
    <cfRule type="cellIs" dxfId="805" priority="33" operator="equal">
      <formula>"پیگیری"</formula>
    </cfRule>
  </conditionalFormatting>
  <conditionalFormatting sqref="H3982">
    <cfRule type="cellIs" dxfId="804" priority="30" operator="equal">
      <formula>"ژاله نادری"</formula>
    </cfRule>
    <cfRule type="cellIs" dxfId="803" priority="31" operator="equal">
      <formula>"ارسال به تهران جهت تعمیر"</formula>
    </cfRule>
  </conditionalFormatting>
  <conditionalFormatting sqref="H3955">
    <cfRule type="cellIs" dxfId="802" priority="29" operator="equal">
      <formula>"عبدالحمید اکبری"</formula>
    </cfRule>
  </conditionalFormatting>
  <conditionalFormatting sqref="H3955">
    <cfRule type="cellIs" dxfId="801" priority="27" operator="equal">
      <formula>"محمود شاقاسی رودی"</formula>
    </cfRule>
    <cfRule type="cellIs" dxfId="800" priority="28" operator="equal">
      <formula>"پیگیری"</formula>
    </cfRule>
  </conditionalFormatting>
  <conditionalFormatting sqref="H3955">
    <cfRule type="cellIs" dxfId="799" priority="25" operator="equal">
      <formula>"ژاله نادری"</formula>
    </cfRule>
    <cfRule type="cellIs" dxfId="798" priority="26" operator="equal">
      <formula>"ارسال به تهران جهت تعمیر"</formula>
    </cfRule>
  </conditionalFormatting>
  <conditionalFormatting sqref="H3999">
    <cfRule type="cellIs" dxfId="797" priority="24" operator="equal">
      <formula>"عبدالحمید اکبری"</formula>
    </cfRule>
  </conditionalFormatting>
  <conditionalFormatting sqref="H3999">
    <cfRule type="cellIs" dxfId="796" priority="22" operator="equal">
      <formula>"محمود شاقاسی رودی"</formula>
    </cfRule>
    <cfRule type="cellIs" dxfId="795" priority="23" operator="equal">
      <formula>"پیگیری"</formula>
    </cfRule>
  </conditionalFormatting>
  <conditionalFormatting sqref="H3999">
    <cfRule type="cellIs" dxfId="794" priority="20" operator="equal">
      <formula>"ژاله نادری"</formula>
    </cfRule>
    <cfRule type="cellIs" dxfId="793" priority="21" operator="equal">
      <formula>"ارسال به تهران جهت تعمیر"</formula>
    </cfRule>
  </conditionalFormatting>
  <conditionalFormatting sqref="H4000">
    <cfRule type="cellIs" dxfId="792" priority="19" operator="equal">
      <formula>"عبدالحمید اکبری"</formula>
    </cfRule>
  </conditionalFormatting>
  <conditionalFormatting sqref="H4000">
    <cfRule type="cellIs" dxfId="791" priority="17" operator="equal">
      <formula>"محمود شاقاسی رودی"</formula>
    </cfRule>
    <cfRule type="cellIs" dxfId="790" priority="18" operator="equal">
      <formula>"پیگیری"</formula>
    </cfRule>
  </conditionalFormatting>
  <conditionalFormatting sqref="H4000">
    <cfRule type="cellIs" dxfId="789" priority="15" operator="equal">
      <formula>"ژاله نادری"</formula>
    </cfRule>
    <cfRule type="cellIs" dxfId="788" priority="16" operator="equal">
      <formula>"ارسال به تهران جهت تعمیر"</formula>
    </cfRule>
  </conditionalFormatting>
  <conditionalFormatting sqref="H4001">
    <cfRule type="cellIs" dxfId="787" priority="14" operator="equal">
      <formula>"عبدالحمید اکبری"</formula>
    </cfRule>
  </conditionalFormatting>
  <conditionalFormatting sqref="H4001">
    <cfRule type="cellIs" dxfId="786" priority="12" operator="equal">
      <formula>"محمود شاقاسی رودی"</formula>
    </cfRule>
    <cfRule type="cellIs" dxfId="785" priority="13" operator="equal">
      <formula>"پیگیری"</formula>
    </cfRule>
  </conditionalFormatting>
  <conditionalFormatting sqref="H4001">
    <cfRule type="cellIs" dxfId="784" priority="10" operator="equal">
      <formula>"ژاله نادری"</formula>
    </cfRule>
    <cfRule type="cellIs" dxfId="783" priority="11" operator="equal">
      <formula>"ارسال به تهران جهت تعمیر"</formula>
    </cfRule>
  </conditionalFormatting>
  <conditionalFormatting sqref="H4267">
    <cfRule type="cellIs" dxfId="782" priority="9" operator="equal">
      <formula>"عبدالحمید اکبری"</formula>
    </cfRule>
  </conditionalFormatting>
  <conditionalFormatting sqref="H4267">
    <cfRule type="cellIs" dxfId="781" priority="7" operator="equal">
      <formula>"محمود شاقاسی رودی"</formula>
    </cfRule>
    <cfRule type="cellIs" dxfId="780" priority="8" operator="equal">
      <formula>"پیگیری"</formula>
    </cfRule>
  </conditionalFormatting>
  <conditionalFormatting sqref="H4267">
    <cfRule type="cellIs" dxfId="779" priority="5" operator="equal">
      <formula>"ژاله نادری"</formula>
    </cfRule>
    <cfRule type="cellIs" dxfId="778" priority="6" operator="equal">
      <formula>"ارسال به تهران جهت تعمیر"</formula>
    </cfRule>
  </conditionalFormatting>
  <conditionalFormatting sqref="K824">
    <cfRule type="duplicateValues" dxfId="777" priority="116917"/>
  </conditionalFormatting>
  <conditionalFormatting sqref="L909">
    <cfRule type="duplicateValues" dxfId="776" priority="116919"/>
  </conditionalFormatting>
  <conditionalFormatting sqref="L1837">
    <cfRule type="duplicateValues" dxfId="775" priority="116920"/>
  </conditionalFormatting>
  <conditionalFormatting sqref="L926">
    <cfRule type="duplicateValues" dxfId="774" priority="116921"/>
  </conditionalFormatting>
  <conditionalFormatting sqref="L894">
    <cfRule type="duplicateValues" dxfId="773" priority="116922"/>
  </conditionalFormatting>
  <conditionalFormatting sqref="L1410">
    <cfRule type="duplicateValues" dxfId="772" priority="116923"/>
  </conditionalFormatting>
  <conditionalFormatting sqref="L1443">
    <cfRule type="duplicateValues" dxfId="771" priority="116924"/>
  </conditionalFormatting>
  <conditionalFormatting sqref="O1470:O1472">
    <cfRule type="duplicateValues" dxfId="770" priority="116935"/>
  </conditionalFormatting>
  <conditionalFormatting sqref="L1475">
    <cfRule type="duplicateValues" dxfId="769" priority="116936"/>
  </conditionalFormatting>
  <conditionalFormatting sqref="L1522">
    <cfRule type="duplicateValues" dxfId="768" priority="116939"/>
  </conditionalFormatting>
  <conditionalFormatting sqref="L1485">
    <cfRule type="duplicateValues" dxfId="767" priority="116940"/>
  </conditionalFormatting>
  <conditionalFormatting sqref="L1532 L1528">
    <cfRule type="duplicateValues" dxfId="766" priority="116942"/>
  </conditionalFormatting>
  <conditionalFormatting sqref="L1571">
    <cfRule type="duplicateValues" dxfId="765" priority="116944"/>
  </conditionalFormatting>
  <conditionalFormatting sqref="L1610">
    <cfRule type="duplicateValues" dxfId="764" priority="116947"/>
  </conditionalFormatting>
  <conditionalFormatting sqref="L1758">
    <cfRule type="duplicateValues" dxfId="763" priority="116950"/>
  </conditionalFormatting>
  <conditionalFormatting sqref="L1752">
    <cfRule type="duplicateValues" dxfId="762" priority="116952"/>
  </conditionalFormatting>
  <conditionalFormatting sqref="L1761">
    <cfRule type="duplicateValues" dxfId="761" priority="116953"/>
  </conditionalFormatting>
  <conditionalFormatting sqref="L1782">
    <cfRule type="duplicateValues" dxfId="760" priority="116954"/>
  </conditionalFormatting>
  <conditionalFormatting sqref="L1776">
    <cfRule type="duplicateValues" dxfId="759" priority="116955"/>
  </conditionalFormatting>
  <conditionalFormatting sqref="L1799">
    <cfRule type="duplicateValues" dxfId="758" priority="116956"/>
  </conditionalFormatting>
  <conditionalFormatting sqref="L1796">
    <cfRule type="duplicateValues" dxfId="757" priority="116957"/>
  </conditionalFormatting>
  <conditionalFormatting sqref="O1945 O1847 L1847 L1945">
    <cfRule type="duplicateValues" dxfId="756" priority="116958"/>
  </conditionalFormatting>
  <conditionalFormatting sqref="L1870 L1867 L1859 L1850">
    <cfRule type="duplicateValues" dxfId="755" priority="116966"/>
  </conditionalFormatting>
  <conditionalFormatting sqref="L1942">
    <cfRule type="duplicateValues" dxfId="754" priority="116970"/>
  </conditionalFormatting>
  <conditionalFormatting sqref="L1971 L1966 L1973">
    <cfRule type="duplicateValues" dxfId="753" priority="116971"/>
  </conditionalFormatting>
  <conditionalFormatting sqref="L1915:L1925 I1933 L1928:L1933">
    <cfRule type="duplicateValues" dxfId="752" priority="116974"/>
  </conditionalFormatting>
  <conditionalFormatting sqref="L1572">
    <cfRule type="duplicateValues" dxfId="751" priority="117001"/>
  </conditionalFormatting>
  <conditionalFormatting sqref="L1572">
    <cfRule type="duplicateValues" dxfId="750" priority="117002"/>
  </conditionalFormatting>
  <conditionalFormatting sqref="L1582">
    <cfRule type="duplicateValues" dxfId="749" priority="117036"/>
  </conditionalFormatting>
  <conditionalFormatting sqref="L1936">
    <cfRule type="duplicateValues" dxfId="748" priority="117038"/>
  </conditionalFormatting>
  <conditionalFormatting sqref="L1613">
    <cfRule type="duplicateValues" dxfId="747" priority="117039"/>
  </conditionalFormatting>
  <conditionalFormatting sqref="L1893">
    <cfRule type="duplicateValues" dxfId="746" priority="117042"/>
  </conditionalFormatting>
  <conditionalFormatting sqref="L1895">
    <cfRule type="duplicateValues" dxfId="745" priority="117043"/>
  </conditionalFormatting>
  <conditionalFormatting sqref="L1896">
    <cfRule type="duplicateValues" dxfId="744" priority="117044"/>
  </conditionalFormatting>
  <conditionalFormatting sqref="O5275:O5276 L5276">
    <cfRule type="duplicateValues" dxfId="743" priority="117061"/>
  </conditionalFormatting>
  <conditionalFormatting sqref="O5314:O5316 L5315">
    <cfRule type="duplicateValues" dxfId="742" priority="117063"/>
  </conditionalFormatting>
  <conditionalFormatting sqref="L5283">
    <cfRule type="duplicateValues" dxfId="741" priority="117065"/>
  </conditionalFormatting>
  <conditionalFormatting sqref="L5380">
    <cfRule type="duplicateValues" dxfId="740" priority="117066"/>
  </conditionalFormatting>
  <conditionalFormatting sqref="N1">
    <cfRule type="cellIs" dxfId="739" priority="1" operator="equal">
      <formula>"محمود شاقاسی رودی"</formula>
    </cfRule>
    <cfRule type="cellIs" dxfId="738" priority="2" operator="equal">
      <formula>"پیگیری"</formula>
    </cfRule>
  </conditionalFormatting>
  <hyperlinks>
    <hyperlink ref="L5444" r:id="rId2" xr:uid="{00000000-0004-0000-0000-000000000000}"/>
    <hyperlink ref="L5436" r:id="rId3" xr:uid="{00000000-0004-0000-0000-000001000000}"/>
  </hyperlinks>
  <pageMargins left="0.25" right="0.25" top="0.43" bottom="0.24" header="0.32" footer="0.18"/>
  <pageSetup paperSize="9" scale="30" fitToHeight="0" orientation="landscape" horizontalDpi="4294967295" verticalDpi="4294967295" r:id="rId4"/>
  <rowBreaks count="1" manualBreakCount="1">
    <brk id="5484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_ListPerson">
    <pageSetUpPr fitToPage="1"/>
  </sheetPr>
  <dimension ref="A1:G849"/>
  <sheetViews>
    <sheetView rightToLeft="1" view="pageBreakPreview" zoomScaleNormal="89" zoomScaleSheetLayoutView="100" workbookViewId="0">
      <pane ySplit="1" topLeftCell="A220" activePane="bottomLeft" state="frozen"/>
      <selection pane="bottomLeft" activeCell="B230" sqref="B230"/>
    </sheetView>
  </sheetViews>
  <sheetFormatPr defaultRowHeight="14.4"/>
  <cols>
    <col min="1" max="1" width="4.88671875" bestFit="1" customWidth="1"/>
    <col min="2" max="2" width="27" bestFit="1" customWidth="1"/>
    <col min="3" max="3" width="14.33203125" bestFit="1" customWidth="1"/>
    <col min="4" max="4" width="24.88671875" style="107" bestFit="1" customWidth="1"/>
    <col min="5" max="5" width="33.5546875" style="107" bestFit="1" customWidth="1"/>
    <col min="6" max="6" width="14.6640625" style="219" bestFit="1" customWidth="1"/>
    <col min="7" max="7" width="55.44140625" style="107" customWidth="1"/>
  </cols>
  <sheetData>
    <row r="1" spans="1:7" ht="31.5" customHeight="1">
      <c r="A1" s="60" t="s">
        <v>0</v>
      </c>
      <c r="B1" s="60" t="s">
        <v>3561</v>
      </c>
      <c r="C1" s="60" t="s">
        <v>1874</v>
      </c>
      <c r="D1" s="60" t="s">
        <v>3375</v>
      </c>
      <c r="E1" s="60" t="s">
        <v>3562</v>
      </c>
      <c r="F1" s="216" t="s">
        <v>3563</v>
      </c>
      <c r="G1" s="60" t="s">
        <v>404</v>
      </c>
    </row>
    <row r="2" spans="1:7" ht="24.9" customHeight="1">
      <c r="A2" s="105">
        <v>1</v>
      </c>
      <c r="B2" s="105" t="s">
        <v>3380</v>
      </c>
      <c r="C2" s="103">
        <v>1946</v>
      </c>
      <c r="D2" s="105" t="s">
        <v>3564</v>
      </c>
      <c r="E2" s="105" t="s">
        <v>771</v>
      </c>
      <c r="F2" s="217"/>
      <c r="G2" s="105" t="s">
        <v>3381</v>
      </c>
    </row>
    <row r="3" spans="1:7" ht="24.9" customHeight="1">
      <c r="A3" s="106">
        <v>2</v>
      </c>
      <c r="B3" s="106" t="s">
        <v>8</v>
      </c>
      <c r="C3" s="104">
        <v>1309</v>
      </c>
      <c r="D3" s="106" t="s">
        <v>3564</v>
      </c>
      <c r="E3" s="106" t="s">
        <v>3361</v>
      </c>
      <c r="F3" s="218"/>
      <c r="G3" s="106" t="s">
        <v>3381</v>
      </c>
    </row>
    <row r="4" spans="1:7" ht="24.9" customHeight="1">
      <c r="A4" s="105">
        <v>3</v>
      </c>
      <c r="B4" s="105" t="s">
        <v>78</v>
      </c>
      <c r="C4" s="103">
        <v>2224</v>
      </c>
      <c r="D4" s="105" t="s">
        <v>3564</v>
      </c>
      <c r="E4" s="105" t="s">
        <v>3565</v>
      </c>
      <c r="F4" s="217"/>
      <c r="G4" s="105" t="s">
        <v>3381</v>
      </c>
    </row>
    <row r="5" spans="1:7" ht="24.9" customHeight="1">
      <c r="A5" s="106">
        <v>4</v>
      </c>
      <c r="B5" s="106" t="s">
        <v>3384</v>
      </c>
      <c r="C5" s="104">
        <v>4001002</v>
      </c>
      <c r="D5" s="106" t="s">
        <v>3564</v>
      </c>
      <c r="E5" s="106" t="s">
        <v>3357</v>
      </c>
      <c r="F5" s="218"/>
      <c r="G5" s="106" t="s">
        <v>3381</v>
      </c>
    </row>
    <row r="6" spans="1:7" ht="24.9" customHeight="1">
      <c r="A6" s="105">
        <v>5</v>
      </c>
      <c r="B6" s="105" t="s">
        <v>3385</v>
      </c>
      <c r="C6" s="103" t="s">
        <v>3649</v>
      </c>
      <c r="D6" s="105" t="s">
        <v>3566</v>
      </c>
      <c r="E6" s="105" t="s">
        <v>3566</v>
      </c>
      <c r="F6" s="217"/>
      <c r="G6" s="105" t="s">
        <v>3381</v>
      </c>
    </row>
    <row r="7" spans="1:7" ht="24.9" customHeight="1">
      <c r="A7" s="106">
        <v>6</v>
      </c>
      <c r="B7" s="106" t="s">
        <v>886</v>
      </c>
      <c r="C7" s="104" t="s">
        <v>3649</v>
      </c>
      <c r="D7" s="106"/>
      <c r="E7" s="106"/>
      <c r="F7" s="218"/>
      <c r="G7" s="106" t="s">
        <v>3381</v>
      </c>
    </row>
    <row r="8" spans="1:7" ht="24.9" customHeight="1">
      <c r="A8" s="105">
        <v>7</v>
      </c>
      <c r="B8" s="105" t="s">
        <v>2831</v>
      </c>
      <c r="C8" s="103">
        <v>20519</v>
      </c>
      <c r="D8" s="105" t="s">
        <v>8253</v>
      </c>
      <c r="E8" s="105" t="s">
        <v>3567</v>
      </c>
      <c r="F8" s="217">
        <v>3060349347</v>
      </c>
      <c r="G8" s="105" t="s">
        <v>3381</v>
      </c>
    </row>
    <row r="9" spans="1:7" ht="24.9" customHeight="1">
      <c r="A9" s="106">
        <v>8</v>
      </c>
      <c r="B9" s="106" t="s">
        <v>321</v>
      </c>
      <c r="C9" s="104">
        <v>1535</v>
      </c>
      <c r="D9" s="106" t="s">
        <v>3564</v>
      </c>
      <c r="E9" s="106" t="s">
        <v>770</v>
      </c>
      <c r="F9" s="218"/>
      <c r="G9" s="106" t="s">
        <v>3381</v>
      </c>
    </row>
    <row r="10" spans="1:7" ht="24.9" customHeight="1">
      <c r="A10" s="105">
        <v>9</v>
      </c>
      <c r="B10" s="105" t="s">
        <v>10</v>
      </c>
      <c r="C10" s="103">
        <v>683</v>
      </c>
      <c r="D10" s="105" t="s">
        <v>3564</v>
      </c>
      <c r="E10" s="105" t="s">
        <v>3365</v>
      </c>
      <c r="F10" s="217"/>
      <c r="G10" s="105" t="s">
        <v>3381</v>
      </c>
    </row>
    <row r="11" spans="1:7" ht="24.9" customHeight="1">
      <c r="A11" s="106">
        <v>10</v>
      </c>
      <c r="B11" s="106" t="s">
        <v>3386</v>
      </c>
      <c r="C11" s="104" t="s">
        <v>3150</v>
      </c>
      <c r="D11" s="106" t="s">
        <v>8253</v>
      </c>
      <c r="E11" s="106" t="s">
        <v>3568</v>
      </c>
      <c r="F11" s="218"/>
      <c r="G11" s="106" t="s">
        <v>3381</v>
      </c>
    </row>
    <row r="12" spans="1:7" ht="24.9" customHeight="1">
      <c r="A12" s="105">
        <v>11</v>
      </c>
      <c r="B12" s="105" t="s">
        <v>1875</v>
      </c>
      <c r="C12" s="103">
        <v>5031</v>
      </c>
      <c r="D12" s="105" t="s">
        <v>3564</v>
      </c>
      <c r="E12" s="105" t="s">
        <v>3359</v>
      </c>
      <c r="F12" s="217"/>
      <c r="G12" s="105" t="s">
        <v>3381</v>
      </c>
    </row>
    <row r="13" spans="1:7" ht="24.9" customHeight="1">
      <c r="A13" s="106">
        <v>12</v>
      </c>
      <c r="B13" s="106" t="s">
        <v>5163</v>
      </c>
      <c r="C13" s="104" t="s">
        <v>5164</v>
      </c>
      <c r="D13" s="106" t="s">
        <v>3564</v>
      </c>
      <c r="E13" s="106" t="s">
        <v>3567</v>
      </c>
      <c r="F13" s="218">
        <v>3341380140</v>
      </c>
      <c r="G13" s="106" t="s">
        <v>3381</v>
      </c>
    </row>
    <row r="14" spans="1:7" ht="24.9" customHeight="1">
      <c r="A14" s="105">
        <v>13</v>
      </c>
      <c r="B14" s="105" t="s">
        <v>5166</v>
      </c>
      <c r="C14" s="103" t="s">
        <v>5167</v>
      </c>
      <c r="D14" s="105" t="s">
        <v>3572</v>
      </c>
      <c r="E14" s="105" t="s">
        <v>3359</v>
      </c>
      <c r="F14" s="217">
        <v>3071218354</v>
      </c>
      <c r="G14" s="105" t="s">
        <v>3381</v>
      </c>
    </row>
    <row r="15" spans="1:7" ht="24.9" customHeight="1">
      <c r="A15" s="106">
        <v>14</v>
      </c>
      <c r="B15" s="106" t="s">
        <v>5052</v>
      </c>
      <c r="C15" s="104" t="s">
        <v>5169</v>
      </c>
      <c r="D15" s="106" t="s">
        <v>3572</v>
      </c>
      <c r="E15" s="106" t="s">
        <v>3358</v>
      </c>
      <c r="F15" s="218">
        <v>2391721341</v>
      </c>
      <c r="G15" s="106" t="s">
        <v>3381</v>
      </c>
    </row>
    <row r="16" spans="1:7" ht="24.9" customHeight="1">
      <c r="A16" s="105">
        <v>15</v>
      </c>
      <c r="B16" s="105" t="s">
        <v>5162</v>
      </c>
      <c r="C16" s="103" t="s">
        <v>3649</v>
      </c>
      <c r="D16" s="105" t="s">
        <v>3572</v>
      </c>
      <c r="E16" s="105" t="s">
        <v>767</v>
      </c>
      <c r="F16" s="217">
        <v>1129608591</v>
      </c>
      <c r="G16" s="105" t="s">
        <v>3381</v>
      </c>
    </row>
    <row r="17" spans="1:7" ht="24.9" customHeight="1">
      <c r="A17" s="106">
        <v>16</v>
      </c>
      <c r="B17" s="106" t="s">
        <v>13</v>
      </c>
      <c r="C17" s="104">
        <v>4500</v>
      </c>
      <c r="D17" s="106" t="s">
        <v>3564</v>
      </c>
      <c r="E17" s="106" t="s">
        <v>3569</v>
      </c>
      <c r="F17" s="218"/>
      <c r="G17" s="106" t="s">
        <v>3381</v>
      </c>
    </row>
    <row r="18" spans="1:7" ht="24.9" customHeight="1">
      <c r="A18" s="105">
        <v>17</v>
      </c>
      <c r="B18" s="105" t="s">
        <v>1172</v>
      </c>
      <c r="C18" s="103">
        <v>20473</v>
      </c>
      <c r="D18" s="105" t="s">
        <v>8253</v>
      </c>
      <c r="E18" s="105" t="s">
        <v>3357</v>
      </c>
      <c r="F18" s="217"/>
      <c r="G18" s="105" t="s">
        <v>3381</v>
      </c>
    </row>
    <row r="19" spans="1:7" ht="24.9" customHeight="1">
      <c r="A19" s="106">
        <v>18</v>
      </c>
      <c r="B19" s="106" t="s">
        <v>349</v>
      </c>
      <c r="C19" s="104">
        <v>5022</v>
      </c>
      <c r="D19" s="106" t="s">
        <v>3564</v>
      </c>
      <c r="E19" s="106" t="s">
        <v>771</v>
      </c>
      <c r="F19" s="218"/>
      <c r="G19" s="106" t="s">
        <v>3381</v>
      </c>
    </row>
    <row r="20" spans="1:7" ht="24.9" customHeight="1">
      <c r="A20" s="105">
        <v>19</v>
      </c>
      <c r="B20" s="105" t="s">
        <v>48</v>
      </c>
      <c r="C20" s="103">
        <v>2210</v>
      </c>
      <c r="D20" s="105" t="s">
        <v>3564</v>
      </c>
      <c r="E20" s="105" t="s">
        <v>3570</v>
      </c>
      <c r="F20" s="217"/>
      <c r="G20" s="105" t="s">
        <v>3381</v>
      </c>
    </row>
    <row r="21" spans="1:7" ht="24.9" customHeight="1">
      <c r="A21" s="106">
        <v>20</v>
      </c>
      <c r="B21" s="106" t="s">
        <v>14</v>
      </c>
      <c r="C21" s="104"/>
      <c r="D21" s="106"/>
      <c r="E21" s="106"/>
      <c r="F21" s="218"/>
      <c r="G21" s="106" t="s">
        <v>3381</v>
      </c>
    </row>
    <row r="22" spans="1:7" ht="24.9" customHeight="1">
      <c r="A22" s="105">
        <v>21</v>
      </c>
      <c r="B22" s="105" t="s">
        <v>6737</v>
      </c>
      <c r="C22" s="103" t="s">
        <v>6738</v>
      </c>
      <c r="D22" s="105" t="s">
        <v>8253</v>
      </c>
      <c r="E22" s="105" t="s">
        <v>771</v>
      </c>
      <c r="F22" s="217"/>
      <c r="G22" s="105" t="s">
        <v>3381</v>
      </c>
    </row>
    <row r="23" spans="1:7" ht="24.9" customHeight="1">
      <c r="A23" s="106">
        <v>22</v>
      </c>
      <c r="B23" s="106" t="s">
        <v>91</v>
      </c>
      <c r="C23" s="104"/>
      <c r="D23" s="106" t="s">
        <v>3564</v>
      </c>
      <c r="E23" s="106" t="s">
        <v>3571</v>
      </c>
      <c r="F23" s="218"/>
      <c r="G23" s="106" t="s">
        <v>3381</v>
      </c>
    </row>
    <row r="24" spans="1:7" ht="24.9" customHeight="1">
      <c r="A24" s="105">
        <v>23</v>
      </c>
      <c r="B24" s="105" t="s">
        <v>104</v>
      </c>
      <c r="C24" s="103">
        <v>2237</v>
      </c>
      <c r="D24" s="105" t="s">
        <v>3564</v>
      </c>
      <c r="E24" s="105" t="s">
        <v>1480</v>
      </c>
      <c r="F24" s="217"/>
      <c r="G24" s="105" t="s">
        <v>3381</v>
      </c>
    </row>
    <row r="25" spans="1:7" ht="24.9" customHeight="1">
      <c r="A25" s="106">
        <v>24</v>
      </c>
      <c r="B25" s="106" t="s">
        <v>7931</v>
      </c>
      <c r="C25" s="104">
        <v>0</v>
      </c>
      <c r="D25" s="106" t="s">
        <v>3572</v>
      </c>
      <c r="E25" s="106" t="s">
        <v>7932</v>
      </c>
      <c r="F25" s="218"/>
      <c r="G25" s="106" t="s">
        <v>3381</v>
      </c>
    </row>
    <row r="26" spans="1:7" ht="24.9" customHeight="1">
      <c r="A26" s="105">
        <v>25</v>
      </c>
      <c r="B26" s="105" t="s">
        <v>3390</v>
      </c>
      <c r="C26" s="103"/>
      <c r="D26" s="105"/>
      <c r="E26" s="105"/>
      <c r="F26" s="217"/>
      <c r="G26" s="105" t="s">
        <v>3381</v>
      </c>
    </row>
    <row r="27" spans="1:7" ht="24.9" customHeight="1">
      <c r="A27" s="106">
        <v>26</v>
      </c>
      <c r="B27" s="106" t="s">
        <v>3391</v>
      </c>
      <c r="C27" s="104">
        <v>99123</v>
      </c>
      <c r="D27" s="106" t="s">
        <v>3564</v>
      </c>
      <c r="E27" s="106" t="s">
        <v>3359</v>
      </c>
      <c r="F27" s="218"/>
      <c r="G27" s="106" t="s">
        <v>3381</v>
      </c>
    </row>
    <row r="28" spans="1:7" ht="24.9" customHeight="1">
      <c r="A28" s="105">
        <v>27</v>
      </c>
      <c r="B28" s="105" t="s">
        <v>3392</v>
      </c>
      <c r="C28" s="103" t="s">
        <v>3144</v>
      </c>
      <c r="D28" s="105" t="s">
        <v>8253</v>
      </c>
      <c r="E28" s="105" t="s">
        <v>3359</v>
      </c>
      <c r="F28" s="217"/>
      <c r="G28" s="105" t="s">
        <v>3381</v>
      </c>
    </row>
    <row r="29" spans="1:7" ht="24.9" customHeight="1">
      <c r="A29" s="106">
        <v>28</v>
      </c>
      <c r="B29" s="106" t="s">
        <v>3393</v>
      </c>
      <c r="C29" s="104">
        <v>100513</v>
      </c>
      <c r="D29" s="106" t="s">
        <v>3572</v>
      </c>
      <c r="E29" s="106" t="s">
        <v>3573</v>
      </c>
      <c r="F29" s="218"/>
      <c r="G29" s="106" t="s">
        <v>3381</v>
      </c>
    </row>
    <row r="30" spans="1:7" ht="24.9" customHeight="1">
      <c r="A30" s="105">
        <v>29</v>
      </c>
      <c r="B30" s="105" t="s">
        <v>92</v>
      </c>
      <c r="C30" s="103">
        <v>5027</v>
      </c>
      <c r="D30" s="105" t="s">
        <v>3564</v>
      </c>
      <c r="E30" s="105"/>
      <c r="F30" s="217"/>
      <c r="G30" s="105" t="s">
        <v>3381</v>
      </c>
    </row>
    <row r="31" spans="1:7" ht="24.9" customHeight="1">
      <c r="A31" s="106">
        <v>30</v>
      </c>
      <c r="B31" s="106" t="s">
        <v>5599</v>
      </c>
      <c r="C31" s="104" t="s">
        <v>5600</v>
      </c>
      <c r="D31" s="106" t="s">
        <v>8253</v>
      </c>
      <c r="E31" s="106" t="s">
        <v>5601</v>
      </c>
      <c r="F31" s="218"/>
      <c r="G31" s="106" t="s">
        <v>3381</v>
      </c>
    </row>
    <row r="32" spans="1:7" ht="24.9" customHeight="1">
      <c r="A32" s="105">
        <v>31</v>
      </c>
      <c r="B32" s="105" t="s">
        <v>5338</v>
      </c>
      <c r="C32" s="103" t="s">
        <v>3649</v>
      </c>
      <c r="D32" s="105" t="s">
        <v>3572</v>
      </c>
      <c r="E32" s="105" t="s">
        <v>3359</v>
      </c>
      <c r="F32" s="217"/>
      <c r="G32" s="105" t="s">
        <v>3381</v>
      </c>
    </row>
    <row r="33" spans="1:7" ht="24.9" customHeight="1">
      <c r="A33" s="106">
        <v>32</v>
      </c>
      <c r="B33" s="106" t="s">
        <v>2822</v>
      </c>
      <c r="C33" s="104">
        <v>5023</v>
      </c>
      <c r="D33" s="106" t="s">
        <v>3564</v>
      </c>
      <c r="E33" s="106"/>
      <c r="F33" s="218"/>
      <c r="G33" s="106" t="s">
        <v>3381</v>
      </c>
    </row>
    <row r="34" spans="1:7" ht="24.9" customHeight="1">
      <c r="A34" s="105">
        <v>33</v>
      </c>
      <c r="B34" s="105" t="s">
        <v>3394</v>
      </c>
      <c r="C34" s="103">
        <v>990701</v>
      </c>
      <c r="D34" s="105" t="s">
        <v>3564</v>
      </c>
      <c r="E34" s="105" t="s">
        <v>3574</v>
      </c>
      <c r="F34" s="217"/>
      <c r="G34" s="105" t="s">
        <v>3381</v>
      </c>
    </row>
    <row r="35" spans="1:7" ht="24.9" customHeight="1">
      <c r="A35" s="106">
        <v>34</v>
      </c>
      <c r="B35" s="106" t="s">
        <v>93</v>
      </c>
      <c r="C35" s="104"/>
      <c r="D35" s="106"/>
      <c r="E35" s="106"/>
      <c r="F35" s="218"/>
      <c r="G35" s="106" t="s">
        <v>3381</v>
      </c>
    </row>
    <row r="36" spans="1:7" ht="24.9" customHeight="1">
      <c r="A36" s="105">
        <v>35</v>
      </c>
      <c r="B36" s="105" t="s">
        <v>534</v>
      </c>
      <c r="C36" s="103">
        <v>993</v>
      </c>
      <c r="D36" s="105" t="s">
        <v>3564</v>
      </c>
      <c r="E36" s="105" t="s">
        <v>3575</v>
      </c>
      <c r="F36" s="217"/>
      <c r="G36" s="105" t="s">
        <v>3381</v>
      </c>
    </row>
    <row r="37" spans="1:7" ht="24.9" customHeight="1">
      <c r="A37" s="106">
        <v>36</v>
      </c>
      <c r="B37" s="106" t="s">
        <v>7048</v>
      </c>
      <c r="C37" s="104" t="s">
        <v>3649</v>
      </c>
      <c r="D37" s="106" t="s">
        <v>7049</v>
      </c>
      <c r="E37" s="106"/>
      <c r="F37" s="218">
        <v>1960407937</v>
      </c>
      <c r="G37" s="106" t="s">
        <v>3381</v>
      </c>
    </row>
    <row r="38" spans="1:7" ht="24.9" customHeight="1">
      <c r="A38" s="105">
        <v>37</v>
      </c>
      <c r="B38" s="105" t="s">
        <v>3395</v>
      </c>
      <c r="C38" s="103"/>
      <c r="D38" s="105"/>
      <c r="E38" s="105" t="s">
        <v>3576</v>
      </c>
      <c r="F38" s="217"/>
      <c r="G38" s="105" t="s">
        <v>3381</v>
      </c>
    </row>
    <row r="39" spans="1:7" ht="24.9" customHeight="1">
      <c r="A39" s="106">
        <v>38</v>
      </c>
      <c r="B39" s="106" t="s">
        <v>360</v>
      </c>
      <c r="C39" s="104" t="s">
        <v>3649</v>
      </c>
      <c r="D39" s="106" t="s">
        <v>7001</v>
      </c>
      <c r="E39" s="106" t="s">
        <v>3365</v>
      </c>
      <c r="F39" s="218"/>
      <c r="G39" s="106" t="s">
        <v>3381</v>
      </c>
    </row>
    <row r="40" spans="1:7" ht="24.9" customHeight="1">
      <c r="A40" s="105">
        <v>39</v>
      </c>
      <c r="B40" s="105" t="s">
        <v>804</v>
      </c>
      <c r="C40" s="103"/>
      <c r="D40" s="105"/>
      <c r="E40" s="105"/>
      <c r="F40" s="217"/>
      <c r="G40" s="105" t="s">
        <v>3381</v>
      </c>
    </row>
    <row r="41" spans="1:7" ht="24.9" customHeight="1">
      <c r="A41" s="106">
        <v>40</v>
      </c>
      <c r="B41" s="106" t="s">
        <v>805</v>
      </c>
      <c r="C41" s="104"/>
      <c r="D41" s="106"/>
      <c r="E41" s="106"/>
      <c r="F41" s="218"/>
      <c r="G41" s="106" t="s">
        <v>3381</v>
      </c>
    </row>
    <row r="42" spans="1:7" ht="24.9" customHeight="1">
      <c r="A42" s="105">
        <v>41</v>
      </c>
      <c r="B42" s="105" t="s">
        <v>4487</v>
      </c>
      <c r="C42" s="103" t="s">
        <v>3649</v>
      </c>
      <c r="D42" s="105" t="s">
        <v>4488</v>
      </c>
      <c r="E42" s="105" t="s">
        <v>4489</v>
      </c>
      <c r="F42" s="217"/>
      <c r="G42" s="105" t="s">
        <v>3381</v>
      </c>
    </row>
    <row r="43" spans="1:7" ht="24.9" customHeight="1">
      <c r="A43" s="106">
        <v>42</v>
      </c>
      <c r="B43" s="106" t="s">
        <v>6885</v>
      </c>
      <c r="C43" s="104" t="s">
        <v>3649</v>
      </c>
      <c r="D43" s="106" t="s">
        <v>6762</v>
      </c>
      <c r="E43" s="106" t="s">
        <v>4489</v>
      </c>
      <c r="F43" s="218"/>
      <c r="G43" s="106" t="s">
        <v>3381</v>
      </c>
    </row>
    <row r="44" spans="1:7" ht="24.9" customHeight="1">
      <c r="A44" s="105">
        <v>43</v>
      </c>
      <c r="B44" s="105" t="s">
        <v>4490</v>
      </c>
      <c r="C44" s="103" t="s">
        <v>3649</v>
      </c>
      <c r="D44" s="105" t="s">
        <v>4491</v>
      </c>
      <c r="E44" s="105" t="s">
        <v>4489</v>
      </c>
      <c r="F44" s="217"/>
      <c r="G44" s="105" t="s">
        <v>3381</v>
      </c>
    </row>
    <row r="45" spans="1:7" ht="24.9" customHeight="1">
      <c r="A45" s="106">
        <v>44</v>
      </c>
      <c r="B45" s="106" t="s">
        <v>5010</v>
      </c>
      <c r="C45" s="104" t="s">
        <v>3649</v>
      </c>
      <c r="D45" s="106" t="s">
        <v>5011</v>
      </c>
      <c r="E45" s="106" t="s">
        <v>6909</v>
      </c>
      <c r="F45" s="218">
        <v>6630071344</v>
      </c>
      <c r="G45" s="106" t="s">
        <v>3381</v>
      </c>
    </row>
    <row r="46" spans="1:7" ht="24.9" customHeight="1">
      <c r="A46" s="105">
        <v>45</v>
      </c>
      <c r="B46" s="105" t="s">
        <v>4492</v>
      </c>
      <c r="C46" s="103" t="s">
        <v>3649</v>
      </c>
      <c r="D46" s="105" t="s">
        <v>4493</v>
      </c>
      <c r="E46" s="105" t="s">
        <v>4489</v>
      </c>
      <c r="F46" s="217"/>
      <c r="G46" s="105" t="s">
        <v>3381</v>
      </c>
    </row>
    <row r="47" spans="1:7" ht="24.9" customHeight="1">
      <c r="A47" s="106">
        <v>46</v>
      </c>
      <c r="B47" s="106" t="s">
        <v>4494</v>
      </c>
      <c r="C47" s="104" t="s">
        <v>3649</v>
      </c>
      <c r="D47" s="106" t="s">
        <v>4495</v>
      </c>
      <c r="E47" s="106" t="s">
        <v>4489</v>
      </c>
      <c r="F47" s="218"/>
      <c r="G47" s="106" t="s">
        <v>3381</v>
      </c>
    </row>
    <row r="48" spans="1:7" ht="24.9" customHeight="1">
      <c r="A48" s="105">
        <v>47</v>
      </c>
      <c r="B48" s="105" t="s">
        <v>5791</v>
      </c>
      <c r="C48" s="103" t="s">
        <v>3649</v>
      </c>
      <c r="D48" s="105" t="s">
        <v>3572</v>
      </c>
      <c r="E48" s="105" t="s">
        <v>3579</v>
      </c>
      <c r="F48" s="217">
        <v>4269829656</v>
      </c>
      <c r="G48" s="105" t="s">
        <v>3381</v>
      </c>
    </row>
    <row r="49" spans="1:7" ht="24.9" customHeight="1">
      <c r="A49" s="106">
        <v>48</v>
      </c>
      <c r="B49" s="106" t="s">
        <v>6586</v>
      </c>
      <c r="C49" s="104" t="s">
        <v>3649</v>
      </c>
      <c r="D49" s="106" t="s">
        <v>4937</v>
      </c>
      <c r="E49" s="106" t="s">
        <v>3480</v>
      </c>
      <c r="F49" s="218"/>
      <c r="G49" s="106" t="s">
        <v>3381</v>
      </c>
    </row>
    <row r="50" spans="1:7" ht="24.9" customHeight="1">
      <c r="A50" s="105">
        <v>49</v>
      </c>
      <c r="B50" s="105" t="s">
        <v>6664</v>
      </c>
      <c r="C50" s="103" t="s">
        <v>6665</v>
      </c>
      <c r="D50" s="105" t="s">
        <v>3564</v>
      </c>
      <c r="E50" s="105" t="s">
        <v>6666</v>
      </c>
      <c r="F50" s="217"/>
      <c r="G50" s="105" t="s">
        <v>3381</v>
      </c>
    </row>
    <row r="51" spans="1:7" ht="24.9" customHeight="1">
      <c r="A51" s="106">
        <v>50</v>
      </c>
      <c r="B51" s="106" t="s">
        <v>4516</v>
      </c>
      <c r="C51" s="104" t="s">
        <v>4517</v>
      </c>
      <c r="D51" s="106" t="s">
        <v>8253</v>
      </c>
      <c r="E51" s="106" t="s">
        <v>4518</v>
      </c>
      <c r="F51" s="218">
        <v>4250918149</v>
      </c>
      <c r="G51" s="106" t="s">
        <v>3381</v>
      </c>
    </row>
    <row r="52" spans="1:7" ht="24.9" customHeight="1">
      <c r="A52" s="105">
        <v>51</v>
      </c>
      <c r="B52" s="105" t="s">
        <v>4519</v>
      </c>
      <c r="C52" s="103" t="s">
        <v>3649</v>
      </c>
      <c r="D52" s="105" t="s">
        <v>3572</v>
      </c>
      <c r="E52" s="105" t="s">
        <v>3359</v>
      </c>
      <c r="F52" s="217">
        <v>4623313069</v>
      </c>
      <c r="G52" s="105" t="s">
        <v>3381</v>
      </c>
    </row>
    <row r="53" spans="1:7" ht="24.9" customHeight="1">
      <c r="A53" s="106">
        <v>52</v>
      </c>
      <c r="B53" s="106" t="s">
        <v>5793</v>
      </c>
      <c r="C53" s="104" t="s">
        <v>5794</v>
      </c>
      <c r="D53" s="106" t="s">
        <v>8253</v>
      </c>
      <c r="E53" s="106" t="s">
        <v>3650</v>
      </c>
      <c r="F53" s="218">
        <v>3120296333</v>
      </c>
      <c r="G53" s="106" t="s">
        <v>3381</v>
      </c>
    </row>
    <row r="54" spans="1:7" ht="24.9" customHeight="1">
      <c r="A54" s="105">
        <v>53</v>
      </c>
      <c r="B54" s="105" t="s">
        <v>8291</v>
      </c>
      <c r="C54" s="103" t="s">
        <v>5792</v>
      </c>
      <c r="D54" s="105" t="s">
        <v>3572</v>
      </c>
      <c r="E54" s="105" t="s">
        <v>767</v>
      </c>
      <c r="F54" s="217">
        <v>2691626687</v>
      </c>
      <c r="G54" s="105" t="s">
        <v>3381</v>
      </c>
    </row>
    <row r="55" spans="1:7" ht="24.9" customHeight="1">
      <c r="A55" s="106"/>
      <c r="B55" s="106" t="s">
        <v>8292</v>
      </c>
      <c r="C55" s="104">
        <v>21075</v>
      </c>
      <c r="D55" s="106" t="s">
        <v>8253</v>
      </c>
      <c r="E55" s="106" t="s">
        <v>3566</v>
      </c>
      <c r="F55" s="218">
        <v>4675274619</v>
      </c>
      <c r="G55" s="106" t="s">
        <v>7947</v>
      </c>
    </row>
    <row r="56" spans="1:7" ht="24.9" customHeight="1">
      <c r="A56" s="105">
        <v>54</v>
      </c>
      <c r="B56" s="105" t="s">
        <v>5097</v>
      </c>
      <c r="C56" s="103" t="s">
        <v>3649</v>
      </c>
      <c r="D56" s="105" t="s">
        <v>5095</v>
      </c>
      <c r="E56" s="105" t="s">
        <v>3566</v>
      </c>
      <c r="F56" s="217">
        <v>3733233786</v>
      </c>
      <c r="G56" s="105" t="s">
        <v>3381</v>
      </c>
    </row>
    <row r="57" spans="1:7" ht="24.9" customHeight="1">
      <c r="A57" s="106">
        <v>55</v>
      </c>
      <c r="B57" s="106" t="s">
        <v>5094</v>
      </c>
      <c r="C57" s="104" t="s">
        <v>3649</v>
      </c>
      <c r="D57" s="106"/>
      <c r="E57" s="106" t="s">
        <v>3577</v>
      </c>
      <c r="F57" s="218"/>
      <c r="G57" s="106" t="s">
        <v>3381</v>
      </c>
    </row>
    <row r="58" spans="1:7" ht="24.9" customHeight="1">
      <c r="A58" s="105">
        <v>56</v>
      </c>
      <c r="B58" s="105" t="s">
        <v>3396</v>
      </c>
      <c r="C58" s="103">
        <v>20381</v>
      </c>
      <c r="D58" s="105" t="s">
        <v>8253</v>
      </c>
      <c r="E58" s="105" t="s">
        <v>3578</v>
      </c>
      <c r="F58" s="217"/>
      <c r="G58" s="105" t="s">
        <v>3381</v>
      </c>
    </row>
    <row r="59" spans="1:7" ht="24.9" customHeight="1">
      <c r="A59" s="106">
        <v>57</v>
      </c>
      <c r="B59" s="106" t="s">
        <v>347</v>
      </c>
      <c r="C59" s="104">
        <v>991009</v>
      </c>
      <c r="D59" s="106" t="s">
        <v>3564</v>
      </c>
      <c r="E59" s="106" t="s">
        <v>3579</v>
      </c>
      <c r="F59" s="218"/>
      <c r="G59" s="106" t="s">
        <v>3381</v>
      </c>
    </row>
    <row r="60" spans="1:7" ht="24.9" customHeight="1">
      <c r="A60" s="105">
        <v>58</v>
      </c>
      <c r="B60" s="105" t="s">
        <v>2820</v>
      </c>
      <c r="C60" s="103">
        <v>20421</v>
      </c>
      <c r="D60" s="105" t="s">
        <v>8253</v>
      </c>
      <c r="E60" s="105" t="s">
        <v>766</v>
      </c>
      <c r="F60" s="217"/>
      <c r="G60" s="105" t="s">
        <v>3381</v>
      </c>
    </row>
    <row r="61" spans="1:7" ht="24.9" customHeight="1">
      <c r="A61" s="106"/>
      <c r="B61" s="106" t="s">
        <v>8303</v>
      </c>
      <c r="C61" s="104">
        <v>0</v>
      </c>
      <c r="D61" s="106" t="s">
        <v>3990</v>
      </c>
      <c r="E61" s="106" t="s">
        <v>3773</v>
      </c>
      <c r="F61" s="218">
        <v>2994102234</v>
      </c>
      <c r="G61" s="106" t="s">
        <v>8262</v>
      </c>
    </row>
    <row r="62" spans="1:7" ht="24.9" customHeight="1">
      <c r="A62" s="105">
        <v>59</v>
      </c>
      <c r="B62" s="105" t="s">
        <v>4522</v>
      </c>
      <c r="C62" s="103" t="s">
        <v>3649</v>
      </c>
      <c r="D62" s="105" t="s">
        <v>4523</v>
      </c>
      <c r="E62" s="105" t="s">
        <v>4489</v>
      </c>
      <c r="F62" s="217">
        <v>1830075357</v>
      </c>
      <c r="G62" s="105" t="s">
        <v>3381</v>
      </c>
    </row>
    <row r="63" spans="1:7" ht="24.9" customHeight="1">
      <c r="A63" s="106">
        <v>60</v>
      </c>
      <c r="B63" s="106" t="s">
        <v>98</v>
      </c>
      <c r="C63" s="104"/>
      <c r="D63" s="106"/>
      <c r="E63" s="106"/>
      <c r="F63" s="218"/>
      <c r="G63" s="106" t="s">
        <v>3381</v>
      </c>
    </row>
    <row r="64" spans="1:7" ht="24.9" customHeight="1">
      <c r="A64" s="105"/>
      <c r="B64" s="105" t="s">
        <v>8342</v>
      </c>
      <c r="C64" s="103">
        <v>21081</v>
      </c>
      <c r="D64" s="105" t="s">
        <v>8253</v>
      </c>
      <c r="E64" s="105" t="s">
        <v>7964</v>
      </c>
      <c r="F64" s="217">
        <v>2298634221</v>
      </c>
      <c r="G64" s="105" t="s">
        <v>5821</v>
      </c>
    </row>
    <row r="65" spans="1:7" ht="24.9" customHeight="1">
      <c r="A65" s="106">
        <v>61</v>
      </c>
      <c r="B65" s="106" t="s">
        <v>2832</v>
      </c>
      <c r="C65" s="104" t="s">
        <v>5630</v>
      </c>
      <c r="D65" s="106" t="s">
        <v>3564</v>
      </c>
      <c r="E65" s="106" t="s">
        <v>782</v>
      </c>
      <c r="F65" s="218"/>
      <c r="G65" s="106" t="s">
        <v>3381</v>
      </c>
    </row>
    <row r="66" spans="1:7" ht="24.9" customHeight="1">
      <c r="A66" s="105">
        <v>62</v>
      </c>
      <c r="B66" s="105" t="s">
        <v>3397</v>
      </c>
      <c r="C66" s="103">
        <v>879</v>
      </c>
      <c r="D66" s="105" t="s">
        <v>3564</v>
      </c>
      <c r="E66" s="105" t="s">
        <v>3574</v>
      </c>
      <c r="F66" s="217"/>
      <c r="G66" s="105" t="s">
        <v>3381</v>
      </c>
    </row>
    <row r="67" spans="1:7" ht="24.9" customHeight="1">
      <c r="A67" s="106"/>
      <c r="B67" s="106" t="s">
        <v>8395</v>
      </c>
      <c r="C67" s="104"/>
      <c r="D67" s="106" t="s">
        <v>6762</v>
      </c>
      <c r="E67" s="106" t="s">
        <v>4489</v>
      </c>
      <c r="F67" s="218">
        <v>6330033803</v>
      </c>
      <c r="G67" s="106" t="s">
        <v>8394</v>
      </c>
    </row>
    <row r="68" spans="1:7" ht="24.9" customHeight="1">
      <c r="A68" s="105">
        <v>63</v>
      </c>
      <c r="B68" s="105" t="s">
        <v>3398</v>
      </c>
      <c r="C68" s="103" t="s">
        <v>3580</v>
      </c>
      <c r="D68" s="105" t="s">
        <v>3564</v>
      </c>
      <c r="E68" s="105" t="s">
        <v>3359</v>
      </c>
      <c r="F68" s="217"/>
      <c r="G68" s="105" t="s">
        <v>3381</v>
      </c>
    </row>
    <row r="69" spans="1:7" ht="24.9" customHeight="1">
      <c r="A69" s="106">
        <v>64</v>
      </c>
      <c r="B69" s="106" t="s">
        <v>7003</v>
      </c>
      <c r="C69" s="104" t="s">
        <v>3649</v>
      </c>
      <c r="D69" s="106" t="s">
        <v>3588</v>
      </c>
      <c r="E69" s="106" t="s">
        <v>3629</v>
      </c>
      <c r="F69" s="218"/>
      <c r="G69" s="106" t="s">
        <v>3381</v>
      </c>
    </row>
    <row r="70" spans="1:7" ht="24.9" customHeight="1">
      <c r="A70" s="105">
        <v>65</v>
      </c>
      <c r="B70" s="105" t="s">
        <v>9</v>
      </c>
      <c r="C70" s="103">
        <v>5020</v>
      </c>
      <c r="D70" s="105" t="s">
        <v>3564</v>
      </c>
      <c r="E70" s="105" t="s">
        <v>770</v>
      </c>
      <c r="F70" s="217"/>
      <c r="G70" s="105" t="s">
        <v>3381</v>
      </c>
    </row>
    <row r="71" spans="1:7" ht="24.9" customHeight="1">
      <c r="A71" s="106">
        <v>66</v>
      </c>
      <c r="B71" s="106" t="s">
        <v>90</v>
      </c>
      <c r="C71" s="104" t="s">
        <v>3241</v>
      </c>
      <c r="D71" s="106" t="s">
        <v>3564</v>
      </c>
      <c r="E71" s="106" t="s">
        <v>3358</v>
      </c>
      <c r="F71" s="218"/>
      <c r="G71" s="106" t="s">
        <v>3381</v>
      </c>
    </row>
    <row r="72" spans="1:7" ht="24.9" customHeight="1">
      <c r="A72" s="106"/>
      <c r="B72" s="106" t="s">
        <v>8495</v>
      </c>
      <c r="C72" s="104">
        <v>21093</v>
      </c>
      <c r="D72" s="106" t="s">
        <v>8253</v>
      </c>
      <c r="E72" s="106" t="s">
        <v>8487</v>
      </c>
      <c r="F72" s="218" t="s">
        <v>8496</v>
      </c>
      <c r="G72" s="106"/>
    </row>
    <row r="73" spans="1:7" ht="24.9" customHeight="1">
      <c r="A73" s="105">
        <v>67</v>
      </c>
      <c r="B73" s="105" t="s">
        <v>11</v>
      </c>
      <c r="C73" s="103">
        <v>370</v>
      </c>
      <c r="D73" s="105" t="s">
        <v>3564</v>
      </c>
      <c r="E73" s="105" t="s">
        <v>3581</v>
      </c>
      <c r="F73" s="217"/>
      <c r="G73" s="105" t="s">
        <v>3381</v>
      </c>
    </row>
    <row r="74" spans="1:7" ht="24.9" customHeight="1">
      <c r="A74" s="106">
        <v>68</v>
      </c>
      <c r="B74" s="106" t="s">
        <v>3399</v>
      </c>
      <c r="C74" s="104">
        <v>99122</v>
      </c>
      <c r="D74" s="106" t="s">
        <v>3564</v>
      </c>
      <c r="E74" s="106"/>
      <c r="F74" s="218"/>
      <c r="G74" s="106" t="s">
        <v>3381</v>
      </c>
    </row>
    <row r="75" spans="1:7" ht="24.9" customHeight="1">
      <c r="A75" s="106"/>
      <c r="B75" s="106" t="s">
        <v>8499</v>
      </c>
      <c r="C75" s="104"/>
      <c r="D75" s="106" t="s">
        <v>8502</v>
      </c>
      <c r="E75" s="106"/>
      <c r="F75" s="218"/>
      <c r="G75" s="106" t="s">
        <v>5821</v>
      </c>
    </row>
    <row r="76" spans="1:7" ht="24.9" customHeight="1">
      <c r="A76" s="105">
        <v>69</v>
      </c>
      <c r="B76" s="105" t="s">
        <v>319</v>
      </c>
      <c r="C76" s="103"/>
      <c r="D76" s="105"/>
      <c r="E76" s="105"/>
      <c r="F76" s="217"/>
      <c r="G76" s="105" t="s">
        <v>3381</v>
      </c>
    </row>
    <row r="77" spans="1:7" ht="24.9" customHeight="1">
      <c r="A77" s="106">
        <v>70</v>
      </c>
      <c r="B77" s="106" t="s">
        <v>550</v>
      </c>
      <c r="C77" s="104">
        <v>991204</v>
      </c>
      <c r="D77" s="106" t="s">
        <v>3564</v>
      </c>
      <c r="E77" s="106" t="s">
        <v>3582</v>
      </c>
      <c r="F77" s="218"/>
      <c r="G77" s="106" t="s">
        <v>3381</v>
      </c>
    </row>
    <row r="78" spans="1:7" ht="24.9" customHeight="1">
      <c r="A78" s="105">
        <v>71</v>
      </c>
      <c r="B78" s="105" t="s">
        <v>3369</v>
      </c>
      <c r="C78" s="103">
        <v>716</v>
      </c>
      <c r="D78" s="105" t="s">
        <v>3564</v>
      </c>
      <c r="E78" s="105" t="s">
        <v>6769</v>
      </c>
      <c r="F78" s="217"/>
      <c r="G78" s="105" t="s">
        <v>6770</v>
      </c>
    </row>
    <row r="79" spans="1:7" ht="24.9" customHeight="1">
      <c r="A79" s="106">
        <v>72</v>
      </c>
      <c r="B79" s="106" t="s">
        <v>7181</v>
      </c>
      <c r="C79" s="104">
        <v>20902</v>
      </c>
      <c r="D79" s="106" t="s">
        <v>3990</v>
      </c>
      <c r="E79" s="106" t="s">
        <v>7188</v>
      </c>
      <c r="F79" s="218">
        <v>359059041</v>
      </c>
      <c r="G79" s="106" t="s">
        <v>6770</v>
      </c>
    </row>
    <row r="80" spans="1:7" ht="24.9" customHeight="1">
      <c r="A80" s="105">
        <v>73</v>
      </c>
      <c r="B80" s="105" t="s">
        <v>8273</v>
      </c>
      <c r="C80" s="103">
        <v>4031007</v>
      </c>
      <c r="D80" s="105" t="s">
        <v>3564</v>
      </c>
      <c r="E80" s="105" t="s">
        <v>3360</v>
      </c>
      <c r="F80" s="217"/>
      <c r="G80" s="105" t="s">
        <v>6770</v>
      </c>
    </row>
    <row r="81" spans="1:7" ht="24.9" customHeight="1">
      <c r="A81" s="106"/>
      <c r="B81" s="106" t="s">
        <v>8283</v>
      </c>
      <c r="C81" s="104">
        <v>4040606</v>
      </c>
      <c r="D81" s="106" t="s">
        <v>3564</v>
      </c>
      <c r="E81" s="106" t="s">
        <v>771</v>
      </c>
      <c r="F81" s="218">
        <v>4420373611</v>
      </c>
      <c r="G81" s="106" t="s">
        <v>7947</v>
      </c>
    </row>
    <row r="82" spans="1:7" ht="24.9" customHeight="1">
      <c r="A82" s="105">
        <v>74</v>
      </c>
      <c r="B82" s="105" t="s">
        <v>7150</v>
      </c>
      <c r="C82" s="103">
        <v>20915</v>
      </c>
      <c r="D82" s="105" t="s">
        <v>3990</v>
      </c>
      <c r="E82" s="105" t="s">
        <v>3566</v>
      </c>
      <c r="F82" s="217"/>
      <c r="G82" s="105" t="s">
        <v>6770</v>
      </c>
    </row>
    <row r="83" spans="1:7" ht="24.9" customHeight="1">
      <c r="A83" s="106">
        <v>75</v>
      </c>
      <c r="B83" s="106" t="s">
        <v>6777</v>
      </c>
      <c r="C83" s="104" t="s">
        <v>6778</v>
      </c>
      <c r="D83" s="106" t="s">
        <v>3564</v>
      </c>
      <c r="E83" s="106" t="s">
        <v>2608</v>
      </c>
      <c r="F83" s="218"/>
      <c r="G83" s="106" t="s">
        <v>6770</v>
      </c>
    </row>
    <row r="84" spans="1:7" ht="24.9" customHeight="1">
      <c r="A84" s="105">
        <v>76</v>
      </c>
      <c r="B84" s="105" t="s">
        <v>7646</v>
      </c>
      <c r="C84" s="103">
        <v>21006</v>
      </c>
      <c r="D84" s="105" t="s">
        <v>3990</v>
      </c>
      <c r="E84" s="105" t="s">
        <v>7647</v>
      </c>
      <c r="F84" s="217">
        <v>5639938341</v>
      </c>
      <c r="G84" s="105" t="s">
        <v>6770</v>
      </c>
    </row>
    <row r="85" spans="1:7" ht="24.9" customHeight="1">
      <c r="A85" s="106">
        <v>77</v>
      </c>
      <c r="B85" s="106" t="s">
        <v>7699</v>
      </c>
      <c r="C85" s="104">
        <v>4040110</v>
      </c>
      <c r="D85" s="106" t="s">
        <v>3564</v>
      </c>
      <c r="E85" s="106" t="s">
        <v>7783</v>
      </c>
      <c r="F85" s="218" t="s">
        <v>7784</v>
      </c>
      <c r="G85" s="106" t="s">
        <v>6770</v>
      </c>
    </row>
    <row r="86" spans="1:7" ht="24.9" customHeight="1">
      <c r="A86" s="105">
        <v>78</v>
      </c>
      <c r="B86" s="105" t="s">
        <v>7701</v>
      </c>
      <c r="C86" s="103">
        <v>4040109</v>
      </c>
      <c r="D86" s="105" t="s">
        <v>3564</v>
      </c>
      <c r="E86" s="105" t="s">
        <v>7783</v>
      </c>
      <c r="F86" s="217" t="s">
        <v>7785</v>
      </c>
      <c r="G86" s="105" t="s">
        <v>6770</v>
      </c>
    </row>
    <row r="87" spans="1:7" ht="24.9" customHeight="1">
      <c r="A87" s="106">
        <v>79</v>
      </c>
      <c r="B87" s="106" t="s">
        <v>7790</v>
      </c>
      <c r="C87" s="104">
        <v>4040203</v>
      </c>
      <c r="D87" s="106" t="s">
        <v>3564</v>
      </c>
      <c r="E87" s="106" t="s">
        <v>7783</v>
      </c>
      <c r="F87" s="218" t="s">
        <v>7793</v>
      </c>
      <c r="G87" s="106" t="s">
        <v>6770</v>
      </c>
    </row>
    <row r="88" spans="1:7" ht="24.9" customHeight="1">
      <c r="A88" s="105">
        <v>80</v>
      </c>
      <c r="B88" s="105" t="s">
        <v>7600</v>
      </c>
      <c r="C88" s="103">
        <v>4031202</v>
      </c>
      <c r="D88" s="105" t="s">
        <v>3564</v>
      </c>
      <c r="E88" s="105" t="s">
        <v>3358</v>
      </c>
      <c r="F88" s="217">
        <v>3257550227</v>
      </c>
      <c r="G88" s="105" t="s">
        <v>6770</v>
      </c>
    </row>
    <row r="89" spans="1:7" ht="24.9" customHeight="1">
      <c r="A89" s="106">
        <v>81</v>
      </c>
      <c r="B89" s="106" t="s">
        <v>7691</v>
      </c>
      <c r="C89" s="104">
        <v>4031208</v>
      </c>
      <c r="D89" s="106" t="s">
        <v>3564</v>
      </c>
      <c r="E89" s="106" t="s">
        <v>4678</v>
      </c>
      <c r="F89" s="218">
        <v>2659570345</v>
      </c>
      <c r="G89" s="106" t="s">
        <v>6770</v>
      </c>
    </row>
    <row r="90" spans="1:7" ht="24.9" customHeight="1">
      <c r="A90" s="105">
        <v>82</v>
      </c>
      <c r="B90" s="105" t="s">
        <v>7605</v>
      </c>
      <c r="C90" s="103">
        <v>20985</v>
      </c>
      <c r="D90" s="105" t="s">
        <v>3990</v>
      </c>
      <c r="E90" s="105" t="s">
        <v>3566</v>
      </c>
      <c r="F90" s="217">
        <v>2298234191</v>
      </c>
      <c r="G90" s="105" t="s">
        <v>6770</v>
      </c>
    </row>
    <row r="91" spans="1:7" ht="24.9" customHeight="1">
      <c r="A91" s="106">
        <v>83</v>
      </c>
      <c r="B91" s="106" t="s">
        <v>6779</v>
      </c>
      <c r="C91" s="104" t="s">
        <v>6780</v>
      </c>
      <c r="D91" s="106" t="s">
        <v>3564</v>
      </c>
      <c r="E91" s="106" t="s">
        <v>3567</v>
      </c>
      <c r="F91" s="218"/>
      <c r="G91" s="106" t="s">
        <v>6770</v>
      </c>
    </row>
    <row r="92" spans="1:7" ht="24.9" customHeight="1">
      <c r="A92" s="105">
        <v>84</v>
      </c>
      <c r="B92" s="105" t="s">
        <v>322</v>
      </c>
      <c r="C92" s="103">
        <v>990601</v>
      </c>
      <c r="D92" s="105" t="s">
        <v>3564</v>
      </c>
      <c r="E92" s="105" t="s">
        <v>3583</v>
      </c>
      <c r="F92" s="217"/>
      <c r="G92" s="105" t="s">
        <v>3381</v>
      </c>
    </row>
    <row r="93" spans="1:7" ht="24.9" customHeight="1">
      <c r="A93" s="106">
        <v>85</v>
      </c>
      <c r="B93" s="106" t="s">
        <v>2821</v>
      </c>
      <c r="C93" s="104">
        <v>100506</v>
      </c>
      <c r="D93" s="106" t="s">
        <v>3572</v>
      </c>
      <c r="E93" s="106" t="s">
        <v>3579</v>
      </c>
      <c r="F93" s="218"/>
      <c r="G93" s="106" t="s">
        <v>3381</v>
      </c>
    </row>
    <row r="94" spans="1:7" ht="24.9" customHeight="1">
      <c r="A94" s="105">
        <v>86</v>
      </c>
      <c r="B94" s="105" t="s">
        <v>1756</v>
      </c>
      <c r="C94" s="103">
        <v>100532</v>
      </c>
      <c r="D94" s="105" t="s">
        <v>3572</v>
      </c>
      <c r="E94" s="105" t="s">
        <v>3359</v>
      </c>
      <c r="F94" s="217"/>
      <c r="G94" s="105" t="s">
        <v>3381</v>
      </c>
    </row>
    <row r="95" spans="1:7" ht="24.9" customHeight="1">
      <c r="A95" s="106">
        <v>87</v>
      </c>
      <c r="B95" s="106" t="s">
        <v>323</v>
      </c>
      <c r="C95" s="104">
        <v>990607</v>
      </c>
      <c r="D95" s="106" t="s">
        <v>3564</v>
      </c>
      <c r="E95" s="106" t="s">
        <v>3357</v>
      </c>
      <c r="F95" s="218"/>
      <c r="G95" s="106" t="s">
        <v>3381</v>
      </c>
    </row>
    <row r="96" spans="1:7" ht="24.9" customHeight="1">
      <c r="A96" s="105">
        <v>88</v>
      </c>
      <c r="B96" s="105" t="s">
        <v>7342</v>
      </c>
      <c r="C96" s="103">
        <v>0</v>
      </c>
      <c r="D96" s="105" t="s">
        <v>3588</v>
      </c>
      <c r="E96" s="105" t="s">
        <v>3357</v>
      </c>
      <c r="F96" s="217">
        <v>2451061881</v>
      </c>
      <c r="G96" s="105" t="s">
        <v>3381</v>
      </c>
    </row>
    <row r="97" spans="1:7" ht="24.9" customHeight="1">
      <c r="A97" s="106">
        <v>89</v>
      </c>
      <c r="B97" s="106" t="s">
        <v>325</v>
      </c>
      <c r="C97" s="104">
        <v>98132</v>
      </c>
      <c r="D97" s="106" t="s">
        <v>3564</v>
      </c>
      <c r="E97" s="106" t="s">
        <v>3357</v>
      </c>
      <c r="F97" s="218"/>
      <c r="G97" s="106" t="s">
        <v>3381</v>
      </c>
    </row>
    <row r="98" spans="1:7" ht="24.9" customHeight="1">
      <c r="A98" s="105">
        <v>90</v>
      </c>
      <c r="B98" s="105" t="s">
        <v>6884</v>
      </c>
      <c r="C98" s="103" t="s">
        <v>7080</v>
      </c>
      <c r="D98" s="105" t="s">
        <v>3644</v>
      </c>
      <c r="E98" s="105" t="s">
        <v>770</v>
      </c>
      <c r="F98" s="217"/>
      <c r="G98" s="105" t="s">
        <v>3381</v>
      </c>
    </row>
    <row r="99" spans="1:7" ht="24.9" customHeight="1">
      <c r="A99" s="106">
        <v>91</v>
      </c>
      <c r="B99" s="106" t="s">
        <v>326</v>
      </c>
      <c r="C99" s="104">
        <v>98141</v>
      </c>
      <c r="D99" s="106" t="s">
        <v>3564</v>
      </c>
      <c r="E99" s="106" t="s">
        <v>771</v>
      </c>
      <c r="F99" s="218"/>
      <c r="G99" s="106" t="s">
        <v>3381</v>
      </c>
    </row>
    <row r="100" spans="1:7" ht="24.9" customHeight="1">
      <c r="A100" s="105">
        <v>92</v>
      </c>
      <c r="B100" s="105" t="s">
        <v>331</v>
      </c>
      <c r="C100" s="103">
        <v>990704</v>
      </c>
      <c r="D100" s="105" t="s">
        <v>3564</v>
      </c>
      <c r="E100" s="105" t="s">
        <v>3584</v>
      </c>
      <c r="F100" s="217"/>
      <c r="G100" s="105" t="s">
        <v>3381</v>
      </c>
    </row>
    <row r="101" spans="1:7" ht="24.9" customHeight="1">
      <c r="A101" s="106">
        <v>93</v>
      </c>
      <c r="B101" s="106" t="s">
        <v>5119</v>
      </c>
      <c r="C101" s="104" t="s">
        <v>3649</v>
      </c>
      <c r="D101" s="106" t="s">
        <v>3564</v>
      </c>
      <c r="E101" s="106" t="s">
        <v>3604</v>
      </c>
      <c r="F101" s="218"/>
      <c r="G101" s="106" t="s">
        <v>3381</v>
      </c>
    </row>
    <row r="102" spans="1:7" ht="24.9" customHeight="1">
      <c r="A102" s="105">
        <v>94</v>
      </c>
      <c r="B102" s="105" t="s">
        <v>2858</v>
      </c>
      <c r="C102" s="103" t="s">
        <v>3585</v>
      </c>
      <c r="D102" s="105" t="s">
        <v>3572</v>
      </c>
      <c r="E102" s="105" t="s">
        <v>3359</v>
      </c>
      <c r="F102" s="217"/>
      <c r="G102" s="105" t="s">
        <v>3381</v>
      </c>
    </row>
    <row r="103" spans="1:7" ht="24.9" customHeight="1">
      <c r="A103" s="106">
        <v>95</v>
      </c>
      <c r="B103" s="106" t="s">
        <v>3400</v>
      </c>
      <c r="C103" s="104">
        <v>100511</v>
      </c>
      <c r="D103" s="106" t="s">
        <v>3572</v>
      </c>
      <c r="E103" s="106" t="s">
        <v>3586</v>
      </c>
      <c r="F103" s="218">
        <v>1830216627</v>
      </c>
      <c r="G103" s="106" t="s">
        <v>3381</v>
      </c>
    </row>
    <row r="104" spans="1:7" ht="24.9" customHeight="1">
      <c r="A104" s="105">
        <v>96</v>
      </c>
      <c r="B104" s="105" t="s">
        <v>3401</v>
      </c>
      <c r="C104" s="103" t="s">
        <v>3587</v>
      </c>
      <c r="D104" s="105" t="s">
        <v>3588</v>
      </c>
      <c r="E104" s="105" t="s">
        <v>3357</v>
      </c>
      <c r="F104" s="217"/>
      <c r="G104" s="105" t="s">
        <v>3381</v>
      </c>
    </row>
    <row r="105" spans="1:7" ht="24.9" customHeight="1">
      <c r="A105" s="106">
        <v>97</v>
      </c>
      <c r="B105" s="106" t="s">
        <v>795</v>
      </c>
      <c r="C105" s="104" t="s">
        <v>1897</v>
      </c>
      <c r="D105" s="106" t="s">
        <v>3564</v>
      </c>
      <c r="E105" s="106" t="s">
        <v>770</v>
      </c>
      <c r="F105" s="218"/>
      <c r="G105" s="106" t="s">
        <v>3381</v>
      </c>
    </row>
    <row r="106" spans="1:7" ht="24.9" customHeight="1">
      <c r="A106" s="105">
        <v>98</v>
      </c>
      <c r="B106" s="105" t="s">
        <v>3402</v>
      </c>
      <c r="C106" s="103" t="s">
        <v>3589</v>
      </c>
      <c r="D106" s="105" t="s">
        <v>3572</v>
      </c>
      <c r="E106" s="105" t="s">
        <v>3358</v>
      </c>
      <c r="F106" s="217"/>
      <c r="G106" s="105" t="s">
        <v>3381</v>
      </c>
    </row>
    <row r="107" spans="1:7" ht="24.9" customHeight="1">
      <c r="A107" s="106">
        <v>99</v>
      </c>
      <c r="B107" s="106" t="s">
        <v>342</v>
      </c>
      <c r="C107" s="104">
        <v>991010</v>
      </c>
      <c r="D107" s="106" t="s">
        <v>3564</v>
      </c>
      <c r="E107" s="106" t="s">
        <v>3590</v>
      </c>
      <c r="F107" s="218"/>
      <c r="G107" s="106" t="s">
        <v>3381</v>
      </c>
    </row>
    <row r="108" spans="1:7" ht="24.9" customHeight="1">
      <c r="A108" s="105">
        <v>100</v>
      </c>
      <c r="B108" s="105" t="s">
        <v>3403</v>
      </c>
      <c r="C108" s="103" t="s">
        <v>3649</v>
      </c>
      <c r="D108" s="105" t="s">
        <v>3566</v>
      </c>
      <c r="E108" s="105" t="s">
        <v>3566</v>
      </c>
      <c r="F108" s="217"/>
      <c r="G108" s="105" t="s">
        <v>3381</v>
      </c>
    </row>
    <row r="109" spans="1:7" ht="24.9" customHeight="1">
      <c r="A109" s="106">
        <v>101</v>
      </c>
      <c r="B109" s="106" t="s">
        <v>5149</v>
      </c>
      <c r="C109" s="104" t="s">
        <v>5150</v>
      </c>
      <c r="D109" s="106" t="s">
        <v>3572</v>
      </c>
      <c r="E109" s="106" t="s">
        <v>3586</v>
      </c>
      <c r="F109" s="218">
        <v>5759419447</v>
      </c>
      <c r="G109" s="106" t="s">
        <v>3381</v>
      </c>
    </row>
    <row r="110" spans="1:7" ht="24.9" customHeight="1">
      <c r="A110" s="105">
        <v>102</v>
      </c>
      <c r="B110" s="105" t="s">
        <v>345</v>
      </c>
      <c r="C110" s="103">
        <v>991101</v>
      </c>
      <c r="D110" s="105" t="s">
        <v>3564</v>
      </c>
      <c r="E110" s="105" t="s">
        <v>3591</v>
      </c>
      <c r="F110" s="217"/>
      <c r="G110" s="105" t="s">
        <v>3381</v>
      </c>
    </row>
    <row r="111" spans="1:7" ht="24.9" customHeight="1">
      <c r="A111" s="106">
        <v>103</v>
      </c>
      <c r="B111" s="106" t="s">
        <v>3404</v>
      </c>
      <c r="C111" s="104" t="s">
        <v>5629</v>
      </c>
      <c r="D111" s="106" t="s">
        <v>3564</v>
      </c>
      <c r="E111" s="106" t="s">
        <v>771</v>
      </c>
      <c r="F111" s="218"/>
      <c r="G111" s="106" t="s">
        <v>3381</v>
      </c>
    </row>
    <row r="112" spans="1:7" ht="24.9" customHeight="1">
      <c r="A112" s="105">
        <v>104</v>
      </c>
      <c r="B112" s="105" t="s">
        <v>3405</v>
      </c>
      <c r="C112" s="103">
        <v>20523</v>
      </c>
      <c r="D112" s="105" t="s">
        <v>8253</v>
      </c>
      <c r="E112" s="105" t="s">
        <v>3567</v>
      </c>
      <c r="F112" s="217"/>
      <c r="G112" s="105" t="s">
        <v>3381</v>
      </c>
    </row>
    <row r="113" spans="1:7" ht="24.9" customHeight="1">
      <c r="A113" s="106">
        <v>105</v>
      </c>
      <c r="B113" s="106" t="s">
        <v>49</v>
      </c>
      <c r="C113" s="104">
        <v>1528</v>
      </c>
      <c r="D113" s="106" t="s">
        <v>3564</v>
      </c>
      <c r="E113" s="106" t="s">
        <v>771</v>
      </c>
      <c r="F113" s="218"/>
      <c r="G113" s="106" t="s">
        <v>3381</v>
      </c>
    </row>
    <row r="114" spans="1:7" ht="24.9" customHeight="1">
      <c r="A114" s="105">
        <v>106</v>
      </c>
      <c r="B114" s="105" t="s">
        <v>2713</v>
      </c>
      <c r="C114" s="103" t="s">
        <v>1878</v>
      </c>
      <c r="D114" s="105" t="s">
        <v>3564</v>
      </c>
      <c r="E114" s="105" t="s">
        <v>771</v>
      </c>
      <c r="F114" s="217"/>
      <c r="G114" s="105" t="s">
        <v>3592</v>
      </c>
    </row>
    <row r="115" spans="1:7" ht="24.9" customHeight="1">
      <c r="A115" s="106">
        <v>107</v>
      </c>
      <c r="B115" s="106" t="s">
        <v>3593</v>
      </c>
      <c r="C115" s="104">
        <v>4000103</v>
      </c>
      <c r="D115" s="106" t="s">
        <v>3564</v>
      </c>
      <c r="E115" s="106"/>
      <c r="F115" s="218"/>
      <c r="G115" s="106" t="s">
        <v>3381</v>
      </c>
    </row>
    <row r="116" spans="1:7" ht="24.9" customHeight="1">
      <c r="A116" s="105">
        <v>108</v>
      </c>
      <c r="B116" s="105" t="s">
        <v>1326</v>
      </c>
      <c r="C116" s="103">
        <v>1346</v>
      </c>
      <c r="D116" s="105" t="s">
        <v>3564</v>
      </c>
      <c r="E116" s="105" t="s">
        <v>771</v>
      </c>
      <c r="F116" s="217" t="s">
        <v>5403</v>
      </c>
      <c r="G116" s="105" t="s">
        <v>3381</v>
      </c>
    </row>
    <row r="117" spans="1:7" ht="24.9" customHeight="1">
      <c r="A117" s="106">
        <v>109</v>
      </c>
      <c r="B117" s="106" t="s">
        <v>577</v>
      </c>
      <c r="C117" s="104">
        <v>2201</v>
      </c>
      <c r="D117" s="106" t="s">
        <v>3564</v>
      </c>
      <c r="E117" s="106" t="s">
        <v>3569</v>
      </c>
      <c r="F117" s="218"/>
      <c r="G117" s="106" t="s">
        <v>3381</v>
      </c>
    </row>
    <row r="118" spans="1:7" ht="24.9" customHeight="1">
      <c r="A118" s="105">
        <v>110</v>
      </c>
      <c r="B118" s="105" t="s">
        <v>2852</v>
      </c>
      <c r="C118" s="103" t="s">
        <v>3594</v>
      </c>
      <c r="D118" s="105" t="s">
        <v>3564</v>
      </c>
      <c r="E118" s="105" t="s">
        <v>3595</v>
      </c>
      <c r="F118" s="217"/>
      <c r="G118" s="105" t="s">
        <v>3381</v>
      </c>
    </row>
    <row r="119" spans="1:7" ht="24.9" customHeight="1">
      <c r="A119" s="106">
        <v>111</v>
      </c>
      <c r="B119" s="106" t="s">
        <v>3407</v>
      </c>
      <c r="C119" s="104">
        <v>20372</v>
      </c>
      <c r="D119" s="106" t="s">
        <v>8253</v>
      </c>
      <c r="E119" s="106" t="s">
        <v>2609</v>
      </c>
      <c r="F119" s="218"/>
      <c r="G119" s="106" t="s">
        <v>3381</v>
      </c>
    </row>
    <row r="120" spans="1:7" ht="24.9" customHeight="1">
      <c r="A120" s="105">
        <v>112</v>
      </c>
      <c r="B120" s="105" t="s">
        <v>2824</v>
      </c>
      <c r="C120" s="103">
        <v>4000303</v>
      </c>
      <c r="D120" s="105" t="s">
        <v>3564</v>
      </c>
      <c r="E120" s="105" t="s">
        <v>3579</v>
      </c>
      <c r="F120" s="217"/>
      <c r="G120" s="105" t="s">
        <v>3381</v>
      </c>
    </row>
    <row r="121" spans="1:7" ht="24.9" customHeight="1">
      <c r="A121" s="106">
        <v>113</v>
      </c>
      <c r="B121" s="106" t="s">
        <v>1143</v>
      </c>
      <c r="C121" s="104"/>
      <c r="D121" s="106"/>
      <c r="E121" s="106"/>
      <c r="F121" s="218"/>
      <c r="G121" s="106" t="s">
        <v>3381</v>
      </c>
    </row>
    <row r="122" spans="1:7" ht="24.9" customHeight="1">
      <c r="A122" s="105">
        <v>114</v>
      </c>
      <c r="B122" s="105" t="s">
        <v>3408</v>
      </c>
      <c r="C122" s="103">
        <v>4000405</v>
      </c>
      <c r="D122" s="105" t="s">
        <v>3564</v>
      </c>
      <c r="E122" s="105" t="s">
        <v>3569</v>
      </c>
      <c r="F122" s="217"/>
      <c r="G122" s="105" t="s">
        <v>3381</v>
      </c>
    </row>
    <row r="123" spans="1:7" ht="24.9" customHeight="1">
      <c r="A123" s="106">
        <v>115</v>
      </c>
      <c r="B123" s="106" t="s">
        <v>681</v>
      </c>
      <c r="C123" s="104">
        <v>20404</v>
      </c>
      <c r="D123" s="106" t="s">
        <v>8253</v>
      </c>
      <c r="E123" s="106" t="s">
        <v>1480</v>
      </c>
      <c r="F123" s="218"/>
      <c r="G123" s="106" t="s">
        <v>3381</v>
      </c>
    </row>
    <row r="124" spans="1:7" ht="24.9" customHeight="1">
      <c r="A124" s="105">
        <v>116</v>
      </c>
      <c r="B124" s="105" t="s">
        <v>2830</v>
      </c>
      <c r="C124" s="103">
        <v>20247</v>
      </c>
      <c r="D124" s="105" t="s">
        <v>8253</v>
      </c>
      <c r="E124" s="105" t="s">
        <v>2609</v>
      </c>
      <c r="F124" s="217"/>
      <c r="G124" s="105" t="s">
        <v>3381</v>
      </c>
    </row>
    <row r="125" spans="1:7" ht="24.9" customHeight="1">
      <c r="A125" s="106">
        <v>117</v>
      </c>
      <c r="B125" s="106" t="s">
        <v>3410</v>
      </c>
      <c r="C125" s="104">
        <v>100512</v>
      </c>
      <c r="D125" s="106" t="s">
        <v>3572</v>
      </c>
      <c r="E125" s="106" t="s">
        <v>3596</v>
      </c>
      <c r="F125" s="218"/>
      <c r="G125" s="106" t="s">
        <v>3381</v>
      </c>
    </row>
    <row r="126" spans="1:7" ht="24.9" customHeight="1">
      <c r="A126" s="105">
        <v>118</v>
      </c>
      <c r="B126" s="105" t="s">
        <v>2845</v>
      </c>
      <c r="C126" s="103">
        <v>20413</v>
      </c>
      <c r="D126" s="105" t="s">
        <v>3564</v>
      </c>
      <c r="E126" s="105" t="s">
        <v>3359</v>
      </c>
      <c r="F126" s="217"/>
      <c r="G126" s="105" t="s">
        <v>3381</v>
      </c>
    </row>
    <row r="127" spans="1:7" ht="24.9" customHeight="1">
      <c r="A127" s="106">
        <v>119</v>
      </c>
      <c r="B127" s="106" t="s">
        <v>3411</v>
      </c>
      <c r="C127" s="104">
        <v>991102</v>
      </c>
      <c r="D127" s="106" t="s">
        <v>3564</v>
      </c>
      <c r="E127" s="106" t="s">
        <v>1480</v>
      </c>
      <c r="F127" s="218"/>
      <c r="G127" s="106" t="s">
        <v>3381</v>
      </c>
    </row>
    <row r="128" spans="1:7" ht="24.9" customHeight="1">
      <c r="A128" s="105">
        <v>120</v>
      </c>
      <c r="B128" s="105" t="s">
        <v>6950</v>
      </c>
      <c r="C128" s="103" t="s">
        <v>3649</v>
      </c>
      <c r="D128" s="105" t="s">
        <v>6954</v>
      </c>
      <c r="E128" s="105"/>
      <c r="F128" s="217"/>
      <c r="G128" s="105" t="s">
        <v>3381</v>
      </c>
    </row>
    <row r="129" spans="1:7" ht="24.9" customHeight="1">
      <c r="A129" s="106">
        <v>121</v>
      </c>
      <c r="B129" s="106" t="s">
        <v>6952</v>
      </c>
      <c r="C129" s="104" t="s">
        <v>3649</v>
      </c>
      <c r="D129" s="106" t="s">
        <v>3646</v>
      </c>
      <c r="E129" s="106"/>
      <c r="F129" s="218"/>
      <c r="G129" s="106" t="s">
        <v>3381</v>
      </c>
    </row>
    <row r="130" spans="1:7" ht="24.9" customHeight="1">
      <c r="A130" s="105">
        <v>122</v>
      </c>
      <c r="B130" s="105" t="s">
        <v>717</v>
      </c>
      <c r="C130" s="103">
        <v>4000601</v>
      </c>
      <c r="D130" s="105" t="s">
        <v>3564</v>
      </c>
      <c r="E130" s="105" t="s">
        <v>3359</v>
      </c>
      <c r="F130" s="217"/>
      <c r="G130" s="105" t="s">
        <v>3381</v>
      </c>
    </row>
    <row r="131" spans="1:7" ht="24.9" customHeight="1">
      <c r="A131" s="106">
        <v>123</v>
      </c>
      <c r="B131" s="106" t="s">
        <v>7711</v>
      </c>
      <c r="C131" s="104">
        <v>0</v>
      </c>
      <c r="D131" s="106" t="s">
        <v>4098</v>
      </c>
      <c r="E131" s="106" t="s">
        <v>3569</v>
      </c>
      <c r="F131" s="218"/>
      <c r="G131" s="106" t="s">
        <v>3381</v>
      </c>
    </row>
    <row r="132" spans="1:7" ht="24.9" customHeight="1">
      <c r="A132" s="105">
        <v>124</v>
      </c>
      <c r="B132" s="105" t="s">
        <v>718</v>
      </c>
      <c r="C132" s="103">
        <v>4000604</v>
      </c>
      <c r="D132" s="105" t="s">
        <v>3564</v>
      </c>
      <c r="E132" s="105" t="s">
        <v>3358</v>
      </c>
      <c r="F132" s="217"/>
      <c r="G132" s="105" t="s">
        <v>3381</v>
      </c>
    </row>
    <row r="133" spans="1:7" ht="24.9" customHeight="1">
      <c r="A133" s="106">
        <v>125</v>
      </c>
      <c r="B133" s="106" t="s">
        <v>2795</v>
      </c>
      <c r="C133" s="104">
        <v>880</v>
      </c>
      <c r="D133" s="106" t="s">
        <v>3564</v>
      </c>
      <c r="E133" s="106" t="s">
        <v>3597</v>
      </c>
      <c r="F133" s="218"/>
      <c r="G133" s="106" t="s">
        <v>3381</v>
      </c>
    </row>
    <row r="134" spans="1:7" ht="24.9" customHeight="1">
      <c r="A134" s="105">
        <v>126</v>
      </c>
      <c r="B134" s="105" t="s">
        <v>742</v>
      </c>
      <c r="C134" s="103">
        <v>4000703</v>
      </c>
      <c r="D134" s="105" t="s">
        <v>3564</v>
      </c>
      <c r="E134" s="105" t="s">
        <v>3598</v>
      </c>
      <c r="F134" s="217"/>
      <c r="G134" s="105" t="s">
        <v>3381</v>
      </c>
    </row>
    <row r="135" spans="1:7" ht="24.9" customHeight="1">
      <c r="A135" s="106">
        <v>127</v>
      </c>
      <c r="B135" s="106" t="s">
        <v>365</v>
      </c>
      <c r="C135" s="104">
        <v>2235</v>
      </c>
      <c r="D135" s="106" t="s">
        <v>3564</v>
      </c>
      <c r="E135" s="106" t="s">
        <v>1480</v>
      </c>
      <c r="F135" s="218"/>
      <c r="G135" s="106" t="s">
        <v>3381</v>
      </c>
    </row>
    <row r="136" spans="1:7" ht="24.9" customHeight="1">
      <c r="A136" s="105">
        <v>128</v>
      </c>
      <c r="B136" s="105" t="s">
        <v>6960</v>
      </c>
      <c r="C136" s="103" t="s">
        <v>3649</v>
      </c>
      <c r="D136" s="105" t="s">
        <v>6961</v>
      </c>
      <c r="E136" s="105" t="s">
        <v>4489</v>
      </c>
      <c r="F136" s="217"/>
      <c r="G136" s="105" t="s">
        <v>3381</v>
      </c>
    </row>
    <row r="137" spans="1:7" ht="24.9" customHeight="1">
      <c r="A137" s="106">
        <v>129</v>
      </c>
      <c r="B137" s="106" t="s">
        <v>3412</v>
      </c>
      <c r="C137" s="104">
        <v>100504</v>
      </c>
      <c r="D137" s="106" t="s">
        <v>3990</v>
      </c>
      <c r="E137" s="106" t="s">
        <v>767</v>
      </c>
      <c r="F137" s="218"/>
      <c r="G137" s="106" t="s">
        <v>6770</v>
      </c>
    </row>
    <row r="138" spans="1:7" ht="24.9" customHeight="1">
      <c r="A138" s="105">
        <v>130</v>
      </c>
      <c r="B138" s="105" t="s">
        <v>834</v>
      </c>
      <c r="C138" s="103">
        <v>20434</v>
      </c>
      <c r="D138" s="105" t="s">
        <v>8253</v>
      </c>
      <c r="E138" s="105" t="s">
        <v>3365</v>
      </c>
      <c r="F138" s="217"/>
      <c r="G138" s="105" t="s">
        <v>3381</v>
      </c>
    </row>
    <row r="139" spans="1:7" ht="24.9" customHeight="1">
      <c r="A139" s="106">
        <v>131</v>
      </c>
      <c r="B139" s="106" t="s">
        <v>3413</v>
      </c>
      <c r="C139" s="104">
        <v>20471</v>
      </c>
      <c r="D139" s="106" t="s">
        <v>4098</v>
      </c>
      <c r="E139" s="106" t="s">
        <v>8129</v>
      </c>
      <c r="F139" s="218"/>
      <c r="G139" s="106" t="s">
        <v>3381</v>
      </c>
    </row>
    <row r="140" spans="1:7" ht="24.9" customHeight="1">
      <c r="A140" s="105">
        <v>132</v>
      </c>
      <c r="B140" s="105" t="s">
        <v>7729</v>
      </c>
      <c r="C140" s="103">
        <v>21004</v>
      </c>
      <c r="D140" s="105" t="s">
        <v>8253</v>
      </c>
      <c r="E140" s="105" t="s">
        <v>3567</v>
      </c>
      <c r="F140" s="217"/>
      <c r="G140" s="105" t="s">
        <v>3381</v>
      </c>
    </row>
    <row r="141" spans="1:7" ht="24.9" customHeight="1">
      <c r="A141" s="106">
        <v>133</v>
      </c>
      <c r="B141" s="106" t="s">
        <v>1063</v>
      </c>
      <c r="C141" s="104">
        <v>896</v>
      </c>
      <c r="D141" s="106" t="s">
        <v>3564</v>
      </c>
      <c r="E141" s="106" t="s">
        <v>3599</v>
      </c>
      <c r="F141" s="218"/>
      <c r="G141" s="106" t="s">
        <v>3381</v>
      </c>
    </row>
    <row r="142" spans="1:7" ht="24.9" customHeight="1">
      <c r="A142" s="105">
        <v>134</v>
      </c>
      <c r="B142" s="105" t="s">
        <v>6964</v>
      </c>
      <c r="C142" s="103" t="s">
        <v>3649</v>
      </c>
      <c r="D142" s="105" t="s">
        <v>6966</v>
      </c>
      <c r="E142" s="105" t="s">
        <v>6967</v>
      </c>
      <c r="F142" s="217"/>
      <c r="G142" s="105" t="s">
        <v>3381</v>
      </c>
    </row>
    <row r="143" spans="1:7" ht="24.9" customHeight="1">
      <c r="A143" s="106">
        <v>135</v>
      </c>
      <c r="B143" s="106" t="s">
        <v>5505</v>
      </c>
      <c r="C143" s="104" t="s">
        <v>5506</v>
      </c>
      <c r="D143" s="106" t="s">
        <v>3572</v>
      </c>
      <c r="E143" s="106" t="s">
        <v>3359</v>
      </c>
      <c r="F143" s="218">
        <v>6570030248</v>
      </c>
      <c r="G143" s="106" t="s">
        <v>3381</v>
      </c>
    </row>
    <row r="144" spans="1:7" ht="24.9" customHeight="1">
      <c r="A144" s="105">
        <v>136</v>
      </c>
      <c r="B144" s="105" t="s">
        <v>5507</v>
      </c>
      <c r="C144" s="103" t="s">
        <v>3649</v>
      </c>
      <c r="D144" s="105" t="s">
        <v>4937</v>
      </c>
      <c r="E144" s="105" t="s">
        <v>3579</v>
      </c>
      <c r="F144" s="217"/>
      <c r="G144" s="105" t="s">
        <v>3381</v>
      </c>
    </row>
    <row r="145" spans="1:7" ht="24.9" customHeight="1">
      <c r="A145" s="106">
        <v>137</v>
      </c>
      <c r="B145" s="106" t="s">
        <v>1101</v>
      </c>
      <c r="C145" s="104">
        <v>20458</v>
      </c>
      <c r="D145" s="106" t="s">
        <v>8253</v>
      </c>
      <c r="E145" s="106" t="s">
        <v>1480</v>
      </c>
      <c r="F145" s="218"/>
      <c r="G145" s="106" t="s">
        <v>3381</v>
      </c>
    </row>
    <row r="146" spans="1:7" ht="24.9" customHeight="1">
      <c r="A146" s="105">
        <v>138</v>
      </c>
      <c r="B146" s="105" t="s">
        <v>2819</v>
      </c>
      <c r="C146" s="103">
        <v>100500</v>
      </c>
      <c r="D146" s="105" t="s">
        <v>3572</v>
      </c>
      <c r="E146" s="105" t="s">
        <v>766</v>
      </c>
      <c r="F146" s="217"/>
      <c r="G146" s="105" t="s">
        <v>3381</v>
      </c>
    </row>
    <row r="147" spans="1:7" ht="24.9" customHeight="1">
      <c r="A147" s="106">
        <v>139</v>
      </c>
      <c r="B147" s="106" t="s">
        <v>3414</v>
      </c>
      <c r="C147" s="104">
        <v>100505</v>
      </c>
      <c r="D147" s="106" t="s">
        <v>3572</v>
      </c>
      <c r="E147" s="106" t="s">
        <v>766</v>
      </c>
      <c r="F147" s="218"/>
      <c r="G147" s="106" t="s">
        <v>3381</v>
      </c>
    </row>
    <row r="148" spans="1:7" ht="24.9" customHeight="1">
      <c r="A148" s="105">
        <v>140</v>
      </c>
      <c r="B148" s="105" t="s">
        <v>2817</v>
      </c>
      <c r="C148" s="103">
        <v>100510</v>
      </c>
      <c r="D148" s="105" t="s">
        <v>3572</v>
      </c>
      <c r="E148" s="105" t="s">
        <v>766</v>
      </c>
      <c r="F148" s="217"/>
      <c r="G148" s="105" t="s">
        <v>3381</v>
      </c>
    </row>
    <row r="149" spans="1:7" ht="24.9" customHeight="1">
      <c r="A149" s="106">
        <v>141</v>
      </c>
      <c r="B149" s="106" t="s">
        <v>3415</v>
      </c>
      <c r="C149" s="104">
        <v>100508</v>
      </c>
      <c r="D149" s="106" t="s">
        <v>3572</v>
      </c>
      <c r="E149" s="106" t="s">
        <v>3582</v>
      </c>
      <c r="F149" s="218"/>
      <c r="G149" s="106" t="s">
        <v>3381</v>
      </c>
    </row>
    <row r="150" spans="1:7" ht="24.9" customHeight="1">
      <c r="A150" s="105">
        <v>142</v>
      </c>
      <c r="B150" s="105" t="s">
        <v>2818</v>
      </c>
      <c r="C150" s="103">
        <v>4001108</v>
      </c>
      <c r="D150" s="105" t="s">
        <v>3564</v>
      </c>
      <c r="E150" s="105" t="s">
        <v>3569</v>
      </c>
      <c r="F150" s="217"/>
      <c r="G150" s="105" t="s">
        <v>3381</v>
      </c>
    </row>
    <row r="151" spans="1:7" ht="24.9" customHeight="1">
      <c r="A151" s="106">
        <v>143</v>
      </c>
      <c r="B151" s="106" t="s">
        <v>5056</v>
      </c>
      <c r="C151" s="104" t="s">
        <v>3649</v>
      </c>
      <c r="D151" s="106" t="s">
        <v>3572</v>
      </c>
      <c r="E151" s="106" t="s">
        <v>767</v>
      </c>
      <c r="F151" s="218">
        <v>2420023781</v>
      </c>
      <c r="G151" s="106" t="s">
        <v>3381</v>
      </c>
    </row>
    <row r="152" spans="1:7" ht="24.9" customHeight="1">
      <c r="A152" s="105">
        <v>144</v>
      </c>
      <c r="B152" s="105" t="s">
        <v>3600</v>
      </c>
      <c r="C152" s="103">
        <v>100507</v>
      </c>
      <c r="D152" s="105" t="s">
        <v>3572</v>
      </c>
      <c r="E152" s="105" t="s">
        <v>767</v>
      </c>
      <c r="F152" s="217"/>
      <c r="G152" s="105" t="s">
        <v>3381</v>
      </c>
    </row>
    <row r="153" spans="1:7" ht="24.9" customHeight="1">
      <c r="A153" s="106">
        <v>145</v>
      </c>
      <c r="B153" s="106" t="s">
        <v>2826</v>
      </c>
      <c r="C153" s="104">
        <v>100503</v>
      </c>
      <c r="D153" s="106" t="s">
        <v>3572</v>
      </c>
      <c r="E153" s="106" t="s">
        <v>2609</v>
      </c>
      <c r="F153" s="218"/>
      <c r="G153" s="106" t="s">
        <v>3381</v>
      </c>
    </row>
    <row r="154" spans="1:7" ht="24.9" customHeight="1">
      <c r="A154" s="105">
        <v>146</v>
      </c>
      <c r="B154" s="105" t="s">
        <v>2825</v>
      </c>
      <c r="C154" s="103">
        <v>100536</v>
      </c>
      <c r="D154" s="105" t="s">
        <v>3572</v>
      </c>
      <c r="E154" s="105" t="s">
        <v>2609</v>
      </c>
      <c r="F154" s="217"/>
      <c r="G154" s="105" t="s">
        <v>3381</v>
      </c>
    </row>
    <row r="155" spans="1:7" ht="24.9" customHeight="1">
      <c r="A155" s="106">
        <v>147</v>
      </c>
      <c r="B155" s="106" t="s">
        <v>3417</v>
      </c>
      <c r="C155" s="104" t="s">
        <v>5021</v>
      </c>
      <c r="D155" s="106" t="s">
        <v>3564</v>
      </c>
      <c r="E155" s="106" t="s">
        <v>770</v>
      </c>
      <c r="F155" s="218"/>
      <c r="G155" s="106" t="s">
        <v>3381</v>
      </c>
    </row>
    <row r="156" spans="1:7" ht="24.9" customHeight="1">
      <c r="A156" s="105">
        <v>148</v>
      </c>
      <c r="B156" s="105" t="s">
        <v>1441</v>
      </c>
      <c r="C156" s="103">
        <v>526</v>
      </c>
      <c r="D156" s="105" t="s">
        <v>3564</v>
      </c>
      <c r="E156" s="105" t="s">
        <v>3601</v>
      </c>
      <c r="F156" s="217"/>
      <c r="G156" s="105" t="s">
        <v>3381</v>
      </c>
    </row>
    <row r="157" spans="1:7" ht="24.9" customHeight="1">
      <c r="A157" s="106">
        <v>149</v>
      </c>
      <c r="B157" s="106" t="s">
        <v>3418</v>
      </c>
      <c r="C157" s="104">
        <v>100516</v>
      </c>
      <c r="D157" s="106" t="s">
        <v>3572</v>
      </c>
      <c r="E157" s="106" t="s">
        <v>3579</v>
      </c>
      <c r="F157" s="218"/>
      <c r="G157" s="106" t="s">
        <v>3381</v>
      </c>
    </row>
    <row r="158" spans="1:7" ht="24.9" customHeight="1">
      <c r="A158" s="105">
        <v>150</v>
      </c>
      <c r="B158" s="105" t="s">
        <v>2823</v>
      </c>
      <c r="C158" s="103">
        <v>100518</v>
      </c>
      <c r="D158" s="105" t="s">
        <v>3572</v>
      </c>
      <c r="E158" s="105"/>
      <c r="F158" s="217"/>
      <c r="G158" s="105" t="s">
        <v>3381</v>
      </c>
    </row>
    <row r="159" spans="1:7" ht="24.9" customHeight="1">
      <c r="A159" s="106">
        <v>151</v>
      </c>
      <c r="B159" s="106" t="s">
        <v>3419</v>
      </c>
      <c r="C159" s="104" t="s">
        <v>3602</v>
      </c>
      <c r="D159" s="106" t="s">
        <v>3572</v>
      </c>
      <c r="E159" s="106" t="s">
        <v>3603</v>
      </c>
      <c r="F159" s="218"/>
      <c r="G159" s="106" t="s">
        <v>3381</v>
      </c>
    </row>
    <row r="160" spans="1:7" ht="24.9" customHeight="1">
      <c r="A160" s="105">
        <v>152</v>
      </c>
      <c r="B160" s="105" t="s">
        <v>3420</v>
      </c>
      <c r="C160" s="103" t="s">
        <v>2140</v>
      </c>
      <c r="D160" s="105" t="s">
        <v>3572</v>
      </c>
      <c r="E160" s="105" t="s">
        <v>2609</v>
      </c>
      <c r="F160" s="217"/>
      <c r="G160" s="105" t="s">
        <v>3381</v>
      </c>
    </row>
    <row r="161" spans="1:7" ht="24.9" customHeight="1">
      <c r="A161" s="106">
        <v>153</v>
      </c>
      <c r="B161" s="106" t="s">
        <v>765</v>
      </c>
      <c r="C161" s="104">
        <v>224</v>
      </c>
      <c r="D161" s="106" t="s">
        <v>3564</v>
      </c>
      <c r="E161" s="106" t="s">
        <v>3597</v>
      </c>
      <c r="F161" s="218"/>
      <c r="G161" s="106" t="s">
        <v>3381</v>
      </c>
    </row>
    <row r="162" spans="1:7" ht="24.9" customHeight="1">
      <c r="A162" s="105">
        <v>154</v>
      </c>
      <c r="B162" s="105" t="s">
        <v>4412</v>
      </c>
      <c r="C162" s="103" t="s">
        <v>4413</v>
      </c>
      <c r="D162" s="105" t="s">
        <v>3564</v>
      </c>
      <c r="E162" s="105" t="s">
        <v>3597</v>
      </c>
      <c r="F162" s="217"/>
      <c r="G162" s="105" t="s">
        <v>3381</v>
      </c>
    </row>
    <row r="163" spans="1:7" ht="24.9" customHeight="1">
      <c r="A163" s="106">
        <v>155</v>
      </c>
      <c r="B163" s="106" t="s">
        <v>793</v>
      </c>
      <c r="C163" s="104">
        <v>4000406</v>
      </c>
      <c r="D163" s="106" t="s">
        <v>3564</v>
      </c>
      <c r="E163" s="106" t="s">
        <v>3604</v>
      </c>
      <c r="F163" s="218"/>
      <c r="G163" s="106" t="s">
        <v>3381</v>
      </c>
    </row>
    <row r="164" spans="1:7" ht="24.9" customHeight="1">
      <c r="A164" s="105">
        <v>156</v>
      </c>
      <c r="B164" s="105" t="s">
        <v>2827</v>
      </c>
      <c r="C164" s="103">
        <v>990903</v>
      </c>
      <c r="D164" s="105" t="s">
        <v>3564</v>
      </c>
      <c r="E164" s="105" t="s">
        <v>3605</v>
      </c>
      <c r="F164" s="217"/>
      <c r="G164" s="105" t="s">
        <v>3381</v>
      </c>
    </row>
    <row r="165" spans="1:7" ht="24.9" customHeight="1">
      <c r="A165" s="106">
        <v>157</v>
      </c>
      <c r="B165" s="106" t="s">
        <v>3421</v>
      </c>
      <c r="C165" s="104" t="s">
        <v>3606</v>
      </c>
      <c r="D165" s="106" t="s">
        <v>3572</v>
      </c>
      <c r="E165" s="106" t="s">
        <v>766</v>
      </c>
      <c r="F165" s="218"/>
      <c r="G165" s="106" t="s">
        <v>3381</v>
      </c>
    </row>
    <row r="166" spans="1:7" ht="24.9" customHeight="1">
      <c r="A166" s="105">
        <v>158</v>
      </c>
      <c r="B166" s="105" t="s">
        <v>3422</v>
      </c>
      <c r="C166" s="103">
        <v>100527</v>
      </c>
      <c r="D166" s="105" t="s">
        <v>3572</v>
      </c>
      <c r="E166" s="105" t="s">
        <v>766</v>
      </c>
      <c r="F166" s="217"/>
      <c r="G166" s="105" t="s">
        <v>3381</v>
      </c>
    </row>
    <row r="167" spans="1:7" ht="24.9" customHeight="1">
      <c r="A167" s="106">
        <v>159</v>
      </c>
      <c r="B167" s="106" t="s">
        <v>5136</v>
      </c>
      <c r="C167" s="104" t="s">
        <v>5137</v>
      </c>
      <c r="D167" s="106" t="s">
        <v>3572</v>
      </c>
      <c r="E167" s="106" t="s">
        <v>3359</v>
      </c>
      <c r="F167" s="218">
        <v>5470002111</v>
      </c>
      <c r="G167" s="106" t="s">
        <v>3381</v>
      </c>
    </row>
    <row r="168" spans="1:7" ht="24.9" customHeight="1">
      <c r="A168" s="105">
        <v>160</v>
      </c>
      <c r="B168" s="105" t="s">
        <v>2815</v>
      </c>
      <c r="C168" s="103">
        <v>100534</v>
      </c>
      <c r="D168" s="105" t="s">
        <v>3572</v>
      </c>
      <c r="E168" s="105" t="s">
        <v>770</v>
      </c>
      <c r="F168" s="217"/>
      <c r="G168" s="105" t="s">
        <v>3381</v>
      </c>
    </row>
    <row r="169" spans="1:7" ht="24.9" customHeight="1">
      <c r="A169" s="106">
        <v>161</v>
      </c>
      <c r="B169" s="106" t="s">
        <v>3423</v>
      </c>
      <c r="C169" s="104">
        <v>100529</v>
      </c>
      <c r="D169" s="106" t="s">
        <v>3572</v>
      </c>
      <c r="E169" s="106" t="s">
        <v>3359</v>
      </c>
      <c r="F169" s="218"/>
      <c r="G169" s="106" t="s">
        <v>3381</v>
      </c>
    </row>
    <row r="170" spans="1:7" ht="24.9" customHeight="1">
      <c r="A170" s="105">
        <v>162</v>
      </c>
      <c r="B170" s="105" t="s">
        <v>3147</v>
      </c>
      <c r="C170" s="103" t="s">
        <v>3607</v>
      </c>
      <c r="D170" s="105" t="s">
        <v>3564</v>
      </c>
      <c r="E170" s="105" t="s">
        <v>3608</v>
      </c>
      <c r="F170" s="217"/>
      <c r="G170" s="105" t="s">
        <v>3381</v>
      </c>
    </row>
    <row r="171" spans="1:7" ht="24.9" customHeight="1">
      <c r="A171" s="106">
        <v>163</v>
      </c>
      <c r="B171" s="106" t="s">
        <v>3424</v>
      </c>
      <c r="C171" s="104" t="s">
        <v>3239</v>
      </c>
      <c r="D171" s="106" t="s">
        <v>3572</v>
      </c>
      <c r="E171" s="106" t="s">
        <v>3579</v>
      </c>
      <c r="F171" s="218">
        <v>4670130749</v>
      </c>
      <c r="G171" s="106" t="s">
        <v>3381</v>
      </c>
    </row>
    <row r="172" spans="1:7" ht="24.9" customHeight="1">
      <c r="A172" s="105">
        <v>164</v>
      </c>
      <c r="B172" s="105" t="s">
        <v>3425</v>
      </c>
      <c r="C172" s="103">
        <v>4010410</v>
      </c>
      <c r="D172" s="105" t="s">
        <v>3564</v>
      </c>
      <c r="E172" s="105" t="s">
        <v>3579</v>
      </c>
      <c r="F172" s="217"/>
      <c r="G172" s="105" t="s">
        <v>3381</v>
      </c>
    </row>
    <row r="173" spans="1:7" ht="24.9" customHeight="1">
      <c r="A173" s="106">
        <v>165</v>
      </c>
      <c r="B173" s="106" t="s">
        <v>3426</v>
      </c>
      <c r="C173" s="104">
        <v>100535</v>
      </c>
      <c r="D173" s="106" t="s">
        <v>3572</v>
      </c>
      <c r="E173" s="106" t="s">
        <v>3359</v>
      </c>
      <c r="F173" s="218">
        <v>3071788673</v>
      </c>
      <c r="G173" s="106" t="s">
        <v>3381</v>
      </c>
    </row>
    <row r="174" spans="1:7" ht="24.9" customHeight="1">
      <c r="A174" s="105">
        <v>166</v>
      </c>
      <c r="B174" s="105" t="s">
        <v>3427</v>
      </c>
      <c r="C174" s="103">
        <v>1916</v>
      </c>
      <c r="D174" s="105" t="s">
        <v>3564</v>
      </c>
      <c r="E174" s="105" t="s">
        <v>3609</v>
      </c>
      <c r="F174" s="217"/>
      <c r="G174" s="105" t="s">
        <v>3381</v>
      </c>
    </row>
    <row r="175" spans="1:7" ht="24.9" customHeight="1">
      <c r="A175" s="106">
        <v>167</v>
      </c>
      <c r="B175" s="106" t="s">
        <v>2828</v>
      </c>
      <c r="C175" s="104">
        <v>20348</v>
      </c>
      <c r="D175" s="106" t="s">
        <v>8253</v>
      </c>
      <c r="E175" s="106" t="s">
        <v>3610</v>
      </c>
      <c r="F175" s="218"/>
      <c r="G175" s="106" t="s">
        <v>3381</v>
      </c>
    </row>
    <row r="176" spans="1:7" ht="24.9" customHeight="1">
      <c r="A176" s="105">
        <v>168</v>
      </c>
      <c r="B176" s="105" t="s">
        <v>3428</v>
      </c>
      <c r="C176" s="103">
        <v>100531</v>
      </c>
      <c r="D176" s="105" t="s">
        <v>3572</v>
      </c>
      <c r="E176" s="105" t="s">
        <v>3359</v>
      </c>
      <c r="F176" s="217"/>
      <c r="G176" s="105" t="s">
        <v>3381</v>
      </c>
    </row>
    <row r="177" spans="1:7" ht="24.9" customHeight="1">
      <c r="A177" s="106">
        <v>169</v>
      </c>
      <c r="B177" s="106" t="s">
        <v>1835</v>
      </c>
      <c r="C177" s="104">
        <v>100515</v>
      </c>
      <c r="D177" s="106" t="s">
        <v>3572</v>
      </c>
      <c r="E177" s="106" t="s">
        <v>3611</v>
      </c>
      <c r="F177" s="218"/>
      <c r="G177" s="106" t="s">
        <v>3381</v>
      </c>
    </row>
    <row r="178" spans="1:7" ht="24.9" customHeight="1">
      <c r="A178" s="105">
        <v>170</v>
      </c>
      <c r="B178" s="105" t="s">
        <v>3429</v>
      </c>
      <c r="C178" s="103" t="s">
        <v>3612</v>
      </c>
      <c r="D178" s="105" t="s">
        <v>3572</v>
      </c>
      <c r="E178" s="105" t="s">
        <v>770</v>
      </c>
      <c r="F178" s="217"/>
      <c r="G178" s="105" t="s">
        <v>3381</v>
      </c>
    </row>
    <row r="179" spans="1:7" ht="24.9" customHeight="1">
      <c r="A179" s="106">
        <v>171</v>
      </c>
      <c r="B179" s="106" t="s">
        <v>1847</v>
      </c>
      <c r="C179" s="104" t="s">
        <v>3613</v>
      </c>
      <c r="D179" s="106" t="s">
        <v>3572</v>
      </c>
      <c r="E179" s="106" t="s">
        <v>3358</v>
      </c>
      <c r="F179" s="218"/>
      <c r="G179" s="106" t="s">
        <v>3381</v>
      </c>
    </row>
    <row r="180" spans="1:7" ht="24.9" customHeight="1">
      <c r="A180" s="105">
        <v>172</v>
      </c>
      <c r="B180" s="105" t="s">
        <v>5356</v>
      </c>
      <c r="C180" s="103" t="s">
        <v>5357</v>
      </c>
      <c r="D180" s="105" t="s">
        <v>3564</v>
      </c>
      <c r="E180" s="105" t="s">
        <v>766</v>
      </c>
      <c r="F180" s="217">
        <v>69340765</v>
      </c>
      <c r="G180" s="105" t="s">
        <v>3381</v>
      </c>
    </row>
    <row r="181" spans="1:7" ht="24.9" customHeight="1">
      <c r="A181" s="106">
        <v>173</v>
      </c>
      <c r="B181" s="106" t="s">
        <v>3430</v>
      </c>
      <c r="C181" s="104" t="s">
        <v>3614</v>
      </c>
      <c r="D181" s="106" t="s">
        <v>3572</v>
      </c>
      <c r="E181" s="106" t="s">
        <v>3615</v>
      </c>
      <c r="F181" s="218"/>
      <c r="G181" s="106" t="s">
        <v>3381</v>
      </c>
    </row>
    <row r="182" spans="1:7" ht="24.9" customHeight="1">
      <c r="A182" s="105">
        <v>174</v>
      </c>
      <c r="B182" s="105" t="s">
        <v>3431</v>
      </c>
      <c r="C182" s="103" t="s">
        <v>3167</v>
      </c>
      <c r="D182" s="105" t="s">
        <v>3572</v>
      </c>
      <c r="E182" s="105" t="s">
        <v>767</v>
      </c>
      <c r="F182" s="217"/>
      <c r="G182" s="105" t="s">
        <v>3381</v>
      </c>
    </row>
    <row r="183" spans="1:7" ht="24.9" customHeight="1">
      <c r="A183" s="106">
        <v>175</v>
      </c>
      <c r="B183" s="106" t="s">
        <v>3432</v>
      </c>
      <c r="C183" s="104" t="s">
        <v>3616</v>
      </c>
      <c r="D183" s="106" t="s">
        <v>3572</v>
      </c>
      <c r="E183" s="106" t="s">
        <v>767</v>
      </c>
      <c r="F183" s="218"/>
      <c r="G183" s="106" t="s">
        <v>3381</v>
      </c>
    </row>
    <row r="184" spans="1:7" ht="24.9" customHeight="1">
      <c r="A184" s="105">
        <v>176</v>
      </c>
      <c r="B184" s="105" t="s">
        <v>1859</v>
      </c>
      <c r="C184" s="103" t="s">
        <v>2198</v>
      </c>
      <c r="D184" s="105" t="s">
        <v>3564</v>
      </c>
      <c r="E184" s="105" t="s">
        <v>3617</v>
      </c>
      <c r="F184" s="217"/>
      <c r="G184" s="105" t="s">
        <v>3381</v>
      </c>
    </row>
    <row r="185" spans="1:7" ht="24.9" customHeight="1">
      <c r="A185" s="106">
        <v>177</v>
      </c>
      <c r="B185" s="106" t="s">
        <v>3433</v>
      </c>
      <c r="C185" s="104" t="s">
        <v>1901</v>
      </c>
      <c r="D185" s="106" t="s">
        <v>3564</v>
      </c>
      <c r="E185" s="106" t="s">
        <v>3357</v>
      </c>
      <c r="F185" s="218"/>
      <c r="G185" s="106" t="s">
        <v>3381</v>
      </c>
    </row>
    <row r="186" spans="1:7" ht="24.9" customHeight="1">
      <c r="A186" s="105">
        <v>178</v>
      </c>
      <c r="B186" s="105" t="s">
        <v>7514</v>
      </c>
      <c r="C186" s="103">
        <v>0</v>
      </c>
      <c r="D186" s="105" t="s">
        <v>3572</v>
      </c>
      <c r="E186" s="105" t="s">
        <v>7515</v>
      </c>
      <c r="F186" s="217">
        <v>871443775</v>
      </c>
      <c r="G186" s="105" t="s">
        <v>3381</v>
      </c>
    </row>
    <row r="187" spans="1:7" ht="24.9" customHeight="1">
      <c r="A187" s="106">
        <v>179</v>
      </c>
      <c r="B187" s="106" t="s">
        <v>7513</v>
      </c>
      <c r="C187" s="104">
        <v>0</v>
      </c>
      <c r="D187" s="106" t="s">
        <v>3572</v>
      </c>
      <c r="E187" s="106" t="s">
        <v>7515</v>
      </c>
      <c r="F187" s="218">
        <v>3120041130</v>
      </c>
      <c r="G187" s="106" t="s">
        <v>3381</v>
      </c>
    </row>
    <row r="188" spans="1:7" ht="24.9" customHeight="1">
      <c r="A188" s="105">
        <v>180</v>
      </c>
      <c r="B188" s="105" t="s">
        <v>3434</v>
      </c>
      <c r="C188" s="103" t="s">
        <v>1965</v>
      </c>
      <c r="D188" s="105" t="s">
        <v>3564</v>
      </c>
      <c r="E188" s="105" t="s">
        <v>3357</v>
      </c>
      <c r="F188" s="217"/>
      <c r="G188" s="105" t="s">
        <v>3381</v>
      </c>
    </row>
    <row r="189" spans="1:7" ht="24.9" customHeight="1">
      <c r="A189" s="106">
        <v>181</v>
      </c>
      <c r="B189" s="106" t="s">
        <v>1913</v>
      </c>
      <c r="C189" s="104"/>
      <c r="D189" s="106"/>
      <c r="E189" s="106"/>
      <c r="F189" s="218"/>
      <c r="G189" s="106" t="s">
        <v>3381</v>
      </c>
    </row>
    <row r="190" spans="1:7" ht="24.9" customHeight="1">
      <c r="A190" s="105">
        <v>182</v>
      </c>
      <c r="B190" s="105" t="s">
        <v>7507</v>
      </c>
      <c r="C190" s="103">
        <v>0</v>
      </c>
      <c r="D190" s="105" t="s">
        <v>7509</v>
      </c>
      <c r="E190" s="105" t="s">
        <v>7510</v>
      </c>
      <c r="F190" s="217"/>
      <c r="G190" s="105" t="s">
        <v>3381</v>
      </c>
    </row>
    <row r="191" spans="1:7" ht="24.9" customHeight="1">
      <c r="A191" s="106">
        <v>183</v>
      </c>
      <c r="B191" s="106" t="s">
        <v>3435</v>
      </c>
      <c r="C191" s="104" t="s">
        <v>3238</v>
      </c>
      <c r="D191" s="106" t="s">
        <v>3564</v>
      </c>
      <c r="E191" s="106" t="s">
        <v>3618</v>
      </c>
      <c r="F191" s="218"/>
      <c r="G191" s="106" t="s">
        <v>3381</v>
      </c>
    </row>
    <row r="192" spans="1:7" ht="24.9" customHeight="1">
      <c r="A192" s="105">
        <v>184</v>
      </c>
      <c r="B192" s="105" t="s">
        <v>3436</v>
      </c>
      <c r="C192" s="103" t="s">
        <v>3619</v>
      </c>
      <c r="D192" s="105" t="s">
        <v>3572</v>
      </c>
      <c r="E192" s="105" t="s">
        <v>3579</v>
      </c>
      <c r="F192" s="217"/>
      <c r="G192" s="105" t="s">
        <v>3381</v>
      </c>
    </row>
    <row r="193" spans="1:7" ht="24.9" customHeight="1">
      <c r="A193" s="106">
        <v>185</v>
      </c>
      <c r="B193" s="106" t="s">
        <v>3437</v>
      </c>
      <c r="C193" s="104" t="s">
        <v>3620</v>
      </c>
      <c r="D193" s="106" t="s">
        <v>3572</v>
      </c>
      <c r="E193" s="106" t="s">
        <v>3621</v>
      </c>
      <c r="F193" s="218"/>
      <c r="G193" s="106" t="s">
        <v>3381</v>
      </c>
    </row>
    <row r="194" spans="1:7" ht="24.9" customHeight="1">
      <c r="A194" s="105">
        <v>186</v>
      </c>
      <c r="B194" s="105" t="s">
        <v>3438</v>
      </c>
      <c r="C194" s="103" t="s">
        <v>3622</v>
      </c>
      <c r="D194" s="105" t="s">
        <v>3572</v>
      </c>
      <c r="E194" s="105" t="s">
        <v>767</v>
      </c>
      <c r="F194" s="217"/>
      <c r="G194" s="105" t="s">
        <v>3381</v>
      </c>
    </row>
    <row r="195" spans="1:7" ht="24.9" customHeight="1">
      <c r="A195" s="106">
        <v>187</v>
      </c>
      <c r="B195" s="106" t="s">
        <v>3439</v>
      </c>
      <c r="C195" s="104" t="s">
        <v>3623</v>
      </c>
      <c r="D195" s="106" t="s">
        <v>3572</v>
      </c>
      <c r="E195" s="106" t="s">
        <v>767</v>
      </c>
      <c r="F195" s="218"/>
      <c r="G195" s="106" t="s">
        <v>3381</v>
      </c>
    </row>
    <row r="196" spans="1:7" ht="24.9" customHeight="1">
      <c r="A196" s="105">
        <v>188</v>
      </c>
      <c r="B196" s="105" t="s">
        <v>3440</v>
      </c>
      <c r="C196" s="103"/>
      <c r="D196" s="105"/>
      <c r="E196" s="105"/>
      <c r="F196" s="217"/>
      <c r="G196" s="105" t="s">
        <v>3381</v>
      </c>
    </row>
    <row r="197" spans="1:7" ht="24.9" customHeight="1">
      <c r="A197" s="106">
        <v>189</v>
      </c>
      <c r="B197" s="106" t="s">
        <v>5362</v>
      </c>
      <c r="C197" s="104" t="s">
        <v>3649</v>
      </c>
      <c r="D197" s="106" t="s">
        <v>5363</v>
      </c>
      <c r="E197" s="106" t="s">
        <v>3357</v>
      </c>
      <c r="F197" s="218">
        <v>4060075108</v>
      </c>
      <c r="G197" s="106" t="s">
        <v>3381</v>
      </c>
    </row>
    <row r="198" spans="1:7" ht="24.9" customHeight="1">
      <c r="A198" s="105">
        <v>190</v>
      </c>
      <c r="B198" s="105" t="s">
        <v>5389</v>
      </c>
      <c r="C198" s="103" t="s">
        <v>3649</v>
      </c>
      <c r="D198" s="105" t="s">
        <v>5363</v>
      </c>
      <c r="E198" s="105" t="s">
        <v>3357</v>
      </c>
      <c r="F198" s="217">
        <v>3320021451</v>
      </c>
      <c r="G198" s="105" t="s">
        <v>3381</v>
      </c>
    </row>
    <row r="199" spans="1:7" ht="24.9" customHeight="1">
      <c r="A199" s="106">
        <v>191</v>
      </c>
      <c r="B199" s="106" t="s">
        <v>5388</v>
      </c>
      <c r="C199" s="104" t="s">
        <v>3649</v>
      </c>
      <c r="D199" s="106" t="s">
        <v>3572</v>
      </c>
      <c r="E199" s="106" t="s">
        <v>3359</v>
      </c>
      <c r="F199" s="218"/>
      <c r="G199" s="106" t="s">
        <v>3381</v>
      </c>
    </row>
    <row r="200" spans="1:7" ht="24.9" customHeight="1">
      <c r="A200" s="105">
        <v>192</v>
      </c>
      <c r="B200" s="105" t="s">
        <v>7919</v>
      </c>
      <c r="C200" s="103">
        <v>0</v>
      </c>
      <c r="D200" s="105" t="s">
        <v>4098</v>
      </c>
      <c r="E200" s="105" t="s">
        <v>3359</v>
      </c>
      <c r="F200" s="217"/>
      <c r="G200" s="105" t="s">
        <v>3381</v>
      </c>
    </row>
    <row r="201" spans="1:7" ht="24.9" customHeight="1">
      <c r="A201" s="106">
        <v>193</v>
      </c>
      <c r="B201" s="106" t="s">
        <v>3441</v>
      </c>
      <c r="C201" s="104" t="s">
        <v>3624</v>
      </c>
      <c r="D201" s="106" t="s">
        <v>8253</v>
      </c>
      <c r="E201" s="106" t="s">
        <v>771</v>
      </c>
      <c r="F201" s="218">
        <v>3120155039</v>
      </c>
      <c r="G201" s="106" t="s">
        <v>3381</v>
      </c>
    </row>
    <row r="202" spans="1:7" ht="24.9" customHeight="1">
      <c r="A202" s="105">
        <v>194</v>
      </c>
      <c r="B202" s="105" t="s">
        <v>7912</v>
      </c>
      <c r="C202" s="103">
        <v>0</v>
      </c>
      <c r="D202" s="105" t="s">
        <v>4937</v>
      </c>
      <c r="E202" s="105" t="s">
        <v>7913</v>
      </c>
      <c r="F202" s="217"/>
      <c r="G202" s="105" t="s">
        <v>3381</v>
      </c>
    </row>
    <row r="203" spans="1:7" ht="24.9" customHeight="1">
      <c r="A203" s="106">
        <v>195</v>
      </c>
      <c r="B203" s="106" t="s">
        <v>5358</v>
      </c>
      <c r="C203" s="104" t="s">
        <v>3649</v>
      </c>
      <c r="D203" s="106" t="s">
        <v>4937</v>
      </c>
      <c r="E203" s="106" t="s">
        <v>5359</v>
      </c>
      <c r="F203" s="218">
        <v>6169882182</v>
      </c>
      <c r="G203" s="106" t="s">
        <v>3381</v>
      </c>
    </row>
    <row r="204" spans="1:7" ht="24.9" customHeight="1">
      <c r="A204" s="105">
        <v>196</v>
      </c>
      <c r="B204" s="105" t="s">
        <v>5285</v>
      </c>
      <c r="C204" s="103" t="s">
        <v>3649</v>
      </c>
      <c r="D204" s="105" t="s">
        <v>4937</v>
      </c>
      <c r="E204" s="105" t="s">
        <v>5359</v>
      </c>
      <c r="F204" s="217">
        <v>2301321401</v>
      </c>
      <c r="G204" s="105" t="s">
        <v>3381</v>
      </c>
    </row>
    <row r="205" spans="1:7" ht="24.9" customHeight="1">
      <c r="A205" s="106">
        <v>197</v>
      </c>
      <c r="B205" s="106" t="s">
        <v>7904</v>
      </c>
      <c r="C205" s="104">
        <v>0</v>
      </c>
      <c r="D205" s="106" t="s">
        <v>4937</v>
      </c>
      <c r="E205" s="106" t="s">
        <v>7001</v>
      </c>
      <c r="F205" s="218"/>
      <c r="G205" s="106" t="s">
        <v>3381</v>
      </c>
    </row>
    <row r="206" spans="1:7" ht="24.9" customHeight="1">
      <c r="A206" s="105">
        <v>198</v>
      </c>
      <c r="B206" s="105" t="s">
        <v>3442</v>
      </c>
      <c r="C206" s="103" t="s">
        <v>2726</v>
      </c>
      <c r="D206" s="105" t="s">
        <v>8253</v>
      </c>
      <c r="E206" s="105" t="s">
        <v>3567</v>
      </c>
      <c r="F206" s="217"/>
      <c r="G206" s="105" t="s">
        <v>3381</v>
      </c>
    </row>
    <row r="207" spans="1:7" ht="24.9" customHeight="1">
      <c r="A207" s="106">
        <v>199</v>
      </c>
      <c r="B207" s="106" t="s">
        <v>3443</v>
      </c>
      <c r="C207" s="104" t="s">
        <v>3625</v>
      </c>
      <c r="D207" s="106" t="s">
        <v>3572</v>
      </c>
      <c r="E207" s="106" t="s">
        <v>3615</v>
      </c>
      <c r="F207" s="218"/>
      <c r="G207" s="106" t="s">
        <v>3381</v>
      </c>
    </row>
    <row r="208" spans="1:7" ht="24.9" customHeight="1">
      <c r="A208" s="105">
        <v>200</v>
      </c>
      <c r="B208" s="105" t="s">
        <v>7914</v>
      </c>
      <c r="C208" s="103">
        <v>0</v>
      </c>
      <c r="D208" s="105" t="s">
        <v>7915</v>
      </c>
      <c r="E208" s="105" t="s">
        <v>2857</v>
      </c>
      <c r="F208" s="217"/>
      <c r="G208" s="105" t="s">
        <v>3381</v>
      </c>
    </row>
    <row r="209" spans="1:7" ht="24.9" customHeight="1">
      <c r="A209" s="106">
        <v>201</v>
      </c>
      <c r="B209" s="106" t="s">
        <v>7884</v>
      </c>
      <c r="C209" s="104">
        <v>100664</v>
      </c>
      <c r="D209" s="106" t="s">
        <v>3572</v>
      </c>
      <c r="E209" s="106" t="s">
        <v>3615</v>
      </c>
      <c r="F209" s="218">
        <v>1841659851</v>
      </c>
      <c r="G209" s="106" t="s">
        <v>3381</v>
      </c>
    </row>
    <row r="210" spans="1:7" ht="24.9" customHeight="1">
      <c r="A210" s="105">
        <v>202</v>
      </c>
      <c r="B210" s="105" t="s">
        <v>2136</v>
      </c>
      <c r="C210" s="103" t="s">
        <v>3626</v>
      </c>
      <c r="D210" s="105" t="s">
        <v>3572</v>
      </c>
      <c r="E210" s="105" t="s">
        <v>3627</v>
      </c>
      <c r="F210" s="217"/>
      <c r="G210" s="105" t="s">
        <v>3381</v>
      </c>
    </row>
    <row r="211" spans="1:7" ht="24.9" customHeight="1">
      <c r="A211" s="106">
        <v>203</v>
      </c>
      <c r="B211" s="106" t="s">
        <v>3444</v>
      </c>
      <c r="C211" s="104" t="s">
        <v>3628</v>
      </c>
      <c r="D211" s="106" t="s">
        <v>3588</v>
      </c>
      <c r="E211" s="106" t="s">
        <v>3629</v>
      </c>
      <c r="F211" s="218"/>
      <c r="G211" s="106" t="s">
        <v>3381</v>
      </c>
    </row>
    <row r="212" spans="1:7" ht="24.9" customHeight="1">
      <c r="A212" s="105">
        <v>204</v>
      </c>
      <c r="B212" s="105" t="s">
        <v>2829</v>
      </c>
      <c r="C212" s="103" t="s">
        <v>3630</v>
      </c>
      <c r="D212" s="105" t="s">
        <v>3564</v>
      </c>
      <c r="E212" s="105" t="s">
        <v>3359</v>
      </c>
      <c r="F212" s="217"/>
      <c r="G212" s="105" t="s">
        <v>3381</v>
      </c>
    </row>
    <row r="213" spans="1:7" ht="24.9" customHeight="1">
      <c r="A213" s="106">
        <v>205</v>
      </c>
      <c r="B213" s="106" t="s">
        <v>2653</v>
      </c>
      <c r="C213" s="104" t="s">
        <v>2656</v>
      </c>
      <c r="D213" s="106" t="s">
        <v>8253</v>
      </c>
      <c r="E213" s="106" t="s">
        <v>3567</v>
      </c>
      <c r="F213" s="218"/>
      <c r="G213" s="106" t="s">
        <v>3381</v>
      </c>
    </row>
    <row r="214" spans="1:7" ht="24.9" customHeight="1">
      <c r="A214" s="105">
        <v>206</v>
      </c>
      <c r="B214" s="105" t="s">
        <v>3445</v>
      </c>
      <c r="C214" s="103" t="s">
        <v>3123</v>
      </c>
      <c r="D214" s="105" t="s">
        <v>3572</v>
      </c>
      <c r="E214" s="105" t="s">
        <v>3359</v>
      </c>
      <c r="F214" s="217"/>
      <c r="G214" s="105" t="s">
        <v>3381</v>
      </c>
    </row>
    <row r="215" spans="1:7" ht="24.9" customHeight="1">
      <c r="A215" s="106">
        <v>207</v>
      </c>
      <c r="B215" s="106" t="s">
        <v>3446</v>
      </c>
      <c r="C215" s="104" t="s">
        <v>3631</v>
      </c>
      <c r="D215" s="106" t="s">
        <v>8253</v>
      </c>
      <c r="E215" s="106" t="s">
        <v>766</v>
      </c>
      <c r="F215" s="218"/>
      <c r="G215" s="106" t="s">
        <v>3381</v>
      </c>
    </row>
    <row r="216" spans="1:7" ht="24.9" customHeight="1">
      <c r="A216" s="105">
        <v>208</v>
      </c>
      <c r="B216" s="105" t="s">
        <v>3447</v>
      </c>
      <c r="C216" s="103" t="s">
        <v>3157</v>
      </c>
      <c r="D216" s="105" t="s">
        <v>8253</v>
      </c>
      <c r="E216" s="105" t="s">
        <v>3632</v>
      </c>
      <c r="F216" s="217"/>
      <c r="G216" s="105" t="s">
        <v>3381</v>
      </c>
    </row>
    <row r="217" spans="1:7" ht="24.9" customHeight="1">
      <c r="A217" s="106">
        <v>209</v>
      </c>
      <c r="B217" s="106" t="s">
        <v>3448</v>
      </c>
      <c r="C217" s="104"/>
      <c r="D217" s="106"/>
      <c r="E217" s="106" t="s">
        <v>3633</v>
      </c>
      <c r="F217" s="218"/>
      <c r="G217" s="106" t="s">
        <v>3381</v>
      </c>
    </row>
    <row r="218" spans="1:7" ht="24.9" customHeight="1">
      <c r="A218" s="105">
        <v>210</v>
      </c>
      <c r="B218" s="105" t="s">
        <v>5351</v>
      </c>
      <c r="C218" s="103" t="s">
        <v>5352</v>
      </c>
      <c r="D218" s="105" t="s">
        <v>3572</v>
      </c>
      <c r="E218" s="105" t="s">
        <v>3359</v>
      </c>
      <c r="F218" s="217">
        <v>468013979</v>
      </c>
      <c r="G218" s="105" t="s">
        <v>3381</v>
      </c>
    </row>
    <row r="219" spans="1:7" ht="24.9" customHeight="1">
      <c r="A219" s="106">
        <v>211</v>
      </c>
      <c r="B219" s="106" t="s">
        <v>3449</v>
      </c>
      <c r="C219" s="104" t="s">
        <v>3228</v>
      </c>
      <c r="D219" s="106" t="s">
        <v>3572</v>
      </c>
      <c r="E219" s="106" t="s">
        <v>3359</v>
      </c>
      <c r="F219" s="218"/>
      <c r="G219" s="106" t="s">
        <v>3381</v>
      </c>
    </row>
    <row r="220" spans="1:7" ht="24.9" customHeight="1">
      <c r="A220" s="105">
        <v>212</v>
      </c>
      <c r="B220" s="105" t="s">
        <v>3450</v>
      </c>
      <c r="C220" s="103" t="s">
        <v>3634</v>
      </c>
      <c r="D220" s="105" t="s">
        <v>3588</v>
      </c>
      <c r="E220" s="105" t="s">
        <v>3357</v>
      </c>
      <c r="F220" s="217"/>
      <c r="G220" s="105" t="s">
        <v>3381</v>
      </c>
    </row>
    <row r="221" spans="1:7" ht="24.9" customHeight="1">
      <c r="A221" s="106">
        <v>213</v>
      </c>
      <c r="B221" s="106" t="s">
        <v>7967</v>
      </c>
      <c r="C221" s="104" t="s">
        <v>4093</v>
      </c>
      <c r="D221" s="106" t="s">
        <v>3564</v>
      </c>
      <c r="E221" s="106" t="s">
        <v>4094</v>
      </c>
      <c r="F221" s="218"/>
      <c r="G221" s="106" t="s">
        <v>3381</v>
      </c>
    </row>
    <row r="222" spans="1:7" ht="24.9" customHeight="1">
      <c r="A222" s="105">
        <v>214</v>
      </c>
      <c r="B222" s="105" t="s">
        <v>4479</v>
      </c>
      <c r="C222" s="103" t="s">
        <v>4483</v>
      </c>
      <c r="D222" s="105" t="s">
        <v>3564</v>
      </c>
      <c r="E222" s="105" t="s">
        <v>3597</v>
      </c>
      <c r="F222" s="217"/>
      <c r="G222" s="105" t="s">
        <v>3381</v>
      </c>
    </row>
    <row r="223" spans="1:7" ht="24.9" customHeight="1">
      <c r="A223" s="106">
        <v>215</v>
      </c>
      <c r="B223" s="106" t="s">
        <v>151</v>
      </c>
      <c r="C223" s="104"/>
      <c r="D223" s="106"/>
      <c r="E223" s="106"/>
      <c r="F223" s="218"/>
      <c r="G223" s="106" t="s">
        <v>3381</v>
      </c>
    </row>
    <row r="224" spans="1:7" ht="24.9" customHeight="1">
      <c r="A224" s="105">
        <v>216</v>
      </c>
      <c r="B224" s="105" t="s">
        <v>3416</v>
      </c>
      <c r="C224" s="103" t="s">
        <v>3649</v>
      </c>
      <c r="D224" s="105" t="s">
        <v>3572</v>
      </c>
      <c r="E224" s="105" t="s">
        <v>767</v>
      </c>
      <c r="F224" s="217"/>
      <c r="G224" s="105" t="s">
        <v>3381</v>
      </c>
    </row>
    <row r="225" spans="1:7" ht="24.9" customHeight="1">
      <c r="A225" s="106">
        <v>217</v>
      </c>
      <c r="B225" s="106" t="s">
        <v>3781</v>
      </c>
      <c r="C225" s="104" t="s">
        <v>3649</v>
      </c>
      <c r="D225" s="106" t="s">
        <v>3572</v>
      </c>
      <c r="E225" s="106" t="s">
        <v>2609</v>
      </c>
      <c r="F225" s="218">
        <v>3329948353</v>
      </c>
      <c r="G225" s="106" t="s">
        <v>3381</v>
      </c>
    </row>
    <row r="226" spans="1:7" ht="24.9" customHeight="1">
      <c r="A226" s="105">
        <v>218</v>
      </c>
      <c r="B226" s="105" t="s">
        <v>3782</v>
      </c>
      <c r="C226" s="103" t="s">
        <v>3649</v>
      </c>
      <c r="D226" s="105" t="s">
        <v>3572</v>
      </c>
      <c r="E226" s="105" t="s">
        <v>3359</v>
      </c>
      <c r="F226" s="217"/>
      <c r="G226" s="105" t="s">
        <v>3381</v>
      </c>
    </row>
    <row r="227" spans="1:7" ht="24.9" customHeight="1">
      <c r="A227" s="106">
        <v>219</v>
      </c>
      <c r="B227" s="106" t="s">
        <v>6009</v>
      </c>
      <c r="C227" s="104" t="s">
        <v>6010</v>
      </c>
      <c r="D227" s="106" t="s">
        <v>3572</v>
      </c>
      <c r="E227" s="106" t="s">
        <v>5081</v>
      </c>
      <c r="F227" s="218" t="s">
        <v>6011</v>
      </c>
      <c r="G227" s="106" t="s">
        <v>3381</v>
      </c>
    </row>
    <row r="228" spans="1:7" ht="24.9" customHeight="1">
      <c r="A228" s="105">
        <v>220</v>
      </c>
      <c r="B228" s="105" t="s">
        <v>7250</v>
      </c>
      <c r="C228" s="103">
        <v>0</v>
      </c>
      <c r="D228" s="105" t="s">
        <v>6230</v>
      </c>
      <c r="E228" s="105" t="s">
        <v>3567</v>
      </c>
      <c r="F228" s="217">
        <v>3179702680</v>
      </c>
      <c r="G228" s="105" t="s">
        <v>3381</v>
      </c>
    </row>
    <row r="229" spans="1:7" ht="24.9" customHeight="1">
      <c r="A229" s="106">
        <v>221</v>
      </c>
      <c r="B229" s="106" t="s">
        <v>6658</v>
      </c>
      <c r="C229" s="104" t="s">
        <v>6660</v>
      </c>
      <c r="D229" s="106" t="s">
        <v>3572</v>
      </c>
      <c r="E229" s="106" t="s">
        <v>3359</v>
      </c>
      <c r="F229" s="218"/>
      <c r="G229" s="106" t="s">
        <v>3381</v>
      </c>
    </row>
    <row r="230" spans="1:7" ht="24.9" customHeight="1">
      <c r="A230" s="105">
        <v>222</v>
      </c>
      <c r="B230" s="105" t="s">
        <v>7224</v>
      </c>
      <c r="C230" s="103">
        <v>0</v>
      </c>
      <c r="D230" s="105" t="s">
        <v>6961</v>
      </c>
      <c r="E230" s="105" t="s">
        <v>7226</v>
      </c>
      <c r="F230" s="217"/>
      <c r="G230" s="105" t="s">
        <v>3381</v>
      </c>
    </row>
    <row r="231" spans="1:7" ht="24.9" customHeight="1">
      <c r="A231" s="106">
        <v>223</v>
      </c>
      <c r="B231" s="106" t="s">
        <v>6049</v>
      </c>
      <c r="C231" s="104" t="s">
        <v>3649</v>
      </c>
      <c r="D231" s="106" t="s">
        <v>3572</v>
      </c>
      <c r="E231" s="106" t="s">
        <v>3579</v>
      </c>
      <c r="F231" s="218"/>
      <c r="G231" s="106" t="s">
        <v>3381</v>
      </c>
    </row>
    <row r="232" spans="1:7" ht="24.9" customHeight="1">
      <c r="A232" s="105">
        <v>224</v>
      </c>
      <c r="B232" s="105" t="s">
        <v>3780</v>
      </c>
      <c r="C232" s="103" t="s">
        <v>5147</v>
      </c>
      <c r="D232" s="105" t="s">
        <v>3572</v>
      </c>
      <c r="E232" s="105" t="s">
        <v>3359</v>
      </c>
      <c r="F232" s="217"/>
      <c r="G232" s="105" t="s">
        <v>3381</v>
      </c>
    </row>
    <row r="233" spans="1:7" ht="24.9" customHeight="1">
      <c r="A233" s="106">
        <v>225</v>
      </c>
      <c r="B233" s="106" t="s">
        <v>3779</v>
      </c>
      <c r="C233" s="104" t="s">
        <v>3649</v>
      </c>
      <c r="D233" s="106" t="s">
        <v>3783</v>
      </c>
      <c r="E233" s="106" t="s">
        <v>3783</v>
      </c>
      <c r="F233" s="218">
        <v>3258563934</v>
      </c>
      <c r="G233" s="106" t="s">
        <v>3381</v>
      </c>
    </row>
    <row r="234" spans="1:7" ht="24.9" customHeight="1">
      <c r="A234" s="105">
        <v>226</v>
      </c>
      <c r="B234" s="105" t="s">
        <v>6073</v>
      </c>
      <c r="C234" s="103" t="s">
        <v>6074</v>
      </c>
      <c r="D234" s="105" t="s">
        <v>3572</v>
      </c>
      <c r="E234" s="105" t="s">
        <v>766</v>
      </c>
      <c r="F234" s="217">
        <v>1741094240</v>
      </c>
      <c r="G234" s="105" t="s">
        <v>3381</v>
      </c>
    </row>
    <row r="235" spans="1:7" ht="24.9" customHeight="1">
      <c r="A235" s="106">
        <v>227</v>
      </c>
      <c r="B235" s="106" t="s">
        <v>4241</v>
      </c>
      <c r="C235" s="104" t="s">
        <v>4240</v>
      </c>
      <c r="D235" s="106" t="s">
        <v>3564</v>
      </c>
      <c r="E235" s="106" t="s">
        <v>4242</v>
      </c>
      <c r="F235" s="218"/>
      <c r="G235" s="106" t="s">
        <v>3381</v>
      </c>
    </row>
    <row r="236" spans="1:7" ht="24.9" customHeight="1">
      <c r="A236" s="105">
        <v>228</v>
      </c>
      <c r="B236" s="105" t="s">
        <v>8086</v>
      </c>
      <c r="C236" s="103">
        <v>100670</v>
      </c>
      <c r="D236" s="105" t="s">
        <v>3572</v>
      </c>
      <c r="E236" s="105" t="s">
        <v>8089</v>
      </c>
      <c r="F236" s="217">
        <v>4680001542</v>
      </c>
      <c r="G236" s="105"/>
    </row>
    <row r="237" spans="1:7" ht="24.9" customHeight="1">
      <c r="A237" s="106">
        <v>229</v>
      </c>
      <c r="B237" s="106" t="s">
        <v>8087</v>
      </c>
      <c r="C237" s="104">
        <v>100671</v>
      </c>
      <c r="D237" s="106" t="s">
        <v>3572</v>
      </c>
      <c r="E237" s="106" t="s">
        <v>8090</v>
      </c>
      <c r="F237" s="218">
        <v>1381774164</v>
      </c>
      <c r="G237" s="106"/>
    </row>
    <row r="238" spans="1:7" ht="24.9" customHeight="1">
      <c r="A238" s="105">
        <v>230</v>
      </c>
      <c r="B238" s="105" t="s">
        <v>8088</v>
      </c>
      <c r="C238" s="103">
        <v>100667</v>
      </c>
      <c r="D238" s="105" t="s">
        <v>3572</v>
      </c>
      <c r="E238" s="105" t="s">
        <v>8091</v>
      </c>
      <c r="F238" s="217">
        <v>4679638427</v>
      </c>
      <c r="G238" s="105"/>
    </row>
    <row r="239" spans="1:7" ht="24.9" customHeight="1">
      <c r="A239" s="106">
        <v>231</v>
      </c>
      <c r="B239" s="106" t="s">
        <v>6116</v>
      </c>
      <c r="C239" s="104" t="s">
        <v>6117</v>
      </c>
      <c r="D239" s="106" t="s">
        <v>8253</v>
      </c>
      <c r="E239" s="106" t="s">
        <v>3567</v>
      </c>
      <c r="F239" s="218">
        <v>3060154104</v>
      </c>
      <c r="G239" s="106" t="s">
        <v>3381</v>
      </c>
    </row>
    <row r="240" spans="1:7" ht="24.9" customHeight="1">
      <c r="A240" s="105">
        <v>232</v>
      </c>
      <c r="B240" s="105" t="s">
        <v>6075</v>
      </c>
      <c r="C240" s="103" t="s">
        <v>6817</v>
      </c>
      <c r="D240" s="105" t="s">
        <v>3990</v>
      </c>
      <c r="E240" s="105" t="s">
        <v>767</v>
      </c>
      <c r="F240" s="217">
        <v>2980390070</v>
      </c>
      <c r="G240" s="105" t="s">
        <v>4071</v>
      </c>
    </row>
    <row r="241" spans="1:7" ht="24.9" customHeight="1">
      <c r="A241" s="106">
        <v>233</v>
      </c>
      <c r="B241" s="106" t="s">
        <v>4091</v>
      </c>
      <c r="C241" s="104" t="s">
        <v>3649</v>
      </c>
      <c r="D241" s="106" t="s">
        <v>4095</v>
      </c>
      <c r="E241" s="106" t="s">
        <v>4096</v>
      </c>
      <c r="F241" s="218">
        <v>2572580551</v>
      </c>
      <c r="G241" s="106" t="s">
        <v>3381</v>
      </c>
    </row>
    <row r="242" spans="1:7" ht="24.9" customHeight="1">
      <c r="A242" s="105"/>
      <c r="B242" s="105" t="s">
        <v>8396</v>
      </c>
      <c r="C242" s="103">
        <v>4040705</v>
      </c>
      <c r="D242" s="105" t="s">
        <v>7987</v>
      </c>
      <c r="E242" s="105" t="s">
        <v>8397</v>
      </c>
      <c r="F242" s="217">
        <v>2032165112</v>
      </c>
      <c r="G242" s="105" t="s">
        <v>8398</v>
      </c>
    </row>
    <row r="243" spans="1:7" ht="24.9" customHeight="1">
      <c r="A243" s="106">
        <v>234</v>
      </c>
      <c r="B243" s="106" t="s">
        <v>4097</v>
      </c>
      <c r="C243" s="104" t="s">
        <v>3649</v>
      </c>
      <c r="D243" s="106" t="s">
        <v>3572</v>
      </c>
      <c r="E243" s="106" t="s">
        <v>3359</v>
      </c>
      <c r="F243" s="218">
        <v>3521353648</v>
      </c>
      <c r="G243" s="106" t="s">
        <v>3381</v>
      </c>
    </row>
    <row r="244" spans="1:7" ht="24.9" customHeight="1">
      <c r="A244" s="105">
        <v>235</v>
      </c>
      <c r="B244" s="105" t="s">
        <v>4543</v>
      </c>
      <c r="C244" s="103" t="s">
        <v>4546</v>
      </c>
      <c r="D244" s="105" t="s">
        <v>3564</v>
      </c>
      <c r="E244" s="105" t="s">
        <v>4545</v>
      </c>
      <c r="F244" s="217"/>
      <c r="G244" s="105" t="s">
        <v>3381</v>
      </c>
    </row>
    <row r="245" spans="1:7" ht="24.9" customHeight="1">
      <c r="A245" s="106">
        <v>236</v>
      </c>
      <c r="B245" s="106" t="s">
        <v>4544</v>
      </c>
      <c r="C245" s="104" t="s">
        <v>4547</v>
      </c>
      <c r="D245" s="106" t="s">
        <v>3564</v>
      </c>
      <c r="E245" s="106" t="s">
        <v>4545</v>
      </c>
      <c r="F245" s="218"/>
      <c r="G245" s="106" t="s">
        <v>3381</v>
      </c>
    </row>
    <row r="246" spans="1:7" ht="24.9" customHeight="1">
      <c r="A246" s="105">
        <v>237</v>
      </c>
      <c r="B246" s="105" t="s">
        <v>4549</v>
      </c>
      <c r="C246" s="103" t="s">
        <v>3649</v>
      </c>
      <c r="D246" s="105" t="s">
        <v>3572</v>
      </c>
      <c r="E246" s="105" t="s">
        <v>3579</v>
      </c>
      <c r="F246" s="217" t="s">
        <v>4550</v>
      </c>
      <c r="G246" s="105" t="s">
        <v>3381</v>
      </c>
    </row>
    <row r="247" spans="1:7" ht="24.9" customHeight="1">
      <c r="A247" s="106">
        <v>238</v>
      </c>
      <c r="B247" s="106" t="s">
        <v>4542</v>
      </c>
      <c r="C247" s="104" t="s">
        <v>3649</v>
      </c>
      <c r="D247" s="106" t="s">
        <v>3572</v>
      </c>
      <c r="E247" s="106" t="s">
        <v>3579</v>
      </c>
      <c r="F247" s="218">
        <v>946784825</v>
      </c>
      <c r="G247" s="106" t="s">
        <v>3381</v>
      </c>
    </row>
    <row r="248" spans="1:7" ht="24.9" customHeight="1">
      <c r="A248" s="105">
        <v>239</v>
      </c>
      <c r="B248" s="105" t="s">
        <v>4536</v>
      </c>
      <c r="C248" s="103" t="s">
        <v>4537</v>
      </c>
      <c r="D248" s="105" t="s">
        <v>3564</v>
      </c>
      <c r="E248" s="105" t="s">
        <v>4538</v>
      </c>
      <c r="F248" s="217">
        <v>3961922594</v>
      </c>
      <c r="G248" s="105" t="s">
        <v>3381</v>
      </c>
    </row>
    <row r="249" spans="1:7" ht="24.9" customHeight="1">
      <c r="A249" s="106">
        <v>240</v>
      </c>
      <c r="B249" s="106" t="s">
        <v>4092</v>
      </c>
      <c r="C249" s="104" t="s">
        <v>3649</v>
      </c>
      <c r="D249" s="106" t="s">
        <v>4095</v>
      </c>
      <c r="E249" s="106" t="s">
        <v>4096</v>
      </c>
      <c r="F249" s="218">
        <v>1159557784</v>
      </c>
      <c r="G249" s="106" t="s">
        <v>3381</v>
      </c>
    </row>
    <row r="250" spans="1:7" ht="24.9" customHeight="1">
      <c r="A250" s="105">
        <v>241</v>
      </c>
      <c r="B250" s="105" t="s">
        <v>4246</v>
      </c>
      <c r="C250" s="103" t="s">
        <v>3649</v>
      </c>
      <c r="D250" s="105" t="s">
        <v>3572</v>
      </c>
      <c r="E250" s="105" t="s">
        <v>3579</v>
      </c>
      <c r="F250" s="217">
        <v>1288865732</v>
      </c>
      <c r="G250" s="105" t="s">
        <v>3381</v>
      </c>
    </row>
    <row r="251" spans="1:7" ht="24.9" customHeight="1">
      <c r="A251" s="106">
        <v>242</v>
      </c>
      <c r="B251" s="106" t="s">
        <v>4419</v>
      </c>
      <c r="C251" s="104" t="s">
        <v>4420</v>
      </c>
      <c r="D251" s="106" t="s">
        <v>3572</v>
      </c>
      <c r="E251" s="106" t="s">
        <v>767</v>
      </c>
      <c r="F251" s="218">
        <v>2360294466</v>
      </c>
      <c r="G251" s="106" t="s">
        <v>3381</v>
      </c>
    </row>
    <row r="252" spans="1:7" ht="24.9" customHeight="1">
      <c r="A252" s="105">
        <v>243</v>
      </c>
      <c r="B252" s="105" t="s">
        <v>4698</v>
      </c>
      <c r="C252" s="103" t="s">
        <v>5086</v>
      </c>
      <c r="D252" s="105" t="s">
        <v>3572</v>
      </c>
      <c r="E252" s="105" t="s">
        <v>767</v>
      </c>
      <c r="F252" s="217">
        <v>1292926279</v>
      </c>
      <c r="G252" s="105" t="s">
        <v>3381</v>
      </c>
    </row>
    <row r="253" spans="1:7" ht="24.9" customHeight="1">
      <c r="A253" s="106">
        <v>244</v>
      </c>
      <c r="B253" s="106" t="s">
        <v>4422</v>
      </c>
      <c r="C253" s="104" t="s">
        <v>3649</v>
      </c>
      <c r="D253" s="106" t="s">
        <v>3588</v>
      </c>
      <c r="E253" s="106" t="s">
        <v>3357</v>
      </c>
      <c r="F253" s="218">
        <v>4250993191</v>
      </c>
      <c r="G253" s="106" t="s">
        <v>3381</v>
      </c>
    </row>
    <row r="254" spans="1:7" ht="24.9" customHeight="1">
      <c r="A254" s="105">
        <v>245</v>
      </c>
      <c r="B254" s="105" t="s">
        <v>5076</v>
      </c>
      <c r="C254" s="103">
        <v>21094</v>
      </c>
      <c r="D254" s="105" t="s">
        <v>8253</v>
      </c>
      <c r="E254" s="105" t="s">
        <v>8487</v>
      </c>
      <c r="F254" s="217">
        <v>2650177446</v>
      </c>
      <c r="G254" s="105" t="s">
        <v>7947</v>
      </c>
    </row>
    <row r="255" spans="1:7" ht="24.9" customHeight="1">
      <c r="A255" s="106">
        <v>246</v>
      </c>
      <c r="B255" s="106" t="s">
        <v>4423</v>
      </c>
      <c r="C255" s="104" t="s">
        <v>3649</v>
      </c>
      <c r="D255" s="106" t="s">
        <v>3783</v>
      </c>
      <c r="E255" s="106" t="s">
        <v>4424</v>
      </c>
      <c r="F255" s="218"/>
      <c r="G255" s="106" t="s">
        <v>3381</v>
      </c>
    </row>
    <row r="256" spans="1:7" ht="24.9" customHeight="1">
      <c r="A256" s="105">
        <v>247</v>
      </c>
      <c r="B256" s="105" t="s">
        <v>2837</v>
      </c>
      <c r="C256" s="103">
        <v>0</v>
      </c>
      <c r="D256" s="105" t="s">
        <v>899</v>
      </c>
      <c r="E256" s="105"/>
      <c r="F256" s="217"/>
      <c r="G256" s="105" t="s">
        <v>3381</v>
      </c>
    </row>
    <row r="257" spans="1:7" ht="24.9" customHeight="1">
      <c r="A257" s="106">
        <v>248</v>
      </c>
      <c r="B257" s="106" t="s">
        <v>42</v>
      </c>
      <c r="C257" s="104">
        <v>0</v>
      </c>
      <c r="D257" s="106" t="s">
        <v>899</v>
      </c>
      <c r="E257" s="106"/>
      <c r="F257" s="218"/>
      <c r="G257" s="106" t="s">
        <v>3381</v>
      </c>
    </row>
    <row r="258" spans="1:7" ht="24.9" customHeight="1">
      <c r="A258" s="105">
        <v>249</v>
      </c>
      <c r="B258" s="105" t="s">
        <v>1443</v>
      </c>
      <c r="C258" s="103">
        <v>0</v>
      </c>
      <c r="D258" s="105" t="s">
        <v>899</v>
      </c>
      <c r="E258" s="105" t="s">
        <v>782</v>
      </c>
      <c r="F258" s="217"/>
      <c r="G258" s="105" t="s">
        <v>3381</v>
      </c>
    </row>
    <row r="259" spans="1:7" ht="24.9" customHeight="1">
      <c r="A259" s="106">
        <v>250</v>
      </c>
      <c r="B259" s="106" t="s">
        <v>43</v>
      </c>
      <c r="C259" s="104">
        <v>0</v>
      </c>
      <c r="D259" s="106" t="s">
        <v>899</v>
      </c>
      <c r="E259" s="106"/>
      <c r="F259" s="218"/>
      <c r="G259" s="106" t="s">
        <v>3381</v>
      </c>
    </row>
    <row r="260" spans="1:7" ht="24.9" customHeight="1">
      <c r="A260" s="105">
        <v>251</v>
      </c>
      <c r="B260" s="105" t="s">
        <v>2835</v>
      </c>
      <c r="C260" s="103">
        <v>0</v>
      </c>
      <c r="D260" s="105" t="s">
        <v>899</v>
      </c>
      <c r="E260" s="105" t="s">
        <v>770</v>
      </c>
      <c r="F260" s="217"/>
      <c r="G260" s="105" t="s">
        <v>3381</v>
      </c>
    </row>
    <row r="261" spans="1:7" ht="24.9" customHeight="1">
      <c r="A261" s="106">
        <v>252</v>
      </c>
      <c r="B261" s="106" t="s">
        <v>43</v>
      </c>
      <c r="C261" s="104">
        <v>0</v>
      </c>
      <c r="D261" s="106" t="s">
        <v>899</v>
      </c>
      <c r="E261" s="106"/>
      <c r="F261" s="218"/>
      <c r="G261" s="106" t="s">
        <v>3381</v>
      </c>
    </row>
    <row r="262" spans="1:7" ht="24.9" customHeight="1">
      <c r="A262" s="105">
        <v>253</v>
      </c>
      <c r="B262" s="105" t="s">
        <v>352</v>
      </c>
      <c r="C262" s="103">
        <v>0</v>
      </c>
      <c r="D262" s="105" t="s">
        <v>899</v>
      </c>
      <c r="E262" s="105"/>
      <c r="F262" s="217"/>
      <c r="G262" s="105" t="s">
        <v>3381</v>
      </c>
    </row>
    <row r="263" spans="1:7" ht="24.9" customHeight="1">
      <c r="A263" s="106">
        <v>254</v>
      </c>
      <c r="B263" s="106" t="s">
        <v>1004</v>
      </c>
      <c r="C263" s="104">
        <v>0</v>
      </c>
      <c r="D263" s="106" t="s">
        <v>899</v>
      </c>
      <c r="E263" s="106"/>
      <c r="F263" s="218"/>
      <c r="G263" s="106" t="s">
        <v>3381</v>
      </c>
    </row>
    <row r="264" spans="1:7" ht="24.9" customHeight="1">
      <c r="A264" s="105">
        <v>255</v>
      </c>
      <c r="B264" s="105" t="s">
        <v>5115</v>
      </c>
      <c r="C264" s="103">
        <v>0</v>
      </c>
      <c r="D264" s="105" t="s">
        <v>899</v>
      </c>
      <c r="E264" s="105" t="s">
        <v>767</v>
      </c>
      <c r="F264" s="217">
        <v>1262056403</v>
      </c>
      <c r="G264" s="105" t="s">
        <v>3381</v>
      </c>
    </row>
    <row r="265" spans="1:7" ht="24.9" customHeight="1">
      <c r="A265" s="106">
        <v>256</v>
      </c>
      <c r="B265" s="106" t="s">
        <v>3452</v>
      </c>
      <c r="C265" s="104">
        <v>0</v>
      </c>
      <c r="D265" s="106" t="s">
        <v>899</v>
      </c>
      <c r="E265" s="106" t="s">
        <v>767</v>
      </c>
      <c r="F265" s="218"/>
      <c r="G265" s="106" t="s">
        <v>3381</v>
      </c>
    </row>
    <row r="266" spans="1:7" ht="24.9" customHeight="1">
      <c r="A266" s="105">
        <v>257</v>
      </c>
      <c r="B266" s="105" t="s">
        <v>1655</v>
      </c>
      <c r="C266" s="103">
        <v>0</v>
      </c>
      <c r="D266" s="105" t="s">
        <v>899</v>
      </c>
      <c r="E266" s="105"/>
      <c r="F266" s="217"/>
      <c r="G266" s="105" t="s">
        <v>3381</v>
      </c>
    </row>
    <row r="267" spans="1:7" ht="24.9" customHeight="1">
      <c r="A267" s="106">
        <v>258</v>
      </c>
      <c r="B267" s="106" t="s">
        <v>2836</v>
      </c>
      <c r="C267" s="104">
        <v>0</v>
      </c>
      <c r="D267" s="106" t="s">
        <v>899</v>
      </c>
      <c r="E267" s="106" t="s">
        <v>2609</v>
      </c>
      <c r="F267" s="218"/>
      <c r="G267" s="106" t="s">
        <v>3381</v>
      </c>
    </row>
    <row r="268" spans="1:7" ht="24.9" customHeight="1">
      <c r="A268" s="105">
        <v>259</v>
      </c>
      <c r="B268" s="105" t="s">
        <v>3453</v>
      </c>
      <c r="C268" s="103">
        <v>0</v>
      </c>
      <c r="D268" s="105" t="s">
        <v>899</v>
      </c>
      <c r="E268" s="105" t="s">
        <v>3586</v>
      </c>
      <c r="F268" s="217"/>
      <c r="G268" s="105" t="s">
        <v>3381</v>
      </c>
    </row>
    <row r="269" spans="1:7" ht="24.9" customHeight="1">
      <c r="A269" s="106">
        <v>260</v>
      </c>
      <c r="B269" s="106" t="s">
        <v>3454</v>
      </c>
      <c r="C269" s="104">
        <v>0</v>
      </c>
      <c r="D269" s="106" t="s">
        <v>899</v>
      </c>
      <c r="E269" s="106" t="s">
        <v>3635</v>
      </c>
      <c r="F269" s="218"/>
      <c r="G269" s="106" t="s">
        <v>3381</v>
      </c>
    </row>
    <row r="270" spans="1:7" ht="24.9" customHeight="1">
      <c r="A270" s="105">
        <v>261</v>
      </c>
      <c r="B270" s="105" t="s">
        <v>6727</v>
      </c>
      <c r="C270" s="103">
        <v>0</v>
      </c>
      <c r="D270" s="105" t="s">
        <v>1298</v>
      </c>
      <c r="E270" s="105" t="s">
        <v>1298</v>
      </c>
      <c r="F270" s="217"/>
      <c r="G270" s="105" t="s">
        <v>3381</v>
      </c>
    </row>
    <row r="271" spans="1:7" ht="24.9" customHeight="1">
      <c r="A271" s="106">
        <v>262</v>
      </c>
      <c r="B271" s="106" t="s">
        <v>2838</v>
      </c>
      <c r="C271" s="104">
        <v>0</v>
      </c>
      <c r="D271" s="106" t="s">
        <v>899</v>
      </c>
      <c r="E271" s="106" t="s">
        <v>3357</v>
      </c>
      <c r="F271" s="218"/>
      <c r="G271" s="106" t="s">
        <v>3381</v>
      </c>
    </row>
    <row r="272" spans="1:7" ht="24.9" customHeight="1">
      <c r="A272" s="105">
        <v>263</v>
      </c>
      <c r="B272" s="105" t="s">
        <v>3455</v>
      </c>
      <c r="C272" s="103">
        <v>0</v>
      </c>
      <c r="D272" s="105" t="s">
        <v>899</v>
      </c>
      <c r="E272" s="105" t="s">
        <v>770</v>
      </c>
      <c r="F272" s="217"/>
      <c r="G272" s="105" t="s">
        <v>3381</v>
      </c>
    </row>
    <row r="273" spans="1:7" ht="24.9" customHeight="1">
      <c r="A273" s="106">
        <v>264</v>
      </c>
      <c r="B273" s="106" t="s">
        <v>3456</v>
      </c>
      <c r="C273" s="104">
        <v>0</v>
      </c>
      <c r="D273" s="106" t="s">
        <v>899</v>
      </c>
      <c r="E273" s="106" t="s">
        <v>3579</v>
      </c>
      <c r="F273" s="218"/>
      <c r="G273" s="106" t="s">
        <v>3381</v>
      </c>
    </row>
    <row r="274" spans="1:7" ht="24.9" customHeight="1">
      <c r="A274" s="105">
        <v>265</v>
      </c>
      <c r="B274" s="105" t="s">
        <v>3457</v>
      </c>
      <c r="C274" s="103">
        <v>0</v>
      </c>
      <c r="D274" s="105" t="s">
        <v>899</v>
      </c>
      <c r="E274" s="105" t="s">
        <v>3579</v>
      </c>
      <c r="F274" s="217"/>
      <c r="G274" s="105" t="s">
        <v>3381</v>
      </c>
    </row>
    <row r="275" spans="1:7" ht="24.9" customHeight="1">
      <c r="A275" s="106">
        <v>266</v>
      </c>
      <c r="B275" s="106" t="s">
        <v>3458</v>
      </c>
      <c r="C275" s="104">
        <v>0</v>
      </c>
      <c r="D275" s="106" t="s">
        <v>899</v>
      </c>
      <c r="E275" s="106" t="s">
        <v>766</v>
      </c>
      <c r="F275" s="218"/>
      <c r="G275" s="106" t="s">
        <v>3381</v>
      </c>
    </row>
    <row r="276" spans="1:7" ht="24.9" customHeight="1">
      <c r="A276" s="105">
        <v>267</v>
      </c>
      <c r="B276" s="105" t="s">
        <v>3459</v>
      </c>
      <c r="C276" s="103">
        <v>0</v>
      </c>
      <c r="D276" s="105" t="s">
        <v>899</v>
      </c>
      <c r="E276" s="105" t="s">
        <v>3579</v>
      </c>
      <c r="F276" s="217"/>
      <c r="G276" s="105" t="s">
        <v>3381</v>
      </c>
    </row>
    <row r="277" spans="1:7" ht="24.9" customHeight="1">
      <c r="A277" s="106">
        <v>268</v>
      </c>
      <c r="B277" s="106" t="s">
        <v>3460</v>
      </c>
      <c r="C277" s="104">
        <v>0</v>
      </c>
      <c r="D277" s="106" t="s">
        <v>899</v>
      </c>
      <c r="E277" s="106" t="s">
        <v>3636</v>
      </c>
      <c r="F277" s="218"/>
      <c r="G277" s="106" t="s">
        <v>3381</v>
      </c>
    </row>
    <row r="278" spans="1:7" ht="24.9" customHeight="1">
      <c r="A278" s="105">
        <v>269</v>
      </c>
      <c r="B278" s="105" t="s">
        <v>1508</v>
      </c>
      <c r="C278" s="103">
        <v>0</v>
      </c>
      <c r="D278" s="105" t="s">
        <v>899</v>
      </c>
      <c r="E278" s="105"/>
      <c r="F278" s="217"/>
      <c r="G278" s="105" t="s">
        <v>3381</v>
      </c>
    </row>
    <row r="279" spans="1:7" ht="24.9" customHeight="1">
      <c r="A279" s="106">
        <v>270</v>
      </c>
      <c r="B279" s="106" t="s">
        <v>3461</v>
      </c>
      <c r="C279" s="104">
        <v>0</v>
      </c>
      <c r="D279" s="106" t="s">
        <v>899</v>
      </c>
      <c r="E279" s="106" t="s">
        <v>3636</v>
      </c>
      <c r="F279" s="218"/>
      <c r="G279" s="106" t="s">
        <v>3381</v>
      </c>
    </row>
    <row r="280" spans="1:7" ht="24.9" customHeight="1">
      <c r="A280" s="105">
        <v>271</v>
      </c>
      <c r="B280" s="105" t="s">
        <v>3462</v>
      </c>
      <c r="C280" s="103">
        <v>0</v>
      </c>
      <c r="D280" s="105" t="s">
        <v>899</v>
      </c>
      <c r="E280" s="105" t="s">
        <v>3636</v>
      </c>
      <c r="F280" s="217"/>
      <c r="G280" s="105" t="s">
        <v>3381</v>
      </c>
    </row>
    <row r="281" spans="1:7" ht="24.9" customHeight="1">
      <c r="A281" s="106">
        <v>272</v>
      </c>
      <c r="B281" s="106" t="s">
        <v>5002</v>
      </c>
      <c r="C281" s="104">
        <v>0</v>
      </c>
      <c r="D281" s="106" t="s">
        <v>5003</v>
      </c>
      <c r="E281" s="106" t="s">
        <v>3636</v>
      </c>
      <c r="F281" s="218"/>
      <c r="G281" s="106" t="s">
        <v>3381</v>
      </c>
    </row>
    <row r="282" spans="1:7" ht="24.9" customHeight="1">
      <c r="A282" s="105">
        <v>273</v>
      </c>
      <c r="B282" s="105" t="s">
        <v>5001</v>
      </c>
      <c r="C282" s="103">
        <v>0</v>
      </c>
      <c r="D282" s="105" t="s">
        <v>899</v>
      </c>
      <c r="E282" s="105" t="s">
        <v>3636</v>
      </c>
      <c r="F282" s="217">
        <v>1288915012</v>
      </c>
      <c r="G282" s="105" t="s">
        <v>3381</v>
      </c>
    </row>
    <row r="283" spans="1:7" ht="24.9" customHeight="1">
      <c r="A283" s="106">
        <v>274</v>
      </c>
      <c r="B283" s="106" t="s">
        <v>3463</v>
      </c>
      <c r="C283" s="104">
        <v>0</v>
      </c>
      <c r="D283" s="106" t="s">
        <v>899</v>
      </c>
      <c r="E283" s="106" t="s">
        <v>3636</v>
      </c>
      <c r="F283" s="218"/>
      <c r="G283" s="106" t="s">
        <v>3381</v>
      </c>
    </row>
    <row r="284" spans="1:7" ht="24.9" customHeight="1">
      <c r="A284" s="105">
        <v>275</v>
      </c>
      <c r="B284" s="105" t="s">
        <v>3465</v>
      </c>
      <c r="C284" s="103">
        <v>0</v>
      </c>
      <c r="D284" s="105" t="s">
        <v>899</v>
      </c>
      <c r="E284" s="105" t="s">
        <v>2609</v>
      </c>
      <c r="F284" s="217"/>
      <c r="G284" s="105" t="s">
        <v>3381</v>
      </c>
    </row>
    <row r="285" spans="1:7" ht="24.9" customHeight="1">
      <c r="A285" s="106">
        <v>276</v>
      </c>
      <c r="B285" s="106" t="s">
        <v>3466</v>
      </c>
      <c r="C285" s="104">
        <v>0</v>
      </c>
      <c r="D285" s="106" t="s">
        <v>899</v>
      </c>
      <c r="E285" s="106" t="s">
        <v>3566</v>
      </c>
      <c r="F285" s="218"/>
      <c r="G285" s="106" t="s">
        <v>3381</v>
      </c>
    </row>
    <row r="286" spans="1:7" ht="24.9" customHeight="1">
      <c r="A286" s="105">
        <v>277</v>
      </c>
      <c r="B286" s="105" t="s">
        <v>1783</v>
      </c>
      <c r="C286" s="103">
        <v>0</v>
      </c>
      <c r="D286" s="105" t="s">
        <v>899</v>
      </c>
      <c r="E286" s="105" t="s">
        <v>3636</v>
      </c>
      <c r="F286" s="217"/>
      <c r="G286" s="105" t="s">
        <v>3381</v>
      </c>
    </row>
    <row r="287" spans="1:7" ht="24.9" customHeight="1">
      <c r="A287" s="106">
        <v>278</v>
      </c>
      <c r="B287" s="106" t="s">
        <v>1782</v>
      </c>
      <c r="C287" s="104">
        <v>0</v>
      </c>
      <c r="D287" s="106" t="s">
        <v>899</v>
      </c>
      <c r="E287" s="106" t="s">
        <v>3636</v>
      </c>
      <c r="F287" s="218"/>
      <c r="G287" s="106" t="s">
        <v>3381</v>
      </c>
    </row>
    <row r="288" spans="1:7" ht="24.9" customHeight="1">
      <c r="A288" s="105">
        <v>279</v>
      </c>
      <c r="B288" s="105" t="s">
        <v>3467</v>
      </c>
      <c r="C288" s="103">
        <v>4020302</v>
      </c>
      <c r="D288" s="105" t="s">
        <v>3564</v>
      </c>
      <c r="E288" s="105" t="s">
        <v>3636</v>
      </c>
      <c r="F288" s="217" t="s">
        <v>5148</v>
      </c>
      <c r="G288" s="105" t="s">
        <v>3381</v>
      </c>
    </row>
    <row r="289" spans="1:7" ht="24.9" customHeight="1">
      <c r="A289" s="106">
        <v>280</v>
      </c>
      <c r="B289" s="106" t="s">
        <v>3788</v>
      </c>
      <c r="C289" s="104">
        <v>0</v>
      </c>
      <c r="D289" s="106" t="s">
        <v>899</v>
      </c>
      <c r="E289" s="106" t="s">
        <v>3789</v>
      </c>
      <c r="F289" s="218"/>
      <c r="G289" s="106" t="s">
        <v>3381</v>
      </c>
    </row>
    <row r="290" spans="1:7" ht="24.9" customHeight="1">
      <c r="A290" s="105">
        <v>281</v>
      </c>
      <c r="B290" s="105" t="s">
        <v>5469</v>
      </c>
      <c r="C290" s="103">
        <v>100623</v>
      </c>
      <c r="D290" s="105" t="s">
        <v>3572</v>
      </c>
      <c r="E290" s="105" t="s">
        <v>3586</v>
      </c>
      <c r="F290" s="217">
        <v>3060255911</v>
      </c>
      <c r="G290" s="105" t="s">
        <v>3381</v>
      </c>
    </row>
    <row r="291" spans="1:7" ht="24.9" customHeight="1">
      <c r="A291" s="106">
        <v>282</v>
      </c>
      <c r="B291" s="106" t="s">
        <v>3468</v>
      </c>
      <c r="C291" s="104">
        <v>0</v>
      </c>
      <c r="D291" s="106" t="s">
        <v>899</v>
      </c>
      <c r="E291" s="106" t="s">
        <v>3579</v>
      </c>
      <c r="F291" s="218"/>
      <c r="G291" s="106" t="s">
        <v>3381</v>
      </c>
    </row>
    <row r="292" spans="1:7" ht="24.9" customHeight="1">
      <c r="A292" s="105">
        <v>283</v>
      </c>
      <c r="B292" s="105" t="s">
        <v>6501</v>
      </c>
      <c r="C292" s="103">
        <v>0</v>
      </c>
      <c r="D292" s="105" t="s">
        <v>899</v>
      </c>
      <c r="E292" s="105" t="s">
        <v>766</v>
      </c>
      <c r="F292" s="217">
        <v>1830210351</v>
      </c>
      <c r="G292" s="105" t="s">
        <v>3381</v>
      </c>
    </row>
    <row r="293" spans="1:7" ht="24.9" customHeight="1">
      <c r="A293" s="106">
        <v>284</v>
      </c>
      <c r="B293" s="106" t="s">
        <v>3469</v>
      </c>
      <c r="C293" s="104">
        <v>0</v>
      </c>
      <c r="D293" s="106" t="s">
        <v>899</v>
      </c>
      <c r="E293" s="106" t="s">
        <v>3357</v>
      </c>
      <c r="F293" s="218"/>
      <c r="G293" s="106" t="s">
        <v>3381</v>
      </c>
    </row>
    <row r="294" spans="1:7" ht="24.9" customHeight="1">
      <c r="A294" s="105">
        <v>285</v>
      </c>
      <c r="B294" s="105" t="s">
        <v>6549</v>
      </c>
      <c r="C294" s="103">
        <v>0</v>
      </c>
      <c r="D294" s="105" t="s">
        <v>4645</v>
      </c>
      <c r="E294" s="105" t="s">
        <v>4645</v>
      </c>
      <c r="F294" s="217">
        <v>3060058717</v>
      </c>
      <c r="G294" s="105" t="s">
        <v>3381</v>
      </c>
    </row>
    <row r="295" spans="1:7" ht="24.9" customHeight="1">
      <c r="A295" s="106">
        <v>286</v>
      </c>
      <c r="B295" s="106" t="s">
        <v>5340</v>
      </c>
      <c r="C295" s="104">
        <v>0</v>
      </c>
      <c r="D295" s="106" t="s">
        <v>899</v>
      </c>
      <c r="E295" s="106"/>
      <c r="F295" s="218"/>
      <c r="G295" s="106" t="s">
        <v>3381</v>
      </c>
    </row>
    <row r="296" spans="1:7" ht="24.9" customHeight="1">
      <c r="A296" s="105">
        <v>287</v>
      </c>
      <c r="B296" s="105" t="s">
        <v>1957</v>
      </c>
      <c r="C296" s="103">
        <v>0</v>
      </c>
      <c r="D296" s="105" t="s">
        <v>899</v>
      </c>
      <c r="E296" s="105" t="s">
        <v>3636</v>
      </c>
      <c r="F296" s="217"/>
      <c r="G296" s="105" t="s">
        <v>3381</v>
      </c>
    </row>
    <row r="297" spans="1:7" ht="24.9" customHeight="1">
      <c r="A297" s="106">
        <v>288</v>
      </c>
      <c r="B297" s="106" t="s">
        <v>2079</v>
      </c>
      <c r="C297" s="104">
        <v>0</v>
      </c>
      <c r="D297" s="106" t="s">
        <v>899</v>
      </c>
      <c r="E297" s="106"/>
      <c r="F297" s="218"/>
      <c r="G297" s="106" t="s">
        <v>3381</v>
      </c>
    </row>
    <row r="298" spans="1:7" ht="24.9" customHeight="1">
      <c r="A298" s="105">
        <v>289</v>
      </c>
      <c r="B298" s="105" t="s">
        <v>2863</v>
      </c>
      <c r="C298" s="103">
        <v>0</v>
      </c>
      <c r="D298" s="105" t="s">
        <v>899</v>
      </c>
      <c r="E298" s="105"/>
      <c r="F298" s="217"/>
      <c r="G298" s="105" t="s">
        <v>3381</v>
      </c>
    </row>
    <row r="299" spans="1:7" ht="24.9" customHeight="1">
      <c r="A299" s="106">
        <v>290</v>
      </c>
      <c r="B299" s="106" t="s">
        <v>5135</v>
      </c>
      <c r="C299" s="104">
        <v>0</v>
      </c>
      <c r="D299" s="106" t="s">
        <v>899</v>
      </c>
      <c r="E299" s="106"/>
      <c r="F299" s="218"/>
      <c r="G299" s="106" t="s">
        <v>3381</v>
      </c>
    </row>
    <row r="300" spans="1:7" ht="24.9" customHeight="1">
      <c r="A300" s="105">
        <v>291</v>
      </c>
      <c r="B300" s="105" t="s">
        <v>5496</v>
      </c>
      <c r="C300" s="103">
        <v>0</v>
      </c>
      <c r="D300" s="105" t="s">
        <v>899</v>
      </c>
      <c r="E300" s="105"/>
      <c r="F300" s="217"/>
      <c r="G300" s="105" t="s">
        <v>3381</v>
      </c>
    </row>
    <row r="301" spans="1:7" ht="24.9" customHeight="1">
      <c r="A301" s="106">
        <v>292</v>
      </c>
      <c r="B301" s="106" t="s">
        <v>3470</v>
      </c>
      <c r="C301" s="104">
        <v>0</v>
      </c>
      <c r="D301" s="106" t="s">
        <v>899</v>
      </c>
      <c r="E301" s="106"/>
      <c r="F301" s="218"/>
      <c r="G301" s="106" t="s">
        <v>3381</v>
      </c>
    </row>
    <row r="302" spans="1:7" ht="24.9" customHeight="1">
      <c r="A302" s="105">
        <v>293</v>
      </c>
      <c r="B302" s="105" t="s">
        <v>5930</v>
      </c>
      <c r="C302" s="103">
        <v>100642</v>
      </c>
      <c r="D302" s="105" t="s">
        <v>3572</v>
      </c>
      <c r="E302" s="105" t="s">
        <v>766</v>
      </c>
      <c r="F302" s="217">
        <v>2992116394</v>
      </c>
      <c r="G302" s="105" t="s">
        <v>3381</v>
      </c>
    </row>
    <row r="303" spans="1:7" ht="24.9" customHeight="1">
      <c r="A303" s="106">
        <v>294</v>
      </c>
      <c r="B303" s="106" t="s">
        <v>5931</v>
      </c>
      <c r="C303" s="104" t="s">
        <v>5932</v>
      </c>
      <c r="D303" s="106" t="s">
        <v>3564</v>
      </c>
      <c r="E303" s="106" t="s">
        <v>1480</v>
      </c>
      <c r="F303" s="218"/>
      <c r="G303" s="106" t="s">
        <v>3381</v>
      </c>
    </row>
    <row r="304" spans="1:7" ht="24.9" customHeight="1">
      <c r="A304" s="105">
        <v>295</v>
      </c>
      <c r="B304" s="105" t="s">
        <v>2834</v>
      </c>
      <c r="C304" s="103">
        <v>0</v>
      </c>
      <c r="D304" s="105" t="s">
        <v>899</v>
      </c>
      <c r="E304" s="105" t="s">
        <v>3637</v>
      </c>
      <c r="F304" s="217"/>
      <c r="G304" s="105" t="s">
        <v>3381</v>
      </c>
    </row>
    <row r="305" spans="1:7" ht="24.9" customHeight="1">
      <c r="A305" s="106">
        <v>296</v>
      </c>
      <c r="B305" s="106" t="s">
        <v>4431</v>
      </c>
      <c r="C305" s="104">
        <v>0</v>
      </c>
      <c r="D305" s="106" t="s">
        <v>899</v>
      </c>
      <c r="E305" s="106"/>
      <c r="F305" s="218">
        <v>3179617225</v>
      </c>
      <c r="G305" s="106" t="s">
        <v>3381</v>
      </c>
    </row>
    <row r="306" spans="1:7" ht="24.9" customHeight="1">
      <c r="A306" s="105">
        <v>297</v>
      </c>
      <c r="B306" s="105" t="s">
        <v>5088</v>
      </c>
      <c r="C306" s="103">
        <v>0</v>
      </c>
      <c r="D306" s="105" t="s">
        <v>1298</v>
      </c>
      <c r="E306" s="105" t="s">
        <v>5089</v>
      </c>
      <c r="F306" s="217"/>
      <c r="G306" s="105" t="s">
        <v>3381</v>
      </c>
    </row>
    <row r="307" spans="1:7" ht="24.9" customHeight="1">
      <c r="A307" s="106">
        <v>298</v>
      </c>
      <c r="B307" s="106" t="s">
        <v>2839</v>
      </c>
      <c r="C307" s="104">
        <v>0</v>
      </c>
      <c r="D307" s="106" t="s">
        <v>1298</v>
      </c>
      <c r="E307" s="106" t="s">
        <v>774</v>
      </c>
      <c r="F307" s="218"/>
      <c r="G307" s="106" t="s">
        <v>3381</v>
      </c>
    </row>
    <row r="308" spans="1:7" ht="24.9" customHeight="1">
      <c r="A308" s="105">
        <v>299</v>
      </c>
      <c r="B308" s="105" t="s">
        <v>3471</v>
      </c>
      <c r="C308" s="103">
        <v>0</v>
      </c>
      <c r="D308" s="105" t="s">
        <v>1298</v>
      </c>
      <c r="E308" s="105" t="s">
        <v>3638</v>
      </c>
      <c r="F308" s="217"/>
      <c r="G308" s="105" t="s">
        <v>3381</v>
      </c>
    </row>
    <row r="309" spans="1:7" ht="24.9" customHeight="1">
      <c r="A309" s="106">
        <v>300</v>
      </c>
      <c r="B309" s="106" t="s">
        <v>3809</v>
      </c>
      <c r="C309" s="104">
        <v>0</v>
      </c>
      <c r="D309" s="106" t="s">
        <v>899</v>
      </c>
      <c r="E309" s="106" t="s">
        <v>3566</v>
      </c>
      <c r="F309" s="218"/>
      <c r="G309" s="106" t="s">
        <v>3381</v>
      </c>
    </row>
    <row r="310" spans="1:7" ht="24.9" customHeight="1">
      <c r="A310" s="105">
        <v>301</v>
      </c>
      <c r="B310" s="105" t="s">
        <v>4099</v>
      </c>
      <c r="C310" s="103">
        <v>0</v>
      </c>
      <c r="D310" s="105" t="s">
        <v>4098</v>
      </c>
      <c r="E310" s="105" t="s">
        <v>1298</v>
      </c>
      <c r="F310" s="217"/>
      <c r="G310" s="105" t="s">
        <v>3381</v>
      </c>
    </row>
    <row r="311" spans="1:7" ht="24.9" customHeight="1">
      <c r="A311" s="106">
        <v>302</v>
      </c>
      <c r="B311" s="106" t="s">
        <v>6840</v>
      </c>
      <c r="C311" s="104">
        <v>4030502</v>
      </c>
      <c r="D311" s="106" t="s">
        <v>3564</v>
      </c>
      <c r="E311" s="106" t="s">
        <v>3357</v>
      </c>
      <c r="F311" s="218">
        <v>2370606525</v>
      </c>
      <c r="G311" s="106" t="s">
        <v>3381</v>
      </c>
    </row>
    <row r="312" spans="1:7" ht="24.9" customHeight="1">
      <c r="A312" s="105">
        <v>303</v>
      </c>
      <c r="B312" s="105" t="s">
        <v>4908</v>
      </c>
      <c r="C312" s="103">
        <v>0</v>
      </c>
      <c r="D312" s="105" t="s">
        <v>3572</v>
      </c>
      <c r="E312" s="105" t="s">
        <v>4909</v>
      </c>
      <c r="F312" s="217" t="s">
        <v>4910</v>
      </c>
      <c r="G312" s="105" t="s">
        <v>3381</v>
      </c>
    </row>
    <row r="313" spans="1:7" ht="24.9" customHeight="1">
      <c r="A313" s="106">
        <v>304</v>
      </c>
      <c r="B313" s="106" t="s">
        <v>6189</v>
      </c>
      <c r="C313" s="104">
        <v>0</v>
      </c>
      <c r="D313" s="106" t="s">
        <v>4937</v>
      </c>
      <c r="E313" s="106" t="s">
        <v>6191</v>
      </c>
      <c r="F313" s="218" t="s">
        <v>6190</v>
      </c>
      <c r="G313" s="106" t="s">
        <v>3381</v>
      </c>
    </row>
    <row r="314" spans="1:7" ht="24.9" customHeight="1">
      <c r="A314" s="105">
        <v>305</v>
      </c>
      <c r="B314" s="105" t="s">
        <v>6173</v>
      </c>
      <c r="C314" s="103">
        <v>20524</v>
      </c>
      <c r="D314" s="105" t="s">
        <v>8253</v>
      </c>
      <c r="E314" s="105" t="s">
        <v>6174</v>
      </c>
      <c r="F314" s="217"/>
      <c r="G314" s="105" t="s">
        <v>3381</v>
      </c>
    </row>
    <row r="315" spans="1:7" ht="24.9" customHeight="1">
      <c r="A315" s="106">
        <v>306</v>
      </c>
      <c r="B315" s="106" t="s">
        <v>3472</v>
      </c>
      <c r="C315" s="104">
        <v>0</v>
      </c>
      <c r="D315" s="106"/>
      <c r="E315" s="106" t="s">
        <v>772</v>
      </c>
      <c r="F315" s="218"/>
      <c r="G315" s="106" t="s">
        <v>3381</v>
      </c>
    </row>
    <row r="316" spans="1:7" ht="24.9" customHeight="1">
      <c r="A316" s="105">
        <v>307</v>
      </c>
      <c r="B316" s="105" t="s">
        <v>7174</v>
      </c>
      <c r="C316" s="103">
        <v>20701</v>
      </c>
      <c r="D316" s="105" t="s">
        <v>8253</v>
      </c>
      <c r="E316" s="105" t="s">
        <v>6740</v>
      </c>
      <c r="F316" s="217"/>
      <c r="G316" s="105" t="s">
        <v>3381</v>
      </c>
    </row>
    <row r="317" spans="1:7" ht="24.9" customHeight="1">
      <c r="A317" s="106">
        <v>308</v>
      </c>
      <c r="B317" s="106" t="s">
        <v>3478</v>
      </c>
      <c r="C317" s="104">
        <v>20521</v>
      </c>
      <c r="D317" s="106" t="s">
        <v>8253</v>
      </c>
      <c r="E317" s="106" t="s">
        <v>3639</v>
      </c>
      <c r="F317" s="218"/>
      <c r="G317" s="106" t="s">
        <v>3381</v>
      </c>
    </row>
    <row r="318" spans="1:7" ht="24.9" customHeight="1">
      <c r="A318" s="105">
        <v>309</v>
      </c>
      <c r="B318" s="105" t="s">
        <v>4935</v>
      </c>
      <c r="C318" s="103">
        <v>4010604</v>
      </c>
      <c r="D318" s="105" t="s">
        <v>3564</v>
      </c>
      <c r="E318" s="105" t="s">
        <v>767</v>
      </c>
      <c r="F318" s="217"/>
      <c r="G318" s="105" t="s">
        <v>3381</v>
      </c>
    </row>
    <row r="319" spans="1:7" ht="24.9" customHeight="1">
      <c r="A319" s="106">
        <v>310</v>
      </c>
      <c r="B319" s="106" t="s">
        <v>3488</v>
      </c>
      <c r="C319" s="104">
        <v>20210</v>
      </c>
      <c r="D319" s="106" t="s">
        <v>8253</v>
      </c>
      <c r="E319" s="106" t="s">
        <v>3640</v>
      </c>
      <c r="F319" s="218"/>
      <c r="G319" s="106" t="s">
        <v>3381</v>
      </c>
    </row>
    <row r="320" spans="1:7" ht="24.9" customHeight="1">
      <c r="A320" s="105">
        <v>311</v>
      </c>
      <c r="B320" s="105" t="s">
        <v>5439</v>
      </c>
      <c r="C320" s="103">
        <v>20705</v>
      </c>
      <c r="D320" s="105" t="s">
        <v>8253</v>
      </c>
      <c r="E320" s="105" t="s">
        <v>5440</v>
      </c>
      <c r="F320" s="217"/>
      <c r="G320" s="105" t="s">
        <v>3381</v>
      </c>
    </row>
    <row r="321" spans="1:7" ht="24.9" customHeight="1">
      <c r="A321" s="106">
        <v>312</v>
      </c>
      <c r="B321" s="106" t="s">
        <v>6579</v>
      </c>
      <c r="C321" s="104">
        <v>0</v>
      </c>
      <c r="D321" s="106" t="s">
        <v>6581</v>
      </c>
      <c r="E321" s="106" t="s">
        <v>6582</v>
      </c>
      <c r="F321" s="218">
        <v>1861204949</v>
      </c>
      <c r="G321" s="106" t="s">
        <v>3381</v>
      </c>
    </row>
    <row r="322" spans="1:7" ht="24.9" customHeight="1">
      <c r="A322" s="105">
        <v>313</v>
      </c>
      <c r="B322" s="105" t="s">
        <v>3489</v>
      </c>
      <c r="C322" s="103">
        <v>0</v>
      </c>
      <c r="D322" s="105" t="s">
        <v>1298</v>
      </c>
      <c r="E322" s="105" t="s">
        <v>3641</v>
      </c>
      <c r="F322" s="217"/>
      <c r="G322" s="105" t="s">
        <v>3381</v>
      </c>
    </row>
    <row r="323" spans="1:7" ht="24.9" customHeight="1">
      <c r="A323" s="106">
        <v>314</v>
      </c>
      <c r="B323" s="106" t="s">
        <v>5816</v>
      </c>
      <c r="C323" s="104">
        <v>0</v>
      </c>
      <c r="D323" s="106" t="s">
        <v>3572</v>
      </c>
      <c r="E323" s="106" t="s">
        <v>3579</v>
      </c>
      <c r="F323" s="218">
        <v>2301154610</v>
      </c>
      <c r="G323" s="106" t="s">
        <v>3381</v>
      </c>
    </row>
    <row r="324" spans="1:7" ht="24.9" customHeight="1">
      <c r="A324" s="105">
        <v>315</v>
      </c>
      <c r="B324" s="105" t="s">
        <v>3491</v>
      </c>
      <c r="C324" s="103">
        <v>9603</v>
      </c>
      <c r="D324" s="105" t="s">
        <v>3564</v>
      </c>
      <c r="E324" s="105" t="s">
        <v>3642</v>
      </c>
      <c r="F324" s="217"/>
      <c r="G324" s="105" t="s">
        <v>3381</v>
      </c>
    </row>
    <row r="325" spans="1:7" ht="24.9" customHeight="1">
      <c r="A325" s="106">
        <v>316</v>
      </c>
      <c r="B325" s="106" t="s">
        <v>3492</v>
      </c>
      <c r="C325" s="104">
        <v>1520</v>
      </c>
      <c r="D325" s="106" t="s">
        <v>3564</v>
      </c>
      <c r="E325" s="106" t="s">
        <v>771</v>
      </c>
      <c r="F325" s="218"/>
      <c r="G325" s="106" t="s">
        <v>3381</v>
      </c>
    </row>
    <row r="326" spans="1:7" ht="24.9" customHeight="1">
      <c r="A326" s="105">
        <v>317</v>
      </c>
      <c r="B326" s="105" t="s">
        <v>3494</v>
      </c>
      <c r="C326" s="103">
        <v>20435</v>
      </c>
      <c r="D326" s="105" t="s">
        <v>8253</v>
      </c>
      <c r="E326" s="105" t="s">
        <v>3643</v>
      </c>
      <c r="F326" s="217"/>
      <c r="G326" s="105" t="s">
        <v>3381</v>
      </c>
    </row>
    <row r="327" spans="1:7" ht="24.9" customHeight="1">
      <c r="A327" s="106">
        <v>318</v>
      </c>
      <c r="B327" s="106" t="s">
        <v>6984</v>
      </c>
      <c r="C327" s="104">
        <v>100632</v>
      </c>
      <c r="D327" s="106" t="s">
        <v>3588</v>
      </c>
      <c r="E327" s="106" t="s">
        <v>3357</v>
      </c>
      <c r="F327" s="218"/>
      <c r="G327" s="106" t="s">
        <v>3381</v>
      </c>
    </row>
    <row r="328" spans="1:7" ht="24.9" customHeight="1">
      <c r="A328" s="106"/>
      <c r="B328" s="106" t="s">
        <v>8547</v>
      </c>
      <c r="C328" s="104">
        <v>100676</v>
      </c>
      <c r="D328" s="106" t="s">
        <v>3572</v>
      </c>
      <c r="E328" s="106" t="s">
        <v>3573</v>
      </c>
      <c r="F328" s="218" t="s">
        <v>8548</v>
      </c>
      <c r="G328" s="106" t="s">
        <v>3381</v>
      </c>
    </row>
    <row r="329" spans="1:7" ht="24.9" customHeight="1">
      <c r="A329" s="105">
        <v>319</v>
      </c>
      <c r="B329" s="105" t="s">
        <v>5125</v>
      </c>
      <c r="C329" s="103">
        <v>100605</v>
      </c>
      <c r="D329" s="105" t="s">
        <v>3572</v>
      </c>
      <c r="E329" s="105" t="s">
        <v>3359</v>
      </c>
      <c r="F329" s="217"/>
      <c r="G329" s="105" t="s">
        <v>3381</v>
      </c>
    </row>
    <row r="330" spans="1:7" ht="24.9" customHeight="1">
      <c r="A330" s="106">
        <v>320</v>
      </c>
      <c r="B330" s="106" t="s">
        <v>3371</v>
      </c>
      <c r="C330" s="104">
        <v>0</v>
      </c>
      <c r="D330" s="106" t="s">
        <v>3572</v>
      </c>
      <c r="E330" s="106" t="s">
        <v>3359</v>
      </c>
      <c r="F330" s="218"/>
      <c r="G330" s="106" t="s">
        <v>3381</v>
      </c>
    </row>
    <row r="331" spans="1:7" ht="24.9" customHeight="1">
      <c r="A331" s="105">
        <v>321</v>
      </c>
      <c r="B331" s="105" t="s">
        <v>4567</v>
      </c>
      <c r="C331" s="103">
        <v>4020306</v>
      </c>
      <c r="D331" s="105" t="s">
        <v>3564</v>
      </c>
      <c r="E331" s="105" t="s">
        <v>3579</v>
      </c>
      <c r="F331" s="217"/>
      <c r="G331" s="105" t="s">
        <v>3381</v>
      </c>
    </row>
    <row r="332" spans="1:7" ht="24.9" customHeight="1">
      <c r="A332" s="106">
        <v>322</v>
      </c>
      <c r="B332" s="106" t="s">
        <v>5232</v>
      </c>
      <c r="C332" s="104">
        <v>100614</v>
      </c>
      <c r="D332" s="106" t="s">
        <v>3572</v>
      </c>
      <c r="E332" s="106" t="s">
        <v>3579</v>
      </c>
      <c r="F332" s="218">
        <v>468013979</v>
      </c>
      <c r="G332" s="106" t="s">
        <v>3381</v>
      </c>
    </row>
    <row r="333" spans="1:7" ht="24.9" customHeight="1">
      <c r="A333" s="105">
        <v>323</v>
      </c>
      <c r="B333" s="105" t="s">
        <v>4936</v>
      </c>
      <c r="C333" s="103">
        <v>0</v>
      </c>
      <c r="D333" s="105" t="s">
        <v>4937</v>
      </c>
      <c r="E333" s="105" t="s">
        <v>4938</v>
      </c>
      <c r="F333" s="217"/>
      <c r="G333" s="105" t="s">
        <v>3381</v>
      </c>
    </row>
    <row r="334" spans="1:7" ht="24.9" customHeight="1">
      <c r="A334" s="106">
        <v>324</v>
      </c>
      <c r="B334" s="106" t="s">
        <v>4940</v>
      </c>
      <c r="C334" s="104">
        <v>0</v>
      </c>
      <c r="D334" s="106" t="s">
        <v>4941</v>
      </c>
      <c r="E334" s="106"/>
      <c r="F334" s="218"/>
      <c r="G334" s="106" t="s">
        <v>3381</v>
      </c>
    </row>
    <row r="335" spans="1:7" ht="24.9" customHeight="1">
      <c r="A335" s="105">
        <v>325</v>
      </c>
      <c r="B335" s="105" t="s">
        <v>4235</v>
      </c>
      <c r="C335" s="103">
        <v>100578</v>
      </c>
      <c r="D335" s="105" t="s">
        <v>3572</v>
      </c>
      <c r="E335" s="105" t="s">
        <v>3359</v>
      </c>
      <c r="F335" s="217">
        <v>1129783944</v>
      </c>
      <c r="G335" s="105" t="s">
        <v>3381</v>
      </c>
    </row>
    <row r="336" spans="1:7" ht="24.9" customHeight="1">
      <c r="A336" s="106">
        <v>326</v>
      </c>
      <c r="B336" s="106" t="s">
        <v>3373</v>
      </c>
      <c r="C336" s="104" t="s">
        <v>3688</v>
      </c>
      <c r="D336" s="106" t="s">
        <v>3572</v>
      </c>
      <c r="E336" s="106" t="s">
        <v>3689</v>
      </c>
      <c r="F336" s="218">
        <v>1287382630</v>
      </c>
      <c r="G336" s="106" t="s">
        <v>3381</v>
      </c>
    </row>
    <row r="337" spans="1:7" ht="24.9" customHeight="1">
      <c r="A337" s="105">
        <v>327</v>
      </c>
      <c r="B337" s="105" t="s">
        <v>3695</v>
      </c>
      <c r="C337" s="103">
        <v>0</v>
      </c>
      <c r="D337" s="105" t="s">
        <v>3572</v>
      </c>
      <c r="E337" s="105" t="s">
        <v>3359</v>
      </c>
      <c r="F337" s="217">
        <v>2580048006</v>
      </c>
      <c r="G337" s="105" t="s">
        <v>3381</v>
      </c>
    </row>
    <row r="338" spans="1:7" ht="24.9" customHeight="1">
      <c r="A338" s="106">
        <v>328</v>
      </c>
      <c r="B338" s="106" t="s">
        <v>6498</v>
      </c>
      <c r="C338" s="104">
        <v>20215</v>
      </c>
      <c r="D338" s="106" t="s">
        <v>8253</v>
      </c>
      <c r="E338" s="106" t="s">
        <v>3650</v>
      </c>
      <c r="F338" s="218">
        <v>3071778740</v>
      </c>
      <c r="G338" s="106" t="s">
        <v>3381</v>
      </c>
    </row>
    <row r="339" spans="1:7" ht="24.9" customHeight="1">
      <c r="A339" s="105">
        <v>329</v>
      </c>
      <c r="B339" s="105" t="s">
        <v>3785</v>
      </c>
      <c r="C339" s="103">
        <v>100573</v>
      </c>
      <c r="D339" s="105" t="s">
        <v>3572</v>
      </c>
      <c r="E339" s="105" t="s">
        <v>3358</v>
      </c>
      <c r="F339" s="217">
        <v>2050454856</v>
      </c>
      <c r="G339" s="105" t="s">
        <v>3381</v>
      </c>
    </row>
    <row r="340" spans="1:7" ht="24.9" customHeight="1">
      <c r="A340" s="106">
        <v>330</v>
      </c>
      <c r="B340" s="106" t="s">
        <v>3786</v>
      </c>
      <c r="C340" s="104"/>
      <c r="D340" s="106" t="s">
        <v>3572</v>
      </c>
      <c r="E340" s="106" t="s">
        <v>3579</v>
      </c>
      <c r="F340" s="218">
        <v>3060255911</v>
      </c>
      <c r="G340" s="106" t="s">
        <v>3381</v>
      </c>
    </row>
    <row r="341" spans="1:7" ht="24.9" customHeight="1">
      <c r="A341" s="105">
        <v>331</v>
      </c>
      <c r="B341" s="105" t="s">
        <v>6998</v>
      </c>
      <c r="C341" s="103">
        <v>0</v>
      </c>
      <c r="D341" s="105" t="s">
        <v>6999</v>
      </c>
      <c r="E341" s="105"/>
      <c r="F341" s="217"/>
      <c r="G341" s="105" t="s">
        <v>3381</v>
      </c>
    </row>
    <row r="342" spans="1:7" ht="24.9" customHeight="1">
      <c r="A342" s="106">
        <v>332</v>
      </c>
      <c r="B342" s="106" t="s">
        <v>5785</v>
      </c>
      <c r="C342" s="104">
        <v>20489</v>
      </c>
      <c r="D342" s="106" t="s">
        <v>8253</v>
      </c>
      <c r="E342" s="106" t="s">
        <v>771</v>
      </c>
      <c r="F342" s="218">
        <v>30600065233</v>
      </c>
      <c r="G342" s="106" t="s">
        <v>3381</v>
      </c>
    </row>
    <row r="343" spans="1:7" ht="24.9" customHeight="1">
      <c r="A343" s="105">
        <v>333</v>
      </c>
      <c r="B343" s="105" t="s">
        <v>3900</v>
      </c>
      <c r="C343" s="103">
        <v>0</v>
      </c>
      <c r="D343" s="105" t="s">
        <v>899</v>
      </c>
      <c r="E343" s="105" t="s">
        <v>3579</v>
      </c>
      <c r="F343" s="217"/>
      <c r="G343" s="105" t="s">
        <v>3381</v>
      </c>
    </row>
    <row r="344" spans="1:7" ht="24.9" customHeight="1">
      <c r="A344" s="106">
        <v>334</v>
      </c>
      <c r="B344" s="106" t="s">
        <v>5050</v>
      </c>
      <c r="C344" s="104" t="s">
        <v>3649</v>
      </c>
      <c r="D344" s="106" t="s">
        <v>899</v>
      </c>
      <c r="E344" s="106" t="s">
        <v>899</v>
      </c>
      <c r="F344" s="218"/>
      <c r="G344" s="106" t="s">
        <v>3381</v>
      </c>
    </row>
    <row r="345" spans="1:7" ht="24.9" customHeight="1">
      <c r="A345" s="105">
        <v>335</v>
      </c>
      <c r="B345" s="105" t="s">
        <v>5539</v>
      </c>
      <c r="C345" s="103" t="s">
        <v>3649</v>
      </c>
      <c r="D345" s="105" t="s">
        <v>5541</v>
      </c>
      <c r="E345" s="105" t="s">
        <v>5542</v>
      </c>
      <c r="F345" s="217"/>
      <c r="G345" s="105" t="s">
        <v>3381</v>
      </c>
    </row>
    <row r="346" spans="1:7" ht="24.9" customHeight="1">
      <c r="A346" s="106">
        <v>336</v>
      </c>
      <c r="B346" s="106" t="s">
        <v>5537</v>
      </c>
      <c r="C346" s="104" t="s">
        <v>3649</v>
      </c>
      <c r="D346" s="106" t="s">
        <v>5287</v>
      </c>
      <c r="E346" s="106" t="s">
        <v>766</v>
      </c>
      <c r="F346" s="218"/>
      <c r="G346" s="106" t="s">
        <v>3381</v>
      </c>
    </row>
    <row r="347" spans="1:7" ht="24.9" customHeight="1">
      <c r="A347" s="105">
        <v>337</v>
      </c>
      <c r="B347" s="105" t="s">
        <v>7946</v>
      </c>
      <c r="C347" s="103">
        <v>637</v>
      </c>
      <c r="D347" s="105" t="s">
        <v>3564</v>
      </c>
      <c r="E347" s="105" t="s">
        <v>3775</v>
      </c>
      <c r="F347" s="217"/>
      <c r="G347" s="105" t="s">
        <v>7947</v>
      </c>
    </row>
    <row r="348" spans="1:7" ht="24.9" customHeight="1">
      <c r="A348" s="106">
        <v>338</v>
      </c>
      <c r="B348" s="106" t="s">
        <v>7943</v>
      </c>
      <c r="C348" s="104">
        <v>0</v>
      </c>
      <c r="D348" s="106" t="s">
        <v>7944</v>
      </c>
      <c r="E348" s="106" t="s">
        <v>3357</v>
      </c>
      <c r="F348" s="218">
        <v>3060341248</v>
      </c>
      <c r="G348" s="106" t="s">
        <v>7945</v>
      </c>
    </row>
    <row r="349" spans="1:7" ht="24.9" customHeight="1">
      <c r="A349" s="105">
        <v>339</v>
      </c>
      <c r="B349" s="105" t="s">
        <v>7940</v>
      </c>
      <c r="C349" s="103">
        <v>10666</v>
      </c>
      <c r="D349" s="105" t="s">
        <v>3572</v>
      </c>
      <c r="E349" s="105" t="s">
        <v>3603</v>
      </c>
      <c r="F349" s="217">
        <v>2420495578</v>
      </c>
      <c r="G349" s="105" t="s">
        <v>3381</v>
      </c>
    </row>
    <row r="350" spans="1:7" ht="24.9" customHeight="1">
      <c r="A350" s="106">
        <v>340</v>
      </c>
      <c r="B350" s="106" t="s">
        <v>4021</v>
      </c>
      <c r="C350" s="104">
        <v>0</v>
      </c>
      <c r="D350" s="106" t="s">
        <v>3572</v>
      </c>
      <c r="E350" s="106" t="s">
        <v>3359</v>
      </c>
      <c r="F350" s="218" t="s">
        <v>4022</v>
      </c>
      <c r="G350" s="106" t="s">
        <v>3381</v>
      </c>
    </row>
    <row r="351" spans="1:7" ht="24.9" customHeight="1">
      <c r="A351" s="105">
        <v>341</v>
      </c>
      <c r="B351" s="105" t="s">
        <v>5053</v>
      </c>
      <c r="C351" s="103">
        <v>0</v>
      </c>
      <c r="D351" s="105" t="s">
        <v>1281</v>
      </c>
      <c r="E351" s="105" t="s">
        <v>1281</v>
      </c>
      <c r="F351" s="217"/>
      <c r="G351" s="105" t="s">
        <v>5054</v>
      </c>
    </row>
    <row r="352" spans="1:7" ht="24.9" customHeight="1">
      <c r="A352" s="106">
        <v>342</v>
      </c>
      <c r="B352" s="106" t="s">
        <v>4025</v>
      </c>
      <c r="C352" s="104">
        <v>0</v>
      </c>
      <c r="D352" s="106" t="s">
        <v>3572</v>
      </c>
      <c r="E352" s="106" t="s">
        <v>4026</v>
      </c>
      <c r="F352" s="218" t="s">
        <v>4027</v>
      </c>
      <c r="G352" s="106" t="s">
        <v>3381</v>
      </c>
    </row>
    <row r="353" spans="1:7" ht="24.9" customHeight="1">
      <c r="A353" s="105">
        <v>343</v>
      </c>
      <c r="B353" s="105" t="s">
        <v>5052</v>
      </c>
      <c r="C353" s="103">
        <v>0</v>
      </c>
      <c r="D353" s="105" t="s">
        <v>3572</v>
      </c>
      <c r="E353" s="105" t="s">
        <v>767</v>
      </c>
      <c r="F353" s="217"/>
      <c r="G353" s="105" t="s">
        <v>3381</v>
      </c>
    </row>
    <row r="354" spans="1:7" ht="24.9" customHeight="1">
      <c r="A354" s="106">
        <v>344</v>
      </c>
      <c r="B354" s="106" t="s">
        <v>5285</v>
      </c>
      <c r="C354" s="104">
        <v>0</v>
      </c>
      <c r="D354" s="106" t="s">
        <v>5287</v>
      </c>
      <c r="E354" s="106" t="s">
        <v>4033</v>
      </c>
      <c r="F354" s="218" t="s">
        <v>5286</v>
      </c>
      <c r="G354" s="106" t="s">
        <v>3381</v>
      </c>
    </row>
    <row r="355" spans="1:7" ht="24.9" customHeight="1">
      <c r="A355" s="105">
        <v>345</v>
      </c>
      <c r="B355" s="105" t="s">
        <v>4478</v>
      </c>
      <c r="C355" s="103">
        <v>4010504</v>
      </c>
      <c r="D355" s="105" t="s">
        <v>3564</v>
      </c>
      <c r="E355" s="105" t="s">
        <v>3597</v>
      </c>
      <c r="F355" s="217"/>
      <c r="G355" s="105" t="s">
        <v>3381</v>
      </c>
    </row>
    <row r="356" spans="1:7" ht="24.9" customHeight="1">
      <c r="A356" s="106">
        <v>346</v>
      </c>
      <c r="B356" s="106" t="s">
        <v>6611</v>
      </c>
      <c r="C356" s="104">
        <v>0</v>
      </c>
      <c r="D356" s="106" t="s">
        <v>1298</v>
      </c>
      <c r="E356" s="106" t="s">
        <v>6612</v>
      </c>
      <c r="F356" s="218"/>
      <c r="G356" s="106" t="s">
        <v>3381</v>
      </c>
    </row>
    <row r="357" spans="1:7" ht="24.9" customHeight="1">
      <c r="A357" s="105">
        <v>347</v>
      </c>
      <c r="B357" s="105" t="s">
        <v>4479</v>
      </c>
      <c r="C357" s="103"/>
      <c r="D357" s="105" t="s">
        <v>3564</v>
      </c>
      <c r="E357" s="105" t="s">
        <v>3597</v>
      </c>
      <c r="F357" s="217"/>
      <c r="G357" s="105" t="s">
        <v>3381</v>
      </c>
    </row>
    <row r="358" spans="1:7" ht="24.9" customHeight="1">
      <c r="A358" s="106">
        <v>348</v>
      </c>
      <c r="B358" s="106" t="s">
        <v>7707</v>
      </c>
      <c r="C358" s="104">
        <v>0</v>
      </c>
      <c r="D358" s="106" t="s">
        <v>7001</v>
      </c>
      <c r="E358" s="106" t="s">
        <v>7001</v>
      </c>
      <c r="F358" s="218"/>
      <c r="G358" s="106" t="s">
        <v>3381</v>
      </c>
    </row>
    <row r="359" spans="1:7" ht="24.9" customHeight="1">
      <c r="A359" s="105">
        <v>349</v>
      </c>
      <c r="B359" s="105" t="s">
        <v>5851</v>
      </c>
      <c r="C359" s="103">
        <v>0</v>
      </c>
      <c r="D359" s="105" t="s">
        <v>3588</v>
      </c>
      <c r="E359" s="105" t="s">
        <v>3357</v>
      </c>
      <c r="F359" s="217"/>
      <c r="G359" s="105" t="s">
        <v>3381</v>
      </c>
    </row>
    <row r="360" spans="1:7" ht="24.9" customHeight="1">
      <c r="A360" s="106">
        <v>350</v>
      </c>
      <c r="B360" s="106" t="s">
        <v>4715</v>
      </c>
      <c r="C360" s="104">
        <v>20628</v>
      </c>
      <c r="D360" s="106" t="s">
        <v>8253</v>
      </c>
      <c r="E360" s="106" t="s">
        <v>771</v>
      </c>
      <c r="F360" s="218"/>
      <c r="G360" s="106" t="s">
        <v>3381</v>
      </c>
    </row>
    <row r="361" spans="1:7" ht="24.9" customHeight="1">
      <c r="A361" s="105">
        <v>351</v>
      </c>
      <c r="B361" s="105" t="s">
        <v>5765</v>
      </c>
      <c r="C361" s="103">
        <v>20760</v>
      </c>
      <c r="D361" s="105" t="s">
        <v>8253</v>
      </c>
      <c r="E361" s="105" t="s">
        <v>3359</v>
      </c>
      <c r="F361" s="217" t="s">
        <v>5767</v>
      </c>
      <c r="G361" s="105" t="s">
        <v>3381</v>
      </c>
    </row>
    <row r="362" spans="1:7" ht="24.9" customHeight="1">
      <c r="A362" s="106">
        <v>352</v>
      </c>
      <c r="B362" s="106" t="s">
        <v>5764</v>
      </c>
      <c r="C362" s="104">
        <v>20761</v>
      </c>
      <c r="D362" s="106" t="s">
        <v>8253</v>
      </c>
      <c r="E362" s="106" t="s">
        <v>3359</v>
      </c>
      <c r="F362" s="218" t="s">
        <v>5766</v>
      </c>
      <c r="G362" s="106" t="s">
        <v>3381</v>
      </c>
    </row>
    <row r="363" spans="1:7" ht="24.9" customHeight="1">
      <c r="A363" s="105">
        <v>353</v>
      </c>
      <c r="B363" s="105" t="s">
        <v>5752</v>
      </c>
      <c r="C363" s="103">
        <v>0</v>
      </c>
      <c r="D363" s="105" t="s">
        <v>5753</v>
      </c>
      <c r="E363" s="105"/>
      <c r="F363" s="217" t="s">
        <v>5754</v>
      </c>
      <c r="G363" s="105" t="s">
        <v>3381</v>
      </c>
    </row>
    <row r="364" spans="1:7" ht="24.9" customHeight="1">
      <c r="A364" s="106">
        <v>354</v>
      </c>
      <c r="B364" s="106" t="s">
        <v>5730</v>
      </c>
      <c r="C364" s="104">
        <v>20641</v>
      </c>
      <c r="D364" s="106" t="s">
        <v>8253</v>
      </c>
      <c r="E364" s="106" t="s">
        <v>771</v>
      </c>
      <c r="F364" s="218"/>
      <c r="G364" s="106" t="s">
        <v>3381</v>
      </c>
    </row>
    <row r="365" spans="1:7" ht="24.9" customHeight="1">
      <c r="A365" s="105">
        <v>355</v>
      </c>
      <c r="B365" s="105" t="s">
        <v>7938</v>
      </c>
      <c r="C365" s="103">
        <v>100656</v>
      </c>
      <c r="D365" s="105" t="s">
        <v>3588</v>
      </c>
      <c r="E365" s="105" t="s">
        <v>3357</v>
      </c>
      <c r="F365" s="217">
        <v>4660217991</v>
      </c>
      <c r="G365" s="105" t="s">
        <v>3381</v>
      </c>
    </row>
    <row r="366" spans="1:7" ht="24.9" customHeight="1">
      <c r="A366" s="106">
        <v>356</v>
      </c>
      <c r="B366" s="106" t="s">
        <v>389</v>
      </c>
      <c r="C366" s="104" t="s">
        <v>1877</v>
      </c>
      <c r="D366" s="106" t="s">
        <v>3564</v>
      </c>
      <c r="E366" s="106" t="s">
        <v>3567</v>
      </c>
      <c r="F366" s="218"/>
      <c r="G366" s="106" t="s">
        <v>3497</v>
      </c>
    </row>
    <row r="367" spans="1:7" ht="24.9" customHeight="1">
      <c r="A367" s="105">
        <v>357</v>
      </c>
      <c r="B367" s="105" t="s">
        <v>390</v>
      </c>
      <c r="C367" s="103">
        <v>935</v>
      </c>
      <c r="D367" s="105" t="s">
        <v>3564</v>
      </c>
      <c r="E367" s="105" t="s">
        <v>3357</v>
      </c>
      <c r="F367" s="217"/>
      <c r="G367" s="105" t="s">
        <v>6200</v>
      </c>
    </row>
    <row r="368" spans="1:7" ht="24.9" customHeight="1">
      <c r="A368" s="106">
        <v>358</v>
      </c>
      <c r="B368" s="106" t="s">
        <v>50</v>
      </c>
      <c r="C368" s="104">
        <v>758</v>
      </c>
      <c r="D368" s="106" t="s">
        <v>3564</v>
      </c>
      <c r="E368" s="106" t="s">
        <v>3644</v>
      </c>
      <c r="F368" s="218"/>
      <c r="G368" s="106" t="s">
        <v>3497</v>
      </c>
    </row>
    <row r="369" spans="1:7" ht="24.9" customHeight="1">
      <c r="A369" s="105">
        <v>359</v>
      </c>
      <c r="B369" s="105" t="s">
        <v>5445</v>
      </c>
      <c r="C369" s="103" t="s">
        <v>5446</v>
      </c>
      <c r="D369" s="105" t="s">
        <v>3564</v>
      </c>
      <c r="E369" s="105"/>
      <c r="F369" s="217" t="s">
        <v>5447</v>
      </c>
      <c r="G369" s="105" t="s">
        <v>5435</v>
      </c>
    </row>
    <row r="370" spans="1:7" ht="24.9" customHeight="1">
      <c r="A370" s="106">
        <v>360</v>
      </c>
      <c r="B370" s="106" t="s">
        <v>3501</v>
      </c>
      <c r="C370" s="104" t="s">
        <v>6818</v>
      </c>
      <c r="D370" s="106" t="s">
        <v>3564</v>
      </c>
      <c r="E370" s="106" t="s">
        <v>3574</v>
      </c>
      <c r="F370" s="218"/>
      <c r="G370" s="106" t="s">
        <v>6200</v>
      </c>
    </row>
    <row r="371" spans="1:7" ht="24.9" customHeight="1">
      <c r="A371" s="105">
        <v>361</v>
      </c>
      <c r="B371" s="105" t="s">
        <v>3499</v>
      </c>
      <c r="C371" s="103">
        <v>577</v>
      </c>
      <c r="D371" s="105" t="s">
        <v>3564</v>
      </c>
      <c r="E371" s="105" t="s">
        <v>3645</v>
      </c>
      <c r="F371" s="217"/>
      <c r="G371" s="105" t="s">
        <v>6200</v>
      </c>
    </row>
    <row r="372" spans="1:7" ht="24.9" customHeight="1">
      <c r="A372" s="106">
        <v>362</v>
      </c>
      <c r="B372" s="106" t="s">
        <v>3504</v>
      </c>
      <c r="C372" s="104"/>
      <c r="D372" s="106" t="s">
        <v>3646</v>
      </c>
      <c r="E372" s="106" t="s">
        <v>3647</v>
      </c>
      <c r="F372" s="218"/>
      <c r="G372" s="106" t="s">
        <v>3497</v>
      </c>
    </row>
    <row r="373" spans="1:7" ht="24.9" customHeight="1">
      <c r="A373" s="105">
        <v>363</v>
      </c>
      <c r="B373" s="105" t="s">
        <v>2641</v>
      </c>
      <c r="C373" s="103"/>
      <c r="D373" s="105" t="s">
        <v>3564</v>
      </c>
      <c r="E373" s="105" t="s">
        <v>3648</v>
      </c>
      <c r="F373" s="217"/>
      <c r="G373" s="105" t="s">
        <v>3497</v>
      </c>
    </row>
    <row r="374" spans="1:7" ht="24.9" customHeight="1">
      <c r="A374" s="106">
        <v>364</v>
      </c>
      <c r="B374" s="106" t="s">
        <v>3509</v>
      </c>
      <c r="C374" s="104">
        <v>513</v>
      </c>
      <c r="D374" s="106" t="s">
        <v>3564</v>
      </c>
      <c r="E374" s="106" t="s">
        <v>3917</v>
      </c>
      <c r="F374" s="218"/>
      <c r="G374" s="106" t="s">
        <v>3925</v>
      </c>
    </row>
    <row r="375" spans="1:7" ht="24.9" customHeight="1">
      <c r="A375" s="105">
        <v>365</v>
      </c>
      <c r="B375" s="105" t="s">
        <v>125</v>
      </c>
      <c r="C375" s="103">
        <v>932</v>
      </c>
      <c r="D375" s="105" t="s">
        <v>3564</v>
      </c>
      <c r="E375" s="105" t="s">
        <v>770</v>
      </c>
      <c r="F375" s="217"/>
      <c r="G375" s="105" t="s">
        <v>3510</v>
      </c>
    </row>
    <row r="376" spans="1:7" ht="24.9" customHeight="1">
      <c r="A376" s="106">
        <v>366</v>
      </c>
      <c r="B376" s="106" t="s">
        <v>3512</v>
      </c>
      <c r="C376" s="104" t="s">
        <v>3649</v>
      </c>
      <c r="D376" s="106" t="s">
        <v>899</v>
      </c>
      <c r="E376" s="106" t="s">
        <v>899</v>
      </c>
      <c r="F376" s="218"/>
      <c r="G376" s="106" t="s">
        <v>3510</v>
      </c>
    </row>
    <row r="377" spans="1:7" ht="24.9" customHeight="1">
      <c r="A377" s="105">
        <v>367</v>
      </c>
      <c r="B377" s="105" t="s">
        <v>3514</v>
      </c>
      <c r="C377" s="103" t="s">
        <v>3649</v>
      </c>
      <c r="D377" s="105" t="s">
        <v>899</v>
      </c>
      <c r="E377" s="105" t="s">
        <v>899</v>
      </c>
      <c r="F377" s="217"/>
      <c r="G377" s="105" t="s">
        <v>3510</v>
      </c>
    </row>
    <row r="378" spans="1:7" ht="24.9" customHeight="1">
      <c r="A378" s="106">
        <v>368</v>
      </c>
      <c r="B378" s="106" t="s">
        <v>3515</v>
      </c>
      <c r="C378" s="104">
        <v>5024</v>
      </c>
      <c r="D378" s="106" t="s">
        <v>3564</v>
      </c>
      <c r="E378" s="106" t="s">
        <v>3357</v>
      </c>
      <c r="F378" s="218"/>
      <c r="G378" s="106" t="s">
        <v>3510</v>
      </c>
    </row>
    <row r="379" spans="1:7" ht="24.9" customHeight="1">
      <c r="A379" s="105">
        <v>369</v>
      </c>
      <c r="B379" s="105" t="s">
        <v>126</v>
      </c>
      <c r="C379" s="103">
        <v>1301</v>
      </c>
      <c r="D379" s="105" t="s">
        <v>3564</v>
      </c>
      <c r="E379" s="105" t="s">
        <v>3650</v>
      </c>
      <c r="F379" s="217"/>
      <c r="G379" s="105" t="s">
        <v>3510</v>
      </c>
    </row>
    <row r="380" spans="1:7" ht="24.9" customHeight="1">
      <c r="A380" s="106">
        <v>370</v>
      </c>
      <c r="B380" s="106" t="s">
        <v>127</v>
      </c>
      <c r="C380" s="104">
        <v>1348</v>
      </c>
      <c r="D380" s="106" t="s">
        <v>3564</v>
      </c>
      <c r="E380" s="106" t="s">
        <v>771</v>
      </c>
      <c r="F380" s="218"/>
      <c r="G380" s="106" t="s">
        <v>3510</v>
      </c>
    </row>
    <row r="381" spans="1:7" ht="24.9" customHeight="1">
      <c r="A381" s="105">
        <v>371</v>
      </c>
      <c r="B381" s="105" t="s">
        <v>128</v>
      </c>
      <c r="C381" s="103">
        <v>1573</v>
      </c>
      <c r="D381" s="105" t="s">
        <v>3564</v>
      </c>
      <c r="E381" s="105" t="s">
        <v>3361</v>
      </c>
      <c r="F381" s="217"/>
      <c r="G381" s="105" t="s">
        <v>3510</v>
      </c>
    </row>
    <row r="382" spans="1:7" ht="24.9" customHeight="1">
      <c r="A382" s="106">
        <v>372</v>
      </c>
      <c r="B382" s="106" t="s">
        <v>3516</v>
      </c>
      <c r="C382" s="104" t="s">
        <v>2722</v>
      </c>
      <c r="D382" s="106" t="s">
        <v>3564</v>
      </c>
      <c r="E382" s="106" t="s">
        <v>3651</v>
      </c>
      <c r="F382" s="218"/>
      <c r="G382" s="106" t="s">
        <v>3510</v>
      </c>
    </row>
    <row r="383" spans="1:7" ht="24.9" customHeight="1">
      <c r="A383" s="105">
        <v>373</v>
      </c>
      <c r="B383" s="105" t="s">
        <v>3517</v>
      </c>
      <c r="C383" s="103" t="s">
        <v>3649</v>
      </c>
      <c r="D383" s="105" t="s">
        <v>899</v>
      </c>
      <c r="E383" s="105" t="s">
        <v>899</v>
      </c>
      <c r="F383" s="217"/>
      <c r="G383" s="105" t="s">
        <v>3510</v>
      </c>
    </row>
    <row r="384" spans="1:7" ht="24.9" customHeight="1">
      <c r="A384" s="106">
        <v>374</v>
      </c>
      <c r="B384" s="106" t="s">
        <v>659</v>
      </c>
      <c r="C384" s="104">
        <v>4030504</v>
      </c>
      <c r="D384" s="106" t="s">
        <v>3564</v>
      </c>
      <c r="E384" s="106" t="s">
        <v>3361</v>
      </c>
      <c r="F384" s="218"/>
      <c r="G384" s="106" t="s">
        <v>3510</v>
      </c>
    </row>
    <row r="385" spans="1:7" ht="24.9" customHeight="1">
      <c r="A385" s="105">
        <v>375</v>
      </c>
      <c r="B385" s="105" t="s">
        <v>129</v>
      </c>
      <c r="C385" s="103">
        <v>20201</v>
      </c>
      <c r="D385" s="105" t="s">
        <v>8253</v>
      </c>
      <c r="E385" s="105" t="s">
        <v>3358</v>
      </c>
      <c r="F385" s="217"/>
      <c r="G385" s="105" t="s">
        <v>3510</v>
      </c>
    </row>
    <row r="386" spans="1:7" ht="24.9" customHeight="1">
      <c r="A386" s="106">
        <v>376</v>
      </c>
      <c r="B386" s="106" t="s">
        <v>3518</v>
      </c>
      <c r="C386" s="104" t="s">
        <v>3649</v>
      </c>
      <c r="D386" s="106" t="s">
        <v>899</v>
      </c>
      <c r="E386" s="106" t="s">
        <v>899</v>
      </c>
      <c r="F386" s="218"/>
      <c r="G386" s="106" t="s">
        <v>3510</v>
      </c>
    </row>
    <row r="387" spans="1:7" ht="24.9" customHeight="1">
      <c r="A387" s="105">
        <v>377</v>
      </c>
      <c r="B387" s="105" t="s">
        <v>3519</v>
      </c>
      <c r="C387" s="103" t="s">
        <v>3652</v>
      </c>
      <c r="D387" s="105" t="s">
        <v>3564</v>
      </c>
      <c r="E387" s="105" t="s">
        <v>3653</v>
      </c>
      <c r="F387" s="217"/>
      <c r="G387" s="105" t="s">
        <v>3510</v>
      </c>
    </row>
    <row r="388" spans="1:7" ht="24.9" customHeight="1">
      <c r="A388" s="106">
        <v>378</v>
      </c>
      <c r="B388" s="106" t="s">
        <v>3520</v>
      </c>
      <c r="C388" s="104" t="s">
        <v>3649</v>
      </c>
      <c r="D388" s="106" t="s">
        <v>899</v>
      </c>
      <c r="E388" s="106" t="s">
        <v>899</v>
      </c>
      <c r="F388" s="218"/>
      <c r="G388" s="106" t="s">
        <v>3510</v>
      </c>
    </row>
    <row r="389" spans="1:7" ht="24.9" customHeight="1">
      <c r="A389" s="105">
        <v>379</v>
      </c>
      <c r="B389" s="105" t="s">
        <v>443</v>
      </c>
      <c r="C389" s="103">
        <v>2219</v>
      </c>
      <c r="D389" s="105" t="s">
        <v>3564</v>
      </c>
      <c r="E389" s="105" t="s">
        <v>3654</v>
      </c>
      <c r="F389" s="217"/>
      <c r="G389" s="105" t="s">
        <v>4403</v>
      </c>
    </row>
    <row r="390" spans="1:7" ht="24.9" customHeight="1">
      <c r="A390" s="106">
        <v>380</v>
      </c>
      <c r="B390" s="106" t="s">
        <v>6443</v>
      </c>
      <c r="C390" s="104">
        <v>20987</v>
      </c>
      <c r="D390" s="106" t="s">
        <v>8253</v>
      </c>
      <c r="E390" s="106" t="s">
        <v>3567</v>
      </c>
      <c r="F390" s="218"/>
      <c r="G390" s="106" t="s">
        <v>3510</v>
      </c>
    </row>
    <row r="391" spans="1:7" ht="24.9" customHeight="1">
      <c r="A391" s="105">
        <v>381</v>
      </c>
      <c r="B391" s="105" t="s">
        <v>3521</v>
      </c>
      <c r="C391" s="103">
        <v>20204</v>
      </c>
      <c r="D391" s="105" t="s">
        <v>3655</v>
      </c>
      <c r="E391" s="105" t="s">
        <v>771</v>
      </c>
      <c r="F391" s="217"/>
      <c r="G391" s="105" t="s">
        <v>3510</v>
      </c>
    </row>
    <row r="392" spans="1:7" ht="24.9" customHeight="1">
      <c r="A392" s="106">
        <v>382</v>
      </c>
      <c r="B392" s="106" t="s">
        <v>3522</v>
      </c>
      <c r="C392" s="104" t="s">
        <v>3649</v>
      </c>
      <c r="D392" s="106" t="s">
        <v>899</v>
      </c>
      <c r="E392" s="106" t="s">
        <v>899</v>
      </c>
      <c r="F392" s="218"/>
      <c r="G392" s="106" t="s">
        <v>3510</v>
      </c>
    </row>
    <row r="393" spans="1:7" ht="24.9" customHeight="1">
      <c r="A393" s="105">
        <v>383</v>
      </c>
      <c r="B393" s="105" t="s">
        <v>3523</v>
      </c>
      <c r="C393" s="103">
        <v>4000515</v>
      </c>
      <c r="D393" s="105" t="s">
        <v>3564</v>
      </c>
      <c r="E393" s="105" t="s">
        <v>3579</v>
      </c>
      <c r="F393" s="217"/>
      <c r="G393" s="105" t="s">
        <v>3510</v>
      </c>
    </row>
    <row r="394" spans="1:7" ht="24.9" customHeight="1">
      <c r="A394" s="106">
        <v>384</v>
      </c>
      <c r="B394" s="106" t="s">
        <v>3524</v>
      </c>
      <c r="C394" s="104" t="s">
        <v>3649</v>
      </c>
      <c r="D394" s="106" t="s">
        <v>899</v>
      </c>
      <c r="E394" s="106" t="s">
        <v>899</v>
      </c>
      <c r="F394" s="218"/>
      <c r="G394" s="106" t="s">
        <v>3510</v>
      </c>
    </row>
    <row r="395" spans="1:7" ht="24.9" customHeight="1">
      <c r="A395" s="105">
        <v>385</v>
      </c>
      <c r="B395" s="105" t="s">
        <v>454</v>
      </c>
      <c r="C395" s="103">
        <v>528</v>
      </c>
      <c r="D395" s="105" t="s">
        <v>3564</v>
      </c>
      <c r="E395" s="105" t="s">
        <v>3656</v>
      </c>
      <c r="F395" s="217"/>
      <c r="G395" s="105" t="s">
        <v>3510</v>
      </c>
    </row>
    <row r="396" spans="1:7" ht="24.9" customHeight="1">
      <c r="A396" s="106">
        <v>386</v>
      </c>
      <c r="B396" s="106" t="s">
        <v>3525</v>
      </c>
      <c r="C396" s="104">
        <v>637</v>
      </c>
      <c r="D396" s="106" t="s">
        <v>3564</v>
      </c>
      <c r="E396" s="106" t="s">
        <v>3657</v>
      </c>
      <c r="F396" s="218"/>
      <c r="G396" s="106" t="s">
        <v>3510</v>
      </c>
    </row>
    <row r="397" spans="1:7" ht="24.9" customHeight="1">
      <c r="A397" s="105">
        <v>387</v>
      </c>
      <c r="B397" s="105" t="s">
        <v>3526</v>
      </c>
      <c r="C397" s="103">
        <v>4010606</v>
      </c>
      <c r="D397" s="105" t="s">
        <v>3564</v>
      </c>
      <c r="E397" s="105" t="s">
        <v>3357</v>
      </c>
      <c r="F397" s="217"/>
      <c r="G397" s="105" t="s">
        <v>3510</v>
      </c>
    </row>
    <row r="398" spans="1:7" ht="24.9" customHeight="1">
      <c r="A398" s="106">
        <v>388</v>
      </c>
      <c r="B398" s="106" t="s">
        <v>3527</v>
      </c>
      <c r="C398" s="104" t="s">
        <v>2105</v>
      </c>
      <c r="D398" s="106" t="s">
        <v>3564</v>
      </c>
      <c r="E398" s="106" t="s">
        <v>3658</v>
      </c>
      <c r="F398" s="218"/>
      <c r="G398" s="106" t="s">
        <v>3510</v>
      </c>
    </row>
    <row r="399" spans="1:7" ht="24.9" customHeight="1">
      <c r="A399" s="105">
        <v>389</v>
      </c>
      <c r="B399" s="105" t="s">
        <v>444</v>
      </c>
      <c r="C399" s="103">
        <v>991002</v>
      </c>
      <c r="D399" s="105" t="s">
        <v>3564</v>
      </c>
      <c r="E399" s="105" t="s">
        <v>3598</v>
      </c>
      <c r="F399" s="217"/>
      <c r="G399" s="105" t="s">
        <v>3510</v>
      </c>
    </row>
    <row r="400" spans="1:7" ht="24.9" customHeight="1">
      <c r="A400" s="106">
        <v>390</v>
      </c>
      <c r="B400" s="106" t="s">
        <v>3528</v>
      </c>
      <c r="C400" s="104">
        <v>1507</v>
      </c>
      <c r="D400" s="106" t="s">
        <v>3564</v>
      </c>
      <c r="E400" s="106" t="s">
        <v>2747</v>
      </c>
      <c r="F400" s="218"/>
      <c r="G400" s="106" t="s">
        <v>3510</v>
      </c>
    </row>
    <row r="401" spans="1:7" ht="24.9" customHeight="1">
      <c r="A401" s="105">
        <v>391</v>
      </c>
      <c r="B401" s="105" t="s">
        <v>3531</v>
      </c>
      <c r="C401" s="103">
        <v>835</v>
      </c>
      <c r="D401" s="105" t="s">
        <v>3564</v>
      </c>
      <c r="E401" s="105" t="s">
        <v>3659</v>
      </c>
      <c r="F401" s="217"/>
      <c r="G401" s="105" t="s">
        <v>3510</v>
      </c>
    </row>
    <row r="402" spans="1:7" ht="24.9" customHeight="1">
      <c r="A402" s="106">
        <v>392</v>
      </c>
      <c r="B402" s="106" t="s">
        <v>3536</v>
      </c>
      <c r="C402" s="104">
        <v>1536</v>
      </c>
      <c r="D402" s="106" t="s">
        <v>3564</v>
      </c>
      <c r="E402" s="106" t="s">
        <v>771</v>
      </c>
      <c r="F402" s="218"/>
      <c r="G402" s="106" t="s">
        <v>3660</v>
      </c>
    </row>
    <row r="403" spans="1:7" ht="24.9" customHeight="1">
      <c r="A403" s="105">
        <v>393</v>
      </c>
      <c r="B403" s="105" t="s">
        <v>3537</v>
      </c>
      <c r="C403" s="103" t="s">
        <v>3649</v>
      </c>
      <c r="D403" s="105" t="s">
        <v>899</v>
      </c>
      <c r="E403" s="105" t="s">
        <v>899</v>
      </c>
      <c r="F403" s="217"/>
      <c r="G403" s="105" t="s">
        <v>3660</v>
      </c>
    </row>
    <row r="404" spans="1:7" ht="24.9" customHeight="1">
      <c r="A404" s="106">
        <v>394</v>
      </c>
      <c r="B404" s="106" t="s">
        <v>3538</v>
      </c>
      <c r="C404" s="104" t="s">
        <v>1993</v>
      </c>
      <c r="D404" s="106" t="s">
        <v>3564</v>
      </c>
      <c r="E404" s="106" t="s">
        <v>3579</v>
      </c>
      <c r="F404" s="218"/>
      <c r="G404" s="106" t="s">
        <v>3660</v>
      </c>
    </row>
    <row r="405" spans="1:7" ht="24.9" customHeight="1">
      <c r="A405" s="105">
        <v>395</v>
      </c>
      <c r="B405" s="105" t="s">
        <v>3539</v>
      </c>
      <c r="C405" s="103">
        <v>1901</v>
      </c>
      <c r="D405" s="105" t="s">
        <v>3564</v>
      </c>
      <c r="E405" s="105" t="s">
        <v>3361</v>
      </c>
      <c r="F405" s="217"/>
      <c r="G405" s="105" t="s">
        <v>3660</v>
      </c>
    </row>
    <row r="406" spans="1:7" ht="24.9" customHeight="1">
      <c r="A406" s="106">
        <v>396</v>
      </c>
      <c r="B406" s="106" t="s">
        <v>3540</v>
      </c>
      <c r="C406" s="104">
        <v>1902</v>
      </c>
      <c r="D406" s="106" t="s">
        <v>3564</v>
      </c>
      <c r="E406" s="106" t="s">
        <v>771</v>
      </c>
      <c r="F406" s="218"/>
      <c r="G406" s="106" t="s">
        <v>3660</v>
      </c>
    </row>
    <row r="407" spans="1:7" ht="24.9" customHeight="1">
      <c r="A407" s="105">
        <v>397</v>
      </c>
      <c r="B407" s="105" t="s">
        <v>3541</v>
      </c>
      <c r="C407" s="103">
        <v>165</v>
      </c>
      <c r="D407" s="105" t="s">
        <v>3564</v>
      </c>
      <c r="E407" s="105" t="s">
        <v>3661</v>
      </c>
      <c r="F407" s="217"/>
      <c r="G407" s="105" t="s">
        <v>3660</v>
      </c>
    </row>
    <row r="408" spans="1:7" ht="24.9" customHeight="1">
      <c r="A408" s="106">
        <v>398</v>
      </c>
      <c r="B408" s="106" t="s">
        <v>3542</v>
      </c>
      <c r="C408" s="104" t="s">
        <v>1991</v>
      </c>
      <c r="D408" s="106" t="s">
        <v>3564</v>
      </c>
      <c r="E408" s="106" t="s">
        <v>3357</v>
      </c>
      <c r="F408" s="218"/>
      <c r="G408" s="106" t="s">
        <v>3660</v>
      </c>
    </row>
    <row r="409" spans="1:7" ht="24.9" customHeight="1">
      <c r="A409" s="105">
        <v>399</v>
      </c>
      <c r="B409" s="105" t="s">
        <v>148</v>
      </c>
      <c r="C409" s="103" t="s">
        <v>3649</v>
      </c>
      <c r="D409" s="105" t="s">
        <v>899</v>
      </c>
      <c r="E409" s="105" t="s">
        <v>899</v>
      </c>
      <c r="F409" s="217"/>
      <c r="G409" s="105" t="s">
        <v>3660</v>
      </c>
    </row>
    <row r="410" spans="1:7" ht="24.9" customHeight="1">
      <c r="A410" s="106">
        <v>400</v>
      </c>
      <c r="B410" s="106" t="s">
        <v>3543</v>
      </c>
      <c r="C410" s="104" t="s">
        <v>3649</v>
      </c>
      <c r="D410" s="106" t="s">
        <v>899</v>
      </c>
      <c r="E410" s="106" t="s">
        <v>899</v>
      </c>
      <c r="F410" s="218"/>
      <c r="G410" s="106" t="s">
        <v>3660</v>
      </c>
    </row>
    <row r="411" spans="1:7" ht="24.9" customHeight="1">
      <c r="A411" s="105">
        <v>401</v>
      </c>
      <c r="B411" s="105" t="s">
        <v>149</v>
      </c>
      <c r="C411" s="103" t="s">
        <v>3649</v>
      </c>
      <c r="D411" s="105" t="s">
        <v>899</v>
      </c>
      <c r="E411" s="105" t="s">
        <v>899</v>
      </c>
      <c r="F411" s="217"/>
      <c r="G411" s="105" t="s">
        <v>3660</v>
      </c>
    </row>
    <row r="412" spans="1:7" ht="24.9" customHeight="1">
      <c r="A412" s="106">
        <v>402</v>
      </c>
      <c r="B412" s="106" t="s">
        <v>3537</v>
      </c>
      <c r="C412" s="104" t="s">
        <v>3649</v>
      </c>
      <c r="D412" s="106" t="s">
        <v>899</v>
      </c>
      <c r="E412" s="106" t="s">
        <v>899</v>
      </c>
      <c r="F412" s="218"/>
      <c r="G412" s="106" t="s">
        <v>3660</v>
      </c>
    </row>
    <row r="413" spans="1:7" ht="24.9" customHeight="1">
      <c r="A413" s="105">
        <v>403</v>
      </c>
      <c r="B413" s="105" t="s">
        <v>150</v>
      </c>
      <c r="C413" s="103" t="s">
        <v>3649</v>
      </c>
      <c r="D413" s="105" t="s">
        <v>899</v>
      </c>
      <c r="E413" s="105" t="s">
        <v>899</v>
      </c>
      <c r="F413" s="217"/>
      <c r="G413" s="105" t="s">
        <v>3660</v>
      </c>
    </row>
    <row r="414" spans="1:7" ht="24.9" customHeight="1">
      <c r="A414" s="106">
        <v>404</v>
      </c>
      <c r="B414" s="106" t="s">
        <v>3544</v>
      </c>
      <c r="C414" s="104" t="s">
        <v>3649</v>
      </c>
      <c r="D414" s="106" t="s">
        <v>899</v>
      </c>
      <c r="E414" s="106" t="s">
        <v>3662</v>
      </c>
      <c r="F414" s="218"/>
      <c r="G414" s="106" t="s">
        <v>3660</v>
      </c>
    </row>
    <row r="415" spans="1:7" ht="24.9" customHeight="1">
      <c r="A415" s="105">
        <v>405</v>
      </c>
      <c r="B415" s="105" t="s">
        <v>3537</v>
      </c>
      <c r="C415" s="103" t="s">
        <v>3649</v>
      </c>
      <c r="D415" s="105" t="s">
        <v>899</v>
      </c>
      <c r="E415" s="105" t="s">
        <v>3663</v>
      </c>
      <c r="F415" s="217"/>
      <c r="G415" s="105" t="s">
        <v>3660</v>
      </c>
    </row>
    <row r="416" spans="1:7" ht="24.9" customHeight="1">
      <c r="A416" s="106">
        <v>406</v>
      </c>
      <c r="B416" s="106" t="s">
        <v>3545</v>
      </c>
      <c r="C416" s="104" t="s">
        <v>1988</v>
      </c>
      <c r="D416" s="106" t="s">
        <v>3564</v>
      </c>
      <c r="E416" s="106" t="s">
        <v>767</v>
      </c>
      <c r="F416" s="218"/>
      <c r="G416" s="106" t="s">
        <v>3660</v>
      </c>
    </row>
    <row r="417" spans="1:7" ht="24.9" customHeight="1">
      <c r="A417" s="105">
        <v>407</v>
      </c>
      <c r="B417" s="105" t="s">
        <v>3546</v>
      </c>
      <c r="C417" s="103">
        <v>98137</v>
      </c>
      <c r="D417" s="105" t="s">
        <v>3564</v>
      </c>
      <c r="E417" s="105" t="s">
        <v>3664</v>
      </c>
      <c r="F417" s="217"/>
      <c r="G417" s="105" t="s">
        <v>3660</v>
      </c>
    </row>
    <row r="418" spans="1:7" ht="24.9" customHeight="1">
      <c r="A418" s="106">
        <v>408</v>
      </c>
      <c r="B418" s="106" t="s">
        <v>152</v>
      </c>
      <c r="C418" s="104" t="s">
        <v>3649</v>
      </c>
      <c r="D418" s="106" t="s">
        <v>899</v>
      </c>
      <c r="E418" s="106" t="s">
        <v>899</v>
      </c>
      <c r="F418" s="218"/>
      <c r="G418" s="106" t="s">
        <v>3660</v>
      </c>
    </row>
    <row r="419" spans="1:7" ht="24.9" customHeight="1">
      <c r="A419" s="105">
        <v>409</v>
      </c>
      <c r="B419" s="105" t="s">
        <v>153</v>
      </c>
      <c r="C419" s="103" t="s">
        <v>3649</v>
      </c>
      <c r="D419" s="105" t="s">
        <v>899</v>
      </c>
      <c r="E419" s="105" t="s">
        <v>899</v>
      </c>
      <c r="F419" s="217"/>
      <c r="G419" s="105" t="s">
        <v>3660</v>
      </c>
    </row>
    <row r="420" spans="1:7" ht="24.9" customHeight="1">
      <c r="A420" s="106">
        <v>410</v>
      </c>
      <c r="B420" s="106" t="s">
        <v>154</v>
      </c>
      <c r="C420" s="104" t="s">
        <v>3649</v>
      </c>
      <c r="D420" s="106" t="s">
        <v>899</v>
      </c>
      <c r="E420" s="106" t="s">
        <v>899</v>
      </c>
      <c r="F420" s="218"/>
      <c r="G420" s="106" t="s">
        <v>3660</v>
      </c>
    </row>
    <row r="421" spans="1:7" ht="24.9" customHeight="1">
      <c r="A421" s="105">
        <v>411</v>
      </c>
      <c r="B421" s="105" t="s">
        <v>3547</v>
      </c>
      <c r="C421" s="103">
        <v>1919</v>
      </c>
      <c r="D421" s="105" t="s">
        <v>3564</v>
      </c>
      <c r="E421" s="105" t="s">
        <v>3665</v>
      </c>
      <c r="F421" s="217"/>
      <c r="G421" s="105" t="s">
        <v>3660</v>
      </c>
    </row>
    <row r="422" spans="1:7" ht="24.9" customHeight="1">
      <c r="A422" s="106">
        <v>412</v>
      </c>
      <c r="B422" s="106" t="s">
        <v>1254</v>
      </c>
      <c r="C422" s="104" t="s">
        <v>3703</v>
      </c>
      <c r="D422" s="106" t="s">
        <v>3564</v>
      </c>
      <c r="E422" s="106" t="s">
        <v>766</v>
      </c>
      <c r="F422" s="218"/>
      <c r="G422" s="106" t="s">
        <v>3660</v>
      </c>
    </row>
    <row r="423" spans="1:7" ht="24.9" customHeight="1">
      <c r="A423" s="105">
        <v>413</v>
      </c>
      <c r="B423" s="105" t="s">
        <v>3548</v>
      </c>
      <c r="C423" s="103">
        <v>20186</v>
      </c>
      <c r="D423" s="105" t="s">
        <v>8253</v>
      </c>
      <c r="E423" s="105" t="s">
        <v>782</v>
      </c>
      <c r="F423" s="217"/>
      <c r="G423" s="105" t="s">
        <v>3660</v>
      </c>
    </row>
    <row r="424" spans="1:7" ht="24.9" customHeight="1">
      <c r="A424" s="106">
        <v>414</v>
      </c>
      <c r="B424" s="106" t="s">
        <v>3549</v>
      </c>
      <c r="C424" s="104">
        <v>1770</v>
      </c>
      <c r="D424" s="106" t="s">
        <v>3564</v>
      </c>
      <c r="E424" s="106" t="s">
        <v>767</v>
      </c>
      <c r="F424" s="218"/>
      <c r="G424" s="106" t="s">
        <v>3660</v>
      </c>
    </row>
    <row r="425" spans="1:7" ht="24.9" customHeight="1">
      <c r="A425" s="106"/>
      <c r="B425" s="106" t="s">
        <v>8582</v>
      </c>
      <c r="C425" s="104">
        <v>21099</v>
      </c>
      <c r="D425" s="106" t="s">
        <v>8253</v>
      </c>
      <c r="E425" s="106" t="s">
        <v>771</v>
      </c>
      <c r="F425" s="218" t="s">
        <v>8583</v>
      </c>
      <c r="G425" s="106" t="s">
        <v>5639</v>
      </c>
    </row>
    <row r="426" spans="1:7" ht="24.9" customHeight="1">
      <c r="A426" s="105">
        <v>415</v>
      </c>
      <c r="B426" s="105" t="s">
        <v>451</v>
      </c>
      <c r="C426" s="103"/>
      <c r="D426" s="105"/>
      <c r="E426" s="105"/>
      <c r="F426" s="217"/>
      <c r="G426" s="105" t="s">
        <v>3660</v>
      </c>
    </row>
    <row r="427" spans="1:7" ht="24.9" customHeight="1">
      <c r="A427" s="106">
        <v>416</v>
      </c>
      <c r="B427" s="106" t="s">
        <v>450</v>
      </c>
      <c r="C427" s="104">
        <v>20192</v>
      </c>
      <c r="D427" s="106" t="s">
        <v>8253</v>
      </c>
      <c r="E427" s="106" t="s">
        <v>3650</v>
      </c>
      <c r="F427" s="218"/>
      <c r="G427" s="106" t="s">
        <v>3660</v>
      </c>
    </row>
    <row r="428" spans="1:7" ht="24.9" customHeight="1">
      <c r="A428" s="105">
        <v>417</v>
      </c>
      <c r="B428" s="105" t="s">
        <v>3550</v>
      </c>
      <c r="C428" s="103" t="s">
        <v>3649</v>
      </c>
      <c r="D428" s="105" t="s">
        <v>899</v>
      </c>
      <c r="E428" s="105" t="s">
        <v>899</v>
      </c>
      <c r="F428" s="217"/>
      <c r="G428" s="105" t="s">
        <v>3660</v>
      </c>
    </row>
    <row r="429" spans="1:7" ht="24.9" customHeight="1">
      <c r="A429" s="106">
        <v>418</v>
      </c>
      <c r="B429" s="106" t="s">
        <v>3551</v>
      </c>
      <c r="C429" s="104">
        <v>1940</v>
      </c>
      <c r="D429" s="106" t="s">
        <v>3564</v>
      </c>
      <c r="E429" s="106" t="s">
        <v>766</v>
      </c>
      <c r="F429" s="218"/>
      <c r="G429" s="106" t="s">
        <v>3660</v>
      </c>
    </row>
    <row r="430" spans="1:7" ht="24.9" customHeight="1">
      <c r="A430" s="105">
        <v>419</v>
      </c>
      <c r="B430" s="105" t="s">
        <v>8215</v>
      </c>
      <c r="C430" s="103" t="s">
        <v>1990</v>
      </c>
      <c r="D430" s="105" t="s">
        <v>3564</v>
      </c>
      <c r="E430" s="105" t="s">
        <v>3357</v>
      </c>
      <c r="F430" s="217"/>
      <c r="G430" s="105" t="s">
        <v>3660</v>
      </c>
    </row>
    <row r="431" spans="1:7" ht="24.9" customHeight="1">
      <c r="A431" s="106">
        <v>420</v>
      </c>
      <c r="B431" s="106" t="s">
        <v>1141</v>
      </c>
      <c r="C431" s="104">
        <v>20441</v>
      </c>
      <c r="D431" s="106" t="s">
        <v>8253</v>
      </c>
      <c r="E431" s="106" t="s">
        <v>3365</v>
      </c>
      <c r="F431" s="218"/>
      <c r="G431" s="106" t="s">
        <v>3660</v>
      </c>
    </row>
    <row r="432" spans="1:7" ht="24.9" customHeight="1">
      <c r="A432" s="105">
        <v>421</v>
      </c>
      <c r="B432" s="105" t="s">
        <v>3552</v>
      </c>
      <c r="C432" s="103" t="s">
        <v>3649</v>
      </c>
      <c r="D432" s="105" t="s">
        <v>899</v>
      </c>
      <c r="E432" s="105" t="s">
        <v>899</v>
      </c>
      <c r="F432" s="217"/>
      <c r="G432" s="105" t="s">
        <v>3660</v>
      </c>
    </row>
    <row r="433" spans="1:7" ht="24.9" customHeight="1">
      <c r="A433" s="106">
        <v>422</v>
      </c>
      <c r="B433" s="106" t="s">
        <v>3553</v>
      </c>
      <c r="C433" s="104" t="s">
        <v>3649</v>
      </c>
      <c r="D433" s="106" t="s">
        <v>899</v>
      </c>
      <c r="E433" s="106" t="s">
        <v>899</v>
      </c>
      <c r="F433" s="218"/>
      <c r="G433" s="106" t="s">
        <v>3660</v>
      </c>
    </row>
    <row r="434" spans="1:7" ht="24.9" customHeight="1">
      <c r="A434" s="105">
        <v>423</v>
      </c>
      <c r="B434" s="105" t="s">
        <v>3554</v>
      </c>
      <c r="C434" s="103" t="s">
        <v>3649</v>
      </c>
      <c r="D434" s="105" t="s">
        <v>899</v>
      </c>
      <c r="E434" s="105" t="s">
        <v>899</v>
      </c>
      <c r="F434" s="217"/>
      <c r="G434" s="105" t="s">
        <v>3660</v>
      </c>
    </row>
    <row r="435" spans="1:7" ht="24.9" customHeight="1">
      <c r="A435" s="106">
        <v>424</v>
      </c>
      <c r="B435" s="106" t="s">
        <v>3555</v>
      </c>
      <c r="C435" s="104" t="s">
        <v>3649</v>
      </c>
      <c r="D435" s="106" t="s">
        <v>899</v>
      </c>
      <c r="E435" s="106" t="s">
        <v>899</v>
      </c>
      <c r="F435" s="218"/>
      <c r="G435" s="106" t="s">
        <v>3660</v>
      </c>
    </row>
    <row r="436" spans="1:7" ht="24.9" customHeight="1">
      <c r="A436" s="106"/>
      <c r="B436" s="106" t="s">
        <v>8566</v>
      </c>
      <c r="C436" s="104">
        <v>0</v>
      </c>
      <c r="D436" s="106" t="s">
        <v>8266</v>
      </c>
      <c r="E436" s="106" t="s">
        <v>3635</v>
      </c>
      <c r="F436" s="218" t="s">
        <v>8567</v>
      </c>
      <c r="G436" s="106" t="s">
        <v>8568</v>
      </c>
    </row>
    <row r="437" spans="1:7" ht="24.9" customHeight="1">
      <c r="A437" s="105">
        <v>425</v>
      </c>
      <c r="B437" s="105" t="s">
        <v>3556</v>
      </c>
      <c r="C437" s="103">
        <v>4001004</v>
      </c>
      <c r="D437" s="105" t="s">
        <v>3564</v>
      </c>
      <c r="E437" s="105" t="s">
        <v>770</v>
      </c>
      <c r="F437" s="217"/>
      <c r="G437" s="105" t="s">
        <v>3660</v>
      </c>
    </row>
    <row r="438" spans="1:7" ht="24.9" customHeight="1">
      <c r="A438" s="106">
        <v>426</v>
      </c>
      <c r="B438" s="106" t="s">
        <v>1905</v>
      </c>
      <c r="C438" s="104">
        <v>1505</v>
      </c>
      <c r="D438" s="106" t="s">
        <v>3564</v>
      </c>
      <c r="E438" s="106" t="s">
        <v>3650</v>
      </c>
      <c r="F438" s="218"/>
      <c r="G438" s="106" t="s">
        <v>3660</v>
      </c>
    </row>
    <row r="439" spans="1:7" ht="24.9" customHeight="1">
      <c r="A439" s="105">
        <v>427</v>
      </c>
      <c r="B439" s="105" t="s">
        <v>1165</v>
      </c>
      <c r="C439" s="103" t="s">
        <v>1989</v>
      </c>
      <c r="D439" s="105" t="s">
        <v>3564</v>
      </c>
      <c r="E439" s="105" t="s">
        <v>3666</v>
      </c>
      <c r="F439" s="217"/>
      <c r="G439" s="105" t="s">
        <v>3660</v>
      </c>
    </row>
    <row r="440" spans="1:7" ht="24.9" customHeight="1">
      <c r="A440" s="105"/>
      <c r="B440" s="105" t="s">
        <v>8558</v>
      </c>
      <c r="C440" s="103">
        <v>100518</v>
      </c>
      <c r="D440" s="105" t="s">
        <v>3572</v>
      </c>
      <c r="E440" s="105" t="s">
        <v>4054</v>
      </c>
      <c r="F440" s="217" t="s">
        <v>8559</v>
      </c>
      <c r="G440" s="105" t="s">
        <v>3381</v>
      </c>
    </row>
    <row r="441" spans="1:7" ht="24.9" customHeight="1">
      <c r="A441" s="106">
        <v>428</v>
      </c>
      <c r="B441" s="106" t="s">
        <v>397</v>
      </c>
      <c r="C441" s="104" t="s">
        <v>1992</v>
      </c>
      <c r="D441" s="106" t="s">
        <v>3564</v>
      </c>
      <c r="E441" s="106" t="s">
        <v>3586</v>
      </c>
      <c r="F441" s="218"/>
      <c r="G441" s="106" t="s">
        <v>3660</v>
      </c>
    </row>
    <row r="442" spans="1:7" ht="24.9" customHeight="1">
      <c r="A442" s="105">
        <v>429</v>
      </c>
      <c r="B442" s="105" t="s">
        <v>79</v>
      </c>
      <c r="C442" s="103" t="s">
        <v>1987</v>
      </c>
      <c r="D442" s="105" t="s">
        <v>3564</v>
      </c>
      <c r="E442" s="105" t="s">
        <v>3667</v>
      </c>
      <c r="F442" s="217"/>
      <c r="G442" s="105" t="s">
        <v>3660</v>
      </c>
    </row>
    <row r="443" spans="1:7" ht="24.9" customHeight="1">
      <c r="A443" s="106">
        <v>430</v>
      </c>
      <c r="B443" s="106" t="s">
        <v>3557</v>
      </c>
      <c r="C443" s="104" t="s">
        <v>3649</v>
      </c>
      <c r="D443" s="106" t="s">
        <v>899</v>
      </c>
      <c r="E443" s="106" t="s">
        <v>899</v>
      </c>
      <c r="F443" s="218"/>
      <c r="G443" s="106" t="s">
        <v>3660</v>
      </c>
    </row>
    <row r="444" spans="1:7" ht="24.9" customHeight="1">
      <c r="A444" s="105">
        <v>431</v>
      </c>
      <c r="B444" s="105" t="s">
        <v>3558</v>
      </c>
      <c r="C444" s="103">
        <v>1538</v>
      </c>
      <c r="D444" s="105" t="s">
        <v>3564</v>
      </c>
      <c r="E444" s="105" t="s">
        <v>2747</v>
      </c>
      <c r="F444" s="217"/>
      <c r="G444" s="105" t="s">
        <v>3660</v>
      </c>
    </row>
    <row r="445" spans="1:7" ht="24.9" customHeight="1">
      <c r="A445" s="106">
        <v>432</v>
      </c>
      <c r="B445" s="106" t="s">
        <v>3559</v>
      </c>
      <c r="C445" s="104" t="s">
        <v>3649</v>
      </c>
      <c r="D445" s="106" t="s">
        <v>899</v>
      </c>
      <c r="E445" s="106" t="s">
        <v>899</v>
      </c>
      <c r="F445" s="218"/>
      <c r="G445" s="106" t="s">
        <v>3660</v>
      </c>
    </row>
    <row r="446" spans="1:7" ht="24.9" customHeight="1">
      <c r="A446" s="105">
        <v>433</v>
      </c>
      <c r="B446" s="105" t="s">
        <v>3728</v>
      </c>
      <c r="C446" s="103">
        <v>483</v>
      </c>
      <c r="D446" s="105" t="s">
        <v>3564</v>
      </c>
      <c r="E446" s="105" t="s">
        <v>3360</v>
      </c>
      <c r="F446" s="217"/>
      <c r="G446" s="105" t="s">
        <v>3745</v>
      </c>
    </row>
    <row r="447" spans="1:7" ht="24.9" customHeight="1">
      <c r="A447" s="106">
        <v>434</v>
      </c>
      <c r="B447" s="106" t="s">
        <v>3729</v>
      </c>
      <c r="C447" s="104">
        <v>787</v>
      </c>
      <c r="D447" s="106" t="s">
        <v>3564</v>
      </c>
      <c r="E447" s="106" t="s">
        <v>766</v>
      </c>
      <c r="F447" s="218"/>
      <c r="G447" s="106" t="s">
        <v>3745</v>
      </c>
    </row>
    <row r="448" spans="1:7" ht="24.9" customHeight="1">
      <c r="A448" s="105">
        <v>435</v>
      </c>
      <c r="B448" s="105" t="s">
        <v>7935</v>
      </c>
      <c r="C448" s="103">
        <v>21035</v>
      </c>
      <c r="D448" s="105" t="s">
        <v>8253</v>
      </c>
      <c r="E448" s="105" t="s">
        <v>3357</v>
      </c>
      <c r="F448" s="217"/>
      <c r="G448" s="105" t="s">
        <v>3745</v>
      </c>
    </row>
    <row r="449" spans="1:7" ht="24.9" customHeight="1">
      <c r="A449" s="106">
        <v>436</v>
      </c>
      <c r="B449" s="106" t="s">
        <v>3730</v>
      </c>
      <c r="C449" s="104">
        <v>770</v>
      </c>
      <c r="D449" s="106" t="s">
        <v>3564</v>
      </c>
      <c r="E449" s="106" t="s">
        <v>767</v>
      </c>
      <c r="F449" s="218"/>
      <c r="G449" s="106" t="s">
        <v>3745</v>
      </c>
    </row>
    <row r="450" spans="1:7" ht="24.9" customHeight="1">
      <c r="A450" s="105">
        <v>437</v>
      </c>
      <c r="B450" s="105" t="s">
        <v>3731</v>
      </c>
      <c r="C450" s="103">
        <v>4000807</v>
      </c>
      <c r="D450" s="105" t="s">
        <v>3564</v>
      </c>
      <c r="E450" s="105" t="s">
        <v>770</v>
      </c>
      <c r="F450" s="217"/>
      <c r="G450" s="105" t="s">
        <v>3745</v>
      </c>
    </row>
    <row r="451" spans="1:7" ht="24.9" customHeight="1">
      <c r="A451" s="106"/>
      <c r="B451" s="106" t="s">
        <v>8413</v>
      </c>
      <c r="C451" s="104">
        <v>4040707</v>
      </c>
      <c r="D451" s="106" t="s">
        <v>3564</v>
      </c>
      <c r="E451" s="106" t="s">
        <v>3357</v>
      </c>
      <c r="F451" s="218" t="s">
        <v>8415</v>
      </c>
      <c r="G451" s="106" t="s">
        <v>7947</v>
      </c>
    </row>
    <row r="452" spans="1:7" ht="24.9" customHeight="1">
      <c r="A452" s="105">
        <v>438</v>
      </c>
      <c r="B452" s="105" t="s">
        <v>3732</v>
      </c>
      <c r="C452" s="103" t="s">
        <v>3679</v>
      </c>
      <c r="D452" s="105" t="s">
        <v>3564</v>
      </c>
      <c r="E452" s="105" t="s">
        <v>767</v>
      </c>
      <c r="F452" s="217"/>
      <c r="G452" s="105" t="s">
        <v>3745</v>
      </c>
    </row>
    <row r="453" spans="1:7" ht="24.9" customHeight="1">
      <c r="A453" s="106">
        <v>439</v>
      </c>
      <c r="B453" s="106" t="s">
        <v>3733</v>
      </c>
      <c r="C453" s="104">
        <v>4000809</v>
      </c>
      <c r="D453" s="106" t="s">
        <v>3564</v>
      </c>
      <c r="E453" s="106" t="s">
        <v>3724</v>
      </c>
      <c r="F453" s="218"/>
      <c r="G453" s="106" t="s">
        <v>3745</v>
      </c>
    </row>
    <row r="454" spans="1:7" ht="24.9" customHeight="1">
      <c r="A454" s="105">
        <v>440</v>
      </c>
      <c r="B454" s="105" t="s">
        <v>3734</v>
      </c>
      <c r="C454" s="103">
        <v>991104</v>
      </c>
      <c r="D454" s="105" t="s">
        <v>3564</v>
      </c>
      <c r="E454" s="105" t="s">
        <v>3357</v>
      </c>
      <c r="F454" s="217"/>
      <c r="G454" s="105" t="s">
        <v>3745</v>
      </c>
    </row>
    <row r="455" spans="1:7" ht="24.9" customHeight="1">
      <c r="A455" s="106">
        <v>441</v>
      </c>
      <c r="B455" s="106" t="s">
        <v>3735</v>
      </c>
      <c r="C455" s="104">
        <v>4000811</v>
      </c>
      <c r="D455" s="106" t="s">
        <v>3564</v>
      </c>
      <c r="E455" s="106" t="s">
        <v>3579</v>
      </c>
      <c r="F455" s="218"/>
      <c r="G455" s="106" t="s">
        <v>3745</v>
      </c>
    </row>
    <row r="456" spans="1:7" ht="24.9" customHeight="1">
      <c r="A456" s="105">
        <v>442</v>
      </c>
      <c r="B456" s="105" t="s">
        <v>3736</v>
      </c>
      <c r="C456" s="103">
        <v>769</v>
      </c>
      <c r="D456" s="105" t="s">
        <v>3564</v>
      </c>
      <c r="E456" s="105" t="s">
        <v>771</v>
      </c>
      <c r="F456" s="217"/>
      <c r="G456" s="105" t="s">
        <v>3745</v>
      </c>
    </row>
    <row r="457" spans="1:7" ht="24.9" customHeight="1">
      <c r="A457" s="106">
        <v>443</v>
      </c>
      <c r="B457" s="106" t="s">
        <v>3737</v>
      </c>
      <c r="C457" s="104" t="s">
        <v>6121</v>
      </c>
      <c r="D457" s="106" t="s">
        <v>3564</v>
      </c>
      <c r="E457" s="106" t="s">
        <v>771</v>
      </c>
      <c r="F457" s="218"/>
      <c r="G457" s="106" t="s">
        <v>3745</v>
      </c>
    </row>
    <row r="458" spans="1:7" ht="24.9" customHeight="1">
      <c r="A458" s="105">
        <v>444</v>
      </c>
      <c r="B458" s="105" t="s">
        <v>3738</v>
      </c>
      <c r="C458" s="103" t="s">
        <v>6201</v>
      </c>
      <c r="D458" s="105" t="s">
        <v>3564</v>
      </c>
      <c r="E458" s="105" t="s">
        <v>782</v>
      </c>
      <c r="F458" s="217"/>
      <c r="G458" s="105" t="s">
        <v>3745</v>
      </c>
    </row>
    <row r="459" spans="1:7" ht="24.9" customHeight="1">
      <c r="A459" s="106">
        <v>445</v>
      </c>
      <c r="B459" s="106" t="s">
        <v>7865</v>
      </c>
      <c r="C459" s="104">
        <v>21034</v>
      </c>
      <c r="D459" s="106" t="s">
        <v>8253</v>
      </c>
      <c r="E459" s="106" t="s">
        <v>782</v>
      </c>
      <c r="F459" s="218" t="s">
        <v>7866</v>
      </c>
      <c r="G459" s="106" t="s">
        <v>3745</v>
      </c>
    </row>
    <row r="460" spans="1:7" ht="24.9" customHeight="1">
      <c r="A460" s="105">
        <v>446</v>
      </c>
      <c r="B460" s="105" t="s">
        <v>382</v>
      </c>
      <c r="C460" s="103">
        <v>4001101</v>
      </c>
      <c r="D460" s="105" t="s">
        <v>3564</v>
      </c>
      <c r="E460" s="105" t="s">
        <v>767</v>
      </c>
      <c r="F460" s="217"/>
      <c r="G460" s="105" t="s">
        <v>3745</v>
      </c>
    </row>
    <row r="461" spans="1:7" ht="24.9" customHeight="1">
      <c r="A461" s="106">
        <v>447</v>
      </c>
      <c r="B461" s="106" t="s">
        <v>3131</v>
      </c>
      <c r="C461" s="104">
        <v>4000502</v>
      </c>
      <c r="D461" s="106" t="s">
        <v>3564</v>
      </c>
      <c r="E461" s="106" t="s">
        <v>767</v>
      </c>
      <c r="F461" s="218"/>
      <c r="G461" s="106" t="s">
        <v>3968</v>
      </c>
    </row>
    <row r="462" spans="1:7" ht="24.9" customHeight="1">
      <c r="A462" s="105">
        <v>448</v>
      </c>
      <c r="B462" s="105" t="s">
        <v>3739</v>
      </c>
      <c r="C462" s="103">
        <v>579</v>
      </c>
      <c r="D462" s="105" t="s">
        <v>3564</v>
      </c>
      <c r="E462" s="105" t="s">
        <v>3658</v>
      </c>
      <c r="F462" s="217"/>
      <c r="G462" s="105" t="s">
        <v>3745</v>
      </c>
    </row>
    <row r="463" spans="1:7" ht="24.9" customHeight="1">
      <c r="A463" s="106">
        <v>449</v>
      </c>
      <c r="B463" s="106" t="s">
        <v>3740</v>
      </c>
      <c r="C463" s="104">
        <v>4000507</v>
      </c>
      <c r="D463" s="106" t="s">
        <v>3564</v>
      </c>
      <c r="E463" s="106" t="s">
        <v>3598</v>
      </c>
      <c r="F463" s="218"/>
      <c r="G463" s="106" t="s">
        <v>3745</v>
      </c>
    </row>
    <row r="464" spans="1:7" ht="24.9" customHeight="1">
      <c r="A464" s="105">
        <v>450</v>
      </c>
      <c r="B464" s="105" t="s">
        <v>7362</v>
      </c>
      <c r="C464" s="103">
        <v>4020405</v>
      </c>
      <c r="D464" s="105" t="s">
        <v>3564</v>
      </c>
      <c r="E464" s="105" t="s">
        <v>3359</v>
      </c>
      <c r="F464" s="217"/>
      <c r="G464" s="105" t="s">
        <v>3745</v>
      </c>
    </row>
    <row r="465" spans="1:7" ht="24.9" customHeight="1">
      <c r="A465" s="106">
        <v>451</v>
      </c>
      <c r="B465" s="106" t="s">
        <v>3741</v>
      </c>
      <c r="C465" s="104">
        <v>7007</v>
      </c>
      <c r="D465" s="106" t="s">
        <v>3564</v>
      </c>
      <c r="E465" s="106" t="s">
        <v>771</v>
      </c>
      <c r="F465" s="218"/>
      <c r="G465" s="106" t="s">
        <v>3745</v>
      </c>
    </row>
    <row r="466" spans="1:7" ht="24.9" customHeight="1">
      <c r="A466" s="105">
        <v>452</v>
      </c>
      <c r="B466" s="105" t="s">
        <v>7366</v>
      </c>
      <c r="C466" s="103">
        <v>0</v>
      </c>
      <c r="D466" s="105" t="s">
        <v>8253</v>
      </c>
      <c r="E466" s="105" t="s">
        <v>2857</v>
      </c>
      <c r="F466" s="217">
        <v>17485363</v>
      </c>
      <c r="G466" s="105" t="s">
        <v>3745</v>
      </c>
    </row>
    <row r="467" spans="1:7" ht="24.9" customHeight="1">
      <c r="A467" s="106">
        <v>453</v>
      </c>
      <c r="B467" s="106" t="s">
        <v>3742</v>
      </c>
      <c r="C467" s="104">
        <v>808</v>
      </c>
      <c r="D467" s="106" t="s">
        <v>3564</v>
      </c>
      <c r="E467" s="106" t="s">
        <v>766</v>
      </c>
      <c r="F467" s="218"/>
      <c r="G467" s="106" t="s">
        <v>3745</v>
      </c>
    </row>
    <row r="468" spans="1:7" ht="24.9" customHeight="1">
      <c r="A468" s="105">
        <v>454</v>
      </c>
      <c r="B468" s="105" t="s">
        <v>3743</v>
      </c>
      <c r="C468" s="103">
        <v>866</v>
      </c>
      <c r="D468" s="105" t="s">
        <v>3564</v>
      </c>
      <c r="E468" s="105" t="s">
        <v>3579</v>
      </c>
      <c r="F468" s="217"/>
      <c r="G468" s="105" t="s">
        <v>3745</v>
      </c>
    </row>
    <row r="469" spans="1:7" ht="24.9" customHeight="1">
      <c r="A469" s="106">
        <v>455</v>
      </c>
      <c r="B469" s="106" t="s">
        <v>7678</v>
      </c>
      <c r="C469" s="104">
        <v>20990</v>
      </c>
      <c r="D469" s="106" t="s">
        <v>8253</v>
      </c>
      <c r="E469" s="106" t="s">
        <v>3566</v>
      </c>
      <c r="F469" s="218" t="s">
        <v>7679</v>
      </c>
      <c r="G469" s="106" t="s">
        <v>3745</v>
      </c>
    </row>
    <row r="470" spans="1:7" ht="24.9" customHeight="1">
      <c r="A470" s="105">
        <v>456</v>
      </c>
      <c r="B470" s="105" t="s">
        <v>3744</v>
      </c>
      <c r="C470" s="103">
        <v>990804</v>
      </c>
      <c r="D470" s="105" t="s">
        <v>3564</v>
      </c>
      <c r="E470" s="105" t="s">
        <v>3357</v>
      </c>
      <c r="F470" s="217"/>
      <c r="G470" s="105" t="s">
        <v>3745</v>
      </c>
    </row>
    <row r="471" spans="1:7" ht="24.9" customHeight="1">
      <c r="A471" s="106">
        <v>457</v>
      </c>
      <c r="B471" s="106" t="s">
        <v>1451</v>
      </c>
      <c r="C471" s="104">
        <v>788</v>
      </c>
      <c r="D471" s="106" t="s">
        <v>3564</v>
      </c>
      <c r="E471" s="106" t="s">
        <v>3666</v>
      </c>
      <c r="F471" s="218"/>
      <c r="G471" s="106" t="s">
        <v>3745</v>
      </c>
    </row>
    <row r="472" spans="1:7" ht="24.9" customHeight="1">
      <c r="A472" s="105">
        <v>458</v>
      </c>
      <c r="B472" s="105" t="s">
        <v>3725</v>
      </c>
      <c r="C472" s="103" t="s">
        <v>3649</v>
      </c>
      <c r="D472" s="105" t="s">
        <v>3726</v>
      </c>
      <c r="E472" s="105" t="s">
        <v>3727</v>
      </c>
      <c r="F472" s="217"/>
      <c r="G472" s="105" t="s">
        <v>3745</v>
      </c>
    </row>
    <row r="473" spans="1:7" ht="24.9" customHeight="1">
      <c r="A473" s="106">
        <v>459</v>
      </c>
      <c r="B473" s="106" t="s">
        <v>3746</v>
      </c>
      <c r="C473" s="104" t="s">
        <v>6127</v>
      </c>
      <c r="D473" s="106" t="s">
        <v>8253</v>
      </c>
      <c r="E473" s="106" t="s">
        <v>3567</v>
      </c>
      <c r="F473" s="218">
        <v>690587678</v>
      </c>
      <c r="G473" s="106" t="s">
        <v>3745</v>
      </c>
    </row>
    <row r="474" spans="1:7" ht="24.9" customHeight="1">
      <c r="A474" s="105">
        <v>460</v>
      </c>
      <c r="B474" s="105" t="s">
        <v>4463</v>
      </c>
      <c r="C474" s="103" t="s">
        <v>4464</v>
      </c>
      <c r="D474" s="105" t="s">
        <v>3564</v>
      </c>
      <c r="E474" s="105" t="s">
        <v>4465</v>
      </c>
      <c r="F474" s="217"/>
      <c r="G474" s="105" t="s">
        <v>3745</v>
      </c>
    </row>
    <row r="475" spans="1:7" ht="24.9" customHeight="1">
      <c r="A475" s="106">
        <v>461</v>
      </c>
      <c r="B475" s="106" t="s">
        <v>202</v>
      </c>
      <c r="C475" s="104" t="s">
        <v>2000</v>
      </c>
      <c r="D475" s="106" t="s">
        <v>3564</v>
      </c>
      <c r="E475" s="106" t="s">
        <v>3357</v>
      </c>
      <c r="F475" s="218"/>
      <c r="G475" s="106" t="s">
        <v>3798</v>
      </c>
    </row>
    <row r="476" spans="1:7" ht="24.9" customHeight="1">
      <c r="A476" s="105">
        <v>462</v>
      </c>
      <c r="B476" s="105" t="s">
        <v>7778</v>
      </c>
      <c r="C476" s="103">
        <v>4040202</v>
      </c>
      <c r="D476" s="105" t="s">
        <v>3564</v>
      </c>
      <c r="E476" s="105" t="s">
        <v>767</v>
      </c>
      <c r="F476" s="217"/>
      <c r="G476" s="105" t="s">
        <v>3798</v>
      </c>
    </row>
    <row r="477" spans="1:7" ht="24.9" customHeight="1">
      <c r="A477" s="106">
        <v>463</v>
      </c>
      <c r="B477" s="106" t="s">
        <v>3769</v>
      </c>
      <c r="C477" s="104">
        <v>4010803</v>
      </c>
      <c r="D477" s="106" t="s">
        <v>3564</v>
      </c>
      <c r="E477" s="106" t="s">
        <v>3770</v>
      </c>
      <c r="F477" s="218"/>
      <c r="G477" s="106" t="s">
        <v>3798</v>
      </c>
    </row>
    <row r="478" spans="1:7" ht="24.9" customHeight="1">
      <c r="A478" s="105">
        <v>464</v>
      </c>
      <c r="B478" s="105" t="s">
        <v>203</v>
      </c>
      <c r="C478" s="103" t="s">
        <v>1998</v>
      </c>
      <c r="D478" s="105" t="s">
        <v>3564</v>
      </c>
      <c r="E478" s="105" t="s">
        <v>3666</v>
      </c>
      <c r="F478" s="217"/>
      <c r="G478" s="105" t="s">
        <v>3798</v>
      </c>
    </row>
    <row r="479" spans="1:7" ht="24.9" customHeight="1">
      <c r="A479" s="106">
        <v>465</v>
      </c>
      <c r="B479" s="106" t="s">
        <v>1278</v>
      </c>
      <c r="C479" s="104" t="s">
        <v>2003</v>
      </c>
      <c r="D479" s="106" t="s">
        <v>3564</v>
      </c>
      <c r="E479" s="106" t="s">
        <v>3771</v>
      </c>
      <c r="F479" s="218"/>
      <c r="G479" s="106" t="s">
        <v>3798</v>
      </c>
    </row>
    <row r="480" spans="1:7" ht="24.9" customHeight="1">
      <c r="A480" s="105">
        <v>466</v>
      </c>
      <c r="B480" s="105" t="s">
        <v>204</v>
      </c>
      <c r="C480" s="103">
        <v>349</v>
      </c>
      <c r="D480" s="105" t="s">
        <v>3564</v>
      </c>
      <c r="E480" s="105" t="s">
        <v>3659</v>
      </c>
      <c r="F480" s="217"/>
      <c r="G480" s="105" t="s">
        <v>3798</v>
      </c>
    </row>
    <row r="481" spans="1:7" ht="24.9" customHeight="1">
      <c r="A481" s="106">
        <v>467</v>
      </c>
      <c r="B481" s="106" t="s">
        <v>7715</v>
      </c>
      <c r="C481" s="104">
        <v>4040112</v>
      </c>
      <c r="D481" s="106" t="s">
        <v>3564</v>
      </c>
      <c r="E481" s="106" t="s">
        <v>3574</v>
      </c>
      <c r="F481" s="218"/>
      <c r="G481" s="106" t="s">
        <v>3798</v>
      </c>
    </row>
    <row r="482" spans="1:7" ht="24.9" customHeight="1">
      <c r="A482" s="105">
        <v>468</v>
      </c>
      <c r="B482" s="105" t="s">
        <v>1299</v>
      </c>
      <c r="C482" s="103">
        <v>6308</v>
      </c>
      <c r="D482" s="105" t="s">
        <v>3564</v>
      </c>
      <c r="E482" s="105" t="s">
        <v>3772</v>
      </c>
      <c r="F482" s="217"/>
      <c r="G482" s="105" t="s">
        <v>3798</v>
      </c>
    </row>
    <row r="483" spans="1:7" ht="24.9" customHeight="1">
      <c r="A483" s="106">
        <v>469</v>
      </c>
      <c r="B483" s="106" t="s">
        <v>504</v>
      </c>
      <c r="C483" s="104">
        <v>988</v>
      </c>
      <c r="D483" s="106" t="s">
        <v>3564</v>
      </c>
      <c r="E483" s="106" t="s">
        <v>3654</v>
      </c>
      <c r="F483" s="218"/>
      <c r="G483" s="106" t="s">
        <v>3798</v>
      </c>
    </row>
    <row r="484" spans="1:7" ht="24.9" customHeight="1">
      <c r="A484" s="105">
        <v>470</v>
      </c>
      <c r="B484" s="105" t="s">
        <v>442</v>
      </c>
      <c r="C484" s="103" t="s">
        <v>1997</v>
      </c>
      <c r="D484" s="105" t="s">
        <v>3564</v>
      </c>
      <c r="E484" s="105" t="s">
        <v>3654</v>
      </c>
      <c r="F484" s="217"/>
      <c r="G484" s="105" t="s">
        <v>3798</v>
      </c>
    </row>
    <row r="485" spans="1:7" ht="24.9" customHeight="1">
      <c r="A485" s="106">
        <v>471</v>
      </c>
      <c r="B485" s="106" t="s">
        <v>3844</v>
      </c>
      <c r="C485" s="104" t="s">
        <v>2001</v>
      </c>
      <c r="D485" s="106" t="s">
        <v>3564</v>
      </c>
      <c r="E485" s="106" t="s">
        <v>771</v>
      </c>
      <c r="F485" s="218"/>
      <c r="G485" s="106" t="s">
        <v>3798</v>
      </c>
    </row>
    <row r="486" spans="1:7" ht="24.9" customHeight="1">
      <c r="A486" s="105">
        <v>472</v>
      </c>
      <c r="B486" s="105" t="s">
        <v>3845</v>
      </c>
      <c r="C486" s="103" t="s">
        <v>3649</v>
      </c>
      <c r="D486" s="105" t="s">
        <v>3275</v>
      </c>
      <c r="E486" s="105" t="s">
        <v>3309</v>
      </c>
      <c r="F486" s="217"/>
      <c r="G486" s="105" t="s">
        <v>3798</v>
      </c>
    </row>
    <row r="487" spans="1:7" ht="24.9" customHeight="1">
      <c r="A487" s="106">
        <v>473</v>
      </c>
      <c r="B487" s="106" t="s">
        <v>3842</v>
      </c>
      <c r="C487" s="104" t="s">
        <v>3649</v>
      </c>
      <c r="D487" s="106">
        <v>0</v>
      </c>
      <c r="E487" s="106" t="s">
        <v>1480</v>
      </c>
      <c r="F487" s="218"/>
      <c r="G487" s="106"/>
    </row>
    <row r="488" spans="1:7" ht="24.9" customHeight="1">
      <c r="A488" s="105">
        <v>474</v>
      </c>
      <c r="B488" s="105" t="s">
        <v>850</v>
      </c>
      <c r="C488" s="103" t="s">
        <v>1995</v>
      </c>
      <c r="D488" s="105" t="s">
        <v>3564</v>
      </c>
      <c r="E488" s="105" t="s">
        <v>3360</v>
      </c>
      <c r="F488" s="217"/>
      <c r="G488" s="105" t="s">
        <v>3798</v>
      </c>
    </row>
    <row r="489" spans="1:7" ht="24.9" customHeight="1">
      <c r="A489" s="106">
        <v>475</v>
      </c>
      <c r="B489" s="106" t="s">
        <v>3800</v>
      </c>
      <c r="C489" s="104" t="s">
        <v>3290</v>
      </c>
      <c r="D489" s="106" t="s">
        <v>3564</v>
      </c>
      <c r="E489" s="106" t="s">
        <v>3799</v>
      </c>
      <c r="F489" s="218"/>
      <c r="G489" s="106" t="s">
        <v>3798</v>
      </c>
    </row>
    <row r="490" spans="1:7" ht="24.9" customHeight="1">
      <c r="A490" s="105">
        <v>476</v>
      </c>
      <c r="B490" s="105" t="s">
        <v>3801</v>
      </c>
      <c r="C490" s="103">
        <v>800</v>
      </c>
      <c r="D490" s="105" t="s">
        <v>3564</v>
      </c>
      <c r="E490" s="105" t="s">
        <v>3357</v>
      </c>
      <c r="F490" s="217"/>
      <c r="G490" s="105" t="s">
        <v>3798</v>
      </c>
    </row>
    <row r="491" spans="1:7" ht="24.9" customHeight="1">
      <c r="A491" s="106">
        <v>477</v>
      </c>
      <c r="B491" s="106" t="s">
        <v>3802</v>
      </c>
      <c r="C491" s="104" t="s">
        <v>3649</v>
      </c>
      <c r="D491" s="106">
        <v>0</v>
      </c>
      <c r="E491" s="106" t="s">
        <v>2857</v>
      </c>
      <c r="F491" s="218"/>
      <c r="G491" s="106" t="s">
        <v>3798</v>
      </c>
    </row>
    <row r="492" spans="1:7" ht="24.9" customHeight="1">
      <c r="A492" s="105">
        <v>478</v>
      </c>
      <c r="B492" s="105" t="s">
        <v>3803</v>
      </c>
      <c r="C492" s="103" t="s">
        <v>2002</v>
      </c>
      <c r="D492" s="105" t="s">
        <v>3564</v>
      </c>
      <c r="E492" s="105" t="s">
        <v>3774</v>
      </c>
      <c r="F492" s="217"/>
      <c r="G492" s="105" t="s">
        <v>3798</v>
      </c>
    </row>
    <row r="493" spans="1:7" ht="24.9" customHeight="1">
      <c r="A493" s="106">
        <v>479</v>
      </c>
      <c r="B493" s="106" t="s">
        <v>5769</v>
      </c>
      <c r="C493" s="104" t="s">
        <v>5632</v>
      </c>
      <c r="D493" s="106" t="s">
        <v>3564</v>
      </c>
      <c r="E493" s="106" t="s">
        <v>3361</v>
      </c>
      <c r="F493" s="218">
        <v>2550069201</v>
      </c>
      <c r="G493" s="106" t="s">
        <v>3798</v>
      </c>
    </row>
    <row r="494" spans="1:7" ht="24.9" customHeight="1">
      <c r="A494" s="105">
        <v>480</v>
      </c>
      <c r="B494" s="105" t="s">
        <v>638</v>
      </c>
      <c r="C494" s="103">
        <v>741</v>
      </c>
      <c r="D494" s="105" t="s">
        <v>3564</v>
      </c>
      <c r="E494" s="105" t="s">
        <v>3775</v>
      </c>
      <c r="F494" s="217"/>
      <c r="G494" s="105" t="s">
        <v>3798</v>
      </c>
    </row>
    <row r="495" spans="1:7" ht="24.9" customHeight="1">
      <c r="A495" s="106">
        <v>481</v>
      </c>
      <c r="B495" s="106" t="s">
        <v>769</v>
      </c>
      <c r="C495" s="104" t="s">
        <v>1996</v>
      </c>
      <c r="D495" s="106" t="s">
        <v>3564</v>
      </c>
      <c r="E495" s="106" t="s">
        <v>770</v>
      </c>
      <c r="F495" s="218"/>
      <c r="G495" s="106" t="s">
        <v>3798</v>
      </c>
    </row>
    <row r="496" spans="1:7" ht="24.9" customHeight="1">
      <c r="A496" s="105">
        <v>482</v>
      </c>
      <c r="B496" s="105" t="s">
        <v>3804</v>
      </c>
      <c r="C496" s="103" t="s">
        <v>1999</v>
      </c>
      <c r="D496" s="105" t="s">
        <v>3564</v>
      </c>
      <c r="E496" s="105" t="s">
        <v>767</v>
      </c>
      <c r="F496" s="217"/>
      <c r="G496" s="105" t="s">
        <v>3798</v>
      </c>
    </row>
    <row r="497" spans="1:7" ht="24.9" customHeight="1">
      <c r="A497" s="106">
        <v>483</v>
      </c>
      <c r="B497" s="106" t="s">
        <v>3805</v>
      </c>
      <c r="C497" s="104" t="s">
        <v>3649</v>
      </c>
      <c r="D497" s="106" t="s">
        <v>3776</v>
      </c>
      <c r="E497" s="106" t="s">
        <v>771</v>
      </c>
      <c r="F497" s="218"/>
      <c r="G497" s="106" t="s">
        <v>3798</v>
      </c>
    </row>
    <row r="498" spans="1:7" ht="24.9" customHeight="1">
      <c r="A498" s="105">
        <v>484</v>
      </c>
      <c r="B498" s="105" t="s">
        <v>3806</v>
      </c>
      <c r="C498" s="103" t="s">
        <v>2531</v>
      </c>
      <c r="D498" s="105" t="s">
        <v>3564</v>
      </c>
      <c r="E498" s="105" t="s">
        <v>770</v>
      </c>
      <c r="F498" s="217"/>
      <c r="G498" s="105" t="s">
        <v>3798</v>
      </c>
    </row>
    <row r="499" spans="1:7" ht="24.9" customHeight="1">
      <c r="A499" s="106">
        <v>485</v>
      </c>
      <c r="B499" s="106" t="s">
        <v>1291</v>
      </c>
      <c r="C499" s="104">
        <v>98142</v>
      </c>
      <c r="D499" s="106" t="s">
        <v>3564</v>
      </c>
      <c r="E499" s="106" t="s">
        <v>3598</v>
      </c>
      <c r="F499" s="218"/>
      <c r="G499" s="106" t="s">
        <v>3798</v>
      </c>
    </row>
    <row r="500" spans="1:7" ht="24.9" customHeight="1">
      <c r="A500" s="106"/>
      <c r="B500" s="106" t="s">
        <v>8475</v>
      </c>
      <c r="C500" s="104">
        <v>20872</v>
      </c>
      <c r="D500" s="106" t="s">
        <v>8253</v>
      </c>
      <c r="E500" s="106" t="s">
        <v>3773</v>
      </c>
      <c r="F500" s="218"/>
      <c r="G500" s="106" t="s">
        <v>3745</v>
      </c>
    </row>
    <row r="501" spans="1:7" ht="24.9" customHeight="1">
      <c r="A501" s="105">
        <v>486</v>
      </c>
      <c r="B501" s="105" t="s">
        <v>3807</v>
      </c>
      <c r="C501" s="103" t="s">
        <v>3649</v>
      </c>
      <c r="D501" s="105" t="s">
        <v>3768</v>
      </c>
      <c r="E501" s="105" t="s">
        <v>3773</v>
      </c>
      <c r="F501" s="217"/>
      <c r="G501" s="105" t="s">
        <v>3798</v>
      </c>
    </row>
    <row r="502" spans="1:7" ht="24.9" customHeight="1">
      <c r="A502" s="106">
        <v>487</v>
      </c>
      <c r="B502" s="106" t="s">
        <v>6787</v>
      </c>
      <c r="C502" s="104">
        <v>100162</v>
      </c>
      <c r="D502" s="106" t="s">
        <v>7639</v>
      </c>
      <c r="E502" s="106" t="s">
        <v>7292</v>
      </c>
      <c r="F502" s="218"/>
      <c r="G502" s="106" t="s">
        <v>3798</v>
      </c>
    </row>
    <row r="503" spans="1:7" ht="24.9" customHeight="1">
      <c r="A503" s="105">
        <v>488</v>
      </c>
      <c r="B503" s="105" t="s">
        <v>3857</v>
      </c>
      <c r="C503" s="103">
        <v>736</v>
      </c>
      <c r="D503" s="105" t="s">
        <v>3564</v>
      </c>
      <c r="E503" s="105" t="s">
        <v>3598</v>
      </c>
      <c r="F503" s="217"/>
      <c r="G503" s="105" t="s">
        <v>3798</v>
      </c>
    </row>
    <row r="504" spans="1:7" ht="24.9" customHeight="1">
      <c r="A504" s="106">
        <v>489</v>
      </c>
      <c r="B504" s="106" t="s">
        <v>424</v>
      </c>
      <c r="C504" s="104">
        <v>6302</v>
      </c>
      <c r="D504" s="106" t="s">
        <v>3564</v>
      </c>
      <c r="E504" s="106" t="s">
        <v>3650</v>
      </c>
      <c r="F504" s="218"/>
      <c r="G504" s="106" t="s">
        <v>3798</v>
      </c>
    </row>
    <row r="505" spans="1:7" ht="24.9" customHeight="1">
      <c r="A505" s="105">
        <v>490</v>
      </c>
      <c r="B505" s="105" t="s">
        <v>201</v>
      </c>
      <c r="C505" s="103">
        <v>6303</v>
      </c>
      <c r="D505" s="105" t="s">
        <v>3564</v>
      </c>
      <c r="E505" s="105" t="s">
        <v>766</v>
      </c>
      <c r="F505" s="217"/>
      <c r="G505" s="105" t="s">
        <v>3798</v>
      </c>
    </row>
    <row r="506" spans="1:7" ht="24.9" customHeight="1">
      <c r="A506" s="106">
        <v>491</v>
      </c>
      <c r="B506" s="106" t="s">
        <v>7216</v>
      </c>
      <c r="C506" s="104">
        <v>4020715</v>
      </c>
      <c r="D506" s="106" t="s">
        <v>3564</v>
      </c>
      <c r="E506" s="106" t="s">
        <v>7217</v>
      </c>
      <c r="F506" s="218"/>
      <c r="G506" s="106" t="s">
        <v>3798</v>
      </c>
    </row>
    <row r="507" spans="1:7" ht="24.9" customHeight="1">
      <c r="A507" s="105">
        <v>492</v>
      </c>
      <c r="B507" s="105" t="s">
        <v>3808</v>
      </c>
      <c r="C507" s="103" t="s">
        <v>2157</v>
      </c>
      <c r="D507" s="105" t="s">
        <v>3564</v>
      </c>
      <c r="E507" s="105" t="s">
        <v>3654</v>
      </c>
      <c r="F507" s="217"/>
      <c r="G507" s="105" t="s">
        <v>3798</v>
      </c>
    </row>
    <row r="508" spans="1:7" ht="24.9" customHeight="1">
      <c r="A508" s="106">
        <v>493</v>
      </c>
      <c r="B508" s="106" t="s">
        <v>761</v>
      </c>
      <c r="C508" s="104">
        <v>0</v>
      </c>
      <c r="D508" s="106">
        <v>0</v>
      </c>
      <c r="E508" s="106" t="s">
        <v>3773</v>
      </c>
      <c r="F508" s="218"/>
      <c r="G508" s="106" t="s">
        <v>3798</v>
      </c>
    </row>
    <row r="509" spans="1:7" ht="24.9" customHeight="1">
      <c r="A509" s="105">
        <v>494</v>
      </c>
      <c r="B509" s="105" t="s">
        <v>777</v>
      </c>
      <c r="C509" s="103">
        <v>0</v>
      </c>
      <c r="D509" s="105" t="s">
        <v>3861</v>
      </c>
      <c r="E509" s="105" t="s">
        <v>1298</v>
      </c>
      <c r="F509" s="217"/>
      <c r="G509" s="105" t="s">
        <v>3798</v>
      </c>
    </row>
    <row r="510" spans="1:7" ht="24.9" customHeight="1">
      <c r="A510" s="106">
        <v>495</v>
      </c>
      <c r="B510" s="106" t="s">
        <v>369</v>
      </c>
      <c r="C510" s="104">
        <v>0</v>
      </c>
      <c r="D510" s="106" t="s">
        <v>3861</v>
      </c>
      <c r="E510" s="106" t="s">
        <v>1298</v>
      </c>
      <c r="F510" s="218"/>
      <c r="G510" s="106" t="s">
        <v>3798</v>
      </c>
    </row>
    <row r="511" spans="1:7" ht="24.9" customHeight="1">
      <c r="A511" s="105"/>
      <c r="B511" s="105" t="s">
        <v>8471</v>
      </c>
      <c r="C511" s="103">
        <v>21086</v>
      </c>
      <c r="D511" s="105" t="s">
        <v>8253</v>
      </c>
      <c r="E511" s="105" t="s">
        <v>3566</v>
      </c>
      <c r="F511" s="217" t="s">
        <v>8472</v>
      </c>
      <c r="G511" s="105" t="s">
        <v>5639</v>
      </c>
    </row>
    <row r="512" spans="1:7" ht="24.9" customHeight="1">
      <c r="A512" s="106">
        <v>496</v>
      </c>
      <c r="B512" s="106" t="s">
        <v>3865</v>
      </c>
      <c r="C512" s="104">
        <v>0</v>
      </c>
      <c r="D512" s="106" t="s">
        <v>3861</v>
      </c>
      <c r="E512" s="106" t="s">
        <v>774</v>
      </c>
      <c r="F512" s="218"/>
      <c r="G512" s="106" t="s">
        <v>3798</v>
      </c>
    </row>
    <row r="513" spans="1:7" ht="24.9" customHeight="1">
      <c r="A513" s="105">
        <v>497</v>
      </c>
      <c r="B513" s="105" t="s">
        <v>372</v>
      </c>
      <c r="C513" s="103">
        <v>0</v>
      </c>
      <c r="D513" s="105" t="s">
        <v>3861</v>
      </c>
      <c r="E513" s="105" t="s">
        <v>1298</v>
      </c>
      <c r="F513" s="217"/>
      <c r="G513" s="105" t="s">
        <v>3798</v>
      </c>
    </row>
    <row r="514" spans="1:7" ht="24.9" customHeight="1">
      <c r="A514" s="106">
        <v>498</v>
      </c>
      <c r="B514" s="106" t="s">
        <v>234</v>
      </c>
      <c r="C514" s="104">
        <v>0</v>
      </c>
      <c r="D514" s="106" t="s">
        <v>3861</v>
      </c>
      <c r="E514" s="106" t="s">
        <v>1298</v>
      </c>
      <c r="F514" s="218"/>
      <c r="G514" s="106" t="s">
        <v>3798</v>
      </c>
    </row>
    <row r="515" spans="1:7" ht="24.9" customHeight="1">
      <c r="A515" s="105">
        <v>499</v>
      </c>
      <c r="B515" s="105" t="s">
        <v>236</v>
      </c>
      <c r="C515" s="103">
        <v>0</v>
      </c>
      <c r="D515" s="105" t="s">
        <v>3861</v>
      </c>
      <c r="E515" s="105" t="s">
        <v>1298</v>
      </c>
      <c r="F515" s="217"/>
      <c r="G515" s="105" t="s">
        <v>3798</v>
      </c>
    </row>
    <row r="516" spans="1:7" ht="24.9" customHeight="1">
      <c r="A516" s="106">
        <v>500</v>
      </c>
      <c r="B516" s="106" t="s">
        <v>3863</v>
      </c>
      <c r="C516" s="104">
        <v>0</v>
      </c>
      <c r="D516" s="106" t="s">
        <v>3861</v>
      </c>
      <c r="E516" s="106" t="s">
        <v>3862</v>
      </c>
      <c r="F516" s="218"/>
      <c r="G516" s="106" t="s">
        <v>3798</v>
      </c>
    </row>
    <row r="517" spans="1:7" ht="24.9" customHeight="1">
      <c r="A517" s="105">
        <v>501</v>
      </c>
      <c r="B517" s="105" t="s">
        <v>3864</v>
      </c>
      <c r="C517" s="103">
        <v>0</v>
      </c>
      <c r="D517" s="105" t="s">
        <v>3861</v>
      </c>
      <c r="E517" s="105" t="s">
        <v>3773</v>
      </c>
      <c r="F517" s="217"/>
      <c r="G517" s="105" t="s">
        <v>3798</v>
      </c>
    </row>
    <row r="518" spans="1:7" ht="24.9" customHeight="1">
      <c r="A518" s="106">
        <v>502</v>
      </c>
      <c r="B518" s="106" t="s">
        <v>7705</v>
      </c>
      <c r="C518" s="104">
        <v>0</v>
      </c>
      <c r="D518" s="106" t="s">
        <v>3861</v>
      </c>
      <c r="E518" s="106" t="s">
        <v>7706</v>
      </c>
      <c r="F518" s="218"/>
      <c r="G518" s="106" t="s">
        <v>3798</v>
      </c>
    </row>
    <row r="519" spans="1:7" ht="24.9" customHeight="1">
      <c r="A519" s="105">
        <v>503</v>
      </c>
      <c r="B519" s="105" t="s">
        <v>238</v>
      </c>
      <c r="C519" s="103">
        <v>0</v>
      </c>
      <c r="D519" s="105" t="s">
        <v>3861</v>
      </c>
      <c r="E519" s="105" t="s">
        <v>1298</v>
      </c>
      <c r="F519" s="217"/>
      <c r="G519" s="105" t="s">
        <v>3798</v>
      </c>
    </row>
    <row r="520" spans="1:7" ht="24.9" customHeight="1">
      <c r="A520" s="106">
        <v>504</v>
      </c>
      <c r="B520" s="106" t="s">
        <v>373</v>
      </c>
      <c r="C520" s="104">
        <v>0</v>
      </c>
      <c r="D520" s="106" t="s">
        <v>3861</v>
      </c>
      <c r="E520" s="106" t="s">
        <v>1298</v>
      </c>
      <c r="F520" s="218"/>
      <c r="G520" s="106" t="s">
        <v>3798</v>
      </c>
    </row>
    <row r="521" spans="1:7" ht="24.9" customHeight="1">
      <c r="A521" s="105">
        <v>505</v>
      </c>
      <c r="B521" s="105" t="s">
        <v>374</v>
      </c>
      <c r="C521" s="103">
        <v>0</v>
      </c>
      <c r="D521" s="105" t="s">
        <v>3861</v>
      </c>
      <c r="E521" s="105" t="s">
        <v>1298</v>
      </c>
      <c r="F521" s="217"/>
      <c r="G521" s="105" t="s">
        <v>3798</v>
      </c>
    </row>
    <row r="522" spans="1:7" ht="24.9" customHeight="1">
      <c r="A522" s="106">
        <v>506</v>
      </c>
      <c r="B522" s="106" t="s">
        <v>375</v>
      </c>
      <c r="C522" s="104">
        <v>0</v>
      </c>
      <c r="D522" s="106" t="s">
        <v>3861</v>
      </c>
      <c r="E522" s="106" t="s">
        <v>1298</v>
      </c>
      <c r="F522" s="218"/>
      <c r="G522" s="106" t="s">
        <v>3798</v>
      </c>
    </row>
    <row r="523" spans="1:7" ht="24.9" customHeight="1">
      <c r="A523" s="105">
        <v>507</v>
      </c>
      <c r="B523" s="105" t="s">
        <v>381</v>
      </c>
      <c r="C523" s="103">
        <v>0</v>
      </c>
      <c r="D523" s="105" t="s">
        <v>3861</v>
      </c>
      <c r="E523" s="105" t="s">
        <v>1298</v>
      </c>
      <c r="F523" s="217"/>
      <c r="G523" s="105" t="s">
        <v>3798</v>
      </c>
    </row>
    <row r="524" spans="1:7" ht="24.9" customHeight="1">
      <c r="A524" s="106">
        <v>508</v>
      </c>
      <c r="B524" s="106" t="s">
        <v>382</v>
      </c>
      <c r="C524" s="104">
        <v>0</v>
      </c>
      <c r="D524" s="106" t="s">
        <v>3861</v>
      </c>
      <c r="E524" s="106" t="s">
        <v>1298</v>
      </c>
      <c r="F524" s="218"/>
      <c r="G524" s="106" t="s">
        <v>3798</v>
      </c>
    </row>
    <row r="525" spans="1:7" ht="24.9" customHeight="1">
      <c r="A525" s="105">
        <v>509</v>
      </c>
      <c r="B525" s="105" t="s">
        <v>485</v>
      </c>
      <c r="C525" s="103">
        <v>0</v>
      </c>
      <c r="D525" s="105" t="s">
        <v>3861</v>
      </c>
      <c r="E525" s="105" t="s">
        <v>1298</v>
      </c>
      <c r="F525" s="217"/>
      <c r="G525" s="105" t="s">
        <v>3798</v>
      </c>
    </row>
    <row r="526" spans="1:7" ht="24.9" customHeight="1">
      <c r="A526" s="106">
        <v>510</v>
      </c>
      <c r="B526" s="106" t="s">
        <v>383</v>
      </c>
      <c r="C526" s="104">
        <v>0</v>
      </c>
      <c r="D526" s="106" t="s">
        <v>3861</v>
      </c>
      <c r="E526" s="106" t="s">
        <v>1298</v>
      </c>
      <c r="F526" s="218"/>
      <c r="G526" s="106" t="s">
        <v>3798</v>
      </c>
    </row>
    <row r="527" spans="1:7" ht="24.9" customHeight="1">
      <c r="A527" s="105">
        <v>511</v>
      </c>
      <c r="B527" s="105" t="s">
        <v>552</v>
      </c>
      <c r="C527" s="103">
        <v>0</v>
      </c>
      <c r="D527" s="105" t="s">
        <v>3861</v>
      </c>
      <c r="E527" s="105" t="s">
        <v>1298</v>
      </c>
      <c r="F527" s="217"/>
      <c r="G527" s="105" t="s">
        <v>3798</v>
      </c>
    </row>
    <row r="528" spans="1:7" ht="24.9" customHeight="1">
      <c r="A528" s="106">
        <v>512</v>
      </c>
      <c r="B528" s="106" t="s">
        <v>687</v>
      </c>
      <c r="C528" s="104">
        <v>0</v>
      </c>
      <c r="D528" s="106" t="s">
        <v>3861</v>
      </c>
      <c r="E528" s="106" t="s">
        <v>1298</v>
      </c>
      <c r="F528" s="218"/>
      <c r="G528" s="106" t="s">
        <v>3798</v>
      </c>
    </row>
    <row r="529" spans="1:7" ht="24.9" customHeight="1">
      <c r="A529" s="105">
        <v>513</v>
      </c>
      <c r="B529" s="105" t="s">
        <v>690</v>
      </c>
      <c r="C529" s="103">
        <v>0</v>
      </c>
      <c r="D529" s="105" t="s">
        <v>3861</v>
      </c>
      <c r="E529" s="105" t="s">
        <v>1298</v>
      </c>
      <c r="F529" s="217"/>
      <c r="G529" s="105" t="s">
        <v>3798</v>
      </c>
    </row>
    <row r="530" spans="1:7" ht="24.9" customHeight="1">
      <c r="A530" s="106">
        <v>514</v>
      </c>
      <c r="B530" s="106" t="s">
        <v>3867</v>
      </c>
      <c r="C530" s="104">
        <v>0</v>
      </c>
      <c r="D530" s="106" t="s">
        <v>3861</v>
      </c>
      <c r="E530" s="106" t="s">
        <v>3866</v>
      </c>
      <c r="F530" s="218"/>
      <c r="G530" s="106" t="s">
        <v>3798</v>
      </c>
    </row>
    <row r="531" spans="1:7" ht="24.9" customHeight="1">
      <c r="A531" s="105">
        <v>515</v>
      </c>
      <c r="B531" s="105" t="s">
        <v>237</v>
      </c>
      <c r="C531" s="103">
        <v>0</v>
      </c>
      <c r="D531" s="105" t="s">
        <v>3861</v>
      </c>
      <c r="E531" s="105" t="s">
        <v>1298</v>
      </c>
      <c r="F531" s="217"/>
      <c r="G531" s="105" t="s">
        <v>3798</v>
      </c>
    </row>
    <row r="532" spans="1:7" ht="24.9" customHeight="1">
      <c r="A532" s="106">
        <v>516</v>
      </c>
      <c r="B532" s="106" t="s">
        <v>387</v>
      </c>
      <c r="C532" s="104">
        <v>0</v>
      </c>
      <c r="D532" s="106" t="s">
        <v>3861</v>
      </c>
      <c r="E532" s="106" t="s">
        <v>1298</v>
      </c>
      <c r="F532" s="218"/>
      <c r="G532" s="106" t="s">
        <v>3798</v>
      </c>
    </row>
    <row r="533" spans="1:7" ht="24.9" customHeight="1">
      <c r="A533" s="105">
        <v>517</v>
      </c>
      <c r="B533" s="105" t="s">
        <v>388</v>
      </c>
      <c r="C533" s="103">
        <v>0</v>
      </c>
      <c r="D533" s="105" t="s">
        <v>3861</v>
      </c>
      <c r="E533" s="105" t="s">
        <v>1298</v>
      </c>
      <c r="F533" s="217"/>
      <c r="G533" s="105" t="s">
        <v>3798</v>
      </c>
    </row>
    <row r="534" spans="1:7" ht="24.9" customHeight="1">
      <c r="A534" s="106">
        <v>518</v>
      </c>
      <c r="B534" s="106" t="s">
        <v>3873</v>
      </c>
      <c r="C534" s="104">
        <v>0</v>
      </c>
      <c r="D534" s="106" t="s">
        <v>3861</v>
      </c>
      <c r="E534" s="106" t="s">
        <v>3868</v>
      </c>
      <c r="F534" s="218"/>
      <c r="G534" s="106" t="s">
        <v>3798</v>
      </c>
    </row>
    <row r="535" spans="1:7" ht="24.9" customHeight="1">
      <c r="A535" s="105">
        <v>519</v>
      </c>
      <c r="B535" s="105" t="s">
        <v>3870</v>
      </c>
      <c r="C535" s="103">
        <v>0</v>
      </c>
      <c r="D535" s="105" t="s">
        <v>3861</v>
      </c>
      <c r="E535" s="105" t="s">
        <v>3869</v>
      </c>
      <c r="F535" s="217"/>
      <c r="G535" s="105" t="s">
        <v>3798</v>
      </c>
    </row>
    <row r="536" spans="1:7" ht="24.9" customHeight="1">
      <c r="A536" s="106">
        <v>520</v>
      </c>
      <c r="B536" s="106" t="s">
        <v>3872</v>
      </c>
      <c r="C536" s="104">
        <v>0</v>
      </c>
      <c r="D536" s="106" t="s">
        <v>3861</v>
      </c>
      <c r="E536" s="106" t="s">
        <v>3871</v>
      </c>
      <c r="F536" s="218"/>
      <c r="G536" s="106" t="s">
        <v>3798</v>
      </c>
    </row>
    <row r="537" spans="1:7" ht="24.9" customHeight="1">
      <c r="A537" s="105">
        <v>521</v>
      </c>
      <c r="B537" s="105" t="s">
        <v>5020</v>
      </c>
      <c r="C537" s="103">
        <v>0</v>
      </c>
      <c r="D537" s="105"/>
      <c r="E537" s="105" t="s">
        <v>5020</v>
      </c>
      <c r="F537" s="217"/>
      <c r="G537" s="105" t="s">
        <v>3798</v>
      </c>
    </row>
    <row r="538" spans="1:7" ht="24.9" customHeight="1">
      <c r="A538" s="106">
        <v>522</v>
      </c>
      <c r="B538" s="106" t="s">
        <v>4644</v>
      </c>
      <c r="C538" s="104">
        <v>0</v>
      </c>
      <c r="D538" s="106" t="s">
        <v>3861</v>
      </c>
      <c r="E538" s="106" t="s">
        <v>4645</v>
      </c>
      <c r="F538" s="218"/>
      <c r="G538" s="106" t="s">
        <v>3898</v>
      </c>
    </row>
    <row r="539" spans="1:7" ht="24.9" customHeight="1">
      <c r="A539" s="105">
        <v>523</v>
      </c>
      <c r="B539" s="105" t="s">
        <v>4600</v>
      </c>
      <c r="C539" s="103">
        <v>1251</v>
      </c>
      <c r="D539" s="105" t="s">
        <v>3564</v>
      </c>
      <c r="E539" s="105" t="s">
        <v>771</v>
      </c>
      <c r="F539" s="217"/>
      <c r="G539" s="105" t="s">
        <v>3902</v>
      </c>
    </row>
    <row r="540" spans="1:7" ht="24.9" customHeight="1">
      <c r="A540" s="106">
        <v>524</v>
      </c>
      <c r="B540" s="106" t="s">
        <v>3668</v>
      </c>
      <c r="C540" s="104" t="s">
        <v>3669</v>
      </c>
      <c r="D540" s="106" t="s">
        <v>8253</v>
      </c>
      <c r="E540" s="106" t="s">
        <v>771</v>
      </c>
      <c r="F540" s="218"/>
      <c r="G540" s="106" t="s">
        <v>3902</v>
      </c>
    </row>
    <row r="541" spans="1:7" ht="24.9" customHeight="1">
      <c r="A541" s="105">
        <v>525</v>
      </c>
      <c r="B541" s="105" t="s">
        <v>244</v>
      </c>
      <c r="C541" s="103">
        <v>1571</v>
      </c>
      <c r="D541" s="105" t="s">
        <v>3564</v>
      </c>
      <c r="E541" s="105" t="s">
        <v>771</v>
      </c>
      <c r="F541" s="217"/>
      <c r="G541" s="105" t="s">
        <v>3902</v>
      </c>
    </row>
    <row r="542" spans="1:7" ht="24.9" customHeight="1">
      <c r="A542" s="106">
        <v>526</v>
      </c>
      <c r="B542" s="106" t="s">
        <v>1341</v>
      </c>
      <c r="C542" s="104" t="s">
        <v>2173</v>
      </c>
      <c r="D542" s="106" t="s">
        <v>3564</v>
      </c>
      <c r="E542" s="106" t="s">
        <v>771</v>
      </c>
      <c r="F542" s="218"/>
      <c r="G542" s="106" t="s">
        <v>3902</v>
      </c>
    </row>
    <row r="543" spans="1:7" ht="24.9" customHeight="1">
      <c r="A543" s="105">
        <v>527</v>
      </c>
      <c r="B543" s="105" t="s">
        <v>97</v>
      </c>
      <c r="C543" s="103">
        <v>991</v>
      </c>
      <c r="D543" s="105" t="s">
        <v>3564</v>
      </c>
      <c r="E543" s="105" t="s">
        <v>3357</v>
      </c>
      <c r="F543" s="217"/>
      <c r="G543" s="105" t="s">
        <v>3925</v>
      </c>
    </row>
    <row r="544" spans="1:7" ht="24.9" customHeight="1">
      <c r="A544" s="106">
        <v>528</v>
      </c>
      <c r="B544" s="106" t="s">
        <v>7341</v>
      </c>
      <c r="C544" s="104">
        <v>586</v>
      </c>
      <c r="D544" s="106" t="s">
        <v>3564</v>
      </c>
      <c r="E544" s="106" t="s">
        <v>3360</v>
      </c>
      <c r="F544" s="218"/>
      <c r="G544" s="106" t="s">
        <v>3925</v>
      </c>
    </row>
    <row r="545" spans="1:7" ht="24.9" customHeight="1">
      <c r="A545" s="105">
        <v>529</v>
      </c>
      <c r="B545" s="105" t="s">
        <v>3926</v>
      </c>
      <c r="C545" s="103">
        <v>1526</v>
      </c>
      <c r="D545" s="105" t="s">
        <v>3564</v>
      </c>
      <c r="E545" s="105" t="s">
        <v>3361</v>
      </c>
      <c r="F545" s="217"/>
      <c r="G545" s="105" t="s">
        <v>3925</v>
      </c>
    </row>
    <row r="546" spans="1:7" ht="24.9" customHeight="1">
      <c r="A546" s="106">
        <v>530</v>
      </c>
      <c r="B546" s="106" t="s">
        <v>3913</v>
      </c>
      <c r="C546" s="104">
        <v>20446</v>
      </c>
      <c r="D546" s="106" t="s">
        <v>8253</v>
      </c>
      <c r="E546" s="106" t="s">
        <v>3911</v>
      </c>
      <c r="F546" s="218"/>
      <c r="G546" s="106" t="s">
        <v>3925</v>
      </c>
    </row>
    <row r="547" spans="1:7" ht="24.9" customHeight="1">
      <c r="A547" s="105">
        <v>531</v>
      </c>
      <c r="B547" s="105" t="s">
        <v>3914</v>
      </c>
      <c r="C547" s="103">
        <v>20408</v>
      </c>
      <c r="D547" s="105" t="s">
        <v>8253</v>
      </c>
      <c r="E547" s="105" t="s">
        <v>767</v>
      </c>
      <c r="F547" s="217"/>
      <c r="G547" s="105" t="s">
        <v>3925</v>
      </c>
    </row>
    <row r="548" spans="1:7" ht="24.9" customHeight="1">
      <c r="A548" s="106">
        <v>532</v>
      </c>
      <c r="B548" s="106" t="s">
        <v>7478</v>
      </c>
      <c r="C548" s="104">
        <v>20986</v>
      </c>
      <c r="D548" s="106" t="s">
        <v>8253</v>
      </c>
      <c r="E548" s="106" t="s">
        <v>4126</v>
      </c>
      <c r="F548" s="218"/>
      <c r="G548" s="106" t="s">
        <v>3925</v>
      </c>
    </row>
    <row r="549" spans="1:7" ht="24.9" customHeight="1">
      <c r="A549" s="105">
        <v>533</v>
      </c>
      <c r="B549" s="105" t="s">
        <v>12</v>
      </c>
      <c r="C549" s="103">
        <v>482</v>
      </c>
      <c r="D549" s="105" t="s">
        <v>3564</v>
      </c>
      <c r="E549" s="105"/>
      <c r="F549" s="217"/>
      <c r="G549" s="105" t="s">
        <v>3925</v>
      </c>
    </row>
    <row r="550" spans="1:7" ht="24.9" customHeight="1">
      <c r="A550" s="106">
        <v>534</v>
      </c>
      <c r="B550" s="106" t="s">
        <v>3915</v>
      </c>
      <c r="C550" s="104" t="s">
        <v>3649</v>
      </c>
      <c r="D550" s="106" t="s">
        <v>3916</v>
      </c>
      <c r="E550" s="106" t="s">
        <v>3566</v>
      </c>
      <c r="F550" s="218"/>
      <c r="G550" s="106" t="s">
        <v>3925</v>
      </c>
    </row>
    <row r="551" spans="1:7" ht="24.9" customHeight="1">
      <c r="A551" s="105">
        <v>535</v>
      </c>
      <c r="B551" s="105" t="s">
        <v>7905</v>
      </c>
      <c r="C551" s="103">
        <v>20928</v>
      </c>
      <c r="D551" s="105" t="s">
        <v>8253</v>
      </c>
      <c r="E551" s="105" t="s">
        <v>3650</v>
      </c>
      <c r="F551" s="217"/>
      <c r="G551" s="105" t="s">
        <v>3925</v>
      </c>
    </row>
    <row r="552" spans="1:7" ht="24.9" customHeight="1">
      <c r="A552" s="106">
        <v>536</v>
      </c>
      <c r="B552" s="106" t="s">
        <v>3919</v>
      </c>
      <c r="C552" s="104" t="s">
        <v>2172</v>
      </c>
      <c r="D552" s="106" t="s">
        <v>3564</v>
      </c>
      <c r="E552" s="106" t="s">
        <v>770</v>
      </c>
      <c r="F552" s="218"/>
      <c r="G552" s="106" t="s">
        <v>3925</v>
      </c>
    </row>
    <row r="553" spans="1:7" ht="24.9" customHeight="1">
      <c r="A553" s="105">
        <v>537</v>
      </c>
      <c r="B553" s="105" t="s">
        <v>5798</v>
      </c>
      <c r="C553" s="103" t="s">
        <v>5799</v>
      </c>
      <c r="D553" s="105" t="s">
        <v>3564</v>
      </c>
      <c r="E553" s="105" t="s">
        <v>5800</v>
      </c>
      <c r="F553" s="217">
        <v>3874527662</v>
      </c>
      <c r="G553" s="105" t="s">
        <v>3925</v>
      </c>
    </row>
    <row r="554" spans="1:7" ht="24.9" customHeight="1">
      <c r="A554" s="106">
        <v>538</v>
      </c>
      <c r="B554" s="106" t="s">
        <v>1181</v>
      </c>
      <c r="C554" s="104">
        <v>774</v>
      </c>
      <c r="D554" s="106" t="s">
        <v>3564</v>
      </c>
      <c r="E554" s="106" t="s">
        <v>3918</v>
      </c>
      <c r="F554" s="218"/>
      <c r="G554" s="106" t="s">
        <v>3925</v>
      </c>
    </row>
    <row r="555" spans="1:7" ht="24.9" customHeight="1">
      <c r="A555" s="105">
        <v>539</v>
      </c>
      <c r="B555" s="105" t="s">
        <v>7148</v>
      </c>
      <c r="C555" s="103">
        <v>113</v>
      </c>
      <c r="D555" s="105" t="s">
        <v>3564</v>
      </c>
      <c r="E555" s="105" t="s">
        <v>3918</v>
      </c>
      <c r="F555" s="217"/>
      <c r="G555" s="105" t="s">
        <v>3925</v>
      </c>
    </row>
    <row r="556" spans="1:7" ht="24.9" customHeight="1">
      <c r="A556" s="106">
        <v>540</v>
      </c>
      <c r="B556" s="106" t="s">
        <v>3912</v>
      </c>
      <c r="C556" s="104">
        <v>20405</v>
      </c>
      <c r="D556" s="106" t="s">
        <v>3564</v>
      </c>
      <c r="E556" s="106" t="s">
        <v>782</v>
      </c>
      <c r="F556" s="218">
        <v>3071797338</v>
      </c>
      <c r="G556" s="106" t="s">
        <v>3925</v>
      </c>
    </row>
    <row r="557" spans="1:7" ht="24.9" customHeight="1">
      <c r="A557" s="105">
        <v>541</v>
      </c>
      <c r="B557" s="105" t="s">
        <v>7551</v>
      </c>
      <c r="C557" s="103">
        <v>20455</v>
      </c>
      <c r="D557" s="105" t="s">
        <v>8253</v>
      </c>
      <c r="E557" s="105" t="s">
        <v>771</v>
      </c>
      <c r="F557" s="217"/>
      <c r="G557" s="105" t="s">
        <v>3925</v>
      </c>
    </row>
    <row r="558" spans="1:7" ht="24.9" customHeight="1">
      <c r="A558" s="106">
        <v>542</v>
      </c>
      <c r="B558" s="106" t="s">
        <v>8456</v>
      </c>
      <c r="C558" s="104" t="s">
        <v>2171</v>
      </c>
      <c r="D558" s="106" t="s">
        <v>3564</v>
      </c>
      <c r="E558" s="106" t="s">
        <v>8458</v>
      </c>
      <c r="F558" s="218"/>
      <c r="G558" s="106" t="s">
        <v>3925</v>
      </c>
    </row>
    <row r="559" spans="1:7" ht="24.9" customHeight="1">
      <c r="A559" s="105">
        <v>543</v>
      </c>
      <c r="B559" s="105" t="s">
        <v>3921</v>
      </c>
      <c r="C559" s="103">
        <v>740</v>
      </c>
      <c r="D559" s="105" t="s">
        <v>3564</v>
      </c>
      <c r="E559" s="105" t="s">
        <v>770</v>
      </c>
      <c r="F559" s="217"/>
      <c r="G559" s="105" t="s">
        <v>3925</v>
      </c>
    </row>
    <row r="560" spans="1:7" ht="24.9" customHeight="1">
      <c r="A560" s="106">
        <v>544</v>
      </c>
      <c r="B560" s="106" t="s">
        <v>4485</v>
      </c>
      <c r="C560" s="104" t="s">
        <v>4486</v>
      </c>
      <c r="D560" s="106" t="s">
        <v>3564</v>
      </c>
      <c r="E560" s="106" t="s">
        <v>3579</v>
      </c>
      <c r="F560" s="218"/>
      <c r="G560" s="106" t="s">
        <v>3925</v>
      </c>
    </row>
    <row r="561" spans="1:7" ht="24.9" customHeight="1">
      <c r="A561" s="105">
        <v>545</v>
      </c>
      <c r="B561" s="105" t="s">
        <v>5856</v>
      </c>
      <c r="C561" s="103" t="s">
        <v>5857</v>
      </c>
      <c r="D561" s="105" t="s">
        <v>8253</v>
      </c>
      <c r="E561" s="105" t="s">
        <v>5858</v>
      </c>
      <c r="F561" s="217"/>
      <c r="G561" s="105" t="s">
        <v>3925</v>
      </c>
    </row>
    <row r="562" spans="1:7" ht="24.9" customHeight="1">
      <c r="A562" s="106">
        <v>546</v>
      </c>
      <c r="B562" s="106" t="s">
        <v>7652</v>
      </c>
      <c r="C562" s="104">
        <v>20992</v>
      </c>
      <c r="D562" s="106" t="s">
        <v>8253</v>
      </c>
      <c r="E562" s="106" t="s">
        <v>3598</v>
      </c>
      <c r="F562" s="218"/>
      <c r="G562" s="106" t="s">
        <v>3925</v>
      </c>
    </row>
    <row r="563" spans="1:7" ht="24.9" customHeight="1">
      <c r="A563" s="105">
        <v>547</v>
      </c>
      <c r="B563" s="105" t="s">
        <v>7653</v>
      </c>
      <c r="C563" s="103">
        <v>20991</v>
      </c>
      <c r="D563" s="105" t="s">
        <v>8253</v>
      </c>
      <c r="E563" s="105" t="s">
        <v>5800</v>
      </c>
      <c r="F563" s="217"/>
      <c r="G563" s="105" t="s">
        <v>3925</v>
      </c>
    </row>
    <row r="564" spans="1:7" ht="24.9" customHeight="1">
      <c r="A564" s="106">
        <v>548</v>
      </c>
      <c r="B564" s="106" t="s">
        <v>5853</v>
      </c>
      <c r="C564" s="104" t="s">
        <v>3649</v>
      </c>
      <c r="D564" s="106" t="s">
        <v>5854</v>
      </c>
      <c r="E564" s="106" t="s">
        <v>3916</v>
      </c>
      <c r="F564" s="218"/>
      <c r="G564" s="106" t="s">
        <v>3925</v>
      </c>
    </row>
    <row r="565" spans="1:7" ht="24.9" customHeight="1">
      <c r="A565" s="105">
        <v>549</v>
      </c>
      <c r="B565" s="105" t="s">
        <v>3910</v>
      </c>
      <c r="C565" s="103" t="s">
        <v>3649</v>
      </c>
      <c r="D565" s="105" t="s">
        <v>3909</v>
      </c>
      <c r="E565" s="105" t="s">
        <v>3577</v>
      </c>
      <c r="F565" s="217"/>
      <c r="G565" s="105" t="s">
        <v>3925</v>
      </c>
    </row>
    <row r="566" spans="1:7" ht="24.9" customHeight="1">
      <c r="A566" s="106">
        <v>550</v>
      </c>
      <c r="B566" s="106" t="s">
        <v>3922</v>
      </c>
      <c r="C566" s="104">
        <v>991205</v>
      </c>
      <c r="D566" s="106" t="s">
        <v>3564</v>
      </c>
      <c r="E566" s="106" t="s">
        <v>3918</v>
      </c>
      <c r="F566" s="218"/>
      <c r="G566" s="106" t="s">
        <v>3925</v>
      </c>
    </row>
    <row r="567" spans="1:7" ht="24.9" customHeight="1">
      <c r="A567" s="105">
        <v>551</v>
      </c>
      <c r="B567" s="105" t="s">
        <v>3923</v>
      </c>
      <c r="C567" s="103">
        <v>4010205</v>
      </c>
      <c r="D567" s="105" t="s">
        <v>3564</v>
      </c>
      <c r="E567" s="105" t="s">
        <v>767</v>
      </c>
      <c r="F567" s="217"/>
      <c r="G567" s="105" t="s">
        <v>3925</v>
      </c>
    </row>
    <row r="568" spans="1:7" ht="24.9" customHeight="1">
      <c r="A568" s="106">
        <v>552</v>
      </c>
      <c r="B568" s="106" t="s">
        <v>3936</v>
      </c>
      <c r="C568" s="104">
        <v>4020106</v>
      </c>
      <c r="D568" s="106" t="s">
        <v>3564</v>
      </c>
      <c r="E568" s="106" t="s">
        <v>771</v>
      </c>
      <c r="F568" s="218"/>
      <c r="G568" s="106" t="s">
        <v>3925</v>
      </c>
    </row>
    <row r="569" spans="1:7" ht="24.9" customHeight="1">
      <c r="A569" s="105">
        <v>553</v>
      </c>
      <c r="B569" s="105" t="s">
        <v>5372</v>
      </c>
      <c r="C569" s="103">
        <v>2708</v>
      </c>
      <c r="D569" s="105" t="s">
        <v>3564</v>
      </c>
      <c r="E569" s="105" t="s">
        <v>766</v>
      </c>
      <c r="F569" s="217">
        <v>4449899075</v>
      </c>
      <c r="G569" s="105" t="s">
        <v>3925</v>
      </c>
    </row>
    <row r="570" spans="1:7" ht="24.9" customHeight="1">
      <c r="A570" s="106">
        <v>554</v>
      </c>
      <c r="B570" s="106" t="s">
        <v>5501</v>
      </c>
      <c r="C570" s="104">
        <v>20718</v>
      </c>
      <c r="D570" s="106" t="s">
        <v>8253</v>
      </c>
      <c r="E570" s="106" t="s">
        <v>771</v>
      </c>
      <c r="F570" s="218">
        <v>3060274010</v>
      </c>
      <c r="G570" s="106" t="s">
        <v>3925</v>
      </c>
    </row>
    <row r="571" spans="1:7" ht="24.9" customHeight="1">
      <c r="A571" s="105">
        <v>555</v>
      </c>
      <c r="B571" s="105" t="s">
        <v>3924</v>
      </c>
      <c r="C571" s="103">
        <v>567</v>
      </c>
      <c r="D571" s="105" t="s">
        <v>3564</v>
      </c>
      <c r="E571" s="105" t="s">
        <v>767</v>
      </c>
      <c r="F571" s="217"/>
      <c r="G571" s="105" t="s">
        <v>3925</v>
      </c>
    </row>
    <row r="572" spans="1:7" ht="24.9" customHeight="1">
      <c r="A572" s="106">
        <v>556</v>
      </c>
      <c r="B572" s="106" t="s">
        <v>3927</v>
      </c>
      <c r="C572" s="104">
        <v>416</v>
      </c>
      <c r="D572" s="106" t="s">
        <v>3564</v>
      </c>
      <c r="E572" s="106" t="s">
        <v>3928</v>
      </c>
      <c r="F572" s="218"/>
      <c r="G572" s="106" t="s">
        <v>3925</v>
      </c>
    </row>
    <row r="573" spans="1:7" ht="24.9" customHeight="1">
      <c r="A573" s="105">
        <v>557</v>
      </c>
      <c r="B573" s="105" t="s">
        <v>5117</v>
      </c>
      <c r="C573" s="103">
        <v>4001210</v>
      </c>
      <c r="D573" s="105" t="s">
        <v>3564</v>
      </c>
      <c r="E573" s="105" t="s">
        <v>3579</v>
      </c>
      <c r="F573" s="217"/>
      <c r="G573" s="105" t="s">
        <v>3925</v>
      </c>
    </row>
    <row r="574" spans="1:7" ht="24.9" customHeight="1">
      <c r="A574" s="106">
        <v>558</v>
      </c>
      <c r="B574" s="106" t="s">
        <v>6814</v>
      </c>
      <c r="C574" s="104" t="s">
        <v>3649</v>
      </c>
      <c r="D574" s="106" t="s">
        <v>3566</v>
      </c>
      <c r="E574" s="106" t="s">
        <v>3566</v>
      </c>
      <c r="F574" s="218"/>
      <c r="G574" s="106" t="s">
        <v>3925</v>
      </c>
    </row>
    <row r="575" spans="1:7" ht="24.9" customHeight="1">
      <c r="A575" s="105">
        <v>559</v>
      </c>
      <c r="B575" s="105" t="s">
        <v>1618</v>
      </c>
      <c r="C575" s="103">
        <v>20509</v>
      </c>
      <c r="D575" s="105" t="s">
        <v>8253</v>
      </c>
      <c r="E575" s="105" t="s">
        <v>3949</v>
      </c>
      <c r="F575" s="217"/>
      <c r="G575" s="105" t="s">
        <v>3954</v>
      </c>
    </row>
    <row r="576" spans="1:7" ht="24.9" customHeight="1">
      <c r="A576" s="106">
        <v>560</v>
      </c>
      <c r="B576" s="106" t="s">
        <v>1619</v>
      </c>
      <c r="C576" s="104">
        <v>20258</v>
      </c>
      <c r="D576" s="106" t="s">
        <v>8253</v>
      </c>
      <c r="E576" s="106" t="s">
        <v>3950</v>
      </c>
      <c r="F576" s="218"/>
      <c r="G576" s="106" t="s">
        <v>3954</v>
      </c>
    </row>
    <row r="577" spans="1:7" ht="24.9" customHeight="1">
      <c r="A577" s="105">
        <v>561</v>
      </c>
      <c r="B577" s="105" t="s">
        <v>6206</v>
      </c>
      <c r="C577" s="103">
        <v>20472</v>
      </c>
      <c r="D577" s="105" t="s">
        <v>8253</v>
      </c>
      <c r="E577" s="105" t="s">
        <v>3949</v>
      </c>
      <c r="F577" s="217"/>
      <c r="G577" s="105" t="s">
        <v>3954</v>
      </c>
    </row>
    <row r="578" spans="1:7" ht="24.9" customHeight="1">
      <c r="A578" s="106">
        <v>562</v>
      </c>
      <c r="B578" s="106" t="s">
        <v>5928</v>
      </c>
      <c r="C578" s="104">
        <v>20770</v>
      </c>
      <c r="D578" s="106" t="s">
        <v>8253</v>
      </c>
      <c r="E578" s="106" t="s">
        <v>2608</v>
      </c>
      <c r="F578" s="218"/>
      <c r="G578" s="106" t="s">
        <v>3954</v>
      </c>
    </row>
    <row r="579" spans="1:7" ht="24.9" customHeight="1">
      <c r="A579" s="105">
        <v>563</v>
      </c>
      <c r="B579" s="105" t="s">
        <v>339</v>
      </c>
      <c r="C579" s="103">
        <v>990904</v>
      </c>
      <c r="D579" s="105" t="s">
        <v>3564</v>
      </c>
      <c r="E579" s="105" t="s">
        <v>3951</v>
      </c>
      <c r="F579" s="217"/>
      <c r="G579" s="105" t="s">
        <v>3954</v>
      </c>
    </row>
    <row r="580" spans="1:7" ht="24.9" customHeight="1">
      <c r="A580" s="106">
        <v>564</v>
      </c>
      <c r="B580" s="106" t="s">
        <v>4978</v>
      </c>
      <c r="C580" s="104">
        <v>20632</v>
      </c>
      <c r="D580" s="106" t="s">
        <v>8253</v>
      </c>
      <c r="E580" s="106" t="s">
        <v>4979</v>
      </c>
      <c r="F580" s="218"/>
      <c r="G580" s="106" t="s">
        <v>3954</v>
      </c>
    </row>
    <row r="581" spans="1:7" ht="24.9" customHeight="1">
      <c r="A581" s="105">
        <v>565</v>
      </c>
      <c r="B581" s="105" t="s">
        <v>3947</v>
      </c>
      <c r="C581" s="103">
        <v>115</v>
      </c>
      <c r="D581" s="105" t="s">
        <v>3564</v>
      </c>
      <c r="E581" s="105" t="s">
        <v>3952</v>
      </c>
      <c r="F581" s="217"/>
      <c r="G581" s="105" t="s">
        <v>3955</v>
      </c>
    </row>
    <row r="582" spans="1:7" ht="24.9" customHeight="1">
      <c r="A582" s="106">
        <v>566</v>
      </c>
      <c r="B582" s="106" t="s">
        <v>3948</v>
      </c>
      <c r="C582" s="104">
        <v>1916</v>
      </c>
      <c r="D582" s="106" t="s">
        <v>3564</v>
      </c>
      <c r="E582" s="106" t="s">
        <v>3953</v>
      </c>
      <c r="F582" s="218"/>
      <c r="G582" s="106" t="s">
        <v>3381</v>
      </c>
    </row>
    <row r="583" spans="1:7" ht="24.9" customHeight="1">
      <c r="A583" s="105">
        <v>567</v>
      </c>
      <c r="B583" s="105" t="s">
        <v>3967</v>
      </c>
      <c r="C583" s="103">
        <v>20439</v>
      </c>
      <c r="D583" s="105" t="s">
        <v>8253</v>
      </c>
      <c r="E583" s="105" t="s">
        <v>3773</v>
      </c>
      <c r="F583" s="217"/>
      <c r="G583" s="105" t="s">
        <v>3968</v>
      </c>
    </row>
    <row r="584" spans="1:7" ht="24.9" customHeight="1">
      <c r="A584" s="106">
        <v>568</v>
      </c>
      <c r="B584" s="106" t="s">
        <v>5236</v>
      </c>
      <c r="C584" s="104"/>
      <c r="D584" s="106" t="s">
        <v>3564</v>
      </c>
      <c r="E584" s="106" t="s">
        <v>3658</v>
      </c>
      <c r="F584" s="218"/>
      <c r="G584" s="106" t="s">
        <v>3968</v>
      </c>
    </row>
    <row r="585" spans="1:7" ht="24.9" customHeight="1">
      <c r="A585" s="105">
        <v>569</v>
      </c>
      <c r="B585" s="105" t="s">
        <v>3981</v>
      </c>
      <c r="C585" s="103" t="s">
        <v>2132</v>
      </c>
      <c r="D585" s="105" t="s">
        <v>8253</v>
      </c>
      <c r="E585" s="105" t="s">
        <v>771</v>
      </c>
      <c r="F585" s="217"/>
      <c r="G585" s="105" t="s">
        <v>3968</v>
      </c>
    </row>
    <row r="586" spans="1:7" ht="24.9" customHeight="1">
      <c r="A586" s="106">
        <v>570</v>
      </c>
      <c r="B586" s="106" t="s">
        <v>7114</v>
      </c>
      <c r="C586" s="104">
        <v>0</v>
      </c>
      <c r="D586" s="106" t="s">
        <v>3990</v>
      </c>
      <c r="E586" s="106" t="s">
        <v>7115</v>
      </c>
      <c r="F586" s="218">
        <v>3060428085</v>
      </c>
      <c r="G586" s="106" t="s">
        <v>3968</v>
      </c>
    </row>
    <row r="587" spans="1:7" ht="24.9" customHeight="1">
      <c r="A587" s="105">
        <v>571</v>
      </c>
      <c r="B587" s="105" t="s">
        <v>2016</v>
      </c>
      <c r="C587" s="103">
        <v>498</v>
      </c>
      <c r="D587" s="105" t="s">
        <v>3564</v>
      </c>
      <c r="E587" s="105" t="s">
        <v>3969</v>
      </c>
      <c r="F587" s="217"/>
      <c r="G587" s="105" t="s">
        <v>3968</v>
      </c>
    </row>
    <row r="588" spans="1:7" ht="24.9" customHeight="1">
      <c r="A588" s="106">
        <v>572</v>
      </c>
      <c r="B588" s="106" t="s">
        <v>80</v>
      </c>
      <c r="C588" s="104">
        <v>577</v>
      </c>
      <c r="D588" s="106" t="s">
        <v>3564</v>
      </c>
      <c r="E588" s="106" t="s">
        <v>3666</v>
      </c>
      <c r="F588" s="218"/>
      <c r="G588" s="106" t="s">
        <v>3968</v>
      </c>
    </row>
    <row r="589" spans="1:7" ht="24.9" customHeight="1">
      <c r="A589" s="105">
        <v>573</v>
      </c>
      <c r="B589" s="105" t="s">
        <v>7795</v>
      </c>
      <c r="C589" s="103">
        <v>0</v>
      </c>
      <c r="D589" s="105" t="s">
        <v>3564</v>
      </c>
      <c r="E589" s="105" t="s">
        <v>3579</v>
      </c>
      <c r="F589" s="217"/>
      <c r="G589" s="105" t="s">
        <v>3968</v>
      </c>
    </row>
    <row r="590" spans="1:7" ht="24.9" customHeight="1">
      <c r="A590" s="106">
        <v>574</v>
      </c>
      <c r="B590" s="106" t="s">
        <v>3982</v>
      </c>
      <c r="C590" s="104">
        <v>2701</v>
      </c>
      <c r="D590" s="106" t="s">
        <v>3564</v>
      </c>
      <c r="E590" s="106" t="s">
        <v>3360</v>
      </c>
      <c r="F590" s="218"/>
      <c r="G590" s="106" t="s">
        <v>3968</v>
      </c>
    </row>
    <row r="591" spans="1:7" ht="24.9" customHeight="1">
      <c r="A591" s="105">
        <v>575</v>
      </c>
      <c r="B591" s="105" t="s">
        <v>7862</v>
      </c>
      <c r="C591" s="103">
        <v>21032</v>
      </c>
      <c r="D591" s="105" t="s">
        <v>3990</v>
      </c>
      <c r="E591" s="105" t="s">
        <v>7864</v>
      </c>
      <c r="F591" s="217" t="s">
        <v>7863</v>
      </c>
      <c r="G591" s="105" t="s">
        <v>3968</v>
      </c>
    </row>
    <row r="592" spans="1:7" ht="24.9" customHeight="1">
      <c r="A592" s="106">
        <v>576</v>
      </c>
      <c r="B592" s="106" t="s">
        <v>7015</v>
      </c>
      <c r="C592" s="104">
        <v>0</v>
      </c>
      <c r="D592" s="106" t="s">
        <v>3990</v>
      </c>
      <c r="E592" s="106" t="s">
        <v>3647</v>
      </c>
      <c r="F592" s="218">
        <v>2991530693</v>
      </c>
      <c r="G592" s="106" t="s">
        <v>3968</v>
      </c>
    </row>
    <row r="593" spans="1:7" ht="24.9" customHeight="1">
      <c r="A593" s="106"/>
      <c r="B593" s="106" t="s">
        <v>8600</v>
      </c>
      <c r="C593" s="104">
        <v>20955</v>
      </c>
      <c r="D593" s="106" t="s">
        <v>8253</v>
      </c>
      <c r="E593" s="106" t="s">
        <v>5800</v>
      </c>
      <c r="F593" s="218" t="s">
        <v>8601</v>
      </c>
      <c r="G593" s="106" t="s">
        <v>8602</v>
      </c>
    </row>
    <row r="594" spans="1:7" ht="24.9" customHeight="1">
      <c r="A594" s="105">
        <v>577</v>
      </c>
      <c r="B594" s="105" t="s">
        <v>2714</v>
      </c>
      <c r="C594" s="103" t="s">
        <v>3970</v>
      </c>
      <c r="D594" s="105" t="s">
        <v>3564</v>
      </c>
      <c r="E594" s="105" t="s">
        <v>3971</v>
      </c>
      <c r="F594" s="217"/>
      <c r="G594" s="105" t="s">
        <v>3968</v>
      </c>
    </row>
    <row r="595" spans="1:7" ht="24.9" customHeight="1">
      <c r="A595" s="106">
        <v>578</v>
      </c>
      <c r="B595" s="106" t="s">
        <v>3983</v>
      </c>
      <c r="C595" s="104" t="s">
        <v>1876</v>
      </c>
      <c r="D595" s="106" t="s">
        <v>3564</v>
      </c>
      <c r="E595" s="106" t="s">
        <v>770</v>
      </c>
      <c r="F595" s="218"/>
      <c r="G595" s="106" t="s">
        <v>3968</v>
      </c>
    </row>
    <row r="596" spans="1:7" ht="24.9" customHeight="1">
      <c r="A596" s="105">
        <v>579</v>
      </c>
      <c r="B596" s="105" t="s">
        <v>3973</v>
      </c>
      <c r="C596" s="103" t="s">
        <v>3972</v>
      </c>
      <c r="D596" s="105" t="s">
        <v>3564</v>
      </c>
      <c r="E596" s="105" t="s">
        <v>3361</v>
      </c>
      <c r="F596" s="217"/>
      <c r="G596" s="105" t="s">
        <v>3968</v>
      </c>
    </row>
    <row r="597" spans="1:7" ht="24.9" customHeight="1">
      <c r="A597" s="106">
        <v>580</v>
      </c>
      <c r="B597" s="106" t="s">
        <v>7580</v>
      </c>
      <c r="C597" s="104">
        <v>20883</v>
      </c>
      <c r="D597" s="106" t="s">
        <v>3990</v>
      </c>
      <c r="E597" s="106" t="s">
        <v>3598</v>
      </c>
      <c r="F597" s="218"/>
      <c r="G597" s="106" t="s">
        <v>3968</v>
      </c>
    </row>
    <row r="598" spans="1:7" ht="24.9" customHeight="1">
      <c r="A598" s="105">
        <v>581</v>
      </c>
      <c r="B598" s="105" t="s">
        <v>8346</v>
      </c>
      <c r="C598" s="103">
        <v>20957</v>
      </c>
      <c r="D598" s="105" t="s">
        <v>3990</v>
      </c>
      <c r="E598" s="105" t="s">
        <v>7292</v>
      </c>
      <c r="F598" s="217"/>
      <c r="G598" s="105" t="s">
        <v>3968</v>
      </c>
    </row>
    <row r="599" spans="1:7" ht="24.9" customHeight="1">
      <c r="A599" s="106">
        <v>582</v>
      </c>
      <c r="B599" s="106" t="s">
        <v>7651</v>
      </c>
      <c r="C599" s="104">
        <v>20540</v>
      </c>
      <c r="D599" s="106" t="s">
        <v>3990</v>
      </c>
      <c r="E599" s="106" t="s">
        <v>771</v>
      </c>
      <c r="F599" s="218"/>
      <c r="G599" s="106" t="s">
        <v>3968</v>
      </c>
    </row>
    <row r="600" spans="1:7" ht="24.9" customHeight="1">
      <c r="A600" s="105">
        <v>583</v>
      </c>
      <c r="B600" s="105" t="s">
        <v>7117</v>
      </c>
      <c r="C600" s="103" t="s">
        <v>3649</v>
      </c>
      <c r="D600" s="105" t="s">
        <v>3990</v>
      </c>
      <c r="E600" s="105" t="s">
        <v>782</v>
      </c>
      <c r="F600" s="217"/>
      <c r="G600" s="105" t="s">
        <v>3968</v>
      </c>
    </row>
    <row r="601" spans="1:7" ht="24.9" customHeight="1">
      <c r="A601" s="106">
        <v>584</v>
      </c>
      <c r="B601" s="106" t="s">
        <v>7119</v>
      </c>
      <c r="C601" s="104" t="s">
        <v>7120</v>
      </c>
      <c r="D601" s="106" t="s">
        <v>3990</v>
      </c>
      <c r="E601" s="106" t="s">
        <v>3598</v>
      </c>
      <c r="F601" s="218"/>
      <c r="G601" s="106" t="s">
        <v>3968</v>
      </c>
    </row>
    <row r="602" spans="1:7" ht="24.9" customHeight="1">
      <c r="A602" s="105">
        <v>585</v>
      </c>
      <c r="B602" s="105" t="s">
        <v>7911</v>
      </c>
      <c r="C602" s="103">
        <v>20996</v>
      </c>
      <c r="D602" s="105" t="s">
        <v>3990</v>
      </c>
      <c r="E602" s="105" t="s">
        <v>3579</v>
      </c>
      <c r="F602" s="217"/>
      <c r="G602" s="105" t="s">
        <v>3968</v>
      </c>
    </row>
    <row r="603" spans="1:7" ht="24.9" customHeight="1">
      <c r="A603" s="106">
        <v>586</v>
      </c>
      <c r="B603" s="106" t="s">
        <v>2051</v>
      </c>
      <c r="C603" s="104">
        <v>3771</v>
      </c>
      <c r="D603" s="106" t="s">
        <v>3564</v>
      </c>
      <c r="E603" s="106" t="s">
        <v>771</v>
      </c>
      <c r="F603" s="218"/>
      <c r="G603" s="106" t="s">
        <v>3968</v>
      </c>
    </row>
    <row r="604" spans="1:7" ht="24.9" customHeight="1">
      <c r="A604" s="105">
        <v>587</v>
      </c>
      <c r="B604" s="105" t="s">
        <v>7693</v>
      </c>
      <c r="C604" s="103">
        <v>4031210</v>
      </c>
      <c r="D604" s="105" t="s">
        <v>3564</v>
      </c>
      <c r="E604" s="105" t="s">
        <v>7695</v>
      </c>
      <c r="F604" s="217">
        <v>1840328029</v>
      </c>
      <c r="G604" s="105" t="s">
        <v>3968</v>
      </c>
    </row>
    <row r="605" spans="1:7" ht="24.9" customHeight="1">
      <c r="A605" s="106">
        <v>588</v>
      </c>
      <c r="B605" s="106" t="s">
        <v>3974</v>
      </c>
      <c r="C605" s="104">
        <v>3801</v>
      </c>
      <c r="D605" s="106" t="s">
        <v>3564</v>
      </c>
      <c r="E605" s="106" t="s">
        <v>3361</v>
      </c>
      <c r="F605" s="218"/>
      <c r="G605" s="106" t="s">
        <v>3968</v>
      </c>
    </row>
    <row r="606" spans="1:7" ht="24.9" customHeight="1">
      <c r="A606" s="105">
        <v>589</v>
      </c>
      <c r="B606" s="105" t="s">
        <v>6161</v>
      </c>
      <c r="C606" s="103" t="s">
        <v>6162</v>
      </c>
      <c r="D606" s="105" t="s">
        <v>3990</v>
      </c>
      <c r="E606" s="105" t="s">
        <v>3361</v>
      </c>
      <c r="F606" s="217"/>
      <c r="G606" s="105" t="s">
        <v>3968</v>
      </c>
    </row>
    <row r="607" spans="1:7" ht="24.9" customHeight="1">
      <c r="A607" s="106">
        <v>590</v>
      </c>
      <c r="B607" s="106" t="s">
        <v>390</v>
      </c>
      <c r="C607" s="104" t="s">
        <v>3975</v>
      </c>
      <c r="D607" s="106" t="s">
        <v>3564</v>
      </c>
      <c r="E607" s="106" t="s">
        <v>3976</v>
      </c>
      <c r="F607" s="218"/>
      <c r="G607" s="106" t="s">
        <v>3968</v>
      </c>
    </row>
    <row r="608" spans="1:7" ht="24.9" customHeight="1">
      <c r="A608" s="105">
        <v>591</v>
      </c>
      <c r="B608" s="105" t="s">
        <v>3984</v>
      </c>
      <c r="C608" s="103"/>
      <c r="D608" s="105" t="s">
        <v>3564</v>
      </c>
      <c r="E608" s="105" t="s">
        <v>3360</v>
      </c>
      <c r="F608" s="217"/>
      <c r="G608" s="105" t="s">
        <v>3968</v>
      </c>
    </row>
    <row r="609" spans="1:7" ht="24.9" customHeight="1">
      <c r="A609" s="106">
        <v>592</v>
      </c>
      <c r="B609" s="106" t="s">
        <v>3501</v>
      </c>
      <c r="C609" s="104">
        <v>20401</v>
      </c>
      <c r="D609" s="106" t="s">
        <v>8253</v>
      </c>
      <c r="E609" s="106" t="s">
        <v>3667</v>
      </c>
      <c r="F609" s="218"/>
      <c r="G609" s="106" t="s">
        <v>3968</v>
      </c>
    </row>
    <row r="610" spans="1:7" ht="24.9" customHeight="1">
      <c r="A610" s="105">
        <v>593</v>
      </c>
      <c r="B610" s="105" t="s">
        <v>6152</v>
      </c>
      <c r="C610" s="103" t="s">
        <v>6153</v>
      </c>
      <c r="D610" s="105" t="s">
        <v>3564</v>
      </c>
      <c r="E610" s="105" t="s">
        <v>3363</v>
      </c>
      <c r="F610" s="217"/>
      <c r="G610" s="105" t="s">
        <v>3968</v>
      </c>
    </row>
    <row r="611" spans="1:7" ht="24.9" customHeight="1">
      <c r="A611" s="106">
        <v>594</v>
      </c>
      <c r="B611" s="106" t="s">
        <v>2731</v>
      </c>
      <c r="C611" s="104" t="s">
        <v>3977</v>
      </c>
      <c r="D611" s="106" t="s">
        <v>3564</v>
      </c>
      <c r="E611" s="106" t="s">
        <v>770</v>
      </c>
      <c r="F611" s="218"/>
      <c r="G611" s="106" t="s">
        <v>3968</v>
      </c>
    </row>
    <row r="612" spans="1:7" ht="24.9" customHeight="1">
      <c r="A612" s="105">
        <v>595</v>
      </c>
      <c r="B612" s="105" t="s">
        <v>2734</v>
      </c>
      <c r="C612" s="103" t="s">
        <v>2750</v>
      </c>
      <c r="D612" s="105" t="s">
        <v>3564</v>
      </c>
      <c r="E612" s="105" t="s">
        <v>3358</v>
      </c>
      <c r="F612" s="217"/>
      <c r="G612" s="105" t="s">
        <v>3968</v>
      </c>
    </row>
    <row r="613" spans="1:7" ht="24.9" customHeight="1">
      <c r="A613" s="106">
        <v>596</v>
      </c>
      <c r="B613" s="106" t="s">
        <v>6729</v>
      </c>
      <c r="C613" s="104" t="s">
        <v>6730</v>
      </c>
      <c r="D613" s="106" t="s">
        <v>5532</v>
      </c>
      <c r="E613" s="106" t="s">
        <v>782</v>
      </c>
      <c r="F613" s="218"/>
      <c r="G613" s="106" t="s">
        <v>3968</v>
      </c>
    </row>
    <row r="614" spans="1:7" ht="24.9" customHeight="1">
      <c r="A614" s="105">
        <v>597</v>
      </c>
      <c r="B614" s="105" t="s">
        <v>7875</v>
      </c>
      <c r="C614" s="103">
        <v>4031209</v>
      </c>
      <c r="D614" s="105" t="s">
        <v>3564</v>
      </c>
      <c r="E614" s="105" t="s">
        <v>3598</v>
      </c>
      <c r="F614" s="217"/>
      <c r="G614" s="105" t="s">
        <v>3968</v>
      </c>
    </row>
    <row r="615" spans="1:7" ht="24.9" customHeight="1">
      <c r="A615" s="106">
        <v>598</v>
      </c>
      <c r="B615" s="106" t="s">
        <v>2911</v>
      </c>
      <c r="C615" s="104" t="s">
        <v>2913</v>
      </c>
      <c r="D615" s="106" t="s">
        <v>3564</v>
      </c>
      <c r="E615" s="106" t="s">
        <v>3358</v>
      </c>
      <c r="F615" s="218"/>
      <c r="G615" s="106" t="s">
        <v>3968</v>
      </c>
    </row>
    <row r="616" spans="1:7" ht="24.9" customHeight="1">
      <c r="A616" s="105">
        <v>599</v>
      </c>
      <c r="B616" s="105" t="s">
        <v>7500</v>
      </c>
      <c r="C616" s="103">
        <v>4031009</v>
      </c>
      <c r="D616" s="105" t="s">
        <v>3564</v>
      </c>
      <c r="E616" s="105" t="s">
        <v>3579</v>
      </c>
      <c r="F616" s="217"/>
      <c r="G616" s="105" t="s">
        <v>3968</v>
      </c>
    </row>
    <row r="617" spans="1:7" ht="24.9" customHeight="1">
      <c r="A617" s="106">
        <v>600</v>
      </c>
      <c r="B617" s="106" t="s">
        <v>3985</v>
      </c>
      <c r="C617" s="104" t="s">
        <v>2915</v>
      </c>
      <c r="D617" s="106" t="s">
        <v>3564</v>
      </c>
      <c r="E617" s="106" t="s">
        <v>3978</v>
      </c>
      <c r="F617" s="218"/>
      <c r="G617" s="106" t="s">
        <v>3968</v>
      </c>
    </row>
    <row r="618" spans="1:7" ht="24.9" customHeight="1">
      <c r="A618" s="105">
        <v>601</v>
      </c>
      <c r="B618" s="105" t="s">
        <v>6563</v>
      </c>
      <c r="C618" s="103" t="s">
        <v>6567</v>
      </c>
      <c r="D618" s="105" t="s">
        <v>3564</v>
      </c>
      <c r="E618" s="105" t="s">
        <v>3579</v>
      </c>
      <c r="F618" s="217">
        <v>1289136971</v>
      </c>
      <c r="G618" s="105" t="s">
        <v>3968</v>
      </c>
    </row>
    <row r="619" spans="1:7" ht="24.9" customHeight="1">
      <c r="A619" s="106">
        <v>602</v>
      </c>
      <c r="B619" s="106" t="s">
        <v>5121</v>
      </c>
      <c r="C619" s="104" t="s">
        <v>5170</v>
      </c>
      <c r="D619" s="106" t="s">
        <v>3564</v>
      </c>
      <c r="E619" s="106" t="s">
        <v>5122</v>
      </c>
      <c r="F619" s="218">
        <v>5249942296</v>
      </c>
      <c r="G619" s="106" t="s">
        <v>3968</v>
      </c>
    </row>
    <row r="620" spans="1:7" ht="24.9" customHeight="1">
      <c r="A620" s="105">
        <v>603</v>
      </c>
      <c r="B620" s="105" t="s">
        <v>4704</v>
      </c>
      <c r="C620" s="103" t="s">
        <v>3649</v>
      </c>
      <c r="D620" s="105" t="s">
        <v>1298</v>
      </c>
      <c r="E620" s="105" t="s">
        <v>4711</v>
      </c>
      <c r="F620" s="217">
        <v>5830002760</v>
      </c>
      <c r="G620" s="105" t="s">
        <v>3968</v>
      </c>
    </row>
    <row r="621" spans="1:7" ht="24.9" customHeight="1">
      <c r="A621" s="106">
        <v>604</v>
      </c>
      <c r="B621" s="106" t="s">
        <v>5860</v>
      </c>
      <c r="C621" s="104" t="s">
        <v>3649</v>
      </c>
      <c r="D621" s="106" t="s">
        <v>6565</v>
      </c>
      <c r="E621" s="106" t="s">
        <v>4056</v>
      </c>
      <c r="F621" s="218">
        <v>3150102643</v>
      </c>
      <c r="G621" s="106" t="s">
        <v>3968</v>
      </c>
    </row>
    <row r="622" spans="1:7" ht="24.9" customHeight="1">
      <c r="A622" s="105">
        <v>605</v>
      </c>
      <c r="B622" s="105" t="s">
        <v>6970</v>
      </c>
      <c r="C622" s="103" t="s">
        <v>3649</v>
      </c>
      <c r="D622" s="105" t="s">
        <v>6565</v>
      </c>
      <c r="E622" s="105" t="s">
        <v>4056</v>
      </c>
      <c r="F622" s="217"/>
      <c r="G622" s="105" t="s">
        <v>3968</v>
      </c>
    </row>
    <row r="623" spans="1:7" ht="24.9" customHeight="1">
      <c r="A623" s="106">
        <v>606</v>
      </c>
      <c r="B623" s="106" t="s">
        <v>4705</v>
      </c>
      <c r="C623" s="104" t="s">
        <v>3649</v>
      </c>
      <c r="D623" s="106" t="s">
        <v>1298</v>
      </c>
      <c r="E623" s="106" t="s">
        <v>4708</v>
      </c>
      <c r="F623" s="218">
        <v>3071204851</v>
      </c>
      <c r="G623" s="106" t="s">
        <v>3968</v>
      </c>
    </row>
    <row r="624" spans="1:7" ht="24.9" customHeight="1">
      <c r="A624" s="105">
        <v>607</v>
      </c>
      <c r="B624" s="105" t="s">
        <v>6973</v>
      </c>
      <c r="C624" s="103" t="s">
        <v>3649</v>
      </c>
      <c r="D624" s="105" t="s">
        <v>1298</v>
      </c>
      <c r="E624" s="105" t="s">
        <v>6975</v>
      </c>
      <c r="F624" s="217"/>
      <c r="G624" s="105" t="s">
        <v>3968</v>
      </c>
    </row>
    <row r="625" spans="1:7" ht="24.9" customHeight="1">
      <c r="A625" s="106">
        <v>608</v>
      </c>
      <c r="B625" s="106" t="s">
        <v>4706</v>
      </c>
      <c r="C625" s="104" t="s">
        <v>3649</v>
      </c>
      <c r="D625" s="106" t="s">
        <v>1298</v>
      </c>
      <c r="E625" s="106" t="s">
        <v>774</v>
      </c>
      <c r="F625" s="218"/>
      <c r="G625" s="106" t="s">
        <v>3968</v>
      </c>
    </row>
    <row r="626" spans="1:7" ht="24.9" customHeight="1">
      <c r="A626" s="105">
        <v>609</v>
      </c>
      <c r="B626" s="105" t="s">
        <v>7325</v>
      </c>
      <c r="C626" s="103" t="s">
        <v>3649</v>
      </c>
      <c r="D626" s="105" t="s">
        <v>7327</v>
      </c>
      <c r="E626" s="105" t="s">
        <v>7326</v>
      </c>
      <c r="F626" s="217"/>
      <c r="G626" s="105" t="s">
        <v>3968</v>
      </c>
    </row>
    <row r="627" spans="1:7" ht="24.9" customHeight="1">
      <c r="A627" s="106">
        <v>610</v>
      </c>
      <c r="B627" s="106" t="s">
        <v>3986</v>
      </c>
      <c r="C627" s="104" t="s">
        <v>3979</v>
      </c>
      <c r="D627" s="106" t="s">
        <v>3564</v>
      </c>
      <c r="E627" s="106" t="s">
        <v>767</v>
      </c>
      <c r="F627" s="218"/>
      <c r="G627" s="106" t="s">
        <v>3968</v>
      </c>
    </row>
    <row r="628" spans="1:7" ht="24.9" customHeight="1">
      <c r="A628" s="105">
        <v>611</v>
      </c>
      <c r="B628" s="105" t="s">
        <v>6823</v>
      </c>
      <c r="C628" s="103" t="s">
        <v>3649</v>
      </c>
      <c r="D628" s="105" t="s">
        <v>3990</v>
      </c>
      <c r="E628" s="105" t="s">
        <v>767</v>
      </c>
      <c r="F628" s="217"/>
      <c r="G628" s="105" t="s">
        <v>3968</v>
      </c>
    </row>
    <row r="629" spans="1:7" ht="24.9" customHeight="1">
      <c r="A629" s="106">
        <v>612</v>
      </c>
      <c r="B629" s="106" t="s">
        <v>3987</v>
      </c>
      <c r="C629" s="104" t="s">
        <v>6816</v>
      </c>
      <c r="D629" s="106" t="s">
        <v>3564</v>
      </c>
      <c r="E629" s="106" t="s">
        <v>3980</v>
      </c>
      <c r="F629" s="218"/>
      <c r="G629" s="106" t="s">
        <v>3968</v>
      </c>
    </row>
    <row r="630" spans="1:7" ht="24.9" customHeight="1">
      <c r="A630" s="105">
        <v>613</v>
      </c>
      <c r="B630" s="105" t="s">
        <v>8357</v>
      </c>
      <c r="C630" s="103">
        <v>113</v>
      </c>
      <c r="D630" s="105" t="s">
        <v>8358</v>
      </c>
      <c r="E630" s="105" t="s">
        <v>3576</v>
      </c>
      <c r="F630" s="217">
        <v>3060208808</v>
      </c>
      <c r="G630" s="105" t="s">
        <v>3381</v>
      </c>
    </row>
    <row r="631" spans="1:7" ht="24.9" customHeight="1">
      <c r="A631" s="106">
        <v>614</v>
      </c>
      <c r="B631" s="106" t="s">
        <v>5870</v>
      </c>
      <c r="C631" s="104" t="s">
        <v>3649</v>
      </c>
      <c r="D631" s="106" t="s">
        <v>899</v>
      </c>
      <c r="E631" s="106" t="s">
        <v>3357</v>
      </c>
      <c r="F631" s="218"/>
      <c r="G631" s="106" t="s">
        <v>3968</v>
      </c>
    </row>
    <row r="632" spans="1:7" ht="24.9" customHeight="1">
      <c r="A632" s="105">
        <v>615</v>
      </c>
      <c r="B632" s="105" t="s">
        <v>245</v>
      </c>
      <c r="C632" s="103" t="s">
        <v>3649</v>
      </c>
      <c r="D632" s="105" t="s">
        <v>6565</v>
      </c>
      <c r="E632" s="105" t="s">
        <v>6566</v>
      </c>
      <c r="F632" s="217"/>
      <c r="G632" s="105" t="s">
        <v>3968</v>
      </c>
    </row>
    <row r="633" spans="1:7" ht="24.9" customHeight="1">
      <c r="A633" s="106">
        <v>616</v>
      </c>
      <c r="B633" s="106" t="s">
        <v>6895</v>
      </c>
      <c r="C633" s="104" t="s">
        <v>3649</v>
      </c>
      <c r="D633" s="106" t="s">
        <v>3990</v>
      </c>
      <c r="E633" s="106" t="s">
        <v>767</v>
      </c>
      <c r="F633" s="218">
        <v>3091546535</v>
      </c>
      <c r="G633" s="106" t="s">
        <v>3968</v>
      </c>
    </row>
    <row r="634" spans="1:7" ht="24.9" customHeight="1">
      <c r="A634" s="105">
        <v>617</v>
      </c>
      <c r="B634" s="105" t="s">
        <v>6892</v>
      </c>
      <c r="C634" s="103" t="s">
        <v>3649</v>
      </c>
      <c r="D634" s="105" t="s">
        <v>3990</v>
      </c>
      <c r="E634" s="105" t="s">
        <v>767</v>
      </c>
      <c r="F634" s="217"/>
      <c r="G634" s="105" t="s">
        <v>3968</v>
      </c>
    </row>
    <row r="635" spans="1:7" ht="24.9" customHeight="1">
      <c r="A635" s="106">
        <v>618</v>
      </c>
      <c r="B635" s="106" t="s">
        <v>6893</v>
      </c>
      <c r="C635" s="104" t="s">
        <v>3649</v>
      </c>
      <c r="D635" s="106" t="s">
        <v>6565</v>
      </c>
      <c r="E635" s="106" t="s">
        <v>6565</v>
      </c>
      <c r="F635" s="218"/>
      <c r="G635" s="106" t="s">
        <v>3968</v>
      </c>
    </row>
    <row r="636" spans="1:7" ht="24.9" customHeight="1">
      <c r="A636" s="105">
        <v>619</v>
      </c>
      <c r="B636" s="105" t="s">
        <v>7516</v>
      </c>
      <c r="C636" s="103">
        <v>0</v>
      </c>
      <c r="D636" s="105" t="s">
        <v>6565</v>
      </c>
      <c r="E636" s="105" t="s">
        <v>6565</v>
      </c>
      <c r="F636" s="217"/>
      <c r="G636" s="105" t="s">
        <v>3968</v>
      </c>
    </row>
    <row r="637" spans="1:7" ht="24.9" customHeight="1">
      <c r="A637" s="106">
        <v>620</v>
      </c>
      <c r="B637" s="106" t="s">
        <v>6894</v>
      </c>
      <c r="C637" s="104" t="s">
        <v>3649</v>
      </c>
      <c r="D637" s="106" t="s">
        <v>6565</v>
      </c>
      <c r="E637" s="106" t="s">
        <v>6565</v>
      </c>
      <c r="F637" s="218"/>
      <c r="G637" s="106" t="s">
        <v>3968</v>
      </c>
    </row>
    <row r="638" spans="1:7" ht="24.9" customHeight="1">
      <c r="A638" s="105">
        <v>621</v>
      </c>
      <c r="B638" s="105" t="s">
        <v>6562</v>
      </c>
      <c r="C638" s="103" t="s">
        <v>3649</v>
      </c>
      <c r="D638" s="105" t="s">
        <v>6565</v>
      </c>
      <c r="E638" s="105" t="s">
        <v>6565</v>
      </c>
      <c r="F638" s="217"/>
      <c r="G638" s="105" t="s">
        <v>3968</v>
      </c>
    </row>
    <row r="639" spans="1:7" ht="24.9" customHeight="1">
      <c r="A639" s="106">
        <v>622</v>
      </c>
      <c r="B639" s="106" t="s">
        <v>5221</v>
      </c>
      <c r="C639" s="104" t="s">
        <v>3649</v>
      </c>
      <c r="D639" s="106" t="s">
        <v>899</v>
      </c>
      <c r="E639" s="106" t="s">
        <v>899</v>
      </c>
      <c r="F639" s="218">
        <v>2200710445</v>
      </c>
      <c r="G639" s="106" t="s">
        <v>3968</v>
      </c>
    </row>
    <row r="640" spans="1:7" ht="24.9" customHeight="1">
      <c r="A640" s="105">
        <v>623</v>
      </c>
      <c r="B640" s="105" t="s">
        <v>4642</v>
      </c>
      <c r="C640" s="103" t="s">
        <v>3649</v>
      </c>
      <c r="D640" s="105" t="s">
        <v>1298</v>
      </c>
      <c r="E640" s="105" t="s">
        <v>4710</v>
      </c>
      <c r="F640" s="217"/>
      <c r="G640" s="105" t="s">
        <v>3968</v>
      </c>
    </row>
    <row r="641" spans="1:7" ht="24.9" customHeight="1">
      <c r="A641" s="106">
        <v>624</v>
      </c>
      <c r="B641" s="106" t="s">
        <v>6199</v>
      </c>
      <c r="C641" s="104" t="s">
        <v>3649</v>
      </c>
      <c r="D641" s="106" t="s">
        <v>1298</v>
      </c>
      <c r="E641" s="106" t="s">
        <v>1298</v>
      </c>
      <c r="F641" s="218"/>
      <c r="G641" s="106" t="s">
        <v>3968</v>
      </c>
    </row>
    <row r="642" spans="1:7" ht="24.9" customHeight="1">
      <c r="A642" s="105">
        <v>625</v>
      </c>
      <c r="B642" s="105" t="s">
        <v>3991</v>
      </c>
      <c r="C642" s="103" t="s">
        <v>3649</v>
      </c>
      <c r="D642" s="105" t="s">
        <v>1298</v>
      </c>
      <c r="E642" s="105" t="s">
        <v>3998</v>
      </c>
      <c r="F642" s="217"/>
      <c r="G642" s="105" t="s">
        <v>3968</v>
      </c>
    </row>
    <row r="643" spans="1:7" ht="24.9" customHeight="1">
      <c r="A643" s="106">
        <v>626</v>
      </c>
      <c r="B643" s="106" t="s">
        <v>3993</v>
      </c>
      <c r="C643" s="104">
        <v>0</v>
      </c>
      <c r="D643" s="106" t="s">
        <v>3992</v>
      </c>
      <c r="E643" s="106" t="s">
        <v>899</v>
      </c>
      <c r="F643" s="218"/>
      <c r="G643" s="106" t="s">
        <v>4582</v>
      </c>
    </row>
    <row r="644" spans="1:7" ht="24.9" customHeight="1">
      <c r="A644" s="105">
        <v>627</v>
      </c>
      <c r="B644" s="105" t="s">
        <v>6231</v>
      </c>
      <c r="C644" s="103">
        <v>0</v>
      </c>
      <c r="D644" s="105" t="s">
        <v>3992</v>
      </c>
      <c r="E644" s="105" t="s">
        <v>899</v>
      </c>
      <c r="F644" s="217">
        <v>1755009011</v>
      </c>
      <c r="G644" s="105" t="s">
        <v>3968</v>
      </c>
    </row>
    <row r="645" spans="1:7" ht="24.9" customHeight="1">
      <c r="A645" s="106"/>
      <c r="B645" s="106" t="s">
        <v>8344</v>
      </c>
      <c r="C645" s="104"/>
      <c r="D645" s="106" t="s">
        <v>3572</v>
      </c>
      <c r="E645" s="106" t="s">
        <v>3689</v>
      </c>
      <c r="F645" s="218">
        <v>5260076982</v>
      </c>
      <c r="G645" s="106" t="s">
        <v>3381</v>
      </c>
    </row>
    <row r="646" spans="1:7" ht="24.9" customHeight="1">
      <c r="A646" s="105">
        <v>628</v>
      </c>
      <c r="B646" s="105" t="s">
        <v>5269</v>
      </c>
      <c r="C646" s="103">
        <v>0</v>
      </c>
      <c r="D646" s="105" t="s">
        <v>3992</v>
      </c>
      <c r="E646" s="105" t="s">
        <v>899</v>
      </c>
      <c r="F646" s="217"/>
      <c r="G646" s="105" t="s">
        <v>3968</v>
      </c>
    </row>
    <row r="647" spans="1:7" ht="24.9" customHeight="1">
      <c r="A647" s="106">
        <v>629</v>
      </c>
      <c r="B647" s="106" t="s">
        <v>4586</v>
      </c>
      <c r="C647" s="104">
        <v>0</v>
      </c>
      <c r="D647" s="106" t="s">
        <v>3992</v>
      </c>
      <c r="E647" s="106" t="s">
        <v>899</v>
      </c>
      <c r="F647" s="218"/>
      <c r="G647" s="106" t="s">
        <v>3968</v>
      </c>
    </row>
    <row r="648" spans="1:7" ht="24.9" customHeight="1">
      <c r="A648" s="105">
        <v>630</v>
      </c>
      <c r="B648" s="105" t="s">
        <v>7277</v>
      </c>
      <c r="C648" s="103">
        <v>0</v>
      </c>
      <c r="D648" s="105" t="s">
        <v>3992</v>
      </c>
      <c r="E648" s="105" t="s">
        <v>899</v>
      </c>
      <c r="F648" s="217"/>
      <c r="G648" s="105" t="s">
        <v>3968</v>
      </c>
    </row>
    <row r="649" spans="1:7" ht="24.9" customHeight="1">
      <c r="A649" s="106">
        <v>631</v>
      </c>
      <c r="B649" s="106" t="s">
        <v>7281</v>
      </c>
      <c r="C649" s="104">
        <v>0</v>
      </c>
      <c r="D649" s="106" t="s">
        <v>3992</v>
      </c>
      <c r="E649" s="106" t="s">
        <v>899</v>
      </c>
      <c r="F649" s="218"/>
      <c r="G649" s="106" t="s">
        <v>3968</v>
      </c>
    </row>
    <row r="650" spans="1:7" ht="24.9" customHeight="1">
      <c r="A650" s="105">
        <v>632</v>
      </c>
      <c r="B650" s="105" t="s">
        <v>4579</v>
      </c>
      <c r="C650" s="103" t="s">
        <v>4580</v>
      </c>
      <c r="D650" s="105" t="s">
        <v>3564</v>
      </c>
      <c r="E650" s="105" t="s">
        <v>3359</v>
      </c>
      <c r="F650" s="217"/>
      <c r="G650" s="105" t="s">
        <v>3968</v>
      </c>
    </row>
    <row r="651" spans="1:7" ht="24.9" customHeight="1">
      <c r="A651" s="106">
        <v>633</v>
      </c>
      <c r="B651" s="106" t="s">
        <v>3989</v>
      </c>
      <c r="C651" s="104">
        <v>20567</v>
      </c>
      <c r="D651" s="106" t="s">
        <v>3990</v>
      </c>
      <c r="E651" s="106" t="s">
        <v>773</v>
      </c>
      <c r="F651" s="218"/>
      <c r="G651" s="106" t="s">
        <v>3968</v>
      </c>
    </row>
    <row r="652" spans="1:7" ht="24.9" customHeight="1">
      <c r="A652" s="105">
        <v>634</v>
      </c>
      <c r="B652" s="105" t="s">
        <v>5063</v>
      </c>
      <c r="C652" s="103">
        <v>20695</v>
      </c>
      <c r="D652" s="105" t="s">
        <v>3990</v>
      </c>
      <c r="E652" s="105" t="s">
        <v>767</v>
      </c>
      <c r="F652" s="217">
        <v>3170125729</v>
      </c>
      <c r="G652" s="105" t="s">
        <v>3968</v>
      </c>
    </row>
    <row r="653" spans="1:7" ht="24.9" customHeight="1">
      <c r="A653" s="106"/>
      <c r="B653" s="106" t="s">
        <v>3988</v>
      </c>
      <c r="C653" s="104">
        <v>20538</v>
      </c>
      <c r="D653" s="106" t="s">
        <v>8253</v>
      </c>
      <c r="E653" s="106" t="s">
        <v>3773</v>
      </c>
      <c r="F653" s="218">
        <v>3170046039</v>
      </c>
      <c r="G653" s="106" t="s">
        <v>8262</v>
      </c>
    </row>
    <row r="654" spans="1:7" ht="24.9" customHeight="1">
      <c r="A654" s="105">
        <v>635</v>
      </c>
      <c r="B654" s="105" t="s">
        <v>4703</v>
      </c>
      <c r="C654" s="103">
        <v>0</v>
      </c>
      <c r="D654" s="105" t="s">
        <v>1298</v>
      </c>
      <c r="E654" s="105" t="s">
        <v>4709</v>
      </c>
      <c r="F654" s="217">
        <v>384318444</v>
      </c>
      <c r="G654" s="105" t="s">
        <v>3968</v>
      </c>
    </row>
    <row r="655" spans="1:7" ht="24.9" customHeight="1">
      <c r="A655" s="106">
        <v>636</v>
      </c>
      <c r="B655" s="106" t="s">
        <v>4030</v>
      </c>
      <c r="C655" s="104">
        <v>0</v>
      </c>
      <c r="D655" s="106" t="s">
        <v>4028</v>
      </c>
      <c r="E655" s="106" t="s">
        <v>3647</v>
      </c>
      <c r="F655" s="218"/>
      <c r="G655" s="106" t="s">
        <v>4028</v>
      </c>
    </row>
    <row r="656" spans="1:7" ht="24.9" customHeight="1">
      <c r="A656" s="105">
        <v>637</v>
      </c>
      <c r="B656" s="105" t="s">
        <v>4031</v>
      </c>
      <c r="C656" s="103">
        <v>0</v>
      </c>
      <c r="D656" s="105" t="s">
        <v>4028</v>
      </c>
      <c r="E656" s="105" t="s">
        <v>767</v>
      </c>
      <c r="F656" s="217"/>
      <c r="G656" s="105" t="s">
        <v>4028</v>
      </c>
    </row>
    <row r="657" spans="1:7" ht="24.9" customHeight="1">
      <c r="A657" s="106">
        <v>638</v>
      </c>
      <c r="B657" s="106" t="s">
        <v>4046</v>
      </c>
      <c r="C657" s="104">
        <v>0</v>
      </c>
      <c r="D657" s="106" t="s">
        <v>4028</v>
      </c>
      <c r="E657" s="106" t="s">
        <v>4032</v>
      </c>
      <c r="F657" s="218"/>
      <c r="G657" s="106" t="s">
        <v>4028</v>
      </c>
    </row>
    <row r="658" spans="1:7" ht="24.9" customHeight="1">
      <c r="A658" s="105">
        <v>639</v>
      </c>
      <c r="B658" s="105" t="s">
        <v>4045</v>
      </c>
      <c r="C658" s="103">
        <v>0</v>
      </c>
      <c r="D658" s="105" t="s">
        <v>4028</v>
      </c>
      <c r="E658" s="105" t="s">
        <v>770</v>
      </c>
      <c r="F658" s="217"/>
      <c r="G658" s="105" t="s">
        <v>4028</v>
      </c>
    </row>
    <row r="659" spans="1:7" ht="24.9" customHeight="1">
      <c r="A659" s="106">
        <v>640</v>
      </c>
      <c r="B659" s="106" t="s">
        <v>4044</v>
      </c>
      <c r="C659" s="104">
        <v>0</v>
      </c>
      <c r="D659" s="106" t="s">
        <v>4028</v>
      </c>
      <c r="E659" s="106" t="s">
        <v>4033</v>
      </c>
      <c r="F659" s="218"/>
      <c r="G659" s="106" t="s">
        <v>4028</v>
      </c>
    </row>
    <row r="660" spans="1:7" ht="24.9" customHeight="1">
      <c r="A660" s="105">
        <v>641</v>
      </c>
      <c r="B660" s="105" t="s">
        <v>4043</v>
      </c>
      <c r="C660" s="103">
        <v>0</v>
      </c>
      <c r="D660" s="105" t="s">
        <v>4028</v>
      </c>
      <c r="E660" s="105" t="s">
        <v>4034</v>
      </c>
      <c r="F660" s="217"/>
      <c r="G660" s="105" t="s">
        <v>4028</v>
      </c>
    </row>
    <row r="661" spans="1:7" ht="24.9" customHeight="1">
      <c r="A661" s="106">
        <v>642</v>
      </c>
      <c r="B661" s="106" t="s">
        <v>4030</v>
      </c>
      <c r="C661" s="104">
        <v>0</v>
      </c>
      <c r="D661" s="106" t="s">
        <v>4028</v>
      </c>
      <c r="E661" s="106" t="s">
        <v>3647</v>
      </c>
      <c r="F661" s="218"/>
      <c r="G661" s="106" t="s">
        <v>4028</v>
      </c>
    </row>
    <row r="662" spans="1:7" ht="24.9" customHeight="1">
      <c r="A662" s="105">
        <v>643</v>
      </c>
      <c r="B662" s="105" t="s">
        <v>4042</v>
      </c>
      <c r="C662" s="103">
        <v>0</v>
      </c>
      <c r="D662" s="105" t="s">
        <v>3564</v>
      </c>
      <c r="E662" s="105" t="s">
        <v>4035</v>
      </c>
      <c r="F662" s="217"/>
      <c r="G662" s="105" t="s">
        <v>4028</v>
      </c>
    </row>
    <row r="663" spans="1:7" ht="24.9" customHeight="1">
      <c r="A663" s="106">
        <v>644</v>
      </c>
      <c r="B663" s="106" t="s">
        <v>4039</v>
      </c>
      <c r="C663" s="104">
        <v>0</v>
      </c>
      <c r="D663" s="106" t="s">
        <v>4029</v>
      </c>
      <c r="E663" s="106"/>
      <c r="F663" s="218"/>
      <c r="G663" s="106" t="s">
        <v>4029</v>
      </c>
    </row>
    <row r="664" spans="1:7" ht="24.9" customHeight="1">
      <c r="A664" s="105">
        <v>645</v>
      </c>
      <c r="B664" s="105" t="s">
        <v>4038</v>
      </c>
      <c r="C664" s="103">
        <v>0</v>
      </c>
      <c r="D664" s="105" t="s">
        <v>4029</v>
      </c>
      <c r="E664" s="105" t="s">
        <v>3360</v>
      </c>
      <c r="F664" s="217"/>
      <c r="G664" s="105" t="s">
        <v>4029</v>
      </c>
    </row>
    <row r="665" spans="1:7" ht="24.9" customHeight="1">
      <c r="A665" s="106">
        <v>646</v>
      </c>
      <c r="B665" s="106" t="s">
        <v>4040</v>
      </c>
      <c r="C665" s="104">
        <v>0</v>
      </c>
      <c r="D665" s="106" t="s">
        <v>4028</v>
      </c>
      <c r="E665" s="106" t="s">
        <v>4036</v>
      </c>
      <c r="F665" s="218"/>
      <c r="G665" s="106" t="s">
        <v>4028</v>
      </c>
    </row>
    <row r="666" spans="1:7" ht="24.9" customHeight="1">
      <c r="A666" s="105">
        <v>647</v>
      </c>
      <c r="B666" s="105" t="s">
        <v>4041</v>
      </c>
      <c r="C666" s="103">
        <v>0</v>
      </c>
      <c r="D666" s="105" t="s">
        <v>4028</v>
      </c>
      <c r="E666" s="105" t="s">
        <v>4037</v>
      </c>
      <c r="F666" s="217"/>
      <c r="G666" s="105" t="s">
        <v>4028</v>
      </c>
    </row>
    <row r="667" spans="1:7" ht="24.9" customHeight="1">
      <c r="A667" s="106">
        <v>648</v>
      </c>
      <c r="B667" s="106" t="s">
        <v>2591</v>
      </c>
      <c r="C667" s="104">
        <v>0</v>
      </c>
      <c r="D667" s="106" t="s">
        <v>4028</v>
      </c>
      <c r="E667" s="106"/>
      <c r="F667" s="218"/>
      <c r="G667" s="106" t="s">
        <v>4028</v>
      </c>
    </row>
    <row r="668" spans="1:7" ht="24.9" customHeight="1">
      <c r="A668" s="105">
        <v>649</v>
      </c>
      <c r="B668" s="105" t="s">
        <v>2591</v>
      </c>
      <c r="C668" s="103">
        <v>0</v>
      </c>
      <c r="D668" s="105" t="s">
        <v>4028</v>
      </c>
      <c r="E668" s="105"/>
      <c r="F668" s="217"/>
      <c r="G668" s="105" t="s">
        <v>4028</v>
      </c>
    </row>
    <row r="669" spans="1:7" ht="24.9" customHeight="1">
      <c r="A669" s="106">
        <v>650</v>
      </c>
      <c r="B669" s="106" t="s">
        <v>2592</v>
      </c>
      <c r="C669" s="104">
        <v>0</v>
      </c>
      <c r="D669" s="106" t="s">
        <v>4028</v>
      </c>
      <c r="E669" s="106"/>
      <c r="F669" s="218"/>
      <c r="G669" s="106" t="s">
        <v>4028</v>
      </c>
    </row>
    <row r="670" spans="1:7" ht="24.9" customHeight="1">
      <c r="A670" s="105">
        <v>651</v>
      </c>
      <c r="B670" s="105" t="s">
        <v>2592</v>
      </c>
      <c r="C670" s="103">
        <v>0</v>
      </c>
      <c r="D670" s="105" t="s">
        <v>4028</v>
      </c>
      <c r="E670" s="105"/>
      <c r="F670" s="217"/>
      <c r="G670" s="105" t="s">
        <v>4028</v>
      </c>
    </row>
    <row r="671" spans="1:7" ht="24.9" customHeight="1">
      <c r="A671" s="106">
        <v>652</v>
      </c>
      <c r="B671" s="106" t="s">
        <v>2593</v>
      </c>
      <c r="C671" s="104">
        <v>0</v>
      </c>
      <c r="D671" s="106" t="s">
        <v>4028</v>
      </c>
      <c r="E671" s="106"/>
      <c r="F671" s="218"/>
      <c r="G671" s="106" t="s">
        <v>4028</v>
      </c>
    </row>
    <row r="672" spans="1:7" ht="24.9" customHeight="1">
      <c r="A672" s="105">
        <v>653</v>
      </c>
      <c r="B672" s="105" t="s">
        <v>2591</v>
      </c>
      <c r="C672" s="103">
        <v>0</v>
      </c>
      <c r="D672" s="105" t="s">
        <v>4028</v>
      </c>
      <c r="E672" s="105"/>
      <c r="F672" s="217"/>
      <c r="G672" s="105" t="s">
        <v>4028</v>
      </c>
    </row>
    <row r="673" spans="1:7" ht="24.9" customHeight="1">
      <c r="A673" s="106">
        <v>654</v>
      </c>
      <c r="B673" s="106" t="s">
        <v>2591</v>
      </c>
      <c r="C673" s="104">
        <v>0</v>
      </c>
      <c r="D673" s="106" t="s">
        <v>4028</v>
      </c>
      <c r="E673" s="106"/>
      <c r="F673" s="218"/>
      <c r="G673" s="106" t="s">
        <v>4028</v>
      </c>
    </row>
    <row r="674" spans="1:7" ht="24.9" customHeight="1">
      <c r="A674" s="105">
        <v>655</v>
      </c>
      <c r="B674" s="105" t="s">
        <v>2594</v>
      </c>
      <c r="C674" s="103">
        <v>0</v>
      </c>
      <c r="D674" s="105" t="s">
        <v>4028</v>
      </c>
      <c r="E674" s="105"/>
      <c r="F674" s="217"/>
      <c r="G674" s="105" t="s">
        <v>4028</v>
      </c>
    </row>
    <row r="675" spans="1:7" ht="24.9" customHeight="1">
      <c r="A675" s="106">
        <v>656</v>
      </c>
      <c r="B675" s="106" t="s">
        <v>2595</v>
      </c>
      <c r="C675" s="104">
        <v>0</v>
      </c>
      <c r="D675" s="106" t="s">
        <v>4028</v>
      </c>
      <c r="E675" s="106"/>
      <c r="F675" s="218"/>
      <c r="G675" s="106" t="s">
        <v>4028</v>
      </c>
    </row>
    <row r="676" spans="1:7" ht="24.9" customHeight="1">
      <c r="A676" s="105">
        <v>657</v>
      </c>
      <c r="B676" s="105" t="s">
        <v>2595</v>
      </c>
      <c r="C676" s="103">
        <v>0</v>
      </c>
      <c r="D676" s="105" t="s">
        <v>4028</v>
      </c>
      <c r="E676" s="105"/>
      <c r="F676" s="217"/>
      <c r="G676" s="105" t="s">
        <v>4028</v>
      </c>
    </row>
    <row r="677" spans="1:7" ht="24.9" customHeight="1">
      <c r="A677" s="106">
        <v>658</v>
      </c>
      <c r="B677" s="106" t="s">
        <v>2596</v>
      </c>
      <c r="C677" s="104">
        <v>0</v>
      </c>
      <c r="D677" s="106" t="s">
        <v>4028</v>
      </c>
      <c r="E677" s="106"/>
      <c r="F677" s="218"/>
      <c r="G677" s="106" t="s">
        <v>4028</v>
      </c>
    </row>
    <row r="678" spans="1:7" ht="24.9" customHeight="1">
      <c r="A678" s="105">
        <v>659</v>
      </c>
      <c r="B678" s="105" t="s">
        <v>2597</v>
      </c>
      <c r="C678" s="103">
        <v>0</v>
      </c>
      <c r="D678" s="105" t="s">
        <v>4028</v>
      </c>
      <c r="E678" s="105"/>
      <c r="F678" s="217"/>
      <c r="G678" s="105" t="s">
        <v>4028</v>
      </c>
    </row>
    <row r="679" spans="1:7" ht="24.9" customHeight="1">
      <c r="A679" s="106">
        <v>660</v>
      </c>
      <c r="B679" s="106" t="s">
        <v>4716</v>
      </c>
      <c r="C679" s="104" t="s">
        <v>4717</v>
      </c>
      <c r="D679" s="106" t="s">
        <v>3564</v>
      </c>
      <c r="E679" s="106" t="s">
        <v>3586</v>
      </c>
      <c r="F679" s="218">
        <v>451436466</v>
      </c>
      <c r="G679" s="106" t="s">
        <v>4029</v>
      </c>
    </row>
    <row r="680" spans="1:7" ht="24.9" customHeight="1">
      <c r="A680" s="105">
        <v>661</v>
      </c>
      <c r="B680" s="105" t="s">
        <v>7804</v>
      </c>
      <c r="C680" s="103">
        <v>21025</v>
      </c>
      <c r="D680" s="105" t="s">
        <v>8253</v>
      </c>
      <c r="E680" s="105" t="s">
        <v>3650</v>
      </c>
      <c r="F680" s="217"/>
      <c r="G680" s="105" t="s">
        <v>4029</v>
      </c>
    </row>
    <row r="681" spans="1:7" ht="24.9" customHeight="1">
      <c r="A681" s="106">
        <v>662</v>
      </c>
      <c r="B681" s="106" t="s">
        <v>7805</v>
      </c>
      <c r="C681" s="104">
        <v>881</v>
      </c>
      <c r="D681" s="106" t="s">
        <v>3564</v>
      </c>
      <c r="E681" s="106" t="s">
        <v>3658</v>
      </c>
      <c r="F681" s="218"/>
      <c r="G681" s="106" t="s">
        <v>4029</v>
      </c>
    </row>
    <row r="682" spans="1:7" ht="24.9" customHeight="1">
      <c r="A682" s="105">
        <v>663</v>
      </c>
      <c r="B682" s="105" t="s">
        <v>2612</v>
      </c>
      <c r="C682" s="103">
        <v>0</v>
      </c>
      <c r="D682" s="105" t="s">
        <v>4051</v>
      </c>
      <c r="E682" s="105" t="s">
        <v>771</v>
      </c>
      <c r="F682" s="217"/>
      <c r="G682" s="105" t="s">
        <v>4051</v>
      </c>
    </row>
    <row r="683" spans="1:7" ht="24.9" customHeight="1">
      <c r="A683" s="106">
        <v>664</v>
      </c>
      <c r="B683" s="106" t="s">
        <v>2610</v>
      </c>
      <c r="C683" s="104">
        <v>0</v>
      </c>
      <c r="D683" s="106" t="s">
        <v>4051</v>
      </c>
      <c r="E683" s="106" t="s">
        <v>4054</v>
      </c>
      <c r="F683" s="218"/>
      <c r="G683" s="106" t="s">
        <v>4051</v>
      </c>
    </row>
    <row r="684" spans="1:7" ht="24.9" customHeight="1">
      <c r="A684" s="105">
        <v>665</v>
      </c>
      <c r="B684" s="105" t="s">
        <v>4064</v>
      </c>
      <c r="C684" s="103">
        <v>0</v>
      </c>
      <c r="D684" s="105" t="s">
        <v>1298</v>
      </c>
      <c r="E684" s="105" t="s">
        <v>3579</v>
      </c>
      <c r="F684" s="217"/>
      <c r="G684" s="105" t="s">
        <v>3968</v>
      </c>
    </row>
    <row r="685" spans="1:7" ht="24.9" customHeight="1">
      <c r="A685" s="106">
        <v>666</v>
      </c>
      <c r="B685" s="106" t="s">
        <v>4065</v>
      </c>
      <c r="C685" s="104">
        <v>0</v>
      </c>
      <c r="D685" s="106" t="s">
        <v>1298</v>
      </c>
      <c r="E685" s="106" t="s">
        <v>766</v>
      </c>
      <c r="F685" s="218"/>
      <c r="G685" s="106" t="s">
        <v>3968</v>
      </c>
    </row>
    <row r="686" spans="1:7" ht="24.9" customHeight="1">
      <c r="A686" s="105">
        <v>667</v>
      </c>
      <c r="B686" s="105" t="s">
        <v>6819</v>
      </c>
      <c r="C686" s="103">
        <v>0</v>
      </c>
      <c r="D686" s="105" t="s">
        <v>1298</v>
      </c>
      <c r="E686" s="105" t="s">
        <v>4055</v>
      </c>
      <c r="F686" s="217"/>
      <c r="G686" s="105" t="s">
        <v>3968</v>
      </c>
    </row>
    <row r="687" spans="1:7" ht="24.9" customHeight="1">
      <c r="A687" s="106">
        <v>668</v>
      </c>
      <c r="B687" s="106" t="s">
        <v>4066</v>
      </c>
      <c r="C687" s="104">
        <v>0</v>
      </c>
      <c r="D687" s="106" t="s">
        <v>1298</v>
      </c>
      <c r="E687" s="106" t="s">
        <v>3650</v>
      </c>
      <c r="F687" s="218"/>
      <c r="G687" s="106" t="s">
        <v>3968</v>
      </c>
    </row>
    <row r="688" spans="1:7" ht="24.9" customHeight="1">
      <c r="A688" s="105">
        <v>669</v>
      </c>
      <c r="B688" s="105" t="s">
        <v>4067</v>
      </c>
      <c r="C688" s="103">
        <v>0</v>
      </c>
      <c r="D688" s="105" t="s">
        <v>1298</v>
      </c>
      <c r="E688" s="105" t="s">
        <v>4056</v>
      </c>
      <c r="F688" s="217"/>
      <c r="G688" s="105" t="s">
        <v>3968</v>
      </c>
    </row>
    <row r="689" spans="1:7" ht="24.9" customHeight="1">
      <c r="A689" s="106">
        <v>670</v>
      </c>
      <c r="B689" s="106" t="s">
        <v>4068</v>
      </c>
      <c r="C689" s="104">
        <v>0</v>
      </c>
      <c r="D689" s="106" t="s">
        <v>1298</v>
      </c>
      <c r="E689" s="106" t="s">
        <v>3360</v>
      </c>
      <c r="F689" s="218"/>
      <c r="G689" s="106" t="s">
        <v>3968</v>
      </c>
    </row>
    <row r="690" spans="1:7" ht="24.9" customHeight="1">
      <c r="A690" s="105">
        <v>671</v>
      </c>
      <c r="B690" s="105" t="s">
        <v>5772</v>
      </c>
      <c r="C690" s="103">
        <v>0</v>
      </c>
      <c r="D690" s="105" t="s">
        <v>1298</v>
      </c>
      <c r="E690" s="105" t="s">
        <v>5775</v>
      </c>
      <c r="F690" s="217"/>
      <c r="G690" s="105" t="s">
        <v>3968</v>
      </c>
    </row>
    <row r="691" spans="1:7" ht="24.9" customHeight="1">
      <c r="A691" s="106">
        <v>672</v>
      </c>
      <c r="B691" s="106" t="s">
        <v>5773</v>
      </c>
      <c r="C691" s="104">
        <v>0</v>
      </c>
      <c r="D691" s="106" t="s">
        <v>1298</v>
      </c>
      <c r="E691" s="106" t="s">
        <v>5775</v>
      </c>
      <c r="F691" s="218"/>
      <c r="G691" s="106" t="s">
        <v>3968</v>
      </c>
    </row>
    <row r="692" spans="1:7" ht="24.9" customHeight="1">
      <c r="A692" s="105">
        <v>673</v>
      </c>
      <c r="B692" s="105" t="s">
        <v>5774</v>
      </c>
      <c r="C692" s="103">
        <v>0</v>
      </c>
      <c r="D692" s="105" t="s">
        <v>1298</v>
      </c>
      <c r="E692" s="105" t="s">
        <v>5775</v>
      </c>
      <c r="F692" s="217"/>
      <c r="G692" s="105" t="s">
        <v>3968</v>
      </c>
    </row>
    <row r="693" spans="1:7" ht="24.9" customHeight="1">
      <c r="A693" s="106">
        <v>674</v>
      </c>
      <c r="B693" s="106" t="s">
        <v>4069</v>
      </c>
      <c r="C693" s="104">
        <v>0</v>
      </c>
      <c r="D693" s="106" t="s">
        <v>1298</v>
      </c>
      <c r="E693" s="106" t="s">
        <v>4057</v>
      </c>
      <c r="F693" s="218"/>
      <c r="G693" s="106" t="s">
        <v>3968</v>
      </c>
    </row>
    <row r="694" spans="1:7" ht="24.9" customHeight="1">
      <c r="A694" s="105">
        <v>675</v>
      </c>
      <c r="B694" s="105" t="s">
        <v>5584</v>
      </c>
      <c r="C694" s="103">
        <v>0</v>
      </c>
      <c r="D694" s="105" t="s">
        <v>899</v>
      </c>
      <c r="E694" s="105" t="s">
        <v>5586</v>
      </c>
      <c r="F694" s="217" t="s">
        <v>5585</v>
      </c>
      <c r="G694" s="105" t="s">
        <v>3968</v>
      </c>
    </row>
    <row r="695" spans="1:7" ht="24.9" customHeight="1">
      <c r="A695" s="106">
        <v>676</v>
      </c>
      <c r="B695" s="106" t="s">
        <v>4063</v>
      </c>
      <c r="C695" s="104">
        <v>0</v>
      </c>
      <c r="D695" s="106" t="s">
        <v>1298</v>
      </c>
      <c r="E695" s="106"/>
      <c r="F695" s="218"/>
      <c r="G695" s="106" t="s">
        <v>3968</v>
      </c>
    </row>
    <row r="696" spans="1:7" ht="24.9" customHeight="1">
      <c r="A696" s="105">
        <v>677</v>
      </c>
      <c r="B696" s="105" t="s">
        <v>5533</v>
      </c>
      <c r="C696" s="103">
        <v>0</v>
      </c>
      <c r="D696" s="105" t="s">
        <v>4645</v>
      </c>
      <c r="E696" s="105" t="s">
        <v>4645</v>
      </c>
      <c r="F696" s="217"/>
      <c r="G696" s="105" t="s">
        <v>3968</v>
      </c>
    </row>
    <row r="697" spans="1:7" ht="24.9" customHeight="1">
      <c r="A697" s="106">
        <v>678</v>
      </c>
      <c r="B697" s="106" t="s">
        <v>3129</v>
      </c>
      <c r="C697" s="104">
        <v>0</v>
      </c>
      <c r="D697" s="106" t="s">
        <v>1298</v>
      </c>
      <c r="E697" s="106"/>
      <c r="F697" s="218"/>
      <c r="G697" s="106" t="s">
        <v>3968</v>
      </c>
    </row>
    <row r="698" spans="1:7" ht="24.9" customHeight="1">
      <c r="A698" s="105">
        <v>679</v>
      </c>
      <c r="B698" s="105" t="s">
        <v>3149</v>
      </c>
      <c r="C698" s="103">
        <v>0</v>
      </c>
      <c r="D698" s="105" t="s">
        <v>1298</v>
      </c>
      <c r="E698" s="105"/>
      <c r="F698" s="217"/>
      <c r="G698" s="105" t="s">
        <v>3968</v>
      </c>
    </row>
    <row r="699" spans="1:7" ht="24.9" customHeight="1">
      <c r="A699" s="106">
        <v>680</v>
      </c>
      <c r="B699" s="106" t="s">
        <v>4585</v>
      </c>
      <c r="C699" s="104">
        <v>0</v>
      </c>
      <c r="D699" s="106" t="s">
        <v>1298</v>
      </c>
      <c r="E699" s="106" t="s">
        <v>770</v>
      </c>
      <c r="F699" s="218"/>
      <c r="G699" s="106" t="s">
        <v>3968</v>
      </c>
    </row>
    <row r="700" spans="1:7" ht="24.9" customHeight="1">
      <c r="A700" s="105">
        <v>681</v>
      </c>
      <c r="B700" s="105" t="s">
        <v>4586</v>
      </c>
      <c r="C700" s="103">
        <v>0</v>
      </c>
      <c r="D700" s="105" t="s">
        <v>1298</v>
      </c>
      <c r="E700" s="105" t="s">
        <v>3596</v>
      </c>
      <c r="F700" s="217"/>
      <c r="G700" s="105" t="s">
        <v>3968</v>
      </c>
    </row>
    <row r="701" spans="1:7" ht="24.9" customHeight="1">
      <c r="A701" s="106">
        <v>682</v>
      </c>
      <c r="B701" s="106" t="s">
        <v>4082</v>
      </c>
      <c r="C701" s="104">
        <v>0</v>
      </c>
      <c r="D701" s="106" t="s">
        <v>1298</v>
      </c>
      <c r="E701" s="106" t="s">
        <v>4587</v>
      </c>
      <c r="F701" s="218"/>
      <c r="G701" s="106" t="s">
        <v>3968</v>
      </c>
    </row>
    <row r="702" spans="1:7" ht="24.9" customHeight="1">
      <c r="A702" s="105">
        <v>683</v>
      </c>
      <c r="B702" s="105" t="s">
        <v>4059</v>
      </c>
      <c r="C702" s="103">
        <v>0</v>
      </c>
      <c r="D702" s="105" t="s">
        <v>1298</v>
      </c>
      <c r="E702" s="105" t="s">
        <v>4058</v>
      </c>
      <c r="F702" s="217"/>
      <c r="G702" s="105" t="s">
        <v>3968</v>
      </c>
    </row>
    <row r="703" spans="1:7" ht="24.9" customHeight="1">
      <c r="A703" s="106">
        <v>684</v>
      </c>
      <c r="B703" s="106" t="s">
        <v>4062</v>
      </c>
      <c r="C703" s="104">
        <v>0</v>
      </c>
      <c r="D703" s="106" t="s">
        <v>1298</v>
      </c>
      <c r="E703" s="106" t="s">
        <v>4060</v>
      </c>
      <c r="F703" s="218"/>
      <c r="G703" s="106" t="s">
        <v>3968</v>
      </c>
    </row>
    <row r="704" spans="1:7" ht="24.9" customHeight="1">
      <c r="A704" s="106"/>
      <c r="B704" s="106" t="s">
        <v>8607</v>
      </c>
      <c r="C704" s="104"/>
      <c r="D704" s="106" t="s">
        <v>7049</v>
      </c>
      <c r="E704" s="106"/>
      <c r="F704" s="218" t="s">
        <v>8608</v>
      </c>
      <c r="G704" s="106" t="s">
        <v>8602</v>
      </c>
    </row>
    <row r="705" spans="1:7" ht="24.9" customHeight="1">
      <c r="A705" s="105">
        <v>685</v>
      </c>
      <c r="B705" s="105" t="s">
        <v>5156</v>
      </c>
      <c r="C705" s="103">
        <v>0</v>
      </c>
      <c r="D705" s="105" t="s">
        <v>1298</v>
      </c>
      <c r="E705" s="105" t="s">
        <v>5157</v>
      </c>
      <c r="F705" s="217">
        <v>1091313776</v>
      </c>
      <c r="G705" s="105" t="s">
        <v>3968</v>
      </c>
    </row>
    <row r="706" spans="1:7" ht="24.9" customHeight="1">
      <c r="A706" s="106">
        <v>686</v>
      </c>
      <c r="B706" s="106" t="s">
        <v>4061</v>
      </c>
      <c r="C706" s="104">
        <v>0</v>
      </c>
      <c r="D706" s="106" t="s">
        <v>1298</v>
      </c>
      <c r="E706" s="106" t="s">
        <v>3658</v>
      </c>
      <c r="F706" s="218"/>
      <c r="G706" s="106" t="s">
        <v>3968</v>
      </c>
    </row>
    <row r="707" spans="1:7" ht="24.9" customHeight="1">
      <c r="A707" s="105">
        <v>687</v>
      </c>
      <c r="B707" s="105" t="s">
        <v>4657</v>
      </c>
      <c r="C707" s="103">
        <v>0</v>
      </c>
      <c r="D707" s="105" t="s">
        <v>1298</v>
      </c>
      <c r="E707" s="105" t="s">
        <v>4658</v>
      </c>
      <c r="F707" s="217"/>
      <c r="G707" s="105" t="s">
        <v>3968</v>
      </c>
    </row>
    <row r="708" spans="1:7" ht="24.9" customHeight="1">
      <c r="A708" s="106">
        <v>688</v>
      </c>
      <c r="B708" s="106" t="s">
        <v>4659</v>
      </c>
      <c r="C708" s="104">
        <v>0</v>
      </c>
      <c r="D708" s="106" t="s">
        <v>1298</v>
      </c>
      <c r="E708" s="106" t="s">
        <v>4660</v>
      </c>
      <c r="F708" s="218">
        <v>3071887817</v>
      </c>
      <c r="G708" s="106" t="s">
        <v>3968</v>
      </c>
    </row>
    <row r="709" spans="1:7" ht="24.9" customHeight="1">
      <c r="A709" s="105">
        <v>689</v>
      </c>
      <c r="B709" s="105" t="s">
        <v>4074</v>
      </c>
      <c r="C709" s="103">
        <v>0</v>
      </c>
      <c r="D709" s="105" t="s">
        <v>4075</v>
      </c>
      <c r="E709" s="105" t="s">
        <v>4076</v>
      </c>
      <c r="F709" s="217"/>
      <c r="G709" s="105" t="s">
        <v>4077</v>
      </c>
    </row>
    <row r="710" spans="1:7" ht="24.9" customHeight="1">
      <c r="A710" s="106">
        <v>690</v>
      </c>
      <c r="B710" s="106" t="s">
        <v>4082</v>
      </c>
      <c r="C710" s="104">
        <v>0</v>
      </c>
      <c r="D710" s="106" t="s">
        <v>1298</v>
      </c>
      <c r="E710" s="106" t="s">
        <v>4083</v>
      </c>
      <c r="F710" s="218"/>
      <c r="G710" s="106" t="s">
        <v>3968</v>
      </c>
    </row>
    <row r="711" spans="1:7" ht="24.9" customHeight="1">
      <c r="A711" s="105">
        <v>691</v>
      </c>
      <c r="B711" s="105" t="s">
        <v>4125</v>
      </c>
      <c r="C711" s="103">
        <v>4020101</v>
      </c>
      <c r="D711" s="105" t="s">
        <v>3564</v>
      </c>
      <c r="E711" s="105" t="s">
        <v>4126</v>
      </c>
      <c r="F711" s="217">
        <v>1550670581</v>
      </c>
      <c r="G711" s="105" t="s">
        <v>3925</v>
      </c>
    </row>
    <row r="712" spans="1:7" ht="24.9" customHeight="1">
      <c r="A712" s="106">
        <v>692</v>
      </c>
      <c r="B712" s="106" t="s">
        <v>4572</v>
      </c>
      <c r="C712" s="104"/>
      <c r="D712" s="106" t="s">
        <v>4573</v>
      </c>
      <c r="E712" s="106" t="s">
        <v>4573</v>
      </c>
      <c r="F712" s="218"/>
      <c r="G712" s="106" t="s">
        <v>4584</v>
      </c>
    </row>
    <row r="713" spans="1:7" ht="24.9" customHeight="1">
      <c r="A713" s="105">
        <v>693</v>
      </c>
      <c r="B713" s="105" t="s">
        <v>4213</v>
      </c>
      <c r="C713" s="103">
        <v>0</v>
      </c>
      <c r="D713" s="105" t="s">
        <v>3572</v>
      </c>
      <c r="E713" s="105" t="s">
        <v>3359</v>
      </c>
      <c r="F713" s="217">
        <v>2549786051</v>
      </c>
      <c r="G713" s="105" t="s">
        <v>3381</v>
      </c>
    </row>
    <row r="714" spans="1:7" ht="24.9" customHeight="1">
      <c r="A714" s="106">
        <v>694</v>
      </c>
      <c r="B714" s="106" t="s">
        <v>1281</v>
      </c>
      <c r="C714" s="104">
        <v>0</v>
      </c>
      <c r="D714" s="106" t="s">
        <v>1281</v>
      </c>
      <c r="E714" s="106" t="s">
        <v>1281</v>
      </c>
      <c r="F714" s="218"/>
      <c r="G714" s="106" t="s">
        <v>4316</v>
      </c>
    </row>
    <row r="715" spans="1:7" ht="24.9" customHeight="1">
      <c r="A715" s="105">
        <v>695</v>
      </c>
      <c r="B715" s="105" t="s">
        <v>4317</v>
      </c>
      <c r="C715" s="103">
        <v>100580</v>
      </c>
      <c r="D715" s="105" t="s">
        <v>3572</v>
      </c>
      <c r="E715" s="105" t="s">
        <v>3650</v>
      </c>
      <c r="F715" s="217">
        <v>2992574015</v>
      </c>
      <c r="G715" s="105" t="s">
        <v>3381</v>
      </c>
    </row>
    <row r="716" spans="1:7" ht="24.9" customHeight="1">
      <c r="A716" s="106">
        <v>696</v>
      </c>
      <c r="B716" s="106" t="s">
        <v>4698</v>
      </c>
      <c r="C716" s="104">
        <v>0</v>
      </c>
      <c r="D716" s="106" t="s">
        <v>3572</v>
      </c>
      <c r="E716" s="106" t="s">
        <v>3358</v>
      </c>
      <c r="F716" s="218">
        <v>1292926279</v>
      </c>
      <c r="G716" s="106" t="s">
        <v>3381</v>
      </c>
    </row>
    <row r="717" spans="1:7" ht="24.9" customHeight="1">
      <c r="A717" s="105">
        <v>697</v>
      </c>
      <c r="B717" s="105" t="s">
        <v>4325</v>
      </c>
      <c r="C717" s="103">
        <v>0</v>
      </c>
      <c r="D717" s="105">
        <v>0</v>
      </c>
      <c r="E717" s="105">
        <v>0</v>
      </c>
      <c r="F717" s="217">
        <v>0</v>
      </c>
      <c r="G717" s="105" t="s">
        <v>4325</v>
      </c>
    </row>
    <row r="718" spans="1:7" ht="24.9" customHeight="1">
      <c r="A718" s="106">
        <v>698</v>
      </c>
      <c r="B718" s="106" t="s">
        <v>4338</v>
      </c>
      <c r="C718" s="104">
        <v>0</v>
      </c>
      <c r="D718" s="106">
        <v>0</v>
      </c>
      <c r="E718" s="106">
        <v>0</v>
      </c>
      <c r="F718" s="218">
        <v>0</v>
      </c>
      <c r="G718" s="106" t="s">
        <v>4338</v>
      </c>
    </row>
    <row r="719" spans="1:7" ht="24.9" customHeight="1">
      <c r="A719" s="105">
        <v>699</v>
      </c>
      <c r="B719" s="105" t="s">
        <v>7361</v>
      </c>
      <c r="C719" s="103">
        <v>0</v>
      </c>
      <c r="D719" s="105" t="s">
        <v>3588</v>
      </c>
      <c r="E719" s="105" t="s">
        <v>3357</v>
      </c>
      <c r="F719" s="217"/>
      <c r="G719" s="105" t="s">
        <v>3381</v>
      </c>
    </row>
    <row r="720" spans="1:7" ht="24.9" customHeight="1">
      <c r="A720" s="106">
        <v>700</v>
      </c>
      <c r="B720" s="106" t="s">
        <v>7685</v>
      </c>
      <c r="C720" s="104">
        <v>0</v>
      </c>
      <c r="D720" s="106" t="s">
        <v>3490</v>
      </c>
      <c r="E720" s="106" t="s">
        <v>3773</v>
      </c>
      <c r="F720" s="218"/>
      <c r="G720" s="106" t="s">
        <v>3381</v>
      </c>
    </row>
    <row r="721" spans="1:7" ht="24.9" customHeight="1">
      <c r="A721" s="105">
        <v>701</v>
      </c>
      <c r="B721" s="105" t="s">
        <v>4700</v>
      </c>
      <c r="C721" s="103">
        <v>0</v>
      </c>
      <c r="D721" s="105" t="s">
        <v>3490</v>
      </c>
      <c r="E721" s="105">
        <v>0</v>
      </c>
      <c r="F721" s="217">
        <v>0</v>
      </c>
      <c r="G721" s="105" t="s">
        <v>3381</v>
      </c>
    </row>
    <row r="722" spans="1:7" ht="24.9" customHeight="1">
      <c r="A722" s="106">
        <v>702</v>
      </c>
      <c r="B722" s="106" t="s">
        <v>4782</v>
      </c>
      <c r="C722" s="104">
        <v>20524</v>
      </c>
      <c r="D722" s="106" t="s">
        <v>8253</v>
      </c>
      <c r="E722" s="106" t="s">
        <v>4781</v>
      </c>
      <c r="F722" s="218">
        <v>3060536619</v>
      </c>
      <c r="G722" s="106" t="s">
        <v>3381</v>
      </c>
    </row>
    <row r="723" spans="1:7" ht="24.9" customHeight="1">
      <c r="A723" s="105">
        <v>703</v>
      </c>
      <c r="B723" s="105" t="s">
        <v>4686</v>
      </c>
      <c r="C723" s="103">
        <v>0</v>
      </c>
      <c r="D723" s="105" t="s">
        <v>4885</v>
      </c>
      <c r="E723" s="105" t="s">
        <v>4685</v>
      </c>
      <c r="F723" s="217"/>
      <c r="G723" s="105" t="s">
        <v>4883</v>
      </c>
    </row>
    <row r="724" spans="1:7" ht="24.9" customHeight="1">
      <c r="A724" s="106">
        <v>704</v>
      </c>
      <c r="B724" s="106" t="s">
        <v>3364</v>
      </c>
      <c r="C724" s="104">
        <v>4001212</v>
      </c>
      <c r="D724" s="106" t="s">
        <v>3564</v>
      </c>
      <c r="E724" s="106" t="s">
        <v>3363</v>
      </c>
      <c r="F724" s="218"/>
      <c r="G724" s="106" t="s">
        <v>4883</v>
      </c>
    </row>
    <row r="725" spans="1:7" ht="24.9" customHeight="1">
      <c r="A725" s="105">
        <v>705</v>
      </c>
      <c r="B725" s="105" t="s">
        <v>3362</v>
      </c>
      <c r="C725" s="103">
        <v>4000102</v>
      </c>
      <c r="D725" s="105" t="s">
        <v>3564</v>
      </c>
      <c r="E725" s="105" t="s">
        <v>771</v>
      </c>
      <c r="F725" s="217"/>
      <c r="G725" s="105" t="s">
        <v>4883</v>
      </c>
    </row>
    <row r="726" spans="1:7" ht="24.9" customHeight="1">
      <c r="A726" s="106">
        <v>706</v>
      </c>
      <c r="B726" s="106" t="s">
        <v>4682</v>
      </c>
      <c r="C726" s="104">
        <v>4010105</v>
      </c>
      <c r="D726" s="106" t="s">
        <v>3564</v>
      </c>
      <c r="E726" s="106" t="s">
        <v>4683</v>
      </c>
      <c r="F726" s="218"/>
      <c r="G726" s="106" t="s">
        <v>4883</v>
      </c>
    </row>
    <row r="727" spans="1:7" ht="24.9" customHeight="1">
      <c r="A727" s="105">
        <v>707</v>
      </c>
      <c r="B727" s="105" t="s">
        <v>4672</v>
      </c>
      <c r="C727" s="103">
        <v>4010303</v>
      </c>
      <c r="D727" s="105" t="s">
        <v>3564</v>
      </c>
      <c r="E727" s="105" t="s">
        <v>4671</v>
      </c>
      <c r="F727" s="217"/>
      <c r="G727" s="105" t="s">
        <v>4883</v>
      </c>
    </row>
    <row r="728" spans="1:7" ht="24.9" customHeight="1">
      <c r="A728" s="106">
        <v>708</v>
      </c>
      <c r="B728" s="106" t="s">
        <v>503</v>
      </c>
      <c r="C728" s="104">
        <v>6300</v>
      </c>
      <c r="D728" s="106" t="s">
        <v>3564</v>
      </c>
      <c r="E728" s="106" t="s">
        <v>4681</v>
      </c>
      <c r="F728" s="218"/>
      <c r="G728" s="106" t="s">
        <v>6211</v>
      </c>
    </row>
    <row r="729" spans="1:7" ht="24.9" customHeight="1">
      <c r="A729" s="105">
        <v>709</v>
      </c>
      <c r="B729" s="105" t="s">
        <v>3366</v>
      </c>
      <c r="C729" s="103">
        <v>4010702</v>
      </c>
      <c r="D729" s="105" t="s">
        <v>3564</v>
      </c>
      <c r="E729" s="105" t="s">
        <v>4680</v>
      </c>
      <c r="F729" s="217"/>
      <c r="G729" s="105" t="s">
        <v>4883</v>
      </c>
    </row>
    <row r="730" spans="1:7" ht="24.9" customHeight="1">
      <c r="A730" s="106">
        <v>710</v>
      </c>
      <c r="B730" s="106" t="s">
        <v>5252</v>
      </c>
      <c r="C730" s="104">
        <v>20225</v>
      </c>
      <c r="D730" s="106" t="s">
        <v>8253</v>
      </c>
      <c r="E730" s="106" t="s">
        <v>3567</v>
      </c>
      <c r="F730" s="218"/>
      <c r="G730" s="106" t="s">
        <v>4883</v>
      </c>
    </row>
    <row r="731" spans="1:7" ht="24.9" customHeight="1">
      <c r="A731" s="105">
        <v>711</v>
      </c>
      <c r="B731" s="105" t="s">
        <v>5253</v>
      </c>
      <c r="C731" s="103">
        <v>20608</v>
      </c>
      <c r="D731" s="105" t="s">
        <v>8253</v>
      </c>
      <c r="E731" s="105" t="s">
        <v>3567</v>
      </c>
      <c r="F731" s="217"/>
      <c r="G731" s="105" t="s">
        <v>4883</v>
      </c>
    </row>
    <row r="732" spans="1:7" ht="24.9" customHeight="1">
      <c r="A732" s="106">
        <v>712</v>
      </c>
      <c r="B732" s="106" t="s">
        <v>3367</v>
      </c>
      <c r="C732" s="104">
        <v>4010310</v>
      </c>
      <c r="D732" s="106" t="s">
        <v>3564</v>
      </c>
      <c r="E732" s="106" t="s">
        <v>2608</v>
      </c>
      <c r="F732" s="218"/>
      <c r="G732" s="106" t="s">
        <v>4883</v>
      </c>
    </row>
    <row r="733" spans="1:7" ht="24.9" customHeight="1">
      <c r="A733" s="105">
        <v>713</v>
      </c>
      <c r="B733" s="105" t="s">
        <v>3207</v>
      </c>
      <c r="C733" s="103">
        <v>4011103</v>
      </c>
      <c r="D733" s="105" t="s">
        <v>3564</v>
      </c>
      <c r="E733" s="105" t="s">
        <v>2609</v>
      </c>
      <c r="F733" s="217"/>
      <c r="G733" s="105" t="s">
        <v>4883</v>
      </c>
    </row>
    <row r="734" spans="1:7" ht="24.9" customHeight="1">
      <c r="A734" s="106">
        <v>714</v>
      </c>
      <c r="B734" s="106" t="s">
        <v>425</v>
      </c>
      <c r="C734" s="104">
        <v>0</v>
      </c>
      <c r="D734" s="106"/>
      <c r="E734" s="106" t="s">
        <v>4671</v>
      </c>
      <c r="F734" s="218"/>
      <c r="G734" s="106" t="s">
        <v>4883</v>
      </c>
    </row>
    <row r="735" spans="1:7" ht="24.9" customHeight="1">
      <c r="A735" s="105">
        <v>715</v>
      </c>
      <c r="B735" s="105" t="s">
        <v>3693</v>
      </c>
      <c r="C735" s="103">
        <v>4011004</v>
      </c>
      <c r="D735" s="105" t="s">
        <v>3564</v>
      </c>
      <c r="E735" s="105" t="s">
        <v>3597</v>
      </c>
      <c r="F735" s="217"/>
      <c r="G735" s="105" t="s">
        <v>4883</v>
      </c>
    </row>
    <row r="736" spans="1:7" ht="24.9" customHeight="1">
      <c r="A736" s="106">
        <v>716</v>
      </c>
      <c r="B736" s="106" t="s">
        <v>3368</v>
      </c>
      <c r="C736" s="104">
        <v>4010703</v>
      </c>
      <c r="D736" s="106" t="s">
        <v>3564</v>
      </c>
      <c r="E736" s="106" t="s">
        <v>770</v>
      </c>
      <c r="F736" s="218"/>
      <c r="G736" s="106" t="s">
        <v>4883</v>
      </c>
    </row>
    <row r="737" spans="1:7" ht="24.9" customHeight="1">
      <c r="A737" s="105">
        <v>717</v>
      </c>
      <c r="B737" s="105" t="s">
        <v>4677</v>
      </c>
      <c r="C737" s="103">
        <v>4010313</v>
      </c>
      <c r="D737" s="105" t="s">
        <v>3564</v>
      </c>
      <c r="E737" s="105" t="s">
        <v>4678</v>
      </c>
      <c r="F737" s="217"/>
      <c r="G737" s="105" t="s">
        <v>4883</v>
      </c>
    </row>
    <row r="738" spans="1:7" ht="24.9" customHeight="1">
      <c r="A738" s="106">
        <v>718</v>
      </c>
      <c r="B738" s="106" t="s">
        <v>6210</v>
      </c>
      <c r="C738" s="104">
        <v>4010404</v>
      </c>
      <c r="D738" s="106" t="s">
        <v>3564</v>
      </c>
      <c r="E738" s="106" t="s">
        <v>770</v>
      </c>
      <c r="F738" s="218"/>
      <c r="G738" s="106" t="s">
        <v>6211</v>
      </c>
    </row>
    <row r="739" spans="1:7" ht="24.9" customHeight="1">
      <c r="A739" s="105">
        <v>719</v>
      </c>
      <c r="B739" s="105" t="s">
        <v>2141</v>
      </c>
      <c r="C739" s="103">
        <v>1826</v>
      </c>
      <c r="D739" s="105" t="s">
        <v>3564</v>
      </c>
      <c r="E739" s="105" t="s">
        <v>3617</v>
      </c>
      <c r="F739" s="217"/>
      <c r="G739" s="105" t="s">
        <v>4883</v>
      </c>
    </row>
    <row r="740" spans="1:7" ht="24.9" customHeight="1">
      <c r="A740" s="106">
        <v>720</v>
      </c>
      <c r="B740" s="106" t="s">
        <v>4684</v>
      </c>
      <c r="C740" s="104">
        <v>0</v>
      </c>
      <c r="D740" s="106" t="s">
        <v>4885</v>
      </c>
      <c r="E740" s="106" t="s">
        <v>4681</v>
      </c>
      <c r="F740" s="218"/>
      <c r="G740" s="106" t="s">
        <v>4883</v>
      </c>
    </row>
    <row r="741" spans="1:7" ht="24.9" customHeight="1">
      <c r="A741" s="105">
        <v>721</v>
      </c>
      <c r="B741" s="105" t="s">
        <v>2203</v>
      </c>
      <c r="C741" s="103">
        <v>4010902</v>
      </c>
      <c r="D741" s="105" t="s">
        <v>3564</v>
      </c>
      <c r="E741" s="105" t="s">
        <v>4685</v>
      </c>
      <c r="F741" s="217"/>
      <c r="G741" s="105" t="s">
        <v>4883</v>
      </c>
    </row>
    <row r="742" spans="1:7" ht="24.9" customHeight="1">
      <c r="A742" s="106">
        <v>722</v>
      </c>
      <c r="B742" s="106" t="s">
        <v>2890</v>
      </c>
      <c r="C742" s="104">
        <v>4011009</v>
      </c>
      <c r="D742" s="106" t="s">
        <v>3564</v>
      </c>
      <c r="E742" s="106" t="s">
        <v>4680</v>
      </c>
      <c r="F742" s="218"/>
      <c r="G742" s="106" t="s">
        <v>4883</v>
      </c>
    </row>
    <row r="743" spans="1:7" ht="24.9" customHeight="1">
      <c r="A743" s="105">
        <v>723</v>
      </c>
      <c r="B743" s="105" t="s">
        <v>4679</v>
      </c>
      <c r="C743" s="103">
        <v>4011008</v>
      </c>
      <c r="D743" s="105" t="s">
        <v>3564</v>
      </c>
      <c r="E743" s="105" t="s">
        <v>4678</v>
      </c>
      <c r="F743" s="217"/>
      <c r="G743" s="105" t="s">
        <v>6131</v>
      </c>
    </row>
    <row r="744" spans="1:7" ht="24.9" customHeight="1">
      <c r="A744" s="106">
        <v>724</v>
      </c>
      <c r="B744" s="106" t="s">
        <v>4674</v>
      </c>
      <c r="C744" s="104">
        <v>20592</v>
      </c>
      <c r="D744" s="106" t="s">
        <v>8253</v>
      </c>
      <c r="E744" s="106" t="s">
        <v>4671</v>
      </c>
      <c r="F744" s="218"/>
      <c r="G744" s="106" t="s">
        <v>4883</v>
      </c>
    </row>
    <row r="745" spans="1:7" ht="24.9" customHeight="1">
      <c r="A745" s="105">
        <v>725</v>
      </c>
      <c r="B745" s="105" t="s">
        <v>4551</v>
      </c>
      <c r="C745" s="103">
        <v>20590</v>
      </c>
      <c r="D745" s="105" t="s">
        <v>8253</v>
      </c>
      <c r="E745" s="105" t="s">
        <v>3361</v>
      </c>
      <c r="F745" s="217"/>
      <c r="G745" s="105" t="s">
        <v>4883</v>
      </c>
    </row>
    <row r="746" spans="1:7" ht="24.9" customHeight="1">
      <c r="A746" s="106">
        <v>726</v>
      </c>
      <c r="B746" s="106" t="s">
        <v>4254</v>
      </c>
      <c r="C746" s="104">
        <v>20601</v>
      </c>
      <c r="D746" s="106" t="s">
        <v>8253</v>
      </c>
      <c r="E746" s="106" t="s">
        <v>771</v>
      </c>
      <c r="F746" s="218"/>
      <c r="G746" s="106" t="s">
        <v>4883</v>
      </c>
    </row>
    <row r="747" spans="1:7" ht="24.9" customHeight="1">
      <c r="A747" s="105">
        <v>727</v>
      </c>
      <c r="B747" s="105" t="s">
        <v>4662</v>
      </c>
      <c r="C747" s="103">
        <v>20664</v>
      </c>
      <c r="D747" s="105" t="s">
        <v>8253</v>
      </c>
      <c r="E747" s="105" t="s">
        <v>4663</v>
      </c>
      <c r="F747" s="217"/>
      <c r="G747" s="105" t="s">
        <v>4883</v>
      </c>
    </row>
    <row r="748" spans="1:7" ht="24.9" customHeight="1">
      <c r="A748" s="106">
        <v>728</v>
      </c>
      <c r="B748" s="106" t="s">
        <v>4665</v>
      </c>
      <c r="C748" s="104">
        <v>20669</v>
      </c>
      <c r="D748" s="106" t="s">
        <v>8253</v>
      </c>
      <c r="E748" s="106" t="s">
        <v>3773</v>
      </c>
      <c r="F748" s="218"/>
      <c r="G748" s="106" t="s">
        <v>4883</v>
      </c>
    </row>
    <row r="749" spans="1:7" ht="24.9" customHeight="1">
      <c r="A749" s="105">
        <v>729</v>
      </c>
      <c r="B749" s="105" t="s">
        <v>4667</v>
      </c>
      <c r="C749" s="103">
        <v>20655</v>
      </c>
      <c r="D749" s="105" t="s">
        <v>8253</v>
      </c>
      <c r="E749" s="105" t="s">
        <v>3773</v>
      </c>
      <c r="F749" s="217"/>
      <c r="G749" s="105" t="s">
        <v>4883</v>
      </c>
    </row>
    <row r="750" spans="1:7" ht="24.9" customHeight="1">
      <c r="A750" s="106">
        <v>730</v>
      </c>
      <c r="B750" s="106" t="s">
        <v>4688</v>
      </c>
      <c r="C750" s="104"/>
      <c r="D750" s="106"/>
      <c r="E750" s="106" t="s">
        <v>4671</v>
      </c>
      <c r="F750" s="218"/>
      <c r="G750" s="106" t="s">
        <v>4883</v>
      </c>
    </row>
    <row r="751" spans="1:7" ht="24.9" customHeight="1">
      <c r="A751" s="105">
        <v>731</v>
      </c>
      <c r="B751" s="105" t="s">
        <v>3367</v>
      </c>
      <c r="C751" s="103">
        <v>4010310</v>
      </c>
      <c r="D751" s="105" t="s">
        <v>8253</v>
      </c>
      <c r="E751" s="105" t="s">
        <v>4855</v>
      </c>
      <c r="F751" s="217"/>
      <c r="G751" s="105" t="s">
        <v>4883</v>
      </c>
    </row>
    <row r="752" spans="1:7" ht="24.9" customHeight="1">
      <c r="A752" s="106">
        <v>732</v>
      </c>
      <c r="B752" s="106" t="s">
        <v>4879</v>
      </c>
      <c r="C752" s="104">
        <v>20647</v>
      </c>
      <c r="D752" s="106" t="s">
        <v>8253</v>
      </c>
      <c r="E752" s="106" t="s">
        <v>773</v>
      </c>
      <c r="F752" s="218"/>
      <c r="G752" s="106" t="s">
        <v>4883</v>
      </c>
    </row>
    <row r="753" spans="1:7" ht="24.9" customHeight="1">
      <c r="A753" s="105">
        <v>733</v>
      </c>
      <c r="B753" s="105" t="s">
        <v>4880</v>
      </c>
      <c r="C753" s="103"/>
      <c r="D753" s="105"/>
      <c r="E753" s="105" t="s">
        <v>4856</v>
      </c>
      <c r="F753" s="217"/>
      <c r="G753" s="105" t="s">
        <v>4883</v>
      </c>
    </row>
    <row r="754" spans="1:7" ht="24.9" customHeight="1">
      <c r="A754" s="106">
        <v>734</v>
      </c>
      <c r="B754" s="106" t="s">
        <v>5463</v>
      </c>
      <c r="C754" s="104">
        <v>20591</v>
      </c>
      <c r="D754" s="106" t="s">
        <v>8253</v>
      </c>
      <c r="E754" s="106" t="s">
        <v>3573</v>
      </c>
      <c r="F754" s="218"/>
      <c r="G754" s="106" t="s">
        <v>4883</v>
      </c>
    </row>
    <row r="755" spans="1:7" ht="24.9" customHeight="1">
      <c r="A755" s="105">
        <v>735</v>
      </c>
      <c r="B755" s="105" t="s">
        <v>5464</v>
      </c>
      <c r="C755" s="103">
        <v>4020708</v>
      </c>
      <c r="D755" s="105" t="s">
        <v>3564</v>
      </c>
      <c r="E755" s="105" t="s">
        <v>5466</v>
      </c>
      <c r="F755" s="217"/>
      <c r="G755" s="105" t="s">
        <v>4883</v>
      </c>
    </row>
    <row r="756" spans="1:7" ht="24.9" customHeight="1">
      <c r="A756" s="106">
        <v>736</v>
      </c>
      <c r="B756" s="106" t="s">
        <v>5465</v>
      </c>
      <c r="C756" s="104">
        <v>20600</v>
      </c>
      <c r="D756" s="106" t="s">
        <v>8253</v>
      </c>
      <c r="E756" s="106" t="s">
        <v>5467</v>
      </c>
      <c r="F756" s="218"/>
      <c r="G756" s="106" t="s">
        <v>4883</v>
      </c>
    </row>
    <row r="757" spans="1:7" ht="24.9" customHeight="1">
      <c r="A757" s="105">
        <v>737</v>
      </c>
      <c r="B757" s="105" t="s">
        <v>5012</v>
      </c>
      <c r="C757" s="103">
        <v>20595</v>
      </c>
      <c r="D757" s="105" t="s">
        <v>8253</v>
      </c>
      <c r="E757" s="105" t="s">
        <v>2857</v>
      </c>
      <c r="F757" s="217">
        <v>2020442566</v>
      </c>
      <c r="G757" s="105" t="s">
        <v>4883</v>
      </c>
    </row>
    <row r="758" spans="1:7" ht="24.9" customHeight="1">
      <c r="A758" s="106">
        <v>738</v>
      </c>
      <c r="B758" s="106" t="s">
        <v>1968</v>
      </c>
      <c r="C758" s="104">
        <v>0</v>
      </c>
      <c r="D758" s="106" t="s">
        <v>4886</v>
      </c>
      <c r="E758" s="106" t="s">
        <v>1969</v>
      </c>
      <c r="F758" s="218"/>
      <c r="G758" s="106" t="s">
        <v>4884</v>
      </c>
    </row>
    <row r="759" spans="1:7" ht="24.9" customHeight="1">
      <c r="A759" s="105">
        <v>739</v>
      </c>
      <c r="B759" s="105" t="s">
        <v>4102</v>
      </c>
      <c r="C759" s="103">
        <v>0</v>
      </c>
      <c r="D759" s="105" t="s">
        <v>4886</v>
      </c>
      <c r="E759" s="105" t="s">
        <v>4691</v>
      </c>
      <c r="F759" s="217"/>
      <c r="G759" s="105" t="s">
        <v>4884</v>
      </c>
    </row>
    <row r="760" spans="1:7" ht="24.9" customHeight="1">
      <c r="A760" s="106">
        <v>740</v>
      </c>
      <c r="B760" s="106" t="s">
        <v>4105</v>
      </c>
      <c r="C760" s="104">
        <v>0</v>
      </c>
      <c r="D760" s="106" t="s">
        <v>4886</v>
      </c>
      <c r="E760" s="106" t="s">
        <v>4691</v>
      </c>
      <c r="F760" s="218"/>
      <c r="G760" s="106" t="s">
        <v>4884</v>
      </c>
    </row>
    <row r="761" spans="1:7" ht="24.9" customHeight="1">
      <c r="A761" s="105">
        <v>741</v>
      </c>
      <c r="B761" s="105" t="s">
        <v>4692</v>
      </c>
      <c r="C761" s="103">
        <v>0</v>
      </c>
      <c r="D761" s="105" t="s">
        <v>4886</v>
      </c>
      <c r="E761" s="105" t="s">
        <v>4691</v>
      </c>
      <c r="F761" s="217"/>
      <c r="G761" s="105" t="s">
        <v>4884</v>
      </c>
    </row>
    <row r="762" spans="1:7" ht="24.9" customHeight="1">
      <c r="A762" s="106">
        <v>742</v>
      </c>
      <c r="B762" s="106" t="s">
        <v>4881</v>
      </c>
      <c r="C762" s="104">
        <v>0</v>
      </c>
      <c r="D762" s="106" t="s">
        <v>4886</v>
      </c>
      <c r="E762" s="106" t="s">
        <v>4881</v>
      </c>
      <c r="F762" s="218"/>
      <c r="G762" s="106" t="s">
        <v>4884</v>
      </c>
    </row>
    <row r="763" spans="1:7" ht="24.9" customHeight="1">
      <c r="A763" s="105">
        <v>743</v>
      </c>
      <c r="B763" s="105" t="s">
        <v>1972</v>
      </c>
      <c r="C763" s="103">
        <v>0</v>
      </c>
      <c r="D763" s="105" t="s">
        <v>4886</v>
      </c>
      <c r="E763" s="105" t="s">
        <v>4691</v>
      </c>
      <c r="F763" s="217"/>
      <c r="G763" s="105" t="s">
        <v>4884</v>
      </c>
    </row>
    <row r="764" spans="1:7" ht="24.9" customHeight="1">
      <c r="A764" s="106">
        <v>744</v>
      </c>
      <c r="B764" s="106" t="s">
        <v>4113</v>
      </c>
      <c r="C764" s="104">
        <v>0</v>
      </c>
      <c r="D764" s="106" t="s">
        <v>4886</v>
      </c>
      <c r="E764" s="106" t="s">
        <v>4691</v>
      </c>
      <c r="F764" s="218"/>
      <c r="G764" s="106" t="s">
        <v>4884</v>
      </c>
    </row>
    <row r="765" spans="1:7" ht="24.9" customHeight="1">
      <c r="A765" s="105">
        <v>745</v>
      </c>
      <c r="B765" s="105" t="s">
        <v>4694</v>
      </c>
      <c r="C765" s="103">
        <v>0</v>
      </c>
      <c r="D765" s="105" t="s">
        <v>4886</v>
      </c>
      <c r="E765" s="105" t="s">
        <v>4691</v>
      </c>
      <c r="F765" s="217"/>
      <c r="G765" s="105" t="s">
        <v>4884</v>
      </c>
    </row>
    <row r="766" spans="1:7" ht="24.9" customHeight="1">
      <c r="A766" s="106">
        <v>746</v>
      </c>
      <c r="B766" s="106" t="s">
        <v>4882</v>
      </c>
      <c r="C766" s="104">
        <v>0</v>
      </c>
      <c r="D766" s="106" t="s">
        <v>4886</v>
      </c>
      <c r="E766" s="106" t="s">
        <v>4691</v>
      </c>
      <c r="F766" s="218"/>
      <c r="G766" s="106" t="s">
        <v>4884</v>
      </c>
    </row>
    <row r="767" spans="1:7" ht="24.9" customHeight="1">
      <c r="A767" s="105">
        <v>747</v>
      </c>
      <c r="B767" s="105" t="s">
        <v>4695</v>
      </c>
      <c r="C767" s="103">
        <v>0</v>
      </c>
      <c r="D767" s="105" t="s">
        <v>4886</v>
      </c>
      <c r="E767" s="105" t="s">
        <v>4691</v>
      </c>
      <c r="F767" s="217"/>
      <c r="G767" s="105" t="s">
        <v>4884</v>
      </c>
    </row>
    <row r="768" spans="1:7" ht="24.9" customHeight="1">
      <c r="A768" s="106">
        <v>748</v>
      </c>
      <c r="B768" s="106" t="s">
        <v>4106</v>
      </c>
      <c r="C768" s="104">
        <v>0</v>
      </c>
      <c r="D768" s="106" t="s">
        <v>4886</v>
      </c>
      <c r="E768" s="106" t="s">
        <v>4691</v>
      </c>
      <c r="F768" s="218"/>
      <c r="G768" s="106" t="s">
        <v>4884</v>
      </c>
    </row>
    <row r="769" spans="1:7" ht="24.9" customHeight="1">
      <c r="A769" s="105">
        <v>749</v>
      </c>
      <c r="B769" s="105" t="s">
        <v>4109</v>
      </c>
      <c r="C769" s="103">
        <v>0</v>
      </c>
      <c r="D769" s="105" t="s">
        <v>4886</v>
      </c>
      <c r="E769" s="105" t="s">
        <v>4691</v>
      </c>
      <c r="F769" s="217"/>
      <c r="G769" s="105" t="s">
        <v>4884</v>
      </c>
    </row>
    <row r="770" spans="1:7" ht="24.9" customHeight="1">
      <c r="A770" s="106">
        <v>750</v>
      </c>
      <c r="B770" s="106" t="s">
        <v>4105</v>
      </c>
      <c r="C770" s="104">
        <v>0</v>
      </c>
      <c r="D770" s="106" t="s">
        <v>4886</v>
      </c>
      <c r="E770" s="106" t="s">
        <v>4691</v>
      </c>
      <c r="F770" s="218"/>
      <c r="G770" s="106" t="s">
        <v>4884</v>
      </c>
    </row>
    <row r="771" spans="1:7" ht="24.9" customHeight="1">
      <c r="A771" s="105">
        <v>751</v>
      </c>
      <c r="B771" s="105" t="s">
        <v>4696</v>
      </c>
      <c r="C771" s="103">
        <v>0</v>
      </c>
      <c r="D771" s="105" t="s">
        <v>4886</v>
      </c>
      <c r="E771" s="105" t="s">
        <v>4053</v>
      </c>
      <c r="F771" s="217"/>
      <c r="G771" s="105" t="s">
        <v>4884</v>
      </c>
    </row>
    <row r="772" spans="1:7" ht="24.9" customHeight="1">
      <c r="A772" s="106">
        <v>752</v>
      </c>
      <c r="B772" s="106" t="s">
        <v>4645</v>
      </c>
      <c r="C772" s="104">
        <v>0</v>
      </c>
      <c r="D772" s="106" t="s">
        <v>4886</v>
      </c>
      <c r="E772" s="106" t="s">
        <v>4645</v>
      </c>
      <c r="F772" s="218"/>
      <c r="G772" s="106" t="s">
        <v>4884</v>
      </c>
    </row>
    <row r="773" spans="1:7" ht="24.9" customHeight="1">
      <c r="A773" s="105">
        <v>753</v>
      </c>
      <c r="B773" s="105" t="s">
        <v>4839</v>
      </c>
      <c r="C773" s="103">
        <v>20636</v>
      </c>
      <c r="D773" s="105" t="s">
        <v>8253</v>
      </c>
      <c r="E773" s="105" t="s">
        <v>4840</v>
      </c>
      <c r="F773" s="217"/>
      <c r="G773" s="105" t="s">
        <v>4884</v>
      </c>
    </row>
    <row r="774" spans="1:7" ht="24.9" customHeight="1">
      <c r="A774" s="106">
        <v>754</v>
      </c>
      <c r="B774" s="106" t="s">
        <v>5975</v>
      </c>
      <c r="C774" s="104">
        <v>4021106</v>
      </c>
      <c r="D774" s="106" t="s">
        <v>3564</v>
      </c>
      <c r="E774" s="106" t="s">
        <v>3773</v>
      </c>
      <c r="F774" s="218" t="s">
        <v>7774</v>
      </c>
      <c r="G774" s="106" t="s">
        <v>5639</v>
      </c>
    </row>
    <row r="775" spans="1:7" ht="24.9" customHeight="1">
      <c r="A775" s="105">
        <v>755</v>
      </c>
      <c r="B775" s="105" t="s">
        <v>5640</v>
      </c>
      <c r="C775" s="103">
        <v>98117</v>
      </c>
      <c r="D775" s="105" t="s">
        <v>3564</v>
      </c>
      <c r="E775" s="105" t="s">
        <v>3360</v>
      </c>
      <c r="F775" s="217"/>
      <c r="G775" s="105" t="s">
        <v>5639</v>
      </c>
    </row>
    <row r="776" spans="1:7" ht="24.9" customHeight="1">
      <c r="A776" s="106">
        <v>756</v>
      </c>
      <c r="B776" s="106" t="s">
        <v>5975</v>
      </c>
      <c r="C776" s="104">
        <v>4021106</v>
      </c>
      <c r="D776" s="106" t="s">
        <v>3564</v>
      </c>
      <c r="E776" s="106" t="s">
        <v>4663</v>
      </c>
      <c r="F776" s="218" t="s">
        <v>7774</v>
      </c>
      <c r="G776" s="106" t="s">
        <v>5639</v>
      </c>
    </row>
    <row r="777" spans="1:7" ht="24.9" customHeight="1">
      <c r="A777" s="105">
        <v>757</v>
      </c>
      <c r="B777" s="105" t="s">
        <v>6218</v>
      </c>
      <c r="C777" s="103">
        <v>0</v>
      </c>
      <c r="D777" s="105" t="s">
        <v>6219</v>
      </c>
      <c r="E777" s="105" t="s">
        <v>6220</v>
      </c>
      <c r="F777" s="217"/>
      <c r="G777" s="105" t="s">
        <v>5639</v>
      </c>
    </row>
    <row r="778" spans="1:7" ht="24.9" customHeight="1">
      <c r="A778" s="106">
        <v>758</v>
      </c>
      <c r="B778" s="106" t="s">
        <v>6235</v>
      </c>
      <c r="C778" s="104">
        <v>1938</v>
      </c>
      <c r="D778" s="106" t="s">
        <v>3564</v>
      </c>
      <c r="E778" s="106" t="s">
        <v>770</v>
      </c>
      <c r="F778" s="218">
        <v>3071166184</v>
      </c>
      <c r="G778" s="106" t="s">
        <v>5639</v>
      </c>
    </row>
    <row r="779" spans="1:7" ht="24.9" customHeight="1">
      <c r="A779" s="105">
        <v>759</v>
      </c>
      <c r="B779" s="105" t="s">
        <v>6238</v>
      </c>
      <c r="C779" s="103">
        <v>20790</v>
      </c>
      <c r="D779" s="105" t="s">
        <v>8253</v>
      </c>
      <c r="E779" s="105" t="s">
        <v>6240</v>
      </c>
      <c r="F779" s="217" t="s">
        <v>7773</v>
      </c>
      <c r="G779" s="105" t="s">
        <v>5639</v>
      </c>
    </row>
    <row r="780" spans="1:7" ht="24.9" customHeight="1">
      <c r="A780" s="106">
        <v>760</v>
      </c>
      <c r="B780" s="106" t="s">
        <v>7768</v>
      </c>
      <c r="C780" s="104">
        <v>20966</v>
      </c>
      <c r="D780" s="106" t="s">
        <v>8253</v>
      </c>
      <c r="E780" s="106" t="s">
        <v>2857</v>
      </c>
      <c r="F780" s="218" t="s">
        <v>7772</v>
      </c>
      <c r="G780" s="106" t="s">
        <v>5639</v>
      </c>
    </row>
    <row r="781" spans="1:7" ht="24.9" customHeight="1">
      <c r="A781" s="105">
        <v>761</v>
      </c>
      <c r="B781" s="105" t="s">
        <v>6764</v>
      </c>
      <c r="C781" s="103">
        <v>20775</v>
      </c>
      <c r="D781" s="105" t="s">
        <v>8253</v>
      </c>
      <c r="E781" s="105" t="s">
        <v>3650</v>
      </c>
      <c r="F781" s="217" t="s">
        <v>7771</v>
      </c>
      <c r="G781" s="105" t="s">
        <v>5639</v>
      </c>
    </row>
    <row r="782" spans="1:7" ht="24.9" customHeight="1">
      <c r="A782" s="106">
        <v>762</v>
      </c>
      <c r="B782" s="106" t="s">
        <v>6739</v>
      </c>
      <c r="C782" s="104">
        <v>20767</v>
      </c>
      <c r="D782" s="106" t="s">
        <v>8253</v>
      </c>
      <c r="E782" s="106" t="s">
        <v>6740</v>
      </c>
      <c r="F782" s="218"/>
      <c r="G782" s="106" t="s">
        <v>5639</v>
      </c>
    </row>
    <row r="783" spans="1:7" ht="24.9" customHeight="1">
      <c r="A783" s="105">
        <v>763</v>
      </c>
      <c r="B783" s="105" t="s">
        <v>6239</v>
      </c>
      <c r="C783" s="103">
        <v>20789</v>
      </c>
      <c r="D783" s="105" t="s">
        <v>8253</v>
      </c>
      <c r="E783" s="105" t="s">
        <v>6241</v>
      </c>
      <c r="F783" s="217">
        <v>1271712148</v>
      </c>
      <c r="G783" s="105" t="s">
        <v>5639</v>
      </c>
    </row>
    <row r="784" spans="1:7" ht="24.9" customHeight="1">
      <c r="A784" s="106">
        <v>764</v>
      </c>
      <c r="B784" s="106" t="s">
        <v>5641</v>
      </c>
      <c r="C784" s="104">
        <v>4020802</v>
      </c>
      <c r="D784" s="106" t="s">
        <v>3564</v>
      </c>
      <c r="E784" s="106" t="s">
        <v>7963</v>
      </c>
      <c r="F784" s="218"/>
      <c r="G784" s="106" t="s">
        <v>5639</v>
      </c>
    </row>
    <row r="785" spans="1:7" ht="24.9" customHeight="1">
      <c r="A785" s="105">
        <v>765</v>
      </c>
      <c r="B785" s="105" t="s">
        <v>5642</v>
      </c>
      <c r="C785" s="103">
        <v>4020807</v>
      </c>
      <c r="D785" s="105" t="s">
        <v>3564</v>
      </c>
      <c r="E785" s="105" t="s">
        <v>3566</v>
      </c>
      <c r="F785" s="217"/>
      <c r="G785" s="105" t="s">
        <v>5639</v>
      </c>
    </row>
    <row r="786" spans="1:7" ht="24.9" customHeight="1">
      <c r="A786" s="106">
        <v>766</v>
      </c>
      <c r="B786" s="106" t="s">
        <v>7686</v>
      </c>
      <c r="C786" s="104">
        <v>4031203</v>
      </c>
      <c r="D786" s="106" t="s">
        <v>3564</v>
      </c>
      <c r="E786" s="106" t="s">
        <v>767</v>
      </c>
      <c r="F786" s="218">
        <v>3150000602</v>
      </c>
      <c r="G786" s="106" t="s">
        <v>5639</v>
      </c>
    </row>
    <row r="787" spans="1:7" ht="24.9" customHeight="1">
      <c r="A787" s="105">
        <v>767</v>
      </c>
      <c r="B787" s="105" t="s">
        <v>7681</v>
      </c>
      <c r="C787" s="103">
        <v>4031206</v>
      </c>
      <c r="D787" s="105" t="s">
        <v>3564</v>
      </c>
      <c r="E787" s="105" t="s">
        <v>770</v>
      </c>
      <c r="F787" s="217"/>
      <c r="G787" s="105" t="s">
        <v>5639</v>
      </c>
    </row>
    <row r="788" spans="1:7" ht="24.9" customHeight="1">
      <c r="A788" s="106">
        <v>768</v>
      </c>
      <c r="B788" s="106" t="s">
        <v>6731</v>
      </c>
      <c r="C788" s="104">
        <v>4000603</v>
      </c>
      <c r="D788" s="106" t="s">
        <v>3564</v>
      </c>
      <c r="E788" s="106" t="s">
        <v>767</v>
      </c>
      <c r="F788" s="218"/>
      <c r="G788" s="106" t="s">
        <v>5639</v>
      </c>
    </row>
    <row r="789" spans="1:7" ht="24.9" customHeight="1">
      <c r="A789" s="105">
        <v>769</v>
      </c>
      <c r="B789" s="105" t="s">
        <v>3387</v>
      </c>
      <c r="C789" s="103">
        <v>4000512</v>
      </c>
      <c r="D789" s="105" t="s">
        <v>3564</v>
      </c>
      <c r="E789" s="105" t="s">
        <v>3357</v>
      </c>
      <c r="F789" s="217"/>
      <c r="G789" s="105" t="s">
        <v>5639</v>
      </c>
    </row>
    <row r="790" spans="1:7" ht="24.9" customHeight="1">
      <c r="A790" s="106">
        <v>770</v>
      </c>
      <c r="B790" s="106" t="s">
        <v>7121</v>
      </c>
      <c r="C790" s="104">
        <v>1470035</v>
      </c>
      <c r="D790" s="106" t="s">
        <v>6219</v>
      </c>
      <c r="E790" s="106" t="s">
        <v>4056</v>
      </c>
      <c r="F790" s="218"/>
      <c r="G790" s="106" t="s">
        <v>8167</v>
      </c>
    </row>
    <row r="791" spans="1:7" ht="24.9" customHeight="1">
      <c r="A791" s="105">
        <v>771</v>
      </c>
      <c r="B791" s="105" t="s">
        <v>7125</v>
      </c>
      <c r="C791" s="103">
        <v>0</v>
      </c>
      <c r="D791" s="105" t="s">
        <v>6219</v>
      </c>
      <c r="E791" s="105" t="s">
        <v>4056</v>
      </c>
      <c r="F791" s="217"/>
      <c r="G791" s="105" t="s">
        <v>5639</v>
      </c>
    </row>
    <row r="792" spans="1:7" ht="24.9" customHeight="1">
      <c r="A792" s="106">
        <v>772</v>
      </c>
      <c r="B792" s="106" t="s">
        <v>7122</v>
      </c>
      <c r="C792" s="104">
        <v>0</v>
      </c>
      <c r="D792" s="106" t="s">
        <v>6569</v>
      </c>
      <c r="E792" s="106" t="s">
        <v>4691</v>
      </c>
      <c r="F792" s="218"/>
      <c r="G792" s="106" t="s">
        <v>5639</v>
      </c>
    </row>
    <row r="793" spans="1:7" ht="24.9" customHeight="1">
      <c r="A793" s="105">
        <v>773</v>
      </c>
      <c r="B793" s="105" t="s">
        <v>7123</v>
      </c>
      <c r="C793" s="103">
        <v>0</v>
      </c>
      <c r="D793" s="105" t="s">
        <v>6569</v>
      </c>
      <c r="E793" s="105" t="s">
        <v>4691</v>
      </c>
      <c r="F793" s="217"/>
      <c r="G793" s="105" t="s">
        <v>5639</v>
      </c>
    </row>
    <row r="794" spans="1:7" ht="24.9" customHeight="1">
      <c r="A794" s="106">
        <v>774</v>
      </c>
      <c r="B794" s="106" t="s">
        <v>7455</v>
      </c>
      <c r="C794" s="104">
        <v>0</v>
      </c>
      <c r="D794" s="106" t="s">
        <v>1298</v>
      </c>
      <c r="E794" s="106" t="s">
        <v>1298</v>
      </c>
      <c r="F794" s="218"/>
      <c r="G794" s="106" t="s">
        <v>5639</v>
      </c>
    </row>
    <row r="795" spans="1:7" ht="24.9" customHeight="1">
      <c r="A795" s="105">
        <v>775</v>
      </c>
      <c r="B795" s="105" t="s">
        <v>7459</v>
      </c>
      <c r="C795" s="103">
        <v>0</v>
      </c>
      <c r="D795" s="105" t="s">
        <v>6569</v>
      </c>
      <c r="E795" s="105" t="s">
        <v>4691</v>
      </c>
      <c r="F795" s="217"/>
      <c r="G795" s="105" t="s">
        <v>5639</v>
      </c>
    </row>
    <row r="796" spans="1:7" ht="24.9" customHeight="1">
      <c r="A796" s="106">
        <v>776</v>
      </c>
      <c r="B796" s="106" t="s">
        <v>7462</v>
      </c>
      <c r="C796" s="104">
        <v>0</v>
      </c>
      <c r="D796" s="106" t="s">
        <v>6569</v>
      </c>
      <c r="E796" s="106" t="s">
        <v>4691</v>
      </c>
      <c r="F796" s="218"/>
      <c r="G796" s="106" t="s">
        <v>5639</v>
      </c>
    </row>
    <row r="797" spans="1:7" ht="24.9" customHeight="1">
      <c r="A797" s="105">
        <v>777</v>
      </c>
      <c r="B797" s="105" t="s">
        <v>7461</v>
      </c>
      <c r="C797" s="103">
        <v>0</v>
      </c>
      <c r="D797" s="105" t="s">
        <v>6569</v>
      </c>
      <c r="E797" s="105" t="s">
        <v>4691</v>
      </c>
      <c r="F797" s="217"/>
      <c r="G797" s="105" t="s">
        <v>5639</v>
      </c>
    </row>
    <row r="798" spans="1:7" ht="24.9" customHeight="1">
      <c r="A798" s="106">
        <v>778</v>
      </c>
      <c r="B798" s="106" t="s">
        <v>7463</v>
      </c>
      <c r="C798" s="104">
        <v>0</v>
      </c>
      <c r="D798" s="106" t="s">
        <v>6569</v>
      </c>
      <c r="E798" s="106" t="s">
        <v>4691</v>
      </c>
      <c r="F798" s="218"/>
      <c r="G798" s="106" t="s">
        <v>5639</v>
      </c>
    </row>
    <row r="799" spans="1:7" ht="24.9" customHeight="1">
      <c r="A799" s="105">
        <v>779</v>
      </c>
      <c r="B799" s="105" t="s">
        <v>7456</v>
      </c>
      <c r="C799" s="103">
        <v>0</v>
      </c>
      <c r="D799" s="105" t="s">
        <v>6569</v>
      </c>
      <c r="E799" s="105" t="s">
        <v>4691</v>
      </c>
      <c r="F799" s="217"/>
      <c r="G799" s="105" t="s">
        <v>5639</v>
      </c>
    </row>
    <row r="800" spans="1:7" ht="24.9" customHeight="1">
      <c r="A800" s="106">
        <v>780</v>
      </c>
      <c r="B800" s="106" t="s">
        <v>7558</v>
      </c>
      <c r="C800" s="104">
        <v>0</v>
      </c>
      <c r="D800" s="106" t="s">
        <v>1298</v>
      </c>
      <c r="E800" s="106" t="s">
        <v>1298</v>
      </c>
      <c r="F800" s="218"/>
      <c r="G800" s="106" t="s">
        <v>5639</v>
      </c>
    </row>
    <row r="801" spans="1:7" ht="24.9" customHeight="1">
      <c r="A801" s="105">
        <v>781</v>
      </c>
      <c r="B801" s="105" t="s">
        <v>6570</v>
      </c>
      <c r="C801" s="103">
        <v>0</v>
      </c>
      <c r="D801" s="105" t="s">
        <v>1298</v>
      </c>
      <c r="E801" s="105" t="s">
        <v>1298</v>
      </c>
      <c r="F801" s="217"/>
      <c r="G801" s="105" t="s">
        <v>5639</v>
      </c>
    </row>
    <row r="802" spans="1:7" ht="24.9" customHeight="1">
      <c r="A802" s="106">
        <v>782</v>
      </c>
      <c r="B802" s="106" t="s">
        <v>7124</v>
      </c>
      <c r="C802" s="104">
        <v>0</v>
      </c>
      <c r="D802" s="106" t="s">
        <v>1298</v>
      </c>
      <c r="E802" s="106" t="s">
        <v>1298</v>
      </c>
      <c r="F802" s="218"/>
      <c r="G802" s="106" t="s">
        <v>5639</v>
      </c>
    </row>
    <row r="803" spans="1:7" ht="24.9" customHeight="1">
      <c r="A803" s="105">
        <v>783</v>
      </c>
      <c r="B803" s="105" t="s">
        <v>7563</v>
      </c>
      <c r="C803" s="103">
        <v>0</v>
      </c>
      <c r="D803" s="105" t="s">
        <v>6219</v>
      </c>
      <c r="E803" s="105" t="s">
        <v>4056</v>
      </c>
      <c r="F803" s="217"/>
      <c r="G803" s="105" t="s">
        <v>5639</v>
      </c>
    </row>
    <row r="804" spans="1:7" ht="24.9" customHeight="1">
      <c r="A804" s="106">
        <v>784</v>
      </c>
      <c r="B804" s="106" t="s">
        <v>7564</v>
      </c>
      <c r="C804" s="104">
        <v>0</v>
      </c>
      <c r="D804" s="106" t="s">
        <v>6219</v>
      </c>
      <c r="E804" s="106" t="s">
        <v>4056</v>
      </c>
      <c r="F804" s="218"/>
      <c r="G804" s="106" t="s">
        <v>5639</v>
      </c>
    </row>
    <row r="805" spans="1:7" ht="24.9" customHeight="1">
      <c r="A805" s="105">
        <v>785</v>
      </c>
      <c r="B805" s="105" t="s">
        <v>7565</v>
      </c>
      <c r="C805" s="103">
        <v>0</v>
      </c>
      <c r="D805" s="105" t="s">
        <v>6219</v>
      </c>
      <c r="E805" s="105" t="s">
        <v>4056</v>
      </c>
      <c r="F805" s="217"/>
      <c r="G805" s="105" t="s">
        <v>5639</v>
      </c>
    </row>
    <row r="806" spans="1:7" ht="24.9" customHeight="1">
      <c r="A806" s="106">
        <v>786</v>
      </c>
      <c r="B806" s="106" t="s">
        <v>7566</v>
      </c>
      <c r="C806" s="104">
        <v>0</v>
      </c>
      <c r="D806" s="106" t="s">
        <v>6219</v>
      </c>
      <c r="E806" s="106" t="s">
        <v>4056</v>
      </c>
      <c r="F806" s="218"/>
      <c r="G806" s="106" t="s">
        <v>5639</v>
      </c>
    </row>
    <row r="807" spans="1:7" ht="24.9" customHeight="1">
      <c r="A807" s="105">
        <v>787</v>
      </c>
      <c r="B807" s="105" t="s">
        <v>5643</v>
      </c>
      <c r="C807" s="103">
        <v>7009</v>
      </c>
      <c r="D807" s="105" t="s">
        <v>3564</v>
      </c>
      <c r="E807" s="105" t="s">
        <v>782</v>
      </c>
      <c r="F807" s="217"/>
      <c r="G807" s="105" t="s">
        <v>5644</v>
      </c>
    </row>
    <row r="808" spans="1:7" ht="24.9" customHeight="1">
      <c r="A808" s="106">
        <v>788</v>
      </c>
      <c r="B808" s="106" t="s">
        <v>6218</v>
      </c>
      <c r="C808" s="104">
        <v>0</v>
      </c>
      <c r="D808" s="106" t="s">
        <v>6219</v>
      </c>
      <c r="E808" s="106" t="s">
        <v>6220</v>
      </c>
      <c r="F808" s="218"/>
      <c r="G808" s="106" t="s">
        <v>5639</v>
      </c>
    </row>
    <row r="809" spans="1:7" ht="24.9" customHeight="1">
      <c r="A809" s="105">
        <v>789</v>
      </c>
      <c r="B809" s="105" t="s">
        <v>2611</v>
      </c>
      <c r="C809" s="103">
        <v>7005</v>
      </c>
      <c r="D809" s="105" t="s">
        <v>3564</v>
      </c>
      <c r="E809" s="105" t="s">
        <v>2608</v>
      </c>
      <c r="F809" s="217"/>
      <c r="G809" s="105" t="s">
        <v>5644</v>
      </c>
    </row>
    <row r="810" spans="1:7" ht="24.9" customHeight="1">
      <c r="A810" s="106">
        <v>790</v>
      </c>
      <c r="B810" s="106" t="s">
        <v>6130</v>
      </c>
      <c r="C810" s="104">
        <v>4021108</v>
      </c>
      <c r="D810" s="106" t="s">
        <v>3564</v>
      </c>
      <c r="E810" s="106" t="s">
        <v>4658</v>
      </c>
      <c r="F810" s="218"/>
      <c r="G810" s="106" t="s">
        <v>6131</v>
      </c>
    </row>
    <row r="811" spans="1:7" ht="24.9" customHeight="1">
      <c r="A811" s="105">
        <v>791</v>
      </c>
      <c r="B811" s="105" t="s">
        <v>6912</v>
      </c>
      <c r="C811" s="103">
        <v>20841</v>
      </c>
      <c r="D811" s="105" t="s">
        <v>8253</v>
      </c>
      <c r="E811" s="105" t="s">
        <v>6913</v>
      </c>
      <c r="F811" s="217">
        <v>3621159517</v>
      </c>
      <c r="G811" s="105" t="s">
        <v>6131</v>
      </c>
    </row>
    <row r="812" spans="1:7" ht="24.9" customHeight="1">
      <c r="A812" s="106">
        <v>792</v>
      </c>
      <c r="B812" s="106" t="s">
        <v>6222</v>
      </c>
      <c r="C812" s="104">
        <v>4020707</v>
      </c>
      <c r="D812" s="106" t="s">
        <v>3564</v>
      </c>
      <c r="E812" s="106" t="s">
        <v>6223</v>
      </c>
      <c r="F812" s="218"/>
      <c r="G812" s="106" t="s">
        <v>6131</v>
      </c>
    </row>
    <row r="813" spans="1:7" ht="24.9" customHeight="1">
      <c r="A813" s="105">
        <v>793</v>
      </c>
      <c r="B813" s="105" t="s">
        <v>6214</v>
      </c>
      <c r="C813" s="103">
        <v>4030101</v>
      </c>
      <c r="D813" s="105" t="s">
        <v>3564</v>
      </c>
      <c r="E813" s="105" t="s">
        <v>3360</v>
      </c>
      <c r="F813" s="217"/>
      <c r="G813" s="105" t="s">
        <v>6131</v>
      </c>
    </row>
    <row r="814" spans="1:7" ht="24.9" customHeight="1">
      <c r="A814" s="106">
        <v>794</v>
      </c>
      <c r="B814" s="106" t="s">
        <v>6216</v>
      </c>
      <c r="C814" s="104">
        <v>0</v>
      </c>
      <c r="D814" s="106" t="s">
        <v>3564</v>
      </c>
      <c r="E814" s="106"/>
      <c r="F814" s="218"/>
      <c r="G814" s="106" t="s">
        <v>6131</v>
      </c>
    </row>
    <row r="815" spans="1:7" ht="24.9" customHeight="1">
      <c r="A815" s="105">
        <v>795</v>
      </c>
      <c r="B815" s="105" t="s">
        <v>6226</v>
      </c>
      <c r="C815" s="103">
        <v>0</v>
      </c>
      <c r="D815" s="105" t="s">
        <v>4645</v>
      </c>
      <c r="E815" s="105" t="s">
        <v>4645</v>
      </c>
      <c r="F815" s="217"/>
      <c r="G815" s="105" t="s">
        <v>3381</v>
      </c>
    </row>
    <row r="816" spans="1:7" ht="24.9" customHeight="1">
      <c r="A816" s="106">
        <v>796</v>
      </c>
      <c r="B816" s="106" t="s">
        <v>6228</v>
      </c>
      <c r="C816" s="104">
        <v>0</v>
      </c>
      <c r="D816" s="106" t="s">
        <v>6230</v>
      </c>
      <c r="E816" s="106" t="s">
        <v>3586</v>
      </c>
      <c r="F816" s="218">
        <v>5550257191</v>
      </c>
      <c r="G816" s="106" t="s">
        <v>3381</v>
      </c>
    </row>
    <row r="817" spans="1:7" ht="24.9" customHeight="1">
      <c r="A817" s="105">
        <v>797</v>
      </c>
      <c r="B817" s="105" t="s">
        <v>6249</v>
      </c>
      <c r="C817" s="103">
        <v>0</v>
      </c>
      <c r="D817" s="105" t="s">
        <v>6251</v>
      </c>
      <c r="E817" s="105"/>
      <c r="F817" s="217"/>
      <c r="G817" s="105"/>
    </row>
    <row r="818" spans="1:7" ht="24.9" customHeight="1">
      <c r="A818" s="106">
        <v>798</v>
      </c>
      <c r="B818" s="106" t="s">
        <v>7950</v>
      </c>
      <c r="C818" s="104">
        <v>0</v>
      </c>
      <c r="D818" s="106" t="s">
        <v>7944</v>
      </c>
      <c r="E818" s="106" t="s">
        <v>7949</v>
      </c>
      <c r="F818" s="218">
        <v>3120307378</v>
      </c>
      <c r="G818" s="106" t="s">
        <v>7945</v>
      </c>
    </row>
    <row r="819" spans="1:7" ht="24.9" customHeight="1">
      <c r="A819" s="105">
        <v>799</v>
      </c>
      <c r="B819" s="105" t="s">
        <v>7953</v>
      </c>
      <c r="C819" s="103">
        <v>4010405</v>
      </c>
      <c r="D819" s="105" t="s">
        <v>3564</v>
      </c>
      <c r="E819" s="105" t="s">
        <v>7952</v>
      </c>
      <c r="F819" s="217">
        <v>0</v>
      </c>
      <c r="G819" s="105" t="s">
        <v>7916</v>
      </c>
    </row>
    <row r="820" spans="1:7" ht="24.9" customHeight="1">
      <c r="A820" s="106">
        <v>800</v>
      </c>
      <c r="B820" s="106" t="s">
        <v>7954</v>
      </c>
      <c r="C820" s="104">
        <v>100663</v>
      </c>
      <c r="D820" s="106" t="s">
        <v>3572</v>
      </c>
      <c r="E820" s="106" t="s">
        <v>7955</v>
      </c>
      <c r="F820" s="218">
        <v>1990141651</v>
      </c>
      <c r="G820" s="106" t="s">
        <v>7956</v>
      </c>
    </row>
    <row r="821" spans="1:7" ht="24.9" customHeight="1">
      <c r="A821" s="105">
        <v>801</v>
      </c>
      <c r="B821" s="105" t="s">
        <v>7994</v>
      </c>
      <c r="C821" s="103">
        <v>0</v>
      </c>
      <c r="D821" s="105" t="s">
        <v>7995</v>
      </c>
      <c r="E821" s="105" t="s">
        <v>771</v>
      </c>
      <c r="F821" s="217">
        <v>1754614688</v>
      </c>
      <c r="G821" s="105" t="s">
        <v>7996</v>
      </c>
    </row>
    <row r="822" spans="1:7" ht="24.9" customHeight="1">
      <c r="A822" s="106">
        <v>802</v>
      </c>
      <c r="B822" s="106" t="s">
        <v>7985</v>
      </c>
      <c r="C822" s="104">
        <v>4031105</v>
      </c>
      <c r="D822" s="106" t="s">
        <v>7987</v>
      </c>
      <c r="E822" s="106" t="s">
        <v>770</v>
      </c>
      <c r="F822" s="218">
        <v>3060189226</v>
      </c>
      <c r="G822" s="106" t="s">
        <v>7986</v>
      </c>
    </row>
    <row r="823" spans="1:7" ht="24.9" customHeight="1">
      <c r="A823" s="105">
        <v>803</v>
      </c>
      <c r="B823" s="105" t="s">
        <v>7999</v>
      </c>
      <c r="C823" s="103">
        <v>100668</v>
      </c>
      <c r="D823" s="105" t="s">
        <v>8000</v>
      </c>
      <c r="E823" s="105" t="s">
        <v>8001</v>
      </c>
      <c r="F823" s="217"/>
      <c r="G823" s="105" t="s">
        <v>7998</v>
      </c>
    </row>
    <row r="824" spans="1:7" ht="24.9" customHeight="1">
      <c r="A824" s="105"/>
      <c r="B824" s="105" t="s">
        <v>4601</v>
      </c>
      <c r="C824" s="103">
        <v>4040807</v>
      </c>
      <c r="D824" s="105" t="s">
        <v>7987</v>
      </c>
      <c r="E824" s="105" t="s">
        <v>3666</v>
      </c>
      <c r="F824" s="217" t="s">
        <v>8537</v>
      </c>
      <c r="G824" s="105" t="s">
        <v>8538</v>
      </c>
    </row>
    <row r="825" spans="1:7" ht="24.9" customHeight="1">
      <c r="A825" s="106">
        <v>804</v>
      </c>
      <c r="B825" s="106" t="s">
        <v>7958</v>
      </c>
      <c r="C825" s="104">
        <v>0</v>
      </c>
      <c r="D825" s="106" t="s">
        <v>7959</v>
      </c>
      <c r="E825" s="106" t="s">
        <v>2857</v>
      </c>
      <c r="F825" s="218">
        <v>2981070037</v>
      </c>
      <c r="G825" s="106" t="s">
        <v>6057</v>
      </c>
    </row>
    <row r="826" spans="1:7" ht="24.9" customHeight="1">
      <c r="A826" s="105">
        <v>805</v>
      </c>
      <c r="B826" s="105" t="s">
        <v>7965</v>
      </c>
      <c r="C826" s="103">
        <v>4040401</v>
      </c>
      <c r="D826" s="105" t="s">
        <v>3564</v>
      </c>
      <c r="E826" s="105" t="s">
        <v>7964</v>
      </c>
      <c r="F826" s="217"/>
      <c r="G826" s="105" t="s">
        <v>5821</v>
      </c>
    </row>
    <row r="827" spans="1:7" ht="24.9" customHeight="1">
      <c r="A827" s="105"/>
      <c r="B827" s="105" t="s">
        <v>8515</v>
      </c>
      <c r="C827" s="103"/>
      <c r="D827" s="105" t="s">
        <v>3588</v>
      </c>
      <c r="E827" s="105" t="s">
        <v>3357</v>
      </c>
      <c r="F827" s="217" t="s">
        <v>8516</v>
      </c>
      <c r="G827" s="105" t="s">
        <v>5821</v>
      </c>
    </row>
    <row r="828" spans="1:7" ht="24.9" customHeight="1">
      <c r="A828" s="106">
        <v>806</v>
      </c>
      <c r="B828" s="106" t="s">
        <v>8066</v>
      </c>
      <c r="C828" s="104"/>
      <c r="D828" s="106" t="s">
        <v>3588</v>
      </c>
      <c r="E828" s="106" t="s">
        <v>3357</v>
      </c>
      <c r="F828" s="218">
        <v>3521361871</v>
      </c>
      <c r="G828" s="106" t="s">
        <v>4306</v>
      </c>
    </row>
    <row r="829" spans="1:7" ht="24.9" customHeight="1">
      <c r="A829" s="105">
        <v>807</v>
      </c>
      <c r="B829" s="105" t="s">
        <v>8083</v>
      </c>
      <c r="C829" s="103">
        <v>100669</v>
      </c>
      <c r="D829" s="105" t="s">
        <v>8084</v>
      </c>
      <c r="E829" s="105" t="s">
        <v>3579</v>
      </c>
      <c r="F829" s="217">
        <v>1160052506</v>
      </c>
      <c r="G829" s="105" t="s">
        <v>7956</v>
      </c>
    </row>
    <row r="830" spans="1:7" ht="24.9" customHeight="1">
      <c r="A830" s="106">
        <v>808</v>
      </c>
      <c r="B830" s="106" t="s">
        <v>8052</v>
      </c>
      <c r="C830" s="104"/>
      <c r="D830" s="106" t="s">
        <v>6565</v>
      </c>
      <c r="E830" s="106" t="s">
        <v>4056</v>
      </c>
      <c r="F830" s="218">
        <v>3040237446</v>
      </c>
      <c r="G830" s="106" t="s">
        <v>3968</v>
      </c>
    </row>
    <row r="831" spans="1:7" ht="24.9" customHeight="1">
      <c r="A831" s="105"/>
      <c r="B831" s="105" t="s">
        <v>8428</v>
      </c>
      <c r="C831" s="103">
        <v>0</v>
      </c>
      <c r="D831" s="105" t="s">
        <v>8084</v>
      </c>
      <c r="E831" s="105" t="s">
        <v>3579</v>
      </c>
      <c r="F831" s="217" t="s">
        <v>8429</v>
      </c>
      <c r="G831" s="105" t="s">
        <v>7956</v>
      </c>
    </row>
    <row r="832" spans="1:7" ht="24.9" customHeight="1">
      <c r="A832" s="106">
        <v>809</v>
      </c>
      <c r="B832" s="106" t="s">
        <v>8049</v>
      </c>
      <c r="C832" s="104">
        <v>21060</v>
      </c>
      <c r="D832" s="106" t="s">
        <v>3990</v>
      </c>
      <c r="E832" s="106" t="s">
        <v>3770</v>
      </c>
      <c r="F832" s="218">
        <v>2981219162</v>
      </c>
      <c r="G832" s="106" t="s">
        <v>3968</v>
      </c>
    </row>
    <row r="833" spans="1:7" ht="24.9" customHeight="1">
      <c r="A833" s="105">
        <v>810</v>
      </c>
      <c r="B833" s="105" t="s">
        <v>7973</v>
      </c>
      <c r="C833" s="103">
        <v>4040303</v>
      </c>
      <c r="D833" s="105" t="s">
        <v>3564</v>
      </c>
      <c r="E833" s="105" t="s">
        <v>7972</v>
      </c>
      <c r="F833" s="217"/>
      <c r="G833" s="105" t="s">
        <v>7971</v>
      </c>
    </row>
    <row r="834" spans="1:7" ht="24.9" customHeight="1">
      <c r="A834" s="106">
        <v>811</v>
      </c>
      <c r="B834" s="106" t="s">
        <v>8165</v>
      </c>
      <c r="C834" s="104">
        <v>0</v>
      </c>
      <c r="D834" s="106" t="s">
        <v>8166</v>
      </c>
      <c r="E834" s="106" t="s">
        <v>4056</v>
      </c>
      <c r="F834" s="218">
        <v>0</v>
      </c>
      <c r="G834" s="106" t="s">
        <v>8167</v>
      </c>
    </row>
    <row r="835" spans="1:7" ht="24.9" customHeight="1">
      <c r="A835" s="105">
        <v>812</v>
      </c>
      <c r="B835" s="105" t="s">
        <v>8172</v>
      </c>
      <c r="C835" s="103">
        <v>4040306</v>
      </c>
      <c r="D835" s="105" t="s">
        <v>3564</v>
      </c>
      <c r="E835" s="105" t="s">
        <v>7963</v>
      </c>
      <c r="F835" s="217"/>
      <c r="G835" s="105" t="s">
        <v>7947</v>
      </c>
    </row>
    <row r="836" spans="1:7" ht="24.9" customHeight="1">
      <c r="A836" s="106">
        <v>813</v>
      </c>
      <c r="B836" s="106" t="s">
        <v>8221</v>
      </c>
      <c r="C836" s="104">
        <v>100673</v>
      </c>
      <c r="D836" s="106" t="s">
        <v>3990</v>
      </c>
      <c r="E836" s="106" t="s">
        <v>3579</v>
      </c>
      <c r="F836" s="218">
        <v>4540027107</v>
      </c>
      <c r="G836" s="106" t="s">
        <v>7956</v>
      </c>
    </row>
    <row r="837" spans="1:7" ht="24.9" customHeight="1">
      <c r="A837" s="105">
        <v>814</v>
      </c>
      <c r="B837" s="105" t="s">
        <v>8222</v>
      </c>
      <c r="C837" s="103">
        <v>0</v>
      </c>
      <c r="D837" s="105" t="s">
        <v>8225</v>
      </c>
      <c r="E837" s="105" t="s">
        <v>4056</v>
      </c>
      <c r="F837" s="217">
        <v>0</v>
      </c>
      <c r="G837" s="105" t="s">
        <v>8226</v>
      </c>
    </row>
    <row r="838" spans="1:7" ht="24.9" customHeight="1">
      <c r="A838" s="106">
        <v>815</v>
      </c>
      <c r="B838" s="106" t="s">
        <v>4644</v>
      </c>
      <c r="C838" s="104">
        <v>0</v>
      </c>
      <c r="D838" s="106" t="s">
        <v>8225</v>
      </c>
      <c r="E838" s="106" t="s">
        <v>4056</v>
      </c>
      <c r="F838" s="218">
        <v>0</v>
      </c>
      <c r="G838" s="106" t="s">
        <v>8226</v>
      </c>
    </row>
    <row r="839" spans="1:7" ht="24.9" customHeight="1">
      <c r="A839" s="105">
        <v>816</v>
      </c>
      <c r="B839" s="105" t="s">
        <v>8223</v>
      </c>
      <c r="C839" s="103">
        <v>0</v>
      </c>
      <c r="D839" s="105" t="s">
        <v>8225</v>
      </c>
      <c r="E839" s="105" t="s">
        <v>4056</v>
      </c>
      <c r="F839" s="217">
        <v>0</v>
      </c>
      <c r="G839" s="105" t="s">
        <v>8226</v>
      </c>
    </row>
    <row r="840" spans="1:7" ht="24.9" customHeight="1">
      <c r="A840" s="106">
        <v>817</v>
      </c>
      <c r="B840" s="106" t="s">
        <v>8224</v>
      </c>
      <c r="C840" s="104">
        <v>0</v>
      </c>
      <c r="D840" s="106" t="s">
        <v>8225</v>
      </c>
      <c r="E840" s="106" t="s">
        <v>4056</v>
      </c>
      <c r="F840" s="218">
        <v>0</v>
      </c>
      <c r="G840" s="106" t="s">
        <v>8226</v>
      </c>
    </row>
    <row r="841" spans="1:7" ht="24.9" customHeight="1">
      <c r="A841" s="105"/>
      <c r="B841" s="105" t="s">
        <v>8462</v>
      </c>
      <c r="C841" s="103">
        <v>21084</v>
      </c>
      <c r="D841" s="105" t="s">
        <v>8463</v>
      </c>
      <c r="E841" s="105" t="s">
        <v>8464</v>
      </c>
      <c r="F841" s="217" t="s">
        <v>8465</v>
      </c>
      <c r="G841" s="105" t="s">
        <v>8461</v>
      </c>
    </row>
    <row r="842" spans="1:7" ht="24.9" customHeight="1">
      <c r="A842" s="106"/>
      <c r="B842" s="106" t="s">
        <v>8459</v>
      </c>
      <c r="C842" s="104">
        <v>4040804</v>
      </c>
      <c r="D842" s="106" t="s">
        <v>7987</v>
      </c>
      <c r="E842" s="106" t="s">
        <v>8460</v>
      </c>
      <c r="F842" s="218"/>
      <c r="G842" s="106" t="s">
        <v>8461</v>
      </c>
    </row>
    <row r="843" spans="1:7" ht="24.9" customHeight="1">
      <c r="A843" s="105"/>
      <c r="B843" s="105" t="s">
        <v>8265</v>
      </c>
      <c r="C843" s="103">
        <v>996038</v>
      </c>
      <c r="D843" s="105" t="s">
        <v>8266</v>
      </c>
      <c r="E843" s="105" t="s">
        <v>4056</v>
      </c>
      <c r="F843" s="217">
        <v>1285060989</v>
      </c>
      <c r="G843" s="105" t="s">
        <v>8267</v>
      </c>
    </row>
    <row r="844" spans="1:7" ht="24.9" customHeight="1">
      <c r="A844" s="106"/>
      <c r="B844" s="106" t="s">
        <v>8252</v>
      </c>
      <c r="C844" s="104">
        <v>21067</v>
      </c>
      <c r="D844" s="106" t="s">
        <v>8253</v>
      </c>
      <c r="E844" s="106" t="s">
        <v>770</v>
      </c>
      <c r="F844" s="218">
        <v>4200125129</v>
      </c>
      <c r="G844" s="106" t="s">
        <v>7947</v>
      </c>
    </row>
    <row r="845" spans="1:7" ht="24.9" customHeight="1">
      <c r="A845" s="105"/>
      <c r="B845" s="105" t="s">
        <v>8256</v>
      </c>
      <c r="C845" s="103">
        <v>21071</v>
      </c>
      <c r="D845" s="105" t="s">
        <v>8253</v>
      </c>
      <c r="E845" s="105" t="s">
        <v>3770</v>
      </c>
      <c r="F845" s="217">
        <v>3080308131</v>
      </c>
      <c r="G845" s="105" t="s">
        <v>7947</v>
      </c>
    </row>
    <row r="846" spans="1:7" ht="24.9" customHeight="1">
      <c r="A846" s="106"/>
      <c r="B846" s="106" t="s">
        <v>8227</v>
      </c>
      <c r="C846" s="104">
        <v>0</v>
      </c>
      <c r="D846" s="106" t="s">
        <v>8225</v>
      </c>
      <c r="E846" s="106" t="s">
        <v>4056</v>
      </c>
      <c r="F846" s="218">
        <v>0</v>
      </c>
      <c r="G846" s="106" t="s">
        <v>8226</v>
      </c>
    </row>
    <row r="847" spans="1:7" ht="24.9" customHeight="1">
      <c r="A847" s="105">
        <v>818</v>
      </c>
      <c r="B847" s="105" t="s">
        <v>7968</v>
      </c>
      <c r="C847" s="103">
        <v>0</v>
      </c>
      <c r="D847" s="105" t="s">
        <v>6230</v>
      </c>
      <c r="E847" s="105" t="s">
        <v>4691</v>
      </c>
      <c r="F847" s="217">
        <v>6419856256</v>
      </c>
      <c r="G847" s="105" t="s">
        <v>7969</v>
      </c>
    </row>
    <row r="848" spans="1:7" ht="24.9" customHeight="1">
      <c r="A848" s="106">
        <v>819</v>
      </c>
      <c r="B848" s="106"/>
      <c r="C848" s="104"/>
      <c r="D848" s="106"/>
      <c r="E848" s="106"/>
      <c r="F848" s="218"/>
      <c r="G848" s="106"/>
    </row>
    <row r="849" spans="1:7" ht="24.9" customHeight="1">
      <c r="A849" s="105">
        <v>820</v>
      </c>
      <c r="B849" s="105"/>
      <c r="C849" s="103"/>
      <c r="D849" s="105"/>
      <c r="E849" s="105"/>
      <c r="F849" s="217"/>
      <c r="G849" s="105"/>
    </row>
  </sheetData>
  <autoFilter ref="B1:G849" xr:uid="{00000000-0009-0000-0000-000001000000}"/>
  <customSheetViews>
    <customSheetView guid="{4E9100F2-A511-4BAB-A26D-F817BBFCED8B}" showPageBreaks="1" fitToPage="1" showAutoFilter="1" view="pageBreakPreview">
      <pane ySplit="1" topLeftCell="A313" activePane="bottomLeft" state="frozen"/>
      <selection pane="bottomLeft" activeCell="B323" sqref="B323"/>
      <pageMargins left="0.7" right="0.7" top="0.75" bottom="0.75" header="0.3" footer="0.3"/>
      <pageSetup paperSize="9" scale="46" fitToHeight="0" orientation="portrait" r:id="rId1"/>
      <autoFilter ref="B1:G845" xr:uid="{F83C1FE4-3C38-4117-9646-9AD96CB6DA59}"/>
    </customSheetView>
  </customSheetViews>
  <pageMargins left="0.7" right="0.7" top="0.75" bottom="0.75" header="0.3" footer="0.3"/>
  <pageSetup paperSize="9" scale="50" fitToHeight="0"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R329"/>
  <sheetViews>
    <sheetView rightToLeft="1" workbookViewId="0">
      <selection activeCell="P167" sqref="P167"/>
    </sheetView>
  </sheetViews>
  <sheetFormatPr defaultRowHeight="14.4"/>
  <cols>
    <col min="1" max="1" width="10.88671875" bestFit="1" customWidth="1"/>
    <col min="2" max="2" width="7.5546875" bestFit="1" customWidth="1"/>
    <col min="3" max="3" width="25" bestFit="1" customWidth="1"/>
    <col min="4" max="4" width="12.33203125" bestFit="1" customWidth="1"/>
    <col min="5" max="5" width="26.5546875" customWidth="1"/>
    <col min="6" max="6" width="12.88671875" bestFit="1" customWidth="1"/>
    <col min="7" max="7" width="36.44140625" customWidth="1"/>
    <col min="8" max="8" width="21.44140625" bestFit="1" customWidth="1"/>
    <col min="9" max="9" width="19.88671875" bestFit="1" customWidth="1"/>
    <col min="10" max="10" width="44.33203125" bestFit="1" customWidth="1"/>
    <col min="11" max="11" width="34.109375" customWidth="1"/>
    <col min="12" max="12" width="14" bestFit="1" customWidth="1"/>
    <col min="13" max="13" width="29" bestFit="1" customWidth="1"/>
    <col min="14" max="14" width="50.109375" bestFit="1" customWidth="1"/>
    <col min="15" max="15" width="30.88671875" bestFit="1" customWidth="1"/>
    <col min="16" max="16" width="68.88671875" bestFit="1" customWidth="1"/>
    <col min="17" max="17" width="13.6640625" bestFit="1" customWidth="1"/>
    <col min="18" max="18" width="14.5546875" bestFit="1" customWidth="1"/>
  </cols>
  <sheetData>
    <row r="1" spans="1:18" ht="21">
      <c r="A1" s="64" t="s">
        <v>4319</v>
      </c>
      <c r="B1" s="64" t="s">
        <v>0</v>
      </c>
      <c r="C1" s="64" t="s">
        <v>3374</v>
      </c>
      <c r="D1" s="64" t="s">
        <v>3375</v>
      </c>
      <c r="E1" s="64" t="s">
        <v>3356</v>
      </c>
      <c r="F1" s="64" t="s">
        <v>1874</v>
      </c>
      <c r="G1" s="64" t="s">
        <v>404</v>
      </c>
      <c r="H1" s="64" t="s">
        <v>3376</v>
      </c>
      <c r="I1" s="64" t="s">
        <v>2672</v>
      </c>
      <c r="J1" s="64" t="s">
        <v>573</v>
      </c>
      <c r="K1" s="64" t="s">
        <v>764</v>
      </c>
      <c r="L1" s="65" t="s">
        <v>405</v>
      </c>
      <c r="M1" s="65" t="s">
        <v>3377</v>
      </c>
      <c r="N1" s="64" t="s">
        <v>3378</v>
      </c>
      <c r="O1" s="64" t="s">
        <v>3379</v>
      </c>
      <c r="P1" s="64" t="s">
        <v>574</v>
      </c>
      <c r="Q1" s="64" t="s">
        <v>3834</v>
      </c>
      <c r="R1" s="64" t="s">
        <v>3168</v>
      </c>
    </row>
    <row r="2" spans="1:18" ht="24.9" customHeight="1">
      <c r="A2" s="20" t="s">
        <v>4356</v>
      </c>
      <c r="B2" s="20"/>
      <c r="C2" s="20" t="s">
        <v>48</v>
      </c>
      <c r="D2" s="20" t="str">
        <f>VLOOKUP(C2,'لیست پرسنل'!$B$1:$F$1008,3,FALSE)</f>
        <v>فکورصنعت</v>
      </c>
      <c r="E2" s="20" t="str">
        <f>VLOOKUP(C2,'لیست پرسنل'!$B$1:$F$1008,4,FALSE)</f>
        <v>سرپرست آی تی</v>
      </c>
      <c r="F2" s="20">
        <f>VLOOKUP(C2,'لیست پرسنل'!$B$1:$F$1008,2,FALSE)</f>
        <v>2210</v>
      </c>
      <c r="G2" s="20" t="s">
        <v>3902</v>
      </c>
      <c r="H2" s="20"/>
      <c r="I2" s="20" t="s">
        <v>5927</v>
      </c>
      <c r="J2" s="20" t="s">
        <v>4952</v>
      </c>
      <c r="K2" s="20" t="s">
        <v>4953</v>
      </c>
      <c r="L2" s="62" t="s">
        <v>525</v>
      </c>
      <c r="M2" s="20"/>
      <c r="N2" s="20" t="s">
        <v>4951</v>
      </c>
      <c r="O2" s="20"/>
      <c r="P2" s="20" t="s">
        <v>4960</v>
      </c>
      <c r="Q2" s="20"/>
      <c r="R2" s="20"/>
    </row>
    <row r="3" spans="1:18" ht="24.9" customHeight="1">
      <c r="A3" s="20" t="s">
        <v>4356</v>
      </c>
      <c r="B3" s="20"/>
      <c r="C3" s="20" t="s">
        <v>245</v>
      </c>
      <c r="D3" s="20" t="str">
        <f>VLOOKUP(C3,'لیست پرسنل'!$B$1:$F$1008,3,FALSE)</f>
        <v>نظارت برسو</v>
      </c>
      <c r="E3" s="20" t="str">
        <f>VLOOKUP(C3,'لیست پرسنل'!$B$1:$F$1008,4,FALSE)</f>
        <v>مدیر برسو</v>
      </c>
      <c r="F3" s="20" t="str">
        <f>VLOOKUP(C3,'لیست پرسنل'!$B$1:$F$1008,2,FALSE)</f>
        <v>0</v>
      </c>
      <c r="G3" s="20" t="s">
        <v>3902</v>
      </c>
      <c r="H3" s="20"/>
      <c r="I3" s="20" t="s">
        <v>5927</v>
      </c>
      <c r="J3" s="20" t="s">
        <v>5926</v>
      </c>
      <c r="K3" s="20" t="s">
        <v>5918</v>
      </c>
      <c r="L3" s="56" t="s">
        <v>525</v>
      </c>
      <c r="M3" s="28"/>
      <c r="N3" s="19"/>
      <c r="O3" s="19"/>
      <c r="P3" s="19" t="s">
        <v>5985</v>
      </c>
      <c r="Q3" s="20"/>
      <c r="R3" s="20"/>
    </row>
    <row r="4" spans="1:18" ht="24.9" customHeight="1">
      <c r="A4" s="20" t="s">
        <v>4356</v>
      </c>
      <c r="B4" s="20"/>
      <c r="C4" s="20" t="s">
        <v>245</v>
      </c>
      <c r="D4" s="20" t="str">
        <f>VLOOKUP(C4,'لیست پرسنل'!$B$1:$F$1008,3,FALSE)</f>
        <v>نظارت برسو</v>
      </c>
      <c r="E4" s="20" t="str">
        <f>VLOOKUP(C4,'لیست پرسنل'!$B$1:$F$1008,4,FALSE)</f>
        <v>مدیر برسو</v>
      </c>
      <c r="F4" s="20" t="str">
        <f>VLOOKUP(C4,'لیست پرسنل'!$B$1:$F$1008,2,FALSE)</f>
        <v>0</v>
      </c>
      <c r="G4" s="20" t="s">
        <v>3902</v>
      </c>
      <c r="H4" s="20"/>
      <c r="I4" s="20" t="s">
        <v>5927</v>
      </c>
      <c r="J4" s="20" t="s">
        <v>5926</v>
      </c>
      <c r="K4" s="20" t="s">
        <v>5919</v>
      </c>
      <c r="L4" s="56" t="s">
        <v>525</v>
      </c>
      <c r="M4" s="28"/>
      <c r="N4" s="19"/>
      <c r="O4" s="19"/>
      <c r="P4" s="19" t="s">
        <v>5985</v>
      </c>
      <c r="Q4" s="20"/>
      <c r="R4" s="20"/>
    </row>
    <row r="5" spans="1:18" ht="24.9" customHeight="1">
      <c r="A5" s="20" t="s">
        <v>4356</v>
      </c>
      <c r="B5" s="20"/>
      <c r="C5" s="20" t="s">
        <v>245</v>
      </c>
      <c r="D5" s="20" t="str">
        <f>VLOOKUP(C5,'لیست پرسنل'!$B$1:$F$1008,3,FALSE)</f>
        <v>نظارت برسو</v>
      </c>
      <c r="E5" s="20" t="str">
        <f>VLOOKUP(C5,'لیست پرسنل'!$B$1:$F$1008,4,FALSE)</f>
        <v>مدیر برسو</v>
      </c>
      <c r="F5" s="20" t="str">
        <f>VLOOKUP(C5,'لیست پرسنل'!$B$1:$F$1008,2,FALSE)</f>
        <v>0</v>
      </c>
      <c r="G5" s="20" t="s">
        <v>3902</v>
      </c>
      <c r="H5" s="20"/>
      <c r="I5" s="20" t="s">
        <v>5927</v>
      </c>
      <c r="J5" s="20" t="s">
        <v>5926</v>
      </c>
      <c r="K5" s="20" t="s">
        <v>5920</v>
      </c>
      <c r="L5" s="56" t="s">
        <v>525</v>
      </c>
      <c r="M5" s="28"/>
      <c r="N5" s="19"/>
      <c r="O5" s="19"/>
      <c r="P5" s="19" t="s">
        <v>5985</v>
      </c>
      <c r="Q5" s="20"/>
      <c r="R5" s="20"/>
    </row>
    <row r="6" spans="1:18" ht="24.9" customHeight="1">
      <c r="A6" s="20" t="s">
        <v>4356</v>
      </c>
      <c r="B6" s="20"/>
      <c r="C6" s="20" t="s">
        <v>245</v>
      </c>
      <c r="D6" s="20" t="str">
        <f>VLOOKUP(C6,'لیست پرسنل'!$B$1:$F$1008,3,FALSE)</f>
        <v>نظارت برسو</v>
      </c>
      <c r="E6" s="20" t="str">
        <f>VLOOKUP(C6,'لیست پرسنل'!$B$1:$F$1008,4,FALSE)</f>
        <v>مدیر برسو</v>
      </c>
      <c r="F6" s="20" t="str">
        <f>VLOOKUP(C6,'لیست پرسنل'!$B$1:$F$1008,2,FALSE)</f>
        <v>0</v>
      </c>
      <c r="G6" s="20" t="s">
        <v>3902</v>
      </c>
      <c r="H6" s="20"/>
      <c r="I6" s="20" t="s">
        <v>5927</v>
      </c>
      <c r="J6" s="20" t="s">
        <v>5926</v>
      </c>
      <c r="K6" s="20" t="s">
        <v>5921</v>
      </c>
      <c r="L6" s="56" t="s">
        <v>525</v>
      </c>
      <c r="M6" s="28"/>
      <c r="N6" s="19"/>
      <c r="O6" s="19"/>
      <c r="P6" s="19" t="s">
        <v>5985</v>
      </c>
      <c r="Q6" s="20"/>
      <c r="R6" s="20"/>
    </row>
    <row r="7" spans="1:18" ht="24.9" customHeight="1">
      <c r="A7" s="20" t="s">
        <v>4356</v>
      </c>
      <c r="B7" s="20"/>
      <c r="C7" s="20" t="s">
        <v>245</v>
      </c>
      <c r="D7" s="20" t="str">
        <f>VLOOKUP(C7,'لیست پرسنل'!$B$1:$F$1008,3,FALSE)</f>
        <v>نظارت برسو</v>
      </c>
      <c r="E7" s="20" t="str">
        <f>VLOOKUP(C7,'لیست پرسنل'!$B$1:$F$1008,4,FALSE)</f>
        <v>مدیر برسو</v>
      </c>
      <c r="F7" s="20" t="str">
        <f>VLOOKUP(C7,'لیست پرسنل'!$B$1:$F$1008,2,FALSE)</f>
        <v>0</v>
      </c>
      <c r="G7" s="20" t="s">
        <v>3902</v>
      </c>
      <c r="H7" s="20"/>
      <c r="I7" s="20" t="s">
        <v>5927</v>
      </c>
      <c r="J7" s="20" t="s">
        <v>5926</v>
      </c>
      <c r="K7" s="20" t="s">
        <v>5922</v>
      </c>
      <c r="L7" s="56" t="s">
        <v>525</v>
      </c>
      <c r="M7" s="28"/>
      <c r="N7" s="19"/>
      <c r="O7" s="19"/>
      <c r="P7" s="19" t="s">
        <v>5985</v>
      </c>
      <c r="Q7" s="20"/>
      <c r="R7" s="20"/>
    </row>
    <row r="8" spans="1:18" ht="24.9" customHeight="1">
      <c r="A8" s="20" t="s">
        <v>4356</v>
      </c>
      <c r="B8" s="20"/>
      <c r="C8" s="20" t="s">
        <v>245</v>
      </c>
      <c r="D8" s="20" t="str">
        <f>VLOOKUP(C8,'لیست پرسنل'!$B$1:$F$1008,3,FALSE)</f>
        <v>نظارت برسو</v>
      </c>
      <c r="E8" s="20" t="str">
        <f>VLOOKUP(C8,'لیست پرسنل'!$B$1:$F$1008,4,FALSE)</f>
        <v>مدیر برسو</v>
      </c>
      <c r="F8" s="20" t="str">
        <f>VLOOKUP(C8,'لیست پرسنل'!$B$1:$F$1008,2,FALSE)</f>
        <v>0</v>
      </c>
      <c r="G8" s="20" t="s">
        <v>3902</v>
      </c>
      <c r="H8" s="20"/>
      <c r="I8" s="20" t="s">
        <v>5927</v>
      </c>
      <c r="J8" s="20" t="s">
        <v>5926</v>
      </c>
      <c r="K8" s="20" t="s">
        <v>5923</v>
      </c>
      <c r="L8" s="56" t="s">
        <v>525</v>
      </c>
      <c r="M8" s="28"/>
      <c r="N8" s="19"/>
      <c r="O8" s="19"/>
      <c r="P8" s="19" t="s">
        <v>5985</v>
      </c>
      <c r="Q8" s="20"/>
      <c r="R8" s="20"/>
    </row>
    <row r="9" spans="1:18" ht="24.9" customHeight="1">
      <c r="A9" s="20" t="s">
        <v>4356</v>
      </c>
      <c r="B9" s="20"/>
      <c r="C9" s="20" t="s">
        <v>245</v>
      </c>
      <c r="D9" s="20" t="str">
        <f>VLOOKUP(C9,'لیست پرسنل'!$B$1:$F$1008,3,FALSE)</f>
        <v>نظارت برسو</v>
      </c>
      <c r="E9" s="20" t="str">
        <f>VLOOKUP(C9,'لیست پرسنل'!$B$1:$F$1008,4,FALSE)</f>
        <v>مدیر برسو</v>
      </c>
      <c r="F9" s="20" t="str">
        <f>VLOOKUP(C9,'لیست پرسنل'!$B$1:$F$1008,2,FALSE)</f>
        <v>0</v>
      </c>
      <c r="G9" s="20" t="s">
        <v>3902</v>
      </c>
      <c r="H9" s="20"/>
      <c r="I9" s="20" t="s">
        <v>5927</v>
      </c>
      <c r="J9" s="20" t="s">
        <v>5926</v>
      </c>
      <c r="K9" s="20" t="s">
        <v>5924</v>
      </c>
      <c r="L9" s="56" t="s">
        <v>525</v>
      </c>
      <c r="M9" s="28"/>
      <c r="N9" s="19"/>
      <c r="O9" s="19"/>
      <c r="P9" s="19" t="s">
        <v>5985</v>
      </c>
      <c r="Q9" s="20"/>
      <c r="R9" s="20"/>
    </row>
    <row r="10" spans="1:18" ht="24.9" customHeight="1">
      <c r="A10" s="20" t="s">
        <v>4356</v>
      </c>
      <c r="B10" s="20"/>
      <c r="C10" s="20" t="s">
        <v>245</v>
      </c>
      <c r="D10" s="20" t="str">
        <f>VLOOKUP(C10,'لیست پرسنل'!$B$1:$F$1008,3,FALSE)</f>
        <v>نظارت برسو</v>
      </c>
      <c r="E10" s="20" t="str">
        <f>VLOOKUP(C10,'لیست پرسنل'!$B$1:$F$1008,4,FALSE)</f>
        <v>مدیر برسو</v>
      </c>
      <c r="F10" s="20" t="str">
        <f>VLOOKUP(C10,'لیست پرسنل'!$B$1:$F$1008,2,FALSE)</f>
        <v>0</v>
      </c>
      <c r="G10" s="20" t="s">
        <v>3902</v>
      </c>
      <c r="H10" s="20"/>
      <c r="I10" s="20" t="s">
        <v>5927</v>
      </c>
      <c r="J10" s="20" t="s">
        <v>5926</v>
      </c>
      <c r="K10" s="20" t="s">
        <v>5925</v>
      </c>
      <c r="L10" s="56" t="s">
        <v>525</v>
      </c>
      <c r="M10" s="28"/>
      <c r="N10" s="19"/>
      <c r="O10" s="19"/>
      <c r="P10" s="19" t="s">
        <v>5985</v>
      </c>
      <c r="Q10" s="20"/>
      <c r="R10" s="20"/>
    </row>
    <row r="11" spans="1:18" ht="24.9" customHeight="1">
      <c r="A11" s="20" t="s">
        <v>4345</v>
      </c>
      <c r="B11" s="20"/>
      <c r="C11" s="20" t="s">
        <v>48</v>
      </c>
      <c r="D11" s="20" t="str">
        <f>VLOOKUP(C11,'لیست پرسنل'!$B$1:$F$1008,3,FALSE)</f>
        <v>فکورصنعت</v>
      </c>
      <c r="E11" s="20" t="str">
        <f>VLOOKUP(C11,'لیست پرسنل'!$B$1:$F$1008,4,FALSE)</f>
        <v>سرپرست آی تی</v>
      </c>
      <c r="F11" s="20">
        <f>VLOOKUP(C11,'لیست پرسنل'!$B$1:$F$1008,2,FALSE)</f>
        <v>2210</v>
      </c>
      <c r="G11" s="20" t="s">
        <v>3381</v>
      </c>
      <c r="H11" s="20"/>
      <c r="I11" s="20" t="s">
        <v>5927</v>
      </c>
      <c r="J11" s="20" t="s">
        <v>5721</v>
      </c>
      <c r="K11" s="20" t="s">
        <v>5711</v>
      </c>
      <c r="L11" s="62" t="s">
        <v>291</v>
      </c>
      <c r="M11" s="28"/>
      <c r="N11" s="28"/>
      <c r="O11" s="28"/>
      <c r="P11" s="28"/>
      <c r="Q11" s="28"/>
      <c r="R11" s="28"/>
    </row>
    <row r="12" spans="1:18" ht="24.9" customHeight="1">
      <c r="A12" s="20" t="s">
        <v>4345</v>
      </c>
      <c r="B12" s="20"/>
      <c r="C12" s="20" t="s">
        <v>48</v>
      </c>
      <c r="D12" s="20" t="str">
        <f>VLOOKUP(C12,'لیست پرسنل'!$B$1:$F$1008,3,FALSE)</f>
        <v>فکورصنعت</v>
      </c>
      <c r="E12" s="20" t="str">
        <f>VLOOKUP(C12,'لیست پرسنل'!$B$1:$F$1008,4,FALSE)</f>
        <v>سرپرست آی تی</v>
      </c>
      <c r="F12" s="20">
        <f>VLOOKUP(C12,'لیست پرسنل'!$B$1:$F$1008,2,FALSE)</f>
        <v>2210</v>
      </c>
      <c r="G12" s="20" t="s">
        <v>3381</v>
      </c>
      <c r="H12" s="20"/>
      <c r="I12" s="20" t="s">
        <v>5927</v>
      </c>
      <c r="J12" s="20" t="s">
        <v>5722</v>
      </c>
      <c r="K12" s="20" t="s">
        <v>5712</v>
      </c>
      <c r="L12" s="62" t="s">
        <v>291</v>
      </c>
      <c r="M12" s="28"/>
      <c r="N12" s="28"/>
      <c r="O12" s="28"/>
      <c r="P12" s="28"/>
      <c r="Q12" s="28"/>
      <c r="R12" s="28"/>
    </row>
    <row r="13" spans="1:18" ht="24.9" customHeight="1">
      <c r="A13" s="20" t="s">
        <v>4345</v>
      </c>
      <c r="B13" s="20"/>
      <c r="C13" s="20" t="s">
        <v>48</v>
      </c>
      <c r="D13" s="20" t="str">
        <f>VLOOKUP(C13,'لیست پرسنل'!$B$1:$F$1008,3,FALSE)</f>
        <v>فکورصنعت</v>
      </c>
      <c r="E13" s="20" t="str">
        <f>VLOOKUP(C13,'لیست پرسنل'!$B$1:$F$1008,4,FALSE)</f>
        <v>سرپرست آی تی</v>
      </c>
      <c r="F13" s="20">
        <f>VLOOKUP(C13,'لیست پرسنل'!$B$1:$F$1008,2,FALSE)</f>
        <v>2210</v>
      </c>
      <c r="G13" s="20" t="s">
        <v>3381</v>
      </c>
      <c r="H13" s="20"/>
      <c r="I13" s="20" t="s">
        <v>5927</v>
      </c>
      <c r="J13" s="20" t="s">
        <v>5713</v>
      </c>
      <c r="K13" s="20" t="s">
        <v>5703</v>
      </c>
      <c r="L13" s="62" t="s">
        <v>291</v>
      </c>
      <c r="M13" s="28"/>
      <c r="N13" s="28"/>
      <c r="O13" s="28"/>
      <c r="P13" s="28"/>
      <c r="Q13" s="28"/>
      <c r="R13" s="28"/>
    </row>
    <row r="14" spans="1:18" ht="24.9" customHeight="1">
      <c r="A14" s="20" t="s">
        <v>4345</v>
      </c>
      <c r="B14" s="20"/>
      <c r="C14" s="20" t="s">
        <v>48</v>
      </c>
      <c r="D14" s="20" t="str">
        <f>VLOOKUP(C14,'لیست پرسنل'!$B$1:$F$1008,3,FALSE)</f>
        <v>فکورصنعت</v>
      </c>
      <c r="E14" s="20" t="str">
        <f>VLOOKUP(C14,'لیست پرسنل'!$B$1:$F$1008,4,FALSE)</f>
        <v>سرپرست آی تی</v>
      </c>
      <c r="F14" s="20">
        <f>VLOOKUP(C14,'لیست پرسنل'!$B$1:$F$1008,2,FALSE)</f>
        <v>2210</v>
      </c>
      <c r="G14" s="20" t="s">
        <v>3381</v>
      </c>
      <c r="H14" s="20"/>
      <c r="I14" s="20" t="s">
        <v>5927</v>
      </c>
      <c r="J14" s="20" t="s">
        <v>5714</v>
      </c>
      <c r="K14" s="20" t="s">
        <v>5704</v>
      </c>
      <c r="L14" s="62" t="s">
        <v>291</v>
      </c>
      <c r="M14" s="28"/>
      <c r="N14" s="28"/>
      <c r="O14" s="28"/>
      <c r="P14" s="28"/>
      <c r="Q14" s="28"/>
      <c r="R14" s="28"/>
    </row>
    <row r="15" spans="1:18" ht="24.9" customHeight="1">
      <c r="A15" s="20" t="s">
        <v>4345</v>
      </c>
      <c r="B15" s="20"/>
      <c r="C15" s="20" t="s">
        <v>48</v>
      </c>
      <c r="D15" s="20" t="str">
        <f>VLOOKUP(C15,'لیست پرسنل'!$B$1:$F$1008,3,FALSE)</f>
        <v>فکورصنعت</v>
      </c>
      <c r="E15" s="20" t="str">
        <f>VLOOKUP(C15,'لیست پرسنل'!$B$1:$F$1008,4,FALSE)</f>
        <v>سرپرست آی تی</v>
      </c>
      <c r="F15" s="20">
        <f>VLOOKUP(C15,'لیست پرسنل'!$B$1:$F$1008,2,FALSE)</f>
        <v>2210</v>
      </c>
      <c r="G15" s="20" t="s">
        <v>3381</v>
      </c>
      <c r="H15" s="20"/>
      <c r="I15" s="20" t="s">
        <v>5927</v>
      </c>
      <c r="J15" s="20" t="s">
        <v>5715</v>
      </c>
      <c r="K15" s="20" t="s">
        <v>5705</v>
      </c>
      <c r="L15" s="62" t="s">
        <v>291</v>
      </c>
      <c r="M15" s="28"/>
      <c r="N15" s="28"/>
      <c r="O15" s="28"/>
      <c r="P15" s="28"/>
      <c r="Q15" s="28"/>
      <c r="R15" s="28"/>
    </row>
    <row r="16" spans="1:18" ht="24.9" customHeight="1">
      <c r="A16" s="20" t="s">
        <v>4345</v>
      </c>
      <c r="B16" s="20"/>
      <c r="C16" s="20" t="s">
        <v>48</v>
      </c>
      <c r="D16" s="20" t="str">
        <f>VLOOKUP(C16,'لیست پرسنل'!$B$1:$F$1008,3,FALSE)</f>
        <v>فکورصنعت</v>
      </c>
      <c r="E16" s="20" t="str">
        <f>VLOOKUP(C16,'لیست پرسنل'!$B$1:$F$1008,4,FALSE)</f>
        <v>سرپرست آی تی</v>
      </c>
      <c r="F16" s="20">
        <f>VLOOKUP(C16,'لیست پرسنل'!$B$1:$F$1008,2,FALSE)</f>
        <v>2210</v>
      </c>
      <c r="G16" s="20" t="s">
        <v>3381</v>
      </c>
      <c r="H16" s="20"/>
      <c r="I16" s="20" t="s">
        <v>5927</v>
      </c>
      <c r="J16" s="20" t="s">
        <v>5716</v>
      </c>
      <c r="K16" s="20" t="s">
        <v>5706</v>
      </c>
      <c r="L16" s="62" t="s">
        <v>291</v>
      </c>
      <c r="M16" s="28"/>
      <c r="N16" s="28"/>
      <c r="O16" s="28"/>
      <c r="P16" s="28"/>
      <c r="Q16" s="28"/>
      <c r="R16" s="28"/>
    </row>
    <row r="17" spans="1:18" ht="24.9" customHeight="1">
      <c r="A17" s="20" t="s">
        <v>4345</v>
      </c>
      <c r="B17" s="20"/>
      <c r="C17" s="20" t="s">
        <v>48</v>
      </c>
      <c r="D17" s="20" t="str">
        <f>VLOOKUP(C17,'لیست پرسنل'!$B$1:$F$1008,3,FALSE)</f>
        <v>فکورصنعت</v>
      </c>
      <c r="E17" s="20" t="str">
        <f>VLOOKUP(C17,'لیست پرسنل'!$B$1:$F$1008,4,FALSE)</f>
        <v>سرپرست آی تی</v>
      </c>
      <c r="F17" s="20">
        <f>VLOOKUP(C17,'لیست پرسنل'!$B$1:$F$1008,2,FALSE)</f>
        <v>2210</v>
      </c>
      <c r="G17" s="20" t="s">
        <v>3381</v>
      </c>
      <c r="H17" s="20"/>
      <c r="I17" s="20" t="s">
        <v>5927</v>
      </c>
      <c r="J17" s="20" t="s">
        <v>5717</v>
      </c>
      <c r="K17" s="20" t="s">
        <v>5707</v>
      </c>
      <c r="L17" s="62" t="s">
        <v>291</v>
      </c>
      <c r="M17" s="28"/>
      <c r="N17" s="28"/>
      <c r="O17" s="28"/>
      <c r="P17" s="28"/>
      <c r="Q17" s="28"/>
      <c r="R17" s="28"/>
    </row>
    <row r="18" spans="1:18" ht="24.9" customHeight="1">
      <c r="A18" s="20" t="s">
        <v>4345</v>
      </c>
      <c r="B18" s="20"/>
      <c r="C18" s="20" t="s">
        <v>48</v>
      </c>
      <c r="D18" s="20" t="str">
        <f>VLOOKUP(C18,'لیست پرسنل'!$B$1:$F$1008,3,FALSE)</f>
        <v>فکورصنعت</v>
      </c>
      <c r="E18" s="20" t="str">
        <f>VLOOKUP(C18,'لیست پرسنل'!$B$1:$F$1008,4,FALSE)</f>
        <v>سرپرست آی تی</v>
      </c>
      <c r="F18" s="20">
        <f>VLOOKUP(C18,'لیست پرسنل'!$B$1:$F$1008,2,FALSE)</f>
        <v>2210</v>
      </c>
      <c r="G18" s="20" t="s">
        <v>3381</v>
      </c>
      <c r="H18" s="20"/>
      <c r="I18" s="20" t="s">
        <v>5927</v>
      </c>
      <c r="J18" s="20" t="s">
        <v>5718</v>
      </c>
      <c r="K18" s="20" t="s">
        <v>5708</v>
      </c>
      <c r="L18" s="62" t="s">
        <v>291</v>
      </c>
      <c r="M18" s="28"/>
      <c r="N18" s="28"/>
      <c r="O18" s="28"/>
      <c r="P18" s="28"/>
      <c r="Q18" s="28"/>
      <c r="R18" s="28"/>
    </row>
    <row r="19" spans="1:18" ht="24.9" customHeight="1">
      <c r="A19" s="20" t="s">
        <v>4345</v>
      </c>
      <c r="B19" s="20"/>
      <c r="C19" s="20" t="s">
        <v>48</v>
      </c>
      <c r="D19" s="20" t="str">
        <f>VLOOKUP(C19,'لیست پرسنل'!$B$1:$F$1008,3,FALSE)</f>
        <v>فکورصنعت</v>
      </c>
      <c r="E19" s="20" t="str">
        <f>VLOOKUP(C19,'لیست پرسنل'!$B$1:$F$1008,4,FALSE)</f>
        <v>سرپرست آی تی</v>
      </c>
      <c r="F19" s="20">
        <f>VLOOKUP(C19,'لیست پرسنل'!$B$1:$F$1008,2,FALSE)</f>
        <v>2210</v>
      </c>
      <c r="G19" s="20" t="s">
        <v>3381</v>
      </c>
      <c r="H19" s="20"/>
      <c r="I19" s="20" t="s">
        <v>5927</v>
      </c>
      <c r="J19" s="20" t="s">
        <v>5719</v>
      </c>
      <c r="K19" s="20" t="s">
        <v>5709</v>
      </c>
      <c r="L19" s="62" t="s">
        <v>291</v>
      </c>
      <c r="M19" s="28"/>
      <c r="N19" s="28"/>
      <c r="O19" s="28"/>
      <c r="P19" s="28"/>
      <c r="Q19" s="28"/>
      <c r="R19" s="28"/>
    </row>
    <row r="20" spans="1:18" ht="24.9" customHeight="1">
      <c r="A20" s="20" t="s">
        <v>4345</v>
      </c>
      <c r="B20" s="20"/>
      <c r="C20" s="20" t="s">
        <v>48</v>
      </c>
      <c r="D20" s="20" t="str">
        <f>VLOOKUP(C20,'لیست پرسنل'!$B$1:$F$1008,3,FALSE)</f>
        <v>فکورصنعت</v>
      </c>
      <c r="E20" s="20" t="str">
        <f>VLOOKUP(C20,'لیست پرسنل'!$B$1:$F$1008,4,FALSE)</f>
        <v>سرپرست آی تی</v>
      </c>
      <c r="F20" s="20">
        <f>VLOOKUP(C20,'لیست پرسنل'!$B$1:$F$1008,2,FALSE)</f>
        <v>2210</v>
      </c>
      <c r="G20" s="20" t="s">
        <v>3381</v>
      </c>
      <c r="H20" s="20"/>
      <c r="I20" s="20" t="s">
        <v>5927</v>
      </c>
      <c r="J20" s="20" t="s">
        <v>5720</v>
      </c>
      <c r="K20" s="20" t="s">
        <v>5710</v>
      </c>
      <c r="L20" s="62" t="s">
        <v>291</v>
      </c>
      <c r="M20" s="28"/>
      <c r="N20" s="28"/>
      <c r="O20" s="28"/>
      <c r="P20" s="28"/>
      <c r="Q20" s="28"/>
      <c r="R20" s="28"/>
    </row>
    <row r="21" spans="1:18" ht="24.9" customHeight="1">
      <c r="A21" s="20" t="s">
        <v>4345</v>
      </c>
      <c r="B21" s="20"/>
      <c r="C21" s="20" t="s">
        <v>48</v>
      </c>
      <c r="D21" s="20" t="str">
        <f>VLOOKUP(C21,'لیست پرسنل'!$B$1:$F$1008,3,FALSE)</f>
        <v>فکورصنعت</v>
      </c>
      <c r="E21" s="20" t="str">
        <f>VLOOKUP(C21,'لیست پرسنل'!$B$1:$F$1008,4,FALSE)</f>
        <v>سرپرست آی تی</v>
      </c>
      <c r="F21" s="20">
        <f>VLOOKUP(C21,'لیست پرسنل'!$B$1:$F$1008,2,FALSE)</f>
        <v>2210</v>
      </c>
      <c r="G21" s="20" t="s">
        <v>3381</v>
      </c>
      <c r="H21" s="20"/>
      <c r="I21" s="20" t="s">
        <v>5927</v>
      </c>
      <c r="J21" s="20" t="s">
        <v>5603</v>
      </c>
      <c r="K21" s="20" t="s">
        <v>5605</v>
      </c>
      <c r="L21" s="62" t="s">
        <v>291</v>
      </c>
      <c r="M21" s="20"/>
      <c r="N21" s="20"/>
      <c r="O21" s="20"/>
      <c r="P21" s="19" t="s">
        <v>5616</v>
      </c>
      <c r="Q21" s="20"/>
      <c r="R21" s="20"/>
    </row>
    <row r="22" spans="1:18" ht="24.9" customHeight="1">
      <c r="A22" s="20" t="s">
        <v>4345</v>
      </c>
      <c r="B22" s="20"/>
      <c r="C22" s="20" t="s">
        <v>48</v>
      </c>
      <c r="D22" s="20" t="str">
        <f>VLOOKUP(C22,'لیست پرسنل'!$B$1:$F$1008,3,FALSE)</f>
        <v>فکورصنعت</v>
      </c>
      <c r="E22" s="20" t="str">
        <f>VLOOKUP(C22,'لیست پرسنل'!$B$1:$F$1008,4,FALSE)</f>
        <v>سرپرست آی تی</v>
      </c>
      <c r="F22" s="20">
        <f>VLOOKUP(C22,'لیست پرسنل'!$B$1:$F$1008,2,FALSE)</f>
        <v>2210</v>
      </c>
      <c r="G22" s="20" t="s">
        <v>3381</v>
      </c>
      <c r="H22" s="20"/>
      <c r="I22" s="20" t="s">
        <v>5927</v>
      </c>
      <c r="J22" s="20" t="s">
        <v>5603</v>
      </c>
      <c r="K22" s="20" t="s">
        <v>5606</v>
      </c>
      <c r="L22" s="62" t="s">
        <v>291</v>
      </c>
      <c r="M22" s="20"/>
      <c r="N22" s="20"/>
      <c r="O22" s="20"/>
      <c r="P22" s="19" t="s">
        <v>5616</v>
      </c>
      <c r="Q22" s="20"/>
      <c r="R22" s="20"/>
    </row>
    <row r="23" spans="1:18" ht="24.9" customHeight="1">
      <c r="A23" s="20" t="s">
        <v>4345</v>
      </c>
      <c r="B23" s="20"/>
      <c r="C23" s="20" t="s">
        <v>48</v>
      </c>
      <c r="D23" s="20" t="str">
        <f>VLOOKUP(C23,'لیست پرسنل'!$B$1:$F$1008,3,FALSE)</f>
        <v>فکورصنعت</v>
      </c>
      <c r="E23" s="20" t="str">
        <f>VLOOKUP(C23,'لیست پرسنل'!$B$1:$F$1008,4,FALSE)</f>
        <v>سرپرست آی تی</v>
      </c>
      <c r="F23" s="20">
        <f>VLOOKUP(C23,'لیست پرسنل'!$B$1:$F$1008,2,FALSE)</f>
        <v>2210</v>
      </c>
      <c r="G23" s="20" t="s">
        <v>3381</v>
      </c>
      <c r="H23" s="20"/>
      <c r="I23" s="20" t="s">
        <v>5927</v>
      </c>
      <c r="J23" s="20" t="s">
        <v>5603</v>
      </c>
      <c r="K23" s="20" t="s">
        <v>5607</v>
      </c>
      <c r="L23" s="62" t="s">
        <v>291</v>
      </c>
      <c r="M23" s="20"/>
      <c r="N23" s="20"/>
      <c r="O23" s="20"/>
      <c r="P23" s="19" t="s">
        <v>5616</v>
      </c>
      <c r="Q23" s="20"/>
      <c r="R23" s="20"/>
    </row>
    <row r="24" spans="1:18" ht="24.9" customHeight="1">
      <c r="A24" s="20" t="s">
        <v>4345</v>
      </c>
      <c r="B24" s="20"/>
      <c r="C24" s="20" t="s">
        <v>48</v>
      </c>
      <c r="D24" s="20" t="str">
        <f>VLOOKUP(C24,'لیست پرسنل'!$B$1:$F$1008,3,FALSE)</f>
        <v>فکورصنعت</v>
      </c>
      <c r="E24" s="20" t="str">
        <f>VLOOKUP(C24,'لیست پرسنل'!$B$1:$F$1008,4,FALSE)</f>
        <v>سرپرست آی تی</v>
      </c>
      <c r="F24" s="20">
        <f>VLOOKUP(C24,'لیست پرسنل'!$B$1:$F$1008,2,FALSE)</f>
        <v>2210</v>
      </c>
      <c r="G24" s="20" t="s">
        <v>3381</v>
      </c>
      <c r="H24" s="20"/>
      <c r="I24" s="20" t="s">
        <v>5927</v>
      </c>
      <c r="J24" s="20" t="s">
        <v>5603</v>
      </c>
      <c r="K24" s="20" t="s">
        <v>5608</v>
      </c>
      <c r="L24" s="62" t="s">
        <v>291</v>
      </c>
      <c r="M24" s="20"/>
      <c r="N24" s="20"/>
      <c r="O24" s="20"/>
      <c r="P24" s="19" t="s">
        <v>5616</v>
      </c>
      <c r="Q24" s="20"/>
      <c r="R24" s="20"/>
    </row>
    <row r="25" spans="1:18" ht="24.9" customHeight="1">
      <c r="A25" s="20" t="s">
        <v>4345</v>
      </c>
      <c r="B25" s="20"/>
      <c r="C25" s="20" t="s">
        <v>48</v>
      </c>
      <c r="D25" s="20" t="str">
        <f>VLOOKUP(C25,'لیست پرسنل'!$B$1:$F$1008,3,FALSE)</f>
        <v>فکورصنعت</v>
      </c>
      <c r="E25" s="20" t="str">
        <f>VLOOKUP(C25,'لیست پرسنل'!$B$1:$F$1008,4,FALSE)</f>
        <v>سرپرست آی تی</v>
      </c>
      <c r="F25" s="20">
        <f>VLOOKUP(C25,'لیست پرسنل'!$B$1:$F$1008,2,FALSE)</f>
        <v>2210</v>
      </c>
      <c r="G25" s="20" t="s">
        <v>3381</v>
      </c>
      <c r="H25" s="20"/>
      <c r="I25" s="20" t="s">
        <v>5927</v>
      </c>
      <c r="J25" s="20" t="s">
        <v>5603</v>
      </c>
      <c r="K25" s="20" t="s">
        <v>5609</v>
      </c>
      <c r="L25" s="62" t="s">
        <v>291</v>
      </c>
      <c r="M25" s="20"/>
      <c r="N25" s="20"/>
      <c r="O25" s="20"/>
      <c r="P25" s="19" t="s">
        <v>5616</v>
      </c>
      <c r="Q25" s="20"/>
      <c r="R25" s="20"/>
    </row>
    <row r="26" spans="1:18" ht="24.9" customHeight="1">
      <c r="A26" s="20" t="s">
        <v>4345</v>
      </c>
      <c r="B26" s="20"/>
      <c r="C26" s="20" t="s">
        <v>48</v>
      </c>
      <c r="D26" s="20" t="str">
        <f>VLOOKUP(C26,'لیست پرسنل'!$B$1:$F$1008,3,FALSE)</f>
        <v>فکورصنعت</v>
      </c>
      <c r="E26" s="20" t="str">
        <f>VLOOKUP(C26,'لیست پرسنل'!$B$1:$F$1008,4,FALSE)</f>
        <v>سرپرست آی تی</v>
      </c>
      <c r="F26" s="20">
        <f>VLOOKUP(C26,'لیست پرسنل'!$B$1:$F$1008,2,FALSE)</f>
        <v>2210</v>
      </c>
      <c r="G26" s="20" t="s">
        <v>3381</v>
      </c>
      <c r="H26" s="20"/>
      <c r="I26" s="20" t="s">
        <v>5927</v>
      </c>
      <c r="J26" s="20" t="s">
        <v>5603</v>
      </c>
      <c r="K26" s="20" t="s">
        <v>5610</v>
      </c>
      <c r="L26" s="62" t="s">
        <v>291</v>
      </c>
      <c r="M26" s="20"/>
      <c r="N26" s="20"/>
      <c r="O26" s="20"/>
      <c r="P26" s="19" t="s">
        <v>5616</v>
      </c>
      <c r="Q26" s="20"/>
      <c r="R26" s="20"/>
    </row>
    <row r="27" spans="1:18" ht="24.9" customHeight="1">
      <c r="A27" s="20" t="s">
        <v>4345</v>
      </c>
      <c r="B27" s="20"/>
      <c r="C27" s="20" t="s">
        <v>48</v>
      </c>
      <c r="D27" s="20" t="str">
        <f>VLOOKUP(C27,'لیست پرسنل'!$B$1:$F$1008,3,FALSE)</f>
        <v>فکورصنعت</v>
      </c>
      <c r="E27" s="20" t="str">
        <f>VLOOKUP(C27,'لیست پرسنل'!$B$1:$F$1008,4,FALSE)</f>
        <v>سرپرست آی تی</v>
      </c>
      <c r="F27" s="20">
        <f>VLOOKUP(C27,'لیست پرسنل'!$B$1:$F$1008,2,FALSE)</f>
        <v>2210</v>
      </c>
      <c r="G27" s="20" t="s">
        <v>3381</v>
      </c>
      <c r="H27" s="20"/>
      <c r="I27" s="20" t="s">
        <v>5927</v>
      </c>
      <c r="J27" s="20" t="s">
        <v>5603</v>
      </c>
      <c r="K27" s="20" t="s">
        <v>5611</v>
      </c>
      <c r="L27" s="62" t="s">
        <v>291</v>
      </c>
      <c r="M27" s="20"/>
      <c r="N27" s="20"/>
      <c r="O27" s="20"/>
      <c r="P27" s="19" t="s">
        <v>5616</v>
      </c>
      <c r="Q27" s="20"/>
      <c r="R27" s="20"/>
    </row>
    <row r="28" spans="1:18" ht="24.9" customHeight="1">
      <c r="A28" s="20" t="s">
        <v>4345</v>
      </c>
      <c r="B28" s="20"/>
      <c r="C28" s="20" t="s">
        <v>48</v>
      </c>
      <c r="D28" s="20" t="str">
        <f>VLOOKUP(C28,'لیست پرسنل'!$B$1:$F$1008,3,FALSE)</f>
        <v>فکورصنعت</v>
      </c>
      <c r="E28" s="20" t="str">
        <f>VLOOKUP(C28,'لیست پرسنل'!$B$1:$F$1008,4,FALSE)</f>
        <v>سرپرست آی تی</v>
      </c>
      <c r="F28" s="20">
        <f>VLOOKUP(C28,'لیست پرسنل'!$B$1:$F$1008,2,FALSE)</f>
        <v>2210</v>
      </c>
      <c r="G28" s="20" t="s">
        <v>3381</v>
      </c>
      <c r="H28" s="20"/>
      <c r="I28" s="20" t="s">
        <v>5927</v>
      </c>
      <c r="J28" s="20" t="s">
        <v>5603</v>
      </c>
      <c r="K28" s="20" t="s">
        <v>5612</v>
      </c>
      <c r="L28" s="62" t="s">
        <v>291</v>
      </c>
      <c r="M28" s="20"/>
      <c r="N28" s="20"/>
      <c r="O28" s="20"/>
      <c r="P28" s="19" t="s">
        <v>5616</v>
      </c>
      <c r="Q28" s="20"/>
      <c r="R28" s="20"/>
    </row>
    <row r="29" spans="1:18" ht="24.9" customHeight="1">
      <c r="A29" s="20" t="s">
        <v>4345</v>
      </c>
      <c r="B29" s="20"/>
      <c r="C29" s="20" t="s">
        <v>48</v>
      </c>
      <c r="D29" s="20" t="str">
        <f>VLOOKUP(C29,'لیست پرسنل'!$B$1:$F$1008,3,FALSE)</f>
        <v>فکورصنعت</v>
      </c>
      <c r="E29" s="20" t="str">
        <f>VLOOKUP(C29,'لیست پرسنل'!$B$1:$F$1008,4,FALSE)</f>
        <v>سرپرست آی تی</v>
      </c>
      <c r="F29" s="20">
        <f>VLOOKUP(C29,'لیست پرسنل'!$B$1:$F$1008,2,FALSE)</f>
        <v>2210</v>
      </c>
      <c r="G29" s="20" t="s">
        <v>3381</v>
      </c>
      <c r="H29" s="20"/>
      <c r="I29" s="20" t="s">
        <v>5927</v>
      </c>
      <c r="J29" s="20" t="s">
        <v>5603</v>
      </c>
      <c r="K29" s="20" t="s">
        <v>5613</v>
      </c>
      <c r="L29" s="62" t="s">
        <v>291</v>
      </c>
      <c r="M29" s="20"/>
      <c r="N29" s="20"/>
      <c r="O29" s="20"/>
      <c r="P29" s="19" t="s">
        <v>5616</v>
      </c>
      <c r="Q29" s="20"/>
      <c r="R29" s="20"/>
    </row>
    <row r="30" spans="1:18" ht="24.9" customHeight="1">
      <c r="A30" s="20" t="s">
        <v>4345</v>
      </c>
      <c r="B30" s="20"/>
      <c r="C30" s="20" t="s">
        <v>48</v>
      </c>
      <c r="D30" s="20" t="str">
        <f>VLOOKUP(C30,'لیست پرسنل'!$B$1:$F$1008,3,FALSE)</f>
        <v>فکورصنعت</v>
      </c>
      <c r="E30" s="20" t="str">
        <f>VLOOKUP(C30,'لیست پرسنل'!$B$1:$F$1008,4,FALSE)</f>
        <v>سرپرست آی تی</v>
      </c>
      <c r="F30" s="20">
        <f>VLOOKUP(C30,'لیست پرسنل'!$B$1:$F$1008,2,FALSE)</f>
        <v>2210</v>
      </c>
      <c r="G30" s="20" t="s">
        <v>3381</v>
      </c>
      <c r="H30" s="20"/>
      <c r="I30" s="20" t="s">
        <v>5927</v>
      </c>
      <c r="J30" s="20" t="s">
        <v>5603</v>
      </c>
      <c r="K30" s="20" t="s">
        <v>5614</v>
      </c>
      <c r="L30" s="62" t="s">
        <v>291</v>
      </c>
      <c r="M30" s="20"/>
      <c r="N30" s="20"/>
      <c r="O30" s="20"/>
      <c r="P30" s="19" t="s">
        <v>5616</v>
      </c>
      <c r="Q30" s="20"/>
      <c r="R30" s="20"/>
    </row>
    <row r="31" spans="1:18" ht="24.9" customHeight="1">
      <c r="A31" s="20" t="s">
        <v>4345</v>
      </c>
      <c r="B31" s="20"/>
      <c r="C31" s="20" t="s">
        <v>48</v>
      </c>
      <c r="D31" s="20" t="str">
        <f>VLOOKUP(C31,'لیست پرسنل'!$B$1:$F$1008,3,FALSE)</f>
        <v>فکورصنعت</v>
      </c>
      <c r="E31" s="20" t="str">
        <f>VLOOKUP(C31,'لیست پرسنل'!$B$1:$F$1008,4,FALSE)</f>
        <v>سرپرست آی تی</v>
      </c>
      <c r="F31" s="20">
        <f>VLOOKUP(C31,'لیست پرسنل'!$B$1:$F$1008,2,FALSE)</f>
        <v>2210</v>
      </c>
      <c r="G31" s="20" t="s">
        <v>4290</v>
      </c>
      <c r="H31" s="20"/>
      <c r="I31" s="20" t="s">
        <v>5927</v>
      </c>
      <c r="J31" s="20" t="s">
        <v>1871</v>
      </c>
      <c r="K31" s="20"/>
      <c r="L31" s="62" t="s">
        <v>291</v>
      </c>
      <c r="M31" s="20"/>
      <c r="N31" s="20"/>
      <c r="O31" s="20"/>
      <c r="P31" s="20" t="s">
        <v>611</v>
      </c>
      <c r="Q31" s="20"/>
      <c r="R31" s="20"/>
    </row>
    <row r="32" spans="1:18" ht="24.9" customHeight="1">
      <c r="A32" s="20" t="s">
        <v>4345</v>
      </c>
      <c r="B32" s="20"/>
      <c r="C32" s="20" t="s">
        <v>48</v>
      </c>
      <c r="D32" s="20" t="str">
        <f>VLOOKUP(C32,'لیست پرسنل'!$B$1:$F$1008,3,FALSE)</f>
        <v>فکورصنعت</v>
      </c>
      <c r="E32" s="20" t="str">
        <f>VLOOKUP(C32,'لیست پرسنل'!$B$1:$F$1008,4,FALSE)</f>
        <v>سرپرست آی تی</v>
      </c>
      <c r="F32" s="20">
        <f>VLOOKUP(C32,'لیست پرسنل'!$B$1:$F$1008,2,FALSE)</f>
        <v>2210</v>
      </c>
      <c r="G32" s="20" t="s">
        <v>4290</v>
      </c>
      <c r="H32" s="20"/>
      <c r="I32" s="20" t="s">
        <v>5927</v>
      </c>
      <c r="J32" s="20" t="s">
        <v>1871</v>
      </c>
      <c r="K32" s="20"/>
      <c r="L32" s="62" t="s">
        <v>291</v>
      </c>
      <c r="M32" s="20"/>
      <c r="N32" s="20"/>
      <c r="O32" s="20"/>
      <c r="P32" s="20" t="s">
        <v>611</v>
      </c>
      <c r="Q32" s="20"/>
      <c r="R32" s="20"/>
    </row>
    <row r="33" spans="1:18" ht="24.9" customHeight="1">
      <c r="A33" s="20" t="s">
        <v>4345</v>
      </c>
      <c r="B33" s="20"/>
      <c r="C33" s="20" t="s">
        <v>48</v>
      </c>
      <c r="D33" s="20" t="str">
        <f>VLOOKUP(C33,'لیست پرسنل'!$B$1:$F$1008,3,FALSE)</f>
        <v>فکورصنعت</v>
      </c>
      <c r="E33" s="20" t="str">
        <f>VLOOKUP(C33,'لیست پرسنل'!$B$1:$F$1008,4,FALSE)</f>
        <v>سرپرست آی تی</v>
      </c>
      <c r="F33" s="20">
        <f>VLOOKUP(C33,'لیست پرسنل'!$B$1:$F$1008,2,FALSE)</f>
        <v>2210</v>
      </c>
      <c r="G33" s="20" t="s">
        <v>4290</v>
      </c>
      <c r="H33" s="20"/>
      <c r="I33" s="20" t="s">
        <v>3480</v>
      </c>
      <c r="J33" s="20" t="s">
        <v>882</v>
      </c>
      <c r="K33" s="20"/>
      <c r="L33" s="62" t="s">
        <v>291</v>
      </c>
      <c r="M33" s="20"/>
      <c r="N33" s="20"/>
      <c r="O33" s="20"/>
      <c r="P33" s="20" t="s">
        <v>611</v>
      </c>
      <c r="Q33" s="20"/>
      <c r="R33" s="20"/>
    </row>
    <row r="34" spans="1:18" ht="24.9" customHeight="1">
      <c r="A34" s="20" t="s">
        <v>4345</v>
      </c>
      <c r="B34" s="20"/>
      <c r="C34" s="20" t="s">
        <v>48</v>
      </c>
      <c r="D34" s="20" t="str">
        <f>VLOOKUP(C34,'لیست پرسنل'!$B$1:$F$1008,3,FALSE)</f>
        <v>فکورصنعت</v>
      </c>
      <c r="E34" s="20" t="str">
        <f>VLOOKUP(C34,'لیست پرسنل'!$B$1:$F$1008,4,FALSE)</f>
        <v>سرپرست آی تی</v>
      </c>
      <c r="F34" s="20">
        <f>VLOOKUP(C34,'لیست پرسنل'!$B$1:$F$1008,2,FALSE)</f>
        <v>2210</v>
      </c>
      <c r="G34" s="20" t="s">
        <v>4290</v>
      </c>
      <c r="H34" s="20"/>
      <c r="I34" s="20" t="s">
        <v>5927</v>
      </c>
      <c r="J34" s="20" t="s">
        <v>4952</v>
      </c>
      <c r="K34" s="20" t="s">
        <v>4957</v>
      </c>
      <c r="L34" s="62" t="s">
        <v>525</v>
      </c>
      <c r="M34" s="20"/>
      <c r="N34" s="20" t="s">
        <v>4951</v>
      </c>
      <c r="O34" s="20"/>
      <c r="P34" s="20" t="s">
        <v>5155</v>
      </c>
      <c r="Q34" s="20"/>
      <c r="R34" s="20"/>
    </row>
    <row r="35" spans="1:18" ht="24.9" customHeight="1">
      <c r="A35" s="20" t="s">
        <v>4355</v>
      </c>
      <c r="B35" s="20"/>
      <c r="C35" s="20" t="s">
        <v>3536</v>
      </c>
      <c r="D35" s="20" t="str">
        <f>VLOOKUP(C35,'لیست پرسنل'!$B$1:$F$1008,3,FALSE)</f>
        <v>فکورصنعت</v>
      </c>
      <c r="E35" s="20" t="str">
        <f>VLOOKUP(C35,'لیست پرسنل'!$B$1:$F$1008,4,FALSE)</f>
        <v>انبار</v>
      </c>
      <c r="F35" s="20">
        <f>VLOOKUP(C35,'لیست پرسنل'!$B$1:$F$1008,2,FALSE)</f>
        <v>1536</v>
      </c>
      <c r="G35" s="20" t="s">
        <v>3708</v>
      </c>
      <c r="H35" s="20"/>
      <c r="I35" s="20" t="s">
        <v>5927</v>
      </c>
      <c r="J35" s="20" t="s">
        <v>1017</v>
      </c>
      <c r="K35" s="20"/>
      <c r="L35" s="20" t="s">
        <v>291</v>
      </c>
      <c r="M35" s="20"/>
      <c r="N35" s="20"/>
      <c r="O35" s="20"/>
      <c r="P35" s="20" t="s">
        <v>3709</v>
      </c>
      <c r="Q35" s="20"/>
      <c r="R35" s="20"/>
    </row>
    <row r="36" spans="1:18" ht="24.9" customHeight="1">
      <c r="A36" s="20" t="s">
        <v>4355</v>
      </c>
      <c r="B36" s="20"/>
      <c r="C36" s="20" t="s">
        <v>3536</v>
      </c>
      <c r="D36" s="20" t="str">
        <f>VLOOKUP(C36,'لیست پرسنل'!$B$1:$F$1008,3,FALSE)</f>
        <v>فکورصنعت</v>
      </c>
      <c r="E36" s="20" t="str">
        <f>VLOOKUP(C36,'لیست پرسنل'!$B$1:$F$1008,4,FALSE)</f>
        <v>انبار</v>
      </c>
      <c r="F36" s="20">
        <f>VLOOKUP(C36,'لیست پرسنل'!$B$1:$F$1008,2,FALSE)</f>
        <v>1536</v>
      </c>
      <c r="G36" s="20" t="s">
        <v>3708</v>
      </c>
      <c r="H36" s="20"/>
      <c r="I36" s="20" t="s">
        <v>5927</v>
      </c>
      <c r="J36" s="20" t="s">
        <v>1017</v>
      </c>
      <c r="K36" s="20"/>
      <c r="L36" s="20" t="s">
        <v>291</v>
      </c>
      <c r="M36" s="20"/>
      <c r="N36" s="20"/>
      <c r="O36" s="20"/>
      <c r="P36" s="20" t="s">
        <v>3709</v>
      </c>
      <c r="Q36" s="20"/>
      <c r="R36" s="20"/>
    </row>
    <row r="37" spans="1:18" ht="24.9" customHeight="1">
      <c r="A37" s="20" t="s">
        <v>4355</v>
      </c>
      <c r="B37" s="20"/>
      <c r="C37" s="20" t="s">
        <v>3536</v>
      </c>
      <c r="D37" s="20" t="str">
        <f>VLOOKUP(C37,'لیست پرسنل'!$B$1:$F$1008,3,FALSE)</f>
        <v>فکورصنعت</v>
      </c>
      <c r="E37" s="20" t="str">
        <f>VLOOKUP(C37,'لیست پرسنل'!$B$1:$F$1008,4,FALSE)</f>
        <v>انبار</v>
      </c>
      <c r="F37" s="20">
        <f>VLOOKUP(C37,'لیست پرسنل'!$B$1:$F$1008,2,FALSE)</f>
        <v>1536</v>
      </c>
      <c r="G37" s="20" t="s">
        <v>3708</v>
      </c>
      <c r="H37" s="20"/>
      <c r="I37" s="20" t="s">
        <v>5927</v>
      </c>
      <c r="J37" s="20" t="s">
        <v>1017</v>
      </c>
      <c r="K37" s="20"/>
      <c r="L37" s="20" t="s">
        <v>291</v>
      </c>
      <c r="M37" s="20"/>
      <c r="N37" s="20"/>
      <c r="O37" s="20"/>
      <c r="P37" s="20" t="s">
        <v>3709</v>
      </c>
      <c r="Q37" s="20"/>
      <c r="R37" s="20"/>
    </row>
    <row r="38" spans="1:18" ht="24.9" customHeight="1">
      <c r="A38" s="20" t="s">
        <v>4355</v>
      </c>
      <c r="B38" s="20"/>
      <c r="C38" s="20" t="s">
        <v>3536</v>
      </c>
      <c r="D38" s="20" t="str">
        <f>VLOOKUP(C38,'لیست پرسنل'!$B$1:$F$1008,3,FALSE)</f>
        <v>فکورصنعت</v>
      </c>
      <c r="E38" s="20" t="str">
        <f>VLOOKUP(C38,'لیست پرسنل'!$B$1:$F$1008,4,FALSE)</f>
        <v>انبار</v>
      </c>
      <c r="F38" s="20">
        <f>VLOOKUP(C38,'لیست پرسنل'!$B$1:$F$1008,2,FALSE)</f>
        <v>1536</v>
      </c>
      <c r="G38" s="20" t="s">
        <v>3708</v>
      </c>
      <c r="H38" s="20"/>
      <c r="I38" s="20" t="s">
        <v>5927</v>
      </c>
      <c r="J38" s="20" t="s">
        <v>1017</v>
      </c>
      <c r="K38" s="20"/>
      <c r="L38" s="20" t="s">
        <v>291</v>
      </c>
      <c r="M38" s="20"/>
      <c r="N38" s="20"/>
      <c r="O38" s="20"/>
      <c r="P38" s="20" t="s">
        <v>3709</v>
      </c>
      <c r="Q38" s="20"/>
      <c r="R38" s="20"/>
    </row>
    <row r="39" spans="1:18" ht="24.9" customHeight="1">
      <c r="A39" s="20" t="s">
        <v>4355</v>
      </c>
      <c r="B39" s="20"/>
      <c r="C39" s="20" t="s">
        <v>3536</v>
      </c>
      <c r="D39" s="20" t="str">
        <f>VLOOKUP(C39,'لیست پرسنل'!$B$1:$F$1008,3,FALSE)</f>
        <v>فکورصنعت</v>
      </c>
      <c r="E39" s="20" t="str">
        <f>VLOOKUP(C39,'لیست پرسنل'!$B$1:$F$1008,4,FALSE)</f>
        <v>انبار</v>
      </c>
      <c r="F39" s="20">
        <f>VLOOKUP(C39,'لیست پرسنل'!$B$1:$F$1008,2,FALSE)</f>
        <v>1536</v>
      </c>
      <c r="G39" s="20" t="s">
        <v>3708</v>
      </c>
      <c r="H39" s="20"/>
      <c r="I39" s="20" t="s">
        <v>5927</v>
      </c>
      <c r="J39" s="20" t="s">
        <v>1017</v>
      </c>
      <c r="K39" s="20"/>
      <c r="L39" s="20" t="s">
        <v>291</v>
      </c>
      <c r="M39" s="20"/>
      <c r="N39" s="20"/>
      <c r="O39" s="20"/>
      <c r="P39" s="20" t="s">
        <v>3709</v>
      </c>
      <c r="Q39" s="20"/>
      <c r="R39" s="20"/>
    </row>
    <row r="40" spans="1:18" ht="24.9" customHeight="1">
      <c r="A40" s="20" t="s">
        <v>4346</v>
      </c>
      <c r="B40" s="20"/>
      <c r="C40" s="20" t="s">
        <v>48</v>
      </c>
      <c r="D40" s="20" t="str">
        <f>VLOOKUP(C40,'لیست پرسنل'!$B$1:$F$1008,3,FALSE)</f>
        <v>فکورصنعت</v>
      </c>
      <c r="E40" s="20" t="str">
        <f>VLOOKUP(C40,'لیست پرسنل'!$B$1:$F$1008,4,FALSE)</f>
        <v>سرپرست آی تی</v>
      </c>
      <c r="F40" s="20">
        <f>VLOOKUP(C40,'لیست پرسنل'!$B$1:$F$1008,2,FALSE)</f>
        <v>2210</v>
      </c>
      <c r="G40" s="20" t="s">
        <v>3847</v>
      </c>
      <c r="H40" s="20"/>
      <c r="I40" s="20" t="s">
        <v>5927</v>
      </c>
      <c r="J40" s="20" t="s">
        <v>5723</v>
      </c>
      <c r="K40" s="20"/>
      <c r="L40" s="62" t="s">
        <v>291</v>
      </c>
      <c r="M40" s="28"/>
      <c r="N40" s="28"/>
      <c r="O40" s="28"/>
      <c r="P40" s="20" t="s">
        <v>5728</v>
      </c>
      <c r="Q40" s="28"/>
      <c r="R40" s="28"/>
    </row>
    <row r="41" spans="1:18" ht="24.9" customHeight="1">
      <c r="A41" s="20" t="s">
        <v>4346</v>
      </c>
      <c r="B41" s="20"/>
      <c r="C41" s="20" t="s">
        <v>48</v>
      </c>
      <c r="D41" s="20" t="str">
        <f>VLOOKUP(C41,'لیست پرسنل'!$B$1:$F$1008,3,FALSE)</f>
        <v>فکورصنعت</v>
      </c>
      <c r="E41" s="20" t="str">
        <f>VLOOKUP(C41,'لیست پرسنل'!$B$1:$F$1008,4,FALSE)</f>
        <v>سرپرست آی تی</v>
      </c>
      <c r="F41" s="20">
        <f>VLOOKUP(C41,'لیست پرسنل'!$B$1:$F$1008,2,FALSE)</f>
        <v>2210</v>
      </c>
      <c r="G41" s="20" t="s">
        <v>3847</v>
      </c>
      <c r="H41" s="20"/>
      <c r="I41" s="20" t="s">
        <v>5927</v>
      </c>
      <c r="J41" s="20" t="s">
        <v>5723</v>
      </c>
      <c r="K41" s="20"/>
      <c r="L41" s="62" t="s">
        <v>291</v>
      </c>
      <c r="M41" s="28"/>
      <c r="N41" s="28"/>
      <c r="O41" s="28"/>
      <c r="P41" s="20" t="s">
        <v>5728</v>
      </c>
      <c r="Q41" s="28"/>
      <c r="R41" s="28"/>
    </row>
    <row r="42" spans="1:18" ht="24.9" customHeight="1">
      <c r="A42" s="20" t="s">
        <v>4346</v>
      </c>
      <c r="B42" s="20"/>
      <c r="C42" s="20" t="s">
        <v>48</v>
      </c>
      <c r="D42" s="20" t="str">
        <f>VLOOKUP(C42,'لیست پرسنل'!$B$1:$F$1008,3,FALSE)</f>
        <v>فکورصنعت</v>
      </c>
      <c r="E42" s="20" t="str">
        <f>VLOOKUP(C42,'لیست پرسنل'!$B$1:$F$1008,4,FALSE)</f>
        <v>سرپرست آی تی</v>
      </c>
      <c r="F42" s="20">
        <f>VLOOKUP(C42,'لیست پرسنل'!$B$1:$F$1008,2,FALSE)</f>
        <v>2210</v>
      </c>
      <c r="G42" s="20" t="s">
        <v>3847</v>
      </c>
      <c r="H42" s="20"/>
      <c r="I42" s="20" t="s">
        <v>5927</v>
      </c>
      <c r="J42" s="20" t="s">
        <v>5723</v>
      </c>
      <c r="K42" s="20"/>
      <c r="L42" s="62" t="s">
        <v>291</v>
      </c>
      <c r="M42" s="28"/>
      <c r="N42" s="28"/>
      <c r="O42" s="28"/>
      <c r="P42" s="20" t="s">
        <v>5728</v>
      </c>
      <c r="Q42" s="28"/>
      <c r="R42" s="28"/>
    </row>
    <row r="43" spans="1:18" ht="24.9" customHeight="1">
      <c r="A43" s="20" t="s">
        <v>4346</v>
      </c>
      <c r="B43" s="20"/>
      <c r="C43" s="20" t="s">
        <v>48</v>
      </c>
      <c r="D43" s="20" t="str">
        <f>VLOOKUP(C43,'لیست پرسنل'!$B$1:$F$1008,3,FALSE)</f>
        <v>فکورصنعت</v>
      </c>
      <c r="E43" s="20" t="str">
        <f>VLOOKUP(C43,'لیست پرسنل'!$B$1:$F$1008,4,FALSE)</f>
        <v>سرپرست آی تی</v>
      </c>
      <c r="F43" s="20">
        <f>VLOOKUP(C43,'لیست پرسنل'!$B$1:$F$1008,2,FALSE)</f>
        <v>2210</v>
      </c>
      <c r="G43" s="20" t="s">
        <v>3847</v>
      </c>
      <c r="H43" s="20"/>
      <c r="I43" s="20" t="s">
        <v>5927</v>
      </c>
      <c r="J43" s="20" t="s">
        <v>5723</v>
      </c>
      <c r="K43" s="20"/>
      <c r="L43" s="62" t="s">
        <v>291</v>
      </c>
      <c r="M43" s="28"/>
      <c r="N43" s="28"/>
      <c r="O43" s="28"/>
      <c r="P43" s="20" t="s">
        <v>5728</v>
      </c>
      <c r="Q43" s="28"/>
      <c r="R43" s="28"/>
    </row>
    <row r="44" spans="1:18" ht="24.9" customHeight="1">
      <c r="A44" s="20" t="s">
        <v>4346</v>
      </c>
      <c r="B44" s="20"/>
      <c r="C44" s="20" t="s">
        <v>48</v>
      </c>
      <c r="D44" s="20" t="str">
        <f>VLOOKUP(C44,'لیست پرسنل'!$B$1:$F$1008,3,FALSE)</f>
        <v>فکورصنعت</v>
      </c>
      <c r="E44" s="20" t="str">
        <f>VLOOKUP(C44,'لیست پرسنل'!$B$1:$F$1008,4,FALSE)</f>
        <v>سرپرست آی تی</v>
      </c>
      <c r="F44" s="20">
        <f>VLOOKUP(C44,'لیست پرسنل'!$B$1:$F$1008,2,FALSE)</f>
        <v>2210</v>
      </c>
      <c r="G44" s="20" t="s">
        <v>3847</v>
      </c>
      <c r="H44" s="20"/>
      <c r="I44" s="20" t="s">
        <v>5927</v>
      </c>
      <c r="J44" s="20" t="s">
        <v>5723</v>
      </c>
      <c r="K44" s="20"/>
      <c r="L44" s="62" t="s">
        <v>291</v>
      </c>
      <c r="M44" s="28"/>
      <c r="N44" s="28"/>
      <c r="O44" s="28"/>
      <c r="P44" s="20" t="s">
        <v>5728</v>
      </c>
      <c r="Q44" s="28"/>
      <c r="R44" s="28"/>
    </row>
    <row r="45" spans="1:18" ht="24.9" customHeight="1">
      <c r="A45" s="20" t="s">
        <v>4346</v>
      </c>
      <c r="B45" s="20"/>
      <c r="C45" s="20" t="s">
        <v>48</v>
      </c>
      <c r="D45" s="20" t="str">
        <f>VLOOKUP(C45,'لیست پرسنل'!$B$1:$F$1008,3,FALSE)</f>
        <v>فکورصنعت</v>
      </c>
      <c r="E45" s="20" t="str">
        <f>VLOOKUP(C45,'لیست پرسنل'!$B$1:$F$1008,4,FALSE)</f>
        <v>سرپرست آی تی</v>
      </c>
      <c r="F45" s="20">
        <f>VLOOKUP(C45,'لیست پرسنل'!$B$1:$F$1008,2,FALSE)</f>
        <v>2210</v>
      </c>
      <c r="G45" s="20" t="s">
        <v>3847</v>
      </c>
      <c r="H45" s="20"/>
      <c r="I45" s="20" t="s">
        <v>5927</v>
      </c>
      <c r="J45" s="20" t="s">
        <v>5723</v>
      </c>
      <c r="K45" s="20"/>
      <c r="L45" s="62" t="s">
        <v>291</v>
      </c>
      <c r="M45" s="28"/>
      <c r="N45" s="28"/>
      <c r="O45" s="28"/>
      <c r="P45" s="20" t="s">
        <v>5728</v>
      </c>
      <c r="Q45" s="28"/>
      <c r="R45" s="28"/>
    </row>
    <row r="46" spans="1:18" ht="24.9" customHeight="1">
      <c r="A46" s="20" t="s">
        <v>4346</v>
      </c>
      <c r="B46" s="20"/>
      <c r="C46" s="20" t="s">
        <v>48</v>
      </c>
      <c r="D46" s="20" t="str">
        <f>VLOOKUP(C46,'لیست پرسنل'!$B$1:$F$1008,3,FALSE)</f>
        <v>فکورصنعت</v>
      </c>
      <c r="E46" s="20" t="str">
        <f>VLOOKUP(C46,'لیست پرسنل'!$B$1:$F$1008,4,FALSE)</f>
        <v>سرپرست آی تی</v>
      </c>
      <c r="F46" s="20">
        <f>VLOOKUP(C46,'لیست پرسنل'!$B$1:$F$1008,2,FALSE)</f>
        <v>2210</v>
      </c>
      <c r="G46" s="20" t="s">
        <v>3847</v>
      </c>
      <c r="H46" s="20"/>
      <c r="I46" s="20" t="s">
        <v>5927</v>
      </c>
      <c r="J46" s="20" t="s">
        <v>5723</v>
      </c>
      <c r="K46" s="20"/>
      <c r="L46" s="62" t="s">
        <v>291</v>
      </c>
      <c r="M46" s="28"/>
      <c r="N46" s="28"/>
      <c r="O46" s="28"/>
      <c r="P46" s="20" t="s">
        <v>5728</v>
      </c>
      <c r="Q46" s="28"/>
      <c r="R46" s="28"/>
    </row>
    <row r="47" spans="1:18" ht="24.9" customHeight="1">
      <c r="A47" s="20" t="s">
        <v>4346</v>
      </c>
      <c r="B47" s="20"/>
      <c r="C47" s="20" t="s">
        <v>48</v>
      </c>
      <c r="D47" s="20" t="str">
        <f>VLOOKUP(C47,'لیست پرسنل'!$B$1:$F$1008,3,FALSE)</f>
        <v>فکورصنعت</v>
      </c>
      <c r="E47" s="20" t="str">
        <f>VLOOKUP(C47,'لیست پرسنل'!$B$1:$F$1008,4,FALSE)</f>
        <v>سرپرست آی تی</v>
      </c>
      <c r="F47" s="20">
        <f>VLOOKUP(C47,'لیست پرسنل'!$B$1:$F$1008,2,FALSE)</f>
        <v>2210</v>
      </c>
      <c r="G47" s="20" t="s">
        <v>3847</v>
      </c>
      <c r="H47" s="20"/>
      <c r="I47" s="20" t="s">
        <v>5927</v>
      </c>
      <c r="J47" s="20" t="s">
        <v>5723</v>
      </c>
      <c r="K47" s="20"/>
      <c r="L47" s="62" t="s">
        <v>291</v>
      </c>
      <c r="M47" s="28"/>
      <c r="N47" s="28"/>
      <c r="O47" s="28"/>
      <c r="P47" s="20" t="s">
        <v>5728</v>
      </c>
      <c r="Q47" s="28"/>
      <c r="R47" s="28"/>
    </row>
    <row r="48" spans="1:18" ht="24.9" customHeight="1">
      <c r="A48" s="20" t="s">
        <v>4346</v>
      </c>
      <c r="B48" s="20"/>
      <c r="C48" s="20" t="s">
        <v>48</v>
      </c>
      <c r="D48" s="20" t="str">
        <f>VLOOKUP(C48,'لیست پرسنل'!$B$1:$F$1008,3,FALSE)</f>
        <v>فکورصنعت</v>
      </c>
      <c r="E48" s="20" t="str">
        <f>VLOOKUP(C48,'لیست پرسنل'!$B$1:$F$1008,4,FALSE)</f>
        <v>سرپرست آی تی</v>
      </c>
      <c r="F48" s="20">
        <f>VLOOKUP(C48,'لیست پرسنل'!$B$1:$F$1008,2,FALSE)</f>
        <v>2210</v>
      </c>
      <c r="G48" s="20" t="s">
        <v>3847</v>
      </c>
      <c r="H48" s="20"/>
      <c r="I48" s="20" t="s">
        <v>5927</v>
      </c>
      <c r="J48" s="20" t="s">
        <v>5723</v>
      </c>
      <c r="K48" s="20"/>
      <c r="L48" s="62" t="s">
        <v>291</v>
      </c>
      <c r="M48" s="28"/>
      <c r="N48" s="28"/>
      <c r="O48" s="28"/>
      <c r="P48" s="20" t="s">
        <v>5728</v>
      </c>
      <c r="Q48" s="28"/>
      <c r="R48" s="28"/>
    </row>
    <row r="49" spans="1:18" ht="24.9" customHeight="1">
      <c r="A49" s="20" t="s">
        <v>4346</v>
      </c>
      <c r="B49" s="20"/>
      <c r="C49" s="20" t="s">
        <v>48</v>
      </c>
      <c r="D49" s="20" t="str">
        <f>VLOOKUP(C49,'لیست پرسنل'!$B$1:$F$1008,3,FALSE)</f>
        <v>فکورصنعت</v>
      </c>
      <c r="E49" s="20" t="str">
        <f>VLOOKUP(C49,'لیست پرسنل'!$B$1:$F$1008,4,FALSE)</f>
        <v>سرپرست آی تی</v>
      </c>
      <c r="F49" s="20">
        <f>VLOOKUP(C49,'لیست پرسنل'!$B$1:$F$1008,2,FALSE)</f>
        <v>2210</v>
      </c>
      <c r="G49" s="20" t="s">
        <v>3847</v>
      </c>
      <c r="H49" s="20"/>
      <c r="I49" s="20" t="s">
        <v>5927</v>
      </c>
      <c r="J49" s="20" t="s">
        <v>5723</v>
      </c>
      <c r="K49" s="20"/>
      <c r="L49" s="62" t="s">
        <v>291</v>
      </c>
      <c r="M49" s="28"/>
      <c r="N49" s="28"/>
      <c r="O49" s="28"/>
      <c r="P49" s="20" t="s">
        <v>5728</v>
      </c>
      <c r="Q49" s="28"/>
      <c r="R49" s="28"/>
    </row>
    <row r="50" spans="1:18" ht="24.9" customHeight="1">
      <c r="A50" s="20" t="s">
        <v>4346</v>
      </c>
      <c r="B50" s="20"/>
      <c r="C50" s="20" t="s">
        <v>48</v>
      </c>
      <c r="D50" s="20" t="str">
        <f>VLOOKUP(C50,'لیست پرسنل'!$B$1:$F$1008,3,FALSE)</f>
        <v>فکورصنعت</v>
      </c>
      <c r="E50" s="20" t="str">
        <f>VLOOKUP(C50,'لیست پرسنل'!$B$1:$F$1008,4,FALSE)</f>
        <v>سرپرست آی تی</v>
      </c>
      <c r="F50" s="20">
        <f>VLOOKUP(C50,'لیست پرسنل'!$B$1:$F$1008,2,FALSE)</f>
        <v>2210</v>
      </c>
      <c r="G50" s="20" t="s">
        <v>3847</v>
      </c>
      <c r="H50" s="20"/>
      <c r="I50" s="20" t="s">
        <v>5927</v>
      </c>
      <c r="J50" s="20" t="s">
        <v>5723</v>
      </c>
      <c r="K50" s="20"/>
      <c r="L50" s="62" t="s">
        <v>291</v>
      </c>
      <c r="M50" s="28"/>
      <c r="N50" s="28"/>
      <c r="O50" s="28"/>
      <c r="P50" s="20" t="s">
        <v>5728</v>
      </c>
      <c r="Q50" s="28"/>
      <c r="R50" s="28"/>
    </row>
    <row r="51" spans="1:18" ht="24.9" customHeight="1">
      <c r="A51" s="20" t="s">
        <v>4346</v>
      </c>
      <c r="B51" s="20"/>
      <c r="C51" s="20" t="s">
        <v>48</v>
      </c>
      <c r="D51" s="20" t="str">
        <f>VLOOKUP(C51,'لیست پرسنل'!$B$1:$F$1008,3,FALSE)</f>
        <v>فکورصنعت</v>
      </c>
      <c r="E51" s="20" t="str">
        <f>VLOOKUP(C51,'لیست پرسنل'!$B$1:$F$1008,4,FALSE)</f>
        <v>سرپرست آی تی</v>
      </c>
      <c r="F51" s="20">
        <f>VLOOKUP(C51,'لیست پرسنل'!$B$1:$F$1008,2,FALSE)</f>
        <v>2210</v>
      </c>
      <c r="G51" s="20" t="s">
        <v>3847</v>
      </c>
      <c r="H51" s="20"/>
      <c r="I51" s="20" t="s">
        <v>5927</v>
      </c>
      <c r="J51" s="20" t="s">
        <v>5723</v>
      </c>
      <c r="K51" s="20"/>
      <c r="L51" s="62" t="s">
        <v>291</v>
      </c>
      <c r="M51" s="28"/>
      <c r="N51" s="28"/>
      <c r="O51" s="28"/>
      <c r="P51" s="20" t="s">
        <v>5728</v>
      </c>
      <c r="Q51" s="28"/>
      <c r="R51" s="28"/>
    </row>
    <row r="52" spans="1:18" ht="24.9" customHeight="1">
      <c r="A52" s="20" t="s">
        <v>4346</v>
      </c>
      <c r="B52" s="20"/>
      <c r="C52" s="20" t="s">
        <v>48</v>
      </c>
      <c r="D52" s="20" t="str">
        <f>VLOOKUP(C52,'لیست پرسنل'!$B$1:$F$1008,3,FALSE)</f>
        <v>فکورصنعت</v>
      </c>
      <c r="E52" s="20" t="str">
        <f>VLOOKUP(C52,'لیست پرسنل'!$B$1:$F$1008,4,FALSE)</f>
        <v>سرپرست آی تی</v>
      </c>
      <c r="F52" s="20">
        <f>VLOOKUP(C52,'لیست پرسنل'!$B$1:$F$1008,2,FALSE)</f>
        <v>2210</v>
      </c>
      <c r="G52" s="20" t="s">
        <v>3847</v>
      </c>
      <c r="H52" s="20"/>
      <c r="I52" s="20" t="s">
        <v>5927</v>
      </c>
      <c r="J52" s="20" t="s">
        <v>5723</v>
      </c>
      <c r="K52" s="20"/>
      <c r="L52" s="62" t="s">
        <v>291</v>
      </c>
      <c r="M52" s="28"/>
      <c r="N52" s="28"/>
      <c r="O52" s="28"/>
      <c r="P52" s="20" t="s">
        <v>5728</v>
      </c>
      <c r="Q52" s="28"/>
      <c r="R52" s="28"/>
    </row>
    <row r="53" spans="1:18" ht="24.9" customHeight="1">
      <c r="A53" s="20" t="s">
        <v>4346</v>
      </c>
      <c r="B53" s="20"/>
      <c r="C53" s="20" t="s">
        <v>48</v>
      </c>
      <c r="D53" s="20" t="str">
        <f>VLOOKUP(C53,'لیست پرسنل'!$B$1:$F$1008,3,FALSE)</f>
        <v>فکورصنعت</v>
      </c>
      <c r="E53" s="20" t="str">
        <f>VLOOKUP(C53,'لیست پرسنل'!$B$1:$F$1008,4,FALSE)</f>
        <v>سرپرست آی تی</v>
      </c>
      <c r="F53" s="20">
        <f>VLOOKUP(C53,'لیست پرسنل'!$B$1:$F$1008,2,FALSE)</f>
        <v>2210</v>
      </c>
      <c r="G53" s="20" t="s">
        <v>3847</v>
      </c>
      <c r="H53" s="20"/>
      <c r="I53" s="20" t="s">
        <v>5927</v>
      </c>
      <c r="J53" s="20" t="s">
        <v>5723</v>
      </c>
      <c r="K53" s="20"/>
      <c r="L53" s="62" t="s">
        <v>291</v>
      </c>
      <c r="M53" s="28"/>
      <c r="N53" s="28"/>
      <c r="O53" s="28"/>
      <c r="P53" s="20" t="s">
        <v>5728</v>
      </c>
      <c r="Q53" s="28"/>
      <c r="R53" s="28"/>
    </row>
    <row r="54" spans="1:18" ht="24.9" customHeight="1">
      <c r="A54" s="20" t="s">
        <v>4346</v>
      </c>
      <c r="B54" s="20"/>
      <c r="C54" s="20" t="s">
        <v>48</v>
      </c>
      <c r="D54" s="20" t="str">
        <f>VLOOKUP(C54,'لیست پرسنل'!$B$1:$F$1008,3,FALSE)</f>
        <v>فکورصنعت</v>
      </c>
      <c r="E54" s="20" t="str">
        <f>VLOOKUP(C54,'لیست پرسنل'!$B$1:$F$1008,4,FALSE)</f>
        <v>سرپرست آی تی</v>
      </c>
      <c r="F54" s="20">
        <f>VLOOKUP(C54,'لیست پرسنل'!$B$1:$F$1008,2,FALSE)</f>
        <v>2210</v>
      </c>
      <c r="G54" s="20" t="s">
        <v>3847</v>
      </c>
      <c r="H54" s="20"/>
      <c r="I54" s="20" t="s">
        <v>5927</v>
      </c>
      <c r="J54" s="20" t="s">
        <v>5723</v>
      </c>
      <c r="K54" s="20"/>
      <c r="L54" s="62" t="s">
        <v>291</v>
      </c>
      <c r="M54" s="28"/>
      <c r="N54" s="28"/>
      <c r="O54" s="28"/>
      <c r="P54" s="20" t="s">
        <v>5728</v>
      </c>
      <c r="Q54" s="28"/>
      <c r="R54" s="28"/>
    </row>
    <row r="55" spans="1:18" ht="24.9" customHeight="1">
      <c r="A55" s="20" t="s">
        <v>4346</v>
      </c>
      <c r="B55" s="20"/>
      <c r="C55" s="20" t="s">
        <v>48</v>
      </c>
      <c r="D55" s="20" t="str">
        <f>VLOOKUP(C55,'لیست پرسنل'!$B$1:$F$1008,3,FALSE)</f>
        <v>فکورصنعت</v>
      </c>
      <c r="E55" s="20" t="str">
        <f>VLOOKUP(C55,'لیست پرسنل'!$B$1:$F$1008,4,FALSE)</f>
        <v>سرپرست آی تی</v>
      </c>
      <c r="F55" s="20">
        <f>VLOOKUP(C55,'لیست پرسنل'!$B$1:$F$1008,2,FALSE)</f>
        <v>2210</v>
      </c>
      <c r="G55" s="20" t="s">
        <v>3847</v>
      </c>
      <c r="H55" s="20"/>
      <c r="I55" s="20" t="s">
        <v>5927</v>
      </c>
      <c r="J55" s="20" t="s">
        <v>5723</v>
      </c>
      <c r="K55" s="20"/>
      <c r="L55" s="62" t="s">
        <v>291</v>
      </c>
      <c r="M55" s="28"/>
      <c r="N55" s="28"/>
      <c r="O55" s="28"/>
      <c r="P55" s="20" t="s">
        <v>5728</v>
      </c>
      <c r="Q55" s="28"/>
      <c r="R55" s="28"/>
    </row>
    <row r="56" spans="1:18" ht="24.9" customHeight="1">
      <c r="A56" s="20" t="s">
        <v>4346</v>
      </c>
      <c r="B56" s="20"/>
      <c r="C56" s="20" t="s">
        <v>48</v>
      </c>
      <c r="D56" s="20" t="str">
        <f>VLOOKUP(C56,'لیست پرسنل'!$B$1:$F$1008,3,FALSE)</f>
        <v>فکورصنعت</v>
      </c>
      <c r="E56" s="20" t="str">
        <f>VLOOKUP(C56,'لیست پرسنل'!$B$1:$F$1008,4,FALSE)</f>
        <v>سرپرست آی تی</v>
      </c>
      <c r="F56" s="20">
        <f>VLOOKUP(C56,'لیست پرسنل'!$B$1:$F$1008,2,FALSE)</f>
        <v>2210</v>
      </c>
      <c r="G56" s="20" t="s">
        <v>3847</v>
      </c>
      <c r="H56" s="20"/>
      <c r="I56" s="20" t="s">
        <v>5927</v>
      </c>
      <c r="J56" s="20" t="s">
        <v>5723</v>
      </c>
      <c r="K56" s="20"/>
      <c r="L56" s="62" t="s">
        <v>291</v>
      </c>
      <c r="M56" s="28"/>
      <c r="N56" s="28"/>
      <c r="O56" s="28"/>
      <c r="P56" s="20" t="s">
        <v>5728</v>
      </c>
      <c r="Q56" s="28"/>
      <c r="R56" s="28"/>
    </row>
    <row r="57" spans="1:18" ht="24.9" customHeight="1">
      <c r="A57" s="20" t="s">
        <v>4346</v>
      </c>
      <c r="B57" s="20"/>
      <c r="C57" s="20" t="s">
        <v>48</v>
      </c>
      <c r="D57" s="20" t="str">
        <f>VLOOKUP(C57,'لیست پرسنل'!$B$1:$F$1008,3,FALSE)</f>
        <v>فکورصنعت</v>
      </c>
      <c r="E57" s="20" t="str">
        <f>VLOOKUP(C57,'لیست پرسنل'!$B$1:$F$1008,4,FALSE)</f>
        <v>سرپرست آی تی</v>
      </c>
      <c r="F57" s="20">
        <f>VLOOKUP(C57,'لیست پرسنل'!$B$1:$F$1008,2,FALSE)</f>
        <v>2210</v>
      </c>
      <c r="G57" s="20" t="s">
        <v>3847</v>
      </c>
      <c r="H57" s="20"/>
      <c r="I57" s="20" t="s">
        <v>5927</v>
      </c>
      <c r="J57" s="20" t="s">
        <v>5723</v>
      </c>
      <c r="K57" s="20"/>
      <c r="L57" s="62" t="s">
        <v>291</v>
      </c>
      <c r="M57" s="28"/>
      <c r="N57" s="28"/>
      <c r="O57" s="28"/>
      <c r="P57" s="20" t="s">
        <v>5728</v>
      </c>
      <c r="Q57" s="28"/>
      <c r="R57" s="28"/>
    </row>
    <row r="58" spans="1:18" ht="24.9" customHeight="1">
      <c r="A58" s="20" t="s">
        <v>4346</v>
      </c>
      <c r="B58" s="20"/>
      <c r="C58" s="20" t="s">
        <v>48</v>
      </c>
      <c r="D58" s="20" t="str">
        <f>VLOOKUP(C58,'لیست پرسنل'!$B$1:$F$1008,3,FALSE)</f>
        <v>فکورصنعت</v>
      </c>
      <c r="E58" s="20" t="str">
        <f>VLOOKUP(C58,'لیست پرسنل'!$B$1:$F$1008,4,FALSE)</f>
        <v>سرپرست آی تی</v>
      </c>
      <c r="F58" s="20">
        <f>VLOOKUP(C58,'لیست پرسنل'!$B$1:$F$1008,2,FALSE)</f>
        <v>2210</v>
      </c>
      <c r="G58" s="20" t="s">
        <v>3847</v>
      </c>
      <c r="H58" s="20"/>
      <c r="I58" s="20" t="s">
        <v>5927</v>
      </c>
      <c r="J58" s="20" t="s">
        <v>5723</v>
      </c>
      <c r="K58" s="20"/>
      <c r="L58" s="62" t="s">
        <v>291</v>
      </c>
      <c r="M58" s="28"/>
      <c r="N58" s="28"/>
      <c r="O58" s="28"/>
      <c r="P58" s="20" t="s">
        <v>5728</v>
      </c>
      <c r="Q58" s="28"/>
      <c r="R58" s="28"/>
    </row>
    <row r="59" spans="1:18" ht="24.9" customHeight="1">
      <c r="A59" s="20" t="s">
        <v>4346</v>
      </c>
      <c r="B59" s="20"/>
      <c r="C59" s="20" t="s">
        <v>48</v>
      </c>
      <c r="D59" s="20" t="str">
        <f>VLOOKUP(C59,'لیست پرسنل'!$B$1:$F$1008,3,FALSE)</f>
        <v>فکورصنعت</v>
      </c>
      <c r="E59" s="20" t="str">
        <f>VLOOKUP(C59,'لیست پرسنل'!$B$1:$F$1008,4,FALSE)</f>
        <v>سرپرست آی تی</v>
      </c>
      <c r="F59" s="20">
        <f>VLOOKUP(C59,'لیست پرسنل'!$B$1:$F$1008,2,FALSE)</f>
        <v>2210</v>
      </c>
      <c r="G59" s="20" t="s">
        <v>3847</v>
      </c>
      <c r="H59" s="20"/>
      <c r="I59" s="20" t="s">
        <v>5927</v>
      </c>
      <c r="J59" s="20" t="s">
        <v>5723</v>
      </c>
      <c r="K59" s="20"/>
      <c r="L59" s="62" t="s">
        <v>291</v>
      </c>
      <c r="M59" s="28"/>
      <c r="N59" s="28"/>
      <c r="O59" s="28"/>
      <c r="P59" s="20" t="s">
        <v>5728</v>
      </c>
      <c r="Q59" s="28"/>
      <c r="R59" s="28"/>
    </row>
    <row r="60" spans="1:18" ht="24.9" customHeight="1">
      <c r="A60" s="20" t="s">
        <v>4346</v>
      </c>
      <c r="B60" s="20"/>
      <c r="C60" s="20" t="s">
        <v>48</v>
      </c>
      <c r="D60" s="20" t="str">
        <f>VLOOKUP(C60,'لیست پرسنل'!$B$1:$F$1008,3,FALSE)</f>
        <v>فکورصنعت</v>
      </c>
      <c r="E60" s="20" t="str">
        <f>VLOOKUP(C60,'لیست پرسنل'!$B$1:$F$1008,4,FALSE)</f>
        <v>سرپرست آی تی</v>
      </c>
      <c r="F60" s="20">
        <f>VLOOKUP(C60,'لیست پرسنل'!$B$1:$F$1008,2,FALSE)</f>
        <v>2210</v>
      </c>
      <c r="G60" s="20" t="s">
        <v>3847</v>
      </c>
      <c r="H60" s="20"/>
      <c r="I60" s="20" t="s">
        <v>5927</v>
      </c>
      <c r="J60" s="20" t="s">
        <v>5723</v>
      </c>
      <c r="K60" s="20"/>
      <c r="L60" s="62" t="s">
        <v>291</v>
      </c>
      <c r="M60" s="28"/>
      <c r="N60" s="28"/>
      <c r="O60" s="28"/>
      <c r="P60" s="20" t="s">
        <v>5728</v>
      </c>
      <c r="Q60" s="28"/>
      <c r="R60" s="28"/>
    </row>
    <row r="61" spans="1:18" ht="24.75" customHeight="1">
      <c r="A61" s="20" t="s">
        <v>4346</v>
      </c>
      <c r="B61" s="20"/>
      <c r="C61" s="20" t="s">
        <v>48</v>
      </c>
      <c r="D61" s="20" t="str">
        <f>VLOOKUP(C61,'لیست پرسنل'!$B$1:$F$1008,3,FALSE)</f>
        <v>فکورصنعت</v>
      </c>
      <c r="E61" s="20" t="str">
        <f>VLOOKUP(C61,'لیست پرسنل'!$B$1:$F$1008,4,FALSE)</f>
        <v>سرپرست آی تی</v>
      </c>
      <c r="F61" s="20">
        <f>VLOOKUP(C61,'لیست پرسنل'!$B$1:$F$1008,2,FALSE)</f>
        <v>2210</v>
      </c>
      <c r="G61" s="20" t="s">
        <v>3847</v>
      </c>
      <c r="H61" s="20"/>
      <c r="I61" s="20" t="s">
        <v>5927</v>
      </c>
      <c r="J61" s="20" t="s">
        <v>5723</v>
      </c>
      <c r="K61" s="20"/>
      <c r="L61" s="62" t="s">
        <v>291</v>
      </c>
      <c r="M61" s="28"/>
      <c r="N61" s="28"/>
      <c r="O61" s="28"/>
      <c r="P61" s="20" t="s">
        <v>5728</v>
      </c>
      <c r="Q61" s="28"/>
      <c r="R61" s="28"/>
    </row>
    <row r="62" spans="1:18" ht="24.9" customHeight="1">
      <c r="A62" s="20" t="s">
        <v>4346</v>
      </c>
      <c r="B62" s="20"/>
      <c r="C62" s="20" t="s">
        <v>48</v>
      </c>
      <c r="D62" s="20" t="str">
        <f>VLOOKUP(C62,'لیست پرسنل'!$B$1:$F$1008,3,FALSE)</f>
        <v>فکورصنعت</v>
      </c>
      <c r="E62" s="20" t="str">
        <f>VLOOKUP(C62,'لیست پرسنل'!$B$1:$F$1008,4,FALSE)</f>
        <v>سرپرست آی تی</v>
      </c>
      <c r="F62" s="20">
        <f>VLOOKUP(C62,'لیست پرسنل'!$B$1:$F$1008,2,FALSE)</f>
        <v>2210</v>
      </c>
      <c r="G62" s="20" t="s">
        <v>3847</v>
      </c>
      <c r="H62" s="20"/>
      <c r="I62" s="20" t="s">
        <v>5927</v>
      </c>
      <c r="J62" s="20" t="s">
        <v>5723</v>
      </c>
      <c r="K62" s="20"/>
      <c r="L62" s="62" t="s">
        <v>291</v>
      </c>
      <c r="M62" s="28"/>
      <c r="N62" s="28"/>
      <c r="O62" s="28"/>
      <c r="P62" s="20" t="s">
        <v>5728</v>
      </c>
      <c r="Q62" s="28"/>
      <c r="R62" s="28"/>
    </row>
    <row r="63" spans="1:18" ht="24.9" customHeight="1">
      <c r="A63" s="20" t="s">
        <v>4346</v>
      </c>
      <c r="B63" s="20"/>
      <c r="C63" s="20" t="s">
        <v>48</v>
      </c>
      <c r="D63" s="20" t="str">
        <f>VLOOKUP(C63,'لیست پرسنل'!$B$1:$F$1008,3,FALSE)</f>
        <v>فکورصنعت</v>
      </c>
      <c r="E63" s="20" t="str">
        <f>VLOOKUP(C63,'لیست پرسنل'!$B$1:$F$1008,4,FALSE)</f>
        <v>سرپرست آی تی</v>
      </c>
      <c r="F63" s="20">
        <f>VLOOKUP(C63,'لیست پرسنل'!$B$1:$F$1008,2,FALSE)</f>
        <v>2210</v>
      </c>
      <c r="G63" s="20" t="s">
        <v>3847</v>
      </c>
      <c r="H63" s="20"/>
      <c r="I63" s="20" t="s">
        <v>5927</v>
      </c>
      <c r="J63" s="20" t="s">
        <v>5723</v>
      </c>
      <c r="K63" s="20"/>
      <c r="L63" s="62" t="s">
        <v>291</v>
      </c>
      <c r="M63" s="28"/>
      <c r="N63" s="28"/>
      <c r="O63" s="28"/>
      <c r="P63" s="20" t="s">
        <v>5728</v>
      </c>
      <c r="Q63" s="28"/>
      <c r="R63" s="28"/>
    </row>
    <row r="64" spans="1:18" ht="24.9" customHeight="1">
      <c r="A64" s="20" t="s">
        <v>4346</v>
      </c>
      <c r="B64" s="20"/>
      <c r="C64" s="20" t="s">
        <v>48</v>
      </c>
      <c r="D64" s="20" t="str">
        <f>VLOOKUP(C64,'لیست پرسنل'!$B$1:$F$1008,3,FALSE)</f>
        <v>فکورصنعت</v>
      </c>
      <c r="E64" s="20" t="str">
        <f>VLOOKUP(C64,'لیست پرسنل'!$B$1:$F$1008,4,FALSE)</f>
        <v>سرپرست آی تی</v>
      </c>
      <c r="F64" s="20">
        <f>VLOOKUP(C64,'لیست پرسنل'!$B$1:$F$1008,2,FALSE)</f>
        <v>2210</v>
      </c>
      <c r="G64" s="20" t="s">
        <v>3847</v>
      </c>
      <c r="H64" s="20"/>
      <c r="I64" s="20" t="s">
        <v>5927</v>
      </c>
      <c r="J64" s="20" t="s">
        <v>5724</v>
      </c>
      <c r="K64" s="20"/>
      <c r="L64" s="62" t="s">
        <v>291</v>
      </c>
      <c r="M64" s="28"/>
      <c r="N64" s="28"/>
      <c r="O64" s="28"/>
      <c r="P64" s="20" t="s">
        <v>5728</v>
      </c>
      <c r="Q64" s="28"/>
      <c r="R64" s="28"/>
    </row>
    <row r="65" spans="1:18" ht="24.9" customHeight="1">
      <c r="A65" s="20" t="s">
        <v>4346</v>
      </c>
      <c r="B65" s="20"/>
      <c r="C65" s="20" t="s">
        <v>48</v>
      </c>
      <c r="D65" s="20" t="str">
        <f>VLOOKUP(C65,'لیست پرسنل'!$B$1:$F$1008,3,FALSE)</f>
        <v>فکورصنعت</v>
      </c>
      <c r="E65" s="20" t="str">
        <f>VLOOKUP(C65,'لیست پرسنل'!$B$1:$F$1008,4,FALSE)</f>
        <v>سرپرست آی تی</v>
      </c>
      <c r="F65" s="20">
        <f>VLOOKUP(C65,'لیست پرسنل'!$B$1:$F$1008,2,FALSE)</f>
        <v>2210</v>
      </c>
      <c r="G65" s="20" t="s">
        <v>3847</v>
      </c>
      <c r="H65" s="20"/>
      <c r="I65" s="20" t="s">
        <v>5927</v>
      </c>
      <c r="J65" s="20" t="s">
        <v>5724</v>
      </c>
      <c r="K65" s="20"/>
      <c r="L65" s="62" t="s">
        <v>291</v>
      </c>
      <c r="M65" s="28"/>
      <c r="N65" s="28"/>
      <c r="O65" s="28"/>
      <c r="P65" s="20" t="s">
        <v>5728</v>
      </c>
      <c r="Q65" s="28"/>
      <c r="R65" s="28"/>
    </row>
    <row r="66" spans="1:18" ht="24.9" customHeight="1">
      <c r="A66" s="20" t="s">
        <v>4378</v>
      </c>
      <c r="B66" s="20"/>
      <c r="C66" s="20" t="s">
        <v>339</v>
      </c>
      <c r="D66" s="20" t="str">
        <f>VLOOKUP(C66,'لیست پرسنل'!$B$1:$F$1008,3,FALSE)</f>
        <v>فکورصنعت</v>
      </c>
      <c r="E66" s="20" t="str">
        <f>VLOOKUP(C66,'لیست پرسنل'!$B$1:$F$1008,4,FALSE)</f>
        <v>سرپرست مهمانسراهای سیرجان</v>
      </c>
      <c r="F66" s="20">
        <f>VLOOKUP(C66,'لیست پرسنل'!$B$1:$F$1008,2,FALSE)</f>
        <v>990904</v>
      </c>
      <c r="G66" s="20" t="s">
        <v>4977</v>
      </c>
      <c r="H66" s="20"/>
      <c r="I66" s="20" t="s">
        <v>5927</v>
      </c>
      <c r="J66" s="20" t="s">
        <v>4952</v>
      </c>
      <c r="K66" s="20" t="s">
        <v>4954</v>
      </c>
      <c r="L66" s="62" t="s">
        <v>525</v>
      </c>
      <c r="M66" s="20"/>
      <c r="N66" s="20" t="s">
        <v>4951</v>
      </c>
      <c r="O66" s="20"/>
      <c r="P66" s="20"/>
      <c r="Q66" s="20"/>
      <c r="R66" s="20"/>
    </row>
    <row r="67" spans="1:18" ht="24.9" customHeight="1">
      <c r="A67" s="20" t="s">
        <v>4378</v>
      </c>
      <c r="B67" s="20"/>
      <c r="C67" s="20" t="s">
        <v>339</v>
      </c>
      <c r="D67" s="20" t="str">
        <f>VLOOKUP(C67,'لیست پرسنل'!$B$1:$F$1008,3,FALSE)</f>
        <v>فکورصنعت</v>
      </c>
      <c r="E67" s="20" t="str">
        <f>VLOOKUP(C67,'لیست پرسنل'!$B$1:$F$1008,4,FALSE)</f>
        <v>سرپرست مهمانسراهای سیرجان</v>
      </c>
      <c r="F67" s="20">
        <f>VLOOKUP(C67,'لیست پرسنل'!$B$1:$F$1008,2,FALSE)</f>
        <v>990904</v>
      </c>
      <c r="G67" s="20" t="s">
        <v>2563</v>
      </c>
      <c r="H67" s="20"/>
      <c r="I67" s="20" t="s">
        <v>5927</v>
      </c>
      <c r="J67" s="20" t="s">
        <v>4952</v>
      </c>
      <c r="K67" s="20" t="s">
        <v>4955</v>
      </c>
      <c r="L67" s="62" t="s">
        <v>525</v>
      </c>
      <c r="M67" s="20"/>
      <c r="N67" s="20" t="s">
        <v>4951</v>
      </c>
      <c r="O67" s="20"/>
      <c r="P67" s="20"/>
      <c r="Q67" s="20"/>
      <c r="R67" s="20"/>
    </row>
    <row r="68" spans="1:18" ht="24.9" customHeight="1">
      <c r="A68" s="20" t="s">
        <v>4378</v>
      </c>
      <c r="B68" s="20"/>
      <c r="C68" s="20" t="s">
        <v>339</v>
      </c>
      <c r="D68" s="20" t="str">
        <f>VLOOKUP(C68,'لیست پرسنل'!$B$1:$F$1008,3,FALSE)</f>
        <v>فکورصنعت</v>
      </c>
      <c r="E68" s="20" t="str">
        <f>VLOOKUP(C68,'لیست پرسنل'!$B$1:$F$1008,4,FALSE)</f>
        <v>سرپرست مهمانسراهای سیرجان</v>
      </c>
      <c r="F68" s="20">
        <f>VLOOKUP(C68,'لیست پرسنل'!$B$1:$F$1008,2,FALSE)</f>
        <v>990904</v>
      </c>
      <c r="G68" s="20" t="s">
        <v>2563</v>
      </c>
      <c r="H68" s="20"/>
      <c r="I68" s="20" t="s">
        <v>5927</v>
      </c>
      <c r="J68" s="20" t="s">
        <v>4952</v>
      </c>
      <c r="K68" s="20" t="s">
        <v>4956</v>
      </c>
      <c r="L68" s="62" t="s">
        <v>525</v>
      </c>
      <c r="M68" s="20"/>
      <c r="N68" s="20" t="s">
        <v>4951</v>
      </c>
      <c r="O68" s="20"/>
      <c r="P68" s="20"/>
      <c r="Q68" s="20"/>
      <c r="R68" s="20"/>
    </row>
    <row r="69" spans="1:18" ht="24.9" customHeight="1">
      <c r="A69" s="20" t="s">
        <v>4378</v>
      </c>
      <c r="B69" s="20"/>
      <c r="C69" s="20" t="s">
        <v>339</v>
      </c>
      <c r="D69" s="20" t="str">
        <f>VLOOKUP(C69,'لیست پرسنل'!$B$1:$F$1008,3,FALSE)</f>
        <v>فکورصنعت</v>
      </c>
      <c r="E69" s="20" t="str">
        <f>VLOOKUP(C69,'لیست پرسنل'!$B$1:$F$1008,4,FALSE)</f>
        <v>سرپرست مهمانسراهای سیرجان</v>
      </c>
      <c r="F69" s="20">
        <f>VLOOKUP(C69,'لیست پرسنل'!$B$1:$F$1008,2,FALSE)</f>
        <v>990904</v>
      </c>
      <c r="G69" s="20" t="s">
        <v>2563</v>
      </c>
      <c r="H69" s="20"/>
      <c r="I69" s="20" t="s">
        <v>5927</v>
      </c>
      <c r="J69" s="20" t="s">
        <v>4952</v>
      </c>
      <c r="K69" s="20" t="s">
        <v>4958</v>
      </c>
      <c r="L69" s="62" t="s">
        <v>525</v>
      </c>
      <c r="M69" s="20"/>
      <c r="N69" s="20" t="s">
        <v>4951</v>
      </c>
      <c r="O69" s="20"/>
      <c r="P69" s="20"/>
      <c r="Q69" s="20"/>
      <c r="R69" s="20"/>
    </row>
    <row r="70" spans="1:18" ht="24.9" customHeight="1">
      <c r="A70" s="20" t="s">
        <v>4378</v>
      </c>
      <c r="B70" s="20"/>
      <c r="C70" s="20" t="s">
        <v>339</v>
      </c>
      <c r="D70" s="20" t="str">
        <f>VLOOKUP(C70,'لیست پرسنل'!$B$1:$F$1008,3,FALSE)</f>
        <v>فکورصنعت</v>
      </c>
      <c r="E70" s="20" t="str">
        <f>VLOOKUP(C70,'لیست پرسنل'!$B$1:$F$1008,4,FALSE)</f>
        <v>سرپرست مهمانسراهای سیرجان</v>
      </c>
      <c r="F70" s="20">
        <f>VLOOKUP(C70,'لیست پرسنل'!$B$1:$F$1008,2,FALSE)</f>
        <v>990904</v>
      </c>
      <c r="G70" s="20" t="s">
        <v>2563</v>
      </c>
      <c r="H70" s="20"/>
      <c r="I70" s="20" t="s">
        <v>5927</v>
      </c>
      <c r="J70" s="20" t="s">
        <v>4952</v>
      </c>
      <c r="K70" s="20" t="s">
        <v>4959</v>
      </c>
      <c r="L70" s="62" t="s">
        <v>525</v>
      </c>
      <c r="M70" s="20"/>
      <c r="N70" s="20" t="s">
        <v>4951</v>
      </c>
      <c r="O70" s="20"/>
      <c r="P70" s="20"/>
      <c r="Q70" s="20"/>
      <c r="R70" s="20"/>
    </row>
    <row r="71" spans="1:18" ht="24.9" customHeight="1">
      <c r="A71" s="20" t="s">
        <v>4347</v>
      </c>
      <c r="B71" s="20"/>
      <c r="C71" s="20" t="s">
        <v>3800</v>
      </c>
      <c r="D71" s="20" t="str">
        <f>VLOOKUP(C71,'لیست پرسنل'!$B$1:$F$1008,3,FALSE)</f>
        <v>فکورصنعت</v>
      </c>
      <c r="E71" s="20" t="str">
        <f>VLOOKUP(C71,'لیست پرسنل'!$B$1:$F$1008,4,FALSE)</f>
        <v>سرپرست انبار</v>
      </c>
      <c r="F71" s="20" t="str">
        <f>VLOOKUP(C71,'لیست پرسنل'!$B$1:$F$1008,2,FALSE)</f>
        <v>3754</v>
      </c>
      <c r="G71" s="20" t="s">
        <v>3824</v>
      </c>
      <c r="H71" s="20"/>
      <c r="I71" s="20" t="s">
        <v>5927</v>
      </c>
      <c r="J71" s="20" t="s">
        <v>3335</v>
      </c>
      <c r="K71" s="20"/>
      <c r="L71" s="62" t="s">
        <v>291</v>
      </c>
      <c r="M71" s="20"/>
      <c r="N71" s="20"/>
      <c r="O71" s="20"/>
      <c r="P71" s="20" t="s">
        <v>3825</v>
      </c>
      <c r="Q71" s="20"/>
      <c r="R71" s="20"/>
    </row>
    <row r="72" spans="1:18" ht="24.9" customHeight="1">
      <c r="A72" s="20" t="s">
        <v>4347</v>
      </c>
      <c r="B72" s="20"/>
      <c r="C72" s="20" t="s">
        <v>3800</v>
      </c>
      <c r="D72" s="20" t="str">
        <f>VLOOKUP(C72,'لیست پرسنل'!$B$1:$F$1008,3,FALSE)</f>
        <v>فکورصنعت</v>
      </c>
      <c r="E72" s="20" t="str">
        <f>VLOOKUP(C72,'لیست پرسنل'!$B$1:$F$1008,4,FALSE)</f>
        <v>سرپرست انبار</v>
      </c>
      <c r="F72" s="20" t="str">
        <f>VLOOKUP(C72,'لیست پرسنل'!$B$1:$F$1008,2,FALSE)</f>
        <v>3754</v>
      </c>
      <c r="G72" s="20" t="s">
        <v>3824</v>
      </c>
      <c r="H72" s="20"/>
      <c r="I72" s="20" t="s">
        <v>5927</v>
      </c>
      <c r="J72" s="20" t="s">
        <v>3335</v>
      </c>
      <c r="K72" s="20"/>
      <c r="L72" s="62" t="s">
        <v>291</v>
      </c>
      <c r="M72" s="20"/>
      <c r="N72" s="20"/>
      <c r="O72" s="20"/>
      <c r="P72" s="20" t="s">
        <v>3825</v>
      </c>
      <c r="Q72" s="20"/>
      <c r="R72" s="20"/>
    </row>
    <row r="73" spans="1:18" ht="24.9" customHeight="1">
      <c r="A73" s="20" t="s">
        <v>4347</v>
      </c>
      <c r="B73" s="20"/>
      <c r="C73" s="20" t="s">
        <v>3800</v>
      </c>
      <c r="D73" s="20" t="str">
        <f>VLOOKUP(C73,'لیست پرسنل'!$B$1:$F$1008,3,FALSE)</f>
        <v>فکورصنعت</v>
      </c>
      <c r="E73" s="20" t="str">
        <f>VLOOKUP(C73,'لیست پرسنل'!$B$1:$F$1008,4,FALSE)</f>
        <v>سرپرست انبار</v>
      </c>
      <c r="F73" s="20" t="str">
        <f>VLOOKUP(C73,'لیست پرسنل'!$B$1:$F$1008,2,FALSE)</f>
        <v>3754</v>
      </c>
      <c r="G73" s="20" t="s">
        <v>3824</v>
      </c>
      <c r="H73" s="20"/>
      <c r="I73" s="20" t="s">
        <v>5927</v>
      </c>
      <c r="J73" s="20" t="s">
        <v>3335</v>
      </c>
      <c r="K73" s="20"/>
      <c r="L73" s="62" t="s">
        <v>291</v>
      </c>
      <c r="M73" s="20"/>
      <c r="N73" s="20"/>
      <c r="O73" s="20"/>
      <c r="P73" s="20" t="s">
        <v>3825</v>
      </c>
      <c r="Q73" s="20"/>
      <c r="R73" s="20"/>
    </row>
    <row r="74" spans="1:18" ht="24.9" customHeight="1">
      <c r="A74" s="20" t="s">
        <v>4347</v>
      </c>
      <c r="B74" s="20"/>
      <c r="C74" s="20" t="s">
        <v>3800</v>
      </c>
      <c r="D74" s="20" t="str">
        <f>VLOOKUP(C74,'لیست پرسنل'!$B$1:$F$1008,3,FALSE)</f>
        <v>فکورصنعت</v>
      </c>
      <c r="E74" s="20" t="str">
        <f>VLOOKUP(C74,'لیست پرسنل'!$B$1:$F$1008,4,FALSE)</f>
        <v>سرپرست انبار</v>
      </c>
      <c r="F74" s="20" t="str">
        <f>VLOOKUP(C74,'لیست پرسنل'!$B$1:$F$1008,2,FALSE)</f>
        <v>3754</v>
      </c>
      <c r="G74" s="20" t="s">
        <v>3824</v>
      </c>
      <c r="H74" s="20"/>
      <c r="I74" s="20" t="s">
        <v>5927</v>
      </c>
      <c r="J74" s="20" t="s">
        <v>3335</v>
      </c>
      <c r="K74" s="20"/>
      <c r="L74" s="62" t="s">
        <v>291</v>
      </c>
      <c r="M74" s="20"/>
      <c r="N74" s="20"/>
      <c r="O74" s="20"/>
      <c r="P74" s="20" t="s">
        <v>3825</v>
      </c>
      <c r="Q74" s="20"/>
      <c r="R74" s="20"/>
    </row>
    <row r="75" spans="1:18" ht="24.9" customHeight="1">
      <c r="A75" s="20" t="s">
        <v>4347</v>
      </c>
      <c r="B75" s="20"/>
      <c r="C75" s="20" t="s">
        <v>3800</v>
      </c>
      <c r="D75" s="20" t="str">
        <f>VLOOKUP(C75,'لیست پرسنل'!$B$1:$F$1008,3,FALSE)</f>
        <v>فکورصنعت</v>
      </c>
      <c r="E75" s="20" t="str">
        <f>VLOOKUP(C75,'لیست پرسنل'!$B$1:$F$1008,4,FALSE)</f>
        <v>سرپرست انبار</v>
      </c>
      <c r="F75" s="20" t="str">
        <f>VLOOKUP(C75,'لیست پرسنل'!$B$1:$F$1008,2,FALSE)</f>
        <v>3754</v>
      </c>
      <c r="G75" s="20" t="s">
        <v>3824</v>
      </c>
      <c r="H75" s="20"/>
      <c r="I75" s="20" t="s">
        <v>5927</v>
      </c>
      <c r="J75" s="20" t="s">
        <v>3335</v>
      </c>
      <c r="K75" s="20"/>
      <c r="L75" s="62" t="s">
        <v>291</v>
      </c>
      <c r="M75" s="20"/>
      <c r="N75" s="20"/>
      <c r="O75" s="20"/>
      <c r="P75" s="20" t="s">
        <v>3825</v>
      </c>
      <c r="Q75" s="20"/>
      <c r="R75" s="20"/>
    </row>
    <row r="76" spans="1:18" ht="24.9" customHeight="1">
      <c r="A76" s="20" t="s">
        <v>4347</v>
      </c>
      <c r="B76" s="20"/>
      <c r="C76" s="20" t="s">
        <v>3800</v>
      </c>
      <c r="D76" s="20" t="str">
        <f>VLOOKUP(C76,'لیست پرسنل'!$B$1:$F$1008,3,FALSE)</f>
        <v>فکورصنعت</v>
      </c>
      <c r="E76" s="20" t="str">
        <f>VLOOKUP(C76,'لیست پرسنل'!$B$1:$F$1008,4,FALSE)</f>
        <v>سرپرست انبار</v>
      </c>
      <c r="F76" s="20" t="str">
        <f>VLOOKUP(C76,'لیست پرسنل'!$B$1:$F$1008,2,FALSE)</f>
        <v>3754</v>
      </c>
      <c r="G76" s="20" t="s">
        <v>3824</v>
      </c>
      <c r="H76" s="20"/>
      <c r="I76" s="20" t="s">
        <v>5927</v>
      </c>
      <c r="J76" s="20" t="s">
        <v>3335</v>
      </c>
      <c r="K76" s="20"/>
      <c r="L76" s="62" t="s">
        <v>291</v>
      </c>
      <c r="M76" s="20"/>
      <c r="N76" s="20"/>
      <c r="O76" s="20"/>
      <c r="P76" s="20" t="s">
        <v>3825</v>
      </c>
      <c r="Q76" s="20"/>
      <c r="R76" s="20"/>
    </row>
    <row r="77" spans="1:18" ht="24.9" customHeight="1">
      <c r="A77" s="20" t="s">
        <v>4347</v>
      </c>
      <c r="B77" s="20"/>
      <c r="C77" s="20" t="s">
        <v>3800</v>
      </c>
      <c r="D77" s="20" t="str">
        <f>VLOOKUP(C77,'لیست پرسنل'!$B$1:$F$1008,3,FALSE)</f>
        <v>فکورصنعت</v>
      </c>
      <c r="E77" s="20" t="str">
        <f>VLOOKUP(C77,'لیست پرسنل'!$B$1:$F$1008,4,FALSE)</f>
        <v>سرپرست انبار</v>
      </c>
      <c r="F77" s="20" t="str">
        <f>VLOOKUP(C77,'لیست پرسنل'!$B$1:$F$1008,2,FALSE)</f>
        <v>3754</v>
      </c>
      <c r="G77" s="20" t="s">
        <v>3824</v>
      </c>
      <c r="H77" s="20"/>
      <c r="I77" s="20" t="s">
        <v>5927</v>
      </c>
      <c r="J77" s="20" t="s">
        <v>3335</v>
      </c>
      <c r="K77" s="20"/>
      <c r="L77" s="62" t="s">
        <v>291</v>
      </c>
      <c r="M77" s="20"/>
      <c r="N77" s="20"/>
      <c r="O77" s="20"/>
      <c r="P77" s="20" t="s">
        <v>3825</v>
      </c>
      <c r="Q77" s="20"/>
      <c r="R77" s="20"/>
    </row>
    <row r="78" spans="1:18" ht="24.9" customHeight="1">
      <c r="A78" s="20" t="s">
        <v>4347</v>
      </c>
      <c r="B78" s="20"/>
      <c r="C78" s="20" t="s">
        <v>3800</v>
      </c>
      <c r="D78" s="20" t="str">
        <f>VLOOKUP(C78,'لیست پرسنل'!$B$1:$F$1008,3,FALSE)</f>
        <v>فکورصنعت</v>
      </c>
      <c r="E78" s="20" t="str">
        <f>VLOOKUP(C78,'لیست پرسنل'!$B$1:$F$1008,4,FALSE)</f>
        <v>سرپرست انبار</v>
      </c>
      <c r="F78" s="20" t="str">
        <f>VLOOKUP(C78,'لیست پرسنل'!$B$1:$F$1008,2,FALSE)</f>
        <v>3754</v>
      </c>
      <c r="G78" s="20" t="s">
        <v>3824</v>
      </c>
      <c r="H78" s="20"/>
      <c r="I78" s="20" t="s">
        <v>5927</v>
      </c>
      <c r="J78" s="20" t="s">
        <v>3335</v>
      </c>
      <c r="K78" s="20"/>
      <c r="L78" s="62" t="s">
        <v>291</v>
      </c>
      <c r="M78" s="20"/>
      <c r="N78" s="20"/>
      <c r="O78" s="20"/>
      <c r="P78" s="20" t="s">
        <v>3825</v>
      </c>
      <c r="Q78" s="20"/>
      <c r="R78" s="20"/>
    </row>
    <row r="79" spans="1:18" ht="24.9" customHeight="1">
      <c r="A79" s="20" t="s">
        <v>4347</v>
      </c>
      <c r="B79" s="20"/>
      <c r="C79" s="20" t="s">
        <v>3800</v>
      </c>
      <c r="D79" s="20" t="str">
        <f>VLOOKUP(C79,'لیست پرسنل'!$B$1:$F$1008,3,FALSE)</f>
        <v>فکورصنعت</v>
      </c>
      <c r="E79" s="20" t="str">
        <f>VLOOKUP(C79,'لیست پرسنل'!$B$1:$F$1008,4,FALSE)</f>
        <v>سرپرست انبار</v>
      </c>
      <c r="F79" s="20" t="str">
        <f>VLOOKUP(C79,'لیست پرسنل'!$B$1:$F$1008,2,FALSE)</f>
        <v>3754</v>
      </c>
      <c r="G79" s="20" t="s">
        <v>3824</v>
      </c>
      <c r="H79" s="20"/>
      <c r="I79" s="20" t="s">
        <v>5927</v>
      </c>
      <c r="J79" s="20" t="s">
        <v>3335</v>
      </c>
      <c r="K79" s="20"/>
      <c r="L79" s="62" t="s">
        <v>291</v>
      </c>
      <c r="M79" s="20"/>
      <c r="N79" s="20"/>
      <c r="O79" s="20"/>
      <c r="P79" s="20" t="s">
        <v>3825</v>
      </c>
      <c r="Q79" s="20"/>
      <c r="R79" s="20"/>
    </row>
    <row r="80" spans="1:18" ht="24.9" customHeight="1">
      <c r="A80" s="20" t="s">
        <v>4347</v>
      </c>
      <c r="B80" s="20"/>
      <c r="C80" s="20" t="s">
        <v>3800</v>
      </c>
      <c r="D80" s="20" t="str">
        <f>VLOOKUP(C80,'لیست پرسنل'!$B$1:$F$1008,3,FALSE)</f>
        <v>فکورصنعت</v>
      </c>
      <c r="E80" s="20" t="str">
        <f>VLOOKUP(C80,'لیست پرسنل'!$B$1:$F$1008,4,FALSE)</f>
        <v>سرپرست انبار</v>
      </c>
      <c r="F80" s="20" t="str">
        <f>VLOOKUP(C80,'لیست پرسنل'!$B$1:$F$1008,2,FALSE)</f>
        <v>3754</v>
      </c>
      <c r="G80" s="20" t="s">
        <v>3824</v>
      </c>
      <c r="H80" s="20"/>
      <c r="I80" s="20" t="s">
        <v>5927</v>
      </c>
      <c r="J80" s="20" t="s">
        <v>3335</v>
      </c>
      <c r="K80" s="20"/>
      <c r="L80" s="62" t="s">
        <v>291</v>
      </c>
      <c r="M80" s="20"/>
      <c r="N80" s="20"/>
      <c r="O80" s="20"/>
      <c r="P80" s="20" t="s">
        <v>3825</v>
      </c>
      <c r="Q80" s="20"/>
      <c r="R80" s="20"/>
    </row>
    <row r="81" spans="1:18" ht="24.9" customHeight="1">
      <c r="A81" s="20" t="s">
        <v>4347</v>
      </c>
      <c r="B81" s="20"/>
      <c r="C81" s="20" t="s">
        <v>3800</v>
      </c>
      <c r="D81" s="20" t="str">
        <f>VLOOKUP(C81,'لیست پرسنل'!$B$1:$F$1008,3,FALSE)</f>
        <v>فکورصنعت</v>
      </c>
      <c r="E81" s="20" t="str">
        <f>VLOOKUP(C81,'لیست پرسنل'!$B$1:$F$1008,4,FALSE)</f>
        <v>سرپرست انبار</v>
      </c>
      <c r="F81" s="20" t="str">
        <f>VLOOKUP(C81,'لیست پرسنل'!$B$1:$F$1008,2,FALSE)</f>
        <v>3754</v>
      </c>
      <c r="G81" s="20" t="s">
        <v>3824</v>
      </c>
      <c r="H81" s="20"/>
      <c r="I81" s="20" t="s">
        <v>5927</v>
      </c>
      <c r="J81" s="20" t="s">
        <v>3335</v>
      </c>
      <c r="K81" s="20"/>
      <c r="L81" s="62" t="s">
        <v>291</v>
      </c>
      <c r="M81" s="20"/>
      <c r="N81" s="20"/>
      <c r="O81" s="20"/>
      <c r="P81" s="20" t="s">
        <v>3825</v>
      </c>
      <c r="Q81" s="20"/>
      <c r="R81" s="20"/>
    </row>
    <row r="82" spans="1:18" ht="24.9" customHeight="1">
      <c r="A82" s="20" t="s">
        <v>4347</v>
      </c>
      <c r="B82" s="20"/>
      <c r="C82" s="20" t="s">
        <v>3800</v>
      </c>
      <c r="D82" s="20" t="str">
        <f>VLOOKUP(C82,'لیست پرسنل'!$B$1:$F$1008,3,FALSE)</f>
        <v>فکورصنعت</v>
      </c>
      <c r="E82" s="20" t="str">
        <f>VLOOKUP(C82,'لیست پرسنل'!$B$1:$F$1008,4,FALSE)</f>
        <v>سرپرست انبار</v>
      </c>
      <c r="F82" s="20" t="str">
        <f>VLOOKUP(C82,'لیست پرسنل'!$B$1:$F$1008,2,FALSE)</f>
        <v>3754</v>
      </c>
      <c r="G82" s="20" t="s">
        <v>3824</v>
      </c>
      <c r="H82" s="20"/>
      <c r="I82" s="20" t="s">
        <v>5927</v>
      </c>
      <c r="J82" s="20" t="s">
        <v>3335</v>
      </c>
      <c r="K82" s="20"/>
      <c r="L82" s="62" t="s">
        <v>291</v>
      </c>
      <c r="M82" s="20"/>
      <c r="N82" s="20"/>
      <c r="O82" s="20"/>
      <c r="P82" s="20" t="s">
        <v>3825</v>
      </c>
      <c r="Q82" s="20"/>
      <c r="R82" s="20"/>
    </row>
    <row r="83" spans="1:18" ht="24.9" customHeight="1">
      <c r="A83" s="20" t="s">
        <v>4374</v>
      </c>
      <c r="B83" s="20"/>
      <c r="C83" s="20" t="s">
        <v>1181</v>
      </c>
      <c r="D83" s="20" t="str">
        <f>VLOOKUP(C83,'لیست پرسنل'!$B$1:$F$1008,3,FALSE)</f>
        <v>فکورصنعت</v>
      </c>
      <c r="E83" s="20" t="str">
        <f>VLOOKUP(C83,'لیست پرسنل'!$B$1:$F$1008,4,FALSE)</f>
        <v>مدیر پروژه مرکز تحقیقات</v>
      </c>
      <c r="F83" s="20">
        <f>VLOOKUP(C83,'لیست پرسنل'!$B$1:$F$1008,2,FALSE)</f>
        <v>774</v>
      </c>
      <c r="G83" s="20" t="s">
        <v>3925</v>
      </c>
      <c r="H83" s="20"/>
      <c r="I83" s="20" t="s">
        <v>5927</v>
      </c>
      <c r="J83" s="20" t="s">
        <v>5603</v>
      </c>
      <c r="K83" s="20" t="s">
        <v>6050</v>
      </c>
      <c r="L83" s="62" t="s">
        <v>291</v>
      </c>
      <c r="M83" s="20"/>
      <c r="N83" s="20"/>
      <c r="O83" s="20"/>
      <c r="P83" s="20" t="s">
        <v>6051</v>
      </c>
      <c r="Q83" s="20"/>
      <c r="R83" s="20"/>
    </row>
    <row r="84" spans="1:18" ht="24.9" customHeight="1">
      <c r="A84" s="20" t="s">
        <v>4374</v>
      </c>
      <c r="B84" s="20"/>
      <c r="C84" s="20" t="s">
        <v>3926</v>
      </c>
      <c r="D84" s="20" t="str">
        <f>VLOOKUP(C84,'لیست پرسنل'!$B$1:$F$1008,3,FALSE)</f>
        <v>فکورصنعت</v>
      </c>
      <c r="E84" s="20" t="str">
        <f>VLOOKUP(C84,'لیست پرسنل'!$B$1:$F$1008,4,FALSE)</f>
        <v>مالی - اداری</v>
      </c>
      <c r="F84" s="20">
        <f>VLOOKUP(C84,'لیست پرسنل'!$B$1:$F$1008,2,FALSE)</f>
        <v>1526</v>
      </c>
      <c r="G84" s="20" t="s">
        <v>3925</v>
      </c>
      <c r="H84" s="20"/>
      <c r="I84" s="20" t="s">
        <v>5927</v>
      </c>
      <c r="J84" s="20" t="s">
        <v>2091</v>
      </c>
      <c r="K84" s="20" t="s">
        <v>2092</v>
      </c>
      <c r="L84" s="62" t="s">
        <v>291</v>
      </c>
      <c r="M84" s="20"/>
      <c r="N84" s="20"/>
      <c r="O84" s="20"/>
      <c r="P84" s="20" t="s">
        <v>3942</v>
      </c>
      <c r="Q84" s="20"/>
      <c r="R84" s="20"/>
    </row>
    <row r="85" spans="1:18" ht="24.9" customHeight="1">
      <c r="A85" s="20" t="s">
        <v>4321</v>
      </c>
      <c r="B85" s="20"/>
      <c r="C85" s="20" t="s">
        <v>325</v>
      </c>
      <c r="D85" s="20" t="str">
        <f>VLOOKUP(C85,'لیست پرسنل'!$B$1:$F$1008,3,FALSE)</f>
        <v>فکورصنعت</v>
      </c>
      <c r="E85" s="20" t="str">
        <f>VLOOKUP(C85,'لیست پرسنل'!$B$1:$F$1008,4,FALSE)</f>
        <v>ایمنی</v>
      </c>
      <c r="F85" s="20">
        <f>VLOOKUP(C85,'لیست پرسنل'!$B$1:$F$1008,2,FALSE)</f>
        <v>98132</v>
      </c>
      <c r="G85" s="20" t="s">
        <v>6057</v>
      </c>
      <c r="H85" s="20"/>
      <c r="I85" s="20" t="s">
        <v>5927</v>
      </c>
      <c r="J85" s="20" t="s">
        <v>6062</v>
      </c>
      <c r="K85" s="20" t="s">
        <v>6061</v>
      </c>
      <c r="L85" s="62" t="s">
        <v>291</v>
      </c>
      <c r="M85" s="20"/>
      <c r="N85" s="20"/>
      <c r="O85" s="20"/>
      <c r="P85" s="20"/>
      <c r="Q85" s="20"/>
      <c r="R85" s="20"/>
    </row>
    <row r="86" spans="1:18" ht="24.9" customHeight="1">
      <c r="A86" s="20" t="s">
        <v>4320</v>
      </c>
      <c r="B86" s="20"/>
      <c r="C86" s="20" t="s">
        <v>326</v>
      </c>
      <c r="D86" s="20" t="str">
        <f>VLOOKUP(C86,'لیست پرسنل'!$B$1:$F$1008,3,FALSE)</f>
        <v>فکورصنعت</v>
      </c>
      <c r="E86" s="20" t="str">
        <f>VLOOKUP(C86,'لیست پرسنل'!$B$1:$F$1008,4,FALSE)</f>
        <v>انبار</v>
      </c>
      <c r="F86" s="20">
        <f>VLOOKUP(C86,'لیست پرسنل'!$B$1:$F$1008,2,FALSE)</f>
        <v>98141</v>
      </c>
      <c r="G86" s="20" t="s">
        <v>5415</v>
      </c>
      <c r="H86" s="20"/>
      <c r="I86" s="20" t="s">
        <v>5927</v>
      </c>
      <c r="J86" s="20" t="s">
        <v>5417</v>
      </c>
      <c r="K86" s="20" t="s">
        <v>5423</v>
      </c>
      <c r="L86" s="20" t="s">
        <v>4371</v>
      </c>
      <c r="M86" s="20"/>
      <c r="N86" s="36"/>
      <c r="O86" s="20"/>
      <c r="P86" s="20"/>
      <c r="Q86" s="20"/>
      <c r="R86" s="20"/>
    </row>
    <row r="87" spans="1:18" ht="24.9" customHeight="1">
      <c r="A87" s="20" t="s">
        <v>4320</v>
      </c>
      <c r="B87" s="20"/>
      <c r="C87" s="20" t="s">
        <v>326</v>
      </c>
      <c r="D87" s="20" t="str">
        <f>VLOOKUP(C87,'لیست پرسنل'!$B$1:$F$1008,3,FALSE)</f>
        <v>فکورصنعت</v>
      </c>
      <c r="E87" s="20" t="str">
        <f>VLOOKUP(C87,'لیست پرسنل'!$B$1:$F$1008,4,FALSE)</f>
        <v>انبار</v>
      </c>
      <c r="F87" s="20">
        <f>VLOOKUP(C87,'لیست پرسنل'!$B$1:$F$1008,2,FALSE)</f>
        <v>98141</v>
      </c>
      <c r="G87" s="20" t="s">
        <v>5415</v>
      </c>
      <c r="H87" s="20"/>
      <c r="I87" s="20" t="s">
        <v>5927</v>
      </c>
      <c r="J87" s="20" t="s">
        <v>5417</v>
      </c>
      <c r="K87" s="20" t="s">
        <v>5423</v>
      </c>
      <c r="L87" s="20" t="s">
        <v>4371</v>
      </c>
      <c r="M87" s="20"/>
      <c r="N87" s="36"/>
      <c r="O87" s="20"/>
      <c r="P87" s="20"/>
      <c r="Q87" s="20"/>
      <c r="R87" s="20"/>
    </row>
    <row r="88" spans="1:18" ht="24.9" customHeight="1">
      <c r="A88" s="20" t="s">
        <v>4320</v>
      </c>
      <c r="B88" s="20"/>
      <c r="C88" s="20" t="s">
        <v>326</v>
      </c>
      <c r="D88" s="20" t="str">
        <f>VLOOKUP(C88,'لیست پرسنل'!$B$1:$F$1008,3,FALSE)</f>
        <v>فکورصنعت</v>
      </c>
      <c r="E88" s="20" t="str">
        <f>VLOOKUP(C88,'لیست پرسنل'!$B$1:$F$1008,4,FALSE)</f>
        <v>انبار</v>
      </c>
      <c r="F88" s="20">
        <f>VLOOKUP(C88,'لیست پرسنل'!$B$1:$F$1008,2,FALSE)</f>
        <v>98141</v>
      </c>
      <c r="G88" s="20" t="s">
        <v>5415</v>
      </c>
      <c r="H88" s="20"/>
      <c r="I88" s="20" t="s">
        <v>5927</v>
      </c>
      <c r="J88" s="20" t="s">
        <v>5417</v>
      </c>
      <c r="K88" s="20" t="s">
        <v>5423</v>
      </c>
      <c r="L88" s="20" t="s">
        <v>4371</v>
      </c>
      <c r="M88" s="20"/>
      <c r="N88" s="36"/>
      <c r="O88" s="20"/>
      <c r="P88" s="20"/>
      <c r="Q88" s="20"/>
      <c r="R88" s="20"/>
    </row>
    <row r="89" spans="1:18" ht="24.9" customHeight="1">
      <c r="A89" s="20" t="s">
        <v>4320</v>
      </c>
      <c r="B89" s="20"/>
      <c r="C89" s="20" t="s">
        <v>326</v>
      </c>
      <c r="D89" s="20" t="str">
        <f>VLOOKUP(C89,'لیست پرسنل'!$B$1:$F$1008,3,FALSE)</f>
        <v>فکورصنعت</v>
      </c>
      <c r="E89" s="20" t="str">
        <f>VLOOKUP(C89,'لیست پرسنل'!$B$1:$F$1008,4,FALSE)</f>
        <v>انبار</v>
      </c>
      <c r="F89" s="20">
        <f>VLOOKUP(C89,'لیست پرسنل'!$B$1:$F$1008,2,FALSE)</f>
        <v>98141</v>
      </c>
      <c r="G89" s="20" t="s">
        <v>5415</v>
      </c>
      <c r="H89" s="20"/>
      <c r="I89" s="20" t="s">
        <v>5927</v>
      </c>
      <c r="J89" s="20" t="s">
        <v>5417</v>
      </c>
      <c r="K89" s="20" t="s">
        <v>5423</v>
      </c>
      <c r="L89" s="20" t="s">
        <v>4371</v>
      </c>
      <c r="M89" s="20"/>
      <c r="N89" s="36"/>
      <c r="O89" s="20"/>
      <c r="P89" s="20"/>
      <c r="Q89" s="20"/>
      <c r="R89" s="20"/>
    </row>
    <row r="90" spans="1:18" ht="24.9" customHeight="1">
      <c r="A90" s="20" t="s">
        <v>4320</v>
      </c>
      <c r="B90" s="20"/>
      <c r="C90" s="20" t="s">
        <v>326</v>
      </c>
      <c r="D90" s="20" t="str">
        <f>VLOOKUP(C90,'لیست پرسنل'!$B$1:$F$1008,3,FALSE)</f>
        <v>فکورصنعت</v>
      </c>
      <c r="E90" s="20" t="str">
        <f>VLOOKUP(C90,'لیست پرسنل'!$B$1:$F$1008,4,FALSE)</f>
        <v>انبار</v>
      </c>
      <c r="F90" s="20">
        <f>VLOOKUP(C90,'لیست پرسنل'!$B$1:$F$1008,2,FALSE)</f>
        <v>98141</v>
      </c>
      <c r="G90" s="20" t="s">
        <v>5415</v>
      </c>
      <c r="H90" s="20"/>
      <c r="I90" s="20" t="s">
        <v>5927</v>
      </c>
      <c r="J90" s="20" t="s">
        <v>5417</v>
      </c>
      <c r="K90" s="20" t="s">
        <v>5423</v>
      </c>
      <c r="L90" s="20" t="s">
        <v>4371</v>
      </c>
      <c r="M90" s="20"/>
      <c r="N90" s="36"/>
      <c r="O90" s="20"/>
      <c r="P90" s="20"/>
      <c r="Q90" s="20"/>
      <c r="R90" s="20"/>
    </row>
    <row r="91" spans="1:18" ht="24.9" customHeight="1">
      <c r="A91" s="20" t="s">
        <v>4320</v>
      </c>
      <c r="B91" s="20"/>
      <c r="C91" s="20" t="s">
        <v>326</v>
      </c>
      <c r="D91" s="20" t="str">
        <f>VLOOKUP(C91,'لیست پرسنل'!$B$1:$F$1008,3,FALSE)</f>
        <v>فکورصنعت</v>
      </c>
      <c r="E91" s="20" t="str">
        <f>VLOOKUP(C91,'لیست پرسنل'!$B$1:$F$1008,4,FALSE)</f>
        <v>انبار</v>
      </c>
      <c r="F91" s="20">
        <f>VLOOKUP(C91,'لیست پرسنل'!$B$1:$F$1008,2,FALSE)</f>
        <v>98141</v>
      </c>
      <c r="G91" s="20" t="s">
        <v>5415</v>
      </c>
      <c r="H91" s="20"/>
      <c r="I91" s="20" t="s">
        <v>5927</v>
      </c>
      <c r="J91" s="20" t="s">
        <v>5417</v>
      </c>
      <c r="K91" s="20" t="s">
        <v>5423</v>
      </c>
      <c r="L91" s="20" t="s">
        <v>4371</v>
      </c>
      <c r="M91" s="20"/>
      <c r="N91" s="36"/>
      <c r="O91" s="20"/>
      <c r="P91" s="20"/>
      <c r="Q91" s="20"/>
      <c r="R91" s="20"/>
    </row>
    <row r="92" spans="1:18" ht="24.9" customHeight="1">
      <c r="A92" s="20" t="s">
        <v>4320</v>
      </c>
      <c r="B92" s="20"/>
      <c r="C92" s="20" t="s">
        <v>326</v>
      </c>
      <c r="D92" s="20" t="str">
        <f>VLOOKUP(C92,'لیست پرسنل'!$B$1:$F$1008,3,FALSE)</f>
        <v>فکورصنعت</v>
      </c>
      <c r="E92" s="20" t="str">
        <f>VLOOKUP(C92,'لیست پرسنل'!$B$1:$F$1008,4,FALSE)</f>
        <v>انبار</v>
      </c>
      <c r="F92" s="20">
        <f>VLOOKUP(C92,'لیست پرسنل'!$B$1:$F$1008,2,FALSE)</f>
        <v>98141</v>
      </c>
      <c r="G92" s="20" t="s">
        <v>5415</v>
      </c>
      <c r="H92" s="20"/>
      <c r="I92" s="20" t="s">
        <v>5927</v>
      </c>
      <c r="J92" s="20" t="s">
        <v>5417</v>
      </c>
      <c r="K92" s="20" t="s">
        <v>5423</v>
      </c>
      <c r="L92" s="20" t="s">
        <v>4371</v>
      </c>
      <c r="M92" s="20"/>
      <c r="N92" s="36"/>
      <c r="O92" s="20"/>
      <c r="P92" s="20"/>
      <c r="Q92" s="20"/>
      <c r="R92" s="20"/>
    </row>
    <row r="93" spans="1:18" ht="24.9" customHeight="1">
      <c r="A93" s="20" t="s">
        <v>4320</v>
      </c>
      <c r="B93" s="20"/>
      <c r="C93" s="20" t="s">
        <v>326</v>
      </c>
      <c r="D93" s="20" t="str">
        <f>VLOOKUP(C93,'لیست پرسنل'!$B$1:$F$1008,3,FALSE)</f>
        <v>فکورصنعت</v>
      </c>
      <c r="E93" s="20" t="str">
        <f>VLOOKUP(C93,'لیست پرسنل'!$B$1:$F$1008,4,FALSE)</f>
        <v>انبار</v>
      </c>
      <c r="F93" s="20">
        <f>VLOOKUP(C93,'لیست پرسنل'!$B$1:$F$1008,2,FALSE)</f>
        <v>98141</v>
      </c>
      <c r="G93" s="20" t="s">
        <v>5415</v>
      </c>
      <c r="H93" s="20"/>
      <c r="I93" s="20" t="s">
        <v>5927</v>
      </c>
      <c r="J93" s="20" t="s">
        <v>5417</v>
      </c>
      <c r="K93" s="20" t="s">
        <v>5423</v>
      </c>
      <c r="L93" s="20" t="s">
        <v>4371</v>
      </c>
      <c r="M93" s="20"/>
      <c r="N93" s="36"/>
      <c r="O93" s="20"/>
      <c r="P93" s="20"/>
      <c r="Q93" s="20"/>
      <c r="R93" s="20"/>
    </row>
    <row r="94" spans="1:18" ht="24.9" customHeight="1">
      <c r="A94" s="20" t="s">
        <v>4320</v>
      </c>
      <c r="B94" s="20"/>
      <c r="C94" s="20" t="s">
        <v>326</v>
      </c>
      <c r="D94" s="20" t="str">
        <f>VLOOKUP(C94,'لیست پرسنل'!$B$1:$F$1008,3,FALSE)</f>
        <v>فکورصنعت</v>
      </c>
      <c r="E94" s="20" t="str">
        <f>VLOOKUP(C94,'لیست پرسنل'!$B$1:$F$1008,4,FALSE)</f>
        <v>انبار</v>
      </c>
      <c r="F94" s="20">
        <f>VLOOKUP(C94,'لیست پرسنل'!$B$1:$F$1008,2,FALSE)</f>
        <v>98141</v>
      </c>
      <c r="G94" s="20" t="s">
        <v>5415</v>
      </c>
      <c r="H94" s="20"/>
      <c r="I94" s="20" t="s">
        <v>5927</v>
      </c>
      <c r="J94" s="20" t="s">
        <v>5417</v>
      </c>
      <c r="K94" s="20" t="s">
        <v>5423</v>
      </c>
      <c r="L94" s="20" t="s">
        <v>4371</v>
      </c>
      <c r="M94" s="20"/>
      <c r="N94" s="36"/>
      <c r="O94" s="20"/>
      <c r="P94" s="20"/>
      <c r="Q94" s="20"/>
      <c r="R94" s="20"/>
    </row>
    <row r="95" spans="1:18" ht="24.9" customHeight="1">
      <c r="A95" s="20" t="s">
        <v>4320</v>
      </c>
      <c r="B95" s="20"/>
      <c r="C95" s="20" t="s">
        <v>326</v>
      </c>
      <c r="D95" s="20" t="str">
        <f>VLOOKUP(C95,'لیست پرسنل'!$B$1:$F$1008,3,FALSE)</f>
        <v>فکورصنعت</v>
      </c>
      <c r="E95" s="20" t="str">
        <f>VLOOKUP(C95,'لیست پرسنل'!$B$1:$F$1008,4,FALSE)</f>
        <v>انبار</v>
      </c>
      <c r="F95" s="20">
        <f>VLOOKUP(C95,'لیست پرسنل'!$B$1:$F$1008,2,FALSE)</f>
        <v>98141</v>
      </c>
      <c r="G95" s="20" t="s">
        <v>5415</v>
      </c>
      <c r="H95" s="20"/>
      <c r="I95" s="20" t="s">
        <v>5927</v>
      </c>
      <c r="J95" s="20" t="s">
        <v>5417</v>
      </c>
      <c r="K95" s="20" t="s">
        <v>5423</v>
      </c>
      <c r="L95" s="20" t="s">
        <v>4371</v>
      </c>
      <c r="M95" s="20"/>
      <c r="N95" s="36"/>
      <c r="O95" s="20"/>
      <c r="P95" s="20"/>
      <c r="Q95" s="20"/>
      <c r="R95" s="20"/>
    </row>
    <row r="96" spans="1:18" ht="24.9" customHeight="1">
      <c r="A96" s="20" t="s">
        <v>4320</v>
      </c>
      <c r="B96" s="20"/>
      <c r="C96" s="20" t="s">
        <v>326</v>
      </c>
      <c r="D96" s="20" t="str">
        <f>VLOOKUP(C96,'لیست پرسنل'!$B$1:$F$1008,3,FALSE)</f>
        <v>فکورصنعت</v>
      </c>
      <c r="E96" s="20" t="str">
        <f>VLOOKUP(C96,'لیست پرسنل'!$B$1:$F$1008,4,FALSE)</f>
        <v>انبار</v>
      </c>
      <c r="F96" s="20">
        <f>VLOOKUP(C96,'لیست پرسنل'!$B$1:$F$1008,2,FALSE)</f>
        <v>98141</v>
      </c>
      <c r="G96" s="20" t="s">
        <v>5415</v>
      </c>
      <c r="H96" s="20"/>
      <c r="I96" s="20" t="s">
        <v>5927</v>
      </c>
      <c r="J96" s="20" t="s">
        <v>5417</v>
      </c>
      <c r="K96" s="20" t="s">
        <v>5423</v>
      </c>
      <c r="L96" s="20" t="s">
        <v>4371</v>
      </c>
      <c r="M96" s="20"/>
      <c r="N96" s="36"/>
      <c r="O96" s="20"/>
      <c r="P96" s="20"/>
      <c r="Q96" s="20"/>
      <c r="R96" s="20"/>
    </row>
    <row r="97" spans="1:18" ht="24.9" customHeight="1">
      <c r="A97" s="20" t="s">
        <v>4320</v>
      </c>
      <c r="B97" s="20"/>
      <c r="C97" s="20" t="s">
        <v>326</v>
      </c>
      <c r="D97" s="20" t="str">
        <f>VLOOKUP(C97,'لیست پرسنل'!$B$1:$F$1008,3,FALSE)</f>
        <v>فکورصنعت</v>
      </c>
      <c r="E97" s="20" t="str">
        <f>VLOOKUP(C97,'لیست پرسنل'!$B$1:$F$1008,4,FALSE)</f>
        <v>انبار</v>
      </c>
      <c r="F97" s="20">
        <f>VLOOKUP(C97,'لیست پرسنل'!$B$1:$F$1008,2,FALSE)</f>
        <v>98141</v>
      </c>
      <c r="G97" s="20" t="s">
        <v>5415</v>
      </c>
      <c r="H97" s="20"/>
      <c r="I97" s="20" t="s">
        <v>5927</v>
      </c>
      <c r="J97" s="20" t="s">
        <v>5417</v>
      </c>
      <c r="K97" s="20" t="s">
        <v>5423</v>
      </c>
      <c r="L97" s="20" t="s">
        <v>4371</v>
      </c>
      <c r="M97" s="20"/>
      <c r="N97" s="36"/>
      <c r="O97" s="20"/>
      <c r="P97" s="20"/>
      <c r="Q97" s="20"/>
      <c r="R97" s="20"/>
    </row>
    <row r="98" spans="1:18" ht="24.9" customHeight="1">
      <c r="A98" s="20" t="s">
        <v>4320</v>
      </c>
      <c r="B98" s="20"/>
      <c r="C98" s="20" t="s">
        <v>326</v>
      </c>
      <c r="D98" s="20" t="str">
        <f>VLOOKUP(C98,'لیست پرسنل'!$B$1:$F$1008,3,FALSE)</f>
        <v>فکورصنعت</v>
      </c>
      <c r="E98" s="20" t="str">
        <f>VLOOKUP(C98,'لیست پرسنل'!$B$1:$F$1008,4,FALSE)</f>
        <v>انبار</v>
      </c>
      <c r="F98" s="20">
        <f>VLOOKUP(C98,'لیست پرسنل'!$B$1:$F$1008,2,FALSE)</f>
        <v>98141</v>
      </c>
      <c r="G98" s="20" t="s">
        <v>5415</v>
      </c>
      <c r="H98" s="20"/>
      <c r="I98" s="20" t="s">
        <v>5927</v>
      </c>
      <c r="J98" s="20" t="s">
        <v>5417</v>
      </c>
      <c r="K98" s="20" t="s">
        <v>5423</v>
      </c>
      <c r="L98" s="20" t="s">
        <v>4371</v>
      </c>
      <c r="M98" s="20"/>
      <c r="N98" s="36"/>
      <c r="O98" s="20"/>
      <c r="P98" s="20"/>
      <c r="Q98" s="20"/>
      <c r="R98" s="20"/>
    </row>
    <row r="99" spans="1:18" ht="24.9" customHeight="1">
      <c r="A99" s="20" t="s">
        <v>4320</v>
      </c>
      <c r="B99" s="20"/>
      <c r="C99" s="20" t="s">
        <v>326</v>
      </c>
      <c r="D99" s="20" t="str">
        <f>VLOOKUP(C99,'لیست پرسنل'!$B$1:$F$1008,3,FALSE)</f>
        <v>فکورصنعت</v>
      </c>
      <c r="E99" s="20" t="str">
        <f>VLOOKUP(C99,'لیست پرسنل'!$B$1:$F$1008,4,FALSE)</f>
        <v>انبار</v>
      </c>
      <c r="F99" s="20">
        <f>VLOOKUP(C99,'لیست پرسنل'!$B$1:$F$1008,2,FALSE)</f>
        <v>98141</v>
      </c>
      <c r="G99" s="20" t="s">
        <v>5415</v>
      </c>
      <c r="H99" s="20"/>
      <c r="I99" s="20" t="s">
        <v>5927</v>
      </c>
      <c r="J99" s="20" t="s">
        <v>5417</v>
      </c>
      <c r="K99" s="20" t="s">
        <v>5423</v>
      </c>
      <c r="L99" s="20" t="s">
        <v>4371</v>
      </c>
      <c r="M99" s="20"/>
      <c r="N99" s="36"/>
      <c r="O99" s="20"/>
      <c r="P99" s="20"/>
      <c r="Q99" s="20"/>
      <c r="R99" s="20"/>
    </row>
    <row r="100" spans="1:18" ht="24.9" customHeight="1">
      <c r="A100" s="20" t="s">
        <v>4320</v>
      </c>
      <c r="B100" s="20"/>
      <c r="C100" s="20" t="s">
        <v>326</v>
      </c>
      <c r="D100" s="20" t="str">
        <f>VLOOKUP(C100,'لیست پرسنل'!$B$1:$F$1008,3,FALSE)</f>
        <v>فکورصنعت</v>
      </c>
      <c r="E100" s="20" t="str">
        <f>VLOOKUP(C100,'لیست پرسنل'!$B$1:$F$1008,4,FALSE)</f>
        <v>انبار</v>
      </c>
      <c r="F100" s="20">
        <f>VLOOKUP(C100,'لیست پرسنل'!$B$1:$F$1008,2,FALSE)</f>
        <v>98141</v>
      </c>
      <c r="G100" s="20" t="s">
        <v>5415</v>
      </c>
      <c r="H100" s="20"/>
      <c r="I100" s="20" t="s">
        <v>5927</v>
      </c>
      <c r="J100" s="20" t="s">
        <v>5417</v>
      </c>
      <c r="K100" s="20" t="s">
        <v>5423</v>
      </c>
      <c r="L100" s="20" t="s">
        <v>4371</v>
      </c>
      <c r="M100" s="20"/>
      <c r="N100" s="36"/>
      <c r="O100" s="20"/>
      <c r="P100" s="20"/>
      <c r="Q100" s="20"/>
      <c r="R100" s="20"/>
    </row>
    <row r="101" spans="1:18" ht="24.9" customHeight="1">
      <c r="A101" s="20" t="s">
        <v>4320</v>
      </c>
      <c r="B101" s="20"/>
      <c r="C101" s="20" t="s">
        <v>326</v>
      </c>
      <c r="D101" s="20" t="str">
        <f>VLOOKUP(C101,'لیست پرسنل'!$B$1:$F$1008,3,FALSE)</f>
        <v>فکورصنعت</v>
      </c>
      <c r="E101" s="20" t="str">
        <f>VLOOKUP(C101,'لیست پرسنل'!$B$1:$F$1008,4,FALSE)</f>
        <v>انبار</v>
      </c>
      <c r="F101" s="20">
        <f>VLOOKUP(C101,'لیست پرسنل'!$B$1:$F$1008,2,FALSE)</f>
        <v>98141</v>
      </c>
      <c r="G101" s="20" t="s">
        <v>5415</v>
      </c>
      <c r="H101" s="20"/>
      <c r="I101" s="20" t="s">
        <v>5927</v>
      </c>
      <c r="J101" s="20" t="s">
        <v>5417</v>
      </c>
      <c r="K101" s="20" t="s">
        <v>5423</v>
      </c>
      <c r="L101" s="20" t="s">
        <v>4371</v>
      </c>
      <c r="M101" s="20"/>
      <c r="N101" s="36"/>
      <c r="O101" s="20"/>
      <c r="P101" s="20"/>
      <c r="Q101" s="20"/>
      <c r="R101" s="20"/>
    </row>
    <row r="102" spans="1:18" ht="24.9" customHeight="1">
      <c r="A102" s="20" t="s">
        <v>4320</v>
      </c>
      <c r="B102" s="20"/>
      <c r="C102" s="20" t="s">
        <v>326</v>
      </c>
      <c r="D102" s="20" t="str">
        <f>VLOOKUP(C102,'لیست پرسنل'!$B$1:$F$1008,3,FALSE)</f>
        <v>فکورصنعت</v>
      </c>
      <c r="E102" s="20" t="str">
        <f>VLOOKUP(C102,'لیست پرسنل'!$B$1:$F$1008,4,FALSE)</f>
        <v>انبار</v>
      </c>
      <c r="F102" s="20">
        <f>VLOOKUP(C102,'لیست پرسنل'!$B$1:$F$1008,2,FALSE)</f>
        <v>98141</v>
      </c>
      <c r="G102" s="20" t="s">
        <v>5415</v>
      </c>
      <c r="H102" s="20"/>
      <c r="I102" s="20" t="s">
        <v>5927</v>
      </c>
      <c r="J102" s="20" t="s">
        <v>5417</v>
      </c>
      <c r="K102" s="20" t="s">
        <v>5423</v>
      </c>
      <c r="L102" s="20" t="s">
        <v>4371</v>
      </c>
      <c r="M102" s="20"/>
      <c r="N102" s="36"/>
      <c r="O102" s="20"/>
      <c r="P102" s="20"/>
      <c r="Q102" s="20"/>
      <c r="R102" s="20"/>
    </row>
    <row r="103" spans="1:18" ht="24.9" customHeight="1">
      <c r="A103" s="20" t="s">
        <v>4320</v>
      </c>
      <c r="B103" s="20"/>
      <c r="C103" s="20" t="s">
        <v>326</v>
      </c>
      <c r="D103" s="20" t="str">
        <f>VLOOKUP(C103,'لیست پرسنل'!$B$1:$F$1008,3,FALSE)</f>
        <v>فکورصنعت</v>
      </c>
      <c r="E103" s="20" t="str">
        <f>VLOOKUP(C103,'لیست پرسنل'!$B$1:$F$1008,4,FALSE)</f>
        <v>انبار</v>
      </c>
      <c r="F103" s="20">
        <f>VLOOKUP(C103,'لیست پرسنل'!$B$1:$F$1008,2,FALSE)</f>
        <v>98141</v>
      </c>
      <c r="G103" s="20" t="s">
        <v>5415</v>
      </c>
      <c r="H103" s="20"/>
      <c r="I103" s="20" t="s">
        <v>5927</v>
      </c>
      <c r="J103" s="20" t="s">
        <v>5417</v>
      </c>
      <c r="K103" s="20" t="s">
        <v>5423</v>
      </c>
      <c r="L103" s="20" t="s">
        <v>4371</v>
      </c>
      <c r="M103" s="20"/>
      <c r="N103" s="36"/>
      <c r="O103" s="20"/>
      <c r="P103" s="20"/>
      <c r="Q103" s="20"/>
      <c r="R103" s="20"/>
    </row>
    <row r="104" spans="1:18" ht="24.9" customHeight="1">
      <c r="A104" s="20" t="s">
        <v>4320</v>
      </c>
      <c r="B104" s="20"/>
      <c r="C104" s="20" t="s">
        <v>326</v>
      </c>
      <c r="D104" s="20" t="str">
        <f>VLOOKUP(C104,'لیست پرسنل'!$B$1:$F$1008,3,FALSE)</f>
        <v>فکورصنعت</v>
      </c>
      <c r="E104" s="20" t="str">
        <f>VLOOKUP(C104,'لیست پرسنل'!$B$1:$F$1008,4,FALSE)</f>
        <v>انبار</v>
      </c>
      <c r="F104" s="20">
        <f>VLOOKUP(C104,'لیست پرسنل'!$B$1:$F$1008,2,FALSE)</f>
        <v>98141</v>
      </c>
      <c r="G104" s="20" t="s">
        <v>5415</v>
      </c>
      <c r="H104" s="20"/>
      <c r="I104" s="20" t="s">
        <v>5927</v>
      </c>
      <c r="J104" s="20" t="s">
        <v>5417</v>
      </c>
      <c r="K104" s="20" t="s">
        <v>5423</v>
      </c>
      <c r="L104" s="20" t="s">
        <v>4371</v>
      </c>
      <c r="M104" s="20"/>
      <c r="N104" s="36"/>
      <c r="O104" s="20"/>
      <c r="P104" s="20"/>
      <c r="Q104" s="20"/>
      <c r="R104" s="20"/>
    </row>
    <row r="105" spans="1:18" ht="24.9" customHeight="1">
      <c r="A105" s="20" t="s">
        <v>4320</v>
      </c>
      <c r="B105" s="20"/>
      <c r="C105" s="20" t="s">
        <v>326</v>
      </c>
      <c r="D105" s="20" t="str">
        <f>VLOOKUP(C105,'لیست پرسنل'!$B$1:$F$1008,3,FALSE)</f>
        <v>فکورصنعت</v>
      </c>
      <c r="E105" s="20" t="str">
        <f>VLOOKUP(C105,'لیست پرسنل'!$B$1:$F$1008,4,FALSE)</f>
        <v>انبار</v>
      </c>
      <c r="F105" s="20">
        <f>VLOOKUP(C105,'لیست پرسنل'!$B$1:$F$1008,2,FALSE)</f>
        <v>98141</v>
      </c>
      <c r="G105" s="20" t="s">
        <v>5415</v>
      </c>
      <c r="H105" s="20"/>
      <c r="I105" s="20" t="s">
        <v>5927</v>
      </c>
      <c r="J105" s="20" t="s">
        <v>5417</v>
      </c>
      <c r="K105" s="20" t="s">
        <v>5423</v>
      </c>
      <c r="L105" s="20" t="s">
        <v>4371</v>
      </c>
      <c r="M105" s="20"/>
      <c r="N105" s="36"/>
      <c r="O105" s="20"/>
      <c r="P105" s="20"/>
      <c r="Q105" s="20"/>
      <c r="R105" s="20"/>
    </row>
    <row r="106" spans="1:18" ht="24.9" customHeight="1">
      <c r="A106" s="20" t="s">
        <v>4320</v>
      </c>
      <c r="B106" s="20"/>
      <c r="C106" s="20" t="s">
        <v>326</v>
      </c>
      <c r="D106" s="20" t="str">
        <f>VLOOKUP(C106,'لیست پرسنل'!$B$1:$F$1008,3,FALSE)</f>
        <v>فکورصنعت</v>
      </c>
      <c r="E106" s="20" t="str">
        <f>VLOOKUP(C106,'لیست پرسنل'!$B$1:$F$1008,4,FALSE)</f>
        <v>انبار</v>
      </c>
      <c r="F106" s="20">
        <f>VLOOKUP(C106,'لیست پرسنل'!$B$1:$F$1008,2,FALSE)</f>
        <v>98141</v>
      </c>
      <c r="G106" s="20" t="s">
        <v>5415</v>
      </c>
      <c r="H106" s="20"/>
      <c r="I106" s="20" t="s">
        <v>5927</v>
      </c>
      <c r="J106" s="20" t="s">
        <v>5417</v>
      </c>
      <c r="K106" s="20" t="s">
        <v>5423</v>
      </c>
      <c r="L106" s="20" t="s">
        <v>4371</v>
      </c>
      <c r="M106" s="20"/>
      <c r="N106" s="36"/>
      <c r="O106" s="20"/>
      <c r="P106" s="20"/>
      <c r="Q106" s="20"/>
      <c r="R106" s="20"/>
    </row>
    <row r="107" spans="1:18" ht="24.9" customHeight="1">
      <c r="A107" s="20" t="s">
        <v>4320</v>
      </c>
      <c r="B107" s="20"/>
      <c r="C107" s="20" t="s">
        <v>326</v>
      </c>
      <c r="D107" s="20" t="str">
        <f>VLOOKUP(C107,'لیست پرسنل'!$B$1:$F$1008,3,FALSE)</f>
        <v>فکورصنعت</v>
      </c>
      <c r="E107" s="20" t="str">
        <f>VLOOKUP(C107,'لیست پرسنل'!$B$1:$F$1008,4,FALSE)</f>
        <v>انبار</v>
      </c>
      <c r="F107" s="20">
        <f>VLOOKUP(C107,'لیست پرسنل'!$B$1:$F$1008,2,FALSE)</f>
        <v>98141</v>
      </c>
      <c r="G107" s="20" t="s">
        <v>5415</v>
      </c>
      <c r="H107" s="20"/>
      <c r="I107" s="20" t="s">
        <v>5927</v>
      </c>
      <c r="J107" s="20" t="s">
        <v>5417</v>
      </c>
      <c r="K107" s="20" t="s">
        <v>5423</v>
      </c>
      <c r="L107" s="20" t="s">
        <v>4371</v>
      </c>
      <c r="M107" s="20"/>
      <c r="N107" s="36"/>
      <c r="O107" s="20"/>
      <c r="P107" s="20"/>
      <c r="Q107" s="20"/>
      <c r="R107" s="20"/>
    </row>
    <row r="108" spans="1:18" ht="24.9" customHeight="1">
      <c r="A108" s="20" t="s">
        <v>4320</v>
      </c>
      <c r="B108" s="20"/>
      <c r="C108" s="20" t="s">
        <v>326</v>
      </c>
      <c r="D108" s="20" t="str">
        <f>VLOOKUP(C108,'لیست پرسنل'!$B$1:$F$1008,3,FALSE)</f>
        <v>فکورصنعت</v>
      </c>
      <c r="E108" s="20" t="str">
        <f>VLOOKUP(C108,'لیست پرسنل'!$B$1:$F$1008,4,FALSE)</f>
        <v>انبار</v>
      </c>
      <c r="F108" s="20">
        <f>VLOOKUP(C108,'لیست پرسنل'!$B$1:$F$1008,2,FALSE)</f>
        <v>98141</v>
      </c>
      <c r="G108" s="20" t="s">
        <v>5415</v>
      </c>
      <c r="H108" s="20"/>
      <c r="I108" s="20" t="s">
        <v>5927</v>
      </c>
      <c r="J108" s="20" t="s">
        <v>5418</v>
      </c>
      <c r="K108" s="20" t="s">
        <v>5423</v>
      </c>
      <c r="L108" s="20" t="s">
        <v>4371</v>
      </c>
      <c r="M108" s="20"/>
      <c r="N108" s="36"/>
      <c r="O108" s="20"/>
      <c r="P108" s="20"/>
      <c r="Q108" s="20"/>
      <c r="R108" s="20"/>
    </row>
    <row r="109" spans="1:18" ht="24.9" customHeight="1">
      <c r="A109" s="20" t="s">
        <v>4320</v>
      </c>
      <c r="B109" s="20"/>
      <c r="C109" s="20" t="s">
        <v>326</v>
      </c>
      <c r="D109" s="20" t="str">
        <f>VLOOKUP(C109,'لیست پرسنل'!$B$1:$F$1008,3,FALSE)</f>
        <v>فکورصنعت</v>
      </c>
      <c r="E109" s="20" t="str">
        <f>VLOOKUP(C109,'لیست پرسنل'!$B$1:$F$1008,4,FALSE)</f>
        <v>انبار</v>
      </c>
      <c r="F109" s="20">
        <f>VLOOKUP(C109,'لیست پرسنل'!$B$1:$F$1008,2,FALSE)</f>
        <v>98141</v>
      </c>
      <c r="G109" s="20" t="s">
        <v>5415</v>
      </c>
      <c r="H109" s="20"/>
      <c r="I109" s="20" t="s">
        <v>5927</v>
      </c>
      <c r="J109" s="20" t="s">
        <v>5418</v>
      </c>
      <c r="K109" s="20" t="s">
        <v>5423</v>
      </c>
      <c r="L109" s="20" t="s">
        <v>4371</v>
      </c>
      <c r="M109" s="20"/>
      <c r="N109" s="36"/>
      <c r="O109" s="20"/>
      <c r="P109" s="20"/>
      <c r="Q109" s="20"/>
      <c r="R109" s="20"/>
    </row>
    <row r="110" spans="1:18" ht="24.9" customHeight="1">
      <c r="A110" s="20" t="s">
        <v>4320</v>
      </c>
      <c r="B110" s="20"/>
      <c r="C110" s="20" t="s">
        <v>326</v>
      </c>
      <c r="D110" s="20" t="str">
        <f>VLOOKUP(C110,'لیست پرسنل'!$B$1:$F$1008,3,FALSE)</f>
        <v>فکورصنعت</v>
      </c>
      <c r="E110" s="20" t="str">
        <f>VLOOKUP(C110,'لیست پرسنل'!$B$1:$F$1008,4,FALSE)</f>
        <v>انبار</v>
      </c>
      <c r="F110" s="20">
        <f>VLOOKUP(C110,'لیست پرسنل'!$B$1:$F$1008,2,FALSE)</f>
        <v>98141</v>
      </c>
      <c r="G110" s="20" t="s">
        <v>5415</v>
      </c>
      <c r="H110" s="20"/>
      <c r="I110" s="20" t="s">
        <v>5927</v>
      </c>
      <c r="J110" s="20" t="s">
        <v>5418</v>
      </c>
      <c r="K110" s="20" t="s">
        <v>5423</v>
      </c>
      <c r="L110" s="20" t="s">
        <v>4371</v>
      </c>
      <c r="M110" s="20"/>
      <c r="N110" s="36"/>
      <c r="O110" s="20"/>
      <c r="P110" s="20"/>
      <c r="Q110" s="20"/>
      <c r="R110" s="20"/>
    </row>
    <row r="111" spans="1:18" ht="24.9" customHeight="1">
      <c r="A111" s="20" t="s">
        <v>4320</v>
      </c>
      <c r="B111" s="20"/>
      <c r="C111" s="20" t="s">
        <v>326</v>
      </c>
      <c r="D111" s="20" t="str">
        <f>VLOOKUP(C111,'لیست پرسنل'!$B$1:$F$1008,3,FALSE)</f>
        <v>فکورصنعت</v>
      </c>
      <c r="E111" s="20" t="str">
        <f>VLOOKUP(C111,'لیست پرسنل'!$B$1:$F$1008,4,FALSE)</f>
        <v>انبار</v>
      </c>
      <c r="F111" s="20">
        <f>VLOOKUP(C111,'لیست پرسنل'!$B$1:$F$1008,2,FALSE)</f>
        <v>98141</v>
      </c>
      <c r="G111" s="20" t="s">
        <v>5415</v>
      </c>
      <c r="H111" s="20"/>
      <c r="I111" s="20" t="s">
        <v>5927</v>
      </c>
      <c r="J111" s="20" t="s">
        <v>5418</v>
      </c>
      <c r="K111" s="20" t="s">
        <v>5423</v>
      </c>
      <c r="L111" s="20" t="s">
        <v>4371</v>
      </c>
      <c r="M111" s="66"/>
      <c r="N111" s="36"/>
      <c r="O111" s="20"/>
      <c r="P111" s="20"/>
      <c r="Q111" s="20"/>
      <c r="R111" s="20"/>
    </row>
    <row r="112" spans="1:18" ht="24.9" customHeight="1">
      <c r="A112" s="20" t="s">
        <v>4320</v>
      </c>
      <c r="B112" s="20"/>
      <c r="C112" s="20" t="s">
        <v>326</v>
      </c>
      <c r="D112" s="20" t="str">
        <f>VLOOKUP(C112,'لیست پرسنل'!$B$1:$F$1008,3,FALSE)</f>
        <v>فکورصنعت</v>
      </c>
      <c r="E112" s="20" t="str">
        <f>VLOOKUP(C112,'لیست پرسنل'!$B$1:$F$1008,4,FALSE)</f>
        <v>انبار</v>
      </c>
      <c r="F112" s="20">
        <f>VLOOKUP(C112,'لیست پرسنل'!$B$1:$F$1008,2,FALSE)</f>
        <v>98141</v>
      </c>
      <c r="G112" s="20" t="s">
        <v>5415</v>
      </c>
      <c r="H112" s="20"/>
      <c r="I112" s="20" t="s">
        <v>5927</v>
      </c>
      <c r="J112" s="20" t="s">
        <v>5418</v>
      </c>
      <c r="K112" s="20" t="s">
        <v>5423</v>
      </c>
      <c r="L112" s="20" t="s">
        <v>4371</v>
      </c>
      <c r="M112" s="20"/>
      <c r="N112" s="36"/>
      <c r="O112" s="20"/>
      <c r="P112" s="20"/>
      <c r="Q112" s="20"/>
      <c r="R112" s="20"/>
    </row>
    <row r="113" spans="1:18" ht="24.9" customHeight="1">
      <c r="A113" s="20" t="s">
        <v>4320</v>
      </c>
      <c r="B113" s="20"/>
      <c r="C113" s="20" t="s">
        <v>326</v>
      </c>
      <c r="D113" s="20" t="str">
        <f>VLOOKUP(C113,'لیست پرسنل'!$B$1:$F$1008,3,FALSE)</f>
        <v>فکورصنعت</v>
      </c>
      <c r="E113" s="20" t="str">
        <f>VLOOKUP(C113,'لیست پرسنل'!$B$1:$F$1008,4,FALSE)</f>
        <v>انبار</v>
      </c>
      <c r="F113" s="20">
        <f>VLOOKUP(C113,'لیست پرسنل'!$B$1:$F$1008,2,FALSE)</f>
        <v>98141</v>
      </c>
      <c r="G113" s="20" t="s">
        <v>5415</v>
      </c>
      <c r="H113" s="20"/>
      <c r="I113" s="20" t="s">
        <v>5927</v>
      </c>
      <c r="J113" s="20" t="s">
        <v>5418</v>
      </c>
      <c r="K113" s="20" t="s">
        <v>5423</v>
      </c>
      <c r="L113" s="20" t="s">
        <v>4371</v>
      </c>
      <c r="M113" s="20"/>
      <c r="N113" s="36"/>
      <c r="O113" s="20"/>
      <c r="P113" s="20"/>
      <c r="Q113" s="20"/>
      <c r="R113" s="20"/>
    </row>
    <row r="114" spans="1:18" ht="24.9" customHeight="1">
      <c r="A114" s="20" t="s">
        <v>4320</v>
      </c>
      <c r="B114" s="20"/>
      <c r="C114" s="20" t="s">
        <v>345</v>
      </c>
      <c r="D114" s="20" t="str">
        <f>VLOOKUP(C114,'لیست پرسنل'!$B$1:$F$1008,3,FALSE)</f>
        <v>فکورصنعت</v>
      </c>
      <c r="E114" s="20" t="str">
        <f>VLOOKUP(C114,'لیست پرسنل'!$B$1:$F$1008,4,FALSE)</f>
        <v>مدیر سایت توسعه</v>
      </c>
      <c r="F114" s="20">
        <f>VLOOKUP(C114,'لیست پرسنل'!$B$1:$F$1008,2,FALSE)</f>
        <v>991101</v>
      </c>
      <c r="G114" s="20" t="s">
        <v>3479</v>
      </c>
      <c r="H114" s="20"/>
      <c r="I114" s="20" t="s">
        <v>3480</v>
      </c>
      <c r="J114" s="20" t="s">
        <v>3166</v>
      </c>
      <c r="K114" s="20" t="s">
        <v>1297</v>
      </c>
      <c r="L114" s="21" t="s">
        <v>291</v>
      </c>
      <c r="M114" s="20"/>
      <c r="N114" s="20"/>
      <c r="O114" s="20"/>
      <c r="P114" s="20"/>
      <c r="Q114" s="20"/>
      <c r="R114" s="20"/>
    </row>
    <row r="115" spans="1:18" ht="24.9" customHeight="1">
      <c r="A115" s="20" t="s">
        <v>4376</v>
      </c>
      <c r="B115" s="20"/>
      <c r="C115" s="20" t="s">
        <v>3509</v>
      </c>
      <c r="D115" s="20" t="str">
        <f>VLOOKUP(C115,'لیست پرسنل'!$B$1:$F$1008,3,FALSE)</f>
        <v>فکورصنعت</v>
      </c>
      <c r="E115" s="20" t="str">
        <f>VLOOKUP(C115,'لیست پرسنل'!$B$1:$F$1008,4,FALSE)</f>
        <v>مدیر سایت مرکز تحقیقات</v>
      </c>
      <c r="F115" s="20">
        <f>VLOOKUP(C115,'لیست پرسنل'!$B$1:$F$1008,2,FALSE)</f>
        <v>513</v>
      </c>
      <c r="G115" s="20" t="s">
        <v>3510</v>
      </c>
      <c r="H115" s="20"/>
      <c r="I115" s="20" t="s">
        <v>3480</v>
      </c>
      <c r="J115" s="20" t="s">
        <v>3529</v>
      </c>
      <c r="K115" s="20" t="s">
        <v>1665</v>
      </c>
      <c r="L115" s="20" t="s">
        <v>291</v>
      </c>
      <c r="M115" s="20"/>
      <c r="N115" s="20"/>
      <c r="O115" s="20"/>
      <c r="P115" s="19" t="s">
        <v>3530</v>
      </c>
      <c r="Q115" s="20"/>
      <c r="R115" s="20"/>
    </row>
    <row r="116" spans="1:18" ht="24.9" customHeight="1">
      <c r="A116" s="20" t="s">
        <v>4376</v>
      </c>
      <c r="B116" s="20"/>
      <c r="C116" s="20" t="s">
        <v>127</v>
      </c>
      <c r="D116" s="20" t="str">
        <f>VLOOKUP(C116,'لیست پرسنل'!$B$1:$F$1008,3,FALSE)</f>
        <v>فکورصنعت</v>
      </c>
      <c r="E116" s="20" t="str">
        <f>VLOOKUP(C116,'لیست پرسنل'!$B$1:$F$1008,4,FALSE)</f>
        <v>انبار</v>
      </c>
      <c r="F116" s="20">
        <f>VLOOKUP(C116,'لیست پرسنل'!$B$1:$F$1008,2,FALSE)</f>
        <v>1348</v>
      </c>
      <c r="G116" s="20" t="s">
        <v>4404</v>
      </c>
      <c r="H116" s="20"/>
      <c r="I116" s="20" t="s">
        <v>3480</v>
      </c>
      <c r="J116" s="20" t="s">
        <v>4264</v>
      </c>
      <c r="K116" s="20" t="s">
        <v>4265</v>
      </c>
      <c r="L116" s="19" t="s">
        <v>4371</v>
      </c>
      <c r="M116" s="19"/>
      <c r="N116" s="19"/>
      <c r="O116" s="19"/>
      <c r="P116" s="19" t="s">
        <v>4405</v>
      </c>
      <c r="Q116" s="19"/>
      <c r="R116" s="28"/>
    </row>
    <row r="117" spans="1:18" ht="24.9" customHeight="1">
      <c r="A117" s="20" t="s">
        <v>4376</v>
      </c>
      <c r="B117" s="20"/>
      <c r="C117" s="20" t="s">
        <v>127</v>
      </c>
      <c r="D117" s="20" t="str">
        <f>VLOOKUP(C117,'لیست پرسنل'!$B$1:$F$1008,3,FALSE)</f>
        <v>فکورصنعت</v>
      </c>
      <c r="E117" s="20" t="str">
        <f>VLOOKUP(C117,'لیست پرسنل'!$B$1:$F$1008,4,FALSE)</f>
        <v>انبار</v>
      </c>
      <c r="F117" s="20">
        <f>VLOOKUP(C117,'لیست پرسنل'!$B$1:$F$1008,2,FALSE)</f>
        <v>1348</v>
      </c>
      <c r="G117" s="20" t="s">
        <v>4404</v>
      </c>
      <c r="H117" s="20"/>
      <c r="I117" s="20" t="s">
        <v>3480</v>
      </c>
      <c r="J117" s="20" t="s">
        <v>4264</v>
      </c>
      <c r="K117" s="20" t="s">
        <v>4266</v>
      </c>
      <c r="L117" s="19" t="s">
        <v>4371</v>
      </c>
      <c r="M117" s="19"/>
      <c r="N117" s="19"/>
      <c r="O117" s="19"/>
      <c r="P117" s="19" t="s">
        <v>4405</v>
      </c>
      <c r="Q117" s="19"/>
      <c r="R117" s="28"/>
    </row>
    <row r="118" spans="1:18" ht="24.9" customHeight="1">
      <c r="A118" s="20" t="s">
        <v>4376</v>
      </c>
      <c r="B118" s="20"/>
      <c r="C118" s="20" t="s">
        <v>127</v>
      </c>
      <c r="D118" s="20" t="str">
        <f>VLOOKUP(C118,'لیست پرسنل'!$B$1:$F$1008,3,FALSE)</f>
        <v>فکورصنعت</v>
      </c>
      <c r="E118" s="20" t="str">
        <f>VLOOKUP(C118,'لیست پرسنل'!$B$1:$F$1008,4,FALSE)</f>
        <v>انبار</v>
      </c>
      <c r="F118" s="20">
        <f>VLOOKUP(C118,'لیست پرسنل'!$B$1:$F$1008,2,FALSE)</f>
        <v>1348</v>
      </c>
      <c r="G118" s="20" t="s">
        <v>4404</v>
      </c>
      <c r="H118" s="20"/>
      <c r="I118" s="20" t="s">
        <v>3480</v>
      </c>
      <c r="J118" s="20" t="s">
        <v>4264</v>
      </c>
      <c r="K118" s="20" t="s">
        <v>4267</v>
      </c>
      <c r="L118" s="19" t="s">
        <v>4371</v>
      </c>
      <c r="M118" s="19"/>
      <c r="N118" s="19"/>
      <c r="O118" s="19"/>
      <c r="P118" s="19" t="s">
        <v>4405</v>
      </c>
      <c r="Q118" s="19"/>
      <c r="R118" s="28"/>
    </row>
    <row r="119" spans="1:18" ht="24.9" customHeight="1">
      <c r="A119" s="20" t="s">
        <v>4376</v>
      </c>
      <c r="B119" s="20"/>
      <c r="C119" s="20" t="s">
        <v>127</v>
      </c>
      <c r="D119" s="20" t="str">
        <f>VLOOKUP(C119,'لیست پرسنل'!$B$1:$F$1008,3,FALSE)</f>
        <v>فکورصنعت</v>
      </c>
      <c r="E119" s="20" t="str">
        <f>VLOOKUP(C119,'لیست پرسنل'!$B$1:$F$1008,4,FALSE)</f>
        <v>انبار</v>
      </c>
      <c r="F119" s="20">
        <f>VLOOKUP(C119,'لیست پرسنل'!$B$1:$F$1008,2,FALSE)</f>
        <v>1348</v>
      </c>
      <c r="G119" s="20" t="s">
        <v>4404</v>
      </c>
      <c r="H119" s="20"/>
      <c r="I119" s="20" t="s">
        <v>3480</v>
      </c>
      <c r="J119" s="20" t="s">
        <v>4264</v>
      </c>
      <c r="K119" s="20" t="s">
        <v>4269</v>
      </c>
      <c r="L119" s="19" t="s">
        <v>4371</v>
      </c>
      <c r="M119" s="19"/>
      <c r="N119" s="19"/>
      <c r="O119" s="19"/>
      <c r="P119" s="19" t="s">
        <v>4405</v>
      </c>
      <c r="Q119" s="19"/>
      <c r="R119" s="28"/>
    </row>
    <row r="120" spans="1:18" ht="24.9" customHeight="1">
      <c r="A120" s="20" t="s">
        <v>4376</v>
      </c>
      <c r="B120" s="20"/>
      <c r="C120" s="20" t="s">
        <v>127</v>
      </c>
      <c r="D120" s="20" t="str">
        <f>VLOOKUP(C120,'لیست پرسنل'!$B$1:$F$1008,3,FALSE)</f>
        <v>فکورصنعت</v>
      </c>
      <c r="E120" s="20" t="str">
        <f>VLOOKUP(C120,'لیست پرسنل'!$B$1:$F$1008,4,FALSE)</f>
        <v>انبار</v>
      </c>
      <c r="F120" s="20">
        <f>VLOOKUP(C120,'لیست پرسنل'!$B$1:$F$1008,2,FALSE)</f>
        <v>1348</v>
      </c>
      <c r="G120" s="20" t="s">
        <v>4404</v>
      </c>
      <c r="H120" s="20"/>
      <c r="I120" s="20" t="s">
        <v>3480</v>
      </c>
      <c r="J120" s="20" t="s">
        <v>4264</v>
      </c>
      <c r="K120" s="20" t="s">
        <v>4272</v>
      </c>
      <c r="L120" s="19" t="s">
        <v>4371</v>
      </c>
      <c r="M120" s="19"/>
      <c r="N120" s="19"/>
      <c r="O120" s="19"/>
      <c r="P120" s="19" t="s">
        <v>4405</v>
      </c>
      <c r="Q120" s="19"/>
      <c r="R120" s="28"/>
    </row>
    <row r="121" spans="1:18" ht="24.9" customHeight="1">
      <c r="A121" s="20" t="s">
        <v>4376</v>
      </c>
      <c r="B121" s="20"/>
      <c r="C121" s="20" t="s">
        <v>127</v>
      </c>
      <c r="D121" s="20" t="str">
        <f>VLOOKUP(C121,'لیست پرسنل'!$B$1:$F$1008,3,FALSE)</f>
        <v>فکورصنعت</v>
      </c>
      <c r="E121" s="20" t="str">
        <f>VLOOKUP(C121,'لیست پرسنل'!$B$1:$F$1008,4,FALSE)</f>
        <v>انبار</v>
      </c>
      <c r="F121" s="20">
        <f>VLOOKUP(C121,'لیست پرسنل'!$B$1:$F$1008,2,FALSE)</f>
        <v>1348</v>
      </c>
      <c r="G121" s="20" t="s">
        <v>4404</v>
      </c>
      <c r="H121" s="20"/>
      <c r="I121" s="20" t="s">
        <v>3480</v>
      </c>
      <c r="J121" s="20" t="s">
        <v>4264</v>
      </c>
      <c r="K121" s="20" t="s">
        <v>4279</v>
      </c>
      <c r="L121" s="19" t="s">
        <v>4371</v>
      </c>
      <c r="M121" s="19"/>
      <c r="N121" s="19"/>
      <c r="O121" s="19"/>
      <c r="P121" s="19" t="s">
        <v>4405</v>
      </c>
      <c r="Q121" s="19"/>
      <c r="R121" s="28"/>
    </row>
    <row r="122" spans="1:18" ht="24.9" customHeight="1">
      <c r="A122" s="20" t="s">
        <v>4376</v>
      </c>
      <c r="B122" s="20"/>
      <c r="C122" s="20" t="s">
        <v>127</v>
      </c>
      <c r="D122" s="20" t="str">
        <f>VLOOKUP(C122,'لیست پرسنل'!$B$1:$F$1008,3,FALSE)</f>
        <v>فکورصنعت</v>
      </c>
      <c r="E122" s="20" t="str">
        <f>VLOOKUP(C122,'لیست پرسنل'!$B$1:$F$1008,4,FALSE)</f>
        <v>انبار</v>
      </c>
      <c r="F122" s="20">
        <f>VLOOKUP(C122,'لیست پرسنل'!$B$1:$F$1008,2,FALSE)</f>
        <v>1348</v>
      </c>
      <c r="G122" s="20" t="s">
        <v>4404</v>
      </c>
      <c r="H122" s="20"/>
      <c r="I122" s="20" t="s">
        <v>3480</v>
      </c>
      <c r="J122" s="20" t="s">
        <v>4264</v>
      </c>
      <c r="K122" s="20" t="s">
        <v>4280</v>
      </c>
      <c r="L122" s="19" t="s">
        <v>4371</v>
      </c>
      <c r="M122" s="19"/>
      <c r="N122" s="19"/>
      <c r="O122" s="19"/>
      <c r="P122" s="19" t="s">
        <v>4405</v>
      </c>
      <c r="Q122" s="19"/>
      <c r="R122" s="28"/>
    </row>
    <row r="123" spans="1:18" ht="24.9" customHeight="1">
      <c r="A123" s="20" t="s">
        <v>4376</v>
      </c>
      <c r="B123" s="20"/>
      <c r="C123" s="20" t="s">
        <v>127</v>
      </c>
      <c r="D123" s="20" t="str">
        <f>VLOOKUP(C123,'لیست پرسنل'!$B$1:$F$1008,3,FALSE)</f>
        <v>فکورصنعت</v>
      </c>
      <c r="E123" s="20" t="str">
        <f>VLOOKUP(C123,'لیست پرسنل'!$B$1:$F$1008,4,FALSE)</f>
        <v>انبار</v>
      </c>
      <c r="F123" s="20">
        <f>VLOOKUP(C123,'لیست پرسنل'!$B$1:$F$1008,2,FALSE)</f>
        <v>1348</v>
      </c>
      <c r="G123" s="20" t="s">
        <v>4404</v>
      </c>
      <c r="H123" s="20"/>
      <c r="I123" s="20" t="s">
        <v>3480</v>
      </c>
      <c r="J123" s="20" t="s">
        <v>4264</v>
      </c>
      <c r="K123" s="20" t="s">
        <v>4281</v>
      </c>
      <c r="L123" s="19" t="s">
        <v>4371</v>
      </c>
      <c r="M123" s="19"/>
      <c r="N123" s="19"/>
      <c r="O123" s="19"/>
      <c r="P123" s="19" t="s">
        <v>4405</v>
      </c>
      <c r="Q123" s="19"/>
      <c r="R123" s="28"/>
    </row>
    <row r="124" spans="1:18" ht="24.9" customHeight="1">
      <c r="A124" s="20" t="s">
        <v>4376</v>
      </c>
      <c r="B124" s="20"/>
      <c r="C124" s="20" t="s">
        <v>127</v>
      </c>
      <c r="D124" s="20" t="str">
        <f>VLOOKUP(C124,'لیست پرسنل'!$B$1:$F$1008,3,FALSE)</f>
        <v>فکورصنعت</v>
      </c>
      <c r="E124" s="20" t="str">
        <f>VLOOKUP(C124,'لیست پرسنل'!$B$1:$F$1008,4,FALSE)</f>
        <v>انبار</v>
      </c>
      <c r="F124" s="20">
        <f>VLOOKUP(C124,'لیست پرسنل'!$B$1:$F$1008,2,FALSE)</f>
        <v>1348</v>
      </c>
      <c r="G124" s="20" t="s">
        <v>4404</v>
      </c>
      <c r="H124" s="20"/>
      <c r="I124" s="20" t="s">
        <v>3480</v>
      </c>
      <c r="J124" s="20" t="s">
        <v>4264</v>
      </c>
      <c r="K124" s="20" t="s">
        <v>4282</v>
      </c>
      <c r="L124" s="19" t="s">
        <v>4371</v>
      </c>
      <c r="M124" s="19"/>
      <c r="N124" s="19"/>
      <c r="O124" s="19"/>
      <c r="P124" s="19" t="s">
        <v>4405</v>
      </c>
      <c r="Q124" s="19"/>
      <c r="R124" s="28"/>
    </row>
    <row r="125" spans="1:18" ht="24.9" customHeight="1">
      <c r="A125" s="20" t="s">
        <v>4376</v>
      </c>
      <c r="B125" s="20"/>
      <c r="C125" s="20" t="s">
        <v>127</v>
      </c>
      <c r="D125" s="20" t="str">
        <f>VLOOKUP(C125,'لیست پرسنل'!$B$1:$F$1008,3,FALSE)</f>
        <v>فکورصنعت</v>
      </c>
      <c r="E125" s="20" t="str">
        <f>VLOOKUP(C125,'لیست پرسنل'!$B$1:$F$1008,4,FALSE)</f>
        <v>انبار</v>
      </c>
      <c r="F125" s="20">
        <f>VLOOKUP(C125,'لیست پرسنل'!$B$1:$F$1008,2,FALSE)</f>
        <v>1348</v>
      </c>
      <c r="G125" s="20" t="s">
        <v>4404</v>
      </c>
      <c r="H125" s="20"/>
      <c r="I125" s="20" t="s">
        <v>3480</v>
      </c>
      <c r="J125" s="20" t="s">
        <v>4264</v>
      </c>
      <c r="K125" s="20" t="s">
        <v>4283</v>
      </c>
      <c r="L125" s="19" t="s">
        <v>4371</v>
      </c>
      <c r="M125" s="19"/>
      <c r="N125" s="19"/>
      <c r="O125" s="19"/>
      <c r="P125" s="19" t="s">
        <v>4405</v>
      </c>
      <c r="Q125" s="19"/>
      <c r="R125" s="28"/>
    </row>
    <row r="126" spans="1:18" ht="24.9" customHeight="1">
      <c r="A126" s="20" t="s">
        <v>4376</v>
      </c>
      <c r="B126" s="20"/>
      <c r="C126" s="20" t="s">
        <v>127</v>
      </c>
      <c r="D126" s="20" t="str">
        <f>VLOOKUP(C126,'لیست پرسنل'!$B$1:$F$1008,3,FALSE)</f>
        <v>فکورصنعت</v>
      </c>
      <c r="E126" s="20" t="str">
        <f>VLOOKUP(C126,'لیست پرسنل'!$B$1:$F$1008,4,FALSE)</f>
        <v>انبار</v>
      </c>
      <c r="F126" s="20">
        <f>VLOOKUP(C126,'لیست پرسنل'!$B$1:$F$1008,2,FALSE)</f>
        <v>1348</v>
      </c>
      <c r="G126" s="20" t="s">
        <v>4404</v>
      </c>
      <c r="H126" s="20"/>
      <c r="I126" s="20" t="s">
        <v>3480</v>
      </c>
      <c r="J126" s="20" t="s">
        <v>4264</v>
      </c>
      <c r="K126" s="20" t="s">
        <v>4286</v>
      </c>
      <c r="L126" s="19" t="s">
        <v>4371</v>
      </c>
      <c r="M126" s="19"/>
      <c r="N126" s="19"/>
      <c r="O126" s="19"/>
      <c r="P126" s="19" t="s">
        <v>4405</v>
      </c>
      <c r="Q126" s="19"/>
      <c r="R126" s="28"/>
    </row>
    <row r="127" spans="1:18" ht="24.9" customHeight="1">
      <c r="A127" s="20" t="s">
        <v>4376</v>
      </c>
      <c r="B127" s="20"/>
      <c r="C127" s="20" t="s">
        <v>127</v>
      </c>
      <c r="D127" s="20" t="str">
        <f>VLOOKUP(C127,'لیست پرسنل'!$B$1:$F$1008,3,FALSE)</f>
        <v>فکورصنعت</v>
      </c>
      <c r="E127" s="20" t="str">
        <f>VLOOKUP(C127,'لیست پرسنل'!$B$1:$F$1008,4,FALSE)</f>
        <v>انبار</v>
      </c>
      <c r="F127" s="20">
        <f>VLOOKUP(C127,'لیست پرسنل'!$B$1:$F$1008,2,FALSE)</f>
        <v>1348</v>
      </c>
      <c r="G127" s="20" t="s">
        <v>4404</v>
      </c>
      <c r="H127" s="20"/>
      <c r="I127" s="20" t="s">
        <v>3480</v>
      </c>
      <c r="J127" s="20" t="s">
        <v>4264</v>
      </c>
      <c r="K127" s="20" t="s">
        <v>4287</v>
      </c>
      <c r="L127" s="19" t="s">
        <v>4371</v>
      </c>
      <c r="M127" s="19"/>
      <c r="N127" s="19"/>
      <c r="O127" s="19"/>
      <c r="P127" s="19" t="s">
        <v>4405</v>
      </c>
      <c r="Q127" s="19"/>
      <c r="R127" s="28"/>
    </row>
    <row r="128" spans="1:18" ht="24.9" customHeight="1">
      <c r="A128" s="20" t="s">
        <v>4376</v>
      </c>
      <c r="B128" s="20"/>
      <c r="C128" s="20" t="s">
        <v>127</v>
      </c>
      <c r="D128" s="20" t="str">
        <f>VLOOKUP(C128,'لیست پرسنل'!$B$1:$F$1008,3,FALSE)</f>
        <v>فکورصنعت</v>
      </c>
      <c r="E128" s="20" t="str">
        <f>VLOOKUP(C128,'لیست پرسنل'!$B$1:$F$1008,4,FALSE)</f>
        <v>انبار</v>
      </c>
      <c r="F128" s="20">
        <f>VLOOKUP(C128,'لیست پرسنل'!$B$1:$F$1008,2,FALSE)</f>
        <v>1348</v>
      </c>
      <c r="G128" s="20" t="s">
        <v>4404</v>
      </c>
      <c r="H128" s="20"/>
      <c r="I128" s="20" t="s">
        <v>3480</v>
      </c>
      <c r="J128" s="20" t="s">
        <v>4264</v>
      </c>
      <c r="K128" s="20" t="s">
        <v>4276</v>
      </c>
      <c r="L128" s="19" t="s">
        <v>4371</v>
      </c>
      <c r="M128" s="19"/>
      <c r="N128" s="19"/>
      <c r="O128" s="19"/>
      <c r="P128" s="19" t="s">
        <v>4405</v>
      </c>
      <c r="Q128" s="19"/>
      <c r="R128" s="28"/>
    </row>
    <row r="129" spans="1:18" ht="24.9" customHeight="1">
      <c r="A129" s="20" t="s">
        <v>4376</v>
      </c>
      <c r="B129" s="20"/>
      <c r="C129" s="20" t="s">
        <v>127</v>
      </c>
      <c r="D129" s="20" t="str">
        <f>VLOOKUP(C129,'لیست پرسنل'!$B$1:$F$1008,3,FALSE)</f>
        <v>فکورصنعت</v>
      </c>
      <c r="E129" s="20" t="str">
        <f>VLOOKUP(C129,'لیست پرسنل'!$B$1:$F$1008,4,FALSE)</f>
        <v>انبار</v>
      </c>
      <c r="F129" s="20">
        <f>VLOOKUP(C129,'لیست پرسنل'!$B$1:$F$1008,2,FALSE)</f>
        <v>1348</v>
      </c>
      <c r="G129" s="20" t="s">
        <v>4404</v>
      </c>
      <c r="H129" s="20"/>
      <c r="I129" s="20" t="s">
        <v>3480</v>
      </c>
      <c r="J129" s="20" t="s">
        <v>4257</v>
      </c>
      <c r="K129" s="20" t="s">
        <v>4258</v>
      </c>
      <c r="L129" s="19" t="s">
        <v>4371</v>
      </c>
      <c r="M129" s="19"/>
      <c r="N129" s="19"/>
      <c r="O129" s="19"/>
      <c r="P129" s="19" t="s">
        <v>4405</v>
      </c>
      <c r="Q129" s="19"/>
      <c r="R129" s="28"/>
    </row>
    <row r="130" spans="1:18" ht="24.9" customHeight="1">
      <c r="A130" s="20" t="s">
        <v>4376</v>
      </c>
      <c r="B130" s="20"/>
      <c r="C130" s="20" t="s">
        <v>127</v>
      </c>
      <c r="D130" s="20" t="str">
        <f>VLOOKUP(C130,'لیست پرسنل'!$B$1:$F$1008,3,FALSE)</f>
        <v>فکورصنعت</v>
      </c>
      <c r="E130" s="20" t="str">
        <f>VLOOKUP(C130,'لیست پرسنل'!$B$1:$F$1008,4,FALSE)</f>
        <v>انبار</v>
      </c>
      <c r="F130" s="20">
        <f>VLOOKUP(C130,'لیست پرسنل'!$B$1:$F$1008,2,FALSE)</f>
        <v>1348</v>
      </c>
      <c r="G130" s="20" t="s">
        <v>4404</v>
      </c>
      <c r="H130" s="20"/>
      <c r="I130" s="20" t="s">
        <v>3480</v>
      </c>
      <c r="J130" s="20" t="s">
        <v>4257</v>
      </c>
      <c r="K130" s="20" t="s">
        <v>4260</v>
      </c>
      <c r="L130" s="19" t="s">
        <v>4371</v>
      </c>
      <c r="M130" s="19"/>
      <c r="N130" s="19"/>
      <c r="O130" s="19"/>
      <c r="P130" s="19" t="s">
        <v>4405</v>
      </c>
      <c r="Q130" s="19"/>
      <c r="R130" s="28"/>
    </row>
    <row r="131" spans="1:18" ht="24.9" customHeight="1">
      <c r="A131" s="20" t="s">
        <v>4376</v>
      </c>
      <c r="B131" s="20"/>
      <c r="C131" s="20" t="s">
        <v>127</v>
      </c>
      <c r="D131" s="20" t="str">
        <f>VLOOKUP(C131,'لیست پرسنل'!$B$1:$F$1008,3,FALSE)</f>
        <v>فکورصنعت</v>
      </c>
      <c r="E131" s="20" t="str">
        <f>VLOOKUP(C131,'لیست پرسنل'!$B$1:$F$1008,4,FALSE)</f>
        <v>انبار</v>
      </c>
      <c r="F131" s="20">
        <f>VLOOKUP(C131,'لیست پرسنل'!$B$1:$F$1008,2,FALSE)</f>
        <v>1348</v>
      </c>
      <c r="G131" s="20" t="s">
        <v>4404</v>
      </c>
      <c r="H131" s="20"/>
      <c r="I131" s="20" t="s">
        <v>3480</v>
      </c>
      <c r="J131" s="20" t="s">
        <v>4257</v>
      </c>
      <c r="K131" s="20" t="s">
        <v>4261</v>
      </c>
      <c r="L131" s="19" t="s">
        <v>4371</v>
      </c>
      <c r="M131" s="19"/>
      <c r="N131" s="19"/>
      <c r="O131" s="19"/>
      <c r="P131" s="19" t="s">
        <v>4405</v>
      </c>
      <c r="Q131" s="19"/>
      <c r="R131" s="28"/>
    </row>
    <row r="132" spans="1:18" ht="24.9" customHeight="1">
      <c r="A132" s="20" t="s">
        <v>4376</v>
      </c>
      <c r="B132" s="20"/>
      <c r="C132" s="20" t="s">
        <v>127</v>
      </c>
      <c r="D132" s="20" t="str">
        <f>VLOOKUP(C132,'لیست پرسنل'!$B$1:$F$1008,3,FALSE)</f>
        <v>فکورصنعت</v>
      </c>
      <c r="E132" s="20" t="str">
        <f>VLOOKUP(C132,'لیست پرسنل'!$B$1:$F$1008,4,FALSE)</f>
        <v>انبار</v>
      </c>
      <c r="F132" s="20">
        <f>VLOOKUP(C132,'لیست پرسنل'!$B$1:$F$1008,2,FALSE)</f>
        <v>1348</v>
      </c>
      <c r="G132" s="20" t="s">
        <v>4404</v>
      </c>
      <c r="H132" s="20"/>
      <c r="I132" s="20" t="s">
        <v>3480</v>
      </c>
      <c r="J132" s="20" t="s">
        <v>4257</v>
      </c>
      <c r="K132" s="20" t="s">
        <v>4262</v>
      </c>
      <c r="L132" s="19" t="s">
        <v>4371</v>
      </c>
      <c r="M132" s="19"/>
      <c r="N132" s="19"/>
      <c r="O132" s="19"/>
      <c r="P132" s="19" t="s">
        <v>4405</v>
      </c>
      <c r="Q132" s="19"/>
      <c r="R132" s="28"/>
    </row>
    <row r="133" spans="1:18" ht="24.9" customHeight="1">
      <c r="A133" s="20" t="s">
        <v>4376</v>
      </c>
      <c r="B133" s="20"/>
      <c r="C133" s="20" t="s">
        <v>127</v>
      </c>
      <c r="D133" s="20" t="str">
        <f>VLOOKUP(C133,'لیست پرسنل'!$B$1:$F$1008,3,FALSE)</f>
        <v>فکورصنعت</v>
      </c>
      <c r="E133" s="20" t="str">
        <f>VLOOKUP(C133,'لیست پرسنل'!$B$1:$F$1008,4,FALSE)</f>
        <v>انبار</v>
      </c>
      <c r="F133" s="20">
        <f>VLOOKUP(C133,'لیست پرسنل'!$B$1:$F$1008,2,FALSE)</f>
        <v>1348</v>
      </c>
      <c r="G133" s="20" t="s">
        <v>4404</v>
      </c>
      <c r="H133" s="20"/>
      <c r="I133" s="20" t="s">
        <v>3480</v>
      </c>
      <c r="J133" s="20" t="s">
        <v>4257</v>
      </c>
      <c r="K133" s="20" t="s">
        <v>4270</v>
      </c>
      <c r="L133" s="19" t="s">
        <v>4371</v>
      </c>
      <c r="M133" s="19"/>
      <c r="N133" s="19"/>
      <c r="O133" s="19"/>
      <c r="P133" s="19" t="s">
        <v>4405</v>
      </c>
      <c r="Q133" s="19"/>
      <c r="R133" s="28"/>
    </row>
    <row r="134" spans="1:18" ht="24.9" customHeight="1">
      <c r="A134" s="20" t="s">
        <v>4376</v>
      </c>
      <c r="B134" s="20"/>
      <c r="C134" s="20" t="s">
        <v>127</v>
      </c>
      <c r="D134" s="20" t="str">
        <f>VLOOKUP(C134,'لیست پرسنل'!$B$1:$F$1008,3,FALSE)</f>
        <v>فکورصنعت</v>
      </c>
      <c r="E134" s="20" t="str">
        <f>VLOOKUP(C134,'لیست پرسنل'!$B$1:$F$1008,4,FALSE)</f>
        <v>انبار</v>
      </c>
      <c r="F134" s="20">
        <f>VLOOKUP(C134,'لیست پرسنل'!$B$1:$F$1008,2,FALSE)</f>
        <v>1348</v>
      </c>
      <c r="G134" s="20" t="s">
        <v>4404</v>
      </c>
      <c r="H134" s="20"/>
      <c r="I134" s="20" t="s">
        <v>3480</v>
      </c>
      <c r="J134" s="20" t="s">
        <v>4257</v>
      </c>
      <c r="K134" s="20" t="s">
        <v>4271</v>
      </c>
      <c r="L134" s="19" t="s">
        <v>4371</v>
      </c>
      <c r="M134" s="19"/>
      <c r="N134" s="19"/>
      <c r="O134" s="19"/>
      <c r="P134" s="19" t="s">
        <v>4405</v>
      </c>
      <c r="Q134" s="19"/>
      <c r="R134" s="28"/>
    </row>
    <row r="135" spans="1:18" ht="24.9" customHeight="1">
      <c r="A135" s="20" t="s">
        <v>4376</v>
      </c>
      <c r="B135" s="20"/>
      <c r="C135" s="20" t="s">
        <v>127</v>
      </c>
      <c r="D135" s="20" t="str">
        <f>VLOOKUP(C135,'لیست پرسنل'!$B$1:$F$1008,3,FALSE)</f>
        <v>فکورصنعت</v>
      </c>
      <c r="E135" s="20" t="str">
        <f>VLOOKUP(C135,'لیست پرسنل'!$B$1:$F$1008,4,FALSE)</f>
        <v>انبار</v>
      </c>
      <c r="F135" s="20">
        <f>VLOOKUP(C135,'لیست پرسنل'!$B$1:$F$1008,2,FALSE)</f>
        <v>1348</v>
      </c>
      <c r="G135" s="20" t="s">
        <v>4404</v>
      </c>
      <c r="H135" s="20"/>
      <c r="I135" s="20" t="s">
        <v>3480</v>
      </c>
      <c r="J135" s="20" t="s">
        <v>4257</v>
      </c>
      <c r="K135" s="20" t="s">
        <v>4288</v>
      </c>
      <c r="L135" s="19" t="s">
        <v>4371</v>
      </c>
      <c r="M135" s="19"/>
      <c r="N135" s="19"/>
      <c r="O135" s="19"/>
      <c r="P135" s="19" t="s">
        <v>4405</v>
      </c>
      <c r="Q135" s="19"/>
      <c r="R135" s="28"/>
    </row>
    <row r="136" spans="1:18" ht="24.9" customHeight="1">
      <c r="A136" s="20" t="s">
        <v>4376</v>
      </c>
      <c r="B136" s="20"/>
      <c r="C136" s="20" t="s">
        <v>127</v>
      </c>
      <c r="D136" s="20" t="str">
        <f>VLOOKUP(C136,'لیست پرسنل'!$B$1:$F$1008,3,FALSE)</f>
        <v>فکورصنعت</v>
      </c>
      <c r="E136" s="20" t="str">
        <f>VLOOKUP(C136,'لیست پرسنل'!$B$1:$F$1008,4,FALSE)</f>
        <v>انبار</v>
      </c>
      <c r="F136" s="20">
        <f>VLOOKUP(C136,'لیست پرسنل'!$B$1:$F$1008,2,FALSE)</f>
        <v>1348</v>
      </c>
      <c r="G136" s="20" t="s">
        <v>4404</v>
      </c>
      <c r="H136" s="20"/>
      <c r="I136" s="20" t="s">
        <v>3480</v>
      </c>
      <c r="J136" s="20" t="s">
        <v>4256</v>
      </c>
      <c r="K136" s="20" t="s">
        <v>4255</v>
      </c>
      <c r="L136" s="19" t="s">
        <v>4371</v>
      </c>
      <c r="M136" s="19"/>
      <c r="N136" s="19"/>
      <c r="O136" s="19"/>
      <c r="P136" s="19" t="s">
        <v>4405</v>
      </c>
      <c r="Q136" s="19"/>
      <c r="R136" s="28"/>
    </row>
    <row r="137" spans="1:18" ht="24.9" customHeight="1">
      <c r="A137" s="20" t="s">
        <v>4376</v>
      </c>
      <c r="B137" s="20"/>
      <c r="C137" s="20" t="s">
        <v>127</v>
      </c>
      <c r="D137" s="20" t="str">
        <f>VLOOKUP(C137,'لیست پرسنل'!$B$1:$F$1008,3,FALSE)</f>
        <v>فکورصنعت</v>
      </c>
      <c r="E137" s="20" t="str">
        <f>VLOOKUP(C137,'لیست پرسنل'!$B$1:$F$1008,4,FALSE)</f>
        <v>انبار</v>
      </c>
      <c r="F137" s="20">
        <f>VLOOKUP(C137,'لیست پرسنل'!$B$1:$F$1008,2,FALSE)</f>
        <v>1348</v>
      </c>
      <c r="G137" s="20" t="s">
        <v>4404</v>
      </c>
      <c r="H137" s="20"/>
      <c r="I137" s="20" t="s">
        <v>3480</v>
      </c>
      <c r="J137" s="20" t="s">
        <v>4256</v>
      </c>
      <c r="K137" s="20" t="s">
        <v>4259</v>
      </c>
      <c r="L137" s="19" t="s">
        <v>4371</v>
      </c>
      <c r="M137" s="19"/>
      <c r="N137" s="19"/>
      <c r="O137" s="19"/>
      <c r="P137" s="19" t="s">
        <v>4405</v>
      </c>
      <c r="Q137" s="19"/>
      <c r="R137" s="28"/>
    </row>
    <row r="138" spans="1:18" ht="24.9" customHeight="1">
      <c r="A138" s="20" t="s">
        <v>4376</v>
      </c>
      <c r="B138" s="20"/>
      <c r="C138" s="20" t="s">
        <v>127</v>
      </c>
      <c r="D138" s="20" t="str">
        <f>VLOOKUP(C138,'لیست پرسنل'!$B$1:$F$1008,3,FALSE)</f>
        <v>فکورصنعت</v>
      </c>
      <c r="E138" s="20" t="str">
        <f>VLOOKUP(C138,'لیست پرسنل'!$B$1:$F$1008,4,FALSE)</f>
        <v>انبار</v>
      </c>
      <c r="F138" s="20">
        <f>VLOOKUP(C138,'لیست پرسنل'!$B$1:$F$1008,2,FALSE)</f>
        <v>1348</v>
      </c>
      <c r="G138" s="20" t="s">
        <v>4404</v>
      </c>
      <c r="H138" s="20"/>
      <c r="I138" s="20" t="s">
        <v>3480</v>
      </c>
      <c r="J138" s="20" t="s">
        <v>4256</v>
      </c>
      <c r="K138" s="20" t="s">
        <v>4263</v>
      </c>
      <c r="L138" s="19" t="s">
        <v>4371</v>
      </c>
      <c r="M138" s="19"/>
      <c r="N138" s="19"/>
      <c r="O138" s="19"/>
      <c r="P138" s="19" t="s">
        <v>4405</v>
      </c>
      <c r="Q138" s="19"/>
      <c r="R138" s="28"/>
    </row>
    <row r="139" spans="1:18" ht="24.9" customHeight="1">
      <c r="A139" s="20" t="s">
        <v>4376</v>
      </c>
      <c r="B139" s="20"/>
      <c r="C139" s="20" t="s">
        <v>127</v>
      </c>
      <c r="D139" s="20" t="str">
        <f>VLOOKUP(C139,'لیست پرسنل'!$B$1:$F$1008,3,FALSE)</f>
        <v>فکورصنعت</v>
      </c>
      <c r="E139" s="20" t="str">
        <f>VLOOKUP(C139,'لیست پرسنل'!$B$1:$F$1008,4,FALSE)</f>
        <v>انبار</v>
      </c>
      <c r="F139" s="20">
        <f>VLOOKUP(C139,'لیست پرسنل'!$B$1:$F$1008,2,FALSE)</f>
        <v>1348</v>
      </c>
      <c r="G139" s="20" t="s">
        <v>4404</v>
      </c>
      <c r="H139" s="20"/>
      <c r="I139" s="20" t="s">
        <v>3480</v>
      </c>
      <c r="J139" s="20" t="s">
        <v>4256</v>
      </c>
      <c r="K139" s="20" t="s">
        <v>4268</v>
      </c>
      <c r="L139" s="19" t="s">
        <v>4371</v>
      </c>
      <c r="M139" s="19"/>
      <c r="N139" s="19"/>
      <c r="O139" s="19"/>
      <c r="P139" s="19" t="s">
        <v>4405</v>
      </c>
      <c r="Q139" s="19"/>
      <c r="R139" s="28"/>
    </row>
    <row r="140" spans="1:18" ht="24.9" customHeight="1">
      <c r="A140" s="20" t="s">
        <v>4376</v>
      </c>
      <c r="B140" s="20"/>
      <c r="C140" s="20" t="s">
        <v>127</v>
      </c>
      <c r="D140" s="20" t="str">
        <f>VLOOKUP(C140,'لیست پرسنل'!$B$1:$F$1008,3,FALSE)</f>
        <v>فکورصنعت</v>
      </c>
      <c r="E140" s="20" t="str">
        <f>VLOOKUP(C140,'لیست پرسنل'!$B$1:$F$1008,4,FALSE)</f>
        <v>انبار</v>
      </c>
      <c r="F140" s="20">
        <f>VLOOKUP(C140,'لیست پرسنل'!$B$1:$F$1008,2,FALSE)</f>
        <v>1348</v>
      </c>
      <c r="G140" s="20" t="s">
        <v>4404</v>
      </c>
      <c r="H140" s="20"/>
      <c r="I140" s="20" t="s">
        <v>3480</v>
      </c>
      <c r="J140" s="20" t="s">
        <v>4275</v>
      </c>
      <c r="K140" s="20" t="s">
        <v>4276</v>
      </c>
      <c r="L140" s="19" t="s">
        <v>4371</v>
      </c>
      <c r="M140" s="19"/>
      <c r="N140" s="19"/>
      <c r="O140" s="19"/>
      <c r="P140" s="19" t="s">
        <v>4405</v>
      </c>
      <c r="Q140" s="19"/>
      <c r="R140" s="28"/>
    </row>
    <row r="141" spans="1:18" ht="24.9" customHeight="1">
      <c r="A141" s="20" t="s">
        <v>4376</v>
      </c>
      <c r="B141" s="20"/>
      <c r="C141" s="20" t="s">
        <v>127</v>
      </c>
      <c r="D141" s="20" t="str">
        <f>VLOOKUP(C141,'لیست پرسنل'!$B$1:$F$1008,3,FALSE)</f>
        <v>فکورصنعت</v>
      </c>
      <c r="E141" s="20" t="str">
        <f>VLOOKUP(C141,'لیست پرسنل'!$B$1:$F$1008,4,FALSE)</f>
        <v>انبار</v>
      </c>
      <c r="F141" s="20">
        <f>VLOOKUP(C141,'لیست پرسنل'!$B$1:$F$1008,2,FALSE)</f>
        <v>1348</v>
      </c>
      <c r="G141" s="20" t="s">
        <v>4404</v>
      </c>
      <c r="H141" s="20"/>
      <c r="I141" s="20" t="s">
        <v>3480</v>
      </c>
      <c r="J141" s="20" t="s">
        <v>4284</v>
      </c>
      <c r="K141" s="20" t="s">
        <v>4285</v>
      </c>
      <c r="L141" s="19" t="s">
        <v>4371</v>
      </c>
      <c r="M141" s="19"/>
      <c r="N141" s="19"/>
      <c r="O141" s="19"/>
      <c r="P141" s="19" t="s">
        <v>4405</v>
      </c>
      <c r="Q141" s="19"/>
      <c r="R141" s="28"/>
    </row>
    <row r="142" spans="1:18" ht="24.9" customHeight="1">
      <c r="A142" s="20" t="s">
        <v>4351</v>
      </c>
      <c r="B142" s="20"/>
      <c r="C142" s="20" t="s">
        <v>2051</v>
      </c>
      <c r="D142" s="20" t="str">
        <f>VLOOKUP(C142,'لیست پرسنل'!$B$1:$F$1008,3,FALSE)</f>
        <v>فکورصنعت</v>
      </c>
      <c r="E142" s="20" t="str">
        <f>VLOOKUP(C142,'لیست پرسنل'!$B$1:$F$1008,4,FALSE)</f>
        <v>انبار</v>
      </c>
      <c r="F142" s="20">
        <f>VLOOKUP(C142,'لیست پرسنل'!$B$1:$F$1008,2,FALSE)</f>
        <v>3771</v>
      </c>
      <c r="G142" s="20" t="s">
        <v>4324</v>
      </c>
      <c r="H142" s="20"/>
      <c r="I142" s="20" t="s">
        <v>3480</v>
      </c>
      <c r="J142" s="20" t="s">
        <v>4928</v>
      </c>
      <c r="K142" s="20"/>
      <c r="L142" s="21" t="s">
        <v>291</v>
      </c>
      <c r="M142" s="20" t="s">
        <v>4929</v>
      </c>
      <c r="N142" s="20"/>
      <c r="O142" s="20"/>
      <c r="P142" s="28"/>
      <c r="Q142" s="20"/>
      <c r="R142" s="20"/>
    </row>
    <row r="143" spans="1:18" ht="24.9" customHeight="1">
      <c r="A143" s="20" t="s">
        <v>4351</v>
      </c>
      <c r="B143" s="20"/>
      <c r="C143" s="20" t="s">
        <v>2051</v>
      </c>
      <c r="D143" s="20" t="str">
        <f>VLOOKUP(C143,'لیست پرسنل'!$B$1:$F$1008,3,FALSE)</f>
        <v>فکورصنعت</v>
      </c>
      <c r="E143" s="20" t="str">
        <f>VLOOKUP(C143,'لیست پرسنل'!$B$1:$F$1008,4,FALSE)</f>
        <v>انبار</v>
      </c>
      <c r="F143" s="20">
        <f>VLOOKUP(C143,'لیست پرسنل'!$B$1:$F$1008,2,FALSE)</f>
        <v>3771</v>
      </c>
      <c r="G143" s="20" t="s">
        <v>4324</v>
      </c>
      <c r="H143" s="20"/>
      <c r="I143" s="20" t="s">
        <v>3480</v>
      </c>
      <c r="J143" s="20" t="s">
        <v>4928</v>
      </c>
      <c r="K143" s="20"/>
      <c r="L143" s="21" t="s">
        <v>291</v>
      </c>
      <c r="M143" s="20" t="s">
        <v>4929</v>
      </c>
      <c r="N143" s="20"/>
      <c r="O143" s="20"/>
      <c r="P143" s="28"/>
      <c r="Q143" s="20"/>
      <c r="R143" s="20"/>
    </row>
    <row r="144" spans="1:18" ht="24.9" customHeight="1">
      <c r="A144" s="20" t="s">
        <v>4351</v>
      </c>
      <c r="B144" s="20"/>
      <c r="C144" s="20" t="s">
        <v>2051</v>
      </c>
      <c r="D144" s="20" t="str">
        <f>VLOOKUP(C144,'لیست پرسنل'!$B$1:$F$1008,3,FALSE)</f>
        <v>فکورصنعت</v>
      </c>
      <c r="E144" s="20" t="str">
        <f>VLOOKUP(C144,'لیست پرسنل'!$B$1:$F$1008,4,FALSE)</f>
        <v>انبار</v>
      </c>
      <c r="F144" s="20">
        <f>VLOOKUP(C144,'لیست پرسنل'!$B$1:$F$1008,2,FALSE)</f>
        <v>3771</v>
      </c>
      <c r="G144" s="20" t="s">
        <v>4324</v>
      </c>
      <c r="H144" s="20"/>
      <c r="I144" s="20" t="s">
        <v>3480</v>
      </c>
      <c r="J144" s="20" t="s">
        <v>4928</v>
      </c>
      <c r="K144" s="20"/>
      <c r="L144" s="21" t="s">
        <v>291</v>
      </c>
      <c r="M144" s="20" t="s">
        <v>4929</v>
      </c>
      <c r="N144" s="20"/>
      <c r="O144" s="20"/>
      <c r="P144" s="28"/>
      <c r="Q144" s="20"/>
      <c r="R144" s="20"/>
    </row>
    <row r="145" spans="1:18" ht="24.9" customHeight="1">
      <c r="A145" s="20" t="s">
        <v>4351</v>
      </c>
      <c r="B145" s="20"/>
      <c r="C145" s="20" t="s">
        <v>2051</v>
      </c>
      <c r="D145" s="20" t="str">
        <f>VLOOKUP(C145,'لیست پرسنل'!$B$1:$F$1008,3,FALSE)</f>
        <v>فکورصنعت</v>
      </c>
      <c r="E145" s="20" t="str">
        <f>VLOOKUP(C145,'لیست پرسنل'!$B$1:$F$1008,4,FALSE)</f>
        <v>انبار</v>
      </c>
      <c r="F145" s="20">
        <f>VLOOKUP(C145,'لیست پرسنل'!$B$1:$F$1008,2,FALSE)</f>
        <v>3771</v>
      </c>
      <c r="G145" s="20" t="s">
        <v>4324</v>
      </c>
      <c r="H145" s="20"/>
      <c r="I145" s="20" t="s">
        <v>3480</v>
      </c>
      <c r="J145" s="20" t="s">
        <v>4928</v>
      </c>
      <c r="K145" s="20"/>
      <c r="L145" s="21" t="s">
        <v>291</v>
      </c>
      <c r="M145" s="20" t="s">
        <v>4929</v>
      </c>
      <c r="N145" s="20"/>
      <c r="O145" s="20"/>
      <c r="P145" s="28"/>
      <c r="Q145" s="20"/>
      <c r="R145" s="20"/>
    </row>
    <row r="146" spans="1:18" ht="24.9" customHeight="1">
      <c r="A146" s="20" t="s">
        <v>4351</v>
      </c>
      <c r="B146" s="20"/>
      <c r="C146" s="20" t="s">
        <v>2051</v>
      </c>
      <c r="D146" s="20" t="str">
        <f>VLOOKUP(C146,'لیست پرسنل'!$B$1:$F$1008,3,FALSE)</f>
        <v>فکورصنعت</v>
      </c>
      <c r="E146" s="20" t="str">
        <f>VLOOKUP(C146,'لیست پرسنل'!$B$1:$F$1008,4,FALSE)</f>
        <v>انبار</v>
      </c>
      <c r="F146" s="20">
        <f>VLOOKUP(C146,'لیست پرسنل'!$B$1:$F$1008,2,FALSE)</f>
        <v>3771</v>
      </c>
      <c r="G146" s="20" t="s">
        <v>4324</v>
      </c>
      <c r="H146" s="20"/>
      <c r="I146" s="20" t="s">
        <v>3480</v>
      </c>
      <c r="J146" s="20" t="s">
        <v>4928</v>
      </c>
      <c r="K146" s="20"/>
      <c r="L146" s="21" t="s">
        <v>291</v>
      </c>
      <c r="M146" s="20" t="s">
        <v>4929</v>
      </c>
      <c r="N146" s="20"/>
      <c r="O146" s="20"/>
      <c r="P146" s="28"/>
      <c r="Q146" s="20"/>
      <c r="R146" s="20"/>
    </row>
    <row r="147" spans="1:18" ht="24.9" customHeight="1">
      <c r="A147" s="20" t="s">
        <v>4351</v>
      </c>
      <c r="B147" s="20"/>
      <c r="C147" s="20" t="s">
        <v>2051</v>
      </c>
      <c r="D147" s="20" t="str">
        <f>VLOOKUP(C147,'لیست پرسنل'!$B$1:$F$1008,3,FALSE)</f>
        <v>فکورصنعت</v>
      </c>
      <c r="E147" s="20" t="str">
        <f>VLOOKUP(C147,'لیست پرسنل'!$B$1:$F$1008,4,FALSE)</f>
        <v>انبار</v>
      </c>
      <c r="F147" s="20">
        <f>VLOOKUP(C147,'لیست پرسنل'!$B$1:$F$1008,2,FALSE)</f>
        <v>3771</v>
      </c>
      <c r="G147" s="20" t="s">
        <v>4324</v>
      </c>
      <c r="H147" s="20"/>
      <c r="I147" s="20" t="s">
        <v>3480</v>
      </c>
      <c r="J147" s="20" t="s">
        <v>4928</v>
      </c>
      <c r="K147" s="20"/>
      <c r="L147" s="21" t="s">
        <v>291</v>
      </c>
      <c r="M147" s="20" t="s">
        <v>4929</v>
      </c>
      <c r="N147" s="20"/>
      <c r="O147" s="20"/>
      <c r="P147" s="28"/>
      <c r="Q147" s="20"/>
      <c r="R147" s="20"/>
    </row>
    <row r="148" spans="1:18" ht="24.9" customHeight="1">
      <c r="A148" s="20" t="s">
        <v>4351</v>
      </c>
      <c r="B148" s="20"/>
      <c r="C148" s="20" t="s">
        <v>2051</v>
      </c>
      <c r="D148" s="20" t="str">
        <f>VLOOKUP(C148,'لیست پرسنل'!$B$1:$F$1008,3,FALSE)</f>
        <v>فکورصنعت</v>
      </c>
      <c r="E148" s="20" t="str">
        <f>VLOOKUP(C148,'لیست پرسنل'!$B$1:$F$1008,4,FALSE)</f>
        <v>انبار</v>
      </c>
      <c r="F148" s="20">
        <f>VLOOKUP(C148,'لیست پرسنل'!$B$1:$F$1008,2,FALSE)</f>
        <v>3771</v>
      </c>
      <c r="G148" s="20" t="s">
        <v>4324</v>
      </c>
      <c r="H148" s="20"/>
      <c r="I148" s="20" t="s">
        <v>3480</v>
      </c>
      <c r="J148" s="20" t="s">
        <v>4928</v>
      </c>
      <c r="K148" s="20"/>
      <c r="L148" s="21" t="s">
        <v>291</v>
      </c>
      <c r="M148" s="20" t="s">
        <v>4929</v>
      </c>
      <c r="N148" s="20"/>
      <c r="O148" s="20"/>
      <c r="P148" s="28"/>
      <c r="Q148" s="20"/>
      <c r="R148" s="20"/>
    </row>
    <row r="149" spans="1:18" ht="24.9" customHeight="1">
      <c r="A149" s="20" t="s">
        <v>4351</v>
      </c>
      <c r="B149" s="20"/>
      <c r="C149" s="20" t="s">
        <v>2051</v>
      </c>
      <c r="D149" s="20" t="str">
        <f>VLOOKUP(C149,'لیست پرسنل'!$B$1:$F$1008,3,FALSE)</f>
        <v>فکورصنعت</v>
      </c>
      <c r="E149" s="20" t="str">
        <f>VLOOKUP(C149,'لیست پرسنل'!$B$1:$F$1008,4,FALSE)</f>
        <v>انبار</v>
      </c>
      <c r="F149" s="20">
        <f>VLOOKUP(C149,'لیست پرسنل'!$B$1:$F$1008,2,FALSE)</f>
        <v>3771</v>
      </c>
      <c r="G149" s="20" t="s">
        <v>4324</v>
      </c>
      <c r="H149" s="20"/>
      <c r="I149" s="20" t="s">
        <v>3480</v>
      </c>
      <c r="J149" s="20" t="s">
        <v>4928</v>
      </c>
      <c r="K149" s="20"/>
      <c r="L149" s="21" t="s">
        <v>291</v>
      </c>
      <c r="M149" s="20" t="s">
        <v>4929</v>
      </c>
      <c r="N149" s="20"/>
      <c r="O149" s="20"/>
      <c r="P149" s="28"/>
      <c r="Q149" s="20"/>
      <c r="R149" s="20"/>
    </row>
    <row r="150" spans="1:18" ht="24.9" customHeight="1">
      <c r="A150" s="20" t="s">
        <v>4351</v>
      </c>
      <c r="B150" s="20"/>
      <c r="C150" s="20" t="s">
        <v>2051</v>
      </c>
      <c r="D150" s="20" t="str">
        <f>VLOOKUP(C150,'لیست پرسنل'!$B$1:$F$1008,3,FALSE)</f>
        <v>فکورصنعت</v>
      </c>
      <c r="E150" s="20" t="str">
        <f>VLOOKUP(C150,'لیست پرسنل'!$B$1:$F$1008,4,FALSE)</f>
        <v>انبار</v>
      </c>
      <c r="F150" s="20">
        <f>VLOOKUP(C150,'لیست پرسنل'!$B$1:$F$1008,2,FALSE)</f>
        <v>3771</v>
      </c>
      <c r="G150" s="20" t="s">
        <v>4324</v>
      </c>
      <c r="H150" s="20"/>
      <c r="I150" s="20" t="s">
        <v>3480</v>
      </c>
      <c r="J150" s="20" t="s">
        <v>4928</v>
      </c>
      <c r="K150" s="20"/>
      <c r="L150" s="21" t="s">
        <v>291</v>
      </c>
      <c r="M150" s="20" t="s">
        <v>4929</v>
      </c>
      <c r="N150" s="20"/>
      <c r="O150" s="20"/>
      <c r="P150" s="28"/>
      <c r="Q150" s="20"/>
      <c r="R150" s="20"/>
    </row>
    <row r="151" spans="1:18" ht="24.9" customHeight="1">
      <c r="A151" s="20" t="s">
        <v>4351</v>
      </c>
      <c r="B151" s="20"/>
      <c r="C151" s="20" t="s">
        <v>2051</v>
      </c>
      <c r="D151" s="20" t="str">
        <f>VLOOKUP(C151,'لیست پرسنل'!$B$1:$F$1008,3,FALSE)</f>
        <v>فکورصنعت</v>
      </c>
      <c r="E151" s="20" t="str">
        <f>VLOOKUP(C151,'لیست پرسنل'!$B$1:$F$1008,4,FALSE)</f>
        <v>انبار</v>
      </c>
      <c r="F151" s="20">
        <f>VLOOKUP(C151,'لیست پرسنل'!$B$1:$F$1008,2,FALSE)</f>
        <v>3771</v>
      </c>
      <c r="G151" s="20" t="s">
        <v>4324</v>
      </c>
      <c r="H151" s="20"/>
      <c r="I151" s="20" t="s">
        <v>3480</v>
      </c>
      <c r="J151" s="20" t="s">
        <v>4928</v>
      </c>
      <c r="K151" s="20"/>
      <c r="L151" s="21" t="s">
        <v>291</v>
      </c>
      <c r="M151" s="20" t="s">
        <v>4929</v>
      </c>
      <c r="N151" s="20"/>
      <c r="O151" s="20"/>
      <c r="P151" s="28"/>
      <c r="Q151" s="20"/>
      <c r="R151" s="20"/>
    </row>
    <row r="152" spans="1:18" ht="24.9" customHeight="1">
      <c r="A152" s="20" t="s">
        <v>5435</v>
      </c>
      <c r="B152" s="20"/>
      <c r="C152" s="20" t="s">
        <v>5445</v>
      </c>
      <c r="D152" s="20" t="str">
        <f>VLOOKUP(C152,'لیست پرسنل'!$B$1:$F$1008,3,FALSE)</f>
        <v>فکورصنعت</v>
      </c>
      <c r="E152" s="20">
        <f>VLOOKUP(C152,'لیست پرسنل'!$B$1:$F$1008,4,FALSE)</f>
        <v>0</v>
      </c>
      <c r="F152" s="20" t="str">
        <f>VLOOKUP(C152,'لیست پرسنل'!$B$1:$F$1008,2,FALSE)</f>
        <v>4020404</v>
      </c>
      <c r="G152" s="20" t="s">
        <v>5849</v>
      </c>
      <c r="H152" s="20"/>
      <c r="I152" s="20" t="s">
        <v>3480</v>
      </c>
      <c r="J152" s="20" t="s">
        <v>5451</v>
      </c>
      <c r="K152" s="20" t="s">
        <v>5452</v>
      </c>
      <c r="L152" s="20" t="s">
        <v>4371</v>
      </c>
      <c r="M152" s="32"/>
      <c r="N152" s="20"/>
      <c r="O152" s="20"/>
      <c r="P152" s="20"/>
      <c r="Q152" s="20"/>
      <c r="R152" s="20"/>
    </row>
    <row r="153" spans="1:18" ht="24.9" customHeight="1">
      <c r="A153" s="20" t="s">
        <v>5435</v>
      </c>
      <c r="B153" s="20"/>
      <c r="C153" s="20" t="s">
        <v>5445</v>
      </c>
      <c r="D153" s="20" t="str">
        <f>VLOOKUP(C153,'لیست پرسنل'!$B$1:$F$1008,3,FALSE)</f>
        <v>فکورصنعت</v>
      </c>
      <c r="E153" s="20">
        <f>VLOOKUP(C153,'لیست پرسنل'!$B$1:$F$1008,4,FALSE)</f>
        <v>0</v>
      </c>
      <c r="F153" s="20" t="str">
        <f>VLOOKUP(C153,'لیست پرسنل'!$B$1:$F$1008,2,FALSE)</f>
        <v>4020404</v>
      </c>
      <c r="G153" s="20" t="s">
        <v>5849</v>
      </c>
      <c r="H153" s="20"/>
      <c r="I153" s="20" t="s">
        <v>3480</v>
      </c>
      <c r="J153" s="20" t="s">
        <v>5451</v>
      </c>
      <c r="K153" s="20" t="s">
        <v>5453</v>
      </c>
      <c r="L153" s="20" t="s">
        <v>4371</v>
      </c>
      <c r="M153" s="32"/>
      <c r="N153" s="20"/>
      <c r="O153" s="20"/>
      <c r="P153" s="20"/>
      <c r="Q153" s="20"/>
      <c r="R153" s="20"/>
    </row>
    <row r="154" spans="1:18" ht="24.9" customHeight="1">
      <c r="A154" s="20" t="s">
        <v>5435</v>
      </c>
      <c r="B154" s="20"/>
      <c r="C154" s="20" t="s">
        <v>5445</v>
      </c>
      <c r="D154" s="20" t="str">
        <f>VLOOKUP(C154,'لیست پرسنل'!$B$1:$F$1008,3,FALSE)</f>
        <v>فکورصنعت</v>
      </c>
      <c r="E154" s="20">
        <f>VLOOKUP(C154,'لیست پرسنل'!$B$1:$F$1008,4,FALSE)</f>
        <v>0</v>
      </c>
      <c r="F154" s="20" t="str">
        <f>VLOOKUP(C154,'لیست پرسنل'!$B$1:$F$1008,2,FALSE)</f>
        <v>4020404</v>
      </c>
      <c r="G154" s="20" t="s">
        <v>5849</v>
      </c>
      <c r="H154" s="20"/>
      <c r="I154" s="20" t="s">
        <v>3480</v>
      </c>
      <c r="J154" s="20" t="s">
        <v>5451</v>
      </c>
      <c r="K154" s="20" t="s">
        <v>5454</v>
      </c>
      <c r="L154" s="20" t="s">
        <v>4371</v>
      </c>
      <c r="M154" s="32"/>
      <c r="N154" s="20"/>
      <c r="O154" s="20"/>
      <c r="P154" s="20"/>
      <c r="Q154" s="20"/>
      <c r="R154" s="20"/>
    </row>
    <row r="155" spans="1:18" ht="24.9" customHeight="1">
      <c r="A155" s="20" t="s">
        <v>5435</v>
      </c>
      <c r="B155" s="20"/>
      <c r="C155" s="20" t="s">
        <v>5445</v>
      </c>
      <c r="D155" s="20" t="str">
        <f>VLOOKUP(C155,'لیست پرسنل'!$B$1:$F$1008,3,FALSE)</f>
        <v>فکورصنعت</v>
      </c>
      <c r="E155" s="20">
        <f>VLOOKUP(C155,'لیست پرسنل'!$B$1:$F$1008,4,FALSE)</f>
        <v>0</v>
      </c>
      <c r="F155" s="20" t="str">
        <f>VLOOKUP(C155,'لیست پرسنل'!$B$1:$F$1008,2,FALSE)</f>
        <v>4020404</v>
      </c>
      <c r="G155" s="20" t="s">
        <v>5849</v>
      </c>
      <c r="H155" s="20"/>
      <c r="I155" s="20" t="s">
        <v>3480</v>
      </c>
      <c r="J155" s="20" t="s">
        <v>5451</v>
      </c>
      <c r="K155" s="20" t="s">
        <v>5455</v>
      </c>
      <c r="L155" s="20" t="s">
        <v>4371</v>
      </c>
      <c r="M155" s="32"/>
      <c r="N155" s="20"/>
      <c r="O155" s="20"/>
      <c r="P155" s="20"/>
      <c r="Q155" s="20"/>
      <c r="R155" s="20"/>
    </row>
    <row r="156" spans="1:18" ht="24.9" customHeight="1">
      <c r="A156" s="20" t="s">
        <v>5435</v>
      </c>
      <c r="B156" s="20"/>
      <c r="C156" s="20" t="s">
        <v>5445</v>
      </c>
      <c r="D156" s="20" t="str">
        <f>VLOOKUP(C156,'لیست پرسنل'!$B$1:$F$1008,3,FALSE)</f>
        <v>فکورصنعت</v>
      </c>
      <c r="E156" s="20">
        <f>VLOOKUP(C156,'لیست پرسنل'!$B$1:$F$1008,4,FALSE)</f>
        <v>0</v>
      </c>
      <c r="F156" s="20" t="str">
        <f>VLOOKUP(C156,'لیست پرسنل'!$B$1:$F$1008,2,FALSE)</f>
        <v>4020404</v>
      </c>
      <c r="G156" s="20" t="s">
        <v>5849</v>
      </c>
      <c r="H156" s="20"/>
      <c r="I156" s="20" t="s">
        <v>3480</v>
      </c>
      <c r="J156" s="20" t="s">
        <v>5451</v>
      </c>
      <c r="K156" s="20" t="s">
        <v>5456</v>
      </c>
      <c r="L156" s="20" t="s">
        <v>4371</v>
      </c>
      <c r="M156" s="32"/>
      <c r="N156" s="20"/>
      <c r="O156" s="20"/>
      <c r="P156" s="20"/>
      <c r="Q156" s="20"/>
      <c r="R156" s="20"/>
    </row>
    <row r="157" spans="1:18" ht="24.9" customHeight="1">
      <c r="A157" s="20" t="s">
        <v>5435</v>
      </c>
      <c r="B157" s="20"/>
      <c r="C157" s="20" t="s">
        <v>5445</v>
      </c>
      <c r="D157" s="20" t="str">
        <f>VLOOKUP(C157,'لیست پرسنل'!$B$1:$F$1008,3,FALSE)</f>
        <v>فکورصنعت</v>
      </c>
      <c r="E157" s="20">
        <f>VLOOKUP(C157,'لیست پرسنل'!$B$1:$F$1008,4,FALSE)</f>
        <v>0</v>
      </c>
      <c r="F157" s="20" t="str">
        <f>VLOOKUP(C157,'لیست پرسنل'!$B$1:$F$1008,2,FALSE)</f>
        <v>4020404</v>
      </c>
      <c r="G157" s="20" t="s">
        <v>5849</v>
      </c>
      <c r="H157" s="20"/>
      <c r="I157" s="20" t="s">
        <v>3480</v>
      </c>
      <c r="J157" s="20" t="s">
        <v>5451</v>
      </c>
      <c r="K157" s="20" t="s">
        <v>5457</v>
      </c>
      <c r="L157" s="20" t="s">
        <v>4371</v>
      </c>
      <c r="M157" s="32"/>
      <c r="N157" s="20"/>
      <c r="O157" s="20"/>
      <c r="P157" s="20"/>
      <c r="Q157" s="20"/>
      <c r="R157" s="20"/>
    </row>
    <row r="158" spans="1:18" ht="24.9" customHeight="1">
      <c r="A158" s="20" t="s">
        <v>5435</v>
      </c>
      <c r="B158" s="20"/>
      <c r="C158" s="20" t="s">
        <v>5445</v>
      </c>
      <c r="D158" s="20" t="str">
        <f>VLOOKUP(C158,'لیست پرسنل'!$B$1:$F$1008,3,FALSE)</f>
        <v>فکورصنعت</v>
      </c>
      <c r="E158" s="20">
        <f>VLOOKUP(C158,'لیست پرسنل'!$B$1:$F$1008,4,FALSE)</f>
        <v>0</v>
      </c>
      <c r="F158" s="20" t="str">
        <f>VLOOKUP(C158,'لیست پرسنل'!$B$1:$F$1008,2,FALSE)</f>
        <v>4020404</v>
      </c>
      <c r="G158" s="20" t="s">
        <v>5849</v>
      </c>
      <c r="H158" s="20"/>
      <c r="I158" s="20" t="s">
        <v>3480</v>
      </c>
      <c r="J158" s="20" t="s">
        <v>5451</v>
      </c>
      <c r="K158" s="20" t="s">
        <v>5458</v>
      </c>
      <c r="L158" s="20" t="s">
        <v>4371</v>
      </c>
      <c r="M158" s="32"/>
      <c r="N158" s="20"/>
      <c r="O158" s="20"/>
      <c r="P158" s="20"/>
      <c r="Q158" s="20"/>
      <c r="R158" s="20"/>
    </row>
    <row r="159" spans="1:18" ht="24.9" customHeight="1">
      <c r="A159" s="20" t="s">
        <v>5435</v>
      </c>
      <c r="B159" s="20"/>
      <c r="C159" s="20" t="s">
        <v>5445</v>
      </c>
      <c r="D159" s="20" t="str">
        <f>VLOOKUP(C159,'لیست پرسنل'!$B$1:$F$1008,3,FALSE)</f>
        <v>فکورصنعت</v>
      </c>
      <c r="E159" s="20">
        <f>VLOOKUP(C159,'لیست پرسنل'!$B$1:$F$1008,4,FALSE)</f>
        <v>0</v>
      </c>
      <c r="F159" s="20" t="str">
        <f>VLOOKUP(C159,'لیست پرسنل'!$B$1:$F$1008,2,FALSE)</f>
        <v>4020404</v>
      </c>
      <c r="G159" s="20" t="s">
        <v>5849</v>
      </c>
      <c r="H159" s="20"/>
      <c r="I159" s="20" t="s">
        <v>3480</v>
      </c>
      <c r="J159" s="20" t="s">
        <v>5451</v>
      </c>
      <c r="K159" s="20" t="s">
        <v>5459</v>
      </c>
      <c r="L159" s="20" t="s">
        <v>4371</v>
      </c>
      <c r="M159" s="32"/>
      <c r="N159" s="20"/>
      <c r="O159" s="20"/>
      <c r="P159" s="20"/>
      <c r="Q159" s="20"/>
      <c r="R159" s="20"/>
    </row>
    <row r="160" spans="1:18" ht="24.9" customHeight="1">
      <c r="A160" s="20" t="s">
        <v>4374</v>
      </c>
      <c r="B160" s="20"/>
      <c r="C160" s="20" t="s">
        <v>3920</v>
      </c>
      <c r="D160" s="20" t="e">
        <f>VLOOKUP(C160,'لیست پرسنل'!$B$1:$F$1008,3,FALSE)</f>
        <v>#N/A</v>
      </c>
      <c r="E160" s="20" t="e">
        <f>VLOOKUP(C160,'لیست پرسنل'!$B$1:$F$1008,4,FALSE)</f>
        <v>#N/A</v>
      </c>
      <c r="F160" s="20" t="e">
        <f>VLOOKUP(C160,'لیست پرسنل'!$B$1:$F$1008,2,FALSE)</f>
        <v>#N/A</v>
      </c>
      <c r="G160" s="20" t="s">
        <v>3925</v>
      </c>
      <c r="H160" s="20"/>
      <c r="I160" s="20" t="s">
        <v>3480</v>
      </c>
      <c r="J160" s="20" t="s">
        <v>4863</v>
      </c>
      <c r="K160" s="19" t="s">
        <v>6662</v>
      </c>
      <c r="L160" s="19" t="s">
        <v>291</v>
      </c>
      <c r="M160" s="19"/>
      <c r="N160" s="20" t="s">
        <v>6259</v>
      </c>
      <c r="O160" s="20" t="s">
        <v>3369</v>
      </c>
      <c r="P160" s="19" t="s">
        <v>6531</v>
      </c>
      <c r="Q160" s="32"/>
      <c r="R160" s="32"/>
    </row>
    <row r="161" spans="1:18" ht="24.9" customHeight="1">
      <c r="A161" s="20" t="s">
        <v>4374</v>
      </c>
      <c r="B161" s="20"/>
      <c r="C161" s="20" t="s">
        <v>3920</v>
      </c>
      <c r="D161" s="20" t="e">
        <f>VLOOKUP(C161,'لیست پرسنل'!$B$1:$F$1008,3,FALSE)</f>
        <v>#N/A</v>
      </c>
      <c r="E161" s="20" t="e">
        <f>VLOOKUP(C161,'لیست پرسنل'!$B$1:$F$1008,4,FALSE)</f>
        <v>#N/A</v>
      </c>
      <c r="F161" s="20" t="e">
        <f>VLOOKUP(C161,'لیست پرسنل'!$B$1:$F$1008,2,FALSE)</f>
        <v>#N/A</v>
      </c>
      <c r="G161" s="20" t="s">
        <v>3925</v>
      </c>
      <c r="H161" s="20"/>
      <c r="I161" s="67" t="s">
        <v>3480</v>
      </c>
      <c r="J161" s="20" t="s">
        <v>4863</v>
      </c>
      <c r="K161" s="19" t="s">
        <v>6662</v>
      </c>
      <c r="L161" s="19" t="s">
        <v>291</v>
      </c>
      <c r="M161" s="19"/>
      <c r="N161" s="20" t="s">
        <v>6259</v>
      </c>
      <c r="O161" s="20" t="s">
        <v>3369</v>
      </c>
      <c r="P161" s="19" t="s">
        <v>6503</v>
      </c>
      <c r="Q161" s="32"/>
      <c r="R161" s="32"/>
    </row>
    <row r="162" spans="1:18" ht="24.9" customHeight="1">
      <c r="A162" s="20" t="s">
        <v>4374</v>
      </c>
      <c r="B162" s="20"/>
      <c r="C162" s="20" t="s">
        <v>3920</v>
      </c>
      <c r="D162" s="20" t="e">
        <f>VLOOKUP(C162,'لیست پرسنل'!$B$1:$F$1008,3,FALSE)</f>
        <v>#N/A</v>
      </c>
      <c r="E162" s="20" t="e">
        <f>VLOOKUP(C162,'لیست پرسنل'!$B$1:$F$1008,4,FALSE)</f>
        <v>#N/A</v>
      </c>
      <c r="F162" s="20" t="e">
        <f>VLOOKUP(C162,'لیست پرسنل'!$B$1:$F$1008,2,FALSE)</f>
        <v>#N/A</v>
      </c>
      <c r="G162" s="20" t="s">
        <v>3925</v>
      </c>
      <c r="H162" s="20"/>
      <c r="I162" s="20" t="s">
        <v>3480</v>
      </c>
      <c r="J162" s="20" t="s">
        <v>4863</v>
      </c>
      <c r="K162" s="19" t="s">
        <v>6662</v>
      </c>
      <c r="L162" s="19" t="s">
        <v>291</v>
      </c>
      <c r="M162" s="19"/>
      <c r="N162" s="20" t="s">
        <v>6259</v>
      </c>
      <c r="O162" s="20" t="s">
        <v>3369</v>
      </c>
      <c r="P162" s="19" t="s">
        <v>6520</v>
      </c>
      <c r="Q162" s="32"/>
      <c r="R162" s="32"/>
    </row>
    <row r="163" spans="1:18" ht="24.9" customHeight="1">
      <c r="A163" s="20" t="s">
        <v>4374</v>
      </c>
      <c r="B163" s="20"/>
      <c r="C163" s="20" t="s">
        <v>3920</v>
      </c>
      <c r="D163" s="20" t="e">
        <f>VLOOKUP(C163,'لیست پرسنل'!$B$1:$F$1008,3,FALSE)</f>
        <v>#N/A</v>
      </c>
      <c r="E163" s="20" t="e">
        <f>VLOOKUP(C163,'لیست پرسنل'!$B$1:$F$1008,4,FALSE)</f>
        <v>#N/A</v>
      </c>
      <c r="F163" s="20" t="e">
        <f>VLOOKUP(C163,'لیست پرسنل'!$B$1:$F$1008,2,FALSE)</f>
        <v>#N/A</v>
      </c>
      <c r="G163" s="20" t="s">
        <v>3925</v>
      </c>
      <c r="H163" s="20"/>
      <c r="I163" s="20" t="s">
        <v>3480</v>
      </c>
      <c r="J163" s="20" t="s">
        <v>4863</v>
      </c>
      <c r="K163" s="19" t="s">
        <v>6662</v>
      </c>
      <c r="L163" s="19" t="s">
        <v>291</v>
      </c>
      <c r="M163" s="19"/>
      <c r="N163" s="20" t="s">
        <v>6259</v>
      </c>
      <c r="O163" s="20" t="s">
        <v>3369</v>
      </c>
      <c r="P163" s="19" t="s">
        <v>6521</v>
      </c>
      <c r="Q163" s="32"/>
      <c r="R163" s="32"/>
    </row>
    <row r="164" spans="1:18" ht="24.9" customHeight="1">
      <c r="A164" s="20" t="s">
        <v>4374</v>
      </c>
      <c r="B164" s="20"/>
      <c r="C164" s="20" t="s">
        <v>3920</v>
      </c>
      <c r="D164" s="20" t="e">
        <f>VLOOKUP(C164,'لیست پرسنل'!$B$1:$F$1008,3,FALSE)</f>
        <v>#N/A</v>
      </c>
      <c r="E164" s="20" t="e">
        <f>VLOOKUP(C164,'لیست پرسنل'!$B$1:$F$1008,4,FALSE)</f>
        <v>#N/A</v>
      </c>
      <c r="F164" s="20" t="e">
        <f>VLOOKUP(C164,'لیست پرسنل'!$B$1:$F$1008,2,FALSE)</f>
        <v>#N/A</v>
      </c>
      <c r="G164" s="20" t="s">
        <v>3925</v>
      </c>
      <c r="H164" s="20"/>
      <c r="I164" s="20" t="s">
        <v>3480</v>
      </c>
      <c r="J164" s="20" t="s">
        <v>4863</v>
      </c>
      <c r="K164" s="19" t="s">
        <v>6662</v>
      </c>
      <c r="L164" s="19" t="s">
        <v>291</v>
      </c>
      <c r="M164" s="19"/>
      <c r="N164" s="20" t="s">
        <v>6259</v>
      </c>
      <c r="O164" s="20" t="s">
        <v>3369</v>
      </c>
      <c r="P164" s="19" t="s">
        <v>6522</v>
      </c>
      <c r="Q164" s="32"/>
      <c r="R164" s="32"/>
    </row>
    <row r="165" spans="1:18" ht="24.9" customHeight="1">
      <c r="A165" s="20" t="s">
        <v>4374</v>
      </c>
      <c r="B165" s="20"/>
      <c r="C165" s="20" t="s">
        <v>3920</v>
      </c>
      <c r="D165" s="20" t="e">
        <f>VLOOKUP(C165,'لیست پرسنل'!$B$1:$F$1008,3,FALSE)</f>
        <v>#N/A</v>
      </c>
      <c r="E165" s="20" t="e">
        <f>VLOOKUP(C165,'لیست پرسنل'!$B$1:$F$1008,4,FALSE)</f>
        <v>#N/A</v>
      </c>
      <c r="F165" s="20" t="e">
        <f>VLOOKUP(C165,'لیست پرسنل'!$B$1:$F$1008,2,FALSE)</f>
        <v>#N/A</v>
      </c>
      <c r="G165" s="20" t="s">
        <v>3925</v>
      </c>
      <c r="H165" s="20"/>
      <c r="I165" s="20" t="s">
        <v>3480</v>
      </c>
      <c r="J165" s="20" t="s">
        <v>4863</v>
      </c>
      <c r="K165" s="19" t="s">
        <v>6662</v>
      </c>
      <c r="L165" s="19" t="s">
        <v>291</v>
      </c>
      <c r="M165" s="19"/>
      <c r="N165" s="20" t="s">
        <v>6259</v>
      </c>
      <c r="O165" s="20" t="s">
        <v>3369</v>
      </c>
      <c r="P165" s="19" t="s">
        <v>6523</v>
      </c>
      <c r="Q165" s="32"/>
      <c r="R165" s="32"/>
    </row>
    <row r="166" spans="1:18" ht="24.9" customHeight="1">
      <c r="A166" s="20" t="s">
        <v>4374</v>
      </c>
      <c r="B166" s="20"/>
      <c r="C166" s="20" t="s">
        <v>3920</v>
      </c>
      <c r="D166" s="20" t="e">
        <f>VLOOKUP(C166,'لیست پرسنل'!$B$1:$F$1008,3,FALSE)</f>
        <v>#N/A</v>
      </c>
      <c r="E166" s="20" t="e">
        <f>VLOOKUP(C166,'لیست پرسنل'!$B$1:$F$1008,4,FALSE)</f>
        <v>#N/A</v>
      </c>
      <c r="F166" s="20" t="e">
        <f>VLOOKUP(C166,'لیست پرسنل'!$B$1:$F$1008,2,FALSE)</f>
        <v>#N/A</v>
      </c>
      <c r="G166" s="20" t="s">
        <v>3925</v>
      </c>
      <c r="H166" s="20"/>
      <c r="I166" s="20" t="s">
        <v>3480</v>
      </c>
      <c r="J166" s="20" t="s">
        <v>4863</v>
      </c>
      <c r="K166" s="19" t="s">
        <v>6662</v>
      </c>
      <c r="L166" s="19" t="s">
        <v>291</v>
      </c>
      <c r="M166" s="19"/>
      <c r="N166" s="20" t="s">
        <v>6259</v>
      </c>
      <c r="O166" s="20" t="s">
        <v>3369</v>
      </c>
      <c r="P166" s="19" t="s">
        <v>6524</v>
      </c>
      <c r="Q166" s="32"/>
      <c r="R166" s="32"/>
    </row>
    <row r="167" spans="1:18" ht="24.9" customHeight="1">
      <c r="A167" s="20" t="s">
        <v>4374</v>
      </c>
      <c r="B167" s="20"/>
      <c r="C167" s="20" t="s">
        <v>3920</v>
      </c>
      <c r="D167" s="20" t="e">
        <f>VLOOKUP(C167,'لیست پرسنل'!$B$1:$F$1008,3,FALSE)</f>
        <v>#N/A</v>
      </c>
      <c r="E167" s="20" t="e">
        <f>VLOOKUP(C167,'لیست پرسنل'!$B$1:$F$1008,4,FALSE)</f>
        <v>#N/A</v>
      </c>
      <c r="F167" s="20" t="e">
        <f>VLOOKUP(C167,'لیست پرسنل'!$B$1:$F$1008,2,FALSE)</f>
        <v>#N/A</v>
      </c>
      <c r="G167" s="20" t="s">
        <v>3925</v>
      </c>
      <c r="H167" s="20"/>
      <c r="I167" s="20" t="s">
        <v>3480</v>
      </c>
      <c r="J167" s="20" t="s">
        <v>4863</v>
      </c>
      <c r="K167" s="19" t="s">
        <v>6662</v>
      </c>
      <c r="L167" s="19" t="s">
        <v>291</v>
      </c>
      <c r="M167" s="19"/>
      <c r="N167" s="20" t="s">
        <v>6259</v>
      </c>
      <c r="O167" s="20" t="s">
        <v>3369</v>
      </c>
      <c r="P167" s="19" t="s">
        <v>6504</v>
      </c>
      <c r="Q167" s="32"/>
      <c r="R167" s="32"/>
    </row>
    <row r="168" spans="1:18" ht="24.9" customHeight="1">
      <c r="A168" s="20" t="s">
        <v>4374</v>
      </c>
      <c r="B168" s="20"/>
      <c r="C168" s="20" t="s">
        <v>3920</v>
      </c>
      <c r="D168" s="20" t="e">
        <f>VLOOKUP(C168,'لیست پرسنل'!$B$1:$F$1008,3,FALSE)</f>
        <v>#N/A</v>
      </c>
      <c r="E168" s="20" t="e">
        <f>VLOOKUP(C168,'لیست پرسنل'!$B$1:$F$1008,4,FALSE)</f>
        <v>#N/A</v>
      </c>
      <c r="F168" s="20" t="e">
        <f>VLOOKUP(C168,'لیست پرسنل'!$B$1:$F$1008,2,FALSE)</f>
        <v>#N/A</v>
      </c>
      <c r="G168" s="20" t="s">
        <v>3925</v>
      </c>
      <c r="H168" s="20"/>
      <c r="I168" s="20" t="s">
        <v>3480</v>
      </c>
      <c r="J168" s="20" t="s">
        <v>4863</v>
      </c>
      <c r="K168" s="19" t="s">
        <v>6662</v>
      </c>
      <c r="L168" s="19" t="s">
        <v>291</v>
      </c>
      <c r="M168" s="19"/>
      <c r="N168" s="20" t="s">
        <v>6259</v>
      </c>
      <c r="O168" s="20" t="s">
        <v>3369</v>
      </c>
      <c r="P168" s="19" t="s">
        <v>6526</v>
      </c>
      <c r="Q168" s="32"/>
      <c r="R168" s="32"/>
    </row>
    <row r="169" spans="1:18" ht="24.9" customHeight="1">
      <c r="A169" s="20" t="s">
        <v>4374</v>
      </c>
      <c r="B169" s="20"/>
      <c r="C169" s="20" t="s">
        <v>3920</v>
      </c>
      <c r="D169" s="20" t="e">
        <f>VLOOKUP(C169,'لیست پرسنل'!$B$1:$F$1008,3,FALSE)</f>
        <v>#N/A</v>
      </c>
      <c r="E169" s="20" t="e">
        <f>VLOOKUP(C169,'لیست پرسنل'!$B$1:$F$1008,4,FALSE)</f>
        <v>#N/A</v>
      </c>
      <c r="F169" s="20" t="e">
        <f>VLOOKUP(C169,'لیست پرسنل'!$B$1:$F$1008,2,FALSE)</f>
        <v>#N/A</v>
      </c>
      <c r="G169" s="20" t="s">
        <v>3925</v>
      </c>
      <c r="H169" s="20"/>
      <c r="I169" s="20" t="s">
        <v>3480</v>
      </c>
      <c r="J169" s="20" t="s">
        <v>4863</v>
      </c>
      <c r="K169" s="20" t="s">
        <v>6662</v>
      </c>
      <c r="L169" s="19" t="s">
        <v>291</v>
      </c>
      <c r="M169" s="19"/>
      <c r="N169" s="20" t="s">
        <v>6259</v>
      </c>
      <c r="O169" s="20" t="s">
        <v>3369</v>
      </c>
      <c r="P169" s="19" t="s">
        <v>6527</v>
      </c>
      <c r="Q169" s="32"/>
      <c r="R169" s="32"/>
    </row>
    <row r="170" spans="1:18" ht="24.9" customHeight="1">
      <c r="A170" s="20" t="s">
        <v>4349</v>
      </c>
      <c r="B170" s="20"/>
      <c r="C170" s="20" t="s">
        <v>3736</v>
      </c>
      <c r="D170" s="20" t="str">
        <f>VLOOKUP(C170,'لیست پرسنل'!$B$1:$F$1008,3,FALSE)</f>
        <v>فکورصنعت</v>
      </c>
      <c r="E170" s="20" t="str">
        <f>VLOOKUP(C170,'لیست پرسنل'!$B$1:$F$1008,4,FALSE)</f>
        <v>انبار</v>
      </c>
      <c r="F170" s="20">
        <f>VLOOKUP(C170,'لیست پرسنل'!$B$1:$F$1008,2,FALSE)</f>
        <v>769</v>
      </c>
      <c r="G170" s="20" t="s">
        <v>6992</v>
      </c>
      <c r="H170" s="20"/>
      <c r="I170" s="20" t="s">
        <v>3480</v>
      </c>
      <c r="J170" s="20" t="s">
        <v>6993</v>
      </c>
      <c r="K170" s="20" t="s">
        <v>3825</v>
      </c>
      <c r="L170" s="19" t="s">
        <v>291</v>
      </c>
      <c r="M170" s="19"/>
      <c r="N170" s="19"/>
      <c r="O170" s="19"/>
      <c r="P170" s="19"/>
      <c r="Q170" s="19"/>
      <c r="R170" s="19"/>
    </row>
    <row r="171" spans="1:18" ht="24.9" customHeight="1">
      <c r="A171" s="20" t="s">
        <v>4349</v>
      </c>
      <c r="B171" s="20"/>
      <c r="C171" s="20" t="s">
        <v>3736</v>
      </c>
      <c r="D171" s="20" t="str">
        <f>VLOOKUP(C171,'لیست پرسنل'!$B$1:$F$1008,3,FALSE)</f>
        <v>فکورصنعت</v>
      </c>
      <c r="E171" s="20" t="str">
        <f>VLOOKUP(C171,'لیست پرسنل'!$B$1:$F$1008,4,FALSE)</f>
        <v>انبار</v>
      </c>
      <c r="F171" s="20">
        <f>VLOOKUP(C171,'لیست پرسنل'!$B$1:$F$1008,2,FALSE)</f>
        <v>769</v>
      </c>
      <c r="G171" s="20" t="s">
        <v>6992</v>
      </c>
      <c r="H171" s="20"/>
      <c r="I171" s="20" t="s">
        <v>3480</v>
      </c>
      <c r="J171" s="20" t="s">
        <v>6993</v>
      </c>
      <c r="K171" s="20" t="s">
        <v>3825</v>
      </c>
      <c r="L171" s="19" t="s">
        <v>291</v>
      </c>
      <c r="M171" s="19"/>
      <c r="N171" s="19"/>
      <c r="O171" s="19"/>
      <c r="P171" s="19"/>
      <c r="Q171" s="19"/>
      <c r="R171" s="19"/>
    </row>
    <row r="172" spans="1:18" ht="24.9" customHeight="1">
      <c r="A172" s="20" t="s">
        <v>4349</v>
      </c>
      <c r="B172" s="20"/>
      <c r="C172" s="20" t="s">
        <v>3736</v>
      </c>
      <c r="D172" s="20" t="str">
        <f>VLOOKUP(C172,'لیست پرسنل'!$B$1:$F$1008,3,FALSE)</f>
        <v>فکورصنعت</v>
      </c>
      <c r="E172" s="20" t="str">
        <f>VLOOKUP(C172,'لیست پرسنل'!$B$1:$F$1008,4,FALSE)</f>
        <v>انبار</v>
      </c>
      <c r="F172" s="20">
        <f>VLOOKUP(C172,'لیست پرسنل'!$B$1:$F$1008,2,FALSE)</f>
        <v>769</v>
      </c>
      <c r="G172" s="20" t="s">
        <v>6992</v>
      </c>
      <c r="H172" s="20"/>
      <c r="I172" s="20" t="s">
        <v>3480</v>
      </c>
      <c r="J172" s="20" t="s">
        <v>6993</v>
      </c>
      <c r="K172" s="20" t="s">
        <v>3825</v>
      </c>
      <c r="L172" s="19" t="s">
        <v>291</v>
      </c>
      <c r="M172" s="19"/>
      <c r="N172" s="19"/>
      <c r="O172" s="19"/>
      <c r="P172" s="19"/>
      <c r="Q172" s="19"/>
      <c r="R172" s="19"/>
    </row>
    <row r="173" spans="1:18" ht="24.9" customHeight="1">
      <c r="A173" s="20" t="s">
        <v>4349</v>
      </c>
      <c r="B173" s="20"/>
      <c r="C173" s="20" t="s">
        <v>3736</v>
      </c>
      <c r="D173" s="20" t="str">
        <f>VLOOKUP(C173,'لیست پرسنل'!$B$1:$F$1008,3,FALSE)</f>
        <v>فکورصنعت</v>
      </c>
      <c r="E173" s="20" t="str">
        <f>VLOOKUP(C173,'لیست پرسنل'!$B$1:$F$1008,4,FALSE)</f>
        <v>انبار</v>
      </c>
      <c r="F173" s="20">
        <f>VLOOKUP(C173,'لیست پرسنل'!$B$1:$F$1008,2,FALSE)</f>
        <v>769</v>
      </c>
      <c r="G173" s="20" t="s">
        <v>6992</v>
      </c>
      <c r="H173" s="20"/>
      <c r="I173" s="20" t="s">
        <v>3480</v>
      </c>
      <c r="J173" s="20" t="s">
        <v>6993</v>
      </c>
      <c r="K173" s="20" t="s">
        <v>3825</v>
      </c>
      <c r="L173" s="19" t="s">
        <v>291</v>
      </c>
      <c r="M173" s="19"/>
      <c r="N173" s="19"/>
      <c r="O173" s="19"/>
      <c r="P173" s="19"/>
      <c r="Q173" s="19"/>
      <c r="R173" s="19"/>
    </row>
    <row r="174" spans="1:18" ht="24.9" customHeight="1">
      <c r="A174" s="20" t="s">
        <v>4349</v>
      </c>
      <c r="B174" s="20"/>
      <c r="C174" s="20" t="s">
        <v>3736</v>
      </c>
      <c r="D174" s="20" t="str">
        <f>VLOOKUP(C174,'لیست پرسنل'!$B$1:$F$1008,3,FALSE)</f>
        <v>فکورصنعت</v>
      </c>
      <c r="E174" s="20" t="str">
        <f>VLOOKUP(C174,'لیست پرسنل'!$B$1:$F$1008,4,FALSE)</f>
        <v>انبار</v>
      </c>
      <c r="F174" s="20">
        <f>VLOOKUP(C174,'لیست پرسنل'!$B$1:$F$1008,2,FALSE)</f>
        <v>769</v>
      </c>
      <c r="G174" s="20" t="s">
        <v>6992</v>
      </c>
      <c r="H174" s="20"/>
      <c r="I174" s="20" t="s">
        <v>3480</v>
      </c>
      <c r="J174" s="20" t="s">
        <v>6993</v>
      </c>
      <c r="K174" s="20" t="s">
        <v>3825</v>
      </c>
      <c r="L174" s="19" t="s">
        <v>291</v>
      </c>
      <c r="M174" s="19"/>
      <c r="N174" s="19"/>
      <c r="O174" s="19"/>
      <c r="P174" s="19"/>
      <c r="Q174" s="19"/>
      <c r="R174" s="19"/>
    </row>
    <row r="175" spans="1:18" ht="24.9" customHeight="1">
      <c r="A175" s="20" t="s">
        <v>4349</v>
      </c>
      <c r="B175" s="20"/>
      <c r="C175" s="20" t="s">
        <v>3736</v>
      </c>
      <c r="D175" s="20" t="str">
        <f>VLOOKUP(C175,'لیست پرسنل'!$B$1:$F$1008,3,FALSE)</f>
        <v>فکورصنعت</v>
      </c>
      <c r="E175" s="20" t="str">
        <f>VLOOKUP(C175,'لیست پرسنل'!$B$1:$F$1008,4,FALSE)</f>
        <v>انبار</v>
      </c>
      <c r="F175" s="20">
        <f>VLOOKUP(C175,'لیست پرسنل'!$B$1:$F$1008,2,FALSE)</f>
        <v>769</v>
      </c>
      <c r="G175" s="20" t="s">
        <v>6992</v>
      </c>
      <c r="H175" s="20"/>
      <c r="I175" s="20" t="s">
        <v>3480</v>
      </c>
      <c r="J175" s="20" t="s">
        <v>6993</v>
      </c>
      <c r="K175" s="20" t="s">
        <v>3825</v>
      </c>
      <c r="L175" s="19" t="s">
        <v>291</v>
      </c>
      <c r="M175" s="19"/>
      <c r="N175" s="19"/>
      <c r="O175" s="19"/>
      <c r="P175" s="19"/>
      <c r="Q175" s="19"/>
      <c r="R175" s="19"/>
    </row>
    <row r="176" spans="1:18" ht="24.9" customHeight="1">
      <c r="A176" s="20" t="s">
        <v>4349</v>
      </c>
      <c r="B176" s="20"/>
      <c r="C176" s="20" t="s">
        <v>3736</v>
      </c>
      <c r="D176" s="20" t="str">
        <f>VLOOKUP(C176,'لیست پرسنل'!$B$1:$F$1008,3,FALSE)</f>
        <v>فکورصنعت</v>
      </c>
      <c r="E176" s="20" t="str">
        <f>VLOOKUP(C176,'لیست پرسنل'!$B$1:$F$1008,4,FALSE)</f>
        <v>انبار</v>
      </c>
      <c r="F176" s="20">
        <f>VLOOKUP(C176,'لیست پرسنل'!$B$1:$F$1008,2,FALSE)</f>
        <v>769</v>
      </c>
      <c r="G176" s="20" t="s">
        <v>6992</v>
      </c>
      <c r="H176" s="20"/>
      <c r="I176" s="20" t="s">
        <v>3480</v>
      </c>
      <c r="J176" s="20" t="s">
        <v>6993</v>
      </c>
      <c r="K176" s="20" t="s">
        <v>3825</v>
      </c>
      <c r="L176" s="19" t="s">
        <v>291</v>
      </c>
      <c r="M176" s="19"/>
      <c r="N176" s="19"/>
      <c r="O176" s="19"/>
      <c r="P176" s="19"/>
      <c r="Q176" s="19"/>
      <c r="R176" s="19"/>
    </row>
    <row r="177" spans="1:18" ht="24.9" customHeight="1">
      <c r="A177" s="20" t="s">
        <v>4349</v>
      </c>
      <c r="B177" s="20"/>
      <c r="C177" s="20" t="s">
        <v>3736</v>
      </c>
      <c r="D177" s="20" t="str">
        <f>VLOOKUP(C177,'لیست پرسنل'!$B$1:$F$1008,3,FALSE)</f>
        <v>فکورصنعت</v>
      </c>
      <c r="E177" s="20" t="str">
        <f>VLOOKUP(C177,'لیست پرسنل'!$B$1:$F$1008,4,FALSE)</f>
        <v>انبار</v>
      </c>
      <c r="F177" s="20">
        <f>VLOOKUP(C177,'لیست پرسنل'!$B$1:$F$1008,2,FALSE)</f>
        <v>769</v>
      </c>
      <c r="G177" s="20" t="s">
        <v>6992</v>
      </c>
      <c r="H177" s="20"/>
      <c r="I177" s="20" t="s">
        <v>3480</v>
      </c>
      <c r="J177" s="20" t="s">
        <v>6993</v>
      </c>
      <c r="K177" s="20" t="s">
        <v>3825</v>
      </c>
      <c r="L177" s="19" t="s">
        <v>291</v>
      </c>
      <c r="M177" s="19"/>
      <c r="N177" s="19"/>
      <c r="O177" s="19"/>
      <c r="P177" s="19"/>
      <c r="Q177" s="19"/>
      <c r="R177" s="19"/>
    </row>
    <row r="178" spans="1:18" ht="24.9" customHeight="1">
      <c r="A178" s="20" t="s">
        <v>4349</v>
      </c>
      <c r="B178" s="20"/>
      <c r="C178" s="20" t="s">
        <v>3736</v>
      </c>
      <c r="D178" s="20" t="str">
        <f>VLOOKUP(C178,'لیست پرسنل'!$B$1:$F$1008,3,FALSE)</f>
        <v>فکورصنعت</v>
      </c>
      <c r="E178" s="20" t="str">
        <f>VLOOKUP(C178,'لیست پرسنل'!$B$1:$F$1008,4,FALSE)</f>
        <v>انبار</v>
      </c>
      <c r="F178" s="20">
        <f>VLOOKUP(C178,'لیست پرسنل'!$B$1:$F$1008,2,FALSE)</f>
        <v>769</v>
      </c>
      <c r="G178" s="20" t="s">
        <v>6992</v>
      </c>
      <c r="H178" s="20"/>
      <c r="I178" s="20" t="s">
        <v>3481</v>
      </c>
      <c r="J178" s="20" t="s">
        <v>6994</v>
      </c>
      <c r="K178" s="20" t="s">
        <v>3825</v>
      </c>
      <c r="L178" s="19" t="s">
        <v>291</v>
      </c>
      <c r="M178" s="20"/>
      <c r="N178" s="20"/>
      <c r="O178" s="20"/>
      <c r="P178" s="20"/>
      <c r="Q178" s="20"/>
      <c r="R178" s="20"/>
    </row>
    <row r="179" spans="1:18" ht="24.9" customHeight="1">
      <c r="A179" s="20" t="s">
        <v>4349</v>
      </c>
      <c r="B179" s="20"/>
      <c r="C179" s="20" t="s">
        <v>3736</v>
      </c>
      <c r="D179" s="20" t="str">
        <f>VLOOKUP(C179,'لیست پرسنل'!$B$1:$F$1008,3,FALSE)</f>
        <v>فکورصنعت</v>
      </c>
      <c r="E179" s="20" t="str">
        <f>VLOOKUP(C179,'لیست پرسنل'!$B$1:$F$1008,4,FALSE)</f>
        <v>انبار</v>
      </c>
      <c r="F179" s="20">
        <f>VLOOKUP(C179,'لیست پرسنل'!$B$1:$F$1008,2,FALSE)</f>
        <v>769</v>
      </c>
      <c r="G179" s="20" t="s">
        <v>6992</v>
      </c>
      <c r="H179" s="20"/>
      <c r="I179" s="20" t="s">
        <v>3481</v>
      </c>
      <c r="J179" s="20" t="s">
        <v>6994</v>
      </c>
      <c r="K179" s="20" t="s">
        <v>3825</v>
      </c>
      <c r="L179" s="19" t="s">
        <v>291</v>
      </c>
      <c r="M179" s="20"/>
      <c r="N179" s="20"/>
      <c r="O179" s="20"/>
      <c r="P179" s="20"/>
      <c r="Q179" s="20"/>
      <c r="R179" s="20"/>
    </row>
    <row r="180" spans="1:18" ht="24.9" customHeight="1">
      <c r="A180" s="20" t="s">
        <v>4349</v>
      </c>
      <c r="B180" s="20"/>
      <c r="C180" s="20" t="s">
        <v>3736</v>
      </c>
      <c r="D180" s="20" t="str">
        <f>VLOOKUP(C180,'لیست پرسنل'!$B$1:$F$1008,3,FALSE)</f>
        <v>فکورصنعت</v>
      </c>
      <c r="E180" s="20" t="str">
        <f>VLOOKUP(C180,'لیست پرسنل'!$B$1:$F$1008,4,FALSE)</f>
        <v>انبار</v>
      </c>
      <c r="F180" s="20">
        <f>VLOOKUP(C180,'لیست پرسنل'!$B$1:$F$1008,2,FALSE)</f>
        <v>769</v>
      </c>
      <c r="G180" s="20" t="s">
        <v>6992</v>
      </c>
      <c r="H180" s="20"/>
      <c r="I180" s="20" t="s">
        <v>3481</v>
      </c>
      <c r="J180" s="20" t="s">
        <v>6994</v>
      </c>
      <c r="K180" s="20" t="s">
        <v>3825</v>
      </c>
      <c r="L180" s="19" t="s">
        <v>291</v>
      </c>
      <c r="M180" s="20"/>
      <c r="N180" s="20"/>
      <c r="O180" s="20"/>
      <c r="P180" s="20"/>
      <c r="Q180" s="20"/>
      <c r="R180" s="20"/>
    </row>
    <row r="181" spans="1:18" ht="24.9" customHeight="1">
      <c r="A181" s="20" t="s">
        <v>4349</v>
      </c>
      <c r="B181" s="20"/>
      <c r="C181" s="20" t="s">
        <v>3736</v>
      </c>
      <c r="D181" s="20" t="str">
        <f>VLOOKUP(C181,'لیست پرسنل'!$B$1:$F$1008,3,FALSE)</f>
        <v>فکورصنعت</v>
      </c>
      <c r="E181" s="20" t="str">
        <f>VLOOKUP(C181,'لیست پرسنل'!$B$1:$F$1008,4,FALSE)</f>
        <v>انبار</v>
      </c>
      <c r="F181" s="20">
        <f>VLOOKUP(C181,'لیست پرسنل'!$B$1:$F$1008,2,FALSE)</f>
        <v>769</v>
      </c>
      <c r="G181" s="20" t="s">
        <v>6992</v>
      </c>
      <c r="H181" s="20"/>
      <c r="I181" s="20" t="s">
        <v>3481</v>
      </c>
      <c r="J181" s="20" t="s">
        <v>6994</v>
      </c>
      <c r="K181" s="20" t="s">
        <v>3825</v>
      </c>
      <c r="L181" s="19" t="s">
        <v>291</v>
      </c>
      <c r="M181" s="20"/>
      <c r="N181" s="20"/>
      <c r="O181" s="20"/>
      <c r="P181" s="20"/>
      <c r="Q181" s="20"/>
      <c r="R181" s="20"/>
    </row>
    <row r="182" spans="1:18" ht="24.9" customHeight="1">
      <c r="A182" s="20" t="s">
        <v>4349</v>
      </c>
      <c r="B182" s="20"/>
      <c r="C182" s="20" t="s">
        <v>3736</v>
      </c>
      <c r="D182" s="20" t="str">
        <f>VLOOKUP(C182,'لیست پرسنل'!$B$1:$F$1008,3,FALSE)</f>
        <v>فکورصنعت</v>
      </c>
      <c r="E182" s="20" t="str">
        <f>VLOOKUP(C182,'لیست پرسنل'!$B$1:$F$1008,4,FALSE)</f>
        <v>انبار</v>
      </c>
      <c r="F182" s="20">
        <f>VLOOKUP(C182,'لیست پرسنل'!$B$1:$F$1008,2,FALSE)</f>
        <v>769</v>
      </c>
      <c r="G182" s="20" t="s">
        <v>6992</v>
      </c>
      <c r="H182" s="20"/>
      <c r="I182" s="20" t="s">
        <v>3481</v>
      </c>
      <c r="J182" s="20" t="s">
        <v>6995</v>
      </c>
      <c r="K182" s="20" t="s">
        <v>3825</v>
      </c>
      <c r="L182" s="19" t="s">
        <v>291</v>
      </c>
      <c r="M182" s="20"/>
      <c r="N182" s="20"/>
      <c r="O182" s="20"/>
      <c r="P182" s="20"/>
      <c r="Q182" s="20"/>
      <c r="R182" s="20"/>
    </row>
    <row r="183" spans="1:18" ht="24.9" customHeight="1">
      <c r="A183" s="20" t="s">
        <v>4349</v>
      </c>
      <c r="B183" s="20"/>
      <c r="C183" s="20" t="s">
        <v>3736</v>
      </c>
      <c r="D183" s="20" t="str">
        <f>VLOOKUP(C183,'لیست پرسنل'!$B$1:$F$1008,3,FALSE)</f>
        <v>فکورصنعت</v>
      </c>
      <c r="E183" s="20" t="str">
        <f>VLOOKUP(C183,'لیست پرسنل'!$B$1:$F$1008,4,FALSE)</f>
        <v>انبار</v>
      </c>
      <c r="F183" s="20">
        <f>VLOOKUP(C183,'لیست پرسنل'!$B$1:$F$1008,2,FALSE)</f>
        <v>769</v>
      </c>
      <c r="G183" s="20" t="s">
        <v>6996</v>
      </c>
      <c r="H183" s="20"/>
      <c r="I183" s="20" t="s">
        <v>3481</v>
      </c>
      <c r="J183" s="20" t="s">
        <v>6995</v>
      </c>
      <c r="K183" s="20"/>
      <c r="L183" s="19" t="s">
        <v>291</v>
      </c>
      <c r="M183" s="20" t="s">
        <v>3825</v>
      </c>
      <c r="N183" s="20"/>
      <c r="O183" s="20"/>
      <c r="P183" s="20"/>
      <c r="Q183" s="20"/>
      <c r="R183" s="20"/>
    </row>
    <row r="184" spans="1:18" ht="24.9" customHeight="1">
      <c r="A184" s="20" t="s">
        <v>4349</v>
      </c>
      <c r="B184" s="20"/>
      <c r="C184" s="20" t="s">
        <v>3736</v>
      </c>
      <c r="D184" s="20" t="str">
        <f>VLOOKUP(C184,'لیست پرسنل'!$B$1:$F$1008,3,FALSE)</f>
        <v>فکورصنعت</v>
      </c>
      <c r="E184" s="20" t="str">
        <f>VLOOKUP(C184,'لیست پرسنل'!$B$1:$F$1008,4,FALSE)</f>
        <v>انبار</v>
      </c>
      <c r="F184" s="20">
        <f>VLOOKUP(C184,'لیست پرسنل'!$B$1:$F$1008,2,FALSE)</f>
        <v>769</v>
      </c>
      <c r="G184" s="20" t="s">
        <v>6992</v>
      </c>
      <c r="H184" s="20"/>
      <c r="I184" s="20" t="s">
        <v>3476</v>
      </c>
      <c r="J184" s="20" t="s">
        <v>6997</v>
      </c>
      <c r="K184" s="20" t="s">
        <v>3825</v>
      </c>
      <c r="L184" s="19" t="s">
        <v>291</v>
      </c>
      <c r="M184" s="20"/>
      <c r="N184" s="20"/>
      <c r="O184" s="20"/>
      <c r="P184" s="20"/>
      <c r="Q184" s="20"/>
      <c r="R184" s="20"/>
    </row>
    <row r="185" spans="1:18" ht="24.9" customHeight="1">
      <c r="A185" s="20" t="s">
        <v>4349</v>
      </c>
      <c r="B185" s="20"/>
      <c r="C185" s="20" t="s">
        <v>3736</v>
      </c>
      <c r="D185" s="20" t="str">
        <f>VLOOKUP(C185,'لیست پرسنل'!$B$1:$F$1008,3,FALSE)</f>
        <v>فکورصنعت</v>
      </c>
      <c r="E185" s="20" t="str">
        <f>VLOOKUP(C185,'لیست پرسنل'!$B$1:$F$1008,4,FALSE)</f>
        <v>انبار</v>
      </c>
      <c r="F185" s="20">
        <f>VLOOKUP(C185,'لیست پرسنل'!$B$1:$F$1008,2,FALSE)</f>
        <v>769</v>
      </c>
      <c r="G185" s="20" t="s">
        <v>6992</v>
      </c>
      <c r="H185" s="20"/>
      <c r="I185" s="20" t="s">
        <v>3476</v>
      </c>
      <c r="J185" s="20" t="s">
        <v>6997</v>
      </c>
      <c r="K185" s="20" t="s">
        <v>3825</v>
      </c>
      <c r="L185" s="19" t="s">
        <v>291</v>
      </c>
      <c r="M185" s="20"/>
      <c r="N185" s="20"/>
      <c r="O185" s="20"/>
      <c r="P185" s="20"/>
      <c r="Q185" s="20"/>
      <c r="R185" s="20"/>
    </row>
    <row r="186" spans="1:18" ht="24.9" customHeight="1">
      <c r="A186" s="20" t="s">
        <v>4349</v>
      </c>
      <c r="B186" s="20"/>
      <c r="C186" s="20" t="s">
        <v>3736</v>
      </c>
      <c r="D186" s="20" t="str">
        <f>VLOOKUP(C186,'لیست پرسنل'!$B$1:$F$1008,3,FALSE)</f>
        <v>فکورصنعت</v>
      </c>
      <c r="E186" s="20" t="str">
        <f>VLOOKUP(C186,'لیست پرسنل'!$B$1:$F$1008,4,FALSE)</f>
        <v>انبار</v>
      </c>
      <c r="F186" s="20">
        <f>VLOOKUP(C186,'لیست پرسنل'!$B$1:$F$1008,2,FALSE)</f>
        <v>769</v>
      </c>
      <c r="G186" s="20" t="s">
        <v>6992</v>
      </c>
      <c r="H186" s="20"/>
      <c r="I186" s="20" t="s">
        <v>3476</v>
      </c>
      <c r="J186" s="20" t="s">
        <v>6997</v>
      </c>
      <c r="K186" s="20" t="s">
        <v>3825</v>
      </c>
      <c r="L186" s="19" t="s">
        <v>291</v>
      </c>
      <c r="M186" s="20"/>
      <c r="N186" s="20"/>
      <c r="O186" s="20"/>
      <c r="P186" s="20"/>
      <c r="Q186" s="20"/>
      <c r="R186" s="20"/>
    </row>
    <row r="187" spans="1:18" ht="24.9" customHeight="1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</row>
    <row r="188" spans="1:18" ht="24.9" customHeight="1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</row>
    <row r="189" spans="1:18" ht="24.9" customHeight="1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</row>
    <row r="190" spans="1:18" ht="24.9" customHeight="1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</row>
    <row r="191" spans="1:18" ht="24.9" customHeight="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</row>
    <row r="192" spans="1:18" ht="24.9" customHeight="1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</row>
    <row r="193" spans="1:18" ht="24.9" customHeight="1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</row>
    <row r="194" spans="1:18" ht="24.9" customHeight="1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</row>
    <row r="195" spans="1:18" ht="24.9" customHeight="1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</row>
    <row r="196" spans="1:18" ht="24.9" customHeight="1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</row>
    <row r="197" spans="1:18" ht="24.9" customHeight="1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</row>
    <row r="198" spans="1:18" ht="24.9" customHeight="1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</row>
    <row r="199" spans="1:18" ht="24.9" customHeight="1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</row>
    <row r="200" spans="1:18" ht="24.9" customHeight="1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</row>
    <row r="201" spans="1:18" ht="24.9" customHeight="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</row>
    <row r="202" spans="1:18" ht="24.9" customHeight="1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</row>
    <row r="203" spans="1:18" ht="24.9" customHeight="1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</row>
    <row r="204" spans="1:18" ht="24.9" customHeight="1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</row>
    <row r="205" spans="1:18" ht="24.9" customHeight="1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</row>
    <row r="206" spans="1:18" ht="24.9" customHeight="1"/>
    <row r="207" spans="1:18" ht="24.9" customHeight="1"/>
    <row r="208" spans="1:18" ht="24.9" customHeight="1"/>
    <row r="209" ht="24.9" customHeight="1"/>
    <row r="210" ht="24.9" customHeight="1"/>
    <row r="211" ht="24.9" customHeight="1"/>
    <row r="212" ht="24.9" customHeight="1"/>
    <row r="213" ht="24.9" customHeight="1"/>
    <row r="214" ht="24.9" customHeight="1"/>
    <row r="215" ht="24.9" customHeight="1"/>
    <row r="216" ht="24.9" customHeight="1"/>
    <row r="217" ht="24.9" customHeight="1"/>
    <row r="218" ht="24.9" customHeight="1"/>
    <row r="219" ht="24.9" customHeight="1"/>
    <row r="220" ht="24.9" customHeight="1"/>
    <row r="221" ht="24.9" customHeight="1"/>
    <row r="222" ht="24.9" customHeight="1"/>
    <row r="223" ht="24.9" customHeight="1"/>
    <row r="224" ht="24.9" customHeight="1"/>
    <row r="225" ht="24.9" customHeight="1"/>
    <row r="226" ht="24.9" customHeight="1"/>
    <row r="227" ht="24.9" customHeight="1"/>
    <row r="228" ht="24.9" customHeight="1"/>
    <row r="229" ht="24.9" customHeight="1"/>
    <row r="230" ht="24.9" customHeight="1"/>
    <row r="231" ht="24.9" customHeight="1"/>
    <row r="232" ht="24.9" customHeight="1"/>
    <row r="233" ht="24.9" customHeight="1"/>
    <row r="234" ht="24.9" customHeight="1"/>
    <row r="235" ht="24.9" customHeight="1"/>
    <row r="236" ht="24.9" customHeight="1"/>
    <row r="237" ht="24.9" customHeight="1"/>
    <row r="238" ht="24.9" customHeight="1"/>
    <row r="239" ht="24.9" customHeight="1"/>
    <row r="240" ht="24.9" customHeight="1"/>
    <row r="241" ht="24.9" customHeight="1"/>
    <row r="242" ht="24.9" customHeight="1"/>
    <row r="243" ht="24.9" customHeight="1"/>
    <row r="244" ht="24.9" customHeight="1"/>
    <row r="245" ht="24.9" customHeight="1"/>
    <row r="246" ht="24.9" customHeight="1"/>
    <row r="247" ht="24.9" customHeight="1"/>
    <row r="248" ht="24.9" customHeight="1"/>
    <row r="249" ht="24.9" customHeight="1"/>
    <row r="250" ht="24.9" customHeight="1"/>
    <row r="251" ht="24.9" customHeight="1"/>
    <row r="252" ht="24.9" customHeight="1"/>
    <row r="253" ht="24.9" customHeight="1"/>
    <row r="254" ht="24.9" customHeight="1"/>
    <row r="255" ht="24.9" customHeight="1"/>
    <row r="256" ht="24.9" customHeight="1"/>
    <row r="257" ht="24.9" customHeight="1"/>
    <row r="258" ht="24.9" customHeight="1"/>
    <row r="259" ht="24.9" customHeight="1"/>
    <row r="260" ht="24.9" customHeight="1"/>
    <row r="261" ht="24.9" customHeight="1"/>
    <row r="262" ht="24.9" customHeight="1"/>
    <row r="263" ht="24.9" customHeight="1"/>
    <row r="264" ht="24.9" customHeight="1"/>
    <row r="265" ht="24.9" customHeight="1"/>
    <row r="266" ht="24.9" customHeight="1"/>
    <row r="267" ht="24.9" customHeight="1"/>
    <row r="268" ht="24.9" customHeight="1"/>
    <row r="269" ht="24.9" customHeight="1"/>
    <row r="270" ht="24.9" customHeight="1"/>
    <row r="271" ht="24.9" customHeight="1"/>
    <row r="272" ht="24.9" customHeight="1"/>
    <row r="273" ht="24.9" customHeight="1"/>
    <row r="274" ht="24.9" customHeight="1"/>
    <row r="275" ht="24.9" customHeight="1"/>
    <row r="276" ht="24.9" customHeight="1"/>
    <row r="277" ht="24.9" customHeight="1"/>
    <row r="278" ht="24.9" customHeight="1"/>
    <row r="279" ht="24.9" customHeight="1"/>
    <row r="280" ht="24.9" customHeight="1"/>
    <row r="281" ht="24.9" customHeight="1"/>
    <row r="282" ht="24.9" customHeight="1"/>
    <row r="283" ht="24.9" customHeight="1"/>
    <row r="284" ht="24.9" customHeight="1"/>
    <row r="285" ht="24.9" customHeight="1"/>
    <row r="286" ht="24.9" customHeight="1"/>
    <row r="287" ht="24.9" customHeight="1"/>
    <row r="288" ht="24.9" customHeight="1"/>
    <row r="289" ht="24.9" customHeight="1"/>
    <row r="290" ht="24.9" customHeight="1"/>
    <row r="291" ht="24.9" customHeight="1"/>
    <row r="292" ht="24.9" customHeight="1"/>
    <row r="293" ht="24.9" customHeight="1"/>
    <row r="294" ht="24.9" customHeight="1"/>
    <row r="295" ht="24.9" customHeight="1"/>
    <row r="296" ht="24.9" customHeight="1"/>
    <row r="297" ht="24.9" customHeight="1"/>
    <row r="298" ht="24.9" customHeight="1"/>
    <row r="299" ht="24.9" customHeight="1"/>
    <row r="300" ht="24.9" customHeight="1"/>
    <row r="301" ht="24.9" customHeight="1"/>
    <row r="302" ht="24.9" customHeight="1"/>
    <row r="303" ht="24.9" customHeight="1"/>
    <row r="304" ht="24.9" customHeight="1"/>
    <row r="305" ht="24.9" customHeight="1"/>
    <row r="306" ht="24.9" customHeight="1"/>
    <row r="307" ht="24.9" customHeight="1"/>
    <row r="308" ht="24.9" customHeight="1"/>
    <row r="309" ht="24.9" customHeight="1"/>
    <row r="310" ht="24.9" customHeight="1"/>
    <row r="311" ht="24.9" customHeight="1"/>
    <row r="312" ht="24.9" customHeight="1"/>
    <row r="313" ht="24.9" customHeight="1"/>
    <row r="314" ht="24.9" customHeight="1"/>
    <row r="315" ht="24.9" customHeight="1"/>
    <row r="316" ht="24.9" customHeight="1"/>
    <row r="317" ht="24.9" customHeight="1"/>
    <row r="318" ht="24.9" customHeight="1"/>
    <row r="319" ht="24.9" customHeight="1"/>
    <row r="320" ht="24.9" customHeight="1"/>
    <row r="321" ht="24.9" customHeight="1"/>
    <row r="322" ht="24.9" customHeight="1"/>
    <row r="323" ht="24.9" customHeight="1"/>
    <row r="324" ht="24.9" customHeight="1"/>
    <row r="325" ht="24.9" customHeight="1"/>
    <row r="326" ht="24.9" customHeight="1"/>
    <row r="327" ht="24.9" customHeight="1"/>
    <row r="328" ht="24.9" customHeight="1"/>
    <row r="329" ht="24.9" customHeight="1"/>
  </sheetData>
  <customSheetViews>
    <customSheetView guid="{4E9100F2-A511-4BAB-A26D-F817BBFCED8B}">
      <selection activeCell="P167" sqref="P167"/>
      <pageMargins left="0.7" right="0.7" top="0.75" bottom="0.75" header="0.3" footer="0.3"/>
    </customSheetView>
  </customSheetViews>
  <conditionalFormatting sqref="K2 M2">
    <cfRule type="duplicateValues" dxfId="737" priority="301"/>
  </conditionalFormatting>
  <conditionalFormatting sqref="L2">
    <cfRule type="duplicateValues" dxfId="736" priority="300"/>
  </conditionalFormatting>
  <conditionalFormatting sqref="L2">
    <cfRule type="duplicateValues" dxfId="735" priority="299"/>
  </conditionalFormatting>
  <conditionalFormatting sqref="L2">
    <cfRule type="duplicateValues" dxfId="734" priority="298"/>
  </conditionalFormatting>
  <conditionalFormatting sqref="L2">
    <cfRule type="duplicateValues" dxfId="733" priority="297"/>
  </conditionalFormatting>
  <conditionalFormatting sqref="L2">
    <cfRule type="duplicateValues" dxfId="732" priority="296"/>
  </conditionalFormatting>
  <conditionalFormatting sqref="L2">
    <cfRule type="duplicateValues" dxfId="731" priority="295"/>
  </conditionalFormatting>
  <conditionalFormatting sqref="L2">
    <cfRule type="duplicateValues" dxfId="730" priority="294"/>
  </conditionalFormatting>
  <conditionalFormatting sqref="L2">
    <cfRule type="duplicateValues" dxfId="729" priority="293"/>
  </conditionalFormatting>
  <conditionalFormatting sqref="L2">
    <cfRule type="duplicateValues" dxfId="728" priority="292"/>
  </conditionalFormatting>
  <conditionalFormatting sqref="K2">
    <cfRule type="duplicateValues" dxfId="727" priority="291"/>
  </conditionalFormatting>
  <conditionalFormatting sqref="K9:K10">
    <cfRule type="duplicateValues" dxfId="726" priority="290"/>
  </conditionalFormatting>
  <conditionalFormatting sqref="K7:K8">
    <cfRule type="duplicateValues" dxfId="725" priority="289"/>
  </conditionalFormatting>
  <conditionalFormatting sqref="P3 P5:P7 M9 M10:N10 K3:K6 M3:M4 M5:N8">
    <cfRule type="duplicateValues" dxfId="724" priority="288"/>
  </conditionalFormatting>
  <conditionalFormatting sqref="L3:L10">
    <cfRule type="duplicateValues" dxfId="723" priority="287"/>
  </conditionalFormatting>
  <conditionalFormatting sqref="L3:L10">
    <cfRule type="duplicateValues" dxfId="722" priority="286"/>
  </conditionalFormatting>
  <conditionalFormatting sqref="L3:L10">
    <cfRule type="duplicateValues" dxfId="721" priority="285"/>
  </conditionalFormatting>
  <conditionalFormatting sqref="L3:L10">
    <cfRule type="duplicateValues" dxfId="720" priority="284"/>
  </conditionalFormatting>
  <conditionalFormatting sqref="L3:L10">
    <cfRule type="duplicateValues" dxfId="719" priority="283"/>
  </conditionalFormatting>
  <conditionalFormatting sqref="L3:L10">
    <cfRule type="duplicateValues" dxfId="718" priority="282"/>
  </conditionalFormatting>
  <conditionalFormatting sqref="L3:L10">
    <cfRule type="duplicateValues" dxfId="717" priority="281"/>
  </conditionalFormatting>
  <conditionalFormatting sqref="L3:L10">
    <cfRule type="duplicateValues" dxfId="716" priority="280"/>
  </conditionalFormatting>
  <conditionalFormatting sqref="L3:L10">
    <cfRule type="duplicateValues" dxfId="715" priority="279"/>
  </conditionalFormatting>
  <conditionalFormatting sqref="K3:K10">
    <cfRule type="duplicateValues" dxfId="714" priority="278"/>
  </conditionalFormatting>
  <conditionalFormatting sqref="K14:K15">
    <cfRule type="duplicateValues" dxfId="713" priority="277"/>
  </conditionalFormatting>
  <conditionalFormatting sqref="K32">
    <cfRule type="duplicateValues" dxfId="712" priority="276"/>
  </conditionalFormatting>
  <conditionalFormatting sqref="M32">
    <cfRule type="duplicateValues" dxfId="711" priority="275"/>
  </conditionalFormatting>
  <conditionalFormatting sqref="K30:K31 K11:K12 K33">
    <cfRule type="duplicateValues" dxfId="710" priority="274"/>
  </conditionalFormatting>
  <conditionalFormatting sqref="L11:L16 L30:L33">
    <cfRule type="duplicateValues" dxfId="709" priority="273"/>
  </conditionalFormatting>
  <conditionalFormatting sqref="L11:L16 L30:L33">
    <cfRule type="duplicateValues" dxfId="708" priority="272"/>
  </conditionalFormatting>
  <conditionalFormatting sqref="K16">
    <cfRule type="duplicateValues" dxfId="707" priority="271"/>
  </conditionalFormatting>
  <conditionalFormatting sqref="L27:L28">
    <cfRule type="duplicateValues" dxfId="706" priority="270"/>
  </conditionalFormatting>
  <conditionalFormatting sqref="L27:L28">
    <cfRule type="duplicateValues" dxfId="705" priority="269"/>
  </conditionalFormatting>
  <conditionalFormatting sqref="L27:L28">
    <cfRule type="duplicateValues" dxfId="704" priority="268"/>
  </conditionalFormatting>
  <conditionalFormatting sqref="L27:L28">
    <cfRule type="duplicateValues" dxfId="703" priority="267"/>
  </conditionalFormatting>
  <conditionalFormatting sqref="L27:L28">
    <cfRule type="duplicateValues" dxfId="702" priority="266"/>
  </conditionalFormatting>
  <conditionalFormatting sqref="L30:L33 L11:L16">
    <cfRule type="duplicateValues" dxfId="701" priority="265"/>
  </conditionalFormatting>
  <conditionalFormatting sqref="L30:L33 L11:L16">
    <cfRule type="duplicateValues" dxfId="700" priority="264"/>
  </conditionalFormatting>
  <conditionalFormatting sqref="L30:L33 L11:L16">
    <cfRule type="duplicateValues" dxfId="699" priority="263"/>
  </conditionalFormatting>
  <conditionalFormatting sqref="L11:L33">
    <cfRule type="duplicateValues" dxfId="698" priority="262"/>
  </conditionalFormatting>
  <conditionalFormatting sqref="L11:L33">
    <cfRule type="duplicateValues" dxfId="697" priority="261"/>
  </conditionalFormatting>
  <conditionalFormatting sqref="L11:L33">
    <cfRule type="duplicateValues" dxfId="696" priority="260"/>
  </conditionalFormatting>
  <conditionalFormatting sqref="L11:L33">
    <cfRule type="duplicateValues" dxfId="695" priority="259"/>
  </conditionalFormatting>
  <conditionalFormatting sqref="K11:K33">
    <cfRule type="duplicateValues" dxfId="694" priority="258"/>
  </conditionalFormatting>
  <conditionalFormatting sqref="K34">
    <cfRule type="duplicateValues" dxfId="693" priority="257"/>
  </conditionalFormatting>
  <conditionalFormatting sqref="L34">
    <cfRule type="duplicateValues" dxfId="692" priority="256"/>
  </conditionalFormatting>
  <conditionalFormatting sqref="L34">
    <cfRule type="duplicateValues" dxfId="691" priority="255"/>
  </conditionalFormatting>
  <conditionalFormatting sqref="L34">
    <cfRule type="duplicateValues" dxfId="690" priority="254"/>
  </conditionalFormatting>
  <conditionalFormatting sqref="L34">
    <cfRule type="duplicateValues" dxfId="689" priority="253"/>
  </conditionalFormatting>
  <conditionalFormatting sqref="L34">
    <cfRule type="duplicateValues" dxfId="688" priority="252"/>
  </conditionalFormatting>
  <conditionalFormatting sqref="L34">
    <cfRule type="duplicateValues" dxfId="687" priority="251"/>
  </conditionalFormatting>
  <conditionalFormatting sqref="L34">
    <cfRule type="duplicateValues" dxfId="686" priority="250"/>
  </conditionalFormatting>
  <conditionalFormatting sqref="L34">
    <cfRule type="duplicateValues" dxfId="685" priority="249"/>
  </conditionalFormatting>
  <conditionalFormatting sqref="L34">
    <cfRule type="duplicateValues" dxfId="684" priority="248"/>
  </conditionalFormatting>
  <conditionalFormatting sqref="K34">
    <cfRule type="duplicateValues" dxfId="683" priority="247"/>
  </conditionalFormatting>
  <conditionalFormatting sqref="K46">
    <cfRule type="duplicateValues" dxfId="682" priority="246"/>
  </conditionalFormatting>
  <conditionalFormatting sqref="M46">
    <cfRule type="duplicateValues" dxfId="681" priority="245"/>
  </conditionalFormatting>
  <conditionalFormatting sqref="K49">
    <cfRule type="duplicateValues" dxfId="680" priority="244"/>
  </conditionalFormatting>
  <conditionalFormatting sqref="K62">
    <cfRule type="duplicateValues" dxfId="679" priority="243"/>
  </conditionalFormatting>
  <conditionalFormatting sqref="K47">
    <cfRule type="duplicateValues" dxfId="678" priority="242"/>
  </conditionalFormatting>
  <conditionalFormatting sqref="K36">
    <cfRule type="duplicateValues" dxfId="677" priority="198"/>
  </conditionalFormatting>
  <conditionalFormatting sqref="O66 K66 M66">
    <cfRule type="duplicateValues" dxfId="676" priority="193"/>
  </conditionalFormatting>
  <conditionalFormatting sqref="L35:L50 L62:L66">
    <cfRule type="duplicateValues" dxfId="675" priority="167"/>
  </conditionalFormatting>
  <conditionalFormatting sqref="L51:L61">
    <cfRule type="duplicateValues" dxfId="674" priority="165"/>
  </conditionalFormatting>
  <conditionalFormatting sqref="L35:L66">
    <cfRule type="duplicateValues" dxfId="673" priority="156"/>
  </conditionalFormatting>
  <conditionalFormatting sqref="K35:K66">
    <cfRule type="duplicateValues" dxfId="672" priority="147"/>
  </conditionalFormatting>
  <conditionalFormatting sqref="K67:K70 M67:M70 O67:O70">
    <cfRule type="duplicateValues" dxfId="671" priority="146"/>
  </conditionalFormatting>
  <conditionalFormatting sqref="L67:L70">
    <cfRule type="duplicateValues" dxfId="670" priority="145"/>
  </conditionalFormatting>
  <conditionalFormatting sqref="L67:L70">
    <cfRule type="duplicateValues" dxfId="669" priority="144"/>
  </conditionalFormatting>
  <conditionalFormatting sqref="L67:L70">
    <cfRule type="duplicateValues" dxfId="668" priority="143"/>
  </conditionalFormatting>
  <conditionalFormatting sqref="L67:L70">
    <cfRule type="duplicateValues" dxfId="667" priority="142"/>
  </conditionalFormatting>
  <conditionalFormatting sqref="L67:L70">
    <cfRule type="duplicateValues" dxfId="666" priority="141"/>
  </conditionalFormatting>
  <conditionalFormatting sqref="L67:L70">
    <cfRule type="duplicateValues" dxfId="665" priority="140"/>
  </conditionalFormatting>
  <conditionalFormatting sqref="L67:L70">
    <cfRule type="duplicateValues" dxfId="664" priority="139"/>
  </conditionalFormatting>
  <conditionalFormatting sqref="L67:L70">
    <cfRule type="duplicateValues" dxfId="663" priority="138"/>
  </conditionalFormatting>
  <conditionalFormatting sqref="L67:L70">
    <cfRule type="duplicateValues" dxfId="662" priority="137"/>
  </conditionalFormatting>
  <conditionalFormatting sqref="K67:K70">
    <cfRule type="duplicateValues" dxfId="661" priority="136"/>
  </conditionalFormatting>
  <conditionalFormatting sqref="K78 K80:K81">
    <cfRule type="duplicateValues" dxfId="660" priority="135"/>
  </conditionalFormatting>
  <conditionalFormatting sqref="O79 M79">
    <cfRule type="duplicateValues" dxfId="659" priority="134"/>
  </conditionalFormatting>
  <conditionalFormatting sqref="K76">
    <cfRule type="duplicateValues" dxfId="658" priority="133"/>
  </conditionalFormatting>
  <conditionalFormatting sqref="L71:L82">
    <cfRule type="duplicateValues" dxfId="657" priority="132"/>
  </conditionalFormatting>
  <conditionalFormatting sqref="L71:L82">
    <cfRule type="duplicateValues" dxfId="656" priority="131"/>
  </conditionalFormatting>
  <conditionalFormatting sqref="L71:L82">
    <cfRule type="duplicateValues" dxfId="655" priority="130"/>
  </conditionalFormatting>
  <conditionalFormatting sqref="L71:L82">
    <cfRule type="duplicateValues" dxfId="654" priority="129"/>
  </conditionalFormatting>
  <conditionalFormatting sqref="L71:L82">
    <cfRule type="duplicateValues" dxfId="653" priority="128"/>
  </conditionalFormatting>
  <conditionalFormatting sqref="L71:L82">
    <cfRule type="duplicateValues" dxfId="652" priority="127"/>
  </conditionalFormatting>
  <conditionalFormatting sqref="L71:L82">
    <cfRule type="duplicateValues" dxfId="651" priority="126"/>
  </conditionalFormatting>
  <conditionalFormatting sqref="L71:L82">
    <cfRule type="duplicateValues" dxfId="650" priority="125"/>
  </conditionalFormatting>
  <conditionalFormatting sqref="L71:L82">
    <cfRule type="duplicateValues" dxfId="649" priority="124"/>
  </conditionalFormatting>
  <conditionalFormatting sqref="K71:K83">
    <cfRule type="duplicateValues" dxfId="648" priority="123"/>
  </conditionalFormatting>
  <conditionalFormatting sqref="M84:M85 R84:R85">
    <cfRule type="duplicateValues" dxfId="647" priority="122"/>
  </conditionalFormatting>
  <conditionalFormatting sqref="K84:K85">
    <cfRule type="duplicateValues" dxfId="646" priority="112"/>
  </conditionalFormatting>
  <conditionalFormatting sqref="L112:L113 L97:L110">
    <cfRule type="duplicateValues" dxfId="645" priority="111"/>
  </conditionalFormatting>
  <conditionalFormatting sqref="L112:L113">
    <cfRule type="duplicateValues" dxfId="644" priority="110"/>
  </conditionalFormatting>
  <conditionalFormatting sqref="K96:K113">
    <cfRule type="duplicateValues" dxfId="643" priority="109"/>
  </conditionalFormatting>
  <conditionalFormatting sqref="L112:L113">
    <cfRule type="duplicateValues" dxfId="642" priority="108"/>
  </conditionalFormatting>
  <conditionalFormatting sqref="L112:L113">
    <cfRule type="duplicateValues" dxfId="641" priority="107"/>
  </conditionalFormatting>
  <conditionalFormatting sqref="L112:L113">
    <cfRule type="duplicateValues" dxfId="640" priority="106"/>
  </conditionalFormatting>
  <conditionalFormatting sqref="L112:L113">
    <cfRule type="duplicateValues" dxfId="639" priority="105"/>
  </conditionalFormatting>
  <conditionalFormatting sqref="L112:L113">
    <cfRule type="duplicateValues" dxfId="638" priority="104"/>
  </conditionalFormatting>
  <conditionalFormatting sqref="L112:L113">
    <cfRule type="duplicateValues" dxfId="637" priority="103"/>
  </conditionalFormatting>
  <conditionalFormatting sqref="L111">
    <cfRule type="duplicateValues" dxfId="636" priority="102"/>
  </conditionalFormatting>
  <conditionalFormatting sqref="L111">
    <cfRule type="duplicateValues" dxfId="635" priority="101"/>
  </conditionalFormatting>
  <conditionalFormatting sqref="L111">
    <cfRule type="duplicateValues" dxfId="634" priority="100"/>
  </conditionalFormatting>
  <conditionalFormatting sqref="L111">
    <cfRule type="duplicateValues" dxfId="633" priority="99"/>
  </conditionalFormatting>
  <conditionalFormatting sqref="L111">
    <cfRule type="duplicateValues" dxfId="632" priority="98"/>
  </conditionalFormatting>
  <conditionalFormatting sqref="L111">
    <cfRule type="duplicateValues" dxfId="631" priority="97"/>
  </conditionalFormatting>
  <conditionalFormatting sqref="L111">
    <cfRule type="duplicateValues" dxfId="630" priority="96"/>
  </conditionalFormatting>
  <conditionalFormatting sqref="L111">
    <cfRule type="duplicateValues" dxfId="629" priority="95"/>
  </conditionalFormatting>
  <conditionalFormatting sqref="L86:L96">
    <cfRule type="duplicateValues" dxfId="628" priority="94"/>
  </conditionalFormatting>
  <conditionalFormatting sqref="L86:L96">
    <cfRule type="duplicateValues" dxfId="627" priority="93"/>
  </conditionalFormatting>
  <conditionalFormatting sqref="L86:L96">
    <cfRule type="duplicateValues" dxfId="626" priority="92"/>
  </conditionalFormatting>
  <conditionalFormatting sqref="L86:L96">
    <cfRule type="duplicateValues" dxfId="625" priority="91"/>
  </conditionalFormatting>
  <conditionalFormatting sqref="L86:L96">
    <cfRule type="duplicateValues" dxfId="624" priority="90"/>
  </conditionalFormatting>
  <conditionalFormatting sqref="L86:L96">
    <cfRule type="duplicateValues" dxfId="623" priority="89"/>
  </conditionalFormatting>
  <conditionalFormatting sqref="L86:L96">
    <cfRule type="duplicateValues" dxfId="622" priority="88"/>
  </conditionalFormatting>
  <conditionalFormatting sqref="L86:L96">
    <cfRule type="duplicateValues" dxfId="621" priority="87"/>
  </conditionalFormatting>
  <conditionalFormatting sqref="L86:L96">
    <cfRule type="duplicateValues" dxfId="620" priority="86"/>
  </conditionalFormatting>
  <conditionalFormatting sqref="L97:L113">
    <cfRule type="duplicateValues" dxfId="619" priority="85"/>
  </conditionalFormatting>
  <conditionalFormatting sqref="K86:K113">
    <cfRule type="duplicateValues" dxfId="618" priority="84"/>
  </conditionalFormatting>
  <conditionalFormatting sqref="M114:O114">
    <cfRule type="duplicateValues" dxfId="617" priority="83"/>
  </conditionalFormatting>
  <conditionalFormatting sqref="L114">
    <cfRule type="duplicateValues" dxfId="616" priority="82"/>
  </conditionalFormatting>
  <conditionalFormatting sqref="L114">
    <cfRule type="duplicateValues" dxfId="615" priority="81"/>
  </conditionalFormatting>
  <conditionalFormatting sqref="L114">
    <cfRule type="duplicateValues" dxfId="614" priority="80"/>
  </conditionalFormatting>
  <conditionalFormatting sqref="L114">
    <cfRule type="duplicateValues" dxfId="613" priority="79"/>
  </conditionalFormatting>
  <conditionalFormatting sqref="L114">
    <cfRule type="duplicateValues" dxfId="612" priority="78"/>
  </conditionalFormatting>
  <conditionalFormatting sqref="L114">
    <cfRule type="duplicateValues" dxfId="611" priority="77"/>
  </conditionalFormatting>
  <conditionalFormatting sqref="L114">
    <cfRule type="duplicateValues" dxfId="610" priority="76"/>
  </conditionalFormatting>
  <conditionalFormatting sqref="L114">
    <cfRule type="duplicateValues" dxfId="609" priority="75"/>
  </conditionalFormatting>
  <conditionalFormatting sqref="L114">
    <cfRule type="duplicateValues" dxfId="608" priority="74"/>
  </conditionalFormatting>
  <conditionalFormatting sqref="K114">
    <cfRule type="duplicateValues" dxfId="607" priority="73"/>
  </conditionalFormatting>
  <conditionalFormatting sqref="L115">
    <cfRule type="duplicateValues" dxfId="606" priority="72"/>
  </conditionalFormatting>
  <conditionalFormatting sqref="L115">
    <cfRule type="duplicateValues" dxfId="605" priority="71"/>
  </conditionalFormatting>
  <conditionalFormatting sqref="K115">
    <cfRule type="duplicateValues" dxfId="604" priority="70"/>
  </conditionalFormatting>
  <conditionalFormatting sqref="L115">
    <cfRule type="duplicateValues" dxfId="603" priority="69"/>
  </conditionalFormatting>
  <conditionalFormatting sqref="L115">
    <cfRule type="duplicateValues" dxfId="602" priority="68"/>
  </conditionalFormatting>
  <conditionalFormatting sqref="L115">
    <cfRule type="duplicateValues" dxfId="601" priority="67"/>
  </conditionalFormatting>
  <conditionalFormatting sqref="L115">
    <cfRule type="duplicateValues" dxfId="600" priority="66"/>
  </conditionalFormatting>
  <conditionalFormatting sqref="L115">
    <cfRule type="duplicateValues" dxfId="599" priority="65"/>
  </conditionalFormatting>
  <conditionalFormatting sqref="L115">
    <cfRule type="duplicateValues" dxfId="598" priority="64"/>
  </conditionalFormatting>
  <conditionalFormatting sqref="L115">
    <cfRule type="duplicateValues" dxfId="597" priority="63"/>
  </conditionalFormatting>
  <conditionalFormatting sqref="K115">
    <cfRule type="duplicateValues" dxfId="596" priority="62"/>
  </conditionalFormatting>
  <conditionalFormatting sqref="L116:L141">
    <cfRule type="duplicateValues" dxfId="595" priority="61"/>
  </conditionalFormatting>
  <conditionalFormatting sqref="L116:L141">
    <cfRule type="duplicateValues" dxfId="594" priority="60"/>
  </conditionalFormatting>
  <conditionalFormatting sqref="K116:K117">
    <cfRule type="duplicateValues" dxfId="593" priority="59"/>
  </conditionalFormatting>
  <conditionalFormatting sqref="L116:L141">
    <cfRule type="duplicateValues" dxfId="592" priority="58"/>
  </conditionalFormatting>
  <conditionalFormatting sqref="L116:L141">
    <cfRule type="duplicateValues" dxfId="591" priority="57"/>
  </conditionalFormatting>
  <conditionalFormatting sqref="L116:L141">
    <cfRule type="duplicateValues" dxfId="590" priority="56"/>
  </conditionalFormatting>
  <conditionalFormatting sqref="L116:L141">
    <cfRule type="duplicateValues" dxfId="589" priority="55"/>
  </conditionalFormatting>
  <conditionalFormatting sqref="L116:L141">
    <cfRule type="duplicateValues" dxfId="588" priority="54"/>
  </conditionalFormatting>
  <conditionalFormatting sqref="L116:L141">
    <cfRule type="duplicateValues" dxfId="587" priority="53"/>
  </conditionalFormatting>
  <conditionalFormatting sqref="L116:L141">
    <cfRule type="duplicateValues" dxfId="586" priority="52"/>
  </conditionalFormatting>
  <conditionalFormatting sqref="K116:K141">
    <cfRule type="duplicateValues" dxfId="585" priority="51"/>
  </conditionalFormatting>
  <conditionalFormatting sqref="L142:L151">
    <cfRule type="duplicateValues" dxfId="584" priority="50"/>
  </conditionalFormatting>
  <conditionalFormatting sqref="L142:L151">
    <cfRule type="duplicateValues" dxfId="583" priority="49"/>
  </conditionalFormatting>
  <conditionalFormatting sqref="L142:L151">
    <cfRule type="duplicateValues" dxfId="582" priority="48"/>
  </conditionalFormatting>
  <conditionalFormatting sqref="L142:L151">
    <cfRule type="duplicateValues" dxfId="581" priority="47"/>
  </conditionalFormatting>
  <conditionalFormatting sqref="L142:L151">
    <cfRule type="duplicateValues" dxfId="580" priority="46"/>
  </conditionalFormatting>
  <conditionalFormatting sqref="L142:L151">
    <cfRule type="duplicateValues" dxfId="579" priority="45"/>
  </conditionalFormatting>
  <conditionalFormatting sqref="L142:L151">
    <cfRule type="duplicateValues" dxfId="578" priority="44"/>
  </conditionalFormatting>
  <conditionalFormatting sqref="L142:L151">
    <cfRule type="duplicateValues" dxfId="577" priority="43"/>
  </conditionalFormatting>
  <conditionalFormatting sqref="L142:L151">
    <cfRule type="duplicateValues" dxfId="576" priority="42"/>
  </conditionalFormatting>
  <conditionalFormatting sqref="K142:K151">
    <cfRule type="duplicateValues" dxfId="575" priority="41"/>
  </conditionalFormatting>
  <conditionalFormatting sqref="L152:L159">
    <cfRule type="duplicateValues" dxfId="574" priority="40"/>
  </conditionalFormatting>
  <conditionalFormatting sqref="L152:L159">
    <cfRule type="duplicateValues" dxfId="573" priority="39"/>
  </conditionalFormatting>
  <conditionalFormatting sqref="L152:L159">
    <cfRule type="duplicateValues" dxfId="572" priority="38"/>
  </conditionalFormatting>
  <conditionalFormatting sqref="L152:L159">
    <cfRule type="duplicateValues" dxfId="571" priority="37"/>
  </conditionalFormatting>
  <conditionalFormatting sqref="L152:L159">
    <cfRule type="duplicateValues" dxfId="570" priority="36"/>
  </conditionalFormatting>
  <conditionalFormatting sqref="L152:O159">
    <cfRule type="duplicateValues" dxfId="569" priority="35"/>
  </conditionalFormatting>
  <conditionalFormatting sqref="L152:L159">
    <cfRule type="duplicateValues" dxfId="568" priority="34"/>
  </conditionalFormatting>
  <conditionalFormatting sqref="L152:L159">
    <cfRule type="duplicateValues" dxfId="567" priority="33"/>
  </conditionalFormatting>
  <conditionalFormatting sqref="K152:K159">
    <cfRule type="duplicateValues" dxfId="566" priority="32"/>
  </conditionalFormatting>
  <conditionalFormatting sqref="L83:L85">
    <cfRule type="duplicateValues" dxfId="565" priority="22"/>
  </conditionalFormatting>
  <conditionalFormatting sqref="L83:L85">
    <cfRule type="duplicateValues" dxfId="564" priority="21"/>
  </conditionalFormatting>
  <conditionalFormatting sqref="L83:L85">
    <cfRule type="duplicateValues" dxfId="563" priority="20"/>
  </conditionalFormatting>
  <conditionalFormatting sqref="L83:L85">
    <cfRule type="duplicateValues" dxfId="562" priority="19"/>
  </conditionalFormatting>
  <conditionalFormatting sqref="L83:L85">
    <cfRule type="duplicateValues" dxfId="561" priority="18"/>
  </conditionalFormatting>
  <conditionalFormatting sqref="L83:L85">
    <cfRule type="duplicateValues" dxfId="560" priority="17"/>
  </conditionalFormatting>
  <conditionalFormatting sqref="L83:L85">
    <cfRule type="duplicateValues" dxfId="559" priority="16"/>
  </conditionalFormatting>
  <conditionalFormatting sqref="L83:L85">
    <cfRule type="duplicateValues" dxfId="558" priority="15"/>
  </conditionalFormatting>
  <conditionalFormatting sqref="L83:L85">
    <cfRule type="duplicateValues" dxfId="557" priority="14"/>
  </conditionalFormatting>
  <conditionalFormatting sqref="O162:O163">
    <cfRule type="duplicateValues" dxfId="556" priority="13"/>
  </conditionalFormatting>
  <conditionalFormatting sqref="M161:M163 M169 P165:P166 M165:M166 O169">
    <cfRule type="duplicateValues" dxfId="555" priority="12"/>
  </conditionalFormatting>
  <conditionalFormatting sqref="L160:L186">
    <cfRule type="duplicateValues" dxfId="554" priority="11"/>
  </conditionalFormatting>
  <conditionalFormatting sqref="L160:L186">
    <cfRule type="duplicateValues" dxfId="553" priority="10"/>
  </conditionalFormatting>
  <conditionalFormatting sqref="L160:L186">
    <cfRule type="duplicateValues" dxfId="552" priority="9"/>
  </conditionalFormatting>
  <conditionalFormatting sqref="L160:L186">
    <cfRule type="duplicateValues" dxfId="551" priority="8"/>
  </conditionalFormatting>
  <conditionalFormatting sqref="L160:L186">
    <cfRule type="duplicateValues" dxfId="550" priority="7"/>
  </conditionalFormatting>
  <conditionalFormatting sqref="L160:L186">
    <cfRule type="duplicateValues" dxfId="549" priority="6"/>
  </conditionalFormatting>
  <conditionalFormatting sqref="L160:L186">
    <cfRule type="duplicateValues" dxfId="548" priority="5"/>
  </conditionalFormatting>
  <conditionalFormatting sqref="L160:L186">
    <cfRule type="duplicateValues" dxfId="547" priority="4"/>
  </conditionalFormatting>
  <conditionalFormatting sqref="L160:L186">
    <cfRule type="duplicateValues" dxfId="546" priority="3"/>
  </conditionalFormatting>
  <conditionalFormatting sqref="L160:L186">
    <cfRule type="duplicateValues" dxfId="545" priority="2"/>
  </conditionalFormatting>
  <conditionalFormatting sqref="M170:R177">
    <cfRule type="duplicateValues" dxfId="54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</sheetPr>
  <dimension ref="A2:K4"/>
  <sheetViews>
    <sheetView rightToLeft="1" zoomScale="70" zoomScaleNormal="70" workbookViewId="0">
      <selection activeCell="C11" sqref="C11"/>
    </sheetView>
  </sheetViews>
  <sheetFormatPr defaultRowHeight="14.4"/>
  <cols>
    <col min="1" max="1" width="5.6640625" bestFit="1" customWidth="1"/>
    <col min="2" max="2" width="12.88671875" bestFit="1" customWidth="1"/>
    <col min="3" max="3" width="12.33203125" bestFit="1" customWidth="1"/>
    <col min="4" max="4" width="8" bestFit="1" customWidth="1"/>
    <col min="5" max="5" width="2.88671875" bestFit="1" customWidth="1"/>
    <col min="6" max="6" width="20" bestFit="1" customWidth="1"/>
    <col min="7" max="7" width="11.33203125" bestFit="1" customWidth="1"/>
    <col min="8" max="8" width="13.109375" bestFit="1" customWidth="1"/>
    <col min="9" max="9" width="23.5546875" bestFit="1" customWidth="1"/>
    <col min="10" max="10" width="18.44140625" bestFit="1" customWidth="1"/>
    <col min="11" max="11" width="10" bestFit="1" customWidth="1"/>
    <col min="12" max="12" width="34.109375" bestFit="1" customWidth="1"/>
    <col min="13" max="14" width="10" bestFit="1" customWidth="1"/>
  </cols>
  <sheetData>
    <row r="2" spans="1:11" ht="18">
      <c r="A2" s="20">
        <v>461</v>
      </c>
      <c r="B2" s="20" t="s">
        <v>7795</v>
      </c>
      <c r="C2" s="19" t="str">
        <f>VLOOKUP(B2,'لیست پرسنل'!$B$2:$E$1020,3,FALSE)</f>
        <v>فکورصنعت</v>
      </c>
      <c r="D2" s="19" t="str">
        <f>VLOOKUP(B2,'لیست پرسنل'!$B$2:$E$1020,4,FALSE)</f>
        <v>مکانیک</v>
      </c>
      <c r="E2" s="19">
        <f>VLOOKUP(B2,'لیست پرسنل'!$B$2:$F$1020,2,FALSE)</f>
        <v>0</v>
      </c>
      <c r="F2" s="20" t="s">
        <v>4071</v>
      </c>
      <c r="G2" s="20" t="s">
        <v>7796</v>
      </c>
      <c r="H2" s="20" t="s">
        <v>368</v>
      </c>
      <c r="I2" s="20" t="s">
        <v>967</v>
      </c>
      <c r="J2" s="20" t="s">
        <v>4865</v>
      </c>
      <c r="K2" s="19">
        <v>633735</v>
      </c>
    </row>
    <row r="3" spans="1:11" ht="18">
      <c r="A3" s="75">
        <v>461</v>
      </c>
      <c r="B3" s="20" t="s">
        <v>7795</v>
      </c>
      <c r="C3" s="76" t="str">
        <f>VLOOKUP(B3,'لیست پرسنل'!$B$2:$E$1020,3,FALSE)</f>
        <v>فکورصنعت</v>
      </c>
      <c r="D3" s="19" t="str">
        <f>VLOOKUP(B3,'لیست پرسنل'!$B$2:$E$1020,4,FALSE)</f>
        <v>مکانیک</v>
      </c>
      <c r="E3" s="19">
        <f>VLOOKUP(B3,'لیست پرسنل'!$B$2:$F$1020,2,FALSE)</f>
        <v>0</v>
      </c>
      <c r="F3" s="75" t="s">
        <v>4071</v>
      </c>
      <c r="G3" s="20" t="s">
        <v>7796</v>
      </c>
      <c r="H3" s="75" t="s">
        <v>571</v>
      </c>
      <c r="I3" s="20" t="s">
        <v>7212</v>
      </c>
      <c r="J3" s="19"/>
      <c r="K3" s="19">
        <v>635098</v>
      </c>
    </row>
    <row r="4" spans="1:11" ht="18">
      <c r="A4" s="20">
        <v>461</v>
      </c>
      <c r="B4" s="20" t="s">
        <v>7795</v>
      </c>
      <c r="C4" s="19" t="str">
        <f>VLOOKUP(B4,'لیست پرسنل'!$B$2:$E$1020,3,FALSE)</f>
        <v>فکورصنعت</v>
      </c>
      <c r="D4" s="19" t="str">
        <f>VLOOKUP(B4,'لیست پرسنل'!$B$2:$E$1020,4,FALSE)</f>
        <v>مکانیک</v>
      </c>
      <c r="E4" s="19">
        <f>VLOOKUP(B4,'لیست پرسنل'!$B$2:$F$1020,2,FALSE)</f>
        <v>0</v>
      </c>
      <c r="F4" s="20" t="s">
        <v>4071</v>
      </c>
      <c r="G4" s="20" t="s">
        <v>7796</v>
      </c>
      <c r="H4" s="20" t="s">
        <v>2686</v>
      </c>
      <c r="I4" s="20" t="s">
        <v>2922</v>
      </c>
      <c r="J4" s="19" t="s">
        <v>2979</v>
      </c>
      <c r="K4" s="19">
        <v>626460</v>
      </c>
    </row>
  </sheetData>
  <customSheetViews>
    <customSheetView guid="{4E9100F2-A511-4BAB-A26D-F817BBFCED8B}" scale="70">
      <selection activeCell="C11" sqref="C11"/>
      <pageMargins left="0.7" right="0.7" top="0.75" bottom="0.75" header="0.3" footer="0.3"/>
      <pageSetup orientation="portrait" r:id="rId1"/>
    </customSheetView>
  </customSheetViews>
  <conditionalFormatting sqref="K2:K4">
    <cfRule type="duplicateValues" dxfId="543" priority="13"/>
  </conditionalFormatting>
  <conditionalFormatting sqref="K2:K4">
    <cfRule type="duplicateValues" dxfId="542" priority="12"/>
  </conditionalFormatting>
  <conditionalFormatting sqref="K2:K4">
    <cfRule type="duplicateValues" dxfId="541" priority="11"/>
  </conditionalFormatting>
  <conditionalFormatting sqref="K2:K4">
    <cfRule type="duplicateValues" dxfId="540" priority="10"/>
  </conditionalFormatting>
  <conditionalFormatting sqref="K2:K4">
    <cfRule type="duplicateValues" dxfId="539" priority="9"/>
  </conditionalFormatting>
  <conditionalFormatting sqref="K2:K4">
    <cfRule type="duplicateValues" dxfId="538" priority="8"/>
  </conditionalFormatting>
  <conditionalFormatting sqref="K2:K4">
    <cfRule type="duplicateValues" dxfId="537" priority="7"/>
  </conditionalFormatting>
  <conditionalFormatting sqref="K2:K4">
    <cfRule type="duplicateValues" dxfId="536" priority="6"/>
  </conditionalFormatting>
  <conditionalFormatting sqref="K2:K4">
    <cfRule type="duplicateValues" dxfId="535" priority="5"/>
  </conditionalFormatting>
  <conditionalFormatting sqref="J2:J4">
    <cfRule type="duplicateValues" dxfId="534" priority="4"/>
  </conditionalFormatting>
  <conditionalFormatting sqref="K2:K4">
    <cfRule type="duplicateValues" dxfId="533" priority="3"/>
  </conditionalFormatting>
  <conditionalFormatting sqref="K2:K4">
    <cfRule type="duplicateValues" dxfId="532" priority="2"/>
  </conditionalFormatting>
  <conditionalFormatting sqref="K2:K4">
    <cfRule type="duplicateValues" dxfId="531" priority="1"/>
  </conditionalFormatting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7">
    <tabColor rgb="FF7030A0"/>
  </sheetPr>
  <dimension ref="A1:G153"/>
  <sheetViews>
    <sheetView rightToLeft="1" zoomScale="70" zoomScaleNormal="70" workbookViewId="0">
      <pane ySplit="2" topLeftCell="A138" activePane="bottomLeft" state="frozen"/>
      <selection pane="bottomLeft" activeCell="D148" sqref="D148"/>
    </sheetView>
  </sheetViews>
  <sheetFormatPr defaultRowHeight="14.4"/>
  <cols>
    <col min="1" max="1" width="21.88671875" customWidth="1"/>
    <col min="2" max="2" width="51.44140625" customWidth="1"/>
    <col min="3" max="3" width="32" bestFit="1" customWidth="1"/>
    <col min="4" max="4" width="14" customWidth="1"/>
    <col min="5" max="5" width="91.44140625" customWidth="1"/>
    <col min="6" max="6" width="44.44140625" customWidth="1"/>
    <col min="7" max="7" width="25.44140625" bestFit="1" customWidth="1"/>
    <col min="12" max="12" width="9" customWidth="1"/>
  </cols>
  <sheetData>
    <row r="1" spans="1:7" ht="61.5" customHeight="1">
      <c r="A1" s="249" t="s">
        <v>575</v>
      </c>
      <c r="B1" s="250"/>
      <c r="C1" s="250"/>
      <c r="D1" s="251"/>
      <c r="E1" s="50"/>
    </row>
    <row r="2" spans="1:7" s="8" customFormat="1" ht="27.6" customHeight="1">
      <c r="A2" s="63" t="s">
        <v>572</v>
      </c>
      <c r="B2" s="63" t="s">
        <v>573</v>
      </c>
      <c r="C2" s="63" t="s">
        <v>406</v>
      </c>
      <c r="D2" s="63" t="s">
        <v>405</v>
      </c>
      <c r="E2" s="63" t="s">
        <v>574</v>
      </c>
      <c r="F2" s="63" t="s">
        <v>6854</v>
      </c>
      <c r="G2" s="63" t="s">
        <v>8060</v>
      </c>
    </row>
    <row r="3" spans="1:7" ht="27.6" customHeight="1">
      <c r="A3" s="20" t="s">
        <v>576</v>
      </c>
      <c r="B3" s="20" t="s">
        <v>407</v>
      </c>
      <c r="C3" s="24" t="s">
        <v>701</v>
      </c>
      <c r="D3" s="30">
        <v>605441</v>
      </c>
      <c r="E3" s="26" t="s">
        <v>748</v>
      </c>
      <c r="F3" s="28" t="s">
        <v>6851</v>
      </c>
      <c r="G3" s="28"/>
    </row>
    <row r="4" spans="1:7" ht="27.6" customHeight="1">
      <c r="A4" s="20" t="s">
        <v>576</v>
      </c>
      <c r="B4" s="20" t="s">
        <v>738</v>
      </c>
      <c r="C4" s="20" t="s">
        <v>739</v>
      </c>
      <c r="D4" s="20">
        <v>611436</v>
      </c>
      <c r="E4" s="26" t="s">
        <v>740</v>
      </c>
      <c r="F4" s="28" t="s">
        <v>6853</v>
      </c>
      <c r="G4" s="28"/>
    </row>
    <row r="5" spans="1:7" ht="27.6" customHeight="1">
      <c r="A5" s="20" t="s">
        <v>876</v>
      </c>
      <c r="B5" s="7" t="s">
        <v>301</v>
      </c>
      <c r="C5" s="7" t="s">
        <v>302</v>
      </c>
      <c r="D5" s="17">
        <v>606814</v>
      </c>
      <c r="E5" s="26" t="s">
        <v>875</v>
      </c>
      <c r="F5" s="28" t="s">
        <v>6851</v>
      </c>
      <c r="G5" s="28"/>
    </row>
    <row r="6" spans="1:7" ht="27.6" customHeight="1">
      <c r="A6" s="20" t="s">
        <v>576</v>
      </c>
      <c r="B6" s="27" t="s">
        <v>448</v>
      </c>
      <c r="C6" s="27" t="s">
        <v>449</v>
      </c>
      <c r="D6" s="27">
        <v>609604</v>
      </c>
      <c r="E6" s="34" t="s">
        <v>835</v>
      </c>
      <c r="F6" s="28" t="s">
        <v>6851</v>
      </c>
      <c r="G6" s="28"/>
    </row>
    <row r="7" spans="1:7" ht="27.6" customHeight="1">
      <c r="A7" s="20" t="s">
        <v>576</v>
      </c>
      <c r="B7" s="7" t="s">
        <v>332</v>
      </c>
      <c r="C7" s="23">
        <v>722006012072875</v>
      </c>
      <c r="D7" s="20">
        <v>603251</v>
      </c>
      <c r="E7" s="34" t="s">
        <v>868</v>
      </c>
      <c r="F7" s="28" t="s">
        <v>6851</v>
      </c>
      <c r="G7" s="28"/>
    </row>
    <row r="8" spans="1:7" ht="27.6" customHeight="1">
      <c r="A8" s="20" t="s">
        <v>576</v>
      </c>
      <c r="B8" s="22" t="s">
        <v>110</v>
      </c>
      <c r="C8" s="22" t="s">
        <v>111</v>
      </c>
      <c r="D8" s="20">
        <v>613925</v>
      </c>
      <c r="E8" s="34" t="s">
        <v>867</v>
      </c>
      <c r="F8" s="28" t="s">
        <v>6851</v>
      </c>
      <c r="G8" s="28"/>
    </row>
    <row r="9" spans="1:7" ht="27.6" customHeight="1">
      <c r="A9" s="20" t="s">
        <v>873</v>
      </c>
      <c r="B9" s="24" t="s">
        <v>655</v>
      </c>
      <c r="C9" s="33" t="s">
        <v>633</v>
      </c>
      <c r="D9" s="20">
        <v>613144</v>
      </c>
      <c r="E9" s="34" t="s">
        <v>877</v>
      </c>
      <c r="F9" s="28" t="s">
        <v>6851</v>
      </c>
      <c r="G9" s="28"/>
    </row>
    <row r="10" spans="1:7" ht="27.6" customHeight="1">
      <c r="A10" s="20" t="s">
        <v>874</v>
      </c>
      <c r="B10" s="20" t="s">
        <v>847</v>
      </c>
      <c r="C10" s="20" t="s">
        <v>846</v>
      </c>
      <c r="D10" s="20">
        <v>623228</v>
      </c>
      <c r="E10" s="34" t="s">
        <v>948</v>
      </c>
      <c r="F10" s="28" t="s">
        <v>6851</v>
      </c>
      <c r="G10" s="28"/>
    </row>
    <row r="11" spans="1:7" ht="27.6" customHeight="1">
      <c r="A11" s="20" t="s">
        <v>873</v>
      </c>
      <c r="B11" s="20" t="s">
        <v>848</v>
      </c>
      <c r="C11" s="20"/>
      <c r="D11" s="20">
        <v>612105</v>
      </c>
      <c r="E11" s="34" t="s">
        <v>891</v>
      </c>
      <c r="F11" s="28" t="s">
        <v>6851</v>
      </c>
      <c r="G11" s="28"/>
    </row>
    <row r="12" spans="1:7" ht="27.6" customHeight="1">
      <c r="A12" s="20" t="s">
        <v>576</v>
      </c>
      <c r="B12" s="19" t="s">
        <v>332</v>
      </c>
      <c r="C12" s="39" t="s">
        <v>998</v>
      </c>
      <c r="D12" s="20">
        <v>603305</v>
      </c>
      <c r="E12" s="42" t="s">
        <v>1266</v>
      </c>
      <c r="F12" s="28" t="s">
        <v>6851</v>
      </c>
      <c r="G12" s="28"/>
    </row>
    <row r="13" spans="1:7" ht="27.6" customHeight="1">
      <c r="A13" s="20" t="s">
        <v>576</v>
      </c>
      <c r="B13" s="22" t="s">
        <v>332</v>
      </c>
      <c r="C13" s="38" t="s">
        <v>1007</v>
      </c>
      <c r="D13" s="6">
        <v>603356</v>
      </c>
      <c r="E13" s="34" t="s">
        <v>1008</v>
      </c>
      <c r="F13" s="28" t="s">
        <v>6851</v>
      </c>
      <c r="G13" s="28"/>
    </row>
    <row r="14" spans="1:7" ht="27.6" customHeight="1">
      <c r="A14" s="20" t="s">
        <v>576</v>
      </c>
      <c r="B14" s="22" t="s">
        <v>332</v>
      </c>
      <c r="C14" s="25" t="s">
        <v>542</v>
      </c>
      <c r="D14" s="17">
        <v>600764</v>
      </c>
      <c r="E14" s="34" t="s">
        <v>1066</v>
      </c>
      <c r="F14" s="28" t="s">
        <v>6851</v>
      </c>
      <c r="G14" s="28"/>
    </row>
    <row r="15" spans="1:7" ht="27.6" customHeight="1">
      <c r="A15" s="20" t="s">
        <v>576</v>
      </c>
      <c r="B15" s="22" t="s">
        <v>332</v>
      </c>
      <c r="C15" s="36" t="s">
        <v>1104</v>
      </c>
      <c r="D15" s="20">
        <v>604093</v>
      </c>
      <c r="E15" s="34" t="s">
        <v>1119</v>
      </c>
      <c r="F15" s="28" t="s">
        <v>6851</v>
      </c>
      <c r="G15" s="28"/>
    </row>
    <row r="16" spans="1:7" ht="27.6" customHeight="1">
      <c r="A16" s="20" t="s">
        <v>576</v>
      </c>
      <c r="B16" s="7" t="s">
        <v>346</v>
      </c>
      <c r="C16" s="7" t="s">
        <v>314</v>
      </c>
      <c r="D16" s="17">
        <v>603936</v>
      </c>
      <c r="E16" s="34" t="s">
        <v>1120</v>
      </c>
      <c r="F16" s="28" t="s">
        <v>6851</v>
      </c>
      <c r="G16" s="28"/>
    </row>
    <row r="17" spans="1:7" ht="27.6" customHeight="1">
      <c r="A17" s="20" t="s">
        <v>576</v>
      </c>
      <c r="B17" s="22" t="s">
        <v>332</v>
      </c>
      <c r="C17" s="37" t="s">
        <v>1180</v>
      </c>
      <c r="D17" s="17">
        <v>609609</v>
      </c>
      <c r="E17" s="34" t="s">
        <v>1265</v>
      </c>
      <c r="F17" s="28" t="s">
        <v>6851</v>
      </c>
      <c r="G17" s="28"/>
    </row>
    <row r="18" spans="1:7" ht="27.6" customHeight="1">
      <c r="A18" s="20" t="s">
        <v>576</v>
      </c>
      <c r="B18" s="22" t="s">
        <v>320</v>
      </c>
      <c r="C18" s="37" t="s">
        <v>1318</v>
      </c>
      <c r="D18" s="17">
        <v>608004</v>
      </c>
      <c r="E18" s="34" t="s">
        <v>1319</v>
      </c>
      <c r="F18" s="28" t="s">
        <v>6851</v>
      </c>
      <c r="G18" s="28"/>
    </row>
    <row r="19" spans="1:7" ht="27.6" customHeight="1">
      <c r="A19" s="252" t="s">
        <v>3132</v>
      </c>
      <c r="B19" s="253"/>
      <c r="C19" s="253"/>
      <c r="D19" s="253"/>
      <c r="E19" s="253"/>
      <c r="F19" s="254"/>
    </row>
    <row r="20" spans="1:7" ht="27.6" customHeight="1">
      <c r="A20" s="33"/>
      <c r="B20" s="24" t="s">
        <v>320</v>
      </c>
      <c r="C20" s="35" t="s">
        <v>2729</v>
      </c>
      <c r="D20" s="17">
        <v>604975</v>
      </c>
      <c r="E20" s="19" t="s">
        <v>3209</v>
      </c>
      <c r="F20" s="30" t="s">
        <v>3225</v>
      </c>
      <c r="G20" s="30"/>
    </row>
    <row r="21" spans="1:7" ht="27.6" customHeight="1">
      <c r="A21" s="30"/>
      <c r="B21" s="57" t="s">
        <v>1745</v>
      </c>
      <c r="C21" s="58" t="s">
        <v>1695</v>
      </c>
      <c r="D21" s="30">
        <v>609605</v>
      </c>
      <c r="E21" s="30" t="s">
        <v>3210</v>
      </c>
      <c r="F21" s="30" t="s">
        <v>3333</v>
      </c>
      <c r="G21" s="30"/>
    </row>
    <row r="22" spans="1:7" ht="27.6" customHeight="1">
      <c r="A22" s="30"/>
      <c r="B22" s="30" t="s">
        <v>332</v>
      </c>
      <c r="C22" s="55" t="s">
        <v>1415</v>
      </c>
      <c r="D22" s="30">
        <v>604092</v>
      </c>
      <c r="E22" s="30" t="s">
        <v>3234</v>
      </c>
      <c r="F22" s="30" t="s">
        <v>3676</v>
      </c>
      <c r="G22" s="30"/>
    </row>
    <row r="23" spans="1:7" ht="27.6" customHeight="1">
      <c r="A23" s="30"/>
      <c r="B23" s="30" t="s">
        <v>332</v>
      </c>
      <c r="C23" s="55" t="s">
        <v>1890</v>
      </c>
      <c r="D23" s="30">
        <v>601031</v>
      </c>
      <c r="E23" s="30" t="s">
        <v>3208</v>
      </c>
      <c r="F23" s="30" t="s">
        <v>3333</v>
      </c>
      <c r="G23" s="30"/>
    </row>
    <row r="24" spans="1:7" ht="27.6" customHeight="1">
      <c r="A24" s="30"/>
      <c r="B24" s="30" t="s">
        <v>892</v>
      </c>
      <c r="C24" s="30" t="s">
        <v>1052</v>
      </c>
      <c r="D24" s="30">
        <v>623630</v>
      </c>
      <c r="E24" s="30" t="s">
        <v>3685</v>
      </c>
      <c r="F24" s="30" t="s">
        <v>4124</v>
      </c>
      <c r="G24" s="30"/>
    </row>
    <row r="25" spans="1:7" ht="27.6" customHeight="1">
      <c r="A25" s="30"/>
      <c r="B25" s="17" t="s">
        <v>332</v>
      </c>
      <c r="C25" s="59">
        <v>722015205013365</v>
      </c>
      <c r="D25" s="30">
        <v>603171</v>
      </c>
      <c r="E25" s="30" t="s">
        <v>3687</v>
      </c>
      <c r="F25" s="30" t="s">
        <v>3699</v>
      </c>
      <c r="G25" s="30"/>
    </row>
    <row r="26" spans="1:7" ht="27.6" customHeight="1">
      <c r="A26" s="30"/>
      <c r="B26" s="30" t="s">
        <v>1387</v>
      </c>
      <c r="C26" s="30" t="s">
        <v>2082</v>
      </c>
      <c r="D26" s="30">
        <v>610923</v>
      </c>
      <c r="E26" s="30" t="s">
        <v>4009</v>
      </c>
      <c r="F26" s="30" t="s">
        <v>4231</v>
      </c>
      <c r="G26" s="30"/>
    </row>
    <row r="27" spans="1:7" ht="27.6" customHeight="1">
      <c r="A27" s="30"/>
      <c r="B27" s="30" t="s">
        <v>1387</v>
      </c>
      <c r="C27" s="30" t="s">
        <v>2083</v>
      </c>
      <c r="D27" s="30">
        <v>611437</v>
      </c>
      <c r="E27" s="30" t="s">
        <v>4009</v>
      </c>
      <c r="F27" s="30" t="s">
        <v>4123</v>
      </c>
      <c r="G27" s="30"/>
    </row>
    <row r="28" spans="1:7" ht="27.6" customHeight="1">
      <c r="A28" s="30"/>
      <c r="B28" s="17" t="s">
        <v>320</v>
      </c>
      <c r="C28" s="55" t="s">
        <v>953</v>
      </c>
      <c r="D28" s="30">
        <v>603562</v>
      </c>
      <c r="E28" s="61" t="s">
        <v>4016</v>
      </c>
      <c r="F28" s="30" t="s">
        <v>4123</v>
      </c>
      <c r="G28" s="30"/>
    </row>
    <row r="29" spans="1:7" ht="27.6" customHeight="1">
      <c r="A29" s="30"/>
      <c r="B29" s="17" t="s">
        <v>346</v>
      </c>
      <c r="C29" s="55" t="s">
        <v>3797</v>
      </c>
      <c r="D29" s="30">
        <v>601557</v>
      </c>
      <c r="E29" s="60" t="s">
        <v>4017</v>
      </c>
      <c r="F29" s="30" t="s">
        <v>4123</v>
      </c>
      <c r="G29" s="30"/>
    </row>
    <row r="30" spans="1:7" ht="27.6" customHeight="1">
      <c r="A30" s="30"/>
      <c r="B30" s="57" t="s">
        <v>1757</v>
      </c>
      <c r="C30" s="55" t="s">
        <v>2421</v>
      </c>
      <c r="D30" s="30">
        <v>628828</v>
      </c>
      <c r="E30" s="61" t="s">
        <v>4019</v>
      </c>
      <c r="F30" s="30" t="s">
        <v>4123</v>
      </c>
      <c r="G30" s="30"/>
    </row>
    <row r="31" spans="1:7" ht="27.6" customHeight="1">
      <c r="A31" s="30"/>
      <c r="B31" s="57" t="s">
        <v>1757</v>
      </c>
      <c r="C31" s="55" t="s">
        <v>2450</v>
      </c>
      <c r="D31" s="30">
        <v>628859</v>
      </c>
      <c r="E31" s="30" t="s">
        <v>4018</v>
      </c>
      <c r="F31" s="30" t="s">
        <v>4123</v>
      </c>
      <c r="G31" s="30"/>
    </row>
    <row r="32" spans="1:7" ht="27.6" customHeight="1">
      <c r="A32" s="30"/>
      <c r="B32" s="30" t="s">
        <v>4015</v>
      </c>
      <c r="C32" s="55" t="s">
        <v>827</v>
      </c>
      <c r="D32" s="30">
        <v>606814</v>
      </c>
      <c r="E32" s="30" t="s">
        <v>4020</v>
      </c>
      <c r="F32" s="30" t="s">
        <v>4231</v>
      </c>
      <c r="G32" s="30"/>
    </row>
    <row r="33" spans="1:7" ht="27.6" customHeight="1">
      <c r="A33" s="30"/>
      <c r="B33" s="30" t="s">
        <v>332</v>
      </c>
      <c r="C33" s="40" t="s">
        <v>949</v>
      </c>
      <c r="D33" s="30">
        <v>604289</v>
      </c>
      <c r="E33" s="61" t="s">
        <v>4080</v>
      </c>
      <c r="F33" s="30" t="s">
        <v>4123</v>
      </c>
      <c r="G33" s="30"/>
    </row>
    <row r="34" spans="1:7" ht="27.6" customHeight="1">
      <c r="A34" s="30"/>
      <c r="B34" s="30" t="s">
        <v>2655</v>
      </c>
      <c r="C34" s="40" t="s">
        <v>4008</v>
      </c>
      <c r="D34" s="30">
        <v>605715</v>
      </c>
      <c r="E34" s="30" t="s">
        <v>4081</v>
      </c>
      <c r="F34" s="30" t="s">
        <v>4123</v>
      </c>
      <c r="G34" s="30"/>
    </row>
    <row r="35" spans="1:7" ht="27.6" customHeight="1">
      <c r="A35" s="30"/>
      <c r="B35" s="17" t="s">
        <v>81</v>
      </c>
      <c r="C35" s="17" t="s">
        <v>82</v>
      </c>
      <c r="D35" s="17">
        <v>610516</v>
      </c>
      <c r="E35" s="30" t="s">
        <v>4129</v>
      </c>
      <c r="F35" s="30" t="s">
        <v>4131</v>
      </c>
      <c r="G35" s="30"/>
    </row>
    <row r="36" spans="1:7" ht="27.6" customHeight="1">
      <c r="A36" s="30"/>
      <c r="B36" s="17" t="s">
        <v>371</v>
      </c>
      <c r="C36" s="40" t="s">
        <v>2004</v>
      </c>
      <c r="D36" s="30">
        <v>618922</v>
      </c>
      <c r="E36" s="30" t="s">
        <v>4132</v>
      </c>
      <c r="F36" s="30" t="s">
        <v>4245</v>
      </c>
      <c r="G36" s="30"/>
    </row>
    <row r="37" spans="1:7" ht="27.6" customHeight="1">
      <c r="A37" s="29"/>
      <c r="B37" s="40" t="s">
        <v>3120</v>
      </c>
      <c r="C37" s="40" t="s">
        <v>3121</v>
      </c>
      <c r="D37" s="30">
        <v>611811</v>
      </c>
      <c r="E37" s="30" t="s">
        <v>4133</v>
      </c>
      <c r="F37" s="30" t="s">
        <v>4234</v>
      </c>
      <c r="G37" s="30"/>
    </row>
    <row r="38" spans="1:7" ht="27.6" customHeight="1">
      <c r="A38" s="29" t="s">
        <v>576</v>
      </c>
      <c r="B38" s="40" t="s">
        <v>332</v>
      </c>
      <c r="C38" s="40" t="s">
        <v>4508</v>
      </c>
      <c r="D38" s="30">
        <v>603251</v>
      </c>
      <c r="E38" s="30" t="s">
        <v>4134</v>
      </c>
      <c r="F38" s="30" t="s">
        <v>4245</v>
      </c>
      <c r="G38" s="30"/>
    </row>
    <row r="39" spans="1:7" ht="27.6" customHeight="1">
      <c r="A39" s="28"/>
      <c r="B39" s="40" t="s">
        <v>284</v>
      </c>
      <c r="C39" s="40">
        <v>55034848</v>
      </c>
      <c r="D39" s="30">
        <v>607358</v>
      </c>
      <c r="E39" s="30" t="s">
        <v>4214</v>
      </c>
      <c r="F39" s="30" t="s">
        <v>4236</v>
      </c>
      <c r="G39" s="30"/>
    </row>
    <row r="40" spans="1:7" ht="27.6" customHeight="1">
      <c r="A40" s="28"/>
      <c r="B40" s="40" t="s">
        <v>320</v>
      </c>
      <c r="C40" s="40" t="s">
        <v>1335</v>
      </c>
      <c r="D40" s="30">
        <v>607686</v>
      </c>
      <c r="E40" s="30" t="s">
        <v>4417</v>
      </c>
      <c r="F40" s="30" t="s">
        <v>4507</v>
      </c>
      <c r="G40" s="30"/>
    </row>
    <row r="41" spans="1:7" ht="27.6" customHeight="1">
      <c r="A41" s="28"/>
      <c r="B41" s="40" t="s">
        <v>332</v>
      </c>
      <c r="C41" s="40" t="s">
        <v>2194</v>
      </c>
      <c r="D41" s="30">
        <v>603304</v>
      </c>
      <c r="E41" s="30" t="s">
        <v>4417</v>
      </c>
      <c r="F41" s="30" t="s">
        <v>4507</v>
      </c>
      <c r="G41" s="30"/>
    </row>
    <row r="42" spans="1:7" ht="27.6" customHeight="1">
      <c r="A42" s="28"/>
      <c r="B42" s="40" t="s">
        <v>332</v>
      </c>
      <c r="C42" s="40" t="s">
        <v>2193</v>
      </c>
      <c r="D42" s="30">
        <v>611444</v>
      </c>
      <c r="E42" s="30" t="s">
        <v>4418</v>
      </c>
      <c r="F42" s="30" t="s">
        <v>4507</v>
      </c>
      <c r="G42" s="30"/>
    </row>
    <row r="43" spans="1:7" ht="27.6" customHeight="1">
      <c r="A43" s="28"/>
      <c r="B43" s="40" t="s">
        <v>3323</v>
      </c>
      <c r="C43" s="40"/>
      <c r="D43" s="30">
        <v>621828</v>
      </c>
      <c r="E43" s="30" t="s">
        <v>4427</v>
      </c>
      <c r="F43" s="30" t="s">
        <v>5028</v>
      </c>
      <c r="G43" s="30"/>
    </row>
    <row r="44" spans="1:7" ht="27.6" customHeight="1">
      <c r="A44" s="28"/>
      <c r="B44" s="40" t="s">
        <v>3323</v>
      </c>
      <c r="C44" s="40"/>
      <c r="D44" s="30">
        <v>621820</v>
      </c>
      <c r="E44" s="30" t="s">
        <v>4427</v>
      </c>
      <c r="F44" s="30" t="s">
        <v>5028</v>
      </c>
      <c r="G44" s="30"/>
    </row>
    <row r="45" spans="1:7" ht="27.6" customHeight="1">
      <c r="A45" s="28"/>
      <c r="B45" s="40" t="s">
        <v>3153</v>
      </c>
      <c r="C45" s="40"/>
      <c r="D45" s="30">
        <v>612377</v>
      </c>
      <c r="E45" s="30" t="s">
        <v>4429</v>
      </c>
      <c r="F45" s="30" t="s">
        <v>4511</v>
      </c>
      <c r="G45" s="30"/>
    </row>
    <row r="46" spans="1:7" ht="27.6" customHeight="1">
      <c r="A46" s="28"/>
      <c r="B46" s="40" t="s">
        <v>320</v>
      </c>
      <c r="C46" s="40" t="s">
        <v>1407</v>
      </c>
      <c r="D46" s="30">
        <v>608000</v>
      </c>
      <c r="E46" s="30" t="s">
        <v>4501</v>
      </c>
      <c r="F46" s="30" t="s">
        <v>4568</v>
      </c>
      <c r="G46" s="30"/>
    </row>
    <row r="47" spans="1:7" ht="27.6" customHeight="1">
      <c r="A47" s="30"/>
      <c r="B47" s="30" t="s">
        <v>4015</v>
      </c>
      <c r="C47" s="55" t="s">
        <v>827</v>
      </c>
      <c r="D47" s="30">
        <v>606814</v>
      </c>
      <c r="E47" s="30" t="s">
        <v>4515</v>
      </c>
      <c r="F47" s="30" t="s">
        <v>5028</v>
      </c>
      <c r="G47" s="30"/>
    </row>
    <row r="48" spans="1:7" ht="27.6" customHeight="1">
      <c r="A48" s="28"/>
      <c r="B48" s="40" t="s">
        <v>571</v>
      </c>
      <c r="C48" s="40"/>
      <c r="D48" s="30">
        <v>627883</v>
      </c>
      <c r="E48" s="30" t="s">
        <v>4563</v>
      </c>
      <c r="F48" s="30" t="s">
        <v>5028</v>
      </c>
      <c r="G48" s="30"/>
    </row>
    <row r="49" spans="1:7" ht="27.6" customHeight="1">
      <c r="A49" s="28"/>
      <c r="B49" s="30" t="s">
        <v>2846</v>
      </c>
      <c r="C49" s="17" t="s">
        <v>2351</v>
      </c>
      <c r="D49" s="30">
        <v>628757</v>
      </c>
      <c r="E49" s="30" t="s">
        <v>4564</v>
      </c>
      <c r="F49" s="30" t="s">
        <v>4732</v>
      </c>
      <c r="G49" s="30"/>
    </row>
    <row r="50" spans="1:7" ht="27.6" customHeight="1">
      <c r="A50" s="28"/>
      <c r="B50" s="40" t="s">
        <v>4565</v>
      </c>
      <c r="C50" s="19" t="s">
        <v>2765</v>
      </c>
      <c r="D50" s="30" t="s">
        <v>525</v>
      </c>
      <c r="E50" s="30" t="s">
        <v>4566</v>
      </c>
      <c r="F50" s="30"/>
      <c r="G50" s="30"/>
    </row>
    <row r="51" spans="1:7" ht="24.9" customHeight="1">
      <c r="A51" s="28"/>
      <c r="B51" s="17" t="s">
        <v>890</v>
      </c>
      <c r="C51" s="40" t="s">
        <v>933</v>
      </c>
      <c r="D51" s="17">
        <v>607870</v>
      </c>
      <c r="E51" s="30" t="s">
        <v>4731</v>
      </c>
      <c r="F51" s="30" t="s">
        <v>4732</v>
      </c>
      <c r="G51" s="30"/>
    </row>
    <row r="52" spans="1:7" ht="24.9" customHeight="1">
      <c r="A52" s="28"/>
      <c r="B52" s="20" t="s">
        <v>346</v>
      </c>
      <c r="C52" s="36" t="s">
        <v>1909</v>
      </c>
      <c r="D52" s="62" t="s">
        <v>525</v>
      </c>
      <c r="E52" s="39" t="s">
        <v>4945</v>
      </c>
      <c r="F52" s="30" t="s">
        <v>5000</v>
      </c>
      <c r="G52" s="30"/>
    </row>
    <row r="53" spans="1:7" ht="24.9" customHeight="1">
      <c r="A53" s="28"/>
      <c r="B53" s="19" t="s">
        <v>1099</v>
      </c>
      <c r="C53" s="39" t="s">
        <v>533</v>
      </c>
      <c r="D53" s="19">
        <v>629410</v>
      </c>
      <c r="E53" s="30" t="s">
        <v>4946</v>
      </c>
      <c r="F53" s="30" t="s">
        <v>5000</v>
      </c>
      <c r="G53" s="30"/>
    </row>
    <row r="54" spans="1:7" ht="24.9" customHeight="1">
      <c r="A54" s="28"/>
      <c r="B54" s="44" t="s">
        <v>332</v>
      </c>
      <c r="C54" s="39" t="s">
        <v>1238</v>
      </c>
      <c r="D54" s="20">
        <v>613928</v>
      </c>
      <c r="E54" s="18" t="s">
        <v>4947</v>
      </c>
      <c r="F54" s="30" t="s">
        <v>5000</v>
      </c>
      <c r="G54" s="30"/>
    </row>
    <row r="55" spans="1:7" ht="24.9" customHeight="1">
      <c r="A55" s="28"/>
      <c r="B55" s="44" t="s">
        <v>332</v>
      </c>
      <c r="C55" s="40" t="s">
        <v>4905</v>
      </c>
      <c r="D55" s="30">
        <v>43000230</v>
      </c>
      <c r="E55" s="30" t="s">
        <v>4948</v>
      </c>
      <c r="F55" s="30" t="s">
        <v>5030</v>
      </c>
      <c r="G55" s="30"/>
    </row>
    <row r="56" spans="1:7" ht="24.9" customHeight="1">
      <c r="A56" s="28"/>
      <c r="B56" s="31" t="s">
        <v>994</v>
      </c>
      <c r="C56" s="19" t="s">
        <v>2766</v>
      </c>
      <c r="D56" s="41" t="s">
        <v>291</v>
      </c>
      <c r="E56" s="30" t="s">
        <v>4972</v>
      </c>
      <c r="F56" s="30"/>
      <c r="G56" s="30"/>
    </row>
    <row r="57" spans="1:7" ht="24.9" customHeight="1">
      <c r="A57" s="28"/>
      <c r="B57" s="20" t="s">
        <v>5065</v>
      </c>
      <c r="C57" s="20" t="s">
        <v>4232</v>
      </c>
      <c r="D57" s="20">
        <v>621865</v>
      </c>
      <c r="E57" s="30" t="s">
        <v>5066</v>
      </c>
      <c r="F57" s="30"/>
      <c r="G57" s="30"/>
    </row>
    <row r="58" spans="1:7" ht="24.9" customHeight="1">
      <c r="A58" s="28"/>
      <c r="B58" s="19" t="s">
        <v>1099</v>
      </c>
      <c r="C58" s="39" t="s">
        <v>533</v>
      </c>
      <c r="D58" s="19">
        <v>629410</v>
      </c>
      <c r="E58" s="30" t="s">
        <v>5075</v>
      </c>
      <c r="F58" s="30" t="s">
        <v>5637</v>
      </c>
      <c r="G58" s="30"/>
    </row>
    <row r="59" spans="1:7" ht="24.9" customHeight="1">
      <c r="A59" s="28"/>
      <c r="B59" s="46" t="s">
        <v>246</v>
      </c>
      <c r="C59" s="46" t="s">
        <v>247</v>
      </c>
      <c r="D59" s="46">
        <v>604606</v>
      </c>
      <c r="E59" s="30" t="s">
        <v>5091</v>
      </c>
      <c r="F59" s="30" t="s">
        <v>5116</v>
      </c>
      <c r="G59" s="30"/>
    </row>
    <row r="60" spans="1:7" ht="24.9" customHeight="1">
      <c r="A60" s="28"/>
      <c r="B60" s="19" t="s">
        <v>1320</v>
      </c>
      <c r="C60" s="19">
        <v>86004369</v>
      </c>
      <c r="D60" s="19">
        <v>610096</v>
      </c>
      <c r="E60" s="30" t="s">
        <v>5118</v>
      </c>
      <c r="F60" s="30" t="s">
        <v>5123</v>
      </c>
      <c r="G60" s="30"/>
    </row>
    <row r="61" spans="1:7" ht="24.9" customHeight="1">
      <c r="A61" s="28"/>
      <c r="B61" s="44" t="s">
        <v>320</v>
      </c>
      <c r="C61" s="45" t="s">
        <v>1694</v>
      </c>
      <c r="D61" s="19">
        <v>601179</v>
      </c>
      <c r="E61" s="30" t="s">
        <v>5138</v>
      </c>
      <c r="F61" s="30" t="s">
        <v>5231</v>
      </c>
      <c r="G61" s="30"/>
    </row>
    <row r="62" spans="1:7" ht="24.9" customHeight="1">
      <c r="A62" s="28"/>
      <c r="B62" s="19" t="s">
        <v>332</v>
      </c>
      <c r="C62" s="39" t="s">
        <v>5153</v>
      </c>
      <c r="D62" s="19">
        <v>610551</v>
      </c>
      <c r="E62" s="30" t="s">
        <v>5154</v>
      </c>
      <c r="F62" s="30" t="s">
        <v>5231</v>
      </c>
      <c r="G62" s="30"/>
    </row>
    <row r="63" spans="1:7" ht="24.9" customHeight="1">
      <c r="A63" s="28"/>
      <c r="B63" s="19" t="s">
        <v>744</v>
      </c>
      <c r="C63" s="39" t="s">
        <v>1151</v>
      </c>
      <c r="D63" s="19">
        <v>603555</v>
      </c>
      <c r="E63" s="30" t="s">
        <v>5213</v>
      </c>
      <c r="F63" s="30" t="s">
        <v>5337</v>
      </c>
      <c r="G63" s="30"/>
    </row>
    <row r="64" spans="1:7" ht="24.9" customHeight="1">
      <c r="A64" s="28"/>
      <c r="B64" s="19" t="s">
        <v>2846</v>
      </c>
      <c r="C64" s="19" t="s">
        <v>2463</v>
      </c>
      <c r="D64" s="19">
        <v>628872</v>
      </c>
      <c r="E64" s="68" t="s">
        <v>5227</v>
      </c>
      <c r="F64" s="19"/>
      <c r="G64" s="19"/>
    </row>
    <row r="65" spans="1:7" ht="24.9" customHeight="1">
      <c r="A65" s="28"/>
      <c r="B65" s="19" t="s">
        <v>332</v>
      </c>
      <c r="C65" s="19" t="s">
        <v>1462</v>
      </c>
      <c r="D65" s="19">
        <v>43000237</v>
      </c>
      <c r="E65" s="30" t="s">
        <v>5237</v>
      </c>
      <c r="F65" s="30" t="s">
        <v>5374</v>
      </c>
      <c r="G65" s="30"/>
    </row>
    <row r="66" spans="1:7" ht="24.9" customHeight="1">
      <c r="A66" s="28"/>
      <c r="B66" s="19" t="s">
        <v>2905</v>
      </c>
      <c r="C66" s="19" t="s">
        <v>2906</v>
      </c>
      <c r="D66" s="19">
        <v>43000611</v>
      </c>
      <c r="E66" s="30" t="s">
        <v>5238</v>
      </c>
      <c r="F66" s="30" t="s">
        <v>4732</v>
      </c>
      <c r="G66" s="30"/>
    </row>
    <row r="67" spans="1:7" ht="24.9" customHeight="1">
      <c r="A67" s="28"/>
      <c r="B67" s="19" t="s">
        <v>3155</v>
      </c>
      <c r="C67" s="19">
        <v>77141502846</v>
      </c>
      <c r="D67" s="19">
        <v>606443</v>
      </c>
      <c r="E67" s="30" t="s">
        <v>5250</v>
      </c>
      <c r="F67" s="30" t="s">
        <v>5426</v>
      </c>
      <c r="G67" s="30"/>
    </row>
    <row r="68" spans="1:7" ht="24.9" customHeight="1">
      <c r="A68" s="28"/>
      <c r="B68" s="19" t="s">
        <v>1814</v>
      </c>
      <c r="C68" s="19" t="s">
        <v>4233</v>
      </c>
      <c r="D68" s="19">
        <v>612105</v>
      </c>
      <c r="E68" s="30" t="s">
        <v>5251</v>
      </c>
      <c r="F68" s="30" t="s">
        <v>5426</v>
      </c>
      <c r="G68" s="30"/>
    </row>
    <row r="69" spans="1:7" ht="24.9" customHeight="1">
      <c r="A69" s="28"/>
      <c r="B69" s="19" t="s">
        <v>1744</v>
      </c>
      <c r="C69" s="19" t="s">
        <v>1726</v>
      </c>
      <c r="D69" s="19">
        <v>610658</v>
      </c>
      <c r="E69" s="30" t="s">
        <v>5384</v>
      </c>
      <c r="F69" s="30" t="s">
        <v>5468</v>
      </c>
      <c r="G69" s="30"/>
    </row>
    <row r="70" spans="1:7" ht="24.9" customHeight="1">
      <c r="A70" s="28"/>
      <c r="B70" s="19" t="s">
        <v>5385</v>
      </c>
      <c r="C70" s="19"/>
      <c r="D70" s="19">
        <v>629911</v>
      </c>
      <c r="E70" s="30" t="s">
        <v>5386</v>
      </c>
      <c r="F70" s="30" t="s">
        <v>5521</v>
      </c>
      <c r="G70" s="30"/>
    </row>
    <row r="71" spans="1:7" ht="24.9" customHeight="1">
      <c r="A71" s="28"/>
      <c r="B71" s="19" t="s">
        <v>3246</v>
      </c>
      <c r="C71" s="19" t="s">
        <v>3247</v>
      </c>
      <c r="D71" s="19">
        <v>620834</v>
      </c>
      <c r="E71" s="30" t="s">
        <v>5387</v>
      </c>
      <c r="F71" s="30" t="s">
        <v>5425</v>
      </c>
      <c r="G71" s="30"/>
    </row>
    <row r="72" spans="1:7" ht="24.9" customHeight="1">
      <c r="A72" s="28"/>
      <c r="B72" s="19" t="s">
        <v>332</v>
      </c>
      <c r="C72" s="39" t="s">
        <v>1116</v>
      </c>
      <c r="D72" s="19">
        <v>604329</v>
      </c>
      <c r="E72" s="30" t="s">
        <v>5424</v>
      </c>
      <c r="F72" s="30" t="s">
        <v>5425</v>
      </c>
      <c r="G72" s="30"/>
    </row>
    <row r="73" spans="1:7" ht="24.9" customHeight="1">
      <c r="A73" s="28"/>
      <c r="B73" s="19" t="s">
        <v>744</v>
      </c>
      <c r="C73" s="39" t="s">
        <v>1705</v>
      </c>
      <c r="D73" s="19">
        <v>606361</v>
      </c>
      <c r="E73" s="30" t="s">
        <v>5424</v>
      </c>
      <c r="F73" s="30" t="s">
        <v>5425</v>
      </c>
      <c r="G73" s="30"/>
    </row>
    <row r="74" spans="1:7" ht="24.9" customHeight="1">
      <c r="A74" s="28"/>
      <c r="B74" s="19" t="s">
        <v>721</v>
      </c>
      <c r="C74" s="19" t="s">
        <v>1986</v>
      </c>
      <c r="D74" s="19">
        <v>43000256</v>
      </c>
      <c r="E74" s="30" t="s">
        <v>5430</v>
      </c>
      <c r="F74" s="30" t="s">
        <v>5468</v>
      </c>
      <c r="G74" s="30"/>
    </row>
    <row r="75" spans="1:7" ht="24.9" customHeight="1">
      <c r="A75" s="28"/>
      <c r="B75" s="19" t="s">
        <v>393</v>
      </c>
      <c r="C75" s="19" t="s">
        <v>394</v>
      </c>
      <c r="D75" s="19">
        <v>620377</v>
      </c>
      <c r="E75" s="30" t="s">
        <v>5471</v>
      </c>
      <c r="F75" s="30" t="s">
        <v>5638</v>
      </c>
      <c r="G75" s="30"/>
    </row>
    <row r="76" spans="1:7" ht="24.9" customHeight="1">
      <c r="A76" s="28"/>
      <c r="B76" s="19" t="s">
        <v>1638</v>
      </c>
      <c r="C76" s="19" t="s">
        <v>544</v>
      </c>
      <c r="D76" s="19">
        <v>613502</v>
      </c>
      <c r="E76" s="30" t="s">
        <v>5498</v>
      </c>
      <c r="F76" s="30" t="s">
        <v>5636</v>
      </c>
      <c r="G76" s="30"/>
    </row>
    <row r="77" spans="1:7" ht="24.9" customHeight="1">
      <c r="A77" s="28"/>
      <c r="B77" s="19" t="s">
        <v>3748</v>
      </c>
      <c r="C77" s="19" t="s">
        <v>1047</v>
      </c>
      <c r="D77" s="19">
        <v>610448</v>
      </c>
      <c r="E77" s="30" t="s">
        <v>5499</v>
      </c>
      <c r="F77" s="30" t="s">
        <v>5555</v>
      </c>
      <c r="G77" s="30"/>
    </row>
    <row r="78" spans="1:7" ht="24.9" customHeight="1">
      <c r="A78" s="28"/>
      <c r="B78" s="19" t="s">
        <v>801</v>
      </c>
      <c r="C78" s="19"/>
      <c r="D78" s="19">
        <v>623352</v>
      </c>
      <c r="E78" s="30" t="s">
        <v>5500</v>
      </c>
      <c r="F78" s="30" t="s">
        <v>5555</v>
      </c>
      <c r="G78" s="30"/>
    </row>
    <row r="79" spans="1:7" ht="24.9" customHeight="1">
      <c r="A79" s="28"/>
      <c r="B79" s="44" t="s">
        <v>320</v>
      </c>
      <c r="C79" s="39" t="s">
        <v>3139</v>
      </c>
      <c r="D79" s="19">
        <v>603789</v>
      </c>
      <c r="E79" s="30" t="s">
        <v>5530</v>
      </c>
      <c r="F79" s="30" t="s">
        <v>5634</v>
      </c>
      <c r="G79" s="30"/>
    </row>
    <row r="80" spans="1:7" ht="24.9" customHeight="1">
      <c r="A80" s="39"/>
      <c r="B80" s="44" t="s">
        <v>675</v>
      </c>
      <c r="C80" s="20" t="s">
        <v>674</v>
      </c>
      <c r="D80" s="20">
        <v>612686</v>
      </c>
      <c r="E80" s="30" t="s">
        <v>5531</v>
      </c>
      <c r="F80" s="30" t="s">
        <v>5638</v>
      </c>
      <c r="G80" s="30"/>
    </row>
    <row r="81" spans="1:7" ht="24.9" customHeight="1">
      <c r="A81" s="39"/>
      <c r="B81" s="19" t="s">
        <v>744</v>
      </c>
      <c r="C81" s="39" t="s">
        <v>1287</v>
      </c>
      <c r="D81" s="19">
        <v>607684</v>
      </c>
      <c r="E81" s="30" t="s">
        <v>5544</v>
      </c>
      <c r="F81" s="30" t="s">
        <v>5634</v>
      </c>
      <c r="G81" s="30"/>
    </row>
    <row r="82" spans="1:7" ht="24.9" customHeight="1">
      <c r="A82" s="39"/>
      <c r="B82" s="19" t="s">
        <v>2177</v>
      </c>
      <c r="C82" s="19" t="s">
        <v>2212</v>
      </c>
      <c r="D82" s="19">
        <v>628671</v>
      </c>
      <c r="E82" s="30" t="s">
        <v>5556</v>
      </c>
      <c r="F82" s="30" t="s">
        <v>5638</v>
      </c>
      <c r="G82" s="30"/>
    </row>
    <row r="83" spans="1:7" ht="24.9" customHeight="1">
      <c r="A83" s="28"/>
      <c r="B83" s="19" t="s">
        <v>744</v>
      </c>
      <c r="C83" s="39" t="s">
        <v>1705</v>
      </c>
      <c r="D83" s="19">
        <v>606361</v>
      </c>
      <c r="E83" s="30" t="s">
        <v>5700</v>
      </c>
      <c r="F83" s="30" t="s">
        <v>5425</v>
      </c>
      <c r="G83" s="30"/>
    </row>
    <row r="84" spans="1:7" ht="24.9" customHeight="1">
      <c r="A84" s="39"/>
      <c r="B84" s="20" t="s">
        <v>744</v>
      </c>
      <c r="C84" s="39" t="s">
        <v>1336</v>
      </c>
      <c r="D84" s="19">
        <v>605438</v>
      </c>
      <c r="E84" s="39" t="s">
        <v>5757</v>
      </c>
      <c r="F84" s="30" t="s">
        <v>5779</v>
      </c>
      <c r="G84" s="30"/>
    </row>
    <row r="85" spans="1:7" ht="24.9" customHeight="1">
      <c r="A85" s="39"/>
      <c r="B85" s="20" t="s">
        <v>332</v>
      </c>
      <c r="C85" s="39" t="s">
        <v>1432</v>
      </c>
      <c r="D85" s="39" t="s">
        <v>5783</v>
      </c>
      <c r="E85" s="39" t="s">
        <v>5784</v>
      </c>
      <c r="F85" s="30" t="s">
        <v>5788</v>
      </c>
      <c r="G85" s="30"/>
    </row>
    <row r="86" spans="1:7" ht="24.9" customHeight="1">
      <c r="A86" s="39"/>
      <c r="B86" s="20" t="s">
        <v>465</v>
      </c>
      <c r="C86" s="20" t="s">
        <v>466</v>
      </c>
      <c r="D86" s="20">
        <v>605837</v>
      </c>
      <c r="E86" s="39" t="s">
        <v>5822</v>
      </c>
      <c r="F86" s="30" t="s">
        <v>5827</v>
      </c>
      <c r="G86" s="30"/>
    </row>
    <row r="87" spans="1:7" ht="24.9" customHeight="1">
      <c r="A87" s="39"/>
      <c r="B87" s="20" t="s">
        <v>744</v>
      </c>
      <c r="C87" s="20" t="s">
        <v>3929</v>
      </c>
      <c r="D87" s="19">
        <v>606520</v>
      </c>
      <c r="E87" s="39" t="s">
        <v>5824</v>
      </c>
      <c r="F87" s="30" t="s">
        <v>5827</v>
      </c>
      <c r="G87" s="30"/>
    </row>
    <row r="88" spans="1:7" ht="24.9" customHeight="1">
      <c r="A88" s="39"/>
      <c r="B88" s="44" t="s">
        <v>332</v>
      </c>
      <c r="C88" s="39" t="s">
        <v>1288</v>
      </c>
      <c r="D88" s="19">
        <v>609578</v>
      </c>
      <c r="E88" s="39" t="s">
        <v>5823</v>
      </c>
      <c r="F88" s="30" t="s">
        <v>5827</v>
      </c>
      <c r="G88" s="30"/>
    </row>
    <row r="89" spans="1:7" ht="24.9" customHeight="1">
      <c r="A89" s="39"/>
      <c r="B89" s="19" t="s">
        <v>332</v>
      </c>
      <c r="C89" s="39" t="s">
        <v>3880</v>
      </c>
      <c r="D89" s="19">
        <v>603301</v>
      </c>
      <c r="E89" s="39" t="s">
        <v>5828</v>
      </c>
      <c r="F89" s="30" t="s">
        <v>5881</v>
      </c>
      <c r="G89" s="30"/>
    </row>
    <row r="90" spans="1:7" ht="24.9" customHeight="1">
      <c r="A90" s="39"/>
      <c r="B90" s="19" t="s">
        <v>4344</v>
      </c>
      <c r="C90" s="39" t="s">
        <v>3878</v>
      </c>
      <c r="D90" s="19">
        <v>607710</v>
      </c>
      <c r="E90" s="39" t="s">
        <v>5828</v>
      </c>
      <c r="F90" s="30" t="s">
        <v>5881</v>
      </c>
      <c r="G90" s="30"/>
    </row>
    <row r="91" spans="1:7" ht="24.9" customHeight="1">
      <c r="A91" s="39"/>
      <c r="B91" s="20" t="s">
        <v>1387</v>
      </c>
      <c r="C91" s="19" t="s">
        <v>462</v>
      </c>
      <c r="D91" s="19">
        <v>603256</v>
      </c>
      <c r="E91" s="39" t="s">
        <v>5850</v>
      </c>
      <c r="F91" s="30" t="s">
        <v>5982</v>
      </c>
      <c r="G91" s="30"/>
    </row>
    <row r="92" spans="1:7" ht="24.9" customHeight="1">
      <c r="A92" s="39"/>
      <c r="B92" s="39" t="s">
        <v>1624</v>
      </c>
      <c r="C92" s="39" t="s">
        <v>5863</v>
      </c>
      <c r="D92" s="39">
        <v>606737</v>
      </c>
      <c r="E92" s="39" t="s">
        <v>5866</v>
      </c>
      <c r="F92" s="39"/>
      <c r="G92" s="39"/>
    </row>
    <row r="93" spans="1:7" ht="24.9" customHeight="1">
      <c r="A93" s="39"/>
      <c r="B93" s="39" t="s">
        <v>5862</v>
      </c>
      <c r="C93" s="39">
        <v>55034848</v>
      </c>
      <c r="D93" s="39">
        <v>607358</v>
      </c>
      <c r="E93" s="39" t="s">
        <v>5867</v>
      </c>
      <c r="F93" s="39" t="s">
        <v>6852</v>
      </c>
      <c r="G93" s="39"/>
    </row>
    <row r="94" spans="1:7" ht="24.9" customHeight="1">
      <c r="A94" s="39"/>
      <c r="B94" s="39" t="s">
        <v>5864</v>
      </c>
      <c r="C94" s="39">
        <v>52140201359</v>
      </c>
      <c r="D94" s="39" t="s">
        <v>85</v>
      </c>
      <c r="E94" s="39" t="s">
        <v>5865</v>
      </c>
      <c r="F94" s="39" t="s">
        <v>6852</v>
      </c>
      <c r="G94" s="39"/>
    </row>
    <row r="95" spans="1:7" ht="24.9" customHeight="1">
      <c r="A95" s="39"/>
      <c r="B95" s="39" t="s">
        <v>318</v>
      </c>
      <c r="C95" s="39" t="s">
        <v>2536</v>
      </c>
      <c r="D95" s="39" t="s">
        <v>5976</v>
      </c>
      <c r="E95" s="39" t="s">
        <v>5977</v>
      </c>
      <c r="F95" s="30" t="s">
        <v>6033</v>
      </c>
      <c r="G95" s="30"/>
    </row>
    <row r="96" spans="1:7" ht="24.9" customHeight="1">
      <c r="A96" s="39"/>
      <c r="B96" s="20" t="s">
        <v>1791</v>
      </c>
      <c r="C96" s="39" t="s">
        <v>337</v>
      </c>
      <c r="D96" s="39" t="s">
        <v>6000</v>
      </c>
      <c r="E96" s="18" t="s">
        <v>6001</v>
      </c>
      <c r="F96" s="18"/>
      <c r="G96" s="18"/>
    </row>
    <row r="97" spans="1:7" ht="24.9" customHeight="1">
      <c r="A97" s="39"/>
      <c r="B97" s="20" t="s">
        <v>320</v>
      </c>
      <c r="C97" s="39" t="s">
        <v>953</v>
      </c>
      <c r="D97" s="39" t="s">
        <v>6002</v>
      </c>
      <c r="E97" s="39" t="s">
        <v>6003</v>
      </c>
      <c r="F97" s="30" t="s">
        <v>6052</v>
      </c>
      <c r="G97" s="30"/>
    </row>
    <row r="98" spans="1:7" ht="24.9" customHeight="1">
      <c r="A98" s="39"/>
      <c r="B98" s="20" t="s">
        <v>744</v>
      </c>
      <c r="C98" s="43">
        <v>722011109029933</v>
      </c>
      <c r="D98" s="39" t="s">
        <v>6004</v>
      </c>
      <c r="E98" s="18" t="s">
        <v>6005</v>
      </c>
      <c r="F98" s="30" t="s">
        <v>6052</v>
      </c>
      <c r="G98" s="30"/>
    </row>
    <row r="99" spans="1:7" ht="24.9" customHeight="1">
      <c r="A99" s="39"/>
      <c r="B99" s="39" t="s">
        <v>2922</v>
      </c>
      <c r="C99" s="39" t="s">
        <v>2955</v>
      </c>
      <c r="D99" s="39">
        <v>626436</v>
      </c>
      <c r="E99" s="39" t="s">
        <v>6046</v>
      </c>
      <c r="F99" s="39" t="s">
        <v>6192</v>
      </c>
      <c r="G99" s="39"/>
    </row>
    <row r="100" spans="1:7" ht="24.9" customHeight="1">
      <c r="A100" s="39"/>
      <c r="B100" s="39" t="s">
        <v>332</v>
      </c>
      <c r="C100" s="39" t="s">
        <v>1705</v>
      </c>
      <c r="D100" s="39" t="s">
        <v>6163</v>
      </c>
      <c r="E100" s="39" t="s">
        <v>6164</v>
      </c>
      <c r="F100" s="30" t="s">
        <v>6225</v>
      </c>
      <c r="G100" s="30"/>
    </row>
    <row r="101" spans="1:7" ht="24.9" customHeight="1">
      <c r="A101" s="39"/>
      <c r="B101" s="20" t="s">
        <v>320</v>
      </c>
      <c r="C101" s="39" t="s">
        <v>955</v>
      </c>
      <c r="D101" s="39" t="s">
        <v>6170</v>
      </c>
      <c r="E101" s="39" t="s">
        <v>6171</v>
      </c>
      <c r="F101" s="30" t="s">
        <v>6225</v>
      </c>
      <c r="G101" s="30"/>
    </row>
    <row r="102" spans="1:7" ht="24.9" customHeight="1">
      <c r="A102" s="39"/>
      <c r="B102" s="20" t="s">
        <v>646</v>
      </c>
      <c r="C102" s="49" t="s">
        <v>1912</v>
      </c>
      <c r="D102" s="19">
        <v>612411</v>
      </c>
      <c r="E102" s="39" t="s">
        <v>6204</v>
      </c>
      <c r="F102" s="30" t="s">
        <v>6489</v>
      </c>
      <c r="G102" s="30"/>
    </row>
    <row r="103" spans="1:7" ht="24.9" customHeight="1">
      <c r="A103" s="39"/>
      <c r="B103" s="20" t="s">
        <v>560</v>
      </c>
      <c r="C103" s="20" t="s">
        <v>1327</v>
      </c>
      <c r="D103" s="19">
        <v>605405</v>
      </c>
      <c r="E103" s="39" t="s">
        <v>6456</v>
      </c>
      <c r="F103" s="30" t="s">
        <v>6457</v>
      </c>
      <c r="G103" s="30"/>
    </row>
    <row r="104" spans="1:7" ht="24.9" customHeight="1">
      <c r="A104" s="39"/>
      <c r="B104" s="20" t="s">
        <v>3153</v>
      </c>
      <c r="C104" s="39" t="s">
        <v>6470</v>
      </c>
      <c r="D104" s="20">
        <v>613612</v>
      </c>
      <c r="E104" s="39" t="s">
        <v>6471</v>
      </c>
      <c r="F104" s="39"/>
      <c r="G104" s="39"/>
    </row>
    <row r="105" spans="1:7" ht="24.9" customHeight="1">
      <c r="A105" s="20"/>
      <c r="B105" s="20" t="s">
        <v>318</v>
      </c>
      <c r="C105" s="19" t="s">
        <v>2536</v>
      </c>
      <c r="D105" s="56">
        <v>618718</v>
      </c>
      <c r="E105" s="20" t="s">
        <v>6502</v>
      </c>
      <c r="F105" s="30" t="s">
        <v>6661</v>
      </c>
      <c r="G105" s="30"/>
    </row>
    <row r="106" spans="1:7" ht="24.9" customHeight="1">
      <c r="A106" s="20"/>
      <c r="B106" s="31" t="s">
        <v>414</v>
      </c>
      <c r="C106" s="31" t="s">
        <v>415</v>
      </c>
      <c r="D106" s="31">
        <v>600148</v>
      </c>
      <c r="E106" s="20" t="s">
        <v>6547</v>
      </c>
      <c r="F106" s="30" t="s">
        <v>6661</v>
      </c>
      <c r="G106" s="30"/>
    </row>
    <row r="107" spans="1:7" ht="24.9" customHeight="1">
      <c r="A107" s="20"/>
      <c r="B107" s="20" t="s">
        <v>284</v>
      </c>
      <c r="C107" s="19">
        <v>55034848</v>
      </c>
      <c r="D107" s="19">
        <v>607358</v>
      </c>
      <c r="E107" s="20" t="s">
        <v>6548</v>
      </c>
      <c r="F107" s="30" t="s">
        <v>6661</v>
      </c>
      <c r="G107" s="30"/>
    </row>
    <row r="108" spans="1:7" ht="24.9" customHeight="1">
      <c r="A108" s="20"/>
      <c r="B108" s="19" t="s">
        <v>564</v>
      </c>
      <c r="C108" s="39" t="s">
        <v>1471</v>
      </c>
      <c r="D108" s="19">
        <v>611795</v>
      </c>
      <c r="E108" s="20" t="s">
        <v>6560</v>
      </c>
      <c r="F108" s="30" t="s">
        <v>6661</v>
      </c>
      <c r="G108" s="30"/>
    </row>
    <row r="109" spans="1:7" ht="24.9" customHeight="1">
      <c r="A109" s="20"/>
      <c r="B109" s="20" t="s">
        <v>320</v>
      </c>
      <c r="C109" s="20" t="s">
        <v>1702</v>
      </c>
      <c r="D109" s="19">
        <v>605818</v>
      </c>
      <c r="E109" s="20" t="s">
        <v>2563</v>
      </c>
      <c r="F109" s="30" t="s">
        <v>6824</v>
      </c>
      <c r="G109" s="30"/>
    </row>
    <row r="110" spans="1:7" ht="24.9" customHeight="1">
      <c r="A110" s="20"/>
      <c r="B110" s="20" t="s">
        <v>4801</v>
      </c>
      <c r="C110" s="20" t="s">
        <v>4799</v>
      </c>
      <c r="D110" s="20">
        <v>630672</v>
      </c>
      <c r="E110" s="31" t="s">
        <v>4609</v>
      </c>
      <c r="F110" s="30" t="s">
        <v>7137</v>
      </c>
      <c r="G110" s="30"/>
    </row>
    <row r="111" spans="1:7" ht="24.9" customHeight="1">
      <c r="A111" s="20"/>
      <c r="B111" s="20" t="s">
        <v>393</v>
      </c>
      <c r="C111" s="20" t="s">
        <v>394</v>
      </c>
      <c r="D111" s="20">
        <v>620377</v>
      </c>
      <c r="E111" s="20" t="s">
        <v>2563</v>
      </c>
      <c r="F111" s="30" t="s">
        <v>6911</v>
      </c>
      <c r="G111" s="30"/>
    </row>
    <row r="112" spans="1:7" ht="24.9" customHeight="1">
      <c r="A112" s="20"/>
      <c r="B112" s="20" t="s">
        <v>452</v>
      </c>
      <c r="C112" s="20" t="s">
        <v>453</v>
      </c>
      <c r="D112" s="18">
        <v>615555</v>
      </c>
      <c r="E112" s="20" t="s">
        <v>6982</v>
      </c>
      <c r="F112" s="30" t="s">
        <v>7016</v>
      </c>
      <c r="G112" s="30"/>
    </row>
    <row r="113" spans="1:7" ht="24.9" customHeight="1">
      <c r="A113" s="20"/>
      <c r="B113" s="20" t="s">
        <v>4747</v>
      </c>
      <c r="C113" s="20"/>
      <c r="D113" s="20">
        <v>623660</v>
      </c>
      <c r="E113" s="20" t="s">
        <v>7112</v>
      </c>
      <c r="F113" s="20"/>
      <c r="G113" s="20"/>
    </row>
    <row r="114" spans="1:7" ht="24.9" customHeight="1">
      <c r="A114" s="20"/>
      <c r="B114" s="20" t="s">
        <v>5646</v>
      </c>
      <c r="C114" s="20" t="s">
        <v>5671</v>
      </c>
      <c r="D114" s="20">
        <v>605849</v>
      </c>
      <c r="E114" s="20" t="s">
        <v>7190</v>
      </c>
      <c r="F114" s="20" t="s">
        <v>7191</v>
      </c>
      <c r="G114" s="20"/>
    </row>
    <row r="115" spans="1:7" ht="24.9" customHeight="1">
      <c r="A115" s="20"/>
      <c r="B115" s="20" t="s">
        <v>7156</v>
      </c>
      <c r="C115" s="20" t="s">
        <v>316</v>
      </c>
      <c r="D115" s="20">
        <v>602958</v>
      </c>
      <c r="E115" s="20" t="s">
        <v>7157</v>
      </c>
      <c r="F115" s="20" t="s">
        <v>7213</v>
      </c>
      <c r="G115" s="20"/>
    </row>
    <row r="116" spans="1:7" ht="24.9" customHeight="1">
      <c r="A116" s="20"/>
      <c r="B116" s="20" t="s">
        <v>744</v>
      </c>
      <c r="C116" s="20" t="s">
        <v>1422</v>
      </c>
      <c r="D116" s="20">
        <v>603253</v>
      </c>
      <c r="E116" s="20" t="s">
        <v>7169</v>
      </c>
      <c r="F116" s="20" t="s">
        <v>7191</v>
      </c>
      <c r="G116" s="20"/>
    </row>
    <row r="117" spans="1:7" ht="24.9" customHeight="1">
      <c r="A117" s="20"/>
      <c r="B117" s="20" t="s">
        <v>7170</v>
      </c>
      <c r="C117" s="20" t="s">
        <v>1916</v>
      </c>
      <c r="D117" s="20" t="s">
        <v>525</v>
      </c>
      <c r="E117" s="20" t="s">
        <v>7171</v>
      </c>
      <c r="F117" s="20" t="s">
        <v>7191</v>
      </c>
      <c r="G117" s="20"/>
    </row>
    <row r="118" spans="1:7" ht="24.9" customHeight="1">
      <c r="A118" s="20"/>
      <c r="B118" s="69" t="s">
        <v>5554</v>
      </c>
      <c r="C118" s="20" t="s">
        <v>5553</v>
      </c>
      <c r="D118" s="69">
        <v>623352</v>
      </c>
      <c r="E118" s="20" t="s">
        <v>7201</v>
      </c>
      <c r="F118" s="20"/>
      <c r="G118" s="20"/>
    </row>
    <row r="119" spans="1:7" ht="24.9" customHeight="1">
      <c r="A119" s="20"/>
      <c r="B119" s="20" t="s">
        <v>744</v>
      </c>
      <c r="C119" s="19" t="s">
        <v>526</v>
      </c>
      <c r="D119" s="20">
        <v>605848</v>
      </c>
      <c r="E119" s="20" t="s">
        <v>7228</v>
      </c>
      <c r="F119" s="20" t="s">
        <v>7331</v>
      </c>
      <c r="G119" s="20"/>
    </row>
    <row r="120" spans="1:7" ht="24.9" customHeight="1">
      <c r="A120" s="20"/>
      <c r="B120" s="20" t="s">
        <v>4802</v>
      </c>
      <c r="C120" s="20" t="s">
        <v>5574</v>
      </c>
      <c r="D120" s="20">
        <v>631870</v>
      </c>
      <c r="E120" s="20" t="s">
        <v>7229</v>
      </c>
      <c r="F120" s="20" t="s">
        <v>7258</v>
      </c>
      <c r="G120" s="20"/>
    </row>
    <row r="121" spans="1:7" ht="24.9" customHeight="1">
      <c r="A121" s="20"/>
      <c r="B121" s="20" t="s">
        <v>2221</v>
      </c>
      <c r="C121" s="19" t="s">
        <v>2220</v>
      </c>
      <c r="D121" s="20">
        <v>633786</v>
      </c>
      <c r="E121" s="20" t="s">
        <v>7229</v>
      </c>
      <c r="F121" s="20" t="s">
        <v>7258</v>
      </c>
      <c r="G121" s="20"/>
    </row>
    <row r="122" spans="1:7" ht="24.9" customHeight="1">
      <c r="A122" s="20"/>
      <c r="B122" s="20" t="s">
        <v>2087</v>
      </c>
      <c r="C122" s="20" t="s">
        <v>2099</v>
      </c>
      <c r="D122" s="20">
        <v>628297</v>
      </c>
      <c r="E122" s="20" t="s">
        <v>7229</v>
      </c>
      <c r="F122" s="20" t="s">
        <v>6192</v>
      </c>
      <c r="G122" s="20"/>
    </row>
    <row r="123" spans="1:7" ht="24.9" customHeight="1">
      <c r="A123" s="20"/>
      <c r="B123" s="20" t="s">
        <v>7252</v>
      </c>
      <c r="C123" s="20"/>
      <c r="D123" s="20">
        <v>605837</v>
      </c>
      <c r="E123" s="20" t="s">
        <v>7255</v>
      </c>
      <c r="F123" s="20" t="s">
        <v>7331</v>
      </c>
      <c r="G123" s="20"/>
    </row>
    <row r="124" spans="1:7" ht="24.9" customHeight="1">
      <c r="A124" s="20"/>
      <c r="B124" s="20" t="s">
        <v>7253</v>
      </c>
      <c r="C124" s="20"/>
      <c r="D124" s="20">
        <v>620376</v>
      </c>
      <c r="E124" s="20" t="s">
        <v>7256</v>
      </c>
      <c r="F124" s="20" t="s">
        <v>7331</v>
      </c>
      <c r="G124" s="20"/>
    </row>
    <row r="125" spans="1:7" ht="24.9" customHeight="1">
      <c r="A125" s="20"/>
      <c r="B125" s="20" t="s">
        <v>7254</v>
      </c>
      <c r="C125" s="20"/>
      <c r="D125" s="20">
        <v>632355</v>
      </c>
      <c r="E125" s="20" t="s">
        <v>7257</v>
      </c>
      <c r="F125" s="20" t="s">
        <v>7258</v>
      </c>
      <c r="G125" s="20"/>
    </row>
    <row r="126" spans="1:7" ht="24.9" customHeight="1">
      <c r="A126" s="20"/>
      <c r="B126" s="44" t="s">
        <v>332</v>
      </c>
      <c r="C126" s="36" t="s">
        <v>3291</v>
      </c>
      <c r="D126" s="19">
        <v>622491</v>
      </c>
      <c r="E126" s="20" t="s">
        <v>7336</v>
      </c>
      <c r="F126" s="20" t="s">
        <v>7391</v>
      </c>
      <c r="G126" s="20"/>
    </row>
    <row r="127" spans="1:7" ht="24.9" customHeight="1">
      <c r="A127" s="20"/>
      <c r="B127" s="20" t="s">
        <v>890</v>
      </c>
      <c r="C127" s="19" t="s">
        <v>1601</v>
      </c>
      <c r="D127" s="19">
        <v>634093</v>
      </c>
      <c r="E127" s="20" t="s">
        <v>7339</v>
      </c>
      <c r="F127" s="20" t="s">
        <v>7391</v>
      </c>
      <c r="G127" s="20"/>
    </row>
    <row r="128" spans="1:7" ht="24.9" customHeight="1">
      <c r="A128" s="20"/>
      <c r="B128" s="20" t="s">
        <v>7390</v>
      </c>
      <c r="C128" s="20"/>
      <c r="D128" s="19">
        <v>633647</v>
      </c>
      <c r="E128" s="20" t="s">
        <v>8047</v>
      </c>
      <c r="F128" s="44" t="s">
        <v>8045</v>
      </c>
      <c r="G128" s="44"/>
    </row>
    <row r="129" spans="1:7" ht="24.9" customHeight="1">
      <c r="A129" s="20"/>
      <c r="B129" s="20" t="s">
        <v>320</v>
      </c>
      <c r="C129" s="39" t="s">
        <v>1178</v>
      </c>
      <c r="D129" s="56">
        <v>613925</v>
      </c>
      <c r="E129" s="20" t="s">
        <v>7397</v>
      </c>
      <c r="F129" s="20" t="s">
        <v>7555</v>
      </c>
      <c r="G129" s="20"/>
    </row>
    <row r="130" spans="1:7" ht="24.9" customHeight="1">
      <c r="A130" s="44"/>
      <c r="B130" s="44" t="s">
        <v>823</v>
      </c>
      <c r="C130" s="44"/>
      <c r="D130" s="44">
        <v>618450</v>
      </c>
      <c r="E130" s="44" t="s">
        <v>7502</v>
      </c>
      <c r="F130" s="20" t="s">
        <v>7555</v>
      </c>
      <c r="G130" s="20"/>
    </row>
    <row r="131" spans="1:7" ht="24.9" customHeight="1">
      <c r="A131" s="44"/>
      <c r="B131" s="20" t="s">
        <v>5835</v>
      </c>
      <c r="C131" s="44"/>
      <c r="D131" s="44">
        <v>631932</v>
      </c>
      <c r="E131" s="44" t="s">
        <v>7503</v>
      </c>
      <c r="F131" s="72" t="s">
        <v>7137</v>
      </c>
      <c r="G131" s="72"/>
    </row>
    <row r="132" spans="1:7" ht="24.9" customHeight="1">
      <c r="A132" s="44"/>
      <c r="B132" s="20" t="s">
        <v>5355</v>
      </c>
      <c r="C132" s="49" t="s">
        <v>5353</v>
      </c>
      <c r="D132" s="19">
        <v>631505</v>
      </c>
      <c r="E132" s="44" t="s">
        <v>7504</v>
      </c>
      <c r="F132" s="20" t="s">
        <v>7549</v>
      </c>
      <c r="G132" s="20"/>
    </row>
    <row r="133" spans="1:7" ht="24.9" customHeight="1">
      <c r="A133" s="44"/>
      <c r="B133" s="20" t="s">
        <v>744</v>
      </c>
      <c r="C133" s="39" t="s">
        <v>4482</v>
      </c>
      <c r="D133" s="19">
        <v>603691</v>
      </c>
      <c r="E133" s="20" t="s">
        <v>7518</v>
      </c>
      <c r="F133" s="20" t="s">
        <v>7554</v>
      </c>
      <c r="G133" s="20"/>
    </row>
    <row r="134" spans="1:7" ht="24.9" customHeight="1">
      <c r="A134" s="44"/>
      <c r="B134" s="20" t="s">
        <v>332</v>
      </c>
      <c r="C134" s="20" t="s">
        <v>2204</v>
      </c>
      <c r="D134" s="71">
        <v>633628</v>
      </c>
      <c r="E134" s="20" t="s">
        <v>7518</v>
      </c>
      <c r="F134" s="20" t="s">
        <v>7554</v>
      </c>
      <c r="G134" s="20"/>
    </row>
    <row r="135" spans="1:7" ht="24.9" customHeight="1">
      <c r="A135" s="44"/>
      <c r="B135" s="20" t="s">
        <v>5320</v>
      </c>
      <c r="C135" s="20" t="s">
        <v>5817</v>
      </c>
      <c r="D135" s="20">
        <v>631485</v>
      </c>
      <c r="E135" s="20" t="s">
        <v>8046</v>
      </c>
      <c r="F135" s="44" t="s">
        <v>8045</v>
      </c>
      <c r="G135" s="44"/>
    </row>
    <row r="136" spans="1:7" ht="24.9" customHeight="1">
      <c r="A136" s="44"/>
      <c r="B136" s="20" t="s">
        <v>320</v>
      </c>
      <c r="C136" s="20" t="s">
        <v>4253</v>
      </c>
      <c r="D136" s="20">
        <v>603224</v>
      </c>
      <c r="E136" s="44" t="s">
        <v>7589</v>
      </c>
      <c r="F136" s="44"/>
      <c r="G136" s="44"/>
    </row>
    <row r="137" spans="1:7" ht="24.9" customHeight="1">
      <c r="A137" s="44"/>
      <c r="B137" s="20" t="s">
        <v>1638</v>
      </c>
      <c r="C137" s="20" t="s">
        <v>544</v>
      </c>
      <c r="D137" s="20">
        <v>613502</v>
      </c>
      <c r="E137" s="20" t="s">
        <v>7664</v>
      </c>
      <c r="F137" s="44"/>
      <c r="G137" s="44"/>
    </row>
    <row r="138" spans="1:7" ht="24.9" customHeight="1">
      <c r="A138" s="44"/>
      <c r="B138" s="20" t="s">
        <v>4153</v>
      </c>
      <c r="C138" s="20" t="s">
        <v>4152</v>
      </c>
      <c r="D138" s="20">
        <v>632355</v>
      </c>
      <c r="E138" s="20" t="s">
        <v>7664</v>
      </c>
      <c r="F138" s="44"/>
      <c r="G138" s="44"/>
    </row>
    <row r="139" spans="1:7" ht="24.9" customHeight="1">
      <c r="A139" s="44"/>
      <c r="B139" s="20" t="s">
        <v>1071</v>
      </c>
      <c r="C139" s="20" t="s">
        <v>1072</v>
      </c>
      <c r="D139" s="20">
        <v>626297</v>
      </c>
      <c r="E139" s="20" t="s">
        <v>7665</v>
      </c>
      <c r="F139" s="44"/>
      <c r="G139" s="44"/>
    </row>
    <row r="140" spans="1:7" ht="24.9" customHeight="1">
      <c r="A140" s="20"/>
      <c r="B140" s="20" t="s">
        <v>6593</v>
      </c>
      <c r="C140" s="20" t="s">
        <v>6619</v>
      </c>
      <c r="D140" s="20">
        <v>633796</v>
      </c>
      <c r="E140" s="20" t="s">
        <v>7683</v>
      </c>
      <c r="F140" s="20" t="s">
        <v>7684</v>
      </c>
      <c r="G140" s="20"/>
    </row>
    <row r="141" spans="1:7" ht="24.9" customHeight="1">
      <c r="A141" s="20"/>
      <c r="B141" s="20" t="s">
        <v>5206</v>
      </c>
      <c r="C141" s="47" t="s">
        <v>5191</v>
      </c>
      <c r="D141" s="47">
        <v>634579</v>
      </c>
      <c r="E141" s="20" t="s">
        <v>7702</v>
      </c>
      <c r="F141" s="20"/>
      <c r="G141" s="20"/>
    </row>
    <row r="142" spans="1:7" ht="24.9" customHeight="1">
      <c r="A142" s="20"/>
      <c r="B142" s="20" t="s">
        <v>320</v>
      </c>
      <c r="C142" s="70" t="s">
        <v>1891</v>
      </c>
      <c r="D142" s="20">
        <v>618637</v>
      </c>
      <c r="E142" s="20" t="s">
        <v>7797</v>
      </c>
      <c r="F142" s="20" t="s">
        <v>7922</v>
      </c>
      <c r="G142" s="20"/>
    </row>
    <row r="143" spans="1:7" ht="24.9" customHeight="1">
      <c r="A143" s="20"/>
      <c r="B143" s="20" t="s">
        <v>332</v>
      </c>
      <c r="C143" s="20" t="s">
        <v>1896</v>
      </c>
      <c r="D143" s="20">
        <v>604616</v>
      </c>
      <c r="E143" s="20" t="s">
        <v>7797</v>
      </c>
      <c r="F143" s="20" t="s">
        <v>7922</v>
      </c>
      <c r="G143" s="20"/>
    </row>
    <row r="144" spans="1:7" ht="24.9" customHeight="1">
      <c r="A144" s="20"/>
      <c r="B144" s="20" t="s">
        <v>6594</v>
      </c>
      <c r="C144" s="19" t="s">
        <v>6620</v>
      </c>
      <c r="D144" s="19">
        <v>625109</v>
      </c>
      <c r="E144" s="20" t="s">
        <v>7923</v>
      </c>
      <c r="F144" s="20"/>
      <c r="G144" s="20"/>
    </row>
    <row r="145" spans="1:7" ht="24.9" customHeight="1">
      <c r="A145" s="20" t="s">
        <v>3145</v>
      </c>
      <c r="B145" s="20" t="s">
        <v>8057</v>
      </c>
      <c r="C145" s="19" t="s">
        <v>8053</v>
      </c>
      <c r="D145" s="19" t="s">
        <v>291</v>
      </c>
      <c r="E145" s="20"/>
      <c r="F145" s="20" t="s">
        <v>8054</v>
      </c>
      <c r="G145" s="20" t="s">
        <v>8055</v>
      </c>
    </row>
    <row r="146" spans="1:7" ht="24.9" customHeight="1">
      <c r="A146" s="20"/>
      <c r="B146" s="20" t="s">
        <v>8059</v>
      </c>
      <c r="C146" s="19" t="s">
        <v>8058</v>
      </c>
      <c r="D146" s="19">
        <v>604876</v>
      </c>
      <c r="E146" s="20"/>
      <c r="F146" s="20" t="s">
        <v>8054</v>
      </c>
      <c r="G146" s="20" t="s">
        <v>8056</v>
      </c>
    </row>
    <row r="147" spans="1:7" ht="24.9" customHeight="1">
      <c r="A147" s="20" t="s">
        <v>3145</v>
      </c>
      <c r="B147" s="20" t="s">
        <v>6207</v>
      </c>
      <c r="C147" s="19" t="s">
        <v>6208</v>
      </c>
      <c r="D147" s="19" t="s">
        <v>291</v>
      </c>
      <c r="E147" s="20" t="s">
        <v>8069</v>
      </c>
      <c r="F147" s="20"/>
      <c r="G147" s="44" t="s">
        <v>8070</v>
      </c>
    </row>
    <row r="148" spans="1:7" ht="24.9" customHeight="1">
      <c r="A148" s="20" t="s">
        <v>2686</v>
      </c>
      <c r="B148" s="20" t="s">
        <v>332</v>
      </c>
      <c r="C148" s="19" t="s">
        <v>1636</v>
      </c>
      <c r="D148" s="19">
        <v>609755</v>
      </c>
      <c r="E148" s="20" t="s">
        <v>8085</v>
      </c>
      <c r="F148" s="20"/>
      <c r="G148" s="44"/>
    </row>
    <row r="149" spans="1:7" ht="24.9" customHeight="1">
      <c r="A149" s="20" t="s">
        <v>3322</v>
      </c>
      <c r="B149" s="20" t="s">
        <v>8038</v>
      </c>
      <c r="C149" s="19" t="s">
        <v>8033</v>
      </c>
      <c r="D149" s="19">
        <v>636541</v>
      </c>
      <c r="E149" s="20" t="s">
        <v>8142</v>
      </c>
      <c r="F149" s="20" t="s">
        <v>8271</v>
      </c>
      <c r="G149" s="44" t="s">
        <v>8272</v>
      </c>
    </row>
    <row r="150" spans="1:7" ht="24.9" customHeight="1">
      <c r="A150" s="20" t="s">
        <v>2686</v>
      </c>
      <c r="B150" s="20" t="s">
        <v>332</v>
      </c>
      <c r="C150" s="19" t="s">
        <v>3790</v>
      </c>
      <c r="D150" s="19">
        <v>605735</v>
      </c>
      <c r="E150" s="20" t="s">
        <v>8162</v>
      </c>
      <c r="F150" s="20"/>
      <c r="G150" s="44" t="s">
        <v>3451</v>
      </c>
    </row>
    <row r="151" spans="1:7" ht="24.9" customHeight="1">
      <c r="A151" s="20" t="s">
        <v>3383</v>
      </c>
      <c r="B151" s="20" t="s">
        <v>2131</v>
      </c>
      <c r="C151" s="19" t="s">
        <v>2738</v>
      </c>
      <c r="D151" s="19">
        <v>627699</v>
      </c>
      <c r="E151" s="20" t="s">
        <v>8170</v>
      </c>
      <c r="F151" s="20" t="s">
        <v>6852</v>
      </c>
      <c r="G151" s="44" t="s">
        <v>8171</v>
      </c>
    </row>
    <row r="152" spans="1:7" ht="24.9" customHeight="1">
      <c r="A152" s="20" t="s">
        <v>737</v>
      </c>
      <c r="B152" s="20" t="s">
        <v>1251</v>
      </c>
      <c r="C152" s="19" t="s">
        <v>1250</v>
      </c>
      <c r="D152" s="19">
        <v>601990</v>
      </c>
      <c r="E152" s="20" t="s">
        <v>8282</v>
      </c>
      <c r="F152" s="20" t="s">
        <v>8480</v>
      </c>
      <c r="G152" s="44" t="s">
        <v>8431</v>
      </c>
    </row>
    <row r="153" spans="1:7" ht="24.9" customHeight="1">
      <c r="A153" s="20" t="s">
        <v>737</v>
      </c>
      <c r="B153" s="20" t="s">
        <v>414</v>
      </c>
      <c r="C153" s="19" t="s">
        <v>4154</v>
      </c>
      <c r="D153" s="19">
        <v>632361</v>
      </c>
      <c r="E153" s="20" t="s">
        <v>8355</v>
      </c>
      <c r="F153" s="20" t="s">
        <v>8480</v>
      </c>
      <c r="G153" s="44" t="s">
        <v>6762</v>
      </c>
    </row>
  </sheetData>
  <autoFilter ref="A2:F153" xr:uid="{00000000-0001-0000-0400-000000000000}"/>
  <customSheetViews>
    <customSheetView guid="{4E9100F2-A511-4BAB-A26D-F817BBFCED8B}" scale="70" showAutoFilter="1">
      <pane ySplit="2" topLeftCell="A138" activePane="bottomLeft" state="frozen"/>
      <selection pane="bottomLeft" activeCell="D148" sqref="D148"/>
      <pageMargins left="0.7" right="0.7" top="0.75" bottom="0.75" header="0.3" footer="0.3"/>
      <pageSetup paperSize="9" orientation="portrait" r:id="rId1"/>
      <autoFilter ref="A2:F111" xr:uid="{0441F889-DD7B-4805-B387-C20AC77989A7}"/>
    </customSheetView>
  </customSheetViews>
  <mergeCells count="2">
    <mergeCell ref="A1:D1"/>
    <mergeCell ref="A19:F19"/>
  </mergeCells>
  <phoneticPr fontId="46" type="noConversion"/>
  <conditionalFormatting sqref="E3">
    <cfRule type="duplicateValues" dxfId="530" priority="633"/>
  </conditionalFormatting>
  <conditionalFormatting sqref="E4">
    <cfRule type="duplicateValues" dxfId="529" priority="632"/>
  </conditionalFormatting>
  <conditionalFormatting sqref="C5:D5">
    <cfRule type="duplicateValues" dxfId="528" priority="631"/>
  </conditionalFormatting>
  <conditionalFormatting sqref="E5">
    <cfRule type="duplicateValues" dxfId="527" priority="630"/>
  </conditionalFormatting>
  <conditionalFormatting sqref="D6">
    <cfRule type="duplicateValues" dxfId="526" priority="629"/>
  </conditionalFormatting>
  <conditionalFormatting sqref="C6">
    <cfRule type="duplicateValues" dxfId="525" priority="628"/>
  </conditionalFormatting>
  <conditionalFormatting sqref="C7">
    <cfRule type="duplicateValues" dxfId="524" priority="627"/>
  </conditionalFormatting>
  <conditionalFormatting sqref="C8">
    <cfRule type="duplicateValues" dxfId="523" priority="626"/>
  </conditionalFormatting>
  <conditionalFormatting sqref="C13:D13">
    <cfRule type="duplicateValues" dxfId="522" priority="625"/>
  </conditionalFormatting>
  <conditionalFormatting sqref="C14:D14">
    <cfRule type="duplicateValues" dxfId="521" priority="624"/>
  </conditionalFormatting>
  <conditionalFormatting sqref="C21">
    <cfRule type="duplicateValues" dxfId="520" priority="621"/>
  </conditionalFormatting>
  <conditionalFormatting sqref="C16:D18 D20">
    <cfRule type="duplicateValues" dxfId="519" priority="19657"/>
  </conditionalFormatting>
  <conditionalFormatting sqref="C25">
    <cfRule type="duplicateValues" dxfId="518" priority="620"/>
  </conditionalFormatting>
  <conditionalFormatting sqref="C33">
    <cfRule type="duplicateValues" dxfId="517" priority="619"/>
  </conditionalFormatting>
  <conditionalFormatting sqref="C34">
    <cfRule type="duplicateValues" dxfId="516" priority="618"/>
  </conditionalFormatting>
  <conditionalFormatting sqref="D35">
    <cfRule type="duplicateValues" dxfId="515" priority="613"/>
  </conditionalFormatting>
  <conditionalFormatting sqref="C35">
    <cfRule type="duplicateValues" dxfId="514" priority="614"/>
  </conditionalFormatting>
  <conditionalFormatting sqref="D35">
    <cfRule type="duplicateValues" dxfId="513" priority="615"/>
  </conditionalFormatting>
  <conditionalFormatting sqref="D35">
    <cfRule type="duplicateValues" dxfId="512" priority="616"/>
    <cfRule type="duplicateValues" dxfId="511" priority="617"/>
  </conditionalFormatting>
  <conditionalFormatting sqref="C36">
    <cfRule type="duplicateValues" dxfId="510" priority="612"/>
  </conditionalFormatting>
  <conditionalFormatting sqref="B37:C37 C38:C46">
    <cfRule type="duplicateValues" dxfId="509" priority="604"/>
  </conditionalFormatting>
  <conditionalFormatting sqref="C48 C55">
    <cfRule type="duplicateValues" dxfId="508" priority="603"/>
  </conditionalFormatting>
  <conditionalFormatting sqref="C51">
    <cfRule type="duplicateValues" dxfId="507" priority="600"/>
  </conditionalFormatting>
  <conditionalFormatting sqref="D51">
    <cfRule type="duplicateValues" dxfId="506" priority="601"/>
  </conditionalFormatting>
  <conditionalFormatting sqref="D51">
    <cfRule type="duplicateValues" dxfId="505" priority="602"/>
  </conditionalFormatting>
  <conditionalFormatting sqref="D51">
    <cfRule type="duplicateValues" dxfId="504" priority="599"/>
  </conditionalFormatting>
  <conditionalFormatting sqref="C49">
    <cfRule type="duplicateValues" dxfId="503" priority="598"/>
  </conditionalFormatting>
  <conditionalFormatting sqref="C52">
    <cfRule type="duplicateValues" dxfId="502" priority="596"/>
  </conditionalFormatting>
  <conditionalFormatting sqref="D52">
    <cfRule type="duplicateValues" dxfId="501" priority="597"/>
  </conditionalFormatting>
  <conditionalFormatting sqref="D52">
    <cfRule type="duplicateValues" dxfId="500" priority="595"/>
  </conditionalFormatting>
  <conditionalFormatting sqref="D53">
    <cfRule type="duplicateValues" dxfId="499" priority="594"/>
  </conditionalFormatting>
  <conditionalFormatting sqref="D53">
    <cfRule type="duplicateValues" dxfId="498" priority="593"/>
  </conditionalFormatting>
  <conditionalFormatting sqref="D54">
    <cfRule type="duplicateValues" dxfId="497" priority="591"/>
  </conditionalFormatting>
  <conditionalFormatting sqref="C54">
    <cfRule type="duplicateValues" dxfId="496" priority="592"/>
  </conditionalFormatting>
  <conditionalFormatting sqref="D54">
    <cfRule type="duplicateValues" dxfId="495" priority="590"/>
  </conditionalFormatting>
  <conditionalFormatting sqref="D56">
    <cfRule type="duplicateValues" dxfId="494" priority="588"/>
  </conditionalFormatting>
  <conditionalFormatting sqref="D56">
    <cfRule type="duplicateValues" dxfId="493" priority="589"/>
  </conditionalFormatting>
  <conditionalFormatting sqref="D57">
    <cfRule type="duplicateValues" dxfId="492" priority="585"/>
  </conditionalFormatting>
  <conditionalFormatting sqref="D57">
    <cfRule type="duplicateValues" dxfId="491" priority="586"/>
  </conditionalFormatting>
  <conditionalFormatting sqref="C57">
    <cfRule type="duplicateValues" dxfId="490" priority="587"/>
  </conditionalFormatting>
  <conditionalFormatting sqref="D58">
    <cfRule type="duplicateValues" dxfId="489" priority="583"/>
  </conditionalFormatting>
  <conditionalFormatting sqref="D58">
    <cfRule type="duplicateValues" dxfId="488" priority="584"/>
  </conditionalFormatting>
  <conditionalFormatting sqref="C59">
    <cfRule type="duplicateValues" dxfId="487" priority="580"/>
  </conditionalFormatting>
  <conditionalFormatting sqref="D59">
    <cfRule type="duplicateValues" dxfId="486" priority="581"/>
  </conditionalFormatting>
  <conditionalFormatting sqref="D59">
    <cfRule type="duplicateValues" dxfId="485" priority="582"/>
  </conditionalFormatting>
  <conditionalFormatting sqref="D60">
    <cfRule type="duplicateValues" dxfId="484" priority="578"/>
  </conditionalFormatting>
  <conditionalFormatting sqref="D60">
    <cfRule type="duplicateValues" dxfId="483" priority="579"/>
  </conditionalFormatting>
  <conditionalFormatting sqref="B62:D62">
    <cfRule type="duplicateValues" dxfId="482" priority="576"/>
  </conditionalFormatting>
  <conditionalFormatting sqref="C61">
    <cfRule type="duplicateValues" dxfId="481" priority="573"/>
  </conditionalFormatting>
  <conditionalFormatting sqref="D61">
    <cfRule type="duplicateValues" dxfId="480" priority="574"/>
  </conditionalFormatting>
  <conditionalFormatting sqref="D61">
    <cfRule type="duplicateValues" dxfId="479" priority="575"/>
  </conditionalFormatting>
  <conditionalFormatting sqref="C63">
    <cfRule type="duplicateValues" dxfId="478" priority="570"/>
  </conditionalFormatting>
  <conditionalFormatting sqref="D63">
    <cfRule type="duplicateValues" dxfId="477" priority="571"/>
  </conditionalFormatting>
  <conditionalFormatting sqref="D63">
    <cfRule type="duplicateValues" dxfId="476" priority="572"/>
  </conditionalFormatting>
  <conditionalFormatting sqref="C72">
    <cfRule type="duplicateValues" dxfId="475" priority="557"/>
  </conditionalFormatting>
  <conditionalFormatting sqref="C73">
    <cfRule type="duplicateValues" dxfId="474" priority="556"/>
  </conditionalFormatting>
  <conditionalFormatting sqref="D73">
    <cfRule type="duplicateValues" dxfId="473" priority="555"/>
  </conditionalFormatting>
  <conditionalFormatting sqref="D73">
    <cfRule type="duplicateValues" dxfId="472" priority="554"/>
  </conditionalFormatting>
  <conditionalFormatting sqref="D73">
    <cfRule type="duplicateValues" dxfId="471" priority="553"/>
  </conditionalFormatting>
  <conditionalFormatting sqref="C74">
    <cfRule type="duplicateValues" dxfId="470" priority="552"/>
  </conditionalFormatting>
  <conditionalFormatting sqref="D74">
    <cfRule type="duplicateValues" dxfId="469" priority="551"/>
  </conditionalFormatting>
  <conditionalFormatting sqref="D74">
    <cfRule type="duplicateValues" dxfId="468" priority="550"/>
  </conditionalFormatting>
  <conditionalFormatting sqref="D74">
    <cfRule type="duplicateValues" dxfId="467" priority="549"/>
  </conditionalFormatting>
  <conditionalFormatting sqref="C75">
    <cfRule type="duplicateValues" dxfId="466" priority="548"/>
  </conditionalFormatting>
  <conditionalFormatting sqref="D75">
    <cfRule type="duplicateValues" dxfId="465" priority="547"/>
  </conditionalFormatting>
  <conditionalFormatting sqref="D75">
    <cfRule type="duplicateValues" dxfId="464" priority="546"/>
  </conditionalFormatting>
  <conditionalFormatting sqref="D75">
    <cfRule type="duplicateValues" dxfId="463" priority="545"/>
  </conditionalFormatting>
  <conditionalFormatting sqref="D76">
    <cfRule type="duplicateValues" dxfId="462" priority="544"/>
  </conditionalFormatting>
  <conditionalFormatting sqref="D76">
    <cfRule type="duplicateValues" dxfId="461" priority="543"/>
  </conditionalFormatting>
  <conditionalFormatting sqref="D76">
    <cfRule type="duplicateValues" dxfId="460" priority="542"/>
  </conditionalFormatting>
  <conditionalFormatting sqref="D76">
    <cfRule type="duplicateValues" dxfId="459" priority="541"/>
  </conditionalFormatting>
  <conditionalFormatting sqref="C77">
    <cfRule type="duplicateValues" dxfId="458" priority="540"/>
  </conditionalFormatting>
  <conditionalFormatting sqref="D77">
    <cfRule type="duplicateValues" dxfId="457" priority="539"/>
  </conditionalFormatting>
  <conditionalFormatting sqref="D77">
    <cfRule type="duplicateValues" dxfId="456" priority="538"/>
  </conditionalFormatting>
  <conditionalFormatting sqref="D77">
    <cfRule type="duplicateValues" dxfId="455" priority="537"/>
  </conditionalFormatting>
  <conditionalFormatting sqref="D77">
    <cfRule type="duplicateValues" dxfId="454" priority="536"/>
  </conditionalFormatting>
  <conditionalFormatting sqref="C79">
    <cfRule type="duplicateValues" dxfId="453" priority="535"/>
  </conditionalFormatting>
  <conditionalFormatting sqref="D79">
    <cfRule type="duplicateValues" dxfId="452" priority="534"/>
  </conditionalFormatting>
  <conditionalFormatting sqref="D79">
    <cfRule type="duplicateValues" dxfId="451" priority="533"/>
  </conditionalFormatting>
  <conditionalFormatting sqref="D79">
    <cfRule type="duplicateValues" dxfId="450" priority="532"/>
  </conditionalFormatting>
  <conditionalFormatting sqref="D79">
    <cfRule type="duplicateValues" dxfId="449" priority="531"/>
  </conditionalFormatting>
  <conditionalFormatting sqref="D79">
    <cfRule type="duplicateValues" dxfId="448" priority="530"/>
  </conditionalFormatting>
  <conditionalFormatting sqref="A80:A82 E84 D85:E85 A84:A87 E86:E87">
    <cfRule type="duplicateValues" dxfId="447" priority="529"/>
  </conditionalFormatting>
  <conditionalFormatting sqref="D80">
    <cfRule type="duplicateValues" dxfId="446" priority="528"/>
  </conditionalFormatting>
  <conditionalFormatting sqref="D80">
    <cfRule type="duplicateValues" dxfId="445" priority="527"/>
  </conditionalFormatting>
  <conditionalFormatting sqref="D80">
    <cfRule type="duplicateValues" dxfId="444" priority="526"/>
  </conditionalFormatting>
  <conditionalFormatting sqref="D80">
    <cfRule type="duplicateValues" dxfId="443" priority="525"/>
  </conditionalFormatting>
  <conditionalFormatting sqref="D80">
    <cfRule type="duplicateValues" dxfId="442" priority="524"/>
  </conditionalFormatting>
  <conditionalFormatting sqref="C81">
    <cfRule type="duplicateValues" dxfId="441" priority="523"/>
  </conditionalFormatting>
  <conditionalFormatting sqref="D81">
    <cfRule type="duplicateValues" dxfId="440" priority="522"/>
  </conditionalFormatting>
  <conditionalFormatting sqref="D81">
    <cfRule type="duplicateValues" dxfId="439" priority="521"/>
  </conditionalFormatting>
  <conditionalFormatting sqref="D81">
    <cfRule type="duplicateValues" dxfId="438" priority="520"/>
  </conditionalFormatting>
  <conditionalFormatting sqref="D81">
    <cfRule type="duplicateValues" dxfId="437" priority="519"/>
  </conditionalFormatting>
  <conditionalFormatting sqref="D81">
    <cfRule type="duplicateValues" dxfId="436" priority="518"/>
  </conditionalFormatting>
  <conditionalFormatting sqref="C82">
    <cfRule type="duplicateValues" dxfId="435" priority="517"/>
  </conditionalFormatting>
  <conditionalFormatting sqref="D82">
    <cfRule type="duplicateValues" dxfId="434" priority="516"/>
  </conditionalFormatting>
  <conditionalFormatting sqref="D82">
    <cfRule type="duplicateValues" dxfId="433" priority="515"/>
  </conditionalFormatting>
  <conditionalFormatting sqref="D82">
    <cfRule type="duplicateValues" dxfId="432" priority="514"/>
  </conditionalFormatting>
  <conditionalFormatting sqref="D82">
    <cfRule type="duplicateValues" dxfId="431" priority="513"/>
  </conditionalFormatting>
  <conditionalFormatting sqref="D82">
    <cfRule type="duplicateValues" dxfId="430" priority="512"/>
  </conditionalFormatting>
  <conditionalFormatting sqref="C83">
    <cfRule type="duplicateValues" dxfId="429" priority="511"/>
  </conditionalFormatting>
  <conditionalFormatting sqref="D83">
    <cfRule type="duplicateValues" dxfId="428" priority="510"/>
  </conditionalFormatting>
  <conditionalFormatting sqref="D83">
    <cfRule type="duplicateValues" dxfId="427" priority="509"/>
  </conditionalFormatting>
  <conditionalFormatting sqref="D83">
    <cfRule type="duplicateValues" dxfId="426" priority="508"/>
  </conditionalFormatting>
  <conditionalFormatting sqref="D84">
    <cfRule type="duplicateValues" dxfId="425" priority="507"/>
  </conditionalFormatting>
  <conditionalFormatting sqref="D84">
    <cfRule type="duplicateValues" dxfId="424" priority="506"/>
  </conditionalFormatting>
  <conditionalFormatting sqref="D84">
    <cfRule type="duplicateValues" dxfId="423" priority="505"/>
  </conditionalFormatting>
  <conditionalFormatting sqref="D84">
    <cfRule type="duplicateValues" dxfId="422" priority="504"/>
  </conditionalFormatting>
  <conditionalFormatting sqref="D84">
    <cfRule type="duplicateValues" dxfId="421" priority="503"/>
  </conditionalFormatting>
  <conditionalFormatting sqref="D84">
    <cfRule type="duplicateValues" dxfId="420" priority="502"/>
  </conditionalFormatting>
  <conditionalFormatting sqref="D84">
    <cfRule type="duplicateValues" dxfId="419" priority="501"/>
  </conditionalFormatting>
  <conditionalFormatting sqref="D84">
    <cfRule type="duplicateValues" dxfId="418" priority="500"/>
  </conditionalFormatting>
  <conditionalFormatting sqref="C85">
    <cfRule type="duplicateValues" dxfId="417" priority="499"/>
  </conditionalFormatting>
  <conditionalFormatting sqref="C86">
    <cfRule type="duplicateValues" dxfId="416" priority="498"/>
  </conditionalFormatting>
  <conditionalFormatting sqref="D86">
    <cfRule type="duplicateValues" dxfId="415" priority="497"/>
  </conditionalFormatting>
  <conditionalFormatting sqref="D86">
    <cfRule type="duplicateValues" dxfId="414" priority="496"/>
  </conditionalFormatting>
  <conditionalFormatting sqref="D86">
    <cfRule type="duplicateValues" dxfId="413" priority="495"/>
  </conditionalFormatting>
  <conditionalFormatting sqref="D86">
    <cfRule type="duplicateValues" dxfId="412" priority="494"/>
  </conditionalFormatting>
  <conditionalFormatting sqref="D86">
    <cfRule type="duplicateValues" dxfId="411" priority="493"/>
  </conditionalFormatting>
  <conditionalFormatting sqref="D86">
    <cfRule type="duplicateValues" dxfId="410" priority="492"/>
  </conditionalFormatting>
  <conditionalFormatting sqref="D86">
    <cfRule type="duplicateValues" dxfId="409" priority="491"/>
  </conditionalFormatting>
  <conditionalFormatting sqref="D86">
    <cfRule type="duplicateValues" dxfId="408" priority="490"/>
  </conditionalFormatting>
  <conditionalFormatting sqref="A88 E88">
    <cfRule type="duplicateValues" dxfId="407" priority="489"/>
  </conditionalFormatting>
  <conditionalFormatting sqref="A89 E89">
    <cfRule type="duplicateValues" dxfId="406" priority="488"/>
  </conditionalFormatting>
  <conditionalFormatting sqref="A90">
    <cfRule type="duplicateValues" dxfId="405" priority="487"/>
  </conditionalFormatting>
  <conditionalFormatting sqref="A91 E91">
    <cfRule type="duplicateValues" dxfId="404" priority="486"/>
  </conditionalFormatting>
  <conditionalFormatting sqref="D87">
    <cfRule type="duplicateValues" dxfId="403" priority="485"/>
  </conditionalFormatting>
  <conditionalFormatting sqref="D87">
    <cfRule type="duplicateValues" dxfId="402" priority="484"/>
  </conditionalFormatting>
  <conditionalFormatting sqref="D87">
    <cfRule type="duplicateValues" dxfId="401" priority="483"/>
  </conditionalFormatting>
  <conditionalFormatting sqref="D87">
    <cfRule type="duplicateValues" dxfId="400" priority="482"/>
  </conditionalFormatting>
  <conditionalFormatting sqref="D87">
    <cfRule type="duplicateValues" dxfId="399" priority="481"/>
  </conditionalFormatting>
  <conditionalFormatting sqref="D87">
    <cfRule type="duplicateValues" dxfId="398" priority="480"/>
  </conditionalFormatting>
  <conditionalFormatting sqref="D87">
    <cfRule type="duplicateValues" dxfId="397" priority="479"/>
  </conditionalFormatting>
  <conditionalFormatting sqref="D87">
    <cfRule type="duplicateValues" dxfId="396" priority="478"/>
  </conditionalFormatting>
  <conditionalFormatting sqref="C88">
    <cfRule type="duplicateValues" dxfId="395" priority="477"/>
  </conditionalFormatting>
  <conditionalFormatting sqref="D88">
    <cfRule type="duplicateValues" dxfId="394" priority="476"/>
  </conditionalFormatting>
  <conditionalFormatting sqref="D88">
    <cfRule type="duplicateValues" dxfId="393" priority="475"/>
  </conditionalFormatting>
  <conditionalFormatting sqref="D88">
    <cfRule type="duplicateValues" dxfId="392" priority="474"/>
  </conditionalFormatting>
  <conditionalFormatting sqref="D88">
    <cfRule type="duplicateValues" dxfId="391" priority="473"/>
  </conditionalFormatting>
  <conditionalFormatting sqref="D88">
    <cfRule type="duplicateValues" dxfId="390" priority="472"/>
  </conditionalFormatting>
  <conditionalFormatting sqref="D88">
    <cfRule type="duplicateValues" dxfId="389" priority="471"/>
  </conditionalFormatting>
  <conditionalFormatting sqref="D88">
    <cfRule type="duplicateValues" dxfId="388" priority="470"/>
  </conditionalFormatting>
  <conditionalFormatting sqref="D88">
    <cfRule type="duplicateValues" dxfId="387" priority="469"/>
  </conditionalFormatting>
  <conditionalFormatting sqref="C89">
    <cfRule type="duplicateValues" dxfId="386" priority="468"/>
  </conditionalFormatting>
  <conditionalFormatting sqref="D89">
    <cfRule type="duplicateValues" dxfId="385" priority="467"/>
  </conditionalFormatting>
  <conditionalFormatting sqref="D89">
    <cfRule type="duplicateValues" dxfId="384" priority="466"/>
  </conditionalFormatting>
  <conditionalFormatting sqref="D89">
    <cfRule type="duplicateValues" dxfId="383" priority="465"/>
  </conditionalFormatting>
  <conditionalFormatting sqref="D89">
    <cfRule type="duplicateValues" dxfId="382" priority="464"/>
  </conditionalFormatting>
  <conditionalFormatting sqref="D89">
    <cfRule type="duplicateValues" dxfId="381" priority="463"/>
  </conditionalFormatting>
  <conditionalFormatting sqref="D89">
    <cfRule type="duplicateValues" dxfId="380" priority="462"/>
  </conditionalFormatting>
  <conditionalFormatting sqref="D89">
    <cfRule type="duplicateValues" dxfId="379" priority="461"/>
  </conditionalFormatting>
  <conditionalFormatting sqref="D89">
    <cfRule type="duplicateValues" dxfId="378" priority="460"/>
  </conditionalFormatting>
  <conditionalFormatting sqref="D90">
    <cfRule type="duplicateValues" dxfId="377" priority="459"/>
  </conditionalFormatting>
  <conditionalFormatting sqref="D90">
    <cfRule type="duplicateValues" dxfId="376" priority="458"/>
  </conditionalFormatting>
  <conditionalFormatting sqref="D90">
    <cfRule type="duplicateValues" dxfId="375" priority="457"/>
  </conditionalFormatting>
  <conditionalFormatting sqref="D90">
    <cfRule type="duplicateValues" dxfId="374" priority="456"/>
  </conditionalFormatting>
  <conditionalFormatting sqref="D90">
    <cfRule type="duplicateValues" dxfId="373" priority="455"/>
  </conditionalFormatting>
  <conditionalFormatting sqref="D90">
    <cfRule type="duplicateValues" dxfId="372" priority="454"/>
  </conditionalFormatting>
  <conditionalFormatting sqref="D90">
    <cfRule type="duplicateValues" dxfId="371" priority="453"/>
  </conditionalFormatting>
  <conditionalFormatting sqref="D90">
    <cfRule type="duplicateValues" dxfId="370" priority="452"/>
  </conditionalFormatting>
  <conditionalFormatting sqref="E90">
    <cfRule type="duplicateValues" dxfId="369" priority="451"/>
  </conditionalFormatting>
  <conditionalFormatting sqref="C91">
    <cfRule type="duplicateValues" dxfId="368" priority="450"/>
  </conditionalFormatting>
  <conditionalFormatting sqref="D91">
    <cfRule type="duplicateValues" dxfId="367" priority="449"/>
  </conditionalFormatting>
  <conditionalFormatting sqref="D91">
    <cfRule type="duplicateValues" dxfId="366" priority="448"/>
  </conditionalFormatting>
  <conditionalFormatting sqref="D91">
    <cfRule type="duplicateValues" dxfId="365" priority="447"/>
  </conditionalFormatting>
  <conditionalFormatting sqref="D91">
    <cfRule type="duplicateValues" dxfId="364" priority="446"/>
  </conditionalFormatting>
  <conditionalFormatting sqref="D91">
    <cfRule type="duplicateValues" dxfId="363" priority="445"/>
  </conditionalFormatting>
  <conditionalFormatting sqref="D91">
    <cfRule type="duplicateValues" dxfId="362" priority="444"/>
  </conditionalFormatting>
  <conditionalFormatting sqref="D91">
    <cfRule type="duplicateValues" dxfId="361" priority="443"/>
  </conditionalFormatting>
  <conditionalFormatting sqref="D91">
    <cfRule type="duplicateValues" dxfId="360" priority="442"/>
  </conditionalFormatting>
  <conditionalFormatting sqref="C96:D96 A96:A98 C97:E97 D98 A93:E95 A92:G92">
    <cfRule type="duplicateValues" dxfId="359" priority="425"/>
  </conditionalFormatting>
  <conditionalFormatting sqref="C98">
    <cfRule type="duplicateValues" dxfId="358" priority="424"/>
  </conditionalFormatting>
  <conditionalFormatting sqref="C101:E101 A100:E100 A101:A104 E102:E103 A99:G99 E104:G104">
    <cfRule type="duplicateValues" dxfId="357" priority="412"/>
  </conditionalFormatting>
  <conditionalFormatting sqref="D102">
    <cfRule type="duplicateValues" dxfId="356" priority="400"/>
  </conditionalFormatting>
  <conditionalFormatting sqref="D102">
    <cfRule type="duplicateValues" dxfId="355" priority="399"/>
  </conditionalFormatting>
  <conditionalFormatting sqref="C102">
    <cfRule type="duplicateValues" dxfId="354" priority="398"/>
  </conditionalFormatting>
  <conditionalFormatting sqref="D102">
    <cfRule type="duplicateValues" dxfId="353" priority="397"/>
  </conditionalFormatting>
  <conditionalFormatting sqref="D102">
    <cfRule type="duplicateValues" dxfId="352" priority="396"/>
  </conditionalFormatting>
  <conditionalFormatting sqref="D102">
    <cfRule type="duplicateValues" dxfId="351" priority="395"/>
  </conditionalFormatting>
  <conditionalFormatting sqref="D102">
    <cfRule type="duplicateValues" dxfId="350" priority="394"/>
  </conditionalFormatting>
  <conditionalFormatting sqref="D102">
    <cfRule type="duplicateValues" dxfId="349" priority="393"/>
  </conditionalFormatting>
  <conditionalFormatting sqref="D102">
    <cfRule type="duplicateValues" dxfId="348" priority="392"/>
  </conditionalFormatting>
  <conditionalFormatting sqref="D102">
    <cfRule type="duplicateValues" dxfId="347" priority="391"/>
  </conditionalFormatting>
  <conditionalFormatting sqref="C102">
    <cfRule type="duplicateValues" dxfId="346" priority="390"/>
  </conditionalFormatting>
  <conditionalFormatting sqref="D102">
    <cfRule type="duplicateValues" dxfId="345" priority="389"/>
  </conditionalFormatting>
  <conditionalFormatting sqref="D103">
    <cfRule type="duplicateValues" dxfId="344" priority="388"/>
  </conditionalFormatting>
  <conditionalFormatting sqref="D103">
    <cfRule type="duplicateValues" dxfId="343" priority="387"/>
  </conditionalFormatting>
  <conditionalFormatting sqref="D103">
    <cfRule type="duplicateValues" dxfId="342" priority="386"/>
  </conditionalFormatting>
  <conditionalFormatting sqref="D103">
    <cfRule type="duplicateValues" dxfId="341" priority="385"/>
  </conditionalFormatting>
  <conditionalFormatting sqref="D103">
    <cfRule type="duplicateValues" dxfId="340" priority="384"/>
  </conditionalFormatting>
  <conditionalFormatting sqref="D103">
    <cfRule type="duplicateValues" dxfId="339" priority="383"/>
  </conditionalFormatting>
  <conditionalFormatting sqref="D103">
    <cfRule type="duplicateValues" dxfId="338" priority="382"/>
  </conditionalFormatting>
  <conditionalFormatting sqref="D103">
    <cfRule type="duplicateValues" dxfId="337" priority="381"/>
  </conditionalFormatting>
  <conditionalFormatting sqref="D103">
    <cfRule type="duplicateValues" dxfId="336" priority="380"/>
  </conditionalFormatting>
  <conditionalFormatting sqref="C103">
    <cfRule type="duplicateValues" dxfId="335" priority="379"/>
  </conditionalFormatting>
  <conditionalFormatting sqref="D103">
    <cfRule type="duplicateValues" dxfId="334" priority="378"/>
  </conditionalFormatting>
  <conditionalFormatting sqref="C104">
    <cfRule type="duplicateValues" dxfId="333" priority="377"/>
  </conditionalFormatting>
  <conditionalFormatting sqref="D104">
    <cfRule type="duplicateValues" dxfId="332" priority="376"/>
  </conditionalFormatting>
  <conditionalFormatting sqref="D104">
    <cfRule type="duplicateValues" dxfId="331" priority="375"/>
  </conditionalFormatting>
  <conditionalFormatting sqref="D104">
    <cfRule type="duplicateValues" dxfId="330" priority="374"/>
  </conditionalFormatting>
  <conditionalFormatting sqref="D104">
    <cfRule type="duplicateValues" dxfId="329" priority="373"/>
  </conditionalFormatting>
  <conditionalFormatting sqref="D104">
    <cfRule type="duplicateValues" dxfId="328" priority="372"/>
  </conditionalFormatting>
  <conditionalFormatting sqref="D104">
    <cfRule type="duplicateValues" dxfId="327" priority="371"/>
  </conditionalFormatting>
  <conditionalFormatting sqref="D104">
    <cfRule type="duplicateValues" dxfId="326" priority="370"/>
  </conditionalFormatting>
  <conditionalFormatting sqref="D104">
    <cfRule type="duplicateValues" dxfId="325" priority="369"/>
  </conditionalFormatting>
  <conditionalFormatting sqref="D104">
    <cfRule type="duplicateValues" dxfId="324" priority="368"/>
  </conditionalFormatting>
  <conditionalFormatting sqref="C104">
    <cfRule type="duplicateValues" dxfId="323" priority="367"/>
  </conditionalFormatting>
  <conditionalFormatting sqref="D104">
    <cfRule type="duplicateValues" dxfId="322" priority="366"/>
  </conditionalFormatting>
  <conditionalFormatting sqref="E105:E108 A105:A112 A113:E117 E118 D119:E119 A118:A127 A128:C128 A129 E126:E129 D120:D122">
    <cfRule type="duplicateValues" dxfId="321" priority="365"/>
  </conditionalFormatting>
  <conditionalFormatting sqref="E108 A108:A112 A113:E117 E118 D119:E119 A118:A127 A128:C128 A129 E126:E129 D120:D122">
    <cfRule type="duplicateValues" dxfId="320" priority="364"/>
  </conditionalFormatting>
  <conditionalFormatting sqref="E108">
    <cfRule type="duplicateValues" dxfId="319" priority="363"/>
  </conditionalFormatting>
  <conditionalFormatting sqref="E108">
    <cfRule type="duplicateValues" dxfId="318" priority="362"/>
  </conditionalFormatting>
  <conditionalFormatting sqref="E108">
    <cfRule type="duplicateValues" dxfId="317" priority="361"/>
  </conditionalFormatting>
  <conditionalFormatting sqref="E108">
    <cfRule type="duplicateValues" dxfId="316" priority="360"/>
  </conditionalFormatting>
  <conditionalFormatting sqref="E108">
    <cfRule type="duplicateValues" dxfId="315" priority="359"/>
  </conditionalFormatting>
  <conditionalFormatting sqref="E108">
    <cfRule type="duplicateValues" dxfId="314" priority="358"/>
  </conditionalFormatting>
  <conditionalFormatting sqref="E108">
    <cfRule type="duplicateValues" dxfId="313" priority="357"/>
  </conditionalFormatting>
  <conditionalFormatting sqref="E108">
    <cfRule type="duplicateValues" dxfId="312" priority="356"/>
  </conditionalFormatting>
  <conditionalFormatting sqref="D105">
    <cfRule type="duplicateValues" dxfId="311" priority="355"/>
  </conditionalFormatting>
  <conditionalFormatting sqref="D105">
    <cfRule type="duplicateValues" dxfId="310" priority="354"/>
  </conditionalFormatting>
  <conditionalFormatting sqref="D105">
    <cfRule type="duplicateValues" dxfId="309" priority="353"/>
  </conditionalFormatting>
  <conditionalFormatting sqref="D105">
    <cfRule type="duplicateValues" dxfId="308" priority="352"/>
  </conditionalFormatting>
  <conditionalFormatting sqref="D105">
    <cfRule type="duplicateValues" dxfId="307" priority="351"/>
  </conditionalFormatting>
  <conditionalFormatting sqref="D105">
    <cfRule type="duplicateValues" dxfId="306" priority="350"/>
  </conditionalFormatting>
  <conditionalFormatting sqref="D105">
    <cfRule type="duplicateValues" dxfId="305" priority="349"/>
  </conditionalFormatting>
  <conditionalFormatting sqref="D105">
    <cfRule type="duplicateValues" dxfId="304" priority="348"/>
  </conditionalFormatting>
  <conditionalFormatting sqref="D105">
    <cfRule type="duplicateValues" dxfId="303" priority="347"/>
  </conditionalFormatting>
  <conditionalFormatting sqref="C105">
    <cfRule type="duplicateValues" dxfId="302" priority="346"/>
  </conditionalFormatting>
  <conditionalFormatting sqref="D105">
    <cfRule type="duplicateValues" dxfId="301" priority="345"/>
  </conditionalFormatting>
  <conditionalFormatting sqref="C106">
    <cfRule type="duplicateValues" dxfId="300" priority="344"/>
  </conditionalFormatting>
  <conditionalFormatting sqref="D106">
    <cfRule type="duplicateValues" dxfId="299" priority="343"/>
  </conditionalFormatting>
  <conditionalFormatting sqref="D106">
    <cfRule type="duplicateValues" dxfId="298" priority="342"/>
  </conditionalFormatting>
  <conditionalFormatting sqref="D106">
    <cfRule type="duplicateValues" dxfId="297" priority="341"/>
  </conditionalFormatting>
  <conditionalFormatting sqref="D106">
    <cfRule type="duplicateValues" dxfId="296" priority="340"/>
  </conditionalFormatting>
  <conditionalFormatting sqref="D106">
    <cfRule type="duplicateValues" dxfId="295" priority="339"/>
  </conditionalFormatting>
  <conditionalFormatting sqref="D106">
    <cfRule type="duplicateValues" dxfId="294" priority="338"/>
  </conditionalFormatting>
  <conditionalFormatting sqref="D106">
    <cfRule type="duplicateValues" dxfId="293" priority="337"/>
  </conditionalFormatting>
  <conditionalFormatting sqref="D106">
    <cfRule type="duplicateValues" dxfId="292" priority="336"/>
  </conditionalFormatting>
  <conditionalFormatting sqref="D106">
    <cfRule type="duplicateValues" dxfId="291" priority="335"/>
  </conditionalFormatting>
  <conditionalFormatting sqref="C106">
    <cfRule type="duplicateValues" dxfId="290" priority="334"/>
  </conditionalFormatting>
  <conditionalFormatting sqref="D106">
    <cfRule type="duplicateValues" dxfId="289" priority="333"/>
  </conditionalFormatting>
  <conditionalFormatting sqref="C107">
    <cfRule type="duplicateValues" dxfId="288" priority="332"/>
  </conditionalFormatting>
  <conditionalFormatting sqref="D107">
    <cfRule type="duplicateValues" dxfId="287" priority="331"/>
  </conditionalFormatting>
  <conditionalFormatting sqref="D107">
    <cfRule type="duplicateValues" dxfId="286" priority="330"/>
  </conditionalFormatting>
  <conditionalFormatting sqref="D107">
    <cfRule type="duplicateValues" dxfId="285" priority="329"/>
  </conditionalFormatting>
  <conditionalFormatting sqref="D107">
    <cfRule type="duplicateValues" dxfId="284" priority="328"/>
  </conditionalFormatting>
  <conditionalFormatting sqref="D107">
    <cfRule type="duplicateValues" dxfId="283" priority="327"/>
  </conditionalFormatting>
  <conditionalFormatting sqref="D107">
    <cfRule type="duplicateValues" dxfId="282" priority="326"/>
  </conditionalFormatting>
  <conditionalFormatting sqref="D107">
    <cfRule type="duplicateValues" dxfId="281" priority="325"/>
  </conditionalFormatting>
  <conditionalFormatting sqref="D107">
    <cfRule type="duplicateValues" dxfId="280" priority="324"/>
  </conditionalFormatting>
  <conditionalFormatting sqref="D107">
    <cfRule type="duplicateValues" dxfId="279" priority="323"/>
  </conditionalFormatting>
  <conditionalFormatting sqref="C107">
    <cfRule type="duplicateValues" dxfId="278" priority="322"/>
  </conditionalFormatting>
  <conditionalFormatting sqref="D107">
    <cfRule type="duplicateValues" dxfId="277" priority="321"/>
  </conditionalFormatting>
  <conditionalFormatting sqref="C108">
    <cfRule type="duplicateValues" dxfId="276" priority="308"/>
  </conditionalFormatting>
  <conditionalFormatting sqref="D108">
    <cfRule type="duplicateValues" dxfId="275" priority="307"/>
  </conditionalFormatting>
  <conditionalFormatting sqref="D108">
    <cfRule type="duplicateValues" dxfId="274" priority="306"/>
  </conditionalFormatting>
  <conditionalFormatting sqref="D108">
    <cfRule type="duplicateValues" dxfId="273" priority="305"/>
  </conditionalFormatting>
  <conditionalFormatting sqref="D108">
    <cfRule type="duplicateValues" dxfId="272" priority="304"/>
  </conditionalFormatting>
  <conditionalFormatting sqref="D108">
    <cfRule type="duplicateValues" dxfId="271" priority="303"/>
  </conditionalFormatting>
  <conditionalFormatting sqref="D108">
    <cfRule type="duplicateValues" dxfId="270" priority="302"/>
  </conditionalFormatting>
  <conditionalFormatting sqref="D108">
    <cfRule type="duplicateValues" dxfId="269" priority="301"/>
  </conditionalFormatting>
  <conditionalFormatting sqref="D108">
    <cfRule type="duplicateValues" dxfId="268" priority="300"/>
  </conditionalFormatting>
  <conditionalFormatting sqref="D108">
    <cfRule type="duplicateValues" dxfId="267" priority="299"/>
  </conditionalFormatting>
  <conditionalFormatting sqref="C108">
    <cfRule type="duplicateValues" dxfId="266" priority="298"/>
  </conditionalFormatting>
  <conditionalFormatting sqref="D108">
    <cfRule type="duplicateValues" dxfId="265" priority="297"/>
  </conditionalFormatting>
  <conditionalFormatting sqref="C109">
    <cfRule type="duplicateValues" dxfId="264" priority="296"/>
  </conditionalFormatting>
  <conditionalFormatting sqref="D109">
    <cfRule type="duplicateValues" dxfId="263" priority="295"/>
  </conditionalFormatting>
  <conditionalFormatting sqref="D109">
    <cfRule type="duplicateValues" dxfId="262" priority="294"/>
  </conditionalFormatting>
  <conditionalFormatting sqref="D109">
    <cfRule type="duplicateValues" dxfId="261" priority="293"/>
  </conditionalFormatting>
  <conditionalFormatting sqref="D109">
    <cfRule type="duplicateValues" dxfId="260" priority="292"/>
  </conditionalFormatting>
  <conditionalFormatting sqref="D109">
    <cfRule type="duplicateValues" dxfId="259" priority="291"/>
  </conditionalFormatting>
  <conditionalFormatting sqref="D109">
    <cfRule type="duplicateValues" dxfId="258" priority="290"/>
  </conditionalFormatting>
  <conditionalFormatting sqref="D109">
    <cfRule type="duplicateValues" dxfId="257" priority="289"/>
  </conditionalFormatting>
  <conditionalFormatting sqref="D109">
    <cfRule type="duplicateValues" dxfId="256" priority="288"/>
  </conditionalFormatting>
  <conditionalFormatting sqref="D109">
    <cfRule type="duplicateValues" dxfId="255" priority="287"/>
  </conditionalFormatting>
  <conditionalFormatting sqref="C109">
    <cfRule type="duplicateValues" dxfId="254" priority="286"/>
  </conditionalFormatting>
  <conditionalFormatting sqref="D109">
    <cfRule type="duplicateValues" dxfId="253" priority="285"/>
  </conditionalFormatting>
  <conditionalFormatting sqref="D110">
    <cfRule type="duplicateValues" dxfId="252" priority="284"/>
  </conditionalFormatting>
  <conditionalFormatting sqref="D110">
    <cfRule type="duplicateValues" dxfId="251" priority="283"/>
  </conditionalFormatting>
  <conditionalFormatting sqref="D110">
    <cfRule type="duplicateValues" dxfId="250" priority="282"/>
  </conditionalFormatting>
  <conditionalFormatting sqref="D110">
    <cfRule type="duplicateValues" dxfId="249" priority="281"/>
  </conditionalFormatting>
  <conditionalFormatting sqref="D110">
    <cfRule type="duplicateValues" dxfId="248" priority="280"/>
  </conditionalFormatting>
  <conditionalFormatting sqref="D110">
    <cfRule type="duplicateValues" dxfId="247" priority="279"/>
  </conditionalFormatting>
  <conditionalFormatting sqref="D110">
    <cfRule type="duplicateValues" dxfId="246" priority="278"/>
  </conditionalFormatting>
  <conditionalFormatting sqref="D110">
    <cfRule type="duplicateValues" dxfId="245" priority="277"/>
  </conditionalFormatting>
  <conditionalFormatting sqref="D110">
    <cfRule type="duplicateValues" dxfId="244" priority="276"/>
  </conditionalFormatting>
  <conditionalFormatting sqref="D110">
    <cfRule type="duplicateValues" dxfId="243" priority="275"/>
  </conditionalFormatting>
  <conditionalFormatting sqref="C110">
    <cfRule type="duplicateValues" dxfId="242" priority="274"/>
  </conditionalFormatting>
  <conditionalFormatting sqref="D110">
    <cfRule type="duplicateValues" dxfId="241" priority="273"/>
  </conditionalFormatting>
  <conditionalFormatting sqref="D111">
    <cfRule type="duplicateValues" dxfId="240" priority="272"/>
  </conditionalFormatting>
  <conditionalFormatting sqref="D111">
    <cfRule type="duplicateValues" dxfId="239" priority="271"/>
  </conditionalFormatting>
  <conditionalFormatting sqref="C111">
    <cfRule type="duplicateValues" dxfId="238" priority="270"/>
  </conditionalFormatting>
  <conditionalFormatting sqref="D111">
    <cfRule type="duplicateValues" dxfId="237" priority="269"/>
  </conditionalFormatting>
  <conditionalFormatting sqref="D111">
    <cfRule type="duplicateValues" dxfId="236" priority="268"/>
  </conditionalFormatting>
  <conditionalFormatting sqref="D111">
    <cfRule type="duplicateValues" dxfId="235" priority="267"/>
  </conditionalFormatting>
  <conditionalFormatting sqref="D111">
    <cfRule type="duplicateValues" dxfId="234" priority="266"/>
  </conditionalFormatting>
  <conditionalFormatting sqref="D111">
    <cfRule type="duplicateValues" dxfId="233" priority="265"/>
  </conditionalFormatting>
  <conditionalFormatting sqref="D111">
    <cfRule type="duplicateValues" dxfId="232" priority="264"/>
  </conditionalFormatting>
  <conditionalFormatting sqref="D111">
    <cfRule type="duplicateValues" dxfId="231" priority="263"/>
  </conditionalFormatting>
  <conditionalFormatting sqref="C111">
    <cfRule type="duplicateValues" dxfId="230" priority="262"/>
  </conditionalFormatting>
  <conditionalFormatting sqref="D111">
    <cfRule type="duplicateValues" dxfId="229" priority="261"/>
  </conditionalFormatting>
  <conditionalFormatting sqref="D112">
    <cfRule type="duplicateValues" dxfId="228" priority="260"/>
  </conditionalFormatting>
  <conditionalFormatting sqref="D112">
    <cfRule type="duplicateValues" dxfId="227" priority="259"/>
  </conditionalFormatting>
  <conditionalFormatting sqref="D112">
    <cfRule type="duplicateValues" dxfId="226" priority="258"/>
  </conditionalFormatting>
  <conditionalFormatting sqref="D112">
    <cfRule type="duplicateValues" dxfId="225" priority="257"/>
  </conditionalFormatting>
  <conditionalFormatting sqref="D112">
    <cfRule type="duplicateValues" dxfId="224" priority="256"/>
  </conditionalFormatting>
  <conditionalFormatting sqref="D112">
    <cfRule type="duplicateValues" dxfId="223" priority="255"/>
  </conditionalFormatting>
  <conditionalFormatting sqref="D112">
    <cfRule type="duplicateValues" dxfId="222" priority="254"/>
  </conditionalFormatting>
  <conditionalFormatting sqref="D112">
    <cfRule type="duplicateValues" dxfId="221" priority="253"/>
  </conditionalFormatting>
  <conditionalFormatting sqref="D112">
    <cfRule type="duplicateValues" dxfId="220" priority="252"/>
  </conditionalFormatting>
  <conditionalFormatting sqref="C112">
    <cfRule type="duplicateValues" dxfId="219" priority="251"/>
  </conditionalFormatting>
  <conditionalFormatting sqref="D112">
    <cfRule type="duplicateValues" dxfId="218" priority="250"/>
  </conditionalFormatting>
  <conditionalFormatting sqref="D118">
    <cfRule type="duplicateValues" dxfId="217" priority="202"/>
  </conditionalFormatting>
  <conditionalFormatting sqref="C118">
    <cfRule type="duplicateValues" dxfId="216" priority="201"/>
  </conditionalFormatting>
  <conditionalFormatting sqref="D118">
    <cfRule type="duplicateValues" dxfId="215" priority="200"/>
  </conditionalFormatting>
  <conditionalFormatting sqref="D118">
    <cfRule type="duplicateValues" dxfId="214" priority="199"/>
  </conditionalFormatting>
  <conditionalFormatting sqref="C119">
    <cfRule type="duplicateValues" dxfId="213" priority="198"/>
  </conditionalFormatting>
  <conditionalFormatting sqref="C120">
    <cfRule type="duplicateValues" dxfId="212" priority="197"/>
  </conditionalFormatting>
  <conditionalFormatting sqref="C121">
    <cfRule type="duplicateValues" dxfId="211" priority="196"/>
  </conditionalFormatting>
  <conditionalFormatting sqref="C121">
    <cfRule type="duplicateValues" dxfId="210" priority="195"/>
  </conditionalFormatting>
  <conditionalFormatting sqref="C122">
    <cfRule type="duplicateValues" dxfId="209" priority="194"/>
  </conditionalFormatting>
  <conditionalFormatting sqref="C122">
    <cfRule type="duplicateValues" dxfId="208" priority="193"/>
  </conditionalFormatting>
  <conditionalFormatting sqref="E123:E125">
    <cfRule type="duplicateValues" dxfId="207" priority="192"/>
  </conditionalFormatting>
  <conditionalFormatting sqref="E123:E125">
    <cfRule type="duplicateValues" dxfId="206" priority="191"/>
  </conditionalFormatting>
  <conditionalFormatting sqref="D126">
    <cfRule type="duplicateValues" dxfId="205" priority="190"/>
  </conditionalFormatting>
  <conditionalFormatting sqref="D126">
    <cfRule type="duplicateValues" dxfId="204" priority="189"/>
  </conditionalFormatting>
  <conditionalFormatting sqref="D126">
    <cfRule type="duplicateValues" dxfId="203" priority="188"/>
  </conditionalFormatting>
  <conditionalFormatting sqref="D126">
    <cfRule type="duplicateValues" dxfId="202" priority="187"/>
  </conditionalFormatting>
  <conditionalFormatting sqref="D126">
    <cfRule type="duplicateValues" dxfId="201" priority="186"/>
  </conditionalFormatting>
  <conditionalFormatting sqref="D126">
    <cfRule type="duplicateValues" dxfId="200" priority="185"/>
  </conditionalFormatting>
  <conditionalFormatting sqref="D126">
    <cfRule type="duplicateValues" dxfId="199" priority="184"/>
  </conditionalFormatting>
  <conditionalFormatting sqref="D126">
    <cfRule type="duplicateValues" dxfId="198" priority="183"/>
  </conditionalFormatting>
  <conditionalFormatting sqref="D126">
    <cfRule type="duplicateValues" dxfId="197" priority="182"/>
  </conditionalFormatting>
  <conditionalFormatting sqref="D126">
    <cfRule type="duplicateValues" dxfId="196" priority="181"/>
  </conditionalFormatting>
  <conditionalFormatting sqref="C126">
    <cfRule type="duplicateValues" dxfId="195" priority="180"/>
  </conditionalFormatting>
  <conditionalFormatting sqref="D126">
    <cfRule type="duplicateValues" dxfId="194" priority="179"/>
  </conditionalFormatting>
  <conditionalFormatting sqref="D126">
    <cfRule type="duplicateValues" dxfId="193" priority="178"/>
  </conditionalFormatting>
  <conditionalFormatting sqref="D126">
    <cfRule type="duplicateValues" dxfId="192" priority="177"/>
  </conditionalFormatting>
  <conditionalFormatting sqref="D127">
    <cfRule type="duplicateValues" dxfId="191" priority="176"/>
  </conditionalFormatting>
  <conditionalFormatting sqref="D127">
    <cfRule type="duplicateValues" dxfId="190" priority="175"/>
  </conditionalFormatting>
  <conditionalFormatting sqref="D127">
    <cfRule type="duplicateValues" dxfId="189" priority="174"/>
  </conditionalFormatting>
  <conditionalFormatting sqref="D127">
    <cfRule type="duplicateValues" dxfId="188" priority="173"/>
  </conditionalFormatting>
  <conditionalFormatting sqref="D127">
    <cfRule type="duplicateValues" dxfId="187" priority="172"/>
  </conditionalFormatting>
  <conditionalFormatting sqref="D127">
    <cfRule type="duplicateValues" dxfId="186" priority="171"/>
  </conditionalFormatting>
  <conditionalFormatting sqref="D127">
    <cfRule type="duplicateValues" dxfId="185" priority="170"/>
  </conditionalFormatting>
  <conditionalFormatting sqref="D127">
    <cfRule type="duplicateValues" dxfId="184" priority="169"/>
  </conditionalFormatting>
  <conditionalFormatting sqref="D127">
    <cfRule type="duplicateValues" dxfId="183" priority="168"/>
  </conditionalFormatting>
  <conditionalFormatting sqref="D127">
    <cfRule type="duplicateValues" dxfId="182" priority="167"/>
  </conditionalFormatting>
  <conditionalFormatting sqref="C127">
    <cfRule type="duplicateValues" dxfId="181" priority="166"/>
  </conditionalFormatting>
  <conditionalFormatting sqref="D127">
    <cfRule type="duplicateValues" dxfId="180" priority="165"/>
  </conditionalFormatting>
  <conditionalFormatting sqref="D127">
    <cfRule type="duplicateValues" dxfId="179" priority="164"/>
  </conditionalFormatting>
  <conditionalFormatting sqref="D127">
    <cfRule type="duplicateValues" dxfId="178" priority="163"/>
  </conditionalFormatting>
  <conditionalFormatting sqref="D128">
    <cfRule type="duplicateValues" dxfId="177" priority="162"/>
  </conditionalFormatting>
  <conditionalFormatting sqref="D128">
    <cfRule type="duplicateValues" dxfId="176" priority="161"/>
  </conditionalFormatting>
  <conditionalFormatting sqref="D128">
    <cfRule type="duplicateValues" dxfId="175" priority="160"/>
  </conditionalFormatting>
  <conditionalFormatting sqref="D128">
    <cfRule type="duplicateValues" dxfId="174" priority="159"/>
  </conditionalFormatting>
  <conditionalFormatting sqref="D128">
    <cfRule type="duplicateValues" dxfId="173" priority="158"/>
  </conditionalFormatting>
  <conditionalFormatting sqref="D128">
    <cfRule type="duplicateValues" dxfId="172" priority="157"/>
  </conditionalFormatting>
  <conditionalFormatting sqref="D128">
    <cfRule type="duplicateValues" dxfId="171" priority="156"/>
  </conditionalFormatting>
  <conditionalFormatting sqref="D128">
    <cfRule type="duplicateValues" dxfId="170" priority="155"/>
  </conditionalFormatting>
  <conditionalFormatting sqref="D128">
    <cfRule type="duplicateValues" dxfId="169" priority="154"/>
  </conditionalFormatting>
  <conditionalFormatting sqref="D128">
    <cfRule type="duplicateValues" dxfId="168" priority="153"/>
  </conditionalFormatting>
  <conditionalFormatting sqref="D128">
    <cfRule type="duplicateValues" dxfId="167" priority="152"/>
  </conditionalFormatting>
  <conditionalFormatting sqref="D128">
    <cfRule type="duplicateValues" dxfId="166" priority="151"/>
  </conditionalFormatting>
  <conditionalFormatting sqref="D129">
    <cfRule type="duplicateValues" dxfId="165" priority="150"/>
  </conditionalFormatting>
  <conditionalFormatting sqref="D129">
    <cfRule type="duplicateValues" dxfId="164" priority="149"/>
  </conditionalFormatting>
  <conditionalFormatting sqref="D129">
    <cfRule type="duplicateValues" dxfId="163" priority="148"/>
  </conditionalFormatting>
  <conditionalFormatting sqref="D129">
    <cfRule type="duplicateValues" dxfId="162" priority="147"/>
  </conditionalFormatting>
  <conditionalFormatting sqref="D129">
    <cfRule type="duplicateValues" dxfId="161" priority="146"/>
  </conditionalFormatting>
  <conditionalFormatting sqref="D129">
    <cfRule type="duplicateValues" dxfId="160" priority="145"/>
  </conditionalFormatting>
  <conditionalFormatting sqref="D129">
    <cfRule type="duplicateValues" dxfId="159" priority="144"/>
  </conditionalFormatting>
  <conditionalFormatting sqref="D129">
    <cfRule type="duplicateValues" dxfId="158" priority="143"/>
  </conditionalFormatting>
  <conditionalFormatting sqref="D129">
    <cfRule type="duplicateValues" dxfId="157" priority="142"/>
  </conditionalFormatting>
  <conditionalFormatting sqref="C129">
    <cfRule type="duplicateValues" dxfId="156" priority="141"/>
  </conditionalFormatting>
  <conditionalFormatting sqref="D129">
    <cfRule type="duplicateValues" dxfId="155" priority="140"/>
  </conditionalFormatting>
  <conditionalFormatting sqref="D129">
    <cfRule type="duplicateValues" dxfId="154" priority="139"/>
  </conditionalFormatting>
  <conditionalFormatting sqref="D129">
    <cfRule type="duplicateValues" dxfId="153" priority="138"/>
  </conditionalFormatting>
  <conditionalFormatting sqref="D132">
    <cfRule type="duplicateValues" dxfId="152" priority="137"/>
  </conditionalFormatting>
  <conditionalFormatting sqref="D132">
    <cfRule type="duplicateValues" dxfId="151" priority="136"/>
  </conditionalFormatting>
  <conditionalFormatting sqref="D132">
    <cfRule type="duplicateValues" dxfId="150" priority="135"/>
  </conditionalFormatting>
  <conditionalFormatting sqref="D132">
    <cfRule type="duplicateValues" dxfId="149" priority="134"/>
  </conditionalFormatting>
  <conditionalFormatting sqref="D132">
    <cfRule type="duplicateValues" dxfId="148" priority="133"/>
  </conditionalFormatting>
  <conditionalFormatting sqref="D132">
    <cfRule type="duplicateValues" dxfId="147" priority="132"/>
  </conditionalFormatting>
  <conditionalFormatting sqref="D132">
    <cfRule type="duplicateValues" dxfId="146" priority="131"/>
  </conditionalFormatting>
  <conditionalFormatting sqref="D132">
    <cfRule type="duplicateValues" dxfId="145" priority="130"/>
  </conditionalFormatting>
  <conditionalFormatting sqref="D132">
    <cfRule type="duplicateValues" dxfId="144" priority="129"/>
  </conditionalFormatting>
  <conditionalFormatting sqref="C132">
    <cfRule type="duplicateValues" dxfId="143" priority="128"/>
  </conditionalFormatting>
  <conditionalFormatting sqref="D132">
    <cfRule type="duplicateValues" dxfId="142" priority="127"/>
  </conditionalFormatting>
  <conditionalFormatting sqref="D132">
    <cfRule type="duplicateValues" dxfId="141" priority="126"/>
  </conditionalFormatting>
  <conditionalFormatting sqref="D132">
    <cfRule type="duplicateValues" dxfId="140" priority="125"/>
  </conditionalFormatting>
  <conditionalFormatting sqref="C133">
    <cfRule type="duplicateValues" dxfId="139" priority="124"/>
  </conditionalFormatting>
  <conditionalFormatting sqref="C133">
    <cfRule type="duplicateValues" dxfId="138" priority="123"/>
  </conditionalFormatting>
  <conditionalFormatting sqref="D133">
    <cfRule type="duplicateValues" dxfId="137" priority="122"/>
  </conditionalFormatting>
  <conditionalFormatting sqref="D133">
    <cfRule type="duplicateValues" dxfId="136" priority="121"/>
  </conditionalFormatting>
  <conditionalFormatting sqref="D133">
    <cfRule type="duplicateValues" dxfId="135" priority="120"/>
  </conditionalFormatting>
  <conditionalFormatting sqref="D133">
    <cfRule type="duplicateValues" dxfId="134" priority="119"/>
  </conditionalFormatting>
  <conditionalFormatting sqref="D133">
    <cfRule type="duplicateValues" dxfId="133" priority="118"/>
  </conditionalFormatting>
  <conditionalFormatting sqref="D133">
    <cfRule type="duplicateValues" dxfId="132" priority="117"/>
  </conditionalFormatting>
  <conditionalFormatting sqref="D133">
    <cfRule type="duplicateValues" dxfId="131" priority="116"/>
  </conditionalFormatting>
  <conditionalFormatting sqref="D133">
    <cfRule type="duplicateValues" dxfId="130" priority="115"/>
  </conditionalFormatting>
  <conditionalFormatting sqref="D133">
    <cfRule type="duplicateValues" dxfId="129" priority="114"/>
  </conditionalFormatting>
  <conditionalFormatting sqref="D133">
    <cfRule type="duplicateValues" dxfId="128" priority="113"/>
  </conditionalFormatting>
  <conditionalFormatting sqref="D133">
    <cfRule type="duplicateValues" dxfId="127" priority="112"/>
  </conditionalFormatting>
  <conditionalFormatting sqref="D133">
    <cfRule type="duplicateValues" dxfId="126" priority="111"/>
  </conditionalFormatting>
  <conditionalFormatting sqref="C134">
    <cfRule type="duplicateValues" dxfId="125" priority="110"/>
  </conditionalFormatting>
  <conditionalFormatting sqref="D134">
    <cfRule type="duplicateValues" dxfId="124" priority="109"/>
  </conditionalFormatting>
  <conditionalFormatting sqref="D134">
    <cfRule type="duplicateValues" dxfId="123" priority="108"/>
  </conditionalFormatting>
  <conditionalFormatting sqref="D134">
    <cfRule type="duplicateValues" dxfId="122" priority="107"/>
  </conditionalFormatting>
  <conditionalFormatting sqref="D134">
    <cfRule type="duplicateValues" dxfId="121" priority="106"/>
  </conditionalFormatting>
  <conditionalFormatting sqref="D134">
    <cfRule type="duplicateValues" dxfId="120" priority="105"/>
  </conditionalFormatting>
  <conditionalFormatting sqref="D134">
    <cfRule type="duplicateValues" dxfId="119" priority="104"/>
  </conditionalFormatting>
  <conditionalFormatting sqref="D134">
    <cfRule type="duplicateValues" dxfId="118" priority="103"/>
  </conditionalFormatting>
  <conditionalFormatting sqref="D134">
    <cfRule type="duplicateValues" dxfId="117" priority="102"/>
  </conditionalFormatting>
  <conditionalFormatting sqref="D134">
    <cfRule type="duplicateValues" dxfId="116" priority="101"/>
  </conditionalFormatting>
  <conditionalFormatting sqref="C134">
    <cfRule type="duplicateValues" dxfId="115" priority="100"/>
  </conditionalFormatting>
  <conditionalFormatting sqref="D134">
    <cfRule type="duplicateValues" dxfId="114" priority="99"/>
  </conditionalFormatting>
  <conditionalFormatting sqref="D134">
    <cfRule type="duplicateValues" dxfId="113" priority="98"/>
  </conditionalFormatting>
  <conditionalFormatting sqref="D134">
    <cfRule type="duplicateValues" dxfId="112" priority="97"/>
  </conditionalFormatting>
  <conditionalFormatting sqref="D141">
    <cfRule type="duplicateValues" dxfId="111" priority="64"/>
  </conditionalFormatting>
  <conditionalFormatting sqref="D141">
    <cfRule type="duplicateValues" dxfId="110" priority="63"/>
  </conditionalFormatting>
  <conditionalFormatting sqref="D141">
    <cfRule type="duplicateValues" dxfId="109" priority="62"/>
  </conditionalFormatting>
  <conditionalFormatting sqref="D141">
    <cfRule type="duplicateValues" dxfId="108" priority="61"/>
  </conditionalFormatting>
  <conditionalFormatting sqref="D141">
    <cfRule type="duplicateValues" dxfId="107" priority="60"/>
  </conditionalFormatting>
  <conditionalFormatting sqref="D141">
    <cfRule type="duplicateValues" dxfId="106" priority="59"/>
  </conditionalFormatting>
  <conditionalFormatting sqref="D141">
    <cfRule type="duplicateValues" dxfId="105" priority="58"/>
  </conditionalFormatting>
  <conditionalFormatting sqref="D141">
    <cfRule type="duplicateValues" dxfId="104" priority="57"/>
  </conditionalFormatting>
  <conditionalFormatting sqref="D141">
    <cfRule type="duplicateValues" dxfId="103" priority="56"/>
  </conditionalFormatting>
  <conditionalFormatting sqref="D141">
    <cfRule type="duplicateValues" dxfId="102" priority="55"/>
  </conditionalFormatting>
  <conditionalFormatting sqref="C141">
    <cfRule type="duplicateValues" dxfId="101" priority="54"/>
  </conditionalFormatting>
  <conditionalFormatting sqref="D141">
    <cfRule type="duplicateValues" dxfId="100" priority="53"/>
  </conditionalFormatting>
  <conditionalFormatting sqref="D141">
    <cfRule type="duplicateValues" dxfId="99" priority="52"/>
  </conditionalFormatting>
  <conditionalFormatting sqref="D141">
    <cfRule type="duplicateValues" dxfId="98" priority="51"/>
  </conditionalFormatting>
  <conditionalFormatting sqref="C142">
    <cfRule type="duplicateValues" dxfId="97" priority="50"/>
  </conditionalFormatting>
  <conditionalFormatting sqref="C142">
    <cfRule type="duplicateValues" dxfId="96" priority="49"/>
  </conditionalFormatting>
  <conditionalFormatting sqref="C143">
    <cfRule type="duplicateValues" dxfId="95" priority="48"/>
  </conditionalFormatting>
  <conditionalFormatting sqref="D144:D153">
    <cfRule type="duplicateValues" dxfId="94" priority="47"/>
  </conditionalFormatting>
  <conditionalFormatting sqref="D144:D153">
    <cfRule type="duplicateValues" dxfId="93" priority="46"/>
  </conditionalFormatting>
  <conditionalFormatting sqref="D144:D153">
    <cfRule type="duplicateValues" dxfId="92" priority="45"/>
  </conditionalFormatting>
  <conditionalFormatting sqref="D144:D153">
    <cfRule type="duplicateValues" dxfId="91" priority="44"/>
  </conditionalFormatting>
  <conditionalFormatting sqref="D144:D153">
    <cfRule type="duplicateValues" dxfId="90" priority="43"/>
  </conditionalFormatting>
  <conditionalFormatting sqref="D144:D153">
    <cfRule type="duplicateValues" dxfId="89" priority="42"/>
  </conditionalFormatting>
  <conditionalFormatting sqref="D144:D153">
    <cfRule type="duplicateValues" dxfId="88" priority="41"/>
  </conditionalFormatting>
  <conditionalFormatting sqref="D144:D153">
    <cfRule type="duplicateValues" dxfId="87" priority="40"/>
  </conditionalFormatting>
  <conditionalFormatting sqref="D144:D153">
    <cfRule type="duplicateValues" dxfId="86" priority="39"/>
  </conditionalFormatting>
  <conditionalFormatting sqref="D144:D153">
    <cfRule type="duplicateValues" dxfId="85" priority="38"/>
  </conditionalFormatting>
  <conditionalFormatting sqref="C144:C153">
    <cfRule type="duplicateValues" dxfId="84" priority="37"/>
  </conditionalFormatting>
  <conditionalFormatting sqref="D144:D153">
    <cfRule type="duplicateValues" dxfId="83" priority="36"/>
  </conditionalFormatting>
  <conditionalFormatting sqref="D144:D153">
    <cfRule type="duplicateValues" dxfId="82" priority="35"/>
  </conditionalFormatting>
  <conditionalFormatting sqref="D144:D153">
    <cfRule type="duplicateValues" dxfId="81" priority="34"/>
  </conditionalFormatting>
  <pageMargins left="0.7" right="0.7" top="0.75" bottom="0.75" header="0.3" footer="0.3"/>
  <pageSetup paperSize="9" orientation="portrait" r:id="rId2"/>
  <drawing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2"/>
  <dimension ref="A1:I6"/>
  <sheetViews>
    <sheetView rightToLeft="1" workbookViewId="0">
      <selection activeCell="E18" sqref="E18"/>
    </sheetView>
  </sheetViews>
  <sheetFormatPr defaultRowHeight="14.4"/>
  <cols>
    <col min="1" max="1" width="6.44140625" bestFit="1" customWidth="1"/>
    <col min="2" max="2" width="12" bestFit="1" customWidth="1"/>
    <col min="3" max="3" width="50.109375" style="1" bestFit="1" customWidth="1"/>
    <col min="4" max="4" width="56" bestFit="1" customWidth="1"/>
    <col min="5" max="5" width="58.6640625" bestFit="1" customWidth="1"/>
    <col min="6" max="6" width="15.88671875" bestFit="1" customWidth="1"/>
    <col min="7" max="7" width="12.88671875" bestFit="1" customWidth="1"/>
    <col min="8" max="8" width="19.33203125" bestFit="1" customWidth="1"/>
    <col min="9" max="9" width="11.88671875" bestFit="1" customWidth="1"/>
  </cols>
  <sheetData>
    <row r="1" spans="1:9" ht="17.399999999999999">
      <c r="A1" s="51" t="s">
        <v>0</v>
      </c>
      <c r="B1" s="51" t="s">
        <v>2589</v>
      </c>
      <c r="C1" s="51" t="s">
        <v>2590</v>
      </c>
      <c r="D1" s="51" t="s">
        <v>404</v>
      </c>
      <c r="E1" s="51" t="s">
        <v>2673</v>
      </c>
      <c r="F1" s="51" t="s">
        <v>2674</v>
      </c>
      <c r="G1" s="51" t="s">
        <v>3168</v>
      </c>
      <c r="H1" s="51" t="s">
        <v>3169</v>
      </c>
      <c r="I1" s="51" t="s">
        <v>2675</v>
      </c>
    </row>
    <row r="2" spans="1:9" ht="15.6">
      <c r="A2" s="52">
        <v>1</v>
      </c>
      <c r="B2" s="53">
        <v>200056</v>
      </c>
      <c r="C2" s="54" t="s">
        <v>3170</v>
      </c>
      <c r="D2" s="53" t="s">
        <v>2679</v>
      </c>
      <c r="E2" s="53" t="s">
        <v>3171</v>
      </c>
      <c r="F2" s="53" t="s">
        <v>2677</v>
      </c>
      <c r="G2" s="53">
        <v>0</v>
      </c>
      <c r="H2" s="53" t="s">
        <v>2676</v>
      </c>
      <c r="I2" s="53">
        <v>13910403</v>
      </c>
    </row>
    <row r="3" spans="1:9" ht="15.6">
      <c r="A3" s="52">
        <v>2</v>
      </c>
      <c r="B3" s="53">
        <v>200066</v>
      </c>
      <c r="C3" s="54" t="s">
        <v>3172</v>
      </c>
      <c r="D3" s="53" t="s">
        <v>2652</v>
      </c>
      <c r="E3" s="53" t="s">
        <v>3173</v>
      </c>
      <c r="F3" s="53" t="s">
        <v>2677</v>
      </c>
      <c r="G3" s="53">
        <v>0</v>
      </c>
      <c r="H3" s="53" t="s">
        <v>2676</v>
      </c>
      <c r="I3" s="53">
        <v>13911228</v>
      </c>
    </row>
    <row r="4" spans="1:9" ht="15.6">
      <c r="A4" s="52">
        <v>406</v>
      </c>
      <c r="B4" s="53">
        <v>613862</v>
      </c>
      <c r="C4" s="54" t="s">
        <v>3196</v>
      </c>
      <c r="D4" s="53" t="s">
        <v>2652</v>
      </c>
      <c r="E4" s="53"/>
      <c r="F4" s="53" t="s">
        <v>2677</v>
      </c>
      <c r="G4" s="53">
        <v>0</v>
      </c>
      <c r="H4" s="53" t="s">
        <v>2676</v>
      </c>
      <c r="I4" s="53">
        <v>13950929</v>
      </c>
    </row>
    <row r="5" spans="1:9" ht="15.6">
      <c r="A5" s="52">
        <v>412</v>
      </c>
      <c r="B5" s="53">
        <v>614023</v>
      </c>
      <c r="C5" s="54" t="s">
        <v>3198</v>
      </c>
      <c r="D5" s="53" t="s">
        <v>2652</v>
      </c>
      <c r="E5" s="53" t="s">
        <v>2676</v>
      </c>
      <c r="F5" s="53" t="s">
        <v>2677</v>
      </c>
      <c r="G5" s="53">
        <v>0</v>
      </c>
      <c r="H5" s="53" t="s">
        <v>2676</v>
      </c>
      <c r="I5" s="53">
        <v>13951105</v>
      </c>
    </row>
    <row r="6" spans="1:9" ht="15.6">
      <c r="A6" s="52">
        <v>413</v>
      </c>
      <c r="B6" s="53">
        <v>614042</v>
      </c>
      <c r="C6" s="54" t="s">
        <v>3199</v>
      </c>
      <c r="D6" s="53" t="s">
        <v>2652</v>
      </c>
      <c r="E6" s="53" t="s">
        <v>2676</v>
      </c>
      <c r="F6" s="53" t="s">
        <v>2677</v>
      </c>
      <c r="G6" s="53">
        <v>0</v>
      </c>
      <c r="H6" s="53" t="s">
        <v>2676</v>
      </c>
      <c r="I6" s="53">
        <v>13951105</v>
      </c>
    </row>
  </sheetData>
  <autoFilter ref="A1:I6" xr:uid="{00000000-0009-0000-0000-000005000000}"/>
  <customSheetViews>
    <customSheetView guid="{4E9100F2-A511-4BAB-A26D-F817BBFCED8B}" showAutoFilter="1">
      <selection activeCell="E18" sqref="E18"/>
      <pageMargins left="0.7" right="0.7" top="0.75" bottom="0.75" header="0.3" footer="0.3"/>
      <autoFilter ref="A1:I6" xr:uid="{08944D39-9AFA-4492-8F20-DF28DFC5B06D}"/>
    </customSheetView>
  </customSheetView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94C0C-13DE-45F2-B753-2A38004B4FE1}">
  <sheetPr codeName="Sheet_AllCode1">
    <pageSetUpPr fitToPage="1"/>
  </sheetPr>
  <dimension ref="A1:S37"/>
  <sheetViews>
    <sheetView rightToLeft="1" defaultGridColor="0" view="pageBreakPreview" colorId="22" zoomScale="70" zoomScaleNormal="70" zoomScaleSheetLayoutView="70" workbookViewId="0">
      <selection activeCell="H10" sqref="H10"/>
    </sheetView>
  </sheetViews>
  <sheetFormatPr defaultRowHeight="20.399999999999999"/>
  <cols>
    <col min="1" max="1" width="11.5546875" bestFit="1" customWidth="1"/>
    <col min="2" max="2" width="9.6640625" customWidth="1"/>
    <col min="3" max="3" width="10.109375" customWidth="1"/>
    <col min="4" max="4" width="27.6640625" customWidth="1"/>
    <col min="5" max="5" width="29.33203125" customWidth="1"/>
    <col min="6" max="6" width="27.109375" customWidth="1"/>
    <col min="7" max="7" width="13.44140625" customWidth="1"/>
    <col min="8" max="8" width="47.33203125" customWidth="1"/>
    <col min="9" max="9" width="25.33203125" customWidth="1"/>
    <col min="10" max="10" width="20.6640625" customWidth="1"/>
    <col min="11" max="11" width="41" customWidth="1"/>
    <col min="12" max="12" width="44" customWidth="1"/>
    <col min="13" max="13" width="15.109375" style="148" customWidth="1"/>
    <col min="14" max="14" width="33.6640625" style="123" customWidth="1"/>
    <col min="15" max="15" width="31.6640625" customWidth="1"/>
    <col min="16" max="16" width="22" customWidth="1"/>
    <col min="17" max="17" width="58.33203125" customWidth="1"/>
    <col min="18" max="18" width="19.109375" customWidth="1"/>
    <col min="19" max="19" width="20.33203125" customWidth="1"/>
    <col min="20" max="20" width="9" customWidth="1"/>
    <col min="27" max="27" width="7.109375" bestFit="1" customWidth="1"/>
  </cols>
  <sheetData>
    <row r="1" spans="1:19" ht="44.25" customHeight="1">
      <c r="A1" s="77"/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118"/>
      <c r="O1" s="77"/>
    </row>
    <row r="2" spans="1:19" ht="21">
      <c r="A2" s="74" t="s">
        <v>7140</v>
      </c>
      <c r="B2" s="74" t="s">
        <v>7141</v>
      </c>
      <c r="C2" s="74" t="s">
        <v>0</v>
      </c>
      <c r="D2" s="74" t="s">
        <v>3374</v>
      </c>
      <c r="E2" s="74" t="s">
        <v>3375</v>
      </c>
      <c r="F2" s="74" t="s">
        <v>3356</v>
      </c>
      <c r="G2" s="74" t="s">
        <v>1874</v>
      </c>
      <c r="H2" s="74" t="s">
        <v>404</v>
      </c>
      <c r="I2" s="74" t="s">
        <v>3376</v>
      </c>
      <c r="J2" s="74" t="s">
        <v>2672</v>
      </c>
      <c r="K2" s="74" t="s">
        <v>573</v>
      </c>
      <c r="L2" s="74" t="s">
        <v>764</v>
      </c>
      <c r="M2" s="74" t="s">
        <v>405</v>
      </c>
      <c r="N2" s="74" t="s">
        <v>3377</v>
      </c>
      <c r="O2" s="73" t="s">
        <v>3378</v>
      </c>
      <c r="P2" s="73" t="s">
        <v>3379</v>
      </c>
      <c r="Q2" s="73" t="s">
        <v>574</v>
      </c>
      <c r="R2" s="73" t="s">
        <v>3834</v>
      </c>
      <c r="S2" s="73" t="s">
        <v>3168</v>
      </c>
    </row>
    <row r="3" spans="1:19" ht="24.9" customHeight="1">
      <c r="A3" s="19" t="s">
        <v>7806</v>
      </c>
      <c r="B3" s="20" t="s">
        <v>4373</v>
      </c>
      <c r="C3" s="20">
        <v>10</v>
      </c>
      <c r="D3" s="19" t="s">
        <v>4050</v>
      </c>
      <c r="E3" s="19" t="str">
        <f>VLOOKUP(D3,'لیست پرسنل'!$B$2:$E$1020,3,FALSE)</f>
        <v>كنسانتره سنگ آهن بهاباد يزد</v>
      </c>
      <c r="F3" s="19" t="str">
        <f>VLOOKUP(D3,'لیست پرسنل'!$B$2:$E$1020,4,FALSE)</f>
        <v>مدیر سایت</v>
      </c>
      <c r="G3" s="127">
        <f>VLOOKUP(D3,'لیست پرسنل'!$B$2:$F$1020,2,FALSE)</f>
        <v>0</v>
      </c>
      <c r="H3" s="128" t="s">
        <v>4029</v>
      </c>
      <c r="I3" s="127" t="s">
        <v>1678</v>
      </c>
      <c r="J3" s="128" t="s">
        <v>2686</v>
      </c>
      <c r="K3" s="128" t="s">
        <v>327</v>
      </c>
      <c r="L3" s="152" t="s">
        <v>1681</v>
      </c>
      <c r="M3" s="126">
        <v>609607</v>
      </c>
      <c r="N3" s="108"/>
      <c r="O3" s="20" t="s">
        <v>4028</v>
      </c>
      <c r="P3" s="31"/>
      <c r="Q3" s="31"/>
      <c r="R3" s="19" t="s">
        <v>8296</v>
      </c>
      <c r="S3" s="19" t="s">
        <v>8295</v>
      </c>
    </row>
    <row r="4" spans="1:19" ht="24.9" customHeight="1">
      <c r="A4" s="19" t="s">
        <v>7806</v>
      </c>
      <c r="B4" s="20" t="s">
        <v>4373</v>
      </c>
      <c r="C4" s="20">
        <v>9</v>
      </c>
      <c r="D4" s="19" t="s">
        <v>4039</v>
      </c>
      <c r="E4" s="19" t="str">
        <f>VLOOKUP(D4,'لیست پرسنل'!$B$2:$E$1020,3,FALSE)</f>
        <v>كنسانتره سنگ آهن بهاباد يزد</v>
      </c>
      <c r="F4" s="19">
        <f>VLOOKUP(D4,'لیست پرسنل'!$B$2:$E$1020,4,FALSE)</f>
        <v>0</v>
      </c>
      <c r="G4" s="127">
        <f>VLOOKUP(D4,'لیست پرسنل'!$B$2:$F$1020,2,FALSE)</f>
        <v>0</v>
      </c>
      <c r="H4" s="128" t="s">
        <v>4029</v>
      </c>
      <c r="I4" s="127" t="s">
        <v>1077</v>
      </c>
      <c r="J4" s="128" t="s">
        <v>2686</v>
      </c>
      <c r="K4" s="128" t="s">
        <v>327</v>
      </c>
      <c r="L4" s="152" t="s">
        <v>1680</v>
      </c>
      <c r="M4" s="126">
        <v>610930</v>
      </c>
      <c r="N4" s="108"/>
      <c r="O4" s="20" t="s">
        <v>4028</v>
      </c>
      <c r="P4" s="20"/>
      <c r="Q4" s="20"/>
      <c r="R4" s="19" t="s">
        <v>8296</v>
      </c>
      <c r="S4" s="19" t="s">
        <v>8295</v>
      </c>
    </row>
    <row r="5" spans="1:19" ht="24.9" customHeight="1">
      <c r="A5" s="19" t="s">
        <v>7806</v>
      </c>
      <c r="B5" s="20" t="s">
        <v>4373</v>
      </c>
      <c r="C5" s="20">
        <v>10</v>
      </c>
      <c r="D5" s="19" t="s">
        <v>4050</v>
      </c>
      <c r="E5" s="19" t="str">
        <f>VLOOKUP(D5,'لیست پرسنل'!$B$2:$E$1020,3,FALSE)</f>
        <v>كنسانتره سنگ آهن بهاباد يزد</v>
      </c>
      <c r="F5" s="19" t="str">
        <f>VLOOKUP(D5,'لیست پرسنل'!$B$2:$E$1020,4,FALSE)</f>
        <v>مدیر سایت</v>
      </c>
      <c r="G5" s="127">
        <f>VLOOKUP(D5,'لیست پرسنل'!$B$2:$F$1020,2,FALSE)</f>
        <v>0</v>
      </c>
      <c r="H5" s="128" t="s">
        <v>4029</v>
      </c>
      <c r="I5" s="127" t="s">
        <v>1678</v>
      </c>
      <c r="J5" s="128" t="s">
        <v>571</v>
      </c>
      <c r="K5" s="128" t="s">
        <v>2053</v>
      </c>
      <c r="L5" s="152"/>
      <c r="M5" s="127">
        <v>619925</v>
      </c>
      <c r="N5" s="109"/>
      <c r="O5" s="20" t="s">
        <v>4028</v>
      </c>
      <c r="P5" s="31"/>
      <c r="Q5" s="31"/>
      <c r="R5" s="19" t="s">
        <v>8296</v>
      </c>
      <c r="S5" s="19" t="s">
        <v>8295</v>
      </c>
    </row>
    <row r="6" spans="1:19" ht="24.9" customHeight="1">
      <c r="A6" s="19" t="s">
        <v>5877</v>
      </c>
      <c r="B6" s="19" t="s">
        <v>5877</v>
      </c>
      <c r="C6" s="19"/>
      <c r="D6" s="19" t="s">
        <v>4042</v>
      </c>
      <c r="E6" s="19" t="str">
        <f>VLOOKUP(D6,'لیست پرسنل'!$B$2:$E$1020,3,FALSE)</f>
        <v>فکورصنعت</v>
      </c>
      <c r="F6" s="19" t="str">
        <f>VLOOKUP(D6,'لیست پرسنل'!$B$2:$E$1020,4,FALSE)</f>
        <v>تحقیق و توسعه فکور</v>
      </c>
      <c r="G6" s="127">
        <f>VLOOKUP(D6,'لیست پرسنل'!$B$2:$F$1020,2,FALSE)</f>
        <v>0</v>
      </c>
      <c r="H6" s="127" t="s">
        <v>4029</v>
      </c>
      <c r="I6" s="127"/>
      <c r="J6" s="127" t="s">
        <v>2686</v>
      </c>
      <c r="K6" s="127" t="s">
        <v>2645</v>
      </c>
      <c r="L6" s="127"/>
      <c r="M6" s="127">
        <v>623983</v>
      </c>
      <c r="N6" s="109" t="s">
        <v>2628</v>
      </c>
      <c r="O6" s="19"/>
      <c r="P6" s="19"/>
      <c r="Q6" s="19"/>
      <c r="R6" s="19" t="s">
        <v>8296</v>
      </c>
      <c r="S6" s="19" t="s">
        <v>8295</v>
      </c>
    </row>
    <row r="7" spans="1:19" ht="24.9" customHeight="1">
      <c r="A7" s="19" t="s">
        <v>5877</v>
      </c>
      <c r="B7" s="19" t="s">
        <v>5877</v>
      </c>
      <c r="C7" s="19"/>
      <c r="D7" s="19" t="s">
        <v>4042</v>
      </c>
      <c r="E7" s="19" t="str">
        <f>VLOOKUP(D7,'لیست پرسنل'!$B$2:$E$1020,3,FALSE)</f>
        <v>فکورصنعت</v>
      </c>
      <c r="F7" s="19" t="str">
        <f>VLOOKUP(D7,'لیست پرسنل'!$B$2:$E$1020,4,FALSE)</f>
        <v>تحقیق و توسعه فکور</v>
      </c>
      <c r="G7" s="127">
        <f>VLOOKUP(D7,'لیست پرسنل'!$B$2:$F$1020,2,FALSE)</f>
        <v>0</v>
      </c>
      <c r="H7" s="127" t="s">
        <v>4029</v>
      </c>
      <c r="I7" s="127"/>
      <c r="J7" s="127" t="s">
        <v>2686</v>
      </c>
      <c r="K7" s="127" t="s">
        <v>2645</v>
      </c>
      <c r="L7" s="127"/>
      <c r="M7" s="127">
        <v>623984</v>
      </c>
      <c r="N7" s="109" t="s">
        <v>2629</v>
      </c>
      <c r="O7" s="19"/>
      <c r="P7" s="19"/>
      <c r="Q7" s="19"/>
      <c r="R7" s="19" t="s">
        <v>8296</v>
      </c>
      <c r="S7" s="19" t="s">
        <v>8295</v>
      </c>
    </row>
    <row r="8" spans="1:19" ht="24.9" customHeight="1">
      <c r="A8" s="19" t="s">
        <v>5877</v>
      </c>
      <c r="B8" s="19" t="s">
        <v>5877</v>
      </c>
      <c r="C8" s="19"/>
      <c r="D8" s="19" t="s">
        <v>4042</v>
      </c>
      <c r="E8" s="19" t="str">
        <f>VLOOKUP(D8,'لیست پرسنل'!$B$2:$E$1020,3,FALSE)</f>
        <v>فکورصنعت</v>
      </c>
      <c r="F8" s="19" t="str">
        <f>VLOOKUP(D8,'لیست پرسنل'!$B$2:$E$1020,4,FALSE)</f>
        <v>تحقیق و توسعه فکور</v>
      </c>
      <c r="G8" s="127">
        <f>VLOOKUP(D8,'لیست پرسنل'!$B$2:$F$1020,2,FALSE)</f>
        <v>0</v>
      </c>
      <c r="H8" s="127" t="s">
        <v>4029</v>
      </c>
      <c r="I8" s="127"/>
      <c r="J8" s="127" t="s">
        <v>2686</v>
      </c>
      <c r="K8" s="127" t="s">
        <v>2645</v>
      </c>
      <c r="L8" s="127"/>
      <c r="M8" s="127">
        <v>623985</v>
      </c>
      <c r="N8" s="109" t="s">
        <v>2630</v>
      </c>
      <c r="O8" s="19"/>
      <c r="P8" s="19"/>
      <c r="Q8" s="19"/>
      <c r="R8" s="19" t="s">
        <v>8296</v>
      </c>
      <c r="S8" s="19" t="s">
        <v>8295</v>
      </c>
    </row>
    <row r="9" spans="1:19" ht="24.9" customHeight="1">
      <c r="A9" s="19" t="s">
        <v>5877</v>
      </c>
      <c r="B9" s="19" t="s">
        <v>5877</v>
      </c>
      <c r="C9" s="19"/>
      <c r="D9" s="19" t="s">
        <v>4042</v>
      </c>
      <c r="E9" s="19" t="str">
        <f>VLOOKUP(D9,'لیست پرسنل'!$B$2:$E$1020,3,FALSE)</f>
        <v>فکورصنعت</v>
      </c>
      <c r="F9" s="19" t="str">
        <f>VLOOKUP(D9,'لیست پرسنل'!$B$2:$E$1020,4,FALSE)</f>
        <v>تحقیق و توسعه فکور</v>
      </c>
      <c r="G9" s="127">
        <f>VLOOKUP(D9,'لیست پرسنل'!$B$2:$F$1020,2,FALSE)</f>
        <v>0</v>
      </c>
      <c r="H9" s="127" t="s">
        <v>4029</v>
      </c>
      <c r="I9" s="127"/>
      <c r="J9" s="127" t="s">
        <v>2686</v>
      </c>
      <c r="K9" s="127" t="s">
        <v>2645</v>
      </c>
      <c r="L9" s="127"/>
      <c r="M9" s="127">
        <v>623986</v>
      </c>
      <c r="N9" s="109" t="s">
        <v>2631</v>
      </c>
      <c r="O9" s="19"/>
      <c r="P9" s="19"/>
      <c r="Q9" s="19"/>
      <c r="R9" s="19" t="s">
        <v>8296</v>
      </c>
      <c r="S9" s="19" t="s">
        <v>8295</v>
      </c>
    </row>
    <row r="10" spans="1:19" ht="24.9" customHeight="1">
      <c r="A10" s="19" t="s">
        <v>5877</v>
      </c>
      <c r="B10" s="19" t="s">
        <v>5877</v>
      </c>
      <c r="C10" s="19"/>
      <c r="D10" s="19" t="s">
        <v>4042</v>
      </c>
      <c r="E10" s="19" t="str">
        <f>VLOOKUP(D10,'لیست پرسنل'!$B$2:$E$1020,3,FALSE)</f>
        <v>فکورصنعت</v>
      </c>
      <c r="F10" s="19" t="str">
        <f>VLOOKUP(D10,'لیست پرسنل'!$B$2:$E$1020,4,FALSE)</f>
        <v>تحقیق و توسعه فکور</v>
      </c>
      <c r="G10" s="127">
        <f>VLOOKUP(D10,'لیست پرسنل'!$B$2:$F$1020,2,FALSE)</f>
        <v>0</v>
      </c>
      <c r="H10" s="127" t="s">
        <v>4029</v>
      </c>
      <c r="I10" s="127"/>
      <c r="J10" s="127" t="s">
        <v>737</v>
      </c>
      <c r="K10" s="127" t="s">
        <v>2642</v>
      </c>
      <c r="L10" s="127"/>
      <c r="M10" s="127">
        <v>624030</v>
      </c>
      <c r="N10" s="109" t="s">
        <v>2631</v>
      </c>
      <c r="O10" s="19"/>
      <c r="P10" s="19"/>
      <c r="Q10" s="19"/>
      <c r="R10" s="19" t="s">
        <v>8296</v>
      </c>
      <c r="S10" s="19" t="s">
        <v>8295</v>
      </c>
    </row>
    <row r="11" spans="1:19" ht="24.9" customHeight="1">
      <c r="A11" s="19" t="s">
        <v>5877</v>
      </c>
      <c r="B11" s="19" t="s">
        <v>5877</v>
      </c>
      <c r="C11" s="19"/>
      <c r="D11" s="19" t="s">
        <v>4042</v>
      </c>
      <c r="E11" s="19" t="str">
        <f>VLOOKUP(D11,'لیست پرسنل'!$B$2:$E$1020,3,FALSE)</f>
        <v>فکورصنعت</v>
      </c>
      <c r="F11" s="19" t="str">
        <f>VLOOKUP(D11,'لیست پرسنل'!$B$2:$E$1020,4,FALSE)</f>
        <v>تحقیق و توسعه فکور</v>
      </c>
      <c r="G11" s="127">
        <f>VLOOKUP(D11,'لیست پرسنل'!$B$2:$F$1020,2,FALSE)</f>
        <v>0</v>
      </c>
      <c r="H11" s="127" t="s">
        <v>4029</v>
      </c>
      <c r="I11" s="127"/>
      <c r="J11" s="127" t="s">
        <v>5366</v>
      </c>
      <c r="K11" s="127" t="s">
        <v>2643</v>
      </c>
      <c r="L11" s="127"/>
      <c r="M11" s="127">
        <v>624033</v>
      </c>
      <c r="N11" s="109" t="s">
        <v>2632</v>
      </c>
      <c r="O11" s="19"/>
      <c r="P11" s="19"/>
      <c r="Q11" s="19"/>
      <c r="R11" s="19" t="s">
        <v>8296</v>
      </c>
      <c r="S11" s="19" t="s">
        <v>8295</v>
      </c>
    </row>
    <row r="12" spans="1:19" ht="24.9" customHeight="1">
      <c r="A12" s="19" t="s">
        <v>7806</v>
      </c>
      <c r="B12" s="20" t="s">
        <v>4373</v>
      </c>
      <c r="C12" s="20">
        <v>9</v>
      </c>
      <c r="D12" s="19" t="s">
        <v>4039</v>
      </c>
      <c r="E12" s="19" t="str">
        <f>VLOOKUP(D12,'لیست پرسنل'!$B$2:$E$1020,3,FALSE)</f>
        <v>كنسانتره سنگ آهن بهاباد يزد</v>
      </c>
      <c r="F12" s="19">
        <f>VLOOKUP(D12,'لیست پرسنل'!$B$2:$E$1020,4,FALSE)</f>
        <v>0</v>
      </c>
      <c r="G12" s="127">
        <f>VLOOKUP(D12,'لیست پرسنل'!$B$2:$F$1020,2,FALSE)</f>
        <v>0</v>
      </c>
      <c r="H12" s="128" t="s">
        <v>4029</v>
      </c>
      <c r="I12" s="127" t="s">
        <v>1077</v>
      </c>
      <c r="J12" s="128" t="s">
        <v>571</v>
      </c>
      <c r="K12" s="128"/>
      <c r="L12" s="152"/>
      <c r="M12" s="127">
        <v>624719</v>
      </c>
      <c r="N12" s="109"/>
      <c r="O12" s="20" t="s">
        <v>4028</v>
      </c>
      <c r="P12" s="31"/>
      <c r="Q12" s="31"/>
      <c r="R12" s="19" t="s">
        <v>8296</v>
      </c>
      <c r="S12" s="19" t="s">
        <v>8295</v>
      </c>
    </row>
    <row r="13" spans="1:19" ht="24.9" customHeight="1">
      <c r="A13" s="19" t="s">
        <v>5877</v>
      </c>
      <c r="B13" s="19" t="s">
        <v>5877</v>
      </c>
      <c r="C13" s="19"/>
      <c r="D13" s="19" t="s">
        <v>4042</v>
      </c>
      <c r="E13" s="19" t="str">
        <f>VLOOKUP(D13,'لیست پرسنل'!$B$2:$E$1020,3,FALSE)</f>
        <v>فکورصنعت</v>
      </c>
      <c r="F13" s="19" t="str">
        <f>VLOOKUP(D13,'لیست پرسنل'!$B$2:$E$1020,4,FALSE)</f>
        <v>تحقیق و توسعه فکور</v>
      </c>
      <c r="G13" s="127">
        <f>VLOOKUP(D13,'لیست پرسنل'!$B$2:$F$1020,2,FALSE)</f>
        <v>0</v>
      </c>
      <c r="H13" s="127" t="s">
        <v>4029</v>
      </c>
      <c r="I13" s="127"/>
      <c r="J13" s="127" t="s">
        <v>2686</v>
      </c>
      <c r="K13" s="127" t="s">
        <v>2644</v>
      </c>
      <c r="L13" s="127"/>
      <c r="M13" s="127">
        <v>624777</v>
      </c>
      <c r="N13" s="109" t="s">
        <v>2633</v>
      </c>
      <c r="O13" s="19"/>
      <c r="P13" s="19"/>
      <c r="Q13" s="19"/>
      <c r="R13" s="19" t="s">
        <v>8296</v>
      </c>
      <c r="S13" s="19" t="s">
        <v>8295</v>
      </c>
    </row>
    <row r="14" spans="1:19" ht="24.9" customHeight="1">
      <c r="A14" s="19" t="s">
        <v>5877</v>
      </c>
      <c r="B14" s="19" t="s">
        <v>5877</v>
      </c>
      <c r="C14" s="19"/>
      <c r="D14" s="19" t="s">
        <v>4042</v>
      </c>
      <c r="E14" s="19" t="str">
        <f>VLOOKUP(D14,'لیست پرسنل'!$B$2:$E$1020,3,FALSE)</f>
        <v>فکورصنعت</v>
      </c>
      <c r="F14" s="19" t="str">
        <f>VLOOKUP(D14,'لیست پرسنل'!$B$2:$E$1020,4,FALSE)</f>
        <v>تحقیق و توسعه فکور</v>
      </c>
      <c r="G14" s="127">
        <f>VLOOKUP(D14,'لیست پرسنل'!$B$2:$F$1020,2,FALSE)</f>
        <v>0</v>
      </c>
      <c r="H14" s="127" t="s">
        <v>4029</v>
      </c>
      <c r="I14" s="127"/>
      <c r="J14" s="127" t="s">
        <v>2686</v>
      </c>
      <c r="K14" s="127" t="s">
        <v>2644</v>
      </c>
      <c r="L14" s="127"/>
      <c r="M14" s="127">
        <v>624778</v>
      </c>
      <c r="N14" s="109" t="s">
        <v>2633</v>
      </c>
      <c r="O14" s="19"/>
      <c r="P14" s="19"/>
      <c r="Q14" s="19"/>
      <c r="R14" s="19" t="s">
        <v>8296</v>
      </c>
      <c r="S14" s="19" t="s">
        <v>8295</v>
      </c>
    </row>
    <row r="15" spans="1:19" ht="24.9" customHeight="1">
      <c r="A15" s="19" t="s">
        <v>5877</v>
      </c>
      <c r="B15" s="19" t="s">
        <v>5877</v>
      </c>
      <c r="C15" s="19"/>
      <c r="D15" s="19" t="s">
        <v>4042</v>
      </c>
      <c r="E15" s="19" t="str">
        <f>VLOOKUP(D15,'لیست پرسنل'!$B$2:$E$1020,3,FALSE)</f>
        <v>فکورصنعت</v>
      </c>
      <c r="F15" s="19" t="str">
        <f>VLOOKUP(D15,'لیست پرسنل'!$B$2:$E$1020,4,FALSE)</f>
        <v>تحقیق و توسعه فکور</v>
      </c>
      <c r="G15" s="127">
        <f>VLOOKUP(D15,'لیست پرسنل'!$B$2:$F$1020,2,FALSE)</f>
        <v>0</v>
      </c>
      <c r="H15" s="127" t="s">
        <v>4029</v>
      </c>
      <c r="I15" s="127"/>
      <c r="J15" s="127" t="s">
        <v>737</v>
      </c>
      <c r="K15" s="127" t="s">
        <v>2646</v>
      </c>
      <c r="L15" s="127"/>
      <c r="M15" s="127">
        <v>624779</v>
      </c>
      <c r="N15" s="109" t="s">
        <v>2634</v>
      </c>
      <c r="O15" s="19"/>
      <c r="P15" s="19"/>
      <c r="Q15" s="19"/>
      <c r="R15" s="19" t="s">
        <v>8296</v>
      </c>
      <c r="S15" s="19" t="s">
        <v>8295</v>
      </c>
    </row>
    <row r="16" spans="1:19" ht="24.9" customHeight="1">
      <c r="A16" s="19" t="s">
        <v>5877</v>
      </c>
      <c r="B16" s="19" t="s">
        <v>5877</v>
      </c>
      <c r="C16" s="19"/>
      <c r="D16" s="19" t="s">
        <v>4042</v>
      </c>
      <c r="E16" s="19" t="str">
        <f>VLOOKUP(D16,'لیست پرسنل'!$B$2:$E$1020,3,FALSE)</f>
        <v>فکورصنعت</v>
      </c>
      <c r="F16" s="19" t="str">
        <f>VLOOKUP(D16,'لیست پرسنل'!$B$2:$E$1020,4,FALSE)</f>
        <v>تحقیق و توسعه فکور</v>
      </c>
      <c r="G16" s="127">
        <f>VLOOKUP(D16,'لیست پرسنل'!$B$2:$F$1020,2,FALSE)</f>
        <v>0</v>
      </c>
      <c r="H16" s="127" t="s">
        <v>4029</v>
      </c>
      <c r="I16" s="127"/>
      <c r="J16" s="127" t="s">
        <v>737</v>
      </c>
      <c r="K16" s="127" t="s">
        <v>2646</v>
      </c>
      <c r="L16" s="127"/>
      <c r="M16" s="127">
        <v>624780</v>
      </c>
      <c r="N16" s="109" t="s">
        <v>2635</v>
      </c>
      <c r="O16" s="19"/>
      <c r="P16" s="19"/>
      <c r="Q16" s="19"/>
      <c r="R16" s="19" t="s">
        <v>8296</v>
      </c>
      <c r="S16" s="19" t="s">
        <v>8295</v>
      </c>
    </row>
    <row r="17" spans="1:19" ht="24.9" customHeight="1">
      <c r="A17" s="19" t="s">
        <v>5877</v>
      </c>
      <c r="B17" s="19" t="s">
        <v>5877</v>
      </c>
      <c r="C17" s="19"/>
      <c r="D17" s="19" t="s">
        <v>4042</v>
      </c>
      <c r="E17" s="19" t="str">
        <f>VLOOKUP(D17,'لیست پرسنل'!$B$2:$E$1020,3,FALSE)</f>
        <v>فکورصنعت</v>
      </c>
      <c r="F17" s="19" t="str">
        <f>VLOOKUP(D17,'لیست پرسنل'!$B$2:$E$1020,4,FALSE)</f>
        <v>تحقیق و توسعه فکور</v>
      </c>
      <c r="G17" s="127">
        <f>VLOOKUP(D17,'لیست پرسنل'!$B$2:$F$1020,2,FALSE)</f>
        <v>0</v>
      </c>
      <c r="H17" s="127" t="s">
        <v>4029</v>
      </c>
      <c r="I17" s="127"/>
      <c r="J17" s="127" t="s">
        <v>737</v>
      </c>
      <c r="K17" s="127" t="s">
        <v>2647</v>
      </c>
      <c r="L17" s="127"/>
      <c r="M17" s="127">
        <v>624781</v>
      </c>
      <c r="N17" s="109" t="s">
        <v>2630</v>
      </c>
      <c r="O17" s="19"/>
      <c r="P17" s="19"/>
      <c r="Q17" s="19"/>
      <c r="R17" s="19" t="s">
        <v>8296</v>
      </c>
      <c r="S17" s="19" t="s">
        <v>8295</v>
      </c>
    </row>
    <row r="18" spans="1:19" ht="24.9" customHeight="1">
      <c r="A18" s="19" t="s">
        <v>5877</v>
      </c>
      <c r="B18" s="19" t="s">
        <v>5877</v>
      </c>
      <c r="C18" s="19"/>
      <c r="D18" s="19" t="s">
        <v>4042</v>
      </c>
      <c r="E18" s="19" t="str">
        <f>VLOOKUP(D18,'لیست پرسنل'!$B$2:$E$1020,3,FALSE)</f>
        <v>فکورصنعت</v>
      </c>
      <c r="F18" s="19" t="str">
        <f>VLOOKUP(D18,'لیست پرسنل'!$B$2:$E$1020,4,FALSE)</f>
        <v>تحقیق و توسعه فکور</v>
      </c>
      <c r="G18" s="127">
        <f>VLOOKUP(D18,'لیست پرسنل'!$B$2:$F$1020,2,FALSE)</f>
        <v>0</v>
      </c>
      <c r="H18" s="127" t="s">
        <v>4029</v>
      </c>
      <c r="I18" s="127"/>
      <c r="J18" s="127" t="s">
        <v>5366</v>
      </c>
      <c r="K18" s="127" t="s">
        <v>2648</v>
      </c>
      <c r="L18" s="127"/>
      <c r="M18" s="127">
        <v>625002</v>
      </c>
      <c r="N18" s="109" t="s">
        <v>2636</v>
      </c>
      <c r="O18" s="19"/>
      <c r="P18" s="19"/>
      <c r="Q18" s="19"/>
      <c r="R18" s="19" t="s">
        <v>8296</v>
      </c>
      <c r="S18" s="19" t="s">
        <v>8295</v>
      </c>
    </row>
    <row r="19" spans="1:19" ht="24.9" customHeight="1">
      <c r="A19" s="19" t="s">
        <v>7806</v>
      </c>
      <c r="B19" s="19" t="s">
        <v>4373</v>
      </c>
      <c r="C19" s="19">
        <v>9</v>
      </c>
      <c r="D19" s="19" t="s">
        <v>4039</v>
      </c>
      <c r="E19" s="19" t="str">
        <f>VLOOKUP(D19,'لیست پرسنل'!$B$2:$E$1020,3,FALSE)</f>
        <v>كنسانتره سنگ آهن بهاباد يزد</v>
      </c>
      <c r="F19" s="19">
        <f>VLOOKUP(D19,'لیست پرسنل'!$B$2:$E$1020,4,FALSE)</f>
        <v>0</v>
      </c>
      <c r="G19" s="127">
        <f>VLOOKUP(D19,'لیست پرسنل'!$B$2:$F$1020,2,FALSE)</f>
        <v>0</v>
      </c>
      <c r="H19" s="127" t="s">
        <v>4029</v>
      </c>
      <c r="I19" s="127" t="s">
        <v>1077</v>
      </c>
      <c r="J19" s="127" t="s">
        <v>737</v>
      </c>
      <c r="K19" s="127" t="s">
        <v>1377</v>
      </c>
      <c r="L19" s="127" t="s">
        <v>1679</v>
      </c>
      <c r="M19" s="126">
        <v>624923</v>
      </c>
      <c r="N19" s="109"/>
      <c r="O19" s="20" t="s">
        <v>4028</v>
      </c>
      <c r="P19" s="31"/>
      <c r="Q19" s="31"/>
      <c r="R19" s="19" t="s">
        <v>8296</v>
      </c>
      <c r="S19" s="19" t="s">
        <v>8295</v>
      </c>
    </row>
    <row r="20" spans="1:19" ht="24.9" customHeight="1">
      <c r="A20" s="19" t="s">
        <v>5877</v>
      </c>
      <c r="B20" s="19" t="s">
        <v>5877</v>
      </c>
      <c r="C20" s="19"/>
      <c r="D20" s="19" t="s">
        <v>4042</v>
      </c>
      <c r="E20" s="19" t="str">
        <f>VLOOKUP(D20,'لیست پرسنل'!$B$2:$E$1020,3,FALSE)</f>
        <v>فکورصنعت</v>
      </c>
      <c r="F20" s="19" t="str">
        <f>VLOOKUP(D20,'لیست پرسنل'!$B$2:$E$1020,4,FALSE)</f>
        <v>تحقیق و توسعه فکور</v>
      </c>
      <c r="G20" s="127">
        <f>VLOOKUP(D20,'لیست پرسنل'!$B$2:$F$1020,2,FALSE)</f>
        <v>0</v>
      </c>
      <c r="H20" s="127" t="s">
        <v>4029</v>
      </c>
      <c r="I20" s="127"/>
      <c r="J20" s="127" t="s">
        <v>5366</v>
      </c>
      <c r="K20" s="127" t="s">
        <v>2649</v>
      </c>
      <c r="L20" s="127"/>
      <c r="M20" s="127">
        <v>625266</v>
      </c>
      <c r="N20" s="109" t="s">
        <v>2637</v>
      </c>
      <c r="O20" s="19"/>
      <c r="P20" s="19"/>
      <c r="Q20" s="19"/>
      <c r="R20" s="19" t="s">
        <v>8296</v>
      </c>
      <c r="S20" s="19" t="s">
        <v>8295</v>
      </c>
    </row>
    <row r="21" spans="1:19" ht="24.9" customHeight="1">
      <c r="A21" s="19" t="s">
        <v>5877</v>
      </c>
      <c r="B21" s="19" t="s">
        <v>5877</v>
      </c>
      <c r="C21" s="19"/>
      <c r="D21" s="19" t="s">
        <v>4042</v>
      </c>
      <c r="E21" s="19" t="str">
        <f>VLOOKUP(D21,'لیست پرسنل'!$B$2:$E$1020,3,FALSE)</f>
        <v>فکورصنعت</v>
      </c>
      <c r="F21" s="19" t="str">
        <f>VLOOKUP(D21,'لیست پرسنل'!$B$2:$E$1020,4,FALSE)</f>
        <v>تحقیق و توسعه فکور</v>
      </c>
      <c r="G21" s="127">
        <f>VLOOKUP(D21,'لیست پرسنل'!$B$2:$F$1020,2,FALSE)</f>
        <v>0</v>
      </c>
      <c r="H21" s="127" t="s">
        <v>4029</v>
      </c>
      <c r="I21" s="127"/>
      <c r="J21" s="127" t="s">
        <v>5366</v>
      </c>
      <c r="K21" s="127" t="s">
        <v>2649</v>
      </c>
      <c r="L21" s="127"/>
      <c r="M21" s="127">
        <v>625267</v>
      </c>
      <c r="N21" s="109" t="s">
        <v>2638</v>
      </c>
      <c r="O21" s="19"/>
      <c r="P21" s="19"/>
      <c r="Q21" s="19"/>
      <c r="R21" s="19" t="s">
        <v>8296</v>
      </c>
      <c r="S21" s="19" t="s">
        <v>8295</v>
      </c>
    </row>
    <row r="22" spans="1:19" ht="24.9" customHeight="1">
      <c r="A22" s="19" t="s">
        <v>5877</v>
      </c>
      <c r="B22" s="19" t="s">
        <v>5877</v>
      </c>
      <c r="C22" s="19"/>
      <c r="D22" s="19" t="s">
        <v>4042</v>
      </c>
      <c r="E22" s="19" t="str">
        <f>VLOOKUP(D22,'لیست پرسنل'!$B$2:$E$1020,3,FALSE)</f>
        <v>فکورصنعت</v>
      </c>
      <c r="F22" s="19" t="str">
        <f>VLOOKUP(D22,'لیست پرسنل'!$B$2:$E$1020,4,FALSE)</f>
        <v>تحقیق و توسعه فکور</v>
      </c>
      <c r="G22" s="127">
        <f>VLOOKUP(D22,'لیست پرسنل'!$B$2:$F$1020,2,FALSE)</f>
        <v>0</v>
      </c>
      <c r="H22" s="127" t="s">
        <v>4029</v>
      </c>
      <c r="I22" s="127"/>
      <c r="J22" s="127" t="s">
        <v>5366</v>
      </c>
      <c r="K22" s="127" t="s">
        <v>2649</v>
      </c>
      <c r="L22" s="127"/>
      <c r="M22" s="127">
        <v>625268</v>
      </c>
      <c r="N22" s="109" t="s">
        <v>2639</v>
      </c>
      <c r="O22" s="19"/>
      <c r="P22" s="19"/>
      <c r="Q22" s="19"/>
      <c r="R22" s="19" t="s">
        <v>8296</v>
      </c>
      <c r="S22" s="19" t="s">
        <v>8295</v>
      </c>
    </row>
    <row r="23" spans="1:19" ht="24.9" customHeight="1">
      <c r="A23" s="19" t="s">
        <v>5877</v>
      </c>
      <c r="B23" s="19" t="s">
        <v>5877</v>
      </c>
      <c r="C23" s="19"/>
      <c r="D23" s="19" t="s">
        <v>4042</v>
      </c>
      <c r="E23" s="19" t="str">
        <f>VLOOKUP(D23,'لیست پرسنل'!$B$2:$E$1020,3,FALSE)</f>
        <v>فکورصنعت</v>
      </c>
      <c r="F23" s="19" t="str">
        <f>VLOOKUP(D23,'لیست پرسنل'!$B$2:$E$1020,4,FALSE)</f>
        <v>تحقیق و توسعه فکور</v>
      </c>
      <c r="G23" s="127">
        <f>VLOOKUP(D23,'لیست پرسنل'!$B$2:$F$1020,2,FALSE)</f>
        <v>0</v>
      </c>
      <c r="H23" s="127" t="s">
        <v>4029</v>
      </c>
      <c r="I23" s="127"/>
      <c r="J23" s="127" t="s">
        <v>5366</v>
      </c>
      <c r="K23" s="127" t="s">
        <v>2649</v>
      </c>
      <c r="L23" s="127"/>
      <c r="M23" s="127">
        <v>625269</v>
      </c>
      <c r="N23" s="109" t="s">
        <v>2640</v>
      </c>
      <c r="O23" s="19"/>
      <c r="P23" s="19"/>
      <c r="Q23" s="19"/>
      <c r="R23" s="19" t="s">
        <v>8296</v>
      </c>
      <c r="S23" s="19" t="s">
        <v>8295</v>
      </c>
    </row>
    <row r="24" spans="1:19" ht="24.9" customHeight="1">
      <c r="A24" s="19" t="s">
        <v>5877</v>
      </c>
      <c r="B24" s="19" t="s">
        <v>5877</v>
      </c>
      <c r="C24" s="19"/>
      <c r="D24" s="19" t="s">
        <v>4042</v>
      </c>
      <c r="E24" s="19" t="str">
        <f>VLOOKUP(D24,'لیست پرسنل'!$B$2:$E$1020,3,FALSE)</f>
        <v>فکورصنعت</v>
      </c>
      <c r="F24" s="19" t="str">
        <f>VLOOKUP(D24,'لیست پرسنل'!$B$2:$E$1020,4,FALSE)</f>
        <v>تحقیق و توسعه فکور</v>
      </c>
      <c r="G24" s="127">
        <f>VLOOKUP(D24,'لیست پرسنل'!$B$2:$F$1020,2,FALSE)</f>
        <v>0</v>
      </c>
      <c r="H24" s="127" t="s">
        <v>4029</v>
      </c>
      <c r="I24" s="127"/>
      <c r="J24" s="127" t="s">
        <v>2686</v>
      </c>
      <c r="K24" s="127" t="s">
        <v>2690</v>
      </c>
      <c r="L24" s="127"/>
      <c r="M24" s="127">
        <v>628155</v>
      </c>
      <c r="N24" s="109"/>
      <c r="O24" s="19"/>
      <c r="P24" s="19"/>
      <c r="Q24" s="19" t="s">
        <v>4460</v>
      </c>
      <c r="R24" s="19" t="s">
        <v>8296</v>
      </c>
      <c r="S24" s="19" t="s">
        <v>8295</v>
      </c>
    </row>
    <row r="25" spans="1:19" ht="24.9" customHeight="1">
      <c r="A25" s="19" t="s">
        <v>5877</v>
      </c>
      <c r="B25" s="19" t="s">
        <v>5877</v>
      </c>
      <c r="C25" s="19"/>
      <c r="D25" s="19" t="s">
        <v>4042</v>
      </c>
      <c r="E25" s="19" t="str">
        <f>VLOOKUP(D25,'لیست پرسنل'!$B$2:$E$1020,3,FALSE)</f>
        <v>فکورصنعت</v>
      </c>
      <c r="F25" s="19" t="str">
        <f>VLOOKUP(D25,'لیست پرسنل'!$B$2:$E$1020,4,FALSE)</f>
        <v>تحقیق و توسعه فکور</v>
      </c>
      <c r="G25" s="127">
        <f>VLOOKUP(D25,'لیست پرسنل'!$B$2:$F$1020,2,FALSE)</f>
        <v>0</v>
      </c>
      <c r="H25" s="127" t="s">
        <v>4029</v>
      </c>
      <c r="I25" s="127"/>
      <c r="J25" s="127" t="s">
        <v>2686</v>
      </c>
      <c r="K25" s="127" t="s">
        <v>5994</v>
      </c>
      <c r="L25" s="127"/>
      <c r="M25" s="127">
        <v>628156</v>
      </c>
      <c r="N25" s="108"/>
      <c r="O25" s="20"/>
      <c r="P25" s="20"/>
      <c r="Q25" s="19"/>
      <c r="R25" s="19" t="s">
        <v>8296</v>
      </c>
      <c r="S25" s="20" t="s">
        <v>8295</v>
      </c>
    </row>
    <row r="26" spans="1:19" ht="24.9" customHeight="1">
      <c r="A26" s="19" t="s">
        <v>5877</v>
      </c>
      <c r="B26" s="19" t="s">
        <v>5877</v>
      </c>
      <c r="C26" s="19"/>
      <c r="D26" s="19" t="s">
        <v>4042</v>
      </c>
      <c r="E26" s="19" t="str">
        <f>VLOOKUP(D26,'لیست پرسنل'!$B$2:$E$1020,3,FALSE)</f>
        <v>فکورصنعت</v>
      </c>
      <c r="F26" s="19" t="str">
        <f>VLOOKUP(D26,'لیست پرسنل'!$B$2:$E$1020,4,FALSE)</f>
        <v>تحقیق و توسعه فکور</v>
      </c>
      <c r="G26" s="127">
        <f>VLOOKUP(D26,'لیست پرسنل'!$B$2:$F$1020,2,FALSE)</f>
        <v>0</v>
      </c>
      <c r="H26" s="127" t="s">
        <v>4029</v>
      </c>
      <c r="I26" s="127"/>
      <c r="J26" s="127" t="s">
        <v>2686</v>
      </c>
      <c r="K26" s="127" t="s">
        <v>2690</v>
      </c>
      <c r="L26" s="127"/>
      <c r="M26" s="127">
        <v>628157</v>
      </c>
      <c r="N26" s="109"/>
      <c r="O26" s="19"/>
      <c r="P26" s="19"/>
      <c r="Q26" s="19" t="s">
        <v>4460</v>
      </c>
      <c r="R26" s="19" t="s">
        <v>8296</v>
      </c>
      <c r="S26" s="19" t="s">
        <v>8295</v>
      </c>
    </row>
    <row r="27" spans="1:19" ht="24.9" customHeight="1">
      <c r="A27" s="19" t="s">
        <v>5877</v>
      </c>
      <c r="B27" s="19" t="s">
        <v>5877</v>
      </c>
      <c r="C27" s="19"/>
      <c r="D27" s="19" t="s">
        <v>4042</v>
      </c>
      <c r="E27" s="19" t="str">
        <f>VLOOKUP(D27,'لیست پرسنل'!$B$2:$E$1020,3,FALSE)</f>
        <v>فکورصنعت</v>
      </c>
      <c r="F27" s="19" t="str">
        <f>VLOOKUP(D27,'لیست پرسنل'!$B$2:$E$1020,4,FALSE)</f>
        <v>تحقیق و توسعه فکور</v>
      </c>
      <c r="G27" s="127">
        <f>VLOOKUP(D27,'لیست پرسنل'!$B$2:$F$1020,2,FALSE)</f>
        <v>0</v>
      </c>
      <c r="H27" s="127" t="s">
        <v>4029</v>
      </c>
      <c r="I27" s="127"/>
      <c r="J27" s="127" t="s">
        <v>737</v>
      </c>
      <c r="K27" s="127" t="s">
        <v>5990</v>
      </c>
      <c r="L27" s="127"/>
      <c r="M27" s="127">
        <v>628994</v>
      </c>
      <c r="N27" s="108"/>
      <c r="O27" s="20"/>
      <c r="P27" s="20"/>
      <c r="Q27" s="19"/>
      <c r="R27" s="19" t="s">
        <v>8296</v>
      </c>
      <c r="S27" s="20" t="s">
        <v>8295</v>
      </c>
    </row>
    <row r="28" spans="1:19" ht="24.9" customHeight="1">
      <c r="A28" s="19" t="s">
        <v>5877</v>
      </c>
      <c r="B28" s="19" t="s">
        <v>5877</v>
      </c>
      <c r="C28" s="19"/>
      <c r="D28" s="19" t="s">
        <v>4042</v>
      </c>
      <c r="E28" s="19" t="str">
        <f>VLOOKUP(D28,'لیست پرسنل'!$B$2:$E$1020,3,FALSE)</f>
        <v>فکورصنعت</v>
      </c>
      <c r="F28" s="19" t="str">
        <f>VLOOKUP(D28,'لیست پرسنل'!$B$2:$E$1020,4,FALSE)</f>
        <v>تحقیق و توسعه فکور</v>
      </c>
      <c r="G28" s="127">
        <f>VLOOKUP(D28,'لیست پرسنل'!$B$2:$F$1020,2,FALSE)</f>
        <v>0</v>
      </c>
      <c r="H28" s="127" t="s">
        <v>4029</v>
      </c>
      <c r="I28" s="127"/>
      <c r="J28" s="127" t="s">
        <v>5996</v>
      </c>
      <c r="K28" s="127" t="s">
        <v>5992</v>
      </c>
      <c r="L28" s="127"/>
      <c r="M28" s="127">
        <v>629325</v>
      </c>
      <c r="N28" s="108"/>
      <c r="O28" s="20"/>
      <c r="P28" s="20"/>
      <c r="Q28" s="19"/>
      <c r="R28" s="19" t="s">
        <v>8296</v>
      </c>
      <c r="S28" s="20" t="s">
        <v>8295</v>
      </c>
    </row>
    <row r="29" spans="1:19" ht="24.9" customHeight="1">
      <c r="A29" s="19" t="s">
        <v>5877</v>
      </c>
      <c r="B29" s="19" t="s">
        <v>5877</v>
      </c>
      <c r="C29" s="19"/>
      <c r="D29" s="19" t="s">
        <v>4042</v>
      </c>
      <c r="E29" s="19" t="str">
        <f>VLOOKUP(D29,'لیست پرسنل'!$B$2:$E$1020,3,FALSE)</f>
        <v>فکورصنعت</v>
      </c>
      <c r="F29" s="19" t="str">
        <f>VLOOKUP(D29,'لیست پرسنل'!$B$2:$E$1020,4,FALSE)</f>
        <v>تحقیق و توسعه فکور</v>
      </c>
      <c r="G29" s="127">
        <f>VLOOKUP(D29,'لیست پرسنل'!$B$2:$F$1020,2,FALSE)</f>
        <v>0</v>
      </c>
      <c r="H29" s="127" t="s">
        <v>4029</v>
      </c>
      <c r="I29" s="127"/>
      <c r="J29" s="127" t="s">
        <v>5996</v>
      </c>
      <c r="K29" s="127" t="s">
        <v>5992</v>
      </c>
      <c r="L29" s="127"/>
      <c r="M29" s="127">
        <v>629326</v>
      </c>
      <c r="N29" s="108"/>
      <c r="O29" s="20"/>
      <c r="P29" s="20"/>
      <c r="Q29" s="19"/>
      <c r="R29" s="19" t="s">
        <v>8296</v>
      </c>
      <c r="S29" s="20" t="s">
        <v>8295</v>
      </c>
    </row>
    <row r="30" spans="1:19" ht="24.9" customHeight="1">
      <c r="A30" s="19" t="s">
        <v>5877</v>
      </c>
      <c r="B30" s="19" t="s">
        <v>5877</v>
      </c>
      <c r="C30" s="19"/>
      <c r="D30" s="19" t="s">
        <v>4042</v>
      </c>
      <c r="E30" s="19" t="str">
        <f>VLOOKUP(D30,'لیست پرسنل'!$B$2:$E$1020,3,FALSE)</f>
        <v>فکورصنعت</v>
      </c>
      <c r="F30" s="19" t="str">
        <f>VLOOKUP(D30,'لیست پرسنل'!$B$2:$E$1020,4,FALSE)</f>
        <v>تحقیق و توسعه فکور</v>
      </c>
      <c r="G30" s="127">
        <f>VLOOKUP(D30,'لیست پرسنل'!$B$2:$F$1020,2,FALSE)</f>
        <v>0</v>
      </c>
      <c r="H30" s="127" t="s">
        <v>4029</v>
      </c>
      <c r="I30" s="127"/>
      <c r="J30" s="127" t="s">
        <v>5996</v>
      </c>
      <c r="K30" s="127" t="s">
        <v>5992</v>
      </c>
      <c r="L30" s="127"/>
      <c r="M30" s="127">
        <v>629327</v>
      </c>
      <c r="N30" s="108"/>
      <c r="O30" s="20"/>
      <c r="P30" s="20"/>
      <c r="Q30" s="19"/>
      <c r="R30" s="19" t="s">
        <v>8296</v>
      </c>
      <c r="S30" s="20" t="s">
        <v>8295</v>
      </c>
    </row>
    <row r="31" spans="1:19" ht="24.9" customHeight="1">
      <c r="A31" s="19" t="s">
        <v>5877</v>
      </c>
      <c r="B31" s="19" t="s">
        <v>5877</v>
      </c>
      <c r="C31" s="19"/>
      <c r="D31" s="19" t="s">
        <v>4042</v>
      </c>
      <c r="E31" s="19" t="str">
        <f>VLOOKUP(D31,'لیست پرسنل'!$B$2:$E$1020,3,FALSE)</f>
        <v>فکورصنعت</v>
      </c>
      <c r="F31" s="19" t="str">
        <f>VLOOKUP(D31,'لیست پرسنل'!$B$2:$E$1020,4,FALSE)</f>
        <v>تحقیق و توسعه فکور</v>
      </c>
      <c r="G31" s="127">
        <f>VLOOKUP(D31,'لیست پرسنل'!$B$2:$F$1020,2,FALSE)</f>
        <v>0</v>
      </c>
      <c r="H31" s="127" t="s">
        <v>4029</v>
      </c>
      <c r="I31" s="127"/>
      <c r="J31" s="127" t="s">
        <v>5996</v>
      </c>
      <c r="K31" s="127" t="s">
        <v>5992</v>
      </c>
      <c r="L31" s="127"/>
      <c r="M31" s="127">
        <v>629328</v>
      </c>
      <c r="N31" s="108"/>
      <c r="O31" s="20"/>
      <c r="P31" s="20"/>
      <c r="Q31" s="19"/>
      <c r="R31" s="19" t="s">
        <v>8296</v>
      </c>
      <c r="S31" s="20" t="s">
        <v>8295</v>
      </c>
    </row>
    <row r="32" spans="1:19" ht="24.9" customHeight="1">
      <c r="A32" s="19" t="s">
        <v>5877</v>
      </c>
      <c r="B32" s="19" t="s">
        <v>5877</v>
      </c>
      <c r="C32" s="19"/>
      <c r="D32" s="19" t="s">
        <v>4042</v>
      </c>
      <c r="E32" s="19" t="str">
        <f>VLOOKUP(D32,'لیست پرسنل'!$B$2:$E$1020,3,FALSE)</f>
        <v>فکورصنعت</v>
      </c>
      <c r="F32" s="19" t="str">
        <f>VLOOKUP(D32,'لیست پرسنل'!$B$2:$E$1020,4,FALSE)</f>
        <v>تحقیق و توسعه فکور</v>
      </c>
      <c r="G32" s="127">
        <f>VLOOKUP(D32,'لیست پرسنل'!$B$2:$F$1020,2,FALSE)</f>
        <v>0</v>
      </c>
      <c r="H32" s="127" t="s">
        <v>4029</v>
      </c>
      <c r="I32" s="127"/>
      <c r="J32" s="127" t="s">
        <v>5996</v>
      </c>
      <c r="K32" s="127" t="s">
        <v>5992</v>
      </c>
      <c r="L32" s="127"/>
      <c r="M32" s="127">
        <v>629329</v>
      </c>
      <c r="N32" s="108"/>
      <c r="O32" s="20"/>
      <c r="P32" s="20"/>
      <c r="Q32" s="19"/>
      <c r="R32" s="19" t="s">
        <v>8296</v>
      </c>
      <c r="S32" s="20" t="s">
        <v>8295</v>
      </c>
    </row>
    <row r="33" spans="1:19" ht="24.9" customHeight="1">
      <c r="A33" s="19" t="s">
        <v>5877</v>
      </c>
      <c r="B33" s="19" t="s">
        <v>5877</v>
      </c>
      <c r="C33" s="19"/>
      <c r="D33" s="19" t="s">
        <v>4042</v>
      </c>
      <c r="E33" s="19" t="str">
        <f>VLOOKUP(D33,'لیست پرسنل'!$B$2:$E$1020,3,FALSE)</f>
        <v>فکورصنعت</v>
      </c>
      <c r="F33" s="19" t="str">
        <f>VLOOKUP(D33,'لیست پرسنل'!$B$2:$E$1020,4,FALSE)</f>
        <v>تحقیق و توسعه فکور</v>
      </c>
      <c r="G33" s="127">
        <f>VLOOKUP(D33,'لیست پرسنل'!$B$2:$F$1020,2,FALSE)</f>
        <v>0</v>
      </c>
      <c r="H33" s="127" t="s">
        <v>4029</v>
      </c>
      <c r="I33" s="127"/>
      <c r="J33" s="127" t="s">
        <v>2686</v>
      </c>
      <c r="K33" s="127" t="s">
        <v>5995</v>
      </c>
      <c r="L33" s="127"/>
      <c r="M33" s="127">
        <v>629331</v>
      </c>
      <c r="N33" s="108"/>
      <c r="O33" s="20"/>
      <c r="P33" s="20"/>
      <c r="Q33" s="19"/>
      <c r="R33" s="19" t="s">
        <v>8296</v>
      </c>
      <c r="S33" s="20" t="s">
        <v>8295</v>
      </c>
    </row>
    <row r="34" spans="1:19" ht="24.9" customHeight="1">
      <c r="A34" s="19" t="s">
        <v>5877</v>
      </c>
      <c r="B34" s="19" t="s">
        <v>5877</v>
      </c>
      <c r="C34" s="19"/>
      <c r="D34" s="19" t="s">
        <v>4042</v>
      </c>
      <c r="E34" s="19" t="str">
        <f>VLOOKUP(D34,'لیست پرسنل'!$B$2:$E$1020,3,FALSE)</f>
        <v>فکورصنعت</v>
      </c>
      <c r="F34" s="19" t="str">
        <f>VLOOKUP(D34,'لیست پرسنل'!$B$2:$E$1020,4,FALSE)</f>
        <v>تحقیق و توسعه فکور</v>
      </c>
      <c r="G34" s="127">
        <f>VLOOKUP(D34,'لیست پرسنل'!$B$2:$F$1020,2,FALSE)</f>
        <v>0</v>
      </c>
      <c r="H34" s="127" t="s">
        <v>4029</v>
      </c>
      <c r="I34" s="127"/>
      <c r="J34" s="127" t="s">
        <v>2686</v>
      </c>
      <c r="K34" s="127" t="s">
        <v>5995</v>
      </c>
      <c r="L34" s="127"/>
      <c r="M34" s="127">
        <v>629332</v>
      </c>
      <c r="N34" s="108"/>
      <c r="O34" s="20"/>
      <c r="P34" s="20"/>
      <c r="Q34" s="19"/>
      <c r="R34" s="19" t="s">
        <v>8296</v>
      </c>
      <c r="S34" s="20" t="s">
        <v>8295</v>
      </c>
    </row>
    <row r="35" spans="1:19" ht="24.9" customHeight="1">
      <c r="A35" s="19" t="s">
        <v>5877</v>
      </c>
      <c r="B35" s="19" t="s">
        <v>5877</v>
      </c>
      <c r="C35" s="19"/>
      <c r="D35" s="19" t="s">
        <v>4042</v>
      </c>
      <c r="E35" s="19" t="str">
        <f>VLOOKUP(D35,'لیست پرسنل'!$B$2:$E$1020,3,FALSE)</f>
        <v>فکورصنعت</v>
      </c>
      <c r="F35" s="19" t="str">
        <f>VLOOKUP(D35,'لیست پرسنل'!$B$2:$E$1020,4,FALSE)</f>
        <v>تحقیق و توسعه فکور</v>
      </c>
      <c r="G35" s="127">
        <f>VLOOKUP(D35,'لیست پرسنل'!$B$2:$F$1020,2,FALSE)</f>
        <v>0</v>
      </c>
      <c r="H35" s="127" t="s">
        <v>4029</v>
      </c>
      <c r="I35" s="127"/>
      <c r="J35" s="127" t="s">
        <v>5304</v>
      </c>
      <c r="K35" s="127" t="s">
        <v>5993</v>
      </c>
      <c r="L35" s="127"/>
      <c r="M35" s="127">
        <v>629333</v>
      </c>
      <c r="N35" s="108"/>
      <c r="O35" s="20"/>
      <c r="P35" s="20"/>
      <c r="Q35" s="19"/>
      <c r="R35" s="19" t="s">
        <v>8296</v>
      </c>
      <c r="S35" s="20" t="s">
        <v>8295</v>
      </c>
    </row>
    <row r="36" spans="1:19" ht="24.9" customHeight="1">
      <c r="A36" s="19" t="s">
        <v>5877</v>
      </c>
      <c r="B36" s="19" t="s">
        <v>5877</v>
      </c>
      <c r="C36" s="19"/>
      <c r="D36" s="19" t="s">
        <v>4042</v>
      </c>
      <c r="E36" s="19" t="str">
        <f>VLOOKUP(D36,'لیست پرسنل'!$B$2:$E$1020,3,FALSE)</f>
        <v>فکورصنعت</v>
      </c>
      <c r="F36" s="19" t="str">
        <f>VLOOKUP(D36,'لیست پرسنل'!$B$2:$E$1020,4,FALSE)</f>
        <v>تحقیق و توسعه فکور</v>
      </c>
      <c r="G36" s="127">
        <f>VLOOKUP(D36,'لیست پرسنل'!$B$2:$F$1020,2,FALSE)</f>
        <v>0</v>
      </c>
      <c r="H36" s="127" t="s">
        <v>4029</v>
      </c>
      <c r="I36" s="127"/>
      <c r="J36" s="127" t="s">
        <v>737</v>
      </c>
      <c r="K36" s="127" t="s">
        <v>5991</v>
      </c>
      <c r="L36" s="127"/>
      <c r="M36" s="127">
        <v>631077</v>
      </c>
      <c r="N36" s="108"/>
      <c r="O36" s="20"/>
      <c r="P36" s="20"/>
      <c r="Q36" s="19"/>
      <c r="R36" s="19" t="s">
        <v>8296</v>
      </c>
      <c r="S36" s="20" t="s">
        <v>8295</v>
      </c>
    </row>
    <row r="37" spans="1:19">
      <c r="A37" s="201"/>
      <c r="B37" s="201"/>
      <c r="C37" s="201"/>
      <c r="D37" s="202"/>
      <c r="E37" s="201"/>
      <c r="F37" s="201"/>
      <c r="G37" s="201"/>
      <c r="H37" s="201"/>
      <c r="I37" s="202"/>
      <c r="J37" s="201"/>
      <c r="K37" s="201"/>
      <c r="L37" s="201"/>
      <c r="M37" s="203"/>
      <c r="N37" s="204"/>
      <c r="O37" s="201"/>
      <c r="P37" s="201"/>
      <c r="Q37" s="201"/>
      <c r="R37" s="201"/>
      <c r="S37" s="201"/>
    </row>
  </sheetData>
  <autoFilter ref="A2:S36" xr:uid="{00000000-0001-0000-0000-000000000000}"/>
  <dataConsolidate/>
  <customSheetViews>
    <customSheetView guid="{4E9100F2-A511-4BAB-A26D-F817BBFCED8B}" scale="70" colorId="22" showPageBreaks="1" fitToPage="1" printArea="1" showAutoFilter="1" view="pageBreakPreview">
      <selection activeCell="H10" sqref="H10"/>
      <pageMargins left="0.25" right="0.25" top="0.43" bottom="0.24" header="0.32" footer="0.18"/>
      <pageSetup paperSize="9" scale="25" fitToHeight="0" orientation="landscape" horizontalDpi="4294967295" verticalDpi="4294967295" r:id="rId1"/>
      <autoFilter ref="A2:S2" xr:uid="{E9E1A0B9-4F0B-4730-8A6D-714353E7B9C4}"/>
    </customSheetView>
  </customSheetViews>
  <phoneticPr fontId="46" type="noConversion"/>
  <conditionalFormatting sqref="N1">
    <cfRule type="cellIs" dxfId="80" priority="410" operator="equal">
      <formula>"عبدالحمید اکبری"</formula>
    </cfRule>
  </conditionalFormatting>
  <conditionalFormatting sqref="N1:N2 N37:N1048576">
    <cfRule type="cellIs" dxfId="79" priority="409" operator="equal">
      <formula>"پیگیری"</formula>
    </cfRule>
  </conditionalFormatting>
  <conditionalFormatting sqref="L3">
    <cfRule type="duplicateValues" dxfId="78" priority="404"/>
  </conditionalFormatting>
  <conditionalFormatting sqref="L3">
    <cfRule type="duplicateValues" dxfId="77" priority="393"/>
  </conditionalFormatting>
  <conditionalFormatting sqref="N3">
    <cfRule type="cellIs" dxfId="76" priority="389" operator="equal">
      <formula>"عبدالحمید اکبری"</formula>
    </cfRule>
  </conditionalFormatting>
  <conditionalFormatting sqref="N3">
    <cfRule type="cellIs" dxfId="75" priority="388" operator="equal">
      <formula>"پیگیری"</formula>
    </cfRule>
  </conditionalFormatting>
  <conditionalFormatting sqref="L4">
    <cfRule type="duplicateValues" dxfId="74" priority="377"/>
  </conditionalFormatting>
  <conditionalFormatting sqref="N4">
    <cfRule type="cellIs" dxfId="73" priority="373" operator="equal">
      <formula>"عبدالحمید اکبری"</formula>
    </cfRule>
  </conditionalFormatting>
  <conditionalFormatting sqref="N4">
    <cfRule type="cellIs" dxfId="72" priority="372" operator="equal">
      <formula>"پیگیری"</formula>
    </cfRule>
  </conditionalFormatting>
  <conditionalFormatting sqref="L5">
    <cfRule type="duplicateValues" dxfId="71" priority="371"/>
  </conditionalFormatting>
  <conditionalFormatting sqref="L5">
    <cfRule type="duplicateValues" dxfId="70" priority="360"/>
  </conditionalFormatting>
  <conditionalFormatting sqref="N5">
    <cfRule type="cellIs" dxfId="69" priority="356" operator="equal">
      <formula>"عبدالحمید اکبری"</formula>
    </cfRule>
  </conditionalFormatting>
  <conditionalFormatting sqref="N5">
    <cfRule type="cellIs" dxfId="68" priority="355" operator="equal">
      <formula>"پیگیری"</formula>
    </cfRule>
  </conditionalFormatting>
  <conditionalFormatting sqref="L6">
    <cfRule type="duplicateValues" dxfId="67" priority="344"/>
  </conditionalFormatting>
  <conditionalFormatting sqref="N6">
    <cfRule type="cellIs" dxfId="66" priority="340" operator="equal">
      <formula>"عبدالحمید اکبری"</formula>
    </cfRule>
  </conditionalFormatting>
  <conditionalFormatting sqref="N6">
    <cfRule type="cellIs" dxfId="65" priority="339" operator="equal">
      <formula>"پیگیری"</formula>
    </cfRule>
  </conditionalFormatting>
  <conditionalFormatting sqref="L7">
    <cfRule type="duplicateValues" dxfId="64" priority="328"/>
  </conditionalFormatting>
  <conditionalFormatting sqref="N7">
    <cfRule type="cellIs" dxfId="63" priority="324" operator="equal">
      <formula>"عبدالحمید اکبری"</formula>
    </cfRule>
  </conditionalFormatting>
  <conditionalFormatting sqref="N7">
    <cfRule type="cellIs" dxfId="62" priority="323" operator="equal">
      <formula>"پیگیری"</formula>
    </cfRule>
  </conditionalFormatting>
  <conditionalFormatting sqref="L8">
    <cfRule type="duplicateValues" dxfId="61" priority="312"/>
  </conditionalFormatting>
  <conditionalFormatting sqref="N8">
    <cfRule type="cellIs" dxfId="60" priority="308" operator="equal">
      <formula>"عبدالحمید اکبری"</formula>
    </cfRule>
  </conditionalFormatting>
  <conditionalFormatting sqref="N8">
    <cfRule type="cellIs" dxfId="59" priority="307" operator="equal">
      <formula>"پیگیری"</formula>
    </cfRule>
  </conditionalFormatting>
  <conditionalFormatting sqref="L9">
    <cfRule type="duplicateValues" dxfId="58" priority="296"/>
  </conditionalFormatting>
  <conditionalFormatting sqref="N9">
    <cfRule type="cellIs" dxfId="57" priority="292" operator="equal">
      <formula>"عبدالحمید اکبری"</formula>
    </cfRule>
  </conditionalFormatting>
  <conditionalFormatting sqref="N9">
    <cfRule type="cellIs" dxfId="56" priority="291" operator="equal">
      <formula>"پیگیری"</formula>
    </cfRule>
  </conditionalFormatting>
  <conditionalFormatting sqref="L10">
    <cfRule type="duplicateValues" dxfId="55" priority="280"/>
  </conditionalFormatting>
  <conditionalFormatting sqref="N10">
    <cfRule type="cellIs" dxfId="54" priority="276" operator="equal">
      <formula>"عبدالحمید اکبری"</formula>
    </cfRule>
  </conditionalFormatting>
  <conditionalFormatting sqref="N10">
    <cfRule type="cellIs" dxfId="53" priority="275" operator="equal">
      <formula>"پیگیری"</formula>
    </cfRule>
  </conditionalFormatting>
  <conditionalFormatting sqref="L11">
    <cfRule type="duplicateValues" dxfId="52" priority="264"/>
  </conditionalFormatting>
  <conditionalFormatting sqref="N11">
    <cfRule type="cellIs" dxfId="51" priority="260" operator="equal">
      <formula>"عبدالحمید اکبری"</formula>
    </cfRule>
  </conditionalFormatting>
  <conditionalFormatting sqref="N11">
    <cfRule type="cellIs" dxfId="50" priority="259" operator="equal">
      <formula>"پیگیری"</formula>
    </cfRule>
  </conditionalFormatting>
  <conditionalFormatting sqref="L12">
    <cfRule type="duplicateValues" dxfId="49" priority="248"/>
  </conditionalFormatting>
  <conditionalFormatting sqref="N12">
    <cfRule type="cellIs" dxfId="48" priority="244" operator="equal">
      <formula>"عبدالحمید اکبری"</formula>
    </cfRule>
  </conditionalFormatting>
  <conditionalFormatting sqref="N12">
    <cfRule type="cellIs" dxfId="47" priority="243" operator="equal">
      <formula>"پیگیری"</formula>
    </cfRule>
  </conditionalFormatting>
  <conditionalFormatting sqref="L13">
    <cfRule type="duplicateValues" dxfId="46" priority="232"/>
  </conditionalFormatting>
  <conditionalFormatting sqref="N13">
    <cfRule type="cellIs" dxfId="45" priority="228" operator="equal">
      <formula>"عبدالحمید اکبری"</formula>
    </cfRule>
  </conditionalFormatting>
  <conditionalFormatting sqref="N13">
    <cfRule type="cellIs" dxfId="44" priority="227" operator="equal">
      <formula>"پیگیری"</formula>
    </cfRule>
  </conditionalFormatting>
  <conditionalFormatting sqref="L14">
    <cfRule type="duplicateValues" dxfId="43" priority="216"/>
  </conditionalFormatting>
  <conditionalFormatting sqref="N14">
    <cfRule type="cellIs" dxfId="42" priority="212" operator="equal">
      <formula>"عبدالحمید اکبری"</formula>
    </cfRule>
  </conditionalFormatting>
  <conditionalFormatting sqref="N14">
    <cfRule type="cellIs" dxfId="41" priority="211" operator="equal">
      <formula>"پیگیری"</formula>
    </cfRule>
  </conditionalFormatting>
  <conditionalFormatting sqref="L15">
    <cfRule type="duplicateValues" dxfId="40" priority="200"/>
  </conditionalFormatting>
  <conditionalFormatting sqref="N15">
    <cfRule type="cellIs" dxfId="39" priority="196" operator="equal">
      <formula>"عبدالحمید اکبری"</formula>
    </cfRule>
  </conditionalFormatting>
  <conditionalFormatting sqref="N15">
    <cfRule type="cellIs" dxfId="38" priority="195" operator="equal">
      <formula>"پیگیری"</formula>
    </cfRule>
  </conditionalFormatting>
  <conditionalFormatting sqref="L16">
    <cfRule type="duplicateValues" dxfId="37" priority="184"/>
  </conditionalFormatting>
  <conditionalFormatting sqref="N16">
    <cfRule type="cellIs" dxfId="36" priority="180" operator="equal">
      <formula>"عبدالحمید اکبری"</formula>
    </cfRule>
  </conditionalFormatting>
  <conditionalFormatting sqref="N16">
    <cfRule type="cellIs" dxfId="35" priority="179" operator="equal">
      <formula>"پیگیری"</formula>
    </cfRule>
  </conditionalFormatting>
  <conditionalFormatting sqref="L17">
    <cfRule type="duplicateValues" dxfId="34" priority="169"/>
  </conditionalFormatting>
  <conditionalFormatting sqref="N17">
    <cfRule type="cellIs" dxfId="33" priority="165" operator="equal">
      <formula>"عبدالحمید اکبری"</formula>
    </cfRule>
  </conditionalFormatting>
  <conditionalFormatting sqref="N17">
    <cfRule type="cellIs" dxfId="32" priority="164" operator="equal">
      <formula>"پیگیری"</formula>
    </cfRule>
  </conditionalFormatting>
  <conditionalFormatting sqref="L18">
    <cfRule type="duplicateValues" dxfId="31" priority="153"/>
  </conditionalFormatting>
  <conditionalFormatting sqref="N18">
    <cfRule type="cellIs" dxfId="30" priority="149" operator="equal">
      <formula>"عبدالحمید اکبری"</formula>
    </cfRule>
  </conditionalFormatting>
  <conditionalFormatting sqref="N18">
    <cfRule type="cellIs" dxfId="29" priority="148" operator="equal">
      <formula>"پیگیری"</formula>
    </cfRule>
  </conditionalFormatting>
  <conditionalFormatting sqref="L19">
    <cfRule type="duplicateValues" dxfId="28" priority="147"/>
  </conditionalFormatting>
  <conditionalFormatting sqref="L19">
    <cfRule type="duplicateValues" dxfId="27" priority="136"/>
  </conditionalFormatting>
  <conditionalFormatting sqref="N19">
    <cfRule type="cellIs" dxfId="26" priority="132" operator="equal">
      <formula>"عبدالحمید اکبری"</formula>
    </cfRule>
  </conditionalFormatting>
  <conditionalFormatting sqref="N19">
    <cfRule type="cellIs" dxfId="25" priority="131" operator="equal">
      <formula>"پیگیری"</formula>
    </cfRule>
  </conditionalFormatting>
  <conditionalFormatting sqref="L20:L23">
    <cfRule type="duplicateValues" dxfId="24" priority="120"/>
  </conditionalFormatting>
  <conditionalFormatting sqref="N20:N23">
    <cfRule type="cellIs" dxfId="23" priority="116" operator="equal">
      <formula>"عبدالحمید اکبری"</formula>
    </cfRule>
  </conditionalFormatting>
  <conditionalFormatting sqref="N20:N23">
    <cfRule type="cellIs" dxfId="22" priority="115" operator="equal">
      <formula>"پیگیری"</formula>
    </cfRule>
  </conditionalFormatting>
  <conditionalFormatting sqref="L24:L26">
    <cfRule type="duplicateValues" dxfId="21" priority="104"/>
  </conditionalFormatting>
  <conditionalFormatting sqref="N24:N26">
    <cfRule type="cellIs" dxfId="20" priority="100" operator="equal">
      <formula>"عبدالحمید اکبری"</formula>
    </cfRule>
  </conditionalFormatting>
  <conditionalFormatting sqref="N24:N26">
    <cfRule type="cellIs" dxfId="19" priority="99" operator="equal">
      <formula>"پیگیری"</formula>
    </cfRule>
  </conditionalFormatting>
  <conditionalFormatting sqref="L27">
    <cfRule type="duplicateValues" dxfId="18" priority="88"/>
  </conditionalFormatting>
  <conditionalFormatting sqref="N27">
    <cfRule type="cellIs" dxfId="17" priority="84" operator="equal">
      <formula>"عبدالحمید اکبری"</formula>
    </cfRule>
  </conditionalFormatting>
  <conditionalFormatting sqref="N27">
    <cfRule type="cellIs" dxfId="16" priority="83" operator="equal">
      <formula>"پیگیری"</formula>
    </cfRule>
  </conditionalFormatting>
  <conditionalFormatting sqref="L28:L32">
    <cfRule type="duplicateValues" dxfId="15" priority="72"/>
  </conditionalFormatting>
  <conditionalFormatting sqref="N28:N32">
    <cfRule type="cellIs" dxfId="14" priority="68" operator="equal">
      <formula>"عبدالحمید اکبری"</formula>
    </cfRule>
  </conditionalFormatting>
  <conditionalFormatting sqref="N28:N32">
    <cfRule type="cellIs" dxfId="13" priority="67" operator="equal">
      <formula>"پیگیری"</formula>
    </cfRule>
  </conditionalFormatting>
  <conditionalFormatting sqref="L33">
    <cfRule type="duplicateValues" dxfId="12" priority="56"/>
  </conditionalFormatting>
  <conditionalFormatting sqref="N33">
    <cfRule type="cellIs" dxfId="11" priority="52" operator="equal">
      <formula>"عبدالحمید اکبری"</formula>
    </cfRule>
  </conditionalFormatting>
  <conditionalFormatting sqref="N33">
    <cfRule type="cellIs" dxfId="10" priority="51" operator="equal">
      <formula>"پیگیری"</formula>
    </cfRule>
  </conditionalFormatting>
  <conditionalFormatting sqref="L34">
    <cfRule type="duplicateValues" dxfId="9" priority="40"/>
  </conditionalFormatting>
  <conditionalFormatting sqref="N34">
    <cfRule type="cellIs" dxfId="8" priority="36" operator="equal">
      <formula>"عبدالحمید اکبری"</formula>
    </cfRule>
  </conditionalFormatting>
  <conditionalFormatting sqref="N34">
    <cfRule type="cellIs" dxfId="7" priority="35" operator="equal">
      <formula>"پیگیری"</formula>
    </cfRule>
  </conditionalFormatting>
  <conditionalFormatting sqref="L35">
    <cfRule type="duplicateValues" dxfId="6" priority="24"/>
  </conditionalFormatting>
  <conditionalFormatting sqref="N35">
    <cfRule type="cellIs" dxfId="5" priority="20" operator="equal">
      <formula>"عبدالحمید اکبری"</formula>
    </cfRule>
  </conditionalFormatting>
  <conditionalFormatting sqref="N35">
    <cfRule type="cellIs" dxfId="4" priority="19" operator="equal">
      <formula>"پیگیری"</formula>
    </cfRule>
  </conditionalFormatting>
  <conditionalFormatting sqref="L36">
    <cfRule type="duplicateValues" dxfId="3" priority="8"/>
  </conditionalFormatting>
  <conditionalFormatting sqref="N36">
    <cfRule type="cellIs" dxfId="2" priority="4" operator="equal">
      <formula>"عبدالحمید اکبری"</formula>
    </cfRule>
  </conditionalFormatting>
  <conditionalFormatting sqref="N36">
    <cfRule type="cellIs" dxfId="1" priority="3" operator="equal">
      <formula>"پیگیری"</formula>
    </cfRule>
  </conditionalFormatting>
  <conditionalFormatting sqref="U3:U37 M3:M36">
    <cfRule type="duplicateValues" dxfId="0" priority="1"/>
  </conditionalFormatting>
  <pageMargins left="0.25" right="0.25" top="0.43" bottom="0.24" header="0.32" footer="0.18"/>
  <pageSetup paperSize="9" scale="28" fitToHeight="0" orientation="landscape" horizontalDpi="4294967295" verticalDpi="4294967295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2"/>
  <dimension ref="A1:M10"/>
  <sheetViews>
    <sheetView rightToLeft="1" workbookViewId="0">
      <selection activeCell="E10" sqref="E10"/>
    </sheetView>
  </sheetViews>
  <sheetFormatPr defaultRowHeight="14.4"/>
  <cols>
    <col min="1" max="1" width="7.109375" customWidth="1"/>
    <col min="2" max="2" width="26" customWidth="1"/>
    <col min="3" max="3" width="13.6640625" customWidth="1"/>
    <col min="4" max="4" width="36.33203125" customWidth="1"/>
    <col min="5" max="5" width="32.88671875" customWidth="1"/>
    <col min="6" max="6" width="18.5546875" customWidth="1"/>
    <col min="7" max="7" width="16.33203125" customWidth="1"/>
    <col min="8" max="8" width="36.109375" customWidth="1"/>
    <col min="9" max="9" width="21.6640625" customWidth="1"/>
    <col min="10" max="10" width="17.5546875" customWidth="1"/>
    <col min="11" max="11" width="26" customWidth="1"/>
    <col min="12" max="12" width="16.44140625" customWidth="1"/>
    <col min="13" max="13" width="23.6640625" customWidth="1"/>
  </cols>
  <sheetData>
    <row r="1" spans="1:13">
      <c r="A1" s="255" t="s">
        <v>253</v>
      </c>
      <c r="B1" s="255"/>
      <c r="C1" s="255"/>
      <c r="D1" s="255"/>
      <c r="E1" s="255"/>
      <c r="F1" s="255"/>
      <c r="G1" s="255"/>
      <c r="H1" s="255"/>
    </row>
    <row r="2" spans="1:13">
      <c r="A2" s="255"/>
      <c r="B2" s="255"/>
      <c r="C2" s="255"/>
      <c r="D2" s="255"/>
      <c r="E2" s="255"/>
      <c r="F2" s="255"/>
      <c r="G2" s="255"/>
      <c r="H2" s="255"/>
    </row>
    <row r="3" spans="1:13">
      <c r="A3" s="255"/>
      <c r="B3" s="255"/>
      <c r="C3" s="255"/>
      <c r="D3" s="255"/>
      <c r="E3" s="255"/>
      <c r="F3" s="255"/>
      <c r="G3" s="255"/>
      <c r="H3" s="255"/>
    </row>
    <row r="4" spans="1:13">
      <c r="A4" s="255"/>
      <c r="B4" s="255"/>
      <c r="C4" s="255"/>
      <c r="D4" s="255"/>
      <c r="E4" s="255"/>
      <c r="F4" s="255"/>
      <c r="G4" s="255"/>
      <c r="H4" s="255"/>
    </row>
    <row r="5" spans="1:13" ht="5.25" customHeight="1">
      <c r="A5" s="255"/>
      <c r="B5" s="255"/>
      <c r="C5" s="255"/>
      <c r="D5" s="255"/>
      <c r="E5" s="255"/>
      <c r="F5" s="255"/>
      <c r="G5" s="255"/>
      <c r="H5" s="255"/>
    </row>
    <row r="6" spans="1:13" hidden="1">
      <c r="A6" s="255"/>
      <c r="B6" s="255"/>
      <c r="C6" s="255"/>
      <c r="D6" s="255"/>
      <c r="E6" s="255"/>
      <c r="F6" s="255"/>
      <c r="G6" s="255"/>
      <c r="H6" s="255"/>
    </row>
    <row r="7" spans="1:13" s="4" customFormat="1" ht="21">
      <c r="A7" s="2" t="s">
        <v>0</v>
      </c>
      <c r="B7" s="3" t="s">
        <v>2</v>
      </c>
      <c r="C7" s="3" t="s">
        <v>1</v>
      </c>
      <c r="D7" s="3" t="s">
        <v>7</v>
      </c>
      <c r="E7" s="3" t="s">
        <v>3</v>
      </c>
      <c r="F7" s="3" t="s">
        <v>4</v>
      </c>
      <c r="G7" s="3" t="s">
        <v>6</v>
      </c>
      <c r="H7" s="3" t="s">
        <v>88</v>
      </c>
      <c r="I7" s="3" t="s">
        <v>216</v>
      </c>
      <c r="J7" s="3" t="s">
        <v>5</v>
      </c>
      <c r="K7" s="11" t="s">
        <v>84</v>
      </c>
      <c r="L7" s="3" t="s">
        <v>216</v>
      </c>
      <c r="M7" s="3" t="s">
        <v>5</v>
      </c>
    </row>
    <row r="8" spans="1:13" ht="21">
      <c r="A8" s="12">
        <v>1</v>
      </c>
      <c r="B8" s="9" t="s">
        <v>264</v>
      </c>
      <c r="C8" s="10" t="s">
        <v>263</v>
      </c>
      <c r="D8" s="15" t="s">
        <v>254</v>
      </c>
      <c r="E8" s="5" t="s">
        <v>255</v>
      </c>
      <c r="F8" s="9">
        <v>603954</v>
      </c>
      <c r="G8" s="14">
        <v>605221</v>
      </c>
      <c r="H8" s="9" t="s">
        <v>256</v>
      </c>
      <c r="I8" s="4" t="s">
        <v>257</v>
      </c>
      <c r="J8" s="13">
        <v>606000</v>
      </c>
      <c r="K8" s="3"/>
      <c r="L8" s="3"/>
      <c r="M8" s="9"/>
    </row>
    <row r="9" spans="1:13" ht="21">
      <c r="A9" s="12">
        <v>2</v>
      </c>
      <c r="B9" s="9" t="s">
        <v>258</v>
      </c>
      <c r="C9" s="10"/>
      <c r="D9" s="16" t="s">
        <v>39</v>
      </c>
      <c r="E9" s="5" t="s">
        <v>259</v>
      </c>
      <c r="F9" s="4">
        <v>600016</v>
      </c>
      <c r="G9" s="13">
        <v>605714</v>
      </c>
    </row>
    <row r="10" spans="1:13" s="4" customFormat="1" ht="21">
      <c r="A10" s="12">
        <v>3</v>
      </c>
      <c r="B10" s="9" t="s">
        <v>262</v>
      </c>
      <c r="C10" s="10"/>
      <c r="D10" s="16" t="s">
        <v>260</v>
      </c>
      <c r="E10" s="5" t="s">
        <v>261</v>
      </c>
      <c r="F10" s="4">
        <v>601596</v>
      </c>
      <c r="G10" s="13">
        <v>603964</v>
      </c>
    </row>
  </sheetData>
  <customSheetViews>
    <customSheetView guid="{4E9100F2-A511-4BAB-A26D-F817BBFCED8B}" hiddenRows="1" state="hidden">
      <selection activeCell="E10" sqref="E10"/>
      <pageMargins left="0.7" right="0.7" top="0.75" bottom="0.75" header="0.3" footer="0.3"/>
      <pageSetup orientation="portrait" r:id="rId1"/>
    </customSheetView>
  </customSheetViews>
  <mergeCells count="1">
    <mergeCell ref="A1:H6"/>
  </mergeCell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All_Data</vt:lpstr>
      <vt:lpstr>لیست پرسنل</vt:lpstr>
      <vt:lpstr>دوربین های فاقدکد</vt:lpstr>
      <vt:lpstr>ثبت نشده در سیما</vt:lpstr>
      <vt:lpstr>لیست تعمیرات</vt:lpstr>
      <vt:lpstr>اموال قبلا چک شده بنام نیک اختر</vt:lpstr>
      <vt:lpstr>مختوم شده</vt:lpstr>
      <vt:lpstr>خوابگاه </vt:lpstr>
      <vt:lpstr>All_Data!Print_Area</vt:lpstr>
      <vt:lpstr>'مختوم شده'!Print_Area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Rasool Nematian</dc:creator>
  <cp:lastModifiedBy>ALLAH</cp:lastModifiedBy>
  <cp:lastPrinted>2025-04-12T07:16:47Z</cp:lastPrinted>
  <dcterms:created xsi:type="dcterms:W3CDTF">2018-08-12T07:13:07Z</dcterms:created>
  <dcterms:modified xsi:type="dcterms:W3CDTF">2025-12-05T16:03:43Z</dcterms:modified>
</cp:coreProperties>
</file>