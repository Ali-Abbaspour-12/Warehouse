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ALLAH\Warehouse\data\"/>
    </mc:Choice>
  </mc:AlternateContent>
  <xr:revisionPtr revIDLastSave="0" documentId="13_ncr:1_{F2B684F6-C9D6-498A-B718-30CAD4744E7E}" xr6:coauthVersionLast="47" xr6:coauthVersionMax="47" xr10:uidLastSave="{00000000-0000-0000-0000-000000000000}"/>
  <bookViews>
    <workbookView xWindow="1170" yWindow="1170" windowWidth="21600" windowHeight="11295" tabRatio="560" xr2:uid="{00000000-000D-0000-FFFF-FFFF00000000}"/>
  </bookViews>
  <sheets>
    <sheet name="لیست تعمیرات" sheetId="5" r:id="rId1"/>
    <sheet name="اموال قبلا چک شده بنام نیک اختر" sheetId="6" r:id="rId2"/>
    <sheet name="مختوم شده" sheetId="7" r:id="rId3"/>
    <sheet name="خوابگاه " sheetId="8" state="hidden" r:id="rId4"/>
  </sheets>
  <definedNames>
    <definedName name="_xlnm._FilterDatabase" localSheetId="1" hidden="1">'اموال قبلا چک شده بنام نیک اختر'!$A$1:$I$6</definedName>
    <definedName name="_xlnm._FilterDatabase" localSheetId="2" hidden="1">'مختوم شده'!$A$2:$S$2</definedName>
    <definedName name="_xlnm.Print_Area" localSheetId="2">'مختوم شده'!$A$1:$S$36</definedName>
    <definedName name="Z_4E9100F2_A511_4BAB_A26D_F817BBFCED8B_.wvu.FilterData" localSheetId="1" hidden="1">'اموال قبلا چک شده بنام نیک اختر'!$A$1:$I$6</definedName>
    <definedName name="Z_4E9100F2_A511_4BAB_A26D_F817BBFCED8B_.wvu.FilterData" localSheetId="0" hidden="1">'لیست تعمیرات'!$A$2:$F$110</definedName>
    <definedName name="Z_4E9100F2_A511_4BAB_A26D_F817BBFCED8B_.wvu.FilterData" localSheetId="2" hidden="1">'مختوم شده'!$A$2:$S$2</definedName>
    <definedName name="Z_4E9100F2_A511_4BAB_A26D_F817BBFCED8B_.wvu.PrintArea" localSheetId="2" hidden="1">'مختوم شده'!$A$1:$S$36</definedName>
    <definedName name="Z_4E9100F2_A511_4BAB_A26D_F817BBFCED8B_.wvu.Rows" localSheetId="3" hidden="1">'خوابگاه '!$6:$6</definedName>
  </definedNames>
  <calcPr calcId="191029"/>
  <customWorkbookViews>
    <customWorkbookView name="Rasool Nematian - Personal View" guid="{4E9100F2-A511-4BAB-A26D-F817BBFCED8B}" mergeInterval="0" personalView="1" maximized="1" xWindow="-8" yWindow="-8" windowWidth="1936" windowHeight="1048" tabRatio="56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" i="7" l="1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G14" i="7"/>
  <c r="F14" i="7"/>
  <c r="E14" i="7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8" i="7"/>
  <c r="F8" i="7"/>
  <c r="E8" i="7"/>
  <c r="G7" i="7"/>
  <c r="F7" i="7"/>
  <c r="E7" i="7"/>
  <c r="G6" i="7"/>
  <c r="F6" i="7"/>
  <c r="E6" i="7"/>
  <c r="G5" i="7"/>
  <c r="F5" i="7"/>
  <c r="E5" i="7"/>
  <c r="G4" i="7"/>
  <c r="F4" i="7"/>
  <c r="E4" i="7"/>
  <c r="G3" i="7"/>
  <c r="F3" i="7"/>
  <c r="E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مانیتور به تهران ارسال شد جهت تعمیر</t>
        </r>
      </text>
    </comment>
  </commentList>
</comments>
</file>

<file path=xl/sharedStrings.xml><?xml version="1.0" encoding="utf-8"?>
<sst xmlns="http://schemas.openxmlformats.org/spreadsheetml/2006/main" count="1003" uniqueCount="560">
  <si>
    <t>ردیف</t>
  </si>
  <si>
    <t xml:space="preserve">شماره سیستم </t>
  </si>
  <si>
    <t>اپراتور</t>
  </si>
  <si>
    <t xml:space="preserve">شماره سریال مانیتور </t>
  </si>
  <si>
    <t>کد اموال مانیتور</t>
  </si>
  <si>
    <t xml:space="preserve">کد اموال متعلقات </t>
  </si>
  <si>
    <t xml:space="preserve">کد اموال کیس </t>
  </si>
  <si>
    <t xml:space="preserve">مدل مانیتور </t>
  </si>
  <si>
    <t>AOC 19" 197VA-LCD</t>
  </si>
  <si>
    <t>HP Laser Jet P2035</t>
  </si>
  <si>
    <t xml:space="preserve"> VNC3565042 </t>
  </si>
  <si>
    <t>متعلقات 2</t>
  </si>
  <si>
    <t xml:space="preserve">فاقد اموال </t>
  </si>
  <si>
    <t>متعلقات 1</t>
  </si>
  <si>
    <t>LG 22" LCD W2262TQ</t>
  </si>
  <si>
    <t xml:space="preserve">0686003 - 011060033    </t>
  </si>
  <si>
    <t xml:space="preserve">سریال متعلقات </t>
  </si>
  <si>
    <t>HP Laser M1132 MFP</t>
  </si>
  <si>
    <t xml:space="preserve">CNC9B7XJDY </t>
  </si>
  <si>
    <t xml:space="preserve">مشخصات سیستم های موجود درخوابگاه ها </t>
  </si>
  <si>
    <r>
      <t>LG20" LED W2053S</t>
    </r>
    <r>
      <rPr>
        <sz val="14"/>
        <color theme="1"/>
        <rFont val="Calibri"/>
        <family val="2"/>
        <scheme val="minor"/>
      </rPr>
      <t xml:space="preserve"> </t>
    </r>
  </si>
  <si>
    <t xml:space="preserve">       0678027-204041103</t>
  </si>
  <si>
    <t xml:space="preserve">Canon Laserjet LBP 6000B </t>
  </si>
  <si>
    <t>MXBA348017</t>
  </si>
  <si>
    <t xml:space="preserve">امیر علی سالار نیا 15 خرداد </t>
  </si>
  <si>
    <t>AOCWHMAD84800089</t>
  </si>
  <si>
    <t xml:space="preserve"> LG Flatron 20EN33SS-B </t>
  </si>
  <si>
    <t xml:space="preserve">  310NDNUAD535</t>
  </si>
  <si>
    <t>خوابگاه صنایی</t>
  </si>
  <si>
    <t>GG13C10</t>
  </si>
  <si>
    <t xml:space="preserve">امیر علی سالار نیا نارسیس </t>
  </si>
  <si>
    <t xml:space="preserve">HP LaserJet 1320 </t>
  </si>
  <si>
    <t>فاقد کد اموال</t>
  </si>
  <si>
    <t>Optima Projector EX 540i</t>
  </si>
  <si>
    <t xml:space="preserve">Q8FR111AAAAAC0015 </t>
  </si>
  <si>
    <t xml:space="preserve">0698016 - 205025191 </t>
  </si>
  <si>
    <t>43NDNUJL815</t>
  </si>
  <si>
    <t>HP M130FN</t>
  </si>
  <si>
    <t>LG 22" W2262TQ</t>
  </si>
  <si>
    <t>LG 22" 22MP55</t>
  </si>
  <si>
    <t>LG 22" W2261VP</t>
  </si>
  <si>
    <t>CN995A113J</t>
  </si>
  <si>
    <t>LG 19" W1953SE</t>
  </si>
  <si>
    <t>LG 22" 22M38H</t>
  </si>
  <si>
    <t>HP M130fW</t>
  </si>
  <si>
    <t>VNFNF08535</t>
  </si>
  <si>
    <t>محل استقرار</t>
  </si>
  <si>
    <t>کد اموال</t>
  </si>
  <si>
    <t>LG W2261VP</t>
  </si>
  <si>
    <t>HP P2035</t>
  </si>
  <si>
    <t>VNC3863913</t>
  </si>
  <si>
    <t>LG22" LED 22MP55HQ</t>
  </si>
  <si>
    <t>402NDCRFR059</t>
  </si>
  <si>
    <t>HP Laserjet Pro MFP M130fw</t>
  </si>
  <si>
    <t>VNFVF00293</t>
  </si>
  <si>
    <t>402NDBPKP157</t>
  </si>
  <si>
    <t>Printer laserjet 5200L</t>
  </si>
  <si>
    <t>فاقد سریال</t>
  </si>
  <si>
    <t>MXOA348017</t>
  </si>
  <si>
    <t>فاقد اموال</t>
  </si>
  <si>
    <t>722002-008012004</t>
  </si>
  <si>
    <t>V8ARH9NB502386T</t>
  </si>
  <si>
    <t>0722006-012072824</t>
  </si>
  <si>
    <t>HCT08847</t>
  </si>
  <si>
    <t>LG 19" E1940</t>
  </si>
  <si>
    <t>LG 20" W2053S</t>
  </si>
  <si>
    <t>کیس</t>
  </si>
  <si>
    <t>مدل</t>
  </si>
  <si>
    <t>توضیحات</t>
  </si>
  <si>
    <t>Monitor</t>
  </si>
  <si>
    <t>607715-2800156</t>
  </si>
  <si>
    <t>TV 32" lg</t>
  </si>
  <si>
    <t>دستگاه کارت ساعت زنی iFace 202</t>
  </si>
  <si>
    <t>VNF3C67704</t>
  </si>
  <si>
    <t>HP LaserJet P1102</t>
  </si>
  <si>
    <t>722003-009032981</t>
  </si>
  <si>
    <t>LG 22" E2260v</t>
  </si>
  <si>
    <t>پرینتر</t>
  </si>
  <si>
    <t>LG 22” FLAT W2262TQ</t>
  </si>
  <si>
    <t>686004-012063470</t>
  </si>
  <si>
    <t>تعمیر تهران - ارسال جهت تعمیر - مربوط به ایزدی کارفرما خرامه</t>
  </si>
  <si>
    <t>LG 22” W2261VP</t>
  </si>
  <si>
    <r>
      <t>تعمیر تهران - -</t>
    </r>
    <r>
      <rPr>
        <b/>
        <sz val="14"/>
        <color rgb="FFFF0000"/>
        <rFont val="Calibri"/>
        <family val="2"/>
        <scheme val="minor"/>
      </rPr>
      <t xml:space="preserve"> از تعمیر برگشت</t>
    </r>
  </si>
  <si>
    <t>سریال</t>
  </si>
  <si>
    <t>سوییچ 24پورت Cisco 3750</t>
  </si>
  <si>
    <t>WebCam LOGITECH</t>
  </si>
  <si>
    <t>Q8FR111AAAAAC0015</t>
  </si>
  <si>
    <t>مانیتور رضا کاظمی ارسال جهت تعمیر به تهران</t>
  </si>
  <si>
    <t>CAT0932N45H</t>
  </si>
  <si>
    <t xml:space="preserve">یک دستگاه سوییچ 48 پورت CISCO مدلPOE  3750 </t>
  </si>
  <si>
    <t>دستگاه کارت ساعت پلیکام</t>
  </si>
  <si>
    <r>
      <t>مانیتور مخلصی ارسال جهت تعمیر به تهران-</t>
    </r>
    <r>
      <rPr>
        <b/>
        <sz val="16"/>
        <color rgb="FFFF0000"/>
        <rFont val="B Nazanin"/>
        <charset val="178"/>
      </rPr>
      <t>از تعمیر برگشت</t>
    </r>
  </si>
  <si>
    <t>مانیتور جدیدالاسلام ارسال جهت تعمیر به تهران-از تعمیر برگشت</t>
  </si>
  <si>
    <t>Clock card</t>
  </si>
  <si>
    <t>Switch</t>
  </si>
  <si>
    <r>
      <t xml:space="preserve">تعمیر تهران - ارسال جهت تعمیر - </t>
    </r>
    <r>
      <rPr>
        <b/>
        <sz val="14"/>
        <color rgb="FFFF0000"/>
        <rFont val="Calibri"/>
        <family val="2"/>
        <scheme val="minor"/>
      </rPr>
      <t>برگشت از تعمیر</t>
    </r>
  </si>
  <si>
    <t>Video Projector</t>
  </si>
  <si>
    <r>
      <t>دستگاه کارت ساعت زنی توسعه ارسال جهت تعمیر-</t>
    </r>
    <r>
      <rPr>
        <b/>
        <sz val="14"/>
        <color rgb="FFFF0000"/>
        <rFont val="B Nazanin"/>
        <charset val="178"/>
      </rPr>
      <t>برگشت از تعمیرات</t>
    </r>
  </si>
  <si>
    <t>LG 22" E2260V</t>
  </si>
  <si>
    <r>
      <t>خرابی چشم دستگاه و نشناختن چهره -</t>
    </r>
    <r>
      <rPr>
        <b/>
        <sz val="14"/>
        <color rgb="FFFF0000"/>
        <rFont val="B Nazanin"/>
        <charset val="178"/>
      </rPr>
      <t xml:space="preserve"> برگشت از تعمیر</t>
    </r>
  </si>
  <si>
    <t>Canon MF3010</t>
  </si>
  <si>
    <t>0714005302018560</t>
  </si>
  <si>
    <r>
      <t>ارسال جهت تعمیر -</t>
    </r>
    <r>
      <rPr>
        <b/>
        <sz val="14"/>
        <color rgb="FFFF0000"/>
        <rFont val="B Nazanin"/>
        <charset val="178"/>
      </rPr>
      <t xml:space="preserve"> از تعمیر برگشت</t>
    </r>
  </si>
  <si>
    <t>0722010109000299</t>
  </si>
  <si>
    <t>0686003011060029</t>
  </si>
  <si>
    <t>0686001011042068</t>
  </si>
  <si>
    <t>SW Cisco 2960 24PORT</t>
  </si>
  <si>
    <t>722003009033183</t>
  </si>
  <si>
    <t>0722009105031153</t>
  </si>
  <si>
    <t>سعید دارابی خرامه - ازتعمیر برگشت</t>
  </si>
  <si>
    <t>CNJ8F4D4ZC</t>
  </si>
  <si>
    <t>WEP55093</t>
  </si>
  <si>
    <t>محمد رضا طباطبایی پروژه فولاد</t>
  </si>
  <si>
    <t>Printer HP M706N</t>
  </si>
  <si>
    <t>CNBRP6Q10H</t>
  </si>
  <si>
    <t>CH9C17</t>
  </si>
  <si>
    <t>SAMSUNG 19” E1920NX</t>
  </si>
  <si>
    <t>0686002011058231</t>
  </si>
  <si>
    <t>0722004112322065</t>
  </si>
  <si>
    <t>ابوالفضل غلامی  - ارسال جهت تعمیر-از تعمیر برگشت</t>
  </si>
  <si>
    <t>مانیتور سرور نظارت کارفرما - دهنوی-از تعمیر برگشت</t>
  </si>
  <si>
    <t>0722014110022356</t>
  </si>
  <si>
    <t>0686003011060033</t>
  </si>
  <si>
    <t>072200107046186</t>
  </si>
  <si>
    <t>0722009202322048</t>
  </si>
  <si>
    <t>VNF6G12287</t>
  </si>
  <si>
    <t>HP P1006</t>
  </si>
  <si>
    <t>فرشاد سلیمانی (واحد مکانیک ) -ارسال به تعمیر-از تعمیر برگشت</t>
  </si>
  <si>
    <t xml:space="preserve"> ایمان پاسواری - روشن نشدن - از تعمیر برگشت</t>
  </si>
  <si>
    <t>0722015205013059</t>
  </si>
  <si>
    <t>0722015203039586</t>
  </si>
  <si>
    <t>666003011059242</t>
  </si>
  <si>
    <t>ارسال جهت تعمیر - امین خراسانی ( سیویل ) پروژه سایت مرکز تحقیقات</t>
  </si>
  <si>
    <t>SHARP Copy AR1118</t>
  </si>
  <si>
    <t>0706022310001509</t>
  </si>
  <si>
    <t>0686004012063391</t>
  </si>
  <si>
    <t>0722009201322048</t>
  </si>
  <si>
    <t>HP M428</t>
  </si>
  <si>
    <t>LG 22" 22MP55HQ</t>
  </si>
  <si>
    <t>0688003011059547</t>
  </si>
  <si>
    <t>0722001007047601</t>
  </si>
  <si>
    <t>0722014205322058</t>
  </si>
  <si>
    <t>0722007101006042</t>
  </si>
  <si>
    <t>0722005011065809</t>
  </si>
  <si>
    <t>0978030212012428</t>
  </si>
  <si>
    <t>0714004212011140</t>
  </si>
  <si>
    <t>HP P2055</t>
  </si>
  <si>
    <t>0722014110022433</t>
  </si>
  <si>
    <t>CANON MF4430</t>
  </si>
  <si>
    <t>CH10C17</t>
  </si>
  <si>
    <t>CNDRP4WB5P</t>
  </si>
  <si>
    <t>402NDHBFR009</t>
  </si>
  <si>
    <t>402NDTCFR017</t>
  </si>
  <si>
    <t>0686002011057476</t>
  </si>
  <si>
    <t>403NDMTJM211</t>
  </si>
  <si>
    <t>0686003011059253</t>
  </si>
  <si>
    <t>0722003009031108</t>
  </si>
  <si>
    <t>111RKVQ0L263</t>
  </si>
  <si>
    <t>LG 22" 2281</t>
  </si>
  <si>
    <t>LG 22" MP55HQ</t>
  </si>
  <si>
    <t xml:space="preserve"> CISCO 6941</t>
  </si>
  <si>
    <t>HP PRO 2500 F1</t>
  </si>
  <si>
    <t>Canon LBP6000d</t>
  </si>
  <si>
    <t xml:space="preserve">دستگاه ثبت ساعت IFACE 202 </t>
  </si>
  <si>
    <t>کد پرسنلی</t>
  </si>
  <si>
    <t>0722007101006229</t>
  </si>
  <si>
    <t>0686004012062441</t>
  </si>
  <si>
    <t>0722009105031127</t>
  </si>
  <si>
    <t>0698016205025871</t>
  </si>
  <si>
    <t>405STKL58249</t>
  </si>
  <si>
    <t>310024801874898000000</t>
  </si>
  <si>
    <t>0714002208012514</t>
  </si>
  <si>
    <t>0175002910009954</t>
  </si>
  <si>
    <t>i7</t>
  </si>
  <si>
    <t>402NDPHFR824</t>
  </si>
  <si>
    <t>404NDJXEA980</t>
  </si>
  <si>
    <t>CAP RBCAP2ND</t>
  </si>
  <si>
    <t>HCM087D1YTE/220/R2</t>
  </si>
  <si>
    <t>Scanner Canon M160</t>
  </si>
  <si>
    <t>Hp Laserjet 700M712</t>
  </si>
  <si>
    <t>0722010105062927</t>
  </si>
  <si>
    <t>0722003009032995</t>
  </si>
  <si>
    <t>0722006012073172</t>
  </si>
  <si>
    <t>CNERPDQ4RH</t>
  </si>
  <si>
    <t>FBA20FC48E61</t>
  </si>
  <si>
    <t>Mikrotik cAP</t>
  </si>
  <si>
    <t>PUC173811LN</t>
  </si>
  <si>
    <t>PUC17430HJA</t>
  </si>
  <si>
    <t>PXN1527V5U0</t>
  </si>
  <si>
    <t>PUC16470PEE</t>
  </si>
  <si>
    <t>VNFPD07998</t>
  </si>
  <si>
    <t>خوابگاه كارشناسان سيرجان (سنايي)</t>
  </si>
  <si>
    <t>شماره پلاك</t>
  </si>
  <si>
    <t>شرح پلاك</t>
  </si>
  <si>
    <t>مهندس عنایتی فر (روناک)</t>
  </si>
  <si>
    <t>مهندس رجبی (روناک)</t>
  </si>
  <si>
    <t>مهندس عباسلو (روناک)</t>
  </si>
  <si>
    <t>مهندس بهروز به نژاد (روناک)</t>
  </si>
  <si>
    <t>خوابگاه کارشناسی روناک</t>
  </si>
  <si>
    <t xml:space="preserve">اداری روناک </t>
  </si>
  <si>
    <t>امیدزینلی (روناک)</t>
  </si>
  <si>
    <t>مهندس صالحی راد (روناک)</t>
  </si>
  <si>
    <t>دفاتر اداری عصرنوین</t>
  </si>
  <si>
    <t>خوابگاه مهندس اشرفی(عصرنوین)</t>
  </si>
  <si>
    <t>خوابگاه مهندس به نیا (پامیدکو)</t>
  </si>
  <si>
    <t>خوابگاه مهندس زاهدی(عصرنوین)</t>
  </si>
  <si>
    <t>خوابگاه مهندس موسوی (عصرنوین)</t>
  </si>
  <si>
    <t>Printer 3 كاره CANON</t>
  </si>
  <si>
    <t>TV Daewoo DLE</t>
  </si>
  <si>
    <t>Monitor GPLUS GDM</t>
  </si>
  <si>
    <t>Monitor Gplus 245 JN</t>
  </si>
  <si>
    <t>Printer Canon 3010</t>
  </si>
  <si>
    <t xml:space="preserve"> HP LaserJet MFP M436dn</t>
  </si>
  <si>
    <t>TV 65" LED Snowa SSD-65SA6 20U</t>
  </si>
  <si>
    <t>TV Daewoo LED 43"</t>
  </si>
  <si>
    <t>(110) پروژه گوهر زمين</t>
  </si>
  <si>
    <t>Samsung 19" 1931</t>
  </si>
  <si>
    <t>گروه بندی</t>
  </si>
  <si>
    <t>مشخصات فنی</t>
  </si>
  <si>
    <t>تحویل گیرنده 1</t>
  </si>
  <si>
    <t>تاريخ خريد</t>
  </si>
  <si>
    <t/>
  </si>
  <si>
    <t>آذر نيك اختر</t>
  </si>
  <si>
    <t>(362) پروژه احداث كارخانه فولاد گل گهر</t>
  </si>
  <si>
    <t>مانيتور</t>
  </si>
  <si>
    <t>مانيتور جي پلاس 24</t>
  </si>
  <si>
    <t>0686004012063472</t>
  </si>
  <si>
    <t>GXJ58993</t>
  </si>
  <si>
    <t xml:space="preserve">F0C1422W7DS </t>
  </si>
  <si>
    <t xml:space="preserve">FCQ1624Y3WS </t>
  </si>
  <si>
    <t>CISCO CP-6941</t>
  </si>
  <si>
    <t>LG 22" 22M38A</t>
  </si>
  <si>
    <t>601NTEPBV940</t>
  </si>
  <si>
    <t>Lenovo 22" L22i-30</t>
  </si>
  <si>
    <t>U3606L7W</t>
  </si>
  <si>
    <t>SAMSUNG -SL-M2070F</t>
  </si>
  <si>
    <t>073EB8KH9D00T2R</t>
  </si>
  <si>
    <t>جدید</t>
  </si>
  <si>
    <t>0686002011056970</t>
  </si>
  <si>
    <t>UPS</t>
  </si>
  <si>
    <t>Iface 202</t>
  </si>
  <si>
    <t>iface 202</t>
  </si>
  <si>
    <t>تاریخ اختتام</t>
  </si>
  <si>
    <t>علت اختتام</t>
  </si>
  <si>
    <t>كانكس 12 متري مان</t>
  </si>
  <si>
    <t>دو اتاقه - IT</t>
  </si>
  <si>
    <t>كانكس 6 متري ماهان</t>
  </si>
  <si>
    <t>تك اتاقه - IT</t>
  </si>
  <si>
    <t>صندلي نيلپر K 600</t>
  </si>
  <si>
    <t>كولر گازي پنجره اي  18000 O GENERAL</t>
  </si>
  <si>
    <t>كولر اسپيلت سردو گرمSAMSUNG 18000</t>
  </si>
  <si>
    <t>ارسال به تعمیر به علت مات بودن تصویر -  مانیتور قبلی آرمان فرخ</t>
  </si>
  <si>
    <t xml:space="preserve">مانیتور  محمد باجلان کارفرما سایت توسعه فولاد به علت روشن نشدن </t>
  </si>
  <si>
    <t xml:space="preserve">موجودی انبار سایت توسعه فولاد به علت خط داشتن تصویر  </t>
  </si>
  <si>
    <t>در تاریخ 18/11/1401 از تعمیر برگشت</t>
  </si>
  <si>
    <t xml:space="preserve">مانیتور جابر زیدآبادی نژاد-مرکز تحقیقات-علت روشن نشدن </t>
  </si>
  <si>
    <t>Camera FujiFilm XP130</t>
  </si>
  <si>
    <t>8SQ01510</t>
  </si>
  <si>
    <t>0722016205013947</t>
  </si>
  <si>
    <t>NVR</t>
  </si>
  <si>
    <t>IP Camera   _HIK VISION - DS _ 2CD2023G0-l</t>
  </si>
  <si>
    <t>در تاریخ 06/12/1401 از تعمیر برگشت</t>
  </si>
  <si>
    <t>واحد</t>
  </si>
  <si>
    <t>تحویل گیرنده اول</t>
  </si>
  <si>
    <t>شرکت</t>
  </si>
  <si>
    <t>کد شناسایی سیستم</t>
  </si>
  <si>
    <t>تحویل گیرنده دوم</t>
  </si>
  <si>
    <t>تحویل گیرنده -1</t>
  </si>
  <si>
    <t>تحویل گیرنده -2</t>
  </si>
  <si>
    <t>اسکنر</t>
  </si>
  <si>
    <t>نظارت توسعه فولاد (362)</t>
  </si>
  <si>
    <t>در تاریخ 1401/12/10 از تعمیر برگشت</t>
  </si>
  <si>
    <t>جهت تعمیر تحویل سروش کریمی شده</t>
  </si>
  <si>
    <t>مانیتور قبلی کاظم زلفی - روشن نمیشود</t>
  </si>
  <si>
    <t>در تاریخ 1401/12/20 از تعمیر برگشت</t>
  </si>
  <si>
    <t>HP M1214</t>
  </si>
  <si>
    <t>0722014203039252</t>
  </si>
  <si>
    <t>0698014204006918</t>
  </si>
  <si>
    <t>مختوم شده</t>
  </si>
  <si>
    <t>0686004012062743</t>
  </si>
  <si>
    <t>0722010109000463</t>
  </si>
  <si>
    <t>0722009112322105</t>
  </si>
  <si>
    <t>BF.H9MN6.011449</t>
  </si>
  <si>
    <t>داشتن خط هنگام روشن شدن صفحه نمایش</t>
  </si>
  <si>
    <t>Optoma Projector EX 540i</t>
  </si>
  <si>
    <t>به علت روشن نشدن -مانتیور قبلی مسلمی</t>
  </si>
  <si>
    <t>علت خاموش روشن شدن تصویر -تحویلی از آی کپس</t>
  </si>
  <si>
    <t>روشن نشدن مانیتور -آبدارخانه بردسیر</t>
  </si>
  <si>
    <t>به علت داخلی نگرفتن -تلفن قبلی اکبری</t>
  </si>
  <si>
    <t>به علت روشن نشدن لامپ تصویر -کانکس آموزش ایمنی</t>
  </si>
  <si>
    <t>بازیافت باطله چادرملو (159)</t>
  </si>
  <si>
    <t>كنسانتره سنگ آهن بهاباد يزد</t>
  </si>
  <si>
    <t>سجاد اشرفی</t>
  </si>
  <si>
    <t>حسین عبدشاهی</t>
  </si>
  <si>
    <r>
      <t>احسان موسوی</t>
    </r>
    <r>
      <rPr>
        <sz val="16"/>
        <color rgb="FFFF0000"/>
        <rFont val="Calibri"/>
        <family val="2"/>
        <scheme val="minor"/>
      </rPr>
      <t/>
    </r>
  </si>
  <si>
    <t xml:space="preserve">ه علت روشن نشدن تحویلی از آقای میلاد صفی جهانشاهی کارفرما سایت توسعه فولاد </t>
  </si>
  <si>
    <t xml:space="preserve">به علت روشن نشدن موجودی انبار سایت توسعه فولاد </t>
  </si>
  <si>
    <t>در تاریخ 1402/01/29 از تعمیر برگشت</t>
  </si>
  <si>
    <t>در تاریخ 1402/01/20 از تعمیر برگشت</t>
  </si>
  <si>
    <t>مشکل در پرینت . پرینتر آقای شعشعانی</t>
  </si>
  <si>
    <t>در تاریخ 1402/01/27 از تعمیر برگشت</t>
  </si>
  <si>
    <t>به علت شکستگی پایین تصویر -مانتیور پیام مرادی بردسیر</t>
  </si>
  <si>
    <t xml:space="preserve"> به علت خرابی فیوزینگ -پرینتر سوپروایزر - تحویل سروش کریمی شد</t>
  </si>
  <si>
    <t xml:space="preserve"> به علت روشن نشدن  مانیتور جدیدالاسلام-برای بار دوم به تعمیر ارسال شد</t>
  </si>
  <si>
    <t>RYN21654</t>
  </si>
  <si>
    <t>CANON MF4410</t>
  </si>
  <si>
    <t>VNC4B30476</t>
  </si>
  <si>
    <t>پرینتر کیوان - تحویل کریمی شد بابت تعمیر</t>
  </si>
  <si>
    <t>در تاریخ 1402/02/05 از تعمیر برگشت</t>
  </si>
  <si>
    <t>CAT1029RJGC</t>
  </si>
  <si>
    <t>6077150100314</t>
  </si>
  <si>
    <t>در تاریخ 1402/02/06 از تعمیر برگشت</t>
  </si>
  <si>
    <t>در تاریخ 1402/02/07 از تعمیر برگشت</t>
  </si>
  <si>
    <t>در تاریخ 1402/02/11 از تعمیر برگشت</t>
  </si>
  <si>
    <t>0686002011058216</t>
  </si>
  <si>
    <r>
      <t>LG 22" W2262TQ</t>
    </r>
    <r>
      <rPr>
        <b/>
        <u/>
        <sz val="14"/>
        <color rgb="FFFF0000"/>
        <rFont val="B Nazanin"/>
        <charset val="178"/>
      </rPr>
      <t xml:space="preserve"> </t>
    </r>
  </si>
  <si>
    <t>C17</t>
  </si>
  <si>
    <t xml:space="preserve">علت تعمییر خاموش شدن ناگهانی </t>
  </si>
  <si>
    <t xml:space="preserve">علت تعمییرتصویر پرش دارد </t>
  </si>
  <si>
    <t xml:space="preserve">دوربین از انبار 4 هکتاری جهت تعمیر به آقای صادقی </t>
  </si>
  <si>
    <t>دستگاه گلفا - به دلیل مشکل در ثبت چهره به تعمیر ارسال شد</t>
  </si>
  <si>
    <t>نصب در (اداری عصر نوین)</t>
  </si>
  <si>
    <t>0722008103006588</t>
  </si>
  <si>
    <t xml:space="preserve">صمد دهقانی-نظارت کارفرما توسعه-علت تعمییر خاموش شدن ناگهانی </t>
  </si>
  <si>
    <t>در تاریخ 1402/03/10 از تعمیر برگشت</t>
  </si>
  <si>
    <t>0722006012072875</t>
  </si>
  <si>
    <t>در تاریخ 1402/03/02 از تعمیر برگشت</t>
  </si>
  <si>
    <t>به علت روشن نشدن لامپ تصویر -کانکس آموزش ایمنی-ارسال مجدد</t>
  </si>
  <si>
    <t>فرهاد آزادی - خرابی مادربرد</t>
  </si>
  <si>
    <t>تلفن رضا عوض پور جهت تعمیر به تهران ارسال شد</t>
  </si>
  <si>
    <t xml:space="preserve">سوییچ سیسکو 2960 </t>
  </si>
  <si>
    <t>جهت تعمیر ارسال به تهران</t>
  </si>
  <si>
    <t>در تاریخ 1402/03/22 از تعمیر برگشت</t>
  </si>
  <si>
    <t>سالن کنفرانس فولاد بردسیر (461)</t>
  </si>
  <si>
    <t>مانیتور حسن رضا آهمند - روشن نمیشود</t>
  </si>
  <si>
    <t>در تهران اعلام داغی شد</t>
  </si>
  <si>
    <t>لپ تاپ ACER PT315-73G5</t>
  </si>
  <si>
    <t>FOC1716V1ML</t>
  </si>
  <si>
    <t>CISCO 3560 POE 8 PORT</t>
  </si>
  <si>
    <t>RBCAPGI-5ACD2ND-XL</t>
  </si>
  <si>
    <t>0722012109030094</t>
  </si>
  <si>
    <t xml:space="preserve">نگهبانی انبار منطقه ای سیرجان-علت روشن نشدن </t>
  </si>
  <si>
    <t xml:space="preserve">موجودی انبار  آی تی مرکز تحقیقات (438)-علت روشن نشدن </t>
  </si>
  <si>
    <t xml:space="preserve">یوسف خیری-علت روشن نشدن -سایت مرکز تحقیقات </t>
  </si>
  <si>
    <t>آقای فردین تقی نیا - عسلویه</t>
  </si>
  <si>
    <t>مربوط به کانکس ESP   - به عت خرابی جهت تعمیر ارسال شد</t>
  </si>
  <si>
    <t>در تاریخ 1402/05/03 از تعمیر برگشت</t>
  </si>
  <si>
    <t>از تعمیر برگشت</t>
  </si>
  <si>
    <t>در تاریخ 1402/05/08 از تعمیر برگشت</t>
  </si>
  <si>
    <t>Cisco 3560 poe</t>
  </si>
  <si>
    <t>به دلیل مشکل از خوابگاه 12 واحدی مولوی جمع آوری و به تعمیر ارسال شد</t>
  </si>
  <si>
    <t>به دلیل روشن نشدن به تعمیر ارسال شد</t>
  </si>
  <si>
    <t>پرینتر انبار شهر - تحویل کریمی شد بابت تعمیر</t>
  </si>
  <si>
    <t>در تاریخ 1402/05/28 از تعمیر برگشت</t>
  </si>
  <si>
    <t>کپی آزمایشگاه - تحویل کریمی شد بابت تعمیر</t>
  </si>
  <si>
    <t>در تاریخ 1402/06/06 از تعمیر برگشت</t>
  </si>
  <si>
    <t xml:space="preserve">ایشان به علت روشن نشدن جهت تعمیر به تهران </t>
  </si>
  <si>
    <t>0722015205013045</t>
  </si>
  <si>
    <t>پیمان بهزادی پرسنل واحد نظارت کارفرما  -به علت روشن نشدن به تعمیر ارسال شد</t>
  </si>
  <si>
    <t>205STDD24184</t>
  </si>
  <si>
    <t>G-PLUS GTV-50MH512N</t>
  </si>
  <si>
    <t>مانیتور کریم اسکندری به علت مات شدن تصویر جهت تعمیر ارسال شد</t>
  </si>
  <si>
    <t>تلفن قبلی شهسواری پور - داخلی نمیگرفت به تهران ارسال شد</t>
  </si>
  <si>
    <t>در تاریخ 1402/06/21 از تعمیر برگشت</t>
  </si>
  <si>
    <t>به علت روشن نشدن ( مانیتور تحویلی به آقای حبیب برازجانی)</t>
  </si>
  <si>
    <t xml:space="preserve">به علت شکستگی صفحه </t>
  </si>
  <si>
    <t xml:space="preserve">( به علت ریست شدن مداوم موجودی سایت توسعه فولاد </t>
  </si>
  <si>
    <t>دستگاه خوابگاه مولوی - خاموش شدن ناگهانی</t>
  </si>
  <si>
    <t>گیرنده دیجیتال</t>
  </si>
  <si>
    <t>Pars Evo i5 11400</t>
  </si>
  <si>
    <t>در تاریخ 1402/07/04 از تعمیر برگشت</t>
  </si>
  <si>
    <t>GXJ58999</t>
  </si>
  <si>
    <t>CANON M160II</t>
  </si>
  <si>
    <t>تلويزيون</t>
  </si>
  <si>
    <t>در تاریخ 1402/07/23 از تعمیر برگشت</t>
  </si>
  <si>
    <t>مانیتور قبلی دانش صفری-آلمیلا-مشکل خاموش روشن شدن</t>
  </si>
  <si>
    <t>GREEN PARS EVO</t>
  </si>
  <si>
    <t xml:space="preserve">به علت مشکل داشتن مادربرد موجودی انبار سایت توسعه فولاد </t>
  </si>
  <si>
    <t>به علت گرد و غبار گرفتن جهت سرویس تحویل آقای مجتبی علیپور پرسنل سایت توسعه فولاد )</t>
  </si>
  <si>
    <t>خاموش شدن ناگهانی</t>
  </si>
  <si>
    <t>در تاریخ 1402/08/01 از تعمیر برگشت</t>
  </si>
  <si>
    <t>در تاریخ 1402/07/24 از تعمیر برگشت</t>
  </si>
  <si>
    <t xml:space="preserve">علت نقص فنی </t>
  </si>
  <si>
    <t>در تاریخ 1402/08/07 از تعمیر برگشت</t>
  </si>
  <si>
    <t xml:space="preserve"> به علت کاغذ نکشیدن فیدر تحویل آقای سید باقر حسینی </t>
  </si>
  <si>
    <t>دستگاه خراب می باشد به سرویس کامل نیاز دارد-ارسال از تربت</t>
  </si>
  <si>
    <t>فیدر دستگاه خراب می باشدوبه سرویس نیاز دارد</t>
  </si>
  <si>
    <t>سوییچ لود نمی شود وهنگ می کند</t>
  </si>
  <si>
    <t>در تاریخ 1402/08/14 از تعمیر برگشت</t>
  </si>
  <si>
    <t>هادی محمد نژاد-به علت خاموش شدن ناگهانی تصویر جهت تعمیر به تهران</t>
  </si>
  <si>
    <t>آزمایشگاه سایت بردسیر به علت سر و صدای زیاد و کاغذ نکشیدن تحویل سروس کریمی شد</t>
  </si>
  <si>
    <t xml:space="preserve">داوود بویری به علت خاموش شدن ناگهانی جهت تعمییر به تهران </t>
  </si>
  <si>
    <t>F0C1443W7CG</t>
  </si>
  <si>
    <t>CISCO 3750 24 PORT POE</t>
  </si>
  <si>
    <t>در تاریخ 1402/08/23 از تعمیر برگشت</t>
  </si>
  <si>
    <t xml:space="preserve">به علت ارور باز بودن در پشتی پرینتر به تهران </t>
  </si>
  <si>
    <t>HE808MWCTPQ/308/R4</t>
  </si>
  <si>
    <t>در تاریخ 1402/09/06 از تعمیر برگشت</t>
  </si>
  <si>
    <t>در تاریخ 1402/09/04 از تعمیر برگشت</t>
  </si>
  <si>
    <t>جهت خیریه به تهران ارسال شد</t>
  </si>
  <si>
    <t>در تاریخ 1402/09/01 از تعمیر برگشت</t>
  </si>
  <si>
    <t xml:space="preserve">مانیتور LG W2261VP </t>
  </si>
  <si>
    <t>0722014110022455</t>
  </si>
  <si>
    <t>مجدد به تعمیر ارسال شد</t>
  </si>
  <si>
    <t xml:space="preserve">مانیتور سید جواد موسوی - علت روشن نشدن جهت تعمیر به تهران </t>
  </si>
  <si>
    <t>در تاریخ 1402/09/25 از تعمیر برگشت</t>
  </si>
  <si>
    <t>619082</t>
  </si>
  <si>
    <t>مانیتور آقای سیاوش دالوند -  به علت روشن نشدن</t>
  </si>
  <si>
    <t>در تاریخ 1402/10/09 از تعمیر برگشت</t>
  </si>
  <si>
    <t>GG207C3</t>
  </si>
  <si>
    <t>جاسم راهنما پرسنل کارفرما سایت توسعه فولاد</t>
  </si>
  <si>
    <t xml:space="preserve">اصغر اسفندیارپور پرسنل سایت مرکز تحقیقات </t>
  </si>
  <si>
    <t>موجودی انبار تحقیقات</t>
  </si>
  <si>
    <t>در تاریخ 1402/10/30 از تعمیر برگشت</t>
  </si>
  <si>
    <t>از خرامه ارسال به تعمیر شده</t>
  </si>
  <si>
    <t>مانيتور 24 اينچ ال جي</t>
  </si>
  <si>
    <t>مانیتور قبلی روح المینی - مشکل خاموش روشن شدن</t>
  </si>
  <si>
    <t>HP 1320</t>
  </si>
  <si>
    <t>CNCJL26338</t>
  </si>
  <si>
    <t>STABILIZER FARATEL STB2000M</t>
  </si>
  <si>
    <t xml:space="preserve">مربوط به دوربین های انبار نسوز سایت توسعه فولاد </t>
  </si>
  <si>
    <t>تحویل آقای علی اسفندیارپور پرسنل انبار سایت توسعه فولاد -تحویل کریمی</t>
  </si>
  <si>
    <t>تحویل آقای محمد رضا کیوان سایت توسعه فولاد -تحویل کریمی</t>
  </si>
  <si>
    <t>بهاباد يزد</t>
  </si>
  <si>
    <t>در تاریخ 1402/11/09 از تعمیر برگشت</t>
  </si>
  <si>
    <t>618718</t>
  </si>
  <si>
    <t xml:space="preserve"> واحد تردد ( علی بلوردی ) </t>
  </si>
  <si>
    <t>در تاریخ 1402/11/24 از تعمیر برگشت</t>
  </si>
  <si>
    <t>پرینتر 3 کاره canon مدل 3010</t>
  </si>
  <si>
    <t>پرینتر چندکاره لیزری کانن مدل SENSYS MF3010</t>
  </si>
  <si>
    <t>گوشی تلفن تحت شبکه گرند استریم</t>
  </si>
  <si>
    <t>رسیور</t>
  </si>
  <si>
    <t>مانیتور جی پلاس 24</t>
  </si>
  <si>
    <t>مانیتور جی پلاس 24-5JN</t>
  </si>
  <si>
    <t>تلفن Voip</t>
  </si>
  <si>
    <t>621012</t>
  </si>
  <si>
    <t xml:space="preserve">علیرضا ستوده-به علت کار نکردن فیدر </t>
  </si>
  <si>
    <t>603562</t>
  </si>
  <si>
    <t xml:space="preserve">به علت روشن نشدن تحویل آقای نیما اسبقیان </t>
  </si>
  <si>
    <t>605841</t>
  </si>
  <si>
    <t>کوروش نوروزی-ارسال به تعمیر</t>
  </si>
  <si>
    <t>در تاریخ 1402/11/28 از تعمیر برگشت</t>
  </si>
  <si>
    <t>جهت تعمییر به تهران ارسال شده(علت تعمییر شکستگی صفحه مانیتور )قریشی</t>
  </si>
  <si>
    <t>در تاریخ 1402/12/08 از تعمیر برگشت</t>
  </si>
  <si>
    <t>606361</t>
  </si>
  <si>
    <t>مانیتور حمیدرضا اصلانی  ارسال جهت تعمیر به علت روشن نشدن</t>
  </si>
  <si>
    <t>611439</t>
  </si>
  <si>
    <t xml:space="preserve">به علت روشن نشدن تحویل آقای مجتبی خداوردی پرسنل سایت توسعه فولاد </t>
  </si>
  <si>
    <t>در تهران داغی شد</t>
  </si>
  <si>
    <t>تلویزیون اکبری جهت نظارت دوربین های انبار-مشکل روشن نشدن-ارسال به سیرجان</t>
  </si>
  <si>
    <t>ONLINE UPS Genesis 3KVA</t>
  </si>
  <si>
    <t>4010130220700285</t>
  </si>
  <si>
    <t>در تاریخ 1403/01/29 از تعمیر برگشت</t>
  </si>
  <si>
    <t>مانیتور رشیدی خوابگاه 10 واحدی مشعل گاز</t>
  </si>
  <si>
    <t>در تاریخ 1403/02/15 از تعمیر برگشت</t>
  </si>
  <si>
    <t>0774963460019</t>
  </si>
  <si>
    <t xml:space="preserve">دستگاه حضور غیاب iFace   واحد ایمنی </t>
  </si>
  <si>
    <t>در تاریخ 1403/02/25 از تعمیر برگشت</t>
  </si>
  <si>
    <t>علت تعمییر سرویس کامل دستگاه</t>
  </si>
  <si>
    <t xml:space="preserve">جهت تعمیر به تهران </t>
  </si>
  <si>
    <t xml:space="preserve">آقای کیوان -جهت تعمیر به تهران </t>
  </si>
  <si>
    <t xml:space="preserve">جهت سرویس به تهران </t>
  </si>
  <si>
    <t>Laser jet pro M428dw</t>
  </si>
  <si>
    <t>fuji film x130</t>
  </si>
  <si>
    <t>CNDRQ6N0XF</t>
  </si>
  <si>
    <t>8UP04345</t>
  </si>
  <si>
    <t>در تاریخ 1403/03/17 از تعمیر برگشت</t>
  </si>
  <si>
    <t>نگین تیان پارس</t>
  </si>
  <si>
    <t>در تاریخ 1403/05/14 از تعمیر برگشت</t>
  </si>
  <si>
    <t xml:space="preserve"> از تعمیر برگشت</t>
  </si>
  <si>
    <t>برگشت از تعمیر</t>
  </si>
  <si>
    <t>؟</t>
  </si>
  <si>
    <t>در تاریخ 1403/05/24 از تعمیر برگشت</t>
  </si>
  <si>
    <t xml:space="preserve">تحویل آقای منصور نورمندی پور </t>
  </si>
  <si>
    <t>در تاریخ 1403/06/27 از تعمیر برگشت</t>
  </si>
  <si>
    <t>به علت خرابی پورت LAN</t>
  </si>
  <si>
    <t>داغی شده در دفتر تهران</t>
  </si>
  <si>
    <t>کد پروژه</t>
  </si>
  <si>
    <t>محل</t>
  </si>
  <si>
    <t>LG 22"  22MP55HQ</t>
  </si>
  <si>
    <t xml:space="preserve">تحویل آقای ساسان انصاری پرسنل سایت توسعه فولاد به علت خاموش روشن شدن </t>
  </si>
  <si>
    <t>به علت روشن نشدن ( تحویل عبدالرضا جعفری سایت توسعه فولاد )</t>
  </si>
  <si>
    <t>UPS BEHIN SANAT  UA150</t>
  </si>
  <si>
    <t>به علت خرابی باطری ها ( تحویل مسعود صداقت سایت توسعه فولاد )</t>
  </si>
  <si>
    <t>مانیتور شاقاسی - ارسالی از سنگان به تهران</t>
  </si>
  <si>
    <t>در تاریخ 1403/08/15 از تعمیر برگشت</t>
  </si>
  <si>
    <t xml:space="preserve">جهت تعمییر به تهران ارسال شد علت تعمییر روشن می شودولی سوییچ لود نمی شود و بالا نمیاد </t>
  </si>
  <si>
    <t>در تاریخ 1403/08/08 از تعمیر برگشت</t>
  </si>
  <si>
    <t>به علت روشن نشدن تحویل آقای محسن زارع نژاد سایت توسعه فولاد</t>
  </si>
  <si>
    <t>جهت تعمییر به تهران ارسال شد</t>
  </si>
  <si>
    <t>پرینتر HP 5200</t>
  </si>
  <si>
    <t>پرینتر HP M130</t>
  </si>
  <si>
    <t>پرینتر CANON 4410</t>
  </si>
  <si>
    <t>تعمیرکار آقای محسنی تحویل آقای جاسم راهنما واحد کارفرما سایت توسعه فولاد</t>
  </si>
  <si>
    <t>تعمیرکار آقای محسنی تحویل آقای علی بلوردی واحد تردد سایت توسعه فولاد</t>
  </si>
  <si>
    <t>تعمیرکار آقای رضائیان تحویل آقای مهدی شهبازی کانکس درب شمال سایت توسعه فولاد</t>
  </si>
  <si>
    <t>در تاریخ 1403/09/11 از تعمیر برگشت</t>
  </si>
  <si>
    <t>در تاریخ 1403/09/07 از تعمیر برگشت</t>
  </si>
  <si>
    <t>مانیتور قبلی ایرج نارویی جهت تعمیر به تهران ارسال شد</t>
  </si>
  <si>
    <t>جهت تعمیر به تهران ارسال شد-موجودی انبار جانجا</t>
  </si>
  <si>
    <t>کیس i5</t>
  </si>
  <si>
    <t>در تاریخ 1403/10/11 از تعمیر برگشت</t>
  </si>
  <si>
    <t>تحویل آقای امین قربانی پرسنل آلمیلا سپید دانه سایت توسعه فولاد جهت تعمیر به تهران</t>
  </si>
  <si>
    <t>ارسال به تعمیر</t>
  </si>
  <si>
    <t>مانیتور قبلی شرکت آفتاب کویر سایت مرکز تحقیقات (438)</t>
  </si>
  <si>
    <t>اسکنر میثم فتحی زاده- تعمیرگاه ماشین های اداری MR COPY ارسال شد</t>
  </si>
  <si>
    <t>جهت تعمیر به تهران ارسال شد-موجودی انبار 362</t>
  </si>
  <si>
    <t>در تاریخ 1403/11/17 از تعمیر برگشت</t>
  </si>
  <si>
    <t>در تاریخ 1403/11/24 از تعمیر برگشت</t>
  </si>
  <si>
    <t>در تاریخ 1403/11/25 از تعمیر برگشت</t>
  </si>
  <si>
    <t>علت تعمییر مانیتور روشن نمی شود-ارسال به تهران</t>
  </si>
  <si>
    <t xml:space="preserve">انبار آی تی توسعه فولاد (362) - تعمیرگاه ماشین های اداری MR COPY </t>
  </si>
  <si>
    <t xml:space="preserve">میثم مددی زاده - تعمیرگاه ماشین های اداری MR COPY </t>
  </si>
  <si>
    <t>پرینتر سلمان یگانه - جانجا - اارسال به تهران جهت تعمیر</t>
  </si>
  <si>
    <t>در تاریخ 1403/12/20 از تعمیر برگشت</t>
  </si>
  <si>
    <t>علت عدم نمایش صفحه در سایت پیشران-جهت تعمیر به دفتر مرکزی ارسال شده</t>
  </si>
  <si>
    <t>خاموش شدن ناگهانی-ارسال به تهران</t>
  </si>
  <si>
    <t>بهاباد یزد</t>
  </si>
  <si>
    <t>در تاریخ 1404-03-21 از تعمیر برگشت</t>
  </si>
  <si>
    <t xml:space="preserve">برای تعمیر توسط آقای مهندس یزدانی جهت تحویل به آقای حمیدی در مورخ 21/03/1404 ارسال شد </t>
  </si>
  <si>
    <t>FD6297426</t>
  </si>
  <si>
    <t xml:space="preserve"> HIKVISION DS-7732NXI-K4</t>
  </si>
  <si>
    <t>در تاریخ 01-05-1404 از تعمیر برگشت</t>
  </si>
  <si>
    <t>جهت تعمیر به تهران ارسال شد-موجودی انبار 362 - تعویض مادربورد</t>
  </si>
  <si>
    <t>نظارت برسو بردسیر - ارسال به تهران جهت تعمیر - تعویض مادربورد</t>
  </si>
  <si>
    <t>Z1C018090080</t>
  </si>
  <si>
    <t>1404/05/08</t>
  </si>
  <si>
    <t>کانکس زیر منبع کمپ کارگری</t>
  </si>
  <si>
    <t>ساسان شجاعت خرامه</t>
  </si>
  <si>
    <t>UPS GTEC
ZP120N-3K</t>
  </si>
  <si>
    <t>722002008012008</t>
  </si>
  <si>
    <t>مانیتور LG 
W2261VP</t>
  </si>
  <si>
    <t>ارسال جهت تعمیر1404/05/012</t>
  </si>
  <si>
    <t>ups قبلی اتاق سرور</t>
  </si>
  <si>
    <t>ارسال جهت تعمیر1404/05/20</t>
  </si>
  <si>
    <t>ارسال به تهران جهت تعمیر - 1404/05/25</t>
  </si>
  <si>
    <t>ارسال به تهران جهت تعمیر - 1404/05/27</t>
  </si>
  <si>
    <t>ارسال به تهران جهت تعمیر - 1404/06/05</t>
  </si>
  <si>
    <t>فولاد بردسیر</t>
  </si>
  <si>
    <t>1404/06/29</t>
  </si>
  <si>
    <t>انبار آی تی خرامه</t>
  </si>
  <si>
    <t>ارسال به سیرجان جهت تعمیر(مستر کپی) - 1404/06/29</t>
  </si>
  <si>
    <t>1404/06/11</t>
  </si>
  <si>
    <t>به کارفرما فروخته شد</t>
  </si>
  <si>
    <t>ارسال به سیرجان جهت تعمیر(مستر کپی) - 1404/07/22</t>
  </si>
  <si>
    <t>کیس قبلی باسکول</t>
  </si>
  <si>
    <t>برگشت از تعمیر 1404/08/12</t>
  </si>
  <si>
    <t xml:space="preserve">HP M428DW </t>
  </si>
  <si>
    <t>دوربین عکاسی canon</t>
  </si>
  <si>
    <t>DS126801</t>
  </si>
  <si>
    <t>ارسال به تهران جهت تعمیر - 1404/9/10</t>
  </si>
  <si>
    <t>ارسال به دفتر تهران جهت تعمیر - 1404/9/10 (از طرف شاهقاسی ارسال شده است)</t>
  </si>
  <si>
    <t>ارسال جهت تعمیر (مستر کپی) - 1404/9/8</t>
  </si>
  <si>
    <t>current_location</t>
  </si>
  <si>
    <t>model</t>
  </si>
  <si>
    <t>serial_number</t>
  </si>
  <si>
    <t>property_code</t>
  </si>
  <si>
    <t>description</t>
  </si>
  <si>
    <t>device_type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</si>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</sst>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2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B Nazanin"/>
      <charset val="178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rgb="FFFF0000"/>
      <name val="Calibri"/>
      <family val="2"/>
      <scheme val="minor"/>
    </font>
    <font>
      <b/>
      <sz val="14"/>
      <color rgb="FFFF0000"/>
      <name val="B Nazanin"/>
      <charset val="178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B Nazanin"/>
      <charset val="178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B Nazanin"/>
      <charset val="178"/>
    </font>
    <font>
      <sz val="10"/>
      <name val="Arial"/>
      <family val="2"/>
    </font>
    <font>
      <b/>
      <sz val="12"/>
      <color rgb="FF000000"/>
      <name val="B Nazanin"/>
      <charset val="178"/>
    </font>
    <font>
      <b/>
      <u/>
      <sz val="14"/>
      <color rgb="FFFF0000"/>
      <name val="B Nazanin"/>
      <charset val="178"/>
    </font>
    <font>
      <b/>
      <sz val="16"/>
      <color rgb="FFFFFFFF"/>
      <name val="B Titr"/>
      <charset val="178"/>
    </font>
    <font>
      <sz val="8"/>
      <name val="Calibri"/>
      <family val="2"/>
      <scheme val="minor"/>
    </font>
    <font>
      <b/>
      <sz val="16"/>
      <color theme="1"/>
      <name val="B Nazanin"/>
      <charset val="178"/>
    </font>
    <font>
      <b/>
      <sz val="16"/>
      <name val="B Nazanin"/>
      <charset val="178"/>
    </font>
    <font>
      <sz val="16"/>
      <color theme="1"/>
      <name val="B Nazanin"/>
      <charset val="178"/>
    </font>
    <font>
      <b/>
      <sz val="14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color rgb="FF006100"/>
      <name val="Calibri"/>
      <family val="2"/>
      <scheme val="minor"/>
    </font>
    <font>
      <b/>
      <sz val="11"/>
      <color rgb="FF006100"/>
      <name val="B Nazanin"/>
      <charset val="17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76E876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27" fillId="0" borderId="0"/>
    <xf numFmtId="0" fontId="29" fillId="0" borderId="0"/>
    <xf numFmtId="0" fontId="40" fillId="10" borderId="0" applyNumberFormat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11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24" fillId="0" borderId="1" xfId="0" applyFont="1" applyBorder="1"/>
    <xf numFmtId="1" fontId="15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readingOrder="2"/>
    </xf>
    <xf numFmtId="49" fontId="17" fillId="0" borderId="1" xfId="0" applyNumberFormat="1" applyFont="1" applyBorder="1" applyAlignment="1">
      <alignment horizontal="center" vertical="center" readingOrder="2"/>
    </xf>
    <xf numFmtId="0" fontId="17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9" fontId="17" fillId="0" borderId="1" xfId="1" applyNumberFormat="1" applyFont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right" shrinkToFit="1"/>
    </xf>
    <xf numFmtId="0" fontId="5" fillId="0" borderId="0" xfId="0" applyFont="1" applyAlignment="1">
      <alignment horizontal="center" shrinkToFit="1"/>
    </xf>
    <xf numFmtId="49" fontId="1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readingOrder="1"/>
    </xf>
    <xf numFmtId="0" fontId="16" fillId="0" borderId="1" xfId="0" applyFont="1" applyBorder="1" applyAlignment="1">
      <alignment horizontal="center" vertical="center" readingOrder="2"/>
    </xf>
    <xf numFmtId="49" fontId="16" fillId="0" borderId="1" xfId="0" applyNumberFormat="1" applyFont="1" applyBorder="1" applyAlignment="1">
      <alignment horizontal="center" vertical="center" readingOrder="2"/>
    </xf>
    <xf numFmtId="1" fontId="14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49" fontId="15" fillId="0" borderId="1" xfId="1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readingOrder="2"/>
    </xf>
    <xf numFmtId="0" fontId="32" fillId="8" borderId="1" xfId="0" applyFont="1" applyFill="1" applyBorder="1" applyAlignment="1">
      <alignment horizontal="center" vertical="center"/>
    </xf>
    <xf numFmtId="1" fontId="32" fillId="8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0" fillId="0" borderId="0" xfId="0" applyFill="1"/>
    <xf numFmtId="2" fontId="17" fillId="0" borderId="1" xfId="0" applyNumberFormat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2" fontId="34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37" fillId="0" borderId="1" xfId="1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39" fillId="0" borderId="0" xfId="0" applyFont="1"/>
    <xf numFmtId="49" fontId="37" fillId="0" borderId="1" xfId="1" applyNumberFormat="1" applyFont="1" applyFill="1" applyBorder="1" applyAlignment="1">
      <alignment horizontal="center" vertical="center"/>
    </xf>
    <xf numFmtId="0" fontId="0" fillId="9" borderId="0" xfId="0" applyFill="1"/>
    <xf numFmtId="0" fontId="0" fillId="7" borderId="0" xfId="0" applyFill="1"/>
    <xf numFmtId="0" fontId="39" fillId="7" borderId="0" xfId="0" applyFont="1" applyFill="1"/>
    <xf numFmtId="0" fontId="36" fillId="9" borderId="0" xfId="0" applyFont="1" applyFill="1"/>
    <xf numFmtId="0" fontId="17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readingOrder="2"/>
    </xf>
    <xf numFmtId="164" fontId="15" fillId="0" borderId="0" xfId="0" applyNumberFormat="1" applyFont="1" applyBorder="1" applyAlignment="1">
      <alignment horizontal="center" vertical="center"/>
    </xf>
    <xf numFmtId="0" fontId="41" fillId="10" borderId="1" xfId="4" applyFont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1" fillId="10" borderId="3" xfId="4" applyFont="1" applyBorder="1" applyAlignment="1">
      <alignment horizontal="center" vertical="center"/>
    </xf>
  </cellXfs>
  <cellStyles count="5">
    <cellStyle name="Good" xfId="4" builtinId="26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482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3300"/>
      <color rgb="FFFFCCCC"/>
      <color rgb="FF76E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2722</xdr:colOff>
      <xdr:row>0</xdr:row>
      <xdr:rowOff>54428</xdr:rowOff>
    </xdr:from>
    <xdr:to>
      <xdr:col>3</xdr:col>
      <xdr:colOff>190501</xdr:colOff>
      <xdr:row>0</xdr:row>
      <xdr:rowOff>511629</xdr:rowOff>
    </xdr:to>
    <xdr:sp macro="[0]!Click_EndRows" textlink="">
      <xdr:nvSpPr>
        <xdr:cNvPr id="2" name="Rounded Rectangle 1">
          <a:extLst>
            <a:ext uri="{FF2B5EF4-FFF2-40B4-BE49-F238E27FC236}">
              <a16:creationId xmlns:a16="http://schemas.microsoft.com/office/drawing/2014/main" id="{059EABF0-EF2B-4A23-AC40-CB975CE53C50}"/>
            </a:ext>
          </a:extLst>
        </xdr:cNvPr>
        <xdr:cNvSpPr/>
      </xdr:nvSpPr>
      <xdr:spPr>
        <a:xfrm>
          <a:off x="11259054824" y="54428"/>
          <a:ext cx="1702254" cy="45720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آخرین سطر</a:t>
          </a:r>
        </a:p>
      </xdr:txBody>
    </xdr:sp>
    <xdr:clientData/>
  </xdr:twoCellAnchor>
  <xdr:twoCellAnchor>
    <xdr:from>
      <xdr:col>3</xdr:col>
      <xdr:colOff>271448</xdr:colOff>
      <xdr:row>0</xdr:row>
      <xdr:rowOff>54426</xdr:rowOff>
    </xdr:from>
    <xdr:to>
      <xdr:col>3</xdr:col>
      <xdr:colOff>1789352</xdr:colOff>
      <xdr:row>0</xdr:row>
      <xdr:rowOff>511627</xdr:rowOff>
    </xdr:to>
    <xdr:sp macro="[0]!Click_FirstRows" textlink="">
      <xdr:nvSpPr>
        <xdr:cNvPr id="3" name="Rounded Rectangle 2">
          <a:extLst>
            <a:ext uri="{FF2B5EF4-FFF2-40B4-BE49-F238E27FC236}">
              <a16:creationId xmlns:a16="http://schemas.microsoft.com/office/drawing/2014/main" id="{F82E45BF-205E-40DC-8B64-77073CE6A45A}"/>
            </a:ext>
          </a:extLst>
        </xdr:cNvPr>
        <xdr:cNvSpPr/>
      </xdr:nvSpPr>
      <xdr:spPr>
        <a:xfrm>
          <a:off x="11257455973" y="54426"/>
          <a:ext cx="1517904" cy="457201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اولین سطر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7">
    <tabColor rgb="FF7030A0"/>
  </sheetPr>
  <dimension ref="A1:G155"/>
  <sheetViews>
    <sheetView rightToLeft="1" tabSelected="1" topLeftCell="B1" zoomScale="70" zoomScaleNormal="70" workbookViewId="0">
      <pane ySplit="1" topLeftCell="A49" activePane="bottomLeft" state="frozen"/>
      <selection pane="bottomLeft" activeCell="E60" sqref="E60"/>
    </sheetView>
  </sheetViews>
  <sheetFormatPr defaultRowHeight="15" x14ac:dyDescent="0.25"/>
  <cols>
    <col min="1" max="1" width="21.85546875" customWidth="1"/>
    <col min="2" max="2" width="51.42578125" customWidth="1"/>
    <col min="3" max="3" width="32" bestFit="1" customWidth="1"/>
    <col min="4" max="4" width="14" customWidth="1"/>
    <col min="5" max="5" width="91.42578125" customWidth="1"/>
    <col min="6" max="6" width="44.42578125" customWidth="1"/>
    <col min="7" max="7" width="25.42578125" bestFit="1" customWidth="1"/>
    <col min="12" max="12" width="9" customWidth="1"/>
  </cols>
  <sheetData>
    <row r="1" spans="1:7" s="8" customFormat="1" ht="27.6" customHeight="1" x14ac:dyDescent="0.25">
      <c r="A1" s="91" t="s">
        <v>558</v>
      </c>
      <c r="B1" s="91" t="s">
        <v>554</v>
      </c>
      <c r="C1" s="91" t="s">
        <v>555</v>
      </c>
      <c r="D1" s="91" t="s">
        <v>556</v>
      </c>
      <c r="E1" s="91" t="s">
        <v>557</v>
      </c>
      <c r="F1" s="91" t="s">
        <v>559</v>
      </c>
      <c r="G1" s="96" t="s">
        <v>553</v>
      </c>
    </row>
    <row r="2" spans="1:7" ht="27.6" customHeight="1" x14ac:dyDescent="0.25">
      <c r="A2" s="20" t="s">
        <v>69</v>
      </c>
      <c r="B2" s="20" t="s">
        <v>48</v>
      </c>
      <c r="C2" s="23" t="s">
        <v>75</v>
      </c>
      <c r="D2" s="29">
        <v>605441</v>
      </c>
      <c r="E2" s="25" t="s">
        <v>82</v>
      </c>
      <c r="F2" s="27" t="s">
        <v>469</v>
      </c>
      <c r="G2" s="27"/>
    </row>
    <row r="3" spans="1:7" ht="27.6" customHeight="1" x14ac:dyDescent="0.25">
      <c r="A3" s="20" t="s">
        <v>69</v>
      </c>
      <c r="B3" s="20" t="s">
        <v>78</v>
      </c>
      <c r="C3" s="20" t="s">
        <v>79</v>
      </c>
      <c r="D3" s="20">
        <v>611436</v>
      </c>
      <c r="E3" s="25" t="s">
        <v>80</v>
      </c>
      <c r="F3" s="27" t="s">
        <v>471</v>
      </c>
      <c r="G3" s="27"/>
    </row>
    <row r="4" spans="1:7" ht="27.6" customHeight="1" x14ac:dyDescent="0.25">
      <c r="A4" s="20" t="s">
        <v>96</v>
      </c>
      <c r="B4" s="7" t="s">
        <v>33</v>
      </c>
      <c r="C4" s="7" t="s">
        <v>34</v>
      </c>
      <c r="D4" s="17">
        <v>606814</v>
      </c>
      <c r="E4" s="25" t="s">
        <v>95</v>
      </c>
      <c r="F4" s="27" t="s">
        <v>469</v>
      </c>
      <c r="G4" s="27"/>
    </row>
    <row r="5" spans="1:7" ht="27.6" customHeight="1" x14ac:dyDescent="0.25">
      <c r="A5" s="20" t="s">
        <v>69</v>
      </c>
      <c r="B5" s="26" t="s">
        <v>51</v>
      </c>
      <c r="C5" s="26" t="s">
        <v>52</v>
      </c>
      <c r="D5" s="26">
        <v>609604</v>
      </c>
      <c r="E5" s="32" t="s">
        <v>87</v>
      </c>
      <c r="F5" s="27" t="s">
        <v>469</v>
      </c>
      <c r="G5" s="27"/>
    </row>
    <row r="6" spans="1:7" ht="27.6" customHeight="1" x14ac:dyDescent="0.25">
      <c r="A6" s="20" t="s">
        <v>69</v>
      </c>
      <c r="B6" s="7" t="s">
        <v>40</v>
      </c>
      <c r="C6" s="22">
        <v>722006012072875</v>
      </c>
      <c r="D6" s="20">
        <v>603251</v>
      </c>
      <c r="E6" s="32" t="s">
        <v>92</v>
      </c>
      <c r="F6" s="27" t="s">
        <v>469</v>
      </c>
      <c r="G6" s="27"/>
    </row>
    <row r="7" spans="1:7" ht="27.6" customHeight="1" x14ac:dyDescent="0.25">
      <c r="A7" s="20" t="s">
        <v>69</v>
      </c>
      <c r="B7" s="21" t="s">
        <v>14</v>
      </c>
      <c r="C7" s="21" t="s">
        <v>15</v>
      </c>
      <c r="D7" s="20">
        <v>613925</v>
      </c>
      <c r="E7" s="32" t="s">
        <v>91</v>
      </c>
      <c r="F7" s="27" t="s">
        <v>469</v>
      </c>
      <c r="G7" s="27"/>
    </row>
    <row r="8" spans="1:7" ht="27.6" customHeight="1" x14ac:dyDescent="0.25">
      <c r="A8" s="20" t="s">
        <v>93</v>
      </c>
      <c r="B8" s="23" t="s">
        <v>72</v>
      </c>
      <c r="C8" s="31" t="s">
        <v>70</v>
      </c>
      <c r="D8" s="20">
        <v>613144</v>
      </c>
      <c r="E8" s="32" t="s">
        <v>97</v>
      </c>
      <c r="F8" s="27" t="s">
        <v>469</v>
      </c>
      <c r="G8" s="27"/>
    </row>
    <row r="9" spans="1:7" ht="27.6" customHeight="1" x14ac:dyDescent="0.25">
      <c r="A9" s="20" t="s">
        <v>94</v>
      </c>
      <c r="B9" s="20" t="s">
        <v>89</v>
      </c>
      <c r="C9" s="20" t="s">
        <v>88</v>
      </c>
      <c r="D9" s="20">
        <v>623228</v>
      </c>
      <c r="E9" s="32" t="s">
        <v>102</v>
      </c>
      <c r="F9" s="27" t="s">
        <v>469</v>
      </c>
      <c r="G9" s="27"/>
    </row>
    <row r="10" spans="1:7" ht="27.6" customHeight="1" x14ac:dyDescent="0.25">
      <c r="A10" s="20" t="s">
        <v>93</v>
      </c>
      <c r="B10" s="20" t="s">
        <v>90</v>
      </c>
      <c r="C10" s="20"/>
      <c r="D10" s="20">
        <v>612105</v>
      </c>
      <c r="E10" s="32" t="s">
        <v>99</v>
      </c>
      <c r="F10" s="27" t="s">
        <v>469</v>
      </c>
      <c r="G10" s="27"/>
    </row>
    <row r="11" spans="1:7" ht="27.6" customHeight="1" x14ac:dyDescent="0.6">
      <c r="A11" s="20" t="s">
        <v>69</v>
      </c>
      <c r="B11" s="19" t="s">
        <v>40</v>
      </c>
      <c r="C11" s="37" t="s">
        <v>107</v>
      </c>
      <c r="D11" s="20">
        <v>603305</v>
      </c>
      <c r="E11" s="40" t="s">
        <v>128</v>
      </c>
      <c r="F11" s="27" t="s">
        <v>469</v>
      </c>
      <c r="G11" s="27"/>
    </row>
    <row r="12" spans="1:7" ht="27.6" customHeight="1" x14ac:dyDescent="0.35">
      <c r="A12" s="20" t="s">
        <v>69</v>
      </c>
      <c r="B12" s="21" t="s">
        <v>40</v>
      </c>
      <c r="C12" s="36" t="s">
        <v>108</v>
      </c>
      <c r="D12" s="6">
        <v>603356</v>
      </c>
      <c r="E12" s="32" t="s">
        <v>109</v>
      </c>
      <c r="F12" s="27" t="s">
        <v>469</v>
      </c>
      <c r="G12" s="27"/>
    </row>
    <row r="13" spans="1:7" ht="27.6" customHeight="1" x14ac:dyDescent="0.25">
      <c r="A13" s="20" t="s">
        <v>69</v>
      </c>
      <c r="B13" s="21" t="s">
        <v>40</v>
      </c>
      <c r="C13" s="24" t="s">
        <v>62</v>
      </c>
      <c r="D13" s="17">
        <v>600764</v>
      </c>
      <c r="E13" s="32" t="s">
        <v>112</v>
      </c>
      <c r="F13" s="27" t="s">
        <v>469</v>
      </c>
      <c r="G13" s="27"/>
    </row>
    <row r="14" spans="1:7" ht="27.6" customHeight="1" x14ac:dyDescent="0.25">
      <c r="A14" s="20" t="s">
        <v>69</v>
      </c>
      <c r="B14" s="21" t="s">
        <v>40</v>
      </c>
      <c r="C14" s="34" t="s">
        <v>117</v>
      </c>
      <c r="D14" s="20">
        <v>604093</v>
      </c>
      <c r="E14" s="32" t="s">
        <v>119</v>
      </c>
      <c r="F14" s="27" t="s">
        <v>469</v>
      </c>
      <c r="G14" s="27"/>
    </row>
    <row r="15" spans="1:7" ht="27.6" customHeight="1" x14ac:dyDescent="0.25">
      <c r="A15" s="20" t="s">
        <v>69</v>
      </c>
      <c r="B15" s="7" t="s">
        <v>42</v>
      </c>
      <c r="C15" s="7" t="s">
        <v>35</v>
      </c>
      <c r="D15" s="17">
        <v>603936</v>
      </c>
      <c r="E15" s="32" t="s">
        <v>120</v>
      </c>
      <c r="F15" s="27" t="s">
        <v>469</v>
      </c>
      <c r="G15" s="27"/>
    </row>
    <row r="16" spans="1:7" ht="27.6" customHeight="1" x14ac:dyDescent="0.25">
      <c r="A16" s="20" t="s">
        <v>69</v>
      </c>
      <c r="B16" s="21" t="s">
        <v>40</v>
      </c>
      <c r="C16" s="35" t="s">
        <v>123</v>
      </c>
      <c r="D16" s="17">
        <v>609609</v>
      </c>
      <c r="E16" s="32" t="s">
        <v>127</v>
      </c>
      <c r="F16" s="27" t="s">
        <v>469</v>
      </c>
      <c r="G16" s="27"/>
    </row>
    <row r="17" spans="1:7" ht="27.6" customHeight="1" x14ac:dyDescent="0.25">
      <c r="A17" s="20" t="s">
        <v>69</v>
      </c>
      <c r="B17" s="21" t="s">
        <v>38</v>
      </c>
      <c r="C17" s="35" t="s">
        <v>131</v>
      </c>
      <c r="D17" s="17">
        <v>608004</v>
      </c>
      <c r="E17" s="32" t="s">
        <v>132</v>
      </c>
      <c r="F17" s="27" t="s">
        <v>469</v>
      </c>
      <c r="G17" s="27"/>
    </row>
    <row r="18" spans="1:7" ht="27.6" customHeight="1" x14ac:dyDescent="0.25">
      <c r="A18" s="92" t="s">
        <v>237</v>
      </c>
      <c r="B18" s="93"/>
      <c r="C18" s="93"/>
      <c r="D18" s="93"/>
      <c r="E18" s="93"/>
      <c r="F18" s="94"/>
    </row>
    <row r="19" spans="1:7" ht="27.6" customHeight="1" x14ac:dyDescent="0.25">
      <c r="A19" s="31"/>
      <c r="B19" s="23" t="s">
        <v>38</v>
      </c>
      <c r="C19" s="33" t="s">
        <v>226</v>
      </c>
      <c r="D19" s="17">
        <v>604975</v>
      </c>
      <c r="E19" s="19" t="s">
        <v>252</v>
      </c>
      <c r="F19" s="29" t="s">
        <v>254</v>
      </c>
      <c r="G19" s="29"/>
    </row>
    <row r="20" spans="1:7" ht="27.6" customHeight="1" x14ac:dyDescent="0.25">
      <c r="A20" s="29"/>
      <c r="B20" s="53" t="s">
        <v>159</v>
      </c>
      <c r="C20" s="54" t="s">
        <v>154</v>
      </c>
      <c r="D20" s="29">
        <v>609605</v>
      </c>
      <c r="E20" s="29" t="s">
        <v>253</v>
      </c>
      <c r="F20" s="29" t="s">
        <v>261</v>
      </c>
      <c r="G20" s="29"/>
    </row>
    <row r="21" spans="1:7" ht="27.6" customHeight="1" x14ac:dyDescent="0.25">
      <c r="A21" s="29"/>
      <c r="B21" s="29" t="s">
        <v>40</v>
      </c>
      <c r="C21" s="51" t="s">
        <v>140</v>
      </c>
      <c r="D21" s="29">
        <v>604092</v>
      </c>
      <c r="E21" s="29" t="s">
        <v>255</v>
      </c>
      <c r="F21" s="29" t="s">
        <v>271</v>
      </c>
      <c r="G21" s="29"/>
    </row>
    <row r="22" spans="1:7" ht="27.6" customHeight="1" x14ac:dyDescent="0.25">
      <c r="A22" s="29"/>
      <c r="B22" s="29" t="s">
        <v>40</v>
      </c>
      <c r="C22" s="51" t="s">
        <v>165</v>
      </c>
      <c r="D22" s="29">
        <v>601031</v>
      </c>
      <c r="E22" s="29" t="s">
        <v>251</v>
      </c>
      <c r="F22" s="29" t="s">
        <v>261</v>
      </c>
      <c r="G22" s="29"/>
    </row>
    <row r="23" spans="1:7" ht="27.6" customHeight="1" x14ac:dyDescent="0.25">
      <c r="A23" s="29"/>
      <c r="B23" s="29" t="s">
        <v>100</v>
      </c>
      <c r="C23" s="29" t="s">
        <v>111</v>
      </c>
      <c r="D23" s="29">
        <v>623630</v>
      </c>
      <c r="E23" s="29" t="s">
        <v>272</v>
      </c>
      <c r="F23" s="29" t="s">
        <v>298</v>
      </c>
      <c r="G23" s="29"/>
    </row>
    <row r="24" spans="1:7" ht="27.6" customHeight="1" x14ac:dyDescent="0.25">
      <c r="A24" s="29"/>
      <c r="B24" s="17" t="s">
        <v>40</v>
      </c>
      <c r="C24" s="55">
        <v>722015205013365</v>
      </c>
      <c r="D24" s="29">
        <v>603171</v>
      </c>
      <c r="E24" s="29" t="s">
        <v>273</v>
      </c>
      <c r="F24" s="29" t="s">
        <v>274</v>
      </c>
      <c r="G24" s="29"/>
    </row>
    <row r="25" spans="1:7" ht="27.6" customHeight="1" x14ac:dyDescent="0.25">
      <c r="A25" s="29"/>
      <c r="B25" s="29" t="s">
        <v>138</v>
      </c>
      <c r="C25" s="29" t="s">
        <v>174</v>
      </c>
      <c r="D25" s="29">
        <v>610923</v>
      </c>
      <c r="E25" s="29" t="s">
        <v>283</v>
      </c>
      <c r="F25" s="29" t="s">
        <v>308</v>
      </c>
      <c r="G25" s="29"/>
    </row>
    <row r="26" spans="1:7" ht="27.6" customHeight="1" x14ac:dyDescent="0.25">
      <c r="A26" s="29"/>
      <c r="B26" s="29" t="s">
        <v>138</v>
      </c>
      <c r="C26" s="29" t="s">
        <v>175</v>
      </c>
      <c r="D26" s="29">
        <v>611437</v>
      </c>
      <c r="E26" s="29" t="s">
        <v>283</v>
      </c>
      <c r="F26" s="29" t="s">
        <v>297</v>
      </c>
      <c r="G26" s="29"/>
    </row>
    <row r="27" spans="1:7" ht="27.6" customHeight="1" x14ac:dyDescent="0.25">
      <c r="A27" s="29"/>
      <c r="B27" s="17" t="s">
        <v>38</v>
      </c>
      <c r="C27" s="51" t="s">
        <v>104</v>
      </c>
      <c r="D27" s="29">
        <v>603562</v>
      </c>
      <c r="E27" s="57" t="s">
        <v>285</v>
      </c>
      <c r="F27" s="29" t="s">
        <v>297</v>
      </c>
      <c r="G27" s="29"/>
    </row>
    <row r="28" spans="1:7" ht="27.6" customHeight="1" x14ac:dyDescent="0.25">
      <c r="A28" s="29"/>
      <c r="B28" s="17" t="s">
        <v>42</v>
      </c>
      <c r="C28" s="51" t="s">
        <v>277</v>
      </c>
      <c r="D28" s="29">
        <v>601557</v>
      </c>
      <c r="E28" s="56" t="s">
        <v>286</v>
      </c>
      <c r="F28" s="29" t="s">
        <v>297</v>
      </c>
      <c r="G28" s="29"/>
    </row>
    <row r="29" spans="1:7" ht="27.6" customHeight="1" x14ac:dyDescent="0.25">
      <c r="A29" s="29"/>
      <c r="B29" s="53" t="s">
        <v>160</v>
      </c>
      <c r="C29" s="51" t="s">
        <v>187</v>
      </c>
      <c r="D29" s="29">
        <v>628828</v>
      </c>
      <c r="E29" s="57" t="s">
        <v>288</v>
      </c>
      <c r="F29" s="29" t="s">
        <v>297</v>
      </c>
      <c r="G29" s="29"/>
    </row>
    <row r="30" spans="1:7" ht="27.6" customHeight="1" x14ac:dyDescent="0.25">
      <c r="A30" s="29"/>
      <c r="B30" s="53" t="s">
        <v>160</v>
      </c>
      <c r="C30" s="51" t="s">
        <v>188</v>
      </c>
      <c r="D30" s="29">
        <v>628859</v>
      </c>
      <c r="E30" s="29" t="s">
        <v>287</v>
      </c>
      <c r="F30" s="29" t="s">
        <v>297</v>
      </c>
      <c r="G30" s="29"/>
    </row>
    <row r="31" spans="1:7" ht="27.6" customHeight="1" x14ac:dyDescent="0.25">
      <c r="A31" s="29"/>
      <c r="B31" s="29" t="s">
        <v>284</v>
      </c>
      <c r="C31" s="51" t="s">
        <v>86</v>
      </c>
      <c r="D31" s="29">
        <v>606814</v>
      </c>
      <c r="E31" s="29" t="s">
        <v>289</v>
      </c>
      <c r="F31" s="29" t="s">
        <v>308</v>
      </c>
      <c r="G31" s="29"/>
    </row>
    <row r="32" spans="1:7" ht="27.6" customHeight="1" x14ac:dyDescent="0.25">
      <c r="A32" s="29"/>
      <c r="B32" s="29" t="s">
        <v>40</v>
      </c>
      <c r="C32" s="38" t="s">
        <v>103</v>
      </c>
      <c r="D32" s="29">
        <v>604289</v>
      </c>
      <c r="E32" s="57" t="s">
        <v>295</v>
      </c>
      <c r="F32" s="29" t="s">
        <v>297</v>
      </c>
      <c r="G32" s="29"/>
    </row>
    <row r="33" spans="1:7" ht="27.6" customHeight="1" x14ac:dyDescent="0.25">
      <c r="A33" s="29"/>
      <c r="B33" s="29" t="s">
        <v>216</v>
      </c>
      <c r="C33" s="38" t="s">
        <v>282</v>
      </c>
      <c r="D33" s="29">
        <v>605715</v>
      </c>
      <c r="E33" s="29" t="s">
        <v>296</v>
      </c>
      <c r="F33" s="29" t="s">
        <v>297</v>
      </c>
      <c r="G33" s="29"/>
    </row>
    <row r="34" spans="1:7" ht="27.6" customHeight="1" x14ac:dyDescent="0.25">
      <c r="A34" s="29"/>
      <c r="B34" s="17" t="s">
        <v>9</v>
      </c>
      <c r="C34" s="17" t="s">
        <v>10</v>
      </c>
      <c r="D34" s="17">
        <v>610516</v>
      </c>
      <c r="E34" s="29" t="s">
        <v>299</v>
      </c>
      <c r="F34" s="29" t="s">
        <v>300</v>
      </c>
      <c r="G34" s="29"/>
    </row>
    <row r="35" spans="1:7" ht="27.6" customHeight="1" x14ac:dyDescent="0.25">
      <c r="A35" s="29"/>
      <c r="B35" s="17" t="s">
        <v>43</v>
      </c>
      <c r="C35" s="38" t="s">
        <v>172</v>
      </c>
      <c r="D35" s="29">
        <v>618922</v>
      </c>
      <c r="E35" s="29" t="s">
        <v>301</v>
      </c>
      <c r="F35" s="29" t="s">
        <v>313</v>
      </c>
      <c r="G35" s="29"/>
    </row>
    <row r="36" spans="1:7" ht="27.6" customHeight="1" x14ac:dyDescent="0.25">
      <c r="A36" s="28"/>
      <c r="B36" s="38" t="s">
        <v>235</v>
      </c>
      <c r="C36" s="38" t="s">
        <v>236</v>
      </c>
      <c r="D36" s="29">
        <v>611811</v>
      </c>
      <c r="E36" s="29" t="s">
        <v>302</v>
      </c>
      <c r="F36" s="29" t="s">
        <v>311</v>
      </c>
      <c r="G36" s="29"/>
    </row>
    <row r="37" spans="1:7" ht="27.6" customHeight="1" x14ac:dyDescent="0.25">
      <c r="A37" s="28" t="s">
        <v>69</v>
      </c>
      <c r="B37" s="38" t="s">
        <v>40</v>
      </c>
      <c r="C37" s="38" t="s">
        <v>325</v>
      </c>
      <c r="D37" s="29">
        <v>603251</v>
      </c>
      <c r="E37" s="29" t="s">
        <v>303</v>
      </c>
      <c r="F37" s="29" t="s">
        <v>313</v>
      </c>
      <c r="G37" s="29"/>
    </row>
    <row r="38" spans="1:7" ht="27.6" customHeight="1" x14ac:dyDescent="0.25">
      <c r="A38" s="27"/>
      <c r="B38" s="38" t="s">
        <v>31</v>
      </c>
      <c r="C38" s="38">
        <v>55034848</v>
      </c>
      <c r="D38" s="29">
        <v>607358</v>
      </c>
      <c r="E38" s="29" t="s">
        <v>307</v>
      </c>
      <c r="F38" s="29" t="s">
        <v>312</v>
      </c>
      <c r="G38" s="29"/>
    </row>
    <row r="39" spans="1:7" ht="27.6" customHeight="1" x14ac:dyDescent="0.25">
      <c r="A39" s="27"/>
      <c r="B39" s="38" t="s">
        <v>38</v>
      </c>
      <c r="C39" s="38" t="s">
        <v>135</v>
      </c>
      <c r="D39" s="29">
        <v>607686</v>
      </c>
      <c r="E39" s="29" t="s">
        <v>317</v>
      </c>
      <c r="F39" s="29" t="s">
        <v>324</v>
      </c>
      <c r="G39" s="29"/>
    </row>
    <row r="40" spans="1:7" ht="27.6" customHeight="1" x14ac:dyDescent="0.25">
      <c r="A40" s="27"/>
      <c r="B40" s="38" t="s">
        <v>40</v>
      </c>
      <c r="C40" s="38" t="s">
        <v>181</v>
      </c>
      <c r="D40" s="29">
        <v>603304</v>
      </c>
      <c r="E40" s="29" t="s">
        <v>317</v>
      </c>
      <c r="F40" s="29" t="s">
        <v>324</v>
      </c>
      <c r="G40" s="29"/>
    </row>
    <row r="41" spans="1:7" ht="27.6" customHeight="1" x14ac:dyDescent="0.25">
      <c r="A41" s="27"/>
      <c r="B41" s="38" t="s">
        <v>40</v>
      </c>
      <c r="C41" s="38" t="s">
        <v>180</v>
      </c>
      <c r="D41" s="29">
        <v>611444</v>
      </c>
      <c r="E41" s="29" t="s">
        <v>318</v>
      </c>
      <c r="F41" s="29" t="s">
        <v>324</v>
      </c>
      <c r="G41" s="29"/>
    </row>
    <row r="42" spans="1:7" ht="27.6" customHeight="1" x14ac:dyDescent="0.25">
      <c r="A42" s="27"/>
      <c r="B42" s="38" t="s">
        <v>260</v>
      </c>
      <c r="C42" s="38"/>
      <c r="D42" s="29">
        <v>621828</v>
      </c>
      <c r="E42" s="29" t="s">
        <v>319</v>
      </c>
      <c r="F42" s="29" t="s">
        <v>347</v>
      </c>
      <c r="G42" s="29"/>
    </row>
    <row r="43" spans="1:7" ht="27.6" customHeight="1" x14ac:dyDescent="0.25">
      <c r="A43" s="27"/>
      <c r="B43" s="38" t="s">
        <v>260</v>
      </c>
      <c r="C43" s="38"/>
      <c r="D43" s="29">
        <v>621820</v>
      </c>
      <c r="E43" s="29" t="s">
        <v>319</v>
      </c>
      <c r="F43" s="29" t="s">
        <v>347</v>
      </c>
      <c r="G43" s="29"/>
    </row>
    <row r="44" spans="1:7" ht="27.6" customHeight="1" x14ac:dyDescent="0.25">
      <c r="A44" s="27"/>
      <c r="B44" s="38" t="s">
        <v>240</v>
      </c>
      <c r="C44" s="38"/>
      <c r="D44" s="29">
        <v>612377</v>
      </c>
      <c r="E44" s="29" t="s">
        <v>320</v>
      </c>
      <c r="F44" s="29" t="s">
        <v>326</v>
      </c>
      <c r="G44" s="29"/>
    </row>
    <row r="45" spans="1:7" ht="27.6" customHeight="1" x14ac:dyDescent="0.25">
      <c r="A45" s="27"/>
      <c r="B45" s="38" t="s">
        <v>38</v>
      </c>
      <c r="C45" s="38" t="s">
        <v>139</v>
      </c>
      <c r="D45" s="29">
        <v>608000</v>
      </c>
      <c r="E45" s="29" t="s">
        <v>323</v>
      </c>
      <c r="F45" s="29" t="s">
        <v>332</v>
      </c>
      <c r="G45" s="29"/>
    </row>
    <row r="46" spans="1:7" ht="27.6" customHeight="1" x14ac:dyDescent="0.25">
      <c r="A46" s="29"/>
      <c r="B46" s="29" t="s">
        <v>284</v>
      </c>
      <c r="C46" s="51" t="s">
        <v>86</v>
      </c>
      <c r="D46" s="29">
        <v>606814</v>
      </c>
      <c r="E46" s="29" t="s">
        <v>327</v>
      </c>
      <c r="F46" s="29" t="s">
        <v>347</v>
      </c>
      <c r="G46" s="29"/>
    </row>
    <row r="47" spans="1:7" ht="27.6" customHeight="1" x14ac:dyDescent="0.25">
      <c r="A47" s="27"/>
      <c r="B47" s="38" t="s">
        <v>66</v>
      </c>
      <c r="C47" s="38"/>
      <c r="D47" s="29">
        <v>627883</v>
      </c>
      <c r="E47" s="29" t="s">
        <v>328</v>
      </c>
      <c r="F47" s="29" t="s">
        <v>347</v>
      </c>
      <c r="G47" s="29"/>
    </row>
    <row r="48" spans="1:7" ht="27.6" customHeight="1" x14ac:dyDescent="0.25">
      <c r="A48" s="27"/>
      <c r="B48" s="29" t="s">
        <v>230</v>
      </c>
      <c r="C48" s="17" t="s">
        <v>186</v>
      </c>
      <c r="D48" s="29">
        <v>628757</v>
      </c>
      <c r="E48" s="29" t="s">
        <v>329</v>
      </c>
      <c r="F48" s="29" t="s">
        <v>335</v>
      </c>
      <c r="G48" s="29"/>
    </row>
    <row r="49" spans="1:7" ht="24.95" customHeight="1" x14ac:dyDescent="0.25">
      <c r="A49" s="27"/>
      <c r="B49" s="38" t="s">
        <v>330</v>
      </c>
      <c r="C49" s="19" t="s">
        <v>228</v>
      </c>
      <c r="D49" s="29" t="s">
        <v>59</v>
      </c>
      <c r="E49" s="29" t="s">
        <v>331</v>
      </c>
      <c r="F49" s="29"/>
      <c r="G49" s="29"/>
    </row>
    <row r="50" spans="1:7" ht="24.95" customHeight="1" x14ac:dyDescent="0.25">
      <c r="A50" s="27"/>
      <c r="B50" s="17" t="s">
        <v>98</v>
      </c>
      <c r="C50" s="38" t="s">
        <v>101</v>
      </c>
      <c r="D50" s="17">
        <v>607870</v>
      </c>
      <c r="E50" s="29" t="s">
        <v>334</v>
      </c>
      <c r="F50" s="29" t="s">
        <v>335</v>
      </c>
      <c r="G50" s="29"/>
    </row>
    <row r="51" spans="1:7" ht="24.95" customHeight="1" x14ac:dyDescent="0.25">
      <c r="A51" s="27"/>
      <c r="B51" s="20" t="s">
        <v>42</v>
      </c>
      <c r="C51" s="34" t="s">
        <v>168</v>
      </c>
      <c r="D51" s="58" t="s">
        <v>59</v>
      </c>
      <c r="E51" s="37" t="s">
        <v>341</v>
      </c>
      <c r="F51" s="29" t="s">
        <v>346</v>
      </c>
      <c r="G51" s="29"/>
    </row>
    <row r="52" spans="1:7" ht="24.95" customHeight="1" x14ac:dyDescent="0.25">
      <c r="A52" s="27"/>
      <c r="B52" s="19" t="s">
        <v>116</v>
      </c>
      <c r="C52" s="37" t="s">
        <v>61</v>
      </c>
      <c r="D52" s="19">
        <v>629410</v>
      </c>
      <c r="E52" s="29" t="s">
        <v>342</v>
      </c>
      <c r="F52" s="29" t="s">
        <v>346</v>
      </c>
      <c r="G52" s="29"/>
    </row>
    <row r="53" spans="1:7" ht="24.95" customHeight="1" x14ac:dyDescent="0.25">
      <c r="A53" s="27"/>
      <c r="B53" s="42" t="s">
        <v>40</v>
      </c>
      <c r="C53" s="37" t="s">
        <v>124</v>
      </c>
      <c r="D53" s="20">
        <v>613928</v>
      </c>
      <c r="E53" s="18" t="s">
        <v>343</v>
      </c>
      <c r="F53" s="29" t="s">
        <v>346</v>
      </c>
      <c r="G53" s="29"/>
    </row>
    <row r="54" spans="1:7" ht="24.95" customHeight="1" x14ac:dyDescent="0.25">
      <c r="A54" s="27"/>
      <c r="B54" s="42" t="s">
        <v>40</v>
      </c>
      <c r="C54" s="38" t="s">
        <v>340</v>
      </c>
      <c r="D54" s="29">
        <v>43000230</v>
      </c>
      <c r="E54" s="29" t="s">
        <v>344</v>
      </c>
      <c r="F54" s="29" t="s">
        <v>348</v>
      </c>
      <c r="G54" s="29"/>
    </row>
    <row r="55" spans="1:7" ht="24.95" customHeight="1" x14ac:dyDescent="0.25">
      <c r="A55" s="27"/>
      <c r="B55" s="30" t="s">
        <v>106</v>
      </c>
      <c r="C55" s="19" t="s">
        <v>229</v>
      </c>
      <c r="D55" s="39" t="s">
        <v>32</v>
      </c>
      <c r="E55" s="29" t="s">
        <v>345</v>
      </c>
      <c r="F55" s="29"/>
      <c r="G55" s="29"/>
    </row>
    <row r="56" spans="1:7" ht="24.95" customHeight="1" x14ac:dyDescent="0.25">
      <c r="A56" s="27"/>
      <c r="B56" s="20" t="s">
        <v>349</v>
      </c>
      <c r="C56" s="20" t="s">
        <v>309</v>
      </c>
      <c r="D56" s="20">
        <v>621865</v>
      </c>
      <c r="E56" s="29" t="s">
        <v>350</v>
      </c>
      <c r="F56" s="29"/>
      <c r="G56" s="29"/>
    </row>
    <row r="57" spans="1:7" ht="24.95" customHeight="1" x14ac:dyDescent="0.25">
      <c r="A57" s="27"/>
      <c r="B57" s="19" t="s">
        <v>116</v>
      </c>
      <c r="C57" s="37" t="s">
        <v>61</v>
      </c>
      <c r="D57" s="19">
        <v>629410</v>
      </c>
      <c r="E57" s="29" t="s">
        <v>351</v>
      </c>
      <c r="F57" s="29" t="s">
        <v>399</v>
      </c>
      <c r="G57" s="29"/>
    </row>
    <row r="58" spans="1:7" ht="24.95" customHeight="1" x14ac:dyDescent="0.25">
      <c r="A58" s="27"/>
      <c r="B58" s="44" t="s">
        <v>17</v>
      </c>
      <c r="C58" s="44" t="s">
        <v>18</v>
      </c>
      <c r="D58" s="44">
        <v>604606</v>
      </c>
      <c r="E58" s="29" t="s">
        <v>352</v>
      </c>
      <c r="F58" s="29" t="s">
        <v>353</v>
      </c>
      <c r="G58" s="29"/>
    </row>
    <row r="59" spans="1:7" ht="24.95" customHeight="1" x14ac:dyDescent="0.25">
      <c r="A59" s="27"/>
      <c r="B59" s="19" t="s">
        <v>133</v>
      </c>
      <c r="C59" s="19">
        <v>86004369</v>
      </c>
      <c r="D59" s="19">
        <v>610096</v>
      </c>
      <c r="E59" s="29" t="s">
        <v>354</v>
      </c>
      <c r="F59" s="29" t="s">
        <v>355</v>
      </c>
      <c r="G59" s="29"/>
    </row>
    <row r="60" spans="1:7" ht="24.95" customHeight="1" x14ac:dyDescent="0.25">
      <c r="A60" s="27"/>
      <c r="B60" s="42" t="s">
        <v>38</v>
      </c>
      <c r="C60" s="43" t="s">
        <v>153</v>
      </c>
      <c r="D60" s="19">
        <v>601179</v>
      </c>
      <c r="E60" s="29" t="s">
        <v>356</v>
      </c>
      <c r="F60" s="29" t="s">
        <v>363</v>
      </c>
      <c r="G60" s="29"/>
    </row>
    <row r="61" spans="1:7" ht="24.95" customHeight="1" x14ac:dyDescent="0.25">
      <c r="A61" s="27"/>
      <c r="B61" s="19" t="s">
        <v>40</v>
      </c>
      <c r="C61" s="37" t="s">
        <v>357</v>
      </c>
      <c r="D61" s="19">
        <v>610551</v>
      </c>
      <c r="E61" s="29" t="s">
        <v>358</v>
      </c>
      <c r="F61" s="29" t="s">
        <v>363</v>
      </c>
      <c r="G61" s="29"/>
    </row>
    <row r="62" spans="1:7" ht="24.95" customHeight="1" x14ac:dyDescent="0.25">
      <c r="A62" s="27"/>
      <c r="B62" s="19" t="s">
        <v>81</v>
      </c>
      <c r="C62" s="37" t="s">
        <v>121</v>
      </c>
      <c r="D62" s="19">
        <v>603555</v>
      </c>
      <c r="E62" s="29" t="s">
        <v>361</v>
      </c>
      <c r="F62" s="29" t="s">
        <v>370</v>
      </c>
      <c r="G62" s="29"/>
    </row>
    <row r="63" spans="1:7" ht="24.95" customHeight="1" x14ac:dyDescent="0.25">
      <c r="A63" s="27"/>
      <c r="B63" s="19" t="s">
        <v>230</v>
      </c>
      <c r="C63" s="19" t="s">
        <v>189</v>
      </c>
      <c r="D63" s="19">
        <v>628872</v>
      </c>
      <c r="E63" s="59" t="s">
        <v>362</v>
      </c>
      <c r="F63" s="19"/>
      <c r="G63" s="19"/>
    </row>
    <row r="64" spans="1:7" ht="24.95" customHeight="1" x14ac:dyDescent="0.25">
      <c r="A64" s="27"/>
      <c r="B64" s="19" t="s">
        <v>40</v>
      </c>
      <c r="C64" s="19" t="s">
        <v>143</v>
      </c>
      <c r="D64" s="19">
        <v>43000237</v>
      </c>
      <c r="E64" s="29" t="s">
        <v>364</v>
      </c>
      <c r="F64" s="29" t="s">
        <v>374</v>
      </c>
      <c r="G64" s="29"/>
    </row>
    <row r="65" spans="1:7" ht="24.95" customHeight="1" x14ac:dyDescent="0.25">
      <c r="A65" s="27"/>
      <c r="B65" s="19" t="s">
        <v>231</v>
      </c>
      <c r="C65" s="19" t="s">
        <v>232</v>
      </c>
      <c r="D65" s="19">
        <v>43000611</v>
      </c>
      <c r="E65" s="29" t="s">
        <v>365</v>
      </c>
      <c r="F65" s="29" t="s">
        <v>335</v>
      </c>
      <c r="G65" s="29"/>
    </row>
    <row r="66" spans="1:7" ht="24.95" customHeight="1" x14ac:dyDescent="0.25">
      <c r="A66" s="27"/>
      <c r="B66" s="19" t="s">
        <v>241</v>
      </c>
      <c r="C66" s="19">
        <v>77141502846</v>
      </c>
      <c r="D66" s="19">
        <v>606443</v>
      </c>
      <c r="E66" s="29" t="s">
        <v>366</v>
      </c>
      <c r="F66" s="29" t="s">
        <v>381</v>
      </c>
      <c r="G66" s="29"/>
    </row>
    <row r="67" spans="1:7" ht="24.95" customHeight="1" x14ac:dyDescent="0.25">
      <c r="A67" s="27"/>
      <c r="B67" s="19" t="s">
        <v>163</v>
      </c>
      <c r="C67" s="19" t="s">
        <v>310</v>
      </c>
      <c r="D67" s="19">
        <v>612105</v>
      </c>
      <c r="E67" s="29" t="s">
        <v>367</v>
      </c>
      <c r="F67" s="29" t="s">
        <v>381</v>
      </c>
      <c r="G67" s="29"/>
    </row>
    <row r="68" spans="1:7" ht="24.95" customHeight="1" x14ac:dyDescent="0.25">
      <c r="A68" s="27"/>
      <c r="B68" s="19" t="s">
        <v>158</v>
      </c>
      <c r="C68" s="19" t="s">
        <v>157</v>
      </c>
      <c r="D68" s="19">
        <v>610658</v>
      </c>
      <c r="E68" s="29" t="s">
        <v>375</v>
      </c>
      <c r="F68" s="29" t="s">
        <v>383</v>
      </c>
      <c r="G68" s="29"/>
    </row>
    <row r="69" spans="1:7" ht="24.95" customHeight="1" x14ac:dyDescent="0.25">
      <c r="A69" s="27"/>
      <c r="B69" s="19" t="s">
        <v>376</v>
      </c>
      <c r="C69" s="19"/>
      <c r="D69" s="19">
        <v>629911</v>
      </c>
      <c r="E69" s="29" t="s">
        <v>377</v>
      </c>
      <c r="F69" s="29" t="s">
        <v>388</v>
      </c>
      <c r="G69" s="29"/>
    </row>
    <row r="70" spans="1:7" ht="24.95" customHeight="1" x14ac:dyDescent="0.25">
      <c r="A70" s="27"/>
      <c r="B70" s="19" t="s">
        <v>256</v>
      </c>
      <c r="C70" s="19" t="s">
        <v>257</v>
      </c>
      <c r="D70" s="19">
        <v>620834</v>
      </c>
      <c r="E70" s="29" t="s">
        <v>378</v>
      </c>
      <c r="F70" s="29" t="s">
        <v>380</v>
      </c>
      <c r="G70" s="29"/>
    </row>
    <row r="71" spans="1:7" ht="24.95" customHeight="1" x14ac:dyDescent="0.25">
      <c r="A71" s="27"/>
      <c r="B71" s="19" t="s">
        <v>40</v>
      </c>
      <c r="C71" s="37" t="s">
        <v>118</v>
      </c>
      <c r="D71" s="19">
        <v>604329</v>
      </c>
      <c r="E71" s="29" t="s">
        <v>379</v>
      </c>
      <c r="F71" s="29" t="s">
        <v>380</v>
      </c>
      <c r="G71" s="29"/>
    </row>
    <row r="72" spans="1:7" ht="24.95" customHeight="1" x14ac:dyDescent="0.25">
      <c r="A72" s="27"/>
      <c r="B72" s="19" t="s">
        <v>81</v>
      </c>
      <c r="C72" s="37" t="s">
        <v>156</v>
      </c>
      <c r="D72" s="19">
        <v>606361</v>
      </c>
      <c r="E72" s="29" t="s">
        <v>379</v>
      </c>
      <c r="F72" s="29" t="s">
        <v>380</v>
      </c>
      <c r="G72" s="29"/>
    </row>
    <row r="73" spans="1:7" ht="24.95" customHeight="1" x14ac:dyDescent="0.25">
      <c r="A73" s="27"/>
      <c r="B73" s="19" t="s">
        <v>76</v>
      </c>
      <c r="C73" s="19" t="s">
        <v>171</v>
      </c>
      <c r="D73" s="19">
        <v>43000256</v>
      </c>
      <c r="E73" s="29" t="s">
        <v>382</v>
      </c>
      <c r="F73" s="29" t="s">
        <v>383</v>
      </c>
      <c r="G73" s="29"/>
    </row>
    <row r="74" spans="1:7" ht="24.95" customHeight="1" x14ac:dyDescent="0.25">
      <c r="A74" s="27"/>
      <c r="B74" s="19" t="s">
        <v>44</v>
      </c>
      <c r="C74" s="19" t="s">
        <v>45</v>
      </c>
      <c r="D74" s="19">
        <v>620377</v>
      </c>
      <c r="E74" s="29" t="s">
        <v>384</v>
      </c>
      <c r="F74" s="29" t="s">
        <v>400</v>
      </c>
      <c r="G74" s="29"/>
    </row>
    <row r="75" spans="1:7" ht="24.95" customHeight="1" x14ac:dyDescent="0.25">
      <c r="A75" s="27"/>
      <c r="B75" s="19" t="s">
        <v>148</v>
      </c>
      <c r="C75" s="19" t="s">
        <v>63</v>
      </c>
      <c r="D75" s="19">
        <v>613502</v>
      </c>
      <c r="E75" s="29" t="s">
        <v>385</v>
      </c>
      <c r="F75" s="29" t="s">
        <v>398</v>
      </c>
      <c r="G75" s="29"/>
    </row>
    <row r="76" spans="1:7" ht="24.95" customHeight="1" x14ac:dyDescent="0.25">
      <c r="A76" s="27"/>
      <c r="B76" s="19" t="s">
        <v>275</v>
      </c>
      <c r="C76" s="19" t="s">
        <v>110</v>
      </c>
      <c r="D76" s="19">
        <v>610448</v>
      </c>
      <c r="E76" s="29" t="s">
        <v>386</v>
      </c>
      <c r="F76" s="29" t="s">
        <v>394</v>
      </c>
      <c r="G76" s="29"/>
    </row>
    <row r="77" spans="1:7" ht="24.95" customHeight="1" x14ac:dyDescent="0.25">
      <c r="A77" s="27"/>
      <c r="B77" s="19" t="s">
        <v>84</v>
      </c>
      <c r="C77" s="19"/>
      <c r="D77" s="19">
        <v>623352</v>
      </c>
      <c r="E77" s="29" t="s">
        <v>387</v>
      </c>
      <c r="F77" s="29" t="s">
        <v>394</v>
      </c>
      <c r="G77" s="29"/>
    </row>
    <row r="78" spans="1:7" ht="24.95" customHeight="1" x14ac:dyDescent="0.25">
      <c r="A78" s="27"/>
      <c r="B78" s="42" t="s">
        <v>38</v>
      </c>
      <c r="C78" s="37" t="s">
        <v>238</v>
      </c>
      <c r="D78" s="19">
        <v>603789</v>
      </c>
      <c r="E78" s="29" t="s">
        <v>389</v>
      </c>
      <c r="F78" s="29" t="s">
        <v>397</v>
      </c>
      <c r="G78" s="29"/>
    </row>
    <row r="79" spans="1:7" ht="24.95" customHeight="1" x14ac:dyDescent="0.25">
      <c r="A79" s="37"/>
      <c r="B79" s="42" t="s">
        <v>74</v>
      </c>
      <c r="C79" s="20" t="s">
        <v>73</v>
      </c>
      <c r="D79" s="20">
        <v>612686</v>
      </c>
      <c r="E79" s="29" t="s">
        <v>390</v>
      </c>
      <c r="F79" s="29" t="s">
        <v>400</v>
      </c>
      <c r="G79" s="29"/>
    </row>
    <row r="80" spans="1:7" ht="24.95" customHeight="1" x14ac:dyDescent="0.25">
      <c r="A80" s="37"/>
      <c r="B80" s="19" t="s">
        <v>81</v>
      </c>
      <c r="C80" s="37" t="s">
        <v>129</v>
      </c>
      <c r="D80" s="19">
        <v>607684</v>
      </c>
      <c r="E80" s="29" t="s">
        <v>391</v>
      </c>
      <c r="F80" s="29" t="s">
        <v>397</v>
      </c>
      <c r="G80" s="29"/>
    </row>
    <row r="81" spans="1:7" ht="24.95" customHeight="1" x14ac:dyDescent="0.25">
      <c r="A81" s="37"/>
      <c r="B81" s="19" t="s">
        <v>179</v>
      </c>
      <c r="C81" s="19" t="s">
        <v>183</v>
      </c>
      <c r="D81" s="19">
        <v>628671</v>
      </c>
      <c r="E81" s="29" t="s">
        <v>395</v>
      </c>
      <c r="F81" s="29" t="s">
        <v>400</v>
      </c>
      <c r="G81" s="29"/>
    </row>
    <row r="82" spans="1:7" ht="24.95" customHeight="1" x14ac:dyDescent="0.25">
      <c r="A82" s="27"/>
      <c r="B82" s="19" t="s">
        <v>81</v>
      </c>
      <c r="C82" s="37" t="s">
        <v>156</v>
      </c>
      <c r="D82" s="19">
        <v>606361</v>
      </c>
      <c r="E82" s="29" t="s">
        <v>403</v>
      </c>
      <c r="F82" s="29" t="s">
        <v>380</v>
      </c>
      <c r="G82" s="29"/>
    </row>
    <row r="83" spans="1:7" ht="24.95" customHeight="1" x14ac:dyDescent="0.25">
      <c r="A83" s="37"/>
      <c r="B83" s="20" t="s">
        <v>81</v>
      </c>
      <c r="C83" s="37" t="s">
        <v>136</v>
      </c>
      <c r="D83" s="19">
        <v>605438</v>
      </c>
      <c r="E83" s="37" t="s">
        <v>404</v>
      </c>
      <c r="F83" s="29" t="s">
        <v>405</v>
      </c>
      <c r="G83" s="29"/>
    </row>
    <row r="84" spans="1:7" ht="24.95" customHeight="1" x14ac:dyDescent="0.25">
      <c r="A84" s="37"/>
      <c r="B84" s="20" t="s">
        <v>40</v>
      </c>
      <c r="C84" s="37" t="s">
        <v>142</v>
      </c>
      <c r="D84" s="37" t="s">
        <v>406</v>
      </c>
      <c r="E84" s="37" t="s">
        <v>407</v>
      </c>
      <c r="F84" s="29" t="s">
        <v>408</v>
      </c>
      <c r="G84" s="29"/>
    </row>
    <row r="85" spans="1:7" ht="24.95" customHeight="1" x14ac:dyDescent="0.25">
      <c r="A85" s="37"/>
      <c r="B85" s="20" t="s">
        <v>56</v>
      </c>
      <c r="C85" s="20" t="s">
        <v>57</v>
      </c>
      <c r="D85" s="20">
        <v>605837</v>
      </c>
      <c r="E85" s="37" t="s">
        <v>410</v>
      </c>
      <c r="F85" s="29" t="s">
        <v>413</v>
      </c>
      <c r="G85" s="29"/>
    </row>
    <row r="86" spans="1:7" ht="24.95" customHeight="1" x14ac:dyDescent="0.25">
      <c r="A86" s="37"/>
      <c r="B86" s="20" t="s">
        <v>81</v>
      </c>
      <c r="C86" s="20" t="s">
        <v>281</v>
      </c>
      <c r="D86" s="19">
        <v>606520</v>
      </c>
      <c r="E86" s="37" t="s">
        <v>412</v>
      </c>
      <c r="F86" s="29" t="s">
        <v>413</v>
      </c>
      <c r="G86" s="29"/>
    </row>
    <row r="87" spans="1:7" ht="24.95" customHeight="1" x14ac:dyDescent="0.25">
      <c r="A87" s="37"/>
      <c r="B87" s="42" t="s">
        <v>40</v>
      </c>
      <c r="C87" s="37" t="s">
        <v>130</v>
      </c>
      <c r="D87" s="19">
        <v>609578</v>
      </c>
      <c r="E87" s="37" t="s">
        <v>411</v>
      </c>
      <c r="F87" s="29" t="s">
        <v>413</v>
      </c>
      <c r="G87" s="29"/>
    </row>
    <row r="88" spans="1:7" ht="24.95" customHeight="1" x14ac:dyDescent="0.25">
      <c r="A88" s="37"/>
      <c r="B88" s="19" t="s">
        <v>40</v>
      </c>
      <c r="C88" s="37" t="s">
        <v>280</v>
      </c>
      <c r="D88" s="19">
        <v>603301</v>
      </c>
      <c r="E88" s="37" t="s">
        <v>414</v>
      </c>
      <c r="F88" s="29" t="s">
        <v>424</v>
      </c>
      <c r="G88" s="29"/>
    </row>
    <row r="89" spans="1:7" ht="24.95" customHeight="1" x14ac:dyDescent="0.25">
      <c r="A89" s="37"/>
      <c r="B89" s="19" t="s">
        <v>315</v>
      </c>
      <c r="C89" s="37" t="s">
        <v>279</v>
      </c>
      <c r="D89" s="19">
        <v>607710</v>
      </c>
      <c r="E89" s="37" t="s">
        <v>414</v>
      </c>
      <c r="F89" s="29" t="s">
        <v>424</v>
      </c>
      <c r="G89" s="29"/>
    </row>
    <row r="90" spans="1:7" ht="24.95" customHeight="1" x14ac:dyDescent="0.25">
      <c r="A90" s="37"/>
      <c r="B90" s="20" t="s">
        <v>138</v>
      </c>
      <c r="C90" s="19" t="s">
        <v>55</v>
      </c>
      <c r="D90" s="19">
        <v>603256</v>
      </c>
      <c r="E90" s="37" t="s">
        <v>416</v>
      </c>
      <c r="F90" s="29" t="s">
        <v>427</v>
      </c>
      <c r="G90" s="29"/>
    </row>
    <row r="91" spans="1:7" ht="24.95" customHeight="1" x14ac:dyDescent="0.25">
      <c r="A91" s="37"/>
      <c r="B91" s="37" t="s">
        <v>146</v>
      </c>
      <c r="C91" s="37" t="s">
        <v>418</v>
      </c>
      <c r="D91" s="37">
        <v>606737</v>
      </c>
      <c r="E91" s="37" t="s">
        <v>421</v>
      </c>
      <c r="F91" s="37"/>
      <c r="G91" s="37"/>
    </row>
    <row r="92" spans="1:7" ht="24.95" customHeight="1" x14ac:dyDescent="0.25">
      <c r="A92" s="37"/>
      <c r="B92" s="37" t="s">
        <v>417</v>
      </c>
      <c r="C92" s="37">
        <v>55034848</v>
      </c>
      <c r="D92" s="37">
        <v>607358</v>
      </c>
      <c r="E92" s="37" t="s">
        <v>422</v>
      </c>
      <c r="F92" s="37" t="s">
        <v>470</v>
      </c>
      <c r="G92" s="37"/>
    </row>
    <row r="93" spans="1:7" ht="24.95" customHeight="1" x14ac:dyDescent="0.25">
      <c r="A93" s="37"/>
      <c r="B93" s="37" t="s">
        <v>419</v>
      </c>
      <c r="C93" s="37">
        <v>52140201359</v>
      </c>
      <c r="D93" s="37" t="s">
        <v>12</v>
      </c>
      <c r="E93" s="37" t="s">
        <v>420</v>
      </c>
      <c r="F93" s="37" t="s">
        <v>470</v>
      </c>
      <c r="G93" s="37"/>
    </row>
    <row r="94" spans="1:7" ht="24.95" customHeight="1" x14ac:dyDescent="0.25">
      <c r="A94" s="37"/>
      <c r="B94" s="37" t="s">
        <v>37</v>
      </c>
      <c r="C94" s="37" t="s">
        <v>190</v>
      </c>
      <c r="D94" s="37" t="s">
        <v>425</v>
      </c>
      <c r="E94" s="37" t="s">
        <v>426</v>
      </c>
      <c r="F94" s="29" t="s">
        <v>441</v>
      </c>
      <c r="G94" s="29"/>
    </row>
    <row r="95" spans="1:7" ht="24.95" customHeight="1" x14ac:dyDescent="0.25">
      <c r="A95" s="37"/>
      <c r="B95" s="20" t="s">
        <v>161</v>
      </c>
      <c r="C95" s="37" t="s">
        <v>41</v>
      </c>
      <c r="D95" s="37" t="s">
        <v>435</v>
      </c>
      <c r="E95" s="18" t="s">
        <v>436</v>
      </c>
      <c r="F95" s="18"/>
      <c r="G95" s="18"/>
    </row>
    <row r="96" spans="1:7" ht="24.95" customHeight="1" x14ac:dyDescent="0.25">
      <c r="A96" s="37"/>
      <c r="B96" s="20" t="s">
        <v>38</v>
      </c>
      <c r="C96" s="37" t="s">
        <v>104</v>
      </c>
      <c r="D96" s="37" t="s">
        <v>437</v>
      </c>
      <c r="E96" s="37" t="s">
        <v>438</v>
      </c>
      <c r="F96" s="29" t="s">
        <v>443</v>
      </c>
      <c r="G96" s="29"/>
    </row>
    <row r="97" spans="1:7" ht="24.95" customHeight="1" x14ac:dyDescent="0.25">
      <c r="A97" s="37"/>
      <c r="B97" s="20" t="s">
        <v>81</v>
      </c>
      <c r="C97" s="41">
        <v>722011109029933</v>
      </c>
      <c r="D97" s="37" t="s">
        <v>439</v>
      </c>
      <c r="E97" s="18" t="s">
        <v>440</v>
      </c>
      <c r="F97" s="29" t="s">
        <v>443</v>
      </c>
      <c r="G97" s="29"/>
    </row>
    <row r="98" spans="1:7" ht="24.95" customHeight="1" x14ac:dyDescent="0.25">
      <c r="A98" s="37"/>
      <c r="B98" s="37" t="s">
        <v>233</v>
      </c>
      <c r="C98" s="37" t="s">
        <v>234</v>
      </c>
      <c r="D98" s="37">
        <v>626436</v>
      </c>
      <c r="E98" s="37" t="s">
        <v>442</v>
      </c>
      <c r="F98" s="37" t="s">
        <v>448</v>
      </c>
      <c r="G98" s="37"/>
    </row>
    <row r="99" spans="1:7" ht="24.95" customHeight="1" x14ac:dyDescent="0.25">
      <c r="A99" s="37"/>
      <c r="B99" s="37" t="s">
        <v>40</v>
      </c>
      <c r="C99" s="37" t="s">
        <v>156</v>
      </c>
      <c r="D99" s="37" t="s">
        <v>444</v>
      </c>
      <c r="E99" s="37" t="s">
        <v>445</v>
      </c>
      <c r="F99" s="29" t="s">
        <v>452</v>
      </c>
      <c r="G99" s="29"/>
    </row>
    <row r="100" spans="1:7" ht="24.95" customHeight="1" x14ac:dyDescent="0.25">
      <c r="A100" s="37"/>
      <c r="B100" s="20" t="s">
        <v>38</v>
      </c>
      <c r="C100" s="37" t="s">
        <v>105</v>
      </c>
      <c r="D100" s="37" t="s">
        <v>446</v>
      </c>
      <c r="E100" s="37" t="s">
        <v>447</v>
      </c>
      <c r="F100" s="29" t="s">
        <v>452</v>
      </c>
      <c r="G100" s="29"/>
    </row>
    <row r="101" spans="1:7" ht="24.95" customHeight="1" x14ac:dyDescent="0.25">
      <c r="A101" s="37"/>
      <c r="B101" s="20" t="s">
        <v>71</v>
      </c>
      <c r="C101" s="46" t="s">
        <v>169</v>
      </c>
      <c r="D101" s="19">
        <v>612411</v>
      </c>
      <c r="E101" s="37" t="s">
        <v>449</v>
      </c>
      <c r="F101" s="29" t="s">
        <v>457</v>
      </c>
      <c r="G101" s="29"/>
    </row>
    <row r="102" spans="1:7" ht="24.95" customHeight="1" x14ac:dyDescent="0.25">
      <c r="A102" s="37"/>
      <c r="B102" s="20" t="s">
        <v>64</v>
      </c>
      <c r="C102" s="20" t="s">
        <v>134</v>
      </c>
      <c r="D102" s="19">
        <v>605405</v>
      </c>
      <c r="E102" s="37" t="s">
        <v>453</v>
      </c>
      <c r="F102" s="29" t="s">
        <v>454</v>
      </c>
      <c r="G102" s="29"/>
    </row>
    <row r="103" spans="1:7" ht="24.95" customHeight="1" x14ac:dyDescent="0.25">
      <c r="A103" s="37"/>
      <c r="B103" s="20" t="s">
        <v>240</v>
      </c>
      <c r="C103" s="37" t="s">
        <v>455</v>
      </c>
      <c r="D103" s="20">
        <v>613612</v>
      </c>
      <c r="E103" s="37" t="s">
        <v>456</v>
      </c>
      <c r="F103" s="37"/>
      <c r="G103" s="37"/>
    </row>
    <row r="104" spans="1:7" ht="24.95" customHeight="1" x14ac:dyDescent="0.25">
      <c r="A104" s="20"/>
      <c r="B104" s="20" t="s">
        <v>37</v>
      </c>
      <c r="C104" s="19" t="s">
        <v>190</v>
      </c>
      <c r="D104" s="52">
        <v>618718</v>
      </c>
      <c r="E104" s="20" t="s">
        <v>458</v>
      </c>
      <c r="F104" s="29" t="s">
        <v>466</v>
      </c>
      <c r="G104" s="29"/>
    </row>
    <row r="105" spans="1:7" ht="24.95" customHeight="1" x14ac:dyDescent="0.25">
      <c r="A105" s="20"/>
      <c r="B105" s="30" t="s">
        <v>49</v>
      </c>
      <c r="C105" s="30" t="s">
        <v>50</v>
      </c>
      <c r="D105" s="30">
        <v>600148</v>
      </c>
      <c r="E105" s="20" t="s">
        <v>459</v>
      </c>
      <c r="F105" s="29" t="s">
        <v>466</v>
      </c>
      <c r="G105" s="29"/>
    </row>
    <row r="106" spans="1:7" ht="24.95" customHeight="1" x14ac:dyDescent="0.25">
      <c r="A106" s="20"/>
      <c r="B106" s="20" t="s">
        <v>31</v>
      </c>
      <c r="C106" s="19">
        <v>55034848</v>
      </c>
      <c r="D106" s="19">
        <v>607358</v>
      </c>
      <c r="E106" s="20" t="s">
        <v>460</v>
      </c>
      <c r="F106" s="29" t="s">
        <v>466</v>
      </c>
      <c r="G106" s="29"/>
    </row>
    <row r="107" spans="1:7" ht="24.95" customHeight="1" x14ac:dyDescent="0.25">
      <c r="A107" s="20"/>
      <c r="B107" s="19" t="s">
        <v>65</v>
      </c>
      <c r="C107" s="37" t="s">
        <v>144</v>
      </c>
      <c r="D107" s="19">
        <v>611795</v>
      </c>
      <c r="E107" s="20" t="s">
        <v>461</v>
      </c>
      <c r="F107" s="29" t="s">
        <v>466</v>
      </c>
      <c r="G107" s="29"/>
    </row>
    <row r="108" spans="1:7" ht="24.95" customHeight="1" x14ac:dyDescent="0.25">
      <c r="A108" s="20"/>
      <c r="B108" s="20" t="s">
        <v>38</v>
      </c>
      <c r="C108" s="20" t="s">
        <v>155</v>
      </c>
      <c r="D108" s="19">
        <v>605818</v>
      </c>
      <c r="E108" s="20" t="s">
        <v>191</v>
      </c>
      <c r="F108" s="29" t="s">
        <v>468</v>
      </c>
      <c r="G108" s="29"/>
    </row>
    <row r="109" spans="1:7" ht="24.95" customHeight="1" x14ac:dyDescent="0.25">
      <c r="A109" s="20"/>
      <c r="B109" s="20" t="s">
        <v>338</v>
      </c>
      <c r="C109" s="20" t="s">
        <v>337</v>
      </c>
      <c r="D109" s="20">
        <v>630672</v>
      </c>
      <c r="E109" s="30" t="s">
        <v>333</v>
      </c>
      <c r="F109" s="29" t="s">
        <v>476</v>
      </c>
      <c r="G109" s="29"/>
    </row>
    <row r="110" spans="1:7" ht="24.95" customHeight="1" x14ac:dyDescent="0.25">
      <c r="A110" s="20"/>
      <c r="B110" s="20" t="s">
        <v>44</v>
      </c>
      <c r="C110" s="20" t="s">
        <v>45</v>
      </c>
      <c r="D110" s="20">
        <v>620377</v>
      </c>
      <c r="E110" s="20" t="s">
        <v>191</v>
      </c>
      <c r="F110" s="29" t="s">
        <v>472</v>
      </c>
      <c r="G110" s="29"/>
    </row>
    <row r="111" spans="1:7" ht="24.95" customHeight="1" x14ac:dyDescent="0.25">
      <c r="A111" s="20"/>
      <c r="B111" s="20" t="s">
        <v>53</v>
      </c>
      <c r="C111" s="20" t="s">
        <v>54</v>
      </c>
      <c r="D111" s="18">
        <v>615555</v>
      </c>
      <c r="E111" s="20" t="s">
        <v>473</v>
      </c>
      <c r="F111" s="29" t="s">
        <v>474</v>
      </c>
      <c r="G111" s="29"/>
    </row>
    <row r="112" spans="1:7" ht="24.95" customHeight="1" x14ac:dyDescent="0.25">
      <c r="A112" s="20"/>
      <c r="B112" s="20" t="s">
        <v>336</v>
      </c>
      <c r="C112" s="20"/>
      <c r="D112" s="20">
        <v>623660</v>
      </c>
      <c r="E112" s="20" t="s">
        <v>475</v>
      </c>
      <c r="F112" s="20"/>
      <c r="G112" s="20"/>
    </row>
    <row r="113" spans="1:7" ht="24.95" customHeight="1" x14ac:dyDescent="0.25">
      <c r="A113" s="20"/>
      <c r="B113" s="20" t="s">
        <v>401</v>
      </c>
      <c r="C113" s="20" t="s">
        <v>402</v>
      </c>
      <c r="D113" s="20">
        <v>605849</v>
      </c>
      <c r="E113" s="20" t="s">
        <v>484</v>
      </c>
      <c r="F113" s="20" t="s">
        <v>485</v>
      </c>
      <c r="G113" s="20"/>
    </row>
    <row r="114" spans="1:7" ht="24.95" customHeight="1" x14ac:dyDescent="0.25">
      <c r="A114" s="20"/>
      <c r="B114" s="20" t="s">
        <v>479</v>
      </c>
      <c r="C114" s="20" t="s">
        <v>36</v>
      </c>
      <c r="D114" s="20">
        <v>602958</v>
      </c>
      <c r="E114" s="20" t="s">
        <v>480</v>
      </c>
      <c r="F114" s="20" t="s">
        <v>487</v>
      </c>
      <c r="G114" s="20"/>
    </row>
    <row r="115" spans="1:7" ht="24.95" customHeight="1" x14ac:dyDescent="0.25">
      <c r="A115" s="20"/>
      <c r="B115" s="20" t="s">
        <v>81</v>
      </c>
      <c r="C115" s="20" t="s">
        <v>141</v>
      </c>
      <c r="D115" s="20">
        <v>603253</v>
      </c>
      <c r="E115" s="20" t="s">
        <v>481</v>
      </c>
      <c r="F115" s="20" t="s">
        <v>485</v>
      </c>
      <c r="G115" s="20"/>
    </row>
    <row r="116" spans="1:7" ht="24.95" customHeight="1" x14ac:dyDescent="0.25">
      <c r="A116" s="20"/>
      <c r="B116" s="20" t="s">
        <v>482</v>
      </c>
      <c r="C116" s="20" t="s">
        <v>170</v>
      </c>
      <c r="D116" s="20" t="s">
        <v>59</v>
      </c>
      <c r="E116" s="20" t="s">
        <v>483</v>
      </c>
      <c r="F116" s="20" t="s">
        <v>485</v>
      </c>
      <c r="G116" s="20"/>
    </row>
    <row r="117" spans="1:7" ht="24.95" customHeight="1" x14ac:dyDescent="0.25">
      <c r="A117" s="20"/>
      <c r="B117" s="60" t="s">
        <v>393</v>
      </c>
      <c r="C117" s="20" t="s">
        <v>392</v>
      </c>
      <c r="D117" s="60">
        <v>623352</v>
      </c>
      <c r="E117" s="20" t="s">
        <v>486</v>
      </c>
      <c r="F117" s="20"/>
      <c r="G117" s="20"/>
    </row>
    <row r="118" spans="1:7" ht="24.95" customHeight="1" x14ac:dyDescent="0.25">
      <c r="A118" s="20"/>
      <c r="B118" s="20" t="s">
        <v>81</v>
      </c>
      <c r="C118" s="19" t="s">
        <v>60</v>
      </c>
      <c r="D118" s="20">
        <v>605848</v>
      </c>
      <c r="E118" s="20" t="s">
        <v>488</v>
      </c>
      <c r="F118" s="20" t="s">
        <v>497</v>
      </c>
      <c r="G118" s="20"/>
    </row>
    <row r="119" spans="1:7" ht="24.95" customHeight="1" x14ac:dyDescent="0.25">
      <c r="A119" s="20"/>
      <c r="B119" s="20" t="s">
        <v>339</v>
      </c>
      <c r="C119" s="20" t="s">
        <v>396</v>
      </c>
      <c r="D119" s="20">
        <v>631870</v>
      </c>
      <c r="E119" s="20" t="s">
        <v>489</v>
      </c>
      <c r="F119" s="20" t="s">
        <v>496</v>
      </c>
      <c r="G119" s="20"/>
    </row>
    <row r="120" spans="1:7" ht="24.95" customHeight="1" x14ac:dyDescent="0.25">
      <c r="A120" s="20"/>
      <c r="B120" s="20" t="s">
        <v>185</v>
      </c>
      <c r="C120" s="19" t="s">
        <v>184</v>
      </c>
      <c r="D120" s="20">
        <v>633786</v>
      </c>
      <c r="E120" s="20" t="s">
        <v>489</v>
      </c>
      <c r="F120" s="20" t="s">
        <v>496</v>
      </c>
      <c r="G120" s="20"/>
    </row>
    <row r="121" spans="1:7" ht="24.95" customHeight="1" x14ac:dyDescent="0.25">
      <c r="A121" s="20"/>
      <c r="B121" s="20" t="s">
        <v>176</v>
      </c>
      <c r="C121" s="20" t="s">
        <v>177</v>
      </c>
      <c r="D121" s="20">
        <v>628297</v>
      </c>
      <c r="E121" s="20" t="s">
        <v>489</v>
      </c>
      <c r="F121" s="20" t="s">
        <v>448</v>
      </c>
      <c r="G121" s="20"/>
    </row>
    <row r="122" spans="1:7" ht="24.95" customHeight="1" x14ac:dyDescent="0.25">
      <c r="A122" s="20"/>
      <c r="B122" s="20" t="s">
        <v>490</v>
      </c>
      <c r="C122" s="20"/>
      <c r="D122" s="20">
        <v>605837</v>
      </c>
      <c r="E122" s="20" t="s">
        <v>493</v>
      </c>
      <c r="F122" s="20" t="s">
        <v>497</v>
      </c>
      <c r="G122" s="20"/>
    </row>
    <row r="123" spans="1:7" ht="24.95" customHeight="1" x14ac:dyDescent="0.25">
      <c r="A123" s="20"/>
      <c r="B123" s="20" t="s">
        <v>491</v>
      </c>
      <c r="C123" s="20"/>
      <c r="D123" s="20">
        <v>620376</v>
      </c>
      <c r="E123" s="20" t="s">
        <v>494</v>
      </c>
      <c r="F123" s="20" t="s">
        <v>497</v>
      </c>
      <c r="G123" s="20"/>
    </row>
    <row r="124" spans="1:7" ht="24.95" customHeight="1" x14ac:dyDescent="0.25">
      <c r="A124" s="20"/>
      <c r="B124" s="20" t="s">
        <v>492</v>
      </c>
      <c r="C124" s="20"/>
      <c r="D124" s="20">
        <v>632355</v>
      </c>
      <c r="E124" s="20" t="s">
        <v>495</v>
      </c>
      <c r="F124" s="20" t="s">
        <v>496</v>
      </c>
      <c r="G124" s="20"/>
    </row>
    <row r="125" spans="1:7" ht="24.95" customHeight="1" x14ac:dyDescent="0.25">
      <c r="A125" s="20"/>
      <c r="B125" s="42" t="s">
        <v>40</v>
      </c>
      <c r="C125" s="34" t="s">
        <v>258</v>
      </c>
      <c r="D125" s="19">
        <v>622491</v>
      </c>
      <c r="E125" s="20" t="s">
        <v>498</v>
      </c>
      <c r="F125" s="20" t="s">
        <v>501</v>
      </c>
      <c r="G125" s="20"/>
    </row>
    <row r="126" spans="1:7" ht="24.95" customHeight="1" x14ac:dyDescent="0.25">
      <c r="A126" s="20"/>
      <c r="B126" s="20" t="s">
        <v>98</v>
      </c>
      <c r="C126" s="19" t="s">
        <v>145</v>
      </c>
      <c r="D126" s="19">
        <v>634093</v>
      </c>
      <c r="E126" s="20" t="s">
        <v>499</v>
      </c>
      <c r="F126" s="20" t="s">
        <v>501</v>
      </c>
      <c r="G126" s="20"/>
    </row>
    <row r="127" spans="1:7" ht="24.95" customHeight="1" x14ac:dyDescent="0.25">
      <c r="A127" s="20"/>
      <c r="B127" s="20" t="s">
        <v>500</v>
      </c>
      <c r="C127" s="20"/>
      <c r="D127" s="19">
        <v>633647</v>
      </c>
      <c r="E127" s="20" t="s">
        <v>524</v>
      </c>
      <c r="F127" s="42" t="s">
        <v>522</v>
      </c>
      <c r="G127" s="42"/>
    </row>
    <row r="128" spans="1:7" ht="24.95" customHeight="1" x14ac:dyDescent="0.25">
      <c r="A128" s="20"/>
      <c r="B128" s="20" t="s">
        <v>38</v>
      </c>
      <c r="C128" s="37" t="s">
        <v>122</v>
      </c>
      <c r="D128" s="52">
        <v>613925</v>
      </c>
      <c r="E128" s="20" t="s">
        <v>502</v>
      </c>
      <c r="F128" s="20" t="s">
        <v>509</v>
      </c>
      <c r="G128" s="20"/>
    </row>
    <row r="129" spans="1:7" ht="24.95" customHeight="1" x14ac:dyDescent="0.25">
      <c r="A129" s="42"/>
      <c r="B129" s="42" t="s">
        <v>85</v>
      </c>
      <c r="C129" s="42"/>
      <c r="D129" s="42">
        <v>618450</v>
      </c>
      <c r="E129" s="42" t="s">
        <v>503</v>
      </c>
      <c r="F129" s="20" t="s">
        <v>509</v>
      </c>
      <c r="G129" s="20"/>
    </row>
    <row r="130" spans="1:7" ht="24.95" customHeight="1" x14ac:dyDescent="0.25">
      <c r="A130" s="42"/>
      <c r="B130" s="20" t="s">
        <v>415</v>
      </c>
      <c r="C130" s="42"/>
      <c r="D130" s="42">
        <v>631932</v>
      </c>
      <c r="E130" s="42" t="s">
        <v>504</v>
      </c>
      <c r="F130" s="63" t="s">
        <v>476</v>
      </c>
      <c r="G130" s="63"/>
    </row>
    <row r="131" spans="1:7" ht="24.95" customHeight="1" x14ac:dyDescent="0.25">
      <c r="A131" s="42"/>
      <c r="B131" s="20" t="s">
        <v>372</v>
      </c>
      <c r="C131" s="46" t="s">
        <v>371</v>
      </c>
      <c r="D131" s="19">
        <v>631505</v>
      </c>
      <c r="E131" s="42" t="s">
        <v>505</v>
      </c>
      <c r="F131" s="20" t="s">
        <v>507</v>
      </c>
      <c r="G131" s="20"/>
    </row>
    <row r="132" spans="1:7" ht="24.95" customHeight="1" x14ac:dyDescent="0.25">
      <c r="A132" s="42"/>
      <c r="B132" s="20" t="s">
        <v>81</v>
      </c>
      <c r="C132" s="37" t="s">
        <v>322</v>
      </c>
      <c r="D132" s="19">
        <v>603691</v>
      </c>
      <c r="E132" s="20" t="s">
        <v>506</v>
      </c>
      <c r="F132" s="20" t="s">
        <v>508</v>
      </c>
      <c r="G132" s="20"/>
    </row>
    <row r="133" spans="1:7" ht="24.95" customHeight="1" x14ac:dyDescent="0.25">
      <c r="A133" s="42"/>
      <c r="B133" s="20" t="s">
        <v>40</v>
      </c>
      <c r="C133" s="20" t="s">
        <v>182</v>
      </c>
      <c r="D133" s="62">
        <v>633628</v>
      </c>
      <c r="E133" s="20" t="s">
        <v>506</v>
      </c>
      <c r="F133" s="20" t="s">
        <v>508</v>
      </c>
      <c r="G133" s="20"/>
    </row>
    <row r="134" spans="1:7" ht="24.95" customHeight="1" x14ac:dyDescent="0.25">
      <c r="A134" s="42"/>
      <c r="B134" s="20" t="s">
        <v>369</v>
      </c>
      <c r="C134" s="20" t="s">
        <v>409</v>
      </c>
      <c r="D134" s="20">
        <v>631485</v>
      </c>
      <c r="E134" s="20" t="s">
        <v>523</v>
      </c>
      <c r="F134" s="42" t="s">
        <v>522</v>
      </c>
      <c r="G134" s="42"/>
    </row>
    <row r="135" spans="1:7" ht="24.95" customHeight="1" x14ac:dyDescent="0.25">
      <c r="A135" s="42"/>
      <c r="B135" s="20" t="s">
        <v>38</v>
      </c>
      <c r="C135" s="20" t="s">
        <v>314</v>
      </c>
      <c r="D135" s="20">
        <v>603224</v>
      </c>
      <c r="E135" s="42" t="s">
        <v>510</v>
      </c>
      <c r="F135" s="42"/>
      <c r="G135" s="42"/>
    </row>
    <row r="136" spans="1:7" ht="24.95" customHeight="1" x14ac:dyDescent="0.25">
      <c r="A136" s="42"/>
      <c r="B136" s="20" t="s">
        <v>148</v>
      </c>
      <c r="C136" s="20" t="s">
        <v>63</v>
      </c>
      <c r="D136" s="20">
        <v>613502</v>
      </c>
      <c r="E136" s="20" t="s">
        <v>511</v>
      </c>
      <c r="F136" s="42"/>
      <c r="G136" s="42"/>
    </row>
    <row r="137" spans="1:7" ht="24.95" customHeight="1" x14ac:dyDescent="0.25">
      <c r="A137" s="42"/>
      <c r="B137" s="20" t="s">
        <v>305</v>
      </c>
      <c r="C137" s="20" t="s">
        <v>304</v>
      </c>
      <c r="D137" s="20">
        <v>632355</v>
      </c>
      <c r="E137" s="20" t="s">
        <v>511</v>
      </c>
      <c r="F137" s="42"/>
      <c r="G137" s="42"/>
    </row>
    <row r="138" spans="1:7" ht="24.95" customHeight="1" x14ac:dyDescent="0.25">
      <c r="A138" s="42"/>
      <c r="B138" s="20" t="s">
        <v>113</v>
      </c>
      <c r="C138" s="20" t="s">
        <v>114</v>
      </c>
      <c r="D138" s="20">
        <v>626297</v>
      </c>
      <c r="E138" s="20" t="s">
        <v>512</v>
      </c>
      <c r="F138" s="42"/>
      <c r="G138" s="42"/>
    </row>
    <row r="139" spans="1:7" ht="24.95" customHeight="1" x14ac:dyDescent="0.25">
      <c r="A139" s="20"/>
      <c r="B139" s="20" t="s">
        <v>462</v>
      </c>
      <c r="C139" s="20" t="s">
        <v>464</v>
      </c>
      <c r="D139" s="20">
        <v>633796</v>
      </c>
      <c r="E139" s="20" t="s">
        <v>513</v>
      </c>
      <c r="F139" s="20" t="s">
        <v>514</v>
      </c>
      <c r="G139" s="20"/>
    </row>
    <row r="140" spans="1:7" ht="24.95" customHeight="1" x14ac:dyDescent="0.25">
      <c r="A140" s="20"/>
      <c r="B140" s="20" t="s">
        <v>360</v>
      </c>
      <c r="C140" s="45" t="s">
        <v>359</v>
      </c>
      <c r="D140" s="45">
        <v>634579</v>
      </c>
      <c r="E140" s="20" t="s">
        <v>515</v>
      </c>
      <c r="F140" s="20"/>
      <c r="G140" s="20"/>
    </row>
    <row r="141" spans="1:7" ht="24.95" customHeight="1" x14ac:dyDescent="0.25">
      <c r="A141" s="20"/>
      <c r="B141" s="20" t="s">
        <v>38</v>
      </c>
      <c r="C141" s="61" t="s">
        <v>166</v>
      </c>
      <c r="D141" s="20">
        <v>618637</v>
      </c>
      <c r="E141" s="20" t="s">
        <v>516</v>
      </c>
      <c r="F141" s="20" t="s">
        <v>518</v>
      </c>
      <c r="G141" s="20"/>
    </row>
    <row r="142" spans="1:7" ht="24.95" customHeight="1" x14ac:dyDescent="0.25">
      <c r="A142" s="20"/>
      <c r="B142" s="20" t="s">
        <v>40</v>
      </c>
      <c r="C142" s="20" t="s">
        <v>167</v>
      </c>
      <c r="D142" s="20">
        <v>604616</v>
      </c>
      <c r="E142" s="20" t="s">
        <v>516</v>
      </c>
      <c r="F142" s="20" t="s">
        <v>518</v>
      </c>
      <c r="G142" s="20"/>
    </row>
    <row r="143" spans="1:7" ht="24.95" customHeight="1" x14ac:dyDescent="0.25">
      <c r="A143" s="20"/>
      <c r="B143" s="20" t="s">
        <v>463</v>
      </c>
      <c r="C143" s="19" t="s">
        <v>465</v>
      </c>
      <c r="D143" s="19">
        <v>625109</v>
      </c>
      <c r="E143" s="20" t="s">
        <v>519</v>
      </c>
      <c r="F143" s="20"/>
      <c r="G143" s="20"/>
    </row>
    <row r="144" spans="1:7" ht="24.95" customHeight="1" x14ac:dyDescent="0.25">
      <c r="A144" s="20" t="s">
        <v>239</v>
      </c>
      <c r="B144" s="20" t="s">
        <v>529</v>
      </c>
      <c r="C144" s="19" t="s">
        <v>525</v>
      </c>
      <c r="D144" s="19" t="s">
        <v>32</v>
      </c>
      <c r="E144" s="20"/>
      <c r="F144" s="20" t="s">
        <v>526</v>
      </c>
      <c r="G144" s="20" t="s">
        <v>527</v>
      </c>
    </row>
    <row r="145" spans="1:7" ht="24.95" customHeight="1" x14ac:dyDescent="0.25">
      <c r="A145" s="20"/>
      <c r="B145" s="20" t="s">
        <v>531</v>
      </c>
      <c r="C145" s="19" t="s">
        <v>530</v>
      </c>
      <c r="D145" s="19">
        <v>604876</v>
      </c>
      <c r="E145" s="20"/>
      <c r="F145" s="20" t="s">
        <v>526</v>
      </c>
      <c r="G145" s="20" t="s">
        <v>528</v>
      </c>
    </row>
    <row r="146" spans="1:7" ht="24.95" customHeight="1" x14ac:dyDescent="0.25">
      <c r="A146" s="20" t="s">
        <v>239</v>
      </c>
      <c r="B146" s="20" t="s">
        <v>450</v>
      </c>
      <c r="C146" s="19" t="s">
        <v>451</v>
      </c>
      <c r="D146" s="19" t="s">
        <v>32</v>
      </c>
      <c r="E146" s="20" t="s">
        <v>532</v>
      </c>
      <c r="F146" s="20"/>
      <c r="G146" s="42" t="s">
        <v>533</v>
      </c>
    </row>
    <row r="147" spans="1:7" ht="24.95" customHeight="1" x14ac:dyDescent="0.25">
      <c r="A147" s="20" t="s">
        <v>224</v>
      </c>
      <c r="B147" s="20" t="s">
        <v>40</v>
      </c>
      <c r="C147" s="19" t="s">
        <v>147</v>
      </c>
      <c r="D147" s="19">
        <v>609755</v>
      </c>
      <c r="E147" s="20" t="s">
        <v>534</v>
      </c>
      <c r="F147" s="20"/>
      <c r="G147" s="42"/>
    </row>
    <row r="148" spans="1:7" ht="24.95" customHeight="1" x14ac:dyDescent="0.25">
      <c r="A148" s="20" t="s">
        <v>259</v>
      </c>
      <c r="B148" s="20" t="s">
        <v>521</v>
      </c>
      <c r="C148" s="19" t="s">
        <v>520</v>
      </c>
      <c r="D148" s="19">
        <v>636541</v>
      </c>
      <c r="E148" s="20" t="s">
        <v>535</v>
      </c>
      <c r="F148" s="20" t="s">
        <v>539</v>
      </c>
      <c r="G148" s="42" t="s">
        <v>540</v>
      </c>
    </row>
    <row r="149" spans="1:7" ht="24.95" customHeight="1" x14ac:dyDescent="0.25">
      <c r="A149" s="20" t="s">
        <v>224</v>
      </c>
      <c r="B149" s="20" t="s">
        <v>40</v>
      </c>
      <c r="C149" s="19" t="s">
        <v>276</v>
      </c>
      <c r="D149" s="19">
        <v>605735</v>
      </c>
      <c r="E149" s="20" t="s">
        <v>536</v>
      </c>
      <c r="F149" s="20"/>
      <c r="G149" s="42" t="s">
        <v>270</v>
      </c>
    </row>
    <row r="150" spans="1:7" ht="24.95" customHeight="1" x14ac:dyDescent="0.25">
      <c r="A150" s="20" t="s">
        <v>269</v>
      </c>
      <c r="B150" s="20" t="s">
        <v>178</v>
      </c>
      <c r="C150" s="19" t="s">
        <v>227</v>
      </c>
      <c r="D150" s="19">
        <v>627699</v>
      </c>
      <c r="E150" s="20" t="s">
        <v>537</v>
      </c>
      <c r="F150" s="20" t="s">
        <v>470</v>
      </c>
      <c r="G150" s="42" t="s">
        <v>538</v>
      </c>
    </row>
    <row r="151" spans="1:7" ht="24.95" customHeight="1" x14ac:dyDescent="0.25">
      <c r="A151" s="20" t="s">
        <v>77</v>
      </c>
      <c r="B151" s="20" t="s">
        <v>126</v>
      </c>
      <c r="C151" s="19" t="s">
        <v>125</v>
      </c>
      <c r="D151" s="19">
        <v>601990</v>
      </c>
      <c r="E151" s="20" t="s">
        <v>541</v>
      </c>
      <c r="F151" s="20" t="s">
        <v>546</v>
      </c>
      <c r="G151" s="42" t="s">
        <v>545</v>
      </c>
    </row>
    <row r="152" spans="1:7" ht="24.95" customHeight="1" x14ac:dyDescent="0.25">
      <c r="A152" s="20" t="s">
        <v>77</v>
      </c>
      <c r="B152" s="20" t="s">
        <v>49</v>
      </c>
      <c r="C152" s="19" t="s">
        <v>306</v>
      </c>
      <c r="D152" s="19">
        <v>632361</v>
      </c>
      <c r="E152" s="20" t="s">
        <v>544</v>
      </c>
      <c r="F152" s="20" t="s">
        <v>546</v>
      </c>
      <c r="G152" s="42" t="s">
        <v>467</v>
      </c>
    </row>
    <row r="153" spans="1:7" ht="24.95" customHeight="1" x14ac:dyDescent="0.25">
      <c r="A153" s="84" t="s">
        <v>548</v>
      </c>
      <c r="B153" s="84" t="s">
        <v>549</v>
      </c>
      <c r="C153" s="90">
        <v>513056001197</v>
      </c>
      <c r="D153" s="87">
        <v>636487</v>
      </c>
      <c r="E153" s="86" t="s">
        <v>550</v>
      </c>
      <c r="F153" s="88"/>
      <c r="G153" s="89"/>
    </row>
    <row r="154" spans="1:7" ht="18.75" x14ac:dyDescent="0.25">
      <c r="A154" s="84" t="s">
        <v>77</v>
      </c>
      <c r="B154" s="84" t="s">
        <v>162</v>
      </c>
      <c r="C154" s="90" t="s">
        <v>58</v>
      </c>
      <c r="D154" s="87">
        <v>606000</v>
      </c>
      <c r="E154" s="86" t="s">
        <v>552</v>
      </c>
      <c r="F154" s="88"/>
      <c r="G154" s="42" t="s">
        <v>467</v>
      </c>
    </row>
    <row r="155" spans="1:7" ht="18.75" x14ac:dyDescent="0.25">
      <c r="A155" s="84" t="s">
        <v>77</v>
      </c>
      <c r="B155" s="84" t="s">
        <v>547</v>
      </c>
      <c r="D155" s="85">
        <v>636010</v>
      </c>
      <c r="E155" s="84" t="s">
        <v>551</v>
      </c>
    </row>
  </sheetData>
  <customSheetViews>
    <customSheetView guid="{4E9100F2-A511-4BAB-A26D-F817BBFCED8B}" scale="70" showAutoFilter="1">
      <pane ySplit="2" topLeftCell="A138" activePane="bottomLeft" state="frozen"/>
      <selection pane="bottomLeft" activeCell="D148" sqref="D148"/>
      <pageMargins left="0.7" right="0.7" top="0.75" bottom="0.75" header="0.3" footer="0.3"/>
      <pageSetup paperSize="9" orientation="portrait" r:id="rId1"/>
      <autoFilter ref="A2:F111" xr:uid="{978A047A-56C1-4C67-B98D-D82C09E5E865}"/>
    </customSheetView>
  </customSheetViews>
  <mergeCells count="1">
    <mergeCell ref="A18:F18"/>
  </mergeCells>
  <phoneticPr fontId="33" type="noConversion"/>
  <conditionalFormatting sqref="A79:A81 E83 D84:E84 A83:A86 E85:E86">
    <cfRule type="duplicateValues" dxfId="481" priority="529"/>
  </conditionalFormatting>
  <conditionalFormatting sqref="A87 E87">
    <cfRule type="duplicateValues" dxfId="480" priority="489"/>
  </conditionalFormatting>
  <conditionalFormatting sqref="A88 E88">
    <cfRule type="duplicateValues" dxfId="479" priority="488"/>
  </conditionalFormatting>
  <conditionalFormatting sqref="A89">
    <cfRule type="duplicateValues" dxfId="478" priority="487"/>
  </conditionalFormatting>
  <conditionalFormatting sqref="A90 E90">
    <cfRule type="duplicateValues" dxfId="477" priority="486"/>
  </conditionalFormatting>
  <conditionalFormatting sqref="B36:C36 C37:C45">
    <cfRule type="duplicateValues" dxfId="476" priority="604"/>
  </conditionalFormatting>
  <conditionalFormatting sqref="B61:D61">
    <cfRule type="duplicateValues" dxfId="475" priority="576"/>
  </conditionalFormatting>
  <conditionalFormatting sqref="C5">
    <cfRule type="duplicateValues" dxfId="474" priority="628"/>
  </conditionalFormatting>
  <conditionalFormatting sqref="C6">
    <cfRule type="duplicateValues" dxfId="473" priority="627"/>
  </conditionalFormatting>
  <conditionalFormatting sqref="C7">
    <cfRule type="duplicateValues" dxfId="472" priority="626"/>
  </conditionalFormatting>
  <conditionalFormatting sqref="C20">
    <cfRule type="duplicateValues" dxfId="471" priority="621"/>
  </conditionalFormatting>
  <conditionalFormatting sqref="C24">
    <cfRule type="duplicateValues" dxfId="470" priority="620"/>
  </conditionalFormatting>
  <conditionalFormatting sqref="C32">
    <cfRule type="duplicateValues" dxfId="469" priority="619"/>
  </conditionalFormatting>
  <conditionalFormatting sqref="C33">
    <cfRule type="duplicateValues" dxfId="468" priority="618"/>
  </conditionalFormatting>
  <conditionalFormatting sqref="C34">
    <cfRule type="duplicateValues" dxfId="467" priority="614"/>
  </conditionalFormatting>
  <conditionalFormatting sqref="C35">
    <cfRule type="duplicateValues" dxfId="466" priority="612"/>
  </conditionalFormatting>
  <conditionalFormatting sqref="C47 C54">
    <cfRule type="duplicateValues" dxfId="465" priority="603"/>
  </conditionalFormatting>
  <conditionalFormatting sqref="C48">
    <cfRule type="duplicateValues" dxfId="464" priority="598"/>
  </conditionalFormatting>
  <conditionalFormatting sqref="C50">
    <cfRule type="duplicateValues" dxfId="463" priority="600"/>
  </conditionalFormatting>
  <conditionalFormatting sqref="C51">
    <cfRule type="duplicateValues" dxfId="462" priority="596"/>
  </conditionalFormatting>
  <conditionalFormatting sqref="C53">
    <cfRule type="duplicateValues" dxfId="461" priority="592"/>
  </conditionalFormatting>
  <conditionalFormatting sqref="C56">
    <cfRule type="duplicateValues" dxfId="460" priority="587"/>
  </conditionalFormatting>
  <conditionalFormatting sqref="C58">
    <cfRule type="duplicateValues" dxfId="459" priority="580"/>
  </conditionalFormatting>
  <conditionalFormatting sqref="C60">
    <cfRule type="duplicateValues" dxfId="458" priority="573"/>
  </conditionalFormatting>
  <conditionalFormatting sqref="C62">
    <cfRule type="duplicateValues" dxfId="457" priority="570"/>
  </conditionalFormatting>
  <conditionalFormatting sqref="C71">
    <cfRule type="duplicateValues" dxfId="456" priority="557"/>
  </conditionalFormatting>
  <conditionalFormatting sqref="C72">
    <cfRule type="duplicateValues" dxfId="455" priority="556"/>
  </conditionalFormatting>
  <conditionalFormatting sqref="C73">
    <cfRule type="duplicateValues" dxfId="454" priority="552"/>
  </conditionalFormatting>
  <conditionalFormatting sqref="C74">
    <cfRule type="duplicateValues" dxfId="453" priority="548"/>
  </conditionalFormatting>
  <conditionalFormatting sqref="C76">
    <cfRule type="duplicateValues" dxfId="452" priority="540"/>
  </conditionalFormatting>
  <conditionalFormatting sqref="C78">
    <cfRule type="duplicateValues" dxfId="451" priority="535"/>
  </conditionalFormatting>
  <conditionalFormatting sqref="C80">
    <cfRule type="duplicateValues" dxfId="450" priority="523"/>
  </conditionalFormatting>
  <conditionalFormatting sqref="C81">
    <cfRule type="duplicateValues" dxfId="449" priority="517"/>
  </conditionalFormatting>
  <conditionalFormatting sqref="C82">
    <cfRule type="duplicateValues" dxfId="448" priority="511"/>
  </conditionalFormatting>
  <conditionalFormatting sqref="C84">
    <cfRule type="duplicateValues" dxfId="447" priority="499"/>
  </conditionalFormatting>
  <conditionalFormatting sqref="C85">
    <cfRule type="duplicateValues" dxfId="446" priority="498"/>
  </conditionalFormatting>
  <conditionalFormatting sqref="C87">
    <cfRule type="duplicateValues" dxfId="445" priority="477"/>
  </conditionalFormatting>
  <conditionalFormatting sqref="C88">
    <cfRule type="duplicateValues" dxfId="444" priority="468"/>
  </conditionalFormatting>
  <conditionalFormatting sqref="C90">
    <cfRule type="duplicateValues" dxfId="443" priority="450"/>
  </conditionalFormatting>
  <conditionalFormatting sqref="C97">
    <cfRule type="duplicateValues" dxfId="442" priority="424"/>
  </conditionalFormatting>
  <conditionalFormatting sqref="C101">
    <cfRule type="duplicateValues" dxfId="441" priority="390"/>
    <cfRule type="duplicateValues" dxfId="440" priority="398"/>
  </conditionalFormatting>
  <conditionalFormatting sqref="C102">
    <cfRule type="duplicateValues" dxfId="439" priority="379"/>
  </conditionalFormatting>
  <conditionalFormatting sqref="C103">
    <cfRule type="duplicateValues" dxfId="438" priority="367"/>
    <cfRule type="duplicateValues" dxfId="437" priority="377"/>
  </conditionalFormatting>
  <conditionalFormatting sqref="C104">
    <cfRule type="duplicateValues" dxfId="436" priority="346"/>
  </conditionalFormatting>
  <conditionalFormatting sqref="C105">
    <cfRule type="duplicateValues" dxfId="435" priority="334"/>
    <cfRule type="duplicateValues" dxfId="434" priority="344"/>
  </conditionalFormatting>
  <conditionalFormatting sqref="C106">
    <cfRule type="duplicateValues" dxfId="433" priority="322"/>
    <cfRule type="duplicateValues" dxfId="432" priority="332"/>
  </conditionalFormatting>
  <conditionalFormatting sqref="C107">
    <cfRule type="duplicateValues" dxfId="431" priority="298"/>
    <cfRule type="duplicateValues" dxfId="430" priority="308"/>
  </conditionalFormatting>
  <conditionalFormatting sqref="C108">
    <cfRule type="duplicateValues" dxfId="429" priority="286"/>
    <cfRule type="duplicateValues" dxfId="428" priority="296"/>
  </conditionalFormatting>
  <conditionalFormatting sqref="C109">
    <cfRule type="duplicateValues" dxfId="427" priority="274"/>
  </conditionalFormatting>
  <conditionalFormatting sqref="C110">
    <cfRule type="duplicateValues" dxfId="426" priority="262"/>
    <cfRule type="duplicateValues" dxfId="425" priority="270"/>
  </conditionalFormatting>
  <conditionalFormatting sqref="C111">
    <cfRule type="duplicateValues" dxfId="424" priority="251"/>
  </conditionalFormatting>
  <conditionalFormatting sqref="C117">
    <cfRule type="duplicateValues" dxfId="423" priority="201"/>
  </conditionalFormatting>
  <conditionalFormatting sqref="C118">
    <cfRule type="duplicateValues" dxfId="422" priority="198"/>
  </conditionalFormatting>
  <conditionalFormatting sqref="C119">
    <cfRule type="duplicateValues" dxfId="421" priority="197"/>
  </conditionalFormatting>
  <conditionalFormatting sqref="C120">
    <cfRule type="duplicateValues" dxfId="420" priority="195"/>
    <cfRule type="duplicateValues" dxfId="419" priority="196"/>
  </conditionalFormatting>
  <conditionalFormatting sqref="C121">
    <cfRule type="duplicateValues" dxfId="418" priority="193"/>
    <cfRule type="duplicateValues" dxfId="417" priority="194"/>
  </conditionalFormatting>
  <conditionalFormatting sqref="C125">
    <cfRule type="duplicateValues" dxfId="416" priority="180"/>
  </conditionalFormatting>
  <conditionalFormatting sqref="C126">
    <cfRule type="duplicateValues" dxfId="415" priority="166"/>
  </conditionalFormatting>
  <conditionalFormatting sqref="C128">
    <cfRule type="duplicateValues" dxfId="414" priority="141"/>
  </conditionalFormatting>
  <conditionalFormatting sqref="C131">
    <cfRule type="duplicateValues" dxfId="413" priority="128"/>
  </conditionalFormatting>
  <conditionalFormatting sqref="C132">
    <cfRule type="duplicateValues" dxfId="412" priority="123"/>
    <cfRule type="duplicateValues" dxfId="411" priority="124"/>
  </conditionalFormatting>
  <conditionalFormatting sqref="C133">
    <cfRule type="duplicateValues" dxfId="410" priority="100"/>
    <cfRule type="duplicateValues" dxfId="409" priority="110"/>
  </conditionalFormatting>
  <conditionalFormatting sqref="C140">
    <cfRule type="duplicateValues" dxfId="408" priority="54"/>
  </conditionalFormatting>
  <conditionalFormatting sqref="C141">
    <cfRule type="duplicateValues" dxfId="407" priority="49"/>
    <cfRule type="duplicateValues" dxfId="406" priority="50"/>
  </conditionalFormatting>
  <conditionalFormatting sqref="C142">
    <cfRule type="duplicateValues" dxfId="405" priority="48"/>
  </conditionalFormatting>
  <conditionalFormatting sqref="C143:C154">
    <cfRule type="duplicateValues" dxfId="404" priority="37"/>
  </conditionalFormatting>
  <conditionalFormatting sqref="C4:D4">
    <cfRule type="duplicateValues" dxfId="403" priority="631"/>
  </conditionalFormatting>
  <conditionalFormatting sqref="C12:D12">
    <cfRule type="duplicateValues" dxfId="402" priority="625"/>
  </conditionalFormatting>
  <conditionalFormatting sqref="C13:D13">
    <cfRule type="duplicateValues" dxfId="401" priority="624"/>
  </conditionalFormatting>
  <conditionalFormatting sqref="C15:D17 D19">
    <cfRule type="duplicateValues" dxfId="400" priority="19657"/>
  </conditionalFormatting>
  <conditionalFormatting sqref="C95:D95 A95:A97 C96:E96 D97 A92:E94 A91:G91">
    <cfRule type="duplicateValues" dxfId="399" priority="425"/>
  </conditionalFormatting>
  <conditionalFormatting sqref="C100:E100 A99:E99 A100:A103 E101:E102 A98:G98 E103:G103">
    <cfRule type="duplicateValues" dxfId="398" priority="412"/>
  </conditionalFormatting>
  <conditionalFormatting sqref="D5">
    <cfRule type="duplicateValues" dxfId="397" priority="629"/>
  </conditionalFormatting>
  <conditionalFormatting sqref="D34">
    <cfRule type="duplicateValues" dxfId="396" priority="613"/>
    <cfRule type="duplicateValues" dxfId="395" priority="615"/>
    <cfRule type="duplicateValues" dxfId="394" priority="616"/>
    <cfRule type="duplicateValues" dxfId="393" priority="617"/>
  </conditionalFormatting>
  <conditionalFormatting sqref="D50">
    <cfRule type="duplicateValues" dxfId="392" priority="599"/>
    <cfRule type="duplicateValues" dxfId="391" priority="601"/>
    <cfRule type="duplicateValues" dxfId="390" priority="602"/>
  </conditionalFormatting>
  <conditionalFormatting sqref="D51">
    <cfRule type="duplicateValues" dxfId="389" priority="595"/>
    <cfRule type="duplicateValues" dxfId="388" priority="597"/>
  </conditionalFormatting>
  <conditionalFormatting sqref="D52">
    <cfRule type="duplicateValues" dxfId="387" priority="593"/>
    <cfRule type="duplicateValues" dxfId="386" priority="594"/>
  </conditionalFormatting>
  <conditionalFormatting sqref="D53">
    <cfRule type="duplicateValues" dxfId="385" priority="590"/>
    <cfRule type="duplicateValues" dxfId="384" priority="591"/>
  </conditionalFormatting>
  <conditionalFormatting sqref="D55">
    <cfRule type="duplicateValues" dxfId="383" priority="588"/>
    <cfRule type="duplicateValues" dxfId="382" priority="589"/>
  </conditionalFormatting>
  <conditionalFormatting sqref="D56">
    <cfRule type="duplicateValues" dxfId="381" priority="585"/>
    <cfRule type="duplicateValues" dxfId="380" priority="586"/>
  </conditionalFormatting>
  <conditionalFormatting sqref="D57">
    <cfRule type="duplicateValues" dxfId="379" priority="583"/>
    <cfRule type="duplicateValues" dxfId="378" priority="584"/>
  </conditionalFormatting>
  <conditionalFormatting sqref="D58">
    <cfRule type="duplicateValues" dxfId="377" priority="581"/>
    <cfRule type="duplicateValues" dxfId="376" priority="582"/>
  </conditionalFormatting>
  <conditionalFormatting sqref="D59">
    <cfRule type="duplicateValues" dxfId="375" priority="578"/>
    <cfRule type="duplicateValues" dxfId="374" priority="579"/>
  </conditionalFormatting>
  <conditionalFormatting sqref="D60">
    <cfRule type="duplicateValues" dxfId="373" priority="574"/>
    <cfRule type="duplicateValues" dxfId="372" priority="575"/>
  </conditionalFormatting>
  <conditionalFormatting sqref="D62">
    <cfRule type="duplicateValues" dxfId="371" priority="571"/>
    <cfRule type="duplicateValues" dxfId="370" priority="572"/>
  </conditionalFormatting>
  <conditionalFormatting sqref="D72">
    <cfRule type="duplicateValues" dxfId="369" priority="553"/>
    <cfRule type="duplicateValues" dxfId="368" priority="554"/>
    <cfRule type="duplicateValues" dxfId="367" priority="555"/>
  </conditionalFormatting>
  <conditionalFormatting sqref="D73">
    <cfRule type="duplicateValues" dxfId="366" priority="549"/>
    <cfRule type="duplicateValues" dxfId="365" priority="550"/>
    <cfRule type="duplicateValues" dxfId="364" priority="551"/>
  </conditionalFormatting>
  <conditionalFormatting sqref="D74">
    <cfRule type="duplicateValues" dxfId="363" priority="545"/>
    <cfRule type="duplicateValues" dxfId="362" priority="546"/>
    <cfRule type="duplicateValues" dxfId="361" priority="547"/>
  </conditionalFormatting>
  <conditionalFormatting sqref="D75">
    <cfRule type="duplicateValues" dxfId="360" priority="541"/>
    <cfRule type="duplicateValues" dxfId="359" priority="542"/>
    <cfRule type="duplicateValues" dxfId="358" priority="543"/>
    <cfRule type="duplicateValues" dxfId="357" priority="544"/>
  </conditionalFormatting>
  <conditionalFormatting sqref="D76">
    <cfRule type="duplicateValues" dxfId="356" priority="536"/>
    <cfRule type="duplicateValues" dxfId="355" priority="537"/>
    <cfRule type="duplicateValues" dxfId="354" priority="538"/>
    <cfRule type="duplicateValues" dxfId="353" priority="539"/>
  </conditionalFormatting>
  <conditionalFormatting sqref="D78">
    <cfRule type="duplicateValues" dxfId="352" priority="530"/>
    <cfRule type="duplicateValues" dxfId="351" priority="531"/>
    <cfRule type="duplicateValues" dxfId="350" priority="532"/>
    <cfRule type="duplicateValues" dxfId="349" priority="533"/>
    <cfRule type="duplicateValues" dxfId="348" priority="534"/>
  </conditionalFormatting>
  <conditionalFormatting sqref="D79">
    <cfRule type="duplicateValues" dxfId="347" priority="524"/>
    <cfRule type="duplicateValues" dxfId="346" priority="525"/>
    <cfRule type="duplicateValues" dxfId="345" priority="526"/>
    <cfRule type="duplicateValues" dxfId="344" priority="527"/>
    <cfRule type="duplicateValues" dxfId="343" priority="528"/>
  </conditionalFormatting>
  <conditionalFormatting sqref="D80">
    <cfRule type="duplicateValues" dxfId="342" priority="518"/>
    <cfRule type="duplicateValues" dxfId="341" priority="519"/>
    <cfRule type="duplicateValues" dxfId="340" priority="520"/>
    <cfRule type="duplicateValues" dxfId="339" priority="521"/>
    <cfRule type="duplicateValues" dxfId="338" priority="522"/>
  </conditionalFormatting>
  <conditionalFormatting sqref="D81">
    <cfRule type="duplicateValues" dxfId="337" priority="512"/>
    <cfRule type="duplicateValues" dxfId="336" priority="513"/>
    <cfRule type="duplicateValues" dxfId="335" priority="514"/>
    <cfRule type="duplicateValues" dxfId="334" priority="515"/>
    <cfRule type="duplicateValues" dxfId="333" priority="516"/>
  </conditionalFormatting>
  <conditionalFormatting sqref="D82">
    <cfRule type="duplicateValues" dxfId="332" priority="508"/>
    <cfRule type="duplicateValues" dxfId="331" priority="509"/>
    <cfRule type="duplicateValues" dxfId="330" priority="510"/>
  </conditionalFormatting>
  <conditionalFormatting sqref="D83">
    <cfRule type="duplicateValues" dxfId="329" priority="500"/>
    <cfRule type="duplicateValues" dxfId="328" priority="501"/>
    <cfRule type="duplicateValues" dxfId="327" priority="502"/>
    <cfRule type="duplicateValues" dxfId="326" priority="503"/>
    <cfRule type="duplicateValues" dxfId="325" priority="504"/>
    <cfRule type="duplicateValues" dxfId="324" priority="505"/>
    <cfRule type="duplicateValues" dxfId="323" priority="506"/>
    <cfRule type="duplicateValues" dxfId="322" priority="507"/>
  </conditionalFormatting>
  <conditionalFormatting sqref="D85">
    <cfRule type="duplicateValues" dxfId="321" priority="490"/>
    <cfRule type="duplicateValues" dxfId="320" priority="491"/>
    <cfRule type="duplicateValues" dxfId="319" priority="492"/>
    <cfRule type="duplicateValues" dxfId="318" priority="493"/>
    <cfRule type="duplicateValues" dxfId="317" priority="494"/>
    <cfRule type="duplicateValues" dxfId="316" priority="495"/>
    <cfRule type="duplicateValues" dxfId="315" priority="496"/>
    <cfRule type="duplicateValues" dxfId="314" priority="497"/>
  </conditionalFormatting>
  <conditionalFormatting sqref="D86">
    <cfRule type="duplicateValues" dxfId="313" priority="478"/>
    <cfRule type="duplicateValues" dxfId="312" priority="479"/>
    <cfRule type="duplicateValues" dxfId="311" priority="480"/>
    <cfRule type="duplicateValues" dxfId="310" priority="481"/>
    <cfRule type="duplicateValues" dxfId="309" priority="482"/>
    <cfRule type="duplicateValues" dxfId="308" priority="483"/>
    <cfRule type="duplicateValues" dxfId="307" priority="484"/>
    <cfRule type="duplicateValues" dxfId="306" priority="485"/>
  </conditionalFormatting>
  <conditionalFormatting sqref="D87">
    <cfRule type="duplicateValues" dxfId="305" priority="469"/>
    <cfRule type="duplicateValues" dxfId="304" priority="470"/>
    <cfRule type="duplicateValues" dxfId="303" priority="471"/>
    <cfRule type="duplicateValues" dxfId="302" priority="472"/>
    <cfRule type="duplicateValues" dxfId="301" priority="473"/>
    <cfRule type="duplicateValues" dxfId="300" priority="474"/>
    <cfRule type="duplicateValues" dxfId="299" priority="475"/>
    <cfRule type="duplicateValues" dxfId="298" priority="476"/>
  </conditionalFormatting>
  <conditionalFormatting sqref="D88">
    <cfRule type="duplicateValues" dxfId="297" priority="460"/>
    <cfRule type="duplicateValues" dxfId="296" priority="461"/>
    <cfRule type="duplicateValues" dxfId="295" priority="462"/>
    <cfRule type="duplicateValues" dxfId="294" priority="463"/>
    <cfRule type="duplicateValues" dxfId="293" priority="464"/>
    <cfRule type="duplicateValues" dxfId="292" priority="465"/>
    <cfRule type="duplicateValues" dxfId="291" priority="466"/>
    <cfRule type="duplicateValues" dxfId="290" priority="467"/>
  </conditionalFormatting>
  <conditionalFormatting sqref="D89">
    <cfRule type="duplicateValues" dxfId="289" priority="452"/>
    <cfRule type="duplicateValues" dxfId="288" priority="453"/>
    <cfRule type="duplicateValues" dxfId="287" priority="454"/>
    <cfRule type="duplicateValues" dxfId="286" priority="455"/>
    <cfRule type="duplicateValues" dxfId="285" priority="456"/>
    <cfRule type="duplicateValues" dxfId="284" priority="457"/>
    <cfRule type="duplicateValues" dxfId="283" priority="458"/>
    <cfRule type="duplicateValues" dxfId="282" priority="459"/>
  </conditionalFormatting>
  <conditionalFormatting sqref="D90">
    <cfRule type="duplicateValues" dxfId="281" priority="442"/>
    <cfRule type="duplicateValues" dxfId="280" priority="443"/>
    <cfRule type="duplicateValues" dxfId="279" priority="444"/>
    <cfRule type="duplicateValues" dxfId="278" priority="445"/>
    <cfRule type="duplicateValues" dxfId="277" priority="446"/>
    <cfRule type="duplicateValues" dxfId="276" priority="447"/>
    <cfRule type="duplicateValues" dxfId="275" priority="448"/>
    <cfRule type="duplicateValues" dxfId="274" priority="449"/>
  </conditionalFormatting>
  <conditionalFormatting sqref="D101">
    <cfRule type="duplicateValues" dxfId="273" priority="389"/>
    <cfRule type="duplicateValues" dxfId="272" priority="391"/>
    <cfRule type="duplicateValues" dxfId="271" priority="392"/>
    <cfRule type="duplicateValues" dxfId="270" priority="393"/>
    <cfRule type="duplicateValues" dxfId="269" priority="394"/>
    <cfRule type="duplicateValues" dxfId="268" priority="395"/>
    <cfRule type="duplicateValues" dxfId="267" priority="396"/>
    <cfRule type="duplicateValues" dxfId="266" priority="397"/>
    <cfRule type="duplicateValues" dxfId="265" priority="399"/>
    <cfRule type="duplicateValues" dxfId="264" priority="400"/>
  </conditionalFormatting>
  <conditionalFormatting sqref="D102">
    <cfRule type="duplicateValues" dxfId="263" priority="378"/>
    <cfRule type="duplicateValues" dxfId="262" priority="380"/>
    <cfRule type="duplicateValues" dxfId="261" priority="381"/>
    <cfRule type="duplicateValues" dxfId="260" priority="382"/>
    <cfRule type="duplicateValues" dxfId="259" priority="383"/>
    <cfRule type="duplicateValues" dxfId="258" priority="384"/>
    <cfRule type="duplicateValues" dxfId="257" priority="385"/>
    <cfRule type="duplicateValues" dxfId="256" priority="386"/>
    <cfRule type="duplicateValues" dxfId="255" priority="387"/>
    <cfRule type="duplicateValues" dxfId="254" priority="388"/>
  </conditionalFormatting>
  <conditionalFormatting sqref="D103">
    <cfRule type="duplicateValues" dxfId="253" priority="366"/>
    <cfRule type="duplicateValues" dxfId="252" priority="368"/>
    <cfRule type="duplicateValues" dxfId="251" priority="369"/>
    <cfRule type="duplicateValues" dxfId="250" priority="370"/>
    <cfRule type="duplicateValues" dxfId="249" priority="371"/>
    <cfRule type="duplicateValues" dxfId="248" priority="372"/>
    <cfRule type="duplicateValues" dxfId="247" priority="373"/>
    <cfRule type="duplicateValues" dxfId="246" priority="374"/>
    <cfRule type="duplicateValues" dxfId="245" priority="375"/>
    <cfRule type="duplicateValues" dxfId="244" priority="376"/>
  </conditionalFormatting>
  <conditionalFormatting sqref="D104">
    <cfRule type="duplicateValues" dxfId="243" priority="345"/>
    <cfRule type="duplicateValues" dxfId="242" priority="347"/>
    <cfRule type="duplicateValues" dxfId="241" priority="348"/>
    <cfRule type="duplicateValues" dxfId="240" priority="349"/>
    <cfRule type="duplicateValues" dxfId="239" priority="350"/>
    <cfRule type="duplicateValues" dxfId="238" priority="351"/>
    <cfRule type="duplicateValues" dxfId="237" priority="352"/>
    <cfRule type="duplicateValues" dxfId="236" priority="353"/>
    <cfRule type="duplicateValues" dxfId="235" priority="354"/>
    <cfRule type="duplicateValues" dxfId="234" priority="355"/>
  </conditionalFormatting>
  <conditionalFormatting sqref="D105">
    <cfRule type="duplicateValues" dxfId="233" priority="333"/>
    <cfRule type="duplicateValues" dxfId="232" priority="335"/>
    <cfRule type="duplicateValues" dxfId="231" priority="336"/>
    <cfRule type="duplicateValues" dxfId="230" priority="337"/>
    <cfRule type="duplicateValues" dxfId="229" priority="338"/>
    <cfRule type="duplicateValues" dxfId="228" priority="339"/>
    <cfRule type="duplicateValues" dxfId="227" priority="340"/>
    <cfRule type="duplicateValues" dxfId="226" priority="341"/>
    <cfRule type="duplicateValues" dxfId="225" priority="342"/>
    <cfRule type="duplicateValues" dxfId="224" priority="343"/>
  </conditionalFormatting>
  <conditionalFormatting sqref="D106">
    <cfRule type="duplicateValues" dxfId="223" priority="321"/>
    <cfRule type="duplicateValues" dxfId="222" priority="323"/>
    <cfRule type="duplicateValues" dxfId="221" priority="324"/>
    <cfRule type="duplicateValues" dxfId="220" priority="325"/>
    <cfRule type="duplicateValues" dxfId="219" priority="326"/>
    <cfRule type="duplicateValues" dxfId="218" priority="327"/>
    <cfRule type="duplicateValues" dxfId="217" priority="328"/>
    <cfRule type="duplicateValues" dxfId="216" priority="329"/>
    <cfRule type="duplicateValues" dxfId="215" priority="330"/>
    <cfRule type="duplicateValues" dxfId="214" priority="331"/>
  </conditionalFormatting>
  <conditionalFormatting sqref="D107">
    <cfRule type="duplicateValues" dxfId="213" priority="297"/>
    <cfRule type="duplicateValues" dxfId="212" priority="299"/>
    <cfRule type="duplicateValues" dxfId="211" priority="300"/>
    <cfRule type="duplicateValues" dxfId="210" priority="301"/>
    <cfRule type="duplicateValues" dxfId="209" priority="302"/>
    <cfRule type="duplicateValues" dxfId="208" priority="303"/>
    <cfRule type="duplicateValues" dxfId="207" priority="304"/>
    <cfRule type="duplicateValues" dxfId="206" priority="305"/>
    <cfRule type="duplicateValues" dxfId="205" priority="306"/>
    <cfRule type="duplicateValues" dxfId="204" priority="307"/>
  </conditionalFormatting>
  <conditionalFormatting sqref="D108">
    <cfRule type="duplicateValues" dxfId="203" priority="285"/>
    <cfRule type="duplicateValues" dxfId="202" priority="287"/>
    <cfRule type="duplicateValues" dxfId="201" priority="288"/>
    <cfRule type="duplicateValues" dxfId="200" priority="289"/>
    <cfRule type="duplicateValues" dxfId="199" priority="290"/>
    <cfRule type="duplicateValues" dxfId="198" priority="291"/>
    <cfRule type="duplicateValues" dxfId="197" priority="292"/>
    <cfRule type="duplicateValues" dxfId="196" priority="293"/>
    <cfRule type="duplicateValues" dxfId="195" priority="294"/>
    <cfRule type="duplicateValues" dxfId="194" priority="295"/>
  </conditionalFormatting>
  <conditionalFormatting sqref="D109">
    <cfRule type="duplicateValues" dxfId="193" priority="273"/>
    <cfRule type="duplicateValues" dxfId="192" priority="275"/>
    <cfRule type="duplicateValues" dxfId="191" priority="276"/>
    <cfRule type="duplicateValues" dxfId="190" priority="277"/>
    <cfRule type="duplicateValues" dxfId="189" priority="278"/>
    <cfRule type="duplicateValues" dxfId="188" priority="279"/>
    <cfRule type="duplicateValues" dxfId="187" priority="280"/>
    <cfRule type="duplicateValues" dxfId="186" priority="281"/>
    <cfRule type="duplicateValues" dxfId="185" priority="282"/>
    <cfRule type="duplicateValues" dxfId="184" priority="283"/>
    <cfRule type="duplicateValues" dxfId="183" priority="284"/>
  </conditionalFormatting>
  <conditionalFormatting sqref="D110">
    <cfRule type="duplicateValues" dxfId="182" priority="261"/>
    <cfRule type="duplicateValues" dxfId="181" priority="263"/>
    <cfRule type="duplicateValues" dxfId="180" priority="264"/>
    <cfRule type="duplicateValues" dxfId="179" priority="265"/>
    <cfRule type="duplicateValues" dxfId="178" priority="266"/>
    <cfRule type="duplicateValues" dxfId="177" priority="267"/>
    <cfRule type="duplicateValues" dxfId="176" priority="268"/>
    <cfRule type="duplicateValues" dxfId="175" priority="269"/>
    <cfRule type="duplicateValues" dxfId="174" priority="271"/>
    <cfRule type="duplicateValues" dxfId="173" priority="272"/>
  </conditionalFormatting>
  <conditionalFormatting sqref="D111">
    <cfRule type="duplicateValues" dxfId="172" priority="250"/>
    <cfRule type="duplicateValues" dxfId="171" priority="252"/>
    <cfRule type="duplicateValues" dxfId="170" priority="253"/>
    <cfRule type="duplicateValues" dxfId="169" priority="254"/>
    <cfRule type="duplicateValues" dxfId="168" priority="255"/>
    <cfRule type="duplicateValues" dxfId="167" priority="256"/>
    <cfRule type="duplicateValues" dxfId="166" priority="257"/>
    <cfRule type="duplicateValues" dxfId="165" priority="258"/>
    <cfRule type="duplicateValues" dxfId="164" priority="259"/>
    <cfRule type="duplicateValues" dxfId="163" priority="260"/>
  </conditionalFormatting>
  <conditionalFormatting sqref="D117">
    <cfRule type="duplicateValues" dxfId="162" priority="199"/>
    <cfRule type="duplicateValues" dxfId="161" priority="200"/>
    <cfRule type="duplicateValues" dxfId="160" priority="202"/>
  </conditionalFormatting>
  <conditionalFormatting sqref="D125">
    <cfRule type="duplicateValues" dxfId="159" priority="177"/>
    <cfRule type="duplicateValues" dxfId="158" priority="178"/>
    <cfRule type="duplicateValues" dxfId="157" priority="179"/>
    <cfRule type="duplicateValues" dxfId="156" priority="181"/>
    <cfRule type="duplicateValues" dxfId="155" priority="182"/>
    <cfRule type="duplicateValues" dxfId="154" priority="183"/>
    <cfRule type="duplicateValues" dxfId="153" priority="184"/>
    <cfRule type="duplicateValues" dxfId="152" priority="185"/>
    <cfRule type="duplicateValues" dxfId="151" priority="186"/>
    <cfRule type="duplicateValues" dxfId="150" priority="187"/>
    <cfRule type="duplicateValues" dxfId="149" priority="188"/>
    <cfRule type="duplicateValues" dxfId="148" priority="189"/>
    <cfRule type="duplicateValues" dxfId="147" priority="190"/>
  </conditionalFormatting>
  <conditionalFormatting sqref="D126">
    <cfRule type="duplicateValues" dxfId="146" priority="163"/>
    <cfRule type="duplicateValues" dxfId="145" priority="164"/>
    <cfRule type="duplicateValues" dxfId="144" priority="165"/>
    <cfRule type="duplicateValues" dxfId="143" priority="167"/>
    <cfRule type="duplicateValues" dxfId="142" priority="168"/>
    <cfRule type="duplicateValues" dxfId="141" priority="169"/>
    <cfRule type="duplicateValues" dxfId="140" priority="170"/>
    <cfRule type="duplicateValues" dxfId="139" priority="171"/>
    <cfRule type="duplicateValues" dxfId="138" priority="172"/>
    <cfRule type="duplicateValues" dxfId="137" priority="173"/>
    <cfRule type="duplicateValues" dxfId="136" priority="174"/>
    <cfRule type="duplicateValues" dxfId="135" priority="175"/>
    <cfRule type="duplicateValues" dxfId="134" priority="176"/>
  </conditionalFormatting>
  <conditionalFormatting sqref="D127">
    <cfRule type="duplicateValues" dxfId="133" priority="151"/>
    <cfRule type="duplicateValues" dxfId="132" priority="152"/>
    <cfRule type="duplicateValues" dxfId="131" priority="153"/>
    <cfRule type="duplicateValues" dxfId="130" priority="154"/>
    <cfRule type="duplicateValues" dxfId="129" priority="155"/>
    <cfRule type="duplicateValues" dxfId="128" priority="156"/>
    <cfRule type="duplicateValues" dxfId="127" priority="157"/>
    <cfRule type="duplicateValues" dxfId="126" priority="158"/>
    <cfRule type="duplicateValues" dxfId="125" priority="159"/>
    <cfRule type="duplicateValues" dxfId="124" priority="160"/>
    <cfRule type="duplicateValues" dxfId="123" priority="161"/>
    <cfRule type="duplicateValues" dxfId="122" priority="162"/>
  </conditionalFormatting>
  <conditionalFormatting sqref="D128">
    <cfRule type="duplicateValues" dxfId="121" priority="138"/>
    <cfRule type="duplicateValues" dxfId="120" priority="139"/>
    <cfRule type="duplicateValues" dxfId="119" priority="140"/>
    <cfRule type="duplicateValues" dxfId="118" priority="142"/>
    <cfRule type="duplicateValues" dxfId="117" priority="143"/>
    <cfRule type="duplicateValues" dxfId="116" priority="144"/>
    <cfRule type="duplicateValues" dxfId="115" priority="145"/>
    <cfRule type="duplicateValues" dxfId="114" priority="146"/>
    <cfRule type="duplicateValues" dxfId="113" priority="147"/>
    <cfRule type="duplicateValues" dxfId="112" priority="148"/>
    <cfRule type="duplicateValues" dxfId="111" priority="149"/>
    <cfRule type="duplicateValues" dxfId="110" priority="150"/>
  </conditionalFormatting>
  <conditionalFormatting sqref="D131">
    <cfRule type="duplicateValues" dxfId="109" priority="125"/>
    <cfRule type="duplicateValues" dxfId="108" priority="126"/>
    <cfRule type="duplicateValues" dxfId="107" priority="127"/>
    <cfRule type="duplicateValues" dxfId="106" priority="129"/>
    <cfRule type="duplicateValues" dxfId="105" priority="130"/>
    <cfRule type="duplicateValues" dxfId="104" priority="131"/>
    <cfRule type="duplicateValues" dxfId="103" priority="132"/>
    <cfRule type="duplicateValues" dxfId="102" priority="133"/>
    <cfRule type="duplicateValues" dxfId="101" priority="134"/>
    <cfRule type="duplicateValues" dxfId="100" priority="135"/>
    <cfRule type="duplicateValues" dxfId="99" priority="136"/>
    <cfRule type="duplicateValues" dxfId="98" priority="137"/>
  </conditionalFormatting>
  <conditionalFormatting sqref="D132">
    <cfRule type="duplicateValues" dxfId="97" priority="111"/>
    <cfRule type="duplicateValues" dxfId="96" priority="112"/>
    <cfRule type="duplicateValues" dxfId="95" priority="113"/>
    <cfRule type="duplicateValues" dxfId="94" priority="114"/>
    <cfRule type="duplicateValues" dxfId="93" priority="115"/>
    <cfRule type="duplicateValues" dxfId="92" priority="116"/>
    <cfRule type="duplicateValues" dxfId="91" priority="117"/>
    <cfRule type="duplicateValues" dxfId="90" priority="118"/>
    <cfRule type="duplicateValues" dxfId="89" priority="119"/>
    <cfRule type="duplicateValues" dxfId="88" priority="120"/>
    <cfRule type="duplicateValues" dxfId="87" priority="121"/>
    <cfRule type="duplicateValues" dxfId="86" priority="122"/>
  </conditionalFormatting>
  <conditionalFormatting sqref="D133">
    <cfRule type="duplicateValues" dxfId="85" priority="97"/>
    <cfRule type="duplicateValues" dxfId="84" priority="98"/>
    <cfRule type="duplicateValues" dxfId="83" priority="99"/>
    <cfRule type="duplicateValues" dxfId="82" priority="101"/>
    <cfRule type="duplicateValues" dxfId="81" priority="102"/>
    <cfRule type="duplicateValues" dxfId="80" priority="103"/>
    <cfRule type="duplicateValues" dxfId="79" priority="104"/>
    <cfRule type="duplicateValues" dxfId="78" priority="105"/>
    <cfRule type="duplicateValues" dxfId="77" priority="106"/>
    <cfRule type="duplicateValues" dxfId="76" priority="107"/>
    <cfRule type="duplicateValues" dxfId="75" priority="108"/>
    <cfRule type="duplicateValues" dxfId="74" priority="109"/>
  </conditionalFormatting>
  <conditionalFormatting sqref="D140">
    <cfRule type="duplicateValues" dxfId="73" priority="51"/>
    <cfRule type="duplicateValues" dxfId="72" priority="52"/>
    <cfRule type="duplicateValues" dxfId="71" priority="53"/>
    <cfRule type="duplicateValues" dxfId="70" priority="55"/>
    <cfRule type="duplicateValues" dxfId="69" priority="56"/>
    <cfRule type="duplicateValues" dxfId="68" priority="57"/>
    <cfRule type="duplicateValues" dxfId="67" priority="58"/>
    <cfRule type="duplicateValues" dxfId="66" priority="59"/>
    <cfRule type="duplicateValues" dxfId="65" priority="60"/>
    <cfRule type="duplicateValues" dxfId="64" priority="61"/>
    <cfRule type="duplicateValues" dxfId="63" priority="62"/>
    <cfRule type="duplicateValues" dxfId="62" priority="63"/>
    <cfRule type="duplicateValues" dxfId="61" priority="64"/>
  </conditionalFormatting>
  <conditionalFormatting sqref="D143:D155">
    <cfRule type="duplicateValues" dxfId="60" priority="34"/>
    <cfRule type="duplicateValues" dxfId="59" priority="35"/>
    <cfRule type="duplicateValues" dxfId="58" priority="36"/>
    <cfRule type="duplicateValues" dxfId="57" priority="38"/>
    <cfRule type="duplicateValues" dxfId="56" priority="39"/>
    <cfRule type="duplicateValues" dxfId="55" priority="40"/>
    <cfRule type="duplicateValues" dxfId="54" priority="41"/>
    <cfRule type="duplicateValues" dxfId="53" priority="42"/>
    <cfRule type="duplicateValues" dxfId="52" priority="43"/>
    <cfRule type="duplicateValues" dxfId="51" priority="44"/>
    <cfRule type="duplicateValues" dxfId="50" priority="45"/>
    <cfRule type="duplicateValues" dxfId="49" priority="46"/>
    <cfRule type="duplicateValues" dxfId="48" priority="47"/>
  </conditionalFormatting>
  <conditionalFormatting sqref="E2">
    <cfRule type="duplicateValues" dxfId="47" priority="633"/>
  </conditionalFormatting>
  <conditionalFormatting sqref="E3">
    <cfRule type="duplicateValues" dxfId="46" priority="632"/>
  </conditionalFormatting>
  <conditionalFormatting sqref="E4">
    <cfRule type="duplicateValues" dxfId="45" priority="630"/>
  </conditionalFormatting>
  <conditionalFormatting sqref="E89">
    <cfRule type="duplicateValues" dxfId="44" priority="451"/>
  </conditionalFormatting>
  <conditionalFormatting sqref="E104:E107 A104:A111 A112:E116 E117 D118:E118 A117:A126 A127:C127 A128 E125:E128 D119:D121">
    <cfRule type="duplicateValues" dxfId="43" priority="365"/>
  </conditionalFormatting>
  <conditionalFormatting sqref="E107 A107:A111 A112:E116 E117 D118:E118 A117:A126 A127:C127 A128 E125:E128 D119:D121">
    <cfRule type="duplicateValues" dxfId="42" priority="364"/>
  </conditionalFormatting>
  <conditionalFormatting sqref="E107">
    <cfRule type="duplicateValues" dxfId="41" priority="356"/>
    <cfRule type="duplicateValues" dxfId="40" priority="357"/>
    <cfRule type="duplicateValues" dxfId="39" priority="358"/>
    <cfRule type="duplicateValues" dxfId="38" priority="359"/>
    <cfRule type="duplicateValues" dxfId="37" priority="360"/>
    <cfRule type="duplicateValues" dxfId="36" priority="361"/>
    <cfRule type="duplicateValues" dxfId="35" priority="362"/>
    <cfRule type="duplicateValues" dxfId="34" priority="363"/>
  </conditionalFormatting>
  <conditionalFormatting sqref="E122:E124">
    <cfRule type="duplicateValues" dxfId="33" priority="191"/>
    <cfRule type="duplicateValues" dxfId="32" priority="192"/>
  </conditionalFormatting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2"/>
  <dimension ref="A1:I6"/>
  <sheetViews>
    <sheetView rightToLeft="1" workbookViewId="0">
      <selection activeCell="E18" sqref="E18"/>
    </sheetView>
  </sheetViews>
  <sheetFormatPr defaultRowHeight="15" x14ac:dyDescent="0.25"/>
  <cols>
    <col min="1" max="1" width="6.42578125" bestFit="1" customWidth="1"/>
    <col min="2" max="2" width="12" bestFit="1" customWidth="1"/>
    <col min="3" max="3" width="50.140625" style="1" bestFit="1" customWidth="1"/>
    <col min="4" max="4" width="56" bestFit="1" customWidth="1"/>
    <col min="5" max="5" width="58.7109375" bestFit="1" customWidth="1"/>
    <col min="6" max="6" width="15.85546875" bestFit="1" customWidth="1"/>
    <col min="7" max="7" width="12.85546875" bestFit="1" customWidth="1"/>
    <col min="8" max="8" width="19.28515625" bestFit="1" customWidth="1"/>
    <col min="9" max="9" width="11.85546875" bestFit="1" customWidth="1"/>
  </cols>
  <sheetData>
    <row r="1" spans="1:9" ht="24" x14ac:dyDescent="0.25">
      <c r="A1" s="47" t="s">
        <v>0</v>
      </c>
      <c r="B1" s="47" t="s">
        <v>192</v>
      </c>
      <c r="C1" s="47" t="s">
        <v>193</v>
      </c>
      <c r="D1" s="47" t="s">
        <v>46</v>
      </c>
      <c r="E1" s="47" t="s">
        <v>218</v>
      </c>
      <c r="F1" s="47" t="s">
        <v>219</v>
      </c>
      <c r="G1" s="47" t="s">
        <v>242</v>
      </c>
      <c r="H1" s="47" t="s">
        <v>243</v>
      </c>
      <c r="I1" s="47" t="s">
        <v>220</v>
      </c>
    </row>
    <row r="2" spans="1:9" ht="18.75" x14ac:dyDescent="0.45">
      <c r="A2" s="48">
        <v>1</v>
      </c>
      <c r="B2" s="49">
        <v>200056</v>
      </c>
      <c r="C2" s="50" t="s">
        <v>244</v>
      </c>
      <c r="D2" s="49" t="s">
        <v>223</v>
      </c>
      <c r="E2" s="49" t="s">
        <v>245</v>
      </c>
      <c r="F2" s="49" t="s">
        <v>222</v>
      </c>
      <c r="G2" s="49">
        <v>0</v>
      </c>
      <c r="H2" s="49" t="s">
        <v>221</v>
      </c>
      <c r="I2" s="49">
        <v>13910403</v>
      </c>
    </row>
    <row r="3" spans="1:9" ht="18.75" x14ac:dyDescent="0.45">
      <c r="A3" s="48">
        <v>2</v>
      </c>
      <c r="B3" s="49">
        <v>200066</v>
      </c>
      <c r="C3" s="50" t="s">
        <v>246</v>
      </c>
      <c r="D3" s="49" t="s">
        <v>215</v>
      </c>
      <c r="E3" s="49" t="s">
        <v>247</v>
      </c>
      <c r="F3" s="49" t="s">
        <v>222</v>
      </c>
      <c r="G3" s="49">
        <v>0</v>
      </c>
      <c r="H3" s="49" t="s">
        <v>221</v>
      </c>
      <c r="I3" s="49">
        <v>13911228</v>
      </c>
    </row>
    <row r="4" spans="1:9" ht="18.75" x14ac:dyDescent="0.45">
      <c r="A4" s="48">
        <v>406</v>
      </c>
      <c r="B4" s="49">
        <v>613862</v>
      </c>
      <c r="C4" s="50" t="s">
        <v>248</v>
      </c>
      <c r="D4" s="49" t="s">
        <v>215</v>
      </c>
      <c r="E4" s="49"/>
      <c r="F4" s="49" t="s">
        <v>222</v>
      </c>
      <c r="G4" s="49">
        <v>0</v>
      </c>
      <c r="H4" s="49" t="s">
        <v>221</v>
      </c>
      <c r="I4" s="49">
        <v>13950929</v>
      </c>
    </row>
    <row r="5" spans="1:9" ht="18.75" x14ac:dyDescent="0.45">
      <c r="A5" s="48">
        <v>412</v>
      </c>
      <c r="B5" s="49">
        <v>614023</v>
      </c>
      <c r="C5" s="50" t="s">
        <v>249</v>
      </c>
      <c r="D5" s="49" t="s">
        <v>215</v>
      </c>
      <c r="E5" s="49" t="s">
        <v>221</v>
      </c>
      <c r="F5" s="49" t="s">
        <v>222</v>
      </c>
      <c r="G5" s="49">
        <v>0</v>
      </c>
      <c r="H5" s="49" t="s">
        <v>221</v>
      </c>
      <c r="I5" s="49">
        <v>13951105</v>
      </c>
    </row>
    <row r="6" spans="1:9" ht="18.75" x14ac:dyDescent="0.45">
      <c r="A6" s="48">
        <v>413</v>
      </c>
      <c r="B6" s="49">
        <v>614042</v>
      </c>
      <c r="C6" s="50" t="s">
        <v>250</v>
      </c>
      <c r="D6" s="49" t="s">
        <v>215</v>
      </c>
      <c r="E6" s="49" t="s">
        <v>221</v>
      </c>
      <c r="F6" s="49" t="s">
        <v>222</v>
      </c>
      <c r="G6" s="49">
        <v>0</v>
      </c>
      <c r="H6" s="49" t="s">
        <v>221</v>
      </c>
      <c r="I6" s="49">
        <v>13951105</v>
      </c>
    </row>
  </sheetData>
  <autoFilter ref="A1:I6" xr:uid="{00000000-0009-0000-0000-000005000000}"/>
  <customSheetViews>
    <customSheetView guid="{4E9100F2-A511-4BAB-A26D-F817BBFCED8B}" showAutoFilter="1">
      <selection activeCell="E18" sqref="E18"/>
      <pageMargins left="0.7" right="0.7" top="0.75" bottom="0.75" header="0.3" footer="0.3"/>
      <autoFilter ref="A1:I6" xr:uid="{1C183B81-2626-48FB-BC1D-2E1EB4186565}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4C0C-13DE-45F2-B753-2A38004B4FE1}">
  <sheetPr codeName="Sheet_AllCode1">
    <pageSetUpPr fitToPage="1"/>
  </sheetPr>
  <dimension ref="A1:S37"/>
  <sheetViews>
    <sheetView rightToLeft="1" defaultGridColor="0" view="pageBreakPreview" colorId="22" zoomScale="70" zoomScaleNormal="70" zoomScaleSheetLayoutView="70" workbookViewId="0">
      <selection activeCell="H10" sqref="H10"/>
    </sheetView>
  </sheetViews>
  <sheetFormatPr defaultRowHeight="24.75" x14ac:dyDescent="0.6"/>
  <cols>
    <col min="1" max="1" width="11.5703125" bestFit="1" customWidth="1"/>
    <col min="2" max="2" width="9.7109375" customWidth="1"/>
    <col min="3" max="3" width="10.140625" customWidth="1"/>
    <col min="4" max="4" width="27.7109375" customWidth="1"/>
    <col min="5" max="5" width="29.28515625" customWidth="1"/>
    <col min="6" max="6" width="27.140625" customWidth="1"/>
    <col min="7" max="7" width="13.42578125" customWidth="1"/>
    <col min="8" max="8" width="47.28515625" customWidth="1"/>
    <col min="9" max="9" width="25.28515625" customWidth="1"/>
    <col min="10" max="10" width="20.7109375" customWidth="1"/>
    <col min="11" max="11" width="41" customWidth="1"/>
    <col min="12" max="12" width="44" customWidth="1"/>
    <col min="13" max="13" width="15.140625" style="78" customWidth="1"/>
    <col min="14" max="14" width="33.7109375" style="74" customWidth="1"/>
    <col min="15" max="15" width="31.7109375" customWidth="1"/>
    <col min="16" max="16" width="22" customWidth="1"/>
    <col min="17" max="17" width="58.28515625" customWidth="1"/>
    <col min="18" max="18" width="19.140625" customWidth="1"/>
    <col min="19" max="19" width="20.28515625" customWidth="1"/>
    <col min="20" max="20" width="9" customWidth="1"/>
    <col min="27" max="27" width="7.140625" bestFit="1" customWidth="1"/>
  </cols>
  <sheetData>
    <row r="1" spans="1:19" s="68" customFormat="1" ht="44.25" customHeight="1" x14ac:dyDescent="0.2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73"/>
      <c r="O1" s="69"/>
    </row>
    <row r="2" spans="1:19" ht="32.25" x14ac:dyDescent="0.25">
      <c r="A2" s="65" t="s">
        <v>477</v>
      </c>
      <c r="B2" s="65" t="s">
        <v>478</v>
      </c>
      <c r="C2" s="65" t="s">
        <v>0</v>
      </c>
      <c r="D2" s="65" t="s">
        <v>263</v>
      </c>
      <c r="E2" s="65" t="s">
        <v>264</v>
      </c>
      <c r="F2" s="65" t="s">
        <v>262</v>
      </c>
      <c r="G2" s="65" t="s">
        <v>164</v>
      </c>
      <c r="H2" s="65" t="s">
        <v>46</v>
      </c>
      <c r="I2" s="65" t="s">
        <v>265</v>
      </c>
      <c r="J2" s="65" t="s">
        <v>217</v>
      </c>
      <c r="K2" s="65" t="s">
        <v>67</v>
      </c>
      <c r="L2" s="65" t="s">
        <v>83</v>
      </c>
      <c r="M2" s="65" t="s">
        <v>47</v>
      </c>
      <c r="N2" s="65" t="s">
        <v>266</v>
      </c>
      <c r="O2" s="64" t="s">
        <v>267</v>
      </c>
      <c r="P2" s="64" t="s">
        <v>268</v>
      </c>
      <c r="Q2" s="64" t="s">
        <v>68</v>
      </c>
      <c r="R2" s="64" t="s">
        <v>278</v>
      </c>
      <c r="S2" s="64" t="s">
        <v>242</v>
      </c>
    </row>
    <row r="3" spans="1:19" s="68" customFormat="1" ht="24.95" customHeight="1" x14ac:dyDescent="0.25">
      <c r="A3" s="67" t="s">
        <v>517</v>
      </c>
      <c r="B3" s="66" t="s">
        <v>316</v>
      </c>
      <c r="C3" s="66">
        <v>10</v>
      </c>
      <c r="D3" s="67" t="s">
        <v>294</v>
      </c>
      <c r="E3" s="67" t="e">
        <f>VLOOKUP(D3,#REF!,3,FALSE)</f>
        <v>#REF!</v>
      </c>
      <c r="F3" s="67" t="e">
        <f>VLOOKUP(D3,#REF!,4,FALSE)</f>
        <v>#REF!</v>
      </c>
      <c r="G3" s="76" t="e">
        <f>VLOOKUP(D3,#REF!,2,FALSE)</f>
        <v>#REF!</v>
      </c>
      <c r="H3" s="77" t="s">
        <v>291</v>
      </c>
      <c r="I3" s="76" t="s">
        <v>149</v>
      </c>
      <c r="J3" s="77" t="s">
        <v>224</v>
      </c>
      <c r="K3" s="77" t="s">
        <v>39</v>
      </c>
      <c r="L3" s="79" t="s">
        <v>152</v>
      </c>
      <c r="M3" s="75">
        <v>609607</v>
      </c>
      <c r="N3" s="71"/>
      <c r="O3" s="66" t="s">
        <v>290</v>
      </c>
      <c r="P3" s="70"/>
      <c r="Q3" s="70"/>
      <c r="R3" s="67" t="s">
        <v>543</v>
      </c>
      <c r="S3" s="67" t="s">
        <v>542</v>
      </c>
    </row>
    <row r="4" spans="1:19" s="68" customFormat="1" ht="24.95" customHeight="1" x14ac:dyDescent="0.25">
      <c r="A4" s="67" t="s">
        <v>517</v>
      </c>
      <c r="B4" s="66" t="s">
        <v>316</v>
      </c>
      <c r="C4" s="66">
        <v>9</v>
      </c>
      <c r="D4" s="67" t="s">
        <v>292</v>
      </c>
      <c r="E4" s="67" t="e">
        <f>VLOOKUP(D4,#REF!,3,FALSE)</f>
        <v>#REF!</v>
      </c>
      <c r="F4" s="67" t="e">
        <f>VLOOKUP(D4,#REF!,4,FALSE)</f>
        <v>#REF!</v>
      </c>
      <c r="G4" s="76" t="e">
        <f>VLOOKUP(D4,#REF!,2,FALSE)</f>
        <v>#REF!</v>
      </c>
      <c r="H4" s="77" t="s">
        <v>291</v>
      </c>
      <c r="I4" s="76" t="s">
        <v>115</v>
      </c>
      <c r="J4" s="77" t="s">
        <v>224</v>
      </c>
      <c r="K4" s="77" t="s">
        <v>39</v>
      </c>
      <c r="L4" s="79" t="s">
        <v>151</v>
      </c>
      <c r="M4" s="75">
        <v>610930</v>
      </c>
      <c r="N4" s="71"/>
      <c r="O4" s="66" t="s">
        <v>290</v>
      </c>
      <c r="P4" s="66"/>
      <c r="Q4" s="66"/>
      <c r="R4" s="67" t="s">
        <v>543</v>
      </c>
      <c r="S4" s="67" t="s">
        <v>542</v>
      </c>
    </row>
    <row r="5" spans="1:19" s="68" customFormat="1" ht="24.95" customHeight="1" x14ac:dyDescent="0.25">
      <c r="A5" s="67" t="s">
        <v>517</v>
      </c>
      <c r="B5" s="66" t="s">
        <v>316</v>
      </c>
      <c r="C5" s="66">
        <v>10</v>
      </c>
      <c r="D5" s="67" t="s">
        <v>294</v>
      </c>
      <c r="E5" s="67" t="e">
        <f>VLOOKUP(D5,#REF!,3,FALSE)</f>
        <v>#REF!</v>
      </c>
      <c r="F5" s="67" t="e">
        <f>VLOOKUP(D5,#REF!,4,FALSE)</f>
        <v>#REF!</v>
      </c>
      <c r="G5" s="76" t="e">
        <f>VLOOKUP(D5,#REF!,2,FALSE)</f>
        <v>#REF!</v>
      </c>
      <c r="H5" s="77" t="s">
        <v>291</v>
      </c>
      <c r="I5" s="76" t="s">
        <v>149</v>
      </c>
      <c r="J5" s="77" t="s">
        <v>66</v>
      </c>
      <c r="K5" s="77" t="s">
        <v>173</v>
      </c>
      <c r="L5" s="79"/>
      <c r="M5" s="76">
        <v>619925</v>
      </c>
      <c r="N5" s="72"/>
      <c r="O5" s="66" t="s">
        <v>290</v>
      </c>
      <c r="P5" s="70"/>
      <c r="Q5" s="70"/>
      <c r="R5" s="67" t="s">
        <v>543</v>
      </c>
      <c r="S5" s="67" t="s">
        <v>542</v>
      </c>
    </row>
    <row r="6" spans="1:19" s="68" customFormat="1" ht="24.95" customHeight="1" x14ac:dyDescent="0.25">
      <c r="A6" s="67" t="s">
        <v>423</v>
      </c>
      <c r="B6" s="67" t="s">
        <v>423</v>
      </c>
      <c r="C6" s="67"/>
      <c r="D6" s="67" t="s">
        <v>293</v>
      </c>
      <c r="E6" s="67" t="e">
        <f>VLOOKUP(D6,#REF!,3,FALSE)</f>
        <v>#REF!</v>
      </c>
      <c r="F6" s="67" t="e">
        <f>VLOOKUP(D6,#REF!,4,FALSE)</f>
        <v>#REF!</v>
      </c>
      <c r="G6" s="76" t="e">
        <f>VLOOKUP(D6,#REF!,2,FALSE)</f>
        <v>#REF!</v>
      </c>
      <c r="H6" s="76" t="s">
        <v>291</v>
      </c>
      <c r="I6" s="76"/>
      <c r="J6" s="76" t="s">
        <v>224</v>
      </c>
      <c r="K6" s="76" t="s">
        <v>210</v>
      </c>
      <c r="L6" s="76"/>
      <c r="M6" s="76">
        <v>623983</v>
      </c>
      <c r="N6" s="72" t="s">
        <v>194</v>
      </c>
      <c r="O6" s="67"/>
      <c r="P6" s="67"/>
      <c r="Q6" s="67"/>
      <c r="R6" s="67" t="s">
        <v>543</v>
      </c>
      <c r="S6" s="67" t="s">
        <v>542</v>
      </c>
    </row>
    <row r="7" spans="1:19" s="68" customFormat="1" ht="24.95" customHeight="1" x14ac:dyDescent="0.25">
      <c r="A7" s="67" t="s">
        <v>423</v>
      </c>
      <c r="B7" s="67" t="s">
        <v>423</v>
      </c>
      <c r="C7" s="67"/>
      <c r="D7" s="67" t="s">
        <v>293</v>
      </c>
      <c r="E7" s="67" t="e">
        <f>VLOOKUP(D7,#REF!,3,FALSE)</f>
        <v>#REF!</v>
      </c>
      <c r="F7" s="67" t="e">
        <f>VLOOKUP(D7,#REF!,4,FALSE)</f>
        <v>#REF!</v>
      </c>
      <c r="G7" s="76" t="e">
        <f>VLOOKUP(D7,#REF!,2,FALSE)</f>
        <v>#REF!</v>
      </c>
      <c r="H7" s="76" t="s">
        <v>291</v>
      </c>
      <c r="I7" s="76"/>
      <c r="J7" s="76" t="s">
        <v>224</v>
      </c>
      <c r="K7" s="76" t="s">
        <v>210</v>
      </c>
      <c r="L7" s="76"/>
      <c r="M7" s="76">
        <v>623984</v>
      </c>
      <c r="N7" s="72" t="s">
        <v>195</v>
      </c>
      <c r="O7" s="67"/>
      <c r="P7" s="67"/>
      <c r="Q7" s="67"/>
      <c r="R7" s="67" t="s">
        <v>543</v>
      </c>
      <c r="S7" s="67" t="s">
        <v>542</v>
      </c>
    </row>
    <row r="8" spans="1:19" s="68" customFormat="1" ht="24.95" customHeight="1" x14ac:dyDescent="0.25">
      <c r="A8" s="67" t="s">
        <v>423</v>
      </c>
      <c r="B8" s="67" t="s">
        <v>423</v>
      </c>
      <c r="C8" s="67"/>
      <c r="D8" s="67" t="s">
        <v>293</v>
      </c>
      <c r="E8" s="67" t="e">
        <f>VLOOKUP(D8,#REF!,3,FALSE)</f>
        <v>#REF!</v>
      </c>
      <c r="F8" s="67" t="e">
        <f>VLOOKUP(D8,#REF!,4,FALSE)</f>
        <v>#REF!</v>
      </c>
      <c r="G8" s="76" t="e">
        <f>VLOOKUP(D8,#REF!,2,FALSE)</f>
        <v>#REF!</v>
      </c>
      <c r="H8" s="76" t="s">
        <v>291</v>
      </c>
      <c r="I8" s="76"/>
      <c r="J8" s="76" t="s">
        <v>224</v>
      </c>
      <c r="K8" s="76" t="s">
        <v>210</v>
      </c>
      <c r="L8" s="76"/>
      <c r="M8" s="76">
        <v>623985</v>
      </c>
      <c r="N8" s="72" t="s">
        <v>196</v>
      </c>
      <c r="O8" s="67"/>
      <c r="P8" s="67"/>
      <c r="Q8" s="67"/>
      <c r="R8" s="67" t="s">
        <v>543</v>
      </c>
      <c r="S8" s="67" t="s">
        <v>542</v>
      </c>
    </row>
    <row r="9" spans="1:19" s="68" customFormat="1" ht="24.95" customHeight="1" x14ac:dyDescent="0.25">
      <c r="A9" s="67" t="s">
        <v>423</v>
      </c>
      <c r="B9" s="67" t="s">
        <v>423</v>
      </c>
      <c r="C9" s="67"/>
      <c r="D9" s="67" t="s">
        <v>293</v>
      </c>
      <c r="E9" s="67" t="e">
        <f>VLOOKUP(D9,#REF!,3,FALSE)</f>
        <v>#REF!</v>
      </c>
      <c r="F9" s="67" t="e">
        <f>VLOOKUP(D9,#REF!,4,FALSE)</f>
        <v>#REF!</v>
      </c>
      <c r="G9" s="76" t="e">
        <f>VLOOKUP(D9,#REF!,2,FALSE)</f>
        <v>#REF!</v>
      </c>
      <c r="H9" s="76" t="s">
        <v>291</v>
      </c>
      <c r="I9" s="76"/>
      <c r="J9" s="76" t="s">
        <v>224</v>
      </c>
      <c r="K9" s="76" t="s">
        <v>210</v>
      </c>
      <c r="L9" s="76"/>
      <c r="M9" s="76">
        <v>623986</v>
      </c>
      <c r="N9" s="72" t="s">
        <v>197</v>
      </c>
      <c r="O9" s="67"/>
      <c r="P9" s="67"/>
      <c r="Q9" s="67"/>
      <c r="R9" s="67" t="s">
        <v>543</v>
      </c>
      <c r="S9" s="67" t="s">
        <v>542</v>
      </c>
    </row>
    <row r="10" spans="1:19" s="68" customFormat="1" ht="24.95" customHeight="1" x14ac:dyDescent="0.25">
      <c r="A10" s="67" t="s">
        <v>423</v>
      </c>
      <c r="B10" s="67" t="s">
        <v>423</v>
      </c>
      <c r="C10" s="67"/>
      <c r="D10" s="67" t="s">
        <v>293</v>
      </c>
      <c r="E10" s="67" t="e">
        <f>VLOOKUP(D10,#REF!,3,FALSE)</f>
        <v>#REF!</v>
      </c>
      <c r="F10" s="67" t="e">
        <f>VLOOKUP(D10,#REF!,4,FALSE)</f>
        <v>#REF!</v>
      </c>
      <c r="G10" s="76" t="e">
        <f>VLOOKUP(D10,#REF!,2,FALSE)</f>
        <v>#REF!</v>
      </c>
      <c r="H10" s="76" t="s">
        <v>291</v>
      </c>
      <c r="I10" s="76"/>
      <c r="J10" s="76" t="s">
        <v>77</v>
      </c>
      <c r="K10" s="76" t="s">
        <v>207</v>
      </c>
      <c r="L10" s="76"/>
      <c r="M10" s="76">
        <v>624030</v>
      </c>
      <c r="N10" s="72" t="s">
        <v>197</v>
      </c>
      <c r="O10" s="67"/>
      <c r="P10" s="67"/>
      <c r="Q10" s="67"/>
      <c r="R10" s="67" t="s">
        <v>543</v>
      </c>
      <c r="S10" s="67" t="s">
        <v>542</v>
      </c>
    </row>
    <row r="11" spans="1:19" s="68" customFormat="1" ht="24.95" customHeight="1" x14ac:dyDescent="0.25">
      <c r="A11" s="67" t="s">
        <v>423</v>
      </c>
      <c r="B11" s="67" t="s">
        <v>423</v>
      </c>
      <c r="C11" s="67"/>
      <c r="D11" s="67" t="s">
        <v>293</v>
      </c>
      <c r="E11" s="67" t="e">
        <f>VLOOKUP(D11,#REF!,3,FALSE)</f>
        <v>#REF!</v>
      </c>
      <c r="F11" s="67" t="e">
        <f>VLOOKUP(D11,#REF!,4,FALSE)</f>
        <v>#REF!</v>
      </c>
      <c r="G11" s="76" t="e">
        <f>VLOOKUP(D11,#REF!,2,FALSE)</f>
        <v>#REF!</v>
      </c>
      <c r="H11" s="76" t="s">
        <v>291</v>
      </c>
      <c r="I11" s="76"/>
      <c r="J11" s="76" t="s">
        <v>373</v>
      </c>
      <c r="K11" s="76" t="s">
        <v>208</v>
      </c>
      <c r="L11" s="76"/>
      <c r="M11" s="76">
        <v>624033</v>
      </c>
      <c r="N11" s="72" t="s">
        <v>198</v>
      </c>
      <c r="O11" s="67"/>
      <c r="P11" s="67"/>
      <c r="Q11" s="67"/>
      <c r="R11" s="67" t="s">
        <v>543</v>
      </c>
      <c r="S11" s="67" t="s">
        <v>542</v>
      </c>
    </row>
    <row r="12" spans="1:19" s="68" customFormat="1" ht="24.95" customHeight="1" x14ac:dyDescent="0.25">
      <c r="A12" s="67" t="s">
        <v>517</v>
      </c>
      <c r="B12" s="66" t="s">
        <v>316</v>
      </c>
      <c r="C12" s="66">
        <v>9</v>
      </c>
      <c r="D12" s="67" t="s">
        <v>292</v>
      </c>
      <c r="E12" s="67" t="e">
        <f>VLOOKUP(D12,#REF!,3,FALSE)</f>
        <v>#REF!</v>
      </c>
      <c r="F12" s="67" t="e">
        <f>VLOOKUP(D12,#REF!,4,FALSE)</f>
        <v>#REF!</v>
      </c>
      <c r="G12" s="76" t="e">
        <f>VLOOKUP(D12,#REF!,2,FALSE)</f>
        <v>#REF!</v>
      </c>
      <c r="H12" s="77" t="s">
        <v>291</v>
      </c>
      <c r="I12" s="76" t="s">
        <v>115</v>
      </c>
      <c r="J12" s="77" t="s">
        <v>66</v>
      </c>
      <c r="K12" s="77"/>
      <c r="L12" s="79"/>
      <c r="M12" s="76">
        <v>624719</v>
      </c>
      <c r="N12" s="72"/>
      <c r="O12" s="66" t="s">
        <v>290</v>
      </c>
      <c r="P12" s="70"/>
      <c r="Q12" s="70"/>
      <c r="R12" s="67" t="s">
        <v>543</v>
      </c>
      <c r="S12" s="67" t="s">
        <v>542</v>
      </c>
    </row>
    <row r="13" spans="1:19" s="68" customFormat="1" ht="24.95" customHeight="1" x14ac:dyDescent="0.25">
      <c r="A13" s="67" t="s">
        <v>423</v>
      </c>
      <c r="B13" s="67" t="s">
        <v>423</v>
      </c>
      <c r="C13" s="67"/>
      <c r="D13" s="67" t="s">
        <v>293</v>
      </c>
      <c r="E13" s="67" t="e">
        <f>VLOOKUP(D13,#REF!,3,FALSE)</f>
        <v>#REF!</v>
      </c>
      <c r="F13" s="67" t="e">
        <f>VLOOKUP(D13,#REF!,4,FALSE)</f>
        <v>#REF!</v>
      </c>
      <c r="G13" s="76" t="e">
        <f>VLOOKUP(D13,#REF!,2,FALSE)</f>
        <v>#REF!</v>
      </c>
      <c r="H13" s="76" t="s">
        <v>291</v>
      </c>
      <c r="I13" s="76"/>
      <c r="J13" s="76" t="s">
        <v>224</v>
      </c>
      <c r="K13" s="76" t="s">
        <v>209</v>
      </c>
      <c r="L13" s="76"/>
      <c r="M13" s="76">
        <v>624777</v>
      </c>
      <c r="N13" s="72" t="s">
        <v>199</v>
      </c>
      <c r="O13" s="67"/>
      <c r="P13" s="67"/>
      <c r="Q13" s="67"/>
      <c r="R13" s="67" t="s">
        <v>543</v>
      </c>
      <c r="S13" s="67" t="s">
        <v>542</v>
      </c>
    </row>
    <row r="14" spans="1:19" s="68" customFormat="1" ht="24.95" customHeight="1" x14ac:dyDescent="0.25">
      <c r="A14" s="67" t="s">
        <v>423</v>
      </c>
      <c r="B14" s="67" t="s">
        <v>423</v>
      </c>
      <c r="C14" s="67"/>
      <c r="D14" s="67" t="s">
        <v>293</v>
      </c>
      <c r="E14" s="67" t="e">
        <f>VLOOKUP(D14,#REF!,3,FALSE)</f>
        <v>#REF!</v>
      </c>
      <c r="F14" s="67" t="e">
        <f>VLOOKUP(D14,#REF!,4,FALSE)</f>
        <v>#REF!</v>
      </c>
      <c r="G14" s="76" t="e">
        <f>VLOOKUP(D14,#REF!,2,FALSE)</f>
        <v>#REF!</v>
      </c>
      <c r="H14" s="76" t="s">
        <v>291</v>
      </c>
      <c r="I14" s="76"/>
      <c r="J14" s="76" t="s">
        <v>224</v>
      </c>
      <c r="K14" s="76" t="s">
        <v>209</v>
      </c>
      <c r="L14" s="76"/>
      <c r="M14" s="76">
        <v>624778</v>
      </c>
      <c r="N14" s="72" t="s">
        <v>199</v>
      </c>
      <c r="O14" s="67"/>
      <c r="P14" s="67"/>
      <c r="Q14" s="67"/>
      <c r="R14" s="67" t="s">
        <v>543</v>
      </c>
      <c r="S14" s="67" t="s">
        <v>542</v>
      </c>
    </row>
    <row r="15" spans="1:19" s="68" customFormat="1" ht="24.95" customHeight="1" x14ac:dyDescent="0.25">
      <c r="A15" s="67" t="s">
        <v>423</v>
      </c>
      <c r="B15" s="67" t="s">
        <v>423</v>
      </c>
      <c r="C15" s="67"/>
      <c r="D15" s="67" t="s">
        <v>293</v>
      </c>
      <c r="E15" s="67" t="e">
        <f>VLOOKUP(D15,#REF!,3,FALSE)</f>
        <v>#REF!</v>
      </c>
      <c r="F15" s="67" t="e">
        <f>VLOOKUP(D15,#REF!,4,FALSE)</f>
        <v>#REF!</v>
      </c>
      <c r="G15" s="76" t="e">
        <f>VLOOKUP(D15,#REF!,2,FALSE)</f>
        <v>#REF!</v>
      </c>
      <c r="H15" s="76" t="s">
        <v>291</v>
      </c>
      <c r="I15" s="76"/>
      <c r="J15" s="76" t="s">
        <v>77</v>
      </c>
      <c r="K15" s="76" t="s">
        <v>211</v>
      </c>
      <c r="L15" s="76"/>
      <c r="M15" s="76">
        <v>624779</v>
      </c>
      <c r="N15" s="72" t="s">
        <v>200</v>
      </c>
      <c r="O15" s="67"/>
      <c r="P15" s="67"/>
      <c r="Q15" s="67"/>
      <c r="R15" s="67" t="s">
        <v>543</v>
      </c>
      <c r="S15" s="67" t="s">
        <v>542</v>
      </c>
    </row>
    <row r="16" spans="1:19" s="68" customFormat="1" ht="24.95" customHeight="1" x14ac:dyDescent="0.25">
      <c r="A16" s="67" t="s">
        <v>423</v>
      </c>
      <c r="B16" s="67" t="s">
        <v>423</v>
      </c>
      <c r="C16" s="67"/>
      <c r="D16" s="67" t="s">
        <v>293</v>
      </c>
      <c r="E16" s="67" t="e">
        <f>VLOOKUP(D16,#REF!,3,FALSE)</f>
        <v>#REF!</v>
      </c>
      <c r="F16" s="67" t="e">
        <f>VLOOKUP(D16,#REF!,4,FALSE)</f>
        <v>#REF!</v>
      </c>
      <c r="G16" s="76" t="e">
        <f>VLOOKUP(D16,#REF!,2,FALSE)</f>
        <v>#REF!</v>
      </c>
      <c r="H16" s="76" t="s">
        <v>291</v>
      </c>
      <c r="I16" s="76"/>
      <c r="J16" s="76" t="s">
        <v>77</v>
      </c>
      <c r="K16" s="76" t="s">
        <v>211</v>
      </c>
      <c r="L16" s="76"/>
      <c r="M16" s="76">
        <v>624780</v>
      </c>
      <c r="N16" s="72" t="s">
        <v>201</v>
      </c>
      <c r="O16" s="67"/>
      <c r="P16" s="67"/>
      <c r="Q16" s="67"/>
      <c r="R16" s="67" t="s">
        <v>543</v>
      </c>
      <c r="S16" s="67" t="s">
        <v>542</v>
      </c>
    </row>
    <row r="17" spans="1:19" s="68" customFormat="1" ht="24.95" customHeight="1" x14ac:dyDescent="0.25">
      <c r="A17" s="67" t="s">
        <v>423</v>
      </c>
      <c r="B17" s="67" t="s">
        <v>423</v>
      </c>
      <c r="C17" s="67"/>
      <c r="D17" s="67" t="s">
        <v>293</v>
      </c>
      <c r="E17" s="67" t="e">
        <f>VLOOKUP(D17,#REF!,3,FALSE)</f>
        <v>#REF!</v>
      </c>
      <c r="F17" s="67" t="e">
        <f>VLOOKUP(D17,#REF!,4,FALSE)</f>
        <v>#REF!</v>
      </c>
      <c r="G17" s="76" t="e">
        <f>VLOOKUP(D17,#REF!,2,FALSE)</f>
        <v>#REF!</v>
      </c>
      <c r="H17" s="76" t="s">
        <v>291</v>
      </c>
      <c r="I17" s="76"/>
      <c r="J17" s="76" t="s">
        <v>77</v>
      </c>
      <c r="K17" s="76" t="s">
        <v>212</v>
      </c>
      <c r="L17" s="76"/>
      <c r="M17" s="76">
        <v>624781</v>
      </c>
      <c r="N17" s="72" t="s">
        <v>196</v>
      </c>
      <c r="O17" s="67"/>
      <c r="P17" s="67"/>
      <c r="Q17" s="67"/>
      <c r="R17" s="67" t="s">
        <v>543</v>
      </c>
      <c r="S17" s="67" t="s">
        <v>542</v>
      </c>
    </row>
    <row r="18" spans="1:19" s="68" customFormat="1" ht="24.95" customHeight="1" x14ac:dyDescent="0.25">
      <c r="A18" s="67" t="s">
        <v>423</v>
      </c>
      <c r="B18" s="67" t="s">
        <v>423</v>
      </c>
      <c r="C18" s="67"/>
      <c r="D18" s="67" t="s">
        <v>293</v>
      </c>
      <c r="E18" s="67" t="e">
        <f>VLOOKUP(D18,#REF!,3,FALSE)</f>
        <v>#REF!</v>
      </c>
      <c r="F18" s="67" t="e">
        <f>VLOOKUP(D18,#REF!,4,FALSE)</f>
        <v>#REF!</v>
      </c>
      <c r="G18" s="76" t="e">
        <f>VLOOKUP(D18,#REF!,2,FALSE)</f>
        <v>#REF!</v>
      </c>
      <c r="H18" s="76" t="s">
        <v>291</v>
      </c>
      <c r="I18" s="76"/>
      <c r="J18" s="76" t="s">
        <v>373</v>
      </c>
      <c r="K18" s="76" t="s">
        <v>213</v>
      </c>
      <c r="L18" s="76"/>
      <c r="M18" s="76">
        <v>625002</v>
      </c>
      <c r="N18" s="72" t="s">
        <v>202</v>
      </c>
      <c r="O18" s="67"/>
      <c r="P18" s="67"/>
      <c r="Q18" s="67"/>
      <c r="R18" s="67" t="s">
        <v>543</v>
      </c>
      <c r="S18" s="67" t="s">
        <v>542</v>
      </c>
    </row>
    <row r="19" spans="1:19" s="68" customFormat="1" ht="24.95" customHeight="1" x14ac:dyDescent="0.25">
      <c r="A19" s="67" t="s">
        <v>517</v>
      </c>
      <c r="B19" s="67" t="s">
        <v>316</v>
      </c>
      <c r="C19" s="67">
        <v>9</v>
      </c>
      <c r="D19" s="67" t="s">
        <v>292</v>
      </c>
      <c r="E19" s="67" t="e">
        <f>VLOOKUP(D19,#REF!,3,FALSE)</f>
        <v>#REF!</v>
      </c>
      <c r="F19" s="67" t="e">
        <f>VLOOKUP(D19,#REF!,4,FALSE)</f>
        <v>#REF!</v>
      </c>
      <c r="G19" s="76" t="e">
        <f>VLOOKUP(D19,#REF!,2,FALSE)</f>
        <v>#REF!</v>
      </c>
      <c r="H19" s="76" t="s">
        <v>291</v>
      </c>
      <c r="I19" s="76" t="s">
        <v>115</v>
      </c>
      <c r="J19" s="76" t="s">
        <v>77</v>
      </c>
      <c r="K19" s="76" t="s">
        <v>137</v>
      </c>
      <c r="L19" s="76" t="s">
        <v>150</v>
      </c>
      <c r="M19" s="75">
        <v>624923</v>
      </c>
      <c r="N19" s="72"/>
      <c r="O19" s="66" t="s">
        <v>290</v>
      </c>
      <c r="P19" s="70"/>
      <c r="Q19" s="70"/>
      <c r="R19" s="67" t="s">
        <v>543</v>
      </c>
      <c r="S19" s="67" t="s">
        <v>542</v>
      </c>
    </row>
    <row r="20" spans="1:19" s="68" customFormat="1" ht="24.95" customHeight="1" x14ac:dyDescent="0.25">
      <c r="A20" s="67" t="s">
        <v>423</v>
      </c>
      <c r="B20" s="67" t="s">
        <v>423</v>
      </c>
      <c r="C20" s="67"/>
      <c r="D20" s="67" t="s">
        <v>293</v>
      </c>
      <c r="E20" s="67" t="e">
        <f>VLOOKUP(D20,#REF!,3,FALSE)</f>
        <v>#REF!</v>
      </c>
      <c r="F20" s="67" t="e">
        <f>VLOOKUP(D20,#REF!,4,FALSE)</f>
        <v>#REF!</v>
      </c>
      <c r="G20" s="76" t="e">
        <f>VLOOKUP(D20,#REF!,2,FALSE)</f>
        <v>#REF!</v>
      </c>
      <c r="H20" s="76" t="s">
        <v>291</v>
      </c>
      <c r="I20" s="76"/>
      <c r="J20" s="76" t="s">
        <v>373</v>
      </c>
      <c r="K20" s="76" t="s">
        <v>214</v>
      </c>
      <c r="L20" s="76"/>
      <c r="M20" s="76">
        <v>625266</v>
      </c>
      <c r="N20" s="72" t="s">
        <v>203</v>
      </c>
      <c r="O20" s="67"/>
      <c r="P20" s="67"/>
      <c r="Q20" s="67"/>
      <c r="R20" s="67" t="s">
        <v>543</v>
      </c>
      <c r="S20" s="67" t="s">
        <v>542</v>
      </c>
    </row>
    <row r="21" spans="1:19" s="68" customFormat="1" ht="24.95" customHeight="1" x14ac:dyDescent="0.25">
      <c r="A21" s="67" t="s">
        <v>423</v>
      </c>
      <c r="B21" s="67" t="s">
        <v>423</v>
      </c>
      <c r="C21" s="67"/>
      <c r="D21" s="67" t="s">
        <v>293</v>
      </c>
      <c r="E21" s="67" t="e">
        <f>VLOOKUP(D21,#REF!,3,FALSE)</f>
        <v>#REF!</v>
      </c>
      <c r="F21" s="67" t="e">
        <f>VLOOKUP(D21,#REF!,4,FALSE)</f>
        <v>#REF!</v>
      </c>
      <c r="G21" s="76" t="e">
        <f>VLOOKUP(D21,#REF!,2,FALSE)</f>
        <v>#REF!</v>
      </c>
      <c r="H21" s="76" t="s">
        <v>291</v>
      </c>
      <c r="I21" s="76"/>
      <c r="J21" s="76" t="s">
        <v>373</v>
      </c>
      <c r="K21" s="76" t="s">
        <v>214</v>
      </c>
      <c r="L21" s="76"/>
      <c r="M21" s="76">
        <v>625267</v>
      </c>
      <c r="N21" s="72" t="s">
        <v>204</v>
      </c>
      <c r="O21" s="67"/>
      <c r="P21" s="67"/>
      <c r="Q21" s="67"/>
      <c r="R21" s="67" t="s">
        <v>543</v>
      </c>
      <c r="S21" s="67" t="s">
        <v>542</v>
      </c>
    </row>
    <row r="22" spans="1:19" s="68" customFormat="1" ht="24.95" customHeight="1" x14ac:dyDescent="0.25">
      <c r="A22" s="67" t="s">
        <v>423</v>
      </c>
      <c r="B22" s="67" t="s">
        <v>423</v>
      </c>
      <c r="C22" s="67"/>
      <c r="D22" s="67" t="s">
        <v>293</v>
      </c>
      <c r="E22" s="67" t="e">
        <f>VLOOKUP(D22,#REF!,3,FALSE)</f>
        <v>#REF!</v>
      </c>
      <c r="F22" s="67" t="e">
        <f>VLOOKUP(D22,#REF!,4,FALSE)</f>
        <v>#REF!</v>
      </c>
      <c r="G22" s="76" t="e">
        <f>VLOOKUP(D22,#REF!,2,FALSE)</f>
        <v>#REF!</v>
      </c>
      <c r="H22" s="76" t="s">
        <v>291</v>
      </c>
      <c r="I22" s="76"/>
      <c r="J22" s="76" t="s">
        <v>373</v>
      </c>
      <c r="K22" s="76" t="s">
        <v>214</v>
      </c>
      <c r="L22" s="76"/>
      <c r="M22" s="76">
        <v>625268</v>
      </c>
      <c r="N22" s="72" t="s">
        <v>205</v>
      </c>
      <c r="O22" s="67"/>
      <c r="P22" s="67"/>
      <c r="Q22" s="67"/>
      <c r="R22" s="67" t="s">
        <v>543</v>
      </c>
      <c r="S22" s="67" t="s">
        <v>542</v>
      </c>
    </row>
    <row r="23" spans="1:19" s="68" customFormat="1" ht="24.95" customHeight="1" x14ac:dyDescent="0.25">
      <c r="A23" s="67" t="s">
        <v>423</v>
      </c>
      <c r="B23" s="67" t="s">
        <v>423</v>
      </c>
      <c r="C23" s="67"/>
      <c r="D23" s="67" t="s">
        <v>293</v>
      </c>
      <c r="E23" s="67" t="e">
        <f>VLOOKUP(D23,#REF!,3,FALSE)</f>
        <v>#REF!</v>
      </c>
      <c r="F23" s="67" t="e">
        <f>VLOOKUP(D23,#REF!,4,FALSE)</f>
        <v>#REF!</v>
      </c>
      <c r="G23" s="76" t="e">
        <f>VLOOKUP(D23,#REF!,2,FALSE)</f>
        <v>#REF!</v>
      </c>
      <c r="H23" s="76" t="s">
        <v>291</v>
      </c>
      <c r="I23" s="76"/>
      <c r="J23" s="76" t="s">
        <v>373</v>
      </c>
      <c r="K23" s="76" t="s">
        <v>214</v>
      </c>
      <c r="L23" s="76"/>
      <c r="M23" s="76">
        <v>625269</v>
      </c>
      <c r="N23" s="72" t="s">
        <v>206</v>
      </c>
      <c r="O23" s="67"/>
      <c r="P23" s="67"/>
      <c r="Q23" s="67"/>
      <c r="R23" s="67" t="s">
        <v>543</v>
      </c>
      <c r="S23" s="67" t="s">
        <v>542</v>
      </c>
    </row>
    <row r="24" spans="1:19" s="68" customFormat="1" ht="24.95" customHeight="1" x14ac:dyDescent="0.25">
      <c r="A24" s="67" t="s">
        <v>423</v>
      </c>
      <c r="B24" s="67" t="s">
        <v>423</v>
      </c>
      <c r="C24" s="67"/>
      <c r="D24" s="67" t="s">
        <v>293</v>
      </c>
      <c r="E24" s="67" t="e">
        <f>VLOOKUP(D24,#REF!,3,FALSE)</f>
        <v>#REF!</v>
      </c>
      <c r="F24" s="67" t="e">
        <f>VLOOKUP(D24,#REF!,4,FALSE)</f>
        <v>#REF!</v>
      </c>
      <c r="G24" s="76" t="e">
        <f>VLOOKUP(D24,#REF!,2,FALSE)</f>
        <v>#REF!</v>
      </c>
      <c r="H24" s="76" t="s">
        <v>291</v>
      </c>
      <c r="I24" s="76"/>
      <c r="J24" s="76" t="s">
        <v>224</v>
      </c>
      <c r="K24" s="76" t="s">
        <v>225</v>
      </c>
      <c r="L24" s="76"/>
      <c r="M24" s="76">
        <v>628155</v>
      </c>
      <c r="N24" s="72"/>
      <c r="O24" s="67"/>
      <c r="P24" s="67"/>
      <c r="Q24" s="67" t="s">
        <v>321</v>
      </c>
      <c r="R24" s="67" t="s">
        <v>543</v>
      </c>
      <c r="S24" s="67" t="s">
        <v>542</v>
      </c>
    </row>
    <row r="25" spans="1:19" s="68" customFormat="1" ht="24.95" customHeight="1" x14ac:dyDescent="0.25">
      <c r="A25" s="67" t="s">
        <v>423</v>
      </c>
      <c r="B25" s="67" t="s">
        <v>423</v>
      </c>
      <c r="C25" s="67"/>
      <c r="D25" s="67" t="s">
        <v>293</v>
      </c>
      <c r="E25" s="67" t="e">
        <f>VLOOKUP(D25,#REF!,3,FALSE)</f>
        <v>#REF!</v>
      </c>
      <c r="F25" s="67" t="e">
        <f>VLOOKUP(D25,#REF!,4,FALSE)</f>
        <v>#REF!</v>
      </c>
      <c r="G25" s="76" t="e">
        <f>VLOOKUP(D25,#REF!,2,FALSE)</f>
        <v>#REF!</v>
      </c>
      <c r="H25" s="76" t="s">
        <v>291</v>
      </c>
      <c r="I25" s="76"/>
      <c r="J25" s="76" t="s">
        <v>224</v>
      </c>
      <c r="K25" s="76" t="s">
        <v>432</v>
      </c>
      <c r="L25" s="76"/>
      <c r="M25" s="76">
        <v>628156</v>
      </c>
      <c r="N25" s="71"/>
      <c r="O25" s="66"/>
      <c r="P25" s="66"/>
      <c r="Q25" s="67"/>
      <c r="R25" s="67" t="s">
        <v>543</v>
      </c>
      <c r="S25" s="66" t="s">
        <v>542</v>
      </c>
    </row>
    <row r="26" spans="1:19" s="68" customFormat="1" ht="24.95" customHeight="1" x14ac:dyDescent="0.25">
      <c r="A26" s="67" t="s">
        <v>423</v>
      </c>
      <c r="B26" s="67" t="s">
        <v>423</v>
      </c>
      <c r="C26" s="67"/>
      <c r="D26" s="67" t="s">
        <v>293</v>
      </c>
      <c r="E26" s="67" t="e">
        <f>VLOOKUP(D26,#REF!,3,FALSE)</f>
        <v>#REF!</v>
      </c>
      <c r="F26" s="67" t="e">
        <f>VLOOKUP(D26,#REF!,4,FALSE)</f>
        <v>#REF!</v>
      </c>
      <c r="G26" s="76" t="e">
        <f>VLOOKUP(D26,#REF!,2,FALSE)</f>
        <v>#REF!</v>
      </c>
      <c r="H26" s="76" t="s">
        <v>291</v>
      </c>
      <c r="I26" s="76"/>
      <c r="J26" s="76" t="s">
        <v>224</v>
      </c>
      <c r="K26" s="76" t="s">
        <v>225</v>
      </c>
      <c r="L26" s="76"/>
      <c r="M26" s="76">
        <v>628157</v>
      </c>
      <c r="N26" s="72"/>
      <c r="O26" s="67"/>
      <c r="P26" s="67"/>
      <c r="Q26" s="67" t="s">
        <v>321</v>
      </c>
      <c r="R26" s="67" t="s">
        <v>543</v>
      </c>
      <c r="S26" s="67" t="s">
        <v>542</v>
      </c>
    </row>
    <row r="27" spans="1:19" s="68" customFormat="1" ht="24.95" customHeight="1" x14ac:dyDescent="0.25">
      <c r="A27" s="67" t="s">
        <v>423</v>
      </c>
      <c r="B27" s="67" t="s">
        <v>423</v>
      </c>
      <c r="C27" s="67"/>
      <c r="D27" s="67" t="s">
        <v>293</v>
      </c>
      <c r="E27" s="67" t="e">
        <f>VLOOKUP(D27,#REF!,3,FALSE)</f>
        <v>#REF!</v>
      </c>
      <c r="F27" s="67" t="e">
        <f>VLOOKUP(D27,#REF!,4,FALSE)</f>
        <v>#REF!</v>
      </c>
      <c r="G27" s="76" t="e">
        <f>VLOOKUP(D27,#REF!,2,FALSE)</f>
        <v>#REF!</v>
      </c>
      <c r="H27" s="76" t="s">
        <v>291</v>
      </c>
      <c r="I27" s="76"/>
      <c r="J27" s="76" t="s">
        <v>77</v>
      </c>
      <c r="K27" s="76" t="s">
        <v>428</v>
      </c>
      <c r="L27" s="76"/>
      <c r="M27" s="76">
        <v>628994</v>
      </c>
      <c r="N27" s="71"/>
      <c r="O27" s="66"/>
      <c r="P27" s="66"/>
      <c r="Q27" s="67"/>
      <c r="R27" s="67" t="s">
        <v>543</v>
      </c>
      <c r="S27" s="66" t="s">
        <v>542</v>
      </c>
    </row>
    <row r="28" spans="1:19" s="68" customFormat="1" ht="24.95" customHeight="1" x14ac:dyDescent="0.25">
      <c r="A28" s="67" t="s">
        <v>423</v>
      </c>
      <c r="B28" s="67" t="s">
        <v>423</v>
      </c>
      <c r="C28" s="67"/>
      <c r="D28" s="67" t="s">
        <v>293</v>
      </c>
      <c r="E28" s="67" t="e">
        <f>VLOOKUP(D28,#REF!,3,FALSE)</f>
        <v>#REF!</v>
      </c>
      <c r="F28" s="67" t="e">
        <f>VLOOKUP(D28,#REF!,4,FALSE)</f>
        <v>#REF!</v>
      </c>
      <c r="G28" s="76" t="e">
        <f>VLOOKUP(D28,#REF!,2,FALSE)</f>
        <v>#REF!</v>
      </c>
      <c r="H28" s="76" t="s">
        <v>291</v>
      </c>
      <c r="I28" s="76"/>
      <c r="J28" s="76" t="s">
        <v>434</v>
      </c>
      <c r="K28" s="76" t="s">
        <v>430</v>
      </c>
      <c r="L28" s="76"/>
      <c r="M28" s="76">
        <v>629325</v>
      </c>
      <c r="N28" s="71"/>
      <c r="O28" s="66"/>
      <c r="P28" s="66"/>
      <c r="Q28" s="67"/>
      <c r="R28" s="67" t="s">
        <v>543</v>
      </c>
      <c r="S28" s="66" t="s">
        <v>542</v>
      </c>
    </row>
    <row r="29" spans="1:19" s="68" customFormat="1" ht="24.95" customHeight="1" x14ac:dyDescent="0.25">
      <c r="A29" s="67" t="s">
        <v>423</v>
      </c>
      <c r="B29" s="67" t="s">
        <v>423</v>
      </c>
      <c r="C29" s="67"/>
      <c r="D29" s="67" t="s">
        <v>293</v>
      </c>
      <c r="E29" s="67" t="e">
        <f>VLOOKUP(D29,#REF!,3,FALSE)</f>
        <v>#REF!</v>
      </c>
      <c r="F29" s="67" t="e">
        <f>VLOOKUP(D29,#REF!,4,FALSE)</f>
        <v>#REF!</v>
      </c>
      <c r="G29" s="76" t="e">
        <f>VLOOKUP(D29,#REF!,2,FALSE)</f>
        <v>#REF!</v>
      </c>
      <c r="H29" s="76" t="s">
        <v>291</v>
      </c>
      <c r="I29" s="76"/>
      <c r="J29" s="76" t="s">
        <v>434</v>
      </c>
      <c r="K29" s="76" t="s">
        <v>430</v>
      </c>
      <c r="L29" s="76"/>
      <c r="M29" s="76">
        <v>629326</v>
      </c>
      <c r="N29" s="71"/>
      <c r="O29" s="66"/>
      <c r="P29" s="66"/>
      <c r="Q29" s="67"/>
      <c r="R29" s="67" t="s">
        <v>543</v>
      </c>
      <c r="S29" s="66" t="s">
        <v>542</v>
      </c>
    </row>
    <row r="30" spans="1:19" s="68" customFormat="1" ht="24.95" customHeight="1" x14ac:dyDescent="0.25">
      <c r="A30" s="67" t="s">
        <v>423</v>
      </c>
      <c r="B30" s="67" t="s">
        <v>423</v>
      </c>
      <c r="C30" s="67"/>
      <c r="D30" s="67" t="s">
        <v>293</v>
      </c>
      <c r="E30" s="67" t="e">
        <f>VLOOKUP(D30,#REF!,3,FALSE)</f>
        <v>#REF!</v>
      </c>
      <c r="F30" s="67" t="e">
        <f>VLOOKUP(D30,#REF!,4,FALSE)</f>
        <v>#REF!</v>
      </c>
      <c r="G30" s="76" t="e">
        <f>VLOOKUP(D30,#REF!,2,FALSE)</f>
        <v>#REF!</v>
      </c>
      <c r="H30" s="76" t="s">
        <v>291</v>
      </c>
      <c r="I30" s="76"/>
      <c r="J30" s="76" t="s">
        <v>434</v>
      </c>
      <c r="K30" s="76" t="s">
        <v>430</v>
      </c>
      <c r="L30" s="76"/>
      <c r="M30" s="76">
        <v>629327</v>
      </c>
      <c r="N30" s="71"/>
      <c r="O30" s="66"/>
      <c r="P30" s="66"/>
      <c r="Q30" s="67"/>
      <c r="R30" s="67" t="s">
        <v>543</v>
      </c>
      <c r="S30" s="66" t="s">
        <v>542</v>
      </c>
    </row>
    <row r="31" spans="1:19" s="68" customFormat="1" ht="24.95" customHeight="1" x14ac:dyDescent="0.25">
      <c r="A31" s="67" t="s">
        <v>423</v>
      </c>
      <c r="B31" s="67" t="s">
        <v>423</v>
      </c>
      <c r="C31" s="67"/>
      <c r="D31" s="67" t="s">
        <v>293</v>
      </c>
      <c r="E31" s="67" t="e">
        <f>VLOOKUP(D31,#REF!,3,FALSE)</f>
        <v>#REF!</v>
      </c>
      <c r="F31" s="67" t="e">
        <f>VLOOKUP(D31,#REF!,4,FALSE)</f>
        <v>#REF!</v>
      </c>
      <c r="G31" s="76" t="e">
        <f>VLOOKUP(D31,#REF!,2,FALSE)</f>
        <v>#REF!</v>
      </c>
      <c r="H31" s="76" t="s">
        <v>291</v>
      </c>
      <c r="I31" s="76"/>
      <c r="J31" s="76" t="s">
        <v>434</v>
      </c>
      <c r="K31" s="76" t="s">
        <v>430</v>
      </c>
      <c r="L31" s="76"/>
      <c r="M31" s="76">
        <v>629328</v>
      </c>
      <c r="N31" s="71"/>
      <c r="O31" s="66"/>
      <c r="P31" s="66"/>
      <c r="Q31" s="67"/>
      <c r="R31" s="67" t="s">
        <v>543</v>
      </c>
      <c r="S31" s="66" t="s">
        <v>542</v>
      </c>
    </row>
    <row r="32" spans="1:19" s="68" customFormat="1" ht="24.95" customHeight="1" x14ac:dyDescent="0.25">
      <c r="A32" s="67" t="s">
        <v>423</v>
      </c>
      <c r="B32" s="67" t="s">
        <v>423</v>
      </c>
      <c r="C32" s="67"/>
      <c r="D32" s="67" t="s">
        <v>293</v>
      </c>
      <c r="E32" s="67" t="e">
        <f>VLOOKUP(D32,#REF!,3,FALSE)</f>
        <v>#REF!</v>
      </c>
      <c r="F32" s="67" t="e">
        <f>VLOOKUP(D32,#REF!,4,FALSE)</f>
        <v>#REF!</v>
      </c>
      <c r="G32" s="76" t="e">
        <f>VLOOKUP(D32,#REF!,2,FALSE)</f>
        <v>#REF!</v>
      </c>
      <c r="H32" s="76" t="s">
        <v>291</v>
      </c>
      <c r="I32" s="76"/>
      <c r="J32" s="76" t="s">
        <v>434</v>
      </c>
      <c r="K32" s="76" t="s">
        <v>430</v>
      </c>
      <c r="L32" s="76"/>
      <c r="M32" s="76">
        <v>629329</v>
      </c>
      <c r="N32" s="71"/>
      <c r="O32" s="66"/>
      <c r="P32" s="66"/>
      <c r="Q32" s="67"/>
      <c r="R32" s="67" t="s">
        <v>543</v>
      </c>
      <c r="S32" s="66" t="s">
        <v>542</v>
      </c>
    </row>
    <row r="33" spans="1:19" s="68" customFormat="1" ht="24.95" customHeight="1" x14ac:dyDescent="0.25">
      <c r="A33" s="67" t="s">
        <v>423</v>
      </c>
      <c r="B33" s="67" t="s">
        <v>423</v>
      </c>
      <c r="C33" s="67"/>
      <c r="D33" s="67" t="s">
        <v>293</v>
      </c>
      <c r="E33" s="67" t="e">
        <f>VLOOKUP(D33,#REF!,3,FALSE)</f>
        <v>#REF!</v>
      </c>
      <c r="F33" s="67" t="e">
        <f>VLOOKUP(D33,#REF!,4,FALSE)</f>
        <v>#REF!</v>
      </c>
      <c r="G33" s="76" t="e">
        <f>VLOOKUP(D33,#REF!,2,FALSE)</f>
        <v>#REF!</v>
      </c>
      <c r="H33" s="76" t="s">
        <v>291</v>
      </c>
      <c r="I33" s="76"/>
      <c r="J33" s="76" t="s">
        <v>224</v>
      </c>
      <c r="K33" s="76" t="s">
        <v>433</v>
      </c>
      <c r="L33" s="76"/>
      <c r="M33" s="76">
        <v>629331</v>
      </c>
      <c r="N33" s="71"/>
      <c r="O33" s="66"/>
      <c r="P33" s="66"/>
      <c r="Q33" s="67"/>
      <c r="R33" s="67" t="s">
        <v>543</v>
      </c>
      <c r="S33" s="66" t="s">
        <v>542</v>
      </c>
    </row>
    <row r="34" spans="1:19" s="68" customFormat="1" ht="24.95" customHeight="1" x14ac:dyDescent="0.25">
      <c r="A34" s="67" t="s">
        <v>423</v>
      </c>
      <c r="B34" s="67" t="s">
        <v>423</v>
      </c>
      <c r="C34" s="67"/>
      <c r="D34" s="67" t="s">
        <v>293</v>
      </c>
      <c r="E34" s="67" t="e">
        <f>VLOOKUP(D34,#REF!,3,FALSE)</f>
        <v>#REF!</v>
      </c>
      <c r="F34" s="67" t="e">
        <f>VLOOKUP(D34,#REF!,4,FALSE)</f>
        <v>#REF!</v>
      </c>
      <c r="G34" s="76" t="e">
        <f>VLOOKUP(D34,#REF!,2,FALSE)</f>
        <v>#REF!</v>
      </c>
      <c r="H34" s="76" t="s">
        <v>291</v>
      </c>
      <c r="I34" s="76"/>
      <c r="J34" s="76" t="s">
        <v>224</v>
      </c>
      <c r="K34" s="76" t="s">
        <v>433</v>
      </c>
      <c r="L34" s="76"/>
      <c r="M34" s="76">
        <v>629332</v>
      </c>
      <c r="N34" s="71"/>
      <c r="O34" s="66"/>
      <c r="P34" s="66"/>
      <c r="Q34" s="67"/>
      <c r="R34" s="67" t="s">
        <v>543</v>
      </c>
      <c r="S34" s="66" t="s">
        <v>542</v>
      </c>
    </row>
    <row r="35" spans="1:19" s="68" customFormat="1" ht="24.95" customHeight="1" x14ac:dyDescent="0.25">
      <c r="A35" s="67" t="s">
        <v>423</v>
      </c>
      <c r="B35" s="67" t="s">
        <v>423</v>
      </c>
      <c r="C35" s="67"/>
      <c r="D35" s="67" t="s">
        <v>293</v>
      </c>
      <c r="E35" s="67" t="e">
        <f>VLOOKUP(D35,#REF!,3,FALSE)</f>
        <v>#REF!</v>
      </c>
      <c r="F35" s="67" t="e">
        <f>VLOOKUP(D35,#REF!,4,FALSE)</f>
        <v>#REF!</v>
      </c>
      <c r="G35" s="76" t="e">
        <f>VLOOKUP(D35,#REF!,2,FALSE)</f>
        <v>#REF!</v>
      </c>
      <c r="H35" s="76" t="s">
        <v>291</v>
      </c>
      <c r="I35" s="76"/>
      <c r="J35" s="76" t="s">
        <v>368</v>
      </c>
      <c r="K35" s="76" t="s">
        <v>431</v>
      </c>
      <c r="L35" s="76"/>
      <c r="M35" s="76">
        <v>629333</v>
      </c>
      <c r="N35" s="71"/>
      <c r="O35" s="66"/>
      <c r="P35" s="66"/>
      <c r="Q35" s="67"/>
      <c r="R35" s="67" t="s">
        <v>543</v>
      </c>
      <c r="S35" s="66" t="s">
        <v>542</v>
      </c>
    </row>
    <row r="36" spans="1:19" s="68" customFormat="1" ht="24.95" customHeight="1" x14ac:dyDescent="0.25">
      <c r="A36" s="67" t="s">
        <v>423</v>
      </c>
      <c r="B36" s="67" t="s">
        <v>423</v>
      </c>
      <c r="C36" s="67"/>
      <c r="D36" s="67" t="s">
        <v>293</v>
      </c>
      <c r="E36" s="67" t="e">
        <f>VLOOKUP(D36,#REF!,3,FALSE)</f>
        <v>#REF!</v>
      </c>
      <c r="F36" s="67" t="e">
        <f>VLOOKUP(D36,#REF!,4,FALSE)</f>
        <v>#REF!</v>
      </c>
      <c r="G36" s="76" t="e">
        <f>VLOOKUP(D36,#REF!,2,FALSE)</f>
        <v>#REF!</v>
      </c>
      <c r="H36" s="76" t="s">
        <v>291</v>
      </c>
      <c r="I36" s="76"/>
      <c r="J36" s="76" t="s">
        <v>77</v>
      </c>
      <c r="K36" s="76" t="s">
        <v>429</v>
      </c>
      <c r="L36" s="76"/>
      <c r="M36" s="76">
        <v>631077</v>
      </c>
      <c r="N36" s="71"/>
      <c r="O36" s="66"/>
      <c r="P36" s="66"/>
      <c r="Q36" s="67"/>
      <c r="R36" s="67" t="s">
        <v>543</v>
      </c>
      <c r="S36" s="66" t="s">
        <v>542</v>
      </c>
    </row>
    <row r="37" spans="1:19" x14ac:dyDescent="0.6">
      <c r="A37" s="80"/>
      <c r="B37" s="80"/>
      <c r="C37" s="80"/>
      <c r="D37" s="81"/>
      <c r="E37" s="80"/>
      <c r="F37" s="80"/>
      <c r="G37" s="80"/>
      <c r="H37" s="80"/>
      <c r="I37" s="81"/>
      <c r="J37" s="80"/>
      <c r="K37" s="80"/>
      <c r="L37" s="80"/>
      <c r="M37" s="82"/>
      <c r="N37" s="83"/>
      <c r="O37" s="80"/>
      <c r="P37" s="80"/>
      <c r="Q37" s="80"/>
      <c r="R37" s="80"/>
      <c r="S37" s="80"/>
    </row>
  </sheetData>
  <autoFilter ref="A2:S36" xr:uid="{00000000-0001-0000-0000-000000000000}"/>
  <dataConsolidate/>
  <customSheetViews>
    <customSheetView guid="{4E9100F2-A511-4BAB-A26D-F817BBFCED8B}" scale="70" colorId="22" showPageBreaks="1" fitToPage="1" printArea="1" showAutoFilter="1" view="pageBreakPreview">
      <selection activeCell="H10" sqref="H10"/>
      <pageMargins left="0.25" right="0.25" top="0.43" bottom="0.24" header="0.32" footer="0.18"/>
      <pageSetup paperSize="9" scale="25" fitToHeight="0" orientation="landscape" horizontalDpi="4294967295" verticalDpi="4294967295" r:id="rId1"/>
      <autoFilter ref="A2:S2" xr:uid="{394B12DC-4DAA-418E-AB6E-DED08C311E6E}"/>
    </customSheetView>
  </customSheetViews>
  <phoneticPr fontId="33" type="noConversion"/>
  <conditionalFormatting sqref="L3">
    <cfRule type="duplicateValues" dxfId="31" priority="393"/>
    <cfRule type="duplicateValues" dxfId="30" priority="404"/>
  </conditionalFormatting>
  <conditionalFormatting sqref="L4">
    <cfRule type="duplicateValues" dxfId="29" priority="377"/>
  </conditionalFormatting>
  <conditionalFormatting sqref="L5">
    <cfRule type="duplicateValues" dxfId="28" priority="360"/>
    <cfRule type="duplicateValues" dxfId="27" priority="371"/>
  </conditionalFormatting>
  <conditionalFormatting sqref="L6">
    <cfRule type="duplicateValues" dxfId="26" priority="344"/>
  </conditionalFormatting>
  <conditionalFormatting sqref="L7">
    <cfRule type="duplicateValues" dxfId="25" priority="328"/>
  </conditionalFormatting>
  <conditionalFormatting sqref="L8">
    <cfRule type="duplicateValues" dxfId="24" priority="312"/>
  </conditionalFormatting>
  <conditionalFormatting sqref="L9">
    <cfRule type="duplicateValues" dxfId="23" priority="296"/>
  </conditionalFormatting>
  <conditionalFormatting sqref="L10">
    <cfRule type="duplicateValues" dxfId="22" priority="280"/>
  </conditionalFormatting>
  <conditionalFormatting sqref="L11">
    <cfRule type="duplicateValues" dxfId="21" priority="264"/>
  </conditionalFormatting>
  <conditionalFormatting sqref="L12">
    <cfRule type="duplicateValues" dxfId="20" priority="248"/>
  </conditionalFormatting>
  <conditionalFormatting sqref="L13">
    <cfRule type="duplicateValues" dxfId="19" priority="232"/>
  </conditionalFormatting>
  <conditionalFormatting sqref="L14">
    <cfRule type="duplicateValues" dxfId="18" priority="216"/>
  </conditionalFormatting>
  <conditionalFormatting sqref="L15">
    <cfRule type="duplicateValues" dxfId="17" priority="200"/>
  </conditionalFormatting>
  <conditionalFormatting sqref="L16">
    <cfRule type="duplicateValues" dxfId="16" priority="184"/>
  </conditionalFormatting>
  <conditionalFormatting sqref="L17">
    <cfRule type="duplicateValues" dxfId="15" priority="169"/>
  </conditionalFormatting>
  <conditionalFormatting sqref="L18">
    <cfRule type="duplicateValues" dxfId="14" priority="153"/>
  </conditionalFormatting>
  <conditionalFormatting sqref="L19">
    <cfRule type="duplicateValues" dxfId="13" priority="136"/>
    <cfRule type="duplicateValues" dxfId="12" priority="147"/>
  </conditionalFormatting>
  <conditionalFormatting sqref="L20:L23">
    <cfRule type="duplicateValues" dxfId="11" priority="120"/>
  </conditionalFormatting>
  <conditionalFormatting sqref="L24:L26">
    <cfRule type="duplicateValues" dxfId="10" priority="104"/>
  </conditionalFormatting>
  <conditionalFormatting sqref="L27">
    <cfRule type="duplicateValues" dxfId="9" priority="88"/>
  </conditionalFormatting>
  <conditionalFormatting sqref="L28:L32">
    <cfRule type="duplicateValues" dxfId="8" priority="72"/>
  </conditionalFormatting>
  <conditionalFormatting sqref="L33">
    <cfRule type="duplicateValues" dxfId="7" priority="56"/>
  </conditionalFormatting>
  <conditionalFormatting sqref="L34">
    <cfRule type="duplicateValues" dxfId="6" priority="40"/>
  </conditionalFormatting>
  <conditionalFormatting sqref="L35">
    <cfRule type="duplicateValues" dxfId="5" priority="24"/>
  </conditionalFormatting>
  <conditionalFormatting sqref="L36">
    <cfRule type="duplicateValues" dxfId="4" priority="8"/>
  </conditionalFormatting>
  <conditionalFormatting sqref="N1">
    <cfRule type="cellIs" dxfId="3" priority="410" operator="equal">
      <formula>"عبدالحمید اکبری"</formula>
    </cfRule>
  </conditionalFormatting>
  <conditionalFormatting sqref="N1:N1048576">
    <cfRule type="cellIs" dxfId="2" priority="3" operator="equal">
      <formula>"پیگیری"</formula>
    </cfRule>
  </conditionalFormatting>
  <conditionalFormatting sqref="N3:N36">
    <cfRule type="cellIs" dxfId="1" priority="4" operator="equal">
      <formula>"عبدالحمید اکبری"</formula>
    </cfRule>
  </conditionalFormatting>
  <conditionalFormatting sqref="U3:U37 M3:M36">
    <cfRule type="duplicateValues" dxfId="0" priority="1"/>
  </conditionalFormatting>
  <pageMargins left="0.25" right="0.25" top="0.43" bottom="0.24" header="0.32" footer="0.18"/>
  <pageSetup paperSize="9" scale="28" fitToHeight="0" orientation="landscape" horizontalDpi="4294967295" verticalDpi="4294967295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M10"/>
  <sheetViews>
    <sheetView rightToLeft="1" workbookViewId="0">
      <selection activeCell="E10" sqref="E10"/>
    </sheetView>
  </sheetViews>
  <sheetFormatPr defaultRowHeight="15" x14ac:dyDescent="0.25"/>
  <cols>
    <col min="1" max="1" width="7.140625" customWidth="1"/>
    <col min="2" max="2" width="26" customWidth="1"/>
    <col min="3" max="3" width="13.7109375" customWidth="1"/>
    <col min="4" max="4" width="36.28515625" customWidth="1"/>
    <col min="5" max="5" width="32.85546875" customWidth="1"/>
    <col min="6" max="6" width="18.5703125" customWidth="1"/>
    <col min="7" max="7" width="16.28515625" customWidth="1"/>
    <col min="8" max="8" width="36.140625" customWidth="1"/>
    <col min="9" max="9" width="21.7109375" customWidth="1"/>
    <col min="10" max="10" width="17.5703125" customWidth="1"/>
    <col min="11" max="11" width="26" customWidth="1"/>
    <col min="12" max="12" width="16.42578125" customWidth="1"/>
    <col min="13" max="13" width="23.7109375" customWidth="1"/>
  </cols>
  <sheetData>
    <row r="1" spans="1:13" x14ac:dyDescent="0.25">
      <c r="A1" s="95" t="s">
        <v>19</v>
      </c>
      <c r="B1" s="95"/>
      <c r="C1" s="95"/>
      <c r="D1" s="95"/>
      <c r="E1" s="95"/>
      <c r="F1" s="95"/>
      <c r="G1" s="95"/>
      <c r="H1" s="95"/>
    </row>
    <row r="2" spans="1:13" x14ac:dyDescent="0.25">
      <c r="A2" s="95"/>
      <c r="B2" s="95"/>
      <c r="C2" s="95"/>
      <c r="D2" s="95"/>
      <c r="E2" s="95"/>
      <c r="F2" s="95"/>
      <c r="G2" s="95"/>
      <c r="H2" s="95"/>
    </row>
    <row r="3" spans="1:13" x14ac:dyDescent="0.25">
      <c r="A3" s="95"/>
      <c r="B3" s="95"/>
      <c r="C3" s="95"/>
      <c r="D3" s="95"/>
      <c r="E3" s="95"/>
      <c r="F3" s="95"/>
      <c r="G3" s="95"/>
      <c r="H3" s="95"/>
    </row>
    <row r="4" spans="1:13" x14ac:dyDescent="0.25">
      <c r="A4" s="95"/>
      <c r="B4" s="95"/>
      <c r="C4" s="95"/>
      <c r="D4" s="95"/>
      <c r="E4" s="95"/>
      <c r="F4" s="95"/>
      <c r="G4" s="95"/>
      <c r="H4" s="95"/>
    </row>
    <row r="5" spans="1:13" ht="5.25" customHeight="1" x14ac:dyDescent="0.25">
      <c r="A5" s="95"/>
      <c r="B5" s="95"/>
      <c r="C5" s="95"/>
      <c r="D5" s="95"/>
      <c r="E5" s="95"/>
      <c r="F5" s="95"/>
      <c r="G5" s="95"/>
      <c r="H5" s="95"/>
    </row>
    <row r="6" spans="1:13" hidden="1" x14ac:dyDescent="0.25">
      <c r="A6" s="95"/>
      <c r="B6" s="95"/>
      <c r="C6" s="95"/>
      <c r="D6" s="95"/>
      <c r="E6" s="95"/>
      <c r="F6" s="95"/>
      <c r="G6" s="95"/>
      <c r="H6" s="95"/>
    </row>
    <row r="7" spans="1:13" s="4" customFormat="1" ht="21" x14ac:dyDescent="0.35">
      <c r="A7" s="2" t="s">
        <v>0</v>
      </c>
      <c r="B7" s="3" t="s">
        <v>2</v>
      </c>
      <c r="C7" s="3" t="s">
        <v>1</v>
      </c>
      <c r="D7" s="3" t="s">
        <v>7</v>
      </c>
      <c r="E7" s="3" t="s">
        <v>3</v>
      </c>
      <c r="F7" s="3" t="s">
        <v>4</v>
      </c>
      <c r="G7" s="3" t="s">
        <v>6</v>
      </c>
      <c r="H7" s="3" t="s">
        <v>13</v>
      </c>
      <c r="I7" s="3" t="s">
        <v>16</v>
      </c>
      <c r="J7" s="3" t="s">
        <v>5</v>
      </c>
      <c r="K7" s="11" t="s">
        <v>11</v>
      </c>
      <c r="L7" s="3" t="s">
        <v>16</v>
      </c>
      <c r="M7" s="3" t="s">
        <v>5</v>
      </c>
    </row>
    <row r="8" spans="1:13" ht="24" x14ac:dyDescent="0.55000000000000004">
      <c r="A8" s="12">
        <v>1</v>
      </c>
      <c r="B8" s="9" t="s">
        <v>30</v>
      </c>
      <c r="C8" s="10" t="s">
        <v>29</v>
      </c>
      <c r="D8" s="15" t="s">
        <v>20</v>
      </c>
      <c r="E8" s="5" t="s">
        <v>21</v>
      </c>
      <c r="F8" s="9">
        <v>603954</v>
      </c>
      <c r="G8" s="14">
        <v>605221</v>
      </c>
      <c r="H8" s="9" t="s">
        <v>22</v>
      </c>
      <c r="I8" s="4" t="s">
        <v>23</v>
      </c>
      <c r="J8" s="13">
        <v>606000</v>
      </c>
      <c r="K8" s="3"/>
      <c r="L8" s="3"/>
      <c r="M8" s="9"/>
    </row>
    <row r="9" spans="1:13" ht="22.5" x14ac:dyDescent="0.55000000000000004">
      <c r="A9" s="12">
        <v>2</v>
      </c>
      <c r="B9" s="9" t="s">
        <v>24</v>
      </c>
      <c r="C9" s="10"/>
      <c r="D9" s="16" t="s">
        <v>8</v>
      </c>
      <c r="E9" s="5" t="s">
        <v>25</v>
      </c>
      <c r="F9" s="4">
        <v>600016</v>
      </c>
      <c r="G9" s="13">
        <v>605714</v>
      </c>
    </row>
    <row r="10" spans="1:13" s="4" customFormat="1" ht="22.5" x14ac:dyDescent="0.55000000000000004">
      <c r="A10" s="12">
        <v>3</v>
      </c>
      <c r="B10" s="9" t="s">
        <v>28</v>
      </c>
      <c r="C10" s="10"/>
      <c r="D10" s="16" t="s">
        <v>26</v>
      </c>
      <c r="E10" s="5" t="s">
        <v>27</v>
      </c>
      <c r="F10" s="4">
        <v>601596</v>
      </c>
      <c r="G10" s="13">
        <v>603964</v>
      </c>
    </row>
  </sheetData>
  <customSheetViews>
    <customSheetView guid="{4E9100F2-A511-4BAB-A26D-F817BBFCED8B}" hiddenRows="1" state="hidden">
      <selection activeCell="E10" sqref="E10"/>
      <pageMargins left="0.7" right="0.7" top="0.75" bottom="0.75" header="0.3" footer="0.3"/>
      <pageSetup orientation="portrait" r:id="rId1"/>
    </customSheetView>
  </customSheetViews>
  <mergeCells count="1">
    <mergeCell ref="A1:H6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لیست تعمیرات</vt:lpstr>
      <vt:lpstr>اموال قبلا چک شده بنام نیک اختر</vt:lpstr>
      <vt:lpstr>مختوم شده</vt:lpstr>
      <vt:lpstr>خوابگاه </vt:lpstr>
      <vt:lpstr>'مختوم شده'!Print_Area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Rasool Nematian</dc:creator>
  <cp:lastModifiedBy>Ali Abbaspour</cp:lastModifiedBy>
  <cp:lastPrinted>2025-04-12T07:16:47Z</cp:lastPrinted>
  <dcterms:created xsi:type="dcterms:W3CDTF">2018-08-12T07:13:07Z</dcterms:created>
  <dcterms:modified xsi:type="dcterms:W3CDTF">2025-12-10T05:25:59Z</dcterms:modified>
</cp:coreProperties>
</file>